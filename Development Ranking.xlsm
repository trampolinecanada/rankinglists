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70D00517-1F2B-9543-857C-E6951C020747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'TRA-M'!$A$1:$TV$27</definedName>
    <definedName name="_xlnm._FilterDatabase" localSheetId="2" hidden="1">'TRA-W'!$A$1:$TV$19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6" i="21" l="1"/>
  <c r="AQ36" i="21"/>
  <c r="AR36" i="21"/>
  <c r="AS36" i="21"/>
  <c r="AU36" i="21"/>
  <c r="AV36" i="21"/>
  <c r="AW36" i="21"/>
  <c r="BS36" i="21"/>
  <c r="BT36" i="21"/>
  <c r="BU36" i="21"/>
  <c r="BV36" i="21"/>
  <c r="BX36" i="21"/>
  <c r="BY36" i="21"/>
  <c r="CV36" i="21"/>
  <c r="CW36" i="21"/>
  <c r="CX36" i="21"/>
  <c r="CZ36" i="21" s="1"/>
  <c r="CY36" i="21"/>
  <c r="DA36" i="21"/>
  <c r="DB36" i="21"/>
  <c r="DC36" i="21" s="1"/>
  <c r="DZ36" i="21"/>
  <c r="EA36" i="21"/>
  <c r="EB36" i="21"/>
  <c r="ED36" i="21" s="1"/>
  <c r="EC36" i="21"/>
  <c r="EE36" i="21"/>
  <c r="EF36" i="21"/>
  <c r="FB36" i="21"/>
  <c r="FC36" i="21"/>
  <c r="FD36" i="21"/>
  <c r="FE36" i="21"/>
  <c r="FG36" i="21"/>
  <c r="FH36" i="21"/>
  <c r="GD36" i="21"/>
  <c r="GE36" i="21"/>
  <c r="GF36" i="21"/>
  <c r="GG36" i="21"/>
  <c r="GH36" i="21"/>
  <c r="GI36" i="21"/>
  <c r="GJ36" i="21"/>
  <c r="GK36" i="21" s="1"/>
  <c r="HF36" i="21"/>
  <c r="HG36" i="21"/>
  <c r="HH36" i="21"/>
  <c r="HI36" i="21"/>
  <c r="HK36" i="21"/>
  <c r="HL36" i="21"/>
  <c r="IH36" i="21"/>
  <c r="II36" i="21"/>
  <c r="IJ36" i="21"/>
  <c r="IK36" i="21"/>
  <c r="IL36" i="21"/>
  <c r="IM36" i="21"/>
  <c r="IN36" i="21"/>
  <c r="IO36" i="21"/>
  <c r="JJ36" i="21"/>
  <c r="JK36" i="21"/>
  <c r="JL36" i="21"/>
  <c r="JM36" i="21"/>
  <c r="JO36" i="21"/>
  <c r="JP36" i="21"/>
  <c r="KL36" i="21"/>
  <c r="KM36" i="21"/>
  <c r="KN36" i="21"/>
  <c r="KO36" i="21"/>
  <c r="KP36" i="21"/>
  <c r="KQ36" i="21"/>
  <c r="KR36" i="21"/>
  <c r="LN36" i="21"/>
  <c r="LO36" i="21"/>
  <c r="LP36" i="21"/>
  <c r="LQ36" i="21"/>
  <c r="LS36" i="21"/>
  <c r="LT36" i="21"/>
  <c r="MP36" i="21"/>
  <c r="MQ36" i="21"/>
  <c r="MR36" i="21"/>
  <c r="MS36" i="21"/>
  <c r="MU36" i="21"/>
  <c r="MV36" i="21"/>
  <c r="NR36" i="21"/>
  <c r="NS36" i="21"/>
  <c r="NT36" i="21"/>
  <c r="NV36" i="21" s="1"/>
  <c r="NU36" i="21"/>
  <c r="NW36" i="21"/>
  <c r="NX36" i="21"/>
  <c r="OT36" i="21"/>
  <c r="OU36" i="21"/>
  <c r="OV36" i="21"/>
  <c r="OW36" i="21"/>
  <c r="OY36" i="21"/>
  <c r="OZ36" i="21"/>
  <c r="PV36" i="21"/>
  <c r="PW36" i="21"/>
  <c r="PX36" i="21"/>
  <c r="PZ36" i="21" s="1"/>
  <c r="PY36" i="21"/>
  <c r="QA36" i="21"/>
  <c r="QB36" i="21"/>
  <c r="QD36" i="21"/>
  <c r="QE36" i="21"/>
  <c r="QF36" i="21"/>
  <c r="QG36" i="21"/>
  <c r="QH36" i="21"/>
  <c r="QI36" i="21"/>
  <c r="QJ36" i="21"/>
  <c r="QK36" i="21"/>
  <c r="QL36" i="21"/>
  <c r="QM36" i="21"/>
  <c r="QN36" i="21"/>
  <c r="QO36" i="21"/>
  <c r="QP36" i="21"/>
  <c r="QQ36" i="21"/>
  <c r="QR36" i="21"/>
  <c r="QS36" i="21"/>
  <c r="QT36" i="21"/>
  <c r="QU36" i="21"/>
  <c r="QV36" i="21"/>
  <c r="QW36" i="21"/>
  <c r="AP34" i="21"/>
  <c r="AQ34" i="21"/>
  <c r="AR34" i="21"/>
  <c r="AT34" i="21" s="1"/>
  <c r="AS34" i="21"/>
  <c r="AU34" i="21"/>
  <c r="AV34" i="21"/>
  <c r="BS34" i="21"/>
  <c r="BT34" i="21"/>
  <c r="BU34" i="21"/>
  <c r="BV34" i="21"/>
  <c r="BX34" i="21"/>
  <c r="BY34" i="21"/>
  <c r="CV34" i="21"/>
  <c r="CW34" i="21"/>
  <c r="CX34" i="21"/>
  <c r="CZ34" i="21" s="1"/>
  <c r="CY34" i="21"/>
  <c r="DA34" i="21"/>
  <c r="DB34" i="21"/>
  <c r="DZ34" i="21"/>
  <c r="EA34" i="21"/>
  <c r="EB34" i="21"/>
  <c r="EC34" i="21"/>
  <c r="ED34" i="21"/>
  <c r="EE34" i="21"/>
  <c r="EF34" i="21"/>
  <c r="FB34" i="21"/>
  <c r="FC34" i="21"/>
  <c r="FD34" i="21"/>
  <c r="FE34" i="21"/>
  <c r="FG34" i="21"/>
  <c r="FH34" i="21"/>
  <c r="GD34" i="21"/>
  <c r="GE34" i="21"/>
  <c r="GF34" i="21"/>
  <c r="GG34" i="21"/>
  <c r="GH34" i="21"/>
  <c r="GI34" i="21"/>
  <c r="GJ34" i="21"/>
  <c r="HF34" i="21"/>
  <c r="HG34" i="21"/>
  <c r="HH34" i="21"/>
  <c r="HI34" i="21"/>
  <c r="HK34" i="21"/>
  <c r="HL34" i="21"/>
  <c r="IH34" i="21"/>
  <c r="II34" i="21"/>
  <c r="IJ34" i="21"/>
  <c r="IK34" i="21"/>
  <c r="IL34" i="21"/>
  <c r="IM34" i="21"/>
  <c r="IN34" i="21"/>
  <c r="IO34" i="21"/>
  <c r="JJ34" i="21"/>
  <c r="JK34" i="21"/>
  <c r="JL34" i="21"/>
  <c r="JM34" i="21"/>
  <c r="JO34" i="21"/>
  <c r="JP34" i="21"/>
  <c r="JQ34" i="21"/>
  <c r="KL34" i="21"/>
  <c r="KM34" i="21"/>
  <c r="KN34" i="21"/>
  <c r="KO34" i="21"/>
  <c r="KQ34" i="21"/>
  <c r="KR34" i="21"/>
  <c r="LN34" i="21"/>
  <c r="LO34" i="21"/>
  <c r="LU34" i="21" s="1"/>
  <c r="LP34" i="21"/>
  <c r="LQ34" i="21"/>
  <c r="LS34" i="21"/>
  <c r="LT34" i="21"/>
  <c r="MP34" i="21"/>
  <c r="MQ34" i="21"/>
  <c r="MR34" i="21"/>
  <c r="MS34" i="21"/>
  <c r="MU34" i="21"/>
  <c r="MV34" i="21"/>
  <c r="NR34" i="21"/>
  <c r="NS34" i="21"/>
  <c r="NT34" i="21"/>
  <c r="NU34" i="21"/>
  <c r="NW34" i="21"/>
  <c r="NX34" i="21"/>
  <c r="OT34" i="21"/>
  <c r="OU34" i="21"/>
  <c r="OV34" i="21"/>
  <c r="OW34" i="21"/>
  <c r="OY34" i="21"/>
  <c r="OZ34" i="21"/>
  <c r="PV34" i="21"/>
  <c r="PW34" i="21"/>
  <c r="PX34" i="21"/>
  <c r="PY34" i="21"/>
  <c r="QA34" i="21"/>
  <c r="QB34" i="21"/>
  <c r="QD34" i="21"/>
  <c r="QE34" i="21"/>
  <c r="QF34" i="21"/>
  <c r="QG34" i="21"/>
  <c r="QH34" i="21"/>
  <c r="QI34" i="21"/>
  <c r="QJ34" i="21"/>
  <c r="QK34" i="21"/>
  <c r="QL34" i="21"/>
  <c r="QM34" i="21"/>
  <c r="QN34" i="21"/>
  <c r="QO34" i="21"/>
  <c r="QP34" i="21"/>
  <c r="QQ34" i="21"/>
  <c r="QR34" i="21"/>
  <c r="QS34" i="21"/>
  <c r="QT34" i="21"/>
  <c r="QU34" i="21"/>
  <c r="QV34" i="21"/>
  <c r="QW34" i="21"/>
  <c r="AP26" i="21"/>
  <c r="AQ26" i="21"/>
  <c r="AR26" i="21"/>
  <c r="AT26" i="21" s="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DZ26" i="21"/>
  <c r="EA26" i="21"/>
  <c r="EB26" i="21"/>
  <c r="EC26" i="21"/>
  <c r="EE26" i="21"/>
  <c r="EF26" i="21"/>
  <c r="FB26" i="21"/>
  <c r="FC26" i="21"/>
  <c r="FD26" i="21"/>
  <c r="FE26" i="21"/>
  <c r="FG26" i="21"/>
  <c r="FH26" i="21"/>
  <c r="GD26" i="21"/>
  <c r="GE26" i="21"/>
  <c r="GF26" i="21"/>
  <c r="GG26" i="21"/>
  <c r="GI26" i="21"/>
  <c r="GJ26" i="21"/>
  <c r="HF26" i="21"/>
  <c r="HG26" i="21"/>
  <c r="HH26" i="21"/>
  <c r="HI26" i="21"/>
  <c r="HK26" i="21"/>
  <c r="HL26" i="21"/>
  <c r="IH26" i="21"/>
  <c r="II26" i="21"/>
  <c r="IJ26" i="21"/>
  <c r="IK26" i="21"/>
  <c r="IM26" i="21"/>
  <c r="IN26" i="21"/>
  <c r="JJ26" i="21"/>
  <c r="JK26" i="21"/>
  <c r="JL26" i="21"/>
  <c r="JM26" i="21"/>
  <c r="JO26" i="21"/>
  <c r="JP26" i="21"/>
  <c r="JQ26" i="21" s="1"/>
  <c r="KL26" i="21"/>
  <c r="KM26" i="21"/>
  <c r="KN26" i="21"/>
  <c r="KO26" i="21"/>
  <c r="KQ26" i="21"/>
  <c r="KR26" i="21"/>
  <c r="LN26" i="21"/>
  <c r="LO26" i="21"/>
  <c r="LP26" i="21"/>
  <c r="LR26" i="21" s="1"/>
  <c r="LQ26" i="21"/>
  <c r="LS26" i="21"/>
  <c r="LT26" i="21"/>
  <c r="MP26" i="21"/>
  <c r="MQ26" i="21"/>
  <c r="MR26" i="21"/>
  <c r="MS26" i="21"/>
  <c r="MU26" i="21"/>
  <c r="MV26" i="21"/>
  <c r="NR26" i="21"/>
  <c r="NS26" i="21"/>
  <c r="NT26" i="21"/>
  <c r="NV26" i="21" s="1"/>
  <c r="NU26" i="21"/>
  <c r="NW26" i="21"/>
  <c r="NX26" i="21"/>
  <c r="OT26" i="21"/>
  <c r="OU26" i="21"/>
  <c r="OV26" i="21"/>
  <c r="OW26" i="21"/>
  <c r="OY26" i="21"/>
  <c r="OZ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AP25" i="21"/>
  <c r="AQ25" i="21"/>
  <c r="AR25" i="21"/>
  <c r="AS25" i="21"/>
  <c r="AU25" i="21"/>
  <c r="AV25" i="21"/>
  <c r="BS25" i="21"/>
  <c r="BT25" i="21"/>
  <c r="BU25" i="21"/>
  <c r="BV25" i="21"/>
  <c r="BX25" i="21"/>
  <c r="BY25" i="21"/>
  <c r="CV25" i="21"/>
  <c r="CW25" i="21"/>
  <c r="CX25" i="21"/>
  <c r="CY25" i="21"/>
  <c r="DA25" i="21"/>
  <c r="DB25" i="21"/>
  <c r="DZ25" i="21"/>
  <c r="EA25" i="21"/>
  <c r="EB25" i="21"/>
  <c r="EC25" i="21"/>
  <c r="ED25" i="21"/>
  <c r="EE25" i="21"/>
  <c r="EF25" i="21"/>
  <c r="FB25" i="21"/>
  <c r="FC25" i="21"/>
  <c r="FD25" i="21"/>
  <c r="FE25" i="21"/>
  <c r="FG25" i="21"/>
  <c r="FH25" i="21"/>
  <c r="GD25" i="21"/>
  <c r="GE25" i="21"/>
  <c r="GF25" i="21"/>
  <c r="GG25" i="21"/>
  <c r="GH25" i="21"/>
  <c r="GI25" i="21"/>
  <c r="GJ25" i="21"/>
  <c r="HF25" i="21"/>
  <c r="HG25" i="21"/>
  <c r="HH25" i="21"/>
  <c r="HI25" i="21"/>
  <c r="HK25" i="21"/>
  <c r="HL25" i="21"/>
  <c r="IH25" i="21"/>
  <c r="II25" i="21"/>
  <c r="IJ25" i="21"/>
  <c r="IK25" i="21"/>
  <c r="IL25" i="21"/>
  <c r="IM25" i="21"/>
  <c r="IN25" i="21"/>
  <c r="IO25" i="21" s="1"/>
  <c r="JJ25" i="21"/>
  <c r="JK25" i="21"/>
  <c r="JL25" i="21"/>
  <c r="JM25" i="21"/>
  <c r="JO25" i="21"/>
  <c r="JP25" i="21"/>
  <c r="KL25" i="21"/>
  <c r="KM25" i="21"/>
  <c r="KN25" i="21"/>
  <c r="KO25" i="21"/>
  <c r="KP25" i="21"/>
  <c r="KQ25" i="21"/>
  <c r="KR25" i="21"/>
  <c r="LN25" i="21"/>
  <c r="LO25" i="21"/>
  <c r="LP25" i="21"/>
  <c r="LQ25" i="21"/>
  <c r="LS25" i="21"/>
  <c r="LT25" i="21"/>
  <c r="MP25" i="21"/>
  <c r="MQ25" i="21"/>
  <c r="MR25" i="21"/>
  <c r="MS25" i="21"/>
  <c r="MU25" i="21"/>
  <c r="MV25" i="21"/>
  <c r="NR25" i="21"/>
  <c r="NS25" i="21"/>
  <c r="NT25" i="21"/>
  <c r="NU25" i="21"/>
  <c r="NW25" i="21"/>
  <c r="NX25" i="21"/>
  <c r="OT25" i="21"/>
  <c r="OU25" i="21"/>
  <c r="OV25" i="21"/>
  <c r="OW25" i="21"/>
  <c r="OY25" i="21"/>
  <c r="OZ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AP35" i="19"/>
  <c r="AQ35" i="19"/>
  <c r="AR35" i="19"/>
  <c r="AS35" i="19"/>
  <c r="AT35" i="19"/>
  <c r="AU35" i="19"/>
  <c r="AV35" i="19"/>
  <c r="AW35" i="19"/>
  <c r="BS35" i="19"/>
  <c r="BT35" i="19"/>
  <c r="BU35" i="19"/>
  <c r="BV35" i="19"/>
  <c r="BX35" i="19"/>
  <c r="BY35" i="19"/>
  <c r="CV35" i="19"/>
  <c r="CW35" i="19"/>
  <c r="CX35" i="19"/>
  <c r="CY35" i="19"/>
  <c r="CZ35" i="19"/>
  <c r="DA35" i="19"/>
  <c r="DB35" i="19"/>
  <c r="DC35" i="19"/>
  <c r="DZ35" i="19"/>
  <c r="EA35" i="19"/>
  <c r="ED35" i="19" s="1"/>
  <c r="EB35" i="19"/>
  <c r="EC35" i="19"/>
  <c r="EE35" i="19"/>
  <c r="EF35" i="19"/>
  <c r="FB35" i="19"/>
  <c r="FC35" i="19"/>
  <c r="FD35" i="19"/>
  <c r="FE35" i="19"/>
  <c r="FG35" i="19"/>
  <c r="FH35" i="19"/>
  <c r="GD35" i="19"/>
  <c r="GE35" i="19"/>
  <c r="GF35" i="19"/>
  <c r="GG35" i="19"/>
  <c r="GI35" i="19"/>
  <c r="GJ35" i="19"/>
  <c r="HF35" i="19"/>
  <c r="HG35" i="19"/>
  <c r="HH35" i="19"/>
  <c r="HI35" i="19"/>
  <c r="HK35" i="19"/>
  <c r="HL35" i="19"/>
  <c r="IH35" i="19"/>
  <c r="II35" i="19"/>
  <c r="IJ35" i="19"/>
  <c r="IK35" i="19"/>
  <c r="IM35" i="19"/>
  <c r="IN35" i="19"/>
  <c r="JJ35" i="19"/>
  <c r="JK35" i="19"/>
  <c r="JL35" i="19"/>
  <c r="JM35" i="19"/>
  <c r="JN35" i="19"/>
  <c r="JO35" i="19"/>
  <c r="JP35" i="19"/>
  <c r="JQ35" i="19"/>
  <c r="KL35" i="19"/>
  <c r="KM35" i="19"/>
  <c r="KN35" i="19"/>
  <c r="KO35" i="19"/>
  <c r="KQ35" i="19"/>
  <c r="KR35" i="19"/>
  <c r="LN35" i="19"/>
  <c r="LO35" i="19"/>
  <c r="LP35" i="19"/>
  <c r="LQ35" i="19"/>
  <c r="LR35" i="19"/>
  <c r="LS35" i="19"/>
  <c r="LT35" i="19"/>
  <c r="LU35" i="19"/>
  <c r="MP35" i="19"/>
  <c r="MQ35" i="19"/>
  <c r="MR35" i="19"/>
  <c r="MS35" i="19"/>
  <c r="MU35" i="19"/>
  <c r="MV35" i="19"/>
  <c r="NR35" i="19"/>
  <c r="NS35" i="19"/>
  <c r="NT35" i="19"/>
  <c r="NU35" i="19"/>
  <c r="NV35" i="19"/>
  <c r="NW35" i="19"/>
  <c r="NX35" i="19"/>
  <c r="NY35" i="19"/>
  <c r="OT35" i="19"/>
  <c r="OU35" i="19"/>
  <c r="OV35" i="19"/>
  <c r="OW35" i="19"/>
  <c r="OY35" i="19"/>
  <c r="OZ35" i="19"/>
  <c r="PV35" i="19"/>
  <c r="PW35" i="19"/>
  <c r="PX35" i="19"/>
  <c r="PY35" i="19"/>
  <c r="PZ35" i="19"/>
  <c r="QA35" i="19"/>
  <c r="QB35" i="19"/>
  <c r="QC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AP33" i="19"/>
  <c r="AQ33" i="19"/>
  <c r="AR33" i="19"/>
  <c r="AS33" i="19"/>
  <c r="AT33" i="19"/>
  <c r="AU33" i="19"/>
  <c r="AV33" i="19"/>
  <c r="AW33" i="19"/>
  <c r="BS33" i="19"/>
  <c r="BT33" i="19"/>
  <c r="BU33" i="19"/>
  <c r="BV33" i="19"/>
  <c r="BX33" i="19"/>
  <c r="BY33" i="19"/>
  <c r="CV33" i="19"/>
  <c r="CW33" i="19"/>
  <c r="CX33" i="19"/>
  <c r="CZ33" i="19" s="1"/>
  <c r="CY33" i="19"/>
  <c r="DA33" i="19"/>
  <c r="DB33" i="19"/>
  <c r="DC33" i="19"/>
  <c r="DZ33" i="19"/>
  <c r="EA33" i="19"/>
  <c r="EB33" i="19"/>
  <c r="EC33" i="19"/>
  <c r="EE33" i="19"/>
  <c r="EF33" i="19"/>
  <c r="FB33" i="19"/>
  <c r="FC33" i="19"/>
  <c r="FD33" i="19"/>
  <c r="FE33" i="19"/>
  <c r="FG33" i="19"/>
  <c r="FH33" i="19"/>
  <c r="GD33" i="19"/>
  <c r="GE33" i="19"/>
  <c r="GF33" i="19"/>
  <c r="GG33" i="19"/>
  <c r="GI33" i="19"/>
  <c r="GJ33" i="19"/>
  <c r="HF33" i="19"/>
  <c r="HG33" i="19"/>
  <c r="HH33" i="19"/>
  <c r="HI33" i="19"/>
  <c r="HK33" i="19"/>
  <c r="HL33" i="19"/>
  <c r="IH33" i="19"/>
  <c r="II33" i="19"/>
  <c r="IJ33" i="19"/>
  <c r="IK33" i="19"/>
  <c r="IM33" i="19"/>
  <c r="IN33" i="19"/>
  <c r="JJ33" i="19"/>
  <c r="JK33" i="19"/>
  <c r="JL33" i="19"/>
  <c r="JM33" i="19"/>
  <c r="JN33" i="19"/>
  <c r="JO33" i="19"/>
  <c r="JP33" i="19"/>
  <c r="KL33" i="19"/>
  <c r="KM33" i="19"/>
  <c r="KN33" i="19"/>
  <c r="KO33" i="19"/>
  <c r="KQ33" i="19"/>
  <c r="KR33" i="19"/>
  <c r="LN33" i="19"/>
  <c r="LO33" i="19"/>
  <c r="LP33" i="19"/>
  <c r="LQ33" i="19"/>
  <c r="LR33" i="19"/>
  <c r="LS33" i="19"/>
  <c r="LT33" i="19"/>
  <c r="MP33" i="19"/>
  <c r="MQ33" i="19"/>
  <c r="MR33" i="19"/>
  <c r="MS33" i="19"/>
  <c r="MU33" i="19"/>
  <c r="MV33" i="19"/>
  <c r="NR33" i="19"/>
  <c r="NS33" i="19"/>
  <c r="NT33" i="19"/>
  <c r="NU33" i="19"/>
  <c r="NV33" i="19"/>
  <c r="NW33" i="19"/>
  <c r="NX33" i="19"/>
  <c r="OT33" i="19"/>
  <c r="OU33" i="19"/>
  <c r="OV33" i="19"/>
  <c r="OW33" i="19"/>
  <c r="OY33" i="19"/>
  <c r="OZ33" i="19"/>
  <c r="PV33" i="19"/>
  <c r="PW33" i="19"/>
  <c r="PX33" i="19"/>
  <c r="PY33" i="19"/>
  <c r="PZ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AP29" i="19"/>
  <c r="AQ29" i="19"/>
  <c r="AR29" i="19"/>
  <c r="AS29" i="19"/>
  <c r="AT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CZ29" i="19"/>
  <c r="DA29" i="19"/>
  <c r="DB29" i="19"/>
  <c r="DZ29" i="19"/>
  <c r="EA29" i="19"/>
  <c r="EB29" i="19"/>
  <c r="EC29" i="19"/>
  <c r="EE29" i="19"/>
  <c r="EF29" i="19"/>
  <c r="FB29" i="19"/>
  <c r="FC29" i="19"/>
  <c r="FD29" i="19"/>
  <c r="FE29" i="19"/>
  <c r="FG29" i="19"/>
  <c r="FH29" i="19"/>
  <c r="GD29" i="19"/>
  <c r="GE29" i="19"/>
  <c r="GF29" i="19"/>
  <c r="GG29" i="19"/>
  <c r="GI29" i="19"/>
  <c r="GJ29" i="19"/>
  <c r="HF29" i="19"/>
  <c r="HG29" i="19"/>
  <c r="HH29" i="19"/>
  <c r="HI29" i="19"/>
  <c r="HK29" i="19"/>
  <c r="HL29" i="19"/>
  <c r="IH29" i="19"/>
  <c r="II29" i="19"/>
  <c r="IJ29" i="19"/>
  <c r="IL29" i="19" s="1"/>
  <c r="IK29" i="19"/>
  <c r="IM29" i="19"/>
  <c r="IN29" i="19"/>
  <c r="JJ29" i="19"/>
  <c r="JK29" i="19"/>
  <c r="JL29" i="19"/>
  <c r="JM29" i="19"/>
  <c r="JO29" i="19"/>
  <c r="JP29" i="19"/>
  <c r="KL29" i="19"/>
  <c r="KM29" i="19"/>
  <c r="KN29" i="19"/>
  <c r="KO29" i="19"/>
  <c r="KQ29" i="19"/>
  <c r="KR29" i="19"/>
  <c r="LN29" i="19"/>
  <c r="LO29" i="19"/>
  <c r="LP29" i="19"/>
  <c r="LQ29" i="19"/>
  <c r="LS29" i="19"/>
  <c r="LT29" i="19"/>
  <c r="MP29" i="19"/>
  <c r="MQ29" i="19"/>
  <c r="MR29" i="19"/>
  <c r="MS29" i="19"/>
  <c r="MU29" i="19"/>
  <c r="MV29" i="19"/>
  <c r="NR29" i="19"/>
  <c r="NS29" i="19"/>
  <c r="NT29" i="19"/>
  <c r="NU29" i="19"/>
  <c r="NW29" i="19"/>
  <c r="NX29" i="19"/>
  <c r="OT29" i="19"/>
  <c r="OU29" i="19"/>
  <c r="OV29" i="19"/>
  <c r="OW29" i="19"/>
  <c r="OY29" i="19"/>
  <c r="OZ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IL26" i="21" l="1"/>
  <c r="NY34" i="21"/>
  <c r="LU26" i="21"/>
  <c r="GH26" i="21"/>
  <c r="KP26" i="21"/>
  <c r="NY26" i="21"/>
  <c r="CZ25" i="21"/>
  <c r="CZ26" i="21"/>
  <c r="KP34" i="21"/>
  <c r="QC34" i="21"/>
  <c r="AW26" i="21"/>
  <c r="DC26" i="21"/>
  <c r="NV34" i="21"/>
  <c r="LU36" i="21"/>
  <c r="QC36" i="21"/>
  <c r="PZ26" i="21"/>
  <c r="JN36" i="21"/>
  <c r="LR25" i="21"/>
  <c r="NV25" i="21"/>
  <c r="AW34" i="21"/>
  <c r="DC34" i="21"/>
  <c r="LR34" i="21"/>
  <c r="JN34" i="21"/>
  <c r="AT36" i="21"/>
  <c r="PZ25" i="21"/>
  <c r="QY34" i="21"/>
  <c r="ED26" i="21"/>
  <c r="AW25" i="21"/>
  <c r="NY36" i="21"/>
  <c r="PZ34" i="21"/>
  <c r="ED29" i="19"/>
  <c r="JQ33" i="19"/>
  <c r="KP29" i="19"/>
  <c r="NY33" i="19"/>
  <c r="AW29" i="19"/>
  <c r="DC29" i="19"/>
  <c r="LU33" i="19"/>
  <c r="QC33" i="19"/>
  <c r="GH33" i="19"/>
  <c r="KP33" i="19"/>
  <c r="PZ29" i="19"/>
  <c r="GH35" i="19"/>
  <c r="KP35" i="19"/>
  <c r="IL33" i="19"/>
  <c r="GH29" i="19"/>
  <c r="IL35" i="19"/>
  <c r="ED33" i="19"/>
  <c r="IO35" i="19"/>
  <c r="IO33" i="19"/>
  <c r="IO29" i="19"/>
  <c r="L29" i="19"/>
  <c r="M29" i="19" s="1"/>
  <c r="JQ36" i="21"/>
  <c r="JN25" i="21"/>
  <c r="DC25" i="21"/>
  <c r="QC26" i="21"/>
  <c r="L25" i="21"/>
  <c r="M25" i="21" s="1"/>
  <c r="QC25" i="21"/>
  <c r="AT25" i="21"/>
  <c r="NY25" i="21"/>
  <c r="LU25" i="21"/>
  <c r="LR36" i="21"/>
  <c r="JQ25" i="21"/>
  <c r="QY33" i="19"/>
  <c r="RB35" i="19"/>
  <c r="IO26" i="21"/>
  <c r="EG36" i="21"/>
  <c r="EG35" i="19"/>
  <c r="NV29" i="19"/>
  <c r="GK35" i="19"/>
  <c r="QY25" i="21"/>
  <c r="QY36" i="21"/>
  <c r="OX36" i="21"/>
  <c r="MT36" i="21"/>
  <c r="KS36" i="21"/>
  <c r="HJ36" i="21"/>
  <c r="FF36" i="21"/>
  <c r="RE36" i="21"/>
  <c r="BW36" i="21"/>
  <c r="RA36" i="21"/>
  <c r="I36" i="21"/>
  <c r="RB36" i="21"/>
  <c r="QZ36" i="21"/>
  <c r="H36" i="21"/>
  <c r="P36" i="21"/>
  <c r="Q36" i="21" s="1"/>
  <c r="HM36" i="21"/>
  <c r="BZ36" i="21"/>
  <c r="RD36" i="21"/>
  <c r="N36" i="21"/>
  <c r="L36" i="21"/>
  <c r="PA36" i="21"/>
  <c r="MW36" i="21"/>
  <c r="FI36" i="21"/>
  <c r="RD34" i="21"/>
  <c r="JN26" i="21"/>
  <c r="GK34" i="21"/>
  <c r="EG34" i="21"/>
  <c r="OX34" i="21"/>
  <c r="MT34" i="21"/>
  <c r="KS34" i="21"/>
  <c r="HM34" i="21"/>
  <c r="FF34" i="21"/>
  <c r="QZ34" i="21"/>
  <c r="RA34" i="21"/>
  <c r="I34" i="21"/>
  <c r="BW34" i="21"/>
  <c r="RB34" i="21"/>
  <c r="H34" i="21"/>
  <c r="P34" i="21"/>
  <c r="Q34" i="21" s="1"/>
  <c r="RE34" i="21"/>
  <c r="N34" i="21"/>
  <c r="BZ34" i="21"/>
  <c r="L34" i="21"/>
  <c r="PA34" i="21"/>
  <c r="HJ34" i="21"/>
  <c r="MW34" i="21"/>
  <c r="FI34" i="21"/>
  <c r="EG26" i="21"/>
  <c r="GK26" i="21"/>
  <c r="QY26" i="21"/>
  <c r="RD26" i="21"/>
  <c r="HJ26" i="21"/>
  <c r="OX26" i="21"/>
  <c r="MT26" i="21"/>
  <c r="KS26" i="21"/>
  <c r="FF26" i="21"/>
  <c r="QZ26" i="21"/>
  <c r="BW26" i="21"/>
  <c r="RB26" i="21"/>
  <c r="RA26" i="21"/>
  <c r="RE26" i="21"/>
  <c r="I26" i="21"/>
  <c r="H26" i="21"/>
  <c r="P26" i="21"/>
  <c r="Q26" i="21" s="1"/>
  <c r="BZ26" i="21"/>
  <c r="N26" i="21"/>
  <c r="L26" i="21"/>
  <c r="HM26" i="21"/>
  <c r="PA26" i="21"/>
  <c r="MW26" i="21"/>
  <c r="FI26" i="21"/>
  <c r="PA25" i="21"/>
  <c r="GK25" i="21"/>
  <c r="EG25" i="21"/>
  <c r="RD25" i="21"/>
  <c r="MT25" i="21"/>
  <c r="KS25" i="21"/>
  <c r="HJ25" i="21"/>
  <c r="FF25" i="21"/>
  <c r="QZ25" i="21"/>
  <c r="I25" i="21"/>
  <c r="RB25" i="21"/>
  <c r="RA25" i="21"/>
  <c r="H25" i="21"/>
  <c r="P25" i="21"/>
  <c r="Q25" i="21" s="1"/>
  <c r="RE25" i="21"/>
  <c r="HM25" i="21"/>
  <c r="FI25" i="21"/>
  <c r="OX25" i="21"/>
  <c r="BW25" i="21"/>
  <c r="N25" i="21"/>
  <c r="BZ25" i="21"/>
  <c r="MW25" i="21"/>
  <c r="OX35" i="19"/>
  <c r="MT35" i="19"/>
  <c r="KS35" i="19"/>
  <c r="HJ35" i="19"/>
  <c r="FF35" i="19"/>
  <c r="QZ35" i="19"/>
  <c r="RE35" i="19"/>
  <c r="QY35" i="19"/>
  <c r="BZ35" i="19"/>
  <c r="RA35" i="19"/>
  <c r="I35" i="19"/>
  <c r="H35" i="19"/>
  <c r="P35" i="19"/>
  <c r="Q35" i="19" s="1"/>
  <c r="RD35" i="19"/>
  <c r="N35" i="19"/>
  <c r="PA35" i="19"/>
  <c r="HM35" i="19"/>
  <c r="BW35" i="19"/>
  <c r="L35" i="19"/>
  <c r="MW35" i="19"/>
  <c r="FI35" i="19"/>
  <c r="RD33" i="19"/>
  <c r="EG33" i="19"/>
  <c r="GK33" i="19"/>
  <c r="JN29" i="19"/>
  <c r="OX33" i="19"/>
  <c r="MT33" i="19"/>
  <c r="KS33" i="19"/>
  <c r="HJ33" i="19"/>
  <c r="FF33" i="19"/>
  <c r="QZ33" i="19"/>
  <c r="I33" i="19"/>
  <c r="BW33" i="19"/>
  <c r="RA33" i="19"/>
  <c r="RB33" i="19"/>
  <c r="H33" i="19"/>
  <c r="P33" i="19"/>
  <c r="Q33" i="19" s="1"/>
  <c r="L33" i="19"/>
  <c r="RE33" i="19"/>
  <c r="N33" i="19"/>
  <c r="PA33" i="19"/>
  <c r="HM33" i="19"/>
  <c r="BZ33" i="19"/>
  <c r="MW33" i="19"/>
  <c r="FI33" i="19"/>
  <c r="LU29" i="19"/>
  <c r="NY29" i="19"/>
  <c r="QC29" i="19"/>
  <c r="EG29" i="19"/>
  <c r="GK29" i="19"/>
  <c r="QY29" i="19"/>
  <c r="RD29" i="19"/>
  <c r="OX29" i="19"/>
  <c r="MT29" i="19"/>
  <c r="LR29" i="19"/>
  <c r="KS29" i="19"/>
  <c r="JQ29" i="19"/>
  <c r="HJ29" i="19"/>
  <c r="FF29" i="19"/>
  <c r="QZ29" i="19"/>
  <c r="I29" i="19"/>
  <c r="RA29" i="19"/>
  <c r="RB29" i="19"/>
  <c r="H29" i="19"/>
  <c r="P29" i="19"/>
  <c r="Q29" i="19" s="1"/>
  <c r="RE29" i="19"/>
  <c r="FI29" i="19"/>
  <c r="N29" i="19"/>
  <c r="PA29" i="19"/>
  <c r="HM29" i="19"/>
  <c r="BZ29" i="19"/>
  <c r="BW29" i="19"/>
  <c r="MW29" i="19"/>
  <c r="OZ32" i="19"/>
  <c r="OY32" i="19"/>
  <c r="OW32" i="19"/>
  <c r="OV32" i="19"/>
  <c r="OU32" i="19"/>
  <c r="OT32" i="19"/>
  <c r="OZ37" i="19"/>
  <c r="OY37" i="19"/>
  <c r="OW37" i="19"/>
  <c r="OV37" i="19"/>
  <c r="OU37" i="19"/>
  <c r="OT37" i="19"/>
  <c r="OZ38" i="19"/>
  <c r="OY38" i="19"/>
  <c r="OW38" i="19"/>
  <c r="OV38" i="19"/>
  <c r="OU38" i="19"/>
  <c r="OT38" i="19"/>
  <c r="OZ30" i="19"/>
  <c r="OY30" i="19"/>
  <c r="OW30" i="19"/>
  <c r="OV30" i="19"/>
  <c r="OU30" i="19"/>
  <c r="OT30" i="19"/>
  <c r="OZ36" i="19"/>
  <c r="OY36" i="19"/>
  <c r="OW36" i="19"/>
  <c r="OV36" i="19"/>
  <c r="OU36" i="19"/>
  <c r="OT36" i="19"/>
  <c r="OZ26" i="19"/>
  <c r="OY26" i="19"/>
  <c r="OW26" i="19"/>
  <c r="OV26" i="19"/>
  <c r="OU26" i="19"/>
  <c r="OT26" i="19"/>
  <c r="OZ25" i="19"/>
  <c r="OY25" i="19"/>
  <c r="OW25" i="19"/>
  <c r="OV25" i="19"/>
  <c r="OU25" i="19"/>
  <c r="OT25" i="19"/>
  <c r="OZ24" i="19"/>
  <c r="OY24" i="19"/>
  <c r="OW24" i="19"/>
  <c r="OV24" i="19"/>
  <c r="OU24" i="19"/>
  <c r="OT24" i="19"/>
  <c r="OZ27" i="19"/>
  <c r="OY27" i="19"/>
  <c r="OW27" i="19"/>
  <c r="OV27" i="19"/>
  <c r="OU27" i="19"/>
  <c r="OT27" i="19"/>
  <c r="OZ28" i="19"/>
  <c r="OY28" i="19"/>
  <c r="OW28" i="19"/>
  <c r="OV28" i="19"/>
  <c r="OU28" i="19"/>
  <c r="OT28" i="19"/>
  <c r="OZ23" i="19"/>
  <c r="OY23" i="19"/>
  <c r="OW23" i="19"/>
  <c r="OV23" i="19"/>
  <c r="OU23" i="19"/>
  <c r="OT23" i="19"/>
  <c r="OZ20" i="19"/>
  <c r="OY20" i="19"/>
  <c r="OW20" i="19"/>
  <c r="OV20" i="19"/>
  <c r="OU20" i="19"/>
  <c r="OT20" i="19"/>
  <c r="OZ22" i="19"/>
  <c r="OY22" i="19"/>
  <c r="OW22" i="19"/>
  <c r="OV22" i="19"/>
  <c r="OU22" i="19"/>
  <c r="OT22" i="19"/>
  <c r="OZ34" i="19"/>
  <c r="OY34" i="19"/>
  <c r="OW34" i="19"/>
  <c r="OV34" i="19"/>
  <c r="OU34" i="19"/>
  <c r="OT34" i="19"/>
  <c r="OZ31" i="19"/>
  <c r="OY31" i="19"/>
  <c r="OW31" i="19"/>
  <c r="OV31" i="19"/>
  <c r="OU31" i="19"/>
  <c r="OT31" i="19"/>
  <c r="OZ9" i="19"/>
  <c r="OY9" i="19"/>
  <c r="OW9" i="19"/>
  <c r="OV9" i="19"/>
  <c r="OU9" i="19"/>
  <c r="OT9" i="19"/>
  <c r="OZ19" i="19"/>
  <c r="OY19" i="19"/>
  <c r="OW19" i="19"/>
  <c r="OV19" i="19"/>
  <c r="OU19" i="19"/>
  <c r="OT19" i="19"/>
  <c r="OZ18" i="19"/>
  <c r="OY18" i="19"/>
  <c r="OW18" i="19"/>
  <c r="OV18" i="19"/>
  <c r="OU18" i="19"/>
  <c r="OT18" i="19"/>
  <c r="OZ16" i="19"/>
  <c r="OY16" i="19"/>
  <c r="OW16" i="19"/>
  <c r="OV16" i="19"/>
  <c r="OU16" i="19"/>
  <c r="OT16" i="19"/>
  <c r="OZ17" i="19"/>
  <c r="OY17" i="19"/>
  <c r="OW17" i="19"/>
  <c r="OV17" i="19"/>
  <c r="OU17" i="19"/>
  <c r="OT17" i="19"/>
  <c r="OZ13" i="19"/>
  <c r="OY13" i="19"/>
  <c r="OW13" i="19"/>
  <c r="OV13" i="19"/>
  <c r="OU13" i="19"/>
  <c r="OT13" i="19"/>
  <c r="OZ15" i="19"/>
  <c r="OY15" i="19"/>
  <c r="OW15" i="19"/>
  <c r="OV15" i="19"/>
  <c r="OU15" i="19"/>
  <c r="OT15" i="19"/>
  <c r="OZ11" i="19"/>
  <c r="OY11" i="19"/>
  <c r="OW11" i="19"/>
  <c r="OV11" i="19"/>
  <c r="OU11" i="19"/>
  <c r="OT11" i="19"/>
  <c r="OZ12" i="19"/>
  <c r="OY12" i="19"/>
  <c r="OW12" i="19"/>
  <c r="OV12" i="19"/>
  <c r="OU12" i="19"/>
  <c r="OT12" i="19"/>
  <c r="OZ21" i="19"/>
  <c r="OY21" i="19"/>
  <c r="OW21" i="19"/>
  <c r="OV21" i="19"/>
  <c r="OU21" i="19"/>
  <c r="OT21" i="19"/>
  <c r="OZ6" i="19"/>
  <c r="OY6" i="19"/>
  <c r="OW6" i="19"/>
  <c r="OV6" i="19"/>
  <c r="OU6" i="19"/>
  <c r="OT6" i="19"/>
  <c r="OZ10" i="19"/>
  <c r="OY10" i="19"/>
  <c r="OW10" i="19"/>
  <c r="OV10" i="19"/>
  <c r="OU10" i="19"/>
  <c r="OT10" i="19"/>
  <c r="OZ8" i="19"/>
  <c r="OY8" i="19"/>
  <c r="OW8" i="19"/>
  <c r="OV8" i="19"/>
  <c r="OU8" i="19"/>
  <c r="OT8" i="19"/>
  <c r="OZ7" i="19"/>
  <c r="OY7" i="19"/>
  <c r="OW7" i="19"/>
  <c r="OV7" i="19"/>
  <c r="OU7" i="19"/>
  <c r="OT7" i="19"/>
  <c r="OZ5" i="19"/>
  <c r="OY5" i="19"/>
  <c r="OW5" i="19"/>
  <c r="OV5" i="19"/>
  <c r="OU5" i="19"/>
  <c r="OT5" i="19"/>
  <c r="OZ14" i="19"/>
  <c r="OY14" i="19"/>
  <c r="OW14" i="19"/>
  <c r="OV14" i="19"/>
  <c r="OU14" i="19"/>
  <c r="OT14" i="19"/>
  <c r="OZ4" i="19"/>
  <c r="OY4" i="19"/>
  <c r="OW4" i="19"/>
  <c r="OV4" i="19"/>
  <c r="OU4" i="19"/>
  <c r="OT4" i="19"/>
  <c r="NX32" i="19"/>
  <c r="NW32" i="19"/>
  <c r="NU32" i="19"/>
  <c r="NT32" i="19"/>
  <c r="NS32" i="19"/>
  <c r="NR32" i="19"/>
  <c r="NX37" i="19"/>
  <c r="NW37" i="19"/>
  <c r="NU37" i="19"/>
  <c r="NT37" i="19"/>
  <c r="NS37" i="19"/>
  <c r="NV37" i="19" s="1"/>
  <c r="NR37" i="19"/>
  <c r="NX38" i="19"/>
  <c r="NW38" i="19"/>
  <c r="NU38" i="19"/>
  <c r="NT38" i="19"/>
  <c r="NS38" i="19"/>
  <c r="NR38" i="19"/>
  <c r="NX30" i="19"/>
  <c r="NW30" i="19"/>
  <c r="NU30" i="19"/>
  <c r="NT30" i="19"/>
  <c r="NS30" i="19"/>
  <c r="NR30" i="19"/>
  <c r="NX36" i="19"/>
  <c r="NW36" i="19"/>
  <c r="NU36" i="19"/>
  <c r="NT36" i="19"/>
  <c r="NS36" i="19"/>
  <c r="NR36" i="19"/>
  <c r="NX26" i="19"/>
  <c r="NW26" i="19"/>
  <c r="NU26" i="19"/>
  <c r="NT26" i="19"/>
  <c r="NS26" i="19"/>
  <c r="NR26" i="19"/>
  <c r="NX25" i="19"/>
  <c r="NW25" i="19"/>
  <c r="NU25" i="19"/>
  <c r="NT25" i="19"/>
  <c r="NS25" i="19"/>
  <c r="NR25" i="19"/>
  <c r="NX24" i="19"/>
  <c r="NW24" i="19"/>
  <c r="NU24" i="19"/>
  <c r="NT24" i="19"/>
  <c r="NS24" i="19"/>
  <c r="NR24" i="19"/>
  <c r="NX27" i="19"/>
  <c r="NW27" i="19"/>
  <c r="NU27" i="19"/>
  <c r="NT27" i="19"/>
  <c r="NS27" i="19"/>
  <c r="NR27" i="19"/>
  <c r="NX28" i="19"/>
  <c r="NW28" i="19"/>
  <c r="NU28" i="19"/>
  <c r="NT28" i="19"/>
  <c r="NS28" i="19"/>
  <c r="NR28" i="19"/>
  <c r="NX23" i="19"/>
  <c r="NW23" i="19"/>
  <c r="NU23" i="19"/>
  <c r="NT23" i="19"/>
  <c r="NS23" i="19"/>
  <c r="NR23" i="19"/>
  <c r="NX20" i="19"/>
  <c r="NW20" i="19"/>
  <c r="NU20" i="19"/>
  <c r="NT20" i="19"/>
  <c r="NS20" i="19"/>
  <c r="NR20" i="19"/>
  <c r="NX22" i="19"/>
  <c r="NW22" i="19"/>
  <c r="NU22" i="19"/>
  <c r="NT22" i="19"/>
  <c r="NS22" i="19"/>
  <c r="NR22" i="19"/>
  <c r="NX34" i="19"/>
  <c r="NW34" i="19"/>
  <c r="NU34" i="19"/>
  <c r="NT34" i="19"/>
  <c r="NS34" i="19"/>
  <c r="NR34" i="19"/>
  <c r="NX31" i="19"/>
  <c r="NW31" i="19"/>
  <c r="NU31" i="19"/>
  <c r="NT31" i="19"/>
  <c r="NS31" i="19"/>
  <c r="NR31" i="19"/>
  <c r="NX9" i="19"/>
  <c r="NW9" i="19"/>
  <c r="NU9" i="19"/>
  <c r="NT9" i="19"/>
  <c r="NS9" i="19"/>
  <c r="NR9" i="19"/>
  <c r="NX19" i="19"/>
  <c r="NW19" i="19"/>
  <c r="NU19" i="19"/>
  <c r="NT19" i="19"/>
  <c r="NS19" i="19"/>
  <c r="NR19" i="19"/>
  <c r="NX18" i="19"/>
  <c r="NW18" i="19"/>
  <c r="NU18" i="19"/>
  <c r="NT18" i="19"/>
  <c r="NS18" i="19"/>
  <c r="NR18" i="19"/>
  <c r="NX16" i="19"/>
  <c r="NW16" i="19"/>
  <c r="NU16" i="19"/>
  <c r="NT16" i="19"/>
  <c r="NS16" i="19"/>
  <c r="NR16" i="19"/>
  <c r="NX17" i="19"/>
  <c r="NW17" i="19"/>
  <c r="NU17" i="19"/>
  <c r="NT17" i="19"/>
  <c r="NS17" i="19"/>
  <c r="NR17" i="19"/>
  <c r="NX13" i="19"/>
  <c r="NW13" i="19"/>
  <c r="NU13" i="19"/>
  <c r="NT13" i="19"/>
  <c r="NS13" i="19"/>
  <c r="NR13" i="19"/>
  <c r="NX15" i="19"/>
  <c r="NW15" i="19"/>
  <c r="NU15" i="19"/>
  <c r="NT15" i="19"/>
  <c r="NS15" i="19"/>
  <c r="NR15" i="19"/>
  <c r="NX11" i="19"/>
  <c r="NW11" i="19"/>
  <c r="NU11" i="19"/>
  <c r="NT11" i="19"/>
  <c r="NS11" i="19"/>
  <c r="NR11" i="19"/>
  <c r="NX12" i="19"/>
  <c r="NW12" i="19"/>
  <c r="NU12" i="19"/>
  <c r="NT12" i="19"/>
  <c r="NS12" i="19"/>
  <c r="NR12" i="19"/>
  <c r="NX21" i="19"/>
  <c r="NW21" i="19"/>
  <c r="NU21" i="19"/>
  <c r="NT21" i="19"/>
  <c r="NS21" i="19"/>
  <c r="NR21" i="19"/>
  <c r="NX6" i="19"/>
  <c r="NW6" i="19"/>
  <c r="NU6" i="19"/>
  <c r="NT6" i="19"/>
  <c r="NS6" i="19"/>
  <c r="NR6" i="19"/>
  <c r="NX10" i="19"/>
  <c r="NW10" i="19"/>
  <c r="NU10" i="19"/>
  <c r="NT10" i="19"/>
  <c r="NS10" i="19"/>
  <c r="NR10" i="19"/>
  <c r="NX8" i="19"/>
  <c r="NW8" i="19"/>
  <c r="NU8" i="19"/>
  <c r="NT8" i="19"/>
  <c r="NS8" i="19"/>
  <c r="NR8" i="19"/>
  <c r="NX7" i="19"/>
  <c r="NW7" i="19"/>
  <c r="NU7" i="19"/>
  <c r="NT7" i="19"/>
  <c r="NS7" i="19"/>
  <c r="NR7" i="19"/>
  <c r="NX5" i="19"/>
  <c r="NW5" i="19"/>
  <c r="NU5" i="19"/>
  <c r="NT5" i="19"/>
  <c r="NS5" i="19"/>
  <c r="NR5" i="19"/>
  <c r="NX14" i="19"/>
  <c r="NW14" i="19"/>
  <c r="NU14" i="19"/>
  <c r="NT14" i="19"/>
  <c r="NS14" i="19"/>
  <c r="NR14" i="19"/>
  <c r="NX4" i="19"/>
  <c r="NW4" i="19"/>
  <c r="NU4" i="19"/>
  <c r="NT4" i="19"/>
  <c r="NS4" i="19"/>
  <c r="NR4" i="19"/>
  <c r="MV32" i="19"/>
  <c r="MU32" i="19"/>
  <c r="MS32" i="19"/>
  <c r="MR32" i="19"/>
  <c r="MQ32" i="19"/>
  <c r="MP32" i="19"/>
  <c r="MV37" i="19"/>
  <c r="MU37" i="19"/>
  <c r="MS37" i="19"/>
  <c r="MR37" i="19"/>
  <c r="MQ37" i="19"/>
  <c r="MP37" i="19"/>
  <c r="MV38" i="19"/>
  <c r="MU38" i="19"/>
  <c r="MS38" i="19"/>
  <c r="MR38" i="19"/>
  <c r="MQ38" i="19"/>
  <c r="MP38" i="19"/>
  <c r="MV30" i="19"/>
  <c r="MU30" i="19"/>
  <c r="MS30" i="19"/>
  <c r="MR30" i="19"/>
  <c r="MQ30" i="19"/>
  <c r="MP30" i="19"/>
  <c r="MV36" i="19"/>
  <c r="MU36" i="19"/>
  <c r="MS36" i="19"/>
  <c r="MR36" i="19"/>
  <c r="MQ36" i="19"/>
  <c r="MP36" i="19"/>
  <c r="MV26" i="19"/>
  <c r="MU26" i="19"/>
  <c r="MS26" i="19"/>
  <c r="MR26" i="19"/>
  <c r="MQ26" i="19"/>
  <c r="MP26" i="19"/>
  <c r="MV25" i="19"/>
  <c r="MU25" i="19"/>
  <c r="MS25" i="19"/>
  <c r="MR25" i="19"/>
  <c r="MQ25" i="19"/>
  <c r="MP25" i="19"/>
  <c r="MV24" i="19"/>
  <c r="MU24" i="19"/>
  <c r="MS24" i="19"/>
  <c r="MR24" i="19"/>
  <c r="MQ24" i="19"/>
  <c r="MP24" i="19"/>
  <c r="MV27" i="19"/>
  <c r="MU27" i="19"/>
  <c r="MS27" i="19"/>
  <c r="MR27" i="19"/>
  <c r="MQ27" i="19"/>
  <c r="MP27" i="19"/>
  <c r="MV28" i="19"/>
  <c r="MU28" i="19"/>
  <c r="MS28" i="19"/>
  <c r="MR28" i="19"/>
  <c r="MQ28" i="19"/>
  <c r="MP28" i="19"/>
  <c r="MV23" i="19"/>
  <c r="MU23" i="19"/>
  <c r="MS23" i="19"/>
  <c r="MR23" i="19"/>
  <c r="MQ23" i="19"/>
  <c r="MP23" i="19"/>
  <c r="MV20" i="19"/>
  <c r="MU20" i="19"/>
  <c r="MS20" i="19"/>
  <c r="MR20" i="19"/>
  <c r="MQ20" i="19"/>
  <c r="MP20" i="19"/>
  <c r="MV22" i="19"/>
  <c r="MU22" i="19"/>
  <c r="MS22" i="19"/>
  <c r="MR22" i="19"/>
  <c r="MQ22" i="19"/>
  <c r="MP22" i="19"/>
  <c r="MV34" i="19"/>
  <c r="MU34" i="19"/>
  <c r="MS34" i="19"/>
  <c r="MR34" i="19"/>
  <c r="MQ34" i="19"/>
  <c r="MP34" i="19"/>
  <c r="MV31" i="19"/>
  <c r="MU31" i="19"/>
  <c r="MS31" i="19"/>
  <c r="MR31" i="19"/>
  <c r="MQ31" i="19"/>
  <c r="MP31" i="19"/>
  <c r="MV9" i="19"/>
  <c r="MU9" i="19"/>
  <c r="MS9" i="19"/>
  <c r="MR9" i="19"/>
  <c r="MQ9" i="19"/>
  <c r="MP9" i="19"/>
  <c r="MV19" i="19"/>
  <c r="MU19" i="19"/>
  <c r="MS19" i="19"/>
  <c r="MR19" i="19"/>
  <c r="MQ19" i="19"/>
  <c r="MP19" i="19"/>
  <c r="MV18" i="19"/>
  <c r="MU18" i="19"/>
  <c r="MS18" i="19"/>
  <c r="MR18" i="19"/>
  <c r="MQ18" i="19"/>
  <c r="MP18" i="19"/>
  <c r="MV16" i="19"/>
  <c r="MU16" i="19"/>
  <c r="MS16" i="19"/>
  <c r="MR16" i="19"/>
  <c r="MQ16" i="19"/>
  <c r="MP16" i="19"/>
  <c r="MV17" i="19"/>
  <c r="MU17" i="19"/>
  <c r="MS17" i="19"/>
  <c r="MR17" i="19"/>
  <c r="MQ17" i="19"/>
  <c r="MP17" i="19"/>
  <c r="MV13" i="19"/>
  <c r="MU13" i="19"/>
  <c r="MS13" i="19"/>
  <c r="MR13" i="19"/>
  <c r="MQ13" i="19"/>
  <c r="MP13" i="19"/>
  <c r="MV15" i="19"/>
  <c r="MU15" i="19"/>
  <c r="MS15" i="19"/>
  <c r="MR15" i="19"/>
  <c r="MQ15" i="19"/>
  <c r="MP15" i="19"/>
  <c r="MV11" i="19"/>
  <c r="MU11" i="19"/>
  <c r="MS11" i="19"/>
  <c r="MR11" i="19"/>
  <c r="MQ11" i="19"/>
  <c r="MP11" i="19"/>
  <c r="MV12" i="19"/>
  <c r="MU12" i="19"/>
  <c r="MS12" i="19"/>
  <c r="MR12" i="19"/>
  <c r="MQ12" i="19"/>
  <c r="MP12" i="19"/>
  <c r="MV21" i="19"/>
  <c r="MU21" i="19"/>
  <c r="MS21" i="19"/>
  <c r="MR21" i="19"/>
  <c r="MQ21" i="19"/>
  <c r="MP21" i="19"/>
  <c r="MV6" i="19"/>
  <c r="MU6" i="19"/>
  <c r="MS6" i="19"/>
  <c r="MR6" i="19"/>
  <c r="MQ6" i="19"/>
  <c r="MP6" i="19"/>
  <c r="MV10" i="19"/>
  <c r="MU10" i="19"/>
  <c r="MS10" i="19"/>
  <c r="MR10" i="19"/>
  <c r="MQ10" i="19"/>
  <c r="MP10" i="19"/>
  <c r="MV8" i="19"/>
  <c r="MU8" i="19"/>
  <c r="MS8" i="19"/>
  <c r="MR8" i="19"/>
  <c r="MQ8" i="19"/>
  <c r="MP8" i="19"/>
  <c r="MV7" i="19"/>
  <c r="MU7" i="19"/>
  <c r="MS7" i="19"/>
  <c r="MR7" i="19"/>
  <c r="MQ7" i="19"/>
  <c r="MP7" i="19"/>
  <c r="MV5" i="19"/>
  <c r="MU5" i="19"/>
  <c r="MS5" i="19"/>
  <c r="MR5" i="19"/>
  <c r="MQ5" i="19"/>
  <c r="MP5" i="19"/>
  <c r="MV14" i="19"/>
  <c r="MU14" i="19"/>
  <c r="MS14" i="19"/>
  <c r="MR14" i="19"/>
  <c r="MQ14" i="19"/>
  <c r="MP14" i="19"/>
  <c r="MV4" i="19"/>
  <c r="MU4" i="19"/>
  <c r="MS4" i="19"/>
  <c r="MR4" i="19"/>
  <c r="MQ4" i="19"/>
  <c r="MP4" i="19"/>
  <c r="LT32" i="19"/>
  <c r="LS32" i="19"/>
  <c r="LQ32" i="19"/>
  <c r="LP32" i="19"/>
  <c r="LO32" i="19"/>
  <c r="LN32" i="19"/>
  <c r="LT37" i="19"/>
  <c r="LS37" i="19"/>
  <c r="LQ37" i="19"/>
  <c r="LP37" i="19"/>
  <c r="LO37" i="19"/>
  <c r="LN37" i="19"/>
  <c r="LT38" i="19"/>
  <c r="LS38" i="19"/>
  <c r="LQ38" i="19"/>
  <c r="LP38" i="19"/>
  <c r="LO38" i="19"/>
  <c r="LN38" i="19"/>
  <c r="LT30" i="19"/>
  <c r="LS30" i="19"/>
  <c r="LQ30" i="19"/>
  <c r="LP30" i="19"/>
  <c r="LO30" i="19"/>
  <c r="LN30" i="19"/>
  <c r="LT36" i="19"/>
  <c r="LS36" i="19"/>
  <c r="LQ36" i="19"/>
  <c r="LP36" i="19"/>
  <c r="LO36" i="19"/>
  <c r="LN36" i="19"/>
  <c r="LT26" i="19"/>
  <c r="LS26" i="19"/>
  <c r="LQ26" i="19"/>
  <c r="LP26" i="19"/>
  <c r="LO26" i="19"/>
  <c r="LN26" i="19"/>
  <c r="LT25" i="19"/>
  <c r="LS25" i="19"/>
  <c r="LQ25" i="19"/>
  <c r="LP25" i="19"/>
  <c r="LO25" i="19"/>
  <c r="LN25" i="19"/>
  <c r="LT24" i="19"/>
  <c r="LS24" i="19"/>
  <c r="LQ24" i="19"/>
  <c r="LP24" i="19"/>
  <c r="LO24" i="19"/>
  <c r="LN24" i="19"/>
  <c r="LT27" i="19"/>
  <c r="LS27" i="19"/>
  <c r="LQ27" i="19"/>
  <c r="LP27" i="19"/>
  <c r="LO27" i="19"/>
  <c r="LN27" i="19"/>
  <c r="LT28" i="19"/>
  <c r="LS28" i="19"/>
  <c r="LQ28" i="19"/>
  <c r="LP28" i="19"/>
  <c r="LO28" i="19"/>
  <c r="LN28" i="19"/>
  <c r="LT23" i="19"/>
  <c r="LS23" i="19"/>
  <c r="LQ23" i="19"/>
  <c r="LP23" i="19"/>
  <c r="LO23" i="19"/>
  <c r="LN23" i="19"/>
  <c r="LT20" i="19"/>
  <c r="LS20" i="19"/>
  <c r="LQ20" i="19"/>
  <c r="LP20" i="19"/>
  <c r="LO20" i="19"/>
  <c r="LN20" i="19"/>
  <c r="LT22" i="19"/>
  <c r="LS22" i="19"/>
  <c r="LQ22" i="19"/>
  <c r="LP22" i="19"/>
  <c r="LO22" i="19"/>
  <c r="LN22" i="19"/>
  <c r="LT34" i="19"/>
  <c r="LS34" i="19"/>
  <c r="LQ34" i="19"/>
  <c r="LP34" i="19"/>
  <c r="LO34" i="19"/>
  <c r="LN34" i="19"/>
  <c r="LT31" i="19"/>
  <c r="LS31" i="19"/>
  <c r="LQ31" i="19"/>
  <c r="LP31" i="19"/>
  <c r="LO31" i="19"/>
  <c r="LN31" i="19"/>
  <c r="LT9" i="19"/>
  <c r="LS9" i="19"/>
  <c r="LQ9" i="19"/>
  <c r="LP9" i="19"/>
  <c r="LO9" i="19"/>
  <c r="LN9" i="19"/>
  <c r="LT19" i="19"/>
  <c r="LS19" i="19"/>
  <c r="LQ19" i="19"/>
  <c r="LP19" i="19"/>
  <c r="LO19" i="19"/>
  <c r="LN19" i="19"/>
  <c r="LT18" i="19"/>
  <c r="LS18" i="19"/>
  <c r="LQ18" i="19"/>
  <c r="LP18" i="19"/>
  <c r="LO18" i="19"/>
  <c r="LN18" i="19"/>
  <c r="LT16" i="19"/>
  <c r="LS16" i="19"/>
  <c r="LQ16" i="19"/>
  <c r="LP16" i="19"/>
  <c r="LO16" i="19"/>
  <c r="LN16" i="19"/>
  <c r="LT17" i="19"/>
  <c r="LS17" i="19"/>
  <c r="LQ17" i="19"/>
  <c r="LP17" i="19"/>
  <c r="LO17" i="19"/>
  <c r="LN17" i="19"/>
  <c r="LT13" i="19"/>
  <c r="LS13" i="19"/>
  <c r="LQ13" i="19"/>
  <c r="LP13" i="19"/>
  <c r="LO13" i="19"/>
  <c r="LN13" i="19"/>
  <c r="LT15" i="19"/>
  <c r="LS15" i="19"/>
  <c r="LQ15" i="19"/>
  <c r="LP15" i="19"/>
  <c r="LO15" i="19"/>
  <c r="LN15" i="19"/>
  <c r="LT11" i="19"/>
  <c r="LS11" i="19"/>
  <c r="LQ11" i="19"/>
  <c r="LP11" i="19"/>
  <c r="LO11" i="19"/>
  <c r="LN11" i="19"/>
  <c r="LT12" i="19"/>
  <c r="LS12" i="19"/>
  <c r="LQ12" i="19"/>
  <c r="LP12" i="19"/>
  <c r="LO12" i="19"/>
  <c r="LN12" i="19"/>
  <c r="LT21" i="19"/>
  <c r="LS21" i="19"/>
  <c r="LQ21" i="19"/>
  <c r="LP21" i="19"/>
  <c r="LO21" i="19"/>
  <c r="LN21" i="19"/>
  <c r="LT6" i="19"/>
  <c r="LS6" i="19"/>
  <c r="LQ6" i="19"/>
  <c r="LP6" i="19"/>
  <c r="LO6" i="19"/>
  <c r="LN6" i="19"/>
  <c r="LT10" i="19"/>
  <c r="LS10" i="19"/>
  <c r="LQ10" i="19"/>
  <c r="LP10" i="19"/>
  <c r="LO10" i="19"/>
  <c r="LN10" i="19"/>
  <c r="LT8" i="19"/>
  <c r="LS8" i="19"/>
  <c r="LQ8" i="19"/>
  <c r="LP8" i="19"/>
  <c r="LO8" i="19"/>
  <c r="LN8" i="19"/>
  <c r="LT7" i="19"/>
  <c r="LS7" i="19"/>
  <c r="LQ7" i="19"/>
  <c r="LP7" i="19"/>
  <c r="LO7" i="19"/>
  <c r="LN7" i="19"/>
  <c r="LT5" i="19"/>
  <c r="LS5" i="19"/>
  <c r="LQ5" i="19"/>
  <c r="LP5" i="19"/>
  <c r="LO5" i="19"/>
  <c r="LN5" i="19"/>
  <c r="LT14" i="19"/>
  <c r="LS14" i="19"/>
  <c r="LQ14" i="19"/>
  <c r="LP14" i="19"/>
  <c r="LO14" i="19"/>
  <c r="LN14" i="19"/>
  <c r="LT4" i="19"/>
  <c r="LS4" i="19"/>
  <c r="LQ4" i="19"/>
  <c r="LP4" i="19"/>
  <c r="LO4" i="19"/>
  <c r="LN4" i="19"/>
  <c r="KR32" i="19"/>
  <c r="KQ32" i="19"/>
  <c r="KO32" i="19"/>
  <c r="KN32" i="19"/>
  <c r="KM32" i="19"/>
  <c r="KL32" i="19"/>
  <c r="KR37" i="19"/>
  <c r="KQ37" i="19"/>
  <c r="KO37" i="19"/>
  <c r="KN37" i="19"/>
  <c r="KM37" i="19"/>
  <c r="KL37" i="19"/>
  <c r="KR38" i="19"/>
  <c r="KQ38" i="19"/>
  <c r="KO38" i="19"/>
  <c r="KN38" i="19"/>
  <c r="KM38" i="19"/>
  <c r="KL38" i="19"/>
  <c r="KR30" i="19"/>
  <c r="KQ30" i="19"/>
  <c r="KO30" i="19"/>
  <c r="KN30" i="19"/>
  <c r="KM30" i="19"/>
  <c r="KL30" i="19"/>
  <c r="KR36" i="19"/>
  <c r="KQ36" i="19"/>
  <c r="KO36" i="19"/>
  <c r="KN36" i="19"/>
  <c r="KM36" i="19"/>
  <c r="KL36" i="19"/>
  <c r="KR26" i="19"/>
  <c r="KQ26" i="19"/>
  <c r="KO26" i="19"/>
  <c r="KN26" i="19"/>
  <c r="KM26" i="19"/>
  <c r="KL26" i="19"/>
  <c r="KR25" i="19"/>
  <c r="KQ25" i="19"/>
  <c r="KO25" i="19"/>
  <c r="KN25" i="19"/>
  <c r="KM25" i="19"/>
  <c r="KL25" i="19"/>
  <c r="KR24" i="19"/>
  <c r="KQ24" i="19"/>
  <c r="KO24" i="19"/>
  <c r="KN24" i="19"/>
  <c r="KM24" i="19"/>
  <c r="KL24" i="19"/>
  <c r="KR27" i="19"/>
  <c r="KQ27" i="19"/>
  <c r="KO27" i="19"/>
  <c r="KN27" i="19"/>
  <c r="KM27" i="19"/>
  <c r="KL27" i="19"/>
  <c r="KR28" i="19"/>
  <c r="KQ28" i="19"/>
  <c r="KO28" i="19"/>
  <c r="KN28" i="19"/>
  <c r="KM28" i="19"/>
  <c r="KL28" i="19"/>
  <c r="KR23" i="19"/>
  <c r="KQ23" i="19"/>
  <c r="KO23" i="19"/>
  <c r="KN23" i="19"/>
  <c r="KM23" i="19"/>
  <c r="KL23" i="19"/>
  <c r="KR20" i="19"/>
  <c r="KQ20" i="19"/>
  <c r="KO20" i="19"/>
  <c r="KN20" i="19"/>
  <c r="KM20" i="19"/>
  <c r="KL20" i="19"/>
  <c r="KR22" i="19"/>
  <c r="KQ22" i="19"/>
  <c r="KO22" i="19"/>
  <c r="KN22" i="19"/>
  <c r="KM22" i="19"/>
  <c r="KL22" i="19"/>
  <c r="KR34" i="19"/>
  <c r="KQ34" i="19"/>
  <c r="KO34" i="19"/>
  <c r="KN34" i="19"/>
  <c r="KM34" i="19"/>
  <c r="KL34" i="19"/>
  <c r="KR31" i="19"/>
  <c r="KQ31" i="19"/>
  <c r="KO31" i="19"/>
  <c r="KN31" i="19"/>
  <c r="KM31" i="19"/>
  <c r="KL31" i="19"/>
  <c r="KR9" i="19"/>
  <c r="KQ9" i="19"/>
  <c r="KO9" i="19"/>
  <c r="KN9" i="19"/>
  <c r="KM9" i="19"/>
  <c r="KL9" i="19"/>
  <c r="KR19" i="19"/>
  <c r="KQ19" i="19"/>
  <c r="KO19" i="19"/>
  <c r="KN19" i="19"/>
  <c r="KM19" i="19"/>
  <c r="KL19" i="19"/>
  <c r="KR18" i="19"/>
  <c r="KQ18" i="19"/>
  <c r="KO18" i="19"/>
  <c r="KN18" i="19"/>
  <c r="KM18" i="19"/>
  <c r="KL18" i="19"/>
  <c r="KR16" i="19"/>
  <c r="KQ16" i="19"/>
  <c r="KO16" i="19"/>
  <c r="KN16" i="19"/>
  <c r="KM16" i="19"/>
  <c r="KL16" i="19"/>
  <c r="KR17" i="19"/>
  <c r="KQ17" i="19"/>
  <c r="KO17" i="19"/>
  <c r="KN17" i="19"/>
  <c r="KM17" i="19"/>
  <c r="KL17" i="19"/>
  <c r="KR13" i="19"/>
  <c r="KQ13" i="19"/>
  <c r="KO13" i="19"/>
  <c r="KN13" i="19"/>
  <c r="KM13" i="19"/>
  <c r="KL13" i="19"/>
  <c r="KR15" i="19"/>
  <c r="KQ15" i="19"/>
  <c r="KO15" i="19"/>
  <c r="KN15" i="19"/>
  <c r="KM15" i="19"/>
  <c r="KL15" i="19"/>
  <c r="KR11" i="19"/>
  <c r="KQ11" i="19"/>
  <c r="KO11" i="19"/>
  <c r="KN11" i="19"/>
  <c r="KM11" i="19"/>
  <c r="KL11" i="19"/>
  <c r="KR12" i="19"/>
  <c r="KQ12" i="19"/>
  <c r="KO12" i="19"/>
  <c r="KN12" i="19"/>
  <c r="KM12" i="19"/>
  <c r="KL12" i="19"/>
  <c r="KR21" i="19"/>
  <c r="KQ21" i="19"/>
  <c r="KO21" i="19"/>
  <c r="KN21" i="19"/>
  <c r="KM21" i="19"/>
  <c r="KL21" i="19"/>
  <c r="KR6" i="19"/>
  <c r="KQ6" i="19"/>
  <c r="KO6" i="19"/>
  <c r="KN6" i="19"/>
  <c r="KM6" i="19"/>
  <c r="KL6" i="19"/>
  <c r="KR10" i="19"/>
  <c r="KQ10" i="19"/>
  <c r="KO10" i="19"/>
  <c r="KN10" i="19"/>
  <c r="KM10" i="19"/>
  <c r="KL10" i="19"/>
  <c r="KR8" i="19"/>
  <c r="KQ8" i="19"/>
  <c r="KO8" i="19"/>
  <c r="KN8" i="19"/>
  <c r="KM8" i="19"/>
  <c r="KL8" i="19"/>
  <c r="KR7" i="19"/>
  <c r="KQ7" i="19"/>
  <c r="KO7" i="19"/>
  <c r="KN7" i="19"/>
  <c r="KM7" i="19"/>
  <c r="KL7" i="19"/>
  <c r="KR5" i="19"/>
  <c r="KQ5" i="19"/>
  <c r="KO5" i="19"/>
  <c r="KN5" i="19"/>
  <c r="KM5" i="19"/>
  <c r="KL5" i="19"/>
  <c r="KR14" i="19"/>
  <c r="KQ14" i="19"/>
  <c r="KO14" i="19"/>
  <c r="KN14" i="19"/>
  <c r="KM14" i="19"/>
  <c r="KL14" i="19"/>
  <c r="KR4" i="19"/>
  <c r="KQ4" i="19"/>
  <c r="KO4" i="19"/>
  <c r="KN4" i="19"/>
  <c r="KM4" i="19"/>
  <c r="KL4" i="19"/>
  <c r="JP32" i="19"/>
  <c r="JO32" i="19"/>
  <c r="JM32" i="19"/>
  <c r="JL32" i="19"/>
  <c r="JK32" i="19"/>
  <c r="JJ32" i="19"/>
  <c r="JP37" i="19"/>
  <c r="JO37" i="19"/>
  <c r="JM37" i="19"/>
  <c r="JL37" i="19"/>
  <c r="JK37" i="19"/>
  <c r="JJ37" i="19"/>
  <c r="JP38" i="19"/>
  <c r="JO38" i="19"/>
  <c r="JM38" i="19"/>
  <c r="JL38" i="19"/>
  <c r="JK38" i="19"/>
  <c r="JJ38" i="19"/>
  <c r="JP30" i="19"/>
  <c r="JO30" i="19"/>
  <c r="JM30" i="19"/>
  <c r="JL30" i="19"/>
  <c r="JK30" i="19"/>
  <c r="JJ30" i="19"/>
  <c r="JP36" i="19"/>
  <c r="JO36" i="19"/>
  <c r="JM36" i="19"/>
  <c r="JL36" i="19"/>
  <c r="JK36" i="19"/>
  <c r="JJ36" i="19"/>
  <c r="JP26" i="19"/>
  <c r="JO26" i="19"/>
  <c r="JM26" i="19"/>
  <c r="JL26" i="19"/>
  <c r="JK26" i="19"/>
  <c r="JJ26" i="19"/>
  <c r="JP25" i="19"/>
  <c r="JO25" i="19"/>
  <c r="JM25" i="19"/>
  <c r="JL25" i="19"/>
  <c r="JK25" i="19"/>
  <c r="JJ25" i="19"/>
  <c r="JP24" i="19"/>
  <c r="JO24" i="19"/>
  <c r="JM24" i="19"/>
  <c r="JL24" i="19"/>
  <c r="JK24" i="19"/>
  <c r="JJ24" i="19"/>
  <c r="JP27" i="19"/>
  <c r="JO27" i="19"/>
  <c r="JM27" i="19"/>
  <c r="JL27" i="19"/>
  <c r="JK27" i="19"/>
  <c r="JJ27" i="19"/>
  <c r="JP28" i="19"/>
  <c r="JO28" i="19"/>
  <c r="JM28" i="19"/>
  <c r="JL28" i="19"/>
  <c r="JK28" i="19"/>
  <c r="JJ28" i="19"/>
  <c r="JP23" i="19"/>
  <c r="JO23" i="19"/>
  <c r="JM23" i="19"/>
  <c r="JL23" i="19"/>
  <c r="JK23" i="19"/>
  <c r="JJ23" i="19"/>
  <c r="JP20" i="19"/>
  <c r="JO20" i="19"/>
  <c r="JM20" i="19"/>
  <c r="JL20" i="19"/>
  <c r="JK20" i="19"/>
  <c r="JJ20" i="19"/>
  <c r="JP22" i="19"/>
  <c r="JO22" i="19"/>
  <c r="JM22" i="19"/>
  <c r="JL22" i="19"/>
  <c r="JK22" i="19"/>
  <c r="JJ22" i="19"/>
  <c r="JP34" i="19"/>
  <c r="JO34" i="19"/>
  <c r="JM34" i="19"/>
  <c r="JL34" i="19"/>
  <c r="JK34" i="19"/>
  <c r="JJ34" i="19"/>
  <c r="JP31" i="19"/>
  <c r="JO31" i="19"/>
  <c r="JM31" i="19"/>
  <c r="JL31" i="19"/>
  <c r="JK31" i="19"/>
  <c r="JJ31" i="19"/>
  <c r="JP9" i="19"/>
  <c r="JO9" i="19"/>
  <c r="JM9" i="19"/>
  <c r="JL9" i="19"/>
  <c r="JK9" i="19"/>
  <c r="JJ9" i="19"/>
  <c r="JP19" i="19"/>
  <c r="JO19" i="19"/>
  <c r="JM19" i="19"/>
  <c r="JL19" i="19"/>
  <c r="JK19" i="19"/>
  <c r="JJ19" i="19"/>
  <c r="JP18" i="19"/>
  <c r="JO18" i="19"/>
  <c r="JM18" i="19"/>
  <c r="JL18" i="19"/>
  <c r="JK18" i="19"/>
  <c r="JJ18" i="19"/>
  <c r="JP16" i="19"/>
  <c r="JO16" i="19"/>
  <c r="JM16" i="19"/>
  <c r="JL16" i="19"/>
  <c r="JK16" i="19"/>
  <c r="JJ16" i="19"/>
  <c r="JP17" i="19"/>
  <c r="JO17" i="19"/>
  <c r="JM17" i="19"/>
  <c r="JL17" i="19"/>
  <c r="JK17" i="19"/>
  <c r="JJ17" i="19"/>
  <c r="JP13" i="19"/>
  <c r="JO13" i="19"/>
  <c r="JM13" i="19"/>
  <c r="JL13" i="19"/>
  <c r="JK13" i="19"/>
  <c r="JJ13" i="19"/>
  <c r="JP15" i="19"/>
  <c r="JO15" i="19"/>
  <c r="JM15" i="19"/>
  <c r="JL15" i="19"/>
  <c r="JK15" i="19"/>
  <c r="JJ15" i="19"/>
  <c r="JP11" i="19"/>
  <c r="JO11" i="19"/>
  <c r="JM11" i="19"/>
  <c r="JL11" i="19"/>
  <c r="JK11" i="19"/>
  <c r="JJ11" i="19"/>
  <c r="JP12" i="19"/>
  <c r="JO12" i="19"/>
  <c r="JM12" i="19"/>
  <c r="JL12" i="19"/>
  <c r="JK12" i="19"/>
  <c r="JJ12" i="19"/>
  <c r="JP21" i="19"/>
  <c r="JO21" i="19"/>
  <c r="JM21" i="19"/>
  <c r="JL21" i="19"/>
  <c r="JK21" i="19"/>
  <c r="JJ21" i="19"/>
  <c r="JP6" i="19"/>
  <c r="JO6" i="19"/>
  <c r="JM6" i="19"/>
  <c r="JL6" i="19"/>
  <c r="JK6" i="19"/>
  <c r="JJ6" i="19"/>
  <c r="JP10" i="19"/>
  <c r="JO10" i="19"/>
  <c r="JM10" i="19"/>
  <c r="JL10" i="19"/>
  <c r="JK10" i="19"/>
  <c r="JJ10" i="19"/>
  <c r="JP8" i="19"/>
  <c r="JO8" i="19"/>
  <c r="JM8" i="19"/>
  <c r="JL8" i="19"/>
  <c r="JK8" i="19"/>
  <c r="JJ8" i="19"/>
  <c r="JP7" i="19"/>
  <c r="JO7" i="19"/>
  <c r="JM7" i="19"/>
  <c r="JL7" i="19"/>
  <c r="JK7" i="19"/>
  <c r="JJ7" i="19"/>
  <c r="JP5" i="19"/>
  <c r="JO5" i="19"/>
  <c r="JM5" i="19"/>
  <c r="JL5" i="19"/>
  <c r="JK5" i="19"/>
  <c r="JJ5" i="19"/>
  <c r="JP14" i="19"/>
  <c r="JO14" i="19"/>
  <c r="JM14" i="19"/>
  <c r="JL14" i="19"/>
  <c r="JK14" i="19"/>
  <c r="JJ14" i="19"/>
  <c r="JP4" i="19"/>
  <c r="JO4" i="19"/>
  <c r="JM4" i="19"/>
  <c r="JL4" i="19"/>
  <c r="JK4" i="19"/>
  <c r="JJ4" i="19"/>
  <c r="IN32" i="19"/>
  <c r="IM32" i="19"/>
  <c r="IK32" i="19"/>
  <c r="IJ32" i="19"/>
  <c r="II32" i="19"/>
  <c r="IH32" i="19"/>
  <c r="IN37" i="19"/>
  <c r="IM37" i="19"/>
  <c r="IK37" i="19"/>
  <c r="IJ37" i="19"/>
  <c r="II37" i="19"/>
  <c r="IH37" i="19"/>
  <c r="IN38" i="19"/>
  <c r="IM38" i="19"/>
  <c r="IK38" i="19"/>
  <c r="IJ38" i="19"/>
  <c r="II38" i="19"/>
  <c r="IH38" i="19"/>
  <c r="IN30" i="19"/>
  <c r="IM30" i="19"/>
  <c r="IK30" i="19"/>
  <c r="IJ30" i="19"/>
  <c r="II30" i="19"/>
  <c r="IH30" i="19"/>
  <c r="IN36" i="19"/>
  <c r="IM36" i="19"/>
  <c r="IK36" i="19"/>
  <c r="IJ36" i="19"/>
  <c r="II36" i="19"/>
  <c r="IH36" i="19"/>
  <c r="IN26" i="19"/>
  <c r="IM26" i="19"/>
  <c r="IK26" i="19"/>
  <c r="IJ26" i="19"/>
  <c r="II26" i="19"/>
  <c r="IH26" i="19"/>
  <c r="IN25" i="19"/>
  <c r="IM25" i="19"/>
  <c r="IK25" i="19"/>
  <c r="IJ25" i="19"/>
  <c r="II25" i="19"/>
  <c r="IH25" i="19"/>
  <c r="IN24" i="19"/>
  <c r="IM24" i="19"/>
  <c r="IK24" i="19"/>
  <c r="IJ24" i="19"/>
  <c r="II24" i="19"/>
  <c r="IH24" i="19"/>
  <c r="IN27" i="19"/>
  <c r="IM27" i="19"/>
  <c r="IK27" i="19"/>
  <c r="IJ27" i="19"/>
  <c r="II27" i="19"/>
  <c r="IH27" i="19"/>
  <c r="IN28" i="19"/>
  <c r="IM28" i="19"/>
  <c r="IK28" i="19"/>
  <c r="IJ28" i="19"/>
  <c r="II28" i="19"/>
  <c r="IH28" i="19"/>
  <c r="IN23" i="19"/>
  <c r="IM23" i="19"/>
  <c r="IK23" i="19"/>
  <c r="IJ23" i="19"/>
  <c r="II23" i="19"/>
  <c r="IH23" i="19"/>
  <c r="IN20" i="19"/>
  <c r="IM20" i="19"/>
  <c r="IK20" i="19"/>
  <c r="IJ20" i="19"/>
  <c r="II20" i="19"/>
  <c r="IH20" i="19"/>
  <c r="IN22" i="19"/>
  <c r="IM22" i="19"/>
  <c r="IK22" i="19"/>
  <c r="IJ22" i="19"/>
  <c r="II22" i="19"/>
  <c r="IH22" i="19"/>
  <c r="IN34" i="19"/>
  <c r="IM34" i="19"/>
  <c r="IK34" i="19"/>
  <c r="IJ34" i="19"/>
  <c r="II34" i="19"/>
  <c r="IH34" i="19"/>
  <c r="IN31" i="19"/>
  <c r="IM31" i="19"/>
  <c r="IK31" i="19"/>
  <c r="IJ31" i="19"/>
  <c r="II31" i="19"/>
  <c r="IH31" i="19"/>
  <c r="IN9" i="19"/>
  <c r="IM9" i="19"/>
  <c r="IK9" i="19"/>
  <c r="IJ9" i="19"/>
  <c r="II9" i="19"/>
  <c r="IH9" i="19"/>
  <c r="IN19" i="19"/>
  <c r="IM19" i="19"/>
  <c r="IK19" i="19"/>
  <c r="IJ19" i="19"/>
  <c r="II19" i="19"/>
  <c r="IH19" i="19"/>
  <c r="IN18" i="19"/>
  <c r="IM18" i="19"/>
  <c r="IK18" i="19"/>
  <c r="IJ18" i="19"/>
  <c r="II18" i="19"/>
  <c r="IH18" i="19"/>
  <c r="IN16" i="19"/>
  <c r="IM16" i="19"/>
  <c r="IK16" i="19"/>
  <c r="IJ16" i="19"/>
  <c r="II16" i="19"/>
  <c r="IH16" i="19"/>
  <c r="IN17" i="19"/>
  <c r="IM17" i="19"/>
  <c r="IK17" i="19"/>
  <c r="IJ17" i="19"/>
  <c r="II17" i="19"/>
  <c r="IH17" i="19"/>
  <c r="IN13" i="19"/>
  <c r="IM13" i="19"/>
  <c r="IK13" i="19"/>
  <c r="IJ13" i="19"/>
  <c r="II13" i="19"/>
  <c r="IH13" i="19"/>
  <c r="IN15" i="19"/>
  <c r="IM15" i="19"/>
  <c r="IK15" i="19"/>
  <c r="IJ15" i="19"/>
  <c r="II15" i="19"/>
  <c r="IH15" i="19"/>
  <c r="IN11" i="19"/>
  <c r="IM11" i="19"/>
  <c r="IK11" i="19"/>
  <c r="IJ11" i="19"/>
  <c r="II11" i="19"/>
  <c r="IH11" i="19"/>
  <c r="IN12" i="19"/>
  <c r="IM12" i="19"/>
  <c r="IK12" i="19"/>
  <c r="IJ12" i="19"/>
  <c r="II12" i="19"/>
  <c r="IH12" i="19"/>
  <c r="IN21" i="19"/>
  <c r="IM21" i="19"/>
  <c r="IK21" i="19"/>
  <c r="IJ21" i="19"/>
  <c r="II21" i="19"/>
  <c r="IH21" i="19"/>
  <c r="IN6" i="19"/>
  <c r="IM6" i="19"/>
  <c r="IK6" i="19"/>
  <c r="IJ6" i="19"/>
  <c r="II6" i="19"/>
  <c r="IH6" i="19"/>
  <c r="IN10" i="19"/>
  <c r="IM10" i="19"/>
  <c r="IK10" i="19"/>
  <c r="IJ10" i="19"/>
  <c r="II10" i="19"/>
  <c r="IH10" i="19"/>
  <c r="IN8" i="19"/>
  <c r="IM8" i="19"/>
  <c r="IK8" i="19"/>
  <c r="IJ8" i="19"/>
  <c r="II8" i="19"/>
  <c r="IH8" i="19"/>
  <c r="IN7" i="19"/>
  <c r="IM7" i="19"/>
  <c r="IK7" i="19"/>
  <c r="IJ7" i="19"/>
  <c r="II7" i="19"/>
  <c r="IH7" i="19"/>
  <c r="IN5" i="19"/>
  <c r="IM5" i="19"/>
  <c r="IK5" i="19"/>
  <c r="IJ5" i="19"/>
  <c r="II5" i="19"/>
  <c r="IH5" i="19"/>
  <c r="IN14" i="19"/>
  <c r="IM14" i="19"/>
  <c r="IK14" i="19"/>
  <c r="IJ14" i="19"/>
  <c r="II14" i="19"/>
  <c r="IH14" i="19"/>
  <c r="IN4" i="19"/>
  <c r="IM4" i="19"/>
  <c r="IK4" i="19"/>
  <c r="IJ4" i="19"/>
  <c r="II4" i="19"/>
  <c r="IH4" i="19"/>
  <c r="HL32" i="19"/>
  <c r="HK32" i="19"/>
  <c r="HI32" i="19"/>
  <c r="HH32" i="19"/>
  <c r="HG32" i="19"/>
  <c r="HF32" i="19"/>
  <c r="HL37" i="19"/>
  <c r="HK37" i="19"/>
  <c r="HI37" i="19"/>
  <c r="HH37" i="19"/>
  <c r="HG37" i="19"/>
  <c r="HF37" i="19"/>
  <c r="HL38" i="19"/>
  <c r="HK38" i="19"/>
  <c r="HI38" i="19"/>
  <c r="HH38" i="19"/>
  <c r="HG38" i="19"/>
  <c r="HF38" i="19"/>
  <c r="HL30" i="19"/>
  <c r="HK30" i="19"/>
  <c r="HI30" i="19"/>
  <c r="HH30" i="19"/>
  <c r="HG30" i="19"/>
  <c r="HF30" i="19"/>
  <c r="HL36" i="19"/>
  <c r="HK36" i="19"/>
  <c r="HI36" i="19"/>
  <c r="HH36" i="19"/>
  <c r="HG36" i="19"/>
  <c r="HF36" i="19"/>
  <c r="HL26" i="19"/>
  <c r="HK26" i="19"/>
  <c r="HI26" i="19"/>
  <c r="HH26" i="19"/>
  <c r="HG26" i="19"/>
  <c r="HF26" i="19"/>
  <c r="HL25" i="19"/>
  <c r="HK25" i="19"/>
  <c r="HI25" i="19"/>
  <c r="HH25" i="19"/>
  <c r="HG25" i="19"/>
  <c r="HF25" i="19"/>
  <c r="HL24" i="19"/>
  <c r="HK24" i="19"/>
  <c r="HI24" i="19"/>
  <c r="HH24" i="19"/>
  <c r="HG24" i="19"/>
  <c r="HF24" i="19"/>
  <c r="HL27" i="19"/>
  <c r="HK27" i="19"/>
  <c r="HI27" i="19"/>
  <c r="HH27" i="19"/>
  <c r="HG27" i="19"/>
  <c r="HF27" i="19"/>
  <c r="HL28" i="19"/>
  <c r="HK28" i="19"/>
  <c r="HI28" i="19"/>
  <c r="HH28" i="19"/>
  <c r="HG28" i="19"/>
  <c r="HF28" i="19"/>
  <c r="HL23" i="19"/>
  <c r="HK23" i="19"/>
  <c r="HI23" i="19"/>
  <c r="HH23" i="19"/>
  <c r="HG23" i="19"/>
  <c r="HF23" i="19"/>
  <c r="HL20" i="19"/>
  <c r="HK20" i="19"/>
  <c r="HI20" i="19"/>
  <c r="HH20" i="19"/>
  <c r="HG20" i="19"/>
  <c r="HF20" i="19"/>
  <c r="HL22" i="19"/>
  <c r="HK22" i="19"/>
  <c r="HI22" i="19"/>
  <c r="HH22" i="19"/>
  <c r="HG22" i="19"/>
  <c r="HF22" i="19"/>
  <c r="HL34" i="19"/>
  <c r="HK34" i="19"/>
  <c r="HI34" i="19"/>
  <c r="HH34" i="19"/>
  <c r="HG34" i="19"/>
  <c r="HF34" i="19"/>
  <c r="HL31" i="19"/>
  <c r="HK31" i="19"/>
  <c r="HI31" i="19"/>
  <c r="HH31" i="19"/>
  <c r="HG31" i="19"/>
  <c r="HF31" i="19"/>
  <c r="HL9" i="19"/>
  <c r="HK9" i="19"/>
  <c r="HI9" i="19"/>
  <c r="HH9" i="19"/>
  <c r="HG9" i="19"/>
  <c r="HF9" i="19"/>
  <c r="HL19" i="19"/>
  <c r="HK19" i="19"/>
  <c r="HI19" i="19"/>
  <c r="HH19" i="19"/>
  <c r="HG19" i="19"/>
  <c r="HF19" i="19"/>
  <c r="HL18" i="19"/>
  <c r="HK18" i="19"/>
  <c r="HI18" i="19"/>
  <c r="HH18" i="19"/>
  <c r="HG18" i="19"/>
  <c r="HF18" i="19"/>
  <c r="HL16" i="19"/>
  <c r="HK16" i="19"/>
  <c r="HI16" i="19"/>
  <c r="HH16" i="19"/>
  <c r="HG16" i="19"/>
  <c r="HF16" i="19"/>
  <c r="HL17" i="19"/>
  <c r="HK17" i="19"/>
  <c r="HI17" i="19"/>
  <c r="HH17" i="19"/>
  <c r="HG17" i="19"/>
  <c r="HF17" i="19"/>
  <c r="HL13" i="19"/>
  <c r="HK13" i="19"/>
  <c r="HI13" i="19"/>
  <c r="HH13" i="19"/>
  <c r="HG13" i="19"/>
  <c r="HF13" i="19"/>
  <c r="HL15" i="19"/>
  <c r="HK15" i="19"/>
  <c r="HI15" i="19"/>
  <c r="HH15" i="19"/>
  <c r="HG15" i="19"/>
  <c r="HF15" i="19"/>
  <c r="HL11" i="19"/>
  <c r="HK11" i="19"/>
  <c r="HI11" i="19"/>
  <c r="HH11" i="19"/>
  <c r="HG11" i="19"/>
  <c r="HF11" i="19"/>
  <c r="HL12" i="19"/>
  <c r="HK12" i="19"/>
  <c r="HI12" i="19"/>
  <c r="HH12" i="19"/>
  <c r="HG12" i="19"/>
  <c r="HF12" i="19"/>
  <c r="HL21" i="19"/>
  <c r="HK21" i="19"/>
  <c r="HI21" i="19"/>
  <c r="HH21" i="19"/>
  <c r="HG21" i="19"/>
  <c r="HF21" i="19"/>
  <c r="HL6" i="19"/>
  <c r="HK6" i="19"/>
  <c r="HI6" i="19"/>
  <c r="HH6" i="19"/>
  <c r="HG6" i="19"/>
  <c r="HF6" i="19"/>
  <c r="HL10" i="19"/>
  <c r="HK10" i="19"/>
  <c r="HI10" i="19"/>
  <c r="HH10" i="19"/>
  <c r="HG10" i="19"/>
  <c r="HF10" i="19"/>
  <c r="HL8" i="19"/>
  <c r="HK8" i="19"/>
  <c r="HI8" i="19"/>
  <c r="HH8" i="19"/>
  <c r="HG8" i="19"/>
  <c r="HF8" i="19"/>
  <c r="HL7" i="19"/>
  <c r="HK7" i="19"/>
  <c r="HI7" i="19"/>
  <c r="HH7" i="19"/>
  <c r="HG7" i="19"/>
  <c r="HF7" i="19"/>
  <c r="HL5" i="19"/>
  <c r="HK5" i="19"/>
  <c r="HI5" i="19"/>
  <c r="HH5" i="19"/>
  <c r="HG5" i="19"/>
  <c r="HF5" i="19"/>
  <c r="HL14" i="19"/>
  <c r="HK14" i="19"/>
  <c r="HI14" i="19"/>
  <c r="HH14" i="19"/>
  <c r="HG14" i="19"/>
  <c r="HF14" i="19"/>
  <c r="HL4" i="19"/>
  <c r="HK4" i="19"/>
  <c r="HI4" i="19"/>
  <c r="HH4" i="19"/>
  <c r="HG4" i="19"/>
  <c r="HF4" i="19"/>
  <c r="GJ32" i="19"/>
  <c r="GI32" i="19"/>
  <c r="GG32" i="19"/>
  <c r="GF32" i="19"/>
  <c r="GE32" i="19"/>
  <c r="GD32" i="19"/>
  <c r="GJ37" i="19"/>
  <c r="GI37" i="19"/>
  <c r="GG37" i="19"/>
  <c r="GF37" i="19"/>
  <c r="GE37" i="19"/>
  <c r="GH37" i="19" s="1"/>
  <c r="GD37" i="19"/>
  <c r="GJ38" i="19"/>
  <c r="GI38" i="19"/>
  <c r="GG38" i="19"/>
  <c r="GF38" i="19"/>
  <c r="GE38" i="19"/>
  <c r="GD38" i="19"/>
  <c r="GJ30" i="19"/>
  <c r="GI30" i="19"/>
  <c r="GG30" i="19"/>
  <c r="GF30" i="19"/>
  <c r="GE30" i="19"/>
  <c r="GD30" i="19"/>
  <c r="GJ36" i="19"/>
  <c r="GI36" i="19"/>
  <c r="GG36" i="19"/>
  <c r="GF36" i="19"/>
  <c r="GE36" i="19"/>
  <c r="GD36" i="19"/>
  <c r="GJ26" i="19"/>
  <c r="GI26" i="19"/>
  <c r="GG26" i="19"/>
  <c r="GF26" i="19"/>
  <c r="GE26" i="19"/>
  <c r="GD26" i="19"/>
  <c r="GJ25" i="19"/>
  <c r="GI25" i="19"/>
  <c r="GG25" i="19"/>
  <c r="GF25" i="19"/>
  <c r="GE25" i="19"/>
  <c r="GD25" i="19"/>
  <c r="GJ24" i="19"/>
  <c r="GI24" i="19"/>
  <c r="GG24" i="19"/>
  <c r="GF24" i="19"/>
  <c r="GE24" i="19"/>
  <c r="GD24" i="19"/>
  <c r="GJ27" i="19"/>
  <c r="GI27" i="19"/>
  <c r="GG27" i="19"/>
  <c r="GF27" i="19"/>
  <c r="GE27" i="19"/>
  <c r="GD27" i="19"/>
  <c r="GJ28" i="19"/>
  <c r="GI28" i="19"/>
  <c r="GG28" i="19"/>
  <c r="GF28" i="19"/>
  <c r="GE28" i="19"/>
  <c r="GD28" i="19"/>
  <c r="GJ23" i="19"/>
  <c r="GI23" i="19"/>
  <c r="GG23" i="19"/>
  <c r="GF23" i="19"/>
  <c r="GE23" i="19"/>
  <c r="GD23" i="19"/>
  <c r="GJ20" i="19"/>
  <c r="GI20" i="19"/>
  <c r="GG20" i="19"/>
  <c r="GF20" i="19"/>
  <c r="GE20" i="19"/>
  <c r="GD20" i="19"/>
  <c r="GJ22" i="19"/>
  <c r="GI22" i="19"/>
  <c r="GG22" i="19"/>
  <c r="GF22" i="19"/>
  <c r="GE22" i="19"/>
  <c r="GD22" i="19"/>
  <c r="GJ34" i="19"/>
  <c r="GI34" i="19"/>
  <c r="GG34" i="19"/>
  <c r="GF34" i="19"/>
  <c r="GE34" i="19"/>
  <c r="GD34" i="19"/>
  <c r="GJ31" i="19"/>
  <c r="GI31" i="19"/>
  <c r="GG31" i="19"/>
  <c r="GF31" i="19"/>
  <c r="GE31" i="19"/>
  <c r="GD31" i="19"/>
  <c r="GJ9" i="19"/>
  <c r="GI9" i="19"/>
  <c r="GG9" i="19"/>
  <c r="GF9" i="19"/>
  <c r="GE9" i="19"/>
  <c r="GD9" i="19"/>
  <c r="GJ19" i="19"/>
  <c r="GI19" i="19"/>
  <c r="GG19" i="19"/>
  <c r="GF19" i="19"/>
  <c r="GE19" i="19"/>
  <c r="GD19" i="19"/>
  <c r="GJ18" i="19"/>
  <c r="GI18" i="19"/>
  <c r="GG18" i="19"/>
  <c r="GF18" i="19"/>
  <c r="GE18" i="19"/>
  <c r="GD18" i="19"/>
  <c r="GJ16" i="19"/>
  <c r="GI16" i="19"/>
  <c r="GG16" i="19"/>
  <c r="GF16" i="19"/>
  <c r="GE16" i="19"/>
  <c r="GD16" i="19"/>
  <c r="GJ17" i="19"/>
  <c r="GI17" i="19"/>
  <c r="GG17" i="19"/>
  <c r="GF17" i="19"/>
  <c r="GE17" i="19"/>
  <c r="GD17" i="19"/>
  <c r="GJ13" i="19"/>
  <c r="GI13" i="19"/>
  <c r="GG13" i="19"/>
  <c r="GF13" i="19"/>
  <c r="GE13" i="19"/>
  <c r="GD13" i="19"/>
  <c r="GJ15" i="19"/>
  <c r="GI15" i="19"/>
  <c r="GG15" i="19"/>
  <c r="GF15" i="19"/>
  <c r="GE15" i="19"/>
  <c r="GD15" i="19"/>
  <c r="GJ11" i="19"/>
  <c r="GI11" i="19"/>
  <c r="GG11" i="19"/>
  <c r="GF11" i="19"/>
  <c r="GE11" i="19"/>
  <c r="GD11" i="19"/>
  <c r="GJ12" i="19"/>
  <c r="GI12" i="19"/>
  <c r="GG12" i="19"/>
  <c r="GF12" i="19"/>
  <c r="GE12" i="19"/>
  <c r="GD12" i="19"/>
  <c r="GJ21" i="19"/>
  <c r="GI21" i="19"/>
  <c r="GG21" i="19"/>
  <c r="GF21" i="19"/>
  <c r="GE21" i="19"/>
  <c r="GD21" i="19"/>
  <c r="GJ6" i="19"/>
  <c r="GI6" i="19"/>
  <c r="GG6" i="19"/>
  <c r="GF6" i="19"/>
  <c r="GE6" i="19"/>
  <c r="GD6" i="19"/>
  <c r="GJ10" i="19"/>
  <c r="GI10" i="19"/>
  <c r="GG10" i="19"/>
  <c r="GF10" i="19"/>
  <c r="GE10" i="19"/>
  <c r="GD10" i="19"/>
  <c r="GJ8" i="19"/>
  <c r="GI8" i="19"/>
  <c r="GG8" i="19"/>
  <c r="GF8" i="19"/>
  <c r="GE8" i="19"/>
  <c r="GD8" i="19"/>
  <c r="GJ7" i="19"/>
  <c r="GI7" i="19"/>
  <c r="GG7" i="19"/>
  <c r="GF7" i="19"/>
  <c r="GE7" i="19"/>
  <c r="GD7" i="19"/>
  <c r="GJ5" i="19"/>
  <c r="GI5" i="19"/>
  <c r="GG5" i="19"/>
  <c r="GF5" i="19"/>
  <c r="GE5" i="19"/>
  <c r="GD5" i="19"/>
  <c r="GJ14" i="19"/>
  <c r="GI14" i="19"/>
  <c r="GG14" i="19"/>
  <c r="GF14" i="19"/>
  <c r="GE14" i="19"/>
  <c r="GD14" i="19"/>
  <c r="GJ4" i="19"/>
  <c r="GI4" i="19"/>
  <c r="GG4" i="19"/>
  <c r="GF4" i="19"/>
  <c r="GE4" i="19"/>
  <c r="GD4" i="19"/>
  <c r="FH32" i="19"/>
  <c r="FG32" i="19"/>
  <c r="FE32" i="19"/>
  <c r="FD32" i="19"/>
  <c r="FC32" i="19"/>
  <c r="FB32" i="19"/>
  <c r="FH37" i="19"/>
  <c r="FG37" i="19"/>
  <c r="FE37" i="19"/>
  <c r="FD37" i="19"/>
  <c r="FC37" i="19"/>
  <c r="FB37" i="19"/>
  <c r="FH38" i="19"/>
  <c r="FG38" i="19"/>
  <c r="FE38" i="19"/>
  <c r="FD38" i="19"/>
  <c r="FC38" i="19"/>
  <c r="FB38" i="19"/>
  <c r="FH30" i="19"/>
  <c r="FG30" i="19"/>
  <c r="FE30" i="19"/>
  <c r="FD30" i="19"/>
  <c r="FC30" i="19"/>
  <c r="FB30" i="19"/>
  <c r="FH36" i="19"/>
  <c r="FG36" i="19"/>
  <c r="FE36" i="19"/>
  <c r="FD36" i="19"/>
  <c r="FC36" i="19"/>
  <c r="FB36" i="19"/>
  <c r="FH26" i="19"/>
  <c r="FG26" i="19"/>
  <c r="FE26" i="19"/>
  <c r="FD26" i="19"/>
  <c r="FC26" i="19"/>
  <c r="FB26" i="19"/>
  <c r="FH25" i="19"/>
  <c r="FG25" i="19"/>
  <c r="FE25" i="19"/>
  <c r="FD25" i="19"/>
  <c r="FC25" i="19"/>
  <c r="FB25" i="19"/>
  <c r="FH24" i="19"/>
  <c r="FG24" i="19"/>
  <c r="FE24" i="19"/>
  <c r="FD24" i="19"/>
  <c r="FC24" i="19"/>
  <c r="FB24" i="19"/>
  <c r="FH27" i="19"/>
  <c r="FG27" i="19"/>
  <c r="FE27" i="19"/>
  <c r="FD27" i="19"/>
  <c r="FC27" i="19"/>
  <c r="FB27" i="19"/>
  <c r="FH28" i="19"/>
  <c r="FG28" i="19"/>
  <c r="FE28" i="19"/>
  <c r="FD28" i="19"/>
  <c r="FC28" i="19"/>
  <c r="FB28" i="19"/>
  <c r="FH23" i="19"/>
  <c r="FG23" i="19"/>
  <c r="FE23" i="19"/>
  <c r="FD23" i="19"/>
  <c r="FC23" i="19"/>
  <c r="FB23" i="19"/>
  <c r="FH20" i="19"/>
  <c r="FG20" i="19"/>
  <c r="FE20" i="19"/>
  <c r="FD20" i="19"/>
  <c r="FC20" i="19"/>
  <c r="FB20" i="19"/>
  <c r="FH22" i="19"/>
  <c r="FG22" i="19"/>
  <c r="FE22" i="19"/>
  <c r="FD22" i="19"/>
  <c r="FC22" i="19"/>
  <c r="FB22" i="19"/>
  <c r="FH34" i="19"/>
  <c r="FG34" i="19"/>
  <c r="FE34" i="19"/>
  <c r="FD34" i="19"/>
  <c r="FC34" i="19"/>
  <c r="FB34" i="19"/>
  <c r="FH31" i="19"/>
  <c r="FG31" i="19"/>
  <c r="FE31" i="19"/>
  <c r="FD31" i="19"/>
  <c r="FC31" i="19"/>
  <c r="FB31" i="19"/>
  <c r="FH9" i="19"/>
  <c r="FG9" i="19"/>
  <c r="FE9" i="19"/>
  <c r="FD9" i="19"/>
  <c r="FC9" i="19"/>
  <c r="FB9" i="19"/>
  <c r="FH19" i="19"/>
  <c r="FG19" i="19"/>
  <c r="FE19" i="19"/>
  <c r="FD19" i="19"/>
  <c r="FC19" i="19"/>
  <c r="FB19" i="19"/>
  <c r="FH18" i="19"/>
  <c r="FG18" i="19"/>
  <c r="FE18" i="19"/>
  <c r="FD18" i="19"/>
  <c r="FC18" i="19"/>
  <c r="FB18" i="19"/>
  <c r="FH16" i="19"/>
  <c r="FG16" i="19"/>
  <c r="FE16" i="19"/>
  <c r="FD16" i="19"/>
  <c r="FC16" i="19"/>
  <c r="FB16" i="19"/>
  <c r="FH17" i="19"/>
  <c r="FG17" i="19"/>
  <c r="FE17" i="19"/>
  <c r="FD17" i="19"/>
  <c r="FC17" i="19"/>
  <c r="FB17" i="19"/>
  <c r="FH13" i="19"/>
  <c r="FG13" i="19"/>
  <c r="FE13" i="19"/>
  <c r="FD13" i="19"/>
  <c r="FC13" i="19"/>
  <c r="FB13" i="19"/>
  <c r="FH15" i="19"/>
  <c r="FG15" i="19"/>
  <c r="FE15" i="19"/>
  <c r="FD15" i="19"/>
  <c r="FC15" i="19"/>
  <c r="FB15" i="19"/>
  <c r="FH11" i="19"/>
  <c r="FG11" i="19"/>
  <c r="FE11" i="19"/>
  <c r="FD11" i="19"/>
  <c r="FC11" i="19"/>
  <c r="FB11" i="19"/>
  <c r="FH12" i="19"/>
  <c r="FG12" i="19"/>
  <c r="FE12" i="19"/>
  <c r="FD12" i="19"/>
  <c r="FC12" i="19"/>
  <c r="FB12" i="19"/>
  <c r="FH21" i="19"/>
  <c r="FG21" i="19"/>
  <c r="FE21" i="19"/>
  <c r="FD21" i="19"/>
  <c r="FC21" i="19"/>
  <c r="FB21" i="19"/>
  <c r="FH6" i="19"/>
  <c r="FG6" i="19"/>
  <c r="FE6" i="19"/>
  <c r="FD6" i="19"/>
  <c r="FC6" i="19"/>
  <c r="FB6" i="19"/>
  <c r="FH10" i="19"/>
  <c r="FG10" i="19"/>
  <c r="FE10" i="19"/>
  <c r="FD10" i="19"/>
  <c r="FC10" i="19"/>
  <c r="FB10" i="19"/>
  <c r="FH8" i="19"/>
  <c r="FG8" i="19"/>
  <c r="FE8" i="19"/>
  <c r="FD8" i="19"/>
  <c r="FC8" i="19"/>
  <c r="FB8" i="19"/>
  <c r="FH7" i="19"/>
  <c r="FG7" i="19"/>
  <c r="FE7" i="19"/>
  <c r="FD7" i="19"/>
  <c r="FC7" i="19"/>
  <c r="FB7" i="19"/>
  <c r="FH5" i="19"/>
  <c r="FG5" i="19"/>
  <c r="FE5" i="19"/>
  <c r="FD5" i="19"/>
  <c r="FC5" i="19"/>
  <c r="FB5" i="19"/>
  <c r="FH14" i="19"/>
  <c r="FG14" i="19"/>
  <c r="FE14" i="19"/>
  <c r="FD14" i="19"/>
  <c r="FC14" i="19"/>
  <c r="FB14" i="19"/>
  <c r="FH4" i="19"/>
  <c r="FG4" i="19"/>
  <c r="FE4" i="19"/>
  <c r="FD4" i="19"/>
  <c r="FC4" i="19"/>
  <c r="FB4" i="19"/>
  <c r="EF32" i="19"/>
  <c r="EE32" i="19"/>
  <c r="EC32" i="19"/>
  <c r="EB32" i="19"/>
  <c r="EA32" i="19"/>
  <c r="DZ32" i="19"/>
  <c r="EF37" i="19"/>
  <c r="EE37" i="19"/>
  <c r="EC37" i="19"/>
  <c r="EB37" i="19"/>
  <c r="EA37" i="19"/>
  <c r="DZ37" i="19"/>
  <c r="EF38" i="19"/>
  <c r="EE38" i="19"/>
  <c r="EC38" i="19"/>
  <c r="EB38" i="19"/>
  <c r="EA38" i="19"/>
  <c r="DZ38" i="19"/>
  <c r="EF30" i="19"/>
  <c r="EE30" i="19"/>
  <c r="EC30" i="19"/>
  <c r="EB30" i="19"/>
  <c r="EA30" i="19"/>
  <c r="DZ30" i="19"/>
  <c r="EF36" i="19"/>
  <c r="EE36" i="19"/>
  <c r="EC36" i="19"/>
  <c r="EB36" i="19"/>
  <c r="EA36" i="19"/>
  <c r="DZ36" i="19"/>
  <c r="EF26" i="19"/>
  <c r="EE26" i="19"/>
  <c r="EC26" i="19"/>
  <c r="EB26" i="19"/>
  <c r="EA26" i="19"/>
  <c r="DZ26" i="19"/>
  <c r="EF25" i="19"/>
  <c r="EE25" i="19"/>
  <c r="EC25" i="19"/>
  <c r="EB25" i="19"/>
  <c r="EA25" i="19"/>
  <c r="DZ25" i="19"/>
  <c r="EF24" i="19"/>
  <c r="EE24" i="19"/>
  <c r="EC24" i="19"/>
  <c r="EB24" i="19"/>
  <c r="EA24" i="19"/>
  <c r="DZ24" i="19"/>
  <c r="EF27" i="19"/>
  <c r="EE27" i="19"/>
  <c r="EC27" i="19"/>
  <c r="EB27" i="19"/>
  <c r="EA27" i="19"/>
  <c r="DZ27" i="19"/>
  <c r="EF28" i="19"/>
  <c r="EE28" i="19"/>
  <c r="EC28" i="19"/>
  <c r="EB28" i="19"/>
  <c r="EA28" i="19"/>
  <c r="DZ28" i="19"/>
  <c r="EF23" i="19"/>
  <c r="EE23" i="19"/>
  <c r="EC23" i="19"/>
  <c r="EB23" i="19"/>
  <c r="EA23" i="19"/>
  <c r="DZ23" i="19"/>
  <c r="EF20" i="19"/>
  <c r="EE20" i="19"/>
  <c r="EC20" i="19"/>
  <c r="EB20" i="19"/>
  <c r="EA20" i="19"/>
  <c r="DZ20" i="19"/>
  <c r="EF22" i="19"/>
  <c r="EE22" i="19"/>
  <c r="EC22" i="19"/>
  <c r="EB22" i="19"/>
  <c r="EA22" i="19"/>
  <c r="DZ22" i="19"/>
  <c r="EF34" i="19"/>
  <c r="EE34" i="19"/>
  <c r="EC34" i="19"/>
  <c r="EB34" i="19"/>
  <c r="EA34" i="19"/>
  <c r="DZ34" i="19"/>
  <c r="EF31" i="19"/>
  <c r="EE31" i="19"/>
  <c r="EC31" i="19"/>
  <c r="EB31" i="19"/>
  <c r="EA31" i="19"/>
  <c r="DZ31" i="19"/>
  <c r="EF9" i="19"/>
  <c r="EE9" i="19"/>
  <c r="EC9" i="19"/>
  <c r="EB9" i="19"/>
  <c r="EA9" i="19"/>
  <c r="DZ9" i="19"/>
  <c r="EF19" i="19"/>
  <c r="EE19" i="19"/>
  <c r="EC19" i="19"/>
  <c r="EB19" i="19"/>
  <c r="EA19" i="19"/>
  <c r="DZ19" i="19"/>
  <c r="EF18" i="19"/>
  <c r="EE18" i="19"/>
  <c r="EC18" i="19"/>
  <c r="EB18" i="19"/>
  <c r="EA18" i="19"/>
  <c r="DZ18" i="19"/>
  <c r="EF16" i="19"/>
  <c r="EE16" i="19"/>
  <c r="EC16" i="19"/>
  <c r="EB16" i="19"/>
  <c r="EA16" i="19"/>
  <c r="DZ16" i="19"/>
  <c r="EF17" i="19"/>
  <c r="EE17" i="19"/>
  <c r="EC17" i="19"/>
  <c r="EB17" i="19"/>
  <c r="EA17" i="19"/>
  <c r="DZ17" i="19"/>
  <c r="EF13" i="19"/>
  <c r="EE13" i="19"/>
  <c r="EC13" i="19"/>
  <c r="EB13" i="19"/>
  <c r="EA13" i="19"/>
  <c r="DZ13" i="19"/>
  <c r="EF15" i="19"/>
  <c r="EE15" i="19"/>
  <c r="EC15" i="19"/>
  <c r="EB15" i="19"/>
  <c r="EA15" i="19"/>
  <c r="DZ15" i="19"/>
  <c r="EF11" i="19"/>
  <c r="EE11" i="19"/>
  <c r="EC11" i="19"/>
  <c r="EB11" i="19"/>
  <c r="EA11" i="19"/>
  <c r="DZ11" i="19"/>
  <c r="EF12" i="19"/>
  <c r="EE12" i="19"/>
  <c r="EC12" i="19"/>
  <c r="EB12" i="19"/>
  <c r="EA12" i="19"/>
  <c r="DZ12" i="19"/>
  <c r="EF21" i="19"/>
  <c r="EE21" i="19"/>
  <c r="EC21" i="19"/>
  <c r="EB21" i="19"/>
  <c r="EA21" i="19"/>
  <c r="DZ21" i="19"/>
  <c r="EF6" i="19"/>
  <c r="EE6" i="19"/>
  <c r="EC6" i="19"/>
  <c r="EB6" i="19"/>
  <c r="EA6" i="19"/>
  <c r="DZ6" i="19"/>
  <c r="EF10" i="19"/>
  <c r="EE10" i="19"/>
  <c r="EC10" i="19"/>
  <c r="EB10" i="19"/>
  <c r="EA10" i="19"/>
  <c r="DZ10" i="19"/>
  <c r="EF8" i="19"/>
  <c r="EE8" i="19"/>
  <c r="EC8" i="19"/>
  <c r="EB8" i="19"/>
  <c r="EA8" i="19"/>
  <c r="DZ8" i="19"/>
  <c r="EF7" i="19"/>
  <c r="EE7" i="19"/>
  <c r="EC7" i="19"/>
  <c r="EB7" i="19"/>
  <c r="EA7" i="19"/>
  <c r="DZ7" i="19"/>
  <c r="EF5" i="19"/>
  <c r="EE5" i="19"/>
  <c r="EC5" i="19"/>
  <c r="EB5" i="19"/>
  <c r="EA5" i="19"/>
  <c r="DZ5" i="19"/>
  <c r="EF14" i="19"/>
  <c r="EE14" i="19"/>
  <c r="EC14" i="19"/>
  <c r="EB14" i="19"/>
  <c r="EA14" i="19"/>
  <c r="DZ14" i="19"/>
  <c r="EF4" i="19"/>
  <c r="EE4" i="19"/>
  <c r="EC4" i="19"/>
  <c r="EB4" i="19"/>
  <c r="EA4" i="19"/>
  <c r="DZ4" i="19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8" i="4"/>
  <c r="RK8" i="4"/>
  <c r="RJ8" i="4"/>
  <c r="RI8" i="4"/>
  <c r="RH8" i="4"/>
  <c r="RG8" i="4"/>
  <c r="RE8" i="4"/>
  <c r="RD8" i="4"/>
  <c r="RC8" i="4"/>
  <c r="RB8" i="4"/>
  <c r="RA8" i="4"/>
  <c r="QZ8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8" i="4"/>
  <c r="QC8" i="4"/>
  <c r="QB8" i="4"/>
  <c r="QA8" i="4"/>
  <c r="PZ8" i="4"/>
  <c r="PY8" i="4"/>
  <c r="PW8" i="4"/>
  <c r="PV8" i="4"/>
  <c r="PU8" i="4"/>
  <c r="PT8" i="4"/>
  <c r="PS8" i="4"/>
  <c r="PR8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8" i="4"/>
  <c r="OU8" i="4"/>
  <c r="OT8" i="4"/>
  <c r="OS8" i="4"/>
  <c r="OR8" i="4"/>
  <c r="OQ8" i="4"/>
  <c r="OO8" i="4"/>
  <c r="ON8" i="4"/>
  <c r="OM8" i="4"/>
  <c r="OL8" i="4"/>
  <c r="OK8" i="4"/>
  <c r="OJ8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8" i="4"/>
  <c r="NM8" i="4"/>
  <c r="NL8" i="4"/>
  <c r="NK8" i="4"/>
  <c r="NJ8" i="4"/>
  <c r="NI8" i="4"/>
  <c r="NG8" i="4"/>
  <c r="NF8" i="4"/>
  <c r="NE8" i="4"/>
  <c r="ND8" i="4"/>
  <c r="NC8" i="4"/>
  <c r="NB8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8" i="4"/>
  <c r="ME8" i="4"/>
  <c r="MD8" i="4"/>
  <c r="MC8" i="4"/>
  <c r="MB8" i="4"/>
  <c r="MA8" i="4"/>
  <c r="LY8" i="4"/>
  <c r="LX8" i="4"/>
  <c r="LW8" i="4"/>
  <c r="LV8" i="4"/>
  <c r="LU8" i="4"/>
  <c r="LT8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8" i="4"/>
  <c r="KW8" i="4"/>
  <c r="KV8" i="4"/>
  <c r="KU8" i="4"/>
  <c r="KT8" i="4"/>
  <c r="KS8" i="4"/>
  <c r="KQ8" i="4"/>
  <c r="KP8" i="4"/>
  <c r="KO8" i="4"/>
  <c r="KN8" i="4"/>
  <c r="KM8" i="4"/>
  <c r="KL8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8" i="4"/>
  <c r="JO8" i="4"/>
  <c r="JN8" i="4"/>
  <c r="JM8" i="4"/>
  <c r="JL8" i="4"/>
  <c r="JK8" i="4"/>
  <c r="JI8" i="4"/>
  <c r="JH8" i="4"/>
  <c r="JG8" i="4"/>
  <c r="JF8" i="4"/>
  <c r="JE8" i="4"/>
  <c r="JD8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8" i="4"/>
  <c r="IG8" i="4"/>
  <c r="IF8" i="4"/>
  <c r="IE8" i="4"/>
  <c r="ID8" i="4"/>
  <c r="IC8" i="4"/>
  <c r="IA8" i="4"/>
  <c r="HZ8" i="4"/>
  <c r="HY8" i="4"/>
  <c r="HX8" i="4"/>
  <c r="HW8" i="4"/>
  <c r="HV8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8" i="4"/>
  <c r="GY8" i="4"/>
  <c r="GX8" i="4"/>
  <c r="GW8" i="4"/>
  <c r="GV8" i="4"/>
  <c r="GU8" i="4"/>
  <c r="GS8" i="4"/>
  <c r="GR8" i="4"/>
  <c r="GQ8" i="4"/>
  <c r="GP8" i="4"/>
  <c r="GO8" i="4"/>
  <c r="GN8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8" i="4"/>
  <c r="FQ8" i="4"/>
  <c r="FP8" i="4"/>
  <c r="FO8" i="4"/>
  <c r="FN8" i="4"/>
  <c r="FM8" i="4"/>
  <c r="FK8" i="4"/>
  <c r="FJ8" i="4"/>
  <c r="FI8" i="4"/>
  <c r="FH8" i="4"/>
  <c r="FG8" i="4"/>
  <c r="FF8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8" i="4"/>
  <c r="EI8" i="4"/>
  <c r="EH8" i="4"/>
  <c r="EG8" i="4"/>
  <c r="EF8" i="4"/>
  <c r="EE8" i="4"/>
  <c r="EC8" i="4"/>
  <c r="EB8" i="4"/>
  <c r="EA8" i="4"/>
  <c r="DZ8" i="4"/>
  <c r="DY8" i="4"/>
  <c r="DX8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BY23" i="21"/>
  <c r="BX23" i="21"/>
  <c r="BV23" i="21"/>
  <c r="BU23" i="21"/>
  <c r="BT23" i="21"/>
  <c r="BS23" i="21"/>
  <c r="BY35" i="21"/>
  <c r="BX35" i="21"/>
  <c r="BV35" i="21"/>
  <c r="BU35" i="21"/>
  <c r="BT35" i="21"/>
  <c r="BS35" i="21"/>
  <c r="BY18" i="21"/>
  <c r="BX18" i="21"/>
  <c r="BV18" i="21"/>
  <c r="BU18" i="21"/>
  <c r="BT18" i="21"/>
  <c r="BS18" i="21"/>
  <c r="BY33" i="21"/>
  <c r="BX33" i="21"/>
  <c r="BV33" i="21"/>
  <c r="BU33" i="21"/>
  <c r="BT33" i="21"/>
  <c r="BS33" i="21"/>
  <c r="BY32" i="21"/>
  <c r="BX32" i="21"/>
  <c r="BV32" i="21"/>
  <c r="BU32" i="21"/>
  <c r="BT32" i="21"/>
  <c r="BS32" i="21"/>
  <c r="BY24" i="21"/>
  <c r="BX24" i="21"/>
  <c r="BV24" i="21"/>
  <c r="BU24" i="21"/>
  <c r="BT24" i="21"/>
  <c r="BS24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30" i="21"/>
  <c r="BX30" i="21"/>
  <c r="BV30" i="21"/>
  <c r="BU30" i="21"/>
  <c r="BT30" i="21"/>
  <c r="BS30" i="21"/>
  <c r="BY27" i="21"/>
  <c r="BX27" i="21"/>
  <c r="BV27" i="21"/>
  <c r="BU27" i="21"/>
  <c r="BT27" i="21"/>
  <c r="BS27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14" i="21"/>
  <c r="BX14" i="21"/>
  <c r="BV14" i="21"/>
  <c r="BU14" i="21"/>
  <c r="BT14" i="21"/>
  <c r="BS14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31" i="21"/>
  <c r="BX31" i="21"/>
  <c r="BV31" i="21"/>
  <c r="BU31" i="21"/>
  <c r="BT31" i="21"/>
  <c r="BS31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9" i="21"/>
  <c r="BX9" i="21"/>
  <c r="BV9" i="21"/>
  <c r="BU9" i="21"/>
  <c r="BT9" i="21"/>
  <c r="BS9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23" i="21"/>
  <c r="AU23" i="21"/>
  <c r="AS23" i="21"/>
  <c r="AR23" i="21"/>
  <c r="AQ23" i="21"/>
  <c r="AP23" i="21"/>
  <c r="AV35" i="21"/>
  <c r="AU35" i="21"/>
  <c r="AS35" i="21"/>
  <c r="AR35" i="21"/>
  <c r="AQ35" i="21"/>
  <c r="AP35" i="21"/>
  <c r="AV18" i="21"/>
  <c r="AU18" i="21"/>
  <c r="AS18" i="21"/>
  <c r="AR18" i="21"/>
  <c r="AQ18" i="21"/>
  <c r="AP18" i="21"/>
  <c r="AV33" i="21"/>
  <c r="AU33" i="21"/>
  <c r="AS33" i="21"/>
  <c r="AR33" i="21"/>
  <c r="AQ33" i="21"/>
  <c r="AP33" i="21"/>
  <c r="AV32" i="21"/>
  <c r="AU32" i="21"/>
  <c r="AS32" i="21"/>
  <c r="AR32" i="21"/>
  <c r="AQ32" i="21"/>
  <c r="AT32" i="21" s="1"/>
  <c r="AP32" i="21"/>
  <c r="AV24" i="21"/>
  <c r="AU24" i="21"/>
  <c r="AS24" i="21"/>
  <c r="AR24" i="21"/>
  <c r="AQ24" i="21"/>
  <c r="AP24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30" i="21"/>
  <c r="AU30" i="21"/>
  <c r="AS30" i="21"/>
  <c r="AR30" i="21"/>
  <c r="AQ30" i="21"/>
  <c r="AP30" i="21"/>
  <c r="AV27" i="21"/>
  <c r="AU27" i="21"/>
  <c r="AS27" i="21"/>
  <c r="AR27" i="21"/>
  <c r="AQ27" i="21"/>
  <c r="AP27" i="21"/>
  <c r="AV15" i="21"/>
  <c r="AU15" i="21"/>
  <c r="AS15" i="21"/>
  <c r="AR15" i="21"/>
  <c r="AQ15" i="21"/>
  <c r="AP15" i="21"/>
  <c r="AV20" i="21"/>
  <c r="AU20" i="21"/>
  <c r="AS20" i="21"/>
  <c r="AR20" i="21"/>
  <c r="AQ20" i="21"/>
  <c r="AP20" i="21"/>
  <c r="AV14" i="21"/>
  <c r="AU14" i="21"/>
  <c r="AS14" i="21"/>
  <c r="AR14" i="21"/>
  <c r="AQ14" i="21"/>
  <c r="AP14" i="21"/>
  <c r="AV29" i="21"/>
  <c r="AU29" i="21"/>
  <c r="AS29" i="21"/>
  <c r="AR29" i="21"/>
  <c r="AQ29" i="21"/>
  <c r="AP29" i="21"/>
  <c r="AV28" i="21"/>
  <c r="AU28" i="21"/>
  <c r="AS28" i="21"/>
  <c r="AR28" i="21"/>
  <c r="AQ28" i="21"/>
  <c r="AT28" i="21" s="1"/>
  <c r="AP28" i="21"/>
  <c r="AV19" i="21"/>
  <c r="AU19" i="21"/>
  <c r="AS19" i="21"/>
  <c r="AR19" i="21"/>
  <c r="AQ19" i="21"/>
  <c r="AP19" i="21"/>
  <c r="AV16" i="21"/>
  <c r="AU16" i="21"/>
  <c r="AS16" i="21"/>
  <c r="AR16" i="21"/>
  <c r="AQ16" i="21"/>
  <c r="AT16" i="21" s="1"/>
  <c r="AP16" i="21"/>
  <c r="AV17" i="21"/>
  <c r="AU17" i="21"/>
  <c r="AS17" i="21"/>
  <c r="AR17" i="21"/>
  <c r="AQ17" i="21"/>
  <c r="AP17" i="21"/>
  <c r="AV31" i="21"/>
  <c r="AU31" i="21"/>
  <c r="AS31" i="21"/>
  <c r="AR31" i="21"/>
  <c r="AQ31" i="21"/>
  <c r="AP31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T8" i="21" s="1"/>
  <c r="AP8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4" i="21"/>
  <c r="AU4" i="21"/>
  <c r="AS4" i="21"/>
  <c r="AR4" i="21"/>
  <c r="AQ4" i="21"/>
  <c r="AT4" i="21" s="1"/>
  <c r="AP4" i="21"/>
  <c r="BY32" i="19"/>
  <c r="BX32" i="19"/>
  <c r="BV32" i="19"/>
  <c r="BU32" i="19"/>
  <c r="BT32" i="19"/>
  <c r="BS32" i="19"/>
  <c r="BY37" i="19"/>
  <c r="BX37" i="19"/>
  <c r="BV37" i="19"/>
  <c r="BU37" i="19"/>
  <c r="BT37" i="19"/>
  <c r="BS37" i="19"/>
  <c r="BY38" i="19"/>
  <c r="BX38" i="19"/>
  <c r="BV38" i="19"/>
  <c r="BU38" i="19"/>
  <c r="BT38" i="19"/>
  <c r="BS38" i="19"/>
  <c r="BY30" i="19"/>
  <c r="BX30" i="19"/>
  <c r="BV30" i="19"/>
  <c r="BU30" i="19"/>
  <c r="BT30" i="19"/>
  <c r="BS30" i="19"/>
  <c r="BY36" i="19"/>
  <c r="BX36" i="19"/>
  <c r="BV36" i="19"/>
  <c r="BU36" i="19"/>
  <c r="BT36" i="19"/>
  <c r="BS36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34" i="19"/>
  <c r="BX34" i="19"/>
  <c r="BV34" i="19"/>
  <c r="BU34" i="19"/>
  <c r="BT34" i="19"/>
  <c r="BS34" i="19"/>
  <c r="BY31" i="19"/>
  <c r="BX31" i="19"/>
  <c r="BV31" i="19"/>
  <c r="BU31" i="19"/>
  <c r="BT31" i="19"/>
  <c r="BS31" i="19"/>
  <c r="BY9" i="19"/>
  <c r="BX9" i="19"/>
  <c r="BV9" i="19"/>
  <c r="BU9" i="19"/>
  <c r="BT9" i="19"/>
  <c r="BS9" i="19"/>
  <c r="BY19" i="19"/>
  <c r="BX19" i="19"/>
  <c r="BV19" i="19"/>
  <c r="BU19" i="19"/>
  <c r="BT19" i="19"/>
  <c r="BS19" i="19"/>
  <c r="BY18" i="19"/>
  <c r="BX18" i="19"/>
  <c r="BV18" i="19"/>
  <c r="BU18" i="19"/>
  <c r="BT18" i="19"/>
  <c r="BS18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13" i="19"/>
  <c r="BX13" i="19"/>
  <c r="BV13" i="19"/>
  <c r="BU13" i="19"/>
  <c r="BT13" i="19"/>
  <c r="BS13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21" i="19"/>
  <c r="BX21" i="19"/>
  <c r="BV21" i="19"/>
  <c r="BU21" i="19"/>
  <c r="BT21" i="19"/>
  <c r="BS21" i="19"/>
  <c r="BY6" i="19"/>
  <c r="BX6" i="19"/>
  <c r="BV6" i="19"/>
  <c r="BU6" i="19"/>
  <c r="BT6" i="19"/>
  <c r="BS6" i="19"/>
  <c r="BY10" i="19"/>
  <c r="BX10" i="19"/>
  <c r="BV10" i="19"/>
  <c r="BU10" i="19"/>
  <c r="BT10" i="19"/>
  <c r="BS10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14" i="19"/>
  <c r="BX14" i="19"/>
  <c r="BV14" i="19"/>
  <c r="BU14" i="19"/>
  <c r="BT14" i="19"/>
  <c r="BS14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7" i="19"/>
  <c r="AU37" i="19"/>
  <c r="AS37" i="19"/>
  <c r="AR37" i="19"/>
  <c r="AQ37" i="19"/>
  <c r="AP37" i="19"/>
  <c r="AV38" i="19"/>
  <c r="AU38" i="19"/>
  <c r="AS38" i="19"/>
  <c r="AR38" i="19"/>
  <c r="AQ38" i="19"/>
  <c r="AP38" i="19"/>
  <c r="AV30" i="19"/>
  <c r="AU30" i="19"/>
  <c r="AS30" i="19"/>
  <c r="AR30" i="19"/>
  <c r="AQ30" i="19"/>
  <c r="AP30" i="19"/>
  <c r="AV36" i="19"/>
  <c r="AU36" i="19"/>
  <c r="AS36" i="19"/>
  <c r="AR36" i="19"/>
  <c r="AQ36" i="19"/>
  <c r="AP36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34" i="19"/>
  <c r="AU34" i="19"/>
  <c r="AS34" i="19"/>
  <c r="AR34" i="19"/>
  <c r="AQ34" i="19"/>
  <c r="AP34" i="19"/>
  <c r="AV31" i="19"/>
  <c r="AU31" i="19"/>
  <c r="AS31" i="19"/>
  <c r="AR31" i="19"/>
  <c r="AQ31" i="19"/>
  <c r="AP31" i="19"/>
  <c r="AV9" i="19"/>
  <c r="AU9" i="19"/>
  <c r="AS9" i="19"/>
  <c r="AR9" i="19"/>
  <c r="AQ9" i="19"/>
  <c r="AP9" i="19"/>
  <c r="AV19" i="19"/>
  <c r="AU19" i="19"/>
  <c r="AS19" i="19"/>
  <c r="AR19" i="19"/>
  <c r="AQ19" i="19"/>
  <c r="AP19" i="19"/>
  <c r="AV18" i="19"/>
  <c r="AU18" i="19"/>
  <c r="AS18" i="19"/>
  <c r="AR18" i="19"/>
  <c r="AQ18" i="19"/>
  <c r="AP18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13" i="19"/>
  <c r="AU13" i="19"/>
  <c r="AS13" i="19"/>
  <c r="AR13" i="19"/>
  <c r="AQ13" i="19"/>
  <c r="AP13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2" i="19"/>
  <c r="AU12" i="19"/>
  <c r="AS12" i="19"/>
  <c r="AR12" i="19"/>
  <c r="AQ12" i="19"/>
  <c r="AP12" i="19"/>
  <c r="AV21" i="19"/>
  <c r="AU21" i="19"/>
  <c r="AS21" i="19"/>
  <c r="AR21" i="19"/>
  <c r="AQ21" i="19"/>
  <c r="AP21" i="19"/>
  <c r="AV6" i="19"/>
  <c r="AU6" i="19"/>
  <c r="AS6" i="19"/>
  <c r="AR6" i="19"/>
  <c r="AQ6" i="19"/>
  <c r="AP6" i="19"/>
  <c r="AV10" i="19"/>
  <c r="AU10" i="19"/>
  <c r="AS10" i="19"/>
  <c r="AR10" i="19"/>
  <c r="AQ10" i="19"/>
  <c r="AP10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14" i="19"/>
  <c r="AU14" i="19"/>
  <c r="AS14" i="19"/>
  <c r="AR14" i="19"/>
  <c r="AQ14" i="19"/>
  <c r="AP14" i="19"/>
  <c r="AV4" i="19"/>
  <c r="AU4" i="19"/>
  <c r="AS4" i="19"/>
  <c r="AR4" i="19"/>
  <c r="AQ4" i="19"/>
  <c r="AP4" i="19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3" i="27"/>
  <c r="BX13" i="27"/>
  <c r="BV13" i="27"/>
  <c r="BU13" i="27"/>
  <c r="BZ13" i="27" s="1"/>
  <c r="BT13" i="27"/>
  <c r="BS13" i="27"/>
  <c r="BY9" i="27"/>
  <c r="BX9" i="27"/>
  <c r="BV9" i="27"/>
  <c r="BU9" i="27"/>
  <c r="BT9" i="27"/>
  <c r="BS9" i="27"/>
  <c r="BY16" i="27"/>
  <c r="BX16" i="27"/>
  <c r="BV16" i="27"/>
  <c r="BU16" i="27"/>
  <c r="BT16" i="27"/>
  <c r="BS16" i="27"/>
  <c r="BY6" i="27"/>
  <c r="BX6" i="27"/>
  <c r="BV6" i="27"/>
  <c r="BU6" i="27"/>
  <c r="BT6" i="27"/>
  <c r="BS6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9" i="27"/>
  <c r="AU9" i="27"/>
  <c r="AS9" i="27"/>
  <c r="AR9" i="27"/>
  <c r="AQ9" i="27"/>
  <c r="AP9" i="27"/>
  <c r="AV16" i="27"/>
  <c r="AU16" i="27"/>
  <c r="AS16" i="27"/>
  <c r="AR16" i="27"/>
  <c r="AQ16" i="27"/>
  <c r="AP16" i="27"/>
  <c r="AV6" i="27"/>
  <c r="AU6" i="27"/>
  <c r="AS6" i="27"/>
  <c r="AR6" i="27"/>
  <c r="AQ6" i="27"/>
  <c r="AP6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6" i="26"/>
  <c r="BX16" i="26"/>
  <c r="BV16" i="26"/>
  <c r="BU16" i="26"/>
  <c r="BT16" i="26"/>
  <c r="BW16" i="26" s="1"/>
  <c r="BS16" i="26"/>
  <c r="BY18" i="26"/>
  <c r="BX18" i="26"/>
  <c r="BV18" i="26"/>
  <c r="BU18" i="26"/>
  <c r="BT18" i="26"/>
  <c r="BS18" i="26"/>
  <c r="BY10" i="26"/>
  <c r="BX10" i="26"/>
  <c r="BV10" i="26"/>
  <c r="BU10" i="26"/>
  <c r="BT10" i="26"/>
  <c r="BS10" i="26"/>
  <c r="BY15" i="26"/>
  <c r="BX15" i="26"/>
  <c r="BV15" i="26"/>
  <c r="BU15" i="26"/>
  <c r="BT15" i="26"/>
  <c r="BS15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9" i="26"/>
  <c r="BX19" i="26"/>
  <c r="BV19" i="26"/>
  <c r="BU19" i="26"/>
  <c r="BT19" i="26"/>
  <c r="BS19" i="26"/>
  <c r="BY14" i="26"/>
  <c r="BX14" i="26"/>
  <c r="BV14" i="26"/>
  <c r="BU14" i="26"/>
  <c r="BT14" i="26"/>
  <c r="BW14" i="26" s="1"/>
  <c r="BS14" i="26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W4" i="26" s="1"/>
  <c r="BS4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6" i="26"/>
  <c r="AU16" i="26"/>
  <c r="AS16" i="26"/>
  <c r="AR16" i="26"/>
  <c r="AQ16" i="26"/>
  <c r="AP16" i="26"/>
  <c r="AV18" i="26"/>
  <c r="AU18" i="26"/>
  <c r="AS18" i="26"/>
  <c r="AR18" i="26"/>
  <c r="AQ18" i="26"/>
  <c r="AP18" i="26"/>
  <c r="AV10" i="26"/>
  <c r="AU10" i="26"/>
  <c r="AS10" i="26"/>
  <c r="AR10" i="26"/>
  <c r="AQ10" i="26"/>
  <c r="AP10" i="26"/>
  <c r="AV15" i="26"/>
  <c r="AU15" i="26"/>
  <c r="AS15" i="26"/>
  <c r="AR15" i="26"/>
  <c r="AQ15" i="26"/>
  <c r="AP15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4" i="26"/>
  <c r="AU14" i="26"/>
  <c r="AS14" i="26"/>
  <c r="AR14" i="26"/>
  <c r="AQ14" i="26"/>
  <c r="AP14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18" i="22"/>
  <c r="BX18" i="22"/>
  <c r="BW18" i="22"/>
  <c r="BU18" i="22"/>
  <c r="BT18" i="22"/>
  <c r="BS18" i="22"/>
  <c r="BR18" i="22"/>
  <c r="BV18" i="22" s="1"/>
  <c r="BQ18" i="22"/>
  <c r="BP18" i="22"/>
  <c r="BY13" i="22"/>
  <c r="BX13" i="22"/>
  <c r="BW13" i="22"/>
  <c r="BU13" i="22"/>
  <c r="BT13" i="22"/>
  <c r="BS13" i="22"/>
  <c r="BR13" i="22"/>
  <c r="BQ13" i="22"/>
  <c r="BP13" i="22"/>
  <c r="BY19" i="22"/>
  <c r="BX19" i="22"/>
  <c r="BW19" i="22"/>
  <c r="BU19" i="22"/>
  <c r="BT19" i="22"/>
  <c r="BS19" i="22"/>
  <c r="BR19" i="22"/>
  <c r="BV19" i="22" s="1"/>
  <c r="BQ19" i="22"/>
  <c r="BP19" i="22"/>
  <c r="BY12" i="22"/>
  <c r="BX12" i="22"/>
  <c r="BW12" i="22"/>
  <c r="BU12" i="22"/>
  <c r="BT12" i="22"/>
  <c r="BS12" i="22"/>
  <c r="BR12" i="22"/>
  <c r="BV12" i="22" s="1"/>
  <c r="BQ12" i="22"/>
  <c r="BP12" i="22"/>
  <c r="BY15" i="22"/>
  <c r="BX15" i="22"/>
  <c r="BW15" i="22"/>
  <c r="BU15" i="22"/>
  <c r="BT15" i="22"/>
  <c r="BS15" i="22"/>
  <c r="BR15" i="22"/>
  <c r="BV15" i="22" s="1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6" i="22"/>
  <c r="BX16" i="22"/>
  <c r="BW16" i="22"/>
  <c r="BU16" i="22"/>
  <c r="BT16" i="22"/>
  <c r="BS16" i="22"/>
  <c r="BR16" i="22"/>
  <c r="BV16" i="22" s="1"/>
  <c r="BQ16" i="22"/>
  <c r="BP16" i="22"/>
  <c r="BY11" i="22"/>
  <c r="BX11" i="22"/>
  <c r="BW11" i="22"/>
  <c r="BU11" i="22"/>
  <c r="BT11" i="22"/>
  <c r="BS11" i="22"/>
  <c r="BR11" i="22"/>
  <c r="BV11" i="22" s="1"/>
  <c r="BQ11" i="22"/>
  <c r="BP11" i="22"/>
  <c r="BY10" i="22"/>
  <c r="BX10" i="22"/>
  <c r="BW10" i="22"/>
  <c r="BU10" i="22"/>
  <c r="BT10" i="22"/>
  <c r="BS10" i="22"/>
  <c r="BR10" i="22"/>
  <c r="BV10" i="22" s="1"/>
  <c r="BQ10" i="22"/>
  <c r="BP10" i="22"/>
  <c r="BY9" i="22"/>
  <c r="BX9" i="22"/>
  <c r="BW9" i="22"/>
  <c r="BU9" i="22"/>
  <c r="BT9" i="22"/>
  <c r="BS9" i="22"/>
  <c r="BR9" i="22"/>
  <c r="BV9" i="22" s="1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17" i="22"/>
  <c r="BX17" i="22"/>
  <c r="BW17" i="22"/>
  <c r="BU17" i="22"/>
  <c r="BT17" i="22"/>
  <c r="BS17" i="22"/>
  <c r="BR17" i="22"/>
  <c r="BV17" i="22" s="1"/>
  <c r="BQ17" i="22"/>
  <c r="BP1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8" i="22"/>
  <c r="AW18" i="22"/>
  <c r="AV18" i="22"/>
  <c r="AT18" i="22"/>
  <c r="AS18" i="22"/>
  <c r="AR18" i="22"/>
  <c r="AQ18" i="22"/>
  <c r="AU18" i="22" s="1"/>
  <c r="AP18" i="22"/>
  <c r="AO18" i="22"/>
  <c r="AX13" i="22"/>
  <c r="AW13" i="22"/>
  <c r="AV13" i="22"/>
  <c r="AT13" i="22"/>
  <c r="AS13" i="22"/>
  <c r="AR13" i="22"/>
  <c r="AQ13" i="22"/>
  <c r="AP13" i="22"/>
  <c r="AO13" i="22"/>
  <c r="AX19" i="22"/>
  <c r="AW19" i="22"/>
  <c r="AV19" i="22"/>
  <c r="AT19" i="22"/>
  <c r="AS19" i="22"/>
  <c r="AR19" i="22"/>
  <c r="AQ19" i="22"/>
  <c r="AU19" i="22" s="1"/>
  <c r="AP19" i="22"/>
  <c r="AO19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6" i="22"/>
  <c r="AW16" i="22"/>
  <c r="AV16" i="22"/>
  <c r="AT16" i="22"/>
  <c r="AS16" i="22"/>
  <c r="AR16" i="22"/>
  <c r="AQ16" i="22"/>
  <c r="AU16" i="22" s="1"/>
  <c r="AP16" i="22"/>
  <c r="AO16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17" i="22"/>
  <c r="AW17" i="22"/>
  <c r="AV17" i="22"/>
  <c r="AT17" i="22"/>
  <c r="AS17" i="22"/>
  <c r="AR17" i="22"/>
  <c r="AQ17" i="22"/>
  <c r="AU17" i="22" s="1"/>
  <c r="AP17" i="22"/>
  <c r="AO1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V23" i="4" s="1"/>
  <c r="BQ23" i="4"/>
  <c r="BP23" i="4"/>
  <c r="BY22" i="4"/>
  <c r="BX22" i="4"/>
  <c r="BW22" i="4"/>
  <c r="BU22" i="4"/>
  <c r="BT22" i="4"/>
  <c r="BS22" i="4"/>
  <c r="BR22" i="4"/>
  <c r="BQ22" i="4"/>
  <c r="BP22" i="4"/>
  <c r="BY26" i="4"/>
  <c r="BX26" i="4"/>
  <c r="BW26" i="4"/>
  <c r="BU26" i="4"/>
  <c r="BT26" i="4"/>
  <c r="BS26" i="4"/>
  <c r="BR26" i="4"/>
  <c r="BV26" i="4" s="1"/>
  <c r="BQ26" i="4"/>
  <c r="BP26" i="4"/>
  <c r="BY25" i="4"/>
  <c r="BX25" i="4"/>
  <c r="BW25" i="4"/>
  <c r="BU25" i="4"/>
  <c r="BT25" i="4"/>
  <c r="BS25" i="4"/>
  <c r="BR25" i="4"/>
  <c r="BV25" i="4" s="1"/>
  <c r="BQ25" i="4"/>
  <c r="BP25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V21" i="4" s="1"/>
  <c r="BQ21" i="4"/>
  <c r="BP21" i="4"/>
  <c r="BY27" i="4"/>
  <c r="BX27" i="4"/>
  <c r="BW27" i="4"/>
  <c r="BU27" i="4"/>
  <c r="BT27" i="4"/>
  <c r="BS27" i="4"/>
  <c r="BR27" i="4"/>
  <c r="BV27" i="4" s="1"/>
  <c r="BQ27" i="4"/>
  <c r="BP27" i="4"/>
  <c r="BY14" i="4"/>
  <c r="BX14" i="4"/>
  <c r="BW14" i="4"/>
  <c r="BU14" i="4"/>
  <c r="BT14" i="4"/>
  <c r="BS14" i="4"/>
  <c r="BR14" i="4"/>
  <c r="BQ14" i="4"/>
  <c r="BP14" i="4"/>
  <c r="BY19" i="4"/>
  <c r="BX19" i="4"/>
  <c r="BW19" i="4"/>
  <c r="BU19" i="4"/>
  <c r="BT19" i="4"/>
  <c r="BS19" i="4"/>
  <c r="BR19" i="4"/>
  <c r="BQ19" i="4"/>
  <c r="BP19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8" i="4"/>
  <c r="BX18" i="4"/>
  <c r="BW18" i="4"/>
  <c r="BU18" i="4"/>
  <c r="BT18" i="4"/>
  <c r="BS18" i="4"/>
  <c r="BR18" i="4"/>
  <c r="BQ18" i="4"/>
  <c r="BP18" i="4"/>
  <c r="BY12" i="4"/>
  <c r="BX12" i="4"/>
  <c r="BW12" i="4"/>
  <c r="BU12" i="4"/>
  <c r="BT12" i="4"/>
  <c r="BS12" i="4"/>
  <c r="BR12" i="4"/>
  <c r="BQ12" i="4"/>
  <c r="BP12" i="4"/>
  <c r="BY8" i="4"/>
  <c r="BX8" i="4"/>
  <c r="BW8" i="4"/>
  <c r="BU8" i="4"/>
  <c r="BT8" i="4"/>
  <c r="BS8" i="4"/>
  <c r="BR8" i="4"/>
  <c r="BQ8" i="4"/>
  <c r="BP8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U22" i="4" s="1"/>
  <c r="AP22" i="4"/>
  <c r="AO22" i="4"/>
  <c r="AX26" i="4"/>
  <c r="AW26" i="4"/>
  <c r="AV26" i="4"/>
  <c r="AT26" i="4"/>
  <c r="AS26" i="4"/>
  <c r="AR26" i="4"/>
  <c r="AQ26" i="4"/>
  <c r="AU26" i="4" s="1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7" i="4"/>
  <c r="AW27" i="4"/>
  <c r="AV27" i="4"/>
  <c r="AT27" i="4"/>
  <c r="AS27" i="4"/>
  <c r="AR27" i="4"/>
  <c r="AQ27" i="4"/>
  <c r="AP27" i="4"/>
  <c r="AO27" i="4"/>
  <c r="AX14" i="4"/>
  <c r="AW14" i="4"/>
  <c r="AV14" i="4"/>
  <c r="AT14" i="4"/>
  <c r="AS14" i="4"/>
  <c r="AR14" i="4"/>
  <c r="AQ14" i="4"/>
  <c r="AP14" i="4"/>
  <c r="AO14" i="4"/>
  <c r="AX19" i="4"/>
  <c r="AW19" i="4"/>
  <c r="AV19" i="4"/>
  <c r="AT19" i="4"/>
  <c r="AS19" i="4"/>
  <c r="AR19" i="4"/>
  <c r="AQ19" i="4"/>
  <c r="AP19" i="4"/>
  <c r="AO19" i="4"/>
  <c r="AX20" i="4"/>
  <c r="AW20" i="4"/>
  <c r="AV20" i="4"/>
  <c r="AT20" i="4"/>
  <c r="AS20" i="4"/>
  <c r="AR20" i="4"/>
  <c r="AQ20" i="4"/>
  <c r="AU20" i="4" s="1"/>
  <c r="AP20" i="4"/>
  <c r="AO20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U17" i="4" s="1"/>
  <c r="AP17" i="4"/>
  <c r="AO17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8" i="4"/>
  <c r="AW18" i="4"/>
  <c r="AV18" i="4"/>
  <c r="AT18" i="4"/>
  <c r="AS18" i="4"/>
  <c r="AR18" i="4"/>
  <c r="AQ18" i="4"/>
  <c r="AU18" i="4" s="1"/>
  <c r="AP18" i="4"/>
  <c r="AO18" i="4"/>
  <c r="AX12" i="4"/>
  <c r="AW12" i="4"/>
  <c r="AV12" i="4"/>
  <c r="AT12" i="4"/>
  <c r="AS12" i="4"/>
  <c r="AR12" i="4"/>
  <c r="AQ12" i="4"/>
  <c r="AU12" i="4" s="1"/>
  <c r="AP12" i="4"/>
  <c r="AO12" i="4"/>
  <c r="AX8" i="4"/>
  <c r="AW8" i="4"/>
  <c r="AV8" i="4"/>
  <c r="AT8" i="4"/>
  <c r="AS8" i="4"/>
  <c r="AR8" i="4"/>
  <c r="AQ8" i="4"/>
  <c r="AP8" i="4"/>
  <c r="AO8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V14" i="21"/>
  <c r="CW14" i="21"/>
  <c r="CX14" i="21"/>
  <c r="CY14" i="21"/>
  <c r="DA14" i="21"/>
  <c r="DB14" i="21"/>
  <c r="DZ14" i="21"/>
  <c r="EA14" i="21"/>
  <c r="EB14" i="21"/>
  <c r="EC14" i="21"/>
  <c r="EE14" i="21"/>
  <c r="EF14" i="21"/>
  <c r="FB14" i="21"/>
  <c r="FC14" i="21"/>
  <c r="FD14" i="21"/>
  <c r="FE14" i="21"/>
  <c r="FG14" i="21"/>
  <c r="FH14" i="21"/>
  <c r="GD14" i="21"/>
  <c r="GE14" i="21"/>
  <c r="GF14" i="21"/>
  <c r="GG14" i="21"/>
  <c r="GI14" i="21"/>
  <c r="GJ14" i="21"/>
  <c r="HF14" i="21"/>
  <c r="HG14" i="21"/>
  <c r="HH14" i="21"/>
  <c r="HI14" i="21"/>
  <c r="HK14" i="21"/>
  <c r="HL14" i="21"/>
  <c r="IH14" i="21"/>
  <c r="II14" i="21"/>
  <c r="IJ14" i="21"/>
  <c r="IK14" i="21"/>
  <c r="IM14" i="21"/>
  <c r="IN14" i="21"/>
  <c r="JJ14" i="21"/>
  <c r="JK14" i="21"/>
  <c r="JL14" i="21"/>
  <c r="JM14" i="21"/>
  <c r="JO14" i="21"/>
  <c r="JP14" i="21"/>
  <c r="KL14" i="21"/>
  <c r="KM14" i="21"/>
  <c r="KN14" i="21"/>
  <c r="KO14" i="21"/>
  <c r="KQ14" i="21"/>
  <c r="KR14" i="21"/>
  <c r="LN14" i="21"/>
  <c r="LO14" i="21"/>
  <c r="LP14" i="21"/>
  <c r="LQ14" i="21"/>
  <c r="LS14" i="21"/>
  <c r="LT14" i="21"/>
  <c r="MP14" i="21"/>
  <c r="MQ14" i="21"/>
  <c r="MR14" i="21"/>
  <c r="MS14" i="21"/>
  <c r="MU14" i="21"/>
  <c r="MV14" i="21"/>
  <c r="NR14" i="21"/>
  <c r="NS14" i="21"/>
  <c r="NT14" i="21"/>
  <c r="NU14" i="21"/>
  <c r="NW14" i="21"/>
  <c r="NX14" i="21"/>
  <c r="OT14" i="21"/>
  <c r="OU14" i="21"/>
  <c r="OV14" i="21"/>
  <c r="OW14" i="21"/>
  <c r="OY14" i="21"/>
  <c r="OZ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1" i="21"/>
  <c r="CW21" i="21"/>
  <c r="CX21" i="21"/>
  <c r="CY21" i="21"/>
  <c r="DA21" i="21"/>
  <c r="DB21" i="21"/>
  <c r="DZ21" i="21"/>
  <c r="EA21" i="21"/>
  <c r="EB21" i="21"/>
  <c r="EC21" i="21"/>
  <c r="EE21" i="21"/>
  <c r="EF21" i="21"/>
  <c r="FB21" i="21"/>
  <c r="FC21" i="21"/>
  <c r="FD21" i="21"/>
  <c r="FE21" i="21"/>
  <c r="FG21" i="21"/>
  <c r="FH21" i="21"/>
  <c r="GD21" i="21"/>
  <c r="GE21" i="21"/>
  <c r="GF21" i="21"/>
  <c r="GG21" i="21"/>
  <c r="GI21" i="21"/>
  <c r="GJ21" i="21"/>
  <c r="HF21" i="21"/>
  <c r="HG21" i="21"/>
  <c r="HH21" i="21"/>
  <c r="HI21" i="21"/>
  <c r="HK21" i="21"/>
  <c r="HL21" i="21"/>
  <c r="IH21" i="21"/>
  <c r="II21" i="21"/>
  <c r="IJ21" i="21"/>
  <c r="IK21" i="21"/>
  <c r="IM21" i="21"/>
  <c r="IN21" i="21"/>
  <c r="JJ21" i="21"/>
  <c r="JK21" i="21"/>
  <c r="JL21" i="21"/>
  <c r="JM21" i="21"/>
  <c r="JO21" i="21"/>
  <c r="JP21" i="21"/>
  <c r="KL21" i="21"/>
  <c r="KM21" i="21"/>
  <c r="KN21" i="21"/>
  <c r="KO21" i="21"/>
  <c r="KQ21" i="21"/>
  <c r="KR21" i="21"/>
  <c r="LN21" i="21"/>
  <c r="LO21" i="21"/>
  <c r="LP21" i="21"/>
  <c r="LQ21" i="21"/>
  <c r="LS21" i="21"/>
  <c r="LT21" i="21"/>
  <c r="MP21" i="21"/>
  <c r="MQ21" i="21"/>
  <c r="MR21" i="21"/>
  <c r="MS21" i="21"/>
  <c r="MU21" i="21"/>
  <c r="MV21" i="21"/>
  <c r="NR21" i="21"/>
  <c r="NS21" i="21"/>
  <c r="NT21" i="21"/>
  <c r="NU21" i="21"/>
  <c r="NW21" i="21"/>
  <c r="NX21" i="21"/>
  <c r="OT21" i="21"/>
  <c r="OU21" i="21"/>
  <c r="OV21" i="21"/>
  <c r="OW21" i="21"/>
  <c r="OY21" i="21"/>
  <c r="OZ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20" i="21"/>
  <c r="CW20" i="21"/>
  <c r="CX20" i="21"/>
  <c r="CY20" i="21"/>
  <c r="DA20" i="21"/>
  <c r="DB20" i="21"/>
  <c r="DZ20" i="21"/>
  <c r="EA20" i="21"/>
  <c r="EB20" i="21"/>
  <c r="EC20" i="21"/>
  <c r="EE20" i="21"/>
  <c r="EF20" i="21"/>
  <c r="FB20" i="21"/>
  <c r="FC20" i="21"/>
  <c r="FD20" i="21"/>
  <c r="FE20" i="21"/>
  <c r="FG20" i="21"/>
  <c r="FH20" i="21"/>
  <c r="GD20" i="21"/>
  <c r="GE20" i="21"/>
  <c r="GF20" i="21"/>
  <c r="GG20" i="21"/>
  <c r="GI20" i="21"/>
  <c r="GJ20" i="21"/>
  <c r="HF20" i="21"/>
  <c r="HG20" i="21"/>
  <c r="HH20" i="21"/>
  <c r="HI20" i="21"/>
  <c r="HK20" i="21"/>
  <c r="HL20" i="21"/>
  <c r="IH20" i="21"/>
  <c r="II20" i="21"/>
  <c r="IJ20" i="21"/>
  <c r="IK20" i="21"/>
  <c r="IM20" i="21"/>
  <c r="IN20" i="21"/>
  <c r="JJ20" i="21"/>
  <c r="JK20" i="21"/>
  <c r="JL20" i="21"/>
  <c r="JM20" i="21"/>
  <c r="JO20" i="21"/>
  <c r="JP20" i="21"/>
  <c r="KL20" i="21"/>
  <c r="KM20" i="21"/>
  <c r="KN20" i="21"/>
  <c r="KO20" i="21"/>
  <c r="KQ20" i="21"/>
  <c r="KR20" i="21"/>
  <c r="LN20" i="21"/>
  <c r="LO20" i="21"/>
  <c r="LP20" i="21"/>
  <c r="LQ20" i="21"/>
  <c r="LS20" i="21"/>
  <c r="LT20" i="21"/>
  <c r="MP20" i="21"/>
  <c r="MQ20" i="21"/>
  <c r="MR20" i="21"/>
  <c r="MS20" i="21"/>
  <c r="MU20" i="21"/>
  <c r="MV20" i="21"/>
  <c r="NR20" i="21"/>
  <c r="NS20" i="21"/>
  <c r="NT20" i="21"/>
  <c r="NU20" i="21"/>
  <c r="NW20" i="21"/>
  <c r="NX20" i="21"/>
  <c r="OT20" i="21"/>
  <c r="OU20" i="21"/>
  <c r="OV20" i="21"/>
  <c r="OW20" i="21"/>
  <c r="OY20" i="21"/>
  <c r="OZ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5" i="21"/>
  <c r="CW15" i="21"/>
  <c r="CX15" i="21"/>
  <c r="CY15" i="21"/>
  <c r="DA15" i="21"/>
  <c r="DB15" i="21"/>
  <c r="DZ15" i="21"/>
  <c r="EA15" i="21"/>
  <c r="EB15" i="21"/>
  <c r="EC15" i="21"/>
  <c r="EE15" i="21"/>
  <c r="EF15" i="21"/>
  <c r="FB15" i="21"/>
  <c r="FC15" i="21"/>
  <c r="FD15" i="21"/>
  <c r="FE15" i="21"/>
  <c r="FG15" i="21"/>
  <c r="FH15" i="21"/>
  <c r="GD15" i="21"/>
  <c r="GE15" i="21"/>
  <c r="GF15" i="21"/>
  <c r="GG15" i="21"/>
  <c r="GI15" i="21"/>
  <c r="GJ15" i="21"/>
  <c r="HF15" i="21"/>
  <c r="HG15" i="21"/>
  <c r="HH15" i="21"/>
  <c r="HI15" i="21"/>
  <c r="HK15" i="21"/>
  <c r="HL15" i="21"/>
  <c r="IH15" i="21"/>
  <c r="II15" i="21"/>
  <c r="IJ15" i="21"/>
  <c r="IK15" i="21"/>
  <c r="IM15" i="21"/>
  <c r="IN15" i="21"/>
  <c r="JJ15" i="21"/>
  <c r="JK15" i="21"/>
  <c r="JL15" i="21"/>
  <c r="JM15" i="21"/>
  <c r="JO15" i="21"/>
  <c r="JP15" i="21"/>
  <c r="KL15" i="21"/>
  <c r="KM15" i="21"/>
  <c r="KN15" i="21"/>
  <c r="KO15" i="21"/>
  <c r="KQ15" i="21"/>
  <c r="KR15" i="21"/>
  <c r="LN15" i="21"/>
  <c r="LO15" i="21"/>
  <c r="LP15" i="21"/>
  <c r="LQ15" i="21"/>
  <c r="LS15" i="21"/>
  <c r="LT15" i="21"/>
  <c r="MP15" i="21"/>
  <c r="MQ15" i="21"/>
  <c r="MR15" i="21"/>
  <c r="MS15" i="21"/>
  <c r="MU15" i="21"/>
  <c r="MV15" i="21"/>
  <c r="NR15" i="21"/>
  <c r="NS15" i="21"/>
  <c r="NT15" i="21"/>
  <c r="NU15" i="21"/>
  <c r="NW15" i="21"/>
  <c r="NX15" i="21"/>
  <c r="OT15" i="21"/>
  <c r="OU15" i="21"/>
  <c r="OV15" i="21"/>
  <c r="OW15" i="21"/>
  <c r="OY15" i="21"/>
  <c r="OZ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23" i="21"/>
  <c r="CW23" i="21"/>
  <c r="CX23" i="21"/>
  <c r="CY23" i="21"/>
  <c r="DA23" i="21"/>
  <c r="DB23" i="21"/>
  <c r="DZ23" i="21"/>
  <c r="EA23" i="21"/>
  <c r="EB23" i="21"/>
  <c r="EC23" i="21"/>
  <c r="EE23" i="21"/>
  <c r="EF23" i="21"/>
  <c r="FB23" i="21"/>
  <c r="FC23" i="21"/>
  <c r="FD23" i="21"/>
  <c r="FE23" i="21"/>
  <c r="FG23" i="21"/>
  <c r="FH23" i="21"/>
  <c r="GD23" i="21"/>
  <c r="GE23" i="21"/>
  <c r="GF23" i="21"/>
  <c r="GG23" i="21"/>
  <c r="GI23" i="21"/>
  <c r="GJ23" i="21"/>
  <c r="HF23" i="21"/>
  <c r="HG23" i="21"/>
  <c r="HH23" i="21"/>
  <c r="HI23" i="21"/>
  <c r="HK23" i="21"/>
  <c r="HL23" i="21"/>
  <c r="IH23" i="21"/>
  <c r="II23" i="21"/>
  <c r="IJ23" i="21"/>
  <c r="IK23" i="21"/>
  <c r="IM23" i="21"/>
  <c r="IN23" i="21"/>
  <c r="JJ23" i="21"/>
  <c r="JK23" i="21"/>
  <c r="JL23" i="21"/>
  <c r="JM23" i="21"/>
  <c r="JO23" i="21"/>
  <c r="JP23" i="21"/>
  <c r="KL23" i="21"/>
  <c r="KM23" i="21"/>
  <c r="KN23" i="21"/>
  <c r="KO23" i="21"/>
  <c r="KQ23" i="21"/>
  <c r="KR23" i="21"/>
  <c r="LN23" i="21"/>
  <c r="LO23" i="21"/>
  <c r="LP23" i="21"/>
  <c r="LQ23" i="21"/>
  <c r="LS23" i="21"/>
  <c r="LT23" i="21"/>
  <c r="MP23" i="21"/>
  <c r="MQ23" i="21"/>
  <c r="MR23" i="21"/>
  <c r="MS23" i="21"/>
  <c r="MU23" i="21"/>
  <c r="MV23" i="21"/>
  <c r="NR23" i="21"/>
  <c r="NS23" i="21"/>
  <c r="NT23" i="21"/>
  <c r="NU23" i="21"/>
  <c r="NW23" i="21"/>
  <c r="NX23" i="21"/>
  <c r="OT23" i="21"/>
  <c r="OU23" i="21"/>
  <c r="OV23" i="21"/>
  <c r="OW23" i="21"/>
  <c r="OY23" i="21"/>
  <c r="OZ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8" i="21"/>
  <c r="CW8" i="21"/>
  <c r="CX8" i="21"/>
  <c r="CY8" i="21"/>
  <c r="DA8" i="21"/>
  <c r="DB8" i="21"/>
  <c r="DZ8" i="21"/>
  <c r="EA8" i="21"/>
  <c r="EB8" i="21"/>
  <c r="EC8" i="21"/>
  <c r="EE8" i="21"/>
  <c r="EF8" i="21"/>
  <c r="FB8" i="21"/>
  <c r="FC8" i="21"/>
  <c r="FD8" i="21"/>
  <c r="FE8" i="21"/>
  <c r="FG8" i="21"/>
  <c r="FH8" i="21"/>
  <c r="GD8" i="21"/>
  <c r="GE8" i="21"/>
  <c r="GF8" i="21"/>
  <c r="GG8" i="21"/>
  <c r="GI8" i="21"/>
  <c r="GJ8" i="21"/>
  <c r="HF8" i="21"/>
  <c r="HG8" i="21"/>
  <c r="HH8" i="21"/>
  <c r="HI8" i="21"/>
  <c r="HK8" i="21"/>
  <c r="HL8" i="21"/>
  <c r="IH8" i="21"/>
  <c r="II8" i="21"/>
  <c r="IJ8" i="21"/>
  <c r="IK8" i="21"/>
  <c r="IM8" i="21"/>
  <c r="IN8" i="21"/>
  <c r="JJ8" i="21"/>
  <c r="JK8" i="21"/>
  <c r="JL8" i="21"/>
  <c r="JM8" i="21"/>
  <c r="JO8" i="21"/>
  <c r="JP8" i="21"/>
  <c r="KL8" i="21"/>
  <c r="KM8" i="21"/>
  <c r="KN8" i="21"/>
  <c r="KO8" i="21"/>
  <c r="KQ8" i="21"/>
  <c r="KR8" i="21"/>
  <c r="LN8" i="21"/>
  <c r="LO8" i="21"/>
  <c r="LP8" i="21"/>
  <c r="LQ8" i="21"/>
  <c r="LS8" i="21"/>
  <c r="LT8" i="21"/>
  <c r="MP8" i="21"/>
  <c r="MQ8" i="21"/>
  <c r="MR8" i="21"/>
  <c r="MS8" i="21"/>
  <c r="MU8" i="21"/>
  <c r="MV8" i="21"/>
  <c r="NR8" i="21"/>
  <c r="NS8" i="21"/>
  <c r="NT8" i="21"/>
  <c r="NU8" i="21"/>
  <c r="NW8" i="21"/>
  <c r="NX8" i="21"/>
  <c r="OT8" i="21"/>
  <c r="OU8" i="21"/>
  <c r="OV8" i="21"/>
  <c r="OW8" i="21"/>
  <c r="OY8" i="21"/>
  <c r="OZ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15" i="27"/>
  <c r="CW15" i="27"/>
  <c r="CX15" i="27"/>
  <c r="CY15" i="27"/>
  <c r="DA15" i="27"/>
  <c r="DB15" i="27"/>
  <c r="DZ15" i="27"/>
  <c r="EA15" i="27"/>
  <c r="EB15" i="27"/>
  <c r="EC15" i="27"/>
  <c r="EE15" i="27"/>
  <c r="EF15" i="27"/>
  <c r="FB15" i="27"/>
  <c r="FC15" i="27"/>
  <c r="FD15" i="27"/>
  <c r="FE15" i="27"/>
  <c r="FG15" i="27"/>
  <c r="FH15" i="27"/>
  <c r="GD15" i="27"/>
  <c r="GE15" i="27"/>
  <c r="GF15" i="27"/>
  <c r="GG15" i="27"/>
  <c r="GI15" i="27"/>
  <c r="GJ15" i="27"/>
  <c r="HF15" i="27"/>
  <c r="HG15" i="27"/>
  <c r="HH15" i="27"/>
  <c r="HI15" i="27"/>
  <c r="HK15" i="27"/>
  <c r="HL15" i="27"/>
  <c r="IH15" i="27"/>
  <c r="II15" i="27"/>
  <c r="IJ15" i="27"/>
  <c r="IK15" i="27"/>
  <c r="IM15" i="27"/>
  <c r="IN15" i="27"/>
  <c r="JJ15" i="27"/>
  <c r="JK15" i="27"/>
  <c r="JL15" i="27"/>
  <c r="JM15" i="27"/>
  <c r="JO15" i="27"/>
  <c r="JP15" i="27"/>
  <c r="KL15" i="27"/>
  <c r="KM15" i="27"/>
  <c r="KN15" i="27"/>
  <c r="KO15" i="27"/>
  <c r="KQ15" i="27"/>
  <c r="KR15" i="27"/>
  <c r="LN15" i="27"/>
  <c r="LO15" i="27"/>
  <c r="LP15" i="27"/>
  <c r="LQ15" i="27"/>
  <c r="LS15" i="27"/>
  <c r="LT15" i="27"/>
  <c r="MP15" i="27"/>
  <c r="MQ15" i="27"/>
  <c r="MR15" i="27"/>
  <c r="MS15" i="27"/>
  <c r="MU15" i="27"/>
  <c r="MV15" i="27"/>
  <c r="NR15" i="27"/>
  <c r="NS15" i="27"/>
  <c r="NT15" i="27"/>
  <c r="NU15" i="27"/>
  <c r="NW15" i="27"/>
  <c r="NX15" i="27"/>
  <c r="OT15" i="27"/>
  <c r="OU15" i="27"/>
  <c r="OV15" i="27"/>
  <c r="OW15" i="27"/>
  <c r="OY15" i="27"/>
  <c r="OZ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7" i="27"/>
  <c r="CW17" i="27"/>
  <c r="CX17" i="27"/>
  <c r="CY17" i="27"/>
  <c r="DA17" i="27"/>
  <c r="DB17" i="27"/>
  <c r="DZ17" i="27"/>
  <c r="EA17" i="27"/>
  <c r="EB17" i="27"/>
  <c r="EC17" i="27"/>
  <c r="EE17" i="27"/>
  <c r="EF17" i="27"/>
  <c r="FB17" i="27"/>
  <c r="FC17" i="27"/>
  <c r="FD17" i="27"/>
  <c r="FE17" i="27"/>
  <c r="FG17" i="27"/>
  <c r="FH17" i="27"/>
  <c r="GD17" i="27"/>
  <c r="GE17" i="27"/>
  <c r="GF17" i="27"/>
  <c r="GG17" i="27"/>
  <c r="GI17" i="27"/>
  <c r="GJ17" i="27"/>
  <c r="HF17" i="27"/>
  <c r="HG17" i="27"/>
  <c r="HH17" i="27"/>
  <c r="HI17" i="27"/>
  <c r="HK17" i="27"/>
  <c r="HL17" i="27"/>
  <c r="IH17" i="27"/>
  <c r="II17" i="27"/>
  <c r="IJ17" i="27"/>
  <c r="IK17" i="27"/>
  <c r="IM17" i="27"/>
  <c r="IN17" i="27"/>
  <c r="JJ17" i="27"/>
  <c r="JK17" i="27"/>
  <c r="JL17" i="27"/>
  <c r="JM17" i="27"/>
  <c r="JO17" i="27"/>
  <c r="JP17" i="27"/>
  <c r="KL17" i="27"/>
  <c r="KM17" i="27"/>
  <c r="KN17" i="27"/>
  <c r="KO17" i="27"/>
  <c r="KQ17" i="27"/>
  <c r="KR17" i="27"/>
  <c r="LN17" i="27"/>
  <c r="LO17" i="27"/>
  <c r="LP17" i="27"/>
  <c r="LQ17" i="27"/>
  <c r="LS17" i="27"/>
  <c r="LT17" i="27"/>
  <c r="MP17" i="27"/>
  <c r="MQ17" i="27"/>
  <c r="MR17" i="27"/>
  <c r="MS17" i="27"/>
  <c r="MU17" i="27"/>
  <c r="MV17" i="27"/>
  <c r="NR17" i="27"/>
  <c r="NS17" i="27"/>
  <c r="NT17" i="27"/>
  <c r="NU17" i="27"/>
  <c r="NW17" i="27"/>
  <c r="NX17" i="27"/>
  <c r="OT17" i="27"/>
  <c r="OU17" i="27"/>
  <c r="OV17" i="27"/>
  <c r="OW17" i="27"/>
  <c r="OY17" i="27"/>
  <c r="OZ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17" i="26"/>
  <c r="CW17" i="26"/>
  <c r="CX17" i="26"/>
  <c r="CY17" i="26"/>
  <c r="DA17" i="26"/>
  <c r="DB17" i="26"/>
  <c r="DZ17" i="26"/>
  <c r="EA17" i="26"/>
  <c r="EB17" i="26"/>
  <c r="EC17" i="26"/>
  <c r="EE17" i="26"/>
  <c r="EF17" i="26"/>
  <c r="FB17" i="26"/>
  <c r="FC17" i="26"/>
  <c r="FD17" i="26"/>
  <c r="FE17" i="26"/>
  <c r="FG17" i="26"/>
  <c r="FH17" i="26"/>
  <c r="GD17" i="26"/>
  <c r="GE17" i="26"/>
  <c r="GF17" i="26"/>
  <c r="GG17" i="26"/>
  <c r="GI17" i="26"/>
  <c r="GJ17" i="26"/>
  <c r="HF17" i="26"/>
  <c r="HG17" i="26"/>
  <c r="HH17" i="26"/>
  <c r="HI17" i="26"/>
  <c r="HK17" i="26"/>
  <c r="HL17" i="26"/>
  <c r="IH17" i="26"/>
  <c r="II17" i="26"/>
  <c r="IJ17" i="26"/>
  <c r="IK17" i="26"/>
  <c r="IM17" i="26"/>
  <c r="IN17" i="26"/>
  <c r="JJ17" i="26"/>
  <c r="JK17" i="26"/>
  <c r="JL17" i="26"/>
  <c r="JM17" i="26"/>
  <c r="JO17" i="26"/>
  <c r="JP17" i="26"/>
  <c r="KL17" i="26"/>
  <c r="KM17" i="26"/>
  <c r="KN17" i="26"/>
  <c r="KO17" i="26"/>
  <c r="KQ17" i="26"/>
  <c r="KR17" i="26"/>
  <c r="LN17" i="26"/>
  <c r="LO17" i="26"/>
  <c r="LP17" i="26"/>
  <c r="LQ17" i="26"/>
  <c r="LS17" i="26"/>
  <c r="LT17" i="26"/>
  <c r="MP17" i="26"/>
  <c r="MQ17" i="26"/>
  <c r="MR17" i="26"/>
  <c r="MS17" i="26"/>
  <c r="MU17" i="26"/>
  <c r="MV17" i="26"/>
  <c r="NR17" i="26"/>
  <c r="NS17" i="26"/>
  <c r="NT17" i="26"/>
  <c r="NU17" i="26"/>
  <c r="NW17" i="26"/>
  <c r="NX17" i="26"/>
  <c r="OT17" i="26"/>
  <c r="OU17" i="26"/>
  <c r="OV17" i="26"/>
  <c r="OW17" i="26"/>
  <c r="OY17" i="26"/>
  <c r="OZ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20" i="26"/>
  <c r="CW20" i="26"/>
  <c r="CX20" i="26"/>
  <c r="CY20" i="26"/>
  <c r="DA20" i="26"/>
  <c r="DB20" i="26"/>
  <c r="DZ20" i="26"/>
  <c r="EA20" i="26"/>
  <c r="EB20" i="26"/>
  <c r="EC20" i="26"/>
  <c r="EE20" i="26"/>
  <c r="EF20" i="26"/>
  <c r="FB20" i="26"/>
  <c r="FC20" i="26"/>
  <c r="FD20" i="26"/>
  <c r="FE20" i="26"/>
  <c r="FG20" i="26"/>
  <c r="FH20" i="26"/>
  <c r="GD20" i="26"/>
  <c r="GE20" i="26"/>
  <c r="GF20" i="26"/>
  <c r="GG20" i="26"/>
  <c r="GI20" i="26"/>
  <c r="GJ20" i="26"/>
  <c r="HF20" i="26"/>
  <c r="HG20" i="26"/>
  <c r="HH20" i="26"/>
  <c r="HI20" i="26"/>
  <c r="HK20" i="26"/>
  <c r="HL20" i="26"/>
  <c r="IH20" i="26"/>
  <c r="II20" i="26"/>
  <c r="IJ20" i="26"/>
  <c r="IK20" i="26"/>
  <c r="IM20" i="26"/>
  <c r="IN20" i="26"/>
  <c r="JJ20" i="26"/>
  <c r="JK20" i="26"/>
  <c r="JL20" i="26"/>
  <c r="JM20" i="26"/>
  <c r="JO20" i="26"/>
  <c r="JP20" i="26"/>
  <c r="KL20" i="26"/>
  <c r="KM20" i="26"/>
  <c r="KN20" i="26"/>
  <c r="KO20" i="26"/>
  <c r="KQ20" i="26"/>
  <c r="KR20" i="26"/>
  <c r="LN20" i="26"/>
  <c r="LO20" i="26"/>
  <c r="LP20" i="26"/>
  <c r="LQ20" i="26"/>
  <c r="LS20" i="26"/>
  <c r="LT20" i="26"/>
  <c r="MP20" i="26"/>
  <c r="MQ20" i="26"/>
  <c r="MR20" i="26"/>
  <c r="MS20" i="26"/>
  <c r="MU20" i="26"/>
  <c r="MV20" i="26"/>
  <c r="NR20" i="26"/>
  <c r="NS20" i="26"/>
  <c r="NT20" i="26"/>
  <c r="NU20" i="26"/>
  <c r="NW20" i="26"/>
  <c r="NX20" i="26"/>
  <c r="OT20" i="26"/>
  <c r="OU20" i="26"/>
  <c r="OV20" i="26"/>
  <c r="OW20" i="26"/>
  <c r="OY20" i="26"/>
  <c r="OZ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BW16" i="19" l="1"/>
  <c r="BW20" i="19"/>
  <c r="GH16" i="19"/>
  <c r="GH20" i="19"/>
  <c r="NV20" i="19"/>
  <c r="AT18" i="27"/>
  <c r="AW16" i="27"/>
  <c r="BW18" i="26"/>
  <c r="AT4" i="26"/>
  <c r="AT16" i="26"/>
  <c r="BZ17" i="22"/>
  <c r="GT6" i="22"/>
  <c r="PX6" i="22"/>
  <c r="PX11" i="22"/>
  <c r="QE11" i="22" s="1"/>
  <c r="IB13" i="22"/>
  <c r="II13" i="22" s="1"/>
  <c r="RF7" i="22"/>
  <c r="RM7" i="22" s="1"/>
  <c r="FL4" i="22"/>
  <c r="FS4" i="22" s="1"/>
  <c r="FL10" i="22"/>
  <c r="FS10" i="22" s="1"/>
  <c r="FL12" i="22"/>
  <c r="FS12" i="22" s="1"/>
  <c r="FL18" i="22"/>
  <c r="FS18" i="22" s="1"/>
  <c r="KR4" i="22"/>
  <c r="KY4" i="22" s="1"/>
  <c r="KR10" i="22"/>
  <c r="KY10" i="22" s="1"/>
  <c r="KR12" i="22"/>
  <c r="KY12" i="22" s="1"/>
  <c r="KR18" i="22"/>
  <c r="KY18" i="22" s="1"/>
  <c r="OP4" i="22"/>
  <c r="OP10" i="22"/>
  <c r="OW10" i="22" s="1"/>
  <c r="OP12" i="22"/>
  <c r="OW12" i="22" s="1"/>
  <c r="OP18" i="22"/>
  <c r="ED17" i="22"/>
  <c r="EK17" i="22" s="1"/>
  <c r="ED16" i="22"/>
  <c r="EK16" i="22" s="1"/>
  <c r="ED19" i="22"/>
  <c r="EK19" i="22" s="1"/>
  <c r="IB9" i="22"/>
  <c r="II9" i="22" s="1"/>
  <c r="IB15" i="22"/>
  <c r="II15" i="22" s="1"/>
  <c r="JJ8" i="22"/>
  <c r="JQ8" i="22" s="1"/>
  <c r="JJ14" i="22"/>
  <c r="JQ14" i="22" s="1"/>
  <c r="RF9" i="22"/>
  <c r="RM9" i="22" s="1"/>
  <c r="RF15" i="22"/>
  <c r="RM15" i="22" s="1"/>
  <c r="LZ17" i="22"/>
  <c r="MG17" i="22" s="1"/>
  <c r="LZ16" i="22"/>
  <c r="MG16" i="22" s="1"/>
  <c r="LZ19" i="22"/>
  <c r="MG19" i="22" s="1"/>
  <c r="OP15" i="22"/>
  <c r="OW15" i="22" s="1"/>
  <c r="GT17" i="22"/>
  <c r="HA17" i="22" s="1"/>
  <c r="GT16" i="22"/>
  <c r="HA16" i="22" s="1"/>
  <c r="GT19" i="22"/>
  <c r="HA19" i="22" s="1"/>
  <c r="IB5" i="22"/>
  <c r="II5" i="22" s="1"/>
  <c r="PX17" i="22"/>
  <c r="QE17" i="22" s="1"/>
  <c r="PX16" i="22"/>
  <c r="QE16" i="22" s="1"/>
  <c r="PX19" i="22"/>
  <c r="QE19" i="22" s="1"/>
  <c r="RF5" i="22"/>
  <c r="RM5" i="22" s="1"/>
  <c r="ED9" i="22"/>
  <c r="EK9" i="22" s="1"/>
  <c r="ED15" i="22"/>
  <c r="EK15" i="22" s="1"/>
  <c r="JJ5" i="22"/>
  <c r="JQ5" i="22" s="1"/>
  <c r="KR7" i="22"/>
  <c r="KY7" i="22" s="1"/>
  <c r="KR13" i="22"/>
  <c r="KY13" i="22" s="1"/>
  <c r="NH9" i="22"/>
  <c r="NO9" i="22" s="1"/>
  <c r="NH15" i="22"/>
  <c r="NO15" i="22" s="1"/>
  <c r="FL6" i="22"/>
  <c r="FS6" i="22" s="1"/>
  <c r="FL11" i="22"/>
  <c r="FS11" i="22" s="1"/>
  <c r="KR14" i="22"/>
  <c r="KY14" i="22" s="1"/>
  <c r="LZ5" i="22"/>
  <c r="MG5" i="22" s="1"/>
  <c r="OP6" i="22"/>
  <c r="OW6" i="22" s="1"/>
  <c r="OP11" i="22"/>
  <c r="OW11" i="22" s="1"/>
  <c r="ED8" i="22"/>
  <c r="EK8" i="22" s="1"/>
  <c r="ED14" i="22"/>
  <c r="EK14" i="22" s="1"/>
  <c r="GT7" i="22"/>
  <c r="HA7" i="22" s="1"/>
  <c r="GT13" i="22"/>
  <c r="HA13" i="22" s="1"/>
  <c r="LZ4" i="22"/>
  <c r="MG4" i="22" s="1"/>
  <c r="LZ10" i="22"/>
  <c r="MG10" i="22" s="1"/>
  <c r="LZ12" i="22"/>
  <c r="MG12" i="22" s="1"/>
  <c r="LZ18" i="22"/>
  <c r="MG18" i="22" s="1"/>
  <c r="NH8" i="22"/>
  <c r="NO8" i="22" s="1"/>
  <c r="NH14" i="22"/>
  <c r="NO14" i="22" s="1"/>
  <c r="PX7" i="22"/>
  <c r="QE7" i="22" s="1"/>
  <c r="PX13" i="22"/>
  <c r="QE13" i="22" s="1"/>
  <c r="FL7" i="4"/>
  <c r="FL15" i="4"/>
  <c r="FL27" i="4"/>
  <c r="FS27" i="4" s="1"/>
  <c r="OP7" i="4"/>
  <c r="OW7" i="4" s="1"/>
  <c r="OP15" i="4"/>
  <c r="OW15" i="4" s="1"/>
  <c r="OP27" i="4"/>
  <c r="OW27" i="4" s="1"/>
  <c r="ED7" i="4"/>
  <c r="EK7" i="4" s="1"/>
  <c r="ED15" i="4"/>
  <c r="EK15" i="4" s="1"/>
  <c r="ED27" i="4"/>
  <c r="EK27" i="4" s="1"/>
  <c r="NH7" i="4"/>
  <c r="NO7" i="4" s="1"/>
  <c r="NH15" i="4"/>
  <c r="NO15" i="4" s="1"/>
  <c r="NH27" i="4"/>
  <c r="NO27" i="4" s="1"/>
  <c r="AY18" i="4"/>
  <c r="AU23" i="4"/>
  <c r="AY23" i="4" s="1"/>
  <c r="BZ21" i="4"/>
  <c r="BZ26" i="4"/>
  <c r="BV4" i="4"/>
  <c r="BZ4" i="4" s="1"/>
  <c r="BV19" i="4"/>
  <c r="BZ19" i="4" s="1"/>
  <c r="GT7" i="4"/>
  <c r="HA7" i="4" s="1"/>
  <c r="GT15" i="4"/>
  <c r="HA15" i="4" s="1"/>
  <c r="GT27" i="4"/>
  <c r="HA27" i="4" s="1"/>
  <c r="PX7" i="4"/>
  <c r="QE7" i="4" s="1"/>
  <c r="PX15" i="4"/>
  <c r="QE15" i="4" s="1"/>
  <c r="PX27" i="4"/>
  <c r="QE27" i="4" s="1"/>
  <c r="IB7" i="4"/>
  <c r="II7" i="4" s="1"/>
  <c r="IB15" i="4"/>
  <c r="II15" i="4" s="1"/>
  <c r="IB27" i="4"/>
  <c r="II27" i="4" s="1"/>
  <c r="RF7" i="4"/>
  <c r="RM7" i="4" s="1"/>
  <c r="RF15" i="4"/>
  <c r="RM15" i="4" s="1"/>
  <c r="RF27" i="4"/>
  <c r="RM27" i="4" s="1"/>
  <c r="AY22" i="4"/>
  <c r="AU11" i="4"/>
  <c r="AY11" i="4" s="1"/>
  <c r="AU24" i="4"/>
  <c r="AY24" i="4" s="1"/>
  <c r="BV6" i="4"/>
  <c r="BZ6" i="4" s="1"/>
  <c r="JJ7" i="4"/>
  <c r="JQ7" i="4" s="1"/>
  <c r="JJ15" i="4"/>
  <c r="JQ15" i="4" s="1"/>
  <c r="JJ27" i="4"/>
  <c r="JQ27" i="4" s="1"/>
  <c r="KR7" i="4"/>
  <c r="KY7" i="4" s="1"/>
  <c r="KR15" i="4"/>
  <c r="KY15" i="4" s="1"/>
  <c r="KR27" i="4"/>
  <c r="KY27" i="4" s="1"/>
  <c r="LZ7" i="4"/>
  <c r="MG7" i="4" s="1"/>
  <c r="LZ15" i="4"/>
  <c r="MG15" i="4" s="1"/>
  <c r="LZ27" i="4"/>
  <c r="MG27" i="4" s="1"/>
  <c r="AT29" i="21"/>
  <c r="RF29" i="19"/>
  <c r="NV16" i="19"/>
  <c r="AW15" i="19"/>
  <c r="AW31" i="19"/>
  <c r="ED6" i="19"/>
  <c r="ED16" i="19"/>
  <c r="ED20" i="19"/>
  <c r="ED37" i="19"/>
  <c r="GK4" i="19"/>
  <c r="GK18" i="19"/>
  <c r="MW31" i="19"/>
  <c r="MW24" i="19"/>
  <c r="NY36" i="19"/>
  <c r="OX13" i="19"/>
  <c r="OX34" i="19"/>
  <c r="AW37" i="19"/>
  <c r="BW6" i="19"/>
  <c r="NY37" i="19"/>
  <c r="AW10" i="27"/>
  <c r="FF15" i="27"/>
  <c r="AW9" i="27"/>
  <c r="BZ7" i="27"/>
  <c r="AT16" i="27"/>
  <c r="AW13" i="26"/>
  <c r="AT17" i="26"/>
  <c r="FL9" i="22"/>
  <c r="FS9" i="22" s="1"/>
  <c r="FL15" i="22"/>
  <c r="FS15" i="22" s="1"/>
  <c r="GT11" i="22"/>
  <c r="HA11" i="22" s="1"/>
  <c r="IB7" i="22"/>
  <c r="II7" i="22" s="1"/>
  <c r="KR8" i="22"/>
  <c r="KY8" i="22" s="1"/>
  <c r="NH17" i="22"/>
  <c r="NO17" i="22" s="1"/>
  <c r="NH16" i="22"/>
  <c r="NO16" i="22" s="1"/>
  <c r="NH19" i="22"/>
  <c r="NO19" i="22" s="1"/>
  <c r="OP9" i="22"/>
  <c r="OW9" i="22" s="1"/>
  <c r="AU5" i="22"/>
  <c r="AY5" i="22" s="1"/>
  <c r="AU9" i="22"/>
  <c r="AY9" i="22" s="1"/>
  <c r="BZ16" i="22"/>
  <c r="BZ10" i="22"/>
  <c r="BZ18" i="22"/>
  <c r="AY16" i="22"/>
  <c r="ED4" i="22"/>
  <c r="EK4" i="22" s="1"/>
  <c r="ED10" i="22"/>
  <c r="EK10" i="22" s="1"/>
  <c r="ED12" i="22"/>
  <c r="EK12" i="22" s="1"/>
  <c r="ED18" i="22"/>
  <c r="EK18" i="22" s="1"/>
  <c r="FL17" i="22"/>
  <c r="FS17" i="22" s="1"/>
  <c r="FL16" i="22"/>
  <c r="FS16" i="22" s="1"/>
  <c r="FL19" i="22"/>
  <c r="FS19" i="22" s="1"/>
  <c r="GT9" i="22"/>
  <c r="HA9" i="22" s="1"/>
  <c r="GT15" i="22"/>
  <c r="HA15" i="22" s="1"/>
  <c r="IB6" i="22"/>
  <c r="II6" i="22" s="1"/>
  <c r="IB11" i="22"/>
  <c r="II11" i="22" s="1"/>
  <c r="JJ7" i="22"/>
  <c r="JQ7" i="22" s="1"/>
  <c r="JJ13" i="22"/>
  <c r="JQ13" i="22" s="1"/>
  <c r="KR5" i="22"/>
  <c r="KY5" i="22" s="1"/>
  <c r="LZ8" i="22"/>
  <c r="MG8" i="22" s="1"/>
  <c r="LZ14" i="22"/>
  <c r="MG14" i="22" s="1"/>
  <c r="NH4" i="22"/>
  <c r="NO4" i="22" s="1"/>
  <c r="NH10" i="22"/>
  <c r="NO10" i="22" s="1"/>
  <c r="NH12" i="22"/>
  <c r="NO12" i="22" s="1"/>
  <c r="NH18" i="22"/>
  <c r="NO18" i="22" s="1"/>
  <c r="OP17" i="22"/>
  <c r="OW17" i="22" s="1"/>
  <c r="OP16" i="22"/>
  <c r="OW16" i="22" s="1"/>
  <c r="OP19" i="22"/>
  <c r="OW19" i="22" s="1"/>
  <c r="PX9" i="22"/>
  <c r="QE9" i="22" s="1"/>
  <c r="PX15" i="22"/>
  <c r="QE15" i="22" s="1"/>
  <c r="RF6" i="22"/>
  <c r="RM6" i="22" s="1"/>
  <c r="RF11" i="22"/>
  <c r="RM11" i="22" s="1"/>
  <c r="BV17" i="4"/>
  <c r="BZ17" i="4" s="1"/>
  <c r="ED10" i="4"/>
  <c r="EK10" i="4" s="1"/>
  <c r="ED16" i="4"/>
  <c r="EK16" i="4" s="1"/>
  <c r="ED25" i="4"/>
  <c r="EK25" i="4" s="1"/>
  <c r="FL10" i="4"/>
  <c r="FS10" i="4" s="1"/>
  <c r="FL16" i="4"/>
  <c r="FS16" i="4" s="1"/>
  <c r="FL25" i="4"/>
  <c r="FS25" i="4" s="1"/>
  <c r="GT10" i="4"/>
  <c r="HA10" i="4" s="1"/>
  <c r="GT16" i="4"/>
  <c r="HA16" i="4" s="1"/>
  <c r="GT25" i="4"/>
  <c r="HA25" i="4" s="1"/>
  <c r="IB10" i="4"/>
  <c r="II10" i="4" s="1"/>
  <c r="IB16" i="4"/>
  <c r="II16" i="4" s="1"/>
  <c r="IB25" i="4"/>
  <c r="II25" i="4" s="1"/>
  <c r="JJ10" i="4"/>
  <c r="JQ10" i="4" s="1"/>
  <c r="JJ16" i="4"/>
  <c r="JQ16" i="4" s="1"/>
  <c r="JJ25" i="4"/>
  <c r="JQ25" i="4" s="1"/>
  <c r="KR10" i="4"/>
  <c r="KY10" i="4" s="1"/>
  <c r="KR16" i="4"/>
  <c r="KY16" i="4" s="1"/>
  <c r="KR25" i="4"/>
  <c r="KY25" i="4" s="1"/>
  <c r="LZ10" i="4"/>
  <c r="MG10" i="4" s="1"/>
  <c r="LZ16" i="4"/>
  <c r="MG16" i="4" s="1"/>
  <c r="LZ25" i="4"/>
  <c r="MG25" i="4" s="1"/>
  <c r="NH10" i="4"/>
  <c r="NO10" i="4" s="1"/>
  <c r="NH16" i="4"/>
  <c r="NO16" i="4" s="1"/>
  <c r="NH25" i="4"/>
  <c r="NO25" i="4" s="1"/>
  <c r="OP10" i="4"/>
  <c r="OW10" i="4" s="1"/>
  <c r="OP16" i="4"/>
  <c r="OW16" i="4" s="1"/>
  <c r="OP25" i="4"/>
  <c r="OW25" i="4" s="1"/>
  <c r="PX10" i="4"/>
  <c r="QE10" i="4" s="1"/>
  <c r="PX16" i="4"/>
  <c r="QE16" i="4" s="1"/>
  <c r="PX25" i="4"/>
  <c r="QE25" i="4" s="1"/>
  <c r="RF10" i="4"/>
  <c r="RM10" i="4" s="1"/>
  <c r="RF16" i="4"/>
  <c r="RM16" i="4" s="1"/>
  <c r="RF25" i="4"/>
  <c r="RM25" i="4" s="1"/>
  <c r="AU7" i="4"/>
  <c r="AY7" i="4" s="1"/>
  <c r="AU27" i="4"/>
  <c r="AY27" i="4" s="1"/>
  <c r="AU13" i="4"/>
  <c r="AY13" i="4" s="1"/>
  <c r="FS7" i="4"/>
  <c r="FS15" i="4"/>
  <c r="BV18" i="4"/>
  <c r="BZ18" i="4" s="1"/>
  <c r="AU15" i="4"/>
  <c r="AY15" i="4" s="1"/>
  <c r="K36" i="21"/>
  <c r="K26" i="21"/>
  <c r="FF14" i="21"/>
  <c r="BZ11" i="21"/>
  <c r="BZ17" i="21"/>
  <c r="RF35" i="19"/>
  <c r="FF6" i="19"/>
  <c r="FF16" i="19"/>
  <c r="FF37" i="19"/>
  <c r="GH15" i="19"/>
  <c r="MT6" i="19"/>
  <c r="MT16" i="19"/>
  <c r="MT20" i="19"/>
  <c r="MT37" i="19"/>
  <c r="NV7" i="19"/>
  <c r="K35" i="19"/>
  <c r="J35" i="19" s="1"/>
  <c r="BW8" i="19"/>
  <c r="BW13" i="19"/>
  <c r="BW25" i="19"/>
  <c r="GH25" i="19"/>
  <c r="KP6" i="19"/>
  <c r="KP16" i="19"/>
  <c r="KP20" i="19"/>
  <c r="KP37" i="19"/>
  <c r="GK11" i="19"/>
  <c r="GK9" i="19"/>
  <c r="HJ6" i="19"/>
  <c r="HJ16" i="19"/>
  <c r="HJ20" i="19"/>
  <c r="HJ37" i="19"/>
  <c r="JQ4" i="19"/>
  <c r="KP8" i="19"/>
  <c r="KP13" i="19"/>
  <c r="KP34" i="19"/>
  <c r="KP25" i="19"/>
  <c r="MW38" i="19"/>
  <c r="NY5" i="19"/>
  <c r="OX6" i="19"/>
  <c r="OX16" i="19"/>
  <c r="OX20" i="19"/>
  <c r="OX37" i="19"/>
  <c r="BZ4" i="19"/>
  <c r="BW21" i="19"/>
  <c r="BZ18" i="19"/>
  <c r="K33" i="19"/>
  <c r="J33" i="19" s="1"/>
  <c r="A33" i="19" s="1" a="1"/>
  <c r="A33" i="19" s="1"/>
  <c r="BW14" i="19"/>
  <c r="BW19" i="19"/>
  <c r="BW28" i="19"/>
  <c r="GH14" i="19"/>
  <c r="GH19" i="19"/>
  <c r="AW23" i="19"/>
  <c r="BZ11" i="27"/>
  <c r="AT14" i="27"/>
  <c r="AW7" i="27"/>
  <c r="AW4" i="27"/>
  <c r="AW18" i="27"/>
  <c r="BW16" i="27"/>
  <c r="BW18" i="27"/>
  <c r="AW6" i="27"/>
  <c r="BW15" i="27"/>
  <c r="AW12" i="27"/>
  <c r="BZ5" i="27"/>
  <c r="AW8" i="27"/>
  <c r="BW8" i="27"/>
  <c r="BZ17" i="27"/>
  <c r="AT15" i="27"/>
  <c r="BW14" i="27"/>
  <c r="AW11" i="27"/>
  <c r="BZ16" i="27"/>
  <c r="BZ12" i="27"/>
  <c r="BZ4" i="27"/>
  <c r="BZ8" i="27"/>
  <c r="BZ18" i="27"/>
  <c r="AW5" i="27"/>
  <c r="BZ9" i="27"/>
  <c r="BZ14" i="27"/>
  <c r="AW13" i="27"/>
  <c r="BZ6" i="27"/>
  <c r="AW14" i="27"/>
  <c r="AT17" i="27"/>
  <c r="AT8" i="27"/>
  <c r="BZ10" i="27"/>
  <c r="AW15" i="26"/>
  <c r="BW8" i="26"/>
  <c r="BW10" i="26"/>
  <c r="BZ7" i="26"/>
  <c r="AT14" i="26"/>
  <c r="AT8" i="26"/>
  <c r="AT10" i="26"/>
  <c r="BZ5" i="26"/>
  <c r="AW11" i="26"/>
  <c r="AW20" i="26"/>
  <c r="NV17" i="26"/>
  <c r="AW18" i="26"/>
  <c r="BZ9" i="26"/>
  <c r="AW9" i="26"/>
  <c r="BW15" i="26"/>
  <c r="AW6" i="26"/>
  <c r="BZ12" i="26"/>
  <c r="AT12" i="26"/>
  <c r="BZ17" i="26"/>
  <c r="BZ6" i="26"/>
  <c r="BZ4" i="26"/>
  <c r="AW4" i="26"/>
  <c r="AW7" i="26"/>
  <c r="BZ14" i="26"/>
  <c r="BZ13" i="26"/>
  <c r="AW14" i="26"/>
  <c r="BZ8" i="26"/>
  <c r="BZ16" i="26"/>
  <c r="AW5" i="26"/>
  <c r="AW8" i="26"/>
  <c r="AW16" i="26"/>
  <c r="BZ19" i="26"/>
  <c r="BZ10" i="26"/>
  <c r="ED17" i="26"/>
  <c r="AW19" i="26"/>
  <c r="AW10" i="26"/>
  <c r="BZ11" i="26"/>
  <c r="BW20" i="26"/>
  <c r="AU14" i="22"/>
  <c r="AY14" i="22" s="1"/>
  <c r="BZ11" i="22"/>
  <c r="AY18" i="22"/>
  <c r="BV5" i="22"/>
  <c r="BZ5" i="22" s="1"/>
  <c r="BZ9" i="22"/>
  <c r="AU11" i="22"/>
  <c r="AY11" i="22" s="1"/>
  <c r="BZ19" i="22"/>
  <c r="BZ12" i="22"/>
  <c r="RF13" i="22"/>
  <c r="RM13" i="22" s="1"/>
  <c r="AY17" i="22"/>
  <c r="BZ14" i="22"/>
  <c r="AY19" i="22"/>
  <c r="AU12" i="22"/>
  <c r="AY12" i="22" s="1"/>
  <c r="AU8" i="22"/>
  <c r="AY8" i="22" s="1"/>
  <c r="AU10" i="22"/>
  <c r="AY10" i="22" s="1"/>
  <c r="BV8" i="22"/>
  <c r="BZ8" i="22" s="1"/>
  <c r="ED5" i="22"/>
  <c r="EK5" i="22" s="1"/>
  <c r="FL8" i="22"/>
  <c r="FS8" i="22" s="1"/>
  <c r="FL14" i="22"/>
  <c r="FS14" i="22" s="1"/>
  <c r="GT4" i="22"/>
  <c r="HA4" i="22" s="1"/>
  <c r="GT10" i="22"/>
  <c r="HA10" i="22" s="1"/>
  <c r="GT12" i="22"/>
  <c r="HA12" i="22" s="1"/>
  <c r="GT18" i="22"/>
  <c r="HA18" i="22" s="1"/>
  <c r="IB17" i="22"/>
  <c r="II17" i="22" s="1"/>
  <c r="IB16" i="22"/>
  <c r="II16" i="22" s="1"/>
  <c r="IB19" i="22"/>
  <c r="II19" i="22" s="1"/>
  <c r="JJ9" i="22"/>
  <c r="JQ9" i="22" s="1"/>
  <c r="JJ15" i="22"/>
  <c r="JQ15" i="22" s="1"/>
  <c r="KR6" i="22"/>
  <c r="KY6" i="22" s="1"/>
  <c r="KR11" i="22"/>
  <c r="KY11" i="22" s="1"/>
  <c r="LZ7" i="22"/>
  <c r="MG7" i="22" s="1"/>
  <c r="LZ13" i="22"/>
  <c r="MG13" i="22" s="1"/>
  <c r="NH5" i="22"/>
  <c r="NO5" i="22" s="1"/>
  <c r="OP8" i="22"/>
  <c r="OW8" i="22" s="1"/>
  <c r="OP14" i="22"/>
  <c r="OW14" i="22" s="1"/>
  <c r="PX4" i="22"/>
  <c r="QE4" i="22" s="1"/>
  <c r="PX10" i="22"/>
  <c r="QE10" i="22" s="1"/>
  <c r="PX12" i="22"/>
  <c r="QE12" i="22" s="1"/>
  <c r="PX18" i="22"/>
  <c r="QE18" i="22" s="1"/>
  <c r="RF17" i="22"/>
  <c r="RM17" i="22" s="1"/>
  <c r="RF16" i="22"/>
  <c r="RM16" i="22" s="1"/>
  <c r="RF19" i="22"/>
  <c r="RM19" i="22" s="1"/>
  <c r="AU15" i="22"/>
  <c r="AY15" i="22" s="1"/>
  <c r="AU13" i="22"/>
  <c r="AY13" i="22" s="1"/>
  <c r="BV13" i="22"/>
  <c r="BZ13" i="22" s="1"/>
  <c r="AU4" i="22"/>
  <c r="AY4" i="22" s="1"/>
  <c r="BV4" i="22"/>
  <c r="BZ4" i="22" s="1"/>
  <c r="ED7" i="22"/>
  <c r="EK7" i="22" s="1"/>
  <c r="ED13" i="22"/>
  <c r="EK13" i="22" s="1"/>
  <c r="FL5" i="22"/>
  <c r="FS5" i="22" s="1"/>
  <c r="GT8" i="22"/>
  <c r="HA8" i="22" s="1"/>
  <c r="GT14" i="22"/>
  <c r="HA14" i="22" s="1"/>
  <c r="IB4" i="22"/>
  <c r="II4" i="22" s="1"/>
  <c r="IB10" i="22"/>
  <c r="II10" i="22" s="1"/>
  <c r="IB12" i="22"/>
  <c r="II12" i="22" s="1"/>
  <c r="IB18" i="22"/>
  <c r="II18" i="22" s="1"/>
  <c r="JJ17" i="22"/>
  <c r="JQ17" i="22" s="1"/>
  <c r="JJ16" i="22"/>
  <c r="JQ16" i="22" s="1"/>
  <c r="JJ19" i="22"/>
  <c r="JQ19" i="22" s="1"/>
  <c r="KR9" i="22"/>
  <c r="KY9" i="22" s="1"/>
  <c r="KR15" i="22"/>
  <c r="KY15" i="22" s="1"/>
  <c r="LZ6" i="22"/>
  <c r="MG6" i="22" s="1"/>
  <c r="LZ11" i="22"/>
  <c r="MG11" i="22" s="1"/>
  <c r="NH7" i="22"/>
  <c r="NO7" i="22" s="1"/>
  <c r="NH13" i="22"/>
  <c r="NO13" i="22" s="1"/>
  <c r="OP5" i="22"/>
  <c r="OW5" i="22" s="1"/>
  <c r="PX8" i="22"/>
  <c r="QE8" i="22" s="1"/>
  <c r="PX14" i="22"/>
  <c r="QE14" i="22" s="1"/>
  <c r="RF4" i="22"/>
  <c r="RM4" i="22" s="1"/>
  <c r="RF10" i="22"/>
  <c r="RM10" i="22" s="1"/>
  <c r="RF12" i="22"/>
  <c r="RM12" i="22" s="1"/>
  <c r="RF18" i="22"/>
  <c r="RM18" i="22" s="1"/>
  <c r="JQ6" i="22"/>
  <c r="JQ11" i="22"/>
  <c r="OW4" i="22"/>
  <c r="OW18" i="22"/>
  <c r="AU6" i="22"/>
  <c r="AY6" i="22" s="1"/>
  <c r="BV6" i="22"/>
  <c r="BZ6" i="22" s="1"/>
  <c r="HA6" i="22"/>
  <c r="QE6" i="22"/>
  <c r="AU7" i="22"/>
  <c r="AY7" i="22" s="1"/>
  <c r="BV7" i="22"/>
  <c r="BZ7" i="22" s="1"/>
  <c r="ED6" i="22"/>
  <c r="EK6" i="22" s="1"/>
  <c r="ED11" i="22"/>
  <c r="EK11" i="22" s="1"/>
  <c r="FL7" i="22"/>
  <c r="FS7" i="22" s="1"/>
  <c r="FL13" i="22"/>
  <c r="FS13" i="22" s="1"/>
  <c r="GT5" i="22"/>
  <c r="HA5" i="22" s="1"/>
  <c r="IB8" i="22"/>
  <c r="II8" i="22" s="1"/>
  <c r="IB14" i="22"/>
  <c r="II14" i="22" s="1"/>
  <c r="JJ4" i="22"/>
  <c r="JQ4" i="22" s="1"/>
  <c r="JJ10" i="22"/>
  <c r="JQ10" i="22" s="1"/>
  <c r="JJ12" i="22"/>
  <c r="JQ12" i="22" s="1"/>
  <c r="JJ18" i="22"/>
  <c r="JQ18" i="22" s="1"/>
  <c r="KR17" i="22"/>
  <c r="KY17" i="22" s="1"/>
  <c r="KR16" i="22"/>
  <c r="KY16" i="22" s="1"/>
  <c r="KR19" i="22"/>
  <c r="KY19" i="22" s="1"/>
  <c r="LZ9" i="22"/>
  <c r="MG9" i="22" s="1"/>
  <c r="LZ15" i="22"/>
  <c r="MG15" i="22" s="1"/>
  <c r="NH6" i="22"/>
  <c r="NO6" i="22" s="1"/>
  <c r="NH11" i="22"/>
  <c r="NO11" i="22" s="1"/>
  <c r="OP7" i="22"/>
  <c r="OW7" i="22" s="1"/>
  <c r="OP13" i="22"/>
  <c r="OW13" i="22" s="1"/>
  <c r="PX5" i="22"/>
  <c r="QE5" i="22" s="1"/>
  <c r="RF8" i="22"/>
  <c r="RM8" i="22" s="1"/>
  <c r="RF14" i="22"/>
  <c r="RM14" i="22" s="1"/>
  <c r="BZ15" i="22"/>
  <c r="ED4" i="4"/>
  <c r="EK4" i="4" s="1"/>
  <c r="ED12" i="4"/>
  <c r="EK12" i="4" s="1"/>
  <c r="ED19" i="4"/>
  <c r="EK19" i="4" s="1"/>
  <c r="ED22" i="4"/>
  <c r="EK22" i="4" s="1"/>
  <c r="FL4" i="4"/>
  <c r="FS4" i="4" s="1"/>
  <c r="FL12" i="4"/>
  <c r="FS12" i="4" s="1"/>
  <c r="FL19" i="4"/>
  <c r="FS19" i="4" s="1"/>
  <c r="FL22" i="4"/>
  <c r="FS22" i="4" s="1"/>
  <c r="GT4" i="4"/>
  <c r="HA4" i="4" s="1"/>
  <c r="GT12" i="4"/>
  <c r="HA12" i="4" s="1"/>
  <c r="GT19" i="4"/>
  <c r="HA19" i="4" s="1"/>
  <c r="GT22" i="4"/>
  <c r="HA22" i="4" s="1"/>
  <c r="IB4" i="4"/>
  <c r="II4" i="4" s="1"/>
  <c r="IB12" i="4"/>
  <c r="II12" i="4" s="1"/>
  <c r="IB19" i="4"/>
  <c r="II19" i="4" s="1"/>
  <c r="IB22" i="4"/>
  <c r="II22" i="4" s="1"/>
  <c r="JJ4" i="4"/>
  <c r="JQ4" i="4" s="1"/>
  <c r="JJ12" i="4"/>
  <c r="JQ12" i="4" s="1"/>
  <c r="JJ19" i="4"/>
  <c r="JQ19" i="4" s="1"/>
  <c r="JJ22" i="4"/>
  <c r="JQ22" i="4" s="1"/>
  <c r="KR4" i="4"/>
  <c r="KY4" i="4" s="1"/>
  <c r="KR12" i="4"/>
  <c r="KY12" i="4" s="1"/>
  <c r="KR19" i="4"/>
  <c r="KY19" i="4" s="1"/>
  <c r="KR22" i="4"/>
  <c r="KY22" i="4" s="1"/>
  <c r="LZ4" i="4"/>
  <c r="MG4" i="4" s="1"/>
  <c r="LZ12" i="4"/>
  <c r="MG12" i="4" s="1"/>
  <c r="LZ19" i="4"/>
  <c r="MG19" i="4" s="1"/>
  <c r="LZ22" i="4"/>
  <c r="MG22" i="4" s="1"/>
  <c r="NH4" i="4"/>
  <c r="NO4" i="4" s="1"/>
  <c r="NH12" i="4"/>
  <c r="NO12" i="4" s="1"/>
  <c r="NH19" i="4"/>
  <c r="NO19" i="4" s="1"/>
  <c r="NH22" i="4"/>
  <c r="NO22" i="4" s="1"/>
  <c r="OP4" i="4"/>
  <c r="OW4" i="4" s="1"/>
  <c r="OP12" i="4"/>
  <c r="OW12" i="4" s="1"/>
  <c r="OP19" i="4"/>
  <c r="OW19" i="4" s="1"/>
  <c r="OP22" i="4"/>
  <c r="OW22" i="4" s="1"/>
  <c r="PX12" i="4"/>
  <c r="QE12" i="4" s="1"/>
  <c r="PX19" i="4"/>
  <c r="QE19" i="4" s="1"/>
  <c r="PX22" i="4"/>
  <c r="QE22" i="4" s="1"/>
  <c r="RF4" i="4"/>
  <c r="RM4" i="4" s="1"/>
  <c r="RF12" i="4"/>
  <c r="RM12" i="4" s="1"/>
  <c r="RF19" i="4"/>
  <c r="RM19" i="4" s="1"/>
  <c r="RF22" i="4"/>
  <c r="RM22" i="4" s="1"/>
  <c r="ED9" i="4"/>
  <c r="EK9" i="4" s="1"/>
  <c r="ED13" i="4"/>
  <c r="EK13" i="4" s="1"/>
  <c r="ED21" i="4"/>
  <c r="EK21" i="4" s="1"/>
  <c r="FL9" i="4"/>
  <c r="FS9" i="4" s="1"/>
  <c r="FL13" i="4"/>
  <c r="FS13" i="4" s="1"/>
  <c r="FL21" i="4"/>
  <c r="FS21" i="4" s="1"/>
  <c r="GT9" i="4"/>
  <c r="HA9" i="4" s="1"/>
  <c r="GT13" i="4"/>
  <c r="HA13" i="4" s="1"/>
  <c r="GT21" i="4"/>
  <c r="HA21" i="4" s="1"/>
  <c r="IB9" i="4"/>
  <c r="II9" i="4" s="1"/>
  <c r="IB13" i="4"/>
  <c r="II13" i="4" s="1"/>
  <c r="IB21" i="4"/>
  <c r="II21" i="4" s="1"/>
  <c r="JJ9" i="4"/>
  <c r="JQ9" i="4" s="1"/>
  <c r="JJ13" i="4"/>
  <c r="JQ13" i="4" s="1"/>
  <c r="JJ21" i="4"/>
  <c r="JQ21" i="4" s="1"/>
  <c r="KR9" i="4"/>
  <c r="KY9" i="4" s="1"/>
  <c r="KR13" i="4"/>
  <c r="KY13" i="4" s="1"/>
  <c r="KR21" i="4"/>
  <c r="KY21" i="4" s="1"/>
  <c r="LZ9" i="4"/>
  <c r="MG9" i="4" s="1"/>
  <c r="LZ13" i="4"/>
  <c r="MG13" i="4" s="1"/>
  <c r="LZ21" i="4"/>
  <c r="MG21" i="4" s="1"/>
  <c r="NH9" i="4"/>
  <c r="NO9" i="4" s="1"/>
  <c r="NH13" i="4"/>
  <c r="NO13" i="4" s="1"/>
  <c r="NH21" i="4"/>
  <c r="NO21" i="4" s="1"/>
  <c r="OP9" i="4"/>
  <c r="OW9" i="4" s="1"/>
  <c r="OP13" i="4"/>
  <c r="OW13" i="4" s="1"/>
  <c r="OP21" i="4"/>
  <c r="OW21" i="4" s="1"/>
  <c r="PX9" i="4"/>
  <c r="QE9" i="4" s="1"/>
  <c r="PX13" i="4"/>
  <c r="QE13" i="4" s="1"/>
  <c r="PX21" i="4"/>
  <c r="QE21" i="4" s="1"/>
  <c r="RF9" i="4"/>
  <c r="RM9" i="4" s="1"/>
  <c r="RF13" i="4"/>
  <c r="RM13" i="4" s="1"/>
  <c r="RF21" i="4"/>
  <c r="RM21" i="4" s="1"/>
  <c r="BV9" i="4"/>
  <c r="BZ9" i="4" s="1"/>
  <c r="BZ23" i="4"/>
  <c r="AY26" i="4"/>
  <c r="AU4" i="4"/>
  <c r="AY4" i="4" s="1"/>
  <c r="AU16" i="4"/>
  <c r="AY16" i="4" s="1"/>
  <c r="BV5" i="4"/>
  <c r="BZ5" i="4" s="1"/>
  <c r="ED6" i="4"/>
  <c r="EK6" i="4" s="1"/>
  <c r="ED18" i="4"/>
  <c r="EK18" i="4" s="1"/>
  <c r="ED14" i="4"/>
  <c r="EK14" i="4" s="1"/>
  <c r="ED23" i="4"/>
  <c r="EK23" i="4" s="1"/>
  <c r="FL6" i="4"/>
  <c r="FS6" i="4" s="1"/>
  <c r="FL18" i="4"/>
  <c r="FS18" i="4" s="1"/>
  <c r="FL14" i="4"/>
  <c r="FS14" i="4" s="1"/>
  <c r="FL23" i="4"/>
  <c r="FS23" i="4" s="1"/>
  <c r="GT6" i="4"/>
  <c r="HA6" i="4" s="1"/>
  <c r="GT18" i="4"/>
  <c r="HA18" i="4" s="1"/>
  <c r="GT14" i="4"/>
  <c r="HA14" i="4" s="1"/>
  <c r="GT23" i="4"/>
  <c r="HA23" i="4" s="1"/>
  <c r="IB6" i="4"/>
  <c r="II6" i="4" s="1"/>
  <c r="IB18" i="4"/>
  <c r="II18" i="4" s="1"/>
  <c r="IB14" i="4"/>
  <c r="II14" i="4" s="1"/>
  <c r="IB23" i="4"/>
  <c r="II23" i="4" s="1"/>
  <c r="JJ6" i="4"/>
  <c r="JQ6" i="4" s="1"/>
  <c r="JJ18" i="4"/>
  <c r="JQ18" i="4" s="1"/>
  <c r="JJ14" i="4"/>
  <c r="JQ14" i="4" s="1"/>
  <c r="JJ23" i="4"/>
  <c r="JQ23" i="4" s="1"/>
  <c r="KR6" i="4"/>
  <c r="KY6" i="4" s="1"/>
  <c r="KR18" i="4"/>
  <c r="KY18" i="4" s="1"/>
  <c r="KR14" i="4"/>
  <c r="KY14" i="4" s="1"/>
  <c r="KR23" i="4"/>
  <c r="KY23" i="4" s="1"/>
  <c r="LZ6" i="4"/>
  <c r="MG6" i="4" s="1"/>
  <c r="LZ18" i="4"/>
  <c r="MG18" i="4" s="1"/>
  <c r="LZ14" i="4"/>
  <c r="MG14" i="4" s="1"/>
  <c r="LZ23" i="4"/>
  <c r="MG23" i="4" s="1"/>
  <c r="NH6" i="4"/>
  <c r="NO6" i="4" s="1"/>
  <c r="NH18" i="4"/>
  <c r="NO18" i="4" s="1"/>
  <c r="NH14" i="4"/>
  <c r="NO14" i="4" s="1"/>
  <c r="NH23" i="4"/>
  <c r="NO23" i="4" s="1"/>
  <c r="OP6" i="4"/>
  <c r="OW6" i="4" s="1"/>
  <c r="OP18" i="4"/>
  <c r="OW18" i="4" s="1"/>
  <c r="OP14" i="4"/>
  <c r="OW14" i="4" s="1"/>
  <c r="OP23" i="4"/>
  <c r="OW23" i="4" s="1"/>
  <c r="PX6" i="4"/>
  <c r="QE6" i="4" s="1"/>
  <c r="PX18" i="4"/>
  <c r="QE18" i="4" s="1"/>
  <c r="PX14" i="4"/>
  <c r="QE14" i="4" s="1"/>
  <c r="PX23" i="4"/>
  <c r="QE23" i="4" s="1"/>
  <c r="RF6" i="4"/>
  <c r="RM6" i="4" s="1"/>
  <c r="RF18" i="4"/>
  <c r="RM18" i="4" s="1"/>
  <c r="RF14" i="4"/>
  <c r="RM14" i="4" s="1"/>
  <c r="RF23" i="4"/>
  <c r="RM23" i="4" s="1"/>
  <c r="AY17" i="4"/>
  <c r="BV13" i="4"/>
  <c r="BZ13" i="4" s="1"/>
  <c r="AY12" i="4"/>
  <c r="AU14" i="4"/>
  <c r="AY14" i="4" s="1"/>
  <c r="BV8" i="4"/>
  <c r="BZ8" i="4" s="1"/>
  <c r="BV15" i="4"/>
  <c r="BZ15" i="4" s="1"/>
  <c r="BV22" i="4"/>
  <c r="BZ22" i="4" s="1"/>
  <c r="AU8" i="4"/>
  <c r="AY8" i="4" s="1"/>
  <c r="ED5" i="4"/>
  <c r="EK5" i="4" s="1"/>
  <c r="ED8" i="4"/>
  <c r="EK8" i="4" s="1"/>
  <c r="ED20" i="4"/>
  <c r="EK20" i="4" s="1"/>
  <c r="ED26" i="4"/>
  <c r="EK26" i="4" s="1"/>
  <c r="FL5" i="4"/>
  <c r="FS5" i="4" s="1"/>
  <c r="FL8" i="4"/>
  <c r="FS8" i="4" s="1"/>
  <c r="FL20" i="4"/>
  <c r="FS20" i="4" s="1"/>
  <c r="FL26" i="4"/>
  <c r="FS26" i="4" s="1"/>
  <c r="GT5" i="4"/>
  <c r="HA5" i="4" s="1"/>
  <c r="GT8" i="4"/>
  <c r="HA8" i="4" s="1"/>
  <c r="GT20" i="4"/>
  <c r="HA20" i="4" s="1"/>
  <c r="GT26" i="4"/>
  <c r="HA26" i="4" s="1"/>
  <c r="IB5" i="4"/>
  <c r="II5" i="4" s="1"/>
  <c r="IB8" i="4"/>
  <c r="II8" i="4" s="1"/>
  <c r="IB20" i="4"/>
  <c r="II20" i="4" s="1"/>
  <c r="IB26" i="4"/>
  <c r="II26" i="4" s="1"/>
  <c r="JJ5" i="4"/>
  <c r="JQ5" i="4" s="1"/>
  <c r="JJ8" i="4"/>
  <c r="JQ8" i="4" s="1"/>
  <c r="JJ20" i="4"/>
  <c r="JQ20" i="4" s="1"/>
  <c r="JJ26" i="4"/>
  <c r="JQ26" i="4" s="1"/>
  <c r="KR5" i="4"/>
  <c r="KY5" i="4" s="1"/>
  <c r="KR8" i="4"/>
  <c r="KY8" i="4" s="1"/>
  <c r="KR20" i="4"/>
  <c r="KY20" i="4" s="1"/>
  <c r="KR26" i="4"/>
  <c r="KY26" i="4" s="1"/>
  <c r="LZ5" i="4"/>
  <c r="MG5" i="4" s="1"/>
  <c r="LZ8" i="4"/>
  <c r="MG8" i="4" s="1"/>
  <c r="LZ20" i="4"/>
  <c r="MG20" i="4" s="1"/>
  <c r="LZ26" i="4"/>
  <c r="MG26" i="4" s="1"/>
  <c r="NH5" i="4"/>
  <c r="NO5" i="4" s="1"/>
  <c r="NH8" i="4"/>
  <c r="NO8" i="4" s="1"/>
  <c r="NH20" i="4"/>
  <c r="NO20" i="4" s="1"/>
  <c r="NH26" i="4"/>
  <c r="NO26" i="4" s="1"/>
  <c r="OP5" i="4"/>
  <c r="OW5" i="4" s="1"/>
  <c r="OP8" i="4"/>
  <c r="OW8" i="4" s="1"/>
  <c r="OP20" i="4"/>
  <c r="OW20" i="4" s="1"/>
  <c r="OP26" i="4"/>
  <c r="OW26" i="4" s="1"/>
  <c r="PX5" i="4"/>
  <c r="QE5" i="4" s="1"/>
  <c r="PX8" i="4"/>
  <c r="QE8" i="4" s="1"/>
  <c r="PX20" i="4"/>
  <c r="QE20" i="4" s="1"/>
  <c r="PX26" i="4"/>
  <c r="QE26" i="4" s="1"/>
  <c r="RF5" i="4"/>
  <c r="RM5" i="4" s="1"/>
  <c r="RF8" i="4"/>
  <c r="RM8" i="4" s="1"/>
  <c r="RF20" i="4"/>
  <c r="RM20" i="4" s="1"/>
  <c r="RF26" i="4"/>
  <c r="RM26" i="4" s="1"/>
  <c r="PX4" i="4"/>
  <c r="QE4" i="4" s="1"/>
  <c r="AU9" i="4"/>
  <c r="AY9" i="4" s="1"/>
  <c r="AU19" i="4"/>
  <c r="AY19" i="4" s="1"/>
  <c r="BV10" i="4"/>
  <c r="BZ10" i="4" s="1"/>
  <c r="ED11" i="4"/>
  <c r="EK11" i="4" s="1"/>
  <c r="ED17" i="4"/>
  <c r="EK17" i="4" s="1"/>
  <c r="ED24" i="4"/>
  <c r="EK24" i="4" s="1"/>
  <c r="FL11" i="4"/>
  <c r="FS11" i="4" s="1"/>
  <c r="FL17" i="4"/>
  <c r="FS17" i="4" s="1"/>
  <c r="FL24" i="4"/>
  <c r="FS24" i="4" s="1"/>
  <c r="GT11" i="4"/>
  <c r="HA11" i="4" s="1"/>
  <c r="GT17" i="4"/>
  <c r="HA17" i="4" s="1"/>
  <c r="GT24" i="4"/>
  <c r="HA24" i="4" s="1"/>
  <c r="IB11" i="4"/>
  <c r="II11" i="4" s="1"/>
  <c r="IB17" i="4"/>
  <c r="II17" i="4" s="1"/>
  <c r="IB24" i="4"/>
  <c r="II24" i="4" s="1"/>
  <c r="JJ11" i="4"/>
  <c r="JQ11" i="4" s="1"/>
  <c r="JJ17" i="4"/>
  <c r="JQ17" i="4" s="1"/>
  <c r="JJ24" i="4"/>
  <c r="JQ24" i="4" s="1"/>
  <c r="KR11" i="4"/>
  <c r="KY11" i="4" s="1"/>
  <c r="KR17" i="4"/>
  <c r="KY17" i="4" s="1"/>
  <c r="KR24" i="4"/>
  <c r="KY24" i="4" s="1"/>
  <c r="LZ11" i="4"/>
  <c r="MG11" i="4" s="1"/>
  <c r="LZ17" i="4"/>
  <c r="MG17" i="4" s="1"/>
  <c r="LZ24" i="4"/>
  <c r="MG24" i="4" s="1"/>
  <c r="NH11" i="4"/>
  <c r="NO11" i="4" s="1"/>
  <c r="NH17" i="4"/>
  <c r="NO17" i="4" s="1"/>
  <c r="NH24" i="4"/>
  <c r="NO24" i="4" s="1"/>
  <c r="OP11" i="4"/>
  <c r="OW11" i="4" s="1"/>
  <c r="OP17" i="4"/>
  <c r="OW17" i="4" s="1"/>
  <c r="OP24" i="4"/>
  <c r="OW24" i="4" s="1"/>
  <c r="PX11" i="4"/>
  <c r="QE11" i="4" s="1"/>
  <c r="PX17" i="4"/>
  <c r="QE17" i="4" s="1"/>
  <c r="PX24" i="4"/>
  <c r="QE24" i="4" s="1"/>
  <c r="RF11" i="4"/>
  <c r="RM11" i="4" s="1"/>
  <c r="RF17" i="4"/>
  <c r="RM17" i="4" s="1"/>
  <c r="RF24" i="4"/>
  <c r="RM24" i="4" s="1"/>
  <c r="AU10" i="4"/>
  <c r="AY10" i="4" s="1"/>
  <c r="BV7" i="4"/>
  <c r="BZ7" i="4" s="1"/>
  <c r="BV16" i="4"/>
  <c r="BZ16" i="4" s="1"/>
  <c r="AU21" i="4"/>
  <c r="AY21" i="4" s="1"/>
  <c r="BZ27" i="4"/>
  <c r="BZ25" i="4"/>
  <c r="AU5" i="4"/>
  <c r="AY5" i="4" s="1"/>
  <c r="AU25" i="4"/>
  <c r="AY25" i="4" s="1"/>
  <c r="BV20" i="4"/>
  <c r="BZ20" i="4" s="1"/>
  <c r="AY20" i="4"/>
  <c r="BV11" i="4"/>
  <c r="BZ11" i="4" s="1"/>
  <c r="AU6" i="4"/>
  <c r="AY6" i="4" s="1"/>
  <c r="BV12" i="4"/>
  <c r="BZ12" i="4" s="1"/>
  <c r="BV14" i="4"/>
  <c r="BZ14" i="4" s="1"/>
  <c r="BV24" i="4"/>
  <c r="BZ24" i="4" s="1"/>
  <c r="RC36" i="21"/>
  <c r="DE34" i="21"/>
  <c r="RC34" i="21"/>
  <c r="DE26" i="21"/>
  <c r="RF36" i="21"/>
  <c r="J36" i="21"/>
  <c r="A36" i="21" s="1" a="1"/>
  <c r="A36" i="21" s="1"/>
  <c r="DE36" i="21"/>
  <c r="M36" i="21"/>
  <c r="DD36" i="21"/>
  <c r="O36" i="21"/>
  <c r="BW16" i="21"/>
  <c r="BW32" i="21"/>
  <c r="K34" i="21"/>
  <c r="J34" i="21" s="1"/>
  <c r="RF26" i="21"/>
  <c r="AW30" i="21"/>
  <c r="RF34" i="21"/>
  <c r="AT17" i="21"/>
  <c r="BW8" i="21"/>
  <c r="BW27" i="21"/>
  <c r="BW18" i="21"/>
  <c r="M34" i="21"/>
  <c r="DD34" i="21"/>
  <c r="O34" i="21"/>
  <c r="BZ15" i="21"/>
  <c r="BZ33" i="21"/>
  <c r="AW9" i="21"/>
  <c r="AW19" i="21"/>
  <c r="AT33" i="21"/>
  <c r="RC25" i="21"/>
  <c r="BZ21" i="21"/>
  <c r="BW4" i="21"/>
  <c r="RC26" i="21"/>
  <c r="BZ5" i="21"/>
  <c r="AT27" i="21"/>
  <c r="J26" i="21"/>
  <c r="A26" i="21" s="1" a="1"/>
  <c r="A26" i="21" s="1"/>
  <c r="M26" i="21"/>
  <c r="DD26" i="21"/>
  <c r="O26" i="21"/>
  <c r="BW7" i="21"/>
  <c r="AT35" i="21"/>
  <c r="BW10" i="21"/>
  <c r="BW28" i="21"/>
  <c r="AT18" i="21"/>
  <c r="AW4" i="21"/>
  <c r="BZ8" i="21"/>
  <c r="BZ31" i="21"/>
  <c r="BZ22" i="21"/>
  <c r="BZ23" i="21"/>
  <c r="BZ4" i="21"/>
  <c r="AW8" i="21"/>
  <c r="AW31" i="21"/>
  <c r="RF25" i="21"/>
  <c r="AW6" i="21"/>
  <c r="AW28" i="21"/>
  <c r="AW20" i="21"/>
  <c r="AW23" i="21"/>
  <c r="BZ12" i="21"/>
  <c r="BZ29" i="21"/>
  <c r="FI14" i="21"/>
  <c r="BZ9" i="21"/>
  <c r="DE25" i="21"/>
  <c r="DD25" i="21"/>
  <c r="O25" i="21"/>
  <c r="K25" i="21"/>
  <c r="J25" i="21" s="1"/>
  <c r="AW5" i="21"/>
  <c r="BZ35" i="21"/>
  <c r="AW10" i="21"/>
  <c r="AW12" i="21"/>
  <c r="AW16" i="21"/>
  <c r="AW27" i="21"/>
  <c r="AW22" i="21"/>
  <c r="BZ6" i="21"/>
  <c r="BZ10" i="21"/>
  <c r="BZ28" i="21"/>
  <c r="BZ20" i="21"/>
  <c r="AW18" i="21"/>
  <c r="BZ16" i="21"/>
  <c r="BZ27" i="21"/>
  <c r="BZ18" i="21"/>
  <c r="AW32" i="21"/>
  <c r="MT21" i="21"/>
  <c r="AT11" i="21"/>
  <c r="AW15" i="21"/>
  <c r="BZ19" i="21"/>
  <c r="BW30" i="21"/>
  <c r="BZ32" i="21"/>
  <c r="AW7" i="21"/>
  <c r="AW24" i="21"/>
  <c r="AW13" i="21"/>
  <c r="BZ24" i="21"/>
  <c r="AW14" i="21"/>
  <c r="BZ13" i="21"/>
  <c r="AT10" i="21"/>
  <c r="AT21" i="21"/>
  <c r="BZ14" i="21"/>
  <c r="RC35" i="19"/>
  <c r="RC29" i="19"/>
  <c r="RC33" i="19"/>
  <c r="DE35" i="19"/>
  <c r="M35" i="19"/>
  <c r="DD35" i="19"/>
  <c r="O35" i="19"/>
  <c r="AT6" i="19"/>
  <c r="AT16" i="19"/>
  <c r="AT20" i="19"/>
  <c r="AT37" i="19"/>
  <c r="HM7" i="19"/>
  <c r="HM15" i="19"/>
  <c r="HM24" i="19"/>
  <c r="IO21" i="19"/>
  <c r="LU10" i="19"/>
  <c r="MW11" i="19"/>
  <c r="MW27" i="19"/>
  <c r="GH6" i="19"/>
  <c r="K29" i="19"/>
  <c r="J29" i="19" s="1"/>
  <c r="A29" i="19" s="1" a="1"/>
  <c r="A29" i="19" s="1"/>
  <c r="FI4" i="19"/>
  <c r="JQ9" i="19"/>
  <c r="MW21" i="19"/>
  <c r="LR37" i="19"/>
  <c r="RF33" i="19"/>
  <c r="AW26" i="19"/>
  <c r="AT38" i="19"/>
  <c r="ED8" i="19"/>
  <c r="ED13" i="19"/>
  <c r="GK10" i="19"/>
  <c r="IL6" i="19"/>
  <c r="IL16" i="19"/>
  <c r="IL20" i="19"/>
  <c r="KS34" i="19"/>
  <c r="KS23" i="19"/>
  <c r="KS25" i="19"/>
  <c r="LR8" i="19"/>
  <c r="LR13" i="19"/>
  <c r="LR25" i="19"/>
  <c r="NY22" i="19"/>
  <c r="NY38" i="19"/>
  <c r="PA5" i="19"/>
  <c r="PA9" i="19"/>
  <c r="PA27" i="19"/>
  <c r="KS17" i="19"/>
  <c r="KS26" i="19"/>
  <c r="KS38" i="19"/>
  <c r="LU11" i="19"/>
  <c r="LU27" i="19"/>
  <c r="NY31" i="19"/>
  <c r="NY24" i="19"/>
  <c r="PA4" i="19"/>
  <c r="BZ10" i="19"/>
  <c r="EG4" i="19"/>
  <c r="EG23" i="19"/>
  <c r="FF13" i="19"/>
  <c r="FF34" i="19"/>
  <c r="HM22" i="19"/>
  <c r="HM26" i="19"/>
  <c r="IO5" i="19"/>
  <c r="IO27" i="19"/>
  <c r="JN6" i="19"/>
  <c r="JN16" i="19"/>
  <c r="JN20" i="19"/>
  <c r="JN37" i="19"/>
  <c r="KS15" i="19"/>
  <c r="KS31" i="19"/>
  <c r="LU21" i="19"/>
  <c r="LU18" i="19"/>
  <c r="MT8" i="19"/>
  <c r="MT25" i="19"/>
  <c r="PA10" i="19"/>
  <c r="DE33" i="19"/>
  <c r="DD33" i="19"/>
  <c r="O33" i="19"/>
  <c r="M33" i="19"/>
  <c r="NY25" i="19"/>
  <c r="JQ32" i="19"/>
  <c r="BZ11" i="19"/>
  <c r="HJ14" i="19"/>
  <c r="HM19" i="19"/>
  <c r="HJ28" i="19"/>
  <c r="BW37" i="19"/>
  <c r="AW25" i="19"/>
  <c r="JQ6" i="19"/>
  <c r="EG16" i="19"/>
  <c r="EG20" i="19"/>
  <c r="JQ8" i="19"/>
  <c r="JQ16" i="19"/>
  <c r="MW6" i="19"/>
  <c r="GH30" i="19"/>
  <c r="PA30" i="19"/>
  <c r="FI14" i="19"/>
  <c r="FF12" i="19"/>
  <c r="FI30" i="19"/>
  <c r="GK23" i="19"/>
  <c r="HJ8" i="19"/>
  <c r="HJ13" i="19"/>
  <c r="HJ34" i="19"/>
  <c r="HJ25" i="19"/>
  <c r="JQ21" i="19"/>
  <c r="JQ27" i="19"/>
  <c r="KS12" i="19"/>
  <c r="KS28" i="19"/>
  <c r="MW16" i="19"/>
  <c r="PA21" i="19"/>
  <c r="PA18" i="19"/>
  <c r="PA23" i="19"/>
  <c r="PA19" i="19"/>
  <c r="AW34" i="19"/>
  <c r="EG8" i="19"/>
  <c r="EG13" i="19"/>
  <c r="EG34" i="19"/>
  <c r="EG25" i="19"/>
  <c r="EG37" i="19"/>
  <c r="MW8" i="19"/>
  <c r="MW13" i="19"/>
  <c r="MW20" i="19"/>
  <c r="GH32" i="19"/>
  <c r="EG19" i="19"/>
  <c r="ED32" i="19"/>
  <c r="AT12" i="19"/>
  <c r="AT28" i="19"/>
  <c r="AT30" i="19"/>
  <c r="EG36" i="19"/>
  <c r="FF20" i="19"/>
  <c r="GK26" i="19"/>
  <c r="HM20" i="19"/>
  <c r="IL14" i="19"/>
  <c r="IL12" i="19"/>
  <c r="IO19" i="19"/>
  <c r="IL32" i="19"/>
  <c r="JQ17" i="19"/>
  <c r="JQ23" i="19"/>
  <c r="MW18" i="19"/>
  <c r="NV19" i="19"/>
  <c r="NY30" i="19"/>
  <c r="PA17" i="19"/>
  <c r="ED30" i="19"/>
  <c r="GK6" i="19"/>
  <c r="BZ24" i="19"/>
  <c r="EG17" i="19"/>
  <c r="EG22" i="19"/>
  <c r="GH31" i="19"/>
  <c r="HM37" i="19"/>
  <c r="IL37" i="19"/>
  <c r="JQ7" i="19"/>
  <c r="MW10" i="19"/>
  <c r="GH28" i="19"/>
  <c r="CZ27" i="19"/>
  <c r="EG38" i="19"/>
  <c r="HM13" i="19"/>
  <c r="HM34" i="19"/>
  <c r="HM25" i="19"/>
  <c r="HM36" i="19"/>
  <c r="JQ15" i="19"/>
  <c r="JQ26" i="19"/>
  <c r="LU12" i="19"/>
  <c r="LU19" i="19"/>
  <c r="LU28" i="19"/>
  <c r="MW22" i="19"/>
  <c r="MW36" i="19"/>
  <c r="NV6" i="19"/>
  <c r="AT8" i="19"/>
  <c r="AT13" i="19"/>
  <c r="AT34" i="19"/>
  <c r="ED7" i="19"/>
  <c r="EG31" i="19"/>
  <c r="FI9" i="19"/>
  <c r="IL8" i="19"/>
  <c r="IL34" i="19"/>
  <c r="JQ31" i="19"/>
  <c r="JQ38" i="19"/>
  <c r="KS37" i="19"/>
  <c r="LR6" i="19"/>
  <c r="LR16" i="19"/>
  <c r="LR20" i="19"/>
  <c r="MW7" i="19"/>
  <c r="NV13" i="19"/>
  <c r="NV34" i="19"/>
  <c r="NV25" i="19"/>
  <c r="DE29" i="19"/>
  <c r="DD29" i="19"/>
  <c r="O29" i="19"/>
  <c r="AT10" i="19"/>
  <c r="AT18" i="19"/>
  <c r="EG9" i="19"/>
  <c r="FF15" i="19"/>
  <c r="FI26" i="19"/>
  <c r="GH8" i="19"/>
  <c r="HM21" i="19"/>
  <c r="HM27" i="19"/>
  <c r="IO31" i="19"/>
  <c r="IO38" i="19"/>
  <c r="JN13" i="19"/>
  <c r="JQ30" i="19"/>
  <c r="KS10" i="19"/>
  <c r="KS18" i="19"/>
  <c r="LU14" i="19"/>
  <c r="LU24" i="19"/>
  <c r="MW5" i="19"/>
  <c r="MT34" i="19"/>
  <c r="MW32" i="19"/>
  <c r="NY17" i="19"/>
  <c r="NY23" i="19"/>
  <c r="PA12" i="19"/>
  <c r="AW17" i="19"/>
  <c r="BW12" i="19"/>
  <c r="EG21" i="19"/>
  <c r="EG27" i="19"/>
  <c r="FF31" i="19"/>
  <c r="FI38" i="19"/>
  <c r="GH13" i="19"/>
  <c r="HM10" i="19"/>
  <c r="HM18" i="19"/>
  <c r="IO24" i="19"/>
  <c r="JQ5" i="19"/>
  <c r="JN34" i="19"/>
  <c r="AW7" i="19"/>
  <c r="AT22" i="19"/>
  <c r="AW36" i="19"/>
  <c r="EG10" i="19"/>
  <c r="EG18" i="19"/>
  <c r="FF24" i="19"/>
  <c r="GK5" i="19"/>
  <c r="GH34" i="19"/>
  <c r="HM17" i="19"/>
  <c r="HM23" i="19"/>
  <c r="JQ11" i="19"/>
  <c r="JN25" i="19"/>
  <c r="KS7" i="19"/>
  <c r="KS22" i="19"/>
  <c r="KS36" i="19"/>
  <c r="MW4" i="19"/>
  <c r="MW9" i="19"/>
  <c r="NY15" i="19"/>
  <c r="NY26" i="19"/>
  <c r="OX8" i="19"/>
  <c r="PA28" i="19"/>
  <c r="BW30" i="19"/>
  <c r="FF19" i="19"/>
  <c r="GK8" i="19"/>
  <c r="GK16" i="19"/>
  <c r="IL28" i="19"/>
  <c r="JQ13" i="19"/>
  <c r="JQ20" i="19"/>
  <c r="LU30" i="19"/>
  <c r="MW34" i="19"/>
  <c r="NY14" i="19"/>
  <c r="PA32" i="19"/>
  <c r="AT14" i="19"/>
  <c r="AW24" i="19"/>
  <c r="BZ5" i="19"/>
  <c r="BW34" i="19"/>
  <c r="BW32" i="19"/>
  <c r="EG15" i="19"/>
  <c r="EG26" i="19"/>
  <c r="FF8" i="19"/>
  <c r="FI28" i="19"/>
  <c r="GK21" i="19"/>
  <c r="GK13" i="19"/>
  <c r="GK20" i="19"/>
  <c r="GK27" i="19"/>
  <c r="HM31" i="19"/>
  <c r="HM38" i="19"/>
  <c r="IL13" i="19"/>
  <c r="IL30" i="19"/>
  <c r="JQ10" i="19"/>
  <c r="JQ18" i="19"/>
  <c r="JQ34" i="19"/>
  <c r="KS14" i="19"/>
  <c r="KS24" i="19"/>
  <c r="LU5" i="19"/>
  <c r="LR34" i="19"/>
  <c r="LU32" i="19"/>
  <c r="MW17" i="19"/>
  <c r="MW23" i="19"/>
  <c r="MW25" i="19"/>
  <c r="MW37" i="19"/>
  <c r="NY12" i="19"/>
  <c r="PA6" i="19"/>
  <c r="PA11" i="19"/>
  <c r="OX25" i="19"/>
  <c r="GK34" i="19"/>
  <c r="JQ25" i="19"/>
  <c r="JQ37" i="19"/>
  <c r="LU6" i="19"/>
  <c r="PA8" i="19"/>
  <c r="PA16" i="19"/>
  <c r="BZ6" i="19"/>
  <c r="AT19" i="19"/>
  <c r="BZ8" i="19"/>
  <c r="BZ16" i="19"/>
  <c r="BZ9" i="19"/>
  <c r="ED14" i="19"/>
  <c r="EG24" i="19"/>
  <c r="FI5" i="19"/>
  <c r="FI32" i="19"/>
  <c r="GK17" i="19"/>
  <c r="GK25" i="19"/>
  <c r="GK37" i="19"/>
  <c r="HM12" i="19"/>
  <c r="IO6" i="19"/>
  <c r="IO11" i="19"/>
  <c r="IL25" i="19"/>
  <c r="JQ22" i="19"/>
  <c r="JQ36" i="19"/>
  <c r="KS19" i="19"/>
  <c r="LU4" i="19"/>
  <c r="LU8" i="19"/>
  <c r="LU16" i="19"/>
  <c r="LU9" i="19"/>
  <c r="MW15" i="19"/>
  <c r="MW26" i="19"/>
  <c r="NV8" i="19"/>
  <c r="NY28" i="19"/>
  <c r="PA13" i="19"/>
  <c r="PA20" i="19"/>
  <c r="BZ13" i="19"/>
  <c r="BZ20" i="19"/>
  <c r="BZ27" i="19"/>
  <c r="ED12" i="19"/>
  <c r="FI6" i="19"/>
  <c r="FI11" i="19"/>
  <c r="FF25" i="19"/>
  <c r="GH7" i="19"/>
  <c r="GK22" i="19"/>
  <c r="GK36" i="19"/>
  <c r="IO4" i="19"/>
  <c r="IO8" i="19"/>
  <c r="IO16" i="19"/>
  <c r="IO9" i="19"/>
  <c r="LU13" i="19"/>
  <c r="LU20" i="19"/>
  <c r="PA34" i="19"/>
  <c r="FI8" i="19"/>
  <c r="FI16" i="19"/>
  <c r="IO13" i="19"/>
  <c r="IO20" i="19"/>
  <c r="KS30" i="19"/>
  <c r="LU34" i="19"/>
  <c r="MW14" i="19"/>
  <c r="NY32" i="19"/>
  <c r="PA25" i="19"/>
  <c r="PA37" i="19"/>
  <c r="AW5" i="19"/>
  <c r="AT32" i="19"/>
  <c r="BZ17" i="19"/>
  <c r="BZ23" i="19"/>
  <c r="BZ25" i="19"/>
  <c r="BZ37" i="19"/>
  <c r="ED28" i="19"/>
  <c r="FI21" i="19"/>
  <c r="FI13" i="19"/>
  <c r="FI20" i="19"/>
  <c r="FI27" i="19"/>
  <c r="GK38" i="19"/>
  <c r="HJ30" i="19"/>
  <c r="IO10" i="19"/>
  <c r="IO18" i="19"/>
  <c r="IO34" i="19"/>
  <c r="JQ14" i="19"/>
  <c r="JQ24" i="19"/>
  <c r="KS5" i="19"/>
  <c r="KS32" i="19"/>
  <c r="LU17" i="19"/>
  <c r="LU23" i="19"/>
  <c r="LU25" i="19"/>
  <c r="LU37" i="19"/>
  <c r="MW12" i="19"/>
  <c r="NY6" i="19"/>
  <c r="NY11" i="19"/>
  <c r="PA7" i="19"/>
  <c r="PA22" i="19"/>
  <c r="PA36" i="19"/>
  <c r="AW6" i="19"/>
  <c r="AW11" i="19"/>
  <c r="AT25" i="19"/>
  <c r="BZ7" i="19"/>
  <c r="BZ22" i="19"/>
  <c r="BZ36" i="19"/>
  <c r="FI10" i="19"/>
  <c r="FI18" i="19"/>
  <c r="FI34" i="19"/>
  <c r="GH24" i="19"/>
  <c r="HM5" i="19"/>
  <c r="HJ32" i="19"/>
  <c r="IO17" i="19"/>
  <c r="IO23" i="19"/>
  <c r="IO25" i="19"/>
  <c r="IO37" i="19"/>
  <c r="JQ12" i="19"/>
  <c r="KS6" i="19"/>
  <c r="KS11" i="19"/>
  <c r="LU7" i="19"/>
  <c r="LU22" i="19"/>
  <c r="LU36" i="19"/>
  <c r="MW19" i="19"/>
  <c r="NY4" i="19"/>
  <c r="NY8" i="19"/>
  <c r="NY16" i="19"/>
  <c r="NY9" i="19"/>
  <c r="PA15" i="19"/>
  <c r="PA26" i="19"/>
  <c r="AW4" i="19"/>
  <c r="AW8" i="19"/>
  <c r="AW16" i="19"/>
  <c r="AW9" i="19"/>
  <c r="BZ15" i="19"/>
  <c r="BZ26" i="19"/>
  <c r="EG5" i="19"/>
  <c r="ED34" i="19"/>
  <c r="FI17" i="19"/>
  <c r="FI23" i="19"/>
  <c r="FI25" i="19"/>
  <c r="FI37" i="19"/>
  <c r="GH12" i="19"/>
  <c r="HM6" i="19"/>
  <c r="HM11" i="19"/>
  <c r="IO7" i="19"/>
  <c r="IO22" i="19"/>
  <c r="IO36" i="19"/>
  <c r="JQ19" i="19"/>
  <c r="KS4" i="19"/>
  <c r="KS8" i="19"/>
  <c r="KS16" i="19"/>
  <c r="KS9" i="19"/>
  <c r="LU15" i="19"/>
  <c r="LU26" i="19"/>
  <c r="MW28" i="19"/>
  <c r="NY21" i="19"/>
  <c r="NY13" i="19"/>
  <c r="NY20" i="19"/>
  <c r="NY27" i="19"/>
  <c r="PA31" i="19"/>
  <c r="PA38" i="19"/>
  <c r="BZ34" i="19"/>
  <c r="AW21" i="19"/>
  <c r="AW13" i="19"/>
  <c r="AW20" i="19"/>
  <c r="AW27" i="19"/>
  <c r="BZ31" i="19"/>
  <c r="BZ38" i="19"/>
  <c r="EG6" i="19"/>
  <c r="EG11" i="19"/>
  <c r="ED25" i="19"/>
  <c r="FF7" i="19"/>
  <c r="FI22" i="19"/>
  <c r="FI36" i="19"/>
  <c r="HM4" i="19"/>
  <c r="HM8" i="19"/>
  <c r="HM16" i="19"/>
  <c r="HM9" i="19"/>
  <c r="IL15" i="19"/>
  <c r="IO26" i="19"/>
  <c r="JN8" i="19"/>
  <c r="JQ28" i="19"/>
  <c r="KS21" i="19"/>
  <c r="KS13" i="19"/>
  <c r="KS20" i="19"/>
  <c r="KS27" i="19"/>
  <c r="LU31" i="19"/>
  <c r="LU38" i="19"/>
  <c r="MT13" i="19"/>
  <c r="MW30" i="19"/>
  <c r="NY10" i="19"/>
  <c r="NY18" i="19"/>
  <c r="NY34" i="19"/>
  <c r="PA14" i="19"/>
  <c r="PA24" i="19"/>
  <c r="OX14" i="19"/>
  <c r="OX12" i="19"/>
  <c r="OX19" i="19"/>
  <c r="OX28" i="19"/>
  <c r="OX30" i="19"/>
  <c r="OX32" i="19"/>
  <c r="OX7" i="19"/>
  <c r="OX15" i="19"/>
  <c r="OX31" i="19"/>
  <c r="OX24" i="19"/>
  <c r="OX10" i="19"/>
  <c r="OX17" i="19"/>
  <c r="OX22" i="19"/>
  <c r="OX26" i="19"/>
  <c r="OX38" i="19"/>
  <c r="OX4" i="19"/>
  <c r="OX21" i="19"/>
  <c r="OX18" i="19"/>
  <c r="OX23" i="19"/>
  <c r="OX36" i="19"/>
  <c r="OX5" i="19"/>
  <c r="OX11" i="19"/>
  <c r="OX9" i="19"/>
  <c r="OX27" i="19"/>
  <c r="NV14" i="19"/>
  <c r="NV12" i="19"/>
  <c r="NV28" i="19"/>
  <c r="NV30" i="19"/>
  <c r="NV32" i="19"/>
  <c r="NV31" i="19"/>
  <c r="NY19" i="19"/>
  <c r="NV15" i="19"/>
  <c r="NV10" i="19"/>
  <c r="NV17" i="19"/>
  <c r="NV22" i="19"/>
  <c r="NV26" i="19"/>
  <c r="NV38" i="19"/>
  <c r="NV24" i="19"/>
  <c r="NY7" i="19"/>
  <c r="NV4" i="19"/>
  <c r="NV21" i="19"/>
  <c r="NV18" i="19"/>
  <c r="NV23" i="19"/>
  <c r="NV36" i="19"/>
  <c r="NV5" i="19"/>
  <c r="NV11" i="19"/>
  <c r="NV9" i="19"/>
  <c r="NV27" i="19"/>
  <c r="MT14" i="19"/>
  <c r="MT12" i="19"/>
  <c r="MT19" i="19"/>
  <c r="MT28" i="19"/>
  <c r="MT30" i="19"/>
  <c r="MT32" i="19"/>
  <c r="MT7" i="19"/>
  <c r="MT15" i="19"/>
  <c r="MT31" i="19"/>
  <c r="MT24" i="19"/>
  <c r="MT10" i="19"/>
  <c r="MT17" i="19"/>
  <c r="MT22" i="19"/>
  <c r="MT26" i="19"/>
  <c r="MT38" i="19"/>
  <c r="MT4" i="19"/>
  <c r="MT21" i="19"/>
  <c r="MT18" i="19"/>
  <c r="MT23" i="19"/>
  <c r="MT36" i="19"/>
  <c r="MT5" i="19"/>
  <c r="MT11" i="19"/>
  <c r="MT9" i="19"/>
  <c r="MT27" i="19"/>
  <c r="LR14" i="19"/>
  <c r="LR12" i="19"/>
  <c r="LR19" i="19"/>
  <c r="LR28" i="19"/>
  <c r="LR30" i="19"/>
  <c r="LR32" i="19"/>
  <c r="LR7" i="19"/>
  <c r="LR15" i="19"/>
  <c r="LR31" i="19"/>
  <c r="LR24" i="19"/>
  <c r="LR10" i="19"/>
  <c r="LR17" i="19"/>
  <c r="LR22" i="19"/>
  <c r="LR26" i="19"/>
  <c r="LR38" i="19"/>
  <c r="LR4" i="19"/>
  <c r="LR21" i="19"/>
  <c r="LR18" i="19"/>
  <c r="LR23" i="19"/>
  <c r="LR36" i="19"/>
  <c r="LR5" i="19"/>
  <c r="LR11" i="19"/>
  <c r="LR9" i="19"/>
  <c r="LR27" i="19"/>
  <c r="KP14" i="19"/>
  <c r="KP12" i="19"/>
  <c r="KP19" i="19"/>
  <c r="KP28" i="19"/>
  <c r="KP30" i="19"/>
  <c r="KP32" i="19"/>
  <c r="KP7" i="19"/>
  <c r="KP15" i="19"/>
  <c r="KP31" i="19"/>
  <c r="KP24" i="19"/>
  <c r="KP10" i="19"/>
  <c r="KP17" i="19"/>
  <c r="KP22" i="19"/>
  <c r="KP26" i="19"/>
  <c r="KP38" i="19"/>
  <c r="KP4" i="19"/>
  <c r="KP21" i="19"/>
  <c r="KP18" i="19"/>
  <c r="KP23" i="19"/>
  <c r="KP36" i="19"/>
  <c r="KP5" i="19"/>
  <c r="KP11" i="19"/>
  <c r="KP9" i="19"/>
  <c r="KP27" i="19"/>
  <c r="JN14" i="19"/>
  <c r="JN12" i="19"/>
  <c r="JN19" i="19"/>
  <c r="JN28" i="19"/>
  <c r="JN30" i="19"/>
  <c r="JN32" i="19"/>
  <c r="JN7" i="19"/>
  <c r="JN15" i="19"/>
  <c r="JN31" i="19"/>
  <c r="JN24" i="19"/>
  <c r="JN10" i="19"/>
  <c r="JN17" i="19"/>
  <c r="JN22" i="19"/>
  <c r="JN26" i="19"/>
  <c r="JN38" i="19"/>
  <c r="JN4" i="19"/>
  <c r="JN21" i="19"/>
  <c r="JN18" i="19"/>
  <c r="JN23" i="19"/>
  <c r="JN36" i="19"/>
  <c r="JN5" i="19"/>
  <c r="JN11" i="19"/>
  <c r="JN9" i="19"/>
  <c r="JN27" i="19"/>
  <c r="IL19" i="19"/>
  <c r="IL24" i="19"/>
  <c r="IO14" i="19"/>
  <c r="IO12" i="19"/>
  <c r="IO28" i="19"/>
  <c r="IO30" i="19"/>
  <c r="IO32" i="19"/>
  <c r="IL10" i="19"/>
  <c r="IL17" i="19"/>
  <c r="IL22" i="19"/>
  <c r="IL26" i="19"/>
  <c r="IL38" i="19"/>
  <c r="IL7" i="19"/>
  <c r="IL31" i="19"/>
  <c r="IO15" i="19"/>
  <c r="IL4" i="19"/>
  <c r="IL21" i="19"/>
  <c r="IL18" i="19"/>
  <c r="IL23" i="19"/>
  <c r="IL36" i="19"/>
  <c r="IL5" i="19"/>
  <c r="IL11" i="19"/>
  <c r="IL9" i="19"/>
  <c r="IL27" i="19"/>
  <c r="HJ12" i="19"/>
  <c r="HJ19" i="19"/>
  <c r="HJ7" i="19"/>
  <c r="HJ31" i="19"/>
  <c r="HM14" i="19"/>
  <c r="HM28" i="19"/>
  <c r="HM30" i="19"/>
  <c r="HM32" i="19"/>
  <c r="HJ15" i="19"/>
  <c r="HJ10" i="19"/>
  <c r="HJ17" i="19"/>
  <c r="HJ22" i="19"/>
  <c r="HJ26" i="19"/>
  <c r="HJ38" i="19"/>
  <c r="HJ24" i="19"/>
  <c r="HJ4" i="19"/>
  <c r="HJ21" i="19"/>
  <c r="HJ18" i="19"/>
  <c r="HJ23" i="19"/>
  <c r="HJ36" i="19"/>
  <c r="HJ5" i="19"/>
  <c r="HJ11" i="19"/>
  <c r="HJ9" i="19"/>
  <c r="HJ27" i="19"/>
  <c r="GK14" i="19"/>
  <c r="GK12" i="19"/>
  <c r="GK19" i="19"/>
  <c r="GK28" i="19"/>
  <c r="GK30" i="19"/>
  <c r="GK32" i="19"/>
  <c r="GH10" i="19"/>
  <c r="GH17" i="19"/>
  <c r="GH22" i="19"/>
  <c r="GH26" i="19"/>
  <c r="GH38" i="19"/>
  <c r="GK7" i="19"/>
  <c r="GK15" i="19"/>
  <c r="GK31" i="19"/>
  <c r="GK24" i="19"/>
  <c r="GH4" i="19"/>
  <c r="GH21" i="19"/>
  <c r="GH18" i="19"/>
  <c r="GH23" i="19"/>
  <c r="GH36" i="19"/>
  <c r="GH5" i="19"/>
  <c r="GH11" i="19"/>
  <c r="GH9" i="19"/>
  <c r="GH27" i="19"/>
  <c r="FF14" i="19"/>
  <c r="FF28" i="19"/>
  <c r="FF30" i="19"/>
  <c r="FF32" i="19"/>
  <c r="FI12" i="19"/>
  <c r="FI19" i="19"/>
  <c r="FF10" i="19"/>
  <c r="FF17" i="19"/>
  <c r="FF22" i="19"/>
  <c r="FF26" i="19"/>
  <c r="FF38" i="19"/>
  <c r="FI7" i="19"/>
  <c r="FI15" i="19"/>
  <c r="FI31" i="19"/>
  <c r="FI24" i="19"/>
  <c r="FF4" i="19"/>
  <c r="FF21" i="19"/>
  <c r="FF18" i="19"/>
  <c r="FF23" i="19"/>
  <c r="FF36" i="19"/>
  <c r="FF5" i="19"/>
  <c r="FF11" i="19"/>
  <c r="FF9" i="19"/>
  <c r="FF27" i="19"/>
  <c r="ED19" i="19"/>
  <c r="ED15" i="19"/>
  <c r="ED31" i="19"/>
  <c r="ED24" i="19"/>
  <c r="EG14" i="19"/>
  <c r="EG12" i="19"/>
  <c r="EG28" i="19"/>
  <c r="EG30" i="19"/>
  <c r="EG32" i="19"/>
  <c r="ED10" i="19"/>
  <c r="ED17" i="19"/>
  <c r="ED22" i="19"/>
  <c r="ED26" i="19"/>
  <c r="ED38" i="19"/>
  <c r="EG7" i="19"/>
  <c r="ED4" i="19"/>
  <c r="ED21" i="19"/>
  <c r="ED18" i="19"/>
  <c r="ED23" i="19"/>
  <c r="ED36" i="19"/>
  <c r="ED5" i="19"/>
  <c r="ED11" i="19"/>
  <c r="ED9" i="19"/>
  <c r="ED27" i="19"/>
  <c r="PZ27" i="19"/>
  <c r="BW13" i="21"/>
  <c r="BW14" i="21"/>
  <c r="BW21" i="21"/>
  <c r="BW35" i="21"/>
  <c r="BW11" i="21"/>
  <c r="BW17" i="21"/>
  <c r="BW24" i="21"/>
  <c r="BW9" i="21"/>
  <c r="BW19" i="21"/>
  <c r="BW15" i="21"/>
  <c r="BW33" i="21"/>
  <c r="BW6" i="21"/>
  <c r="BW12" i="21"/>
  <c r="BW29" i="21"/>
  <c r="BZ7" i="21"/>
  <c r="BW5" i="21"/>
  <c r="BW31" i="21"/>
  <c r="BW20" i="21"/>
  <c r="BW22" i="21"/>
  <c r="BW23" i="21"/>
  <c r="BZ30" i="21"/>
  <c r="AT13" i="21"/>
  <c r="AT14" i="21"/>
  <c r="AW21" i="21"/>
  <c r="AT6" i="21"/>
  <c r="AT12" i="21"/>
  <c r="AT30" i="21"/>
  <c r="AT24" i="21"/>
  <c r="AW35" i="21"/>
  <c r="AT9" i="21"/>
  <c r="AT19" i="21"/>
  <c r="AT15" i="21"/>
  <c r="AW11" i="21"/>
  <c r="AW17" i="21"/>
  <c r="AW33" i="21"/>
  <c r="AT5" i="21"/>
  <c r="AT31" i="21"/>
  <c r="AT20" i="21"/>
  <c r="AT22" i="21"/>
  <c r="AT23" i="21"/>
  <c r="AT7" i="21"/>
  <c r="AW29" i="21"/>
  <c r="BW7" i="19"/>
  <c r="BW15" i="19"/>
  <c r="BW31" i="19"/>
  <c r="BW24" i="19"/>
  <c r="BZ14" i="19"/>
  <c r="BZ12" i="19"/>
  <c r="BZ19" i="19"/>
  <c r="BZ28" i="19"/>
  <c r="BZ30" i="19"/>
  <c r="BZ32" i="19"/>
  <c r="BW10" i="19"/>
  <c r="BW17" i="19"/>
  <c r="BW22" i="19"/>
  <c r="BW26" i="19"/>
  <c r="BW38" i="19"/>
  <c r="BW4" i="19"/>
  <c r="BW18" i="19"/>
  <c r="BW23" i="19"/>
  <c r="BW36" i="19"/>
  <c r="BW5" i="19"/>
  <c r="BW11" i="19"/>
  <c r="BW9" i="19"/>
  <c r="BW27" i="19"/>
  <c r="BZ21" i="19"/>
  <c r="AT7" i="19"/>
  <c r="AT15" i="19"/>
  <c r="AT31" i="19"/>
  <c r="AT24" i="19"/>
  <c r="AW14" i="19"/>
  <c r="AW12" i="19"/>
  <c r="AW19" i="19"/>
  <c r="AW28" i="19"/>
  <c r="AW30" i="19"/>
  <c r="AW32" i="19"/>
  <c r="AT17" i="19"/>
  <c r="AT26" i="19"/>
  <c r="AT4" i="19"/>
  <c r="AT23" i="19"/>
  <c r="AT36" i="19"/>
  <c r="AW10" i="19"/>
  <c r="AW22" i="19"/>
  <c r="AW38" i="19"/>
  <c r="AT5" i="19"/>
  <c r="AT11" i="19"/>
  <c r="AT9" i="19"/>
  <c r="AT27" i="19"/>
  <c r="AT21" i="19"/>
  <c r="AW18" i="19"/>
  <c r="BW5" i="27"/>
  <c r="BW17" i="27"/>
  <c r="BW10" i="27"/>
  <c r="BW6" i="27"/>
  <c r="BW4" i="27"/>
  <c r="BW9" i="27"/>
  <c r="BZ15" i="27"/>
  <c r="BW13" i="27"/>
  <c r="BW11" i="27"/>
  <c r="BW7" i="27"/>
  <c r="BW12" i="27"/>
  <c r="AT5" i="27"/>
  <c r="AT10" i="27"/>
  <c r="AT6" i="27"/>
  <c r="AT13" i="27"/>
  <c r="AW17" i="27"/>
  <c r="AT4" i="27"/>
  <c r="AW15" i="27"/>
  <c r="AT11" i="27"/>
  <c r="AT7" i="27"/>
  <c r="AT12" i="27"/>
  <c r="AT9" i="27"/>
  <c r="BW9" i="26"/>
  <c r="BZ15" i="26"/>
  <c r="BW12" i="26"/>
  <c r="BW11" i="26"/>
  <c r="BW5" i="26"/>
  <c r="BW19" i="26"/>
  <c r="BZ18" i="26"/>
  <c r="BW6" i="26"/>
  <c r="BW17" i="26"/>
  <c r="BW7" i="26"/>
  <c r="BW13" i="26"/>
  <c r="BZ20" i="26"/>
  <c r="AT9" i="26"/>
  <c r="AT15" i="26"/>
  <c r="AT6" i="26"/>
  <c r="AW12" i="26"/>
  <c r="AW17" i="26"/>
  <c r="AT11" i="26"/>
  <c r="AT18" i="26"/>
  <c r="AT20" i="26"/>
  <c r="AT5" i="26"/>
  <c r="AT19" i="26"/>
  <c r="AT7" i="26"/>
  <c r="AT13" i="26"/>
  <c r="JN20" i="21"/>
  <c r="ED14" i="21"/>
  <c r="ED21" i="21"/>
  <c r="HJ20" i="21"/>
  <c r="NV17" i="27"/>
  <c r="LR17" i="26"/>
  <c r="HJ17" i="26"/>
  <c r="CZ24" i="19"/>
  <c r="HJ17" i="27"/>
  <c r="HJ15" i="27"/>
  <c r="JN17" i="27"/>
  <c r="JN15" i="27"/>
  <c r="LR17" i="27"/>
  <c r="CZ20" i="26"/>
  <c r="JN17" i="26"/>
  <c r="FF20" i="26"/>
  <c r="HJ20" i="26"/>
  <c r="CZ15" i="27"/>
  <c r="FF17" i="27"/>
  <c r="LR15" i="27"/>
  <c r="CZ23" i="21"/>
  <c r="CZ30" i="19"/>
  <c r="PZ24" i="19"/>
  <c r="PZ15" i="27"/>
  <c r="JQ17" i="27"/>
  <c r="LU17" i="27"/>
  <c r="NV15" i="27"/>
  <c r="CZ17" i="27"/>
  <c r="HM17" i="27"/>
  <c r="PZ17" i="27"/>
  <c r="FI17" i="27"/>
  <c r="GH17" i="26"/>
  <c r="CZ8" i="21"/>
  <c r="PZ23" i="21"/>
  <c r="HJ8" i="21"/>
  <c r="LR23" i="21"/>
  <c r="FF8" i="21"/>
  <c r="FF20" i="21"/>
  <c r="HJ14" i="21"/>
  <c r="PZ30" i="19"/>
  <c r="PZ25" i="19"/>
  <c r="CZ25" i="19"/>
  <c r="OX17" i="27"/>
  <c r="FF17" i="26"/>
  <c r="OX17" i="26"/>
  <c r="CZ17" i="26"/>
  <c r="PZ17" i="26"/>
  <c r="LR20" i="26"/>
  <c r="ED20" i="26"/>
  <c r="FI17" i="26"/>
  <c r="GH20" i="26"/>
  <c r="NV20" i="26"/>
  <c r="PZ20" i="26"/>
  <c r="LR21" i="21"/>
  <c r="LR15" i="21"/>
  <c r="NV23" i="21"/>
  <c r="DC23" i="21"/>
  <c r="PZ15" i="21"/>
  <c r="HM8" i="21"/>
  <c r="FI8" i="21"/>
  <c r="PA21" i="21"/>
  <c r="JN14" i="21"/>
  <c r="JN21" i="21"/>
  <c r="NV15" i="21"/>
  <c r="PZ14" i="21"/>
  <c r="JQ8" i="21"/>
  <c r="OX21" i="21"/>
  <c r="LR14" i="21"/>
  <c r="NV14" i="21"/>
  <c r="LR8" i="21"/>
  <c r="FF15" i="21"/>
  <c r="FI20" i="21"/>
  <c r="HM14" i="21"/>
  <c r="HJ23" i="21"/>
  <c r="LU15" i="21"/>
  <c r="MT14" i="21"/>
  <c r="JQ14" i="21"/>
  <c r="CZ20" i="21"/>
  <c r="NV8" i="21"/>
  <c r="NY15" i="21"/>
  <c r="L23" i="21"/>
  <c r="M23" i="21" s="1"/>
  <c r="QC15" i="21"/>
  <c r="OX20" i="21"/>
  <c r="ED8" i="21"/>
  <c r="LU23" i="21"/>
  <c r="ED23" i="21"/>
  <c r="HJ21" i="21"/>
  <c r="NY23" i="21"/>
  <c r="LU8" i="21"/>
  <c r="JQ21" i="21"/>
  <c r="LU14" i="21"/>
  <c r="PZ20" i="21"/>
  <c r="JN23" i="21"/>
  <c r="FF21" i="21"/>
  <c r="NY20" i="21"/>
  <c r="MW21" i="21"/>
  <c r="GK8" i="21"/>
  <c r="GH17" i="27"/>
  <c r="HM15" i="27"/>
  <c r="LU15" i="27"/>
  <c r="JQ15" i="27"/>
  <c r="FI15" i="27"/>
  <c r="MW15" i="21"/>
  <c r="KP15" i="21"/>
  <c r="GH20" i="21"/>
  <c r="OX8" i="21"/>
  <c r="IL20" i="21"/>
  <c r="KP20" i="21"/>
  <c r="EG14" i="21"/>
  <c r="MT8" i="21"/>
  <c r="MT20" i="21"/>
  <c r="OX14" i="21"/>
  <c r="QY8" i="21"/>
  <c r="RD8" i="21"/>
  <c r="JN8" i="21"/>
  <c r="GH23" i="21"/>
  <c r="QY14" i="21"/>
  <c r="RD15" i="21"/>
  <c r="OX23" i="21"/>
  <c r="MT23" i="21"/>
  <c r="QC20" i="21"/>
  <c r="KP21" i="21"/>
  <c r="IL21" i="21"/>
  <c r="FI21" i="21"/>
  <c r="HM23" i="21"/>
  <c r="ED15" i="21"/>
  <c r="JQ23" i="21"/>
  <c r="GH15" i="21"/>
  <c r="NV20" i="21"/>
  <c r="HM21" i="21"/>
  <c r="IO23" i="21"/>
  <c r="QZ14" i="21"/>
  <c r="QY21" i="21"/>
  <c r="RD23" i="21"/>
  <c r="IO14" i="21"/>
  <c r="GK14" i="21"/>
  <c r="ED20" i="21"/>
  <c r="RE23" i="21"/>
  <c r="P23" i="21"/>
  <c r="Q23" i="21" s="1"/>
  <c r="NV21" i="21"/>
  <c r="PZ8" i="21"/>
  <c r="QC23" i="21"/>
  <c r="HJ15" i="21"/>
  <c r="LU21" i="21"/>
  <c r="RB14" i="21"/>
  <c r="NY8" i="21"/>
  <c r="FI15" i="21"/>
  <c r="I15" i="21"/>
  <c r="LR20" i="21"/>
  <c r="HM20" i="21"/>
  <c r="PZ21" i="21"/>
  <c r="QC14" i="21"/>
  <c r="NY14" i="21"/>
  <c r="PA8" i="21"/>
  <c r="PA23" i="21"/>
  <c r="FF23" i="21"/>
  <c r="JN15" i="21"/>
  <c r="GK15" i="21"/>
  <c r="JQ20" i="21"/>
  <c r="DC20" i="21"/>
  <c r="L20" i="21"/>
  <c r="M20" i="21" s="1"/>
  <c r="KS21" i="21"/>
  <c r="P21" i="21"/>
  <c r="DE21" i="21" s="1"/>
  <c r="MW8" i="21"/>
  <c r="EG15" i="21"/>
  <c r="P15" i="21"/>
  <c r="Q15" i="21" s="1"/>
  <c r="MW20" i="21"/>
  <c r="KS20" i="21"/>
  <c r="GK20" i="21"/>
  <c r="QZ21" i="21"/>
  <c r="PA14" i="21"/>
  <c r="MW14" i="21"/>
  <c r="CZ14" i="21"/>
  <c r="KS23" i="21"/>
  <c r="KP14" i="21"/>
  <c r="EG8" i="21"/>
  <c r="KS15" i="21"/>
  <c r="IO15" i="21"/>
  <c r="IO20" i="21"/>
  <c r="GK23" i="21"/>
  <c r="GH8" i="21"/>
  <c r="MT15" i="21"/>
  <c r="P20" i="21"/>
  <c r="Q20" i="21" s="1"/>
  <c r="KP8" i="21"/>
  <c r="KP23" i="21"/>
  <c r="RD20" i="21"/>
  <c r="GH21" i="21"/>
  <c r="EG23" i="21"/>
  <c r="IL8" i="21"/>
  <c r="IL23" i="21"/>
  <c r="OX15" i="21"/>
  <c r="IL15" i="21"/>
  <c r="PA20" i="21"/>
  <c r="EG21" i="21"/>
  <c r="IL14" i="21"/>
  <c r="GH14" i="21"/>
  <c r="ED17" i="27"/>
  <c r="GH15" i="27"/>
  <c r="PA15" i="27"/>
  <c r="QY15" i="27"/>
  <c r="EG15" i="27"/>
  <c r="OX15" i="27"/>
  <c r="ED15" i="27"/>
  <c r="QY17" i="27"/>
  <c r="MT15" i="27"/>
  <c r="OX20" i="26"/>
  <c r="HM17" i="26"/>
  <c r="JQ17" i="26"/>
  <c r="LU17" i="26"/>
  <c r="HM20" i="26"/>
  <c r="FI20" i="26"/>
  <c r="JQ20" i="26"/>
  <c r="LU20" i="26"/>
  <c r="JN20" i="26"/>
  <c r="MT17" i="26"/>
  <c r="IO17" i="26"/>
  <c r="QY20" i="26"/>
  <c r="QY17" i="26"/>
  <c r="PA17" i="26"/>
  <c r="EG17" i="26"/>
  <c r="CZ15" i="21"/>
  <c r="QY23" i="21"/>
  <c r="H21" i="21"/>
  <c r="P8" i="21"/>
  <c r="Q8" i="21" s="1"/>
  <c r="RA8" i="21"/>
  <c r="RA14" i="21"/>
  <c r="H15" i="21"/>
  <c r="QZ8" i="21"/>
  <c r="DC15" i="21"/>
  <c r="I14" i="21"/>
  <c r="QZ15" i="21"/>
  <c r="QZ20" i="21"/>
  <c r="RB23" i="21"/>
  <c r="QY20" i="21"/>
  <c r="I23" i="21"/>
  <c r="H14" i="21"/>
  <c r="RA21" i="21"/>
  <c r="N21" i="21"/>
  <c r="RB8" i="21"/>
  <c r="P14" i="21"/>
  <c r="Q14" i="21" s="1"/>
  <c r="DC8" i="21"/>
  <c r="QY15" i="21"/>
  <c r="L8" i="21"/>
  <c r="M8" i="21" s="1"/>
  <c r="RE20" i="21"/>
  <c r="QZ23" i="21"/>
  <c r="H23" i="21"/>
  <c r="RB21" i="21"/>
  <c r="CZ21" i="21"/>
  <c r="H8" i="21"/>
  <c r="RE15" i="21"/>
  <c r="N8" i="21"/>
  <c r="DC14" i="21"/>
  <c r="RA15" i="21"/>
  <c r="H20" i="21"/>
  <c r="RA20" i="21"/>
  <c r="RD21" i="21"/>
  <c r="RD14" i="21"/>
  <c r="N14" i="21"/>
  <c r="I20" i="21"/>
  <c r="L21" i="21"/>
  <c r="I21" i="21"/>
  <c r="L14" i="21"/>
  <c r="RA23" i="21"/>
  <c r="N23" i="21"/>
  <c r="I8" i="21"/>
  <c r="RB15" i="21"/>
  <c r="KS8" i="21"/>
  <c r="JQ15" i="21"/>
  <c r="QC21" i="21"/>
  <c r="IO21" i="21"/>
  <c r="L15" i="21"/>
  <c r="RB20" i="21"/>
  <c r="LU20" i="21"/>
  <c r="EG20" i="21"/>
  <c r="RE21" i="21"/>
  <c r="DC21" i="21"/>
  <c r="KS14" i="21"/>
  <c r="MW23" i="21"/>
  <c r="FI23" i="21"/>
  <c r="QC8" i="21"/>
  <c r="IO8" i="21"/>
  <c r="PA15" i="21"/>
  <c r="HM15" i="21"/>
  <c r="N20" i="21"/>
  <c r="NY21" i="21"/>
  <c r="GK21" i="21"/>
  <c r="N15" i="21"/>
  <c r="RE8" i="21"/>
  <c r="RE14" i="21"/>
  <c r="QY27" i="19"/>
  <c r="RB27" i="19"/>
  <c r="QC27" i="19"/>
  <c r="RA27" i="19"/>
  <c r="P27" i="19"/>
  <c r="Q27" i="19" s="1"/>
  <c r="DC27" i="19"/>
  <c r="QZ27" i="19"/>
  <c r="RD27" i="19"/>
  <c r="I27" i="19"/>
  <c r="H27" i="19"/>
  <c r="N27" i="19"/>
  <c r="L27" i="19"/>
  <c r="RE27" i="19"/>
  <c r="RB24" i="19"/>
  <c r="QZ24" i="19"/>
  <c r="QY30" i="19"/>
  <c r="QY24" i="19"/>
  <c r="QC24" i="19"/>
  <c r="P24" i="19"/>
  <c r="Q24" i="19" s="1"/>
  <c r="RA24" i="19"/>
  <c r="L24" i="19"/>
  <c r="M24" i="19" s="1"/>
  <c r="RD24" i="19"/>
  <c r="I24" i="19"/>
  <c r="H24" i="19"/>
  <c r="N24" i="19"/>
  <c r="RE24" i="19"/>
  <c r="DC24" i="19"/>
  <c r="QZ30" i="19"/>
  <c r="RB25" i="19"/>
  <c r="QZ25" i="19"/>
  <c r="QY25" i="19"/>
  <c r="QC25" i="19"/>
  <c r="P25" i="19"/>
  <c r="Q25" i="19" s="1"/>
  <c r="DC25" i="19"/>
  <c r="RA25" i="19"/>
  <c r="H25" i="19"/>
  <c r="RD25" i="19"/>
  <c r="I25" i="19"/>
  <c r="N25" i="19"/>
  <c r="L25" i="19"/>
  <c r="RE25" i="19"/>
  <c r="RB30" i="19"/>
  <c r="QC30" i="19"/>
  <c r="P30" i="19"/>
  <c r="Q30" i="19" s="1"/>
  <c r="DC30" i="19"/>
  <c r="RA30" i="19"/>
  <c r="RD30" i="19"/>
  <c r="H30" i="19"/>
  <c r="I30" i="19"/>
  <c r="N30" i="19"/>
  <c r="L30" i="19"/>
  <c r="RE30" i="19"/>
  <c r="QZ15" i="27"/>
  <c r="RB15" i="27"/>
  <c r="QC15" i="27"/>
  <c r="NY15" i="27"/>
  <c r="MW15" i="27"/>
  <c r="KP15" i="27"/>
  <c r="IO15" i="27"/>
  <c r="IL15" i="27"/>
  <c r="GK15" i="27"/>
  <c r="P15" i="27"/>
  <c r="Q15" i="27" s="1"/>
  <c r="DC15" i="27"/>
  <c r="RA15" i="27"/>
  <c r="RD15" i="27"/>
  <c r="H15" i="27"/>
  <c r="I15" i="27"/>
  <c r="N15" i="27"/>
  <c r="L15" i="27"/>
  <c r="KS15" i="27"/>
  <c r="RE15" i="27"/>
  <c r="PA17" i="27"/>
  <c r="RB17" i="27"/>
  <c r="MT17" i="27"/>
  <c r="EG17" i="27"/>
  <c r="QZ17" i="27"/>
  <c r="QC17" i="27"/>
  <c r="NY17" i="27"/>
  <c r="MW17" i="27"/>
  <c r="KP17" i="27"/>
  <c r="IO17" i="27"/>
  <c r="IL17" i="27"/>
  <c r="GK17" i="27"/>
  <c r="P17" i="27"/>
  <c r="Q17" i="27" s="1"/>
  <c r="L17" i="27"/>
  <c r="M17" i="27" s="1"/>
  <c r="RA17" i="27"/>
  <c r="RD17" i="27"/>
  <c r="I17" i="27"/>
  <c r="H17" i="27"/>
  <c r="N17" i="27"/>
  <c r="KS17" i="27"/>
  <c r="RE17" i="27"/>
  <c r="DC17" i="27"/>
  <c r="RB17" i="26"/>
  <c r="QZ20" i="26"/>
  <c r="QZ17" i="26"/>
  <c r="P17" i="26"/>
  <c r="Q17" i="26" s="1"/>
  <c r="QC17" i="26"/>
  <c r="NY17" i="26"/>
  <c r="MW17" i="26"/>
  <c r="KP17" i="26"/>
  <c r="IL17" i="26"/>
  <c r="GK17" i="26"/>
  <c r="DC17" i="26"/>
  <c r="RA17" i="26"/>
  <c r="RD17" i="26"/>
  <c r="I17" i="26"/>
  <c r="H17" i="26"/>
  <c r="N17" i="26"/>
  <c r="L17" i="26"/>
  <c r="KS17" i="26"/>
  <c r="RE17" i="26"/>
  <c r="EG20" i="26"/>
  <c r="MT20" i="26"/>
  <c r="PA20" i="26"/>
  <c r="RB20" i="26"/>
  <c r="QC20" i="26"/>
  <c r="NY20" i="26"/>
  <c r="MW20" i="26"/>
  <c r="KP20" i="26"/>
  <c r="IO20" i="26"/>
  <c r="IL20" i="26"/>
  <c r="GK20" i="26"/>
  <c r="P20" i="26"/>
  <c r="DE20" i="26" s="1"/>
  <c r="DC20" i="26"/>
  <c r="RA20" i="26"/>
  <c r="N20" i="26"/>
  <c r="DD20" i="26" s="1"/>
  <c r="RD20" i="26"/>
  <c r="H20" i="26"/>
  <c r="I20" i="26"/>
  <c r="L20" i="26"/>
  <c r="M20" i="26" s="1"/>
  <c r="KS20" i="26"/>
  <c r="RE20" i="26"/>
  <c r="CV16" i="21"/>
  <c r="CW16" i="21"/>
  <c r="CX16" i="21"/>
  <c r="CY16" i="21"/>
  <c r="DA16" i="21"/>
  <c r="DB16" i="21"/>
  <c r="DZ16" i="21"/>
  <c r="EA16" i="21"/>
  <c r="EB16" i="21"/>
  <c r="EC16" i="21"/>
  <c r="EE16" i="21"/>
  <c r="EF16" i="21"/>
  <c r="FB16" i="21"/>
  <c r="FC16" i="21"/>
  <c r="FD16" i="21"/>
  <c r="FE16" i="21"/>
  <c r="FG16" i="21"/>
  <c r="FH16" i="21"/>
  <c r="GD16" i="21"/>
  <c r="GE16" i="21"/>
  <c r="GF16" i="21"/>
  <c r="GG16" i="21"/>
  <c r="GI16" i="21"/>
  <c r="GJ16" i="21"/>
  <c r="HF16" i="21"/>
  <c r="HG16" i="21"/>
  <c r="HH16" i="21"/>
  <c r="HI16" i="21"/>
  <c r="HK16" i="21"/>
  <c r="HL16" i="21"/>
  <c r="IH16" i="21"/>
  <c r="II16" i="21"/>
  <c r="IJ16" i="21"/>
  <c r="IK16" i="21"/>
  <c r="IM16" i="21"/>
  <c r="IN16" i="21"/>
  <c r="JJ16" i="21"/>
  <c r="JK16" i="21"/>
  <c r="JL16" i="21"/>
  <c r="JM16" i="21"/>
  <c r="JO16" i="21"/>
  <c r="JP16" i="21"/>
  <c r="KL16" i="21"/>
  <c r="KM16" i="21"/>
  <c r="KN16" i="21"/>
  <c r="KO16" i="21"/>
  <c r="KQ16" i="21"/>
  <c r="KR16" i="21"/>
  <c r="LN16" i="21"/>
  <c r="LO16" i="21"/>
  <c r="LP16" i="21"/>
  <c r="LQ16" i="21"/>
  <c r="LS16" i="21"/>
  <c r="LT16" i="21"/>
  <c r="MP16" i="21"/>
  <c r="MQ16" i="21"/>
  <c r="MR16" i="21"/>
  <c r="MS16" i="21"/>
  <c r="MU16" i="21"/>
  <c r="MV16" i="21"/>
  <c r="NR16" i="21"/>
  <c r="NS16" i="21"/>
  <c r="NT16" i="21"/>
  <c r="NU16" i="21"/>
  <c r="NW16" i="21"/>
  <c r="NX16" i="21"/>
  <c r="OT16" i="21"/>
  <c r="OU16" i="21"/>
  <c r="OV16" i="21"/>
  <c r="OW16" i="21"/>
  <c r="OY16" i="21"/>
  <c r="OZ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10" i="21"/>
  <c r="CW10" i="21"/>
  <c r="CX10" i="21"/>
  <c r="CY10" i="21"/>
  <c r="DA10" i="21"/>
  <c r="DB10" i="21"/>
  <c r="DZ10" i="21"/>
  <c r="EA10" i="21"/>
  <c r="EB10" i="21"/>
  <c r="EC10" i="21"/>
  <c r="EE10" i="21"/>
  <c r="EF10" i="21"/>
  <c r="FB10" i="21"/>
  <c r="FC10" i="21"/>
  <c r="FD10" i="21"/>
  <c r="FE10" i="21"/>
  <c r="FG10" i="21"/>
  <c r="FH10" i="21"/>
  <c r="GD10" i="21"/>
  <c r="GE10" i="21"/>
  <c r="GF10" i="21"/>
  <c r="GG10" i="21"/>
  <c r="GI10" i="21"/>
  <c r="GJ10" i="21"/>
  <c r="HF10" i="21"/>
  <c r="HG10" i="21"/>
  <c r="HH10" i="21"/>
  <c r="HI10" i="21"/>
  <c r="HK10" i="21"/>
  <c r="HL10" i="21"/>
  <c r="IH10" i="21"/>
  <c r="II10" i="21"/>
  <c r="IJ10" i="21"/>
  <c r="IK10" i="21"/>
  <c r="IM10" i="21"/>
  <c r="IN10" i="21"/>
  <c r="JJ10" i="21"/>
  <c r="JK10" i="21"/>
  <c r="JL10" i="21"/>
  <c r="JM10" i="21"/>
  <c r="JO10" i="21"/>
  <c r="JP10" i="21"/>
  <c r="KL10" i="21"/>
  <c r="KM10" i="21"/>
  <c r="KN10" i="21"/>
  <c r="KO10" i="21"/>
  <c r="KQ10" i="21"/>
  <c r="KR10" i="21"/>
  <c r="LN10" i="21"/>
  <c r="LO10" i="21"/>
  <c r="LP10" i="21"/>
  <c r="LQ10" i="21"/>
  <c r="LS10" i="21"/>
  <c r="LT10" i="21"/>
  <c r="MP10" i="21"/>
  <c r="MQ10" i="21"/>
  <c r="MR10" i="21"/>
  <c r="MS10" i="21"/>
  <c r="MU10" i="21"/>
  <c r="MV10" i="21"/>
  <c r="NR10" i="21"/>
  <c r="NS10" i="21"/>
  <c r="NT10" i="21"/>
  <c r="NU10" i="21"/>
  <c r="NW10" i="21"/>
  <c r="NX10" i="21"/>
  <c r="OT10" i="21"/>
  <c r="OU10" i="21"/>
  <c r="OV10" i="21"/>
  <c r="OW10" i="21"/>
  <c r="OY10" i="21"/>
  <c r="OZ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5" i="21"/>
  <c r="CW5" i="21"/>
  <c r="CX5" i="21"/>
  <c r="CY5" i="21"/>
  <c r="DA5" i="21"/>
  <c r="DB5" i="21"/>
  <c r="DZ5" i="21"/>
  <c r="EA5" i="21"/>
  <c r="EB5" i="21"/>
  <c r="EC5" i="21"/>
  <c r="EE5" i="21"/>
  <c r="EF5" i="21"/>
  <c r="FB5" i="21"/>
  <c r="FC5" i="21"/>
  <c r="FD5" i="21"/>
  <c r="FE5" i="21"/>
  <c r="FG5" i="21"/>
  <c r="FH5" i="21"/>
  <c r="GD5" i="21"/>
  <c r="GE5" i="21"/>
  <c r="GF5" i="21"/>
  <c r="GG5" i="21"/>
  <c r="GI5" i="21"/>
  <c r="GJ5" i="21"/>
  <c r="HF5" i="21"/>
  <c r="HG5" i="21"/>
  <c r="HH5" i="21"/>
  <c r="HI5" i="21"/>
  <c r="HK5" i="21"/>
  <c r="HL5" i="21"/>
  <c r="IH5" i="21"/>
  <c r="II5" i="21"/>
  <c r="IJ5" i="21"/>
  <c r="IK5" i="21"/>
  <c r="IM5" i="21"/>
  <c r="IN5" i="21"/>
  <c r="JJ5" i="21"/>
  <c r="JK5" i="21"/>
  <c r="JL5" i="21"/>
  <c r="JM5" i="21"/>
  <c r="JO5" i="21"/>
  <c r="JP5" i="21"/>
  <c r="KL5" i="21"/>
  <c r="KM5" i="21"/>
  <c r="KN5" i="21"/>
  <c r="KO5" i="21"/>
  <c r="KQ5" i="21"/>
  <c r="KR5" i="21"/>
  <c r="LN5" i="21"/>
  <c r="LO5" i="21"/>
  <c r="LP5" i="21"/>
  <c r="LQ5" i="21"/>
  <c r="LS5" i="21"/>
  <c r="LT5" i="21"/>
  <c r="MP5" i="21"/>
  <c r="MQ5" i="21"/>
  <c r="MR5" i="21"/>
  <c r="MS5" i="21"/>
  <c r="MU5" i="21"/>
  <c r="MV5" i="21"/>
  <c r="NR5" i="21"/>
  <c r="NS5" i="21"/>
  <c r="NT5" i="21"/>
  <c r="NU5" i="21"/>
  <c r="NW5" i="21"/>
  <c r="NX5" i="21"/>
  <c r="OT5" i="21"/>
  <c r="OU5" i="21"/>
  <c r="OV5" i="21"/>
  <c r="OW5" i="21"/>
  <c r="OY5" i="21"/>
  <c r="OZ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2" i="19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4" i="19"/>
  <c r="CW4" i="19"/>
  <c r="CX4" i="19"/>
  <c r="CY4" i="19"/>
  <c r="DA4" i="19"/>
  <c r="DB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8" i="27"/>
  <c r="CW18" i="27"/>
  <c r="CX18" i="27"/>
  <c r="CY18" i="27"/>
  <c r="DA18" i="27"/>
  <c r="DB18" i="27"/>
  <c r="DZ18" i="27"/>
  <c r="EA18" i="27"/>
  <c r="EB18" i="27"/>
  <c r="EC18" i="27"/>
  <c r="EE18" i="27"/>
  <c r="EF18" i="27"/>
  <c r="FB18" i="27"/>
  <c r="FC18" i="27"/>
  <c r="FD18" i="27"/>
  <c r="FE18" i="27"/>
  <c r="FG18" i="27"/>
  <c r="FH18" i="27"/>
  <c r="GD18" i="27"/>
  <c r="GE18" i="27"/>
  <c r="GF18" i="27"/>
  <c r="GG18" i="27"/>
  <c r="GI18" i="27"/>
  <c r="GJ18" i="27"/>
  <c r="HF18" i="27"/>
  <c r="HG18" i="27"/>
  <c r="HH18" i="27"/>
  <c r="HI18" i="27"/>
  <c r="HK18" i="27"/>
  <c r="HL18" i="27"/>
  <c r="IH18" i="27"/>
  <c r="II18" i="27"/>
  <c r="IJ18" i="27"/>
  <c r="IK18" i="27"/>
  <c r="IM18" i="27"/>
  <c r="IN18" i="27"/>
  <c r="JJ18" i="27"/>
  <c r="JK18" i="27"/>
  <c r="JL18" i="27"/>
  <c r="JM18" i="27"/>
  <c r="JO18" i="27"/>
  <c r="JP18" i="27"/>
  <c r="KL18" i="27"/>
  <c r="KM18" i="27"/>
  <c r="KN18" i="27"/>
  <c r="KO18" i="27"/>
  <c r="KQ18" i="27"/>
  <c r="KR18" i="27"/>
  <c r="LN18" i="27"/>
  <c r="LO18" i="27"/>
  <c r="LP18" i="27"/>
  <c r="LQ18" i="27"/>
  <c r="LS18" i="27"/>
  <c r="LT18" i="27"/>
  <c r="MP18" i="27"/>
  <c r="MQ18" i="27"/>
  <c r="MR18" i="27"/>
  <c r="MS18" i="27"/>
  <c r="MU18" i="27"/>
  <c r="MV18" i="27"/>
  <c r="NR18" i="27"/>
  <c r="NS18" i="27"/>
  <c r="NT18" i="27"/>
  <c r="NU18" i="27"/>
  <c r="NW18" i="27"/>
  <c r="NX18" i="27"/>
  <c r="OT18" i="27"/>
  <c r="OU18" i="27"/>
  <c r="OV18" i="27"/>
  <c r="OW18" i="27"/>
  <c r="OY18" i="27"/>
  <c r="OZ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DZ6" i="27"/>
  <c r="EA6" i="27"/>
  <c r="EB6" i="27"/>
  <c r="EC6" i="27"/>
  <c r="EE6" i="27"/>
  <c r="EF6" i="27"/>
  <c r="FB6" i="27"/>
  <c r="FC6" i="27"/>
  <c r="FD6" i="27"/>
  <c r="FE6" i="27"/>
  <c r="FG6" i="27"/>
  <c r="FH6" i="27"/>
  <c r="GD6" i="27"/>
  <c r="GE6" i="27"/>
  <c r="GF6" i="27"/>
  <c r="GG6" i="27"/>
  <c r="GI6" i="27"/>
  <c r="GJ6" i="27"/>
  <c r="HF6" i="27"/>
  <c r="HG6" i="27"/>
  <c r="HH6" i="27"/>
  <c r="HI6" i="27"/>
  <c r="HK6" i="27"/>
  <c r="HL6" i="27"/>
  <c r="IH6" i="27"/>
  <c r="II6" i="27"/>
  <c r="IJ6" i="27"/>
  <c r="IK6" i="27"/>
  <c r="IM6" i="27"/>
  <c r="IN6" i="27"/>
  <c r="JJ6" i="27"/>
  <c r="JK6" i="27"/>
  <c r="JL6" i="27"/>
  <c r="JM6" i="27"/>
  <c r="JO6" i="27"/>
  <c r="JP6" i="27"/>
  <c r="KL6" i="27"/>
  <c r="KM6" i="27"/>
  <c r="KN6" i="27"/>
  <c r="KO6" i="27"/>
  <c r="KQ6" i="27"/>
  <c r="KR6" i="27"/>
  <c r="LN6" i="27"/>
  <c r="LO6" i="27"/>
  <c r="LP6" i="27"/>
  <c r="LQ6" i="27"/>
  <c r="LS6" i="27"/>
  <c r="LT6" i="27"/>
  <c r="MP6" i="27"/>
  <c r="MQ6" i="27"/>
  <c r="MR6" i="27"/>
  <c r="MS6" i="27"/>
  <c r="MU6" i="27"/>
  <c r="MV6" i="27"/>
  <c r="NR6" i="27"/>
  <c r="NS6" i="27"/>
  <c r="NT6" i="27"/>
  <c r="NU6" i="27"/>
  <c r="NW6" i="27"/>
  <c r="NX6" i="27"/>
  <c r="OT6" i="27"/>
  <c r="OU6" i="27"/>
  <c r="OV6" i="27"/>
  <c r="OW6" i="27"/>
  <c r="OY6" i="27"/>
  <c r="OZ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9" i="26"/>
  <c r="CW9" i="26"/>
  <c r="CX9" i="26"/>
  <c r="CY9" i="26"/>
  <c r="DA9" i="26"/>
  <c r="DB9" i="26"/>
  <c r="DZ9" i="26"/>
  <c r="EA9" i="26"/>
  <c r="EB9" i="26"/>
  <c r="EC9" i="26"/>
  <c r="EE9" i="26"/>
  <c r="EF9" i="26"/>
  <c r="FB9" i="26"/>
  <c r="FC9" i="26"/>
  <c r="FD9" i="26"/>
  <c r="FE9" i="26"/>
  <c r="FG9" i="26"/>
  <c r="FH9" i="26"/>
  <c r="GD9" i="26"/>
  <c r="GE9" i="26"/>
  <c r="GF9" i="26"/>
  <c r="GG9" i="26"/>
  <c r="GI9" i="26"/>
  <c r="GJ9" i="26"/>
  <c r="HF9" i="26"/>
  <c r="HG9" i="26"/>
  <c r="HH9" i="26"/>
  <c r="HI9" i="26"/>
  <c r="HK9" i="26"/>
  <c r="HL9" i="26"/>
  <c r="IH9" i="26"/>
  <c r="II9" i="26"/>
  <c r="IJ9" i="26"/>
  <c r="IK9" i="26"/>
  <c r="IM9" i="26"/>
  <c r="IN9" i="26"/>
  <c r="JJ9" i="26"/>
  <c r="JK9" i="26"/>
  <c r="JL9" i="26"/>
  <c r="JM9" i="26"/>
  <c r="JO9" i="26"/>
  <c r="JP9" i="26"/>
  <c r="KL9" i="26"/>
  <c r="KM9" i="26"/>
  <c r="KN9" i="26"/>
  <c r="KO9" i="26"/>
  <c r="KQ9" i="26"/>
  <c r="KR9" i="26"/>
  <c r="LN9" i="26"/>
  <c r="LO9" i="26"/>
  <c r="LP9" i="26"/>
  <c r="LQ9" i="26"/>
  <c r="LS9" i="26"/>
  <c r="LT9" i="26"/>
  <c r="MP9" i="26"/>
  <c r="MQ9" i="26"/>
  <c r="MR9" i="26"/>
  <c r="MS9" i="26"/>
  <c r="MU9" i="26"/>
  <c r="MV9" i="26"/>
  <c r="NR9" i="26"/>
  <c r="NS9" i="26"/>
  <c r="NT9" i="26"/>
  <c r="NU9" i="26"/>
  <c r="NW9" i="26"/>
  <c r="NX9" i="26"/>
  <c r="OT9" i="26"/>
  <c r="OU9" i="26"/>
  <c r="OV9" i="26"/>
  <c r="OW9" i="26"/>
  <c r="OY9" i="26"/>
  <c r="OZ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V11" i="26"/>
  <c r="CW11" i="26"/>
  <c r="CX11" i="26"/>
  <c r="CY11" i="26"/>
  <c r="DA11" i="26"/>
  <c r="DB11" i="26"/>
  <c r="DZ11" i="26"/>
  <c r="EA11" i="26"/>
  <c r="EB11" i="26"/>
  <c r="EC11" i="26"/>
  <c r="EE11" i="26"/>
  <c r="EF11" i="26"/>
  <c r="FB11" i="26"/>
  <c r="FC11" i="26"/>
  <c r="FD11" i="26"/>
  <c r="FE11" i="26"/>
  <c r="FG11" i="26"/>
  <c r="FH11" i="26"/>
  <c r="GD11" i="26"/>
  <c r="GE11" i="26"/>
  <c r="GF11" i="26"/>
  <c r="GG11" i="26"/>
  <c r="GI11" i="26"/>
  <c r="GJ11" i="26"/>
  <c r="HF11" i="26"/>
  <c r="HG11" i="26"/>
  <c r="HH11" i="26"/>
  <c r="HI11" i="26"/>
  <c r="HK11" i="26"/>
  <c r="HL11" i="26"/>
  <c r="IH11" i="26"/>
  <c r="II11" i="26"/>
  <c r="IJ11" i="26"/>
  <c r="IK11" i="26"/>
  <c r="IM11" i="26"/>
  <c r="IN11" i="26"/>
  <c r="JJ11" i="26"/>
  <c r="JK11" i="26"/>
  <c r="JL11" i="26"/>
  <c r="JM11" i="26"/>
  <c r="JO11" i="26"/>
  <c r="JP11" i="26"/>
  <c r="KL11" i="26"/>
  <c r="KM11" i="26"/>
  <c r="KN11" i="26"/>
  <c r="KO11" i="26"/>
  <c r="KQ11" i="26"/>
  <c r="KR11" i="26"/>
  <c r="LN11" i="26"/>
  <c r="LO11" i="26"/>
  <c r="LP11" i="26"/>
  <c r="LQ11" i="26"/>
  <c r="LS11" i="26"/>
  <c r="LT11" i="26"/>
  <c r="MP11" i="26"/>
  <c r="MQ11" i="26"/>
  <c r="MR11" i="26"/>
  <c r="MS11" i="26"/>
  <c r="MU11" i="26"/>
  <c r="MV11" i="26"/>
  <c r="NR11" i="26"/>
  <c r="NS11" i="26"/>
  <c r="NT11" i="26"/>
  <c r="NU11" i="26"/>
  <c r="NW11" i="26"/>
  <c r="NX11" i="26"/>
  <c r="OT11" i="26"/>
  <c r="OU11" i="26"/>
  <c r="OV11" i="26"/>
  <c r="OW11" i="26"/>
  <c r="OY11" i="26"/>
  <c r="OZ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8" i="26"/>
  <c r="CW8" i="26"/>
  <c r="CX8" i="26"/>
  <c r="CY8" i="26"/>
  <c r="DA8" i="26"/>
  <c r="DB8" i="26"/>
  <c r="DZ8" i="26"/>
  <c r="EA8" i="26"/>
  <c r="EB8" i="26"/>
  <c r="EC8" i="26"/>
  <c r="EE8" i="26"/>
  <c r="EF8" i="26"/>
  <c r="FB8" i="26"/>
  <c r="FC8" i="26"/>
  <c r="FD8" i="26"/>
  <c r="FE8" i="26"/>
  <c r="FG8" i="26"/>
  <c r="FH8" i="26"/>
  <c r="GD8" i="26"/>
  <c r="GE8" i="26"/>
  <c r="GF8" i="26"/>
  <c r="GG8" i="26"/>
  <c r="GI8" i="26"/>
  <c r="GJ8" i="26"/>
  <c r="HF8" i="26"/>
  <c r="HG8" i="26"/>
  <c r="HH8" i="26"/>
  <c r="HI8" i="26"/>
  <c r="HK8" i="26"/>
  <c r="HL8" i="26"/>
  <c r="IH8" i="26"/>
  <c r="II8" i="26"/>
  <c r="IJ8" i="26"/>
  <c r="IK8" i="26"/>
  <c r="IM8" i="26"/>
  <c r="IN8" i="26"/>
  <c r="JJ8" i="26"/>
  <c r="JK8" i="26"/>
  <c r="JL8" i="26"/>
  <c r="JM8" i="26"/>
  <c r="JO8" i="26"/>
  <c r="JP8" i="26"/>
  <c r="KL8" i="26"/>
  <c r="KM8" i="26"/>
  <c r="KN8" i="26"/>
  <c r="KO8" i="26"/>
  <c r="KQ8" i="26"/>
  <c r="KR8" i="26"/>
  <c r="LN8" i="26"/>
  <c r="LO8" i="26"/>
  <c r="LP8" i="26"/>
  <c r="LQ8" i="26"/>
  <c r="LS8" i="26"/>
  <c r="LT8" i="26"/>
  <c r="MP8" i="26"/>
  <c r="MQ8" i="26"/>
  <c r="MR8" i="26"/>
  <c r="MS8" i="26"/>
  <c r="MU8" i="26"/>
  <c r="MV8" i="26"/>
  <c r="NR8" i="26"/>
  <c r="NS8" i="26"/>
  <c r="NT8" i="26"/>
  <c r="NU8" i="26"/>
  <c r="NW8" i="26"/>
  <c r="NX8" i="26"/>
  <c r="OT8" i="26"/>
  <c r="OU8" i="26"/>
  <c r="OV8" i="26"/>
  <c r="OW8" i="26"/>
  <c r="OY8" i="26"/>
  <c r="OZ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Q16" i="22"/>
  <c r="CR16" i="22"/>
  <c r="CS16" i="22"/>
  <c r="CW16" i="22" s="1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R25" i="21" l="1"/>
  <c r="O21" i="21"/>
  <c r="R26" i="21"/>
  <c r="T26" i="21" s="1"/>
  <c r="R34" i="21"/>
  <c r="S34" i="21" s="1"/>
  <c r="R36" i="21"/>
  <c r="F36" i="21" s="1"/>
  <c r="R35" i="19"/>
  <c r="S35" i="19" s="1"/>
  <c r="B36" i="21" a="1"/>
  <c r="B36" i="21" s="1"/>
  <c r="F34" i="21"/>
  <c r="A34" i="21" a="1"/>
  <c r="A34" i="21" s="1"/>
  <c r="B34" i="21" a="1"/>
  <c r="B34" i="21" s="1"/>
  <c r="T34" i="21"/>
  <c r="B26" i="21" a="1"/>
  <c r="B26" i="21" s="1"/>
  <c r="F26" i="21"/>
  <c r="S26" i="21"/>
  <c r="F25" i="21"/>
  <c r="A25" i="21" a="1"/>
  <c r="A25" i="21" s="1"/>
  <c r="B25" i="21" a="1"/>
  <c r="B25" i="21" s="1"/>
  <c r="S25" i="21"/>
  <c r="T25" i="21"/>
  <c r="R29" i="19"/>
  <c r="F29" i="19" s="1"/>
  <c r="F35" i="19"/>
  <c r="A35" i="19" a="1"/>
  <c r="A35" i="19" s="1"/>
  <c r="B35" i="19" a="1"/>
  <c r="B35" i="19" s="1"/>
  <c r="T35" i="19"/>
  <c r="R33" i="19"/>
  <c r="T33" i="19" s="1"/>
  <c r="B33" i="19" a="1"/>
  <c r="B33" i="19" s="1"/>
  <c r="F33" i="19"/>
  <c r="B29" i="19" a="1"/>
  <c r="B29" i="19" s="1"/>
  <c r="DE17" i="26"/>
  <c r="GH5" i="21"/>
  <c r="Q21" i="21"/>
  <c r="DE15" i="21"/>
  <c r="K27" i="19"/>
  <c r="J27" i="19" s="1"/>
  <c r="K24" i="19"/>
  <c r="J24" i="19" s="1"/>
  <c r="A24" i="19" s="1" a="1"/>
  <c r="A24" i="19" s="1"/>
  <c r="LR11" i="26"/>
  <c r="PZ8" i="26"/>
  <c r="PZ11" i="26"/>
  <c r="DD21" i="21"/>
  <c r="R21" i="21" s="1"/>
  <c r="ED5" i="21"/>
  <c r="K8" i="21"/>
  <c r="J8" i="21" s="1"/>
  <c r="GH10" i="21"/>
  <c r="PZ16" i="21"/>
  <c r="IL16" i="21"/>
  <c r="RC14" i="21"/>
  <c r="K15" i="21"/>
  <c r="J15" i="21" s="1"/>
  <c r="A15" i="21" s="1" a="1"/>
  <c r="A15" i="21" s="1"/>
  <c r="NV10" i="21"/>
  <c r="OX5" i="21"/>
  <c r="HJ5" i="21"/>
  <c r="RC17" i="27"/>
  <c r="FF18" i="27"/>
  <c r="K15" i="27"/>
  <c r="J15" i="27" s="1"/>
  <c r="DE8" i="21"/>
  <c r="K14" i="21"/>
  <c r="J14" i="21" s="1"/>
  <c r="K20" i="21"/>
  <c r="J20" i="21" s="1"/>
  <c r="ED10" i="21"/>
  <c r="FI5" i="21"/>
  <c r="DE23" i="21"/>
  <c r="DE20" i="21"/>
  <c r="RF8" i="21"/>
  <c r="RF21" i="21"/>
  <c r="RC8" i="21"/>
  <c r="MT10" i="21"/>
  <c r="K23" i="21"/>
  <c r="J23" i="21" s="1"/>
  <c r="LR5" i="21"/>
  <c r="LU16" i="21"/>
  <c r="RC21" i="21"/>
  <c r="K21" i="21"/>
  <c r="J21" i="21" s="1"/>
  <c r="RF14" i="21"/>
  <c r="K30" i="19"/>
  <c r="J30" i="19" s="1"/>
  <c r="A30" i="19" s="1" a="1"/>
  <c r="A30" i="19" s="1"/>
  <c r="DE30" i="19"/>
  <c r="K25" i="19"/>
  <c r="J25" i="19" s="1"/>
  <c r="A25" i="19" s="1" a="1"/>
  <c r="A25" i="19" s="1"/>
  <c r="RC15" i="27"/>
  <c r="K17" i="27"/>
  <c r="J17" i="27" s="1"/>
  <c r="RC17" i="26"/>
  <c r="RC20" i="26"/>
  <c r="K17" i="26"/>
  <c r="J17" i="26" s="1"/>
  <c r="ED11" i="26"/>
  <c r="K20" i="26"/>
  <c r="J20" i="26" s="1"/>
  <c r="RC20" i="21"/>
  <c r="RC15" i="21"/>
  <c r="RF20" i="21"/>
  <c r="DD8" i="21"/>
  <c r="O8" i="21"/>
  <c r="RF23" i="21"/>
  <c r="DE14" i="21"/>
  <c r="RF15" i="21"/>
  <c r="DD14" i="21"/>
  <c r="O14" i="21"/>
  <c r="RC23" i="21"/>
  <c r="DD23" i="21"/>
  <c r="O23" i="21"/>
  <c r="O15" i="21"/>
  <c r="DD15" i="21"/>
  <c r="M14" i="21"/>
  <c r="M15" i="21"/>
  <c r="O20" i="21"/>
  <c r="DD20" i="21"/>
  <c r="M21" i="21"/>
  <c r="FF5" i="21"/>
  <c r="PZ10" i="21"/>
  <c r="IL10" i="21"/>
  <c r="NV16" i="21"/>
  <c r="GH16" i="21"/>
  <c r="JN5" i="21"/>
  <c r="FI10" i="21"/>
  <c r="OX10" i="21"/>
  <c r="HJ10" i="21"/>
  <c r="MT16" i="21"/>
  <c r="FF16" i="21"/>
  <c r="JQ10" i="21"/>
  <c r="OX16" i="21"/>
  <c r="HJ16" i="21"/>
  <c r="NV5" i="21"/>
  <c r="PZ5" i="21"/>
  <c r="LU10" i="21"/>
  <c r="JQ16" i="21"/>
  <c r="LU5" i="21"/>
  <c r="JQ5" i="21"/>
  <c r="HM5" i="21"/>
  <c r="HM10" i="21"/>
  <c r="HM16" i="21"/>
  <c r="FI16" i="21"/>
  <c r="LR10" i="21"/>
  <c r="JN10" i="21"/>
  <c r="LR16" i="21"/>
  <c r="JN16" i="21"/>
  <c r="RC27" i="19"/>
  <c r="DE27" i="19"/>
  <c r="RF27" i="19"/>
  <c r="DE24" i="19"/>
  <c r="RC25" i="19"/>
  <c r="DD27" i="19"/>
  <c r="O27" i="19"/>
  <c r="M27" i="19"/>
  <c r="RC24" i="19"/>
  <c r="RC30" i="19"/>
  <c r="RF24" i="19"/>
  <c r="DD24" i="19"/>
  <c r="O24" i="19"/>
  <c r="RF25" i="19"/>
  <c r="DE25" i="19"/>
  <c r="DD25" i="19"/>
  <c r="O25" i="19"/>
  <c r="M25" i="19"/>
  <c r="PZ11" i="19"/>
  <c r="CZ34" i="19"/>
  <c r="RF30" i="19"/>
  <c r="DD30" i="19"/>
  <c r="O30" i="19"/>
  <c r="M30" i="19"/>
  <c r="PZ34" i="19"/>
  <c r="RF15" i="27"/>
  <c r="DE15" i="27"/>
  <c r="RF17" i="27"/>
  <c r="DE17" i="27"/>
  <c r="DD15" i="27"/>
  <c r="O15" i="27"/>
  <c r="M15" i="27"/>
  <c r="HJ18" i="27"/>
  <c r="DD17" i="27"/>
  <c r="O17" i="27"/>
  <c r="JN18" i="27"/>
  <c r="RF17" i="26"/>
  <c r="R20" i="26"/>
  <c r="RF20" i="26"/>
  <c r="DD17" i="26"/>
  <c r="O17" i="26"/>
  <c r="M17" i="26"/>
  <c r="NV11" i="26"/>
  <c r="OX9" i="26"/>
  <c r="JN11" i="26"/>
  <c r="FF9" i="26"/>
  <c r="Q20" i="26"/>
  <c r="O20" i="26"/>
  <c r="CW17" i="4"/>
  <c r="DA17" i="4" s="1"/>
  <c r="CZ16" i="21"/>
  <c r="CZ5" i="21"/>
  <c r="CZ10" i="21"/>
  <c r="QY5" i="21"/>
  <c r="QY16" i="21"/>
  <c r="QY9" i="26"/>
  <c r="CZ12" i="19"/>
  <c r="CZ11" i="19"/>
  <c r="ED18" i="27"/>
  <c r="NV6" i="27"/>
  <c r="GH6" i="27"/>
  <c r="GH11" i="26"/>
  <c r="IL11" i="26"/>
  <c r="TN17" i="4"/>
  <c r="PZ12" i="19"/>
  <c r="QY34" i="19"/>
  <c r="CZ15" i="19"/>
  <c r="PZ18" i="27"/>
  <c r="GH18" i="27"/>
  <c r="FF6" i="27"/>
  <c r="JN6" i="27"/>
  <c r="LR18" i="27"/>
  <c r="JQ18" i="27"/>
  <c r="LU18" i="27"/>
  <c r="FI18" i="27"/>
  <c r="OX18" i="27"/>
  <c r="HM18" i="27"/>
  <c r="OX6" i="27"/>
  <c r="IL9" i="26"/>
  <c r="GH9" i="26"/>
  <c r="OX11" i="26"/>
  <c r="JQ11" i="26"/>
  <c r="LR8" i="26"/>
  <c r="LU11" i="26"/>
  <c r="CZ11" i="26"/>
  <c r="PA16" i="21"/>
  <c r="MW16" i="21"/>
  <c r="EG16" i="21"/>
  <c r="PZ15" i="19"/>
  <c r="CZ4" i="19"/>
  <c r="PZ4" i="19"/>
  <c r="QY12" i="19"/>
  <c r="RD34" i="19"/>
  <c r="LR6" i="27"/>
  <c r="NV18" i="27"/>
  <c r="PZ6" i="27"/>
  <c r="CZ6" i="27"/>
  <c r="HJ6" i="27"/>
  <c r="CZ18" i="27"/>
  <c r="EG18" i="27"/>
  <c r="ED6" i="27"/>
  <c r="LU6" i="27"/>
  <c r="JQ6" i="27"/>
  <c r="FI6" i="27"/>
  <c r="PA18" i="27"/>
  <c r="HM6" i="27"/>
  <c r="MT18" i="27"/>
  <c r="HM11" i="26"/>
  <c r="FI9" i="26"/>
  <c r="HJ8" i="26"/>
  <c r="NV9" i="26"/>
  <c r="FF11" i="26"/>
  <c r="HJ9" i="26"/>
  <c r="JN9" i="26"/>
  <c r="RB9" i="26"/>
  <c r="PZ9" i="26"/>
  <c r="CZ8" i="26"/>
  <c r="LR9" i="26"/>
  <c r="JN8" i="26"/>
  <c r="NV8" i="26"/>
  <c r="CZ9" i="26"/>
  <c r="FF8" i="26"/>
  <c r="MT9" i="26"/>
  <c r="PA9" i="26"/>
  <c r="OX8" i="26"/>
  <c r="JQ8" i="26"/>
  <c r="HM8" i="26"/>
  <c r="FI8" i="26"/>
  <c r="FI11" i="26"/>
  <c r="LU9" i="26"/>
  <c r="JQ9" i="26"/>
  <c r="QY8" i="26"/>
  <c r="LU8" i="26"/>
  <c r="RD9" i="26"/>
  <c r="HM9" i="26"/>
  <c r="GH8" i="26"/>
  <c r="HJ11" i="26"/>
  <c r="SN16" i="22"/>
  <c r="SU16" i="22" s="1"/>
  <c r="SN9" i="22"/>
  <c r="SU9" i="22" s="1"/>
  <c r="TQ9" i="22"/>
  <c r="CW9" i="22"/>
  <c r="DA9" i="22" s="1"/>
  <c r="TN8" i="4"/>
  <c r="SN8" i="4"/>
  <c r="SU8" i="4" s="1"/>
  <c r="SN17" i="4"/>
  <c r="SU17" i="4" s="1"/>
  <c r="TQ17" i="4"/>
  <c r="CW8" i="4"/>
  <c r="DA8" i="4" s="1"/>
  <c r="QZ16" i="21"/>
  <c r="RD16" i="21"/>
  <c r="RB16" i="21"/>
  <c r="RB34" i="19"/>
  <c r="QY11" i="19"/>
  <c r="QZ6" i="27"/>
  <c r="RB18" i="27"/>
  <c r="QY18" i="27"/>
  <c r="QZ18" i="27"/>
  <c r="QY6" i="27"/>
  <c r="EG9" i="26"/>
  <c r="ED9" i="26"/>
  <c r="QY11" i="26"/>
  <c r="QZ9" i="26"/>
  <c r="TQ16" i="22"/>
  <c r="TQ8" i="4"/>
  <c r="QC16" i="21"/>
  <c r="NY16" i="21"/>
  <c r="KP16" i="21"/>
  <c r="IO16" i="21"/>
  <c r="GK16" i="21"/>
  <c r="ED16" i="21"/>
  <c r="P16" i="21"/>
  <c r="Q16" i="21" s="1"/>
  <c r="DC16" i="21"/>
  <c r="RA16" i="21"/>
  <c r="I16" i="21"/>
  <c r="H16" i="21"/>
  <c r="N16" i="21"/>
  <c r="L16" i="21"/>
  <c r="KS16" i="21"/>
  <c r="RE16" i="21"/>
  <c r="MW10" i="21"/>
  <c r="EG10" i="21"/>
  <c r="RD10" i="21"/>
  <c r="QY10" i="21"/>
  <c r="FF10" i="21"/>
  <c r="PA10" i="21"/>
  <c r="QC10" i="21"/>
  <c r="NY10" i="21"/>
  <c r="KP10" i="21"/>
  <c r="IO10" i="21"/>
  <c r="GK10" i="21"/>
  <c r="RE10" i="21"/>
  <c r="QZ10" i="21"/>
  <c r="DC10" i="21"/>
  <c r="RA10" i="21"/>
  <c r="RB10" i="21"/>
  <c r="P10" i="21"/>
  <c r="DE10" i="21" s="1"/>
  <c r="I10" i="21"/>
  <c r="H10" i="21"/>
  <c r="N10" i="21"/>
  <c r="KS10" i="21"/>
  <c r="L10" i="21"/>
  <c r="MT5" i="21"/>
  <c r="RB5" i="21"/>
  <c r="EG5" i="21"/>
  <c r="QZ5" i="21"/>
  <c r="PA5" i="21"/>
  <c r="QC5" i="21"/>
  <c r="NY5" i="21"/>
  <c r="MW5" i="21"/>
  <c r="KP5" i="21"/>
  <c r="IO5" i="21"/>
  <c r="IL5" i="21"/>
  <c r="GK5" i="21"/>
  <c r="P5" i="21"/>
  <c r="Q5" i="21" s="1"/>
  <c r="DC5" i="21"/>
  <c r="RA5" i="21"/>
  <c r="RD5" i="21"/>
  <c r="I5" i="21"/>
  <c r="H5" i="21"/>
  <c r="N5" i="21"/>
  <c r="KS5" i="21"/>
  <c r="L5" i="21"/>
  <c r="RE5" i="21"/>
  <c r="QC34" i="19"/>
  <c r="QZ34" i="19"/>
  <c r="DC34" i="19"/>
  <c r="RA34" i="19"/>
  <c r="P34" i="19"/>
  <c r="Q34" i="19" s="1"/>
  <c r="I34" i="19"/>
  <c r="H34" i="19"/>
  <c r="N34" i="19"/>
  <c r="L34" i="19"/>
  <c r="RE34" i="19"/>
  <c r="QZ11" i="19"/>
  <c r="QZ12" i="19"/>
  <c r="QY15" i="19"/>
  <c r="RB11" i="19"/>
  <c r="QC11" i="19"/>
  <c r="P11" i="19"/>
  <c r="Q11" i="19" s="1"/>
  <c r="DC11" i="19"/>
  <c r="RA11" i="19"/>
  <c r="RD11" i="19"/>
  <c r="I11" i="19"/>
  <c r="H11" i="19"/>
  <c r="N11" i="19"/>
  <c r="L11" i="19"/>
  <c r="RE11" i="19"/>
  <c r="QZ15" i="19"/>
  <c r="RB12" i="19"/>
  <c r="QY4" i="19"/>
  <c r="QC12" i="19"/>
  <c r="P12" i="19"/>
  <c r="Q12" i="19" s="1"/>
  <c r="DC12" i="19"/>
  <c r="RA12" i="19"/>
  <c r="RD12" i="19"/>
  <c r="I12" i="19"/>
  <c r="H12" i="19"/>
  <c r="N12" i="19"/>
  <c r="L12" i="19"/>
  <c r="RE12" i="19"/>
  <c r="QZ4" i="19"/>
  <c r="RB15" i="19"/>
  <c r="QC15" i="19"/>
  <c r="DC15" i="19"/>
  <c r="P15" i="19"/>
  <c r="Q15" i="19" s="1"/>
  <c r="RA15" i="19"/>
  <c r="RD15" i="19"/>
  <c r="I15" i="19"/>
  <c r="H15" i="19"/>
  <c r="N15" i="19"/>
  <c r="L15" i="19"/>
  <c r="RE15" i="19"/>
  <c r="RB4" i="19"/>
  <c r="QC4" i="19"/>
  <c r="P4" i="19"/>
  <c r="Q4" i="19" s="1"/>
  <c r="DC4" i="19"/>
  <c r="RA4" i="19"/>
  <c r="RD4" i="19"/>
  <c r="I4" i="19"/>
  <c r="H4" i="19"/>
  <c r="N4" i="19"/>
  <c r="L4" i="19"/>
  <c r="RE4" i="19"/>
  <c r="QC18" i="27"/>
  <c r="NY18" i="27"/>
  <c r="MW18" i="27"/>
  <c r="KP18" i="27"/>
  <c r="IO18" i="27"/>
  <c r="IL18" i="27"/>
  <c r="GK18" i="27"/>
  <c r="P18" i="27"/>
  <c r="Q18" i="27" s="1"/>
  <c r="DC18" i="27"/>
  <c r="RA18" i="27"/>
  <c r="RD18" i="27"/>
  <c r="I18" i="27"/>
  <c r="H18" i="27"/>
  <c r="N18" i="27"/>
  <c r="KS18" i="27"/>
  <c r="L18" i="27"/>
  <c r="RE18" i="27"/>
  <c r="PA6" i="27"/>
  <c r="MT6" i="27"/>
  <c r="RB6" i="27"/>
  <c r="EG6" i="27"/>
  <c r="QC6" i="27"/>
  <c r="NY6" i="27"/>
  <c r="MW6" i="27"/>
  <c r="KP6" i="27"/>
  <c r="IO6" i="27"/>
  <c r="IL6" i="27"/>
  <c r="GK6" i="27"/>
  <c r="P6" i="27"/>
  <c r="Q6" i="27" s="1"/>
  <c r="DC6" i="27"/>
  <c r="RA6" i="27"/>
  <c r="RD6" i="27"/>
  <c r="I6" i="27"/>
  <c r="H6" i="27"/>
  <c r="N6" i="27"/>
  <c r="KS6" i="27"/>
  <c r="L6" i="27"/>
  <c r="RE6" i="27"/>
  <c r="QC9" i="26"/>
  <c r="NY9" i="26"/>
  <c r="MW9" i="26"/>
  <c r="KP9" i="26"/>
  <c r="IO9" i="26"/>
  <c r="GK9" i="26"/>
  <c r="DC9" i="26"/>
  <c r="RA9" i="26"/>
  <c r="P9" i="26"/>
  <c r="DE9" i="26" s="1"/>
  <c r="I9" i="26"/>
  <c r="H9" i="26"/>
  <c r="N9" i="26"/>
  <c r="KS9" i="26"/>
  <c r="L9" i="26"/>
  <c r="RE9" i="26"/>
  <c r="MT11" i="26"/>
  <c r="PA11" i="26"/>
  <c r="RB11" i="26"/>
  <c r="QZ8" i="26"/>
  <c r="QZ11" i="26"/>
  <c r="EG8" i="26"/>
  <c r="EG11" i="26"/>
  <c r="ED8" i="26"/>
  <c r="QC11" i="26"/>
  <c r="NY11" i="26"/>
  <c r="MW11" i="26"/>
  <c r="KP11" i="26"/>
  <c r="IO11" i="26"/>
  <c r="GK11" i="26"/>
  <c r="P11" i="26"/>
  <c r="Q11" i="26" s="1"/>
  <c r="RA11" i="26"/>
  <c r="L11" i="26"/>
  <c r="M11" i="26" s="1"/>
  <c r="RD11" i="26"/>
  <c r="I11" i="26"/>
  <c r="H11" i="26"/>
  <c r="N11" i="26"/>
  <c r="KS11" i="26"/>
  <c r="RE11" i="26"/>
  <c r="DC11" i="26"/>
  <c r="MT8" i="26"/>
  <c r="RB8" i="26"/>
  <c r="PA8" i="26"/>
  <c r="QC8" i="26"/>
  <c r="NY8" i="26"/>
  <c r="MW8" i="26"/>
  <c r="KS8" i="26"/>
  <c r="IO8" i="26"/>
  <c r="IL8" i="26"/>
  <c r="GK8" i="26"/>
  <c r="P8" i="26"/>
  <c r="Q8" i="26" s="1"/>
  <c r="DC8" i="26"/>
  <c r="RA8" i="26"/>
  <c r="RD8" i="26"/>
  <c r="I8" i="26"/>
  <c r="H8" i="26"/>
  <c r="N8" i="26"/>
  <c r="L8" i="26"/>
  <c r="RE8" i="26"/>
  <c r="KP8" i="26"/>
  <c r="TN16" i="22"/>
  <c r="DA16" i="22"/>
  <c r="TU16" i="22"/>
  <c r="P16" i="22"/>
  <c r="Q16" i="22" s="1"/>
  <c r="H16" i="22"/>
  <c r="N16" i="22"/>
  <c r="T16" i="22"/>
  <c r="U16" i="22" s="1"/>
  <c r="R16" i="22"/>
  <c r="S16" i="22" s="1"/>
  <c r="L16" i="22"/>
  <c r="K16" i="22"/>
  <c r="I16" i="22"/>
  <c r="TN9" i="22"/>
  <c r="TU9" i="22"/>
  <c r="N9" i="22"/>
  <c r="O9" i="22" s="1"/>
  <c r="H9" i="22"/>
  <c r="K9" i="22"/>
  <c r="I9" i="22"/>
  <c r="T9" i="22"/>
  <c r="U9" i="22" s="1"/>
  <c r="R9" i="22"/>
  <c r="S9" i="22" s="1"/>
  <c r="P9" i="22"/>
  <c r="L9" i="22"/>
  <c r="N17" i="4"/>
  <c r="O17" i="4" s="1"/>
  <c r="TU17" i="4"/>
  <c r="R17" i="4"/>
  <c r="S17" i="4" s="1"/>
  <c r="H17" i="4"/>
  <c r="K17" i="4"/>
  <c r="T17" i="4"/>
  <c r="U17" i="4" s="1"/>
  <c r="P17" i="4"/>
  <c r="L17" i="4"/>
  <c r="I17" i="4"/>
  <c r="N8" i="4"/>
  <c r="O8" i="4" s="1"/>
  <c r="TU8" i="4"/>
  <c r="R8" i="4"/>
  <c r="S8" i="4" s="1"/>
  <c r="I8" i="4"/>
  <c r="H8" i="4"/>
  <c r="T8" i="4"/>
  <c r="U8" i="4" s="1"/>
  <c r="P8" i="4"/>
  <c r="K8" i="4"/>
  <c r="L8" i="4"/>
  <c r="T36" i="21" l="1"/>
  <c r="S36" i="21"/>
  <c r="S33" i="19"/>
  <c r="S29" i="19"/>
  <c r="T29" i="19"/>
  <c r="T21" i="21"/>
  <c r="S21" i="21"/>
  <c r="S20" i="26"/>
  <c r="T20" i="26"/>
  <c r="R17" i="26"/>
  <c r="R8" i="21"/>
  <c r="R14" i="21"/>
  <c r="R20" i="21"/>
  <c r="R23" i="21"/>
  <c r="A21" i="21" a="1"/>
  <c r="A21" i="21" s="1"/>
  <c r="B21" i="21" a="1"/>
  <c r="B21" i="21" s="1"/>
  <c r="F21" i="21"/>
  <c r="R15" i="27"/>
  <c r="K16" i="21"/>
  <c r="J16" i="21" s="1"/>
  <c r="B16" i="21" s="1" a="1"/>
  <c r="B16" i="21" s="1"/>
  <c r="B14" i="21" a="1"/>
  <c r="B14" i="21" s="1"/>
  <c r="A14" i="21" a="1"/>
  <c r="A14" i="21" s="1"/>
  <c r="B15" i="21" a="1"/>
  <c r="B15" i="21" s="1"/>
  <c r="R15" i="21"/>
  <c r="B23" i="21" a="1"/>
  <c r="B23" i="21" s="1"/>
  <c r="A23" i="21" a="1"/>
  <c r="A23" i="21" s="1"/>
  <c r="A20" i="21" a="1"/>
  <c r="A20" i="21" s="1"/>
  <c r="B20" i="21" a="1"/>
  <c r="B20" i="21" s="1"/>
  <c r="K5" i="21"/>
  <c r="J5" i="21" s="1"/>
  <c r="R30" i="19"/>
  <c r="R27" i="19"/>
  <c r="A27" i="19" a="1"/>
  <c r="A27" i="19" s="1"/>
  <c r="B27" i="19" a="1"/>
  <c r="B27" i="19" s="1"/>
  <c r="B24" i="19" a="1"/>
  <c r="B24" i="19" s="1"/>
  <c r="R24" i="19"/>
  <c r="R25" i="19"/>
  <c r="B25" i="19" a="1"/>
  <c r="B25" i="19" s="1"/>
  <c r="B30" i="19" a="1"/>
  <c r="B30" i="19" s="1"/>
  <c r="R17" i="27"/>
  <c r="A15" i="27" a="1"/>
  <c r="A15" i="27" s="1"/>
  <c r="B15" i="27" a="1"/>
  <c r="B15" i="27" s="1"/>
  <c r="A17" i="27" a="1"/>
  <c r="A17" i="27" s="1"/>
  <c r="B17" i="27" a="1"/>
  <c r="B17" i="27" s="1"/>
  <c r="F17" i="26"/>
  <c r="F20" i="26"/>
  <c r="K10" i="21"/>
  <c r="J10" i="21" s="1"/>
  <c r="Q10" i="21"/>
  <c r="TR16" i="22"/>
  <c r="TV16" i="22" s="1"/>
  <c r="TR17" i="4"/>
  <c r="TV17" i="4" s="1"/>
  <c r="RC16" i="21"/>
  <c r="K11" i="19"/>
  <c r="J11" i="19" s="1"/>
  <c r="RC6" i="27"/>
  <c r="K18" i="27"/>
  <c r="TR8" i="4"/>
  <c r="TV8" i="4" s="1"/>
  <c r="K12" i="19"/>
  <c r="J12" i="19" s="1"/>
  <c r="RC15" i="19"/>
  <c r="K34" i="19"/>
  <c r="J34" i="19" s="1"/>
  <c r="RC18" i="27"/>
  <c r="K6" i="27"/>
  <c r="J6" i="27" s="1"/>
  <c r="K9" i="26"/>
  <c r="J9" i="26" s="1"/>
  <c r="DE11" i="26"/>
  <c r="Q9" i="26"/>
  <c r="TR9" i="22"/>
  <c r="TV9" i="22" s="1"/>
  <c r="DE16" i="21"/>
  <c r="RF10" i="21"/>
  <c r="RC34" i="19"/>
  <c r="RC11" i="19"/>
  <c r="DE34" i="19"/>
  <c r="RF34" i="19"/>
  <c r="RC12" i="19"/>
  <c r="DE18" i="27"/>
  <c r="RC9" i="26"/>
  <c r="RF9" i="26"/>
  <c r="K11" i="26"/>
  <c r="J11" i="26" s="1"/>
  <c r="RF16" i="21"/>
  <c r="DD16" i="21"/>
  <c r="O16" i="21"/>
  <c r="M16" i="21"/>
  <c r="RC10" i="21"/>
  <c r="DD10" i="21"/>
  <c r="R10" i="21" s="1"/>
  <c r="O10" i="21"/>
  <c r="M10" i="21"/>
  <c r="DE5" i="21"/>
  <c r="RC5" i="21"/>
  <c r="RF5" i="21"/>
  <c r="DD5" i="21"/>
  <c r="O5" i="21"/>
  <c r="M5" i="21"/>
  <c r="DD34" i="19"/>
  <c r="O34" i="19"/>
  <c r="M34" i="19"/>
  <c r="DE12" i="19"/>
  <c r="DE15" i="19"/>
  <c r="DE11" i="19"/>
  <c r="RF11" i="19"/>
  <c r="DD11" i="19"/>
  <c r="O11" i="19"/>
  <c r="M11" i="19"/>
  <c r="RC4" i="19"/>
  <c r="RF12" i="19"/>
  <c r="K15" i="19"/>
  <c r="J15" i="19" s="1"/>
  <c r="DD12" i="19"/>
  <c r="O12" i="19"/>
  <c r="M12" i="19"/>
  <c r="K4" i="19"/>
  <c r="J4" i="19" s="1"/>
  <c r="RF15" i="19"/>
  <c r="DD15" i="19"/>
  <c r="O15" i="19"/>
  <c r="M15" i="19"/>
  <c r="DE4" i="19"/>
  <c r="RF4" i="19"/>
  <c r="DD4" i="19"/>
  <c r="O4" i="19"/>
  <c r="M4" i="19"/>
  <c r="J18" i="27"/>
  <c r="RF18" i="27"/>
  <c r="DD18" i="27"/>
  <c r="O18" i="27"/>
  <c r="M18" i="27"/>
  <c r="DE6" i="27"/>
  <c r="RF6" i="27"/>
  <c r="DD6" i="27"/>
  <c r="O6" i="27"/>
  <c r="M6" i="27"/>
  <c r="DD9" i="26"/>
  <c r="O9" i="26"/>
  <c r="M9" i="26"/>
  <c r="RC11" i="26"/>
  <c r="RC8" i="26"/>
  <c r="RF11" i="26"/>
  <c r="DD11" i="26"/>
  <c r="O11" i="26"/>
  <c r="RF8" i="26"/>
  <c r="DE8" i="26"/>
  <c r="DD8" i="26"/>
  <c r="O8" i="26"/>
  <c r="M8" i="26"/>
  <c r="K8" i="26"/>
  <c r="J8" i="26" s="1"/>
  <c r="DC16" i="22"/>
  <c r="J16" i="22"/>
  <c r="A16" i="22" s="1" a="1"/>
  <c r="A16" i="22" s="1"/>
  <c r="M16" i="22"/>
  <c r="DB16" i="22"/>
  <c r="O16" i="22"/>
  <c r="J9" i="22"/>
  <c r="B9" i="22" s="1" a="1"/>
  <c r="B9" i="22" s="1"/>
  <c r="M9" i="22"/>
  <c r="Q9" i="22"/>
  <c r="DC9" i="22"/>
  <c r="DB9" i="22"/>
  <c r="J17" i="4"/>
  <c r="A17" i="4" s="1" a="1"/>
  <c r="A17" i="4" s="1"/>
  <c r="M17" i="4"/>
  <c r="Q17" i="4"/>
  <c r="DC17" i="4"/>
  <c r="DB17" i="4"/>
  <c r="M8" i="4"/>
  <c r="J8" i="4"/>
  <c r="Q8" i="4"/>
  <c r="DC8" i="4"/>
  <c r="DB8" i="4"/>
  <c r="T8" i="21" l="1"/>
  <c r="S8" i="21"/>
  <c r="F15" i="21"/>
  <c r="S15" i="21"/>
  <c r="T15" i="21"/>
  <c r="S20" i="21"/>
  <c r="T20" i="21"/>
  <c r="S23" i="21"/>
  <c r="T23" i="21"/>
  <c r="S14" i="21"/>
  <c r="T14" i="21"/>
  <c r="F23" i="21"/>
  <c r="T10" i="21"/>
  <c r="S10" i="21"/>
  <c r="F8" i="21"/>
  <c r="F20" i="21"/>
  <c r="T27" i="19"/>
  <c r="S27" i="19"/>
  <c r="S30" i="19"/>
  <c r="T30" i="19"/>
  <c r="F25" i="19"/>
  <c r="S25" i="19"/>
  <c r="T25" i="19"/>
  <c r="S24" i="19"/>
  <c r="T24" i="19"/>
  <c r="S15" i="27"/>
  <c r="T15" i="27"/>
  <c r="F15" i="27"/>
  <c r="T17" i="27"/>
  <c r="S17" i="27"/>
  <c r="S17" i="26"/>
  <c r="T17" i="26"/>
  <c r="F14" i="21"/>
  <c r="F27" i="19"/>
  <c r="F30" i="19"/>
  <c r="F17" i="27"/>
  <c r="F24" i="19"/>
  <c r="A16" i="21" a="1"/>
  <c r="A16" i="21" s="1"/>
  <c r="R16" i="21"/>
  <c r="R34" i="19"/>
  <c r="V16" i="22"/>
  <c r="W16" i="22" s="1"/>
  <c r="R18" i="27"/>
  <c r="R9" i="26"/>
  <c r="R8" i="26"/>
  <c r="R5" i="21"/>
  <c r="R12" i="19"/>
  <c r="R6" i="27"/>
  <c r="V9" i="22"/>
  <c r="X9" i="22" s="1"/>
  <c r="V8" i="4"/>
  <c r="W8" i="4" s="1"/>
  <c r="F10" i="21"/>
  <c r="R11" i="19"/>
  <c r="R15" i="19"/>
  <c r="R4" i="19"/>
  <c r="R11" i="26"/>
  <c r="B16" i="22" a="1"/>
  <c r="B16" i="22" s="1"/>
  <c r="A9" i="22" a="1"/>
  <c r="A9" i="22" s="1"/>
  <c r="V17" i="4"/>
  <c r="X17" i="4" s="1"/>
  <c r="B17" i="4" a="1"/>
  <c r="B17" i="4" s="1"/>
  <c r="W17" i="4" l="1"/>
  <c r="T16" i="21"/>
  <c r="S16" i="21"/>
  <c r="F5" i="21"/>
  <c r="S5" i="21"/>
  <c r="T5" i="21"/>
  <c r="F4" i="19"/>
  <c r="S4" i="19"/>
  <c r="T4" i="19"/>
  <c r="S34" i="19"/>
  <c r="T34" i="19"/>
  <c r="S15" i="19"/>
  <c r="T15" i="19"/>
  <c r="S11" i="19"/>
  <c r="T11" i="19"/>
  <c r="T12" i="19"/>
  <c r="S12" i="19"/>
  <c r="S6" i="27"/>
  <c r="T6" i="27"/>
  <c r="S18" i="27"/>
  <c r="T18" i="27"/>
  <c r="T8" i="26"/>
  <c r="S8" i="26"/>
  <c r="S9" i="26"/>
  <c r="T9" i="26"/>
  <c r="S11" i="26"/>
  <c r="T11" i="26"/>
  <c r="F17" i="4"/>
  <c r="F18" i="27"/>
  <c r="F16" i="22"/>
  <c r="X16" i="22"/>
  <c r="F34" i="19"/>
  <c r="F9" i="26"/>
  <c r="F8" i="4"/>
  <c r="F16" i="21"/>
  <c r="F9" i="22"/>
  <c r="F12" i="19"/>
  <c r="F11" i="19"/>
  <c r="F8" i="26"/>
  <c r="W9" i="22"/>
  <c r="F6" i="27"/>
  <c r="X8" i="4"/>
  <c r="F11" i="26"/>
  <c r="F15" i="19"/>
  <c r="OZ19" i="21" l="1"/>
  <c r="OY19" i="21"/>
  <c r="OW19" i="21"/>
  <c r="OV19" i="21"/>
  <c r="OU19" i="21"/>
  <c r="OT19" i="21"/>
  <c r="OZ32" i="21"/>
  <c r="OY32" i="21"/>
  <c r="OW32" i="21"/>
  <c r="OV32" i="21"/>
  <c r="OU32" i="21"/>
  <c r="OT32" i="21"/>
  <c r="OZ33" i="21"/>
  <c r="OY33" i="21"/>
  <c r="OW33" i="21"/>
  <c r="OV33" i="21"/>
  <c r="OU33" i="21"/>
  <c r="OT33" i="21"/>
  <c r="OZ35" i="21"/>
  <c r="OY35" i="21"/>
  <c r="OW35" i="21"/>
  <c r="OV35" i="21"/>
  <c r="OU35" i="21"/>
  <c r="OT35" i="21"/>
  <c r="OZ18" i="21"/>
  <c r="OY18" i="21"/>
  <c r="OW18" i="21"/>
  <c r="OV18" i="21"/>
  <c r="OU18" i="21"/>
  <c r="OT18" i="21"/>
  <c r="OZ13" i="21"/>
  <c r="OY13" i="21"/>
  <c r="OW13" i="21"/>
  <c r="OV13" i="21"/>
  <c r="OU13" i="21"/>
  <c r="OT13" i="21"/>
  <c r="OZ27" i="21"/>
  <c r="OY27" i="21"/>
  <c r="OW27" i="21"/>
  <c r="OV27" i="21"/>
  <c r="OU27" i="21"/>
  <c r="OT27" i="21"/>
  <c r="OZ30" i="21"/>
  <c r="OY30" i="21"/>
  <c r="OW30" i="21"/>
  <c r="OV30" i="21"/>
  <c r="OU30" i="21"/>
  <c r="OT30" i="21"/>
  <c r="OZ28" i="21"/>
  <c r="OY28" i="21"/>
  <c r="OW28" i="21"/>
  <c r="OV28" i="21"/>
  <c r="OU28" i="21"/>
  <c r="OT28" i="21"/>
  <c r="OZ29" i="21"/>
  <c r="OY29" i="21"/>
  <c r="OW29" i="21"/>
  <c r="OV29" i="21"/>
  <c r="OU29" i="21"/>
  <c r="OT29" i="21"/>
  <c r="OZ24" i="21"/>
  <c r="OY24" i="21"/>
  <c r="OW24" i="21"/>
  <c r="OV24" i="21"/>
  <c r="OU24" i="21"/>
  <c r="OT24" i="21"/>
  <c r="OZ12" i="21"/>
  <c r="OY12" i="21"/>
  <c r="OW12" i="21"/>
  <c r="OV12" i="21"/>
  <c r="OU12" i="21"/>
  <c r="OT12" i="21"/>
  <c r="OZ22" i="21"/>
  <c r="OY22" i="21"/>
  <c r="OW22" i="21"/>
  <c r="OV22" i="21"/>
  <c r="OU22" i="21"/>
  <c r="OT22" i="21"/>
  <c r="OZ17" i="21"/>
  <c r="OY17" i="21"/>
  <c r="OW17" i="21"/>
  <c r="OV17" i="21"/>
  <c r="OU17" i="21"/>
  <c r="OT17" i="21"/>
  <c r="OZ31" i="21"/>
  <c r="OY31" i="21"/>
  <c r="OW31" i="21"/>
  <c r="OV31" i="21"/>
  <c r="OU31" i="21"/>
  <c r="OT31" i="21"/>
  <c r="OZ9" i="21"/>
  <c r="OY9" i="21"/>
  <c r="OW9" i="21"/>
  <c r="OV9" i="21"/>
  <c r="OU9" i="21"/>
  <c r="OT9" i="21"/>
  <c r="OZ6" i="21"/>
  <c r="OY6" i="21"/>
  <c r="OW6" i="21"/>
  <c r="OV6" i="21"/>
  <c r="OU6" i="21"/>
  <c r="OT6" i="21"/>
  <c r="OZ11" i="21"/>
  <c r="OY11" i="21"/>
  <c r="OW11" i="21"/>
  <c r="OV11" i="21"/>
  <c r="OU11" i="21"/>
  <c r="OT11" i="21"/>
  <c r="OZ7" i="21"/>
  <c r="OY7" i="21"/>
  <c r="OW7" i="21"/>
  <c r="OV7" i="21"/>
  <c r="OU7" i="21"/>
  <c r="OT7" i="21"/>
  <c r="OZ4" i="21"/>
  <c r="OY4" i="21"/>
  <c r="OW4" i="21"/>
  <c r="OV4" i="21"/>
  <c r="OU4" i="21"/>
  <c r="OT4" i="21"/>
  <c r="NX19" i="21"/>
  <c r="NW19" i="21"/>
  <c r="NU19" i="21"/>
  <c r="NT19" i="21"/>
  <c r="NS19" i="21"/>
  <c r="NR19" i="21"/>
  <c r="NX32" i="21"/>
  <c r="NW32" i="21"/>
  <c r="NU32" i="21"/>
  <c r="NT32" i="21"/>
  <c r="NS32" i="21"/>
  <c r="NR32" i="21"/>
  <c r="NX33" i="21"/>
  <c r="NW33" i="21"/>
  <c r="NU33" i="21"/>
  <c r="NT33" i="21"/>
  <c r="NS33" i="21"/>
  <c r="NR33" i="21"/>
  <c r="NX35" i="21"/>
  <c r="NW35" i="21"/>
  <c r="NU35" i="21"/>
  <c r="NT35" i="21"/>
  <c r="NS35" i="21"/>
  <c r="NR35" i="21"/>
  <c r="NX18" i="21"/>
  <c r="NW18" i="21"/>
  <c r="NU18" i="21"/>
  <c r="NT18" i="21"/>
  <c r="NS18" i="21"/>
  <c r="NR18" i="21"/>
  <c r="NX13" i="21"/>
  <c r="NW13" i="21"/>
  <c r="NU13" i="21"/>
  <c r="NT13" i="21"/>
  <c r="NS13" i="21"/>
  <c r="NR13" i="21"/>
  <c r="NX27" i="21"/>
  <c r="NW27" i="21"/>
  <c r="NU27" i="21"/>
  <c r="NT27" i="21"/>
  <c r="NS27" i="21"/>
  <c r="NR27" i="21"/>
  <c r="NX30" i="21"/>
  <c r="NW30" i="21"/>
  <c r="NU30" i="21"/>
  <c r="NT30" i="21"/>
  <c r="NS30" i="21"/>
  <c r="NR30" i="21"/>
  <c r="NX28" i="21"/>
  <c r="NW28" i="21"/>
  <c r="NU28" i="21"/>
  <c r="NT28" i="21"/>
  <c r="NS28" i="21"/>
  <c r="NR28" i="21"/>
  <c r="NX29" i="21"/>
  <c r="NW29" i="21"/>
  <c r="NU29" i="21"/>
  <c r="NT29" i="21"/>
  <c r="NS29" i="21"/>
  <c r="NR29" i="21"/>
  <c r="NX24" i="21"/>
  <c r="NW24" i="21"/>
  <c r="NU24" i="21"/>
  <c r="NT24" i="21"/>
  <c r="NS24" i="21"/>
  <c r="NR24" i="21"/>
  <c r="NX12" i="21"/>
  <c r="NW12" i="21"/>
  <c r="NU12" i="21"/>
  <c r="NT12" i="21"/>
  <c r="NS12" i="21"/>
  <c r="NR12" i="21"/>
  <c r="NX22" i="21"/>
  <c r="NW22" i="21"/>
  <c r="NU22" i="21"/>
  <c r="NT22" i="21"/>
  <c r="NS22" i="21"/>
  <c r="NR22" i="21"/>
  <c r="NX17" i="21"/>
  <c r="NW17" i="21"/>
  <c r="NU17" i="21"/>
  <c r="NT17" i="21"/>
  <c r="NS17" i="21"/>
  <c r="NR17" i="21"/>
  <c r="NX31" i="21"/>
  <c r="NW31" i="21"/>
  <c r="NU31" i="21"/>
  <c r="NT31" i="21"/>
  <c r="NS31" i="21"/>
  <c r="NR31" i="21"/>
  <c r="NX9" i="21"/>
  <c r="NW9" i="21"/>
  <c r="NU9" i="21"/>
  <c r="NT9" i="21"/>
  <c r="NS9" i="21"/>
  <c r="NR9" i="21"/>
  <c r="NX6" i="21"/>
  <c r="NW6" i="21"/>
  <c r="NU6" i="21"/>
  <c r="NT6" i="21"/>
  <c r="NS6" i="21"/>
  <c r="NR6" i="21"/>
  <c r="NX11" i="21"/>
  <c r="NW11" i="21"/>
  <c r="NU11" i="21"/>
  <c r="NT11" i="21"/>
  <c r="NS11" i="21"/>
  <c r="NR11" i="21"/>
  <c r="NX7" i="21"/>
  <c r="NW7" i="21"/>
  <c r="NU7" i="21"/>
  <c r="NT7" i="21"/>
  <c r="NS7" i="21"/>
  <c r="NR7" i="21"/>
  <c r="NX4" i="21"/>
  <c r="NW4" i="21"/>
  <c r="NU4" i="21"/>
  <c r="NT4" i="21"/>
  <c r="NS4" i="21"/>
  <c r="NR4" i="21"/>
  <c r="MV19" i="21"/>
  <c r="MU19" i="21"/>
  <c r="MS19" i="21"/>
  <c r="MR19" i="21"/>
  <c r="MQ19" i="21"/>
  <c r="MP19" i="21"/>
  <c r="MV32" i="21"/>
  <c r="MU32" i="21"/>
  <c r="MS32" i="21"/>
  <c r="MR32" i="21"/>
  <c r="MQ32" i="21"/>
  <c r="MP32" i="21"/>
  <c r="MV33" i="21"/>
  <c r="MU33" i="21"/>
  <c r="MS33" i="21"/>
  <c r="MR33" i="21"/>
  <c r="MQ33" i="21"/>
  <c r="MP33" i="21"/>
  <c r="MV35" i="21"/>
  <c r="MU35" i="21"/>
  <c r="MS35" i="21"/>
  <c r="MR35" i="21"/>
  <c r="MQ35" i="21"/>
  <c r="MP35" i="21"/>
  <c r="MV18" i="21"/>
  <c r="MU18" i="21"/>
  <c r="MS18" i="21"/>
  <c r="MR18" i="21"/>
  <c r="MQ18" i="21"/>
  <c r="MP18" i="21"/>
  <c r="MV13" i="21"/>
  <c r="MU13" i="21"/>
  <c r="MS13" i="21"/>
  <c r="MR13" i="21"/>
  <c r="MQ13" i="21"/>
  <c r="MP13" i="21"/>
  <c r="MV27" i="21"/>
  <c r="MU27" i="21"/>
  <c r="MS27" i="21"/>
  <c r="MR27" i="21"/>
  <c r="MQ27" i="21"/>
  <c r="MP27" i="21"/>
  <c r="MV30" i="21"/>
  <c r="MU30" i="21"/>
  <c r="MS30" i="21"/>
  <c r="MR30" i="21"/>
  <c r="MQ30" i="21"/>
  <c r="MP30" i="21"/>
  <c r="MV28" i="21"/>
  <c r="MU28" i="21"/>
  <c r="MS28" i="21"/>
  <c r="MR28" i="21"/>
  <c r="MQ28" i="21"/>
  <c r="MP28" i="21"/>
  <c r="MV29" i="21"/>
  <c r="MU29" i="21"/>
  <c r="MS29" i="21"/>
  <c r="MR29" i="21"/>
  <c r="MQ29" i="21"/>
  <c r="MP29" i="21"/>
  <c r="MV24" i="21"/>
  <c r="MU24" i="21"/>
  <c r="MS24" i="21"/>
  <c r="MR24" i="21"/>
  <c r="MQ24" i="21"/>
  <c r="MP24" i="21"/>
  <c r="MV12" i="21"/>
  <c r="MU12" i="21"/>
  <c r="MS12" i="21"/>
  <c r="MR12" i="21"/>
  <c r="MQ12" i="21"/>
  <c r="MP12" i="21"/>
  <c r="MV22" i="21"/>
  <c r="MU22" i="21"/>
  <c r="MS22" i="21"/>
  <c r="MR22" i="21"/>
  <c r="MQ22" i="21"/>
  <c r="MP22" i="21"/>
  <c r="MV17" i="21"/>
  <c r="MU17" i="21"/>
  <c r="MS17" i="21"/>
  <c r="MR17" i="21"/>
  <c r="MQ17" i="21"/>
  <c r="MP17" i="21"/>
  <c r="MV31" i="21"/>
  <c r="MU31" i="21"/>
  <c r="MS31" i="21"/>
  <c r="MR31" i="21"/>
  <c r="MQ31" i="21"/>
  <c r="MP31" i="21"/>
  <c r="MV9" i="21"/>
  <c r="MU9" i="21"/>
  <c r="MS9" i="21"/>
  <c r="MR9" i="21"/>
  <c r="MQ9" i="21"/>
  <c r="MP9" i="21"/>
  <c r="MV6" i="21"/>
  <c r="MU6" i="21"/>
  <c r="MS6" i="21"/>
  <c r="MR6" i="21"/>
  <c r="MQ6" i="21"/>
  <c r="MP6" i="21"/>
  <c r="MV11" i="21"/>
  <c r="MU11" i="21"/>
  <c r="MS11" i="21"/>
  <c r="MR11" i="21"/>
  <c r="MQ11" i="21"/>
  <c r="MP11" i="21"/>
  <c r="MV7" i="21"/>
  <c r="MU7" i="21"/>
  <c r="MS7" i="21"/>
  <c r="MR7" i="21"/>
  <c r="MQ7" i="21"/>
  <c r="MP7" i="21"/>
  <c r="MV4" i="21"/>
  <c r="MU4" i="21"/>
  <c r="MS4" i="21"/>
  <c r="MR4" i="21"/>
  <c r="MQ4" i="21"/>
  <c r="MP4" i="21"/>
  <c r="LT19" i="21"/>
  <c r="LS19" i="21"/>
  <c r="LQ19" i="21"/>
  <c r="LP19" i="21"/>
  <c r="LO19" i="21"/>
  <c r="LN19" i="21"/>
  <c r="LT32" i="21"/>
  <c r="LS32" i="21"/>
  <c r="LQ32" i="21"/>
  <c r="LP32" i="21"/>
  <c r="LO32" i="21"/>
  <c r="LN32" i="21"/>
  <c r="LT33" i="21"/>
  <c r="LS33" i="21"/>
  <c r="LQ33" i="21"/>
  <c r="LP33" i="21"/>
  <c r="LO33" i="21"/>
  <c r="LN33" i="21"/>
  <c r="LT35" i="21"/>
  <c r="LS35" i="21"/>
  <c r="LQ35" i="21"/>
  <c r="LP35" i="21"/>
  <c r="LO35" i="21"/>
  <c r="LN35" i="21"/>
  <c r="LT18" i="21"/>
  <c r="LS18" i="21"/>
  <c r="LQ18" i="21"/>
  <c r="LP18" i="21"/>
  <c r="LO18" i="21"/>
  <c r="LN18" i="21"/>
  <c r="LT13" i="21"/>
  <c r="LS13" i="21"/>
  <c r="LQ13" i="21"/>
  <c r="LP13" i="21"/>
  <c r="LO13" i="21"/>
  <c r="LN13" i="21"/>
  <c r="LT27" i="21"/>
  <c r="LS27" i="21"/>
  <c r="LQ27" i="21"/>
  <c r="LP27" i="21"/>
  <c r="LO27" i="21"/>
  <c r="LN27" i="21"/>
  <c r="LT30" i="21"/>
  <c r="LS30" i="21"/>
  <c r="LQ30" i="21"/>
  <c r="LP30" i="21"/>
  <c r="LO30" i="21"/>
  <c r="LN30" i="21"/>
  <c r="LT28" i="21"/>
  <c r="LS28" i="21"/>
  <c r="LQ28" i="21"/>
  <c r="LP28" i="21"/>
  <c r="LO28" i="21"/>
  <c r="LN28" i="21"/>
  <c r="LT29" i="21"/>
  <c r="LS29" i="21"/>
  <c r="LQ29" i="21"/>
  <c r="LP29" i="21"/>
  <c r="LO29" i="21"/>
  <c r="LN29" i="21"/>
  <c r="LT24" i="21"/>
  <c r="LS24" i="21"/>
  <c r="LQ24" i="21"/>
  <c r="LP24" i="21"/>
  <c r="LO24" i="21"/>
  <c r="LN24" i="21"/>
  <c r="LT12" i="21"/>
  <c r="LS12" i="21"/>
  <c r="LQ12" i="21"/>
  <c r="LP12" i="21"/>
  <c r="LO12" i="21"/>
  <c r="LN12" i="21"/>
  <c r="LT22" i="21"/>
  <c r="LS22" i="21"/>
  <c r="LQ22" i="21"/>
  <c r="LP22" i="21"/>
  <c r="LO22" i="21"/>
  <c r="LN22" i="21"/>
  <c r="LT17" i="21"/>
  <c r="LS17" i="21"/>
  <c r="LQ17" i="21"/>
  <c r="LP17" i="21"/>
  <c r="LO17" i="21"/>
  <c r="LN17" i="21"/>
  <c r="LT31" i="21"/>
  <c r="LS31" i="21"/>
  <c r="LQ31" i="21"/>
  <c r="LP31" i="21"/>
  <c r="LO31" i="21"/>
  <c r="LN31" i="21"/>
  <c r="LT9" i="21"/>
  <c r="LS9" i="21"/>
  <c r="LQ9" i="21"/>
  <c r="LP9" i="21"/>
  <c r="LO9" i="21"/>
  <c r="LN9" i="21"/>
  <c r="LT6" i="21"/>
  <c r="LS6" i="21"/>
  <c r="LQ6" i="21"/>
  <c r="LP6" i="21"/>
  <c r="LO6" i="21"/>
  <c r="LN6" i="21"/>
  <c r="LT11" i="21"/>
  <c r="LS11" i="21"/>
  <c r="LQ11" i="21"/>
  <c r="LP11" i="21"/>
  <c r="LO11" i="21"/>
  <c r="LN11" i="21"/>
  <c r="LT7" i="21"/>
  <c r="LS7" i="21"/>
  <c r="LQ7" i="21"/>
  <c r="LP7" i="21"/>
  <c r="LO7" i="21"/>
  <c r="LN7" i="21"/>
  <c r="LT4" i="21"/>
  <c r="LS4" i="21"/>
  <c r="LQ4" i="21"/>
  <c r="LP4" i="21"/>
  <c r="LO4" i="21"/>
  <c r="LN4" i="21"/>
  <c r="KR19" i="21"/>
  <c r="KQ19" i="21"/>
  <c r="KO19" i="21"/>
  <c r="KN19" i="21"/>
  <c r="KM19" i="21"/>
  <c r="KL19" i="21"/>
  <c r="KR32" i="21"/>
  <c r="KQ32" i="21"/>
  <c r="KO32" i="21"/>
  <c r="KN32" i="21"/>
  <c r="KM32" i="21"/>
  <c r="KL32" i="21"/>
  <c r="KR33" i="21"/>
  <c r="KQ33" i="21"/>
  <c r="KO33" i="21"/>
  <c r="KN33" i="21"/>
  <c r="KM33" i="21"/>
  <c r="KL33" i="21"/>
  <c r="KR35" i="21"/>
  <c r="KQ35" i="21"/>
  <c r="KO35" i="21"/>
  <c r="KN35" i="21"/>
  <c r="KM35" i="21"/>
  <c r="KL35" i="21"/>
  <c r="KR18" i="21"/>
  <c r="KQ18" i="21"/>
  <c r="KO18" i="21"/>
  <c r="KN18" i="21"/>
  <c r="KM18" i="21"/>
  <c r="KL18" i="21"/>
  <c r="KR13" i="21"/>
  <c r="KQ13" i="21"/>
  <c r="KO13" i="21"/>
  <c r="KN13" i="21"/>
  <c r="KM13" i="21"/>
  <c r="KL13" i="21"/>
  <c r="KR27" i="21"/>
  <c r="KQ27" i="21"/>
  <c r="KO27" i="21"/>
  <c r="KN27" i="21"/>
  <c r="KM27" i="21"/>
  <c r="KL27" i="21"/>
  <c r="KR30" i="21"/>
  <c r="KQ30" i="21"/>
  <c r="KO30" i="21"/>
  <c r="KN30" i="21"/>
  <c r="KM30" i="21"/>
  <c r="KL30" i="21"/>
  <c r="KR28" i="21"/>
  <c r="KQ28" i="21"/>
  <c r="KO28" i="21"/>
  <c r="KN28" i="21"/>
  <c r="KM28" i="21"/>
  <c r="KL28" i="21"/>
  <c r="KR29" i="21"/>
  <c r="KQ29" i="21"/>
  <c r="KO29" i="21"/>
  <c r="KN29" i="21"/>
  <c r="KM29" i="21"/>
  <c r="KL29" i="21"/>
  <c r="KR24" i="21"/>
  <c r="KQ24" i="21"/>
  <c r="KO24" i="21"/>
  <c r="KN24" i="21"/>
  <c r="KM24" i="21"/>
  <c r="KL24" i="21"/>
  <c r="KR12" i="21"/>
  <c r="KQ12" i="21"/>
  <c r="KO12" i="21"/>
  <c r="KN12" i="21"/>
  <c r="KM12" i="21"/>
  <c r="KL12" i="21"/>
  <c r="KR22" i="21"/>
  <c r="KQ22" i="21"/>
  <c r="KO22" i="21"/>
  <c r="KN22" i="21"/>
  <c r="KM22" i="21"/>
  <c r="KL22" i="21"/>
  <c r="KR17" i="21"/>
  <c r="KQ17" i="21"/>
  <c r="KO17" i="21"/>
  <c r="KN17" i="21"/>
  <c r="KM17" i="21"/>
  <c r="KL17" i="21"/>
  <c r="KR31" i="21"/>
  <c r="KQ31" i="21"/>
  <c r="KO31" i="21"/>
  <c r="KN31" i="21"/>
  <c r="KM31" i="21"/>
  <c r="KL31" i="21"/>
  <c r="KR9" i="21"/>
  <c r="KQ9" i="21"/>
  <c r="KO9" i="21"/>
  <c r="KN9" i="21"/>
  <c r="KM9" i="21"/>
  <c r="KL9" i="21"/>
  <c r="KR6" i="21"/>
  <c r="KQ6" i="21"/>
  <c r="KO6" i="21"/>
  <c r="KN6" i="21"/>
  <c r="KM6" i="21"/>
  <c r="KL6" i="21"/>
  <c r="KR11" i="21"/>
  <c r="KQ11" i="21"/>
  <c r="KO11" i="21"/>
  <c r="KN11" i="21"/>
  <c r="KM11" i="21"/>
  <c r="KL11" i="21"/>
  <c r="KR7" i="21"/>
  <c r="KQ7" i="21"/>
  <c r="KO7" i="21"/>
  <c r="KN7" i="21"/>
  <c r="KM7" i="21"/>
  <c r="KL7" i="21"/>
  <c r="KR4" i="21"/>
  <c r="KQ4" i="21"/>
  <c r="KO4" i="21"/>
  <c r="KN4" i="21"/>
  <c r="KM4" i="21"/>
  <c r="KL4" i="21"/>
  <c r="JP19" i="21"/>
  <c r="JO19" i="21"/>
  <c r="JM19" i="21"/>
  <c r="JL19" i="21"/>
  <c r="JK19" i="21"/>
  <c r="JJ19" i="21"/>
  <c r="JP32" i="21"/>
  <c r="JO32" i="21"/>
  <c r="JM32" i="21"/>
  <c r="JL32" i="21"/>
  <c r="JK32" i="21"/>
  <c r="JJ32" i="21"/>
  <c r="JP33" i="21"/>
  <c r="JO33" i="21"/>
  <c r="JM33" i="21"/>
  <c r="JL33" i="21"/>
  <c r="JK33" i="21"/>
  <c r="JJ33" i="21"/>
  <c r="JP35" i="21"/>
  <c r="JO35" i="21"/>
  <c r="JM35" i="21"/>
  <c r="JL35" i="21"/>
  <c r="JK35" i="21"/>
  <c r="JJ35" i="21"/>
  <c r="JP18" i="21"/>
  <c r="JO18" i="21"/>
  <c r="JM18" i="21"/>
  <c r="JL18" i="21"/>
  <c r="JK18" i="21"/>
  <c r="JJ18" i="21"/>
  <c r="JP13" i="21"/>
  <c r="JO13" i="21"/>
  <c r="JM13" i="21"/>
  <c r="JL13" i="21"/>
  <c r="JK13" i="21"/>
  <c r="JJ13" i="21"/>
  <c r="JP27" i="21"/>
  <c r="JO27" i="21"/>
  <c r="JM27" i="21"/>
  <c r="JL27" i="21"/>
  <c r="JK27" i="21"/>
  <c r="JJ27" i="21"/>
  <c r="JP30" i="21"/>
  <c r="JO30" i="21"/>
  <c r="JM30" i="21"/>
  <c r="JL30" i="21"/>
  <c r="JK30" i="21"/>
  <c r="JJ30" i="21"/>
  <c r="JP28" i="21"/>
  <c r="JO28" i="21"/>
  <c r="JM28" i="21"/>
  <c r="JL28" i="21"/>
  <c r="JK28" i="21"/>
  <c r="JJ28" i="21"/>
  <c r="JP29" i="21"/>
  <c r="JO29" i="21"/>
  <c r="JM29" i="21"/>
  <c r="JL29" i="21"/>
  <c r="JK29" i="21"/>
  <c r="JJ29" i="21"/>
  <c r="JP24" i="21"/>
  <c r="JO24" i="21"/>
  <c r="JM24" i="21"/>
  <c r="JL24" i="21"/>
  <c r="JK24" i="21"/>
  <c r="JJ24" i="21"/>
  <c r="JP12" i="21"/>
  <c r="JO12" i="21"/>
  <c r="JM12" i="21"/>
  <c r="JL12" i="21"/>
  <c r="JK12" i="21"/>
  <c r="JJ12" i="21"/>
  <c r="JP22" i="21"/>
  <c r="JO22" i="21"/>
  <c r="JM22" i="21"/>
  <c r="JL22" i="21"/>
  <c r="JK22" i="21"/>
  <c r="JJ22" i="21"/>
  <c r="JP17" i="21"/>
  <c r="JO17" i="21"/>
  <c r="JM17" i="21"/>
  <c r="JL17" i="21"/>
  <c r="JK17" i="21"/>
  <c r="JJ17" i="21"/>
  <c r="JP31" i="21"/>
  <c r="JO31" i="21"/>
  <c r="JM31" i="21"/>
  <c r="JL31" i="21"/>
  <c r="JK31" i="21"/>
  <c r="JJ31" i="21"/>
  <c r="JP9" i="21"/>
  <c r="JO9" i="21"/>
  <c r="JM9" i="21"/>
  <c r="JL9" i="21"/>
  <c r="JK9" i="21"/>
  <c r="JJ9" i="21"/>
  <c r="JP6" i="21"/>
  <c r="JO6" i="21"/>
  <c r="JM6" i="21"/>
  <c r="JL6" i="21"/>
  <c r="JK6" i="21"/>
  <c r="JJ6" i="21"/>
  <c r="JP11" i="21"/>
  <c r="JO11" i="21"/>
  <c r="JM11" i="21"/>
  <c r="JL11" i="21"/>
  <c r="JK11" i="21"/>
  <c r="JJ11" i="21"/>
  <c r="JP7" i="21"/>
  <c r="JO7" i="21"/>
  <c r="JM7" i="21"/>
  <c r="JL7" i="21"/>
  <c r="JK7" i="21"/>
  <c r="JJ7" i="21"/>
  <c r="JP4" i="21"/>
  <c r="JO4" i="21"/>
  <c r="JM4" i="21"/>
  <c r="JL4" i="21"/>
  <c r="JK4" i="21"/>
  <c r="JJ4" i="21"/>
  <c r="IN19" i="21"/>
  <c r="IM19" i="21"/>
  <c r="IK19" i="21"/>
  <c r="IJ19" i="21"/>
  <c r="II19" i="21"/>
  <c r="IH19" i="21"/>
  <c r="IN32" i="21"/>
  <c r="IM32" i="21"/>
  <c r="IK32" i="21"/>
  <c r="IJ32" i="21"/>
  <c r="II32" i="21"/>
  <c r="IH32" i="21"/>
  <c r="IN33" i="21"/>
  <c r="IM33" i="21"/>
  <c r="IK33" i="21"/>
  <c r="IJ33" i="21"/>
  <c r="II33" i="21"/>
  <c r="IH33" i="21"/>
  <c r="IN35" i="21"/>
  <c r="IM35" i="21"/>
  <c r="IK35" i="21"/>
  <c r="IJ35" i="21"/>
  <c r="II35" i="21"/>
  <c r="IH35" i="21"/>
  <c r="IN18" i="21"/>
  <c r="IM18" i="21"/>
  <c r="IK18" i="21"/>
  <c r="IJ18" i="21"/>
  <c r="II18" i="21"/>
  <c r="IH18" i="21"/>
  <c r="IN13" i="21"/>
  <c r="IM13" i="21"/>
  <c r="IK13" i="21"/>
  <c r="IJ13" i="21"/>
  <c r="II13" i="21"/>
  <c r="IH13" i="21"/>
  <c r="IN27" i="21"/>
  <c r="IM27" i="21"/>
  <c r="IK27" i="21"/>
  <c r="IJ27" i="21"/>
  <c r="II27" i="21"/>
  <c r="IH27" i="21"/>
  <c r="IN30" i="21"/>
  <c r="IM30" i="21"/>
  <c r="IK30" i="21"/>
  <c r="IJ30" i="21"/>
  <c r="II30" i="21"/>
  <c r="IH30" i="21"/>
  <c r="IN28" i="21"/>
  <c r="IM28" i="21"/>
  <c r="IK28" i="21"/>
  <c r="IJ28" i="21"/>
  <c r="II28" i="21"/>
  <c r="IH28" i="21"/>
  <c r="IN29" i="21"/>
  <c r="IM29" i="21"/>
  <c r="IK29" i="21"/>
  <c r="IJ29" i="21"/>
  <c r="II29" i="21"/>
  <c r="IH29" i="21"/>
  <c r="IN24" i="21"/>
  <c r="IM24" i="21"/>
  <c r="IK24" i="21"/>
  <c r="IJ24" i="21"/>
  <c r="II24" i="21"/>
  <c r="IH24" i="21"/>
  <c r="IN12" i="21"/>
  <c r="IM12" i="21"/>
  <c r="IK12" i="21"/>
  <c r="IJ12" i="21"/>
  <c r="II12" i="21"/>
  <c r="IH12" i="21"/>
  <c r="IN22" i="21"/>
  <c r="IM22" i="21"/>
  <c r="IK22" i="21"/>
  <c r="IJ22" i="21"/>
  <c r="II22" i="21"/>
  <c r="IH22" i="21"/>
  <c r="IN17" i="21"/>
  <c r="IM17" i="21"/>
  <c r="IK17" i="21"/>
  <c r="IJ17" i="21"/>
  <c r="II17" i="21"/>
  <c r="IH17" i="21"/>
  <c r="IN31" i="21"/>
  <c r="IM31" i="21"/>
  <c r="IK31" i="21"/>
  <c r="IJ31" i="21"/>
  <c r="II31" i="21"/>
  <c r="IH31" i="21"/>
  <c r="IN9" i="21"/>
  <c r="IM9" i="21"/>
  <c r="IK9" i="21"/>
  <c r="IJ9" i="21"/>
  <c r="II9" i="21"/>
  <c r="IH9" i="21"/>
  <c r="IN6" i="21"/>
  <c r="IM6" i="21"/>
  <c r="IK6" i="21"/>
  <c r="IJ6" i="21"/>
  <c r="II6" i="21"/>
  <c r="IH6" i="21"/>
  <c r="IN11" i="21"/>
  <c r="IM11" i="21"/>
  <c r="IK11" i="21"/>
  <c r="IJ11" i="21"/>
  <c r="II11" i="21"/>
  <c r="IH11" i="21"/>
  <c r="IN7" i="21"/>
  <c r="IM7" i="21"/>
  <c r="IK7" i="21"/>
  <c r="IJ7" i="21"/>
  <c r="II7" i="21"/>
  <c r="IH7" i="21"/>
  <c r="IN4" i="21"/>
  <c r="IM4" i="21"/>
  <c r="IK4" i="21"/>
  <c r="IJ4" i="21"/>
  <c r="II4" i="21"/>
  <c r="IH4" i="21"/>
  <c r="HL19" i="21"/>
  <c r="HK19" i="21"/>
  <c r="HI19" i="21"/>
  <c r="HH19" i="21"/>
  <c r="HG19" i="21"/>
  <c r="HF19" i="21"/>
  <c r="HL32" i="21"/>
  <c r="HK32" i="21"/>
  <c r="HI32" i="21"/>
  <c r="HH32" i="21"/>
  <c r="HG32" i="21"/>
  <c r="HF32" i="21"/>
  <c r="HL33" i="21"/>
  <c r="HK33" i="21"/>
  <c r="HI33" i="21"/>
  <c r="HH33" i="21"/>
  <c r="HG33" i="21"/>
  <c r="HF33" i="21"/>
  <c r="HL35" i="21"/>
  <c r="HK35" i="21"/>
  <c r="HI35" i="21"/>
  <c r="HH35" i="21"/>
  <c r="HG35" i="21"/>
  <c r="HF35" i="21"/>
  <c r="HL18" i="21"/>
  <c r="HK18" i="21"/>
  <c r="HI18" i="21"/>
  <c r="HH18" i="21"/>
  <c r="HG18" i="21"/>
  <c r="HF18" i="21"/>
  <c r="HL13" i="21"/>
  <c r="HK13" i="21"/>
  <c r="HI13" i="21"/>
  <c r="HH13" i="21"/>
  <c r="HG13" i="21"/>
  <c r="HF13" i="21"/>
  <c r="HL27" i="21"/>
  <c r="HK27" i="21"/>
  <c r="HI27" i="21"/>
  <c r="HH27" i="21"/>
  <c r="HG27" i="21"/>
  <c r="HF27" i="21"/>
  <c r="HL30" i="21"/>
  <c r="HK30" i="21"/>
  <c r="HI30" i="21"/>
  <c r="HH30" i="21"/>
  <c r="HG30" i="21"/>
  <c r="HF30" i="21"/>
  <c r="HL28" i="21"/>
  <c r="HK28" i="21"/>
  <c r="HI28" i="21"/>
  <c r="HH28" i="21"/>
  <c r="HG28" i="21"/>
  <c r="HF28" i="21"/>
  <c r="HL29" i="21"/>
  <c r="HK29" i="21"/>
  <c r="HI29" i="21"/>
  <c r="HH29" i="21"/>
  <c r="HG29" i="21"/>
  <c r="HF29" i="21"/>
  <c r="HL24" i="21"/>
  <c r="HK24" i="21"/>
  <c r="HI24" i="21"/>
  <c r="HH24" i="21"/>
  <c r="HG24" i="21"/>
  <c r="HF24" i="21"/>
  <c r="HL12" i="21"/>
  <c r="HK12" i="21"/>
  <c r="HI12" i="21"/>
  <c r="HH12" i="21"/>
  <c r="HG12" i="21"/>
  <c r="HF12" i="21"/>
  <c r="HL22" i="21"/>
  <c r="HK22" i="21"/>
  <c r="HI22" i="21"/>
  <c r="HH22" i="21"/>
  <c r="HG22" i="21"/>
  <c r="HF22" i="21"/>
  <c r="HL17" i="21"/>
  <c r="HK17" i="21"/>
  <c r="HI17" i="21"/>
  <c r="HH17" i="21"/>
  <c r="HG17" i="21"/>
  <c r="HF17" i="21"/>
  <c r="HL31" i="21"/>
  <c r="HK31" i="21"/>
  <c r="HI31" i="21"/>
  <c r="HH31" i="21"/>
  <c r="HG31" i="21"/>
  <c r="HF31" i="21"/>
  <c r="HL9" i="21"/>
  <c r="HK9" i="21"/>
  <c r="HI9" i="21"/>
  <c r="HH9" i="21"/>
  <c r="HG9" i="21"/>
  <c r="HF9" i="21"/>
  <c r="HL6" i="21"/>
  <c r="HK6" i="21"/>
  <c r="HI6" i="21"/>
  <c r="HH6" i="21"/>
  <c r="HG6" i="21"/>
  <c r="HF6" i="21"/>
  <c r="HL11" i="21"/>
  <c r="HK11" i="21"/>
  <c r="HI11" i="21"/>
  <c r="HH11" i="21"/>
  <c r="HG11" i="21"/>
  <c r="HF11" i="21"/>
  <c r="HL7" i="21"/>
  <c r="HK7" i="21"/>
  <c r="HI7" i="21"/>
  <c r="HH7" i="21"/>
  <c r="HG7" i="21"/>
  <c r="HF7" i="21"/>
  <c r="HL4" i="21"/>
  <c r="HK4" i="21"/>
  <c r="HI4" i="21"/>
  <c r="HH4" i="21"/>
  <c r="HG4" i="21"/>
  <c r="HF4" i="21"/>
  <c r="GJ19" i="21"/>
  <c r="GI19" i="21"/>
  <c r="GG19" i="21"/>
  <c r="GF19" i="21"/>
  <c r="GE19" i="21"/>
  <c r="GD19" i="21"/>
  <c r="GJ32" i="21"/>
  <c r="GI32" i="21"/>
  <c r="GG32" i="21"/>
  <c r="GF32" i="21"/>
  <c r="GE32" i="21"/>
  <c r="GD32" i="21"/>
  <c r="GJ33" i="21"/>
  <c r="GI33" i="21"/>
  <c r="GG33" i="21"/>
  <c r="GF33" i="21"/>
  <c r="GE33" i="21"/>
  <c r="GD33" i="21"/>
  <c r="GJ35" i="21"/>
  <c r="GI35" i="21"/>
  <c r="GG35" i="21"/>
  <c r="GF35" i="21"/>
  <c r="GE35" i="21"/>
  <c r="GD35" i="21"/>
  <c r="GJ18" i="21"/>
  <c r="GI18" i="21"/>
  <c r="GG18" i="21"/>
  <c r="GF18" i="21"/>
  <c r="GE18" i="21"/>
  <c r="GD18" i="21"/>
  <c r="GJ13" i="21"/>
  <c r="GI13" i="21"/>
  <c r="GG13" i="21"/>
  <c r="GF13" i="21"/>
  <c r="GE13" i="21"/>
  <c r="GD13" i="21"/>
  <c r="GJ27" i="21"/>
  <c r="GI27" i="21"/>
  <c r="GG27" i="21"/>
  <c r="GF27" i="21"/>
  <c r="GE27" i="21"/>
  <c r="GD27" i="21"/>
  <c r="GJ30" i="21"/>
  <c r="GI30" i="21"/>
  <c r="GG30" i="21"/>
  <c r="GF30" i="21"/>
  <c r="GE30" i="21"/>
  <c r="GD30" i="21"/>
  <c r="GJ28" i="21"/>
  <c r="GI28" i="21"/>
  <c r="GG28" i="21"/>
  <c r="GF28" i="21"/>
  <c r="GE28" i="21"/>
  <c r="GD28" i="21"/>
  <c r="GJ29" i="21"/>
  <c r="GI29" i="21"/>
  <c r="GG29" i="21"/>
  <c r="GF29" i="21"/>
  <c r="GE29" i="21"/>
  <c r="GD29" i="21"/>
  <c r="GJ24" i="21"/>
  <c r="GI24" i="21"/>
  <c r="GG24" i="21"/>
  <c r="GF24" i="21"/>
  <c r="GE24" i="21"/>
  <c r="GD24" i="21"/>
  <c r="GJ12" i="21"/>
  <c r="GI12" i="21"/>
  <c r="GG12" i="21"/>
  <c r="GF12" i="21"/>
  <c r="GE12" i="21"/>
  <c r="GD12" i="21"/>
  <c r="GJ22" i="21"/>
  <c r="GI22" i="21"/>
  <c r="GG22" i="21"/>
  <c r="GF22" i="21"/>
  <c r="GE22" i="21"/>
  <c r="GD22" i="21"/>
  <c r="GJ17" i="21"/>
  <c r="GI17" i="21"/>
  <c r="GG17" i="21"/>
  <c r="GF17" i="21"/>
  <c r="GE17" i="21"/>
  <c r="GD17" i="21"/>
  <c r="GJ31" i="21"/>
  <c r="GI31" i="21"/>
  <c r="GG31" i="21"/>
  <c r="GF31" i="21"/>
  <c r="GE31" i="21"/>
  <c r="GD31" i="21"/>
  <c r="GJ9" i="21"/>
  <c r="GI9" i="21"/>
  <c r="GG9" i="21"/>
  <c r="GF9" i="21"/>
  <c r="GE9" i="21"/>
  <c r="GD9" i="21"/>
  <c r="GJ6" i="21"/>
  <c r="GI6" i="21"/>
  <c r="GG6" i="21"/>
  <c r="GF6" i="21"/>
  <c r="GE6" i="21"/>
  <c r="GD6" i="21"/>
  <c r="GJ11" i="21"/>
  <c r="GI11" i="21"/>
  <c r="GG11" i="21"/>
  <c r="GF11" i="21"/>
  <c r="GE11" i="21"/>
  <c r="GD11" i="21"/>
  <c r="GJ7" i="21"/>
  <c r="GI7" i="21"/>
  <c r="GG7" i="21"/>
  <c r="GF7" i="21"/>
  <c r="GE7" i="21"/>
  <c r="GD7" i="21"/>
  <c r="GJ4" i="21"/>
  <c r="GI4" i="21"/>
  <c r="GG4" i="21"/>
  <c r="GF4" i="21"/>
  <c r="GE4" i="21"/>
  <c r="GD4" i="21"/>
  <c r="FH19" i="21"/>
  <c r="FG19" i="21"/>
  <c r="FE19" i="21"/>
  <c r="FD19" i="21"/>
  <c r="FC19" i="21"/>
  <c r="FB19" i="21"/>
  <c r="FH32" i="21"/>
  <c r="FG32" i="21"/>
  <c r="FE32" i="21"/>
  <c r="FD32" i="21"/>
  <c r="FC32" i="21"/>
  <c r="FB32" i="21"/>
  <c r="FH33" i="21"/>
  <c r="FG33" i="21"/>
  <c r="FE33" i="21"/>
  <c r="FD33" i="21"/>
  <c r="FC33" i="21"/>
  <c r="FB33" i="21"/>
  <c r="FH35" i="21"/>
  <c r="FG35" i="21"/>
  <c r="FE35" i="21"/>
  <c r="FD35" i="21"/>
  <c r="FC35" i="21"/>
  <c r="FB35" i="21"/>
  <c r="FH18" i="21"/>
  <c r="FG18" i="21"/>
  <c r="FE18" i="21"/>
  <c r="FD18" i="21"/>
  <c r="FC18" i="21"/>
  <c r="FB18" i="21"/>
  <c r="FH13" i="21"/>
  <c r="FG13" i="21"/>
  <c r="FE13" i="21"/>
  <c r="FD13" i="21"/>
  <c r="FC13" i="21"/>
  <c r="FB13" i="21"/>
  <c r="FH27" i="21"/>
  <c r="FG27" i="21"/>
  <c r="FE27" i="21"/>
  <c r="FD27" i="21"/>
  <c r="FC27" i="21"/>
  <c r="FB27" i="21"/>
  <c r="FH30" i="21"/>
  <c r="FG30" i="21"/>
  <c r="FE30" i="21"/>
  <c r="FD30" i="21"/>
  <c r="FC30" i="21"/>
  <c r="FB30" i="21"/>
  <c r="FH28" i="21"/>
  <c r="FG28" i="21"/>
  <c r="FE28" i="21"/>
  <c r="FD28" i="21"/>
  <c r="FC28" i="21"/>
  <c r="FB28" i="21"/>
  <c r="FH29" i="21"/>
  <c r="FG29" i="21"/>
  <c r="FE29" i="21"/>
  <c r="FD29" i="21"/>
  <c r="FC29" i="21"/>
  <c r="FB29" i="21"/>
  <c r="FH24" i="21"/>
  <c r="FG24" i="21"/>
  <c r="FE24" i="21"/>
  <c r="FD24" i="21"/>
  <c r="FC24" i="21"/>
  <c r="FB24" i="21"/>
  <c r="FH12" i="21"/>
  <c r="FG12" i="21"/>
  <c r="FE12" i="21"/>
  <c r="FD12" i="21"/>
  <c r="FC12" i="21"/>
  <c r="FB12" i="21"/>
  <c r="FH22" i="21"/>
  <c r="FG22" i="21"/>
  <c r="FE22" i="21"/>
  <c r="FD22" i="21"/>
  <c r="FC22" i="21"/>
  <c r="FB22" i="21"/>
  <c r="FH17" i="21"/>
  <c r="FG17" i="21"/>
  <c r="FE17" i="21"/>
  <c r="FD17" i="21"/>
  <c r="FC17" i="21"/>
  <c r="FB17" i="21"/>
  <c r="FH31" i="21"/>
  <c r="FG31" i="21"/>
  <c r="FE31" i="21"/>
  <c r="FD31" i="21"/>
  <c r="FC31" i="21"/>
  <c r="FB31" i="21"/>
  <c r="FH9" i="21"/>
  <c r="FG9" i="21"/>
  <c r="FE9" i="21"/>
  <c r="FD9" i="21"/>
  <c r="FC9" i="21"/>
  <c r="FB9" i="21"/>
  <c r="FH6" i="21"/>
  <c r="FG6" i="21"/>
  <c r="FE6" i="21"/>
  <c r="FD6" i="21"/>
  <c r="FC6" i="21"/>
  <c r="FB6" i="21"/>
  <c r="FH11" i="21"/>
  <c r="FG11" i="21"/>
  <c r="FE11" i="21"/>
  <c r="FD11" i="21"/>
  <c r="FC11" i="21"/>
  <c r="FB11" i="21"/>
  <c r="FH7" i="21"/>
  <c r="FG7" i="21"/>
  <c r="FE7" i="21"/>
  <c r="FD7" i="21"/>
  <c r="FC7" i="21"/>
  <c r="FB7" i="21"/>
  <c r="FH4" i="21"/>
  <c r="FG4" i="21"/>
  <c r="FE4" i="21"/>
  <c r="FD4" i="21"/>
  <c r="FC4" i="21"/>
  <c r="FB4" i="21"/>
  <c r="EF19" i="21"/>
  <c r="EE19" i="21"/>
  <c r="EC19" i="21"/>
  <c r="EB19" i="21"/>
  <c r="EA19" i="21"/>
  <c r="DZ19" i="21"/>
  <c r="EF32" i="21"/>
  <c r="EE32" i="21"/>
  <c r="EC32" i="21"/>
  <c r="EB32" i="21"/>
  <c r="EA32" i="21"/>
  <c r="DZ32" i="21"/>
  <c r="EF33" i="21"/>
  <c r="EE33" i="21"/>
  <c r="EC33" i="21"/>
  <c r="EB33" i="21"/>
  <c r="EA33" i="21"/>
  <c r="DZ33" i="21"/>
  <c r="EF35" i="21"/>
  <c r="EE35" i="21"/>
  <c r="EC35" i="21"/>
  <c r="EB35" i="21"/>
  <c r="EA35" i="21"/>
  <c r="DZ35" i="21"/>
  <c r="EF18" i="21"/>
  <c r="EE18" i="21"/>
  <c r="EC18" i="21"/>
  <c r="EB18" i="21"/>
  <c r="EA18" i="21"/>
  <c r="DZ18" i="21"/>
  <c r="EF13" i="21"/>
  <c r="EE13" i="21"/>
  <c r="EC13" i="21"/>
  <c r="EB13" i="21"/>
  <c r="EA13" i="21"/>
  <c r="DZ13" i="21"/>
  <c r="EF27" i="21"/>
  <c r="EE27" i="21"/>
  <c r="EC27" i="21"/>
  <c r="EB27" i="21"/>
  <c r="EA27" i="21"/>
  <c r="DZ27" i="21"/>
  <c r="EF30" i="21"/>
  <c r="EE30" i="21"/>
  <c r="EC30" i="21"/>
  <c r="EB30" i="21"/>
  <c r="EA30" i="21"/>
  <c r="DZ30" i="21"/>
  <c r="EF28" i="21"/>
  <c r="EE28" i="21"/>
  <c r="EC28" i="21"/>
  <c r="EB28" i="21"/>
  <c r="EA28" i="21"/>
  <c r="DZ28" i="21"/>
  <c r="EF29" i="21"/>
  <c r="EE29" i="21"/>
  <c r="EC29" i="21"/>
  <c r="EB29" i="21"/>
  <c r="EA29" i="21"/>
  <c r="DZ29" i="21"/>
  <c r="EF24" i="21"/>
  <c r="EE24" i="21"/>
  <c r="EC24" i="21"/>
  <c r="EB24" i="21"/>
  <c r="EA24" i="21"/>
  <c r="DZ24" i="21"/>
  <c r="EF12" i="21"/>
  <c r="EE12" i="21"/>
  <c r="EC12" i="21"/>
  <c r="EB12" i="21"/>
  <c r="EA12" i="21"/>
  <c r="DZ12" i="21"/>
  <c r="EF22" i="21"/>
  <c r="EE22" i="21"/>
  <c r="EC22" i="21"/>
  <c r="EB22" i="21"/>
  <c r="EA22" i="21"/>
  <c r="DZ22" i="21"/>
  <c r="EF17" i="21"/>
  <c r="EE17" i="21"/>
  <c r="EC17" i="21"/>
  <c r="EB17" i="21"/>
  <c r="EA17" i="21"/>
  <c r="DZ17" i="21"/>
  <c r="EF31" i="21"/>
  <c r="EE31" i="21"/>
  <c r="EC31" i="21"/>
  <c r="EB31" i="21"/>
  <c r="EA31" i="21"/>
  <c r="DZ31" i="21"/>
  <c r="EF9" i="21"/>
  <c r="EE9" i="21"/>
  <c r="EC9" i="21"/>
  <c r="EB9" i="21"/>
  <c r="EA9" i="21"/>
  <c r="DZ9" i="21"/>
  <c r="EF6" i="21"/>
  <c r="EE6" i="21"/>
  <c r="EC6" i="21"/>
  <c r="EB6" i="21"/>
  <c r="EA6" i="21"/>
  <c r="DZ6" i="21"/>
  <c r="EF11" i="21"/>
  <c r="EE11" i="21"/>
  <c r="EC11" i="21"/>
  <c r="EB11" i="21"/>
  <c r="EA11" i="21"/>
  <c r="DZ11" i="21"/>
  <c r="EF7" i="21"/>
  <c r="EE7" i="21"/>
  <c r="EC7" i="21"/>
  <c r="EB7" i="21"/>
  <c r="EA7" i="21"/>
  <c r="DZ7" i="21"/>
  <c r="EF4" i="21"/>
  <c r="EE4" i="21"/>
  <c r="EC4" i="21"/>
  <c r="EB4" i="21"/>
  <c r="EA4" i="21"/>
  <c r="DZ4" i="21"/>
  <c r="OZ8" i="27"/>
  <c r="OY8" i="27"/>
  <c r="OW8" i="27"/>
  <c r="OV8" i="27"/>
  <c r="OU8" i="27"/>
  <c r="OT8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13" i="27"/>
  <c r="OY13" i="27"/>
  <c r="OW13" i="27"/>
  <c r="OV13" i="27"/>
  <c r="OU13" i="27"/>
  <c r="OT13" i="27"/>
  <c r="OZ5" i="27"/>
  <c r="OY5" i="27"/>
  <c r="OW5" i="27"/>
  <c r="OV5" i="27"/>
  <c r="OU5" i="27"/>
  <c r="OT5" i="27"/>
  <c r="OZ9" i="27"/>
  <c r="OY9" i="27"/>
  <c r="OW9" i="27"/>
  <c r="OV9" i="27"/>
  <c r="OU9" i="27"/>
  <c r="OT9" i="27"/>
  <c r="OZ16" i="27"/>
  <c r="OY16" i="27"/>
  <c r="OW16" i="27"/>
  <c r="OV16" i="27"/>
  <c r="OU16" i="27"/>
  <c r="OT16" i="27"/>
  <c r="OZ10" i="27"/>
  <c r="OY10" i="27"/>
  <c r="OW10" i="27"/>
  <c r="OV10" i="27"/>
  <c r="OU10" i="27"/>
  <c r="OT10" i="27"/>
  <c r="OZ14" i="27"/>
  <c r="OY14" i="27"/>
  <c r="OW14" i="27"/>
  <c r="OV14" i="27"/>
  <c r="OU14" i="27"/>
  <c r="OT14" i="27"/>
  <c r="OZ7" i="27"/>
  <c r="OY7" i="27"/>
  <c r="OW7" i="27"/>
  <c r="OV7" i="27"/>
  <c r="OU7" i="27"/>
  <c r="OT7" i="27"/>
  <c r="OZ4" i="27"/>
  <c r="OY4" i="27"/>
  <c r="OW4" i="27"/>
  <c r="OV4" i="27"/>
  <c r="OU4" i="27"/>
  <c r="OT4" i="27"/>
  <c r="NX8" i="27"/>
  <c r="NW8" i="27"/>
  <c r="NU8" i="27"/>
  <c r="NT8" i="27"/>
  <c r="NS8" i="27"/>
  <c r="NR8" i="27"/>
  <c r="NX12" i="27"/>
  <c r="NW12" i="27"/>
  <c r="NU12" i="27"/>
  <c r="NT12" i="27"/>
  <c r="NS12" i="27"/>
  <c r="NR12" i="27"/>
  <c r="NX11" i="27"/>
  <c r="NW11" i="27"/>
  <c r="NU11" i="27"/>
  <c r="NT11" i="27"/>
  <c r="NS11" i="27"/>
  <c r="NR11" i="27"/>
  <c r="NX13" i="27"/>
  <c r="NW13" i="27"/>
  <c r="NU13" i="27"/>
  <c r="NT13" i="27"/>
  <c r="NS13" i="27"/>
  <c r="NR13" i="27"/>
  <c r="NX5" i="27"/>
  <c r="NW5" i="27"/>
  <c r="NU5" i="27"/>
  <c r="NT5" i="27"/>
  <c r="NS5" i="27"/>
  <c r="NR5" i="27"/>
  <c r="NX9" i="27"/>
  <c r="NW9" i="27"/>
  <c r="NU9" i="27"/>
  <c r="NT9" i="27"/>
  <c r="NS9" i="27"/>
  <c r="NR9" i="27"/>
  <c r="NX16" i="27"/>
  <c r="NW16" i="27"/>
  <c r="NU16" i="27"/>
  <c r="NT16" i="27"/>
  <c r="NS16" i="27"/>
  <c r="NR16" i="27"/>
  <c r="NX10" i="27"/>
  <c r="NW10" i="27"/>
  <c r="NU10" i="27"/>
  <c r="NT10" i="27"/>
  <c r="NS10" i="27"/>
  <c r="NR10" i="27"/>
  <c r="NX14" i="27"/>
  <c r="NW14" i="27"/>
  <c r="NU14" i="27"/>
  <c r="NT14" i="27"/>
  <c r="NS14" i="27"/>
  <c r="NR14" i="27"/>
  <c r="NX7" i="27"/>
  <c r="NW7" i="27"/>
  <c r="NU7" i="27"/>
  <c r="NT7" i="27"/>
  <c r="NS7" i="27"/>
  <c r="NR7" i="27"/>
  <c r="NX4" i="27"/>
  <c r="NW4" i="27"/>
  <c r="NU4" i="27"/>
  <c r="NT4" i="27"/>
  <c r="NS4" i="27"/>
  <c r="NR4" i="27"/>
  <c r="MV8" i="27"/>
  <c r="MU8" i="27"/>
  <c r="MS8" i="27"/>
  <c r="MR8" i="27"/>
  <c r="MQ8" i="27"/>
  <c r="MP8" i="27"/>
  <c r="MV12" i="27"/>
  <c r="MU12" i="27"/>
  <c r="MS12" i="27"/>
  <c r="MR12" i="27"/>
  <c r="MQ12" i="27"/>
  <c r="MP12" i="27"/>
  <c r="MV11" i="27"/>
  <c r="MU11" i="27"/>
  <c r="MS11" i="27"/>
  <c r="MR11" i="27"/>
  <c r="MQ11" i="27"/>
  <c r="MP11" i="27"/>
  <c r="MV13" i="27"/>
  <c r="MU13" i="27"/>
  <c r="MS13" i="27"/>
  <c r="MR13" i="27"/>
  <c r="MQ13" i="27"/>
  <c r="MP13" i="27"/>
  <c r="MV5" i="27"/>
  <c r="MU5" i="27"/>
  <c r="MS5" i="27"/>
  <c r="MR5" i="27"/>
  <c r="MQ5" i="27"/>
  <c r="MP5" i="27"/>
  <c r="MV9" i="27"/>
  <c r="MU9" i="27"/>
  <c r="MS9" i="27"/>
  <c r="MR9" i="27"/>
  <c r="MQ9" i="27"/>
  <c r="MP9" i="27"/>
  <c r="MV16" i="27"/>
  <c r="MU16" i="27"/>
  <c r="MS16" i="27"/>
  <c r="MR16" i="27"/>
  <c r="MQ16" i="27"/>
  <c r="MP16" i="27"/>
  <c r="MV10" i="27"/>
  <c r="MU10" i="27"/>
  <c r="MS10" i="27"/>
  <c r="MR10" i="27"/>
  <c r="MQ10" i="27"/>
  <c r="MP10" i="27"/>
  <c r="MV14" i="27"/>
  <c r="MU14" i="27"/>
  <c r="MS14" i="27"/>
  <c r="MR14" i="27"/>
  <c r="MQ14" i="27"/>
  <c r="MP14" i="27"/>
  <c r="MV7" i="27"/>
  <c r="MU7" i="27"/>
  <c r="MS7" i="27"/>
  <c r="MR7" i="27"/>
  <c r="MQ7" i="27"/>
  <c r="MP7" i="27"/>
  <c r="MV4" i="27"/>
  <c r="MU4" i="27"/>
  <c r="MS4" i="27"/>
  <c r="MR4" i="27"/>
  <c r="MQ4" i="27"/>
  <c r="MP4" i="27"/>
  <c r="LT8" i="27"/>
  <c r="LS8" i="27"/>
  <c r="LQ8" i="27"/>
  <c r="LP8" i="27"/>
  <c r="LO8" i="27"/>
  <c r="LN8" i="27"/>
  <c r="LT12" i="27"/>
  <c r="LS12" i="27"/>
  <c r="LQ12" i="27"/>
  <c r="LP12" i="27"/>
  <c r="LO12" i="27"/>
  <c r="LN12" i="27"/>
  <c r="LT11" i="27"/>
  <c r="LS11" i="27"/>
  <c r="LQ11" i="27"/>
  <c r="LP11" i="27"/>
  <c r="LO11" i="27"/>
  <c r="LN11" i="27"/>
  <c r="LT13" i="27"/>
  <c r="LS13" i="27"/>
  <c r="LQ13" i="27"/>
  <c r="LP13" i="27"/>
  <c r="LO13" i="27"/>
  <c r="LN13" i="27"/>
  <c r="LT5" i="27"/>
  <c r="LS5" i="27"/>
  <c r="LQ5" i="27"/>
  <c r="LP5" i="27"/>
  <c r="LO5" i="27"/>
  <c r="LN5" i="27"/>
  <c r="LT9" i="27"/>
  <c r="LS9" i="27"/>
  <c r="LQ9" i="27"/>
  <c r="LP9" i="27"/>
  <c r="LO9" i="27"/>
  <c r="LN9" i="27"/>
  <c r="LT16" i="27"/>
  <c r="LS16" i="27"/>
  <c r="LQ16" i="27"/>
  <c r="LP16" i="27"/>
  <c r="LO16" i="27"/>
  <c r="LN16" i="27"/>
  <c r="LT10" i="27"/>
  <c r="LS10" i="27"/>
  <c r="LQ10" i="27"/>
  <c r="LP10" i="27"/>
  <c r="LO10" i="27"/>
  <c r="LN10" i="27"/>
  <c r="LT14" i="27"/>
  <c r="LS14" i="27"/>
  <c r="LQ14" i="27"/>
  <c r="LP14" i="27"/>
  <c r="LO14" i="27"/>
  <c r="LN14" i="27"/>
  <c r="LT7" i="27"/>
  <c r="LS7" i="27"/>
  <c r="LQ7" i="27"/>
  <c r="LP7" i="27"/>
  <c r="LO7" i="27"/>
  <c r="LN7" i="27"/>
  <c r="LT4" i="27"/>
  <c r="LS4" i="27"/>
  <c r="LQ4" i="27"/>
  <c r="LP4" i="27"/>
  <c r="LO4" i="27"/>
  <c r="LN4" i="27"/>
  <c r="KR8" i="27"/>
  <c r="KQ8" i="27"/>
  <c r="KO8" i="27"/>
  <c r="KN8" i="27"/>
  <c r="KM8" i="27"/>
  <c r="KL8" i="27"/>
  <c r="KR12" i="27"/>
  <c r="KQ12" i="27"/>
  <c r="KO12" i="27"/>
  <c r="KN12" i="27"/>
  <c r="KM12" i="27"/>
  <c r="KL12" i="27"/>
  <c r="KR11" i="27"/>
  <c r="KQ11" i="27"/>
  <c r="KO11" i="27"/>
  <c r="KN11" i="27"/>
  <c r="KM11" i="27"/>
  <c r="KL11" i="27"/>
  <c r="KR13" i="27"/>
  <c r="KQ13" i="27"/>
  <c r="KO13" i="27"/>
  <c r="KN13" i="27"/>
  <c r="KM13" i="27"/>
  <c r="KL13" i="27"/>
  <c r="KR5" i="27"/>
  <c r="KQ5" i="27"/>
  <c r="KO5" i="27"/>
  <c r="KN5" i="27"/>
  <c r="KM5" i="27"/>
  <c r="KL5" i="27"/>
  <c r="KR9" i="27"/>
  <c r="KQ9" i="27"/>
  <c r="KO9" i="27"/>
  <c r="KN9" i="27"/>
  <c r="KM9" i="27"/>
  <c r="KL9" i="27"/>
  <c r="KR16" i="27"/>
  <c r="KQ16" i="27"/>
  <c r="KO16" i="27"/>
  <c r="KN16" i="27"/>
  <c r="KM16" i="27"/>
  <c r="KL16" i="27"/>
  <c r="KR10" i="27"/>
  <c r="KQ10" i="27"/>
  <c r="KO10" i="27"/>
  <c r="KN10" i="27"/>
  <c r="KM10" i="27"/>
  <c r="KL10" i="27"/>
  <c r="KR14" i="27"/>
  <c r="KQ14" i="27"/>
  <c r="KO14" i="27"/>
  <c r="KN14" i="27"/>
  <c r="KM14" i="27"/>
  <c r="KL14" i="27"/>
  <c r="KR7" i="27"/>
  <c r="KQ7" i="27"/>
  <c r="KO7" i="27"/>
  <c r="KN7" i="27"/>
  <c r="KM7" i="27"/>
  <c r="KL7" i="27"/>
  <c r="KR4" i="27"/>
  <c r="KQ4" i="27"/>
  <c r="KO4" i="27"/>
  <c r="KN4" i="27"/>
  <c r="KM4" i="27"/>
  <c r="KL4" i="27"/>
  <c r="JP8" i="27"/>
  <c r="JO8" i="27"/>
  <c r="JM8" i="27"/>
  <c r="JL8" i="27"/>
  <c r="JK8" i="27"/>
  <c r="JJ8" i="27"/>
  <c r="JP12" i="27"/>
  <c r="JO12" i="27"/>
  <c r="JM12" i="27"/>
  <c r="JL12" i="27"/>
  <c r="JK12" i="27"/>
  <c r="JJ12" i="27"/>
  <c r="JP11" i="27"/>
  <c r="JO11" i="27"/>
  <c r="JM11" i="27"/>
  <c r="JL11" i="27"/>
  <c r="JK11" i="27"/>
  <c r="JJ11" i="27"/>
  <c r="JP13" i="27"/>
  <c r="JO13" i="27"/>
  <c r="JM13" i="27"/>
  <c r="JL13" i="27"/>
  <c r="JK13" i="27"/>
  <c r="JJ13" i="27"/>
  <c r="JP5" i="27"/>
  <c r="JO5" i="27"/>
  <c r="JM5" i="27"/>
  <c r="JL5" i="27"/>
  <c r="JK5" i="27"/>
  <c r="JJ5" i="27"/>
  <c r="JP9" i="27"/>
  <c r="JO9" i="27"/>
  <c r="JM9" i="27"/>
  <c r="JL9" i="27"/>
  <c r="JK9" i="27"/>
  <c r="JJ9" i="27"/>
  <c r="JP16" i="27"/>
  <c r="JO16" i="27"/>
  <c r="JM16" i="27"/>
  <c r="JL16" i="27"/>
  <c r="JK16" i="27"/>
  <c r="JJ16" i="27"/>
  <c r="JP10" i="27"/>
  <c r="JO10" i="27"/>
  <c r="JM10" i="27"/>
  <c r="JL10" i="27"/>
  <c r="JK10" i="27"/>
  <c r="JJ10" i="27"/>
  <c r="JP14" i="27"/>
  <c r="JO14" i="27"/>
  <c r="JM14" i="27"/>
  <c r="JL14" i="27"/>
  <c r="JK14" i="27"/>
  <c r="JJ14" i="27"/>
  <c r="JP7" i="27"/>
  <c r="JO7" i="27"/>
  <c r="JM7" i="27"/>
  <c r="JL7" i="27"/>
  <c r="JK7" i="27"/>
  <c r="JJ7" i="27"/>
  <c r="JP4" i="27"/>
  <c r="JO4" i="27"/>
  <c r="JM4" i="27"/>
  <c r="JL4" i="27"/>
  <c r="JK4" i="27"/>
  <c r="JJ4" i="27"/>
  <c r="IN8" i="27"/>
  <c r="IM8" i="27"/>
  <c r="IK8" i="27"/>
  <c r="IJ8" i="27"/>
  <c r="II8" i="27"/>
  <c r="IH8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13" i="27"/>
  <c r="IM13" i="27"/>
  <c r="IK13" i="27"/>
  <c r="IJ13" i="27"/>
  <c r="II13" i="27"/>
  <c r="IH13" i="27"/>
  <c r="IN5" i="27"/>
  <c r="IM5" i="27"/>
  <c r="IK5" i="27"/>
  <c r="IJ5" i="27"/>
  <c r="II5" i="27"/>
  <c r="IH5" i="27"/>
  <c r="IN9" i="27"/>
  <c r="IM9" i="27"/>
  <c r="IK9" i="27"/>
  <c r="IJ9" i="27"/>
  <c r="II9" i="27"/>
  <c r="IH9" i="27"/>
  <c r="IN16" i="27"/>
  <c r="IM16" i="27"/>
  <c r="IK16" i="27"/>
  <c r="IJ16" i="27"/>
  <c r="II16" i="27"/>
  <c r="IH16" i="27"/>
  <c r="IN10" i="27"/>
  <c r="IM10" i="27"/>
  <c r="IK10" i="27"/>
  <c r="IJ10" i="27"/>
  <c r="II10" i="27"/>
  <c r="IH10" i="27"/>
  <c r="IN14" i="27"/>
  <c r="IM14" i="27"/>
  <c r="IK14" i="27"/>
  <c r="IJ14" i="27"/>
  <c r="II14" i="27"/>
  <c r="IH14" i="27"/>
  <c r="IN7" i="27"/>
  <c r="IM7" i="27"/>
  <c r="IK7" i="27"/>
  <c r="IJ7" i="27"/>
  <c r="II7" i="27"/>
  <c r="IH7" i="27"/>
  <c r="IN4" i="27"/>
  <c r="IM4" i="27"/>
  <c r="IK4" i="27"/>
  <c r="IJ4" i="27"/>
  <c r="II4" i="27"/>
  <c r="IH4" i="27"/>
  <c r="HL8" i="27"/>
  <c r="HK8" i="27"/>
  <c r="HI8" i="27"/>
  <c r="HH8" i="27"/>
  <c r="HG8" i="27"/>
  <c r="HF8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13" i="27"/>
  <c r="HK13" i="27"/>
  <c r="HI13" i="27"/>
  <c r="HH13" i="27"/>
  <c r="HG13" i="27"/>
  <c r="HF13" i="27"/>
  <c r="HL5" i="27"/>
  <c r="HK5" i="27"/>
  <c r="HI5" i="27"/>
  <c r="HH5" i="27"/>
  <c r="HG5" i="27"/>
  <c r="HF5" i="27"/>
  <c r="HL9" i="27"/>
  <c r="HK9" i="27"/>
  <c r="HI9" i="27"/>
  <c r="HH9" i="27"/>
  <c r="HG9" i="27"/>
  <c r="HF9" i="27"/>
  <c r="HL16" i="27"/>
  <c r="HK16" i="27"/>
  <c r="HI16" i="27"/>
  <c r="HH16" i="27"/>
  <c r="HG16" i="27"/>
  <c r="HF16" i="27"/>
  <c r="HL10" i="27"/>
  <c r="HK10" i="27"/>
  <c r="HI10" i="27"/>
  <c r="HH10" i="27"/>
  <c r="HG10" i="27"/>
  <c r="HF10" i="27"/>
  <c r="HL14" i="27"/>
  <c r="HK14" i="27"/>
  <c r="HI14" i="27"/>
  <c r="HH14" i="27"/>
  <c r="HG14" i="27"/>
  <c r="HF14" i="27"/>
  <c r="HL7" i="27"/>
  <c r="HK7" i="27"/>
  <c r="HI7" i="27"/>
  <c r="HH7" i="27"/>
  <c r="HG7" i="27"/>
  <c r="HF7" i="27"/>
  <c r="HL4" i="27"/>
  <c r="HK4" i="27"/>
  <c r="HI4" i="27"/>
  <c r="HH4" i="27"/>
  <c r="HG4" i="27"/>
  <c r="HF4" i="27"/>
  <c r="GJ8" i="27"/>
  <c r="GI8" i="27"/>
  <c r="GG8" i="27"/>
  <c r="GF8" i="27"/>
  <c r="GE8" i="27"/>
  <c r="GD8" i="27"/>
  <c r="GJ12" i="27"/>
  <c r="GI12" i="27"/>
  <c r="GG12" i="27"/>
  <c r="GF12" i="27"/>
  <c r="GE12" i="27"/>
  <c r="GD12" i="27"/>
  <c r="GJ11" i="27"/>
  <c r="GI11" i="27"/>
  <c r="GG11" i="27"/>
  <c r="GF11" i="27"/>
  <c r="GE11" i="27"/>
  <c r="GD11" i="27"/>
  <c r="GJ13" i="27"/>
  <c r="GI13" i="27"/>
  <c r="GG13" i="27"/>
  <c r="GF13" i="27"/>
  <c r="GE13" i="27"/>
  <c r="GD13" i="27"/>
  <c r="GJ5" i="27"/>
  <c r="GI5" i="27"/>
  <c r="GG5" i="27"/>
  <c r="GF5" i="27"/>
  <c r="GE5" i="27"/>
  <c r="GD5" i="27"/>
  <c r="GJ9" i="27"/>
  <c r="GI9" i="27"/>
  <c r="GG9" i="27"/>
  <c r="GF9" i="27"/>
  <c r="GE9" i="27"/>
  <c r="GD9" i="27"/>
  <c r="GJ16" i="27"/>
  <c r="GI16" i="27"/>
  <c r="GG16" i="27"/>
  <c r="GF16" i="27"/>
  <c r="GE16" i="27"/>
  <c r="GD16" i="27"/>
  <c r="GJ10" i="27"/>
  <c r="GI10" i="27"/>
  <c r="GG10" i="27"/>
  <c r="GF10" i="27"/>
  <c r="GE10" i="27"/>
  <c r="GD10" i="27"/>
  <c r="GJ14" i="27"/>
  <c r="GI14" i="27"/>
  <c r="GG14" i="27"/>
  <c r="GF14" i="27"/>
  <c r="GE14" i="27"/>
  <c r="GD14" i="27"/>
  <c r="GJ7" i="27"/>
  <c r="GI7" i="27"/>
  <c r="GG7" i="27"/>
  <c r="GF7" i="27"/>
  <c r="GE7" i="27"/>
  <c r="GD7" i="27"/>
  <c r="GJ4" i="27"/>
  <c r="GI4" i="27"/>
  <c r="GG4" i="27"/>
  <c r="GF4" i="27"/>
  <c r="GE4" i="27"/>
  <c r="GD4" i="27"/>
  <c r="FH8" i="27"/>
  <c r="FG8" i="27"/>
  <c r="FE8" i="27"/>
  <c r="FD8" i="27"/>
  <c r="FC8" i="27"/>
  <c r="FB8" i="27"/>
  <c r="FH12" i="27"/>
  <c r="FG12" i="27"/>
  <c r="FE12" i="27"/>
  <c r="FD12" i="27"/>
  <c r="FC12" i="27"/>
  <c r="FB12" i="27"/>
  <c r="FH11" i="27"/>
  <c r="FG11" i="27"/>
  <c r="FE11" i="27"/>
  <c r="FD11" i="27"/>
  <c r="FC11" i="27"/>
  <c r="FB11" i="27"/>
  <c r="FH13" i="27"/>
  <c r="FG13" i="27"/>
  <c r="FE13" i="27"/>
  <c r="FD13" i="27"/>
  <c r="FC13" i="27"/>
  <c r="FB13" i="27"/>
  <c r="FH5" i="27"/>
  <c r="FG5" i="27"/>
  <c r="FE5" i="27"/>
  <c r="FD5" i="27"/>
  <c r="FC5" i="27"/>
  <c r="FB5" i="27"/>
  <c r="FH9" i="27"/>
  <c r="FG9" i="27"/>
  <c r="FE9" i="27"/>
  <c r="FD9" i="27"/>
  <c r="FC9" i="27"/>
  <c r="FB9" i="27"/>
  <c r="FH16" i="27"/>
  <c r="FG16" i="27"/>
  <c r="FE16" i="27"/>
  <c r="FD16" i="27"/>
  <c r="FC16" i="27"/>
  <c r="FB16" i="27"/>
  <c r="FH10" i="27"/>
  <c r="FG10" i="27"/>
  <c r="FE10" i="27"/>
  <c r="FD10" i="27"/>
  <c r="FC10" i="27"/>
  <c r="FB10" i="27"/>
  <c r="FH14" i="27"/>
  <c r="FG14" i="27"/>
  <c r="FE14" i="27"/>
  <c r="FD14" i="27"/>
  <c r="FC14" i="27"/>
  <c r="FB14" i="27"/>
  <c r="FH7" i="27"/>
  <c r="FG7" i="27"/>
  <c r="FE7" i="27"/>
  <c r="FD7" i="27"/>
  <c r="FC7" i="27"/>
  <c r="FB7" i="27"/>
  <c r="FH4" i="27"/>
  <c r="FG4" i="27"/>
  <c r="FE4" i="27"/>
  <c r="FD4" i="27"/>
  <c r="FC4" i="27"/>
  <c r="FB4" i="27"/>
  <c r="EF8" i="27"/>
  <c r="EE8" i="27"/>
  <c r="EC8" i="27"/>
  <c r="EB8" i="27"/>
  <c r="EA8" i="27"/>
  <c r="DZ8" i="27"/>
  <c r="EF12" i="27"/>
  <c r="EE12" i="27"/>
  <c r="EC12" i="27"/>
  <c r="EB12" i="27"/>
  <c r="EA12" i="27"/>
  <c r="DZ12" i="27"/>
  <c r="EF11" i="27"/>
  <c r="EE11" i="27"/>
  <c r="EC11" i="27"/>
  <c r="EB11" i="27"/>
  <c r="EA11" i="27"/>
  <c r="DZ11" i="27"/>
  <c r="EF13" i="27"/>
  <c r="EE13" i="27"/>
  <c r="EC13" i="27"/>
  <c r="EB13" i="27"/>
  <c r="EA13" i="27"/>
  <c r="DZ13" i="27"/>
  <c r="EF5" i="27"/>
  <c r="EE5" i="27"/>
  <c r="EC5" i="27"/>
  <c r="EB5" i="27"/>
  <c r="EA5" i="27"/>
  <c r="DZ5" i="27"/>
  <c r="EF9" i="27"/>
  <c r="EE9" i="27"/>
  <c r="EC9" i="27"/>
  <c r="EB9" i="27"/>
  <c r="EA9" i="27"/>
  <c r="DZ9" i="27"/>
  <c r="EF16" i="27"/>
  <c r="EE16" i="27"/>
  <c r="EC16" i="27"/>
  <c r="EB16" i="27"/>
  <c r="EA16" i="27"/>
  <c r="DZ16" i="27"/>
  <c r="EF10" i="27"/>
  <c r="EE10" i="27"/>
  <c r="EC10" i="27"/>
  <c r="EB10" i="27"/>
  <c r="EA10" i="27"/>
  <c r="DZ10" i="27"/>
  <c r="EF14" i="27"/>
  <c r="EE14" i="27"/>
  <c r="EC14" i="27"/>
  <c r="EB14" i="27"/>
  <c r="EA14" i="27"/>
  <c r="DZ14" i="27"/>
  <c r="EF7" i="27"/>
  <c r="EE7" i="27"/>
  <c r="EC7" i="27"/>
  <c r="EB7" i="27"/>
  <c r="EA7" i="27"/>
  <c r="DZ7" i="27"/>
  <c r="EF4" i="27"/>
  <c r="EE4" i="27"/>
  <c r="EC4" i="27"/>
  <c r="EB4" i="27"/>
  <c r="EA4" i="27"/>
  <c r="DZ4" i="27"/>
  <c r="OZ18" i="26"/>
  <c r="OY18" i="26"/>
  <c r="OW18" i="26"/>
  <c r="OV18" i="26"/>
  <c r="OU18" i="26"/>
  <c r="OT18" i="26"/>
  <c r="OZ16" i="26"/>
  <c r="OY16" i="26"/>
  <c r="OW16" i="26"/>
  <c r="OV16" i="26"/>
  <c r="OU16" i="26"/>
  <c r="OT16" i="26"/>
  <c r="OZ10" i="26"/>
  <c r="OY10" i="26"/>
  <c r="OW10" i="26"/>
  <c r="OV10" i="26"/>
  <c r="OU10" i="26"/>
  <c r="OT10" i="26"/>
  <c r="OZ15" i="26"/>
  <c r="OY15" i="26"/>
  <c r="OW15" i="26"/>
  <c r="OV15" i="26"/>
  <c r="OU15" i="26"/>
  <c r="OT15" i="26"/>
  <c r="OZ13" i="26"/>
  <c r="OY13" i="26"/>
  <c r="OW13" i="26"/>
  <c r="OV13" i="26"/>
  <c r="OU13" i="26"/>
  <c r="OT13" i="26"/>
  <c r="OZ19" i="26"/>
  <c r="OY19" i="26"/>
  <c r="OW19" i="26"/>
  <c r="OV19" i="26"/>
  <c r="OU19" i="26"/>
  <c r="OT19" i="26"/>
  <c r="OZ6" i="26"/>
  <c r="OY6" i="26"/>
  <c r="OW6" i="26"/>
  <c r="OV6" i="26"/>
  <c r="OU6" i="26"/>
  <c r="OT6" i="26"/>
  <c r="OZ14" i="26"/>
  <c r="OY14" i="26"/>
  <c r="OW14" i="26"/>
  <c r="OV14" i="26"/>
  <c r="OU14" i="26"/>
  <c r="OT14" i="26"/>
  <c r="OZ7" i="26"/>
  <c r="OY7" i="26"/>
  <c r="OW7" i="26"/>
  <c r="OV7" i="26"/>
  <c r="OU7" i="26"/>
  <c r="OT7" i="26"/>
  <c r="OZ12" i="26"/>
  <c r="OY12" i="26"/>
  <c r="OW12" i="26"/>
  <c r="OV12" i="26"/>
  <c r="OU12" i="26"/>
  <c r="OT12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18" i="26"/>
  <c r="NW18" i="26"/>
  <c r="NU18" i="26"/>
  <c r="NT18" i="26"/>
  <c r="NS18" i="26"/>
  <c r="NR18" i="26"/>
  <c r="NX16" i="26"/>
  <c r="NW16" i="26"/>
  <c r="NU16" i="26"/>
  <c r="NT16" i="26"/>
  <c r="NS16" i="26"/>
  <c r="NR16" i="26"/>
  <c r="NX10" i="26"/>
  <c r="NW10" i="26"/>
  <c r="NU10" i="26"/>
  <c r="NT10" i="26"/>
  <c r="NS10" i="26"/>
  <c r="NR10" i="26"/>
  <c r="NX15" i="26"/>
  <c r="NW15" i="26"/>
  <c r="NU15" i="26"/>
  <c r="NT15" i="26"/>
  <c r="NS15" i="26"/>
  <c r="NR15" i="26"/>
  <c r="NX13" i="26"/>
  <c r="NW13" i="26"/>
  <c r="NU13" i="26"/>
  <c r="NT13" i="26"/>
  <c r="NS13" i="26"/>
  <c r="NR13" i="26"/>
  <c r="NX19" i="26"/>
  <c r="NW19" i="26"/>
  <c r="NU19" i="26"/>
  <c r="NT19" i="26"/>
  <c r="NS19" i="26"/>
  <c r="NR19" i="26"/>
  <c r="NX6" i="26"/>
  <c r="NW6" i="26"/>
  <c r="NU6" i="26"/>
  <c r="NT6" i="26"/>
  <c r="NS6" i="26"/>
  <c r="NR6" i="26"/>
  <c r="NX14" i="26"/>
  <c r="NW14" i="26"/>
  <c r="NU14" i="26"/>
  <c r="NT14" i="26"/>
  <c r="NS14" i="26"/>
  <c r="NR14" i="26"/>
  <c r="NX7" i="26"/>
  <c r="NW7" i="26"/>
  <c r="NU7" i="26"/>
  <c r="NT7" i="26"/>
  <c r="NS7" i="26"/>
  <c r="NR7" i="26"/>
  <c r="NX12" i="26"/>
  <c r="NW12" i="26"/>
  <c r="NU12" i="26"/>
  <c r="NT12" i="26"/>
  <c r="NS12" i="26"/>
  <c r="NR12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18" i="26"/>
  <c r="MU18" i="26"/>
  <c r="MS18" i="26"/>
  <c r="MR18" i="26"/>
  <c r="MQ18" i="26"/>
  <c r="MP18" i="26"/>
  <c r="MV16" i="26"/>
  <c r="MU16" i="26"/>
  <c r="MS16" i="26"/>
  <c r="MR16" i="26"/>
  <c r="MQ16" i="26"/>
  <c r="MP16" i="26"/>
  <c r="MV10" i="26"/>
  <c r="MU10" i="26"/>
  <c r="MS10" i="26"/>
  <c r="MR10" i="26"/>
  <c r="MQ10" i="26"/>
  <c r="MP10" i="26"/>
  <c r="MV15" i="26"/>
  <c r="MU15" i="26"/>
  <c r="MS15" i="26"/>
  <c r="MR15" i="26"/>
  <c r="MQ15" i="26"/>
  <c r="MP15" i="26"/>
  <c r="MV13" i="26"/>
  <c r="MU13" i="26"/>
  <c r="MS13" i="26"/>
  <c r="MR13" i="26"/>
  <c r="MQ13" i="26"/>
  <c r="MP13" i="26"/>
  <c r="MV19" i="26"/>
  <c r="MU19" i="26"/>
  <c r="MS19" i="26"/>
  <c r="MR19" i="26"/>
  <c r="MQ19" i="26"/>
  <c r="MP19" i="26"/>
  <c r="MV6" i="26"/>
  <c r="MU6" i="26"/>
  <c r="MS6" i="26"/>
  <c r="MR6" i="26"/>
  <c r="MQ6" i="26"/>
  <c r="MP6" i="26"/>
  <c r="MV14" i="26"/>
  <c r="MU14" i="26"/>
  <c r="MS14" i="26"/>
  <c r="MR14" i="26"/>
  <c r="MQ14" i="26"/>
  <c r="MP14" i="26"/>
  <c r="MV7" i="26"/>
  <c r="MU7" i="26"/>
  <c r="MS7" i="26"/>
  <c r="MR7" i="26"/>
  <c r="MQ7" i="26"/>
  <c r="MP7" i="26"/>
  <c r="MV12" i="26"/>
  <c r="MU12" i="26"/>
  <c r="MS12" i="26"/>
  <c r="MR12" i="26"/>
  <c r="MQ12" i="26"/>
  <c r="MP12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18" i="26"/>
  <c r="LS18" i="26"/>
  <c r="LQ18" i="26"/>
  <c r="LP18" i="26"/>
  <c r="LO18" i="26"/>
  <c r="LN18" i="26"/>
  <c r="LT16" i="26"/>
  <c r="LS16" i="26"/>
  <c r="LQ16" i="26"/>
  <c r="LP16" i="26"/>
  <c r="LO16" i="26"/>
  <c r="LN16" i="26"/>
  <c r="LT10" i="26"/>
  <c r="LS10" i="26"/>
  <c r="LQ10" i="26"/>
  <c r="LP10" i="26"/>
  <c r="LO10" i="26"/>
  <c r="LN10" i="26"/>
  <c r="LT15" i="26"/>
  <c r="LS15" i="26"/>
  <c r="LQ15" i="26"/>
  <c r="LP15" i="26"/>
  <c r="LO15" i="26"/>
  <c r="LN15" i="26"/>
  <c r="LT13" i="26"/>
  <c r="LS13" i="26"/>
  <c r="LQ13" i="26"/>
  <c r="LP13" i="26"/>
  <c r="LO13" i="26"/>
  <c r="LN13" i="26"/>
  <c r="LT19" i="26"/>
  <c r="LS19" i="26"/>
  <c r="LQ19" i="26"/>
  <c r="LP19" i="26"/>
  <c r="LO19" i="26"/>
  <c r="LN19" i="26"/>
  <c r="LT6" i="26"/>
  <c r="LS6" i="26"/>
  <c r="LQ6" i="26"/>
  <c r="LP6" i="26"/>
  <c r="LO6" i="26"/>
  <c r="LN6" i="26"/>
  <c r="LT14" i="26"/>
  <c r="LS14" i="26"/>
  <c r="LQ14" i="26"/>
  <c r="LP14" i="26"/>
  <c r="LO14" i="26"/>
  <c r="LN14" i="26"/>
  <c r="LT7" i="26"/>
  <c r="LS7" i="26"/>
  <c r="LQ7" i="26"/>
  <c r="LP7" i="26"/>
  <c r="LO7" i="26"/>
  <c r="LN7" i="26"/>
  <c r="LT12" i="26"/>
  <c r="LS12" i="26"/>
  <c r="LQ12" i="26"/>
  <c r="LP12" i="26"/>
  <c r="LO12" i="26"/>
  <c r="LN12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18" i="26"/>
  <c r="KQ18" i="26"/>
  <c r="KO18" i="26"/>
  <c r="KN18" i="26"/>
  <c r="KM18" i="26"/>
  <c r="KL18" i="26"/>
  <c r="KR16" i="26"/>
  <c r="KQ16" i="26"/>
  <c r="KO16" i="26"/>
  <c r="KN16" i="26"/>
  <c r="KM16" i="26"/>
  <c r="KL16" i="26"/>
  <c r="KR10" i="26"/>
  <c r="KQ10" i="26"/>
  <c r="KO10" i="26"/>
  <c r="KN10" i="26"/>
  <c r="KM10" i="26"/>
  <c r="KL10" i="26"/>
  <c r="KR15" i="26"/>
  <c r="KQ15" i="26"/>
  <c r="KO15" i="26"/>
  <c r="KN15" i="26"/>
  <c r="KM15" i="26"/>
  <c r="KL15" i="26"/>
  <c r="KR13" i="26"/>
  <c r="KQ13" i="26"/>
  <c r="KO13" i="26"/>
  <c r="KN13" i="26"/>
  <c r="KM13" i="26"/>
  <c r="KL13" i="26"/>
  <c r="KR19" i="26"/>
  <c r="KQ19" i="26"/>
  <c r="KO19" i="26"/>
  <c r="KN19" i="26"/>
  <c r="KM19" i="26"/>
  <c r="KL19" i="26"/>
  <c r="KR6" i="26"/>
  <c r="KQ6" i="26"/>
  <c r="KO6" i="26"/>
  <c r="KN6" i="26"/>
  <c r="KM6" i="26"/>
  <c r="KL6" i="26"/>
  <c r="KR14" i="26"/>
  <c r="KQ14" i="26"/>
  <c r="KO14" i="26"/>
  <c r="KN14" i="26"/>
  <c r="KM14" i="26"/>
  <c r="KL14" i="26"/>
  <c r="KR7" i="26"/>
  <c r="KQ7" i="26"/>
  <c r="KO7" i="26"/>
  <c r="KN7" i="26"/>
  <c r="KM7" i="26"/>
  <c r="KL7" i="26"/>
  <c r="KR12" i="26"/>
  <c r="KQ12" i="26"/>
  <c r="KO12" i="26"/>
  <c r="KN12" i="26"/>
  <c r="KM12" i="26"/>
  <c r="KL12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18" i="26"/>
  <c r="JO18" i="26"/>
  <c r="JM18" i="26"/>
  <c r="JL18" i="26"/>
  <c r="JK18" i="26"/>
  <c r="JJ18" i="26"/>
  <c r="JP16" i="26"/>
  <c r="JO16" i="26"/>
  <c r="JM16" i="26"/>
  <c r="JL16" i="26"/>
  <c r="JK16" i="26"/>
  <c r="JJ16" i="26"/>
  <c r="JP10" i="26"/>
  <c r="JO10" i="26"/>
  <c r="JM10" i="26"/>
  <c r="JL10" i="26"/>
  <c r="JK10" i="26"/>
  <c r="JJ10" i="26"/>
  <c r="JP15" i="26"/>
  <c r="JO15" i="26"/>
  <c r="JM15" i="26"/>
  <c r="JL15" i="26"/>
  <c r="JK15" i="26"/>
  <c r="JJ15" i="26"/>
  <c r="JP13" i="26"/>
  <c r="JO13" i="26"/>
  <c r="JM13" i="26"/>
  <c r="JL13" i="26"/>
  <c r="JK13" i="26"/>
  <c r="JJ13" i="26"/>
  <c r="JP19" i="26"/>
  <c r="JO19" i="26"/>
  <c r="JM19" i="26"/>
  <c r="JL19" i="26"/>
  <c r="JK19" i="26"/>
  <c r="JJ19" i="26"/>
  <c r="JP6" i="26"/>
  <c r="JO6" i="26"/>
  <c r="JM6" i="26"/>
  <c r="JL6" i="26"/>
  <c r="JK6" i="26"/>
  <c r="JJ6" i="26"/>
  <c r="JP14" i="26"/>
  <c r="JO14" i="26"/>
  <c r="JM14" i="26"/>
  <c r="JL14" i="26"/>
  <c r="JK14" i="26"/>
  <c r="JJ14" i="26"/>
  <c r="JP7" i="26"/>
  <c r="JO7" i="26"/>
  <c r="JM7" i="26"/>
  <c r="JL7" i="26"/>
  <c r="JK7" i="26"/>
  <c r="JJ7" i="26"/>
  <c r="JP12" i="26"/>
  <c r="JO12" i="26"/>
  <c r="JM12" i="26"/>
  <c r="JL12" i="26"/>
  <c r="JK12" i="26"/>
  <c r="JJ12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18" i="26"/>
  <c r="IM18" i="26"/>
  <c r="IK18" i="26"/>
  <c r="IJ18" i="26"/>
  <c r="II18" i="26"/>
  <c r="IH18" i="26"/>
  <c r="IN16" i="26"/>
  <c r="IM16" i="26"/>
  <c r="IK16" i="26"/>
  <c r="IJ16" i="26"/>
  <c r="II16" i="26"/>
  <c r="IH16" i="26"/>
  <c r="IN10" i="26"/>
  <c r="IM10" i="26"/>
  <c r="IK10" i="26"/>
  <c r="IJ10" i="26"/>
  <c r="II10" i="26"/>
  <c r="IH10" i="26"/>
  <c r="IN15" i="26"/>
  <c r="IM15" i="26"/>
  <c r="IK15" i="26"/>
  <c r="IJ15" i="26"/>
  <c r="II15" i="26"/>
  <c r="IH15" i="26"/>
  <c r="IN13" i="26"/>
  <c r="IM13" i="26"/>
  <c r="IK13" i="26"/>
  <c r="IJ13" i="26"/>
  <c r="II13" i="26"/>
  <c r="IH13" i="26"/>
  <c r="IN19" i="26"/>
  <c r="IM19" i="26"/>
  <c r="IK19" i="26"/>
  <c r="IJ19" i="26"/>
  <c r="II19" i="26"/>
  <c r="IH19" i="26"/>
  <c r="IN6" i="26"/>
  <c r="IM6" i="26"/>
  <c r="IK6" i="26"/>
  <c r="IJ6" i="26"/>
  <c r="II6" i="26"/>
  <c r="IH6" i="26"/>
  <c r="IN14" i="26"/>
  <c r="IM14" i="26"/>
  <c r="IK14" i="26"/>
  <c r="IJ14" i="26"/>
  <c r="II14" i="26"/>
  <c r="IH14" i="26"/>
  <c r="IN7" i="26"/>
  <c r="IM7" i="26"/>
  <c r="IK7" i="26"/>
  <c r="IJ7" i="26"/>
  <c r="II7" i="26"/>
  <c r="IH7" i="26"/>
  <c r="IN12" i="26"/>
  <c r="IM12" i="26"/>
  <c r="IK12" i="26"/>
  <c r="IJ12" i="26"/>
  <c r="II12" i="26"/>
  <c r="IH12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18" i="26"/>
  <c r="HK18" i="26"/>
  <c r="HI18" i="26"/>
  <c r="HH18" i="26"/>
  <c r="HG18" i="26"/>
  <c r="HF18" i="26"/>
  <c r="HL16" i="26"/>
  <c r="HK16" i="26"/>
  <c r="HI16" i="26"/>
  <c r="HH16" i="26"/>
  <c r="HG16" i="26"/>
  <c r="HF16" i="26"/>
  <c r="HL10" i="26"/>
  <c r="HK10" i="26"/>
  <c r="HI10" i="26"/>
  <c r="HH10" i="26"/>
  <c r="HG10" i="26"/>
  <c r="HF10" i="26"/>
  <c r="HL15" i="26"/>
  <c r="HK15" i="26"/>
  <c r="HI15" i="26"/>
  <c r="HH15" i="26"/>
  <c r="HG15" i="26"/>
  <c r="HF15" i="26"/>
  <c r="HL13" i="26"/>
  <c r="HK13" i="26"/>
  <c r="HI13" i="26"/>
  <c r="HH13" i="26"/>
  <c r="HG13" i="26"/>
  <c r="HF13" i="26"/>
  <c r="HL19" i="26"/>
  <c r="HK19" i="26"/>
  <c r="HI19" i="26"/>
  <c r="HH19" i="26"/>
  <c r="HG19" i="26"/>
  <c r="HF19" i="26"/>
  <c r="HL6" i="26"/>
  <c r="HK6" i="26"/>
  <c r="HI6" i="26"/>
  <c r="HH6" i="26"/>
  <c r="HG6" i="26"/>
  <c r="HF6" i="26"/>
  <c r="HL14" i="26"/>
  <c r="HK14" i="26"/>
  <c r="HI14" i="26"/>
  <c r="HH14" i="26"/>
  <c r="HG14" i="26"/>
  <c r="HF14" i="26"/>
  <c r="HL7" i="26"/>
  <c r="HK7" i="26"/>
  <c r="HI7" i="26"/>
  <c r="HH7" i="26"/>
  <c r="HG7" i="26"/>
  <c r="HF7" i="26"/>
  <c r="HL12" i="26"/>
  <c r="HK12" i="26"/>
  <c r="HI12" i="26"/>
  <c r="HH12" i="26"/>
  <c r="HG12" i="26"/>
  <c r="HF12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18" i="26"/>
  <c r="GI18" i="26"/>
  <c r="GG18" i="26"/>
  <c r="GF18" i="26"/>
  <c r="GE18" i="26"/>
  <c r="GD18" i="26"/>
  <c r="GJ16" i="26"/>
  <c r="GI16" i="26"/>
  <c r="GG16" i="26"/>
  <c r="GF16" i="26"/>
  <c r="GE16" i="26"/>
  <c r="GD16" i="26"/>
  <c r="GJ10" i="26"/>
  <c r="GI10" i="26"/>
  <c r="GG10" i="26"/>
  <c r="GF10" i="26"/>
  <c r="GE10" i="26"/>
  <c r="GD10" i="26"/>
  <c r="GJ15" i="26"/>
  <c r="GI15" i="26"/>
  <c r="GG15" i="26"/>
  <c r="GF15" i="26"/>
  <c r="GE15" i="26"/>
  <c r="GD15" i="26"/>
  <c r="GJ13" i="26"/>
  <c r="GI13" i="26"/>
  <c r="GG13" i="26"/>
  <c r="GF13" i="26"/>
  <c r="GE13" i="26"/>
  <c r="GD13" i="26"/>
  <c r="GJ19" i="26"/>
  <c r="GI19" i="26"/>
  <c r="GG19" i="26"/>
  <c r="GF19" i="26"/>
  <c r="GE19" i="26"/>
  <c r="GD19" i="26"/>
  <c r="GJ6" i="26"/>
  <c r="GI6" i="26"/>
  <c r="GG6" i="26"/>
  <c r="GF6" i="26"/>
  <c r="GE6" i="26"/>
  <c r="GD6" i="26"/>
  <c r="GJ14" i="26"/>
  <c r="GI14" i="26"/>
  <c r="GG14" i="26"/>
  <c r="GF14" i="26"/>
  <c r="GE14" i="26"/>
  <c r="GD14" i="26"/>
  <c r="GJ7" i="26"/>
  <c r="GI7" i="26"/>
  <c r="GG7" i="26"/>
  <c r="GF7" i="26"/>
  <c r="GE7" i="26"/>
  <c r="GD7" i="26"/>
  <c r="GJ12" i="26"/>
  <c r="GI12" i="26"/>
  <c r="GG12" i="26"/>
  <c r="GF12" i="26"/>
  <c r="GE12" i="26"/>
  <c r="GD12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18" i="26"/>
  <c r="FG18" i="26"/>
  <c r="FE18" i="26"/>
  <c r="FD18" i="26"/>
  <c r="FC18" i="26"/>
  <c r="FB18" i="26"/>
  <c r="FH16" i="26"/>
  <c r="FG16" i="26"/>
  <c r="FE16" i="26"/>
  <c r="FD16" i="26"/>
  <c r="FC16" i="26"/>
  <c r="FB16" i="26"/>
  <c r="FH10" i="26"/>
  <c r="FG10" i="26"/>
  <c r="FE10" i="26"/>
  <c r="FD10" i="26"/>
  <c r="FC10" i="26"/>
  <c r="FB10" i="26"/>
  <c r="FH15" i="26"/>
  <c r="FG15" i="26"/>
  <c r="FE15" i="26"/>
  <c r="FD15" i="26"/>
  <c r="FC15" i="26"/>
  <c r="FB15" i="26"/>
  <c r="FH13" i="26"/>
  <c r="FG13" i="26"/>
  <c r="FE13" i="26"/>
  <c r="FD13" i="26"/>
  <c r="FC13" i="26"/>
  <c r="FB13" i="26"/>
  <c r="FH19" i="26"/>
  <c r="FG19" i="26"/>
  <c r="FE19" i="26"/>
  <c r="FD19" i="26"/>
  <c r="FC19" i="26"/>
  <c r="FB19" i="26"/>
  <c r="FH6" i="26"/>
  <c r="FG6" i="26"/>
  <c r="FE6" i="26"/>
  <c r="FD6" i="26"/>
  <c r="FC6" i="26"/>
  <c r="FB6" i="26"/>
  <c r="FH14" i="26"/>
  <c r="FG14" i="26"/>
  <c r="FE14" i="26"/>
  <c r="FD14" i="26"/>
  <c r="FC14" i="26"/>
  <c r="FB14" i="26"/>
  <c r="FH7" i="26"/>
  <c r="FG7" i="26"/>
  <c r="FE7" i="26"/>
  <c r="FD7" i="26"/>
  <c r="FC7" i="26"/>
  <c r="FB7" i="26"/>
  <c r="FH12" i="26"/>
  <c r="FG12" i="26"/>
  <c r="FE12" i="26"/>
  <c r="FD12" i="26"/>
  <c r="FC12" i="26"/>
  <c r="FB12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18" i="26"/>
  <c r="EE18" i="26"/>
  <c r="EC18" i="26"/>
  <c r="EB18" i="26"/>
  <c r="EA18" i="26"/>
  <c r="DZ18" i="26"/>
  <c r="EF16" i="26"/>
  <c r="EE16" i="26"/>
  <c r="EC16" i="26"/>
  <c r="EB16" i="26"/>
  <c r="EA16" i="26"/>
  <c r="DZ16" i="26"/>
  <c r="EF10" i="26"/>
  <c r="EE10" i="26"/>
  <c r="EC10" i="26"/>
  <c r="EB10" i="26"/>
  <c r="EA10" i="26"/>
  <c r="DZ10" i="26"/>
  <c r="EF15" i="26"/>
  <c r="EE15" i="26"/>
  <c r="EC15" i="26"/>
  <c r="EB15" i="26"/>
  <c r="EA15" i="26"/>
  <c r="DZ15" i="26"/>
  <c r="EF13" i="26"/>
  <c r="EE13" i="26"/>
  <c r="EC13" i="26"/>
  <c r="EB13" i="26"/>
  <c r="EA13" i="26"/>
  <c r="DZ13" i="26"/>
  <c r="EF19" i="26"/>
  <c r="EE19" i="26"/>
  <c r="EC19" i="26"/>
  <c r="EB19" i="26"/>
  <c r="EA19" i="26"/>
  <c r="DZ19" i="26"/>
  <c r="EF6" i="26"/>
  <c r="EE6" i="26"/>
  <c r="EC6" i="26"/>
  <c r="EB6" i="26"/>
  <c r="EA6" i="26"/>
  <c r="DZ6" i="26"/>
  <c r="EF14" i="26"/>
  <c r="EE14" i="26"/>
  <c r="EC14" i="26"/>
  <c r="EB14" i="26"/>
  <c r="EA14" i="26"/>
  <c r="DZ14" i="26"/>
  <c r="EF7" i="26"/>
  <c r="EE7" i="26"/>
  <c r="EC7" i="26"/>
  <c r="EB7" i="26"/>
  <c r="EA7" i="26"/>
  <c r="DZ7" i="26"/>
  <c r="EF12" i="26"/>
  <c r="EE12" i="26"/>
  <c r="EC12" i="26"/>
  <c r="EB12" i="26"/>
  <c r="EA12" i="26"/>
  <c r="DZ12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33" i="21"/>
  <c r="CW33" i="21"/>
  <c r="CX33" i="21"/>
  <c r="CY33" i="21"/>
  <c r="DA33" i="21"/>
  <c r="DB33" i="21"/>
  <c r="PV33" i="21"/>
  <c r="PW33" i="21"/>
  <c r="PX33" i="21"/>
  <c r="PY33" i="21"/>
  <c r="QA33" i="21"/>
  <c r="QB33" i="21"/>
  <c r="QD33" i="21"/>
  <c r="QE33" i="21"/>
  <c r="QF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2" i="19"/>
  <c r="CW32" i="19"/>
  <c r="CX32" i="19"/>
  <c r="CY32" i="19"/>
  <c r="DA32" i="19"/>
  <c r="DB32" i="19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38" i="19"/>
  <c r="CW38" i="19"/>
  <c r="CX38" i="19"/>
  <c r="CY38" i="19"/>
  <c r="DA38" i="19"/>
  <c r="DB38" i="19"/>
  <c r="PV38" i="19"/>
  <c r="PW38" i="19"/>
  <c r="PX38" i="19"/>
  <c r="PY38" i="19"/>
  <c r="QA38" i="19"/>
  <c r="QB38" i="19"/>
  <c r="QD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NY12" i="21" l="1"/>
  <c r="HM9" i="21"/>
  <c r="HM29" i="21"/>
  <c r="HM18" i="21"/>
  <c r="KS6" i="21"/>
  <c r="KS24" i="21"/>
  <c r="GK19" i="21"/>
  <c r="JQ12" i="21"/>
  <c r="LU11" i="21"/>
  <c r="PA32" i="21"/>
  <c r="PA13" i="21"/>
  <c r="KS17" i="21"/>
  <c r="KS32" i="21"/>
  <c r="LU28" i="21"/>
  <c r="KS27" i="21"/>
  <c r="NY31" i="21"/>
  <c r="NY35" i="21"/>
  <c r="JQ30" i="21"/>
  <c r="LU22" i="21"/>
  <c r="GK33" i="21"/>
  <c r="KS33" i="21"/>
  <c r="HM22" i="21"/>
  <c r="HM28" i="21"/>
  <c r="JQ35" i="21"/>
  <c r="LU4" i="21"/>
  <c r="LU9" i="21"/>
  <c r="LU29" i="21"/>
  <c r="NY30" i="21"/>
  <c r="GK24" i="21"/>
  <c r="GK27" i="21"/>
  <c r="KS7" i="21"/>
  <c r="LU18" i="21"/>
  <c r="HM11" i="21"/>
  <c r="JQ31" i="21"/>
  <c r="KS13" i="21"/>
  <c r="KS19" i="21"/>
  <c r="PA17" i="21"/>
  <c r="KS5" i="27"/>
  <c r="KS12" i="27"/>
  <c r="LU4" i="27"/>
  <c r="LU7" i="27"/>
  <c r="LU9" i="27"/>
  <c r="LU8" i="27"/>
  <c r="HM5" i="26"/>
  <c r="HM13" i="26"/>
  <c r="HM18" i="26"/>
  <c r="LU5" i="26"/>
  <c r="LU13" i="26"/>
  <c r="LU18" i="26"/>
  <c r="FI31" i="21"/>
  <c r="FI12" i="21"/>
  <c r="FI30" i="21"/>
  <c r="FI35" i="21"/>
  <c r="GK7" i="21"/>
  <c r="GK6" i="21"/>
  <c r="GK17" i="21"/>
  <c r="GK13" i="21"/>
  <c r="GK32" i="21"/>
  <c r="HM4" i="21"/>
  <c r="GK5" i="27"/>
  <c r="GK12" i="27"/>
  <c r="HM4" i="27"/>
  <c r="HM7" i="27"/>
  <c r="HM9" i="27"/>
  <c r="HM8" i="27"/>
  <c r="EG10" i="27"/>
  <c r="EG13" i="27"/>
  <c r="FI14" i="27"/>
  <c r="HM16" i="27"/>
  <c r="HM11" i="27"/>
  <c r="IO10" i="27"/>
  <c r="IO13" i="27"/>
  <c r="JQ14" i="27"/>
  <c r="LU16" i="27"/>
  <c r="LU11" i="27"/>
  <c r="MW10" i="27"/>
  <c r="MW13" i="27"/>
  <c r="NY14" i="27"/>
  <c r="HM12" i="26"/>
  <c r="LU19" i="26"/>
  <c r="LU16" i="26"/>
  <c r="EG4" i="21"/>
  <c r="EG31" i="21"/>
  <c r="EG12" i="21"/>
  <c r="EG30" i="21"/>
  <c r="EG35" i="21"/>
  <c r="FI7" i="21"/>
  <c r="FI6" i="21"/>
  <c r="HM17" i="21"/>
  <c r="HM13" i="21"/>
  <c r="HM32" i="21"/>
  <c r="IO4" i="21"/>
  <c r="IO31" i="21"/>
  <c r="IO12" i="21"/>
  <c r="IO30" i="21"/>
  <c r="IO35" i="21"/>
  <c r="JQ7" i="21"/>
  <c r="JQ6" i="21"/>
  <c r="LU17" i="21"/>
  <c r="LU13" i="21"/>
  <c r="LU32" i="21"/>
  <c r="MW4" i="21"/>
  <c r="MW31" i="21"/>
  <c r="MW12" i="21"/>
  <c r="MW30" i="21"/>
  <c r="MW35" i="21"/>
  <c r="NY7" i="21"/>
  <c r="NY6" i="21"/>
  <c r="EG9" i="21"/>
  <c r="EG22" i="21"/>
  <c r="EG29" i="21"/>
  <c r="EG28" i="21"/>
  <c r="EG18" i="21"/>
  <c r="FI24" i="21"/>
  <c r="FI27" i="21"/>
  <c r="FI33" i="21"/>
  <c r="FI19" i="21"/>
  <c r="GK11" i="21"/>
  <c r="IO9" i="21"/>
  <c r="IO22" i="21"/>
  <c r="IO29" i="21"/>
  <c r="IO28" i="21"/>
  <c r="IO18" i="21"/>
  <c r="JQ24" i="21"/>
  <c r="JQ27" i="21"/>
  <c r="JQ33" i="21"/>
  <c r="JQ19" i="21"/>
  <c r="KS11" i="21"/>
  <c r="MW9" i="21"/>
  <c r="MW22" i="21"/>
  <c r="MW29" i="21"/>
  <c r="MW28" i="21"/>
  <c r="MW18" i="21"/>
  <c r="NY24" i="21"/>
  <c r="NY27" i="21"/>
  <c r="NY33" i="21"/>
  <c r="NY19" i="21"/>
  <c r="PA11" i="21"/>
  <c r="FI16" i="27"/>
  <c r="FI11" i="27"/>
  <c r="GK10" i="27"/>
  <c r="GK13" i="27"/>
  <c r="HM14" i="27"/>
  <c r="JQ16" i="27"/>
  <c r="JQ11" i="27"/>
  <c r="KS10" i="27"/>
  <c r="KS13" i="27"/>
  <c r="LU14" i="27"/>
  <c r="NY16" i="27"/>
  <c r="NY11" i="27"/>
  <c r="P8" i="27"/>
  <c r="Q8" i="27" s="1"/>
  <c r="EG5" i="27"/>
  <c r="EG12" i="27"/>
  <c r="FI4" i="27"/>
  <c r="FI7" i="27"/>
  <c r="FI9" i="27"/>
  <c r="FI8" i="27"/>
  <c r="IO5" i="27"/>
  <c r="IO12" i="27"/>
  <c r="JQ4" i="27"/>
  <c r="JQ7" i="27"/>
  <c r="JQ9" i="27"/>
  <c r="JQ8" i="27"/>
  <c r="MW5" i="27"/>
  <c r="MW12" i="27"/>
  <c r="NY4" i="27"/>
  <c r="NY7" i="27"/>
  <c r="NY9" i="27"/>
  <c r="NY8" i="27"/>
  <c r="LU12" i="26"/>
  <c r="HM19" i="26"/>
  <c r="HM16" i="26"/>
  <c r="EG12" i="26"/>
  <c r="EG13" i="26"/>
  <c r="EG18" i="26"/>
  <c r="IO12" i="26"/>
  <c r="IO13" i="26"/>
  <c r="IO18" i="26"/>
  <c r="MW12" i="26"/>
  <c r="MW13" i="26"/>
  <c r="MW18" i="26"/>
  <c r="GK5" i="26"/>
  <c r="GK19" i="26"/>
  <c r="GK16" i="26"/>
  <c r="KS5" i="26"/>
  <c r="KS19" i="26"/>
  <c r="KS16" i="26"/>
  <c r="PA5" i="26"/>
  <c r="PA19" i="26"/>
  <c r="PA16" i="26"/>
  <c r="EG5" i="26"/>
  <c r="EG19" i="26"/>
  <c r="EG16" i="26"/>
  <c r="FI12" i="26"/>
  <c r="FI13" i="26"/>
  <c r="FI18" i="26"/>
  <c r="IO5" i="26"/>
  <c r="IO19" i="26"/>
  <c r="IO16" i="26"/>
  <c r="JQ12" i="26"/>
  <c r="JQ13" i="26"/>
  <c r="JQ18" i="26"/>
  <c r="MW5" i="26"/>
  <c r="MW19" i="26"/>
  <c r="MW16" i="26"/>
  <c r="NY12" i="26"/>
  <c r="NY13" i="26"/>
  <c r="NY18" i="26"/>
  <c r="FI5" i="26"/>
  <c r="FI19" i="26"/>
  <c r="FI16" i="26"/>
  <c r="GK12" i="26"/>
  <c r="GK13" i="26"/>
  <c r="GK18" i="26"/>
  <c r="JQ5" i="26"/>
  <c r="JQ19" i="26"/>
  <c r="JQ16" i="26"/>
  <c r="KS12" i="26"/>
  <c r="KS13" i="26"/>
  <c r="KS18" i="26"/>
  <c r="NY5" i="26"/>
  <c r="NY19" i="26"/>
  <c r="NY16" i="26"/>
  <c r="PA12" i="26"/>
  <c r="PA13" i="26"/>
  <c r="PA18" i="26"/>
  <c r="P19" i="21"/>
  <c r="Q19" i="21" s="1"/>
  <c r="PA7" i="21"/>
  <c r="PA6" i="21"/>
  <c r="PA24" i="21"/>
  <c r="PA27" i="21"/>
  <c r="PA33" i="21"/>
  <c r="PA19" i="21"/>
  <c r="EG11" i="21"/>
  <c r="EG17" i="21"/>
  <c r="EG13" i="21"/>
  <c r="EG32" i="21"/>
  <c r="FI4" i="21"/>
  <c r="FI9" i="21"/>
  <c r="FI22" i="21"/>
  <c r="FI29" i="21"/>
  <c r="FI28" i="21"/>
  <c r="FI18" i="21"/>
  <c r="GK31" i="21"/>
  <c r="GK12" i="21"/>
  <c r="GK30" i="21"/>
  <c r="GK35" i="21"/>
  <c r="HM7" i="21"/>
  <c r="HM6" i="21"/>
  <c r="HM24" i="21"/>
  <c r="HM27" i="21"/>
  <c r="HM33" i="21"/>
  <c r="HM19" i="21"/>
  <c r="IO11" i="21"/>
  <c r="IO17" i="21"/>
  <c r="IO13" i="21"/>
  <c r="IO32" i="21"/>
  <c r="JQ4" i="21"/>
  <c r="JQ9" i="21"/>
  <c r="JQ22" i="21"/>
  <c r="JQ29" i="21"/>
  <c r="JQ28" i="21"/>
  <c r="JQ18" i="21"/>
  <c r="KS31" i="21"/>
  <c r="KS12" i="21"/>
  <c r="KS30" i="21"/>
  <c r="KS35" i="21"/>
  <c r="LU7" i="21"/>
  <c r="LU6" i="21"/>
  <c r="LU24" i="21"/>
  <c r="LU27" i="21"/>
  <c r="LU33" i="21"/>
  <c r="LU19" i="21"/>
  <c r="MW11" i="21"/>
  <c r="MW17" i="21"/>
  <c r="MW13" i="21"/>
  <c r="MW32" i="21"/>
  <c r="NY4" i="21"/>
  <c r="NY9" i="21"/>
  <c r="NY22" i="21"/>
  <c r="NY29" i="21"/>
  <c r="NY28" i="21"/>
  <c r="NY18" i="21"/>
  <c r="PA31" i="21"/>
  <c r="PA12" i="21"/>
  <c r="PA30" i="21"/>
  <c r="PA35" i="21"/>
  <c r="EG7" i="21"/>
  <c r="EG6" i="21"/>
  <c r="EG24" i="21"/>
  <c r="EG27" i="21"/>
  <c r="EG33" i="21"/>
  <c r="EG19" i="21"/>
  <c r="FI11" i="21"/>
  <c r="FI17" i="21"/>
  <c r="FI13" i="21"/>
  <c r="FI32" i="21"/>
  <c r="GK4" i="21"/>
  <c r="GK9" i="21"/>
  <c r="GK22" i="21"/>
  <c r="GK29" i="21"/>
  <c r="GK28" i="21"/>
  <c r="GK18" i="21"/>
  <c r="HM31" i="21"/>
  <c r="HM12" i="21"/>
  <c r="HM30" i="21"/>
  <c r="HM35" i="21"/>
  <c r="IO7" i="21"/>
  <c r="IO6" i="21"/>
  <c r="IO24" i="21"/>
  <c r="IO27" i="21"/>
  <c r="IO33" i="21"/>
  <c r="IO19" i="21"/>
  <c r="JQ11" i="21"/>
  <c r="JQ17" i="21"/>
  <c r="JQ13" i="21"/>
  <c r="JQ32" i="21"/>
  <c r="KS4" i="21"/>
  <c r="KS9" i="21"/>
  <c r="KS22" i="21"/>
  <c r="KS29" i="21"/>
  <c r="KS28" i="21"/>
  <c r="KS18" i="21"/>
  <c r="LU31" i="21"/>
  <c r="LU12" i="21"/>
  <c r="LU30" i="21"/>
  <c r="LU35" i="21"/>
  <c r="MW7" i="21"/>
  <c r="MW6" i="21"/>
  <c r="MW24" i="21"/>
  <c r="MW27" i="21"/>
  <c r="MW33" i="21"/>
  <c r="MW19" i="21"/>
  <c r="NY11" i="21"/>
  <c r="NY17" i="21"/>
  <c r="NY13" i="21"/>
  <c r="NY32" i="21"/>
  <c r="PA4" i="21"/>
  <c r="PA9" i="21"/>
  <c r="PA22" i="21"/>
  <c r="PA29" i="21"/>
  <c r="PA28" i="21"/>
  <c r="PA18" i="21"/>
  <c r="PA10" i="27"/>
  <c r="PA13" i="27"/>
  <c r="DC8" i="27"/>
  <c r="PA5" i="27"/>
  <c r="PA12" i="27"/>
  <c r="EG14" i="27"/>
  <c r="EG9" i="27"/>
  <c r="EG8" i="27"/>
  <c r="FI10" i="27"/>
  <c r="FI13" i="27"/>
  <c r="GK14" i="27"/>
  <c r="GK9" i="27"/>
  <c r="GK8" i="27"/>
  <c r="HM10" i="27"/>
  <c r="HM13" i="27"/>
  <c r="IO14" i="27"/>
  <c r="IO9" i="27"/>
  <c r="IO8" i="27"/>
  <c r="JQ10" i="27"/>
  <c r="JQ13" i="27"/>
  <c r="KS14" i="27"/>
  <c r="KS9" i="27"/>
  <c r="KS8" i="27"/>
  <c r="LU10" i="27"/>
  <c r="LU13" i="27"/>
  <c r="MW14" i="27"/>
  <c r="MW9" i="27"/>
  <c r="MW8" i="27"/>
  <c r="NY10" i="27"/>
  <c r="NY13" i="27"/>
  <c r="PA14" i="27"/>
  <c r="PA9" i="27"/>
  <c r="PA8" i="27"/>
  <c r="EG4" i="27"/>
  <c r="EG7" i="27"/>
  <c r="EG16" i="27"/>
  <c r="EG11" i="27"/>
  <c r="FI5" i="27"/>
  <c r="FI12" i="27"/>
  <c r="GK4" i="27"/>
  <c r="GK7" i="27"/>
  <c r="GK16" i="27"/>
  <c r="GK11" i="27"/>
  <c r="HM5" i="27"/>
  <c r="HM12" i="27"/>
  <c r="IO4" i="27"/>
  <c r="IO7" i="27"/>
  <c r="IO16" i="27"/>
  <c r="IO11" i="27"/>
  <c r="JQ5" i="27"/>
  <c r="JQ12" i="27"/>
  <c r="KS4" i="27"/>
  <c r="KS7" i="27"/>
  <c r="KS16" i="27"/>
  <c r="KS11" i="27"/>
  <c r="LU5" i="27"/>
  <c r="LU12" i="27"/>
  <c r="MW4" i="27"/>
  <c r="MW7" i="27"/>
  <c r="MW16" i="27"/>
  <c r="MW11" i="27"/>
  <c r="NY5" i="27"/>
  <c r="NY12" i="27"/>
  <c r="PA4" i="27"/>
  <c r="PA7" i="27"/>
  <c r="PA16" i="27"/>
  <c r="PA11" i="27"/>
  <c r="EG7" i="26"/>
  <c r="EG6" i="26"/>
  <c r="EG10" i="26"/>
  <c r="FI7" i="26"/>
  <c r="FI6" i="26"/>
  <c r="FI10" i="26"/>
  <c r="GK7" i="26"/>
  <c r="GK6" i="26"/>
  <c r="GK10" i="26"/>
  <c r="HM7" i="26"/>
  <c r="HM6" i="26"/>
  <c r="HM10" i="26"/>
  <c r="IO7" i="26"/>
  <c r="IO6" i="26"/>
  <c r="IO10" i="26"/>
  <c r="JQ7" i="26"/>
  <c r="JQ6" i="26"/>
  <c r="JQ10" i="26"/>
  <c r="KS7" i="26"/>
  <c r="KS6" i="26"/>
  <c r="KS10" i="26"/>
  <c r="LU7" i="26"/>
  <c r="LU6" i="26"/>
  <c r="LU10" i="26"/>
  <c r="MW7" i="26"/>
  <c r="MW6" i="26"/>
  <c r="MW10" i="26"/>
  <c r="NY7" i="26"/>
  <c r="NY6" i="26"/>
  <c r="NY10" i="26"/>
  <c r="PA7" i="26"/>
  <c r="PA6" i="26"/>
  <c r="PA10" i="26"/>
  <c r="EG4" i="26"/>
  <c r="EG14" i="26"/>
  <c r="EG15" i="26"/>
  <c r="FI4" i="26"/>
  <c r="FI14" i="26"/>
  <c r="FI15" i="26"/>
  <c r="GK4" i="26"/>
  <c r="GK14" i="26"/>
  <c r="GK15" i="26"/>
  <c r="HM4" i="26"/>
  <c r="HM14" i="26"/>
  <c r="HM15" i="26"/>
  <c r="IO4" i="26"/>
  <c r="IO14" i="26"/>
  <c r="IO15" i="26"/>
  <c r="JQ4" i="26"/>
  <c r="JQ14" i="26"/>
  <c r="JQ15" i="26"/>
  <c r="KS4" i="26"/>
  <c r="KS14" i="26"/>
  <c r="KS15" i="26"/>
  <c r="LU4" i="26"/>
  <c r="LU14" i="26"/>
  <c r="LU15" i="26"/>
  <c r="MW4" i="26"/>
  <c r="MW14" i="26"/>
  <c r="MW15" i="26"/>
  <c r="NY4" i="26"/>
  <c r="NY14" i="26"/>
  <c r="NY15" i="26"/>
  <c r="PA4" i="26"/>
  <c r="PA14" i="26"/>
  <c r="PA15" i="26"/>
  <c r="CW21" i="4"/>
  <c r="DA21" i="4" s="1"/>
  <c r="OX4" i="21"/>
  <c r="OX7" i="21"/>
  <c r="OX11" i="21"/>
  <c r="OX6" i="21"/>
  <c r="OX9" i="21"/>
  <c r="OX31" i="21"/>
  <c r="OX17" i="21"/>
  <c r="OX22" i="21"/>
  <c r="OX12" i="21"/>
  <c r="OX24" i="21"/>
  <c r="OX29" i="21"/>
  <c r="OX28" i="21"/>
  <c r="OX30" i="21"/>
  <c r="OX27" i="21"/>
  <c r="OX13" i="21"/>
  <c r="OX18" i="21"/>
  <c r="OX35" i="21"/>
  <c r="OX33" i="21"/>
  <c r="OX32" i="21"/>
  <c r="OX19" i="21"/>
  <c r="NV4" i="21"/>
  <c r="NV7" i="21"/>
  <c r="NV11" i="21"/>
  <c r="NV6" i="21"/>
  <c r="NV9" i="21"/>
  <c r="NV31" i="21"/>
  <c r="NV17" i="21"/>
  <c r="NV22" i="21"/>
  <c r="NV12" i="21"/>
  <c r="NV24" i="21"/>
  <c r="NV29" i="21"/>
  <c r="NV28" i="21"/>
  <c r="NV30" i="21"/>
  <c r="NV27" i="21"/>
  <c r="NV13" i="21"/>
  <c r="NV18" i="21"/>
  <c r="NV35" i="21"/>
  <c r="NV33" i="21"/>
  <c r="NV32" i="21"/>
  <c r="NV19" i="21"/>
  <c r="MT4" i="21"/>
  <c r="MT7" i="21"/>
  <c r="MT11" i="21"/>
  <c r="MT6" i="21"/>
  <c r="MT9" i="21"/>
  <c r="MT31" i="21"/>
  <c r="MT17" i="21"/>
  <c r="MT22" i="21"/>
  <c r="MT12" i="21"/>
  <c r="MT24" i="21"/>
  <c r="MT29" i="21"/>
  <c r="MT28" i="21"/>
  <c r="MT30" i="21"/>
  <c r="MT27" i="21"/>
  <c r="MT13" i="21"/>
  <c r="MT18" i="21"/>
  <c r="MT35" i="21"/>
  <c r="MT33" i="21"/>
  <c r="MT32" i="21"/>
  <c r="MT19" i="21"/>
  <c r="LR4" i="21"/>
  <c r="LR7" i="21"/>
  <c r="LR11" i="21"/>
  <c r="LR6" i="21"/>
  <c r="LR9" i="21"/>
  <c r="LR31" i="21"/>
  <c r="LR17" i="21"/>
  <c r="LR22" i="21"/>
  <c r="LR12" i="21"/>
  <c r="LR24" i="21"/>
  <c r="LR29" i="21"/>
  <c r="LR28" i="21"/>
  <c r="LR30" i="21"/>
  <c r="LR27" i="21"/>
  <c r="LR13" i="21"/>
  <c r="LR18" i="21"/>
  <c r="LR35" i="21"/>
  <c r="LR33" i="21"/>
  <c r="LR32" i="21"/>
  <c r="LR19" i="21"/>
  <c r="KP4" i="21"/>
  <c r="KP7" i="21"/>
  <c r="KP11" i="21"/>
  <c r="KP6" i="21"/>
  <c r="KP9" i="21"/>
  <c r="KP31" i="21"/>
  <c r="KP17" i="21"/>
  <c r="KP22" i="21"/>
  <c r="KP12" i="21"/>
  <c r="KP24" i="21"/>
  <c r="KP29" i="21"/>
  <c r="KP28" i="21"/>
  <c r="KP30" i="21"/>
  <c r="KP27" i="21"/>
  <c r="KP13" i="21"/>
  <c r="KP18" i="21"/>
  <c r="KP35" i="21"/>
  <c r="KP33" i="21"/>
  <c r="KP32" i="21"/>
  <c r="KP19" i="21"/>
  <c r="JN4" i="21"/>
  <c r="JN7" i="21"/>
  <c r="JN11" i="21"/>
  <c r="JN6" i="21"/>
  <c r="JN9" i="21"/>
  <c r="JN31" i="21"/>
  <c r="JN17" i="21"/>
  <c r="JN22" i="21"/>
  <c r="JN12" i="21"/>
  <c r="JN24" i="21"/>
  <c r="JN29" i="21"/>
  <c r="JN28" i="21"/>
  <c r="JN30" i="21"/>
  <c r="JN27" i="21"/>
  <c r="JN13" i="21"/>
  <c r="JN18" i="21"/>
  <c r="JN35" i="21"/>
  <c r="JN33" i="21"/>
  <c r="JN32" i="21"/>
  <c r="JN19" i="21"/>
  <c r="IL4" i="21"/>
  <c r="IL7" i="21"/>
  <c r="IL11" i="21"/>
  <c r="IL6" i="21"/>
  <c r="IL9" i="21"/>
  <c r="IL31" i="21"/>
  <c r="IL17" i="21"/>
  <c r="IL22" i="21"/>
  <c r="IL12" i="21"/>
  <c r="IL24" i="21"/>
  <c r="IL29" i="21"/>
  <c r="IL28" i="21"/>
  <c r="IL30" i="21"/>
  <c r="IL27" i="21"/>
  <c r="IL13" i="21"/>
  <c r="IL18" i="21"/>
  <c r="IL35" i="21"/>
  <c r="IL33" i="21"/>
  <c r="IL32" i="21"/>
  <c r="IL19" i="21"/>
  <c r="HJ4" i="21"/>
  <c r="HJ7" i="21"/>
  <c r="HJ11" i="21"/>
  <c r="HJ6" i="21"/>
  <c r="HJ9" i="21"/>
  <c r="HJ31" i="21"/>
  <c r="HJ17" i="21"/>
  <c r="HJ22" i="21"/>
  <c r="HJ12" i="21"/>
  <c r="HJ24" i="21"/>
  <c r="HJ29" i="21"/>
  <c r="HJ28" i="21"/>
  <c r="HJ30" i="21"/>
  <c r="HJ27" i="21"/>
  <c r="HJ13" i="21"/>
  <c r="HJ18" i="21"/>
  <c r="HJ35" i="21"/>
  <c r="HJ33" i="21"/>
  <c r="HJ32" i="21"/>
  <c r="HJ19" i="21"/>
  <c r="GH4" i="21"/>
  <c r="GH7" i="21"/>
  <c r="GH11" i="21"/>
  <c r="GH6" i="21"/>
  <c r="GH9" i="21"/>
  <c r="GH31" i="21"/>
  <c r="GH17" i="21"/>
  <c r="GH22" i="21"/>
  <c r="GH12" i="21"/>
  <c r="GH24" i="21"/>
  <c r="GH29" i="21"/>
  <c r="GH28" i="21"/>
  <c r="GH30" i="21"/>
  <c r="GH27" i="21"/>
  <c r="GH13" i="21"/>
  <c r="GH18" i="21"/>
  <c r="GH35" i="21"/>
  <c r="GH33" i="21"/>
  <c r="GH32" i="21"/>
  <c r="GH19" i="21"/>
  <c r="FF4" i="21"/>
  <c r="FF7" i="21"/>
  <c r="FF11" i="21"/>
  <c r="FF6" i="21"/>
  <c r="FF9" i="21"/>
  <c r="FF31" i="21"/>
  <c r="FF17" i="21"/>
  <c r="FF22" i="21"/>
  <c r="FF12" i="21"/>
  <c r="FF24" i="21"/>
  <c r="FF29" i="21"/>
  <c r="FF28" i="21"/>
  <c r="FF30" i="21"/>
  <c r="FF27" i="21"/>
  <c r="FF13" i="21"/>
  <c r="FF18" i="21"/>
  <c r="FF35" i="21"/>
  <c r="FF33" i="21"/>
  <c r="FF32" i="21"/>
  <c r="FF19" i="21"/>
  <c r="ED4" i="21"/>
  <c r="ED7" i="21"/>
  <c r="ED11" i="21"/>
  <c r="ED6" i="21"/>
  <c r="ED9" i="21"/>
  <c r="ED31" i="21"/>
  <c r="ED17" i="21"/>
  <c r="ED22" i="21"/>
  <c r="ED12" i="21"/>
  <c r="ED24" i="21"/>
  <c r="ED29" i="21"/>
  <c r="ED28" i="21"/>
  <c r="ED30" i="21"/>
  <c r="ED27" i="21"/>
  <c r="ED13" i="21"/>
  <c r="ED18" i="21"/>
  <c r="ED35" i="21"/>
  <c r="ED33" i="21"/>
  <c r="ED32" i="21"/>
  <c r="ED19" i="21"/>
  <c r="OX4" i="27"/>
  <c r="OX7" i="27"/>
  <c r="OX14" i="27"/>
  <c r="OX10" i="27"/>
  <c r="OX16" i="27"/>
  <c r="OX9" i="27"/>
  <c r="OX5" i="27"/>
  <c r="OX13" i="27"/>
  <c r="OX11" i="27"/>
  <c r="OX12" i="27"/>
  <c r="OX8" i="27"/>
  <c r="NV7" i="27"/>
  <c r="NV8" i="27"/>
  <c r="NV16" i="27"/>
  <c r="NV5" i="27"/>
  <c r="NV11" i="27"/>
  <c r="NV4" i="27"/>
  <c r="NV14" i="27"/>
  <c r="NV10" i="27"/>
  <c r="NV9" i="27"/>
  <c r="NV13" i="27"/>
  <c r="NV12" i="27"/>
  <c r="MT4" i="27"/>
  <c r="MT7" i="27"/>
  <c r="MT14" i="27"/>
  <c r="MT10" i="27"/>
  <c r="MT16" i="27"/>
  <c r="MT9" i="27"/>
  <c r="MT5" i="27"/>
  <c r="MT13" i="27"/>
  <c r="MT11" i="27"/>
  <c r="MT12" i="27"/>
  <c r="MT8" i="27"/>
  <c r="LR4" i="27"/>
  <c r="LR7" i="27"/>
  <c r="LR14" i="27"/>
  <c r="LR10" i="27"/>
  <c r="LR16" i="27"/>
  <c r="LR9" i="27"/>
  <c r="LR5" i="27"/>
  <c r="LR13" i="27"/>
  <c r="LR11" i="27"/>
  <c r="LR12" i="27"/>
  <c r="LR8" i="27"/>
  <c r="KP4" i="27"/>
  <c r="KP7" i="27"/>
  <c r="KP14" i="27"/>
  <c r="KP10" i="27"/>
  <c r="KP16" i="27"/>
  <c r="KP9" i="27"/>
  <c r="KP5" i="27"/>
  <c r="KP13" i="27"/>
  <c r="KP11" i="27"/>
  <c r="KP12" i="27"/>
  <c r="KP8" i="27"/>
  <c r="JN4" i="27"/>
  <c r="JN7" i="27"/>
  <c r="JN14" i="27"/>
  <c r="JN10" i="27"/>
  <c r="JN16" i="27"/>
  <c r="JN9" i="27"/>
  <c r="JN5" i="27"/>
  <c r="JN13" i="27"/>
  <c r="JN11" i="27"/>
  <c r="JN12" i="27"/>
  <c r="JN8" i="27"/>
  <c r="IL4" i="27"/>
  <c r="IL7" i="27"/>
  <c r="IL14" i="27"/>
  <c r="IL10" i="27"/>
  <c r="IL16" i="27"/>
  <c r="IL9" i="27"/>
  <c r="IL5" i="27"/>
  <c r="IL13" i="27"/>
  <c r="IL11" i="27"/>
  <c r="IL12" i="27"/>
  <c r="IL8" i="27"/>
  <c r="HJ4" i="27"/>
  <c r="HJ7" i="27"/>
  <c r="HJ14" i="27"/>
  <c r="HJ10" i="27"/>
  <c r="HJ16" i="27"/>
  <c r="HJ9" i="27"/>
  <c r="HJ5" i="27"/>
  <c r="HJ13" i="27"/>
  <c r="HJ11" i="27"/>
  <c r="HJ12" i="27"/>
  <c r="HJ8" i="27"/>
  <c r="GH4" i="27"/>
  <c r="GH7" i="27"/>
  <c r="GH14" i="27"/>
  <c r="GH10" i="27"/>
  <c r="GH16" i="27"/>
  <c r="GH9" i="27"/>
  <c r="GH5" i="27"/>
  <c r="GH13" i="27"/>
  <c r="GH11" i="27"/>
  <c r="GH12" i="27"/>
  <c r="GH8" i="27"/>
  <c r="FF4" i="27"/>
  <c r="FF7" i="27"/>
  <c r="FF14" i="27"/>
  <c r="FF10" i="27"/>
  <c r="FF16" i="27"/>
  <c r="FF9" i="27"/>
  <c r="FF5" i="27"/>
  <c r="FF13" i="27"/>
  <c r="FF11" i="27"/>
  <c r="FF12" i="27"/>
  <c r="FF8" i="27"/>
  <c r="ED4" i="27"/>
  <c r="ED7" i="27"/>
  <c r="ED14" i="27"/>
  <c r="ED10" i="27"/>
  <c r="ED16" i="27"/>
  <c r="ED9" i="27"/>
  <c r="ED5" i="27"/>
  <c r="ED13" i="27"/>
  <c r="ED11" i="27"/>
  <c r="ED12" i="27"/>
  <c r="ED8" i="27"/>
  <c r="PZ8" i="27"/>
  <c r="OX4" i="26"/>
  <c r="OX5" i="26"/>
  <c r="OX12" i="26"/>
  <c r="OX7" i="26"/>
  <c r="OX14" i="26"/>
  <c r="OX6" i="26"/>
  <c r="OX19" i="26"/>
  <c r="OX13" i="26"/>
  <c r="OX15" i="26"/>
  <c r="OX10" i="26"/>
  <c r="OX16" i="26"/>
  <c r="OX18" i="26"/>
  <c r="NV4" i="26"/>
  <c r="NV5" i="26"/>
  <c r="NV12" i="26"/>
  <c r="NV7" i="26"/>
  <c r="NV14" i="26"/>
  <c r="NV6" i="26"/>
  <c r="NV19" i="26"/>
  <c r="NV13" i="26"/>
  <c r="NV15" i="26"/>
  <c r="NV10" i="26"/>
  <c r="NV16" i="26"/>
  <c r="NV18" i="26"/>
  <c r="MT4" i="26"/>
  <c r="MT5" i="26"/>
  <c r="MT12" i="26"/>
  <c r="MT7" i="26"/>
  <c r="MT14" i="26"/>
  <c r="MT6" i="26"/>
  <c r="MT19" i="26"/>
  <c r="MT13" i="26"/>
  <c r="MT15" i="26"/>
  <c r="MT10" i="26"/>
  <c r="MT16" i="26"/>
  <c r="MT18" i="26"/>
  <c r="LR4" i="26"/>
  <c r="LR5" i="26"/>
  <c r="LR12" i="26"/>
  <c r="LR7" i="26"/>
  <c r="LR14" i="26"/>
  <c r="LR6" i="26"/>
  <c r="LR19" i="26"/>
  <c r="LR13" i="26"/>
  <c r="LR15" i="26"/>
  <c r="LR10" i="26"/>
  <c r="LR16" i="26"/>
  <c r="LR18" i="26"/>
  <c r="KP4" i="26"/>
  <c r="KP5" i="26"/>
  <c r="KP12" i="26"/>
  <c r="KP7" i="26"/>
  <c r="KP14" i="26"/>
  <c r="KP6" i="26"/>
  <c r="KP19" i="26"/>
  <c r="KP13" i="26"/>
  <c r="KP15" i="26"/>
  <c r="KP10" i="26"/>
  <c r="KP16" i="26"/>
  <c r="KP18" i="26"/>
  <c r="JN4" i="26"/>
  <c r="JN5" i="26"/>
  <c r="JN12" i="26"/>
  <c r="JN7" i="26"/>
  <c r="JN14" i="26"/>
  <c r="JN6" i="26"/>
  <c r="JN19" i="26"/>
  <c r="JN13" i="26"/>
  <c r="JN15" i="26"/>
  <c r="JN10" i="26"/>
  <c r="JN16" i="26"/>
  <c r="JN18" i="26"/>
  <c r="IL4" i="26"/>
  <c r="IL5" i="26"/>
  <c r="IL12" i="26"/>
  <c r="IL7" i="26"/>
  <c r="IL14" i="26"/>
  <c r="IL6" i="26"/>
  <c r="IL19" i="26"/>
  <c r="IL13" i="26"/>
  <c r="IL15" i="26"/>
  <c r="IL10" i="26"/>
  <c r="IL16" i="26"/>
  <c r="IL18" i="26"/>
  <c r="HJ4" i="26"/>
  <c r="HJ5" i="26"/>
  <c r="HJ12" i="26"/>
  <c r="HJ7" i="26"/>
  <c r="HJ14" i="26"/>
  <c r="HJ6" i="26"/>
  <c r="HJ19" i="26"/>
  <c r="HJ13" i="26"/>
  <c r="HJ15" i="26"/>
  <c r="HJ10" i="26"/>
  <c r="HJ16" i="26"/>
  <c r="HJ18" i="26"/>
  <c r="GH4" i="26"/>
  <c r="GH5" i="26"/>
  <c r="GH12" i="26"/>
  <c r="GH7" i="26"/>
  <c r="GH14" i="26"/>
  <c r="GH6" i="26"/>
  <c r="GH19" i="26"/>
  <c r="GH13" i="26"/>
  <c r="GH15" i="26"/>
  <c r="GH10" i="26"/>
  <c r="GH16" i="26"/>
  <c r="GH18" i="26"/>
  <c r="FF4" i="26"/>
  <c r="FF5" i="26"/>
  <c r="FF12" i="26"/>
  <c r="FF7" i="26"/>
  <c r="FF14" i="26"/>
  <c r="FF6" i="26"/>
  <c r="FF19" i="26"/>
  <c r="FF13" i="26"/>
  <c r="FF15" i="26"/>
  <c r="FF10" i="26"/>
  <c r="FF16" i="26"/>
  <c r="FF18" i="26"/>
  <c r="ED4" i="26"/>
  <c r="ED5" i="26"/>
  <c r="ED12" i="26"/>
  <c r="ED7" i="26"/>
  <c r="ED14" i="26"/>
  <c r="ED6" i="26"/>
  <c r="ED19" i="26"/>
  <c r="ED13" i="26"/>
  <c r="ED15" i="26"/>
  <c r="ED10" i="26"/>
  <c r="ED16" i="26"/>
  <c r="ED18" i="26"/>
  <c r="SN21" i="4"/>
  <c r="SU21" i="4" s="1"/>
  <c r="TU21" i="4"/>
  <c r="TQ21" i="4"/>
  <c r="TN21" i="4"/>
  <c r="L21" i="4"/>
  <c r="M21" i="4" s="1"/>
  <c r="T21" i="4"/>
  <c r="U21" i="4" s="1"/>
  <c r="K21" i="4"/>
  <c r="R21" i="4"/>
  <c r="S21" i="4" s="1"/>
  <c r="I21" i="4"/>
  <c r="P21" i="4"/>
  <c r="H21" i="4"/>
  <c r="N21" i="4"/>
  <c r="RD8" i="27"/>
  <c r="QY8" i="27"/>
  <c r="QC8" i="27"/>
  <c r="RB8" i="27"/>
  <c r="CZ8" i="27"/>
  <c r="RA8" i="27"/>
  <c r="RE8" i="27"/>
  <c r="QZ8" i="27"/>
  <c r="H8" i="27"/>
  <c r="N8" i="27"/>
  <c r="I8" i="27"/>
  <c r="L8" i="27"/>
  <c r="PZ19" i="21"/>
  <c r="QC19" i="21"/>
  <c r="RD19" i="21"/>
  <c r="RB19" i="21"/>
  <c r="CZ19" i="21"/>
  <c r="QZ19" i="21"/>
  <c r="QY19" i="21"/>
  <c r="RA19" i="21"/>
  <c r="RE19" i="21"/>
  <c r="I19" i="21"/>
  <c r="H19" i="21"/>
  <c r="DC19" i="21"/>
  <c r="N19" i="21"/>
  <c r="L19" i="21"/>
  <c r="PZ32" i="21"/>
  <c r="QC32" i="21"/>
  <c r="RD27" i="21"/>
  <c r="N33" i="21"/>
  <c r="QY32" i="21"/>
  <c r="RD38" i="19"/>
  <c r="QY38" i="19"/>
  <c r="PZ38" i="19"/>
  <c r="P32" i="19"/>
  <c r="Q32" i="19" s="1"/>
  <c r="QY27" i="21"/>
  <c r="PZ27" i="21"/>
  <c r="QC33" i="21"/>
  <c r="PZ17" i="21"/>
  <c r="RD32" i="21"/>
  <c r="DC33" i="21"/>
  <c r="CZ32" i="21"/>
  <c r="RB32" i="21"/>
  <c r="RE32" i="21"/>
  <c r="P32" i="21"/>
  <c r="Q32" i="21" s="1"/>
  <c r="RA32" i="21"/>
  <c r="QZ32" i="21"/>
  <c r="I32" i="21"/>
  <c r="DC32" i="21"/>
  <c r="N32" i="21"/>
  <c r="L32" i="21"/>
  <c r="H32" i="21"/>
  <c r="P33" i="21"/>
  <c r="Q33" i="21" s="1"/>
  <c r="QY33" i="21"/>
  <c r="PZ33" i="21"/>
  <c r="DC27" i="21"/>
  <c r="P27" i="21"/>
  <c r="Q27" i="21" s="1"/>
  <c r="CZ33" i="21"/>
  <c r="RD33" i="21"/>
  <c r="RB33" i="21"/>
  <c r="RA33" i="21"/>
  <c r="QZ33" i="21"/>
  <c r="RE33" i="21"/>
  <c r="H33" i="21"/>
  <c r="I33" i="21"/>
  <c r="L33" i="21"/>
  <c r="CZ27" i="21"/>
  <c r="N27" i="21"/>
  <c r="RA27" i="21"/>
  <c r="QZ27" i="21"/>
  <c r="RE27" i="21"/>
  <c r="H27" i="21"/>
  <c r="L27" i="21"/>
  <c r="M27" i="21" s="1"/>
  <c r="RB27" i="21"/>
  <c r="QC27" i="21"/>
  <c r="I27" i="21"/>
  <c r="P17" i="21"/>
  <c r="Q17" i="21" s="1"/>
  <c r="QC17" i="21"/>
  <c r="RA17" i="21"/>
  <c r="CZ17" i="21"/>
  <c r="QZ17" i="21"/>
  <c r="QY17" i="21"/>
  <c r="RB17" i="21"/>
  <c r="RD17" i="21"/>
  <c r="RE17" i="21"/>
  <c r="H17" i="21"/>
  <c r="I17" i="21"/>
  <c r="DC17" i="21"/>
  <c r="N17" i="21"/>
  <c r="L17" i="21"/>
  <c r="DC32" i="19"/>
  <c r="DC38" i="19"/>
  <c r="RA32" i="19"/>
  <c r="QY32" i="19"/>
  <c r="PZ32" i="19"/>
  <c r="CZ32" i="19"/>
  <c r="RD32" i="19"/>
  <c r="N32" i="19"/>
  <c r="QZ32" i="19"/>
  <c r="L32" i="19"/>
  <c r="M32" i="19" s="1"/>
  <c r="H32" i="19"/>
  <c r="RB32" i="19"/>
  <c r="QC32" i="19"/>
  <c r="I32" i="19"/>
  <c r="RE32" i="19"/>
  <c r="P38" i="19"/>
  <c r="Q38" i="19" s="1"/>
  <c r="QC38" i="19"/>
  <c r="CZ38" i="19"/>
  <c r="H38" i="19"/>
  <c r="RB38" i="19"/>
  <c r="RA38" i="19"/>
  <c r="QZ38" i="19"/>
  <c r="RE38" i="19"/>
  <c r="N38" i="19"/>
  <c r="I38" i="19"/>
  <c r="L38" i="19"/>
  <c r="CW11" i="4"/>
  <c r="DA11" i="4" s="1"/>
  <c r="SN11" i="4"/>
  <c r="SU11" i="4" s="1"/>
  <c r="TU11" i="4"/>
  <c r="TQ11" i="4"/>
  <c r="TN11" i="4"/>
  <c r="L11" i="4"/>
  <c r="M11" i="4" s="1"/>
  <c r="K11" i="4"/>
  <c r="P11" i="4"/>
  <c r="Q11" i="4" s="1"/>
  <c r="R11" i="4"/>
  <c r="S11" i="4" s="1"/>
  <c r="I11" i="4"/>
  <c r="H11" i="4"/>
  <c r="N11" i="4"/>
  <c r="T11" i="4"/>
  <c r="U11" i="4" s="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4" i="21"/>
  <c r="CW24" i="21"/>
  <c r="CX24" i="21"/>
  <c r="CY24" i="21"/>
  <c r="DA24" i="21"/>
  <c r="DB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35" i="21"/>
  <c r="CW35" i="21"/>
  <c r="CX35" i="21"/>
  <c r="CY35" i="21"/>
  <c r="DA35" i="21"/>
  <c r="DB35" i="21"/>
  <c r="PV35" i="21"/>
  <c r="PW35" i="21"/>
  <c r="PX35" i="21"/>
  <c r="PY35" i="21"/>
  <c r="QA35" i="21"/>
  <c r="QB35" i="21"/>
  <c r="QD35" i="21"/>
  <c r="QE35" i="21"/>
  <c r="QF35" i="21"/>
  <c r="QG35" i="21"/>
  <c r="QH35" i="21"/>
  <c r="QI35" i="21"/>
  <c r="QJ35" i="21"/>
  <c r="QK35" i="21"/>
  <c r="QL35" i="21"/>
  <c r="QM35" i="21"/>
  <c r="QN35" i="21"/>
  <c r="QO35" i="21"/>
  <c r="QP35" i="21"/>
  <c r="QQ35" i="21"/>
  <c r="QR35" i="21"/>
  <c r="QS35" i="21"/>
  <c r="QT35" i="21"/>
  <c r="QU35" i="21"/>
  <c r="QV35" i="21"/>
  <c r="QW35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O38" i="19" l="1"/>
  <c r="O8" i="27"/>
  <c r="O27" i="21"/>
  <c r="O32" i="21"/>
  <c r="O32" i="19"/>
  <c r="DE8" i="27"/>
  <c r="TR21" i="4"/>
  <c r="TV21" i="4" s="1"/>
  <c r="DE19" i="21"/>
  <c r="K8" i="27"/>
  <c r="J8" i="27" s="1"/>
  <c r="O21" i="4"/>
  <c r="DB21" i="4"/>
  <c r="DC21" i="4"/>
  <c r="Q21" i="4"/>
  <c r="J21" i="4"/>
  <c r="RC8" i="27"/>
  <c r="RF8" i="27"/>
  <c r="DD8" i="27"/>
  <c r="M8" i="27"/>
  <c r="DD27" i="21"/>
  <c r="O17" i="21"/>
  <c r="RC19" i="21"/>
  <c r="O33" i="21"/>
  <c r="K19" i="21"/>
  <c r="J19" i="21" s="1"/>
  <c r="RF19" i="21"/>
  <c r="M19" i="21"/>
  <c r="O19" i="21"/>
  <c r="DD19" i="21"/>
  <c r="RC32" i="21"/>
  <c r="DD33" i="21"/>
  <c r="DE32" i="19"/>
  <c r="DE33" i="21"/>
  <c r="DE32" i="21"/>
  <c r="K32" i="21"/>
  <c r="J32" i="21" s="1"/>
  <c r="A32" i="21" s="1" a="1"/>
  <c r="A32" i="21" s="1"/>
  <c r="RC38" i="19"/>
  <c r="RF27" i="21"/>
  <c r="RC33" i="21"/>
  <c r="RC32" i="19"/>
  <c r="RF32" i="19"/>
  <c r="DE27" i="21"/>
  <c r="RC17" i="21"/>
  <c r="RF32" i="21"/>
  <c r="M32" i="21"/>
  <c r="DD32" i="21"/>
  <c r="K33" i="21"/>
  <c r="J33" i="21" s="1"/>
  <c r="RF33" i="21"/>
  <c r="M33" i="21"/>
  <c r="K27" i="21"/>
  <c r="J27" i="21" s="1"/>
  <c r="A27" i="21" s="1" a="1"/>
  <c r="A27" i="21" s="1"/>
  <c r="K17" i="21"/>
  <c r="J17" i="21" s="1"/>
  <c r="A17" i="21" s="1" a="1"/>
  <c r="A17" i="21" s="1"/>
  <c r="RC27" i="21"/>
  <c r="RF17" i="21"/>
  <c r="DE17" i="21"/>
  <c r="M17" i="21"/>
  <c r="DD17" i="21"/>
  <c r="DD32" i="19"/>
  <c r="K32" i="19"/>
  <c r="J32" i="19" s="1"/>
  <c r="A32" i="19" s="1" a="1"/>
  <c r="A32" i="19" s="1"/>
  <c r="DE38" i="19"/>
  <c r="DD38" i="19"/>
  <c r="RF38" i="19"/>
  <c r="K38" i="19"/>
  <c r="J38" i="19" s="1"/>
  <c r="M38" i="19"/>
  <c r="TR11" i="4"/>
  <c r="TV11" i="4" s="1"/>
  <c r="DC11" i="4"/>
  <c r="DB11" i="4"/>
  <c r="O11" i="4"/>
  <c r="J11" i="4"/>
  <c r="PZ13" i="21"/>
  <c r="PZ24" i="21"/>
  <c r="RD36" i="19"/>
  <c r="QC16" i="19"/>
  <c r="RD16" i="19"/>
  <c r="QY16" i="19"/>
  <c r="PZ16" i="27"/>
  <c r="QC13" i="27"/>
  <c r="SN23" i="4"/>
  <c r="SU23" i="4" s="1"/>
  <c r="CW15" i="22"/>
  <c r="DA15" i="22" s="1"/>
  <c r="PZ35" i="21"/>
  <c r="RD13" i="21"/>
  <c r="QY30" i="21"/>
  <c r="P16" i="19"/>
  <c r="Q16" i="19" s="1"/>
  <c r="CZ36" i="19"/>
  <c r="P11" i="27"/>
  <c r="Q11" i="27" s="1"/>
  <c r="QC11" i="27"/>
  <c r="QC16" i="27"/>
  <c r="PZ14" i="26"/>
  <c r="RD16" i="26"/>
  <c r="RD15" i="26"/>
  <c r="RB15" i="26"/>
  <c r="DC18" i="26"/>
  <c r="CW25" i="4"/>
  <c r="DA25" i="4" s="1"/>
  <c r="SN19" i="4"/>
  <c r="SU19" i="4" s="1"/>
  <c r="SN10" i="4"/>
  <c r="SU10" i="4" s="1"/>
  <c r="QC31" i="21"/>
  <c r="N31" i="21"/>
  <c r="RA22" i="21"/>
  <c r="PZ22" i="21"/>
  <c r="P22" i="21"/>
  <c r="DE22" i="21" s="1"/>
  <c r="RA35" i="21"/>
  <c r="QC24" i="21"/>
  <c r="QC30" i="21"/>
  <c r="RD24" i="21"/>
  <c r="QY24" i="21"/>
  <c r="RA13" i="21"/>
  <c r="RE36" i="19"/>
  <c r="L36" i="19"/>
  <c r="M36" i="19" s="1"/>
  <c r="P36" i="19"/>
  <c r="DE36" i="19" s="1"/>
  <c r="RD11" i="27"/>
  <c r="QY11" i="27"/>
  <c r="RA13" i="27"/>
  <c r="PZ11" i="27"/>
  <c r="RB13" i="27"/>
  <c r="N16" i="27"/>
  <c r="QZ13" i="27"/>
  <c r="RD13" i="27"/>
  <c r="QZ16" i="27"/>
  <c r="I13" i="27"/>
  <c r="PZ13" i="27"/>
  <c r="CZ11" i="27"/>
  <c r="RA15" i="26"/>
  <c r="CZ15" i="26"/>
  <c r="RA16" i="26"/>
  <c r="P18" i="26"/>
  <c r="DE18" i="26" s="1"/>
  <c r="QC14" i="26"/>
  <c r="DC14" i="26"/>
  <c r="RD18" i="26"/>
  <c r="CW10" i="22"/>
  <c r="DA10" i="22" s="1"/>
  <c r="CW19" i="22"/>
  <c r="DA19" i="22" s="1"/>
  <c r="TQ15" i="4"/>
  <c r="TQ23" i="4"/>
  <c r="CW15" i="4"/>
  <c r="DA15" i="4" s="1"/>
  <c r="TQ10" i="4"/>
  <c r="TU23" i="4"/>
  <c r="I23" i="4"/>
  <c r="TN25" i="4"/>
  <c r="SN15" i="4"/>
  <c r="SU15" i="4" s="1"/>
  <c r="SN25" i="4"/>
  <c r="SU25" i="4" s="1"/>
  <c r="N10" i="4"/>
  <c r="O10" i="4" s="1"/>
  <c r="SN15" i="22"/>
  <c r="SU15" i="22" s="1"/>
  <c r="SN10" i="22"/>
  <c r="SU10" i="22" s="1"/>
  <c r="SN18" i="22"/>
  <c r="SU18" i="22" s="1"/>
  <c r="N30" i="21"/>
  <c r="CZ13" i="21"/>
  <c r="P13" i="21"/>
  <c r="Q13" i="21" s="1"/>
  <c r="P18" i="21"/>
  <c r="Q18" i="21" s="1"/>
  <c r="L31" i="21"/>
  <c r="M31" i="21" s="1"/>
  <c r="DC18" i="21"/>
  <c r="DC31" i="21"/>
  <c r="RD30" i="21"/>
  <c r="RD31" i="21"/>
  <c r="RD18" i="21"/>
  <c r="QY18" i="21"/>
  <c r="CZ31" i="21"/>
  <c r="P24" i="21"/>
  <c r="Q24" i="21" s="1"/>
  <c r="QZ13" i="21"/>
  <c r="I31" i="21"/>
  <c r="RB22" i="21"/>
  <c r="CZ30" i="21"/>
  <c r="QZ31" i="21"/>
  <c r="QY13" i="21"/>
  <c r="CZ22" i="21"/>
  <c r="RB24" i="21"/>
  <c r="RE13" i="21"/>
  <c r="QY35" i="21"/>
  <c r="RA24" i="21"/>
  <c r="H13" i="21"/>
  <c r="RB13" i="21"/>
  <c r="QC13" i="21"/>
  <c r="I13" i="21"/>
  <c r="DC13" i="21"/>
  <c r="N13" i="21"/>
  <c r="L13" i="21"/>
  <c r="H30" i="21"/>
  <c r="I35" i="21"/>
  <c r="QZ24" i="21"/>
  <c r="QZ30" i="21"/>
  <c r="L30" i="21"/>
  <c r="M30" i="21" s="1"/>
  <c r="RE35" i="21"/>
  <c r="RE30" i="21"/>
  <c r="DC30" i="21"/>
  <c r="I30" i="21"/>
  <c r="RD35" i="21"/>
  <c r="QZ22" i="21"/>
  <c r="QC22" i="21"/>
  <c r="RA31" i="21"/>
  <c r="RE24" i="21"/>
  <c r="PZ30" i="21"/>
  <c r="RA18" i="21"/>
  <c r="CZ24" i="21"/>
  <c r="RE18" i="21"/>
  <c r="CZ18" i="21"/>
  <c r="H22" i="21"/>
  <c r="RB31" i="21"/>
  <c r="RB35" i="21"/>
  <c r="QC35" i="21"/>
  <c r="CZ35" i="21"/>
  <c r="P35" i="21"/>
  <c r="DE35" i="21" s="1"/>
  <c r="PZ18" i="21"/>
  <c r="L18" i="21"/>
  <c r="M18" i="21" s="1"/>
  <c r="RD22" i="21"/>
  <c r="QY22" i="21"/>
  <c r="I22" i="21"/>
  <c r="H31" i="21"/>
  <c r="H24" i="21"/>
  <c r="RA30" i="21"/>
  <c r="RB30" i="21"/>
  <c r="QZ35" i="21"/>
  <c r="H18" i="21"/>
  <c r="RE22" i="21"/>
  <c r="QY31" i="21"/>
  <c r="PZ31" i="21"/>
  <c r="I24" i="21"/>
  <c r="DC35" i="21"/>
  <c r="N35" i="21"/>
  <c r="RB18" i="21"/>
  <c r="QC18" i="21"/>
  <c r="I18" i="21"/>
  <c r="P30" i="21"/>
  <c r="DC22" i="21"/>
  <c r="N22" i="21"/>
  <c r="RE31" i="21"/>
  <c r="L35" i="21"/>
  <c r="QZ18" i="21"/>
  <c r="DC24" i="21"/>
  <c r="N24" i="21"/>
  <c r="N18" i="21"/>
  <c r="L22" i="21"/>
  <c r="P31" i="21"/>
  <c r="H35" i="21"/>
  <c r="L24" i="21"/>
  <c r="CZ16" i="19"/>
  <c r="RB16" i="19"/>
  <c r="N36" i="19"/>
  <c r="RE16" i="19"/>
  <c r="PZ16" i="19"/>
  <c r="PZ36" i="19"/>
  <c r="RA16" i="19"/>
  <c r="RA36" i="19"/>
  <c r="QZ36" i="19"/>
  <c r="DC36" i="19"/>
  <c r="QY36" i="19"/>
  <c r="QZ16" i="19"/>
  <c r="I16" i="19"/>
  <c r="H16" i="19"/>
  <c r="RB36" i="19"/>
  <c r="QC36" i="19"/>
  <c r="I36" i="19"/>
  <c r="H36" i="19"/>
  <c r="DC16" i="19"/>
  <c r="N16" i="19"/>
  <c r="L16" i="19"/>
  <c r="H16" i="27"/>
  <c r="RE11" i="27"/>
  <c r="CZ16" i="27"/>
  <c r="I16" i="27"/>
  <c r="RB11" i="27"/>
  <c r="DC16" i="27"/>
  <c r="QY13" i="27"/>
  <c r="RD16" i="27"/>
  <c r="RB16" i="27"/>
  <c r="QZ11" i="27"/>
  <c r="RE16" i="27"/>
  <c r="CZ13" i="27"/>
  <c r="P13" i="27"/>
  <c r="DE13" i="27" s="1"/>
  <c r="RA16" i="27"/>
  <c r="RA11" i="27"/>
  <c r="I11" i="27"/>
  <c r="H13" i="27"/>
  <c r="QY16" i="27"/>
  <c r="H11" i="27"/>
  <c r="DC13" i="27"/>
  <c r="N13" i="27"/>
  <c r="L16" i="27"/>
  <c r="DC11" i="27"/>
  <c r="N11" i="27"/>
  <c r="RE13" i="27"/>
  <c r="L13" i="27"/>
  <c r="P16" i="27"/>
  <c r="L11" i="27"/>
  <c r="QY15" i="26"/>
  <c r="CZ18" i="26"/>
  <c r="N18" i="26"/>
  <c r="RE15" i="26"/>
  <c r="P15" i="26"/>
  <c r="DE15" i="26" s="1"/>
  <c r="P16" i="26"/>
  <c r="Q16" i="26" s="1"/>
  <c r="QY14" i="26"/>
  <c r="QZ16" i="26"/>
  <c r="N16" i="26"/>
  <c r="RE18" i="26"/>
  <c r="RB18" i="26"/>
  <c r="PZ15" i="26"/>
  <c r="RE16" i="26"/>
  <c r="H18" i="26"/>
  <c r="P14" i="26"/>
  <c r="Q14" i="26" s="1"/>
  <c r="QZ15" i="26"/>
  <c r="PZ16" i="26"/>
  <c r="I18" i="26"/>
  <c r="L18" i="26"/>
  <c r="M18" i="26" s="1"/>
  <c r="DC16" i="26"/>
  <c r="RB14" i="26"/>
  <c r="RD14" i="26"/>
  <c r="QY16" i="26"/>
  <c r="RE14" i="26"/>
  <c r="QZ14" i="26"/>
  <c r="QC18" i="26"/>
  <c r="RA14" i="26"/>
  <c r="H14" i="26"/>
  <c r="RA18" i="26"/>
  <c r="QZ18" i="26"/>
  <c r="CZ14" i="26"/>
  <c r="N14" i="26"/>
  <c r="QC15" i="26"/>
  <c r="I15" i="26"/>
  <c r="L16" i="26"/>
  <c r="H15" i="26"/>
  <c r="CZ16" i="26"/>
  <c r="QY18" i="26"/>
  <c r="PZ18" i="26"/>
  <c r="I14" i="26"/>
  <c r="DC15" i="26"/>
  <c r="N15" i="26"/>
  <c r="RB16" i="26"/>
  <c r="QC16" i="26"/>
  <c r="I16" i="26"/>
  <c r="H16" i="26"/>
  <c r="L15" i="26"/>
  <c r="L14" i="26"/>
  <c r="CW18" i="22"/>
  <c r="DA18" i="22" s="1"/>
  <c r="TN18" i="22"/>
  <c r="TN10" i="22"/>
  <c r="N18" i="22"/>
  <c r="O18" i="22" s="1"/>
  <c r="R10" i="22"/>
  <c r="S10" i="22" s="1"/>
  <c r="N10" i="22"/>
  <c r="O10" i="22" s="1"/>
  <c r="L18" i="22"/>
  <c r="M18" i="22" s="1"/>
  <c r="TU18" i="22"/>
  <c r="SN19" i="22"/>
  <c r="SU19" i="22" s="1"/>
  <c r="TQ15" i="22"/>
  <c r="TQ18" i="22"/>
  <c r="TQ19" i="22"/>
  <c r="L10" i="22"/>
  <c r="M10" i="22" s="1"/>
  <c r="TN19" i="22"/>
  <c r="TU10" i="22"/>
  <c r="P19" i="22"/>
  <c r="Q19" i="22" s="1"/>
  <c r="T15" i="22"/>
  <c r="U15" i="22" s="1"/>
  <c r="TQ10" i="22"/>
  <c r="P15" i="22"/>
  <c r="Q15" i="22" s="1"/>
  <c r="N15" i="22"/>
  <c r="H19" i="22"/>
  <c r="T18" i="22"/>
  <c r="U18" i="22" s="1"/>
  <c r="L19" i="22"/>
  <c r="TU15" i="22"/>
  <c r="TN15" i="22"/>
  <c r="TL15" i="22"/>
  <c r="H15" i="22"/>
  <c r="I10" i="22"/>
  <c r="TU19" i="22"/>
  <c r="R19" i="22"/>
  <c r="S19" i="22" s="1"/>
  <c r="K19" i="22"/>
  <c r="T19" i="22"/>
  <c r="U19" i="22" s="1"/>
  <c r="K10" i="22"/>
  <c r="H18" i="22"/>
  <c r="P10" i="22"/>
  <c r="Q10" i="22" s="1"/>
  <c r="N19" i="22"/>
  <c r="I19" i="22"/>
  <c r="L15" i="22"/>
  <c r="R18" i="22"/>
  <c r="S18" i="22" s="1"/>
  <c r="K15" i="22"/>
  <c r="I18" i="22"/>
  <c r="R15" i="22"/>
  <c r="S15" i="22" s="1"/>
  <c r="K18" i="22"/>
  <c r="P18" i="22"/>
  <c r="Q18" i="22" s="1"/>
  <c r="I15" i="22"/>
  <c r="T10" i="22"/>
  <c r="U10" i="22" s="1"/>
  <c r="H10" i="22"/>
  <c r="TU26" i="4"/>
  <c r="R23" i="4"/>
  <c r="S23" i="4" s="1"/>
  <c r="L15" i="4"/>
  <c r="M15" i="4" s="1"/>
  <c r="TU10" i="4"/>
  <c r="R15" i="4"/>
  <c r="S15" i="4" s="1"/>
  <c r="CW26" i="4"/>
  <c r="DA26" i="4" s="1"/>
  <c r="T10" i="4"/>
  <c r="U10" i="4" s="1"/>
  <c r="TU19" i="4"/>
  <c r="R19" i="4"/>
  <c r="S19" i="4" s="1"/>
  <c r="TN26" i="4"/>
  <c r="CW10" i="4"/>
  <c r="DA10" i="4" s="1"/>
  <c r="I15" i="4"/>
  <c r="L25" i="4"/>
  <c r="M25" i="4" s="1"/>
  <c r="P15" i="4"/>
  <c r="Q15" i="4" s="1"/>
  <c r="I26" i="4"/>
  <c r="TQ26" i="4"/>
  <c r="TQ25" i="4"/>
  <c r="TU15" i="4"/>
  <c r="I19" i="4"/>
  <c r="TQ19" i="4"/>
  <c r="L10" i="4"/>
  <c r="M10" i="4" s="1"/>
  <c r="TN15" i="4"/>
  <c r="CW23" i="4"/>
  <c r="DA23" i="4" s="1"/>
  <c r="TN19" i="4"/>
  <c r="CW19" i="4"/>
  <c r="DA19" i="4" s="1"/>
  <c r="H19" i="4"/>
  <c r="N15" i="4"/>
  <c r="O15" i="4" s="1"/>
  <c r="T26" i="4"/>
  <c r="U26" i="4" s="1"/>
  <c r="H25" i="4"/>
  <c r="T23" i="4"/>
  <c r="U23" i="4" s="1"/>
  <c r="H10" i="4"/>
  <c r="K23" i="4"/>
  <c r="SN26" i="4"/>
  <c r="SU26" i="4" s="1"/>
  <c r="H26" i="4"/>
  <c r="P25" i="4"/>
  <c r="Q25" i="4" s="1"/>
  <c r="H23" i="4"/>
  <c r="K26" i="4"/>
  <c r="L19" i="4"/>
  <c r="R26" i="4"/>
  <c r="S26" i="4" s="1"/>
  <c r="TN10" i="4"/>
  <c r="P19" i="4"/>
  <c r="Q19" i="4" s="1"/>
  <c r="TU25" i="4"/>
  <c r="R25" i="4"/>
  <c r="S25" i="4" s="1"/>
  <c r="K25" i="4"/>
  <c r="T25" i="4"/>
  <c r="U25" i="4" s="1"/>
  <c r="N25" i="4"/>
  <c r="TN23" i="4"/>
  <c r="K15" i="4"/>
  <c r="T15" i="4"/>
  <c r="U15" i="4" s="1"/>
  <c r="P10" i="4"/>
  <c r="Q10" i="4" s="1"/>
  <c r="L26" i="4"/>
  <c r="N26" i="4"/>
  <c r="P26" i="4"/>
  <c r="Q26" i="4" s="1"/>
  <c r="N23" i="4"/>
  <c r="P23" i="4"/>
  <c r="Q23" i="4" s="1"/>
  <c r="H15" i="4"/>
  <c r="K19" i="4"/>
  <c r="T19" i="4"/>
  <c r="U19" i="4" s="1"/>
  <c r="N19" i="4"/>
  <c r="I25" i="4"/>
  <c r="L23" i="4"/>
  <c r="R10" i="4"/>
  <c r="S10" i="4" s="1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37" i="19"/>
  <c r="CW37" i="19"/>
  <c r="CX37" i="19"/>
  <c r="CY37" i="19"/>
  <c r="DA37" i="19"/>
  <c r="DB37" i="19"/>
  <c r="PV37" i="19"/>
  <c r="PW37" i="19"/>
  <c r="PX37" i="19"/>
  <c r="PY37" i="19"/>
  <c r="QA37" i="19"/>
  <c r="QB37" i="19"/>
  <c r="QD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O30" i="21" l="1"/>
  <c r="R19" i="21"/>
  <c r="R8" i="27"/>
  <c r="V21" i="4"/>
  <c r="F21" i="4" s="1"/>
  <c r="A21" i="4" a="1"/>
  <c r="A21" i="4" s="1"/>
  <c r="B21" i="4" a="1"/>
  <c r="B21" i="4" s="1"/>
  <c r="R27" i="21"/>
  <c r="O13" i="21"/>
  <c r="O18" i="21"/>
  <c r="O35" i="21"/>
  <c r="R32" i="19"/>
  <c r="A19" i="21" a="1"/>
  <c r="A19" i="21" s="1"/>
  <c r="B19" i="21" a="1"/>
  <c r="B19" i="21" s="1"/>
  <c r="O36" i="19"/>
  <c r="RC13" i="27"/>
  <c r="O31" i="21"/>
  <c r="O11" i="27"/>
  <c r="O24" i="21"/>
  <c r="O22" i="21"/>
  <c r="O13" i="27"/>
  <c r="O18" i="26"/>
  <c r="O16" i="19"/>
  <c r="DD16" i="27"/>
  <c r="O16" i="27"/>
  <c r="O16" i="26"/>
  <c r="O15" i="26"/>
  <c r="O14" i="26"/>
  <c r="R32" i="21"/>
  <c r="R33" i="21"/>
  <c r="TR19" i="4"/>
  <c r="TV19" i="4" s="1"/>
  <c r="B32" i="21" a="1"/>
  <c r="B32" i="21" s="1"/>
  <c r="R17" i="21"/>
  <c r="B33" i="21" a="1"/>
  <c r="B33" i="21" s="1"/>
  <c r="A33" i="21" a="1"/>
  <c r="A33" i="21" s="1"/>
  <c r="B27" i="21" a="1"/>
  <c r="B27" i="21" s="1"/>
  <c r="B17" i="21" a="1"/>
  <c r="B17" i="21" s="1"/>
  <c r="R38" i="19"/>
  <c r="B32" i="19" a="1"/>
  <c r="B32" i="19" s="1"/>
  <c r="A38" i="19" a="1"/>
  <c r="A38" i="19" s="1"/>
  <c r="B38" i="19" a="1"/>
  <c r="B38" i="19" s="1"/>
  <c r="V11" i="4"/>
  <c r="F11" i="4" s="1"/>
  <c r="DE16" i="19"/>
  <c r="DD14" i="26"/>
  <c r="TR23" i="4"/>
  <c r="TV23" i="4" s="1"/>
  <c r="Q22" i="21"/>
  <c r="DE24" i="21"/>
  <c r="RC35" i="21"/>
  <c r="RC16" i="27"/>
  <c r="RC16" i="26"/>
  <c r="DB18" i="22"/>
  <c r="TR15" i="4"/>
  <c r="TV15" i="4" s="1"/>
  <c r="TR10" i="4"/>
  <c r="TV10" i="4" s="1"/>
  <c r="DE13" i="21"/>
  <c r="DD31" i="21"/>
  <c r="DE18" i="21"/>
  <c r="RF13" i="27"/>
  <c r="K16" i="27"/>
  <c r="J16" i="27" s="1"/>
  <c r="RC15" i="26"/>
  <c r="TR26" i="4"/>
  <c r="TV26" i="4" s="1"/>
  <c r="TR15" i="22"/>
  <c r="TV15" i="22" s="1"/>
  <c r="RF13" i="21"/>
  <c r="RC16" i="19"/>
  <c r="DE11" i="27"/>
  <c r="RF11" i="27"/>
  <c r="Q13" i="27"/>
  <c r="Q35" i="21"/>
  <c r="K13" i="21"/>
  <c r="J13" i="21" s="1"/>
  <c r="A13" i="21" s="1" a="1"/>
  <c r="A13" i="21" s="1"/>
  <c r="DD30" i="21"/>
  <c r="K18" i="21"/>
  <c r="J18" i="21" s="1"/>
  <c r="A18" i="21" s="1" a="1"/>
  <c r="A18" i="21" s="1"/>
  <c r="K22" i="21"/>
  <c r="J22" i="21" s="1"/>
  <c r="B22" i="21" s="1" a="1"/>
  <c r="B22" i="21" s="1"/>
  <c r="RC13" i="21"/>
  <c r="K35" i="21"/>
  <c r="J35" i="21" s="1"/>
  <c r="RC31" i="21"/>
  <c r="RC22" i="21"/>
  <c r="RF30" i="21"/>
  <c r="RF35" i="21"/>
  <c r="RF24" i="21"/>
  <c r="Q36" i="19"/>
  <c r="K36" i="19"/>
  <c r="J36" i="19" s="1"/>
  <c r="DD36" i="19"/>
  <c r="K16" i="19"/>
  <c r="J16" i="19" s="1"/>
  <c r="RC36" i="19"/>
  <c r="K13" i="27"/>
  <c r="J13" i="27" s="1"/>
  <c r="RC11" i="27"/>
  <c r="RF16" i="27"/>
  <c r="K11" i="27"/>
  <c r="RF16" i="26"/>
  <c r="K14" i="26"/>
  <c r="J14" i="26" s="1"/>
  <c r="DE16" i="26"/>
  <c r="Q18" i="26"/>
  <c r="K18" i="26"/>
  <c r="J18" i="26" s="1"/>
  <c r="DD18" i="26"/>
  <c r="R18" i="26" s="1"/>
  <c r="Q15" i="26"/>
  <c r="RF14" i="26"/>
  <c r="K15" i="26"/>
  <c r="J15" i="26" s="1"/>
  <c r="B15" i="26" s="1" a="1"/>
  <c r="B15" i="26" s="1"/>
  <c r="TR18" i="22"/>
  <c r="TV18" i="22" s="1"/>
  <c r="TR10" i="22"/>
  <c r="TV10" i="22" s="1"/>
  <c r="TR19" i="22"/>
  <c r="TV19" i="22" s="1"/>
  <c r="DB15" i="4"/>
  <c r="J23" i="4"/>
  <c r="A23" i="4" s="1" a="1"/>
  <c r="A23" i="4" s="1"/>
  <c r="TR25" i="4"/>
  <c r="TV25" i="4" s="1"/>
  <c r="DB10" i="4"/>
  <c r="RF31" i="21"/>
  <c r="K24" i="21"/>
  <c r="J24" i="21" s="1"/>
  <c r="B24" i="21" s="1" a="1"/>
  <c r="B24" i="21" s="1"/>
  <c r="RF22" i="21"/>
  <c r="M13" i="21"/>
  <c r="DD13" i="21"/>
  <c r="RC30" i="21"/>
  <c r="K30" i="21"/>
  <c r="J30" i="21" s="1"/>
  <c r="B30" i="21" s="1" a="1"/>
  <c r="B30" i="21" s="1"/>
  <c r="RC24" i="21"/>
  <c r="M24" i="21"/>
  <c r="DD18" i="21"/>
  <c r="RF18" i="21"/>
  <c r="RC18" i="21"/>
  <c r="DE30" i="21"/>
  <c r="Q30" i="21"/>
  <c r="M35" i="21"/>
  <c r="DD35" i="21"/>
  <c r="DD24" i="21"/>
  <c r="DD22" i="21"/>
  <c r="DE31" i="21"/>
  <c r="Q31" i="21"/>
  <c r="K31" i="21"/>
  <c r="J31" i="21" s="1"/>
  <c r="M22" i="21"/>
  <c r="RF16" i="19"/>
  <c r="RF36" i="19"/>
  <c r="DD16" i="19"/>
  <c r="M16" i="19"/>
  <c r="J11" i="27"/>
  <c r="M11" i="27"/>
  <c r="DD11" i="27"/>
  <c r="DD13" i="27"/>
  <c r="DE16" i="27"/>
  <c r="Q16" i="27"/>
  <c r="M16" i="27"/>
  <c r="M13" i="27"/>
  <c r="RC18" i="26"/>
  <c r="RF18" i="26"/>
  <c r="K16" i="26"/>
  <c r="J16" i="26" s="1"/>
  <c r="RC14" i="26"/>
  <c r="DE14" i="26"/>
  <c r="RF15" i="26"/>
  <c r="DD16" i="26"/>
  <c r="DD15" i="26"/>
  <c r="M14" i="26"/>
  <c r="M16" i="26"/>
  <c r="M15" i="26"/>
  <c r="J19" i="22"/>
  <c r="A19" i="22" s="1" a="1"/>
  <c r="A19" i="22" s="1"/>
  <c r="DB10" i="22"/>
  <c r="J15" i="22"/>
  <c r="B15" i="22" s="1" a="1"/>
  <c r="B15" i="22" s="1"/>
  <c r="M19" i="22"/>
  <c r="DB15" i="22"/>
  <c r="O15" i="22"/>
  <c r="J18" i="22"/>
  <c r="DB19" i="22"/>
  <c r="O19" i="22"/>
  <c r="J10" i="22"/>
  <c r="DC15" i="22"/>
  <c r="DC10" i="22"/>
  <c r="M15" i="22"/>
  <c r="DC19" i="22"/>
  <c r="DC18" i="22"/>
  <c r="J26" i="4"/>
  <c r="B26" i="4" s="1" a="1"/>
  <c r="B26" i="4" s="1"/>
  <c r="J19" i="4"/>
  <c r="A19" i="4" s="1" a="1"/>
  <c r="A19" i="4" s="1"/>
  <c r="DC15" i="4"/>
  <c r="J10" i="4"/>
  <c r="J15" i="4"/>
  <c r="A15" i="4" s="1" a="1"/>
  <c r="A15" i="4" s="1"/>
  <c r="DC26" i="4"/>
  <c r="DC25" i="4"/>
  <c r="O26" i="4"/>
  <c r="DB26" i="4"/>
  <c r="M26" i="4"/>
  <c r="M23" i="4"/>
  <c r="O19" i="4"/>
  <c r="DB19" i="4"/>
  <c r="DC23" i="4"/>
  <c r="DC10" i="4"/>
  <c r="M19" i="4"/>
  <c r="J25" i="4"/>
  <c r="O23" i="4"/>
  <c r="DB23" i="4"/>
  <c r="DC19" i="4"/>
  <c r="DB25" i="4"/>
  <c r="O25" i="4"/>
  <c r="RD13" i="26"/>
  <c r="DC4" i="21"/>
  <c r="PZ18" i="19"/>
  <c r="QY13" i="26"/>
  <c r="CW8" i="22"/>
  <c r="DA8" i="22" s="1"/>
  <c r="PZ4" i="21"/>
  <c r="QC4" i="21"/>
  <c r="PZ19" i="19"/>
  <c r="QC19" i="19"/>
  <c r="RD7" i="27"/>
  <c r="QY7" i="27"/>
  <c r="PZ7" i="27"/>
  <c r="QC7" i="27"/>
  <c r="QC13" i="26"/>
  <c r="SN5" i="22"/>
  <c r="SU5" i="22" s="1"/>
  <c r="CW14" i="4"/>
  <c r="DA14" i="4" s="1"/>
  <c r="P18" i="19"/>
  <c r="Q18" i="19" s="1"/>
  <c r="QY19" i="19"/>
  <c r="P19" i="19"/>
  <c r="Q19" i="19" s="1"/>
  <c r="P7" i="27"/>
  <c r="Q7" i="27" s="1"/>
  <c r="CZ13" i="26"/>
  <c r="P13" i="26"/>
  <c r="Q13" i="26" s="1"/>
  <c r="P5" i="22"/>
  <c r="CW5" i="22"/>
  <c r="DA5" i="22" s="1"/>
  <c r="TN8" i="22"/>
  <c r="P27" i="4"/>
  <c r="CW27" i="4"/>
  <c r="DA27" i="4" s="1"/>
  <c r="CW6" i="4"/>
  <c r="DA6" i="4" s="1"/>
  <c r="TQ14" i="4"/>
  <c r="TN27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9" i="19"/>
  <c r="QZ19" i="19"/>
  <c r="RB19" i="19"/>
  <c r="RD19" i="19"/>
  <c r="RA19" i="19"/>
  <c r="RE19" i="19"/>
  <c r="H19" i="19"/>
  <c r="I19" i="19"/>
  <c r="DC19" i="19"/>
  <c r="N19" i="19"/>
  <c r="L19" i="19"/>
  <c r="PZ37" i="19"/>
  <c r="P37" i="19"/>
  <c r="Q37" i="19" s="1"/>
  <c r="CZ18" i="19"/>
  <c r="QC37" i="19"/>
  <c r="QC18" i="19"/>
  <c r="RA18" i="19"/>
  <c r="QZ18" i="19"/>
  <c r="RD18" i="19"/>
  <c r="QY18" i="19"/>
  <c r="RE18" i="19"/>
  <c r="H18" i="19"/>
  <c r="RB18" i="19"/>
  <c r="I18" i="19"/>
  <c r="DC18" i="19"/>
  <c r="N18" i="19"/>
  <c r="L18" i="19"/>
  <c r="PZ7" i="19"/>
  <c r="PZ10" i="19"/>
  <c r="PZ31" i="19"/>
  <c r="RD37" i="19"/>
  <c r="QY37" i="19"/>
  <c r="CZ37" i="19"/>
  <c r="RA37" i="19"/>
  <c r="RE37" i="19"/>
  <c r="RB37" i="19"/>
  <c r="QZ37" i="19"/>
  <c r="I37" i="19"/>
  <c r="H37" i="19"/>
  <c r="DC37" i="19"/>
  <c r="N37" i="19"/>
  <c r="L37" i="19"/>
  <c r="P7" i="19"/>
  <c r="Q7" i="19" s="1"/>
  <c r="RB31" i="19"/>
  <c r="RD7" i="19"/>
  <c r="QY7" i="19"/>
  <c r="QC31" i="19"/>
  <c r="CZ31" i="19"/>
  <c r="P31" i="19"/>
  <c r="Q31" i="19" s="1"/>
  <c r="RA31" i="19"/>
  <c r="DC31" i="19"/>
  <c r="RE31" i="19"/>
  <c r="RD31" i="19"/>
  <c r="QY31" i="19"/>
  <c r="QZ31" i="19"/>
  <c r="H31" i="19"/>
  <c r="I31" i="19"/>
  <c r="N31" i="19"/>
  <c r="L31" i="19"/>
  <c r="QC7" i="19"/>
  <c r="RD10" i="19"/>
  <c r="QY10" i="19"/>
  <c r="P10" i="19"/>
  <c r="Q10" i="19" s="1"/>
  <c r="CZ7" i="19"/>
  <c r="RB7" i="19"/>
  <c r="RA7" i="19"/>
  <c r="RE7" i="19"/>
  <c r="QZ7" i="19"/>
  <c r="I7" i="19"/>
  <c r="DC7" i="19"/>
  <c r="N7" i="19"/>
  <c r="H7" i="19"/>
  <c r="L7" i="19"/>
  <c r="RB10" i="19"/>
  <c r="QC10" i="19"/>
  <c r="CZ10" i="19"/>
  <c r="RE10" i="19"/>
  <c r="QZ10" i="19"/>
  <c r="RA10" i="19"/>
  <c r="I10" i="19"/>
  <c r="H10" i="19"/>
  <c r="DC10" i="19"/>
  <c r="N10" i="19"/>
  <c r="L10" i="19"/>
  <c r="CZ7" i="27"/>
  <c r="RE7" i="27"/>
  <c r="QZ7" i="27"/>
  <c r="RA7" i="27"/>
  <c r="RB7" i="27"/>
  <c r="H7" i="27"/>
  <c r="I7" i="27"/>
  <c r="DC7" i="27"/>
  <c r="N7" i="27"/>
  <c r="L7" i="27"/>
  <c r="PZ13" i="26"/>
  <c r="RB13" i="26"/>
  <c r="RA13" i="26"/>
  <c r="RE13" i="26"/>
  <c r="QZ13" i="26"/>
  <c r="I13" i="26"/>
  <c r="H13" i="26"/>
  <c r="DC13" i="26"/>
  <c r="N13" i="26"/>
  <c r="L13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7" i="4"/>
  <c r="SU27" i="4" s="1"/>
  <c r="L27" i="4"/>
  <c r="M27" i="4" s="1"/>
  <c r="TU27" i="4"/>
  <c r="TQ27" i="4"/>
  <c r="R27" i="4"/>
  <c r="S27" i="4" s="1"/>
  <c r="I27" i="4"/>
  <c r="K27" i="4"/>
  <c r="H27" i="4"/>
  <c r="N27" i="4"/>
  <c r="T27" i="4"/>
  <c r="U27" i="4" s="1"/>
  <c r="P6" i="4"/>
  <c r="TN6" i="4"/>
  <c r="SN14" i="4"/>
  <c r="SU14" i="4" s="1"/>
  <c r="TN14" i="4"/>
  <c r="TU14" i="4"/>
  <c r="R14" i="4"/>
  <c r="S14" i="4" s="1"/>
  <c r="L14" i="4"/>
  <c r="M14" i="4" s="1"/>
  <c r="K14" i="4"/>
  <c r="I14" i="4"/>
  <c r="P14" i="4"/>
  <c r="Q14" i="4" s="1"/>
  <c r="H14" i="4"/>
  <c r="N14" i="4"/>
  <c r="T14" i="4"/>
  <c r="U14" i="4" s="1"/>
  <c r="TU6" i="4"/>
  <c r="SN6" i="4"/>
  <c r="SU6" i="4" s="1"/>
  <c r="R6" i="4"/>
  <c r="S6" i="4" s="1"/>
  <c r="TQ6" i="4"/>
  <c r="L6" i="4"/>
  <c r="M6" i="4" s="1"/>
  <c r="I6" i="4"/>
  <c r="K6" i="4"/>
  <c r="H6" i="4"/>
  <c r="N6" i="4"/>
  <c r="T6" i="4"/>
  <c r="U6" i="4" s="1"/>
  <c r="S33" i="21" l="1"/>
  <c r="T33" i="21"/>
  <c r="T27" i="21"/>
  <c r="S27" i="21"/>
  <c r="F32" i="21"/>
  <c r="T32" i="21"/>
  <c r="S32" i="21"/>
  <c r="F17" i="21"/>
  <c r="S17" i="21"/>
  <c r="T17" i="21"/>
  <c r="F19" i="21"/>
  <c r="S19" i="21"/>
  <c r="T19" i="21"/>
  <c r="S38" i="19"/>
  <c r="T38" i="19"/>
  <c r="T32" i="19"/>
  <c r="S32" i="19"/>
  <c r="T8" i="27"/>
  <c r="S8" i="27"/>
  <c r="S18" i="26"/>
  <c r="T18" i="26"/>
  <c r="F8" i="27"/>
  <c r="F27" i="21"/>
  <c r="F32" i="19"/>
  <c r="X21" i="4"/>
  <c r="W21" i="4"/>
  <c r="DC8" i="22"/>
  <c r="Q8" i="22"/>
  <c r="DC5" i="22"/>
  <c r="Q5" i="22"/>
  <c r="DC6" i="4"/>
  <c r="Q6" i="4"/>
  <c r="DC27" i="4"/>
  <c r="Q27" i="4"/>
  <c r="O13" i="26"/>
  <c r="F33" i="21"/>
  <c r="O4" i="21"/>
  <c r="R16" i="27"/>
  <c r="O7" i="19"/>
  <c r="O37" i="19"/>
  <c r="O18" i="19"/>
  <c r="O19" i="19"/>
  <c r="O31" i="19"/>
  <c r="O10" i="19"/>
  <c r="O7" i="27"/>
  <c r="R14" i="26"/>
  <c r="V18" i="22"/>
  <c r="W18" i="22" s="1"/>
  <c r="F38" i="19"/>
  <c r="R13" i="27"/>
  <c r="W11" i="4"/>
  <c r="X11" i="4"/>
  <c r="R24" i="21"/>
  <c r="R15" i="26"/>
  <c r="R22" i="21"/>
  <c r="R13" i="21"/>
  <c r="R31" i="21"/>
  <c r="R30" i="21"/>
  <c r="R18" i="21"/>
  <c r="R35" i="21"/>
  <c r="V15" i="4"/>
  <c r="X15" i="4" s="1"/>
  <c r="B35" i="21" a="1"/>
  <c r="B35" i="21" s="1"/>
  <c r="A35" i="21" a="1"/>
  <c r="A35" i="21" s="1"/>
  <c r="R16" i="26"/>
  <c r="R11" i="27"/>
  <c r="A24" i="21" a="1"/>
  <c r="A24" i="21" s="1"/>
  <c r="R16" i="19"/>
  <c r="B23" i="4" a="1"/>
  <c r="B23" i="4" s="1"/>
  <c r="B13" i="21" a="1"/>
  <c r="B13" i="21" s="1"/>
  <c r="A22" i="21" a="1"/>
  <c r="A22" i="21" s="1"/>
  <c r="R36" i="19"/>
  <c r="V10" i="4"/>
  <c r="F10" i="4" s="1"/>
  <c r="V10" i="22"/>
  <c r="F10" i="22" s="1"/>
  <c r="B18" i="21" a="1"/>
  <c r="B18" i="21" s="1"/>
  <c r="A30" i="21" a="1"/>
  <c r="A30" i="21" s="1"/>
  <c r="A31" i="21" a="1"/>
  <c r="A31" i="21" s="1"/>
  <c r="B31" i="21" a="1"/>
  <c r="B31" i="21" s="1"/>
  <c r="B36" i="19" a="1"/>
  <c r="B36" i="19" s="1"/>
  <c r="A36" i="19" a="1"/>
  <c r="A36" i="19" s="1"/>
  <c r="F18" i="26"/>
  <c r="A15" i="26" a="1"/>
  <c r="A15" i="26" s="1"/>
  <c r="B16" i="26" a="1"/>
  <c r="B16" i="26" s="1"/>
  <c r="A16" i="26" a="1"/>
  <c r="A16" i="26" s="1"/>
  <c r="A18" i="26" a="1"/>
  <c r="A18" i="26" s="1"/>
  <c r="B18" i="26" a="1"/>
  <c r="B18" i="26" s="1"/>
  <c r="A15" i="22" a="1"/>
  <c r="A15" i="22" s="1"/>
  <c r="B19" i="22" a="1"/>
  <c r="B19" i="22" s="1"/>
  <c r="V19" i="22"/>
  <c r="W19" i="22" s="1"/>
  <c r="A18" i="22" a="1"/>
  <c r="A18" i="22" s="1"/>
  <c r="B18" i="22" a="1"/>
  <c r="B18" i="22" s="1"/>
  <c r="V15" i="22"/>
  <c r="A26" i="4" a="1"/>
  <c r="A26" i="4" s="1"/>
  <c r="B19" i="4" a="1"/>
  <c r="B19" i="4" s="1"/>
  <c r="V26" i="4"/>
  <c r="W26" i="4" s="1"/>
  <c r="V19" i="4"/>
  <c r="F19" i="4" s="1"/>
  <c r="B15" i="4" a="1"/>
  <c r="B15" i="4" s="1"/>
  <c r="V23" i="4"/>
  <c r="W23" i="4" s="1"/>
  <c r="V25" i="4"/>
  <c r="A25" i="4" a="1"/>
  <c r="A25" i="4" s="1"/>
  <c r="B25" i="4" a="1"/>
  <c r="B25" i="4" s="1"/>
  <c r="DE18" i="19"/>
  <c r="DE7" i="27"/>
  <c r="DB5" i="22"/>
  <c r="K13" i="26"/>
  <c r="J13" i="26" s="1"/>
  <c r="B13" i="26" s="1" a="1"/>
  <c r="B13" i="26" s="1"/>
  <c r="K4" i="21"/>
  <c r="J4" i="21" s="1"/>
  <c r="RF4" i="21"/>
  <c r="K19" i="19"/>
  <c r="J19" i="19" s="1"/>
  <c r="K18" i="19"/>
  <c r="J18" i="19" s="1"/>
  <c r="K7" i="27"/>
  <c r="J7" i="27" s="1"/>
  <c r="DE13" i="26"/>
  <c r="TR8" i="22"/>
  <c r="TV8" i="22" s="1"/>
  <c r="O5" i="22"/>
  <c r="DE4" i="21"/>
  <c r="DE19" i="19"/>
  <c r="RF19" i="19"/>
  <c r="RC19" i="19"/>
  <c r="DE31" i="19"/>
  <c r="RC7" i="27"/>
  <c r="RF7" i="27"/>
  <c r="RC13" i="26"/>
  <c r="RF13" i="26"/>
  <c r="TR14" i="4"/>
  <c r="TV14" i="4" s="1"/>
  <c r="TR27" i="4"/>
  <c r="TV27" i="4" s="1"/>
  <c r="TR6" i="4"/>
  <c r="TV6" i="4" s="1"/>
  <c r="RC4" i="21"/>
  <c r="DD4" i="21"/>
  <c r="M4" i="21"/>
  <c r="M19" i="19"/>
  <c r="DD19" i="19"/>
  <c r="DE10" i="19"/>
  <c r="K37" i="19"/>
  <c r="J37" i="19" s="1"/>
  <c r="DE37" i="19"/>
  <c r="RF18" i="19"/>
  <c r="RC18" i="19"/>
  <c r="DD18" i="19"/>
  <c r="M18" i="19"/>
  <c r="K7" i="19"/>
  <c r="J7" i="19" s="1"/>
  <c r="RF31" i="19"/>
  <c r="K31" i="19"/>
  <c r="J31" i="19" s="1"/>
  <c r="DE7" i="19"/>
  <c r="RF37" i="19"/>
  <c r="RC37" i="19"/>
  <c r="M37" i="19"/>
  <c r="DD37" i="19"/>
  <c r="RC31" i="19"/>
  <c r="DD31" i="19"/>
  <c r="M31" i="19"/>
  <c r="RF10" i="19"/>
  <c r="K10" i="19"/>
  <c r="J10" i="19" s="1"/>
  <c r="RC7" i="19"/>
  <c r="RF7" i="19"/>
  <c r="M7" i="19"/>
  <c r="DD7" i="19"/>
  <c r="RC10" i="19"/>
  <c r="M10" i="19"/>
  <c r="DD10" i="19"/>
  <c r="M7" i="27"/>
  <c r="DD7" i="27"/>
  <c r="M13" i="26"/>
  <c r="DD13" i="26"/>
  <c r="J8" i="22"/>
  <c r="DB8" i="22"/>
  <c r="O8" i="22"/>
  <c r="J5" i="22"/>
  <c r="TR5" i="22"/>
  <c r="TV5" i="22" s="1"/>
  <c r="J27" i="4"/>
  <c r="A27" i="4" s="1" a="1"/>
  <c r="A27" i="4" s="1"/>
  <c r="DB27" i="4"/>
  <c r="O27" i="4"/>
  <c r="DC14" i="4"/>
  <c r="J14" i="4"/>
  <c r="O14" i="4"/>
  <c r="DB14" i="4"/>
  <c r="J6" i="4"/>
  <c r="O6" i="4"/>
  <c r="DB6" i="4"/>
  <c r="F24" i="21" l="1"/>
  <c r="S24" i="21"/>
  <c r="T24" i="21"/>
  <c r="F22" i="21"/>
  <c r="S22" i="21"/>
  <c r="T22" i="21"/>
  <c r="S30" i="21"/>
  <c r="T30" i="21"/>
  <c r="S31" i="21"/>
  <c r="T31" i="21"/>
  <c r="F13" i="21"/>
  <c r="S13" i="21"/>
  <c r="T13" i="21"/>
  <c r="F35" i="21"/>
  <c r="S35" i="21"/>
  <c r="T35" i="21"/>
  <c r="F18" i="21"/>
  <c r="S18" i="21"/>
  <c r="T18" i="21"/>
  <c r="F16" i="19"/>
  <c r="T16" i="19"/>
  <c r="S16" i="19"/>
  <c r="T36" i="19"/>
  <c r="S36" i="19"/>
  <c r="F11" i="27"/>
  <c r="S11" i="27"/>
  <c r="T11" i="27"/>
  <c r="F13" i="27"/>
  <c r="T13" i="27"/>
  <c r="S13" i="27"/>
  <c r="F16" i="27"/>
  <c r="S16" i="27"/>
  <c r="T16" i="27"/>
  <c r="S14" i="26"/>
  <c r="T14" i="26"/>
  <c r="F15" i="26"/>
  <c r="S15" i="26"/>
  <c r="T15" i="26"/>
  <c r="S16" i="26"/>
  <c r="T16" i="26"/>
  <c r="V8" i="22"/>
  <c r="X8" i="22" s="1"/>
  <c r="V27" i="4"/>
  <c r="F27" i="4" s="1"/>
  <c r="V5" i="22"/>
  <c r="X5" i="22" s="1"/>
  <c r="V6" i="4"/>
  <c r="X6" i="4" s="1"/>
  <c r="F14" i="26"/>
  <c r="X18" i="22"/>
  <c r="F18" i="22"/>
  <c r="F31" i="21"/>
  <c r="F30" i="21"/>
  <c r="W15" i="4"/>
  <c r="F15" i="4"/>
  <c r="F16" i="26"/>
  <c r="F36" i="19"/>
  <c r="W10" i="4"/>
  <c r="X10" i="4"/>
  <c r="W10" i="22"/>
  <c r="X10" i="22"/>
  <c r="R18" i="19"/>
  <c r="X19" i="22"/>
  <c r="F19" i="22"/>
  <c r="X15" i="22"/>
  <c r="W15" i="22"/>
  <c r="F15" i="22"/>
  <c r="F23" i="4"/>
  <c r="X23" i="4"/>
  <c r="X26" i="4"/>
  <c r="F26" i="4"/>
  <c r="W19" i="4"/>
  <c r="X19" i="4"/>
  <c r="W25" i="4"/>
  <c r="X25" i="4"/>
  <c r="F25" i="4"/>
  <c r="R7" i="27"/>
  <c r="R13" i="26"/>
  <c r="R19" i="19"/>
  <c r="R37" i="19"/>
  <c r="V14" i="4"/>
  <c r="W14" i="4" s="1"/>
  <c r="R4" i="21"/>
  <c r="R7" i="19"/>
  <c r="R31" i="19"/>
  <c r="R10" i="19"/>
  <c r="A13" i="26" a="1"/>
  <c r="A13" i="26" s="1"/>
  <c r="B27" i="4" a="1"/>
  <c r="B27" i="4" s="1"/>
  <c r="A14" i="4" a="1"/>
  <c r="A14" i="4" s="1"/>
  <c r="B14" i="4" a="1"/>
  <c r="B14" i="4" s="1"/>
  <c r="X27" i="4" l="1"/>
  <c r="W27" i="4"/>
  <c r="W8" i="22"/>
  <c r="F8" i="22"/>
  <c r="T4" i="21"/>
  <c r="S4" i="21"/>
  <c r="F18" i="19"/>
  <c r="T18" i="19"/>
  <c r="S18" i="19"/>
  <c r="S19" i="19"/>
  <c r="T19" i="19"/>
  <c r="F10" i="19"/>
  <c r="T10" i="19"/>
  <c r="S10" i="19"/>
  <c r="S31" i="19"/>
  <c r="T31" i="19"/>
  <c r="S7" i="19"/>
  <c r="T7" i="19"/>
  <c r="F37" i="19"/>
  <c r="S37" i="19"/>
  <c r="T37" i="19"/>
  <c r="S7" i="27"/>
  <c r="T7" i="27"/>
  <c r="F13" i="26"/>
  <c r="S13" i="26"/>
  <c r="T13" i="26"/>
  <c r="W5" i="22"/>
  <c r="F5" i="22"/>
  <c r="W6" i="4"/>
  <c r="F6" i="4"/>
  <c r="F7" i="27"/>
  <c r="X14" i="4"/>
  <c r="F19" i="19"/>
  <c r="F14" i="4"/>
  <c r="F7" i="19"/>
  <c r="F4" i="21"/>
  <c r="F31" i="19"/>
  <c r="CV13" i="19" l="1"/>
  <c r="CW13" i="19"/>
  <c r="CX13" i="19"/>
  <c r="CY13" i="19"/>
  <c r="DA13" i="19"/>
  <c r="DB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C13" i="19" l="1"/>
  <c r="QC19" i="26"/>
  <c r="DC19" i="26"/>
  <c r="DC13" i="19"/>
  <c r="P19" i="26"/>
  <c r="Q19" i="26" s="1"/>
  <c r="RD13" i="19"/>
  <c r="QY13" i="19"/>
  <c r="P13" i="19"/>
  <c r="DE13" i="19" s="1"/>
  <c r="PZ13" i="19"/>
  <c r="RE13" i="19"/>
  <c r="CZ13" i="19"/>
  <c r="N13" i="19"/>
  <c r="O13" i="19" s="1"/>
  <c r="H13" i="19"/>
  <c r="RA13" i="19"/>
  <c r="QZ13" i="19"/>
  <c r="L13" i="19"/>
  <c r="M13" i="19" s="1"/>
  <c r="RB13" i="19"/>
  <c r="I13" i="19"/>
  <c r="QY19" i="26"/>
  <c r="PZ19" i="26"/>
  <c r="RE19" i="26"/>
  <c r="RD19" i="26"/>
  <c r="CZ19" i="26"/>
  <c r="RA19" i="26"/>
  <c r="N19" i="26"/>
  <c r="QZ19" i="26"/>
  <c r="H19" i="26"/>
  <c r="L19" i="26"/>
  <c r="M19" i="26" s="1"/>
  <c r="RB19" i="26"/>
  <c r="I19" i="26"/>
  <c r="O19" i="26" l="1"/>
  <c r="RF13" i="19"/>
  <c r="RF19" i="26"/>
  <c r="DE19" i="26"/>
  <c r="K13" i="19"/>
  <c r="J13" i="19" s="1"/>
  <c r="DD13" i="19"/>
  <c r="Q13" i="19"/>
  <c r="K19" i="26"/>
  <c r="J19" i="26" s="1"/>
  <c r="DD19" i="26"/>
  <c r="RC13" i="19"/>
  <c r="RC19" i="26"/>
  <c r="R19" i="26" l="1"/>
  <c r="R13" i="19"/>
  <c r="F13" i="19" l="1"/>
  <c r="S13" i="19"/>
  <c r="T13" i="19"/>
  <c r="F19" i="26"/>
  <c r="S19" i="26"/>
  <c r="T19" i="26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2" i="27"/>
  <c r="QC5" i="26"/>
  <c r="DC12" i="27"/>
  <c r="I12" i="27"/>
  <c r="H12" i="27"/>
  <c r="I5" i="26"/>
  <c r="H5" i="26"/>
  <c r="H13" i="22"/>
  <c r="H11" i="22"/>
  <c r="I13" i="22"/>
  <c r="I11" i="22"/>
  <c r="I24" i="4"/>
  <c r="I16" i="4"/>
  <c r="H24" i="4"/>
  <c r="H16" i="4"/>
  <c r="PZ5" i="26"/>
  <c r="PZ12" i="27"/>
  <c r="P12" i="27"/>
  <c r="DE12" i="27" s="1"/>
  <c r="RD12" i="27"/>
  <c r="QY12" i="27"/>
  <c r="QY5" i="26"/>
  <c r="SN11" i="22"/>
  <c r="SU11" i="22" s="1"/>
  <c r="CW13" i="22"/>
  <c r="DA13" i="22" s="1"/>
  <c r="CW11" i="22"/>
  <c r="DA11" i="22" s="1"/>
  <c r="SN16" i="4"/>
  <c r="SU16" i="4" s="1"/>
  <c r="N11" i="22"/>
  <c r="O11" i="22" s="1"/>
  <c r="TU11" i="22"/>
  <c r="TN11" i="22"/>
  <c r="T11" i="22"/>
  <c r="U11" i="22" s="1"/>
  <c r="TQ11" i="22"/>
  <c r="L11" i="22"/>
  <c r="M11" i="22" s="1"/>
  <c r="R11" i="22"/>
  <c r="S11" i="22" s="1"/>
  <c r="K11" i="22"/>
  <c r="P11" i="22"/>
  <c r="Q11" i="22" s="1"/>
  <c r="SN13" i="22"/>
  <c r="SU13" i="22" s="1"/>
  <c r="TU13" i="22"/>
  <c r="TQ13" i="22"/>
  <c r="TN13" i="22"/>
  <c r="T13" i="22"/>
  <c r="U13" i="22" s="1"/>
  <c r="N13" i="22"/>
  <c r="O13" i="22" s="1"/>
  <c r="L13" i="22"/>
  <c r="M13" i="22" s="1"/>
  <c r="K13" i="22"/>
  <c r="R13" i="22"/>
  <c r="S13" i="22" s="1"/>
  <c r="P13" i="22"/>
  <c r="Q13" i="22" s="1"/>
  <c r="CW16" i="4"/>
  <c r="DA16" i="4" s="1"/>
  <c r="CW24" i="4"/>
  <c r="DA24" i="4" s="1"/>
  <c r="SN24" i="4"/>
  <c r="SU24" i="4" s="1"/>
  <c r="TN16" i="4"/>
  <c r="TU16" i="4"/>
  <c r="TQ16" i="4"/>
  <c r="R16" i="4"/>
  <c r="S16" i="4" s="1"/>
  <c r="N16" i="4"/>
  <c r="O16" i="4" s="1"/>
  <c r="T16" i="4"/>
  <c r="U16" i="4" s="1"/>
  <c r="L16" i="4"/>
  <c r="M16" i="4" s="1"/>
  <c r="K16" i="4"/>
  <c r="P16" i="4"/>
  <c r="Q16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2" i="27"/>
  <c r="RA12" i="27"/>
  <c r="QZ12" i="27"/>
  <c r="RB12" i="27"/>
  <c r="N12" i="27"/>
  <c r="L12" i="27"/>
  <c r="M12" i="27" s="1"/>
  <c r="CZ12" i="27"/>
  <c r="QZ5" i="26"/>
  <c r="RA5" i="26"/>
  <c r="RD5" i="26"/>
  <c r="CZ5" i="26"/>
  <c r="P5" i="26"/>
  <c r="DE5" i="26" s="1"/>
  <c r="N5" i="26"/>
  <c r="RE5" i="26"/>
  <c r="L5" i="26"/>
  <c r="M5" i="26" s="1"/>
  <c r="RB5" i="26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O12" i="27" l="1"/>
  <c r="O5" i="26"/>
  <c r="RF12" i="27"/>
  <c r="QC28" i="21"/>
  <c r="RF5" i="26"/>
  <c r="DC28" i="21"/>
  <c r="I28" i="21"/>
  <c r="H28" i="21"/>
  <c r="RD28" i="21"/>
  <c r="J11" i="22"/>
  <c r="J24" i="4"/>
  <c r="TR24" i="4"/>
  <c r="TV24" i="4" s="1"/>
  <c r="Q12" i="27"/>
  <c r="DD12" i="27"/>
  <c r="RC5" i="26"/>
  <c r="TR11" i="22"/>
  <c r="TV11" i="22" s="1"/>
  <c r="DC11" i="22"/>
  <c r="DB11" i="22"/>
  <c r="TR13" i="22"/>
  <c r="TV13" i="22" s="1"/>
  <c r="DC13" i="22"/>
  <c r="DB13" i="22"/>
  <c r="J13" i="22"/>
  <c r="TR16" i="4"/>
  <c r="TV16" i="4" s="1"/>
  <c r="J16" i="4"/>
  <c r="DC16" i="4"/>
  <c r="DB16" i="4"/>
  <c r="DC24" i="4"/>
  <c r="O24" i="4"/>
  <c r="DB24" i="4"/>
  <c r="RC12" i="27"/>
  <c r="K12" i="27"/>
  <c r="DD5" i="26"/>
  <c r="R5" i="26" s="1"/>
  <c r="K5" i="26"/>
  <c r="Q5" i="26"/>
  <c r="PZ28" i="21"/>
  <c r="RE28" i="21"/>
  <c r="P28" i="21"/>
  <c r="Q28" i="21" s="1"/>
  <c r="RA28" i="21"/>
  <c r="QZ28" i="21"/>
  <c r="RB28" i="21"/>
  <c r="QY28" i="21"/>
  <c r="N28" i="21"/>
  <c r="L28" i="21"/>
  <c r="M28" i="21" s="1"/>
  <c r="CZ28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8" i="21"/>
  <c r="O28" i="21"/>
  <c r="A13" i="22" a="1"/>
  <c r="A13" i="22" s="1"/>
  <c r="B13" i="22" a="1"/>
  <c r="B13" i="22" s="1"/>
  <c r="A11" i="22" a="1"/>
  <c r="A11" i="22" s="1"/>
  <c r="B11" i="22" a="1"/>
  <c r="B11" i="22" s="1"/>
  <c r="A24" i="4" a="1"/>
  <c r="A24" i="4" s="1"/>
  <c r="B24" i="4" a="1"/>
  <c r="B24" i="4" s="1"/>
  <c r="A16" i="4" a="1"/>
  <c r="A16" i="4" s="1"/>
  <c r="B16" i="4" a="1"/>
  <c r="B16" i="4" s="1"/>
  <c r="QC6" i="21"/>
  <c r="QC29" i="21"/>
  <c r="QC11" i="21"/>
  <c r="RF28" i="21"/>
  <c r="QC20" i="19"/>
  <c r="QC4" i="26"/>
  <c r="DC4" i="26"/>
  <c r="DC6" i="21"/>
  <c r="DC29" i="21"/>
  <c r="DC11" i="21"/>
  <c r="DC20" i="19"/>
  <c r="H20" i="19"/>
  <c r="H11" i="21"/>
  <c r="I6" i="21"/>
  <c r="H6" i="21"/>
  <c r="I29" i="21"/>
  <c r="H29" i="21"/>
  <c r="I11" i="21"/>
  <c r="RC28" i="21"/>
  <c r="I20" i="19"/>
  <c r="I4" i="26"/>
  <c r="H4" i="26"/>
  <c r="J5" i="26"/>
  <c r="B5" i="26" s="1" a="1"/>
  <c r="B5" i="26" s="1"/>
  <c r="R12" i="27"/>
  <c r="K28" i="21"/>
  <c r="V11" i="22"/>
  <c r="V13" i="22"/>
  <c r="X13" i="22" s="1"/>
  <c r="V16" i="4"/>
  <c r="W16" i="4" s="1"/>
  <c r="V24" i="4"/>
  <c r="W24" i="4" s="1"/>
  <c r="F5" i="26"/>
  <c r="DE28" i="21"/>
  <c r="RD20" i="19"/>
  <c r="P20" i="19"/>
  <c r="DE20" i="19" s="1"/>
  <c r="QY20" i="19"/>
  <c r="PZ20" i="19"/>
  <c r="PZ11" i="21"/>
  <c r="P11" i="21"/>
  <c r="DE11" i="21" s="1"/>
  <c r="PZ4" i="26"/>
  <c r="QZ11" i="21"/>
  <c r="RD11" i="21"/>
  <c r="QY11" i="21"/>
  <c r="RA11" i="21"/>
  <c r="CZ11" i="21"/>
  <c r="N11" i="21"/>
  <c r="RE11" i="21"/>
  <c r="L11" i="21"/>
  <c r="M11" i="21" s="1"/>
  <c r="RB11" i="21"/>
  <c r="PZ29" i="21"/>
  <c r="PZ6" i="21"/>
  <c r="P6" i="21"/>
  <c r="Q6" i="21" s="1"/>
  <c r="P29" i="21"/>
  <c r="DE29" i="21" s="1"/>
  <c r="QY6" i="21"/>
  <c r="QY29" i="21"/>
  <c r="RA29" i="21"/>
  <c r="QZ29" i="21"/>
  <c r="RD29" i="21"/>
  <c r="CZ29" i="21"/>
  <c r="N29" i="21"/>
  <c r="RE29" i="21"/>
  <c r="L29" i="21"/>
  <c r="M29" i="21" s="1"/>
  <c r="RB29" i="21"/>
  <c r="QZ6" i="21"/>
  <c r="RA6" i="21"/>
  <c r="CZ6" i="21"/>
  <c r="N6" i="21"/>
  <c r="RD6" i="21"/>
  <c r="RE6" i="21"/>
  <c r="L6" i="21"/>
  <c r="M6" i="21" s="1"/>
  <c r="RB6" i="21"/>
  <c r="RE20" i="19"/>
  <c r="RB20" i="19"/>
  <c r="RA20" i="19"/>
  <c r="N20" i="19"/>
  <c r="QZ20" i="19"/>
  <c r="L20" i="19"/>
  <c r="CZ20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2" i="27" l="1"/>
  <c r="S12" i="27"/>
  <c r="T12" i="27"/>
  <c r="DD11" i="21"/>
  <c r="R11" i="21" s="1"/>
  <c r="O11" i="21"/>
  <c r="O29" i="21"/>
  <c r="O6" i="21"/>
  <c r="O20" i="19"/>
  <c r="O4" i="26"/>
  <c r="F11" i="22"/>
  <c r="X11" i="22"/>
  <c r="RF11" i="21"/>
  <c r="RF29" i="21"/>
  <c r="RF6" i="21"/>
  <c r="RF20" i="19"/>
  <c r="RF4" i="26"/>
  <c r="J28" i="21"/>
  <c r="J12" i="27"/>
  <c r="R28" i="21"/>
  <c r="W11" i="22"/>
  <c r="W13" i="22"/>
  <c r="F13" i="22"/>
  <c r="F16" i="4"/>
  <c r="X16" i="4"/>
  <c r="F24" i="4"/>
  <c r="X24" i="4"/>
  <c r="Q11" i="21"/>
  <c r="Q20" i="19"/>
  <c r="RC11" i="21"/>
  <c r="K29" i="21"/>
  <c r="K11" i="21"/>
  <c r="DE6" i="21"/>
  <c r="DD6" i="21"/>
  <c r="RC6" i="21"/>
  <c r="RC29" i="21"/>
  <c r="Q29" i="21"/>
  <c r="K6" i="21"/>
  <c r="DD29" i="21"/>
  <c r="DD20" i="19"/>
  <c r="R20" i="19" s="1"/>
  <c r="RC20" i="19"/>
  <c r="K20" i="19"/>
  <c r="M20" i="19"/>
  <c r="K4" i="26"/>
  <c r="RC4" i="26"/>
  <c r="DD4" i="26"/>
  <c r="R4" i="26" s="1"/>
  <c r="Q4" i="26"/>
  <c r="S11" i="21" l="1"/>
  <c r="T11" i="21"/>
  <c r="F28" i="21"/>
  <c r="T28" i="21"/>
  <c r="S28" i="21"/>
  <c r="T20" i="19"/>
  <c r="S20" i="19"/>
  <c r="T4" i="26"/>
  <c r="S4" i="26"/>
  <c r="A28" i="21" a="1"/>
  <c r="A28" i="21" s="1"/>
  <c r="B28" i="21" a="1"/>
  <c r="B28" i="21" s="1"/>
  <c r="A12" i="27" a="1"/>
  <c r="A12" i="27" s="1"/>
  <c r="B12" i="27" a="1"/>
  <c r="B12" i="27" s="1"/>
  <c r="J29" i="21"/>
  <c r="J6" i="21"/>
  <c r="J4" i="26"/>
  <c r="R6" i="21"/>
  <c r="R29" i="21"/>
  <c r="F11" i="21"/>
  <c r="F20" i="19"/>
  <c r="F4" i="26"/>
  <c r="F29" i="21" l="1"/>
  <c r="S29" i="21"/>
  <c r="T29" i="21"/>
  <c r="S6" i="21"/>
  <c r="T6" i="21"/>
  <c r="B4" i="26" a="1"/>
  <c r="B4" i="26" s="1"/>
  <c r="A29" i="21" a="1"/>
  <c r="A29" i="21" s="1"/>
  <c r="B29" i="21" a="1"/>
  <c r="B29" i="21" s="1"/>
  <c r="J11" i="21"/>
  <c r="J20" i="19"/>
  <c r="F6" i="21"/>
  <c r="CQ7" i="22" l="1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17" i="22" l="1"/>
  <c r="H17" i="22"/>
  <c r="I7" i="22"/>
  <c r="H7" i="22"/>
  <c r="I5" i="4"/>
  <c r="H5" i="4"/>
  <c r="P17" i="22"/>
  <c r="Q17" i="22" s="1"/>
  <c r="P7" i="22"/>
  <c r="Q7" i="22" s="1"/>
  <c r="CW5" i="4"/>
  <c r="DA5" i="4" s="1"/>
  <c r="SN7" i="22"/>
  <c r="SU7" i="22" s="1"/>
  <c r="CW7" i="22"/>
  <c r="DA7" i="22" s="1"/>
  <c r="CW17" i="22"/>
  <c r="DA17" i="22" s="1"/>
  <c r="SN17" i="22"/>
  <c r="SU17" i="22" s="1"/>
  <c r="SN5" i="4"/>
  <c r="SU5" i="4" s="1"/>
  <c r="TQ7" i="22"/>
  <c r="TN7" i="22"/>
  <c r="TU7" i="22"/>
  <c r="K7" i="22"/>
  <c r="N7" i="22"/>
  <c r="O7" i="22" s="1"/>
  <c r="T7" i="22"/>
  <c r="U7" i="22" s="1"/>
  <c r="L7" i="22"/>
  <c r="R7" i="22"/>
  <c r="S7" i="22" s="1"/>
  <c r="TN17" i="22"/>
  <c r="TU17" i="22"/>
  <c r="TQ17" i="22"/>
  <c r="N17" i="22"/>
  <c r="O17" i="22" s="1"/>
  <c r="T17" i="22"/>
  <c r="U17" i="22" s="1"/>
  <c r="L17" i="22"/>
  <c r="K17" i="22"/>
  <c r="R17" i="22"/>
  <c r="S17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Q5" i="4" s="1"/>
  <c r="J17" i="22" l="1"/>
  <c r="J7" i="22"/>
  <c r="J5" i="4"/>
  <c r="M17" i="22"/>
  <c r="M7" i="22"/>
  <c r="TR5" i="4"/>
  <c r="TV5" i="4" s="1"/>
  <c r="M5" i="4"/>
  <c r="TR7" i="22"/>
  <c r="TV7" i="22" s="1"/>
  <c r="TR17" i="22"/>
  <c r="TV17" i="22" s="1"/>
  <c r="DC7" i="22"/>
  <c r="DB7" i="22"/>
  <c r="DC17" i="22"/>
  <c r="DB17" i="22"/>
  <c r="DB5" i="4"/>
  <c r="DC5" i="4"/>
  <c r="V5" i="4" l="1"/>
  <c r="F5" i="4" s="1"/>
  <c r="V7" i="22"/>
  <c r="V17" i="22"/>
  <c r="F17" i="22" l="1"/>
  <c r="X17" i="22"/>
  <c r="W7" i="22"/>
  <c r="X7" i="22"/>
  <c r="F7" i="22"/>
  <c r="W17" i="22"/>
  <c r="W5" i="4"/>
  <c r="X5" i="4"/>
  <c r="CV9" i="27"/>
  <c r="CW9" i="27"/>
  <c r="CX9" i="27"/>
  <c r="CY9" i="27"/>
  <c r="DA9" i="27"/>
  <c r="DB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9" i="27"/>
  <c r="I9" i="27"/>
  <c r="DC9" i="27"/>
  <c r="I4" i="27"/>
  <c r="H4" i="27"/>
  <c r="H9" i="27"/>
  <c r="PZ9" i="27"/>
  <c r="QY9" i="27"/>
  <c r="RD4" i="27"/>
  <c r="QY4" i="27"/>
  <c r="PZ4" i="27"/>
  <c r="RA9" i="27"/>
  <c r="QZ9" i="27"/>
  <c r="P9" i="27"/>
  <c r="DE9" i="27" s="1"/>
  <c r="RD9" i="27"/>
  <c r="CZ9" i="27"/>
  <c r="N9" i="27"/>
  <c r="RE9" i="27"/>
  <c r="L9" i="27"/>
  <c r="M9" i="27" s="1"/>
  <c r="RB9" i="27"/>
  <c r="P4" i="27"/>
  <c r="Q4" i="27" s="1"/>
  <c r="QZ4" i="27"/>
  <c r="RA4" i="27"/>
  <c r="CZ4" i="27"/>
  <c r="N4" i="27"/>
  <c r="RE4" i="27"/>
  <c r="L4" i="27"/>
  <c r="RB4" i="27"/>
  <c r="M4" i="27" l="1"/>
  <c r="O4" i="27"/>
  <c r="DD9" i="27"/>
  <c r="R9" i="27" s="1"/>
  <c r="O9" i="27"/>
  <c r="RF9" i="27"/>
  <c r="RF4" i="27"/>
  <c r="RC9" i="27"/>
  <c r="DE4" i="27"/>
  <c r="RC4" i="27"/>
  <c r="Q9" i="27"/>
  <c r="K9" i="27"/>
  <c r="DD4" i="27"/>
  <c r="K4" i="27"/>
  <c r="T9" i="27" l="1"/>
  <c r="S9" i="27"/>
  <c r="J9" i="27"/>
  <c r="R4" i="27"/>
  <c r="F9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28" i="19"/>
  <c r="CW28" i="19"/>
  <c r="CX28" i="19"/>
  <c r="CY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V8" i="19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D18" i="4"/>
  <c r="TP18" i="4" s="1"/>
  <c r="TE18" i="4"/>
  <c r="TF18" i="4"/>
  <c r="TG18" i="4"/>
  <c r="TH18" i="4"/>
  <c r="TS18" i="4" s="1"/>
  <c r="TI18" i="4"/>
  <c r="TT18" i="4" s="1"/>
  <c r="TJ18" i="4"/>
  <c r="B4" i="27" l="1" a="1"/>
  <c r="B4" i="27" s="1"/>
  <c r="H14" i="27"/>
  <c r="QC12" i="21"/>
  <c r="QC7" i="21"/>
  <c r="H17" i="19"/>
  <c r="QC14" i="19"/>
  <c r="QC8" i="19"/>
  <c r="QC17" i="19"/>
  <c r="QC28" i="19"/>
  <c r="QC14" i="27"/>
  <c r="DC6" i="26"/>
  <c r="DC7" i="26"/>
  <c r="QC6" i="26"/>
  <c r="QC7" i="26"/>
  <c r="QC12" i="26"/>
  <c r="DC12" i="26"/>
  <c r="H12" i="21"/>
  <c r="H7" i="21"/>
  <c r="DC12" i="21"/>
  <c r="DC7" i="21"/>
  <c r="DC17" i="19"/>
  <c r="DC8" i="19"/>
  <c r="DC28" i="19"/>
  <c r="DC14" i="19"/>
  <c r="DC14" i="27"/>
  <c r="H8" i="19"/>
  <c r="H14" i="19"/>
  <c r="I12" i="21"/>
  <c r="I7" i="21"/>
  <c r="I17" i="19"/>
  <c r="I14" i="19"/>
  <c r="I28" i="19"/>
  <c r="H28" i="19"/>
  <c r="I8" i="19"/>
  <c r="I14" i="27"/>
  <c r="I6" i="26"/>
  <c r="I7" i="26"/>
  <c r="H12" i="26"/>
  <c r="H6" i="26"/>
  <c r="H7" i="26"/>
  <c r="I12" i="26"/>
  <c r="H4" i="22"/>
  <c r="I12" i="22"/>
  <c r="I6" i="22"/>
  <c r="I14" i="22"/>
  <c r="H12" i="22"/>
  <c r="H6" i="22"/>
  <c r="H14" i="22"/>
  <c r="I4" i="22"/>
  <c r="I4" i="4"/>
  <c r="H20" i="4"/>
  <c r="H12" i="4"/>
  <c r="H4" i="4"/>
  <c r="H22" i="4"/>
  <c r="H7" i="4"/>
  <c r="I20" i="4"/>
  <c r="I18" i="4"/>
  <c r="I12" i="4"/>
  <c r="I22" i="4"/>
  <c r="I7" i="4"/>
  <c r="H18" i="4"/>
  <c r="CW6" i="22"/>
  <c r="DA6" i="22" s="1"/>
  <c r="P6" i="22"/>
  <c r="Q6" i="22" s="1"/>
  <c r="P12" i="22"/>
  <c r="Q12" i="22" s="1"/>
  <c r="P14" i="22"/>
  <c r="Q14" i="22" s="1"/>
  <c r="P4" i="22"/>
  <c r="Q4" i="22" s="1"/>
  <c r="PZ6" i="26"/>
  <c r="CW22" i="4"/>
  <c r="DA22" i="4" s="1"/>
  <c r="PZ7" i="26"/>
  <c r="QY7" i="26"/>
  <c r="CW14" i="22"/>
  <c r="DA14" i="22" s="1"/>
  <c r="CW7" i="4"/>
  <c r="DA7" i="4" s="1"/>
  <c r="RA7" i="26"/>
  <c r="CZ7" i="26"/>
  <c r="QZ7" i="26"/>
  <c r="CW20" i="4"/>
  <c r="DA20" i="4" s="1"/>
  <c r="CW18" i="4"/>
  <c r="DA18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8" i="19"/>
  <c r="QY28" i="19"/>
  <c r="PZ28" i="19"/>
  <c r="SN7" i="4"/>
  <c r="SU7" i="4" s="1"/>
  <c r="TQ7" i="4"/>
  <c r="SN22" i="4"/>
  <c r="SU22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2" i="4"/>
  <c r="TN22" i="4"/>
  <c r="TU22" i="4"/>
  <c r="T22" i="4"/>
  <c r="U22" i="4" s="1"/>
  <c r="N22" i="4"/>
  <c r="O22" i="4" s="1"/>
  <c r="L22" i="4"/>
  <c r="K22" i="4"/>
  <c r="R22" i="4"/>
  <c r="S22" i="4" s="1"/>
  <c r="P22" i="4"/>
  <c r="Q22" i="4" s="1"/>
  <c r="RA28" i="19"/>
  <c r="RE28" i="19"/>
  <c r="P28" i="19"/>
  <c r="DE28" i="19" s="1"/>
  <c r="QZ28" i="19"/>
  <c r="RB28" i="19"/>
  <c r="N28" i="19"/>
  <c r="L28" i="19"/>
  <c r="CZ28" i="19"/>
  <c r="SN14" i="22"/>
  <c r="SU14" i="22" s="1"/>
  <c r="TN14" i="22"/>
  <c r="TU14" i="22"/>
  <c r="R14" i="22"/>
  <c r="S14" i="22" s="1"/>
  <c r="TQ14" i="22"/>
  <c r="N14" i="22"/>
  <c r="O14" i="22" s="1"/>
  <c r="L14" i="22"/>
  <c r="K14" i="22"/>
  <c r="T14" i="22"/>
  <c r="U14" i="22" s="1"/>
  <c r="T12" i="22"/>
  <c r="U12" i="22" s="1"/>
  <c r="T4" i="22"/>
  <c r="U4" i="22" s="1"/>
  <c r="T6" i="22"/>
  <c r="U6" i="22" s="1"/>
  <c r="T18" i="4"/>
  <c r="U18" i="4" s="1"/>
  <c r="T12" i="4"/>
  <c r="U12" i="4" s="1"/>
  <c r="T4" i="4"/>
  <c r="U4" i="4" s="1"/>
  <c r="T20" i="4"/>
  <c r="U20" i="4" s="1"/>
  <c r="P8" i="19"/>
  <c r="DE8" i="19" s="1"/>
  <c r="QY8" i="19"/>
  <c r="PZ8" i="19"/>
  <c r="RA8" i="19"/>
  <c r="QZ8" i="19"/>
  <c r="RD8" i="19"/>
  <c r="CZ8" i="19"/>
  <c r="N8" i="19"/>
  <c r="RE8" i="19"/>
  <c r="L8" i="19"/>
  <c r="M8" i="19" s="1"/>
  <c r="RB8" i="19"/>
  <c r="CZ17" i="19"/>
  <c r="RA14" i="19"/>
  <c r="CZ14" i="19"/>
  <c r="RD12" i="26"/>
  <c r="QY12" i="26"/>
  <c r="SN4" i="22"/>
  <c r="SU4" i="22" s="1"/>
  <c r="N4" i="22"/>
  <c r="O4" i="22" s="1"/>
  <c r="RD14" i="19"/>
  <c r="CZ12" i="26"/>
  <c r="SN6" i="22"/>
  <c r="SU6" i="22" s="1"/>
  <c r="SN12" i="22"/>
  <c r="SU12" i="22" s="1"/>
  <c r="SN20" i="4"/>
  <c r="SU20" i="4" s="1"/>
  <c r="P4" i="4"/>
  <c r="SN12" i="4"/>
  <c r="SU12" i="4" s="1"/>
  <c r="P18" i="4"/>
  <c r="P12" i="4"/>
  <c r="SN18" i="4"/>
  <c r="SU18" i="4" s="1"/>
  <c r="P20" i="4"/>
  <c r="Q20" i="4" s="1"/>
  <c r="SN4" i="4"/>
  <c r="SU4" i="4" s="1"/>
  <c r="CZ7" i="21"/>
  <c r="P12" i="21"/>
  <c r="Q12" i="21" s="1"/>
  <c r="QY12" i="21"/>
  <c r="RD7" i="21"/>
  <c r="RA12" i="21"/>
  <c r="RD12" i="21"/>
  <c r="RE12" i="21"/>
  <c r="RE7" i="21"/>
  <c r="QZ12" i="21"/>
  <c r="L14" i="19"/>
  <c r="M14" i="19" s="1"/>
  <c r="RA17" i="19"/>
  <c r="RD17" i="19"/>
  <c r="RE14" i="19"/>
  <c r="N14" i="19"/>
  <c r="P17" i="19"/>
  <c r="DE17" i="19" s="1"/>
  <c r="L17" i="19"/>
  <c r="M17" i="19" s="1"/>
  <c r="CZ14" i="27"/>
  <c r="RA14" i="27"/>
  <c r="RD14" i="27"/>
  <c r="QY14" i="27"/>
  <c r="PZ14" i="27"/>
  <c r="RA12" i="26"/>
  <c r="CW12" i="22"/>
  <c r="DA12" i="22" s="1"/>
  <c r="TN12" i="22"/>
  <c r="TU4" i="22"/>
  <c r="TU12" i="22"/>
  <c r="TU6" i="22"/>
  <c r="N12" i="22"/>
  <c r="TN20" i="4"/>
  <c r="TQ18" i="4"/>
  <c r="CW4" i="4"/>
  <c r="DA4" i="4" s="1"/>
  <c r="TN18" i="4"/>
  <c r="TU12" i="4"/>
  <c r="TQ4" i="4"/>
  <c r="TO18" i="4"/>
  <c r="TQ20" i="4"/>
  <c r="TQ12" i="4"/>
  <c r="TU4" i="4"/>
  <c r="TN12" i="4"/>
  <c r="TN4" i="4"/>
  <c r="TU20" i="4"/>
  <c r="N12" i="4"/>
  <c r="L12" i="4"/>
  <c r="N18" i="4"/>
  <c r="K12" i="4"/>
  <c r="PZ12" i="21"/>
  <c r="CZ12" i="21"/>
  <c r="L12" i="21"/>
  <c r="N12" i="21"/>
  <c r="P7" i="21"/>
  <c r="QY7" i="21"/>
  <c r="RB7" i="21"/>
  <c r="RA7" i="21"/>
  <c r="RB12" i="21"/>
  <c r="QZ7" i="21"/>
  <c r="N7" i="21"/>
  <c r="L7" i="21"/>
  <c r="PZ7" i="21"/>
  <c r="RB17" i="19"/>
  <c r="RE17" i="19"/>
  <c r="QZ17" i="19"/>
  <c r="PZ17" i="19"/>
  <c r="QY17" i="19"/>
  <c r="N17" i="19"/>
  <c r="PZ14" i="19"/>
  <c r="QZ14" i="19"/>
  <c r="QY14" i="19"/>
  <c r="RB14" i="19"/>
  <c r="P14" i="19"/>
  <c r="L14" i="27"/>
  <c r="N14" i="27"/>
  <c r="RE14" i="27"/>
  <c r="RB14" i="27"/>
  <c r="P14" i="27"/>
  <c r="QZ14" i="27"/>
  <c r="PZ12" i="26"/>
  <c r="RE12" i="26"/>
  <c r="P12" i="26"/>
  <c r="QZ12" i="26"/>
  <c r="N12" i="26"/>
  <c r="RB12" i="26"/>
  <c r="L12" i="26"/>
  <c r="R12" i="22"/>
  <c r="S12" i="22" s="1"/>
  <c r="K6" i="22"/>
  <c r="R6" i="22"/>
  <c r="S6" i="22" s="1"/>
  <c r="TQ4" i="22"/>
  <c r="L6" i="22"/>
  <c r="L12" i="22"/>
  <c r="K12" i="22"/>
  <c r="TQ12" i="22"/>
  <c r="TQ6" i="22"/>
  <c r="R4" i="22"/>
  <c r="S4" i="22" s="1"/>
  <c r="N6" i="22"/>
  <c r="TN4" i="22"/>
  <c r="TN6" i="22"/>
  <c r="CW4" i="22"/>
  <c r="DA4" i="22" s="1"/>
  <c r="L4" i="22"/>
  <c r="K4" i="22"/>
  <c r="R18" i="4"/>
  <c r="S18" i="4" s="1"/>
  <c r="TU18" i="4"/>
  <c r="L18" i="4"/>
  <c r="N4" i="4"/>
  <c r="K18" i="4"/>
  <c r="N20" i="4"/>
  <c r="R4" i="4"/>
  <c r="S4" i="4" s="1"/>
  <c r="L4" i="4"/>
  <c r="R20" i="4"/>
  <c r="S20" i="4" s="1"/>
  <c r="L20" i="4"/>
  <c r="CW12" i="4"/>
  <c r="DA12" i="4" s="1"/>
  <c r="K4" i="4"/>
  <c r="K20" i="4"/>
  <c r="R12" i="4"/>
  <c r="S12" i="4" s="1"/>
  <c r="O6" i="26" l="1"/>
  <c r="O12" i="21"/>
  <c r="DC18" i="4"/>
  <c r="Q18" i="4"/>
  <c r="DC4" i="4"/>
  <c r="Q4" i="4"/>
  <c r="DC12" i="4"/>
  <c r="Q12" i="4"/>
  <c r="O7" i="21"/>
  <c r="O14" i="19"/>
  <c r="O12" i="26"/>
  <c r="O7" i="26"/>
  <c r="DD28" i="19"/>
  <c r="R28" i="19" s="1"/>
  <c r="O28" i="19"/>
  <c r="O8" i="19"/>
  <c r="O17" i="19"/>
  <c r="O14" i="27"/>
  <c r="RF12" i="21"/>
  <c r="RF17" i="19"/>
  <c r="RF6" i="26"/>
  <c r="RF7" i="26"/>
  <c r="RF7" i="21"/>
  <c r="RF14" i="19"/>
  <c r="RF8" i="19"/>
  <c r="RF28" i="19"/>
  <c r="RF14" i="27"/>
  <c r="RF12" i="26"/>
  <c r="J12" i="22"/>
  <c r="J18" i="4"/>
  <c r="J12" i="4"/>
  <c r="J22" i="4"/>
  <c r="DC12" i="22"/>
  <c r="DC6" i="22"/>
  <c r="DC4" i="22"/>
  <c r="M14" i="22"/>
  <c r="M22" i="4"/>
  <c r="M12" i="4"/>
  <c r="M7" i="4"/>
  <c r="RC8" i="19"/>
  <c r="Q28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8" i="19"/>
  <c r="Q8" i="19"/>
  <c r="DB22" i="4"/>
  <c r="TR22" i="4"/>
  <c r="TV22" i="4" s="1"/>
  <c r="J7" i="4"/>
  <c r="DC7" i="4"/>
  <c r="DB7" i="4"/>
  <c r="DC22" i="4"/>
  <c r="DB20" i="4"/>
  <c r="M28" i="19"/>
  <c r="K28" i="19"/>
  <c r="K8" i="19"/>
  <c r="TR14" i="22"/>
  <c r="TV14" i="22" s="1"/>
  <c r="DB14" i="22"/>
  <c r="DC14" i="22"/>
  <c r="DD14" i="19"/>
  <c r="DD8" i="19"/>
  <c r="DB18" i="4"/>
  <c r="DB4" i="4"/>
  <c r="DE12" i="21"/>
  <c r="Q17" i="19"/>
  <c r="DB4" i="22"/>
  <c r="DB6" i="22"/>
  <c r="DB12" i="22"/>
  <c r="DB12" i="4"/>
  <c r="TR18" i="4"/>
  <c r="TV18" i="4" s="1"/>
  <c r="O12" i="22"/>
  <c r="O6" i="22"/>
  <c r="TR4" i="4"/>
  <c r="TV4" i="4" s="1"/>
  <c r="TR12" i="4"/>
  <c r="TV12" i="4" s="1"/>
  <c r="TR20" i="4"/>
  <c r="TV20" i="4" s="1"/>
  <c r="O4" i="4"/>
  <c r="DC20" i="4"/>
  <c r="O12" i="4"/>
  <c r="O18" i="4"/>
  <c r="O20" i="4"/>
  <c r="RC12" i="21"/>
  <c r="K12" i="21"/>
  <c r="K7" i="21"/>
  <c r="K17" i="19"/>
  <c r="K14" i="19"/>
  <c r="TR12" i="22"/>
  <c r="TV12" i="22" s="1"/>
  <c r="TR4" i="22"/>
  <c r="TV4" i="22" s="1"/>
  <c r="TR6" i="22"/>
  <c r="TV6" i="22" s="1"/>
  <c r="J6" i="22"/>
  <c r="J20" i="4"/>
  <c r="J4" i="4"/>
  <c r="DD7" i="21"/>
  <c r="DE7" i="21"/>
  <c r="Q7" i="21"/>
  <c r="DD12" i="21"/>
  <c r="M7" i="21"/>
  <c r="M12" i="21"/>
  <c r="RC7" i="21"/>
  <c r="DD17" i="19"/>
  <c r="RC14" i="19"/>
  <c r="DE14" i="19"/>
  <c r="Q14" i="19"/>
  <c r="RC17" i="19"/>
  <c r="K14" i="27"/>
  <c r="RC14" i="27"/>
  <c r="DE14" i="27"/>
  <c r="Q14" i="27"/>
  <c r="DD14" i="27"/>
  <c r="M14" i="27"/>
  <c r="RC12" i="26"/>
  <c r="K12" i="26"/>
  <c r="Q12" i="26"/>
  <c r="DE12" i="26"/>
  <c r="DD12" i="26"/>
  <c r="M12" i="26"/>
  <c r="M6" i="22"/>
  <c r="M12" i="22"/>
  <c r="J4" i="22"/>
  <c r="M4" i="22"/>
  <c r="M4" i="4"/>
  <c r="M20" i="4"/>
  <c r="M18" i="4"/>
  <c r="S28" i="19" l="1"/>
  <c r="T28" i="19"/>
  <c r="V18" i="4"/>
  <c r="X18" i="4" s="1"/>
  <c r="V4" i="4"/>
  <c r="X4" i="4" s="1"/>
  <c r="B4" i="22" a="1"/>
  <c r="B4" i="22" s="1"/>
  <c r="A12" i="22" a="1"/>
  <c r="A12" i="22" s="1"/>
  <c r="B12" i="22" a="1"/>
  <c r="B12" i="22" s="1"/>
  <c r="A18" i="4" a="1"/>
  <c r="A18" i="4" s="1"/>
  <c r="B18" i="4" a="1"/>
  <c r="B18" i="4" s="1"/>
  <c r="A20" i="4" a="1"/>
  <c r="A20" i="4" s="1"/>
  <c r="B20" i="4" a="1"/>
  <c r="B20" i="4" s="1"/>
  <c r="A22" i="4" a="1"/>
  <c r="A22" i="4" s="1"/>
  <c r="B22" i="4" a="1"/>
  <c r="B22" i="4" s="1"/>
  <c r="J12" i="21"/>
  <c r="B12" i="21" s="1" a="1"/>
  <c r="B12" i="21" s="1"/>
  <c r="J28" i="19"/>
  <c r="J17" i="19"/>
  <c r="J14" i="19"/>
  <c r="J8" i="19"/>
  <c r="J12" i="26"/>
  <c r="J6" i="26"/>
  <c r="J7" i="26"/>
  <c r="J14" i="22"/>
  <c r="V4" i="22"/>
  <c r="V6" i="22"/>
  <c r="F4" i="4"/>
  <c r="F18" i="4"/>
  <c r="R6" i="26"/>
  <c r="R7" i="26"/>
  <c r="V22" i="4"/>
  <c r="F22" i="4" s="1"/>
  <c r="R8" i="19"/>
  <c r="R14" i="19"/>
  <c r="V7" i="4"/>
  <c r="F7" i="4" s="1"/>
  <c r="F28" i="19"/>
  <c r="V14" i="22"/>
  <c r="R17" i="19"/>
  <c r="R12" i="21"/>
  <c r="V20" i="4"/>
  <c r="X20" i="4" s="1"/>
  <c r="R12" i="26"/>
  <c r="V12" i="4"/>
  <c r="F12" i="4" s="1"/>
  <c r="R7" i="21"/>
  <c r="R14" i="27"/>
  <c r="V12" i="22"/>
  <c r="W18" i="4"/>
  <c r="S12" i="21" l="1"/>
  <c r="T12" i="21"/>
  <c r="S7" i="21"/>
  <c r="T7" i="21"/>
  <c r="F17" i="19"/>
  <c r="S17" i="19"/>
  <c r="T17" i="19"/>
  <c r="S14" i="19"/>
  <c r="T14" i="19"/>
  <c r="F8" i="19"/>
  <c r="S8" i="19"/>
  <c r="T8" i="19"/>
  <c r="T14" i="27"/>
  <c r="S14" i="27"/>
  <c r="F12" i="26"/>
  <c r="S12" i="26"/>
  <c r="T12" i="26"/>
  <c r="F7" i="26"/>
  <c r="S7" i="26"/>
  <c r="T7" i="26"/>
  <c r="F6" i="26"/>
  <c r="S6" i="26"/>
  <c r="T6" i="26"/>
  <c r="W4" i="4"/>
  <c r="B12" i="26" a="1"/>
  <c r="B12" i="26" s="1"/>
  <c r="F12" i="22"/>
  <c r="X12" i="22"/>
  <c r="F14" i="22"/>
  <c r="X14" i="22"/>
  <c r="W6" i="22"/>
  <c r="X6" i="22"/>
  <c r="F4" i="22"/>
  <c r="X4" i="22"/>
  <c r="A28" i="19" a="1"/>
  <c r="A28" i="19" s="1"/>
  <c r="B28" i="19" a="1"/>
  <c r="B28" i="19" s="1"/>
  <c r="A14" i="22" a="1"/>
  <c r="A14" i="22" s="1"/>
  <c r="B14" i="22" a="1"/>
  <c r="B14" i="22" s="1"/>
  <c r="F6" i="22"/>
  <c r="A12" i="21" a="1"/>
  <c r="A12" i="21" s="1"/>
  <c r="J7" i="21"/>
  <c r="J14" i="27"/>
  <c r="W4" i="22"/>
  <c r="X22" i="4"/>
  <c r="W22" i="4"/>
  <c r="F20" i="4"/>
  <c r="X7" i="4"/>
  <c r="F14" i="19"/>
  <c r="W7" i="4"/>
  <c r="W14" i="22"/>
  <c r="W20" i="4"/>
  <c r="F12" i="21"/>
  <c r="F7" i="21"/>
  <c r="X12" i="4"/>
  <c r="W12" i="4"/>
  <c r="F14" i="27"/>
  <c r="W12" i="22"/>
  <c r="A8" i="22" l="1" a="1"/>
  <c r="A8" i="22" s="1"/>
  <c r="B8" i="22" a="1"/>
  <c r="B8" i="22" s="1"/>
  <c r="B17" i="22" a="1"/>
  <c r="B17" i="22" s="1"/>
  <c r="B10" i="22" a="1"/>
  <c r="B10" i="22" s="1"/>
  <c r="A10" i="22" a="1"/>
  <c r="A10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D10" i="27"/>
  <c r="QB10" i="27"/>
  <c r="QA10" i="27"/>
  <c r="PY10" i="27"/>
  <c r="PX10" i="27"/>
  <c r="PW10" i="27"/>
  <c r="PV10" i="27"/>
  <c r="DB10" i="27"/>
  <c r="DA10" i="27"/>
  <c r="CY10" i="27"/>
  <c r="CX10" i="27"/>
  <c r="CW10" i="27"/>
  <c r="CV10" i="27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D10" i="26"/>
  <c r="QB10" i="26"/>
  <c r="QA10" i="26"/>
  <c r="PY10" i="26"/>
  <c r="PX10" i="26"/>
  <c r="PW10" i="26"/>
  <c r="PV10" i="26"/>
  <c r="DB10" i="26"/>
  <c r="DA10" i="26"/>
  <c r="CY10" i="26"/>
  <c r="CX10" i="26"/>
  <c r="CW10" i="26"/>
  <c r="CV10" i="26"/>
  <c r="DC10" i="26" l="1"/>
  <c r="H10" i="27"/>
  <c r="H5" i="27"/>
  <c r="QC10" i="27"/>
  <c r="QC5" i="27"/>
  <c r="QC10" i="26"/>
  <c r="I10" i="27"/>
  <c r="DC10" i="27"/>
  <c r="I5" i="27"/>
  <c r="DC5" i="27"/>
  <c r="H10" i="26"/>
  <c r="I10" i="26"/>
  <c r="PZ5" i="27"/>
  <c r="QY10" i="26"/>
  <c r="CZ10" i="26"/>
  <c r="PZ10" i="26"/>
  <c r="P10" i="27"/>
  <c r="Q10" i="27" s="1"/>
  <c r="QY5" i="27"/>
  <c r="RD5" i="27"/>
  <c r="P5" i="27"/>
  <c r="Q5" i="27" s="1"/>
  <c r="RA5" i="27"/>
  <c r="L10" i="27"/>
  <c r="M10" i="27" s="1"/>
  <c r="QZ10" i="27"/>
  <c r="RA10" i="27"/>
  <c r="L5" i="27"/>
  <c r="M5" i="27" s="1"/>
  <c r="RB10" i="27"/>
  <c r="RD10" i="27"/>
  <c r="RA10" i="26"/>
  <c r="P10" i="26"/>
  <c r="Q10" i="26" s="1"/>
  <c r="QZ10" i="26"/>
  <c r="RE10" i="26"/>
  <c r="RB10" i="26"/>
  <c r="RD10" i="26"/>
  <c r="CZ10" i="27"/>
  <c r="QZ5" i="27"/>
  <c r="N5" i="27"/>
  <c r="RB5" i="27"/>
  <c r="CZ5" i="27"/>
  <c r="N10" i="27"/>
  <c r="RE10" i="27"/>
  <c r="QY10" i="27"/>
  <c r="PZ10" i="27"/>
  <c r="RE5" i="27"/>
  <c r="L10" i="26"/>
  <c r="N10" i="26"/>
  <c r="O10" i="26" l="1"/>
  <c r="O10" i="27"/>
  <c r="O5" i="27"/>
  <c r="RF10" i="27"/>
  <c r="RF5" i="27"/>
  <c r="RF10" i="26"/>
  <c r="DE5" i="27"/>
  <c r="RC10" i="27"/>
  <c r="DE10" i="27"/>
  <c r="K5" i="27"/>
  <c r="K10" i="27"/>
  <c r="RC10" i="26"/>
  <c r="DE10" i="26"/>
  <c r="DD5" i="27"/>
  <c r="RC5" i="27"/>
  <c r="DD10" i="27"/>
  <c r="DD10" i="26"/>
  <c r="M10" i="26"/>
  <c r="K10" i="26"/>
  <c r="J10" i="27" l="1"/>
  <c r="J5" i="27"/>
  <c r="R10" i="27"/>
  <c r="R5" i="27"/>
  <c r="R10" i="26"/>
  <c r="T5" i="27" l="1"/>
  <c r="S5" i="27"/>
  <c r="S10" i="27"/>
  <c r="T10" i="27"/>
  <c r="S10" i="26"/>
  <c r="T10" i="26"/>
  <c r="J10" i="26"/>
  <c r="F10" i="27"/>
  <c r="F5" i="27"/>
  <c r="A6" i="27" s="1" a="1"/>
  <c r="A6" i="27" s="1"/>
  <c r="F10" i="26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B6" i="27" l="1" a="1"/>
  <c r="B6" i="27" s="1"/>
  <c r="B17" i="26" a="1"/>
  <c r="B17" i="26" s="1"/>
  <c r="B20" i="26" a="1"/>
  <c r="B20" i="26" s="1"/>
  <c r="A20" i="26" a="1"/>
  <c r="A20" i="26" s="1"/>
  <c r="A17" i="26" a="1"/>
  <c r="A17" i="26" s="1"/>
  <c r="B18" i="27" a="1"/>
  <c r="B18" i="27" s="1"/>
  <c r="A18" i="27" a="1"/>
  <c r="A18" i="27" s="1"/>
  <c r="B9" i="26" a="1"/>
  <c r="B9" i="26" s="1"/>
  <c r="A9" i="26" a="1"/>
  <c r="A9" i="26" s="1"/>
  <c r="B11" i="26" a="1"/>
  <c r="B11" i="26" s="1"/>
  <c r="A11" i="26" a="1"/>
  <c r="A11" i="26" s="1"/>
  <c r="B8" i="26" a="1"/>
  <c r="B8" i="26" s="1"/>
  <c r="A8" i="26" a="1"/>
  <c r="A8" i="26" s="1"/>
  <c r="B8" i="27" a="1"/>
  <c r="B8" i="27" s="1"/>
  <c r="B5" i="27" a="1"/>
  <c r="B5" i="27" s="1"/>
  <c r="A8" i="27" a="1"/>
  <c r="A8" i="27" s="1"/>
  <c r="A13" i="27" a="1"/>
  <c r="A13" i="27" s="1"/>
  <c r="B16" i="27" a="1"/>
  <c r="B16" i="27" s="1"/>
  <c r="A19" i="26" a="1"/>
  <c r="A19" i="26" s="1"/>
  <c r="B19" i="26" a="1"/>
  <c r="B19" i="26" s="1"/>
  <c r="A6" i="26" a="1"/>
  <c r="A6" i="26" s="1"/>
  <c r="B6" i="26" a="1"/>
  <c r="B6" i="26" s="1"/>
  <c r="B13" i="27" a="1"/>
  <c r="B13" i="27" s="1"/>
  <c r="A16" i="27" a="1"/>
  <c r="A16" i="27" s="1"/>
  <c r="B11" i="27" a="1"/>
  <c r="B11" i="27" s="1"/>
  <c r="A11" i="27" a="1"/>
  <c r="A11" i="27" s="1"/>
  <c r="A14" i="26" a="1"/>
  <c r="A14" i="26" s="1"/>
  <c r="B14" i="26" a="1"/>
  <c r="B14" i="26" s="1"/>
  <c r="B7" i="27" a="1"/>
  <c r="B7" i="27" s="1"/>
  <c r="A7" i="27" a="1"/>
  <c r="A7" i="27" s="1"/>
  <c r="B14" i="27" a="1"/>
  <c r="B14" i="27" s="1"/>
  <c r="B9" i="27" a="1"/>
  <c r="B9" i="27" s="1"/>
  <c r="B10" i="27" a="1"/>
  <c r="B10" i="27" s="1"/>
  <c r="A10" i="26" a="1"/>
  <c r="A10" i="26" s="1"/>
  <c r="B10" i="26" a="1"/>
  <c r="B10" i="26" s="1"/>
  <c r="B7" i="26" a="1"/>
  <c r="B7" i="26" s="1"/>
  <c r="QC26" i="19"/>
  <c r="DC26" i="19"/>
  <c r="A14" i="27" a="1"/>
  <c r="A14" i="27" s="1"/>
  <c r="A10" i="27" a="1"/>
  <c r="A10" i="27" s="1"/>
  <c r="I26" i="19"/>
  <c r="H26" i="19"/>
  <c r="A9" i="27" a="1"/>
  <c r="A9" i="27" s="1"/>
  <c r="A4" i="27" a="1"/>
  <c r="A4" i="27" s="1"/>
  <c r="A5" i="27" a="1"/>
  <c r="A5" i="27" s="1"/>
  <c r="A5" i="26" a="1"/>
  <c r="A5" i="26" s="1"/>
  <c r="A4" i="26" a="1"/>
  <c r="A4" i="26" s="1"/>
  <c r="A12" i="26" a="1"/>
  <c r="A12" i="26" s="1"/>
  <c r="A7" i="26" a="1"/>
  <c r="A7" i="26" s="1"/>
  <c r="PZ26" i="19"/>
  <c r="QY26" i="19"/>
  <c r="P26" i="19"/>
  <c r="RD26" i="19"/>
  <c r="CZ26" i="19"/>
  <c r="RA26" i="19"/>
  <c r="RE26" i="19"/>
  <c r="QZ26" i="19"/>
  <c r="N26" i="19"/>
  <c r="L26" i="19"/>
  <c r="RB26" i="19"/>
  <c r="O26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26" i="19"/>
  <c r="DD26" i="19"/>
  <c r="Q26" i="19"/>
  <c r="DE26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26" i="19"/>
  <c r="RC26" i="19"/>
  <c r="M26" i="19"/>
  <c r="J26" i="19" l="1"/>
  <c r="R26" i="19"/>
  <c r="S26" i="19" l="1"/>
  <c r="T26" i="19"/>
  <c r="F26" i="19"/>
  <c r="CV9" i="19" l="1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C22" i="19" l="1"/>
  <c r="QC21" i="19"/>
  <c r="QC9" i="19"/>
  <c r="DC22" i="19"/>
  <c r="DC21" i="19"/>
  <c r="DC9" i="19"/>
  <c r="I22" i="19"/>
  <c r="I21" i="19"/>
  <c r="I9" i="19"/>
  <c r="H22" i="19"/>
  <c r="H21" i="19"/>
  <c r="H9" i="19"/>
  <c r="RD9" i="19"/>
  <c r="QY9" i="19"/>
  <c r="P9" i="19"/>
  <c r="PZ9" i="19"/>
  <c r="CZ9" i="19"/>
  <c r="RA9" i="19"/>
  <c r="QZ9" i="19"/>
  <c r="RE9" i="19"/>
  <c r="N9" i="19"/>
  <c r="L9" i="19"/>
  <c r="RB9" i="19"/>
  <c r="RD21" i="19"/>
  <c r="QY21" i="19"/>
  <c r="PZ21" i="19"/>
  <c r="P21" i="19"/>
  <c r="DE21" i="19" s="1"/>
  <c r="CZ21" i="19"/>
  <c r="QZ21" i="19"/>
  <c r="RA21" i="19"/>
  <c r="RE21" i="19"/>
  <c r="N21" i="19"/>
  <c r="L21" i="19"/>
  <c r="M21" i="19" s="1"/>
  <c r="RB21" i="19"/>
  <c r="RD22" i="19"/>
  <c r="PZ22" i="19"/>
  <c r="QZ22" i="19"/>
  <c r="CZ22" i="19"/>
  <c r="QY22" i="19"/>
  <c r="P22" i="19"/>
  <c r="DE22" i="19" s="1"/>
  <c r="RA22" i="19"/>
  <c r="RE22" i="19"/>
  <c r="N22" i="19"/>
  <c r="L22" i="19"/>
  <c r="RB22" i="19"/>
  <c r="DD22" i="19" l="1"/>
  <c r="R22" i="19" s="1"/>
  <c r="O22" i="19"/>
  <c r="O9" i="19"/>
  <c r="DD21" i="19"/>
  <c r="R21" i="19" s="1"/>
  <c r="O21" i="19"/>
  <c r="RF9" i="19"/>
  <c r="RF22" i="19"/>
  <c r="RF21" i="19"/>
  <c r="Q9" i="19"/>
  <c r="DE9" i="19"/>
  <c r="DD9" i="19"/>
  <c r="K9" i="19"/>
  <c r="Q21" i="19"/>
  <c r="RC22" i="19"/>
  <c r="RC9" i="19"/>
  <c r="M9" i="19"/>
  <c r="Q22" i="19"/>
  <c r="K21" i="19"/>
  <c r="RC21" i="19"/>
  <c r="K22" i="19"/>
  <c r="M22" i="19"/>
  <c r="S21" i="19" l="1"/>
  <c r="T21" i="19"/>
  <c r="T22" i="19"/>
  <c r="S22" i="19"/>
  <c r="J22" i="19"/>
  <c r="R9" i="19"/>
  <c r="F21" i="19"/>
  <c r="F22" i="19"/>
  <c r="S9" i="19" l="1"/>
  <c r="T9" i="19"/>
  <c r="J21" i="19"/>
  <c r="J9" i="19"/>
  <c r="F9" i="19"/>
  <c r="CV9" i="21" l="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C9" i="21" l="1"/>
  <c r="DC9" i="21"/>
  <c r="I9" i="21"/>
  <c r="H9" i="21"/>
  <c r="P9" i="21"/>
  <c r="DE9" i="21" s="1"/>
  <c r="RD9" i="21"/>
  <c r="QY9" i="21"/>
  <c r="PZ9" i="21"/>
  <c r="CZ9" i="21"/>
  <c r="RA9" i="21"/>
  <c r="QZ9" i="21"/>
  <c r="RE9" i="21"/>
  <c r="N9" i="21"/>
  <c r="L9" i="21"/>
  <c r="RB9" i="21"/>
  <c r="O9" i="21" l="1"/>
  <c r="RF9" i="21"/>
  <c r="DD9" i="21"/>
  <c r="M9" i="21"/>
  <c r="K9" i="21"/>
  <c r="Q9" i="21"/>
  <c r="RC9" i="21"/>
  <c r="R9" i="21" l="1"/>
  <c r="S9" i="21" l="1"/>
  <c r="T9" i="21"/>
  <c r="J9" i="21"/>
  <c r="F9" i="21"/>
  <c r="A4" i="22" l="1" a="1"/>
  <c r="A4" i="22" s="1"/>
  <c r="B7" i="22" a="1"/>
  <c r="B7" i="22" s="1"/>
  <c r="B6" i="22" a="1"/>
  <c r="B6" i="22" s="1"/>
  <c r="A17" i="22" a="1"/>
  <c r="A17" i="22" s="1"/>
  <c r="A7" i="22" a="1"/>
  <c r="A7" i="22" s="1"/>
  <c r="A6" i="22" a="1"/>
  <c r="A6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3" i="4" l="1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I13" i="4" l="1"/>
  <c r="H13" i="4"/>
  <c r="T13" i="4"/>
  <c r="U13" i="4" s="1"/>
  <c r="P13" i="4"/>
  <c r="Q13" i="4" s="1"/>
  <c r="R13" i="4"/>
  <c r="S13" i="4" s="1"/>
  <c r="SN13" i="4"/>
  <c r="SU13" i="4" s="1"/>
  <c r="CW13" i="4"/>
  <c r="DA13" i="4" s="1"/>
  <c r="TQ13" i="4"/>
  <c r="TU13" i="4"/>
  <c r="N13" i="4"/>
  <c r="L13" i="4"/>
  <c r="K13" i="4"/>
  <c r="TN13" i="4"/>
  <c r="DB13" i="4" l="1"/>
  <c r="DC13" i="4"/>
  <c r="O13" i="4"/>
  <c r="TR13" i="4"/>
  <c r="TV13" i="4" s="1"/>
  <c r="M13" i="4"/>
  <c r="J13" i="4" l="1"/>
  <c r="V13" i="4"/>
  <c r="X13" i="4" s="1"/>
  <c r="A13" i="4" l="1" a="1"/>
  <c r="A13" i="4" s="1"/>
  <c r="B13" i="4" a="1"/>
  <c r="B13" i="4" s="1"/>
  <c r="F13" i="4"/>
  <c r="W13" i="4"/>
  <c r="PY5" i="19"/>
  <c r="PY23" i="19"/>
  <c r="PY6" i="19"/>
  <c r="CY5" i="19"/>
  <c r="CY23" i="19"/>
  <c r="CY6" i="19"/>
  <c r="PX6" i="19"/>
  <c r="PX23" i="19"/>
  <c r="PX5" i="19"/>
  <c r="CX6" i="19"/>
  <c r="CX23" i="19"/>
  <c r="CX5" i="19"/>
  <c r="CV23" i="19"/>
  <c r="CW23" i="19"/>
  <c r="DA23" i="19"/>
  <c r="DB23" i="19"/>
  <c r="PV23" i="19"/>
  <c r="PW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V5" i="19"/>
  <c r="CW5" i="19"/>
  <c r="DA5" i="19"/>
  <c r="DB5" i="19"/>
  <c r="PV5" i="19"/>
  <c r="PW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D6" i="19"/>
  <c r="QB6" i="19"/>
  <c r="QA6" i="19"/>
  <c r="PW6" i="19"/>
  <c r="PV6" i="19"/>
  <c r="DB6" i="19"/>
  <c r="DA6" i="19"/>
  <c r="CW6" i="19"/>
  <c r="CV6" i="19"/>
  <c r="QC5" i="19" l="1"/>
  <c r="QC6" i="19"/>
  <c r="QC23" i="19"/>
  <c r="I5" i="19"/>
  <c r="DC5" i="19"/>
  <c r="DC23" i="19"/>
  <c r="DC6" i="19"/>
  <c r="I23" i="19"/>
  <c r="H5" i="19"/>
  <c r="H23" i="19"/>
  <c r="H6" i="19"/>
  <c r="I6" i="19"/>
  <c r="CZ23" i="19"/>
  <c r="PZ23" i="19"/>
  <c r="CZ5" i="19"/>
  <c r="PZ6" i="19"/>
  <c r="PZ5" i="19"/>
  <c r="CZ6" i="19"/>
  <c r="RB23" i="19"/>
  <c r="RB5" i="19"/>
  <c r="RB6" i="19"/>
  <c r="RD5" i="19"/>
  <c r="RA5" i="19"/>
  <c r="QY5" i="19"/>
  <c r="P5" i="19"/>
  <c r="DE5" i="19" s="1"/>
  <c r="QZ5" i="19"/>
  <c r="P23" i="19"/>
  <c r="DE23" i="19" s="1"/>
  <c r="RE5" i="19"/>
  <c r="L5" i="19"/>
  <c r="RA23" i="19"/>
  <c r="QZ23" i="19"/>
  <c r="RD23" i="19"/>
  <c r="QY23" i="19"/>
  <c r="N23" i="19"/>
  <c r="L23" i="19"/>
  <c r="RE23" i="19"/>
  <c r="N5" i="19"/>
  <c r="P6" i="19"/>
  <c r="DE6" i="19" s="1"/>
  <c r="QY6" i="19"/>
  <c r="QZ6" i="19"/>
  <c r="RE6" i="19"/>
  <c r="RD6" i="19"/>
  <c r="L6" i="19"/>
  <c r="RA6" i="19"/>
  <c r="N6" i="19"/>
  <c r="DD23" i="19" l="1"/>
  <c r="R23" i="19" s="1"/>
  <c r="O23" i="19"/>
  <c r="DD5" i="19"/>
  <c r="O5" i="19"/>
  <c r="DD6" i="19"/>
  <c r="O6" i="19"/>
  <c r="RF5" i="19"/>
  <c r="RF23" i="19"/>
  <c r="RF6" i="19"/>
  <c r="Q6" i="19"/>
  <c r="Q5" i="19"/>
  <c r="K5" i="19"/>
  <c r="K23" i="19"/>
  <c r="M6" i="19"/>
  <c r="M5" i="19"/>
  <c r="RC23" i="19"/>
  <c r="K6" i="19"/>
  <c r="RC6" i="19"/>
  <c r="RC5" i="19"/>
  <c r="Q23" i="19"/>
  <c r="M23" i="19"/>
  <c r="S23" i="19" l="1"/>
  <c r="T23" i="19"/>
  <c r="F23" i="19"/>
  <c r="R5" i="19"/>
  <c r="R6" i="19"/>
  <c r="S6" i="19" l="1"/>
  <c r="T6" i="19"/>
  <c r="S5" i="19"/>
  <c r="T5" i="19"/>
  <c r="J6" i="19"/>
  <c r="J23" i="19"/>
  <c r="J5" i="19"/>
  <c r="B14" i="19" s="1" a="1"/>
  <c r="B14" i="19" s="1"/>
  <c r="F5" i="19"/>
  <c r="F6" i="19"/>
  <c r="A8" i="21" l="1" a="1"/>
  <c r="A8" i="21" s="1"/>
  <c r="B8" i="21" a="1"/>
  <c r="B8" i="21" s="1"/>
  <c r="B10" i="21" a="1"/>
  <c r="B10" i="21" s="1"/>
  <c r="A9" i="21" a="1"/>
  <c r="A9" i="21" s="1"/>
  <c r="B9" i="21" a="1"/>
  <c r="B9" i="21" s="1"/>
  <c r="A5" i="21" a="1"/>
  <c r="A5" i="21" s="1"/>
  <c r="A10" i="21" a="1"/>
  <c r="A10" i="21" s="1"/>
  <c r="B5" i="21" a="1"/>
  <c r="B5" i="21" s="1"/>
  <c r="B34" i="19" a="1"/>
  <c r="B34" i="19" s="1"/>
  <c r="A34" i="19" a="1"/>
  <c r="A34" i="19" s="1"/>
  <c r="B11" i="19" a="1"/>
  <c r="B11" i="19" s="1"/>
  <c r="A4" i="19" a="1"/>
  <c r="A4" i="19" s="1"/>
  <c r="A12" i="19" a="1"/>
  <c r="A12" i="19" s="1"/>
  <c r="A11" i="19" a="1"/>
  <c r="A11" i="19" s="1"/>
  <c r="A15" i="19" a="1"/>
  <c r="A15" i="19" s="1"/>
  <c r="B4" i="19" a="1"/>
  <c r="B4" i="19" s="1"/>
  <c r="B12" i="19" a="1"/>
  <c r="B12" i="19" s="1"/>
  <c r="B15" i="19" a="1"/>
  <c r="B15" i="19" s="1"/>
  <c r="B13" i="19" a="1"/>
  <c r="B13" i="19" s="1"/>
  <c r="A13" i="19" a="1"/>
  <c r="A13" i="19" s="1"/>
  <c r="A11" i="21" a="1"/>
  <c r="A11" i="21" s="1"/>
  <c r="B11" i="21" a="1"/>
  <c r="B11" i="21" s="1"/>
  <c r="A16" i="19" a="1"/>
  <c r="A16" i="19" s="1"/>
  <c r="B16" i="19" a="1"/>
  <c r="B16" i="19" s="1"/>
  <c r="B7" i="21" a="1"/>
  <c r="B7" i="21" s="1"/>
  <c r="A4" i="21" a="1"/>
  <c r="A4" i="21" s="1"/>
  <c r="B4" i="21" a="1"/>
  <c r="B4" i="21" s="1"/>
  <c r="B10" i="19" a="1"/>
  <c r="B10" i="19" s="1"/>
  <c r="A10" i="19" a="1"/>
  <c r="A10" i="19" s="1"/>
  <c r="A7" i="19" a="1"/>
  <c r="A7" i="19" s="1"/>
  <c r="A37" i="19" a="1"/>
  <c r="A37" i="19" s="1"/>
  <c r="B19" i="19" a="1"/>
  <c r="B19" i="19" s="1"/>
  <c r="B7" i="19" a="1"/>
  <c r="B7" i="19" s="1"/>
  <c r="B37" i="19" a="1"/>
  <c r="B37" i="19" s="1"/>
  <c r="A31" i="19" a="1"/>
  <c r="A31" i="19" s="1"/>
  <c r="B31" i="19" a="1"/>
  <c r="B31" i="19" s="1"/>
  <c r="A19" i="19" a="1"/>
  <c r="A19" i="19" s="1"/>
  <c r="B18" i="19" a="1"/>
  <c r="B18" i="19" s="1"/>
  <c r="A18" i="19" a="1"/>
  <c r="A18" i="19" s="1"/>
  <c r="B6" i="21" a="1"/>
  <c r="B6" i="21" s="1"/>
  <c r="B6" i="19" a="1"/>
  <c r="B6" i="19" s="1"/>
  <c r="B23" i="19" a="1"/>
  <c r="B23" i="19" s="1"/>
  <c r="B8" i="19" a="1"/>
  <c r="B8" i="19" s="1"/>
  <c r="B17" i="19" a="1"/>
  <c r="B17" i="19" s="1"/>
  <c r="B21" i="19" a="1"/>
  <c r="B21" i="19" s="1"/>
  <c r="B20" i="19" a="1"/>
  <c r="B20" i="19" s="1"/>
  <c r="B9" i="19" a="1"/>
  <c r="B9" i="19" s="1"/>
  <c r="B22" i="19" a="1"/>
  <c r="B22" i="19" s="1"/>
  <c r="B26" i="19" a="1"/>
  <c r="B26" i="19" s="1"/>
  <c r="B5" i="19" a="1"/>
  <c r="B5" i="19" s="1"/>
  <c r="A5" i="19" a="1"/>
  <c r="A5" i="19" s="1"/>
  <c r="A23" i="19" a="1"/>
  <c r="A23" i="19" s="1"/>
  <c r="A6" i="19" a="1"/>
  <c r="A6" i="19" s="1"/>
  <c r="A7" i="21" a="1"/>
  <c r="A7" i="21" s="1"/>
  <c r="A6" i="21" a="1"/>
  <c r="A6" i="21" s="1"/>
  <c r="A20" i="19" a="1"/>
  <c r="A20" i="19" s="1"/>
  <c r="A17" i="19" a="1"/>
  <c r="A17" i="19" s="1"/>
  <c r="A26" i="19" a="1"/>
  <c r="A26" i="19" s="1"/>
  <c r="A22" i="19" a="1"/>
  <c r="A22" i="19" s="1"/>
  <c r="A14" i="19" a="1"/>
  <c r="A14" i="19" s="1"/>
  <c r="A21" i="19" a="1"/>
  <c r="A21" i="19" s="1"/>
  <c r="A8" i="19" a="1"/>
  <c r="A8" i="19" s="1"/>
  <c r="A9" i="19" a="1"/>
  <c r="A9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U9" i="4"/>
  <c r="CR9" i="4"/>
  <c r="CQ9" i="4"/>
  <c r="SN9" i="4" l="1"/>
  <c r="SU9" i="4" s="1"/>
  <c r="SZ9" i="4" l="1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9" i="4"/>
  <c r="CT9" i="4"/>
  <c r="CV9" i="4"/>
  <c r="CX9" i="4"/>
  <c r="CZ9" i="4"/>
  <c r="I9" i="4" l="1"/>
  <c r="H9" i="4"/>
  <c r="T9" i="4"/>
  <c r="U9" i="4" s="1"/>
  <c r="P9" i="4"/>
  <c r="Q9" i="4" s="1"/>
  <c r="R9" i="4"/>
  <c r="S9" i="4" s="1"/>
  <c r="L9" i="4"/>
  <c r="N9" i="4"/>
  <c r="K9" i="4"/>
  <c r="TQ9" i="4"/>
  <c r="TU9" i="4"/>
  <c r="CW9" i="4"/>
  <c r="DA9" i="4" s="1"/>
  <c r="SW9" i="4"/>
  <c r="SX9" i="4"/>
  <c r="TL9" i="4" s="1"/>
  <c r="SY9" i="4"/>
  <c r="TM9" i="4" s="1"/>
  <c r="SV9" i="4"/>
  <c r="J9" i="4" l="1"/>
  <c r="M9" i="4"/>
  <c r="DB9" i="4"/>
  <c r="DC9" i="4"/>
  <c r="TN9" i="4"/>
  <c r="TR9" i="4" s="1"/>
  <c r="TV9" i="4" s="1"/>
  <c r="O9" i="4"/>
  <c r="V9" i="4" l="1"/>
  <c r="X9" i="4" s="1"/>
  <c r="F9" i="4" l="1"/>
  <c r="B6" i="4" s="1" a="1"/>
  <c r="B6" i="4" s="1"/>
  <c r="W9" i="4"/>
  <c r="B8" i="4" l="1" a="1"/>
  <c r="B8" i="4" s="1"/>
  <c r="A8" i="4" a="1"/>
  <c r="A8" i="4" s="1"/>
  <c r="B11" i="4" a="1"/>
  <c r="B11" i="4" s="1"/>
  <c r="B10" i="4" a="1"/>
  <c r="B10" i="4" s="1"/>
  <c r="A10" i="4" a="1"/>
  <c r="A10" i="4" s="1"/>
  <c r="A11" i="4" a="1"/>
  <c r="A11" i="4" s="1"/>
  <c r="A6" i="4" a="1"/>
  <c r="A6" i="4" s="1"/>
  <c r="B9" i="4" a="1"/>
  <c r="B9" i="4" s="1"/>
  <c r="A9" i="4" a="1"/>
  <c r="A9" i="4" s="1"/>
  <c r="B7" i="4" a="1"/>
  <c r="B7" i="4" s="1"/>
  <c r="A7" i="4" a="1"/>
  <c r="A7" i="4" s="1"/>
  <c r="B5" i="4" a="1"/>
  <c r="B5" i="4" s="1"/>
  <c r="B4" i="4" a="1"/>
  <c r="B4" i="4" s="1"/>
  <c r="B12" i="4" a="1"/>
  <c r="B12" i="4" s="1"/>
  <c r="A4" i="4" a="1"/>
  <c r="A4" i="4" s="1"/>
  <c r="A5" i="4" a="1"/>
  <c r="A5" i="4" s="1"/>
  <c r="A12" i="4" a="1"/>
  <c r="A12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<sst xmlns="http://schemas.openxmlformats.org/spreadsheetml/2006/main" count="4013" uniqueCount="208">
  <si>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</si>
  <si>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</si>
  <si>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</si>
  <si>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</si>
  <si>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</si>
  <si>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</si>
  <si>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</si>
  <si>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</si>
  <si>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</si>
  <si>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</si>
  <si>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</si>
  <si>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</si>
  <si>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</si>
  <si>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</si>
  <si>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</si>
  <si>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</si>
  <si>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</si>
  <si>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</si>
  <si>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</si>
  <si>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</si>
  <si>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</si>
  <si>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</si>
  <si>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</si>
  <si>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</si>
  <si>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</si>
  <si>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</si>
  <si>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</si>
  <si>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</si>
  <si>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</si>
  <si>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</si>
  <si>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</si>
  <si>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</si>
  <si>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</si>
  <si>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</si>
  <si>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</si>
  <si>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</si>
  <si>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</si>
  <si>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</si>
  <si>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</si>
  <si>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</si>
  <si>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</si>
  <si>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</si>
  <si>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</si>
  <si>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</si>
  <si>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</si>
  <si>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</si>
  <si>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</si>
  <si>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</si>
  <si>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</si>
  <si>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</si>
  <si>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</si>
  <si>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</si>
  <si>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</si>
  <si>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</si>
  <si>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</si>
  <si>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</si>
  <si>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</si>
  <si>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</si>
  <si>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</si>
  <si>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</si>
  <si>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</si>
  <si>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</si>
  <si>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</si>
  <si>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</si>
  <si>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</si>
  <si>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</si>
  <si>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</si>
  <si>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</si>
  <si>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</si>
  <si>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</si>
  <si>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</si>
  <si>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</si>
  <si>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</si>
  <si>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</si>
  <si>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</si>
  <si>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</si>
  <si>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</si>
  <si>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</si>
  <si>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</si>
  <si>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</si>
  <si>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</si>
  <si>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</si>
  <si>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</si>
  <si>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</si>
  <si>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</si>
  <si>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</si>
  <si>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</si>
  <si>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</si>
  <si>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</si>
  <si>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</si>
  <si>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</si>
  <si>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</si>
  <si>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</si>
  <si>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</si>
  <si>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</si>
  <si>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</si>
  <si>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</si>
  <si>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</si>
  <si>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</si>
  <si>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MATHIEU, Jean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</si>
  <si>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</si>
  <si>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</si>
  <si>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</si>
  <si>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</si>
  <si>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</si>
  <si>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</si>
  <si>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</si>
  <si>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BOISSEAU, Mathilde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</si>
  <si>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</si>
  <si>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</si>
  <si>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</si>
  <si>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</si>
  <si>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</si>
  <si>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</si>
  <si>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</si>
  <si>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</si>
  <si>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</si>
  <si>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</si>
  <si>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</si>
  <si>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</si>
  <si>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</si>
  <si>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</si>
  <si>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</si>
  <si>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</si>
  <si>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</si>
  <si>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</si>
  <si>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</si>
  <si>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</si>
  <si>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</si>
  <si>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</si>
  <si>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</si>
  <si>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</si>
  <si>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</si>
  <si>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</si>
  <si>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</si>
  <si>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</si>
  <si>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</si>
  <si>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</si>
  <si>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</si>
  <si>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</si>
  <si>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</si>
  <si>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</si>
  <si>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</si>
  <si>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</si>
  <si>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WILLIMOTT, Amy</t>
  </si>
  <si>
    <t>JANEVSKI, Léa</t>
  </si>
  <si>
    <t>RESCHKE, Jami</t>
  </si>
  <si>
    <t>NATH, Zander</t>
  </si>
  <si>
    <t>BURKHART, Sofia</t>
  </si>
  <si>
    <t>SARTISON, Torrance</t>
  </si>
  <si>
    <t>DUNKLEY, Olivia</t>
  </si>
  <si>
    <t>PETERS, Lane</t>
  </si>
  <si>
    <t>WYGIERA, Liam</t>
  </si>
  <si>
    <t>PROTEAU, Émile</t>
  </si>
  <si>
    <t>RESCHKE, Lina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</si>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</sst>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CYMAN, Cody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BOURGAULT-FOURNIER, Alexis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WILLIMOTT, Amy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BLOOM, Tristan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COUTURE, Joey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LOISELLE, Hector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BERGERON, Ella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BURKHART, Sofia</v>
      </c>
      <c r="D16" s="13" t="str">
        <f>IF(B16&gt;MAX('TUM-W'!B:B),"",INDEX('TUM-W'!J:J,MATCH(B16,'TUM-W'!B:B,0)))</f>
        <v>No DD</v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PECK, Rachel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COUTURE, Joey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HARBO, Owen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MALLAIS, Rylan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BISHOP, Brody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MEYER, Jeremy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KOCAK, Jonas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KWASNIAK, Alicja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SCHMIDT, Jordyn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Emily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OLSEN, Brooklyn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SCHMIDT, Makena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HOWELL, Kayla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45806</v>
      </c>
      <c r="C34" s="66"/>
    </row>
    <row r="35" spans="1:3" x14ac:dyDescent="0.2">
      <c r="B35" t="s">
        <v>199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104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169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165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166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167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197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105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DD"),SUMPRODUCT((J$4:J$28&lt;&gt;"")*(J$4:J$28&lt;&gt;"No DD")*(F$4:F$28&gt;F4))+1,IF(J4="No DD",SUMPRODUCT((J$4:J$28="No DD")*(F$4:F$28&gt;F4))+1+SUMPRODUCT((J$4:J$28&lt;&gt;"")*(J$4:J$28&lt;&gt;"No DD")),""))</f>
        <v>1</v>
      </c>
      <c r="B4" s="4" t="str" cm="1">
        <f t="array" ref="B4">IF(AND(J4&lt;&gt;"",J4&lt;&gt;"No DD",G4=""),SUMPRODUCT((J$4:J$28&lt;&gt;"")*(J$4:J$28&lt;&gt;"No DD")*(G$4:G$28="")*(F$4:F$28&gt;F4))+1,IF(J4="No DD",SUMPRODUCT((J$4:J$28="No DD")*(F$4:F$28&gt;F4)*(G$4:G$28=""))+1+SUMPRODUCT((J$4:J$28&lt;&gt;"")*(G$4:G$28="")*(J$4:J$28&lt;&gt;"No DD")),""))</f>
        <v/>
      </c>
      <c r="C4" s="5" t="s">
        <v>88</v>
      </c>
      <c r="D4" s="4" t="s">
        <v>6</v>
      </c>
      <c r="E4" s="4">
        <v>2005</v>
      </c>
      <c r="F4" s="9">
        <f t="shared" ref="F4:F27" si="0">SUM(L4:V4)+SUM(L4:T4)*0.0000001+SUM(L4)*0.0000000000001</f>
        <v>200.88002008800567</v>
      </c>
      <c r="G4" s="64" t="s">
        <v>46</v>
      </c>
      <c r="H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I4" s="3" t="str">
        <f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J4" s="36" t="str">
        <f>IF(AND(I4="P",H4=""),"No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K4="P","Worlds Team",IF(H4="P","National Team","")))))</f>
        <v>National Team</v>
      </c>
      <c r="K4" s="3" t="str">
        <f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/>
      </c>
      <c r="L4" s="8">
        <f>IF(COUNT(AQ4,AT4,BR4,BU4,CS4,CV4)&gt;0,LARGE((AQ4,AT4,BR4,BU4,CS4,CV4),1),0)</f>
        <v>56.529999999999994</v>
      </c>
      <c r="M4" s="8" t="str">
        <f t="shared" ref="M4:M27" si="1">IF(L4="","",IF(OR(L4=CS4,L4=CV4),$CA$1,IF(OR(L4=BR4,L4=BU4),$AZ$1,IF(OR(L4=AQ4,L4=AT4),$Y$1,""))))</f>
        <v>2024 3rd Domestic Trial</v>
      </c>
      <c r="N4" s="8">
        <f>IF(COUNT(AQ4,AT4,BR4,BU4,CS4,CV4)&gt;1,LARGE((AQ4,AT4,BR4,BU4,CS4,CV4),2),0)</f>
        <v>56.26</v>
      </c>
      <c r="O4" s="8" t="str">
        <f t="shared" ref="O4:O27" si="2"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56.36</v>
      </c>
      <c r="Q4" s="8" t="str">
        <f t="shared" ref="Q4:Q27" si="3">IF(P4="","",IF(P4=CZ4,$CA$1,IF(P4=BY4,$AZ$1,IF(P4=AX4,$Y$1,IF(OR(P4=CS4,P4=CV4,P4=CZ4),$CA$1,IF(OR(P4=BR4,P4=BU4,P4=BY4),$AZ$1,IF(OR(P4=AQ4,P4=AT4,P4=AX4),$Y$1,"")))))))</f>
        <v>2024 3rd Domestic Trial</v>
      </c>
      <c r="R4" s="8">
        <f t="shared" ref="R4:R27" si="4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15.9</v>
      </c>
      <c r="S4" s="8" t="str">
        <f t="shared" ref="S4:S27" si="5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15.83</v>
      </c>
      <c r="U4" s="8" t="str">
        <f t="shared" ref="U4:U27" si="6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 t="shared" ref="V4:V27" si="7">IF(MAX(DB4,DC4)&gt;0,MAX(DB4,DC4),"")</f>
        <v/>
      </c>
      <c r="W4" s="11" t="str">
        <f t="shared" ref="W4:W27" si="8">IF(V4="","",IF(V4=DB4,"("&amp;DB$2&amp;")",IF(V4=DC4,"("&amp;DC$2&amp;")")))</f>
        <v/>
      </c>
      <c r="X4" s="8" t="str">
        <f t="shared" ref="X4:X27" si="9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16.8</v>
      </c>
      <c r="Z4" s="22">
        <v>9.5</v>
      </c>
      <c r="AA4" s="22">
        <v>14.2</v>
      </c>
      <c r="AB4" s="22">
        <v>15.76</v>
      </c>
      <c r="AC4" s="22">
        <v>0</v>
      </c>
      <c r="AD4" s="22">
        <v>16.899999999999999</v>
      </c>
      <c r="AE4" s="22">
        <v>9.4</v>
      </c>
      <c r="AF4" s="22">
        <v>14.4</v>
      </c>
      <c r="AG4" s="22">
        <v>15.83</v>
      </c>
      <c r="AH4" s="22">
        <v>0</v>
      </c>
      <c r="AI4" s="22">
        <v>17</v>
      </c>
      <c r="AJ4" s="22">
        <v>9.3000000000000007</v>
      </c>
      <c r="AK4" s="22">
        <v>14.4</v>
      </c>
      <c r="AL4" s="22">
        <v>15.66</v>
      </c>
      <c r="AM4" s="22">
        <v>0</v>
      </c>
      <c r="AN4" s="27"/>
      <c r="AO4" s="38">
        <f t="shared" ref="AO4:AO27" si="10">IF(AA4&gt;0,AA4,"")</f>
        <v>14.2</v>
      </c>
      <c r="AP4" s="38">
        <f t="shared" ref="AP4:AP27" si="11">IF(AB4&gt;0,AB4,"")</f>
        <v>15.76</v>
      </c>
      <c r="AQ4" s="40">
        <f t="shared" ref="AQ4:AQ27" si="12">IF(SUM(Y4:AB4)-AC4&gt;0,SUM(Y4:AB4)-AC4,"")</f>
        <v>56.26</v>
      </c>
      <c r="AR4" s="40">
        <f t="shared" ref="AR4:AR27" si="13">IF(AF4&gt;0,AF4,"")</f>
        <v>14.4</v>
      </c>
      <c r="AS4" s="40">
        <f t="shared" ref="AS4:AS27" si="14">IF(AG4&gt;0,AG4,"")</f>
        <v>15.83</v>
      </c>
      <c r="AT4" s="40">
        <f t="shared" ref="AT4:AT27" si="15">IF(SUM(AD4:AG4)-AH4&gt;0,SUM(AD4:AG4)-AH4,"")</f>
        <v>56.529999999999994</v>
      </c>
      <c r="AU4" s="40">
        <f t="shared" ref="AU4:AU27" si="16">IF(AQ4="","",MAX(AQ4,AT4))</f>
        <v>56.529999999999994</v>
      </c>
      <c r="AV4" s="40">
        <f t="shared" ref="AV4:AV27" si="17">IF(AK4&gt;0,AK4,"")</f>
        <v>14.4</v>
      </c>
      <c r="AW4" s="40">
        <f t="shared" ref="AW4:AW27" si="18">IF(AL4&gt;0,AL4,"")</f>
        <v>15.66</v>
      </c>
      <c r="AX4" s="40">
        <f t="shared" ref="AX4:AX27" si="19">IF(SUM(AI4:AL4)-AM4&gt;0,SUM(AI4:AL4)-AM4,"")</f>
        <v>56.36</v>
      </c>
      <c r="AY4" s="40">
        <f t="shared" ref="AY4:AY27" si="20">IF(SUM(AU4,AX4)&gt;0,SUM(AU4,AX4),"")</f>
        <v>112.88999999999999</v>
      </c>
      <c r="AZ4" s="26">
        <v>12.9</v>
      </c>
      <c r="BA4" s="26">
        <v>7.9</v>
      </c>
      <c r="BB4" s="26">
        <v>14.2</v>
      </c>
      <c r="BC4" s="26">
        <v>13.71</v>
      </c>
      <c r="BD4" s="26">
        <v>0</v>
      </c>
      <c r="BE4" s="26">
        <v>13</v>
      </c>
      <c r="BF4" s="26">
        <v>8.6999999999999993</v>
      </c>
      <c r="BG4" s="26">
        <v>15.1</v>
      </c>
      <c r="BH4" s="26">
        <v>15.19</v>
      </c>
      <c r="BI4" s="26">
        <v>0</v>
      </c>
      <c r="BJ4" s="26">
        <v>15.3</v>
      </c>
      <c r="BK4" s="26">
        <v>9.3000000000000007</v>
      </c>
      <c r="BL4" s="26">
        <v>14.7</v>
      </c>
      <c r="BM4" s="26">
        <v>15.29</v>
      </c>
      <c r="BN4" s="26">
        <v>0</v>
      </c>
      <c r="BO4" s="28"/>
      <c r="BP4" s="39">
        <f t="shared" ref="BP4:BP27" si="21">IF(BB4&gt;0,BB4,"")</f>
        <v>14.2</v>
      </c>
      <c r="BQ4" s="39">
        <f t="shared" ref="BQ4:BQ27" si="22">IF(BC4&gt;0,BC4,"")</f>
        <v>13.71</v>
      </c>
      <c r="BR4" s="11">
        <f t="shared" ref="BR4:BR27" si="23">IF(SUM(AZ4:BC4)-BD4&gt;0,SUM(AZ4:BC4)-BD4,"")</f>
        <v>48.71</v>
      </c>
      <c r="BS4" s="11">
        <f t="shared" ref="BS4:BS27" si="24">IF(BG4&gt;0,BG4,"")</f>
        <v>15.1</v>
      </c>
      <c r="BT4" s="11">
        <f t="shared" ref="BT4:BT27" si="25">IF(BH4&gt;0,BH4,"")</f>
        <v>15.19</v>
      </c>
      <c r="BU4" s="11">
        <f t="shared" ref="BU4:BU27" si="26">IF(SUM(BE4:BH4)-BI4&gt;0,SUM(BE4:BH4)-BI4,"")</f>
        <v>51.989999999999995</v>
      </c>
      <c r="BV4" s="11">
        <f t="shared" ref="BV4:BV27" si="27">IF(BR4="","",MAX(BR4,BU4))</f>
        <v>51.989999999999995</v>
      </c>
      <c r="BW4" s="11">
        <f t="shared" ref="BW4:BW27" si="28">IF(BL4&gt;0,BL4,"")</f>
        <v>14.7</v>
      </c>
      <c r="BX4" s="11">
        <f t="shared" ref="BX4:BX27" si="29">IF(BM4&gt;0,BM4,"")</f>
        <v>15.29</v>
      </c>
      <c r="BY4" s="11">
        <f t="shared" ref="BY4:BY27" si="30">IF(SUM(BJ4:BM4)-BN4&gt;0,SUM(BJ4:BM4)-BN4,"")</f>
        <v>54.589999999999996</v>
      </c>
      <c r="BZ4" s="11">
        <f t="shared" ref="BZ4:BZ27" si="31">IF(SUM(BV4,BY4)&gt;0,SUM(BV4,BY4),"")</f>
        <v>106.57999999999998</v>
      </c>
      <c r="CA4" s="22">
        <v>15.8</v>
      </c>
      <c r="CB4" s="22">
        <v>9</v>
      </c>
      <c r="CC4" s="22">
        <v>15.9</v>
      </c>
      <c r="CD4" s="22">
        <v>15.33</v>
      </c>
      <c r="CE4" s="22">
        <v>0</v>
      </c>
      <c r="CF4" s="22">
        <v>6.8</v>
      </c>
      <c r="CG4" s="22">
        <v>3.6</v>
      </c>
      <c r="CH4" s="22">
        <v>6.9</v>
      </c>
      <c r="CI4" s="22">
        <v>6.43</v>
      </c>
      <c r="CJ4" s="22">
        <v>0</v>
      </c>
      <c r="CK4" s="22">
        <v>15.5</v>
      </c>
      <c r="CL4" s="22">
        <v>9.5</v>
      </c>
      <c r="CM4" s="22">
        <v>13.9</v>
      </c>
      <c r="CN4" s="22">
        <v>15.04</v>
      </c>
      <c r="CO4" s="22">
        <v>0.6</v>
      </c>
      <c r="CP4" s="27"/>
      <c r="CQ4" s="38">
        <f t="shared" ref="CQ4:CQ27" si="32">IF(CC4&gt;0,CC4,"")</f>
        <v>15.9</v>
      </c>
      <c r="CR4" s="38">
        <f t="shared" ref="CR4:CR27" si="33">IF(CD4&gt;0,CD4,"")</f>
        <v>15.33</v>
      </c>
      <c r="CS4" s="40">
        <f t="shared" ref="CS4:CS27" si="34">IF(SUM(CA4:CD4)-CE4&gt;0,SUM(CA4:CD4)-CE4,"")</f>
        <v>56.03</v>
      </c>
      <c r="CT4" s="40">
        <f t="shared" ref="CT4:CT27" si="35">IF(CH4&gt;0,CH4,"")</f>
        <v>6.9</v>
      </c>
      <c r="CU4" s="40">
        <f t="shared" ref="CU4:CU27" si="36">IF(CI4&gt;0,CI4,"")</f>
        <v>6.43</v>
      </c>
      <c r="CV4" s="40">
        <f t="shared" ref="CV4:CV27" si="37">IF(SUM(CF4:CI4)-CJ4&gt;0,SUM(CF4:CI4)-CJ4,"")</f>
        <v>23.73</v>
      </c>
      <c r="CW4" s="40">
        <f t="shared" ref="CW4:CW27" si="38">IF(CS4="","",MAX(CS4,CV4))</f>
        <v>56.03</v>
      </c>
      <c r="CX4" s="40">
        <f t="shared" ref="CX4:CX27" si="39">IF(CM4&gt;0,CM4,"")</f>
        <v>13.9</v>
      </c>
      <c r="CY4" s="40">
        <f t="shared" ref="CY4:CY27" si="40">IF(CN4&gt;0,CN4,"")</f>
        <v>15.04</v>
      </c>
      <c r="CZ4" s="40">
        <f t="shared" ref="CZ4:CZ27" si="41">IF(SUM(CK4:CN4)-CO4&gt;0,SUM(CK4:CN4)-CO4,"")</f>
        <v>53.339999999999996</v>
      </c>
      <c r="DA4" s="40">
        <f t="shared" ref="DA4:DA27" si="42">IF(SUM(CW4,CZ4)&gt;0,SUM(CW4,CZ4),"")</f>
        <v>109.37</v>
      </c>
      <c r="DB4" s="50" t="str">
        <f t="shared" ref="DB4:DB27" si="43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27" si="44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9.6999999999999993</v>
      </c>
      <c r="DF4" s="17">
        <v>13.4</v>
      </c>
      <c r="DG4" s="17">
        <v>15.39</v>
      </c>
      <c r="DH4" s="17">
        <v>0</v>
      </c>
      <c r="DI4" s="17">
        <v>14.6</v>
      </c>
      <c r="DJ4" s="17">
        <v>9.4</v>
      </c>
      <c r="DK4" s="17">
        <v>14.4</v>
      </c>
      <c r="DL4" s="17">
        <v>15.23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27" si="45">IF(DF4&gt;0,DF4,"")</f>
        <v>13.4</v>
      </c>
      <c r="DY4" s="40">
        <f t="shared" ref="DY4:DY27" si="46">IF(DG4&gt;0,DG4,"")</f>
        <v>15.39</v>
      </c>
      <c r="DZ4" s="40">
        <f t="shared" ref="DZ4:DZ27" si="47">IF(SUM(DD4:DG4)-DH4&gt;0,SUM(DD4:DG4)-DH4,"")</f>
        <v>52.99</v>
      </c>
      <c r="EA4" s="40">
        <f t="shared" ref="EA4:EA27" si="48">IF(DK4&gt;0,DK4,"")</f>
        <v>14.4</v>
      </c>
      <c r="EB4" s="40">
        <f t="shared" ref="EB4:EB27" si="49">IF(DL4&gt;0,DL4,"")</f>
        <v>15.23</v>
      </c>
      <c r="EC4" s="40">
        <f t="shared" ref="EC4:EC27" si="50">IF(SUM(DI4:DL4)-DM4&gt;0,SUM(DI4:DL4)-DM4,"")</f>
        <v>53.629999999999995</v>
      </c>
      <c r="ED4" s="40">
        <f t="shared" ref="ED4:ED27" si="51">IF(MAX(DZ4,EC4)&gt;0,MAX(DZ4,EC4),"")</f>
        <v>53.629999999999995</v>
      </c>
      <c r="EE4" s="40" t="str">
        <f t="shared" ref="EE4:EE27" si="52">IF(DP4&gt;0,DP4,"")</f>
        <v/>
      </c>
      <c r="EF4" s="40" t="str">
        <f t="shared" ref="EF4:EF27" si="53">IF(DQ4&gt;0,DQ4,"")</f>
        <v/>
      </c>
      <c r="EG4" s="40" t="str">
        <f t="shared" ref="EG4:EG27" si="54">IF(SUM(DN4:DQ4)-DR4&gt;0,SUM(DN4:DQ4)-DR4,"")</f>
        <v/>
      </c>
      <c r="EH4" s="40" t="str">
        <f t="shared" ref="EH4:EH27" si="55">IF(DU4&gt;0,DU4,"")</f>
        <v/>
      </c>
      <c r="EI4" s="40" t="str">
        <f t="shared" ref="EI4:EI27" si="56">IF(DV4&gt;0,DV4,"")</f>
        <v/>
      </c>
      <c r="EJ4" s="40" t="str">
        <f t="shared" ref="EJ4:EJ27" si="57">IF(SUM(DS4:DV4)-DW4&gt;0,SUM(DS4:DV4)-DW4,"")</f>
        <v/>
      </c>
      <c r="EK4" s="40">
        <f t="shared" ref="EK4:EK27" si="58">IF(SUM(ED4,EG4,EJ4)&gt;0,SUM(ED4,EG4,EJ4),"")</f>
        <v>53.629999999999995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7" si="59">IF(EN4&gt;0,EN4,"")</f>
        <v/>
      </c>
      <c r="FG4" s="11" t="str">
        <f t="shared" ref="FG4:FG27" si="60">IF(EO4&gt;0,EO4,"")</f>
        <v/>
      </c>
      <c r="FH4" s="11" t="str">
        <f t="shared" ref="FH4:FH27" si="61">IF(SUM(EL4:EO4)-EP4&gt;0,SUM(EL4:EO4)-EP4,"")</f>
        <v/>
      </c>
      <c r="FI4" s="11" t="str">
        <f t="shared" ref="FI4:FI27" si="62">IF(ES4&gt;0,ES4,"")</f>
        <v/>
      </c>
      <c r="FJ4" s="11" t="str">
        <f t="shared" ref="FJ4:FJ27" si="63">IF(ET4&gt;0,ET4,"")</f>
        <v/>
      </c>
      <c r="FK4" s="11" t="str">
        <f t="shared" ref="FK4:FK27" si="64">IF(SUM(EQ4:ET4)-EU4&gt;0,SUM(EQ4:ET4)-EU4,"")</f>
        <v/>
      </c>
      <c r="FL4" s="11" t="str">
        <f t="shared" ref="FL4:FL27" si="65">IF(MAX(FH4,FK4)&gt;0,MAX(FH4,FK4),"")</f>
        <v/>
      </c>
      <c r="FM4" s="11" t="str">
        <f t="shared" ref="FM4:FM27" si="66">IF(EX4&gt;0,EX4,"")</f>
        <v/>
      </c>
      <c r="FN4" s="11" t="str">
        <f t="shared" ref="FN4:FN27" si="67">IF(EY4&gt;0,EY4,"")</f>
        <v/>
      </c>
      <c r="FO4" s="11" t="str">
        <f t="shared" ref="FO4:FO27" si="68">IF(SUM(EV4:EY4)-EZ4&gt;0,SUM(EV4:EY4)-EZ4,"")</f>
        <v/>
      </c>
      <c r="FP4" s="11" t="str">
        <f t="shared" ref="FP4:FP27" si="69">IF(FC4&gt;0,FC4,"")</f>
        <v/>
      </c>
      <c r="FQ4" s="11" t="str">
        <f t="shared" ref="FQ4:FQ27" si="70">IF(FD4&gt;0,FD4,"")</f>
        <v/>
      </c>
      <c r="FR4" s="11" t="str">
        <f t="shared" ref="FR4:FR27" si="71">IF(SUM(FA4:FD4)-FE4&gt;0,SUM(FA4:FD4)-FE4,"")</f>
        <v/>
      </c>
      <c r="FS4" s="11" t="str">
        <f t="shared" ref="FS4:FS27" si="72">IF(SUM(FL4,FO4,FR4)&gt;0,SUM(FL4,FO4,FR4),"")</f>
        <v/>
      </c>
      <c r="FT4" s="17">
        <v>14.8</v>
      </c>
      <c r="FU4" s="17">
        <v>9.5</v>
      </c>
      <c r="FV4" s="17">
        <v>15</v>
      </c>
      <c r="FW4" s="17">
        <v>14.99</v>
      </c>
      <c r="FX4" s="17">
        <v>0</v>
      </c>
      <c r="FY4" s="17">
        <v>15</v>
      </c>
      <c r="FZ4" s="17">
        <v>9.4</v>
      </c>
      <c r="GA4" s="17">
        <v>14.4</v>
      </c>
      <c r="GB4" s="17">
        <v>15.24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27" si="73">IF(FV4&gt;0,FV4,"")</f>
        <v>15</v>
      </c>
      <c r="GO4" s="40">
        <f t="shared" ref="GO4:GO27" si="74">IF(FW4&gt;0,FW4,"")</f>
        <v>14.99</v>
      </c>
      <c r="GP4" s="40">
        <f t="shared" ref="GP4:GP27" si="75">IF(SUM(FT4:FW4)-FX4&gt;0,SUM(FT4:FW4)-FX4,"")</f>
        <v>54.29</v>
      </c>
      <c r="GQ4" s="40">
        <f t="shared" ref="GQ4:GQ27" si="76">IF(GA4&gt;0,GA4,"")</f>
        <v>14.4</v>
      </c>
      <c r="GR4" s="40">
        <f t="shared" ref="GR4:GR27" si="77">IF(GB4&gt;0,GB4,"")</f>
        <v>15.24</v>
      </c>
      <c r="GS4" s="40">
        <f t="shared" ref="GS4:GS27" si="78">IF(SUM(FY4:GB4)-GC4&gt;0,SUM(FY4:GB4)-GC4,"")</f>
        <v>54.04</v>
      </c>
      <c r="GT4" s="40">
        <f t="shared" ref="GT4:GT27" si="79">IF(MAX(GP4,GS4)&gt;0,MAX(GP4,GS4),"")</f>
        <v>54.29</v>
      </c>
      <c r="GU4" s="40" t="str">
        <f t="shared" ref="GU4:GU27" si="80">IF(GF4&gt;0,GF4,"")</f>
        <v/>
      </c>
      <c r="GV4" s="40" t="str">
        <f t="shared" ref="GV4:GV27" si="81">IF(GG4&gt;0,GG4,"")</f>
        <v/>
      </c>
      <c r="GW4" s="40" t="str">
        <f t="shared" ref="GW4:GW27" si="82">IF(SUM(GD4:GG4)-GH4&gt;0,SUM(GD4:GG4)-GH4,"")</f>
        <v/>
      </c>
      <c r="GX4" s="40" t="str">
        <f t="shared" ref="GX4:GX27" si="83">IF(GK4&gt;0,GK4,"")</f>
        <v/>
      </c>
      <c r="GY4" s="40" t="str">
        <f t="shared" ref="GY4:GY27" si="84">IF(GL4&gt;0,GL4,"")</f>
        <v/>
      </c>
      <c r="GZ4" s="40" t="str">
        <f t="shared" ref="GZ4:GZ27" si="85">IF(SUM(GI4:GL4)-GM4&gt;0,SUM(GI4:GL4)-GM4,"")</f>
        <v/>
      </c>
      <c r="HA4" s="40">
        <f t="shared" ref="HA4:HA27" si="86">IF(SUM(GT4,GW4,GZ4)&gt;0,SUM(GT4,GW4,GZ4),"")</f>
        <v>54.29</v>
      </c>
      <c r="HB4" s="18">
        <v>13.9</v>
      </c>
      <c r="HC4" s="18">
        <v>8.6</v>
      </c>
      <c r="HD4" s="18">
        <v>15.5</v>
      </c>
      <c r="HE4" s="18">
        <v>15.27</v>
      </c>
      <c r="HF4" s="18">
        <v>0</v>
      </c>
      <c r="HG4" s="18">
        <v>2.9</v>
      </c>
      <c r="HH4" s="18">
        <v>1.7</v>
      </c>
      <c r="HI4" s="18">
        <v>3.5</v>
      </c>
      <c r="HJ4" s="18">
        <v>3.22</v>
      </c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 t="shared" ref="HV4:HV27" si="87">IF(HD4&gt;0,HD4,"")</f>
        <v>15.5</v>
      </c>
      <c r="HW4" s="11">
        <f t="shared" ref="HW4:HW27" si="88">IF(HE4&gt;0,HE4,"")</f>
        <v>15.27</v>
      </c>
      <c r="HX4" s="11">
        <f t="shared" ref="HX4:HX27" si="89">IF(SUM(HB4:HE4)-HF4&gt;0,SUM(HB4:HE4)-HF4,"")</f>
        <v>53.269999999999996</v>
      </c>
      <c r="HY4" s="11">
        <f t="shared" ref="HY4:HY27" si="90">IF(HI4&gt;0,HI4,"")</f>
        <v>3.5</v>
      </c>
      <c r="HZ4" s="11">
        <f t="shared" ref="HZ4:HZ27" si="91">IF(HJ4&gt;0,HJ4,"")</f>
        <v>3.22</v>
      </c>
      <c r="IA4" s="11">
        <f t="shared" ref="IA4:IA27" si="92">IF(SUM(HG4:HJ4)-HK4&gt;0,SUM(HG4:HJ4)-HK4,"")</f>
        <v>11.32</v>
      </c>
      <c r="IB4" s="11">
        <f t="shared" ref="IB4:IB27" si="93">IF(MAX(HX4,IA4)&gt;0,MAX(HX4,IA4),"")</f>
        <v>53.269999999999996</v>
      </c>
      <c r="IC4" s="11" t="str">
        <f t="shared" ref="IC4:IC27" si="94">IF(HN4&gt;0,HN4,"")</f>
        <v/>
      </c>
      <c r="ID4" s="11" t="str">
        <f t="shared" ref="ID4:ID27" si="95">IF(HO4&gt;0,HO4,"")</f>
        <v/>
      </c>
      <c r="IE4" s="11" t="str">
        <f t="shared" ref="IE4:IE27" si="96">IF(SUM(HL4:HO4)-HP4&gt;0,SUM(HL4:HO4)-HP4,"")</f>
        <v/>
      </c>
      <c r="IF4" s="11" t="str">
        <f t="shared" ref="IF4:IF27" si="97">IF(HS4&gt;0,HS4,"")</f>
        <v/>
      </c>
      <c r="IG4" s="11" t="str">
        <f t="shared" ref="IG4:IG27" si="98">IF(HT4&gt;0,HT4,"")</f>
        <v/>
      </c>
      <c r="IH4" s="11" t="str">
        <f t="shared" ref="IH4:IH27" si="99">IF(SUM(HQ4:HT4)-HU4&gt;0,SUM(HQ4:HT4)-HU4,"")</f>
        <v/>
      </c>
      <c r="II4" s="11">
        <f t="shared" ref="II4:II27" si="100">IF(SUM(IB4,IE4,IH4)&gt;0,SUM(IB4,IE4,IH4),"")</f>
        <v>53.269999999999996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7" si="101">IF(IL4&gt;0,IL4,"")</f>
        <v/>
      </c>
      <c r="JE4" s="40" t="str">
        <f t="shared" ref="JE4:JE27" si="102">IF(IM4&gt;0,IM4,"")</f>
        <v/>
      </c>
      <c r="JF4" s="40" t="str">
        <f t="shared" ref="JF4:JF27" si="103">IF(SUM(IJ4:IM4)-IN4&gt;0,SUM(IJ4:IM4)-IN4,"")</f>
        <v/>
      </c>
      <c r="JG4" s="40" t="str">
        <f t="shared" ref="JG4:JG27" si="104">IF(IQ4&gt;0,IQ4,"")</f>
        <v/>
      </c>
      <c r="JH4" s="40" t="str">
        <f t="shared" ref="JH4:JH27" si="105">IF(IR4&gt;0,IR4,"")</f>
        <v/>
      </c>
      <c r="JI4" s="40" t="str">
        <f t="shared" ref="JI4:JI27" si="106">IF(SUM(IO4:IR4)-IS4&gt;0,SUM(IO4:IR4)-IS4,"")</f>
        <v/>
      </c>
      <c r="JJ4" s="40" t="str">
        <f t="shared" ref="JJ4:JJ27" si="107">IF(MAX(JF4,JI4)&gt;0,MAX(JF4,JI4),"")</f>
        <v/>
      </c>
      <c r="JK4" s="40" t="str">
        <f t="shared" ref="JK4:JK27" si="108">IF(IV4&gt;0,IV4,"")</f>
        <v/>
      </c>
      <c r="JL4" s="40" t="str">
        <f t="shared" ref="JL4:JL27" si="109">IF(IW4&gt;0,IW4,"")</f>
        <v/>
      </c>
      <c r="JM4" s="40" t="str">
        <f t="shared" ref="JM4:JM27" si="110">IF(SUM(IT4:IW4)-IX4&gt;0,SUM(IT4:IW4)-IX4,"")</f>
        <v/>
      </c>
      <c r="JN4" s="40" t="str">
        <f t="shared" ref="JN4:JN27" si="111">IF(JA4&gt;0,JA4,"")</f>
        <v/>
      </c>
      <c r="JO4" s="40" t="str">
        <f t="shared" ref="JO4:JO27" si="112">IF(JB4&gt;0,JB4,"")</f>
        <v/>
      </c>
      <c r="JP4" s="40" t="str">
        <f t="shared" ref="JP4:JP27" si="113">IF(SUM(IY4:JB4)-JC4&gt;0,SUM(IY4:JB4)-JC4,"")</f>
        <v/>
      </c>
      <c r="JQ4" s="40" t="str">
        <f t="shared" ref="JQ4:JQ27" si="114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7" si="115">IF(JT4&gt;0,JT4,"")</f>
        <v/>
      </c>
      <c r="KM4" s="11" t="str">
        <f t="shared" ref="KM4:KM27" si="116">IF(JU4&gt;0,JU4,"")</f>
        <v/>
      </c>
      <c r="KN4" s="11" t="str">
        <f t="shared" ref="KN4:KN27" si="117">IF(SUM(JR4:JU4)-JV4&gt;0,SUM(JR4:JU4)-JV4,"")</f>
        <v/>
      </c>
      <c r="KO4" s="11" t="str">
        <f t="shared" ref="KO4:KO27" si="118">IF(JY4&gt;0,JY4,"")</f>
        <v/>
      </c>
      <c r="KP4" s="11" t="str">
        <f t="shared" ref="KP4:KP27" si="119">IF(JZ4&gt;0,JZ4,"")</f>
        <v/>
      </c>
      <c r="KQ4" s="11" t="str">
        <f t="shared" ref="KQ4:KQ27" si="120">IF(SUM(JW4:JZ4)-KA4&gt;0,SUM(JW4:JZ4)-KA4,"")</f>
        <v/>
      </c>
      <c r="KR4" s="11" t="str">
        <f t="shared" ref="KR4:KR27" si="121">IF(MAX(KN4,KQ4)&gt;0,MAX(KN4,KQ4),"")</f>
        <v/>
      </c>
      <c r="KS4" s="11" t="str">
        <f t="shared" ref="KS4:KS27" si="122">IF(KD4&gt;0,KD4,"")</f>
        <v/>
      </c>
      <c r="KT4" s="11" t="str">
        <f t="shared" ref="KT4:KT27" si="123">IF(KE4&gt;0,KE4,"")</f>
        <v/>
      </c>
      <c r="KU4" s="11" t="str">
        <f t="shared" ref="KU4:KU27" si="124">IF(SUM(KB4:KE4)-KF4&gt;0,SUM(KB4:KE4)-KF4,"")</f>
        <v/>
      </c>
      <c r="KV4" s="11" t="str">
        <f t="shared" ref="KV4:KV27" si="125">IF(KI4&gt;0,KI4,"")</f>
        <v/>
      </c>
      <c r="KW4" s="11" t="str">
        <f t="shared" ref="KW4:KW27" si="126">IF(KJ4&gt;0,KJ4,"")</f>
        <v/>
      </c>
      <c r="KX4" s="11" t="str">
        <f t="shared" ref="KX4:KX27" si="127">IF(SUM(KG4:KJ4)-KK4&gt;0,SUM(KG4:KJ4)-KK4,"")</f>
        <v/>
      </c>
      <c r="KY4" s="11" t="str">
        <f t="shared" ref="KY4:KY27" si="128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7" si="129">IF(LB4&gt;0,LB4,"")</f>
        <v/>
      </c>
      <c r="LU4" s="40" t="str">
        <f t="shared" ref="LU4:LU27" si="130">IF(LC4&gt;0,LC4,"")</f>
        <v/>
      </c>
      <c r="LV4" s="40" t="str">
        <f t="shared" ref="LV4:LV27" si="131">IF(SUM(KZ4:LC4)-LD4&gt;0,SUM(KZ4:LC4)-LD4,"")</f>
        <v/>
      </c>
      <c r="LW4" s="40" t="str">
        <f t="shared" ref="LW4:LW27" si="132">IF(LG4&gt;0,LG4,"")</f>
        <v/>
      </c>
      <c r="LX4" s="40" t="str">
        <f t="shared" ref="LX4:LX27" si="133">IF(LH4&gt;0,LH4,"")</f>
        <v/>
      </c>
      <c r="LY4" s="40" t="str">
        <f t="shared" ref="LY4:LY27" si="134">IF(SUM(LE4:LH4)-LI4&gt;0,SUM(LE4:LH4)-LI4,"")</f>
        <v/>
      </c>
      <c r="LZ4" s="40" t="str">
        <f t="shared" ref="LZ4:LZ27" si="135">IF(MAX(LV4,LY4)&gt;0,MAX(LV4,LY4),"")</f>
        <v/>
      </c>
      <c r="MA4" s="40" t="str">
        <f t="shared" ref="MA4:MA27" si="136">IF(LL4&gt;0,LL4,"")</f>
        <v/>
      </c>
      <c r="MB4" s="40" t="str">
        <f t="shared" ref="MB4:MB27" si="137">IF(LM4&gt;0,LM4,"")</f>
        <v/>
      </c>
      <c r="MC4" s="40" t="str">
        <f t="shared" ref="MC4:MC27" si="138">IF(SUM(LJ4:LM4)-LN4&gt;0,SUM(LJ4:LM4)-LN4,"")</f>
        <v/>
      </c>
      <c r="MD4" s="40" t="str">
        <f t="shared" ref="MD4:MD27" si="139">IF(LQ4&gt;0,LQ4,"")</f>
        <v/>
      </c>
      <c r="ME4" s="40" t="str">
        <f t="shared" ref="ME4:ME27" si="140">IF(LR4&gt;0,LR4,"")</f>
        <v/>
      </c>
      <c r="MF4" s="40" t="str">
        <f t="shared" ref="MF4:MF27" si="141">IF(SUM(LO4:LR4)-LS4&gt;0,SUM(LO4:LR4)-LS4,"")</f>
        <v/>
      </c>
      <c r="MG4" s="40" t="str">
        <f t="shared" ref="MG4:MG27" si="142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7" si="143">IF(MJ4&gt;0,MJ4,"")</f>
        <v/>
      </c>
      <c r="NC4" s="11" t="str">
        <f t="shared" ref="NC4:NC27" si="144">IF(MK4&gt;0,MK4,"")</f>
        <v/>
      </c>
      <c r="ND4" s="11" t="str">
        <f t="shared" ref="ND4:ND27" si="145">IF(SUM(MH4:MK4)-ML4&gt;0,SUM(MH4:MK4)-ML4,"")</f>
        <v/>
      </c>
      <c r="NE4" s="11" t="str">
        <f t="shared" ref="NE4:NE27" si="146">IF(MO4&gt;0,MO4,"")</f>
        <v/>
      </c>
      <c r="NF4" s="11" t="str">
        <f t="shared" ref="NF4:NF27" si="147">IF(MP4&gt;0,MP4,"")</f>
        <v/>
      </c>
      <c r="NG4" s="11" t="str">
        <f t="shared" ref="NG4:NG27" si="148">IF(SUM(MM4:MP4)-MQ4&gt;0,SUM(MM4:MP4)-MQ4,"")</f>
        <v/>
      </c>
      <c r="NH4" s="11" t="str">
        <f t="shared" ref="NH4:NH27" si="149">IF(MAX(ND4,NG4)&gt;0,MAX(ND4,NG4),"")</f>
        <v/>
      </c>
      <c r="NI4" s="11" t="str">
        <f t="shared" ref="NI4:NI27" si="150">IF(MT4&gt;0,MT4,"")</f>
        <v/>
      </c>
      <c r="NJ4" s="11" t="str">
        <f t="shared" ref="NJ4:NJ27" si="151">IF(MU4&gt;0,MU4,"")</f>
        <v/>
      </c>
      <c r="NK4" s="11" t="str">
        <f t="shared" ref="NK4:NK27" si="152">IF(SUM(MR4:MU4)-MV4&gt;0,SUM(MR4:MU4)-MV4,"")</f>
        <v/>
      </c>
      <c r="NL4" s="11" t="str">
        <f t="shared" ref="NL4:NL27" si="153">IF(MY4&gt;0,MY4,"")</f>
        <v/>
      </c>
      <c r="NM4" s="11" t="str">
        <f t="shared" ref="NM4:NM27" si="154">IF(MZ4&gt;0,MZ4,"")</f>
        <v/>
      </c>
      <c r="NN4" s="11" t="str">
        <f t="shared" ref="NN4:NN27" si="155">IF(SUM(MW4:MZ4)-NA4&gt;0,SUM(MW4:MZ4)-NA4,"")</f>
        <v/>
      </c>
      <c r="NO4" s="11" t="str">
        <f t="shared" ref="NO4:NO27" si="156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7" si="157">IF(NR4&gt;0,NR4,"")</f>
        <v/>
      </c>
      <c r="OK4" s="40" t="str">
        <f t="shared" ref="OK4:OK27" si="158">IF(NS4&gt;0,NS4,"")</f>
        <v/>
      </c>
      <c r="OL4" s="40" t="str">
        <f t="shared" ref="OL4:OL27" si="159">IF(SUM(NP4:NS4)-NT4&gt;0,SUM(NP4:NS4)-NT4,"")</f>
        <v/>
      </c>
      <c r="OM4" s="40" t="str">
        <f t="shared" ref="OM4:OM27" si="160">IF(NW4&gt;0,NW4,"")</f>
        <v/>
      </c>
      <c r="ON4" s="40" t="str">
        <f t="shared" ref="ON4:ON27" si="161">IF(NX4&gt;0,NX4,"")</f>
        <v/>
      </c>
      <c r="OO4" s="40" t="str">
        <f t="shared" ref="OO4:OO27" si="162">IF(SUM(NU4:NX4)-NY4&gt;0,SUM(NU4:NX4)-NY4,"")</f>
        <v/>
      </c>
      <c r="OP4" s="40" t="str">
        <f t="shared" ref="OP4:OP27" si="163">IF(MAX(OL4,OO4)&gt;0,MAX(OL4,OO4),"")</f>
        <v/>
      </c>
      <c r="OQ4" s="40" t="str">
        <f t="shared" ref="OQ4:OQ27" si="164">IF(OB4&gt;0,OB4,"")</f>
        <v/>
      </c>
      <c r="OR4" s="40" t="str">
        <f t="shared" ref="OR4:OR27" si="165">IF(OC4&gt;0,OC4,"")</f>
        <v/>
      </c>
      <c r="OS4" s="40" t="str">
        <f t="shared" ref="OS4:OS27" si="166">IF(SUM(NZ4:OC4)-OD4&gt;0,SUM(NZ4:OC4)-OD4,"")</f>
        <v/>
      </c>
      <c r="OT4" s="40" t="str">
        <f t="shared" ref="OT4:OT27" si="167">IF(OG4&gt;0,OG4,"")</f>
        <v/>
      </c>
      <c r="OU4" s="40" t="str">
        <f t="shared" ref="OU4:OU27" si="168">IF(OH4&gt;0,OH4,"")</f>
        <v/>
      </c>
      <c r="OV4" s="40" t="str">
        <f t="shared" ref="OV4:OV27" si="169">IF(SUM(OE4:OH4)-OI4&gt;0,SUM(OE4:OH4)-OI4,"")</f>
        <v/>
      </c>
      <c r="OW4" s="40" t="str">
        <f t="shared" ref="OW4:OW27" si="170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1">IF(OZ4&gt;0,OZ4,"")</f>
        <v/>
      </c>
      <c r="PS4" s="11" t="str">
        <f t="shared" ref="PS4:PS27" si="172">IF(PA4&gt;0,PA4,"")</f>
        <v/>
      </c>
      <c r="PT4" s="11" t="str">
        <f t="shared" ref="PT4:PT27" si="173">IF(SUM(OX4:PA4)-PB4&gt;0,SUM(OX4:PA4)-PB4,"")</f>
        <v/>
      </c>
      <c r="PU4" s="11" t="str">
        <f t="shared" ref="PU4:PU27" si="174">IF(PE4&gt;0,PE4,"")</f>
        <v/>
      </c>
      <c r="PV4" s="11" t="str">
        <f t="shared" ref="PV4:PV27" si="175">IF(PF4&gt;0,PF4,"")</f>
        <v/>
      </c>
      <c r="PW4" s="11" t="str">
        <f t="shared" ref="PW4:PW27" si="176">IF(SUM(PC4:PF4)-PG4&gt;0,SUM(PC4:PF4)-PG4,"")</f>
        <v/>
      </c>
      <c r="PX4" s="11" t="str">
        <f t="shared" ref="PX4:PX27" si="177">IF(MAX(PT4,PW4)&gt;0,MAX(PT4,PW4),"")</f>
        <v/>
      </c>
      <c r="PY4" s="11" t="str">
        <f t="shared" ref="PY4:PY27" si="178">IF(PJ4&gt;0,PJ4,"")</f>
        <v/>
      </c>
      <c r="PZ4" s="11" t="str">
        <f t="shared" ref="PZ4:PZ27" si="179">IF(PK4&gt;0,PK4,"")</f>
        <v/>
      </c>
      <c r="QA4" s="11" t="str">
        <f t="shared" ref="QA4:QA27" si="180">IF(SUM(PH4:PK4)-PL4&gt;0,SUM(PH4:PK4)-PL4,"")</f>
        <v/>
      </c>
      <c r="QB4" s="11" t="str">
        <f t="shared" ref="QB4:QB27" si="181">IF(PO4&gt;0,PO4,"")</f>
        <v/>
      </c>
      <c r="QC4" s="11" t="str">
        <f t="shared" ref="QC4:QC27" si="182">IF(PP4&gt;0,PP4,"")</f>
        <v/>
      </c>
      <c r="QD4" s="11" t="str">
        <f t="shared" ref="QD4:QD27" si="183">IF(SUM(PM4:PP4)-PQ4&gt;0,SUM(PM4:PP4)-PQ4,"")</f>
        <v/>
      </c>
      <c r="QE4" s="11" t="str">
        <f t="shared" ref="QE4:QE27" si="184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7" si="185">IF(QH4&gt;0,QH4,"")</f>
        <v/>
      </c>
      <c r="RA4" s="40" t="str">
        <f t="shared" ref="RA4:RA27" si="186">IF(QI4&gt;0,QI4,"")</f>
        <v/>
      </c>
      <c r="RB4" s="40" t="str">
        <f t="shared" ref="RB4:RB27" si="187">IF(SUM(QF4:QI4)-QJ4&gt;0,SUM(QF4:QI4)-QJ4,"")</f>
        <v/>
      </c>
      <c r="RC4" s="40" t="str">
        <f t="shared" ref="RC4:RC27" si="188">IF(QM4&gt;0,QM4,"")</f>
        <v/>
      </c>
      <c r="RD4" s="40" t="str">
        <f t="shared" ref="RD4:RD27" si="189">IF(QN4&gt;0,QN4,"")</f>
        <v/>
      </c>
      <c r="RE4" s="40" t="str">
        <f t="shared" ref="RE4:RE27" si="190">IF(SUM(QK4:QN4)-QO4&gt;0,SUM(QK4:QN4)-QO4,"")</f>
        <v/>
      </c>
      <c r="RF4" s="40" t="str">
        <f t="shared" ref="RF4:RF27" si="191">IF(MAX(RB4,RE4)&gt;0,MAX(RB4,RE4),"")</f>
        <v/>
      </c>
      <c r="RG4" s="40" t="str">
        <f t="shared" ref="RG4:RG27" si="192">IF(QR4&gt;0,QR4,"")</f>
        <v/>
      </c>
      <c r="RH4" s="40" t="str">
        <f t="shared" ref="RH4:RH27" si="193">IF(QS4&gt;0,QS4,"")</f>
        <v/>
      </c>
      <c r="RI4" s="40" t="str">
        <f t="shared" ref="RI4:RI27" si="194">IF(SUM(QP4:QS4)-QT4&gt;0,SUM(QP4:QS4)-QT4,"")</f>
        <v/>
      </c>
      <c r="RJ4" s="40" t="str">
        <f t="shared" ref="RJ4:RJ27" si="195">IF(QW4&gt;0,QW4,"")</f>
        <v/>
      </c>
      <c r="RK4" s="40" t="str">
        <f t="shared" ref="RK4:RK27" si="196">IF(QX4&gt;0,QX4,"")</f>
        <v/>
      </c>
      <c r="RL4" s="40" t="str">
        <f t="shared" ref="RL4:RL27" si="197">IF(SUM(QU4:QX4)-QY4&gt;0,SUM(QU4:QX4)-QY4,"")</f>
        <v/>
      </c>
      <c r="RM4" s="40" t="str">
        <f t="shared" ref="RM4:RM27" si="198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7" si="199">IF(RP4&gt;0,RP4,"")</f>
        <v/>
      </c>
      <c r="SI4" s="11" t="str">
        <f t="shared" ref="SI4:SI27" si="200">IF(RQ4&gt;0,RQ4,"")</f>
        <v/>
      </c>
      <c r="SJ4" s="11" t="str">
        <f t="shared" ref="SJ4:SJ27" si="201">IF(SUM(RN4:RQ4)-RR4&gt;0,SUM(RN4:RQ4)-RR4,"")</f>
        <v/>
      </c>
      <c r="SK4" s="11" t="str">
        <f t="shared" ref="SK4:SK27" si="202">IF(RU4&gt;0,RU4,"")</f>
        <v/>
      </c>
      <c r="SL4" s="11" t="str">
        <f t="shared" ref="SL4:SL27" si="203">IF(RV4&gt;0,RV4,"")</f>
        <v/>
      </c>
      <c r="SM4" s="11" t="str">
        <f t="shared" ref="SM4:SM27" si="204">IF(SUM(RS4:RV4)-RW4&gt;0,SUM(RS4:RV4)-RW4,"")</f>
        <v/>
      </c>
      <c r="SN4" s="11" t="str">
        <f t="shared" ref="SN4:SN27" si="205">IF(MAX(SJ4,SM4)&gt;0,MAX(SJ4,SM4),"")</f>
        <v/>
      </c>
      <c r="SO4" s="11" t="str">
        <f t="shared" ref="SO4:SO27" si="206">IF(RZ4&gt;0,RZ4,"")</f>
        <v/>
      </c>
      <c r="SP4" s="11" t="str">
        <f t="shared" ref="SP4:SP27" si="207">IF(SA4&gt;0,SA4,"")</f>
        <v/>
      </c>
      <c r="SQ4" s="11" t="str">
        <f t="shared" ref="SQ4:SQ27" si="208">IF(SUM(RX4:SA4)-SB4&gt;0,SUM(RX4:SA4)-SB4,"")</f>
        <v/>
      </c>
      <c r="SR4" s="11" t="str">
        <f t="shared" ref="SR4:SR27" si="209">IF(SE4&gt;0,SE4,"")</f>
        <v/>
      </c>
      <c r="SS4" s="11" t="str">
        <f t="shared" ref="SS4:SS27" si="210">IF(SF4&gt;0,SF4,"")</f>
        <v/>
      </c>
      <c r="ST4" s="11" t="str">
        <f t="shared" ref="ST4:ST27" si="211">IF(SUM(SC4:SF4)-SG4&gt;0,SUM(SC4:SF4)-SG4,"")</f>
        <v/>
      </c>
      <c r="SU4" s="11" t="str">
        <f t="shared" ref="SU4:SU27" si="212">IF(SUM(SN4,SQ4,ST4)&gt;0,SUM(SN4,SQ4,ST4),"")</f>
        <v/>
      </c>
      <c r="SV4" s="22">
        <f t="shared" ref="SV4:SV27" si="213">IF($CP4="P",CA4,(CA4+AZ4)/2)</f>
        <v>14.350000000000001</v>
      </c>
      <c r="SW4" s="22">
        <f t="shared" ref="SW4:SW27" si="214">IF($CP4="P",CB4,(CB4+BA4)/2)</f>
        <v>8.4499999999999993</v>
      </c>
      <c r="SX4" s="22">
        <f t="shared" ref="SX4:SX27" si="215">IF($CP4="P",CC4,(CC4+BB4)/2)</f>
        <v>15.05</v>
      </c>
      <c r="SY4" s="22">
        <f t="shared" ref="SY4:SY27" si="216">IF($CP4="P",CD4,(CD4+BC4)/2)</f>
        <v>14.52</v>
      </c>
      <c r="SZ4" s="22">
        <f t="shared" ref="SZ4:SZ27" si="217">IF($CP4="P",CE4,(CE4+BD4)/2)</f>
        <v>0</v>
      </c>
      <c r="TA4" s="22">
        <f t="shared" ref="TA4:TA27" si="218">IF($CP4="P",CF4,(CF4+BE4)/2)</f>
        <v>9.9</v>
      </c>
      <c r="TB4" s="22">
        <f t="shared" ref="TB4:TB27" si="219">IF($CP4="P",CG4,(CG4+BF4)/2)</f>
        <v>6.1499999999999995</v>
      </c>
      <c r="TC4" s="22">
        <f t="shared" ref="TC4:TC27" si="220">IF($CP4="P",CH4,(CH4+BG4)/2)</f>
        <v>11</v>
      </c>
      <c r="TD4" s="22">
        <f t="shared" ref="TD4:TD27" si="221">IF($CP4="P",CI4,(CI4+BH4)/2)</f>
        <v>10.809999999999999</v>
      </c>
      <c r="TE4" s="22">
        <f t="shared" ref="TE4:TE27" si="222">IF($CP4="P",CJ4,(CJ4+BI4)/2)</f>
        <v>0</v>
      </c>
      <c r="TF4" s="22">
        <f t="shared" ref="TF4:TF27" si="223">IF($CP4="P",CK4,(CK4+BJ4)/2)</f>
        <v>15.4</v>
      </c>
      <c r="TG4" s="22">
        <f t="shared" ref="TG4:TG27" si="224">IF($CP4="P",CL4,(CL4+BK4)/2)</f>
        <v>9.4</v>
      </c>
      <c r="TH4" s="22">
        <f t="shared" ref="TH4:TH27" si="225">IF($CP4="P",CM4,(CM4+BL4)/2)</f>
        <v>14.3</v>
      </c>
      <c r="TI4" s="22">
        <f t="shared" ref="TI4:TI27" si="226">IF($CP4="P",CN4,(CN4+BM4)/2)</f>
        <v>15.164999999999999</v>
      </c>
      <c r="TJ4" s="22">
        <f t="shared" ref="TJ4:TJ27" si="227">IF($CP4="P",CO4,(CO4+BN4)/2)</f>
        <v>0.3</v>
      </c>
      <c r="TK4" s="27" t="s">
        <v>46</v>
      </c>
      <c r="TL4" s="40">
        <f t="shared" ref="TL4:TL27" si="228">IF(SX4&gt;0,SX4,"")</f>
        <v>15.05</v>
      </c>
      <c r="TM4" s="40">
        <f t="shared" ref="TM4:TM27" si="229">IF(SY4&gt;0,SY4,"")</f>
        <v>14.52</v>
      </c>
      <c r="TN4" s="40">
        <f t="shared" ref="TN4:TN27" si="230">IF(SUM(SV4:SY4)-SZ4&gt;0,SUM(SV4:SY4)-SZ4,"")</f>
        <v>52.370000000000005</v>
      </c>
      <c r="TO4" s="40">
        <f t="shared" ref="TO4:TO27" si="231">IF(TC4&gt;0,TC4,"")</f>
        <v>11</v>
      </c>
      <c r="TP4" s="40">
        <f t="shared" ref="TP4:TP27" si="232">IF(TD4&gt;0,TD4,"")</f>
        <v>10.809999999999999</v>
      </c>
      <c r="TQ4" s="40">
        <f t="shared" ref="TQ4:TQ27" si="233">IF(SUM(TA4:TD4)-TE4&gt;0,SUM(TA4:TD4)-TE4,"")</f>
        <v>37.86</v>
      </c>
      <c r="TR4" s="40">
        <f t="shared" ref="TR4:TR27" si="234">IF(MAX(TN4,TQ4)&gt;0,MAX(TN4,TQ4),"")</f>
        <v>52.370000000000005</v>
      </c>
      <c r="TS4" s="40">
        <f t="shared" ref="TS4:TS27" si="235">IF(TH4&gt;0,TH4,"")</f>
        <v>14.3</v>
      </c>
      <c r="TT4" s="40">
        <f t="shared" ref="TT4:TT27" si="236">IF(TI4&gt;0,TI4,"")</f>
        <v>15.164999999999999</v>
      </c>
      <c r="TU4" s="40">
        <f t="shared" ref="TU4:TU27" si="237">IF(SUM(TF4:TI4)-TJ4&gt;0,SUM(TF4:TI4)-TJ4,"")</f>
        <v>53.965000000000003</v>
      </c>
      <c r="TV4" s="40">
        <f t="shared" ref="TV4:TV27" si="238">IF(SUM(TR4,TU4)&gt;0,SUM(TR4,TU4),"")</f>
        <v>106.33500000000001</v>
      </c>
    </row>
    <row r="5" spans="1:542" x14ac:dyDescent="0.2">
      <c r="A5" s="4" cm="1">
        <f t="array" ref="A5">IF(AND(J5&lt;&gt;"",J5&lt;&gt;"No DD"),SUMPRODUCT((J$4:J$28&lt;&gt;"")*(J$4:J$28&lt;&gt;"No DD")*(F$4:F$28&gt;F5))+1,IF(J5="No DD",SUMPRODUCT((J$4:J$28="No DD")*(F$4:F$28&gt;F5))+1+SUMPRODUCT((J$4:J$28&lt;&gt;"")*(J$4:J$28&lt;&gt;"No DD")),""))</f>
        <v>2</v>
      </c>
      <c r="B5" s="4" t="str" cm="1">
        <f t="array" ref="B5">IF(AND(J5&lt;&gt;"",J5&lt;&gt;"No DD",G5=""),SUMPRODUCT((J$4:J$28&lt;&gt;"")*(J$4:J$28&lt;&gt;"No DD")*(G$4:G$28="")*(F$4:F$28&gt;F5))+1,IF(J5="No DD",SUMPRODUCT((J$4:J$28="No DD")*(F$4:F$28&gt;F5)*(G$4:G$28=""))+1+SUMPRODUCT((J$4:J$28&lt;&gt;"")*(G$4:G$28="")*(J$4:J$28&lt;&gt;"No DD")),""))</f>
        <v/>
      </c>
      <c r="C5" s="5" t="s">
        <v>113</v>
      </c>
      <c r="D5" s="4" t="s">
        <v>6</v>
      </c>
      <c r="E5" s="4">
        <v>2006</v>
      </c>
      <c r="F5" s="9">
        <f t="shared" si="0"/>
        <v>200.78001962300564</v>
      </c>
      <c r="G5" s="64" t="s">
        <v>46</v>
      </c>
      <c r="H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P","")</f>
        <v>P</v>
      </c>
      <c r="I5" s="3" t="str">
        <f>IF(OR(AND(AQ5&gt;=AY$34,AQ5&lt;&gt;"",AN5=""),AND(AT5&gt;=AY$34,AT5&lt;&gt;"",AN5=""),AND(AX5&gt;=AY$34,AX5&lt;&gt;"",AN5=""),AND(BR5&gt;=BZ$34,BR5&lt;&gt;"",BO5=""),AND(BU5&gt;=BZ$34,BU5&lt;&gt;"",BO5=""),AND(BY5&gt;=BZ$34,BY5&lt;&gt;"",BO5=""),AND(CS5&gt;=DA$34,CS5&lt;&gt;"",CP5=""),AND(CV5&gt;=DA$34,CV5&lt;&gt;"",CP5=""),AND(CZ5&gt;=DA$34,CZ5&lt;&gt;"",CP5=""),AND(DZ5&gt;=EK$34,DZ5&lt;&gt;""),AND(EC5&gt;=EK$34,EC5&lt;&gt;""),AND(EG5&gt;=EK$34,EG5&lt;&gt;""),AND(EJ5&gt;=EK$34,EJ5&lt;&gt;""),AND(FH5&gt;=FS$34,FH5&lt;&gt;""),AND(FK5&gt;=FS$34,FK5&lt;&gt;""),AND(FO5&gt;=FS$34,FO5&lt;&gt;""),AND(FR5&gt;=FS$34,FR5&lt;&gt;""),AND(GP5&gt;=HA$34,GP5&lt;&gt;""),AND(GS5&gt;=HA$34,GS5&lt;&gt;""),AND(GW5&gt;=HA$34,GW5&lt;&gt;""),AND(GZ5&gt;=HA$34,GZ5&lt;&gt;""),AND(HX5&gt;=II$34,HX5&lt;&gt;""),AND(IA5&gt;=II$34,IA5&lt;&gt;""),AND(IE5&gt;=II$34,IE5&lt;&gt;""),AND(IH5&gt;=II$34,IH5&lt;&gt;""),AND(JF5&gt;=JQ$34,JF5&lt;&gt;""),AND(JI5&gt;=JQ$34,JI5&lt;&gt;""),AND(JM5&gt;=JQ$34,JM5&lt;&gt;""),AND(JP5&gt;=JQ$34,JP5&lt;&gt;""),AND(KN5&gt;=KY$34,KN5&lt;&gt;""),AND(KQ5&gt;=KY$34,KQ5&lt;&gt;""),AND(KU5&gt;=KY$34,KU5&lt;&gt;""),AND(KX5&gt;=KY$34,KX5&lt;&gt;""),AND(LV5&gt;=MG$34,LV5&lt;&gt;""),AND(LY5&gt;=MG$34,LY5&lt;&gt;""),AND(MC5&gt;=MG$34,MC5&lt;&gt;""),AND(MF5&gt;=MG$34,MF5&lt;&gt;""),AND(ND5&gt;=NO$34,ND5&lt;&gt;""),AND(NG5&gt;=NO$34,NG5&lt;&gt;""),AND(NK5&gt;=NO$34,NK5&lt;&gt;""),AND(NN5&gt;=NO$34,NN5&lt;&gt;""),AND(OL5&gt;=OW$34,OL5&lt;&gt;""),AND(OO5&gt;=OW$34,OO5&lt;&gt;""),AND(OS5&gt;=OW$34,OS5&lt;&gt;""),AND(OV5&gt;=OW$34,OV5&lt;&gt;""),AND(PT5&gt;=QE$34,PT5&lt;&gt;""),AND(PW5&gt;=QE$34,PW5&lt;&gt;""),AND(QA5&gt;=QE$34,QA5&lt;&gt;""),AND(QD5&gt;=QE$34,QD5&lt;&gt;""),AND(RB5&gt;=RM$34,RB5&lt;&gt;""),AND(RE5&gt;=RM$34,RE5&lt;&gt;""),AND(RI5&gt;=RM$34,RI5&lt;&gt;""),AND(RL5&gt;=RM$34,RL5&lt;&gt;""),AND(SJ5&gt;=SU$34,SJ5&lt;&gt;""),AND(SM5&gt;=SU$34,SM5&lt;&gt;""),AND(SQ5&gt;=SU$34,SQ5&lt;&gt;""),AND(ST5&gt;=SU$34,ST5&lt;&gt;"")),"P","")</f>
        <v>P</v>
      </c>
      <c r="J5" s="36" t="str">
        <f>IF(AND(I5="P",H5=""),"No DD",IF(OR(AND(AO5&gt;=AY$33,AO5&lt;&gt;"",AQ5&gt;=AY$37,AQ5&lt;&gt;"",AN5=""),AND(AR5&gt;=AY$33,AR5&lt;&gt;"",AT5&gt;=AY$37,AT5&lt;&gt;"",AN5=""),AND(AV5&gt;=AY$33,AV5&lt;&gt;"",AX5&gt;=AY$37,AX5&lt;&gt;"",AN5=""),AND(BP5&gt;=BZ$33,BP5&lt;&gt;"",BR5&gt;=BZ$37,BR5&lt;&gt;"",BO5=""),AND(BS5&gt;=BZ$33,BS5&lt;&gt;"",BU5&gt;=BZ$37,BU5&lt;&gt;"",BO5=""),AND(BW5&gt;=BZ$33,BW5&lt;&gt;"",BY5&gt;=BZ$37,BY5&lt;&gt;"",BO5=""),AND(CQ5&gt;=DA$33,CQ5&lt;&gt;"",CS5&gt;=DA$37,CS5&lt;&gt;"",CP5=""),AND(CT5&gt;=DA$33,CT5&lt;&gt;"",CV5&gt;=DA$37,CV5&lt;&gt;"",CP5=""),AND(CX5&gt;=DA$33,CX5&lt;&gt;"",CZ5&gt;=DA$37,CZ5&lt;&gt;"",CP5=""),AND(DX5&gt;=EK$33,DX5&lt;&gt;"",DZ5&gt;=EK$37,DZ5&lt;&gt;""),AND(EA5&gt;=EK$33,EA5&lt;&gt;"",EC5&gt;=EK$37,EC5&lt;&gt;""),AND(EE5&gt;=EK$33,EE5&lt;&gt;"",EG5&gt;=EK$37,EG5&lt;&gt;""),AND(EH5&gt;=EK$33,EH5&lt;&gt;"",EJ5&gt;=EK$37,EJ5&lt;&gt;""),AND(FF5&gt;=FS$33,FF5&lt;&gt;"",FH5&gt;=FS$37,FH5&lt;&gt;""),AND(FI5&gt;=FS$33,FI5&lt;&gt;"",FK5&gt;=FS$37,FK5&lt;&gt;""),AND(FM5&gt;=FS$33,FM5&lt;&gt;"",FO5&gt;=FS$37,FO5&lt;&gt;""),AND(FP5&gt;=FS$33,FP5&lt;&gt;"",FR5&gt;=FS$37,FR5&lt;&gt;""),AND(GN5&gt;=HA$33,GN5&lt;&gt;"",GP5&gt;=HA$37,GP5&lt;&gt;""),AND(GQ5&gt;=HA$33,GQ5&lt;&gt;"",GS5&gt;=HA$37,GS5&lt;&gt;""),AND(GU5&gt;=HA$33,GU5&lt;&gt;"",GW5&gt;=HA$37,GW5&lt;&gt;""),AND(GX5&gt;=HA$33,GX5&lt;&gt;"",GZ5&gt;=HA$37,GZ5&lt;&gt;""),AND(HV5&gt;=II$33,HV5&lt;&gt;"",HX5&gt;=II$37,HX5&lt;&gt;""),AND(HY5&gt;=II$33,HY5&lt;&gt;"",IA5&gt;=II$37,IA5&lt;&gt;""),AND(IC5&gt;=II$33,IC5&lt;&gt;"",IE5&gt;=II$37,IE5&lt;&gt;""),AND(IF5&gt;=II$33,IF5&lt;&gt;"",IH5&gt;=II$37,IH5&lt;&gt;""),AND(JD5&gt;=JQ$33,JD5&lt;&gt;"",JF5&gt;=JQ$37,JF5&lt;&gt;""),AND(JG5&gt;=JQ$33,JG5&lt;&gt;"",JI5&gt;=JQ$37,JI5&lt;&gt;""),AND(JK5&gt;=JQ$33,JK5&lt;&gt;"",JM5&gt;=JQ$37,JM5&lt;&gt;""),AND(JN5&gt;=JQ$33,JN5&lt;&gt;"",JP5&gt;=JQ$37,JP5&lt;&gt;""),AND(KL5&gt;=KY$33,KL5&lt;&gt;"",KN5&gt;=KY$37,KN5&lt;&gt;""),AND(KO5&gt;=KY$33,KO5&lt;&gt;"",KQ5&gt;=KY$37,KQ5&lt;&gt;""),AND(KS5&gt;=KY$33,KS5&lt;&gt;"",KU5&gt;=KY$37,KU5&lt;&gt;""),AND(KV5&gt;=KY$33,KV5&lt;&gt;"",KX5&gt;=KY$37,KX5&lt;&gt;""),AND(LT5&gt;=MG$33,LT5&lt;&gt;"",LV5&gt;=MG$37,LV5&lt;&gt;""),AND(LW5&gt;=MG$33,LW5&lt;&gt;"",LY5&gt;=MG$37,LY5&lt;&gt;""),AND(MA5&gt;=MG$33,MA5&lt;&gt;"",MC5&gt;=MG$37,MC5&lt;&gt;""),AND(MD5&gt;=MG$33,MD5&lt;&gt;"",MF5&gt;=MG$37,MF5&lt;&gt;""),AND(NB5&gt;=NO$33,NB5&lt;&gt;"",ND5&gt;=NO$37,ND5&lt;&gt;""),AND(NE5&gt;=NO$33,NE5&lt;&gt;"",NG5&gt;=NO$37,NG5&lt;&gt;""),AND(NI5&gt;=NO$33,NI5&lt;&gt;"",NK5&gt;=NO$37,NK5&lt;&gt;""),AND(NL5&gt;=NO$33,NL5&lt;&gt;"",NN5&gt;=NO$37,NN5&lt;&gt;""),AND(OJ5&gt;=OW$33,OJ5&lt;&gt;"",OL5&gt;=OW$37,OL5&lt;&gt;""),AND(OM5&gt;=OW$33,OM5&lt;&gt;"",OO5&gt;=OW$37,OO5&lt;&gt;""),AND(OQ5&gt;=OW$33,OQ5&lt;&gt;"",OS5&gt;=OW$37,OS5&lt;&gt;""),AND(OT5&gt;=OW$33,OT5&lt;&gt;"",OV5&gt;=OW$37,OV5&lt;&gt;""),AND(PR5&gt;=QE$33,PR5&lt;&gt;"",PT5&gt;=QE$37,PT5&lt;&gt;""),AND(PU5&gt;=QE$33,PU5&lt;&gt;"",PW5&gt;=QE$37,PW5&lt;&gt;""),AND(PY5&gt;=QE$33,PY5&lt;&gt;"",QA5&gt;=QE$37,QA5&lt;&gt;""),AND(QB5&gt;=QE$33,QB5&lt;&gt;"",QD5&gt;=QE$37,QD5&lt;&gt;""),AND(QZ5&gt;=RM$33,QZ5&lt;&gt;"",RB5&gt;=RM$37,RB5&lt;&gt;""),AND(RC5&gt;=RM$33,RC5&lt;&gt;"",RE5&gt;=RM$37,RE5&lt;&gt;""),AND(RG5&gt;=RM$33,RG5&lt;&gt;"",RI5&gt;=RM$37,RI5&lt;&gt;""),AND(RJ5&gt;=RM$33,RJ5&lt;&gt;"",RL5&gt;=RM$37,RL5&lt;&gt;""),AND(SH5&gt;=SU$33,SH5&lt;&gt;"",SJ5&gt;=SU$37,SJ5&lt;&gt;""),AND(SK5&gt;=SU$33,SK5&lt;&gt;"",SM5&gt;=SU$37,SM5&lt;&gt;""),AND(SO5&gt;=SU$33,SO5&lt;&gt;"",SQ5&gt;=SU$37,SQ5&lt;&gt;""),AND(SR5&gt;=SU$33,SR5&lt;&gt;"",ST5&gt;=SU$37,ST5&lt;&gt;"")),"Merit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),"Excellence",IF(K5="P","Worlds Team",IF(H5="P","National Team","")))))</f>
        <v>National Team</v>
      </c>
      <c r="K5" s="3" t="str">
        <f>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P","")</f>
        <v/>
      </c>
      <c r="L5" s="8">
        <f>IF(COUNT(AQ5,AT5,BR5,BU5,CS5,CV5)&gt;0,LARGE((AQ5,AT5,BR5,BU5,CS5,CV5),1),0)</f>
        <v>56.190000000000005</v>
      </c>
      <c r="M5" s="8" t="str">
        <f t="shared" si="1"/>
        <v>2024 3rd Domestic Trial</v>
      </c>
      <c r="N5" s="8">
        <f>IF(COUNT(AQ5,AT5,BR5,BU5,CS5,CV5)&gt;1,LARGE((AQ5,AT5,BR5,BU5,CS5,CV5),2),0)</f>
        <v>50.3</v>
      </c>
      <c r="O5" s="8" t="str">
        <f t="shared" si="2"/>
        <v>2025 Nationals</v>
      </c>
      <c r="P5" s="8">
        <f>IF(COUNT(AQ5,AT5,BR5,BU5,CS5,CV5)&gt;2,MAX(AX5,BY5,CZ5,LARGE((AQ5,AT5,BR5,BU5,CS5,CV5),3)),IF(MAX(AX5,BY5,CZ5)&gt;0,MAX(AX5,BY5,CZ5),0))</f>
        <v>57.120000000000005</v>
      </c>
      <c r="Q5" s="8" t="str">
        <f t="shared" si="3"/>
        <v>2024 3rd Domestic Trial</v>
      </c>
      <c r="R5" s="8">
        <f t="shared" si="4"/>
        <v>16.2</v>
      </c>
      <c r="S5" s="8" t="str">
        <f t="shared" si="5"/>
        <v>2024 3rd Domestic Trial</v>
      </c>
      <c r="T5" s="8">
        <f>IF(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&gt;0,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,0)</f>
        <v>16.420000000000002</v>
      </c>
      <c r="U5" s="8" t="str">
        <f t="shared" si="6"/>
        <v>2024 3rd Domestic Trial</v>
      </c>
      <c r="V5" s="8">
        <f t="shared" si="7"/>
        <v>4.5500000000000043</v>
      </c>
      <c r="W5" s="11" t="str">
        <f t="shared" si="8"/>
        <v>(Optional)</v>
      </c>
      <c r="X5" s="8" t="str">
        <f t="shared" si="9"/>
        <v>2024 World Cup POR (July 7)</v>
      </c>
      <c r="Y5" s="22">
        <v>3.1</v>
      </c>
      <c r="Z5" s="22">
        <v>1.8</v>
      </c>
      <c r="AA5" s="22">
        <v>3.8</v>
      </c>
      <c r="AB5" s="22">
        <v>3.5</v>
      </c>
      <c r="AC5" s="22">
        <v>0</v>
      </c>
      <c r="AD5" s="22">
        <v>15</v>
      </c>
      <c r="AE5" s="22">
        <v>9</v>
      </c>
      <c r="AF5" s="22">
        <v>16.2</v>
      </c>
      <c r="AG5" s="22">
        <v>15.99</v>
      </c>
      <c r="AH5" s="22">
        <v>0</v>
      </c>
      <c r="AI5" s="22">
        <v>16</v>
      </c>
      <c r="AJ5" s="22">
        <v>8.5</v>
      </c>
      <c r="AK5" s="22">
        <v>16.2</v>
      </c>
      <c r="AL5" s="22">
        <v>16.420000000000002</v>
      </c>
      <c r="AM5" s="22">
        <v>0</v>
      </c>
      <c r="AN5" s="27"/>
      <c r="AO5" s="38">
        <f t="shared" si="10"/>
        <v>3.8</v>
      </c>
      <c r="AP5" s="38">
        <f t="shared" si="11"/>
        <v>3.5</v>
      </c>
      <c r="AQ5" s="40">
        <f t="shared" si="12"/>
        <v>12.2</v>
      </c>
      <c r="AR5" s="40">
        <f t="shared" si="13"/>
        <v>16.2</v>
      </c>
      <c r="AS5" s="40">
        <f t="shared" si="14"/>
        <v>15.99</v>
      </c>
      <c r="AT5" s="40">
        <f t="shared" si="15"/>
        <v>56.190000000000005</v>
      </c>
      <c r="AU5" s="40">
        <f t="shared" si="16"/>
        <v>56.190000000000005</v>
      </c>
      <c r="AV5" s="40">
        <f t="shared" si="17"/>
        <v>16.2</v>
      </c>
      <c r="AW5" s="40">
        <f t="shared" si="18"/>
        <v>16.420000000000002</v>
      </c>
      <c r="AX5" s="40">
        <f t="shared" si="19"/>
        <v>57.120000000000005</v>
      </c>
      <c r="AY5" s="40">
        <f t="shared" si="20"/>
        <v>113.31</v>
      </c>
      <c r="AZ5" s="26">
        <v>1.6</v>
      </c>
      <c r="BA5" s="26">
        <v>1</v>
      </c>
      <c r="BB5" s="26">
        <v>2</v>
      </c>
      <c r="BC5" s="26">
        <v>1.72</v>
      </c>
      <c r="BD5" s="26">
        <v>0</v>
      </c>
      <c r="BE5" s="26">
        <v>9.8000000000000007</v>
      </c>
      <c r="BF5" s="26">
        <v>5.9</v>
      </c>
      <c r="BG5" s="26">
        <v>9</v>
      </c>
      <c r="BH5" s="26">
        <v>11.15</v>
      </c>
      <c r="BI5" s="26">
        <v>0</v>
      </c>
      <c r="BJ5" s="26"/>
      <c r="BK5" s="26"/>
      <c r="BL5" s="26"/>
      <c r="BM5" s="26"/>
      <c r="BN5" s="26"/>
      <c r="BO5" s="28"/>
      <c r="BP5" s="39">
        <f t="shared" si="21"/>
        <v>2</v>
      </c>
      <c r="BQ5" s="39">
        <f t="shared" si="22"/>
        <v>1.72</v>
      </c>
      <c r="BR5" s="11">
        <f t="shared" si="23"/>
        <v>6.3199999999999994</v>
      </c>
      <c r="BS5" s="11">
        <f t="shared" si="24"/>
        <v>9</v>
      </c>
      <c r="BT5" s="11">
        <f t="shared" si="25"/>
        <v>11.15</v>
      </c>
      <c r="BU5" s="11">
        <f t="shared" si="26"/>
        <v>35.85</v>
      </c>
      <c r="BV5" s="11">
        <f t="shared" si="27"/>
        <v>35.85</v>
      </c>
      <c r="BW5" s="11" t="str">
        <f t="shared" si="28"/>
        <v/>
      </c>
      <c r="BX5" s="11" t="str">
        <f t="shared" si="29"/>
        <v/>
      </c>
      <c r="BY5" s="11" t="str">
        <f t="shared" si="30"/>
        <v/>
      </c>
      <c r="BZ5" s="11">
        <f t="shared" si="31"/>
        <v>35.85</v>
      </c>
      <c r="CA5" s="22">
        <v>12</v>
      </c>
      <c r="CB5" s="22">
        <v>6.3</v>
      </c>
      <c r="CC5" s="22">
        <v>11</v>
      </c>
      <c r="CD5" s="22">
        <v>11.13</v>
      </c>
      <c r="CE5" s="22">
        <v>0</v>
      </c>
      <c r="CF5" s="22">
        <v>14.7</v>
      </c>
      <c r="CG5" s="22">
        <v>7.6</v>
      </c>
      <c r="CH5" s="22">
        <v>13.8</v>
      </c>
      <c r="CI5" s="22">
        <v>14.2</v>
      </c>
      <c r="CJ5" s="22">
        <v>0</v>
      </c>
      <c r="CK5" s="22"/>
      <c r="CL5" s="22"/>
      <c r="CM5" s="22"/>
      <c r="CN5" s="22"/>
      <c r="CO5" s="22"/>
      <c r="CP5" s="27"/>
      <c r="CQ5" s="38">
        <f t="shared" si="32"/>
        <v>11</v>
      </c>
      <c r="CR5" s="38">
        <f t="shared" si="33"/>
        <v>11.13</v>
      </c>
      <c r="CS5" s="40">
        <f t="shared" si="34"/>
        <v>40.43</v>
      </c>
      <c r="CT5" s="40">
        <f t="shared" si="35"/>
        <v>13.8</v>
      </c>
      <c r="CU5" s="40">
        <f t="shared" si="36"/>
        <v>14.2</v>
      </c>
      <c r="CV5" s="40">
        <f t="shared" si="37"/>
        <v>50.3</v>
      </c>
      <c r="CW5" s="40">
        <f t="shared" si="38"/>
        <v>50.3</v>
      </c>
      <c r="CX5" s="40" t="str">
        <f t="shared" si="39"/>
        <v/>
      </c>
      <c r="CY5" s="40" t="str">
        <f t="shared" si="40"/>
        <v/>
      </c>
      <c r="CZ5" s="40" t="str">
        <f t="shared" si="41"/>
        <v/>
      </c>
      <c r="DA5" s="40">
        <f t="shared" si="42"/>
        <v>50.3</v>
      </c>
      <c r="DB5" s="50">
        <f t="shared" si="43"/>
        <v>4.5500000000000043</v>
      </c>
      <c r="DC5" s="50" t="str">
        <f t="shared" si="44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45"/>
        <v/>
      </c>
      <c r="DY5" s="40" t="str">
        <f t="shared" si="46"/>
        <v/>
      </c>
      <c r="DZ5" s="40" t="str">
        <f t="shared" si="47"/>
        <v/>
      </c>
      <c r="EA5" s="40" t="str">
        <f t="shared" si="48"/>
        <v/>
      </c>
      <c r="EB5" s="40" t="str">
        <f t="shared" si="49"/>
        <v/>
      </c>
      <c r="EC5" s="40" t="str">
        <f t="shared" si="50"/>
        <v/>
      </c>
      <c r="ED5" s="40" t="str">
        <f t="shared" si="51"/>
        <v/>
      </c>
      <c r="EE5" s="40" t="str">
        <f t="shared" si="52"/>
        <v/>
      </c>
      <c r="EF5" s="40" t="str">
        <f t="shared" si="53"/>
        <v/>
      </c>
      <c r="EG5" s="40" t="str">
        <f t="shared" si="54"/>
        <v/>
      </c>
      <c r="EH5" s="40" t="str">
        <f t="shared" si="55"/>
        <v/>
      </c>
      <c r="EI5" s="40" t="str">
        <f t="shared" si="56"/>
        <v/>
      </c>
      <c r="EJ5" s="40" t="str">
        <f t="shared" si="57"/>
        <v/>
      </c>
      <c r="EK5" s="40" t="str">
        <f t="shared" si="58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59"/>
        <v/>
      </c>
      <c r="FG5" s="11" t="str">
        <f t="shared" si="60"/>
        <v/>
      </c>
      <c r="FH5" s="11" t="str">
        <f t="shared" si="61"/>
        <v/>
      </c>
      <c r="FI5" s="11" t="str">
        <f t="shared" si="62"/>
        <v/>
      </c>
      <c r="FJ5" s="11" t="str">
        <f t="shared" si="63"/>
        <v/>
      </c>
      <c r="FK5" s="11" t="str">
        <f t="shared" si="64"/>
        <v/>
      </c>
      <c r="FL5" s="11" t="str">
        <f t="shared" si="65"/>
        <v/>
      </c>
      <c r="FM5" s="11" t="str">
        <f t="shared" si="66"/>
        <v/>
      </c>
      <c r="FN5" s="11" t="str">
        <f t="shared" si="67"/>
        <v/>
      </c>
      <c r="FO5" s="11" t="str">
        <f t="shared" si="68"/>
        <v/>
      </c>
      <c r="FP5" s="11" t="str">
        <f t="shared" si="69"/>
        <v/>
      </c>
      <c r="FQ5" s="11" t="str">
        <f t="shared" si="70"/>
        <v/>
      </c>
      <c r="FR5" s="11" t="str">
        <f t="shared" si="71"/>
        <v/>
      </c>
      <c r="FS5" s="11" t="str">
        <f t="shared" si="72"/>
        <v/>
      </c>
      <c r="FT5" s="17">
        <v>14.3</v>
      </c>
      <c r="FU5" s="17">
        <v>9.1</v>
      </c>
      <c r="FV5" s="17">
        <v>16</v>
      </c>
      <c r="FW5" s="17">
        <v>15.4</v>
      </c>
      <c r="FX5" s="17">
        <v>0</v>
      </c>
      <c r="FY5" s="17">
        <v>15.4</v>
      </c>
      <c r="FZ5" s="17">
        <v>8.6999999999999993</v>
      </c>
      <c r="GA5" s="17">
        <v>14.6</v>
      </c>
      <c r="GB5" s="17">
        <v>16.149999999999999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73"/>
        <v>16</v>
      </c>
      <c r="GO5" s="40">
        <f t="shared" si="74"/>
        <v>15.4</v>
      </c>
      <c r="GP5" s="40">
        <f t="shared" si="75"/>
        <v>54.8</v>
      </c>
      <c r="GQ5" s="40">
        <f t="shared" si="76"/>
        <v>14.6</v>
      </c>
      <c r="GR5" s="40">
        <f t="shared" si="77"/>
        <v>16.149999999999999</v>
      </c>
      <c r="GS5" s="40">
        <f t="shared" si="78"/>
        <v>54.85</v>
      </c>
      <c r="GT5" s="40">
        <f t="shared" si="79"/>
        <v>54.85</v>
      </c>
      <c r="GU5" s="40" t="str">
        <f t="shared" si="80"/>
        <v/>
      </c>
      <c r="GV5" s="40" t="str">
        <f t="shared" si="81"/>
        <v/>
      </c>
      <c r="GW5" s="40" t="str">
        <f t="shared" si="82"/>
        <v/>
      </c>
      <c r="GX5" s="40" t="str">
        <f t="shared" si="83"/>
        <v/>
      </c>
      <c r="GY5" s="40" t="str">
        <f t="shared" si="84"/>
        <v/>
      </c>
      <c r="GZ5" s="40" t="str">
        <f t="shared" si="85"/>
        <v/>
      </c>
      <c r="HA5" s="40">
        <f t="shared" si="86"/>
        <v>54.85</v>
      </c>
      <c r="HB5" s="18">
        <v>14.3</v>
      </c>
      <c r="HC5" s="18">
        <v>8.6999999999999993</v>
      </c>
      <c r="HD5" s="18">
        <v>14.8</v>
      </c>
      <c r="HE5" s="18">
        <v>15.07</v>
      </c>
      <c r="HF5" s="18">
        <v>0</v>
      </c>
      <c r="HG5" s="18">
        <v>13.8</v>
      </c>
      <c r="HH5" s="18">
        <v>8.6999999999999993</v>
      </c>
      <c r="HI5" s="18">
        <v>14.4</v>
      </c>
      <c r="HJ5" s="18">
        <v>15.35</v>
      </c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87"/>
        <v>14.8</v>
      </c>
      <c r="HW5" s="11">
        <f t="shared" si="88"/>
        <v>15.07</v>
      </c>
      <c r="HX5" s="11">
        <f t="shared" si="89"/>
        <v>52.87</v>
      </c>
      <c r="HY5" s="11">
        <f t="shared" si="90"/>
        <v>14.4</v>
      </c>
      <c r="HZ5" s="11">
        <f t="shared" si="91"/>
        <v>15.35</v>
      </c>
      <c r="IA5" s="11">
        <f t="shared" si="92"/>
        <v>52.25</v>
      </c>
      <c r="IB5" s="11">
        <f t="shared" si="93"/>
        <v>52.87</v>
      </c>
      <c r="IC5" s="11" t="str">
        <f t="shared" si="94"/>
        <v/>
      </c>
      <c r="ID5" s="11" t="str">
        <f t="shared" si="95"/>
        <v/>
      </c>
      <c r="IE5" s="11" t="str">
        <f t="shared" si="96"/>
        <v/>
      </c>
      <c r="IF5" s="11" t="str">
        <f t="shared" si="97"/>
        <v/>
      </c>
      <c r="IG5" s="11" t="str">
        <f t="shared" si="98"/>
        <v/>
      </c>
      <c r="IH5" s="11" t="str">
        <f t="shared" si="99"/>
        <v/>
      </c>
      <c r="II5" s="11">
        <f t="shared" si="100"/>
        <v>52.87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1"/>
        <v/>
      </c>
      <c r="JE5" s="40" t="str">
        <f t="shared" si="102"/>
        <v/>
      </c>
      <c r="JF5" s="40" t="str">
        <f t="shared" si="103"/>
        <v/>
      </c>
      <c r="JG5" s="40" t="str">
        <f t="shared" si="104"/>
        <v/>
      </c>
      <c r="JH5" s="40" t="str">
        <f t="shared" si="105"/>
        <v/>
      </c>
      <c r="JI5" s="40" t="str">
        <f t="shared" si="106"/>
        <v/>
      </c>
      <c r="JJ5" s="40" t="str">
        <f t="shared" si="107"/>
        <v/>
      </c>
      <c r="JK5" s="40" t="str">
        <f t="shared" si="108"/>
        <v/>
      </c>
      <c r="JL5" s="40" t="str">
        <f t="shared" si="109"/>
        <v/>
      </c>
      <c r="JM5" s="40" t="str">
        <f t="shared" si="110"/>
        <v/>
      </c>
      <c r="JN5" s="40" t="str">
        <f t="shared" si="111"/>
        <v/>
      </c>
      <c r="JO5" s="40" t="str">
        <f t="shared" si="112"/>
        <v/>
      </c>
      <c r="JP5" s="40" t="str">
        <f t="shared" si="113"/>
        <v/>
      </c>
      <c r="JQ5" s="40" t="str">
        <f t="shared" si="114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15"/>
        <v/>
      </c>
      <c r="KM5" s="11" t="str">
        <f t="shared" si="116"/>
        <v/>
      </c>
      <c r="KN5" s="11" t="str">
        <f t="shared" si="117"/>
        <v/>
      </c>
      <c r="KO5" s="11" t="str">
        <f t="shared" si="118"/>
        <v/>
      </c>
      <c r="KP5" s="11" t="str">
        <f t="shared" si="119"/>
        <v/>
      </c>
      <c r="KQ5" s="11" t="str">
        <f t="shared" si="120"/>
        <v/>
      </c>
      <c r="KR5" s="11" t="str">
        <f t="shared" si="121"/>
        <v/>
      </c>
      <c r="KS5" s="11" t="str">
        <f t="shared" si="122"/>
        <v/>
      </c>
      <c r="KT5" s="11" t="str">
        <f t="shared" si="123"/>
        <v/>
      </c>
      <c r="KU5" s="11" t="str">
        <f t="shared" si="124"/>
        <v/>
      </c>
      <c r="KV5" s="11" t="str">
        <f t="shared" si="125"/>
        <v/>
      </c>
      <c r="KW5" s="11" t="str">
        <f t="shared" si="126"/>
        <v/>
      </c>
      <c r="KX5" s="11" t="str">
        <f t="shared" si="127"/>
        <v/>
      </c>
      <c r="KY5" s="11" t="str">
        <f t="shared" si="128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29"/>
        <v/>
      </c>
      <c r="LU5" s="40" t="str">
        <f t="shared" si="130"/>
        <v/>
      </c>
      <c r="LV5" s="40" t="str">
        <f t="shared" si="131"/>
        <v/>
      </c>
      <c r="LW5" s="40" t="str">
        <f t="shared" si="132"/>
        <v/>
      </c>
      <c r="LX5" s="40" t="str">
        <f t="shared" si="133"/>
        <v/>
      </c>
      <c r="LY5" s="40" t="str">
        <f t="shared" si="134"/>
        <v/>
      </c>
      <c r="LZ5" s="40" t="str">
        <f t="shared" si="135"/>
        <v/>
      </c>
      <c r="MA5" s="40" t="str">
        <f t="shared" si="136"/>
        <v/>
      </c>
      <c r="MB5" s="40" t="str">
        <f t="shared" si="137"/>
        <v/>
      </c>
      <c r="MC5" s="40" t="str">
        <f t="shared" si="138"/>
        <v/>
      </c>
      <c r="MD5" s="40" t="str">
        <f t="shared" si="139"/>
        <v/>
      </c>
      <c r="ME5" s="40" t="str">
        <f t="shared" si="140"/>
        <v/>
      </c>
      <c r="MF5" s="40" t="str">
        <f t="shared" si="141"/>
        <v/>
      </c>
      <c r="MG5" s="40" t="str">
        <f t="shared" si="142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3"/>
        <v/>
      </c>
      <c r="NC5" s="11" t="str">
        <f t="shared" si="144"/>
        <v/>
      </c>
      <c r="ND5" s="11" t="str">
        <f t="shared" si="145"/>
        <v/>
      </c>
      <c r="NE5" s="11" t="str">
        <f t="shared" si="146"/>
        <v/>
      </c>
      <c r="NF5" s="11" t="str">
        <f t="shared" si="147"/>
        <v/>
      </c>
      <c r="NG5" s="11" t="str">
        <f t="shared" si="148"/>
        <v/>
      </c>
      <c r="NH5" s="11" t="str">
        <f t="shared" si="149"/>
        <v/>
      </c>
      <c r="NI5" s="11" t="str">
        <f t="shared" si="150"/>
        <v/>
      </c>
      <c r="NJ5" s="11" t="str">
        <f t="shared" si="151"/>
        <v/>
      </c>
      <c r="NK5" s="11" t="str">
        <f t="shared" si="152"/>
        <v/>
      </c>
      <c r="NL5" s="11" t="str">
        <f t="shared" si="153"/>
        <v/>
      </c>
      <c r="NM5" s="11" t="str">
        <f t="shared" si="154"/>
        <v/>
      </c>
      <c r="NN5" s="11" t="str">
        <f t="shared" si="155"/>
        <v/>
      </c>
      <c r="NO5" s="11" t="str">
        <f t="shared" si="156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57"/>
        <v/>
      </c>
      <c r="OK5" s="40" t="str">
        <f t="shared" si="158"/>
        <v/>
      </c>
      <c r="OL5" s="40" t="str">
        <f t="shared" si="159"/>
        <v/>
      </c>
      <c r="OM5" s="40" t="str">
        <f t="shared" si="160"/>
        <v/>
      </c>
      <c r="ON5" s="40" t="str">
        <f t="shared" si="161"/>
        <v/>
      </c>
      <c r="OO5" s="40" t="str">
        <f t="shared" si="162"/>
        <v/>
      </c>
      <c r="OP5" s="40" t="str">
        <f t="shared" si="163"/>
        <v/>
      </c>
      <c r="OQ5" s="40" t="str">
        <f t="shared" si="164"/>
        <v/>
      </c>
      <c r="OR5" s="40" t="str">
        <f t="shared" si="165"/>
        <v/>
      </c>
      <c r="OS5" s="40" t="str">
        <f t="shared" si="166"/>
        <v/>
      </c>
      <c r="OT5" s="40" t="str">
        <f t="shared" si="167"/>
        <v/>
      </c>
      <c r="OU5" s="40" t="str">
        <f t="shared" si="168"/>
        <v/>
      </c>
      <c r="OV5" s="40" t="str">
        <f t="shared" si="169"/>
        <v/>
      </c>
      <c r="OW5" s="40" t="str">
        <f t="shared" si="170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1"/>
        <v/>
      </c>
      <c r="PS5" s="11" t="str">
        <f t="shared" si="172"/>
        <v/>
      </c>
      <c r="PT5" s="11" t="str">
        <f t="shared" si="173"/>
        <v/>
      </c>
      <c r="PU5" s="11" t="str">
        <f t="shared" si="174"/>
        <v/>
      </c>
      <c r="PV5" s="11" t="str">
        <f t="shared" si="175"/>
        <v/>
      </c>
      <c r="PW5" s="11" t="str">
        <f t="shared" si="176"/>
        <v/>
      </c>
      <c r="PX5" s="11" t="str">
        <f t="shared" si="177"/>
        <v/>
      </c>
      <c r="PY5" s="11" t="str">
        <f t="shared" si="178"/>
        <v/>
      </c>
      <c r="PZ5" s="11" t="str">
        <f t="shared" si="179"/>
        <v/>
      </c>
      <c r="QA5" s="11" t="str">
        <f t="shared" si="180"/>
        <v/>
      </c>
      <c r="QB5" s="11" t="str">
        <f t="shared" si="181"/>
        <v/>
      </c>
      <c r="QC5" s="11" t="str">
        <f t="shared" si="182"/>
        <v/>
      </c>
      <c r="QD5" s="11" t="str">
        <f t="shared" si="183"/>
        <v/>
      </c>
      <c r="QE5" s="11" t="str">
        <f t="shared" si="184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85"/>
        <v/>
      </c>
      <c r="RA5" s="40" t="str">
        <f t="shared" si="186"/>
        <v/>
      </c>
      <c r="RB5" s="40" t="str">
        <f t="shared" si="187"/>
        <v/>
      </c>
      <c r="RC5" s="40" t="str">
        <f t="shared" si="188"/>
        <v/>
      </c>
      <c r="RD5" s="40" t="str">
        <f t="shared" si="189"/>
        <v/>
      </c>
      <c r="RE5" s="40" t="str">
        <f t="shared" si="190"/>
        <v/>
      </c>
      <c r="RF5" s="40" t="str">
        <f t="shared" si="191"/>
        <v/>
      </c>
      <c r="RG5" s="40" t="str">
        <f t="shared" si="192"/>
        <v/>
      </c>
      <c r="RH5" s="40" t="str">
        <f t="shared" si="193"/>
        <v/>
      </c>
      <c r="RI5" s="40" t="str">
        <f t="shared" si="194"/>
        <v/>
      </c>
      <c r="RJ5" s="40" t="str">
        <f t="shared" si="195"/>
        <v/>
      </c>
      <c r="RK5" s="40" t="str">
        <f t="shared" si="196"/>
        <v/>
      </c>
      <c r="RL5" s="40" t="str">
        <f t="shared" si="197"/>
        <v/>
      </c>
      <c r="RM5" s="40" t="str">
        <f t="shared" si="198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199"/>
        <v/>
      </c>
      <c r="SI5" s="11" t="str">
        <f t="shared" si="200"/>
        <v/>
      </c>
      <c r="SJ5" s="11" t="str">
        <f t="shared" si="201"/>
        <v/>
      </c>
      <c r="SK5" s="11" t="str">
        <f t="shared" si="202"/>
        <v/>
      </c>
      <c r="SL5" s="11" t="str">
        <f t="shared" si="203"/>
        <v/>
      </c>
      <c r="SM5" s="11" t="str">
        <f t="shared" si="204"/>
        <v/>
      </c>
      <c r="SN5" s="11" t="str">
        <f t="shared" si="205"/>
        <v/>
      </c>
      <c r="SO5" s="11" t="str">
        <f t="shared" si="206"/>
        <v/>
      </c>
      <c r="SP5" s="11" t="str">
        <f t="shared" si="207"/>
        <v/>
      </c>
      <c r="SQ5" s="11" t="str">
        <f t="shared" si="208"/>
        <v/>
      </c>
      <c r="SR5" s="11" t="str">
        <f t="shared" si="209"/>
        <v/>
      </c>
      <c r="SS5" s="11" t="str">
        <f t="shared" si="210"/>
        <v/>
      </c>
      <c r="ST5" s="11" t="str">
        <f t="shared" si="211"/>
        <v/>
      </c>
      <c r="SU5" s="11" t="str">
        <f t="shared" si="212"/>
        <v/>
      </c>
      <c r="SV5" s="22">
        <f t="shared" si="213"/>
        <v>6.8</v>
      </c>
      <c r="SW5" s="22">
        <f t="shared" si="214"/>
        <v>3.65</v>
      </c>
      <c r="SX5" s="22">
        <f t="shared" si="215"/>
        <v>6.5</v>
      </c>
      <c r="SY5" s="22">
        <f t="shared" si="216"/>
        <v>6.4250000000000007</v>
      </c>
      <c r="SZ5" s="22">
        <f t="shared" si="217"/>
        <v>0</v>
      </c>
      <c r="TA5" s="22">
        <f t="shared" si="218"/>
        <v>12.25</v>
      </c>
      <c r="TB5" s="22">
        <f t="shared" si="219"/>
        <v>6.75</v>
      </c>
      <c r="TC5" s="22">
        <f t="shared" si="220"/>
        <v>11.4</v>
      </c>
      <c r="TD5" s="22">
        <f t="shared" si="221"/>
        <v>12.675000000000001</v>
      </c>
      <c r="TE5" s="22">
        <f t="shared" si="222"/>
        <v>0</v>
      </c>
      <c r="TF5" s="22">
        <f t="shared" si="223"/>
        <v>0</v>
      </c>
      <c r="TG5" s="22">
        <f t="shared" si="224"/>
        <v>0</v>
      </c>
      <c r="TH5" s="22">
        <f t="shared" si="225"/>
        <v>0</v>
      </c>
      <c r="TI5" s="22">
        <f t="shared" si="226"/>
        <v>0</v>
      </c>
      <c r="TJ5" s="22">
        <f t="shared" si="227"/>
        <v>0</v>
      </c>
      <c r="TK5" s="27" t="s">
        <v>46</v>
      </c>
      <c r="TL5" s="40">
        <f t="shared" si="228"/>
        <v>6.5</v>
      </c>
      <c r="TM5" s="40">
        <f t="shared" si="229"/>
        <v>6.4250000000000007</v>
      </c>
      <c r="TN5" s="40">
        <f t="shared" si="230"/>
        <v>23.375</v>
      </c>
      <c r="TO5" s="40">
        <f t="shared" si="231"/>
        <v>11.4</v>
      </c>
      <c r="TP5" s="40">
        <f t="shared" si="232"/>
        <v>12.675000000000001</v>
      </c>
      <c r="TQ5" s="40">
        <f t="shared" si="233"/>
        <v>43.075000000000003</v>
      </c>
      <c r="TR5" s="40">
        <f t="shared" si="234"/>
        <v>43.075000000000003</v>
      </c>
      <c r="TS5" s="40" t="str">
        <f t="shared" si="235"/>
        <v/>
      </c>
      <c r="TT5" s="40" t="str">
        <f t="shared" si="236"/>
        <v/>
      </c>
      <c r="TU5" s="40" t="str">
        <f t="shared" si="237"/>
        <v/>
      </c>
      <c r="TV5" s="40">
        <f t="shared" si="238"/>
        <v>43.075000000000003</v>
      </c>
    </row>
    <row r="6" spans="1:542" x14ac:dyDescent="0.2">
      <c r="A6" s="4" cm="1">
        <f t="array" ref="A6">IF(AND(J6&lt;&gt;"",J6&lt;&gt;"No DD"),SUMPRODUCT((J$4:J$28&lt;&gt;"")*(J$4:J$28&lt;&gt;"No DD")*(F$4:F$28&gt;F6))+1,IF(J6="No DD",SUMPRODUCT((J$4:J$28="No DD")*(F$4:F$28&gt;F6))+1+SUMPRODUCT((J$4:J$28&lt;&gt;"")*(J$4:J$28&lt;&gt;"No DD")),""))</f>
        <v>3</v>
      </c>
      <c r="B6" s="4" cm="1">
        <f t="array" ref="B6">IF(AND(J6&lt;&gt;"",J6&lt;&gt;"No DD",G6=""),SUMPRODUCT((J$4:J$28&lt;&gt;"")*(J$4:J$28&lt;&gt;"No DD")*(G$4:G$28="")*(F$4:F$28&gt;F6))+1,IF(J6="No DD",SUMPRODUCT((J$4:J$28="No DD")*(F$4:F$28&gt;F6)*(G$4:G$28=""))+1+SUMPRODUCT((J$4:J$28&lt;&gt;"")*(G$4:G$28="")*(J$4:J$28&lt;&gt;"No DD")),""))</f>
        <v>1</v>
      </c>
      <c r="C6" s="5" t="s">
        <v>130</v>
      </c>
      <c r="D6" s="4" t="s">
        <v>4</v>
      </c>
      <c r="E6" s="4">
        <v>2007</v>
      </c>
      <c r="F6" s="9">
        <f t="shared" si="0"/>
        <v>198.83001953600561</v>
      </c>
      <c r="G6" s="64"/>
      <c r="H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P","")</f>
        <v>P</v>
      </c>
      <c r="I6" s="3" t="str">
        <f>IF(OR(AND(AQ6&gt;=AY$34,AQ6&lt;&gt;"",AN6=""),AND(AT6&gt;=AY$34,AT6&lt;&gt;"",AN6=""),AND(AX6&gt;=AY$34,AX6&lt;&gt;"",AN6=""),AND(BR6&gt;=BZ$34,BR6&lt;&gt;"",BO6=""),AND(BU6&gt;=BZ$34,BU6&lt;&gt;"",BO6=""),AND(BY6&gt;=BZ$34,BY6&lt;&gt;"",BO6=""),AND(CS6&gt;=DA$34,CS6&lt;&gt;"",CP6=""),AND(CV6&gt;=DA$34,CV6&lt;&gt;"",CP6=""),AND(CZ6&gt;=DA$34,CZ6&lt;&gt;"",CP6=""),AND(DZ6&gt;=EK$34,DZ6&lt;&gt;""),AND(EC6&gt;=EK$34,EC6&lt;&gt;""),AND(EG6&gt;=EK$34,EG6&lt;&gt;""),AND(EJ6&gt;=EK$34,EJ6&lt;&gt;""),AND(FH6&gt;=FS$34,FH6&lt;&gt;""),AND(FK6&gt;=FS$34,FK6&lt;&gt;""),AND(FO6&gt;=FS$34,FO6&lt;&gt;""),AND(FR6&gt;=FS$34,FR6&lt;&gt;""),AND(GP6&gt;=HA$34,GP6&lt;&gt;""),AND(GS6&gt;=HA$34,GS6&lt;&gt;""),AND(GW6&gt;=HA$34,GW6&lt;&gt;""),AND(GZ6&gt;=HA$34,GZ6&lt;&gt;""),AND(HX6&gt;=II$34,HX6&lt;&gt;""),AND(IA6&gt;=II$34,IA6&lt;&gt;""),AND(IE6&gt;=II$34,IE6&lt;&gt;""),AND(IH6&gt;=II$34,IH6&lt;&gt;""),AND(JF6&gt;=JQ$34,JF6&lt;&gt;""),AND(JI6&gt;=JQ$34,JI6&lt;&gt;""),AND(JM6&gt;=JQ$34,JM6&lt;&gt;""),AND(JP6&gt;=JQ$34,JP6&lt;&gt;""),AND(KN6&gt;=KY$34,KN6&lt;&gt;""),AND(KQ6&gt;=KY$34,KQ6&lt;&gt;""),AND(KU6&gt;=KY$34,KU6&lt;&gt;""),AND(KX6&gt;=KY$34,KX6&lt;&gt;""),AND(LV6&gt;=MG$34,LV6&lt;&gt;""),AND(LY6&gt;=MG$34,LY6&lt;&gt;""),AND(MC6&gt;=MG$34,MC6&lt;&gt;""),AND(MF6&gt;=MG$34,MF6&lt;&gt;""),AND(ND6&gt;=NO$34,ND6&lt;&gt;""),AND(NG6&gt;=NO$34,NG6&lt;&gt;""),AND(NK6&gt;=NO$34,NK6&lt;&gt;""),AND(NN6&gt;=NO$34,NN6&lt;&gt;""),AND(OL6&gt;=OW$34,OL6&lt;&gt;""),AND(OO6&gt;=OW$34,OO6&lt;&gt;""),AND(OS6&gt;=OW$34,OS6&lt;&gt;""),AND(OV6&gt;=OW$34,OV6&lt;&gt;""),AND(PT6&gt;=QE$34,PT6&lt;&gt;""),AND(PW6&gt;=QE$34,PW6&lt;&gt;""),AND(QA6&gt;=QE$34,QA6&lt;&gt;""),AND(QD6&gt;=QE$34,QD6&lt;&gt;""),AND(RB6&gt;=RM$34,RB6&lt;&gt;""),AND(RE6&gt;=RM$34,RE6&lt;&gt;""),AND(RI6&gt;=RM$34,RI6&lt;&gt;""),AND(RL6&gt;=RM$34,RL6&lt;&gt;""),AND(SJ6&gt;=SU$34,SJ6&lt;&gt;""),AND(SM6&gt;=SU$34,SM6&lt;&gt;""),AND(SQ6&gt;=SU$34,SQ6&lt;&gt;""),AND(ST6&gt;=SU$34,ST6&lt;&gt;"")),"P","")</f>
        <v>P</v>
      </c>
      <c r="J6" s="36" t="str">
        <f>IF(AND(I6="P",H6=""),"No DD",IF(OR(AND(AO6&gt;=AY$33,AO6&lt;&gt;"",AQ6&gt;=AY$37,AQ6&lt;&gt;"",AN6=""),AND(AR6&gt;=AY$33,AR6&lt;&gt;"",AT6&gt;=AY$37,AT6&lt;&gt;"",AN6=""),AND(AV6&gt;=AY$33,AV6&lt;&gt;"",AX6&gt;=AY$37,AX6&lt;&gt;"",AN6=""),AND(BP6&gt;=BZ$33,BP6&lt;&gt;"",BR6&gt;=BZ$37,BR6&lt;&gt;"",BO6=""),AND(BS6&gt;=BZ$33,BS6&lt;&gt;"",BU6&gt;=BZ$37,BU6&lt;&gt;"",BO6=""),AND(BW6&gt;=BZ$33,BW6&lt;&gt;"",BY6&gt;=BZ$37,BY6&lt;&gt;"",BO6=""),AND(CQ6&gt;=DA$33,CQ6&lt;&gt;"",CS6&gt;=DA$37,CS6&lt;&gt;"",CP6=""),AND(CT6&gt;=DA$33,CT6&lt;&gt;"",CV6&gt;=DA$37,CV6&lt;&gt;"",CP6=""),AND(CX6&gt;=DA$33,CX6&lt;&gt;"",CZ6&gt;=DA$37,CZ6&lt;&gt;"",CP6=""),AND(DX6&gt;=EK$33,DX6&lt;&gt;"",DZ6&gt;=EK$37,DZ6&lt;&gt;""),AND(EA6&gt;=EK$33,EA6&lt;&gt;"",EC6&gt;=EK$37,EC6&lt;&gt;""),AND(EE6&gt;=EK$33,EE6&lt;&gt;"",EG6&gt;=EK$37,EG6&lt;&gt;""),AND(EH6&gt;=EK$33,EH6&lt;&gt;"",EJ6&gt;=EK$37,EJ6&lt;&gt;""),AND(FF6&gt;=FS$33,FF6&lt;&gt;"",FH6&gt;=FS$37,FH6&lt;&gt;""),AND(FI6&gt;=FS$33,FI6&lt;&gt;"",FK6&gt;=FS$37,FK6&lt;&gt;""),AND(FM6&gt;=FS$33,FM6&lt;&gt;"",FO6&gt;=FS$37,FO6&lt;&gt;""),AND(FP6&gt;=FS$33,FP6&lt;&gt;"",FR6&gt;=FS$37,FR6&lt;&gt;""),AND(GN6&gt;=HA$33,GN6&lt;&gt;"",GP6&gt;=HA$37,GP6&lt;&gt;""),AND(GQ6&gt;=HA$33,GQ6&lt;&gt;"",GS6&gt;=HA$37,GS6&lt;&gt;""),AND(GU6&gt;=HA$33,GU6&lt;&gt;"",GW6&gt;=HA$37,GW6&lt;&gt;""),AND(GX6&gt;=HA$33,GX6&lt;&gt;"",GZ6&gt;=HA$37,GZ6&lt;&gt;""),AND(HV6&gt;=II$33,HV6&lt;&gt;"",HX6&gt;=II$37,HX6&lt;&gt;""),AND(HY6&gt;=II$33,HY6&lt;&gt;"",IA6&gt;=II$37,IA6&lt;&gt;""),AND(IC6&gt;=II$33,IC6&lt;&gt;"",IE6&gt;=II$37,IE6&lt;&gt;""),AND(IF6&gt;=II$33,IF6&lt;&gt;"",IH6&gt;=II$37,IH6&lt;&gt;""),AND(JD6&gt;=JQ$33,JD6&lt;&gt;"",JF6&gt;=JQ$37,JF6&lt;&gt;""),AND(JG6&gt;=JQ$33,JG6&lt;&gt;"",JI6&gt;=JQ$37,JI6&lt;&gt;""),AND(JK6&gt;=JQ$33,JK6&lt;&gt;"",JM6&gt;=JQ$37,JM6&lt;&gt;""),AND(JN6&gt;=JQ$33,JN6&lt;&gt;"",JP6&gt;=JQ$37,JP6&lt;&gt;""),AND(KL6&gt;=KY$33,KL6&lt;&gt;"",KN6&gt;=KY$37,KN6&lt;&gt;""),AND(KO6&gt;=KY$33,KO6&lt;&gt;"",KQ6&gt;=KY$37,KQ6&lt;&gt;""),AND(KS6&gt;=KY$33,KS6&lt;&gt;"",KU6&gt;=KY$37,KU6&lt;&gt;""),AND(KV6&gt;=KY$33,KV6&lt;&gt;"",KX6&gt;=KY$37,KX6&lt;&gt;""),AND(LT6&gt;=MG$33,LT6&lt;&gt;"",LV6&gt;=MG$37,LV6&lt;&gt;""),AND(LW6&gt;=MG$33,LW6&lt;&gt;"",LY6&gt;=MG$37,LY6&lt;&gt;""),AND(MA6&gt;=MG$33,MA6&lt;&gt;"",MC6&gt;=MG$37,MC6&lt;&gt;""),AND(MD6&gt;=MG$33,MD6&lt;&gt;"",MF6&gt;=MG$37,MF6&lt;&gt;""),AND(NB6&gt;=NO$33,NB6&lt;&gt;"",ND6&gt;=NO$37,ND6&lt;&gt;""),AND(NE6&gt;=NO$33,NE6&lt;&gt;"",NG6&gt;=NO$37,NG6&lt;&gt;""),AND(NI6&gt;=NO$33,NI6&lt;&gt;"",NK6&gt;=NO$37,NK6&lt;&gt;""),AND(NL6&gt;=NO$33,NL6&lt;&gt;"",NN6&gt;=NO$37,NN6&lt;&gt;""),AND(OJ6&gt;=OW$33,OJ6&lt;&gt;"",OL6&gt;=OW$37,OL6&lt;&gt;""),AND(OM6&gt;=OW$33,OM6&lt;&gt;"",OO6&gt;=OW$37,OO6&lt;&gt;""),AND(OQ6&gt;=OW$33,OQ6&lt;&gt;"",OS6&gt;=OW$37,OS6&lt;&gt;""),AND(OT6&gt;=OW$33,OT6&lt;&gt;"",OV6&gt;=OW$37,OV6&lt;&gt;""),AND(PR6&gt;=QE$33,PR6&lt;&gt;"",PT6&gt;=QE$37,PT6&lt;&gt;""),AND(PU6&gt;=QE$33,PU6&lt;&gt;"",PW6&gt;=QE$37,PW6&lt;&gt;""),AND(PY6&gt;=QE$33,PY6&lt;&gt;"",QA6&gt;=QE$37,QA6&lt;&gt;""),AND(QB6&gt;=QE$33,QB6&lt;&gt;"",QD6&gt;=QE$37,QD6&lt;&gt;""),AND(QZ6&gt;=RM$33,QZ6&lt;&gt;"",RB6&gt;=RM$37,RB6&lt;&gt;""),AND(RC6&gt;=RM$33,RC6&lt;&gt;"",RE6&gt;=RM$37,RE6&lt;&gt;""),AND(RG6&gt;=RM$33,RG6&lt;&gt;"",RI6&gt;=RM$37,RI6&lt;&gt;""),AND(RJ6&gt;=RM$33,RJ6&lt;&gt;"",RL6&gt;=RM$37,RL6&lt;&gt;""),AND(SH6&gt;=SU$33,SH6&lt;&gt;"",SJ6&gt;=SU$37,SJ6&lt;&gt;""),AND(SK6&gt;=SU$33,SK6&lt;&gt;"",SM6&gt;=SU$37,SM6&lt;&gt;""),AND(SO6&gt;=SU$33,SO6&lt;&gt;"",SQ6&gt;=SU$37,SQ6&lt;&gt;""),AND(SR6&gt;=SU$33,SR6&lt;&gt;"",ST6&gt;=SU$37,ST6&lt;&gt;"")),"Merit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),"Excellence",IF(K6="P","Worlds Team",IF(H6="P","National Team","")))))</f>
        <v>National Team</v>
      </c>
      <c r="K6" s="3" t="str">
        <f>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P","")</f>
        <v/>
      </c>
      <c r="L6" s="8">
        <f>IF(COUNT(AQ6,AT6,BR6,BU6,CS6,CV6)&gt;0,LARGE((AQ6,AT6,BR6,BU6,CS6,CV6),1),0)</f>
        <v>56.019999999999996</v>
      </c>
      <c r="M6" s="8" t="str">
        <f t="shared" si="1"/>
        <v>2025 Nationals</v>
      </c>
      <c r="N6" s="8">
        <f>IF(COUNT(AQ6,AT6,BR6,BU6,CS6,CV6)&gt;1,LARGE((AQ6,AT6,BR6,BU6,CS6,CV6),2),0)</f>
        <v>55.410000000000004</v>
      </c>
      <c r="O6" s="8" t="str">
        <f t="shared" si="2"/>
        <v>2025 Elite Canada</v>
      </c>
      <c r="P6" s="8">
        <f>IF(COUNT(AQ6,AT6,BR6,BU6,CS6,CV6)&gt;2,MAX(AX6,BY6,CZ6,LARGE((AQ6,AT6,BR6,BU6,CS6,CV6),3)),IF(MAX(AX6,BY6,CZ6)&gt;0,MAX(AX6,BY6,CZ6),0))</f>
        <v>51.910000000000004</v>
      </c>
      <c r="Q6" s="8" t="str">
        <f t="shared" si="3"/>
        <v>2024 3rd Domestic Trial</v>
      </c>
      <c r="R6" s="8">
        <f t="shared" si="4"/>
        <v>15.5</v>
      </c>
      <c r="S6" s="8" t="str">
        <f t="shared" si="5"/>
        <v>2025 Nationals</v>
      </c>
      <c r="T6" s="8">
        <f>IF(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&gt;0,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,0)</f>
        <v>16.52</v>
      </c>
      <c r="U6" s="8" t="str">
        <f t="shared" si="6"/>
        <v>2025 Nationals</v>
      </c>
      <c r="V6" s="8">
        <f t="shared" si="7"/>
        <v>3.4699999999999918</v>
      </c>
      <c r="W6" s="11" t="str">
        <f t="shared" si="8"/>
        <v>(Optional)</v>
      </c>
      <c r="X6" s="8" t="str">
        <f t="shared" si="9"/>
        <v>2024 Coimbra Gym Fest (July 7)</v>
      </c>
      <c r="Y6" s="22">
        <v>11.9</v>
      </c>
      <c r="Z6" s="22">
        <v>6.2</v>
      </c>
      <c r="AA6" s="22">
        <v>10.3</v>
      </c>
      <c r="AB6" s="22">
        <v>12.19</v>
      </c>
      <c r="AC6" s="22">
        <v>0</v>
      </c>
      <c r="AD6" s="22">
        <v>15.3</v>
      </c>
      <c r="AE6" s="22">
        <v>7.9</v>
      </c>
      <c r="AF6" s="22">
        <v>13.2</v>
      </c>
      <c r="AG6" s="22">
        <v>15.51</v>
      </c>
      <c r="AH6" s="22">
        <v>0</v>
      </c>
      <c r="AI6" s="22">
        <v>14.2</v>
      </c>
      <c r="AJ6" s="22">
        <v>7.2</v>
      </c>
      <c r="AK6" s="22">
        <v>11.7</v>
      </c>
      <c r="AL6" s="22">
        <v>13.91</v>
      </c>
      <c r="AM6" s="22">
        <v>0</v>
      </c>
      <c r="AN6" s="27"/>
      <c r="AO6" s="38">
        <f t="shared" si="10"/>
        <v>10.3</v>
      </c>
      <c r="AP6" s="38">
        <f t="shared" si="11"/>
        <v>12.19</v>
      </c>
      <c r="AQ6" s="40">
        <f t="shared" si="12"/>
        <v>40.590000000000003</v>
      </c>
      <c r="AR6" s="40">
        <f t="shared" si="13"/>
        <v>13.2</v>
      </c>
      <c r="AS6" s="40">
        <f t="shared" si="14"/>
        <v>15.51</v>
      </c>
      <c r="AT6" s="40">
        <f t="shared" si="15"/>
        <v>51.910000000000004</v>
      </c>
      <c r="AU6" s="40">
        <f t="shared" si="16"/>
        <v>51.910000000000004</v>
      </c>
      <c r="AV6" s="40">
        <f t="shared" si="17"/>
        <v>11.7</v>
      </c>
      <c r="AW6" s="40">
        <f t="shared" si="18"/>
        <v>13.91</v>
      </c>
      <c r="AX6" s="40">
        <f t="shared" si="19"/>
        <v>47.009999999999991</v>
      </c>
      <c r="AY6" s="40">
        <f t="shared" si="20"/>
        <v>98.919999999999987</v>
      </c>
      <c r="AZ6" s="26">
        <v>16</v>
      </c>
      <c r="BA6" s="26">
        <v>9.3000000000000007</v>
      </c>
      <c r="BB6" s="26">
        <v>14.4</v>
      </c>
      <c r="BC6" s="26">
        <v>15.81</v>
      </c>
      <c r="BD6" s="26">
        <v>0.1</v>
      </c>
      <c r="BE6" s="26">
        <v>1.6</v>
      </c>
      <c r="BF6" s="26">
        <v>1</v>
      </c>
      <c r="BG6" s="26">
        <v>2</v>
      </c>
      <c r="BH6" s="26">
        <v>1.67</v>
      </c>
      <c r="BI6" s="26">
        <v>0</v>
      </c>
      <c r="BJ6" s="26">
        <v>7.3</v>
      </c>
      <c r="BK6" s="26">
        <v>4.4000000000000004</v>
      </c>
      <c r="BL6" s="26">
        <v>7.6</v>
      </c>
      <c r="BM6" s="26">
        <v>7.8</v>
      </c>
      <c r="BN6" s="26">
        <v>0</v>
      </c>
      <c r="BO6" s="28"/>
      <c r="BP6" s="39">
        <f t="shared" si="21"/>
        <v>14.4</v>
      </c>
      <c r="BQ6" s="39">
        <f t="shared" si="22"/>
        <v>15.81</v>
      </c>
      <c r="BR6" s="11">
        <f t="shared" si="23"/>
        <v>55.410000000000004</v>
      </c>
      <c r="BS6" s="11">
        <f t="shared" si="24"/>
        <v>2</v>
      </c>
      <c r="BT6" s="11">
        <f t="shared" si="25"/>
        <v>1.67</v>
      </c>
      <c r="BU6" s="11">
        <f t="shared" si="26"/>
        <v>6.27</v>
      </c>
      <c r="BV6" s="11">
        <f t="shared" si="27"/>
        <v>55.410000000000004</v>
      </c>
      <c r="BW6" s="11">
        <f t="shared" si="28"/>
        <v>7.6</v>
      </c>
      <c r="BX6" s="11">
        <f t="shared" si="29"/>
        <v>7.8</v>
      </c>
      <c r="BY6" s="11">
        <f t="shared" si="30"/>
        <v>27.099999999999998</v>
      </c>
      <c r="BZ6" s="11">
        <f t="shared" si="31"/>
        <v>82.51</v>
      </c>
      <c r="CA6" s="22">
        <v>12.1</v>
      </c>
      <c r="CB6" s="22">
        <v>7.2</v>
      </c>
      <c r="CC6" s="22">
        <v>12.3</v>
      </c>
      <c r="CD6" s="22">
        <v>13.37</v>
      </c>
      <c r="CE6" s="22">
        <v>0</v>
      </c>
      <c r="CF6" s="22">
        <v>14.9</v>
      </c>
      <c r="CG6" s="22">
        <v>9.1</v>
      </c>
      <c r="CH6" s="22">
        <v>15.5</v>
      </c>
      <c r="CI6" s="22">
        <v>16.52</v>
      </c>
      <c r="CJ6" s="22">
        <v>0</v>
      </c>
      <c r="CK6" s="22">
        <v>3.5</v>
      </c>
      <c r="CL6" s="22">
        <v>1.8</v>
      </c>
      <c r="CM6" s="22">
        <v>3.5</v>
      </c>
      <c r="CN6" s="22">
        <v>3.55</v>
      </c>
      <c r="CO6" s="22">
        <v>0</v>
      </c>
      <c r="CP6" s="27"/>
      <c r="CQ6" s="38">
        <f t="shared" si="32"/>
        <v>12.3</v>
      </c>
      <c r="CR6" s="38">
        <f t="shared" si="33"/>
        <v>13.37</v>
      </c>
      <c r="CS6" s="40">
        <f t="shared" si="34"/>
        <v>44.97</v>
      </c>
      <c r="CT6" s="40">
        <f t="shared" si="35"/>
        <v>15.5</v>
      </c>
      <c r="CU6" s="40">
        <f t="shared" si="36"/>
        <v>16.52</v>
      </c>
      <c r="CV6" s="40">
        <f t="shared" si="37"/>
        <v>56.019999999999996</v>
      </c>
      <c r="CW6" s="40">
        <f t="shared" si="38"/>
        <v>56.019999999999996</v>
      </c>
      <c r="CX6" s="40">
        <f t="shared" si="39"/>
        <v>3.5</v>
      </c>
      <c r="CY6" s="40">
        <f t="shared" si="40"/>
        <v>3.55</v>
      </c>
      <c r="CZ6" s="40">
        <f t="shared" si="41"/>
        <v>12.350000000000001</v>
      </c>
      <c r="DA6" s="40">
        <f t="shared" si="42"/>
        <v>68.37</v>
      </c>
      <c r="DB6" s="50">
        <f t="shared" si="43"/>
        <v>3.4699999999999918</v>
      </c>
      <c r="DC6" s="50" t="str">
        <f t="shared" si="44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45"/>
        <v/>
      </c>
      <c r="DY6" s="40" t="str">
        <f t="shared" si="46"/>
        <v/>
      </c>
      <c r="DZ6" s="40" t="str">
        <f t="shared" si="47"/>
        <v/>
      </c>
      <c r="EA6" s="40" t="str">
        <f t="shared" si="48"/>
        <v/>
      </c>
      <c r="EB6" s="40" t="str">
        <f t="shared" si="49"/>
        <v/>
      </c>
      <c r="EC6" s="40" t="str">
        <f t="shared" si="50"/>
        <v/>
      </c>
      <c r="ED6" s="40" t="str">
        <f t="shared" si="51"/>
        <v/>
      </c>
      <c r="EE6" s="40" t="str">
        <f t="shared" si="52"/>
        <v/>
      </c>
      <c r="EF6" s="40" t="str">
        <f t="shared" si="53"/>
        <v/>
      </c>
      <c r="EG6" s="40" t="str">
        <f t="shared" si="54"/>
        <v/>
      </c>
      <c r="EH6" s="40" t="str">
        <f t="shared" si="55"/>
        <v/>
      </c>
      <c r="EI6" s="40" t="str">
        <f t="shared" si="56"/>
        <v/>
      </c>
      <c r="EJ6" s="40" t="str">
        <f t="shared" si="57"/>
        <v/>
      </c>
      <c r="EK6" s="40" t="str">
        <f t="shared" si="58"/>
        <v/>
      </c>
      <c r="EL6" s="18">
        <v>15.5</v>
      </c>
      <c r="EM6" s="18">
        <v>9.8000000000000007</v>
      </c>
      <c r="EN6" s="18">
        <v>14</v>
      </c>
      <c r="EO6" s="18">
        <v>16.079999999999998</v>
      </c>
      <c r="EP6" s="18">
        <v>0</v>
      </c>
      <c r="EQ6" s="18">
        <v>12.1</v>
      </c>
      <c r="ER6" s="18">
        <v>7</v>
      </c>
      <c r="ES6" s="18">
        <v>9.6999999999999993</v>
      </c>
      <c r="ET6" s="18">
        <v>13.08</v>
      </c>
      <c r="EU6" s="18">
        <v>0</v>
      </c>
      <c r="EV6" s="18">
        <v>10.3</v>
      </c>
      <c r="EW6" s="18">
        <v>6.2</v>
      </c>
      <c r="EX6" s="18">
        <v>10.3</v>
      </c>
      <c r="EY6" s="18">
        <v>11.26</v>
      </c>
      <c r="EZ6" s="18">
        <v>0</v>
      </c>
      <c r="FA6" s="18"/>
      <c r="FB6" s="18"/>
      <c r="FC6" s="18"/>
      <c r="FD6" s="18"/>
      <c r="FE6" s="18"/>
      <c r="FF6" s="11">
        <f t="shared" si="59"/>
        <v>14</v>
      </c>
      <c r="FG6" s="11">
        <f t="shared" si="60"/>
        <v>16.079999999999998</v>
      </c>
      <c r="FH6" s="11">
        <f t="shared" si="61"/>
        <v>55.379999999999995</v>
      </c>
      <c r="FI6" s="11">
        <f t="shared" si="62"/>
        <v>9.6999999999999993</v>
      </c>
      <c r="FJ6" s="11">
        <f t="shared" si="63"/>
        <v>13.08</v>
      </c>
      <c r="FK6" s="11">
        <f t="shared" si="64"/>
        <v>41.88</v>
      </c>
      <c r="FL6" s="11">
        <f t="shared" si="65"/>
        <v>55.379999999999995</v>
      </c>
      <c r="FM6" s="11">
        <f t="shared" si="66"/>
        <v>10.3</v>
      </c>
      <c r="FN6" s="11">
        <f t="shared" si="67"/>
        <v>11.26</v>
      </c>
      <c r="FO6" s="11">
        <f t="shared" si="68"/>
        <v>38.06</v>
      </c>
      <c r="FP6" s="11" t="str">
        <f t="shared" si="69"/>
        <v/>
      </c>
      <c r="FQ6" s="11" t="str">
        <f t="shared" si="70"/>
        <v/>
      </c>
      <c r="FR6" s="11" t="str">
        <f t="shared" si="71"/>
        <v/>
      </c>
      <c r="FS6" s="11">
        <f t="shared" si="72"/>
        <v>93.44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3"/>
        <v/>
      </c>
      <c r="GO6" s="40" t="str">
        <f t="shared" si="74"/>
        <v/>
      </c>
      <c r="GP6" s="40" t="str">
        <f t="shared" si="75"/>
        <v/>
      </c>
      <c r="GQ6" s="40" t="str">
        <f t="shared" si="76"/>
        <v/>
      </c>
      <c r="GR6" s="40" t="str">
        <f t="shared" si="77"/>
        <v/>
      </c>
      <c r="GS6" s="40" t="str">
        <f t="shared" si="78"/>
        <v/>
      </c>
      <c r="GT6" s="40" t="str">
        <f t="shared" si="79"/>
        <v/>
      </c>
      <c r="GU6" s="40" t="str">
        <f t="shared" si="80"/>
        <v/>
      </c>
      <c r="GV6" s="40" t="str">
        <f t="shared" si="81"/>
        <v/>
      </c>
      <c r="GW6" s="40" t="str">
        <f t="shared" si="82"/>
        <v/>
      </c>
      <c r="GX6" s="40" t="str">
        <f t="shared" si="83"/>
        <v/>
      </c>
      <c r="GY6" s="40" t="str">
        <f t="shared" si="84"/>
        <v/>
      </c>
      <c r="GZ6" s="40" t="str">
        <f t="shared" si="85"/>
        <v/>
      </c>
      <c r="HA6" s="40" t="str">
        <f t="shared" si="86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87"/>
        <v/>
      </c>
      <c r="HW6" s="11" t="str">
        <f t="shared" si="88"/>
        <v/>
      </c>
      <c r="HX6" s="11" t="str">
        <f t="shared" si="89"/>
        <v/>
      </c>
      <c r="HY6" s="11" t="str">
        <f t="shared" si="90"/>
        <v/>
      </c>
      <c r="HZ6" s="11" t="str">
        <f t="shared" si="91"/>
        <v/>
      </c>
      <c r="IA6" s="11" t="str">
        <f t="shared" si="92"/>
        <v/>
      </c>
      <c r="IB6" s="11" t="str">
        <f t="shared" si="93"/>
        <v/>
      </c>
      <c r="IC6" s="11" t="str">
        <f t="shared" si="94"/>
        <v/>
      </c>
      <c r="ID6" s="11" t="str">
        <f t="shared" si="95"/>
        <v/>
      </c>
      <c r="IE6" s="11" t="str">
        <f t="shared" si="96"/>
        <v/>
      </c>
      <c r="IF6" s="11" t="str">
        <f t="shared" si="97"/>
        <v/>
      </c>
      <c r="IG6" s="11" t="str">
        <f t="shared" si="98"/>
        <v/>
      </c>
      <c r="IH6" s="11" t="str">
        <f t="shared" si="99"/>
        <v/>
      </c>
      <c r="II6" s="11" t="str">
        <f t="shared" si="100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1"/>
        <v/>
      </c>
      <c r="JE6" s="40" t="str">
        <f t="shared" si="102"/>
        <v/>
      </c>
      <c r="JF6" s="40" t="str">
        <f t="shared" si="103"/>
        <v/>
      </c>
      <c r="JG6" s="40" t="str">
        <f t="shared" si="104"/>
        <v/>
      </c>
      <c r="JH6" s="40" t="str">
        <f t="shared" si="105"/>
        <v/>
      </c>
      <c r="JI6" s="40" t="str">
        <f t="shared" si="106"/>
        <v/>
      </c>
      <c r="JJ6" s="40" t="str">
        <f t="shared" si="107"/>
        <v/>
      </c>
      <c r="JK6" s="40" t="str">
        <f t="shared" si="108"/>
        <v/>
      </c>
      <c r="JL6" s="40" t="str">
        <f t="shared" si="109"/>
        <v/>
      </c>
      <c r="JM6" s="40" t="str">
        <f t="shared" si="110"/>
        <v/>
      </c>
      <c r="JN6" s="40" t="str">
        <f t="shared" si="111"/>
        <v/>
      </c>
      <c r="JO6" s="40" t="str">
        <f t="shared" si="112"/>
        <v/>
      </c>
      <c r="JP6" s="40" t="str">
        <f t="shared" si="113"/>
        <v/>
      </c>
      <c r="JQ6" s="40" t="str">
        <f t="shared" si="114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15"/>
        <v/>
      </c>
      <c r="KM6" s="11" t="str">
        <f t="shared" si="116"/>
        <v/>
      </c>
      <c r="KN6" s="11" t="str">
        <f t="shared" si="117"/>
        <v/>
      </c>
      <c r="KO6" s="11" t="str">
        <f t="shared" si="118"/>
        <v/>
      </c>
      <c r="KP6" s="11" t="str">
        <f t="shared" si="119"/>
        <v/>
      </c>
      <c r="KQ6" s="11" t="str">
        <f t="shared" si="120"/>
        <v/>
      </c>
      <c r="KR6" s="11" t="str">
        <f t="shared" si="121"/>
        <v/>
      </c>
      <c r="KS6" s="11" t="str">
        <f t="shared" si="122"/>
        <v/>
      </c>
      <c r="KT6" s="11" t="str">
        <f t="shared" si="123"/>
        <v/>
      </c>
      <c r="KU6" s="11" t="str">
        <f t="shared" si="124"/>
        <v/>
      </c>
      <c r="KV6" s="11" t="str">
        <f t="shared" si="125"/>
        <v/>
      </c>
      <c r="KW6" s="11" t="str">
        <f t="shared" si="126"/>
        <v/>
      </c>
      <c r="KX6" s="11" t="str">
        <f t="shared" si="127"/>
        <v/>
      </c>
      <c r="KY6" s="11" t="str">
        <f t="shared" si="128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29"/>
        <v/>
      </c>
      <c r="LU6" s="40" t="str">
        <f t="shared" si="130"/>
        <v/>
      </c>
      <c r="LV6" s="40" t="str">
        <f t="shared" si="131"/>
        <v/>
      </c>
      <c r="LW6" s="40" t="str">
        <f t="shared" si="132"/>
        <v/>
      </c>
      <c r="LX6" s="40" t="str">
        <f t="shared" si="133"/>
        <v/>
      </c>
      <c r="LY6" s="40" t="str">
        <f t="shared" si="134"/>
        <v/>
      </c>
      <c r="LZ6" s="40" t="str">
        <f t="shared" si="135"/>
        <v/>
      </c>
      <c r="MA6" s="40" t="str">
        <f t="shared" si="136"/>
        <v/>
      </c>
      <c r="MB6" s="40" t="str">
        <f t="shared" si="137"/>
        <v/>
      </c>
      <c r="MC6" s="40" t="str">
        <f t="shared" si="138"/>
        <v/>
      </c>
      <c r="MD6" s="40" t="str">
        <f t="shared" si="139"/>
        <v/>
      </c>
      <c r="ME6" s="40" t="str">
        <f t="shared" si="140"/>
        <v/>
      </c>
      <c r="MF6" s="40" t="str">
        <f t="shared" si="141"/>
        <v/>
      </c>
      <c r="MG6" s="40" t="str">
        <f t="shared" si="142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3"/>
        <v/>
      </c>
      <c r="NC6" s="11" t="str">
        <f t="shared" si="144"/>
        <v/>
      </c>
      <c r="ND6" s="11" t="str">
        <f t="shared" si="145"/>
        <v/>
      </c>
      <c r="NE6" s="11" t="str">
        <f t="shared" si="146"/>
        <v/>
      </c>
      <c r="NF6" s="11" t="str">
        <f t="shared" si="147"/>
        <v/>
      </c>
      <c r="NG6" s="11" t="str">
        <f t="shared" si="148"/>
        <v/>
      </c>
      <c r="NH6" s="11" t="str">
        <f t="shared" si="149"/>
        <v/>
      </c>
      <c r="NI6" s="11" t="str">
        <f t="shared" si="150"/>
        <v/>
      </c>
      <c r="NJ6" s="11" t="str">
        <f t="shared" si="151"/>
        <v/>
      </c>
      <c r="NK6" s="11" t="str">
        <f t="shared" si="152"/>
        <v/>
      </c>
      <c r="NL6" s="11" t="str">
        <f t="shared" si="153"/>
        <v/>
      </c>
      <c r="NM6" s="11" t="str">
        <f t="shared" si="154"/>
        <v/>
      </c>
      <c r="NN6" s="11" t="str">
        <f t="shared" si="155"/>
        <v/>
      </c>
      <c r="NO6" s="11" t="str">
        <f t="shared" si="156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57"/>
        <v/>
      </c>
      <c r="OK6" s="40" t="str">
        <f t="shared" si="158"/>
        <v/>
      </c>
      <c r="OL6" s="40" t="str">
        <f t="shared" si="159"/>
        <v/>
      </c>
      <c r="OM6" s="40" t="str">
        <f t="shared" si="160"/>
        <v/>
      </c>
      <c r="ON6" s="40" t="str">
        <f t="shared" si="161"/>
        <v/>
      </c>
      <c r="OO6" s="40" t="str">
        <f t="shared" si="162"/>
        <v/>
      </c>
      <c r="OP6" s="40" t="str">
        <f t="shared" si="163"/>
        <v/>
      </c>
      <c r="OQ6" s="40" t="str">
        <f t="shared" si="164"/>
        <v/>
      </c>
      <c r="OR6" s="40" t="str">
        <f t="shared" si="165"/>
        <v/>
      </c>
      <c r="OS6" s="40" t="str">
        <f t="shared" si="166"/>
        <v/>
      </c>
      <c r="OT6" s="40" t="str">
        <f t="shared" si="167"/>
        <v/>
      </c>
      <c r="OU6" s="40" t="str">
        <f t="shared" si="168"/>
        <v/>
      </c>
      <c r="OV6" s="40" t="str">
        <f t="shared" si="169"/>
        <v/>
      </c>
      <c r="OW6" s="40" t="str">
        <f t="shared" si="170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1"/>
        <v/>
      </c>
      <c r="PS6" s="11" t="str">
        <f t="shared" si="172"/>
        <v/>
      </c>
      <c r="PT6" s="11" t="str">
        <f t="shared" si="173"/>
        <v/>
      </c>
      <c r="PU6" s="11" t="str">
        <f t="shared" si="174"/>
        <v/>
      </c>
      <c r="PV6" s="11" t="str">
        <f t="shared" si="175"/>
        <v/>
      </c>
      <c r="PW6" s="11" t="str">
        <f t="shared" si="176"/>
        <v/>
      </c>
      <c r="PX6" s="11" t="str">
        <f t="shared" si="177"/>
        <v/>
      </c>
      <c r="PY6" s="11" t="str">
        <f t="shared" si="178"/>
        <v/>
      </c>
      <c r="PZ6" s="11" t="str">
        <f t="shared" si="179"/>
        <v/>
      </c>
      <c r="QA6" s="11" t="str">
        <f t="shared" si="180"/>
        <v/>
      </c>
      <c r="QB6" s="11" t="str">
        <f t="shared" si="181"/>
        <v/>
      </c>
      <c r="QC6" s="11" t="str">
        <f t="shared" si="182"/>
        <v/>
      </c>
      <c r="QD6" s="11" t="str">
        <f t="shared" si="183"/>
        <v/>
      </c>
      <c r="QE6" s="11" t="str">
        <f t="shared" si="184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85"/>
        <v/>
      </c>
      <c r="RA6" s="40" t="str">
        <f t="shared" si="186"/>
        <v/>
      </c>
      <c r="RB6" s="40" t="str">
        <f t="shared" si="187"/>
        <v/>
      </c>
      <c r="RC6" s="40" t="str">
        <f t="shared" si="188"/>
        <v/>
      </c>
      <c r="RD6" s="40" t="str">
        <f t="shared" si="189"/>
        <v/>
      </c>
      <c r="RE6" s="40" t="str">
        <f t="shared" si="190"/>
        <v/>
      </c>
      <c r="RF6" s="40" t="str">
        <f t="shared" si="191"/>
        <v/>
      </c>
      <c r="RG6" s="40" t="str">
        <f t="shared" si="192"/>
        <v/>
      </c>
      <c r="RH6" s="40" t="str">
        <f t="shared" si="193"/>
        <v/>
      </c>
      <c r="RI6" s="40" t="str">
        <f t="shared" si="194"/>
        <v/>
      </c>
      <c r="RJ6" s="40" t="str">
        <f t="shared" si="195"/>
        <v/>
      </c>
      <c r="RK6" s="40" t="str">
        <f t="shared" si="196"/>
        <v/>
      </c>
      <c r="RL6" s="40" t="str">
        <f t="shared" si="197"/>
        <v/>
      </c>
      <c r="RM6" s="40" t="str">
        <f t="shared" si="198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199"/>
        <v/>
      </c>
      <c r="SI6" s="11" t="str">
        <f t="shared" si="200"/>
        <v/>
      </c>
      <c r="SJ6" s="11" t="str">
        <f t="shared" si="201"/>
        <v/>
      </c>
      <c r="SK6" s="11" t="str">
        <f t="shared" si="202"/>
        <v/>
      </c>
      <c r="SL6" s="11" t="str">
        <f t="shared" si="203"/>
        <v/>
      </c>
      <c r="SM6" s="11" t="str">
        <f t="shared" si="204"/>
        <v/>
      </c>
      <c r="SN6" s="11" t="str">
        <f t="shared" si="205"/>
        <v/>
      </c>
      <c r="SO6" s="11" t="str">
        <f t="shared" si="206"/>
        <v/>
      </c>
      <c r="SP6" s="11" t="str">
        <f t="shared" si="207"/>
        <v/>
      </c>
      <c r="SQ6" s="11" t="str">
        <f t="shared" si="208"/>
        <v/>
      </c>
      <c r="SR6" s="11" t="str">
        <f t="shared" si="209"/>
        <v/>
      </c>
      <c r="SS6" s="11" t="str">
        <f t="shared" si="210"/>
        <v/>
      </c>
      <c r="ST6" s="11" t="str">
        <f t="shared" si="211"/>
        <v/>
      </c>
      <c r="SU6" s="11" t="str">
        <f t="shared" si="212"/>
        <v/>
      </c>
      <c r="SV6" s="22">
        <f t="shared" si="213"/>
        <v>14.05</v>
      </c>
      <c r="SW6" s="22">
        <f t="shared" si="214"/>
        <v>8.25</v>
      </c>
      <c r="SX6" s="22">
        <f t="shared" si="215"/>
        <v>13.350000000000001</v>
      </c>
      <c r="SY6" s="22">
        <f t="shared" si="216"/>
        <v>14.59</v>
      </c>
      <c r="SZ6" s="22">
        <f t="shared" si="217"/>
        <v>0.05</v>
      </c>
      <c r="TA6" s="22">
        <f t="shared" si="218"/>
        <v>8.25</v>
      </c>
      <c r="TB6" s="22">
        <f t="shared" si="219"/>
        <v>5.05</v>
      </c>
      <c r="TC6" s="22">
        <f t="shared" si="220"/>
        <v>8.75</v>
      </c>
      <c r="TD6" s="22">
        <f t="shared" si="221"/>
        <v>9.0949999999999989</v>
      </c>
      <c r="TE6" s="22">
        <f t="shared" si="222"/>
        <v>0</v>
      </c>
      <c r="TF6" s="22">
        <f t="shared" si="223"/>
        <v>5.4</v>
      </c>
      <c r="TG6" s="22">
        <f t="shared" si="224"/>
        <v>3.1</v>
      </c>
      <c r="TH6" s="22">
        <f t="shared" si="225"/>
        <v>5.55</v>
      </c>
      <c r="TI6" s="22">
        <f t="shared" si="226"/>
        <v>5.6749999999999998</v>
      </c>
      <c r="TJ6" s="22">
        <f t="shared" si="227"/>
        <v>0</v>
      </c>
      <c r="TK6" s="27" t="s">
        <v>46</v>
      </c>
      <c r="TL6" s="40">
        <f t="shared" si="228"/>
        <v>13.350000000000001</v>
      </c>
      <c r="TM6" s="40">
        <f t="shared" si="229"/>
        <v>14.59</v>
      </c>
      <c r="TN6" s="40">
        <f t="shared" si="230"/>
        <v>50.190000000000012</v>
      </c>
      <c r="TO6" s="40">
        <f t="shared" si="231"/>
        <v>8.75</v>
      </c>
      <c r="TP6" s="40">
        <f t="shared" si="232"/>
        <v>9.0949999999999989</v>
      </c>
      <c r="TQ6" s="40">
        <f t="shared" si="233"/>
        <v>31.145</v>
      </c>
      <c r="TR6" s="40">
        <f t="shared" si="234"/>
        <v>50.190000000000012</v>
      </c>
      <c r="TS6" s="40">
        <f t="shared" si="235"/>
        <v>5.55</v>
      </c>
      <c r="TT6" s="40">
        <f t="shared" si="236"/>
        <v>5.6749999999999998</v>
      </c>
      <c r="TU6" s="40">
        <f t="shared" si="237"/>
        <v>19.725000000000001</v>
      </c>
      <c r="TV6" s="40">
        <f t="shared" si="238"/>
        <v>69.91500000000002</v>
      </c>
    </row>
    <row r="7" spans="1:542" x14ac:dyDescent="0.2">
      <c r="A7" s="4" cm="1">
        <f t="array" ref="A7">IF(AND(J7&lt;&gt;"",J7&lt;&gt;"No DD"),SUMPRODUCT((J$4:J$28&lt;&gt;"")*(J$4:J$28&lt;&gt;"No DD")*(F$4:F$28&gt;F7))+1,IF(J7="No DD",SUMPRODUCT((J$4:J$28="No DD")*(F$4:F$28&gt;F7))+1+SUMPRODUCT((J$4:J$28&lt;&gt;"")*(J$4:J$28&lt;&gt;"No DD")),""))</f>
        <v>4</v>
      </c>
      <c r="B7" s="4" cm="1">
        <f t="array" ref="B7">IF(AND(J7&lt;&gt;"",J7&lt;&gt;"No DD",G7=""),SUMPRODUCT((J$4:J$28&lt;&gt;"")*(J$4:J$28&lt;&gt;"No DD")*(G$4:G$28="")*(F$4:F$28&gt;F7))+1,IF(J7="No DD",SUMPRODUCT((J$4:J$28="No DD")*(F$4:F$28&gt;F7)*(G$4:G$28=""))+1+SUMPRODUCT((J$4:J$28&lt;&gt;"")*(G$4:G$28="")*(J$4:J$28&lt;&gt;"No DD")),""))</f>
        <v>2</v>
      </c>
      <c r="C7" s="5" t="s">
        <v>106</v>
      </c>
      <c r="D7" s="4" t="s">
        <v>6</v>
      </c>
      <c r="E7" s="4">
        <v>2006</v>
      </c>
      <c r="F7" s="9">
        <f t="shared" si="0"/>
        <v>194.57001945700549</v>
      </c>
      <c r="G7" s="64"/>
      <c r="H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P","")</f>
        <v>P</v>
      </c>
      <c r="I7" s="3" t="str">
        <f>IF(OR(AND(AQ7&gt;=AY$34,AQ7&lt;&gt;"",AN7=""),AND(AT7&gt;=AY$34,AT7&lt;&gt;"",AN7=""),AND(AX7&gt;=AY$34,AX7&lt;&gt;"",AN7=""),AND(BR7&gt;=BZ$34,BR7&lt;&gt;"",BO7=""),AND(BU7&gt;=BZ$34,BU7&lt;&gt;"",BO7=""),AND(BY7&gt;=BZ$34,BY7&lt;&gt;"",BO7=""),AND(CS7&gt;=DA$34,CS7&lt;&gt;"",CP7=""),AND(CV7&gt;=DA$34,CV7&lt;&gt;"",CP7=""),AND(CZ7&gt;=DA$34,CZ7&lt;&gt;"",CP7=""),AND(DZ7&gt;=EK$34,DZ7&lt;&gt;""),AND(EC7&gt;=EK$34,EC7&lt;&gt;""),AND(EG7&gt;=EK$34,EG7&lt;&gt;""),AND(EJ7&gt;=EK$34,EJ7&lt;&gt;""),AND(FH7&gt;=FS$34,FH7&lt;&gt;""),AND(FK7&gt;=FS$34,FK7&lt;&gt;""),AND(FO7&gt;=FS$34,FO7&lt;&gt;""),AND(FR7&gt;=FS$34,FR7&lt;&gt;""),AND(GP7&gt;=HA$34,GP7&lt;&gt;""),AND(GS7&gt;=HA$34,GS7&lt;&gt;""),AND(GW7&gt;=HA$34,GW7&lt;&gt;""),AND(GZ7&gt;=HA$34,GZ7&lt;&gt;""),AND(HX7&gt;=II$34,HX7&lt;&gt;""),AND(IA7&gt;=II$34,IA7&lt;&gt;""),AND(IE7&gt;=II$34,IE7&lt;&gt;""),AND(IH7&gt;=II$34,IH7&lt;&gt;""),AND(JF7&gt;=JQ$34,JF7&lt;&gt;""),AND(JI7&gt;=JQ$34,JI7&lt;&gt;""),AND(JM7&gt;=JQ$34,JM7&lt;&gt;""),AND(JP7&gt;=JQ$34,JP7&lt;&gt;""),AND(KN7&gt;=KY$34,KN7&lt;&gt;""),AND(KQ7&gt;=KY$34,KQ7&lt;&gt;""),AND(KU7&gt;=KY$34,KU7&lt;&gt;""),AND(KX7&gt;=KY$34,KX7&lt;&gt;""),AND(LV7&gt;=MG$34,LV7&lt;&gt;""),AND(LY7&gt;=MG$34,LY7&lt;&gt;""),AND(MC7&gt;=MG$34,MC7&lt;&gt;""),AND(MF7&gt;=MG$34,MF7&lt;&gt;""),AND(ND7&gt;=NO$34,ND7&lt;&gt;""),AND(NG7&gt;=NO$34,NG7&lt;&gt;""),AND(NK7&gt;=NO$34,NK7&lt;&gt;""),AND(NN7&gt;=NO$34,NN7&lt;&gt;""),AND(OL7&gt;=OW$34,OL7&lt;&gt;""),AND(OO7&gt;=OW$34,OO7&lt;&gt;""),AND(OS7&gt;=OW$34,OS7&lt;&gt;""),AND(OV7&gt;=OW$34,OV7&lt;&gt;""),AND(PT7&gt;=QE$34,PT7&lt;&gt;""),AND(PW7&gt;=QE$34,PW7&lt;&gt;""),AND(QA7&gt;=QE$34,QA7&lt;&gt;""),AND(QD7&gt;=QE$34,QD7&lt;&gt;""),AND(RB7&gt;=RM$34,RB7&lt;&gt;""),AND(RE7&gt;=RM$34,RE7&lt;&gt;""),AND(RI7&gt;=RM$34,RI7&lt;&gt;""),AND(RL7&gt;=RM$34,RL7&lt;&gt;""),AND(SJ7&gt;=SU$34,SJ7&lt;&gt;""),AND(SM7&gt;=SU$34,SM7&lt;&gt;""),AND(SQ7&gt;=SU$34,SQ7&lt;&gt;""),AND(ST7&gt;=SU$34,ST7&lt;&gt;"")),"P","")</f>
        <v>P</v>
      </c>
      <c r="J7" s="36" t="str">
        <f>IF(AND(I7="P",H7=""),"No DD",IF(OR(AND(AO7&gt;=AY$33,AO7&lt;&gt;"",AQ7&gt;=AY$37,AQ7&lt;&gt;"",AN7=""),AND(AR7&gt;=AY$33,AR7&lt;&gt;"",AT7&gt;=AY$37,AT7&lt;&gt;"",AN7=""),AND(AV7&gt;=AY$33,AV7&lt;&gt;"",AX7&gt;=AY$37,AX7&lt;&gt;"",AN7=""),AND(BP7&gt;=BZ$33,BP7&lt;&gt;"",BR7&gt;=BZ$37,BR7&lt;&gt;"",BO7=""),AND(BS7&gt;=BZ$33,BS7&lt;&gt;"",BU7&gt;=BZ$37,BU7&lt;&gt;"",BO7=""),AND(BW7&gt;=BZ$33,BW7&lt;&gt;"",BY7&gt;=BZ$37,BY7&lt;&gt;"",BO7=""),AND(CQ7&gt;=DA$33,CQ7&lt;&gt;"",CS7&gt;=DA$37,CS7&lt;&gt;"",CP7=""),AND(CT7&gt;=DA$33,CT7&lt;&gt;"",CV7&gt;=DA$37,CV7&lt;&gt;"",CP7=""),AND(CX7&gt;=DA$33,CX7&lt;&gt;"",CZ7&gt;=DA$37,CZ7&lt;&gt;"",CP7=""),AND(DX7&gt;=EK$33,DX7&lt;&gt;"",DZ7&gt;=EK$37,DZ7&lt;&gt;""),AND(EA7&gt;=EK$33,EA7&lt;&gt;"",EC7&gt;=EK$37,EC7&lt;&gt;""),AND(EE7&gt;=EK$33,EE7&lt;&gt;"",EG7&gt;=EK$37,EG7&lt;&gt;""),AND(EH7&gt;=EK$33,EH7&lt;&gt;"",EJ7&gt;=EK$37,EJ7&lt;&gt;""),AND(FF7&gt;=FS$33,FF7&lt;&gt;"",FH7&gt;=FS$37,FH7&lt;&gt;""),AND(FI7&gt;=FS$33,FI7&lt;&gt;"",FK7&gt;=FS$37,FK7&lt;&gt;""),AND(FM7&gt;=FS$33,FM7&lt;&gt;"",FO7&gt;=FS$37,FO7&lt;&gt;""),AND(FP7&gt;=FS$33,FP7&lt;&gt;"",FR7&gt;=FS$37,FR7&lt;&gt;""),AND(GN7&gt;=HA$33,GN7&lt;&gt;"",GP7&gt;=HA$37,GP7&lt;&gt;""),AND(GQ7&gt;=HA$33,GQ7&lt;&gt;"",GS7&gt;=HA$37,GS7&lt;&gt;""),AND(GU7&gt;=HA$33,GU7&lt;&gt;"",GW7&gt;=HA$37,GW7&lt;&gt;""),AND(GX7&gt;=HA$33,GX7&lt;&gt;"",GZ7&gt;=HA$37,GZ7&lt;&gt;""),AND(HV7&gt;=II$33,HV7&lt;&gt;"",HX7&gt;=II$37,HX7&lt;&gt;""),AND(HY7&gt;=II$33,HY7&lt;&gt;"",IA7&gt;=II$37,IA7&lt;&gt;""),AND(IC7&gt;=II$33,IC7&lt;&gt;"",IE7&gt;=II$37,IE7&lt;&gt;""),AND(IF7&gt;=II$33,IF7&lt;&gt;"",IH7&gt;=II$37,IH7&lt;&gt;""),AND(JD7&gt;=JQ$33,JD7&lt;&gt;"",JF7&gt;=JQ$37,JF7&lt;&gt;""),AND(JG7&gt;=JQ$33,JG7&lt;&gt;"",JI7&gt;=JQ$37,JI7&lt;&gt;""),AND(JK7&gt;=JQ$33,JK7&lt;&gt;"",JM7&gt;=JQ$37,JM7&lt;&gt;""),AND(JN7&gt;=JQ$33,JN7&lt;&gt;"",JP7&gt;=JQ$37,JP7&lt;&gt;""),AND(KL7&gt;=KY$33,KL7&lt;&gt;"",KN7&gt;=KY$37,KN7&lt;&gt;""),AND(KO7&gt;=KY$33,KO7&lt;&gt;"",KQ7&gt;=KY$37,KQ7&lt;&gt;""),AND(KS7&gt;=KY$33,KS7&lt;&gt;"",KU7&gt;=KY$37,KU7&lt;&gt;""),AND(KV7&gt;=KY$33,KV7&lt;&gt;"",KX7&gt;=KY$37,KX7&lt;&gt;""),AND(LT7&gt;=MG$33,LT7&lt;&gt;"",LV7&gt;=MG$37,LV7&lt;&gt;""),AND(LW7&gt;=MG$33,LW7&lt;&gt;"",LY7&gt;=MG$37,LY7&lt;&gt;""),AND(MA7&gt;=MG$33,MA7&lt;&gt;"",MC7&gt;=MG$37,MC7&lt;&gt;""),AND(MD7&gt;=MG$33,MD7&lt;&gt;"",MF7&gt;=MG$37,MF7&lt;&gt;""),AND(NB7&gt;=NO$33,NB7&lt;&gt;"",ND7&gt;=NO$37,ND7&lt;&gt;""),AND(NE7&gt;=NO$33,NE7&lt;&gt;"",NG7&gt;=NO$37,NG7&lt;&gt;""),AND(NI7&gt;=NO$33,NI7&lt;&gt;"",NK7&gt;=NO$37,NK7&lt;&gt;""),AND(NL7&gt;=NO$33,NL7&lt;&gt;"",NN7&gt;=NO$37,NN7&lt;&gt;""),AND(OJ7&gt;=OW$33,OJ7&lt;&gt;"",OL7&gt;=OW$37,OL7&lt;&gt;""),AND(OM7&gt;=OW$33,OM7&lt;&gt;"",OO7&gt;=OW$37,OO7&lt;&gt;""),AND(OQ7&gt;=OW$33,OQ7&lt;&gt;"",OS7&gt;=OW$37,OS7&lt;&gt;""),AND(OT7&gt;=OW$33,OT7&lt;&gt;"",OV7&gt;=OW$37,OV7&lt;&gt;""),AND(PR7&gt;=QE$33,PR7&lt;&gt;"",PT7&gt;=QE$37,PT7&lt;&gt;""),AND(PU7&gt;=QE$33,PU7&lt;&gt;"",PW7&gt;=QE$37,PW7&lt;&gt;""),AND(PY7&gt;=QE$33,PY7&lt;&gt;"",QA7&gt;=QE$37,QA7&lt;&gt;""),AND(QB7&gt;=QE$33,QB7&lt;&gt;"",QD7&gt;=QE$37,QD7&lt;&gt;""),AND(QZ7&gt;=RM$33,QZ7&lt;&gt;"",RB7&gt;=RM$37,RB7&lt;&gt;""),AND(RC7&gt;=RM$33,RC7&lt;&gt;"",RE7&gt;=RM$37,RE7&lt;&gt;""),AND(RG7&gt;=RM$33,RG7&lt;&gt;"",RI7&gt;=RM$37,RI7&lt;&gt;""),AND(RJ7&gt;=RM$33,RJ7&lt;&gt;"",RL7&gt;=RM$37,RL7&lt;&gt;""),AND(SH7&gt;=SU$33,SH7&lt;&gt;"",SJ7&gt;=SU$37,SJ7&lt;&gt;""),AND(SK7&gt;=SU$33,SK7&lt;&gt;"",SM7&gt;=SU$37,SM7&lt;&gt;""),AND(SO7&gt;=SU$33,SO7&lt;&gt;"",SQ7&gt;=SU$37,SQ7&lt;&gt;""),AND(SR7&gt;=SU$33,SR7&lt;&gt;"",ST7&gt;=SU$37,ST7&lt;&gt;"")),"Merit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),"Excellence",IF(K7="P","Worlds Team",IF(H7="P","National Team","")))))</f>
        <v>National Team</v>
      </c>
      <c r="K7" s="3" t="str">
        <f>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P","")</f>
        <v/>
      </c>
      <c r="L7" s="8">
        <f>IF(COUNT(AQ7,AT7,BR7,BU7,CS7,CV7)&gt;0,LARGE((AQ7,AT7,BR7,BU7,CS7,CV7),1),0)</f>
        <v>54.92</v>
      </c>
      <c r="M7" s="8" t="str">
        <f t="shared" si="1"/>
        <v>2025 Elite Canada</v>
      </c>
      <c r="N7" s="8">
        <f>IF(COUNT(AQ7,AT7,BR7,BU7,CS7,CV7)&gt;1,LARGE((AQ7,AT7,BR7,BU7,CS7,CV7),2),0)</f>
        <v>54.11</v>
      </c>
      <c r="O7" s="8" t="str">
        <f t="shared" si="2"/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 t="shared" si="3"/>
        <v>2025 Elite Canada</v>
      </c>
      <c r="R7" s="8">
        <f t="shared" si="4"/>
        <v>15.1</v>
      </c>
      <c r="S7" s="8" t="str">
        <f t="shared" si="5"/>
        <v>2025 Nationals</v>
      </c>
      <c r="T7" s="8">
        <f>IF(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&gt;0,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,0)</f>
        <v>16.03</v>
      </c>
      <c r="U7" s="8" t="str">
        <f t="shared" si="6"/>
        <v>2024 3rd Domestic Trial</v>
      </c>
      <c r="V7" s="8" t="str">
        <f t="shared" si="7"/>
        <v/>
      </c>
      <c r="W7" s="11" t="str">
        <f t="shared" si="8"/>
        <v/>
      </c>
      <c r="X7" s="8" t="str">
        <f t="shared" si="9"/>
        <v/>
      </c>
      <c r="Y7" s="22">
        <v>13.4</v>
      </c>
      <c r="Z7" s="22">
        <v>7.9</v>
      </c>
      <c r="AA7" s="22">
        <v>12.8</v>
      </c>
      <c r="AB7" s="22">
        <v>14.64</v>
      </c>
      <c r="AC7" s="22">
        <v>0</v>
      </c>
      <c r="AD7" s="22">
        <v>14.1</v>
      </c>
      <c r="AE7" s="22">
        <v>9.6</v>
      </c>
      <c r="AF7" s="22">
        <v>14.4</v>
      </c>
      <c r="AG7" s="22">
        <v>16.010000000000002</v>
      </c>
      <c r="AH7" s="22">
        <v>0</v>
      </c>
      <c r="AI7" s="22">
        <v>14.4</v>
      </c>
      <c r="AJ7" s="22">
        <v>9</v>
      </c>
      <c r="AK7" s="22">
        <v>14.4</v>
      </c>
      <c r="AL7" s="22">
        <v>16.03</v>
      </c>
      <c r="AM7" s="22">
        <v>0</v>
      </c>
      <c r="AN7" s="27"/>
      <c r="AO7" s="38">
        <f t="shared" si="10"/>
        <v>12.8</v>
      </c>
      <c r="AP7" s="38">
        <f t="shared" si="11"/>
        <v>14.64</v>
      </c>
      <c r="AQ7" s="40">
        <f t="shared" si="12"/>
        <v>48.74</v>
      </c>
      <c r="AR7" s="40">
        <f t="shared" si="13"/>
        <v>14.4</v>
      </c>
      <c r="AS7" s="40">
        <f t="shared" si="14"/>
        <v>16.010000000000002</v>
      </c>
      <c r="AT7" s="40">
        <f t="shared" si="15"/>
        <v>54.11</v>
      </c>
      <c r="AU7" s="40">
        <f t="shared" si="16"/>
        <v>54.11</v>
      </c>
      <c r="AV7" s="40">
        <f t="shared" si="17"/>
        <v>14.4</v>
      </c>
      <c r="AW7" s="40">
        <f t="shared" si="18"/>
        <v>16.03</v>
      </c>
      <c r="AX7" s="40">
        <f t="shared" si="19"/>
        <v>53.83</v>
      </c>
      <c r="AY7" s="40">
        <f t="shared" si="20"/>
        <v>107.94</v>
      </c>
      <c r="AZ7" s="26">
        <v>15.5</v>
      </c>
      <c r="BA7" s="26">
        <v>9.1999999999999993</v>
      </c>
      <c r="BB7" s="26">
        <v>14.9</v>
      </c>
      <c r="BC7" s="26">
        <v>15.32</v>
      </c>
      <c r="BD7" s="26">
        <v>0</v>
      </c>
      <c r="BE7" s="26">
        <v>14.1</v>
      </c>
      <c r="BF7" s="26">
        <v>9.1999999999999993</v>
      </c>
      <c r="BG7" s="26">
        <v>13.7</v>
      </c>
      <c r="BH7" s="26">
        <v>15.55</v>
      </c>
      <c r="BI7" s="26">
        <v>0.8</v>
      </c>
      <c r="BJ7" s="26">
        <v>14.8</v>
      </c>
      <c r="BK7" s="26">
        <v>9.3000000000000007</v>
      </c>
      <c r="BL7" s="26">
        <v>14.9</v>
      </c>
      <c r="BM7" s="26">
        <v>15.41</v>
      </c>
      <c r="BN7" s="26">
        <v>0</v>
      </c>
      <c r="BO7" s="28"/>
      <c r="BP7" s="39">
        <f t="shared" si="21"/>
        <v>14.9</v>
      </c>
      <c r="BQ7" s="39">
        <f t="shared" si="22"/>
        <v>15.32</v>
      </c>
      <c r="BR7" s="11">
        <f t="shared" si="23"/>
        <v>54.92</v>
      </c>
      <c r="BS7" s="11">
        <f t="shared" si="24"/>
        <v>13.7</v>
      </c>
      <c r="BT7" s="11">
        <f t="shared" si="25"/>
        <v>15.55</v>
      </c>
      <c r="BU7" s="11">
        <f t="shared" si="26"/>
        <v>51.75</v>
      </c>
      <c r="BV7" s="11">
        <f t="shared" si="27"/>
        <v>54.92</v>
      </c>
      <c r="BW7" s="11">
        <f t="shared" si="28"/>
        <v>14.9</v>
      </c>
      <c r="BX7" s="11">
        <f t="shared" si="29"/>
        <v>15.41</v>
      </c>
      <c r="BY7" s="11">
        <f t="shared" si="30"/>
        <v>54.41</v>
      </c>
      <c r="BZ7" s="11">
        <f t="shared" si="31"/>
        <v>109.33</v>
      </c>
      <c r="CA7" s="22">
        <v>2.7</v>
      </c>
      <c r="CB7" s="22">
        <v>1.9</v>
      </c>
      <c r="CC7" s="22">
        <v>3.5</v>
      </c>
      <c r="CD7" s="22">
        <v>3.26</v>
      </c>
      <c r="CE7" s="22">
        <v>0</v>
      </c>
      <c r="CF7" s="22">
        <v>10.9</v>
      </c>
      <c r="CG7" s="22">
        <v>9.1999999999999993</v>
      </c>
      <c r="CH7" s="22">
        <v>15.1</v>
      </c>
      <c r="CI7" s="22">
        <v>15.1</v>
      </c>
      <c r="CJ7" s="22">
        <v>0</v>
      </c>
      <c r="CK7" s="22"/>
      <c r="CL7" s="22"/>
      <c r="CM7" s="22"/>
      <c r="CN7" s="22"/>
      <c r="CO7" s="22"/>
      <c r="CP7" s="27"/>
      <c r="CQ7" s="38">
        <f t="shared" si="32"/>
        <v>3.5</v>
      </c>
      <c r="CR7" s="38">
        <f t="shared" si="33"/>
        <v>3.26</v>
      </c>
      <c r="CS7" s="40">
        <f t="shared" si="34"/>
        <v>11.36</v>
      </c>
      <c r="CT7" s="40">
        <f t="shared" si="35"/>
        <v>15.1</v>
      </c>
      <c r="CU7" s="40">
        <f t="shared" si="36"/>
        <v>15.1</v>
      </c>
      <c r="CV7" s="40">
        <f t="shared" si="37"/>
        <v>50.300000000000004</v>
      </c>
      <c r="CW7" s="40">
        <f t="shared" si="38"/>
        <v>50.300000000000004</v>
      </c>
      <c r="CX7" s="40" t="str">
        <f t="shared" si="39"/>
        <v/>
      </c>
      <c r="CY7" s="40" t="str">
        <f t="shared" si="40"/>
        <v/>
      </c>
      <c r="CZ7" s="40" t="str">
        <f t="shared" si="41"/>
        <v/>
      </c>
      <c r="DA7" s="40">
        <f t="shared" si="42"/>
        <v>50.300000000000004</v>
      </c>
      <c r="DB7" s="50" t="str">
        <f t="shared" si="43"/>
        <v/>
      </c>
      <c r="DC7" s="50" t="str">
        <f t="shared" si="44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45"/>
        <v/>
      </c>
      <c r="DY7" s="40" t="str">
        <f t="shared" si="46"/>
        <v/>
      </c>
      <c r="DZ7" s="40" t="str">
        <f t="shared" si="47"/>
        <v/>
      </c>
      <c r="EA7" s="40" t="str">
        <f t="shared" si="48"/>
        <v/>
      </c>
      <c r="EB7" s="40" t="str">
        <f t="shared" si="49"/>
        <v/>
      </c>
      <c r="EC7" s="40" t="str">
        <f t="shared" si="50"/>
        <v/>
      </c>
      <c r="ED7" s="40" t="str">
        <f t="shared" si="51"/>
        <v/>
      </c>
      <c r="EE7" s="40" t="str">
        <f t="shared" si="52"/>
        <v/>
      </c>
      <c r="EF7" s="40" t="str">
        <f t="shared" si="53"/>
        <v/>
      </c>
      <c r="EG7" s="40" t="str">
        <f t="shared" si="54"/>
        <v/>
      </c>
      <c r="EH7" s="40" t="str">
        <f t="shared" si="55"/>
        <v/>
      </c>
      <c r="EI7" s="40" t="str">
        <f t="shared" si="56"/>
        <v/>
      </c>
      <c r="EJ7" s="40" t="str">
        <f t="shared" si="57"/>
        <v/>
      </c>
      <c r="EK7" s="40" t="str">
        <f t="shared" si="58"/>
        <v/>
      </c>
      <c r="EL7" s="18">
        <v>14.2</v>
      </c>
      <c r="EM7" s="18">
        <v>8.3000000000000007</v>
      </c>
      <c r="EN7" s="18">
        <v>14</v>
      </c>
      <c r="EO7" s="18">
        <v>15.15</v>
      </c>
      <c r="EP7" s="18">
        <v>0</v>
      </c>
      <c r="EQ7" s="18">
        <v>14.3</v>
      </c>
      <c r="ER7" s="18">
        <v>9.1999999999999993</v>
      </c>
      <c r="ES7" s="18">
        <v>14</v>
      </c>
      <c r="ET7" s="18">
        <v>15.6</v>
      </c>
      <c r="EU7" s="18">
        <v>0</v>
      </c>
      <c r="EV7" s="18">
        <v>13.5</v>
      </c>
      <c r="EW7" s="18">
        <v>9.6</v>
      </c>
      <c r="EX7" s="18">
        <v>12.2</v>
      </c>
      <c r="EY7" s="18">
        <v>14.84</v>
      </c>
      <c r="EZ7" s="18">
        <v>0</v>
      </c>
      <c r="FA7" s="18">
        <v>10.5</v>
      </c>
      <c r="FB7" s="18">
        <v>7</v>
      </c>
      <c r="FC7" s="18">
        <v>9.6999999999999993</v>
      </c>
      <c r="FD7" s="18">
        <v>12.1</v>
      </c>
      <c r="FE7" s="18">
        <v>0</v>
      </c>
      <c r="FF7" s="11">
        <f t="shared" si="59"/>
        <v>14</v>
      </c>
      <c r="FG7" s="11">
        <f t="shared" si="60"/>
        <v>15.15</v>
      </c>
      <c r="FH7" s="11">
        <f t="shared" si="61"/>
        <v>51.65</v>
      </c>
      <c r="FI7" s="11">
        <f t="shared" si="62"/>
        <v>14</v>
      </c>
      <c r="FJ7" s="11">
        <f t="shared" si="63"/>
        <v>15.6</v>
      </c>
      <c r="FK7" s="11">
        <f t="shared" si="64"/>
        <v>53.1</v>
      </c>
      <c r="FL7" s="11">
        <f t="shared" si="65"/>
        <v>53.1</v>
      </c>
      <c r="FM7" s="11">
        <f t="shared" si="66"/>
        <v>12.2</v>
      </c>
      <c r="FN7" s="11">
        <f t="shared" si="67"/>
        <v>14.84</v>
      </c>
      <c r="FO7" s="11">
        <f t="shared" si="68"/>
        <v>50.14</v>
      </c>
      <c r="FP7" s="11">
        <f t="shared" si="69"/>
        <v>9.6999999999999993</v>
      </c>
      <c r="FQ7" s="11">
        <f t="shared" si="70"/>
        <v>12.1</v>
      </c>
      <c r="FR7" s="11">
        <f t="shared" si="71"/>
        <v>39.299999999999997</v>
      </c>
      <c r="FS7" s="11">
        <f t="shared" si="72"/>
        <v>142.54000000000002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3"/>
        <v/>
      </c>
      <c r="GO7" s="40" t="str">
        <f t="shared" si="74"/>
        <v/>
      </c>
      <c r="GP7" s="40" t="str">
        <f t="shared" si="75"/>
        <v/>
      </c>
      <c r="GQ7" s="40" t="str">
        <f t="shared" si="76"/>
        <v/>
      </c>
      <c r="GR7" s="40" t="str">
        <f t="shared" si="77"/>
        <v/>
      </c>
      <c r="GS7" s="40" t="str">
        <f t="shared" si="78"/>
        <v/>
      </c>
      <c r="GT7" s="40" t="str">
        <f t="shared" si="79"/>
        <v/>
      </c>
      <c r="GU7" s="40" t="str">
        <f t="shared" si="80"/>
        <v/>
      </c>
      <c r="GV7" s="40" t="str">
        <f t="shared" si="81"/>
        <v/>
      </c>
      <c r="GW7" s="40" t="str">
        <f t="shared" si="82"/>
        <v/>
      </c>
      <c r="GX7" s="40" t="str">
        <f t="shared" si="83"/>
        <v/>
      </c>
      <c r="GY7" s="40" t="str">
        <f t="shared" si="84"/>
        <v/>
      </c>
      <c r="GZ7" s="40" t="str">
        <f t="shared" si="85"/>
        <v/>
      </c>
      <c r="HA7" s="40" t="str">
        <f t="shared" si="86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87"/>
        <v/>
      </c>
      <c r="HW7" s="11" t="str">
        <f t="shared" si="88"/>
        <v/>
      </c>
      <c r="HX7" s="11" t="str">
        <f t="shared" si="89"/>
        <v/>
      </c>
      <c r="HY7" s="11" t="str">
        <f t="shared" si="90"/>
        <v/>
      </c>
      <c r="HZ7" s="11" t="str">
        <f t="shared" si="91"/>
        <v/>
      </c>
      <c r="IA7" s="11" t="str">
        <f t="shared" si="92"/>
        <v/>
      </c>
      <c r="IB7" s="11" t="str">
        <f t="shared" si="93"/>
        <v/>
      </c>
      <c r="IC7" s="11" t="str">
        <f t="shared" si="94"/>
        <v/>
      </c>
      <c r="ID7" s="11" t="str">
        <f t="shared" si="95"/>
        <v/>
      </c>
      <c r="IE7" s="11" t="str">
        <f t="shared" si="96"/>
        <v/>
      </c>
      <c r="IF7" s="11" t="str">
        <f t="shared" si="97"/>
        <v/>
      </c>
      <c r="IG7" s="11" t="str">
        <f t="shared" si="98"/>
        <v/>
      </c>
      <c r="IH7" s="11" t="str">
        <f t="shared" si="99"/>
        <v/>
      </c>
      <c r="II7" s="11" t="str">
        <f t="shared" si="100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1"/>
        <v/>
      </c>
      <c r="JE7" s="40" t="str">
        <f t="shared" si="102"/>
        <v/>
      </c>
      <c r="JF7" s="40" t="str">
        <f t="shared" si="103"/>
        <v/>
      </c>
      <c r="JG7" s="40" t="str">
        <f t="shared" si="104"/>
        <v/>
      </c>
      <c r="JH7" s="40" t="str">
        <f t="shared" si="105"/>
        <v/>
      </c>
      <c r="JI7" s="40" t="str">
        <f t="shared" si="106"/>
        <v/>
      </c>
      <c r="JJ7" s="40" t="str">
        <f t="shared" si="107"/>
        <v/>
      </c>
      <c r="JK7" s="40" t="str">
        <f t="shared" si="108"/>
        <v/>
      </c>
      <c r="JL7" s="40" t="str">
        <f t="shared" si="109"/>
        <v/>
      </c>
      <c r="JM7" s="40" t="str">
        <f t="shared" si="110"/>
        <v/>
      </c>
      <c r="JN7" s="40" t="str">
        <f t="shared" si="111"/>
        <v/>
      </c>
      <c r="JO7" s="40" t="str">
        <f t="shared" si="112"/>
        <v/>
      </c>
      <c r="JP7" s="40" t="str">
        <f t="shared" si="113"/>
        <v/>
      </c>
      <c r="JQ7" s="40" t="str">
        <f t="shared" si="114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15"/>
        <v/>
      </c>
      <c r="KM7" s="11" t="str">
        <f t="shared" si="116"/>
        <v/>
      </c>
      <c r="KN7" s="11" t="str">
        <f t="shared" si="117"/>
        <v/>
      </c>
      <c r="KO7" s="11" t="str">
        <f t="shared" si="118"/>
        <v/>
      </c>
      <c r="KP7" s="11" t="str">
        <f t="shared" si="119"/>
        <v/>
      </c>
      <c r="KQ7" s="11" t="str">
        <f t="shared" si="120"/>
        <v/>
      </c>
      <c r="KR7" s="11" t="str">
        <f t="shared" si="121"/>
        <v/>
      </c>
      <c r="KS7" s="11" t="str">
        <f t="shared" si="122"/>
        <v/>
      </c>
      <c r="KT7" s="11" t="str">
        <f t="shared" si="123"/>
        <v/>
      </c>
      <c r="KU7" s="11" t="str">
        <f t="shared" si="124"/>
        <v/>
      </c>
      <c r="KV7" s="11" t="str">
        <f t="shared" si="125"/>
        <v/>
      </c>
      <c r="KW7" s="11" t="str">
        <f t="shared" si="126"/>
        <v/>
      </c>
      <c r="KX7" s="11" t="str">
        <f t="shared" si="127"/>
        <v/>
      </c>
      <c r="KY7" s="11" t="str">
        <f t="shared" si="128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29"/>
        <v/>
      </c>
      <c r="LU7" s="40" t="str">
        <f t="shared" si="130"/>
        <v/>
      </c>
      <c r="LV7" s="40" t="str">
        <f t="shared" si="131"/>
        <v/>
      </c>
      <c r="LW7" s="40" t="str">
        <f t="shared" si="132"/>
        <v/>
      </c>
      <c r="LX7" s="40" t="str">
        <f t="shared" si="133"/>
        <v/>
      </c>
      <c r="LY7" s="40" t="str">
        <f t="shared" si="134"/>
        <v/>
      </c>
      <c r="LZ7" s="40" t="str">
        <f t="shared" si="135"/>
        <v/>
      </c>
      <c r="MA7" s="40" t="str">
        <f t="shared" si="136"/>
        <v/>
      </c>
      <c r="MB7" s="40" t="str">
        <f t="shared" si="137"/>
        <v/>
      </c>
      <c r="MC7" s="40" t="str">
        <f t="shared" si="138"/>
        <v/>
      </c>
      <c r="MD7" s="40" t="str">
        <f t="shared" si="139"/>
        <v/>
      </c>
      <c r="ME7" s="40" t="str">
        <f t="shared" si="140"/>
        <v/>
      </c>
      <c r="MF7" s="40" t="str">
        <f t="shared" si="141"/>
        <v/>
      </c>
      <c r="MG7" s="40" t="str">
        <f t="shared" si="142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3"/>
        <v/>
      </c>
      <c r="NC7" s="11" t="str">
        <f t="shared" si="144"/>
        <v/>
      </c>
      <c r="ND7" s="11" t="str">
        <f t="shared" si="145"/>
        <v/>
      </c>
      <c r="NE7" s="11" t="str">
        <f t="shared" si="146"/>
        <v/>
      </c>
      <c r="NF7" s="11" t="str">
        <f t="shared" si="147"/>
        <v/>
      </c>
      <c r="NG7" s="11" t="str">
        <f t="shared" si="148"/>
        <v/>
      </c>
      <c r="NH7" s="11" t="str">
        <f t="shared" si="149"/>
        <v/>
      </c>
      <c r="NI7" s="11" t="str">
        <f t="shared" si="150"/>
        <v/>
      </c>
      <c r="NJ7" s="11" t="str">
        <f t="shared" si="151"/>
        <v/>
      </c>
      <c r="NK7" s="11" t="str">
        <f t="shared" si="152"/>
        <v/>
      </c>
      <c r="NL7" s="11" t="str">
        <f t="shared" si="153"/>
        <v/>
      </c>
      <c r="NM7" s="11" t="str">
        <f t="shared" si="154"/>
        <v/>
      </c>
      <c r="NN7" s="11" t="str">
        <f t="shared" si="155"/>
        <v/>
      </c>
      <c r="NO7" s="11" t="str">
        <f t="shared" si="156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57"/>
        <v/>
      </c>
      <c r="OK7" s="40" t="str">
        <f t="shared" si="158"/>
        <v/>
      </c>
      <c r="OL7" s="40" t="str">
        <f t="shared" si="159"/>
        <v/>
      </c>
      <c r="OM7" s="40" t="str">
        <f t="shared" si="160"/>
        <v/>
      </c>
      <c r="ON7" s="40" t="str">
        <f t="shared" si="161"/>
        <v/>
      </c>
      <c r="OO7" s="40" t="str">
        <f t="shared" si="162"/>
        <v/>
      </c>
      <c r="OP7" s="40" t="str">
        <f t="shared" si="163"/>
        <v/>
      </c>
      <c r="OQ7" s="40" t="str">
        <f t="shared" si="164"/>
        <v/>
      </c>
      <c r="OR7" s="40" t="str">
        <f t="shared" si="165"/>
        <v/>
      </c>
      <c r="OS7" s="40" t="str">
        <f t="shared" si="166"/>
        <v/>
      </c>
      <c r="OT7" s="40" t="str">
        <f t="shared" si="167"/>
        <v/>
      </c>
      <c r="OU7" s="40" t="str">
        <f t="shared" si="168"/>
        <v/>
      </c>
      <c r="OV7" s="40" t="str">
        <f t="shared" si="169"/>
        <v/>
      </c>
      <c r="OW7" s="40" t="str">
        <f t="shared" si="170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1"/>
        <v/>
      </c>
      <c r="PS7" s="11" t="str">
        <f t="shared" si="172"/>
        <v/>
      </c>
      <c r="PT7" s="11" t="str">
        <f t="shared" si="173"/>
        <v/>
      </c>
      <c r="PU7" s="11" t="str">
        <f t="shared" si="174"/>
        <v/>
      </c>
      <c r="PV7" s="11" t="str">
        <f t="shared" si="175"/>
        <v/>
      </c>
      <c r="PW7" s="11" t="str">
        <f t="shared" si="176"/>
        <v/>
      </c>
      <c r="PX7" s="11" t="str">
        <f t="shared" si="177"/>
        <v/>
      </c>
      <c r="PY7" s="11" t="str">
        <f t="shared" si="178"/>
        <v/>
      </c>
      <c r="PZ7" s="11" t="str">
        <f t="shared" si="179"/>
        <v/>
      </c>
      <c r="QA7" s="11" t="str">
        <f t="shared" si="180"/>
        <v/>
      </c>
      <c r="QB7" s="11" t="str">
        <f t="shared" si="181"/>
        <v/>
      </c>
      <c r="QC7" s="11" t="str">
        <f t="shared" si="182"/>
        <v/>
      </c>
      <c r="QD7" s="11" t="str">
        <f t="shared" si="183"/>
        <v/>
      </c>
      <c r="QE7" s="11" t="str">
        <f t="shared" si="184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85"/>
        <v/>
      </c>
      <c r="RA7" s="40" t="str">
        <f t="shared" si="186"/>
        <v/>
      </c>
      <c r="RB7" s="40" t="str">
        <f t="shared" si="187"/>
        <v/>
      </c>
      <c r="RC7" s="40" t="str">
        <f t="shared" si="188"/>
        <v/>
      </c>
      <c r="RD7" s="40" t="str">
        <f t="shared" si="189"/>
        <v/>
      </c>
      <c r="RE7" s="40" t="str">
        <f t="shared" si="190"/>
        <v/>
      </c>
      <c r="RF7" s="40" t="str">
        <f t="shared" si="191"/>
        <v/>
      </c>
      <c r="RG7" s="40" t="str">
        <f t="shared" si="192"/>
        <v/>
      </c>
      <c r="RH7" s="40" t="str">
        <f t="shared" si="193"/>
        <v/>
      </c>
      <c r="RI7" s="40" t="str">
        <f t="shared" si="194"/>
        <v/>
      </c>
      <c r="RJ7" s="40" t="str">
        <f t="shared" si="195"/>
        <v/>
      </c>
      <c r="RK7" s="40" t="str">
        <f t="shared" si="196"/>
        <v/>
      </c>
      <c r="RL7" s="40" t="str">
        <f t="shared" si="197"/>
        <v/>
      </c>
      <c r="RM7" s="40" t="str">
        <f t="shared" si="198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199"/>
        <v/>
      </c>
      <c r="SI7" s="11" t="str">
        <f t="shared" si="200"/>
        <v/>
      </c>
      <c r="SJ7" s="11" t="str">
        <f t="shared" si="201"/>
        <v/>
      </c>
      <c r="SK7" s="11" t="str">
        <f t="shared" si="202"/>
        <v/>
      </c>
      <c r="SL7" s="11" t="str">
        <f t="shared" si="203"/>
        <v/>
      </c>
      <c r="SM7" s="11" t="str">
        <f t="shared" si="204"/>
        <v/>
      </c>
      <c r="SN7" s="11" t="str">
        <f t="shared" si="205"/>
        <v/>
      </c>
      <c r="SO7" s="11" t="str">
        <f t="shared" si="206"/>
        <v/>
      </c>
      <c r="SP7" s="11" t="str">
        <f t="shared" si="207"/>
        <v/>
      </c>
      <c r="SQ7" s="11" t="str">
        <f t="shared" si="208"/>
        <v/>
      </c>
      <c r="SR7" s="11" t="str">
        <f t="shared" si="209"/>
        <v/>
      </c>
      <c r="SS7" s="11" t="str">
        <f t="shared" si="210"/>
        <v/>
      </c>
      <c r="ST7" s="11" t="str">
        <f t="shared" si="211"/>
        <v/>
      </c>
      <c r="SU7" s="11" t="str">
        <f t="shared" si="212"/>
        <v/>
      </c>
      <c r="SV7" s="22">
        <f t="shared" si="213"/>
        <v>9.1</v>
      </c>
      <c r="SW7" s="22">
        <f t="shared" si="214"/>
        <v>5.55</v>
      </c>
      <c r="SX7" s="22">
        <f t="shared" si="215"/>
        <v>9.1999999999999993</v>
      </c>
      <c r="SY7" s="22">
        <f t="shared" si="216"/>
        <v>9.2899999999999991</v>
      </c>
      <c r="SZ7" s="22">
        <f t="shared" si="217"/>
        <v>0</v>
      </c>
      <c r="TA7" s="22">
        <f t="shared" si="218"/>
        <v>12.5</v>
      </c>
      <c r="TB7" s="22">
        <f t="shared" si="219"/>
        <v>9.1999999999999993</v>
      </c>
      <c r="TC7" s="22">
        <f t="shared" si="220"/>
        <v>14.399999999999999</v>
      </c>
      <c r="TD7" s="22">
        <f t="shared" si="221"/>
        <v>15.324999999999999</v>
      </c>
      <c r="TE7" s="22">
        <f t="shared" si="222"/>
        <v>0.4</v>
      </c>
      <c r="TF7" s="22">
        <f t="shared" si="223"/>
        <v>7.4</v>
      </c>
      <c r="TG7" s="22">
        <f t="shared" si="224"/>
        <v>4.6500000000000004</v>
      </c>
      <c r="TH7" s="22">
        <f t="shared" si="225"/>
        <v>7.45</v>
      </c>
      <c r="TI7" s="22">
        <f t="shared" si="226"/>
        <v>7.7050000000000001</v>
      </c>
      <c r="TJ7" s="22">
        <f t="shared" si="227"/>
        <v>0</v>
      </c>
      <c r="TK7" s="27" t="s">
        <v>46</v>
      </c>
      <c r="TL7" s="40">
        <f t="shared" si="228"/>
        <v>9.1999999999999993</v>
      </c>
      <c r="TM7" s="40">
        <f t="shared" si="229"/>
        <v>9.2899999999999991</v>
      </c>
      <c r="TN7" s="40">
        <f t="shared" si="230"/>
        <v>33.14</v>
      </c>
      <c r="TO7" s="40">
        <f t="shared" si="231"/>
        <v>14.399999999999999</v>
      </c>
      <c r="TP7" s="40">
        <f t="shared" si="232"/>
        <v>15.324999999999999</v>
      </c>
      <c r="TQ7" s="40">
        <f t="shared" si="233"/>
        <v>51.024999999999999</v>
      </c>
      <c r="TR7" s="40">
        <f t="shared" si="234"/>
        <v>51.024999999999999</v>
      </c>
      <c r="TS7" s="40">
        <f t="shared" si="235"/>
        <v>7.45</v>
      </c>
      <c r="TT7" s="40">
        <f t="shared" si="236"/>
        <v>7.7050000000000001</v>
      </c>
      <c r="TU7" s="40">
        <f t="shared" si="237"/>
        <v>27.204999999999998</v>
      </c>
      <c r="TV7" s="40">
        <f t="shared" si="238"/>
        <v>78.22999999999999</v>
      </c>
    </row>
    <row r="8" spans="1:542" x14ac:dyDescent="0.2">
      <c r="A8" s="4" cm="1">
        <f t="array" ref="A8">IF(AND(J8&lt;&gt;"",J8&lt;&gt;"No DD"),SUMPRODUCT((J$4:J$28&lt;&gt;"")*(J$4:J$28&lt;&gt;"No DD")*(F$4:F$28&gt;F8))+1,IF(J8="No DD",SUMPRODUCT((J$4:J$28="No DD")*(F$4:F$28&gt;F8))+1+SUMPRODUCT((J$4:J$28&lt;&gt;"")*(J$4:J$28&lt;&gt;"No DD")),""))</f>
        <v>5</v>
      </c>
      <c r="B8" s="4" t="str" cm="1">
        <f t="array" ref="B8">IF(AND(J8&lt;&gt;"",J8&lt;&gt;"No DD",G8=""),SUMPRODUCT((J$4:J$28&lt;&gt;"")*(J$4:J$28&lt;&gt;"No DD")*(G$4:G$28="")*(F$4:F$28&gt;F8))+1,IF(J8="No DD",SUMPRODUCT((J$4:J$28="No DD")*(F$4:F$28&gt;F8)*(G$4:G$28=""))+1+SUMPRODUCT((J$4:J$28&lt;&gt;"")*(G$4:G$28="")*(J$4:J$28&lt;&gt;"No DD")),""))</f>
        <v/>
      </c>
      <c r="C8" s="5" t="s">
        <v>171</v>
      </c>
      <c r="D8" s="4" t="s">
        <v>6</v>
      </c>
      <c r="E8" s="4">
        <v>2008</v>
      </c>
      <c r="F8" s="9">
        <f t="shared" si="0"/>
        <v>193.33001933300557</v>
      </c>
      <c r="G8" s="64" t="s">
        <v>46</v>
      </c>
      <c r="H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P","")</f>
        <v>P</v>
      </c>
      <c r="I8" s="3" t="str">
        <f>IF(OR(AND(AQ8&gt;=AY$34,AQ8&lt;&gt;"",AN8=""),AND(AT8&gt;=AY$34,AT8&lt;&gt;"",AN8=""),AND(AX8&gt;=AY$34,AX8&lt;&gt;"",AN8=""),AND(BR8&gt;=BZ$34,BR8&lt;&gt;"",BO8=""),AND(BU8&gt;=BZ$34,BU8&lt;&gt;"",BO8=""),AND(BY8&gt;=BZ$34,BY8&lt;&gt;"",BO8=""),AND(CS8&gt;=DA$34,CS8&lt;&gt;"",CP8=""),AND(CV8&gt;=DA$34,CV8&lt;&gt;"",CP8=""),AND(CZ8&gt;=DA$34,CZ8&lt;&gt;"",CP8=""),AND(DZ8&gt;=EK$34,DZ8&lt;&gt;""),AND(EC8&gt;=EK$34,EC8&lt;&gt;""),AND(EG8&gt;=EK$34,EG8&lt;&gt;""),AND(EJ8&gt;=EK$34,EJ8&lt;&gt;""),AND(FH8&gt;=FS$34,FH8&lt;&gt;""),AND(FK8&gt;=FS$34,FK8&lt;&gt;""),AND(FO8&gt;=FS$34,FO8&lt;&gt;""),AND(FR8&gt;=FS$34,FR8&lt;&gt;""),AND(GP8&gt;=HA$34,GP8&lt;&gt;""),AND(GS8&gt;=HA$34,GS8&lt;&gt;""),AND(GW8&gt;=HA$34,GW8&lt;&gt;""),AND(GZ8&gt;=HA$34,GZ8&lt;&gt;""),AND(HX8&gt;=II$34,HX8&lt;&gt;""),AND(IA8&gt;=II$34,IA8&lt;&gt;""),AND(IE8&gt;=II$34,IE8&lt;&gt;""),AND(IH8&gt;=II$34,IH8&lt;&gt;""),AND(JF8&gt;=JQ$34,JF8&lt;&gt;""),AND(JI8&gt;=JQ$34,JI8&lt;&gt;""),AND(JM8&gt;=JQ$34,JM8&lt;&gt;""),AND(JP8&gt;=JQ$34,JP8&lt;&gt;""),AND(KN8&gt;=KY$34,KN8&lt;&gt;""),AND(KQ8&gt;=KY$34,KQ8&lt;&gt;""),AND(KU8&gt;=KY$34,KU8&lt;&gt;""),AND(KX8&gt;=KY$34,KX8&lt;&gt;""),AND(LV8&gt;=MG$34,LV8&lt;&gt;""),AND(LY8&gt;=MG$34,LY8&lt;&gt;""),AND(MC8&gt;=MG$34,MC8&lt;&gt;""),AND(MF8&gt;=MG$34,MF8&lt;&gt;""),AND(ND8&gt;=NO$34,ND8&lt;&gt;""),AND(NG8&gt;=NO$34,NG8&lt;&gt;""),AND(NK8&gt;=NO$34,NK8&lt;&gt;""),AND(NN8&gt;=NO$34,NN8&lt;&gt;""),AND(OL8&gt;=OW$34,OL8&lt;&gt;""),AND(OO8&gt;=OW$34,OO8&lt;&gt;""),AND(OS8&gt;=OW$34,OS8&lt;&gt;""),AND(OV8&gt;=OW$34,OV8&lt;&gt;""),AND(PT8&gt;=QE$34,PT8&lt;&gt;""),AND(PW8&gt;=QE$34,PW8&lt;&gt;""),AND(QA8&gt;=QE$34,QA8&lt;&gt;""),AND(QD8&gt;=QE$34,QD8&lt;&gt;""),AND(RB8&gt;=RM$34,RB8&lt;&gt;""),AND(RE8&gt;=RM$34,RE8&lt;&gt;""),AND(RI8&gt;=RM$34,RI8&lt;&gt;""),AND(RL8&gt;=RM$34,RL8&lt;&gt;""),AND(SJ8&gt;=SU$34,SJ8&lt;&gt;""),AND(SM8&gt;=SU$34,SM8&lt;&gt;""),AND(SQ8&gt;=SU$34,SQ8&lt;&gt;""),AND(ST8&gt;=SU$34,ST8&lt;&gt;"")),"P","")</f>
        <v>P</v>
      </c>
      <c r="J8" s="36" t="str">
        <f>IF(AND(I8="P",H8=""),"No DD",IF(OR(AND(AO8&gt;=AY$33,AO8&lt;&gt;"",AQ8&gt;=AY$37,AQ8&lt;&gt;"",AN8=""),AND(AR8&gt;=AY$33,AR8&lt;&gt;"",AT8&gt;=AY$37,AT8&lt;&gt;"",AN8=""),AND(AV8&gt;=AY$33,AV8&lt;&gt;"",AX8&gt;=AY$37,AX8&lt;&gt;"",AN8=""),AND(BP8&gt;=BZ$33,BP8&lt;&gt;"",BR8&gt;=BZ$37,BR8&lt;&gt;"",BO8=""),AND(BS8&gt;=BZ$33,BS8&lt;&gt;"",BU8&gt;=BZ$37,BU8&lt;&gt;"",BO8=""),AND(BW8&gt;=BZ$33,BW8&lt;&gt;"",BY8&gt;=BZ$37,BY8&lt;&gt;"",BO8=""),AND(CQ8&gt;=DA$33,CQ8&lt;&gt;"",CS8&gt;=DA$37,CS8&lt;&gt;"",CP8=""),AND(CT8&gt;=DA$33,CT8&lt;&gt;"",CV8&gt;=DA$37,CV8&lt;&gt;"",CP8=""),AND(CX8&gt;=DA$33,CX8&lt;&gt;"",CZ8&gt;=DA$37,CZ8&lt;&gt;"",CP8=""),AND(DX8&gt;=EK$33,DX8&lt;&gt;"",DZ8&gt;=EK$37,DZ8&lt;&gt;""),AND(EA8&gt;=EK$33,EA8&lt;&gt;"",EC8&gt;=EK$37,EC8&lt;&gt;""),AND(EE8&gt;=EK$33,EE8&lt;&gt;"",EG8&gt;=EK$37,EG8&lt;&gt;""),AND(EH8&gt;=EK$33,EH8&lt;&gt;"",EJ8&gt;=EK$37,EJ8&lt;&gt;""),AND(FF8&gt;=FS$33,FF8&lt;&gt;"",FH8&gt;=FS$37,FH8&lt;&gt;""),AND(FI8&gt;=FS$33,FI8&lt;&gt;"",FK8&gt;=FS$37,FK8&lt;&gt;""),AND(FM8&gt;=FS$33,FM8&lt;&gt;"",FO8&gt;=FS$37,FO8&lt;&gt;""),AND(FP8&gt;=FS$33,FP8&lt;&gt;"",FR8&gt;=FS$37,FR8&lt;&gt;""),AND(GN8&gt;=HA$33,GN8&lt;&gt;"",GP8&gt;=HA$37,GP8&lt;&gt;""),AND(GQ8&gt;=HA$33,GQ8&lt;&gt;"",GS8&gt;=HA$37,GS8&lt;&gt;""),AND(GU8&gt;=HA$33,GU8&lt;&gt;"",GW8&gt;=HA$37,GW8&lt;&gt;""),AND(GX8&gt;=HA$33,GX8&lt;&gt;"",GZ8&gt;=HA$37,GZ8&lt;&gt;""),AND(HV8&gt;=II$33,HV8&lt;&gt;"",HX8&gt;=II$37,HX8&lt;&gt;""),AND(HY8&gt;=II$33,HY8&lt;&gt;"",IA8&gt;=II$37,IA8&lt;&gt;""),AND(IC8&gt;=II$33,IC8&lt;&gt;"",IE8&gt;=II$37,IE8&lt;&gt;""),AND(IF8&gt;=II$33,IF8&lt;&gt;"",IH8&gt;=II$37,IH8&lt;&gt;""),AND(JD8&gt;=JQ$33,JD8&lt;&gt;"",JF8&gt;=JQ$37,JF8&lt;&gt;""),AND(JG8&gt;=JQ$33,JG8&lt;&gt;"",JI8&gt;=JQ$37,JI8&lt;&gt;""),AND(JK8&gt;=JQ$33,JK8&lt;&gt;"",JM8&gt;=JQ$37,JM8&lt;&gt;""),AND(JN8&gt;=JQ$33,JN8&lt;&gt;"",JP8&gt;=JQ$37,JP8&lt;&gt;""),AND(KL8&gt;=KY$33,KL8&lt;&gt;"",KN8&gt;=KY$37,KN8&lt;&gt;""),AND(KO8&gt;=KY$33,KO8&lt;&gt;"",KQ8&gt;=KY$37,KQ8&lt;&gt;""),AND(KS8&gt;=KY$33,KS8&lt;&gt;"",KU8&gt;=KY$37,KU8&lt;&gt;""),AND(KV8&gt;=KY$33,KV8&lt;&gt;"",KX8&gt;=KY$37,KX8&lt;&gt;""),AND(LT8&gt;=MG$33,LT8&lt;&gt;"",LV8&gt;=MG$37,LV8&lt;&gt;""),AND(LW8&gt;=MG$33,LW8&lt;&gt;"",LY8&gt;=MG$37,LY8&lt;&gt;""),AND(MA8&gt;=MG$33,MA8&lt;&gt;"",MC8&gt;=MG$37,MC8&lt;&gt;""),AND(MD8&gt;=MG$33,MD8&lt;&gt;"",MF8&gt;=MG$37,MF8&lt;&gt;""),AND(NB8&gt;=NO$33,NB8&lt;&gt;"",ND8&gt;=NO$37,ND8&lt;&gt;""),AND(NE8&gt;=NO$33,NE8&lt;&gt;"",NG8&gt;=NO$37,NG8&lt;&gt;""),AND(NI8&gt;=NO$33,NI8&lt;&gt;"",NK8&gt;=NO$37,NK8&lt;&gt;""),AND(NL8&gt;=NO$33,NL8&lt;&gt;"",NN8&gt;=NO$37,NN8&lt;&gt;""),AND(OJ8&gt;=OW$33,OJ8&lt;&gt;"",OL8&gt;=OW$37,OL8&lt;&gt;""),AND(OM8&gt;=OW$33,OM8&lt;&gt;"",OO8&gt;=OW$37,OO8&lt;&gt;""),AND(OQ8&gt;=OW$33,OQ8&lt;&gt;"",OS8&gt;=OW$37,OS8&lt;&gt;""),AND(OT8&gt;=OW$33,OT8&lt;&gt;"",OV8&gt;=OW$37,OV8&lt;&gt;""),AND(PR8&gt;=QE$33,PR8&lt;&gt;"",PT8&gt;=QE$37,PT8&lt;&gt;""),AND(PU8&gt;=QE$33,PU8&lt;&gt;"",PW8&gt;=QE$37,PW8&lt;&gt;""),AND(PY8&gt;=QE$33,PY8&lt;&gt;"",QA8&gt;=QE$37,QA8&lt;&gt;""),AND(QB8&gt;=QE$33,QB8&lt;&gt;"",QD8&gt;=QE$37,QD8&lt;&gt;""),AND(QZ8&gt;=RM$33,QZ8&lt;&gt;"",RB8&gt;=RM$37,RB8&lt;&gt;""),AND(RC8&gt;=RM$33,RC8&lt;&gt;"",RE8&gt;=RM$37,RE8&lt;&gt;""),AND(RG8&gt;=RM$33,RG8&lt;&gt;"",RI8&gt;=RM$37,RI8&lt;&gt;""),AND(RJ8&gt;=RM$33,RJ8&lt;&gt;"",RL8&gt;=RM$37,RL8&lt;&gt;""),AND(SH8&gt;=SU$33,SH8&lt;&gt;"",SJ8&gt;=SU$37,SJ8&lt;&gt;""),AND(SK8&gt;=SU$33,SK8&lt;&gt;"",SM8&gt;=SU$37,SM8&lt;&gt;""),AND(SO8&gt;=SU$33,SO8&lt;&gt;"",SQ8&gt;=SU$37,SQ8&lt;&gt;""),AND(SR8&gt;=SU$33,SR8&lt;&gt;"",ST8&gt;=SU$37,ST8&lt;&gt;"")),"Merit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),"Excellence",IF(K8="P","Worlds Team",IF(H8="P","National Team","")))))</f>
        <v>National Team</v>
      </c>
      <c r="K8" s="3" t="str">
        <f>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P","")</f>
        <v/>
      </c>
      <c r="L8" s="8">
        <f>IF(COUNT(AQ8,AT8,BR8,BU8,CS8,CV8)&gt;0,LARGE((AQ8,AT8,BR8,BU8,CS8,CV8),1),0)</f>
        <v>55.58</v>
      </c>
      <c r="M8" s="8" t="str">
        <f t="shared" si="1"/>
        <v>2025 Nationals</v>
      </c>
      <c r="N8" s="8">
        <f>IF(COUNT(AQ8,AT8,BR8,BU8,CS8,CV8)&gt;1,LARGE((AQ8,AT8,BR8,BU8,CS8,CV8),2),0)</f>
        <v>50.71</v>
      </c>
      <c r="O8" s="8" t="str">
        <f t="shared" si="2"/>
        <v>2025 Elite Canada</v>
      </c>
      <c r="P8" s="8">
        <f>IF(COUNT(AQ8,AT8,BR8,BU8,CS8,CV8)&gt;2,MAX(AX8,BY8,CZ8,LARGE((AQ8,AT8,BR8,BU8,CS8,CV8),3)),IF(MAX(AX8,BY8,CZ8)&gt;0,MAX(AX8,BY8,CZ8),0))</f>
        <v>54.57</v>
      </c>
      <c r="Q8" s="8" t="str">
        <f t="shared" si="3"/>
        <v>2025 Nationals</v>
      </c>
      <c r="R8" s="8">
        <f t="shared" si="4"/>
        <v>15.9</v>
      </c>
      <c r="S8" s="8" t="str">
        <f t="shared" si="5"/>
        <v>2025 Nationals</v>
      </c>
      <c r="T8" s="8">
        <f>IF(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&gt;0,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,0)</f>
        <v>16.57</v>
      </c>
      <c r="U8" s="8" t="str">
        <f t="shared" si="6"/>
        <v>2024 3rd Domestic Trial</v>
      </c>
      <c r="V8" s="8" t="str">
        <f t="shared" si="7"/>
        <v/>
      </c>
      <c r="W8" s="11" t="str">
        <f t="shared" si="8"/>
        <v/>
      </c>
      <c r="X8" s="8" t="str">
        <f t="shared" si="9"/>
        <v/>
      </c>
      <c r="Y8" s="22">
        <v>18</v>
      </c>
      <c r="Z8" s="22">
        <v>9.4</v>
      </c>
      <c r="AA8" s="22">
        <v>0</v>
      </c>
      <c r="AB8" s="22">
        <v>16.57</v>
      </c>
      <c r="AC8" s="22">
        <v>0</v>
      </c>
      <c r="AD8" s="22">
        <v>13.5</v>
      </c>
      <c r="AE8" s="22">
        <v>8.5</v>
      </c>
      <c r="AF8" s="22">
        <v>12.8</v>
      </c>
      <c r="AG8" s="22">
        <v>14.32</v>
      </c>
      <c r="AH8" s="22">
        <v>0</v>
      </c>
      <c r="AI8" s="22">
        <v>14.7</v>
      </c>
      <c r="AJ8" s="22">
        <v>8.8000000000000007</v>
      </c>
      <c r="AK8" s="22">
        <v>14.4</v>
      </c>
      <c r="AL8" s="22">
        <v>15.99</v>
      </c>
      <c r="AM8" s="22">
        <v>0</v>
      </c>
      <c r="AN8" s="27"/>
      <c r="AO8" s="38" t="str">
        <f t="shared" si="10"/>
        <v/>
      </c>
      <c r="AP8" s="38">
        <f t="shared" si="11"/>
        <v>16.57</v>
      </c>
      <c r="AQ8" s="40">
        <f t="shared" si="12"/>
        <v>43.97</v>
      </c>
      <c r="AR8" s="40">
        <f t="shared" si="13"/>
        <v>12.8</v>
      </c>
      <c r="AS8" s="40">
        <f t="shared" si="14"/>
        <v>14.32</v>
      </c>
      <c r="AT8" s="40">
        <f t="shared" si="15"/>
        <v>49.12</v>
      </c>
      <c r="AU8" s="40">
        <f t="shared" si="16"/>
        <v>49.12</v>
      </c>
      <c r="AV8" s="40">
        <f t="shared" si="17"/>
        <v>14.4</v>
      </c>
      <c r="AW8" s="40">
        <f t="shared" si="18"/>
        <v>15.99</v>
      </c>
      <c r="AX8" s="40">
        <f t="shared" si="19"/>
        <v>53.89</v>
      </c>
      <c r="AY8" s="40">
        <f t="shared" si="20"/>
        <v>103.00999999999999</v>
      </c>
      <c r="AZ8" s="26">
        <v>14</v>
      </c>
      <c r="BA8" s="26">
        <v>9.1999999999999993</v>
      </c>
      <c r="BB8" s="26">
        <v>13.4</v>
      </c>
      <c r="BC8" s="26">
        <v>15.21</v>
      </c>
      <c r="BD8" s="26">
        <v>1.1000000000000001</v>
      </c>
      <c r="BE8" s="26">
        <v>4.7</v>
      </c>
      <c r="BF8" s="26">
        <v>3</v>
      </c>
      <c r="BG8" s="26">
        <v>5</v>
      </c>
      <c r="BH8" s="26">
        <v>5.03</v>
      </c>
      <c r="BI8" s="26">
        <v>0</v>
      </c>
      <c r="BJ8" s="26">
        <v>7.6</v>
      </c>
      <c r="BK8" s="26">
        <v>5.3</v>
      </c>
      <c r="BL8" s="26">
        <v>6.9</v>
      </c>
      <c r="BM8" s="26">
        <v>9.18</v>
      </c>
      <c r="BN8" s="26">
        <v>0</v>
      </c>
      <c r="BO8" s="28"/>
      <c r="BP8" s="39">
        <f t="shared" si="21"/>
        <v>13.4</v>
      </c>
      <c r="BQ8" s="39">
        <f t="shared" si="22"/>
        <v>15.21</v>
      </c>
      <c r="BR8" s="11">
        <f t="shared" si="23"/>
        <v>50.71</v>
      </c>
      <c r="BS8" s="11">
        <f t="shared" si="24"/>
        <v>5</v>
      </c>
      <c r="BT8" s="11">
        <f t="shared" si="25"/>
        <v>5.03</v>
      </c>
      <c r="BU8" s="11">
        <f t="shared" si="26"/>
        <v>17.73</v>
      </c>
      <c r="BV8" s="11">
        <f t="shared" si="27"/>
        <v>50.71</v>
      </c>
      <c r="BW8" s="11">
        <f t="shared" si="28"/>
        <v>6.9</v>
      </c>
      <c r="BX8" s="11">
        <f t="shared" si="29"/>
        <v>9.18</v>
      </c>
      <c r="BY8" s="11">
        <f t="shared" si="30"/>
        <v>28.979999999999997</v>
      </c>
      <c r="BZ8" s="11">
        <f t="shared" si="31"/>
        <v>79.69</v>
      </c>
      <c r="CA8" s="22">
        <v>5.7</v>
      </c>
      <c r="CB8" s="22">
        <v>3.7</v>
      </c>
      <c r="CC8" s="22">
        <v>6.9</v>
      </c>
      <c r="CD8" s="22">
        <v>6.48</v>
      </c>
      <c r="CE8" s="22">
        <v>0</v>
      </c>
      <c r="CF8" s="22">
        <v>14.7</v>
      </c>
      <c r="CG8" s="22">
        <v>9.3000000000000007</v>
      </c>
      <c r="CH8" s="22">
        <v>15.9</v>
      </c>
      <c r="CI8" s="22">
        <v>15.68</v>
      </c>
      <c r="CJ8" s="22">
        <v>0</v>
      </c>
      <c r="CK8" s="22">
        <v>15.3</v>
      </c>
      <c r="CL8" s="22">
        <v>9.1999999999999993</v>
      </c>
      <c r="CM8" s="22">
        <v>14.9</v>
      </c>
      <c r="CN8" s="22">
        <v>15.17</v>
      </c>
      <c r="CO8" s="22">
        <v>0</v>
      </c>
      <c r="CP8" s="27"/>
      <c r="CQ8" s="38">
        <f t="shared" si="32"/>
        <v>6.9</v>
      </c>
      <c r="CR8" s="38">
        <f t="shared" si="33"/>
        <v>6.48</v>
      </c>
      <c r="CS8" s="40">
        <f t="shared" si="34"/>
        <v>22.78</v>
      </c>
      <c r="CT8" s="40">
        <f t="shared" si="35"/>
        <v>15.9</v>
      </c>
      <c r="CU8" s="40">
        <f t="shared" si="36"/>
        <v>15.68</v>
      </c>
      <c r="CV8" s="40">
        <f t="shared" si="37"/>
        <v>55.58</v>
      </c>
      <c r="CW8" s="40">
        <f t="shared" si="38"/>
        <v>55.58</v>
      </c>
      <c r="CX8" s="40">
        <f t="shared" si="39"/>
        <v>14.9</v>
      </c>
      <c r="CY8" s="40">
        <f t="shared" si="40"/>
        <v>15.17</v>
      </c>
      <c r="CZ8" s="40">
        <f t="shared" si="41"/>
        <v>54.57</v>
      </c>
      <c r="DA8" s="40">
        <f t="shared" si="42"/>
        <v>110.15</v>
      </c>
      <c r="DB8" s="50" t="str">
        <f t="shared" si="43"/>
        <v/>
      </c>
      <c r="DC8" s="50" t="str">
        <f t="shared" si="44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45"/>
        <v/>
      </c>
      <c r="DY8" s="40" t="str">
        <f t="shared" si="46"/>
        <v/>
      </c>
      <c r="DZ8" s="40" t="str">
        <f t="shared" si="47"/>
        <v/>
      </c>
      <c r="EA8" s="40" t="str">
        <f t="shared" si="48"/>
        <v/>
      </c>
      <c r="EB8" s="40" t="str">
        <f t="shared" si="49"/>
        <v/>
      </c>
      <c r="EC8" s="40" t="str">
        <f t="shared" si="50"/>
        <v/>
      </c>
      <c r="ED8" s="40" t="str">
        <f t="shared" si="51"/>
        <v/>
      </c>
      <c r="EE8" s="40" t="str">
        <f t="shared" si="52"/>
        <v/>
      </c>
      <c r="EF8" s="40" t="str">
        <f t="shared" si="53"/>
        <v/>
      </c>
      <c r="EG8" s="40" t="str">
        <f t="shared" si="54"/>
        <v/>
      </c>
      <c r="EH8" s="40" t="str">
        <f t="shared" si="55"/>
        <v/>
      </c>
      <c r="EI8" s="40" t="str">
        <f t="shared" si="56"/>
        <v/>
      </c>
      <c r="EJ8" s="40" t="str">
        <f t="shared" si="57"/>
        <v/>
      </c>
      <c r="EK8" s="40" t="str">
        <f t="shared" si="58"/>
        <v/>
      </c>
      <c r="EL8" s="18">
        <v>16.5</v>
      </c>
      <c r="EM8" s="18">
        <v>9.4</v>
      </c>
      <c r="EN8" s="18">
        <v>0</v>
      </c>
      <c r="EO8" s="18">
        <v>16.34</v>
      </c>
      <c r="EP8" s="18">
        <v>0</v>
      </c>
      <c r="EQ8" s="18">
        <v>12</v>
      </c>
      <c r="ER8" s="18">
        <v>8.5</v>
      </c>
      <c r="ES8" s="18">
        <v>13.5</v>
      </c>
      <c r="ET8" s="18">
        <v>15.15</v>
      </c>
      <c r="EU8" s="18">
        <v>0</v>
      </c>
      <c r="EV8" s="18"/>
      <c r="EW8" s="18"/>
      <c r="EX8" s="18"/>
      <c r="EY8" s="18"/>
      <c r="EZ8" s="18"/>
      <c r="FA8" s="18">
        <v>14.3</v>
      </c>
      <c r="FB8" s="18">
        <v>9.1999999999999993</v>
      </c>
      <c r="FC8" s="18">
        <v>13.5</v>
      </c>
      <c r="FD8" s="18">
        <v>15.49</v>
      </c>
      <c r="FE8" s="18">
        <v>0</v>
      </c>
      <c r="FF8" s="11" t="str">
        <f t="shared" si="59"/>
        <v/>
      </c>
      <c r="FG8" s="11">
        <f t="shared" si="60"/>
        <v>16.34</v>
      </c>
      <c r="FH8" s="11">
        <f t="shared" si="61"/>
        <v>42.239999999999995</v>
      </c>
      <c r="FI8" s="11">
        <f t="shared" si="62"/>
        <v>13.5</v>
      </c>
      <c r="FJ8" s="11">
        <f t="shared" si="63"/>
        <v>15.15</v>
      </c>
      <c r="FK8" s="11">
        <f t="shared" si="64"/>
        <v>49.15</v>
      </c>
      <c r="FL8" s="11">
        <f t="shared" si="65"/>
        <v>49.15</v>
      </c>
      <c r="FM8" s="11" t="str">
        <f t="shared" si="66"/>
        <v/>
      </c>
      <c r="FN8" s="11" t="str">
        <f t="shared" si="67"/>
        <v/>
      </c>
      <c r="FO8" s="11" t="str">
        <f t="shared" si="68"/>
        <v/>
      </c>
      <c r="FP8" s="11">
        <f t="shared" si="69"/>
        <v>13.5</v>
      </c>
      <c r="FQ8" s="11">
        <f t="shared" si="70"/>
        <v>15.49</v>
      </c>
      <c r="FR8" s="11">
        <f t="shared" si="71"/>
        <v>52.49</v>
      </c>
      <c r="FS8" s="11">
        <f t="shared" si="72"/>
        <v>101.64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3"/>
        <v/>
      </c>
      <c r="GO8" s="40" t="str">
        <f t="shared" si="74"/>
        <v/>
      </c>
      <c r="GP8" s="40" t="str">
        <f t="shared" si="75"/>
        <v/>
      </c>
      <c r="GQ8" s="40" t="str">
        <f t="shared" si="76"/>
        <v/>
      </c>
      <c r="GR8" s="40" t="str">
        <f t="shared" si="77"/>
        <v/>
      </c>
      <c r="GS8" s="40" t="str">
        <f t="shared" si="78"/>
        <v/>
      </c>
      <c r="GT8" s="40" t="str">
        <f t="shared" si="79"/>
        <v/>
      </c>
      <c r="GU8" s="40" t="str">
        <f t="shared" si="80"/>
        <v/>
      </c>
      <c r="GV8" s="40" t="str">
        <f t="shared" si="81"/>
        <v/>
      </c>
      <c r="GW8" s="40" t="str">
        <f t="shared" si="82"/>
        <v/>
      </c>
      <c r="GX8" s="40" t="str">
        <f t="shared" si="83"/>
        <v/>
      </c>
      <c r="GY8" s="40" t="str">
        <f t="shared" si="84"/>
        <v/>
      </c>
      <c r="GZ8" s="40" t="str">
        <f t="shared" si="85"/>
        <v/>
      </c>
      <c r="HA8" s="40" t="str">
        <f t="shared" si="86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87"/>
        <v/>
      </c>
      <c r="HW8" s="11" t="str">
        <f t="shared" si="88"/>
        <v/>
      </c>
      <c r="HX8" s="11" t="str">
        <f t="shared" si="89"/>
        <v/>
      </c>
      <c r="HY8" s="11" t="str">
        <f t="shared" si="90"/>
        <v/>
      </c>
      <c r="HZ8" s="11" t="str">
        <f t="shared" si="91"/>
        <v/>
      </c>
      <c r="IA8" s="11" t="str">
        <f t="shared" si="92"/>
        <v/>
      </c>
      <c r="IB8" s="11" t="str">
        <f t="shared" si="93"/>
        <v/>
      </c>
      <c r="IC8" s="11" t="str">
        <f t="shared" si="94"/>
        <v/>
      </c>
      <c r="ID8" s="11" t="str">
        <f t="shared" si="95"/>
        <v/>
      </c>
      <c r="IE8" s="11" t="str">
        <f t="shared" si="96"/>
        <v/>
      </c>
      <c r="IF8" s="11" t="str">
        <f t="shared" si="97"/>
        <v/>
      </c>
      <c r="IG8" s="11" t="str">
        <f t="shared" si="98"/>
        <v/>
      </c>
      <c r="IH8" s="11" t="str">
        <f t="shared" si="99"/>
        <v/>
      </c>
      <c r="II8" s="11" t="str">
        <f t="shared" si="100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1"/>
        <v/>
      </c>
      <c r="JE8" s="40" t="str">
        <f t="shared" si="102"/>
        <v/>
      </c>
      <c r="JF8" s="40" t="str">
        <f t="shared" si="103"/>
        <v/>
      </c>
      <c r="JG8" s="40" t="str">
        <f t="shared" si="104"/>
        <v/>
      </c>
      <c r="JH8" s="40" t="str">
        <f t="shared" si="105"/>
        <v/>
      </c>
      <c r="JI8" s="40" t="str">
        <f t="shared" si="106"/>
        <v/>
      </c>
      <c r="JJ8" s="40" t="str">
        <f t="shared" si="107"/>
        <v/>
      </c>
      <c r="JK8" s="40" t="str">
        <f t="shared" si="108"/>
        <v/>
      </c>
      <c r="JL8" s="40" t="str">
        <f t="shared" si="109"/>
        <v/>
      </c>
      <c r="JM8" s="40" t="str">
        <f t="shared" si="110"/>
        <v/>
      </c>
      <c r="JN8" s="40" t="str">
        <f t="shared" si="111"/>
        <v/>
      </c>
      <c r="JO8" s="40" t="str">
        <f t="shared" si="112"/>
        <v/>
      </c>
      <c r="JP8" s="40" t="str">
        <f t="shared" si="113"/>
        <v/>
      </c>
      <c r="JQ8" s="40" t="str">
        <f t="shared" si="114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15"/>
        <v/>
      </c>
      <c r="KM8" s="11" t="str">
        <f t="shared" si="116"/>
        <v/>
      </c>
      <c r="KN8" s="11" t="str">
        <f t="shared" si="117"/>
        <v/>
      </c>
      <c r="KO8" s="11" t="str">
        <f t="shared" si="118"/>
        <v/>
      </c>
      <c r="KP8" s="11" t="str">
        <f t="shared" si="119"/>
        <v/>
      </c>
      <c r="KQ8" s="11" t="str">
        <f t="shared" si="120"/>
        <v/>
      </c>
      <c r="KR8" s="11" t="str">
        <f t="shared" si="121"/>
        <v/>
      </c>
      <c r="KS8" s="11" t="str">
        <f t="shared" si="122"/>
        <v/>
      </c>
      <c r="KT8" s="11" t="str">
        <f t="shared" si="123"/>
        <v/>
      </c>
      <c r="KU8" s="11" t="str">
        <f t="shared" si="124"/>
        <v/>
      </c>
      <c r="KV8" s="11" t="str">
        <f t="shared" si="125"/>
        <v/>
      </c>
      <c r="KW8" s="11" t="str">
        <f t="shared" si="126"/>
        <v/>
      </c>
      <c r="KX8" s="11" t="str">
        <f t="shared" si="127"/>
        <v/>
      </c>
      <c r="KY8" s="11" t="str">
        <f t="shared" si="128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29"/>
        <v/>
      </c>
      <c r="LU8" s="40" t="str">
        <f t="shared" si="130"/>
        <v/>
      </c>
      <c r="LV8" s="40" t="str">
        <f t="shared" si="131"/>
        <v/>
      </c>
      <c r="LW8" s="40" t="str">
        <f t="shared" si="132"/>
        <v/>
      </c>
      <c r="LX8" s="40" t="str">
        <f t="shared" si="133"/>
        <v/>
      </c>
      <c r="LY8" s="40" t="str">
        <f t="shared" si="134"/>
        <v/>
      </c>
      <c r="LZ8" s="40" t="str">
        <f t="shared" si="135"/>
        <v/>
      </c>
      <c r="MA8" s="40" t="str">
        <f t="shared" si="136"/>
        <v/>
      </c>
      <c r="MB8" s="40" t="str">
        <f t="shared" si="137"/>
        <v/>
      </c>
      <c r="MC8" s="40" t="str">
        <f t="shared" si="138"/>
        <v/>
      </c>
      <c r="MD8" s="40" t="str">
        <f t="shared" si="139"/>
        <v/>
      </c>
      <c r="ME8" s="40" t="str">
        <f t="shared" si="140"/>
        <v/>
      </c>
      <c r="MF8" s="40" t="str">
        <f t="shared" si="141"/>
        <v/>
      </c>
      <c r="MG8" s="40" t="str">
        <f t="shared" si="142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3"/>
        <v/>
      </c>
      <c r="NC8" s="11" t="str">
        <f t="shared" si="144"/>
        <v/>
      </c>
      <c r="ND8" s="11" t="str">
        <f t="shared" si="145"/>
        <v/>
      </c>
      <c r="NE8" s="11" t="str">
        <f t="shared" si="146"/>
        <v/>
      </c>
      <c r="NF8" s="11" t="str">
        <f t="shared" si="147"/>
        <v/>
      </c>
      <c r="NG8" s="11" t="str">
        <f t="shared" si="148"/>
        <v/>
      </c>
      <c r="NH8" s="11" t="str">
        <f t="shared" si="149"/>
        <v/>
      </c>
      <c r="NI8" s="11" t="str">
        <f t="shared" si="150"/>
        <v/>
      </c>
      <c r="NJ8" s="11" t="str">
        <f t="shared" si="151"/>
        <v/>
      </c>
      <c r="NK8" s="11" t="str">
        <f t="shared" si="152"/>
        <v/>
      </c>
      <c r="NL8" s="11" t="str">
        <f t="shared" si="153"/>
        <v/>
      </c>
      <c r="NM8" s="11" t="str">
        <f t="shared" si="154"/>
        <v/>
      </c>
      <c r="NN8" s="11" t="str">
        <f t="shared" si="155"/>
        <v/>
      </c>
      <c r="NO8" s="11" t="str">
        <f t="shared" si="156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57"/>
        <v/>
      </c>
      <c r="OK8" s="40" t="str">
        <f t="shared" si="158"/>
        <v/>
      </c>
      <c r="OL8" s="40" t="str">
        <f t="shared" si="159"/>
        <v/>
      </c>
      <c r="OM8" s="40" t="str">
        <f t="shared" si="160"/>
        <v/>
      </c>
      <c r="ON8" s="40" t="str">
        <f t="shared" si="161"/>
        <v/>
      </c>
      <c r="OO8" s="40" t="str">
        <f t="shared" si="162"/>
        <v/>
      </c>
      <c r="OP8" s="40" t="str">
        <f t="shared" si="163"/>
        <v/>
      </c>
      <c r="OQ8" s="40" t="str">
        <f t="shared" si="164"/>
        <v/>
      </c>
      <c r="OR8" s="40" t="str">
        <f t="shared" si="165"/>
        <v/>
      </c>
      <c r="OS8" s="40" t="str">
        <f t="shared" si="166"/>
        <v/>
      </c>
      <c r="OT8" s="40" t="str">
        <f t="shared" si="167"/>
        <v/>
      </c>
      <c r="OU8" s="40" t="str">
        <f t="shared" si="168"/>
        <v/>
      </c>
      <c r="OV8" s="40" t="str">
        <f t="shared" si="169"/>
        <v/>
      </c>
      <c r="OW8" s="40" t="str">
        <f t="shared" si="170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1"/>
        <v/>
      </c>
      <c r="PS8" s="11" t="str">
        <f t="shared" si="172"/>
        <v/>
      </c>
      <c r="PT8" s="11" t="str">
        <f t="shared" si="173"/>
        <v/>
      </c>
      <c r="PU8" s="11" t="str">
        <f t="shared" si="174"/>
        <v/>
      </c>
      <c r="PV8" s="11" t="str">
        <f t="shared" si="175"/>
        <v/>
      </c>
      <c r="PW8" s="11" t="str">
        <f t="shared" si="176"/>
        <v/>
      </c>
      <c r="PX8" s="11" t="str">
        <f t="shared" si="177"/>
        <v/>
      </c>
      <c r="PY8" s="11" t="str">
        <f t="shared" si="178"/>
        <v/>
      </c>
      <c r="PZ8" s="11" t="str">
        <f t="shared" si="179"/>
        <v/>
      </c>
      <c r="QA8" s="11" t="str">
        <f t="shared" si="180"/>
        <v/>
      </c>
      <c r="QB8" s="11" t="str">
        <f t="shared" si="181"/>
        <v/>
      </c>
      <c r="QC8" s="11" t="str">
        <f t="shared" si="182"/>
        <v/>
      </c>
      <c r="QD8" s="11" t="str">
        <f t="shared" si="183"/>
        <v/>
      </c>
      <c r="QE8" s="11" t="str">
        <f t="shared" si="184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85"/>
        <v/>
      </c>
      <c r="RA8" s="40" t="str">
        <f t="shared" si="186"/>
        <v/>
      </c>
      <c r="RB8" s="40" t="str">
        <f t="shared" si="187"/>
        <v/>
      </c>
      <c r="RC8" s="40" t="str">
        <f t="shared" si="188"/>
        <v/>
      </c>
      <c r="RD8" s="40" t="str">
        <f t="shared" si="189"/>
        <v/>
      </c>
      <c r="RE8" s="40" t="str">
        <f t="shared" si="190"/>
        <v/>
      </c>
      <c r="RF8" s="40" t="str">
        <f t="shared" si="191"/>
        <v/>
      </c>
      <c r="RG8" s="40" t="str">
        <f t="shared" si="192"/>
        <v/>
      </c>
      <c r="RH8" s="40" t="str">
        <f t="shared" si="193"/>
        <v/>
      </c>
      <c r="RI8" s="40" t="str">
        <f t="shared" si="194"/>
        <v/>
      </c>
      <c r="RJ8" s="40" t="str">
        <f t="shared" si="195"/>
        <v/>
      </c>
      <c r="RK8" s="40" t="str">
        <f t="shared" si="196"/>
        <v/>
      </c>
      <c r="RL8" s="40" t="str">
        <f t="shared" si="197"/>
        <v/>
      </c>
      <c r="RM8" s="40" t="str">
        <f t="shared" si="198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199"/>
        <v/>
      </c>
      <c r="SI8" s="11" t="str">
        <f t="shared" si="200"/>
        <v/>
      </c>
      <c r="SJ8" s="11" t="str">
        <f t="shared" si="201"/>
        <v/>
      </c>
      <c r="SK8" s="11" t="str">
        <f t="shared" si="202"/>
        <v/>
      </c>
      <c r="SL8" s="11" t="str">
        <f t="shared" si="203"/>
        <v/>
      </c>
      <c r="SM8" s="11" t="str">
        <f t="shared" si="204"/>
        <v/>
      </c>
      <c r="SN8" s="11" t="str">
        <f t="shared" si="205"/>
        <v/>
      </c>
      <c r="SO8" s="11" t="str">
        <f t="shared" si="206"/>
        <v/>
      </c>
      <c r="SP8" s="11" t="str">
        <f t="shared" si="207"/>
        <v/>
      </c>
      <c r="SQ8" s="11" t="str">
        <f t="shared" si="208"/>
        <v/>
      </c>
      <c r="SR8" s="11" t="str">
        <f t="shared" si="209"/>
        <v/>
      </c>
      <c r="SS8" s="11" t="str">
        <f t="shared" si="210"/>
        <v/>
      </c>
      <c r="ST8" s="11" t="str">
        <f t="shared" si="211"/>
        <v/>
      </c>
      <c r="SU8" s="11" t="str">
        <f t="shared" si="212"/>
        <v/>
      </c>
      <c r="SV8" s="22">
        <f t="shared" si="213"/>
        <v>9.85</v>
      </c>
      <c r="SW8" s="22">
        <f t="shared" si="214"/>
        <v>6.4499999999999993</v>
      </c>
      <c r="SX8" s="22">
        <f t="shared" si="215"/>
        <v>10.15</v>
      </c>
      <c r="SY8" s="22">
        <f t="shared" si="216"/>
        <v>10.845000000000001</v>
      </c>
      <c r="SZ8" s="22">
        <f t="shared" si="217"/>
        <v>0.55000000000000004</v>
      </c>
      <c r="TA8" s="22">
        <f t="shared" si="218"/>
        <v>9.6999999999999993</v>
      </c>
      <c r="TB8" s="22">
        <f t="shared" si="219"/>
        <v>6.15</v>
      </c>
      <c r="TC8" s="22">
        <f t="shared" si="220"/>
        <v>10.45</v>
      </c>
      <c r="TD8" s="22">
        <f t="shared" si="221"/>
        <v>10.355</v>
      </c>
      <c r="TE8" s="22">
        <f t="shared" si="222"/>
        <v>0</v>
      </c>
      <c r="TF8" s="22">
        <f t="shared" si="223"/>
        <v>11.45</v>
      </c>
      <c r="TG8" s="22">
        <f t="shared" si="224"/>
        <v>7.25</v>
      </c>
      <c r="TH8" s="22">
        <f t="shared" si="225"/>
        <v>10.9</v>
      </c>
      <c r="TI8" s="22">
        <f t="shared" si="226"/>
        <v>12.175000000000001</v>
      </c>
      <c r="TJ8" s="22">
        <f t="shared" si="227"/>
        <v>0</v>
      </c>
      <c r="TK8" s="27" t="s">
        <v>46</v>
      </c>
      <c r="TL8" s="40">
        <f t="shared" si="228"/>
        <v>10.15</v>
      </c>
      <c r="TM8" s="40">
        <f t="shared" si="229"/>
        <v>10.845000000000001</v>
      </c>
      <c r="TN8" s="40">
        <f t="shared" si="230"/>
        <v>36.744999999999997</v>
      </c>
      <c r="TO8" s="40">
        <f t="shared" si="231"/>
        <v>10.45</v>
      </c>
      <c r="TP8" s="40">
        <f t="shared" si="232"/>
        <v>10.355</v>
      </c>
      <c r="TQ8" s="40">
        <f t="shared" si="233"/>
        <v>36.655000000000001</v>
      </c>
      <c r="TR8" s="40">
        <f t="shared" si="234"/>
        <v>36.744999999999997</v>
      </c>
      <c r="TS8" s="40">
        <f t="shared" si="235"/>
        <v>10.9</v>
      </c>
      <c r="TT8" s="40">
        <f t="shared" si="236"/>
        <v>12.175000000000001</v>
      </c>
      <c r="TU8" s="40">
        <f t="shared" si="237"/>
        <v>41.775000000000006</v>
      </c>
      <c r="TV8" s="40">
        <f t="shared" si="238"/>
        <v>78.52000000000001</v>
      </c>
    </row>
    <row r="9" spans="1:542" x14ac:dyDescent="0.2">
      <c r="A9" s="4" cm="1">
        <f t="array" ref="A9">IF(AND(J9&lt;&gt;"",J9&lt;&gt;"No DD"),SUMPRODUCT((J$4:J$28&lt;&gt;"")*(J$4:J$28&lt;&gt;"No DD")*(F$4:F$28&gt;F9))+1,IF(J9="No DD",SUMPRODUCT((J$4:J$28="No DD")*(F$4:F$28&gt;F9))+1+SUMPRODUCT((J$4:J$28&lt;&gt;"")*(J$4:J$28&lt;&gt;"No DD")),""))</f>
        <v>6</v>
      </c>
      <c r="B9" s="4" cm="1">
        <f t="array" ref="B9">IF(AND(J9&lt;&gt;"",J9&lt;&gt;"No DD",G9=""),SUMPRODUCT((J$4:J$28&lt;&gt;"")*(J$4:J$28&lt;&gt;"No DD")*(G$4:G$28="")*(F$4:F$28&gt;F9))+1,IF(J9="No DD",SUMPRODUCT((J$4:J$28="No DD")*(F$4:F$28&gt;F9)*(G$4:G$28=""))+1+SUMPRODUCT((J$4:J$28&lt;&gt;"")*(G$4:G$28="")*(J$4:J$28&lt;&gt;"No DD")),""))</f>
        <v>3</v>
      </c>
      <c r="C9" s="5" t="s">
        <v>94</v>
      </c>
      <c r="D9" s="4" t="s">
        <v>3</v>
      </c>
      <c r="E9" s="4">
        <v>2005</v>
      </c>
      <c r="F9" s="9">
        <f t="shared" si="0"/>
        <v>191.24001912400539</v>
      </c>
      <c r="G9" s="64"/>
      <c r="H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P","")</f>
        <v>P</v>
      </c>
      <c r="I9" s="3" t="str">
        <f>IF(OR(AND(AQ9&gt;=AY$34,AQ9&lt;&gt;"",AN9=""),AND(AT9&gt;=AY$34,AT9&lt;&gt;"",AN9=""),AND(AX9&gt;=AY$34,AX9&lt;&gt;"",AN9=""),AND(BR9&gt;=BZ$34,BR9&lt;&gt;"",BO9=""),AND(BU9&gt;=BZ$34,BU9&lt;&gt;"",BO9=""),AND(BY9&gt;=BZ$34,BY9&lt;&gt;"",BO9=""),AND(CS9&gt;=DA$34,CS9&lt;&gt;"",CP9=""),AND(CV9&gt;=DA$34,CV9&lt;&gt;"",CP9=""),AND(CZ9&gt;=DA$34,CZ9&lt;&gt;"",CP9=""),AND(DZ9&gt;=EK$34,DZ9&lt;&gt;""),AND(EC9&gt;=EK$34,EC9&lt;&gt;""),AND(EG9&gt;=EK$34,EG9&lt;&gt;""),AND(EJ9&gt;=EK$34,EJ9&lt;&gt;""),AND(FH9&gt;=FS$34,FH9&lt;&gt;""),AND(FK9&gt;=FS$34,FK9&lt;&gt;""),AND(FO9&gt;=FS$34,FO9&lt;&gt;""),AND(FR9&gt;=FS$34,FR9&lt;&gt;""),AND(GP9&gt;=HA$34,GP9&lt;&gt;""),AND(GS9&gt;=HA$34,GS9&lt;&gt;""),AND(GW9&gt;=HA$34,GW9&lt;&gt;""),AND(GZ9&gt;=HA$34,GZ9&lt;&gt;""),AND(HX9&gt;=II$34,HX9&lt;&gt;""),AND(IA9&gt;=II$34,IA9&lt;&gt;""),AND(IE9&gt;=II$34,IE9&lt;&gt;""),AND(IH9&gt;=II$34,IH9&lt;&gt;""),AND(JF9&gt;=JQ$34,JF9&lt;&gt;""),AND(JI9&gt;=JQ$34,JI9&lt;&gt;""),AND(JM9&gt;=JQ$34,JM9&lt;&gt;""),AND(JP9&gt;=JQ$34,JP9&lt;&gt;""),AND(KN9&gt;=KY$34,KN9&lt;&gt;""),AND(KQ9&gt;=KY$34,KQ9&lt;&gt;""),AND(KU9&gt;=KY$34,KU9&lt;&gt;""),AND(KX9&gt;=KY$34,KX9&lt;&gt;""),AND(LV9&gt;=MG$34,LV9&lt;&gt;""),AND(LY9&gt;=MG$34,LY9&lt;&gt;""),AND(MC9&gt;=MG$34,MC9&lt;&gt;""),AND(MF9&gt;=MG$34,MF9&lt;&gt;""),AND(ND9&gt;=NO$34,ND9&lt;&gt;""),AND(NG9&gt;=NO$34,NG9&lt;&gt;""),AND(NK9&gt;=NO$34,NK9&lt;&gt;""),AND(NN9&gt;=NO$34,NN9&lt;&gt;""),AND(OL9&gt;=OW$34,OL9&lt;&gt;""),AND(OO9&gt;=OW$34,OO9&lt;&gt;""),AND(OS9&gt;=OW$34,OS9&lt;&gt;""),AND(OV9&gt;=OW$34,OV9&lt;&gt;""),AND(PT9&gt;=QE$34,PT9&lt;&gt;""),AND(PW9&gt;=QE$34,PW9&lt;&gt;""),AND(QA9&gt;=QE$34,QA9&lt;&gt;""),AND(QD9&gt;=QE$34,QD9&lt;&gt;""),AND(RB9&gt;=RM$34,RB9&lt;&gt;""),AND(RE9&gt;=RM$34,RE9&lt;&gt;""),AND(RI9&gt;=RM$34,RI9&lt;&gt;""),AND(RL9&gt;=RM$34,RL9&lt;&gt;""),AND(SJ9&gt;=SU$34,SJ9&lt;&gt;""),AND(SM9&gt;=SU$34,SM9&lt;&gt;""),AND(SQ9&gt;=SU$34,SQ9&lt;&gt;""),AND(ST9&gt;=SU$34,ST9&lt;&gt;"")),"P","")</f>
        <v>P</v>
      </c>
      <c r="J9" s="36" t="str">
        <f>IF(AND(I9="P",H9=""),"No DD",IF(OR(AND(AO9&gt;=AY$33,AO9&lt;&gt;"",AQ9&gt;=AY$37,AQ9&lt;&gt;"",AN9=""),AND(AR9&gt;=AY$33,AR9&lt;&gt;"",AT9&gt;=AY$37,AT9&lt;&gt;"",AN9=""),AND(AV9&gt;=AY$33,AV9&lt;&gt;"",AX9&gt;=AY$37,AX9&lt;&gt;"",AN9=""),AND(BP9&gt;=BZ$33,BP9&lt;&gt;"",BR9&gt;=BZ$37,BR9&lt;&gt;"",BO9=""),AND(BS9&gt;=BZ$33,BS9&lt;&gt;"",BU9&gt;=BZ$37,BU9&lt;&gt;"",BO9=""),AND(BW9&gt;=BZ$33,BW9&lt;&gt;"",BY9&gt;=BZ$37,BY9&lt;&gt;"",BO9=""),AND(CQ9&gt;=DA$33,CQ9&lt;&gt;"",CS9&gt;=DA$37,CS9&lt;&gt;"",CP9=""),AND(CT9&gt;=DA$33,CT9&lt;&gt;"",CV9&gt;=DA$37,CV9&lt;&gt;"",CP9=""),AND(CX9&gt;=DA$33,CX9&lt;&gt;"",CZ9&gt;=DA$37,CZ9&lt;&gt;"",CP9=""),AND(DX9&gt;=EK$33,DX9&lt;&gt;"",DZ9&gt;=EK$37,DZ9&lt;&gt;""),AND(EA9&gt;=EK$33,EA9&lt;&gt;"",EC9&gt;=EK$37,EC9&lt;&gt;""),AND(EE9&gt;=EK$33,EE9&lt;&gt;"",EG9&gt;=EK$37,EG9&lt;&gt;""),AND(EH9&gt;=EK$33,EH9&lt;&gt;"",EJ9&gt;=EK$37,EJ9&lt;&gt;""),AND(FF9&gt;=FS$33,FF9&lt;&gt;"",FH9&gt;=FS$37,FH9&lt;&gt;""),AND(FI9&gt;=FS$33,FI9&lt;&gt;"",FK9&gt;=FS$37,FK9&lt;&gt;""),AND(FM9&gt;=FS$33,FM9&lt;&gt;"",FO9&gt;=FS$37,FO9&lt;&gt;""),AND(FP9&gt;=FS$33,FP9&lt;&gt;"",FR9&gt;=FS$37,FR9&lt;&gt;""),AND(GN9&gt;=HA$33,GN9&lt;&gt;"",GP9&gt;=HA$37,GP9&lt;&gt;""),AND(GQ9&gt;=HA$33,GQ9&lt;&gt;"",GS9&gt;=HA$37,GS9&lt;&gt;""),AND(GU9&gt;=HA$33,GU9&lt;&gt;"",GW9&gt;=HA$37,GW9&lt;&gt;""),AND(GX9&gt;=HA$33,GX9&lt;&gt;"",GZ9&gt;=HA$37,GZ9&lt;&gt;""),AND(HV9&gt;=II$33,HV9&lt;&gt;"",HX9&gt;=II$37,HX9&lt;&gt;""),AND(HY9&gt;=II$33,HY9&lt;&gt;"",IA9&gt;=II$37,IA9&lt;&gt;""),AND(IC9&gt;=II$33,IC9&lt;&gt;"",IE9&gt;=II$37,IE9&lt;&gt;""),AND(IF9&gt;=II$33,IF9&lt;&gt;"",IH9&gt;=II$37,IH9&lt;&gt;""),AND(JD9&gt;=JQ$33,JD9&lt;&gt;"",JF9&gt;=JQ$37,JF9&lt;&gt;""),AND(JG9&gt;=JQ$33,JG9&lt;&gt;"",JI9&gt;=JQ$37,JI9&lt;&gt;""),AND(JK9&gt;=JQ$33,JK9&lt;&gt;"",JM9&gt;=JQ$37,JM9&lt;&gt;""),AND(JN9&gt;=JQ$33,JN9&lt;&gt;"",JP9&gt;=JQ$37,JP9&lt;&gt;""),AND(KL9&gt;=KY$33,KL9&lt;&gt;"",KN9&gt;=KY$37,KN9&lt;&gt;""),AND(KO9&gt;=KY$33,KO9&lt;&gt;"",KQ9&gt;=KY$37,KQ9&lt;&gt;""),AND(KS9&gt;=KY$33,KS9&lt;&gt;"",KU9&gt;=KY$37,KU9&lt;&gt;""),AND(KV9&gt;=KY$33,KV9&lt;&gt;"",KX9&gt;=KY$37,KX9&lt;&gt;""),AND(LT9&gt;=MG$33,LT9&lt;&gt;"",LV9&gt;=MG$37,LV9&lt;&gt;""),AND(LW9&gt;=MG$33,LW9&lt;&gt;"",LY9&gt;=MG$37,LY9&lt;&gt;""),AND(MA9&gt;=MG$33,MA9&lt;&gt;"",MC9&gt;=MG$37,MC9&lt;&gt;""),AND(MD9&gt;=MG$33,MD9&lt;&gt;"",MF9&gt;=MG$37,MF9&lt;&gt;""),AND(NB9&gt;=NO$33,NB9&lt;&gt;"",ND9&gt;=NO$37,ND9&lt;&gt;""),AND(NE9&gt;=NO$33,NE9&lt;&gt;"",NG9&gt;=NO$37,NG9&lt;&gt;""),AND(NI9&gt;=NO$33,NI9&lt;&gt;"",NK9&gt;=NO$37,NK9&lt;&gt;""),AND(NL9&gt;=NO$33,NL9&lt;&gt;"",NN9&gt;=NO$37,NN9&lt;&gt;""),AND(OJ9&gt;=OW$33,OJ9&lt;&gt;"",OL9&gt;=OW$37,OL9&lt;&gt;""),AND(OM9&gt;=OW$33,OM9&lt;&gt;"",OO9&gt;=OW$37,OO9&lt;&gt;""),AND(OQ9&gt;=OW$33,OQ9&lt;&gt;"",OS9&gt;=OW$37,OS9&lt;&gt;""),AND(OT9&gt;=OW$33,OT9&lt;&gt;"",OV9&gt;=OW$37,OV9&lt;&gt;""),AND(PR9&gt;=QE$33,PR9&lt;&gt;"",PT9&gt;=QE$37,PT9&lt;&gt;""),AND(PU9&gt;=QE$33,PU9&lt;&gt;"",PW9&gt;=QE$37,PW9&lt;&gt;""),AND(PY9&gt;=QE$33,PY9&lt;&gt;"",QA9&gt;=QE$37,QA9&lt;&gt;""),AND(QB9&gt;=QE$33,QB9&lt;&gt;"",QD9&gt;=QE$37,QD9&lt;&gt;""),AND(QZ9&gt;=RM$33,QZ9&lt;&gt;"",RB9&gt;=RM$37,RB9&lt;&gt;""),AND(RC9&gt;=RM$33,RC9&lt;&gt;"",RE9&gt;=RM$37,RE9&lt;&gt;""),AND(RG9&gt;=RM$33,RG9&lt;&gt;"",RI9&gt;=RM$37,RI9&lt;&gt;""),AND(RJ9&gt;=RM$33,RJ9&lt;&gt;"",RL9&gt;=RM$37,RL9&lt;&gt;""),AND(SH9&gt;=SU$33,SH9&lt;&gt;"",SJ9&gt;=SU$37,SJ9&lt;&gt;""),AND(SK9&gt;=SU$33,SK9&lt;&gt;"",SM9&gt;=SU$37,SM9&lt;&gt;""),AND(SO9&gt;=SU$33,SO9&lt;&gt;"",SQ9&gt;=SU$37,SQ9&lt;&gt;""),AND(SR9&gt;=SU$33,SR9&lt;&gt;"",ST9&gt;=SU$37,ST9&lt;&gt;"")),"Merit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),"Excellence",IF(K9="P","Worlds Team",IF(H9="P","National Team","")))))</f>
        <v>National Team</v>
      </c>
      <c r="K9" s="3" t="str">
        <f>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P","")</f>
        <v/>
      </c>
      <c r="L9" s="8">
        <f>IF(COUNT(AQ9,AT9,BR9,BU9,CS9,CV9)&gt;0,LARGE((AQ9,AT9,BR9,BU9,CS9,CV9),1),0)</f>
        <v>53.7</v>
      </c>
      <c r="M9" s="8" t="str">
        <f t="shared" si="1"/>
        <v>2024 3rd Domestic Trial</v>
      </c>
      <c r="N9" s="8">
        <f>IF(COUNT(AQ9,AT9,BR9,BU9,CS9,CV9)&gt;1,LARGE((AQ9,AT9,BR9,BU9,CS9,CV9),2),0)</f>
        <v>52.44</v>
      </c>
      <c r="O9" s="8" t="str">
        <f t="shared" si="2"/>
        <v>2024 3rd Domestic Trial</v>
      </c>
      <c r="P9" s="8">
        <f>IF(COUNT(AQ9,AT9,BR9,BU9,CS9,CV9)&gt;2,MAX(AX9,BY9,CZ9,LARGE((AQ9,AT9,BR9,BU9,CS9,CV9),3)),IF(MAX(AX9,BY9,CZ9)&gt;0,MAX(AX9,BY9,CZ9),0))</f>
        <v>54.6</v>
      </c>
      <c r="Q9" s="8" t="str">
        <f t="shared" si="3"/>
        <v>2024 3rd Domestic Trial</v>
      </c>
      <c r="R9" s="8">
        <f t="shared" si="4"/>
        <v>14.1</v>
      </c>
      <c r="S9" s="8" t="str">
        <f t="shared" si="5"/>
        <v>2025 Nationals</v>
      </c>
      <c r="T9" s="8">
        <f>IF(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&gt;0,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,0)</f>
        <v>16.399999999999999</v>
      </c>
      <c r="U9" s="8" t="str">
        <f t="shared" si="6"/>
        <v>2024 3rd Domestic Trial</v>
      </c>
      <c r="V9" s="8" t="str">
        <f t="shared" si="7"/>
        <v/>
      </c>
      <c r="W9" s="11" t="str">
        <f t="shared" si="8"/>
        <v/>
      </c>
      <c r="X9" s="8" t="str">
        <f t="shared" si="9"/>
        <v/>
      </c>
      <c r="Y9" s="22">
        <v>14.9</v>
      </c>
      <c r="Z9" s="22">
        <v>9.1999999999999993</v>
      </c>
      <c r="AA9" s="22">
        <v>12.2</v>
      </c>
      <c r="AB9" s="22">
        <v>16.14</v>
      </c>
      <c r="AC9" s="22">
        <v>0</v>
      </c>
      <c r="AD9" s="22">
        <v>14.4</v>
      </c>
      <c r="AE9" s="22">
        <v>9.3000000000000007</v>
      </c>
      <c r="AF9" s="22">
        <v>13.7</v>
      </c>
      <c r="AG9" s="22">
        <v>16.3</v>
      </c>
      <c r="AH9" s="22">
        <v>0</v>
      </c>
      <c r="AI9" s="22">
        <v>15.2</v>
      </c>
      <c r="AJ9" s="22">
        <v>9.3000000000000007</v>
      </c>
      <c r="AK9" s="22">
        <v>13.7</v>
      </c>
      <c r="AL9" s="22">
        <v>16.399999999999999</v>
      </c>
      <c r="AM9" s="22">
        <v>0</v>
      </c>
      <c r="AN9" s="27"/>
      <c r="AO9" s="38">
        <f t="shared" si="10"/>
        <v>12.2</v>
      </c>
      <c r="AP9" s="38">
        <f t="shared" si="11"/>
        <v>16.14</v>
      </c>
      <c r="AQ9" s="40">
        <f t="shared" si="12"/>
        <v>52.44</v>
      </c>
      <c r="AR9" s="40">
        <f t="shared" si="13"/>
        <v>13.7</v>
      </c>
      <c r="AS9" s="40">
        <f t="shared" si="14"/>
        <v>16.3</v>
      </c>
      <c r="AT9" s="40">
        <f t="shared" si="15"/>
        <v>53.7</v>
      </c>
      <c r="AU9" s="40">
        <f t="shared" si="16"/>
        <v>53.7</v>
      </c>
      <c r="AV9" s="40">
        <f t="shared" si="17"/>
        <v>13.7</v>
      </c>
      <c r="AW9" s="40">
        <f t="shared" si="18"/>
        <v>16.399999999999999</v>
      </c>
      <c r="AX9" s="40">
        <f t="shared" si="19"/>
        <v>54.6</v>
      </c>
      <c r="AY9" s="40">
        <f t="shared" si="20"/>
        <v>108.30000000000001</v>
      </c>
      <c r="AZ9" s="26">
        <v>13.1</v>
      </c>
      <c r="BA9" s="26">
        <v>9</v>
      </c>
      <c r="BB9" s="26">
        <v>12.5</v>
      </c>
      <c r="BC9" s="26">
        <v>15.37</v>
      </c>
      <c r="BD9" s="26">
        <v>2.4</v>
      </c>
      <c r="BE9" s="26">
        <v>14</v>
      </c>
      <c r="BF9" s="26">
        <v>8.9</v>
      </c>
      <c r="BG9" s="26">
        <v>13.9</v>
      </c>
      <c r="BH9" s="26">
        <v>15.55</v>
      </c>
      <c r="BI9" s="26">
        <v>0.6</v>
      </c>
      <c r="BJ9" s="26">
        <v>1.6</v>
      </c>
      <c r="BK9" s="26">
        <v>1</v>
      </c>
      <c r="BL9" s="26">
        <v>2</v>
      </c>
      <c r="BM9" s="26">
        <v>1.72</v>
      </c>
      <c r="BN9" s="26">
        <v>0</v>
      </c>
      <c r="BO9" s="28"/>
      <c r="BP9" s="39">
        <f t="shared" si="21"/>
        <v>12.5</v>
      </c>
      <c r="BQ9" s="39">
        <f t="shared" si="22"/>
        <v>15.37</v>
      </c>
      <c r="BR9" s="11">
        <f t="shared" si="23"/>
        <v>47.57</v>
      </c>
      <c r="BS9" s="11">
        <f t="shared" si="24"/>
        <v>13.9</v>
      </c>
      <c r="BT9" s="11">
        <f t="shared" si="25"/>
        <v>15.55</v>
      </c>
      <c r="BU9" s="11">
        <f t="shared" si="26"/>
        <v>51.749999999999993</v>
      </c>
      <c r="BV9" s="11">
        <f t="shared" si="27"/>
        <v>51.749999999999993</v>
      </c>
      <c r="BW9" s="11">
        <f t="shared" si="28"/>
        <v>2</v>
      </c>
      <c r="BX9" s="11">
        <f t="shared" si="29"/>
        <v>1.72</v>
      </c>
      <c r="BY9" s="11">
        <f t="shared" si="30"/>
        <v>6.3199999999999994</v>
      </c>
      <c r="BZ9" s="11">
        <f t="shared" si="31"/>
        <v>58.069999999999993</v>
      </c>
      <c r="CA9" s="22">
        <v>12.8</v>
      </c>
      <c r="CB9" s="22">
        <v>9.1</v>
      </c>
      <c r="CC9" s="22">
        <v>14.1</v>
      </c>
      <c r="CD9" s="22">
        <v>15.41</v>
      </c>
      <c r="CE9" s="22">
        <v>0.4</v>
      </c>
      <c r="CF9" s="22">
        <v>12.3</v>
      </c>
      <c r="CG9" s="22">
        <v>9.5</v>
      </c>
      <c r="CH9" s="22">
        <v>11.1</v>
      </c>
      <c r="CI9" s="22">
        <v>15.73</v>
      </c>
      <c r="CJ9" s="22">
        <v>3.4</v>
      </c>
      <c r="CK9" s="22">
        <v>14.3</v>
      </c>
      <c r="CL9" s="22">
        <v>9</v>
      </c>
      <c r="CM9" s="22">
        <v>13.1</v>
      </c>
      <c r="CN9" s="22">
        <v>15.58</v>
      </c>
      <c r="CO9" s="22">
        <v>1.4</v>
      </c>
      <c r="CP9" s="27"/>
      <c r="CQ9" s="38">
        <f t="shared" si="32"/>
        <v>14.1</v>
      </c>
      <c r="CR9" s="38">
        <f t="shared" si="33"/>
        <v>15.41</v>
      </c>
      <c r="CS9" s="40">
        <f t="shared" si="34"/>
        <v>51.01</v>
      </c>
      <c r="CT9" s="40">
        <f t="shared" si="35"/>
        <v>11.1</v>
      </c>
      <c r="CU9" s="40">
        <f t="shared" si="36"/>
        <v>15.73</v>
      </c>
      <c r="CV9" s="40">
        <f t="shared" si="37"/>
        <v>45.23</v>
      </c>
      <c r="CW9" s="40">
        <f t="shared" si="38"/>
        <v>51.01</v>
      </c>
      <c r="CX9" s="40">
        <f t="shared" si="39"/>
        <v>13.1</v>
      </c>
      <c r="CY9" s="40">
        <f t="shared" si="40"/>
        <v>15.58</v>
      </c>
      <c r="CZ9" s="40">
        <f t="shared" si="41"/>
        <v>50.58</v>
      </c>
      <c r="DA9" s="40">
        <f t="shared" si="42"/>
        <v>101.59</v>
      </c>
      <c r="DB9" s="50" t="str">
        <f t="shared" si="43"/>
        <v/>
      </c>
      <c r="DC9" s="50" t="str">
        <f t="shared" si="44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45"/>
        <v/>
      </c>
      <c r="DY9" s="40" t="str">
        <f t="shared" si="46"/>
        <v/>
      </c>
      <c r="DZ9" s="40" t="str">
        <f t="shared" si="47"/>
        <v/>
      </c>
      <c r="EA9" s="40" t="str">
        <f t="shared" si="48"/>
        <v/>
      </c>
      <c r="EB9" s="40" t="str">
        <f t="shared" si="49"/>
        <v/>
      </c>
      <c r="EC9" s="40" t="str">
        <f t="shared" si="50"/>
        <v/>
      </c>
      <c r="ED9" s="40" t="str">
        <f t="shared" si="51"/>
        <v/>
      </c>
      <c r="EE9" s="40" t="str">
        <f t="shared" si="52"/>
        <v/>
      </c>
      <c r="EF9" s="40" t="str">
        <f t="shared" si="53"/>
        <v/>
      </c>
      <c r="EG9" s="40" t="str">
        <f t="shared" si="54"/>
        <v/>
      </c>
      <c r="EH9" s="40" t="str">
        <f t="shared" si="55"/>
        <v/>
      </c>
      <c r="EI9" s="40" t="str">
        <f t="shared" si="56"/>
        <v/>
      </c>
      <c r="EJ9" s="40" t="str">
        <f t="shared" si="57"/>
        <v/>
      </c>
      <c r="EK9" s="40" t="str">
        <f t="shared" si="58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59"/>
        <v/>
      </c>
      <c r="FG9" s="11" t="str">
        <f t="shared" si="60"/>
        <v/>
      </c>
      <c r="FH9" s="11" t="str">
        <f t="shared" si="61"/>
        <v/>
      </c>
      <c r="FI9" s="11" t="str">
        <f t="shared" si="62"/>
        <v/>
      </c>
      <c r="FJ9" s="11" t="str">
        <f t="shared" si="63"/>
        <v/>
      </c>
      <c r="FK9" s="11" t="str">
        <f t="shared" si="64"/>
        <v/>
      </c>
      <c r="FL9" s="11" t="str">
        <f t="shared" si="65"/>
        <v/>
      </c>
      <c r="FM9" s="11" t="str">
        <f t="shared" si="66"/>
        <v/>
      </c>
      <c r="FN9" s="11" t="str">
        <f t="shared" si="67"/>
        <v/>
      </c>
      <c r="FO9" s="11" t="str">
        <f t="shared" si="68"/>
        <v/>
      </c>
      <c r="FP9" s="11" t="str">
        <f t="shared" si="69"/>
        <v/>
      </c>
      <c r="FQ9" s="11" t="str">
        <f t="shared" si="70"/>
        <v/>
      </c>
      <c r="FR9" s="11" t="str">
        <f t="shared" si="71"/>
        <v/>
      </c>
      <c r="FS9" s="11" t="str">
        <f t="shared" si="72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3"/>
        <v/>
      </c>
      <c r="GO9" s="40" t="str">
        <f t="shared" si="74"/>
        <v/>
      </c>
      <c r="GP9" s="40" t="str">
        <f t="shared" si="75"/>
        <v/>
      </c>
      <c r="GQ9" s="40" t="str">
        <f t="shared" si="76"/>
        <v/>
      </c>
      <c r="GR9" s="40" t="str">
        <f t="shared" si="77"/>
        <v/>
      </c>
      <c r="GS9" s="40" t="str">
        <f t="shared" si="78"/>
        <v/>
      </c>
      <c r="GT9" s="40" t="str">
        <f t="shared" si="79"/>
        <v/>
      </c>
      <c r="GU9" s="40" t="str">
        <f t="shared" si="80"/>
        <v/>
      </c>
      <c r="GV9" s="40" t="str">
        <f t="shared" si="81"/>
        <v/>
      </c>
      <c r="GW9" s="40" t="str">
        <f t="shared" si="82"/>
        <v/>
      </c>
      <c r="GX9" s="40" t="str">
        <f t="shared" si="83"/>
        <v/>
      </c>
      <c r="GY9" s="40" t="str">
        <f t="shared" si="84"/>
        <v/>
      </c>
      <c r="GZ9" s="40" t="str">
        <f t="shared" si="85"/>
        <v/>
      </c>
      <c r="HA9" s="40" t="str">
        <f t="shared" si="86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87"/>
        <v/>
      </c>
      <c r="HW9" s="11" t="str">
        <f t="shared" si="88"/>
        <v/>
      </c>
      <c r="HX9" s="11" t="str">
        <f t="shared" si="89"/>
        <v/>
      </c>
      <c r="HY9" s="11" t="str">
        <f t="shared" si="90"/>
        <v/>
      </c>
      <c r="HZ9" s="11" t="str">
        <f t="shared" si="91"/>
        <v/>
      </c>
      <c r="IA9" s="11" t="str">
        <f t="shared" si="92"/>
        <v/>
      </c>
      <c r="IB9" s="11" t="str">
        <f t="shared" si="93"/>
        <v/>
      </c>
      <c r="IC9" s="11" t="str">
        <f t="shared" si="94"/>
        <v/>
      </c>
      <c r="ID9" s="11" t="str">
        <f t="shared" si="95"/>
        <v/>
      </c>
      <c r="IE9" s="11" t="str">
        <f t="shared" si="96"/>
        <v/>
      </c>
      <c r="IF9" s="11" t="str">
        <f t="shared" si="97"/>
        <v/>
      </c>
      <c r="IG9" s="11" t="str">
        <f t="shared" si="98"/>
        <v/>
      </c>
      <c r="IH9" s="11" t="str">
        <f t="shared" si="99"/>
        <v/>
      </c>
      <c r="II9" s="11" t="str">
        <f t="shared" si="100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1"/>
        <v/>
      </c>
      <c r="JE9" s="40" t="str">
        <f t="shared" si="102"/>
        <v/>
      </c>
      <c r="JF9" s="40" t="str">
        <f t="shared" si="103"/>
        <v/>
      </c>
      <c r="JG9" s="40" t="str">
        <f t="shared" si="104"/>
        <v/>
      </c>
      <c r="JH9" s="40" t="str">
        <f t="shared" si="105"/>
        <v/>
      </c>
      <c r="JI9" s="40" t="str">
        <f t="shared" si="106"/>
        <v/>
      </c>
      <c r="JJ9" s="40" t="str">
        <f t="shared" si="107"/>
        <v/>
      </c>
      <c r="JK9" s="40" t="str">
        <f t="shared" si="108"/>
        <v/>
      </c>
      <c r="JL9" s="40" t="str">
        <f t="shared" si="109"/>
        <v/>
      </c>
      <c r="JM9" s="40" t="str">
        <f t="shared" si="110"/>
        <v/>
      </c>
      <c r="JN9" s="40" t="str">
        <f t="shared" si="111"/>
        <v/>
      </c>
      <c r="JO9" s="40" t="str">
        <f t="shared" si="112"/>
        <v/>
      </c>
      <c r="JP9" s="40" t="str">
        <f t="shared" si="113"/>
        <v/>
      </c>
      <c r="JQ9" s="40" t="str">
        <f t="shared" si="114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15"/>
        <v/>
      </c>
      <c r="KM9" s="11" t="str">
        <f t="shared" si="116"/>
        <v/>
      </c>
      <c r="KN9" s="11" t="str">
        <f t="shared" si="117"/>
        <v/>
      </c>
      <c r="KO9" s="11" t="str">
        <f t="shared" si="118"/>
        <v/>
      </c>
      <c r="KP9" s="11" t="str">
        <f t="shared" si="119"/>
        <v/>
      </c>
      <c r="KQ9" s="11" t="str">
        <f t="shared" si="120"/>
        <v/>
      </c>
      <c r="KR9" s="11" t="str">
        <f t="shared" si="121"/>
        <v/>
      </c>
      <c r="KS9" s="11" t="str">
        <f t="shared" si="122"/>
        <v/>
      </c>
      <c r="KT9" s="11" t="str">
        <f t="shared" si="123"/>
        <v/>
      </c>
      <c r="KU9" s="11" t="str">
        <f t="shared" si="124"/>
        <v/>
      </c>
      <c r="KV9" s="11" t="str">
        <f t="shared" si="125"/>
        <v/>
      </c>
      <c r="KW9" s="11" t="str">
        <f t="shared" si="126"/>
        <v/>
      </c>
      <c r="KX9" s="11" t="str">
        <f t="shared" si="127"/>
        <v/>
      </c>
      <c r="KY9" s="11" t="str">
        <f t="shared" si="128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29"/>
        <v/>
      </c>
      <c r="LU9" s="40" t="str">
        <f t="shared" si="130"/>
        <v/>
      </c>
      <c r="LV9" s="40" t="str">
        <f t="shared" si="131"/>
        <v/>
      </c>
      <c r="LW9" s="40" t="str">
        <f t="shared" si="132"/>
        <v/>
      </c>
      <c r="LX9" s="40" t="str">
        <f t="shared" si="133"/>
        <v/>
      </c>
      <c r="LY9" s="40" t="str">
        <f t="shared" si="134"/>
        <v/>
      </c>
      <c r="LZ9" s="40" t="str">
        <f t="shared" si="135"/>
        <v/>
      </c>
      <c r="MA9" s="40" t="str">
        <f t="shared" si="136"/>
        <v/>
      </c>
      <c r="MB9" s="40" t="str">
        <f t="shared" si="137"/>
        <v/>
      </c>
      <c r="MC9" s="40" t="str">
        <f t="shared" si="138"/>
        <v/>
      </c>
      <c r="MD9" s="40" t="str">
        <f t="shared" si="139"/>
        <v/>
      </c>
      <c r="ME9" s="40" t="str">
        <f t="shared" si="140"/>
        <v/>
      </c>
      <c r="MF9" s="40" t="str">
        <f t="shared" si="141"/>
        <v/>
      </c>
      <c r="MG9" s="40" t="str">
        <f t="shared" si="142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3"/>
        <v/>
      </c>
      <c r="NC9" s="11" t="str">
        <f t="shared" si="144"/>
        <v/>
      </c>
      <c r="ND9" s="11" t="str">
        <f t="shared" si="145"/>
        <v/>
      </c>
      <c r="NE9" s="11" t="str">
        <f t="shared" si="146"/>
        <v/>
      </c>
      <c r="NF9" s="11" t="str">
        <f t="shared" si="147"/>
        <v/>
      </c>
      <c r="NG9" s="11" t="str">
        <f t="shared" si="148"/>
        <v/>
      </c>
      <c r="NH9" s="11" t="str">
        <f t="shared" si="149"/>
        <v/>
      </c>
      <c r="NI9" s="11" t="str">
        <f t="shared" si="150"/>
        <v/>
      </c>
      <c r="NJ9" s="11" t="str">
        <f t="shared" si="151"/>
        <v/>
      </c>
      <c r="NK9" s="11" t="str">
        <f t="shared" si="152"/>
        <v/>
      </c>
      <c r="NL9" s="11" t="str">
        <f t="shared" si="153"/>
        <v/>
      </c>
      <c r="NM9" s="11" t="str">
        <f t="shared" si="154"/>
        <v/>
      </c>
      <c r="NN9" s="11" t="str">
        <f t="shared" si="155"/>
        <v/>
      </c>
      <c r="NO9" s="11" t="str">
        <f t="shared" si="156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57"/>
        <v/>
      </c>
      <c r="OK9" s="40" t="str">
        <f t="shared" si="158"/>
        <v/>
      </c>
      <c r="OL9" s="40" t="str">
        <f t="shared" si="159"/>
        <v/>
      </c>
      <c r="OM9" s="40" t="str">
        <f t="shared" si="160"/>
        <v/>
      </c>
      <c r="ON9" s="40" t="str">
        <f t="shared" si="161"/>
        <v/>
      </c>
      <c r="OO9" s="40" t="str">
        <f t="shared" si="162"/>
        <v/>
      </c>
      <c r="OP9" s="40" t="str">
        <f t="shared" si="163"/>
        <v/>
      </c>
      <c r="OQ9" s="40" t="str">
        <f t="shared" si="164"/>
        <v/>
      </c>
      <c r="OR9" s="40" t="str">
        <f t="shared" si="165"/>
        <v/>
      </c>
      <c r="OS9" s="40" t="str">
        <f t="shared" si="166"/>
        <v/>
      </c>
      <c r="OT9" s="40" t="str">
        <f t="shared" si="167"/>
        <v/>
      </c>
      <c r="OU9" s="40" t="str">
        <f t="shared" si="168"/>
        <v/>
      </c>
      <c r="OV9" s="40" t="str">
        <f t="shared" si="169"/>
        <v/>
      </c>
      <c r="OW9" s="40" t="str">
        <f t="shared" si="170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1"/>
        <v/>
      </c>
      <c r="PS9" s="11" t="str">
        <f t="shared" si="172"/>
        <v/>
      </c>
      <c r="PT9" s="11" t="str">
        <f t="shared" si="173"/>
        <v/>
      </c>
      <c r="PU9" s="11" t="str">
        <f t="shared" si="174"/>
        <v/>
      </c>
      <c r="PV9" s="11" t="str">
        <f t="shared" si="175"/>
        <v/>
      </c>
      <c r="PW9" s="11" t="str">
        <f t="shared" si="176"/>
        <v/>
      </c>
      <c r="PX9" s="11" t="str">
        <f t="shared" si="177"/>
        <v/>
      </c>
      <c r="PY9" s="11" t="str">
        <f t="shared" si="178"/>
        <v/>
      </c>
      <c r="PZ9" s="11" t="str">
        <f t="shared" si="179"/>
        <v/>
      </c>
      <c r="QA9" s="11" t="str">
        <f t="shared" si="180"/>
        <v/>
      </c>
      <c r="QB9" s="11" t="str">
        <f t="shared" si="181"/>
        <v/>
      </c>
      <c r="QC9" s="11" t="str">
        <f t="shared" si="182"/>
        <v/>
      </c>
      <c r="QD9" s="11" t="str">
        <f t="shared" si="183"/>
        <v/>
      </c>
      <c r="QE9" s="11" t="str">
        <f t="shared" si="184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85"/>
        <v/>
      </c>
      <c r="RA9" s="40" t="str">
        <f t="shared" si="186"/>
        <v/>
      </c>
      <c r="RB9" s="40" t="str">
        <f t="shared" si="187"/>
        <v/>
      </c>
      <c r="RC9" s="40" t="str">
        <f t="shared" si="188"/>
        <v/>
      </c>
      <c r="RD9" s="40" t="str">
        <f t="shared" si="189"/>
        <v/>
      </c>
      <c r="RE9" s="40" t="str">
        <f t="shared" si="190"/>
        <v/>
      </c>
      <c r="RF9" s="40" t="str">
        <f t="shared" si="191"/>
        <v/>
      </c>
      <c r="RG9" s="40" t="str">
        <f t="shared" si="192"/>
        <v/>
      </c>
      <c r="RH9" s="40" t="str">
        <f t="shared" si="193"/>
        <v/>
      </c>
      <c r="RI9" s="40" t="str">
        <f t="shared" si="194"/>
        <v/>
      </c>
      <c r="RJ9" s="40" t="str">
        <f t="shared" si="195"/>
        <v/>
      </c>
      <c r="RK9" s="40" t="str">
        <f t="shared" si="196"/>
        <v/>
      </c>
      <c r="RL9" s="40" t="str">
        <f t="shared" si="197"/>
        <v/>
      </c>
      <c r="RM9" s="40" t="str">
        <f t="shared" si="198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199"/>
        <v/>
      </c>
      <c r="SI9" s="11" t="str">
        <f t="shared" si="200"/>
        <v/>
      </c>
      <c r="SJ9" s="11" t="str">
        <f t="shared" si="201"/>
        <v/>
      </c>
      <c r="SK9" s="11" t="str">
        <f t="shared" si="202"/>
        <v/>
      </c>
      <c r="SL9" s="11" t="str">
        <f t="shared" si="203"/>
        <v/>
      </c>
      <c r="SM9" s="11" t="str">
        <f t="shared" si="204"/>
        <v/>
      </c>
      <c r="SN9" s="11" t="str">
        <f t="shared" si="205"/>
        <v/>
      </c>
      <c r="SO9" s="11" t="str">
        <f t="shared" si="206"/>
        <v/>
      </c>
      <c r="SP9" s="11" t="str">
        <f t="shared" si="207"/>
        <v/>
      </c>
      <c r="SQ9" s="11" t="str">
        <f t="shared" si="208"/>
        <v/>
      </c>
      <c r="SR9" s="11" t="str">
        <f t="shared" si="209"/>
        <v/>
      </c>
      <c r="SS9" s="11" t="str">
        <f t="shared" si="210"/>
        <v/>
      </c>
      <c r="ST9" s="11" t="str">
        <f t="shared" si="211"/>
        <v/>
      </c>
      <c r="SU9" s="11" t="str">
        <f t="shared" si="212"/>
        <v/>
      </c>
      <c r="SV9" s="22">
        <f t="shared" si="213"/>
        <v>12.95</v>
      </c>
      <c r="SW9" s="22">
        <f t="shared" si="214"/>
        <v>9.0500000000000007</v>
      </c>
      <c r="SX9" s="22">
        <f t="shared" si="215"/>
        <v>13.3</v>
      </c>
      <c r="SY9" s="22">
        <f t="shared" si="216"/>
        <v>15.39</v>
      </c>
      <c r="SZ9" s="22">
        <f t="shared" si="217"/>
        <v>1.4</v>
      </c>
      <c r="TA9" s="22">
        <f t="shared" si="218"/>
        <v>13.15</v>
      </c>
      <c r="TB9" s="22">
        <f t="shared" si="219"/>
        <v>9.1999999999999993</v>
      </c>
      <c r="TC9" s="22">
        <f t="shared" si="220"/>
        <v>12.5</v>
      </c>
      <c r="TD9" s="22">
        <f t="shared" si="221"/>
        <v>15.64</v>
      </c>
      <c r="TE9" s="22">
        <f t="shared" si="222"/>
        <v>2</v>
      </c>
      <c r="TF9" s="22">
        <f t="shared" si="223"/>
        <v>7.95</v>
      </c>
      <c r="TG9" s="22">
        <f t="shared" si="224"/>
        <v>5</v>
      </c>
      <c r="TH9" s="22">
        <f t="shared" si="225"/>
        <v>7.55</v>
      </c>
      <c r="TI9" s="22">
        <f t="shared" si="226"/>
        <v>8.65</v>
      </c>
      <c r="TJ9" s="22">
        <f t="shared" si="227"/>
        <v>0.7</v>
      </c>
      <c r="TK9" s="27" t="s">
        <v>46</v>
      </c>
      <c r="TL9" s="40">
        <f t="shared" si="228"/>
        <v>13.3</v>
      </c>
      <c r="TM9" s="40">
        <f t="shared" si="229"/>
        <v>15.39</v>
      </c>
      <c r="TN9" s="40">
        <f t="shared" si="230"/>
        <v>49.29</v>
      </c>
      <c r="TO9" s="40">
        <f t="shared" si="231"/>
        <v>12.5</v>
      </c>
      <c r="TP9" s="40">
        <f t="shared" si="232"/>
        <v>15.64</v>
      </c>
      <c r="TQ9" s="40">
        <f t="shared" si="233"/>
        <v>48.49</v>
      </c>
      <c r="TR9" s="40">
        <f t="shared" si="234"/>
        <v>49.29</v>
      </c>
      <c r="TS9" s="40">
        <f t="shared" si="235"/>
        <v>7.55</v>
      </c>
      <c r="TT9" s="40">
        <f t="shared" si="236"/>
        <v>8.65</v>
      </c>
      <c r="TU9" s="40">
        <f t="shared" si="237"/>
        <v>28.45</v>
      </c>
      <c r="TV9" s="40">
        <f t="shared" si="238"/>
        <v>77.739999999999995</v>
      </c>
    </row>
    <row r="10" spans="1:542" x14ac:dyDescent="0.2">
      <c r="A10" s="4" cm="1">
        <f t="array" ref="A10">IF(AND(J10&lt;&gt;"",J10&lt;&gt;"No DD"),SUMPRODUCT((J$4:J$28&lt;&gt;"")*(J$4:J$28&lt;&gt;"No DD")*(F$4:F$28&gt;F10))+1,IF(J10="No DD",SUMPRODUCT((J$4:J$28="No DD")*(F$4:F$28&gt;F10))+1+SUMPRODUCT((J$4:J$28&lt;&gt;"")*(J$4:J$28&lt;&gt;"No DD")),""))</f>
        <v>7</v>
      </c>
      <c r="B10" s="4" cm="1">
        <f t="array" ref="B10">IF(AND(J10&lt;&gt;"",J10&lt;&gt;"No DD",G10=""),SUMPRODUCT((J$4:J$28&lt;&gt;"")*(J$4:J$28&lt;&gt;"No DD")*(G$4:G$28="")*(F$4:F$28&gt;F10))+1,IF(J10="No DD",SUMPRODUCT((J$4:J$28="No DD")*(F$4:F$28&gt;F10)*(G$4:G$28=""))+1+SUMPRODUCT((J$4:J$28&lt;&gt;"")*(G$4:G$28="")*(J$4:J$28&lt;&gt;"No DD")),""))</f>
        <v>4</v>
      </c>
      <c r="C10" s="5" t="s">
        <v>140</v>
      </c>
      <c r="D10" s="4" t="s">
        <v>6</v>
      </c>
      <c r="E10" s="4">
        <v>2005</v>
      </c>
      <c r="F10" s="9">
        <f t="shared" si="0"/>
        <v>190.40001904000547</v>
      </c>
      <c r="G10" s="64"/>
      <c r="H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P","")</f>
        <v>P</v>
      </c>
      <c r="I10" s="3" t="str">
        <f>IF(OR(AND(AQ10&gt;=AY$34,AQ10&lt;&gt;"",AN10=""),AND(AT10&gt;=AY$34,AT10&lt;&gt;"",AN10=""),AND(AX10&gt;=AY$34,AX10&lt;&gt;"",AN10=""),AND(BR10&gt;=BZ$34,BR10&lt;&gt;"",BO10=""),AND(BU10&gt;=BZ$34,BU10&lt;&gt;"",BO10=""),AND(BY10&gt;=BZ$34,BY10&lt;&gt;"",BO10=""),AND(CS10&gt;=DA$34,CS10&lt;&gt;"",CP10=""),AND(CV10&gt;=DA$34,CV10&lt;&gt;"",CP10=""),AND(CZ10&gt;=DA$34,CZ10&lt;&gt;"",CP10=""),AND(DZ10&gt;=EK$34,DZ10&lt;&gt;""),AND(EC10&gt;=EK$34,EC10&lt;&gt;""),AND(EG10&gt;=EK$34,EG10&lt;&gt;""),AND(EJ10&gt;=EK$34,EJ10&lt;&gt;""),AND(FH10&gt;=FS$34,FH10&lt;&gt;""),AND(FK10&gt;=FS$34,FK10&lt;&gt;""),AND(FO10&gt;=FS$34,FO10&lt;&gt;""),AND(FR10&gt;=FS$34,FR10&lt;&gt;""),AND(GP10&gt;=HA$34,GP10&lt;&gt;""),AND(GS10&gt;=HA$34,GS10&lt;&gt;""),AND(GW10&gt;=HA$34,GW10&lt;&gt;""),AND(GZ10&gt;=HA$34,GZ10&lt;&gt;""),AND(HX10&gt;=II$34,HX10&lt;&gt;""),AND(IA10&gt;=II$34,IA10&lt;&gt;""),AND(IE10&gt;=II$34,IE10&lt;&gt;""),AND(IH10&gt;=II$34,IH10&lt;&gt;""),AND(JF10&gt;=JQ$34,JF10&lt;&gt;""),AND(JI10&gt;=JQ$34,JI10&lt;&gt;""),AND(JM10&gt;=JQ$34,JM10&lt;&gt;""),AND(JP10&gt;=JQ$34,JP10&lt;&gt;""),AND(KN10&gt;=KY$34,KN10&lt;&gt;""),AND(KQ10&gt;=KY$34,KQ10&lt;&gt;""),AND(KU10&gt;=KY$34,KU10&lt;&gt;""),AND(KX10&gt;=KY$34,KX10&lt;&gt;""),AND(LV10&gt;=MG$34,LV10&lt;&gt;""),AND(LY10&gt;=MG$34,LY10&lt;&gt;""),AND(MC10&gt;=MG$34,MC10&lt;&gt;""),AND(MF10&gt;=MG$34,MF10&lt;&gt;""),AND(ND10&gt;=NO$34,ND10&lt;&gt;""),AND(NG10&gt;=NO$34,NG10&lt;&gt;""),AND(NK10&gt;=NO$34,NK10&lt;&gt;""),AND(NN10&gt;=NO$34,NN10&lt;&gt;""),AND(OL10&gt;=OW$34,OL10&lt;&gt;""),AND(OO10&gt;=OW$34,OO10&lt;&gt;""),AND(OS10&gt;=OW$34,OS10&lt;&gt;""),AND(OV10&gt;=OW$34,OV10&lt;&gt;""),AND(PT10&gt;=QE$34,PT10&lt;&gt;""),AND(PW10&gt;=QE$34,PW10&lt;&gt;""),AND(QA10&gt;=QE$34,QA10&lt;&gt;""),AND(QD10&gt;=QE$34,QD10&lt;&gt;""),AND(RB10&gt;=RM$34,RB10&lt;&gt;""),AND(RE10&gt;=RM$34,RE10&lt;&gt;""),AND(RI10&gt;=RM$34,RI10&lt;&gt;""),AND(RL10&gt;=RM$34,RL10&lt;&gt;""),AND(SJ10&gt;=SU$34,SJ10&lt;&gt;""),AND(SM10&gt;=SU$34,SM10&lt;&gt;""),AND(SQ10&gt;=SU$34,SQ10&lt;&gt;""),AND(ST10&gt;=SU$34,ST10&lt;&gt;"")),"P","")</f>
        <v>P</v>
      </c>
      <c r="J10" s="36" t="str">
        <f>IF(AND(I10="P",H10=""),"No DD",IF(OR(AND(AO10&gt;=AY$33,AO10&lt;&gt;"",AQ10&gt;=AY$37,AQ10&lt;&gt;"",AN10=""),AND(AR10&gt;=AY$33,AR10&lt;&gt;"",AT10&gt;=AY$37,AT10&lt;&gt;"",AN10=""),AND(AV10&gt;=AY$33,AV10&lt;&gt;"",AX10&gt;=AY$37,AX10&lt;&gt;"",AN10=""),AND(BP10&gt;=BZ$33,BP10&lt;&gt;"",BR10&gt;=BZ$37,BR10&lt;&gt;"",BO10=""),AND(BS10&gt;=BZ$33,BS10&lt;&gt;"",BU10&gt;=BZ$37,BU10&lt;&gt;"",BO10=""),AND(BW10&gt;=BZ$33,BW10&lt;&gt;"",BY10&gt;=BZ$37,BY10&lt;&gt;"",BO10=""),AND(CQ10&gt;=DA$33,CQ10&lt;&gt;"",CS10&gt;=DA$37,CS10&lt;&gt;"",CP10=""),AND(CT10&gt;=DA$33,CT10&lt;&gt;"",CV10&gt;=DA$37,CV10&lt;&gt;"",CP10=""),AND(CX10&gt;=DA$33,CX10&lt;&gt;"",CZ10&gt;=DA$37,CZ10&lt;&gt;"",CP10=""),AND(DX10&gt;=EK$33,DX10&lt;&gt;"",DZ10&gt;=EK$37,DZ10&lt;&gt;""),AND(EA10&gt;=EK$33,EA10&lt;&gt;"",EC10&gt;=EK$37,EC10&lt;&gt;""),AND(EE10&gt;=EK$33,EE10&lt;&gt;"",EG10&gt;=EK$37,EG10&lt;&gt;""),AND(EH10&gt;=EK$33,EH10&lt;&gt;"",EJ10&gt;=EK$37,EJ10&lt;&gt;""),AND(FF10&gt;=FS$33,FF10&lt;&gt;"",FH10&gt;=FS$37,FH10&lt;&gt;""),AND(FI10&gt;=FS$33,FI10&lt;&gt;"",FK10&gt;=FS$37,FK10&lt;&gt;""),AND(FM10&gt;=FS$33,FM10&lt;&gt;"",FO10&gt;=FS$37,FO10&lt;&gt;""),AND(FP10&gt;=FS$33,FP10&lt;&gt;"",FR10&gt;=FS$37,FR10&lt;&gt;""),AND(GN10&gt;=HA$33,GN10&lt;&gt;"",GP10&gt;=HA$37,GP10&lt;&gt;""),AND(GQ10&gt;=HA$33,GQ10&lt;&gt;"",GS10&gt;=HA$37,GS10&lt;&gt;""),AND(GU10&gt;=HA$33,GU10&lt;&gt;"",GW10&gt;=HA$37,GW10&lt;&gt;""),AND(GX10&gt;=HA$33,GX10&lt;&gt;"",GZ10&gt;=HA$37,GZ10&lt;&gt;""),AND(HV10&gt;=II$33,HV10&lt;&gt;"",HX10&gt;=II$37,HX10&lt;&gt;""),AND(HY10&gt;=II$33,HY10&lt;&gt;"",IA10&gt;=II$37,IA10&lt;&gt;""),AND(IC10&gt;=II$33,IC10&lt;&gt;"",IE10&gt;=II$37,IE10&lt;&gt;""),AND(IF10&gt;=II$33,IF10&lt;&gt;"",IH10&gt;=II$37,IH10&lt;&gt;""),AND(JD10&gt;=JQ$33,JD10&lt;&gt;"",JF10&gt;=JQ$37,JF10&lt;&gt;""),AND(JG10&gt;=JQ$33,JG10&lt;&gt;"",JI10&gt;=JQ$37,JI10&lt;&gt;""),AND(JK10&gt;=JQ$33,JK10&lt;&gt;"",JM10&gt;=JQ$37,JM10&lt;&gt;""),AND(JN10&gt;=JQ$33,JN10&lt;&gt;"",JP10&gt;=JQ$37,JP10&lt;&gt;""),AND(KL10&gt;=KY$33,KL10&lt;&gt;"",KN10&gt;=KY$37,KN10&lt;&gt;""),AND(KO10&gt;=KY$33,KO10&lt;&gt;"",KQ10&gt;=KY$37,KQ10&lt;&gt;""),AND(KS10&gt;=KY$33,KS10&lt;&gt;"",KU10&gt;=KY$37,KU10&lt;&gt;""),AND(KV10&gt;=KY$33,KV10&lt;&gt;"",KX10&gt;=KY$37,KX10&lt;&gt;""),AND(LT10&gt;=MG$33,LT10&lt;&gt;"",LV10&gt;=MG$37,LV10&lt;&gt;""),AND(LW10&gt;=MG$33,LW10&lt;&gt;"",LY10&gt;=MG$37,LY10&lt;&gt;""),AND(MA10&gt;=MG$33,MA10&lt;&gt;"",MC10&gt;=MG$37,MC10&lt;&gt;""),AND(MD10&gt;=MG$33,MD10&lt;&gt;"",MF10&gt;=MG$37,MF10&lt;&gt;""),AND(NB10&gt;=NO$33,NB10&lt;&gt;"",ND10&gt;=NO$37,ND10&lt;&gt;""),AND(NE10&gt;=NO$33,NE10&lt;&gt;"",NG10&gt;=NO$37,NG10&lt;&gt;""),AND(NI10&gt;=NO$33,NI10&lt;&gt;"",NK10&gt;=NO$37,NK10&lt;&gt;""),AND(NL10&gt;=NO$33,NL10&lt;&gt;"",NN10&gt;=NO$37,NN10&lt;&gt;""),AND(OJ10&gt;=OW$33,OJ10&lt;&gt;"",OL10&gt;=OW$37,OL10&lt;&gt;""),AND(OM10&gt;=OW$33,OM10&lt;&gt;"",OO10&gt;=OW$37,OO10&lt;&gt;""),AND(OQ10&gt;=OW$33,OQ10&lt;&gt;"",OS10&gt;=OW$37,OS10&lt;&gt;""),AND(OT10&gt;=OW$33,OT10&lt;&gt;"",OV10&gt;=OW$37,OV10&lt;&gt;""),AND(PR10&gt;=QE$33,PR10&lt;&gt;"",PT10&gt;=QE$37,PT10&lt;&gt;""),AND(PU10&gt;=QE$33,PU10&lt;&gt;"",PW10&gt;=QE$37,PW10&lt;&gt;""),AND(PY10&gt;=QE$33,PY10&lt;&gt;"",QA10&gt;=QE$37,QA10&lt;&gt;""),AND(QB10&gt;=QE$33,QB10&lt;&gt;"",QD10&gt;=QE$37,QD10&lt;&gt;""),AND(QZ10&gt;=RM$33,QZ10&lt;&gt;"",RB10&gt;=RM$37,RB10&lt;&gt;""),AND(RC10&gt;=RM$33,RC10&lt;&gt;"",RE10&gt;=RM$37,RE10&lt;&gt;""),AND(RG10&gt;=RM$33,RG10&lt;&gt;"",RI10&gt;=RM$37,RI10&lt;&gt;""),AND(RJ10&gt;=RM$33,RJ10&lt;&gt;"",RL10&gt;=RM$37,RL10&lt;&gt;""),AND(SH10&gt;=SU$33,SH10&lt;&gt;"",SJ10&gt;=SU$37,SJ10&lt;&gt;""),AND(SK10&gt;=SU$33,SK10&lt;&gt;"",SM10&gt;=SU$37,SM10&lt;&gt;""),AND(SO10&gt;=SU$33,SO10&lt;&gt;"",SQ10&gt;=SU$37,SQ10&lt;&gt;""),AND(SR10&gt;=SU$33,SR10&lt;&gt;"",ST10&gt;=SU$37,ST10&lt;&gt;"")),"Merit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),"Excellence",IF(K10="P","Worlds Team",IF(H10="P","National Team","")))))</f>
        <v>National Team</v>
      </c>
      <c r="K10" s="3" t="str">
        <f>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P","")</f>
        <v/>
      </c>
      <c r="L10" s="8">
        <f>IF(COUNT(AQ10,AT10,BR10,BU10,CS10,CV10)&gt;0,LARGE((AQ10,AT10,BR10,BU10,CS10,CV10),1),0)</f>
        <v>54.440000000000005</v>
      </c>
      <c r="M10" s="8" t="str">
        <f t="shared" si="1"/>
        <v>2025 Elite Canada</v>
      </c>
      <c r="N10" s="8">
        <f>IF(COUNT(AQ10,AT10,BR10,BU10,CS10,CV10)&gt;1,LARGE((AQ10,AT10,BR10,BU10,CS10,CV10),2),0)</f>
        <v>53.64</v>
      </c>
      <c r="O10" s="8" t="str">
        <f t="shared" si="2"/>
        <v>2024 3rd Domestic Trial</v>
      </c>
      <c r="P10" s="8">
        <f>IF(COUNT(AQ10,AT10,BR10,BU10,CS10,CV10)&gt;2,MAX(AX10,BY10,CZ10,LARGE((AQ10,AT10,BR10,BU10,CS10,CV10),3)),IF(MAX(AX10,BY10,CZ10)&gt;0,MAX(AX10,BY10,CZ10),0))</f>
        <v>52.28</v>
      </c>
      <c r="Q10" s="8" t="str">
        <f t="shared" si="3"/>
        <v>2025 Nationals</v>
      </c>
      <c r="R10" s="8">
        <f t="shared" si="4"/>
        <v>14</v>
      </c>
      <c r="S10" s="8" t="str">
        <f t="shared" si="5"/>
        <v>2025 Nationals</v>
      </c>
      <c r="T10" s="8">
        <f>IF(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&gt;0,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,0)</f>
        <v>16.04</v>
      </c>
      <c r="U10" s="8" t="str">
        <f t="shared" si="6"/>
        <v>2024 3rd Domestic Trial</v>
      </c>
      <c r="V10" s="8" t="str">
        <f t="shared" si="7"/>
        <v/>
      </c>
      <c r="W10" s="11" t="str">
        <f t="shared" si="8"/>
        <v/>
      </c>
      <c r="X10" s="8" t="str">
        <f t="shared" si="9"/>
        <v/>
      </c>
      <c r="Y10" s="22">
        <v>14.8</v>
      </c>
      <c r="Z10" s="22">
        <v>9.3000000000000007</v>
      </c>
      <c r="AA10" s="22">
        <v>13.5</v>
      </c>
      <c r="AB10" s="22">
        <v>16.04</v>
      </c>
      <c r="AC10" s="22">
        <v>0</v>
      </c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>
        <f t="shared" si="10"/>
        <v>13.5</v>
      </c>
      <c r="AP10" s="38">
        <f t="shared" si="11"/>
        <v>16.04</v>
      </c>
      <c r="AQ10" s="40">
        <f t="shared" si="12"/>
        <v>53.64</v>
      </c>
      <c r="AR10" s="40" t="str">
        <f t="shared" si="13"/>
        <v/>
      </c>
      <c r="AS10" s="40" t="str">
        <f t="shared" si="14"/>
        <v/>
      </c>
      <c r="AT10" s="40" t="str">
        <f t="shared" si="15"/>
        <v/>
      </c>
      <c r="AU10" s="40">
        <f t="shared" si="16"/>
        <v>53.64</v>
      </c>
      <c r="AV10" s="40" t="str">
        <f t="shared" si="17"/>
        <v/>
      </c>
      <c r="AW10" s="40" t="str">
        <f t="shared" si="18"/>
        <v/>
      </c>
      <c r="AX10" s="40" t="str">
        <f t="shared" si="19"/>
        <v/>
      </c>
      <c r="AY10" s="40">
        <f t="shared" si="20"/>
        <v>53.64</v>
      </c>
      <c r="AZ10" s="26">
        <v>12.5</v>
      </c>
      <c r="BA10" s="26">
        <v>9.4</v>
      </c>
      <c r="BB10" s="26">
        <v>13.4</v>
      </c>
      <c r="BC10" s="26">
        <v>15.26</v>
      </c>
      <c r="BD10" s="26">
        <v>0</v>
      </c>
      <c r="BE10" s="26">
        <v>15.4</v>
      </c>
      <c r="BF10" s="26">
        <v>9.6999999999999993</v>
      </c>
      <c r="BG10" s="26">
        <v>13.8</v>
      </c>
      <c r="BH10" s="26">
        <v>15.54</v>
      </c>
      <c r="BI10" s="26">
        <v>0</v>
      </c>
      <c r="BJ10" s="26">
        <v>12.6</v>
      </c>
      <c r="BK10" s="26">
        <v>7.8</v>
      </c>
      <c r="BL10" s="26">
        <v>12.3</v>
      </c>
      <c r="BM10" s="26">
        <v>13.72</v>
      </c>
      <c r="BN10" s="26">
        <v>0</v>
      </c>
      <c r="BO10" s="28"/>
      <c r="BP10" s="39">
        <f t="shared" si="21"/>
        <v>13.4</v>
      </c>
      <c r="BQ10" s="39">
        <f t="shared" si="22"/>
        <v>15.26</v>
      </c>
      <c r="BR10" s="11">
        <f t="shared" si="23"/>
        <v>50.559999999999995</v>
      </c>
      <c r="BS10" s="11">
        <f t="shared" si="24"/>
        <v>13.8</v>
      </c>
      <c r="BT10" s="11">
        <f t="shared" si="25"/>
        <v>15.54</v>
      </c>
      <c r="BU10" s="11">
        <f t="shared" si="26"/>
        <v>54.440000000000005</v>
      </c>
      <c r="BV10" s="11">
        <f t="shared" si="27"/>
        <v>54.440000000000005</v>
      </c>
      <c r="BW10" s="11">
        <f t="shared" si="28"/>
        <v>12.3</v>
      </c>
      <c r="BX10" s="11">
        <f t="shared" si="29"/>
        <v>13.72</v>
      </c>
      <c r="BY10" s="11">
        <f t="shared" si="30"/>
        <v>46.42</v>
      </c>
      <c r="BZ10" s="11">
        <f t="shared" si="31"/>
        <v>100.86000000000001</v>
      </c>
      <c r="CA10" s="22">
        <v>13.3</v>
      </c>
      <c r="CB10" s="22">
        <v>9</v>
      </c>
      <c r="CC10" s="22">
        <v>14</v>
      </c>
      <c r="CD10" s="22">
        <v>15.31</v>
      </c>
      <c r="CE10" s="22">
        <v>0</v>
      </c>
      <c r="CF10" s="22">
        <v>13.4</v>
      </c>
      <c r="CG10" s="22">
        <v>8.1999999999999993</v>
      </c>
      <c r="CH10" s="22">
        <v>10.3</v>
      </c>
      <c r="CI10" s="22">
        <v>13.58</v>
      </c>
      <c r="CJ10" s="22">
        <v>0</v>
      </c>
      <c r="CK10" s="22">
        <v>13.9</v>
      </c>
      <c r="CL10" s="22">
        <v>9.1999999999999993</v>
      </c>
      <c r="CM10" s="22">
        <v>14</v>
      </c>
      <c r="CN10" s="22">
        <v>15.18</v>
      </c>
      <c r="CO10" s="22">
        <v>0</v>
      </c>
      <c r="CP10" s="27"/>
      <c r="CQ10" s="38">
        <f t="shared" si="32"/>
        <v>14</v>
      </c>
      <c r="CR10" s="38">
        <f t="shared" si="33"/>
        <v>15.31</v>
      </c>
      <c r="CS10" s="40">
        <f t="shared" si="34"/>
        <v>51.61</v>
      </c>
      <c r="CT10" s="40">
        <f t="shared" si="35"/>
        <v>10.3</v>
      </c>
      <c r="CU10" s="40">
        <f t="shared" si="36"/>
        <v>13.58</v>
      </c>
      <c r="CV10" s="40">
        <f t="shared" si="37"/>
        <v>45.480000000000004</v>
      </c>
      <c r="CW10" s="40">
        <f t="shared" si="38"/>
        <v>51.61</v>
      </c>
      <c r="CX10" s="40">
        <f t="shared" si="39"/>
        <v>14</v>
      </c>
      <c r="CY10" s="40">
        <f t="shared" si="40"/>
        <v>15.18</v>
      </c>
      <c r="CZ10" s="40">
        <f t="shared" si="41"/>
        <v>52.28</v>
      </c>
      <c r="DA10" s="40">
        <f t="shared" si="42"/>
        <v>103.89</v>
      </c>
      <c r="DB10" s="50" t="str">
        <f t="shared" si="43"/>
        <v/>
      </c>
      <c r="DC10" s="50" t="str">
        <f t="shared" si="44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45"/>
        <v/>
      </c>
      <c r="DY10" s="40" t="str">
        <f t="shared" si="46"/>
        <v/>
      </c>
      <c r="DZ10" s="40" t="str">
        <f t="shared" si="47"/>
        <v/>
      </c>
      <c r="EA10" s="40" t="str">
        <f t="shared" si="48"/>
        <v/>
      </c>
      <c r="EB10" s="40" t="str">
        <f t="shared" si="49"/>
        <v/>
      </c>
      <c r="EC10" s="40" t="str">
        <f t="shared" si="50"/>
        <v/>
      </c>
      <c r="ED10" s="40" t="str">
        <f t="shared" si="51"/>
        <v/>
      </c>
      <c r="EE10" s="40" t="str">
        <f t="shared" si="52"/>
        <v/>
      </c>
      <c r="EF10" s="40" t="str">
        <f t="shared" si="53"/>
        <v/>
      </c>
      <c r="EG10" s="40" t="str">
        <f t="shared" si="54"/>
        <v/>
      </c>
      <c r="EH10" s="40" t="str">
        <f t="shared" si="55"/>
        <v/>
      </c>
      <c r="EI10" s="40" t="str">
        <f t="shared" si="56"/>
        <v/>
      </c>
      <c r="EJ10" s="40" t="str">
        <f t="shared" si="57"/>
        <v/>
      </c>
      <c r="EK10" s="40" t="str">
        <f t="shared" si="58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59"/>
        <v/>
      </c>
      <c r="FG10" s="11" t="str">
        <f t="shared" si="60"/>
        <v/>
      </c>
      <c r="FH10" s="11" t="str">
        <f t="shared" si="61"/>
        <v/>
      </c>
      <c r="FI10" s="11" t="str">
        <f t="shared" si="62"/>
        <v/>
      </c>
      <c r="FJ10" s="11" t="str">
        <f t="shared" si="63"/>
        <v/>
      </c>
      <c r="FK10" s="11" t="str">
        <f t="shared" si="64"/>
        <v/>
      </c>
      <c r="FL10" s="11" t="str">
        <f t="shared" si="65"/>
        <v/>
      </c>
      <c r="FM10" s="11" t="str">
        <f t="shared" si="66"/>
        <v/>
      </c>
      <c r="FN10" s="11" t="str">
        <f t="shared" si="67"/>
        <v/>
      </c>
      <c r="FO10" s="11" t="str">
        <f t="shared" si="68"/>
        <v/>
      </c>
      <c r="FP10" s="11" t="str">
        <f t="shared" si="69"/>
        <v/>
      </c>
      <c r="FQ10" s="11" t="str">
        <f t="shared" si="70"/>
        <v/>
      </c>
      <c r="FR10" s="11" t="str">
        <f t="shared" si="71"/>
        <v/>
      </c>
      <c r="FS10" s="11" t="str">
        <f t="shared" si="72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3"/>
        <v/>
      </c>
      <c r="GO10" s="40" t="str">
        <f t="shared" si="74"/>
        <v/>
      </c>
      <c r="GP10" s="40" t="str">
        <f t="shared" si="75"/>
        <v/>
      </c>
      <c r="GQ10" s="40" t="str">
        <f t="shared" si="76"/>
        <v/>
      </c>
      <c r="GR10" s="40" t="str">
        <f t="shared" si="77"/>
        <v/>
      </c>
      <c r="GS10" s="40" t="str">
        <f t="shared" si="78"/>
        <v/>
      </c>
      <c r="GT10" s="40" t="str">
        <f t="shared" si="79"/>
        <v/>
      </c>
      <c r="GU10" s="40" t="str">
        <f t="shared" si="80"/>
        <v/>
      </c>
      <c r="GV10" s="40" t="str">
        <f t="shared" si="81"/>
        <v/>
      </c>
      <c r="GW10" s="40" t="str">
        <f t="shared" si="82"/>
        <v/>
      </c>
      <c r="GX10" s="40" t="str">
        <f t="shared" si="83"/>
        <v/>
      </c>
      <c r="GY10" s="40" t="str">
        <f t="shared" si="84"/>
        <v/>
      </c>
      <c r="GZ10" s="40" t="str">
        <f t="shared" si="85"/>
        <v/>
      </c>
      <c r="HA10" s="40" t="str">
        <f t="shared" si="86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87"/>
        <v/>
      </c>
      <c r="HW10" s="11" t="str">
        <f t="shared" si="88"/>
        <v/>
      </c>
      <c r="HX10" s="11" t="str">
        <f t="shared" si="89"/>
        <v/>
      </c>
      <c r="HY10" s="11" t="str">
        <f t="shared" si="90"/>
        <v/>
      </c>
      <c r="HZ10" s="11" t="str">
        <f t="shared" si="91"/>
        <v/>
      </c>
      <c r="IA10" s="11" t="str">
        <f t="shared" si="92"/>
        <v/>
      </c>
      <c r="IB10" s="11" t="str">
        <f t="shared" si="93"/>
        <v/>
      </c>
      <c r="IC10" s="11" t="str">
        <f t="shared" si="94"/>
        <v/>
      </c>
      <c r="ID10" s="11" t="str">
        <f t="shared" si="95"/>
        <v/>
      </c>
      <c r="IE10" s="11" t="str">
        <f t="shared" si="96"/>
        <v/>
      </c>
      <c r="IF10" s="11" t="str">
        <f t="shared" si="97"/>
        <v/>
      </c>
      <c r="IG10" s="11" t="str">
        <f t="shared" si="98"/>
        <v/>
      </c>
      <c r="IH10" s="11" t="str">
        <f t="shared" si="99"/>
        <v/>
      </c>
      <c r="II10" s="11" t="str">
        <f t="shared" si="100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1"/>
        <v/>
      </c>
      <c r="JE10" s="40" t="str">
        <f t="shared" si="102"/>
        <v/>
      </c>
      <c r="JF10" s="40" t="str">
        <f t="shared" si="103"/>
        <v/>
      </c>
      <c r="JG10" s="40" t="str">
        <f t="shared" si="104"/>
        <v/>
      </c>
      <c r="JH10" s="40" t="str">
        <f t="shared" si="105"/>
        <v/>
      </c>
      <c r="JI10" s="40" t="str">
        <f t="shared" si="106"/>
        <v/>
      </c>
      <c r="JJ10" s="40" t="str">
        <f t="shared" si="107"/>
        <v/>
      </c>
      <c r="JK10" s="40" t="str">
        <f t="shared" si="108"/>
        <v/>
      </c>
      <c r="JL10" s="40" t="str">
        <f t="shared" si="109"/>
        <v/>
      </c>
      <c r="JM10" s="40" t="str">
        <f t="shared" si="110"/>
        <v/>
      </c>
      <c r="JN10" s="40" t="str">
        <f t="shared" si="111"/>
        <v/>
      </c>
      <c r="JO10" s="40" t="str">
        <f t="shared" si="112"/>
        <v/>
      </c>
      <c r="JP10" s="40" t="str">
        <f t="shared" si="113"/>
        <v/>
      </c>
      <c r="JQ10" s="40" t="str">
        <f t="shared" si="114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15"/>
        <v/>
      </c>
      <c r="KM10" s="11" t="str">
        <f t="shared" si="116"/>
        <v/>
      </c>
      <c r="KN10" s="11" t="str">
        <f t="shared" si="117"/>
        <v/>
      </c>
      <c r="KO10" s="11" t="str">
        <f t="shared" si="118"/>
        <v/>
      </c>
      <c r="KP10" s="11" t="str">
        <f t="shared" si="119"/>
        <v/>
      </c>
      <c r="KQ10" s="11" t="str">
        <f t="shared" si="120"/>
        <v/>
      </c>
      <c r="KR10" s="11" t="str">
        <f t="shared" si="121"/>
        <v/>
      </c>
      <c r="KS10" s="11" t="str">
        <f t="shared" si="122"/>
        <v/>
      </c>
      <c r="KT10" s="11" t="str">
        <f t="shared" si="123"/>
        <v/>
      </c>
      <c r="KU10" s="11" t="str">
        <f t="shared" si="124"/>
        <v/>
      </c>
      <c r="KV10" s="11" t="str">
        <f t="shared" si="125"/>
        <v/>
      </c>
      <c r="KW10" s="11" t="str">
        <f t="shared" si="126"/>
        <v/>
      </c>
      <c r="KX10" s="11" t="str">
        <f t="shared" si="127"/>
        <v/>
      </c>
      <c r="KY10" s="11" t="str">
        <f t="shared" si="128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29"/>
        <v/>
      </c>
      <c r="LU10" s="40" t="str">
        <f t="shared" si="130"/>
        <v/>
      </c>
      <c r="LV10" s="40" t="str">
        <f t="shared" si="131"/>
        <v/>
      </c>
      <c r="LW10" s="40" t="str">
        <f t="shared" si="132"/>
        <v/>
      </c>
      <c r="LX10" s="40" t="str">
        <f t="shared" si="133"/>
        <v/>
      </c>
      <c r="LY10" s="40" t="str">
        <f t="shared" si="134"/>
        <v/>
      </c>
      <c r="LZ10" s="40" t="str">
        <f t="shared" si="135"/>
        <v/>
      </c>
      <c r="MA10" s="40" t="str">
        <f t="shared" si="136"/>
        <v/>
      </c>
      <c r="MB10" s="40" t="str">
        <f t="shared" si="137"/>
        <v/>
      </c>
      <c r="MC10" s="40" t="str">
        <f t="shared" si="138"/>
        <v/>
      </c>
      <c r="MD10" s="40" t="str">
        <f t="shared" si="139"/>
        <v/>
      </c>
      <c r="ME10" s="40" t="str">
        <f t="shared" si="140"/>
        <v/>
      </c>
      <c r="MF10" s="40" t="str">
        <f t="shared" si="141"/>
        <v/>
      </c>
      <c r="MG10" s="40" t="str">
        <f t="shared" si="142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3"/>
        <v/>
      </c>
      <c r="NC10" s="11" t="str">
        <f t="shared" si="144"/>
        <v/>
      </c>
      <c r="ND10" s="11" t="str">
        <f t="shared" si="145"/>
        <v/>
      </c>
      <c r="NE10" s="11" t="str">
        <f t="shared" si="146"/>
        <v/>
      </c>
      <c r="NF10" s="11" t="str">
        <f t="shared" si="147"/>
        <v/>
      </c>
      <c r="NG10" s="11" t="str">
        <f t="shared" si="148"/>
        <v/>
      </c>
      <c r="NH10" s="11" t="str">
        <f t="shared" si="149"/>
        <v/>
      </c>
      <c r="NI10" s="11" t="str">
        <f t="shared" si="150"/>
        <v/>
      </c>
      <c r="NJ10" s="11" t="str">
        <f t="shared" si="151"/>
        <v/>
      </c>
      <c r="NK10" s="11" t="str">
        <f t="shared" si="152"/>
        <v/>
      </c>
      <c r="NL10" s="11" t="str">
        <f t="shared" si="153"/>
        <v/>
      </c>
      <c r="NM10" s="11" t="str">
        <f t="shared" si="154"/>
        <v/>
      </c>
      <c r="NN10" s="11" t="str">
        <f t="shared" si="155"/>
        <v/>
      </c>
      <c r="NO10" s="11" t="str">
        <f t="shared" si="156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57"/>
        <v/>
      </c>
      <c r="OK10" s="40" t="str">
        <f t="shared" si="158"/>
        <v/>
      </c>
      <c r="OL10" s="40" t="str">
        <f t="shared" si="159"/>
        <v/>
      </c>
      <c r="OM10" s="40" t="str">
        <f t="shared" si="160"/>
        <v/>
      </c>
      <c r="ON10" s="40" t="str">
        <f t="shared" si="161"/>
        <v/>
      </c>
      <c r="OO10" s="40" t="str">
        <f t="shared" si="162"/>
        <v/>
      </c>
      <c r="OP10" s="40" t="str">
        <f t="shared" si="163"/>
        <v/>
      </c>
      <c r="OQ10" s="40" t="str">
        <f t="shared" si="164"/>
        <v/>
      </c>
      <c r="OR10" s="40" t="str">
        <f t="shared" si="165"/>
        <v/>
      </c>
      <c r="OS10" s="40" t="str">
        <f t="shared" si="166"/>
        <v/>
      </c>
      <c r="OT10" s="40" t="str">
        <f t="shared" si="167"/>
        <v/>
      </c>
      <c r="OU10" s="40" t="str">
        <f t="shared" si="168"/>
        <v/>
      </c>
      <c r="OV10" s="40" t="str">
        <f t="shared" si="169"/>
        <v/>
      </c>
      <c r="OW10" s="40" t="str">
        <f t="shared" si="170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1"/>
        <v/>
      </c>
      <c r="PS10" s="11" t="str">
        <f t="shared" si="172"/>
        <v/>
      </c>
      <c r="PT10" s="11" t="str">
        <f t="shared" si="173"/>
        <v/>
      </c>
      <c r="PU10" s="11" t="str">
        <f t="shared" si="174"/>
        <v/>
      </c>
      <c r="PV10" s="11" t="str">
        <f t="shared" si="175"/>
        <v/>
      </c>
      <c r="PW10" s="11" t="str">
        <f t="shared" si="176"/>
        <v/>
      </c>
      <c r="PX10" s="11" t="str">
        <f t="shared" si="177"/>
        <v/>
      </c>
      <c r="PY10" s="11" t="str">
        <f t="shared" si="178"/>
        <v/>
      </c>
      <c r="PZ10" s="11" t="str">
        <f t="shared" si="179"/>
        <v/>
      </c>
      <c r="QA10" s="11" t="str">
        <f t="shared" si="180"/>
        <v/>
      </c>
      <c r="QB10" s="11" t="str">
        <f t="shared" si="181"/>
        <v/>
      </c>
      <c r="QC10" s="11" t="str">
        <f t="shared" si="182"/>
        <v/>
      </c>
      <c r="QD10" s="11" t="str">
        <f t="shared" si="183"/>
        <v/>
      </c>
      <c r="QE10" s="11" t="str">
        <f t="shared" si="184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85"/>
        <v/>
      </c>
      <c r="RA10" s="40" t="str">
        <f t="shared" si="186"/>
        <v/>
      </c>
      <c r="RB10" s="40" t="str">
        <f t="shared" si="187"/>
        <v/>
      </c>
      <c r="RC10" s="40" t="str">
        <f t="shared" si="188"/>
        <v/>
      </c>
      <c r="RD10" s="40" t="str">
        <f t="shared" si="189"/>
        <v/>
      </c>
      <c r="RE10" s="40" t="str">
        <f t="shared" si="190"/>
        <v/>
      </c>
      <c r="RF10" s="40" t="str">
        <f t="shared" si="191"/>
        <v/>
      </c>
      <c r="RG10" s="40" t="str">
        <f t="shared" si="192"/>
        <v/>
      </c>
      <c r="RH10" s="40" t="str">
        <f t="shared" si="193"/>
        <v/>
      </c>
      <c r="RI10" s="40" t="str">
        <f t="shared" si="194"/>
        <v/>
      </c>
      <c r="RJ10" s="40" t="str">
        <f t="shared" si="195"/>
        <v/>
      </c>
      <c r="RK10" s="40" t="str">
        <f t="shared" si="196"/>
        <v/>
      </c>
      <c r="RL10" s="40" t="str">
        <f t="shared" si="197"/>
        <v/>
      </c>
      <c r="RM10" s="40" t="str">
        <f t="shared" si="198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199"/>
        <v/>
      </c>
      <c r="SI10" s="11" t="str">
        <f t="shared" si="200"/>
        <v/>
      </c>
      <c r="SJ10" s="11" t="str">
        <f t="shared" si="201"/>
        <v/>
      </c>
      <c r="SK10" s="11" t="str">
        <f t="shared" si="202"/>
        <v/>
      </c>
      <c r="SL10" s="11" t="str">
        <f t="shared" si="203"/>
        <v/>
      </c>
      <c r="SM10" s="11" t="str">
        <f t="shared" si="204"/>
        <v/>
      </c>
      <c r="SN10" s="11" t="str">
        <f t="shared" si="205"/>
        <v/>
      </c>
      <c r="SO10" s="11" t="str">
        <f t="shared" si="206"/>
        <v/>
      </c>
      <c r="SP10" s="11" t="str">
        <f t="shared" si="207"/>
        <v/>
      </c>
      <c r="SQ10" s="11" t="str">
        <f t="shared" si="208"/>
        <v/>
      </c>
      <c r="SR10" s="11" t="str">
        <f t="shared" si="209"/>
        <v/>
      </c>
      <c r="SS10" s="11" t="str">
        <f t="shared" si="210"/>
        <v/>
      </c>
      <c r="ST10" s="11" t="str">
        <f t="shared" si="211"/>
        <v/>
      </c>
      <c r="SU10" s="11" t="str">
        <f t="shared" si="212"/>
        <v/>
      </c>
      <c r="SV10" s="22">
        <f t="shared" si="213"/>
        <v>12.9</v>
      </c>
      <c r="SW10" s="22">
        <f t="shared" si="214"/>
        <v>9.1999999999999993</v>
      </c>
      <c r="SX10" s="22">
        <f t="shared" si="215"/>
        <v>13.7</v>
      </c>
      <c r="SY10" s="22">
        <f t="shared" si="216"/>
        <v>15.285</v>
      </c>
      <c r="SZ10" s="22">
        <f t="shared" si="217"/>
        <v>0</v>
      </c>
      <c r="TA10" s="22">
        <f t="shared" si="218"/>
        <v>14.4</v>
      </c>
      <c r="TB10" s="22">
        <f t="shared" si="219"/>
        <v>8.9499999999999993</v>
      </c>
      <c r="TC10" s="22">
        <f t="shared" si="220"/>
        <v>12.05</v>
      </c>
      <c r="TD10" s="22">
        <f t="shared" si="221"/>
        <v>14.559999999999999</v>
      </c>
      <c r="TE10" s="22">
        <f t="shared" si="222"/>
        <v>0</v>
      </c>
      <c r="TF10" s="22">
        <f t="shared" si="223"/>
        <v>13.25</v>
      </c>
      <c r="TG10" s="22">
        <f t="shared" si="224"/>
        <v>8.5</v>
      </c>
      <c r="TH10" s="22">
        <f t="shared" si="225"/>
        <v>13.15</v>
      </c>
      <c r="TI10" s="22">
        <f t="shared" si="226"/>
        <v>14.45</v>
      </c>
      <c r="TJ10" s="22">
        <f t="shared" si="227"/>
        <v>0</v>
      </c>
      <c r="TK10" s="27" t="s">
        <v>46</v>
      </c>
      <c r="TL10" s="40">
        <f t="shared" si="228"/>
        <v>13.7</v>
      </c>
      <c r="TM10" s="40">
        <f t="shared" si="229"/>
        <v>15.285</v>
      </c>
      <c r="TN10" s="40">
        <f t="shared" si="230"/>
        <v>51.084999999999994</v>
      </c>
      <c r="TO10" s="40">
        <f t="shared" si="231"/>
        <v>12.05</v>
      </c>
      <c r="TP10" s="40">
        <f t="shared" si="232"/>
        <v>14.559999999999999</v>
      </c>
      <c r="TQ10" s="40">
        <f t="shared" si="233"/>
        <v>49.960000000000008</v>
      </c>
      <c r="TR10" s="40">
        <f t="shared" si="234"/>
        <v>51.084999999999994</v>
      </c>
      <c r="TS10" s="40">
        <f t="shared" si="235"/>
        <v>13.15</v>
      </c>
      <c r="TT10" s="40">
        <f t="shared" si="236"/>
        <v>14.45</v>
      </c>
      <c r="TU10" s="40">
        <f t="shared" si="237"/>
        <v>49.349999999999994</v>
      </c>
      <c r="TV10" s="40">
        <f t="shared" si="238"/>
        <v>100.43499999999999</v>
      </c>
    </row>
    <row r="11" spans="1:542" x14ac:dyDescent="0.2">
      <c r="A11" s="4" cm="1">
        <f t="array" ref="A11">IF(AND(J11&lt;&gt;"",J11&lt;&gt;"No DD"),SUMPRODUCT((J$4:J$28&lt;&gt;"")*(J$4:J$28&lt;&gt;"No DD")*(F$4:F$28&gt;F11))+1,IF(J11="No DD",SUMPRODUCT((J$4:J$28="No DD")*(F$4:F$28&gt;F11))+1+SUMPRODUCT((J$4:J$28&lt;&gt;"")*(J$4:J$28&lt;&gt;"No DD")),""))</f>
        <v>8</v>
      </c>
      <c r="B11" s="4" cm="1">
        <f t="array" ref="B11">IF(AND(J11&lt;&gt;"",J11&lt;&gt;"No DD",G11=""),SUMPRODUCT((J$4:J$28&lt;&gt;"")*(J$4:J$28&lt;&gt;"No DD")*(G$4:G$28="")*(F$4:F$28&gt;F11))+1,IF(J11="No DD",SUMPRODUCT((J$4:J$28="No DD")*(F$4:F$28&gt;F11)*(G$4:G$28=""))+1+SUMPRODUCT((J$4:J$28&lt;&gt;"")*(G$4:G$28="")*(J$4:J$28&lt;&gt;"No DD")),""))</f>
        <v>5</v>
      </c>
      <c r="C11" s="5" t="s">
        <v>159</v>
      </c>
      <c r="D11" s="4" t="s">
        <v>3</v>
      </c>
      <c r="E11" s="4">
        <v>2007</v>
      </c>
      <c r="F11" s="9">
        <f t="shared" si="0"/>
        <v>189.15001891500538</v>
      </c>
      <c r="G11" s="64"/>
      <c r="H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P","")</f>
        <v>P</v>
      </c>
      <c r="I11" s="3" t="str">
        <f>IF(OR(AND(AQ11&gt;=AY$34,AQ11&lt;&gt;"",AN11=""),AND(AT11&gt;=AY$34,AT11&lt;&gt;"",AN11=""),AND(AX11&gt;=AY$34,AX11&lt;&gt;"",AN11=""),AND(BR11&gt;=BZ$34,BR11&lt;&gt;"",BO11=""),AND(BU11&gt;=BZ$34,BU11&lt;&gt;"",BO11=""),AND(BY11&gt;=BZ$34,BY11&lt;&gt;"",BO11=""),AND(CS11&gt;=DA$34,CS11&lt;&gt;"",CP11=""),AND(CV11&gt;=DA$34,CV11&lt;&gt;"",CP11=""),AND(CZ11&gt;=DA$34,CZ11&lt;&gt;"",CP11=""),AND(DZ11&gt;=EK$34,DZ11&lt;&gt;""),AND(EC11&gt;=EK$34,EC11&lt;&gt;""),AND(EG11&gt;=EK$34,EG11&lt;&gt;""),AND(EJ11&gt;=EK$34,EJ11&lt;&gt;""),AND(FH11&gt;=FS$34,FH11&lt;&gt;""),AND(FK11&gt;=FS$34,FK11&lt;&gt;""),AND(FO11&gt;=FS$34,FO11&lt;&gt;""),AND(FR11&gt;=FS$34,FR11&lt;&gt;""),AND(GP11&gt;=HA$34,GP11&lt;&gt;""),AND(GS11&gt;=HA$34,GS11&lt;&gt;""),AND(GW11&gt;=HA$34,GW11&lt;&gt;""),AND(GZ11&gt;=HA$34,GZ11&lt;&gt;""),AND(HX11&gt;=II$34,HX11&lt;&gt;""),AND(IA11&gt;=II$34,IA11&lt;&gt;""),AND(IE11&gt;=II$34,IE11&lt;&gt;""),AND(IH11&gt;=II$34,IH11&lt;&gt;""),AND(JF11&gt;=JQ$34,JF11&lt;&gt;""),AND(JI11&gt;=JQ$34,JI11&lt;&gt;""),AND(JM11&gt;=JQ$34,JM11&lt;&gt;""),AND(JP11&gt;=JQ$34,JP11&lt;&gt;""),AND(KN11&gt;=KY$34,KN11&lt;&gt;""),AND(KQ11&gt;=KY$34,KQ11&lt;&gt;""),AND(KU11&gt;=KY$34,KU11&lt;&gt;""),AND(KX11&gt;=KY$34,KX11&lt;&gt;""),AND(LV11&gt;=MG$34,LV11&lt;&gt;""),AND(LY11&gt;=MG$34,LY11&lt;&gt;""),AND(MC11&gt;=MG$34,MC11&lt;&gt;""),AND(MF11&gt;=MG$34,MF11&lt;&gt;""),AND(ND11&gt;=NO$34,ND11&lt;&gt;""),AND(NG11&gt;=NO$34,NG11&lt;&gt;""),AND(NK11&gt;=NO$34,NK11&lt;&gt;""),AND(NN11&gt;=NO$34,NN11&lt;&gt;""),AND(OL11&gt;=OW$34,OL11&lt;&gt;""),AND(OO11&gt;=OW$34,OO11&lt;&gt;""),AND(OS11&gt;=OW$34,OS11&lt;&gt;""),AND(OV11&gt;=OW$34,OV11&lt;&gt;""),AND(PT11&gt;=QE$34,PT11&lt;&gt;""),AND(PW11&gt;=QE$34,PW11&lt;&gt;""),AND(QA11&gt;=QE$34,QA11&lt;&gt;""),AND(QD11&gt;=QE$34,QD11&lt;&gt;""),AND(RB11&gt;=RM$34,RB11&lt;&gt;""),AND(RE11&gt;=RM$34,RE11&lt;&gt;""),AND(RI11&gt;=RM$34,RI11&lt;&gt;""),AND(RL11&gt;=RM$34,RL11&lt;&gt;""),AND(SJ11&gt;=SU$34,SJ11&lt;&gt;""),AND(SM11&gt;=SU$34,SM11&lt;&gt;""),AND(SQ11&gt;=SU$34,SQ11&lt;&gt;""),AND(ST11&gt;=SU$34,ST11&lt;&gt;"")),"P","")</f>
        <v>P</v>
      </c>
      <c r="J11" s="36" t="str">
        <f>IF(AND(I11="P",H11=""),"No DD",IF(OR(AND(AO11&gt;=AY$33,AO11&lt;&gt;"",AQ11&gt;=AY$37,AQ11&lt;&gt;"",AN11=""),AND(AR11&gt;=AY$33,AR11&lt;&gt;"",AT11&gt;=AY$37,AT11&lt;&gt;"",AN11=""),AND(AV11&gt;=AY$33,AV11&lt;&gt;"",AX11&gt;=AY$37,AX11&lt;&gt;"",AN11=""),AND(BP11&gt;=BZ$33,BP11&lt;&gt;"",BR11&gt;=BZ$37,BR11&lt;&gt;"",BO11=""),AND(BS11&gt;=BZ$33,BS11&lt;&gt;"",BU11&gt;=BZ$37,BU11&lt;&gt;"",BO11=""),AND(BW11&gt;=BZ$33,BW11&lt;&gt;"",BY11&gt;=BZ$37,BY11&lt;&gt;"",BO11=""),AND(CQ11&gt;=DA$33,CQ11&lt;&gt;"",CS11&gt;=DA$37,CS11&lt;&gt;"",CP11=""),AND(CT11&gt;=DA$33,CT11&lt;&gt;"",CV11&gt;=DA$37,CV11&lt;&gt;"",CP11=""),AND(CX11&gt;=DA$33,CX11&lt;&gt;"",CZ11&gt;=DA$37,CZ11&lt;&gt;"",CP11=""),AND(DX11&gt;=EK$33,DX11&lt;&gt;"",DZ11&gt;=EK$37,DZ11&lt;&gt;""),AND(EA11&gt;=EK$33,EA11&lt;&gt;"",EC11&gt;=EK$37,EC11&lt;&gt;""),AND(EE11&gt;=EK$33,EE11&lt;&gt;"",EG11&gt;=EK$37,EG11&lt;&gt;""),AND(EH11&gt;=EK$33,EH11&lt;&gt;"",EJ11&gt;=EK$37,EJ11&lt;&gt;""),AND(FF11&gt;=FS$33,FF11&lt;&gt;"",FH11&gt;=FS$37,FH11&lt;&gt;""),AND(FI11&gt;=FS$33,FI11&lt;&gt;"",FK11&gt;=FS$37,FK11&lt;&gt;""),AND(FM11&gt;=FS$33,FM11&lt;&gt;"",FO11&gt;=FS$37,FO11&lt;&gt;""),AND(FP11&gt;=FS$33,FP11&lt;&gt;"",FR11&gt;=FS$37,FR11&lt;&gt;""),AND(GN11&gt;=HA$33,GN11&lt;&gt;"",GP11&gt;=HA$37,GP11&lt;&gt;""),AND(GQ11&gt;=HA$33,GQ11&lt;&gt;"",GS11&gt;=HA$37,GS11&lt;&gt;""),AND(GU11&gt;=HA$33,GU11&lt;&gt;"",GW11&gt;=HA$37,GW11&lt;&gt;""),AND(GX11&gt;=HA$33,GX11&lt;&gt;"",GZ11&gt;=HA$37,GZ11&lt;&gt;""),AND(HV11&gt;=II$33,HV11&lt;&gt;"",HX11&gt;=II$37,HX11&lt;&gt;""),AND(HY11&gt;=II$33,HY11&lt;&gt;"",IA11&gt;=II$37,IA11&lt;&gt;""),AND(IC11&gt;=II$33,IC11&lt;&gt;"",IE11&gt;=II$37,IE11&lt;&gt;""),AND(IF11&gt;=II$33,IF11&lt;&gt;"",IH11&gt;=II$37,IH11&lt;&gt;""),AND(JD11&gt;=JQ$33,JD11&lt;&gt;"",JF11&gt;=JQ$37,JF11&lt;&gt;""),AND(JG11&gt;=JQ$33,JG11&lt;&gt;"",JI11&gt;=JQ$37,JI11&lt;&gt;""),AND(JK11&gt;=JQ$33,JK11&lt;&gt;"",JM11&gt;=JQ$37,JM11&lt;&gt;""),AND(JN11&gt;=JQ$33,JN11&lt;&gt;"",JP11&gt;=JQ$37,JP11&lt;&gt;""),AND(KL11&gt;=KY$33,KL11&lt;&gt;"",KN11&gt;=KY$37,KN11&lt;&gt;""),AND(KO11&gt;=KY$33,KO11&lt;&gt;"",KQ11&gt;=KY$37,KQ11&lt;&gt;""),AND(KS11&gt;=KY$33,KS11&lt;&gt;"",KU11&gt;=KY$37,KU11&lt;&gt;""),AND(KV11&gt;=KY$33,KV11&lt;&gt;"",KX11&gt;=KY$37,KX11&lt;&gt;""),AND(LT11&gt;=MG$33,LT11&lt;&gt;"",LV11&gt;=MG$37,LV11&lt;&gt;""),AND(LW11&gt;=MG$33,LW11&lt;&gt;"",LY11&gt;=MG$37,LY11&lt;&gt;""),AND(MA11&gt;=MG$33,MA11&lt;&gt;"",MC11&gt;=MG$37,MC11&lt;&gt;""),AND(MD11&gt;=MG$33,MD11&lt;&gt;"",MF11&gt;=MG$37,MF11&lt;&gt;""),AND(NB11&gt;=NO$33,NB11&lt;&gt;"",ND11&gt;=NO$37,ND11&lt;&gt;""),AND(NE11&gt;=NO$33,NE11&lt;&gt;"",NG11&gt;=NO$37,NG11&lt;&gt;""),AND(NI11&gt;=NO$33,NI11&lt;&gt;"",NK11&gt;=NO$37,NK11&lt;&gt;""),AND(NL11&gt;=NO$33,NL11&lt;&gt;"",NN11&gt;=NO$37,NN11&lt;&gt;""),AND(OJ11&gt;=OW$33,OJ11&lt;&gt;"",OL11&gt;=OW$37,OL11&lt;&gt;""),AND(OM11&gt;=OW$33,OM11&lt;&gt;"",OO11&gt;=OW$37,OO11&lt;&gt;""),AND(OQ11&gt;=OW$33,OQ11&lt;&gt;"",OS11&gt;=OW$37,OS11&lt;&gt;""),AND(OT11&gt;=OW$33,OT11&lt;&gt;"",OV11&gt;=OW$37,OV11&lt;&gt;""),AND(PR11&gt;=QE$33,PR11&lt;&gt;"",PT11&gt;=QE$37,PT11&lt;&gt;""),AND(PU11&gt;=QE$33,PU11&lt;&gt;"",PW11&gt;=QE$37,PW11&lt;&gt;""),AND(PY11&gt;=QE$33,PY11&lt;&gt;"",QA11&gt;=QE$37,QA11&lt;&gt;""),AND(QB11&gt;=QE$33,QB11&lt;&gt;"",QD11&gt;=QE$37,QD11&lt;&gt;""),AND(QZ11&gt;=RM$33,QZ11&lt;&gt;"",RB11&gt;=RM$37,RB11&lt;&gt;""),AND(RC11&gt;=RM$33,RC11&lt;&gt;"",RE11&gt;=RM$37,RE11&lt;&gt;""),AND(RG11&gt;=RM$33,RG11&lt;&gt;"",RI11&gt;=RM$37,RI11&lt;&gt;""),AND(RJ11&gt;=RM$33,RJ11&lt;&gt;"",RL11&gt;=RM$37,RL11&lt;&gt;""),AND(SH11&gt;=SU$33,SH11&lt;&gt;"",SJ11&gt;=SU$37,SJ11&lt;&gt;""),AND(SK11&gt;=SU$33,SK11&lt;&gt;"",SM11&gt;=SU$37,SM11&lt;&gt;""),AND(SO11&gt;=SU$33,SO11&lt;&gt;"",SQ11&gt;=SU$37,SQ11&lt;&gt;""),AND(SR11&gt;=SU$33,SR11&lt;&gt;"",ST11&gt;=SU$37,ST11&lt;&gt;"")),"Merit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),"Excellence",IF(K11="P","Worlds Team",IF(H11="P","National Team","")))))</f>
        <v>National Team</v>
      </c>
      <c r="K11" s="3" t="str">
        <f>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P","")</f>
        <v/>
      </c>
      <c r="L11" s="8">
        <f>IF(COUNT(AQ11,AT11,BR11,BU11,CS11,CV11)&gt;0,LARGE((AQ11,AT11,BR11,BU11,CS11,CV11),1),0)</f>
        <v>53.67</v>
      </c>
      <c r="M11" s="8" t="str">
        <f t="shared" si="1"/>
        <v>2024 3rd Domestic Trial</v>
      </c>
      <c r="N11" s="8">
        <f>IF(COUNT(AQ11,AT11,BR11,BU11,CS11,CV11)&gt;1,LARGE((AQ11,AT11,BR11,BU11,CS11,CV11),2),0)</f>
        <v>50.37</v>
      </c>
      <c r="O11" s="8" t="str">
        <f t="shared" si="2"/>
        <v>2025 Elite Canada</v>
      </c>
      <c r="P11" s="8">
        <f>IF(COUNT(AQ11,AT11,BR11,BU11,CS11,CV11)&gt;2,MAX(AX11,BY11,CZ11,LARGE((AQ11,AT11,BR11,BU11,CS11,CV11),3)),IF(MAX(AX11,BY11,CZ11)&gt;0,MAX(AX11,BY11,CZ11),0))</f>
        <v>54.74</v>
      </c>
      <c r="Q11" s="8" t="str">
        <f t="shared" si="3"/>
        <v>2025 Elite Canada</v>
      </c>
      <c r="R11" s="8">
        <f t="shared" si="4"/>
        <v>15.1</v>
      </c>
      <c r="S11" s="8" t="str">
        <f t="shared" si="5"/>
        <v>2025 Elite Canada</v>
      </c>
      <c r="T11" s="8">
        <f>IF(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&gt;0,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,0)</f>
        <v>15.27</v>
      </c>
      <c r="U11" s="8" t="str">
        <f t="shared" si="6"/>
        <v>2025 Elite Canada</v>
      </c>
      <c r="V11" s="8" t="str">
        <f t="shared" si="7"/>
        <v/>
      </c>
      <c r="W11" s="11" t="str">
        <f t="shared" si="8"/>
        <v/>
      </c>
      <c r="X11" s="8" t="str">
        <f t="shared" si="9"/>
        <v/>
      </c>
      <c r="Y11" s="22">
        <v>15.6</v>
      </c>
      <c r="Z11" s="22">
        <v>9.1999999999999993</v>
      </c>
      <c r="AA11" s="22">
        <v>13.6</v>
      </c>
      <c r="AB11" s="22">
        <v>15.27</v>
      </c>
      <c r="AC11" s="22">
        <v>0</v>
      </c>
      <c r="AD11" s="22">
        <v>14.8</v>
      </c>
      <c r="AE11" s="22">
        <v>8.4</v>
      </c>
      <c r="AF11" s="22">
        <v>11.3</v>
      </c>
      <c r="AG11" s="22">
        <v>15.09</v>
      </c>
      <c r="AH11" s="22">
        <v>0</v>
      </c>
      <c r="AI11" s="22">
        <v>13.7</v>
      </c>
      <c r="AJ11" s="22">
        <v>8.1999999999999993</v>
      </c>
      <c r="AK11" s="22">
        <v>10.9</v>
      </c>
      <c r="AL11" s="22">
        <v>13.71</v>
      </c>
      <c r="AM11" s="22">
        <v>0</v>
      </c>
      <c r="AN11" s="27"/>
      <c r="AO11" s="38">
        <f t="shared" si="10"/>
        <v>13.6</v>
      </c>
      <c r="AP11" s="38">
        <f t="shared" si="11"/>
        <v>15.27</v>
      </c>
      <c r="AQ11" s="40">
        <f t="shared" si="12"/>
        <v>53.67</v>
      </c>
      <c r="AR11" s="40">
        <f t="shared" si="13"/>
        <v>11.3</v>
      </c>
      <c r="AS11" s="40">
        <f t="shared" si="14"/>
        <v>15.09</v>
      </c>
      <c r="AT11" s="40">
        <f t="shared" si="15"/>
        <v>49.59</v>
      </c>
      <c r="AU11" s="40">
        <f t="shared" si="16"/>
        <v>53.67</v>
      </c>
      <c r="AV11" s="40">
        <f t="shared" si="17"/>
        <v>10.9</v>
      </c>
      <c r="AW11" s="40">
        <f t="shared" si="18"/>
        <v>13.71</v>
      </c>
      <c r="AX11" s="40">
        <f t="shared" si="19"/>
        <v>46.51</v>
      </c>
      <c r="AY11" s="40">
        <f t="shared" si="20"/>
        <v>100.18</v>
      </c>
      <c r="AZ11" s="26">
        <v>12.2</v>
      </c>
      <c r="BA11" s="26">
        <v>8.4</v>
      </c>
      <c r="BB11" s="26">
        <v>12.8</v>
      </c>
      <c r="BC11" s="26">
        <v>13.33</v>
      </c>
      <c r="BD11" s="26">
        <v>0.2</v>
      </c>
      <c r="BE11" s="26">
        <v>15.2</v>
      </c>
      <c r="BF11" s="26">
        <v>9.1999999999999993</v>
      </c>
      <c r="BG11" s="26">
        <v>12.6</v>
      </c>
      <c r="BH11" s="26">
        <v>15.27</v>
      </c>
      <c r="BI11" s="26">
        <v>1.9</v>
      </c>
      <c r="BJ11" s="26">
        <v>15.3</v>
      </c>
      <c r="BK11" s="26">
        <v>9.1</v>
      </c>
      <c r="BL11" s="26">
        <v>15.1</v>
      </c>
      <c r="BM11" s="26">
        <v>15.24</v>
      </c>
      <c r="BN11" s="26">
        <v>0</v>
      </c>
      <c r="BO11" s="28"/>
      <c r="BP11" s="39">
        <f t="shared" si="21"/>
        <v>12.8</v>
      </c>
      <c r="BQ11" s="39">
        <f t="shared" si="22"/>
        <v>13.33</v>
      </c>
      <c r="BR11" s="11">
        <f t="shared" si="23"/>
        <v>46.53</v>
      </c>
      <c r="BS11" s="11">
        <f t="shared" si="24"/>
        <v>12.6</v>
      </c>
      <c r="BT11" s="11">
        <f t="shared" si="25"/>
        <v>15.27</v>
      </c>
      <c r="BU11" s="11">
        <f t="shared" si="26"/>
        <v>50.37</v>
      </c>
      <c r="BV11" s="11">
        <f t="shared" si="27"/>
        <v>50.37</v>
      </c>
      <c r="BW11" s="11">
        <f t="shared" si="28"/>
        <v>15.1</v>
      </c>
      <c r="BX11" s="11">
        <f t="shared" si="29"/>
        <v>15.24</v>
      </c>
      <c r="BY11" s="11">
        <f t="shared" si="30"/>
        <v>54.74</v>
      </c>
      <c r="BZ11" s="11">
        <f t="shared" si="31"/>
        <v>105.11</v>
      </c>
      <c r="CA11" s="22">
        <v>11.8</v>
      </c>
      <c r="CB11" s="22">
        <v>8.6999999999999993</v>
      </c>
      <c r="CC11" s="22">
        <v>10.5</v>
      </c>
      <c r="CD11" s="22">
        <v>15.53</v>
      </c>
      <c r="CE11" s="22">
        <v>4</v>
      </c>
      <c r="CF11" s="22">
        <v>10.4</v>
      </c>
      <c r="CG11" s="22">
        <v>8.4</v>
      </c>
      <c r="CH11" s="22">
        <v>9.6999999999999993</v>
      </c>
      <c r="CI11" s="22">
        <v>13.32</v>
      </c>
      <c r="CJ11" s="22">
        <v>0</v>
      </c>
      <c r="CK11" s="22"/>
      <c r="CL11" s="22"/>
      <c r="CM11" s="22"/>
      <c r="CN11" s="22"/>
      <c r="CO11" s="22"/>
      <c r="CP11" s="27"/>
      <c r="CQ11" s="38">
        <f t="shared" si="32"/>
        <v>10.5</v>
      </c>
      <c r="CR11" s="38">
        <f t="shared" si="33"/>
        <v>15.53</v>
      </c>
      <c r="CS11" s="40">
        <f t="shared" si="34"/>
        <v>42.53</v>
      </c>
      <c r="CT11" s="40">
        <f t="shared" si="35"/>
        <v>9.6999999999999993</v>
      </c>
      <c r="CU11" s="40">
        <f t="shared" si="36"/>
        <v>13.32</v>
      </c>
      <c r="CV11" s="40">
        <f t="shared" si="37"/>
        <v>41.82</v>
      </c>
      <c r="CW11" s="40">
        <f t="shared" si="38"/>
        <v>42.53</v>
      </c>
      <c r="CX11" s="40" t="str">
        <f t="shared" si="39"/>
        <v/>
      </c>
      <c r="CY11" s="40" t="str">
        <f t="shared" si="40"/>
        <v/>
      </c>
      <c r="CZ11" s="40" t="str">
        <f t="shared" si="41"/>
        <v/>
      </c>
      <c r="DA11" s="40">
        <f t="shared" si="42"/>
        <v>42.53</v>
      </c>
      <c r="DB11" s="50" t="str">
        <f t="shared" si="43"/>
        <v/>
      </c>
      <c r="DC11" s="50" t="str">
        <f t="shared" si="44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45"/>
        <v/>
      </c>
      <c r="DY11" s="40" t="str">
        <f t="shared" si="46"/>
        <v/>
      </c>
      <c r="DZ11" s="40" t="str">
        <f t="shared" si="47"/>
        <v/>
      </c>
      <c r="EA11" s="40" t="str">
        <f t="shared" si="48"/>
        <v/>
      </c>
      <c r="EB11" s="40" t="str">
        <f t="shared" si="49"/>
        <v/>
      </c>
      <c r="EC11" s="40" t="str">
        <f t="shared" si="50"/>
        <v/>
      </c>
      <c r="ED11" s="40" t="str">
        <f t="shared" si="51"/>
        <v/>
      </c>
      <c r="EE11" s="40" t="str">
        <f t="shared" si="52"/>
        <v/>
      </c>
      <c r="EF11" s="40" t="str">
        <f t="shared" si="53"/>
        <v/>
      </c>
      <c r="EG11" s="40" t="str">
        <f t="shared" si="54"/>
        <v/>
      </c>
      <c r="EH11" s="40" t="str">
        <f t="shared" si="55"/>
        <v/>
      </c>
      <c r="EI11" s="40" t="str">
        <f t="shared" si="56"/>
        <v/>
      </c>
      <c r="EJ11" s="40" t="str">
        <f t="shared" si="57"/>
        <v/>
      </c>
      <c r="EK11" s="40" t="str">
        <f t="shared" si="58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59"/>
        <v/>
      </c>
      <c r="FG11" s="11" t="str">
        <f t="shared" si="60"/>
        <v/>
      </c>
      <c r="FH11" s="11" t="str">
        <f t="shared" si="61"/>
        <v/>
      </c>
      <c r="FI11" s="11" t="str">
        <f t="shared" si="62"/>
        <v/>
      </c>
      <c r="FJ11" s="11" t="str">
        <f t="shared" si="63"/>
        <v/>
      </c>
      <c r="FK11" s="11" t="str">
        <f t="shared" si="64"/>
        <v/>
      </c>
      <c r="FL11" s="11" t="str">
        <f t="shared" si="65"/>
        <v/>
      </c>
      <c r="FM11" s="11" t="str">
        <f t="shared" si="66"/>
        <v/>
      </c>
      <c r="FN11" s="11" t="str">
        <f t="shared" si="67"/>
        <v/>
      </c>
      <c r="FO11" s="11" t="str">
        <f t="shared" si="68"/>
        <v/>
      </c>
      <c r="FP11" s="11" t="str">
        <f t="shared" si="69"/>
        <v/>
      </c>
      <c r="FQ11" s="11" t="str">
        <f t="shared" si="70"/>
        <v/>
      </c>
      <c r="FR11" s="11" t="str">
        <f t="shared" si="71"/>
        <v/>
      </c>
      <c r="FS11" s="11" t="str">
        <f t="shared" si="72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3"/>
        <v/>
      </c>
      <c r="GO11" s="40" t="str">
        <f t="shared" si="74"/>
        <v/>
      </c>
      <c r="GP11" s="40" t="str">
        <f t="shared" si="75"/>
        <v/>
      </c>
      <c r="GQ11" s="40" t="str">
        <f t="shared" si="76"/>
        <v/>
      </c>
      <c r="GR11" s="40" t="str">
        <f t="shared" si="77"/>
        <v/>
      </c>
      <c r="GS11" s="40" t="str">
        <f t="shared" si="78"/>
        <v/>
      </c>
      <c r="GT11" s="40" t="str">
        <f t="shared" si="79"/>
        <v/>
      </c>
      <c r="GU11" s="40" t="str">
        <f t="shared" si="80"/>
        <v/>
      </c>
      <c r="GV11" s="40" t="str">
        <f t="shared" si="81"/>
        <v/>
      </c>
      <c r="GW11" s="40" t="str">
        <f t="shared" si="82"/>
        <v/>
      </c>
      <c r="GX11" s="40" t="str">
        <f t="shared" si="83"/>
        <v/>
      </c>
      <c r="GY11" s="40" t="str">
        <f t="shared" si="84"/>
        <v/>
      </c>
      <c r="GZ11" s="40" t="str">
        <f t="shared" si="85"/>
        <v/>
      </c>
      <c r="HA11" s="40" t="str">
        <f t="shared" si="86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87"/>
        <v/>
      </c>
      <c r="HW11" s="11" t="str">
        <f t="shared" si="88"/>
        <v/>
      </c>
      <c r="HX11" s="11" t="str">
        <f t="shared" si="89"/>
        <v/>
      </c>
      <c r="HY11" s="11" t="str">
        <f t="shared" si="90"/>
        <v/>
      </c>
      <c r="HZ11" s="11" t="str">
        <f t="shared" si="91"/>
        <v/>
      </c>
      <c r="IA11" s="11" t="str">
        <f t="shared" si="92"/>
        <v/>
      </c>
      <c r="IB11" s="11" t="str">
        <f t="shared" si="93"/>
        <v/>
      </c>
      <c r="IC11" s="11" t="str">
        <f t="shared" si="94"/>
        <v/>
      </c>
      <c r="ID11" s="11" t="str">
        <f t="shared" si="95"/>
        <v/>
      </c>
      <c r="IE11" s="11" t="str">
        <f t="shared" si="96"/>
        <v/>
      </c>
      <c r="IF11" s="11" t="str">
        <f t="shared" si="97"/>
        <v/>
      </c>
      <c r="IG11" s="11" t="str">
        <f t="shared" si="98"/>
        <v/>
      </c>
      <c r="IH11" s="11" t="str">
        <f t="shared" si="99"/>
        <v/>
      </c>
      <c r="II11" s="11" t="str">
        <f t="shared" si="100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1"/>
        <v/>
      </c>
      <c r="JE11" s="40" t="str">
        <f t="shared" si="102"/>
        <v/>
      </c>
      <c r="JF11" s="40" t="str">
        <f t="shared" si="103"/>
        <v/>
      </c>
      <c r="JG11" s="40" t="str">
        <f t="shared" si="104"/>
        <v/>
      </c>
      <c r="JH11" s="40" t="str">
        <f t="shared" si="105"/>
        <v/>
      </c>
      <c r="JI11" s="40" t="str">
        <f t="shared" si="106"/>
        <v/>
      </c>
      <c r="JJ11" s="40" t="str">
        <f t="shared" si="107"/>
        <v/>
      </c>
      <c r="JK11" s="40" t="str">
        <f t="shared" si="108"/>
        <v/>
      </c>
      <c r="JL11" s="40" t="str">
        <f t="shared" si="109"/>
        <v/>
      </c>
      <c r="JM11" s="40" t="str">
        <f t="shared" si="110"/>
        <v/>
      </c>
      <c r="JN11" s="40" t="str">
        <f t="shared" si="111"/>
        <v/>
      </c>
      <c r="JO11" s="40" t="str">
        <f t="shared" si="112"/>
        <v/>
      </c>
      <c r="JP11" s="40" t="str">
        <f t="shared" si="113"/>
        <v/>
      </c>
      <c r="JQ11" s="40" t="str">
        <f t="shared" si="114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15"/>
        <v/>
      </c>
      <c r="KM11" s="11" t="str">
        <f t="shared" si="116"/>
        <v/>
      </c>
      <c r="KN11" s="11" t="str">
        <f t="shared" si="117"/>
        <v/>
      </c>
      <c r="KO11" s="11" t="str">
        <f t="shared" si="118"/>
        <v/>
      </c>
      <c r="KP11" s="11" t="str">
        <f t="shared" si="119"/>
        <v/>
      </c>
      <c r="KQ11" s="11" t="str">
        <f t="shared" si="120"/>
        <v/>
      </c>
      <c r="KR11" s="11" t="str">
        <f t="shared" si="121"/>
        <v/>
      </c>
      <c r="KS11" s="11" t="str">
        <f t="shared" si="122"/>
        <v/>
      </c>
      <c r="KT11" s="11" t="str">
        <f t="shared" si="123"/>
        <v/>
      </c>
      <c r="KU11" s="11" t="str">
        <f t="shared" si="124"/>
        <v/>
      </c>
      <c r="KV11" s="11" t="str">
        <f t="shared" si="125"/>
        <v/>
      </c>
      <c r="KW11" s="11" t="str">
        <f t="shared" si="126"/>
        <v/>
      </c>
      <c r="KX11" s="11" t="str">
        <f t="shared" si="127"/>
        <v/>
      </c>
      <c r="KY11" s="11" t="str">
        <f t="shared" si="128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29"/>
        <v/>
      </c>
      <c r="LU11" s="40" t="str">
        <f t="shared" si="130"/>
        <v/>
      </c>
      <c r="LV11" s="40" t="str">
        <f t="shared" si="131"/>
        <v/>
      </c>
      <c r="LW11" s="40" t="str">
        <f t="shared" si="132"/>
        <v/>
      </c>
      <c r="LX11" s="40" t="str">
        <f t="shared" si="133"/>
        <v/>
      </c>
      <c r="LY11" s="40" t="str">
        <f t="shared" si="134"/>
        <v/>
      </c>
      <c r="LZ11" s="40" t="str">
        <f t="shared" si="135"/>
        <v/>
      </c>
      <c r="MA11" s="40" t="str">
        <f t="shared" si="136"/>
        <v/>
      </c>
      <c r="MB11" s="40" t="str">
        <f t="shared" si="137"/>
        <v/>
      </c>
      <c r="MC11" s="40" t="str">
        <f t="shared" si="138"/>
        <v/>
      </c>
      <c r="MD11" s="40" t="str">
        <f t="shared" si="139"/>
        <v/>
      </c>
      <c r="ME11" s="40" t="str">
        <f t="shared" si="140"/>
        <v/>
      </c>
      <c r="MF11" s="40" t="str">
        <f t="shared" si="141"/>
        <v/>
      </c>
      <c r="MG11" s="40" t="str">
        <f t="shared" si="142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3"/>
        <v/>
      </c>
      <c r="NC11" s="11" t="str">
        <f t="shared" si="144"/>
        <v/>
      </c>
      <c r="ND11" s="11" t="str">
        <f t="shared" si="145"/>
        <v/>
      </c>
      <c r="NE11" s="11" t="str">
        <f t="shared" si="146"/>
        <v/>
      </c>
      <c r="NF11" s="11" t="str">
        <f t="shared" si="147"/>
        <v/>
      </c>
      <c r="NG11" s="11" t="str">
        <f t="shared" si="148"/>
        <v/>
      </c>
      <c r="NH11" s="11" t="str">
        <f t="shared" si="149"/>
        <v/>
      </c>
      <c r="NI11" s="11" t="str">
        <f t="shared" si="150"/>
        <v/>
      </c>
      <c r="NJ11" s="11" t="str">
        <f t="shared" si="151"/>
        <v/>
      </c>
      <c r="NK11" s="11" t="str">
        <f t="shared" si="152"/>
        <v/>
      </c>
      <c r="NL11" s="11" t="str">
        <f t="shared" si="153"/>
        <v/>
      </c>
      <c r="NM11" s="11" t="str">
        <f t="shared" si="154"/>
        <v/>
      </c>
      <c r="NN11" s="11" t="str">
        <f t="shared" si="155"/>
        <v/>
      </c>
      <c r="NO11" s="11" t="str">
        <f t="shared" si="156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57"/>
        <v/>
      </c>
      <c r="OK11" s="40" t="str">
        <f t="shared" si="158"/>
        <v/>
      </c>
      <c r="OL11" s="40" t="str">
        <f t="shared" si="159"/>
        <v/>
      </c>
      <c r="OM11" s="40" t="str">
        <f t="shared" si="160"/>
        <v/>
      </c>
      <c r="ON11" s="40" t="str">
        <f t="shared" si="161"/>
        <v/>
      </c>
      <c r="OO11" s="40" t="str">
        <f t="shared" si="162"/>
        <v/>
      </c>
      <c r="OP11" s="40" t="str">
        <f t="shared" si="163"/>
        <v/>
      </c>
      <c r="OQ11" s="40" t="str">
        <f t="shared" si="164"/>
        <v/>
      </c>
      <c r="OR11" s="40" t="str">
        <f t="shared" si="165"/>
        <v/>
      </c>
      <c r="OS11" s="40" t="str">
        <f t="shared" si="166"/>
        <v/>
      </c>
      <c r="OT11" s="40" t="str">
        <f t="shared" si="167"/>
        <v/>
      </c>
      <c r="OU11" s="40" t="str">
        <f t="shared" si="168"/>
        <v/>
      </c>
      <c r="OV11" s="40" t="str">
        <f t="shared" si="169"/>
        <v/>
      </c>
      <c r="OW11" s="40" t="str">
        <f t="shared" si="170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1"/>
        <v/>
      </c>
      <c r="PS11" s="11" t="str">
        <f t="shared" si="172"/>
        <v/>
      </c>
      <c r="PT11" s="11" t="str">
        <f t="shared" si="173"/>
        <v/>
      </c>
      <c r="PU11" s="11" t="str">
        <f t="shared" si="174"/>
        <v/>
      </c>
      <c r="PV11" s="11" t="str">
        <f t="shared" si="175"/>
        <v/>
      </c>
      <c r="PW11" s="11" t="str">
        <f t="shared" si="176"/>
        <v/>
      </c>
      <c r="PX11" s="11" t="str">
        <f t="shared" si="177"/>
        <v/>
      </c>
      <c r="PY11" s="11" t="str">
        <f t="shared" si="178"/>
        <v/>
      </c>
      <c r="PZ11" s="11" t="str">
        <f t="shared" si="179"/>
        <v/>
      </c>
      <c r="QA11" s="11" t="str">
        <f t="shared" si="180"/>
        <v/>
      </c>
      <c r="QB11" s="11" t="str">
        <f t="shared" si="181"/>
        <v/>
      </c>
      <c r="QC11" s="11" t="str">
        <f t="shared" si="182"/>
        <v/>
      </c>
      <c r="QD11" s="11" t="str">
        <f t="shared" si="183"/>
        <v/>
      </c>
      <c r="QE11" s="11" t="str">
        <f t="shared" si="184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85"/>
        <v/>
      </c>
      <c r="RA11" s="40" t="str">
        <f t="shared" si="186"/>
        <v/>
      </c>
      <c r="RB11" s="40" t="str">
        <f t="shared" si="187"/>
        <v/>
      </c>
      <c r="RC11" s="40" t="str">
        <f t="shared" si="188"/>
        <v/>
      </c>
      <c r="RD11" s="40" t="str">
        <f t="shared" si="189"/>
        <v/>
      </c>
      <c r="RE11" s="40" t="str">
        <f t="shared" si="190"/>
        <v/>
      </c>
      <c r="RF11" s="40" t="str">
        <f t="shared" si="191"/>
        <v/>
      </c>
      <c r="RG11" s="40" t="str">
        <f t="shared" si="192"/>
        <v/>
      </c>
      <c r="RH11" s="40" t="str">
        <f t="shared" si="193"/>
        <v/>
      </c>
      <c r="RI11" s="40" t="str">
        <f t="shared" si="194"/>
        <v/>
      </c>
      <c r="RJ11" s="40" t="str">
        <f t="shared" si="195"/>
        <v/>
      </c>
      <c r="RK11" s="40" t="str">
        <f t="shared" si="196"/>
        <v/>
      </c>
      <c r="RL11" s="40" t="str">
        <f t="shared" si="197"/>
        <v/>
      </c>
      <c r="RM11" s="40" t="str">
        <f t="shared" si="198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199"/>
        <v/>
      </c>
      <c r="SI11" s="11" t="str">
        <f t="shared" si="200"/>
        <v/>
      </c>
      <c r="SJ11" s="11" t="str">
        <f t="shared" si="201"/>
        <v/>
      </c>
      <c r="SK11" s="11" t="str">
        <f t="shared" si="202"/>
        <v/>
      </c>
      <c r="SL11" s="11" t="str">
        <f t="shared" si="203"/>
        <v/>
      </c>
      <c r="SM11" s="11" t="str">
        <f t="shared" si="204"/>
        <v/>
      </c>
      <c r="SN11" s="11" t="str">
        <f t="shared" si="205"/>
        <v/>
      </c>
      <c r="SO11" s="11" t="str">
        <f t="shared" si="206"/>
        <v/>
      </c>
      <c r="SP11" s="11" t="str">
        <f t="shared" si="207"/>
        <v/>
      </c>
      <c r="SQ11" s="11" t="str">
        <f t="shared" si="208"/>
        <v/>
      </c>
      <c r="SR11" s="11" t="str">
        <f t="shared" si="209"/>
        <v/>
      </c>
      <c r="SS11" s="11" t="str">
        <f t="shared" si="210"/>
        <v/>
      </c>
      <c r="ST11" s="11" t="str">
        <f t="shared" si="211"/>
        <v/>
      </c>
      <c r="SU11" s="11" t="str">
        <f t="shared" si="212"/>
        <v/>
      </c>
      <c r="SV11" s="22">
        <f t="shared" si="213"/>
        <v>12</v>
      </c>
      <c r="SW11" s="22">
        <f t="shared" si="214"/>
        <v>8.5500000000000007</v>
      </c>
      <c r="SX11" s="22">
        <f t="shared" si="215"/>
        <v>11.65</v>
      </c>
      <c r="SY11" s="22">
        <f t="shared" si="216"/>
        <v>14.43</v>
      </c>
      <c r="SZ11" s="22">
        <f t="shared" si="217"/>
        <v>2.1</v>
      </c>
      <c r="TA11" s="22">
        <f t="shared" si="218"/>
        <v>12.8</v>
      </c>
      <c r="TB11" s="22">
        <f t="shared" si="219"/>
        <v>8.8000000000000007</v>
      </c>
      <c r="TC11" s="22">
        <f t="shared" si="220"/>
        <v>11.149999999999999</v>
      </c>
      <c r="TD11" s="22">
        <f t="shared" si="221"/>
        <v>14.295</v>
      </c>
      <c r="TE11" s="22">
        <f t="shared" si="222"/>
        <v>0.95</v>
      </c>
      <c r="TF11" s="22">
        <f t="shared" si="223"/>
        <v>7.65</v>
      </c>
      <c r="TG11" s="22">
        <f t="shared" si="224"/>
        <v>4.55</v>
      </c>
      <c r="TH11" s="22">
        <f t="shared" si="225"/>
        <v>7.55</v>
      </c>
      <c r="TI11" s="22">
        <f t="shared" si="226"/>
        <v>7.62</v>
      </c>
      <c r="TJ11" s="22">
        <f t="shared" si="227"/>
        <v>0</v>
      </c>
      <c r="TK11" s="27" t="s">
        <v>46</v>
      </c>
      <c r="TL11" s="40">
        <f t="shared" si="228"/>
        <v>11.65</v>
      </c>
      <c r="TM11" s="40">
        <f t="shared" si="229"/>
        <v>14.43</v>
      </c>
      <c r="TN11" s="40">
        <f t="shared" si="230"/>
        <v>44.53</v>
      </c>
      <c r="TO11" s="40">
        <f t="shared" si="231"/>
        <v>11.149999999999999</v>
      </c>
      <c r="TP11" s="40">
        <f t="shared" si="232"/>
        <v>14.295</v>
      </c>
      <c r="TQ11" s="40">
        <f t="shared" si="233"/>
        <v>46.094999999999999</v>
      </c>
      <c r="TR11" s="40">
        <f t="shared" si="234"/>
        <v>46.094999999999999</v>
      </c>
      <c r="TS11" s="40">
        <f t="shared" si="235"/>
        <v>7.55</v>
      </c>
      <c r="TT11" s="40">
        <f t="shared" si="236"/>
        <v>7.62</v>
      </c>
      <c r="TU11" s="40">
        <f t="shared" si="237"/>
        <v>27.37</v>
      </c>
      <c r="TV11" s="40">
        <f t="shared" si="238"/>
        <v>73.465000000000003</v>
      </c>
    </row>
    <row r="12" spans="1:542" x14ac:dyDescent="0.2">
      <c r="A12" s="4" cm="1">
        <f t="array" ref="A12">IF(AND(J12&lt;&gt;"",J12&lt;&gt;"No DD"),SUMPRODUCT((J$4:J$28&lt;&gt;"")*(J$4:J$28&lt;&gt;"No DD")*(F$4:F$28&gt;F12))+1,IF(J12="No DD",SUMPRODUCT((J$4:J$28="No DD")*(F$4:F$28&gt;F12))+1+SUMPRODUCT((J$4:J$28&lt;&gt;"")*(J$4:J$28&lt;&gt;"No DD")),""))</f>
        <v>9</v>
      </c>
      <c r="B12" s="4" cm="1">
        <f t="array" ref="B12">IF(AND(J12&lt;&gt;"",J12&lt;&gt;"No DD",G12=""),SUMPRODUCT((J$4:J$28&lt;&gt;"")*(J$4:J$28&lt;&gt;"No DD")*(G$4:G$28="")*(F$4:F$28&gt;F12))+1,IF(J12="No DD",SUMPRODUCT((J$4:J$28="No DD")*(F$4:F$28&gt;F12)*(G$4:G$28=""))+1+SUMPRODUCT((J$4:J$28&lt;&gt;"")*(G$4:G$28="")*(J$4:J$28&lt;&gt;"No DD")),""))</f>
        <v>6</v>
      </c>
      <c r="C12" s="5" t="s">
        <v>93</v>
      </c>
      <c r="D12" s="4" t="s">
        <v>3</v>
      </c>
      <c r="E12" s="4">
        <v>2005</v>
      </c>
      <c r="F12" s="9">
        <f t="shared" si="0"/>
        <v>189.14001573800527</v>
      </c>
      <c r="G12" s="64"/>
      <c r="H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P","")</f>
        <v>P</v>
      </c>
      <c r="I12" s="3" t="str">
        <f>IF(OR(AND(AQ12&gt;=AY$34,AQ12&lt;&gt;"",AN12=""),AND(AT12&gt;=AY$34,AT12&lt;&gt;"",AN12=""),AND(AX12&gt;=AY$34,AX12&lt;&gt;"",AN12=""),AND(BR12&gt;=BZ$34,BR12&lt;&gt;"",BO12=""),AND(BU12&gt;=BZ$34,BU12&lt;&gt;"",BO12=""),AND(BY12&gt;=BZ$34,BY12&lt;&gt;"",BO12=""),AND(CS12&gt;=DA$34,CS12&lt;&gt;"",CP12=""),AND(CV12&gt;=DA$34,CV12&lt;&gt;"",CP12=""),AND(CZ12&gt;=DA$34,CZ12&lt;&gt;"",CP12=""),AND(DZ12&gt;=EK$34,DZ12&lt;&gt;""),AND(EC12&gt;=EK$34,EC12&lt;&gt;""),AND(EG12&gt;=EK$34,EG12&lt;&gt;""),AND(EJ12&gt;=EK$34,EJ12&lt;&gt;""),AND(FH12&gt;=FS$34,FH12&lt;&gt;""),AND(FK12&gt;=FS$34,FK12&lt;&gt;""),AND(FO12&gt;=FS$34,FO12&lt;&gt;""),AND(FR12&gt;=FS$34,FR12&lt;&gt;""),AND(GP12&gt;=HA$34,GP12&lt;&gt;""),AND(GS12&gt;=HA$34,GS12&lt;&gt;""),AND(GW12&gt;=HA$34,GW12&lt;&gt;""),AND(GZ12&gt;=HA$34,GZ12&lt;&gt;""),AND(HX12&gt;=II$34,HX12&lt;&gt;""),AND(IA12&gt;=II$34,IA12&lt;&gt;""),AND(IE12&gt;=II$34,IE12&lt;&gt;""),AND(IH12&gt;=II$34,IH12&lt;&gt;""),AND(JF12&gt;=JQ$34,JF12&lt;&gt;""),AND(JI12&gt;=JQ$34,JI12&lt;&gt;""),AND(JM12&gt;=JQ$34,JM12&lt;&gt;""),AND(JP12&gt;=JQ$34,JP12&lt;&gt;""),AND(KN12&gt;=KY$34,KN12&lt;&gt;""),AND(KQ12&gt;=KY$34,KQ12&lt;&gt;""),AND(KU12&gt;=KY$34,KU12&lt;&gt;""),AND(KX12&gt;=KY$34,KX12&lt;&gt;""),AND(LV12&gt;=MG$34,LV12&lt;&gt;""),AND(LY12&gt;=MG$34,LY12&lt;&gt;""),AND(MC12&gt;=MG$34,MC12&lt;&gt;""),AND(MF12&gt;=MG$34,MF12&lt;&gt;""),AND(ND12&gt;=NO$34,ND12&lt;&gt;""),AND(NG12&gt;=NO$34,NG12&lt;&gt;""),AND(NK12&gt;=NO$34,NK12&lt;&gt;""),AND(NN12&gt;=NO$34,NN12&lt;&gt;""),AND(OL12&gt;=OW$34,OL12&lt;&gt;""),AND(OO12&gt;=OW$34,OO12&lt;&gt;""),AND(OS12&gt;=OW$34,OS12&lt;&gt;""),AND(OV12&gt;=OW$34,OV12&lt;&gt;""),AND(PT12&gt;=QE$34,PT12&lt;&gt;""),AND(PW12&gt;=QE$34,PW12&lt;&gt;""),AND(QA12&gt;=QE$34,QA12&lt;&gt;""),AND(QD12&gt;=QE$34,QD12&lt;&gt;""),AND(RB12&gt;=RM$34,RB12&lt;&gt;""),AND(RE12&gt;=RM$34,RE12&lt;&gt;""),AND(RI12&gt;=RM$34,RI12&lt;&gt;""),AND(RL12&gt;=RM$34,RL12&lt;&gt;""),AND(SJ12&gt;=SU$34,SJ12&lt;&gt;""),AND(SM12&gt;=SU$34,SM12&lt;&gt;""),AND(SQ12&gt;=SU$34,SQ12&lt;&gt;""),AND(ST12&gt;=SU$34,ST12&lt;&gt;"")),"P","")</f>
        <v>P</v>
      </c>
      <c r="J12" s="36" t="str">
        <f>IF(AND(I12="P",H12=""),"No DD",IF(OR(AND(AO12&gt;=AY$33,AO12&lt;&gt;"",AQ12&gt;=AY$37,AQ12&lt;&gt;"",AN12=""),AND(AR12&gt;=AY$33,AR12&lt;&gt;"",AT12&gt;=AY$37,AT12&lt;&gt;"",AN12=""),AND(AV12&gt;=AY$33,AV12&lt;&gt;"",AX12&gt;=AY$37,AX12&lt;&gt;"",AN12=""),AND(BP12&gt;=BZ$33,BP12&lt;&gt;"",BR12&gt;=BZ$37,BR12&lt;&gt;"",BO12=""),AND(BS12&gt;=BZ$33,BS12&lt;&gt;"",BU12&gt;=BZ$37,BU12&lt;&gt;"",BO12=""),AND(BW12&gt;=BZ$33,BW12&lt;&gt;"",BY12&gt;=BZ$37,BY12&lt;&gt;"",BO12=""),AND(CQ12&gt;=DA$33,CQ12&lt;&gt;"",CS12&gt;=DA$37,CS12&lt;&gt;"",CP12=""),AND(CT12&gt;=DA$33,CT12&lt;&gt;"",CV12&gt;=DA$37,CV12&lt;&gt;"",CP12=""),AND(CX12&gt;=DA$33,CX12&lt;&gt;"",CZ12&gt;=DA$37,CZ12&lt;&gt;"",CP12=""),AND(DX12&gt;=EK$33,DX12&lt;&gt;"",DZ12&gt;=EK$37,DZ12&lt;&gt;""),AND(EA12&gt;=EK$33,EA12&lt;&gt;"",EC12&gt;=EK$37,EC12&lt;&gt;""),AND(EE12&gt;=EK$33,EE12&lt;&gt;"",EG12&gt;=EK$37,EG12&lt;&gt;""),AND(EH12&gt;=EK$33,EH12&lt;&gt;"",EJ12&gt;=EK$37,EJ12&lt;&gt;""),AND(FF12&gt;=FS$33,FF12&lt;&gt;"",FH12&gt;=FS$37,FH12&lt;&gt;""),AND(FI12&gt;=FS$33,FI12&lt;&gt;"",FK12&gt;=FS$37,FK12&lt;&gt;""),AND(FM12&gt;=FS$33,FM12&lt;&gt;"",FO12&gt;=FS$37,FO12&lt;&gt;""),AND(FP12&gt;=FS$33,FP12&lt;&gt;"",FR12&gt;=FS$37,FR12&lt;&gt;""),AND(GN12&gt;=HA$33,GN12&lt;&gt;"",GP12&gt;=HA$37,GP12&lt;&gt;""),AND(GQ12&gt;=HA$33,GQ12&lt;&gt;"",GS12&gt;=HA$37,GS12&lt;&gt;""),AND(GU12&gt;=HA$33,GU12&lt;&gt;"",GW12&gt;=HA$37,GW12&lt;&gt;""),AND(GX12&gt;=HA$33,GX12&lt;&gt;"",GZ12&gt;=HA$37,GZ12&lt;&gt;""),AND(HV12&gt;=II$33,HV12&lt;&gt;"",HX12&gt;=II$37,HX12&lt;&gt;""),AND(HY12&gt;=II$33,HY12&lt;&gt;"",IA12&gt;=II$37,IA12&lt;&gt;""),AND(IC12&gt;=II$33,IC12&lt;&gt;"",IE12&gt;=II$37,IE12&lt;&gt;""),AND(IF12&gt;=II$33,IF12&lt;&gt;"",IH12&gt;=II$37,IH12&lt;&gt;""),AND(JD12&gt;=JQ$33,JD12&lt;&gt;"",JF12&gt;=JQ$37,JF12&lt;&gt;""),AND(JG12&gt;=JQ$33,JG12&lt;&gt;"",JI12&gt;=JQ$37,JI12&lt;&gt;""),AND(JK12&gt;=JQ$33,JK12&lt;&gt;"",JM12&gt;=JQ$37,JM12&lt;&gt;""),AND(JN12&gt;=JQ$33,JN12&lt;&gt;"",JP12&gt;=JQ$37,JP12&lt;&gt;""),AND(KL12&gt;=KY$33,KL12&lt;&gt;"",KN12&gt;=KY$37,KN12&lt;&gt;""),AND(KO12&gt;=KY$33,KO12&lt;&gt;"",KQ12&gt;=KY$37,KQ12&lt;&gt;""),AND(KS12&gt;=KY$33,KS12&lt;&gt;"",KU12&gt;=KY$37,KU12&lt;&gt;""),AND(KV12&gt;=KY$33,KV12&lt;&gt;"",KX12&gt;=KY$37,KX12&lt;&gt;""),AND(LT12&gt;=MG$33,LT12&lt;&gt;"",LV12&gt;=MG$37,LV12&lt;&gt;""),AND(LW12&gt;=MG$33,LW12&lt;&gt;"",LY12&gt;=MG$37,LY12&lt;&gt;""),AND(MA12&gt;=MG$33,MA12&lt;&gt;"",MC12&gt;=MG$37,MC12&lt;&gt;""),AND(MD12&gt;=MG$33,MD12&lt;&gt;"",MF12&gt;=MG$37,MF12&lt;&gt;""),AND(NB12&gt;=NO$33,NB12&lt;&gt;"",ND12&gt;=NO$37,ND12&lt;&gt;""),AND(NE12&gt;=NO$33,NE12&lt;&gt;"",NG12&gt;=NO$37,NG12&lt;&gt;""),AND(NI12&gt;=NO$33,NI12&lt;&gt;"",NK12&gt;=NO$37,NK12&lt;&gt;""),AND(NL12&gt;=NO$33,NL12&lt;&gt;"",NN12&gt;=NO$37,NN12&lt;&gt;""),AND(OJ12&gt;=OW$33,OJ12&lt;&gt;"",OL12&gt;=OW$37,OL12&lt;&gt;""),AND(OM12&gt;=OW$33,OM12&lt;&gt;"",OO12&gt;=OW$37,OO12&lt;&gt;""),AND(OQ12&gt;=OW$33,OQ12&lt;&gt;"",OS12&gt;=OW$37,OS12&lt;&gt;""),AND(OT12&gt;=OW$33,OT12&lt;&gt;"",OV12&gt;=OW$37,OV12&lt;&gt;""),AND(PR12&gt;=QE$33,PR12&lt;&gt;"",PT12&gt;=QE$37,PT12&lt;&gt;""),AND(PU12&gt;=QE$33,PU12&lt;&gt;"",PW12&gt;=QE$37,PW12&lt;&gt;""),AND(PY12&gt;=QE$33,PY12&lt;&gt;"",QA12&gt;=QE$37,QA12&lt;&gt;""),AND(QB12&gt;=QE$33,QB12&lt;&gt;"",QD12&gt;=QE$37,QD12&lt;&gt;""),AND(QZ12&gt;=RM$33,QZ12&lt;&gt;"",RB12&gt;=RM$37,RB12&lt;&gt;""),AND(RC12&gt;=RM$33,RC12&lt;&gt;"",RE12&gt;=RM$37,RE12&lt;&gt;""),AND(RG12&gt;=RM$33,RG12&lt;&gt;"",RI12&gt;=RM$37,RI12&lt;&gt;""),AND(RJ12&gt;=RM$33,RJ12&lt;&gt;"",RL12&gt;=RM$37,RL12&lt;&gt;""),AND(SH12&gt;=SU$33,SH12&lt;&gt;"",SJ12&gt;=SU$37,SJ12&lt;&gt;""),AND(SK12&gt;=SU$33,SK12&lt;&gt;"",SM12&gt;=SU$37,SM12&lt;&gt;""),AND(SO12&gt;=SU$33,SO12&lt;&gt;"",SQ12&gt;=SU$37,SQ12&lt;&gt;""),AND(SR12&gt;=SU$33,SR12&lt;&gt;"",ST12&gt;=SU$37,ST12&lt;&gt;"")),"Merit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),"Excellence",IF(K12="P","Worlds Team",IF(H12="P","National Team","")))))</f>
        <v>National Team</v>
      </c>
      <c r="K12" s="3" t="str">
        <f>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P","")</f>
        <v/>
      </c>
      <c r="L12" s="8">
        <f>IF(COUNT(AQ12,AT12,BR12,BU12,CS12,CV12)&gt;0,LARGE((AQ12,AT12,BR12,BU12,CS12,CV12),1),0)</f>
        <v>52.61</v>
      </c>
      <c r="M12" s="8" t="str">
        <f t="shared" si="1"/>
        <v>2025 Nationals</v>
      </c>
      <c r="N12" s="8">
        <f>IF(COUNT(AQ12,AT12,BR12,BU12,CS12,CV12)&gt;1,LARGE((AQ12,AT12,BR12,BU12,CS12,CV12),2),0)</f>
        <v>21.73</v>
      </c>
      <c r="O12" s="8" t="str">
        <f t="shared" si="2"/>
        <v>2025 Elite Canada</v>
      </c>
      <c r="P12" s="8">
        <f>IF(COUNT(AQ12,AT12,BR12,BU12,CS12,CV12)&gt;2,MAX(AX12,BY12,CZ12,LARGE((AQ12,AT12,BR12,BU12,CS12,CV12),3)),IF(MAX(AX12,BY12,CZ12)&gt;0,MAX(AX12,BY12,CZ12),0))</f>
        <v>52.850000000000009</v>
      </c>
      <c r="Q12" s="8" t="str">
        <f t="shared" si="3"/>
        <v>2025 Nationals</v>
      </c>
      <c r="R12" s="8">
        <f t="shared" si="4"/>
        <v>14.6</v>
      </c>
      <c r="S12" s="8" t="str">
        <f t="shared" si="5"/>
        <v>2025 Nationals</v>
      </c>
      <c r="T12" s="8">
        <f>IF(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&gt;0,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,0)</f>
        <v>15.59</v>
      </c>
      <c r="U12" s="8" t="str">
        <f t="shared" si="6"/>
        <v>2024 Coimbra Gym Fest (July 7)</v>
      </c>
      <c r="V12" s="8">
        <f t="shared" si="7"/>
        <v>31.759999999999994</v>
      </c>
      <c r="W12" s="11" t="str">
        <f t="shared" si="8"/>
        <v>(Optional)</v>
      </c>
      <c r="X12" s="8" t="str">
        <f t="shared" si="9"/>
        <v>2024 Coimbra Gym Fest (July 7)</v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 t="shared" si="10"/>
        <v/>
      </c>
      <c r="AP12" s="38" t="str">
        <f t="shared" si="11"/>
        <v/>
      </c>
      <c r="AQ12" s="40" t="str">
        <f t="shared" si="12"/>
        <v/>
      </c>
      <c r="AR12" s="40" t="str">
        <f t="shared" si="13"/>
        <v/>
      </c>
      <c r="AS12" s="40" t="str">
        <f t="shared" si="14"/>
        <v/>
      </c>
      <c r="AT12" s="40" t="str">
        <f t="shared" si="15"/>
        <v/>
      </c>
      <c r="AU12" s="40" t="str">
        <f t="shared" si="16"/>
        <v/>
      </c>
      <c r="AV12" s="40" t="str">
        <f t="shared" si="17"/>
        <v/>
      </c>
      <c r="AW12" s="40" t="str">
        <f t="shared" si="18"/>
        <v/>
      </c>
      <c r="AX12" s="40" t="str">
        <f t="shared" si="19"/>
        <v/>
      </c>
      <c r="AY12" s="40" t="str">
        <f t="shared" si="20"/>
        <v/>
      </c>
      <c r="AZ12" s="26">
        <v>4.2</v>
      </c>
      <c r="BA12" s="26">
        <v>2.7</v>
      </c>
      <c r="BB12" s="26">
        <v>4.7</v>
      </c>
      <c r="BC12" s="26">
        <v>4.66</v>
      </c>
      <c r="BD12" s="26">
        <v>0</v>
      </c>
      <c r="BE12" s="26">
        <v>5.6</v>
      </c>
      <c r="BF12" s="26">
        <v>3.4</v>
      </c>
      <c r="BG12" s="26">
        <v>6.4</v>
      </c>
      <c r="BH12" s="26">
        <v>6.33</v>
      </c>
      <c r="BI12" s="26">
        <v>0</v>
      </c>
      <c r="BJ12" s="26"/>
      <c r="BK12" s="26"/>
      <c r="BL12" s="26"/>
      <c r="BM12" s="26"/>
      <c r="BN12" s="26"/>
      <c r="BO12" s="28"/>
      <c r="BP12" s="39">
        <f t="shared" si="21"/>
        <v>4.7</v>
      </c>
      <c r="BQ12" s="39">
        <f t="shared" si="22"/>
        <v>4.66</v>
      </c>
      <c r="BR12" s="11">
        <f t="shared" si="23"/>
        <v>16.260000000000002</v>
      </c>
      <c r="BS12" s="11">
        <f t="shared" si="24"/>
        <v>6.4</v>
      </c>
      <c r="BT12" s="11">
        <f t="shared" si="25"/>
        <v>6.33</v>
      </c>
      <c r="BU12" s="11">
        <f t="shared" si="26"/>
        <v>21.73</v>
      </c>
      <c r="BV12" s="11">
        <f t="shared" si="27"/>
        <v>21.73</v>
      </c>
      <c r="BW12" s="11" t="str">
        <f t="shared" si="28"/>
        <v/>
      </c>
      <c r="BX12" s="11" t="str">
        <f t="shared" si="29"/>
        <v/>
      </c>
      <c r="BY12" s="11" t="str">
        <f t="shared" si="30"/>
        <v/>
      </c>
      <c r="BZ12" s="11">
        <f t="shared" si="31"/>
        <v>21.73</v>
      </c>
      <c r="CA12" s="22">
        <v>13.5</v>
      </c>
      <c r="CB12" s="22">
        <v>9.5</v>
      </c>
      <c r="CC12" s="22">
        <v>14.6</v>
      </c>
      <c r="CD12" s="22">
        <v>15.01</v>
      </c>
      <c r="CE12" s="22">
        <v>0</v>
      </c>
      <c r="CF12" s="22">
        <v>1.3</v>
      </c>
      <c r="CG12" s="22">
        <v>0.9</v>
      </c>
      <c r="CH12" s="22">
        <v>2</v>
      </c>
      <c r="CI12" s="22">
        <v>1.64</v>
      </c>
      <c r="CJ12" s="22">
        <v>0</v>
      </c>
      <c r="CK12" s="22">
        <v>13.9</v>
      </c>
      <c r="CL12" s="22">
        <v>9.3000000000000007</v>
      </c>
      <c r="CM12" s="22">
        <v>14.6</v>
      </c>
      <c r="CN12" s="22">
        <v>15.05</v>
      </c>
      <c r="CO12" s="22">
        <v>0</v>
      </c>
      <c r="CP12" s="27"/>
      <c r="CQ12" s="38">
        <f t="shared" si="32"/>
        <v>14.6</v>
      </c>
      <c r="CR12" s="38">
        <f t="shared" si="33"/>
        <v>15.01</v>
      </c>
      <c r="CS12" s="40">
        <f t="shared" si="34"/>
        <v>52.61</v>
      </c>
      <c r="CT12" s="40">
        <f t="shared" si="35"/>
        <v>2</v>
      </c>
      <c r="CU12" s="40">
        <f t="shared" si="36"/>
        <v>1.64</v>
      </c>
      <c r="CV12" s="40">
        <f t="shared" si="37"/>
        <v>5.84</v>
      </c>
      <c r="CW12" s="40">
        <f t="shared" si="38"/>
        <v>52.61</v>
      </c>
      <c r="CX12" s="40">
        <f t="shared" si="39"/>
        <v>14.6</v>
      </c>
      <c r="CY12" s="40">
        <f t="shared" si="40"/>
        <v>15.05</v>
      </c>
      <c r="CZ12" s="40">
        <f t="shared" si="41"/>
        <v>52.850000000000009</v>
      </c>
      <c r="DA12" s="40">
        <f t="shared" si="42"/>
        <v>105.46000000000001</v>
      </c>
      <c r="DB12" s="50">
        <f t="shared" si="43"/>
        <v>31.759999999999994</v>
      </c>
      <c r="DC12" s="50" t="str">
        <f t="shared" si="44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45"/>
        <v/>
      </c>
      <c r="DY12" s="40" t="str">
        <f t="shared" si="46"/>
        <v/>
      </c>
      <c r="DZ12" s="40" t="str">
        <f t="shared" si="47"/>
        <v/>
      </c>
      <c r="EA12" s="40" t="str">
        <f t="shared" si="48"/>
        <v/>
      </c>
      <c r="EB12" s="40" t="str">
        <f t="shared" si="49"/>
        <v/>
      </c>
      <c r="EC12" s="40" t="str">
        <f t="shared" si="50"/>
        <v/>
      </c>
      <c r="ED12" s="40" t="str">
        <f t="shared" si="51"/>
        <v/>
      </c>
      <c r="EE12" s="40" t="str">
        <f t="shared" si="52"/>
        <v/>
      </c>
      <c r="EF12" s="40" t="str">
        <f t="shared" si="53"/>
        <v/>
      </c>
      <c r="EG12" s="40" t="str">
        <f t="shared" si="54"/>
        <v/>
      </c>
      <c r="EH12" s="40" t="str">
        <f t="shared" si="55"/>
        <v/>
      </c>
      <c r="EI12" s="40" t="str">
        <f t="shared" si="56"/>
        <v/>
      </c>
      <c r="EJ12" s="40" t="str">
        <f t="shared" si="57"/>
        <v/>
      </c>
      <c r="EK12" s="40" t="str">
        <f t="shared" si="58"/>
        <v/>
      </c>
      <c r="EL12" s="18">
        <v>13</v>
      </c>
      <c r="EM12" s="18">
        <v>8.9</v>
      </c>
      <c r="EN12" s="18">
        <v>14.6</v>
      </c>
      <c r="EO12" s="18">
        <v>15.24</v>
      </c>
      <c r="EP12" s="18">
        <v>0</v>
      </c>
      <c r="EQ12" s="18">
        <v>13.9</v>
      </c>
      <c r="ER12" s="18">
        <v>9.4</v>
      </c>
      <c r="ES12" s="18">
        <v>14.6</v>
      </c>
      <c r="ET12" s="18">
        <v>15.59</v>
      </c>
      <c r="EU12" s="18">
        <v>0</v>
      </c>
      <c r="EV12" s="18">
        <v>6.8</v>
      </c>
      <c r="EW12" s="18">
        <v>4.4000000000000004</v>
      </c>
      <c r="EX12" s="18">
        <v>7.8</v>
      </c>
      <c r="EY12" s="18">
        <v>7.73</v>
      </c>
      <c r="EZ12" s="18">
        <v>0</v>
      </c>
      <c r="FA12" s="18"/>
      <c r="FB12" s="18"/>
      <c r="FC12" s="18"/>
      <c r="FD12" s="18"/>
      <c r="FE12" s="18"/>
      <c r="FF12" s="11">
        <f t="shared" si="59"/>
        <v>14.6</v>
      </c>
      <c r="FG12" s="11">
        <f t="shared" si="60"/>
        <v>15.24</v>
      </c>
      <c r="FH12" s="11">
        <f t="shared" si="61"/>
        <v>51.74</v>
      </c>
      <c r="FI12" s="11">
        <f t="shared" si="62"/>
        <v>14.6</v>
      </c>
      <c r="FJ12" s="11">
        <f t="shared" si="63"/>
        <v>15.59</v>
      </c>
      <c r="FK12" s="11">
        <f t="shared" si="64"/>
        <v>53.489999999999995</v>
      </c>
      <c r="FL12" s="11">
        <f t="shared" si="65"/>
        <v>53.489999999999995</v>
      </c>
      <c r="FM12" s="11">
        <f t="shared" si="66"/>
        <v>7.8</v>
      </c>
      <c r="FN12" s="11">
        <f t="shared" si="67"/>
        <v>7.73</v>
      </c>
      <c r="FO12" s="11">
        <f t="shared" si="68"/>
        <v>26.73</v>
      </c>
      <c r="FP12" s="11" t="str">
        <f t="shared" si="69"/>
        <v/>
      </c>
      <c r="FQ12" s="11" t="str">
        <f t="shared" si="70"/>
        <v/>
      </c>
      <c r="FR12" s="11" t="str">
        <f t="shared" si="71"/>
        <v/>
      </c>
      <c r="FS12" s="11">
        <f t="shared" si="72"/>
        <v>80.22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3"/>
        <v/>
      </c>
      <c r="GO12" s="40" t="str">
        <f t="shared" si="74"/>
        <v/>
      </c>
      <c r="GP12" s="40" t="str">
        <f t="shared" si="75"/>
        <v/>
      </c>
      <c r="GQ12" s="40" t="str">
        <f t="shared" si="76"/>
        <v/>
      </c>
      <c r="GR12" s="40" t="str">
        <f t="shared" si="77"/>
        <v/>
      </c>
      <c r="GS12" s="40" t="str">
        <f t="shared" si="78"/>
        <v/>
      </c>
      <c r="GT12" s="40" t="str">
        <f t="shared" si="79"/>
        <v/>
      </c>
      <c r="GU12" s="40" t="str">
        <f t="shared" si="80"/>
        <v/>
      </c>
      <c r="GV12" s="40" t="str">
        <f t="shared" si="81"/>
        <v/>
      </c>
      <c r="GW12" s="40" t="str">
        <f t="shared" si="82"/>
        <v/>
      </c>
      <c r="GX12" s="40" t="str">
        <f t="shared" si="83"/>
        <v/>
      </c>
      <c r="GY12" s="40" t="str">
        <f t="shared" si="84"/>
        <v/>
      </c>
      <c r="GZ12" s="40" t="str">
        <f t="shared" si="85"/>
        <v/>
      </c>
      <c r="HA12" s="40" t="str">
        <f t="shared" si="86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87"/>
        <v/>
      </c>
      <c r="HW12" s="11" t="str">
        <f t="shared" si="88"/>
        <v/>
      </c>
      <c r="HX12" s="11" t="str">
        <f t="shared" si="89"/>
        <v/>
      </c>
      <c r="HY12" s="11" t="str">
        <f t="shared" si="90"/>
        <v/>
      </c>
      <c r="HZ12" s="11" t="str">
        <f t="shared" si="91"/>
        <v/>
      </c>
      <c r="IA12" s="11" t="str">
        <f t="shared" si="92"/>
        <v/>
      </c>
      <c r="IB12" s="11" t="str">
        <f t="shared" si="93"/>
        <v/>
      </c>
      <c r="IC12" s="11" t="str">
        <f t="shared" si="94"/>
        <v/>
      </c>
      <c r="ID12" s="11" t="str">
        <f t="shared" si="95"/>
        <v/>
      </c>
      <c r="IE12" s="11" t="str">
        <f t="shared" si="96"/>
        <v/>
      </c>
      <c r="IF12" s="11" t="str">
        <f t="shared" si="97"/>
        <v/>
      </c>
      <c r="IG12" s="11" t="str">
        <f t="shared" si="98"/>
        <v/>
      </c>
      <c r="IH12" s="11" t="str">
        <f t="shared" si="99"/>
        <v/>
      </c>
      <c r="II12" s="11" t="str">
        <f t="shared" si="100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1"/>
        <v/>
      </c>
      <c r="JE12" s="40" t="str">
        <f t="shared" si="102"/>
        <v/>
      </c>
      <c r="JF12" s="40" t="str">
        <f t="shared" si="103"/>
        <v/>
      </c>
      <c r="JG12" s="40" t="str">
        <f t="shared" si="104"/>
        <v/>
      </c>
      <c r="JH12" s="40" t="str">
        <f t="shared" si="105"/>
        <v/>
      </c>
      <c r="JI12" s="40" t="str">
        <f t="shared" si="106"/>
        <v/>
      </c>
      <c r="JJ12" s="40" t="str">
        <f t="shared" si="107"/>
        <v/>
      </c>
      <c r="JK12" s="40" t="str">
        <f t="shared" si="108"/>
        <v/>
      </c>
      <c r="JL12" s="40" t="str">
        <f t="shared" si="109"/>
        <v/>
      </c>
      <c r="JM12" s="40" t="str">
        <f t="shared" si="110"/>
        <v/>
      </c>
      <c r="JN12" s="40" t="str">
        <f t="shared" si="111"/>
        <v/>
      </c>
      <c r="JO12" s="40" t="str">
        <f t="shared" si="112"/>
        <v/>
      </c>
      <c r="JP12" s="40" t="str">
        <f t="shared" si="113"/>
        <v/>
      </c>
      <c r="JQ12" s="40" t="str">
        <f t="shared" si="114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15"/>
        <v/>
      </c>
      <c r="KM12" s="11" t="str">
        <f t="shared" si="116"/>
        <v/>
      </c>
      <c r="KN12" s="11" t="str">
        <f t="shared" si="117"/>
        <v/>
      </c>
      <c r="KO12" s="11" t="str">
        <f t="shared" si="118"/>
        <v/>
      </c>
      <c r="KP12" s="11" t="str">
        <f t="shared" si="119"/>
        <v/>
      </c>
      <c r="KQ12" s="11" t="str">
        <f t="shared" si="120"/>
        <v/>
      </c>
      <c r="KR12" s="11" t="str">
        <f t="shared" si="121"/>
        <v/>
      </c>
      <c r="KS12" s="11" t="str">
        <f t="shared" si="122"/>
        <v/>
      </c>
      <c r="KT12" s="11" t="str">
        <f t="shared" si="123"/>
        <v/>
      </c>
      <c r="KU12" s="11" t="str">
        <f t="shared" si="124"/>
        <v/>
      </c>
      <c r="KV12" s="11" t="str">
        <f t="shared" si="125"/>
        <v/>
      </c>
      <c r="KW12" s="11" t="str">
        <f t="shared" si="126"/>
        <v/>
      </c>
      <c r="KX12" s="11" t="str">
        <f t="shared" si="127"/>
        <v/>
      </c>
      <c r="KY12" s="11" t="str">
        <f t="shared" si="128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29"/>
        <v/>
      </c>
      <c r="LU12" s="40" t="str">
        <f t="shared" si="130"/>
        <v/>
      </c>
      <c r="LV12" s="40" t="str">
        <f t="shared" si="131"/>
        <v/>
      </c>
      <c r="LW12" s="40" t="str">
        <f t="shared" si="132"/>
        <v/>
      </c>
      <c r="LX12" s="40" t="str">
        <f t="shared" si="133"/>
        <v/>
      </c>
      <c r="LY12" s="40" t="str">
        <f t="shared" si="134"/>
        <v/>
      </c>
      <c r="LZ12" s="40" t="str">
        <f t="shared" si="135"/>
        <v/>
      </c>
      <c r="MA12" s="40" t="str">
        <f t="shared" si="136"/>
        <v/>
      </c>
      <c r="MB12" s="40" t="str">
        <f t="shared" si="137"/>
        <v/>
      </c>
      <c r="MC12" s="40" t="str">
        <f t="shared" si="138"/>
        <v/>
      </c>
      <c r="MD12" s="40" t="str">
        <f t="shared" si="139"/>
        <v/>
      </c>
      <c r="ME12" s="40" t="str">
        <f t="shared" si="140"/>
        <v/>
      </c>
      <c r="MF12" s="40" t="str">
        <f t="shared" si="141"/>
        <v/>
      </c>
      <c r="MG12" s="40" t="str">
        <f t="shared" si="142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3"/>
        <v/>
      </c>
      <c r="NC12" s="11" t="str">
        <f t="shared" si="144"/>
        <v/>
      </c>
      <c r="ND12" s="11" t="str">
        <f t="shared" si="145"/>
        <v/>
      </c>
      <c r="NE12" s="11" t="str">
        <f t="shared" si="146"/>
        <v/>
      </c>
      <c r="NF12" s="11" t="str">
        <f t="shared" si="147"/>
        <v/>
      </c>
      <c r="NG12" s="11" t="str">
        <f t="shared" si="148"/>
        <v/>
      </c>
      <c r="NH12" s="11" t="str">
        <f t="shared" si="149"/>
        <v/>
      </c>
      <c r="NI12" s="11" t="str">
        <f t="shared" si="150"/>
        <v/>
      </c>
      <c r="NJ12" s="11" t="str">
        <f t="shared" si="151"/>
        <v/>
      </c>
      <c r="NK12" s="11" t="str">
        <f t="shared" si="152"/>
        <v/>
      </c>
      <c r="NL12" s="11" t="str">
        <f t="shared" si="153"/>
        <v/>
      </c>
      <c r="NM12" s="11" t="str">
        <f t="shared" si="154"/>
        <v/>
      </c>
      <c r="NN12" s="11" t="str">
        <f t="shared" si="155"/>
        <v/>
      </c>
      <c r="NO12" s="11" t="str">
        <f t="shared" si="156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57"/>
        <v/>
      </c>
      <c r="OK12" s="40" t="str">
        <f t="shared" si="158"/>
        <v/>
      </c>
      <c r="OL12" s="40" t="str">
        <f t="shared" si="159"/>
        <v/>
      </c>
      <c r="OM12" s="40" t="str">
        <f t="shared" si="160"/>
        <v/>
      </c>
      <c r="ON12" s="40" t="str">
        <f t="shared" si="161"/>
        <v/>
      </c>
      <c r="OO12" s="40" t="str">
        <f t="shared" si="162"/>
        <v/>
      </c>
      <c r="OP12" s="40" t="str">
        <f t="shared" si="163"/>
        <v/>
      </c>
      <c r="OQ12" s="40" t="str">
        <f t="shared" si="164"/>
        <v/>
      </c>
      <c r="OR12" s="40" t="str">
        <f t="shared" si="165"/>
        <v/>
      </c>
      <c r="OS12" s="40" t="str">
        <f t="shared" si="166"/>
        <v/>
      </c>
      <c r="OT12" s="40" t="str">
        <f t="shared" si="167"/>
        <v/>
      </c>
      <c r="OU12" s="40" t="str">
        <f t="shared" si="168"/>
        <v/>
      </c>
      <c r="OV12" s="40" t="str">
        <f t="shared" si="169"/>
        <v/>
      </c>
      <c r="OW12" s="40" t="str">
        <f t="shared" si="170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1"/>
        <v/>
      </c>
      <c r="PS12" s="11" t="str">
        <f t="shared" si="172"/>
        <v/>
      </c>
      <c r="PT12" s="11" t="str">
        <f t="shared" si="173"/>
        <v/>
      </c>
      <c r="PU12" s="11" t="str">
        <f t="shared" si="174"/>
        <v/>
      </c>
      <c r="PV12" s="11" t="str">
        <f t="shared" si="175"/>
        <v/>
      </c>
      <c r="PW12" s="11" t="str">
        <f t="shared" si="176"/>
        <v/>
      </c>
      <c r="PX12" s="11" t="str">
        <f t="shared" si="177"/>
        <v/>
      </c>
      <c r="PY12" s="11" t="str">
        <f t="shared" si="178"/>
        <v/>
      </c>
      <c r="PZ12" s="11" t="str">
        <f t="shared" si="179"/>
        <v/>
      </c>
      <c r="QA12" s="11" t="str">
        <f t="shared" si="180"/>
        <v/>
      </c>
      <c r="QB12" s="11" t="str">
        <f t="shared" si="181"/>
        <v/>
      </c>
      <c r="QC12" s="11" t="str">
        <f t="shared" si="182"/>
        <v/>
      </c>
      <c r="QD12" s="11" t="str">
        <f t="shared" si="183"/>
        <v/>
      </c>
      <c r="QE12" s="11" t="str">
        <f t="shared" si="184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85"/>
        <v/>
      </c>
      <c r="RA12" s="40" t="str">
        <f t="shared" si="186"/>
        <v/>
      </c>
      <c r="RB12" s="40" t="str">
        <f t="shared" si="187"/>
        <v/>
      </c>
      <c r="RC12" s="40" t="str">
        <f t="shared" si="188"/>
        <v/>
      </c>
      <c r="RD12" s="40" t="str">
        <f t="shared" si="189"/>
        <v/>
      </c>
      <c r="RE12" s="40" t="str">
        <f t="shared" si="190"/>
        <v/>
      </c>
      <c r="RF12" s="40" t="str">
        <f t="shared" si="191"/>
        <v/>
      </c>
      <c r="RG12" s="40" t="str">
        <f t="shared" si="192"/>
        <v/>
      </c>
      <c r="RH12" s="40" t="str">
        <f t="shared" si="193"/>
        <v/>
      </c>
      <c r="RI12" s="40" t="str">
        <f t="shared" si="194"/>
        <v/>
      </c>
      <c r="RJ12" s="40" t="str">
        <f t="shared" si="195"/>
        <v/>
      </c>
      <c r="RK12" s="40" t="str">
        <f t="shared" si="196"/>
        <v/>
      </c>
      <c r="RL12" s="40" t="str">
        <f t="shared" si="197"/>
        <v/>
      </c>
      <c r="RM12" s="40" t="str">
        <f t="shared" si="198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199"/>
        <v/>
      </c>
      <c r="SI12" s="11" t="str">
        <f t="shared" si="200"/>
        <v/>
      </c>
      <c r="SJ12" s="11" t="str">
        <f t="shared" si="201"/>
        <v/>
      </c>
      <c r="SK12" s="11" t="str">
        <f t="shared" si="202"/>
        <v/>
      </c>
      <c r="SL12" s="11" t="str">
        <f t="shared" si="203"/>
        <v/>
      </c>
      <c r="SM12" s="11" t="str">
        <f t="shared" si="204"/>
        <v/>
      </c>
      <c r="SN12" s="11" t="str">
        <f t="shared" si="205"/>
        <v/>
      </c>
      <c r="SO12" s="11" t="str">
        <f t="shared" si="206"/>
        <v/>
      </c>
      <c r="SP12" s="11" t="str">
        <f t="shared" si="207"/>
        <v/>
      </c>
      <c r="SQ12" s="11" t="str">
        <f t="shared" si="208"/>
        <v/>
      </c>
      <c r="SR12" s="11" t="str">
        <f t="shared" si="209"/>
        <v/>
      </c>
      <c r="SS12" s="11" t="str">
        <f t="shared" si="210"/>
        <v/>
      </c>
      <c r="ST12" s="11" t="str">
        <f t="shared" si="211"/>
        <v/>
      </c>
      <c r="SU12" s="11" t="str">
        <f t="shared" si="212"/>
        <v/>
      </c>
      <c r="SV12" s="22">
        <f t="shared" si="213"/>
        <v>8.85</v>
      </c>
      <c r="SW12" s="22">
        <f t="shared" si="214"/>
        <v>6.1</v>
      </c>
      <c r="SX12" s="22">
        <f t="shared" si="215"/>
        <v>9.65</v>
      </c>
      <c r="SY12" s="22">
        <f t="shared" si="216"/>
        <v>9.8350000000000009</v>
      </c>
      <c r="SZ12" s="22">
        <f t="shared" si="217"/>
        <v>0</v>
      </c>
      <c r="TA12" s="22">
        <f t="shared" si="218"/>
        <v>3.4499999999999997</v>
      </c>
      <c r="TB12" s="22">
        <f t="shared" si="219"/>
        <v>2.15</v>
      </c>
      <c r="TC12" s="22">
        <f t="shared" si="220"/>
        <v>4.2</v>
      </c>
      <c r="TD12" s="22">
        <f t="shared" si="221"/>
        <v>3.9849999999999999</v>
      </c>
      <c r="TE12" s="22">
        <f t="shared" si="222"/>
        <v>0</v>
      </c>
      <c r="TF12" s="22">
        <f t="shared" si="223"/>
        <v>6.95</v>
      </c>
      <c r="TG12" s="22">
        <f t="shared" si="224"/>
        <v>4.6500000000000004</v>
      </c>
      <c r="TH12" s="22">
        <f t="shared" si="225"/>
        <v>7.3</v>
      </c>
      <c r="TI12" s="22">
        <f t="shared" si="226"/>
        <v>7.5250000000000004</v>
      </c>
      <c r="TJ12" s="22">
        <f t="shared" si="227"/>
        <v>0</v>
      </c>
      <c r="TK12" s="27" t="s">
        <v>46</v>
      </c>
      <c r="TL12" s="40">
        <f t="shared" si="228"/>
        <v>9.65</v>
      </c>
      <c r="TM12" s="40">
        <f t="shared" si="229"/>
        <v>9.8350000000000009</v>
      </c>
      <c r="TN12" s="40">
        <f t="shared" si="230"/>
        <v>34.435000000000002</v>
      </c>
      <c r="TO12" s="40">
        <f t="shared" si="231"/>
        <v>4.2</v>
      </c>
      <c r="TP12" s="40">
        <f t="shared" si="232"/>
        <v>3.9849999999999999</v>
      </c>
      <c r="TQ12" s="40">
        <f t="shared" si="233"/>
        <v>13.785</v>
      </c>
      <c r="TR12" s="40">
        <f t="shared" si="234"/>
        <v>34.435000000000002</v>
      </c>
      <c r="TS12" s="40">
        <f t="shared" si="235"/>
        <v>7.3</v>
      </c>
      <c r="TT12" s="40">
        <f t="shared" si="236"/>
        <v>7.5250000000000004</v>
      </c>
      <c r="TU12" s="40">
        <f t="shared" si="237"/>
        <v>26.425000000000004</v>
      </c>
      <c r="TV12" s="40">
        <f t="shared" si="238"/>
        <v>60.860000000000007</v>
      </c>
    </row>
    <row r="13" spans="1:542" x14ac:dyDescent="0.2">
      <c r="A13" s="4" t="str" cm="1">
        <f t="array" ref="A13">IF(AND(J13&lt;&gt;"",J13&lt;&gt;"No DD"),SUMPRODUCT((J$4:J$28&lt;&gt;"")*(J$4:J$28&lt;&gt;"No DD")*(F$4:F$28&gt;F13))+1,IF(J13="No DD",SUMPRODUCT((J$4:J$28="No DD")*(F$4:F$28&gt;F13))+1+SUMPRODUCT((J$4:J$28&lt;&gt;"")*(J$4:J$28&lt;&gt;"No DD")),""))</f>
        <v/>
      </c>
      <c r="B13" s="4" t="str" cm="1">
        <f t="array" ref="B13">IF(AND(J13&lt;&gt;"",J13&lt;&gt;"No DD",G13=""),SUMPRODUCT((J$4:J$28&lt;&gt;"")*(J$4:J$28&lt;&gt;"No DD")*(G$4:G$28="")*(F$4:F$28&gt;F13))+1,IF(J13="No DD",SUMPRODUCT((J$4:J$28="No DD")*(F$4:F$28&gt;F13)*(G$4:G$28=""))+1+SUMPRODUCT((J$4:J$28&lt;&gt;"")*(G$4:G$28="")*(J$4:J$28&lt;&gt;"No DD")),""))</f>
        <v/>
      </c>
      <c r="C13" s="5" t="s">
        <v>95</v>
      </c>
      <c r="D13" s="4" t="s">
        <v>5</v>
      </c>
      <c r="E13" s="4">
        <v>2005</v>
      </c>
      <c r="F13" s="9">
        <f t="shared" si="0"/>
        <v>188.57001885700527</v>
      </c>
      <c r="G13" s="64"/>
      <c r="H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P","")</f>
        <v/>
      </c>
      <c r="I13" s="3" t="str">
        <f>IF(OR(AND(AQ13&gt;=AY$34,AQ13&lt;&gt;"",AN13=""),AND(AT13&gt;=AY$34,AT13&lt;&gt;"",AN13=""),AND(AX13&gt;=AY$34,AX13&lt;&gt;"",AN13=""),AND(BR13&gt;=BZ$34,BR13&lt;&gt;"",BO13=""),AND(BU13&gt;=BZ$34,BU13&lt;&gt;"",BO13=""),AND(BY13&gt;=BZ$34,BY13&lt;&gt;"",BO13=""),AND(CS13&gt;=DA$34,CS13&lt;&gt;"",CP13=""),AND(CV13&gt;=DA$34,CV13&lt;&gt;"",CP13=""),AND(CZ13&gt;=DA$34,CZ13&lt;&gt;"",CP13=""),AND(DZ13&gt;=EK$34,DZ13&lt;&gt;""),AND(EC13&gt;=EK$34,EC13&lt;&gt;""),AND(EG13&gt;=EK$34,EG13&lt;&gt;""),AND(EJ13&gt;=EK$34,EJ13&lt;&gt;""),AND(FH13&gt;=FS$34,FH13&lt;&gt;""),AND(FK13&gt;=FS$34,FK13&lt;&gt;""),AND(FO13&gt;=FS$34,FO13&lt;&gt;""),AND(FR13&gt;=FS$34,FR13&lt;&gt;""),AND(GP13&gt;=HA$34,GP13&lt;&gt;""),AND(GS13&gt;=HA$34,GS13&lt;&gt;""),AND(GW13&gt;=HA$34,GW13&lt;&gt;""),AND(GZ13&gt;=HA$34,GZ13&lt;&gt;""),AND(HX13&gt;=II$34,HX13&lt;&gt;""),AND(IA13&gt;=II$34,IA13&lt;&gt;""),AND(IE13&gt;=II$34,IE13&lt;&gt;""),AND(IH13&gt;=II$34,IH13&lt;&gt;""),AND(JF13&gt;=JQ$34,JF13&lt;&gt;""),AND(JI13&gt;=JQ$34,JI13&lt;&gt;""),AND(JM13&gt;=JQ$34,JM13&lt;&gt;""),AND(JP13&gt;=JQ$34,JP13&lt;&gt;""),AND(KN13&gt;=KY$34,KN13&lt;&gt;""),AND(KQ13&gt;=KY$34,KQ13&lt;&gt;""),AND(KU13&gt;=KY$34,KU13&lt;&gt;""),AND(KX13&gt;=KY$34,KX13&lt;&gt;""),AND(LV13&gt;=MG$34,LV13&lt;&gt;""),AND(LY13&gt;=MG$34,LY13&lt;&gt;""),AND(MC13&gt;=MG$34,MC13&lt;&gt;""),AND(MF13&gt;=MG$34,MF13&lt;&gt;""),AND(ND13&gt;=NO$34,ND13&lt;&gt;""),AND(NG13&gt;=NO$34,NG13&lt;&gt;""),AND(NK13&gt;=NO$34,NK13&lt;&gt;""),AND(NN13&gt;=NO$34,NN13&lt;&gt;""),AND(OL13&gt;=OW$34,OL13&lt;&gt;""),AND(OO13&gt;=OW$34,OO13&lt;&gt;""),AND(OS13&gt;=OW$34,OS13&lt;&gt;""),AND(OV13&gt;=OW$34,OV13&lt;&gt;""),AND(PT13&gt;=QE$34,PT13&lt;&gt;""),AND(PW13&gt;=QE$34,PW13&lt;&gt;""),AND(QA13&gt;=QE$34,QA13&lt;&gt;""),AND(QD13&gt;=QE$34,QD13&lt;&gt;""),AND(RB13&gt;=RM$34,RB13&lt;&gt;""),AND(RE13&gt;=RM$34,RE13&lt;&gt;""),AND(RI13&gt;=RM$34,RI13&lt;&gt;""),AND(RL13&gt;=RM$34,RL13&lt;&gt;""),AND(SJ13&gt;=SU$34,SJ13&lt;&gt;""),AND(SM13&gt;=SU$34,SM13&lt;&gt;""),AND(SQ13&gt;=SU$34,SQ13&lt;&gt;""),AND(ST13&gt;=SU$34,ST13&lt;&gt;"")),"P","")</f>
        <v/>
      </c>
      <c r="J13" s="36" t="str">
        <f>IF(AND(I13="P",H13=""),"No DD",IF(OR(AND(AO13&gt;=AY$33,AO13&lt;&gt;"",AQ13&gt;=AY$37,AQ13&lt;&gt;"",AN13=""),AND(AR13&gt;=AY$33,AR13&lt;&gt;"",AT13&gt;=AY$37,AT13&lt;&gt;"",AN13=""),AND(AV13&gt;=AY$33,AV13&lt;&gt;"",AX13&gt;=AY$37,AX13&lt;&gt;"",AN13=""),AND(BP13&gt;=BZ$33,BP13&lt;&gt;"",BR13&gt;=BZ$37,BR13&lt;&gt;"",BO13=""),AND(BS13&gt;=BZ$33,BS13&lt;&gt;"",BU13&gt;=BZ$37,BU13&lt;&gt;"",BO13=""),AND(BW13&gt;=BZ$33,BW13&lt;&gt;"",BY13&gt;=BZ$37,BY13&lt;&gt;"",BO13=""),AND(CQ13&gt;=DA$33,CQ13&lt;&gt;"",CS13&gt;=DA$37,CS13&lt;&gt;"",CP13=""),AND(CT13&gt;=DA$33,CT13&lt;&gt;"",CV13&gt;=DA$37,CV13&lt;&gt;"",CP13=""),AND(CX13&gt;=DA$33,CX13&lt;&gt;"",CZ13&gt;=DA$37,CZ13&lt;&gt;"",CP13=""),AND(DX13&gt;=EK$33,DX13&lt;&gt;"",DZ13&gt;=EK$37,DZ13&lt;&gt;""),AND(EA13&gt;=EK$33,EA13&lt;&gt;"",EC13&gt;=EK$37,EC13&lt;&gt;""),AND(EE13&gt;=EK$33,EE13&lt;&gt;"",EG13&gt;=EK$37,EG13&lt;&gt;""),AND(EH13&gt;=EK$33,EH13&lt;&gt;"",EJ13&gt;=EK$37,EJ13&lt;&gt;""),AND(FF13&gt;=FS$33,FF13&lt;&gt;"",FH13&gt;=FS$37,FH13&lt;&gt;""),AND(FI13&gt;=FS$33,FI13&lt;&gt;"",FK13&gt;=FS$37,FK13&lt;&gt;""),AND(FM13&gt;=FS$33,FM13&lt;&gt;"",FO13&gt;=FS$37,FO13&lt;&gt;""),AND(FP13&gt;=FS$33,FP13&lt;&gt;"",FR13&gt;=FS$37,FR13&lt;&gt;""),AND(GN13&gt;=HA$33,GN13&lt;&gt;"",GP13&gt;=HA$37,GP13&lt;&gt;""),AND(GQ13&gt;=HA$33,GQ13&lt;&gt;"",GS13&gt;=HA$37,GS13&lt;&gt;""),AND(GU13&gt;=HA$33,GU13&lt;&gt;"",GW13&gt;=HA$37,GW13&lt;&gt;""),AND(GX13&gt;=HA$33,GX13&lt;&gt;"",GZ13&gt;=HA$37,GZ13&lt;&gt;""),AND(HV13&gt;=II$33,HV13&lt;&gt;"",HX13&gt;=II$37,HX13&lt;&gt;""),AND(HY13&gt;=II$33,HY13&lt;&gt;"",IA13&gt;=II$37,IA13&lt;&gt;""),AND(IC13&gt;=II$33,IC13&lt;&gt;"",IE13&gt;=II$37,IE13&lt;&gt;""),AND(IF13&gt;=II$33,IF13&lt;&gt;"",IH13&gt;=II$37,IH13&lt;&gt;""),AND(JD13&gt;=JQ$33,JD13&lt;&gt;"",JF13&gt;=JQ$37,JF13&lt;&gt;""),AND(JG13&gt;=JQ$33,JG13&lt;&gt;"",JI13&gt;=JQ$37,JI13&lt;&gt;""),AND(JK13&gt;=JQ$33,JK13&lt;&gt;"",JM13&gt;=JQ$37,JM13&lt;&gt;""),AND(JN13&gt;=JQ$33,JN13&lt;&gt;"",JP13&gt;=JQ$37,JP13&lt;&gt;""),AND(KL13&gt;=KY$33,KL13&lt;&gt;"",KN13&gt;=KY$37,KN13&lt;&gt;""),AND(KO13&gt;=KY$33,KO13&lt;&gt;"",KQ13&gt;=KY$37,KQ13&lt;&gt;""),AND(KS13&gt;=KY$33,KS13&lt;&gt;"",KU13&gt;=KY$37,KU13&lt;&gt;""),AND(KV13&gt;=KY$33,KV13&lt;&gt;"",KX13&gt;=KY$37,KX13&lt;&gt;""),AND(LT13&gt;=MG$33,LT13&lt;&gt;"",LV13&gt;=MG$37,LV13&lt;&gt;""),AND(LW13&gt;=MG$33,LW13&lt;&gt;"",LY13&gt;=MG$37,LY13&lt;&gt;""),AND(MA13&gt;=MG$33,MA13&lt;&gt;"",MC13&gt;=MG$37,MC13&lt;&gt;""),AND(MD13&gt;=MG$33,MD13&lt;&gt;"",MF13&gt;=MG$37,MF13&lt;&gt;""),AND(NB13&gt;=NO$33,NB13&lt;&gt;"",ND13&gt;=NO$37,ND13&lt;&gt;""),AND(NE13&gt;=NO$33,NE13&lt;&gt;"",NG13&gt;=NO$37,NG13&lt;&gt;""),AND(NI13&gt;=NO$33,NI13&lt;&gt;"",NK13&gt;=NO$37,NK13&lt;&gt;""),AND(NL13&gt;=NO$33,NL13&lt;&gt;"",NN13&gt;=NO$37,NN13&lt;&gt;""),AND(OJ13&gt;=OW$33,OJ13&lt;&gt;"",OL13&gt;=OW$37,OL13&lt;&gt;""),AND(OM13&gt;=OW$33,OM13&lt;&gt;"",OO13&gt;=OW$37,OO13&lt;&gt;""),AND(OQ13&gt;=OW$33,OQ13&lt;&gt;"",OS13&gt;=OW$37,OS13&lt;&gt;""),AND(OT13&gt;=OW$33,OT13&lt;&gt;"",OV13&gt;=OW$37,OV13&lt;&gt;""),AND(PR13&gt;=QE$33,PR13&lt;&gt;"",PT13&gt;=QE$37,PT13&lt;&gt;""),AND(PU13&gt;=QE$33,PU13&lt;&gt;"",PW13&gt;=QE$37,PW13&lt;&gt;""),AND(PY13&gt;=QE$33,PY13&lt;&gt;"",QA13&gt;=QE$37,QA13&lt;&gt;""),AND(QB13&gt;=QE$33,QB13&lt;&gt;"",QD13&gt;=QE$37,QD13&lt;&gt;""),AND(QZ13&gt;=RM$33,QZ13&lt;&gt;"",RB13&gt;=RM$37,RB13&lt;&gt;""),AND(RC13&gt;=RM$33,RC13&lt;&gt;"",RE13&gt;=RM$37,RE13&lt;&gt;""),AND(RG13&gt;=RM$33,RG13&lt;&gt;"",RI13&gt;=RM$37,RI13&lt;&gt;""),AND(RJ13&gt;=RM$33,RJ13&lt;&gt;"",RL13&gt;=RM$37,RL13&lt;&gt;""),AND(SH13&gt;=SU$33,SH13&lt;&gt;"",SJ13&gt;=SU$37,SJ13&lt;&gt;""),AND(SK13&gt;=SU$33,SK13&lt;&gt;"",SM13&gt;=SU$37,SM13&lt;&gt;""),AND(SO13&gt;=SU$33,SO13&lt;&gt;"",SQ13&gt;=SU$37,SQ13&lt;&gt;""),AND(SR13&gt;=SU$33,SR13&lt;&gt;"",ST13&gt;=SU$37,ST13&lt;&gt;"")),"Merit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),"Excellence",IF(K13="P","Worlds Team",IF(H13="P","National Team","")))))</f>
        <v/>
      </c>
      <c r="K13" s="3" t="str">
        <f>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P","")</f>
        <v/>
      </c>
      <c r="L13" s="8">
        <f>IF(COUNT(AQ13,AT13,BR13,BU13,CS13,CV13)&gt;0,LARGE((AQ13,AT13,BR13,BU13,CS13,CV13),1),0)</f>
        <v>52.489999999999995</v>
      </c>
      <c r="M13" s="8" t="str">
        <f t="shared" si="1"/>
        <v>2025 Nationals</v>
      </c>
      <c r="N13" s="8">
        <f>IF(COUNT(AQ13,AT13,BR13,BU13,CS13,CV13)&gt;1,LARGE((AQ13,AT13,BR13,BU13,CS13,CV13),2),0)</f>
        <v>52.05</v>
      </c>
      <c r="O13" s="8" t="str">
        <f t="shared" si="2"/>
        <v>2025 Elite Canada</v>
      </c>
      <c r="P13" s="8">
        <f>IF(COUNT(AQ13,AT13,BR13,BU13,CS13,CV13)&gt;2,MAX(AX13,BY13,CZ13,LARGE((AQ13,AT13,BR13,BU13,CS13,CV13),3)),IF(MAX(AX13,BY13,CZ13)&gt;0,MAX(AX13,BY13,CZ13),0))</f>
        <v>53.38000000000001</v>
      </c>
      <c r="Q13" s="8" t="str">
        <f t="shared" si="3"/>
        <v>2025 Nationals</v>
      </c>
      <c r="R13" s="8">
        <f t="shared" si="4"/>
        <v>14.9</v>
      </c>
      <c r="S13" s="8" t="str">
        <f t="shared" si="5"/>
        <v>2025 Elite Canada</v>
      </c>
      <c r="T13" s="8">
        <f>IF(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&gt;0,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,0)</f>
        <v>15.75</v>
      </c>
      <c r="U13" s="8" t="str">
        <f t="shared" si="6"/>
        <v>2025 Elite Canada</v>
      </c>
      <c r="V13" s="8" t="str">
        <f t="shared" si="7"/>
        <v/>
      </c>
      <c r="W13" s="11" t="str">
        <f t="shared" si="8"/>
        <v/>
      </c>
      <c r="X13" s="8" t="str">
        <f t="shared" si="9"/>
        <v/>
      </c>
      <c r="Y13" s="22">
        <v>10</v>
      </c>
      <c r="Z13" s="22">
        <v>6.4</v>
      </c>
      <c r="AA13" s="22">
        <v>8.1999999999999993</v>
      </c>
      <c r="AB13" s="22">
        <v>10.86</v>
      </c>
      <c r="AC13" s="22">
        <v>0</v>
      </c>
      <c r="AD13" s="22">
        <v>4.3</v>
      </c>
      <c r="AE13" s="22">
        <v>2.2999999999999998</v>
      </c>
      <c r="AF13" s="22">
        <v>12.5</v>
      </c>
      <c r="AG13" s="22">
        <v>5.15</v>
      </c>
      <c r="AH13" s="22">
        <v>0</v>
      </c>
      <c r="AI13" s="22"/>
      <c r="AJ13" s="22"/>
      <c r="AK13" s="22"/>
      <c r="AL13" s="22"/>
      <c r="AM13" s="22"/>
      <c r="AN13" s="27"/>
      <c r="AO13" s="38">
        <f t="shared" si="10"/>
        <v>8.1999999999999993</v>
      </c>
      <c r="AP13" s="38">
        <f t="shared" si="11"/>
        <v>10.86</v>
      </c>
      <c r="AQ13" s="40">
        <f t="shared" si="12"/>
        <v>35.459999999999994</v>
      </c>
      <c r="AR13" s="40">
        <f t="shared" si="13"/>
        <v>12.5</v>
      </c>
      <c r="AS13" s="40">
        <f t="shared" si="14"/>
        <v>5.15</v>
      </c>
      <c r="AT13" s="40">
        <f t="shared" si="15"/>
        <v>24.25</v>
      </c>
      <c r="AU13" s="40">
        <f t="shared" si="16"/>
        <v>35.459999999999994</v>
      </c>
      <c r="AV13" s="40" t="str">
        <f t="shared" si="17"/>
        <v/>
      </c>
      <c r="AW13" s="40" t="str">
        <f t="shared" si="18"/>
        <v/>
      </c>
      <c r="AX13" s="40" t="str">
        <f t="shared" si="19"/>
        <v/>
      </c>
      <c r="AY13" s="40">
        <f t="shared" si="20"/>
        <v>35.459999999999994</v>
      </c>
      <c r="AZ13" s="26">
        <v>11.8</v>
      </c>
      <c r="BA13" s="26">
        <v>9.6</v>
      </c>
      <c r="BB13" s="26">
        <v>14.9</v>
      </c>
      <c r="BC13" s="26">
        <v>15.75</v>
      </c>
      <c r="BD13" s="26">
        <v>0</v>
      </c>
      <c r="BE13" s="26">
        <v>2.7</v>
      </c>
      <c r="BF13" s="26">
        <v>1.8</v>
      </c>
      <c r="BG13" s="26">
        <v>3.3</v>
      </c>
      <c r="BH13" s="26">
        <v>3.33</v>
      </c>
      <c r="BI13" s="26">
        <v>0</v>
      </c>
      <c r="BJ13" s="26">
        <v>12.3</v>
      </c>
      <c r="BK13" s="26">
        <v>8.4</v>
      </c>
      <c r="BL13" s="26">
        <v>13.2</v>
      </c>
      <c r="BM13" s="26">
        <v>14.33</v>
      </c>
      <c r="BN13" s="26">
        <v>0</v>
      </c>
      <c r="BO13" s="28"/>
      <c r="BP13" s="39">
        <f t="shared" si="21"/>
        <v>14.9</v>
      </c>
      <c r="BQ13" s="39">
        <f t="shared" si="22"/>
        <v>15.75</v>
      </c>
      <c r="BR13" s="11">
        <f t="shared" si="23"/>
        <v>52.05</v>
      </c>
      <c r="BS13" s="11">
        <f t="shared" si="24"/>
        <v>3.3</v>
      </c>
      <c r="BT13" s="11">
        <f t="shared" si="25"/>
        <v>3.33</v>
      </c>
      <c r="BU13" s="11">
        <f t="shared" si="26"/>
        <v>11.129999999999999</v>
      </c>
      <c r="BV13" s="11">
        <f t="shared" si="27"/>
        <v>52.05</v>
      </c>
      <c r="BW13" s="11">
        <f t="shared" si="28"/>
        <v>13.2</v>
      </c>
      <c r="BX13" s="11">
        <f t="shared" si="29"/>
        <v>14.33</v>
      </c>
      <c r="BY13" s="11">
        <f t="shared" si="30"/>
        <v>48.230000000000004</v>
      </c>
      <c r="BZ13" s="11">
        <f t="shared" si="31"/>
        <v>100.28</v>
      </c>
      <c r="CA13" s="22">
        <v>10.1</v>
      </c>
      <c r="CB13" s="22">
        <v>7.7</v>
      </c>
      <c r="CC13" s="22">
        <v>12.6</v>
      </c>
      <c r="CD13" s="22">
        <v>13.81</v>
      </c>
      <c r="CE13" s="22">
        <v>0</v>
      </c>
      <c r="CF13" s="22">
        <v>13.1</v>
      </c>
      <c r="CG13" s="22">
        <v>9</v>
      </c>
      <c r="CH13" s="22">
        <v>14.7</v>
      </c>
      <c r="CI13" s="22">
        <v>15.69</v>
      </c>
      <c r="CJ13" s="22">
        <v>0</v>
      </c>
      <c r="CK13" s="22">
        <v>14.4</v>
      </c>
      <c r="CL13" s="22">
        <v>8.8000000000000007</v>
      </c>
      <c r="CM13" s="22">
        <v>14.7</v>
      </c>
      <c r="CN13" s="22">
        <v>15.48</v>
      </c>
      <c r="CO13" s="22">
        <v>0</v>
      </c>
      <c r="CP13" s="27"/>
      <c r="CQ13" s="38">
        <f t="shared" si="32"/>
        <v>12.6</v>
      </c>
      <c r="CR13" s="38">
        <f t="shared" si="33"/>
        <v>13.81</v>
      </c>
      <c r="CS13" s="40">
        <f t="shared" si="34"/>
        <v>44.21</v>
      </c>
      <c r="CT13" s="40">
        <f t="shared" si="35"/>
        <v>14.7</v>
      </c>
      <c r="CU13" s="40">
        <f t="shared" si="36"/>
        <v>15.69</v>
      </c>
      <c r="CV13" s="40">
        <f t="shared" si="37"/>
        <v>52.489999999999995</v>
      </c>
      <c r="CW13" s="40">
        <f t="shared" si="38"/>
        <v>52.489999999999995</v>
      </c>
      <c r="CX13" s="40">
        <f t="shared" si="39"/>
        <v>14.7</v>
      </c>
      <c r="CY13" s="40">
        <f t="shared" si="40"/>
        <v>15.48</v>
      </c>
      <c r="CZ13" s="40">
        <f t="shared" si="41"/>
        <v>53.38000000000001</v>
      </c>
      <c r="DA13" s="40">
        <f t="shared" si="42"/>
        <v>105.87</v>
      </c>
      <c r="DB13" s="50" t="str">
        <f t="shared" si="43"/>
        <v/>
      </c>
      <c r="DC13" s="50" t="str">
        <f t="shared" si="44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45"/>
        <v/>
      </c>
      <c r="DY13" s="40" t="str">
        <f t="shared" si="46"/>
        <v/>
      </c>
      <c r="DZ13" s="40" t="str">
        <f t="shared" si="47"/>
        <v/>
      </c>
      <c r="EA13" s="40" t="str">
        <f t="shared" si="48"/>
        <v/>
      </c>
      <c r="EB13" s="40" t="str">
        <f t="shared" si="49"/>
        <v/>
      </c>
      <c r="EC13" s="40" t="str">
        <f t="shared" si="50"/>
        <v/>
      </c>
      <c r="ED13" s="40" t="str">
        <f t="shared" si="51"/>
        <v/>
      </c>
      <c r="EE13" s="40" t="str">
        <f t="shared" si="52"/>
        <v/>
      </c>
      <c r="EF13" s="40" t="str">
        <f t="shared" si="53"/>
        <v/>
      </c>
      <c r="EG13" s="40" t="str">
        <f t="shared" si="54"/>
        <v/>
      </c>
      <c r="EH13" s="40" t="str">
        <f t="shared" si="55"/>
        <v/>
      </c>
      <c r="EI13" s="40" t="str">
        <f t="shared" si="56"/>
        <v/>
      </c>
      <c r="EJ13" s="40" t="str">
        <f t="shared" si="57"/>
        <v/>
      </c>
      <c r="EK13" s="40" t="str">
        <f t="shared" si="58"/>
        <v/>
      </c>
      <c r="EL13" s="18">
        <v>12.9</v>
      </c>
      <c r="EM13" s="18">
        <v>9.5</v>
      </c>
      <c r="EN13" s="18">
        <v>12.8</v>
      </c>
      <c r="EO13" s="18">
        <v>15.18</v>
      </c>
      <c r="EP13" s="18">
        <v>0</v>
      </c>
      <c r="EQ13" s="18">
        <v>13.7</v>
      </c>
      <c r="ER13" s="18">
        <v>8.6999999999999993</v>
      </c>
      <c r="ES13" s="18">
        <v>12.5</v>
      </c>
      <c r="ET13" s="18">
        <v>14.91</v>
      </c>
      <c r="EU13" s="18">
        <v>0</v>
      </c>
      <c r="EV13" s="18">
        <v>13.7</v>
      </c>
      <c r="EW13" s="18">
        <v>9.1999999999999993</v>
      </c>
      <c r="EX13" s="18">
        <v>13.3</v>
      </c>
      <c r="EY13" s="18">
        <v>15.33</v>
      </c>
      <c r="EZ13" s="18">
        <v>0</v>
      </c>
      <c r="FA13" s="18">
        <v>13.9</v>
      </c>
      <c r="FB13" s="18">
        <v>9.1999999999999993</v>
      </c>
      <c r="FC13" s="18">
        <v>13.3</v>
      </c>
      <c r="FD13" s="18">
        <v>15.61</v>
      </c>
      <c r="FE13" s="18">
        <v>0</v>
      </c>
      <c r="FF13" s="11">
        <f t="shared" si="59"/>
        <v>12.8</v>
      </c>
      <c r="FG13" s="11">
        <f t="shared" si="60"/>
        <v>15.18</v>
      </c>
      <c r="FH13" s="11">
        <f t="shared" si="61"/>
        <v>50.38</v>
      </c>
      <c r="FI13" s="11">
        <f t="shared" si="62"/>
        <v>12.5</v>
      </c>
      <c r="FJ13" s="11">
        <f t="shared" si="63"/>
        <v>14.91</v>
      </c>
      <c r="FK13" s="11">
        <f t="shared" si="64"/>
        <v>49.81</v>
      </c>
      <c r="FL13" s="11">
        <f t="shared" si="65"/>
        <v>50.38</v>
      </c>
      <c r="FM13" s="11">
        <f t="shared" si="66"/>
        <v>13.3</v>
      </c>
      <c r="FN13" s="11">
        <f t="shared" si="67"/>
        <v>15.33</v>
      </c>
      <c r="FO13" s="11">
        <f t="shared" si="68"/>
        <v>51.53</v>
      </c>
      <c r="FP13" s="11">
        <f t="shared" si="69"/>
        <v>13.3</v>
      </c>
      <c r="FQ13" s="11">
        <f t="shared" si="70"/>
        <v>15.61</v>
      </c>
      <c r="FR13" s="11">
        <f t="shared" si="71"/>
        <v>52.010000000000005</v>
      </c>
      <c r="FS13" s="11">
        <f t="shared" si="72"/>
        <v>153.92000000000002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3"/>
        <v/>
      </c>
      <c r="GO13" s="40" t="str">
        <f t="shared" si="74"/>
        <v/>
      </c>
      <c r="GP13" s="40" t="str">
        <f t="shared" si="75"/>
        <v/>
      </c>
      <c r="GQ13" s="40" t="str">
        <f t="shared" si="76"/>
        <v/>
      </c>
      <c r="GR13" s="40" t="str">
        <f t="shared" si="77"/>
        <v/>
      </c>
      <c r="GS13" s="40" t="str">
        <f t="shared" si="78"/>
        <v/>
      </c>
      <c r="GT13" s="40" t="str">
        <f t="shared" si="79"/>
        <v/>
      </c>
      <c r="GU13" s="40" t="str">
        <f t="shared" si="80"/>
        <v/>
      </c>
      <c r="GV13" s="40" t="str">
        <f t="shared" si="81"/>
        <v/>
      </c>
      <c r="GW13" s="40" t="str">
        <f t="shared" si="82"/>
        <v/>
      </c>
      <c r="GX13" s="40" t="str">
        <f t="shared" si="83"/>
        <v/>
      </c>
      <c r="GY13" s="40" t="str">
        <f t="shared" si="84"/>
        <v/>
      </c>
      <c r="GZ13" s="40" t="str">
        <f t="shared" si="85"/>
        <v/>
      </c>
      <c r="HA13" s="40" t="str">
        <f t="shared" si="86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87"/>
        <v/>
      </c>
      <c r="HW13" s="11" t="str">
        <f t="shared" si="88"/>
        <v/>
      </c>
      <c r="HX13" s="11" t="str">
        <f t="shared" si="89"/>
        <v/>
      </c>
      <c r="HY13" s="11" t="str">
        <f t="shared" si="90"/>
        <v/>
      </c>
      <c r="HZ13" s="11" t="str">
        <f t="shared" si="91"/>
        <v/>
      </c>
      <c r="IA13" s="11" t="str">
        <f t="shared" si="92"/>
        <v/>
      </c>
      <c r="IB13" s="11" t="str">
        <f t="shared" si="93"/>
        <v/>
      </c>
      <c r="IC13" s="11" t="str">
        <f t="shared" si="94"/>
        <v/>
      </c>
      <c r="ID13" s="11" t="str">
        <f t="shared" si="95"/>
        <v/>
      </c>
      <c r="IE13" s="11" t="str">
        <f t="shared" si="96"/>
        <v/>
      </c>
      <c r="IF13" s="11" t="str">
        <f t="shared" si="97"/>
        <v/>
      </c>
      <c r="IG13" s="11" t="str">
        <f t="shared" si="98"/>
        <v/>
      </c>
      <c r="IH13" s="11" t="str">
        <f t="shared" si="99"/>
        <v/>
      </c>
      <c r="II13" s="11" t="str">
        <f t="shared" si="100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1"/>
        <v/>
      </c>
      <c r="JE13" s="40" t="str">
        <f t="shared" si="102"/>
        <v/>
      </c>
      <c r="JF13" s="40" t="str">
        <f t="shared" si="103"/>
        <v/>
      </c>
      <c r="JG13" s="40" t="str">
        <f t="shared" si="104"/>
        <v/>
      </c>
      <c r="JH13" s="40" t="str">
        <f t="shared" si="105"/>
        <v/>
      </c>
      <c r="JI13" s="40" t="str">
        <f t="shared" si="106"/>
        <v/>
      </c>
      <c r="JJ13" s="40" t="str">
        <f t="shared" si="107"/>
        <v/>
      </c>
      <c r="JK13" s="40" t="str">
        <f t="shared" si="108"/>
        <v/>
      </c>
      <c r="JL13" s="40" t="str">
        <f t="shared" si="109"/>
        <v/>
      </c>
      <c r="JM13" s="40" t="str">
        <f t="shared" si="110"/>
        <v/>
      </c>
      <c r="JN13" s="40" t="str">
        <f t="shared" si="111"/>
        <v/>
      </c>
      <c r="JO13" s="40" t="str">
        <f t="shared" si="112"/>
        <v/>
      </c>
      <c r="JP13" s="40" t="str">
        <f t="shared" si="113"/>
        <v/>
      </c>
      <c r="JQ13" s="40" t="str">
        <f t="shared" si="114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15"/>
        <v/>
      </c>
      <c r="KM13" s="11" t="str">
        <f t="shared" si="116"/>
        <v/>
      </c>
      <c r="KN13" s="11" t="str">
        <f t="shared" si="117"/>
        <v/>
      </c>
      <c r="KO13" s="11" t="str">
        <f t="shared" si="118"/>
        <v/>
      </c>
      <c r="KP13" s="11" t="str">
        <f t="shared" si="119"/>
        <v/>
      </c>
      <c r="KQ13" s="11" t="str">
        <f t="shared" si="120"/>
        <v/>
      </c>
      <c r="KR13" s="11" t="str">
        <f t="shared" si="121"/>
        <v/>
      </c>
      <c r="KS13" s="11" t="str">
        <f t="shared" si="122"/>
        <v/>
      </c>
      <c r="KT13" s="11" t="str">
        <f t="shared" si="123"/>
        <v/>
      </c>
      <c r="KU13" s="11" t="str">
        <f t="shared" si="124"/>
        <v/>
      </c>
      <c r="KV13" s="11" t="str">
        <f t="shared" si="125"/>
        <v/>
      </c>
      <c r="KW13" s="11" t="str">
        <f t="shared" si="126"/>
        <v/>
      </c>
      <c r="KX13" s="11" t="str">
        <f t="shared" si="127"/>
        <v/>
      </c>
      <c r="KY13" s="11" t="str">
        <f t="shared" si="128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29"/>
        <v/>
      </c>
      <c r="LU13" s="40" t="str">
        <f t="shared" si="130"/>
        <v/>
      </c>
      <c r="LV13" s="40" t="str">
        <f t="shared" si="131"/>
        <v/>
      </c>
      <c r="LW13" s="40" t="str">
        <f t="shared" si="132"/>
        <v/>
      </c>
      <c r="LX13" s="40" t="str">
        <f t="shared" si="133"/>
        <v/>
      </c>
      <c r="LY13" s="40" t="str">
        <f t="shared" si="134"/>
        <v/>
      </c>
      <c r="LZ13" s="40" t="str">
        <f t="shared" si="135"/>
        <v/>
      </c>
      <c r="MA13" s="40" t="str">
        <f t="shared" si="136"/>
        <v/>
      </c>
      <c r="MB13" s="40" t="str">
        <f t="shared" si="137"/>
        <v/>
      </c>
      <c r="MC13" s="40" t="str">
        <f t="shared" si="138"/>
        <v/>
      </c>
      <c r="MD13" s="40" t="str">
        <f t="shared" si="139"/>
        <v/>
      </c>
      <c r="ME13" s="40" t="str">
        <f t="shared" si="140"/>
        <v/>
      </c>
      <c r="MF13" s="40" t="str">
        <f t="shared" si="141"/>
        <v/>
      </c>
      <c r="MG13" s="40" t="str">
        <f t="shared" si="142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3"/>
        <v/>
      </c>
      <c r="NC13" s="11" t="str">
        <f t="shared" si="144"/>
        <v/>
      </c>
      <c r="ND13" s="11" t="str">
        <f t="shared" si="145"/>
        <v/>
      </c>
      <c r="NE13" s="11" t="str">
        <f t="shared" si="146"/>
        <v/>
      </c>
      <c r="NF13" s="11" t="str">
        <f t="shared" si="147"/>
        <v/>
      </c>
      <c r="NG13" s="11" t="str">
        <f t="shared" si="148"/>
        <v/>
      </c>
      <c r="NH13" s="11" t="str">
        <f t="shared" si="149"/>
        <v/>
      </c>
      <c r="NI13" s="11" t="str">
        <f t="shared" si="150"/>
        <v/>
      </c>
      <c r="NJ13" s="11" t="str">
        <f t="shared" si="151"/>
        <v/>
      </c>
      <c r="NK13" s="11" t="str">
        <f t="shared" si="152"/>
        <v/>
      </c>
      <c r="NL13" s="11" t="str">
        <f t="shared" si="153"/>
        <v/>
      </c>
      <c r="NM13" s="11" t="str">
        <f t="shared" si="154"/>
        <v/>
      </c>
      <c r="NN13" s="11" t="str">
        <f t="shared" si="155"/>
        <v/>
      </c>
      <c r="NO13" s="11" t="str">
        <f t="shared" si="156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57"/>
        <v/>
      </c>
      <c r="OK13" s="40" t="str">
        <f t="shared" si="158"/>
        <v/>
      </c>
      <c r="OL13" s="40" t="str">
        <f t="shared" si="159"/>
        <v/>
      </c>
      <c r="OM13" s="40" t="str">
        <f t="shared" si="160"/>
        <v/>
      </c>
      <c r="ON13" s="40" t="str">
        <f t="shared" si="161"/>
        <v/>
      </c>
      <c r="OO13" s="40" t="str">
        <f t="shared" si="162"/>
        <v/>
      </c>
      <c r="OP13" s="40" t="str">
        <f t="shared" si="163"/>
        <v/>
      </c>
      <c r="OQ13" s="40" t="str">
        <f t="shared" si="164"/>
        <v/>
      </c>
      <c r="OR13" s="40" t="str">
        <f t="shared" si="165"/>
        <v/>
      </c>
      <c r="OS13" s="40" t="str">
        <f t="shared" si="166"/>
        <v/>
      </c>
      <c r="OT13" s="40" t="str">
        <f t="shared" si="167"/>
        <v/>
      </c>
      <c r="OU13" s="40" t="str">
        <f t="shared" si="168"/>
        <v/>
      </c>
      <c r="OV13" s="40" t="str">
        <f t="shared" si="169"/>
        <v/>
      </c>
      <c r="OW13" s="40" t="str">
        <f t="shared" si="170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1"/>
        <v/>
      </c>
      <c r="PS13" s="11" t="str">
        <f t="shared" si="172"/>
        <v/>
      </c>
      <c r="PT13" s="11" t="str">
        <f t="shared" si="173"/>
        <v/>
      </c>
      <c r="PU13" s="11" t="str">
        <f t="shared" si="174"/>
        <v/>
      </c>
      <c r="PV13" s="11" t="str">
        <f t="shared" si="175"/>
        <v/>
      </c>
      <c r="PW13" s="11" t="str">
        <f t="shared" si="176"/>
        <v/>
      </c>
      <c r="PX13" s="11" t="str">
        <f t="shared" si="177"/>
        <v/>
      </c>
      <c r="PY13" s="11" t="str">
        <f t="shared" si="178"/>
        <v/>
      </c>
      <c r="PZ13" s="11" t="str">
        <f t="shared" si="179"/>
        <v/>
      </c>
      <c r="QA13" s="11" t="str">
        <f t="shared" si="180"/>
        <v/>
      </c>
      <c r="QB13" s="11" t="str">
        <f t="shared" si="181"/>
        <v/>
      </c>
      <c r="QC13" s="11" t="str">
        <f t="shared" si="182"/>
        <v/>
      </c>
      <c r="QD13" s="11" t="str">
        <f t="shared" si="183"/>
        <v/>
      </c>
      <c r="QE13" s="11" t="str">
        <f t="shared" si="184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85"/>
        <v/>
      </c>
      <c r="RA13" s="40" t="str">
        <f t="shared" si="186"/>
        <v/>
      </c>
      <c r="RB13" s="40" t="str">
        <f t="shared" si="187"/>
        <v/>
      </c>
      <c r="RC13" s="40" t="str">
        <f t="shared" si="188"/>
        <v/>
      </c>
      <c r="RD13" s="40" t="str">
        <f t="shared" si="189"/>
        <v/>
      </c>
      <c r="RE13" s="40" t="str">
        <f t="shared" si="190"/>
        <v/>
      </c>
      <c r="RF13" s="40" t="str">
        <f t="shared" si="191"/>
        <v/>
      </c>
      <c r="RG13" s="40" t="str">
        <f t="shared" si="192"/>
        <v/>
      </c>
      <c r="RH13" s="40" t="str">
        <f t="shared" si="193"/>
        <v/>
      </c>
      <c r="RI13" s="40" t="str">
        <f t="shared" si="194"/>
        <v/>
      </c>
      <c r="RJ13" s="40" t="str">
        <f t="shared" si="195"/>
        <v/>
      </c>
      <c r="RK13" s="40" t="str">
        <f t="shared" si="196"/>
        <v/>
      </c>
      <c r="RL13" s="40" t="str">
        <f t="shared" si="197"/>
        <v/>
      </c>
      <c r="RM13" s="40" t="str">
        <f t="shared" si="198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199"/>
        <v/>
      </c>
      <c r="SI13" s="11" t="str">
        <f t="shared" si="200"/>
        <v/>
      </c>
      <c r="SJ13" s="11" t="str">
        <f t="shared" si="201"/>
        <v/>
      </c>
      <c r="SK13" s="11" t="str">
        <f t="shared" si="202"/>
        <v/>
      </c>
      <c r="SL13" s="11" t="str">
        <f t="shared" si="203"/>
        <v/>
      </c>
      <c r="SM13" s="11" t="str">
        <f t="shared" si="204"/>
        <v/>
      </c>
      <c r="SN13" s="11" t="str">
        <f t="shared" si="205"/>
        <v/>
      </c>
      <c r="SO13" s="11" t="str">
        <f t="shared" si="206"/>
        <v/>
      </c>
      <c r="SP13" s="11" t="str">
        <f t="shared" si="207"/>
        <v/>
      </c>
      <c r="SQ13" s="11" t="str">
        <f t="shared" si="208"/>
        <v/>
      </c>
      <c r="SR13" s="11" t="str">
        <f t="shared" si="209"/>
        <v/>
      </c>
      <c r="SS13" s="11" t="str">
        <f t="shared" si="210"/>
        <v/>
      </c>
      <c r="ST13" s="11" t="str">
        <f t="shared" si="211"/>
        <v/>
      </c>
      <c r="SU13" s="11" t="str">
        <f t="shared" si="212"/>
        <v/>
      </c>
      <c r="SV13" s="22">
        <f t="shared" si="213"/>
        <v>10.95</v>
      </c>
      <c r="SW13" s="22">
        <f t="shared" si="214"/>
        <v>8.65</v>
      </c>
      <c r="SX13" s="22">
        <f t="shared" si="215"/>
        <v>13.75</v>
      </c>
      <c r="SY13" s="22">
        <f t="shared" si="216"/>
        <v>14.780000000000001</v>
      </c>
      <c r="SZ13" s="22">
        <f t="shared" si="217"/>
        <v>0</v>
      </c>
      <c r="TA13" s="22">
        <f t="shared" si="218"/>
        <v>7.9</v>
      </c>
      <c r="TB13" s="22">
        <f t="shared" si="219"/>
        <v>5.4</v>
      </c>
      <c r="TC13" s="22">
        <f t="shared" si="220"/>
        <v>9</v>
      </c>
      <c r="TD13" s="22">
        <f t="shared" si="221"/>
        <v>9.51</v>
      </c>
      <c r="TE13" s="22">
        <f t="shared" si="222"/>
        <v>0</v>
      </c>
      <c r="TF13" s="22">
        <f t="shared" si="223"/>
        <v>13.350000000000001</v>
      </c>
      <c r="TG13" s="22">
        <f t="shared" si="224"/>
        <v>8.6000000000000014</v>
      </c>
      <c r="TH13" s="22">
        <f t="shared" si="225"/>
        <v>13.95</v>
      </c>
      <c r="TI13" s="22">
        <f t="shared" si="226"/>
        <v>14.905000000000001</v>
      </c>
      <c r="TJ13" s="22">
        <f t="shared" si="227"/>
        <v>0</v>
      </c>
      <c r="TK13" s="27" t="s">
        <v>46</v>
      </c>
      <c r="TL13" s="40">
        <f t="shared" si="228"/>
        <v>13.75</v>
      </c>
      <c r="TM13" s="40">
        <f t="shared" si="229"/>
        <v>14.780000000000001</v>
      </c>
      <c r="TN13" s="40">
        <f t="shared" si="230"/>
        <v>48.13</v>
      </c>
      <c r="TO13" s="40">
        <f t="shared" si="231"/>
        <v>9</v>
      </c>
      <c r="TP13" s="40">
        <f t="shared" si="232"/>
        <v>9.51</v>
      </c>
      <c r="TQ13" s="40">
        <f t="shared" si="233"/>
        <v>31.810000000000002</v>
      </c>
      <c r="TR13" s="40">
        <f t="shared" si="234"/>
        <v>48.13</v>
      </c>
      <c r="TS13" s="40">
        <f t="shared" si="235"/>
        <v>13.95</v>
      </c>
      <c r="TT13" s="40">
        <f t="shared" si="236"/>
        <v>14.905000000000001</v>
      </c>
      <c r="TU13" s="40">
        <f t="shared" si="237"/>
        <v>50.805000000000007</v>
      </c>
      <c r="TV13" s="40">
        <f t="shared" si="238"/>
        <v>98.935000000000002</v>
      </c>
    </row>
    <row r="14" spans="1:542" x14ac:dyDescent="0.2">
      <c r="A14" s="4" t="str" cm="1">
        <f t="array" ref="A14">IF(AND(J14&lt;&gt;"",J14&lt;&gt;"No DD"),SUMPRODUCT((J$4:J$28&lt;&gt;"")*(J$4:J$28&lt;&gt;"No DD")*(F$4:F$28&gt;F14))+1,IF(J14="No DD",SUMPRODUCT((J$4:J$28="No DD")*(F$4:F$28&gt;F14))+1+SUMPRODUCT((J$4:J$28&lt;&gt;"")*(J$4:J$28&lt;&gt;"No DD")),""))</f>
        <v/>
      </c>
      <c r="B14" s="4" t="str" cm="1">
        <f t="array" ref="B14">IF(AND(J14&lt;&gt;"",J14&lt;&gt;"No DD",G14=""),SUMPRODUCT((J$4:J$28&lt;&gt;"")*(J$4:J$28&lt;&gt;"No DD")*(G$4:G$28="")*(F$4:F$28&gt;F14))+1,IF(J14="No DD",SUMPRODUCT((J$4:J$28="No DD")*(F$4:F$28&gt;F14)*(G$4:G$28=""))+1+SUMPRODUCT((J$4:J$28&lt;&gt;"")*(G$4:G$28="")*(J$4:J$28&lt;&gt;"No DD")),""))</f>
        <v/>
      </c>
      <c r="C14" s="5" t="s">
        <v>131</v>
      </c>
      <c r="D14" s="4" t="s">
        <v>4</v>
      </c>
      <c r="E14" s="4">
        <v>2007</v>
      </c>
      <c r="F14" s="9">
        <f t="shared" si="0"/>
        <v>184.32001843200524</v>
      </c>
      <c r="G14" s="64"/>
      <c r="H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P","")</f>
        <v/>
      </c>
      <c r="I14" s="3" t="str">
        <f>IF(OR(AND(AQ14&gt;=AY$34,AQ14&lt;&gt;"",AN14=""),AND(AT14&gt;=AY$34,AT14&lt;&gt;"",AN14=""),AND(AX14&gt;=AY$34,AX14&lt;&gt;"",AN14=""),AND(BR14&gt;=BZ$34,BR14&lt;&gt;"",BO14=""),AND(BU14&gt;=BZ$34,BU14&lt;&gt;"",BO14=""),AND(BY14&gt;=BZ$34,BY14&lt;&gt;"",BO14=""),AND(CS14&gt;=DA$34,CS14&lt;&gt;"",CP14=""),AND(CV14&gt;=DA$34,CV14&lt;&gt;"",CP14=""),AND(CZ14&gt;=DA$34,CZ14&lt;&gt;"",CP14=""),AND(DZ14&gt;=EK$34,DZ14&lt;&gt;""),AND(EC14&gt;=EK$34,EC14&lt;&gt;""),AND(EG14&gt;=EK$34,EG14&lt;&gt;""),AND(EJ14&gt;=EK$34,EJ14&lt;&gt;""),AND(FH14&gt;=FS$34,FH14&lt;&gt;""),AND(FK14&gt;=FS$34,FK14&lt;&gt;""),AND(FO14&gt;=FS$34,FO14&lt;&gt;""),AND(FR14&gt;=FS$34,FR14&lt;&gt;""),AND(GP14&gt;=HA$34,GP14&lt;&gt;""),AND(GS14&gt;=HA$34,GS14&lt;&gt;""),AND(GW14&gt;=HA$34,GW14&lt;&gt;""),AND(GZ14&gt;=HA$34,GZ14&lt;&gt;""),AND(HX14&gt;=II$34,HX14&lt;&gt;""),AND(IA14&gt;=II$34,IA14&lt;&gt;""),AND(IE14&gt;=II$34,IE14&lt;&gt;""),AND(IH14&gt;=II$34,IH14&lt;&gt;""),AND(JF14&gt;=JQ$34,JF14&lt;&gt;""),AND(JI14&gt;=JQ$34,JI14&lt;&gt;""),AND(JM14&gt;=JQ$34,JM14&lt;&gt;""),AND(JP14&gt;=JQ$34,JP14&lt;&gt;""),AND(KN14&gt;=KY$34,KN14&lt;&gt;""),AND(KQ14&gt;=KY$34,KQ14&lt;&gt;""),AND(KU14&gt;=KY$34,KU14&lt;&gt;""),AND(KX14&gt;=KY$34,KX14&lt;&gt;""),AND(LV14&gt;=MG$34,LV14&lt;&gt;""),AND(LY14&gt;=MG$34,LY14&lt;&gt;""),AND(MC14&gt;=MG$34,MC14&lt;&gt;""),AND(MF14&gt;=MG$34,MF14&lt;&gt;""),AND(ND14&gt;=NO$34,ND14&lt;&gt;""),AND(NG14&gt;=NO$34,NG14&lt;&gt;""),AND(NK14&gt;=NO$34,NK14&lt;&gt;""),AND(NN14&gt;=NO$34,NN14&lt;&gt;""),AND(OL14&gt;=OW$34,OL14&lt;&gt;""),AND(OO14&gt;=OW$34,OO14&lt;&gt;""),AND(OS14&gt;=OW$34,OS14&lt;&gt;""),AND(OV14&gt;=OW$34,OV14&lt;&gt;""),AND(PT14&gt;=QE$34,PT14&lt;&gt;""),AND(PW14&gt;=QE$34,PW14&lt;&gt;""),AND(QA14&gt;=QE$34,QA14&lt;&gt;""),AND(QD14&gt;=QE$34,QD14&lt;&gt;""),AND(RB14&gt;=RM$34,RB14&lt;&gt;""),AND(RE14&gt;=RM$34,RE14&lt;&gt;""),AND(RI14&gt;=RM$34,RI14&lt;&gt;""),AND(RL14&gt;=RM$34,RL14&lt;&gt;""),AND(SJ14&gt;=SU$34,SJ14&lt;&gt;""),AND(SM14&gt;=SU$34,SM14&lt;&gt;""),AND(SQ14&gt;=SU$34,SQ14&lt;&gt;""),AND(ST14&gt;=SU$34,ST14&lt;&gt;"")),"P","")</f>
        <v/>
      </c>
      <c r="J14" s="36" t="str">
        <f>IF(AND(I14="P",H14=""),"No DD",IF(OR(AND(AO14&gt;=AY$33,AO14&lt;&gt;"",AQ14&gt;=AY$37,AQ14&lt;&gt;"",AN14=""),AND(AR14&gt;=AY$33,AR14&lt;&gt;"",AT14&gt;=AY$37,AT14&lt;&gt;"",AN14=""),AND(AV14&gt;=AY$33,AV14&lt;&gt;"",AX14&gt;=AY$37,AX14&lt;&gt;"",AN14=""),AND(BP14&gt;=BZ$33,BP14&lt;&gt;"",BR14&gt;=BZ$37,BR14&lt;&gt;"",BO14=""),AND(BS14&gt;=BZ$33,BS14&lt;&gt;"",BU14&gt;=BZ$37,BU14&lt;&gt;"",BO14=""),AND(BW14&gt;=BZ$33,BW14&lt;&gt;"",BY14&gt;=BZ$37,BY14&lt;&gt;"",BO14=""),AND(CQ14&gt;=DA$33,CQ14&lt;&gt;"",CS14&gt;=DA$37,CS14&lt;&gt;"",CP14=""),AND(CT14&gt;=DA$33,CT14&lt;&gt;"",CV14&gt;=DA$37,CV14&lt;&gt;"",CP14=""),AND(CX14&gt;=DA$33,CX14&lt;&gt;"",CZ14&gt;=DA$37,CZ14&lt;&gt;"",CP14=""),AND(DX14&gt;=EK$33,DX14&lt;&gt;"",DZ14&gt;=EK$37,DZ14&lt;&gt;""),AND(EA14&gt;=EK$33,EA14&lt;&gt;"",EC14&gt;=EK$37,EC14&lt;&gt;""),AND(EE14&gt;=EK$33,EE14&lt;&gt;"",EG14&gt;=EK$37,EG14&lt;&gt;""),AND(EH14&gt;=EK$33,EH14&lt;&gt;"",EJ14&gt;=EK$37,EJ14&lt;&gt;""),AND(FF14&gt;=FS$33,FF14&lt;&gt;"",FH14&gt;=FS$37,FH14&lt;&gt;""),AND(FI14&gt;=FS$33,FI14&lt;&gt;"",FK14&gt;=FS$37,FK14&lt;&gt;""),AND(FM14&gt;=FS$33,FM14&lt;&gt;"",FO14&gt;=FS$37,FO14&lt;&gt;""),AND(FP14&gt;=FS$33,FP14&lt;&gt;"",FR14&gt;=FS$37,FR14&lt;&gt;""),AND(GN14&gt;=HA$33,GN14&lt;&gt;"",GP14&gt;=HA$37,GP14&lt;&gt;""),AND(GQ14&gt;=HA$33,GQ14&lt;&gt;"",GS14&gt;=HA$37,GS14&lt;&gt;""),AND(GU14&gt;=HA$33,GU14&lt;&gt;"",GW14&gt;=HA$37,GW14&lt;&gt;""),AND(GX14&gt;=HA$33,GX14&lt;&gt;"",GZ14&gt;=HA$37,GZ14&lt;&gt;""),AND(HV14&gt;=II$33,HV14&lt;&gt;"",HX14&gt;=II$37,HX14&lt;&gt;""),AND(HY14&gt;=II$33,HY14&lt;&gt;"",IA14&gt;=II$37,IA14&lt;&gt;""),AND(IC14&gt;=II$33,IC14&lt;&gt;"",IE14&gt;=II$37,IE14&lt;&gt;""),AND(IF14&gt;=II$33,IF14&lt;&gt;"",IH14&gt;=II$37,IH14&lt;&gt;""),AND(JD14&gt;=JQ$33,JD14&lt;&gt;"",JF14&gt;=JQ$37,JF14&lt;&gt;""),AND(JG14&gt;=JQ$33,JG14&lt;&gt;"",JI14&gt;=JQ$37,JI14&lt;&gt;""),AND(JK14&gt;=JQ$33,JK14&lt;&gt;"",JM14&gt;=JQ$37,JM14&lt;&gt;""),AND(JN14&gt;=JQ$33,JN14&lt;&gt;"",JP14&gt;=JQ$37,JP14&lt;&gt;""),AND(KL14&gt;=KY$33,KL14&lt;&gt;"",KN14&gt;=KY$37,KN14&lt;&gt;""),AND(KO14&gt;=KY$33,KO14&lt;&gt;"",KQ14&gt;=KY$37,KQ14&lt;&gt;""),AND(KS14&gt;=KY$33,KS14&lt;&gt;"",KU14&gt;=KY$37,KU14&lt;&gt;""),AND(KV14&gt;=KY$33,KV14&lt;&gt;"",KX14&gt;=KY$37,KX14&lt;&gt;""),AND(LT14&gt;=MG$33,LT14&lt;&gt;"",LV14&gt;=MG$37,LV14&lt;&gt;""),AND(LW14&gt;=MG$33,LW14&lt;&gt;"",LY14&gt;=MG$37,LY14&lt;&gt;""),AND(MA14&gt;=MG$33,MA14&lt;&gt;"",MC14&gt;=MG$37,MC14&lt;&gt;""),AND(MD14&gt;=MG$33,MD14&lt;&gt;"",MF14&gt;=MG$37,MF14&lt;&gt;""),AND(NB14&gt;=NO$33,NB14&lt;&gt;"",ND14&gt;=NO$37,ND14&lt;&gt;""),AND(NE14&gt;=NO$33,NE14&lt;&gt;"",NG14&gt;=NO$37,NG14&lt;&gt;""),AND(NI14&gt;=NO$33,NI14&lt;&gt;"",NK14&gt;=NO$37,NK14&lt;&gt;""),AND(NL14&gt;=NO$33,NL14&lt;&gt;"",NN14&gt;=NO$37,NN14&lt;&gt;""),AND(OJ14&gt;=OW$33,OJ14&lt;&gt;"",OL14&gt;=OW$37,OL14&lt;&gt;""),AND(OM14&gt;=OW$33,OM14&lt;&gt;"",OO14&gt;=OW$37,OO14&lt;&gt;""),AND(OQ14&gt;=OW$33,OQ14&lt;&gt;"",OS14&gt;=OW$37,OS14&lt;&gt;""),AND(OT14&gt;=OW$33,OT14&lt;&gt;"",OV14&gt;=OW$37,OV14&lt;&gt;""),AND(PR14&gt;=QE$33,PR14&lt;&gt;"",PT14&gt;=QE$37,PT14&lt;&gt;""),AND(PU14&gt;=QE$33,PU14&lt;&gt;"",PW14&gt;=QE$37,PW14&lt;&gt;""),AND(PY14&gt;=QE$33,PY14&lt;&gt;"",QA14&gt;=QE$37,QA14&lt;&gt;""),AND(QB14&gt;=QE$33,QB14&lt;&gt;"",QD14&gt;=QE$37,QD14&lt;&gt;""),AND(QZ14&gt;=RM$33,QZ14&lt;&gt;"",RB14&gt;=RM$37,RB14&lt;&gt;""),AND(RC14&gt;=RM$33,RC14&lt;&gt;"",RE14&gt;=RM$37,RE14&lt;&gt;""),AND(RG14&gt;=RM$33,RG14&lt;&gt;"",RI14&gt;=RM$37,RI14&lt;&gt;""),AND(RJ14&gt;=RM$33,RJ14&lt;&gt;"",RL14&gt;=RM$37,RL14&lt;&gt;""),AND(SH14&gt;=SU$33,SH14&lt;&gt;"",SJ14&gt;=SU$37,SJ14&lt;&gt;""),AND(SK14&gt;=SU$33,SK14&lt;&gt;"",SM14&gt;=SU$37,SM14&lt;&gt;""),AND(SO14&gt;=SU$33,SO14&lt;&gt;"",SQ14&gt;=SU$37,SQ14&lt;&gt;""),AND(SR14&gt;=SU$33,SR14&lt;&gt;"",ST14&gt;=SU$37,ST14&lt;&gt;"")),"Merit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),"Excellence",IF(K14="P","Worlds Team",IF(H14="P","National Team","")))))</f>
        <v/>
      </c>
      <c r="K14" s="3" t="str">
        <f>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P","")</f>
        <v/>
      </c>
      <c r="L14" s="8">
        <f>IF(COUNT(AQ14,AT14,BR14,BU14,CS14,CV14)&gt;0,LARGE((AQ14,AT14,BR14,BU14,CS14,CV14),1),0)</f>
        <v>52.320000000000007</v>
      </c>
      <c r="M14" s="8" t="str">
        <f t="shared" si="1"/>
        <v>2024 3rd Domestic Trial</v>
      </c>
      <c r="N14" s="8">
        <f>IF(COUNT(AQ14,AT14,BR14,BU14,CS14,CV14)&gt;1,LARGE((AQ14,AT14,BR14,BU14,CS14,CV14),2),0)</f>
        <v>51.67</v>
      </c>
      <c r="O14" s="8" t="str">
        <f t="shared" si="2"/>
        <v>2025 Nationals</v>
      </c>
      <c r="P14" s="8">
        <f>IF(COUNT(AQ14,AT14,BR14,BU14,CS14,CV14)&gt;2,MAX(AX14,BY14,CZ14,LARGE((AQ14,AT14,BR14,BU14,CS14,CV14),3)),IF(MAX(AX14,BY14,CZ14)&gt;0,MAX(AX14,BY14,CZ14),0))</f>
        <v>49.86</v>
      </c>
      <c r="Q14" s="8" t="str">
        <f t="shared" si="3"/>
        <v>2025 Nationals</v>
      </c>
      <c r="R14" s="8">
        <f t="shared" si="4"/>
        <v>14.9</v>
      </c>
      <c r="S14" s="8" t="str">
        <f t="shared" si="5"/>
        <v>2025 Nationals</v>
      </c>
      <c r="T14" s="8">
        <f>IF(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&gt;0,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,0)</f>
        <v>15.57</v>
      </c>
      <c r="U14" s="8" t="str">
        <f t="shared" si="6"/>
        <v>2025 Nationals</v>
      </c>
      <c r="V14" s="8" t="str">
        <f t="shared" si="7"/>
        <v/>
      </c>
      <c r="W14" s="11" t="str">
        <f t="shared" si="8"/>
        <v/>
      </c>
      <c r="X14" s="8" t="str">
        <f t="shared" si="9"/>
        <v/>
      </c>
      <c r="Y14" s="22">
        <v>12.1</v>
      </c>
      <c r="Z14" s="22">
        <v>7.8</v>
      </c>
      <c r="AA14" s="22">
        <v>10.199999999999999</v>
      </c>
      <c r="AB14" s="22">
        <v>13.86</v>
      </c>
      <c r="AC14" s="22">
        <v>0</v>
      </c>
      <c r="AD14" s="22">
        <v>14.9</v>
      </c>
      <c r="AE14" s="22">
        <v>8.8000000000000007</v>
      </c>
      <c r="AF14" s="22">
        <v>12.7</v>
      </c>
      <c r="AG14" s="22">
        <v>15.92</v>
      </c>
      <c r="AH14" s="22">
        <v>0</v>
      </c>
      <c r="AI14" s="22">
        <v>12.5</v>
      </c>
      <c r="AJ14" s="22">
        <v>7.4</v>
      </c>
      <c r="AK14" s="22">
        <v>11.3</v>
      </c>
      <c r="AL14" s="22">
        <v>13.03</v>
      </c>
      <c r="AM14" s="22">
        <v>0</v>
      </c>
      <c r="AN14" s="27"/>
      <c r="AO14" s="38">
        <f t="shared" si="10"/>
        <v>10.199999999999999</v>
      </c>
      <c r="AP14" s="38">
        <f t="shared" si="11"/>
        <v>13.86</v>
      </c>
      <c r="AQ14" s="40">
        <f t="shared" si="12"/>
        <v>43.959999999999994</v>
      </c>
      <c r="AR14" s="40">
        <f t="shared" si="13"/>
        <v>12.7</v>
      </c>
      <c r="AS14" s="40">
        <f t="shared" si="14"/>
        <v>15.92</v>
      </c>
      <c r="AT14" s="40">
        <f t="shared" si="15"/>
        <v>52.320000000000007</v>
      </c>
      <c r="AU14" s="40">
        <f t="shared" si="16"/>
        <v>52.320000000000007</v>
      </c>
      <c r="AV14" s="40">
        <f t="shared" si="17"/>
        <v>11.3</v>
      </c>
      <c r="AW14" s="40">
        <f t="shared" si="18"/>
        <v>13.03</v>
      </c>
      <c r="AX14" s="40">
        <f t="shared" si="19"/>
        <v>44.23</v>
      </c>
      <c r="AY14" s="40">
        <f t="shared" si="20"/>
        <v>96.550000000000011</v>
      </c>
      <c r="AZ14" s="26">
        <v>11.3</v>
      </c>
      <c r="BA14" s="26">
        <v>7.7</v>
      </c>
      <c r="BB14" s="26">
        <v>11.7</v>
      </c>
      <c r="BC14" s="26">
        <v>12.46</v>
      </c>
      <c r="BD14" s="26">
        <v>0</v>
      </c>
      <c r="BE14" s="26">
        <v>2.8</v>
      </c>
      <c r="BF14" s="26">
        <v>1.7</v>
      </c>
      <c r="BG14" s="26">
        <v>3.3</v>
      </c>
      <c r="BH14" s="26">
        <v>3.3</v>
      </c>
      <c r="BI14" s="26">
        <v>0</v>
      </c>
      <c r="BJ14" s="26"/>
      <c r="BK14" s="26"/>
      <c r="BL14" s="26"/>
      <c r="BM14" s="26"/>
      <c r="BN14" s="26"/>
      <c r="BO14" s="28"/>
      <c r="BP14" s="39">
        <f t="shared" si="21"/>
        <v>11.7</v>
      </c>
      <c r="BQ14" s="39">
        <f t="shared" si="22"/>
        <v>12.46</v>
      </c>
      <c r="BR14" s="11">
        <f t="shared" si="23"/>
        <v>43.16</v>
      </c>
      <c r="BS14" s="11">
        <f t="shared" si="24"/>
        <v>3.3</v>
      </c>
      <c r="BT14" s="11">
        <f t="shared" si="25"/>
        <v>3.3</v>
      </c>
      <c r="BU14" s="11">
        <f t="shared" si="26"/>
        <v>11.1</v>
      </c>
      <c r="BV14" s="11">
        <f t="shared" si="27"/>
        <v>43.16</v>
      </c>
      <c r="BW14" s="11" t="str">
        <f t="shared" si="28"/>
        <v/>
      </c>
      <c r="BX14" s="11" t="str">
        <f t="shared" si="29"/>
        <v/>
      </c>
      <c r="BY14" s="11" t="str">
        <f t="shared" si="30"/>
        <v/>
      </c>
      <c r="BZ14" s="11">
        <f t="shared" si="31"/>
        <v>43.16</v>
      </c>
      <c r="CA14" s="22">
        <v>12.1</v>
      </c>
      <c r="CB14" s="22">
        <v>9.1</v>
      </c>
      <c r="CC14" s="22">
        <v>14.9</v>
      </c>
      <c r="CD14" s="22">
        <v>15.57</v>
      </c>
      <c r="CE14" s="22">
        <v>0</v>
      </c>
      <c r="CF14" s="22">
        <v>12.1</v>
      </c>
      <c r="CG14" s="22">
        <v>8.6999999999999993</v>
      </c>
      <c r="CH14" s="22">
        <v>14</v>
      </c>
      <c r="CI14" s="22">
        <v>15.56</v>
      </c>
      <c r="CJ14" s="22">
        <v>0.5</v>
      </c>
      <c r="CK14" s="22">
        <v>1.2</v>
      </c>
      <c r="CL14" s="22">
        <v>1</v>
      </c>
      <c r="CM14" s="22">
        <v>2</v>
      </c>
      <c r="CN14" s="22">
        <v>1.68</v>
      </c>
      <c r="CO14" s="22">
        <v>0.2</v>
      </c>
      <c r="CP14" s="27"/>
      <c r="CQ14" s="38">
        <f t="shared" si="32"/>
        <v>14.9</v>
      </c>
      <c r="CR14" s="38">
        <f t="shared" si="33"/>
        <v>15.57</v>
      </c>
      <c r="CS14" s="40">
        <f t="shared" si="34"/>
        <v>51.67</v>
      </c>
      <c r="CT14" s="40">
        <f t="shared" si="35"/>
        <v>14</v>
      </c>
      <c r="CU14" s="40">
        <f t="shared" si="36"/>
        <v>15.56</v>
      </c>
      <c r="CV14" s="40">
        <f t="shared" si="37"/>
        <v>49.86</v>
      </c>
      <c r="CW14" s="40">
        <f t="shared" si="38"/>
        <v>51.67</v>
      </c>
      <c r="CX14" s="40">
        <f t="shared" si="39"/>
        <v>2</v>
      </c>
      <c r="CY14" s="40">
        <f t="shared" si="40"/>
        <v>1.68</v>
      </c>
      <c r="CZ14" s="40">
        <f t="shared" si="41"/>
        <v>5.68</v>
      </c>
      <c r="DA14" s="40">
        <f t="shared" si="42"/>
        <v>57.35</v>
      </c>
      <c r="DB14" s="50" t="str">
        <f t="shared" si="43"/>
        <v/>
      </c>
      <c r="DC14" s="50" t="str">
        <f t="shared" si="44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45"/>
        <v/>
      </c>
      <c r="DY14" s="40" t="str">
        <f t="shared" si="46"/>
        <v/>
      </c>
      <c r="DZ14" s="40" t="str">
        <f t="shared" si="47"/>
        <v/>
      </c>
      <c r="EA14" s="40" t="str">
        <f t="shared" si="48"/>
        <v/>
      </c>
      <c r="EB14" s="40" t="str">
        <f t="shared" si="49"/>
        <v/>
      </c>
      <c r="EC14" s="40" t="str">
        <f t="shared" si="50"/>
        <v/>
      </c>
      <c r="ED14" s="40" t="str">
        <f t="shared" si="51"/>
        <v/>
      </c>
      <c r="EE14" s="40" t="str">
        <f t="shared" si="52"/>
        <v/>
      </c>
      <c r="EF14" s="40" t="str">
        <f t="shared" si="53"/>
        <v/>
      </c>
      <c r="EG14" s="40" t="str">
        <f t="shared" si="54"/>
        <v/>
      </c>
      <c r="EH14" s="40" t="str">
        <f t="shared" si="55"/>
        <v/>
      </c>
      <c r="EI14" s="40" t="str">
        <f t="shared" si="56"/>
        <v/>
      </c>
      <c r="EJ14" s="40" t="str">
        <f t="shared" si="57"/>
        <v/>
      </c>
      <c r="EK14" s="40" t="str">
        <f t="shared" si="58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59"/>
        <v/>
      </c>
      <c r="FG14" s="11" t="str">
        <f t="shared" si="60"/>
        <v/>
      </c>
      <c r="FH14" s="11" t="str">
        <f t="shared" si="61"/>
        <v/>
      </c>
      <c r="FI14" s="11" t="str">
        <f t="shared" si="62"/>
        <v/>
      </c>
      <c r="FJ14" s="11" t="str">
        <f t="shared" si="63"/>
        <v/>
      </c>
      <c r="FK14" s="11" t="str">
        <f t="shared" si="64"/>
        <v/>
      </c>
      <c r="FL14" s="11" t="str">
        <f t="shared" si="65"/>
        <v/>
      </c>
      <c r="FM14" s="11" t="str">
        <f t="shared" si="66"/>
        <v/>
      </c>
      <c r="FN14" s="11" t="str">
        <f t="shared" si="67"/>
        <v/>
      </c>
      <c r="FO14" s="11" t="str">
        <f t="shared" si="68"/>
        <v/>
      </c>
      <c r="FP14" s="11" t="str">
        <f t="shared" si="69"/>
        <v/>
      </c>
      <c r="FQ14" s="11" t="str">
        <f t="shared" si="70"/>
        <v/>
      </c>
      <c r="FR14" s="11" t="str">
        <f t="shared" si="71"/>
        <v/>
      </c>
      <c r="FS14" s="11" t="str">
        <f t="shared" si="72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3"/>
        <v/>
      </c>
      <c r="GO14" s="40" t="str">
        <f t="shared" si="74"/>
        <v/>
      </c>
      <c r="GP14" s="40" t="str">
        <f t="shared" si="75"/>
        <v/>
      </c>
      <c r="GQ14" s="40" t="str">
        <f t="shared" si="76"/>
        <v/>
      </c>
      <c r="GR14" s="40" t="str">
        <f t="shared" si="77"/>
        <v/>
      </c>
      <c r="GS14" s="40" t="str">
        <f t="shared" si="78"/>
        <v/>
      </c>
      <c r="GT14" s="40" t="str">
        <f t="shared" si="79"/>
        <v/>
      </c>
      <c r="GU14" s="40" t="str">
        <f t="shared" si="80"/>
        <v/>
      </c>
      <c r="GV14" s="40" t="str">
        <f t="shared" si="81"/>
        <v/>
      </c>
      <c r="GW14" s="40" t="str">
        <f t="shared" si="82"/>
        <v/>
      </c>
      <c r="GX14" s="40" t="str">
        <f t="shared" si="83"/>
        <v/>
      </c>
      <c r="GY14" s="40" t="str">
        <f t="shared" si="84"/>
        <v/>
      </c>
      <c r="GZ14" s="40" t="str">
        <f t="shared" si="85"/>
        <v/>
      </c>
      <c r="HA14" s="40" t="str">
        <f t="shared" si="86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87"/>
        <v/>
      </c>
      <c r="HW14" s="11" t="str">
        <f t="shared" si="88"/>
        <v/>
      </c>
      <c r="HX14" s="11" t="str">
        <f t="shared" si="89"/>
        <v/>
      </c>
      <c r="HY14" s="11" t="str">
        <f t="shared" si="90"/>
        <v/>
      </c>
      <c r="HZ14" s="11" t="str">
        <f t="shared" si="91"/>
        <v/>
      </c>
      <c r="IA14" s="11" t="str">
        <f t="shared" si="92"/>
        <v/>
      </c>
      <c r="IB14" s="11" t="str">
        <f t="shared" si="93"/>
        <v/>
      </c>
      <c r="IC14" s="11" t="str">
        <f t="shared" si="94"/>
        <v/>
      </c>
      <c r="ID14" s="11" t="str">
        <f t="shared" si="95"/>
        <v/>
      </c>
      <c r="IE14" s="11" t="str">
        <f t="shared" si="96"/>
        <v/>
      </c>
      <c r="IF14" s="11" t="str">
        <f t="shared" si="97"/>
        <v/>
      </c>
      <c r="IG14" s="11" t="str">
        <f t="shared" si="98"/>
        <v/>
      </c>
      <c r="IH14" s="11" t="str">
        <f t="shared" si="99"/>
        <v/>
      </c>
      <c r="II14" s="11" t="str">
        <f t="shared" si="100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1"/>
        <v/>
      </c>
      <c r="JE14" s="40" t="str">
        <f t="shared" si="102"/>
        <v/>
      </c>
      <c r="JF14" s="40" t="str">
        <f t="shared" si="103"/>
        <v/>
      </c>
      <c r="JG14" s="40" t="str">
        <f t="shared" si="104"/>
        <v/>
      </c>
      <c r="JH14" s="40" t="str">
        <f t="shared" si="105"/>
        <v/>
      </c>
      <c r="JI14" s="40" t="str">
        <f t="shared" si="106"/>
        <v/>
      </c>
      <c r="JJ14" s="40" t="str">
        <f t="shared" si="107"/>
        <v/>
      </c>
      <c r="JK14" s="40" t="str">
        <f t="shared" si="108"/>
        <v/>
      </c>
      <c r="JL14" s="40" t="str">
        <f t="shared" si="109"/>
        <v/>
      </c>
      <c r="JM14" s="40" t="str">
        <f t="shared" si="110"/>
        <v/>
      </c>
      <c r="JN14" s="40" t="str">
        <f t="shared" si="111"/>
        <v/>
      </c>
      <c r="JO14" s="40" t="str">
        <f t="shared" si="112"/>
        <v/>
      </c>
      <c r="JP14" s="40" t="str">
        <f t="shared" si="113"/>
        <v/>
      </c>
      <c r="JQ14" s="40" t="str">
        <f t="shared" si="114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15"/>
        <v/>
      </c>
      <c r="KM14" s="11" t="str">
        <f t="shared" si="116"/>
        <v/>
      </c>
      <c r="KN14" s="11" t="str">
        <f t="shared" si="117"/>
        <v/>
      </c>
      <c r="KO14" s="11" t="str">
        <f t="shared" si="118"/>
        <v/>
      </c>
      <c r="KP14" s="11" t="str">
        <f t="shared" si="119"/>
        <v/>
      </c>
      <c r="KQ14" s="11" t="str">
        <f t="shared" si="120"/>
        <v/>
      </c>
      <c r="KR14" s="11" t="str">
        <f t="shared" si="121"/>
        <v/>
      </c>
      <c r="KS14" s="11" t="str">
        <f t="shared" si="122"/>
        <v/>
      </c>
      <c r="KT14" s="11" t="str">
        <f t="shared" si="123"/>
        <v/>
      </c>
      <c r="KU14" s="11" t="str">
        <f t="shared" si="124"/>
        <v/>
      </c>
      <c r="KV14" s="11" t="str">
        <f t="shared" si="125"/>
        <v/>
      </c>
      <c r="KW14" s="11" t="str">
        <f t="shared" si="126"/>
        <v/>
      </c>
      <c r="KX14" s="11" t="str">
        <f t="shared" si="127"/>
        <v/>
      </c>
      <c r="KY14" s="11" t="str">
        <f t="shared" si="128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29"/>
        <v/>
      </c>
      <c r="LU14" s="40" t="str">
        <f t="shared" si="130"/>
        <v/>
      </c>
      <c r="LV14" s="40" t="str">
        <f t="shared" si="131"/>
        <v/>
      </c>
      <c r="LW14" s="40" t="str">
        <f t="shared" si="132"/>
        <v/>
      </c>
      <c r="LX14" s="40" t="str">
        <f t="shared" si="133"/>
        <v/>
      </c>
      <c r="LY14" s="40" t="str">
        <f t="shared" si="134"/>
        <v/>
      </c>
      <c r="LZ14" s="40" t="str">
        <f t="shared" si="135"/>
        <v/>
      </c>
      <c r="MA14" s="40" t="str">
        <f t="shared" si="136"/>
        <v/>
      </c>
      <c r="MB14" s="40" t="str">
        <f t="shared" si="137"/>
        <v/>
      </c>
      <c r="MC14" s="40" t="str">
        <f t="shared" si="138"/>
        <v/>
      </c>
      <c r="MD14" s="40" t="str">
        <f t="shared" si="139"/>
        <v/>
      </c>
      <c r="ME14" s="40" t="str">
        <f t="shared" si="140"/>
        <v/>
      </c>
      <c r="MF14" s="40" t="str">
        <f t="shared" si="141"/>
        <v/>
      </c>
      <c r="MG14" s="40" t="str">
        <f t="shared" si="142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3"/>
        <v/>
      </c>
      <c r="NC14" s="11" t="str">
        <f t="shared" si="144"/>
        <v/>
      </c>
      <c r="ND14" s="11" t="str">
        <f t="shared" si="145"/>
        <v/>
      </c>
      <c r="NE14" s="11" t="str">
        <f t="shared" si="146"/>
        <v/>
      </c>
      <c r="NF14" s="11" t="str">
        <f t="shared" si="147"/>
        <v/>
      </c>
      <c r="NG14" s="11" t="str">
        <f t="shared" si="148"/>
        <v/>
      </c>
      <c r="NH14" s="11" t="str">
        <f t="shared" si="149"/>
        <v/>
      </c>
      <c r="NI14" s="11" t="str">
        <f t="shared" si="150"/>
        <v/>
      </c>
      <c r="NJ14" s="11" t="str">
        <f t="shared" si="151"/>
        <v/>
      </c>
      <c r="NK14" s="11" t="str">
        <f t="shared" si="152"/>
        <v/>
      </c>
      <c r="NL14" s="11" t="str">
        <f t="shared" si="153"/>
        <v/>
      </c>
      <c r="NM14" s="11" t="str">
        <f t="shared" si="154"/>
        <v/>
      </c>
      <c r="NN14" s="11" t="str">
        <f t="shared" si="155"/>
        <v/>
      </c>
      <c r="NO14" s="11" t="str">
        <f t="shared" si="156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57"/>
        <v/>
      </c>
      <c r="OK14" s="40" t="str">
        <f t="shared" si="158"/>
        <v/>
      </c>
      <c r="OL14" s="40" t="str">
        <f t="shared" si="159"/>
        <v/>
      </c>
      <c r="OM14" s="40" t="str">
        <f t="shared" si="160"/>
        <v/>
      </c>
      <c r="ON14" s="40" t="str">
        <f t="shared" si="161"/>
        <v/>
      </c>
      <c r="OO14" s="40" t="str">
        <f t="shared" si="162"/>
        <v/>
      </c>
      <c r="OP14" s="40" t="str">
        <f t="shared" si="163"/>
        <v/>
      </c>
      <c r="OQ14" s="40" t="str">
        <f t="shared" si="164"/>
        <v/>
      </c>
      <c r="OR14" s="40" t="str">
        <f t="shared" si="165"/>
        <v/>
      </c>
      <c r="OS14" s="40" t="str">
        <f t="shared" si="166"/>
        <v/>
      </c>
      <c r="OT14" s="40" t="str">
        <f t="shared" si="167"/>
        <v/>
      </c>
      <c r="OU14" s="40" t="str">
        <f t="shared" si="168"/>
        <v/>
      </c>
      <c r="OV14" s="40" t="str">
        <f t="shared" si="169"/>
        <v/>
      </c>
      <c r="OW14" s="40" t="str">
        <f t="shared" si="170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1"/>
        <v/>
      </c>
      <c r="PS14" s="11" t="str">
        <f t="shared" si="172"/>
        <v/>
      </c>
      <c r="PT14" s="11" t="str">
        <f t="shared" si="173"/>
        <v/>
      </c>
      <c r="PU14" s="11" t="str">
        <f t="shared" si="174"/>
        <v/>
      </c>
      <c r="PV14" s="11" t="str">
        <f t="shared" si="175"/>
        <v/>
      </c>
      <c r="PW14" s="11" t="str">
        <f t="shared" si="176"/>
        <v/>
      </c>
      <c r="PX14" s="11" t="str">
        <f t="shared" si="177"/>
        <v/>
      </c>
      <c r="PY14" s="11" t="str">
        <f t="shared" si="178"/>
        <v/>
      </c>
      <c r="PZ14" s="11" t="str">
        <f t="shared" si="179"/>
        <v/>
      </c>
      <c r="QA14" s="11" t="str">
        <f t="shared" si="180"/>
        <v/>
      </c>
      <c r="QB14" s="11" t="str">
        <f t="shared" si="181"/>
        <v/>
      </c>
      <c r="QC14" s="11" t="str">
        <f t="shared" si="182"/>
        <v/>
      </c>
      <c r="QD14" s="11" t="str">
        <f t="shared" si="183"/>
        <v/>
      </c>
      <c r="QE14" s="11" t="str">
        <f t="shared" si="184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85"/>
        <v/>
      </c>
      <c r="RA14" s="40" t="str">
        <f t="shared" si="186"/>
        <v/>
      </c>
      <c r="RB14" s="40" t="str">
        <f t="shared" si="187"/>
        <v/>
      </c>
      <c r="RC14" s="40" t="str">
        <f t="shared" si="188"/>
        <v/>
      </c>
      <c r="RD14" s="40" t="str">
        <f t="shared" si="189"/>
        <v/>
      </c>
      <c r="RE14" s="40" t="str">
        <f t="shared" si="190"/>
        <v/>
      </c>
      <c r="RF14" s="40" t="str">
        <f t="shared" si="191"/>
        <v/>
      </c>
      <c r="RG14" s="40" t="str">
        <f t="shared" si="192"/>
        <v/>
      </c>
      <c r="RH14" s="40" t="str">
        <f t="shared" si="193"/>
        <v/>
      </c>
      <c r="RI14" s="40" t="str">
        <f t="shared" si="194"/>
        <v/>
      </c>
      <c r="RJ14" s="40" t="str">
        <f t="shared" si="195"/>
        <v/>
      </c>
      <c r="RK14" s="40" t="str">
        <f t="shared" si="196"/>
        <v/>
      </c>
      <c r="RL14" s="40" t="str">
        <f t="shared" si="197"/>
        <v/>
      </c>
      <c r="RM14" s="40" t="str">
        <f t="shared" si="198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199"/>
        <v/>
      </c>
      <c r="SI14" s="11" t="str">
        <f t="shared" si="200"/>
        <v/>
      </c>
      <c r="SJ14" s="11" t="str">
        <f t="shared" si="201"/>
        <v/>
      </c>
      <c r="SK14" s="11" t="str">
        <f t="shared" si="202"/>
        <v/>
      </c>
      <c r="SL14" s="11" t="str">
        <f t="shared" si="203"/>
        <v/>
      </c>
      <c r="SM14" s="11" t="str">
        <f t="shared" si="204"/>
        <v/>
      </c>
      <c r="SN14" s="11" t="str">
        <f t="shared" si="205"/>
        <v/>
      </c>
      <c r="SO14" s="11" t="str">
        <f t="shared" si="206"/>
        <v/>
      </c>
      <c r="SP14" s="11" t="str">
        <f t="shared" si="207"/>
        <v/>
      </c>
      <c r="SQ14" s="11" t="str">
        <f t="shared" si="208"/>
        <v/>
      </c>
      <c r="SR14" s="11" t="str">
        <f t="shared" si="209"/>
        <v/>
      </c>
      <c r="SS14" s="11" t="str">
        <f t="shared" si="210"/>
        <v/>
      </c>
      <c r="ST14" s="11" t="str">
        <f t="shared" si="211"/>
        <v/>
      </c>
      <c r="SU14" s="11" t="str">
        <f t="shared" si="212"/>
        <v/>
      </c>
      <c r="SV14" s="22">
        <f t="shared" si="213"/>
        <v>11.7</v>
      </c>
      <c r="SW14" s="22">
        <f t="shared" si="214"/>
        <v>8.4</v>
      </c>
      <c r="SX14" s="22">
        <f t="shared" si="215"/>
        <v>13.3</v>
      </c>
      <c r="SY14" s="22">
        <f t="shared" si="216"/>
        <v>14.015000000000001</v>
      </c>
      <c r="SZ14" s="22">
        <f t="shared" si="217"/>
        <v>0</v>
      </c>
      <c r="TA14" s="22">
        <f t="shared" si="218"/>
        <v>7.4499999999999993</v>
      </c>
      <c r="TB14" s="22">
        <f t="shared" si="219"/>
        <v>5.1999999999999993</v>
      </c>
      <c r="TC14" s="22">
        <f t="shared" si="220"/>
        <v>8.65</v>
      </c>
      <c r="TD14" s="22">
        <f t="shared" si="221"/>
        <v>9.43</v>
      </c>
      <c r="TE14" s="22">
        <f t="shared" si="222"/>
        <v>0.25</v>
      </c>
      <c r="TF14" s="22">
        <f t="shared" si="223"/>
        <v>0.6</v>
      </c>
      <c r="TG14" s="22">
        <f t="shared" si="224"/>
        <v>0.5</v>
      </c>
      <c r="TH14" s="22">
        <f t="shared" si="225"/>
        <v>1</v>
      </c>
      <c r="TI14" s="22">
        <f t="shared" si="226"/>
        <v>0.84</v>
      </c>
      <c r="TJ14" s="22">
        <f t="shared" si="227"/>
        <v>0.1</v>
      </c>
      <c r="TK14" s="27" t="s">
        <v>46</v>
      </c>
      <c r="TL14" s="40">
        <f t="shared" si="228"/>
        <v>13.3</v>
      </c>
      <c r="TM14" s="40">
        <f t="shared" si="229"/>
        <v>14.015000000000001</v>
      </c>
      <c r="TN14" s="40">
        <f t="shared" si="230"/>
        <v>47.415000000000006</v>
      </c>
      <c r="TO14" s="40">
        <f t="shared" si="231"/>
        <v>8.65</v>
      </c>
      <c r="TP14" s="40">
        <f t="shared" si="232"/>
        <v>9.43</v>
      </c>
      <c r="TQ14" s="40">
        <f t="shared" si="233"/>
        <v>30.479999999999997</v>
      </c>
      <c r="TR14" s="40">
        <f t="shared" si="234"/>
        <v>47.415000000000006</v>
      </c>
      <c r="TS14" s="40">
        <f t="shared" si="235"/>
        <v>1</v>
      </c>
      <c r="TT14" s="40">
        <f t="shared" si="236"/>
        <v>0.84</v>
      </c>
      <c r="TU14" s="40">
        <f t="shared" si="237"/>
        <v>2.84</v>
      </c>
      <c r="TV14" s="40">
        <f t="shared" si="238"/>
        <v>50.25500000000001</v>
      </c>
    </row>
    <row r="15" spans="1:542" x14ac:dyDescent="0.2">
      <c r="A15" s="4" t="str" cm="1">
        <f t="array" ref="A15">IF(AND(J15&lt;&gt;"",J15&lt;&gt;"No DD"),SUMPRODUCT((J$4:J$28&lt;&gt;"")*(J$4:J$28&lt;&gt;"No DD")*(F$4:F$28&gt;F15))+1,IF(J15="No DD",SUMPRODUCT((J$4:J$28="No DD")*(F$4:F$28&gt;F15))+1+SUMPRODUCT((J$4:J$28&lt;&gt;"")*(J$4:J$28&lt;&gt;"No DD")),""))</f>
        <v/>
      </c>
      <c r="B15" s="4" t="str" cm="1">
        <f t="array" ref="B15">IF(AND(J15&lt;&gt;"",J15&lt;&gt;"No DD",G15=""),SUMPRODUCT((J$4:J$28&lt;&gt;"")*(J$4:J$28&lt;&gt;"No DD")*(G$4:G$28="")*(F$4:F$28&gt;F15))+1,IF(J15="No DD",SUMPRODUCT((J$4:J$28="No DD")*(F$4:F$28&gt;F15)*(G$4:G$28=""))+1+SUMPRODUCT((J$4:J$28&lt;&gt;"")*(G$4:G$28="")*(J$4:J$28&lt;&gt;"No DD")),""))</f>
        <v/>
      </c>
      <c r="C15" s="5" t="s">
        <v>117</v>
      </c>
      <c r="D15" s="4" t="s">
        <v>5</v>
      </c>
      <c r="E15" s="4">
        <v>2006</v>
      </c>
      <c r="F15" s="9">
        <f t="shared" si="0"/>
        <v>181.99001819900516</v>
      </c>
      <c r="G15" s="64"/>
      <c r="H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P","")</f>
        <v/>
      </c>
      <c r="I15" s="3" t="str">
        <f>IF(OR(AND(AQ15&gt;=AY$34,AQ15&lt;&gt;"",AN15=""),AND(AT15&gt;=AY$34,AT15&lt;&gt;"",AN15=""),AND(AX15&gt;=AY$34,AX15&lt;&gt;"",AN15=""),AND(BR15&gt;=BZ$34,BR15&lt;&gt;"",BO15=""),AND(BU15&gt;=BZ$34,BU15&lt;&gt;"",BO15=""),AND(BY15&gt;=BZ$34,BY15&lt;&gt;"",BO15=""),AND(CS15&gt;=DA$34,CS15&lt;&gt;"",CP15=""),AND(CV15&gt;=DA$34,CV15&lt;&gt;"",CP15=""),AND(CZ15&gt;=DA$34,CZ15&lt;&gt;"",CP15=""),AND(DZ15&gt;=EK$34,DZ15&lt;&gt;""),AND(EC15&gt;=EK$34,EC15&lt;&gt;""),AND(EG15&gt;=EK$34,EG15&lt;&gt;""),AND(EJ15&gt;=EK$34,EJ15&lt;&gt;""),AND(FH15&gt;=FS$34,FH15&lt;&gt;""),AND(FK15&gt;=FS$34,FK15&lt;&gt;""),AND(FO15&gt;=FS$34,FO15&lt;&gt;""),AND(FR15&gt;=FS$34,FR15&lt;&gt;""),AND(GP15&gt;=HA$34,GP15&lt;&gt;""),AND(GS15&gt;=HA$34,GS15&lt;&gt;""),AND(GW15&gt;=HA$34,GW15&lt;&gt;""),AND(GZ15&gt;=HA$34,GZ15&lt;&gt;""),AND(HX15&gt;=II$34,HX15&lt;&gt;""),AND(IA15&gt;=II$34,IA15&lt;&gt;""),AND(IE15&gt;=II$34,IE15&lt;&gt;""),AND(IH15&gt;=II$34,IH15&lt;&gt;""),AND(JF15&gt;=JQ$34,JF15&lt;&gt;""),AND(JI15&gt;=JQ$34,JI15&lt;&gt;""),AND(JM15&gt;=JQ$34,JM15&lt;&gt;""),AND(JP15&gt;=JQ$34,JP15&lt;&gt;""),AND(KN15&gt;=KY$34,KN15&lt;&gt;""),AND(KQ15&gt;=KY$34,KQ15&lt;&gt;""),AND(KU15&gt;=KY$34,KU15&lt;&gt;""),AND(KX15&gt;=KY$34,KX15&lt;&gt;""),AND(LV15&gt;=MG$34,LV15&lt;&gt;""),AND(LY15&gt;=MG$34,LY15&lt;&gt;""),AND(MC15&gt;=MG$34,MC15&lt;&gt;""),AND(MF15&gt;=MG$34,MF15&lt;&gt;""),AND(ND15&gt;=NO$34,ND15&lt;&gt;""),AND(NG15&gt;=NO$34,NG15&lt;&gt;""),AND(NK15&gt;=NO$34,NK15&lt;&gt;""),AND(NN15&gt;=NO$34,NN15&lt;&gt;""),AND(OL15&gt;=OW$34,OL15&lt;&gt;""),AND(OO15&gt;=OW$34,OO15&lt;&gt;""),AND(OS15&gt;=OW$34,OS15&lt;&gt;""),AND(OV15&gt;=OW$34,OV15&lt;&gt;""),AND(PT15&gt;=QE$34,PT15&lt;&gt;""),AND(PW15&gt;=QE$34,PW15&lt;&gt;""),AND(QA15&gt;=QE$34,QA15&lt;&gt;""),AND(QD15&gt;=QE$34,QD15&lt;&gt;""),AND(RB15&gt;=RM$34,RB15&lt;&gt;""),AND(RE15&gt;=RM$34,RE15&lt;&gt;""),AND(RI15&gt;=RM$34,RI15&lt;&gt;""),AND(RL15&gt;=RM$34,RL15&lt;&gt;""),AND(SJ15&gt;=SU$34,SJ15&lt;&gt;""),AND(SM15&gt;=SU$34,SM15&lt;&gt;""),AND(SQ15&gt;=SU$34,SQ15&lt;&gt;""),AND(ST15&gt;=SU$34,ST15&lt;&gt;"")),"P","")</f>
        <v/>
      </c>
      <c r="J15" s="36" t="str">
        <f>IF(AND(I15="P",H15=""),"No DD",IF(OR(AND(AO15&gt;=AY$33,AO15&lt;&gt;"",AQ15&gt;=AY$37,AQ15&lt;&gt;"",AN15=""),AND(AR15&gt;=AY$33,AR15&lt;&gt;"",AT15&gt;=AY$37,AT15&lt;&gt;"",AN15=""),AND(AV15&gt;=AY$33,AV15&lt;&gt;"",AX15&gt;=AY$37,AX15&lt;&gt;"",AN15=""),AND(BP15&gt;=BZ$33,BP15&lt;&gt;"",BR15&gt;=BZ$37,BR15&lt;&gt;"",BO15=""),AND(BS15&gt;=BZ$33,BS15&lt;&gt;"",BU15&gt;=BZ$37,BU15&lt;&gt;"",BO15=""),AND(BW15&gt;=BZ$33,BW15&lt;&gt;"",BY15&gt;=BZ$37,BY15&lt;&gt;"",BO15=""),AND(CQ15&gt;=DA$33,CQ15&lt;&gt;"",CS15&gt;=DA$37,CS15&lt;&gt;"",CP15=""),AND(CT15&gt;=DA$33,CT15&lt;&gt;"",CV15&gt;=DA$37,CV15&lt;&gt;"",CP15=""),AND(CX15&gt;=DA$33,CX15&lt;&gt;"",CZ15&gt;=DA$37,CZ15&lt;&gt;"",CP15=""),AND(DX15&gt;=EK$33,DX15&lt;&gt;"",DZ15&gt;=EK$37,DZ15&lt;&gt;""),AND(EA15&gt;=EK$33,EA15&lt;&gt;"",EC15&gt;=EK$37,EC15&lt;&gt;""),AND(EE15&gt;=EK$33,EE15&lt;&gt;"",EG15&gt;=EK$37,EG15&lt;&gt;""),AND(EH15&gt;=EK$33,EH15&lt;&gt;"",EJ15&gt;=EK$37,EJ15&lt;&gt;""),AND(FF15&gt;=FS$33,FF15&lt;&gt;"",FH15&gt;=FS$37,FH15&lt;&gt;""),AND(FI15&gt;=FS$33,FI15&lt;&gt;"",FK15&gt;=FS$37,FK15&lt;&gt;""),AND(FM15&gt;=FS$33,FM15&lt;&gt;"",FO15&gt;=FS$37,FO15&lt;&gt;""),AND(FP15&gt;=FS$33,FP15&lt;&gt;"",FR15&gt;=FS$37,FR15&lt;&gt;""),AND(GN15&gt;=HA$33,GN15&lt;&gt;"",GP15&gt;=HA$37,GP15&lt;&gt;""),AND(GQ15&gt;=HA$33,GQ15&lt;&gt;"",GS15&gt;=HA$37,GS15&lt;&gt;""),AND(GU15&gt;=HA$33,GU15&lt;&gt;"",GW15&gt;=HA$37,GW15&lt;&gt;""),AND(GX15&gt;=HA$33,GX15&lt;&gt;"",GZ15&gt;=HA$37,GZ15&lt;&gt;""),AND(HV15&gt;=II$33,HV15&lt;&gt;"",HX15&gt;=II$37,HX15&lt;&gt;""),AND(HY15&gt;=II$33,HY15&lt;&gt;"",IA15&gt;=II$37,IA15&lt;&gt;""),AND(IC15&gt;=II$33,IC15&lt;&gt;"",IE15&gt;=II$37,IE15&lt;&gt;""),AND(IF15&gt;=II$33,IF15&lt;&gt;"",IH15&gt;=II$37,IH15&lt;&gt;""),AND(JD15&gt;=JQ$33,JD15&lt;&gt;"",JF15&gt;=JQ$37,JF15&lt;&gt;""),AND(JG15&gt;=JQ$33,JG15&lt;&gt;"",JI15&gt;=JQ$37,JI15&lt;&gt;""),AND(JK15&gt;=JQ$33,JK15&lt;&gt;"",JM15&gt;=JQ$37,JM15&lt;&gt;""),AND(JN15&gt;=JQ$33,JN15&lt;&gt;"",JP15&gt;=JQ$37,JP15&lt;&gt;""),AND(KL15&gt;=KY$33,KL15&lt;&gt;"",KN15&gt;=KY$37,KN15&lt;&gt;""),AND(KO15&gt;=KY$33,KO15&lt;&gt;"",KQ15&gt;=KY$37,KQ15&lt;&gt;""),AND(KS15&gt;=KY$33,KS15&lt;&gt;"",KU15&gt;=KY$37,KU15&lt;&gt;""),AND(KV15&gt;=KY$33,KV15&lt;&gt;"",KX15&gt;=KY$37,KX15&lt;&gt;""),AND(LT15&gt;=MG$33,LT15&lt;&gt;"",LV15&gt;=MG$37,LV15&lt;&gt;""),AND(LW15&gt;=MG$33,LW15&lt;&gt;"",LY15&gt;=MG$37,LY15&lt;&gt;""),AND(MA15&gt;=MG$33,MA15&lt;&gt;"",MC15&gt;=MG$37,MC15&lt;&gt;""),AND(MD15&gt;=MG$33,MD15&lt;&gt;"",MF15&gt;=MG$37,MF15&lt;&gt;""),AND(NB15&gt;=NO$33,NB15&lt;&gt;"",ND15&gt;=NO$37,ND15&lt;&gt;""),AND(NE15&gt;=NO$33,NE15&lt;&gt;"",NG15&gt;=NO$37,NG15&lt;&gt;""),AND(NI15&gt;=NO$33,NI15&lt;&gt;"",NK15&gt;=NO$37,NK15&lt;&gt;""),AND(NL15&gt;=NO$33,NL15&lt;&gt;"",NN15&gt;=NO$37,NN15&lt;&gt;""),AND(OJ15&gt;=OW$33,OJ15&lt;&gt;"",OL15&gt;=OW$37,OL15&lt;&gt;""),AND(OM15&gt;=OW$33,OM15&lt;&gt;"",OO15&gt;=OW$37,OO15&lt;&gt;""),AND(OQ15&gt;=OW$33,OQ15&lt;&gt;"",OS15&gt;=OW$37,OS15&lt;&gt;""),AND(OT15&gt;=OW$33,OT15&lt;&gt;"",OV15&gt;=OW$37,OV15&lt;&gt;""),AND(PR15&gt;=QE$33,PR15&lt;&gt;"",PT15&gt;=QE$37,PT15&lt;&gt;""),AND(PU15&gt;=QE$33,PU15&lt;&gt;"",PW15&gt;=QE$37,PW15&lt;&gt;""),AND(PY15&gt;=QE$33,PY15&lt;&gt;"",QA15&gt;=QE$37,QA15&lt;&gt;""),AND(QB15&gt;=QE$33,QB15&lt;&gt;"",QD15&gt;=QE$37,QD15&lt;&gt;""),AND(QZ15&gt;=RM$33,QZ15&lt;&gt;"",RB15&gt;=RM$37,RB15&lt;&gt;""),AND(RC15&gt;=RM$33,RC15&lt;&gt;"",RE15&gt;=RM$37,RE15&lt;&gt;""),AND(RG15&gt;=RM$33,RG15&lt;&gt;"",RI15&gt;=RM$37,RI15&lt;&gt;""),AND(RJ15&gt;=RM$33,RJ15&lt;&gt;"",RL15&gt;=RM$37,RL15&lt;&gt;""),AND(SH15&gt;=SU$33,SH15&lt;&gt;"",SJ15&gt;=SU$37,SJ15&lt;&gt;""),AND(SK15&gt;=SU$33,SK15&lt;&gt;"",SM15&gt;=SU$37,SM15&lt;&gt;""),AND(SO15&gt;=SU$33,SO15&lt;&gt;"",SQ15&gt;=SU$37,SQ15&lt;&gt;""),AND(SR15&gt;=SU$33,SR15&lt;&gt;"",ST15&gt;=SU$37,ST15&lt;&gt;"")),"Merit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),"Excellence",IF(K15="P","Worlds Team",IF(H15="P","National Team","")))))</f>
        <v/>
      </c>
      <c r="K15" s="3" t="str">
        <f>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P","")</f>
        <v/>
      </c>
      <c r="L15" s="8">
        <f>IF(COUNT(AQ15,AT15,BR15,BU15,CS15,CV15)&gt;0,LARGE((AQ15,AT15,BR15,BU15,CS15,CV15),1),0)</f>
        <v>51.33</v>
      </c>
      <c r="M15" s="8" t="str">
        <f t="shared" si="1"/>
        <v>2025 Elite Canada</v>
      </c>
      <c r="N15" s="8">
        <f>IF(COUNT(AQ15,AT15,BR15,BU15,CS15,CV15)&gt;1,LARGE((AQ15,AT15,BR15,BU15,CS15,CV15),2),0)</f>
        <v>50.49</v>
      </c>
      <c r="O15" s="8" t="str">
        <f t="shared" si="2"/>
        <v>2025 Nationals</v>
      </c>
      <c r="P15" s="8">
        <f>IF(COUNT(AQ15,AT15,BR15,BU15,CS15,CV15)&gt;2,MAX(AX15,BY15,CZ15,LARGE((AQ15,AT15,BR15,BU15,CS15,CV15),3)),IF(MAX(AX15,BY15,CZ15)&gt;0,MAX(AX15,BY15,CZ15),0))</f>
        <v>51.28</v>
      </c>
      <c r="Q15" s="8" t="str">
        <f t="shared" si="3"/>
        <v>2025 Elite Canada</v>
      </c>
      <c r="R15" s="8">
        <f t="shared" si="4"/>
        <v>14.5</v>
      </c>
      <c r="S15" s="8" t="str">
        <f t="shared" si="5"/>
        <v>2025 Nationals</v>
      </c>
      <c r="T15" s="8">
        <f>IF(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&gt;0,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,0)</f>
        <v>14.39</v>
      </c>
      <c r="U15" s="8" t="str">
        <f t="shared" si="6"/>
        <v>2025 Nationals</v>
      </c>
      <c r="V15" s="8" t="str">
        <f t="shared" si="7"/>
        <v/>
      </c>
      <c r="W15" s="11" t="str">
        <f t="shared" si="8"/>
        <v/>
      </c>
      <c r="X15" s="8" t="str">
        <f t="shared" si="9"/>
        <v/>
      </c>
      <c r="Y15" s="22">
        <v>14.8</v>
      </c>
      <c r="Z15" s="22">
        <v>9.1</v>
      </c>
      <c r="AA15" s="22">
        <v>11.2</v>
      </c>
      <c r="AB15" s="22">
        <v>14.33</v>
      </c>
      <c r="AC15" s="22">
        <v>0</v>
      </c>
      <c r="AD15" s="22">
        <v>11.7</v>
      </c>
      <c r="AE15" s="22">
        <v>8.9</v>
      </c>
      <c r="AF15" s="22">
        <v>10.7</v>
      </c>
      <c r="AG15" s="22">
        <v>14.38</v>
      </c>
      <c r="AH15" s="22">
        <v>0</v>
      </c>
      <c r="AI15" s="22">
        <v>4.2</v>
      </c>
      <c r="AJ15" s="22">
        <v>2.8</v>
      </c>
      <c r="AK15" s="22">
        <v>4</v>
      </c>
      <c r="AL15" s="22">
        <v>4.63</v>
      </c>
      <c r="AM15" s="22">
        <v>0</v>
      </c>
      <c r="AN15" s="27"/>
      <c r="AO15" s="38">
        <f t="shared" si="10"/>
        <v>11.2</v>
      </c>
      <c r="AP15" s="38">
        <f t="shared" si="11"/>
        <v>14.33</v>
      </c>
      <c r="AQ15" s="40">
        <f t="shared" si="12"/>
        <v>49.429999999999993</v>
      </c>
      <c r="AR15" s="40">
        <f t="shared" si="13"/>
        <v>10.7</v>
      </c>
      <c r="AS15" s="40">
        <f t="shared" si="14"/>
        <v>14.38</v>
      </c>
      <c r="AT15" s="40">
        <f t="shared" si="15"/>
        <v>45.68</v>
      </c>
      <c r="AU15" s="40">
        <f t="shared" si="16"/>
        <v>49.429999999999993</v>
      </c>
      <c r="AV15" s="40">
        <f t="shared" si="17"/>
        <v>4</v>
      </c>
      <c r="AW15" s="40">
        <f t="shared" si="18"/>
        <v>4.63</v>
      </c>
      <c r="AX15" s="40">
        <f t="shared" si="19"/>
        <v>15.629999999999999</v>
      </c>
      <c r="AY15" s="40">
        <f t="shared" si="20"/>
        <v>65.059999999999988</v>
      </c>
      <c r="AZ15" s="26">
        <v>11.9</v>
      </c>
      <c r="BA15" s="26">
        <v>9</v>
      </c>
      <c r="BB15" s="26">
        <v>12.6</v>
      </c>
      <c r="BC15" s="26">
        <v>13.67</v>
      </c>
      <c r="BD15" s="26">
        <v>0</v>
      </c>
      <c r="BE15" s="26">
        <v>13.8</v>
      </c>
      <c r="BF15" s="26">
        <v>9.5</v>
      </c>
      <c r="BG15" s="26">
        <v>13.8</v>
      </c>
      <c r="BH15" s="26">
        <v>14.23</v>
      </c>
      <c r="BI15" s="26">
        <v>0</v>
      </c>
      <c r="BJ15" s="26">
        <v>13.5</v>
      </c>
      <c r="BK15" s="26">
        <v>9.5</v>
      </c>
      <c r="BL15" s="26">
        <v>13.8</v>
      </c>
      <c r="BM15" s="26">
        <v>14.48</v>
      </c>
      <c r="BN15" s="26">
        <v>0</v>
      </c>
      <c r="BO15" s="28"/>
      <c r="BP15" s="39">
        <f t="shared" si="21"/>
        <v>12.6</v>
      </c>
      <c r="BQ15" s="39">
        <f t="shared" si="22"/>
        <v>13.67</v>
      </c>
      <c r="BR15" s="11">
        <f t="shared" si="23"/>
        <v>47.17</v>
      </c>
      <c r="BS15" s="11">
        <f t="shared" si="24"/>
        <v>13.8</v>
      </c>
      <c r="BT15" s="11">
        <f t="shared" si="25"/>
        <v>14.23</v>
      </c>
      <c r="BU15" s="11">
        <f t="shared" si="26"/>
        <v>51.33</v>
      </c>
      <c r="BV15" s="11">
        <f t="shared" si="27"/>
        <v>51.33</v>
      </c>
      <c r="BW15" s="11">
        <f t="shared" si="28"/>
        <v>13.8</v>
      </c>
      <c r="BX15" s="11">
        <f t="shared" si="29"/>
        <v>14.48</v>
      </c>
      <c r="BY15" s="11">
        <f t="shared" si="30"/>
        <v>51.28</v>
      </c>
      <c r="BZ15" s="11">
        <f t="shared" si="31"/>
        <v>102.61</v>
      </c>
      <c r="CA15" s="22">
        <v>2.6</v>
      </c>
      <c r="CB15" s="22">
        <v>1.8</v>
      </c>
      <c r="CC15" s="22">
        <v>3.5</v>
      </c>
      <c r="CD15" s="22">
        <v>3.06</v>
      </c>
      <c r="CE15" s="22">
        <v>0.2</v>
      </c>
      <c r="CF15" s="22">
        <v>12.4</v>
      </c>
      <c r="CG15" s="22">
        <v>9.1999999999999993</v>
      </c>
      <c r="CH15" s="22">
        <v>14.5</v>
      </c>
      <c r="CI15" s="22">
        <v>14.39</v>
      </c>
      <c r="CJ15" s="22">
        <v>0</v>
      </c>
      <c r="CK15" s="22">
        <v>1.4</v>
      </c>
      <c r="CL15" s="22">
        <v>1</v>
      </c>
      <c r="CM15" s="22">
        <v>2</v>
      </c>
      <c r="CN15" s="22">
        <v>1.59</v>
      </c>
      <c r="CO15" s="22">
        <v>0</v>
      </c>
      <c r="CP15" s="27"/>
      <c r="CQ15" s="38">
        <f t="shared" si="32"/>
        <v>3.5</v>
      </c>
      <c r="CR15" s="38">
        <f t="shared" si="33"/>
        <v>3.06</v>
      </c>
      <c r="CS15" s="40">
        <f t="shared" si="34"/>
        <v>10.760000000000002</v>
      </c>
      <c r="CT15" s="40">
        <f t="shared" si="35"/>
        <v>14.5</v>
      </c>
      <c r="CU15" s="40">
        <f t="shared" si="36"/>
        <v>14.39</v>
      </c>
      <c r="CV15" s="40">
        <f t="shared" si="37"/>
        <v>50.49</v>
      </c>
      <c r="CW15" s="40">
        <f t="shared" si="38"/>
        <v>50.49</v>
      </c>
      <c r="CX15" s="40">
        <f t="shared" si="39"/>
        <v>2</v>
      </c>
      <c r="CY15" s="40">
        <f t="shared" si="40"/>
        <v>1.59</v>
      </c>
      <c r="CZ15" s="40">
        <f t="shared" si="41"/>
        <v>5.99</v>
      </c>
      <c r="DA15" s="40">
        <f t="shared" si="42"/>
        <v>56.480000000000004</v>
      </c>
      <c r="DB15" s="50" t="str">
        <f t="shared" si="43"/>
        <v/>
      </c>
      <c r="DC15" s="50" t="str">
        <f t="shared" si="44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45"/>
        <v/>
      </c>
      <c r="DY15" s="40" t="str">
        <f t="shared" si="46"/>
        <v/>
      </c>
      <c r="DZ15" s="40" t="str">
        <f t="shared" si="47"/>
        <v/>
      </c>
      <c r="EA15" s="40" t="str">
        <f t="shared" si="48"/>
        <v/>
      </c>
      <c r="EB15" s="40" t="str">
        <f t="shared" si="49"/>
        <v/>
      </c>
      <c r="EC15" s="40" t="str">
        <f t="shared" si="50"/>
        <v/>
      </c>
      <c r="ED15" s="40" t="str">
        <f t="shared" si="51"/>
        <v/>
      </c>
      <c r="EE15" s="40" t="str">
        <f t="shared" si="52"/>
        <v/>
      </c>
      <c r="EF15" s="40" t="str">
        <f t="shared" si="53"/>
        <v/>
      </c>
      <c r="EG15" s="40" t="str">
        <f t="shared" si="54"/>
        <v/>
      </c>
      <c r="EH15" s="40" t="str">
        <f t="shared" si="55"/>
        <v/>
      </c>
      <c r="EI15" s="40" t="str">
        <f t="shared" si="56"/>
        <v/>
      </c>
      <c r="EJ15" s="40" t="str">
        <f t="shared" si="57"/>
        <v/>
      </c>
      <c r="EK15" s="40" t="str">
        <f t="shared" si="58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59"/>
        <v/>
      </c>
      <c r="FG15" s="11" t="str">
        <f t="shared" si="60"/>
        <v/>
      </c>
      <c r="FH15" s="11" t="str">
        <f t="shared" si="61"/>
        <v/>
      </c>
      <c r="FI15" s="11" t="str">
        <f t="shared" si="62"/>
        <v/>
      </c>
      <c r="FJ15" s="11" t="str">
        <f t="shared" si="63"/>
        <v/>
      </c>
      <c r="FK15" s="11" t="str">
        <f t="shared" si="64"/>
        <v/>
      </c>
      <c r="FL15" s="11" t="str">
        <f t="shared" si="65"/>
        <v/>
      </c>
      <c r="FM15" s="11" t="str">
        <f t="shared" si="66"/>
        <v/>
      </c>
      <c r="FN15" s="11" t="str">
        <f t="shared" si="67"/>
        <v/>
      </c>
      <c r="FO15" s="11" t="str">
        <f t="shared" si="68"/>
        <v/>
      </c>
      <c r="FP15" s="11" t="str">
        <f t="shared" si="69"/>
        <v/>
      </c>
      <c r="FQ15" s="11" t="str">
        <f t="shared" si="70"/>
        <v/>
      </c>
      <c r="FR15" s="11" t="str">
        <f t="shared" si="71"/>
        <v/>
      </c>
      <c r="FS15" s="11" t="str">
        <f t="shared" si="72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3"/>
        <v/>
      </c>
      <c r="GO15" s="40" t="str">
        <f t="shared" si="74"/>
        <v/>
      </c>
      <c r="GP15" s="40" t="str">
        <f t="shared" si="75"/>
        <v/>
      </c>
      <c r="GQ15" s="40" t="str">
        <f t="shared" si="76"/>
        <v/>
      </c>
      <c r="GR15" s="40" t="str">
        <f t="shared" si="77"/>
        <v/>
      </c>
      <c r="GS15" s="40" t="str">
        <f t="shared" si="78"/>
        <v/>
      </c>
      <c r="GT15" s="40" t="str">
        <f t="shared" si="79"/>
        <v/>
      </c>
      <c r="GU15" s="40" t="str">
        <f t="shared" si="80"/>
        <v/>
      </c>
      <c r="GV15" s="40" t="str">
        <f t="shared" si="81"/>
        <v/>
      </c>
      <c r="GW15" s="40" t="str">
        <f t="shared" si="82"/>
        <v/>
      </c>
      <c r="GX15" s="40" t="str">
        <f t="shared" si="83"/>
        <v/>
      </c>
      <c r="GY15" s="40" t="str">
        <f t="shared" si="84"/>
        <v/>
      </c>
      <c r="GZ15" s="40" t="str">
        <f t="shared" si="85"/>
        <v/>
      </c>
      <c r="HA15" s="40" t="str">
        <f t="shared" si="86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87"/>
        <v/>
      </c>
      <c r="HW15" s="11" t="str">
        <f t="shared" si="88"/>
        <v/>
      </c>
      <c r="HX15" s="11" t="str">
        <f t="shared" si="89"/>
        <v/>
      </c>
      <c r="HY15" s="11" t="str">
        <f t="shared" si="90"/>
        <v/>
      </c>
      <c r="HZ15" s="11" t="str">
        <f t="shared" si="91"/>
        <v/>
      </c>
      <c r="IA15" s="11" t="str">
        <f t="shared" si="92"/>
        <v/>
      </c>
      <c r="IB15" s="11" t="str">
        <f t="shared" si="93"/>
        <v/>
      </c>
      <c r="IC15" s="11" t="str">
        <f t="shared" si="94"/>
        <v/>
      </c>
      <c r="ID15" s="11" t="str">
        <f t="shared" si="95"/>
        <v/>
      </c>
      <c r="IE15" s="11" t="str">
        <f t="shared" si="96"/>
        <v/>
      </c>
      <c r="IF15" s="11" t="str">
        <f t="shared" si="97"/>
        <v/>
      </c>
      <c r="IG15" s="11" t="str">
        <f t="shared" si="98"/>
        <v/>
      </c>
      <c r="IH15" s="11" t="str">
        <f t="shared" si="99"/>
        <v/>
      </c>
      <c r="II15" s="11" t="str">
        <f t="shared" si="100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1"/>
        <v/>
      </c>
      <c r="JE15" s="40" t="str">
        <f t="shared" si="102"/>
        <v/>
      </c>
      <c r="JF15" s="40" t="str">
        <f t="shared" si="103"/>
        <v/>
      </c>
      <c r="JG15" s="40" t="str">
        <f t="shared" si="104"/>
        <v/>
      </c>
      <c r="JH15" s="40" t="str">
        <f t="shared" si="105"/>
        <v/>
      </c>
      <c r="JI15" s="40" t="str">
        <f t="shared" si="106"/>
        <v/>
      </c>
      <c r="JJ15" s="40" t="str">
        <f t="shared" si="107"/>
        <v/>
      </c>
      <c r="JK15" s="40" t="str">
        <f t="shared" si="108"/>
        <v/>
      </c>
      <c r="JL15" s="40" t="str">
        <f t="shared" si="109"/>
        <v/>
      </c>
      <c r="JM15" s="40" t="str">
        <f t="shared" si="110"/>
        <v/>
      </c>
      <c r="JN15" s="40" t="str">
        <f t="shared" si="111"/>
        <v/>
      </c>
      <c r="JO15" s="40" t="str">
        <f t="shared" si="112"/>
        <v/>
      </c>
      <c r="JP15" s="40" t="str">
        <f t="shared" si="113"/>
        <v/>
      </c>
      <c r="JQ15" s="40" t="str">
        <f t="shared" si="114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15"/>
        <v/>
      </c>
      <c r="KM15" s="11" t="str">
        <f t="shared" si="116"/>
        <v/>
      </c>
      <c r="KN15" s="11" t="str">
        <f t="shared" si="117"/>
        <v/>
      </c>
      <c r="KO15" s="11" t="str">
        <f t="shared" si="118"/>
        <v/>
      </c>
      <c r="KP15" s="11" t="str">
        <f t="shared" si="119"/>
        <v/>
      </c>
      <c r="KQ15" s="11" t="str">
        <f t="shared" si="120"/>
        <v/>
      </c>
      <c r="KR15" s="11" t="str">
        <f t="shared" si="121"/>
        <v/>
      </c>
      <c r="KS15" s="11" t="str">
        <f t="shared" si="122"/>
        <v/>
      </c>
      <c r="KT15" s="11" t="str">
        <f t="shared" si="123"/>
        <v/>
      </c>
      <c r="KU15" s="11" t="str">
        <f t="shared" si="124"/>
        <v/>
      </c>
      <c r="KV15" s="11" t="str">
        <f t="shared" si="125"/>
        <v/>
      </c>
      <c r="KW15" s="11" t="str">
        <f t="shared" si="126"/>
        <v/>
      </c>
      <c r="KX15" s="11" t="str">
        <f t="shared" si="127"/>
        <v/>
      </c>
      <c r="KY15" s="11" t="str">
        <f t="shared" si="128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29"/>
        <v/>
      </c>
      <c r="LU15" s="40" t="str">
        <f t="shared" si="130"/>
        <v/>
      </c>
      <c r="LV15" s="40" t="str">
        <f t="shared" si="131"/>
        <v/>
      </c>
      <c r="LW15" s="40" t="str">
        <f t="shared" si="132"/>
        <v/>
      </c>
      <c r="LX15" s="40" t="str">
        <f t="shared" si="133"/>
        <v/>
      </c>
      <c r="LY15" s="40" t="str">
        <f t="shared" si="134"/>
        <v/>
      </c>
      <c r="LZ15" s="40" t="str">
        <f t="shared" si="135"/>
        <v/>
      </c>
      <c r="MA15" s="40" t="str">
        <f t="shared" si="136"/>
        <v/>
      </c>
      <c r="MB15" s="40" t="str">
        <f t="shared" si="137"/>
        <v/>
      </c>
      <c r="MC15" s="40" t="str">
        <f t="shared" si="138"/>
        <v/>
      </c>
      <c r="MD15" s="40" t="str">
        <f t="shared" si="139"/>
        <v/>
      </c>
      <c r="ME15" s="40" t="str">
        <f t="shared" si="140"/>
        <v/>
      </c>
      <c r="MF15" s="40" t="str">
        <f t="shared" si="141"/>
        <v/>
      </c>
      <c r="MG15" s="40" t="str">
        <f t="shared" si="142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3"/>
        <v/>
      </c>
      <c r="NC15" s="11" t="str">
        <f t="shared" si="144"/>
        <v/>
      </c>
      <c r="ND15" s="11" t="str">
        <f t="shared" si="145"/>
        <v/>
      </c>
      <c r="NE15" s="11" t="str">
        <f t="shared" si="146"/>
        <v/>
      </c>
      <c r="NF15" s="11" t="str">
        <f t="shared" si="147"/>
        <v/>
      </c>
      <c r="NG15" s="11" t="str">
        <f t="shared" si="148"/>
        <v/>
      </c>
      <c r="NH15" s="11" t="str">
        <f t="shared" si="149"/>
        <v/>
      </c>
      <c r="NI15" s="11" t="str">
        <f t="shared" si="150"/>
        <v/>
      </c>
      <c r="NJ15" s="11" t="str">
        <f t="shared" si="151"/>
        <v/>
      </c>
      <c r="NK15" s="11" t="str">
        <f t="shared" si="152"/>
        <v/>
      </c>
      <c r="NL15" s="11" t="str">
        <f t="shared" si="153"/>
        <v/>
      </c>
      <c r="NM15" s="11" t="str">
        <f t="shared" si="154"/>
        <v/>
      </c>
      <c r="NN15" s="11" t="str">
        <f t="shared" si="155"/>
        <v/>
      </c>
      <c r="NO15" s="11" t="str">
        <f t="shared" si="156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57"/>
        <v/>
      </c>
      <c r="OK15" s="40" t="str">
        <f t="shared" si="158"/>
        <v/>
      </c>
      <c r="OL15" s="40" t="str">
        <f t="shared" si="159"/>
        <v/>
      </c>
      <c r="OM15" s="40" t="str">
        <f t="shared" si="160"/>
        <v/>
      </c>
      <c r="ON15" s="40" t="str">
        <f t="shared" si="161"/>
        <v/>
      </c>
      <c r="OO15" s="40" t="str">
        <f t="shared" si="162"/>
        <v/>
      </c>
      <c r="OP15" s="40" t="str">
        <f t="shared" si="163"/>
        <v/>
      </c>
      <c r="OQ15" s="40" t="str">
        <f t="shared" si="164"/>
        <v/>
      </c>
      <c r="OR15" s="40" t="str">
        <f t="shared" si="165"/>
        <v/>
      </c>
      <c r="OS15" s="40" t="str">
        <f t="shared" si="166"/>
        <v/>
      </c>
      <c r="OT15" s="40" t="str">
        <f t="shared" si="167"/>
        <v/>
      </c>
      <c r="OU15" s="40" t="str">
        <f t="shared" si="168"/>
        <v/>
      </c>
      <c r="OV15" s="40" t="str">
        <f t="shared" si="169"/>
        <v/>
      </c>
      <c r="OW15" s="40" t="str">
        <f t="shared" si="170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1"/>
        <v/>
      </c>
      <c r="PS15" s="11" t="str">
        <f t="shared" si="172"/>
        <v/>
      </c>
      <c r="PT15" s="11" t="str">
        <f t="shared" si="173"/>
        <v/>
      </c>
      <c r="PU15" s="11" t="str">
        <f t="shared" si="174"/>
        <v/>
      </c>
      <c r="PV15" s="11" t="str">
        <f t="shared" si="175"/>
        <v/>
      </c>
      <c r="PW15" s="11" t="str">
        <f t="shared" si="176"/>
        <v/>
      </c>
      <c r="PX15" s="11" t="str">
        <f t="shared" si="177"/>
        <v/>
      </c>
      <c r="PY15" s="11" t="str">
        <f t="shared" si="178"/>
        <v/>
      </c>
      <c r="PZ15" s="11" t="str">
        <f t="shared" si="179"/>
        <v/>
      </c>
      <c r="QA15" s="11" t="str">
        <f t="shared" si="180"/>
        <v/>
      </c>
      <c r="QB15" s="11" t="str">
        <f t="shared" si="181"/>
        <v/>
      </c>
      <c r="QC15" s="11" t="str">
        <f t="shared" si="182"/>
        <v/>
      </c>
      <c r="QD15" s="11" t="str">
        <f t="shared" si="183"/>
        <v/>
      </c>
      <c r="QE15" s="11" t="str">
        <f t="shared" si="184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85"/>
        <v/>
      </c>
      <c r="RA15" s="40" t="str">
        <f t="shared" si="186"/>
        <v/>
      </c>
      <c r="RB15" s="40" t="str">
        <f t="shared" si="187"/>
        <v/>
      </c>
      <c r="RC15" s="40" t="str">
        <f t="shared" si="188"/>
        <v/>
      </c>
      <c r="RD15" s="40" t="str">
        <f t="shared" si="189"/>
        <v/>
      </c>
      <c r="RE15" s="40" t="str">
        <f t="shared" si="190"/>
        <v/>
      </c>
      <c r="RF15" s="40" t="str">
        <f t="shared" si="191"/>
        <v/>
      </c>
      <c r="RG15" s="40" t="str">
        <f t="shared" si="192"/>
        <v/>
      </c>
      <c r="RH15" s="40" t="str">
        <f t="shared" si="193"/>
        <v/>
      </c>
      <c r="RI15" s="40" t="str">
        <f t="shared" si="194"/>
        <v/>
      </c>
      <c r="RJ15" s="40" t="str">
        <f t="shared" si="195"/>
        <v/>
      </c>
      <c r="RK15" s="40" t="str">
        <f t="shared" si="196"/>
        <v/>
      </c>
      <c r="RL15" s="40" t="str">
        <f t="shared" si="197"/>
        <v/>
      </c>
      <c r="RM15" s="40" t="str">
        <f t="shared" si="198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199"/>
        <v/>
      </c>
      <c r="SI15" s="11" t="str">
        <f t="shared" si="200"/>
        <v/>
      </c>
      <c r="SJ15" s="11" t="str">
        <f t="shared" si="201"/>
        <v/>
      </c>
      <c r="SK15" s="11" t="str">
        <f t="shared" si="202"/>
        <v/>
      </c>
      <c r="SL15" s="11" t="str">
        <f t="shared" si="203"/>
        <v/>
      </c>
      <c r="SM15" s="11" t="str">
        <f t="shared" si="204"/>
        <v/>
      </c>
      <c r="SN15" s="11" t="str">
        <f t="shared" si="205"/>
        <v/>
      </c>
      <c r="SO15" s="11" t="str">
        <f t="shared" si="206"/>
        <v/>
      </c>
      <c r="SP15" s="11" t="str">
        <f t="shared" si="207"/>
        <v/>
      </c>
      <c r="SQ15" s="11" t="str">
        <f t="shared" si="208"/>
        <v/>
      </c>
      <c r="SR15" s="11" t="str">
        <f t="shared" si="209"/>
        <v/>
      </c>
      <c r="SS15" s="11" t="str">
        <f t="shared" si="210"/>
        <v/>
      </c>
      <c r="ST15" s="11" t="str">
        <f t="shared" si="211"/>
        <v/>
      </c>
      <c r="SU15" s="11" t="str">
        <f t="shared" si="212"/>
        <v/>
      </c>
      <c r="SV15" s="22">
        <f t="shared" si="213"/>
        <v>7.25</v>
      </c>
      <c r="SW15" s="22">
        <f t="shared" si="214"/>
        <v>5.4</v>
      </c>
      <c r="SX15" s="22">
        <f t="shared" si="215"/>
        <v>8.0500000000000007</v>
      </c>
      <c r="SY15" s="22">
        <f t="shared" si="216"/>
        <v>8.3650000000000002</v>
      </c>
      <c r="SZ15" s="22">
        <f t="shared" si="217"/>
        <v>0.1</v>
      </c>
      <c r="TA15" s="22">
        <f t="shared" si="218"/>
        <v>13.100000000000001</v>
      </c>
      <c r="TB15" s="22">
        <f t="shared" si="219"/>
        <v>9.35</v>
      </c>
      <c r="TC15" s="22">
        <f t="shared" si="220"/>
        <v>14.15</v>
      </c>
      <c r="TD15" s="22">
        <f t="shared" si="221"/>
        <v>14.31</v>
      </c>
      <c r="TE15" s="22">
        <f t="shared" si="222"/>
        <v>0</v>
      </c>
      <c r="TF15" s="22">
        <f t="shared" si="223"/>
        <v>7.45</v>
      </c>
      <c r="TG15" s="22">
        <f t="shared" si="224"/>
        <v>5.25</v>
      </c>
      <c r="TH15" s="22">
        <f t="shared" si="225"/>
        <v>7.9</v>
      </c>
      <c r="TI15" s="22">
        <f t="shared" si="226"/>
        <v>8.0350000000000001</v>
      </c>
      <c r="TJ15" s="22">
        <f t="shared" si="227"/>
        <v>0</v>
      </c>
      <c r="TK15" s="27" t="s">
        <v>46</v>
      </c>
      <c r="TL15" s="40">
        <f t="shared" si="228"/>
        <v>8.0500000000000007</v>
      </c>
      <c r="TM15" s="40">
        <f t="shared" si="229"/>
        <v>8.3650000000000002</v>
      </c>
      <c r="TN15" s="40">
        <f t="shared" si="230"/>
        <v>28.965000000000003</v>
      </c>
      <c r="TO15" s="40">
        <f t="shared" si="231"/>
        <v>14.15</v>
      </c>
      <c r="TP15" s="40">
        <f t="shared" si="232"/>
        <v>14.31</v>
      </c>
      <c r="TQ15" s="40">
        <f t="shared" si="233"/>
        <v>50.910000000000004</v>
      </c>
      <c r="TR15" s="40">
        <f t="shared" si="234"/>
        <v>50.910000000000004</v>
      </c>
      <c r="TS15" s="40">
        <f t="shared" si="235"/>
        <v>7.9</v>
      </c>
      <c r="TT15" s="40">
        <f t="shared" si="236"/>
        <v>8.0350000000000001</v>
      </c>
      <c r="TU15" s="40">
        <f t="shared" si="237"/>
        <v>28.635000000000002</v>
      </c>
      <c r="TV15" s="40">
        <f t="shared" si="238"/>
        <v>79.545000000000002</v>
      </c>
    </row>
    <row r="16" spans="1:542" x14ac:dyDescent="0.2">
      <c r="A16" s="4" t="str" cm="1">
        <f t="array" ref="A16">IF(AND(J16&lt;&gt;"",J16&lt;&gt;"No DD"),SUMPRODUCT((J$4:J$28&lt;&gt;"")*(J$4:J$28&lt;&gt;"No DD")*(F$4:F$28&gt;F16))+1,IF(J16="No DD",SUMPRODUCT((J$4:J$28="No DD")*(F$4:F$28&gt;F16))+1+SUMPRODUCT((J$4:J$28&lt;&gt;"")*(J$4:J$28&lt;&gt;"No DD")),""))</f>
        <v/>
      </c>
      <c r="B16" s="4" t="str" cm="1">
        <f t="array" ref="B16">IF(AND(J16&lt;&gt;"",J16&lt;&gt;"No DD",G16=""),SUMPRODUCT((J$4:J$28&lt;&gt;"")*(J$4:J$28&lt;&gt;"No DD")*(G$4:G$28="")*(F$4:F$28&gt;F16))+1,IF(J16="No DD",SUMPRODUCT((J$4:J$28="No DD")*(F$4:F$28&gt;F16)*(G$4:G$28=""))+1+SUMPRODUCT((J$4:J$28&lt;&gt;"")*(G$4:G$28="")*(J$4:J$28&lt;&gt;"No DD")),""))</f>
        <v/>
      </c>
      <c r="C16" s="5" t="s">
        <v>123</v>
      </c>
      <c r="D16" s="4" t="s">
        <v>122</v>
      </c>
      <c r="E16" s="4">
        <v>2006</v>
      </c>
      <c r="F16" s="9">
        <f t="shared" si="0"/>
        <v>180.15001801500512</v>
      </c>
      <c r="G16" s="64"/>
      <c r="H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P","")</f>
        <v/>
      </c>
      <c r="I16" s="3" t="str">
        <f>IF(OR(AND(AQ16&gt;=AY$34,AQ16&lt;&gt;"",AN16=""),AND(AT16&gt;=AY$34,AT16&lt;&gt;"",AN16=""),AND(AX16&gt;=AY$34,AX16&lt;&gt;"",AN16=""),AND(BR16&gt;=BZ$34,BR16&lt;&gt;"",BO16=""),AND(BU16&gt;=BZ$34,BU16&lt;&gt;"",BO16=""),AND(BY16&gt;=BZ$34,BY16&lt;&gt;"",BO16=""),AND(CS16&gt;=DA$34,CS16&lt;&gt;"",CP16=""),AND(CV16&gt;=DA$34,CV16&lt;&gt;"",CP16=""),AND(CZ16&gt;=DA$34,CZ16&lt;&gt;"",CP16=""),AND(DZ16&gt;=EK$34,DZ16&lt;&gt;""),AND(EC16&gt;=EK$34,EC16&lt;&gt;""),AND(EG16&gt;=EK$34,EG16&lt;&gt;""),AND(EJ16&gt;=EK$34,EJ16&lt;&gt;""),AND(FH16&gt;=FS$34,FH16&lt;&gt;""),AND(FK16&gt;=FS$34,FK16&lt;&gt;""),AND(FO16&gt;=FS$34,FO16&lt;&gt;""),AND(FR16&gt;=FS$34,FR16&lt;&gt;""),AND(GP16&gt;=HA$34,GP16&lt;&gt;""),AND(GS16&gt;=HA$34,GS16&lt;&gt;""),AND(GW16&gt;=HA$34,GW16&lt;&gt;""),AND(GZ16&gt;=HA$34,GZ16&lt;&gt;""),AND(HX16&gt;=II$34,HX16&lt;&gt;""),AND(IA16&gt;=II$34,IA16&lt;&gt;""),AND(IE16&gt;=II$34,IE16&lt;&gt;""),AND(IH16&gt;=II$34,IH16&lt;&gt;""),AND(JF16&gt;=JQ$34,JF16&lt;&gt;""),AND(JI16&gt;=JQ$34,JI16&lt;&gt;""),AND(JM16&gt;=JQ$34,JM16&lt;&gt;""),AND(JP16&gt;=JQ$34,JP16&lt;&gt;""),AND(KN16&gt;=KY$34,KN16&lt;&gt;""),AND(KQ16&gt;=KY$34,KQ16&lt;&gt;""),AND(KU16&gt;=KY$34,KU16&lt;&gt;""),AND(KX16&gt;=KY$34,KX16&lt;&gt;""),AND(LV16&gt;=MG$34,LV16&lt;&gt;""),AND(LY16&gt;=MG$34,LY16&lt;&gt;""),AND(MC16&gt;=MG$34,MC16&lt;&gt;""),AND(MF16&gt;=MG$34,MF16&lt;&gt;""),AND(ND16&gt;=NO$34,ND16&lt;&gt;""),AND(NG16&gt;=NO$34,NG16&lt;&gt;""),AND(NK16&gt;=NO$34,NK16&lt;&gt;""),AND(NN16&gt;=NO$34,NN16&lt;&gt;""),AND(OL16&gt;=OW$34,OL16&lt;&gt;""),AND(OO16&gt;=OW$34,OO16&lt;&gt;""),AND(OS16&gt;=OW$34,OS16&lt;&gt;""),AND(OV16&gt;=OW$34,OV16&lt;&gt;""),AND(PT16&gt;=QE$34,PT16&lt;&gt;""),AND(PW16&gt;=QE$34,PW16&lt;&gt;""),AND(QA16&gt;=QE$34,QA16&lt;&gt;""),AND(QD16&gt;=QE$34,QD16&lt;&gt;""),AND(RB16&gt;=RM$34,RB16&lt;&gt;""),AND(RE16&gt;=RM$34,RE16&lt;&gt;""),AND(RI16&gt;=RM$34,RI16&lt;&gt;""),AND(RL16&gt;=RM$34,RL16&lt;&gt;""),AND(SJ16&gt;=SU$34,SJ16&lt;&gt;""),AND(SM16&gt;=SU$34,SM16&lt;&gt;""),AND(SQ16&gt;=SU$34,SQ16&lt;&gt;""),AND(ST16&gt;=SU$34,ST16&lt;&gt;"")),"P","")</f>
        <v/>
      </c>
      <c r="J16" s="36" t="str">
        <f>IF(AND(I16="P",H16=""),"No DD",IF(OR(AND(AO16&gt;=AY$33,AO16&lt;&gt;"",AQ16&gt;=AY$37,AQ16&lt;&gt;"",AN16=""),AND(AR16&gt;=AY$33,AR16&lt;&gt;"",AT16&gt;=AY$37,AT16&lt;&gt;"",AN16=""),AND(AV16&gt;=AY$33,AV16&lt;&gt;"",AX16&gt;=AY$37,AX16&lt;&gt;"",AN16=""),AND(BP16&gt;=BZ$33,BP16&lt;&gt;"",BR16&gt;=BZ$37,BR16&lt;&gt;"",BO16=""),AND(BS16&gt;=BZ$33,BS16&lt;&gt;"",BU16&gt;=BZ$37,BU16&lt;&gt;"",BO16=""),AND(BW16&gt;=BZ$33,BW16&lt;&gt;"",BY16&gt;=BZ$37,BY16&lt;&gt;"",BO16=""),AND(CQ16&gt;=DA$33,CQ16&lt;&gt;"",CS16&gt;=DA$37,CS16&lt;&gt;"",CP16=""),AND(CT16&gt;=DA$33,CT16&lt;&gt;"",CV16&gt;=DA$37,CV16&lt;&gt;"",CP16=""),AND(CX16&gt;=DA$33,CX16&lt;&gt;"",CZ16&gt;=DA$37,CZ16&lt;&gt;"",CP16=""),AND(DX16&gt;=EK$33,DX16&lt;&gt;"",DZ16&gt;=EK$37,DZ16&lt;&gt;""),AND(EA16&gt;=EK$33,EA16&lt;&gt;"",EC16&gt;=EK$37,EC16&lt;&gt;""),AND(EE16&gt;=EK$33,EE16&lt;&gt;"",EG16&gt;=EK$37,EG16&lt;&gt;""),AND(EH16&gt;=EK$33,EH16&lt;&gt;"",EJ16&gt;=EK$37,EJ16&lt;&gt;""),AND(FF16&gt;=FS$33,FF16&lt;&gt;"",FH16&gt;=FS$37,FH16&lt;&gt;""),AND(FI16&gt;=FS$33,FI16&lt;&gt;"",FK16&gt;=FS$37,FK16&lt;&gt;""),AND(FM16&gt;=FS$33,FM16&lt;&gt;"",FO16&gt;=FS$37,FO16&lt;&gt;""),AND(FP16&gt;=FS$33,FP16&lt;&gt;"",FR16&gt;=FS$37,FR16&lt;&gt;""),AND(GN16&gt;=HA$33,GN16&lt;&gt;"",GP16&gt;=HA$37,GP16&lt;&gt;""),AND(GQ16&gt;=HA$33,GQ16&lt;&gt;"",GS16&gt;=HA$37,GS16&lt;&gt;""),AND(GU16&gt;=HA$33,GU16&lt;&gt;"",GW16&gt;=HA$37,GW16&lt;&gt;""),AND(GX16&gt;=HA$33,GX16&lt;&gt;"",GZ16&gt;=HA$37,GZ16&lt;&gt;""),AND(HV16&gt;=II$33,HV16&lt;&gt;"",HX16&gt;=II$37,HX16&lt;&gt;""),AND(HY16&gt;=II$33,HY16&lt;&gt;"",IA16&gt;=II$37,IA16&lt;&gt;""),AND(IC16&gt;=II$33,IC16&lt;&gt;"",IE16&gt;=II$37,IE16&lt;&gt;""),AND(IF16&gt;=II$33,IF16&lt;&gt;"",IH16&gt;=II$37,IH16&lt;&gt;""),AND(JD16&gt;=JQ$33,JD16&lt;&gt;"",JF16&gt;=JQ$37,JF16&lt;&gt;""),AND(JG16&gt;=JQ$33,JG16&lt;&gt;"",JI16&gt;=JQ$37,JI16&lt;&gt;""),AND(JK16&gt;=JQ$33,JK16&lt;&gt;"",JM16&gt;=JQ$37,JM16&lt;&gt;""),AND(JN16&gt;=JQ$33,JN16&lt;&gt;"",JP16&gt;=JQ$37,JP16&lt;&gt;""),AND(KL16&gt;=KY$33,KL16&lt;&gt;"",KN16&gt;=KY$37,KN16&lt;&gt;""),AND(KO16&gt;=KY$33,KO16&lt;&gt;"",KQ16&gt;=KY$37,KQ16&lt;&gt;""),AND(KS16&gt;=KY$33,KS16&lt;&gt;"",KU16&gt;=KY$37,KU16&lt;&gt;""),AND(KV16&gt;=KY$33,KV16&lt;&gt;"",KX16&gt;=KY$37,KX16&lt;&gt;""),AND(LT16&gt;=MG$33,LT16&lt;&gt;"",LV16&gt;=MG$37,LV16&lt;&gt;""),AND(LW16&gt;=MG$33,LW16&lt;&gt;"",LY16&gt;=MG$37,LY16&lt;&gt;""),AND(MA16&gt;=MG$33,MA16&lt;&gt;"",MC16&gt;=MG$37,MC16&lt;&gt;""),AND(MD16&gt;=MG$33,MD16&lt;&gt;"",MF16&gt;=MG$37,MF16&lt;&gt;""),AND(NB16&gt;=NO$33,NB16&lt;&gt;"",ND16&gt;=NO$37,ND16&lt;&gt;""),AND(NE16&gt;=NO$33,NE16&lt;&gt;"",NG16&gt;=NO$37,NG16&lt;&gt;""),AND(NI16&gt;=NO$33,NI16&lt;&gt;"",NK16&gt;=NO$37,NK16&lt;&gt;""),AND(NL16&gt;=NO$33,NL16&lt;&gt;"",NN16&gt;=NO$37,NN16&lt;&gt;""),AND(OJ16&gt;=OW$33,OJ16&lt;&gt;"",OL16&gt;=OW$37,OL16&lt;&gt;""),AND(OM16&gt;=OW$33,OM16&lt;&gt;"",OO16&gt;=OW$37,OO16&lt;&gt;""),AND(OQ16&gt;=OW$33,OQ16&lt;&gt;"",OS16&gt;=OW$37,OS16&lt;&gt;""),AND(OT16&gt;=OW$33,OT16&lt;&gt;"",OV16&gt;=OW$37,OV16&lt;&gt;""),AND(PR16&gt;=QE$33,PR16&lt;&gt;"",PT16&gt;=QE$37,PT16&lt;&gt;""),AND(PU16&gt;=QE$33,PU16&lt;&gt;"",PW16&gt;=QE$37,PW16&lt;&gt;""),AND(PY16&gt;=QE$33,PY16&lt;&gt;"",QA16&gt;=QE$37,QA16&lt;&gt;""),AND(QB16&gt;=QE$33,QB16&lt;&gt;"",QD16&gt;=QE$37,QD16&lt;&gt;""),AND(QZ16&gt;=RM$33,QZ16&lt;&gt;"",RB16&gt;=RM$37,RB16&lt;&gt;""),AND(RC16&gt;=RM$33,RC16&lt;&gt;"",RE16&gt;=RM$37,RE16&lt;&gt;""),AND(RG16&gt;=RM$33,RG16&lt;&gt;"",RI16&gt;=RM$37,RI16&lt;&gt;""),AND(RJ16&gt;=RM$33,RJ16&lt;&gt;"",RL16&gt;=RM$37,RL16&lt;&gt;""),AND(SH16&gt;=SU$33,SH16&lt;&gt;"",SJ16&gt;=SU$37,SJ16&lt;&gt;""),AND(SK16&gt;=SU$33,SK16&lt;&gt;"",SM16&gt;=SU$37,SM16&lt;&gt;""),AND(SO16&gt;=SU$33,SO16&lt;&gt;"",SQ16&gt;=SU$37,SQ16&lt;&gt;""),AND(SR16&gt;=SU$33,SR16&lt;&gt;"",ST16&gt;=SU$37,ST16&lt;&gt;"")),"Merit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),"Excellence",IF(K16="P","Worlds Team",IF(H16="P","National Team","")))))</f>
        <v/>
      </c>
      <c r="K16" s="3" t="str">
        <f>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P","")</f>
        <v/>
      </c>
      <c r="L16" s="8">
        <f>IF(COUNT(AQ16,AT16,BR16,BU16,CS16,CV16)&gt;0,LARGE((AQ16,AT16,BR16,BU16,CS16,CV16),1),0)</f>
        <v>51.03</v>
      </c>
      <c r="M16" s="8" t="str">
        <f t="shared" si="1"/>
        <v>2024 3rd Domestic Trial</v>
      </c>
      <c r="N16" s="8">
        <f>IF(COUNT(AQ16,AT16,BR16,BU16,CS16,CV16)&gt;1,LARGE((AQ16,AT16,BR16,BU16,CS16,CV16),2),0)</f>
        <v>50.410000000000004</v>
      </c>
      <c r="O16" s="8" t="str">
        <f t="shared" si="2"/>
        <v>2024 3rd Domestic Trial</v>
      </c>
      <c r="P16" s="8">
        <f>IF(COUNT(AQ16,AT16,BR16,BU16,CS16,CV16)&gt;2,MAX(AX16,BY16,CZ16,LARGE((AQ16,AT16,BR16,BU16,CS16,CV16),3)),IF(MAX(AX16,BY16,CZ16)&gt;0,MAX(AX16,BY16,CZ16),0))</f>
        <v>49.580000000000005</v>
      </c>
      <c r="Q16" s="8" t="str">
        <f t="shared" si="3"/>
        <v>2024 3rd Domestic Trial</v>
      </c>
      <c r="R16" s="8">
        <f t="shared" si="4"/>
        <v>13.5</v>
      </c>
      <c r="S16" s="8" t="str">
        <f t="shared" si="5"/>
        <v>2024 3rd Domestic Trial</v>
      </c>
      <c r="T16" s="8">
        <f>IF(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&gt;0,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,0)</f>
        <v>15.63</v>
      </c>
      <c r="U16" s="8" t="str">
        <f t="shared" si="6"/>
        <v>2024 3rd Domestic Trial</v>
      </c>
      <c r="V16" s="8" t="str">
        <f t="shared" si="7"/>
        <v/>
      </c>
      <c r="W16" s="11" t="str">
        <f t="shared" si="8"/>
        <v/>
      </c>
      <c r="X16" s="8" t="str">
        <f t="shared" si="9"/>
        <v/>
      </c>
      <c r="Y16" s="22">
        <v>12.6</v>
      </c>
      <c r="Z16" s="22">
        <v>9.3000000000000007</v>
      </c>
      <c r="AA16" s="22">
        <v>13.5</v>
      </c>
      <c r="AB16" s="22">
        <v>15.63</v>
      </c>
      <c r="AC16" s="22">
        <v>0</v>
      </c>
      <c r="AD16" s="22">
        <v>12.63</v>
      </c>
      <c r="AE16" s="22">
        <v>8.9</v>
      </c>
      <c r="AF16" s="22">
        <v>13.5</v>
      </c>
      <c r="AG16" s="22">
        <v>15.38</v>
      </c>
      <c r="AH16" s="22">
        <v>0</v>
      </c>
      <c r="AI16" s="22">
        <v>11.4</v>
      </c>
      <c r="AJ16" s="22">
        <v>9.3000000000000007</v>
      </c>
      <c r="AK16" s="22">
        <v>13.5</v>
      </c>
      <c r="AL16" s="22">
        <v>15.38</v>
      </c>
      <c r="AM16" s="22">
        <v>0</v>
      </c>
      <c r="AN16" s="27"/>
      <c r="AO16" s="38">
        <f t="shared" si="10"/>
        <v>13.5</v>
      </c>
      <c r="AP16" s="38">
        <f t="shared" si="11"/>
        <v>15.63</v>
      </c>
      <c r="AQ16" s="40">
        <f t="shared" si="12"/>
        <v>51.03</v>
      </c>
      <c r="AR16" s="40">
        <f t="shared" si="13"/>
        <v>13.5</v>
      </c>
      <c r="AS16" s="40">
        <f t="shared" si="14"/>
        <v>15.38</v>
      </c>
      <c r="AT16" s="40">
        <f t="shared" si="15"/>
        <v>50.410000000000004</v>
      </c>
      <c r="AU16" s="40">
        <f t="shared" si="16"/>
        <v>51.03</v>
      </c>
      <c r="AV16" s="40">
        <f t="shared" si="17"/>
        <v>13.5</v>
      </c>
      <c r="AW16" s="40">
        <f t="shared" si="18"/>
        <v>15.38</v>
      </c>
      <c r="AX16" s="40">
        <f t="shared" si="19"/>
        <v>49.580000000000005</v>
      </c>
      <c r="AY16" s="40">
        <f t="shared" si="20"/>
        <v>100.61000000000001</v>
      </c>
      <c r="AZ16" s="26">
        <v>6.3</v>
      </c>
      <c r="BA16" s="26">
        <v>5.7</v>
      </c>
      <c r="BB16" s="26">
        <v>9.3000000000000007</v>
      </c>
      <c r="BC16" s="26">
        <v>9.1300000000000008</v>
      </c>
      <c r="BD16" s="26">
        <v>0</v>
      </c>
      <c r="BE16" s="26">
        <v>6.2</v>
      </c>
      <c r="BF16" s="26">
        <v>5.2</v>
      </c>
      <c r="BG16" s="26">
        <v>7.8</v>
      </c>
      <c r="BH16" s="26">
        <v>9.14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1"/>
        <v>9.3000000000000007</v>
      </c>
      <c r="BQ16" s="39">
        <f t="shared" si="22"/>
        <v>9.1300000000000008</v>
      </c>
      <c r="BR16" s="11">
        <f t="shared" si="23"/>
        <v>30.43</v>
      </c>
      <c r="BS16" s="11">
        <f t="shared" si="24"/>
        <v>7.8</v>
      </c>
      <c r="BT16" s="11">
        <f t="shared" si="25"/>
        <v>9.14</v>
      </c>
      <c r="BU16" s="11">
        <f t="shared" si="26"/>
        <v>28.34</v>
      </c>
      <c r="BV16" s="11">
        <f t="shared" si="27"/>
        <v>30.43</v>
      </c>
      <c r="BW16" s="11" t="str">
        <f t="shared" si="28"/>
        <v/>
      </c>
      <c r="BX16" s="11" t="str">
        <f t="shared" si="29"/>
        <v/>
      </c>
      <c r="BY16" s="11" t="str">
        <f t="shared" si="30"/>
        <v/>
      </c>
      <c r="BZ16" s="11">
        <f t="shared" si="31"/>
        <v>30.43</v>
      </c>
      <c r="CA16" s="22">
        <v>3.1</v>
      </c>
      <c r="CB16" s="22">
        <v>2.8</v>
      </c>
      <c r="CC16" s="22">
        <v>3</v>
      </c>
      <c r="CD16" s="22">
        <v>4.47</v>
      </c>
      <c r="CE16" s="22">
        <v>0</v>
      </c>
      <c r="CF16" s="22">
        <v>8.1</v>
      </c>
      <c r="CG16" s="22">
        <v>7.3</v>
      </c>
      <c r="CH16" s="22">
        <v>10.199999999999999</v>
      </c>
      <c r="CI16" s="22">
        <v>11.55</v>
      </c>
      <c r="CJ16" s="22">
        <v>0</v>
      </c>
      <c r="CK16" s="22">
        <v>1</v>
      </c>
      <c r="CL16" s="22">
        <v>0.8</v>
      </c>
      <c r="CM16" s="22">
        <v>2</v>
      </c>
      <c r="CN16" s="22">
        <v>1.53</v>
      </c>
      <c r="CO16" s="22">
        <v>0</v>
      </c>
      <c r="CP16" s="27"/>
      <c r="CQ16" s="38">
        <f t="shared" si="32"/>
        <v>3</v>
      </c>
      <c r="CR16" s="38">
        <f t="shared" si="33"/>
        <v>4.47</v>
      </c>
      <c r="CS16" s="40">
        <f t="shared" si="34"/>
        <v>13.370000000000001</v>
      </c>
      <c r="CT16" s="40">
        <f t="shared" si="35"/>
        <v>10.199999999999999</v>
      </c>
      <c r="CU16" s="40">
        <f t="shared" si="36"/>
        <v>11.55</v>
      </c>
      <c r="CV16" s="40">
        <f t="shared" si="37"/>
        <v>37.15</v>
      </c>
      <c r="CW16" s="40">
        <f t="shared" si="38"/>
        <v>37.15</v>
      </c>
      <c r="CX16" s="40">
        <f t="shared" si="39"/>
        <v>2</v>
      </c>
      <c r="CY16" s="40">
        <f t="shared" si="40"/>
        <v>1.53</v>
      </c>
      <c r="CZ16" s="40">
        <f t="shared" si="41"/>
        <v>5.33</v>
      </c>
      <c r="DA16" s="40">
        <f t="shared" si="42"/>
        <v>42.48</v>
      </c>
      <c r="DB16" s="50" t="str">
        <f t="shared" si="43"/>
        <v/>
      </c>
      <c r="DC16" s="50" t="str">
        <f t="shared" si="44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45"/>
        <v/>
      </c>
      <c r="DY16" s="40" t="str">
        <f t="shared" si="46"/>
        <v/>
      </c>
      <c r="DZ16" s="40" t="str">
        <f t="shared" si="47"/>
        <v/>
      </c>
      <c r="EA16" s="40" t="str">
        <f t="shared" si="48"/>
        <v/>
      </c>
      <c r="EB16" s="40" t="str">
        <f t="shared" si="49"/>
        <v/>
      </c>
      <c r="EC16" s="40" t="str">
        <f t="shared" si="50"/>
        <v/>
      </c>
      <c r="ED16" s="40" t="str">
        <f t="shared" si="51"/>
        <v/>
      </c>
      <c r="EE16" s="40" t="str">
        <f t="shared" si="52"/>
        <v/>
      </c>
      <c r="EF16" s="40" t="str">
        <f t="shared" si="53"/>
        <v/>
      </c>
      <c r="EG16" s="40" t="str">
        <f t="shared" si="54"/>
        <v/>
      </c>
      <c r="EH16" s="40" t="str">
        <f t="shared" si="55"/>
        <v/>
      </c>
      <c r="EI16" s="40" t="str">
        <f t="shared" si="56"/>
        <v/>
      </c>
      <c r="EJ16" s="40" t="str">
        <f t="shared" si="57"/>
        <v/>
      </c>
      <c r="EK16" s="40" t="str">
        <f t="shared" si="58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59"/>
        <v/>
      </c>
      <c r="FG16" s="11" t="str">
        <f t="shared" si="60"/>
        <v/>
      </c>
      <c r="FH16" s="11" t="str">
        <f t="shared" si="61"/>
        <v/>
      </c>
      <c r="FI16" s="11" t="str">
        <f t="shared" si="62"/>
        <v/>
      </c>
      <c r="FJ16" s="11" t="str">
        <f t="shared" si="63"/>
        <v/>
      </c>
      <c r="FK16" s="11" t="str">
        <f t="shared" si="64"/>
        <v/>
      </c>
      <c r="FL16" s="11" t="str">
        <f t="shared" si="65"/>
        <v/>
      </c>
      <c r="FM16" s="11" t="str">
        <f t="shared" si="66"/>
        <v/>
      </c>
      <c r="FN16" s="11" t="str">
        <f t="shared" si="67"/>
        <v/>
      </c>
      <c r="FO16" s="11" t="str">
        <f t="shared" si="68"/>
        <v/>
      </c>
      <c r="FP16" s="11" t="str">
        <f t="shared" si="69"/>
        <v/>
      </c>
      <c r="FQ16" s="11" t="str">
        <f t="shared" si="70"/>
        <v/>
      </c>
      <c r="FR16" s="11" t="str">
        <f t="shared" si="71"/>
        <v/>
      </c>
      <c r="FS16" s="11" t="str">
        <f t="shared" si="72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3"/>
        <v/>
      </c>
      <c r="GO16" s="40" t="str">
        <f t="shared" si="74"/>
        <v/>
      </c>
      <c r="GP16" s="40" t="str">
        <f t="shared" si="75"/>
        <v/>
      </c>
      <c r="GQ16" s="40" t="str">
        <f t="shared" si="76"/>
        <v/>
      </c>
      <c r="GR16" s="40" t="str">
        <f t="shared" si="77"/>
        <v/>
      </c>
      <c r="GS16" s="40" t="str">
        <f t="shared" si="78"/>
        <v/>
      </c>
      <c r="GT16" s="40" t="str">
        <f t="shared" si="79"/>
        <v/>
      </c>
      <c r="GU16" s="40" t="str">
        <f t="shared" si="80"/>
        <v/>
      </c>
      <c r="GV16" s="40" t="str">
        <f t="shared" si="81"/>
        <v/>
      </c>
      <c r="GW16" s="40" t="str">
        <f t="shared" si="82"/>
        <v/>
      </c>
      <c r="GX16" s="40" t="str">
        <f t="shared" si="83"/>
        <v/>
      </c>
      <c r="GY16" s="40" t="str">
        <f t="shared" si="84"/>
        <v/>
      </c>
      <c r="GZ16" s="40" t="str">
        <f t="shared" si="85"/>
        <v/>
      </c>
      <c r="HA16" s="40" t="str">
        <f t="shared" si="86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87"/>
        <v/>
      </c>
      <c r="HW16" s="11" t="str">
        <f t="shared" si="88"/>
        <v/>
      </c>
      <c r="HX16" s="11" t="str">
        <f t="shared" si="89"/>
        <v/>
      </c>
      <c r="HY16" s="11" t="str">
        <f t="shared" si="90"/>
        <v/>
      </c>
      <c r="HZ16" s="11" t="str">
        <f t="shared" si="91"/>
        <v/>
      </c>
      <c r="IA16" s="11" t="str">
        <f t="shared" si="92"/>
        <v/>
      </c>
      <c r="IB16" s="11" t="str">
        <f t="shared" si="93"/>
        <v/>
      </c>
      <c r="IC16" s="11" t="str">
        <f t="shared" si="94"/>
        <v/>
      </c>
      <c r="ID16" s="11" t="str">
        <f t="shared" si="95"/>
        <v/>
      </c>
      <c r="IE16" s="11" t="str">
        <f t="shared" si="96"/>
        <v/>
      </c>
      <c r="IF16" s="11" t="str">
        <f t="shared" si="97"/>
        <v/>
      </c>
      <c r="IG16" s="11" t="str">
        <f t="shared" si="98"/>
        <v/>
      </c>
      <c r="IH16" s="11" t="str">
        <f t="shared" si="99"/>
        <v/>
      </c>
      <c r="II16" s="11" t="str">
        <f t="shared" si="100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1"/>
        <v/>
      </c>
      <c r="JE16" s="40" t="str">
        <f t="shared" si="102"/>
        <v/>
      </c>
      <c r="JF16" s="40" t="str">
        <f t="shared" si="103"/>
        <v/>
      </c>
      <c r="JG16" s="40" t="str">
        <f t="shared" si="104"/>
        <v/>
      </c>
      <c r="JH16" s="40" t="str">
        <f t="shared" si="105"/>
        <v/>
      </c>
      <c r="JI16" s="40" t="str">
        <f t="shared" si="106"/>
        <v/>
      </c>
      <c r="JJ16" s="40" t="str">
        <f t="shared" si="107"/>
        <v/>
      </c>
      <c r="JK16" s="40" t="str">
        <f t="shared" si="108"/>
        <v/>
      </c>
      <c r="JL16" s="40" t="str">
        <f t="shared" si="109"/>
        <v/>
      </c>
      <c r="JM16" s="40" t="str">
        <f t="shared" si="110"/>
        <v/>
      </c>
      <c r="JN16" s="40" t="str">
        <f t="shared" si="111"/>
        <v/>
      </c>
      <c r="JO16" s="40" t="str">
        <f t="shared" si="112"/>
        <v/>
      </c>
      <c r="JP16" s="40" t="str">
        <f t="shared" si="113"/>
        <v/>
      </c>
      <c r="JQ16" s="40" t="str">
        <f t="shared" si="114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15"/>
        <v/>
      </c>
      <c r="KM16" s="11" t="str">
        <f t="shared" si="116"/>
        <v/>
      </c>
      <c r="KN16" s="11" t="str">
        <f t="shared" si="117"/>
        <v/>
      </c>
      <c r="KO16" s="11" t="str">
        <f t="shared" si="118"/>
        <v/>
      </c>
      <c r="KP16" s="11" t="str">
        <f t="shared" si="119"/>
        <v/>
      </c>
      <c r="KQ16" s="11" t="str">
        <f t="shared" si="120"/>
        <v/>
      </c>
      <c r="KR16" s="11" t="str">
        <f t="shared" si="121"/>
        <v/>
      </c>
      <c r="KS16" s="11" t="str">
        <f t="shared" si="122"/>
        <v/>
      </c>
      <c r="KT16" s="11" t="str">
        <f t="shared" si="123"/>
        <v/>
      </c>
      <c r="KU16" s="11" t="str">
        <f t="shared" si="124"/>
        <v/>
      </c>
      <c r="KV16" s="11" t="str">
        <f t="shared" si="125"/>
        <v/>
      </c>
      <c r="KW16" s="11" t="str">
        <f t="shared" si="126"/>
        <v/>
      </c>
      <c r="KX16" s="11" t="str">
        <f t="shared" si="127"/>
        <v/>
      </c>
      <c r="KY16" s="11" t="str">
        <f t="shared" si="128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29"/>
        <v/>
      </c>
      <c r="LU16" s="40" t="str">
        <f t="shared" si="130"/>
        <v/>
      </c>
      <c r="LV16" s="40" t="str">
        <f t="shared" si="131"/>
        <v/>
      </c>
      <c r="LW16" s="40" t="str">
        <f t="shared" si="132"/>
        <v/>
      </c>
      <c r="LX16" s="40" t="str">
        <f t="shared" si="133"/>
        <v/>
      </c>
      <c r="LY16" s="40" t="str">
        <f t="shared" si="134"/>
        <v/>
      </c>
      <c r="LZ16" s="40" t="str">
        <f t="shared" si="135"/>
        <v/>
      </c>
      <c r="MA16" s="40" t="str">
        <f t="shared" si="136"/>
        <v/>
      </c>
      <c r="MB16" s="40" t="str">
        <f t="shared" si="137"/>
        <v/>
      </c>
      <c r="MC16" s="40" t="str">
        <f t="shared" si="138"/>
        <v/>
      </c>
      <c r="MD16" s="40" t="str">
        <f t="shared" si="139"/>
        <v/>
      </c>
      <c r="ME16" s="40" t="str">
        <f t="shared" si="140"/>
        <v/>
      </c>
      <c r="MF16" s="40" t="str">
        <f t="shared" si="141"/>
        <v/>
      </c>
      <c r="MG16" s="40" t="str">
        <f t="shared" si="142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3"/>
        <v/>
      </c>
      <c r="NC16" s="11" t="str">
        <f t="shared" si="144"/>
        <v/>
      </c>
      <c r="ND16" s="11" t="str">
        <f t="shared" si="145"/>
        <v/>
      </c>
      <c r="NE16" s="11" t="str">
        <f t="shared" si="146"/>
        <v/>
      </c>
      <c r="NF16" s="11" t="str">
        <f t="shared" si="147"/>
        <v/>
      </c>
      <c r="NG16" s="11" t="str">
        <f t="shared" si="148"/>
        <v/>
      </c>
      <c r="NH16" s="11" t="str">
        <f t="shared" si="149"/>
        <v/>
      </c>
      <c r="NI16" s="11" t="str">
        <f t="shared" si="150"/>
        <v/>
      </c>
      <c r="NJ16" s="11" t="str">
        <f t="shared" si="151"/>
        <v/>
      </c>
      <c r="NK16" s="11" t="str">
        <f t="shared" si="152"/>
        <v/>
      </c>
      <c r="NL16" s="11" t="str">
        <f t="shared" si="153"/>
        <v/>
      </c>
      <c r="NM16" s="11" t="str">
        <f t="shared" si="154"/>
        <v/>
      </c>
      <c r="NN16" s="11" t="str">
        <f t="shared" si="155"/>
        <v/>
      </c>
      <c r="NO16" s="11" t="str">
        <f t="shared" si="156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57"/>
        <v/>
      </c>
      <c r="OK16" s="40" t="str">
        <f t="shared" si="158"/>
        <v/>
      </c>
      <c r="OL16" s="40" t="str">
        <f t="shared" si="159"/>
        <v/>
      </c>
      <c r="OM16" s="40" t="str">
        <f t="shared" si="160"/>
        <v/>
      </c>
      <c r="ON16" s="40" t="str">
        <f t="shared" si="161"/>
        <v/>
      </c>
      <c r="OO16" s="40" t="str">
        <f t="shared" si="162"/>
        <v/>
      </c>
      <c r="OP16" s="40" t="str">
        <f t="shared" si="163"/>
        <v/>
      </c>
      <c r="OQ16" s="40" t="str">
        <f t="shared" si="164"/>
        <v/>
      </c>
      <c r="OR16" s="40" t="str">
        <f t="shared" si="165"/>
        <v/>
      </c>
      <c r="OS16" s="40" t="str">
        <f t="shared" si="166"/>
        <v/>
      </c>
      <c r="OT16" s="40" t="str">
        <f t="shared" si="167"/>
        <v/>
      </c>
      <c r="OU16" s="40" t="str">
        <f t="shared" si="168"/>
        <v/>
      </c>
      <c r="OV16" s="40" t="str">
        <f t="shared" si="169"/>
        <v/>
      </c>
      <c r="OW16" s="40" t="str">
        <f t="shared" si="170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1"/>
        <v/>
      </c>
      <c r="PS16" s="11" t="str">
        <f t="shared" si="172"/>
        <v/>
      </c>
      <c r="PT16" s="11" t="str">
        <f t="shared" si="173"/>
        <v/>
      </c>
      <c r="PU16" s="11" t="str">
        <f t="shared" si="174"/>
        <v/>
      </c>
      <c r="PV16" s="11" t="str">
        <f t="shared" si="175"/>
        <v/>
      </c>
      <c r="PW16" s="11" t="str">
        <f t="shared" si="176"/>
        <v/>
      </c>
      <c r="PX16" s="11" t="str">
        <f t="shared" si="177"/>
        <v/>
      </c>
      <c r="PY16" s="11" t="str">
        <f t="shared" si="178"/>
        <v/>
      </c>
      <c r="PZ16" s="11" t="str">
        <f t="shared" si="179"/>
        <v/>
      </c>
      <c r="QA16" s="11" t="str">
        <f t="shared" si="180"/>
        <v/>
      </c>
      <c r="QB16" s="11" t="str">
        <f t="shared" si="181"/>
        <v/>
      </c>
      <c r="QC16" s="11" t="str">
        <f t="shared" si="182"/>
        <v/>
      </c>
      <c r="QD16" s="11" t="str">
        <f t="shared" si="183"/>
        <v/>
      </c>
      <c r="QE16" s="11" t="str">
        <f t="shared" si="184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85"/>
        <v/>
      </c>
      <c r="RA16" s="40" t="str">
        <f t="shared" si="186"/>
        <v/>
      </c>
      <c r="RB16" s="40" t="str">
        <f t="shared" si="187"/>
        <v/>
      </c>
      <c r="RC16" s="40" t="str">
        <f t="shared" si="188"/>
        <v/>
      </c>
      <c r="RD16" s="40" t="str">
        <f t="shared" si="189"/>
        <v/>
      </c>
      <c r="RE16" s="40" t="str">
        <f t="shared" si="190"/>
        <v/>
      </c>
      <c r="RF16" s="40" t="str">
        <f t="shared" si="191"/>
        <v/>
      </c>
      <c r="RG16" s="40" t="str">
        <f t="shared" si="192"/>
        <v/>
      </c>
      <c r="RH16" s="40" t="str">
        <f t="shared" si="193"/>
        <v/>
      </c>
      <c r="RI16" s="40" t="str">
        <f t="shared" si="194"/>
        <v/>
      </c>
      <c r="RJ16" s="40" t="str">
        <f t="shared" si="195"/>
        <v/>
      </c>
      <c r="RK16" s="40" t="str">
        <f t="shared" si="196"/>
        <v/>
      </c>
      <c r="RL16" s="40" t="str">
        <f t="shared" si="197"/>
        <v/>
      </c>
      <c r="RM16" s="40" t="str">
        <f t="shared" si="198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199"/>
        <v/>
      </c>
      <c r="SI16" s="11" t="str">
        <f t="shared" si="200"/>
        <v/>
      </c>
      <c r="SJ16" s="11" t="str">
        <f t="shared" si="201"/>
        <v/>
      </c>
      <c r="SK16" s="11" t="str">
        <f t="shared" si="202"/>
        <v/>
      </c>
      <c r="SL16" s="11" t="str">
        <f t="shared" si="203"/>
        <v/>
      </c>
      <c r="SM16" s="11" t="str">
        <f t="shared" si="204"/>
        <v/>
      </c>
      <c r="SN16" s="11" t="str">
        <f t="shared" si="205"/>
        <v/>
      </c>
      <c r="SO16" s="11" t="str">
        <f t="shared" si="206"/>
        <v/>
      </c>
      <c r="SP16" s="11" t="str">
        <f t="shared" si="207"/>
        <v/>
      </c>
      <c r="SQ16" s="11" t="str">
        <f t="shared" si="208"/>
        <v/>
      </c>
      <c r="SR16" s="11" t="str">
        <f t="shared" si="209"/>
        <v/>
      </c>
      <c r="SS16" s="11" t="str">
        <f t="shared" si="210"/>
        <v/>
      </c>
      <c r="ST16" s="11" t="str">
        <f t="shared" si="211"/>
        <v/>
      </c>
      <c r="SU16" s="11" t="str">
        <f t="shared" si="212"/>
        <v/>
      </c>
      <c r="SV16" s="22">
        <f t="shared" si="213"/>
        <v>4.7</v>
      </c>
      <c r="SW16" s="22">
        <f t="shared" si="214"/>
        <v>4.25</v>
      </c>
      <c r="SX16" s="22">
        <f t="shared" si="215"/>
        <v>6.15</v>
      </c>
      <c r="SY16" s="22">
        <f t="shared" si="216"/>
        <v>6.8000000000000007</v>
      </c>
      <c r="SZ16" s="22">
        <f t="shared" si="217"/>
        <v>0</v>
      </c>
      <c r="TA16" s="22">
        <f t="shared" si="218"/>
        <v>7.15</v>
      </c>
      <c r="TB16" s="22">
        <f t="shared" si="219"/>
        <v>6.25</v>
      </c>
      <c r="TC16" s="22">
        <f t="shared" si="220"/>
        <v>9</v>
      </c>
      <c r="TD16" s="22">
        <f t="shared" si="221"/>
        <v>10.345000000000001</v>
      </c>
      <c r="TE16" s="22">
        <f t="shared" si="222"/>
        <v>0</v>
      </c>
      <c r="TF16" s="22">
        <f t="shared" si="223"/>
        <v>0.5</v>
      </c>
      <c r="TG16" s="22">
        <f t="shared" si="224"/>
        <v>0.4</v>
      </c>
      <c r="TH16" s="22">
        <f t="shared" si="225"/>
        <v>1</v>
      </c>
      <c r="TI16" s="22">
        <f t="shared" si="226"/>
        <v>0.76500000000000001</v>
      </c>
      <c r="TJ16" s="22">
        <f t="shared" si="227"/>
        <v>0</v>
      </c>
      <c r="TK16" s="27" t="s">
        <v>46</v>
      </c>
      <c r="TL16" s="40">
        <f t="shared" si="228"/>
        <v>6.15</v>
      </c>
      <c r="TM16" s="40">
        <f t="shared" si="229"/>
        <v>6.8000000000000007</v>
      </c>
      <c r="TN16" s="40">
        <f t="shared" si="230"/>
        <v>21.9</v>
      </c>
      <c r="TO16" s="40">
        <f t="shared" si="231"/>
        <v>9</v>
      </c>
      <c r="TP16" s="40">
        <f t="shared" si="232"/>
        <v>10.345000000000001</v>
      </c>
      <c r="TQ16" s="40">
        <f t="shared" si="233"/>
        <v>32.744999999999997</v>
      </c>
      <c r="TR16" s="40">
        <f t="shared" si="234"/>
        <v>32.744999999999997</v>
      </c>
      <c r="TS16" s="40">
        <f t="shared" si="235"/>
        <v>1</v>
      </c>
      <c r="TT16" s="40">
        <f t="shared" si="236"/>
        <v>0.76500000000000001</v>
      </c>
      <c r="TU16" s="40">
        <f t="shared" si="237"/>
        <v>2.665</v>
      </c>
      <c r="TV16" s="40">
        <f t="shared" si="238"/>
        <v>35.409999999999997</v>
      </c>
    </row>
    <row r="17" spans="1:542" x14ac:dyDescent="0.2">
      <c r="A17" s="4" t="str" cm="1">
        <f t="array" ref="A17">IF(AND(J17&lt;&gt;"",J17&lt;&gt;"No DD"),SUMPRODUCT((J$4:J$28&lt;&gt;"")*(J$4:J$28&lt;&gt;"No DD")*(F$4:F$28&gt;F17))+1,IF(J17="No DD",SUMPRODUCT((J$4:J$28="No DD")*(F$4:F$28&gt;F17))+1+SUMPRODUCT((J$4:J$28&lt;&gt;"")*(J$4:J$28&lt;&gt;"No DD")),""))</f>
        <v/>
      </c>
      <c r="B17" s="4" t="str" cm="1">
        <f t="array" ref="B17">IF(AND(J17&lt;&gt;"",J17&lt;&gt;"No DD",G17=""),SUMPRODUCT((J$4:J$28&lt;&gt;"")*(J$4:J$28&lt;&gt;"No DD")*(G$4:G$28="")*(F$4:F$28&gt;F17))+1,IF(J17="No DD",SUMPRODUCT((J$4:J$28="No DD")*(F$4:F$28&gt;F17)*(G$4:G$28=""))+1+SUMPRODUCT((J$4:J$28&lt;&gt;"")*(G$4:G$28="")*(J$4:J$28&lt;&gt;"No DD")),""))</f>
        <v/>
      </c>
      <c r="C17" s="5" t="s">
        <v>172</v>
      </c>
      <c r="D17" s="4" t="s">
        <v>4</v>
      </c>
      <c r="E17" s="4">
        <v>2008</v>
      </c>
      <c r="F17" s="9">
        <f t="shared" si="0"/>
        <v>178.74001768200498</v>
      </c>
      <c r="G17" s="64"/>
      <c r="H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P","")</f>
        <v/>
      </c>
      <c r="I17" s="3" t="str">
        <f>IF(OR(AND(AQ17&gt;=AY$34,AQ17&lt;&gt;"",AN17=""),AND(AT17&gt;=AY$34,AT17&lt;&gt;"",AN17=""),AND(AX17&gt;=AY$34,AX17&lt;&gt;"",AN17=""),AND(BR17&gt;=BZ$34,BR17&lt;&gt;"",BO17=""),AND(BU17&gt;=BZ$34,BU17&lt;&gt;"",BO17=""),AND(BY17&gt;=BZ$34,BY17&lt;&gt;"",BO17=""),AND(CS17&gt;=DA$34,CS17&lt;&gt;"",CP17=""),AND(CV17&gt;=DA$34,CV17&lt;&gt;"",CP17=""),AND(CZ17&gt;=DA$34,CZ17&lt;&gt;"",CP17=""),AND(DZ17&gt;=EK$34,DZ17&lt;&gt;""),AND(EC17&gt;=EK$34,EC17&lt;&gt;""),AND(EG17&gt;=EK$34,EG17&lt;&gt;""),AND(EJ17&gt;=EK$34,EJ17&lt;&gt;""),AND(FH17&gt;=FS$34,FH17&lt;&gt;""),AND(FK17&gt;=FS$34,FK17&lt;&gt;""),AND(FO17&gt;=FS$34,FO17&lt;&gt;""),AND(FR17&gt;=FS$34,FR17&lt;&gt;""),AND(GP17&gt;=HA$34,GP17&lt;&gt;""),AND(GS17&gt;=HA$34,GS17&lt;&gt;""),AND(GW17&gt;=HA$34,GW17&lt;&gt;""),AND(GZ17&gt;=HA$34,GZ17&lt;&gt;""),AND(HX17&gt;=II$34,HX17&lt;&gt;""),AND(IA17&gt;=II$34,IA17&lt;&gt;""),AND(IE17&gt;=II$34,IE17&lt;&gt;""),AND(IH17&gt;=II$34,IH17&lt;&gt;""),AND(JF17&gt;=JQ$34,JF17&lt;&gt;""),AND(JI17&gt;=JQ$34,JI17&lt;&gt;""),AND(JM17&gt;=JQ$34,JM17&lt;&gt;""),AND(JP17&gt;=JQ$34,JP17&lt;&gt;""),AND(KN17&gt;=KY$34,KN17&lt;&gt;""),AND(KQ17&gt;=KY$34,KQ17&lt;&gt;""),AND(KU17&gt;=KY$34,KU17&lt;&gt;""),AND(KX17&gt;=KY$34,KX17&lt;&gt;""),AND(LV17&gt;=MG$34,LV17&lt;&gt;""),AND(LY17&gt;=MG$34,LY17&lt;&gt;""),AND(MC17&gt;=MG$34,MC17&lt;&gt;""),AND(MF17&gt;=MG$34,MF17&lt;&gt;""),AND(ND17&gt;=NO$34,ND17&lt;&gt;""),AND(NG17&gt;=NO$34,NG17&lt;&gt;""),AND(NK17&gt;=NO$34,NK17&lt;&gt;""),AND(NN17&gt;=NO$34,NN17&lt;&gt;""),AND(OL17&gt;=OW$34,OL17&lt;&gt;""),AND(OO17&gt;=OW$34,OO17&lt;&gt;""),AND(OS17&gt;=OW$34,OS17&lt;&gt;""),AND(OV17&gt;=OW$34,OV17&lt;&gt;""),AND(PT17&gt;=QE$34,PT17&lt;&gt;""),AND(PW17&gt;=QE$34,PW17&lt;&gt;""),AND(QA17&gt;=QE$34,QA17&lt;&gt;""),AND(QD17&gt;=QE$34,QD17&lt;&gt;""),AND(RB17&gt;=RM$34,RB17&lt;&gt;""),AND(RE17&gt;=RM$34,RE17&lt;&gt;""),AND(RI17&gt;=RM$34,RI17&lt;&gt;""),AND(RL17&gt;=RM$34,RL17&lt;&gt;""),AND(SJ17&gt;=SU$34,SJ17&lt;&gt;""),AND(SM17&gt;=SU$34,SM17&lt;&gt;""),AND(SQ17&gt;=SU$34,SQ17&lt;&gt;""),AND(ST17&gt;=SU$34,ST17&lt;&gt;"")),"P","")</f>
        <v/>
      </c>
      <c r="J17" s="36" t="str">
        <f>IF(AND(I17="P",H17=""),"No DD",IF(OR(AND(AO17&gt;=AY$33,AO17&lt;&gt;"",AQ17&gt;=AY$37,AQ17&lt;&gt;"",AN17=""),AND(AR17&gt;=AY$33,AR17&lt;&gt;"",AT17&gt;=AY$37,AT17&lt;&gt;"",AN17=""),AND(AV17&gt;=AY$33,AV17&lt;&gt;"",AX17&gt;=AY$37,AX17&lt;&gt;"",AN17=""),AND(BP17&gt;=BZ$33,BP17&lt;&gt;"",BR17&gt;=BZ$37,BR17&lt;&gt;"",BO17=""),AND(BS17&gt;=BZ$33,BS17&lt;&gt;"",BU17&gt;=BZ$37,BU17&lt;&gt;"",BO17=""),AND(BW17&gt;=BZ$33,BW17&lt;&gt;"",BY17&gt;=BZ$37,BY17&lt;&gt;"",BO17=""),AND(CQ17&gt;=DA$33,CQ17&lt;&gt;"",CS17&gt;=DA$37,CS17&lt;&gt;"",CP17=""),AND(CT17&gt;=DA$33,CT17&lt;&gt;"",CV17&gt;=DA$37,CV17&lt;&gt;"",CP17=""),AND(CX17&gt;=DA$33,CX17&lt;&gt;"",CZ17&gt;=DA$37,CZ17&lt;&gt;"",CP17=""),AND(DX17&gt;=EK$33,DX17&lt;&gt;"",DZ17&gt;=EK$37,DZ17&lt;&gt;""),AND(EA17&gt;=EK$33,EA17&lt;&gt;"",EC17&gt;=EK$37,EC17&lt;&gt;""),AND(EE17&gt;=EK$33,EE17&lt;&gt;"",EG17&gt;=EK$37,EG17&lt;&gt;""),AND(EH17&gt;=EK$33,EH17&lt;&gt;"",EJ17&gt;=EK$37,EJ17&lt;&gt;""),AND(FF17&gt;=FS$33,FF17&lt;&gt;"",FH17&gt;=FS$37,FH17&lt;&gt;""),AND(FI17&gt;=FS$33,FI17&lt;&gt;"",FK17&gt;=FS$37,FK17&lt;&gt;""),AND(FM17&gt;=FS$33,FM17&lt;&gt;"",FO17&gt;=FS$37,FO17&lt;&gt;""),AND(FP17&gt;=FS$33,FP17&lt;&gt;"",FR17&gt;=FS$37,FR17&lt;&gt;""),AND(GN17&gt;=HA$33,GN17&lt;&gt;"",GP17&gt;=HA$37,GP17&lt;&gt;""),AND(GQ17&gt;=HA$33,GQ17&lt;&gt;"",GS17&gt;=HA$37,GS17&lt;&gt;""),AND(GU17&gt;=HA$33,GU17&lt;&gt;"",GW17&gt;=HA$37,GW17&lt;&gt;""),AND(GX17&gt;=HA$33,GX17&lt;&gt;"",GZ17&gt;=HA$37,GZ17&lt;&gt;""),AND(HV17&gt;=II$33,HV17&lt;&gt;"",HX17&gt;=II$37,HX17&lt;&gt;""),AND(HY17&gt;=II$33,HY17&lt;&gt;"",IA17&gt;=II$37,IA17&lt;&gt;""),AND(IC17&gt;=II$33,IC17&lt;&gt;"",IE17&gt;=II$37,IE17&lt;&gt;""),AND(IF17&gt;=II$33,IF17&lt;&gt;"",IH17&gt;=II$37,IH17&lt;&gt;""),AND(JD17&gt;=JQ$33,JD17&lt;&gt;"",JF17&gt;=JQ$37,JF17&lt;&gt;""),AND(JG17&gt;=JQ$33,JG17&lt;&gt;"",JI17&gt;=JQ$37,JI17&lt;&gt;""),AND(JK17&gt;=JQ$33,JK17&lt;&gt;"",JM17&gt;=JQ$37,JM17&lt;&gt;""),AND(JN17&gt;=JQ$33,JN17&lt;&gt;"",JP17&gt;=JQ$37,JP17&lt;&gt;""),AND(KL17&gt;=KY$33,KL17&lt;&gt;"",KN17&gt;=KY$37,KN17&lt;&gt;""),AND(KO17&gt;=KY$33,KO17&lt;&gt;"",KQ17&gt;=KY$37,KQ17&lt;&gt;""),AND(KS17&gt;=KY$33,KS17&lt;&gt;"",KU17&gt;=KY$37,KU17&lt;&gt;""),AND(KV17&gt;=KY$33,KV17&lt;&gt;"",KX17&gt;=KY$37,KX17&lt;&gt;""),AND(LT17&gt;=MG$33,LT17&lt;&gt;"",LV17&gt;=MG$37,LV17&lt;&gt;""),AND(LW17&gt;=MG$33,LW17&lt;&gt;"",LY17&gt;=MG$37,LY17&lt;&gt;""),AND(MA17&gt;=MG$33,MA17&lt;&gt;"",MC17&gt;=MG$37,MC17&lt;&gt;""),AND(MD17&gt;=MG$33,MD17&lt;&gt;"",MF17&gt;=MG$37,MF17&lt;&gt;""),AND(NB17&gt;=NO$33,NB17&lt;&gt;"",ND17&gt;=NO$37,ND17&lt;&gt;""),AND(NE17&gt;=NO$33,NE17&lt;&gt;"",NG17&gt;=NO$37,NG17&lt;&gt;""),AND(NI17&gt;=NO$33,NI17&lt;&gt;"",NK17&gt;=NO$37,NK17&lt;&gt;""),AND(NL17&gt;=NO$33,NL17&lt;&gt;"",NN17&gt;=NO$37,NN17&lt;&gt;""),AND(OJ17&gt;=OW$33,OJ17&lt;&gt;"",OL17&gt;=OW$37,OL17&lt;&gt;""),AND(OM17&gt;=OW$33,OM17&lt;&gt;"",OO17&gt;=OW$37,OO17&lt;&gt;""),AND(OQ17&gt;=OW$33,OQ17&lt;&gt;"",OS17&gt;=OW$37,OS17&lt;&gt;""),AND(OT17&gt;=OW$33,OT17&lt;&gt;"",OV17&gt;=OW$37,OV17&lt;&gt;""),AND(PR17&gt;=QE$33,PR17&lt;&gt;"",PT17&gt;=QE$37,PT17&lt;&gt;""),AND(PU17&gt;=QE$33,PU17&lt;&gt;"",PW17&gt;=QE$37,PW17&lt;&gt;""),AND(PY17&gt;=QE$33,PY17&lt;&gt;"",QA17&gt;=QE$37,QA17&lt;&gt;""),AND(QB17&gt;=QE$33,QB17&lt;&gt;"",QD17&gt;=QE$37,QD17&lt;&gt;""),AND(QZ17&gt;=RM$33,QZ17&lt;&gt;"",RB17&gt;=RM$37,RB17&lt;&gt;""),AND(RC17&gt;=RM$33,RC17&lt;&gt;"",RE17&gt;=RM$37,RE17&lt;&gt;""),AND(RG17&gt;=RM$33,RG17&lt;&gt;"",RI17&gt;=RM$37,RI17&lt;&gt;""),AND(RJ17&gt;=RM$33,RJ17&lt;&gt;"",RL17&gt;=RM$37,RL17&lt;&gt;""),AND(SH17&gt;=SU$33,SH17&lt;&gt;"",SJ17&gt;=SU$37,SJ17&lt;&gt;""),AND(SK17&gt;=SU$33,SK17&lt;&gt;"",SM17&gt;=SU$37,SM17&lt;&gt;""),AND(SO17&gt;=SU$33,SO17&lt;&gt;"",SQ17&gt;=SU$37,SQ17&lt;&gt;""),AND(SR17&gt;=SU$33,SR17&lt;&gt;"",ST17&gt;=SU$37,ST17&lt;&gt;"")),"Merit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),"Excellence",IF(K17="P","Worlds Team",IF(H17="P","National Team","")))))</f>
        <v/>
      </c>
      <c r="K17" s="3" t="str">
        <f>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P","")</f>
        <v/>
      </c>
      <c r="L17" s="8">
        <f>IF(COUNT(AQ17,AT17,BR17,BU17,CS17,CV17)&gt;0,LARGE((AQ17,AT17,BR17,BU17,CS17,CV17),1),0)</f>
        <v>49.97</v>
      </c>
      <c r="M17" s="8" t="str">
        <f t="shared" si="1"/>
        <v>2025 Elite Canada</v>
      </c>
      <c r="N17" s="8">
        <f>IF(COUNT(AQ17,AT17,BR17,BU17,CS17,CV17)&gt;1,LARGE((AQ17,AT17,BR17,BU17,CS17,CV17),2),0)</f>
        <v>47.010000000000005</v>
      </c>
      <c r="O17" s="8" t="str">
        <f t="shared" si="2"/>
        <v>2025 Nationals</v>
      </c>
      <c r="P17" s="8">
        <f>IF(COUNT(AQ17,AT17,BR17,BU17,CS17,CV17)&gt;2,MAX(AX17,BY17,CZ17,LARGE((AQ17,AT17,BR17,BU17,CS17,CV17),3)),IF(MAX(AX17,BY17,CZ17)&gt;0,MAX(AX17,BY17,CZ17),0))</f>
        <v>50.15</v>
      </c>
      <c r="Q17" s="8" t="str">
        <f t="shared" si="3"/>
        <v>2025 Nationals</v>
      </c>
      <c r="R17" s="8">
        <f t="shared" si="4"/>
        <v>14.5</v>
      </c>
      <c r="S17" s="8" t="str">
        <f t="shared" si="5"/>
        <v>2025 Nationals</v>
      </c>
      <c r="T17" s="8">
        <f>IF(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&gt;0,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,0)</f>
        <v>15.19</v>
      </c>
      <c r="U17" s="8" t="str">
        <f t="shared" si="6"/>
        <v>2024 Coimbra Gym Fest (July 7)</v>
      </c>
      <c r="V17" s="8">
        <f t="shared" si="7"/>
        <v>1.9199999999999875</v>
      </c>
      <c r="W17" s="11" t="str">
        <f t="shared" si="8"/>
        <v>(Optional)</v>
      </c>
      <c r="X17" s="8" t="str">
        <f t="shared" si="9"/>
        <v>2024 Coimbra Gym Fest (July 7)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0"/>
        <v/>
      </c>
      <c r="AP17" s="38" t="str">
        <f t="shared" si="11"/>
        <v/>
      </c>
      <c r="AQ17" s="40" t="str">
        <f t="shared" si="12"/>
        <v/>
      </c>
      <c r="AR17" s="40" t="str">
        <f t="shared" si="13"/>
        <v/>
      </c>
      <c r="AS17" s="40" t="str">
        <f t="shared" si="14"/>
        <v/>
      </c>
      <c r="AT17" s="40" t="str">
        <f t="shared" si="15"/>
        <v/>
      </c>
      <c r="AU17" s="40" t="str">
        <f t="shared" si="16"/>
        <v/>
      </c>
      <c r="AV17" s="40" t="str">
        <f t="shared" si="17"/>
        <v/>
      </c>
      <c r="AW17" s="40" t="str">
        <f t="shared" si="18"/>
        <v/>
      </c>
      <c r="AX17" s="40" t="str">
        <f t="shared" si="19"/>
        <v/>
      </c>
      <c r="AY17" s="40" t="str">
        <f t="shared" si="20"/>
        <v/>
      </c>
      <c r="AZ17" s="26">
        <v>13.3</v>
      </c>
      <c r="BA17" s="26">
        <v>9.1</v>
      </c>
      <c r="BB17" s="26">
        <v>12.9</v>
      </c>
      <c r="BC17" s="26">
        <v>14.67</v>
      </c>
      <c r="BD17" s="26">
        <v>0</v>
      </c>
      <c r="BE17" s="26">
        <v>5.8</v>
      </c>
      <c r="BF17" s="26">
        <v>3.9</v>
      </c>
      <c r="BG17" s="26">
        <v>5.2</v>
      </c>
      <c r="BH17" s="26">
        <v>6.03</v>
      </c>
      <c r="BI17" s="26">
        <v>0</v>
      </c>
      <c r="BJ17" s="26">
        <v>1.3</v>
      </c>
      <c r="BK17" s="26">
        <v>1</v>
      </c>
      <c r="BL17" s="26">
        <v>2</v>
      </c>
      <c r="BM17" s="26">
        <v>1.63</v>
      </c>
      <c r="BN17" s="26">
        <v>0.2</v>
      </c>
      <c r="BO17" s="28"/>
      <c r="BP17" s="39">
        <f t="shared" si="21"/>
        <v>12.9</v>
      </c>
      <c r="BQ17" s="39">
        <f t="shared" si="22"/>
        <v>14.67</v>
      </c>
      <c r="BR17" s="11">
        <f t="shared" si="23"/>
        <v>49.97</v>
      </c>
      <c r="BS17" s="11">
        <f t="shared" si="24"/>
        <v>5.2</v>
      </c>
      <c r="BT17" s="11">
        <f t="shared" si="25"/>
        <v>6.03</v>
      </c>
      <c r="BU17" s="11">
        <f t="shared" si="26"/>
        <v>20.93</v>
      </c>
      <c r="BV17" s="11">
        <f t="shared" si="27"/>
        <v>49.97</v>
      </c>
      <c r="BW17" s="11">
        <f t="shared" si="28"/>
        <v>2</v>
      </c>
      <c r="BX17" s="11">
        <f t="shared" si="29"/>
        <v>1.63</v>
      </c>
      <c r="BY17" s="11">
        <f t="shared" si="30"/>
        <v>5.7299999999999995</v>
      </c>
      <c r="BZ17" s="11">
        <f t="shared" si="31"/>
        <v>55.699999999999996</v>
      </c>
      <c r="CA17" s="22">
        <v>11.1</v>
      </c>
      <c r="CB17" s="22">
        <v>9.6</v>
      </c>
      <c r="CC17" s="22">
        <v>11.7</v>
      </c>
      <c r="CD17" s="22">
        <v>13.88</v>
      </c>
      <c r="CE17" s="22">
        <v>0.6</v>
      </c>
      <c r="CF17" s="22">
        <v>11.9</v>
      </c>
      <c r="CG17" s="22">
        <v>8.8000000000000007</v>
      </c>
      <c r="CH17" s="22">
        <v>12.1</v>
      </c>
      <c r="CI17" s="22">
        <v>14.61</v>
      </c>
      <c r="CJ17" s="22">
        <v>0.4</v>
      </c>
      <c r="CK17" s="22">
        <v>12.4</v>
      </c>
      <c r="CL17" s="22">
        <v>9</v>
      </c>
      <c r="CM17" s="22">
        <v>14.5</v>
      </c>
      <c r="CN17" s="22">
        <v>14.25</v>
      </c>
      <c r="CO17" s="22">
        <v>0</v>
      </c>
      <c r="CP17" s="27"/>
      <c r="CQ17" s="38">
        <f t="shared" si="32"/>
        <v>11.7</v>
      </c>
      <c r="CR17" s="38">
        <f t="shared" si="33"/>
        <v>13.88</v>
      </c>
      <c r="CS17" s="40">
        <f t="shared" si="34"/>
        <v>45.68</v>
      </c>
      <c r="CT17" s="40">
        <f t="shared" si="35"/>
        <v>12.1</v>
      </c>
      <c r="CU17" s="40">
        <f t="shared" si="36"/>
        <v>14.61</v>
      </c>
      <c r="CV17" s="40">
        <f t="shared" si="37"/>
        <v>47.010000000000005</v>
      </c>
      <c r="CW17" s="40">
        <f t="shared" si="38"/>
        <v>47.010000000000005</v>
      </c>
      <c r="CX17" s="40">
        <f t="shared" si="39"/>
        <v>14.5</v>
      </c>
      <c r="CY17" s="40">
        <f t="shared" si="40"/>
        <v>14.25</v>
      </c>
      <c r="CZ17" s="40">
        <f t="shared" si="41"/>
        <v>50.15</v>
      </c>
      <c r="DA17" s="40">
        <f t="shared" si="42"/>
        <v>97.16</v>
      </c>
      <c r="DB17" s="50">
        <f t="shared" si="43"/>
        <v>1.9199999999999875</v>
      </c>
      <c r="DC17" s="50" t="str">
        <f t="shared" si="44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45"/>
        <v/>
      </c>
      <c r="DY17" s="40" t="str">
        <f t="shared" si="46"/>
        <v/>
      </c>
      <c r="DZ17" s="40" t="str">
        <f t="shared" si="47"/>
        <v/>
      </c>
      <c r="EA17" s="40" t="str">
        <f t="shared" si="48"/>
        <v/>
      </c>
      <c r="EB17" s="40" t="str">
        <f t="shared" si="49"/>
        <v/>
      </c>
      <c r="EC17" s="40" t="str">
        <f t="shared" si="50"/>
        <v/>
      </c>
      <c r="ED17" s="40" t="str">
        <f t="shared" si="51"/>
        <v/>
      </c>
      <c r="EE17" s="40" t="str">
        <f t="shared" si="52"/>
        <v/>
      </c>
      <c r="EF17" s="40" t="str">
        <f t="shared" si="53"/>
        <v/>
      </c>
      <c r="EG17" s="40" t="str">
        <f t="shared" si="54"/>
        <v/>
      </c>
      <c r="EH17" s="40" t="str">
        <f t="shared" si="55"/>
        <v/>
      </c>
      <c r="EI17" s="40" t="str">
        <f t="shared" si="56"/>
        <v/>
      </c>
      <c r="EJ17" s="40" t="str">
        <f t="shared" si="57"/>
        <v/>
      </c>
      <c r="EK17" s="40" t="str">
        <f t="shared" si="58"/>
        <v/>
      </c>
      <c r="EL17" s="18">
        <v>14.5</v>
      </c>
      <c r="EM17" s="18">
        <v>9.3000000000000007</v>
      </c>
      <c r="EN17" s="18">
        <v>0</v>
      </c>
      <c r="EO17" s="18">
        <v>15.19</v>
      </c>
      <c r="EP17" s="18">
        <v>0</v>
      </c>
      <c r="EQ17" s="18">
        <v>12.2</v>
      </c>
      <c r="ER17" s="18">
        <v>9.1</v>
      </c>
      <c r="ES17" s="18">
        <v>13.4</v>
      </c>
      <c r="ET17" s="18">
        <v>14.23</v>
      </c>
      <c r="EU17" s="18">
        <v>0</v>
      </c>
      <c r="EV17" s="18"/>
      <c r="EW17" s="18"/>
      <c r="EX17" s="18"/>
      <c r="EY17" s="18"/>
      <c r="EZ17" s="18"/>
      <c r="FA17" s="18">
        <v>2.6</v>
      </c>
      <c r="FB17" s="18">
        <v>1.7</v>
      </c>
      <c r="FC17" s="18">
        <v>3.2</v>
      </c>
      <c r="FD17" s="18">
        <v>3.16</v>
      </c>
      <c r="FE17" s="18">
        <v>0</v>
      </c>
      <c r="FF17" s="11" t="str">
        <f t="shared" si="59"/>
        <v/>
      </c>
      <c r="FG17" s="11">
        <f t="shared" si="60"/>
        <v>15.19</v>
      </c>
      <c r="FH17" s="11">
        <f t="shared" si="61"/>
        <v>38.99</v>
      </c>
      <c r="FI17" s="11">
        <f t="shared" si="62"/>
        <v>13.4</v>
      </c>
      <c r="FJ17" s="11">
        <f t="shared" si="63"/>
        <v>14.23</v>
      </c>
      <c r="FK17" s="11">
        <f t="shared" si="64"/>
        <v>48.929999999999993</v>
      </c>
      <c r="FL17" s="11">
        <f t="shared" si="65"/>
        <v>48.929999999999993</v>
      </c>
      <c r="FM17" s="11" t="str">
        <f t="shared" si="66"/>
        <v/>
      </c>
      <c r="FN17" s="11" t="str">
        <f t="shared" si="67"/>
        <v/>
      </c>
      <c r="FO17" s="11" t="str">
        <f t="shared" si="68"/>
        <v/>
      </c>
      <c r="FP17" s="11">
        <f t="shared" si="69"/>
        <v>3.2</v>
      </c>
      <c r="FQ17" s="11">
        <f t="shared" si="70"/>
        <v>3.16</v>
      </c>
      <c r="FR17" s="11">
        <f t="shared" si="71"/>
        <v>10.66</v>
      </c>
      <c r="FS17" s="11">
        <f t="shared" si="72"/>
        <v>59.589999999999989</v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3"/>
        <v/>
      </c>
      <c r="GO17" s="40" t="str">
        <f t="shared" si="74"/>
        <v/>
      </c>
      <c r="GP17" s="40" t="str">
        <f t="shared" si="75"/>
        <v/>
      </c>
      <c r="GQ17" s="40" t="str">
        <f t="shared" si="76"/>
        <v/>
      </c>
      <c r="GR17" s="40" t="str">
        <f t="shared" si="77"/>
        <v/>
      </c>
      <c r="GS17" s="40" t="str">
        <f t="shared" si="78"/>
        <v/>
      </c>
      <c r="GT17" s="40" t="str">
        <f t="shared" si="79"/>
        <v/>
      </c>
      <c r="GU17" s="40" t="str">
        <f t="shared" si="80"/>
        <v/>
      </c>
      <c r="GV17" s="40" t="str">
        <f t="shared" si="81"/>
        <v/>
      </c>
      <c r="GW17" s="40" t="str">
        <f t="shared" si="82"/>
        <v/>
      </c>
      <c r="GX17" s="40" t="str">
        <f t="shared" si="83"/>
        <v/>
      </c>
      <c r="GY17" s="40" t="str">
        <f t="shared" si="84"/>
        <v/>
      </c>
      <c r="GZ17" s="40" t="str">
        <f t="shared" si="85"/>
        <v/>
      </c>
      <c r="HA17" s="40" t="str">
        <f t="shared" si="86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87"/>
        <v/>
      </c>
      <c r="HW17" s="11" t="str">
        <f t="shared" si="88"/>
        <v/>
      </c>
      <c r="HX17" s="11" t="str">
        <f t="shared" si="89"/>
        <v/>
      </c>
      <c r="HY17" s="11" t="str">
        <f t="shared" si="90"/>
        <v/>
      </c>
      <c r="HZ17" s="11" t="str">
        <f t="shared" si="91"/>
        <v/>
      </c>
      <c r="IA17" s="11" t="str">
        <f t="shared" si="92"/>
        <v/>
      </c>
      <c r="IB17" s="11" t="str">
        <f t="shared" si="93"/>
        <v/>
      </c>
      <c r="IC17" s="11" t="str">
        <f t="shared" si="94"/>
        <v/>
      </c>
      <c r="ID17" s="11" t="str">
        <f t="shared" si="95"/>
        <v/>
      </c>
      <c r="IE17" s="11" t="str">
        <f t="shared" si="96"/>
        <v/>
      </c>
      <c r="IF17" s="11" t="str">
        <f t="shared" si="97"/>
        <v/>
      </c>
      <c r="IG17" s="11" t="str">
        <f t="shared" si="98"/>
        <v/>
      </c>
      <c r="IH17" s="11" t="str">
        <f t="shared" si="99"/>
        <v/>
      </c>
      <c r="II17" s="11" t="str">
        <f t="shared" si="100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1"/>
        <v/>
      </c>
      <c r="JE17" s="40" t="str">
        <f t="shared" si="102"/>
        <v/>
      </c>
      <c r="JF17" s="40" t="str">
        <f t="shared" si="103"/>
        <v/>
      </c>
      <c r="JG17" s="40" t="str">
        <f t="shared" si="104"/>
        <v/>
      </c>
      <c r="JH17" s="40" t="str">
        <f t="shared" si="105"/>
        <v/>
      </c>
      <c r="JI17" s="40" t="str">
        <f t="shared" si="106"/>
        <v/>
      </c>
      <c r="JJ17" s="40" t="str">
        <f t="shared" si="107"/>
        <v/>
      </c>
      <c r="JK17" s="40" t="str">
        <f t="shared" si="108"/>
        <v/>
      </c>
      <c r="JL17" s="40" t="str">
        <f t="shared" si="109"/>
        <v/>
      </c>
      <c r="JM17" s="40" t="str">
        <f t="shared" si="110"/>
        <v/>
      </c>
      <c r="JN17" s="40" t="str">
        <f t="shared" si="111"/>
        <v/>
      </c>
      <c r="JO17" s="40" t="str">
        <f t="shared" si="112"/>
        <v/>
      </c>
      <c r="JP17" s="40" t="str">
        <f t="shared" si="113"/>
        <v/>
      </c>
      <c r="JQ17" s="40" t="str">
        <f t="shared" si="114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15"/>
        <v/>
      </c>
      <c r="KM17" s="11" t="str">
        <f t="shared" si="116"/>
        <v/>
      </c>
      <c r="KN17" s="11" t="str">
        <f t="shared" si="117"/>
        <v/>
      </c>
      <c r="KO17" s="11" t="str">
        <f t="shared" si="118"/>
        <v/>
      </c>
      <c r="KP17" s="11" t="str">
        <f t="shared" si="119"/>
        <v/>
      </c>
      <c r="KQ17" s="11" t="str">
        <f t="shared" si="120"/>
        <v/>
      </c>
      <c r="KR17" s="11" t="str">
        <f t="shared" si="121"/>
        <v/>
      </c>
      <c r="KS17" s="11" t="str">
        <f t="shared" si="122"/>
        <v/>
      </c>
      <c r="KT17" s="11" t="str">
        <f t="shared" si="123"/>
        <v/>
      </c>
      <c r="KU17" s="11" t="str">
        <f t="shared" si="124"/>
        <v/>
      </c>
      <c r="KV17" s="11" t="str">
        <f t="shared" si="125"/>
        <v/>
      </c>
      <c r="KW17" s="11" t="str">
        <f t="shared" si="126"/>
        <v/>
      </c>
      <c r="KX17" s="11" t="str">
        <f t="shared" si="127"/>
        <v/>
      </c>
      <c r="KY17" s="11" t="str">
        <f t="shared" si="128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29"/>
        <v/>
      </c>
      <c r="LU17" s="40" t="str">
        <f t="shared" si="130"/>
        <v/>
      </c>
      <c r="LV17" s="40" t="str">
        <f t="shared" si="131"/>
        <v/>
      </c>
      <c r="LW17" s="40" t="str">
        <f t="shared" si="132"/>
        <v/>
      </c>
      <c r="LX17" s="40" t="str">
        <f t="shared" si="133"/>
        <v/>
      </c>
      <c r="LY17" s="40" t="str">
        <f t="shared" si="134"/>
        <v/>
      </c>
      <c r="LZ17" s="40" t="str">
        <f t="shared" si="135"/>
        <v/>
      </c>
      <c r="MA17" s="40" t="str">
        <f t="shared" si="136"/>
        <v/>
      </c>
      <c r="MB17" s="40" t="str">
        <f t="shared" si="137"/>
        <v/>
      </c>
      <c r="MC17" s="40" t="str">
        <f t="shared" si="138"/>
        <v/>
      </c>
      <c r="MD17" s="40" t="str">
        <f t="shared" si="139"/>
        <v/>
      </c>
      <c r="ME17" s="40" t="str">
        <f t="shared" si="140"/>
        <v/>
      </c>
      <c r="MF17" s="40" t="str">
        <f t="shared" si="141"/>
        <v/>
      </c>
      <c r="MG17" s="40" t="str">
        <f t="shared" si="142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3"/>
        <v/>
      </c>
      <c r="NC17" s="11" t="str">
        <f t="shared" si="144"/>
        <v/>
      </c>
      <c r="ND17" s="11" t="str">
        <f t="shared" si="145"/>
        <v/>
      </c>
      <c r="NE17" s="11" t="str">
        <f t="shared" si="146"/>
        <v/>
      </c>
      <c r="NF17" s="11" t="str">
        <f t="shared" si="147"/>
        <v/>
      </c>
      <c r="NG17" s="11" t="str">
        <f t="shared" si="148"/>
        <v/>
      </c>
      <c r="NH17" s="11" t="str">
        <f t="shared" si="149"/>
        <v/>
      </c>
      <c r="NI17" s="11" t="str">
        <f t="shared" si="150"/>
        <v/>
      </c>
      <c r="NJ17" s="11" t="str">
        <f t="shared" si="151"/>
        <v/>
      </c>
      <c r="NK17" s="11" t="str">
        <f t="shared" si="152"/>
        <v/>
      </c>
      <c r="NL17" s="11" t="str">
        <f t="shared" si="153"/>
        <v/>
      </c>
      <c r="NM17" s="11" t="str">
        <f t="shared" si="154"/>
        <v/>
      </c>
      <c r="NN17" s="11" t="str">
        <f t="shared" si="155"/>
        <v/>
      </c>
      <c r="NO17" s="11" t="str">
        <f t="shared" si="156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57"/>
        <v/>
      </c>
      <c r="OK17" s="40" t="str">
        <f t="shared" si="158"/>
        <v/>
      </c>
      <c r="OL17" s="40" t="str">
        <f t="shared" si="159"/>
        <v/>
      </c>
      <c r="OM17" s="40" t="str">
        <f t="shared" si="160"/>
        <v/>
      </c>
      <c r="ON17" s="40" t="str">
        <f t="shared" si="161"/>
        <v/>
      </c>
      <c r="OO17" s="40" t="str">
        <f t="shared" si="162"/>
        <v/>
      </c>
      <c r="OP17" s="40" t="str">
        <f t="shared" si="163"/>
        <v/>
      </c>
      <c r="OQ17" s="40" t="str">
        <f t="shared" si="164"/>
        <v/>
      </c>
      <c r="OR17" s="40" t="str">
        <f t="shared" si="165"/>
        <v/>
      </c>
      <c r="OS17" s="40" t="str">
        <f t="shared" si="166"/>
        <v/>
      </c>
      <c r="OT17" s="40" t="str">
        <f t="shared" si="167"/>
        <v/>
      </c>
      <c r="OU17" s="40" t="str">
        <f t="shared" si="168"/>
        <v/>
      </c>
      <c r="OV17" s="40" t="str">
        <f t="shared" si="169"/>
        <v/>
      </c>
      <c r="OW17" s="40" t="str">
        <f t="shared" si="170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1"/>
        <v/>
      </c>
      <c r="PS17" s="11" t="str">
        <f t="shared" si="172"/>
        <v/>
      </c>
      <c r="PT17" s="11" t="str">
        <f t="shared" si="173"/>
        <v/>
      </c>
      <c r="PU17" s="11" t="str">
        <f t="shared" si="174"/>
        <v/>
      </c>
      <c r="PV17" s="11" t="str">
        <f t="shared" si="175"/>
        <v/>
      </c>
      <c r="PW17" s="11" t="str">
        <f t="shared" si="176"/>
        <v/>
      </c>
      <c r="PX17" s="11" t="str">
        <f t="shared" si="177"/>
        <v/>
      </c>
      <c r="PY17" s="11" t="str">
        <f t="shared" si="178"/>
        <v/>
      </c>
      <c r="PZ17" s="11" t="str">
        <f t="shared" si="179"/>
        <v/>
      </c>
      <c r="QA17" s="11" t="str">
        <f t="shared" si="180"/>
        <v/>
      </c>
      <c r="QB17" s="11" t="str">
        <f t="shared" si="181"/>
        <v/>
      </c>
      <c r="QC17" s="11" t="str">
        <f t="shared" si="182"/>
        <v/>
      </c>
      <c r="QD17" s="11" t="str">
        <f t="shared" si="183"/>
        <v/>
      </c>
      <c r="QE17" s="11" t="str">
        <f t="shared" si="184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85"/>
        <v/>
      </c>
      <c r="RA17" s="40" t="str">
        <f t="shared" si="186"/>
        <v/>
      </c>
      <c r="RB17" s="40" t="str">
        <f t="shared" si="187"/>
        <v/>
      </c>
      <c r="RC17" s="40" t="str">
        <f t="shared" si="188"/>
        <v/>
      </c>
      <c r="RD17" s="40" t="str">
        <f t="shared" si="189"/>
        <v/>
      </c>
      <c r="RE17" s="40" t="str">
        <f t="shared" si="190"/>
        <v/>
      </c>
      <c r="RF17" s="40" t="str">
        <f t="shared" si="191"/>
        <v/>
      </c>
      <c r="RG17" s="40" t="str">
        <f t="shared" si="192"/>
        <v/>
      </c>
      <c r="RH17" s="40" t="str">
        <f t="shared" si="193"/>
        <v/>
      </c>
      <c r="RI17" s="40" t="str">
        <f t="shared" si="194"/>
        <v/>
      </c>
      <c r="RJ17" s="40" t="str">
        <f t="shared" si="195"/>
        <v/>
      </c>
      <c r="RK17" s="40" t="str">
        <f t="shared" si="196"/>
        <v/>
      </c>
      <c r="RL17" s="40" t="str">
        <f t="shared" si="197"/>
        <v/>
      </c>
      <c r="RM17" s="40" t="str">
        <f t="shared" si="198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199"/>
        <v/>
      </c>
      <c r="SI17" s="11" t="str">
        <f t="shared" si="200"/>
        <v/>
      </c>
      <c r="SJ17" s="11" t="str">
        <f t="shared" si="201"/>
        <v/>
      </c>
      <c r="SK17" s="11" t="str">
        <f t="shared" si="202"/>
        <v/>
      </c>
      <c r="SL17" s="11" t="str">
        <f t="shared" si="203"/>
        <v/>
      </c>
      <c r="SM17" s="11" t="str">
        <f t="shared" si="204"/>
        <v/>
      </c>
      <c r="SN17" s="11" t="str">
        <f t="shared" si="205"/>
        <v/>
      </c>
      <c r="SO17" s="11" t="str">
        <f t="shared" si="206"/>
        <v/>
      </c>
      <c r="SP17" s="11" t="str">
        <f t="shared" si="207"/>
        <v/>
      </c>
      <c r="SQ17" s="11" t="str">
        <f t="shared" si="208"/>
        <v/>
      </c>
      <c r="SR17" s="11" t="str">
        <f t="shared" si="209"/>
        <v/>
      </c>
      <c r="SS17" s="11" t="str">
        <f t="shared" si="210"/>
        <v/>
      </c>
      <c r="ST17" s="11" t="str">
        <f t="shared" si="211"/>
        <v/>
      </c>
      <c r="SU17" s="11" t="str">
        <f t="shared" si="212"/>
        <v/>
      </c>
      <c r="SV17" s="22">
        <f t="shared" si="213"/>
        <v>12.2</v>
      </c>
      <c r="SW17" s="22">
        <f t="shared" si="214"/>
        <v>9.35</v>
      </c>
      <c r="SX17" s="22">
        <f t="shared" si="215"/>
        <v>12.3</v>
      </c>
      <c r="SY17" s="22">
        <f t="shared" si="216"/>
        <v>14.275</v>
      </c>
      <c r="SZ17" s="22">
        <f t="shared" si="217"/>
        <v>0.3</v>
      </c>
      <c r="TA17" s="22">
        <f t="shared" si="218"/>
        <v>8.85</v>
      </c>
      <c r="TB17" s="22">
        <f t="shared" si="219"/>
        <v>6.3500000000000005</v>
      </c>
      <c r="TC17" s="22">
        <f t="shared" si="220"/>
        <v>8.65</v>
      </c>
      <c r="TD17" s="22">
        <f t="shared" si="221"/>
        <v>10.32</v>
      </c>
      <c r="TE17" s="22">
        <f t="shared" si="222"/>
        <v>0.2</v>
      </c>
      <c r="TF17" s="22">
        <f t="shared" si="223"/>
        <v>6.8500000000000005</v>
      </c>
      <c r="TG17" s="22">
        <f t="shared" si="224"/>
        <v>5</v>
      </c>
      <c r="TH17" s="22">
        <f t="shared" si="225"/>
        <v>8.25</v>
      </c>
      <c r="TI17" s="22">
        <f t="shared" si="226"/>
        <v>7.9399999999999995</v>
      </c>
      <c r="TJ17" s="22">
        <f t="shared" si="227"/>
        <v>0.1</v>
      </c>
      <c r="TK17" s="27" t="s">
        <v>46</v>
      </c>
      <c r="TL17" s="40">
        <f t="shared" si="228"/>
        <v>12.3</v>
      </c>
      <c r="TM17" s="40">
        <f t="shared" si="229"/>
        <v>14.275</v>
      </c>
      <c r="TN17" s="40">
        <f t="shared" si="230"/>
        <v>47.824999999999996</v>
      </c>
      <c r="TO17" s="40">
        <f t="shared" si="231"/>
        <v>8.65</v>
      </c>
      <c r="TP17" s="40">
        <f t="shared" si="232"/>
        <v>10.32</v>
      </c>
      <c r="TQ17" s="40">
        <f t="shared" si="233"/>
        <v>33.97</v>
      </c>
      <c r="TR17" s="40">
        <f t="shared" si="234"/>
        <v>47.824999999999996</v>
      </c>
      <c r="TS17" s="40">
        <f t="shared" si="235"/>
        <v>8.25</v>
      </c>
      <c r="TT17" s="40">
        <f t="shared" si="236"/>
        <v>7.9399999999999995</v>
      </c>
      <c r="TU17" s="40">
        <f t="shared" si="237"/>
        <v>27.939999999999998</v>
      </c>
      <c r="TV17" s="40">
        <f t="shared" si="238"/>
        <v>75.764999999999986</v>
      </c>
    </row>
    <row r="18" spans="1:542" x14ac:dyDescent="0.2">
      <c r="A18" s="4" t="str" cm="1">
        <f t="array" ref="A18">IF(AND(J18&lt;&gt;"",J18&lt;&gt;"No DD"),SUMPRODUCT((J$4:J$28&lt;&gt;"")*(J$4:J$28&lt;&gt;"No DD")*(F$4:F$28&gt;F18))+1,IF(J18="No DD",SUMPRODUCT((J$4:J$28="No DD")*(F$4:F$28&gt;F18))+1+SUMPRODUCT((J$4:J$28&lt;&gt;"")*(J$4:J$28&lt;&gt;"No DD")),""))</f>
        <v/>
      </c>
      <c r="B18" s="4" t="str" cm="1">
        <f t="array" ref="B18">IF(AND(J18&lt;&gt;"",J18&lt;&gt;"No DD",G18=""),SUMPRODUCT((J$4:J$28&lt;&gt;"")*(J$4:J$28&lt;&gt;"No DD")*(G$4:G$28="")*(F$4:F$28&gt;F18))+1,IF(J18="No DD",SUMPRODUCT((J$4:J$28="No DD")*(F$4:F$28&gt;F18)*(G$4:G$28=""))+1+SUMPRODUCT((J$4:J$28&lt;&gt;"")*(G$4:G$28="")*(J$4:J$28&lt;&gt;"No DD")),""))</f>
        <v/>
      </c>
      <c r="C18" s="5" t="s">
        <v>89</v>
      </c>
      <c r="D18" s="4" t="s">
        <v>4</v>
      </c>
      <c r="E18" s="4">
        <v>2004</v>
      </c>
      <c r="F18" s="9">
        <f t="shared" si="0"/>
        <v>172.4000172400051</v>
      </c>
      <c r="G18" s="64"/>
      <c r="H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P","")</f>
        <v/>
      </c>
      <c r="I18" s="3" t="str">
        <f>IF(OR(AND(AQ18&gt;=AY$34,AQ18&lt;&gt;"",AN18=""),AND(AT18&gt;=AY$34,AT18&lt;&gt;"",AN18=""),AND(AX18&gt;=AY$34,AX18&lt;&gt;"",AN18=""),AND(BR18&gt;=BZ$34,BR18&lt;&gt;"",BO18=""),AND(BU18&gt;=BZ$34,BU18&lt;&gt;"",BO18=""),AND(BY18&gt;=BZ$34,BY18&lt;&gt;"",BO18=""),AND(CS18&gt;=DA$34,CS18&lt;&gt;"",CP18=""),AND(CV18&gt;=DA$34,CV18&lt;&gt;"",CP18=""),AND(CZ18&gt;=DA$34,CZ18&lt;&gt;"",CP18=""),AND(DZ18&gt;=EK$34,DZ18&lt;&gt;""),AND(EC18&gt;=EK$34,EC18&lt;&gt;""),AND(EG18&gt;=EK$34,EG18&lt;&gt;""),AND(EJ18&gt;=EK$34,EJ18&lt;&gt;""),AND(FH18&gt;=FS$34,FH18&lt;&gt;""),AND(FK18&gt;=FS$34,FK18&lt;&gt;""),AND(FO18&gt;=FS$34,FO18&lt;&gt;""),AND(FR18&gt;=FS$34,FR18&lt;&gt;""),AND(GP18&gt;=HA$34,GP18&lt;&gt;""),AND(GS18&gt;=HA$34,GS18&lt;&gt;""),AND(GW18&gt;=HA$34,GW18&lt;&gt;""),AND(GZ18&gt;=HA$34,GZ18&lt;&gt;""),AND(HX18&gt;=II$34,HX18&lt;&gt;""),AND(IA18&gt;=II$34,IA18&lt;&gt;""),AND(IE18&gt;=II$34,IE18&lt;&gt;""),AND(IH18&gt;=II$34,IH18&lt;&gt;""),AND(JF18&gt;=JQ$34,JF18&lt;&gt;""),AND(JI18&gt;=JQ$34,JI18&lt;&gt;""),AND(JM18&gt;=JQ$34,JM18&lt;&gt;""),AND(JP18&gt;=JQ$34,JP18&lt;&gt;""),AND(KN18&gt;=KY$34,KN18&lt;&gt;""),AND(KQ18&gt;=KY$34,KQ18&lt;&gt;""),AND(KU18&gt;=KY$34,KU18&lt;&gt;""),AND(KX18&gt;=KY$34,KX18&lt;&gt;""),AND(LV18&gt;=MG$34,LV18&lt;&gt;""),AND(LY18&gt;=MG$34,LY18&lt;&gt;""),AND(MC18&gt;=MG$34,MC18&lt;&gt;""),AND(MF18&gt;=MG$34,MF18&lt;&gt;""),AND(ND18&gt;=NO$34,ND18&lt;&gt;""),AND(NG18&gt;=NO$34,NG18&lt;&gt;""),AND(NK18&gt;=NO$34,NK18&lt;&gt;""),AND(NN18&gt;=NO$34,NN18&lt;&gt;""),AND(OL18&gt;=OW$34,OL18&lt;&gt;""),AND(OO18&gt;=OW$34,OO18&lt;&gt;""),AND(OS18&gt;=OW$34,OS18&lt;&gt;""),AND(OV18&gt;=OW$34,OV18&lt;&gt;""),AND(PT18&gt;=QE$34,PT18&lt;&gt;""),AND(PW18&gt;=QE$34,PW18&lt;&gt;""),AND(QA18&gt;=QE$34,QA18&lt;&gt;""),AND(QD18&gt;=QE$34,QD18&lt;&gt;""),AND(RB18&gt;=RM$34,RB18&lt;&gt;""),AND(RE18&gt;=RM$34,RE18&lt;&gt;""),AND(RI18&gt;=RM$34,RI18&lt;&gt;""),AND(RL18&gt;=RM$34,RL18&lt;&gt;""),AND(SJ18&gt;=SU$34,SJ18&lt;&gt;""),AND(SM18&gt;=SU$34,SM18&lt;&gt;""),AND(SQ18&gt;=SU$34,SQ18&lt;&gt;""),AND(ST18&gt;=SU$34,ST18&lt;&gt;"")),"P","")</f>
        <v/>
      </c>
      <c r="J18" s="36" t="str">
        <f>IF(AND(I18="P",H18=""),"No DD",IF(OR(AND(AO18&gt;=AY$33,AO18&lt;&gt;"",AQ18&gt;=AY$37,AQ18&lt;&gt;"",AN18=""),AND(AR18&gt;=AY$33,AR18&lt;&gt;"",AT18&gt;=AY$37,AT18&lt;&gt;"",AN18=""),AND(AV18&gt;=AY$33,AV18&lt;&gt;"",AX18&gt;=AY$37,AX18&lt;&gt;"",AN18=""),AND(BP18&gt;=BZ$33,BP18&lt;&gt;"",BR18&gt;=BZ$37,BR18&lt;&gt;"",BO18=""),AND(BS18&gt;=BZ$33,BS18&lt;&gt;"",BU18&gt;=BZ$37,BU18&lt;&gt;"",BO18=""),AND(BW18&gt;=BZ$33,BW18&lt;&gt;"",BY18&gt;=BZ$37,BY18&lt;&gt;"",BO18=""),AND(CQ18&gt;=DA$33,CQ18&lt;&gt;"",CS18&gt;=DA$37,CS18&lt;&gt;"",CP18=""),AND(CT18&gt;=DA$33,CT18&lt;&gt;"",CV18&gt;=DA$37,CV18&lt;&gt;"",CP18=""),AND(CX18&gt;=DA$33,CX18&lt;&gt;"",CZ18&gt;=DA$37,CZ18&lt;&gt;"",CP18=""),AND(DX18&gt;=EK$33,DX18&lt;&gt;"",DZ18&gt;=EK$37,DZ18&lt;&gt;""),AND(EA18&gt;=EK$33,EA18&lt;&gt;"",EC18&gt;=EK$37,EC18&lt;&gt;""),AND(EE18&gt;=EK$33,EE18&lt;&gt;"",EG18&gt;=EK$37,EG18&lt;&gt;""),AND(EH18&gt;=EK$33,EH18&lt;&gt;"",EJ18&gt;=EK$37,EJ18&lt;&gt;""),AND(FF18&gt;=FS$33,FF18&lt;&gt;"",FH18&gt;=FS$37,FH18&lt;&gt;""),AND(FI18&gt;=FS$33,FI18&lt;&gt;"",FK18&gt;=FS$37,FK18&lt;&gt;""),AND(FM18&gt;=FS$33,FM18&lt;&gt;"",FO18&gt;=FS$37,FO18&lt;&gt;""),AND(FP18&gt;=FS$33,FP18&lt;&gt;"",FR18&gt;=FS$37,FR18&lt;&gt;""),AND(GN18&gt;=HA$33,GN18&lt;&gt;"",GP18&gt;=HA$37,GP18&lt;&gt;""),AND(GQ18&gt;=HA$33,GQ18&lt;&gt;"",GS18&gt;=HA$37,GS18&lt;&gt;""),AND(GU18&gt;=HA$33,GU18&lt;&gt;"",GW18&gt;=HA$37,GW18&lt;&gt;""),AND(GX18&gt;=HA$33,GX18&lt;&gt;"",GZ18&gt;=HA$37,GZ18&lt;&gt;""),AND(HV18&gt;=II$33,HV18&lt;&gt;"",HX18&gt;=II$37,HX18&lt;&gt;""),AND(HY18&gt;=II$33,HY18&lt;&gt;"",IA18&gt;=II$37,IA18&lt;&gt;""),AND(IC18&gt;=II$33,IC18&lt;&gt;"",IE18&gt;=II$37,IE18&lt;&gt;""),AND(IF18&gt;=II$33,IF18&lt;&gt;"",IH18&gt;=II$37,IH18&lt;&gt;""),AND(JD18&gt;=JQ$33,JD18&lt;&gt;"",JF18&gt;=JQ$37,JF18&lt;&gt;""),AND(JG18&gt;=JQ$33,JG18&lt;&gt;"",JI18&gt;=JQ$37,JI18&lt;&gt;""),AND(JK18&gt;=JQ$33,JK18&lt;&gt;"",JM18&gt;=JQ$37,JM18&lt;&gt;""),AND(JN18&gt;=JQ$33,JN18&lt;&gt;"",JP18&gt;=JQ$37,JP18&lt;&gt;""),AND(KL18&gt;=KY$33,KL18&lt;&gt;"",KN18&gt;=KY$37,KN18&lt;&gt;""),AND(KO18&gt;=KY$33,KO18&lt;&gt;"",KQ18&gt;=KY$37,KQ18&lt;&gt;""),AND(KS18&gt;=KY$33,KS18&lt;&gt;"",KU18&gt;=KY$37,KU18&lt;&gt;""),AND(KV18&gt;=KY$33,KV18&lt;&gt;"",KX18&gt;=KY$37,KX18&lt;&gt;""),AND(LT18&gt;=MG$33,LT18&lt;&gt;"",LV18&gt;=MG$37,LV18&lt;&gt;""),AND(LW18&gt;=MG$33,LW18&lt;&gt;"",LY18&gt;=MG$37,LY18&lt;&gt;""),AND(MA18&gt;=MG$33,MA18&lt;&gt;"",MC18&gt;=MG$37,MC18&lt;&gt;""),AND(MD18&gt;=MG$33,MD18&lt;&gt;"",MF18&gt;=MG$37,MF18&lt;&gt;""),AND(NB18&gt;=NO$33,NB18&lt;&gt;"",ND18&gt;=NO$37,ND18&lt;&gt;""),AND(NE18&gt;=NO$33,NE18&lt;&gt;"",NG18&gt;=NO$37,NG18&lt;&gt;""),AND(NI18&gt;=NO$33,NI18&lt;&gt;"",NK18&gt;=NO$37,NK18&lt;&gt;""),AND(NL18&gt;=NO$33,NL18&lt;&gt;"",NN18&gt;=NO$37,NN18&lt;&gt;""),AND(OJ18&gt;=OW$33,OJ18&lt;&gt;"",OL18&gt;=OW$37,OL18&lt;&gt;""),AND(OM18&gt;=OW$33,OM18&lt;&gt;"",OO18&gt;=OW$37,OO18&lt;&gt;""),AND(OQ18&gt;=OW$33,OQ18&lt;&gt;"",OS18&gt;=OW$37,OS18&lt;&gt;""),AND(OT18&gt;=OW$33,OT18&lt;&gt;"",OV18&gt;=OW$37,OV18&lt;&gt;""),AND(PR18&gt;=QE$33,PR18&lt;&gt;"",PT18&gt;=QE$37,PT18&lt;&gt;""),AND(PU18&gt;=QE$33,PU18&lt;&gt;"",PW18&gt;=QE$37,PW18&lt;&gt;""),AND(PY18&gt;=QE$33,PY18&lt;&gt;"",QA18&gt;=QE$37,QA18&lt;&gt;""),AND(QB18&gt;=QE$33,QB18&lt;&gt;"",QD18&gt;=QE$37,QD18&lt;&gt;""),AND(QZ18&gt;=RM$33,QZ18&lt;&gt;"",RB18&gt;=RM$37,RB18&lt;&gt;""),AND(RC18&gt;=RM$33,RC18&lt;&gt;"",RE18&gt;=RM$37,RE18&lt;&gt;""),AND(RG18&gt;=RM$33,RG18&lt;&gt;"",RI18&gt;=RM$37,RI18&lt;&gt;""),AND(RJ18&gt;=RM$33,RJ18&lt;&gt;"",RL18&gt;=RM$37,RL18&lt;&gt;""),AND(SH18&gt;=SU$33,SH18&lt;&gt;"",SJ18&gt;=SU$37,SJ18&lt;&gt;""),AND(SK18&gt;=SU$33,SK18&lt;&gt;"",SM18&gt;=SU$37,SM18&lt;&gt;""),AND(SO18&gt;=SU$33,SO18&lt;&gt;"",SQ18&gt;=SU$37,SQ18&lt;&gt;""),AND(SR18&gt;=SU$33,SR18&lt;&gt;"",ST18&gt;=SU$37,ST18&lt;&gt;"")),"Merit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),"Excellence",IF(K18="P","Worlds Team",IF(H18="P","National Team","")))))</f>
        <v/>
      </c>
      <c r="K18" s="3" t="str">
        <f>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P","")</f>
        <v/>
      </c>
      <c r="L18" s="8">
        <f>IF(COUNT(AQ18,AT18,BR18,BU18,CS18,CV18)&gt;0,LARGE((AQ18,AT18,BR18,BU18,CS18,CV18),1),0)</f>
        <v>50.97</v>
      </c>
      <c r="M18" s="8" t="str">
        <f t="shared" si="1"/>
        <v>2025 Elite Canada</v>
      </c>
      <c r="N18" s="8">
        <f>IF(COUNT(AQ18,AT18,BR18,BU18,CS18,CV18)&gt;1,LARGE((AQ18,AT18,BR18,BU18,CS18,CV18),2),0)</f>
        <v>36.21</v>
      </c>
      <c r="O18" s="8" t="str">
        <f t="shared" si="2"/>
        <v>2025 Elite Canada</v>
      </c>
      <c r="P18" s="8">
        <f>IF(COUNT(AQ18,AT18,BR18,BU18,CS18,CV18)&gt;2,MAX(AX18,BY18,CZ18,LARGE((AQ18,AT18,BR18,BU18,CS18,CV18),3)),IF(MAX(AX18,BY18,CZ18)&gt;0,MAX(AX18,BY18,CZ18),0))</f>
        <v>53.91</v>
      </c>
      <c r="Q18" s="8" t="str">
        <f t="shared" si="3"/>
        <v>2025 Elite Canada</v>
      </c>
      <c r="R18" s="8">
        <f t="shared" si="4"/>
        <v>14.9</v>
      </c>
      <c r="S18" s="8" t="str">
        <f t="shared" si="5"/>
        <v>2025 Elite Canada</v>
      </c>
      <c r="T18" s="8">
        <f>IF(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&gt;0,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,0)</f>
        <v>16.41</v>
      </c>
      <c r="U18" s="8" t="str">
        <f t="shared" si="6"/>
        <v>2025 Elite Canada</v>
      </c>
      <c r="V18" s="8" t="str">
        <f t="shared" si="7"/>
        <v/>
      </c>
      <c r="W18" s="11" t="str">
        <f t="shared" si="8"/>
        <v/>
      </c>
      <c r="X18" s="8" t="str">
        <f t="shared" si="9"/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 t="shared" si="10"/>
        <v/>
      </c>
      <c r="AP18" s="38" t="str">
        <f t="shared" si="11"/>
        <v/>
      </c>
      <c r="AQ18" s="40" t="str">
        <f t="shared" si="12"/>
        <v/>
      </c>
      <c r="AR18" s="40" t="str">
        <f t="shared" si="13"/>
        <v/>
      </c>
      <c r="AS18" s="40" t="str">
        <f t="shared" si="14"/>
        <v/>
      </c>
      <c r="AT18" s="40" t="str">
        <f t="shared" si="15"/>
        <v/>
      </c>
      <c r="AU18" s="40" t="str">
        <f t="shared" si="16"/>
        <v/>
      </c>
      <c r="AV18" s="40" t="str">
        <f t="shared" si="17"/>
        <v/>
      </c>
      <c r="AW18" s="40" t="str">
        <f t="shared" si="18"/>
        <v/>
      </c>
      <c r="AX18" s="40" t="str">
        <f t="shared" si="19"/>
        <v/>
      </c>
      <c r="AY18" s="40" t="str">
        <f t="shared" si="20"/>
        <v/>
      </c>
      <c r="AZ18" s="26">
        <v>11.3</v>
      </c>
      <c r="BA18" s="26">
        <v>9.5</v>
      </c>
      <c r="BB18" s="26">
        <v>14.5</v>
      </c>
      <c r="BC18" s="26">
        <v>15.67</v>
      </c>
      <c r="BD18" s="26">
        <v>0</v>
      </c>
      <c r="BE18" s="26">
        <v>8.3000000000000007</v>
      </c>
      <c r="BF18" s="26">
        <v>6.2</v>
      </c>
      <c r="BG18" s="26">
        <v>10.4</v>
      </c>
      <c r="BH18" s="26">
        <v>11.31</v>
      </c>
      <c r="BI18" s="26">
        <v>0</v>
      </c>
      <c r="BJ18" s="26">
        <v>12.9</v>
      </c>
      <c r="BK18" s="26">
        <v>9.6999999999999993</v>
      </c>
      <c r="BL18" s="26">
        <v>14.9</v>
      </c>
      <c r="BM18" s="26">
        <v>16.41</v>
      </c>
      <c r="BN18" s="26">
        <v>0</v>
      </c>
      <c r="BO18" s="28"/>
      <c r="BP18" s="39">
        <f t="shared" si="21"/>
        <v>14.5</v>
      </c>
      <c r="BQ18" s="39">
        <f t="shared" si="22"/>
        <v>15.67</v>
      </c>
      <c r="BR18" s="11">
        <f t="shared" si="23"/>
        <v>50.97</v>
      </c>
      <c r="BS18" s="11">
        <f t="shared" si="24"/>
        <v>10.4</v>
      </c>
      <c r="BT18" s="11">
        <f t="shared" si="25"/>
        <v>11.31</v>
      </c>
      <c r="BU18" s="11">
        <f t="shared" si="26"/>
        <v>36.21</v>
      </c>
      <c r="BV18" s="11">
        <f t="shared" si="27"/>
        <v>50.97</v>
      </c>
      <c r="BW18" s="11">
        <f t="shared" si="28"/>
        <v>14.9</v>
      </c>
      <c r="BX18" s="11">
        <f t="shared" si="29"/>
        <v>16.41</v>
      </c>
      <c r="BY18" s="11">
        <f t="shared" si="30"/>
        <v>53.91</v>
      </c>
      <c r="BZ18" s="11">
        <f t="shared" si="31"/>
        <v>104.88</v>
      </c>
      <c r="CA18" s="22">
        <v>2.6</v>
      </c>
      <c r="CB18" s="22">
        <v>1.8</v>
      </c>
      <c r="CC18" s="22">
        <v>3.3</v>
      </c>
      <c r="CD18" s="22">
        <v>3.4</v>
      </c>
      <c r="CE18" s="22">
        <v>0</v>
      </c>
      <c r="CF18" s="22">
        <v>7.9</v>
      </c>
      <c r="CG18" s="22">
        <v>6.5</v>
      </c>
      <c r="CH18" s="22">
        <v>10.6</v>
      </c>
      <c r="CI18" s="22">
        <v>11.15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2"/>
        <v>3.3</v>
      </c>
      <c r="CR18" s="38">
        <f t="shared" si="33"/>
        <v>3.4</v>
      </c>
      <c r="CS18" s="40">
        <f t="shared" si="34"/>
        <v>11.1</v>
      </c>
      <c r="CT18" s="40">
        <f t="shared" si="35"/>
        <v>10.6</v>
      </c>
      <c r="CU18" s="40">
        <f t="shared" si="36"/>
        <v>11.15</v>
      </c>
      <c r="CV18" s="40">
        <f t="shared" si="37"/>
        <v>36.15</v>
      </c>
      <c r="CW18" s="40">
        <f t="shared" si="38"/>
        <v>36.15</v>
      </c>
      <c r="CX18" s="40" t="str">
        <f t="shared" si="39"/>
        <v/>
      </c>
      <c r="CY18" s="40" t="str">
        <f t="shared" si="40"/>
        <v/>
      </c>
      <c r="CZ18" s="40" t="str">
        <f t="shared" si="41"/>
        <v/>
      </c>
      <c r="DA18" s="40">
        <f t="shared" si="42"/>
        <v>36.15</v>
      </c>
      <c r="DB18" s="50" t="str">
        <f t="shared" si="43"/>
        <v/>
      </c>
      <c r="DC18" s="50" t="str">
        <f t="shared" si="44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45"/>
        <v/>
      </c>
      <c r="DY18" s="40" t="str">
        <f t="shared" si="46"/>
        <v/>
      </c>
      <c r="DZ18" s="40" t="str">
        <f t="shared" si="47"/>
        <v/>
      </c>
      <c r="EA18" s="40" t="str">
        <f t="shared" si="48"/>
        <v/>
      </c>
      <c r="EB18" s="40" t="str">
        <f t="shared" si="49"/>
        <v/>
      </c>
      <c r="EC18" s="40" t="str">
        <f t="shared" si="50"/>
        <v/>
      </c>
      <c r="ED18" s="40" t="str">
        <f t="shared" si="51"/>
        <v/>
      </c>
      <c r="EE18" s="40" t="str">
        <f t="shared" si="52"/>
        <v/>
      </c>
      <c r="EF18" s="40" t="str">
        <f t="shared" si="53"/>
        <v/>
      </c>
      <c r="EG18" s="40" t="str">
        <f t="shared" si="54"/>
        <v/>
      </c>
      <c r="EH18" s="40" t="str">
        <f t="shared" si="55"/>
        <v/>
      </c>
      <c r="EI18" s="40" t="str">
        <f t="shared" si="56"/>
        <v/>
      </c>
      <c r="EJ18" s="40" t="str">
        <f t="shared" si="57"/>
        <v/>
      </c>
      <c r="EK18" s="40" t="str">
        <f t="shared" si="58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59"/>
        <v/>
      </c>
      <c r="FG18" s="11" t="str">
        <f t="shared" si="60"/>
        <v/>
      </c>
      <c r="FH18" s="11" t="str">
        <f t="shared" si="61"/>
        <v/>
      </c>
      <c r="FI18" s="11" t="str">
        <f t="shared" si="62"/>
        <v/>
      </c>
      <c r="FJ18" s="11" t="str">
        <f t="shared" si="63"/>
        <v/>
      </c>
      <c r="FK18" s="11" t="str">
        <f t="shared" si="64"/>
        <v/>
      </c>
      <c r="FL18" s="11" t="str">
        <f t="shared" si="65"/>
        <v/>
      </c>
      <c r="FM18" s="11" t="str">
        <f t="shared" si="66"/>
        <v/>
      </c>
      <c r="FN18" s="11" t="str">
        <f t="shared" si="67"/>
        <v/>
      </c>
      <c r="FO18" s="11" t="str">
        <f t="shared" si="68"/>
        <v/>
      </c>
      <c r="FP18" s="11" t="str">
        <f t="shared" si="69"/>
        <v/>
      </c>
      <c r="FQ18" s="11" t="str">
        <f t="shared" si="70"/>
        <v/>
      </c>
      <c r="FR18" s="11" t="str">
        <f t="shared" si="71"/>
        <v/>
      </c>
      <c r="FS18" s="11" t="str">
        <f t="shared" si="72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3"/>
        <v/>
      </c>
      <c r="GO18" s="40" t="str">
        <f t="shared" si="74"/>
        <v/>
      </c>
      <c r="GP18" s="40" t="str">
        <f t="shared" si="75"/>
        <v/>
      </c>
      <c r="GQ18" s="40" t="str">
        <f t="shared" si="76"/>
        <v/>
      </c>
      <c r="GR18" s="40" t="str">
        <f t="shared" si="77"/>
        <v/>
      </c>
      <c r="GS18" s="40" t="str">
        <f t="shared" si="78"/>
        <v/>
      </c>
      <c r="GT18" s="40" t="str">
        <f t="shared" si="79"/>
        <v/>
      </c>
      <c r="GU18" s="40" t="str">
        <f t="shared" si="80"/>
        <v/>
      </c>
      <c r="GV18" s="40" t="str">
        <f t="shared" si="81"/>
        <v/>
      </c>
      <c r="GW18" s="40" t="str">
        <f t="shared" si="82"/>
        <v/>
      </c>
      <c r="GX18" s="40" t="str">
        <f t="shared" si="83"/>
        <v/>
      </c>
      <c r="GY18" s="40" t="str">
        <f t="shared" si="84"/>
        <v/>
      </c>
      <c r="GZ18" s="40" t="str">
        <f t="shared" si="85"/>
        <v/>
      </c>
      <c r="HA18" s="40" t="str">
        <f t="shared" si="86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87"/>
        <v/>
      </c>
      <c r="HW18" s="11" t="str">
        <f t="shared" si="88"/>
        <v/>
      </c>
      <c r="HX18" s="11" t="str">
        <f t="shared" si="89"/>
        <v/>
      </c>
      <c r="HY18" s="11" t="str">
        <f t="shared" si="90"/>
        <v/>
      </c>
      <c r="HZ18" s="11" t="str">
        <f t="shared" si="91"/>
        <v/>
      </c>
      <c r="IA18" s="11" t="str">
        <f t="shared" si="92"/>
        <v/>
      </c>
      <c r="IB18" s="11" t="str">
        <f t="shared" si="93"/>
        <v/>
      </c>
      <c r="IC18" s="11" t="str">
        <f t="shared" si="94"/>
        <v/>
      </c>
      <c r="ID18" s="11" t="str">
        <f t="shared" si="95"/>
        <v/>
      </c>
      <c r="IE18" s="11" t="str">
        <f t="shared" si="96"/>
        <v/>
      </c>
      <c r="IF18" s="11" t="str">
        <f t="shared" si="97"/>
        <v/>
      </c>
      <c r="IG18" s="11" t="str">
        <f t="shared" si="98"/>
        <v/>
      </c>
      <c r="IH18" s="11" t="str">
        <f t="shared" si="99"/>
        <v/>
      </c>
      <c r="II18" s="11" t="str">
        <f t="shared" si="100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1"/>
        <v/>
      </c>
      <c r="JE18" s="40" t="str">
        <f t="shared" si="102"/>
        <v/>
      </c>
      <c r="JF18" s="40" t="str">
        <f t="shared" si="103"/>
        <v/>
      </c>
      <c r="JG18" s="40" t="str">
        <f t="shared" si="104"/>
        <v/>
      </c>
      <c r="JH18" s="40" t="str">
        <f t="shared" si="105"/>
        <v/>
      </c>
      <c r="JI18" s="40" t="str">
        <f t="shared" si="106"/>
        <v/>
      </c>
      <c r="JJ18" s="40" t="str">
        <f t="shared" si="107"/>
        <v/>
      </c>
      <c r="JK18" s="40" t="str">
        <f t="shared" si="108"/>
        <v/>
      </c>
      <c r="JL18" s="40" t="str">
        <f t="shared" si="109"/>
        <v/>
      </c>
      <c r="JM18" s="40" t="str">
        <f t="shared" si="110"/>
        <v/>
      </c>
      <c r="JN18" s="40" t="str">
        <f t="shared" si="111"/>
        <v/>
      </c>
      <c r="JO18" s="40" t="str">
        <f t="shared" si="112"/>
        <v/>
      </c>
      <c r="JP18" s="40" t="str">
        <f t="shared" si="113"/>
        <v/>
      </c>
      <c r="JQ18" s="40" t="str">
        <f t="shared" si="114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15"/>
        <v/>
      </c>
      <c r="KM18" s="11" t="str">
        <f t="shared" si="116"/>
        <v/>
      </c>
      <c r="KN18" s="11" t="str">
        <f t="shared" si="117"/>
        <v/>
      </c>
      <c r="KO18" s="11" t="str">
        <f t="shared" si="118"/>
        <v/>
      </c>
      <c r="KP18" s="11" t="str">
        <f t="shared" si="119"/>
        <v/>
      </c>
      <c r="KQ18" s="11" t="str">
        <f t="shared" si="120"/>
        <v/>
      </c>
      <c r="KR18" s="11" t="str">
        <f t="shared" si="121"/>
        <v/>
      </c>
      <c r="KS18" s="11" t="str">
        <f t="shared" si="122"/>
        <v/>
      </c>
      <c r="KT18" s="11" t="str">
        <f t="shared" si="123"/>
        <v/>
      </c>
      <c r="KU18" s="11" t="str">
        <f t="shared" si="124"/>
        <v/>
      </c>
      <c r="KV18" s="11" t="str">
        <f t="shared" si="125"/>
        <v/>
      </c>
      <c r="KW18" s="11" t="str">
        <f t="shared" si="126"/>
        <v/>
      </c>
      <c r="KX18" s="11" t="str">
        <f t="shared" si="127"/>
        <v/>
      </c>
      <c r="KY18" s="11" t="str">
        <f t="shared" si="128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29"/>
        <v/>
      </c>
      <c r="LU18" s="40" t="str">
        <f t="shared" si="130"/>
        <v/>
      </c>
      <c r="LV18" s="40" t="str">
        <f t="shared" si="131"/>
        <v/>
      </c>
      <c r="LW18" s="40" t="str">
        <f t="shared" si="132"/>
        <v/>
      </c>
      <c r="LX18" s="40" t="str">
        <f t="shared" si="133"/>
        <v/>
      </c>
      <c r="LY18" s="40" t="str">
        <f t="shared" si="134"/>
        <v/>
      </c>
      <c r="LZ18" s="40" t="str">
        <f t="shared" si="135"/>
        <v/>
      </c>
      <c r="MA18" s="40" t="str">
        <f t="shared" si="136"/>
        <v/>
      </c>
      <c r="MB18" s="40" t="str">
        <f t="shared" si="137"/>
        <v/>
      </c>
      <c r="MC18" s="40" t="str">
        <f t="shared" si="138"/>
        <v/>
      </c>
      <c r="MD18" s="40" t="str">
        <f t="shared" si="139"/>
        <v/>
      </c>
      <c r="ME18" s="40" t="str">
        <f t="shared" si="140"/>
        <v/>
      </c>
      <c r="MF18" s="40" t="str">
        <f t="shared" si="141"/>
        <v/>
      </c>
      <c r="MG18" s="40" t="str">
        <f t="shared" si="142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3"/>
        <v/>
      </c>
      <c r="NC18" s="11" t="str">
        <f t="shared" si="144"/>
        <v/>
      </c>
      <c r="ND18" s="11" t="str">
        <f t="shared" si="145"/>
        <v/>
      </c>
      <c r="NE18" s="11" t="str">
        <f t="shared" si="146"/>
        <v/>
      </c>
      <c r="NF18" s="11" t="str">
        <f t="shared" si="147"/>
        <v/>
      </c>
      <c r="NG18" s="11" t="str">
        <f t="shared" si="148"/>
        <v/>
      </c>
      <c r="NH18" s="11" t="str">
        <f t="shared" si="149"/>
        <v/>
      </c>
      <c r="NI18" s="11" t="str">
        <f t="shared" si="150"/>
        <v/>
      </c>
      <c r="NJ18" s="11" t="str">
        <f t="shared" si="151"/>
        <v/>
      </c>
      <c r="NK18" s="11" t="str">
        <f t="shared" si="152"/>
        <v/>
      </c>
      <c r="NL18" s="11" t="str">
        <f t="shared" si="153"/>
        <v/>
      </c>
      <c r="NM18" s="11" t="str">
        <f t="shared" si="154"/>
        <v/>
      </c>
      <c r="NN18" s="11" t="str">
        <f t="shared" si="155"/>
        <v/>
      </c>
      <c r="NO18" s="11" t="str">
        <f t="shared" si="156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57"/>
        <v/>
      </c>
      <c r="OK18" s="40" t="str">
        <f t="shared" si="158"/>
        <v/>
      </c>
      <c r="OL18" s="40" t="str">
        <f t="shared" si="159"/>
        <v/>
      </c>
      <c r="OM18" s="40" t="str">
        <f t="shared" si="160"/>
        <v/>
      </c>
      <c r="ON18" s="40" t="str">
        <f t="shared" si="161"/>
        <v/>
      </c>
      <c r="OO18" s="40" t="str">
        <f t="shared" si="162"/>
        <v/>
      </c>
      <c r="OP18" s="40" t="str">
        <f t="shared" si="163"/>
        <v/>
      </c>
      <c r="OQ18" s="40" t="str">
        <f t="shared" si="164"/>
        <v/>
      </c>
      <c r="OR18" s="40" t="str">
        <f t="shared" si="165"/>
        <v/>
      </c>
      <c r="OS18" s="40" t="str">
        <f t="shared" si="166"/>
        <v/>
      </c>
      <c r="OT18" s="40" t="str">
        <f t="shared" si="167"/>
        <v/>
      </c>
      <c r="OU18" s="40" t="str">
        <f t="shared" si="168"/>
        <v/>
      </c>
      <c r="OV18" s="40" t="str">
        <f t="shared" si="169"/>
        <v/>
      </c>
      <c r="OW18" s="40" t="str">
        <f t="shared" si="170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1"/>
        <v/>
      </c>
      <c r="PS18" s="11" t="str">
        <f t="shared" si="172"/>
        <v/>
      </c>
      <c r="PT18" s="11" t="str">
        <f t="shared" si="173"/>
        <v/>
      </c>
      <c r="PU18" s="11" t="str">
        <f t="shared" si="174"/>
        <v/>
      </c>
      <c r="PV18" s="11" t="str">
        <f t="shared" si="175"/>
        <v/>
      </c>
      <c r="PW18" s="11" t="str">
        <f t="shared" si="176"/>
        <v/>
      </c>
      <c r="PX18" s="11" t="str">
        <f t="shared" si="177"/>
        <v/>
      </c>
      <c r="PY18" s="11" t="str">
        <f t="shared" si="178"/>
        <v/>
      </c>
      <c r="PZ18" s="11" t="str">
        <f t="shared" si="179"/>
        <v/>
      </c>
      <c r="QA18" s="11" t="str">
        <f t="shared" si="180"/>
        <v/>
      </c>
      <c r="QB18" s="11" t="str">
        <f t="shared" si="181"/>
        <v/>
      </c>
      <c r="QC18" s="11" t="str">
        <f t="shared" si="182"/>
        <v/>
      </c>
      <c r="QD18" s="11" t="str">
        <f t="shared" si="183"/>
        <v/>
      </c>
      <c r="QE18" s="11" t="str">
        <f t="shared" si="184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85"/>
        <v/>
      </c>
      <c r="RA18" s="40" t="str">
        <f t="shared" si="186"/>
        <v/>
      </c>
      <c r="RB18" s="40" t="str">
        <f t="shared" si="187"/>
        <v/>
      </c>
      <c r="RC18" s="40" t="str">
        <f t="shared" si="188"/>
        <v/>
      </c>
      <c r="RD18" s="40" t="str">
        <f t="shared" si="189"/>
        <v/>
      </c>
      <c r="RE18" s="40" t="str">
        <f t="shared" si="190"/>
        <v/>
      </c>
      <c r="RF18" s="40" t="str">
        <f t="shared" si="191"/>
        <v/>
      </c>
      <c r="RG18" s="40" t="str">
        <f t="shared" si="192"/>
        <v/>
      </c>
      <c r="RH18" s="40" t="str">
        <f t="shared" si="193"/>
        <v/>
      </c>
      <c r="RI18" s="40" t="str">
        <f t="shared" si="194"/>
        <v/>
      </c>
      <c r="RJ18" s="40" t="str">
        <f t="shared" si="195"/>
        <v/>
      </c>
      <c r="RK18" s="40" t="str">
        <f t="shared" si="196"/>
        <v/>
      </c>
      <c r="RL18" s="40" t="str">
        <f t="shared" si="197"/>
        <v/>
      </c>
      <c r="RM18" s="40" t="str">
        <f t="shared" si="198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199"/>
        <v/>
      </c>
      <c r="SI18" s="11" t="str">
        <f t="shared" si="200"/>
        <v/>
      </c>
      <c r="SJ18" s="11" t="str">
        <f t="shared" si="201"/>
        <v/>
      </c>
      <c r="SK18" s="11" t="str">
        <f t="shared" si="202"/>
        <v/>
      </c>
      <c r="SL18" s="11" t="str">
        <f t="shared" si="203"/>
        <v/>
      </c>
      <c r="SM18" s="11" t="str">
        <f t="shared" si="204"/>
        <v/>
      </c>
      <c r="SN18" s="11" t="str">
        <f t="shared" si="205"/>
        <v/>
      </c>
      <c r="SO18" s="11" t="str">
        <f t="shared" si="206"/>
        <v/>
      </c>
      <c r="SP18" s="11" t="str">
        <f t="shared" si="207"/>
        <v/>
      </c>
      <c r="SQ18" s="11" t="str">
        <f t="shared" si="208"/>
        <v/>
      </c>
      <c r="SR18" s="11" t="str">
        <f t="shared" si="209"/>
        <v/>
      </c>
      <c r="SS18" s="11" t="str">
        <f t="shared" si="210"/>
        <v/>
      </c>
      <c r="ST18" s="11" t="str">
        <f t="shared" si="211"/>
        <v/>
      </c>
      <c r="SU18" s="11" t="str">
        <f t="shared" si="212"/>
        <v/>
      </c>
      <c r="SV18" s="22">
        <f t="shared" si="213"/>
        <v>6.95</v>
      </c>
      <c r="SW18" s="22">
        <f t="shared" si="214"/>
        <v>5.65</v>
      </c>
      <c r="SX18" s="22">
        <f t="shared" si="215"/>
        <v>8.9</v>
      </c>
      <c r="SY18" s="22">
        <f t="shared" si="216"/>
        <v>9.5350000000000001</v>
      </c>
      <c r="SZ18" s="22">
        <f t="shared" si="217"/>
        <v>0</v>
      </c>
      <c r="TA18" s="22">
        <f t="shared" si="218"/>
        <v>8.1000000000000014</v>
      </c>
      <c r="TB18" s="22">
        <f t="shared" si="219"/>
        <v>6.35</v>
      </c>
      <c r="TC18" s="22">
        <f t="shared" si="220"/>
        <v>10.5</v>
      </c>
      <c r="TD18" s="22">
        <f t="shared" si="221"/>
        <v>11.23</v>
      </c>
      <c r="TE18" s="22">
        <f t="shared" si="222"/>
        <v>0</v>
      </c>
      <c r="TF18" s="22">
        <f t="shared" si="223"/>
        <v>6.45</v>
      </c>
      <c r="TG18" s="22">
        <f t="shared" si="224"/>
        <v>4.8499999999999996</v>
      </c>
      <c r="TH18" s="22">
        <f t="shared" si="225"/>
        <v>7.45</v>
      </c>
      <c r="TI18" s="22">
        <f t="shared" si="226"/>
        <v>8.2050000000000001</v>
      </c>
      <c r="TJ18" s="22">
        <f t="shared" si="227"/>
        <v>0</v>
      </c>
      <c r="TK18" s="27" t="s">
        <v>46</v>
      </c>
      <c r="TL18" s="40">
        <f t="shared" si="228"/>
        <v>8.9</v>
      </c>
      <c r="TM18" s="40">
        <f t="shared" si="229"/>
        <v>9.5350000000000001</v>
      </c>
      <c r="TN18" s="40">
        <f t="shared" si="230"/>
        <v>31.035</v>
      </c>
      <c r="TO18" s="40">
        <f t="shared" si="231"/>
        <v>10.5</v>
      </c>
      <c r="TP18" s="40">
        <f t="shared" si="232"/>
        <v>11.23</v>
      </c>
      <c r="TQ18" s="40">
        <f t="shared" si="233"/>
        <v>36.180000000000007</v>
      </c>
      <c r="TR18" s="40">
        <f t="shared" si="234"/>
        <v>36.180000000000007</v>
      </c>
      <c r="TS18" s="40">
        <f t="shared" si="235"/>
        <v>7.45</v>
      </c>
      <c r="TT18" s="40">
        <f t="shared" si="236"/>
        <v>8.2050000000000001</v>
      </c>
      <c r="TU18" s="40">
        <f t="shared" si="237"/>
        <v>26.954999999999998</v>
      </c>
      <c r="TV18" s="40">
        <f t="shared" si="238"/>
        <v>63.135000000000005</v>
      </c>
    </row>
    <row r="19" spans="1:542" x14ac:dyDescent="0.2">
      <c r="A19" s="4" t="str" cm="1">
        <f t="array" ref="A19">IF(AND(J19&lt;&gt;"",J19&lt;&gt;"No DD"),SUMPRODUCT((J$4:J$28&lt;&gt;"")*(J$4:J$28&lt;&gt;"No DD")*(F$4:F$28&gt;F19))+1,IF(J19="No DD",SUMPRODUCT((J$4:J$28="No DD")*(F$4:F$28&gt;F19))+1+SUMPRODUCT((J$4:J$28&lt;&gt;"")*(J$4:J$28&lt;&gt;"No DD")),""))</f>
        <v/>
      </c>
      <c r="B19" s="4" t="str" cm="1">
        <f t="array" ref="B19">IF(AND(J19&lt;&gt;"",J19&lt;&gt;"No DD",G19=""),SUMPRODUCT((J$4:J$28&lt;&gt;"")*(J$4:J$28&lt;&gt;"No DD")*(G$4:G$28="")*(F$4:F$28&gt;F19))+1,IF(J19="No DD",SUMPRODUCT((J$4:J$28="No DD")*(F$4:F$28&gt;F19)*(G$4:G$28=""))+1+SUMPRODUCT((J$4:J$28&lt;&gt;"")*(G$4:G$28="")*(J$4:J$28&lt;&gt;"No DD")),""))</f>
        <v/>
      </c>
      <c r="C19" s="5" t="s">
        <v>138</v>
      </c>
      <c r="D19" s="4" t="s">
        <v>5</v>
      </c>
      <c r="E19" s="4">
        <v>2007</v>
      </c>
      <c r="F19" s="9">
        <f t="shared" si="0"/>
        <v>163.01501630150509</v>
      </c>
      <c r="G19" s="64"/>
      <c r="H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P","")</f>
        <v/>
      </c>
      <c r="I19" s="3" t="str">
        <f>IF(OR(AND(AQ19&gt;=AY$34,AQ19&lt;&gt;"",AN19=""),AND(AT19&gt;=AY$34,AT19&lt;&gt;"",AN19=""),AND(AX19&gt;=AY$34,AX19&lt;&gt;"",AN19=""),AND(BR19&gt;=BZ$34,BR19&lt;&gt;"",BO19=""),AND(BU19&gt;=BZ$34,BU19&lt;&gt;"",BO19=""),AND(BY19&gt;=BZ$34,BY19&lt;&gt;"",BO19=""),AND(CS19&gt;=DA$34,CS19&lt;&gt;"",CP19=""),AND(CV19&gt;=DA$34,CV19&lt;&gt;"",CP19=""),AND(CZ19&gt;=DA$34,CZ19&lt;&gt;"",CP19=""),AND(DZ19&gt;=EK$34,DZ19&lt;&gt;""),AND(EC19&gt;=EK$34,EC19&lt;&gt;""),AND(EG19&gt;=EK$34,EG19&lt;&gt;""),AND(EJ19&gt;=EK$34,EJ19&lt;&gt;""),AND(FH19&gt;=FS$34,FH19&lt;&gt;""),AND(FK19&gt;=FS$34,FK19&lt;&gt;""),AND(FO19&gt;=FS$34,FO19&lt;&gt;""),AND(FR19&gt;=FS$34,FR19&lt;&gt;""),AND(GP19&gt;=HA$34,GP19&lt;&gt;""),AND(GS19&gt;=HA$34,GS19&lt;&gt;""),AND(GW19&gt;=HA$34,GW19&lt;&gt;""),AND(GZ19&gt;=HA$34,GZ19&lt;&gt;""),AND(HX19&gt;=II$34,HX19&lt;&gt;""),AND(IA19&gt;=II$34,IA19&lt;&gt;""),AND(IE19&gt;=II$34,IE19&lt;&gt;""),AND(IH19&gt;=II$34,IH19&lt;&gt;""),AND(JF19&gt;=JQ$34,JF19&lt;&gt;""),AND(JI19&gt;=JQ$34,JI19&lt;&gt;""),AND(JM19&gt;=JQ$34,JM19&lt;&gt;""),AND(JP19&gt;=JQ$34,JP19&lt;&gt;""),AND(KN19&gt;=KY$34,KN19&lt;&gt;""),AND(KQ19&gt;=KY$34,KQ19&lt;&gt;""),AND(KU19&gt;=KY$34,KU19&lt;&gt;""),AND(KX19&gt;=KY$34,KX19&lt;&gt;""),AND(LV19&gt;=MG$34,LV19&lt;&gt;""),AND(LY19&gt;=MG$34,LY19&lt;&gt;""),AND(MC19&gt;=MG$34,MC19&lt;&gt;""),AND(MF19&gt;=MG$34,MF19&lt;&gt;""),AND(ND19&gt;=NO$34,ND19&lt;&gt;""),AND(NG19&gt;=NO$34,NG19&lt;&gt;""),AND(NK19&gt;=NO$34,NK19&lt;&gt;""),AND(NN19&gt;=NO$34,NN19&lt;&gt;""),AND(OL19&gt;=OW$34,OL19&lt;&gt;""),AND(OO19&gt;=OW$34,OO19&lt;&gt;""),AND(OS19&gt;=OW$34,OS19&lt;&gt;""),AND(OV19&gt;=OW$34,OV19&lt;&gt;""),AND(PT19&gt;=QE$34,PT19&lt;&gt;""),AND(PW19&gt;=QE$34,PW19&lt;&gt;""),AND(QA19&gt;=QE$34,QA19&lt;&gt;""),AND(QD19&gt;=QE$34,QD19&lt;&gt;""),AND(RB19&gt;=RM$34,RB19&lt;&gt;""),AND(RE19&gt;=RM$34,RE19&lt;&gt;""),AND(RI19&gt;=RM$34,RI19&lt;&gt;""),AND(RL19&gt;=RM$34,RL19&lt;&gt;""),AND(SJ19&gt;=SU$34,SJ19&lt;&gt;""),AND(SM19&gt;=SU$34,SM19&lt;&gt;""),AND(SQ19&gt;=SU$34,SQ19&lt;&gt;""),AND(ST19&gt;=SU$34,ST19&lt;&gt;"")),"P","")</f>
        <v/>
      </c>
      <c r="J19" s="36" t="str">
        <f>IF(AND(I19="P",H19=""),"No DD",IF(OR(AND(AO19&gt;=AY$33,AO19&lt;&gt;"",AQ19&gt;=AY$37,AQ19&lt;&gt;"",AN19=""),AND(AR19&gt;=AY$33,AR19&lt;&gt;"",AT19&gt;=AY$37,AT19&lt;&gt;"",AN19=""),AND(AV19&gt;=AY$33,AV19&lt;&gt;"",AX19&gt;=AY$37,AX19&lt;&gt;"",AN19=""),AND(BP19&gt;=BZ$33,BP19&lt;&gt;"",BR19&gt;=BZ$37,BR19&lt;&gt;"",BO19=""),AND(BS19&gt;=BZ$33,BS19&lt;&gt;"",BU19&gt;=BZ$37,BU19&lt;&gt;"",BO19=""),AND(BW19&gt;=BZ$33,BW19&lt;&gt;"",BY19&gt;=BZ$37,BY19&lt;&gt;"",BO19=""),AND(CQ19&gt;=DA$33,CQ19&lt;&gt;"",CS19&gt;=DA$37,CS19&lt;&gt;"",CP19=""),AND(CT19&gt;=DA$33,CT19&lt;&gt;"",CV19&gt;=DA$37,CV19&lt;&gt;"",CP19=""),AND(CX19&gt;=DA$33,CX19&lt;&gt;"",CZ19&gt;=DA$37,CZ19&lt;&gt;"",CP19=""),AND(DX19&gt;=EK$33,DX19&lt;&gt;"",DZ19&gt;=EK$37,DZ19&lt;&gt;""),AND(EA19&gt;=EK$33,EA19&lt;&gt;"",EC19&gt;=EK$37,EC19&lt;&gt;""),AND(EE19&gt;=EK$33,EE19&lt;&gt;"",EG19&gt;=EK$37,EG19&lt;&gt;""),AND(EH19&gt;=EK$33,EH19&lt;&gt;"",EJ19&gt;=EK$37,EJ19&lt;&gt;""),AND(FF19&gt;=FS$33,FF19&lt;&gt;"",FH19&gt;=FS$37,FH19&lt;&gt;""),AND(FI19&gt;=FS$33,FI19&lt;&gt;"",FK19&gt;=FS$37,FK19&lt;&gt;""),AND(FM19&gt;=FS$33,FM19&lt;&gt;"",FO19&gt;=FS$37,FO19&lt;&gt;""),AND(FP19&gt;=FS$33,FP19&lt;&gt;"",FR19&gt;=FS$37,FR19&lt;&gt;""),AND(GN19&gt;=HA$33,GN19&lt;&gt;"",GP19&gt;=HA$37,GP19&lt;&gt;""),AND(GQ19&gt;=HA$33,GQ19&lt;&gt;"",GS19&gt;=HA$37,GS19&lt;&gt;""),AND(GU19&gt;=HA$33,GU19&lt;&gt;"",GW19&gt;=HA$37,GW19&lt;&gt;""),AND(GX19&gt;=HA$33,GX19&lt;&gt;"",GZ19&gt;=HA$37,GZ19&lt;&gt;""),AND(HV19&gt;=II$33,HV19&lt;&gt;"",HX19&gt;=II$37,HX19&lt;&gt;""),AND(HY19&gt;=II$33,HY19&lt;&gt;"",IA19&gt;=II$37,IA19&lt;&gt;""),AND(IC19&gt;=II$33,IC19&lt;&gt;"",IE19&gt;=II$37,IE19&lt;&gt;""),AND(IF19&gt;=II$33,IF19&lt;&gt;"",IH19&gt;=II$37,IH19&lt;&gt;""),AND(JD19&gt;=JQ$33,JD19&lt;&gt;"",JF19&gt;=JQ$37,JF19&lt;&gt;""),AND(JG19&gt;=JQ$33,JG19&lt;&gt;"",JI19&gt;=JQ$37,JI19&lt;&gt;""),AND(JK19&gt;=JQ$33,JK19&lt;&gt;"",JM19&gt;=JQ$37,JM19&lt;&gt;""),AND(JN19&gt;=JQ$33,JN19&lt;&gt;"",JP19&gt;=JQ$37,JP19&lt;&gt;""),AND(KL19&gt;=KY$33,KL19&lt;&gt;"",KN19&gt;=KY$37,KN19&lt;&gt;""),AND(KO19&gt;=KY$33,KO19&lt;&gt;"",KQ19&gt;=KY$37,KQ19&lt;&gt;""),AND(KS19&gt;=KY$33,KS19&lt;&gt;"",KU19&gt;=KY$37,KU19&lt;&gt;""),AND(KV19&gt;=KY$33,KV19&lt;&gt;"",KX19&gt;=KY$37,KX19&lt;&gt;""),AND(LT19&gt;=MG$33,LT19&lt;&gt;"",LV19&gt;=MG$37,LV19&lt;&gt;""),AND(LW19&gt;=MG$33,LW19&lt;&gt;"",LY19&gt;=MG$37,LY19&lt;&gt;""),AND(MA19&gt;=MG$33,MA19&lt;&gt;"",MC19&gt;=MG$37,MC19&lt;&gt;""),AND(MD19&gt;=MG$33,MD19&lt;&gt;"",MF19&gt;=MG$37,MF19&lt;&gt;""),AND(NB19&gt;=NO$33,NB19&lt;&gt;"",ND19&gt;=NO$37,ND19&lt;&gt;""),AND(NE19&gt;=NO$33,NE19&lt;&gt;"",NG19&gt;=NO$37,NG19&lt;&gt;""),AND(NI19&gt;=NO$33,NI19&lt;&gt;"",NK19&gt;=NO$37,NK19&lt;&gt;""),AND(NL19&gt;=NO$33,NL19&lt;&gt;"",NN19&gt;=NO$37,NN19&lt;&gt;""),AND(OJ19&gt;=OW$33,OJ19&lt;&gt;"",OL19&gt;=OW$37,OL19&lt;&gt;""),AND(OM19&gt;=OW$33,OM19&lt;&gt;"",OO19&gt;=OW$37,OO19&lt;&gt;""),AND(OQ19&gt;=OW$33,OQ19&lt;&gt;"",OS19&gt;=OW$37,OS19&lt;&gt;""),AND(OT19&gt;=OW$33,OT19&lt;&gt;"",OV19&gt;=OW$37,OV19&lt;&gt;""),AND(PR19&gt;=QE$33,PR19&lt;&gt;"",PT19&gt;=QE$37,PT19&lt;&gt;""),AND(PU19&gt;=QE$33,PU19&lt;&gt;"",PW19&gt;=QE$37,PW19&lt;&gt;""),AND(PY19&gt;=QE$33,PY19&lt;&gt;"",QA19&gt;=QE$37,QA19&lt;&gt;""),AND(QB19&gt;=QE$33,QB19&lt;&gt;"",QD19&gt;=QE$37,QD19&lt;&gt;""),AND(QZ19&gt;=RM$33,QZ19&lt;&gt;"",RB19&gt;=RM$37,RB19&lt;&gt;""),AND(RC19&gt;=RM$33,RC19&lt;&gt;"",RE19&gt;=RM$37,RE19&lt;&gt;""),AND(RG19&gt;=RM$33,RG19&lt;&gt;"",RI19&gt;=RM$37,RI19&lt;&gt;""),AND(RJ19&gt;=RM$33,RJ19&lt;&gt;"",RL19&gt;=RM$37,RL19&lt;&gt;""),AND(SH19&gt;=SU$33,SH19&lt;&gt;"",SJ19&gt;=SU$37,SJ19&lt;&gt;""),AND(SK19&gt;=SU$33,SK19&lt;&gt;"",SM19&gt;=SU$37,SM19&lt;&gt;""),AND(SO19&gt;=SU$33,SO19&lt;&gt;"",SQ19&gt;=SU$37,SQ19&lt;&gt;""),AND(SR19&gt;=SU$33,SR19&lt;&gt;"",ST19&gt;=SU$37,ST19&lt;&gt;"")),"Merit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),"Excellence",IF(K19="P","Worlds Team",IF(H19="P","National Team","")))))</f>
        <v/>
      </c>
      <c r="K19" s="3" t="str">
        <f>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P","")</f>
        <v/>
      </c>
      <c r="L19" s="8">
        <f>IF(COUNT(AQ19,AT19,BR19,BU19,CS19,CV19)&gt;0,LARGE((AQ19,AT19,BR19,BU19,CS19,CV19),1),0)</f>
        <v>50.75</v>
      </c>
      <c r="M19" s="8" t="str">
        <f t="shared" si="1"/>
        <v>2024 3rd Domestic Trial</v>
      </c>
      <c r="N19" s="8">
        <f>IF(COUNT(AQ19,AT19,BR19,BU19,CS19,CV19)&gt;1,LARGE((AQ19,AT19,BR19,BU19,CS19,CV19),2),0)</f>
        <v>49.954999999999998</v>
      </c>
      <c r="O19" s="8" t="str">
        <f t="shared" si="2"/>
        <v>2025 Elite Canada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 t="shared" si="3"/>
        <v>2024 3rd Domestic Trial</v>
      </c>
      <c r="R19" s="8">
        <f t="shared" si="4"/>
        <v>12</v>
      </c>
      <c r="S19" s="8" t="str">
        <f t="shared" si="5"/>
        <v>2024 3rd Domestic Trial</v>
      </c>
      <c r="T19" s="8">
        <f>IF(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&gt;0,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,0)</f>
        <v>0</v>
      </c>
      <c r="U19" s="8" t="str">
        <f t="shared" si="6"/>
        <v/>
      </c>
      <c r="V19" s="8" t="str">
        <f t="shared" si="7"/>
        <v/>
      </c>
      <c r="W19" s="11" t="str">
        <f t="shared" si="8"/>
        <v/>
      </c>
      <c r="X19" s="8" t="str">
        <f t="shared" si="9"/>
        <v/>
      </c>
      <c r="Y19" s="22">
        <v>13.7</v>
      </c>
      <c r="Z19" s="22">
        <v>9.1</v>
      </c>
      <c r="AA19" s="22">
        <v>11.8</v>
      </c>
      <c r="AB19" s="22">
        <v>14.5</v>
      </c>
      <c r="AC19" s="22">
        <v>0</v>
      </c>
      <c r="AD19" s="22">
        <v>14.5</v>
      </c>
      <c r="AE19" s="22">
        <v>9.3000000000000007</v>
      </c>
      <c r="AF19" s="22">
        <v>12</v>
      </c>
      <c r="AG19" s="22">
        <v>14.95</v>
      </c>
      <c r="AH19" s="22">
        <v>0</v>
      </c>
      <c r="AI19" s="22">
        <v>14.6</v>
      </c>
      <c r="AJ19" s="22">
        <v>9.4</v>
      </c>
      <c r="AK19" s="22">
        <v>11.4</v>
      </c>
      <c r="AL19" s="22">
        <v>14.91</v>
      </c>
      <c r="AM19" s="22">
        <v>0</v>
      </c>
      <c r="AN19" s="27"/>
      <c r="AO19" s="38">
        <f t="shared" si="10"/>
        <v>11.8</v>
      </c>
      <c r="AP19" s="38">
        <f t="shared" si="11"/>
        <v>14.5</v>
      </c>
      <c r="AQ19" s="40">
        <f t="shared" si="12"/>
        <v>49.099999999999994</v>
      </c>
      <c r="AR19" s="40">
        <f t="shared" si="13"/>
        <v>12</v>
      </c>
      <c r="AS19" s="40">
        <f t="shared" si="14"/>
        <v>14.95</v>
      </c>
      <c r="AT19" s="40">
        <f t="shared" si="15"/>
        <v>50.75</v>
      </c>
      <c r="AU19" s="40">
        <f t="shared" si="16"/>
        <v>50.75</v>
      </c>
      <c r="AV19" s="40">
        <f t="shared" si="17"/>
        <v>11.4</v>
      </c>
      <c r="AW19" s="40">
        <f t="shared" si="18"/>
        <v>14.91</v>
      </c>
      <c r="AX19" s="40">
        <f t="shared" si="19"/>
        <v>50.31</v>
      </c>
      <c r="AY19" s="40">
        <f t="shared" si="20"/>
        <v>101.06</v>
      </c>
      <c r="AZ19" s="26">
        <v>13.75</v>
      </c>
      <c r="BA19" s="26">
        <v>9.0500000000000007</v>
      </c>
      <c r="BB19" s="26">
        <v>11.65</v>
      </c>
      <c r="BC19" s="26">
        <v>14.015000000000001</v>
      </c>
      <c r="BD19" s="26">
        <v>0</v>
      </c>
      <c r="BE19" s="26">
        <v>14.45</v>
      </c>
      <c r="BF19" s="26">
        <v>9.3000000000000007</v>
      </c>
      <c r="BG19" s="26">
        <v>11.65</v>
      </c>
      <c r="BH19" s="26">
        <v>14.555</v>
      </c>
      <c r="BI19" s="26">
        <v>0</v>
      </c>
      <c r="BJ19" s="26">
        <v>7.3</v>
      </c>
      <c r="BK19" s="26">
        <v>4.7</v>
      </c>
      <c r="BL19" s="26">
        <v>5.7</v>
      </c>
      <c r="BM19" s="26">
        <v>7.4550000000000001</v>
      </c>
      <c r="BN19" s="26">
        <v>0</v>
      </c>
      <c r="BO19" s="28" t="s">
        <v>46</v>
      </c>
      <c r="BP19" s="39">
        <f t="shared" si="21"/>
        <v>11.65</v>
      </c>
      <c r="BQ19" s="39">
        <f t="shared" si="22"/>
        <v>14.015000000000001</v>
      </c>
      <c r="BR19" s="11">
        <f t="shared" si="23"/>
        <v>48.465000000000003</v>
      </c>
      <c r="BS19" s="11">
        <f t="shared" si="24"/>
        <v>11.65</v>
      </c>
      <c r="BT19" s="11">
        <f t="shared" si="25"/>
        <v>14.555</v>
      </c>
      <c r="BU19" s="11">
        <f t="shared" si="26"/>
        <v>49.954999999999998</v>
      </c>
      <c r="BV19" s="11">
        <f t="shared" si="27"/>
        <v>49.954999999999998</v>
      </c>
      <c r="BW19" s="11">
        <f t="shared" si="28"/>
        <v>5.7</v>
      </c>
      <c r="BX19" s="11">
        <f t="shared" si="29"/>
        <v>7.4550000000000001</v>
      </c>
      <c r="BY19" s="11">
        <f t="shared" si="30"/>
        <v>25.155000000000001</v>
      </c>
      <c r="BZ19" s="11">
        <f t="shared" si="31"/>
        <v>75.11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2"/>
        <v/>
      </c>
      <c r="CR19" s="38" t="str">
        <f t="shared" si="33"/>
        <v/>
      </c>
      <c r="CS19" s="40" t="str">
        <f t="shared" si="34"/>
        <v/>
      </c>
      <c r="CT19" s="40" t="str">
        <f t="shared" si="35"/>
        <v/>
      </c>
      <c r="CU19" s="40" t="str">
        <f t="shared" si="36"/>
        <v/>
      </c>
      <c r="CV19" s="40" t="str">
        <f t="shared" si="37"/>
        <v/>
      </c>
      <c r="CW19" s="40" t="str">
        <f t="shared" si="38"/>
        <v/>
      </c>
      <c r="CX19" s="40" t="str">
        <f t="shared" si="39"/>
        <v/>
      </c>
      <c r="CY19" s="40" t="str">
        <f t="shared" si="40"/>
        <v/>
      </c>
      <c r="CZ19" s="40" t="str">
        <f t="shared" si="41"/>
        <v/>
      </c>
      <c r="DA19" s="40" t="str">
        <f t="shared" si="42"/>
        <v/>
      </c>
      <c r="DB19" s="50" t="str">
        <f t="shared" si="43"/>
        <v/>
      </c>
      <c r="DC19" s="50" t="str">
        <f t="shared" si="44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45"/>
        <v/>
      </c>
      <c r="DY19" s="40" t="str">
        <f t="shared" si="46"/>
        <v/>
      </c>
      <c r="DZ19" s="40" t="str">
        <f t="shared" si="47"/>
        <v/>
      </c>
      <c r="EA19" s="40" t="str">
        <f t="shared" si="48"/>
        <v/>
      </c>
      <c r="EB19" s="40" t="str">
        <f t="shared" si="49"/>
        <v/>
      </c>
      <c r="EC19" s="40" t="str">
        <f t="shared" si="50"/>
        <v/>
      </c>
      <c r="ED19" s="40" t="str">
        <f t="shared" si="51"/>
        <v/>
      </c>
      <c r="EE19" s="40" t="str">
        <f t="shared" si="52"/>
        <v/>
      </c>
      <c r="EF19" s="40" t="str">
        <f t="shared" si="53"/>
        <v/>
      </c>
      <c r="EG19" s="40" t="str">
        <f t="shared" si="54"/>
        <v/>
      </c>
      <c r="EH19" s="40" t="str">
        <f t="shared" si="55"/>
        <v/>
      </c>
      <c r="EI19" s="40" t="str">
        <f t="shared" si="56"/>
        <v/>
      </c>
      <c r="EJ19" s="40" t="str">
        <f t="shared" si="57"/>
        <v/>
      </c>
      <c r="EK19" s="40" t="str">
        <f t="shared" si="58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59"/>
        <v/>
      </c>
      <c r="FG19" s="11" t="str">
        <f t="shared" si="60"/>
        <v/>
      </c>
      <c r="FH19" s="11" t="str">
        <f t="shared" si="61"/>
        <v/>
      </c>
      <c r="FI19" s="11" t="str">
        <f t="shared" si="62"/>
        <v/>
      </c>
      <c r="FJ19" s="11" t="str">
        <f t="shared" si="63"/>
        <v/>
      </c>
      <c r="FK19" s="11" t="str">
        <f t="shared" si="64"/>
        <v/>
      </c>
      <c r="FL19" s="11" t="str">
        <f t="shared" si="65"/>
        <v/>
      </c>
      <c r="FM19" s="11" t="str">
        <f t="shared" si="66"/>
        <v/>
      </c>
      <c r="FN19" s="11" t="str">
        <f t="shared" si="67"/>
        <v/>
      </c>
      <c r="FO19" s="11" t="str">
        <f t="shared" si="68"/>
        <v/>
      </c>
      <c r="FP19" s="11" t="str">
        <f t="shared" si="69"/>
        <v/>
      </c>
      <c r="FQ19" s="11" t="str">
        <f t="shared" si="70"/>
        <v/>
      </c>
      <c r="FR19" s="11" t="str">
        <f t="shared" si="71"/>
        <v/>
      </c>
      <c r="FS19" s="11" t="str">
        <f t="shared" si="72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3"/>
        <v/>
      </c>
      <c r="GO19" s="40" t="str">
        <f t="shared" si="74"/>
        <v/>
      </c>
      <c r="GP19" s="40" t="str">
        <f t="shared" si="75"/>
        <v/>
      </c>
      <c r="GQ19" s="40" t="str">
        <f t="shared" si="76"/>
        <v/>
      </c>
      <c r="GR19" s="40" t="str">
        <f t="shared" si="77"/>
        <v/>
      </c>
      <c r="GS19" s="40" t="str">
        <f t="shared" si="78"/>
        <v/>
      </c>
      <c r="GT19" s="40" t="str">
        <f t="shared" si="79"/>
        <v/>
      </c>
      <c r="GU19" s="40" t="str">
        <f t="shared" si="80"/>
        <v/>
      </c>
      <c r="GV19" s="40" t="str">
        <f t="shared" si="81"/>
        <v/>
      </c>
      <c r="GW19" s="40" t="str">
        <f t="shared" si="82"/>
        <v/>
      </c>
      <c r="GX19" s="40" t="str">
        <f t="shared" si="83"/>
        <v/>
      </c>
      <c r="GY19" s="40" t="str">
        <f t="shared" si="84"/>
        <v/>
      </c>
      <c r="GZ19" s="40" t="str">
        <f t="shared" si="85"/>
        <v/>
      </c>
      <c r="HA19" s="40" t="str">
        <f t="shared" si="86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87"/>
        <v/>
      </c>
      <c r="HW19" s="11" t="str">
        <f t="shared" si="88"/>
        <v/>
      </c>
      <c r="HX19" s="11" t="str">
        <f t="shared" si="89"/>
        <v/>
      </c>
      <c r="HY19" s="11" t="str">
        <f t="shared" si="90"/>
        <v/>
      </c>
      <c r="HZ19" s="11" t="str">
        <f t="shared" si="91"/>
        <v/>
      </c>
      <c r="IA19" s="11" t="str">
        <f t="shared" si="92"/>
        <v/>
      </c>
      <c r="IB19" s="11" t="str">
        <f t="shared" si="93"/>
        <v/>
      </c>
      <c r="IC19" s="11" t="str">
        <f t="shared" si="94"/>
        <v/>
      </c>
      <c r="ID19" s="11" t="str">
        <f t="shared" si="95"/>
        <v/>
      </c>
      <c r="IE19" s="11" t="str">
        <f t="shared" si="96"/>
        <v/>
      </c>
      <c r="IF19" s="11" t="str">
        <f t="shared" si="97"/>
        <v/>
      </c>
      <c r="IG19" s="11" t="str">
        <f t="shared" si="98"/>
        <v/>
      </c>
      <c r="IH19" s="11" t="str">
        <f t="shared" si="99"/>
        <v/>
      </c>
      <c r="II19" s="11" t="str">
        <f t="shared" si="100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1"/>
        <v/>
      </c>
      <c r="JE19" s="40" t="str">
        <f t="shared" si="102"/>
        <v/>
      </c>
      <c r="JF19" s="40" t="str">
        <f t="shared" si="103"/>
        <v/>
      </c>
      <c r="JG19" s="40" t="str">
        <f t="shared" si="104"/>
        <v/>
      </c>
      <c r="JH19" s="40" t="str">
        <f t="shared" si="105"/>
        <v/>
      </c>
      <c r="JI19" s="40" t="str">
        <f t="shared" si="106"/>
        <v/>
      </c>
      <c r="JJ19" s="40" t="str">
        <f t="shared" si="107"/>
        <v/>
      </c>
      <c r="JK19" s="40" t="str">
        <f t="shared" si="108"/>
        <v/>
      </c>
      <c r="JL19" s="40" t="str">
        <f t="shared" si="109"/>
        <v/>
      </c>
      <c r="JM19" s="40" t="str">
        <f t="shared" si="110"/>
        <v/>
      </c>
      <c r="JN19" s="40" t="str">
        <f t="shared" si="111"/>
        <v/>
      </c>
      <c r="JO19" s="40" t="str">
        <f t="shared" si="112"/>
        <v/>
      </c>
      <c r="JP19" s="40" t="str">
        <f t="shared" si="113"/>
        <v/>
      </c>
      <c r="JQ19" s="40" t="str">
        <f t="shared" si="114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15"/>
        <v/>
      </c>
      <c r="KM19" s="11" t="str">
        <f t="shared" si="116"/>
        <v/>
      </c>
      <c r="KN19" s="11" t="str">
        <f t="shared" si="117"/>
        <v/>
      </c>
      <c r="KO19" s="11" t="str">
        <f t="shared" si="118"/>
        <v/>
      </c>
      <c r="KP19" s="11" t="str">
        <f t="shared" si="119"/>
        <v/>
      </c>
      <c r="KQ19" s="11" t="str">
        <f t="shared" si="120"/>
        <v/>
      </c>
      <c r="KR19" s="11" t="str">
        <f t="shared" si="121"/>
        <v/>
      </c>
      <c r="KS19" s="11" t="str">
        <f t="shared" si="122"/>
        <v/>
      </c>
      <c r="KT19" s="11" t="str">
        <f t="shared" si="123"/>
        <v/>
      </c>
      <c r="KU19" s="11" t="str">
        <f t="shared" si="124"/>
        <v/>
      </c>
      <c r="KV19" s="11" t="str">
        <f t="shared" si="125"/>
        <v/>
      </c>
      <c r="KW19" s="11" t="str">
        <f t="shared" si="126"/>
        <v/>
      </c>
      <c r="KX19" s="11" t="str">
        <f t="shared" si="127"/>
        <v/>
      </c>
      <c r="KY19" s="11" t="str">
        <f t="shared" si="128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29"/>
        <v/>
      </c>
      <c r="LU19" s="40" t="str">
        <f t="shared" si="130"/>
        <v/>
      </c>
      <c r="LV19" s="40" t="str">
        <f t="shared" si="131"/>
        <v/>
      </c>
      <c r="LW19" s="40" t="str">
        <f t="shared" si="132"/>
        <v/>
      </c>
      <c r="LX19" s="40" t="str">
        <f t="shared" si="133"/>
        <v/>
      </c>
      <c r="LY19" s="40" t="str">
        <f t="shared" si="134"/>
        <v/>
      </c>
      <c r="LZ19" s="40" t="str">
        <f t="shared" si="135"/>
        <v/>
      </c>
      <c r="MA19" s="40" t="str">
        <f t="shared" si="136"/>
        <v/>
      </c>
      <c r="MB19" s="40" t="str">
        <f t="shared" si="137"/>
        <v/>
      </c>
      <c r="MC19" s="40" t="str">
        <f t="shared" si="138"/>
        <v/>
      </c>
      <c r="MD19" s="40" t="str">
        <f t="shared" si="139"/>
        <v/>
      </c>
      <c r="ME19" s="40" t="str">
        <f t="shared" si="140"/>
        <v/>
      </c>
      <c r="MF19" s="40" t="str">
        <f t="shared" si="141"/>
        <v/>
      </c>
      <c r="MG19" s="40" t="str">
        <f t="shared" si="142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3"/>
        <v/>
      </c>
      <c r="NC19" s="11" t="str">
        <f t="shared" si="144"/>
        <v/>
      </c>
      <c r="ND19" s="11" t="str">
        <f t="shared" si="145"/>
        <v/>
      </c>
      <c r="NE19" s="11" t="str">
        <f t="shared" si="146"/>
        <v/>
      </c>
      <c r="NF19" s="11" t="str">
        <f t="shared" si="147"/>
        <v/>
      </c>
      <c r="NG19" s="11" t="str">
        <f t="shared" si="148"/>
        <v/>
      </c>
      <c r="NH19" s="11" t="str">
        <f t="shared" si="149"/>
        <v/>
      </c>
      <c r="NI19" s="11" t="str">
        <f t="shared" si="150"/>
        <v/>
      </c>
      <c r="NJ19" s="11" t="str">
        <f t="shared" si="151"/>
        <v/>
      </c>
      <c r="NK19" s="11" t="str">
        <f t="shared" si="152"/>
        <v/>
      </c>
      <c r="NL19" s="11" t="str">
        <f t="shared" si="153"/>
        <v/>
      </c>
      <c r="NM19" s="11" t="str">
        <f t="shared" si="154"/>
        <v/>
      </c>
      <c r="NN19" s="11" t="str">
        <f t="shared" si="155"/>
        <v/>
      </c>
      <c r="NO19" s="11" t="str">
        <f t="shared" si="156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57"/>
        <v/>
      </c>
      <c r="OK19" s="40" t="str">
        <f t="shared" si="158"/>
        <v/>
      </c>
      <c r="OL19" s="40" t="str">
        <f t="shared" si="159"/>
        <v/>
      </c>
      <c r="OM19" s="40" t="str">
        <f t="shared" si="160"/>
        <v/>
      </c>
      <c r="ON19" s="40" t="str">
        <f t="shared" si="161"/>
        <v/>
      </c>
      <c r="OO19" s="40" t="str">
        <f t="shared" si="162"/>
        <v/>
      </c>
      <c r="OP19" s="40" t="str">
        <f t="shared" si="163"/>
        <v/>
      </c>
      <c r="OQ19" s="40" t="str">
        <f t="shared" si="164"/>
        <v/>
      </c>
      <c r="OR19" s="40" t="str">
        <f t="shared" si="165"/>
        <v/>
      </c>
      <c r="OS19" s="40" t="str">
        <f t="shared" si="166"/>
        <v/>
      </c>
      <c r="OT19" s="40" t="str">
        <f t="shared" si="167"/>
        <v/>
      </c>
      <c r="OU19" s="40" t="str">
        <f t="shared" si="168"/>
        <v/>
      </c>
      <c r="OV19" s="40" t="str">
        <f t="shared" si="169"/>
        <v/>
      </c>
      <c r="OW19" s="40" t="str">
        <f t="shared" si="170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1"/>
        <v/>
      </c>
      <c r="PS19" s="11" t="str">
        <f t="shared" si="172"/>
        <v/>
      </c>
      <c r="PT19" s="11" t="str">
        <f t="shared" si="173"/>
        <v/>
      </c>
      <c r="PU19" s="11" t="str">
        <f t="shared" si="174"/>
        <v/>
      </c>
      <c r="PV19" s="11" t="str">
        <f t="shared" si="175"/>
        <v/>
      </c>
      <c r="PW19" s="11" t="str">
        <f t="shared" si="176"/>
        <v/>
      </c>
      <c r="PX19" s="11" t="str">
        <f t="shared" si="177"/>
        <v/>
      </c>
      <c r="PY19" s="11" t="str">
        <f t="shared" si="178"/>
        <v/>
      </c>
      <c r="PZ19" s="11" t="str">
        <f t="shared" si="179"/>
        <v/>
      </c>
      <c r="QA19" s="11" t="str">
        <f t="shared" si="180"/>
        <v/>
      </c>
      <c r="QB19" s="11" t="str">
        <f t="shared" si="181"/>
        <v/>
      </c>
      <c r="QC19" s="11" t="str">
        <f t="shared" si="182"/>
        <v/>
      </c>
      <c r="QD19" s="11" t="str">
        <f t="shared" si="183"/>
        <v/>
      </c>
      <c r="QE19" s="11" t="str">
        <f t="shared" si="184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85"/>
        <v/>
      </c>
      <c r="RA19" s="40" t="str">
        <f t="shared" si="186"/>
        <v/>
      </c>
      <c r="RB19" s="40" t="str">
        <f t="shared" si="187"/>
        <v/>
      </c>
      <c r="RC19" s="40" t="str">
        <f t="shared" si="188"/>
        <v/>
      </c>
      <c r="RD19" s="40" t="str">
        <f t="shared" si="189"/>
        <v/>
      </c>
      <c r="RE19" s="40" t="str">
        <f t="shared" si="190"/>
        <v/>
      </c>
      <c r="RF19" s="40" t="str">
        <f t="shared" si="191"/>
        <v/>
      </c>
      <c r="RG19" s="40" t="str">
        <f t="shared" si="192"/>
        <v/>
      </c>
      <c r="RH19" s="40" t="str">
        <f t="shared" si="193"/>
        <v/>
      </c>
      <c r="RI19" s="40" t="str">
        <f t="shared" si="194"/>
        <v/>
      </c>
      <c r="RJ19" s="40" t="str">
        <f t="shared" si="195"/>
        <v/>
      </c>
      <c r="RK19" s="40" t="str">
        <f t="shared" si="196"/>
        <v/>
      </c>
      <c r="RL19" s="40" t="str">
        <f t="shared" si="197"/>
        <v/>
      </c>
      <c r="RM19" s="40" t="str">
        <f t="shared" si="198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199"/>
        <v/>
      </c>
      <c r="SI19" s="11" t="str">
        <f t="shared" si="200"/>
        <v/>
      </c>
      <c r="SJ19" s="11" t="str">
        <f t="shared" si="201"/>
        <v/>
      </c>
      <c r="SK19" s="11" t="str">
        <f t="shared" si="202"/>
        <v/>
      </c>
      <c r="SL19" s="11" t="str">
        <f t="shared" si="203"/>
        <v/>
      </c>
      <c r="SM19" s="11" t="str">
        <f t="shared" si="204"/>
        <v/>
      </c>
      <c r="SN19" s="11" t="str">
        <f t="shared" si="205"/>
        <v/>
      </c>
      <c r="SO19" s="11" t="str">
        <f t="shared" si="206"/>
        <v/>
      </c>
      <c r="SP19" s="11" t="str">
        <f t="shared" si="207"/>
        <v/>
      </c>
      <c r="SQ19" s="11" t="str">
        <f t="shared" si="208"/>
        <v/>
      </c>
      <c r="SR19" s="11" t="str">
        <f t="shared" si="209"/>
        <v/>
      </c>
      <c r="SS19" s="11" t="str">
        <f t="shared" si="210"/>
        <v/>
      </c>
      <c r="ST19" s="11" t="str">
        <f t="shared" si="211"/>
        <v/>
      </c>
      <c r="SU19" s="11" t="str">
        <f t="shared" si="212"/>
        <v/>
      </c>
      <c r="SV19" s="22">
        <f t="shared" si="213"/>
        <v>6.875</v>
      </c>
      <c r="SW19" s="22">
        <f t="shared" si="214"/>
        <v>4.5250000000000004</v>
      </c>
      <c r="SX19" s="22">
        <f t="shared" si="215"/>
        <v>5.8250000000000002</v>
      </c>
      <c r="SY19" s="22">
        <f t="shared" si="216"/>
        <v>7.0075000000000003</v>
      </c>
      <c r="SZ19" s="22">
        <f t="shared" si="217"/>
        <v>0</v>
      </c>
      <c r="TA19" s="22">
        <f t="shared" si="218"/>
        <v>7.2249999999999996</v>
      </c>
      <c r="TB19" s="22">
        <f t="shared" si="219"/>
        <v>4.6500000000000004</v>
      </c>
      <c r="TC19" s="22">
        <f t="shared" si="220"/>
        <v>5.8250000000000002</v>
      </c>
      <c r="TD19" s="22">
        <f t="shared" si="221"/>
        <v>7.2774999999999999</v>
      </c>
      <c r="TE19" s="22">
        <f t="shared" si="222"/>
        <v>0</v>
      </c>
      <c r="TF19" s="22">
        <f t="shared" si="223"/>
        <v>3.65</v>
      </c>
      <c r="TG19" s="22">
        <f t="shared" si="224"/>
        <v>2.35</v>
      </c>
      <c r="TH19" s="22">
        <f t="shared" si="225"/>
        <v>2.85</v>
      </c>
      <c r="TI19" s="22">
        <f t="shared" si="226"/>
        <v>3.7275</v>
      </c>
      <c r="TJ19" s="22">
        <f t="shared" si="227"/>
        <v>0</v>
      </c>
      <c r="TK19" s="27" t="s">
        <v>46</v>
      </c>
      <c r="TL19" s="40">
        <f t="shared" si="228"/>
        <v>5.8250000000000002</v>
      </c>
      <c r="TM19" s="40">
        <f t="shared" si="229"/>
        <v>7.0075000000000003</v>
      </c>
      <c r="TN19" s="40">
        <f t="shared" si="230"/>
        <v>24.232500000000002</v>
      </c>
      <c r="TO19" s="40">
        <f t="shared" si="231"/>
        <v>5.8250000000000002</v>
      </c>
      <c r="TP19" s="40">
        <f t="shared" si="232"/>
        <v>7.2774999999999999</v>
      </c>
      <c r="TQ19" s="40">
        <f t="shared" si="233"/>
        <v>24.977499999999999</v>
      </c>
      <c r="TR19" s="40">
        <f t="shared" si="234"/>
        <v>24.977499999999999</v>
      </c>
      <c r="TS19" s="40">
        <f t="shared" si="235"/>
        <v>2.85</v>
      </c>
      <c r="TT19" s="40">
        <f t="shared" si="236"/>
        <v>3.7275</v>
      </c>
      <c r="TU19" s="40">
        <f t="shared" si="237"/>
        <v>12.577500000000001</v>
      </c>
      <c r="TV19" s="40">
        <f t="shared" si="238"/>
        <v>37.555</v>
      </c>
    </row>
    <row r="20" spans="1:542" x14ac:dyDescent="0.2">
      <c r="A20" s="4" t="str" cm="1">
        <f t="array" ref="A20">IF(AND(J20&lt;&gt;"",J20&lt;&gt;"No DD"),SUMPRODUCT((J$4:J$28&lt;&gt;"")*(J$4:J$28&lt;&gt;"No DD")*(F$4:F$28&gt;F20))+1,IF(J20="No DD",SUMPRODUCT((J$4:J$28="No DD")*(F$4:F$28&gt;F20))+1+SUMPRODUCT((J$4:J$28&lt;&gt;"")*(J$4:J$28&lt;&gt;"No DD")),""))</f>
        <v/>
      </c>
      <c r="B20" s="4" t="str" cm="1">
        <f t="array" ref="B20">IF(AND(J20&lt;&gt;"",J20&lt;&gt;"No DD",G20=""),SUMPRODUCT((J$4:J$28&lt;&gt;"")*(J$4:J$28&lt;&gt;"No DD")*(G$4:G$28="")*(F$4:F$28&gt;F20))+1,IF(J20="No DD",SUMPRODUCT((J$4:J$28="No DD")*(F$4:F$28&gt;F20)*(G$4:G$28=""))+1+SUMPRODUCT((J$4:J$28&lt;&gt;"")*(G$4:G$28="")*(J$4:J$28&lt;&gt;"No DD")),""))</f>
        <v/>
      </c>
      <c r="C20" s="5" t="s">
        <v>109</v>
      </c>
      <c r="D20" s="4" t="s">
        <v>3</v>
      </c>
      <c r="E20" s="4">
        <v>2006</v>
      </c>
      <c r="F20" s="9">
        <f t="shared" si="0"/>
        <v>157.23001572300487</v>
      </c>
      <c r="G20" s="64"/>
      <c r="H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P","")</f>
        <v/>
      </c>
      <c r="I20" s="3" t="str">
        <f>IF(OR(AND(AQ20&gt;=AY$34,AQ20&lt;&gt;"",AN20=""),AND(AT20&gt;=AY$34,AT20&lt;&gt;"",AN20=""),AND(AX20&gt;=AY$34,AX20&lt;&gt;"",AN20=""),AND(BR20&gt;=BZ$34,BR20&lt;&gt;"",BO20=""),AND(BU20&gt;=BZ$34,BU20&lt;&gt;"",BO20=""),AND(BY20&gt;=BZ$34,BY20&lt;&gt;"",BO20=""),AND(CS20&gt;=DA$34,CS20&lt;&gt;"",CP20=""),AND(CV20&gt;=DA$34,CV20&lt;&gt;"",CP20=""),AND(CZ20&gt;=DA$34,CZ20&lt;&gt;"",CP20=""),AND(DZ20&gt;=EK$34,DZ20&lt;&gt;""),AND(EC20&gt;=EK$34,EC20&lt;&gt;""),AND(EG20&gt;=EK$34,EG20&lt;&gt;""),AND(EJ20&gt;=EK$34,EJ20&lt;&gt;""),AND(FH20&gt;=FS$34,FH20&lt;&gt;""),AND(FK20&gt;=FS$34,FK20&lt;&gt;""),AND(FO20&gt;=FS$34,FO20&lt;&gt;""),AND(FR20&gt;=FS$34,FR20&lt;&gt;""),AND(GP20&gt;=HA$34,GP20&lt;&gt;""),AND(GS20&gt;=HA$34,GS20&lt;&gt;""),AND(GW20&gt;=HA$34,GW20&lt;&gt;""),AND(GZ20&gt;=HA$34,GZ20&lt;&gt;""),AND(HX20&gt;=II$34,HX20&lt;&gt;""),AND(IA20&gt;=II$34,IA20&lt;&gt;""),AND(IE20&gt;=II$34,IE20&lt;&gt;""),AND(IH20&gt;=II$34,IH20&lt;&gt;""),AND(JF20&gt;=JQ$34,JF20&lt;&gt;""),AND(JI20&gt;=JQ$34,JI20&lt;&gt;""),AND(JM20&gt;=JQ$34,JM20&lt;&gt;""),AND(JP20&gt;=JQ$34,JP20&lt;&gt;""),AND(KN20&gt;=KY$34,KN20&lt;&gt;""),AND(KQ20&gt;=KY$34,KQ20&lt;&gt;""),AND(KU20&gt;=KY$34,KU20&lt;&gt;""),AND(KX20&gt;=KY$34,KX20&lt;&gt;""),AND(LV20&gt;=MG$34,LV20&lt;&gt;""),AND(LY20&gt;=MG$34,LY20&lt;&gt;""),AND(MC20&gt;=MG$34,MC20&lt;&gt;""),AND(MF20&gt;=MG$34,MF20&lt;&gt;""),AND(ND20&gt;=NO$34,ND20&lt;&gt;""),AND(NG20&gt;=NO$34,NG20&lt;&gt;""),AND(NK20&gt;=NO$34,NK20&lt;&gt;""),AND(NN20&gt;=NO$34,NN20&lt;&gt;""),AND(OL20&gt;=OW$34,OL20&lt;&gt;""),AND(OO20&gt;=OW$34,OO20&lt;&gt;""),AND(OS20&gt;=OW$34,OS20&lt;&gt;""),AND(OV20&gt;=OW$34,OV20&lt;&gt;""),AND(PT20&gt;=QE$34,PT20&lt;&gt;""),AND(PW20&gt;=QE$34,PW20&lt;&gt;""),AND(QA20&gt;=QE$34,QA20&lt;&gt;""),AND(QD20&gt;=QE$34,QD20&lt;&gt;""),AND(RB20&gt;=RM$34,RB20&lt;&gt;""),AND(RE20&gt;=RM$34,RE20&lt;&gt;""),AND(RI20&gt;=RM$34,RI20&lt;&gt;""),AND(RL20&gt;=RM$34,RL20&lt;&gt;""),AND(SJ20&gt;=SU$34,SJ20&lt;&gt;""),AND(SM20&gt;=SU$34,SM20&lt;&gt;""),AND(SQ20&gt;=SU$34,SQ20&lt;&gt;""),AND(ST20&gt;=SU$34,ST20&lt;&gt;"")),"P","")</f>
        <v/>
      </c>
      <c r="J20" s="36" t="str">
        <f>IF(AND(I20="P",H20=""),"No DD",IF(OR(AND(AO20&gt;=AY$33,AO20&lt;&gt;"",AQ20&gt;=AY$37,AQ20&lt;&gt;"",AN20=""),AND(AR20&gt;=AY$33,AR20&lt;&gt;"",AT20&gt;=AY$37,AT20&lt;&gt;"",AN20=""),AND(AV20&gt;=AY$33,AV20&lt;&gt;"",AX20&gt;=AY$37,AX20&lt;&gt;"",AN20=""),AND(BP20&gt;=BZ$33,BP20&lt;&gt;"",BR20&gt;=BZ$37,BR20&lt;&gt;"",BO20=""),AND(BS20&gt;=BZ$33,BS20&lt;&gt;"",BU20&gt;=BZ$37,BU20&lt;&gt;"",BO20=""),AND(BW20&gt;=BZ$33,BW20&lt;&gt;"",BY20&gt;=BZ$37,BY20&lt;&gt;"",BO20=""),AND(CQ20&gt;=DA$33,CQ20&lt;&gt;"",CS20&gt;=DA$37,CS20&lt;&gt;"",CP20=""),AND(CT20&gt;=DA$33,CT20&lt;&gt;"",CV20&gt;=DA$37,CV20&lt;&gt;"",CP20=""),AND(CX20&gt;=DA$33,CX20&lt;&gt;"",CZ20&gt;=DA$37,CZ20&lt;&gt;"",CP20=""),AND(DX20&gt;=EK$33,DX20&lt;&gt;"",DZ20&gt;=EK$37,DZ20&lt;&gt;""),AND(EA20&gt;=EK$33,EA20&lt;&gt;"",EC20&gt;=EK$37,EC20&lt;&gt;""),AND(EE20&gt;=EK$33,EE20&lt;&gt;"",EG20&gt;=EK$37,EG20&lt;&gt;""),AND(EH20&gt;=EK$33,EH20&lt;&gt;"",EJ20&gt;=EK$37,EJ20&lt;&gt;""),AND(FF20&gt;=FS$33,FF20&lt;&gt;"",FH20&gt;=FS$37,FH20&lt;&gt;""),AND(FI20&gt;=FS$33,FI20&lt;&gt;"",FK20&gt;=FS$37,FK20&lt;&gt;""),AND(FM20&gt;=FS$33,FM20&lt;&gt;"",FO20&gt;=FS$37,FO20&lt;&gt;""),AND(FP20&gt;=FS$33,FP20&lt;&gt;"",FR20&gt;=FS$37,FR20&lt;&gt;""),AND(GN20&gt;=HA$33,GN20&lt;&gt;"",GP20&gt;=HA$37,GP20&lt;&gt;""),AND(GQ20&gt;=HA$33,GQ20&lt;&gt;"",GS20&gt;=HA$37,GS20&lt;&gt;""),AND(GU20&gt;=HA$33,GU20&lt;&gt;"",GW20&gt;=HA$37,GW20&lt;&gt;""),AND(GX20&gt;=HA$33,GX20&lt;&gt;"",GZ20&gt;=HA$37,GZ20&lt;&gt;""),AND(HV20&gt;=II$33,HV20&lt;&gt;"",HX20&gt;=II$37,HX20&lt;&gt;""),AND(HY20&gt;=II$33,HY20&lt;&gt;"",IA20&gt;=II$37,IA20&lt;&gt;""),AND(IC20&gt;=II$33,IC20&lt;&gt;"",IE20&gt;=II$37,IE20&lt;&gt;""),AND(IF20&gt;=II$33,IF20&lt;&gt;"",IH20&gt;=II$37,IH20&lt;&gt;""),AND(JD20&gt;=JQ$33,JD20&lt;&gt;"",JF20&gt;=JQ$37,JF20&lt;&gt;""),AND(JG20&gt;=JQ$33,JG20&lt;&gt;"",JI20&gt;=JQ$37,JI20&lt;&gt;""),AND(JK20&gt;=JQ$33,JK20&lt;&gt;"",JM20&gt;=JQ$37,JM20&lt;&gt;""),AND(JN20&gt;=JQ$33,JN20&lt;&gt;"",JP20&gt;=JQ$37,JP20&lt;&gt;""),AND(KL20&gt;=KY$33,KL20&lt;&gt;"",KN20&gt;=KY$37,KN20&lt;&gt;""),AND(KO20&gt;=KY$33,KO20&lt;&gt;"",KQ20&gt;=KY$37,KQ20&lt;&gt;""),AND(KS20&gt;=KY$33,KS20&lt;&gt;"",KU20&gt;=KY$37,KU20&lt;&gt;""),AND(KV20&gt;=KY$33,KV20&lt;&gt;"",KX20&gt;=KY$37,KX20&lt;&gt;""),AND(LT20&gt;=MG$33,LT20&lt;&gt;"",LV20&gt;=MG$37,LV20&lt;&gt;""),AND(LW20&gt;=MG$33,LW20&lt;&gt;"",LY20&gt;=MG$37,LY20&lt;&gt;""),AND(MA20&gt;=MG$33,MA20&lt;&gt;"",MC20&gt;=MG$37,MC20&lt;&gt;""),AND(MD20&gt;=MG$33,MD20&lt;&gt;"",MF20&gt;=MG$37,MF20&lt;&gt;""),AND(NB20&gt;=NO$33,NB20&lt;&gt;"",ND20&gt;=NO$37,ND20&lt;&gt;""),AND(NE20&gt;=NO$33,NE20&lt;&gt;"",NG20&gt;=NO$37,NG20&lt;&gt;""),AND(NI20&gt;=NO$33,NI20&lt;&gt;"",NK20&gt;=NO$37,NK20&lt;&gt;""),AND(NL20&gt;=NO$33,NL20&lt;&gt;"",NN20&gt;=NO$37,NN20&lt;&gt;""),AND(OJ20&gt;=OW$33,OJ20&lt;&gt;"",OL20&gt;=OW$37,OL20&lt;&gt;""),AND(OM20&gt;=OW$33,OM20&lt;&gt;"",OO20&gt;=OW$37,OO20&lt;&gt;""),AND(OQ20&gt;=OW$33,OQ20&lt;&gt;"",OS20&gt;=OW$37,OS20&lt;&gt;""),AND(OT20&gt;=OW$33,OT20&lt;&gt;"",OV20&gt;=OW$37,OV20&lt;&gt;""),AND(PR20&gt;=QE$33,PR20&lt;&gt;"",PT20&gt;=QE$37,PT20&lt;&gt;""),AND(PU20&gt;=QE$33,PU20&lt;&gt;"",PW20&gt;=QE$37,PW20&lt;&gt;""),AND(PY20&gt;=QE$33,PY20&lt;&gt;"",QA20&gt;=QE$37,QA20&lt;&gt;""),AND(QB20&gt;=QE$33,QB20&lt;&gt;"",QD20&gt;=QE$37,QD20&lt;&gt;""),AND(QZ20&gt;=RM$33,QZ20&lt;&gt;"",RB20&gt;=RM$37,RB20&lt;&gt;""),AND(RC20&gt;=RM$33,RC20&lt;&gt;"",RE20&gt;=RM$37,RE20&lt;&gt;""),AND(RG20&gt;=RM$33,RG20&lt;&gt;"",RI20&gt;=RM$37,RI20&lt;&gt;""),AND(RJ20&gt;=RM$33,RJ20&lt;&gt;"",RL20&gt;=RM$37,RL20&lt;&gt;""),AND(SH20&gt;=SU$33,SH20&lt;&gt;"",SJ20&gt;=SU$37,SJ20&lt;&gt;""),AND(SK20&gt;=SU$33,SK20&lt;&gt;"",SM20&gt;=SU$37,SM20&lt;&gt;""),AND(SO20&gt;=SU$33,SO20&lt;&gt;"",SQ20&gt;=SU$37,SQ20&lt;&gt;""),AND(SR20&gt;=SU$33,SR20&lt;&gt;"",ST20&gt;=SU$37,ST20&lt;&gt;"")),"Merit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),"Excellence",IF(K20="P","Worlds Team",IF(H20="P","National Team","")))))</f>
        <v/>
      </c>
      <c r="K20" s="3" t="str">
        <f>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P","")</f>
        <v/>
      </c>
      <c r="L20" s="8">
        <f>IF(COUNT(AQ20,AT20,BR20,BU20,CS20,CV20)&gt;0,LARGE((AQ20,AT20,BR20,BU20,CS20,CV20),1),0)</f>
        <v>48.949999999999996</v>
      </c>
      <c r="M20" s="8" t="str">
        <f t="shared" si="1"/>
        <v>2025 Elite Canada</v>
      </c>
      <c r="N20" s="8">
        <f>IF(COUNT(AQ20,AT20,BR20,BU20,CS20,CV20)&gt;1,LARGE((AQ20,AT20,BR20,BU20,CS20,CV20),2),0)</f>
        <v>45.269999999999996</v>
      </c>
      <c r="O20" s="8" t="str">
        <f t="shared" si="2"/>
        <v>2025 Nationals</v>
      </c>
      <c r="P20" s="8">
        <f>IF(COUNT(AQ20,AT20,BR20,BU20,CS20,CV20)&gt;2,MAX(AX20,BY20,CZ20,LARGE((AQ20,AT20,BR20,BU20,CS20,CV20),3)),IF(MAX(AX20,BY20,CZ20)&gt;0,MAX(AX20,BY20,CZ20),0))</f>
        <v>48.91</v>
      </c>
      <c r="Q20" s="8" t="str">
        <f t="shared" si="3"/>
        <v>2025 Elite Canada</v>
      </c>
      <c r="R20" s="8">
        <f t="shared" si="4"/>
        <v>14.1</v>
      </c>
      <c r="S20" s="8" t="str">
        <f t="shared" si="5"/>
        <v>2025 Nationals</v>
      </c>
      <c r="T20" s="8">
        <f>IF(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&gt;0,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,0)</f>
        <v>0</v>
      </c>
      <c r="U20" s="8" t="str">
        <f t="shared" si="6"/>
        <v/>
      </c>
      <c r="V20" s="8" t="str">
        <f t="shared" si="7"/>
        <v/>
      </c>
      <c r="W20" s="11" t="str">
        <f t="shared" si="8"/>
        <v/>
      </c>
      <c r="X20" s="8" t="str">
        <f t="shared" si="9"/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0"/>
        <v/>
      </c>
      <c r="AP20" s="38" t="str">
        <f t="shared" si="11"/>
        <v/>
      </c>
      <c r="AQ20" s="40" t="str">
        <f t="shared" si="12"/>
        <v/>
      </c>
      <c r="AR20" s="40" t="str">
        <f t="shared" si="13"/>
        <v/>
      </c>
      <c r="AS20" s="40" t="str">
        <f t="shared" si="14"/>
        <v/>
      </c>
      <c r="AT20" s="40" t="str">
        <f t="shared" si="15"/>
        <v/>
      </c>
      <c r="AU20" s="40" t="str">
        <f t="shared" si="16"/>
        <v/>
      </c>
      <c r="AV20" s="40" t="str">
        <f t="shared" si="17"/>
        <v/>
      </c>
      <c r="AW20" s="40" t="str">
        <f t="shared" si="18"/>
        <v/>
      </c>
      <c r="AX20" s="40" t="str">
        <f t="shared" si="19"/>
        <v/>
      </c>
      <c r="AY20" s="40" t="str">
        <f t="shared" si="20"/>
        <v/>
      </c>
      <c r="AZ20" s="26">
        <v>11.6</v>
      </c>
      <c r="BA20" s="26">
        <v>9.1</v>
      </c>
      <c r="BB20" s="26">
        <v>14.1</v>
      </c>
      <c r="BC20" s="26">
        <v>14.15</v>
      </c>
      <c r="BD20" s="26">
        <v>0</v>
      </c>
      <c r="BE20" s="26">
        <v>1</v>
      </c>
      <c r="BF20" s="26">
        <v>0.8</v>
      </c>
      <c r="BG20" s="26">
        <v>2</v>
      </c>
      <c r="BH20" s="26">
        <v>1.6</v>
      </c>
      <c r="BI20" s="26">
        <v>0</v>
      </c>
      <c r="BJ20" s="26">
        <v>12.4</v>
      </c>
      <c r="BK20" s="26">
        <v>9.4</v>
      </c>
      <c r="BL20" s="26">
        <v>12.7</v>
      </c>
      <c r="BM20" s="26">
        <v>14.41</v>
      </c>
      <c r="BN20" s="26">
        <v>0</v>
      </c>
      <c r="BO20" s="28"/>
      <c r="BP20" s="39">
        <f t="shared" si="21"/>
        <v>14.1</v>
      </c>
      <c r="BQ20" s="39">
        <f t="shared" si="22"/>
        <v>14.15</v>
      </c>
      <c r="BR20" s="11">
        <f t="shared" si="23"/>
        <v>48.949999999999996</v>
      </c>
      <c r="BS20" s="11">
        <f t="shared" si="24"/>
        <v>2</v>
      </c>
      <c r="BT20" s="11">
        <f t="shared" si="25"/>
        <v>1.6</v>
      </c>
      <c r="BU20" s="11">
        <f t="shared" si="26"/>
        <v>5.4</v>
      </c>
      <c r="BV20" s="11">
        <f t="shared" si="27"/>
        <v>48.949999999999996</v>
      </c>
      <c r="BW20" s="11">
        <f t="shared" si="28"/>
        <v>12.7</v>
      </c>
      <c r="BX20" s="11">
        <f t="shared" si="29"/>
        <v>14.41</v>
      </c>
      <c r="BY20" s="11">
        <f t="shared" si="30"/>
        <v>48.91</v>
      </c>
      <c r="BZ20" s="11">
        <f t="shared" si="31"/>
        <v>97.859999999999985</v>
      </c>
      <c r="CA20" s="22">
        <v>11.9</v>
      </c>
      <c r="CB20" s="22">
        <v>8.5</v>
      </c>
      <c r="CC20" s="22">
        <v>11.3</v>
      </c>
      <c r="CD20" s="22">
        <v>14.57</v>
      </c>
      <c r="CE20" s="22">
        <v>1</v>
      </c>
      <c r="CF20" s="22">
        <v>1.2</v>
      </c>
      <c r="CG20" s="22">
        <v>0.8</v>
      </c>
      <c r="CH20" s="22">
        <v>1.7</v>
      </c>
      <c r="CI20" s="22">
        <v>1.67</v>
      </c>
      <c r="CJ20" s="22">
        <v>0</v>
      </c>
      <c r="CK20" s="22">
        <v>11.8</v>
      </c>
      <c r="CL20" s="22">
        <v>8.3000000000000007</v>
      </c>
      <c r="CM20" s="22">
        <v>14.1</v>
      </c>
      <c r="CN20" s="22">
        <v>14.52</v>
      </c>
      <c r="CO20" s="22">
        <v>0</v>
      </c>
      <c r="CP20" s="27"/>
      <c r="CQ20" s="38">
        <f t="shared" si="32"/>
        <v>11.3</v>
      </c>
      <c r="CR20" s="38">
        <f t="shared" si="33"/>
        <v>14.57</v>
      </c>
      <c r="CS20" s="40">
        <f t="shared" si="34"/>
        <v>45.269999999999996</v>
      </c>
      <c r="CT20" s="40">
        <f t="shared" si="35"/>
        <v>1.7</v>
      </c>
      <c r="CU20" s="40">
        <f t="shared" si="36"/>
        <v>1.67</v>
      </c>
      <c r="CV20" s="40">
        <f t="shared" si="37"/>
        <v>5.37</v>
      </c>
      <c r="CW20" s="40">
        <f t="shared" si="38"/>
        <v>45.269999999999996</v>
      </c>
      <c r="CX20" s="40">
        <f t="shared" si="39"/>
        <v>14.1</v>
      </c>
      <c r="CY20" s="40">
        <f t="shared" si="40"/>
        <v>14.52</v>
      </c>
      <c r="CZ20" s="40">
        <f t="shared" si="41"/>
        <v>48.72</v>
      </c>
      <c r="DA20" s="40">
        <f t="shared" si="42"/>
        <v>93.99</v>
      </c>
      <c r="DB20" s="50" t="str">
        <f t="shared" si="43"/>
        <v/>
      </c>
      <c r="DC20" s="50" t="str">
        <f t="shared" si="44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45"/>
        <v/>
      </c>
      <c r="DY20" s="40" t="str">
        <f t="shared" si="46"/>
        <v/>
      </c>
      <c r="DZ20" s="40" t="str">
        <f t="shared" si="47"/>
        <v/>
      </c>
      <c r="EA20" s="40" t="str">
        <f t="shared" si="48"/>
        <v/>
      </c>
      <c r="EB20" s="40" t="str">
        <f t="shared" si="49"/>
        <v/>
      </c>
      <c r="EC20" s="40" t="str">
        <f t="shared" si="50"/>
        <v/>
      </c>
      <c r="ED20" s="40" t="str">
        <f t="shared" si="51"/>
        <v/>
      </c>
      <c r="EE20" s="40" t="str">
        <f t="shared" si="52"/>
        <v/>
      </c>
      <c r="EF20" s="40" t="str">
        <f t="shared" si="53"/>
        <v/>
      </c>
      <c r="EG20" s="40" t="str">
        <f t="shared" si="54"/>
        <v/>
      </c>
      <c r="EH20" s="40" t="str">
        <f t="shared" si="55"/>
        <v/>
      </c>
      <c r="EI20" s="40" t="str">
        <f t="shared" si="56"/>
        <v/>
      </c>
      <c r="EJ20" s="40" t="str">
        <f t="shared" si="57"/>
        <v/>
      </c>
      <c r="EK20" s="40" t="str">
        <f t="shared" si="58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59"/>
        <v/>
      </c>
      <c r="FG20" s="11" t="str">
        <f t="shared" si="60"/>
        <v/>
      </c>
      <c r="FH20" s="11" t="str">
        <f t="shared" si="61"/>
        <v/>
      </c>
      <c r="FI20" s="11" t="str">
        <f t="shared" si="62"/>
        <v/>
      </c>
      <c r="FJ20" s="11" t="str">
        <f t="shared" si="63"/>
        <v/>
      </c>
      <c r="FK20" s="11" t="str">
        <f t="shared" si="64"/>
        <v/>
      </c>
      <c r="FL20" s="11" t="str">
        <f t="shared" si="65"/>
        <v/>
      </c>
      <c r="FM20" s="11" t="str">
        <f t="shared" si="66"/>
        <v/>
      </c>
      <c r="FN20" s="11" t="str">
        <f t="shared" si="67"/>
        <v/>
      </c>
      <c r="FO20" s="11" t="str">
        <f t="shared" si="68"/>
        <v/>
      </c>
      <c r="FP20" s="11" t="str">
        <f t="shared" si="69"/>
        <v/>
      </c>
      <c r="FQ20" s="11" t="str">
        <f t="shared" si="70"/>
        <v/>
      </c>
      <c r="FR20" s="11" t="str">
        <f t="shared" si="71"/>
        <v/>
      </c>
      <c r="FS20" s="11" t="str">
        <f t="shared" si="72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3"/>
        <v/>
      </c>
      <c r="GO20" s="40" t="str">
        <f t="shared" si="74"/>
        <v/>
      </c>
      <c r="GP20" s="40" t="str">
        <f t="shared" si="75"/>
        <v/>
      </c>
      <c r="GQ20" s="40" t="str">
        <f t="shared" si="76"/>
        <v/>
      </c>
      <c r="GR20" s="40" t="str">
        <f t="shared" si="77"/>
        <v/>
      </c>
      <c r="GS20" s="40" t="str">
        <f t="shared" si="78"/>
        <v/>
      </c>
      <c r="GT20" s="40" t="str">
        <f t="shared" si="79"/>
        <v/>
      </c>
      <c r="GU20" s="40" t="str">
        <f t="shared" si="80"/>
        <v/>
      </c>
      <c r="GV20" s="40" t="str">
        <f t="shared" si="81"/>
        <v/>
      </c>
      <c r="GW20" s="40" t="str">
        <f t="shared" si="82"/>
        <v/>
      </c>
      <c r="GX20" s="40" t="str">
        <f t="shared" si="83"/>
        <v/>
      </c>
      <c r="GY20" s="40" t="str">
        <f t="shared" si="84"/>
        <v/>
      </c>
      <c r="GZ20" s="40" t="str">
        <f t="shared" si="85"/>
        <v/>
      </c>
      <c r="HA20" s="40" t="str">
        <f t="shared" si="86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87"/>
        <v/>
      </c>
      <c r="HW20" s="11" t="str">
        <f t="shared" si="88"/>
        <v/>
      </c>
      <c r="HX20" s="11" t="str">
        <f t="shared" si="89"/>
        <v/>
      </c>
      <c r="HY20" s="11" t="str">
        <f t="shared" si="90"/>
        <v/>
      </c>
      <c r="HZ20" s="11" t="str">
        <f t="shared" si="91"/>
        <v/>
      </c>
      <c r="IA20" s="11" t="str">
        <f t="shared" si="92"/>
        <v/>
      </c>
      <c r="IB20" s="11" t="str">
        <f t="shared" si="93"/>
        <v/>
      </c>
      <c r="IC20" s="11" t="str">
        <f t="shared" si="94"/>
        <v/>
      </c>
      <c r="ID20" s="11" t="str">
        <f t="shared" si="95"/>
        <v/>
      </c>
      <c r="IE20" s="11" t="str">
        <f t="shared" si="96"/>
        <v/>
      </c>
      <c r="IF20" s="11" t="str">
        <f t="shared" si="97"/>
        <v/>
      </c>
      <c r="IG20" s="11" t="str">
        <f t="shared" si="98"/>
        <v/>
      </c>
      <c r="IH20" s="11" t="str">
        <f t="shared" si="99"/>
        <v/>
      </c>
      <c r="II20" s="11" t="str">
        <f t="shared" si="100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1"/>
        <v/>
      </c>
      <c r="JE20" s="40" t="str">
        <f t="shared" si="102"/>
        <v/>
      </c>
      <c r="JF20" s="40" t="str">
        <f t="shared" si="103"/>
        <v/>
      </c>
      <c r="JG20" s="40" t="str">
        <f t="shared" si="104"/>
        <v/>
      </c>
      <c r="JH20" s="40" t="str">
        <f t="shared" si="105"/>
        <v/>
      </c>
      <c r="JI20" s="40" t="str">
        <f t="shared" si="106"/>
        <v/>
      </c>
      <c r="JJ20" s="40" t="str">
        <f t="shared" si="107"/>
        <v/>
      </c>
      <c r="JK20" s="40" t="str">
        <f t="shared" si="108"/>
        <v/>
      </c>
      <c r="JL20" s="40" t="str">
        <f t="shared" si="109"/>
        <v/>
      </c>
      <c r="JM20" s="40" t="str">
        <f t="shared" si="110"/>
        <v/>
      </c>
      <c r="JN20" s="40" t="str">
        <f t="shared" si="111"/>
        <v/>
      </c>
      <c r="JO20" s="40" t="str">
        <f t="shared" si="112"/>
        <v/>
      </c>
      <c r="JP20" s="40" t="str">
        <f t="shared" si="113"/>
        <v/>
      </c>
      <c r="JQ20" s="40" t="str">
        <f t="shared" si="114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15"/>
        <v/>
      </c>
      <c r="KM20" s="11" t="str">
        <f t="shared" si="116"/>
        <v/>
      </c>
      <c r="KN20" s="11" t="str">
        <f t="shared" si="117"/>
        <v/>
      </c>
      <c r="KO20" s="11" t="str">
        <f t="shared" si="118"/>
        <v/>
      </c>
      <c r="KP20" s="11" t="str">
        <f t="shared" si="119"/>
        <v/>
      </c>
      <c r="KQ20" s="11" t="str">
        <f t="shared" si="120"/>
        <v/>
      </c>
      <c r="KR20" s="11" t="str">
        <f t="shared" si="121"/>
        <v/>
      </c>
      <c r="KS20" s="11" t="str">
        <f t="shared" si="122"/>
        <v/>
      </c>
      <c r="KT20" s="11" t="str">
        <f t="shared" si="123"/>
        <v/>
      </c>
      <c r="KU20" s="11" t="str">
        <f t="shared" si="124"/>
        <v/>
      </c>
      <c r="KV20" s="11" t="str">
        <f t="shared" si="125"/>
        <v/>
      </c>
      <c r="KW20" s="11" t="str">
        <f t="shared" si="126"/>
        <v/>
      </c>
      <c r="KX20" s="11" t="str">
        <f t="shared" si="127"/>
        <v/>
      </c>
      <c r="KY20" s="11" t="str">
        <f t="shared" si="128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29"/>
        <v/>
      </c>
      <c r="LU20" s="40" t="str">
        <f t="shared" si="130"/>
        <v/>
      </c>
      <c r="LV20" s="40" t="str">
        <f t="shared" si="131"/>
        <v/>
      </c>
      <c r="LW20" s="40" t="str">
        <f t="shared" si="132"/>
        <v/>
      </c>
      <c r="LX20" s="40" t="str">
        <f t="shared" si="133"/>
        <v/>
      </c>
      <c r="LY20" s="40" t="str">
        <f t="shared" si="134"/>
        <v/>
      </c>
      <c r="LZ20" s="40" t="str">
        <f t="shared" si="135"/>
        <v/>
      </c>
      <c r="MA20" s="40" t="str">
        <f t="shared" si="136"/>
        <v/>
      </c>
      <c r="MB20" s="40" t="str">
        <f t="shared" si="137"/>
        <v/>
      </c>
      <c r="MC20" s="40" t="str">
        <f t="shared" si="138"/>
        <v/>
      </c>
      <c r="MD20" s="40" t="str">
        <f t="shared" si="139"/>
        <v/>
      </c>
      <c r="ME20" s="40" t="str">
        <f t="shared" si="140"/>
        <v/>
      </c>
      <c r="MF20" s="40" t="str">
        <f t="shared" si="141"/>
        <v/>
      </c>
      <c r="MG20" s="40" t="str">
        <f t="shared" si="142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3"/>
        <v/>
      </c>
      <c r="NC20" s="11" t="str">
        <f t="shared" si="144"/>
        <v/>
      </c>
      <c r="ND20" s="11" t="str">
        <f t="shared" si="145"/>
        <v/>
      </c>
      <c r="NE20" s="11" t="str">
        <f t="shared" si="146"/>
        <v/>
      </c>
      <c r="NF20" s="11" t="str">
        <f t="shared" si="147"/>
        <v/>
      </c>
      <c r="NG20" s="11" t="str">
        <f t="shared" si="148"/>
        <v/>
      </c>
      <c r="NH20" s="11" t="str">
        <f t="shared" si="149"/>
        <v/>
      </c>
      <c r="NI20" s="11" t="str">
        <f t="shared" si="150"/>
        <v/>
      </c>
      <c r="NJ20" s="11" t="str">
        <f t="shared" si="151"/>
        <v/>
      </c>
      <c r="NK20" s="11" t="str">
        <f t="shared" si="152"/>
        <v/>
      </c>
      <c r="NL20" s="11" t="str">
        <f t="shared" si="153"/>
        <v/>
      </c>
      <c r="NM20" s="11" t="str">
        <f t="shared" si="154"/>
        <v/>
      </c>
      <c r="NN20" s="11" t="str">
        <f t="shared" si="155"/>
        <v/>
      </c>
      <c r="NO20" s="11" t="str">
        <f t="shared" si="156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57"/>
        <v/>
      </c>
      <c r="OK20" s="40" t="str">
        <f t="shared" si="158"/>
        <v/>
      </c>
      <c r="OL20" s="40" t="str">
        <f t="shared" si="159"/>
        <v/>
      </c>
      <c r="OM20" s="40" t="str">
        <f t="shared" si="160"/>
        <v/>
      </c>
      <c r="ON20" s="40" t="str">
        <f t="shared" si="161"/>
        <v/>
      </c>
      <c r="OO20" s="40" t="str">
        <f t="shared" si="162"/>
        <v/>
      </c>
      <c r="OP20" s="40" t="str">
        <f t="shared" si="163"/>
        <v/>
      </c>
      <c r="OQ20" s="40" t="str">
        <f t="shared" si="164"/>
        <v/>
      </c>
      <c r="OR20" s="40" t="str">
        <f t="shared" si="165"/>
        <v/>
      </c>
      <c r="OS20" s="40" t="str">
        <f t="shared" si="166"/>
        <v/>
      </c>
      <c r="OT20" s="40" t="str">
        <f t="shared" si="167"/>
        <v/>
      </c>
      <c r="OU20" s="40" t="str">
        <f t="shared" si="168"/>
        <v/>
      </c>
      <c r="OV20" s="40" t="str">
        <f t="shared" si="169"/>
        <v/>
      </c>
      <c r="OW20" s="40" t="str">
        <f t="shared" si="170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1"/>
        <v/>
      </c>
      <c r="PS20" s="11" t="str">
        <f t="shared" si="172"/>
        <v/>
      </c>
      <c r="PT20" s="11" t="str">
        <f t="shared" si="173"/>
        <v/>
      </c>
      <c r="PU20" s="11" t="str">
        <f t="shared" si="174"/>
        <v/>
      </c>
      <c r="PV20" s="11" t="str">
        <f t="shared" si="175"/>
        <v/>
      </c>
      <c r="PW20" s="11" t="str">
        <f t="shared" si="176"/>
        <v/>
      </c>
      <c r="PX20" s="11" t="str">
        <f t="shared" si="177"/>
        <v/>
      </c>
      <c r="PY20" s="11" t="str">
        <f t="shared" si="178"/>
        <v/>
      </c>
      <c r="PZ20" s="11" t="str">
        <f t="shared" si="179"/>
        <v/>
      </c>
      <c r="QA20" s="11" t="str">
        <f t="shared" si="180"/>
        <v/>
      </c>
      <c r="QB20" s="11" t="str">
        <f t="shared" si="181"/>
        <v/>
      </c>
      <c r="QC20" s="11" t="str">
        <f t="shared" si="182"/>
        <v/>
      </c>
      <c r="QD20" s="11" t="str">
        <f t="shared" si="183"/>
        <v/>
      </c>
      <c r="QE20" s="11" t="str">
        <f t="shared" si="184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85"/>
        <v/>
      </c>
      <c r="RA20" s="40" t="str">
        <f t="shared" si="186"/>
        <v/>
      </c>
      <c r="RB20" s="40" t="str">
        <f t="shared" si="187"/>
        <v/>
      </c>
      <c r="RC20" s="40" t="str">
        <f t="shared" si="188"/>
        <v/>
      </c>
      <c r="RD20" s="40" t="str">
        <f t="shared" si="189"/>
        <v/>
      </c>
      <c r="RE20" s="40" t="str">
        <f t="shared" si="190"/>
        <v/>
      </c>
      <c r="RF20" s="40" t="str">
        <f t="shared" si="191"/>
        <v/>
      </c>
      <c r="RG20" s="40" t="str">
        <f t="shared" si="192"/>
        <v/>
      </c>
      <c r="RH20" s="40" t="str">
        <f t="shared" si="193"/>
        <v/>
      </c>
      <c r="RI20" s="40" t="str">
        <f t="shared" si="194"/>
        <v/>
      </c>
      <c r="RJ20" s="40" t="str">
        <f t="shared" si="195"/>
        <v/>
      </c>
      <c r="RK20" s="40" t="str">
        <f t="shared" si="196"/>
        <v/>
      </c>
      <c r="RL20" s="40" t="str">
        <f t="shared" si="197"/>
        <v/>
      </c>
      <c r="RM20" s="40" t="str">
        <f t="shared" si="198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199"/>
        <v/>
      </c>
      <c r="SI20" s="11" t="str">
        <f t="shared" si="200"/>
        <v/>
      </c>
      <c r="SJ20" s="11" t="str">
        <f t="shared" si="201"/>
        <v/>
      </c>
      <c r="SK20" s="11" t="str">
        <f t="shared" si="202"/>
        <v/>
      </c>
      <c r="SL20" s="11" t="str">
        <f t="shared" si="203"/>
        <v/>
      </c>
      <c r="SM20" s="11" t="str">
        <f t="shared" si="204"/>
        <v/>
      </c>
      <c r="SN20" s="11" t="str">
        <f t="shared" si="205"/>
        <v/>
      </c>
      <c r="SO20" s="11" t="str">
        <f t="shared" si="206"/>
        <v/>
      </c>
      <c r="SP20" s="11" t="str">
        <f t="shared" si="207"/>
        <v/>
      </c>
      <c r="SQ20" s="11" t="str">
        <f t="shared" si="208"/>
        <v/>
      </c>
      <c r="SR20" s="11" t="str">
        <f t="shared" si="209"/>
        <v/>
      </c>
      <c r="SS20" s="11" t="str">
        <f t="shared" si="210"/>
        <v/>
      </c>
      <c r="ST20" s="11" t="str">
        <f t="shared" si="211"/>
        <v/>
      </c>
      <c r="SU20" s="11" t="str">
        <f t="shared" si="212"/>
        <v/>
      </c>
      <c r="SV20" s="22">
        <f t="shared" si="213"/>
        <v>11.75</v>
      </c>
      <c r="SW20" s="22">
        <f t="shared" si="214"/>
        <v>8.8000000000000007</v>
      </c>
      <c r="SX20" s="22">
        <f t="shared" si="215"/>
        <v>12.7</v>
      </c>
      <c r="SY20" s="22">
        <f t="shared" si="216"/>
        <v>14.36</v>
      </c>
      <c r="SZ20" s="22">
        <f t="shared" si="217"/>
        <v>0.5</v>
      </c>
      <c r="TA20" s="22">
        <f t="shared" si="218"/>
        <v>1.1000000000000001</v>
      </c>
      <c r="TB20" s="22">
        <f t="shared" si="219"/>
        <v>0.8</v>
      </c>
      <c r="TC20" s="22">
        <f t="shared" si="220"/>
        <v>1.85</v>
      </c>
      <c r="TD20" s="22">
        <f t="shared" si="221"/>
        <v>1.635</v>
      </c>
      <c r="TE20" s="22">
        <f t="shared" si="222"/>
        <v>0</v>
      </c>
      <c r="TF20" s="22">
        <f t="shared" si="223"/>
        <v>12.100000000000001</v>
      </c>
      <c r="TG20" s="22">
        <f t="shared" si="224"/>
        <v>8.8500000000000014</v>
      </c>
      <c r="TH20" s="22">
        <f t="shared" si="225"/>
        <v>13.399999999999999</v>
      </c>
      <c r="TI20" s="22">
        <f t="shared" si="226"/>
        <v>14.465</v>
      </c>
      <c r="TJ20" s="22">
        <f t="shared" si="227"/>
        <v>0</v>
      </c>
      <c r="TK20" s="27" t="s">
        <v>46</v>
      </c>
      <c r="TL20" s="40">
        <f t="shared" si="228"/>
        <v>12.7</v>
      </c>
      <c r="TM20" s="40">
        <f t="shared" si="229"/>
        <v>14.36</v>
      </c>
      <c r="TN20" s="40">
        <f t="shared" si="230"/>
        <v>47.11</v>
      </c>
      <c r="TO20" s="40">
        <f t="shared" si="231"/>
        <v>1.85</v>
      </c>
      <c r="TP20" s="40">
        <f t="shared" si="232"/>
        <v>1.635</v>
      </c>
      <c r="TQ20" s="40">
        <f t="shared" si="233"/>
        <v>5.3849999999999998</v>
      </c>
      <c r="TR20" s="40">
        <f t="shared" si="234"/>
        <v>47.11</v>
      </c>
      <c r="TS20" s="40">
        <f t="shared" si="235"/>
        <v>13.399999999999999</v>
      </c>
      <c r="TT20" s="40">
        <f t="shared" si="236"/>
        <v>14.465</v>
      </c>
      <c r="TU20" s="40">
        <f t="shared" si="237"/>
        <v>48.814999999999998</v>
      </c>
      <c r="TV20" s="40">
        <f t="shared" si="238"/>
        <v>95.924999999999997</v>
      </c>
    </row>
    <row r="21" spans="1:542" x14ac:dyDescent="0.2">
      <c r="A21" s="4" t="str" cm="1">
        <f t="array" ref="A21">IF(AND(J21&lt;&gt;"",J21&lt;&gt;"No DD"),SUMPRODUCT((J$4:J$28&lt;&gt;"")*(J$4:J$28&lt;&gt;"No DD")*(F$4:F$28&gt;F21))+1,IF(J21="No DD",SUMPRODUCT((J$4:J$28="No DD")*(F$4:F$28&gt;F21))+1+SUMPRODUCT((J$4:J$28&lt;&gt;"")*(J$4:J$28&lt;&gt;"No DD")),""))</f>
        <v/>
      </c>
      <c r="B21" s="4" t="str" cm="1">
        <f t="array" ref="B21">IF(AND(J21&lt;&gt;"",J21&lt;&gt;"No DD",G21=""),SUMPRODUCT((J$4:J$28&lt;&gt;"")*(J$4:J$28&lt;&gt;"No DD")*(G$4:G$28="")*(F$4:F$28&gt;F21))+1,IF(J21="No DD",SUMPRODUCT((J$4:J$28="No DD")*(F$4:F$28&gt;F21)*(G$4:G$28=""))+1+SUMPRODUCT((J$4:J$28&lt;&gt;"")*(G$4:G$28="")*(J$4:J$28&lt;&gt;"No DD")),""))</f>
        <v/>
      </c>
      <c r="C21" s="5" t="s">
        <v>160</v>
      </c>
      <c r="D21" s="4" t="s">
        <v>6</v>
      </c>
      <c r="E21" s="4">
        <v>2006</v>
      </c>
      <c r="F21" s="9">
        <f t="shared" si="0"/>
        <v>147.0500147050048</v>
      </c>
      <c r="G21" s="64"/>
      <c r="H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P","")</f>
        <v/>
      </c>
      <c r="I21" s="3" t="str">
        <f>IF(OR(AND(AQ21&gt;=AY$34,AQ21&lt;&gt;"",AN21=""),AND(AT21&gt;=AY$34,AT21&lt;&gt;"",AN21=""),AND(AX21&gt;=AY$34,AX21&lt;&gt;"",AN21=""),AND(BR21&gt;=BZ$34,BR21&lt;&gt;"",BO21=""),AND(BU21&gt;=BZ$34,BU21&lt;&gt;"",BO21=""),AND(BY21&gt;=BZ$34,BY21&lt;&gt;"",BO21=""),AND(CS21&gt;=DA$34,CS21&lt;&gt;"",CP21=""),AND(CV21&gt;=DA$34,CV21&lt;&gt;"",CP21=""),AND(CZ21&gt;=DA$34,CZ21&lt;&gt;"",CP21=""),AND(DZ21&gt;=EK$34,DZ21&lt;&gt;""),AND(EC21&gt;=EK$34,EC21&lt;&gt;""),AND(EG21&gt;=EK$34,EG21&lt;&gt;""),AND(EJ21&gt;=EK$34,EJ21&lt;&gt;""),AND(FH21&gt;=FS$34,FH21&lt;&gt;""),AND(FK21&gt;=FS$34,FK21&lt;&gt;""),AND(FO21&gt;=FS$34,FO21&lt;&gt;""),AND(FR21&gt;=FS$34,FR21&lt;&gt;""),AND(GP21&gt;=HA$34,GP21&lt;&gt;""),AND(GS21&gt;=HA$34,GS21&lt;&gt;""),AND(GW21&gt;=HA$34,GW21&lt;&gt;""),AND(GZ21&gt;=HA$34,GZ21&lt;&gt;""),AND(HX21&gt;=II$34,HX21&lt;&gt;""),AND(IA21&gt;=II$34,IA21&lt;&gt;""),AND(IE21&gt;=II$34,IE21&lt;&gt;""),AND(IH21&gt;=II$34,IH21&lt;&gt;""),AND(JF21&gt;=JQ$34,JF21&lt;&gt;""),AND(JI21&gt;=JQ$34,JI21&lt;&gt;""),AND(JM21&gt;=JQ$34,JM21&lt;&gt;""),AND(JP21&gt;=JQ$34,JP21&lt;&gt;""),AND(KN21&gt;=KY$34,KN21&lt;&gt;""),AND(KQ21&gt;=KY$34,KQ21&lt;&gt;""),AND(KU21&gt;=KY$34,KU21&lt;&gt;""),AND(KX21&gt;=KY$34,KX21&lt;&gt;""),AND(LV21&gt;=MG$34,LV21&lt;&gt;""),AND(LY21&gt;=MG$34,LY21&lt;&gt;""),AND(MC21&gt;=MG$34,MC21&lt;&gt;""),AND(MF21&gt;=MG$34,MF21&lt;&gt;""),AND(ND21&gt;=NO$34,ND21&lt;&gt;""),AND(NG21&gt;=NO$34,NG21&lt;&gt;""),AND(NK21&gt;=NO$34,NK21&lt;&gt;""),AND(NN21&gt;=NO$34,NN21&lt;&gt;""),AND(OL21&gt;=OW$34,OL21&lt;&gt;""),AND(OO21&gt;=OW$34,OO21&lt;&gt;""),AND(OS21&gt;=OW$34,OS21&lt;&gt;""),AND(OV21&gt;=OW$34,OV21&lt;&gt;""),AND(PT21&gt;=QE$34,PT21&lt;&gt;""),AND(PW21&gt;=QE$34,PW21&lt;&gt;""),AND(QA21&gt;=QE$34,QA21&lt;&gt;""),AND(QD21&gt;=QE$34,QD21&lt;&gt;""),AND(RB21&gt;=RM$34,RB21&lt;&gt;""),AND(RE21&gt;=RM$34,RE21&lt;&gt;""),AND(RI21&gt;=RM$34,RI21&lt;&gt;""),AND(RL21&gt;=RM$34,RL21&lt;&gt;""),AND(SJ21&gt;=SU$34,SJ21&lt;&gt;""),AND(SM21&gt;=SU$34,SM21&lt;&gt;""),AND(SQ21&gt;=SU$34,SQ21&lt;&gt;""),AND(ST21&gt;=SU$34,ST21&lt;&gt;"")),"P","")</f>
        <v/>
      </c>
      <c r="J21" s="36" t="str">
        <f>IF(AND(I21="P",H21=""),"No DD",IF(OR(AND(AO21&gt;=AY$33,AO21&lt;&gt;"",AQ21&gt;=AY$37,AQ21&lt;&gt;"",AN21=""),AND(AR21&gt;=AY$33,AR21&lt;&gt;"",AT21&gt;=AY$37,AT21&lt;&gt;"",AN21=""),AND(AV21&gt;=AY$33,AV21&lt;&gt;"",AX21&gt;=AY$37,AX21&lt;&gt;"",AN21=""),AND(BP21&gt;=BZ$33,BP21&lt;&gt;"",BR21&gt;=BZ$37,BR21&lt;&gt;"",BO21=""),AND(BS21&gt;=BZ$33,BS21&lt;&gt;"",BU21&gt;=BZ$37,BU21&lt;&gt;"",BO21=""),AND(BW21&gt;=BZ$33,BW21&lt;&gt;"",BY21&gt;=BZ$37,BY21&lt;&gt;"",BO21=""),AND(CQ21&gt;=DA$33,CQ21&lt;&gt;"",CS21&gt;=DA$37,CS21&lt;&gt;"",CP21=""),AND(CT21&gt;=DA$33,CT21&lt;&gt;"",CV21&gt;=DA$37,CV21&lt;&gt;"",CP21=""),AND(CX21&gt;=DA$33,CX21&lt;&gt;"",CZ21&gt;=DA$37,CZ21&lt;&gt;"",CP21=""),AND(DX21&gt;=EK$33,DX21&lt;&gt;"",DZ21&gt;=EK$37,DZ21&lt;&gt;""),AND(EA21&gt;=EK$33,EA21&lt;&gt;"",EC21&gt;=EK$37,EC21&lt;&gt;""),AND(EE21&gt;=EK$33,EE21&lt;&gt;"",EG21&gt;=EK$37,EG21&lt;&gt;""),AND(EH21&gt;=EK$33,EH21&lt;&gt;"",EJ21&gt;=EK$37,EJ21&lt;&gt;""),AND(FF21&gt;=FS$33,FF21&lt;&gt;"",FH21&gt;=FS$37,FH21&lt;&gt;""),AND(FI21&gt;=FS$33,FI21&lt;&gt;"",FK21&gt;=FS$37,FK21&lt;&gt;""),AND(FM21&gt;=FS$33,FM21&lt;&gt;"",FO21&gt;=FS$37,FO21&lt;&gt;""),AND(FP21&gt;=FS$33,FP21&lt;&gt;"",FR21&gt;=FS$37,FR21&lt;&gt;""),AND(GN21&gt;=HA$33,GN21&lt;&gt;"",GP21&gt;=HA$37,GP21&lt;&gt;""),AND(GQ21&gt;=HA$33,GQ21&lt;&gt;"",GS21&gt;=HA$37,GS21&lt;&gt;""),AND(GU21&gt;=HA$33,GU21&lt;&gt;"",GW21&gt;=HA$37,GW21&lt;&gt;""),AND(GX21&gt;=HA$33,GX21&lt;&gt;"",GZ21&gt;=HA$37,GZ21&lt;&gt;""),AND(HV21&gt;=II$33,HV21&lt;&gt;"",HX21&gt;=II$37,HX21&lt;&gt;""),AND(HY21&gt;=II$33,HY21&lt;&gt;"",IA21&gt;=II$37,IA21&lt;&gt;""),AND(IC21&gt;=II$33,IC21&lt;&gt;"",IE21&gt;=II$37,IE21&lt;&gt;""),AND(IF21&gt;=II$33,IF21&lt;&gt;"",IH21&gt;=II$37,IH21&lt;&gt;""),AND(JD21&gt;=JQ$33,JD21&lt;&gt;"",JF21&gt;=JQ$37,JF21&lt;&gt;""),AND(JG21&gt;=JQ$33,JG21&lt;&gt;"",JI21&gt;=JQ$37,JI21&lt;&gt;""),AND(JK21&gt;=JQ$33,JK21&lt;&gt;"",JM21&gt;=JQ$37,JM21&lt;&gt;""),AND(JN21&gt;=JQ$33,JN21&lt;&gt;"",JP21&gt;=JQ$37,JP21&lt;&gt;""),AND(KL21&gt;=KY$33,KL21&lt;&gt;"",KN21&gt;=KY$37,KN21&lt;&gt;""),AND(KO21&gt;=KY$33,KO21&lt;&gt;"",KQ21&gt;=KY$37,KQ21&lt;&gt;""),AND(KS21&gt;=KY$33,KS21&lt;&gt;"",KU21&gt;=KY$37,KU21&lt;&gt;""),AND(KV21&gt;=KY$33,KV21&lt;&gt;"",KX21&gt;=KY$37,KX21&lt;&gt;""),AND(LT21&gt;=MG$33,LT21&lt;&gt;"",LV21&gt;=MG$37,LV21&lt;&gt;""),AND(LW21&gt;=MG$33,LW21&lt;&gt;"",LY21&gt;=MG$37,LY21&lt;&gt;""),AND(MA21&gt;=MG$33,MA21&lt;&gt;"",MC21&gt;=MG$37,MC21&lt;&gt;""),AND(MD21&gt;=MG$33,MD21&lt;&gt;"",MF21&gt;=MG$37,MF21&lt;&gt;""),AND(NB21&gt;=NO$33,NB21&lt;&gt;"",ND21&gt;=NO$37,ND21&lt;&gt;""),AND(NE21&gt;=NO$33,NE21&lt;&gt;"",NG21&gt;=NO$37,NG21&lt;&gt;""),AND(NI21&gt;=NO$33,NI21&lt;&gt;"",NK21&gt;=NO$37,NK21&lt;&gt;""),AND(NL21&gt;=NO$33,NL21&lt;&gt;"",NN21&gt;=NO$37,NN21&lt;&gt;""),AND(OJ21&gt;=OW$33,OJ21&lt;&gt;"",OL21&gt;=OW$37,OL21&lt;&gt;""),AND(OM21&gt;=OW$33,OM21&lt;&gt;"",OO21&gt;=OW$37,OO21&lt;&gt;""),AND(OQ21&gt;=OW$33,OQ21&lt;&gt;"",OS21&gt;=OW$37,OS21&lt;&gt;""),AND(OT21&gt;=OW$33,OT21&lt;&gt;"",OV21&gt;=OW$37,OV21&lt;&gt;""),AND(PR21&gt;=QE$33,PR21&lt;&gt;"",PT21&gt;=QE$37,PT21&lt;&gt;""),AND(PU21&gt;=QE$33,PU21&lt;&gt;"",PW21&gt;=QE$37,PW21&lt;&gt;""),AND(PY21&gt;=QE$33,PY21&lt;&gt;"",QA21&gt;=QE$37,QA21&lt;&gt;""),AND(QB21&gt;=QE$33,QB21&lt;&gt;"",QD21&gt;=QE$37,QD21&lt;&gt;""),AND(QZ21&gt;=RM$33,QZ21&lt;&gt;"",RB21&gt;=RM$37,RB21&lt;&gt;""),AND(RC21&gt;=RM$33,RC21&lt;&gt;"",RE21&gt;=RM$37,RE21&lt;&gt;""),AND(RG21&gt;=RM$33,RG21&lt;&gt;"",RI21&gt;=RM$37,RI21&lt;&gt;""),AND(RJ21&gt;=RM$33,RJ21&lt;&gt;"",RL21&gt;=RM$37,RL21&lt;&gt;""),AND(SH21&gt;=SU$33,SH21&lt;&gt;"",SJ21&gt;=SU$37,SJ21&lt;&gt;""),AND(SK21&gt;=SU$33,SK21&lt;&gt;"",SM21&gt;=SU$37,SM21&lt;&gt;""),AND(SO21&gt;=SU$33,SO21&lt;&gt;"",SQ21&gt;=SU$37,SQ21&lt;&gt;""),AND(SR21&gt;=SU$33,SR21&lt;&gt;"",ST21&gt;=SU$37,ST21&lt;&gt;"")),"Merit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),"Excellence",IF(K21="P","Worlds Team",IF(H21="P","National Team","")))))</f>
        <v/>
      </c>
      <c r="K21" s="3" t="str">
        <f>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P","")</f>
        <v/>
      </c>
      <c r="L21" s="8">
        <f>IF(COUNT(AQ21,AT21,BR21,BU21,CS21,CV21)&gt;0,LARGE((AQ21,AT21,BR21,BU21,CS21,CV21),1),0)</f>
        <v>47.989999999999995</v>
      </c>
      <c r="M21" s="8" t="str">
        <f t="shared" si="1"/>
        <v>2024 3rd Domestic Trial</v>
      </c>
      <c r="N21" s="8">
        <f>IF(COUNT(AQ21,AT21,BR21,BU21,CS21,CV21)&gt;1,LARGE((AQ21,AT21,BR21,BU21,CS21,CV21),2),0)</f>
        <v>40.04</v>
      </c>
      <c r="O21" s="8" t="str">
        <f t="shared" si="2"/>
        <v>2024 3rd Domestic Trial</v>
      </c>
      <c r="P21" s="8">
        <f>IF(COUNT(AQ21,AT21,BR21,BU21,CS21,CV21)&gt;2,MAX(AX21,BY21,CZ21,LARGE((AQ21,AT21,BR21,BU21,CS21,CV21),3)),IF(MAX(AX21,BY21,CZ21)&gt;0,MAX(AX21,BY21,CZ21),0))</f>
        <v>48.819999999999993</v>
      </c>
      <c r="Q21" s="8" t="str">
        <f t="shared" si="3"/>
        <v>2024 3rd Domestic Trial</v>
      </c>
      <c r="R21" s="8">
        <f t="shared" si="4"/>
        <v>10.199999999999999</v>
      </c>
      <c r="S21" s="8" t="str">
        <f t="shared" si="5"/>
        <v>2024 3rd Domestic Trial</v>
      </c>
      <c r="T21" s="8">
        <f>IF(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&gt;0,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,0)</f>
        <v>0</v>
      </c>
      <c r="U21" s="8" t="str">
        <f t="shared" si="6"/>
        <v/>
      </c>
      <c r="V21" s="8" t="str">
        <f t="shared" si="7"/>
        <v/>
      </c>
      <c r="W21" s="11" t="str">
        <f t="shared" si="8"/>
        <v/>
      </c>
      <c r="X21" s="8" t="str">
        <f t="shared" si="9"/>
        <v/>
      </c>
      <c r="Y21" s="22">
        <v>11.7</v>
      </c>
      <c r="Z21" s="22">
        <v>8</v>
      </c>
      <c r="AA21" s="22">
        <v>7.5</v>
      </c>
      <c r="AB21" s="22">
        <v>12.84</v>
      </c>
      <c r="AC21" s="22">
        <v>0</v>
      </c>
      <c r="AD21" s="22">
        <v>13.2</v>
      </c>
      <c r="AE21" s="22">
        <v>9.5</v>
      </c>
      <c r="AF21" s="22">
        <v>10.199999999999999</v>
      </c>
      <c r="AG21" s="22">
        <v>15.09</v>
      </c>
      <c r="AH21" s="22">
        <v>0</v>
      </c>
      <c r="AI21" s="22">
        <v>14</v>
      </c>
      <c r="AJ21" s="22">
        <v>9.6</v>
      </c>
      <c r="AK21" s="22">
        <v>10.199999999999999</v>
      </c>
      <c r="AL21" s="22">
        <v>15.02</v>
      </c>
      <c r="AM21" s="22">
        <v>0</v>
      </c>
      <c r="AN21" s="27"/>
      <c r="AO21" s="38">
        <f t="shared" si="10"/>
        <v>7.5</v>
      </c>
      <c r="AP21" s="38">
        <f t="shared" si="11"/>
        <v>12.84</v>
      </c>
      <c r="AQ21" s="40">
        <f t="shared" si="12"/>
        <v>40.04</v>
      </c>
      <c r="AR21" s="40">
        <f t="shared" si="13"/>
        <v>10.199999999999999</v>
      </c>
      <c r="AS21" s="40">
        <f t="shared" si="14"/>
        <v>15.09</v>
      </c>
      <c r="AT21" s="40">
        <f t="shared" si="15"/>
        <v>47.989999999999995</v>
      </c>
      <c r="AU21" s="40">
        <f t="shared" si="16"/>
        <v>47.989999999999995</v>
      </c>
      <c r="AV21" s="40">
        <f t="shared" si="17"/>
        <v>10.199999999999999</v>
      </c>
      <c r="AW21" s="40">
        <f t="shared" si="18"/>
        <v>15.02</v>
      </c>
      <c r="AX21" s="40">
        <f t="shared" si="19"/>
        <v>48.819999999999993</v>
      </c>
      <c r="AY21" s="40">
        <f t="shared" si="20"/>
        <v>96.809999999999988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1"/>
        <v/>
      </c>
      <c r="BQ21" s="39" t="str">
        <f t="shared" si="22"/>
        <v/>
      </c>
      <c r="BR21" s="11" t="str">
        <f t="shared" si="23"/>
        <v/>
      </c>
      <c r="BS21" s="11" t="str">
        <f t="shared" si="24"/>
        <v/>
      </c>
      <c r="BT21" s="11" t="str">
        <f t="shared" si="25"/>
        <v/>
      </c>
      <c r="BU21" s="11" t="str">
        <f t="shared" si="26"/>
        <v/>
      </c>
      <c r="BV21" s="11" t="str">
        <f t="shared" si="27"/>
        <v/>
      </c>
      <c r="BW21" s="11" t="str">
        <f t="shared" si="28"/>
        <v/>
      </c>
      <c r="BX21" s="11" t="str">
        <f t="shared" si="29"/>
        <v/>
      </c>
      <c r="BY21" s="11" t="str">
        <f t="shared" si="30"/>
        <v/>
      </c>
      <c r="BZ21" s="11" t="str">
        <f t="shared" si="31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2"/>
        <v/>
      </c>
      <c r="CR21" s="38" t="str">
        <f t="shared" si="33"/>
        <v/>
      </c>
      <c r="CS21" s="40" t="str">
        <f t="shared" si="34"/>
        <v/>
      </c>
      <c r="CT21" s="40" t="str">
        <f t="shared" si="35"/>
        <v/>
      </c>
      <c r="CU21" s="40" t="str">
        <f t="shared" si="36"/>
        <v/>
      </c>
      <c r="CV21" s="40" t="str">
        <f t="shared" si="37"/>
        <v/>
      </c>
      <c r="CW21" s="40" t="str">
        <f t="shared" si="38"/>
        <v/>
      </c>
      <c r="CX21" s="40" t="str">
        <f t="shared" si="39"/>
        <v/>
      </c>
      <c r="CY21" s="40" t="str">
        <f t="shared" si="40"/>
        <v/>
      </c>
      <c r="CZ21" s="40" t="str">
        <f t="shared" si="41"/>
        <v/>
      </c>
      <c r="DA21" s="40" t="str">
        <f t="shared" si="42"/>
        <v/>
      </c>
      <c r="DB21" s="50" t="str">
        <f t="shared" si="43"/>
        <v/>
      </c>
      <c r="DC21" s="50" t="str">
        <f t="shared" si="44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45"/>
        <v/>
      </c>
      <c r="DY21" s="40" t="str">
        <f t="shared" si="46"/>
        <v/>
      </c>
      <c r="DZ21" s="40" t="str">
        <f t="shared" si="47"/>
        <v/>
      </c>
      <c r="EA21" s="40" t="str">
        <f t="shared" si="48"/>
        <v/>
      </c>
      <c r="EB21" s="40" t="str">
        <f t="shared" si="49"/>
        <v/>
      </c>
      <c r="EC21" s="40" t="str">
        <f t="shared" si="50"/>
        <v/>
      </c>
      <c r="ED21" s="40" t="str">
        <f t="shared" si="51"/>
        <v/>
      </c>
      <c r="EE21" s="40" t="str">
        <f t="shared" si="52"/>
        <v/>
      </c>
      <c r="EF21" s="40" t="str">
        <f t="shared" si="53"/>
        <v/>
      </c>
      <c r="EG21" s="40" t="str">
        <f t="shared" si="54"/>
        <v/>
      </c>
      <c r="EH21" s="40" t="str">
        <f t="shared" si="55"/>
        <v/>
      </c>
      <c r="EI21" s="40" t="str">
        <f t="shared" si="56"/>
        <v/>
      </c>
      <c r="EJ21" s="40" t="str">
        <f t="shared" si="57"/>
        <v/>
      </c>
      <c r="EK21" s="40" t="str">
        <f t="shared" si="58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59"/>
        <v/>
      </c>
      <c r="FG21" s="11" t="str">
        <f t="shared" si="60"/>
        <v/>
      </c>
      <c r="FH21" s="11" t="str">
        <f t="shared" si="61"/>
        <v/>
      </c>
      <c r="FI21" s="11" t="str">
        <f t="shared" si="62"/>
        <v/>
      </c>
      <c r="FJ21" s="11" t="str">
        <f t="shared" si="63"/>
        <v/>
      </c>
      <c r="FK21" s="11" t="str">
        <f t="shared" si="64"/>
        <v/>
      </c>
      <c r="FL21" s="11" t="str">
        <f t="shared" si="65"/>
        <v/>
      </c>
      <c r="FM21" s="11" t="str">
        <f t="shared" si="66"/>
        <v/>
      </c>
      <c r="FN21" s="11" t="str">
        <f t="shared" si="67"/>
        <v/>
      </c>
      <c r="FO21" s="11" t="str">
        <f t="shared" si="68"/>
        <v/>
      </c>
      <c r="FP21" s="11" t="str">
        <f t="shared" si="69"/>
        <v/>
      </c>
      <c r="FQ21" s="11" t="str">
        <f t="shared" si="70"/>
        <v/>
      </c>
      <c r="FR21" s="11" t="str">
        <f t="shared" si="71"/>
        <v/>
      </c>
      <c r="FS21" s="11" t="str">
        <f t="shared" si="72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3"/>
        <v/>
      </c>
      <c r="GO21" s="40" t="str">
        <f t="shared" si="74"/>
        <v/>
      </c>
      <c r="GP21" s="40" t="str">
        <f t="shared" si="75"/>
        <v/>
      </c>
      <c r="GQ21" s="40" t="str">
        <f t="shared" si="76"/>
        <v/>
      </c>
      <c r="GR21" s="40" t="str">
        <f t="shared" si="77"/>
        <v/>
      </c>
      <c r="GS21" s="40" t="str">
        <f t="shared" si="78"/>
        <v/>
      </c>
      <c r="GT21" s="40" t="str">
        <f t="shared" si="79"/>
        <v/>
      </c>
      <c r="GU21" s="40" t="str">
        <f t="shared" si="80"/>
        <v/>
      </c>
      <c r="GV21" s="40" t="str">
        <f t="shared" si="81"/>
        <v/>
      </c>
      <c r="GW21" s="40" t="str">
        <f t="shared" si="82"/>
        <v/>
      </c>
      <c r="GX21" s="40" t="str">
        <f t="shared" si="83"/>
        <v/>
      </c>
      <c r="GY21" s="40" t="str">
        <f t="shared" si="84"/>
        <v/>
      </c>
      <c r="GZ21" s="40" t="str">
        <f t="shared" si="85"/>
        <v/>
      </c>
      <c r="HA21" s="40" t="str">
        <f t="shared" si="86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87"/>
        <v/>
      </c>
      <c r="HW21" s="11" t="str">
        <f t="shared" si="88"/>
        <v/>
      </c>
      <c r="HX21" s="11" t="str">
        <f t="shared" si="89"/>
        <v/>
      </c>
      <c r="HY21" s="11" t="str">
        <f t="shared" si="90"/>
        <v/>
      </c>
      <c r="HZ21" s="11" t="str">
        <f t="shared" si="91"/>
        <v/>
      </c>
      <c r="IA21" s="11" t="str">
        <f t="shared" si="92"/>
        <v/>
      </c>
      <c r="IB21" s="11" t="str">
        <f t="shared" si="93"/>
        <v/>
      </c>
      <c r="IC21" s="11" t="str">
        <f t="shared" si="94"/>
        <v/>
      </c>
      <c r="ID21" s="11" t="str">
        <f t="shared" si="95"/>
        <v/>
      </c>
      <c r="IE21" s="11" t="str">
        <f t="shared" si="96"/>
        <v/>
      </c>
      <c r="IF21" s="11" t="str">
        <f t="shared" si="97"/>
        <v/>
      </c>
      <c r="IG21" s="11" t="str">
        <f t="shared" si="98"/>
        <v/>
      </c>
      <c r="IH21" s="11" t="str">
        <f t="shared" si="99"/>
        <v/>
      </c>
      <c r="II21" s="11" t="str">
        <f t="shared" si="100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1"/>
        <v/>
      </c>
      <c r="JE21" s="40" t="str">
        <f t="shared" si="102"/>
        <v/>
      </c>
      <c r="JF21" s="40" t="str">
        <f t="shared" si="103"/>
        <v/>
      </c>
      <c r="JG21" s="40" t="str">
        <f t="shared" si="104"/>
        <v/>
      </c>
      <c r="JH21" s="40" t="str">
        <f t="shared" si="105"/>
        <v/>
      </c>
      <c r="JI21" s="40" t="str">
        <f t="shared" si="106"/>
        <v/>
      </c>
      <c r="JJ21" s="40" t="str">
        <f t="shared" si="107"/>
        <v/>
      </c>
      <c r="JK21" s="40" t="str">
        <f t="shared" si="108"/>
        <v/>
      </c>
      <c r="JL21" s="40" t="str">
        <f t="shared" si="109"/>
        <v/>
      </c>
      <c r="JM21" s="40" t="str">
        <f t="shared" si="110"/>
        <v/>
      </c>
      <c r="JN21" s="40" t="str">
        <f t="shared" si="111"/>
        <v/>
      </c>
      <c r="JO21" s="40" t="str">
        <f t="shared" si="112"/>
        <v/>
      </c>
      <c r="JP21" s="40" t="str">
        <f t="shared" si="113"/>
        <v/>
      </c>
      <c r="JQ21" s="40" t="str">
        <f t="shared" si="114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15"/>
        <v/>
      </c>
      <c r="KM21" s="11" t="str">
        <f t="shared" si="116"/>
        <v/>
      </c>
      <c r="KN21" s="11" t="str">
        <f t="shared" si="117"/>
        <v/>
      </c>
      <c r="KO21" s="11" t="str">
        <f t="shared" si="118"/>
        <v/>
      </c>
      <c r="KP21" s="11" t="str">
        <f t="shared" si="119"/>
        <v/>
      </c>
      <c r="KQ21" s="11" t="str">
        <f t="shared" si="120"/>
        <v/>
      </c>
      <c r="KR21" s="11" t="str">
        <f t="shared" si="121"/>
        <v/>
      </c>
      <c r="KS21" s="11" t="str">
        <f t="shared" si="122"/>
        <v/>
      </c>
      <c r="KT21" s="11" t="str">
        <f t="shared" si="123"/>
        <v/>
      </c>
      <c r="KU21" s="11" t="str">
        <f t="shared" si="124"/>
        <v/>
      </c>
      <c r="KV21" s="11" t="str">
        <f t="shared" si="125"/>
        <v/>
      </c>
      <c r="KW21" s="11" t="str">
        <f t="shared" si="126"/>
        <v/>
      </c>
      <c r="KX21" s="11" t="str">
        <f t="shared" si="127"/>
        <v/>
      </c>
      <c r="KY21" s="11" t="str">
        <f t="shared" si="128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29"/>
        <v/>
      </c>
      <c r="LU21" s="40" t="str">
        <f t="shared" si="130"/>
        <v/>
      </c>
      <c r="LV21" s="40" t="str">
        <f t="shared" si="131"/>
        <v/>
      </c>
      <c r="LW21" s="40" t="str">
        <f t="shared" si="132"/>
        <v/>
      </c>
      <c r="LX21" s="40" t="str">
        <f t="shared" si="133"/>
        <v/>
      </c>
      <c r="LY21" s="40" t="str">
        <f t="shared" si="134"/>
        <v/>
      </c>
      <c r="LZ21" s="40" t="str">
        <f t="shared" si="135"/>
        <v/>
      </c>
      <c r="MA21" s="40" t="str">
        <f t="shared" si="136"/>
        <v/>
      </c>
      <c r="MB21" s="40" t="str">
        <f t="shared" si="137"/>
        <v/>
      </c>
      <c r="MC21" s="40" t="str">
        <f t="shared" si="138"/>
        <v/>
      </c>
      <c r="MD21" s="40" t="str">
        <f t="shared" si="139"/>
        <v/>
      </c>
      <c r="ME21" s="40" t="str">
        <f t="shared" si="140"/>
        <v/>
      </c>
      <c r="MF21" s="40" t="str">
        <f t="shared" si="141"/>
        <v/>
      </c>
      <c r="MG21" s="40" t="str">
        <f t="shared" si="142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3"/>
        <v/>
      </c>
      <c r="NC21" s="11" t="str">
        <f t="shared" si="144"/>
        <v/>
      </c>
      <c r="ND21" s="11" t="str">
        <f t="shared" si="145"/>
        <v/>
      </c>
      <c r="NE21" s="11" t="str">
        <f t="shared" si="146"/>
        <v/>
      </c>
      <c r="NF21" s="11" t="str">
        <f t="shared" si="147"/>
        <v/>
      </c>
      <c r="NG21" s="11" t="str">
        <f t="shared" si="148"/>
        <v/>
      </c>
      <c r="NH21" s="11" t="str">
        <f t="shared" si="149"/>
        <v/>
      </c>
      <c r="NI21" s="11" t="str">
        <f t="shared" si="150"/>
        <v/>
      </c>
      <c r="NJ21" s="11" t="str">
        <f t="shared" si="151"/>
        <v/>
      </c>
      <c r="NK21" s="11" t="str">
        <f t="shared" si="152"/>
        <v/>
      </c>
      <c r="NL21" s="11" t="str">
        <f t="shared" si="153"/>
        <v/>
      </c>
      <c r="NM21" s="11" t="str">
        <f t="shared" si="154"/>
        <v/>
      </c>
      <c r="NN21" s="11" t="str">
        <f t="shared" si="155"/>
        <v/>
      </c>
      <c r="NO21" s="11" t="str">
        <f t="shared" si="156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57"/>
        <v/>
      </c>
      <c r="OK21" s="40" t="str">
        <f t="shared" si="158"/>
        <v/>
      </c>
      <c r="OL21" s="40" t="str">
        <f t="shared" si="159"/>
        <v/>
      </c>
      <c r="OM21" s="40" t="str">
        <f t="shared" si="160"/>
        <v/>
      </c>
      <c r="ON21" s="40" t="str">
        <f t="shared" si="161"/>
        <v/>
      </c>
      <c r="OO21" s="40" t="str">
        <f t="shared" si="162"/>
        <v/>
      </c>
      <c r="OP21" s="40" t="str">
        <f t="shared" si="163"/>
        <v/>
      </c>
      <c r="OQ21" s="40" t="str">
        <f t="shared" si="164"/>
        <v/>
      </c>
      <c r="OR21" s="40" t="str">
        <f t="shared" si="165"/>
        <v/>
      </c>
      <c r="OS21" s="40" t="str">
        <f t="shared" si="166"/>
        <v/>
      </c>
      <c r="OT21" s="40" t="str">
        <f t="shared" si="167"/>
        <v/>
      </c>
      <c r="OU21" s="40" t="str">
        <f t="shared" si="168"/>
        <v/>
      </c>
      <c r="OV21" s="40" t="str">
        <f t="shared" si="169"/>
        <v/>
      </c>
      <c r="OW21" s="40" t="str">
        <f t="shared" si="170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1"/>
        <v/>
      </c>
      <c r="PS21" s="11" t="str">
        <f t="shared" si="172"/>
        <v/>
      </c>
      <c r="PT21" s="11" t="str">
        <f t="shared" si="173"/>
        <v/>
      </c>
      <c r="PU21" s="11" t="str">
        <f t="shared" si="174"/>
        <v/>
      </c>
      <c r="PV21" s="11" t="str">
        <f t="shared" si="175"/>
        <v/>
      </c>
      <c r="PW21" s="11" t="str">
        <f t="shared" si="176"/>
        <v/>
      </c>
      <c r="PX21" s="11" t="str">
        <f t="shared" si="177"/>
        <v/>
      </c>
      <c r="PY21" s="11" t="str">
        <f t="shared" si="178"/>
        <v/>
      </c>
      <c r="PZ21" s="11" t="str">
        <f t="shared" si="179"/>
        <v/>
      </c>
      <c r="QA21" s="11" t="str">
        <f t="shared" si="180"/>
        <v/>
      </c>
      <c r="QB21" s="11" t="str">
        <f t="shared" si="181"/>
        <v/>
      </c>
      <c r="QC21" s="11" t="str">
        <f t="shared" si="182"/>
        <v/>
      </c>
      <c r="QD21" s="11" t="str">
        <f t="shared" si="183"/>
        <v/>
      </c>
      <c r="QE21" s="11" t="str">
        <f t="shared" si="184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85"/>
        <v/>
      </c>
      <c r="RA21" s="40" t="str">
        <f t="shared" si="186"/>
        <v/>
      </c>
      <c r="RB21" s="40" t="str">
        <f t="shared" si="187"/>
        <v/>
      </c>
      <c r="RC21" s="40" t="str">
        <f t="shared" si="188"/>
        <v/>
      </c>
      <c r="RD21" s="40" t="str">
        <f t="shared" si="189"/>
        <v/>
      </c>
      <c r="RE21" s="40" t="str">
        <f t="shared" si="190"/>
        <v/>
      </c>
      <c r="RF21" s="40" t="str">
        <f t="shared" si="191"/>
        <v/>
      </c>
      <c r="RG21" s="40" t="str">
        <f t="shared" si="192"/>
        <v/>
      </c>
      <c r="RH21" s="40" t="str">
        <f t="shared" si="193"/>
        <v/>
      </c>
      <c r="RI21" s="40" t="str">
        <f t="shared" si="194"/>
        <v/>
      </c>
      <c r="RJ21" s="40" t="str">
        <f t="shared" si="195"/>
        <v/>
      </c>
      <c r="RK21" s="40" t="str">
        <f t="shared" si="196"/>
        <v/>
      </c>
      <c r="RL21" s="40" t="str">
        <f t="shared" si="197"/>
        <v/>
      </c>
      <c r="RM21" s="40" t="str">
        <f t="shared" si="198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199"/>
        <v/>
      </c>
      <c r="SI21" s="11" t="str">
        <f t="shared" si="200"/>
        <v/>
      </c>
      <c r="SJ21" s="11" t="str">
        <f t="shared" si="201"/>
        <v/>
      </c>
      <c r="SK21" s="11" t="str">
        <f t="shared" si="202"/>
        <v/>
      </c>
      <c r="SL21" s="11" t="str">
        <f t="shared" si="203"/>
        <v/>
      </c>
      <c r="SM21" s="11" t="str">
        <f t="shared" si="204"/>
        <v/>
      </c>
      <c r="SN21" s="11" t="str">
        <f t="shared" si="205"/>
        <v/>
      </c>
      <c r="SO21" s="11" t="str">
        <f t="shared" si="206"/>
        <v/>
      </c>
      <c r="SP21" s="11" t="str">
        <f t="shared" si="207"/>
        <v/>
      </c>
      <c r="SQ21" s="11" t="str">
        <f t="shared" si="208"/>
        <v/>
      </c>
      <c r="SR21" s="11" t="str">
        <f t="shared" si="209"/>
        <v/>
      </c>
      <c r="SS21" s="11" t="str">
        <f t="shared" si="210"/>
        <v/>
      </c>
      <c r="ST21" s="11" t="str">
        <f t="shared" si="211"/>
        <v/>
      </c>
      <c r="SU21" s="11" t="str">
        <f t="shared" si="212"/>
        <v/>
      </c>
      <c r="SV21" s="22">
        <f t="shared" si="213"/>
        <v>0</v>
      </c>
      <c r="SW21" s="22">
        <f t="shared" si="214"/>
        <v>0</v>
      </c>
      <c r="SX21" s="22">
        <f t="shared" si="215"/>
        <v>0</v>
      </c>
      <c r="SY21" s="22">
        <f t="shared" si="216"/>
        <v>0</v>
      </c>
      <c r="SZ21" s="22">
        <f t="shared" si="217"/>
        <v>0</v>
      </c>
      <c r="TA21" s="22">
        <f t="shared" si="218"/>
        <v>0</v>
      </c>
      <c r="TB21" s="22">
        <f t="shared" si="219"/>
        <v>0</v>
      </c>
      <c r="TC21" s="22">
        <f t="shared" si="220"/>
        <v>0</v>
      </c>
      <c r="TD21" s="22">
        <f t="shared" si="221"/>
        <v>0</v>
      </c>
      <c r="TE21" s="22">
        <f t="shared" si="222"/>
        <v>0</v>
      </c>
      <c r="TF21" s="22">
        <f t="shared" si="223"/>
        <v>0</v>
      </c>
      <c r="TG21" s="22">
        <f t="shared" si="224"/>
        <v>0</v>
      </c>
      <c r="TH21" s="22">
        <f t="shared" si="225"/>
        <v>0</v>
      </c>
      <c r="TI21" s="22">
        <f t="shared" si="226"/>
        <v>0</v>
      </c>
      <c r="TJ21" s="22">
        <f t="shared" si="227"/>
        <v>0</v>
      </c>
      <c r="TK21" s="27" t="s">
        <v>46</v>
      </c>
      <c r="TL21" s="40" t="str">
        <f t="shared" si="228"/>
        <v/>
      </c>
      <c r="TM21" s="40" t="str">
        <f t="shared" si="229"/>
        <v/>
      </c>
      <c r="TN21" s="40" t="str">
        <f t="shared" si="230"/>
        <v/>
      </c>
      <c r="TO21" s="40" t="str">
        <f t="shared" si="231"/>
        <v/>
      </c>
      <c r="TP21" s="40" t="str">
        <f t="shared" si="232"/>
        <v/>
      </c>
      <c r="TQ21" s="40" t="str">
        <f t="shared" si="233"/>
        <v/>
      </c>
      <c r="TR21" s="40" t="str">
        <f t="shared" si="234"/>
        <v/>
      </c>
      <c r="TS21" s="40" t="str">
        <f t="shared" si="235"/>
        <v/>
      </c>
      <c r="TT21" s="40" t="str">
        <f t="shared" si="236"/>
        <v/>
      </c>
      <c r="TU21" s="40" t="str">
        <f t="shared" si="237"/>
        <v/>
      </c>
      <c r="TV21" s="40" t="str">
        <f t="shared" si="238"/>
        <v/>
      </c>
    </row>
    <row r="22" spans="1:542" x14ac:dyDescent="0.2">
      <c r="A22" s="4" t="str" cm="1">
        <f t="array" ref="A22">IF(AND(J22&lt;&gt;"",J22&lt;&gt;"No DD"),SUMPRODUCT((J$4:J$28&lt;&gt;"")*(J$4:J$28&lt;&gt;"No DD")*(F$4:F$28&gt;F22))+1,IF(J22="No DD",SUMPRODUCT((J$4:J$28="No DD")*(F$4:F$28&gt;F22))+1+SUMPRODUCT((J$4:J$28&lt;&gt;"")*(J$4:J$28&lt;&gt;"No DD")),""))</f>
        <v/>
      </c>
      <c r="B22" s="4" t="str" cm="1">
        <f t="array" ref="B22">IF(AND(J22&lt;&gt;"",J22&lt;&gt;"No DD",G22=""),SUMPRODUCT((J$4:J$28&lt;&gt;"")*(J$4:J$28&lt;&gt;"No DD")*(G$4:G$28="")*(F$4:F$28&gt;F22))+1,IF(J22="No DD",SUMPRODUCT((J$4:J$28="No DD")*(F$4:F$28&gt;F22)*(G$4:G$28=""))+1+SUMPRODUCT((J$4:J$28&lt;&gt;"")*(G$4:G$28="")*(J$4:J$28&lt;&gt;"No DD")),""))</f>
        <v/>
      </c>
      <c r="C22" s="5" t="s">
        <v>110</v>
      </c>
      <c r="D22" s="4" t="s">
        <v>6</v>
      </c>
      <c r="E22" s="4">
        <v>2004</v>
      </c>
      <c r="F22" s="9">
        <f t="shared" si="0"/>
        <v>140.14001401400441</v>
      </c>
      <c r="G22" s="64"/>
      <c r="H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P","")</f>
        <v/>
      </c>
      <c r="I22" s="3" t="str">
        <f>IF(OR(AND(AQ22&gt;=AY$34,AQ22&lt;&gt;"",AN22=""),AND(AT22&gt;=AY$34,AT22&lt;&gt;"",AN22=""),AND(AX22&gt;=AY$34,AX22&lt;&gt;"",AN22=""),AND(BR22&gt;=BZ$34,BR22&lt;&gt;"",BO22=""),AND(BU22&gt;=BZ$34,BU22&lt;&gt;"",BO22=""),AND(BY22&gt;=BZ$34,BY22&lt;&gt;"",BO22=""),AND(CS22&gt;=DA$34,CS22&lt;&gt;"",CP22=""),AND(CV22&gt;=DA$34,CV22&lt;&gt;"",CP22=""),AND(CZ22&gt;=DA$34,CZ22&lt;&gt;"",CP22=""),AND(DZ22&gt;=EK$34,DZ22&lt;&gt;""),AND(EC22&gt;=EK$34,EC22&lt;&gt;""),AND(EG22&gt;=EK$34,EG22&lt;&gt;""),AND(EJ22&gt;=EK$34,EJ22&lt;&gt;""),AND(FH22&gt;=FS$34,FH22&lt;&gt;""),AND(FK22&gt;=FS$34,FK22&lt;&gt;""),AND(FO22&gt;=FS$34,FO22&lt;&gt;""),AND(FR22&gt;=FS$34,FR22&lt;&gt;""),AND(GP22&gt;=HA$34,GP22&lt;&gt;""),AND(GS22&gt;=HA$34,GS22&lt;&gt;""),AND(GW22&gt;=HA$34,GW22&lt;&gt;""),AND(GZ22&gt;=HA$34,GZ22&lt;&gt;""),AND(HX22&gt;=II$34,HX22&lt;&gt;""),AND(IA22&gt;=II$34,IA22&lt;&gt;""),AND(IE22&gt;=II$34,IE22&lt;&gt;""),AND(IH22&gt;=II$34,IH22&lt;&gt;""),AND(JF22&gt;=JQ$34,JF22&lt;&gt;""),AND(JI22&gt;=JQ$34,JI22&lt;&gt;""),AND(JM22&gt;=JQ$34,JM22&lt;&gt;""),AND(JP22&gt;=JQ$34,JP22&lt;&gt;""),AND(KN22&gt;=KY$34,KN22&lt;&gt;""),AND(KQ22&gt;=KY$34,KQ22&lt;&gt;""),AND(KU22&gt;=KY$34,KU22&lt;&gt;""),AND(KX22&gt;=KY$34,KX22&lt;&gt;""),AND(LV22&gt;=MG$34,LV22&lt;&gt;""),AND(LY22&gt;=MG$34,LY22&lt;&gt;""),AND(MC22&gt;=MG$34,MC22&lt;&gt;""),AND(MF22&gt;=MG$34,MF22&lt;&gt;""),AND(ND22&gt;=NO$34,ND22&lt;&gt;""),AND(NG22&gt;=NO$34,NG22&lt;&gt;""),AND(NK22&gt;=NO$34,NK22&lt;&gt;""),AND(NN22&gt;=NO$34,NN22&lt;&gt;""),AND(OL22&gt;=OW$34,OL22&lt;&gt;""),AND(OO22&gt;=OW$34,OO22&lt;&gt;""),AND(OS22&gt;=OW$34,OS22&lt;&gt;""),AND(OV22&gt;=OW$34,OV22&lt;&gt;""),AND(PT22&gt;=QE$34,PT22&lt;&gt;""),AND(PW22&gt;=QE$34,PW22&lt;&gt;""),AND(QA22&gt;=QE$34,QA22&lt;&gt;""),AND(QD22&gt;=QE$34,QD22&lt;&gt;""),AND(RB22&gt;=RM$34,RB22&lt;&gt;""),AND(RE22&gt;=RM$34,RE22&lt;&gt;""),AND(RI22&gt;=RM$34,RI22&lt;&gt;""),AND(RL22&gt;=RM$34,RL22&lt;&gt;""),AND(SJ22&gt;=SU$34,SJ22&lt;&gt;""),AND(SM22&gt;=SU$34,SM22&lt;&gt;""),AND(SQ22&gt;=SU$34,SQ22&lt;&gt;""),AND(ST22&gt;=SU$34,ST22&lt;&gt;"")),"P","")</f>
        <v/>
      </c>
      <c r="J22" s="36" t="str">
        <f>IF(AND(I22="P",H22=""),"No DD",IF(OR(AND(AO22&gt;=AY$33,AO22&lt;&gt;"",AQ22&gt;=AY$37,AQ22&lt;&gt;"",AN22=""),AND(AR22&gt;=AY$33,AR22&lt;&gt;"",AT22&gt;=AY$37,AT22&lt;&gt;"",AN22=""),AND(AV22&gt;=AY$33,AV22&lt;&gt;"",AX22&gt;=AY$37,AX22&lt;&gt;"",AN22=""),AND(BP22&gt;=BZ$33,BP22&lt;&gt;"",BR22&gt;=BZ$37,BR22&lt;&gt;"",BO22=""),AND(BS22&gt;=BZ$33,BS22&lt;&gt;"",BU22&gt;=BZ$37,BU22&lt;&gt;"",BO22=""),AND(BW22&gt;=BZ$33,BW22&lt;&gt;"",BY22&gt;=BZ$37,BY22&lt;&gt;"",BO22=""),AND(CQ22&gt;=DA$33,CQ22&lt;&gt;"",CS22&gt;=DA$37,CS22&lt;&gt;"",CP22=""),AND(CT22&gt;=DA$33,CT22&lt;&gt;"",CV22&gt;=DA$37,CV22&lt;&gt;"",CP22=""),AND(CX22&gt;=DA$33,CX22&lt;&gt;"",CZ22&gt;=DA$37,CZ22&lt;&gt;"",CP22=""),AND(DX22&gt;=EK$33,DX22&lt;&gt;"",DZ22&gt;=EK$37,DZ22&lt;&gt;""),AND(EA22&gt;=EK$33,EA22&lt;&gt;"",EC22&gt;=EK$37,EC22&lt;&gt;""),AND(EE22&gt;=EK$33,EE22&lt;&gt;"",EG22&gt;=EK$37,EG22&lt;&gt;""),AND(EH22&gt;=EK$33,EH22&lt;&gt;"",EJ22&gt;=EK$37,EJ22&lt;&gt;""),AND(FF22&gt;=FS$33,FF22&lt;&gt;"",FH22&gt;=FS$37,FH22&lt;&gt;""),AND(FI22&gt;=FS$33,FI22&lt;&gt;"",FK22&gt;=FS$37,FK22&lt;&gt;""),AND(FM22&gt;=FS$33,FM22&lt;&gt;"",FO22&gt;=FS$37,FO22&lt;&gt;""),AND(FP22&gt;=FS$33,FP22&lt;&gt;"",FR22&gt;=FS$37,FR22&lt;&gt;""),AND(GN22&gt;=HA$33,GN22&lt;&gt;"",GP22&gt;=HA$37,GP22&lt;&gt;""),AND(GQ22&gt;=HA$33,GQ22&lt;&gt;"",GS22&gt;=HA$37,GS22&lt;&gt;""),AND(GU22&gt;=HA$33,GU22&lt;&gt;"",GW22&gt;=HA$37,GW22&lt;&gt;""),AND(GX22&gt;=HA$33,GX22&lt;&gt;"",GZ22&gt;=HA$37,GZ22&lt;&gt;""),AND(HV22&gt;=II$33,HV22&lt;&gt;"",HX22&gt;=II$37,HX22&lt;&gt;""),AND(HY22&gt;=II$33,HY22&lt;&gt;"",IA22&gt;=II$37,IA22&lt;&gt;""),AND(IC22&gt;=II$33,IC22&lt;&gt;"",IE22&gt;=II$37,IE22&lt;&gt;""),AND(IF22&gt;=II$33,IF22&lt;&gt;"",IH22&gt;=II$37,IH22&lt;&gt;""),AND(JD22&gt;=JQ$33,JD22&lt;&gt;"",JF22&gt;=JQ$37,JF22&lt;&gt;""),AND(JG22&gt;=JQ$33,JG22&lt;&gt;"",JI22&gt;=JQ$37,JI22&lt;&gt;""),AND(JK22&gt;=JQ$33,JK22&lt;&gt;"",JM22&gt;=JQ$37,JM22&lt;&gt;""),AND(JN22&gt;=JQ$33,JN22&lt;&gt;"",JP22&gt;=JQ$37,JP22&lt;&gt;""),AND(KL22&gt;=KY$33,KL22&lt;&gt;"",KN22&gt;=KY$37,KN22&lt;&gt;""),AND(KO22&gt;=KY$33,KO22&lt;&gt;"",KQ22&gt;=KY$37,KQ22&lt;&gt;""),AND(KS22&gt;=KY$33,KS22&lt;&gt;"",KU22&gt;=KY$37,KU22&lt;&gt;""),AND(KV22&gt;=KY$33,KV22&lt;&gt;"",KX22&gt;=KY$37,KX22&lt;&gt;""),AND(LT22&gt;=MG$33,LT22&lt;&gt;"",LV22&gt;=MG$37,LV22&lt;&gt;""),AND(LW22&gt;=MG$33,LW22&lt;&gt;"",LY22&gt;=MG$37,LY22&lt;&gt;""),AND(MA22&gt;=MG$33,MA22&lt;&gt;"",MC22&gt;=MG$37,MC22&lt;&gt;""),AND(MD22&gt;=MG$33,MD22&lt;&gt;"",MF22&gt;=MG$37,MF22&lt;&gt;""),AND(NB22&gt;=NO$33,NB22&lt;&gt;"",ND22&gt;=NO$37,ND22&lt;&gt;""),AND(NE22&gt;=NO$33,NE22&lt;&gt;"",NG22&gt;=NO$37,NG22&lt;&gt;""),AND(NI22&gt;=NO$33,NI22&lt;&gt;"",NK22&gt;=NO$37,NK22&lt;&gt;""),AND(NL22&gt;=NO$33,NL22&lt;&gt;"",NN22&gt;=NO$37,NN22&lt;&gt;""),AND(OJ22&gt;=OW$33,OJ22&lt;&gt;"",OL22&gt;=OW$37,OL22&lt;&gt;""),AND(OM22&gt;=OW$33,OM22&lt;&gt;"",OO22&gt;=OW$37,OO22&lt;&gt;""),AND(OQ22&gt;=OW$33,OQ22&lt;&gt;"",OS22&gt;=OW$37,OS22&lt;&gt;""),AND(OT22&gt;=OW$33,OT22&lt;&gt;"",OV22&gt;=OW$37,OV22&lt;&gt;""),AND(PR22&gt;=QE$33,PR22&lt;&gt;"",PT22&gt;=QE$37,PT22&lt;&gt;""),AND(PU22&gt;=QE$33,PU22&lt;&gt;"",PW22&gt;=QE$37,PW22&lt;&gt;""),AND(PY22&gt;=QE$33,PY22&lt;&gt;"",QA22&gt;=QE$37,QA22&lt;&gt;""),AND(QB22&gt;=QE$33,QB22&lt;&gt;"",QD22&gt;=QE$37,QD22&lt;&gt;""),AND(QZ22&gt;=RM$33,QZ22&lt;&gt;"",RB22&gt;=RM$37,RB22&lt;&gt;""),AND(RC22&gt;=RM$33,RC22&lt;&gt;"",RE22&gt;=RM$37,RE22&lt;&gt;""),AND(RG22&gt;=RM$33,RG22&lt;&gt;"",RI22&gt;=RM$37,RI22&lt;&gt;""),AND(RJ22&gt;=RM$33,RJ22&lt;&gt;"",RL22&gt;=RM$37,RL22&lt;&gt;""),AND(SH22&gt;=SU$33,SH22&lt;&gt;"",SJ22&gt;=SU$37,SJ22&lt;&gt;""),AND(SK22&gt;=SU$33,SK22&lt;&gt;"",SM22&gt;=SU$37,SM22&lt;&gt;""),AND(SO22&gt;=SU$33,SO22&lt;&gt;"",SQ22&gt;=SU$37,SQ22&lt;&gt;""),AND(SR22&gt;=SU$33,SR22&lt;&gt;"",ST22&gt;=SU$37,ST22&lt;&gt;"")),"Merit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),"Excellence",IF(K22="P","Worlds Team",IF(H22="P","National Team","")))))</f>
        <v/>
      </c>
      <c r="K22" s="3" t="str">
        <f>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P","")</f>
        <v/>
      </c>
      <c r="L22" s="8">
        <f>IF(COUNT(AQ22,AT22,BR22,BU22,CS22,CV22)&gt;0,LARGE((AQ22,AT22,BR22,BU22,CS22,CV22),1),0)</f>
        <v>43.96</v>
      </c>
      <c r="M22" s="8" t="str">
        <f t="shared" si="1"/>
        <v>2025 Elite Canada</v>
      </c>
      <c r="N22" s="8">
        <f>IF(COUNT(AQ22,AT22,BR22,BU22,CS22,CV22)&gt;1,LARGE((AQ22,AT22,BR22,BU22,CS22,CV22),2),0)</f>
        <v>36.6</v>
      </c>
      <c r="O22" s="8" t="str">
        <f t="shared" si="2"/>
        <v>2025 Elite Canada</v>
      </c>
      <c r="P22" s="8">
        <f>IF(COUNT(AQ22,AT22,BR22,BU22,CS22,CV22)&gt;2,MAX(AX22,BY22,CZ22,LARGE((AQ22,AT22,BR22,BU22,CS22,CV22),3)),IF(MAX(AX22,BY22,CZ22)&gt;0,MAX(AX22,BY22,CZ22),0))</f>
        <v>48.080000000000005</v>
      </c>
      <c r="Q22" s="8" t="str">
        <f t="shared" si="3"/>
        <v>2025 Elite Canada</v>
      </c>
      <c r="R22" s="8">
        <f t="shared" si="4"/>
        <v>11.5</v>
      </c>
      <c r="S22" s="8" t="str">
        <f t="shared" si="5"/>
        <v>2025 Elite Canada</v>
      </c>
      <c r="T22" s="8">
        <f>IF(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&gt;0,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,0)</f>
        <v>0</v>
      </c>
      <c r="U22" s="8" t="str">
        <f t="shared" si="6"/>
        <v/>
      </c>
      <c r="V22" s="8" t="str">
        <f t="shared" si="7"/>
        <v/>
      </c>
      <c r="W22" s="11" t="str">
        <f t="shared" si="8"/>
        <v/>
      </c>
      <c r="X22" s="8" t="str">
        <f t="shared" si="9"/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0"/>
        <v/>
      </c>
      <c r="AP22" s="38" t="str">
        <f t="shared" si="11"/>
        <v/>
      </c>
      <c r="AQ22" s="40" t="str">
        <f t="shared" si="12"/>
        <v/>
      </c>
      <c r="AR22" s="40" t="str">
        <f t="shared" si="13"/>
        <v/>
      </c>
      <c r="AS22" s="40" t="str">
        <f t="shared" si="14"/>
        <v/>
      </c>
      <c r="AT22" s="40" t="str">
        <f t="shared" si="15"/>
        <v/>
      </c>
      <c r="AU22" s="40" t="str">
        <f t="shared" si="16"/>
        <v/>
      </c>
      <c r="AV22" s="40" t="str">
        <f t="shared" si="17"/>
        <v/>
      </c>
      <c r="AW22" s="40" t="str">
        <f t="shared" si="18"/>
        <v/>
      </c>
      <c r="AX22" s="40" t="str">
        <f t="shared" si="19"/>
        <v/>
      </c>
      <c r="AY22" s="40" t="str">
        <f t="shared" si="20"/>
        <v/>
      </c>
      <c r="AZ22" s="26">
        <v>13.4</v>
      </c>
      <c r="BA22" s="26">
        <v>8.8000000000000007</v>
      </c>
      <c r="BB22" s="26">
        <v>9.9</v>
      </c>
      <c r="BC22" s="26">
        <v>14.26</v>
      </c>
      <c r="BD22" s="26">
        <v>2.4</v>
      </c>
      <c r="BE22" s="26">
        <v>9.6</v>
      </c>
      <c r="BF22" s="26">
        <v>6.4</v>
      </c>
      <c r="BG22" s="26">
        <v>9.6999999999999993</v>
      </c>
      <c r="BH22" s="26">
        <v>10.9</v>
      </c>
      <c r="BI22" s="26">
        <v>0</v>
      </c>
      <c r="BJ22" s="26">
        <v>13.8</v>
      </c>
      <c r="BK22" s="26">
        <v>8.4</v>
      </c>
      <c r="BL22" s="26">
        <v>11.5</v>
      </c>
      <c r="BM22" s="26">
        <v>15.18</v>
      </c>
      <c r="BN22" s="26">
        <v>0.8</v>
      </c>
      <c r="BO22" s="28"/>
      <c r="BP22" s="39">
        <f t="shared" si="21"/>
        <v>9.9</v>
      </c>
      <c r="BQ22" s="39">
        <f t="shared" si="22"/>
        <v>14.26</v>
      </c>
      <c r="BR22" s="11">
        <f t="shared" si="23"/>
        <v>43.96</v>
      </c>
      <c r="BS22" s="11">
        <f t="shared" si="24"/>
        <v>9.6999999999999993</v>
      </c>
      <c r="BT22" s="11">
        <f t="shared" si="25"/>
        <v>10.9</v>
      </c>
      <c r="BU22" s="11">
        <f t="shared" si="26"/>
        <v>36.6</v>
      </c>
      <c r="BV22" s="11">
        <f t="shared" si="27"/>
        <v>43.96</v>
      </c>
      <c r="BW22" s="11">
        <f t="shared" si="28"/>
        <v>11.5</v>
      </c>
      <c r="BX22" s="11">
        <f t="shared" si="29"/>
        <v>15.18</v>
      </c>
      <c r="BY22" s="11">
        <f t="shared" si="30"/>
        <v>48.080000000000005</v>
      </c>
      <c r="BZ22" s="11">
        <f t="shared" si="31"/>
        <v>92.04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2"/>
        <v/>
      </c>
      <c r="CR22" s="38" t="str">
        <f t="shared" si="33"/>
        <v/>
      </c>
      <c r="CS22" s="40" t="str">
        <f t="shared" si="34"/>
        <v/>
      </c>
      <c r="CT22" s="40" t="str">
        <f t="shared" si="35"/>
        <v/>
      </c>
      <c r="CU22" s="40" t="str">
        <f t="shared" si="36"/>
        <v/>
      </c>
      <c r="CV22" s="40" t="str">
        <f t="shared" si="37"/>
        <v/>
      </c>
      <c r="CW22" s="40" t="str">
        <f t="shared" si="38"/>
        <v/>
      </c>
      <c r="CX22" s="40" t="str">
        <f t="shared" si="39"/>
        <v/>
      </c>
      <c r="CY22" s="40" t="str">
        <f t="shared" si="40"/>
        <v/>
      </c>
      <c r="CZ22" s="40" t="str">
        <f t="shared" si="41"/>
        <v/>
      </c>
      <c r="DA22" s="40" t="str">
        <f t="shared" si="42"/>
        <v/>
      </c>
      <c r="DB22" s="50" t="str">
        <f t="shared" si="43"/>
        <v/>
      </c>
      <c r="DC22" s="50" t="str">
        <f t="shared" si="44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45"/>
        <v/>
      </c>
      <c r="DY22" s="40" t="str">
        <f t="shared" si="46"/>
        <v/>
      </c>
      <c r="DZ22" s="40" t="str">
        <f t="shared" si="47"/>
        <v/>
      </c>
      <c r="EA22" s="40" t="str">
        <f t="shared" si="48"/>
        <v/>
      </c>
      <c r="EB22" s="40" t="str">
        <f t="shared" si="49"/>
        <v/>
      </c>
      <c r="EC22" s="40" t="str">
        <f t="shared" si="50"/>
        <v/>
      </c>
      <c r="ED22" s="40" t="str">
        <f t="shared" si="51"/>
        <v/>
      </c>
      <c r="EE22" s="40" t="str">
        <f t="shared" si="52"/>
        <v/>
      </c>
      <c r="EF22" s="40" t="str">
        <f t="shared" si="53"/>
        <v/>
      </c>
      <c r="EG22" s="40" t="str">
        <f t="shared" si="54"/>
        <v/>
      </c>
      <c r="EH22" s="40" t="str">
        <f t="shared" si="55"/>
        <v/>
      </c>
      <c r="EI22" s="40" t="str">
        <f t="shared" si="56"/>
        <v/>
      </c>
      <c r="EJ22" s="40" t="str">
        <f t="shared" si="57"/>
        <v/>
      </c>
      <c r="EK22" s="40" t="str">
        <f t="shared" si="58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59"/>
        <v/>
      </c>
      <c r="FG22" s="11" t="str">
        <f t="shared" si="60"/>
        <v/>
      </c>
      <c r="FH22" s="11" t="str">
        <f t="shared" si="61"/>
        <v/>
      </c>
      <c r="FI22" s="11" t="str">
        <f t="shared" si="62"/>
        <v/>
      </c>
      <c r="FJ22" s="11" t="str">
        <f t="shared" si="63"/>
        <v/>
      </c>
      <c r="FK22" s="11" t="str">
        <f t="shared" si="64"/>
        <v/>
      </c>
      <c r="FL22" s="11" t="str">
        <f t="shared" si="65"/>
        <v/>
      </c>
      <c r="FM22" s="11" t="str">
        <f t="shared" si="66"/>
        <v/>
      </c>
      <c r="FN22" s="11" t="str">
        <f t="shared" si="67"/>
        <v/>
      </c>
      <c r="FO22" s="11" t="str">
        <f t="shared" si="68"/>
        <v/>
      </c>
      <c r="FP22" s="11" t="str">
        <f t="shared" si="69"/>
        <v/>
      </c>
      <c r="FQ22" s="11" t="str">
        <f t="shared" si="70"/>
        <v/>
      </c>
      <c r="FR22" s="11" t="str">
        <f t="shared" si="71"/>
        <v/>
      </c>
      <c r="FS22" s="11" t="str">
        <f t="shared" si="72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3"/>
        <v/>
      </c>
      <c r="GO22" s="40" t="str">
        <f t="shared" si="74"/>
        <v/>
      </c>
      <c r="GP22" s="40" t="str">
        <f t="shared" si="75"/>
        <v/>
      </c>
      <c r="GQ22" s="40" t="str">
        <f t="shared" si="76"/>
        <v/>
      </c>
      <c r="GR22" s="40" t="str">
        <f t="shared" si="77"/>
        <v/>
      </c>
      <c r="GS22" s="40" t="str">
        <f t="shared" si="78"/>
        <v/>
      </c>
      <c r="GT22" s="40" t="str">
        <f t="shared" si="79"/>
        <v/>
      </c>
      <c r="GU22" s="40" t="str">
        <f t="shared" si="80"/>
        <v/>
      </c>
      <c r="GV22" s="40" t="str">
        <f t="shared" si="81"/>
        <v/>
      </c>
      <c r="GW22" s="40" t="str">
        <f t="shared" si="82"/>
        <v/>
      </c>
      <c r="GX22" s="40" t="str">
        <f t="shared" si="83"/>
        <v/>
      </c>
      <c r="GY22" s="40" t="str">
        <f t="shared" si="84"/>
        <v/>
      </c>
      <c r="GZ22" s="40" t="str">
        <f t="shared" si="85"/>
        <v/>
      </c>
      <c r="HA22" s="40" t="str">
        <f t="shared" si="86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87"/>
        <v/>
      </c>
      <c r="HW22" s="11" t="str">
        <f t="shared" si="88"/>
        <v/>
      </c>
      <c r="HX22" s="11" t="str">
        <f t="shared" si="89"/>
        <v/>
      </c>
      <c r="HY22" s="11" t="str">
        <f t="shared" si="90"/>
        <v/>
      </c>
      <c r="HZ22" s="11" t="str">
        <f t="shared" si="91"/>
        <v/>
      </c>
      <c r="IA22" s="11" t="str">
        <f t="shared" si="92"/>
        <v/>
      </c>
      <c r="IB22" s="11" t="str">
        <f t="shared" si="93"/>
        <v/>
      </c>
      <c r="IC22" s="11" t="str">
        <f t="shared" si="94"/>
        <v/>
      </c>
      <c r="ID22" s="11" t="str">
        <f t="shared" si="95"/>
        <v/>
      </c>
      <c r="IE22" s="11" t="str">
        <f t="shared" si="96"/>
        <v/>
      </c>
      <c r="IF22" s="11" t="str">
        <f t="shared" si="97"/>
        <v/>
      </c>
      <c r="IG22" s="11" t="str">
        <f t="shared" si="98"/>
        <v/>
      </c>
      <c r="IH22" s="11" t="str">
        <f t="shared" si="99"/>
        <v/>
      </c>
      <c r="II22" s="11" t="str">
        <f t="shared" si="100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1"/>
        <v/>
      </c>
      <c r="JE22" s="40" t="str">
        <f t="shared" si="102"/>
        <v/>
      </c>
      <c r="JF22" s="40" t="str">
        <f t="shared" si="103"/>
        <v/>
      </c>
      <c r="JG22" s="40" t="str">
        <f t="shared" si="104"/>
        <v/>
      </c>
      <c r="JH22" s="40" t="str">
        <f t="shared" si="105"/>
        <v/>
      </c>
      <c r="JI22" s="40" t="str">
        <f t="shared" si="106"/>
        <v/>
      </c>
      <c r="JJ22" s="40" t="str">
        <f t="shared" si="107"/>
        <v/>
      </c>
      <c r="JK22" s="40" t="str">
        <f t="shared" si="108"/>
        <v/>
      </c>
      <c r="JL22" s="40" t="str">
        <f t="shared" si="109"/>
        <v/>
      </c>
      <c r="JM22" s="40" t="str">
        <f t="shared" si="110"/>
        <v/>
      </c>
      <c r="JN22" s="40" t="str">
        <f t="shared" si="111"/>
        <v/>
      </c>
      <c r="JO22" s="40" t="str">
        <f t="shared" si="112"/>
        <v/>
      </c>
      <c r="JP22" s="40" t="str">
        <f t="shared" si="113"/>
        <v/>
      </c>
      <c r="JQ22" s="40" t="str">
        <f t="shared" si="114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15"/>
        <v/>
      </c>
      <c r="KM22" s="11" t="str">
        <f t="shared" si="116"/>
        <v/>
      </c>
      <c r="KN22" s="11" t="str">
        <f t="shared" si="117"/>
        <v/>
      </c>
      <c r="KO22" s="11" t="str">
        <f t="shared" si="118"/>
        <v/>
      </c>
      <c r="KP22" s="11" t="str">
        <f t="shared" si="119"/>
        <v/>
      </c>
      <c r="KQ22" s="11" t="str">
        <f t="shared" si="120"/>
        <v/>
      </c>
      <c r="KR22" s="11" t="str">
        <f t="shared" si="121"/>
        <v/>
      </c>
      <c r="KS22" s="11" t="str">
        <f t="shared" si="122"/>
        <v/>
      </c>
      <c r="KT22" s="11" t="str">
        <f t="shared" si="123"/>
        <v/>
      </c>
      <c r="KU22" s="11" t="str">
        <f t="shared" si="124"/>
        <v/>
      </c>
      <c r="KV22" s="11" t="str">
        <f t="shared" si="125"/>
        <v/>
      </c>
      <c r="KW22" s="11" t="str">
        <f t="shared" si="126"/>
        <v/>
      </c>
      <c r="KX22" s="11" t="str">
        <f t="shared" si="127"/>
        <v/>
      </c>
      <c r="KY22" s="11" t="str">
        <f t="shared" si="128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29"/>
        <v/>
      </c>
      <c r="LU22" s="40" t="str">
        <f t="shared" si="130"/>
        <v/>
      </c>
      <c r="LV22" s="40" t="str">
        <f t="shared" si="131"/>
        <v/>
      </c>
      <c r="LW22" s="40" t="str">
        <f t="shared" si="132"/>
        <v/>
      </c>
      <c r="LX22" s="40" t="str">
        <f t="shared" si="133"/>
        <v/>
      </c>
      <c r="LY22" s="40" t="str">
        <f t="shared" si="134"/>
        <v/>
      </c>
      <c r="LZ22" s="40" t="str">
        <f t="shared" si="135"/>
        <v/>
      </c>
      <c r="MA22" s="40" t="str">
        <f t="shared" si="136"/>
        <v/>
      </c>
      <c r="MB22" s="40" t="str">
        <f t="shared" si="137"/>
        <v/>
      </c>
      <c r="MC22" s="40" t="str">
        <f t="shared" si="138"/>
        <v/>
      </c>
      <c r="MD22" s="40" t="str">
        <f t="shared" si="139"/>
        <v/>
      </c>
      <c r="ME22" s="40" t="str">
        <f t="shared" si="140"/>
        <v/>
      </c>
      <c r="MF22" s="40" t="str">
        <f t="shared" si="141"/>
        <v/>
      </c>
      <c r="MG22" s="40" t="str">
        <f t="shared" si="142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3"/>
        <v/>
      </c>
      <c r="NC22" s="11" t="str">
        <f t="shared" si="144"/>
        <v/>
      </c>
      <c r="ND22" s="11" t="str">
        <f t="shared" si="145"/>
        <v/>
      </c>
      <c r="NE22" s="11" t="str">
        <f t="shared" si="146"/>
        <v/>
      </c>
      <c r="NF22" s="11" t="str">
        <f t="shared" si="147"/>
        <v/>
      </c>
      <c r="NG22" s="11" t="str">
        <f t="shared" si="148"/>
        <v/>
      </c>
      <c r="NH22" s="11" t="str">
        <f t="shared" si="149"/>
        <v/>
      </c>
      <c r="NI22" s="11" t="str">
        <f t="shared" si="150"/>
        <v/>
      </c>
      <c r="NJ22" s="11" t="str">
        <f t="shared" si="151"/>
        <v/>
      </c>
      <c r="NK22" s="11" t="str">
        <f t="shared" si="152"/>
        <v/>
      </c>
      <c r="NL22" s="11" t="str">
        <f t="shared" si="153"/>
        <v/>
      </c>
      <c r="NM22" s="11" t="str">
        <f t="shared" si="154"/>
        <v/>
      </c>
      <c r="NN22" s="11" t="str">
        <f t="shared" si="155"/>
        <v/>
      </c>
      <c r="NO22" s="11" t="str">
        <f t="shared" si="156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57"/>
        <v/>
      </c>
      <c r="OK22" s="40" t="str">
        <f t="shared" si="158"/>
        <v/>
      </c>
      <c r="OL22" s="40" t="str">
        <f t="shared" si="159"/>
        <v/>
      </c>
      <c r="OM22" s="40" t="str">
        <f t="shared" si="160"/>
        <v/>
      </c>
      <c r="ON22" s="40" t="str">
        <f t="shared" si="161"/>
        <v/>
      </c>
      <c r="OO22" s="40" t="str">
        <f t="shared" si="162"/>
        <v/>
      </c>
      <c r="OP22" s="40" t="str">
        <f t="shared" si="163"/>
        <v/>
      </c>
      <c r="OQ22" s="40" t="str">
        <f t="shared" si="164"/>
        <v/>
      </c>
      <c r="OR22" s="40" t="str">
        <f t="shared" si="165"/>
        <v/>
      </c>
      <c r="OS22" s="40" t="str">
        <f t="shared" si="166"/>
        <v/>
      </c>
      <c r="OT22" s="40" t="str">
        <f t="shared" si="167"/>
        <v/>
      </c>
      <c r="OU22" s="40" t="str">
        <f t="shared" si="168"/>
        <v/>
      </c>
      <c r="OV22" s="40" t="str">
        <f t="shared" si="169"/>
        <v/>
      </c>
      <c r="OW22" s="40" t="str">
        <f t="shared" si="170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1"/>
        <v/>
      </c>
      <c r="PS22" s="11" t="str">
        <f t="shared" si="172"/>
        <v/>
      </c>
      <c r="PT22" s="11" t="str">
        <f t="shared" si="173"/>
        <v/>
      </c>
      <c r="PU22" s="11" t="str">
        <f t="shared" si="174"/>
        <v/>
      </c>
      <c r="PV22" s="11" t="str">
        <f t="shared" si="175"/>
        <v/>
      </c>
      <c r="PW22" s="11" t="str">
        <f t="shared" si="176"/>
        <v/>
      </c>
      <c r="PX22" s="11" t="str">
        <f t="shared" si="177"/>
        <v/>
      </c>
      <c r="PY22" s="11" t="str">
        <f t="shared" si="178"/>
        <v/>
      </c>
      <c r="PZ22" s="11" t="str">
        <f t="shared" si="179"/>
        <v/>
      </c>
      <c r="QA22" s="11" t="str">
        <f t="shared" si="180"/>
        <v/>
      </c>
      <c r="QB22" s="11" t="str">
        <f t="shared" si="181"/>
        <v/>
      </c>
      <c r="QC22" s="11" t="str">
        <f t="shared" si="182"/>
        <v/>
      </c>
      <c r="QD22" s="11" t="str">
        <f t="shared" si="183"/>
        <v/>
      </c>
      <c r="QE22" s="11" t="str">
        <f t="shared" si="184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85"/>
        <v/>
      </c>
      <c r="RA22" s="40" t="str">
        <f t="shared" si="186"/>
        <v/>
      </c>
      <c r="RB22" s="40" t="str">
        <f t="shared" si="187"/>
        <v/>
      </c>
      <c r="RC22" s="40" t="str">
        <f t="shared" si="188"/>
        <v/>
      </c>
      <c r="RD22" s="40" t="str">
        <f t="shared" si="189"/>
        <v/>
      </c>
      <c r="RE22" s="40" t="str">
        <f t="shared" si="190"/>
        <v/>
      </c>
      <c r="RF22" s="40" t="str">
        <f t="shared" si="191"/>
        <v/>
      </c>
      <c r="RG22" s="40" t="str">
        <f t="shared" si="192"/>
        <v/>
      </c>
      <c r="RH22" s="40" t="str">
        <f t="shared" si="193"/>
        <v/>
      </c>
      <c r="RI22" s="40" t="str">
        <f t="shared" si="194"/>
        <v/>
      </c>
      <c r="RJ22" s="40" t="str">
        <f t="shared" si="195"/>
        <v/>
      </c>
      <c r="RK22" s="40" t="str">
        <f t="shared" si="196"/>
        <v/>
      </c>
      <c r="RL22" s="40" t="str">
        <f t="shared" si="197"/>
        <v/>
      </c>
      <c r="RM22" s="40" t="str">
        <f t="shared" si="198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199"/>
        <v/>
      </c>
      <c r="SI22" s="11" t="str">
        <f t="shared" si="200"/>
        <v/>
      </c>
      <c r="SJ22" s="11" t="str">
        <f t="shared" si="201"/>
        <v/>
      </c>
      <c r="SK22" s="11" t="str">
        <f t="shared" si="202"/>
        <v/>
      </c>
      <c r="SL22" s="11" t="str">
        <f t="shared" si="203"/>
        <v/>
      </c>
      <c r="SM22" s="11" t="str">
        <f t="shared" si="204"/>
        <v/>
      </c>
      <c r="SN22" s="11" t="str">
        <f t="shared" si="205"/>
        <v/>
      </c>
      <c r="SO22" s="11" t="str">
        <f t="shared" si="206"/>
        <v/>
      </c>
      <c r="SP22" s="11" t="str">
        <f t="shared" si="207"/>
        <v/>
      </c>
      <c r="SQ22" s="11" t="str">
        <f t="shared" si="208"/>
        <v/>
      </c>
      <c r="SR22" s="11" t="str">
        <f t="shared" si="209"/>
        <v/>
      </c>
      <c r="SS22" s="11" t="str">
        <f t="shared" si="210"/>
        <v/>
      </c>
      <c r="ST22" s="11" t="str">
        <f t="shared" si="211"/>
        <v/>
      </c>
      <c r="SU22" s="11" t="str">
        <f t="shared" si="212"/>
        <v/>
      </c>
      <c r="SV22" s="22">
        <f t="shared" si="213"/>
        <v>6.7</v>
      </c>
      <c r="SW22" s="22">
        <f t="shared" si="214"/>
        <v>4.4000000000000004</v>
      </c>
      <c r="SX22" s="22">
        <f t="shared" si="215"/>
        <v>4.95</v>
      </c>
      <c r="SY22" s="22">
        <f t="shared" si="216"/>
        <v>7.13</v>
      </c>
      <c r="SZ22" s="22">
        <f t="shared" si="217"/>
        <v>1.2</v>
      </c>
      <c r="TA22" s="22">
        <f t="shared" si="218"/>
        <v>4.8</v>
      </c>
      <c r="TB22" s="22">
        <f t="shared" si="219"/>
        <v>3.2</v>
      </c>
      <c r="TC22" s="22">
        <f t="shared" si="220"/>
        <v>4.8499999999999996</v>
      </c>
      <c r="TD22" s="22">
        <f t="shared" si="221"/>
        <v>5.45</v>
      </c>
      <c r="TE22" s="22">
        <f t="shared" si="222"/>
        <v>0</v>
      </c>
      <c r="TF22" s="22">
        <f t="shared" si="223"/>
        <v>6.9</v>
      </c>
      <c r="TG22" s="22">
        <f t="shared" si="224"/>
        <v>4.2</v>
      </c>
      <c r="TH22" s="22">
        <f t="shared" si="225"/>
        <v>5.75</v>
      </c>
      <c r="TI22" s="22">
        <f t="shared" si="226"/>
        <v>7.59</v>
      </c>
      <c r="TJ22" s="22">
        <f t="shared" si="227"/>
        <v>0.4</v>
      </c>
      <c r="TK22" s="27" t="s">
        <v>46</v>
      </c>
      <c r="TL22" s="40">
        <f t="shared" si="228"/>
        <v>4.95</v>
      </c>
      <c r="TM22" s="40">
        <f t="shared" si="229"/>
        <v>7.13</v>
      </c>
      <c r="TN22" s="40">
        <f t="shared" si="230"/>
        <v>21.98</v>
      </c>
      <c r="TO22" s="40">
        <f t="shared" si="231"/>
        <v>4.8499999999999996</v>
      </c>
      <c r="TP22" s="40">
        <f t="shared" si="232"/>
        <v>5.45</v>
      </c>
      <c r="TQ22" s="40">
        <f t="shared" si="233"/>
        <v>18.3</v>
      </c>
      <c r="TR22" s="40">
        <f t="shared" si="234"/>
        <v>21.98</v>
      </c>
      <c r="TS22" s="40">
        <f t="shared" si="235"/>
        <v>5.75</v>
      </c>
      <c r="TT22" s="40">
        <f t="shared" si="236"/>
        <v>7.59</v>
      </c>
      <c r="TU22" s="40">
        <f t="shared" si="237"/>
        <v>24.040000000000003</v>
      </c>
      <c r="TV22" s="40">
        <f t="shared" si="238"/>
        <v>46.02</v>
      </c>
    </row>
    <row r="23" spans="1:542" x14ac:dyDescent="0.2">
      <c r="A23" s="4" t="str" cm="1">
        <f t="array" ref="A23">IF(AND(J23&lt;&gt;"",J23&lt;&gt;"No DD"),SUMPRODUCT((J$4:J$28&lt;&gt;"")*(J$4:J$28&lt;&gt;"No DD")*(F$4:F$28&gt;F23))+1,IF(J23="No DD",SUMPRODUCT((J$4:J$28="No DD")*(F$4:F$28&gt;F23))+1+SUMPRODUCT((J$4:J$28&lt;&gt;"")*(J$4:J$28&lt;&gt;"No DD")),""))</f>
        <v/>
      </c>
      <c r="B23" s="4" t="str" cm="1">
        <f t="array" ref="B23">IF(AND(J23&lt;&gt;"",J23&lt;&gt;"No DD",G23=""),SUMPRODUCT((J$4:J$28&lt;&gt;"")*(J$4:J$28&lt;&gt;"No DD")*(G$4:G$28="")*(F$4:F$28&gt;F23))+1,IF(J23="No DD",SUMPRODUCT((J$4:J$28="No DD")*(F$4:F$28&gt;F23)*(G$4:G$28=""))+1+SUMPRODUCT((J$4:J$28&lt;&gt;"")*(G$4:G$28="")*(J$4:J$28&lt;&gt;"No DD")),""))</f>
        <v/>
      </c>
      <c r="C23" s="5" t="s">
        <v>139</v>
      </c>
      <c r="D23" s="4" t="s">
        <v>5</v>
      </c>
      <c r="E23" s="4">
        <v>2007</v>
      </c>
      <c r="F23" s="9">
        <f t="shared" si="0"/>
        <v>137.64001376400503</v>
      </c>
      <c r="G23" s="64"/>
      <c r="H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P","")</f>
        <v/>
      </c>
      <c r="I23" s="3" t="str">
        <f>IF(OR(AND(AQ23&gt;=AY$34,AQ23&lt;&gt;"",AN23=""),AND(AT23&gt;=AY$34,AT23&lt;&gt;"",AN23=""),AND(AX23&gt;=AY$34,AX23&lt;&gt;"",AN23=""),AND(BR23&gt;=BZ$34,BR23&lt;&gt;"",BO23=""),AND(BU23&gt;=BZ$34,BU23&lt;&gt;"",BO23=""),AND(BY23&gt;=BZ$34,BY23&lt;&gt;"",BO23=""),AND(CS23&gt;=DA$34,CS23&lt;&gt;"",CP23=""),AND(CV23&gt;=DA$34,CV23&lt;&gt;"",CP23=""),AND(CZ23&gt;=DA$34,CZ23&lt;&gt;"",CP23=""),AND(DZ23&gt;=EK$34,DZ23&lt;&gt;""),AND(EC23&gt;=EK$34,EC23&lt;&gt;""),AND(EG23&gt;=EK$34,EG23&lt;&gt;""),AND(EJ23&gt;=EK$34,EJ23&lt;&gt;""),AND(FH23&gt;=FS$34,FH23&lt;&gt;""),AND(FK23&gt;=FS$34,FK23&lt;&gt;""),AND(FO23&gt;=FS$34,FO23&lt;&gt;""),AND(FR23&gt;=FS$34,FR23&lt;&gt;""),AND(GP23&gt;=HA$34,GP23&lt;&gt;""),AND(GS23&gt;=HA$34,GS23&lt;&gt;""),AND(GW23&gt;=HA$34,GW23&lt;&gt;""),AND(GZ23&gt;=HA$34,GZ23&lt;&gt;""),AND(HX23&gt;=II$34,HX23&lt;&gt;""),AND(IA23&gt;=II$34,IA23&lt;&gt;""),AND(IE23&gt;=II$34,IE23&lt;&gt;""),AND(IH23&gt;=II$34,IH23&lt;&gt;""),AND(JF23&gt;=JQ$34,JF23&lt;&gt;""),AND(JI23&gt;=JQ$34,JI23&lt;&gt;""),AND(JM23&gt;=JQ$34,JM23&lt;&gt;""),AND(JP23&gt;=JQ$34,JP23&lt;&gt;""),AND(KN23&gt;=KY$34,KN23&lt;&gt;""),AND(KQ23&gt;=KY$34,KQ23&lt;&gt;""),AND(KU23&gt;=KY$34,KU23&lt;&gt;""),AND(KX23&gt;=KY$34,KX23&lt;&gt;""),AND(LV23&gt;=MG$34,LV23&lt;&gt;""),AND(LY23&gt;=MG$34,LY23&lt;&gt;""),AND(MC23&gt;=MG$34,MC23&lt;&gt;""),AND(MF23&gt;=MG$34,MF23&lt;&gt;""),AND(ND23&gt;=NO$34,ND23&lt;&gt;""),AND(NG23&gt;=NO$34,NG23&lt;&gt;""),AND(NK23&gt;=NO$34,NK23&lt;&gt;""),AND(NN23&gt;=NO$34,NN23&lt;&gt;""),AND(OL23&gt;=OW$34,OL23&lt;&gt;""),AND(OO23&gt;=OW$34,OO23&lt;&gt;""),AND(OS23&gt;=OW$34,OS23&lt;&gt;""),AND(OV23&gt;=OW$34,OV23&lt;&gt;""),AND(PT23&gt;=QE$34,PT23&lt;&gt;""),AND(PW23&gt;=QE$34,PW23&lt;&gt;""),AND(QA23&gt;=QE$34,QA23&lt;&gt;""),AND(QD23&gt;=QE$34,QD23&lt;&gt;""),AND(RB23&gt;=RM$34,RB23&lt;&gt;""),AND(RE23&gt;=RM$34,RE23&lt;&gt;""),AND(RI23&gt;=RM$34,RI23&lt;&gt;""),AND(RL23&gt;=RM$34,RL23&lt;&gt;""),AND(SJ23&gt;=SU$34,SJ23&lt;&gt;""),AND(SM23&gt;=SU$34,SM23&lt;&gt;""),AND(SQ23&gt;=SU$34,SQ23&lt;&gt;""),AND(ST23&gt;=SU$34,ST23&lt;&gt;"")),"P","")</f>
        <v/>
      </c>
      <c r="J23" s="36" t="str">
        <f>IF(AND(I23="P",H23=""),"No DD",IF(OR(AND(AO23&gt;=AY$33,AO23&lt;&gt;"",AQ23&gt;=AY$37,AQ23&lt;&gt;"",AN23=""),AND(AR23&gt;=AY$33,AR23&lt;&gt;"",AT23&gt;=AY$37,AT23&lt;&gt;"",AN23=""),AND(AV23&gt;=AY$33,AV23&lt;&gt;"",AX23&gt;=AY$37,AX23&lt;&gt;"",AN23=""),AND(BP23&gt;=BZ$33,BP23&lt;&gt;"",BR23&gt;=BZ$37,BR23&lt;&gt;"",BO23=""),AND(BS23&gt;=BZ$33,BS23&lt;&gt;"",BU23&gt;=BZ$37,BU23&lt;&gt;"",BO23=""),AND(BW23&gt;=BZ$33,BW23&lt;&gt;"",BY23&gt;=BZ$37,BY23&lt;&gt;"",BO23=""),AND(CQ23&gt;=DA$33,CQ23&lt;&gt;"",CS23&gt;=DA$37,CS23&lt;&gt;"",CP23=""),AND(CT23&gt;=DA$33,CT23&lt;&gt;"",CV23&gt;=DA$37,CV23&lt;&gt;"",CP23=""),AND(CX23&gt;=DA$33,CX23&lt;&gt;"",CZ23&gt;=DA$37,CZ23&lt;&gt;"",CP23=""),AND(DX23&gt;=EK$33,DX23&lt;&gt;"",DZ23&gt;=EK$37,DZ23&lt;&gt;""),AND(EA23&gt;=EK$33,EA23&lt;&gt;"",EC23&gt;=EK$37,EC23&lt;&gt;""),AND(EE23&gt;=EK$33,EE23&lt;&gt;"",EG23&gt;=EK$37,EG23&lt;&gt;""),AND(EH23&gt;=EK$33,EH23&lt;&gt;"",EJ23&gt;=EK$37,EJ23&lt;&gt;""),AND(FF23&gt;=FS$33,FF23&lt;&gt;"",FH23&gt;=FS$37,FH23&lt;&gt;""),AND(FI23&gt;=FS$33,FI23&lt;&gt;"",FK23&gt;=FS$37,FK23&lt;&gt;""),AND(FM23&gt;=FS$33,FM23&lt;&gt;"",FO23&gt;=FS$37,FO23&lt;&gt;""),AND(FP23&gt;=FS$33,FP23&lt;&gt;"",FR23&gt;=FS$37,FR23&lt;&gt;""),AND(GN23&gt;=HA$33,GN23&lt;&gt;"",GP23&gt;=HA$37,GP23&lt;&gt;""),AND(GQ23&gt;=HA$33,GQ23&lt;&gt;"",GS23&gt;=HA$37,GS23&lt;&gt;""),AND(GU23&gt;=HA$33,GU23&lt;&gt;"",GW23&gt;=HA$37,GW23&lt;&gt;""),AND(GX23&gt;=HA$33,GX23&lt;&gt;"",GZ23&gt;=HA$37,GZ23&lt;&gt;""),AND(HV23&gt;=II$33,HV23&lt;&gt;"",HX23&gt;=II$37,HX23&lt;&gt;""),AND(HY23&gt;=II$33,HY23&lt;&gt;"",IA23&gt;=II$37,IA23&lt;&gt;""),AND(IC23&gt;=II$33,IC23&lt;&gt;"",IE23&gt;=II$37,IE23&lt;&gt;""),AND(IF23&gt;=II$33,IF23&lt;&gt;"",IH23&gt;=II$37,IH23&lt;&gt;""),AND(JD23&gt;=JQ$33,JD23&lt;&gt;"",JF23&gt;=JQ$37,JF23&lt;&gt;""),AND(JG23&gt;=JQ$33,JG23&lt;&gt;"",JI23&gt;=JQ$37,JI23&lt;&gt;""),AND(JK23&gt;=JQ$33,JK23&lt;&gt;"",JM23&gt;=JQ$37,JM23&lt;&gt;""),AND(JN23&gt;=JQ$33,JN23&lt;&gt;"",JP23&gt;=JQ$37,JP23&lt;&gt;""),AND(KL23&gt;=KY$33,KL23&lt;&gt;"",KN23&gt;=KY$37,KN23&lt;&gt;""),AND(KO23&gt;=KY$33,KO23&lt;&gt;"",KQ23&gt;=KY$37,KQ23&lt;&gt;""),AND(KS23&gt;=KY$33,KS23&lt;&gt;"",KU23&gt;=KY$37,KU23&lt;&gt;""),AND(KV23&gt;=KY$33,KV23&lt;&gt;"",KX23&gt;=KY$37,KX23&lt;&gt;""),AND(LT23&gt;=MG$33,LT23&lt;&gt;"",LV23&gt;=MG$37,LV23&lt;&gt;""),AND(LW23&gt;=MG$33,LW23&lt;&gt;"",LY23&gt;=MG$37,LY23&lt;&gt;""),AND(MA23&gt;=MG$33,MA23&lt;&gt;"",MC23&gt;=MG$37,MC23&lt;&gt;""),AND(MD23&gt;=MG$33,MD23&lt;&gt;"",MF23&gt;=MG$37,MF23&lt;&gt;""),AND(NB23&gt;=NO$33,NB23&lt;&gt;"",ND23&gt;=NO$37,ND23&lt;&gt;""),AND(NE23&gt;=NO$33,NE23&lt;&gt;"",NG23&gt;=NO$37,NG23&lt;&gt;""),AND(NI23&gt;=NO$33,NI23&lt;&gt;"",NK23&gt;=NO$37,NK23&lt;&gt;""),AND(NL23&gt;=NO$33,NL23&lt;&gt;"",NN23&gt;=NO$37,NN23&lt;&gt;""),AND(OJ23&gt;=OW$33,OJ23&lt;&gt;"",OL23&gt;=OW$37,OL23&lt;&gt;""),AND(OM23&gt;=OW$33,OM23&lt;&gt;"",OO23&gt;=OW$37,OO23&lt;&gt;""),AND(OQ23&gt;=OW$33,OQ23&lt;&gt;"",OS23&gt;=OW$37,OS23&lt;&gt;""),AND(OT23&gt;=OW$33,OT23&lt;&gt;"",OV23&gt;=OW$37,OV23&lt;&gt;""),AND(PR23&gt;=QE$33,PR23&lt;&gt;"",PT23&gt;=QE$37,PT23&lt;&gt;""),AND(PU23&gt;=QE$33,PU23&lt;&gt;"",PW23&gt;=QE$37,PW23&lt;&gt;""),AND(PY23&gt;=QE$33,PY23&lt;&gt;"",QA23&gt;=QE$37,QA23&lt;&gt;""),AND(QB23&gt;=QE$33,QB23&lt;&gt;"",QD23&gt;=QE$37,QD23&lt;&gt;""),AND(QZ23&gt;=RM$33,QZ23&lt;&gt;"",RB23&gt;=RM$37,RB23&lt;&gt;""),AND(RC23&gt;=RM$33,RC23&lt;&gt;"",RE23&gt;=RM$37,RE23&lt;&gt;""),AND(RG23&gt;=RM$33,RG23&lt;&gt;"",RI23&gt;=RM$37,RI23&lt;&gt;""),AND(RJ23&gt;=RM$33,RJ23&lt;&gt;"",RL23&gt;=RM$37,RL23&lt;&gt;""),AND(SH23&gt;=SU$33,SH23&lt;&gt;"",SJ23&gt;=SU$37,SJ23&lt;&gt;""),AND(SK23&gt;=SU$33,SK23&lt;&gt;"",SM23&gt;=SU$37,SM23&lt;&gt;""),AND(SO23&gt;=SU$33,SO23&lt;&gt;"",SQ23&gt;=SU$37,SQ23&lt;&gt;""),AND(SR23&gt;=SU$33,SR23&lt;&gt;"",ST23&gt;=SU$37,ST23&lt;&gt;"")),"Merit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),"Excellence",IF(K23="P","Worlds Team",IF(H23="P","National Team","")))))</f>
        <v/>
      </c>
      <c r="K23" s="3" t="str">
        <f>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P","")</f>
        <v/>
      </c>
      <c r="L23" s="8">
        <f>IF(COUNT(AQ23,AT23,BR23,BU23,CS23,CV23)&gt;0,LARGE((AQ23,AT23,BR23,BU23,CS23,CV23),1),0)</f>
        <v>50.280000000000008</v>
      </c>
      <c r="M23" s="8" t="str">
        <f t="shared" si="1"/>
        <v>2024 3rd Domestic Trial</v>
      </c>
      <c r="N23" s="8">
        <f>IF(COUNT(AQ23,AT23,BR23,BU23,CS23,CV23)&gt;1,LARGE((AQ23,AT23,BR23,BU23,CS23,CV23),2),0)</f>
        <v>26.1</v>
      </c>
      <c r="O23" s="8" t="str">
        <f t="shared" si="2"/>
        <v>2024 3rd Domestic Trial</v>
      </c>
      <c r="P23" s="8">
        <f>IF(COUNT(AQ23,AT23,BR23,BU23,CS23,CV23)&gt;2,MAX(AX23,BY23,CZ23,LARGE((AQ23,AT23,BR23,BU23,CS23,CV23),3)),IF(MAX(AX23,BY23,CZ23)&gt;0,MAX(AX23,BY23,CZ23),0))</f>
        <v>49.06</v>
      </c>
      <c r="Q23" s="8" t="str">
        <f t="shared" si="3"/>
        <v>2025 Nationals</v>
      </c>
      <c r="R23" s="8">
        <f t="shared" si="4"/>
        <v>12.2</v>
      </c>
      <c r="S23" s="8" t="str">
        <f t="shared" si="5"/>
        <v>2024 3rd Domestic Trial</v>
      </c>
      <c r="T23" s="8">
        <f>IF(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&gt;0,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,0)</f>
        <v>0</v>
      </c>
      <c r="U23" s="8" t="str">
        <f t="shared" si="6"/>
        <v/>
      </c>
      <c r="V23" s="8" t="str">
        <f t="shared" si="7"/>
        <v/>
      </c>
      <c r="W23" s="11" t="str">
        <f t="shared" si="8"/>
        <v/>
      </c>
      <c r="X23" s="8" t="str">
        <f t="shared" si="9"/>
        <v/>
      </c>
      <c r="Y23" s="22">
        <v>7.1</v>
      </c>
      <c r="Z23" s="22">
        <v>4.5999999999999996</v>
      </c>
      <c r="AA23" s="22">
        <v>6.5</v>
      </c>
      <c r="AB23" s="22">
        <v>7.9</v>
      </c>
      <c r="AC23" s="22">
        <v>0</v>
      </c>
      <c r="AD23" s="22">
        <v>13.9</v>
      </c>
      <c r="AE23" s="22">
        <v>8.8000000000000007</v>
      </c>
      <c r="AF23" s="22">
        <v>12.2</v>
      </c>
      <c r="AG23" s="22">
        <v>15.38</v>
      </c>
      <c r="AH23" s="22">
        <v>0</v>
      </c>
      <c r="AI23" s="22">
        <v>7.8</v>
      </c>
      <c r="AJ23" s="22">
        <v>4.5</v>
      </c>
      <c r="AK23" s="22">
        <v>6.5</v>
      </c>
      <c r="AL23" s="22">
        <v>7.94</v>
      </c>
      <c r="AM23" s="22">
        <v>0</v>
      </c>
      <c r="AN23" s="27"/>
      <c r="AO23" s="38">
        <f t="shared" si="10"/>
        <v>6.5</v>
      </c>
      <c r="AP23" s="38">
        <f t="shared" si="11"/>
        <v>7.9</v>
      </c>
      <c r="AQ23" s="40">
        <f t="shared" si="12"/>
        <v>26.1</v>
      </c>
      <c r="AR23" s="40">
        <f t="shared" si="13"/>
        <v>12.2</v>
      </c>
      <c r="AS23" s="40">
        <f t="shared" si="14"/>
        <v>15.38</v>
      </c>
      <c r="AT23" s="40">
        <f t="shared" si="15"/>
        <v>50.280000000000008</v>
      </c>
      <c r="AU23" s="40">
        <f t="shared" si="16"/>
        <v>50.280000000000008</v>
      </c>
      <c r="AV23" s="40">
        <f t="shared" si="17"/>
        <v>6.5</v>
      </c>
      <c r="AW23" s="40">
        <f t="shared" si="18"/>
        <v>7.94</v>
      </c>
      <c r="AX23" s="40">
        <f t="shared" si="19"/>
        <v>26.740000000000002</v>
      </c>
      <c r="AY23" s="40">
        <f t="shared" si="20"/>
        <v>77.02000000000001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1"/>
        <v/>
      </c>
      <c r="BQ23" s="39" t="str">
        <f t="shared" si="22"/>
        <v/>
      </c>
      <c r="BR23" s="11" t="str">
        <f t="shared" si="23"/>
        <v/>
      </c>
      <c r="BS23" s="11" t="str">
        <f t="shared" si="24"/>
        <v/>
      </c>
      <c r="BT23" s="11" t="str">
        <f t="shared" si="25"/>
        <v/>
      </c>
      <c r="BU23" s="11" t="str">
        <f t="shared" si="26"/>
        <v/>
      </c>
      <c r="BV23" s="11" t="str">
        <f t="shared" si="27"/>
        <v/>
      </c>
      <c r="BW23" s="11" t="str">
        <f t="shared" si="28"/>
        <v/>
      </c>
      <c r="BX23" s="11" t="str">
        <f t="shared" si="29"/>
        <v/>
      </c>
      <c r="BY23" s="11" t="str">
        <f t="shared" si="30"/>
        <v/>
      </c>
      <c r="BZ23" s="11" t="str">
        <f t="shared" si="31"/>
        <v/>
      </c>
      <c r="CA23" s="22">
        <v>1.5</v>
      </c>
      <c r="CB23" s="22">
        <v>0.8</v>
      </c>
      <c r="CC23" s="22">
        <v>1.5</v>
      </c>
      <c r="CD23" s="22">
        <v>1.5</v>
      </c>
      <c r="CE23" s="22">
        <v>0</v>
      </c>
      <c r="CF23" s="22">
        <v>1.4</v>
      </c>
      <c r="CG23" s="22">
        <v>0.8</v>
      </c>
      <c r="CH23" s="22">
        <v>1.5</v>
      </c>
      <c r="CI23" s="22">
        <v>1.51</v>
      </c>
      <c r="CJ23" s="22">
        <v>0</v>
      </c>
      <c r="CK23" s="22">
        <v>14.4</v>
      </c>
      <c r="CL23" s="22">
        <v>9</v>
      </c>
      <c r="CM23" s="22">
        <v>11.8</v>
      </c>
      <c r="CN23" s="22">
        <v>14.36</v>
      </c>
      <c r="CO23" s="22">
        <v>0.5</v>
      </c>
      <c r="CP23" s="27"/>
      <c r="CQ23" s="38">
        <f t="shared" si="32"/>
        <v>1.5</v>
      </c>
      <c r="CR23" s="38">
        <f t="shared" si="33"/>
        <v>1.5</v>
      </c>
      <c r="CS23" s="40">
        <f t="shared" si="34"/>
        <v>5.3</v>
      </c>
      <c r="CT23" s="40">
        <f t="shared" si="35"/>
        <v>1.5</v>
      </c>
      <c r="CU23" s="40">
        <f t="shared" si="36"/>
        <v>1.51</v>
      </c>
      <c r="CV23" s="40">
        <f t="shared" si="37"/>
        <v>5.21</v>
      </c>
      <c r="CW23" s="40">
        <f t="shared" si="38"/>
        <v>5.3</v>
      </c>
      <c r="CX23" s="40">
        <f t="shared" si="39"/>
        <v>11.8</v>
      </c>
      <c r="CY23" s="40">
        <f t="shared" si="40"/>
        <v>14.36</v>
      </c>
      <c r="CZ23" s="40">
        <f t="shared" si="41"/>
        <v>49.06</v>
      </c>
      <c r="DA23" s="40">
        <f t="shared" si="42"/>
        <v>54.36</v>
      </c>
      <c r="DB23" s="50" t="str">
        <f t="shared" si="43"/>
        <v/>
      </c>
      <c r="DC23" s="50" t="str">
        <f t="shared" si="44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45"/>
        <v/>
      </c>
      <c r="DY23" s="40" t="str">
        <f t="shared" si="46"/>
        <v/>
      </c>
      <c r="DZ23" s="40" t="str">
        <f t="shared" si="47"/>
        <v/>
      </c>
      <c r="EA23" s="40" t="str">
        <f t="shared" si="48"/>
        <v/>
      </c>
      <c r="EB23" s="40" t="str">
        <f t="shared" si="49"/>
        <v/>
      </c>
      <c r="EC23" s="40" t="str">
        <f t="shared" si="50"/>
        <v/>
      </c>
      <c r="ED23" s="40" t="str">
        <f t="shared" si="51"/>
        <v/>
      </c>
      <c r="EE23" s="40" t="str">
        <f t="shared" si="52"/>
        <v/>
      </c>
      <c r="EF23" s="40" t="str">
        <f t="shared" si="53"/>
        <v/>
      </c>
      <c r="EG23" s="40" t="str">
        <f t="shared" si="54"/>
        <v/>
      </c>
      <c r="EH23" s="40" t="str">
        <f t="shared" si="55"/>
        <v/>
      </c>
      <c r="EI23" s="40" t="str">
        <f t="shared" si="56"/>
        <v/>
      </c>
      <c r="EJ23" s="40" t="str">
        <f t="shared" si="57"/>
        <v/>
      </c>
      <c r="EK23" s="40" t="str">
        <f t="shared" si="58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59"/>
        <v/>
      </c>
      <c r="FG23" s="11" t="str">
        <f t="shared" si="60"/>
        <v/>
      </c>
      <c r="FH23" s="11" t="str">
        <f t="shared" si="61"/>
        <v/>
      </c>
      <c r="FI23" s="11" t="str">
        <f t="shared" si="62"/>
        <v/>
      </c>
      <c r="FJ23" s="11" t="str">
        <f t="shared" si="63"/>
        <v/>
      </c>
      <c r="FK23" s="11" t="str">
        <f t="shared" si="64"/>
        <v/>
      </c>
      <c r="FL23" s="11" t="str">
        <f t="shared" si="65"/>
        <v/>
      </c>
      <c r="FM23" s="11" t="str">
        <f t="shared" si="66"/>
        <v/>
      </c>
      <c r="FN23" s="11" t="str">
        <f t="shared" si="67"/>
        <v/>
      </c>
      <c r="FO23" s="11" t="str">
        <f t="shared" si="68"/>
        <v/>
      </c>
      <c r="FP23" s="11" t="str">
        <f t="shared" si="69"/>
        <v/>
      </c>
      <c r="FQ23" s="11" t="str">
        <f t="shared" si="70"/>
        <v/>
      </c>
      <c r="FR23" s="11" t="str">
        <f t="shared" si="71"/>
        <v/>
      </c>
      <c r="FS23" s="11" t="str">
        <f t="shared" si="72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3"/>
        <v/>
      </c>
      <c r="GO23" s="40" t="str">
        <f t="shared" si="74"/>
        <v/>
      </c>
      <c r="GP23" s="40" t="str">
        <f t="shared" si="75"/>
        <v/>
      </c>
      <c r="GQ23" s="40" t="str">
        <f t="shared" si="76"/>
        <v/>
      </c>
      <c r="GR23" s="40" t="str">
        <f t="shared" si="77"/>
        <v/>
      </c>
      <c r="GS23" s="40" t="str">
        <f t="shared" si="78"/>
        <v/>
      </c>
      <c r="GT23" s="40" t="str">
        <f t="shared" si="79"/>
        <v/>
      </c>
      <c r="GU23" s="40" t="str">
        <f t="shared" si="80"/>
        <v/>
      </c>
      <c r="GV23" s="40" t="str">
        <f t="shared" si="81"/>
        <v/>
      </c>
      <c r="GW23" s="40" t="str">
        <f t="shared" si="82"/>
        <v/>
      </c>
      <c r="GX23" s="40" t="str">
        <f t="shared" si="83"/>
        <v/>
      </c>
      <c r="GY23" s="40" t="str">
        <f t="shared" si="84"/>
        <v/>
      </c>
      <c r="GZ23" s="40" t="str">
        <f t="shared" si="85"/>
        <v/>
      </c>
      <c r="HA23" s="40" t="str">
        <f t="shared" si="86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87"/>
        <v/>
      </c>
      <c r="HW23" s="11" t="str">
        <f t="shared" si="88"/>
        <v/>
      </c>
      <c r="HX23" s="11" t="str">
        <f t="shared" si="89"/>
        <v/>
      </c>
      <c r="HY23" s="11" t="str">
        <f t="shared" si="90"/>
        <v/>
      </c>
      <c r="HZ23" s="11" t="str">
        <f t="shared" si="91"/>
        <v/>
      </c>
      <c r="IA23" s="11" t="str">
        <f t="shared" si="92"/>
        <v/>
      </c>
      <c r="IB23" s="11" t="str">
        <f t="shared" si="93"/>
        <v/>
      </c>
      <c r="IC23" s="11" t="str">
        <f t="shared" si="94"/>
        <v/>
      </c>
      <c r="ID23" s="11" t="str">
        <f t="shared" si="95"/>
        <v/>
      </c>
      <c r="IE23" s="11" t="str">
        <f t="shared" si="96"/>
        <v/>
      </c>
      <c r="IF23" s="11" t="str">
        <f t="shared" si="97"/>
        <v/>
      </c>
      <c r="IG23" s="11" t="str">
        <f t="shared" si="98"/>
        <v/>
      </c>
      <c r="IH23" s="11" t="str">
        <f t="shared" si="99"/>
        <v/>
      </c>
      <c r="II23" s="11" t="str">
        <f t="shared" si="100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1"/>
        <v/>
      </c>
      <c r="JE23" s="40" t="str">
        <f t="shared" si="102"/>
        <v/>
      </c>
      <c r="JF23" s="40" t="str">
        <f t="shared" si="103"/>
        <v/>
      </c>
      <c r="JG23" s="40" t="str">
        <f t="shared" si="104"/>
        <v/>
      </c>
      <c r="JH23" s="40" t="str">
        <f t="shared" si="105"/>
        <v/>
      </c>
      <c r="JI23" s="40" t="str">
        <f t="shared" si="106"/>
        <v/>
      </c>
      <c r="JJ23" s="40" t="str">
        <f t="shared" si="107"/>
        <v/>
      </c>
      <c r="JK23" s="40" t="str">
        <f t="shared" si="108"/>
        <v/>
      </c>
      <c r="JL23" s="40" t="str">
        <f t="shared" si="109"/>
        <v/>
      </c>
      <c r="JM23" s="40" t="str">
        <f t="shared" si="110"/>
        <v/>
      </c>
      <c r="JN23" s="40" t="str">
        <f t="shared" si="111"/>
        <v/>
      </c>
      <c r="JO23" s="40" t="str">
        <f t="shared" si="112"/>
        <v/>
      </c>
      <c r="JP23" s="40" t="str">
        <f t="shared" si="113"/>
        <v/>
      </c>
      <c r="JQ23" s="40" t="str">
        <f t="shared" si="114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15"/>
        <v/>
      </c>
      <c r="KM23" s="11" t="str">
        <f t="shared" si="116"/>
        <v/>
      </c>
      <c r="KN23" s="11" t="str">
        <f t="shared" si="117"/>
        <v/>
      </c>
      <c r="KO23" s="11" t="str">
        <f t="shared" si="118"/>
        <v/>
      </c>
      <c r="KP23" s="11" t="str">
        <f t="shared" si="119"/>
        <v/>
      </c>
      <c r="KQ23" s="11" t="str">
        <f t="shared" si="120"/>
        <v/>
      </c>
      <c r="KR23" s="11" t="str">
        <f t="shared" si="121"/>
        <v/>
      </c>
      <c r="KS23" s="11" t="str">
        <f t="shared" si="122"/>
        <v/>
      </c>
      <c r="KT23" s="11" t="str">
        <f t="shared" si="123"/>
        <v/>
      </c>
      <c r="KU23" s="11" t="str">
        <f t="shared" si="124"/>
        <v/>
      </c>
      <c r="KV23" s="11" t="str">
        <f t="shared" si="125"/>
        <v/>
      </c>
      <c r="KW23" s="11" t="str">
        <f t="shared" si="126"/>
        <v/>
      </c>
      <c r="KX23" s="11" t="str">
        <f t="shared" si="127"/>
        <v/>
      </c>
      <c r="KY23" s="11" t="str">
        <f t="shared" si="128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29"/>
        <v/>
      </c>
      <c r="LU23" s="40" t="str">
        <f t="shared" si="130"/>
        <v/>
      </c>
      <c r="LV23" s="40" t="str">
        <f t="shared" si="131"/>
        <v/>
      </c>
      <c r="LW23" s="40" t="str">
        <f t="shared" si="132"/>
        <v/>
      </c>
      <c r="LX23" s="40" t="str">
        <f t="shared" si="133"/>
        <v/>
      </c>
      <c r="LY23" s="40" t="str">
        <f t="shared" si="134"/>
        <v/>
      </c>
      <c r="LZ23" s="40" t="str">
        <f t="shared" si="135"/>
        <v/>
      </c>
      <c r="MA23" s="40" t="str">
        <f t="shared" si="136"/>
        <v/>
      </c>
      <c r="MB23" s="40" t="str">
        <f t="shared" si="137"/>
        <v/>
      </c>
      <c r="MC23" s="40" t="str">
        <f t="shared" si="138"/>
        <v/>
      </c>
      <c r="MD23" s="40" t="str">
        <f t="shared" si="139"/>
        <v/>
      </c>
      <c r="ME23" s="40" t="str">
        <f t="shared" si="140"/>
        <v/>
      </c>
      <c r="MF23" s="40" t="str">
        <f t="shared" si="141"/>
        <v/>
      </c>
      <c r="MG23" s="40" t="str">
        <f t="shared" si="142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3"/>
        <v/>
      </c>
      <c r="NC23" s="11" t="str">
        <f t="shared" si="144"/>
        <v/>
      </c>
      <c r="ND23" s="11" t="str">
        <f t="shared" si="145"/>
        <v/>
      </c>
      <c r="NE23" s="11" t="str">
        <f t="shared" si="146"/>
        <v/>
      </c>
      <c r="NF23" s="11" t="str">
        <f t="shared" si="147"/>
        <v/>
      </c>
      <c r="NG23" s="11" t="str">
        <f t="shared" si="148"/>
        <v/>
      </c>
      <c r="NH23" s="11" t="str">
        <f t="shared" si="149"/>
        <v/>
      </c>
      <c r="NI23" s="11" t="str">
        <f t="shared" si="150"/>
        <v/>
      </c>
      <c r="NJ23" s="11" t="str">
        <f t="shared" si="151"/>
        <v/>
      </c>
      <c r="NK23" s="11" t="str">
        <f t="shared" si="152"/>
        <v/>
      </c>
      <c r="NL23" s="11" t="str">
        <f t="shared" si="153"/>
        <v/>
      </c>
      <c r="NM23" s="11" t="str">
        <f t="shared" si="154"/>
        <v/>
      </c>
      <c r="NN23" s="11" t="str">
        <f t="shared" si="155"/>
        <v/>
      </c>
      <c r="NO23" s="11" t="str">
        <f t="shared" si="156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57"/>
        <v/>
      </c>
      <c r="OK23" s="40" t="str">
        <f t="shared" si="158"/>
        <v/>
      </c>
      <c r="OL23" s="40" t="str">
        <f t="shared" si="159"/>
        <v/>
      </c>
      <c r="OM23" s="40" t="str">
        <f t="shared" si="160"/>
        <v/>
      </c>
      <c r="ON23" s="40" t="str">
        <f t="shared" si="161"/>
        <v/>
      </c>
      <c r="OO23" s="40" t="str">
        <f t="shared" si="162"/>
        <v/>
      </c>
      <c r="OP23" s="40" t="str">
        <f t="shared" si="163"/>
        <v/>
      </c>
      <c r="OQ23" s="40" t="str">
        <f t="shared" si="164"/>
        <v/>
      </c>
      <c r="OR23" s="40" t="str">
        <f t="shared" si="165"/>
        <v/>
      </c>
      <c r="OS23" s="40" t="str">
        <f t="shared" si="166"/>
        <v/>
      </c>
      <c r="OT23" s="40" t="str">
        <f t="shared" si="167"/>
        <v/>
      </c>
      <c r="OU23" s="40" t="str">
        <f t="shared" si="168"/>
        <v/>
      </c>
      <c r="OV23" s="40" t="str">
        <f t="shared" si="169"/>
        <v/>
      </c>
      <c r="OW23" s="40" t="str">
        <f t="shared" si="170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1"/>
        <v/>
      </c>
      <c r="PS23" s="11" t="str">
        <f t="shared" si="172"/>
        <v/>
      </c>
      <c r="PT23" s="11" t="str">
        <f t="shared" si="173"/>
        <v/>
      </c>
      <c r="PU23" s="11" t="str">
        <f t="shared" si="174"/>
        <v/>
      </c>
      <c r="PV23" s="11" t="str">
        <f t="shared" si="175"/>
        <v/>
      </c>
      <c r="PW23" s="11" t="str">
        <f t="shared" si="176"/>
        <v/>
      </c>
      <c r="PX23" s="11" t="str">
        <f t="shared" si="177"/>
        <v/>
      </c>
      <c r="PY23" s="11" t="str">
        <f t="shared" si="178"/>
        <v/>
      </c>
      <c r="PZ23" s="11" t="str">
        <f t="shared" si="179"/>
        <v/>
      </c>
      <c r="QA23" s="11" t="str">
        <f t="shared" si="180"/>
        <v/>
      </c>
      <c r="QB23" s="11" t="str">
        <f t="shared" si="181"/>
        <v/>
      </c>
      <c r="QC23" s="11" t="str">
        <f t="shared" si="182"/>
        <v/>
      </c>
      <c r="QD23" s="11" t="str">
        <f t="shared" si="183"/>
        <v/>
      </c>
      <c r="QE23" s="11" t="str">
        <f t="shared" si="184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85"/>
        <v/>
      </c>
      <c r="RA23" s="40" t="str">
        <f t="shared" si="186"/>
        <v/>
      </c>
      <c r="RB23" s="40" t="str">
        <f t="shared" si="187"/>
        <v/>
      </c>
      <c r="RC23" s="40" t="str">
        <f t="shared" si="188"/>
        <v/>
      </c>
      <c r="RD23" s="40" t="str">
        <f t="shared" si="189"/>
        <v/>
      </c>
      <c r="RE23" s="40" t="str">
        <f t="shared" si="190"/>
        <v/>
      </c>
      <c r="RF23" s="40" t="str">
        <f t="shared" si="191"/>
        <v/>
      </c>
      <c r="RG23" s="40" t="str">
        <f t="shared" si="192"/>
        <v/>
      </c>
      <c r="RH23" s="40" t="str">
        <f t="shared" si="193"/>
        <v/>
      </c>
      <c r="RI23" s="40" t="str">
        <f t="shared" si="194"/>
        <v/>
      </c>
      <c r="RJ23" s="40" t="str">
        <f t="shared" si="195"/>
        <v/>
      </c>
      <c r="RK23" s="40" t="str">
        <f t="shared" si="196"/>
        <v/>
      </c>
      <c r="RL23" s="40" t="str">
        <f t="shared" si="197"/>
        <v/>
      </c>
      <c r="RM23" s="40" t="str">
        <f t="shared" si="198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199"/>
        <v/>
      </c>
      <c r="SI23" s="11" t="str">
        <f t="shared" si="200"/>
        <v/>
      </c>
      <c r="SJ23" s="11" t="str">
        <f t="shared" si="201"/>
        <v/>
      </c>
      <c r="SK23" s="11" t="str">
        <f t="shared" si="202"/>
        <v/>
      </c>
      <c r="SL23" s="11" t="str">
        <f t="shared" si="203"/>
        <v/>
      </c>
      <c r="SM23" s="11" t="str">
        <f t="shared" si="204"/>
        <v/>
      </c>
      <c r="SN23" s="11" t="str">
        <f t="shared" si="205"/>
        <v/>
      </c>
      <c r="SO23" s="11" t="str">
        <f t="shared" si="206"/>
        <v/>
      </c>
      <c r="SP23" s="11" t="str">
        <f t="shared" si="207"/>
        <v/>
      </c>
      <c r="SQ23" s="11" t="str">
        <f t="shared" si="208"/>
        <v/>
      </c>
      <c r="SR23" s="11" t="str">
        <f t="shared" si="209"/>
        <v/>
      </c>
      <c r="SS23" s="11" t="str">
        <f t="shared" si="210"/>
        <v/>
      </c>
      <c r="ST23" s="11" t="str">
        <f t="shared" si="211"/>
        <v/>
      </c>
      <c r="SU23" s="11" t="str">
        <f t="shared" si="212"/>
        <v/>
      </c>
      <c r="SV23" s="22">
        <f t="shared" si="213"/>
        <v>0.75</v>
      </c>
      <c r="SW23" s="22">
        <f t="shared" si="214"/>
        <v>0.4</v>
      </c>
      <c r="SX23" s="22">
        <f t="shared" si="215"/>
        <v>0.75</v>
      </c>
      <c r="SY23" s="22">
        <f t="shared" si="216"/>
        <v>0.75</v>
      </c>
      <c r="SZ23" s="22">
        <f t="shared" si="217"/>
        <v>0</v>
      </c>
      <c r="TA23" s="22">
        <f t="shared" si="218"/>
        <v>0.7</v>
      </c>
      <c r="TB23" s="22">
        <f t="shared" si="219"/>
        <v>0.4</v>
      </c>
      <c r="TC23" s="22">
        <f t="shared" si="220"/>
        <v>0.75</v>
      </c>
      <c r="TD23" s="22">
        <f t="shared" si="221"/>
        <v>0.755</v>
      </c>
      <c r="TE23" s="22">
        <f t="shared" si="222"/>
        <v>0</v>
      </c>
      <c r="TF23" s="22">
        <f t="shared" si="223"/>
        <v>7.2</v>
      </c>
      <c r="TG23" s="22">
        <f t="shared" si="224"/>
        <v>4.5</v>
      </c>
      <c r="TH23" s="22">
        <f t="shared" si="225"/>
        <v>5.9</v>
      </c>
      <c r="TI23" s="22">
        <f t="shared" si="226"/>
        <v>7.18</v>
      </c>
      <c r="TJ23" s="22">
        <f t="shared" si="227"/>
        <v>0.25</v>
      </c>
      <c r="TK23" s="27" t="s">
        <v>46</v>
      </c>
      <c r="TL23" s="40">
        <f t="shared" si="228"/>
        <v>0.75</v>
      </c>
      <c r="TM23" s="40">
        <f t="shared" si="229"/>
        <v>0.75</v>
      </c>
      <c r="TN23" s="40">
        <f t="shared" si="230"/>
        <v>2.65</v>
      </c>
      <c r="TO23" s="40">
        <f t="shared" si="231"/>
        <v>0.75</v>
      </c>
      <c r="TP23" s="40">
        <f t="shared" si="232"/>
        <v>0.755</v>
      </c>
      <c r="TQ23" s="40">
        <f t="shared" si="233"/>
        <v>2.605</v>
      </c>
      <c r="TR23" s="40">
        <f t="shared" si="234"/>
        <v>2.65</v>
      </c>
      <c r="TS23" s="40">
        <f t="shared" si="235"/>
        <v>5.9</v>
      </c>
      <c r="TT23" s="40">
        <f t="shared" si="236"/>
        <v>7.18</v>
      </c>
      <c r="TU23" s="40">
        <f t="shared" si="237"/>
        <v>24.53</v>
      </c>
      <c r="TV23" s="40">
        <f t="shared" si="238"/>
        <v>27.18</v>
      </c>
    </row>
    <row r="24" spans="1:542" x14ac:dyDescent="0.2">
      <c r="A24" s="4" t="str" cm="1">
        <f t="array" ref="A24">IF(AND(J24&lt;&gt;"",J24&lt;&gt;"No DD"),SUMPRODUCT((J$4:J$28&lt;&gt;"")*(J$4:J$28&lt;&gt;"No DD")*(F$4:F$28&gt;F24))+1,IF(J24="No DD",SUMPRODUCT((J$4:J$28="No DD")*(F$4:F$28&gt;F24))+1+SUMPRODUCT((J$4:J$28&lt;&gt;"")*(J$4:J$28&lt;&gt;"No DD")),""))</f>
        <v/>
      </c>
      <c r="B24" s="4" t="str" cm="1">
        <f t="array" ref="B24">IF(AND(J24&lt;&gt;"",J24&lt;&gt;"No DD",G24=""),SUMPRODUCT((J$4:J$28&lt;&gt;"")*(J$4:J$28&lt;&gt;"No DD")*(G$4:G$28="")*(F$4:F$28&gt;F24))+1,IF(J24="No DD",SUMPRODUCT((J$4:J$28="No DD")*(F$4:F$28&gt;F24)*(G$4:G$28=""))+1+SUMPRODUCT((J$4:J$28&lt;&gt;"")*(G$4:G$28="")*(J$4:J$28&lt;&gt;"No DD")),""))</f>
        <v/>
      </c>
      <c r="C24" s="5" t="s">
        <v>97</v>
      </c>
      <c r="D24" s="4" t="s">
        <v>4</v>
      </c>
      <c r="E24" s="4">
        <v>2005</v>
      </c>
      <c r="F24" s="9">
        <f t="shared" si="0"/>
        <v>134.56001345600453</v>
      </c>
      <c r="G24" s="64"/>
      <c r="H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P","")</f>
        <v/>
      </c>
      <c r="I24" s="3" t="str">
        <f>IF(OR(AND(AQ24&gt;=AY$34,AQ24&lt;&gt;"",AN24=""),AND(AT24&gt;=AY$34,AT24&lt;&gt;"",AN24=""),AND(AX24&gt;=AY$34,AX24&lt;&gt;"",AN24=""),AND(BR24&gt;=BZ$34,BR24&lt;&gt;"",BO24=""),AND(BU24&gt;=BZ$34,BU24&lt;&gt;"",BO24=""),AND(BY24&gt;=BZ$34,BY24&lt;&gt;"",BO24=""),AND(CS24&gt;=DA$34,CS24&lt;&gt;"",CP24=""),AND(CV24&gt;=DA$34,CV24&lt;&gt;"",CP24=""),AND(CZ24&gt;=DA$34,CZ24&lt;&gt;"",CP24=""),AND(DZ24&gt;=EK$34,DZ24&lt;&gt;""),AND(EC24&gt;=EK$34,EC24&lt;&gt;""),AND(EG24&gt;=EK$34,EG24&lt;&gt;""),AND(EJ24&gt;=EK$34,EJ24&lt;&gt;""),AND(FH24&gt;=FS$34,FH24&lt;&gt;""),AND(FK24&gt;=FS$34,FK24&lt;&gt;""),AND(FO24&gt;=FS$34,FO24&lt;&gt;""),AND(FR24&gt;=FS$34,FR24&lt;&gt;""),AND(GP24&gt;=HA$34,GP24&lt;&gt;""),AND(GS24&gt;=HA$34,GS24&lt;&gt;""),AND(GW24&gt;=HA$34,GW24&lt;&gt;""),AND(GZ24&gt;=HA$34,GZ24&lt;&gt;""),AND(HX24&gt;=II$34,HX24&lt;&gt;""),AND(IA24&gt;=II$34,IA24&lt;&gt;""),AND(IE24&gt;=II$34,IE24&lt;&gt;""),AND(IH24&gt;=II$34,IH24&lt;&gt;""),AND(JF24&gt;=JQ$34,JF24&lt;&gt;""),AND(JI24&gt;=JQ$34,JI24&lt;&gt;""),AND(JM24&gt;=JQ$34,JM24&lt;&gt;""),AND(JP24&gt;=JQ$34,JP24&lt;&gt;""),AND(KN24&gt;=KY$34,KN24&lt;&gt;""),AND(KQ24&gt;=KY$34,KQ24&lt;&gt;""),AND(KU24&gt;=KY$34,KU24&lt;&gt;""),AND(KX24&gt;=KY$34,KX24&lt;&gt;""),AND(LV24&gt;=MG$34,LV24&lt;&gt;""),AND(LY24&gt;=MG$34,LY24&lt;&gt;""),AND(MC24&gt;=MG$34,MC24&lt;&gt;""),AND(MF24&gt;=MG$34,MF24&lt;&gt;""),AND(ND24&gt;=NO$34,ND24&lt;&gt;""),AND(NG24&gt;=NO$34,NG24&lt;&gt;""),AND(NK24&gt;=NO$34,NK24&lt;&gt;""),AND(NN24&gt;=NO$34,NN24&lt;&gt;""),AND(OL24&gt;=OW$34,OL24&lt;&gt;""),AND(OO24&gt;=OW$34,OO24&lt;&gt;""),AND(OS24&gt;=OW$34,OS24&lt;&gt;""),AND(OV24&gt;=OW$34,OV24&lt;&gt;""),AND(PT24&gt;=QE$34,PT24&lt;&gt;""),AND(PW24&gt;=QE$34,PW24&lt;&gt;""),AND(QA24&gt;=QE$34,QA24&lt;&gt;""),AND(QD24&gt;=QE$34,QD24&lt;&gt;""),AND(RB24&gt;=RM$34,RB24&lt;&gt;""),AND(RE24&gt;=RM$34,RE24&lt;&gt;""),AND(RI24&gt;=RM$34,RI24&lt;&gt;""),AND(RL24&gt;=RM$34,RL24&lt;&gt;""),AND(SJ24&gt;=SU$34,SJ24&lt;&gt;""),AND(SM24&gt;=SU$34,SM24&lt;&gt;""),AND(SQ24&gt;=SU$34,SQ24&lt;&gt;""),AND(ST24&gt;=SU$34,ST24&lt;&gt;"")),"P","")</f>
        <v/>
      </c>
      <c r="J24" s="36" t="str">
        <f>IF(AND(I24="P",H24=""),"No DD",IF(OR(AND(AO24&gt;=AY$33,AO24&lt;&gt;"",AQ24&gt;=AY$37,AQ24&lt;&gt;"",AN24=""),AND(AR24&gt;=AY$33,AR24&lt;&gt;"",AT24&gt;=AY$37,AT24&lt;&gt;"",AN24=""),AND(AV24&gt;=AY$33,AV24&lt;&gt;"",AX24&gt;=AY$37,AX24&lt;&gt;"",AN24=""),AND(BP24&gt;=BZ$33,BP24&lt;&gt;"",BR24&gt;=BZ$37,BR24&lt;&gt;"",BO24=""),AND(BS24&gt;=BZ$33,BS24&lt;&gt;"",BU24&gt;=BZ$37,BU24&lt;&gt;"",BO24=""),AND(BW24&gt;=BZ$33,BW24&lt;&gt;"",BY24&gt;=BZ$37,BY24&lt;&gt;"",BO24=""),AND(CQ24&gt;=DA$33,CQ24&lt;&gt;"",CS24&gt;=DA$37,CS24&lt;&gt;"",CP24=""),AND(CT24&gt;=DA$33,CT24&lt;&gt;"",CV24&gt;=DA$37,CV24&lt;&gt;"",CP24=""),AND(CX24&gt;=DA$33,CX24&lt;&gt;"",CZ24&gt;=DA$37,CZ24&lt;&gt;"",CP24=""),AND(DX24&gt;=EK$33,DX24&lt;&gt;"",DZ24&gt;=EK$37,DZ24&lt;&gt;""),AND(EA24&gt;=EK$33,EA24&lt;&gt;"",EC24&gt;=EK$37,EC24&lt;&gt;""),AND(EE24&gt;=EK$33,EE24&lt;&gt;"",EG24&gt;=EK$37,EG24&lt;&gt;""),AND(EH24&gt;=EK$33,EH24&lt;&gt;"",EJ24&gt;=EK$37,EJ24&lt;&gt;""),AND(FF24&gt;=FS$33,FF24&lt;&gt;"",FH24&gt;=FS$37,FH24&lt;&gt;""),AND(FI24&gt;=FS$33,FI24&lt;&gt;"",FK24&gt;=FS$37,FK24&lt;&gt;""),AND(FM24&gt;=FS$33,FM24&lt;&gt;"",FO24&gt;=FS$37,FO24&lt;&gt;""),AND(FP24&gt;=FS$33,FP24&lt;&gt;"",FR24&gt;=FS$37,FR24&lt;&gt;""),AND(GN24&gt;=HA$33,GN24&lt;&gt;"",GP24&gt;=HA$37,GP24&lt;&gt;""),AND(GQ24&gt;=HA$33,GQ24&lt;&gt;"",GS24&gt;=HA$37,GS24&lt;&gt;""),AND(GU24&gt;=HA$33,GU24&lt;&gt;"",GW24&gt;=HA$37,GW24&lt;&gt;""),AND(GX24&gt;=HA$33,GX24&lt;&gt;"",GZ24&gt;=HA$37,GZ24&lt;&gt;""),AND(HV24&gt;=II$33,HV24&lt;&gt;"",HX24&gt;=II$37,HX24&lt;&gt;""),AND(HY24&gt;=II$33,HY24&lt;&gt;"",IA24&gt;=II$37,IA24&lt;&gt;""),AND(IC24&gt;=II$33,IC24&lt;&gt;"",IE24&gt;=II$37,IE24&lt;&gt;""),AND(IF24&gt;=II$33,IF24&lt;&gt;"",IH24&gt;=II$37,IH24&lt;&gt;""),AND(JD24&gt;=JQ$33,JD24&lt;&gt;"",JF24&gt;=JQ$37,JF24&lt;&gt;""),AND(JG24&gt;=JQ$33,JG24&lt;&gt;"",JI24&gt;=JQ$37,JI24&lt;&gt;""),AND(JK24&gt;=JQ$33,JK24&lt;&gt;"",JM24&gt;=JQ$37,JM24&lt;&gt;""),AND(JN24&gt;=JQ$33,JN24&lt;&gt;"",JP24&gt;=JQ$37,JP24&lt;&gt;""),AND(KL24&gt;=KY$33,KL24&lt;&gt;"",KN24&gt;=KY$37,KN24&lt;&gt;""),AND(KO24&gt;=KY$33,KO24&lt;&gt;"",KQ24&gt;=KY$37,KQ24&lt;&gt;""),AND(KS24&gt;=KY$33,KS24&lt;&gt;"",KU24&gt;=KY$37,KU24&lt;&gt;""),AND(KV24&gt;=KY$33,KV24&lt;&gt;"",KX24&gt;=KY$37,KX24&lt;&gt;""),AND(LT24&gt;=MG$33,LT24&lt;&gt;"",LV24&gt;=MG$37,LV24&lt;&gt;""),AND(LW24&gt;=MG$33,LW24&lt;&gt;"",LY24&gt;=MG$37,LY24&lt;&gt;""),AND(MA24&gt;=MG$33,MA24&lt;&gt;"",MC24&gt;=MG$37,MC24&lt;&gt;""),AND(MD24&gt;=MG$33,MD24&lt;&gt;"",MF24&gt;=MG$37,MF24&lt;&gt;""),AND(NB24&gt;=NO$33,NB24&lt;&gt;"",ND24&gt;=NO$37,ND24&lt;&gt;""),AND(NE24&gt;=NO$33,NE24&lt;&gt;"",NG24&gt;=NO$37,NG24&lt;&gt;""),AND(NI24&gt;=NO$33,NI24&lt;&gt;"",NK24&gt;=NO$37,NK24&lt;&gt;""),AND(NL24&gt;=NO$33,NL24&lt;&gt;"",NN24&gt;=NO$37,NN24&lt;&gt;""),AND(OJ24&gt;=OW$33,OJ24&lt;&gt;"",OL24&gt;=OW$37,OL24&lt;&gt;""),AND(OM24&gt;=OW$33,OM24&lt;&gt;"",OO24&gt;=OW$37,OO24&lt;&gt;""),AND(OQ24&gt;=OW$33,OQ24&lt;&gt;"",OS24&gt;=OW$37,OS24&lt;&gt;""),AND(OT24&gt;=OW$33,OT24&lt;&gt;"",OV24&gt;=OW$37,OV24&lt;&gt;""),AND(PR24&gt;=QE$33,PR24&lt;&gt;"",PT24&gt;=QE$37,PT24&lt;&gt;""),AND(PU24&gt;=QE$33,PU24&lt;&gt;"",PW24&gt;=QE$37,PW24&lt;&gt;""),AND(PY24&gt;=QE$33,PY24&lt;&gt;"",QA24&gt;=QE$37,QA24&lt;&gt;""),AND(QB24&gt;=QE$33,QB24&lt;&gt;"",QD24&gt;=QE$37,QD24&lt;&gt;""),AND(QZ24&gt;=RM$33,QZ24&lt;&gt;"",RB24&gt;=RM$37,RB24&lt;&gt;""),AND(RC24&gt;=RM$33,RC24&lt;&gt;"",RE24&gt;=RM$37,RE24&lt;&gt;""),AND(RG24&gt;=RM$33,RG24&lt;&gt;"",RI24&gt;=RM$37,RI24&lt;&gt;""),AND(RJ24&gt;=RM$33,RJ24&lt;&gt;"",RL24&gt;=RM$37,RL24&lt;&gt;""),AND(SH24&gt;=SU$33,SH24&lt;&gt;"",SJ24&gt;=SU$37,SJ24&lt;&gt;""),AND(SK24&gt;=SU$33,SK24&lt;&gt;"",SM24&gt;=SU$37,SM24&lt;&gt;""),AND(SO24&gt;=SU$33,SO24&lt;&gt;"",SQ24&gt;=SU$37,SQ24&lt;&gt;""),AND(SR24&gt;=SU$33,SR24&lt;&gt;"",ST24&gt;=SU$37,ST24&lt;&gt;"")),"Merit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),"Excellence",IF(K24="P","Worlds Team",IF(H24="P","National Team","")))))</f>
        <v/>
      </c>
      <c r="K24" s="3" t="str">
        <f>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P","")</f>
        <v/>
      </c>
      <c r="L24" s="8">
        <f>IF(COUNT(AQ24,AT24,BR24,BU24,CS24,CV24)&gt;0,LARGE((AQ24,AT24,BR24,BU24,CS24,CV24),1),0)</f>
        <v>45.129999999999995</v>
      </c>
      <c r="M24" s="8" t="str">
        <f t="shared" si="1"/>
        <v>2025 Elite Canada</v>
      </c>
      <c r="N24" s="8">
        <f>IF(COUNT(AQ24,AT24,BR24,BU24,CS24,CV24)&gt;1,LARGE((AQ24,AT24,BR24,BU24,CS24,CV24),2),0)</f>
        <v>43.16</v>
      </c>
      <c r="O24" s="8" t="str">
        <f t="shared" si="2"/>
        <v>2024 3rd Domestic Trial</v>
      </c>
      <c r="P24" s="8">
        <f>IF(COUNT(AQ24,AT24,BR24,BU24,CS24,CV24)&gt;2,MAX(AX24,BY24,CZ24,LARGE((AQ24,AT24,BR24,BU24,CS24,CV24),3)),IF(MAX(AX24,BY24,CZ24)&gt;0,MAX(AX24,BY24,CZ24),0))</f>
        <v>35.47</v>
      </c>
      <c r="Q24" s="8" t="str">
        <f t="shared" si="3"/>
        <v>2025 Elite Canada</v>
      </c>
      <c r="R24" s="8">
        <f t="shared" si="4"/>
        <v>10.8</v>
      </c>
      <c r="S24" s="8" t="str">
        <f t="shared" si="5"/>
        <v>2024 3rd Domestic Trial</v>
      </c>
      <c r="T24" s="8">
        <f>IF(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&gt;0,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,0)</f>
        <v>0</v>
      </c>
      <c r="U24" s="8" t="str">
        <f t="shared" si="6"/>
        <v/>
      </c>
      <c r="V24" s="8" t="str">
        <f t="shared" si="7"/>
        <v/>
      </c>
      <c r="W24" s="11" t="str">
        <f t="shared" si="8"/>
        <v/>
      </c>
      <c r="X24" s="8" t="str">
        <f t="shared" si="9"/>
        <v/>
      </c>
      <c r="Y24" s="22">
        <v>7.4</v>
      </c>
      <c r="Z24" s="22">
        <v>4.4000000000000004</v>
      </c>
      <c r="AA24" s="22">
        <v>6.9</v>
      </c>
      <c r="AB24" s="22">
        <v>8.5299999999999994</v>
      </c>
      <c r="AC24" s="22">
        <v>0</v>
      </c>
      <c r="AD24" s="22">
        <v>11.6</v>
      </c>
      <c r="AE24" s="22">
        <v>7.3</v>
      </c>
      <c r="AF24" s="22">
        <v>10.8</v>
      </c>
      <c r="AG24" s="22">
        <v>13.46</v>
      </c>
      <c r="AH24" s="22">
        <v>0</v>
      </c>
      <c r="AI24" s="22"/>
      <c r="AJ24" s="22"/>
      <c r="AK24" s="22"/>
      <c r="AL24" s="22"/>
      <c r="AM24" s="22"/>
      <c r="AN24" s="27"/>
      <c r="AO24" s="38">
        <f t="shared" si="10"/>
        <v>6.9</v>
      </c>
      <c r="AP24" s="38">
        <f t="shared" si="11"/>
        <v>8.5299999999999994</v>
      </c>
      <c r="AQ24" s="40">
        <f t="shared" si="12"/>
        <v>27.230000000000004</v>
      </c>
      <c r="AR24" s="40">
        <f t="shared" si="13"/>
        <v>10.8</v>
      </c>
      <c r="AS24" s="40">
        <f t="shared" si="14"/>
        <v>13.46</v>
      </c>
      <c r="AT24" s="40">
        <f t="shared" si="15"/>
        <v>43.16</v>
      </c>
      <c r="AU24" s="40">
        <f t="shared" si="16"/>
        <v>43.16</v>
      </c>
      <c r="AV24" s="40" t="str">
        <f t="shared" si="17"/>
        <v/>
      </c>
      <c r="AW24" s="40" t="str">
        <f t="shared" si="18"/>
        <v/>
      </c>
      <c r="AX24" s="40" t="str">
        <f t="shared" si="19"/>
        <v/>
      </c>
      <c r="AY24" s="40">
        <f t="shared" si="20"/>
        <v>43.16</v>
      </c>
      <c r="AZ24" s="26">
        <v>8.8000000000000007</v>
      </c>
      <c r="BA24" s="26">
        <v>6.55</v>
      </c>
      <c r="BB24" s="26">
        <v>8.3500000000000014</v>
      </c>
      <c r="BC24" s="26">
        <v>11.77</v>
      </c>
      <c r="BD24" s="26">
        <v>0</v>
      </c>
      <c r="BE24" s="26">
        <v>11.95</v>
      </c>
      <c r="BF24" s="26">
        <v>8.1</v>
      </c>
      <c r="BG24" s="26">
        <v>10.65</v>
      </c>
      <c r="BH24" s="26">
        <v>14.43</v>
      </c>
      <c r="BI24" s="26">
        <v>0</v>
      </c>
      <c r="BJ24" s="26">
        <v>0</v>
      </c>
      <c r="BK24" s="26">
        <v>0</v>
      </c>
      <c r="BL24" s="26">
        <v>0</v>
      </c>
      <c r="BM24" s="26">
        <v>0</v>
      </c>
      <c r="BN24" s="26">
        <v>0</v>
      </c>
      <c r="BO24" s="28" t="s">
        <v>46</v>
      </c>
      <c r="BP24" s="39">
        <f t="shared" si="21"/>
        <v>8.3500000000000014</v>
      </c>
      <c r="BQ24" s="39">
        <f t="shared" si="22"/>
        <v>11.77</v>
      </c>
      <c r="BR24" s="11">
        <f t="shared" si="23"/>
        <v>35.47</v>
      </c>
      <c r="BS24" s="11">
        <f t="shared" si="24"/>
        <v>10.65</v>
      </c>
      <c r="BT24" s="11">
        <f t="shared" si="25"/>
        <v>14.43</v>
      </c>
      <c r="BU24" s="11">
        <f t="shared" si="26"/>
        <v>45.129999999999995</v>
      </c>
      <c r="BV24" s="11">
        <f t="shared" si="27"/>
        <v>45.129999999999995</v>
      </c>
      <c r="BW24" s="11" t="str">
        <f t="shared" si="28"/>
        <v/>
      </c>
      <c r="BX24" s="11" t="str">
        <f t="shared" si="29"/>
        <v/>
      </c>
      <c r="BY24" s="11" t="str">
        <f t="shared" si="30"/>
        <v/>
      </c>
      <c r="BZ24" s="11">
        <f t="shared" si="31"/>
        <v>45.129999999999995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2"/>
        <v/>
      </c>
      <c r="CR24" s="38" t="str">
        <f t="shared" si="33"/>
        <v/>
      </c>
      <c r="CS24" s="40" t="str">
        <f t="shared" si="34"/>
        <v/>
      </c>
      <c r="CT24" s="40" t="str">
        <f t="shared" si="35"/>
        <v/>
      </c>
      <c r="CU24" s="40" t="str">
        <f t="shared" si="36"/>
        <v/>
      </c>
      <c r="CV24" s="40" t="str">
        <f t="shared" si="37"/>
        <v/>
      </c>
      <c r="CW24" s="40" t="str">
        <f t="shared" si="38"/>
        <v/>
      </c>
      <c r="CX24" s="40" t="str">
        <f t="shared" si="39"/>
        <v/>
      </c>
      <c r="CY24" s="40" t="str">
        <f t="shared" si="40"/>
        <v/>
      </c>
      <c r="CZ24" s="40" t="str">
        <f t="shared" si="41"/>
        <v/>
      </c>
      <c r="DA24" s="40" t="str">
        <f t="shared" si="42"/>
        <v/>
      </c>
      <c r="DB24" s="50" t="str">
        <f t="shared" si="43"/>
        <v/>
      </c>
      <c r="DC24" s="50" t="str">
        <f t="shared" si="44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45"/>
        <v/>
      </c>
      <c r="DY24" s="40" t="str">
        <f t="shared" si="46"/>
        <v/>
      </c>
      <c r="DZ24" s="40" t="str">
        <f t="shared" si="47"/>
        <v/>
      </c>
      <c r="EA24" s="40" t="str">
        <f t="shared" si="48"/>
        <v/>
      </c>
      <c r="EB24" s="40" t="str">
        <f t="shared" si="49"/>
        <v/>
      </c>
      <c r="EC24" s="40" t="str">
        <f t="shared" si="50"/>
        <v/>
      </c>
      <c r="ED24" s="40" t="str">
        <f t="shared" si="51"/>
        <v/>
      </c>
      <c r="EE24" s="40" t="str">
        <f t="shared" si="52"/>
        <v/>
      </c>
      <c r="EF24" s="40" t="str">
        <f t="shared" si="53"/>
        <v/>
      </c>
      <c r="EG24" s="40" t="str">
        <f t="shared" si="54"/>
        <v/>
      </c>
      <c r="EH24" s="40" t="str">
        <f t="shared" si="55"/>
        <v/>
      </c>
      <c r="EI24" s="40" t="str">
        <f t="shared" si="56"/>
        <v/>
      </c>
      <c r="EJ24" s="40" t="str">
        <f t="shared" si="57"/>
        <v/>
      </c>
      <c r="EK24" s="40" t="str">
        <f t="shared" si="58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59"/>
        <v/>
      </c>
      <c r="FG24" s="11" t="str">
        <f t="shared" si="60"/>
        <v/>
      </c>
      <c r="FH24" s="11" t="str">
        <f t="shared" si="61"/>
        <v/>
      </c>
      <c r="FI24" s="11" t="str">
        <f t="shared" si="62"/>
        <v/>
      </c>
      <c r="FJ24" s="11" t="str">
        <f t="shared" si="63"/>
        <v/>
      </c>
      <c r="FK24" s="11" t="str">
        <f t="shared" si="64"/>
        <v/>
      </c>
      <c r="FL24" s="11" t="str">
        <f t="shared" si="65"/>
        <v/>
      </c>
      <c r="FM24" s="11" t="str">
        <f t="shared" si="66"/>
        <v/>
      </c>
      <c r="FN24" s="11" t="str">
        <f t="shared" si="67"/>
        <v/>
      </c>
      <c r="FO24" s="11" t="str">
        <f t="shared" si="68"/>
        <v/>
      </c>
      <c r="FP24" s="11" t="str">
        <f t="shared" si="69"/>
        <v/>
      </c>
      <c r="FQ24" s="11" t="str">
        <f t="shared" si="70"/>
        <v/>
      </c>
      <c r="FR24" s="11" t="str">
        <f t="shared" si="71"/>
        <v/>
      </c>
      <c r="FS24" s="11" t="str">
        <f t="shared" si="72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3"/>
        <v/>
      </c>
      <c r="GO24" s="40" t="str">
        <f t="shared" si="74"/>
        <v/>
      </c>
      <c r="GP24" s="40" t="str">
        <f t="shared" si="75"/>
        <v/>
      </c>
      <c r="GQ24" s="40" t="str">
        <f t="shared" si="76"/>
        <v/>
      </c>
      <c r="GR24" s="40" t="str">
        <f t="shared" si="77"/>
        <v/>
      </c>
      <c r="GS24" s="40" t="str">
        <f t="shared" si="78"/>
        <v/>
      </c>
      <c r="GT24" s="40" t="str">
        <f t="shared" si="79"/>
        <v/>
      </c>
      <c r="GU24" s="40" t="str">
        <f t="shared" si="80"/>
        <v/>
      </c>
      <c r="GV24" s="40" t="str">
        <f t="shared" si="81"/>
        <v/>
      </c>
      <c r="GW24" s="40" t="str">
        <f t="shared" si="82"/>
        <v/>
      </c>
      <c r="GX24" s="40" t="str">
        <f t="shared" si="83"/>
        <v/>
      </c>
      <c r="GY24" s="40" t="str">
        <f t="shared" si="84"/>
        <v/>
      </c>
      <c r="GZ24" s="40" t="str">
        <f t="shared" si="85"/>
        <v/>
      </c>
      <c r="HA24" s="40" t="str">
        <f t="shared" si="86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87"/>
        <v/>
      </c>
      <c r="HW24" s="11" t="str">
        <f t="shared" si="88"/>
        <v/>
      </c>
      <c r="HX24" s="11" t="str">
        <f t="shared" si="89"/>
        <v/>
      </c>
      <c r="HY24" s="11" t="str">
        <f t="shared" si="90"/>
        <v/>
      </c>
      <c r="HZ24" s="11" t="str">
        <f t="shared" si="91"/>
        <v/>
      </c>
      <c r="IA24" s="11" t="str">
        <f t="shared" si="92"/>
        <v/>
      </c>
      <c r="IB24" s="11" t="str">
        <f t="shared" si="93"/>
        <v/>
      </c>
      <c r="IC24" s="11" t="str">
        <f t="shared" si="94"/>
        <v/>
      </c>
      <c r="ID24" s="11" t="str">
        <f t="shared" si="95"/>
        <v/>
      </c>
      <c r="IE24" s="11" t="str">
        <f t="shared" si="96"/>
        <v/>
      </c>
      <c r="IF24" s="11" t="str">
        <f t="shared" si="97"/>
        <v/>
      </c>
      <c r="IG24" s="11" t="str">
        <f t="shared" si="98"/>
        <v/>
      </c>
      <c r="IH24" s="11" t="str">
        <f t="shared" si="99"/>
        <v/>
      </c>
      <c r="II24" s="11" t="str">
        <f t="shared" si="100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1"/>
        <v/>
      </c>
      <c r="JE24" s="40" t="str">
        <f t="shared" si="102"/>
        <v/>
      </c>
      <c r="JF24" s="40" t="str">
        <f t="shared" si="103"/>
        <v/>
      </c>
      <c r="JG24" s="40" t="str">
        <f t="shared" si="104"/>
        <v/>
      </c>
      <c r="JH24" s="40" t="str">
        <f t="shared" si="105"/>
        <v/>
      </c>
      <c r="JI24" s="40" t="str">
        <f t="shared" si="106"/>
        <v/>
      </c>
      <c r="JJ24" s="40" t="str">
        <f t="shared" si="107"/>
        <v/>
      </c>
      <c r="JK24" s="40" t="str">
        <f t="shared" si="108"/>
        <v/>
      </c>
      <c r="JL24" s="40" t="str">
        <f t="shared" si="109"/>
        <v/>
      </c>
      <c r="JM24" s="40" t="str">
        <f t="shared" si="110"/>
        <v/>
      </c>
      <c r="JN24" s="40" t="str">
        <f t="shared" si="111"/>
        <v/>
      </c>
      <c r="JO24" s="40" t="str">
        <f t="shared" si="112"/>
        <v/>
      </c>
      <c r="JP24" s="40" t="str">
        <f t="shared" si="113"/>
        <v/>
      </c>
      <c r="JQ24" s="40" t="str">
        <f t="shared" si="114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15"/>
        <v/>
      </c>
      <c r="KM24" s="11" t="str">
        <f t="shared" si="116"/>
        <v/>
      </c>
      <c r="KN24" s="11" t="str">
        <f t="shared" si="117"/>
        <v/>
      </c>
      <c r="KO24" s="11" t="str">
        <f t="shared" si="118"/>
        <v/>
      </c>
      <c r="KP24" s="11" t="str">
        <f t="shared" si="119"/>
        <v/>
      </c>
      <c r="KQ24" s="11" t="str">
        <f t="shared" si="120"/>
        <v/>
      </c>
      <c r="KR24" s="11" t="str">
        <f t="shared" si="121"/>
        <v/>
      </c>
      <c r="KS24" s="11" t="str">
        <f t="shared" si="122"/>
        <v/>
      </c>
      <c r="KT24" s="11" t="str">
        <f t="shared" si="123"/>
        <v/>
      </c>
      <c r="KU24" s="11" t="str">
        <f t="shared" si="124"/>
        <v/>
      </c>
      <c r="KV24" s="11" t="str">
        <f t="shared" si="125"/>
        <v/>
      </c>
      <c r="KW24" s="11" t="str">
        <f t="shared" si="126"/>
        <v/>
      </c>
      <c r="KX24" s="11" t="str">
        <f t="shared" si="127"/>
        <v/>
      </c>
      <c r="KY24" s="11" t="str">
        <f t="shared" si="128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29"/>
        <v/>
      </c>
      <c r="LU24" s="40" t="str">
        <f t="shared" si="130"/>
        <v/>
      </c>
      <c r="LV24" s="40" t="str">
        <f t="shared" si="131"/>
        <v/>
      </c>
      <c r="LW24" s="40" t="str">
        <f t="shared" si="132"/>
        <v/>
      </c>
      <c r="LX24" s="40" t="str">
        <f t="shared" si="133"/>
        <v/>
      </c>
      <c r="LY24" s="40" t="str">
        <f t="shared" si="134"/>
        <v/>
      </c>
      <c r="LZ24" s="40" t="str">
        <f t="shared" si="135"/>
        <v/>
      </c>
      <c r="MA24" s="40" t="str">
        <f t="shared" si="136"/>
        <v/>
      </c>
      <c r="MB24" s="40" t="str">
        <f t="shared" si="137"/>
        <v/>
      </c>
      <c r="MC24" s="40" t="str">
        <f t="shared" si="138"/>
        <v/>
      </c>
      <c r="MD24" s="40" t="str">
        <f t="shared" si="139"/>
        <v/>
      </c>
      <c r="ME24" s="40" t="str">
        <f t="shared" si="140"/>
        <v/>
      </c>
      <c r="MF24" s="40" t="str">
        <f t="shared" si="141"/>
        <v/>
      </c>
      <c r="MG24" s="40" t="str">
        <f t="shared" si="142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3"/>
        <v/>
      </c>
      <c r="NC24" s="11" t="str">
        <f t="shared" si="144"/>
        <v/>
      </c>
      <c r="ND24" s="11" t="str">
        <f t="shared" si="145"/>
        <v/>
      </c>
      <c r="NE24" s="11" t="str">
        <f t="shared" si="146"/>
        <v/>
      </c>
      <c r="NF24" s="11" t="str">
        <f t="shared" si="147"/>
        <v/>
      </c>
      <c r="NG24" s="11" t="str">
        <f t="shared" si="148"/>
        <v/>
      </c>
      <c r="NH24" s="11" t="str">
        <f t="shared" si="149"/>
        <v/>
      </c>
      <c r="NI24" s="11" t="str">
        <f t="shared" si="150"/>
        <v/>
      </c>
      <c r="NJ24" s="11" t="str">
        <f t="shared" si="151"/>
        <v/>
      </c>
      <c r="NK24" s="11" t="str">
        <f t="shared" si="152"/>
        <v/>
      </c>
      <c r="NL24" s="11" t="str">
        <f t="shared" si="153"/>
        <v/>
      </c>
      <c r="NM24" s="11" t="str">
        <f t="shared" si="154"/>
        <v/>
      </c>
      <c r="NN24" s="11" t="str">
        <f t="shared" si="155"/>
        <v/>
      </c>
      <c r="NO24" s="11" t="str">
        <f t="shared" si="156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57"/>
        <v/>
      </c>
      <c r="OK24" s="40" t="str">
        <f t="shared" si="158"/>
        <v/>
      </c>
      <c r="OL24" s="40" t="str">
        <f t="shared" si="159"/>
        <v/>
      </c>
      <c r="OM24" s="40" t="str">
        <f t="shared" si="160"/>
        <v/>
      </c>
      <c r="ON24" s="40" t="str">
        <f t="shared" si="161"/>
        <v/>
      </c>
      <c r="OO24" s="40" t="str">
        <f t="shared" si="162"/>
        <v/>
      </c>
      <c r="OP24" s="40" t="str">
        <f t="shared" si="163"/>
        <v/>
      </c>
      <c r="OQ24" s="40" t="str">
        <f t="shared" si="164"/>
        <v/>
      </c>
      <c r="OR24" s="40" t="str">
        <f t="shared" si="165"/>
        <v/>
      </c>
      <c r="OS24" s="40" t="str">
        <f t="shared" si="166"/>
        <v/>
      </c>
      <c r="OT24" s="40" t="str">
        <f t="shared" si="167"/>
        <v/>
      </c>
      <c r="OU24" s="40" t="str">
        <f t="shared" si="168"/>
        <v/>
      </c>
      <c r="OV24" s="40" t="str">
        <f t="shared" si="169"/>
        <v/>
      </c>
      <c r="OW24" s="40" t="str">
        <f t="shared" si="170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1"/>
        <v/>
      </c>
      <c r="PS24" s="11" t="str">
        <f t="shared" si="172"/>
        <v/>
      </c>
      <c r="PT24" s="11" t="str">
        <f t="shared" si="173"/>
        <v/>
      </c>
      <c r="PU24" s="11" t="str">
        <f t="shared" si="174"/>
        <v/>
      </c>
      <c r="PV24" s="11" t="str">
        <f t="shared" si="175"/>
        <v/>
      </c>
      <c r="PW24" s="11" t="str">
        <f t="shared" si="176"/>
        <v/>
      </c>
      <c r="PX24" s="11" t="str">
        <f t="shared" si="177"/>
        <v/>
      </c>
      <c r="PY24" s="11" t="str">
        <f t="shared" si="178"/>
        <v/>
      </c>
      <c r="PZ24" s="11" t="str">
        <f t="shared" si="179"/>
        <v/>
      </c>
      <c r="QA24" s="11" t="str">
        <f t="shared" si="180"/>
        <v/>
      </c>
      <c r="QB24" s="11" t="str">
        <f t="shared" si="181"/>
        <v/>
      </c>
      <c r="QC24" s="11" t="str">
        <f t="shared" si="182"/>
        <v/>
      </c>
      <c r="QD24" s="11" t="str">
        <f t="shared" si="183"/>
        <v/>
      </c>
      <c r="QE24" s="11" t="str">
        <f t="shared" si="184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85"/>
        <v/>
      </c>
      <c r="RA24" s="40" t="str">
        <f t="shared" si="186"/>
        <v/>
      </c>
      <c r="RB24" s="40" t="str">
        <f t="shared" si="187"/>
        <v/>
      </c>
      <c r="RC24" s="40" t="str">
        <f t="shared" si="188"/>
        <v/>
      </c>
      <c r="RD24" s="40" t="str">
        <f t="shared" si="189"/>
        <v/>
      </c>
      <c r="RE24" s="40" t="str">
        <f t="shared" si="190"/>
        <v/>
      </c>
      <c r="RF24" s="40" t="str">
        <f t="shared" si="191"/>
        <v/>
      </c>
      <c r="RG24" s="40" t="str">
        <f t="shared" si="192"/>
        <v/>
      </c>
      <c r="RH24" s="40" t="str">
        <f t="shared" si="193"/>
        <v/>
      </c>
      <c r="RI24" s="40" t="str">
        <f t="shared" si="194"/>
        <v/>
      </c>
      <c r="RJ24" s="40" t="str">
        <f t="shared" si="195"/>
        <v/>
      </c>
      <c r="RK24" s="40" t="str">
        <f t="shared" si="196"/>
        <v/>
      </c>
      <c r="RL24" s="40" t="str">
        <f t="shared" si="197"/>
        <v/>
      </c>
      <c r="RM24" s="40" t="str">
        <f t="shared" si="198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199"/>
        <v/>
      </c>
      <c r="SI24" s="11" t="str">
        <f t="shared" si="200"/>
        <v/>
      </c>
      <c r="SJ24" s="11" t="str">
        <f t="shared" si="201"/>
        <v/>
      </c>
      <c r="SK24" s="11" t="str">
        <f t="shared" si="202"/>
        <v/>
      </c>
      <c r="SL24" s="11" t="str">
        <f t="shared" si="203"/>
        <v/>
      </c>
      <c r="SM24" s="11" t="str">
        <f t="shared" si="204"/>
        <v/>
      </c>
      <c r="SN24" s="11" t="str">
        <f t="shared" si="205"/>
        <v/>
      </c>
      <c r="SO24" s="11" t="str">
        <f t="shared" si="206"/>
        <v/>
      </c>
      <c r="SP24" s="11" t="str">
        <f t="shared" si="207"/>
        <v/>
      </c>
      <c r="SQ24" s="11" t="str">
        <f t="shared" si="208"/>
        <v/>
      </c>
      <c r="SR24" s="11" t="str">
        <f t="shared" si="209"/>
        <v/>
      </c>
      <c r="SS24" s="11" t="str">
        <f t="shared" si="210"/>
        <v/>
      </c>
      <c r="ST24" s="11" t="str">
        <f t="shared" si="211"/>
        <v/>
      </c>
      <c r="SU24" s="11" t="str">
        <f t="shared" si="212"/>
        <v/>
      </c>
      <c r="SV24" s="22">
        <f t="shared" si="213"/>
        <v>4.4000000000000004</v>
      </c>
      <c r="SW24" s="22">
        <f t="shared" si="214"/>
        <v>3.2749999999999999</v>
      </c>
      <c r="SX24" s="22">
        <f t="shared" si="215"/>
        <v>4.1750000000000007</v>
      </c>
      <c r="SY24" s="22">
        <f t="shared" si="216"/>
        <v>5.8849999999999998</v>
      </c>
      <c r="SZ24" s="22">
        <f t="shared" si="217"/>
        <v>0</v>
      </c>
      <c r="TA24" s="22">
        <f t="shared" si="218"/>
        <v>5.9749999999999996</v>
      </c>
      <c r="TB24" s="22">
        <f t="shared" si="219"/>
        <v>4.05</v>
      </c>
      <c r="TC24" s="22">
        <f t="shared" si="220"/>
        <v>5.3250000000000002</v>
      </c>
      <c r="TD24" s="22">
        <f t="shared" si="221"/>
        <v>7.2149999999999999</v>
      </c>
      <c r="TE24" s="22">
        <f t="shared" si="222"/>
        <v>0</v>
      </c>
      <c r="TF24" s="22">
        <f t="shared" si="223"/>
        <v>0</v>
      </c>
      <c r="TG24" s="22">
        <f t="shared" si="224"/>
        <v>0</v>
      </c>
      <c r="TH24" s="22">
        <f t="shared" si="225"/>
        <v>0</v>
      </c>
      <c r="TI24" s="22">
        <f t="shared" si="226"/>
        <v>0</v>
      </c>
      <c r="TJ24" s="22">
        <f t="shared" si="227"/>
        <v>0</v>
      </c>
      <c r="TK24" s="27" t="s">
        <v>46</v>
      </c>
      <c r="TL24" s="40">
        <f t="shared" si="228"/>
        <v>4.1750000000000007</v>
      </c>
      <c r="TM24" s="40">
        <f t="shared" si="229"/>
        <v>5.8849999999999998</v>
      </c>
      <c r="TN24" s="40">
        <f t="shared" si="230"/>
        <v>17.734999999999999</v>
      </c>
      <c r="TO24" s="40">
        <f t="shared" si="231"/>
        <v>5.3250000000000002</v>
      </c>
      <c r="TP24" s="40">
        <f t="shared" si="232"/>
        <v>7.2149999999999999</v>
      </c>
      <c r="TQ24" s="40">
        <f t="shared" si="233"/>
        <v>22.564999999999998</v>
      </c>
      <c r="TR24" s="40">
        <f t="shared" si="234"/>
        <v>22.564999999999998</v>
      </c>
      <c r="TS24" s="40" t="str">
        <f t="shared" si="235"/>
        <v/>
      </c>
      <c r="TT24" s="40" t="str">
        <f t="shared" si="236"/>
        <v/>
      </c>
      <c r="TU24" s="40" t="str">
        <f t="shared" si="237"/>
        <v/>
      </c>
      <c r="TV24" s="40">
        <f t="shared" si="238"/>
        <v>22.564999999999998</v>
      </c>
    </row>
    <row r="25" spans="1:542" x14ac:dyDescent="0.2">
      <c r="A25" s="4" t="str" cm="1">
        <f t="array" ref="A25">IF(AND(J25&lt;&gt;"",J25&lt;&gt;"No DD"),SUMPRODUCT((J$4:J$28&lt;&gt;"")*(J$4:J$28&lt;&gt;"No DD")*(F$4:F$28&gt;F25))+1,IF(J25="No DD",SUMPRODUCT((J$4:J$28="No DD")*(F$4:F$28&gt;F25))+1+SUMPRODUCT((J$4:J$28&lt;&gt;"")*(J$4:J$28&lt;&gt;"No DD")),""))</f>
        <v/>
      </c>
      <c r="B25" s="4" t="str" cm="1">
        <f t="array" ref="B25">IF(AND(J25&lt;&gt;"",J25&lt;&gt;"No DD",G25=""),SUMPRODUCT((J$4:J$28&lt;&gt;"")*(J$4:J$28&lt;&gt;"No DD")*(G$4:G$28="")*(F$4:F$28&gt;F25))+1,IF(J25="No DD",SUMPRODUCT((J$4:J$28="No DD")*(F$4:F$28&gt;F25)*(G$4:G$28=""))+1+SUMPRODUCT((J$4:J$28&lt;&gt;"")*(G$4:G$28="")*(J$4:J$28&lt;&gt;"No DD")),""))</f>
        <v/>
      </c>
      <c r="C25" s="5" t="s">
        <v>141</v>
      </c>
      <c r="D25" s="4" t="s">
        <v>5</v>
      </c>
      <c r="E25" s="4">
        <v>2007</v>
      </c>
      <c r="F25" s="9">
        <f t="shared" si="0"/>
        <v>113.07001130700475</v>
      </c>
      <c r="G25" s="64"/>
      <c r="H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P","")</f>
        <v/>
      </c>
      <c r="I25" s="3" t="str">
        <f>IF(OR(AND(AQ25&gt;=AY$34,AQ25&lt;&gt;"",AN25=""),AND(AT25&gt;=AY$34,AT25&lt;&gt;"",AN25=""),AND(AX25&gt;=AY$34,AX25&lt;&gt;"",AN25=""),AND(BR25&gt;=BZ$34,BR25&lt;&gt;"",BO25=""),AND(BU25&gt;=BZ$34,BU25&lt;&gt;"",BO25=""),AND(BY25&gt;=BZ$34,BY25&lt;&gt;"",BO25=""),AND(CS25&gt;=DA$34,CS25&lt;&gt;"",CP25=""),AND(CV25&gt;=DA$34,CV25&lt;&gt;"",CP25=""),AND(CZ25&gt;=DA$34,CZ25&lt;&gt;"",CP25=""),AND(DZ25&gt;=EK$34,DZ25&lt;&gt;""),AND(EC25&gt;=EK$34,EC25&lt;&gt;""),AND(EG25&gt;=EK$34,EG25&lt;&gt;""),AND(EJ25&gt;=EK$34,EJ25&lt;&gt;""),AND(FH25&gt;=FS$34,FH25&lt;&gt;""),AND(FK25&gt;=FS$34,FK25&lt;&gt;""),AND(FO25&gt;=FS$34,FO25&lt;&gt;""),AND(FR25&gt;=FS$34,FR25&lt;&gt;""),AND(GP25&gt;=HA$34,GP25&lt;&gt;""),AND(GS25&gt;=HA$34,GS25&lt;&gt;""),AND(GW25&gt;=HA$34,GW25&lt;&gt;""),AND(GZ25&gt;=HA$34,GZ25&lt;&gt;""),AND(HX25&gt;=II$34,HX25&lt;&gt;""),AND(IA25&gt;=II$34,IA25&lt;&gt;""),AND(IE25&gt;=II$34,IE25&lt;&gt;""),AND(IH25&gt;=II$34,IH25&lt;&gt;""),AND(JF25&gt;=JQ$34,JF25&lt;&gt;""),AND(JI25&gt;=JQ$34,JI25&lt;&gt;""),AND(JM25&gt;=JQ$34,JM25&lt;&gt;""),AND(JP25&gt;=JQ$34,JP25&lt;&gt;""),AND(KN25&gt;=KY$34,KN25&lt;&gt;""),AND(KQ25&gt;=KY$34,KQ25&lt;&gt;""),AND(KU25&gt;=KY$34,KU25&lt;&gt;""),AND(KX25&gt;=KY$34,KX25&lt;&gt;""),AND(LV25&gt;=MG$34,LV25&lt;&gt;""),AND(LY25&gt;=MG$34,LY25&lt;&gt;""),AND(MC25&gt;=MG$34,MC25&lt;&gt;""),AND(MF25&gt;=MG$34,MF25&lt;&gt;""),AND(ND25&gt;=NO$34,ND25&lt;&gt;""),AND(NG25&gt;=NO$34,NG25&lt;&gt;""),AND(NK25&gt;=NO$34,NK25&lt;&gt;""),AND(NN25&gt;=NO$34,NN25&lt;&gt;""),AND(OL25&gt;=OW$34,OL25&lt;&gt;""),AND(OO25&gt;=OW$34,OO25&lt;&gt;""),AND(OS25&gt;=OW$34,OS25&lt;&gt;""),AND(OV25&gt;=OW$34,OV25&lt;&gt;""),AND(PT25&gt;=QE$34,PT25&lt;&gt;""),AND(PW25&gt;=QE$34,PW25&lt;&gt;""),AND(QA25&gt;=QE$34,QA25&lt;&gt;""),AND(QD25&gt;=QE$34,QD25&lt;&gt;""),AND(RB25&gt;=RM$34,RB25&lt;&gt;""),AND(RE25&gt;=RM$34,RE25&lt;&gt;""),AND(RI25&gt;=RM$34,RI25&lt;&gt;""),AND(RL25&gt;=RM$34,RL25&lt;&gt;""),AND(SJ25&gt;=SU$34,SJ25&lt;&gt;""),AND(SM25&gt;=SU$34,SM25&lt;&gt;""),AND(SQ25&gt;=SU$34,SQ25&lt;&gt;""),AND(ST25&gt;=SU$34,ST25&lt;&gt;"")),"P","")</f>
        <v/>
      </c>
      <c r="J25" s="36" t="str">
        <f>IF(AND(I25="P",H25=""),"No DD",IF(OR(AND(AO25&gt;=AY$33,AO25&lt;&gt;"",AQ25&gt;=AY$37,AQ25&lt;&gt;"",AN25=""),AND(AR25&gt;=AY$33,AR25&lt;&gt;"",AT25&gt;=AY$37,AT25&lt;&gt;"",AN25=""),AND(AV25&gt;=AY$33,AV25&lt;&gt;"",AX25&gt;=AY$37,AX25&lt;&gt;"",AN25=""),AND(BP25&gt;=BZ$33,BP25&lt;&gt;"",BR25&gt;=BZ$37,BR25&lt;&gt;"",BO25=""),AND(BS25&gt;=BZ$33,BS25&lt;&gt;"",BU25&gt;=BZ$37,BU25&lt;&gt;"",BO25=""),AND(BW25&gt;=BZ$33,BW25&lt;&gt;"",BY25&gt;=BZ$37,BY25&lt;&gt;"",BO25=""),AND(CQ25&gt;=DA$33,CQ25&lt;&gt;"",CS25&gt;=DA$37,CS25&lt;&gt;"",CP25=""),AND(CT25&gt;=DA$33,CT25&lt;&gt;"",CV25&gt;=DA$37,CV25&lt;&gt;"",CP25=""),AND(CX25&gt;=DA$33,CX25&lt;&gt;"",CZ25&gt;=DA$37,CZ25&lt;&gt;"",CP25=""),AND(DX25&gt;=EK$33,DX25&lt;&gt;"",DZ25&gt;=EK$37,DZ25&lt;&gt;""),AND(EA25&gt;=EK$33,EA25&lt;&gt;"",EC25&gt;=EK$37,EC25&lt;&gt;""),AND(EE25&gt;=EK$33,EE25&lt;&gt;"",EG25&gt;=EK$37,EG25&lt;&gt;""),AND(EH25&gt;=EK$33,EH25&lt;&gt;"",EJ25&gt;=EK$37,EJ25&lt;&gt;""),AND(FF25&gt;=FS$33,FF25&lt;&gt;"",FH25&gt;=FS$37,FH25&lt;&gt;""),AND(FI25&gt;=FS$33,FI25&lt;&gt;"",FK25&gt;=FS$37,FK25&lt;&gt;""),AND(FM25&gt;=FS$33,FM25&lt;&gt;"",FO25&gt;=FS$37,FO25&lt;&gt;""),AND(FP25&gt;=FS$33,FP25&lt;&gt;"",FR25&gt;=FS$37,FR25&lt;&gt;""),AND(GN25&gt;=HA$33,GN25&lt;&gt;"",GP25&gt;=HA$37,GP25&lt;&gt;""),AND(GQ25&gt;=HA$33,GQ25&lt;&gt;"",GS25&gt;=HA$37,GS25&lt;&gt;""),AND(GU25&gt;=HA$33,GU25&lt;&gt;"",GW25&gt;=HA$37,GW25&lt;&gt;""),AND(GX25&gt;=HA$33,GX25&lt;&gt;"",GZ25&gt;=HA$37,GZ25&lt;&gt;""),AND(HV25&gt;=II$33,HV25&lt;&gt;"",HX25&gt;=II$37,HX25&lt;&gt;""),AND(HY25&gt;=II$33,HY25&lt;&gt;"",IA25&gt;=II$37,IA25&lt;&gt;""),AND(IC25&gt;=II$33,IC25&lt;&gt;"",IE25&gt;=II$37,IE25&lt;&gt;""),AND(IF25&gt;=II$33,IF25&lt;&gt;"",IH25&gt;=II$37,IH25&lt;&gt;""),AND(JD25&gt;=JQ$33,JD25&lt;&gt;"",JF25&gt;=JQ$37,JF25&lt;&gt;""),AND(JG25&gt;=JQ$33,JG25&lt;&gt;"",JI25&gt;=JQ$37,JI25&lt;&gt;""),AND(JK25&gt;=JQ$33,JK25&lt;&gt;"",JM25&gt;=JQ$37,JM25&lt;&gt;""),AND(JN25&gt;=JQ$33,JN25&lt;&gt;"",JP25&gt;=JQ$37,JP25&lt;&gt;""),AND(KL25&gt;=KY$33,KL25&lt;&gt;"",KN25&gt;=KY$37,KN25&lt;&gt;""),AND(KO25&gt;=KY$33,KO25&lt;&gt;"",KQ25&gt;=KY$37,KQ25&lt;&gt;""),AND(KS25&gt;=KY$33,KS25&lt;&gt;"",KU25&gt;=KY$37,KU25&lt;&gt;""),AND(KV25&gt;=KY$33,KV25&lt;&gt;"",KX25&gt;=KY$37,KX25&lt;&gt;""),AND(LT25&gt;=MG$33,LT25&lt;&gt;"",LV25&gt;=MG$37,LV25&lt;&gt;""),AND(LW25&gt;=MG$33,LW25&lt;&gt;"",LY25&gt;=MG$37,LY25&lt;&gt;""),AND(MA25&gt;=MG$33,MA25&lt;&gt;"",MC25&gt;=MG$37,MC25&lt;&gt;""),AND(MD25&gt;=MG$33,MD25&lt;&gt;"",MF25&gt;=MG$37,MF25&lt;&gt;""),AND(NB25&gt;=NO$33,NB25&lt;&gt;"",ND25&gt;=NO$37,ND25&lt;&gt;""),AND(NE25&gt;=NO$33,NE25&lt;&gt;"",NG25&gt;=NO$37,NG25&lt;&gt;""),AND(NI25&gt;=NO$33,NI25&lt;&gt;"",NK25&gt;=NO$37,NK25&lt;&gt;""),AND(NL25&gt;=NO$33,NL25&lt;&gt;"",NN25&gt;=NO$37,NN25&lt;&gt;""),AND(OJ25&gt;=OW$33,OJ25&lt;&gt;"",OL25&gt;=OW$37,OL25&lt;&gt;""),AND(OM25&gt;=OW$33,OM25&lt;&gt;"",OO25&gt;=OW$37,OO25&lt;&gt;""),AND(OQ25&gt;=OW$33,OQ25&lt;&gt;"",OS25&gt;=OW$37,OS25&lt;&gt;""),AND(OT25&gt;=OW$33,OT25&lt;&gt;"",OV25&gt;=OW$37,OV25&lt;&gt;""),AND(PR25&gt;=QE$33,PR25&lt;&gt;"",PT25&gt;=QE$37,PT25&lt;&gt;""),AND(PU25&gt;=QE$33,PU25&lt;&gt;"",PW25&gt;=QE$37,PW25&lt;&gt;""),AND(PY25&gt;=QE$33,PY25&lt;&gt;"",QA25&gt;=QE$37,QA25&lt;&gt;""),AND(QB25&gt;=QE$33,QB25&lt;&gt;"",QD25&gt;=QE$37,QD25&lt;&gt;""),AND(QZ25&gt;=RM$33,QZ25&lt;&gt;"",RB25&gt;=RM$37,RB25&lt;&gt;""),AND(RC25&gt;=RM$33,RC25&lt;&gt;"",RE25&gt;=RM$37,RE25&lt;&gt;""),AND(RG25&gt;=RM$33,RG25&lt;&gt;"",RI25&gt;=RM$37,RI25&lt;&gt;""),AND(RJ25&gt;=RM$33,RJ25&lt;&gt;"",RL25&gt;=RM$37,RL25&lt;&gt;""),AND(SH25&gt;=SU$33,SH25&lt;&gt;"",SJ25&gt;=SU$37,SJ25&lt;&gt;""),AND(SK25&gt;=SU$33,SK25&lt;&gt;"",SM25&gt;=SU$37,SM25&lt;&gt;""),AND(SO25&gt;=SU$33,SO25&lt;&gt;"",SQ25&gt;=SU$37,SQ25&lt;&gt;""),AND(SR25&gt;=SU$33,SR25&lt;&gt;"",ST25&gt;=SU$37,ST25&lt;&gt;"")),"Merit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),"Excellence",IF(K25="P","Worlds Team",IF(H25="P","National Team","")))))</f>
        <v/>
      </c>
      <c r="K25" s="3" t="str">
        <f>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P","")</f>
        <v/>
      </c>
      <c r="L25" s="8">
        <f>IF(COUNT(AQ25,AT25,BR25,BU25,CS25,CV25)&gt;0,LARGE((AQ25,AT25,BR25,BU25,CS25,CV25),1),0)</f>
        <v>47.58</v>
      </c>
      <c r="M25" s="8" t="str">
        <f t="shared" si="1"/>
        <v>2024 3rd Domestic Trial</v>
      </c>
      <c r="N25" s="8">
        <f>IF(COUNT(AQ25,AT25,BR25,BU25,CS25,CV25)&gt;1,LARGE((AQ25,AT25,BR25,BU25,CS25,CV25),2),0)</f>
        <v>20.55</v>
      </c>
      <c r="O25" s="8" t="str">
        <f t="shared" si="2"/>
        <v>2024 3rd Domestic Trial</v>
      </c>
      <c r="P25" s="8">
        <f>IF(COUNT(AQ25,AT25,BR25,BU25,CS25,CV25)&gt;2,MAX(AX25,BY25,CZ25,LARGE((AQ25,AT25,BR25,BU25,CS25,CV25),3)),IF(MAX(AX25,BY25,CZ25)&gt;0,MAX(AX25,BY25,CZ25),0))</f>
        <v>34.14</v>
      </c>
      <c r="Q25" s="8" t="str">
        <f t="shared" si="3"/>
        <v>2024 3rd Domestic Trial</v>
      </c>
      <c r="R25" s="8">
        <f t="shared" si="4"/>
        <v>10.8</v>
      </c>
      <c r="S25" s="8" t="str">
        <f t="shared" si="5"/>
        <v>2024 3rd Domestic Trial</v>
      </c>
      <c r="T25" s="8">
        <f>IF(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&gt;0,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,0)</f>
        <v>0</v>
      </c>
      <c r="U25" s="8" t="str">
        <f t="shared" si="6"/>
        <v/>
      </c>
      <c r="V25" s="8" t="str">
        <f t="shared" si="7"/>
        <v/>
      </c>
      <c r="W25" s="11" t="str">
        <f t="shared" si="8"/>
        <v/>
      </c>
      <c r="X25" s="8" t="str">
        <f t="shared" si="9"/>
        <v/>
      </c>
      <c r="Y25" s="22">
        <v>5.3</v>
      </c>
      <c r="Z25" s="22">
        <v>3.7</v>
      </c>
      <c r="AA25" s="22">
        <v>5.6</v>
      </c>
      <c r="AB25" s="22">
        <v>5.95</v>
      </c>
      <c r="AC25" s="22">
        <v>0</v>
      </c>
      <c r="AD25" s="22">
        <v>12.7</v>
      </c>
      <c r="AE25" s="22">
        <v>9.3000000000000007</v>
      </c>
      <c r="AF25" s="22">
        <v>10.8</v>
      </c>
      <c r="AG25" s="22">
        <v>14.78</v>
      </c>
      <c r="AH25" s="22">
        <v>0</v>
      </c>
      <c r="AI25" s="22">
        <v>9.1</v>
      </c>
      <c r="AJ25" s="22">
        <v>6.4</v>
      </c>
      <c r="AK25" s="22">
        <v>8.3000000000000007</v>
      </c>
      <c r="AL25" s="22">
        <v>10.34</v>
      </c>
      <c r="AM25" s="22">
        <v>0</v>
      </c>
      <c r="AN25" s="27"/>
      <c r="AO25" s="38">
        <f t="shared" si="10"/>
        <v>5.6</v>
      </c>
      <c r="AP25" s="38">
        <f t="shared" si="11"/>
        <v>5.95</v>
      </c>
      <c r="AQ25" s="40">
        <f t="shared" si="12"/>
        <v>20.55</v>
      </c>
      <c r="AR25" s="40">
        <f t="shared" si="13"/>
        <v>10.8</v>
      </c>
      <c r="AS25" s="40">
        <f t="shared" si="14"/>
        <v>14.78</v>
      </c>
      <c r="AT25" s="40">
        <f t="shared" si="15"/>
        <v>47.58</v>
      </c>
      <c r="AU25" s="40">
        <f t="shared" si="16"/>
        <v>47.58</v>
      </c>
      <c r="AV25" s="40">
        <f t="shared" si="17"/>
        <v>8.3000000000000007</v>
      </c>
      <c r="AW25" s="40">
        <f t="shared" si="18"/>
        <v>10.34</v>
      </c>
      <c r="AX25" s="40">
        <f t="shared" si="19"/>
        <v>34.14</v>
      </c>
      <c r="AY25" s="40">
        <f t="shared" si="20"/>
        <v>81.72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1"/>
        <v/>
      </c>
      <c r="BQ25" s="39" t="str">
        <f t="shared" si="22"/>
        <v/>
      </c>
      <c r="BR25" s="11" t="str">
        <f t="shared" si="23"/>
        <v/>
      </c>
      <c r="BS25" s="11" t="str">
        <f t="shared" si="24"/>
        <v/>
      </c>
      <c r="BT25" s="11" t="str">
        <f t="shared" si="25"/>
        <v/>
      </c>
      <c r="BU25" s="11" t="str">
        <f t="shared" si="26"/>
        <v/>
      </c>
      <c r="BV25" s="11" t="str">
        <f t="shared" si="27"/>
        <v/>
      </c>
      <c r="BW25" s="11" t="str">
        <f t="shared" si="28"/>
        <v/>
      </c>
      <c r="BX25" s="11" t="str">
        <f t="shared" si="29"/>
        <v/>
      </c>
      <c r="BY25" s="11" t="str">
        <f t="shared" si="30"/>
        <v/>
      </c>
      <c r="BZ25" s="11" t="str">
        <f t="shared" si="31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2"/>
        <v/>
      </c>
      <c r="CR25" s="38" t="str">
        <f t="shared" si="33"/>
        <v/>
      </c>
      <c r="CS25" s="40" t="str">
        <f t="shared" si="34"/>
        <v/>
      </c>
      <c r="CT25" s="40" t="str">
        <f t="shared" si="35"/>
        <v/>
      </c>
      <c r="CU25" s="40" t="str">
        <f t="shared" si="36"/>
        <v/>
      </c>
      <c r="CV25" s="40" t="str">
        <f t="shared" si="37"/>
        <v/>
      </c>
      <c r="CW25" s="40" t="str">
        <f t="shared" si="38"/>
        <v/>
      </c>
      <c r="CX25" s="40" t="str">
        <f t="shared" si="39"/>
        <v/>
      </c>
      <c r="CY25" s="40" t="str">
        <f t="shared" si="40"/>
        <v/>
      </c>
      <c r="CZ25" s="40" t="str">
        <f t="shared" si="41"/>
        <v/>
      </c>
      <c r="DA25" s="40" t="str">
        <f t="shared" si="42"/>
        <v/>
      </c>
      <c r="DB25" s="50" t="str">
        <f t="shared" si="43"/>
        <v/>
      </c>
      <c r="DC25" s="50" t="str">
        <f t="shared" si="44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45"/>
        <v/>
      </c>
      <c r="DY25" s="40" t="str">
        <f t="shared" si="46"/>
        <v/>
      </c>
      <c r="DZ25" s="40" t="str">
        <f t="shared" si="47"/>
        <v/>
      </c>
      <c r="EA25" s="40" t="str">
        <f t="shared" si="48"/>
        <v/>
      </c>
      <c r="EB25" s="40" t="str">
        <f t="shared" si="49"/>
        <v/>
      </c>
      <c r="EC25" s="40" t="str">
        <f t="shared" si="50"/>
        <v/>
      </c>
      <c r="ED25" s="40" t="str">
        <f t="shared" si="51"/>
        <v/>
      </c>
      <c r="EE25" s="40" t="str">
        <f t="shared" si="52"/>
        <v/>
      </c>
      <c r="EF25" s="40" t="str">
        <f t="shared" si="53"/>
        <v/>
      </c>
      <c r="EG25" s="40" t="str">
        <f t="shared" si="54"/>
        <v/>
      </c>
      <c r="EH25" s="40" t="str">
        <f t="shared" si="55"/>
        <v/>
      </c>
      <c r="EI25" s="40" t="str">
        <f t="shared" si="56"/>
        <v/>
      </c>
      <c r="EJ25" s="40" t="str">
        <f t="shared" si="57"/>
        <v/>
      </c>
      <c r="EK25" s="40" t="str">
        <f t="shared" si="58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59"/>
        <v/>
      </c>
      <c r="FG25" s="11" t="str">
        <f t="shared" si="60"/>
        <v/>
      </c>
      <c r="FH25" s="11" t="str">
        <f t="shared" si="61"/>
        <v/>
      </c>
      <c r="FI25" s="11" t="str">
        <f t="shared" si="62"/>
        <v/>
      </c>
      <c r="FJ25" s="11" t="str">
        <f t="shared" si="63"/>
        <v/>
      </c>
      <c r="FK25" s="11" t="str">
        <f t="shared" si="64"/>
        <v/>
      </c>
      <c r="FL25" s="11" t="str">
        <f t="shared" si="65"/>
        <v/>
      </c>
      <c r="FM25" s="11" t="str">
        <f t="shared" si="66"/>
        <v/>
      </c>
      <c r="FN25" s="11" t="str">
        <f t="shared" si="67"/>
        <v/>
      </c>
      <c r="FO25" s="11" t="str">
        <f t="shared" si="68"/>
        <v/>
      </c>
      <c r="FP25" s="11" t="str">
        <f t="shared" si="69"/>
        <v/>
      </c>
      <c r="FQ25" s="11" t="str">
        <f t="shared" si="70"/>
        <v/>
      </c>
      <c r="FR25" s="11" t="str">
        <f t="shared" si="71"/>
        <v/>
      </c>
      <c r="FS25" s="11" t="str">
        <f t="shared" si="72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3"/>
        <v/>
      </c>
      <c r="GO25" s="40" t="str">
        <f t="shared" si="74"/>
        <v/>
      </c>
      <c r="GP25" s="40" t="str">
        <f t="shared" si="75"/>
        <v/>
      </c>
      <c r="GQ25" s="40" t="str">
        <f t="shared" si="76"/>
        <v/>
      </c>
      <c r="GR25" s="40" t="str">
        <f t="shared" si="77"/>
        <v/>
      </c>
      <c r="GS25" s="40" t="str">
        <f t="shared" si="78"/>
        <v/>
      </c>
      <c r="GT25" s="40" t="str">
        <f t="shared" si="79"/>
        <v/>
      </c>
      <c r="GU25" s="40" t="str">
        <f t="shared" si="80"/>
        <v/>
      </c>
      <c r="GV25" s="40" t="str">
        <f t="shared" si="81"/>
        <v/>
      </c>
      <c r="GW25" s="40" t="str">
        <f t="shared" si="82"/>
        <v/>
      </c>
      <c r="GX25" s="40" t="str">
        <f t="shared" si="83"/>
        <v/>
      </c>
      <c r="GY25" s="40" t="str">
        <f t="shared" si="84"/>
        <v/>
      </c>
      <c r="GZ25" s="40" t="str">
        <f t="shared" si="85"/>
        <v/>
      </c>
      <c r="HA25" s="40" t="str">
        <f t="shared" si="86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87"/>
        <v/>
      </c>
      <c r="HW25" s="11" t="str">
        <f t="shared" si="88"/>
        <v/>
      </c>
      <c r="HX25" s="11" t="str">
        <f t="shared" si="89"/>
        <v/>
      </c>
      <c r="HY25" s="11" t="str">
        <f t="shared" si="90"/>
        <v/>
      </c>
      <c r="HZ25" s="11" t="str">
        <f t="shared" si="91"/>
        <v/>
      </c>
      <c r="IA25" s="11" t="str">
        <f t="shared" si="92"/>
        <v/>
      </c>
      <c r="IB25" s="11" t="str">
        <f t="shared" si="93"/>
        <v/>
      </c>
      <c r="IC25" s="11" t="str">
        <f t="shared" si="94"/>
        <v/>
      </c>
      <c r="ID25" s="11" t="str">
        <f t="shared" si="95"/>
        <v/>
      </c>
      <c r="IE25" s="11" t="str">
        <f t="shared" si="96"/>
        <v/>
      </c>
      <c r="IF25" s="11" t="str">
        <f t="shared" si="97"/>
        <v/>
      </c>
      <c r="IG25" s="11" t="str">
        <f t="shared" si="98"/>
        <v/>
      </c>
      <c r="IH25" s="11" t="str">
        <f t="shared" si="99"/>
        <v/>
      </c>
      <c r="II25" s="11" t="str">
        <f t="shared" si="100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1"/>
        <v/>
      </c>
      <c r="JE25" s="40" t="str">
        <f t="shared" si="102"/>
        <v/>
      </c>
      <c r="JF25" s="40" t="str">
        <f t="shared" si="103"/>
        <v/>
      </c>
      <c r="JG25" s="40" t="str">
        <f t="shared" si="104"/>
        <v/>
      </c>
      <c r="JH25" s="40" t="str">
        <f t="shared" si="105"/>
        <v/>
      </c>
      <c r="JI25" s="40" t="str">
        <f t="shared" si="106"/>
        <v/>
      </c>
      <c r="JJ25" s="40" t="str">
        <f t="shared" si="107"/>
        <v/>
      </c>
      <c r="JK25" s="40" t="str">
        <f t="shared" si="108"/>
        <v/>
      </c>
      <c r="JL25" s="40" t="str">
        <f t="shared" si="109"/>
        <v/>
      </c>
      <c r="JM25" s="40" t="str">
        <f t="shared" si="110"/>
        <v/>
      </c>
      <c r="JN25" s="40" t="str">
        <f t="shared" si="111"/>
        <v/>
      </c>
      <c r="JO25" s="40" t="str">
        <f t="shared" si="112"/>
        <v/>
      </c>
      <c r="JP25" s="40" t="str">
        <f t="shared" si="113"/>
        <v/>
      </c>
      <c r="JQ25" s="40" t="str">
        <f t="shared" si="114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15"/>
        <v/>
      </c>
      <c r="KM25" s="11" t="str">
        <f t="shared" si="116"/>
        <v/>
      </c>
      <c r="KN25" s="11" t="str">
        <f t="shared" si="117"/>
        <v/>
      </c>
      <c r="KO25" s="11" t="str">
        <f t="shared" si="118"/>
        <v/>
      </c>
      <c r="KP25" s="11" t="str">
        <f t="shared" si="119"/>
        <v/>
      </c>
      <c r="KQ25" s="11" t="str">
        <f t="shared" si="120"/>
        <v/>
      </c>
      <c r="KR25" s="11" t="str">
        <f t="shared" si="121"/>
        <v/>
      </c>
      <c r="KS25" s="11" t="str">
        <f t="shared" si="122"/>
        <v/>
      </c>
      <c r="KT25" s="11" t="str">
        <f t="shared" si="123"/>
        <v/>
      </c>
      <c r="KU25" s="11" t="str">
        <f t="shared" si="124"/>
        <v/>
      </c>
      <c r="KV25" s="11" t="str">
        <f t="shared" si="125"/>
        <v/>
      </c>
      <c r="KW25" s="11" t="str">
        <f t="shared" si="126"/>
        <v/>
      </c>
      <c r="KX25" s="11" t="str">
        <f t="shared" si="127"/>
        <v/>
      </c>
      <c r="KY25" s="11" t="str">
        <f t="shared" si="128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29"/>
        <v/>
      </c>
      <c r="LU25" s="40" t="str">
        <f t="shared" si="130"/>
        <v/>
      </c>
      <c r="LV25" s="40" t="str">
        <f t="shared" si="131"/>
        <v/>
      </c>
      <c r="LW25" s="40" t="str">
        <f t="shared" si="132"/>
        <v/>
      </c>
      <c r="LX25" s="40" t="str">
        <f t="shared" si="133"/>
        <v/>
      </c>
      <c r="LY25" s="40" t="str">
        <f t="shared" si="134"/>
        <v/>
      </c>
      <c r="LZ25" s="40" t="str">
        <f t="shared" si="135"/>
        <v/>
      </c>
      <c r="MA25" s="40" t="str">
        <f t="shared" si="136"/>
        <v/>
      </c>
      <c r="MB25" s="40" t="str">
        <f t="shared" si="137"/>
        <v/>
      </c>
      <c r="MC25" s="40" t="str">
        <f t="shared" si="138"/>
        <v/>
      </c>
      <c r="MD25" s="40" t="str">
        <f t="shared" si="139"/>
        <v/>
      </c>
      <c r="ME25" s="40" t="str">
        <f t="shared" si="140"/>
        <v/>
      </c>
      <c r="MF25" s="40" t="str">
        <f t="shared" si="141"/>
        <v/>
      </c>
      <c r="MG25" s="40" t="str">
        <f t="shared" si="142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3"/>
        <v/>
      </c>
      <c r="NC25" s="11" t="str">
        <f t="shared" si="144"/>
        <v/>
      </c>
      <c r="ND25" s="11" t="str">
        <f t="shared" si="145"/>
        <v/>
      </c>
      <c r="NE25" s="11" t="str">
        <f t="shared" si="146"/>
        <v/>
      </c>
      <c r="NF25" s="11" t="str">
        <f t="shared" si="147"/>
        <v/>
      </c>
      <c r="NG25" s="11" t="str">
        <f t="shared" si="148"/>
        <v/>
      </c>
      <c r="NH25" s="11" t="str">
        <f t="shared" si="149"/>
        <v/>
      </c>
      <c r="NI25" s="11" t="str">
        <f t="shared" si="150"/>
        <v/>
      </c>
      <c r="NJ25" s="11" t="str">
        <f t="shared" si="151"/>
        <v/>
      </c>
      <c r="NK25" s="11" t="str">
        <f t="shared" si="152"/>
        <v/>
      </c>
      <c r="NL25" s="11" t="str">
        <f t="shared" si="153"/>
        <v/>
      </c>
      <c r="NM25" s="11" t="str">
        <f t="shared" si="154"/>
        <v/>
      </c>
      <c r="NN25" s="11" t="str">
        <f t="shared" si="155"/>
        <v/>
      </c>
      <c r="NO25" s="11" t="str">
        <f t="shared" si="156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57"/>
        <v/>
      </c>
      <c r="OK25" s="40" t="str">
        <f t="shared" si="158"/>
        <v/>
      </c>
      <c r="OL25" s="40" t="str">
        <f t="shared" si="159"/>
        <v/>
      </c>
      <c r="OM25" s="40" t="str">
        <f t="shared" si="160"/>
        <v/>
      </c>
      <c r="ON25" s="40" t="str">
        <f t="shared" si="161"/>
        <v/>
      </c>
      <c r="OO25" s="40" t="str">
        <f t="shared" si="162"/>
        <v/>
      </c>
      <c r="OP25" s="40" t="str">
        <f t="shared" si="163"/>
        <v/>
      </c>
      <c r="OQ25" s="40" t="str">
        <f t="shared" si="164"/>
        <v/>
      </c>
      <c r="OR25" s="40" t="str">
        <f t="shared" si="165"/>
        <v/>
      </c>
      <c r="OS25" s="40" t="str">
        <f t="shared" si="166"/>
        <v/>
      </c>
      <c r="OT25" s="40" t="str">
        <f t="shared" si="167"/>
        <v/>
      </c>
      <c r="OU25" s="40" t="str">
        <f t="shared" si="168"/>
        <v/>
      </c>
      <c r="OV25" s="40" t="str">
        <f t="shared" si="169"/>
        <v/>
      </c>
      <c r="OW25" s="40" t="str">
        <f t="shared" si="170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1"/>
        <v/>
      </c>
      <c r="PS25" s="11" t="str">
        <f t="shared" si="172"/>
        <v/>
      </c>
      <c r="PT25" s="11" t="str">
        <f t="shared" si="173"/>
        <v/>
      </c>
      <c r="PU25" s="11" t="str">
        <f t="shared" si="174"/>
        <v/>
      </c>
      <c r="PV25" s="11" t="str">
        <f t="shared" si="175"/>
        <v/>
      </c>
      <c r="PW25" s="11" t="str">
        <f t="shared" si="176"/>
        <v/>
      </c>
      <c r="PX25" s="11" t="str">
        <f t="shared" si="177"/>
        <v/>
      </c>
      <c r="PY25" s="11" t="str">
        <f t="shared" si="178"/>
        <v/>
      </c>
      <c r="PZ25" s="11" t="str">
        <f t="shared" si="179"/>
        <v/>
      </c>
      <c r="QA25" s="11" t="str">
        <f t="shared" si="180"/>
        <v/>
      </c>
      <c r="QB25" s="11" t="str">
        <f t="shared" si="181"/>
        <v/>
      </c>
      <c r="QC25" s="11" t="str">
        <f t="shared" si="182"/>
        <v/>
      </c>
      <c r="QD25" s="11" t="str">
        <f t="shared" si="183"/>
        <v/>
      </c>
      <c r="QE25" s="11" t="str">
        <f t="shared" si="184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85"/>
        <v/>
      </c>
      <c r="RA25" s="40" t="str">
        <f t="shared" si="186"/>
        <v/>
      </c>
      <c r="RB25" s="40" t="str">
        <f t="shared" si="187"/>
        <v/>
      </c>
      <c r="RC25" s="40" t="str">
        <f t="shared" si="188"/>
        <v/>
      </c>
      <c r="RD25" s="40" t="str">
        <f t="shared" si="189"/>
        <v/>
      </c>
      <c r="RE25" s="40" t="str">
        <f t="shared" si="190"/>
        <v/>
      </c>
      <c r="RF25" s="40" t="str">
        <f t="shared" si="191"/>
        <v/>
      </c>
      <c r="RG25" s="40" t="str">
        <f t="shared" si="192"/>
        <v/>
      </c>
      <c r="RH25" s="40" t="str">
        <f t="shared" si="193"/>
        <v/>
      </c>
      <c r="RI25" s="40" t="str">
        <f t="shared" si="194"/>
        <v/>
      </c>
      <c r="RJ25" s="40" t="str">
        <f t="shared" si="195"/>
        <v/>
      </c>
      <c r="RK25" s="40" t="str">
        <f t="shared" si="196"/>
        <v/>
      </c>
      <c r="RL25" s="40" t="str">
        <f t="shared" si="197"/>
        <v/>
      </c>
      <c r="RM25" s="40" t="str">
        <f t="shared" si="198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199"/>
        <v/>
      </c>
      <c r="SI25" s="11" t="str">
        <f t="shared" si="200"/>
        <v/>
      </c>
      <c r="SJ25" s="11" t="str">
        <f t="shared" si="201"/>
        <v/>
      </c>
      <c r="SK25" s="11" t="str">
        <f t="shared" si="202"/>
        <v/>
      </c>
      <c r="SL25" s="11" t="str">
        <f t="shared" si="203"/>
        <v/>
      </c>
      <c r="SM25" s="11" t="str">
        <f t="shared" si="204"/>
        <v/>
      </c>
      <c r="SN25" s="11" t="str">
        <f t="shared" si="205"/>
        <v/>
      </c>
      <c r="SO25" s="11" t="str">
        <f t="shared" si="206"/>
        <v/>
      </c>
      <c r="SP25" s="11" t="str">
        <f t="shared" si="207"/>
        <v/>
      </c>
      <c r="SQ25" s="11" t="str">
        <f t="shared" si="208"/>
        <v/>
      </c>
      <c r="SR25" s="11" t="str">
        <f t="shared" si="209"/>
        <v/>
      </c>
      <c r="SS25" s="11" t="str">
        <f t="shared" si="210"/>
        <v/>
      </c>
      <c r="ST25" s="11" t="str">
        <f t="shared" si="211"/>
        <v/>
      </c>
      <c r="SU25" s="11" t="str">
        <f t="shared" si="212"/>
        <v/>
      </c>
      <c r="SV25" s="22">
        <f t="shared" si="213"/>
        <v>0</v>
      </c>
      <c r="SW25" s="22">
        <f t="shared" si="214"/>
        <v>0</v>
      </c>
      <c r="SX25" s="22">
        <f t="shared" si="215"/>
        <v>0</v>
      </c>
      <c r="SY25" s="22">
        <f t="shared" si="216"/>
        <v>0</v>
      </c>
      <c r="SZ25" s="22">
        <f t="shared" si="217"/>
        <v>0</v>
      </c>
      <c r="TA25" s="22">
        <f t="shared" si="218"/>
        <v>0</v>
      </c>
      <c r="TB25" s="22">
        <f t="shared" si="219"/>
        <v>0</v>
      </c>
      <c r="TC25" s="22">
        <f t="shared" si="220"/>
        <v>0</v>
      </c>
      <c r="TD25" s="22">
        <f t="shared" si="221"/>
        <v>0</v>
      </c>
      <c r="TE25" s="22">
        <f t="shared" si="222"/>
        <v>0</v>
      </c>
      <c r="TF25" s="22">
        <f t="shared" si="223"/>
        <v>0</v>
      </c>
      <c r="TG25" s="22">
        <f t="shared" si="224"/>
        <v>0</v>
      </c>
      <c r="TH25" s="22">
        <f t="shared" si="225"/>
        <v>0</v>
      </c>
      <c r="TI25" s="22">
        <f t="shared" si="226"/>
        <v>0</v>
      </c>
      <c r="TJ25" s="22">
        <f t="shared" si="227"/>
        <v>0</v>
      </c>
      <c r="TK25" s="27" t="s">
        <v>46</v>
      </c>
      <c r="TL25" s="40" t="str">
        <f t="shared" si="228"/>
        <v/>
      </c>
      <c r="TM25" s="40" t="str">
        <f t="shared" si="229"/>
        <v/>
      </c>
      <c r="TN25" s="40" t="str">
        <f t="shared" si="230"/>
        <v/>
      </c>
      <c r="TO25" s="40" t="str">
        <f t="shared" si="231"/>
        <v/>
      </c>
      <c r="TP25" s="40" t="str">
        <f t="shared" si="232"/>
        <v/>
      </c>
      <c r="TQ25" s="40" t="str">
        <f t="shared" si="233"/>
        <v/>
      </c>
      <c r="TR25" s="40" t="str">
        <f t="shared" si="234"/>
        <v/>
      </c>
      <c r="TS25" s="40" t="str">
        <f t="shared" si="235"/>
        <v/>
      </c>
      <c r="TT25" s="40" t="str">
        <f t="shared" si="236"/>
        <v/>
      </c>
      <c r="TU25" s="40" t="str">
        <f t="shared" si="237"/>
        <v/>
      </c>
      <c r="TV25" s="40" t="str">
        <f t="shared" si="238"/>
        <v/>
      </c>
    </row>
    <row r="26" spans="1:542" x14ac:dyDescent="0.2">
      <c r="A26" s="4" t="str" cm="1">
        <f t="array" ref="A26">IF(AND(J26&lt;&gt;"",J26&lt;&gt;"No DD"),SUMPRODUCT((J$4:J$28&lt;&gt;"")*(J$4:J$28&lt;&gt;"No DD")*(F$4:F$28&gt;F26))+1,IF(J26="No DD",SUMPRODUCT((J$4:J$28="No DD")*(F$4:F$28&gt;F26))+1+SUMPRODUCT((J$4:J$28&lt;&gt;"")*(J$4:J$28&lt;&gt;"No DD")),""))</f>
        <v/>
      </c>
      <c r="B26" s="4" t="str" cm="1">
        <f t="array" ref="B26">IF(AND(J26&lt;&gt;"",J26&lt;&gt;"No DD",G26=""),SUMPRODUCT((J$4:J$28&lt;&gt;"")*(J$4:J$28&lt;&gt;"No DD")*(G$4:G$28="")*(F$4:F$28&gt;F26))+1,IF(J26="No DD",SUMPRODUCT((J$4:J$28="No DD")*(F$4:F$28&gt;F26)*(G$4:G$28=""))+1+SUMPRODUCT((J$4:J$28&lt;&gt;"")*(G$4:G$28="")*(J$4:J$28&lt;&gt;"No DD")),""))</f>
        <v/>
      </c>
      <c r="C26" s="5" t="s">
        <v>142</v>
      </c>
      <c r="D26" s="4" t="s">
        <v>6</v>
      </c>
      <c r="E26" s="4">
        <v>2007</v>
      </c>
      <c r="F26" s="9">
        <f t="shared" si="0"/>
        <v>97.640009764001675</v>
      </c>
      <c r="G26" s="64"/>
      <c r="H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),"P","")</f>
        <v/>
      </c>
      <c r="I26" s="3" t="str">
        <f>IF(OR(AND(AQ26&gt;=AY$34,AQ26&lt;&gt;"",AN26=""),AND(AT26&gt;=AY$34,AT26&lt;&gt;"",AN26=""),AND(AX26&gt;=AY$34,AX26&lt;&gt;"",AN26=""),AND(BR26&gt;=BZ$34,BR26&lt;&gt;"",BO26=""),AND(BU26&gt;=BZ$34,BU26&lt;&gt;"",BO26=""),AND(BY26&gt;=BZ$34,BY26&lt;&gt;"",BO26=""),AND(CS26&gt;=DA$34,CS26&lt;&gt;"",CP26=""),AND(CV26&gt;=DA$34,CV26&lt;&gt;"",CP26=""),AND(CZ26&gt;=DA$34,CZ26&lt;&gt;"",CP26=""),AND(DZ26&gt;=EK$34,DZ26&lt;&gt;""),AND(EC26&gt;=EK$34,EC26&lt;&gt;""),AND(EG26&gt;=EK$34,EG26&lt;&gt;""),AND(EJ26&gt;=EK$34,EJ26&lt;&gt;""),AND(FH26&gt;=FS$34,FH26&lt;&gt;""),AND(FK26&gt;=FS$34,FK26&lt;&gt;""),AND(FO26&gt;=FS$34,FO26&lt;&gt;""),AND(FR26&gt;=FS$34,FR26&lt;&gt;""),AND(GP26&gt;=HA$34,GP26&lt;&gt;""),AND(GS26&gt;=HA$34,GS26&lt;&gt;""),AND(GW26&gt;=HA$34,GW26&lt;&gt;""),AND(GZ26&gt;=HA$34,GZ26&lt;&gt;""),AND(HX26&gt;=II$34,HX26&lt;&gt;""),AND(IA26&gt;=II$34,IA26&lt;&gt;""),AND(IE26&gt;=II$34,IE26&lt;&gt;""),AND(IH26&gt;=II$34,IH26&lt;&gt;""),AND(JF26&gt;=JQ$34,JF26&lt;&gt;""),AND(JI26&gt;=JQ$34,JI26&lt;&gt;""),AND(JM26&gt;=JQ$34,JM26&lt;&gt;""),AND(JP26&gt;=JQ$34,JP26&lt;&gt;""),AND(KN26&gt;=KY$34,KN26&lt;&gt;""),AND(KQ26&gt;=KY$34,KQ26&lt;&gt;""),AND(KU26&gt;=KY$34,KU26&lt;&gt;""),AND(KX26&gt;=KY$34,KX26&lt;&gt;""),AND(LV26&gt;=MG$34,LV26&lt;&gt;""),AND(LY26&gt;=MG$34,LY26&lt;&gt;""),AND(MC26&gt;=MG$34,MC26&lt;&gt;""),AND(MF26&gt;=MG$34,MF26&lt;&gt;""),AND(ND26&gt;=NO$34,ND26&lt;&gt;""),AND(NG26&gt;=NO$34,NG26&lt;&gt;""),AND(NK26&gt;=NO$34,NK26&lt;&gt;""),AND(NN26&gt;=NO$34,NN26&lt;&gt;""),AND(OL26&gt;=OW$34,OL26&lt;&gt;""),AND(OO26&gt;=OW$34,OO26&lt;&gt;""),AND(OS26&gt;=OW$34,OS26&lt;&gt;""),AND(OV26&gt;=OW$34,OV26&lt;&gt;""),AND(PT26&gt;=QE$34,PT26&lt;&gt;""),AND(PW26&gt;=QE$34,PW26&lt;&gt;""),AND(QA26&gt;=QE$34,QA26&lt;&gt;""),AND(QD26&gt;=QE$34,QD26&lt;&gt;""),AND(RB26&gt;=RM$34,RB26&lt;&gt;""),AND(RE26&gt;=RM$34,RE26&lt;&gt;""),AND(RI26&gt;=RM$34,RI26&lt;&gt;""),AND(RL26&gt;=RM$34,RL26&lt;&gt;""),AND(SJ26&gt;=SU$34,SJ26&lt;&gt;""),AND(SM26&gt;=SU$34,SM26&lt;&gt;""),AND(SQ26&gt;=SU$34,SQ26&lt;&gt;""),AND(ST26&gt;=SU$34,ST26&lt;&gt;"")),"P","")</f>
        <v/>
      </c>
      <c r="J26" s="36" t="str">
        <f>IF(AND(I26="P",H26=""),"No DD",IF(OR(AND(AO26&gt;=AY$33,AO26&lt;&gt;"",AQ26&gt;=AY$37,AQ26&lt;&gt;"",AN26=""),AND(AR26&gt;=AY$33,AR26&lt;&gt;"",AT26&gt;=AY$37,AT26&lt;&gt;"",AN26=""),AND(AV26&gt;=AY$33,AV26&lt;&gt;"",AX26&gt;=AY$37,AX26&lt;&gt;"",AN26=""),AND(BP26&gt;=BZ$33,BP26&lt;&gt;"",BR26&gt;=BZ$37,BR26&lt;&gt;"",BO26=""),AND(BS26&gt;=BZ$33,BS26&lt;&gt;"",BU26&gt;=BZ$37,BU26&lt;&gt;"",BO26=""),AND(BW26&gt;=BZ$33,BW26&lt;&gt;"",BY26&gt;=BZ$37,BY26&lt;&gt;"",BO26=""),AND(CQ26&gt;=DA$33,CQ26&lt;&gt;"",CS26&gt;=DA$37,CS26&lt;&gt;"",CP26=""),AND(CT26&gt;=DA$33,CT26&lt;&gt;"",CV26&gt;=DA$37,CV26&lt;&gt;"",CP26=""),AND(CX26&gt;=DA$33,CX26&lt;&gt;"",CZ26&gt;=DA$37,CZ26&lt;&gt;"",CP26=""),AND(DX26&gt;=EK$33,DX26&lt;&gt;"",DZ26&gt;=EK$37,DZ26&lt;&gt;""),AND(EA26&gt;=EK$33,EA26&lt;&gt;"",EC26&gt;=EK$37,EC26&lt;&gt;""),AND(EE26&gt;=EK$33,EE26&lt;&gt;"",EG26&gt;=EK$37,EG26&lt;&gt;""),AND(EH26&gt;=EK$33,EH26&lt;&gt;"",EJ26&gt;=EK$37,EJ26&lt;&gt;""),AND(FF26&gt;=FS$33,FF26&lt;&gt;"",FH26&gt;=FS$37,FH26&lt;&gt;""),AND(FI26&gt;=FS$33,FI26&lt;&gt;"",FK26&gt;=FS$37,FK26&lt;&gt;""),AND(FM26&gt;=FS$33,FM26&lt;&gt;"",FO26&gt;=FS$37,FO26&lt;&gt;""),AND(FP26&gt;=FS$33,FP26&lt;&gt;"",FR26&gt;=FS$37,FR26&lt;&gt;""),AND(GN26&gt;=HA$33,GN26&lt;&gt;"",GP26&gt;=HA$37,GP26&lt;&gt;""),AND(GQ26&gt;=HA$33,GQ26&lt;&gt;"",GS26&gt;=HA$37,GS26&lt;&gt;""),AND(GU26&gt;=HA$33,GU26&lt;&gt;"",GW26&gt;=HA$37,GW26&lt;&gt;""),AND(GX26&gt;=HA$33,GX26&lt;&gt;"",GZ26&gt;=HA$37,GZ26&lt;&gt;""),AND(HV26&gt;=II$33,HV26&lt;&gt;"",HX26&gt;=II$37,HX26&lt;&gt;""),AND(HY26&gt;=II$33,HY26&lt;&gt;"",IA26&gt;=II$37,IA26&lt;&gt;""),AND(IC26&gt;=II$33,IC26&lt;&gt;"",IE26&gt;=II$37,IE26&lt;&gt;""),AND(IF26&gt;=II$33,IF26&lt;&gt;"",IH26&gt;=II$37,IH26&lt;&gt;""),AND(JD26&gt;=JQ$33,JD26&lt;&gt;"",JF26&gt;=JQ$37,JF26&lt;&gt;""),AND(JG26&gt;=JQ$33,JG26&lt;&gt;"",JI26&gt;=JQ$37,JI26&lt;&gt;""),AND(JK26&gt;=JQ$33,JK26&lt;&gt;"",JM26&gt;=JQ$37,JM26&lt;&gt;""),AND(JN26&gt;=JQ$33,JN26&lt;&gt;"",JP26&gt;=JQ$37,JP26&lt;&gt;""),AND(KL26&gt;=KY$33,KL26&lt;&gt;"",KN26&gt;=KY$37,KN26&lt;&gt;""),AND(KO26&gt;=KY$33,KO26&lt;&gt;"",KQ26&gt;=KY$37,KQ26&lt;&gt;""),AND(KS26&gt;=KY$33,KS26&lt;&gt;"",KU26&gt;=KY$37,KU26&lt;&gt;""),AND(KV26&gt;=KY$33,KV26&lt;&gt;"",KX26&gt;=KY$37,KX26&lt;&gt;""),AND(LT26&gt;=MG$33,LT26&lt;&gt;"",LV26&gt;=MG$37,LV26&lt;&gt;""),AND(LW26&gt;=MG$33,LW26&lt;&gt;"",LY26&gt;=MG$37,LY26&lt;&gt;""),AND(MA26&gt;=MG$33,MA26&lt;&gt;"",MC26&gt;=MG$37,MC26&lt;&gt;""),AND(MD26&gt;=MG$33,MD26&lt;&gt;"",MF26&gt;=MG$37,MF26&lt;&gt;""),AND(NB26&gt;=NO$33,NB26&lt;&gt;"",ND26&gt;=NO$37,ND26&lt;&gt;""),AND(NE26&gt;=NO$33,NE26&lt;&gt;"",NG26&gt;=NO$37,NG26&lt;&gt;""),AND(NI26&gt;=NO$33,NI26&lt;&gt;"",NK26&gt;=NO$37,NK26&lt;&gt;""),AND(NL26&gt;=NO$33,NL26&lt;&gt;"",NN26&gt;=NO$37,NN26&lt;&gt;""),AND(OJ26&gt;=OW$33,OJ26&lt;&gt;"",OL26&gt;=OW$37,OL26&lt;&gt;""),AND(OM26&gt;=OW$33,OM26&lt;&gt;"",OO26&gt;=OW$37,OO26&lt;&gt;""),AND(OQ26&gt;=OW$33,OQ26&lt;&gt;"",OS26&gt;=OW$37,OS26&lt;&gt;""),AND(OT26&gt;=OW$33,OT26&lt;&gt;"",OV26&gt;=OW$37,OV26&lt;&gt;""),AND(PR26&gt;=QE$33,PR26&lt;&gt;"",PT26&gt;=QE$37,PT26&lt;&gt;""),AND(PU26&gt;=QE$33,PU26&lt;&gt;"",PW26&gt;=QE$37,PW26&lt;&gt;""),AND(PY26&gt;=QE$33,PY26&lt;&gt;"",QA26&gt;=QE$37,QA26&lt;&gt;""),AND(QB26&gt;=QE$33,QB26&lt;&gt;"",QD26&gt;=QE$37,QD26&lt;&gt;""),AND(QZ26&gt;=RM$33,QZ26&lt;&gt;"",RB26&gt;=RM$37,RB26&lt;&gt;""),AND(RC26&gt;=RM$33,RC26&lt;&gt;"",RE26&gt;=RM$37,RE26&lt;&gt;""),AND(RG26&gt;=RM$33,RG26&lt;&gt;"",RI26&gt;=RM$37,RI26&lt;&gt;""),AND(RJ26&gt;=RM$33,RJ26&lt;&gt;"",RL26&gt;=RM$37,RL26&lt;&gt;""),AND(SH26&gt;=SU$33,SH26&lt;&gt;"",SJ26&gt;=SU$37,SJ26&lt;&gt;""),AND(SK26&gt;=SU$33,SK26&lt;&gt;"",SM26&gt;=SU$37,SM26&lt;&gt;""),AND(SO26&gt;=SU$33,SO26&lt;&gt;"",SQ26&gt;=SU$37,SQ26&lt;&gt;""),AND(SR26&gt;=SU$33,SR26&lt;&gt;"",ST26&gt;=SU$37,ST26&lt;&gt;"")),"Merit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),"Excellence",IF(K26="P","Worlds Team",IF(H26="P","National Team","")))))</f>
        <v/>
      </c>
      <c r="K26" s="3" t="str">
        <f>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),"P","")</f>
        <v/>
      </c>
      <c r="L26" s="8">
        <f>IF(COUNT(AQ26,AT26,BR26,BU26,CS26,CV26)&gt;0,LARGE((AQ26,AT26,BR26,BU26,CS26,CV26),1),0)</f>
        <v>16.8</v>
      </c>
      <c r="M26" s="8" t="str">
        <f t="shared" si="1"/>
        <v>2025 Nationals</v>
      </c>
      <c r="N26" s="8">
        <f>IF(COUNT(AQ26,AT26,BR26,BU26,CS26,CV26)&gt;1,LARGE((AQ26,AT26,BR26,BU26,CS26,CV26),2),0)</f>
        <v>16.5</v>
      </c>
      <c r="O26" s="8" t="str">
        <f t="shared" si="2"/>
        <v>2025 Nationals</v>
      </c>
      <c r="P26" s="8">
        <f>IF(COUNT(AQ26,AT26,BR26,BU26,CS26,CV26)&gt;2,MAX(AX26,BY26,CZ26,LARGE((AQ26,AT26,BR26,BU26,CS26,CV26),3)),IF(MAX(AX26,BY26,CZ26)&gt;0,MAX(AX26,BY26,CZ26),0))</f>
        <v>51.84</v>
      </c>
      <c r="Q26" s="8" t="str">
        <f t="shared" si="3"/>
        <v>2025 Nationals</v>
      </c>
      <c r="R26" s="8">
        <f t="shared" si="4"/>
        <v>12.5</v>
      </c>
      <c r="S26" s="8" t="str">
        <f t="shared" si="5"/>
        <v>2025 Nationals</v>
      </c>
      <c r="T26" s="8">
        <f>IF(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&gt;0,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,0)</f>
        <v>0</v>
      </c>
      <c r="U26" s="8" t="str">
        <f t="shared" si="6"/>
        <v/>
      </c>
      <c r="V26" s="8" t="str">
        <f t="shared" si="7"/>
        <v/>
      </c>
      <c r="W26" s="11" t="str">
        <f t="shared" si="8"/>
        <v/>
      </c>
      <c r="X26" s="8" t="str">
        <f t="shared" si="9"/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0"/>
        <v/>
      </c>
      <c r="AP26" s="38" t="str">
        <f t="shared" si="11"/>
        <v/>
      </c>
      <c r="AQ26" s="40" t="str">
        <f t="shared" si="12"/>
        <v/>
      </c>
      <c r="AR26" s="40" t="str">
        <f t="shared" si="13"/>
        <v/>
      </c>
      <c r="AS26" s="40" t="str">
        <f t="shared" si="14"/>
        <v/>
      </c>
      <c r="AT26" s="40" t="str">
        <f t="shared" si="15"/>
        <v/>
      </c>
      <c r="AU26" s="40" t="str">
        <f t="shared" si="16"/>
        <v/>
      </c>
      <c r="AV26" s="40" t="str">
        <f t="shared" si="17"/>
        <v/>
      </c>
      <c r="AW26" s="40" t="str">
        <f t="shared" si="18"/>
        <v/>
      </c>
      <c r="AX26" s="40" t="str">
        <f t="shared" si="19"/>
        <v/>
      </c>
      <c r="AY26" s="40" t="str">
        <f t="shared" si="20"/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1"/>
        <v/>
      </c>
      <c r="BQ26" s="39" t="str">
        <f t="shared" si="22"/>
        <v/>
      </c>
      <c r="BR26" s="11" t="str">
        <f t="shared" si="23"/>
        <v/>
      </c>
      <c r="BS26" s="11" t="str">
        <f t="shared" si="24"/>
        <v/>
      </c>
      <c r="BT26" s="11" t="str">
        <f t="shared" si="25"/>
        <v/>
      </c>
      <c r="BU26" s="11" t="str">
        <f t="shared" si="26"/>
        <v/>
      </c>
      <c r="BV26" s="11" t="str">
        <f t="shared" si="27"/>
        <v/>
      </c>
      <c r="BW26" s="11" t="str">
        <f t="shared" si="28"/>
        <v/>
      </c>
      <c r="BX26" s="11" t="str">
        <f t="shared" si="29"/>
        <v/>
      </c>
      <c r="BY26" s="11" t="str">
        <f t="shared" si="30"/>
        <v/>
      </c>
      <c r="BZ26" s="11" t="str">
        <f t="shared" si="31"/>
        <v/>
      </c>
      <c r="CA26" s="22">
        <v>5</v>
      </c>
      <c r="CB26" s="22">
        <v>2.6</v>
      </c>
      <c r="CC26" s="22">
        <v>3.8</v>
      </c>
      <c r="CD26" s="22">
        <v>5.0999999999999996</v>
      </c>
      <c r="CE26" s="22">
        <v>0</v>
      </c>
      <c r="CF26" s="22">
        <v>5.2</v>
      </c>
      <c r="CG26" s="22">
        <v>2.8</v>
      </c>
      <c r="CH26" s="22">
        <v>3.8</v>
      </c>
      <c r="CI26" s="22">
        <v>5</v>
      </c>
      <c r="CJ26" s="22">
        <v>0</v>
      </c>
      <c r="CK26" s="22">
        <v>15.8</v>
      </c>
      <c r="CL26" s="22">
        <v>8.6999999999999993</v>
      </c>
      <c r="CM26" s="22">
        <v>12.5</v>
      </c>
      <c r="CN26" s="22">
        <v>14.84</v>
      </c>
      <c r="CO26" s="22">
        <v>0</v>
      </c>
      <c r="CP26" s="27"/>
      <c r="CQ26" s="38">
        <f t="shared" si="32"/>
        <v>3.8</v>
      </c>
      <c r="CR26" s="38">
        <f t="shared" si="33"/>
        <v>5.0999999999999996</v>
      </c>
      <c r="CS26" s="40">
        <f t="shared" si="34"/>
        <v>16.5</v>
      </c>
      <c r="CT26" s="40">
        <f t="shared" si="35"/>
        <v>3.8</v>
      </c>
      <c r="CU26" s="40">
        <f t="shared" si="36"/>
        <v>5</v>
      </c>
      <c r="CV26" s="40">
        <f t="shared" si="37"/>
        <v>16.8</v>
      </c>
      <c r="CW26" s="40">
        <f t="shared" si="38"/>
        <v>16.8</v>
      </c>
      <c r="CX26" s="40">
        <f t="shared" si="39"/>
        <v>12.5</v>
      </c>
      <c r="CY26" s="40">
        <f t="shared" si="40"/>
        <v>14.84</v>
      </c>
      <c r="CZ26" s="40">
        <f t="shared" si="41"/>
        <v>51.84</v>
      </c>
      <c r="DA26" s="40">
        <f t="shared" si="42"/>
        <v>68.64</v>
      </c>
      <c r="DB26" s="50" t="str">
        <f t="shared" si="43"/>
        <v/>
      </c>
      <c r="DC26" s="50" t="str">
        <f t="shared" si="44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45"/>
        <v/>
      </c>
      <c r="DY26" s="40" t="str">
        <f t="shared" si="46"/>
        <v/>
      </c>
      <c r="DZ26" s="40" t="str">
        <f t="shared" si="47"/>
        <v/>
      </c>
      <c r="EA26" s="40" t="str">
        <f t="shared" si="48"/>
        <v/>
      </c>
      <c r="EB26" s="40" t="str">
        <f t="shared" si="49"/>
        <v/>
      </c>
      <c r="EC26" s="40" t="str">
        <f t="shared" si="50"/>
        <v/>
      </c>
      <c r="ED26" s="40" t="str">
        <f t="shared" si="51"/>
        <v/>
      </c>
      <c r="EE26" s="40" t="str">
        <f t="shared" si="52"/>
        <v/>
      </c>
      <c r="EF26" s="40" t="str">
        <f t="shared" si="53"/>
        <v/>
      </c>
      <c r="EG26" s="40" t="str">
        <f t="shared" si="54"/>
        <v/>
      </c>
      <c r="EH26" s="40" t="str">
        <f t="shared" si="55"/>
        <v/>
      </c>
      <c r="EI26" s="40" t="str">
        <f t="shared" si="56"/>
        <v/>
      </c>
      <c r="EJ26" s="40" t="str">
        <f t="shared" si="57"/>
        <v/>
      </c>
      <c r="EK26" s="40" t="str">
        <f t="shared" si="58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59"/>
        <v/>
      </c>
      <c r="FG26" s="11" t="str">
        <f t="shared" si="60"/>
        <v/>
      </c>
      <c r="FH26" s="11" t="str">
        <f t="shared" si="61"/>
        <v/>
      </c>
      <c r="FI26" s="11" t="str">
        <f t="shared" si="62"/>
        <v/>
      </c>
      <c r="FJ26" s="11" t="str">
        <f t="shared" si="63"/>
        <v/>
      </c>
      <c r="FK26" s="11" t="str">
        <f t="shared" si="64"/>
        <v/>
      </c>
      <c r="FL26" s="11" t="str">
        <f t="shared" si="65"/>
        <v/>
      </c>
      <c r="FM26" s="11" t="str">
        <f t="shared" si="66"/>
        <v/>
      </c>
      <c r="FN26" s="11" t="str">
        <f t="shared" si="67"/>
        <v/>
      </c>
      <c r="FO26" s="11" t="str">
        <f t="shared" si="68"/>
        <v/>
      </c>
      <c r="FP26" s="11" t="str">
        <f t="shared" si="69"/>
        <v/>
      </c>
      <c r="FQ26" s="11" t="str">
        <f t="shared" si="70"/>
        <v/>
      </c>
      <c r="FR26" s="11" t="str">
        <f t="shared" si="71"/>
        <v/>
      </c>
      <c r="FS26" s="11" t="str">
        <f t="shared" si="72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3"/>
        <v/>
      </c>
      <c r="GO26" s="40" t="str">
        <f t="shared" si="74"/>
        <v/>
      </c>
      <c r="GP26" s="40" t="str">
        <f t="shared" si="75"/>
        <v/>
      </c>
      <c r="GQ26" s="40" t="str">
        <f t="shared" si="76"/>
        <v/>
      </c>
      <c r="GR26" s="40" t="str">
        <f t="shared" si="77"/>
        <v/>
      </c>
      <c r="GS26" s="40" t="str">
        <f t="shared" si="78"/>
        <v/>
      </c>
      <c r="GT26" s="40" t="str">
        <f t="shared" si="79"/>
        <v/>
      </c>
      <c r="GU26" s="40" t="str">
        <f t="shared" si="80"/>
        <v/>
      </c>
      <c r="GV26" s="40" t="str">
        <f t="shared" si="81"/>
        <v/>
      </c>
      <c r="GW26" s="40" t="str">
        <f t="shared" si="82"/>
        <v/>
      </c>
      <c r="GX26" s="40" t="str">
        <f t="shared" si="83"/>
        <v/>
      </c>
      <c r="GY26" s="40" t="str">
        <f t="shared" si="84"/>
        <v/>
      </c>
      <c r="GZ26" s="40" t="str">
        <f t="shared" si="85"/>
        <v/>
      </c>
      <c r="HA26" s="40" t="str">
        <f t="shared" si="86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87"/>
        <v/>
      </c>
      <c r="HW26" s="11" t="str">
        <f t="shared" si="88"/>
        <v/>
      </c>
      <c r="HX26" s="11" t="str">
        <f t="shared" si="89"/>
        <v/>
      </c>
      <c r="HY26" s="11" t="str">
        <f t="shared" si="90"/>
        <v/>
      </c>
      <c r="HZ26" s="11" t="str">
        <f t="shared" si="91"/>
        <v/>
      </c>
      <c r="IA26" s="11" t="str">
        <f t="shared" si="92"/>
        <v/>
      </c>
      <c r="IB26" s="11" t="str">
        <f t="shared" si="93"/>
        <v/>
      </c>
      <c r="IC26" s="11" t="str">
        <f t="shared" si="94"/>
        <v/>
      </c>
      <c r="ID26" s="11" t="str">
        <f t="shared" si="95"/>
        <v/>
      </c>
      <c r="IE26" s="11" t="str">
        <f t="shared" si="96"/>
        <v/>
      </c>
      <c r="IF26" s="11" t="str">
        <f t="shared" si="97"/>
        <v/>
      </c>
      <c r="IG26" s="11" t="str">
        <f t="shared" si="98"/>
        <v/>
      </c>
      <c r="IH26" s="11" t="str">
        <f t="shared" si="99"/>
        <v/>
      </c>
      <c r="II26" s="11" t="str">
        <f t="shared" si="100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1"/>
        <v/>
      </c>
      <c r="JE26" s="40" t="str">
        <f t="shared" si="102"/>
        <v/>
      </c>
      <c r="JF26" s="40" t="str">
        <f t="shared" si="103"/>
        <v/>
      </c>
      <c r="JG26" s="40" t="str">
        <f t="shared" si="104"/>
        <v/>
      </c>
      <c r="JH26" s="40" t="str">
        <f t="shared" si="105"/>
        <v/>
      </c>
      <c r="JI26" s="40" t="str">
        <f t="shared" si="106"/>
        <v/>
      </c>
      <c r="JJ26" s="40" t="str">
        <f t="shared" si="107"/>
        <v/>
      </c>
      <c r="JK26" s="40" t="str">
        <f t="shared" si="108"/>
        <v/>
      </c>
      <c r="JL26" s="40" t="str">
        <f t="shared" si="109"/>
        <v/>
      </c>
      <c r="JM26" s="40" t="str">
        <f t="shared" si="110"/>
        <v/>
      </c>
      <c r="JN26" s="40" t="str">
        <f t="shared" si="111"/>
        <v/>
      </c>
      <c r="JO26" s="40" t="str">
        <f t="shared" si="112"/>
        <v/>
      </c>
      <c r="JP26" s="40" t="str">
        <f t="shared" si="113"/>
        <v/>
      </c>
      <c r="JQ26" s="40" t="str">
        <f t="shared" si="114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15"/>
        <v/>
      </c>
      <c r="KM26" s="11" t="str">
        <f t="shared" si="116"/>
        <v/>
      </c>
      <c r="KN26" s="11" t="str">
        <f t="shared" si="117"/>
        <v/>
      </c>
      <c r="KO26" s="11" t="str">
        <f t="shared" si="118"/>
        <v/>
      </c>
      <c r="KP26" s="11" t="str">
        <f t="shared" si="119"/>
        <v/>
      </c>
      <c r="KQ26" s="11" t="str">
        <f t="shared" si="120"/>
        <v/>
      </c>
      <c r="KR26" s="11" t="str">
        <f t="shared" si="121"/>
        <v/>
      </c>
      <c r="KS26" s="11" t="str">
        <f t="shared" si="122"/>
        <v/>
      </c>
      <c r="KT26" s="11" t="str">
        <f t="shared" si="123"/>
        <v/>
      </c>
      <c r="KU26" s="11" t="str">
        <f t="shared" si="124"/>
        <v/>
      </c>
      <c r="KV26" s="11" t="str">
        <f t="shared" si="125"/>
        <v/>
      </c>
      <c r="KW26" s="11" t="str">
        <f t="shared" si="126"/>
        <v/>
      </c>
      <c r="KX26" s="11" t="str">
        <f t="shared" si="127"/>
        <v/>
      </c>
      <c r="KY26" s="11" t="str">
        <f t="shared" si="128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29"/>
        <v/>
      </c>
      <c r="LU26" s="40" t="str">
        <f t="shared" si="130"/>
        <v/>
      </c>
      <c r="LV26" s="40" t="str">
        <f t="shared" si="131"/>
        <v/>
      </c>
      <c r="LW26" s="40" t="str">
        <f t="shared" si="132"/>
        <v/>
      </c>
      <c r="LX26" s="40" t="str">
        <f t="shared" si="133"/>
        <v/>
      </c>
      <c r="LY26" s="40" t="str">
        <f t="shared" si="134"/>
        <v/>
      </c>
      <c r="LZ26" s="40" t="str">
        <f t="shared" si="135"/>
        <v/>
      </c>
      <c r="MA26" s="40" t="str">
        <f t="shared" si="136"/>
        <v/>
      </c>
      <c r="MB26" s="40" t="str">
        <f t="shared" si="137"/>
        <v/>
      </c>
      <c r="MC26" s="40" t="str">
        <f t="shared" si="138"/>
        <v/>
      </c>
      <c r="MD26" s="40" t="str">
        <f t="shared" si="139"/>
        <v/>
      </c>
      <c r="ME26" s="40" t="str">
        <f t="shared" si="140"/>
        <v/>
      </c>
      <c r="MF26" s="40" t="str">
        <f t="shared" si="141"/>
        <v/>
      </c>
      <c r="MG26" s="40" t="str">
        <f t="shared" si="142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3"/>
        <v/>
      </c>
      <c r="NC26" s="11" t="str">
        <f t="shared" si="144"/>
        <v/>
      </c>
      <c r="ND26" s="11" t="str">
        <f t="shared" si="145"/>
        <v/>
      </c>
      <c r="NE26" s="11" t="str">
        <f t="shared" si="146"/>
        <v/>
      </c>
      <c r="NF26" s="11" t="str">
        <f t="shared" si="147"/>
        <v/>
      </c>
      <c r="NG26" s="11" t="str">
        <f t="shared" si="148"/>
        <v/>
      </c>
      <c r="NH26" s="11" t="str">
        <f t="shared" si="149"/>
        <v/>
      </c>
      <c r="NI26" s="11" t="str">
        <f t="shared" si="150"/>
        <v/>
      </c>
      <c r="NJ26" s="11" t="str">
        <f t="shared" si="151"/>
        <v/>
      </c>
      <c r="NK26" s="11" t="str">
        <f t="shared" si="152"/>
        <v/>
      </c>
      <c r="NL26" s="11" t="str">
        <f t="shared" si="153"/>
        <v/>
      </c>
      <c r="NM26" s="11" t="str">
        <f t="shared" si="154"/>
        <v/>
      </c>
      <c r="NN26" s="11" t="str">
        <f t="shared" si="155"/>
        <v/>
      </c>
      <c r="NO26" s="11" t="str">
        <f t="shared" si="156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57"/>
        <v/>
      </c>
      <c r="OK26" s="40" t="str">
        <f t="shared" si="158"/>
        <v/>
      </c>
      <c r="OL26" s="40" t="str">
        <f t="shared" si="159"/>
        <v/>
      </c>
      <c r="OM26" s="40" t="str">
        <f t="shared" si="160"/>
        <v/>
      </c>
      <c r="ON26" s="40" t="str">
        <f t="shared" si="161"/>
        <v/>
      </c>
      <c r="OO26" s="40" t="str">
        <f t="shared" si="162"/>
        <v/>
      </c>
      <c r="OP26" s="40" t="str">
        <f t="shared" si="163"/>
        <v/>
      </c>
      <c r="OQ26" s="40" t="str">
        <f t="shared" si="164"/>
        <v/>
      </c>
      <c r="OR26" s="40" t="str">
        <f t="shared" si="165"/>
        <v/>
      </c>
      <c r="OS26" s="40" t="str">
        <f t="shared" si="166"/>
        <v/>
      </c>
      <c r="OT26" s="40" t="str">
        <f t="shared" si="167"/>
        <v/>
      </c>
      <c r="OU26" s="40" t="str">
        <f t="shared" si="168"/>
        <v/>
      </c>
      <c r="OV26" s="40" t="str">
        <f t="shared" si="169"/>
        <v/>
      </c>
      <c r="OW26" s="40" t="str">
        <f t="shared" si="170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1"/>
        <v/>
      </c>
      <c r="PS26" s="11" t="str">
        <f t="shared" si="172"/>
        <v/>
      </c>
      <c r="PT26" s="11" t="str">
        <f t="shared" si="173"/>
        <v/>
      </c>
      <c r="PU26" s="11" t="str">
        <f t="shared" si="174"/>
        <v/>
      </c>
      <c r="PV26" s="11" t="str">
        <f t="shared" si="175"/>
        <v/>
      </c>
      <c r="PW26" s="11" t="str">
        <f t="shared" si="176"/>
        <v/>
      </c>
      <c r="PX26" s="11" t="str">
        <f t="shared" si="177"/>
        <v/>
      </c>
      <c r="PY26" s="11" t="str">
        <f t="shared" si="178"/>
        <v/>
      </c>
      <c r="PZ26" s="11" t="str">
        <f t="shared" si="179"/>
        <v/>
      </c>
      <c r="QA26" s="11" t="str">
        <f t="shared" si="180"/>
        <v/>
      </c>
      <c r="QB26" s="11" t="str">
        <f t="shared" si="181"/>
        <v/>
      </c>
      <c r="QC26" s="11" t="str">
        <f t="shared" si="182"/>
        <v/>
      </c>
      <c r="QD26" s="11" t="str">
        <f t="shared" si="183"/>
        <v/>
      </c>
      <c r="QE26" s="11" t="str">
        <f t="shared" si="184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85"/>
        <v/>
      </c>
      <c r="RA26" s="40" t="str">
        <f t="shared" si="186"/>
        <v/>
      </c>
      <c r="RB26" s="40" t="str">
        <f t="shared" si="187"/>
        <v/>
      </c>
      <c r="RC26" s="40" t="str">
        <f t="shared" si="188"/>
        <v/>
      </c>
      <c r="RD26" s="40" t="str">
        <f t="shared" si="189"/>
        <v/>
      </c>
      <c r="RE26" s="40" t="str">
        <f t="shared" si="190"/>
        <v/>
      </c>
      <c r="RF26" s="40" t="str">
        <f t="shared" si="191"/>
        <v/>
      </c>
      <c r="RG26" s="40" t="str">
        <f t="shared" si="192"/>
        <v/>
      </c>
      <c r="RH26" s="40" t="str">
        <f t="shared" si="193"/>
        <v/>
      </c>
      <c r="RI26" s="40" t="str">
        <f t="shared" si="194"/>
        <v/>
      </c>
      <c r="RJ26" s="40" t="str">
        <f t="shared" si="195"/>
        <v/>
      </c>
      <c r="RK26" s="40" t="str">
        <f t="shared" si="196"/>
        <v/>
      </c>
      <c r="RL26" s="40" t="str">
        <f t="shared" si="197"/>
        <v/>
      </c>
      <c r="RM26" s="40" t="str">
        <f t="shared" si="198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199"/>
        <v/>
      </c>
      <c r="SI26" s="11" t="str">
        <f t="shared" si="200"/>
        <v/>
      </c>
      <c r="SJ26" s="11" t="str">
        <f t="shared" si="201"/>
        <v/>
      </c>
      <c r="SK26" s="11" t="str">
        <f t="shared" si="202"/>
        <v/>
      </c>
      <c r="SL26" s="11" t="str">
        <f t="shared" si="203"/>
        <v/>
      </c>
      <c r="SM26" s="11" t="str">
        <f t="shared" si="204"/>
        <v/>
      </c>
      <c r="SN26" s="11" t="str">
        <f t="shared" si="205"/>
        <v/>
      </c>
      <c r="SO26" s="11" t="str">
        <f t="shared" si="206"/>
        <v/>
      </c>
      <c r="SP26" s="11" t="str">
        <f t="shared" si="207"/>
        <v/>
      </c>
      <c r="SQ26" s="11" t="str">
        <f t="shared" si="208"/>
        <v/>
      </c>
      <c r="SR26" s="11" t="str">
        <f t="shared" si="209"/>
        <v/>
      </c>
      <c r="SS26" s="11" t="str">
        <f t="shared" si="210"/>
        <v/>
      </c>
      <c r="ST26" s="11" t="str">
        <f t="shared" si="211"/>
        <v/>
      </c>
      <c r="SU26" s="11" t="str">
        <f t="shared" si="212"/>
        <v/>
      </c>
      <c r="SV26" s="22">
        <f t="shared" si="213"/>
        <v>2.5</v>
      </c>
      <c r="SW26" s="22">
        <f t="shared" si="214"/>
        <v>1.3</v>
      </c>
      <c r="SX26" s="22">
        <f t="shared" si="215"/>
        <v>1.9</v>
      </c>
      <c r="SY26" s="22">
        <f t="shared" si="216"/>
        <v>2.5499999999999998</v>
      </c>
      <c r="SZ26" s="22">
        <f t="shared" si="217"/>
        <v>0</v>
      </c>
      <c r="TA26" s="22">
        <f t="shared" si="218"/>
        <v>2.6</v>
      </c>
      <c r="TB26" s="22">
        <f t="shared" si="219"/>
        <v>1.4</v>
      </c>
      <c r="TC26" s="22">
        <f t="shared" si="220"/>
        <v>1.9</v>
      </c>
      <c r="TD26" s="22">
        <f t="shared" si="221"/>
        <v>2.5</v>
      </c>
      <c r="TE26" s="22">
        <f t="shared" si="222"/>
        <v>0</v>
      </c>
      <c r="TF26" s="22">
        <f t="shared" si="223"/>
        <v>7.9</v>
      </c>
      <c r="TG26" s="22">
        <f t="shared" si="224"/>
        <v>4.3499999999999996</v>
      </c>
      <c r="TH26" s="22">
        <f t="shared" si="225"/>
        <v>6.25</v>
      </c>
      <c r="TI26" s="22">
        <f t="shared" si="226"/>
        <v>7.42</v>
      </c>
      <c r="TJ26" s="22">
        <f t="shared" si="227"/>
        <v>0</v>
      </c>
      <c r="TK26" s="27" t="s">
        <v>46</v>
      </c>
      <c r="TL26" s="40">
        <f t="shared" si="228"/>
        <v>1.9</v>
      </c>
      <c r="TM26" s="40">
        <f t="shared" si="229"/>
        <v>2.5499999999999998</v>
      </c>
      <c r="TN26" s="40">
        <f t="shared" si="230"/>
        <v>8.25</v>
      </c>
      <c r="TO26" s="40">
        <f t="shared" si="231"/>
        <v>1.9</v>
      </c>
      <c r="TP26" s="40">
        <f t="shared" si="232"/>
        <v>2.5</v>
      </c>
      <c r="TQ26" s="40">
        <f t="shared" si="233"/>
        <v>8.4</v>
      </c>
      <c r="TR26" s="40">
        <f t="shared" si="234"/>
        <v>8.4</v>
      </c>
      <c r="TS26" s="40">
        <f t="shared" si="235"/>
        <v>6.25</v>
      </c>
      <c r="TT26" s="40">
        <f t="shared" si="236"/>
        <v>7.42</v>
      </c>
      <c r="TU26" s="40">
        <f t="shared" si="237"/>
        <v>25.92</v>
      </c>
      <c r="TV26" s="40">
        <f t="shared" si="238"/>
        <v>34.32</v>
      </c>
    </row>
    <row r="27" spans="1:542" x14ac:dyDescent="0.2">
      <c r="A27" s="4" t="str" cm="1">
        <f t="array" ref="A27">IF(AND(J27&lt;&gt;"",J27&lt;&gt;"No DD"),SUMPRODUCT((J$4:J$28&lt;&gt;"")*(J$4:J$28&lt;&gt;"No DD")*(F$4:F$28&gt;F27))+1,IF(J27="No DD",SUMPRODUCT((J$4:J$28="No DD")*(F$4:F$28&gt;F27))+1+SUMPRODUCT((J$4:J$28&lt;&gt;"")*(J$4:J$28&lt;&gt;"No DD")),""))</f>
        <v/>
      </c>
      <c r="B27" s="4" t="str" cm="1">
        <f t="array" ref="B27">IF(AND(J27&lt;&gt;"",J27&lt;&gt;"No DD",G27=""),SUMPRODUCT((J$4:J$28&lt;&gt;"")*(J$4:J$28&lt;&gt;"No DD")*(G$4:G$28="")*(F$4:F$28&gt;F27))+1,IF(J27="No DD",SUMPRODUCT((J$4:J$28="No DD")*(F$4:F$28&gt;F27)*(G$4:G$28=""))+1+SUMPRODUCT((J$4:J$28&lt;&gt;"")*(G$4:G$28="")*(J$4:J$28&lt;&gt;"No DD")),""))</f>
        <v/>
      </c>
      <c r="C27" s="5" t="s">
        <v>132</v>
      </c>
      <c r="D27" s="4" t="s">
        <v>3</v>
      </c>
      <c r="E27" s="4">
        <v>2007</v>
      </c>
      <c r="F27" s="9">
        <f t="shared" si="0"/>
        <v>83.330008333003946</v>
      </c>
      <c r="G27" s="64"/>
      <c r="H27" s="3" t="str">
        <f>IF(OR(AND(AO27&gt;=AY$30,AO27&lt;&gt;"",AQ27&gt;=AY$34,AQ27&lt;&gt;"",AN27=""),AND(AR27&gt;=AY$30,AR27&lt;&gt;"",AT27&gt;=AY$34,AT27&lt;&gt;"",AN27=""),AND(AV27&gt;=AY$30,AV27&lt;&gt;"",AX27&gt;=AY$34,AX27&lt;&gt;"",AN27=""),AND(BP27&gt;=BZ$30,BP27&lt;&gt;"",BR27&gt;=BZ$34,BR27&lt;&gt;"",BO27=""),AND(BS27&gt;=BZ$30,BS27&lt;&gt;"",BU27&gt;=BZ$34,BU27&lt;&gt;"",BO27=""),AND(BW27&gt;=BZ$30,BW27&lt;&gt;"",BY27&gt;=BZ$34,BY27&lt;&gt;"",BO27=""),AND(CQ27&gt;=DA$30,CQ27&lt;&gt;"",CS27&gt;=DA$34,CS27&lt;&gt;"",CP27=""),AND(CT27&gt;=DA$30,CT27&lt;&gt;"",CV27&gt;=DA$34,CV27&lt;&gt;"",CP27=""),AND(CX27&gt;=DA$30,CX27&lt;&gt;"",CZ27&gt;=DA$34,CZ27&lt;&gt;"",CP27=""),AND(DX27&gt;=EK$30,DX27&lt;&gt;"",DZ27&gt;=EK$34,DZ27&lt;&gt;""),AND(EA27&gt;=EK$30,EA27&lt;&gt;"",EC27&gt;=EK$34,EC27&lt;&gt;""),AND(EE27&gt;=EK$30,EE27&lt;&gt;"",EG27&gt;=EK$34,EG27&lt;&gt;""),AND(EH27&gt;=EK$30,EH27&lt;&gt;"",EJ27&gt;=EK$34,EJ27&lt;&gt;""),AND(FF27&gt;=FS$30,FF27&lt;&gt;"",FH27&gt;=FS$34,FH27&lt;&gt;""),AND(FI27&gt;=FS$30,FI27&lt;&gt;"",FK27&gt;=FS$34,FK27&lt;&gt;""),AND(FM27&gt;=FS$30,FM27&lt;&gt;"",FO27&gt;=FS$34,FO27&lt;&gt;""),AND(FP27&gt;=FS$30,FP27&lt;&gt;"",FR27&gt;=FS$34,FR27&lt;&gt;""),AND(GN27&gt;=HA$30,GN27&lt;&gt;"",GP27&gt;=HA$34,GP27&lt;&gt;""),AND(GQ27&gt;=HA$30,GQ27&lt;&gt;"",GS27&gt;=HA$34,GS27&lt;&gt;""),AND(GU27&gt;=HA$30,GU27&lt;&gt;"",GW27&gt;=HA$34,GW27&lt;&gt;""),AND(GX27&gt;=HA$30,GX27&lt;&gt;"",GZ27&gt;=HA$34,GZ27&lt;&gt;""),AND(HV27&gt;=II$30,HV27&lt;&gt;"",HX27&gt;=II$34,HX27&lt;&gt;""),AND(HY27&gt;=II$30,HY27&lt;&gt;"",IA27&gt;=II$34,IA27&lt;&gt;""),AND(IC27&gt;=II$30,IC27&lt;&gt;"",IE27&gt;=II$34,IE27&lt;&gt;""),AND(IF27&gt;=II$30,IF27&lt;&gt;"",IH27&gt;=II$34,IH27&lt;&gt;""),AND(JD27&gt;=JQ$30,JD27&lt;&gt;"",JF27&gt;=JQ$34,JF27&lt;&gt;""),AND(JG27&gt;=JQ$30,JG27&lt;&gt;"",JI27&gt;=JQ$34,JI27&lt;&gt;""),AND(JK27&gt;=JQ$30,JK27&lt;&gt;"",JM27&gt;=JQ$34,JM27&lt;&gt;""),AND(JN27&gt;=JQ$30,JN27&lt;&gt;"",JP27&gt;=JQ$34,JP27&lt;&gt;""),AND(KL27&gt;=KY$30,KL27&lt;&gt;"",KN27&gt;=KY$34,KN27&lt;&gt;""),AND(KO27&gt;=KY$30,KO27&lt;&gt;"",KQ27&gt;=KY$34,KQ27&lt;&gt;""),AND(KS27&gt;=KY$30,KS27&lt;&gt;"",KU27&gt;=KY$34,KU27&lt;&gt;""),AND(KV27&gt;=KY$30,KV27&lt;&gt;"",KX27&gt;=KY$34,KX27&lt;&gt;""),AND(LT27&gt;=MG$30,LT27&lt;&gt;"",LV27&gt;=MG$34,LV27&lt;&gt;""),AND(LW27&gt;=MG$30,LW27&lt;&gt;"",LY27&gt;=MG$34,LY27&lt;&gt;""),AND(MA27&gt;=MG$30,MA27&lt;&gt;"",MC27&gt;=MG$34,MC27&lt;&gt;""),AND(MD27&gt;=MG$30,MD27&lt;&gt;"",MF27&gt;=MG$34,MF27&lt;&gt;""),AND(NB27&gt;=NO$30,NB27&lt;&gt;"",ND27&gt;=NO$34,ND27&lt;&gt;""),AND(NE27&gt;=NO$30,NE27&lt;&gt;"",NG27&gt;=NO$34,NG27&lt;&gt;""),AND(NI27&gt;=NO$30,NI27&lt;&gt;"",NK27&gt;=NO$34,NK27&lt;&gt;""),AND(NL27&gt;=NO$30,NL27&lt;&gt;"",NN27&gt;=NO$34,NN27&lt;&gt;""),AND(OJ27&gt;=OW$30,OJ27&lt;&gt;"",OL27&gt;=OW$34,OL27&lt;&gt;""),AND(OM27&gt;=OW$30,OM27&lt;&gt;"",OO27&gt;=OW$34,OO27&lt;&gt;""),AND(OQ27&gt;=OW$30,OQ27&lt;&gt;"",OS27&gt;=OW$34,OS27&lt;&gt;""),AND(OT27&gt;=OW$30,OT27&lt;&gt;"",OV27&gt;=OW$34,OV27&lt;&gt;""),AND(PR27&gt;=QE$30,PR27&lt;&gt;"",PT27&gt;=QE$34,PT27&lt;&gt;""),AND(PU27&gt;=QE$30,PU27&lt;&gt;"",PW27&gt;=QE$34,PW27&lt;&gt;""),AND(PY27&gt;=QE$30,PY27&lt;&gt;"",QA27&gt;=QE$34,QA27&lt;&gt;""),AND(QB27&gt;=QE$30,QB27&lt;&gt;"",QD27&gt;=QE$34,QD27&lt;&gt;""),AND(QZ27&gt;=RM$30,QZ27&lt;&gt;"",RB27&gt;=RM$34,RB27&lt;&gt;""),AND(RC27&gt;=RM$30,RC27&lt;&gt;"",RE27&gt;=RM$34,RE27&lt;&gt;""),AND(RG27&gt;=RM$30,RG27&lt;&gt;"",RI27&gt;=RM$34,RI27&lt;&gt;""),AND(RJ27&gt;=RM$30,RJ27&lt;&gt;"",RL27&gt;=RM$34,RL27&lt;&gt;""),AND(SH27&gt;=SU$30,SH27&lt;&gt;"",SJ27&gt;=SU$34,SJ27&lt;&gt;""),AND(SK27&gt;=SU$30,SK27&lt;&gt;"",SM27&gt;=SU$34,SM27&lt;&gt;""),AND(SO27&gt;=SU$30,SO27&lt;&gt;"",SQ27&gt;=SU$34,SQ27&lt;&gt;""),AND(SR27&gt;=SU$30,SR27&lt;&gt;"",ST27&gt;=SU$34,ST27&lt;&gt;"")),"P","")</f>
        <v/>
      </c>
      <c r="I27" s="3" t="str">
        <f>IF(OR(AND(AQ27&gt;=AY$34,AQ27&lt;&gt;"",AN27=""),AND(AT27&gt;=AY$34,AT27&lt;&gt;"",AN27=""),AND(AX27&gt;=AY$34,AX27&lt;&gt;"",AN27=""),AND(BR27&gt;=BZ$34,BR27&lt;&gt;"",BO27=""),AND(BU27&gt;=BZ$34,BU27&lt;&gt;"",BO27=""),AND(BY27&gt;=BZ$34,BY27&lt;&gt;"",BO27=""),AND(CS27&gt;=DA$34,CS27&lt;&gt;"",CP27=""),AND(CV27&gt;=DA$34,CV27&lt;&gt;"",CP27=""),AND(CZ27&gt;=DA$34,CZ27&lt;&gt;"",CP27=""),AND(DZ27&gt;=EK$34,DZ27&lt;&gt;""),AND(EC27&gt;=EK$34,EC27&lt;&gt;""),AND(EG27&gt;=EK$34,EG27&lt;&gt;""),AND(EJ27&gt;=EK$34,EJ27&lt;&gt;""),AND(FH27&gt;=FS$34,FH27&lt;&gt;""),AND(FK27&gt;=FS$34,FK27&lt;&gt;""),AND(FO27&gt;=FS$34,FO27&lt;&gt;""),AND(FR27&gt;=FS$34,FR27&lt;&gt;""),AND(GP27&gt;=HA$34,GP27&lt;&gt;""),AND(GS27&gt;=HA$34,GS27&lt;&gt;""),AND(GW27&gt;=HA$34,GW27&lt;&gt;""),AND(GZ27&gt;=HA$34,GZ27&lt;&gt;""),AND(HX27&gt;=II$34,HX27&lt;&gt;""),AND(IA27&gt;=II$34,IA27&lt;&gt;""),AND(IE27&gt;=II$34,IE27&lt;&gt;""),AND(IH27&gt;=II$34,IH27&lt;&gt;""),AND(JF27&gt;=JQ$34,JF27&lt;&gt;""),AND(JI27&gt;=JQ$34,JI27&lt;&gt;""),AND(JM27&gt;=JQ$34,JM27&lt;&gt;""),AND(JP27&gt;=JQ$34,JP27&lt;&gt;""),AND(KN27&gt;=KY$34,KN27&lt;&gt;""),AND(KQ27&gt;=KY$34,KQ27&lt;&gt;""),AND(KU27&gt;=KY$34,KU27&lt;&gt;""),AND(KX27&gt;=KY$34,KX27&lt;&gt;""),AND(LV27&gt;=MG$34,LV27&lt;&gt;""),AND(LY27&gt;=MG$34,LY27&lt;&gt;""),AND(MC27&gt;=MG$34,MC27&lt;&gt;""),AND(MF27&gt;=MG$34,MF27&lt;&gt;""),AND(ND27&gt;=NO$34,ND27&lt;&gt;""),AND(NG27&gt;=NO$34,NG27&lt;&gt;""),AND(NK27&gt;=NO$34,NK27&lt;&gt;""),AND(NN27&gt;=NO$34,NN27&lt;&gt;""),AND(OL27&gt;=OW$34,OL27&lt;&gt;""),AND(OO27&gt;=OW$34,OO27&lt;&gt;""),AND(OS27&gt;=OW$34,OS27&lt;&gt;""),AND(OV27&gt;=OW$34,OV27&lt;&gt;""),AND(PT27&gt;=QE$34,PT27&lt;&gt;""),AND(PW27&gt;=QE$34,PW27&lt;&gt;""),AND(QA27&gt;=QE$34,QA27&lt;&gt;""),AND(QD27&gt;=QE$34,QD27&lt;&gt;""),AND(RB27&gt;=RM$34,RB27&lt;&gt;""),AND(RE27&gt;=RM$34,RE27&lt;&gt;""),AND(RI27&gt;=RM$34,RI27&lt;&gt;""),AND(RL27&gt;=RM$34,RL27&lt;&gt;""),AND(SJ27&gt;=SU$34,SJ27&lt;&gt;""),AND(SM27&gt;=SU$34,SM27&lt;&gt;""),AND(SQ27&gt;=SU$34,SQ27&lt;&gt;""),AND(ST27&gt;=SU$34,ST27&lt;&gt;"")),"P","")</f>
        <v/>
      </c>
      <c r="J27" s="36" t="str">
        <f>IF(AND(I27="P",H27=""),"No DD",IF(OR(AND(AO27&gt;=AY$33,AO27&lt;&gt;"",AQ27&gt;=AY$37,AQ27&lt;&gt;"",AN27=""),AND(AR27&gt;=AY$33,AR27&lt;&gt;"",AT27&gt;=AY$37,AT27&lt;&gt;"",AN27=""),AND(AV27&gt;=AY$33,AV27&lt;&gt;"",AX27&gt;=AY$37,AX27&lt;&gt;"",AN27=""),AND(BP27&gt;=BZ$33,BP27&lt;&gt;"",BR27&gt;=BZ$37,BR27&lt;&gt;"",BO27=""),AND(BS27&gt;=BZ$33,BS27&lt;&gt;"",BU27&gt;=BZ$37,BU27&lt;&gt;"",BO27=""),AND(BW27&gt;=BZ$33,BW27&lt;&gt;"",BY27&gt;=BZ$37,BY27&lt;&gt;"",BO27=""),AND(CQ27&gt;=DA$33,CQ27&lt;&gt;"",CS27&gt;=DA$37,CS27&lt;&gt;"",CP27=""),AND(CT27&gt;=DA$33,CT27&lt;&gt;"",CV27&gt;=DA$37,CV27&lt;&gt;"",CP27=""),AND(CX27&gt;=DA$33,CX27&lt;&gt;"",CZ27&gt;=DA$37,CZ27&lt;&gt;"",CP27=""),AND(DX27&gt;=EK$33,DX27&lt;&gt;"",DZ27&gt;=EK$37,DZ27&lt;&gt;""),AND(EA27&gt;=EK$33,EA27&lt;&gt;"",EC27&gt;=EK$37,EC27&lt;&gt;""),AND(EE27&gt;=EK$33,EE27&lt;&gt;"",EG27&gt;=EK$37,EG27&lt;&gt;""),AND(EH27&gt;=EK$33,EH27&lt;&gt;"",EJ27&gt;=EK$37,EJ27&lt;&gt;""),AND(FF27&gt;=FS$33,FF27&lt;&gt;"",FH27&gt;=FS$37,FH27&lt;&gt;""),AND(FI27&gt;=FS$33,FI27&lt;&gt;"",FK27&gt;=FS$37,FK27&lt;&gt;""),AND(FM27&gt;=FS$33,FM27&lt;&gt;"",FO27&gt;=FS$37,FO27&lt;&gt;""),AND(FP27&gt;=FS$33,FP27&lt;&gt;"",FR27&gt;=FS$37,FR27&lt;&gt;""),AND(GN27&gt;=HA$33,GN27&lt;&gt;"",GP27&gt;=HA$37,GP27&lt;&gt;""),AND(GQ27&gt;=HA$33,GQ27&lt;&gt;"",GS27&gt;=HA$37,GS27&lt;&gt;""),AND(GU27&gt;=HA$33,GU27&lt;&gt;"",GW27&gt;=HA$37,GW27&lt;&gt;""),AND(GX27&gt;=HA$33,GX27&lt;&gt;"",GZ27&gt;=HA$37,GZ27&lt;&gt;""),AND(HV27&gt;=II$33,HV27&lt;&gt;"",HX27&gt;=II$37,HX27&lt;&gt;""),AND(HY27&gt;=II$33,HY27&lt;&gt;"",IA27&gt;=II$37,IA27&lt;&gt;""),AND(IC27&gt;=II$33,IC27&lt;&gt;"",IE27&gt;=II$37,IE27&lt;&gt;""),AND(IF27&gt;=II$33,IF27&lt;&gt;"",IH27&gt;=II$37,IH27&lt;&gt;""),AND(JD27&gt;=JQ$33,JD27&lt;&gt;"",JF27&gt;=JQ$37,JF27&lt;&gt;""),AND(JG27&gt;=JQ$33,JG27&lt;&gt;"",JI27&gt;=JQ$37,JI27&lt;&gt;""),AND(JK27&gt;=JQ$33,JK27&lt;&gt;"",JM27&gt;=JQ$37,JM27&lt;&gt;""),AND(JN27&gt;=JQ$33,JN27&lt;&gt;"",JP27&gt;=JQ$37,JP27&lt;&gt;""),AND(KL27&gt;=KY$33,KL27&lt;&gt;"",KN27&gt;=KY$37,KN27&lt;&gt;""),AND(KO27&gt;=KY$33,KO27&lt;&gt;"",KQ27&gt;=KY$37,KQ27&lt;&gt;""),AND(KS27&gt;=KY$33,KS27&lt;&gt;"",KU27&gt;=KY$37,KU27&lt;&gt;""),AND(KV27&gt;=KY$33,KV27&lt;&gt;"",KX27&gt;=KY$37,KX27&lt;&gt;""),AND(LT27&gt;=MG$33,LT27&lt;&gt;"",LV27&gt;=MG$37,LV27&lt;&gt;""),AND(LW27&gt;=MG$33,LW27&lt;&gt;"",LY27&gt;=MG$37,LY27&lt;&gt;""),AND(MA27&gt;=MG$33,MA27&lt;&gt;"",MC27&gt;=MG$37,MC27&lt;&gt;""),AND(MD27&gt;=MG$33,MD27&lt;&gt;"",MF27&gt;=MG$37,MF27&lt;&gt;""),AND(NB27&gt;=NO$33,NB27&lt;&gt;"",ND27&gt;=NO$37,ND27&lt;&gt;""),AND(NE27&gt;=NO$33,NE27&lt;&gt;"",NG27&gt;=NO$37,NG27&lt;&gt;""),AND(NI27&gt;=NO$33,NI27&lt;&gt;"",NK27&gt;=NO$37,NK27&lt;&gt;""),AND(NL27&gt;=NO$33,NL27&lt;&gt;"",NN27&gt;=NO$37,NN27&lt;&gt;""),AND(OJ27&gt;=OW$33,OJ27&lt;&gt;"",OL27&gt;=OW$37,OL27&lt;&gt;""),AND(OM27&gt;=OW$33,OM27&lt;&gt;"",OO27&gt;=OW$37,OO27&lt;&gt;""),AND(OQ27&gt;=OW$33,OQ27&lt;&gt;"",OS27&gt;=OW$37,OS27&lt;&gt;""),AND(OT27&gt;=OW$33,OT27&lt;&gt;"",OV27&gt;=OW$37,OV27&lt;&gt;""),AND(PR27&gt;=QE$33,PR27&lt;&gt;"",PT27&gt;=QE$37,PT27&lt;&gt;""),AND(PU27&gt;=QE$33,PU27&lt;&gt;"",PW27&gt;=QE$37,PW27&lt;&gt;""),AND(PY27&gt;=QE$33,PY27&lt;&gt;"",QA27&gt;=QE$37,QA27&lt;&gt;""),AND(QB27&gt;=QE$33,QB27&lt;&gt;"",QD27&gt;=QE$37,QD27&lt;&gt;""),AND(QZ27&gt;=RM$33,QZ27&lt;&gt;"",RB27&gt;=RM$37,RB27&lt;&gt;""),AND(RC27&gt;=RM$33,RC27&lt;&gt;"",RE27&gt;=RM$37,RE27&lt;&gt;""),AND(RG27&gt;=RM$33,RG27&lt;&gt;"",RI27&gt;=RM$37,RI27&lt;&gt;""),AND(RJ27&gt;=RM$33,RJ27&lt;&gt;"",RL27&gt;=RM$37,RL27&lt;&gt;""),AND(SH27&gt;=SU$33,SH27&lt;&gt;"",SJ27&gt;=SU$37,SJ27&lt;&gt;""),AND(SK27&gt;=SU$33,SK27&lt;&gt;"",SM27&gt;=SU$37,SM27&lt;&gt;""),AND(SO27&gt;=SU$33,SO27&lt;&gt;"",SQ27&gt;=SU$37,SQ27&lt;&gt;""),AND(SR27&gt;=SU$33,SR27&lt;&gt;"",ST27&gt;=SU$37,ST27&lt;&gt;"")),"Merit",IF(OR(AND(AO27&gt;=AY$32,AO27&lt;&gt;"",AQ27&gt;=AY$36,AQ27&lt;&gt;"",AN27=""),AND(AR27&gt;=AY$32,AR27&lt;&gt;"",AT27&gt;=AY$36,AT27&lt;&gt;"",AN27=""),AND(AV27&gt;=AY$32,AV27&lt;&gt;"",AX27&gt;=AY$36,AX27&lt;&gt;"",AN27=""),AND(BP27&gt;=BZ$32,BP27&lt;&gt;"",BR27&gt;=BZ$36,BR27&lt;&gt;"",BO27=""),AND(BS27&gt;=BZ$32,BS27&lt;&gt;"",BU27&gt;=BZ$36,BU27&lt;&gt;"",BO27=""),AND(BW27&gt;=BZ$32,BW27&lt;&gt;"",BY27&gt;=BZ$36,BY27&lt;&gt;"",BO27=""),AND(CQ27&gt;=DA$32,CQ27&lt;&gt;"",CS27&gt;=DA$36,CS27&lt;&gt;"",CP27=""),AND(CT27&gt;=DA$32,CT27&lt;&gt;"",CV27&gt;=DA$36,CV27&lt;&gt;"",CP27=""),AND(CX27&gt;=DA$32,CX27&lt;&gt;"",CZ27&gt;=DA$36,CZ27&lt;&gt;"",CP27=""),AND(DX27&gt;=EK$32,DX27&lt;&gt;"",DZ27&gt;=EK$36,DZ27&lt;&gt;""),AND(EA27&gt;=EK$32,EA27&lt;&gt;"",EC27&gt;=EK$36,EC27&lt;&gt;""),AND(EE27&gt;=EK$32,EE27&lt;&gt;"",EG27&gt;=EK$36,EG27&lt;&gt;""),AND(EH27&gt;=EK$32,EH27&lt;&gt;"",EJ27&gt;=EK$36,EJ27&lt;&gt;""),AND(FF27&gt;=FS$32,FF27&lt;&gt;"",FH27&gt;=FS$36,FH27&lt;&gt;""),AND(FI27&gt;=FS$32,FI27&lt;&gt;"",FK27&gt;=FS$36,FK27&lt;&gt;""),AND(FM27&gt;=FS$32,FM27&lt;&gt;"",FO27&gt;=FS$36,FO27&lt;&gt;""),AND(FP27&gt;=FS$32,FP27&lt;&gt;"",FR27&gt;=FS$36,FR27&lt;&gt;""),AND(GN27&gt;=HA$32,GN27&lt;&gt;"",GP27&gt;=HA$36,GP27&lt;&gt;""),AND(GQ27&gt;=HA$32,GQ27&lt;&gt;"",GS27&gt;=HA$36,GS27&lt;&gt;""),AND(GU27&gt;=HA$32,GU27&lt;&gt;"",GW27&gt;=HA$36,GW27&lt;&gt;""),AND(GX27&gt;=HA$32,GX27&lt;&gt;"",GZ27&gt;=HA$36,GZ27&lt;&gt;""),AND(HV27&gt;=II$32,HV27&lt;&gt;"",HX27&gt;=II$36,HX27&lt;&gt;""),AND(HY27&gt;=II$32,HY27&lt;&gt;"",IA27&gt;=II$36,IA27&lt;&gt;""),AND(IC27&gt;=II$32,IC27&lt;&gt;"",IE27&gt;=II$36,IE27&lt;&gt;""),AND(IF27&gt;=II$32,IF27&lt;&gt;"",IH27&gt;=II$36,IH27&lt;&gt;""),AND(JD27&gt;=JQ$32,JD27&lt;&gt;"",JF27&gt;=JQ$36,JF27&lt;&gt;""),AND(JG27&gt;=JQ$32,JG27&lt;&gt;"",JI27&gt;=JQ$36,JI27&lt;&gt;""),AND(JK27&gt;=JQ$32,JK27&lt;&gt;"",JM27&gt;=JQ$36,JM27&lt;&gt;""),AND(JN27&gt;=JQ$32,JN27&lt;&gt;"",JP27&gt;=JQ$36,JP27&lt;&gt;""),AND(KL27&gt;=KY$32,KL27&lt;&gt;"",KN27&gt;=KY$36,KN27&lt;&gt;""),AND(KO27&gt;=KY$32,KO27&lt;&gt;"",KQ27&gt;=KY$36,KQ27&lt;&gt;""),AND(KS27&gt;=KY$32,KS27&lt;&gt;"",KU27&gt;=KY$36,KU27&lt;&gt;""),AND(KV27&gt;=KY$32,KV27&lt;&gt;"",KX27&gt;=KY$36,KX27&lt;&gt;""),AND(LT27&gt;=MG$32,LT27&lt;&gt;"",LV27&gt;=MG$36,LV27&lt;&gt;""),AND(LW27&gt;=MG$32,LW27&lt;&gt;"",LY27&gt;=MG$36,LY27&lt;&gt;""),AND(MA27&gt;=MG$32,MA27&lt;&gt;"",MC27&gt;=MG$36,MC27&lt;&gt;""),AND(MD27&gt;=MG$32,MD27&lt;&gt;"",MF27&gt;=MG$36,MF27&lt;&gt;""),AND(NB27&gt;=NO$32,NB27&lt;&gt;"",ND27&gt;=NO$36,ND27&lt;&gt;""),AND(NE27&gt;=NO$32,NE27&lt;&gt;"",NG27&gt;=NO$36,NG27&lt;&gt;""),AND(NI27&gt;=NO$32,NI27&lt;&gt;"",NK27&gt;=NO$36,NK27&lt;&gt;""),AND(NL27&gt;=NO$32,NL27&lt;&gt;"",NN27&gt;=NO$36,NN27&lt;&gt;""),AND(OJ27&gt;=OW$32,OJ27&lt;&gt;"",OL27&gt;=OW$36,OL27&lt;&gt;""),AND(OM27&gt;=OW$32,OM27&lt;&gt;"",OO27&gt;=OW$36,OO27&lt;&gt;""),AND(OQ27&gt;=OW$32,OQ27&lt;&gt;"",OS27&gt;=OW$36,OS27&lt;&gt;""),AND(OT27&gt;=OW$32,OT27&lt;&gt;"",OV27&gt;=OW$36,OV27&lt;&gt;""),AND(PR27&gt;=QE$32,PR27&lt;&gt;"",PT27&gt;=QE$36,PT27&lt;&gt;""),AND(PU27&gt;=QE$32,PU27&lt;&gt;"",PW27&gt;=QE$36,PW27&lt;&gt;""),AND(PY27&gt;=QE$32,PY27&lt;&gt;"",QA27&gt;=QE$36,QA27&lt;&gt;""),AND(QB27&gt;=QE$32,QB27&lt;&gt;"",QD27&gt;=QE$36,QD27&lt;&gt;""),AND(QZ27&gt;=RM$32,QZ27&lt;&gt;"",RB27&gt;=RM$36,RB27&lt;&gt;""),AND(RC27&gt;=RM$32,RC27&lt;&gt;"",RE27&gt;=RM$36,RE27&lt;&gt;""),AND(RG27&gt;=RM$32,RG27&lt;&gt;"",RI27&gt;=RM$36,RI27&lt;&gt;""),AND(RJ27&gt;=RM$32,RJ27&lt;&gt;"",RL27&gt;=RM$36,RL27&lt;&gt;""),AND(SH27&gt;=SU$32,SH27&lt;&gt;"",SJ27&gt;=SU$36,SJ27&lt;&gt;""),AND(SK27&gt;=SU$32,SK27&lt;&gt;"",SM27&gt;=SU$36,SM27&lt;&gt;""),AND(SO27&gt;=SU$32,SO27&lt;&gt;"",SQ27&gt;=SU$36,SQ27&lt;&gt;""),AND(SR27&gt;=SU$32,SR27&lt;&gt;"",ST27&gt;=SU$36,ST27&lt;&gt;"")),"Excellence",IF(K27="P","Worlds Team",IF(H27="P","National Team","")))))</f>
        <v/>
      </c>
      <c r="K27" s="3" t="str">
        <f>IF(OR(AND(AO27&gt;=AY$31,AO27&lt;&gt;"",AQ27&gt;=AY$35,AQ27&lt;&gt;"",AN27=""),AND(AR27&gt;=AY$31,AR27&lt;&gt;"",AT27&gt;=AY$35,AT27&lt;&gt;"",AN27=""),AND(AV27&gt;=AY$31,AV27&lt;&gt;"",AX27&gt;=AY$35,AX27&lt;&gt;"",AN27=""),AND(BP27&gt;=BZ$31,BP27&lt;&gt;"",BR27&gt;=BZ$35,BR27&lt;&gt;"",BO27=""),AND(BS27&gt;=BZ$31,BS27&lt;&gt;"",BU27&gt;=BZ$35,BU27&lt;&gt;"",BO27=""),AND(BW27&gt;=BZ$31,BW27&lt;&gt;"",BY27&gt;=BZ$35,BY27&lt;&gt;"",BO27=""),AND(CQ27&gt;=DA$31,CQ27&lt;&gt;"",CS27&gt;=DA$35,CS27&lt;&gt;"",CP27=""),AND(CT27&gt;=DA$31,CT27&lt;&gt;"",CV27&gt;=DA$35,CV27&lt;&gt;"",CP27=""),AND(CX27&gt;=DA$31,CX27&lt;&gt;"",CZ27&gt;=DA$35,CZ27&lt;&gt;"",CP27=""),AND(DX27&gt;=EK$31,DX27&lt;&gt;"",DZ27&gt;=EK$35,DZ27&lt;&gt;""),AND(EA27&gt;=EK$31,EA27&lt;&gt;"",EC27&gt;=EK$35,EC27&lt;&gt;""),AND(EE27&gt;=EK$31,EE27&lt;&gt;"",EG27&gt;=EK$35,EG27&lt;&gt;""),AND(EH27&gt;=EK$31,EH27&lt;&gt;"",EJ27&gt;=EK$35,EJ27&lt;&gt;""),AND(FF27&gt;=FS$31,FF27&lt;&gt;"",FH27&gt;=FS$35,FH27&lt;&gt;""),AND(FI27&gt;=FS$31,FI27&lt;&gt;"",FK27&gt;=FS$35,FK27&lt;&gt;""),AND(FM27&gt;=FS$31,FM27&lt;&gt;"",FO27&gt;=FS$35,FO27&lt;&gt;""),AND(FP27&gt;=FS$31,FP27&lt;&gt;"",FR27&gt;=FS$35,FR27&lt;&gt;""),AND(GN27&gt;=HA$31,GN27&lt;&gt;"",GP27&gt;=HA$35,GP27&lt;&gt;""),AND(GQ27&gt;=HA$31,GQ27&lt;&gt;"",GS27&gt;=HA$35,GS27&lt;&gt;""),AND(GU27&gt;=HA$31,GU27&lt;&gt;"",GW27&gt;=HA$35,GW27&lt;&gt;""),AND(GX27&gt;=HA$31,GX27&lt;&gt;"",GZ27&gt;=HA$35,GZ27&lt;&gt;""),AND(HV27&gt;=II$31,HV27&lt;&gt;"",HX27&gt;=II$35,HX27&lt;&gt;""),AND(HY27&gt;=II$31,HY27&lt;&gt;"",IA27&gt;=II$35,IA27&lt;&gt;""),AND(IC27&gt;=II$31,IC27&lt;&gt;"",IE27&gt;=II$35,IE27&lt;&gt;""),AND(IF27&gt;=II$31,IF27&lt;&gt;"",IH27&gt;=II$35,IH27&lt;&gt;""),AND(JD27&gt;=JQ$31,JD27&lt;&gt;"",JF27&gt;=JQ$35,JF27&lt;&gt;""),AND(JG27&gt;=JQ$31,JG27&lt;&gt;"",JI27&gt;=JQ$35,JI27&lt;&gt;""),AND(JK27&gt;=JQ$31,JK27&lt;&gt;"",JM27&gt;=JQ$35,JM27&lt;&gt;""),AND(JN27&gt;=JQ$31,JN27&lt;&gt;"",JP27&gt;=JQ$35,JP27&lt;&gt;""),AND(KL27&gt;=KY$31,KL27&lt;&gt;"",KN27&gt;=KY$35,KN27&lt;&gt;""),AND(KO27&gt;=KY$31,KO27&lt;&gt;"",KQ27&gt;=KY$35,KQ27&lt;&gt;""),AND(KS27&gt;=KY$31,KS27&lt;&gt;"",KU27&gt;=KY$35,KU27&lt;&gt;""),AND(KV27&gt;=KY$31,KV27&lt;&gt;"",KX27&gt;=KY$35,KX27&lt;&gt;""),AND(LT27&gt;=MG$31,LT27&lt;&gt;"",LV27&gt;=MG$35,LV27&lt;&gt;""),AND(LW27&gt;=MG$31,LW27&lt;&gt;"",LY27&gt;=MG$35,LY27&lt;&gt;""),AND(MA27&gt;=MG$31,MA27&lt;&gt;"",MC27&gt;=MG$35,MC27&lt;&gt;""),AND(MD27&gt;=MG$31,MD27&lt;&gt;"",MF27&gt;=MG$35,MF27&lt;&gt;""),AND(NB27&gt;=NO$31,NB27&lt;&gt;"",ND27&gt;=NO$35,ND27&lt;&gt;""),AND(NE27&gt;=NO$31,NE27&lt;&gt;"",NG27&gt;=NO$35,NG27&lt;&gt;""),AND(NI27&gt;=NO$31,NI27&lt;&gt;"",NK27&gt;=NO$35,NK27&lt;&gt;""),AND(NL27&gt;=NO$31,NL27&lt;&gt;"",NN27&gt;=NO$35,NN27&lt;&gt;""),AND(OJ27&gt;=OW$31,OJ27&lt;&gt;"",OL27&gt;=OW$35,OL27&lt;&gt;""),AND(OM27&gt;=OW$31,OM27&lt;&gt;"",OO27&gt;=OW$35,OO27&lt;&gt;""),AND(OQ27&gt;=OW$31,OQ27&lt;&gt;"",OS27&gt;=OW$35,OS27&lt;&gt;""),AND(OT27&gt;=OW$31,OT27&lt;&gt;"",OV27&gt;=OW$35,OV27&lt;&gt;""),AND(PR27&gt;=QE$31,PR27&lt;&gt;"",PT27&gt;=QE$35,PT27&lt;&gt;""),AND(PU27&gt;=QE$31,PU27&lt;&gt;"",PW27&gt;=QE$35,PW27&lt;&gt;""),AND(PY27&gt;=QE$31,PY27&lt;&gt;"",QA27&gt;=QE$35,QA27&lt;&gt;""),AND(QB27&gt;=QE$31,QB27&lt;&gt;"",QD27&gt;=QE$35,QD27&lt;&gt;""),AND(QZ27&gt;=RM$31,QZ27&lt;&gt;"",RB27&gt;=RM$35,RB27&lt;&gt;""),AND(RC27&gt;=RM$31,RC27&lt;&gt;"",RE27&gt;=RM$35,RE27&lt;&gt;""),AND(RG27&gt;=RM$31,RG27&lt;&gt;"",RI27&gt;=RM$35,RI27&lt;&gt;""),AND(RJ27&gt;=RM$31,RJ27&lt;&gt;"",RL27&gt;=RM$35,RL27&lt;&gt;""),AND(SH27&gt;=SU$31,SH27&lt;&gt;"",SJ27&gt;=SU$35,SJ27&lt;&gt;""),AND(SK27&gt;=SU$31,SK27&lt;&gt;"",SM27&gt;=SU$35,SM27&lt;&gt;""),AND(SO27&gt;=SU$31,SO27&lt;&gt;"",SQ27&gt;=SU$35,SQ27&lt;&gt;""),AND(SR27&gt;=SU$31,SR27&lt;&gt;"",ST27&gt;=SU$35,ST27&lt;&gt;"")),"P","")</f>
        <v/>
      </c>
      <c r="L27" s="8">
        <f>IF(COUNT(AQ27,AT27,BR27,BU27,CS27,CV27)&gt;0,LARGE((AQ27,AT27,BR27,BU27,CS27,CV27),1),0)</f>
        <v>39.559999999999995</v>
      </c>
      <c r="M27" s="8" t="str">
        <f t="shared" si="1"/>
        <v>2024 3rd Domestic Trial</v>
      </c>
      <c r="N27" s="8">
        <f>IF(COUNT(AQ27,AT27,BR27,BU27,CS27,CV27)&gt;1,LARGE((AQ27,AT27,BR27,BU27,CS27,CV27),2),0)</f>
        <v>34.47</v>
      </c>
      <c r="O27" s="8" t="str">
        <f t="shared" si="2"/>
        <v>2024 3rd Domestic Trial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 t="shared" si="3"/>
        <v/>
      </c>
      <c r="R27" s="8">
        <f t="shared" si="4"/>
        <v>9.3000000000000007</v>
      </c>
      <c r="S27" s="8" t="str">
        <f t="shared" si="5"/>
        <v>2024 3rd Domestic Trial</v>
      </c>
      <c r="T27" s="8">
        <f>IF(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&gt;0,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,0)</f>
        <v>0</v>
      </c>
      <c r="U27" s="8" t="str">
        <f t="shared" si="6"/>
        <v/>
      </c>
      <c r="V27" s="8" t="str">
        <f t="shared" si="7"/>
        <v/>
      </c>
      <c r="W27" s="11" t="str">
        <f t="shared" si="8"/>
        <v/>
      </c>
      <c r="X27" s="8" t="str">
        <f t="shared" si="9"/>
        <v/>
      </c>
      <c r="Y27" s="22">
        <v>9</v>
      </c>
      <c r="Z27" s="22">
        <v>5.6</v>
      </c>
      <c r="AA27" s="22">
        <v>9.3000000000000007</v>
      </c>
      <c r="AB27" s="22">
        <v>10.57</v>
      </c>
      <c r="AC27" s="22">
        <v>0</v>
      </c>
      <c r="AD27" s="22">
        <v>17.7</v>
      </c>
      <c r="AE27" s="22">
        <v>9.6999999999999993</v>
      </c>
      <c r="AF27" s="22">
        <v>5.9</v>
      </c>
      <c r="AG27" s="22">
        <v>6.26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0"/>
        <v>9.3000000000000007</v>
      </c>
      <c r="AP27" s="38">
        <f t="shared" si="11"/>
        <v>10.57</v>
      </c>
      <c r="AQ27" s="40">
        <f t="shared" si="12"/>
        <v>34.47</v>
      </c>
      <c r="AR27" s="40">
        <f t="shared" si="13"/>
        <v>5.9</v>
      </c>
      <c r="AS27" s="40">
        <f t="shared" si="14"/>
        <v>6.26</v>
      </c>
      <c r="AT27" s="40">
        <f t="shared" si="15"/>
        <v>39.559999999999995</v>
      </c>
      <c r="AU27" s="40">
        <f t="shared" si="16"/>
        <v>39.559999999999995</v>
      </c>
      <c r="AV27" s="40" t="str">
        <f t="shared" si="17"/>
        <v/>
      </c>
      <c r="AW27" s="40" t="str">
        <f t="shared" si="18"/>
        <v/>
      </c>
      <c r="AX27" s="40" t="str">
        <f t="shared" si="19"/>
        <v/>
      </c>
      <c r="AY27" s="40">
        <f t="shared" si="20"/>
        <v>39.559999999999995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1"/>
        <v/>
      </c>
      <c r="BQ27" s="39" t="str">
        <f t="shared" si="22"/>
        <v/>
      </c>
      <c r="BR27" s="11" t="str">
        <f t="shared" si="23"/>
        <v/>
      </c>
      <c r="BS27" s="11" t="str">
        <f t="shared" si="24"/>
        <v/>
      </c>
      <c r="BT27" s="11" t="str">
        <f t="shared" si="25"/>
        <v/>
      </c>
      <c r="BU27" s="11" t="str">
        <f t="shared" si="26"/>
        <v/>
      </c>
      <c r="BV27" s="11" t="str">
        <f t="shared" si="27"/>
        <v/>
      </c>
      <c r="BW27" s="11" t="str">
        <f t="shared" si="28"/>
        <v/>
      </c>
      <c r="BX27" s="11" t="str">
        <f t="shared" si="29"/>
        <v/>
      </c>
      <c r="BY27" s="11" t="str">
        <f t="shared" si="30"/>
        <v/>
      </c>
      <c r="BZ27" s="11" t="str">
        <f t="shared" si="31"/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2"/>
        <v/>
      </c>
      <c r="CR27" s="38" t="str">
        <f t="shared" si="33"/>
        <v/>
      </c>
      <c r="CS27" s="40" t="str">
        <f t="shared" si="34"/>
        <v/>
      </c>
      <c r="CT27" s="40" t="str">
        <f t="shared" si="35"/>
        <v/>
      </c>
      <c r="CU27" s="40" t="str">
        <f t="shared" si="36"/>
        <v/>
      </c>
      <c r="CV27" s="40" t="str">
        <f t="shared" si="37"/>
        <v/>
      </c>
      <c r="CW27" s="40" t="str">
        <f t="shared" si="38"/>
        <v/>
      </c>
      <c r="CX27" s="40" t="str">
        <f t="shared" si="39"/>
        <v/>
      </c>
      <c r="CY27" s="40" t="str">
        <f t="shared" si="40"/>
        <v/>
      </c>
      <c r="CZ27" s="40" t="str">
        <f t="shared" si="41"/>
        <v/>
      </c>
      <c r="DA27" s="40" t="str">
        <f t="shared" si="42"/>
        <v/>
      </c>
      <c r="DB27" s="50" t="str">
        <f t="shared" si="43"/>
        <v/>
      </c>
      <c r="DC27" s="50" t="str">
        <f t="shared" si="44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45"/>
        <v/>
      </c>
      <c r="DY27" s="40" t="str">
        <f t="shared" si="46"/>
        <v/>
      </c>
      <c r="DZ27" s="40" t="str">
        <f t="shared" si="47"/>
        <v/>
      </c>
      <c r="EA27" s="40" t="str">
        <f t="shared" si="48"/>
        <v/>
      </c>
      <c r="EB27" s="40" t="str">
        <f t="shared" si="49"/>
        <v/>
      </c>
      <c r="EC27" s="40" t="str">
        <f t="shared" si="50"/>
        <v/>
      </c>
      <c r="ED27" s="40" t="str">
        <f t="shared" si="51"/>
        <v/>
      </c>
      <c r="EE27" s="40" t="str">
        <f t="shared" si="52"/>
        <v/>
      </c>
      <c r="EF27" s="40" t="str">
        <f t="shared" si="53"/>
        <v/>
      </c>
      <c r="EG27" s="40" t="str">
        <f t="shared" si="54"/>
        <v/>
      </c>
      <c r="EH27" s="40" t="str">
        <f t="shared" si="55"/>
        <v/>
      </c>
      <c r="EI27" s="40" t="str">
        <f t="shared" si="56"/>
        <v/>
      </c>
      <c r="EJ27" s="40" t="str">
        <f t="shared" si="57"/>
        <v/>
      </c>
      <c r="EK27" s="40" t="str">
        <f t="shared" si="58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59"/>
        <v/>
      </c>
      <c r="FG27" s="11" t="str">
        <f t="shared" si="60"/>
        <v/>
      </c>
      <c r="FH27" s="11" t="str">
        <f t="shared" si="61"/>
        <v/>
      </c>
      <c r="FI27" s="11" t="str">
        <f t="shared" si="62"/>
        <v/>
      </c>
      <c r="FJ27" s="11" t="str">
        <f t="shared" si="63"/>
        <v/>
      </c>
      <c r="FK27" s="11" t="str">
        <f t="shared" si="64"/>
        <v/>
      </c>
      <c r="FL27" s="11" t="str">
        <f t="shared" si="65"/>
        <v/>
      </c>
      <c r="FM27" s="11" t="str">
        <f t="shared" si="66"/>
        <v/>
      </c>
      <c r="FN27" s="11" t="str">
        <f t="shared" si="67"/>
        <v/>
      </c>
      <c r="FO27" s="11" t="str">
        <f t="shared" si="68"/>
        <v/>
      </c>
      <c r="FP27" s="11" t="str">
        <f t="shared" si="69"/>
        <v/>
      </c>
      <c r="FQ27" s="11" t="str">
        <f t="shared" si="70"/>
        <v/>
      </c>
      <c r="FR27" s="11" t="str">
        <f t="shared" si="71"/>
        <v/>
      </c>
      <c r="FS27" s="11" t="str">
        <f t="shared" si="72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3"/>
        <v/>
      </c>
      <c r="GO27" s="40" t="str">
        <f t="shared" si="74"/>
        <v/>
      </c>
      <c r="GP27" s="40" t="str">
        <f t="shared" si="75"/>
        <v/>
      </c>
      <c r="GQ27" s="40" t="str">
        <f t="shared" si="76"/>
        <v/>
      </c>
      <c r="GR27" s="40" t="str">
        <f t="shared" si="77"/>
        <v/>
      </c>
      <c r="GS27" s="40" t="str">
        <f t="shared" si="78"/>
        <v/>
      </c>
      <c r="GT27" s="40" t="str">
        <f t="shared" si="79"/>
        <v/>
      </c>
      <c r="GU27" s="40" t="str">
        <f t="shared" si="80"/>
        <v/>
      </c>
      <c r="GV27" s="40" t="str">
        <f t="shared" si="81"/>
        <v/>
      </c>
      <c r="GW27" s="40" t="str">
        <f t="shared" si="82"/>
        <v/>
      </c>
      <c r="GX27" s="40" t="str">
        <f t="shared" si="83"/>
        <v/>
      </c>
      <c r="GY27" s="40" t="str">
        <f t="shared" si="84"/>
        <v/>
      </c>
      <c r="GZ27" s="40" t="str">
        <f t="shared" si="85"/>
        <v/>
      </c>
      <c r="HA27" s="40" t="str">
        <f t="shared" si="86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87"/>
        <v/>
      </c>
      <c r="HW27" s="11" t="str">
        <f t="shared" si="88"/>
        <v/>
      </c>
      <c r="HX27" s="11" t="str">
        <f t="shared" si="89"/>
        <v/>
      </c>
      <c r="HY27" s="11" t="str">
        <f t="shared" si="90"/>
        <v/>
      </c>
      <c r="HZ27" s="11" t="str">
        <f t="shared" si="91"/>
        <v/>
      </c>
      <c r="IA27" s="11" t="str">
        <f t="shared" si="92"/>
        <v/>
      </c>
      <c r="IB27" s="11" t="str">
        <f t="shared" si="93"/>
        <v/>
      </c>
      <c r="IC27" s="11" t="str">
        <f t="shared" si="94"/>
        <v/>
      </c>
      <c r="ID27" s="11" t="str">
        <f t="shared" si="95"/>
        <v/>
      </c>
      <c r="IE27" s="11" t="str">
        <f t="shared" si="96"/>
        <v/>
      </c>
      <c r="IF27" s="11" t="str">
        <f t="shared" si="97"/>
        <v/>
      </c>
      <c r="IG27" s="11" t="str">
        <f t="shared" si="98"/>
        <v/>
      </c>
      <c r="IH27" s="11" t="str">
        <f t="shared" si="99"/>
        <v/>
      </c>
      <c r="II27" s="11" t="str">
        <f t="shared" si="100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1"/>
        <v/>
      </c>
      <c r="JE27" s="40" t="str">
        <f t="shared" si="102"/>
        <v/>
      </c>
      <c r="JF27" s="40" t="str">
        <f t="shared" si="103"/>
        <v/>
      </c>
      <c r="JG27" s="40" t="str">
        <f t="shared" si="104"/>
        <v/>
      </c>
      <c r="JH27" s="40" t="str">
        <f t="shared" si="105"/>
        <v/>
      </c>
      <c r="JI27" s="40" t="str">
        <f t="shared" si="106"/>
        <v/>
      </c>
      <c r="JJ27" s="40" t="str">
        <f t="shared" si="107"/>
        <v/>
      </c>
      <c r="JK27" s="40" t="str">
        <f t="shared" si="108"/>
        <v/>
      </c>
      <c r="JL27" s="40" t="str">
        <f t="shared" si="109"/>
        <v/>
      </c>
      <c r="JM27" s="40" t="str">
        <f t="shared" si="110"/>
        <v/>
      </c>
      <c r="JN27" s="40" t="str">
        <f t="shared" si="111"/>
        <v/>
      </c>
      <c r="JO27" s="40" t="str">
        <f t="shared" si="112"/>
        <v/>
      </c>
      <c r="JP27" s="40" t="str">
        <f t="shared" si="113"/>
        <v/>
      </c>
      <c r="JQ27" s="40" t="str">
        <f t="shared" si="114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15"/>
        <v/>
      </c>
      <c r="KM27" s="11" t="str">
        <f t="shared" si="116"/>
        <v/>
      </c>
      <c r="KN27" s="11" t="str">
        <f t="shared" si="117"/>
        <v/>
      </c>
      <c r="KO27" s="11" t="str">
        <f t="shared" si="118"/>
        <v/>
      </c>
      <c r="KP27" s="11" t="str">
        <f t="shared" si="119"/>
        <v/>
      </c>
      <c r="KQ27" s="11" t="str">
        <f t="shared" si="120"/>
        <v/>
      </c>
      <c r="KR27" s="11" t="str">
        <f t="shared" si="121"/>
        <v/>
      </c>
      <c r="KS27" s="11" t="str">
        <f t="shared" si="122"/>
        <v/>
      </c>
      <c r="KT27" s="11" t="str">
        <f t="shared" si="123"/>
        <v/>
      </c>
      <c r="KU27" s="11" t="str">
        <f t="shared" si="124"/>
        <v/>
      </c>
      <c r="KV27" s="11" t="str">
        <f t="shared" si="125"/>
        <v/>
      </c>
      <c r="KW27" s="11" t="str">
        <f t="shared" si="126"/>
        <v/>
      </c>
      <c r="KX27" s="11" t="str">
        <f t="shared" si="127"/>
        <v/>
      </c>
      <c r="KY27" s="11" t="str">
        <f t="shared" si="128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29"/>
        <v/>
      </c>
      <c r="LU27" s="40" t="str">
        <f t="shared" si="130"/>
        <v/>
      </c>
      <c r="LV27" s="40" t="str">
        <f t="shared" si="131"/>
        <v/>
      </c>
      <c r="LW27" s="40" t="str">
        <f t="shared" si="132"/>
        <v/>
      </c>
      <c r="LX27" s="40" t="str">
        <f t="shared" si="133"/>
        <v/>
      </c>
      <c r="LY27" s="40" t="str">
        <f t="shared" si="134"/>
        <v/>
      </c>
      <c r="LZ27" s="40" t="str">
        <f t="shared" si="135"/>
        <v/>
      </c>
      <c r="MA27" s="40" t="str">
        <f t="shared" si="136"/>
        <v/>
      </c>
      <c r="MB27" s="40" t="str">
        <f t="shared" si="137"/>
        <v/>
      </c>
      <c r="MC27" s="40" t="str">
        <f t="shared" si="138"/>
        <v/>
      </c>
      <c r="MD27" s="40" t="str">
        <f t="shared" si="139"/>
        <v/>
      </c>
      <c r="ME27" s="40" t="str">
        <f t="shared" si="140"/>
        <v/>
      </c>
      <c r="MF27" s="40" t="str">
        <f t="shared" si="141"/>
        <v/>
      </c>
      <c r="MG27" s="40" t="str">
        <f t="shared" si="142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3"/>
        <v/>
      </c>
      <c r="NC27" s="11" t="str">
        <f t="shared" si="144"/>
        <v/>
      </c>
      <c r="ND27" s="11" t="str">
        <f t="shared" si="145"/>
        <v/>
      </c>
      <c r="NE27" s="11" t="str">
        <f t="shared" si="146"/>
        <v/>
      </c>
      <c r="NF27" s="11" t="str">
        <f t="shared" si="147"/>
        <v/>
      </c>
      <c r="NG27" s="11" t="str">
        <f t="shared" si="148"/>
        <v/>
      </c>
      <c r="NH27" s="11" t="str">
        <f t="shared" si="149"/>
        <v/>
      </c>
      <c r="NI27" s="11" t="str">
        <f t="shared" si="150"/>
        <v/>
      </c>
      <c r="NJ27" s="11" t="str">
        <f t="shared" si="151"/>
        <v/>
      </c>
      <c r="NK27" s="11" t="str">
        <f t="shared" si="152"/>
        <v/>
      </c>
      <c r="NL27" s="11" t="str">
        <f t="shared" si="153"/>
        <v/>
      </c>
      <c r="NM27" s="11" t="str">
        <f t="shared" si="154"/>
        <v/>
      </c>
      <c r="NN27" s="11" t="str">
        <f t="shared" si="155"/>
        <v/>
      </c>
      <c r="NO27" s="11" t="str">
        <f t="shared" si="156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57"/>
        <v/>
      </c>
      <c r="OK27" s="40" t="str">
        <f t="shared" si="158"/>
        <v/>
      </c>
      <c r="OL27" s="40" t="str">
        <f t="shared" si="159"/>
        <v/>
      </c>
      <c r="OM27" s="40" t="str">
        <f t="shared" si="160"/>
        <v/>
      </c>
      <c r="ON27" s="40" t="str">
        <f t="shared" si="161"/>
        <v/>
      </c>
      <c r="OO27" s="40" t="str">
        <f t="shared" si="162"/>
        <v/>
      </c>
      <c r="OP27" s="40" t="str">
        <f t="shared" si="163"/>
        <v/>
      </c>
      <c r="OQ27" s="40" t="str">
        <f t="shared" si="164"/>
        <v/>
      </c>
      <c r="OR27" s="40" t="str">
        <f t="shared" si="165"/>
        <v/>
      </c>
      <c r="OS27" s="40" t="str">
        <f t="shared" si="166"/>
        <v/>
      </c>
      <c r="OT27" s="40" t="str">
        <f t="shared" si="167"/>
        <v/>
      </c>
      <c r="OU27" s="40" t="str">
        <f t="shared" si="168"/>
        <v/>
      </c>
      <c r="OV27" s="40" t="str">
        <f t="shared" si="169"/>
        <v/>
      </c>
      <c r="OW27" s="40" t="str">
        <f t="shared" si="170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1"/>
        <v/>
      </c>
      <c r="PS27" s="11" t="str">
        <f t="shared" si="172"/>
        <v/>
      </c>
      <c r="PT27" s="11" t="str">
        <f t="shared" si="173"/>
        <v/>
      </c>
      <c r="PU27" s="11" t="str">
        <f t="shared" si="174"/>
        <v/>
      </c>
      <c r="PV27" s="11" t="str">
        <f t="shared" si="175"/>
        <v/>
      </c>
      <c r="PW27" s="11" t="str">
        <f t="shared" si="176"/>
        <v/>
      </c>
      <c r="PX27" s="11" t="str">
        <f t="shared" si="177"/>
        <v/>
      </c>
      <c r="PY27" s="11" t="str">
        <f t="shared" si="178"/>
        <v/>
      </c>
      <c r="PZ27" s="11" t="str">
        <f t="shared" si="179"/>
        <v/>
      </c>
      <c r="QA27" s="11" t="str">
        <f t="shared" si="180"/>
        <v/>
      </c>
      <c r="QB27" s="11" t="str">
        <f t="shared" si="181"/>
        <v/>
      </c>
      <c r="QC27" s="11" t="str">
        <f t="shared" si="182"/>
        <v/>
      </c>
      <c r="QD27" s="11" t="str">
        <f t="shared" si="183"/>
        <v/>
      </c>
      <c r="QE27" s="11" t="str">
        <f t="shared" si="184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85"/>
        <v/>
      </c>
      <c r="RA27" s="40" t="str">
        <f t="shared" si="186"/>
        <v/>
      </c>
      <c r="RB27" s="40" t="str">
        <f t="shared" si="187"/>
        <v/>
      </c>
      <c r="RC27" s="40" t="str">
        <f t="shared" si="188"/>
        <v/>
      </c>
      <c r="RD27" s="40" t="str">
        <f t="shared" si="189"/>
        <v/>
      </c>
      <c r="RE27" s="40" t="str">
        <f t="shared" si="190"/>
        <v/>
      </c>
      <c r="RF27" s="40" t="str">
        <f t="shared" si="191"/>
        <v/>
      </c>
      <c r="RG27" s="40" t="str">
        <f t="shared" si="192"/>
        <v/>
      </c>
      <c r="RH27" s="40" t="str">
        <f t="shared" si="193"/>
        <v/>
      </c>
      <c r="RI27" s="40" t="str">
        <f t="shared" si="194"/>
        <v/>
      </c>
      <c r="RJ27" s="40" t="str">
        <f t="shared" si="195"/>
        <v/>
      </c>
      <c r="RK27" s="40" t="str">
        <f t="shared" si="196"/>
        <v/>
      </c>
      <c r="RL27" s="40" t="str">
        <f t="shared" si="197"/>
        <v/>
      </c>
      <c r="RM27" s="40" t="str">
        <f t="shared" si="198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199"/>
        <v/>
      </c>
      <c r="SI27" s="11" t="str">
        <f t="shared" si="200"/>
        <v/>
      </c>
      <c r="SJ27" s="11" t="str">
        <f t="shared" si="201"/>
        <v/>
      </c>
      <c r="SK27" s="11" t="str">
        <f t="shared" si="202"/>
        <v/>
      </c>
      <c r="SL27" s="11" t="str">
        <f t="shared" si="203"/>
        <v/>
      </c>
      <c r="SM27" s="11" t="str">
        <f t="shared" si="204"/>
        <v/>
      </c>
      <c r="SN27" s="11" t="str">
        <f t="shared" si="205"/>
        <v/>
      </c>
      <c r="SO27" s="11" t="str">
        <f t="shared" si="206"/>
        <v/>
      </c>
      <c r="SP27" s="11" t="str">
        <f t="shared" si="207"/>
        <v/>
      </c>
      <c r="SQ27" s="11" t="str">
        <f t="shared" si="208"/>
        <v/>
      </c>
      <c r="SR27" s="11" t="str">
        <f t="shared" si="209"/>
        <v/>
      </c>
      <c r="SS27" s="11" t="str">
        <f t="shared" si="210"/>
        <v/>
      </c>
      <c r="ST27" s="11" t="str">
        <f t="shared" si="211"/>
        <v/>
      </c>
      <c r="SU27" s="11" t="str">
        <f t="shared" si="212"/>
        <v/>
      </c>
      <c r="SV27" s="22">
        <f t="shared" si="213"/>
        <v>0</v>
      </c>
      <c r="SW27" s="22">
        <f t="shared" si="214"/>
        <v>0</v>
      </c>
      <c r="SX27" s="22">
        <f t="shared" si="215"/>
        <v>0</v>
      </c>
      <c r="SY27" s="22">
        <f t="shared" si="216"/>
        <v>0</v>
      </c>
      <c r="SZ27" s="22">
        <f t="shared" si="217"/>
        <v>0</v>
      </c>
      <c r="TA27" s="22">
        <f t="shared" si="218"/>
        <v>0</v>
      </c>
      <c r="TB27" s="22">
        <f t="shared" si="219"/>
        <v>0</v>
      </c>
      <c r="TC27" s="22">
        <f t="shared" si="220"/>
        <v>0</v>
      </c>
      <c r="TD27" s="22">
        <f t="shared" si="221"/>
        <v>0</v>
      </c>
      <c r="TE27" s="22">
        <f t="shared" si="222"/>
        <v>0</v>
      </c>
      <c r="TF27" s="22">
        <f t="shared" si="223"/>
        <v>0</v>
      </c>
      <c r="TG27" s="22">
        <f t="shared" si="224"/>
        <v>0</v>
      </c>
      <c r="TH27" s="22">
        <f t="shared" si="225"/>
        <v>0</v>
      </c>
      <c r="TI27" s="22">
        <f t="shared" si="226"/>
        <v>0</v>
      </c>
      <c r="TJ27" s="22">
        <f t="shared" si="227"/>
        <v>0</v>
      </c>
      <c r="TK27" s="27" t="s">
        <v>46</v>
      </c>
      <c r="TL27" s="40" t="str">
        <f t="shared" si="228"/>
        <v/>
      </c>
      <c r="TM27" s="40" t="str">
        <f t="shared" si="229"/>
        <v/>
      </c>
      <c r="TN27" s="40" t="str">
        <f t="shared" si="230"/>
        <v/>
      </c>
      <c r="TO27" s="40" t="str">
        <f t="shared" si="231"/>
        <v/>
      </c>
      <c r="TP27" s="40" t="str">
        <f t="shared" si="232"/>
        <v/>
      </c>
      <c r="TQ27" s="40" t="str">
        <f t="shared" si="233"/>
        <v/>
      </c>
      <c r="TR27" s="40" t="str">
        <f t="shared" si="234"/>
        <v/>
      </c>
      <c r="TS27" s="40" t="str">
        <f t="shared" si="235"/>
        <v/>
      </c>
      <c r="TT27" s="40" t="str">
        <f t="shared" si="236"/>
        <v/>
      </c>
      <c r="TU27" s="40" t="str">
        <f t="shared" si="237"/>
        <v/>
      </c>
      <c r="TV27" s="40" t="str">
        <f t="shared" si="238"/>
        <v/>
      </c>
    </row>
    <row r="28" spans="1:542" x14ac:dyDescent="0.2">
      <c r="C28" s="5"/>
      <c r="E28" s="1"/>
    </row>
    <row r="29" spans="1:542" x14ac:dyDescent="0.2">
      <c r="I29" s="36"/>
      <c r="K29" s="36"/>
    </row>
    <row r="30" spans="1:542" x14ac:dyDescent="0.2">
      <c r="C30" s="23" t="s">
        <v>44</v>
      </c>
      <c r="D30" s="5"/>
      <c r="I30" s="3"/>
      <c r="AR30" s="41"/>
      <c r="AS30" s="41"/>
      <c r="AT30" s="41"/>
      <c r="AV30" s="32"/>
      <c r="AW30" s="32"/>
      <c r="AY30" s="53">
        <v>13.5</v>
      </c>
      <c r="BS30" s="41"/>
      <c r="BT30" s="41"/>
      <c r="BU30" s="41"/>
      <c r="BW30" s="32"/>
      <c r="BX30" s="32"/>
      <c r="BZ30" s="53">
        <v>14.5</v>
      </c>
      <c r="CT30" s="41"/>
      <c r="CU30" s="41"/>
      <c r="CV30" s="41"/>
      <c r="CX30" s="32"/>
      <c r="CY30" s="32"/>
      <c r="DA30" s="53">
        <v>14.5</v>
      </c>
      <c r="DX30" s="5"/>
      <c r="DY30" s="5"/>
      <c r="EH30" s="2"/>
      <c r="EI30" s="2"/>
      <c r="EK30" s="53">
        <v>13.5</v>
      </c>
      <c r="FF30" s="5"/>
      <c r="FG30" s="5"/>
      <c r="FP30" s="2"/>
      <c r="FQ30" s="2"/>
      <c r="FS30" s="53">
        <v>13.5</v>
      </c>
      <c r="GN30" s="5"/>
      <c r="GO30" s="5"/>
      <c r="GX30" s="2"/>
      <c r="GY30" s="2"/>
      <c r="HA30" s="53">
        <v>13.5</v>
      </c>
      <c r="HV30" s="5"/>
      <c r="HW30" s="5"/>
      <c r="IF30" s="2"/>
      <c r="IG30" s="2"/>
      <c r="II30" s="53">
        <v>14.5</v>
      </c>
      <c r="JD30" s="5"/>
      <c r="JE30" s="5"/>
      <c r="JN30" s="2"/>
      <c r="JO30" s="2"/>
      <c r="JQ30" s="53">
        <v>14.5</v>
      </c>
      <c r="KL30" s="5"/>
      <c r="KM30" s="5"/>
      <c r="KV30" s="2"/>
      <c r="KW30" s="2"/>
      <c r="KY30" s="53">
        <v>14.5</v>
      </c>
      <c r="LT30" s="5"/>
      <c r="LU30" s="5"/>
      <c r="MD30" s="2"/>
      <c r="ME30" s="2"/>
      <c r="MG30" s="53">
        <v>14.5</v>
      </c>
      <c r="NB30" s="5"/>
      <c r="NC30" s="5"/>
      <c r="NL30" s="2"/>
      <c r="NM30" s="2"/>
      <c r="NO30" s="53">
        <v>14.5</v>
      </c>
      <c r="OJ30" s="5"/>
      <c r="OK30" s="5"/>
      <c r="OT30" s="2"/>
      <c r="OU30" s="2"/>
      <c r="OW30" s="53">
        <v>14.5</v>
      </c>
      <c r="PR30" s="5"/>
      <c r="PS30" s="5"/>
      <c r="QB30" s="2"/>
      <c r="QC30" s="2"/>
      <c r="QE30" s="53">
        <v>14.5</v>
      </c>
      <c r="QZ30" s="5"/>
      <c r="RA30" s="5"/>
      <c r="RJ30" s="2"/>
      <c r="RK30" s="2"/>
      <c r="RM30" s="53">
        <v>14.5</v>
      </c>
      <c r="SH30" s="5"/>
      <c r="SI30" s="5"/>
      <c r="SR30" s="2"/>
      <c r="SS30" s="2"/>
      <c r="SU30" s="53">
        <v>14.5</v>
      </c>
    </row>
    <row r="31" spans="1:542" hidden="1" x14ac:dyDescent="0.2">
      <c r="C31" s="30" t="s">
        <v>43</v>
      </c>
      <c r="D31" s="5"/>
      <c r="X31" s="2"/>
      <c r="AR31" s="41"/>
      <c r="AS31" s="41"/>
      <c r="AT31" s="41"/>
      <c r="AV31" s="32"/>
      <c r="AW31" s="32"/>
      <c r="AY31" s="54">
        <v>1000</v>
      </c>
      <c r="BS31" s="41"/>
      <c r="BT31" s="41"/>
      <c r="BU31" s="41"/>
      <c r="BW31" s="32"/>
      <c r="BX31" s="32"/>
      <c r="BZ31" s="54">
        <v>1000</v>
      </c>
      <c r="CT31" s="41"/>
      <c r="CU31" s="41"/>
      <c r="CV31" s="41"/>
      <c r="CX31" s="32"/>
      <c r="CY31" s="32"/>
      <c r="DA31" s="54">
        <v>1000</v>
      </c>
      <c r="DX31" s="5"/>
      <c r="DY31" s="5"/>
      <c r="EH31" s="2"/>
      <c r="EI31" s="2"/>
      <c r="EK31" s="54">
        <v>1000</v>
      </c>
      <c r="FF31" s="5"/>
      <c r="FG31" s="5"/>
      <c r="FP31" s="2"/>
      <c r="FQ31" s="2"/>
      <c r="FS31" s="54">
        <v>1000</v>
      </c>
      <c r="GN31" s="5"/>
      <c r="GO31" s="5"/>
      <c r="GX31" s="2"/>
      <c r="GY31" s="2"/>
      <c r="HA31" s="54">
        <v>1000</v>
      </c>
      <c r="HV31" s="5"/>
      <c r="HW31" s="5"/>
      <c r="IF31" s="2"/>
      <c r="IG31" s="2"/>
      <c r="II31" s="54">
        <v>1000</v>
      </c>
      <c r="JD31" s="5"/>
      <c r="JE31" s="5"/>
      <c r="JN31" s="2"/>
      <c r="JO31" s="2"/>
      <c r="JQ31" s="54">
        <v>1000</v>
      </c>
      <c r="KL31" s="5"/>
      <c r="KM31" s="5"/>
      <c r="KV31" s="2"/>
      <c r="KW31" s="2"/>
      <c r="KY31" s="54">
        <v>1000</v>
      </c>
      <c r="LT31" s="5"/>
      <c r="LU31" s="5"/>
      <c r="MD31" s="2"/>
      <c r="ME31" s="2"/>
      <c r="MG31" s="54">
        <v>1000</v>
      </c>
      <c r="NB31" s="5"/>
      <c r="NC31" s="5"/>
      <c r="NL31" s="2"/>
      <c r="NM31" s="2"/>
      <c r="NO31" s="54">
        <v>1000</v>
      </c>
      <c r="OJ31" s="5"/>
      <c r="OK31" s="5"/>
      <c r="OT31" s="2"/>
      <c r="OU31" s="2"/>
      <c r="OW31" s="54">
        <v>1000</v>
      </c>
      <c r="PR31" s="5"/>
      <c r="PS31" s="5"/>
      <c r="QB31" s="2"/>
      <c r="QC31" s="2"/>
      <c r="QE31" s="54">
        <v>1000</v>
      </c>
      <c r="QZ31" s="5"/>
      <c r="RA31" s="5"/>
      <c r="RJ31" s="2"/>
      <c r="RK31" s="2"/>
      <c r="RM31" s="54">
        <v>1000</v>
      </c>
      <c r="SH31" s="5"/>
      <c r="SI31" s="5"/>
      <c r="SR31" s="2"/>
      <c r="SS31" s="2"/>
      <c r="SU31" s="54">
        <v>1000</v>
      </c>
    </row>
    <row r="32" spans="1:542" hidden="1" x14ac:dyDescent="0.2">
      <c r="A32" s="5"/>
      <c r="B32" s="5"/>
      <c r="C32" s="31" t="s">
        <v>55</v>
      </c>
      <c r="D32" s="5"/>
      <c r="F32" s="2"/>
      <c r="G32" s="64"/>
      <c r="AR32" s="41"/>
      <c r="AS32" s="41"/>
      <c r="AT32" s="41"/>
      <c r="AU32" s="32"/>
      <c r="AV32" s="32"/>
      <c r="AW32" s="32"/>
      <c r="AX32" s="32"/>
      <c r="AY32" s="55">
        <v>1000</v>
      </c>
      <c r="BS32" s="41"/>
      <c r="BT32" s="41"/>
      <c r="BU32" s="41"/>
      <c r="BW32" s="32"/>
      <c r="BX32" s="32"/>
      <c r="BZ32" s="55">
        <v>1000</v>
      </c>
      <c r="CT32" s="41"/>
      <c r="CU32" s="41"/>
      <c r="CV32" s="41"/>
      <c r="CW32" s="32"/>
      <c r="CX32" s="32"/>
      <c r="CY32" s="32"/>
      <c r="CZ32" s="32"/>
      <c r="DA32" s="55">
        <v>1000</v>
      </c>
      <c r="DX32" s="5"/>
      <c r="DY32" s="5"/>
      <c r="EH32" s="2"/>
      <c r="EI32" s="2"/>
      <c r="EK32" s="55">
        <v>1000</v>
      </c>
      <c r="FF32" s="5"/>
      <c r="FG32" s="5"/>
      <c r="FP32" s="2"/>
      <c r="FQ32" s="2"/>
      <c r="FS32" s="55">
        <v>1000</v>
      </c>
      <c r="GN32" s="5"/>
      <c r="GO32" s="5"/>
      <c r="GX32" s="2"/>
      <c r="GY32" s="2"/>
      <c r="HA32" s="55">
        <v>1000</v>
      </c>
      <c r="HV32" s="5"/>
      <c r="HW32" s="5"/>
      <c r="IF32" s="2"/>
      <c r="IG32" s="2"/>
      <c r="II32" s="55">
        <v>1000</v>
      </c>
      <c r="JD32" s="5"/>
      <c r="JE32" s="5"/>
      <c r="JN32" s="2"/>
      <c r="JO32" s="2"/>
      <c r="JQ32" s="55">
        <v>1000</v>
      </c>
      <c r="KL32" s="5"/>
      <c r="KM32" s="5"/>
      <c r="KV32" s="2"/>
      <c r="KW32" s="2"/>
      <c r="KY32" s="55">
        <v>1000</v>
      </c>
      <c r="LT32" s="5"/>
      <c r="LU32" s="5"/>
      <c r="MD32" s="2"/>
      <c r="ME32" s="2"/>
      <c r="MG32" s="55">
        <v>1000</v>
      </c>
      <c r="NB32" s="5"/>
      <c r="NC32" s="5"/>
      <c r="NL32" s="2"/>
      <c r="NM32" s="2"/>
      <c r="NO32" s="55">
        <v>1000</v>
      </c>
      <c r="OJ32" s="5"/>
      <c r="OK32" s="5"/>
      <c r="OT32" s="2"/>
      <c r="OU32" s="2"/>
      <c r="OW32" s="55">
        <v>1000</v>
      </c>
      <c r="PR32" s="5"/>
      <c r="PS32" s="5"/>
      <c r="QB32" s="2"/>
      <c r="QC32" s="2"/>
      <c r="QE32" s="55">
        <v>1000</v>
      </c>
      <c r="QZ32" s="5"/>
      <c r="RA32" s="5"/>
      <c r="RJ32" s="2"/>
      <c r="RK32" s="2"/>
      <c r="RM32" s="55">
        <v>1000</v>
      </c>
      <c r="SH32" s="5"/>
      <c r="SI32" s="5"/>
      <c r="SR32" s="2"/>
      <c r="SS32" s="2"/>
      <c r="SU32" s="55">
        <v>1000</v>
      </c>
    </row>
    <row r="33" spans="1:515" hidden="1" x14ac:dyDescent="0.2">
      <c r="A33" s="5"/>
      <c r="B33" s="5"/>
      <c r="C33" s="35" t="s">
        <v>60</v>
      </c>
      <c r="D33" s="5"/>
      <c r="F33" s="2"/>
      <c r="G33" s="64"/>
      <c r="AR33" s="41"/>
      <c r="AS33" s="41"/>
      <c r="AT33" s="41"/>
      <c r="AU33" s="32"/>
      <c r="AV33" s="32"/>
      <c r="AW33" s="32"/>
      <c r="AX33" s="32"/>
      <c r="AY33" s="56">
        <v>1000</v>
      </c>
      <c r="BS33" s="41"/>
      <c r="BT33" s="41"/>
      <c r="BU33" s="41"/>
      <c r="BW33" s="32"/>
      <c r="BX33" s="32"/>
      <c r="BZ33" s="56">
        <v>1000</v>
      </c>
      <c r="CT33" s="41"/>
      <c r="CU33" s="41"/>
      <c r="CV33" s="41"/>
      <c r="CW33" s="32"/>
      <c r="CX33" s="32"/>
      <c r="CY33" s="32"/>
      <c r="CZ33" s="32"/>
      <c r="DA33" s="56">
        <v>1000</v>
      </c>
      <c r="DX33" s="5"/>
      <c r="DY33" s="5"/>
      <c r="EH33" s="2"/>
      <c r="EI33" s="2"/>
      <c r="EK33" s="56">
        <v>1000</v>
      </c>
      <c r="FF33" s="5"/>
      <c r="FG33" s="5"/>
      <c r="FP33" s="2"/>
      <c r="FQ33" s="2"/>
      <c r="FS33" s="56">
        <v>1000</v>
      </c>
      <c r="GN33" s="5"/>
      <c r="GO33" s="5"/>
      <c r="GX33" s="2"/>
      <c r="GY33" s="2"/>
      <c r="HA33" s="56">
        <v>1000</v>
      </c>
      <c r="HV33" s="5"/>
      <c r="HW33" s="5"/>
      <c r="IF33" s="2"/>
      <c r="IG33" s="2"/>
      <c r="II33" s="56">
        <v>1000</v>
      </c>
      <c r="JD33" s="5"/>
      <c r="JE33" s="5"/>
      <c r="JN33" s="2"/>
      <c r="JO33" s="2"/>
      <c r="JQ33" s="56">
        <v>1000</v>
      </c>
      <c r="KL33" s="5"/>
      <c r="KM33" s="5"/>
      <c r="KV33" s="2"/>
      <c r="KW33" s="2"/>
      <c r="KY33" s="56">
        <v>1000</v>
      </c>
      <c r="LT33" s="5"/>
      <c r="LU33" s="5"/>
      <c r="MD33" s="2"/>
      <c r="ME33" s="2"/>
      <c r="MG33" s="56">
        <v>1000</v>
      </c>
      <c r="NB33" s="5"/>
      <c r="NC33" s="5"/>
      <c r="NL33" s="2"/>
      <c r="NM33" s="2"/>
      <c r="NO33" s="56">
        <v>1000</v>
      </c>
      <c r="OJ33" s="5"/>
      <c r="OK33" s="5"/>
      <c r="OT33" s="2"/>
      <c r="OU33" s="2"/>
      <c r="OW33" s="56">
        <v>1000</v>
      </c>
      <c r="PR33" s="5"/>
      <c r="PS33" s="5"/>
      <c r="QB33" s="2"/>
      <c r="QC33" s="2"/>
      <c r="QE33" s="56">
        <v>1000</v>
      </c>
      <c r="QZ33" s="5"/>
      <c r="RA33" s="5"/>
      <c r="RJ33" s="2"/>
      <c r="RK33" s="2"/>
      <c r="RM33" s="56">
        <v>1000</v>
      </c>
      <c r="SH33" s="5"/>
      <c r="SI33" s="5"/>
      <c r="SR33" s="2"/>
      <c r="SS33" s="2"/>
      <c r="SU33" s="56">
        <v>1000</v>
      </c>
    </row>
    <row r="34" spans="1:515" x14ac:dyDescent="0.2">
      <c r="A34" s="5"/>
      <c r="B34" s="5"/>
      <c r="C34" s="34" t="s">
        <v>41</v>
      </c>
      <c r="D34" s="5"/>
      <c r="AR34" s="41"/>
      <c r="AS34" s="41"/>
      <c r="AT34" s="41"/>
      <c r="AU34" s="32"/>
      <c r="AV34" s="32"/>
      <c r="AW34" s="32"/>
      <c r="AX34" s="32"/>
      <c r="AY34" s="57">
        <v>52.8</v>
      </c>
      <c r="BS34" s="41"/>
      <c r="BT34" s="41"/>
      <c r="BU34" s="41"/>
      <c r="BW34" s="32"/>
      <c r="BX34" s="32"/>
      <c r="BZ34" s="57">
        <v>54</v>
      </c>
      <c r="CT34" s="41"/>
      <c r="CU34" s="41"/>
      <c r="CV34" s="41"/>
      <c r="CW34" s="32"/>
      <c r="CX34" s="32"/>
      <c r="CY34" s="32"/>
      <c r="CZ34" s="32"/>
      <c r="DA34" s="57">
        <v>54</v>
      </c>
      <c r="DX34" s="5"/>
      <c r="DY34" s="5"/>
      <c r="EH34" s="2"/>
      <c r="EI34" s="2"/>
      <c r="EK34" s="57">
        <v>52.8</v>
      </c>
      <c r="FF34" s="5"/>
      <c r="FG34" s="5"/>
      <c r="FP34" s="2"/>
      <c r="FQ34" s="2"/>
      <c r="FS34" s="57">
        <v>52.8</v>
      </c>
      <c r="GN34" s="5"/>
      <c r="GO34" s="5"/>
      <c r="GX34" s="2"/>
      <c r="GY34" s="2"/>
      <c r="HA34" s="57">
        <v>52.8</v>
      </c>
      <c r="HV34" s="5"/>
      <c r="HW34" s="5"/>
      <c r="IF34" s="2"/>
      <c r="IG34" s="2"/>
      <c r="II34" s="57">
        <v>54</v>
      </c>
      <c r="JD34" s="5"/>
      <c r="JE34" s="5"/>
      <c r="JN34" s="2"/>
      <c r="JO34" s="2"/>
      <c r="JQ34" s="57">
        <v>54</v>
      </c>
      <c r="KL34" s="5"/>
      <c r="KM34" s="5"/>
      <c r="KV34" s="2"/>
      <c r="KW34" s="2"/>
      <c r="KY34" s="57">
        <v>54</v>
      </c>
      <c r="LT34" s="5"/>
      <c r="LU34" s="5"/>
      <c r="MD34" s="2"/>
      <c r="ME34" s="2"/>
      <c r="MG34" s="57">
        <v>54</v>
      </c>
      <c r="NB34" s="5"/>
      <c r="NC34" s="5"/>
      <c r="NL34" s="2"/>
      <c r="NM34" s="2"/>
      <c r="NO34" s="57">
        <v>54</v>
      </c>
      <c r="OJ34" s="5"/>
      <c r="OK34" s="5"/>
      <c r="OT34" s="2"/>
      <c r="OU34" s="2"/>
      <c r="OW34" s="57">
        <v>54</v>
      </c>
      <c r="PR34" s="5"/>
      <c r="PS34" s="5"/>
      <c r="QB34" s="2"/>
      <c r="QC34" s="2"/>
      <c r="QE34" s="57">
        <v>54</v>
      </c>
      <c r="QZ34" s="5"/>
      <c r="RA34" s="5"/>
      <c r="RJ34" s="2"/>
      <c r="RK34" s="2"/>
      <c r="RM34" s="57">
        <v>54</v>
      </c>
      <c r="SH34" s="5"/>
      <c r="SI34" s="5"/>
      <c r="SR34" s="2"/>
      <c r="SS34" s="2"/>
      <c r="SU34" s="57">
        <v>54</v>
      </c>
    </row>
    <row r="35" spans="1:515" hidden="1" x14ac:dyDescent="0.2">
      <c r="A35" s="5"/>
      <c r="B35" s="5"/>
      <c r="C35" s="24" t="s">
        <v>42</v>
      </c>
      <c r="D35" s="5"/>
      <c r="AR35" s="41"/>
      <c r="AS35" s="41"/>
      <c r="AT35" s="41"/>
      <c r="AU35" s="32"/>
      <c r="AV35" s="32"/>
      <c r="AW35" s="32"/>
      <c r="AX35" s="32"/>
      <c r="AY35" s="58">
        <v>1000</v>
      </c>
      <c r="BS35" s="41"/>
      <c r="BT35" s="41"/>
      <c r="BU35" s="41"/>
      <c r="BW35" s="32"/>
      <c r="BX35" s="32"/>
      <c r="BZ35" s="58">
        <v>1000</v>
      </c>
      <c r="CT35" s="41"/>
      <c r="CU35" s="41"/>
      <c r="CV35" s="41"/>
      <c r="CW35" s="32"/>
      <c r="CX35" s="32"/>
      <c r="CY35" s="32"/>
      <c r="CZ35" s="32"/>
      <c r="DA35" s="58">
        <v>1000</v>
      </c>
      <c r="DX35" s="5"/>
      <c r="DY35" s="5"/>
      <c r="EH35" s="2"/>
      <c r="EI35" s="2"/>
      <c r="EK35" s="58">
        <v>1000</v>
      </c>
      <c r="FF35" s="5"/>
      <c r="FG35" s="5"/>
      <c r="FP35" s="2"/>
      <c r="FQ35" s="2"/>
      <c r="FS35" s="58">
        <v>1000</v>
      </c>
      <c r="GN35" s="5"/>
      <c r="GO35" s="5"/>
      <c r="GX35" s="2"/>
      <c r="GY35" s="2"/>
      <c r="HA35" s="58">
        <v>1000</v>
      </c>
      <c r="HV35" s="5"/>
      <c r="HW35" s="5"/>
      <c r="IF35" s="2"/>
      <c r="IG35" s="2"/>
      <c r="II35" s="58">
        <v>1000</v>
      </c>
      <c r="JD35" s="5"/>
      <c r="JE35" s="5"/>
      <c r="JN35" s="2"/>
      <c r="JO35" s="2"/>
      <c r="JQ35" s="58">
        <v>1000</v>
      </c>
      <c r="KL35" s="5"/>
      <c r="KM35" s="5"/>
      <c r="KV35" s="2"/>
      <c r="KW35" s="2"/>
      <c r="KY35" s="58">
        <v>1000</v>
      </c>
      <c r="LT35" s="5"/>
      <c r="LU35" s="5"/>
      <c r="MD35" s="2"/>
      <c r="ME35" s="2"/>
      <c r="MG35" s="58">
        <v>1000</v>
      </c>
      <c r="NB35" s="5"/>
      <c r="NC35" s="5"/>
      <c r="NL35" s="2"/>
      <c r="NM35" s="2"/>
      <c r="NO35" s="58">
        <v>1000</v>
      </c>
      <c r="OJ35" s="5"/>
      <c r="OK35" s="5"/>
      <c r="OT35" s="2"/>
      <c r="OU35" s="2"/>
      <c r="OW35" s="58">
        <v>1000</v>
      </c>
      <c r="PR35" s="5"/>
      <c r="PS35" s="5"/>
      <c r="QB35" s="2"/>
      <c r="QC35" s="2"/>
      <c r="QE35" s="58">
        <v>1000</v>
      </c>
      <c r="QZ35" s="5"/>
      <c r="RA35" s="5"/>
      <c r="RJ35" s="2"/>
      <c r="RK35" s="2"/>
      <c r="RM35" s="58">
        <v>1000</v>
      </c>
      <c r="SH35" s="5"/>
      <c r="SI35" s="5"/>
      <c r="SR35" s="2"/>
      <c r="SS35" s="2"/>
      <c r="SU35" s="58">
        <v>1000</v>
      </c>
    </row>
    <row r="36" spans="1:515" hidden="1" x14ac:dyDescent="0.2">
      <c r="A36" s="5"/>
      <c r="B36" s="5"/>
      <c r="C36" s="33" t="s">
        <v>54</v>
      </c>
      <c r="D36" s="5"/>
      <c r="AR36" s="41"/>
      <c r="AS36" s="41"/>
      <c r="AT36" s="41"/>
      <c r="AU36" s="32"/>
      <c r="AV36" s="32"/>
      <c r="AW36" s="32"/>
      <c r="AX36" s="32"/>
      <c r="AY36" s="59">
        <v>1000</v>
      </c>
      <c r="BS36" s="41"/>
      <c r="BT36" s="41"/>
      <c r="BU36" s="41"/>
      <c r="BW36" s="32"/>
      <c r="BX36" s="32"/>
      <c r="BZ36" s="59">
        <v>1000</v>
      </c>
      <c r="CT36" s="41"/>
      <c r="CU36" s="41"/>
      <c r="CV36" s="41"/>
      <c r="CW36" s="32"/>
      <c r="CX36" s="32"/>
      <c r="CY36" s="32"/>
      <c r="CZ36" s="32"/>
      <c r="DA36" s="59">
        <v>1000</v>
      </c>
      <c r="DX36" s="5"/>
      <c r="DY36" s="5"/>
      <c r="EH36" s="2"/>
      <c r="EI36" s="2"/>
      <c r="EJ36" s="37"/>
      <c r="EK36" s="59">
        <v>1000</v>
      </c>
      <c r="FF36" s="5"/>
      <c r="FG36" s="5"/>
      <c r="FP36" s="2"/>
      <c r="FQ36" s="2"/>
      <c r="FR36" s="37"/>
      <c r="FS36" s="59">
        <v>1000</v>
      </c>
      <c r="GN36" s="5"/>
      <c r="GO36" s="5"/>
      <c r="GX36" s="2"/>
      <c r="GY36" s="2"/>
      <c r="GZ36" s="37"/>
      <c r="HA36" s="59">
        <v>1000</v>
      </c>
      <c r="HV36" s="5"/>
      <c r="HW36" s="5"/>
      <c r="IF36" s="2"/>
      <c r="IG36" s="2"/>
      <c r="IH36" s="37"/>
      <c r="II36" s="59">
        <v>1000</v>
      </c>
      <c r="JD36" s="5"/>
      <c r="JE36" s="5"/>
      <c r="JN36" s="2"/>
      <c r="JO36" s="2"/>
      <c r="JP36" s="37"/>
      <c r="JQ36" s="59">
        <v>1000</v>
      </c>
      <c r="KL36" s="5"/>
      <c r="KM36" s="5"/>
      <c r="KV36" s="2"/>
      <c r="KW36" s="2"/>
      <c r="KX36" s="37"/>
      <c r="KY36" s="59">
        <v>1000</v>
      </c>
      <c r="LT36" s="5"/>
      <c r="LU36" s="5"/>
      <c r="MD36" s="2"/>
      <c r="ME36" s="2"/>
      <c r="MF36" s="37"/>
      <c r="MG36" s="59">
        <v>1000</v>
      </c>
      <c r="NB36" s="5"/>
      <c r="NC36" s="5"/>
      <c r="NL36" s="2"/>
      <c r="NM36" s="2"/>
      <c r="NN36" s="37"/>
      <c r="NO36" s="59">
        <v>1000</v>
      </c>
      <c r="OJ36" s="5"/>
      <c r="OK36" s="5"/>
      <c r="OT36" s="2"/>
      <c r="OU36" s="2"/>
      <c r="OV36" s="37"/>
      <c r="OW36" s="59">
        <v>1000</v>
      </c>
      <c r="PR36" s="5"/>
      <c r="PS36" s="5"/>
      <c r="QB36" s="2"/>
      <c r="QC36" s="2"/>
      <c r="QD36" s="37"/>
      <c r="QE36" s="59">
        <v>1000</v>
      </c>
      <c r="QZ36" s="5"/>
      <c r="RA36" s="5"/>
      <c r="RJ36" s="2"/>
      <c r="RK36" s="2"/>
      <c r="RL36" s="37"/>
      <c r="RM36" s="59">
        <v>1000</v>
      </c>
      <c r="SH36" s="5"/>
      <c r="SI36" s="5"/>
      <c r="SR36" s="2"/>
      <c r="SS36" s="2"/>
      <c r="ST36" s="37"/>
      <c r="SU36" s="59">
        <v>1000</v>
      </c>
    </row>
    <row r="37" spans="1:515" hidden="1" x14ac:dyDescent="0.2">
      <c r="A37" s="5"/>
      <c r="B37" s="5"/>
      <c r="C37" s="25" t="s">
        <v>27</v>
      </c>
      <c r="D37" s="5"/>
      <c r="AR37" s="41"/>
      <c r="AS37" s="41"/>
      <c r="AT37" s="41"/>
      <c r="AU37" s="32"/>
      <c r="AV37" s="41"/>
      <c r="AW37" s="41"/>
      <c r="AX37" s="32"/>
      <c r="AY37" s="60">
        <v>1000</v>
      </c>
      <c r="BS37" s="41"/>
      <c r="BT37" s="41"/>
      <c r="BU37" s="41"/>
      <c r="BW37" s="41"/>
      <c r="BX37" s="32"/>
      <c r="BZ37" s="60">
        <v>1000</v>
      </c>
      <c r="CT37" s="41"/>
      <c r="CU37" s="41"/>
      <c r="CV37" s="41"/>
      <c r="CW37" s="32"/>
      <c r="CX37" s="41"/>
      <c r="CY37" s="32"/>
      <c r="CZ37" s="32"/>
      <c r="DA37" s="60">
        <v>1000</v>
      </c>
      <c r="DX37" s="5"/>
      <c r="DY37" s="5"/>
      <c r="EH37" s="41"/>
      <c r="EI37" s="2"/>
      <c r="EK37" s="60">
        <v>1000</v>
      </c>
      <c r="FF37" s="5"/>
      <c r="FG37" s="5"/>
      <c r="FP37" s="41"/>
      <c r="FQ37" s="2"/>
      <c r="FS37" s="60">
        <v>1000</v>
      </c>
      <c r="GN37" s="5"/>
      <c r="GO37" s="5"/>
      <c r="GX37" s="2"/>
      <c r="GY37" s="2"/>
      <c r="HA37" s="60">
        <v>1000</v>
      </c>
      <c r="HV37" s="5"/>
      <c r="HW37" s="5"/>
      <c r="IF37" s="41"/>
      <c r="IG37" s="2"/>
      <c r="II37" s="60">
        <v>1000</v>
      </c>
      <c r="JD37" s="5"/>
      <c r="JE37" s="5"/>
      <c r="JN37" s="2"/>
      <c r="JO37" s="2"/>
      <c r="JQ37" s="60">
        <v>1000</v>
      </c>
      <c r="KL37" s="5"/>
      <c r="KM37" s="5"/>
      <c r="KV37" s="2"/>
      <c r="KW37" s="2"/>
      <c r="KY37" s="60">
        <v>1000</v>
      </c>
      <c r="LT37" s="5"/>
      <c r="LU37" s="5"/>
      <c r="MD37" s="2"/>
      <c r="ME37" s="2"/>
      <c r="MG37" s="60">
        <v>1000</v>
      </c>
      <c r="NB37" s="5"/>
      <c r="NC37" s="5"/>
      <c r="NL37" s="2"/>
      <c r="NM37" s="2"/>
      <c r="NO37" s="60">
        <v>1000</v>
      </c>
      <c r="OJ37" s="5"/>
      <c r="OK37" s="5"/>
      <c r="OT37" s="2"/>
      <c r="OU37" s="2"/>
      <c r="OW37" s="60">
        <v>1000</v>
      </c>
      <c r="PR37" s="5"/>
      <c r="PS37" s="5"/>
      <c r="QB37" s="2"/>
      <c r="QC37" s="2"/>
      <c r="QE37" s="60">
        <v>1000</v>
      </c>
      <c r="QZ37" s="5"/>
      <c r="RA37" s="5"/>
      <c r="RJ37" s="2"/>
      <c r="RK37" s="2"/>
      <c r="RM37" s="60">
        <v>1000</v>
      </c>
      <c r="SH37" s="5"/>
      <c r="SI37" s="5"/>
      <c r="SR37" s="2"/>
      <c r="SS37" s="2"/>
      <c r="SU37" s="60">
        <v>1000</v>
      </c>
    </row>
    <row r="38" spans="1:515" x14ac:dyDescent="0.2">
      <c r="C38" s="29" t="s">
        <v>47</v>
      </c>
      <c r="D38" s="2"/>
      <c r="AU38" s="32"/>
      <c r="AX38" s="32"/>
      <c r="CW38" s="32"/>
      <c r="CZ38" s="32"/>
    </row>
    <row r="39" spans="1:515" x14ac:dyDescent="0.2">
      <c r="A39" s="5"/>
      <c r="B39" s="5"/>
      <c r="C39" s="5"/>
      <c r="D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A40" s="5"/>
      <c r="B40" s="5"/>
      <c r="C40" s="5"/>
      <c r="D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A41" s="5"/>
      <c r="B41" s="5"/>
      <c r="C41" s="5"/>
      <c r="D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5">
      <sortCondition descending="1" ref="H1:H36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7">
    <cfRule type="expression" dxfId="434" priority="51275" stopIfTrue="1">
      <formula>IF($AN4&lt;&gt;"",1,0)</formula>
    </cfRule>
  </conditionalFormatting>
  <conditionalFormatting sqref="AZ4:BZ27">
    <cfRule type="expression" dxfId="433" priority="210" stopIfTrue="1">
      <formula>IF($BO4&lt;&gt;"",1,0)</formula>
    </cfRule>
  </conditionalFormatting>
  <conditionalFormatting sqref="CA4:DA27">
    <cfRule type="expression" dxfId="432" priority="206" stopIfTrue="1">
      <formula>IF($CP4&lt;&gt;"",1,0)</formula>
    </cfRule>
  </conditionalFormatting>
  <conditionalFormatting sqref="BW38:BW1048576 BP1:BP1048576 BS1:BS1048576 BW1:BW36">
    <cfRule type="cellIs" dxfId="431" priority="52632" operator="between">
      <formula>$BZ$33</formula>
      <formula>1000</formula>
    </cfRule>
    <cfRule type="cellIs" dxfId="430" priority="52633" operator="between">
      <formula>$BZ$32</formula>
      <formula>$BZ$33</formula>
    </cfRule>
    <cfRule type="cellIs" dxfId="429" priority="52634" operator="between">
      <formula>$BZ$31</formula>
      <formula>$BZ$32</formula>
    </cfRule>
    <cfRule type="cellIs" dxfId="428" priority="52635" operator="between">
      <formula>$BZ$30</formula>
      <formula>$BZ$31</formula>
    </cfRule>
  </conditionalFormatting>
  <conditionalFormatting sqref="CX38:CX1048576 CQ1:CQ1048576 CT1:CT1048576 CX1:CX36">
    <cfRule type="cellIs" dxfId="427" priority="51509" operator="between">
      <formula>$DA$33</formula>
      <formula>1000</formula>
    </cfRule>
    <cfRule type="cellIs" dxfId="426" priority="51510" operator="between">
      <formula>$DA$32</formula>
      <formula>$DA$33</formula>
    </cfRule>
    <cfRule type="cellIs" dxfId="425" priority="51511" operator="between">
      <formula>$DA$31</formula>
      <formula>$DA$32</formula>
    </cfRule>
    <cfRule type="cellIs" dxfId="424" priority="51512" operator="between">
      <formula>$DA$30</formula>
      <formula>$DA$31</formula>
    </cfRule>
  </conditionalFormatting>
  <conditionalFormatting sqref="EH38:EH1048576 DX1:DX1048576 EA1:EA1048576 EE1:EE1048576 EH1:EH36">
    <cfRule type="cellIs" dxfId="423" priority="52660" operator="between">
      <formula>$EK$33</formula>
      <formula>1000</formula>
    </cfRule>
    <cfRule type="cellIs" dxfId="422" priority="52661" operator="between">
      <formula>$EK$32</formula>
      <formula>$EK$33</formula>
    </cfRule>
    <cfRule type="cellIs" dxfId="421" priority="52662" operator="between">
      <formula>$EK$31</formula>
      <formula>$EK$32</formula>
    </cfRule>
    <cfRule type="cellIs" dxfId="420" priority="52663" operator="between">
      <formula>$EK$30</formula>
      <formula>$EK$31</formula>
    </cfRule>
  </conditionalFormatting>
  <conditionalFormatting sqref="FP38:FP1048576 FF1:FF1048576 FI1:FI1048576 FM1:FM1048576 FP1:FP36">
    <cfRule type="cellIs" dxfId="419" priority="190" operator="between">
      <formula>$FS$33</formula>
      <formula>1000</formula>
    </cfRule>
    <cfRule type="cellIs" dxfId="418" priority="191" operator="between">
      <formula>$FS$32</formula>
      <formula>$FS$33</formula>
    </cfRule>
    <cfRule type="cellIs" dxfId="417" priority="192" operator="between">
      <formula>$FS$31</formula>
      <formula>$FS$32</formula>
    </cfRule>
    <cfRule type="cellIs" dxfId="416" priority="193" operator="between">
      <formula>$FS$30</formula>
      <formula>$FS$31</formula>
    </cfRule>
  </conditionalFormatting>
  <conditionalFormatting sqref="IF38:IF1048576 HV1:HV1048576 HY1:HY1048576 IC1:IC1048576 IF1:IF36">
    <cfRule type="cellIs" dxfId="415" priority="158" operator="between">
      <formula>$II$33</formula>
      <formula>1000</formula>
    </cfRule>
    <cfRule type="cellIs" dxfId="414" priority="159" operator="between">
      <formula>$II$32</formula>
      <formula>$II$33</formula>
    </cfRule>
    <cfRule type="cellIs" dxfId="413" priority="160" operator="between">
      <formula>$II$31</formula>
      <formula>$II$32</formula>
    </cfRule>
    <cfRule type="cellIs" dxfId="412" priority="161" operator="between">
      <formula>$II$30</formula>
      <formula>$II$31</formula>
    </cfRule>
  </conditionalFormatting>
  <conditionalFormatting sqref="AW37 AO1:AO1048576 AR1:AR1048576 AV1:AV1048576">
    <cfRule type="cellIs" dxfId="411" priority="22" operator="between">
      <formula>$AY$33</formula>
      <formula>1000</formula>
    </cfRule>
    <cfRule type="cellIs" dxfId="410" priority="23" operator="between">
      <formula>$AY$32</formula>
      <formula>$AY$33</formula>
    </cfRule>
    <cfRule type="cellIs" dxfId="409" priority="24" operator="between">
      <formula>$AY$31</formula>
      <formula>$AY$32</formula>
    </cfRule>
    <cfRule type="cellIs" dxfId="408" priority="25" operator="between">
      <formula>$AY$30</formula>
      <formula>$AY$31</formula>
    </cfRule>
  </conditionalFormatting>
  <conditionalFormatting sqref="BW37">
    <cfRule type="cellIs" dxfId="407" priority="18" operator="between">
      <formula>$AY$33</formula>
      <formula>1000</formula>
    </cfRule>
    <cfRule type="cellIs" dxfId="406" priority="19" operator="between">
      <formula>$AY$32</formula>
      <formula>$AY$33</formula>
    </cfRule>
    <cfRule type="cellIs" dxfId="405" priority="20" operator="between">
      <formula>$AY$31</formula>
      <formula>$AY$32</formula>
    </cfRule>
    <cfRule type="cellIs" dxfId="404" priority="21" operator="between">
      <formula>$AY$30</formula>
      <formula>$AY$31</formula>
    </cfRule>
  </conditionalFormatting>
  <conditionalFormatting sqref="CX37">
    <cfRule type="cellIs" dxfId="403" priority="14" operator="between">
      <formula>$AY$33</formula>
      <formula>1000</formula>
    </cfRule>
    <cfRule type="cellIs" dxfId="402" priority="15" operator="between">
      <formula>$AY$32</formula>
      <formula>$AY$33</formula>
    </cfRule>
    <cfRule type="cellIs" dxfId="401" priority="16" operator="between">
      <formula>$AY$31</formula>
      <formula>$AY$32</formula>
    </cfRule>
    <cfRule type="cellIs" dxfId="400" priority="17" operator="between">
      <formula>$AY$30</formula>
      <formula>$AY$31</formula>
    </cfRule>
  </conditionalFormatting>
  <conditionalFormatting sqref="EH37">
    <cfRule type="cellIs" dxfId="399" priority="10" operator="between">
      <formula>$AY$33</formula>
      <formula>1000</formula>
    </cfRule>
    <cfRule type="cellIs" dxfId="398" priority="11" operator="between">
      <formula>$AY$32</formula>
      <formula>$AY$33</formula>
    </cfRule>
    <cfRule type="cellIs" dxfId="397" priority="12" operator="between">
      <formula>$AY$31</formula>
      <formula>$AY$32</formula>
    </cfRule>
    <cfRule type="cellIs" dxfId="396" priority="13" operator="between">
      <formula>$AY$30</formula>
      <formula>$AY$31</formula>
    </cfRule>
  </conditionalFormatting>
  <conditionalFormatting sqref="FP37">
    <cfRule type="cellIs" dxfId="395" priority="6" operator="between">
      <formula>$AY$33</formula>
      <formula>1000</formula>
    </cfRule>
    <cfRule type="cellIs" dxfId="394" priority="7" operator="between">
      <formula>$AY$32</formula>
      <formula>$AY$33</formula>
    </cfRule>
    <cfRule type="cellIs" dxfId="393" priority="8" operator="between">
      <formula>$AY$31</formula>
      <formula>$AY$32</formula>
    </cfRule>
    <cfRule type="cellIs" dxfId="392" priority="9" operator="between">
      <formula>$AY$30</formula>
      <formula>$AY$31</formula>
    </cfRule>
  </conditionalFormatting>
  <conditionalFormatting sqref="IF37">
    <cfRule type="cellIs" dxfId="391" priority="2" operator="between">
      <formula>$AY$33</formula>
      <formula>1000</formula>
    </cfRule>
    <cfRule type="cellIs" dxfId="390" priority="3" operator="between">
      <formula>$AY$32</formula>
      <formula>$AY$33</formula>
    </cfRule>
    <cfRule type="cellIs" dxfId="389" priority="4" operator="between">
      <formula>$AY$31</formula>
      <formula>$AY$32</formula>
    </cfRule>
    <cfRule type="cellIs" dxfId="388" priority="5" operator="between">
      <formula>$AY$30</formula>
      <formula>$AY$31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14567" operator="between">
      <formula>AY$37</formula>
      <formula>1000</formula>
    </cfRule>
    <cfRule type="cellIs" dxfId="381" priority="21456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14579" operator="between">
      <formula>EK$37</formula>
      <formula>1000</formula>
    </cfRule>
    <cfRule type="cellIs" dxfId="379" priority="214580" operator="between">
      <formula>EK$36</formula>
      <formula>EK$37</formula>
    </cfRule>
  </conditionalFormatting>
  <conditionalFormatting sqref="AQ1:AQ1048576 AT1:AT1048576 AX1:AX1048576">
    <cfRule type="cellIs" dxfId="378" priority="214651" operator="between">
      <formula>$AY$37</formula>
      <formula>1000</formula>
    </cfRule>
    <cfRule type="cellIs" dxfId="377" priority="214652" operator="between">
      <formula>$AY$36</formula>
      <formula>$AY$37</formula>
    </cfRule>
    <cfRule type="cellIs" dxfId="376" priority="214653" operator="between">
      <formula>$AY$35</formula>
      <formula>$AY$36</formula>
    </cfRule>
    <cfRule type="cellIs" dxfId="375" priority="214654" operator="between">
      <formula>$AY$34</formula>
      <formula>$AY$35</formula>
    </cfRule>
  </conditionalFormatting>
  <conditionalFormatting sqref="BR1:BR1048576 BU1:BU1048576 BY1:BY1048576">
    <cfRule type="cellIs" dxfId="374" priority="214687" operator="between">
      <formula>$BZ$37</formula>
      <formula>1000</formula>
    </cfRule>
    <cfRule type="cellIs" dxfId="373" priority="214688" operator="between">
      <formula>$BZ$36</formula>
      <formula>$BZ$37</formula>
    </cfRule>
    <cfRule type="cellIs" dxfId="372" priority="214689" operator="between">
      <formula>$BZ$35</formula>
      <formula>$BZ$36</formula>
    </cfRule>
    <cfRule type="cellIs" dxfId="371" priority="214690" operator="between">
      <formula>$BZ$34</formula>
      <formula>$BZ$35</formula>
    </cfRule>
  </conditionalFormatting>
  <conditionalFormatting sqref="CS1:CS1048576 CV1:CV1048576 CZ1:CZ1048576">
    <cfRule type="cellIs" dxfId="370" priority="214723" operator="between">
      <formula>$DA$37</formula>
      <formula>1000</formula>
    </cfRule>
    <cfRule type="cellIs" dxfId="369" priority="214724" operator="between">
      <formula>$DA$36</formula>
      <formula>$DA$37</formula>
    </cfRule>
    <cfRule type="cellIs" dxfId="368" priority="214725" operator="between">
      <formula>$DA$35</formula>
      <formula>$DA$36</formula>
    </cfRule>
    <cfRule type="cellIs" dxfId="367" priority="214726" operator="between">
      <formula>$DA$34</formula>
      <formula>$DA$35</formula>
    </cfRule>
  </conditionalFormatting>
  <conditionalFormatting sqref="NB1:NB1048576 NE1:NE1048576 NI1:NI1048576 NL1:NL1048576">
    <cfRule type="cellIs" dxfId="366" priority="214759" operator="between">
      <formula>$NO$30</formula>
      <formula>$NO$31</formula>
    </cfRule>
  </conditionalFormatting>
  <conditionalFormatting sqref="DZ1:DZ1048576 EC1:EC1048576 EG1:EG1048576 EJ1:EJ1048576">
    <cfRule type="cellIs" dxfId="365" priority="214771" operator="between">
      <formula>$EK$37</formula>
      <formula>1000</formula>
    </cfRule>
    <cfRule type="cellIs" dxfId="364" priority="214772" operator="between">
      <formula>$EK$36</formula>
      <formula>$EK$37</formula>
    </cfRule>
    <cfRule type="cellIs" dxfId="363" priority="214773" operator="between">
      <formula>$EK$35</formula>
      <formula>$EK$36</formula>
    </cfRule>
    <cfRule type="cellIs" dxfId="362" priority="214774" operator="between">
      <formula>$EK$34</formula>
      <formula>$EK$35</formula>
    </cfRule>
  </conditionalFormatting>
  <conditionalFormatting sqref="FH1:FH1048576 FK1:FK1048576 FO1:FO1048576 FR1:FR1048576">
    <cfRule type="cellIs" dxfId="361" priority="214819" operator="between">
      <formula>$FS$37</formula>
      <formula>1000</formula>
    </cfRule>
    <cfRule type="cellIs" dxfId="360" priority="214820" operator="between">
      <formula>$FS$36</formula>
      <formula>$FS$37</formula>
    </cfRule>
    <cfRule type="cellIs" dxfId="359" priority="214821" operator="between">
      <formula>$FS$35</formula>
      <formula>$FS$36</formula>
    </cfRule>
    <cfRule type="cellIs" dxfId="358" priority="214822" operator="between">
      <formula>$FS$34</formula>
      <formula>$FS$35</formula>
    </cfRule>
  </conditionalFormatting>
  <conditionalFormatting sqref="GN1:GN1048576 GQ1:GQ1048576 GU1:GU1048576 GX1:GX1048576">
    <cfRule type="cellIs" dxfId="357" priority="214867" operator="between">
      <formula>$HA$33</formula>
      <formula>1000</formula>
    </cfRule>
    <cfRule type="cellIs" dxfId="356" priority="214868" operator="between">
      <formula>$HA$32</formula>
      <formula>$HA$33</formula>
    </cfRule>
    <cfRule type="cellIs" dxfId="355" priority="214869" operator="between">
      <formula>$HA$31</formula>
      <formula>$HA$32</formula>
    </cfRule>
    <cfRule type="cellIs" dxfId="354" priority="214870" operator="between">
      <formula>$HA$30</formula>
      <formula>$HA$31</formula>
    </cfRule>
  </conditionalFormatting>
  <conditionalFormatting sqref="GP1:GP1048576 GS1:GS1048576 GW1:GW1048576 GZ1:GZ1048576">
    <cfRule type="cellIs" dxfId="353" priority="214915" operator="between">
      <formula>$HA$37</formula>
      <formula>1000</formula>
    </cfRule>
    <cfRule type="cellIs" dxfId="352" priority="214916" operator="between">
      <formula>$HA$36</formula>
      <formula>$HA$37</formula>
    </cfRule>
    <cfRule type="cellIs" dxfId="351" priority="214917" operator="between">
      <formula>$HA$35</formula>
      <formula>$HA$36</formula>
    </cfRule>
    <cfRule type="cellIs" dxfId="350" priority="214918" operator="between">
      <formula>$HA$34</formula>
      <formula>$HA$35</formula>
    </cfRule>
  </conditionalFormatting>
  <conditionalFormatting sqref="HX1:HX1048576 IA1:IA1048576 IE1:IE1048576 IH1:IH1048576">
    <cfRule type="cellIs" dxfId="349" priority="214963" operator="between">
      <formula>$II$37</formula>
      <formula>1000</formula>
    </cfRule>
    <cfRule type="cellIs" dxfId="348" priority="214964" operator="between">
      <formula>$II$36</formula>
      <formula>$II$37</formula>
    </cfRule>
    <cfRule type="cellIs" dxfId="347" priority="214965" operator="between">
      <formula>$II$35</formula>
      <formula>$II$36</formula>
    </cfRule>
    <cfRule type="cellIs" dxfId="346" priority="214966" operator="between">
      <formula>$II$34</formula>
      <formula>$II$35</formula>
    </cfRule>
  </conditionalFormatting>
  <conditionalFormatting sqref="JD1:JD1048576 JG1:JG1048576 JK1:JK1048576 JN1:JN1048576">
    <cfRule type="cellIs" dxfId="345" priority="215011" operator="between">
      <formula>$JQ$33</formula>
      <formula>1000</formula>
    </cfRule>
    <cfRule type="cellIs" dxfId="344" priority="215012" operator="between">
      <formula>$JQ$32</formula>
      <formula>$JQ$33</formula>
    </cfRule>
    <cfRule type="cellIs" dxfId="343" priority="215013" operator="between">
      <formula>$JQ$31</formula>
      <formula>$JQ$32</formula>
    </cfRule>
    <cfRule type="cellIs" dxfId="342" priority="215014" operator="between">
      <formula>$JQ$30</formula>
      <formula>$JQ$31</formula>
    </cfRule>
  </conditionalFormatting>
  <conditionalFormatting sqref="JF1:JF1048576 JI1:JI1048576 JM1:JM1048576 JP1:JP1048576">
    <cfRule type="cellIs" dxfId="341" priority="215059" operator="between">
      <formula>$JQ$37</formula>
      <formula>1000</formula>
    </cfRule>
    <cfRule type="cellIs" dxfId="340" priority="215060" operator="between">
      <formula>$JQ$36</formula>
      <formula>$JQ$37</formula>
    </cfRule>
    <cfRule type="cellIs" dxfId="339" priority="215061" operator="between">
      <formula>$JQ$35</formula>
      <formula>$JQ$36</formula>
    </cfRule>
    <cfRule type="cellIs" dxfId="338" priority="215062" operator="between">
      <formula>$JQ$34</formula>
      <formula>$JQ$35</formula>
    </cfRule>
  </conditionalFormatting>
  <conditionalFormatting sqref="KL1:KL1048576 KO1:KO1048576 KS1:KS1048576 KV1:KV1048576">
    <cfRule type="cellIs" dxfId="337" priority="215107" operator="between">
      <formula>$KY$33</formula>
      <formula>1000</formula>
    </cfRule>
    <cfRule type="cellIs" dxfId="336" priority="215108" operator="between">
      <formula>$KY$32</formula>
      <formula>$KY$33</formula>
    </cfRule>
    <cfRule type="cellIs" dxfId="335" priority="215109" operator="between">
      <formula>$KY$31</formula>
      <formula>$KY$32</formula>
    </cfRule>
    <cfRule type="cellIs" dxfId="334" priority="215110" operator="between">
      <formula>$KY$30</formula>
      <formula>$KY$31</formula>
    </cfRule>
  </conditionalFormatting>
  <conditionalFormatting sqref="KN1:KN1048576 KQ1:KQ1048576 KU1:KU1048576 KX1:KX1048576">
    <cfRule type="cellIs" dxfId="333" priority="215155" operator="between">
      <formula>$KY$37</formula>
      <formula>1000</formula>
    </cfRule>
    <cfRule type="cellIs" dxfId="332" priority="215156" operator="between">
      <formula>$KY$36</formula>
      <formula>$KY$37</formula>
    </cfRule>
    <cfRule type="cellIs" dxfId="331" priority="215157" operator="between">
      <formula>$KY$35</formula>
      <formula>$KY$36</formula>
    </cfRule>
    <cfRule type="cellIs" dxfId="330" priority="215158" operator="between">
      <formula>$KY$34</formula>
      <formula>$KY$35</formula>
    </cfRule>
  </conditionalFormatting>
  <conditionalFormatting sqref="LT1:LT1048576 LW1:LW1048576 MA1:MA1048576 MD1:MD1048576">
    <cfRule type="cellIs" dxfId="329" priority="215203" operator="between">
      <formula>$MG$33</formula>
      <formula>1000</formula>
    </cfRule>
    <cfRule type="cellIs" dxfId="328" priority="215204" operator="between">
      <formula>$MG$32</formula>
      <formula>$MG$33</formula>
    </cfRule>
    <cfRule type="cellIs" dxfId="327" priority="215205" operator="between">
      <formula>$MG$31</formula>
      <formula>$MG$32</formula>
    </cfRule>
    <cfRule type="cellIs" dxfId="326" priority="215206" operator="between">
      <formula>$MG$30</formula>
      <formula>$MG$31</formula>
    </cfRule>
  </conditionalFormatting>
  <conditionalFormatting sqref="LV1:LV1048576 LY1:LY1048576 MC1:MC1048576 MF1:MF1048576">
    <cfRule type="cellIs" dxfId="325" priority="215251" operator="between">
      <formula>$MG$37</formula>
      <formula>1000</formula>
    </cfRule>
    <cfRule type="cellIs" dxfId="324" priority="215252" operator="between">
      <formula>$MG$36</formula>
      <formula>$MG$37</formula>
    </cfRule>
    <cfRule type="cellIs" dxfId="323" priority="215253" operator="between">
      <formula>$MG$35</formula>
      <formula>$MG$36</formula>
    </cfRule>
    <cfRule type="cellIs" dxfId="322" priority="215254" operator="between">
      <formula>$MG$34</formula>
      <formula>$MG$35</formula>
    </cfRule>
  </conditionalFormatting>
  <conditionalFormatting sqref="NB1:NB1048576 NE1:NE1048576 NI1:NI1048576">
    <cfRule type="cellIs" dxfId="321" priority="215299" operator="between">
      <formula>$NO$33</formula>
      <formula>1000</formula>
    </cfRule>
    <cfRule type="cellIs" dxfId="320" priority="215300" operator="between">
      <formula>$NO$32</formula>
      <formula>$NO$33</formula>
    </cfRule>
    <cfRule type="cellIs" dxfId="319" priority="215301" operator="between">
      <formula>$NO$31</formula>
      <formula>$NO$32</formula>
    </cfRule>
  </conditionalFormatting>
  <conditionalFormatting sqref="ND1:ND1048576 NG1:NG1048576 NK1:NK1048576 NN1:NN1048576">
    <cfRule type="cellIs" dxfId="318" priority="215326" operator="between">
      <formula>$NO$37</formula>
      <formula>1000</formula>
    </cfRule>
    <cfRule type="cellIs" dxfId="317" priority="215327" operator="between">
      <formula>$NO$36</formula>
      <formula>$NO$37</formula>
    </cfRule>
    <cfRule type="cellIs" dxfId="316" priority="215328" operator="between">
      <formula>$NO$35</formula>
      <formula>$NO$36</formula>
    </cfRule>
    <cfRule type="cellIs" dxfId="315" priority="215329" operator="between">
      <formula>$NO$34</formula>
      <formula>$NO$35</formula>
    </cfRule>
  </conditionalFormatting>
  <conditionalFormatting sqref="OJ1:OJ1048576 OM1:OM1048576 OQ1:OQ1048576 OT1:OT1048576">
    <cfRule type="cellIs" dxfId="314" priority="215374" operator="between">
      <formula>$OW$33</formula>
      <formula>1000</formula>
    </cfRule>
    <cfRule type="cellIs" dxfId="313" priority="215375" operator="between">
      <formula>$OW$32</formula>
      <formula>$OW$33</formula>
    </cfRule>
    <cfRule type="cellIs" dxfId="312" priority="215376" operator="between">
      <formula>$OW$31</formula>
      <formula>$OW$32</formula>
    </cfRule>
    <cfRule type="cellIs" dxfId="311" priority="215377" operator="between">
      <formula>$OW$30</formula>
      <formula>$OW$31</formula>
    </cfRule>
  </conditionalFormatting>
  <conditionalFormatting sqref="OL1:OL1048576 OO1:OO1048576 OS1:OS1048576 OV1:OV1048576">
    <cfRule type="cellIs" dxfId="310" priority="215422" operator="between">
      <formula>$OW$37</formula>
      <formula>1000</formula>
    </cfRule>
    <cfRule type="cellIs" dxfId="309" priority="215423" operator="between">
      <formula>$OW$36</formula>
      <formula>$OW$37</formula>
    </cfRule>
    <cfRule type="cellIs" dxfId="308" priority="215424" operator="between">
      <formula>$OW$35</formula>
      <formula>$OW$36</formula>
    </cfRule>
    <cfRule type="cellIs" dxfId="307" priority="215425" operator="between">
      <formula>$OW$34</formula>
      <formula>$OW$35</formula>
    </cfRule>
  </conditionalFormatting>
  <conditionalFormatting sqref="PR1:PR1048576 PU1:PU1048576 PY1:PY1048576 QB1:QB1048576">
    <cfRule type="cellIs" dxfId="306" priority="215470" operator="between">
      <formula>$QE$33</formula>
      <formula>1000</formula>
    </cfRule>
    <cfRule type="cellIs" dxfId="305" priority="215471" operator="between">
      <formula>$QE$32</formula>
      <formula>$QE$33</formula>
    </cfRule>
    <cfRule type="cellIs" dxfId="304" priority="215472" operator="between">
      <formula>$QE$31</formula>
      <formula>$QE$32</formula>
    </cfRule>
    <cfRule type="cellIs" dxfId="303" priority="215473" operator="between">
      <formula>$QE$30</formula>
      <formula>$QE$31</formula>
    </cfRule>
  </conditionalFormatting>
  <conditionalFormatting sqref="PT1:PT1048576 PW1:PW1048576 QA1:QA1048576 QD1:QD1048576">
    <cfRule type="cellIs" dxfId="302" priority="215518" operator="between">
      <formula>$QE$37</formula>
      <formula>1000</formula>
    </cfRule>
    <cfRule type="cellIs" dxfId="301" priority="215519" operator="between">
      <formula>$QE$36</formula>
      <formula>$QE$37</formula>
    </cfRule>
    <cfRule type="cellIs" dxfId="300" priority="215520" operator="between">
      <formula>$QE$35</formula>
      <formula>$QE$36</formula>
    </cfRule>
    <cfRule type="cellIs" dxfId="299" priority="215521" operator="between">
      <formula>$QE$34</formula>
      <formula>$QE$35</formula>
    </cfRule>
  </conditionalFormatting>
  <conditionalFormatting sqref="QZ1:QZ1048576 RC1:RC1048576 RG1:RG1048576 RJ1:RJ1048576">
    <cfRule type="cellIs" dxfId="298" priority="215566" operator="between">
      <formula>$RM$33</formula>
      <formula>1000</formula>
    </cfRule>
    <cfRule type="cellIs" dxfId="297" priority="215567" operator="between">
      <formula>$RM$32</formula>
      <formula>$RM$33</formula>
    </cfRule>
    <cfRule type="cellIs" dxfId="296" priority="215568" operator="between">
      <formula>$RM$31</formula>
      <formula>$RM$32</formula>
    </cfRule>
    <cfRule type="cellIs" dxfId="295" priority="215569" operator="between">
      <formula>$RM$30</formula>
      <formula>$RM$31</formula>
    </cfRule>
  </conditionalFormatting>
  <conditionalFormatting sqref="RB1:RB1048576 RE1:RE1048576 RI1:RI1048576 RL1:RL1048576">
    <cfRule type="cellIs" dxfId="294" priority="215614" operator="between">
      <formula>$RM$37</formula>
      <formula>1000</formula>
    </cfRule>
    <cfRule type="cellIs" dxfId="293" priority="215615" operator="between">
      <formula>$RM$36</formula>
      <formula>$RM$37</formula>
    </cfRule>
    <cfRule type="cellIs" dxfId="292" priority="215616" operator="between">
      <formula>$RM$35</formula>
      <formula>$RM$36</formula>
    </cfRule>
    <cfRule type="cellIs" dxfId="291" priority="215617" operator="between">
      <formula>$RM$34</formula>
      <formula>$RM$35</formula>
    </cfRule>
  </conditionalFormatting>
  <conditionalFormatting sqref="SH1:SH1048576 SK1:SK1048576 SO1:SO1048576 SR1:SR1048576">
    <cfRule type="cellIs" dxfId="290" priority="215662" operator="between">
      <formula>$SU$33</formula>
      <formula>1000</formula>
    </cfRule>
    <cfRule type="cellIs" dxfId="289" priority="215663" operator="between">
      <formula>$SU$32</formula>
      <formula>$SU$33</formula>
    </cfRule>
    <cfRule type="cellIs" dxfId="288" priority="215664" operator="between">
      <formula>$SU$31</formula>
      <formula>$SU$32</formula>
    </cfRule>
    <cfRule type="cellIs" dxfId="287" priority="215665" operator="between">
      <formula>$SU$30</formula>
      <formula>$SU$31</formula>
    </cfRule>
  </conditionalFormatting>
  <conditionalFormatting sqref="SJ1:SJ1048576 SM1:SM1048576 SQ1:SQ1048576 ST1:ST1048576">
    <cfRule type="cellIs" dxfId="286" priority="215710" operator="between">
      <formula>$SU$37</formula>
      <formula>1000</formula>
    </cfRule>
    <cfRule type="cellIs" dxfId="285" priority="215711" operator="between">
      <formula>$SU$36</formula>
      <formula>$SU$37</formula>
    </cfRule>
    <cfRule type="cellIs" dxfId="284" priority="215712" operator="between">
      <formula>$SU$35</formula>
      <formula>$SU$36</formula>
    </cfRule>
    <cfRule type="cellIs" dxfId="283" priority="215713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104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169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166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167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105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90</v>
      </c>
      <c r="D4" s="4" t="s">
        <v>3</v>
      </c>
      <c r="E4" s="4">
        <v>2004</v>
      </c>
      <c r="F4" s="9">
        <f t="shared" ref="F4:F19" si="0">SUM(L4:V4)+SUM(L4:T4)*0.0000001+SUM(L4)*0.0000000000001</f>
        <v>186.43001839900518</v>
      </c>
      <c r="G4" s="64" t="s">
        <v>46</v>
      </c>
      <c r="H4" s="3" t="str">
        <f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I4" s="3" t="str">
        <f>IF(OR(AND(AQ4&gt;=AY$26,AQ4&lt;&gt;"",AN4=""),AND(AT4&gt;=AY$26,AT4&lt;&gt;"",AN4=""),AND(AX4&gt;=AY$26,AX4&lt;&gt;"",AN4=""),AND(BR4&gt;=BZ$26,BR4&lt;&gt;"",BO4=""),AND(BU4&gt;=BZ$26,BU4&lt;&gt;"",BO4=""),AND(BY4&gt;=BZ$26,BY4&lt;&gt;"",BO4=""),AND(CS4&gt;=DA$26,CS4&lt;&gt;"",CP4=""),AND(CV4&gt;=DA$26,CV4&lt;&gt;"",CP4=""),AND(CZ4&gt;=DA$26,CZ4&lt;&gt;"",CP4=""),AND(DZ4&gt;=EK$26,DZ4&lt;&gt;""),AND(EC4&gt;=EK$26,EC4&lt;&gt;""),AND(EG4&gt;=EK$26,EG4&lt;&gt;""),AND(EJ4&gt;=EK$26,EJ4&lt;&gt;""),AND(FH4&gt;=FS$26,FH4&lt;&gt;""),AND(FK4&gt;=FS$26,FK4&lt;&gt;""),AND(FO4&gt;=FS$26,FO4&lt;&gt;""),AND(FR4&gt;=FS$26,FR4&lt;&gt;""),AND(GP4&gt;=HA$26,GP4&lt;&gt;""),AND(GS4&gt;=HA$26,GS4&lt;&gt;""),AND(GW4&gt;=HA$26,GW4&lt;&gt;""),AND(GZ4&gt;=HA$26,GZ4&lt;&gt;""),AND(HX4&gt;=II$26,HX4&lt;&gt;""),AND(IA4&gt;=II$26,IA4&lt;&gt;""),AND(IE4&gt;=II$26,IE4&lt;&gt;""),AND(IH4&gt;=II$26,IH4&lt;&gt;""),AND(JF4&gt;=JQ$26,JF4&lt;&gt;""),AND(JI4&gt;=JQ$26,JI4&lt;&gt;""),AND(JM4&gt;=JQ$26,JM4&lt;&gt;""),AND(JP4&gt;=JQ$26,JP4&lt;&gt;""),AND(KN4&gt;=KY$26,KN4&lt;&gt;""),AND(KQ4&gt;=KY$26,KQ4&lt;&gt;""),AND(KU4&gt;=KY$26,KU4&lt;&gt;""),AND(KX4&gt;=KY$26,KX4&lt;&gt;""),AND(LV4&gt;=MG$26,LV4&lt;&gt;""),AND(LY4&gt;=MG$26,LY4&lt;&gt;""),AND(MC4&gt;=MG$26,MC4&lt;&gt;""),AND(MF4&gt;=MG$26,MF4&lt;&gt;""),AND(ND4&gt;=NO$26,ND4&lt;&gt;""),AND(NG4&gt;=NO$26,NG4&lt;&gt;""),AND(NK4&gt;=NO$26,NK4&lt;&gt;""),AND(NN4&gt;=NO$26,NN4&lt;&gt;""),AND(OL4&gt;=OW$26,OL4&lt;&gt;""),AND(OO4&gt;=OW$26,OO4&lt;&gt;""),AND(OS4&gt;=OW$26,OS4&lt;&gt;""),AND(OV4&gt;=OW$26,OV4&lt;&gt;""),AND(PT4&gt;=QE$26,PT4&lt;&gt;""),AND(PW4&gt;=QE$26,PW4&lt;&gt;""),AND(QA4&gt;=QE$26,QA4&lt;&gt;""),AND(QD4&gt;=QE$26,QD4&lt;&gt;""),AND(RB4&gt;=RM$26,RB4&lt;&gt;""),AND(RE4&gt;=RM$26,RE4&lt;&gt;""),AND(RI4&gt;=RM$26,RI4&lt;&gt;""),AND(RL4&gt;=RM$26,RL4&lt;&gt;""),AND(SJ4&gt;=SU$26,SJ4&lt;&gt;""),AND(SM4&gt;=SU$26,SM4&lt;&gt;""),AND(SQ4&gt;=SU$26,SQ4&lt;&gt;""),AND(ST4&gt;=SU$26,ST4&lt;&gt;"")),"P","")</f>
        <v>P</v>
      </c>
      <c r="J4" s="36" t="str">
        <f>IF(AND(I4="P",H4=""),"No DD",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Merit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Excellence",IF(K4="P","Worlds Team",IF(H4="P","National Team","")))))</f>
        <v>National Team</v>
      </c>
      <c r="K4" s="3" t="str">
        <f>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P","")</f>
        <v/>
      </c>
      <c r="L4" s="8">
        <f>IF(COUNT(AQ4,AT4,BR4,BU4,CS4,CV4)&gt;0,LARGE((AQ4,AT4,BR4,BU4,CS4,CV4),1),0)</f>
        <v>51.6</v>
      </c>
      <c r="M4" s="8" t="str">
        <f t="shared" ref="M4:M19" si="1">IF(L4="","",IF(OR(L4=CS4,L4=CV4),$CA$1,IF(OR(L4=BR4,L4=BU4),$AZ$1,IF(OR(L4=AQ4,L4=AT4),$Y$1,""))))</f>
        <v>2025 Nationals</v>
      </c>
      <c r="N4" s="8">
        <f>IF(COUNT(AQ4,AT4,BR4,BU4,CS4,CV4)&gt;1,LARGE((AQ4,AT4,BR4,BU4,CS4,CV4),2),0)</f>
        <v>51.150000000000006</v>
      </c>
      <c r="O4" s="8" t="str">
        <f t="shared" ref="O4:O19" si="2">IF(N4="","",IF(OR(N4=CS4,N4=CV4),$CA$1,IF(OR(N4=BR4,N4=BU4),$AZ$1,IF(OR(N4=AQ4,N4=AT4),$Y$1,""))))</f>
        <v>2025 Elite Canada</v>
      </c>
      <c r="P4" s="8">
        <f>IF(COUNT(AQ4,AT4,BR4,BU4,CS4,CV4)&gt;2,MAX(AX4,BY4,CZ4,LARGE((AQ4,AT4,BR4,BU4,CS4,CV4),3)),IF(MAX(AX4,BY4,CZ4)&gt;0,MAX(AX4,BY4,CZ4),0))</f>
        <v>51.269999999999996</v>
      </c>
      <c r="Q4" s="8" t="str">
        <f t="shared" ref="Q4:Q19" si="3">IF(P4="","",IF(P4=CZ4,$CA$1,IF(P4=BY4,$AZ$1,IF(P4=AX4,$Y$1,IF(OR(P4=CS4,P4=CV4,P4=CZ4),$CA$1,IF(OR(P4=BR4,P4=BU4,P4=BY4),$AZ$1,IF(OR(P4=AQ4,P4=AT4,P4=AX4),$Y$1,"")))))))</f>
        <v>2025 Nationals</v>
      </c>
      <c r="R4" s="8">
        <f t="shared" ref="R4:R19" si="4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 t="shared" ref="S4:S19" si="5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$22,AP4,0),IF(AR4&gt;=$AY$22,AS4,0),IF(AV4&gt;=$AY$22,AW4,0),IF(BP4&gt;=$BZ$22,BQ4,0),IF(BS4&gt;=$BZ$22,BT4,0),IF(BW4&gt;=$BZ$22,BX4,0),IF(CQ4&gt;=$DA$22,CR4,0),IF(CT4&gt;=$DA$22,CU4,0),IF(CX4&gt;=$DA$22,CY4,0),IF(DX4&gt;=$EK$22,DY4,0),IF(EA4&gt;=$EK$22,EB4,0),IF(EE4&gt;=$EK$22,EF4,0),IF(EH4&gt;=$EK$22,EI4,0),IF(FF4&gt;=$FS$22,FG4,0),IF(FI4&gt;=$FS$22,FJ4,0),IF(FM4&gt;=$FS$22,FN4,0),IF(FP4&gt;=$FS$22,FQ4,0),IF(GN4&gt;=$HA$22,GO4,0),IF(GQ4&gt;=$HA$22,GR4,0),IF(GU4&gt;=$HA$22,GV4,0),IF(GX4&gt;=$HA$22,GY4,0),IF(HV4&gt;=$II$22,HW4,0),IF(HY4&gt;=$II$22,HZ4,0),IF(IC4&gt;=$II$22,ID4,0),IF(IF4&gt;=$II$22,IG4,0),IF(JD4&gt;=$JQ$22,JE4,0),IF(JG4&gt;=$JQ$22,JH4,0),IF(JK4&gt;=$JQ$22,JL4,0),IF(JN4&gt;=$JQ$22,JO4,0),IF(KL4&gt;=$KY$22,KM4,0),IF(KO4&gt;=$KY$22,KP4,0),IF(KS4&gt;=$KY$22,KT4,0),IF(KV4&gt;=$KY$22,KW4,0),IF(LT4&gt;=$MG$22,LU4,0),IF(LW4&gt;=$MG$22,LX4,0),IF(MA4&gt;=$MG$22,MB4,0),IF(MD4&gt;=$MG$22,ME4,0),IF(NB4&gt;=$NO$22,NC4,0),IF(NE4&gt;=$NO$22,NF4,0),IF(NI4&gt;=$NO$22,NJ4,0),IF(NL4&gt;=$NO$22,NM4,0),IF(OJ4&gt;=$OW$22,OK4,0),IF(OM4&gt;=$OW$22,ON4,0),IF(OQ4&gt;=$OW$22,OR4,0),IF(OT4&gt;=$OW$22,OU4,0),IF(PR4&gt;=$QE$22,PS4,0),IF(PU4&gt;=$QE$22,PV4,0),IF(PY4&gt;=$QE$22,PZ4,0),IF(QB4&gt;=$QE$22,QC4,0),IF(QZ4&gt;=$RM$22,RA4,0),IF(RC4&gt;=$RM$22,RD4,0),IF(RG4&gt;=$RM$22,RH4,0),IF(RJ4&gt;=$RM$22,RK4,0),IF(SH4&gt;=$SU$22,SI4,0),IF(SK4&gt;=$SU$22,SL4,0),IF(SO4&gt;=$SU$22,SP4,0),IF(SR4&gt;=$SU$22,SS4,0))&gt;0,MAX(IF(AO4&gt;=$AY$22,AP4,0),IF(AR4&gt;=$AY$22,AS4,0),IF(AV4&gt;=$AY$22,AW4,0),IF(BP4&gt;=$BZ$22,BQ4,0),IF(BS4&gt;=$BZ$22,BT4,0),IF(BW4&gt;=$BZ$22,BX4,0),IF(CQ4&gt;=$DA$22,CR4,0),IF(CT4&gt;=$DA$22,CU4,0),IF(CX4&gt;=$DA$22,CY4,0),IF(DX4&gt;=$EK$22,DY4,0),IF(EA4&gt;=$EK$22,EB4,0),IF(EE4&gt;=$EK$22,EF4,0),IF(EH4&gt;=$EK$22,EI4,0),IF(FF4&gt;=$FS$22,FG4,0),IF(FI4&gt;=$FS$22,FJ4,0),IF(FM4&gt;=$FS$22,FN4,0),IF(FP4&gt;=$FS$22,FQ4,0),IF(GN4&gt;=$HA$22,GO4,0),IF(GQ4&gt;=$HA$22,GR4,0),IF(GU4&gt;=$HA$22,GV4,0),IF(GX4&gt;=$HA$22,GY4,0),IF(HV4&gt;=$II$22,HW4,0),IF(HY4&gt;=$II$22,HZ4,0),IF(IC4&gt;=$II$22,ID4,0),IF(IF4&gt;=$II$22,IG4,0),IF(JD4&gt;=$JQ$22,JE4,0),IF(JG4&gt;=$JQ$22,JH4,0),IF(JK4&gt;=$JQ$22,JL4,0),IF(JN4&gt;=$JQ$22,JO4,0),IF(KL4&gt;=$KY$22,KM4,0),IF(KO4&gt;=$KY$22,KP4,0),IF(KS4&gt;=$KY$22,KT4,0),IF(KV4&gt;=$KY$22,KW4,0),IF(LT4&gt;=$MG$22,LU4,0),IF(LW4&gt;=$MG$22,LX4,0),IF(MA4&gt;=$MG$22,MB4,0),IF(MD4&gt;=$MG$22,ME4,0),IF(NB4&gt;=$NO$22,NC4,0),IF(NE4&gt;=$NO$22,NF4,0),IF(NI4&gt;=$NO$22,NJ4,0),IF(NL4&gt;=$NO$22,NM4,0),IF(OJ4&gt;=$OW$22,OK4,0),IF(OM4&gt;=$OW$22,ON4,0),IF(OQ4&gt;=$OW$22,OR4,0),IF(OT4&gt;=$OW$22,OU4,0),IF(PR4&gt;=$QE$22,PS4,0),IF(PU4&gt;=$QE$22,PV4,0),IF(PY4&gt;=$QE$22,PZ4,0),IF(QB4&gt;=$QE$22,QC4,0),IF(QZ4&gt;=$RM$22,RA4,0),IF(RC4&gt;=$RM$22,RD4,0),IF(RG4&gt;=$RM$22,RH4,0),IF(RJ4&gt;=$RM$22,RK4,0),IF(SH4&gt;=$SU$22,SI4,0),IF(SK4&gt;=$SU$22,SL4,0),IF(SO4&gt;=$SU$22,SP4,0),IF(SR4&gt;=$SU$22,SS4,0)),0)</f>
        <v>15.47</v>
      </c>
      <c r="U4" s="8" t="str">
        <f t="shared" ref="U4:U19" si="6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 t="shared" ref="V4:V19" si="7">IF(MAX(DB4,DC4)&gt;0,MAX(DB4,DC4),"")</f>
        <v>2.4400000000000119</v>
      </c>
      <c r="W4" s="11" t="str">
        <f t="shared" ref="W4:W19" si="8">IF(V4="","",IF(V4=DB4,"("&amp;DB$2&amp;")",IF(V4=DC4,"("&amp;DC$2&amp;")")))</f>
        <v>(Final)</v>
      </c>
      <c r="X4" s="8" t="str">
        <f t="shared" ref="X4:X19" si="9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9.3999999999999986</v>
      </c>
      <c r="Z4" s="22">
        <v>5.75</v>
      </c>
      <c r="AA4" s="22">
        <v>9.25</v>
      </c>
      <c r="AB4" s="22">
        <v>9.6649999999999991</v>
      </c>
      <c r="AC4" s="22">
        <v>0</v>
      </c>
      <c r="AD4" s="22">
        <v>12.45</v>
      </c>
      <c r="AE4" s="22">
        <v>9.3000000000000007</v>
      </c>
      <c r="AF4" s="22">
        <v>13.3</v>
      </c>
      <c r="AG4" s="22">
        <v>14.62</v>
      </c>
      <c r="AH4" s="22">
        <v>0</v>
      </c>
      <c r="AI4" s="22">
        <v>10.5</v>
      </c>
      <c r="AJ4" s="22">
        <v>6.85</v>
      </c>
      <c r="AK4" s="22">
        <v>10.6</v>
      </c>
      <c r="AL4" s="22">
        <v>11.315</v>
      </c>
      <c r="AM4" s="22">
        <v>0</v>
      </c>
      <c r="AN4" s="27" t="s">
        <v>46</v>
      </c>
      <c r="AO4" s="38">
        <f t="shared" ref="AO4:AO19" si="10">IF(AA4&gt;0,AA4,"")</f>
        <v>9.25</v>
      </c>
      <c r="AP4" s="38">
        <f t="shared" ref="AP4:AP19" si="11">IF(AB4&gt;0,AB4,"")</f>
        <v>9.6649999999999991</v>
      </c>
      <c r="AQ4" s="40">
        <f t="shared" ref="AQ4:AQ19" si="12">IF(SUM(Y4:AB4)-AC4&gt;0,SUM(Y4:AB4)-AC4,"")</f>
        <v>34.064999999999998</v>
      </c>
      <c r="AR4" s="40">
        <f t="shared" ref="AR4:AR19" si="13">IF(AF4&gt;0,AF4,"")</f>
        <v>13.3</v>
      </c>
      <c r="AS4" s="40">
        <f t="shared" ref="AS4:AS19" si="14">IF(AG4&gt;0,AG4,"")</f>
        <v>14.62</v>
      </c>
      <c r="AT4" s="40">
        <f t="shared" ref="AT4:AT19" si="15">IF(SUM(AD4:AG4)-AH4&gt;0,SUM(AD4:AG4)-AH4,"")</f>
        <v>49.669999999999995</v>
      </c>
      <c r="AU4" s="40">
        <f t="shared" ref="AU4:AU19" si="16">IF(AQ4="","",MAX(AQ4,AT4))</f>
        <v>49.669999999999995</v>
      </c>
      <c r="AV4" s="40">
        <f t="shared" ref="AV4:AV19" si="17">IF(AK4&gt;0,AK4,"")</f>
        <v>10.6</v>
      </c>
      <c r="AW4" s="40">
        <f t="shared" ref="AW4:AW19" si="18">IF(AL4&gt;0,AL4,"")</f>
        <v>11.315</v>
      </c>
      <c r="AX4" s="40">
        <f t="shared" ref="AX4:AX19" si="19">IF(SUM(AI4:AL4)-AM4&gt;0,SUM(AI4:AL4)-AM4,"")</f>
        <v>39.265000000000001</v>
      </c>
      <c r="AY4" s="40">
        <f t="shared" ref="AY4:AY19" si="20">IF(SUM(AU4,AX4)&gt;0,SUM(AU4,AX4),"")</f>
        <v>88.935000000000002</v>
      </c>
      <c r="AZ4" s="26">
        <v>14</v>
      </c>
      <c r="BA4" s="26">
        <v>8.6999999999999993</v>
      </c>
      <c r="BB4" s="26">
        <v>13.9</v>
      </c>
      <c r="BC4" s="26">
        <v>14.55</v>
      </c>
      <c r="BD4" s="26">
        <v>0</v>
      </c>
      <c r="BE4" s="26">
        <v>1.4</v>
      </c>
      <c r="BF4" s="26">
        <v>0.9</v>
      </c>
      <c r="BG4" s="26">
        <v>2</v>
      </c>
      <c r="BH4" s="26">
        <v>1.55</v>
      </c>
      <c r="BI4" s="26">
        <v>0</v>
      </c>
      <c r="BJ4" s="26">
        <v>12.5</v>
      </c>
      <c r="BK4" s="26">
        <v>9.3000000000000007</v>
      </c>
      <c r="BL4" s="26">
        <v>14.3</v>
      </c>
      <c r="BM4" s="26">
        <v>14.79</v>
      </c>
      <c r="BN4" s="26">
        <v>0</v>
      </c>
      <c r="BO4" s="28"/>
      <c r="BP4" s="39">
        <f t="shared" ref="BP4:BP19" si="21">IF(BB4&gt;0,BB4,"")</f>
        <v>13.9</v>
      </c>
      <c r="BQ4" s="39">
        <f t="shared" ref="BQ4:BQ19" si="22">IF(BC4&gt;0,BC4,"")</f>
        <v>14.55</v>
      </c>
      <c r="BR4" s="11">
        <f t="shared" ref="BR4:BR19" si="23">IF(SUM(AZ4:BC4)-BD4&gt;0,SUM(AZ4:BC4)-BD4,"")</f>
        <v>51.150000000000006</v>
      </c>
      <c r="BS4" s="11">
        <f t="shared" ref="BS4:BS19" si="24">IF(BG4&gt;0,BG4,"")</f>
        <v>2</v>
      </c>
      <c r="BT4" s="11">
        <f t="shared" ref="BT4:BT19" si="25">IF(BH4&gt;0,BH4,"")</f>
        <v>1.55</v>
      </c>
      <c r="BU4" s="11">
        <f t="shared" ref="BU4:BU19" si="26">IF(SUM(BE4:BH4)-BI4&gt;0,SUM(BE4:BH4)-BI4,"")</f>
        <v>5.85</v>
      </c>
      <c r="BV4" s="11">
        <f t="shared" ref="BV4:BV19" si="27">IF(BR4="","",MAX(BR4,BU4))</f>
        <v>51.150000000000006</v>
      </c>
      <c r="BW4" s="11">
        <f t="shared" ref="BW4:BW19" si="28">IF(BL4&gt;0,BL4,"")</f>
        <v>14.3</v>
      </c>
      <c r="BX4" s="11">
        <f t="shared" ref="BX4:BX19" si="29">IF(BM4&gt;0,BM4,"")</f>
        <v>14.79</v>
      </c>
      <c r="BY4" s="11">
        <f t="shared" ref="BY4:BY19" si="30">IF(SUM(BJ4:BM4)-BN4&gt;0,SUM(BJ4:BM4)-BN4,"")</f>
        <v>50.89</v>
      </c>
      <c r="BZ4" s="11">
        <f t="shared" ref="BZ4:BZ19" si="31">IF(SUM(BV4,BY4)&gt;0,SUM(BV4,BY4),"")</f>
        <v>102.04</v>
      </c>
      <c r="CA4" s="22">
        <v>11.8</v>
      </c>
      <c r="CB4" s="22">
        <v>9.4</v>
      </c>
      <c r="CC4" s="22">
        <v>11.3</v>
      </c>
      <c r="CD4" s="22">
        <v>14.35</v>
      </c>
      <c r="CE4" s="22">
        <v>1.4</v>
      </c>
      <c r="CF4" s="22">
        <v>13</v>
      </c>
      <c r="CG4" s="22">
        <v>9.1999999999999993</v>
      </c>
      <c r="CH4" s="22">
        <v>14.5</v>
      </c>
      <c r="CI4" s="22">
        <v>14.9</v>
      </c>
      <c r="CJ4" s="22">
        <v>0</v>
      </c>
      <c r="CK4" s="22">
        <v>13.1</v>
      </c>
      <c r="CL4" s="22">
        <v>9.1999999999999993</v>
      </c>
      <c r="CM4" s="22">
        <v>14.1</v>
      </c>
      <c r="CN4" s="22">
        <v>14.87</v>
      </c>
      <c r="CO4" s="22">
        <v>0</v>
      </c>
      <c r="CP4" s="27"/>
      <c r="CQ4" s="38">
        <f t="shared" ref="CQ4:CQ19" si="32">IF(CC4&gt;0,CC4,"")</f>
        <v>11.3</v>
      </c>
      <c r="CR4" s="38">
        <f t="shared" ref="CR4:CR19" si="33">IF(CD4&gt;0,CD4,"")</f>
        <v>14.35</v>
      </c>
      <c r="CS4" s="40">
        <f t="shared" ref="CS4:CS19" si="34">IF(SUM(CA4:CD4)-CE4&gt;0,SUM(CA4:CD4)-CE4,"")</f>
        <v>45.45</v>
      </c>
      <c r="CT4" s="40">
        <f t="shared" ref="CT4:CT19" si="35">IF(CH4&gt;0,CH4,"")</f>
        <v>14.5</v>
      </c>
      <c r="CU4" s="40">
        <f t="shared" ref="CU4:CU19" si="36">IF(CI4&gt;0,CI4,"")</f>
        <v>14.9</v>
      </c>
      <c r="CV4" s="40">
        <f t="shared" ref="CV4:CV19" si="37">IF(SUM(CF4:CI4)-CJ4&gt;0,SUM(CF4:CI4)-CJ4,"")</f>
        <v>51.6</v>
      </c>
      <c r="CW4" s="40">
        <f t="shared" ref="CW4:CW19" si="38">IF(CS4="","",MAX(CS4,CV4))</f>
        <v>51.6</v>
      </c>
      <c r="CX4" s="40">
        <f t="shared" ref="CX4:CX19" si="39">IF(CM4&gt;0,CM4,"")</f>
        <v>14.1</v>
      </c>
      <c r="CY4" s="40">
        <f t="shared" ref="CY4:CY19" si="40">IF(CN4&gt;0,CN4,"")</f>
        <v>14.87</v>
      </c>
      <c r="CZ4" s="40">
        <f t="shared" ref="CZ4:CZ19" si="41">IF(SUM(CK4:CN4)-CO4&gt;0,SUM(CK4:CN4)-CO4,"")</f>
        <v>51.269999999999996</v>
      </c>
      <c r="DA4" s="40">
        <f t="shared" ref="DA4:DA19" si="42">IF(SUM(CW4,CZ4)&gt;0,SUM(CW4,CZ4),"")</f>
        <v>102.87</v>
      </c>
      <c r="DB4" s="50">
        <f t="shared" ref="DB4:DB19" si="43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2.019999999999996</v>
      </c>
      <c r="DC4" s="50">
        <f t="shared" ref="DC4:DC19" si="44">IF(MAX(EG4,EJ4,FO4,FR4,GW4,GZ4,IE4,IH4,JM4,JP4,KU4,KX4,MC4,MF4,NK4,NN4,OS4,OV4,QA4,QD4,RI4,RL4,SQ4,ST4)-IF(P4="",0,P4)&gt;0.001,MAX(EG4,EJ4,FO4,FR4,GW4,GZ4,IE4,IH4,JM4,JP4,KU4,KX4,MC4,MF4,NK4,NN4,OS4,OV4,QA4,QD4,RI4,RL4,SQ4,ST4)-IF(P4="",0,P4),"")</f>
        <v>2.4400000000000119</v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9" si="45">IF(DF4&gt;0,DF4,"")</f>
        <v/>
      </c>
      <c r="DY4" s="40" t="str">
        <f t="shared" ref="DY4:DY19" si="46">IF(DG4&gt;0,DG4,"")</f>
        <v/>
      </c>
      <c r="DZ4" s="40" t="str">
        <f t="shared" ref="DZ4:DZ19" si="47">IF(SUM(DD4:DG4)-DH4&gt;0,SUM(DD4:DG4)-DH4,"")</f>
        <v/>
      </c>
      <c r="EA4" s="40" t="str">
        <f t="shared" ref="EA4:EA19" si="48">IF(DK4&gt;0,DK4,"")</f>
        <v/>
      </c>
      <c r="EB4" s="40" t="str">
        <f t="shared" ref="EB4:EB19" si="49">IF(DL4&gt;0,DL4,"")</f>
        <v/>
      </c>
      <c r="EC4" s="40" t="str">
        <f t="shared" ref="EC4:EC19" si="50">IF(SUM(DI4:DL4)-DM4&gt;0,SUM(DI4:DL4)-DM4,"")</f>
        <v/>
      </c>
      <c r="ED4" s="40" t="str">
        <f t="shared" ref="ED4:ED19" si="51">IF(MAX(DZ4,EC4)&gt;0,MAX(DZ4,EC4),"")</f>
        <v/>
      </c>
      <c r="EE4" s="40" t="str">
        <f t="shared" ref="EE4:EE19" si="52">IF(DP4&gt;0,DP4,"")</f>
        <v/>
      </c>
      <c r="EF4" s="40" t="str">
        <f t="shared" ref="EF4:EF19" si="53">IF(DQ4&gt;0,DQ4,"")</f>
        <v/>
      </c>
      <c r="EG4" s="40" t="str">
        <f t="shared" ref="EG4:EG19" si="54">IF(SUM(DN4:DQ4)-DR4&gt;0,SUM(DN4:DQ4)-DR4,"")</f>
        <v/>
      </c>
      <c r="EH4" s="40" t="str">
        <f t="shared" ref="EH4:EH19" si="55">IF(DU4&gt;0,DU4,"")</f>
        <v/>
      </c>
      <c r="EI4" s="40" t="str">
        <f t="shared" ref="EI4:EI19" si="56">IF(DV4&gt;0,DV4,"")</f>
        <v/>
      </c>
      <c r="EJ4" s="40" t="str">
        <f t="shared" ref="EJ4:EJ19" si="57">IF(SUM(DS4:DV4)-DW4&gt;0,SUM(DS4:DV4)-DW4,"")</f>
        <v/>
      </c>
      <c r="EK4" s="40" t="str">
        <f t="shared" ref="EK4:EK19" si="58">IF(SUM(ED4,EG4,EJ4)&gt;0,SUM(ED4,EG4,EJ4),"")</f>
        <v/>
      </c>
      <c r="EL4" s="18">
        <v>14.3</v>
      </c>
      <c r="EM4" s="18">
        <v>9.6</v>
      </c>
      <c r="EN4" s="18">
        <v>13.8</v>
      </c>
      <c r="EO4" s="18">
        <v>15.47</v>
      </c>
      <c r="EP4" s="18">
        <v>0</v>
      </c>
      <c r="EQ4" s="18">
        <v>14.1</v>
      </c>
      <c r="ER4" s="18">
        <v>9.5</v>
      </c>
      <c r="ES4" s="18">
        <v>13.8</v>
      </c>
      <c r="ET4" s="18">
        <v>15.23</v>
      </c>
      <c r="EU4" s="18">
        <v>0</v>
      </c>
      <c r="EV4" s="18">
        <v>15.3</v>
      </c>
      <c r="EW4" s="18">
        <v>9.3000000000000007</v>
      </c>
      <c r="EX4" s="18">
        <v>13.8</v>
      </c>
      <c r="EY4" s="18">
        <v>15.31</v>
      </c>
      <c r="EZ4" s="18">
        <v>0</v>
      </c>
      <c r="FA4" s="18"/>
      <c r="FB4" s="18"/>
      <c r="FC4" s="18"/>
      <c r="FD4" s="18"/>
      <c r="FE4" s="18"/>
      <c r="FF4" s="11">
        <f t="shared" ref="FF4:FF19" si="59">IF(EN4&gt;0,EN4,"")</f>
        <v>13.8</v>
      </c>
      <c r="FG4" s="11">
        <f t="shared" ref="FG4:FG19" si="60">IF(EO4&gt;0,EO4,"")</f>
        <v>15.47</v>
      </c>
      <c r="FH4" s="11">
        <f t="shared" ref="FH4:FH19" si="61">IF(SUM(EL4:EO4)-EP4&gt;0,SUM(EL4:EO4)-EP4,"")</f>
        <v>53.17</v>
      </c>
      <c r="FI4" s="11">
        <f t="shared" ref="FI4:FI19" si="62">IF(ES4&gt;0,ES4,"")</f>
        <v>13.8</v>
      </c>
      <c r="FJ4" s="11">
        <f t="shared" ref="FJ4:FJ19" si="63">IF(ET4&gt;0,ET4,"")</f>
        <v>15.23</v>
      </c>
      <c r="FK4" s="11">
        <f t="shared" ref="FK4:FK19" si="64">IF(SUM(EQ4:ET4)-EU4&gt;0,SUM(EQ4:ET4)-EU4,"")</f>
        <v>52.63000000000001</v>
      </c>
      <c r="FL4" s="11">
        <f t="shared" ref="FL4:FL19" si="65">IF(MAX(FH4,FK4)&gt;0,MAX(FH4,FK4),"")</f>
        <v>53.17</v>
      </c>
      <c r="FM4" s="11">
        <f t="shared" ref="FM4:FM19" si="66">IF(EX4&gt;0,EX4,"")</f>
        <v>13.8</v>
      </c>
      <c r="FN4" s="11">
        <f t="shared" ref="FN4:FN19" si="67">IF(EY4&gt;0,EY4,"")</f>
        <v>15.31</v>
      </c>
      <c r="FO4" s="11">
        <f t="shared" ref="FO4:FO19" si="68">IF(SUM(EV4:EY4)-EZ4&gt;0,SUM(EV4:EY4)-EZ4,"")</f>
        <v>53.710000000000008</v>
      </c>
      <c r="FP4" s="11" t="str">
        <f t="shared" ref="FP4:FP19" si="69">IF(FC4&gt;0,FC4,"")</f>
        <v/>
      </c>
      <c r="FQ4" s="11" t="str">
        <f t="shared" ref="FQ4:FQ19" si="70">IF(FD4&gt;0,FD4,"")</f>
        <v/>
      </c>
      <c r="FR4" s="11" t="str">
        <f t="shared" ref="FR4:FR19" si="71">IF(SUM(FA4:FD4)-FE4&gt;0,SUM(FA4:FD4)-FE4,"")</f>
        <v/>
      </c>
      <c r="FS4" s="11">
        <f t="shared" ref="FS4:FS19" si="72">IF(SUM(FL4,FO4,FR4)&gt;0,SUM(FL4,FO4,FR4),"")</f>
        <v>106.88000000000001</v>
      </c>
      <c r="FT4" s="17">
        <v>13.4</v>
      </c>
      <c r="FU4" s="17">
        <v>8.6</v>
      </c>
      <c r="FV4" s="17">
        <v>14.5</v>
      </c>
      <c r="FW4" s="17">
        <v>15.28</v>
      </c>
      <c r="FX4" s="17">
        <v>0</v>
      </c>
      <c r="FY4" s="17">
        <v>9.8000000000000007</v>
      </c>
      <c r="FZ4" s="17">
        <v>6.2</v>
      </c>
      <c r="GA4" s="17">
        <v>10.199999999999999</v>
      </c>
      <c r="GB4" s="17">
        <v>10.88</v>
      </c>
      <c r="GC4" s="17">
        <v>0</v>
      </c>
      <c r="GD4" s="17">
        <v>4</v>
      </c>
      <c r="GE4" s="17">
        <v>2.6</v>
      </c>
      <c r="GF4" s="17">
        <v>4.5999999999999996</v>
      </c>
      <c r="GG4" s="17">
        <v>4.58</v>
      </c>
      <c r="GH4" s="17">
        <v>0</v>
      </c>
      <c r="GI4" s="17"/>
      <c r="GJ4" s="17"/>
      <c r="GK4" s="17"/>
      <c r="GL4" s="17"/>
      <c r="GM4" s="17"/>
      <c r="GN4" s="40">
        <f t="shared" ref="GN4:GN19" si="73">IF(FV4&gt;0,FV4,"")</f>
        <v>14.5</v>
      </c>
      <c r="GO4" s="40">
        <f t="shared" ref="GO4:GO19" si="74">IF(FW4&gt;0,FW4,"")</f>
        <v>15.28</v>
      </c>
      <c r="GP4" s="40">
        <f t="shared" ref="GP4:GP19" si="75">IF(SUM(FT4:FW4)-FX4&gt;0,SUM(FT4:FW4)-FX4,"")</f>
        <v>51.78</v>
      </c>
      <c r="GQ4" s="40">
        <f t="shared" ref="GQ4:GQ19" si="76">IF(GA4&gt;0,GA4,"")</f>
        <v>10.199999999999999</v>
      </c>
      <c r="GR4" s="40">
        <f t="shared" ref="GR4:GR19" si="77">IF(GB4&gt;0,GB4,"")</f>
        <v>10.88</v>
      </c>
      <c r="GS4" s="40">
        <f t="shared" ref="GS4:GS19" si="78">IF(SUM(FY4:GB4)-GC4&gt;0,SUM(FY4:GB4)-GC4,"")</f>
        <v>37.08</v>
      </c>
      <c r="GT4" s="40">
        <f t="shared" ref="GT4:GT19" si="79">IF(MAX(GP4,GS4)&gt;0,MAX(GP4,GS4),"")</f>
        <v>51.78</v>
      </c>
      <c r="GU4" s="40">
        <f t="shared" ref="GU4:GU19" si="80">IF(GF4&gt;0,GF4,"")</f>
        <v>4.5999999999999996</v>
      </c>
      <c r="GV4" s="40">
        <f t="shared" ref="GV4:GV19" si="81">IF(GG4&gt;0,GG4,"")</f>
        <v>4.58</v>
      </c>
      <c r="GW4" s="40">
        <f t="shared" ref="GW4:GW19" si="82">IF(SUM(GD4:GG4)-GH4&gt;0,SUM(GD4:GG4)-GH4,"")</f>
        <v>15.78</v>
      </c>
      <c r="GX4" s="40" t="str">
        <f t="shared" ref="GX4:GX19" si="83">IF(GK4&gt;0,GK4,"")</f>
        <v/>
      </c>
      <c r="GY4" s="40" t="str">
        <f t="shared" ref="GY4:GY19" si="84">IF(GL4&gt;0,GL4,"")</f>
        <v/>
      </c>
      <c r="GZ4" s="40" t="str">
        <f t="shared" ref="GZ4:GZ19" si="85">IF(SUM(GI4:GL4)-GM4&gt;0,SUM(GI4:GL4)-GM4,"")</f>
        <v/>
      </c>
      <c r="HA4" s="40">
        <f t="shared" ref="HA4:HA19" si="86">IF(SUM(GT4,GW4,GZ4)&gt;0,SUM(GT4,GW4,GZ4),"")</f>
        <v>67.56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9" si="87">IF(HD4&gt;0,HD4,"")</f>
        <v/>
      </c>
      <c r="HW4" s="11" t="str">
        <f t="shared" ref="HW4:HW19" si="88">IF(HE4&gt;0,HE4,"")</f>
        <v/>
      </c>
      <c r="HX4" s="11" t="str">
        <f t="shared" ref="HX4:HX19" si="89">IF(SUM(HB4:HE4)-HF4&gt;0,SUM(HB4:HE4)-HF4,"")</f>
        <v/>
      </c>
      <c r="HY4" s="11" t="str">
        <f t="shared" ref="HY4:HY19" si="90">IF(HI4&gt;0,HI4,"")</f>
        <v/>
      </c>
      <c r="HZ4" s="11" t="str">
        <f t="shared" ref="HZ4:HZ19" si="91">IF(HJ4&gt;0,HJ4,"")</f>
        <v/>
      </c>
      <c r="IA4" s="11" t="str">
        <f t="shared" ref="IA4:IA19" si="92">IF(SUM(HG4:HJ4)-HK4&gt;0,SUM(HG4:HJ4)-HK4,"")</f>
        <v/>
      </c>
      <c r="IB4" s="11" t="str">
        <f t="shared" ref="IB4:IB19" si="93">IF(MAX(HX4,IA4)&gt;0,MAX(HX4,IA4),"")</f>
        <v/>
      </c>
      <c r="IC4" s="11" t="str">
        <f t="shared" ref="IC4:IC19" si="94">IF(HN4&gt;0,HN4,"")</f>
        <v/>
      </c>
      <c r="ID4" s="11" t="str">
        <f t="shared" ref="ID4:ID19" si="95">IF(HO4&gt;0,HO4,"")</f>
        <v/>
      </c>
      <c r="IE4" s="11" t="str">
        <f t="shared" ref="IE4:IE19" si="96">IF(SUM(HL4:HO4)-HP4&gt;0,SUM(HL4:HO4)-HP4,"")</f>
        <v/>
      </c>
      <c r="IF4" s="11" t="str">
        <f t="shared" ref="IF4:IF19" si="97">IF(HS4&gt;0,HS4,"")</f>
        <v/>
      </c>
      <c r="IG4" s="11" t="str">
        <f t="shared" ref="IG4:IG19" si="98">IF(HT4&gt;0,HT4,"")</f>
        <v/>
      </c>
      <c r="IH4" s="11" t="str">
        <f t="shared" ref="IH4:IH19" si="99">IF(SUM(HQ4:HT4)-HU4&gt;0,SUM(HQ4:HT4)-HU4,"")</f>
        <v/>
      </c>
      <c r="II4" s="11" t="str">
        <f t="shared" ref="II4:II19" si="100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9" si="101">IF(IL4&gt;0,IL4,"")</f>
        <v/>
      </c>
      <c r="JE4" s="40" t="str">
        <f t="shared" ref="JE4:JE19" si="102">IF(IM4&gt;0,IM4,"")</f>
        <v/>
      </c>
      <c r="JF4" s="40" t="str">
        <f t="shared" ref="JF4:JF19" si="103">IF(SUM(IJ4:IM4)-IN4&gt;0,SUM(IJ4:IM4)-IN4,"")</f>
        <v/>
      </c>
      <c r="JG4" s="40" t="str">
        <f t="shared" ref="JG4:JG19" si="104">IF(IQ4&gt;0,IQ4,"")</f>
        <v/>
      </c>
      <c r="JH4" s="40" t="str">
        <f t="shared" ref="JH4:JH19" si="105">IF(IR4&gt;0,IR4,"")</f>
        <v/>
      </c>
      <c r="JI4" s="40" t="str">
        <f t="shared" ref="JI4:JI19" si="106">IF(SUM(IO4:IR4)-IS4&gt;0,SUM(IO4:IR4)-IS4,"")</f>
        <v/>
      </c>
      <c r="JJ4" s="40" t="str">
        <f t="shared" ref="JJ4:JJ19" si="107">IF(MAX(JF4,JI4)&gt;0,MAX(JF4,JI4),"")</f>
        <v/>
      </c>
      <c r="JK4" s="40" t="str">
        <f t="shared" ref="JK4:JK19" si="108">IF(IV4&gt;0,IV4,"")</f>
        <v/>
      </c>
      <c r="JL4" s="40" t="str">
        <f t="shared" ref="JL4:JL19" si="109">IF(IW4&gt;0,IW4,"")</f>
        <v/>
      </c>
      <c r="JM4" s="40" t="str">
        <f t="shared" ref="JM4:JM19" si="110">IF(SUM(IT4:IW4)-IX4&gt;0,SUM(IT4:IW4)-IX4,"")</f>
        <v/>
      </c>
      <c r="JN4" s="40" t="str">
        <f t="shared" ref="JN4:JN19" si="111">IF(JA4&gt;0,JA4,"")</f>
        <v/>
      </c>
      <c r="JO4" s="40" t="str">
        <f t="shared" ref="JO4:JO19" si="112">IF(JB4&gt;0,JB4,"")</f>
        <v/>
      </c>
      <c r="JP4" s="40" t="str">
        <f t="shared" ref="JP4:JP19" si="113">IF(SUM(IY4:JB4)-JC4&gt;0,SUM(IY4:JB4)-JC4,"")</f>
        <v/>
      </c>
      <c r="JQ4" s="40" t="str">
        <f t="shared" ref="JQ4:JQ19" si="114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9" si="115">IF(JT4&gt;0,JT4,"")</f>
        <v/>
      </c>
      <c r="KM4" s="11" t="str">
        <f t="shared" ref="KM4:KM19" si="116">IF(JU4&gt;0,JU4,"")</f>
        <v/>
      </c>
      <c r="KN4" s="11" t="str">
        <f t="shared" ref="KN4:KN19" si="117">IF(SUM(JR4:JU4)-JV4&gt;0,SUM(JR4:JU4)-JV4,"")</f>
        <v/>
      </c>
      <c r="KO4" s="11" t="str">
        <f t="shared" ref="KO4:KO19" si="118">IF(JY4&gt;0,JY4,"")</f>
        <v/>
      </c>
      <c r="KP4" s="11" t="str">
        <f t="shared" ref="KP4:KP19" si="119">IF(JZ4&gt;0,JZ4,"")</f>
        <v/>
      </c>
      <c r="KQ4" s="11" t="str">
        <f t="shared" ref="KQ4:KQ19" si="120">IF(SUM(JW4:JZ4)-KA4&gt;0,SUM(JW4:JZ4)-KA4,"")</f>
        <v/>
      </c>
      <c r="KR4" s="11" t="str">
        <f t="shared" ref="KR4:KR19" si="121">IF(MAX(KN4,KQ4)&gt;0,MAX(KN4,KQ4),"")</f>
        <v/>
      </c>
      <c r="KS4" s="11" t="str">
        <f t="shared" ref="KS4:KS19" si="122">IF(KD4&gt;0,KD4,"")</f>
        <v/>
      </c>
      <c r="KT4" s="11" t="str">
        <f t="shared" ref="KT4:KT19" si="123">IF(KE4&gt;0,KE4,"")</f>
        <v/>
      </c>
      <c r="KU4" s="11" t="str">
        <f t="shared" ref="KU4:KU19" si="124">IF(SUM(KB4:KE4)-KF4&gt;0,SUM(KB4:KE4)-KF4,"")</f>
        <v/>
      </c>
      <c r="KV4" s="11" t="str">
        <f t="shared" ref="KV4:KV19" si="125">IF(KI4&gt;0,KI4,"")</f>
        <v/>
      </c>
      <c r="KW4" s="11" t="str">
        <f t="shared" ref="KW4:KW19" si="126">IF(KJ4&gt;0,KJ4,"")</f>
        <v/>
      </c>
      <c r="KX4" s="11" t="str">
        <f t="shared" ref="KX4:KX19" si="127">IF(SUM(KG4:KJ4)-KK4&gt;0,SUM(KG4:KJ4)-KK4,"")</f>
        <v/>
      </c>
      <c r="KY4" s="11" t="str">
        <f t="shared" ref="KY4:KY19" si="128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9" si="129">IF(LB4&gt;0,LB4,"")</f>
        <v/>
      </c>
      <c r="LU4" s="40" t="str">
        <f t="shared" ref="LU4:LU19" si="130">IF(LC4&gt;0,LC4,"")</f>
        <v/>
      </c>
      <c r="LV4" s="40" t="str">
        <f t="shared" ref="LV4:LV19" si="131">IF(SUM(KZ4:LC4)-LD4&gt;0,SUM(KZ4:LC4)-LD4,"")</f>
        <v/>
      </c>
      <c r="LW4" s="40" t="str">
        <f t="shared" ref="LW4:LW19" si="132">IF(LG4&gt;0,LG4,"")</f>
        <v/>
      </c>
      <c r="LX4" s="40" t="str">
        <f t="shared" ref="LX4:LX19" si="133">IF(LH4&gt;0,LH4,"")</f>
        <v/>
      </c>
      <c r="LY4" s="40" t="str">
        <f t="shared" ref="LY4:LY19" si="134">IF(SUM(LE4:LH4)-LI4&gt;0,SUM(LE4:LH4)-LI4,"")</f>
        <v/>
      </c>
      <c r="LZ4" s="40" t="str">
        <f t="shared" ref="LZ4:LZ19" si="135">IF(MAX(LV4,LY4)&gt;0,MAX(LV4,LY4),"")</f>
        <v/>
      </c>
      <c r="MA4" s="40" t="str">
        <f t="shared" ref="MA4:MA19" si="136">IF(LL4&gt;0,LL4,"")</f>
        <v/>
      </c>
      <c r="MB4" s="40" t="str">
        <f t="shared" ref="MB4:MB19" si="137">IF(LM4&gt;0,LM4,"")</f>
        <v/>
      </c>
      <c r="MC4" s="40" t="str">
        <f t="shared" ref="MC4:MC19" si="138">IF(SUM(LJ4:LM4)-LN4&gt;0,SUM(LJ4:LM4)-LN4,"")</f>
        <v/>
      </c>
      <c r="MD4" s="40" t="str">
        <f t="shared" ref="MD4:MD19" si="139">IF(LQ4&gt;0,LQ4,"")</f>
        <v/>
      </c>
      <c r="ME4" s="40" t="str">
        <f t="shared" ref="ME4:ME19" si="140">IF(LR4&gt;0,LR4,"")</f>
        <v/>
      </c>
      <c r="MF4" s="40" t="str">
        <f t="shared" ref="MF4:MF19" si="141">IF(SUM(LO4:LR4)-LS4&gt;0,SUM(LO4:LR4)-LS4,"")</f>
        <v/>
      </c>
      <c r="MG4" s="40" t="str">
        <f t="shared" ref="MG4:MG19" si="142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9" si="143">IF(MJ4&gt;0,MJ4,"")</f>
        <v/>
      </c>
      <c r="NC4" s="11" t="str">
        <f t="shared" ref="NC4:NC19" si="144">IF(MK4&gt;0,MK4,"")</f>
        <v/>
      </c>
      <c r="ND4" s="11" t="str">
        <f t="shared" ref="ND4:ND19" si="145">IF(SUM(MH4:MK4)-ML4&gt;0,SUM(MH4:MK4)-ML4,"")</f>
        <v/>
      </c>
      <c r="NE4" s="11" t="str">
        <f t="shared" ref="NE4:NE19" si="146">IF(MO4&gt;0,MO4,"")</f>
        <v/>
      </c>
      <c r="NF4" s="11" t="str">
        <f t="shared" ref="NF4:NF19" si="147">IF(MP4&gt;0,MP4,"")</f>
        <v/>
      </c>
      <c r="NG4" s="11" t="str">
        <f t="shared" ref="NG4:NG19" si="148">IF(SUM(MM4:MP4)-MQ4&gt;0,SUM(MM4:MP4)-MQ4,"")</f>
        <v/>
      </c>
      <c r="NH4" s="11" t="str">
        <f t="shared" ref="NH4:NH19" si="149">IF(MAX(ND4,NG4)&gt;0,MAX(ND4,NG4),"")</f>
        <v/>
      </c>
      <c r="NI4" s="11" t="str">
        <f t="shared" ref="NI4:NI19" si="150">IF(MT4&gt;0,MT4,"")</f>
        <v/>
      </c>
      <c r="NJ4" s="11" t="str">
        <f t="shared" ref="NJ4:NJ19" si="151">IF(MU4&gt;0,MU4,"")</f>
        <v/>
      </c>
      <c r="NK4" s="11" t="str">
        <f t="shared" ref="NK4:NK19" si="152">IF(SUM(MR4:MU4)-MV4&gt;0,SUM(MR4:MU4)-MV4,"")</f>
        <v/>
      </c>
      <c r="NL4" s="11" t="str">
        <f t="shared" ref="NL4:NL19" si="153">IF(MY4&gt;0,MY4,"")</f>
        <v/>
      </c>
      <c r="NM4" s="11" t="str">
        <f t="shared" ref="NM4:NM19" si="154">IF(MZ4&gt;0,MZ4,"")</f>
        <v/>
      </c>
      <c r="NN4" s="11" t="str">
        <f t="shared" ref="NN4:NN19" si="155">IF(SUM(MW4:MZ4)-NA4&gt;0,SUM(MW4:MZ4)-NA4,"")</f>
        <v/>
      </c>
      <c r="NO4" s="11" t="str">
        <f t="shared" ref="NO4:NO19" si="156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9" si="157">IF(NR4&gt;0,NR4,"")</f>
        <v/>
      </c>
      <c r="OK4" s="40" t="str">
        <f t="shared" ref="OK4:OK19" si="158">IF(NS4&gt;0,NS4,"")</f>
        <v/>
      </c>
      <c r="OL4" s="40" t="str">
        <f t="shared" ref="OL4:OL19" si="159">IF(SUM(NP4:NS4)-NT4&gt;0,SUM(NP4:NS4)-NT4,"")</f>
        <v/>
      </c>
      <c r="OM4" s="40" t="str">
        <f t="shared" ref="OM4:OM19" si="160">IF(NW4&gt;0,NW4,"")</f>
        <v/>
      </c>
      <c r="ON4" s="40" t="str">
        <f t="shared" ref="ON4:ON19" si="161">IF(NX4&gt;0,NX4,"")</f>
        <v/>
      </c>
      <c r="OO4" s="40" t="str">
        <f t="shared" ref="OO4:OO19" si="162">IF(SUM(NU4:NX4)-NY4&gt;0,SUM(NU4:NX4)-NY4,"")</f>
        <v/>
      </c>
      <c r="OP4" s="40" t="str">
        <f t="shared" ref="OP4:OP19" si="163">IF(MAX(OL4,OO4)&gt;0,MAX(OL4,OO4),"")</f>
        <v/>
      </c>
      <c r="OQ4" s="40" t="str">
        <f t="shared" ref="OQ4:OQ19" si="164">IF(OB4&gt;0,OB4,"")</f>
        <v/>
      </c>
      <c r="OR4" s="40" t="str">
        <f t="shared" ref="OR4:OR19" si="165">IF(OC4&gt;0,OC4,"")</f>
        <v/>
      </c>
      <c r="OS4" s="40" t="str">
        <f t="shared" ref="OS4:OS19" si="166">IF(SUM(NZ4:OC4)-OD4&gt;0,SUM(NZ4:OC4)-OD4,"")</f>
        <v/>
      </c>
      <c r="OT4" s="40" t="str">
        <f t="shared" ref="OT4:OT19" si="167">IF(OG4&gt;0,OG4,"")</f>
        <v/>
      </c>
      <c r="OU4" s="40" t="str">
        <f t="shared" ref="OU4:OU19" si="168">IF(OH4&gt;0,OH4,"")</f>
        <v/>
      </c>
      <c r="OV4" s="40" t="str">
        <f t="shared" ref="OV4:OV19" si="169">IF(SUM(OE4:OH4)-OI4&gt;0,SUM(OE4:OH4)-OI4,"")</f>
        <v/>
      </c>
      <c r="OW4" s="40" t="str">
        <f t="shared" ref="OW4:OW19" si="170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9" si="171">IF(OZ4&gt;0,OZ4,"")</f>
        <v/>
      </c>
      <c r="PS4" s="11" t="str">
        <f t="shared" ref="PS4:PS19" si="172">IF(PA4&gt;0,PA4,"")</f>
        <v/>
      </c>
      <c r="PT4" s="11" t="str">
        <f t="shared" ref="PT4:PT19" si="173">IF(SUM(OX4:PA4)-PB4&gt;0,SUM(OX4:PA4)-PB4,"")</f>
        <v/>
      </c>
      <c r="PU4" s="11" t="str">
        <f t="shared" ref="PU4:PU19" si="174">IF(PE4&gt;0,PE4,"")</f>
        <v/>
      </c>
      <c r="PV4" s="11" t="str">
        <f t="shared" ref="PV4:PV19" si="175">IF(PF4&gt;0,PF4,"")</f>
        <v/>
      </c>
      <c r="PW4" s="11" t="str">
        <f t="shared" ref="PW4:PW19" si="176">IF(SUM(PC4:PF4)-PG4&gt;0,SUM(PC4:PF4)-PG4,"")</f>
        <v/>
      </c>
      <c r="PX4" s="11" t="str">
        <f t="shared" ref="PX4:PX19" si="177">IF(MAX(PT4,PW4)&gt;0,MAX(PT4,PW4),"")</f>
        <v/>
      </c>
      <c r="PY4" s="11" t="str">
        <f t="shared" ref="PY4:PY19" si="178">IF(PJ4&gt;0,PJ4,"")</f>
        <v/>
      </c>
      <c r="PZ4" s="11" t="str">
        <f t="shared" ref="PZ4:PZ19" si="179">IF(PK4&gt;0,PK4,"")</f>
        <v/>
      </c>
      <c r="QA4" s="11" t="str">
        <f t="shared" ref="QA4:QA19" si="180">IF(SUM(PH4:PK4)-PL4&gt;0,SUM(PH4:PK4)-PL4,"")</f>
        <v/>
      </c>
      <c r="QB4" s="11" t="str">
        <f t="shared" ref="QB4:QB19" si="181">IF(PO4&gt;0,PO4,"")</f>
        <v/>
      </c>
      <c r="QC4" s="11" t="str">
        <f t="shared" ref="QC4:QC19" si="182">IF(PP4&gt;0,PP4,"")</f>
        <v/>
      </c>
      <c r="QD4" s="11" t="str">
        <f t="shared" ref="QD4:QD19" si="183">IF(SUM(PM4:PP4)-PQ4&gt;0,SUM(PM4:PP4)-PQ4,"")</f>
        <v/>
      </c>
      <c r="QE4" s="11" t="str">
        <f t="shared" ref="QE4:QE19" si="184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9" si="185">IF(QH4&gt;0,QH4,"")</f>
        <v/>
      </c>
      <c r="RA4" s="40" t="str">
        <f t="shared" ref="RA4:RA19" si="186">IF(QI4&gt;0,QI4,"")</f>
        <v/>
      </c>
      <c r="RB4" s="40" t="str">
        <f t="shared" ref="RB4:RB19" si="187">IF(SUM(QF4:QI4)-QJ4&gt;0,SUM(QF4:QI4)-QJ4,"")</f>
        <v/>
      </c>
      <c r="RC4" s="40" t="str">
        <f t="shared" ref="RC4:RC19" si="188">IF(QM4&gt;0,QM4,"")</f>
        <v/>
      </c>
      <c r="RD4" s="40" t="str">
        <f t="shared" ref="RD4:RD19" si="189">IF(QN4&gt;0,QN4,"")</f>
        <v/>
      </c>
      <c r="RE4" s="40" t="str">
        <f t="shared" ref="RE4:RE19" si="190">IF(SUM(QK4:QN4)-QO4&gt;0,SUM(QK4:QN4)-QO4,"")</f>
        <v/>
      </c>
      <c r="RF4" s="40" t="str">
        <f t="shared" ref="RF4:RF19" si="191">IF(MAX(RB4,RE4)&gt;0,MAX(RB4,RE4),"")</f>
        <v/>
      </c>
      <c r="RG4" s="40" t="str">
        <f t="shared" ref="RG4:RG19" si="192">IF(QR4&gt;0,QR4,"")</f>
        <v/>
      </c>
      <c r="RH4" s="40" t="str">
        <f t="shared" ref="RH4:RH19" si="193">IF(QS4&gt;0,QS4,"")</f>
        <v/>
      </c>
      <c r="RI4" s="40" t="str">
        <f t="shared" ref="RI4:RI19" si="194">IF(SUM(QP4:QS4)-QT4&gt;0,SUM(QP4:QS4)-QT4,"")</f>
        <v/>
      </c>
      <c r="RJ4" s="40" t="str">
        <f t="shared" ref="RJ4:RJ19" si="195">IF(QW4&gt;0,QW4,"")</f>
        <v/>
      </c>
      <c r="RK4" s="40" t="str">
        <f t="shared" ref="RK4:RK19" si="196">IF(QX4&gt;0,QX4,"")</f>
        <v/>
      </c>
      <c r="RL4" s="40" t="str">
        <f t="shared" ref="RL4:RL19" si="197">IF(SUM(QU4:QX4)-QY4&gt;0,SUM(QU4:QX4)-QY4,"")</f>
        <v/>
      </c>
      <c r="RM4" s="40" t="str">
        <f t="shared" ref="RM4:RM19" si="198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9" si="199">IF(RP4&gt;0,RP4,"")</f>
        <v/>
      </c>
      <c r="SI4" s="11" t="str">
        <f t="shared" ref="SI4:SI19" si="200">IF(RQ4&gt;0,RQ4,"")</f>
        <v/>
      </c>
      <c r="SJ4" s="11" t="str">
        <f t="shared" ref="SJ4:SJ19" si="201">IF(SUM(RN4:RQ4)-RR4&gt;0,SUM(RN4:RQ4)-RR4,"")</f>
        <v/>
      </c>
      <c r="SK4" s="11" t="str">
        <f t="shared" ref="SK4:SK19" si="202">IF(RU4&gt;0,RU4,"")</f>
        <v/>
      </c>
      <c r="SL4" s="11" t="str">
        <f t="shared" ref="SL4:SL19" si="203">IF(RV4&gt;0,RV4,"")</f>
        <v/>
      </c>
      <c r="SM4" s="11" t="str">
        <f t="shared" ref="SM4:SM19" si="204">IF(SUM(RS4:RV4)-RW4&gt;0,SUM(RS4:RV4)-RW4,"")</f>
        <v/>
      </c>
      <c r="SN4" s="11" t="str">
        <f t="shared" ref="SN4:SN19" si="205">IF(MAX(SJ4,SM4)&gt;0,MAX(SJ4,SM4),"")</f>
        <v/>
      </c>
      <c r="SO4" s="11" t="str">
        <f t="shared" ref="SO4:SO19" si="206">IF(RZ4&gt;0,RZ4,"")</f>
        <v/>
      </c>
      <c r="SP4" s="11" t="str">
        <f t="shared" ref="SP4:SP19" si="207">IF(SA4&gt;0,SA4,"")</f>
        <v/>
      </c>
      <c r="SQ4" s="11" t="str">
        <f t="shared" ref="SQ4:SQ19" si="208">IF(SUM(RX4:SA4)-SB4&gt;0,SUM(RX4:SA4)-SB4,"")</f>
        <v/>
      </c>
      <c r="SR4" s="11" t="str">
        <f t="shared" ref="SR4:SR19" si="209">IF(SE4&gt;0,SE4,"")</f>
        <v/>
      </c>
      <c r="SS4" s="11" t="str">
        <f t="shared" ref="SS4:SS19" si="210">IF(SF4&gt;0,SF4,"")</f>
        <v/>
      </c>
      <c r="ST4" s="11" t="str">
        <f t="shared" ref="ST4:ST19" si="211">IF(SUM(SC4:SF4)-SG4&gt;0,SUM(SC4:SF4)-SG4,"")</f>
        <v/>
      </c>
      <c r="SU4" s="11" t="str">
        <f t="shared" ref="SU4:SU19" si="212">IF(SUM(SN4,SQ4,ST4)&gt;0,SUM(SN4,SQ4,ST4),"")</f>
        <v/>
      </c>
      <c r="SV4" s="22">
        <f t="shared" ref="SV4:SV19" si="213">IF($CP4="P",CA4,(CA4+AZ4)/2)</f>
        <v>12.9</v>
      </c>
      <c r="SW4" s="22">
        <f t="shared" ref="SW4:SW19" si="214">IF($CP4="P",CB4,(CB4+BA4)/2)</f>
        <v>9.0500000000000007</v>
      </c>
      <c r="SX4" s="22">
        <f t="shared" ref="SX4:SX19" si="215">IF($CP4="P",CC4,(CC4+BB4)/2)</f>
        <v>12.600000000000001</v>
      </c>
      <c r="SY4" s="22">
        <f t="shared" ref="SY4:SY19" si="216">IF($CP4="P",CD4,(CD4+BC4)/2)</f>
        <v>14.45</v>
      </c>
      <c r="SZ4" s="22">
        <f t="shared" ref="SZ4:SZ19" si="217">IF($CP4="P",CE4,(CE4+BD4)/2)</f>
        <v>0.7</v>
      </c>
      <c r="TA4" s="22">
        <f t="shared" ref="TA4:TA19" si="218">IF($CP4="P",CF4,(CF4+BE4)/2)</f>
        <v>7.2</v>
      </c>
      <c r="TB4" s="22">
        <f t="shared" ref="TB4:TB19" si="219">IF($CP4="P",CG4,(CG4+BF4)/2)</f>
        <v>5.05</v>
      </c>
      <c r="TC4" s="22">
        <f t="shared" ref="TC4:TC19" si="220">IF($CP4="P",CH4,(CH4+BG4)/2)</f>
        <v>8.25</v>
      </c>
      <c r="TD4" s="22">
        <f t="shared" ref="TD4:TD19" si="221">IF($CP4="P",CI4,(CI4+BH4)/2)</f>
        <v>8.2249999999999996</v>
      </c>
      <c r="TE4" s="22">
        <f t="shared" ref="TE4:TE19" si="222">IF($CP4="P",CJ4,(CJ4+BI4)/2)</f>
        <v>0</v>
      </c>
      <c r="TF4" s="22">
        <f t="shared" ref="TF4:TF19" si="223">IF($CP4="P",CK4,(CK4+BJ4)/2)</f>
        <v>12.8</v>
      </c>
      <c r="TG4" s="22">
        <f t="shared" ref="TG4:TG19" si="224">IF($CP4="P",CL4,(CL4+BK4)/2)</f>
        <v>9.25</v>
      </c>
      <c r="TH4" s="22">
        <f t="shared" ref="TH4:TH19" si="225">IF($CP4="P",CM4,(CM4+BL4)/2)</f>
        <v>14.2</v>
      </c>
      <c r="TI4" s="22">
        <f t="shared" ref="TI4:TI19" si="226">IF($CP4="P",CN4,(CN4+BM4)/2)</f>
        <v>14.829999999999998</v>
      </c>
      <c r="TJ4" s="22">
        <f t="shared" ref="TJ4:TJ19" si="227">IF($CP4="P",CO4,(CO4+BN4)/2)</f>
        <v>0</v>
      </c>
      <c r="TK4" s="27" t="s">
        <v>46</v>
      </c>
      <c r="TL4" s="40">
        <f t="shared" ref="TL4:TL19" si="228">IF(SX4&gt;0,SX4,"")</f>
        <v>12.600000000000001</v>
      </c>
      <c r="TM4" s="40">
        <f t="shared" ref="TM4:TM19" si="229">IF(SY4&gt;0,SY4,"")</f>
        <v>14.45</v>
      </c>
      <c r="TN4" s="40">
        <f t="shared" ref="TN4:TN19" si="230">IF(SUM(SV4:SY4)-SZ4&gt;0,SUM(SV4:SY4)-SZ4,"")</f>
        <v>48.3</v>
      </c>
      <c r="TO4" s="40">
        <f t="shared" ref="TO4:TO19" si="231">IF(TC4&gt;0,TC4,"")</f>
        <v>8.25</v>
      </c>
      <c r="TP4" s="40">
        <f t="shared" ref="TP4:TP19" si="232">IF(TD4&gt;0,TD4,"")</f>
        <v>8.2249999999999996</v>
      </c>
      <c r="TQ4" s="40">
        <f t="shared" ref="TQ4:TQ19" si="233">IF(SUM(TA4:TD4)-TE4&gt;0,SUM(TA4:TD4)-TE4,"")</f>
        <v>28.725000000000001</v>
      </c>
      <c r="TR4" s="40">
        <f t="shared" ref="TR4:TR19" si="234">IF(MAX(TN4,TQ4)&gt;0,MAX(TN4,TQ4),"")</f>
        <v>48.3</v>
      </c>
      <c r="TS4" s="40">
        <f t="shared" ref="TS4:TS19" si="235">IF(TH4&gt;0,TH4,"")</f>
        <v>14.2</v>
      </c>
      <c r="TT4" s="40">
        <f t="shared" ref="TT4:TT19" si="236">IF(TI4&gt;0,TI4,"")</f>
        <v>14.829999999999998</v>
      </c>
      <c r="TU4" s="40">
        <f t="shared" ref="TU4:TU19" si="237">IF(SUM(TF4:TI4)-TJ4&gt;0,SUM(TF4:TI4)-TJ4,"")</f>
        <v>51.08</v>
      </c>
      <c r="TV4" s="40">
        <f t="shared" ref="TV4:TV19" si="238">IF(SUM(TR4,TU4)&gt;0,SUM(TR4,TU4),"")</f>
        <v>99.38</v>
      </c>
    </row>
    <row r="5" spans="1:542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133</v>
      </c>
      <c r="D5" s="4" t="s">
        <v>6</v>
      </c>
      <c r="E5" s="4">
        <v>2007</v>
      </c>
      <c r="F5" s="9">
        <f t="shared" si="0"/>
        <v>184.4400184440052</v>
      </c>
      <c r="G5" s="64" t="s">
        <v>46</v>
      </c>
      <c r="H5" s="3" t="str">
        <f>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P","")</f>
        <v>P</v>
      </c>
      <c r="I5" s="3" t="str">
        <f>IF(OR(AND(AQ5&gt;=AY$26,AQ5&lt;&gt;"",AN5=""),AND(AT5&gt;=AY$26,AT5&lt;&gt;"",AN5=""),AND(AX5&gt;=AY$26,AX5&lt;&gt;"",AN5=""),AND(BR5&gt;=BZ$26,BR5&lt;&gt;"",BO5=""),AND(BU5&gt;=BZ$26,BU5&lt;&gt;"",BO5=""),AND(BY5&gt;=BZ$26,BY5&lt;&gt;"",BO5=""),AND(CS5&gt;=DA$26,CS5&lt;&gt;"",CP5=""),AND(CV5&gt;=DA$26,CV5&lt;&gt;"",CP5=""),AND(CZ5&gt;=DA$26,CZ5&lt;&gt;"",CP5=""),AND(DZ5&gt;=EK$26,DZ5&lt;&gt;""),AND(EC5&gt;=EK$26,EC5&lt;&gt;""),AND(EG5&gt;=EK$26,EG5&lt;&gt;""),AND(EJ5&gt;=EK$26,EJ5&lt;&gt;""),AND(FH5&gt;=FS$26,FH5&lt;&gt;""),AND(FK5&gt;=FS$26,FK5&lt;&gt;""),AND(FO5&gt;=FS$26,FO5&lt;&gt;""),AND(FR5&gt;=FS$26,FR5&lt;&gt;""),AND(GP5&gt;=HA$26,GP5&lt;&gt;""),AND(GS5&gt;=HA$26,GS5&lt;&gt;""),AND(GW5&gt;=HA$26,GW5&lt;&gt;""),AND(GZ5&gt;=HA$26,GZ5&lt;&gt;""),AND(HX5&gt;=II$26,HX5&lt;&gt;""),AND(IA5&gt;=II$26,IA5&lt;&gt;""),AND(IE5&gt;=II$26,IE5&lt;&gt;""),AND(IH5&gt;=II$26,IH5&lt;&gt;""),AND(JF5&gt;=JQ$26,JF5&lt;&gt;""),AND(JI5&gt;=JQ$26,JI5&lt;&gt;""),AND(JM5&gt;=JQ$26,JM5&lt;&gt;""),AND(JP5&gt;=JQ$26,JP5&lt;&gt;""),AND(KN5&gt;=KY$26,KN5&lt;&gt;""),AND(KQ5&gt;=KY$26,KQ5&lt;&gt;""),AND(KU5&gt;=KY$26,KU5&lt;&gt;""),AND(KX5&gt;=KY$26,KX5&lt;&gt;""),AND(LV5&gt;=MG$26,LV5&lt;&gt;""),AND(LY5&gt;=MG$26,LY5&lt;&gt;""),AND(MC5&gt;=MG$26,MC5&lt;&gt;""),AND(MF5&gt;=MG$26,MF5&lt;&gt;""),AND(ND5&gt;=NO$26,ND5&lt;&gt;""),AND(NG5&gt;=NO$26,NG5&lt;&gt;""),AND(NK5&gt;=NO$26,NK5&lt;&gt;""),AND(NN5&gt;=NO$26,NN5&lt;&gt;""),AND(OL5&gt;=OW$26,OL5&lt;&gt;""),AND(OO5&gt;=OW$26,OO5&lt;&gt;""),AND(OS5&gt;=OW$26,OS5&lt;&gt;""),AND(OV5&gt;=OW$26,OV5&lt;&gt;""),AND(PT5&gt;=QE$26,PT5&lt;&gt;""),AND(PW5&gt;=QE$26,PW5&lt;&gt;""),AND(QA5&gt;=QE$26,QA5&lt;&gt;""),AND(QD5&gt;=QE$26,QD5&lt;&gt;""),AND(RB5&gt;=RM$26,RB5&lt;&gt;""),AND(RE5&gt;=RM$26,RE5&lt;&gt;""),AND(RI5&gt;=RM$26,RI5&lt;&gt;""),AND(RL5&gt;=RM$26,RL5&lt;&gt;""),AND(SJ5&gt;=SU$26,SJ5&lt;&gt;""),AND(SM5&gt;=SU$26,SM5&lt;&gt;""),AND(SQ5&gt;=SU$26,SQ5&lt;&gt;""),AND(ST5&gt;=SU$26,ST5&lt;&gt;"")),"P","")</f>
        <v>P</v>
      </c>
      <c r="J5" s="36" t="str">
        <f>IF(AND(I5="P",H5=""),"No DD",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Merit",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Excellence",IF(K5="P","Worlds Team",IF(H5="P","National Team","")))))</f>
        <v>National Team</v>
      </c>
      <c r="K5" s="3" t="str">
        <f>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P","")</f>
        <v/>
      </c>
      <c r="L5" s="8">
        <f>IF(COUNT(AQ5,AT5,BR5,BU5,CS5,CV5)&gt;0,LARGE((AQ5,AT5,BR5,BU5,CS5,CV5),1),0)</f>
        <v>52.15</v>
      </c>
      <c r="M5" s="8" t="str">
        <f t="shared" si="1"/>
        <v>2025 Nationals</v>
      </c>
      <c r="N5" s="8">
        <f>IF(COUNT(AQ5,AT5,BR5,BU5,CS5,CV5)&gt;1,LARGE((AQ5,AT5,BR5,BU5,CS5,CV5),2),0)</f>
        <v>51.489999999999995</v>
      </c>
      <c r="O5" s="8" t="str">
        <f t="shared" si="2"/>
        <v>2025 Elite Canada</v>
      </c>
      <c r="P5" s="8">
        <f>IF(COUNT(AQ5,AT5,BR5,BU5,CS5,CV5)&gt;2,MAX(AX5,BY5,CZ5,LARGE((AQ5,AT5,BR5,BU5,CS5,CV5),3)),IF(MAX(AX5,BY5,CZ5)&gt;0,MAX(AX5,BY5,CZ5),0))</f>
        <v>51.86999999999999</v>
      </c>
      <c r="Q5" s="8" t="str">
        <f t="shared" si="3"/>
        <v>2025 Nationals</v>
      </c>
      <c r="R5" s="8">
        <f t="shared" si="4"/>
        <v>14.3</v>
      </c>
      <c r="S5" s="8" t="str">
        <f t="shared" si="5"/>
        <v>2025 Nationals</v>
      </c>
      <c r="T5" s="8">
        <f>IF(MAX(IF(AO5&gt;=$AY$22,AP5,0),IF(AR5&gt;=$AY$22,AS5,0),IF(AV5&gt;=$AY$22,AW5,0),IF(BP5&gt;=$BZ$22,BQ5,0),IF(BS5&gt;=$BZ$22,BT5,0),IF(BW5&gt;=$BZ$22,BX5,0),IF(CQ5&gt;=$DA$22,CR5,0),IF(CT5&gt;=$DA$22,CU5,0),IF(CX5&gt;=$DA$22,CY5,0),IF(DX5&gt;=$EK$22,DY5,0),IF(EA5&gt;=$EK$22,EB5,0),IF(EE5&gt;=$EK$22,EF5,0),IF(EH5&gt;=$EK$22,EI5,0),IF(FF5&gt;=$FS$22,FG5,0),IF(FI5&gt;=$FS$22,FJ5,0),IF(FM5&gt;=$FS$22,FN5,0),IF(FP5&gt;=$FS$22,FQ5,0),IF(GN5&gt;=$HA$22,GO5,0),IF(GQ5&gt;=$HA$22,GR5,0),IF(GU5&gt;=$HA$22,GV5,0),IF(GX5&gt;=$HA$22,GY5,0),IF(HV5&gt;=$II$22,HW5,0),IF(HY5&gt;=$II$22,HZ5,0),IF(IC5&gt;=$II$22,ID5,0),IF(IF5&gt;=$II$22,IG5,0),IF(JD5&gt;=$JQ$22,JE5,0),IF(JG5&gt;=$JQ$22,JH5,0),IF(JK5&gt;=$JQ$22,JL5,0),IF(JN5&gt;=$JQ$22,JO5,0),IF(KL5&gt;=$KY$22,KM5,0),IF(KO5&gt;=$KY$22,KP5,0),IF(KS5&gt;=$KY$22,KT5,0),IF(KV5&gt;=$KY$22,KW5,0),IF(LT5&gt;=$MG$22,LU5,0),IF(LW5&gt;=$MG$22,LX5,0),IF(MA5&gt;=$MG$22,MB5,0),IF(MD5&gt;=$MG$22,ME5,0),IF(NB5&gt;=$NO$22,NC5,0),IF(NE5&gt;=$NO$22,NF5,0),IF(NI5&gt;=$NO$22,NJ5,0),IF(NL5&gt;=$NO$22,NM5,0),IF(OJ5&gt;=$OW$22,OK5,0),IF(OM5&gt;=$OW$22,ON5,0),IF(OQ5&gt;=$OW$22,OR5,0),IF(OT5&gt;=$OW$22,OU5,0),IF(PR5&gt;=$QE$22,PS5,0),IF(PU5&gt;=$QE$22,PV5,0),IF(PY5&gt;=$QE$22,PZ5,0),IF(QB5&gt;=$QE$22,QC5,0),IF(QZ5&gt;=$RM$22,RA5,0),IF(RC5&gt;=$RM$22,RD5,0),IF(RG5&gt;=$RM$22,RH5,0),IF(RJ5&gt;=$RM$22,RK5,0),IF(SH5&gt;=$SU$22,SI5,0),IF(SK5&gt;=$SU$22,SL5,0),IF(SO5&gt;=$SU$22,SP5,0),IF(SR5&gt;=$SU$22,SS5,0))&gt;0,MAX(IF(AO5&gt;=$AY$22,AP5,0),IF(AR5&gt;=$AY$22,AS5,0),IF(AV5&gt;=$AY$22,AW5,0),IF(BP5&gt;=$BZ$22,BQ5,0),IF(BS5&gt;=$BZ$22,BT5,0),IF(BW5&gt;=$BZ$22,BX5,0),IF(CQ5&gt;=$DA$22,CR5,0),IF(CT5&gt;=$DA$22,CU5,0),IF(CX5&gt;=$DA$22,CY5,0),IF(DX5&gt;=$EK$22,DY5,0),IF(EA5&gt;=$EK$22,EB5,0),IF(EE5&gt;=$EK$22,EF5,0),IF(EH5&gt;=$EK$22,EI5,0),IF(FF5&gt;=$FS$22,FG5,0),IF(FI5&gt;=$FS$22,FJ5,0),IF(FM5&gt;=$FS$22,FN5,0),IF(FP5&gt;=$FS$22,FQ5,0),IF(GN5&gt;=$HA$22,GO5,0),IF(GQ5&gt;=$HA$22,GR5,0),IF(GU5&gt;=$HA$22,GV5,0),IF(GX5&gt;=$HA$22,GY5,0),IF(HV5&gt;=$II$22,HW5,0),IF(HY5&gt;=$II$22,HZ5,0),IF(IC5&gt;=$II$22,ID5,0),IF(IF5&gt;=$II$22,IG5,0),IF(JD5&gt;=$JQ$22,JE5,0),IF(JG5&gt;=$JQ$22,JH5,0),IF(JK5&gt;=$JQ$22,JL5,0),IF(JN5&gt;=$JQ$22,JO5,0),IF(KL5&gt;=$KY$22,KM5,0),IF(KO5&gt;=$KY$22,KP5,0),IF(KS5&gt;=$KY$22,KT5,0),IF(KV5&gt;=$KY$22,KW5,0),IF(LT5&gt;=$MG$22,LU5,0),IF(LW5&gt;=$MG$22,LX5,0),IF(MA5&gt;=$MG$22,MB5,0),IF(MD5&gt;=$MG$22,ME5,0),IF(NB5&gt;=$NO$22,NC5,0),IF(NE5&gt;=$NO$22,NF5,0),IF(NI5&gt;=$NO$22,NJ5,0),IF(NL5&gt;=$NO$22,NM5,0),IF(OJ5&gt;=$OW$22,OK5,0),IF(OM5&gt;=$OW$22,ON5,0),IF(OQ5&gt;=$OW$22,OR5,0),IF(OT5&gt;=$OW$22,OU5,0),IF(PR5&gt;=$QE$22,PS5,0),IF(PU5&gt;=$QE$22,PV5,0),IF(PY5&gt;=$QE$22,PZ5,0),IF(QB5&gt;=$QE$22,QC5,0),IF(QZ5&gt;=$RM$22,RA5,0),IF(RC5&gt;=$RM$22,RD5,0),IF(RG5&gt;=$RM$22,RH5,0),IF(RJ5&gt;=$RM$22,RK5,0),IF(SH5&gt;=$SU$22,SI5,0),IF(SK5&gt;=$SU$22,SL5,0),IF(SO5&gt;=$SU$22,SP5,0),IF(SR5&gt;=$SU$22,SS5,0)),0)</f>
        <v>14.63</v>
      </c>
      <c r="U5" s="8" t="str">
        <f t="shared" si="6"/>
        <v>2024 3rd Domestic Trial</v>
      </c>
      <c r="V5" s="8" t="str">
        <f t="shared" si="7"/>
        <v/>
      </c>
      <c r="W5" s="11" t="str">
        <f t="shared" si="8"/>
        <v/>
      </c>
      <c r="X5" s="8" t="str">
        <f t="shared" si="9"/>
        <v/>
      </c>
      <c r="Y5" s="22">
        <v>4.4000000000000004</v>
      </c>
      <c r="Z5" s="22">
        <v>2.5</v>
      </c>
      <c r="AA5" s="22">
        <v>4.2</v>
      </c>
      <c r="AB5" s="22">
        <v>4.68</v>
      </c>
      <c r="AC5" s="22">
        <v>0</v>
      </c>
      <c r="AD5" s="22">
        <v>13.6</v>
      </c>
      <c r="AE5" s="22">
        <v>8.3000000000000007</v>
      </c>
      <c r="AF5" s="22">
        <v>11.9</v>
      </c>
      <c r="AG5" s="22">
        <v>13.44</v>
      </c>
      <c r="AH5" s="22">
        <v>0</v>
      </c>
      <c r="AI5" s="22">
        <v>14.5</v>
      </c>
      <c r="AJ5" s="22">
        <v>9.1</v>
      </c>
      <c r="AK5" s="22">
        <v>13.5</v>
      </c>
      <c r="AL5" s="22">
        <v>14.63</v>
      </c>
      <c r="AM5" s="22">
        <v>0</v>
      </c>
      <c r="AN5" s="27"/>
      <c r="AO5" s="38">
        <f t="shared" si="10"/>
        <v>4.2</v>
      </c>
      <c r="AP5" s="38">
        <f t="shared" si="11"/>
        <v>4.68</v>
      </c>
      <c r="AQ5" s="40">
        <f t="shared" si="12"/>
        <v>15.780000000000001</v>
      </c>
      <c r="AR5" s="40">
        <f t="shared" si="13"/>
        <v>11.9</v>
      </c>
      <c r="AS5" s="40">
        <f t="shared" si="14"/>
        <v>13.44</v>
      </c>
      <c r="AT5" s="40">
        <f t="shared" si="15"/>
        <v>47.239999999999995</v>
      </c>
      <c r="AU5" s="40">
        <f t="shared" si="16"/>
        <v>47.239999999999995</v>
      </c>
      <c r="AV5" s="40">
        <f t="shared" si="17"/>
        <v>13.5</v>
      </c>
      <c r="AW5" s="40">
        <f t="shared" si="18"/>
        <v>14.63</v>
      </c>
      <c r="AX5" s="40">
        <f t="shared" si="19"/>
        <v>51.730000000000004</v>
      </c>
      <c r="AY5" s="40">
        <f t="shared" si="20"/>
        <v>98.97</v>
      </c>
      <c r="AZ5" s="26">
        <v>13.5</v>
      </c>
      <c r="BA5" s="26">
        <v>9.1</v>
      </c>
      <c r="BB5" s="26">
        <v>12.4</v>
      </c>
      <c r="BC5" s="26">
        <v>14.35</v>
      </c>
      <c r="BD5" s="26">
        <v>0.3</v>
      </c>
      <c r="BE5" s="26">
        <v>14.8</v>
      </c>
      <c r="BF5" s="26">
        <v>9.1999999999999993</v>
      </c>
      <c r="BG5" s="26">
        <v>13.4</v>
      </c>
      <c r="BH5" s="26">
        <v>14.09</v>
      </c>
      <c r="BI5" s="26">
        <v>0</v>
      </c>
      <c r="BJ5" s="26">
        <v>13.7</v>
      </c>
      <c r="BK5" s="26">
        <v>9.1999999999999993</v>
      </c>
      <c r="BL5" s="26">
        <v>14.3</v>
      </c>
      <c r="BM5" s="26">
        <v>14.26</v>
      </c>
      <c r="BN5" s="26">
        <v>0</v>
      </c>
      <c r="BO5" s="28"/>
      <c r="BP5" s="39">
        <f t="shared" si="21"/>
        <v>12.4</v>
      </c>
      <c r="BQ5" s="39">
        <f t="shared" si="22"/>
        <v>14.35</v>
      </c>
      <c r="BR5" s="11">
        <f t="shared" si="23"/>
        <v>49.050000000000004</v>
      </c>
      <c r="BS5" s="11">
        <f t="shared" si="24"/>
        <v>13.4</v>
      </c>
      <c r="BT5" s="11">
        <f t="shared" si="25"/>
        <v>14.09</v>
      </c>
      <c r="BU5" s="11">
        <f t="shared" si="26"/>
        <v>51.489999999999995</v>
      </c>
      <c r="BV5" s="11">
        <f t="shared" si="27"/>
        <v>51.489999999999995</v>
      </c>
      <c r="BW5" s="11">
        <f t="shared" si="28"/>
        <v>14.3</v>
      </c>
      <c r="BX5" s="11">
        <f t="shared" si="29"/>
        <v>14.26</v>
      </c>
      <c r="BY5" s="11">
        <f t="shared" si="30"/>
        <v>51.46</v>
      </c>
      <c r="BZ5" s="11">
        <f t="shared" si="31"/>
        <v>102.94999999999999</v>
      </c>
      <c r="CA5" s="22">
        <v>14.1</v>
      </c>
      <c r="CB5" s="22">
        <v>9.6999999999999993</v>
      </c>
      <c r="CC5" s="22">
        <v>10.8</v>
      </c>
      <c r="CD5" s="22">
        <v>14.25</v>
      </c>
      <c r="CE5" s="22">
        <v>1.9</v>
      </c>
      <c r="CF5" s="22">
        <v>14.6</v>
      </c>
      <c r="CG5" s="22">
        <v>9.1</v>
      </c>
      <c r="CH5" s="22">
        <v>14.3</v>
      </c>
      <c r="CI5" s="22">
        <v>14.15</v>
      </c>
      <c r="CJ5" s="22">
        <v>0</v>
      </c>
      <c r="CK5" s="22">
        <v>13.7</v>
      </c>
      <c r="CL5" s="22">
        <v>9.6</v>
      </c>
      <c r="CM5" s="22">
        <v>14.3</v>
      </c>
      <c r="CN5" s="22">
        <v>14.27</v>
      </c>
      <c r="CO5" s="22">
        <v>0</v>
      </c>
      <c r="CP5" s="27"/>
      <c r="CQ5" s="38">
        <f t="shared" si="32"/>
        <v>10.8</v>
      </c>
      <c r="CR5" s="38">
        <f t="shared" si="33"/>
        <v>14.25</v>
      </c>
      <c r="CS5" s="40">
        <f t="shared" si="34"/>
        <v>46.949999999999996</v>
      </c>
      <c r="CT5" s="40">
        <f t="shared" si="35"/>
        <v>14.3</v>
      </c>
      <c r="CU5" s="40">
        <f t="shared" si="36"/>
        <v>14.15</v>
      </c>
      <c r="CV5" s="40">
        <f t="shared" si="37"/>
        <v>52.15</v>
      </c>
      <c r="CW5" s="40">
        <f t="shared" si="38"/>
        <v>52.15</v>
      </c>
      <c r="CX5" s="40">
        <f t="shared" si="39"/>
        <v>14.3</v>
      </c>
      <c r="CY5" s="40">
        <f t="shared" si="40"/>
        <v>14.27</v>
      </c>
      <c r="CZ5" s="40">
        <f t="shared" si="41"/>
        <v>51.86999999999999</v>
      </c>
      <c r="DA5" s="40">
        <f t="shared" si="42"/>
        <v>104.01999999999998</v>
      </c>
      <c r="DB5" s="50" t="str">
        <f t="shared" si="43"/>
        <v/>
      </c>
      <c r="DC5" s="50" t="str">
        <f t="shared" si="44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45"/>
        <v/>
      </c>
      <c r="DY5" s="40" t="str">
        <f t="shared" si="46"/>
        <v/>
      </c>
      <c r="DZ5" s="40" t="str">
        <f t="shared" si="47"/>
        <v/>
      </c>
      <c r="EA5" s="40" t="str">
        <f t="shared" si="48"/>
        <v/>
      </c>
      <c r="EB5" s="40" t="str">
        <f t="shared" si="49"/>
        <v/>
      </c>
      <c r="EC5" s="40" t="str">
        <f t="shared" si="50"/>
        <v/>
      </c>
      <c r="ED5" s="40" t="str">
        <f t="shared" si="51"/>
        <v/>
      </c>
      <c r="EE5" s="40" t="str">
        <f t="shared" si="52"/>
        <v/>
      </c>
      <c r="EF5" s="40" t="str">
        <f t="shared" si="53"/>
        <v/>
      </c>
      <c r="EG5" s="40" t="str">
        <f t="shared" si="54"/>
        <v/>
      </c>
      <c r="EH5" s="40" t="str">
        <f t="shared" si="55"/>
        <v/>
      </c>
      <c r="EI5" s="40" t="str">
        <f t="shared" si="56"/>
        <v/>
      </c>
      <c r="EJ5" s="40" t="str">
        <f t="shared" si="57"/>
        <v/>
      </c>
      <c r="EK5" s="40" t="str">
        <f t="shared" si="58"/>
        <v/>
      </c>
      <c r="EL5" s="18">
        <v>14.3</v>
      </c>
      <c r="EM5" s="18">
        <v>8.9</v>
      </c>
      <c r="EN5" s="18">
        <v>12.9</v>
      </c>
      <c r="EO5" s="18">
        <v>14.14</v>
      </c>
      <c r="EP5" s="18">
        <v>0</v>
      </c>
      <c r="EQ5" s="18">
        <v>1.4</v>
      </c>
      <c r="ER5" s="18">
        <v>1</v>
      </c>
      <c r="ES5" s="18">
        <v>2</v>
      </c>
      <c r="ET5" s="18">
        <v>1.58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59"/>
        <v>12.9</v>
      </c>
      <c r="FG5" s="11">
        <f t="shared" si="60"/>
        <v>14.14</v>
      </c>
      <c r="FH5" s="11">
        <f t="shared" si="61"/>
        <v>50.24</v>
      </c>
      <c r="FI5" s="11">
        <f t="shared" si="62"/>
        <v>2</v>
      </c>
      <c r="FJ5" s="11">
        <f t="shared" si="63"/>
        <v>1.58</v>
      </c>
      <c r="FK5" s="11">
        <f t="shared" si="64"/>
        <v>5.98</v>
      </c>
      <c r="FL5" s="11">
        <f t="shared" si="65"/>
        <v>50.24</v>
      </c>
      <c r="FM5" s="11" t="str">
        <f t="shared" si="66"/>
        <v/>
      </c>
      <c r="FN5" s="11" t="str">
        <f t="shared" si="67"/>
        <v/>
      </c>
      <c r="FO5" s="11" t="str">
        <f t="shared" si="68"/>
        <v/>
      </c>
      <c r="FP5" s="11" t="str">
        <f t="shared" si="69"/>
        <v/>
      </c>
      <c r="FQ5" s="11" t="str">
        <f t="shared" si="70"/>
        <v/>
      </c>
      <c r="FR5" s="11" t="str">
        <f t="shared" si="71"/>
        <v/>
      </c>
      <c r="FS5" s="11">
        <f t="shared" si="72"/>
        <v>50.24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3"/>
        <v/>
      </c>
      <c r="GO5" s="40" t="str">
        <f t="shared" si="74"/>
        <v/>
      </c>
      <c r="GP5" s="40" t="str">
        <f t="shared" si="75"/>
        <v/>
      </c>
      <c r="GQ5" s="40" t="str">
        <f t="shared" si="76"/>
        <v/>
      </c>
      <c r="GR5" s="40" t="str">
        <f t="shared" si="77"/>
        <v/>
      </c>
      <c r="GS5" s="40" t="str">
        <f t="shared" si="78"/>
        <v/>
      </c>
      <c r="GT5" s="40" t="str">
        <f t="shared" si="79"/>
        <v/>
      </c>
      <c r="GU5" s="40" t="str">
        <f t="shared" si="80"/>
        <v/>
      </c>
      <c r="GV5" s="40" t="str">
        <f t="shared" si="81"/>
        <v/>
      </c>
      <c r="GW5" s="40" t="str">
        <f t="shared" si="82"/>
        <v/>
      </c>
      <c r="GX5" s="40" t="str">
        <f t="shared" si="83"/>
        <v/>
      </c>
      <c r="GY5" s="40" t="str">
        <f t="shared" si="84"/>
        <v/>
      </c>
      <c r="GZ5" s="40" t="str">
        <f t="shared" si="85"/>
        <v/>
      </c>
      <c r="HA5" s="40" t="str">
        <f t="shared" si="86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87"/>
        <v/>
      </c>
      <c r="HW5" s="11" t="str">
        <f t="shared" si="88"/>
        <v/>
      </c>
      <c r="HX5" s="11" t="str">
        <f t="shared" si="89"/>
        <v/>
      </c>
      <c r="HY5" s="11" t="str">
        <f t="shared" si="90"/>
        <v/>
      </c>
      <c r="HZ5" s="11" t="str">
        <f t="shared" si="91"/>
        <v/>
      </c>
      <c r="IA5" s="11" t="str">
        <f t="shared" si="92"/>
        <v/>
      </c>
      <c r="IB5" s="11" t="str">
        <f t="shared" si="93"/>
        <v/>
      </c>
      <c r="IC5" s="11" t="str">
        <f t="shared" si="94"/>
        <v/>
      </c>
      <c r="ID5" s="11" t="str">
        <f t="shared" si="95"/>
        <v/>
      </c>
      <c r="IE5" s="11" t="str">
        <f t="shared" si="96"/>
        <v/>
      </c>
      <c r="IF5" s="11" t="str">
        <f t="shared" si="97"/>
        <v/>
      </c>
      <c r="IG5" s="11" t="str">
        <f t="shared" si="98"/>
        <v/>
      </c>
      <c r="IH5" s="11" t="str">
        <f t="shared" si="99"/>
        <v/>
      </c>
      <c r="II5" s="11" t="str">
        <f t="shared" si="100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1"/>
        <v/>
      </c>
      <c r="JE5" s="40" t="str">
        <f t="shared" si="102"/>
        <v/>
      </c>
      <c r="JF5" s="40" t="str">
        <f t="shared" si="103"/>
        <v/>
      </c>
      <c r="JG5" s="40" t="str">
        <f t="shared" si="104"/>
        <v/>
      </c>
      <c r="JH5" s="40" t="str">
        <f t="shared" si="105"/>
        <v/>
      </c>
      <c r="JI5" s="40" t="str">
        <f t="shared" si="106"/>
        <v/>
      </c>
      <c r="JJ5" s="40" t="str">
        <f t="shared" si="107"/>
        <v/>
      </c>
      <c r="JK5" s="40" t="str">
        <f t="shared" si="108"/>
        <v/>
      </c>
      <c r="JL5" s="40" t="str">
        <f t="shared" si="109"/>
        <v/>
      </c>
      <c r="JM5" s="40" t="str">
        <f t="shared" si="110"/>
        <v/>
      </c>
      <c r="JN5" s="40" t="str">
        <f t="shared" si="111"/>
        <v/>
      </c>
      <c r="JO5" s="40" t="str">
        <f t="shared" si="112"/>
        <v/>
      </c>
      <c r="JP5" s="40" t="str">
        <f t="shared" si="113"/>
        <v/>
      </c>
      <c r="JQ5" s="40" t="str">
        <f t="shared" si="114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15"/>
        <v/>
      </c>
      <c r="KM5" s="11" t="str">
        <f t="shared" si="116"/>
        <v/>
      </c>
      <c r="KN5" s="11" t="str">
        <f t="shared" si="117"/>
        <v/>
      </c>
      <c r="KO5" s="11" t="str">
        <f t="shared" si="118"/>
        <v/>
      </c>
      <c r="KP5" s="11" t="str">
        <f t="shared" si="119"/>
        <v/>
      </c>
      <c r="KQ5" s="11" t="str">
        <f t="shared" si="120"/>
        <v/>
      </c>
      <c r="KR5" s="11" t="str">
        <f t="shared" si="121"/>
        <v/>
      </c>
      <c r="KS5" s="11" t="str">
        <f t="shared" si="122"/>
        <v/>
      </c>
      <c r="KT5" s="11" t="str">
        <f t="shared" si="123"/>
        <v/>
      </c>
      <c r="KU5" s="11" t="str">
        <f t="shared" si="124"/>
        <v/>
      </c>
      <c r="KV5" s="11" t="str">
        <f t="shared" si="125"/>
        <v/>
      </c>
      <c r="KW5" s="11" t="str">
        <f t="shared" si="126"/>
        <v/>
      </c>
      <c r="KX5" s="11" t="str">
        <f t="shared" si="127"/>
        <v/>
      </c>
      <c r="KY5" s="11" t="str">
        <f t="shared" si="128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29"/>
        <v/>
      </c>
      <c r="LU5" s="40" t="str">
        <f t="shared" si="130"/>
        <v/>
      </c>
      <c r="LV5" s="40" t="str">
        <f t="shared" si="131"/>
        <v/>
      </c>
      <c r="LW5" s="40" t="str">
        <f t="shared" si="132"/>
        <v/>
      </c>
      <c r="LX5" s="40" t="str">
        <f t="shared" si="133"/>
        <v/>
      </c>
      <c r="LY5" s="40" t="str">
        <f t="shared" si="134"/>
        <v/>
      </c>
      <c r="LZ5" s="40" t="str">
        <f t="shared" si="135"/>
        <v/>
      </c>
      <c r="MA5" s="40" t="str">
        <f t="shared" si="136"/>
        <v/>
      </c>
      <c r="MB5" s="40" t="str">
        <f t="shared" si="137"/>
        <v/>
      </c>
      <c r="MC5" s="40" t="str">
        <f t="shared" si="138"/>
        <v/>
      </c>
      <c r="MD5" s="40" t="str">
        <f t="shared" si="139"/>
        <v/>
      </c>
      <c r="ME5" s="40" t="str">
        <f t="shared" si="140"/>
        <v/>
      </c>
      <c r="MF5" s="40" t="str">
        <f t="shared" si="141"/>
        <v/>
      </c>
      <c r="MG5" s="40" t="str">
        <f t="shared" si="142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3"/>
        <v/>
      </c>
      <c r="NC5" s="11" t="str">
        <f t="shared" si="144"/>
        <v/>
      </c>
      <c r="ND5" s="11" t="str">
        <f t="shared" si="145"/>
        <v/>
      </c>
      <c r="NE5" s="11" t="str">
        <f t="shared" si="146"/>
        <v/>
      </c>
      <c r="NF5" s="11" t="str">
        <f t="shared" si="147"/>
        <v/>
      </c>
      <c r="NG5" s="11" t="str">
        <f t="shared" si="148"/>
        <v/>
      </c>
      <c r="NH5" s="11" t="str">
        <f t="shared" si="149"/>
        <v/>
      </c>
      <c r="NI5" s="11" t="str">
        <f t="shared" si="150"/>
        <v/>
      </c>
      <c r="NJ5" s="11" t="str">
        <f t="shared" si="151"/>
        <v/>
      </c>
      <c r="NK5" s="11" t="str">
        <f t="shared" si="152"/>
        <v/>
      </c>
      <c r="NL5" s="11" t="str">
        <f t="shared" si="153"/>
        <v/>
      </c>
      <c r="NM5" s="11" t="str">
        <f t="shared" si="154"/>
        <v/>
      </c>
      <c r="NN5" s="11" t="str">
        <f t="shared" si="155"/>
        <v/>
      </c>
      <c r="NO5" s="11" t="str">
        <f t="shared" si="156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57"/>
        <v/>
      </c>
      <c r="OK5" s="40" t="str">
        <f t="shared" si="158"/>
        <v/>
      </c>
      <c r="OL5" s="40" t="str">
        <f t="shared" si="159"/>
        <v/>
      </c>
      <c r="OM5" s="40" t="str">
        <f t="shared" si="160"/>
        <v/>
      </c>
      <c r="ON5" s="40" t="str">
        <f t="shared" si="161"/>
        <v/>
      </c>
      <c r="OO5" s="40" t="str">
        <f t="shared" si="162"/>
        <v/>
      </c>
      <c r="OP5" s="40" t="str">
        <f t="shared" si="163"/>
        <v/>
      </c>
      <c r="OQ5" s="40" t="str">
        <f t="shared" si="164"/>
        <v/>
      </c>
      <c r="OR5" s="40" t="str">
        <f t="shared" si="165"/>
        <v/>
      </c>
      <c r="OS5" s="40" t="str">
        <f t="shared" si="166"/>
        <v/>
      </c>
      <c r="OT5" s="40" t="str">
        <f t="shared" si="167"/>
        <v/>
      </c>
      <c r="OU5" s="40" t="str">
        <f t="shared" si="168"/>
        <v/>
      </c>
      <c r="OV5" s="40" t="str">
        <f t="shared" si="169"/>
        <v/>
      </c>
      <c r="OW5" s="40" t="str">
        <f t="shared" si="170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1"/>
        <v/>
      </c>
      <c r="PS5" s="11" t="str">
        <f t="shared" si="172"/>
        <v/>
      </c>
      <c r="PT5" s="11" t="str">
        <f t="shared" si="173"/>
        <v/>
      </c>
      <c r="PU5" s="11" t="str">
        <f t="shared" si="174"/>
        <v/>
      </c>
      <c r="PV5" s="11" t="str">
        <f t="shared" si="175"/>
        <v/>
      </c>
      <c r="PW5" s="11" t="str">
        <f t="shared" si="176"/>
        <v/>
      </c>
      <c r="PX5" s="11" t="str">
        <f t="shared" si="177"/>
        <v/>
      </c>
      <c r="PY5" s="11" t="str">
        <f t="shared" si="178"/>
        <v/>
      </c>
      <c r="PZ5" s="11" t="str">
        <f t="shared" si="179"/>
        <v/>
      </c>
      <c r="QA5" s="11" t="str">
        <f t="shared" si="180"/>
        <v/>
      </c>
      <c r="QB5" s="11" t="str">
        <f t="shared" si="181"/>
        <v/>
      </c>
      <c r="QC5" s="11" t="str">
        <f t="shared" si="182"/>
        <v/>
      </c>
      <c r="QD5" s="11" t="str">
        <f t="shared" si="183"/>
        <v/>
      </c>
      <c r="QE5" s="11" t="str">
        <f t="shared" si="184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85"/>
        <v/>
      </c>
      <c r="RA5" s="40" t="str">
        <f t="shared" si="186"/>
        <v/>
      </c>
      <c r="RB5" s="40" t="str">
        <f t="shared" si="187"/>
        <v/>
      </c>
      <c r="RC5" s="40" t="str">
        <f t="shared" si="188"/>
        <v/>
      </c>
      <c r="RD5" s="40" t="str">
        <f t="shared" si="189"/>
        <v/>
      </c>
      <c r="RE5" s="40" t="str">
        <f t="shared" si="190"/>
        <v/>
      </c>
      <c r="RF5" s="40" t="str">
        <f t="shared" si="191"/>
        <v/>
      </c>
      <c r="RG5" s="40" t="str">
        <f t="shared" si="192"/>
        <v/>
      </c>
      <c r="RH5" s="40" t="str">
        <f t="shared" si="193"/>
        <v/>
      </c>
      <c r="RI5" s="40" t="str">
        <f t="shared" si="194"/>
        <v/>
      </c>
      <c r="RJ5" s="40" t="str">
        <f t="shared" si="195"/>
        <v/>
      </c>
      <c r="RK5" s="40" t="str">
        <f t="shared" si="196"/>
        <v/>
      </c>
      <c r="RL5" s="40" t="str">
        <f t="shared" si="197"/>
        <v/>
      </c>
      <c r="RM5" s="40" t="str">
        <f t="shared" si="198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199"/>
        <v/>
      </c>
      <c r="SI5" s="11" t="str">
        <f t="shared" si="200"/>
        <v/>
      </c>
      <c r="SJ5" s="11" t="str">
        <f t="shared" si="201"/>
        <v/>
      </c>
      <c r="SK5" s="11" t="str">
        <f t="shared" si="202"/>
        <v/>
      </c>
      <c r="SL5" s="11" t="str">
        <f t="shared" si="203"/>
        <v/>
      </c>
      <c r="SM5" s="11" t="str">
        <f t="shared" si="204"/>
        <v/>
      </c>
      <c r="SN5" s="11" t="str">
        <f t="shared" si="205"/>
        <v/>
      </c>
      <c r="SO5" s="11" t="str">
        <f t="shared" si="206"/>
        <v/>
      </c>
      <c r="SP5" s="11" t="str">
        <f t="shared" si="207"/>
        <v/>
      </c>
      <c r="SQ5" s="11" t="str">
        <f t="shared" si="208"/>
        <v/>
      </c>
      <c r="SR5" s="11" t="str">
        <f t="shared" si="209"/>
        <v/>
      </c>
      <c r="SS5" s="11" t="str">
        <f t="shared" si="210"/>
        <v/>
      </c>
      <c r="ST5" s="11" t="str">
        <f t="shared" si="211"/>
        <v/>
      </c>
      <c r="SU5" s="11" t="str">
        <f t="shared" si="212"/>
        <v/>
      </c>
      <c r="SV5" s="22">
        <f t="shared" si="213"/>
        <v>13.8</v>
      </c>
      <c r="SW5" s="22">
        <f t="shared" si="214"/>
        <v>9.3999999999999986</v>
      </c>
      <c r="SX5" s="22">
        <f t="shared" si="215"/>
        <v>11.600000000000001</v>
      </c>
      <c r="SY5" s="22">
        <f t="shared" si="216"/>
        <v>14.3</v>
      </c>
      <c r="SZ5" s="22">
        <f t="shared" si="217"/>
        <v>1.0999999999999999</v>
      </c>
      <c r="TA5" s="22">
        <f t="shared" si="218"/>
        <v>14.7</v>
      </c>
      <c r="TB5" s="22">
        <f t="shared" si="219"/>
        <v>9.1499999999999986</v>
      </c>
      <c r="TC5" s="22">
        <f t="shared" si="220"/>
        <v>13.850000000000001</v>
      </c>
      <c r="TD5" s="22">
        <f t="shared" si="221"/>
        <v>14.120000000000001</v>
      </c>
      <c r="TE5" s="22">
        <f t="shared" si="222"/>
        <v>0</v>
      </c>
      <c r="TF5" s="22">
        <f t="shared" si="223"/>
        <v>13.7</v>
      </c>
      <c r="TG5" s="22">
        <f t="shared" si="224"/>
        <v>9.3999999999999986</v>
      </c>
      <c r="TH5" s="22">
        <f t="shared" si="225"/>
        <v>14.3</v>
      </c>
      <c r="TI5" s="22">
        <f t="shared" si="226"/>
        <v>14.265000000000001</v>
      </c>
      <c r="TJ5" s="22">
        <f t="shared" si="227"/>
        <v>0</v>
      </c>
      <c r="TK5" s="27" t="s">
        <v>46</v>
      </c>
      <c r="TL5" s="40">
        <f t="shared" si="228"/>
        <v>11.600000000000001</v>
      </c>
      <c r="TM5" s="40">
        <f t="shared" si="229"/>
        <v>14.3</v>
      </c>
      <c r="TN5" s="40">
        <f t="shared" si="230"/>
        <v>47.999999999999993</v>
      </c>
      <c r="TO5" s="40">
        <f t="shared" si="231"/>
        <v>13.850000000000001</v>
      </c>
      <c r="TP5" s="40">
        <f t="shared" si="232"/>
        <v>14.120000000000001</v>
      </c>
      <c r="TQ5" s="40">
        <f t="shared" si="233"/>
        <v>51.820000000000007</v>
      </c>
      <c r="TR5" s="40">
        <f t="shared" si="234"/>
        <v>51.820000000000007</v>
      </c>
      <c r="TS5" s="40">
        <f t="shared" si="235"/>
        <v>14.3</v>
      </c>
      <c r="TT5" s="40">
        <f t="shared" si="236"/>
        <v>14.265000000000001</v>
      </c>
      <c r="TU5" s="40">
        <f t="shared" si="237"/>
        <v>51.664999999999999</v>
      </c>
      <c r="TV5" s="40">
        <f t="shared" si="238"/>
        <v>103.48500000000001</v>
      </c>
    </row>
    <row r="6" spans="1:542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>1</v>
      </c>
      <c r="C6" s="5" t="s">
        <v>96</v>
      </c>
      <c r="D6" s="4" t="s">
        <v>3</v>
      </c>
      <c r="E6" s="4">
        <v>2004</v>
      </c>
      <c r="F6" s="9">
        <f t="shared" si="0"/>
        <v>174.16001741600505</v>
      </c>
      <c r="G6" s="64"/>
      <c r="H6" s="3" t="str">
        <f>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P","")</f>
        <v>P</v>
      </c>
      <c r="I6" s="3" t="str">
        <f>IF(OR(AND(AQ6&gt;=AY$26,AQ6&lt;&gt;"",AN6=""),AND(AT6&gt;=AY$26,AT6&lt;&gt;"",AN6=""),AND(AX6&gt;=AY$26,AX6&lt;&gt;"",AN6=""),AND(BR6&gt;=BZ$26,BR6&lt;&gt;"",BO6=""),AND(BU6&gt;=BZ$26,BU6&lt;&gt;"",BO6=""),AND(BY6&gt;=BZ$26,BY6&lt;&gt;"",BO6=""),AND(CS6&gt;=DA$26,CS6&lt;&gt;"",CP6=""),AND(CV6&gt;=DA$26,CV6&lt;&gt;"",CP6=""),AND(CZ6&gt;=DA$26,CZ6&lt;&gt;"",CP6=""),AND(DZ6&gt;=EK$26,DZ6&lt;&gt;""),AND(EC6&gt;=EK$26,EC6&lt;&gt;""),AND(EG6&gt;=EK$26,EG6&lt;&gt;""),AND(EJ6&gt;=EK$26,EJ6&lt;&gt;""),AND(FH6&gt;=FS$26,FH6&lt;&gt;""),AND(FK6&gt;=FS$26,FK6&lt;&gt;""),AND(FO6&gt;=FS$26,FO6&lt;&gt;""),AND(FR6&gt;=FS$26,FR6&lt;&gt;""),AND(GP6&gt;=HA$26,GP6&lt;&gt;""),AND(GS6&gt;=HA$26,GS6&lt;&gt;""),AND(GW6&gt;=HA$26,GW6&lt;&gt;""),AND(GZ6&gt;=HA$26,GZ6&lt;&gt;""),AND(HX6&gt;=II$26,HX6&lt;&gt;""),AND(IA6&gt;=II$26,IA6&lt;&gt;""),AND(IE6&gt;=II$26,IE6&lt;&gt;""),AND(IH6&gt;=II$26,IH6&lt;&gt;""),AND(JF6&gt;=JQ$26,JF6&lt;&gt;""),AND(JI6&gt;=JQ$26,JI6&lt;&gt;""),AND(JM6&gt;=JQ$26,JM6&lt;&gt;""),AND(JP6&gt;=JQ$26,JP6&lt;&gt;""),AND(KN6&gt;=KY$26,KN6&lt;&gt;""),AND(KQ6&gt;=KY$26,KQ6&lt;&gt;""),AND(KU6&gt;=KY$26,KU6&lt;&gt;""),AND(KX6&gt;=KY$26,KX6&lt;&gt;""),AND(LV6&gt;=MG$26,LV6&lt;&gt;""),AND(LY6&gt;=MG$26,LY6&lt;&gt;""),AND(MC6&gt;=MG$26,MC6&lt;&gt;""),AND(MF6&gt;=MG$26,MF6&lt;&gt;""),AND(ND6&gt;=NO$26,ND6&lt;&gt;""),AND(NG6&gt;=NO$26,NG6&lt;&gt;""),AND(NK6&gt;=NO$26,NK6&lt;&gt;""),AND(NN6&gt;=NO$26,NN6&lt;&gt;""),AND(OL6&gt;=OW$26,OL6&lt;&gt;""),AND(OO6&gt;=OW$26,OO6&lt;&gt;""),AND(OS6&gt;=OW$26,OS6&lt;&gt;""),AND(OV6&gt;=OW$26,OV6&lt;&gt;""),AND(PT6&gt;=QE$26,PT6&lt;&gt;""),AND(PW6&gt;=QE$26,PW6&lt;&gt;""),AND(QA6&gt;=QE$26,QA6&lt;&gt;""),AND(QD6&gt;=QE$26,QD6&lt;&gt;""),AND(RB6&gt;=RM$26,RB6&lt;&gt;""),AND(RE6&gt;=RM$26,RE6&lt;&gt;""),AND(RI6&gt;=RM$26,RI6&lt;&gt;""),AND(RL6&gt;=RM$26,RL6&lt;&gt;""),AND(SJ6&gt;=SU$26,SJ6&lt;&gt;""),AND(SM6&gt;=SU$26,SM6&lt;&gt;""),AND(SQ6&gt;=SU$26,SQ6&lt;&gt;""),AND(ST6&gt;=SU$26,ST6&lt;&gt;"")),"P","")</f>
        <v>P</v>
      </c>
      <c r="J6" s="36" t="str">
        <f>IF(AND(I6="P",H6=""),"No DD",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Merit",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Excellence",IF(K6="P","Worlds Team",IF(H6="P","National Team","")))))</f>
        <v>National Team</v>
      </c>
      <c r="K6" s="3" t="str">
        <f>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P","")</f>
        <v/>
      </c>
      <c r="L6" s="8">
        <f>IF(COUNT(AQ6,AT6,BR6,BU6,CS6,CV6)&gt;0,LARGE((AQ6,AT6,BR6,BU6,CS6,CV6),1),0)</f>
        <v>50.72</v>
      </c>
      <c r="M6" s="8" t="str">
        <f t="shared" si="1"/>
        <v>2024 3rd Domestic Trial</v>
      </c>
      <c r="N6" s="8">
        <f>IF(COUNT(AQ6,AT6,BR6,BU6,CS6,CV6)&gt;1,LARGE((AQ6,AT6,BR6,BU6,CS6,CV6),2),0)</f>
        <v>48.08</v>
      </c>
      <c r="O6" s="8" t="str">
        <f t="shared" si="2"/>
        <v>2025 Elite Canada</v>
      </c>
      <c r="P6" s="8">
        <f>IF(COUNT(AQ6,AT6,BR6,BU6,CS6,CV6)&gt;2,MAX(AX6,BY6,CZ6,LARGE((AQ6,AT6,BR6,BU6,CS6,CV6),3)),IF(MAX(AX6,BY6,CZ6)&gt;0,MAX(AX6,BY6,CZ6),0))</f>
        <v>49.04</v>
      </c>
      <c r="Q6" s="8" t="str">
        <f t="shared" si="3"/>
        <v>2024 3rd Domestic Trial</v>
      </c>
      <c r="R6" s="8">
        <f t="shared" si="4"/>
        <v>11.6</v>
      </c>
      <c r="S6" s="8" t="str">
        <f t="shared" si="5"/>
        <v>2025 Elite Canada</v>
      </c>
      <c r="T6" s="8">
        <f>IF(MAX(IF(AO6&gt;=$AY$22,AP6,0),IF(AR6&gt;=$AY$22,AS6,0),IF(AV6&gt;=$AY$22,AW6,0),IF(BP6&gt;=$BZ$22,BQ6,0),IF(BS6&gt;=$BZ$22,BT6,0),IF(BW6&gt;=$BZ$22,BX6,0),IF(CQ6&gt;=$DA$22,CR6,0),IF(CT6&gt;=$DA$22,CU6,0),IF(CX6&gt;=$DA$22,CY6,0),IF(DX6&gt;=$EK$22,DY6,0),IF(EA6&gt;=$EK$22,EB6,0),IF(EE6&gt;=$EK$22,EF6,0),IF(EH6&gt;=$EK$22,EI6,0),IF(FF6&gt;=$FS$22,FG6,0),IF(FI6&gt;=$FS$22,FJ6,0),IF(FM6&gt;=$FS$22,FN6,0),IF(FP6&gt;=$FS$22,FQ6,0),IF(GN6&gt;=$HA$22,GO6,0),IF(GQ6&gt;=$HA$22,GR6,0),IF(GU6&gt;=$HA$22,GV6,0),IF(GX6&gt;=$HA$22,GY6,0),IF(HV6&gt;=$II$22,HW6,0),IF(HY6&gt;=$II$22,HZ6,0),IF(IC6&gt;=$II$22,ID6,0),IF(IF6&gt;=$II$22,IG6,0),IF(JD6&gt;=$JQ$22,JE6,0),IF(JG6&gt;=$JQ$22,JH6,0),IF(JK6&gt;=$JQ$22,JL6,0),IF(JN6&gt;=$JQ$22,JO6,0),IF(KL6&gt;=$KY$22,KM6,0),IF(KO6&gt;=$KY$22,KP6,0),IF(KS6&gt;=$KY$22,KT6,0),IF(KV6&gt;=$KY$22,KW6,0),IF(LT6&gt;=$MG$22,LU6,0),IF(LW6&gt;=$MG$22,LX6,0),IF(MA6&gt;=$MG$22,MB6,0),IF(MD6&gt;=$MG$22,ME6,0),IF(NB6&gt;=$NO$22,NC6,0),IF(NE6&gt;=$NO$22,NF6,0),IF(NI6&gt;=$NO$22,NJ6,0),IF(NL6&gt;=$NO$22,NM6,0),IF(OJ6&gt;=$OW$22,OK6,0),IF(OM6&gt;=$OW$22,ON6,0),IF(OQ6&gt;=$OW$22,OR6,0),IF(OT6&gt;=$OW$22,OU6,0),IF(PR6&gt;=$QE$22,PS6,0),IF(PU6&gt;=$QE$22,PV6,0),IF(PY6&gt;=$QE$22,PZ6,0),IF(QB6&gt;=$QE$22,QC6,0),IF(QZ6&gt;=$RM$22,RA6,0),IF(RC6&gt;=$RM$22,RD6,0),IF(RG6&gt;=$RM$22,RH6,0),IF(RJ6&gt;=$RM$22,RK6,0),IF(SH6&gt;=$SU$22,SI6,0),IF(SK6&gt;=$SU$22,SL6,0),IF(SO6&gt;=$SU$22,SP6,0),IF(SR6&gt;=$SU$22,SS6,0))&gt;0,MAX(IF(AO6&gt;=$AY$22,AP6,0),IF(AR6&gt;=$AY$22,AS6,0),IF(AV6&gt;=$AY$22,AW6,0),IF(BP6&gt;=$BZ$22,BQ6,0),IF(BS6&gt;=$BZ$22,BT6,0),IF(BW6&gt;=$BZ$22,BX6,0),IF(CQ6&gt;=$DA$22,CR6,0),IF(CT6&gt;=$DA$22,CU6,0),IF(CX6&gt;=$DA$22,CY6,0),IF(DX6&gt;=$EK$22,DY6,0),IF(EA6&gt;=$EK$22,EB6,0),IF(EE6&gt;=$EK$22,EF6,0),IF(EH6&gt;=$EK$22,EI6,0),IF(FF6&gt;=$FS$22,FG6,0),IF(FI6&gt;=$FS$22,FJ6,0),IF(FM6&gt;=$FS$22,FN6,0),IF(FP6&gt;=$FS$22,FQ6,0),IF(GN6&gt;=$HA$22,GO6,0),IF(GQ6&gt;=$HA$22,GR6,0),IF(GU6&gt;=$HA$22,GV6,0),IF(GX6&gt;=$HA$22,GY6,0),IF(HV6&gt;=$II$22,HW6,0),IF(HY6&gt;=$II$22,HZ6,0),IF(IC6&gt;=$II$22,ID6,0),IF(IF6&gt;=$II$22,IG6,0),IF(JD6&gt;=$JQ$22,JE6,0),IF(JG6&gt;=$JQ$22,JH6,0),IF(JK6&gt;=$JQ$22,JL6,0),IF(JN6&gt;=$JQ$22,JO6,0),IF(KL6&gt;=$KY$22,KM6,0),IF(KO6&gt;=$KY$22,KP6,0),IF(KS6&gt;=$KY$22,KT6,0),IF(KV6&gt;=$KY$22,KW6,0),IF(LT6&gt;=$MG$22,LU6,0),IF(LW6&gt;=$MG$22,LX6,0),IF(MA6&gt;=$MG$22,MB6,0),IF(MD6&gt;=$MG$22,ME6,0),IF(NB6&gt;=$NO$22,NC6,0),IF(NE6&gt;=$NO$22,NF6,0),IF(NI6&gt;=$NO$22,NJ6,0),IF(NL6&gt;=$NO$22,NM6,0),IF(OJ6&gt;=$OW$22,OK6,0),IF(OM6&gt;=$OW$22,ON6,0),IF(OQ6&gt;=$OW$22,OR6,0),IF(OT6&gt;=$OW$22,OU6,0),IF(PR6&gt;=$QE$22,PS6,0),IF(PU6&gt;=$QE$22,PV6,0),IF(PY6&gt;=$QE$22,PZ6,0),IF(QB6&gt;=$QE$22,QC6,0),IF(QZ6&gt;=$RM$22,RA6,0),IF(RC6&gt;=$RM$22,RD6,0),IF(RG6&gt;=$RM$22,RH6,0),IF(RJ6&gt;=$RM$22,RK6,0),IF(SH6&gt;=$SU$22,SI6,0),IF(SK6&gt;=$SU$22,SL6,0),IF(SO6&gt;=$SU$22,SP6,0),IF(SR6&gt;=$SU$22,SS6,0)),0)</f>
        <v>14.72</v>
      </c>
      <c r="U6" s="8" t="str">
        <f t="shared" si="6"/>
        <v>2024 3rd Domestic Trial</v>
      </c>
      <c r="V6" s="8" t="str">
        <f t="shared" si="7"/>
        <v/>
      </c>
      <c r="W6" s="11" t="str">
        <f t="shared" si="8"/>
        <v/>
      </c>
      <c r="X6" s="8" t="str">
        <f t="shared" si="9"/>
        <v/>
      </c>
      <c r="Y6" s="22">
        <v>14.3</v>
      </c>
      <c r="Z6" s="22">
        <v>8.6</v>
      </c>
      <c r="AA6" s="22">
        <v>10.1</v>
      </c>
      <c r="AB6" s="22">
        <v>14.37</v>
      </c>
      <c r="AC6" s="22">
        <v>1.1000000000000001</v>
      </c>
      <c r="AD6" s="22">
        <v>15.3</v>
      </c>
      <c r="AE6" s="22">
        <v>9.4</v>
      </c>
      <c r="AF6" s="22">
        <v>11.3</v>
      </c>
      <c r="AG6" s="22">
        <v>14.72</v>
      </c>
      <c r="AH6" s="22">
        <v>0</v>
      </c>
      <c r="AI6" s="22">
        <v>15.2</v>
      </c>
      <c r="AJ6" s="22">
        <v>9.1999999999999993</v>
      </c>
      <c r="AK6" s="22">
        <v>10.6</v>
      </c>
      <c r="AL6" s="22">
        <v>14.64</v>
      </c>
      <c r="AM6" s="22">
        <v>0.6</v>
      </c>
      <c r="AN6" s="27"/>
      <c r="AO6" s="38">
        <f t="shared" si="10"/>
        <v>10.1</v>
      </c>
      <c r="AP6" s="38">
        <f t="shared" si="11"/>
        <v>14.37</v>
      </c>
      <c r="AQ6" s="40">
        <f t="shared" si="12"/>
        <v>46.269999999999996</v>
      </c>
      <c r="AR6" s="40">
        <f t="shared" si="13"/>
        <v>11.3</v>
      </c>
      <c r="AS6" s="40">
        <f t="shared" si="14"/>
        <v>14.72</v>
      </c>
      <c r="AT6" s="40">
        <f t="shared" si="15"/>
        <v>50.72</v>
      </c>
      <c r="AU6" s="40">
        <f t="shared" si="16"/>
        <v>50.72</v>
      </c>
      <c r="AV6" s="40">
        <f t="shared" si="17"/>
        <v>10.6</v>
      </c>
      <c r="AW6" s="40">
        <f t="shared" si="18"/>
        <v>14.64</v>
      </c>
      <c r="AX6" s="40">
        <f t="shared" si="19"/>
        <v>49.04</v>
      </c>
      <c r="AY6" s="40">
        <f t="shared" si="20"/>
        <v>99.759999999999991</v>
      </c>
      <c r="AZ6" s="26">
        <v>14</v>
      </c>
      <c r="BA6" s="26">
        <v>9.4</v>
      </c>
      <c r="BB6" s="26">
        <v>10.9</v>
      </c>
      <c r="BC6" s="26">
        <v>13.78</v>
      </c>
      <c r="BD6" s="26">
        <v>0</v>
      </c>
      <c r="BE6" s="26">
        <v>13</v>
      </c>
      <c r="BF6" s="26">
        <v>9.3000000000000007</v>
      </c>
      <c r="BG6" s="26">
        <v>9.6</v>
      </c>
      <c r="BH6" s="26">
        <v>14.01</v>
      </c>
      <c r="BI6" s="26">
        <v>1.2</v>
      </c>
      <c r="BJ6" s="26">
        <v>13.2</v>
      </c>
      <c r="BK6" s="26">
        <v>9.1</v>
      </c>
      <c r="BL6" s="26">
        <v>11.6</v>
      </c>
      <c r="BM6" s="26">
        <v>13.87</v>
      </c>
      <c r="BN6" s="26">
        <v>0</v>
      </c>
      <c r="BO6" s="28"/>
      <c r="BP6" s="39">
        <f t="shared" si="21"/>
        <v>10.9</v>
      </c>
      <c r="BQ6" s="39">
        <f t="shared" si="22"/>
        <v>13.78</v>
      </c>
      <c r="BR6" s="11">
        <f t="shared" si="23"/>
        <v>48.08</v>
      </c>
      <c r="BS6" s="11">
        <f t="shared" si="24"/>
        <v>9.6</v>
      </c>
      <c r="BT6" s="11">
        <f t="shared" si="25"/>
        <v>14.01</v>
      </c>
      <c r="BU6" s="11">
        <f t="shared" si="26"/>
        <v>44.709999999999994</v>
      </c>
      <c r="BV6" s="11">
        <f t="shared" si="27"/>
        <v>48.08</v>
      </c>
      <c r="BW6" s="11">
        <f t="shared" si="28"/>
        <v>11.6</v>
      </c>
      <c r="BX6" s="11">
        <f t="shared" si="29"/>
        <v>13.87</v>
      </c>
      <c r="BY6" s="11">
        <f t="shared" si="30"/>
        <v>47.769999999999996</v>
      </c>
      <c r="BZ6" s="11">
        <f t="shared" si="31"/>
        <v>95.85</v>
      </c>
      <c r="CA6" s="22">
        <v>2</v>
      </c>
      <c r="CB6" s="22">
        <v>1.4</v>
      </c>
      <c r="CC6" s="22">
        <v>2</v>
      </c>
      <c r="CD6" s="22">
        <v>2.87</v>
      </c>
      <c r="CE6" s="22">
        <v>0</v>
      </c>
      <c r="CF6" s="22">
        <v>0</v>
      </c>
      <c r="CG6" s="22">
        <v>0</v>
      </c>
      <c r="CH6" s="22">
        <v>0</v>
      </c>
      <c r="CI6" s="22">
        <v>0</v>
      </c>
      <c r="CJ6" s="22">
        <v>0</v>
      </c>
      <c r="CK6" s="22">
        <v>12</v>
      </c>
      <c r="CL6" s="22">
        <v>8.9</v>
      </c>
      <c r="CM6" s="22">
        <v>10.6</v>
      </c>
      <c r="CN6" s="22">
        <v>13.7</v>
      </c>
      <c r="CO6" s="22">
        <v>0.2</v>
      </c>
      <c r="CP6" s="27"/>
      <c r="CQ6" s="38">
        <f t="shared" si="32"/>
        <v>2</v>
      </c>
      <c r="CR6" s="38">
        <f t="shared" si="33"/>
        <v>2.87</v>
      </c>
      <c r="CS6" s="40">
        <f t="shared" si="34"/>
        <v>8.27</v>
      </c>
      <c r="CT6" s="40" t="str">
        <f t="shared" si="35"/>
        <v/>
      </c>
      <c r="CU6" s="40" t="str">
        <f t="shared" si="36"/>
        <v/>
      </c>
      <c r="CV6" s="40" t="str">
        <f t="shared" si="37"/>
        <v/>
      </c>
      <c r="CW6" s="40">
        <f t="shared" si="38"/>
        <v>8.27</v>
      </c>
      <c r="CX6" s="40">
        <f t="shared" si="39"/>
        <v>10.6</v>
      </c>
      <c r="CY6" s="40">
        <f t="shared" si="40"/>
        <v>13.7</v>
      </c>
      <c r="CZ6" s="40">
        <f t="shared" si="41"/>
        <v>45</v>
      </c>
      <c r="DA6" s="40">
        <f t="shared" si="42"/>
        <v>53.269999999999996</v>
      </c>
      <c r="DB6" s="50" t="str">
        <f t="shared" si="43"/>
        <v/>
      </c>
      <c r="DC6" s="50" t="str">
        <f t="shared" si="44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45"/>
        <v/>
      </c>
      <c r="DY6" s="40" t="str">
        <f t="shared" si="46"/>
        <v/>
      </c>
      <c r="DZ6" s="40" t="str">
        <f t="shared" si="47"/>
        <v/>
      </c>
      <c r="EA6" s="40" t="str">
        <f t="shared" si="48"/>
        <v/>
      </c>
      <c r="EB6" s="40" t="str">
        <f t="shared" si="49"/>
        <v/>
      </c>
      <c r="EC6" s="40" t="str">
        <f t="shared" si="50"/>
        <v/>
      </c>
      <c r="ED6" s="40" t="str">
        <f t="shared" si="51"/>
        <v/>
      </c>
      <c r="EE6" s="40" t="str">
        <f t="shared" si="52"/>
        <v/>
      </c>
      <c r="EF6" s="40" t="str">
        <f t="shared" si="53"/>
        <v/>
      </c>
      <c r="EG6" s="40" t="str">
        <f t="shared" si="54"/>
        <v/>
      </c>
      <c r="EH6" s="40" t="str">
        <f t="shared" si="55"/>
        <v/>
      </c>
      <c r="EI6" s="40" t="str">
        <f t="shared" si="56"/>
        <v/>
      </c>
      <c r="EJ6" s="40" t="str">
        <f t="shared" si="57"/>
        <v/>
      </c>
      <c r="EK6" s="40" t="str">
        <f t="shared" si="58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59"/>
        <v/>
      </c>
      <c r="FG6" s="11" t="str">
        <f t="shared" si="60"/>
        <v/>
      </c>
      <c r="FH6" s="11" t="str">
        <f t="shared" si="61"/>
        <v/>
      </c>
      <c r="FI6" s="11" t="str">
        <f t="shared" si="62"/>
        <v/>
      </c>
      <c r="FJ6" s="11" t="str">
        <f t="shared" si="63"/>
        <v/>
      </c>
      <c r="FK6" s="11" t="str">
        <f t="shared" si="64"/>
        <v/>
      </c>
      <c r="FL6" s="11" t="str">
        <f t="shared" si="65"/>
        <v/>
      </c>
      <c r="FM6" s="11" t="str">
        <f t="shared" si="66"/>
        <v/>
      </c>
      <c r="FN6" s="11" t="str">
        <f t="shared" si="67"/>
        <v/>
      </c>
      <c r="FO6" s="11" t="str">
        <f t="shared" si="68"/>
        <v/>
      </c>
      <c r="FP6" s="11" t="str">
        <f t="shared" si="69"/>
        <v/>
      </c>
      <c r="FQ6" s="11" t="str">
        <f t="shared" si="70"/>
        <v/>
      </c>
      <c r="FR6" s="11" t="str">
        <f t="shared" si="71"/>
        <v/>
      </c>
      <c r="FS6" s="11" t="str">
        <f t="shared" si="72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3"/>
        <v/>
      </c>
      <c r="GO6" s="40" t="str">
        <f t="shared" si="74"/>
        <v/>
      </c>
      <c r="GP6" s="40" t="str">
        <f t="shared" si="75"/>
        <v/>
      </c>
      <c r="GQ6" s="40" t="str">
        <f t="shared" si="76"/>
        <v/>
      </c>
      <c r="GR6" s="40" t="str">
        <f t="shared" si="77"/>
        <v/>
      </c>
      <c r="GS6" s="40" t="str">
        <f t="shared" si="78"/>
        <v/>
      </c>
      <c r="GT6" s="40" t="str">
        <f t="shared" si="79"/>
        <v/>
      </c>
      <c r="GU6" s="40" t="str">
        <f t="shared" si="80"/>
        <v/>
      </c>
      <c r="GV6" s="40" t="str">
        <f t="shared" si="81"/>
        <v/>
      </c>
      <c r="GW6" s="40" t="str">
        <f t="shared" si="82"/>
        <v/>
      </c>
      <c r="GX6" s="40" t="str">
        <f t="shared" si="83"/>
        <v/>
      </c>
      <c r="GY6" s="40" t="str">
        <f t="shared" si="84"/>
        <v/>
      </c>
      <c r="GZ6" s="40" t="str">
        <f t="shared" si="85"/>
        <v/>
      </c>
      <c r="HA6" s="40" t="str">
        <f t="shared" si="86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87"/>
        <v/>
      </c>
      <c r="HW6" s="11" t="str">
        <f t="shared" si="88"/>
        <v/>
      </c>
      <c r="HX6" s="11" t="str">
        <f t="shared" si="89"/>
        <v/>
      </c>
      <c r="HY6" s="11" t="str">
        <f t="shared" si="90"/>
        <v/>
      </c>
      <c r="HZ6" s="11" t="str">
        <f t="shared" si="91"/>
        <v/>
      </c>
      <c r="IA6" s="11" t="str">
        <f t="shared" si="92"/>
        <v/>
      </c>
      <c r="IB6" s="11" t="str">
        <f t="shared" si="93"/>
        <v/>
      </c>
      <c r="IC6" s="11" t="str">
        <f t="shared" si="94"/>
        <v/>
      </c>
      <c r="ID6" s="11" t="str">
        <f t="shared" si="95"/>
        <v/>
      </c>
      <c r="IE6" s="11" t="str">
        <f t="shared" si="96"/>
        <v/>
      </c>
      <c r="IF6" s="11" t="str">
        <f t="shared" si="97"/>
        <v/>
      </c>
      <c r="IG6" s="11" t="str">
        <f t="shared" si="98"/>
        <v/>
      </c>
      <c r="IH6" s="11" t="str">
        <f t="shared" si="99"/>
        <v/>
      </c>
      <c r="II6" s="11" t="str">
        <f t="shared" si="100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1"/>
        <v/>
      </c>
      <c r="JE6" s="40" t="str">
        <f t="shared" si="102"/>
        <v/>
      </c>
      <c r="JF6" s="40" t="str">
        <f t="shared" si="103"/>
        <v/>
      </c>
      <c r="JG6" s="40" t="str">
        <f t="shared" si="104"/>
        <v/>
      </c>
      <c r="JH6" s="40" t="str">
        <f t="shared" si="105"/>
        <v/>
      </c>
      <c r="JI6" s="40" t="str">
        <f t="shared" si="106"/>
        <v/>
      </c>
      <c r="JJ6" s="40" t="str">
        <f t="shared" si="107"/>
        <v/>
      </c>
      <c r="JK6" s="40" t="str">
        <f t="shared" si="108"/>
        <v/>
      </c>
      <c r="JL6" s="40" t="str">
        <f t="shared" si="109"/>
        <v/>
      </c>
      <c r="JM6" s="40" t="str">
        <f t="shared" si="110"/>
        <v/>
      </c>
      <c r="JN6" s="40" t="str">
        <f t="shared" si="111"/>
        <v/>
      </c>
      <c r="JO6" s="40" t="str">
        <f t="shared" si="112"/>
        <v/>
      </c>
      <c r="JP6" s="40" t="str">
        <f t="shared" si="113"/>
        <v/>
      </c>
      <c r="JQ6" s="40" t="str">
        <f t="shared" si="114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15"/>
        <v/>
      </c>
      <c r="KM6" s="11" t="str">
        <f t="shared" si="116"/>
        <v/>
      </c>
      <c r="KN6" s="11" t="str">
        <f t="shared" si="117"/>
        <v/>
      </c>
      <c r="KO6" s="11" t="str">
        <f t="shared" si="118"/>
        <v/>
      </c>
      <c r="KP6" s="11" t="str">
        <f t="shared" si="119"/>
        <v/>
      </c>
      <c r="KQ6" s="11" t="str">
        <f t="shared" si="120"/>
        <v/>
      </c>
      <c r="KR6" s="11" t="str">
        <f t="shared" si="121"/>
        <v/>
      </c>
      <c r="KS6" s="11" t="str">
        <f t="shared" si="122"/>
        <v/>
      </c>
      <c r="KT6" s="11" t="str">
        <f t="shared" si="123"/>
        <v/>
      </c>
      <c r="KU6" s="11" t="str">
        <f t="shared" si="124"/>
        <v/>
      </c>
      <c r="KV6" s="11" t="str">
        <f t="shared" si="125"/>
        <v/>
      </c>
      <c r="KW6" s="11" t="str">
        <f t="shared" si="126"/>
        <v/>
      </c>
      <c r="KX6" s="11" t="str">
        <f t="shared" si="127"/>
        <v/>
      </c>
      <c r="KY6" s="11" t="str">
        <f t="shared" si="128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29"/>
        <v/>
      </c>
      <c r="LU6" s="40" t="str">
        <f t="shared" si="130"/>
        <v/>
      </c>
      <c r="LV6" s="40" t="str">
        <f t="shared" si="131"/>
        <v/>
      </c>
      <c r="LW6" s="40" t="str">
        <f t="shared" si="132"/>
        <v/>
      </c>
      <c r="LX6" s="40" t="str">
        <f t="shared" si="133"/>
        <v/>
      </c>
      <c r="LY6" s="40" t="str">
        <f t="shared" si="134"/>
        <v/>
      </c>
      <c r="LZ6" s="40" t="str">
        <f t="shared" si="135"/>
        <v/>
      </c>
      <c r="MA6" s="40" t="str">
        <f t="shared" si="136"/>
        <v/>
      </c>
      <c r="MB6" s="40" t="str">
        <f t="shared" si="137"/>
        <v/>
      </c>
      <c r="MC6" s="40" t="str">
        <f t="shared" si="138"/>
        <v/>
      </c>
      <c r="MD6" s="40" t="str">
        <f t="shared" si="139"/>
        <v/>
      </c>
      <c r="ME6" s="40" t="str">
        <f t="shared" si="140"/>
        <v/>
      </c>
      <c r="MF6" s="40" t="str">
        <f t="shared" si="141"/>
        <v/>
      </c>
      <c r="MG6" s="40" t="str">
        <f t="shared" si="142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3"/>
        <v/>
      </c>
      <c r="NC6" s="11" t="str">
        <f t="shared" si="144"/>
        <v/>
      </c>
      <c r="ND6" s="11" t="str">
        <f t="shared" si="145"/>
        <v/>
      </c>
      <c r="NE6" s="11" t="str">
        <f t="shared" si="146"/>
        <v/>
      </c>
      <c r="NF6" s="11" t="str">
        <f t="shared" si="147"/>
        <v/>
      </c>
      <c r="NG6" s="11" t="str">
        <f t="shared" si="148"/>
        <v/>
      </c>
      <c r="NH6" s="11" t="str">
        <f t="shared" si="149"/>
        <v/>
      </c>
      <c r="NI6" s="11" t="str">
        <f t="shared" si="150"/>
        <v/>
      </c>
      <c r="NJ6" s="11" t="str">
        <f t="shared" si="151"/>
        <v/>
      </c>
      <c r="NK6" s="11" t="str">
        <f t="shared" si="152"/>
        <v/>
      </c>
      <c r="NL6" s="11" t="str">
        <f t="shared" si="153"/>
        <v/>
      </c>
      <c r="NM6" s="11" t="str">
        <f t="shared" si="154"/>
        <v/>
      </c>
      <c r="NN6" s="11" t="str">
        <f t="shared" si="155"/>
        <v/>
      </c>
      <c r="NO6" s="11" t="str">
        <f t="shared" si="156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57"/>
        <v/>
      </c>
      <c r="OK6" s="40" t="str">
        <f t="shared" si="158"/>
        <v/>
      </c>
      <c r="OL6" s="40" t="str">
        <f t="shared" si="159"/>
        <v/>
      </c>
      <c r="OM6" s="40" t="str">
        <f t="shared" si="160"/>
        <v/>
      </c>
      <c r="ON6" s="40" t="str">
        <f t="shared" si="161"/>
        <v/>
      </c>
      <c r="OO6" s="40" t="str">
        <f t="shared" si="162"/>
        <v/>
      </c>
      <c r="OP6" s="40" t="str">
        <f t="shared" si="163"/>
        <v/>
      </c>
      <c r="OQ6" s="40" t="str">
        <f t="shared" si="164"/>
        <v/>
      </c>
      <c r="OR6" s="40" t="str">
        <f t="shared" si="165"/>
        <v/>
      </c>
      <c r="OS6" s="40" t="str">
        <f t="shared" si="166"/>
        <v/>
      </c>
      <c r="OT6" s="40" t="str">
        <f t="shared" si="167"/>
        <v/>
      </c>
      <c r="OU6" s="40" t="str">
        <f t="shared" si="168"/>
        <v/>
      </c>
      <c r="OV6" s="40" t="str">
        <f t="shared" si="169"/>
        <v/>
      </c>
      <c r="OW6" s="40" t="str">
        <f t="shared" si="170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1"/>
        <v/>
      </c>
      <c r="PS6" s="11" t="str">
        <f t="shared" si="172"/>
        <v/>
      </c>
      <c r="PT6" s="11" t="str">
        <f t="shared" si="173"/>
        <v/>
      </c>
      <c r="PU6" s="11" t="str">
        <f t="shared" si="174"/>
        <v/>
      </c>
      <c r="PV6" s="11" t="str">
        <f t="shared" si="175"/>
        <v/>
      </c>
      <c r="PW6" s="11" t="str">
        <f t="shared" si="176"/>
        <v/>
      </c>
      <c r="PX6" s="11" t="str">
        <f t="shared" si="177"/>
        <v/>
      </c>
      <c r="PY6" s="11" t="str">
        <f t="shared" si="178"/>
        <v/>
      </c>
      <c r="PZ6" s="11" t="str">
        <f t="shared" si="179"/>
        <v/>
      </c>
      <c r="QA6" s="11" t="str">
        <f t="shared" si="180"/>
        <v/>
      </c>
      <c r="QB6" s="11" t="str">
        <f t="shared" si="181"/>
        <v/>
      </c>
      <c r="QC6" s="11" t="str">
        <f t="shared" si="182"/>
        <v/>
      </c>
      <c r="QD6" s="11" t="str">
        <f t="shared" si="183"/>
        <v/>
      </c>
      <c r="QE6" s="11" t="str">
        <f t="shared" si="184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85"/>
        <v/>
      </c>
      <c r="RA6" s="40" t="str">
        <f t="shared" si="186"/>
        <v/>
      </c>
      <c r="RB6" s="40" t="str">
        <f t="shared" si="187"/>
        <v/>
      </c>
      <c r="RC6" s="40" t="str">
        <f t="shared" si="188"/>
        <v/>
      </c>
      <c r="RD6" s="40" t="str">
        <f t="shared" si="189"/>
        <v/>
      </c>
      <c r="RE6" s="40" t="str">
        <f t="shared" si="190"/>
        <v/>
      </c>
      <c r="RF6" s="40" t="str">
        <f t="shared" si="191"/>
        <v/>
      </c>
      <c r="RG6" s="40" t="str">
        <f t="shared" si="192"/>
        <v/>
      </c>
      <c r="RH6" s="40" t="str">
        <f t="shared" si="193"/>
        <v/>
      </c>
      <c r="RI6" s="40" t="str">
        <f t="shared" si="194"/>
        <v/>
      </c>
      <c r="RJ6" s="40" t="str">
        <f t="shared" si="195"/>
        <v/>
      </c>
      <c r="RK6" s="40" t="str">
        <f t="shared" si="196"/>
        <v/>
      </c>
      <c r="RL6" s="40" t="str">
        <f t="shared" si="197"/>
        <v/>
      </c>
      <c r="RM6" s="40" t="str">
        <f t="shared" si="198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199"/>
        <v/>
      </c>
      <c r="SI6" s="11" t="str">
        <f t="shared" si="200"/>
        <v/>
      </c>
      <c r="SJ6" s="11" t="str">
        <f t="shared" si="201"/>
        <v/>
      </c>
      <c r="SK6" s="11" t="str">
        <f t="shared" si="202"/>
        <v/>
      </c>
      <c r="SL6" s="11" t="str">
        <f t="shared" si="203"/>
        <v/>
      </c>
      <c r="SM6" s="11" t="str">
        <f t="shared" si="204"/>
        <v/>
      </c>
      <c r="SN6" s="11" t="str">
        <f t="shared" si="205"/>
        <v/>
      </c>
      <c r="SO6" s="11" t="str">
        <f t="shared" si="206"/>
        <v/>
      </c>
      <c r="SP6" s="11" t="str">
        <f t="shared" si="207"/>
        <v/>
      </c>
      <c r="SQ6" s="11" t="str">
        <f t="shared" si="208"/>
        <v/>
      </c>
      <c r="SR6" s="11" t="str">
        <f t="shared" si="209"/>
        <v/>
      </c>
      <c r="SS6" s="11" t="str">
        <f t="shared" si="210"/>
        <v/>
      </c>
      <c r="ST6" s="11" t="str">
        <f t="shared" si="211"/>
        <v/>
      </c>
      <c r="SU6" s="11" t="str">
        <f t="shared" si="212"/>
        <v/>
      </c>
      <c r="SV6" s="22">
        <f t="shared" si="213"/>
        <v>8</v>
      </c>
      <c r="SW6" s="22">
        <f t="shared" si="214"/>
        <v>5.4</v>
      </c>
      <c r="SX6" s="22">
        <f t="shared" si="215"/>
        <v>6.45</v>
      </c>
      <c r="SY6" s="22">
        <f t="shared" si="216"/>
        <v>8.3249999999999993</v>
      </c>
      <c r="SZ6" s="22">
        <f t="shared" si="217"/>
        <v>0</v>
      </c>
      <c r="TA6" s="22">
        <f t="shared" si="218"/>
        <v>6.5</v>
      </c>
      <c r="TB6" s="22">
        <f t="shared" si="219"/>
        <v>4.6500000000000004</v>
      </c>
      <c r="TC6" s="22">
        <f t="shared" si="220"/>
        <v>4.8</v>
      </c>
      <c r="TD6" s="22">
        <f t="shared" si="221"/>
        <v>7.0049999999999999</v>
      </c>
      <c r="TE6" s="22">
        <f t="shared" si="222"/>
        <v>0.6</v>
      </c>
      <c r="TF6" s="22">
        <f t="shared" si="223"/>
        <v>12.6</v>
      </c>
      <c r="TG6" s="22">
        <f t="shared" si="224"/>
        <v>9</v>
      </c>
      <c r="TH6" s="22">
        <f t="shared" si="225"/>
        <v>11.1</v>
      </c>
      <c r="TI6" s="22">
        <f t="shared" si="226"/>
        <v>13.785</v>
      </c>
      <c r="TJ6" s="22">
        <f t="shared" si="227"/>
        <v>0.1</v>
      </c>
      <c r="TK6" s="27" t="s">
        <v>46</v>
      </c>
      <c r="TL6" s="40">
        <f t="shared" si="228"/>
        <v>6.45</v>
      </c>
      <c r="TM6" s="40">
        <f t="shared" si="229"/>
        <v>8.3249999999999993</v>
      </c>
      <c r="TN6" s="40">
        <f t="shared" si="230"/>
        <v>28.175000000000001</v>
      </c>
      <c r="TO6" s="40">
        <f t="shared" si="231"/>
        <v>4.8</v>
      </c>
      <c r="TP6" s="40">
        <f t="shared" si="232"/>
        <v>7.0049999999999999</v>
      </c>
      <c r="TQ6" s="40">
        <f t="shared" si="233"/>
        <v>22.354999999999997</v>
      </c>
      <c r="TR6" s="40">
        <f t="shared" si="234"/>
        <v>28.175000000000001</v>
      </c>
      <c r="TS6" s="40">
        <f t="shared" si="235"/>
        <v>11.1</v>
      </c>
      <c r="TT6" s="40">
        <f t="shared" si="236"/>
        <v>13.785</v>
      </c>
      <c r="TU6" s="40">
        <f t="shared" si="237"/>
        <v>46.384999999999998</v>
      </c>
      <c r="TV6" s="40">
        <f t="shared" si="238"/>
        <v>74.56</v>
      </c>
    </row>
    <row r="7" spans="1:542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>2</v>
      </c>
      <c r="C7" s="5" t="s">
        <v>115</v>
      </c>
      <c r="D7" s="4" t="s">
        <v>3</v>
      </c>
      <c r="E7" s="4">
        <v>2006</v>
      </c>
      <c r="F7" s="9">
        <f t="shared" si="0"/>
        <v>173.99001739900504</v>
      </c>
      <c r="G7" s="64"/>
      <c r="H7" s="3" t="str">
        <f>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P","")</f>
        <v>P</v>
      </c>
      <c r="I7" s="3" t="str">
        <f>IF(OR(AND(AQ7&gt;=AY$26,AQ7&lt;&gt;"",AN7=""),AND(AT7&gt;=AY$26,AT7&lt;&gt;"",AN7=""),AND(AX7&gt;=AY$26,AX7&lt;&gt;"",AN7=""),AND(BR7&gt;=BZ$26,BR7&lt;&gt;"",BO7=""),AND(BU7&gt;=BZ$26,BU7&lt;&gt;"",BO7=""),AND(BY7&gt;=BZ$26,BY7&lt;&gt;"",BO7=""),AND(CS7&gt;=DA$26,CS7&lt;&gt;"",CP7=""),AND(CV7&gt;=DA$26,CV7&lt;&gt;"",CP7=""),AND(CZ7&gt;=DA$26,CZ7&lt;&gt;"",CP7=""),AND(DZ7&gt;=EK$26,DZ7&lt;&gt;""),AND(EC7&gt;=EK$26,EC7&lt;&gt;""),AND(EG7&gt;=EK$26,EG7&lt;&gt;""),AND(EJ7&gt;=EK$26,EJ7&lt;&gt;""),AND(FH7&gt;=FS$26,FH7&lt;&gt;""),AND(FK7&gt;=FS$26,FK7&lt;&gt;""),AND(FO7&gt;=FS$26,FO7&lt;&gt;""),AND(FR7&gt;=FS$26,FR7&lt;&gt;""),AND(GP7&gt;=HA$26,GP7&lt;&gt;""),AND(GS7&gt;=HA$26,GS7&lt;&gt;""),AND(GW7&gt;=HA$26,GW7&lt;&gt;""),AND(GZ7&gt;=HA$26,GZ7&lt;&gt;""),AND(HX7&gt;=II$26,HX7&lt;&gt;""),AND(IA7&gt;=II$26,IA7&lt;&gt;""),AND(IE7&gt;=II$26,IE7&lt;&gt;""),AND(IH7&gt;=II$26,IH7&lt;&gt;""),AND(JF7&gt;=JQ$26,JF7&lt;&gt;""),AND(JI7&gt;=JQ$26,JI7&lt;&gt;""),AND(JM7&gt;=JQ$26,JM7&lt;&gt;""),AND(JP7&gt;=JQ$26,JP7&lt;&gt;""),AND(KN7&gt;=KY$26,KN7&lt;&gt;""),AND(KQ7&gt;=KY$26,KQ7&lt;&gt;""),AND(KU7&gt;=KY$26,KU7&lt;&gt;""),AND(KX7&gt;=KY$26,KX7&lt;&gt;""),AND(LV7&gt;=MG$26,LV7&lt;&gt;""),AND(LY7&gt;=MG$26,LY7&lt;&gt;""),AND(MC7&gt;=MG$26,MC7&lt;&gt;""),AND(MF7&gt;=MG$26,MF7&lt;&gt;""),AND(ND7&gt;=NO$26,ND7&lt;&gt;""),AND(NG7&gt;=NO$26,NG7&lt;&gt;""),AND(NK7&gt;=NO$26,NK7&lt;&gt;""),AND(NN7&gt;=NO$26,NN7&lt;&gt;""),AND(OL7&gt;=OW$26,OL7&lt;&gt;""),AND(OO7&gt;=OW$26,OO7&lt;&gt;""),AND(OS7&gt;=OW$26,OS7&lt;&gt;""),AND(OV7&gt;=OW$26,OV7&lt;&gt;""),AND(PT7&gt;=QE$26,PT7&lt;&gt;""),AND(PW7&gt;=QE$26,PW7&lt;&gt;""),AND(QA7&gt;=QE$26,QA7&lt;&gt;""),AND(QD7&gt;=QE$26,QD7&lt;&gt;""),AND(RB7&gt;=RM$26,RB7&lt;&gt;""),AND(RE7&gt;=RM$26,RE7&lt;&gt;""),AND(RI7&gt;=RM$26,RI7&lt;&gt;""),AND(RL7&gt;=RM$26,RL7&lt;&gt;""),AND(SJ7&gt;=SU$26,SJ7&lt;&gt;""),AND(SM7&gt;=SU$26,SM7&lt;&gt;""),AND(SQ7&gt;=SU$26,SQ7&lt;&gt;""),AND(ST7&gt;=SU$26,ST7&lt;&gt;"")),"P","")</f>
        <v>P</v>
      </c>
      <c r="J7" s="36" t="str">
        <f>IF(AND(I7="P",H7=""),"No DD",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Merit",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Excellence",IF(K7="P","Worlds Team",IF(H7="P","National Team","")))))</f>
        <v>National Team</v>
      </c>
      <c r="K7" s="3" t="str">
        <f>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P","")</f>
        <v/>
      </c>
      <c r="L7" s="8">
        <f>IF(COUNT(AQ7,AT7,BR7,BU7,CS7,CV7)&gt;0,LARGE((AQ7,AT7,BR7,BU7,CS7,CV7),1),0)</f>
        <v>50.180000000000007</v>
      </c>
      <c r="M7" s="8" t="str">
        <f t="shared" si="1"/>
        <v>2025 Nationals</v>
      </c>
      <c r="N7" s="8">
        <f>IF(COUNT(AQ7,AT7,BR7,BU7,CS7,CV7)&gt;1,LARGE((AQ7,AT7,BR7,BU7,CS7,CV7),2),0)</f>
        <v>48.39</v>
      </c>
      <c r="O7" s="8" t="str">
        <f t="shared" si="2"/>
        <v>2025 Elite Canada</v>
      </c>
      <c r="P7" s="8">
        <f>IF(COUNT(AQ7,AT7,BR7,BU7,CS7,CV7)&gt;2,MAX(AX7,BY7,CZ7,LARGE((AQ7,AT7,BR7,BU7,CS7,CV7),3)),IF(MAX(AX7,BY7,CZ7)&gt;0,MAX(AX7,BY7,CZ7),0))</f>
        <v>48.699999999999996</v>
      </c>
      <c r="Q7" s="8" t="str">
        <f t="shared" si="3"/>
        <v>2025 Nationals</v>
      </c>
      <c r="R7" s="8">
        <f t="shared" si="4"/>
        <v>12.7</v>
      </c>
      <c r="S7" s="8" t="str">
        <f t="shared" si="5"/>
        <v>2025 Nationals</v>
      </c>
      <c r="T7" s="8">
        <f>IF(MAX(IF(AO7&gt;=$AY$22,AP7,0),IF(AR7&gt;=$AY$22,AS7,0),IF(AV7&gt;=$AY$22,AW7,0),IF(BP7&gt;=$BZ$22,BQ7,0),IF(BS7&gt;=$BZ$22,BT7,0),IF(BW7&gt;=$BZ$22,BX7,0),IF(CQ7&gt;=$DA$22,CR7,0),IF(CT7&gt;=$DA$22,CU7,0),IF(CX7&gt;=$DA$22,CY7,0),IF(DX7&gt;=$EK$22,DY7,0),IF(EA7&gt;=$EK$22,EB7,0),IF(EE7&gt;=$EK$22,EF7,0),IF(EH7&gt;=$EK$22,EI7,0),IF(FF7&gt;=$FS$22,FG7,0),IF(FI7&gt;=$FS$22,FJ7,0),IF(FM7&gt;=$FS$22,FN7,0),IF(FP7&gt;=$FS$22,FQ7,0),IF(GN7&gt;=$HA$22,GO7,0),IF(GQ7&gt;=$HA$22,GR7,0),IF(GU7&gt;=$HA$22,GV7,0),IF(GX7&gt;=$HA$22,GY7,0),IF(HV7&gt;=$II$22,HW7,0),IF(HY7&gt;=$II$22,HZ7,0),IF(IC7&gt;=$II$22,ID7,0),IF(IF7&gt;=$II$22,IG7,0),IF(JD7&gt;=$JQ$22,JE7,0),IF(JG7&gt;=$JQ$22,JH7,0),IF(JK7&gt;=$JQ$22,JL7,0),IF(JN7&gt;=$JQ$22,JO7,0),IF(KL7&gt;=$KY$22,KM7,0),IF(KO7&gt;=$KY$22,KP7,0),IF(KS7&gt;=$KY$22,KT7,0),IF(KV7&gt;=$KY$22,KW7,0),IF(LT7&gt;=$MG$22,LU7,0),IF(LW7&gt;=$MG$22,LX7,0),IF(MA7&gt;=$MG$22,MB7,0),IF(MD7&gt;=$MG$22,ME7,0),IF(NB7&gt;=$NO$22,NC7,0),IF(NE7&gt;=$NO$22,NF7,0),IF(NI7&gt;=$NO$22,NJ7,0),IF(NL7&gt;=$NO$22,NM7,0),IF(OJ7&gt;=$OW$22,OK7,0),IF(OM7&gt;=$OW$22,ON7,0),IF(OQ7&gt;=$OW$22,OR7,0),IF(OT7&gt;=$OW$22,OU7,0),IF(PR7&gt;=$QE$22,PS7,0),IF(PU7&gt;=$QE$22,PV7,0),IF(PY7&gt;=$QE$22,PZ7,0),IF(QB7&gt;=$QE$22,QC7,0),IF(QZ7&gt;=$RM$22,RA7,0),IF(RC7&gt;=$RM$22,RD7,0),IF(RG7&gt;=$RM$22,RH7,0),IF(RJ7&gt;=$RM$22,RK7,0),IF(SH7&gt;=$SU$22,SI7,0),IF(SK7&gt;=$SU$22,SL7,0),IF(SO7&gt;=$SU$22,SP7,0),IF(SR7&gt;=$SU$22,SS7,0))&gt;0,MAX(IF(AO7&gt;=$AY$22,AP7,0),IF(AR7&gt;=$AY$22,AS7,0),IF(AV7&gt;=$AY$22,AW7,0),IF(BP7&gt;=$BZ$22,BQ7,0),IF(BS7&gt;=$BZ$22,BT7,0),IF(BW7&gt;=$BZ$22,BX7,0),IF(CQ7&gt;=$DA$22,CR7,0),IF(CT7&gt;=$DA$22,CU7,0),IF(CX7&gt;=$DA$22,CY7,0),IF(DX7&gt;=$EK$22,DY7,0),IF(EA7&gt;=$EK$22,EB7,0),IF(EE7&gt;=$EK$22,EF7,0),IF(EH7&gt;=$EK$22,EI7,0),IF(FF7&gt;=$FS$22,FG7,0),IF(FI7&gt;=$FS$22,FJ7,0),IF(FM7&gt;=$FS$22,FN7,0),IF(FP7&gt;=$FS$22,FQ7,0),IF(GN7&gt;=$HA$22,GO7,0),IF(GQ7&gt;=$HA$22,GR7,0),IF(GU7&gt;=$HA$22,GV7,0),IF(GX7&gt;=$HA$22,GY7,0),IF(HV7&gt;=$II$22,HW7,0),IF(HY7&gt;=$II$22,HZ7,0),IF(IC7&gt;=$II$22,ID7,0),IF(IF7&gt;=$II$22,IG7,0),IF(JD7&gt;=$JQ$22,JE7,0),IF(JG7&gt;=$JQ$22,JH7,0),IF(JK7&gt;=$JQ$22,JL7,0),IF(JN7&gt;=$JQ$22,JO7,0),IF(KL7&gt;=$KY$22,KM7,0),IF(KO7&gt;=$KY$22,KP7,0),IF(KS7&gt;=$KY$22,KT7,0),IF(KV7&gt;=$KY$22,KW7,0),IF(LT7&gt;=$MG$22,LU7,0),IF(LW7&gt;=$MG$22,LX7,0),IF(MA7&gt;=$MG$22,MB7,0),IF(MD7&gt;=$MG$22,ME7,0),IF(NB7&gt;=$NO$22,NC7,0),IF(NE7&gt;=$NO$22,NF7,0),IF(NI7&gt;=$NO$22,NJ7,0),IF(NL7&gt;=$NO$22,NM7,0),IF(OJ7&gt;=$OW$22,OK7,0),IF(OM7&gt;=$OW$22,ON7,0),IF(OQ7&gt;=$OW$22,OR7,0),IF(OT7&gt;=$OW$22,OU7,0),IF(PR7&gt;=$QE$22,PS7,0),IF(PU7&gt;=$QE$22,PV7,0),IF(PY7&gt;=$QE$22,PZ7,0),IF(QB7&gt;=$QE$22,QC7,0),IF(QZ7&gt;=$RM$22,RA7,0),IF(RC7&gt;=$RM$22,RD7,0),IF(RG7&gt;=$RM$22,RH7,0),IF(RJ7&gt;=$RM$22,RK7,0),IF(SH7&gt;=$SU$22,SI7,0),IF(SK7&gt;=$SU$22,SL7,0),IF(SO7&gt;=$SU$22,SP7,0),IF(SR7&gt;=$SU$22,SS7,0)),0)</f>
        <v>14.02</v>
      </c>
      <c r="U7" s="8" t="str">
        <f t="shared" si="6"/>
        <v>2025 Elite Canada</v>
      </c>
      <c r="V7" s="8" t="str">
        <f t="shared" si="7"/>
        <v/>
      </c>
      <c r="W7" s="11" t="str">
        <f t="shared" si="8"/>
        <v/>
      </c>
      <c r="X7" s="8" t="str">
        <f t="shared" si="9"/>
        <v/>
      </c>
      <c r="Y7" s="22">
        <v>13.55</v>
      </c>
      <c r="Z7" s="22">
        <v>9.3000000000000007</v>
      </c>
      <c r="AA7" s="22">
        <v>11.7</v>
      </c>
      <c r="AB7" s="22">
        <v>13.84</v>
      </c>
      <c r="AC7" s="22">
        <v>0</v>
      </c>
      <c r="AD7" s="22">
        <v>8.4</v>
      </c>
      <c r="AE7" s="22">
        <v>5.1999999999999993</v>
      </c>
      <c r="AF7" s="22">
        <v>7.2</v>
      </c>
      <c r="AG7" s="22">
        <v>8.26</v>
      </c>
      <c r="AH7" s="22">
        <v>0</v>
      </c>
      <c r="AI7" s="22">
        <v>11.8</v>
      </c>
      <c r="AJ7" s="22">
        <v>8.85</v>
      </c>
      <c r="AK7" s="22">
        <v>12</v>
      </c>
      <c r="AL7" s="22">
        <v>14.02</v>
      </c>
      <c r="AM7" s="22">
        <v>0.1</v>
      </c>
      <c r="AN7" s="27" t="s">
        <v>46</v>
      </c>
      <c r="AO7" s="38">
        <f t="shared" si="10"/>
        <v>11.7</v>
      </c>
      <c r="AP7" s="38">
        <f t="shared" si="11"/>
        <v>13.84</v>
      </c>
      <c r="AQ7" s="40">
        <f t="shared" si="12"/>
        <v>48.39</v>
      </c>
      <c r="AR7" s="40">
        <f t="shared" si="13"/>
        <v>7.2</v>
      </c>
      <c r="AS7" s="40">
        <f t="shared" si="14"/>
        <v>8.26</v>
      </c>
      <c r="AT7" s="40">
        <f t="shared" si="15"/>
        <v>29.060000000000002</v>
      </c>
      <c r="AU7" s="40">
        <f t="shared" si="16"/>
        <v>48.39</v>
      </c>
      <c r="AV7" s="40">
        <f t="shared" si="17"/>
        <v>12</v>
      </c>
      <c r="AW7" s="40">
        <f t="shared" si="18"/>
        <v>14.02</v>
      </c>
      <c r="AX7" s="40">
        <f t="shared" si="19"/>
        <v>46.57</v>
      </c>
      <c r="AY7" s="40">
        <f t="shared" si="20"/>
        <v>94.960000000000008</v>
      </c>
      <c r="AZ7" s="26">
        <v>13.55</v>
      </c>
      <c r="BA7" s="26">
        <v>9.3000000000000007</v>
      </c>
      <c r="BB7" s="26">
        <v>11.7</v>
      </c>
      <c r="BC7" s="26">
        <v>13.84</v>
      </c>
      <c r="BD7" s="26">
        <v>0</v>
      </c>
      <c r="BE7" s="26">
        <v>8.4</v>
      </c>
      <c r="BF7" s="26">
        <v>5.1999999999999993</v>
      </c>
      <c r="BG7" s="26">
        <v>7.2</v>
      </c>
      <c r="BH7" s="26">
        <v>8.26</v>
      </c>
      <c r="BI7" s="26">
        <v>0</v>
      </c>
      <c r="BJ7" s="26">
        <v>11.8</v>
      </c>
      <c r="BK7" s="26">
        <v>8.85</v>
      </c>
      <c r="BL7" s="26">
        <v>12</v>
      </c>
      <c r="BM7" s="26">
        <v>14.02</v>
      </c>
      <c r="BN7" s="26">
        <v>0.1</v>
      </c>
      <c r="BO7" s="28" t="s">
        <v>46</v>
      </c>
      <c r="BP7" s="39">
        <f t="shared" si="21"/>
        <v>11.7</v>
      </c>
      <c r="BQ7" s="39">
        <f t="shared" si="22"/>
        <v>13.84</v>
      </c>
      <c r="BR7" s="11">
        <f t="shared" si="23"/>
        <v>48.39</v>
      </c>
      <c r="BS7" s="11">
        <f t="shared" si="24"/>
        <v>7.2</v>
      </c>
      <c r="BT7" s="11">
        <f t="shared" si="25"/>
        <v>8.26</v>
      </c>
      <c r="BU7" s="11">
        <f t="shared" si="26"/>
        <v>29.060000000000002</v>
      </c>
      <c r="BV7" s="11">
        <f t="shared" si="27"/>
        <v>48.39</v>
      </c>
      <c r="BW7" s="11">
        <f t="shared" si="28"/>
        <v>12</v>
      </c>
      <c r="BX7" s="11">
        <f t="shared" si="29"/>
        <v>14.02</v>
      </c>
      <c r="BY7" s="11">
        <f t="shared" si="30"/>
        <v>46.57</v>
      </c>
      <c r="BZ7" s="11">
        <f t="shared" si="31"/>
        <v>94.960000000000008</v>
      </c>
      <c r="CA7" s="22">
        <v>14.4</v>
      </c>
      <c r="CB7" s="22">
        <v>9.3000000000000007</v>
      </c>
      <c r="CC7" s="22">
        <v>12.7</v>
      </c>
      <c r="CD7" s="22">
        <v>13.78</v>
      </c>
      <c r="CE7" s="22">
        <v>0</v>
      </c>
      <c r="CF7" s="22">
        <v>2.9</v>
      </c>
      <c r="CG7" s="22">
        <v>1.8</v>
      </c>
      <c r="CH7" s="22">
        <v>3</v>
      </c>
      <c r="CI7" s="22">
        <v>3</v>
      </c>
      <c r="CJ7" s="22">
        <v>0</v>
      </c>
      <c r="CK7" s="22">
        <v>12.8</v>
      </c>
      <c r="CL7" s="22">
        <v>9.1999999999999993</v>
      </c>
      <c r="CM7" s="22">
        <v>12.5</v>
      </c>
      <c r="CN7" s="22">
        <v>14.4</v>
      </c>
      <c r="CO7" s="22">
        <v>0.2</v>
      </c>
      <c r="CP7" s="27"/>
      <c r="CQ7" s="38">
        <f t="shared" si="32"/>
        <v>12.7</v>
      </c>
      <c r="CR7" s="38">
        <f t="shared" si="33"/>
        <v>13.78</v>
      </c>
      <c r="CS7" s="40">
        <f t="shared" si="34"/>
        <v>50.180000000000007</v>
      </c>
      <c r="CT7" s="40">
        <f t="shared" si="35"/>
        <v>3</v>
      </c>
      <c r="CU7" s="40">
        <f t="shared" si="36"/>
        <v>3</v>
      </c>
      <c r="CV7" s="40">
        <f t="shared" si="37"/>
        <v>10.7</v>
      </c>
      <c r="CW7" s="40">
        <f t="shared" si="38"/>
        <v>50.180000000000007</v>
      </c>
      <c r="CX7" s="40">
        <f t="shared" si="39"/>
        <v>12.5</v>
      </c>
      <c r="CY7" s="40">
        <f t="shared" si="40"/>
        <v>14.4</v>
      </c>
      <c r="CZ7" s="40">
        <f t="shared" si="41"/>
        <v>48.699999999999996</v>
      </c>
      <c r="DA7" s="40">
        <f t="shared" si="42"/>
        <v>98.88</v>
      </c>
      <c r="DB7" s="50" t="str">
        <f t="shared" si="43"/>
        <v/>
      </c>
      <c r="DC7" s="50" t="str">
        <f t="shared" si="44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45"/>
        <v/>
      </c>
      <c r="DY7" s="40" t="str">
        <f t="shared" si="46"/>
        <v/>
      </c>
      <c r="DZ7" s="40" t="str">
        <f t="shared" si="47"/>
        <v/>
      </c>
      <c r="EA7" s="40" t="str">
        <f t="shared" si="48"/>
        <v/>
      </c>
      <c r="EB7" s="40" t="str">
        <f t="shared" si="49"/>
        <v/>
      </c>
      <c r="EC7" s="40" t="str">
        <f t="shared" si="50"/>
        <v/>
      </c>
      <c r="ED7" s="40" t="str">
        <f t="shared" si="51"/>
        <v/>
      </c>
      <c r="EE7" s="40" t="str">
        <f t="shared" si="52"/>
        <v/>
      </c>
      <c r="EF7" s="40" t="str">
        <f t="shared" si="53"/>
        <v/>
      </c>
      <c r="EG7" s="40" t="str">
        <f t="shared" si="54"/>
        <v/>
      </c>
      <c r="EH7" s="40" t="str">
        <f t="shared" si="55"/>
        <v/>
      </c>
      <c r="EI7" s="40" t="str">
        <f t="shared" si="56"/>
        <v/>
      </c>
      <c r="EJ7" s="40" t="str">
        <f t="shared" si="57"/>
        <v/>
      </c>
      <c r="EK7" s="40" t="str">
        <f t="shared" si="58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59"/>
        <v/>
      </c>
      <c r="FG7" s="11" t="str">
        <f t="shared" si="60"/>
        <v/>
      </c>
      <c r="FH7" s="11" t="str">
        <f t="shared" si="61"/>
        <v/>
      </c>
      <c r="FI7" s="11" t="str">
        <f t="shared" si="62"/>
        <v/>
      </c>
      <c r="FJ7" s="11" t="str">
        <f t="shared" si="63"/>
        <v/>
      </c>
      <c r="FK7" s="11" t="str">
        <f t="shared" si="64"/>
        <v/>
      </c>
      <c r="FL7" s="11" t="str">
        <f t="shared" si="65"/>
        <v/>
      </c>
      <c r="FM7" s="11" t="str">
        <f t="shared" si="66"/>
        <v/>
      </c>
      <c r="FN7" s="11" t="str">
        <f t="shared" si="67"/>
        <v/>
      </c>
      <c r="FO7" s="11" t="str">
        <f t="shared" si="68"/>
        <v/>
      </c>
      <c r="FP7" s="11" t="str">
        <f t="shared" si="69"/>
        <v/>
      </c>
      <c r="FQ7" s="11" t="str">
        <f t="shared" si="70"/>
        <v/>
      </c>
      <c r="FR7" s="11" t="str">
        <f t="shared" si="71"/>
        <v/>
      </c>
      <c r="FS7" s="11" t="str">
        <f t="shared" si="72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3"/>
        <v/>
      </c>
      <c r="GO7" s="40" t="str">
        <f t="shared" si="74"/>
        <v/>
      </c>
      <c r="GP7" s="40" t="str">
        <f t="shared" si="75"/>
        <v/>
      </c>
      <c r="GQ7" s="40" t="str">
        <f t="shared" si="76"/>
        <v/>
      </c>
      <c r="GR7" s="40" t="str">
        <f t="shared" si="77"/>
        <v/>
      </c>
      <c r="GS7" s="40" t="str">
        <f t="shared" si="78"/>
        <v/>
      </c>
      <c r="GT7" s="40" t="str">
        <f t="shared" si="79"/>
        <v/>
      </c>
      <c r="GU7" s="40" t="str">
        <f t="shared" si="80"/>
        <v/>
      </c>
      <c r="GV7" s="40" t="str">
        <f t="shared" si="81"/>
        <v/>
      </c>
      <c r="GW7" s="40" t="str">
        <f t="shared" si="82"/>
        <v/>
      </c>
      <c r="GX7" s="40" t="str">
        <f t="shared" si="83"/>
        <v/>
      </c>
      <c r="GY7" s="40" t="str">
        <f t="shared" si="84"/>
        <v/>
      </c>
      <c r="GZ7" s="40" t="str">
        <f t="shared" si="85"/>
        <v/>
      </c>
      <c r="HA7" s="40" t="str">
        <f t="shared" si="86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87"/>
        <v/>
      </c>
      <c r="HW7" s="11" t="str">
        <f t="shared" si="88"/>
        <v/>
      </c>
      <c r="HX7" s="11" t="str">
        <f t="shared" si="89"/>
        <v/>
      </c>
      <c r="HY7" s="11" t="str">
        <f t="shared" si="90"/>
        <v/>
      </c>
      <c r="HZ7" s="11" t="str">
        <f t="shared" si="91"/>
        <v/>
      </c>
      <c r="IA7" s="11" t="str">
        <f t="shared" si="92"/>
        <v/>
      </c>
      <c r="IB7" s="11" t="str">
        <f t="shared" si="93"/>
        <v/>
      </c>
      <c r="IC7" s="11" t="str">
        <f t="shared" si="94"/>
        <v/>
      </c>
      <c r="ID7" s="11" t="str">
        <f t="shared" si="95"/>
        <v/>
      </c>
      <c r="IE7" s="11" t="str">
        <f t="shared" si="96"/>
        <v/>
      </c>
      <c r="IF7" s="11" t="str">
        <f t="shared" si="97"/>
        <v/>
      </c>
      <c r="IG7" s="11" t="str">
        <f t="shared" si="98"/>
        <v/>
      </c>
      <c r="IH7" s="11" t="str">
        <f t="shared" si="99"/>
        <v/>
      </c>
      <c r="II7" s="11" t="str">
        <f t="shared" si="100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1"/>
        <v/>
      </c>
      <c r="JE7" s="40" t="str">
        <f t="shared" si="102"/>
        <v/>
      </c>
      <c r="JF7" s="40" t="str">
        <f t="shared" si="103"/>
        <v/>
      </c>
      <c r="JG7" s="40" t="str">
        <f t="shared" si="104"/>
        <v/>
      </c>
      <c r="JH7" s="40" t="str">
        <f t="shared" si="105"/>
        <v/>
      </c>
      <c r="JI7" s="40" t="str">
        <f t="shared" si="106"/>
        <v/>
      </c>
      <c r="JJ7" s="40" t="str">
        <f t="shared" si="107"/>
        <v/>
      </c>
      <c r="JK7" s="40" t="str">
        <f t="shared" si="108"/>
        <v/>
      </c>
      <c r="JL7" s="40" t="str">
        <f t="shared" si="109"/>
        <v/>
      </c>
      <c r="JM7" s="40" t="str">
        <f t="shared" si="110"/>
        <v/>
      </c>
      <c r="JN7" s="40" t="str">
        <f t="shared" si="111"/>
        <v/>
      </c>
      <c r="JO7" s="40" t="str">
        <f t="shared" si="112"/>
        <v/>
      </c>
      <c r="JP7" s="40" t="str">
        <f t="shared" si="113"/>
        <v/>
      </c>
      <c r="JQ7" s="40" t="str">
        <f t="shared" si="114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15"/>
        <v/>
      </c>
      <c r="KM7" s="11" t="str">
        <f t="shared" si="116"/>
        <v/>
      </c>
      <c r="KN7" s="11" t="str">
        <f t="shared" si="117"/>
        <v/>
      </c>
      <c r="KO7" s="11" t="str">
        <f t="shared" si="118"/>
        <v/>
      </c>
      <c r="KP7" s="11" t="str">
        <f t="shared" si="119"/>
        <v/>
      </c>
      <c r="KQ7" s="11" t="str">
        <f t="shared" si="120"/>
        <v/>
      </c>
      <c r="KR7" s="11" t="str">
        <f t="shared" si="121"/>
        <v/>
      </c>
      <c r="KS7" s="11" t="str">
        <f t="shared" si="122"/>
        <v/>
      </c>
      <c r="KT7" s="11" t="str">
        <f t="shared" si="123"/>
        <v/>
      </c>
      <c r="KU7" s="11" t="str">
        <f t="shared" si="124"/>
        <v/>
      </c>
      <c r="KV7" s="11" t="str">
        <f t="shared" si="125"/>
        <v/>
      </c>
      <c r="KW7" s="11" t="str">
        <f t="shared" si="126"/>
        <v/>
      </c>
      <c r="KX7" s="11" t="str">
        <f t="shared" si="127"/>
        <v/>
      </c>
      <c r="KY7" s="11" t="str">
        <f t="shared" si="128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29"/>
        <v/>
      </c>
      <c r="LU7" s="40" t="str">
        <f t="shared" si="130"/>
        <v/>
      </c>
      <c r="LV7" s="40" t="str">
        <f t="shared" si="131"/>
        <v/>
      </c>
      <c r="LW7" s="40" t="str">
        <f t="shared" si="132"/>
        <v/>
      </c>
      <c r="LX7" s="40" t="str">
        <f t="shared" si="133"/>
        <v/>
      </c>
      <c r="LY7" s="40" t="str">
        <f t="shared" si="134"/>
        <v/>
      </c>
      <c r="LZ7" s="40" t="str">
        <f t="shared" si="135"/>
        <v/>
      </c>
      <c r="MA7" s="40" t="str">
        <f t="shared" si="136"/>
        <v/>
      </c>
      <c r="MB7" s="40" t="str">
        <f t="shared" si="137"/>
        <v/>
      </c>
      <c r="MC7" s="40" t="str">
        <f t="shared" si="138"/>
        <v/>
      </c>
      <c r="MD7" s="40" t="str">
        <f t="shared" si="139"/>
        <v/>
      </c>
      <c r="ME7" s="40" t="str">
        <f t="shared" si="140"/>
        <v/>
      </c>
      <c r="MF7" s="40" t="str">
        <f t="shared" si="141"/>
        <v/>
      </c>
      <c r="MG7" s="40" t="str">
        <f t="shared" si="142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3"/>
        <v/>
      </c>
      <c r="NC7" s="11" t="str">
        <f t="shared" si="144"/>
        <v/>
      </c>
      <c r="ND7" s="11" t="str">
        <f t="shared" si="145"/>
        <v/>
      </c>
      <c r="NE7" s="11" t="str">
        <f t="shared" si="146"/>
        <v/>
      </c>
      <c r="NF7" s="11" t="str">
        <f t="shared" si="147"/>
        <v/>
      </c>
      <c r="NG7" s="11" t="str">
        <f t="shared" si="148"/>
        <v/>
      </c>
      <c r="NH7" s="11" t="str">
        <f t="shared" si="149"/>
        <v/>
      </c>
      <c r="NI7" s="11" t="str">
        <f t="shared" si="150"/>
        <v/>
      </c>
      <c r="NJ7" s="11" t="str">
        <f t="shared" si="151"/>
        <v/>
      </c>
      <c r="NK7" s="11" t="str">
        <f t="shared" si="152"/>
        <v/>
      </c>
      <c r="NL7" s="11" t="str">
        <f t="shared" si="153"/>
        <v/>
      </c>
      <c r="NM7" s="11" t="str">
        <f t="shared" si="154"/>
        <v/>
      </c>
      <c r="NN7" s="11" t="str">
        <f t="shared" si="155"/>
        <v/>
      </c>
      <c r="NO7" s="11" t="str">
        <f t="shared" si="156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57"/>
        <v/>
      </c>
      <c r="OK7" s="40" t="str">
        <f t="shared" si="158"/>
        <v/>
      </c>
      <c r="OL7" s="40" t="str">
        <f t="shared" si="159"/>
        <v/>
      </c>
      <c r="OM7" s="40" t="str">
        <f t="shared" si="160"/>
        <v/>
      </c>
      <c r="ON7" s="40" t="str">
        <f t="shared" si="161"/>
        <v/>
      </c>
      <c r="OO7" s="40" t="str">
        <f t="shared" si="162"/>
        <v/>
      </c>
      <c r="OP7" s="40" t="str">
        <f t="shared" si="163"/>
        <v/>
      </c>
      <c r="OQ7" s="40" t="str">
        <f t="shared" si="164"/>
        <v/>
      </c>
      <c r="OR7" s="40" t="str">
        <f t="shared" si="165"/>
        <v/>
      </c>
      <c r="OS7" s="40" t="str">
        <f t="shared" si="166"/>
        <v/>
      </c>
      <c r="OT7" s="40" t="str">
        <f t="shared" si="167"/>
        <v/>
      </c>
      <c r="OU7" s="40" t="str">
        <f t="shared" si="168"/>
        <v/>
      </c>
      <c r="OV7" s="40" t="str">
        <f t="shared" si="169"/>
        <v/>
      </c>
      <c r="OW7" s="40" t="str">
        <f t="shared" si="170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1"/>
        <v/>
      </c>
      <c r="PS7" s="11" t="str">
        <f t="shared" si="172"/>
        <v/>
      </c>
      <c r="PT7" s="11" t="str">
        <f t="shared" si="173"/>
        <v/>
      </c>
      <c r="PU7" s="11" t="str">
        <f t="shared" si="174"/>
        <v/>
      </c>
      <c r="PV7" s="11" t="str">
        <f t="shared" si="175"/>
        <v/>
      </c>
      <c r="PW7" s="11" t="str">
        <f t="shared" si="176"/>
        <v/>
      </c>
      <c r="PX7" s="11" t="str">
        <f t="shared" si="177"/>
        <v/>
      </c>
      <c r="PY7" s="11" t="str">
        <f t="shared" si="178"/>
        <v/>
      </c>
      <c r="PZ7" s="11" t="str">
        <f t="shared" si="179"/>
        <v/>
      </c>
      <c r="QA7" s="11" t="str">
        <f t="shared" si="180"/>
        <v/>
      </c>
      <c r="QB7" s="11" t="str">
        <f t="shared" si="181"/>
        <v/>
      </c>
      <c r="QC7" s="11" t="str">
        <f t="shared" si="182"/>
        <v/>
      </c>
      <c r="QD7" s="11" t="str">
        <f t="shared" si="183"/>
        <v/>
      </c>
      <c r="QE7" s="11" t="str">
        <f t="shared" si="184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85"/>
        <v/>
      </c>
      <c r="RA7" s="40" t="str">
        <f t="shared" si="186"/>
        <v/>
      </c>
      <c r="RB7" s="40" t="str">
        <f t="shared" si="187"/>
        <v/>
      </c>
      <c r="RC7" s="40" t="str">
        <f t="shared" si="188"/>
        <v/>
      </c>
      <c r="RD7" s="40" t="str">
        <f t="shared" si="189"/>
        <v/>
      </c>
      <c r="RE7" s="40" t="str">
        <f t="shared" si="190"/>
        <v/>
      </c>
      <c r="RF7" s="40" t="str">
        <f t="shared" si="191"/>
        <v/>
      </c>
      <c r="RG7" s="40" t="str">
        <f t="shared" si="192"/>
        <v/>
      </c>
      <c r="RH7" s="40" t="str">
        <f t="shared" si="193"/>
        <v/>
      </c>
      <c r="RI7" s="40" t="str">
        <f t="shared" si="194"/>
        <v/>
      </c>
      <c r="RJ7" s="40" t="str">
        <f t="shared" si="195"/>
        <v/>
      </c>
      <c r="RK7" s="40" t="str">
        <f t="shared" si="196"/>
        <v/>
      </c>
      <c r="RL7" s="40" t="str">
        <f t="shared" si="197"/>
        <v/>
      </c>
      <c r="RM7" s="40" t="str">
        <f t="shared" si="198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199"/>
        <v/>
      </c>
      <c r="SI7" s="11" t="str">
        <f t="shared" si="200"/>
        <v/>
      </c>
      <c r="SJ7" s="11" t="str">
        <f t="shared" si="201"/>
        <v/>
      </c>
      <c r="SK7" s="11" t="str">
        <f t="shared" si="202"/>
        <v/>
      </c>
      <c r="SL7" s="11" t="str">
        <f t="shared" si="203"/>
        <v/>
      </c>
      <c r="SM7" s="11" t="str">
        <f t="shared" si="204"/>
        <v/>
      </c>
      <c r="SN7" s="11" t="str">
        <f t="shared" si="205"/>
        <v/>
      </c>
      <c r="SO7" s="11" t="str">
        <f t="shared" si="206"/>
        <v/>
      </c>
      <c r="SP7" s="11" t="str">
        <f t="shared" si="207"/>
        <v/>
      </c>
      <c r="SQ7" s="11" t="str">
        <f t="shared" si="208"/>
        <v/>
      </c>
      <c r="SR7" s="11" t="str">
        <f t="shared" si="209"/>
        <v/>
      </c>
      <c r="SS7" s="11" t="str">
        <f t="shared" si="210"/>
        <v/>
      </c>
      <c r="ST7" s="11" t="str">
        <f t="shared" si="211"/>
        <v/>
      </c>
      <c r="SU7" s="11" t="str">
        <f t="shared" si="212"/>
        <v/>
      </c>
      <c r="SV7" s="22">
        <f t="shared" si="213"/>
        <v>13.975000000000001</v>
      </c>
      <c r="SW7" s="22">
        <f t="shared" si="214"/>
        <v>9.3000000000000007</v>
      </c>
      <c r="SX7" s="22">
        <f t="shared" si="215"/>
        <v>12.2</v>
      </c>
      <c r="SY7" s="22">
        <f t="shared" si="216"/>
        <v>13.809999999999999</v>
      </c>
      <c r="SZ7" s="22">
        <f t="shared" si="217"/>
        <v>0</v>
      </c>
      <c r="TA7" s="22">
        <f t="shared" si="218"/>
        <v>5.65</v>
      </c>
      <c r="TB7" s="22">
        <f t="shared" si="219"/>
        <v>3.4999999999999996</v>
      </c>
      <c r="TC7" s="22">
        <f t="shared" si="220"/>
        <v>5.0999999999999996</v>
      </c>
      <c r="TD7" s="22">
        <f t="shared" si="221"/>
        <v>5.63</v>
      </c>
      <c r="TE7" s="22">
        <f t="shared" si="222"/>
        <v>0</v>
      </c>
      <c r="TF7" s="22">
        <f t="shared" si="223"/>
        <v>12.3</v>
      </c>
      <c r="TG7" s="22">
        <f t="shared" si="224"/>
        <v>9.0249999999999986</v>
      </c>
      <c r="TH7" s="22">
        <f t="shared" si="225"/>
        <v>12.25</v>
      </c>
      <c r="TI7" s="22">
        <f t="shared" si="226"/>
        <v>14.21</v>
      </c>
      <c r="TJ7" s="22">
        <f t="shared" si="227"/>
        <v>0.15000000000000002</v>
      </c>
      <c r="TK7" s="27" t="s">
        <v>46</v>
      </c>
      <c r="TL7" s="40">
        <f t="shared" si="228"/>
        <v>12.2</v>
      </c>
      <c r="TM7" s="40">
        <f t="shared" si="229"/>
        <v>13.809999999999999</v>
      </c>
      <c r="TN7" s="40">
        <f t="shared" si="230"/>
        <v>49.284999999999997</v>
      </c>
      <c r="TO7" s="40">
        <f t="shared" si="231"/>
        <v>5.0999999999999996</v>
      </c>
      <c r="TP7" s="40">
        <f t="shared" si="232"/>
        <v>5.63</v>
      </c>
      <c r="TQ7" s="40">
        <f t="shared" si="233"/>
        <v>19.88</v>
      </c>
      <c r="TR7" s="40">
        <f t="shared" si="234"/>
        <v>49.284999999999997</v>
      </c>
      <c r="TS7" s="40">
        <f t="shared" si="235"/>
        <v>12.25</v>
      </c>
      <c r="TT7" s="40">
        <f t="shared" si="236"/>
        <v>14.21</v>
      </c>
      <c r="TU7" s="40">
        <f t="shared" si="237"/>
        <v>47.635000000000005</v>
      </c>
      <c r="TV7" s="40">
        <f t="shared" si="238"/>
        <v>96.92</v>
      </c>
    </row>
    <row r="8" spans="1:542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>3</v>
      </c>
      <c r="C8" s="5" t="s">
        <v>134</v>
      </c>
      <c r="D8" s="4" t="s">
        <v>5</v>
      </c>
      <c r="E8" s="4">
        <v>2007</v>
      </c>
      <c r="F8" s="9">
        <f t="shared" si="0"/>
        <v>173.17001585450498</v>
      </c>
      <c r="G8" s="64"/>
      <c r="H8" s="3" t="str">
        <f>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P","")</f>
        <v>P</v>
      </c>
      <c r="I8" s="3" t="str">
        <f>IF(OR(AND(AQ8&gt;=AY$26,AQ8&lt;&gt;"",AN8=""),AND(AT8&gt;=AY$26,AT8&lt;&gt;"",AN8=""),AND(AX8&gt;=AY$26,AX8&lt;&gt;"",AN8=""),AND(BR8&gt;=BZ$26,BR8&lt;&gt;"",BO8=""),AND(BU8&gt;=BZ$26,BU8&lt;&gt;"",BO8=""),AND(BY8&gt;=BZ$26,BY8&lt;&gt;"",BO8=""),AND(CS8&gt;=DA$26,CS8&lt;&gt;"",CP8=""),AND(CV8&gt;=DA$26,CV8&lt;&gt;"",CP8=""),AND(CZ8&gt;=DA$26,CZ8&lt;&gt;"",CP8=""),AND(DZ8&gt;=EK$26,DZ8&lt;&gt;""),AND(EC8&gt;=EK$26,EC8&lt;&gt;""),AND(EG8&gt;=EK$26,EG8&lt;&gt;""),AND(EJ8&gt;=EK$26,EJ8&lt;&gt;""),AND(FH8&gt;=FS$26,FH8&lt;&gt;""),AND(FK8&gt;=FS$26,FK8&lt;&gt;""),AND(FO8&gt;=FS$26,FO8&lt;&gt;""),AND(FR8&gt;=FS$26,FR8&lt;&gt;""),AND(GP8&gt;=HA$26,GP8&lt;&gt;""),AND(GS8&gt;=HA$26,GS8&lt;&gt;""),AND(GW8&gt;=HA$26,GW8&lt;&gt;""),AND(GZ8&gt;=HA$26,GZ8&lt;&gt;""),AND(HX8&gt;=II$26,HX8&lt;&gt;""),AND(IA8&gt;=II$26,IA8&lt;&gt;""),AND(IE8&gt;=II$26,IE8&lt;&gt;""),AND(IH8&gt;=II$26,IH8&lt;&gt;""),AND(JF8&gt;=JQ$26,JF8&lt;&gt;""),AND(JI8&gt;=JQ$26,JI8&lt;&gt;""),AND(JM8&gt;=JQ$26,JM8&lt;&gt;""),AND(JP8&gt;=JQ$26,JP8&lt;&gt;""),AND(KN8&gt;=KY$26,KN8&lt;&gt;""),AND(KQ8&gt;=KY$26,KQ8&lt;&gt;""),AND(KU8&gt;=KY$26,KU8&lt;&gt;""),AND(KX8&gt;=KY$26,KX8&lt;&gt;""),AND(LV8&gt;=MG$26,LV8&lt;&gt;""),AND(LY8&gt;=MG$26,LY8&lt;&gt;""),AND(MC8&gt;=MG$26,MC8&lt;&gt;""),AND(MF8&gt;=MG$26,MF8&lt;&gt;""),AND(ND8&gt;=NO$26,ND8&lt;&gt;""),AND(NG8&gt;=NO$26,NG8&lt;&gt;""),AND(NK8&gt;=NO$26,NK8&lt;&gt;""),AND(NN8&gt;=NO$26,NN8&lt;&gt;""),AND(OL8&gt;=OW$26,OL8&lt;&gt;""),AND(OO8&gt;=OW$26,OO8&lt;&gt;""),AND(OS8&gt;=OW$26,OS8&lt;&gt;""),AND(OV8&gt;=OW$26,OV8&lt;&gt;""),AND(PT8&gt;=QE$26,PT8&lt;&gt;""),AND(PW8&gt;=QE$26,PW8&lt;&gt;""),AND(QA8&gt;=QE$26,QA8&lt;&gt;""),AND(QD8&gt;=QE$26,QD8&lt;&gt;""),AND(RB8&gt;=RM$26,RB8&lt;&gt;""),AND(RE8&gt;=RM$26,RE8&lt;&gt;""),AND(RI8&gt;=RM$26,RI8&lt;&gt;""),AND(RL8&gt;=RM$26,RL8&lt;&gt;""),AND(SJ8&gt;=SU$26,SJ8&lt;&gt;""),AND(SM8&gt;=SU$26,SM8&lt;&gt;""),AND(SQ8&gt;=SU$26,SQ8&lt;&gt;""),AND(ST8&gt;=SU$26,ST8&lt;&gt;"")),"P","")</f>
        <v>P</v>
      </c>
      <c r="J8" s="36" t="str">
        <f>IF(AND(I8="P",H8=""),"No DD",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Merit",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Excellence",IF(K8="P","Worlds Team",IF(H8="P","National Team","")))))</f>
        <v>National Team</v>
      </c>
      <c r="K8" s="3" t="str">
        <f>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P","")</f>
        <v/>
      </c>
      <c r="L8" s="8">
        <f>IF(COUNT(AQ8,AT8,BR8,BU8,CS8,CV8)&gt;0,LARGE((AQ8,AT8,BR8,BU8,CS8,CV8),1),0)</f>
        <v>50.1</v>
      </c>
      <c r="M8" s="8" t="str">
        <f t="shared" si="1"/>
        <v>2025 Nationals</v>
      </c>
      <c r="N8" s="8">
        <f>IF(COUNT(AQ8,AT8,BR8,BU8,CS8,CV8)&gt;1,LARGE((AQ8,AT8,BR8,BU8,CS8,CV8),2),0)</f>
        <v>47.01</v>
      </c>
      <c r="O8" s="8" t="str">
        <f t="shared" si="2"/>
        <v>2025 Elite Canada</v>
      </c>
      <c r="P8" s="8">
        <f>IF(COUNT(AQ8,AT8,BR8,BU8,CS8,CV8)&gt;2,MAX(AX8,BY8,CZ8,LARGE((AQ8,AT8,BR8,BU8,CS8,CV8),3)),IF(MAX(AX8,BY8,CZ8)&gt;0,MAX(AX8,BY8,CZ8),0))</f>
        <v>34.754999999999995</v>
      </c>
      <c r="Q8" s="8" t="str">
        <f t="shared" si="3"/>
        <v>2024 3rd Domestic Trial</v>
      </c>
      <c r="R8" s="8">
        <f t="shared" si="4"/>
        <v>12.7</v>
      </c>
      <c r="S8" s="8" t="str">
        <f t="shared" si="5"/>
        <v>2025 Nationals</v>
      </c>
      <c r="T8" s="8">
        <f>IF(MAX(IF(AO8&gt;=$AY$22,AP8,0),IF(AR8&gt;=$AY$22,AS8,0),IF(AV8&gt;=$AY$22,AW8,0),IF(BP8&gt;=$BZ$22,BQ8,0),IF(BS8&gt;=$BZ$22,BT8,0),IF(BW8&gt;=$BZ$22,BX8,0),IF(CQ8&gt;=$DA$22,CR8,0),IF(CT8&gt;=$DA$22,CU8,0),IF(CX8&gt;=$DA$22,CY8,0),IF(DX8&gt;=$EK$22,DY8,0),IF(EA8&gt;=$EK$22,EB8,0),IF(EE8&gt;=$EK$22,EF8,0),IF(EH8&gt;=$EK$22,EI8,0),IF(FF8&gt;=$FS$22,FG8,0),IF(FI8&gt;=$FS$22,FJ8,0),IF(FM8&gt;=$FS$22,FN8,0),IF(FP8&gt;=$FS$22,FQ8,0),IF(GN8&gt;=$HA$22,GO8,0),IF(GQ8&gt;=$HA$22,GR8,0),IF(GU8&gt;=$HA$22,GV8,0),IF(GX8&gt;=$HA$22,GY8,0),IF(HV8&gt;=$II$22,HW8,0),IF(HY8&gt;=$II$22,HZ8,0),IF(IC8&gt;=$II$22,ID8,0),IF(IF8&gt;=$II$22,IG8,0),IF(JD8&gt;=$JQ$22,JE8,0),IF(JG8&gt;=$JQ$22,JH8,0),IF(JK8&gt;=$JQ$22,JL8,0),IF(JN8&gt;=$JQ$22,JO8,0),IF(KL8&gt;=$KY$22,KM8,0),IF(KO8&gt;=$KY$22,KP8,0),IF(KS8&gt;=$KY$22,KT8,0),IF(KV8&gt;=$KY$22,KW8,0),IF(LT8&gt;=$MG$22,LU8,0),IF(LW8&gt;=$MG$22,LX8,0),IF(MA8&gt;=$MG$22,MB8,0),IF(MD8&gt;=$MG$22,ME8,0),IF(NB8&gt;=$NO$22,NC8,0),IF(NE8&gt;=$NO$22,NF8,0),IF(NI8&gt;=$NO$22,NJ8,0),IF(NL8&gt;=$NO$22,NM8,0),IF(OJ8&gt;=$OW$22,OK8,0),IF(OM8&gt;=$OW$22,ON8,0),IF(OQ8&gt;=$OW$22,OR8,0),IF(OT8&gt;=$OW$22,OU8,0),IF(PR8&gt;=$QE$22,PS8,0),IF(PU8&gt;=$QE$22,PV8,0),IF(PY8&gt;=$QE$22,PZ8,0),IF(QB8&gt;=$QE$22,QC8,0),IF(QZ8&gt;=$RM$22,RA8,0),IF(RC8&gt;=$RM$22,RD8,0),IF(RG8&gt;=$RM$22,RH8,0),IF(RJ8&gt;=$RM$22,RK8,0),IF(SH8&gt;=$SU$22,SI8,0),IF(SK8&gt;=$SU$22,SL8,0),IF(SO8&gt;=$SU$22,SP8,0),IF(SR8&gt;=$SU$22,SS8,0))&gt;0,MAX(IF(AO8&gt;=$AY$22,AP8,0),IF(AR8&gt;=$AY$22,AS8,0),IF(AV8&gt;=$AY$22,AW8,0),IF(BP8&gt;=$BZ$22,BQ8,0),IF(BS8&gt;=$BZ$22,BT8,0),IF(BW8&gt;=$BZ$22,BX8,0),IF(CQ8&gt;=$DA$22,CR8,0),IF(CT8&gt;=$DA$22,CU8,0),IF(CX8&gt;=$DA$22,CY8,0),IF(DX8&gt;=$EK$22,DY8,0),IF(EA8&gt;=$EK$22,EB8,0),IF(EE8&gt;=$EK$22,EF8,0),IF(EH8&gt;=$EK$22,EI8,0),IF(FF8&gt;=$FS$22,FG8,0),IF(FI8&gt;=$FS$22,FJ8,0),IF(FM8&gt;=$FS$22,FN8,0),IF(FP8&gt;=$FS$22,FQ8,0),IF(GN8&gt;=$HA$22,GO8,0),IF(GQ8&gt;=$HA$22,GR8,0),IF(GU8&gt;=$HA$22,GV8,0),IF(GX8&gt;=$HA$22,GY8,0),IF(HV8&gt;=$II$22,HW8,0),IF(HY8&gt;=$II$22,HZ8,0),IF(IC8&gt;=$II$22,ID8,0),IF(IF8&gt;=$II$22,IG8,0),IF(JD8&gt;=$JQ$22,JE8,0),IF(JG8&gt;=$JQ$22,JH8,0),IF(JK8&gt;=$JQ$22,JL8,0),IF(JN8&gt;=$JQ$22,JO8,0),IF(KL8&gt;=$KY$22,KM8,0),IF(KO8&gt;=$KY$22,KP8,0),IF(KS8&gt;=$KY$22,KT8,0),IF(KV8&gt;=$KY$22,KW8,0),IF(LT8&gt;=$MG$22,LU8,0),IF(LW8&gt;=$MG$22,LX8,0),IF(MA8&gt;=$MG$22,MB8,0),IF(MD8&gt;=$MG$22,ME8,0),IF(NB8&gt;=$NO$22,NC8,0),IF(NE8&gt;=$NO$22,NF8,0),IF(NI8&gt;=$NO$22,NJ8,0),IF(NL8&gt;=$NO$22,NM8,0),IF(OJ8&gt;=$OW$22,OK8,0),IF(OM8&gt;=$OW$22,ON8,0),IF(OQ8&gt;=$OW$22,OR8,0),IF(OT8&gt;=$OW$22,OU8,0),IF(PR8&gt;=$QE$22,PS8,0),IF(PU8&gt;=$QE$22,PV8,0),IF(PY8&gt;=$QE$22,PZ8,0),IF(QB8&gt;=$QE$22,QC8,0),IF(QZ8&gt;=$RM$22,RA8,0),IF(RC8&gt;=$RM$22,RD8,0),IF(RG8&gt;=$RM$22,RH8,0),IF(RJ8&gt;=$RM$22,RK8,0),IF(SH8&gt;=$SU$22,SI8,0),IF(SK8&gt;=$SU$22,SL8,0),IF(SO8&gt;=$SU$22,SP8,0),IF(SR8&gt;=$SU$22,SS8,0)),0)</f>
        <v>13.98</v>
      </c>
      <c r="U8" s="8" t="str">
        <f t="shared" si="6"/>
        <v>2024 Coimbra Gym Fest (July 7)</v>
      </c>
      <c r="V8" s="8">
        <f t="shared" si="7"/>
        <v>14.625</v>
      </c>
      <c r="W8" s="11" t="str">
        <f t="shared" si="8"/>
        <v>(Optional)</v>
      </c>
      <c r="X8" s="8" t="str">
        <f t="shared" si="9"/>
        <v>2024 Coimbra Gym Fest (July 7)</v>
      </c>
      <c r="Y8" s="22">
        <v>10.899999999999999</v>
      </c>
      <c r="Z8" s="22">
        <v>6.1499999999999995</v>
      </c>
      <c r="AA8" s="22">
        <v>8</v>
      </c>
      <c r="AB8" s="22">
        <v>9.7050000000000001</v>
      </c>
      <c r="AC8" s="22">
        <v>0</v>
      </c>
      <c r="AD8" s="22">
        <v>9.6000000000000014</v>
      </c>
      <c r="AE8" s="22">
        <v>6</v>
      </c>
      <c r="AF8" s="22">
        <v>7.05</v>
      </c>
      <c r="AG8" s="22">
        <v>8.9250000000000007</v>
      </c>
      <c r="AH8" s="22">
        <v>0</v>
      </c>
      <c r="AI8" s="22">
        <v>7.4</v>
      </c>
      <c r="AJ8" s="22">
        <v>4.4000000000000004</v>
      </c>
      <c r="AK8" s="22">
        <v>5.8</v>
      </c>
      <c r="AL8" s="22">
        <v>6.8650000000000002</v>
      </c>
      <c r="AM8" s="22">
        <v>0</v>
      </c>
      <c r="AN8" s="27" t="s">
        <v>46</v>
      </c>
      <c r="AO8" s="38">
        <f t="shared" si="10"/>
        <v>8</v>
      </c>
      <c r="AP8" s="38">
        <f t="shared" si="11"/>
        <v>9.7050000000000001</v>
      </c>
      <c r="AQ8" s="40">
        <f t="shared" si="12"/>
        <v>34.754999999999995</v>
      </c>
      <c r="AR8" s="40">
        <f t="shared" si="13"/>
        <v>7.05</v>
      </c>
      <c r="AS8" s="40">
        <f t="shared" si="14"/>
        <v>8.9250000000000007</v>
      </c>
      <c r="AT8" s="40">
        <f t="shared" si="15"/>
        <v>31.575000000000003</v>
      </c>
      <c r="AU8" s="40">
        <f t="shared" si="16"/>
        <v>34.754999999999995</v>
      </c>
      <c r="AV8" s="40">
        <f t="shared" si="17"/>
        <v>5.8</v>
      </c>
      <c r="AW8" s="40">
        <f t="shared" si="18"/>
        <v>6.8650000000000002</v>
      </c>
      <c r="AX8" s="40">
        <f t="shared" si="19"/>
        <v>24.465000000000003</v>
      </c>
      <c r="AY8" s="40">
        <f t="shared" si="20"/>
        <v>59.22</v>
      </c>
      <c r="AZ8" s="26">
        <v>13.7</v>
      </c>
      <c r="BA8" s="26">
        <v>9.3000000000000007</v>
      </c>
      <c r="BB8" s="26">
        <v>10.3</v>
      </c>
      <c r="BC8" s="26">
        <v>14.21</v>
      </c>
      <c r="BD8" s="26">
        <v>0.5</v>
      </c>
      <c r="BE8" s="26">
        <v>7.4</v>
      </c>
      <c r="BF8" s="26">
        <v>4.8</v>
      </c>
      <c r="BG8" s="26">
        <v>5.8</v>
      </c>
      <c r="BH8" s="26">
        <v>7.22</v>
      </c>
      <c r="BI8" s="26">
        <v>0</v>
      </c>
      <c r="BJ8" s="26">
        <v>6</v>
      </c>
      <c r="BK8" s="26">
        <v>3.7</v>
      </c>
      <c r="BL8" s="26">
        <v>4.7</v>
      </c>
      <c r="BM8" s="26">
        <v>5.71</v>
      </c>
      <c r="BN8" s="26">
        <v>0</v>
      </c>
      <c r="BO8" s="28"/>
      <c r="BP8" s="39">
        <f t="shared" si="21"/>
        <v>10.3</v>
      </c>
      <c r="BQ8" s="39">
        <f t="shared" si="22"/>
        <v>14.21</v>
      </c>
      <c r="BR8" s="11">
        <f t="shared" si="23"/>
        <v>47.01</v>
      </c>
      <c r="BS8" s="11">
        <f t="shared" si="24"/>
        <v>5.8</v>
      </c>
      <c r="BT8" s="11">
        <f t="shared" si="25"/>
        <v>7.22</v>
      </c>
      <c r="BU8" s="11">
        <f t="shared" si="26"/>
        <v>25.22</v>
      </c>
      <c r="BV8" s="11">
        <f t="shared" si="27"/>
        <v>47.01</v>
      </c>
      <c r="BW8" s="11">
        <f t="shared" si="28"/>
        <v>4.7</v>
      </c>
      <c r="BX8" s="11">
        <f t="shared" si="29"/>
        <v>5.71</v>
      </c>
      <c r="BY8" s="11">
        <f t="shared" si="30"/>
        <v>20.11</v>
      </c>
      <c r="BZ8" s="11">
        <f t="shared" si="31"/>
        <v>67.12</v>
      </c>
      <c r="CA8" s="22">
        <v>7.4</v>
      </c>
      <c r="CB8" s="22">
        <v>4.5999999999999996</v>
      </c>
      <c r="CC8" s="22">
        <v>6</v>
      </c>
      <c r="CD8" s="22">
        <v>7.15</v>
      </c>
      <c r="CE8" s="22">
        <v>0</v>
      </c>
      <c r="CF8" s="22">
        <v>14.6</v>
      </c>
      <c r="CG8" s="22">
        <v>8.9</v>
      </c>
      <c r="CH8" s="22">
        <v>12.7</v>
      </c>
      <c r="CI8" s="22">
        <v>13.9</v>
      </c>
      <c r="CJ8" s="22">
        <v>0</v>
      </c>
      <c r="CK8" s="22">
        <v>4.5999999999999996</v>
      </c>
      <c r="CL8" s="22">
        <v>2.9</v>
      </c>
      <c r="CM8" s="22">
        <v>3.6</v>
      </c>
      <c r="CN8" s="22">
        <v>4.32</v>
      </c>
      <c r="CO8" s="22">
        <v>0</v>
      </c>
      <c r="CP8" s="27"/>
      <c r="CQ8" s="38">
        <f t="shared" si="32"/>
        <v>6</v>
      </c>
      <c r="CR8" s="38">
        <f t="shared" si="33"/>
        <v>7.15</v>
      </c>
      <c r="CS8" s="40">
        <f t="shared" si="34"/>
        <v>25.15</v>
      </c>
      <c r="CT8" s="40">
        <f t="shared" si="35"/>
        <v>12.7</v>
      </c>
      <c r="CU8" s="40">
        <f t="shared" si="36"/>
        <v>13.9</v>
      </c>
      <c r="CV8" s="40">
        <f t="shared" si="37"/>
        <v>50.1</v>
      </c>
      <c r="CW8" s="40">
        <f t="shared" si="38"/>
        <v>50.1</v>
      </c>
      <c r="CX8" s="40">
        <f t="shared" si="39"/>
        <v>3.6</v>
      </c>
      <c r="CY8" s="40">
        <f t="shared" si="40"/>
        <v>4.32</v>
      </c>
      <c r="CZ8" s="40">
        <f t="shared" si="41"/>
        <v>15.42</v>
      </c>
      <c r="DA8" s="40">
        <f t="shared" si="42"/>
        <v>65.52</v>
      </c>
      <c r="DB8" s="50">
        <f t="shared" si="43"/>
        <v>14.625</v>
      </c>
      <c r="DC8" s="50">
        <f t="shared" si="44"/>
        <v>13.585000000000008</v>
      </c>
      <c r="DD8" s="17">
        <v>12.8</v>
      </c>
      <c r="DE8" s="17">
        <v>8.6</v>
      </c>
      <c r="DF8" s="17">
        <v>10.199999999999999</v>
      </c>
      <c r="DG8" s="17">
        <v>13.47</v>
      </c>
      <c r="DH8" s="17">
        <v>0</v>
      </c>
      <c r="DI8" s="17">
        <v>14.7</v>
      </c>
      <c r="DJ8" s="17">
        <v>9.1</v>
      </c>
      <c r="DK8" s="17">
        <v>11.6</v>
      </c>
      <c r="DL8" s="17">
        <v>13.98</v>
      </c>
      <c r="DM8" s="17">
        <v>0</v>
      </c>
      <c r="DN8" s="17">
        <v>14.7</v>
      </c>
      <c r="DO8" s="17">
        <v>8.4</v>
      </c>
      <c r="DP8" s="17">
        <v>11.4</v>
      </c>
      <c r="DQ8" s="17">
        <v>13.84</v>
      </c>
      <c r="DR8" s="17">
        <v>0</v>
      </c>
      <c r="DS8" s="17">
        <v>13.7</v>
      </c>
      <c r="DT8" s="17">
        <v>8.3000000000000007</v>
      </c>
      <c r="DU8" s="17">
        <v>10.199999999999999</v>
      </c>
      <c r="DV8" s="17">
        <v>13.68</v>
      </c>
      <c r="DW8" s="17">
        <v>0</v>
      </c>
      <c r="DX8" s="40">
        <f t="shared" si="45"/>
        <v>10.199999999999999</v>
      </c>
      <c r="DY8" s="40">
        <f t="shared" si="46"/>
        <v>13.47</v>
      </c>
      <c r="DZ8" s="40">
        <f t="shared" si="47"/>
        <v>45.07</v>
      </c>
      <c r="EA8" s="40">
        <f t="shared" si="48"/>
        <v>11.6</v>
      </c>
      <c r="EB8" s="40">
        <f t="shared" si="49"/>
        <v>13.98</v>
      </c>
      <c r="EC8" s="40">
        <f t="shared" si="50"/>
        <v>49.379999999999995</v>
      </c>
      <c r="ED8" s="40">
        <f t="shared" si="51"/>
        <v>49.379999999999995</v>
      </c>
      <c r="EE8" s="40">
        <f t="shared" si="52"/>
        <v>11.4</v>
      </c>
      <c r="EF8" s="40">
        <f t="shared" si="53"/>
        <v>13.84</v>
      </c>
      <c r="EG8" s="40">
        <f t="shared" si="54"/>
        <v>48.34</v>
      </c>
      <c r="EH8" s="40">
        <f t="shared" si="55"/>
        <v>10.199999999999999</v>
      </c>
      <c r="EI8" s="40">
        <f t="shared" si="56"/>
        <v>13.68</v>
      </c>
      <c r="EJ8" s="40">
        <f t="shared" si="57"/>
        <v>45.88</v>
      </c>
      <c r="EK8" s="40">
        <f t="shared" si="58"/>
        <v>143.6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59"/>
        <v/>
      </c>
      <c r="FG8" s="11" t="str">
        <f t="shared" si="60"/>
        <v/>
      </c>
      <c r="FH8" s="11" t="str">
        <f t="shared" si="61"/>
        <v/>
      </c>
      <c r="FI8" s="11" t="str">
        <f t="shared" si="62"/>
        <v/>
      </c>
      <c r="FJ8" s="11" t="str">
        <f t="shared" si="63"/>
        <v/>
      </c>
      <c r="FK8" s="11" t="str">
        <f t="shared" si="64"/>
        <v/>
      </c>
      <c r="FL8" s="11" t="str">
        <f t="shared" si="65"/>
        <v/>
      </c>
      <c r="FM8" s="11" t="str">
        <f t="shared" si="66"/>
        <v/>
      </c>
      <c r="FN8" s="11" t="str">
        <f t="shared" si="67"/>
        <v/>
      </c>
      <c r="FO8" s="11" t="str">
        <f t="shared" si="68"/>
        <v/>
      </c>
      <c r="FP8" s="11" t="str">
        <f t="shared" si="69"/>
        <v/>
      </c>
      <c r="FQ8" s="11" t="str">
        <f t="shared" si="70"/>
        <v/>
      </c>
      <c r="FR8" s="11" t="str">
        <f t="shared" si="71"/>
        <v/>
      </c>
      <c r="FS8" s="11" t="str">
        <f t="shared" si="72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3"/>
        <v/>
      </c>
      <c r="GO8" s="40" t="str">
        <f t="shared" si="74"/>
        <v/>
      </c>
      <c r="GP8" s="40" t="str">
        <f t="shared" si="75"/>
        <v/>
      </c>
      <c r="GQ8" s="40" t="str">
        <f t="shared" si="76"/>
        <v/>
      </c>
      <c r="GR8" s="40" t="str">
        <f t="shared" si="77"/>
        <v/>
      </c>
      <c r="GS8" s="40" t="str">
        <f t="shared" si="78"/>
        <v/>
      </c>
      <c r="GT8" s="40" t="str">
        <f t="shared" si="79"/>
        <v/>
      </c>
      <c r="GU8" s="40" t="str">
        <f t="shared" si="80"/>
        <v/>
      </c>
      <c r="GV8" s="40" t="str">
        <f t="shared" si="81"/>
        <v/>
      </c>
      <c r="GW8" s="40" t="str">
        <f t="shared" si="82"/>
        <v/>
      </c>
      <c r="GX8" s="40" t="str">
        <f t="shared" si="83"/>
        <v/>
      </c>
      <c r="GY8" s="40" t="str">
        <f t="shared" si="84"/>
        <v/>
      </c>
      <c r="GZ8" s="40" t="str">
        <f t="shared" si="85"/>
        <v/>
      </c>
      <c r="HA8" s="40" t="str">
        <f t="shared" si="86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87"/>
        <v/>
      </c>
      <c r="HW8" s="11" t="str">
        <f t="shared" si="88"/>
        <v/>
      </c>
      <c r="HX8" s="11" t="str">
        <f t="shared" si="89"/>
        <v/>
      </c>
      <c r="HY8" s="11" t="str">
        <f t="shared" si="90"/>
        <v/>
      </c>
      <c r="HZ8" s="11" t="str">
        <f t="shared" si="91"/>
        <v/>
      </c>
      <c r="IA8" s="11" t="str">
        <f t="shared" si="92"/>
        <v/>
      </c>
      <c r="IB8" s="11" t="str">
        <f t="shared" si="93"/>
        <v/>
      </c>
      <c r="IC8" s="11" t="str">
        <f t="shared" si="94"/>
        <v/>
      </c>
      <c r="ID8" s="11" t="str">
        <f t="shared" si="95"/>
        <v/>
      </c>
      <c r="IE8" s="11" t="str">
        <f t="shared" si="96"/>
        <v/>
      </c>
      <c r="IF8" s="11" t="str">
        <f t="shared" si="97"/>
        <v/>
      </c>
      <c r="IG8" s="11" t="str">
        <f t="shared" si="98"/>
        <v/>
      </c>
      <c r="IH8" s="11" t="str">
        <f t="shared" si="99"/>
        <v/>
      </c>
      <c r="II8" s="11" t="str">
        <f t="shared" si="100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1"/>
        <v/>
      </c>
      <c r="JE8" s="40" t="str">
        <f t="shared" si="102"/>
        <v/>
      </c>
      <c r="JF8" s="40" t="str">
        <f t="shared" si="103"/>
        <v/>
      </c>
      <c r="JG8" s="40" t="str">
        <f t="shared" si="104"/>
        <v/>
      </c>
      <c r="JH8" s="40" t="str">
        <f t="shared" si="105"/>
        <v/>
      </c>
      <c r="JI8" s="40" t="str">
        <f t="shared" si="106"/>
        <v/>
      </c>
      <c r="JJ8" s="40" t="str">
        <f t="shared" si="107"/>
        <v/>
      </c>
      <c r="JK8" s="40" t="str">
        <f t="shared" si="108"/>
        <v/>
      </c>
      <c r="JL8" s="40" t="str">
        <f t="shared" si="109"/>
        <v/>
      </c>
      <c r="JM8" s="40" t="str">
        <f t="shared" si="110"/>
        <v/>
      </c>
      <c r="JN8" s="40" t="str">
        <f t="shared" si="111"/>
        <v/>
      </c>
      <c r="JO8" s="40" t="str">
        <f t="shared" si="112"/>
        <v/>
      </c>
      <c r="JP8" s="40" t="str">
        <f t="shared" si="113"/>
        <v/>
      </c>
      <c r="JQ8" s="40" t="str">
        <f t="shared" si="114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15"/>
        <v/>
      </c>
      <c r="KM8" s="11" t="str">
        <f t="shared" si="116"/>
        <v/>
      </c>
      <c r="KN8" s="11" t="str">
        <f t="shared" si="117"/>
        <v/>
      </c>
      <c r="KO8" s="11" t="str">
        <f t="shared" si="118"/>
        <v/>
      </c>
      <c r="KP8" s="11" t="str">
        <f t="shared" si="119"/>
        <v/>
      </c>
      <c r="KQ8" s="11" t="str">
        <f t="shared" si="120"/>
        <v/>
      </c>
      <c r="KR8" s="11" t="str">
        <f t="shared" si="121"/>
        <v/>
      </c>
      <c r="KS8" s="11" t="str">
        <f t="shared" si="122"/>
        <v/>
      </c>
      <c r="KT8" s="11" t="str">
        <f t="shared" si="123"/>
        <v/>
      </c>
      <c r="KU8" s="11" t="str">
        <f t="shared" si="124"/>
        <v/>
      </c>
      <c r="KV8" s="11" t="str">
        <f t="shared" si="125"/>
        <v/>
      </c>
      <c r="KW8" s="11" t="str">
        <f t="shared" si="126"/>
        <v/>
      </c>
      <c r="KX8" s="11" t="str">
        <f t="shared" si="127"/>
        <v/>
      </c>
      <c r="KY8" s="11" t="str">
        <f t="shared" si="128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29"/>
        <v/>
      </c>
      <c r="LU8" s="40" t="str">
        <f t="shared" si="130"/>
        <v/>
      </c>
      <c r="LV8" s="40" t="str">
        <f t="shared" si="131"/>
        <v/>
      </c>
      <c r="LW8" s="40" t="str">
        <f t="shared" si="132"/>
        <v/>
      </c>
      <c r="LX8" s="40" t="str">
        <f t="shared" si="133"/>
        <v/>
      </c>
      <c r="LY8" s="40" t="str">
        <f t="shared" si="134"/>
        <v/>
      </c>
      <c r="LZ8" s="40" t="str">
        <f t="shared" si="135"/>
        <v/>
      </c>
      <c r="MA8" s="40" t="str">
        <f t="shared" si="136"/>
        <v/>
      </c>
      <c r="MB8" s="40" t="str">
        <f t="shared" si="137"/>
        <v/>
      </c>
      <c r="MC8" s="40" t="str">
        <f t="shared" si="138"/>
        <v/>
      </c>
      <c r="MD8" s="40" t="str">
        <f t="shared" si="139"/>
        <v/>
      </c>
      <c r="ME8" s="40" t="str">
        <f t="shared" si="140"/>
        <v/>
      </c>
      <c r="MF8" s="40" t="str">
        <f t="shared" si="141"/>
        <v/>
      </c>
      <c r="MG8" s="40" t="str">
        <f t="shared" si="142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3"/>
        <v/>
      </c>
      <c r="NC8" s="11" t="str">
        <f t="shared" si="144"/>
        <v/>
      </c>
      <c r="ND8" s="11" t="str">
        <f t="shared" si="145"/>
        <v/>
      </c>
      <c r="NE8" s="11" t="str">
        <f t="shared" si="146"/>
        <v/>
      </c>
      <c r="NF8" s="11" t="str">
        <f t="shared" si="147"/>
        <v/>
      </c>
      <c r="NG8" s="11" t="str">
        <f t="shared" si="148"/>
        <v/>
      </c>
      <c r="NH8" s="11" t="str">
        <f t="shared" si="149"/>
        <v/>
      </c>
      <c r="NI8" s="11" t="str">
        <f t="shared" si="150"/>
        <v/>
      </c>
      <c r="NJ8" s="11" t="str">
        <f t="shared" si="151"/>
        <v/>
      </c>
      <c r="NK8" s="11" t="str">
        <f t="shared" si="152"/>
        <v/>
      </c>
      <c r="NL8" s="11" t="str">
        <f t="shared" si="153"/>
        <v/>
      </c>
      <c r="NM8" s="11" t="str">
        <f t="shared" si="154"/>
        <v/>
      </c>
      <c r="NN8" s="11" t="str">
        <f t="shared" si="155"/>
        <v/>
      </c>
      <c r="NO8" s="11" t="str">
        <f t="shared" si="156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57"/>
        <v/>
      </c>
      <c r="OK8" s="40" t="str">
        <f t="shared" si="158"/>
        <v/>
      </c>
      <c r="OL8" s="40" t="str">
        <f t="shared" si="159"/>
        <v/>
      </c>
      <c r="OM8" s="40" t="str">
        <f t="shared" si="160"/>
        <v/>
      </c>
      <c r="ON8" s="40" t="str">
        <f t="shared" si="161"/>
        <v/>
      </c>
      <c r="OO8" s="40" t="str">
        <f t="shared" si="162"/>
        <v/>
      </c>
      <c r="OP8" s="40" t="str">
        <f t="shared" si="163"/>
        <v/>
      </c>
      <c r="OQ8" s="40" t="str">
        <f t="shared" si="164"/>
        <v/>
      </c>
      <c r="OR8" s="40" t="str">
        <f t="shared" si="165"/>
        <v/>
      </c>
      <c r="OS8" s="40" t="str">
        <f t="shared" si="166"/>
        <v/>
      </c>
      <c r="OT8" s="40" t="str">
        <f t="shared" si="167"/>
        <v/>
      </c>
      <c r="OU8" s="40" t="str">
        <f t="shared" si="168"/>
        <v/>
      </c>
      <c r="OV8" s="40" t="str">
        <f t="shared" si="169"/>
        <v/>
      </c>
      <c r="OW8" s="40" t="str">
        <f t="shared" si="170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1"/>
        <v/>
      </c>
      <c r="PS8" s="11" t="str">
        <f t="shared" si="172"/>
        <v/>
      </c>
      <c r="PT8" s="11" t="str">
        <f t="shared" si="173"/>
        <v/>
      </c>
      <c r="PU8" s="11" t="str">
        <f t="shared" si="174"/>
        <v/>
      </c>
      <c r="PV8" s="11" t="str">
        <f t="shared" si="175"/>
        <v/>
      </c>
      <c r="PW8" s="11" t="str">
        <f t="shared" si="176"/>
        <v/>
      </c>
      <c r="PX8" s="11" t="str">
        <f t="shared" si="177"/>
        <v/>
      </c>
      <c r="PY8" s="11" t="str">
        <f t="shared" si="178"/>
        <v/>
      </c>
      <c r="PZ8" s="11" t="str">
        <f t="shared" si="179"/>
        <v/>
      </c>
      <c r="QA8" s="11" t="str">
        <f t="shared" si="180"/>
        <v/>
      </c>
      <c r="QB8" s="11" t="str">
        <f t="shared" si="181"/>
        <v/>
      </c>
      <c r="QC8" s="11" t="str">
        <f t="shared" si="182"/>
        <v/>
      </c>
      <c r="QD8" s="11" t="str">
        <f t="shared" si="183"/>
        <v/>
      </c>
      <c r="QE8" s="11" t="str">
        <f t="shared" si="184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85"/>
        <v/>
      </c>
      <c r="RA8" s="40" t="str">
        <f t="shared" si="186"/>
        <v/>
      </c>
      <c r="RB8" s="40" t="str">
        <f t="shared" si="187"/>
        <v/>
      </c>
      <c r="RC8" s="40" t="str">
        <f t="shared" si="188"/>
        <v/>
      </c>
      <c r="RD8" s="40" t="str">
        <f t="shared" si="189"/>
        <v/>
      </c>
      <c r="RE8" s="40" t="str">
        <f t="shared" si="190"/>
        <v/>
      </c>
      <c r="RF8" s="40" t="str">
        <f t="shared" si="191"/>
        <v/>
      </c>
      <c r="RG8" s="40" t="str">
        <f t="shared" si="192"/>
        <v/>
      </c>
      <c r="RH8" s="40" t="str">
        <f t="shared" si="193"/>
        <v/>
      </c>
      <c r="RI8" s="40" t="str">
        <f t="shared" si="194"/>
        <v/>
      </c>
      <c r="RJ8" s="40" t="str">
        <f t="shared" si="195"/>
        <v/>
      </c>
      <c r="RK8" s="40" t="str">
        <f t="shared" si="196"/>
        <v/>
      </c>
      <c r="RL8" s="40" t="str">
        <f t="shared" si="197"/>
        <v/>
      </c>
      <c r="RM8" s="40" t="str">
        <f t="shared" si="198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199"/>
        <v/>
      </c>
      <c r="SI8" s="11" t="str">
        <f t="shared" si="200"/>
        <v/>
      </c>
      <c r="SJ8" s="11" t="str">
        <f t="shared" si="201"/>
        <v/>
      </c>
      <c r="SK8" s="11" t="str">
        <f t="shared" si="202"/>
        <v/>
      </c>
      <c r="SL8" s="11" t="str">
        <f t="shared" si="203"/>
        <v/>
      </c>
      <c r="SM8" s="11" t="str">
        <f t="shared" si="204"/>
        <v/>
      </c>
      <c r="SN8" s="11" t="str">
        <f t="shared" si="205"/>
        <v/>
      </c>
      <c r="SO8" s="11" t="str">
        <f t="shared" si="206"/>
        <v/>
      </c>
      <c r="SP8" s="11" t="str">
        <f t="shared" si="207"/>
        <v/>
      </c>
      <c r="SQ8" s="11" t="str">
        <f t="shared" si="208"/>
        <v/>
      </c>
      <c r="SR8" s="11" t="str">
        <f t="shared" si="209"/>
        <v/>
      </c>
      <c r="SS8" s="11" t="str">
        <f t="shared" si="210"/>
        <v/>
      </c>
      <c r="ST8" s="11" t="str">
        <f t="shared" si="211"/>
        <v/>
      </c>
      <c r="SU8" s="11" t="str">
        <f t="shared" si="212"/>
        <v/>
      </c>
      <c r="SV8" s="22">
        <f t="shared" si="213"/>
        <v>10.55</v>
      </c>
      <c r="SW8" s="22">
        <f t="shared" si="214"/>
        <v>6.95</v>
      </c>
      <c r="SX8" s="22">
        <f t="shared" si="215"/>
        <v>8.15</v>
      </c>
      <c r="SY8" s="22">
        <f t="shared" si="216"/>
        <v>10.68</v>
      </c>
      <c r="SZ8" s="22">
        <f t="shared" si="217"/>
        <v>0.25</v>
      </c>
      <c r="TA8" s="22">
        <f t="shared" si="218"/>
        <v>11</v>
      </c>
      <c r="TB8" s="22">
        <f t="shared" si="219"/>
        <v>6.85</v>
      </c>
      <c r="TC8" s="22">
        <f t="shared" si="220"/>
        <v>9.25</v>
      </c>
      <c r="TD8" s="22">
        <f t="shared" si="221"/>
        <v>10.56</v>
      </c>
      <c r="TE8" s="22">
        <f t="shared" si="222"/>
        <v>0</v>
      </c>
      <c r="TF8" s="22">
        <f t="shared" si="223"/>
        <v>5.3</v>
      </c>
      <c r="TG8" s="22">
        <f t="shared" si="224"/>
        <v>3.3</v>
      </c>
      <c r="TH8" s="22">
        <f t="shared" si="225"/>
        <v>4.1500000000000004</v>
      </c>
      <c r="TI8" s="22">
        <f t="shared" si="226"/>
        <v>5.0150000000000006</v>
      </c>
      <c r="TJ8" s="22">
        <f t="shared" si="227"/>
        <v>0</v>
      </c>
      <c r="TK8" s="27" t="s">
        <v>46</v>
      </c>
      <c r="TL8" s="40">
        <f t="shared" si="228"/>
        <v>8.15</v>
      </c>
      <c r="TM8" s="40">
        <f t="shared" si="229"/>
        <v>10.68</v>
      </c>
      <c r="TN8" s="40">
        <f t="shared" si="230"/>
        <v>36.08</v>
      </c>
      <c r="TO8" s="40">
        <f t="shared" si="231"/>
        <v>9.25</v>
      </c>
      <c r="TP8" s="40">
        <f t="shared" si="232"/>
        <v>10.56</v>
      </c>
      <c r="TQ8" s="40">
        <f t="shared" si="233"/>
        <v>37.660000000000004</v>
      </c>
      <c r="TR8" s="40">
        <f t="shared" si="234"/>
        <v>37.660000000000004</v>
      </c>
      <c r="TS8" s="40">
        <f t="shared" si="235"/>
        <v>4.1500000000000004</v>
      </c>
      <c r="TT8" s="40">
        <f t="shared" si="236"/>
        <v>5.0150000000000006</v>
      </c>
      <c r="TU8" s="40">
        <f t="shared" si="237"/>
        <v>17.765000000000001</v>
      </c>
      <c r="TV8" s="40">
        <f t="shared" si="238"/>
        <v>55.425000000000004</v>
      </c>
    </row>
    <row r="9" spans="1:542" x14ac:dyDescent="0.2">
      <c r="A9" s="4" t="str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/>
      </c>
      <c r="B9" s="4" t="str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/>
      </c>
      <c r="C9" s="5" t="s">
        <v>173</v>
      </c>
      <c r="D9" s="4" t="s">
        <v>5</v>
      </c>
      <c r="E9" s="4">
        <v>2008</v>
      </c>
      <c r="F9" s="9">
        <f t="shared" si="0"/>
        <v>171.02001710200486</v>
      </c>
      <c r="G9" s="64"/>
      <c r="H9" s="3" t="str">
        <f>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P","")</f>
        <v/>
      </c>
      <c r="I9" s="3" t="str">
        <f>IF(OR(AND(AQ9&gt;=AY$26,AQ9&lt;&gt;"",AN9=""),AND(AT9&gt;=AY$26,AT9&lt;&gt;"",AN9=""),AND(AX9&gt;=AY$26,AX9&lt;&gt;"",AN9=""),AND(BR9&gt;=BZ$26,BR9&lt;&gt;"",BO9=""),AND(BU9&gt;=BZ$26,BU9&lt;&gt;"",BO9=""),AND(BY9&gt;=BZ$26,BY9&lt;&gt;"",BO9=""),AND(CS9&gt;=DA$26,CS9&lt;&gt;"",CP9=""),AND(CV9&gt;=DA$26,CV9&lt;&gt;"",CP9=""),AND(CZ9&gt;=DA$26,CZ9&lt;&gt;"",CP9=""),AND(DZ9&gt;=EK$26,DZ9&lt;&gt;""),AND(EC9&gt;=EK$26,EC9&lt;&gt;""),AND(EG9&gt;=EK$26,EG9&lt;&gt;""),AND(EJ9&gt;=EK$26,EJ9&lt;&gt;""),AND(FH9&gt;=FS$26,FH9&lt;&gt;""),AND(FK9&gt;=FS$26,FK9&lt;&gt;""),AND(FO9&gt;=FS$26,FO9&lt;&gt;""),AND(FR9&gt;=FS$26,FR9&lt;&gt;""),AND(GP9&gt;=HA$26,GP9&lt;&gt;""),AND(GS9&gt;=HA$26,GS9&lt;&gt;""),AND(GW9&gt;=HA$26,GW9&lt;&gt;""),AND(GZ9&gt;=HA$26,GZ9&lt;&gt;""),AND(HX9&gt;=II$26,HX9&lt;&gt;""),AND(IA9&gt;=II$26,IA9&lt;&gt;""),AND(IE9&gt;=II$26,IE9&lt;&gt;""),AND(IH9&gt;=II$26,IH9&lt;&gt;""),AND(JF9&gt;=JQ$26,JF9&lt;&gt;""),AND(JI9&gt;=JQ$26,JI9&lt;&gt;""),AND(JM9&gt;=JQ$26,JM9&lt;&gt;""),AND(JP9&gt;=JQ$26,JP9&lt;&gt;""),AND(KN9&gt;=KY$26,KN9&lt;&gt;""),AND(KQ9&gt;=KY$26,KQ9&lt;&gt;""),AND(KU9&gt;=KY$26,KU9&lt;&gt;""),AND(KX9&gt;=KY$26,KX9&lt;&gt;""),AND(LV9&gt;=MG$26,LV9&lt;&gt;""),AND(LY9&gt;=MG$26,LY9&lt;&gt;""),AND(MC9&gt;=MG$26,MC9&lt;&gt;""),AND(MF9&gt;=MG$26,MF9&lt;&gt;""),AND(ND9&gt;=NO$26,ND9&lt;&gt;""),AND(NG9&gt;=NO$26,NG9&lt;&gt;""),AND(NK9&gt;=NO$26,NK9&lt;&gt;""),AND(NN9&gt;=NO$26,NN9&lt;&gt;""),AND(OL9&gt;=OW$26,OL9&lt;&gt;""),AND(OO9&gt;=OW$26,OO9&lt;&gt;""),AND(OS9&gt;=OW$26,OS9&lt;&gt;""),AND(OV9&gt;=OW$26,OV9&lt;&gt;""),AND(PT9&gt;=QE$26,PT9&lt;&gt;""),AND(PW9&gt;=QE$26,PW9&lt;&gt;""),AND(QA9&gt;=QE$26,QA9&lt;&gt;""),AND(QD9&gt;=QE$26,QD9&lt;&gt;""),AND(RB9&gt;=RM$26,RB9&lt;&gt;""),AND(RE9&gt;=RM$26,RE9&lt;&gt;""),AND(RI9&gt;=RM$26,RI9&lt;&gt;""),AND(RL9&gt;=RM$26,RL9&lt;&gt;""),AND(SJ9&gt;=SU$26,SJ9&lt;&gt;""),AND(SM9&gt;=SU$26,SM9&lt;&gt;""),AND(SQ9&gt;=SU$26,SQ9&lt;&gt;""),AND(ST9&gt;=SU$26,ST9&lt;&gt;"")),"P","")</f>
        <v/>
      </c>
      <c r="J9" s="36" t="str">
        <f>IF(AND(I9="P",H9=""),"No DD",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Merit",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Excellence",IF(K9="P","Worlds Team",IF(H9="P","National Team","")))))</f>
        <v/>
      </c>
      <c r="K9" s="3" t="str">
        <f>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P","")</f>
        <v/>
      </c>
      <c r="L9" s="8">
        <f>IF(COUNT(AQ9,AT9,BR9,BU9,CS9,CV9)&gt;0,LARGE((AQ9,AT9,BR9,BU9,CS9,CV9),1),0)</f>
        <v>48.58</v>
      </c>
      <c r="M9" s="8" t="str">
        <f t="shared" si="1"/>
        <v>2025 Nationals</v>
      </c>
      <c r="N9" s="8">
        <f>IF(COUNT(AQ9,AT9,BR9,BU9,CS9,CV9)&gt;1,LARGE((AQ9,AT9,BR9,BU9,CS9,CV9),2),0)</f>
        <v>47.410000000000004</v>
      </c>
      <c r="O9" s="8" t="str">
        <f t="shared" si="2"/>
        <v>2025 Nationals</v>
      </c>
      <c r="P9" s="8">
        <f>IF(COUNT(AQ9,AT9,BR9,BU9,CS9,CV9)&gt;2,MAX(AX9,BY9,CZ9,LARGE((AQ9,AT9,BR9,BU9,CS9,CV9),3)),IF(MAX(AX9,BY9,CZ9)&gt;0,MAX(AX9,BY9,CZ9),0))</f>
        <v>48.21</v>
      </c>
      <c r="Q9" s="8" t="str">
        <f t="shared" si="3"/>
        <v>2025 Nationals</v>
      </c>
      <c r="R9" s="8">
        <f t="shared" si="4"/>
        <v>12.7</v>
      </c>
      <c r="S9" s="8" t="str">
        <f t="shared" si="5"/>
        <v>2025 Nationals</v>
      </c>
      <c r="T9" s="8">
        <f>IF(MAX(IF(AO9&gt;=$AY$22,AP9,0),IF(AR9&gt;=$AY$22,AS9,0),IF(AV9&gt;=$AY$22,AW9,0),IF(BP9&gt;=$BZ$22,BQ9,0),IF(BS9&gt;=$BZ$22,BT9,0),IF(BW9&gt;=$BZ$22,BX9,0),IF(CQ9&gt;=$DA$22,CR9,0),IF(CT9&gt;=$DA$22,CU9,0),IF(CX9&gt;=$DA$22,CY9,0),IF(DX9&gt;=$EK$22,DY9,0),IF(EA9&gt;=$EK$22,EB9,0),IF(EE9&gt;=$EK$22,EF9,0),IF(EH9&gt;=$EK$22,EI9,0),IF(FF9&gt;=$FS$22,FG9,0),IF(FI9&gt;=$FS$22,FJ9,0),IF(FM9&gt;=$FS$22,FN9,0),IF(FP9&gt;=$FS$22,FQ9,0),IF(GN9&gt;=$HA$22,GO9,0),IF(GQ9&gt;=$HA$22,GR9,0),IF(GU9&gt;=$HA$22,GV9,0),IF(GX9&gt;=$HA$22,GY9,0),IF(HV9&gt;=$II$22,HW9,0),IF(HY9&gt;=$II$22,HZ9,0),IF(IC9&gt;=$II$22,ID9,0),IF(IF9&gt;=$II$22,IG9,0),IF(JD9&gt;=$JQ$22,JE9,0),IF(JG9&gt;=$JQ$22,JH9,0),IF(JK9&gt;=$JQ$22,JL9,0),IF(JN9&gt;=$JQ$22,JO9,0),IF(KL9&gt;=$KY$22,KM9,0),IF(KO9&gt;=$KY$22,KP9,0),IF(KS9&gt;=$KY$22,KT9,0),IF(KV9&gt;=$KY$22,KW9,0),IF(LT9&gt;=$MG$22,LU9,0),IF(LW9&gt;=$MG$22,LX9,0),IF(MA9&gt;=$MG$22,MB9,0),IF(MD9&gt;=$MG$22,ME9,0),IF(NB9&gt;=$NO$22,NC9,0),IF(NE9&gt;=$NO$22,NF9,0),IF(NI9&gt;=$NO$22,NJ9,0),IF(NL9&gt;=$NO$22,NM9,0),IF(OJ9&gt;=$OW$22,OK9,0),IF(OM9&gt;=$OW$22,ON9,0),IF(OQ9&gt;=$OW$22,OR9,0),IF(OT9&gt;=$OW$22,OU9,0),IF(PR9&gt;=$QE$22,PS9,0),IF(PU9&gt;=$QE$22,PV9,0),IF(PY9&gt;=$QE$22,PZ9,0),IF(QB9&gt;=$QE$22,QC9,0),IF(QZ9&gt;=$RM$22,RA9,0),IF(RC9&gt;=$RM$22,RD9,0),IF(RG9&gt;=$RM$22,RH9,0),IF(RJ9&gt;=$RM$22,RK9,0),IF(SH9&gt;=$SU$22,SI9,0),IF(SK9&gt;=$SU$22,SL9,0),IF(SO9&gt;=$SU$22,SP9,0),IF(SR9&gt;=$SU$22,SS9,0))&gt;0,MAX(IF(AO9&gt;=$AY$22,AP9,0),IF(AR9&gt;=$AY$22,AS9,0),IF(AV9&gt;=$AY$22,AW9,0),IF(BP9&gt;=$BZ$22,BQ9,0),IF(BS9&gt;=$BZ$22,BT9,0),IF(BW9&gt;=$BZ$22,BX9,0),IF(CQ9&gt;=$DA$22,CR9,0),IF(CT9&gt;=$DA$22,CU9,0),IF(CX9&gt;=$DA$22,CY9,0),IF(DX9&gt;=$EK$22,DY9,0),IF(EA9&gt;=$EK$22,EB9,0),IF(EE9&gt;=$EK$22,EF9,0),IF(EH9&gt;=$EK$22,EI9,0),IF(FF9&gt;=$FS$22,FG9,0),IF(FI9&gt;=$FS$22,FJ9,0),IF(FM9&gt;=$FS$22,FN9,0),IF(FP9&gt;=$FS$22,FQ9,0),IF(GN9&gt;=$HA$22,GO9,0),IF(GQ9&gt;=$HA$22,GR9,0),IF(GU9&gt;=$HA$22,GV9,0),IF(GX9&gt;=$HA$22,GY9,0),IF(HV9&gt;=$II$22,HW9,0),IF(HY9&gt;=$II$22,HZ9,0),IF(IC9&gt;=$II$22,ID9,0),IF(IF9&gt;=$II$22,IG9,0),IF(JD9&gt;=$JQ$22,JE9,0),IF(JG9&gt;=$JQ$22,JH9,0),IF(JK9&gt;=$JQ$22,JL9,0),IF(JN9&gt;=$JQ$22,JO9,0),IF(KL9&gt;=$KY$22,KM9,0),IF(KO9&gt;=$KY$22,KP9,0),IF(KS9&gt;=$KY$22,KT9,0),IF(KV9&gt;=$KY$22,KW9,0),IF(LT9&gt;=$MG$22,LU9,0),IF(LW9&gt;=$MG$22,LX9,0),IF(MA9&gt;=$MG$22,MB9,0),IF(MD9&gt;=$MG$22,ME9,0),IF(NB9&gt;=$NO$22,NC9,0),IF(NE9&gt;=$NO$22,NF9,0),IF(NI9&gt;=$NO$22,NJ9,0),IF(NL9&gt;=$NO$22,NM9,0),IF(OJ9&gt;=$OW$22,OK9,0),IF(OM9&gt;=$OW$22,ON9,0),IF(OQ9&gt;=$OW$22,OR9,0),IF(OT9&gt;=$OW$22,OU9,0),IF(PR9&gt;=$QE$22,PS9,0),IF(PU9&gt;=$QE$22,PV9,0),IF(PY9&gt;=$QE$22,PZ9,0),IF(QB9&gt;=$QE$22,QC9,0),IF(QZ9&gt;=$RM$22,RA9,0),IF(RC9&gt;=$RM$22,RD9,0),IF(RG9&gt;=$RM$22,RH9,0),IF(RJ9&gt;=$RM$22,RK9,0),IF(SH9&gt;=$SU$22,SI9,0),IF(SK9&gt;=$SU$22,SL9,0),IF(SO9&gt;=$SU$22,SP9,0),IF(SR9&gt;=$SU$22,SS9,0)),0)</f>
        <v>14.12</v>
      </c>
      <c r="U9" s="8" t="str">
        <f t="shared" si="6"/>
        <v>2024 3rd Domestic Trial</v>
      </c>
      <c r="V9" s="8" t="str">
        <f t="shared" si="7"/>
        <v/>
      </c>
      <c r="W9" s="11" t="str">
        <f t="shared" si="8"/>
        <v/>
      </c>
      <c r="X9" s="8" t="str">
        <f t="shared" si="9"/>
        <v/>
      </c>
      <c r="Y9" s="22">
        <v>16.899999999999999</v>
      </c>
      <c r="Z9" s="22">
        <v>9.4</v>
      </c>
      <c r="AA9" s="22">
        <v>0</v>
      </c>
      <c r="AB9" s="22">
        <v>14.12</v>
      </c>
      <c r="AC9" s="22">
        <v>0</v>
      </c>
      <c r="AD9" s="22">
        <v>7</v>
      </c>
      <c r="AE9" s="22">
        <v>4.3</v>
      </c>
      <c r="AF9" s="22">
        <v>4.7</v>
      </c>
      <c r="AG9" s="22">
        <v>6.95</v>
      </c>
      <c r="AH9" s="22">
        <v>0</v>
      </c>
      <c r="AI9" s="22">
        <v>4.9000000000000004</v>
      </c>
      <c r="AJ9" s="22">
        <v>3</v>
      </c>
      <c r="AK9" s="22">
        <v>2.9</v>
      </c>
      <c r="AL9" s="22">
        <v>4.1500000000000004</v>
      </c>
      <c r="AM9" s="22">
        <v>0</v>
      </c>
      <c r="AN9" s="27"/>
      <c r="AO9" s="38" t="str">
        <f t="shared" si="10"/>
        <v/>
      </c>
      <c r="AP9" s="38">
        <f t="shared" si="11"/>
        <v>14.12</v>
      </c>
      <c r="AQ9" s="40">
        <f t="shared" si="12"/>
        <v>40.419999999999995</v>
      </c>
      <c r="AR9" s="40">
        <f t="shared" si="13"/>
        <v>4.7</v>
      </c>
      <c r="AS9" s="40">
        <f t="shared" si="14"/>
        <v>6.95</v>
      </c>
      <c r="AT9" s="40">
        <f t="shared" si="15"/>
        <v>22.95</v>
      </c>
      <c r="AU9" s="40">
        <f t="shared" si="16"/>
        <v>40.419999999999995</v>
      </c>
      <c r="AV9" s="40">
        <f t="shared" si="17"/>
        <v>2.9</v>
      </c>
      <c r="AW9" s="40">
        <f t="shared" si="18"/>
        <v>4.1500000000000004</v>
      </c>
      <c r="AX9" s="40">
        <f t="shared" si="19"/>
        <v>14.950000000000001</v>
      </c>
      <c r="AY9" s="40">
        <f t="shared" si="20"/>
        <v>55.37</v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 t="shared" si="21"/>
        <v/>
      </c>
      <c r="BQ9" s="39" t="str">
        <f t="shared" si="22"/>
        <v/>
      </c>
      <c r="BR9" s="11" t="str">
        <f t="shared" si="23"/>
        <v/>
      </c>
      <c r="BS9" s="11" t="str">
        <f t="shared" si="24"/>
        <v/>
      </c>
      <c r="BT9" s="11" t="str">
        <f t="shared" si="25"/>
        <v/>
      </c>
      <c r="BU9" s="11" t="str">
        <f t="shared" si="26"/>
        <v/>
      </c>
      <c r="BV9" s="11" t="str">
        <f t="shared" si="27"/>
        <v/>
      </c>
      <c r="BW9" s="11" t="str">
        <f t="shared" si="28"/>
        <v/>
      </c>
      <c r="BX9" s="11" t="str">
        <f t="shared" si="29"/>
        <v/>
      </c>
      <c r="BY9" s="11" t="str">
        <f t="shared" si="30"/>
        <v/>
      </c>
      <c r="BZ9" s="11" t="str">
        <f t="shared" si="31"/>
        <v/>
      </c>
      <c r="CA9" s="22">
        <v>12</v>
      </c>
      <c r="CB9" s="22">
        <v>9</v>
      </c>
      <c r="CC9" s="22">
        <v>12.7</v>
      </c>
      <c r="CD9" s="22">
        <v>13.71</v>
      </c>
      <c r="CE9" s="22">
        <v>0</v>
      </c>
      <c r="CF9" s="22">
        <v>13</v>
      </c>
      <c r="CG9" s="22">
        <v>9.4</v>
      </c>
      <c r="CH9" s="22">
        <v>12.5</v>
      </c>
      <c r="CI9" s="22">
        <v>13.68</v>
      </c>
      <c r="CJ9" s="22">
        <v>0</v>
      </c>
      <c r="CK9" s="22">
        <v>13.5</v>
      </c>
      <c r="CL9" s="22">
        <v>8.6999999999999993</v>
      </c>
      <c r="CM9" s="22">
        <v>12.7</v>
      </c>
      <c r="CN9" s="22">
        <v>13.31</v>
      </c>
      <c r="CO9" s="22">
        <v>0</v>
      </c>
      <c r="CP9" s="27"/>
      <c r="CQ9" s="38">
        <f t="shared" si="32"/>
        <v>12.7</v>
      </c>
      <c r="CR9" s="38">
        <f t="shared" si="33"/>
        <v>13.71</v>
      </c>
      <c r="CS9" s="40">
        <f t="shared" si="34"/>
        <v>47.410000000000004</v>
      </c>
      <c r="CT9" s="40">
        <f t="shared" si="35"/>
        <v>12.5</v>
      </c>
      <c r="CU9" s="40">
        <f t="shared" si="36"/>
        <v>13.68</v>
      </c>
      <c r="CV9" s="40">
        <f t="shared" si="37"/>
        <v>48.58</v>
      </c>
      <c r="CW9" s="40">
        <f t="shared" si="38"/>
        <v>48.58</v>
      </c>
      <c r="CX9" s="40">
        <f t="shared" si="39"/>
        <v>12.7</v>
      </c>
      <c r="CY9" s="40">
        <f t="shared" si="40"/>
        <v>13.31</v>
      </c>
      <c r="CZ9" s="40">
        <f t="shared" si="41"/>
        <v>48.21</v>
      </c>
      <c r="DA9" s="40">
        <f t="shared" si="42"/>
        <v>96.789999999999992</v>
      </c>
      <c r="DB9" s="50" t="str">
        <f t="shared" si="43"/>
        <v/>
      </c>
      <c r="DC9" s="50" t="str">
        <f t="shared" si="44"/>
        <v/>
      </c>
      <c r="DD9" s="17">
        <v>15</v>
      </c>
      <c r="DE9" s="17">
        <v>0</v>
      </c>
      <c r="DF9" s="17">
        <v>9.6</v>
      </c>
      <c r="DG9" s="17">
        <v>13.77</v>
      </c>
      <c r="DH9" s="17">
        <v>0</v>
      </c>
      <c r="DI9" s="17">
        <v>13.7</v>
      </c>
      <c r="DJ9" s="17">
        <v>9.1999999999999993</v>
      </c>
      <c r="DK9" s="17">
        <v>10.8</v>
      </c>
      <c r="DL9" s="17">
        <v>13.57</v>
      </c>
      <c r="DM9" s="17">
        <v>0</v>
      </c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 t="shared" si="45"/>
        <v>9.6</v>
      </c>
      <c r="DY9" s="40">
        <f t="shared" si="46"/>
        <v>13.77</v>
      </c>
      <c r="DZ9" s="40">
        <f t="shared" si="47"/>
        <v>38.370000000000005</v>
      </c>
      <c r="EA9" s="40">
        <f t="shared" si="48"/>
        <v>10.8</v>
      </c>
      <c r="EB9" s="40">
        <f t="shared" si="49"/>
        <v>13.57</v>
      </c>
      <c r="EC9" s="40">
        <f t="shared" si="50"/>
        <v>47.27</v>
      </c>
      <c r="ED9" s="40">
        <f t="shared" si="51"/>
        <v>47.27</v>
      </c>
      <c r="EE9" s="40" t="str">
        <f t="shared" si="52"/>
        <v/>
      </c>
      <c r="EF9" s="40" t="str">
        <f t="shared" si="53"/>
        <v/>
      </c>
      <c r="EG9" s="40" t="str">
        <f t="shared" si="54"/>
        <v/>
      </c>
      <c r="EH9" s="40" t="str">
        <f t="shared" si="55"/>
        <v/>
      </c>
      <c r="EI9" s="40" t="str">
        <f t="shared" si="56"/>
        <v/>
      </c>
      <c r="EJ9" s="40" t="str">
        <f t="shared" si="57"/>
        <v/>
      </c>
      <c r="EK9" s="40">
        <f t="shared" si="58"/>
        <v>47.27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59"/>
        <v/>
      </c>
      <c r="FG9" s="11" t="str">
        <f t="shared" si="60"/>
        <v/>
      </c>
      <c r="FH9" s="11" t="str">
        <f t="shared" si="61"/>
        <v/>
      </c>
      <c r="FI9" s="11" t="str">
        <f t="shared" si="62"/>
        <v/>
      </c>
      <c r="FJ9" s="11" t="str">
        <f t="shared" si="63"/>
        <v/>
      </c>
      <c r="FK9" s="11" t="str">
        <f t="shared" si="64"/>
        <v/>
      </c>
      <c r="FL9" s="11" t="str">
        <f t="shared" si="65"/>
        <v/>
      </c>
      <c r="FM9" s="11" t="str">
        <f t="shared" si="66"/>
        <v/>
      </c>
      <c r="FN9" s="11" t="str">
        <f t="shared" si="67"/>
        <v/>
      </c>
      <c r="FO9" s="11" t="str">
        <f t="shared" si="68"/>
        <v/>
      </c>
      <c r="FP9" s="11" t="str">
        <f t="shared" si="69"/>
        <v/>
      </c>
      <c r="FQ9" s="11" t="str">
        <f t="shared" si="70"/>
        <v/>
      </c>
      <c r="FR9" s="11" t="str">
        <f t="shared" si="71"/>
        <v/>
      </c>
      <c r="FS9" s="11" t="str">
        <f t="shared" si="72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3"/>
        <v/>
      </c>
      <c r="GO9" s="40" t="str">
        <f t="shared" si="74"/>
        <v/>
      </c>
      <c r="GP9" s="40" t="str">
        <f t="shared" si="75"/>
        <v/>
      </c>
      <c r="GQ9" s="40" t="str">
        <f t="shared" si="76"/>
        <v/>
      </c>
      <c r="GR9" s="40" t="str">
        <f t="shared" si="77"/>
        <v/>
      </c>
      <c r="GS9" s="40" t="str">
        <f t="shared" si="78"/>
        <v/>
      </c>
      <c r="GT9" s="40" t="str">
        <f t="shared" si="79"/>
        <v/>
      </c>
      <c r="GU9" s="40" t="str">
        <f t="shared" si="80"/>
        <v/>
      </c>
      <c r="GV9" s="40" t="str">
        <f t="shared" si="81"/>
        <v/>
      </c>
      <c r="GW9" s="40" t="str">
        <f t="shared" si="82"/>
        <v/>
      </c>
      <c r="GX9" s="40" t="str">
        <f t="shared" si="83"/>
        <v/>
      </c>
      <c r="GY9" s="40" t="str">
        <f t="shared" si="84"/>
        <v/>
      </c>
      <c r="GZ9" s="40" t="str">
        <f t="shared" si="85"/>
        <v/>
      </c>
      <c r="HA9" s="40" t="str">
        <f t="shared" si="86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87"/>
        <v/>
      </c>
      <c r="HW9" s="11" t="str">
        <f t="shared" si="88"/>
        <v/>
      </c>
      <c r="HX9" s="11" t="str">
        <f t="shared" si="89"/>
        <v/>
      </c>
      <c r="HY9" s="11" t="str">
        <f t="shared" si="90"/>
        <v/>
      </c>
      <c r="HZ9" s="11" t="str">
        <f t="shared" si="91"/>
        <v/>
      </c>
      <c r="IA9" s="11" t="str">
        <f t="shared" si="92"/>
        <v/>
      </c>
      <c r="IB9" s="11" t="str">
        <f t="shared" si="93"/>
        <v/>
      </c>
      <c r="IC9" s="11" t="str">
        <f t="shared" si="94"/>
        <v/>
      </c>
      <c r="ID9" s="11" t="str">
        <f t="shared" si="95"/>
        <v/>
      </c>
      <c r="IE9" s="11" t="str">
        <f t="shared" si="96"/>
        <v/>
      </c>
      <c r="IF9" s="11" t="str">
        <f t="shared" si="97"/>
        <v/>
      </c>
      <c r="IG9" s="11" t="str">
        <f t="shared" si="98"/>
        <v/>
      </c>
      <c r="IH9" s="11" t="str">
        <f t="shared" si="99"/>
        <v/>
      </c>
      <c r="II9" s="11" t="str">
        <f t="shared" si="100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1"/>
        <v/>
      </c>
      <c r="JE9" s="40" t="str">
        <f t="shared" si="102"/>
        <v/>
      </c>
      <c r="JF9" s="40" t="str">
        <f t="shared" si="103"/>
        <v/>
      </c>
      <c r="JG9" s="40" t="str">
        <f t="shared" si="104"/>
        <v/>
      </c>
      <c r="JH9" s="40" t="str">
        <f t="shared" si="105"/>
        <v/>
      </c>
      <c r="JI9" s="40" t="str">
        <f t="shared" si="106"/>
        <v/>
      </c>
      <c r="JJ9" s="40" t="str">
        <f t="shared" si="107"/>
        <v/>
      </c>
      <c r="JK9" s="40" t="str">
        <f t="shared" si="108"/>
        <v/>
      </c>
      <c r="JL9" s="40" t="str">
        <f t="shared" si="109"/>
        <v/>
      </c>
      <c r="JM9" s="40" t="str">
        <f t="shared" si="110"/>
        <v/>
      </c>
      <c r="JN9" s="40" t="str">
        <f t="shared" si="111"/>
        <v/>
      </c>
      <c r="JO9" s="40" t="str">
        <f t="shared" si="112"/>
        <v/>
      </c>
      <c r="JP9" s="40" t="str">
        <f t="shared" si="113"/>
        <v/>
      </c>
      <c r="JQ9" s="40" t="str">
        <f t="shared" si="114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15"/>
        <v/>
      </c>
      <c r="KM9" s="11" t="str">
        <f t="shared" si="116"/>
        <v/>
      </c>
      <c r="KN9" s="11" t="str">
        <f t="shared" si="117"/>
        <v/>
      </c>
      <c r="KO9" s="11" t="str">
        <f t="shared" si="118"/>
        <v/>
      </c>
      <c r="KP9" s="11" t="str">
        <f t="shared" si="119"/>
        <v/>
      </c>
      <c r="KQ9" s="11" t="str">
        <f t="shared" si="120"/>
        <v/>
      </c>
      <c r="KR9" s="11" t="str">
        <f t="shared" si="121"/>
        <v/>
      </c>
      <c r="KS9" s="11" t="str">
        <f t="shared" si="122"/>
        <v/>
      </c>
      <c r="KT9" s="11" t="str">
        <f t="shared" si="123"/>
        <v/>
      </c>
      <c r="KU9" s="11" t="str">
        <f t="shared" si="124"/>
        <v/>
      </c>
      <c r="KV9" s="11" t="str">
        <f t="shared" si="125"/>
        <v/>
      </c>
      <c r="KW9" s="11" t="str">
        <f t="shared" si="126"/>
        <v/>
      </c>
      <c r="KX9" s="11" t="str">
        <f t="shared" si="127"/>
        <v/>
      </c>
      <c r="KY9" s="11" t="str">
        <f t="shared" si="128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29"/>
        <v/>
      </c>
      <c r="LU9" s="40" t="str">
        <f t="shared" si="130"/>
        <v/>
      </c>
      <c r="LV9" s="40" t="str">
        <f t="shared" si="131"/>
        <v/>
      </c>
      <c r="LW9" s="40" t="str">
        <f t="shared" si="132"/>
        <v/>
      </c>
      <c r="LX9" s="40" t="str">
        <f t="shared" si="133"/>
        <v/>
      </c>
      <c r="LY9" s="40" t="str">
        <f t="shared" si="134"/>
        <v/>
      </c>
      <c r="LZ9" s="40" t="str">
        <f t="shared" si="135"/>
        <v/>
      </c>
      <c r="MA9" s="40" t="str">
        <f t="shared" si="136"/>
        <v/>
      </c>
      <c r="MB9" s="40" t="str">
        <f t="shared" si="137"/>
        <v/>
      </c>
      <c r="MC9" s="40" t="str">
        <f t="shared" si="138"/>
        <v/>
      </c>
      <c r="MD9" s="40" t="str">
        <f t="shared" si="139"/>
        <v/>
      </c>
      <c r="ME9" s="40" t="str">
        <f t="shared" si="140"/>
        <v/>
      </c>
      <c r="MF9" s="40" t="str">
        <f t="shared" si="141"/>
        <v/>
      </c>
      <c r="MG9" s="40" t="str">
        <f t="shared" si="142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3"/>
        <v/>
      </c>
      <c r="NC9" s="11" t="str">
        <f t="shared" si="144"/>
        <v/>
      </c>
      <c r="ND9" s="11" t="str">
        <f t="shared" si="145"/>
        <v/>
      </c>
      <c r="NE9" s="11" t="str">
        <f t="shared" si="146"/>
        <v/>
      </c>
      <c r="NF9" s="11" t="str">
        <f t="shared" si="147"/>
        <v/>
      </c>
      <c r="NG9" s="11" t="str">
        <f t="shared" si="148"/>
        <v/>
      </c>
      <c r="NH9" s="11" t="str">
        <f t="shared" si="149"/>
        <v/>
      </c>
      <c r="NI9" s="11" t="str">
        <f t="shared" si="150"/>
        <v/>
      </c>
      <c r="NJ9" s="11" t="str">
        <f t="shared" si="151"/>
        <v/>
      </c>
      <c r="NK9" s="11" t="str">
        <f t="shared" si="152"/>
        <v/>
      </c>
      <c r="NL9" s="11" t="str">
        <f t="shared" si="153"/>
        <v/>
      </c>
      <c r="NM9" s="11" t="str">
        <f t="shared" si="154"/>
        <v/>
      </c>
      <c r="NN9" s="11" t="str">
        <f t="shared" si="155"/>
        <v/>
      </c>
      <c r="NO9" s="11" t="str">
        <f t="shared" si="156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57"/>
        <v/>
      </c>
      <c r="OK9" s="40" t="str">
        <f t="shared" si="158"/>
        <v/>
      </c>
      <c r="OL9" s="40" t="str">
        <f t="shared" si="159"/>
        <v/>
      </c>
      <c r="OM9" s="40" t="str">
        <f t="shared" si="160"/>
        <v/>
      </c>
      <c r="ON9" s="40" t="str">
        <f t="shared" si="161"/>
        <v/>
      </c>
      <c r="OO9" s="40" t="str">
        <f t="shared" si="162"/>
        <v/>
      </c>
      <c r="OP9" s="40" t="str">
        <f t="shared" si="163"/>
        <v/>
      </c>
      <c r="OQ9" s="40" t="str">
        <f t="shared" si="164"/>
        <v/>
      </c>
      <c r="OR9" s="40" t="str">
        <f t="shared" si="165"/>
        <v/>
      </c>
      <c r="OS9" s="40" t="str">
        <f t="shared" si="166"/>
        <v/>
      </c>
      <c r="OT9" s="40" t="str">
        <f t="shared" si="167"/>
        <v/>
      </c>
      <c r="OU9" s="40" t="str">
        <f t="shared" si="168"/>
        <v/>
      </c>
      <c r="OV9" s="40" t="str">
        <f t="shared" si="169"/>
        <v/>
      </c>
      <c r="OW9" s="40" t="str">
        <f t="shared" si="170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1"/>
        <v/>
      </c>
      <c r="PS9" s="11" t="str">
        <f t="shared" si="172"/>
        <v/>
      </c>
      <c r="PT9" s="11" t="str">
        <f t="shared" si="173"/>
        <v/>
      </c>
      <c r="PU9" s="11" t="str">
        <f t="shared" si="174"/>
        <v/>
      </c>
      <c r="PV9" s="11" t="str">
        <f t="shared" si="175"/>
        <v/>
      </c>
      <c r="PW9" s="11" t="str">
        <f t="shared" si="176"/>
        <v/>
      </c>
      <c r="PX9" s="11" t="str">
        <f t="shared" si="177"/>
        <v/>
      </c>
      <c r="PY9" s="11" t="str">
        <f t="shared" si="178"/>
        <v/>
      </c>
      <c r="PZ9" s="11" t="str">
        <f t="shared" si="179"/>
        <v/>
      </c>
      <c r="QA9" s="11" t="str">
        <f t="shared" si="180"/>
        <v/>
      </c>
      <c r="QB9" s="11" t="str">
        <f t="shared" si="181"/>
        <v/>
      </c>
      <c r="QC9" s="11" t="str">
        <f t="shared" si="182"/>
        <v/>
      </c>
      <c r="QD9" s="11" t="str">
        <f t="shared" si="183"/>
        <v/>
      </c>
      <c r="QE9" s="11" t="str">
        <f t="shared" si="184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85"/>
        <v/>
      </c>
      <c r="RA9" s="40" t="str">
        <f t="shared" si="186"/>
        <v/>
      </c>
      <c r="RB9" s="40" t="str">
        <f t="shared" si="187"/>
        <v/>
      </c>
      <c r="RC9" s="40" t="str">
        <f t="shared" si="188"/>
        <v/>
      </c>
      <c r="RD9" s="40" t="str">
        <f t="shared" si="189"/>
        <v/>
      </c>
      <c r="RE9" s="40" t="str">
        <f t="shared" si="190"/>
        <v/>
      </c>
      <c r="RF9" s="40" t="str">
        <f t="shared" si="191"/>
        <v/>
      </c>
      <c r="RG9" s="40" t="str">
        <f t="shared" si="192"/>
        <v/>
      </c>
      <c r="RH9" s="40" t="str">
        <f t="shared" si="193"/>
        <v/>
      </c>
      <c r="RI9" s="40" t="str">
        <f t="shared" si="194"/>
        <v/>
      </c>
      <c r="RJ9" s="40" t="str">
        <f t="shared" si="195"/>
        <v/>
      </c>
      <c r="RK9" s="40" t="str">
        <f t="shared" si="196"/>
        <v/>
      </c>
      <c r="RL9" s="40" t="str">
        <f t="shared" si="197"/>
        <v/>
      </c>
      <c r="RM9" s="40" t="str">
        <f t="shared" si="198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199"/>
        <v/>
      </c>
      <c r="SI9" s="11" t="str">
        <f t="shared" si="200"/>
        <v/>
      </c>
      <c r="SJ9" s="11" t="str">
        <f t="shared" si="201"/>
        <v/>
      </c>
      <c r="SK9" s="11" t="str">
        <f t="shared" si="202"/>
        <v/>
      </c>
      <c r="SL9" s="11" t="str">
        <f t="shared" si="203"/>
        <v/>
      </c>
      <c r="SM9" s="11" t="str">
        <f t="shared" si="204"/>
        <v/>
      </c>
      <c r="SN9" s="11" t="str">
        <f t="shared" si="205"/>
        <v/>
      </c>
      <c r="SO9" s="11" t="str">
        <f t="shared" si="206"/>
        <v/>
      </c>
      <c r="SP9" s="11" t="str">
        <f t="shared" si="207"/>
        <v/>
      </c>
      <c r="SQ9" s="11" t="str">
        <f t="shared" si="208"/>
        <v/>
      </c>
      <c r="SR9" s="11" t="str">
        <f t="shared" si="209"/>
        <v/>
      </c>
      <c r="SS9" s="11" t="str">
        <f t="shared" si="210"/>
        <v/>
      </c>
      <c r="ST9" s="11" t="str">
        <f t="shared" si="211"/>
        <v/>
      </c>
      <c r="SU9" s="11" t="str">
        <f t="shared" si="212"/>
        <v/>
      </c>
      <c r="SV9" s="22">
        <f t="shared" si="213"/>
        <v>6</v>
      </c>
      <c r="SW9" s="22">
        <f t="shared" si="214"/>
        <v>4.5</v>
      </c>
      <c r="SX9" s="22">
        <f t="shared" si="215"/>
        <v>6.35</v>
      </c>
      <c r="SY9" s="22">
        <f t="shared" si="216"/>
        <v>6.8550000000000004</v>
      </c>
      <c r="SZ9" s="22">
        <f t="shared" si="217"/>
        <v>0</v>
      </c>
      <c r="TA9" s="22">
        <f t="shared" si="218"/>
        <v>6.5</v>
      </c>
      <c r="TB9" s="22">
        <f t="shared" si="219"/>
        <v>4.7</v>
      </c>
      <c r="TC9" s="22">
        <f t="shared" si="220"/>
        <v>6.25</v>
      </c>
      <c r="TD9" s="22">
        <f t="shared" si="221"/>
        <v>6.84</v>
      </c>
      <c r="TE9" s="22">
        <f t="shared" si="222"/>
        <v>0</v>
      </c>
      <c r="TF9" s="22">
        <f t="shared" si="223"/>
        <v>6.75</v>
      </c>
      <c r="TG9" s="22">
        <f t="shared" si="224"/>
        <v>4.3499999999999996</v>
      </c>
      <c r="TH9" s="22">
        <f t="shared" si="225"/>
        <v>6.35</v>
      </c>
      <c r="TI9" s="22">
        <f t="shared" si="226"/>
        <v>6.6550000000000002</v>
      </c>
      <c r="TJ9" s="22">
        <f t="shared" si="227"/>
        <v>0</v>
      </c>
      <c r="TK9" s="27" t="s">
        <v>46</v>
      </c>
      <c r="TL9" s="40">
        <f t="shared" si="228"/>
        <v>6.35</v>
      </c>
      <c r="TM9" s="40">
        <f t="shared" si="229"/>
        <v>6.8550000000000004</v>
      </c>
      <c r="TN9" s="40">
        <f t="shared" si="230"/>
        <v>23.705000000000002</v>
      </c>
      <c r="TO9" s="40">
        <f t="shared" si="231"/>
        <v>6.25</v>
      </c>
      <c r="TP9" s="40">
        <f t="shared" si="232"/>
        <v>6.84</v>
      </c>
      <c r="TQ9" s="40">
        <f t="shared" si="233"/>
        <v>24.29</v>
      </c>
      <c r="TR9" s="40">
        <f t="shared" si="234"/>
        <v>24.29</v>
      </c>
      <c r="TS9" s="40">
        <f t="shared" si="235"/>
        <v>6.35</v>
      </c>
      <c r="TT9" s="40">
        <f t="shared" si="236"/>
        <v>6.6550000000000002</v>
      </c>
      <c r="TU9" s="40">
        <f t="shared" si="237"/>
        <v>24.105</v>
      </c>
      <c r="TV9" s="40">
        <f t="shared" si="238"/>
        <v>48.394999999999996</v>
      </c>
    </row>
    <row r="10" spans="1:542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6</v>
      </c>
      <c r="B10" s="4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>4</v>
      </c>
      <c r="C10" s="5" t="s">
        <v>144</v>
      </c>
      <c r="D10" s="4" t="s">
        <v>6</v>
      </c>
      <c r="E10" s="4">
        <v>2006</v>
      </c>
      <c r="F10" s="9">
        <f t="shared" si="0"/>
        <v>153.42001351700483</v>
      </c>
      <c r="G10" s="64"/>
      <c r="H10" s="3" t="str">
        <f>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P","")</f>
        <v/>
      </c>
      <c r="I10" s="3" t="str">
        <f>IF(OR(AND(AQ10&gt;=AY$26,AQ10&lt;&gt;"",AN10=""),AND(AT10&gt;=AY$26,AT10&lt;&gt;"",AN10=""),AND(AX10&gt;=AY$26,AX10&lt;&gt;"",AN10=""),AND(BR10&gt;=BZ$26,BR10&lt;&gt;"",BO10=""),AND(BU10&gt;=BZ$26,BU10&lt;&gt;"",BO10=""),AND(BY10&gt;=BZ$26,BY10&lt;&gt;"",BO10=""),AND(CS10&gt;=DA$26,CS10&lt;&gt;"",CP10=""),AND(CV10&gt;=DA$26,CV10&lt;&gt;"",CP10=""),AND(CZ10&gt;=DA$26,CZ10&lt;&gt;"",CP10=""),AND(DZ10&gt;=EK$26,DZ10&lt;&gt;""),AND(EC10&gt;=EK$26,EC10&lt;&gt;""),AND(EG10&gt;=EK$26,EG10&lt;&gt;""),AND(EJ10&gt;=EK$26,EJ10&lt;&gt;""),AND(FH10&gt;=FS$26,FH10&lt;&gt;""),AND(FK10&gt;=FS$26,FK10&lt;&gt;""),AND(FO10&gt;=FS$26,FO10&lt;&gt;""),AND(FR10&gt;=FS$26,FR10&lt;&gt;""),AND(GP10&gt;=HA$26,GP10&lt;&gt;""),AND(GS10&gt;=HA$26,GS10&lt;&gt;""),AND(GW10&gt;=HA$26,GW10&lt;&gt;""),AND(GZ10&gt;=HA$26,GZ10&lt;&gt;""),AND(HX10&gt;=II$26,HX10&lt;&gt;""),AND(IA10&gt;=II$26,IA10&lt;&gt;""),AND(IE10&gt;=II$26,IE10&lt;&gt;""),AND(IH10&gt;=II$26,IH10&lt;&gt;""),AND(JF10&gt;=JQ$26,JF10&lt;&gt;""),AND(JI10&gt;=JQ$26,JI10&lt;&gt;""),AND(JM10&gt;=JQ$26,JM10&lt;&gt;""),AND(JP10&gt;=JQ$26,JP10&lt;&gt;""),AND(KN10&gt;=KY$26,KN10&lt;&gt;""),AND(KQ10&gt;=KY$26,KQ10&lt;&gt;""),AND(KU10&gt;=KY$26,KU10&lt;&gt;""),AND(KX10&gt;=KY$26,KX10&lt;&gt;""),AND(LV10&gt;=MG$26,LV10&lt;&gt;""),AND(LY10&gt;=MG$26,LY10&lt;&gt;""),AND(MC10&gt;=MG$26,MC10&lt;&gt;""),AND(MF10&gt;=MG$26,MF10&lt;&gt;""),AND(ND10&gt;=NO$26,ND10&lt;&gt;""),AND(NG10&gt;=NO$26,NG10&lt;&gt;""),AND(NK10&gt;=NO$26,NK10&lt;&gt;""),AND(NN10&gt;=NO$26,NN10&lt;&gt;""),AND(OL10&gt;=OW$26,OL10&lt;&gt;""),AND(OO10&gt;=OW$26,OO10&lt;&gt;""),AND(OS10&gt;=OW$26,OS10&lt;&gt;""),AND(OV10&gt;=OW$26,OV10&lt;&gt;""),AND(PT10&gt;=QE$26,PT10&lt;&gt;""),AND(PW10&gt;=QE$26,PW10&lt;&gt;""),AND(QA10&gt;=QE$26,QA10&lt;&gt;""),AND(QD10&gt;=QE$26,QD10&lt;&gt;""),AND(RB10&gt;=RM$26,RB10&lt;&gt;""),AND(RE10&gt;=RM$26,RE10&lt;&gt;""),AND(RI10&gt;=RM$26,RI10&lt;&gt;""),AND(RL10&gt;=RM$26,RL10&lt;&gt;""),AND(SJ10&gt;=SU$26,SJ10&lt;&gt;""),AND(SM10&gt;=SU$26,SM10&lt;&gt;""),AND(SQ10&gt;=SU$26,SQ10&lt;&gt;""),AND(ST10&gt;=SU$26,ST10&lt;&gt;"")),"P","")</f>
        <v>P</v>
      </c>
      <c r="J10" s="36" t="str">
        <f>IF(AND(I10="P",H10=""),"No DD",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Merit",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Excellence",IF(K10="P","Worlds Team",IF(H10="P","National Team","")))))</f>
        <v>No DD</v>
      </c>
      <c r="K10" s="3" t="str">
        <f>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P","")</f>
        <v/>
      </c>
      <c r="L10" s="8">
        <f>IF(COUNT(AQ10,AT10,BR10,BU10,CS10,CV10)&gt;0,LARGE((AQ10,AT10,BR10,BU10,CS10,CV10),1),0)</f>
        <v>48.18</v>
      </c>
      <c r="M10" s="8" t="str">
        <f t="shared" si="1"/>
        <v>2024 3rd Domestic Trial</v>
      </c>
      <c r="N10" s="8">
        <f>IF(COUNT(AQ10,AT10,BR10,BU10,CS10,CV10)&gt;1,LARGE((AQ10,AT10,BR10,BU10,CS10,CV10),2),0)</f>
        <v>30.04</v>
      </c>
      <c r="O10" s="8" t="str">
        <f t="shared" si="2"/>
        <v>2024 3rd Domestic Trial</v>
      </c>
      <c r="P10" s="8">
        <f>IF(COUNT(AQ10,AT10,BR10,BU10,CS10,CV10)&gt;2,MAX(AX10,BY10,CZ10,LARGE((AQ10,AT10,BR10,BU10,CS10,CV10),3)),IF(MAX(AX10,BY10,CZ10)&gt;0,MAX(AX10,BY10,CZ10),0))</f>
        <v>47.75</v>
      </c>
      <c r="Q10" s="8" t="str">
        <f t="shared" si="3"/>
        <v>2024 3rd Domestic Trial</v>
      </c>
      <c r="R10" s="8">
        <f t="shared" si="4"/>
        <v>9.1999999999999993</v>
      </c>
      <c r="S10" s="8" t="str">
        <f t="shared" si="5"/>
        <v>2024 Coimbra Gym Fest (July 7)</v>
      </c>
      <c r="T10" s="8">
        <f>IF(MAX(IF(AO10&gt;=$AY$22,AP10,0),IF(AR10&gt;=$AY$22,AS10,0),IF(AV10&gt;=$AY$22,AW10,0),IF(BP10&gt;=$BZ$22,BQ10,0),IF(BS10&gt;=$BZ$22,BT10,0),IF(BW10&gt;=$BZ$22,BX10,0),IF(CQ10&gt;=$DA$22,CR10,0),IF(CT10&gt;=$DA$22,CU10,0),IF(CX10&gt;=$DA$22,CY10,0),IF(DX10&gt;=$EK$22,DY10,0),IF(EA10&gt;=$EK$22,EB10,0),IF(EE10&gt;=$EK$22,EF10,0),IF(EH10&gt;=$EK$22,EI10,0),IF(FF10&gt;=$FS$22,FG10,0),IF(FI10&gt;=$FS$22,FJ10,0),IF(FM10&gt;=$FS$22,FN10,0),IF(FP10&gt;=$FS$22,FQ10,0),IF(GN10&gt;=$HA$22,GO10,0),IF(GQ10&gt;=$HA$22,GR10,0),IF(GU10&gt;=$HA$22,GV10,0),IF(GX10&gt;=$HA$22,GY10,0),IF(HV10&gt;=$II$22,HW10,0),IF(HY10&gt;=$II$22,HZ10,0),IF(IC10&gt;=$II$22,ID10,0),IF(IF10&gt;=$II$22,IG10,0),IF(JD10&gt;=$JQ$22,JE10,0),IF(JG10&gt;=$JQ$22,JH10,0),IF(JK10&gt;=$JQ$22,JL10,0),IF(JN10&gt;=$JQ$22,JO10,0),IF(KL10&gt;=$KY$22,KM10,0),IF(KO10&gt;=$KY$22,KP10,0),IF(KS10&gt;=$KY$22,KT10,0),IF(KV10&gt;=$KY$22,KW10,0),IF(LT10&gt;=$MG$22,LU10,0),IF(LW10&gt;=$MG$22,LX10,0),IF(MA10&gt;=$MG$22,MB10,0),IF(MD10&gt;=$MG$22,ME10,0),IF(NB10&gt;=$NO$22,NC10,0),IF(NE10&gt;=$NO$22,NF10,0),IF(NI10&gt;=$NO$22,NJ10,0),IF(NL10&gt;=$NO$22,NM10,0),IF(OJ10&gt;=$OW$22,OK10,0),IF(OM10&gt;=$OW$22,ON10,0),IF(OQ10&gt;=$OW$22,OR10,0),IF(OT10&gt;=$OW$22,OU10,0),IF(PR10&gt;=$QE$22,PS10,0),IF(PU10&gt;=$QE$22,PV10,0),IF(PY10&gt;=$QE$22,PZ10,0),IF(QB10&gt;=$QE$22,QC10,0),IF(QZ10&gt;=$RM$22,RA10,0),IF(RC10&gt;=$RM$22,RD10,0),IF(RG10&gt;=$RM$22,RH10,0),IF(RJ10&gt;=$RM$22,RK10,0),IF(SH10&gt;=$SU$22,SI10,0),IF(SK10&gt;=$SU$22,SL10,0),IF(SO10&gt;=$SU$22,SP10,0),IF(SR10&gt;=$SU$22,SS10,0))&gt;0,MAX(IF(AO10&gt;=$AY$22,AP10,0),IF(AR10&gt;=$AY$22,AS10,0),IF(AV10&gt;=$AY$22,AW10,0),IF(BP10&gt;=$BZ$22,BQ10,0),IF(BS10&gt;=$BZ$22,BT10,0),IF(BW10&gt;=$BZ$22,BX10,0),IF(CQ10&gt;=$DA$22,CR10,0),IF(CT10&gt;=$DA$22,CU10,0),IF(CX10&gt;=$DA$22,CY10,0),IF(DX10&gt;=$EK$22,DY10,0),IF(EA10&gt;=$EK$22,EB10,0),IF(EE10&gt;=$EK$22,EF10,0),IF(EH10&gt;=$EK$22,EI10,0),IF(FF10&gt;=$FS$22,FG10,0),IF(FI10&gt;=$FS$22,FJ10,0),IF(FM10&gt;=$FS$22,FN10,0),IF(FP10&gt;=$FS$22,FQ10,0),IF(GN10&gt;=$HA$22,GO10,0),IF(GQ10&gt;=$HA$22,GR10,0),IF(GU10&gt;=$HA$22,GV10,0),IF(GX10&gt;=$HA$22,GY10,0),IF(HV10&gt;=$II$22,HW10,0),IF(HY10&gt;=$II$22,HZ10,0),IF(IC10&gt;=$II$22,ID10,0),IF(IF10&gt;=$II$22,IG10,0),IF(JD10&gt;=$JQ$22,JE10,0),IF(JG10&gt;=$JQ$22,JH10,0),IF(JK10&gt;=$JQ$22,JL10,0),IF(JN10&gt;=$JQ$22,JO10,0),IF(KL10&gt;=$KY$22,KM10,0),IF(KO10&gt;=$KY$22,KP10,0),IF(KS10&gt;=$KY$22,KT10,0),IF(KV10&gt;=$KY$22,KW10,0),IF(LT10&gt;=$MG$22,LU10,0),IF(LW10&gt;=$MG$22,LX10,0),IF(MA10&gt;=$MG$22,MB10,0),IF(MD10&gt;=$MG$22,ME10,0),IF(NB10&gt;=$NO$22,NC10,0),IF(NE10&gt;=$NO$22,NF10,0),IF(NI10&gt;=$NO$22,NJ10,0),IF(NL10&gt;=$NO$22,NM10,0),IF(OJ10&gt;=$OW$22,OK10,0),IF(OM10&gt;=$OW$22,ON10,0),IF(OQ10&gt;=$OW$22,OR10,0),IF(OT10&gt;=$OW$22,OU10,0),IF(PR10&gt;=$QE$22,PS10,0),IF(PU10&gt;=$QE$22,PV10,0),IF(PY10&gt;=$QE$22,PZ10,0),IF(QB10&gt;=$QE$22,QC10,0),IF(QZ10&gt;=$RM$22,RA10,0),IF(RC10&gt;=$RM$22,RD10,0),IF(RG10&gt;=$RM$22,RH10,0),IF(RJ10&gt;=$RM$22,RK10,0),IF(SH10&gt;=$SU$22,SI10,0),IF(SK10&gt;=$SU$22,SL10,0),IF(SO10&gt;=$SU$22,SP10,0),IF(SR10&gt;=$SU$22,SS10,0)),0)</f>
        <v>0</v>
      </c>
      <c r="U10" s="8" t="str">
        <f t="shared" si="6"/>
        <v/>
      </c>
      <c r="V10" s="8">
        <f t="shared" si="7"/>
        <v>18.25</v>
      </c>
      <c r="W10" s="11" t="str">
        <f t="shared" si="8"/>
        <v>(Optional)</v>
      </c>
      <c r="X10" s="8" t="str">
        <f t="shared" si="9"/>
        <v>2024 Coimbra Gym Fest (July 7)</v>
      </c>
      <c r="Y10" s="22">
        <v>9.3000000000000007</v>
      </c>
      <c r="Z10" s="22">
        <v>5.6</v>
      </c>
      <c r="AA10" s="22">
        <v>5.5</v>
      </c>
      <c r="AB10" s="22">
        <v>9.64</v>
      </c>
      <c r="AC10" s="22">
        <v>0</v>
      </c>
      <c r="AD10" s="22">
        <v>15.7</v>
      </c>
      <c r="AE10" s="22">
        <v>9.1999999999999993</v>
      </c>
      <c r="AF10" s="22">
        <v>9.1</v>
      </c>
      <c r="AG10" s="22">
        <v>14.18</v>
      </c>
      <c r="AH10" s="22">
        <v>0</v>
      </c>
      <c r="AI10" s="22">
        <v>16</v>
      </c>
      <c r="AJ10" s="22">
        <v>9.1</v>
      </c>
      <c r="AK10" s="22">
        <v>8.5</v>
      </c>
      <c r="AL10" s="22">
        <v>14.45</v>
      </c>
      <c r="AM10" s="22">
        <v>0.3</v>
      </c>
      <c r="AN10" s="27"/>
      <c r="AO10" s="38">
        <f t="shared" si="10"/>
        <v>5.5</v>
      </c>
      <c r="AP10" s="38">
        <f t="shared" si="11"/>
        <v>9.64</v>
      </c>
      <c r="AQ10" s="40">
        <f t="shared" si="12"/>
        <v>30.04</v>
      </c>
      <c r="AR10" s="40">
        <f t="shared" si="13"/>
        <v>9.1</v>
      </c>
      <c r="AS10" s="40">
        <f t="shared" si="14"/>
        <v>14.18</v>
      </c>
      <c r="AT10" s="40">
        <f t="shared" si="15"/>
        <v>48.18</v>
      </c>
      <c r="AU10" s="40">
        <f t="shared" si="16"/>
        <v>48.18</v>
      </c>
      <c r="AV10" s="40">
        <f t="shared" si="17"/>
        <v>8.5</v>
      </c>
      <c r="AW10" s="40">
        <f t="shared" si="18"/>
        <v>14.45</v>
      </c>
      <c r="AX10" s="40">
        <f t="shared" si="19"/>
        <v>47.75</v>
      </c>
      <c r="AY10" s="40">
        <f t="shared" si="20"/>
        <v>95.93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 t="shared" si="21"/>
        <v/>
      </c>
      <c r="BQ10" s="39" t="str">
        <f t="shared" si="22"/>
        <v/>
      </c>
      <c r="BR10" s="11" t="str">
        <f t="shared" si="23"/>
        <v/>
      </c>
      <c r="BS10" s="11" t="str">
        <f t="shared" si="24"/>
        <v/>
      </c>
      <c r="BT10" s="11" t="str">
        <f t="shared" si="25"/>
        <v/>
      </c>
      <c r="BU10" s="11" t="str">
        <f t="shared" si="26"/>
        <v/>
      </c>
      <c r="BV10" s="11" t="str">
        <f t="shared" si="27"/>
        <v/>
      </c>
      <c r="BW10" s="11" t="str">
        <f t="shared" si="28"/>
        <v/>
      </c>
      <c r="BX10" s="11" t="str">
        <f t="shared" si="29"/>
        <v/>
      </c>
      <c r="BY10" s="11" t="str">
        <f t="shared" si="30"/>
        <v/>
      </c>
      <c r="BZ10" s="11" t="str">
        <f t="shared" si="31"/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2"/>
        <v/>
      </c>
      <c r="CR10" s="38" t="str">
        <f t="shared" si="33"/>
        <v/>
      </c>
      <c r="CS10" s="40" t="str">
        <f t="shared" si="34"/>
        <v/>
      </c>
      <c r="CT10" s="40" t="str">
        <f t="shared" si="35"/>
        <v/>
      </c>
      <c r="CU10" s="40" t="str">
        <f t="shared" si="36"/>
        <v/>
      </c>
      <c r="CV10" s="40" t="str">
        <f t="shared" si="37"/>
        <v/>
      </c>
      <c r="CW10" s="40" t="str">
        <f t="shared" si="38"/>
        <v/>
      </c>
      <c r="CX10" s="40" t="str">
        <f t="shared" si="39"/>
        <v/>
      </c>
      <c r="CY10" s="40" t="str">
        <f t="shared" si="40"/>
        <v/>
      </c>
      <c r="CZ10" s="40" t="str">
        <f t="shared" si="41"/>
        <v/>
      </c>
      <c r="DA10" s="40" t="str">
        <f t="shared" si="42"/>
        <v/>
      </c>
      <c r="DB10" s="50">
        <f t="shared" si="43"/>
        <v>18.25</v>
      </c>
      <c r="DC10" s="50">
        <f t="shared" si="44"/>
        <v>0.75</v>
      </c>
      <c r="DD10" s="17">
        <v>15.9</v>
      </c>
      <c r="DE10" s="17">
        <v>9.3000000000000007</v>
      </c>
      <c r="DF10" s="17">
        <v>9.1</v>
      </c>
      <c r="DG10" s="17">
        <v>13.75</v>
      </c>
      <c r="DH10" s="17">
        <v>0</v>
      </c>
      <c r="DI10" s="17">
        <v>16.2</v>
      </c>
      <c r="DJ10" s="17">
        <v>9.1999999999999993</v>
      </c>
      <c r="DK10" s="17">
        <v>9.1</v>
      </c>
      <c r="DL10" s="17">
        <v>13.79</v>
      </c>
      <c r="DM10" s="17">
        <v>0</v>
      </c>
      <c r="DN10" s="17">
        <v>16.2</v>
      </c>
      <c r="DO10" s="17">
        <v>9.4</v>
      </c>
      <c r="DP10" s="17">
        <v>9.1</v>
      </c>
      <c r="DQ10" s="17">
        <v>13.8</v>
      </c>
      <c r="DR10" s="17">
        <v>0</v>
      </c>
      <c r="DS10" s="17">
        <v>15.2</v>
      </c>
      <c r="DT10" s="17">
        <v>8.4</v>
      </c>
      <c r="DU10" s="17">
        <v>9.1999999999999993</v>
      </c>
      <c r="DV10" s="17">
        <v>13.78</v>
      </c>
      <c r="DW10" s="17">
        <v>0</v>
      </c>
      <c r="DX10" s="40">
        <f t="shared" si="45"/>
        <v>9.1</v>
      </c>
      <c r="DY10" s="40">
        <f t="shared" si="46"/>
        <v>13.75</v>
      </c>
      <c r="DZ10" s="40">
        <f t="shared" si="47"/>
        <v>48.050000000000004</v>
      </c>
      <c r="EA10" s="40">
        <f t="shared" si="48"/>
        <v>9.1</v>
      </c>
      <c r="EB10" s="40">
        <f t="shared" si="49"/>
        <v>13.79</v>
      </c>
      <c r="EC10" s="40">
        <f t="shared" si="50"/>
        <v>48.29</v>
      </c>
      <c r="ED10" s="40">
        <f t="shared" si="51"/>
        <v>48.29</v>
      </c>
      <c r="EE10" s="40">
        <f t="shared" si="52"/>
        <v>9.1</v>
      </c>
      <c r="EF10" s="40">
        <f t="shared" si="53"/>
        <v>13.8</v>
      </c>
      <c r="EG10" s="40">
        <f t="shared" si="54"/>
        <v>48.5</v>
      </c>
      <c r="EH10" s="40">
        <f t="shared" si="55"/>
        <v>9.1999999999999993</v>
      </c>
      <c r="EI10" s="40">
        <f t="shared" si="56"/>
        <v>13.78</v>
      </c>
      <c r="EJ10" s="40">
        <f t="shared" si="57"/>
        <v>46.58</v>
      </c>
      <c r="EK10" s="40">
        <f t="shared" si="58"/>
        <v>143.37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59"/>
        <v/>
      </c>
      <c r="FG10" s="11" t="str">
        <f t="shared" si="60"/>
        <v/>
      </c>
      <c r="FH10" s="11" t="str">
        <f t="shared" si="61"/>
        <v/>
      </c>
      <c r="FI10" s="11" t="str">
        <f t="shared" si="62"/>
        <v/>
      </c>
      <c r="FJ10" s="11" t="str">
        <f t="shared" si="63"/>
        <v/>
      </c>
      <c r="FK10" s="11" t="str">
        <f t="shared" si="64"/>
        <v/>
      </c>
      <c r="FL10" s="11" t="str">
        <f t="shared" si="65"/>
        <v/>
      </c>
      <c r="FM10" s="11" t="str">
        <f t="shared" si="66"/>
        <v/>
      </c>
      <c r="FN10" s="11" t="str">
        <f t="shared" si="67"/>
        <v/>
      </c>
      <c r="FO10" s="11" t="str">
        <f t="shared" si="68"/>
        <v/>
      </c>
      <c r="FP10" s="11" t="str">
        <f t="shared" si="69"/>
        <v/>
      </c>
      <c r="FQ10" s="11" t="str">
        <f t="shared" si="70"/>
        <v/>
      </c>
      <c r="FR10" s="11" t="str">
        <f t="shared" si="71"/>
        <v/>
      </c>
      <c r="FS10" s="11" t="str">
        <f t="shared" si="72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3"/>
        <v/>
      </c>
      <c r="GO10" s="40" t="str">
        <f t="shared" si="74"/>
        <v/>
      </c>
      <c r="GP10" s="40" t="str">
        <f t="shared" si="75"/>
        <v/>
      </c>
      <c r="GQ10" s="40" t="str">
        <f t="shared" si="76"/>
        <v/>
      </c>
      <c r="GR10" s="40" t="str">
        <f t="shared" si="77"/>
        <v/>
      </c>
      <c r="GS10" s="40" t="str">
        <f t="shared" si="78"/>
        <v/>
      </c>
      <c r="GT10" s="40" t="str">
        <f t="shared" si="79"/>
        <v/>
      </c>
      <c r="GU10" s="40" t="str">
        <f t="shared" si="80"/>
        <v/>
      </c>
      <c r="GV10" s="40" t="str">
        <f t="shared" si="81"/>
        <v/>
      </c>
      <c r="GW10" s="40" t="str">
        <f t="shared" si="82"/>
        <v/>
      </c>
      <c r="GX10" s="40" t="str">
        <f t="shared" si="83"/>
        <v/>
      </c>
      <c r="GY10" s="40" t="str">
        <f t="shared" si="84"/>
        <v/>
      </c>
      <c r="GZ10" s="40" t="str">
        <f t="shared" si="85"/>
        <v/>
      </c>
      <c r="HA10" s="40" t="str">
        <f t="shared" si="86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87"/>
        <v/>
      </c>
      <c r="HW10" s="11" t="str">
        <f t="shared" si="88"/>
        <v/>
      </c>
      <c r="HX10" s="11" t="str">
        <f t="shared" si="89"/>
        <v/>
      </c>
      <c r="HY10" s="11" t="str">
        <f t="shared" si="90"/>
        <v/>
      </c>
      <c r="HZ10" s="11" t="str">
        <f t="shared" si="91"/>
        <v/>
      </c>
      <c r="IA10" s="11" t="str">
        <f t="shared" si="92"/>
        <v/>
      </c>
      <c r="IB10" s="11" t="str">
        <f t="shared" si="93"/>
        <v/>
      </c>
      <c r="IC10" s="11" t="str">
        <f t="shared" si="94"/>
        <v/>
      </c>
      <c r="ID10" s="11" t="str">
        <f t="shared" si="95"/>
        <v/>
      </c>
      <c r="IE10" s="11" t="str">
        <f t="shared" si="96"/>
        <v/>
      </c>
      <c r="IF10" s="11" t="str">
        <f t="shared" si="97"/>
        <v/>
      </c>
      <c r="IG10" s="11" t="str">
        <f t="shared" si="98"/>
        <v/>
      </c>
      <c r="IH10" s="11" t="str">
        <f t="shared" si="99"/>
        <v/>
      </c>
      <c r="II10" s="11" t="str">
        <f t="shared" si="100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1"/>
        <v/>
      </c>
      <c r="JE10" s="40" t="str">
        <f t="shared" si="102"/>
        <v/>
      </c>
      <c r="JF10" s="40" t="str">
        <f t="shared" si="103"/>
        <v/>
      </c>
      <c r="JG10" s="40" t="str">
        <f t="shared" si="104"/>
        <v/>
      </c>
      <c r="JH10" s="40" t="str">
        <f t="shared" si="105"/>
        <v/>
      </c>
      <c r="JI10" s="40" t="str">
        <f t="shared" si="106"/>
        <v/>
      </c>
      <c r="JJ10" s="40" t="str">
        <f t="shared" si="107"/>
        <v/>
      </c>
      <c r="JK10" s="40" t="str">
        <f t="shared" si="108"/>
        <v/>
      </c>
      <c r="JL10" s="40" t="str">
        <f t="shared" si="109"/>
        <v/>
      </c>
      <c r="JM10" s="40" t="str">
        <f t="shared" si="110"/>
        <v/>
      </c>
      <c r="JN10" s="40" t="str">
        <f t="shared" si="111"/>
        <v/>
      </c>
      <c r="JO10" s="40" t="str">
        <f t="shared" si="112"/>
        <v/>
      </c>
      <c r="JP10" s="40" t="str">
        <f t="shared" si="113"/>
        <v/>
      </c>
      <c r="JQ10" s="40" t="str">
        <f t="shared" si="114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15"/>
        <v/>
      </c>
      <c r="KM10" s="11" t="str">
        <f t="shared" si="116"/>
        <v/>
      </c>
      <c r="KN10" s="11" t="str">
        <f t="shared" si="117"/>
        <v/>
      </c>
      <c r="KO10" s="11" t="str">
        <f t="shared" si="118"/>
        <v/>
      </c>
      <c r="KP10" s="11" t="str">
        <f t="shared" si="119"/>
        <v/>
      </c>
      <c r="KQ10" s="11" t="str">
        <f t="shared" si="120"/>
        <v/>
      </c>
      <c r="KR10" s="11" t="str">
        <f t="shared" si="121"/>
        <v/>
      </c>
      <c r="KS10" s="11" t="str">
        <f t="shared" si="122"/>
        <v/>
      </c>
      <c r="KT10" s="11" t="str">
        <f t="shared" si="123"/>
        <v/>
      </c>
      <c r="KU10" s="11" t="str">
        <f t="shared" si="124"/>
        <v/>
      </c>
      <c r="KV10" s="11" t="str">
        <f t="shared" si="125"/>
        <v/>
      </c>
      <c r="KW10" s="11" t="str">
        <f t="shared" si="126"/>
        <v/>
      </c>
      <c r="KX10" s="11" t="str">
        <f t="shared" si="127"/>
        <v/>
      </c>
      <c r="KY10" s="11" t="str">
        <f t="shared" si="128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29"/>
        <v/>
      </c>
      <c r="LU10" s="40" t="str">
        <f t="shared" si="130"/>
        <v/>
      </c>
      <c r="LV10" s="40" t="str">
        <f t="shared" si="131"/>
        <v/>
      </c>
      <c r="LW10" s="40" t="str">
        <f t="shared" si="132"/>
        <v/>
      </c>
      <c r="LX10" s="40" t="str">
        <f t="shared" si="133"/>
        <v/>
      </c>
      <c r="LY10" s="40" t="str">
        <f t="shared" si="134"/>
        <v/>
      </c>
      <c r="LZ10" s="40" t="str">
        <f t="shared" si="135"/>
        <v/>
      </c>
      <c r="MA10" s="40" t="str">
        <f t="shared" si="136"/>
        <v/>
      </c>
      <c r="MB10" s="40" t="str">
        <f t="shared" si="137"/>
        <v/>
      </c>
      <c r="MC10" s="40" t="str">
        <f t="shared" si="138"/>
        <v/>
      </c>
      <c r="MD10" s="40" t="str">
        <f t="shared" si="139"/>
        <v/>
      </c>
      <c r="ME10" s="40" t="str">
        <f t="shared" si="140"/>
        <v/>
      </c>
      <c r="MF10" s="40" t="str">
        <f t="shared" si="141"/>
        <v/>
      </c>
      <c r="MG10" s="40" t="str">
        <f t="shared" si="142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3"/>
        <v/>
      </c>
      <c r="NC10" s="11" t="str">
        <f t="shared" si="144"/>
        <v/>
      </c>
      <c r="ND10" s="11" t="str">
        <f t="shared" si="145"/>
        <v/>
      </c>
      <c r="NE10" s="11" t="str">
        <f t="shared" si="146"/>
        <v/>
      </c>
      <c r="NF10" s="11" t="str">
        <f t="shared" si="147"/>
        <v/>
      </c>
      <c r="NG10" s="11" t="str">
        <f t="shared" si="148"/>
        <v/>
      </c>
      <c r="NH10" s="11" t="str">
        <f t="shared" si="149"/>
        <v/>
      </c>
      <c r="NI10" s="11" t="str">
        <f t="shared" si="150"/>
        <v/>
      </c>
      <c r="NJ10" s="11" t="str">
        <f t="shared" si="151"/>
        <v/>
      </c>
      <c r="NK10" s="11" t="str">
        <f t="shared" si="152"/>
        <v/>
      </c>
      <c r="NL10" s="11" t="str">
        <f t="shared" si="153"/>
        <v/>
      </c>
      <c r="NM10" s="11" t="str">
        <f t="shared" si="154"/>
        <v/>
      </c>
      <c r="NN10" s="11" t="str">
        <f t="shared" si="155"/>
        <v/>
      </c>
      <c r="NO10" s="11" t="str">
        <f t="shared" si="156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57"/>
        <v/>
      </c>
      <c r="OK10" s="40" t="str">
        <f t="shared" si="158"/>
        <v/>
      </c>
      <c r="OL10" s="40" t="str">
        <f t="shared" si="159"/>
        <v/>
      </c>
      <c r="OM10" s="40" t="str">
        <f t="shared" si="160"/>
        <v/>
      </c>
      <c r="ON10" s="40" t="str">
        <f t="shared" si="161"/>
        <v/>
      </c>
      <c r="OO10" s="40" t="str">
        <f t="shared" si="162"/>
        <v/>
      </c>
      <c r="OP10" s="40" t="str">
        <f t="shared" si="163"/>
        <v/>
      </c>
      <c r="OQ10" s="40" t="str">
        <f t="shared" si="164"/>
        <v/>
      </c>
      <c r="OR10" s="40" t="str">
        <f t="shared" si="165"/>
        <v/>
      </c>
      <c r="OS10" s="40" t="str">
        <f t="shared" si="166"/>
        <v/>
      </c>
      <c r="OT10" s="40" t="str">
        <f t="shared" si="167"/>
        <v/>
      </c>
      <c r="OU10" s="40" t="str">
        <f t="shared" si="168"/>
        <v/>
      </c>
      <c r="OV10" s="40" t="str">
        <f t="shared" si="169"/>
        <v/>
      </c>
      <c r="OW10" s="40" t="str">
        <f t="shared" si="170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1"/>
        <v/>
      </c>
      <c r="PS10" s="11" t="str">
        <f t="shared" si="172"/>
        <v/>
      </c>
      <c r="PT10" s="11" t="str">
        <f t="shared" si="173"/>
        <v/>
      </c>
      <c r="PU10" s="11" t="str">
        <f t="shared" si="174"/>
        <v/>
      </c>
      <c r="PV10" s="11" t="str">
        <f t="shared" si="175"/>
        <v/>
      </c>
      <c r="PW10" s="11" t="str">
        <f t="shared" si="176"/>
        <v/>
      </c>
      <c r="PX10" s="11" t="str">
        <f t="shared" si="177"/>
        <v/>
      </c>
      <c r="PY10" s="11" t="str">
        <f t="shared" si="178"/>
        <v/>
      </c>
      <c r="PZ10" s="11" t="str">
        <f t="shared" si="179"/>
        <v/>
      </c>
      <c r="QA10" s="11" t="str">
        <f t="shared" si="180"/>
        <v/>
      </c>
      <c r="QB10" s="11" t="str">
        <f t="shared" si="181"/>
        <v/>
      </c>
      <c r="QC10" s="11" t="str">
        <f t="shared" si="182"/>
        <v/>
      </c>
      <c r="QD10" s="11" t="str">
        <f t="shared" si="183"/>
        <v/>
      </c>
      <c r="QE10" s="11" t="str">
        <f t="shared" si="184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85"/>
        <v/>
      </c>
      <c r="RA10" s="40" t="str">
        <f t="shared" si="186"/>
        <v/>
      </c>
      <c r="RB10" s="40" t="str">
        <f t="shared" si="187"/>
        <v/>
      </c>
      <c r="RC10" s="40" t="str">
        <f t="shared" si="188"/>
        <v/>
      </c>
      <c r="RD10" s="40" t="str">
        <f t="shared" si="189"/>
        <v/>
      </c>
      <c r="RE10" s="40" t="str">
        <f t="shared" si="190"/>
        <v/>
      </c>
      <c r="RF10" s="40" t="str">
        <f t="shared" si="191"/>
        <v/>
      </c>
      <c r="RG10" s="40" t="str">
        <f t="shared" si="192"/>
        <v/>
      </c>
      <c r="RH10" s="40" t="str">
        <f t="shared" si="193"/>
        <v/>
      </c>
      <c r="RI10" s="40" t="str">
        <f t="shared" si="194"/>
        <v/>
      </c>
      <c r="RJ10" s="40" t="str">
        <f t="shared" si="195"/>
        <v/>
      </c>
      <c r="RK10" s="40" t="str">
        <f t="shared" si="196"/>
        <v/>
      </c>
      <c r="RL10" s="40" t="str">
        <f t="shared" si="197"/>
        <v/>
      </c>
      <c r="RM10" s="40" t="str">
        <f t="shared" si="198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199"/>
        <v/>
      </c>
      <c r="SI10" s="11" t="str">
        <f t="shared" si="200"/>
        <v/>
      </c>
      <c r="SJ10" s="11" t="str">
        <f t="shared" si="201"/>
        <v/>
      </c>
      <c r="SK10" s="11" t="str">
        <f t="shared" si="202"/>
        <v/>
      </c>
      <c r="SL10" s="11" t="str">
        <f t="shared" si="203"/>
        <v/>
      </c>
      <c r="SM10" s="11" t="str">
        <f t="shared" si="204"/>
        <v/>
      </c>
      <c r="SN10" s="11" t="str">
        <f t="shared" si="205"/>
        <v/>
      </c>
      <c r="SO10" s="11" t="str">
        <f t="shared" si="206"/>
        <v/>
      </c>
      <c r="SP10" s="11" t="str">
        <f t="shared" si="207"/>
        <v/>
      </c>
      <c r="SQ10" s="11" t="str">
        <f t="shared" si="208"/>
        <v/>
      </c>
      <c r="SR10" s="11" t="str">
        <f t="shared" si="209"/>
        <v/>
      </c>
      <c r="SS10" s="11" t="str">
        <f t="shared" si="210"/>
        <v/>
      </c>
      <c r="ST10" s="11" t="str">
        <f t="shared" si="211"/>
        <v/>
      </c>
      <c r="SU10" s="11" t="str">
        <f t="shared" si="212"/>
        <v/>
      </c>
      <c r="SV10" s="22">
        <f t="shared" si="213"/>
        <v>0</v>
      </c>
      <c r="SW10" s="22">
        <f t="shared" si="214"/>
        <v>0</v>
      </c>
      <c r="SX10" s="22">
        <f t="shared" si="215"/>
        <v>0</v>
      </c>
      <c r="SY10" s="22">
        <f t="shared" si="216"/>
        <v>0</v>
      </c>
      <c r="SZ10" s="22">
        <f t="shared" si="217"/>
        <v>0</v>
      </c>
      <c r="TA10" s="22">
        <f t="shared" si="218"/>
        <v>0</v>
      </c>
      <c r="TB10" s="22">
        <f t="shared" si="219"/>
        <v>0</v>
      </c>
      <c r="TC10" s="22">
        <f t="shared" si="220"/>
        <v>0</v>
      </c>
      <c r="TD10" s="22">
        <f t="shared" si="221"/>
        <v>0</v>
      </c>
      <c r="TE10" s="22">
        <f t="shared" si="222"/>
        <v>0</v>
      </c>
      <c r="TF10" s="22">
        <f t="shared" si="223"/>
        <v>0</v>
      </c>
      <c r="TG10" s="22">
        <f t="shared" si="224"/>
        <v>0</v>
      </c>
      <c r="TH10" s="22">
        <f t="shared" si="225"/>
        <v>0</v>
      </c>
      <c r="TI10" s="22">
        <f t="shared" si="226"/>
        <v>0</v>
      </c>
      <c r="TJ10" s="22">
        <f t="shared" si="227"/>
        <v>0</v>
      </c>
      <c r="TK10" s="27" t="s">
        <v>46</v>
      </c>
      <c r="TL10" s="40" t="str">
        <f t="shared" si="228"/>
        <v/>
      </c>
      <c r="TM10" s="40" t="str">
        <f t="shared" si="229"/>
        <v/>
      </c>
      <c r="TN10" s="40" t="str">
        <f t="shared" si="230"/>
        <v/>
      </c>
      <c r="TO10" s="40" t="str">
        <f t="shared" si="231"/>
        <v/>
      </c>
      <c r="TP10" s="40" t="str">
        <f t="shared" si="232"/>
        <v/>
      </c>
      <c r="TQ10" s="40" t="str">
        <f t="shared" si="233"/>
        <v/>
      </c>
      <c r="TR10" s="40" t="str">
        <f t="shared" si="234"/>
        <v/>
      </c>
      <c r="TS10" s="40" t="str">
        <f t="shared" si="235"/>
        <v/>
      </c>
      <c r="TT10" s="40" t="str">
        <f t="shared" si="236"/>
        <v/>
      </c>
      <c r="TU10" s="40" t="str">
        <f t="shared" si="237"/>
        <v/>
      </c>
      <c r="TV10" s="40" t="str">
        <f t="shared" si="238"/>
        <v/>
      </c>
    </row>
    <row r="11" spans="1:542" x14ac:dyDescent="0.2">
      <c r="A11" s="4" t="str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/>
      </c>
      <c r="B11" s="4" t="str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/>
      </c>
      <c r="C11" s="5" t="s">
        <v>125</v>
      </c>
      <c r="D11" s="4" t="s">
        <v>4</v>
      </c>
      <c r="E11" s="4">
        <v>2006</v>
      </c>
      <c r="F11" s="9">
        <f t="shared" si="0"/>
        <v>150.47001504700467</v>
      </c>
      <c r="G11" s="64"/>
      <c r="H11" s="3" t="str">
        <f>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P","")</f>
        <v/>
      </c>
      <c r="I11" s="3" t="str">
        <f>IF(OR(AND(AQ11&gt;=AY$26,AQ11&lt;&gt;"",AN11=""),AND(AT11&gt;=AY$26,AT11&lt;&gt;"",AN11=""),AND(AX11&gt;=AY$26,AX11&lt;&gt;"",AN11=""),AND(BR11&gt;=BZ$26,BR11&lt;&gt;"",BO11=""),AND(BU11&gt;=BZ$26,BU11&lt;&gt;"",BO11=""),AND(BY11&gt;=BZ$26,BY11&lt;&gt;"",BO11=""),AND(CS11&gt;=DA$26,CS11&lt;&gt;"",CP11=""),AND(CV11&gt;=DA$26,CV11&lt;&gt;"",CP11=""),AND(CZ11&gt;=DA$26,CZ11&lt;&gt;"",CP11=""),AND(DZ11&gt;=EK$26,DZ11&lt;&gt;""),AND(EC11&gt;=EK$26,EC11&lt;&gt;""),AND(EG11&gt;=EK$26,EG11&lt;&gt;""),AND(EJ11&gt;=EK$26,EJ11&lt;&gt;""),AND(FH11&gt;=FS$26,FH11&lt;&gt;""),AND(FK11&gt;=FS$26,FK11&lt;&gt;""),AND(FO11&gt;=FS$26,FO11&lt;&gt;""),AND(FR11&gt;=FS$26,FR11&lt;&gt;""),AND(GP11&gt;=HA$26,GP11&lt;&gt;""),AND(GS11&gt;=HA$26,GS11&lt;&gt;""),AND(GW11&gt;=HA$26,GW11&lt;&gt;""),AND(GZ11&gt;=HA$26,GZ11&lt;&gt;""),AND(HX11&gt;=II$26,HX11&lt;&gt;""),AND(IA11&gt;=II$26,IA11&lt;&gt;""),AND(IE11&gt;=II$26,IE11&lt;&gt;""),AND(IH11&gt;=II$26,IH11&lt;&gt;""),AND(JF11&gt;=JQ$26,JF11&lt;&gt;""),AND(JI11&gt;=JQ$26,JI11&lt;&gt;""),AND(JM11&gt;=JQ$26,JM11&lt;&gt;""),AND(JP11&gt;=JQ$26,JP11&lt;&gt;""),AND(KN11&gt;=KY$26,KN11&lt;&gt;""),AND(KQ11&gt;=KY$26,KQ11&lt;&gt;""),AND(KU11&gt;=KY$26,KU11&lt;&gt;""),AND(KX11&gt;=KY$26,KX11&lt;&gt;""),AND(LV11&gt;=MG$26,LV11&lt;&gt;""),AND(LY11&gt;=MG$26,LY11&lt;&gt;""),AND(MC11&gt;=MG$26,MC11&lt;&gt;""),AND(MF11&gt;=MG$26,MF11&lt;&gt;""),AND(ND11&gt;=NO$26,ND11&lt;&gt;""),AND(NG11&gt;=NO$26,NG11&lt;&gt;""),AND(NK11&gt;=NO$26,NK11&lt;&gt;""),AND(NN11&gt;=NO$26,NN11&lt;&gt;""),AND(OL11&gt;=OW$26,OL11&lt;&gt;""),AND(OO11&gt;=OW$26,OO11&lt;&gt;""),AND(OS11&gt;=OW$26,OS11&lt;&gt;""),AND(OV11&gt;=OW$26,OV11&lt;&gt;""),AND(PT11&gt;=QE$26,PT11&lt;&gt;""),AND(PW11&gt;=QE$26,PW11&lt;&gt;""),AND(QA11&gt;=QE$26,QA11&lt;&gt;""),AND(QD11&gt;=QE$26,QD11&lt;&gt;""),AND(RB11&gt;=RM$26,RB11&lt;&gt;""),AND(RE11&gt;=RM$26,RE11&lt;&gt;""),AND(RI11&gt;=RM$26,RI11&lt;&gt;""),AND(RL11&gt;=RM$26,RL11&lt;&gt;""),AND(SJ11&gt;=SU$26,SJ11&lt;&gt;""),AND(SM11&gt;=SU$26,SM11&lt;&gt;""),AND(SQ11&gt;=SU$26,SQ11&lt;&gt;""),AND(ST11&gt;=SU$26,ST11&lt;&gt;"")),"P","")</f>
        <v/>
      </c>
      <c r="J11" s="36" t="str">
        <f>IF(AND(I11="P",H11=""),"No DD",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Merit",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Excellence",IF(K11="P","Worlds Team",IF(H11="P","National Team","")))))</f>
        <v/>
      </c>
      <c r="K11" s="3" t="str">
        <f>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P","")</f>
        <v/>
      </c>
      <c r="L11" s="8">
        <f>IF(COUNT(AQ11,AT11,BR11,BU11,CS11,CV11)&gt;0,LARGE((AQ11,AT11,BR11,BU11,CS11,CV11),1),0)</f>
        <v>46.540000000000006</v>
      </c>
      <c r="M11" s="8" t="str">
        <f t="shared" si="1"/>
        <v>2024 3rd Domestic Trial</v>
      </c>
      <c r="N11" s="8">
        <f>IF(COUNT(AQ11,AT11,BR11,BU11,CS11,CV11)&gt;1,LARGE((AQ11,AT11,BR11,BU11,CS11,CV11),2),0)</f>
        <v>46.379999999999995</v>
      </c>
      <c r="O11" s="8" t="str">
        <f t="shared" si="2"/>
        <v>2024 3rd Domestic Trial</v>
      </c>
      <c r="P11" s="8">
        <f>IF(COUNT(AQ11,AT11,BR11,BU11,CS11,CV11)&gt;2,MAX(AX11,BY11,CZ11,LARGE((AQ11,AT11,BR11,BU11,CS11,CV11),3)),IF(MAX(AX11,BY11,CZ11)&gt;0,MAX(AX11,BY11,CZ11),0))</f>
        <v>46.95</v>
      </c>
      <c r="Q11" s="8" t="str">
        <f t="shared" si="3"/>
        <v>2024 3rd Domestic Trial</v>
      </c>
      <c r="R11" s="8">
        <f t="shared" si="4"/>
        <v>10.6</v>
      </c>
      <c r="S11" s="8" t="str">
        <f t="shared" si="5"/>
        <v>2024 3rd Domestic Trial</v>
      </c>
      <c r="T11" s="8">
        <f>IF(MAX(IF(AO11&gt;=$AY$22,AP11,0),IF(AR11&gt;=$AY$22,AS11,0),IF(AV11&gt;=$AY$22,AW11,0),IF(BP11&gt;=$BZ$22,BQ11,0),IF(BS11&gt;=$BZ$22,BT11,0),IF(BW11&gt;=$BZ$22,BX11,0),IF(CQ11&gt;=$DA$22,CR11,0),IF(CT11&gt;=$DA$22,CU11,0),IF(CX11&gt;=$DA$22,CY11,0),IF(DX11&gt;=$EK$22,DY11,0),IF(EA11&gt;=$EK$22,EB11,0),IF(EE11&gt;=$EK$22,EF11,0),IF(EH11&gt;=$EK$22,EI11,0),IF(FF11&gt;=$FS$22,FG11,0),IF(FI11&gt;=$FS$22,FJ11,0),IF(FM11&gt;=$FS$22,FN11,0),IF(FP11&gt;=$FS$22,FQ11,0),IF(GN11&gt;=$HA$22,GO11,0),IF(GQ11&gt;=$HA$22,GR11,0),IF(GU11&gt;=$HA$22,GV11,0),IF(GX11&gt;=$HA$22,GY11,0),IF(HV11&gt;=$II$22,HW11,0),IF(HY11&gt;=$II$22,HZ11,0),IF(IC11&gt;=$II$22,ID11,0),IF(IF11&gt;=$II$22,IG11,0),IF(JD11&gt;=$JQ$22,JE11,0),IF(JG11&gt;=$JQ$22,JH11,0),IF(JK11&gt;=$JQ$22,JL11,0),IF(JN11&gt;=$JQ$22,JO11,0),IF(KL11&gt;=$KY$22,KM11,0),IF(KO11&gt;=$KY$22,KP11,0),IF(KS11&gt;=$KY$22,KT11,0),IF(KV11&gt;=$KY$22,KW11,0),IF(LT11&gt;=$MG$22,LU11,0),IF(LW11&gt;=$MG$22,LX11,0),IF(MA11&gt;=$MG$22,MB11,0),IF(MD11&gt;=$MG$22,ME11,0),IF(NB11&gt;=$NO$22,NC11,0),IF(NE11&gt;=$NO$22,NF11,0),IF(NI11&gt;=$NO$22,NJ11,0),IF(NL11&gt;=$NO$22,NM11,0),IF(OJ11&gt;=$OW$22,OK11,0),IF(OM11&gt;=$OW$22,ON11,0),IF(OQ11&gt;=$OW$22,OR11,0),IF(OT11&gt;=$OW$22,OU11,0),IF(PR11&gt;=$QE$22,PS11,0),IF(PU11&gt;=$QE$22,PV11,0),IF(PY11&gt;=$QE$22,PZ11,0),IF(QB11&gt;=$QE$22,QC11,0),IF(QZ11&gt;=$RM$22,RA11,0),IF(RC11&gt;=$RM$22,RD11,0),IF(RG11&gt;=$RM$22,RH11,0),IF(RJ11&gt;=$RM$22,RK11,0),IF(SH11&gt;=$SU$22,SI11,0),IF(SK11&gt;=$SU$22,SL11,0),IF(SO11&gt;=$SU$22,SP11,0),IF(SR11&gt;=$SU$22,SS11,0))&gt;0,MAX(IF(AO11&gt;=$AY$22,AP11,0),IF(AR11&gt;=$AY$22,AS11,0),IF(AV11&gt;=$AY$22,AW11,0),IF(BP11&gt;=$BZ$22,BQ11,0),IF(BS11&gt;=$BZ$22,BT11,0),IF(BW11&gt;=$BZ$22,BX11,0),IF(CQ11&gt;=$DA$22,CR11,0),IF(CT11&gt;=$DA$22,CU11,0),IF(CX11&gt;=$DA$22,CY11,0),IF(DX11&gt;=$EK$22,DY11,0),IF(EA11&gt;=$EK$22,EB11,0),IF(EE11&gt;=$EK$22,EF11,0),IF(EH11&gt;=$EK$22,EI11,0),IF(FF11&gt;=$FS$22,FG11,0),IF(FI11&gt;=$FS$22,FJ11,0),IF(FM11&gt;=$FS$22,FN11,0),IF(FP11&gt;=$FS$22,FQ11,0),IF(GN11&gt;=$HA$22,GO11,0),IF(GQ11&gt;=$HA$22,GR11,0),IF(GU11&gt;=$HA$22,GV11,0),IF(GX11&gt;=$HA$22,GY11,0),IF(HV11&gt;=$II$22,HW11,0),IF(HY11&gt;=$II$22,HZ11,0),IF(IC11&gt;=$II$22,ID11,0),IF(IF11&gt;=$II$22,IG11,0),IF(JD11&gt;=$JQ$22,JE11,0),IF(JG11&gt;=$JQ$22,JH11,0),IF(JK11&gt;=$JQ$22,JL11,0),IF(JN11&gt;=$JQ$22,JO11,0),IF(KL11&gt;=$KY$22,KM11,0),IF(KO11&gt;=$KY$22,KP11,0),IF(KS11&gt;=$KY$22,KT11,0),IF(KV11&gt;=$KY$22,KW11,0),IF(LT11&gt;=$MG$22,LU11,0),IF(LW11&gt;=$MG$22,LX11,0),IF(MA11&gt;=$MG$22,MB11,0),IF(MD11&gt;=$MG$22,ME11,0),IF(NB11&gt;=$NO$22,NC11,0),IF(NE11&gt;=$NO$22,NF11,0),IF(NI11&gt;=$NO$22,NJ11,0),IF(NL11&gt;=$NO$22,NM11,0),IF(OJ11&gt;=$OW$22,OK11,0),IF(OM11&gt;=$OW$22,ON11,0),IF(OQ11&gt;=$OW$22,OR11,0),IF(OT11&gt;=$OW$22,OU11,0),IF(PR11&gt;=$QE$22,PS11,0),IF(PU11&gt;=$QE$22,PV11,0),IF(PY11&gt;=$QE$22,PZ11,0),IF(QB11&gt;=$QE$22,QC11,0),IF(QZ11&gt;=$RM$22,RA11,0),IF(RC11&gt;=$RM$22,RD11,0),IF(RG11&gt;=$RM$22,RH11,0),IF(RJ11&gt;=$RM$22,RK11,0),IF(SH11&gt;=$SU$22,SI11,0),IF(SK11&gt;=$SU$22,SL11,0),IF(SO11&gt;=$SU$22,SP11,0),IF(SR11&gt;=$SU$22,SS11,0)),0)</f>
        <v>0</v>
      </c>
      <c r="U11" s="8" t="str">
        <f t="shared" si="6"/>
        <v/>
      </c>
      <c r="V11" s="8" t="str">
        <f t="shared" si="7"/>
        <v/>
      </c>
      <c r="W11" s="11" t="str">
        <f t="shared" si="8"/>
        <v/>
      </c>
      <c r="X11" s="8" t="str">
        <f t="shared" si="9"/>
        <v/>
      </c>
      <c r="Y11" s="22">
        <v>13.6</v>
      </c>
      <c r="Z11" s="22">
        <v>9.4</v>
      </c>
      <c r="AA11" s="22">
        <v>9.3000000000000007</v>
      </c>
      <c r="AB11" s="22">
        <v>14.08</v>
      </c>
      <c r="AC11" s="22">
        <v>0</v>
      </c>
      <c r="AD11" s="22">
        <v>13</v>
      </c>
      <c r="AE11" s="22">
        <v>9.1</v>
      </c>
      <c r="AF11" s="22">
        <v>10.1</v>
      </c>
      <c r="AG11" s="22">
        <v>14.34</v>
      </c>
      <c r="AH11" s="22">
        <v>0</v>
      </c>
      <c r="AI11" s="22">
        <v>12.7</v>
      </c>
      <c r="AJ11" s="22">
        <v>9.1</v>
      </c>
      <c r="AK11" s="22">
        <v>10.6</v>
      </c>
      <c r="AL11" s="22">
        <v>14.55</v>
      </c>
      <c r="AM11" s="22">
        <v>0</v>
      </c>
      <c r="AN11" s="27"/>
      <c r="AO11" s="38">
        <f t="shared" si="10"/>
        <v>9.3000000000000007</v>
      </c>
      <c r="AP11" s="38">
        <f t="shared" si="11"/>
        <v>14.08</v>
      </c>
      <c r="AQ11" s="40">
        <f t="shared" si="12"/>
        <v>46.379999999999995</v>
      </c>
      <c r="AR11" s="40">
        <f t="shared" si="13"/>
        <v>10.1</v>
      </c>
      <c r="AS11" s="40">
        <f t="shared" si="14"/>
        <v>14.34</v>
      </c>
      <c r="AT11" s="40">
        <f t="shared" si="15"/>
        <v>46.540000000000006</v>
      </c>
      <c r="AU11" s="40">
        <f t="shared" si="16"/>
        <v>46.540000000000006</v>
      </c>
      <c r="AV11" s="40">
        <f t="shared" si="17"/>
        <v>10.6</v>
      </c>
      <c r="AW11" s="40">
        <f t="shared" si="18"/>
        <v>14.55</v>
      </c>
      <c r="AX11" s="40">
        <f t="shared" si="19"/>
        <v>46.95</v>
      </c>
      <c r="AY11" s="40">
        <f t="shared" si="20"/>
        <v>93.490000000000009</v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 t="shared" si="21"/>
        <v/>
      </c>
      <c r="BQ11" s="39" t="str">
        <f t="shared" si="22"/>
        <v/>
      </c>
      <c r="BR11" s="11" t="str">
        <f t="shared" si="23"/>
        <v/>
      </c>
      <c r="BS11" s="11" t="str">
        <f t="shared" si="24"/>
        <v/>
      </c>
      <c r="BT11" s="11" t="str">
        <f t="shared" si="25"/>
        <v/>
      </c>
      <c r="BU11" s="11" t="str">
        <f t="shared" si="26"/>
        <v/>
      </c>
      <c r="BV11" s="11" t="str">
        <f t="shared" si="27"/>
        <v/>
      </c>
      <c r="BW11" s="11" t="str">
        <f t="shared" si="28"/>
        <v/>
      </c>
      <c r="BX11" s="11" t="str">
        <f t="shared" si="29"/>
        <v/>
      </c>
      <c r="BY11" s="11" t="str">
        <f t="shared" si="30"/>
        <v/>
      </c>
      <c r="BZ11" s="11" t="str">
        <f t="shared" si="31"/>
        <v/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 t="shared" si="32"/>
        <v/>
      </c>
      <c r="CR11" s="38" t="str">
        <f t="shared" si="33"/>
        <v/>
      </c>
      <c r="CS11" s="40" t="str">
        <f t="shared" si="34"/>
        <v/>
      </c>
      <c r="CT11" s="40" t="str">
        <f t="shared" si="35"/>
        <v/>
      </c>
      <c r="CU11" s="40" t="str">
        <f t="shared" si="36"/>
        <v/>
      </c>
      <c r="CV11" s="40" t="str">
        <f t="shared" si="37"/>
        <v/>
      </c>
      <c r="CW11" s="40" t="str">
        <f t="shared" si="38"/>
        <v/>
      </c>
      <c r="CX11" s="40" t="str">
        <f t="shared" si="39"/>
        <v/>
      </c>
      <c r="CY11" s="40" t="str">
        <f t="shared" si="40"/>
        <v/>
      </c>
      <c r="CZ11" s="40" t="str">
        <f t="shared" si="41"/>
        <v/>
      </c>
      <c r="DA11" s="40" t="str">
        <f t="shared" si="42"/>
        <v/>
      </c>
      <c r="DB11" s="50" t="str">
        <f t="shared" si="43"/>
        <v/>
      </c>
      <c r="DC11" s="50" t="str">
        <f t="shared" si="44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45"/>
        <v/>
      </c>
      <c r="DY11" s="40" t="str">
        <f t="shared" si="46"/>
        <v/>
      </c>
      <c r="DZ11" s="40" t="str">
        <f t="shared" si="47"/>
        <v/>
      </c>
      <c r="EA11" s="40" t="str">
        <f t="shared" si="48"/>
        <v/>
      </c>
      <c r="EB11" s="40" t="str">
        <f t="shared" si="49"/>
        <v/>
      </c>
      <c r="EC11" s="40" t="str">
        <f t="shared" si="50"/>
        <v/>
      </c>
      <c r="ED11" s="40" t="str">
        <f t="shared" si="51"/>
        <v/>
      </c>
      <c r="EE11" s="40" t="str">
        <f t="shared" si="52"/>
        <v/>
      </c>
      <c r="EF11" s="40" t="str">
        <f t="shared" si="53"/>
        <v/>
      </c>
      <c r="EG11" s="40" t="str">
        <f t="shared" si="54"/>
        <v/>
      </c>
      <c r="EH11" s="40" t="str">
        <f t="shared" si="55"/>
        <v/>
      </c>
      <c r="EI11" s="40" t="str">
        <f t="shared" si="56"/>
        <v/>
      </c>
      <c r="EJ11" s="40" t="str">
        <f t="shared" si="57"/>
        <v/>
      </c>
      <c r="EK11" s="40" t="str">
        <f t="shared" si="58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59"/>
        <v/>
      </c>
      <c r="FG11" s="11" t="str">
        <f t="shared" si="60"/>
        <v/>
      </c>
      <c r="FH11" s="11" t="str">
        <f t="shared" si="61"/>
        <v/>
      </c>
      <c r="FI11" s="11" t="str">
        <f t="shared" si="62"/>
        <v/>
      </c>
      <c r="FJ11" s="11" t="str">
        <f t="shared" si="63"/>
        <v/>
      </c>
      <c r="FK11" s="11" t="str">
        <f t="shared" si="64"/>
        <v/>
      </c>
      <c r="FL11" s="11" t="str">
        <f t="shared" si="65"/>
        <v/>
      </c>
      <c r="FM11" s="11" t="str">
        <f t="shared" si="66"/>
        <v/>
      </c>
      <c r="FN11" s="11" t="str">
        <f t="shared" si="67"/>
        <v/>
      </c>
      <c r="FO11" s="11" t="str">
        <f t="shared" si="68"/>
        <v/>
      </c>
      <c r="FP11" s="11" t="str">
        <f t="shared" si="69"/>
        <v/>
      </c>
      <c r="FQ11" s="11" t="str">
        <f t="shared" si="70"/>
        <v/>
      </c>
      <c r="FR11" s="11" t="str">
        <f t="shared" si="71"/>
        <v/>
      </c>
      <c r="FS11" s="11" t="str">
        <f t="shared" si="72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3"/>
        <v/>
      </c>
      <c r="GO11" s="40" t="str">
        <f t="shared" si="74"/>
        <v/>
      </c>
      <c r="GP11" s="40" t="str">
        <f t="shared" si="75"/>
        <v/>
      </c>
      <c r="GQ11" s="40" t="str">
        <f t="shared" si="76"/>
        <v/>
      </c>
      <c r="GR11" s="40" t="str">
        <f t="shared" si="77"/>
        <v/>
      </c>
      <c r="GS11" s="40" t="str">
        <f t="shared" si="78"/>
        <v/>
      </c>
      <c r="GT11" s="40" t="str">
        <f t="shared" si="79"/>
        <v/>
      </c>
      <c r="GU11" s="40" t="str">
        <f t="shared" si="80"/>
        <v/>
      </c>
      <c r="GV11" s="40" t="str">
        <f t="shared" si="81"/>
        <v/>
      </c>
      <c r="GW11" s="40" t="str">
        <f t="shared" si="82"/>
        <v/>
      </c>
      <c r="GX11" s="40" t="str">
        <f t="shared" si="83"/>
        <v/>
      </c>
      <c r="GY11" s="40" t="str">
        <f t="shared" si="84"/>
        <v/>
      </c>
      <c r="GZ11" s="40" t="str">
        <f t="shared" si="85"/>
        <v/>
      </c>
      <c r="HA11" s="40" t="str">
        <f t="shared" si="86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87"/>
        <v/>
      </c>
      <c r="HW11" s="11" t="str">
        <f t="shared" si="88"/>
        <v/>
      </c>
      <c r="HX11" s="11" t="str">
        <f t="shared" si="89"/>
        <v/>
      </c>
      <c r="HY11" s="11" t="str">
        <f t="shared" si="90"/>
        <v/>
      </c>
      <c r="HZ11" s="11" t="str">
        <f t="shared" si="91"/>
        <v/>
      </c>
      <c r="IA11" s="11" t="str">
        <f t="shared" si="92"/>
        <v/>
      </c>
      <c r="IB11" s="11" t="str">
        <f t="shared" si="93"/>
        <v/>
      </c>
      <c r="IC11" s="11" t="str">
        <f t="shared" si="94"/>
        <v/>
      </c>
      <c r="ID11" s="11" t="str">
        <f t="shared" si="95"/>
        <v/>
      </c>
      <c r="IE11" s="11" t="str">
        <f t="shared" si="96"/>
        <v/>
      </c>
      <c r="IF11" s="11" t="str">
        <f t="shared" si="97"/>
        <v/>
      </c>
      <c r="IG11" s="11" t="str">
        <f t="shared" si="98"/>
        <v/>
      </c>
      <c r="IH11" s="11" t="str">
        <f t="shared" si="99"/>
        <v/>
      </c>
      <c r="II11" s="11" t="str">
        <f t="shared" si="100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1"/>
        <v/>
      </c>
      <c r="JE11" s="40" t="str">
        <f t="shared" si="102"/>
        <v/>
      </c>
      <c r="JF11" s="40" t="str">
        <f t="shared" si="103"/>
        <v/>
      </c>
      <c r="JG11" s="40" t="str">
        <f t="shared" si="104"/>
        <v/>
      </c>
      <c r="JH11" s="40" t="str">
        <f t="shared" si="105"/>
        <v/>
      </c>
      <c r="JI11" s="40" t="str">
        <f t="shared" si="106"/>
        <v/>
      </c>
      <c r="JJ11" s="40" t="str">
        <f t="shared" si="107"/>
        <v/>
      </c>
      <c r="JK11" s="40" t="str">
        <f t="shared" si="108"/>
        <v/>
      </c>
      <c r="JL11" s="40" t="str">
        <f t="shared" si="109"/>
        <v/>
      </c>
      <c r="JM11" s="40" t="str">
        <f t="shared" si="110"/>
        <v/>
      </c>
      <c r="JN11" s="40" t="str">
        <f t="shared" si="111"/>
        <v/>
      </c>
      <c r="JO11" s="40" t="str">
        <f t="shared" si="112"/>
        <v/>
      </c>
      <c r="JP11" s="40" t="str">
        <f t="shared" si="113"/>
        <v/>
      </c>
      <c r="JQ11" s="40" t="str">
        <f t="shared" si="114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15"/>
        <v/>
      </c>
      <c r="KM11" s="11" t="str">
        <f t="shared" si="116"/>
        <v/>
      </c>
      <c r="KN11" s="11" t="str">
        <f t="shared" si="117"/>
        <v/>
      </c>
      <c r="KO11" s="11" t="str">
        <f t="shared" si="118"/>
        <v/>
      </c>
      <c r="KP11" s="11" t="str">
        <f t="shared" si="119"/>
        <v/>
      </c>
      <c r="KQ11" s="11" t="str">
        <f t="shared" si="120"/>
        <v/>
      </c>
      <c r="KR11" s="11" t="str">
        <f t="shared" si="121"/>
        <v/>
      </c>
      <c r="KS11" s="11" t="str">
        <f t="shared" si="122"/>
        <v/>
      </c>
      <c r="KT11" s="11" t="str">
        <f t="shared" si="123"/>
        <v/>
      </c>
      <c r="KU11" s="11" t="str">
        <f t="shared" si="124"/>
        <v/>
      </c>
      <c r="KV11" s="11" t="str">
        <f t="shared" si="125"/>
        <v/>
      </c>
      <c r="KW11" s="11" t="str">
        <f t="shared" si="126"/>
        <v/>
      </c>
      <c r="KX11" s="11" t="str">
        <f t="shared" si="127"/>
        <v/>
      </c>
      <c r="KY11" s="11" t="str">
        <f t="shared" si="128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29"/>
        <v/>
      </c>
      <c r="LU11" s="40" t="str">
        <f t="shared" si="130"/>
        <v/>
      </c>
      <c r="LV11" s="40" t="str">
        <f t="shared" si="131"/>
        <v/>
      </c>
      <c r="LW11" s="40" t="str">
        <f t="shared" si="132"/>
        <v/>
      </c>
      <c r="LX11" s="40" t="str">
        <f t="shared" si="133"/>
        <v/>
      </c>
      <c r="LY11" s="40" t="str">
        <f t="shared" si="134"/>
        <v/>
      </c>
      <c r="LZ11" s="40" t="str">
        <f t="shared" si="135"/>
        <v/>
      </c>
      <c r="MA11" s="40" t="str">
        <f t="shared" si="136"/>
        <v/>
      </c>
      <c r="MB11" s="40" t="str">
        <f t="shared" si="137"/>
        <v/>
      </c>
      <c r="MC11" s="40" t="str">
        <f t="shared" si="138"/>
        <v/>
      </c>
      <c r="MD11" s="40" t="str">
        <f t="shared" si="139"/>
        <v/>
      </c>
      <c r="ME11" s="40" t="str">
        <f t="shared" si="140"/>
        <v/>
      </c>
      <c r="MF11" s="40" t="str">
        <f t="shared" si="141"/>
        <v/>
      </c>
      <c r="MG11" s="40" t="str">
        <f t="shared" si="142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3"/>
        <v/>
      </c>
      <c r="NC11" s="11" t="str">
        <f t="shared" si="144"/>
        <v/>
      </c>
      <c r="ND11" s="11" t="str">
        <f t="shared" si="145"/>
        <v/>
      </c>
      <c r="NE11" s="11" t="str">
        <f t="shared" si="146"/>
        <v/>
      </c>
      <c r="NF11" s="11" t="str">
        <f t="shared" si="147"/>
        <v/>
      </c>
      <c r="NG11" s="11" t="str">
        <f t="shared" si="148"/>
        <v/>
      </c>
      <c r="NH11" s="11" t="str">
        <f t="shared" si="149"/>
        <v/>
      </c>
      <c r="NI11" s="11" t="str">
        <f t="shared" si="150"/>
        <v/>
      </c>
      <c r="NJ11" s="11" t="str">
        <f t="shared" si="151"/>
        <v/>
      </c>
      <c r="NK11" s="11" t="str">
        <f t="shared" si="152"/>
        <v/>
      </c>
      <c r="NL11" s="11" t="str">
        <f t="shared" si="153"/>
        <v/>
      </c>
      <c r="NM11" s="11" t="str">
        <f t="shared" si="154"/>
        <v/>
      </c>
      <c r="NN11" s="11" t="str">
        <f t="shared" si="155"/>
        <v/>
      </c>
      <c r="NO11" s="11" t="str">
        <f t="shared" si="156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57"/>
        <v/>
      </c>
      <c r="OK11" s="40" t="str">
        <f t="shared" si="158"/>
        <v/>
      </c>
      <c r="OL11" s="40" t="str">
        <f t="shared" si="159"/>
        <v/>
      </c>
      <c r="OM11" s="40" t="str">
        <f t="shared" si="160"/>
        <v/>
      </c>
      <c r="ON11" s="40" t="str">
        <f t="shared" si="161"/>
        <v/>
      </c>
      <c r="OO11" s="40" t="str">
        <f t="shared" si="162"/>
        <v/>
      </c>
      <c r="OP11" s="40" t="str">
        <f t="shared" si="163"/>
        <v/>
      </c>
      <c r="OQ11" s="40" t="str">
        <f t="shared" si="164"/>
        <v/>
      </c>
      <c r="OR11" s="40" t="str">
        <f t="shared" si="165"/>
        <v/>
      </c>
      <c r="OS11" s="40" t="str">
        <f t="shared" si="166"/>
        <v/>
      </c>
      <c r="OT11" s="40" t="str">
        <f t="shared" si="167"/>
        <v/>
      </c>
      <c r="OU11" s="40" t="str">
        <f t="shared" si="168"/>
        <v/>
      </c>
      <c r="OV11" s="40" t="str">
        <f t="shared" si="169"/>
        <v/>
      </c>
      <c r="OW11" s="40" t="str">
        <f t="shared" si="170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1"/>
        <v/>
      </c>
      <c r="PS11" s="11" t="str">
        <f t="shared" si="172"/>
        <v/>
      </c>
      <c r="PT11" s="11" t="str">
        <f t="shared" si="173"/>
        <v/>
      </c>
      <c r="PU11" s="11" t="str">
        <f t="shared" si="174"/>
        <v/>
      </c>
      <c r="PV11" s="11" t="str">
        <f t="shared" si="175"/>
        <v/>
      </c>
      <c r="PW11" s="11" t="str">
        <f t="shared" si="176"/>
        <v/>
      </c>
      <c r="PX11" s="11" t="str">
        <f t="shared" si="177"/>
        <v/>
      </c>
      <c r="PY11" s="11" t="str">
        <f t="shared" si="178"/>
        <v/>
      </c>
      <c r="PZ11" s="11" t="str">
        <f t="shared" si="179"/>
        <v/>
      </c>
      <c r="QA11" s="11" t="str">
        <f t="shared" si="180"/>
        <v/>
      </c>
      <c r="QB11" s="11" t="str">
        <f t="shared" si="181"/>
        <v/>
      </c>
      <c r="QC11" s="11" t="str">
        <f t="shared" si="182"/>
        <v/>
      </c>
      <c r="QD11" s="11" t="str">
        <f t="shared" si="183"/>
        <v/>
      </c>
      <c r="QE11" s="11" t="str">
        <f t="shared" si="184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85"/>
        <v/>
      </c>
      <c r="RA11" s="40" t="str">
        <f t="shared" si="186"/>
        <v/>
      </c>
      <c r="RB11" s="40" t="str">
        <f t="shared" si="187"/>
        <v/>
      </c>
      <c r="RC11" s="40" t="str">
        <f t="shared" si="188"/>
        <v/>
      </c>
      <c r="RD11" s="40" t="str">
        <f t="shared" si="189"/>
        <v/>
      </c>
      <c r="RE11" s="40" t="str">
        <f t="shared" si="190"/>
        <v/>
      </c>
      <c r="RF11" s="40" t="str">
        <f t="shared" si="191"/>
        <v/>
      </c>
      <c r="RG11" s="40" t="str">
        <f t="shared" si="192"/>
        <v/>
      </c>
      <c r="RH11" s="40" t="str">
        <f t="shared" si="193"/>
        <v/>
      </c>
      <c r="RI11" s="40" t="str">
        <f t="shared" si="194"/>
        <v/>
      </c>
      <c r="RJ11" s="40" t="str">
        <f t="shared" si="195"/>
        <v/>
      </c>
      <c r="RK11" s="40" t="str">
        <f t="shared" si="196"/>
        <v/>
      </c>
      <c r="RL11" s="40" t="str">
        <f t="shared" si="197"/>
        <v/>
      </c>
      <c r="RM11" s="40" t="str">
        <f t="shared" si="198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199"/>
        <v/>
      </c>
      <c r="SI11" s="11" t="str">
        <f t="shared" si="200"/>
        <v/>
      </c>
      <c r="SJ11" s="11" t="str">
        <f t="shared" si="201"/>
        <v/>
      </c>
      <c r="SK11" s="11" t="str">
        <f t="shared" si="202"/>
        <v/>
      </c>
      <c r="SL11" s="11" t="str">
        <f t="shared" si="203"/>
        <v/>
      </c>
      <c r="SM11" s="11" t="str">
        <f t="shared" si="204"/>
        <v/>
      </c>
      <c r="SN11" s="11" t="str">
        <f t="shared" si="205"/>
        <v/>
      </c>
      <c r="SO11" s="11" t="str">
        <f t="shared" si="206"/>
        <v/>
      </c>
      <c r="SP11" s="11" t="str">
        <f t="shared" si="207"/>
        <v/>
      </c>
      <c r="SQ11" s="11" t="str">
        <f t="shared" si="208"/>
        <v/>
      </c>
      <c r="SR11" s="11" t="str">
        <f t="shared" si="209"/>
        <v/>
      </c>
      <c r="SS11" s="11" t="str">
        <f t="shared" si="210"/>
        <v/>
      </c>
      <c r="ST11" s="11" t="str">
        <f t="shared" si="211"/>
        <v/>
      </c>
      <c r="SU11" s="11" t="str">
        <f t="shared" si="212"/>
        <v/>
      </c>
      <c r="SV11" s="22">
        <f t="shared" si="213"/>
        <v>0</v>
      </c>
      <c r="SW11" s="22">
        <f t="shared" si="214"/>
        <v>0</v>
      </c>
      <c r="SX11" s="22">
        <f t="shared" si="215"/>
        <v>0</v>
      </c>
      <c r="SY11" s="22">
        <f t="shared" si="216"/>
        <v>0</v>
      </c>
      <c r="SZ11" s="22">
        <f t="shared" si="217"/>
        <v>0</v>
      </c>
      <c r="TA11" s="22">
        <f t="shared" si="218"/>
        <v>0</v>
      </c>
      <c r="TB11" s="22">
        <f t="shared" si="219"/>
        <v>0</v>
      </c>
      <c r="TC11" s="22">
        <f t="shared" si="220"/>
        <v>0</v>
      </c>
      <c r="TD11" s="22">
        <f t="shared" si="221"/>
        <v>0</v>
      </c>
      <c r="TE11" s="22">
        <f t="shared" si="222"/>
        <v>0</v>
      </c>
      <c r="TF11" s="22">
        <f t="shared" si="223"/>
        <v>0</v>
      </c>
      <c r="TG11" s="22">
        <f t="shared" si="224"/>
        <v>0</v>
      </c>
      <c r="TH11" s="22">
        <f t="shared" si="225"/>
        <v>0</v>
      </c>
      <c r="TI11" s="22">
        <f t="shared" si="226"/>
        <v>0</v>
      </c>
      <c r="TJ11" s="22">
        <f t="shared" si="227"/>
        <v>0</v>
      </c>
      <c r="TK11" s="27" t="s">
        <v>46</v>
      </c>
      <c r="TL11" s="40" t="str">
        <f t="shared" si="228"/>
        <v/>
      </c>
      <c r="TM11" s="40" t="str">
        <f t="shared" si="229"/>
        <v/>
      </c>
      <c r="TN11" s="40" t="str">
        <f t="shared" si="230"/>
        <v/>
      </c>
      <c r="TO11" s="40" t="str">
        <f t="shared" si="231"/>
        <v/>
      </c>
      <c r="TP11" s="40" t="str">
        <f t="shared" si="232"/>
        <v/>
      </c>
      <c r="TQ11" s="40" t="str">
        <f t="shared" si="233"/>
        <v/>
      </c>
      <c r="TR11" s="40" t="str">
        <f t="shared" si="234"/>
        <v/>
      </c>
      <c r="TS11" s="40" t="str">
        <f t="shared" si="235"/>
        <v/>
      </c>
      <c r="TT11" s="40" t="str">
        <f t="shared" si="236"/>
        <v/>
      </c>
      <c r="TU11" s="40" t="str">
        <f t="shared" si="237"/>
        <v/>
      </c>
      <c r="TV11" s="40" t="str">
        <f t="shared" si="238"/>
        <v/>
      </c>
    </row>
    <row r="12" spans="1:542" x14ac:dyDescent="0.2">
      <c r="A12" s="4" t="str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/>
      </c>
      <c r="B12" s="4" t="str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/>
      </c>
      <c r="C12" s="5" t="s">
        <v>143</v>
      </c>
      <c r="D12" s="4" t="s">
        <v>6</v>
      </c>
      <c r="E12" s="4">
        <v>2007</v>
      </c>
      <c r="F12" s="9">
        <f t="shared" si="0"/>
        <v>145.16001287000464</v>
      </c>
      <c r="G12" s="64"/>
      <c r="H12" s="3" t="str">
        <f>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P","")</f>
        <v/>
      </c>
      <c r="I12" s="3" t="str">
        <f>IF(OR(AND(AQ12&gt;=AY$26,AQ12&lt;&gt;"",AN12=""),AND(AT12&gt;=AY$26,AT12&lt;&gt;"",AN12=""),AND(AX12&gt;=AY$26,AX12&lt;&gt;"",AN12=""),AND(BR12&gt;=BZ$26,BR12&lt;&gt;"",BO12=""),AND(BU12&gt;=BZ$26,BU12&lt;&gt;"",BO12=""),AND(BY12&gt;=BZ$26,BY12&lt;&gt;"",BO12=""),AND(CS12&gt;=DA$26,CS12&lt;&gt;"",CP12=""),AND(CV12&gt;=DA$26,CV12&lt;&gt;"",CP12=""),AND(CZ12&gt;=DA$26,CZ12&lt;&gt;"",CP12=""),AND(DZ12&gt;=EK$26,DZ12&lt;&gt;""),AND(EC12&gt;=EK$26,EC12&lt;&gt;""),AND(EG12&gt;=EK$26,EG12&lt;&gt;""),AND(EJ12&gt;=EK$26,EJ12&lt;&gt;""),AND(FH12&gt;=FS$26,FH12&lt;&gt;""),AND(FK12&gt;=FS$26,FK12&lt;&gt;""),AND(FO12&gt;=FS$26,FO12&lt;&gt;""),AND(FR12&gt;=FS$26,FR12&lt;&gt;""),AND(GP12&gt;=HA$26,GP12&lt;&gt;""),AND(GS12&gt;=HA$26,GS12&lt;&gt;""),AND(GW12&gt;=HA$26,GW12&lt;&gt;""),AND(GZ12&gt;=HA$26,GZ12&lt;&gt;""),AND(HX12&gt;=II$26,HX12&lt;&gt;""),AND(IA12&gt;=II$26,IA12&lt;&gt;""),AND(IE12&gt;=II$26,IE12&lt;&gt;""),AND(IH12&gt;=II$26,IH12&lt;&gt;""),AND(JF12&gt;=JQ$26,JF12&lt;&gt;""),AND(JI12&gt;=JQ$26,JI12&lt;&gt;""),AND(JM12&gt;=JQ$26,JM12&lt;&gt;""),AND(JP12&gt;=JQ$26,JP12&lt;&gt;""),AND(KN12&gt;=KY$26,KN12&lt;&gt;""),AND(KQ12&gt;=KY$26,KQ12&lt;&gt;""),AND(KU12&gt;=KY$26,KU12&lt;&gt;""),AND(KX12&gt;=KY$26,KX12&lt;&gt;""),AND(LV12&gt;=MG$26,LV12&lt;&gt;""),AND(LY12&gt;=MG$26,LY12&lt;&gt;""),AND(MC12&gt;=MG$26,MC12&lt;&gt;""),AND(MF12&gt;=MG$26,MF12&lt;&gt;""),AND(ND12&gt;=NO$26,ND12&lt;&gt;""),AND(NG12&gt;=NO$26,NG12&lt;&gt;""),AND(NK12&gt;=NO$26,NK12&lt;&gt;""),AND(NN12&gt;=NO$26,NN12&lt;&gt;""),AND(OL12&gt;=OW$26,OL12&lt;&gt;""),AND(OO12&gt;=OW$26,OO12&lt;&gt;""),AND(OS12&gt;=OW$26,OS12&lt;&gt;""),AND(OV12&gt;=OW$26,OV12&lt;&gt;""),AND(PT12&gt;=QE$26,PT12&lt;&gt;""),AND(PW12&gt;=QE$26,PW12&lt;&gt;""),AND(QA12&gt;=QE$26,QA12&lt;&gt;""),AND(QD12&gt;=QE$26,QD12&lt;&gt;""),AND(RB12&gt;=RM$26,RB12&lt;&gt;""),AND(RE12&gt;=RM$26,RE12&lt;&gt;""),AND(RI12&gt;=RM$26,RI12&lt;&gt;""),AND(RL12&gt;=RM$26,RL12&lt;&gt;""),AND(SJ12&gt;=SU$26,SJ12&lt;&gt;""),AND(SM12&gt;=SU$26,SM12&lt;&gt;""),AND(SQ12&gt;=SU$26,SQ12&lt;&gt;""),AND(ST12&gt;=SU$26,ST12&lt;&gt;"")),"P","")</f>
        <v/>
      </c>
      <c r="J12" s="36" t="str">
        <f>IF(AND(I12="P",H12=""),"No DD",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Merit",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Excellence",IF(K12="P","Worlds Team",IF(H12="P","National Team","")))))</f>
        <v/>
      </c>
      <c r="K12" s="3" t="str">
        <f>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P","")</f>
        <v/>
      </c>
      <c r="L12" s="8">
        <f>IF(COUNT(AQ12,AT12,BR12,BU12,CS12,CV12)&gt;0,LARGE((AQ12,AT12,BR12,BU12,CS12,CV12),1),0)</f>
        <v>46.58</v>
      </c>
      <c r="M12" s="8" t="str">
        <f t="shared" si="1"/>
        <v>2024 3rd Domestic Trial</v>
      </c>
      <c r="N12" s="8">
        <f>IF(COUNT(AQ12,AT12,BR12,BU12,CS12,CV12)&gt;1,LARGE((AQ12,AT12,BR12,BU12,CS12,CV12),2),0)</f>
        <v>43.17</v>
      </c>
      <c r="O12" s="8" t="str">
        <f t="shared" si="2"/>
        <v>2024 3rd Domestic Trial</v>
      </c>
      <c r="P12" s="8">
        <f>IF(COUNT(AQ12,AT12,BR12,BU12,CS12,CV12)&gt;2,MAX(AX12,BY12,CZ12,LARGE((AQ12,AT12,BR12,BU12,CS12,CV12),3)),IF(MAX(AX12,BY12,CZ12)&gt;0,MAX(AX12,BY12,CZ12),0))</f>
        <v>29.25</v>
      </c>
      <c r="Q12" s="8" t="str">
        <f t="shared" si="3"/>
        <v>2024 3rd Domestic Trial</v>
      </c>
      <c r="R12" s="8">
        <f t="shared" si="4"/>
        <v>9.6999999999999993</v>
      </c>
      <c r="S12" s="8" t="str">
        <f t="shared" si="5"/>
        <v>2024 Coimbra Gym Fest (July 7)</v>
      </c>
      <c r="T12" s="8">
        <f>IF(MAX(IF(AO12&gt;=$AY$22,AP12,0),IF(AR12&gt;=$AY$22,AS12,0),IF(AV12&gt;=$AY$22,AW12,0),IF(BP12&gt;=$BZ$22,BQ12,0),IF(BS12&gt;=$BZ$22,BT12,0),IF(BW12&gt;=$BZ$22,BX12,0),IF(CQ12&gt;=$DA$22,CR12,0),IF(CT12&gt;=$DA$22,CU12,0),IF(CX12&gt;=$DA$22,CY12,0),IF(DX12&gt;=$EK$22,DY12,0),IF(EA12&gt;=$EK$22,EB12,0),IF(EE12&gt;=$EK$22,EF12,0),IF(EH12&gt;=$EK$22,EI12,0),IF(FF12&gt;=$FS$22,FG12,0),IF(FI12&gt;=$FS$22,FJ12,0),IF(FM12&gt;=$FS$22,FN12,0),IF(FP12&gt;=$FS$22,FQ12,0),IF(GN12&gt;=$HA$22,GO12,0),IF(GQ12&gt;=$HA$22,GR12,0),IF(GU12&gt;=$HA$22,GV12,0),IF(GX12&gt;=$HA$22,GY12,0),IF(HV12&gt;=$II$22,HW12,0),IF(HY12&gt;=$II$22,HZ12,0),IF(IC12&gt;=$II$22,ID12,0),IF(IF12&gt;=$II$22,IG12,0),IF(JD12&gt;=$JQ$22,JE12,0),IF(JG12&gt;=$JQ$22,JH12,0),IF(JK12&gt;=$JQ$22,JL12,0),IF(JN12&gt;=$JQ$22,JO12,0),IF(KL12&gt;=$KY$22,KM12,0),IF(KO12&gt;=$KY$22,KP12,0),IF(KS12&gt;=$KY$22,KT12,0),IF(KV12&gt;=$KY$22,KW12,0),IF(LT12&gt;=$MG$22,LU12,0),IF(LW12&gt;=$MG$22,LX12,0),IF(MA12&gt;=$MG$22,MB12,0),IF(MD12&gt;=$MG$22,ME12,0),IF(NB12&gt;=$NO$22,NC12,0),IF(NE12&gt;=$NO$22,NF12,0),IF(NI12&gt;=$NO$22,NJ12,0),IF(NL12&gt;=$NO$22,NM12,0),IF(OJ12&gt;=$OW$22,OK12,0),IF(OM12&gt;=$OW$22,ON12,0),IF(OQ12&gt;=$OW$22,OR12,0),IF(OT12&gt;=$OW$22,OU12,0),IF(PR12&gt;=$QE$22,PS12,0),IF(PU12&gt;=$QE$22,PV12,0),IF(PY12&gt;=$QE$22,PZ12,0),IF(QB12&gt;=$QE$22,QC12,0),IF(QZ12&gt;=$RM$22,RA12,0),IF(RC12&gt;=$RM$22,RD12,0),IF(RG12&gt;=$RM$22,RH12,0),IF(RJ12&gt;=$RM$22,RK12,0),IF(SH12&gt;=$SU$22,SI12,0),IF(SK12&gt;=$SU$22,SL12,0),IF(SO12&gt;=$SU$22,SP12,0),IF(SR12&gt;=$SU$22,SS12,0))&gt;0,MAX(IF(AO12&gt;=$AY$22,AP12,0),IF(AR12&gt;=$AY$22,AS12,0),IF(AV12&gt;=$AY$22,AW12,0),IF(BP12&gt;=$BZ$22,BQ12,0),IF(BS12&gt;=$BZ$22,BT12,0),IF(BW12&gt;=$BZ$22,BX12,0),IF(CQ12&gt;=$DA$22,CR12,0),IF(CT12&gt;=$DA$22,CU12,0),IF(CX12&gt;=$DA$22,CY12,0),IF(DX12&gt;=$EK$22,DY12,0),IF(EA12&gt;=$EK$22,EB12,0),IF(EE12&gt;=$EK$22,EF12,0),IF(EH12&gt;=$EK$22,EI12,0),IF(FF12&gt;=$FS$22,FG12,0),IF(FI12&gt;=$FS$22,FJ12,0),IF(FM12&gt;=$FS$22,FN12,0),IF(FP12&gt;=$FS$22,FQ12,0),IF(GN12&gt;=$HA$22,GO12,0),IF(GQ12&gt;=$HA$22,GR12,0),IF(GU12&gt;=$HA$22,GV12,0),IF(GX12&gt;=$HA$22,GY12,0),IF(HV12&gt;=$II$22,HW12,0),IF(HY12&gt;=$II$22,HZ12,0),IF(IC12&gt;=$II$22,ID12,0),IF(IF12&gt;=$II$22,IG12,0),IF(JD12&gt;=$JQ$22,JE12,0),IF(JG12&gt;=$JQ$22,JH12,0),IF(JK12&gt;=$JQ$22,JL12,0),IF(JN12&gt;=$JQ$22,JO12,0),IF(KL12&gt;=$KY$22,KM12,0),IF(KO12&gt;=$KY$22,KP12,0),IF(KS12&gt;=$KY$22,KT12,0),IF(KV12&gt;=$KY$22,KW12,0),IF(LT12&gt;=$MG$22,LU12,0),IF(LW12&gt;=$MG$22,LX12,0),IF(MA12&gt;=$MG$22,MB12,0),IF(MD12&gt;=$MG$22,ME12,0),IF(NB12&gt;=$NO$22,NC12,0),IF(NE12&gt;=$NO$22,NF12,0),IF(NI12&gt;=$NO$22,NJ12,0),IF(NL12&gt;=$NO$22,NM12,0),IF(OJ12&gt;=$OW$22,OK12,0),IF(OM12&gt;=$OW$22,ON12,0),IF(OQ12&gt;=$OW$22,OR12,0),IF(OT12&gt;=$OW$22,OU12,0),IF(PR12&gt;=$QE$22,PS12,0),IF(PU12&gt;=$QE$22,PV12,0),IF(PY12&gt;=$QE$22,PZ12,0),IF(QB12&gt;=$QE$22,QC12,0),IF(QZ12&gt;=$RM$22,RA12,0),IF(RC12&gt;=$RM$22,RD12,0),IF(RG12&gt;=$RM$22,RH12,0),IF(RJ12&gt;=$RM$22,RK12,0),IF(SH12&gt;=$SU$22,SI12,0),IF(SK12&gt;=$SU$22,SL12,0),IF(SO12&gt;=$SU$22,SP12,0),IF(SR12&gt;=$SU$22,SS12,0)),0)</f>
        <v>0</v>
      </c>
      <c r="U12" s="8" t="str">
        <f t="shared" si="6"/>
        <v/>
      </c>
      <c r="V12" s="8">
        <f t="shared" si="7"/>
        <v>16.459999999999994</v>
      </c>
      <c r="W12" s="11" t="str">
        <f t="shared" si="8"/>
        <v>(Optional)</v>
      </c>
      <c r="X12" s="8" t="str">
        <f t="shared" si="9"/>
        <v>2024 Coimbra Gym Fest (July 7)</v>
      </c>
      <c r="Y12" s="22">
        <v>12.8</v>
      </c>
      <c r="Z12" s="22">
        <v>8.6999999999999993</v>
      </c>
      <c r="AA12" s="22">
        <v>9.1999999999999993</v>
      </c>
      <c r="AB12" s="22">
        <v>12.47</v>
      </c>
      <c r="AC12" s="22">
        <v>0</v>
      </c>
      <c r="AD12" s="22">
        <v>14.1</v>
      </c>
      <c r="AE12" s="22">
        <v>9</v>
      </c>
      <c r="AF12" s="22">
        <v>9.4</v>
      </c>
      <c r="AG12" s="22">
        <v>14.08</v>
      </c>
      <c r="AH12" s="22">
        <v>0</v>
      </c>
      <c r="AI12" s="22">
        <v>8.1999999999999993</v>
      </c>
      <c r="AJ12" s="22">
        <v>5.6</v>
      </c>
      <c r="AK12" s="22">
        <v>6.7</v>
      </c>
      <c r="AL12" s="22">
        <v>8.75</v>
      </c>
      <c r="AM12" s="22">
        <v>0</v>
      </c>
      <c r="AN12" s="27"/>
      <c r="AO12" s="38">
        <f t="shared" si="10"/>
        <v>9.1999999999999993</v>
      </c>
      <c r="AP12" s="38">
        <f t="shared" si="11"/>
        <v>12.47</v>
      </c>
      <c r="AQ12" s="40">
        <f t="shared" si="12"/>
        <v>43.17</v>
      </c>
      <c r="AR12" s="40">
        <f t="shared" si="13"/>
        <v>9.4</v>
      </c>
      <c r="AS12" s="40">
        <f t="shared" si="14"/>
        <v>14.08</v>
      </c>
      <c r="AT12" s="40">
        <f t="shared" si="15"/>
        <v>46.58</v>
      </c>
      <c r="AU12" s="40">
        <f t="shared" si="16"/>
        <v>46.58</v>
      </c>
      <c r="AV12" s="40">
        <f t="shared" si="17"/>
        <v>6.7</v>
      </c>
      <c r="AW12" s="40">
        <f t="shared" si="18"/>
        <v>8.75</v>
      </c>
      <c r="AX12" s="40">
        <f t="shared" si="19"/>
        <v>29.25</v>
      </c>
      <c r="AY12" s="40">
        <f t="shared" si="20"/>
        <v>75.83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1"/>
        <v/>
      </c>
      <c r="BQ12" s="39" t="str">
        <f t="shared" si="22"/>
        <v/>
      </c>
      <c r="BR12" s="11" t="str">
        <f t="shared" si="23"/>
        <v/>
      </c>
      <c r="BS12" s="11" t="str">
        <f t="shared" si="24"/>
        <v/>
      </c>
      <c r="BT12" s="11" t="str">
        <f t="shared" si="25"/>
        <v/>
      </c>
      <c r="BU12" s="11" t="str">
        <f t="shared" si="26"/>
        <v/>
      </c>
      <c r="BV12" s="11" t="str">
        <f t="shared" si="27"/>
        <v/>
      </c>
      <c r="BW12" s="11" t="str">
        <f t="shared" si="28"/>
        <v/>
      </c>
      <c r="BX12" s="11" t="str">
        <f t="shared" si="29"/>
        <v/>
      </c>
      <c r="BY12" s="11" t="str">
        <f t="shared" si="30"/>
        <v/>
      </c>
      <c r="BZ12" s="11" t="str">
        <f t="shared" si="31"/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2"/>
        <v/>
      </c>
      <c r="CR12" s="38" t="str">
        <f t="shared" si="33"/>
        <v/>
      </c>
      <c r="CS12" s="40" t="str">
        <f t="shared" si="34"/>
        <v/>
      </c>
      <c r="CT12" s="40" t="str">
        <f t="shared" si="35"/>
        <v/>
      </c>
      <c r="CU12" s="40" t="str">
        <f t="shared" si="36"/>
        <v/>
      </c>
      <c r="CV12" s="40" t="str">
        <f t="shared" si="37"/>
        <v/>
      </c>
      <c r="CW12" s="40" t="str">
        <f t="shared" si="38"/>
        <v/>
      </c>
      <c r="CX12" s="40" t="str">
        <f t="shared" si="39"/>
        <v/>
      </c>
      <c r="CY12" s="40" t="str">
        <f t="shared" si="40"/>
        <v/>
      </c>
      <c r="CZ12" s="40" t="str">
        <f t="shared" si="41"/>
        <v/>
      </c>
      <c r="DA12" s="40" t="str">
        <f t="shared" si="42"/>
        <v/>
      </c>
      <c r="DB12" s="50">
        <f t="shared" si="43"/>
        <v>16.459999999999994</v>
      </c>
      <c r="DC12" s="50" t="str">
        <f t="shared" si="44"/>
        <v/>
      </c>
      <c r="DD12" s="17">
        <v>13.3</v>
      </c>
      <c r="DE12" s="17">
        <v>9.3000000000000007</v>
      </c>
      <c r="DF12" s="17">
        <v>9.6999999999999993</v>
      </c>
      <c r="DG12" s="17">
        <v>13.41</v>
      </c>
      <c r="DH12" s="17">
        <v>0</v>
      </c>
      <c r="DI12" s="17">
        <v>11.1</v>
      </c>
      <c r="DJ12" s="17">
        <v>7</v>
      </c>
      <c r="DK12" s="17">
        <v>7.9</v>
      </c>
      <c r="DL12" s="17">
        <v>10.56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 t="shared" si="45"/>
        <v>9.6999999999999993</v>
      </c>
      <c r="DY12" s="40">
        <f t="shared" si="46"/>
        <v>13.41</v>
      </c>
      <c r="DZ12" s="40">
        <f t="shared" si="47"/>
        <v>45.709999999999994</v>
      </c>
      <c r="EA12" s="40">
        <f t="shared" si="48"/>
        <v>7.9</v>
      </c>
      <c r="EB12" s="40">
        <f t="shared" si="49"/>
        <v>10.56</v>
      </c>
      <c r="EC12" s="40">
        <f t="shared" si="50"/>
        <v>36.56</v>
      </c>
      <c r="ED12" s="40">
        <f t="shared" si="51"/>
        <v>45.709999999999994</v>
      </c>
      <c r="EE12" s="40" t="str">
        <f t="shared" si="52"/>
        <v/>
      </c>
      <c r="EF12" s="40" t="str">
        <f t="shared" si="53"/>
        <v/>
      </c>
      <c r="EG12" s="40" t="str">
        <f t="shared" si="54"/>
        <v/>
      </c>
      <c r="EH12" s="40" t="str">
        <f t="shared" si="55"/>
        <v/>
      </c>
      <c r="EI12" s="40" t="str">
        <f t="shared" si="56"/>
        <v/>
      </c>
      <c r="EJ12" s="40" t="str">
        <f t="shared" si="57"/>
        <v/>
      </c>
      <c r="EK12" s="40">
        <f t="shared" si="58"/>
        <v>45.709999999999994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59"/>
        <v/>
      </c>
      <c r="FG12" s="11" t="str">
        <f t="shared" si="60"/>
        <v/>
      </c>
      <c r="FH12" s="11" t="str">
        <f t="shared" si="61"/>
        <v/>
      </c>
      <c r="FI12" s="11" t="str">
        <f t="shared" si="62"/>
        <v/>
      </c>
      <c r="FJ12" s="11" t="str">
        <f t="shared" si="63"/>
        <v/>
      </c>
      <c r="FK12" s="11" t="str">
        <f t="shared" si="64"/>
        <v/>
      </c>
      <c r="FL12" s="11" t="str">
        <f t="shared" si="65"/>
        <v/>
      </c>
      <c r="FM12" s="11" t="str">
        <f t="shared" si="66"/>
        <v/>
      </c>
      <c r="FN12" s="11" t="str">
        <f t="shared" si="67"/>
        <v/>
      </c>
      <c r="FO12" s="11" t="str">
        <f t="shared" si="68"/>
        <v/>
      </c>
      <c r="FP12" s="11" t="str">
        <f t="shared" si="69"/>
        <v/>
      </c>
      <c r="FQ12" s="11" t="str">
        <f t="shared" si="70"/>
        <v/>
      </c>
      <c r="FR12" s="11" t="str">
        <f t="shared" si="71"/>
        <v/>
      </c>
      <c r="FS12" s="11" t="str">
        <f t="shared" si="72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3"/>
        <v/>
      </c>
      <c r="GO12" s="40" t="str">
        <f t="shared" si="74"/>
        <v/>
      </c>
      <c r="GP12" s="40" t="str">
        <f t="shared" si="75"/>
        <v/>
      </c>
      <c r="GQ12" s="40" t="str">
        <f t="shared" si="76"/>
        <v/>
      </c>
      <c r="GR12" s="40" t="str">
        <f t="shared" si="77"/>
        <v/>
      </c>
      <c r="GS12" s="40" t="str">
        <f t="shared" si="78"/>
        <v/>
      </c>
      <c r="GT12" s="40" t="str">
        <f t="shared" si="79"/>
        <v/>
      </c>
      <c r="GU12" s="40" t="str">
        <f t="shared" si="80"/>
        <v/>
      </c>
      <c r="GV12" s="40" t="str">
        <f t="shared" si="81"/>
        <v/>
      </c>
      <c r="GW12" s="40" t="str">
        <f t="shared" si="82"/>
        <v/>
      </c>
      <c r="GX12" s="40" t="str">
        <f t="shared" si="83"/>
        <v/>
      </c>
      <c r="GY12" s="40" t="str">
        <f t="shared" si="84"/>
        <v/>
      </c>
      <c r="GZ12" s="40" t="str">
        <f t="shared" si="85"/>
        <v/>
      </c>
      <c r="HA12" s="40" t="str">
        <f t="shared" si="86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87"/>
        <v/>
      </c>
      <c r="HW12" s="11" t="str">
        <f t="shared" si="88"/>
        <v/>
      </c>
      <c r="HX12" s="11" t="str">
        <f t="shared" si="89"/>
        <v/>
      </c>
      <c r="HY12" s="11" t="str">
        <f t="shared" si="90"/>
        <v/>
      </c>
      <c r="HZ12" s="11" t="str">
        <f t="shared" si="91"/>
        <v/>
      </c>
      <c r="IA12" s="11" t="str">
        <f t="shared" si="92"/>
        <v/>
      </c>
      <c r="IB12" s="11" t="str">
        <f t="shared" si="93"/>
        <v/>
      </c>
      <c r="IC12" s="11" t="str">
        <f t="shared" si="94"/>
        <v/>
      </c>
      <c r="ID12" s="11" t="str">
        <f t="shared" si="95"/>
        <v/>
      </c>
      <c r="IE12" s="11" t="str">
        <f t="shared" si="96"/>
        <v/>
      </c>
      <c r="IF12" s="11" t="str">
        <f t="shared" si="97"/>
        <v/>
      </c>
      <c r="IG12" s="11" t="str">
        <f t="shared" si="98"/>
        <v/>
      </c>
      <c r="IH12" s="11" t="str">
        <f t="shared" si="99"/>
        <v/>
      </c>
      <c r="II12" s="11" t="str">
        <f t="shared" si="100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1"/>
        <v/>
      </c>
      <c r="JE12" s="40" t="str">
        <f t="shared" si="102"/>
        <v/>
      </c>
      <c r="JF12" s="40" t="str">
        <f t="shared" si="103"/>
        <v/>
      </c>
      <c r="JG12" s="40" t="str">
        <f t="shared" si="104"/>
        <v/>
      </c>
      <c r="JH12" s="40" t="str">
        <f t="shared" si="105"/>
        <v/>
      </c>
      <c r="JI12" s="40" t="str">
        <f t="shared" si="106"/>
        <v/>
      </c>
      <c r="JJ12" s="40" t="str">
        <f t="shared" si="107"/>
        <v/>
      </c>
      <c r="JK12" s="40" t="str">
        <f t="shared" si="108"/>
        <v/>
      </c>
      <c r="JL12" s="40" t="str">
        <f t="shared" si="109"/>
        <v/>
      </c>
      <c r="JM12" s="40" t="str">
        <f t="shared" si="110"/>
        <v/>
      </c>
      <c r="JN12" s="40" t="str">
        <f t="shared" si="111"/>
        <v/>
      </c>
      <c r="JO12" s="40" t="str">
        <f t="shared" si="112"/>
        <v/>
      </c>
      <c r="JP12" s="40" t="str">
        <f t="shared" si="113"/>
        <v/>
      </c>
      <c r="JQ12" s="40" t="str">
        <f t="shared" si="114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15"/>
        <v/>
      </c>
      <c r="KM12" s="11" t="str">
        <f t="shared" si="116"/>
        <v/>
      </c>
      <c r="KN12" s="11" t="str">
        <f t="shared" si="117"/>
        <v/>
      </c>
      <c r="KO12" s="11" t="str">
        <f t="shared" si="118"/>
        <v/>
      </c>
      <c r="KP12" s="11" t="str">
        <f t="shared" si="119"/>
        <v/>
      </c>
      <c r="KQ12" s="11" t="str">
        <f t="shared" si="120"/>
        <v/>
      </c>
      <c r="KR12" s="11" t="str">
        <f t="shared" si="121"/>
        <v/>
      </c>
      <c r="KS12" s="11" t="str">
        <f t="shared" si="122"/>
        <v/>
      </c>
      <c r="KT12" s="11" t="str">
        <f t="shared" si="123"/>
        <v/>
      </c>
      <c r="KU12" s="11" t="str">
        <f t="shared" si="124"/>
        <v/>
      </c>
      <c r="KV12" s="11" t="str">
        <f t="shared" si="125"/>
        <v/>
      </c>
      <c r="KW12" s="11" t="str">
        <f t="shared" si="126"/>
        <v/>
      </c>
      <c r="KX12" s="11" t="str">
        <f t="shared" si="127"/>
        <v/>
      </c>
      <c r="KY12" s="11" t="str">
        <f t="shared" si="128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29"/>
        <v/>
      </c>
      <c r="LU12" s="40" t="str">
        <f t="shared" si="130"/>
        <v/>
      </c>
      <c r="LV12" s="40" t="str">
        <f t="shared" si="131"/>
        <v/>
      </c>
      <c r="LW12" s="40" t="str">
        <f t="shared" si="132"/>
        <v/>
      </c>
      <c r="LX12" s="40" t="str">
        <f t="shared" si="133"/>
        <v/>
      </c>
      <c r="LY12" s="40" t="str">
        <f t="shared" si="134"/>
        <v/>
      </c>
      <c r="LZ12" s="40" t="str">
        <f t="shared" si="135"/>
        <v/>
      </c>
      <c r="MA12" s="40" t="str">
        <f t="shared" si="136"/>
        <v/>
      </c>
      <c r="MB12" s="40" t="str">
        <f t="shared" si="137"/>
        <v/>
      </c>
      <c r="MC12" s="40" t="str">
        <f t="shared" si="138"/>
        <v/>
      </c>
      <c r="MD12" s="40" t="str">
        <f t="shared" si="139"/>
        <v/>
      </c>
      <c r="ME12" s="40" t="str">
        <f t="shared" si="140"/>
        <v/>
      </c>
      <c r="MF12" s="40" t="str">
        <f t="shared" si="141"/>
        <v/>
      </c>
      <c r="MG12" s="40" t="str">
        <f t="shared" si="142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3"/>
        <v/>
      </c>
      <c r="NC12" s="11" t="str">
        <f t="shared" si="144"/>
        <v/>
      </c>
      <c r="ND12" s="11" t="str">
        <f t="shared" si="145"/>
        <v/>
      </c>
      <c r="NE12" s="11" t="str">
        <f t="shared" si="146"/>
        <v/>
      </c>
      <c r="NF12" s="11" t="str">
        <f t="shared" si="147"/>
        <v/>
      </c>
      <c r="NG12" s="11" t="str">
        <f t="shared" si="148"/>
        <v/>
      </c>
      <c r="NH12" s="11" t="str">
        <f t="shared" si="149"/>
        <v/>
      </c>
      <c r="NI12" s="11" t="str">
        <f t="shared" si="150"/>
        <v/>
      </c>
      <c r="NJ12" s="11" t="str">
        <f t="shared" si="151"/>
        <v/>
      </c>
      <c r="NK12" s="11" t="str">
        <f t="shared" si="152"/>
        <v/>
      </c>
      <c r="NL12" s="11" t="str">
        <f t="shared" si="153"/>
        <v/>
      </c>
      <c r="NM12" s="11" t="str">
        <f t="shared" si="154"/>
        <v/>
      </c>
      <c r="NN12" s="11" t="str">
        <f t="shared" si="155"/>
        <v/>
      </c>
      <c r="NO12" s="11" t="str">
        <f t="shared" si="156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57"/>
        <v/>
      </c>
      <c r="OK12" s="40" t="str">
        <f t="shared" si="158"/>
        <v/>
      </c>
      <c r="OL12" s="40" t="str">
        <f t="shared" si="159"/>
        <v/>
      </c>
      <c r="OM12" s="40" t="str">
        <f t="shared" si="160"/>
        <v/>
      </c>
      <c r="ON12" s="40" t="str">
        <f t="shared" si="161"/>
        <v/>
      </c>
      <c r="OO12" s="40" t="str">
        <f t="shared" si="162"/>
        <v/>
      </c>
      <c r="OP12" s="40" t="str">
        <f t="shared" si="163"/>
        <v/>
      </c>
      <c r="OQ12" s="40" t="str">
        <f t="shared" si="164"/>
        <v/>
      </c>
      <c r="OR12" s="40" t="str">
        <f t="shared" si="165"/>
        <v/>
      </c>
      <c r="OS12" s="40" t="str">
        <f t="shared" si="166"/>
        <v/>
      </c>
      <c r="OT12" s="40" t="str">
        <f t="shared" si="167"/>
        <v/>
      </c>
      <c r="OU12" s="40" t="str">
        <f t="shared" si="168"/>
        <v/>
      </c>
      <c r="OV12" s="40" t="str">
        <f t="shared" si="169"/>
        <v/>
      </c>
      <c r="OW12" s="40" t="str">
        <f t="shared" si="170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1"/>
        <v/>
      </c>
      <c r="PS12" s="11" t="str">
        <f t="shared" si="172"/>
        <v/>
      </c>
      <c r="PT12" s="11" t="str">
        <f t="shared" si="173"/>
        <v/>
      </c>
      <c r="PU12" s="11" t="str">
        <f t="shared" si="174"/>
        <v/>
      </c>
      <c r="PV12" s="11" t="str">
        <f t="shared" si="175"/>
        <v/>
      </c>
      <c r="PW12" s="11" t="str">
        <f t="shared" si="176"/>
        <v/>
      </c>
      <c r="PX12" s="11" t="str">
        <f t="shared" si="177"/>
        <v/>
      </c>
      <c r="PY12" s="11" t="str">
        <f t="shared" si="178"/>
        <v/>
      </c>
      <c r="PZ12" s="11" t="str">
        <f t="shared" si="179"/>
        <v/>
      </c>
      <c r="QA12" s="11" t="str">
        <f t="shared" si="180"/>
        <v/>
      </c>
      <c r="QB12" s="11" t="str">
        <f t="shared" si="181"/>
        <v/>
      </c>
      <c r="QC12" s="11" t="str">
        <f t="shared" si="182"/>
        <v/>
      </c>
      <c r="QD12" s="11" t="str">
        <f t="shared" si="183"/>
        <v/>
      </c>
      <c r="QE12" s="11" t="str">
        <f t="shared" si="184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85"/>
        <v/>
      </c>
      <c r="RA12" s="40" t="str">
        <f t="shared" si="186"/>
        <v/>
      </c>
      <c r="RB12" s="40" t="str">
        <f t="shared" si="187"/>
        <v/>
      </c>
      <c r="RC12" s="40" t="str">
        <f t="shared" si="188"/>
        <v/>
      </c>
      <c r="RD12" s="40" t="str">
        <f t="shared" si="189"/>
        <v/>
      </c>
      <c r="RE12" s="40" t="str">
        <f t="shared" si="190"/>
        <v/>
      </c>
      <c r="RF12" s="40" t="str">
        <f t="shared" si="191"/>
        <v/>
      </c>
      <c r="RG12" s="40" t="str">
        <f t="shared" si="192"/>
        <v/>
      </c>
      <c r="RH12" s="40" t="str">
        <f t="shared" si="193"/>
        <v/>
      </c>
      <c r="RI12" s="40" t="str">
        <f t="shared" si="194"/>
        <v/>
      </c>
      <c r="RJ12" s="40" t="str">
        <f t="shared" si="195"/>
        <v/>
      </c>
      <c r="RK12" s="40" t="str">
        <f t="shared" si="196"/>
        <v/>
      </c>
      <c r="RL12" s="40" t="str">
        <f t="shared" si="197"/>
        <v/>
      </c>
      <c r="RM12" s="40" t="str">
        <f t="shared" si="198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199"/>
        <v/>
      </c>
      <c r="SI12" s="11" t="str">
        <f t="shared" si="200"/>
        <v/>
      </c>
      <c r="SJ12" s="11" t="str">
        <f t="shared" si="201"/>
        <v/>
      </c>
      <c r="SK12" s="11" t="str">
        <f t="shared" si="202"/>
        <v/>
      </c>
      <c r="SL12" s="11" t="str">
        <f t="shared" si="203"/>
        <v/>
      </c>
      <c r="SM12" s="11" t="str">
        <f t="shared" si="204"/>
        <v/>
      </c>
      <c r="SN12" s="11" t="str">
        <f t="shared" si="205"/>
        <v/>
      </c>
      <c r="SO12" s="11" t="str">
        <f t="shared" si="206"/>
        <v/>
      </c>
      <c r="SP12" s="11" t="str">
        <f t="shared" si="207"/>
        <v/>
      </c>
      <c r="SQ12" s="11" t="str">
        <f t="shared" si="208"/>
        <v/>
      </c>
      <c r="SR12" s="11" t="str">
        <f t="shared" si="209"/>
        <v/>
      </c>
      <c r="SS12" s="11" t="str">
        <f t="shared" si="210"/>
        <v/>
      </c>
      <c r="ST12" s="11" t="str">
        <f t="shared" si="211"/>
        <v/>
      </c>
      <c r="SU12" s="11" t="str">
        <f t="shared" si="212"/>
        <v/>
      </c>
      <c r="SV12" s="22">
        <f t="shared" si="213"/>
        <v>0</v>
      </c>
      <c r="SW12" s="22">
        <f t="shared" si="214"/>
        <v>0</v>
      </c>
      <c r="SX12" s="22">
        <f t="shared" si="215"/>
        <v>0</v>
      </c>
      <c r="SY12" s="22">
        <f t="shared" si="216"/>
        <v>0</v>
      </c>
      <c r="SZ12" s="22">
        <f t="shared" si="217"/>
        <v>0</v>
      </c>
      <c r="TA12" s="22">
        <f t="shared" si="218"/>
        <v>0</v>
      </c>
      <c r="TB12" s="22">
        <f t="shared" si="219"/>
        <v>0</v>
      </c>
      <c r="TC12" s="22">
        <f t="shared" si="220"/>
        <v>0</v>
      </c>
      <c r="TD12" s="22">
        <f t="shared" si="221"/>
        <v>0</v>
      </c>
      <c r="TE12" s="22">
        <f t="shared" si="222"/>
        <v>0</v>
      </c>
      <c r="TF12" s="22">
        <f t="shared" si="223"/>
        <v>0</v>
      </c>
      <c r="TG12" s="22">
        <f t="shared" si="224"/>
        <v>0</v>
      </c>
      <c r="TH12" s="22">
        <f t="shared" si="225"/>
        <v>0</v>
      </c>
      <c r="TI12" s="22">
        <f t="shared" si="226"/>
        <v>0</v>
      </c>
      <c r="TJ12" s="22">
        <f t="shared" si="227"/>
        <v>0</v>
      </c>
      <c r="TK12" s="27" t="s">
        <v>46</v>
      </c>
      <c r="TL12" s="40" t="str">
        <f t="shared" si="228"/>
        <v/>
      </c>
      <c r="TM12" s="40" t="str">
        <f t="shared" si="229"/>
        <v/>
      </c>
      <c r="TN12" s="40" t="str">
        <f t="shared" si="230"/>
        <v/>
      </c>
      <c r="TO12" s="40" t="str">
        <f t="shared" si="231"/>
        <v/>
      </c>
      <c r="TP12" s="40" t="str">
        <f t="shared" si="232"/>
        <v/>
      </c>
      <c r="TQ12" s="40" t="str">
        <f t="shared" si="233"/>
        <v/>
      </c>
      <c r="TR12" s="40" t="str">
        <f t="shared" si="234"/>
        <v/>
      </c>
      <c r="TS12" s="40" t="str">
        <f t="shared" si="235"/>
        <v/>
      </c>
      <c r="TT12" s="40" t="str">
        <f t="shared" si="236"/>
        <v/>
      </c>
      <c r="TU12" s="40" t="str">
        <f t="shared" si="237"/>
        <v/>
      </c>
      <c r="TV12" s="40" t="str">
        <f t="shared" si="238"/>
        <v/>
      </c>
    </row>
    <row r="13" spans="1:542" x14ac:dyDescent="0.2">
      <c r="A13" s="4" t="str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/>
      </c>
      <c r="B13" s="4" t="str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/>
      </c>
      <c r="C13" s="5" t="s">
        <v>124</v>
      </c>
      <c r="D13" s="4" t="s">
        <v>4</v>
      </c>
      <c r="E13" s="4">
        <v>2004</v>
      </c>
      <c r="F13" s="9">
        <f t="shared" si="0"/>
        <v>137.30001373000454</v>
      </c>
      <c r="G13" s="64"/>
      <c r="H13" s="3" t="str">
        <f>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P","")</f>
        <v/>
      </c>
      <c r="I13" s="3" t="str">
        <f>IF(OR(AND(AQ13&gt;=AY$26,AQ13&lt;&gt;"",AN13=""),AND(AT13&gt;=AY$26,AT13&lt;&gt;"",AN13=""),AND(AX13&gt;=AY$26,AX13&lt;&gt;"",AN13=""),AND(BR13&gt;=BZ$26,BR13&lt;&gt;"",BO13=""),AND(BU13&gt;=BZ$26,BU13&lt;&gt;"",BO13=""),AND(BY13&gt;=BZ$26,BY13&lt;&gt;"",BO13=""),AND(CS13&gt;=DA$26,CS13&lt;&gt;"",CP13=""),AND(CV13&gt;=DA$26,CV13&lt;&gt;"",CP13=""),AND(CZ13&gt;=DA$26,CZ13&lt;&gt;"",CP13=""),AND(DZ13&gt;=EK$26,DZ13&lt;&gt;""),AND(EC13&gt;=EK$26,EC13&lt;&gt;""),AND(EG13&gt;=EK$26,EG13&lt;&gt;""),AND(EJ13&gt;=EK$26,EJ13&lt;&gt;""),AND(FH13&gt;=FS$26,FH13&lt;&gt;""),AND(FK13&gt;=FS$26,FK13&lt;&gt;""),AND(FO13&gt;=FS$26,FO13&lt;&gt;""),AND(FR13&gt;=FS$26,FR13&lt;&gt;""),AND(GP13&gt;=HA$26,GP13&lt;&gt;""),AND(GS13&gt;=HA$26,GS13&lt;&gt;""),AND(GW13&gt;=HA$26,GW13&lt;&gt;""),AND(GZ13&gt;=HA$26,GZ13&lt;&gt;""),AND(HX13&gt;=II$26,HX13&lt;&gt;""),AND(IA13&gt;=II$26,IA13&lt;&gt;""),AND(IE13&gt;=II$26,IE13&lt;&gt;""),AND(IH13&gt;=II$26,IH13&lt;&gt;""),AND(JF13&gt;=JQ$26,JF13&lt;&gt;""),AND(JI13&gt;=JQ$26,JI13&lt;&gt;""),AND(JM13&gt;=JQ$26,JM13&lt;&gt;""),AND(JP13&gt;=JQ$26,JP13&lt;&gt;""),AND(KN13&gt;=KY$26,KN13&lt;&gt;""),AND(KQ13&gt;=KY$26,KQ13&lt;&gt;""),AND(KU13&gt;=KY$26,KU13&lt;&gt;""),AND(KX13&gt;=KY$26,KX13&lt;&gt;""),AND(LV13&gt;=MG$26,LV13&lt;&gt;""),AND(LY13&gt;=MG$26,LY13&lt;&gt;""),AND(MC13&gt;=MG$26,MC13&lt;&gt;""),AND(MF13&gt;=MG$26,MF13&lt;&gt;""),AND(ND13&gt;=NO$26,ND13&lt;&gt;""),AND(NG13&gt;=NO$26,NG13&lt;&gt;""),AND(NK13&gt;=NO$26,NK13&lt;&gt;""),AND(NN13&gt;=NO$26,NN13&lt;&gt;""),AND(OL13&gt;=OW$26,OL13&lt;&gt;""),AND(OO13&gt;=OW$26,OO13&lt;&gt;""),AND(OS13&gt;=OW$26,OS13&lt;&gt;""),AND(OV13&gt;=OW$26,OV13&lt;&gt;""),AND(PT13&gt;=QE$26,PT13&lt;&gt;""),AND(PW13&gt;=QE$26,PW13&lt;&gt;""),AND(QA13&gt;=QE$26,QA13&lt;&gt;""),AND(QD13&gt;=QE$26,QD13&lt;&gt;""),AND(RB13&gt;=RM$26,RB13&lt;&gt;""),AND(RE13&gt;=RM$26,RE13&lt;&gt;""),AND(RI13&gt;=RM$26,RI13&lt;&gt;""),AND(RL13&gt;=RM$26,RL13&lt;&gt;""),AND(SJ13&gt;=SU$26,SJ13&lt;&gt;""),AND(SM13&gt;=SU$26,SM13&lt;&gt;""),AND(SQ13&gt;=SU$26,SQ13&lt;&gt;""),AND(ST13&gt;=SU$26,ST13&lt;&gt;"")),"P","")</f>
        <v/>
      </c>
      <c r="J13" s="36" t="str">
        <f>IF(AND(I13="P",H13=""),"No DD",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Merit",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Excellence",IF(K13="P","Worlds Team",IF(H13="P","National Team","")))))</f>
        <v/>
      </c>
      <c r="K13" s="3" t="str">
        <f>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P","")</f>
        <v/>
      </c>
      <c r="L13" s="8">
        <f>IF(COUNT(AQ13,AT13,BR13,BU13,CS13,CV13)&gt;0,LARGE((AQ13,AT13,BR13,BU13,CS13,CV13),1),0)</f>
        <v>45.38</v>
      </c>
      <c r="M13" s="8" t="str">
        <f t="shared" si="1"/>
        <v>2024 3rd Domestic Trial</v>
      </c>
      <c r="N13" s="8">
        <f>IF(COUNT(AQ13,AT13,BR13,BU13,CS13,CV13)&gt;1,LARGE((AQ13,AT13,BR13,BU13,CS13,CV13),2),0)</f>
        <v>41.37</v>
      </c>
      <c r="O13" s="8" t="str">
        <f t="shared" si="2"/>
        <v>2025 Elite Canada</v>
      </c>
      <c r="P13" s="8">
        <f>IF(COUNT(AQ13,AT13,BR13,BU13,CS13,CV13)&gt;2,MAX(AX13,BY13,CZ13,LARGE((AQ13,AT13,BR13,BU13,CS13,CV13),3)),IF(MAX(AX13,BY13,CZ13)&gt;0,MAX(AX13,BY13,CZ13),0))</f>
        <v>41.45</v>
      </c>
      <c r="Q13" s="8" t="str">
        <f t="shared" si="3"/>
        <v>2025 Elite Canada</v>
      </c>
      <c r="R13" s="8">
        <f t="shared" si="4"/>
        <v>9.1</v>
      </c>
      <c r="S13" s="8" t="str">
        <f t="shared" si="5"/>
        <v>2025 Elite Canada</v>
      </c>
      <c r="T13" s="8">
        <f>IF(MAX(IF(AO13&gt;=$AY$22,AP13,0),IF(AR13&gt;=$AY$22,AS13,0),IF(AV13&gt;=$AY$22,AW13,0),IF(BP13&gt;=$BZ$22,BQ13,0),IF(BS13&gt;=$BZ$22,BT13,0),IF(BW13&gt;=$BZ$22,BX13,0),IF(CQ13&gt;=$DA$22,CR13,0),IF(CT13&gt;=$DA$22,CU13,0),IF(CX13&gt;=$DA$22,CY13,0),IF(DX13&gt;=$EK$22,DY13,0),IF(EA13&gt;=$EK$22,EB13,0),IF(EE13&gt;=$EK$22,EF13,0),IF(EH13&gt;=$EK$22,EI13,0),IF(FF13&gt;=$FS$22,FG13,0),IF(FI13&gt;=$FS$22,FJ13,0),IF(FM13&gt;=$FS$22,FN13,0),IF(FP13&gt;=$FS$22,FQ13,0),IF(GN13&gt;=$HA$22,GO13,0),IF(GQ13&gt;=$HA$22,GR13,0),IF(GU13&gt;=$HA$22,GV13,0),IF(GX13&gt;=$HA$22,GY13,0),IF(HV13&gt;=$II$22,HW13,0),IF(HY13&gt;=$II$22,HZ13,0),IF(IC13&gt;=$II$22,ID13,0),IF(IF13&gt;=$II$22,IG13,0),IF(JD13&gt;=$JQ$22,JE13,0),IF(JG13&gt;=$JQ$22,JH13,0),IF(JK13&gt;=$JQ$22,JL13,0),IF(JN13&gt;=$JQ$22,JO13,0),IF(KL13&gt;=$KY$22,KM13,0),IF(KO13&gt;=$KY$22,KP13,0),IF(KS13&gt;=$KY$22,KT13,0),IF(KV13&gt;=$KY$22,KW13,0),IF(LT13&gt;=$MG$22,LU13,0),IF(LW13&gt;=$MG$22,LX13,0),IF(MA13&gt;=$MG$22,MB13,0),IF(MD13&gt;=$MG$22,ME13,0),IF(NB13&gt;=$NO$22,NC13,0),IF(NE13&gt;=$NO$22,NF13,0),IF(NI13&gt;=$NO$22,NJ13,0),IF(NL13&gt;=$NO$22,NM13,0),IF(OJ13&gt;=$OW$22,OK13,0),IF(OM13&gt;=$OW$22,ON13,0),IF(OQ13&gt;=$OW$22,OR13,0),IF(OT13&gt;=$OW$22,OU13,0),IF(PR13&gt;=$QE$22,PS13,0),IF(PU13&gt;=$QE$22,PV13,0),IF(PY13&gt;=$QE$22,PZ13,0),IF(QB13&gt;=$QE$22,QC13,0),IF(QZ13&gt;=$RM$22,RA13,0),IF(RC13&gt;=$RM$22,RD13,0),IF(RG13&gt;=$RM$22,RH13,0),IF(RJ13&gt;=$RM$22,RK13,0),IF(SH13&gt;=$SU$22,SI13,0),IF(SK13&gt;=$SU$22,SL13,0),IF(SO13&gt;=$SU$22,SP13,0),IF(SR13&gt;=$SU$22,SS13,0))&gt;0,MAX(IF(AO13&gt;=$AY$22,AP13,0),IF(AR13&gt;=$AY$22,AS13,0),IF(AV13&gt;=$AY$22,AW13,0),IF(BP13&gt;=$BZ$22,BQ13,0),IF(BS13&gt;=$BZ$22,BT13,0),IF(BW13&gt;=$BZ$22,BX13,0),IF(CQ13&gt;=$DA$22,CR13,0),IF(CT13&gt;=$DA$22,CU13,0),IF(CX13&gt;=$DA$22,CY13,0),IF(DX13&gt;=$EK$22,DY13,0),IF(EA13&gt;=$EK$22,EB13,0),IF(EE13&gt;=$EK$22,EF13,0),IF(EH13&gt;=$EK$22,EI13,0),IF(FF13&gt;=$FS$22,FG13,0),IF(FI13&gt;=$FS$22,FJ13,0),IF(FM13&gt;=$FS$22,FN13,0),IF(FP13&gt;=$FS$22,FQ13,0),IF(GN13&gt;=$HA$22,GO13,0),IF(GQ13&gt;=$HA$22,GR13,0),IF(GU13&gt;=$HA$22,GV13,0),IF(GX13&gt;=$HA$22,GY13,0),IF(HV13&gt;=$II$22,HW13,0),IF(HY13&gt;=$II$22,HZ13,0),IF(IC13&gt;=$II$22,ID13,0),IF(IF13&gt;=$II$22,IG13,0),IF(JD13&gt;=$JQ$22,JE13,0),IF(JG13&gt;=$JQ$22,JH13,0),IF(JK13&gt;=$JQ$22,JL13,0),IF(JN13&gt;=$JQ$22,JO13,0),IF(KL13&gt;=$KY$22,KM13,0),IF(KO13&gt;=$KY$22,KP13,0),IF(KS13&gt;=$KY$22,KT13,0),IF(KV13&gt;=$KY$22,KW13,0),IF(LT13&gt;=$MG$22,LU13,0),IF(LW13&gt;=$MG$22,LX13,0),IF(MA13&gt;=$MG$22,MB13,0),IF(MD13&gt;=$MG$22,ME13,0),IF(NB13&gt;=$NO$22,NC13,0),IF(NE13&gt;=$NO$22,NF13,0),IF(NI13&gt;=$NO$22,NJ13,0),IF(NL13&gt;=$NO$22,NM13,0),IF(OJ13&gt;=$OW$22,OK13,0),IF(OM13&gt;=$OW$22,ON13,0),IF(OQ13&gt;=$OW$22,OR13,0),IF(OT13&gt;=$OW$22,OU13,0),IF(PR13&gt;=$QE$22,PS13,0),IF(PU13&gt;=$QE$22,PV13,0),IF(PY13&gt;=$QE$22,PZ13,0),IF(QB13&gt;=$QE$22,QC13,0),IF(QZ13&gt;=$RM$22,RA13,0),IF(RC13&gt;=$RM$22,RD13,0),IF(RG13&gt;=$RM$22,RH13,0),IF(RJ13&gt;=$RM$22,RK13,0),IF(SH13&gt;=$SU$22,SI13,0),IF(SK13&gt;=$SU$22,SL13,0),IF(SO13&gt;=$SU$22,SP13,0),IF(SR13&gt;=$SU$22,SS13,0)),0)</f>
        <v>0</v>
      </c>
      <c r="U13" s="8" t="str">
        <f t="shared" si="6"/>
        <v/>
      </c>
      <c r="V13" s="8" t="str">
        <f t="shared" si="7"/>
        <v/>
      </c>
      <c r="W13" s="11" t="str">
        <f t="shared" si="8"/>
        <v/>
      </c>
      <c r="X13" s="8" t="str">
        <f t="shared" si="9"/>
        <v/>
      </c>
      <c r="Y13" s="22">
        <v>14.8</v>
      </c>
      <c r="Z13" s="22">
        <v>8.9</v>
      </c>
      <c r="AA13" s="22">
        <v>9.1</v>
      </c>
      <c r="AB13" s="22">
        <v>14.68</v>
      </c>
      <c r="AC13" s="22">
        <v>2.1</v>
      </c>
      <c r="AD13" s="22">
        <v>3.2</v>
      </c>
      <c r="AE13" s="22">
        <v>1.8</v>
      </c>
      <c r="AF13" s="22">
        <v>2.7</v>
      </c>
      <c r="AG13" s="22">
        <v>3.1</v>
      </c>
      <c r="AH13" s="22">
        <v>0</v>
      </c>
      <c r="AI13" s="22">
        <v>3.2</v>
      </c>
      <c r="AJ13" s="22">
        <v>1.6</v>
      </c>
      <c r="AK13" s="22">
        <v>2.7</v>
      </c>
      <c r="AL13" s="22">
        <v>3.12</v>
      </c>
      <c r="AM13" s="22">
        <v>0</v>
      </c>
      <c r="AN13" s="27"/>
      <c r="AO13" s="38">
        <f t="shared" si="10"/>
        <v>9.1</v>
      </c>
      <c r="AP13" s="38">
        <f t="shared" si="11"/>
        <v>14.68</v>
      </c>
      <c r="AQ13" s="40">
        <f t="shared" si="12"/>
        <v>45.38</v>
      </c>
      <c r="AR13" s="40">
        <f t="shared" si="13"/>
        <v>2.7</v>
      </c>
      <c r="AS13" s="40">
        <f t="shared" si="14"/>
        <v>3.1</v>
      </c>
      <c r="AT13" s="40">
        <f t="shared" si="15"/>
        <v>10.8</v>
      </c>
      <c r="AU13" s="40">
        <f t="shared" si="16"/>
        <v>45.38</v>
      </c>
      <c r="AV13" s="40">
        <f t="shared" si="17"/>
        <v>2.7</v>
      </c>
      <c r="AW13" s="40">
        <f t="shared" si="18"/>
        <v>3.12</v>
      </c>
      <c r="AX13" s="40">
        <f t="shared" si="19"/>
        <v>10.620000000000001</v>
      </c>
      <c r="AY13" s="40">
        <f t="shared" si="20"/>
        <v>56</v>
      </c>
      <c r="AZ13" s="26">
        <v>6.3</v>
      </c>
      <c r="BA13" s="26">
        <v>4.7</v>
      </c>
      <c r="BB13" s="26">
        <v>5.8</v>
      </c>
      <c r="BC13" s="26">
        <v>6.75</v>
      </c>
      <c r="BD13" s="26">
        <v>0</v>
      </c>
      <c r="BE13" s="26">
        <v>12.7</v>
      </c>
      <c r="BF13" s="26">
        <v>8.6</v>
      </c>
      <c r="BG13" s="26">
        <v>7.6</v>
      </c>
      <c r="BH13" s="26">
        <v>12.47</v>
      </c>
      <c r="BI13" s="26">
        <v>0</v>
      </c>
      <c r="BJ13" s="26">
        <v>13.7</v>
      </c>
      <c r="BK13" s="26">
        <v>8.9</v>
      </c>
      <c r="BL13" s="26">
        <v>9.1</v>
      </c>
      <c r="BM13" s="26">
        <v>13.35</v>
      </c>
      <c r="BN13" s="26">
        <v>3.6</v>
      </c>
      <c r="BO13" s="28"/>
      <c r="BP13" s="39">
        <f t="shared" si="21"/>
        <v>5.8</v>
      </c>
      <c r="BQ13" s="39">
        <f t="shared" si="22"/>
        <v>6.75</v>
      </c>
      <c r="BR13" s="11">
        <f t="shared" si="23"/>
        <v>23.55</v>
      </c>
      <c r="BS13" s="11">
        <f t="shared" si="24"/>
        <v>7.6</v>
      </c>
      <c r="BT13" s="11">
        <f t="shared" si="25"/>
        <v>12.47</v>
      </c>
      <c r="BU13" s="11">
        <f t="shared" si="26"/>
        <v>41.37</v>
      </c>
      <c r="BV13" s="11">
        <f t="shared" si="27"/>
        <v>41.37</v>
      </c>
      <c r="BW13" s="11">
        <f t="shared" si="28"/>
        <v>9.1</v>
      </c>
      <c r="BX13" s="11">
        <f t="shared" si="29"/>
        <v>13.35</v>
      </c>
      <c r="BY13" s="11">
        <f t="shared" si="30"/>
        <v>41.45</v>
      </c>
      <c r="BZ13" s="11">
        <f t="shared" si="31"/>
        <v>82.82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2"/>
        <v/>
      </c>
      <c r="CR13" s="38" t="str">
        <f t="shared" si="33"/>
        <v/>
      </c>
      <c r="CS13" s="40" t="str">
        <f t="shared" si="34"/>
        <v/>
      </c>
      <c r="CT13" s="40" t="str">
        <f t="shared" si="35"/>
        <v/>
      </c>
      <c r="CU13" s="40" t="str">
        <f t="shared" si="36"/>
        <v/>
      </c>
      <c r="CV13" s="40" t="str">
        <f t="shared" si="37"/>
        <v/>
      </c>
      <c r="CW13" s="40" t="str">
        <f t="shared" si="38"/>
        <v/>
      </c>
      <c r="CX13" s="40" t="str">
        <f t="shared" si="39"/>
        <v/>
      </c>
      <c r="CY13" s="40" t="str">
        <f t="shared" si="40"/>
        <v/>
      </c>
      <c r="CZ13" s="40" t="str">
        <f t="shared" si="41"/>
        <v/>
      </c>
      <c r="DA13" s="40" t="str">
        <f t="shared" si="42"/>
        <v/>
      </c>
      <c r="DB13" s="50" t="str">
        <f t="shared" si="43"/>
        <v/>
      </c>
      <c r="DC13" s="50" t="str">
        <f t="shared" si="44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45"/>
        <v/>
      </c>
      <c r="DY13" s="40" t="str">
        <f t="shared" si="46"/>
        <v/>
      </c>
      <c r="DZ13" s="40" t="str">
        <f t="shared" si="47"/>
        <v/>
      </c>
      <c r="EA13" s="40" t="str">
        <f t="shared" si="48"/>
        <v/>
      </c>
      <c r="EB13" s="40" t="str">
        <f t="shared" si="49"/>
        <v/>
      </c>
      <c r="EC13" s="40" t="str">
        <f t="shared" si="50"/>
        <v/>
      </c>
      <c r="ED13" s="40" t="str">
        <f t="shared" si="51"/>
        <v/>
      </c>
      <c r="EE13" s="40" t="str">
        <f t="shared" si="52"/>
        <v/>
      </c>
      <c r="EF13" s="40" t="str">
        <f t="shared" si="53"/>
        <v/>
      </c>
      <c r="EG13" s="40" t="str">
        <f t="shared" si="54"/>
        <v/>
      </c>
      <c r="EH13" s="40" t="str">
        <f t="shared" si="55"/>
        <v/>
      </c>
      <c r="EI13" s="40" t="str">
        <f t="shared" si="56"/>
        <v/>
      </c>
      <c r="EJ13" s="40" t="str">
        <f t="shared" si="57"/>
        <v/>
      </c>
      <c r="EK13" s="40" t="str">
        <f t="shared" si="58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59"/>
        <v/>
      </c>
      <c r="FG13" s="11" t="str">
        <f t="shared" si="60"/>
        <v/>
      </c>
      <c r="FH13" s="11" t="str">
        <f t="shared" si="61"/>
        <v/>
      </c>
      <c r="FI13" s="11" t="str">
        <f t="shared" si="62"/>
        <v/>
      </c>
      <c r="FJ13" s="11" t="str">
        <f t="shared" si="63"/>
        <v/>
      </c>
      <c r="FK13" s="11" t="str">
        <f t="shared" si="64"/>
        <v/>
      </c>
      <c r="FL13" s="11" t="str">
        <f t="shared" si="65"/>
        <v/>
      </c>
      <c r="FM13" s="11" t="str">
        <f t="shared" si="66"/>
        <v/>
      </c>
      <c r="FN13" s="11" t="str">
        <f t="shared" si="67"/>
        <v/>
      </c>
      <c r="FO13" s="11" t="str">
        <f t="shared" si="68"/>
        <v/>
      </c>
      <c r="FP13" s="11" t="str">
        <f t="shared" si="69"/>
        <v/>
      </c>
      <c r="FQ13" s="11" t="str">
        <f t="shared" si="70"/>
        <v/>
      </c>
      <c r="FR13" s="11" t="str">
        <f t="shared" si="71"/>
        <v/>
      </c>
      <c r="FS13" s="11" t="str">
        <f t="shared" si="72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3"/>
        <v/>
      </c>
      <c r="GO13" s="40" t="str">
        <f t="shared" si="74"/>
        <v/>
      </c>
      <c r="GP13" s="40" t="str">
        <f t="shared" si="75"/>
        <v/>
      </c>
      <c r="GQ13" s="40" t="str">
        <f t="shared" si="76"/>
        <v/>
      </c>
      <c r="GR13" s="40" t="str">
        <f t="shared" si="77"/>
        <v/>
      </c>
      <c r="GS13" s="40" t="str">
        <f t="shared" si="78"/>
        <v/>
      </c>
      <c r="GT13" s="40" t="str">
        <f t="shared" si="79"/>
        <v/>
      </c>
      <c r="GU13" s="40" t="str">
        <f t="shared" si="80"/>
        <v/>
      </c>
      <c r="GV13" s="40" t="str">
        <f t="shared" si="81"/>
        <v/>
      </c>
      <c r="GW13" s="40" t="str">
        <f t="shared" si="82"/>
        <v/>
      </c>
      <c r="GX13" s="40" t="str">
        <f t="shared" si="83"/>
        <v/>
      </c>
      <c r="GY13" s="40" t="str">
        <f t="shared" si="84"/>
        <v/>
      </c>
      <c r="GZ13" s="40" t="str">
        <f t="shared" si="85"/>
        <v/>
      </c>
      <c r="HA13" s="40" t="str">
        <f t="shared" si="86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87"/>
        <v/>
      </c>
      <c r="HW13" s="11" t="str">
        <f t="shared" si="88"/>
        <v/>
      </c>
      <c r="HX13" s="11" t="str">
        <f t="shared" si="89"/>
        <v/>
      </c>
      <c r="HY13" s="11" t="str">
        <f t="shared" si="90"/>
        <v/>
      </c>
      <c r="HZ13" s="11" t="str">
        <f t="shared" si="91"/>
        <v/>
      </c>
      <c r="IA13" s="11" t="str">
        <f t="shared" si="92"/>
        <v/>
      </c>
      <c r="IB13" s="11" t="str">
        <f t="shared" si="93"/>
        <v/>
      </c>
      <c r="IC13" s="11" t="str">
        <f t="shared" si="94"/>
        <v/>
      </c>
      <c r="ID13" s="11" t="str">
        <f t="shared" si="95"/>
        <v/>
      </c>
      <c r="IE13" s="11" t="str">
        <f t="shared" si="96"/>
        <v/>
      </c>
      <c r="IF13" s="11" t="str">
        <f t="shared" si="97"/>
        <v/>
      </c>
      <c r="IG13" s="11" t="str">
        <f t="shared" si="98"/>
        <v/>
      </c>
      <c r="IH13" s="11" t="str">
        <f t="shared" si="99"/>
        <v/>
      </c>
      <c r="II13" s="11" t="str">
        <f t="shared" si="100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1"/>
        <v/>
      </c>
      <c r="JE13" s="40" t="str">
        <f t="shared" si="102"/>
        <v/>
      </c>
      <c r="JF13" s="40" t="str">
        <f t="shared" si="103"/>
        <v/>
      </c>
      <c r="JG13" s="40" t="str">
        <f t="shared" si="104"/>
        <v/>
      </c>
      <c r="JH13" s="40" t="str">
        <f t="shared" si="105"/>
        <v/>
      </c>
      <c r="JI13" s="40" t="str">
        <f t="shared" si="106"/>
        <v/>
      </c>
      <c r="JJ13" s="40" t="str">
        <f t="shared" si="107"/>
        <v/>
      </c>
      <c r="JK13" s="40" t="str">
        <f t="shared" si="108"/>
        <v/>
      </c>
      <c r="JL13" s="40" t="str">
        <f t="shared" si="109"/>
        <v/>
      </c>
      <c r="JM13" s="40" t="str">
        <f t="shared" si="110"/>
        <v/>
      </c>
      <c r="JN13" s="40" t="str">
        <f t="shared" si="111"/>
        <v/>
      </c>
      <c r="JO13" s="40" t="str">
        <f t="shared" si="112"/>
        <v/>
      </c>
      <c r="JP13" s="40" t="str">
        <f t="shared" si="113"/>
        <v/>
      </c>
      <c r="JQ13" s="40" t="str">
        <f t="shared" si="114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15"/>
        <v/>
      </c>
      <c r="KM13" s="11" t="str">
        <f t="shared" si="116"/>
        <v/>
      </c>
      <c r="KN13" s="11" t="str">
        <f t="shared" si="117"/>
        <v/>
      </c>
      <c r="KO13" s="11" t="str">
        <f t="shared" si="118"/>
        <v/>
      </c>
      <c r="KP13" s="11" t="str">
        <f t="shared" si="119"/>
        <v/>
      </c>
      <c r="KQ13" s="11" t="str">
        <f t="shared" si="120"/>
        <v/>
      </c>
      <c r="KR13" s="11" t="str">
        <f t="shared" si="121"/>
        <v/>
      </c>
      <c r="KS13" s="11" t="str">
        <f t="shared" si="122"/>
        <v/>
      </c>
      <c r="KT13" s="11" t="str">
        <f t="shared" si="123"/>
        <v/>
      </c>
      <c r="KU13" s="11" t="str">
        <f t="shared" si="124"/>
        <v/>
      </c>
      <c r="KV13" s="11" t="str">
        <f t="shared" si="125"/>
        <v/>
      </c>
      <c r="KW13" s="11" t="str">
        <f t="shared" si="126"/>
        <v/>
      </c>
      <c r="KX13" s="11" t="str">
        <f t="shared" si="127"/>
        <v/>
      </c>
      <c r="KY13" s="11" t="str">
        <f t="shared" si="128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29"/>
        <v/>
      </c>
      <c r="LU13" s="40" t="str">
        <f t="shared" si="130"/>
        <v/>
      </c>
      <c r="LV13" s="40" t="str">
        <f t="shared" si="131"/>
        <v/>
      </c>
      <c r="LW13" s="40" t="str">
        <f t="shared" si="132"/>
        <v/>
      </c>
      <c r="LX13" s="40" t="str">
        <f t="shared" si="133"/>
        <v/>
      </c>
      <c r="LY13" s="40" t="str">
        <f t="shared" si="134"/>
        <v/>
      </c>
      <c r="LZ13" s="40" t="str">
        <f t="shared" si="135"/>
        <v/>
      </c>
      <c r="MA13" s="40" t="str">
        <f t="shared" si="136"/>
        <v/>
      </c>
      <c r="MB13" s="40" t="str">
        <f t="shared" si="137"/>
        <v/>
      </c>
      <c r="MC13" s="40" t="str">
        <f t="shared" si="138"/>
        <v/>
      </c>
      <c r="MD13" s="40" t="str">
        <f t="shared" si="139"/>
        <v/>
      </c>
      <c r="ME13" s="40" t="str">
        <f t="shared" si="140"/>
        <v/>
      </c>
      <c r="MF13" s="40" t="str">
        <f t="shared" si="141"/>
        <v/>
      </c>
      <c r="MG13" s="40" t="str">
        <f t="shared" si="142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3"/>
        <v/>
      </c>
      <c r="NC13" s="11" t="str">
        <f t="shared" si="144"/>
        <v/>
      </c>
      <c r="ND13" s="11" t="str">
        <f t="shared" si="145"/>
        <v/>
      </c>
      <c r="NE13" s="11" t="str">
        <f t="shared" si="146"/>
        <v/>
      </c>
      <c r="NF13" s="11" t="str">
        <f t="shared" si="147"/>
        <v/>
      </c>
      <c r="NG13" s="11" t="str">
        <f t="shared" si="148"/>
        <v/>
      </c>
      <c r="NH13" s="11" t="str">
        <f t="shared" si="149"/>
        <v/>
      </c>
      <c r="NI13" s="11" t="str">
        <f t="shared" si="150"/>
        <v/>
      </c>
      <c r="NJ13" s="11" t="str">
        <f t="shared" si="151"/>
        <v/>
      </c>
      <c r="NK13" s="11" t="str">
        <f t="shared" si="152"/>
        <v/>
      </c>
      <c r="NL13" s="11" t="str">
        <f t="shared" si="153"/>
        <v/>
      </c>
      <c r="NM13" s="11" t="str">
        <f t="shared" si="154"/>
        <v/>
      </c>
      <c r="NN13" s="11" t="str">
        <f t="shared" si="155"/>
        <v/>
      </c>
      <c r="NO13" s="11" t="str">
        <f t="shared" si="156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57"/>
        <v/>
      </c>
      <c r="OK13" s="40" t="str">
        <f t="shared" si="158"/>
        <v/>
      </c>
      <c r="OL13" s="40" t="str">
        <f t="shared" si="159"/>
        <v/>
      </c>
      <c r="OM13" s="40" t="str">
        <f t="shared" si="160"/>
        <v/>
      </c>
      <c r="ON13" s="40" t="str">
        <f t="shared" si="161"/>
        <v/>
      </c>
      <c r="OO13" s="40" t="str">
        <f t="shared" si="162"/>
        <v/>
      </c>
      <c r="OP13" s="40" t="str">
        <f t="shared" si="163"/>
        <v/>
      </c>
      <c r="OQ13" s="40" t="str">
        <f t="shared" si="164"/>
        <v/>
      </c>
      <c r="OR13" s="40" t="str">
        <f t="shared" si="165"/>
        <v/>
      </c>
      <c r="OS13" s="40" t="str">
        <f t="shared" si="166"/>
        <v/>
      </c>
      <c r="OT13" s="40" t="str">
        <f t="shared" si="167"/>
        <v/>
      </c>
      <c r="OU13" s="40" t="str">
        <f t="shared" si="168"/>
        <v/>
      </c>
      <c r="OV13" s="40" t="str">
        <f t="shared" si="169"/>
        <v/>
      </c>
      <c r="OW13" s="40" t="str">
        <f t="shared" si="170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1"/>
        <v/>
      </c>
      <c r="PS13" s="11" t="str">
        <f t="shared" si="172"/>
        <v/>
      </c>
      <c r="PT13" s="11" t="str">
        <f t="shared" si="173"/>
        <v/>
      </c>
      <c r="PU13" s="11" t="str">
        <f t="shared" si="174"/>
        <v/>
      </c>
      <c r="PV13" s="11" t="str">
        <f t="shared" si="175"/>
        <v/>
      </c>
      <c r="PW13" s="11" t="str">
        <f t="shared" si="176"/>
        <v/>
      </c>
      <c r="PX13" s="11" t="str">
        <f t="shared" si="177"/>
        <v/>
      </c>
      <c r="PY13" s="11" t="str">
        <f t="shared" si="178"/>
        <v/>
      </c>
      <c r="PZ13" s="11" t="str">
        <f t="shared" si="179"/>
        <v/>
      </c>
      <c r="QA13" s="11" t="str">
        <f t="shared" si="180"/>
        <v/>
      </c>
      <c r="QB13" s="11" t="str">
        <f t="shared" si="181"/>
        <v/>
      </c>
      <c r="QC13" s="11" t="str">
        <f t="shared" si="182"/>
        <v/>
      </c>
      <c r="QD13" s="11" t="str">
        <f t="shared" si="183"/>
        <v/>
      </c>
      <c r="QE13" s="11" t="str">
        <f t="shared" si="184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85"/>
        <v/>
      </c>
      <c r="RA13" s="40" t="str">
        <f t="shared" si="186"/>
        <v/>
      </c>
      <c r="RB13" s="40" t="str">
        <f t="shared" si="187"/>
        <v/>
      </c>
      <c r="RC13" s="40" t="str">
        <f t="shared" si="188"/>
        <v/>
      </c>
      <c r="RD13" s="40" t="str">
        <f t="shared" si="189"/>
        <v/>
      </c>
      <c r="RE13" s="40" t="str">
        <f t="shared" si="190"/>
        <v/>
      </c>
      <c r="RF13" s="40" t="str">
        <f t="shared" si="191"/>
        <v/>
      </c>
      <c r="RG13" s="40" t="str">
        <f t="shared" si="192"/>
        <v/>
      </c>
      <c r="RH13" s="40" t="str">
        <f t="shared" si="193"/>
        <v/>
      </c>
      <c r="RI13" s="40" t="str">
        <f t="shared" si="194"/>
        <v/>
      </c>
      <c r="RJ13" s="40" t="str">
        <f t="shared" si="195"/>
        <v/>
      </c>
      <c r="RK13" s="40" t="str">
        <f t="shared" si="196"/>
        <v/>
      </c>
      <c r="RL13" s="40" t="str">
        <f t="shared" si="197"/>
        <v/>
      </c>
      <c r="RM13" s="40" t="str">
        <f t="shared" si="198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199"/>
        <v/>
      </c>
      <c r="SI13" s="11" t="str">
        <f t="shared" si="200"/>
        <v/>
      </c>
      <c r="SJ13" s="11" t="str">
        <f t="shared" si="201"/>
        <v/>
      </c>
      <c r="SK13" s="11" t="str">
        <f t="shared" si="202"/>
        <v/>
      </c>
      <c r="SL13" s="11" t="str">
        <f t="shared" si="203"/>
        <v/>
      </c>
      <c r="SM13" s="11" t="str">
        <f t="shared" si="204"/>
        <v/>
      </c>
      <c r="SN13" s="11" t="str">
        <f t="shared" si="205"/>
        <v/>
      </c>
      <c r="SO13" s="11" t="str">
        <f t="shared" si="206"/>
        <v/>
      </c>
      <c r="SP13" s="11" t="str">
        <f t="shared" si="207"/>
        <v/>
      </c>
      <c r="SQ13" s="11" t="str">
        <f t="shared" si="208"/>
        <v/>
      </c>
      <c r="SR13" s="11" t="str">
        <f t="shared" si="209"/>
        <v/>
      </c>
      <c r="SS13" s="11" t="str">
        <f t="shared" si="210"/>
        <v/>
      </c>
      <c r="ST13" s="11" t="str">
        <f t="shared" si="211"/>
        <v/>
      </c>
      <c r="SU13" s="11" t="str">
        <f t="shared" si="212"/>
        <v/>
      </c>
      <c r="SV13" s="22">
        <f t="shared" si="213"/>
        <v>3.15</v>
      </c>
      <c r="SW13" s="22">
        <f t="shared" si="214"/>
        <v>2.35</v>
      </c>
      <c r="SX13" s="22">
        <f t="shared" si="215"/>
        <v>2.9</v>
      </c>
      <c r="SY13" s="22">
        <f t="shared" si="216"/>
        <v>3.375</v>
      </c>
      <c r="SZ13" s="22">
        <f t="shared" si="217"/>
        <v>0</v>
      </c>
      <c r="TA13" s="22">
        <f t="shared" si="218"/>
        <v>6.35</v>
      </c>
      <c r="TB13" s="22">
        <f t="shared" si="219"/>
        <v>4.3</v>
      </c>
      <c r="TC13" s="22">
        <f t="shared" si="220"/>
        <v>3.8</v>
      </c>
      <c r="TD13" s="22">
        <f t="shared" si="221"/>
        <v>6.2350000000000003</v>
      </c>
      <c r="TE13" s="22">
        <f t="shared" si="222"/>
        <v>0</v>
      </c>
      <c r="TF13" s="22">
        <f t="shared" si="223"/>
        <v>6.85</v>
      </c>
      <c r="TG13" s="22">
        <f t="shared" si="224"/>
        <v>4.45</v>
      </c>
      <c r="TH13" s="22">
        <f t="shared" si="225"/>
        <v>4.55</v>
      </c>
      <c r="TI13" s="22">
        <f t="shared" si="226"/>
        <v>6.6749999999999998</v>
      </c>
      <c r="TJ13" s="22">
        <f t="shared" si="227"/>
        <v>1.8</v>
      </c>
      <c r="TK13" s="27" t="s">
        <v>46</v>
      </c>
      <c r="TL13" s="40">
        <f t="shared" si="228"/>
        <v>2.9</v>
      </c>
      <c r="TM13" s="40">
        <f t="shared" si="229"/>
        <v>3.375</v>
      </c>
      <c r="TN13" s="40">
        <f t="shared" si="230"/>
        <v>11.775</v>
      </c>
      <c r="TO13" s="40">
        <f t="shared" si="231"/>
        <v>3.8</v>
      </c>
      <c r="TP13" s="40">
        <f t="shared" si="232"/>
        <v>6.2350000000000003</v>
      </c>
      <c r="TQ13" s="40">
        <f t="shared" si="233"/>
        <v>20.684999999999999</v>
      </c>
      <c r="TR13" s="40">
        <f t="shared" si="234"/>
        <v>20.684999999999999</v>
      </c>
      <c r="TS13" s="40">
        <f t="shared" si="235"/>
        <v>4.55</v>
      </c>
      <c r="TT13" s="40">
        <f t="shared" si="236"/>
        <v>6.6749999999999998</v>
      </c>
      <c r="TU13" s="40">
        <f t="shared" si="237"/>
        <v>20.725000000000001</v>
      </c>
      <c r="TV13" s="40">
        <f t="shared" si="238"/>
        <v>41.41</v>
      </c>
    </row>
    <row r="14" spans="1:542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107</v>
      </c>
      <c r="D14" s="4" t="s">
        <v>6</v>
      </c>
      <c r="E14" s="4">
        <v>2004</v>
      </c>
      <c r="F14" s="9">
        <f t="shared" si="0"/>
        <v>121.09001210900334</v>
      </c>
      <c r="G14" s="64"/>
      <c r="H14" s="3" t="str">
        <f>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P","")</f>
        <v/>
      </c>
      <c r="I14" s="3" t="str">
        <f>IF(OR(AND(AQ14&gt;=AY$26,AQ14&lt;&gt;"",AN14=""),AND(AT14&gt;=AY$26,AT14&lt;&gt;"",AN14=""),AND(AX14&gt;=AY$26,AX14&lt;&gt;"",AN14=""),AND(BR14&gt;=BZ$26,BR14&lt;&gt;"",BO14=""),AND(BU14&gt;=BZ$26,BU14&lt;&gt;"",BO14=""),AND(BY14&gt;=BZ$26,BY14&lt;&gt;"",BO14=""),AND(CS14&gt;=DA$26,CS14&lt;&gt;"",CP14=""),AND(CV14&gt;=DA$26,CV14&lt;&gt;"",CP14=""),AND(CZ14&gt;=DA$26,CZ14&lt;&gt;"",CP14=""),AND(DZ14&gt;=EK$26,DZ14&lt;&gt;""),AND(EC14&gt;=EK$26,EC14&lt;&gt;""),AND(EG14&gt;=EK$26,EG14&lt;&gt;""),AND(EJ14&gt;=EK$26,EJ14&lt;&gt;""),AND(FH14&gt;=FS$26,FH14&lt;&gt;""),AND(FK14&gt;=FS$26,FK14&lt;&gt;""),AND(FO14&gt;=FS$26,FO14&lt;&gt;""),AND(FR14&gt;=FS$26,FR14&lt;&gt;""),AND(GP14&gt;=HA$26,GP14&lt;&gt;""),AND(GS14&gt;=HA$26,GS14&lt;&gt;""),AND(GW14&gt;=HA$26,GW14&lt;&gt;""),AND(GZ14&gt;=HA$26,GZ14&lt;&gt;""),AND(HX14&gt;=II$26,HX14&lt;&gt;""),AND(IA14&gt;=II$26,IA14&lt;&gt;""),AND(IE14&gt;=II$26,IE14&lt;&gt;""),AND(IH14&gt;=II$26,IH14&lt;&gt;""),AND(JF14&gt;=JQ$26,JF14&lt;&gt;""),AND(JI14&gt;=JQ$26,JI14&lt;&gt;""),AND(JM14&gt;=JQ$26,JM14&lt;&gt;""),AND(JP14&gt;=JQ$26,JP14&lt;&gt;""),AND(KN14&gt;=KY$26,KN14&lt;&gt;""),AND(KQ14&gt;=KY$26,KQ14&lt;&gt;""),AND(KU14&gt;=KY$26,KU14&lt;&gt;""),AND(KX14&gt;=KY$26,KX14&lt;&gt;""),AND(LV14&gt;=MG$26,LV14&lt;&gt;""),AND(LY14&gt;=MG$26,LY14&lt;&gt;""),AND(MC14&gt;=MG$26,MC14&lt;&gt;""),AND(MF14&gt;=MG$26,MF14&lt;&gt;""),AND(ND14&gt;=NO$26,ND14&lt;&gt;""),AND(NG14&gt;=NO$26,NG14&lt;&gt;""),AND(NK14&gt;=NO$26,NK14&lt;&gt;""),AND(NN14&gt;=NO$26,NN14&lt;&gt;""),AND(OL14&gt;=OW$26,OL14&lt;&gt;""),AND(OO14&gt;=OW$26,OO14&lt;&gt;""),AND(OS14&gt;=OW$26,OS14&lt;&gt;""),AND(OV14&gt;=OW$26,OV14&lt;&gt;""),AND(PT14&gt;=QE$26,PT14&lt;&gt;""),AND(PW14&gt;=QE$26,PW14&lt;&gt;""),AND(QA14&gt;=QE$26,QA14&lt;&gt;""),AND(QD14&gt;=QE$26,QD14&lt;&gt;""),AND(RB14&gt;=RM$26,RB14&lt;&gt;""),AND(RE14&gt;=RM$26,RE14&lt;&gt;""),AND(RI14&gt;=RM$26,RI14&lt;&gt;""),AND(RL14&gt;=RM$26,RL14&lt;&gt;""),AND(SJ14&gt;=SU$26,SJ14&lt;&gt;""),AND(SM14&gt;=SU$26,SM14&lt;&gt;""),AND(SQ14&gt;=SU$26,SQ14&lt;&gt;""),AND(ST14&gt;=SU$26,ST14&lt;&gt;"")),"P","")</f>
        <v/>
      </c>
      <c r="J14" s="36" t="str">
        <f>IF(AND(I14="P",H14=""),"No DD",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Merit",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Excellence",IF(K14="P","Worlds Team",IF(H14="P","National Team","")))))</f>
        <v/>
      </c>
      <c r="K14" s="3" t="str">
        <f>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P","")</f>
        <v/>
      </c>
      <c r="L14" s="8">
        <f>IF(COUNT(AQ14,AT14,BR14,BU14,CS14,CV14)&gt;0,LARGE((AQ14,AT14,BR14,BU14,CS14,CV14),1),0)</f>
        <v>33.340000000000003</v>
      </c>
      <c r="M14" s="8" t="str">
        <f t="shared" si="1"/>
        <v>2024 3rd Domestic Trial</v>
      </c>
      <c r="N14" s="8">
        <f>IF(COUNT(AQ14,AT14,BR14,BU14,CS14,CV14)&gt;1,LARGE((AQ14,AT14,BR14,BU14,CS14,CV14),2),0)</f>
        <v>32.04</v>
      </c>
      <c r="O14" s="8" t="str">
        <f t="shared" si="2"/>
        <v>2024 3rd Domestic Trial</v>
      </c>
      <c r="P14" s="8">
        <f>IF(COUNT(AQ14,AT14,BR14,BU14,CS14,CV14)&gt;2,MAX(AX14,BY14,CZ14,LARGE((AQ14,AT14,BR14,BU14,CS14,CV14),3)),IF(MAX(AX14,BY14,CZ14)&gt;0,MAX(AX14,BY14,CZ14),0))</f>
        <v>46.71</v>
      </c>
      <c r="Q14" s="8" t="str">
        <f t="shared" si="3"/>
        <v>2024 3rd Domestic Trial</v>
      </c>
      <c r="R14" s="8">
        <f t="shared" si="4"/>
        <v>9</v>
      </c>
      <c r="S14" s="8" t="str">
        <f t="shared" si="5"/>
        <v>2024 3rd Domestic Trial</v>
      </c>
      <c r="T14" s="8">
        <f>IF(MAX(IF(AO14&gt;=$AY$22,AP14,0),IF(AR14&gt;=$AY$22,AS14,0),IF(AV14&gt;=$AY$22,AW14,0),IF(BP14&gt;=$BZ$22,BQ14,0),IF(BS14&gt;=$BZ$22,BT14,0),IF(BW14&gt;=$BZ$22,BX14,0),IF(CQ14&gt;=$DA$22,CR14,0),IF(CT14&gt;=$DA$22,CU14,0),IF(CX14&gt;=$DA$22,CY14,0),IF(DX14&gt;=$EK$22,DY14,0),IF(EA14&gt;=$EK$22,EB14,0),IF(EE14&gt;=$EK$22,EF14,0),IF(EH14&gt;=$EK$22,EI14,0),IF(FF14&gt;=$FS$22,FG14,0),IF(FI14&gt;=$FS$22,FJ14,0),IF(FM14&gt;=$FS$22,FN14,0),IF(FP14&gt;=$FS$22,FQ14,0),IF(GN14&gt;=$HA$22,GO14,0),IF(GQ14&gt;=$HA$22,GR14,0),IF(GU14&gt;=$HA$22,GV14,0),IF(GX14&gt;=$HA$22,GY14,0),IF(HV14&gt;=$II$22,HW14,0),IF(HY14&gt;=$II$22,HZ14,0),IF(IC14&gt;=$II$22,ID14,0),IF(IF14&gt;=$II$22,IG14,0),IF(JD14&gt;=$JQ$22,JE14,0),IF(JG14&gt;=$JQ$22,JH14,0),IF(JK14&gt;=$JQ$22,JL14,0),IF(JN14&gt;=$JQ$22,JO14,0),IF(KL14&gt;=$KY$22,KM14,0),IF(KO14&gt;=$KY$22,KP14,0),IF(KS14&gt;=$KY$22,KT14,0),IF(KV14&gt;=$KY$22,KW14,0),IF(LT14&gt;=$MG$22,LU14,0),IF(LW14&gt;=$MG$22,LX14,0),IF(MA14&gt;=$MG$22,MB14,0),IF(MD14&gt;=$MG$22,ME14,0),IF(NB14&gt;=$NO$22,NC14,0),IF(NE14&gt;=$NO$22,NF14,0),IF(NI14&gt;=$NO$22,NJ14,0),IF(NL14&gt;=$NO$22,NM14,0),IF(OJ14&gt;=$OW$22,OK14,0),IF(OM14&gt;=$OW$22,ON14,0),IF(OQ14&gt;=$OW$22,OR14,0),IF(OT14&gt;=$OW$22,OU14,0),IF(PR14&gt;=$QE$22,PS14,0),IF(PU14&gt;=$QE$22,PV14,0),IF(PY14&gt;=$QE$22,PZ14,0),IF(QB14&gt;=$QE$22,QC14,0),IF(QZ14&gt;=$RM$22,RA14,0),IF(RC14&gt;=$RM$22,RD14,0),IF(RG14&gt;=$RM$22,RH14,0),IF(RJ14&gt;=$RM$22,RK14,0),IF(SH14&gt;=$SU$22,SI14,0),IF(SK14&gt;=$SU$22,SL14,0),IF(SO14&gt;=$SU$22,SP14,0),IF(SR14&gt;=$SU$22,SS14,0))&gt;0,MAX(IF(AO14&gt;=$AY$22,AP14,0),IF(AR14&gt;=$AY$22,AS14,0),IF(AV14&gt;=$AY$22,AW14,0),IF(BP14&gt;=$BZ$22,BQ14,0),IF(BS14&gt;=$BZ$22,BT14,0),IF(BW14&gt;=$BZ$22,BX14,0),IF(CQ14&gt;=$DA$22,CR14,0),IF(CT14&gt;=$DA$22,CU14,0),IF(CX14&gt;=$DA$22,CY14,0),IF(DX14&gt;=$EK$22,DY14,0),IF(EA14&gt;=$EK$22,EB14,0),IF(EE14&gt;=$EK$22,EF14,0),IF(EH14&gt;=$EK$22,EI14,0),IF(FF14&gt;=$FS$22,FG14,0),IF(FI14&gt;=$FS$22,FJ14,0),IF(FM14&gt;=$FS$22,FN14,0),IF(FP14&gt;=$FS$22,FQ14,0),IF(GN14&gt;=$HA$22,GO14,0),IF(GQ14&gt;=$HA$22,GR14,0),IF(GU14&gt;=$HA$22,GV14,0),IF(GX14&gt;=$HA$22,GY14,0),IF(HV14&gt;=$II$22,HW14,0),IF(HY14&gt;=$II$22,HZ14,0),IF(IC14&gt;=$II$22,ID14,0),IF(IF14&gt;=$II$22,IG14,0),IF(JD14&gt;=$JQ$22,JE14,0),IF(JG14&gt;=$JQ$22,JH14,0),IF(JK14&gt;=$JQ$22,JL14,0),IF(JN14&gt;=$JQ$22,JO14,0),IF(KL14&gt;=$KY$22,KM14,0),IF(KO14&gt;=$KY$22,KP14,0),IF(KS14&gt;=$KY$22,KT14,0),IF(KV14&gt;=$KY$22,KW14,0),IF(LT14&gt;=$MG$22,LU14,0),IF(LW14&gt;=$MG$22,LX14,0),IF(MA14&gt;=$MG$22,MB14,0),IF(MD14&gt;=$MG$22,ME14,0),IF(NB14&gt;=$NO$22,NC14,0),IF(NE14&gt;=$NO$22,NF14,0),IF(NI14&gt;=$NO$22,NJ14,0),IF(NL14&gt;=$NO$22,NM14,0),IF(OJ14&gt;=$OW$22,OK14,0),IF(OM14&gt;=$OW$22,ON14,0),IF(OQ14&gt;=$OW$22,OR14,0),IF(OT14&gt;=$OW$22,OU14,0),IF(PR14&gt;=$QE$22,PS14,0),IF(PU14&gt;=$QE$22,PV14,0),IF(PY14&gt;=$QE$22,PZ14,0),IF(QB14&gt;=$QE$22,QC14,0),IF(QZ14&gt;=$RM$22,RA14,0),IF(RC14&gt;=$RM$22,RD14,0),IF(RG14&gt;=$RM$22,RH14,0),IF(RJ14&gt;=$RM$22,RK14,0),IF(SH14&gt;=$SU$22,SI14,0),IF(SK14&gt;=$SU$22,SL14,0),IF(SO14&gt;=$SU$22,SP14,0),IF(SR14&gt;=$SU$22,SS14,0)),0)</f>
        <v>0</v>
      </c>
      <c r="U14" s="8" t="str">
        <f t="shared" si="6"/>
        <v/>
      </c>
      <c r="V14" s="8" t="str">
        <f t="shared" si="7"/>
        <v/>
      </c>
      <c r="W14" s="11" t="str">
        <f t="shared" si="8"/>
        <v/>
      </c>
      <c r="X14" s="8" t="str">
        <f t="shared" si="9"/>
        <v/>
      </c>
      <c r="Y14" s="22">
        <v>10.3</v>
      </c>
      <c r="Z14" s="22">
        <v>6.1</v>
      </c>
      <c r="AA14" s="22">
        <v>5.9</v>
      </c>
      <c r="AB14" s="22">
        <v>9.74</v>
      </c>
      <c r="AC14" s="22">
        <v>0</v>
      </c>
      <c r="AD14" s="22">
        <v>10.4</v>
      </c>
      <c r="AE14" s="22">
        <v>6.3</v>
      </c>
      <c r="AF14" s="22">
        <v>6.8</v>
      </c>
      <c r="AG14" s="22">
        <v>9.84</v>
      </c>
      <c r="AH14" s="22">
        <v>0</v>
      </c>
      <c r="AI14" s="22">
        <v>14.9</v>
      </c>
      <c r="AJ14" s="22">
        <v>8.6</v>
      </c>
      <c r="AK14" s="22">
        <v>9</v>
      </c>
      <c r="AL14" s="22">
        <v>14.21</v>
      </c>
      <c r="AM14" s="22">
        <v>0</v>
      </c>
      <c r="AN14" s="27"/>
      <c r="AO14" s="38">
        <f t="shared" si="10"/>
        <v>5.9</v>
      </c>
      <c r="AP14" s="38">
        <f t="shared" si="11"/>
        <v>9.74</v>
      </c>
      <c r="AQ14" s="40">
        <f t="shared" si="12"/>
        <v>32.04</v>
      </c>
      <c r="AR14" s="40">
        <f t="shared" si="13"/>
        <v>6.8</v>
      </c>
      <c r="AS14" s="40">
        <f t="shared" si="14"/>
        <v>9.84</v>
      </c>
      <c r="AT14" s="40">
        <f t="shared" si="15"/>
        <v>33.340000000000003</v>
      </c>
      <c r="AU14" s="40">
        <f t="shared" si="16"/>
        <v>33.340000000000003</v>
      </c>
      <c r="AV14" s="40">
        <f t="shared" si="17"/>
        <v>9</v>
      </c>
      <c r="AW14" s="40">
        <f t="shared" si="18"/>
        <v>14.21</v>
      </c>
      <c r="AX14" s="40">
        <f t="shared" si="19"/>
        <v>46.71</v>
      </c>
      <c r="AY14" s="40">
        <f t="shared" si="20"/>
        <v>80.050000000000011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1"/>
        <v/>
      </c>
      <c r="BQ14" s="39" t="str">
        <f t="shared" si="22"/>
        <v/>
      </c>
      <c r="BR14" s="11" t="str">
        <f t="shared" si="23"/>
        <v/>
      </c>
      <c r="BS14" s="11" t="str">
        <f t="shared" si="24"/>
        <v/>
      </c>
      <c r="BT14" s="11" t="str">
        <f t="shared" si="25"/>
        <v/>
      </c>
      <c r="BU14" s="11" t="str">
        <f t="shared" si="26"/>
        <v/>
      </c>
      <c r="BV14" s="11" t="str">
        <f t="shared" si="27"/>
        <v/>
      </c>
      <c r="BW14" s="11" t="str">
        <f t="shared" si="28"/>
        <v/>
      </c>
      <c r="BX14" s="11" t="str">
        <f t="shared" si="29"/>
        <v/>
      </c>
      <c r="BY14" s="11" t="str">
        <f t="shared" si="30"/>
        <v/>
      </c>
      <c r="BZ14" s="11" t="str">
        <f t="shared" si="31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2"/>
        <v/>
      </c>
      <c r="CR14" s="38" t="str">
        <f t="shared" si="33"/>
        <v/>
      </c>
      <c r="CS14" s="40" t="str">
        <f t="shared" si="34"/>
        <v/>
      </c>
      <c r="CT14" s="40" t="str">
        <f t="shared" si="35"/>
        <v/>
      </c>
      <c r="CU14" s="40" t="str">
        <f t="shared" si="36"/>
        <v/>
      </c>
      <c r="CV14" s="40" t="str">
        <f t="shared" si="37"/>
        <v/>
      </c>
      <c r="CW14" s="40" t="str">
        <f t="shared" si="38"/>
        <v/>
      </c>
      <c r="CX14" s="40" t="str">
        <f t="shared" si="39"/>
        <v/>
      </c>
      <c r="CY14" s="40" t="str">
        <f t="shared" si="40"/>
        <v/>
      </c>
      <c r="CZ14" s="40" t="str">
        <f t="shared" si="41"/>
        <v/>
      </c>
      <c r="DA14" s="40" t="str">
        <f t="shared" si="42"/>
        <v/>
      </c>
      <c r="DB14" s="50" t="str">
        <f t="shared" si="43"/>
        <v/>
      </c>
      <c r="DC14" s="50" t="str">
        <f t="shared" si="44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45"/>
        <v/>
      </c>
      <c r="DY14" s="40" t="str">
        <f t="shared" si="46"/>
        <v/>
      </c>
      <c r="DZ14" s="40" t="str">
        <f t="shared" si="47"/>
        <v/>
      </c>
      <c r="EA14" s="40" t="str">
        <f t="shared" si="48"/>
        <v/>
      </c>
      <c r="EB14" s="40" t="str">
        <f t="shared" si="49"/>
        <v/>
      </c>
      <c r="EC14" s="40" t="str">
        <f t="shared" si="50"/>
        <v/>
      </c>
      <c r="ED14" s="40" t="str">
        <f t="shared" si="51"/>
        <v/>
      </c>
      <c r="EE14" s="40" t="str">
        <f t="shared" si="52"/>
        <v/>
      </c>
      <c r="EF14" s="40" t="str">
        <f t="shared" si="53"/>
        <v/>
      </c>
      <c r="EG14" s="40" t="str">
        <f t="shared" si="54"/>
        <v/>
      </c>
      <c r="EH14" s="40" t="str">
        <f t="shared" si="55"/>
        <v/>
      </c>
      <c r="EI14" s="40" t="str">
        <f t="shared" si="56"/>
        <v/>
      </c>
      <c r="EJ14" s="40" t="str">
        <f t="shared" si="57"/>
        <v/>
      </c>
      <c r="EK14" s="40" t="str">
        <f t="shared" si="58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59"/>
        <v/>
      </c>
      <c r="FG14" s="11" t="str">
        <f t="shared" si="60"/>
        <v/>
      </c>
      <c r="FH14" s="11" t="str">
        <f t="shared" si="61"/>
        <v/>
      </c>
      <c r="FI14" s="11" t="str">
        <f t="shared" si="62"/>
        <v/>
      </c>
      <c r="FJ14" s="11" t="str">
        <f t="shared" si="63"/>
        <v/>
      </c>
      <c r="FK14" s="11" t="str">
        <f t="shared" si="64"/>
        <v/>
      </c>
      <c r="FL14" s="11" t="str">
        <f t="shared" si="65"/>
        <v/>
      </c>
      <c r="FM14" s="11" t="str">
        <f t="shared" si="66"/>
        <v/>
      </c>
      <c r="FN14" s="11" t="str">
        <f t="shared" si="67"/>
        <v/>
      </c>
      <c r="FO14" s="11" t="str">
        <f t="shared" si="68"/>
        <v/>
      </c>
      <c r="FP14" s="11" t="str">
        <f t="shared" si="69"/>
        <v/>
      </c>
      <c r="FQ14" s="11" t="str">
        <f t="shared" si="70"/>
        <v/>
      </c>
      <c r="FR14" s="11" t="str">
        <f t="shared" si="71"/>
        <v/>
      </c>
      <c r="FS14" s="11" t="str">
        <f t="shared" si="72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3"/>
        <v/>
      </c>
      <c r="GO14" s="40" t="str">
        <f t="shared" si="74"/>
        <v/>
      </c>
      <c r="GP14" s="40" t="str">
        <f t="shared" si="75"/>
        <v/>
      </c>
      <c r="GQ14" s="40" t="str">
        <f t="shared" si="76"/>
        <v/>
      </c>
      <c r="GR14" s="40" t="str">
        <f t="shared" si="77"/>
        <v/>
      </c>
      <c r="GS14" s="40" t="str">
        <f t="shared" si="78"/>
        <v/>
      </c>
      <c r="GT14" s="40" t="str">
        <f t="shared" si="79"/>
        <v/>
      </c>
      <c r="GU14" s="40" t="str">
        <f t="shared" si="80"/>
        <v/>
      </c>
      <c r="GV14" s="40" t="str">
        <f t="shared" si="81"/>
        <v/>
      </c>
      <c r="GW14" s="40" t="str">
        <f t="shared" si="82"/>
        <v/>
      </c>
      <c r="GX14" s="40" t="str">
        <f t="shared" si="83"/>
        <v/>
      </c>
      <c r="GY14" s="40" t="str">
        <f t="shared" si="84"/>
        <v/>
      </c>
      <c r="GZ14" s="40" t="str">
        <f t="shared" si="85"/>
        <v/>
      </c>
      <c r="HA14" s="40" t="str">
        <f t="shared" si="86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87"/>
        <v/>
      </c>
      <c r="HW14" s="11" t="str">
        <f t="shared" si="88"/>
        <v/>
      </c>
      <c r="HX14" s="11" t="str">
        <f t="shared" si="89"/>
        <v/>
      </c>
      <c r="HY14" s="11" t="str">
        <f t="shared" si="90"/>
        <v/>
      </c>
      <c r="HZ14" s="11" t="str">
        <f t="shared" si="91"/>
        <v/>
      </c>
      <c r="IA14" s="11" t="str">
        <f t="shared" si="92"/>
        <v/>
      </c>
      <c r="IB14" s="11" t="str">
        <f t="shared" si="93"/>
        <v/>
      </c>
      <c r="IC14" s="11" t="str">
        <f t="shared" si="94"/>
        <v/>
      </c>
      <c r="ID14" s="11" t="str">
        <f t="shared" si="95"/>
        <v/>
      </c>
      <c r="IE14" s="11" t="str">
        <f t="shared" si="96"/>
        <v/>
      </c>
      <c r="IF14" s="11" t="str">
        <f t="shared" si="97"/>
        <v/>
      </c>
      <c r="IG14" s="11" t="str">
        <f t="shared" si="98"/>
        <v/>
      </c>
      <c r="IH14" s="11" t="str">
        <f t="shared" si="99"/>
        <v/>
      </c>
      <c r="II14" s="11" t="str">
        <f t="shared" si="100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1"/>
        <v/>
      </c>
      <c r="JE14" s="40" t="str">
        <f t="shared" si="102"/>
        <v/>
      </c>
      <c r="JF14" s="40" t="str">
        <f t="shared" si="103"/>
        <v/>
      </c>
      <c r="JG14" s="40" t="str">
        <f t="shared" si="104"/>
        <v/>
      </c>
      <c r="JH14" s="40" t="str">
        <f t="shared" si="105"/>
        <v/>
      </c>
      <c r="JI14" s="40" t="str">
        <f t="shared" si="106"/>
        <v/>
      </c>
      <c r="JJ14" s="40" t="str">
        <f t="shared" si="107"/>
        <v/>
      </c>
      <c r="JK14" s="40" t="str">
        <f t="shared" si="108"/>
        <v/>
      </c>
      <c r="JL14" s="40" t="str">
        <f t="shared" si="109"/>
        <v/>
      </c>
      <c r="JM14" s="40" t="str">
        <f t="shared" si="110"/>
        <v/>
      </c>
      <c r="JN14" s="40" t="str">
        <f t="shared" si="111"/>
        <v/>
      </c>
      <c r="JO14" s="40" t="str">
        <f t="shared" si="112"/>
        <v/>
      </c>
      <c r="JP14" s="40" t="str">
        <f t="shared" si="113"/>
        <v/>
      </c>
      <c r="JQ14" s="40" t="str">
        <f t="shared" si="114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15"/>
        <v/>
      </c>
      <c r="KM14" s="11" t="str">
        <f t="shared" si="116"/>
        <v/>
      </c>
      <c r="KN14" s="11" t="str">
        <f t="shared" si="117"/>
        <v/>
      </c>
      <c r="KO14" s="11" t="str">
        <f t="shared" si="118"/>
        <v/>
      </c>
      <c r="KP14" s="11" t="str">
        <f t="shared" si="119"/>
        <v/>
      </c>
      <c r="KQ14" s="11" t="str">
        <f t="shared" si="120"/>
        <v/>
      </c>
      <c r="KR14" s="11" t="str">
        <f t="shared" si="121"/>
        <v/>
      </c>
      <c r="KS14" s="11" t="str">
        <f t="shared" si="122"/>
        <v/>
      </c>
      <c r="KT14" s="11" t="str">
        <f t="shared" si="123"/>
        <v/>
      </c>
      <c r="KU14" s="11" t="str">
        <f t="shared" si="124"/>
        <v/>
      </c>
      <c r="KV14" s="11" t="str">
        <f t="shared" si="125"/>
        <v/>
      </c>
      <c r="KW14" s="11" t="str">
        <f t="shared" si="126"/>
        <v/>
      </c>
      <c r="KX14" s="11" t="str">
        <f t="shared" si="127"/>
        <v/>
      </c>
      <c r="KY14" s="11" t="str">
        <f t="shared" si="128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29"/>
        <v/>
      </c>
      <c r="LU14" s="40" t="str">
        <f t="shared" si="130"/>
        <v/>
      </c>
      <c r="LV14" s="40" t="str">
        <f t="shared" si="131"/>
        <v/>
      </c>
      <c r="LW14" s="40" t="str">
        <f t="shared" si="132"/>
        <v/>
      </c>
      <c r="LX14" s="40" t="str">
        <f t="shared" si="133"/>
        <v/>
      </c>
      <c r="LY14" s="40" t="str">
        <f t="shared" si="134"/>
        <v/>
      </c>
      <c r="LZ14" s="40" t="str">
        <f t="shared" si="135"/>
        <v/>
      </c>
      <c r="MA14" s="40" t="str">
        <f t="shared" si="136"/>
        <v/>
      </c>
      <c r="MB14" s="40" t="str">
        <f t="shared" si="137"/>
        <v/>
      </c>
      <c r="MC14" s="40" t="str">
        <f t="shared" si="138"/>
        <v/>
      </c>
      <c r="MD14" s="40" t="str">
        <f t="shared" si="139"/>
        <v/>
      </c>
      <c r="ME14" s="40" t="str">
        <f t="shared" si="140"/>
        <v/>
      </c>
      <c r="MF14" s="40" t="str">
        <f t="shared" si="141"/>
        <v/>
      </c>
      <c r="MG14" s="40" t="str">
        <f t="shared" si="142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3"/>
        <v/>
      </c>
      <c r="NC14" s="11" t="str">
        <f t="shared" si="144"/>
        <v/>
      </c>
      <c r="ND14" s="11" t="str">
        <f t="shared" si="145"/>
        <v/>
      </c>
      <c r="NE14" s="11" t="str">
        <f t="shared" si="146"/>
        <v/>
      </c>
      <c r="NF14" s="11" t="str">
        <f t="shared" si="147"/>
        <v/>
      </c>
      <c r="NG14" s="11" t="str">
        <f t="shared" si="148"/>
        <v/>
      </c>
      <c r="NH14" s="11" t="str">
        <f t="shared" si="149"/>
        <v/>
      </c>
      <c r="NI14" s="11" t="str">
        <f t="shared" si="150"/>
        <v/>
      </c>
      <c r="NJ14" s="11" t="str">
        <f t="shared" si="151"/>
        <v/>
      </c>
      <c r="NK14" s="11" t="str">
        <f t="shared" si="152"/>
        <v/>
      </c>
      <c r="NL14" s="11" t="str">
        <f t="shared" si="153"/>
        <v/>
      </c>
      <c r="NM14" s="11" t="str">
        <f t="shared" si="154"/>
        <v/>
      </c>
      <c r="NN14" s="11" t="str">
        <f t="shared" si="155"/>
        <v/>
      </c>
      <c r="NO14" s="11" t="str">
        <f t="shared" si="156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57"/>
        <v/>
      </c>
      <c r="OK14" s="40" t="str">
        <f t="shared" si="158"/>
        <v/>
      </c>
      <c r="OL14" s="40" t="str">
        <f t="shared" si="159"/>
        <v/>
      </c>
      <c r="OM14" s="40" t="str">
        <f t="shared" si="160"/>
        <v/>
      </c>
      <c r="ON14" s="40" t="str">
        <f t="shared" si="161"/>
        <v/>
      </c>
      <c r="OO14" s="40" t="str">
        <f t="shared" si="162"/>
        <v/>
      </c>
      <c r="OP14" s="40" t="str">
        <f t="shared" si="163"/>
        <v/>
      </c>
      <c r="OQ14" s="40" t="str">
        <f t="shared" si="164"/>
        <v/>
      </c>
      <c r="OR14" s="40" t="str">
        <f t="shared" si="165"/>
        <v/>
      </c>
      <c r="OS14" s="40" t="str">
        <f t="shared" si="166"/>
        <v/>
      </c>
      <c r="OT14" s="40" t="str">
        <f t="shared" si="167"/>
        <v/>
      </c>
      <c r="OU14" s="40" t="str">
        <f t="shared" si="168"/>
        <v/>
      </c>
      <c r="OV14" s="40" t="str">
        <f t="shared" si="169"/>
        <v/>
      </c>
      <c r="OW14" s="40" t="str">
        <f t="shared" si="170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1"/>
        <v/>
      </c>
      <c r="PS14" s="11" t="str">
        <f t="shared" si="172"/>
        <v/>
      </c>
      <c r="PT14" s="11" t="str">
        <f t="shared" si="173"/>
        <v/>
      </c>
      <c r="PU14" s="11" t="str">
        <f t="shared" si="174"/>
        <v/>
      </c>
      <c r="PV14" s="11" t="str">
        <f t="shared" si="175"/>
        <v/>
      </c>
      <c r="PW14" s="11" t="str">
        <f t="shared" si="176"/>
        <v/>
      </c>
      <c r="PX14" s="11" t="str">
        <f t="shared" si="177"/>
        <v/>
      </c>
      <c r="PY14" s="11" t="str">
        <f t="shared" si="178"/>
        <v/>
      </c>
      <c r="PZ14" s="11" t="str">
        <f t="shared" si="179"/>
        <v/>
      </c>
      <c r="QA14" s="11" t="str">
        <f t="shared" si="180"/>
        <v/>
      </c>
      <c r="QB14" s="11" t="str">
        <f t="shared" si="181"/>
        <v/>
      </c>
      <c r="QC14" s="11" t="str">
        <f t="shared" si="182"/>
        <v/>
      </c>
      <c r="QD14" s="11" t="str">
        <f t="shared" si="183"/>
        <v/>
      </c>
      <c r="QE14" s="11" t="str">
        <f t="shared" si="184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85"/>
        <v/>
      </c>
      <c r="RA14" s="40" t="str">
        <f t="shared" si="186"/>
        <v/>
      </c>
      <c r="RB14" s="40" t="str">
        <f t="shared" si="187"/>
        <v/>
      </c>
      <c r="RC14" s="40" t="str">
        <f t="shared" si="188"/>
        <v/>
      </c>
      <c r="RD14" s="40" t="str">
        <f t="shared" si="189"/>
        <v/>
      </c>
      <c r="RE14" s="40" t="str">
        <f t="shared" si="190"/>
        <v/>
      </c>
      <c r="RF14" s="40" t="str">
        <f t="shared" si="191"/>
        <v/>
      </c>
      <c r="RG14" s="40" t="str">
        <f t="shared" si="192"/>
        <v/>
      </c>
      <c r="RH14" s="40" t="str">
        <f t="shared" si="193"/>
        <v/>
      </c>
      <c r="RI14" s="40" t="str">
        <f t="shared" si="194"/>
        <v/>
      </c>
      <c r="RJ14" s="40" t="str">
        <f t="shared" si="195"/>
        <v/>
      </c>
      <c r="RK14" s="40" t="str">
        <f t="shared" si="196"/>
        <v/>
      </c>
      <c r="RL14" s="40" t="str">
        <f t="shared" si="197"/>
        <v/>
      </c>
      <c r="RM14" s="40" t="str">
        <f t="shared" si="198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199"/>
        <v/>
      </c>
      <c r="SI14" s="11" t="str">
        <f t="shared" si="200"/>
        <v/>
      </c>
      <c r="SJ14" s="11" t="str">
        <f t="shared" si="201"/>
        <v/>
      </c>
      <c r="SK14" s="11" t="str">
        <f t="shared" si="202"/>
        <v/>
      </c>
      <c r="SL14" s="11" t="str">
        <f t="shared" si="203"/>
        <v/>
      </c>
      <c r="SM14" s="11" t="str">
        <f t="shared" si="204"/>
        <v/>
      </c>
      <c r="SN14" s="11" t="str">
        <f t="shared" si="205"/>
        <v/>
      </c>
      <c r="SO14" s="11" t="str">
        <f t="shared" si="206"/>
        <v/>
      </c>
      <c r="SP14" s="11" t="str">
        <f t="shared" si="207"/>
        <v/>
      </c>
      <c r="SQ14" s="11" t="str">
        <f t="shared" si="208"/>
        <v/>
      </c>
      <c r="SR14" s="11" t="str">
        <f t="shared" si="209"/>
        <v/>
      </c>
      <c r="SS14" s="11" t="str">
        <f t="shared" si="210"/>
        <v/>
      </c>
      <c r="ST14" s="11" t="str">
        <f t="shared" si="211"/>
        <v/>
      </c>
      <c r="SU14" s="11" t="str">
        <f t="shared" si="212"/>
        <v/>
      </c>
      <c r="SV14" s="22">
        <f t="shared" si="213"/>
        <v>0</v>
      </c>
      <c r="SW14" s="22">
        <f t="shared" si="214"/>
        <v>0</v>
      </c>
      <c r="SX14" s="22">
        <f t="shared" si="215"/>
        <v>0</v>
      </c>
      <c r="SY14" s="22">
        <f t="shared" si="216"/>
        <v>0</v>
      </c>
      <c r="SZ14" s="22">
        <f t="shared" si="217"/>
        <v>0</v>
      </c>
      <c r="TA14" s="22">
        <f t="shared" si="218"/>
        <v>0</v>
      </c>
      <c r="TB14" s="22">
        <f t="shared" si="219"/>
        <v>0</v>
      </c>
      <c r="TC14" s="22">
        <f t="shared" si="220"/>
        <v>0</v>
      </c>
      <c r="TD14" s="22">
        <f t="shared" si="221"/>
        <v>0</v>
      </c>
      <c r="TE14" s="22">
        <f t="shared" si="222"/>
        <v>0</v>
      </c>
      <c r="TF14" s="22">
        <f t="shared" si="223"/>
        <v>0</v>
      </c>
      <c r="TG14" s="22">
        <f t="shared" si="224"/>
        <v>0</v>
      </c>
      <c r="TH14" s="22">
        <f t="shared" si="225"/>
        <v>0</v>
      </c>
      <c r="TI14" s="22">
        <f t="shared" si="226"/>
        <v>0</v>
      </c>
      <c r="TJ14" s="22">
        <f t="shared" si="227"/>
        <v>0</v>
      </c>
      <c r="TK14" s="27" t="s">
        <v>46</v>
      </c>
      <c r="TL14" s="40" t="str">
        <f t="shared" si="228"/>
        <v/>
      </c>
      <c r="TM14" s="40" t="str">
        <f t="shared" si="229"/>
        <v/>
      </c>
      <c r="TN14" s="40" t="str">
        <f t="shared" si="230"/>
        <v/>
      </c>
      <c r="TO14" s="40" t="str">
        <f t="shared" si="231"/>
        <v/>
      </c>
      <c r="TP14" s="40" t="str">
        <f t="shared" si="232"/>
        <v/>
      </c>
      <c r="TQ14" s="40" t="str">
        <f t="shared" si="233"/>
        <v/>
      </c>
      <c r="TR14" s="40" t="str">
        <f t="shared" si="234"/>
        <v/>
      </c>
      <c r="TS14" s="40" t="str">
        <f t="shared" si="235"/>
        <v/>
      </c>
      <c r="TT14" s="40" t="str">
        <f t="shared" si="236"/>
        <v/>
      </c>
      <c r="TU14" s="40" t="str">
        <f t="shared" si="237"/>
        <v/>
      </c>
      <c r="TV14" s="40" t="str">
        <f t="shared" si="238"/>
        <v/>
      </c>
    </row>
    <row r="15" spans="1:542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145</v>
      </c>
      <c r="D15" s="4" t="s">
        <v>6</v>
      </c>
      <c r="E15" s="4">
        <v>2006</v>
      </c>
      <c r="F15" s="9">
        <f t="shared" si="0"/>
        <v>103.65000651400464</v>
      </c>
      <c r="G15" s="64"/>
      <c r="H15" s="3" t="str">
        <f>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P","")</f>
        <v/>
      </c>
      <c r="I15" s="3" t="str">
        <f>IF(OR(AND(AQ15&gt;=AY$26,AQ15&lt;&gt;"",AN15=""),AND(AT15&gt;=AY$26,AT15&lt;&gt;"",AN15=""),AND(AX15&gt;=AY$26,AX15&lt;&gt;"",AN15=""),AND(BR15&gt;=BZ$26,BR15&lt;&gt;"",BO15=""),AND(BU15&gt;=BZ$26,BU15&lt;&gt;"",BO15=""),AND(BY15&gt;=BZ$26,BY15&lt;&gt;"",BO15=""),AND(CS15&gt;=DA$26,CS15&lt;&gt;"",CP15=""),AND(CV15&gt;=DA$26,CV15&lt;&gt;"",CP15=""),AND(CZ15&gt;=DA$26,CZ15&lt;&gt;"",CP15=""),AND(DZ15&gt;=EK$26,DZ15&lt;&gt;""),AND(EC15&gt;=EK$26,EC15&lt;&gt;""),AND(EG15&gt;=EK$26,EG15&lt;&gt;""),AND(EJ15&gt;=EK$26,EJ15&lt;&gt;""),AND(FH15&gt;=FS$26,FH15&lt;&gt;""),AND(FK15&gt;=FS$26,FK15&lt;&gt;""),AND(FO15&gt;=FS$26,FO15&lt;&gt;""),AND(FR15&gt;=FS$26,FR15&lt;&gt;""),AND(GP15&gt;=HA$26,GP15&lt;&gt;""),AND(GS15&gt;=HA$26,GS15&lt;&gt;""),AND(GW15&gt;=HA$26,GW15&lt;&gt;""),AND(GZ15&gt;=HA$26,GZ15&lt;&gt;""),AND(HX15&gt;=II$26,HX15&lt;&gt;""),AND(IA15&gt;=II$26,IA15&lt;&gt;""),AND(IE15&gt;=II$26,IE15&lt;&gt;""),AND(IH15&gt;=II$26,IH15&lt;&gt;""),AND(JF15&gt;=JQ$26,JF15&lt;&gt;""),AND(JI15&gt;=JQ$26,JI15&lt;&gt;""),AND(JM15&gt;=JQ$26,JM15&lt;&gt;""),AND(JP15&gt;=JQ$26,JP15&lt;&gt;""),AND(KN15&gt;=KY$26,KN15&lt;&gt;""),AND(KQ15&gt;=KY$26,KQ15&lt;&gt;""),AND(KU15&gt;=KY$26,KU15&lt;&gt;""),AND(KX15&gt;=KY$26,KX15&lt;&gt;""),AND(LV15&gt;=MG$26,LV15&lt;&gt;""),AND(LY15&gt;=MG$26,LY15&lt;&gt;""),AND(MC15&gt;=MG$26,MC15&lt;&gt;""),AND(MF15&gt;=MG$26,MF15&lt;&gt;""),AND(ND15&gt;=NO$26,ND15&lt;&gt;""),AND(NG15&gt;=NO$26,NG15&lt;&gt;""),AND(NK15&gt;=NO$26,NK15&lt;&gt;""),AND(NN15&gt;=NO$26,NN15&lt;&gt;""),AND(OL15&gt;=OW$26,OL15&lt;&gt;""),AND(OO15&gt;=OW$26,OO15&lt;&gt;""),AND(OS15&gt;=OW$26,OS15&lt;&gt;""),AND(OV15&gt;=OW$26,OV15&lt;&gt;""),AND(PT15&gt;=QE$26,PT15&lt;&gt;""),AND(PW15&gt;=QE$26,PW15&lt;&gt;""),AND(QA15&gt;=QE$26,QA15&lt;&gt;""),AND(QD15&gt;=QE$26,QD15&lt;&gt;""),AND(RB15&gt;=RM$26,RB15&lt;&gt;""),AND(RE15&gt;=RM$26,RE15&lt;&gt;""),AND(RI15&gt;=RM$26,RI15&lt;&gt;""),AND(RL15&gt;=RM$26,RL15&lt;&gt;""),AND(SJ15&gt;=SU$26,SJ15&lt;&gt;""),AND(SM15&gt;=SU$26,SM15&lt;&gt;""),AND(SQ15&gt;=SU$26,SQ15&lt;&gt;""),AND(ST15&gt;=SU$26,ST15&lt;&gt;"")),"P","")</f>
        <v/>
      </c>
      <c r="J15" s="36" t="str">
        <f>IF(AND(I15="P",H15=""),"No DD",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Merit",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Excellence",IF(K15="P","Worlds Team",IF(H15="P","National Team","")))))</f>
        <v/>
      </c>
      <c r="K15" s="3" t="str">
        <f>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P","")</f>
        <v/>
      </c>
      <c r="L15" s="8">
        <f>IF(COUNT(AQ15,AT15,BR15,BU15,CS15,CV15)&gt;0,LARGE((AQ15,AT15,BR15,BU15,CS15,CV15),1),0)</f>
        <v>46.38</v>
      </c>
      <c r="M15" s="8" t="str">
        <f t="shared" si="1"/>
        <v>2024 3rd Domestic Trial</v>
      </c>
      <c r="N15" s="8">
        <f>IF(COUNT(AQ15,AT15,BR15,BU15,CS15,CV15)&gt;1,LARGE((AQ15,AT15,BR15,BU15,CS15,CV15),2),0)</f>
        <v>5.0999999999999996</v>
      </c>
      <c r="O15" s="8" t="str">
        <f t="shared" si="2"/>
        <v>2024 3rd Domestic Trial</v>
      </c>
      <c r="P15" s="8">
        <f>IF(COUNT(AQ15,AT15,BR15,BU15,CS15,CV15)&gt;2,MAX(AX15,BY15,CZ15,LARGE((AQ15,AT15,BR15,BU15,CS15,CV15),3)),IF(MAX(AX15,BY15,CZ15)&gt;0,MAX(AX15,BY15,CZ15),0))</f>
        <v>4.96</v>
      </c>
      <c r="Q15" s="8" t="str">
        <f t="shared" si="3"/>
        <v>2024 3rd Domestic Trial</v>
      </c>
      <c r="R15" s="8">
        <f t="shared" si="4"/>
        <v>8.6999999999999993</v>
      </c>
      <c r="S15" s="8" t="str">
        <f t="shared" si="5"/>
        <v>2024 Coimbra Gym Fest (July 7)</v>
      </c>
      <c r="T15" s="8">
        <f>IF(MAX(IF(AO15&gt;=$AY$22,AP15,0),IF(AR15&gt;=$AY$22,AS15,0),IF(AV15&gt;=$AY$22,AW15,0),IF(BP15&gt;=$BZ$22,BQ15,0),IF(BS15&gt;=$BZ$22,BT15,0),IF(BW15&gt;=$BZ$22,BX15,0),IF(CQ15&gt;=$DA$22,CR15,0),IF(CT15&gt;=$DA$22,CU15,0),IF(CX15&gt;=$DA$22,CY15,0),IF(DX15&gt;=$EK$22,DY15,0),IF(EA15&gt;=$EK$22,EB15,0),IF(EE15&gt;=$EK$22,EF15,0),IF(EH15&gt;=$EK$22,EI15,0),IF(FF15&gt;=$FS$22,FG15,0),IF(FI15&gt;=$FS$22,FJ15,0),IF(FM15&gt;=$FS$22,FN15,0),IF(FP15&gt;=$FS$22,FQ15,0),IF(GN15&gt;=$HA$22,GO15,0),IF(GQ15&gt;=$HA$22,GR15,0),IF(GU15&gt;=$HA$22,GV15,0),IF(GX15&gt;=$HA$22,GY15,0),IF(HV15&gt;=$II$22,HW15,0),IF(HY15&gt;=$II$22,HZ15,0),IF(IC15&gt;=$II$22,ID15,0),IF(IF15&gt;=$II$22,IG15,0),IF(JD15&gt;=$JQ$22,JE15,0),IF(JG15&gt;=$JQ$22,JH15,0),IF(JK15&gt;=$JQ$22,JL15,0),IF(JN15&gt;=$JQ$22,JO15,0),IF(KL15&gt;=$KY$22,KM15,0),IF(KO15&gt;=$KY$22,KP15,0),IF(KS15&gt;=$KY$22,KT15,0),IF(KV15&gt;=$KY$22,KW15,0),IF(LT15&gt;=$MG$22,LU15,0),IF(LW15&gt;=$MG$22,LX15,0),IF(MA15&gt;=$MG$22,MB15,0),IF(MD15&gt;=$MG$22,ME15,0),IF(NB15&gt;=$NO$22,NC15,0),IF(NE15&gt;=$NO$22,NF15,0),IF(NI15&gt;=$NO$22,NJ15,0),IF(NL15&gt;=$NO$22,NM15,0),IF(OJ15&gt;=$OW$22,OK15,0),IF(OM15&gt;=$OW$22,ON15,0),IF(OQ15&gt;=$OW$22,OR15,0),IF(OT15&gt;=$OW$22,OU15,0),IF(PR15&gt;=$QE$22,PS15,0),IF(PU15&gt;=$QE$22,PV15,0),IF(PY15&gt;=$QE$22,PZ15,0),IF(QB15&gt;=$QE$22,QC15,0),IF(QZ15&gt;=$RM$22,RA15,0),IF(RC15&gt;=$RM$22,RD15,0),IF(RG15&gt;=$RM$22,RH15,0),IF(RJ15&gt;=$RM$22,RK15,0),IF(SH15&gt;=$SU$22,SI15,0),IF(SK15&gt;=$SU$22,SL15,0),IF(SO15&gt;=$SU$22,SP15,0),IF(SR15&gt;=$SU$22,SS15,0))&gt;0,MAX(IF(AO15&gt;=$AY$22,AP15,0),IF(AR15&gt;=$AY$22,AS15,0),IF(AV15&gt;=$AY$22,AW15,0),IF(BP15&gt;=$BZ$22,BQ15,0),IF(BS15&gt;=$BZ$22,BT15,0),IF(BW15&gt;=$BZ$22,BX15,0),IF(CQ15&gt;=$DA$22,CR15,0),IF(CT15&gt;=$DA$22,CU15,0),IF(CX15&gt;=$DA$22,CY15,0),IF(DX15&gt;=$EK$22,DY15,0),IF(EA15&gt;=$EK$22,EB15,0),IF(EE15&gt;=$EK$22,EF15,0),IF(EH15&gt;=$EK$22,EI15,0),IF(FF15&gt;=$FS$22,FG15,0),IF(FI15&gt;=$FS$22,FJ15,0),IF(FM15&gt;=$FS$22,FN15,0),IF(FP15&gt;=$FS$22,FQ15,0),IF(GN15&gt;=$HA$22,GO15,0),IF(GQ15&gt;=$HA$22,GR15,0),IF(GU15&gt;=$HA$22,GV15,0),IF(GX15&gt;=$HA$22,GY15,0),IF(HV15&gt;=$II$22,HW15,0),IF(HY15&gt;=$II$22,HZ15,0),IF(IC15&gt;=$II$22,ID15,0),IF(IF15&gt;=$II$22,IG15,0),IF(JD15&gt;=$JQ$22,JE15,0),IF(JG15&gt;=$JQ$22,JH15,0),IF(JK15&gt;=$JQ$22,JL15,0),IF(JN15&gt;=$JQ$22,JO15,0),IF(KL15&gt;=$KY$22,KM15,0),IF(KO15&gt;=$KY$22,KP15,0),IF(KS15&gt;=$KY$22,KT15,0),IF(KV15&gt;=$KY$22,KW15,0),IF(LT15&gt;=$MG$22,LU15,0),IF(LW15&gt;=$MG$22,LX15,0),IF(MA15&gt;=$MG$22,MB15,0),IF(MD15&gt;=$MG$22,ME15,0),IF(NB15&gt;=$NO$22,NC15,0),IF(NE15&gt;=$NO$22,NF15,0),IF(NI15&gt;=$NO$22,NJ15,0),IF(NL15&gt;=$NO$22,NM15,0),IF(OJ15&gt;=$OW$22,OK15,0),IF(OM15&gt;=$OW$22,ON15,0),IF(OQ15&gt;=$OW$22,OR15,0),IF(OT15&gt;=$OW$22,OU15,0),IF(PR15&gt;=$QE$22,PS15,0),IF(PU15&gt;=$QE$22,PV15,0),IF(PY15&gt;=$QE$22,PZ15,0),IF(QB15&gt;=$QE$22,QC15,0),IF(QZ15&gt;=$RM$22,RA15,0),IF(RC15&gt;=$RM$22,RD15,0),IF(RG15&gt;=$RM$22,RH15,0),IF(RJ15&gt;=$RM$22,RK15,0),IF(SH15&gt;=$SU$22,SI15,0),IF(SK15&gt;=$SU$22,SL15,0),IF(SO15&gt;=$SU$22,SP15,0),IF(SR15&gt;=$SU$22,SS15,0)),0)</f>
        <v>0</v>
      </c>
      <c r="U15" s="8" t="str">
        <f t="shared" si="6"/>
        <v/>
      </c>
      <c r="V15" s="8">
        <f t="shared" si="7"/>
        <v>38.51</v>
      </c>
      <c r="W15" s="11" t="str">
        <f t="shared" si="8"/>
        <v>(Optional)</v>
      </c>
      <c r="X15" s="8" t="str">
        <f t="shared" si="9"/>
        <v>2024 Coimbra Gym Fest (July 7)</v>
      </c>
      <c r="Y15" s="22">
        <v>1.4</v>
      </c>
      <c r="Z15" s="22">
        <v>0.9</v>
      </c>
      <c r="AA15" s="22">
        <v>1.3</v>
      </c>
      <c r="AB15" s="22">
        <v>1.5</v>
      </c>
      <c r="AC15" s="22">
        <v>0</v>
      </c>
      <c r="AD15" s="22">
        <v>15.1</v>
      </c>
      <c r="AE15" s="22">
        <v>9.1999999999999993</v>
      </c>
      <c r="AF15" s="22">
        <v>8.5</v>
      </c>
      <c r="AG15" s="22">
        <v>13.88</v>
      </c>
      <c r="AH15" s="22">
        <v>0.3</v>
      </c>
      <c r="AI15" s="22">
        <v>1.4</v>
      </c>
      <c r="AJ15" s="22">
        <v>0.8</v>
      </c>
      <c r="AK15" s="22">
        <v>1.3</v>
      </c>
      <c r="AL15" s="22">
        <v>1.46</v>
      </c>
      <c r="AM15" s="22">
        <v>0</v>
      </c>
      <c r="AN15" s="27"/>
      <c r="AO15" s="38">
        <f t="shared" si="10"/>
        <v>1.3</v>
      </c>
      <c r="AP15" s="38">
        <f t="shared" si="11"/>
        <v>1.5</v>
      </c>
      <c r="AQ15" s="40">
        <f t="shared" si="12"/>
        <v>5.0999999999999996</v>
      </c>
      <c r="AR15" s="40">
        <f t="shared" si="13"/>
        <v>8.5</v>
      </c>
      <c r="AS15" s="40">
        <f t="shared" si="14"/>
        <v>13.88</v>
      </c>
      <c r="AT15" s="40">
        <f t="shared" si="15"/>
        <v>46.38</v>
      </c>
      <c r="AU15" s="40">
        <f t="shared" si="16"/>
        <v>46.38</v>
      </c>
      <c r="AV15" s="40">
        <f t="shared" si="17"/>
        <v>1.3</v>
      </c>
      <c r="AW15" s="40">
        <f t="shared" si="18"/>
        <v>1.46</v>
      </c>
      <c r="AX15" s="40">
        <f t="shared" si="19"/>
        <v>4.96</v>
      </c>
      <c r="AY15" s="40">
        <f t="shared" si="20"/>
        <v>51.34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1"/>
        <v/>
      </c>
      <c r="BQ15" s="39" t="str">
        <f t="shared" si="22"/>
        <v/>
      </c>
      <c r="BR15" s="11" t="str">
        <f t="shared" si="23"/>
        <v/>
      </c>
      <c r="BS15" s="11" t="str">
        <f t="shared" si="24"/>
        <v/>
      </c>
      <c r="BT15" s="11" t="str">
        <f t="shared" si="25"/>
        <v/>
      </c>
      <c r="BU15" s="11" t="str">
        <f t="shared" si="26"/>
        <v/>
      </c>
      <c r="BV15" s="11" t="str">
        <f t="shared" si="27"/>
        <v/>
      </c>
      <c r="BW15" s="11" t="str">
        <f t="shared" si="28"/>
        <v/>
      </c>
      <c r="BX15" s="11" t="str">
        <f t="shared" si="29"/>
        <v/>
      </c>
      <c r="BY15" s="11" t="str">
        <f t="shared" si="30"/>
        <v/>
      </c>
      <c r="BZ15" s="11" t="str">
        <f t="shared" si="31"/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2"/>
        <v/>
      </c>
      <c r="CR15" s="38" t="str">
        <f t="shared" si="33"/>
        <v/>
      </c>
      <c r="CS15" s="40" t="str">
        <f t="shared" si="34"/>
        <v/>
      </c>
      <c r="CT15" s="40" t="str">
        <f t="shared" si="35"/>
        <v/>
      </c>
      <c r="CU15" s="40" t="str">
        <f t="shared" si="36"/>
        <v/>
      </c>
      <c r="CV15" s="40" t="str">
        <f t="shared" si="37"/>
        <v/>
      </c>
      <c r="CW15" s="40" t="str">
        <f t="shared" si="38"/>
        <v/>
      </c>
      <c r="CX15" s="40" t="str">
        <f t="shared" si="39"/>
        <v/>
      </c>
      <c r="CY15" s="40" t="str">
        <f t="shared" si="40"/>
        <v/>
      </c>
      <c r="CZ15" s="40" t="str">
        <f t="shared" si="41"/>
        <v/>
      </c>
      <c r="DA15" s="40" t="str">
        <f t="shared" si="42"/>
        <v/>
      </c>
      <c r="DB15" s="50">
        <f t="shared" si="43"/>
        <v>38.51</v>
      </c>
      <c r="DC15" s="50" t="str">
        <f t="shared" si="44"/>
        <v/>
      </c>
      <c r="DD15" s="17">
        <v>13.4</v>
      </c>
      <c r="DE15" s="17">
        <v>8.8000000000000007</v>
      </c>
      <c r="DF15" s="17">
        <v>8.6999999999999993</v>
      </c>
      <c r="DG15" s="17">
        <v>12.57</v>
      </c>
      <c r="DH15" s="17">
        <v>0</v>
      </c>
      <c r="DI15" s="17">
        <v>12.9</v>
      </c>
      <c r="DJ15" s="17">
        <v>8.6999999999999993</v>
      </c>
      <c r="DK15" s="17">
        <v>7.8</v>
      </c>
      <c r="DL15" s="17">
        <v>12.94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45"/>
        <v>8.6999999999999993</v>
      </c>
      <c r="DY15" s="40">
        <f t="shared" si="46"/>
        <v>12.57</v>
      </c>
      <c r="DZ15" s="40">
        <f t="shared" si="47"/>
        <v>43.47</v>
      </c>
      <c r="EA15" s="40">
        <f t="shared" si="48"/>
        <v>7.8</v>
      </c>
      <c r="EB15" s="40">
        <f t="shared" si="49"/>
        <v>12.94</v>
      </c>
      <c r="EC15" s="40">
        <f t="shared" si="50"/>
        <v>42.34</v>
      </c>
      <c r="ED15" s="40">
        <f t="shared" si="51"/>
        <v>43.47</v>
      </c>
      <c r="EE15" s="40" t="str">
        <f t="shared" si="52"/>
        <v/>
      </c>
      <c r="EF15" s="40" t="str">
        <f t="shared" si="53"/>
        <v/>
      </c>
      <c r="EG15" s="40" t="str">
        <f t="shared" si="54"/>
        <v/>
      </c>
      <c r="EH15" s="40" t="str">
        <f t="shared" si="55"/>
        <v/>
      </c>
      <c r="EI15" s="40" t="str">
        <f t="shared" si="56"/>
        <v/>
      </c>
      <c r="EJ15" s="40" t="str">
        <f t="shared" si="57"/>
        <v/>
      </c>
      <c r="EK15" s="40">
        <f t="shared" si="58"/>
        <v>43.47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59"/>
        <v/>
      </c>
      <c r="FG15" s="11" t="str">
        <f t="shared" si="60"/>
        <v/>
      </c>
      <c r="FH15" s="11" t="str">
        <f t="shared" si="61"/>
        <v/>
      </c>
      <c r="FI15" s="11" t="str">
        <f t="shared" si="62"/>
        <v/>
      </c>
      <c r="FJ15" s="11" t="str">
        <f t="shared" si="63"/>
        <v/>
      </c>
      <c r="FK15" s="11" t="str">
        <f t="shared" si="64"/>
        <v/>
      </c>
      <c r="FL15" s="11" t="str">
        <f t="shared" si="65"/>
        <v/>
      </c>
      <c r="FM15" s="11" t="str">
        <f t="shared" si="66"/>
        <v/>
      </c>
      <c r="FN15" s="11" t="str">
        <f t="shared" si="67"/>
        <v/>
      </c>
      <c r="FO15" s="11" t="str">
        <f t="shared" si="68"/>
        <v/>
      </c>
      <c r="FP15" s="11" t="str">
        <f t="shared" si="69"/>
        <v/>
      </c>
      <c r="FQ15" s="11" t="str">
        <f t="shared" si="70"/>
        <v/>
      </c>
      <c r="FR15" s="11" t="str">
        <f t="shared" si="71"/>
        <v/>
      </c>
      <c r="FS15" s="11" t="str">
        <f t="shared" si="72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3"/>
        <v/>
      </c>
      <c r="GO15" s="40" t="str">
        <f t="shared" si="74"/>
        <v/>
      </c>
      <c r="GP15" s="40" t="str">
        <f t="shared" si="75"/>
        <v/>
      </c>
      <c r="GQ15" s="40" t="str">
        <f t="shared" si="76"/>
        <v/>
      </c>
      <c r="GR15" s="40" t="str">
        <f t="shared" si="77"/>
        <v/>
      </c>
      <c r="GS15" s="40" t="str">
        <f t="shared" si="78"/>
        <v/>
      </c>
      <c r="GT15" s="40" t="str">
        <f t="shared" si="79"/>
        <v/>
      </c>
      <c r="GU15" s="40" t="str">
        <f t="shared" si="80"/>
        <v/>
      </c>
      <c r="GV15" s="40" t="str">
        <f t="shared" si="81"/>
        <v/>
      </c>
      <c r="GW15" s="40" t="str">
        <f t="shared" si="82"/>
        <v/>
      </c>
      <c r="GX15" s="40" t="str">
        <f t="shared" si="83"/>
        <v/>
      </c>
      <c r="GY15" s="40" t="str">
        <f t="shared" si="84"/>
        <v/>
      </c>
      <c r="GZ15" s="40" t="str">
        <f t="shared" si="85"/>
        <v/>
      </c>
      <c r="HA15" s="40" t="str">
        <f t="shared" si="86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87"/>
        <v/>
      </c>
      <c r="HW15" s="11" t="str">
        <f t="shared" si="88"/>
        <v/>
      </c>
      <c r="HX15" s="11" t="str">
        <f t="shared" si="89"/>
        <v/>
      </c>
      <c r="HY15" s="11" t="str">
        <f t="shared" si="90"/>
        <v/>
      </c>
      <c r="HZ15" s="11" t="str">
        <f t="shared" si="91"/>
        <v/>
      </c>
      <c r="IA15" s="11" t="str">
        <f t="shared" si="92"/>
        <v/>
      </c>
      <c r="IB15" s="11" t="str">
        <f t="shared" si="93"/>
        <v/>
      </c>
      <c r="IC15" s="11" t="str">
        <f t="shared" si="94"/>
        <v/>
      </c>
      <c r="ID15" s="11" t="str">
        <f t="shared" si="95"/>
        <v/>
      </c>
      <c r="IE15" s="11" t="str">
        <f t="shared" si="96"/>
        <v/>
      </c>
      <c r="IF15" s="11" t="str">
        <f t="shared" si="97"/>
        <v/>
      </c>
      <c r="IG15" s="11" t="str">
        <f t="shared" si="98"/>
        <v/>
      </c>
      <c r="IH15" s="11" t="str">
        <f t="shared" si="99"/>
        <v/>
      </c>
      <c r="II15" s="11" t="str">
        <f t="shared" si="100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1"/>
        <v/>
      </c>
      <c r="JE15" s="40" t="str">
        <f t="shared" si="102"/>
        <v/>
      </c>
      <c r="JF15" s="40" t="str">
        <f t="shared" si="103"/>
        <v/>
      </c>
      <c r="JG15" s="40" t="str">
        <f t="shared" si="104"/>
        <v/>
      </c>
      <c r="JH15" s="40" t="str">
        <f t="shared" si="105"/>
        <v/>
      </c>
      <c r="JI15" s="40" t="str">
        <f t="shared" si="106"/>
        <v/>
      </c>
      <c r="JJ15" s="40" t="str">
        <f t="shared" si="107"/>
        <v/>
      </c>
      <c r="JK15" s="40" t="str">
        <f t="shared" si="108"/>
        <v/>
      </c>
      <c r="JL15" s="40" t="str">
        <f t="shared" si="109"/>
        <v/>
      </c>
      <c r="JM15" s="40" t="str">
        <f t="shared" si="110"/>
        <v/>
      </c>
      <c r="JN15" s="40" t="str">
        <f t="shared" si="111"/>
        <v/>
      </c>
      <c r="JO15" s="40" t="str">
        <f t="shared" si="112"/>
        <v/>
      </c>
      <c r="JP15" s="40" t="str">
        <f t="shared" si="113"/>
        <v/>
      </c>
      <c r="JQ15" s="40" t="str">
        <f t="shared" si="114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15"/>
        <v/>
      </c>
      <c r="KM15" s="11" t="str">
        <f t="shared" si="116"/>
        <v/>
      </c>
      <c r="KN15" s="11" t="str">
        <f t="shared" si="117"/>
        <v/>
      </c>
      <c r="KO15" s="11" t="str">
        <f t="shared" si="118"/>
        <v/>
      </c>
      <c r="KP15" s="11" t="str">
        <f t="shared" si="119"/>
        <v/>
      </c>
      <c r="KQ15" s="11" t="str">
        <f t="shared" si="120"/>
        <v/>
      </c>
      <c r="KR15" s="11" t="str">
        <f t="shared" si="121"/>
        <v/>
      </c>
      <c r="KS15" s="11" t="str">
        <f t="shared" si="122"/>
        <v/>
      </c>
      <c r="KT15" s="11" t="str">
        <f t="shared" si="123"/>
        <v/>
      </c>
      <c r="KU15" s="11" t="str">
        <f t="shared" si="124"/>
        <v/>
      </c>
      <c r="KV15" s="11" t="str">
        <f t="shared" si="125"/>
        <v/>
      </c>
      <c r="KW15" s="11" t="str">
        <f t="shared" si="126"/>
        <v/>
      </c>
      <c r="KX15" s="11" t="str">
        <f t="shared" si="127"/>
        <v/>
      </c>
      <c r="KY15" s="11" t="str">
        <f t="shared" si="128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29"/>
        <v/>
      </c>
      <c r="LU15" s="40" t="str">
        <f t="shared" si="130"/>
        <v/>
      </c>
      <c r="LV15" s="40" t="str">
        <f t="shared" si="131"/>
        <v/>
      </c>
      <c r="LW15" s="40" t="str">
        <f t="shared" si="132"/>
        <v/>
      </c>
      <c r="LX15" s="40" t="str">
        <f t="shared" si="133"/>
        <v/>
      </c>
      <c r="LY15" s="40" t="str">
        <f t="shared" si="134"/>
        <v/>
      </c>
      <c r="LZ15" s="40" t="str">
        <f t="shared" si="135"/>
        <v/>
      </c>
      <c r="MA15" s="40" t="str">
        <f t="shared" si="136"/>
        <v/>
      </c>
      <c r="MB15" s="40" t="str">
        <f t="shared" si="137"/>
        <v/>
      </c>
      <c r="MC15" s="40" t="str">
        <f t="shared" si="138"/>
        <v/>
      </c>
      <c r="MD15" s="40" t="str">
        <f t="shared" si="139"/>
        <v/>
      </c>
      <c r="ME15" s="40" t="str">
        <f t="shared" si="140"/>
        <v/>
      </c>
      <c r="MF15" s="40" t="str">
        <f t="shared" si="141"/>
        <v/>
      </c>
      <c r="MG15" s="40" t="str">
        <f t="shared" si="142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3"/>
        <v/>
      </c>
      <c r="NC15" s="11" t="str">
        <f t="shared" si="144"/>
        <v/>
      </c>
      <c r="ND15" s="11" t="str">
        <f t="shared" si="145"/>
        <v/>
      </c>
      <c r="NE15" s="11" t="str">
        <f t="shared" si="146"/>
        <v/>
      </c>
      <c r="NF15" s="11" t="str">
        <f t="shared" si="147"/>
        <v/>
      </c>
      <c r="NG15" s="11" t="str">
        <f t="shared" si="148"/>
        <v/>
      </c>
      <c r="NH15" s="11" t="str">
        <f t="shared" si="149"/>
        <v/>
      </c>
      <c r="NI15" s="11" t="str">
        <f t="shared" si="150"/>
        <v/>
      </c>
      <c r="NJ15" s="11" t="str">
        <f t="shared" si="151"/>
        <v/>
      </c>
      <c r="NK15" s="11" t="str">
        <f t="shared" si="152"/>
        <v/>
      </c>
      <c r="NL15" s="11" t="str">
        <f t="shared" si="153"/>
        <v/>
      </c>
      <c r="NM15" s="11" t="str">
        <f t="shared" si="154"/>
        <v/>
      </c>
      <c r="NN15" s="11" t="str">
        <f t="shared" si="155"/>
        <v/>
      </c>
      <c r="NO15" s="11" t="str">
        <f t="shared" si="156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57"/>
        <v/>
      </c>
      <c r="OK15" s="40" t="str">
        <f t="shared" si="158"/>
        <v/>
      </c>
      <c r="OL15" s="40" t="str">
        <f t="shared" si="159"/>
        <v/>
      </c>
      <c r="OM15" s="40" t="str">
        <f t="shared" si="160"/>
        <v/>
      </c>
      <c r="ON15" s="40" t="str">
        <f t="shared" si="161"/>
        <v/>
      </c>
      <c r="OO15" s="40" t="str">
        <f t="shared" si="162"/>
        <v/>
      </c>
      <c r="OP15" s="40" t="str">
        <f t="shared" si="163"/>
        <v/>
      </c>
      <c r="OQ15" s="40" t="str">
        <f t="shared" si="164"/>
        <v/>
      </c>
      <c r="OR15" s="40" t="str">
        <f t="shared" si="165"/>
        <v/>
      </c>
      <c r="OS15" s="40" t="str">
        <f t="shared" si="166"/>
        <v/>
      </c>
      <c r="OT15" s="40" t="str">
        <f t="shared" si="167"/>
        <v/>
      </c>
      <c r="OU15" s="40" t="str">
        <f t="shared" si="168"/>
        <v/>
      </c>
      <c r="OV15" s="40" t="str">
        <f t="shared" si="169"/>
        <v/>
      </c>
      <c r="OW15" s="40" t="str">
        <f t="shared" si="170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1"/>
        <v/>
      </c>
      <c r="PS15" s="11" t="str">
        <f t="shared" si="172"/>
        <v/>
      </c>
      <c r="PT15" s="11" t="str">
        <f t="shared" si="173"/>
        <v/>
      </c>
      <c r="PU15" s="11" t="str">
        <f t="shared" si="174"/>
        <v/>
      </c>
      <c r="PV15" s="11" t="str">
        <f t="shared" si="175"/>
        <v/>
      </c>
      <c r="PW15" s="11" t="str">
        <f t="shared" si="176"/>
        <v/>
      </c>
      <c r="PX15" s="11" t="str">
        <f t="shared" si="177"/>
        <v/>
      </c>
      <c r="PY15" s="11" t="str">
        <f t="shared" si="178"/>
        <v/>
      </c>
      <c r="PZ15" s="11" t="str">
        <f t="shared" si="179"/>
        <v/>
      </c>
      <c r="QA15" s="11" t="str">
        <f t="shared" si="180"/>
        <v/>
      </c>
      <c r="QB15" s="11" t="str">
        <f t="shared" si="181"/>
        <v/>
      </c>
      <c r="QC15" s="11" t="str">
        <f t="shared" si="182"/>
        <v/>
      </c>
      <c r="QD15" s="11" t="str">
        <f t="shared" si="183"/>
        <v/>
      </c>
      <c r="QE15" s="11" t="str">
        <f t="shared" si="184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85"/>
        <v/>
      </c>
      <c r="RA15" s="40" t="str">
        <f t="shared" si="186"/>
        <v/>
      </c>
      <c r="RB15" s="40" t="str">
        <f t="shared" si="187"/>
        <v/>
      </c>
      <c r="RC15" s="40" t="str">
        <f t="shared" si="188"/>
        <v/>
      </c>
      <c r="RD15" s="40" t="str">
        <f t="shared" si="189"/>
        <v/>
      </c>
      <c r="RE15" s="40" t="str">
        <f t="shared" si="190"/>
        <v/>
      </c>
      <c r="RF15" s="40" t="str">
        <f t="shared" si="191"/>
        <v/>
      </c>
      <c r="RG15" s="40" t="str">
        <f t="shared" si="192"/>
        <v/>
      </c>
      <c r="RH15" s="40" t="str">
        <f t="shared" si="193"/>
        <v/>
      </c>
      <c r="RI15" s="40" t="str">
        <f t="shared" si="194"/>
        <v/>
      </c>
      <c r="RJ15" s="40" t="str">
        <f t="shared" si="195"/>
        <v/>
      </c>
      <c r="RK15" s="40" t="str">
        <f t="shared" si="196"/>
        <v/>
      </c>
      <c r="RL15" s="40" t="str">
        <f t="shared" si="197"/>
        <v/>
      </c>
      <c r="RM15" s="40" t="str">
        <f t="shared" si="198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199"/>
        <v/>
      </c>
      <c r="SI15" s="11" t="str">
        <f t="shared" si="200"/>
        <v/>
      </c>
      <c r="SJ15" s="11" t="str">
        <f t="shared" si="201"/>
        <v/>
      </c>
      <c r="SK15" s="11" t="str">
        <f t="shared" si="202"/>
        <v/>
      </c>
      <c r="SL15" s="11" t="str">
        <f t="shared" si="203"/>
        <v/>
      </c>
      <c r="SM15" s="11" t="str">
        <f t="shared" si="204"/>
        <v/>
      </c>
      <c r="SN15" s="11" t="str">
        <f t="shared" si="205"/>
        <v/>
      </c>
      <c r="SO15" s="11" t="str">
        <f t="shared" si="206"/>
        <v/>
      </c>
      <c r="SP15" s="11" t="str">
        <f t="shared" si="207"/>
        <v/>
      </c>
      <c r="SQ15" s="11" t="str">
        <f t="shared" si="208"/>
        <v/>
      </c>
      <c r="SR15" s="11" t="str">
        <f t="shared" si="209"/>
        <v/>
      </c>
      <c r="SS15" s="11" t="str">
        <f t="shared" si="210"/>
        <v/>
      </c>
      <c r="ST15" s="11" t="str">
        <f t="shared" si="211"/>
        <v/>
      </c>
      <c r="SU15" s="11" t="str">
        <f t="shared" si="212"/>
        <v/>
      </c>
      <c r="SV15" s="22">
        <f t="shared" si="213"/>
        <v>0</v>
      </c>
      <c r="SW15" s="22">
        <f t="shared" si="214"/>
        <v>0</v>
      </c>
      <c r="SX15" s="22">
        <f t="shared" si="215"/>
        <v>0</v>
      </c>
      <c r="SY15" s="22">
        <f t="shared" si="216"/>
        <v>0</v>
      </c>
      <c r="SZ15" s="22">
        <f t="shared" si="217"/>
        <v>0</v>
      </c>
      <c r="TA15" s="22">
        <f t="shared" si="218"/>
        <v>0</v>
      </c>
      <c r="TB15" s="22">
        <f t="shared" si="219"/>
        <v>0</v>
      </c>
      <c r="TC15" s="22">
        <f t="shared" si="220"/>
        <v>0</v>
      </c>
      <c r="TD15" s="22">
        <f t="shared" si="221"/>
        <v>0</v>
      </c>
      <c r="TE15" s="22">
        <f t="shared" si="222"/>
        <v>0</v>
      </c>
      <c r="TF15" s="22">
        <f t="shared" si="223"/>
        <v>0</v>
      </c>
      <c r="TG15" s="22">
        <f t="shared" si="224"/>
        <v>0</v>
      </c>
      <c r="TH15" s="22">
        <f t="shared" si="225"/>
        <v>0</v>
      </c>
      <c r="TI15" s="22">
        <f t="shared" si="226"/>
        <v>0</v>
      </c>
      <c r="TJ15" s="22">
        <f t="shared" si="227"/>
        <v>0</v>
      </c>
      <c r="TK15" s="27" t="s">
        <v>46</v>
      </c>
      <c r="TL15" s="40" t="str">
        <f t="shared" si="228"/>
        <v/>
      </c>
      <c r="TM15" s="40" t="str">
        <f t="shared" si="229"/>
        <v/>
      </c>
      <c r="TN15" s="40" t="str">
        <f t="shared" si="230"/>
        <v/>
      </c>
      <c r="TO15" s="40" t="str">
        <f t="shared" si="231"/>
        <v/>
      </c>
      <c r="TP15" s="40" t="str">
        <f t="shared" si="232"/>
        <v/>
      </c>
      <c r="TQ15" s="40" t="str">
        <f t="shared" si="233"/>
        <v/>
      </c>
      <c r="TR15" s="40" t="str">
        <f t="shared" si="234"/>
        <v/>
      </c>
      <c r="TS15" s="40" t="str">
        <f t="shared" si="235"/>
        <v/>
      </c>
      <c r="TT15" s="40" t="str">
        <f t="shared" si="236"/>
        <v/>
      </c>
      <c r="TU15" s="40" t="str">
        <f t="shared" si="237"/>
        <v/>
      </c>
      <c r="TV15" s="40" t="str">
        <f t="shared" si="238"/>
        <v/>
      </c>
    </row>
    <row r="16" spans="1:542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174</v>
      </c>
      <c r="D16" s="4" t="s">
        <v>4</v>
      </c>
      <c r="E16" s="4">
        <v>2008</v>
      </c>
      <c r="F16" s="9">
        <f t="shared" si="0"/>
        <v>69.190002398999994</v>
      </c>
      <c r="G16" s="64"/>
      <c r="H16" s="3" t="str">
        <f>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P","")</f>
        <v/>
      </c>
      <c r="I16" s="3" t="str">
        <f>IF(OR(AND(AQ16&gt;=AY$26,AQ16&lt;&gt;"",AN16=""),AND(AT16&gt;=AY$26,AT16&lt;&gt;"",AN16=""),AND(AX16&gt;=AY$26,AX16&lt;&gt;"",AN16=""),AND(BR16&gt;=BZ$26,BR16&lt;&gt;"",BO16=""),AND(BU16&gt;=BZ$26,BU16&lt;&gt;"",BO16=""),AND(BY16&gt;=BZ$26,BY16&lt;&gt;"",BO16=""),AND(CS16&gt;=DA$26,CS16&lt;&gt;"",CP16=""),AND(CV16&gt;=DA$26,CV16&lt;&gt;"",CP16=""),AND(CZ16&gt;=DA$26,CZ16&lt;&gt;"",CP16=""),AND(DZ16&gt;=EK$26,DZ16&lt;&gt;""),AND(EC16&gt;=EK$26,EC16&lt;&gt;""),AND(EG16&gt;=EK$26,EG16&lt;&gt;""),AND(EJ16&gt;=EK$26,EJ16&lt;&gt;""),AND(FH16&gt;=FS$26,FH16&lt;&gt;""),AND(FK16&gt;=FS$26,FK16&lt;&gt;""),AND(FO16&gt;=FS$26,FO16&lt;&gt;""),AND(FR16&gt;=FS$26,FR16&lt;&gt;""),AND(GP16&gt;=HA$26,GP16&lt;&gt;""),AND(GS16&gt;=HA$26,GS16&lt;&gt;""),AND(GW16&gt;=HA$26,GW16&lt;&gt;""),AND(GZ16&gt;=HA$26,GZ16&lt;&gt;""),AND(HX16&gt;=II$26,HX16&lt;&gt;""),AND(IA16&gt;=II$26,IA16&lt;&gt;""),AND(IE16&gt;=II$26,IE16&lt;&gt;""),AND(IH16&gt;=II$26,IH16&lt;&gt;""),AND(JF16&gt;=JQ$26,JF16&lt;&gt;""),AND(JI16&gt;=JQ$26,JI16&lt;&gt;""),AND(JM16&gt;=JQ$26,JM16&lt;&gt;""),AND(JP16&gt;=JQ$26,JP16&lt;&gt;""),AND(KN16&gt;=KY$26,KN16&lt;&gt;""),AND(KQ16&gt;=KY$26,KQ16&lt;&gt;""),AND(KU16&gt;=KY$26,KU16&lt;&gt;""),AND(KX16&gt;=KY$26,KX16&lt;&gt;""),AND(LV16&gt;=MG$26,LV16&lt;&gt;""),AND(LY16&gt;=MG$26,LY16&lt;&gt;""),AND(MC16&gt;=MG$26,MC16&lt;&gt;""),AND(MF16&gt;=MG$26,MF16&lt;&gt;""),AND(ND16&gt;=NO$26,ND16&lt;&gt;""),AND(NG16&gt;=NO$26,NG16&lt;&gt;""),AND(NK16&gt;=NO$26,NK16&lt;&gt;""),AND(NN16&gt;=NO$26,NN16&lt;&gt;""),AND(OL16&gt;=OW$26,OL16&lt;&gt;""),AND(OO16&gt;=OW$26,OO16&lt;&gt;""),AND(OS16&gt;=OW$26,OS16&lt;&gt;""),AND(OV16&gt;=OW$26,OV16&lt;&gt;""),AND(PT16&gt;=QE$26,PT16&lt;&gt;""),AND(PW16&gt;=QE$26,PW16&lt;&gt;""),AND(QA16&gt;=QE$26,QA16&lt;&gt;""),AND(QD16&gt;=QE$26,QD16&lt;&gt;""),AND(RB16&gt;=RM$26,RB16&lt;&gt;""),AND(RE16&gt;=RM$26,RE16&lt;&gt;""),AND(RI16&gt;=RM$26,RI16&lt;&gt;""),AND(RL16&gt;=RM$26,RL16&lt;&gt;""),AND(SJ16&gt;=SU$26,SJ16&lt;&gt;""),AND(SM16&gt;=SU$26,SM16&lt;&gt;""),AND(SQ16&gt;=SU$26,SQ16&lt;&gt;""),AND(ST16&gt;=SU$26,ST16&lt;&gt;"")),"P","")</f>
        <v/>
      </c>
      <c r="J16" s="36" t="str">
        <f>IF(AND(I16="P",H16=""),"No DD",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Merit",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Excellence",IF(K16="P","Worlds Team",IF(H16="P","National Team","")))))</f>
        <v/>
      </c>
      <c r="K16" s="3" t="str">
        <f>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P","")</f>
        <v/>
      </c>
      <c r="L16" s="8">
        <f>IF(COUNT(AQ16,AT16,BR16,BU16,CS16,CV16)&gt;0,LARGE((AQ16,AT16,BR16,BU16,CS16,CV16),1),0)</f>
        <v>0</v>
      </c>
      <c r="M16" s="8" t="str">
        <f t="shared" si="1"/>
        <v/>
      </c>
      <c r="N16" s="8">
        <f>IF(COUNT(AQ16,AT16,BR16,BU16,CS16,CV16)&gt;1,LARGE((AQ16,AT16,BR16,BU16,CS16,CV16),2),0)</f>
        <v>0</v>
      </c>
      <c r="O16" s="8" t="str">
        <f t="shared" si="2"/>
        <v/>
      </c>
      <c r="P16" s="8">
        <f>IF(COUNT(AQ16,AT16,BR16,BU16,CS16,CV16)&gt;2,MAX(AX16,BY16,CZ16,LARGE((AQ16,AT16,BR16,BU16,CS16,CV16),3)),IF(MAX(AX16,BY16,CZ16)&gt;0,MAX(AX16,BY16,CZ16),0))</f>
        <v>0</v>
      </c>
      <c r="Q16" s="8" t="str">
        <f t="shared" si="3"/>
        <v/>
      </c>
      <c r="R16" s="8">
        <f t="shared" si="4"/>
        <v>10.3</v>
      </c>
      <c r="S16" s="8" t="str">
        <f t="shared" si="5"/>
        <v>2024 Coimbra Gym Fest (July 7)</v>
      </c>
      <c r="T16" s="8">
        <f>IF(MAX(IF(AO16&gt;=$AY$22,AP16,0),IF(AR16&gt;=$AY$22,AS16,0),IF(AV16&gt;=$AY$22,AW16,0),IF(BP16&gt;=$BZ$22,BQ16,0),IF(BS16&gt;=$BZ$22,BT16,0),IF(BW16&gt;=$BZ$22,BX16,0),IF(CQ16&gt;=$DA$22,CR16,0),IF(CT16&gt;=$DA$22,CU16,0),IF(CX16&gt;=$DA$22,CY16,0),IF(DX16&gt;=$EK$22,DY16,0),IF(EA16&gt;=$EK$22,EB16,0),IF(EE16&gt;=$EK$22,EF16,0),IF(EH16&gt;=$EK$22,EI16,0),IF(FF16&gt;=$FS$22,FG16,0),IF(FI16&gt;=$FS$22,FJ16,0),IF(FM16&gt;=$FS$22,FN16,0),IF(FP16&gt;=$FS$22,FQ16,0),IF(GN16&gt;=$HA$22,GO16,0),IF(GQ16&gt;=$HA$22,GR16,0),IF(GU16&gt;=$HA$22,GV16,0),IF(GX16&gt;=$HA$22,GY16,0),IF(HV16&gt;=$II$22,HW16,0),IF(HY16&gt;=$II$22,HZ16,0),IF(IC16&gt;=$II$22,ID16,0),IF(IF16&gt;=$II$22,IG16,0),IF(JD16&gt;=$JQ$22,JE16,0),IF(JG16&gt;=$JQ$22,JH16,0),IF(JK16&gt;=$JQ$22,JL16,0),IF(JN16&gt;=$JQ$22,JO16,0),IF(KL16&gt;=$KY$22,KM16,0),IF(KO16&gt;=$KY$22,KP16,0),IF(KS16&gt;=$KY$22,KT16,0),IF(KV16&gt;=$KY$22,KW16,0),IF(LT16&gt;=$MG$22,LU16,0),IF(LW16&gt;=$MG$22,LX16,0),IF(MA16&gt;=$MG$22,MB16,0),IF(MD16&gt;=$MG$22,ME16,0),IF(NB16&gt;=$NO$22,NC16,0),IF(NE16&gt;=$NO$22,NF16,0),IF(NI16&gt;=$NO$22,NJ16,0),IF(NL16&gt;=$NO$22,NM16,0),IF(OJ16&gt;=$OW$22,OK16,0),IF(OM16&gt;=$OW$22,ON16,0),IF(OQ16&gt;=$OW$22,OR16,0),IF(OT16&gt;=$OW$22,OU16,0),IF(PR16&gt;=$QE$22,PS16,0),IF(PU16&gt;=$QE$22,PV16,0),IF(PY16&gt;=$QE$22,PZ16,0),IF(QB16&gt;=$QE$22,QC16,0),IF(QZ16&gt;=$RM$22,RA16,0),IF(RC16&gt;=$RM$22,RD16,0),IF(RG16&gt;=$RM$22,RH16,0),IF(RJ16&gt;=$RM$22,RK16,0),IF(SH16&gt;=$SU$22,SI16,0),IF(SK16&gt;=$SU$22,SL16,0),IF(SO16&gt;=$SU$22,SP16,0),IF(SR16&gt;=$SU$22,SS16,0))&gt;0,MAX(IF(AO16&gt;=$AY$22,AP16,0),IF(AR16&gt;=$AY$22,AS16,0),IF(AV16&gt;=$AY$22,AW16,0),IF(BP16&gt;=$BZ$22,BQ16,0),IF(BS16&gt;=$BZ$22,BT16,0),IF(BW16&gt;=$BZ$22,BX16,0),IF(CQ16&gt;=$DA$22,CR16,0),IF(CT16&gt;=$DA$22,CU16,0),IF(CX16&gt;=$DA$22,CY16,0),IF(DX16&gt;=$EK$22,DY16,0),IF(EA16&gt;=$EK$22,EB16,0),IF(EE16&gt;=$EK$22,EF16,0),IF(EH16&gt;=$EK$22,EI16,0),IF(FF16&gt;=$FS$22,FG16,0),IF(FI16&gt;=$FS$22,FJ16,0),IF(FM16&gt;=$FS$22,FN16,0),IF(FP16&gt;=$FS$22,FQ16,0),IF(GN16&gt;=$HA$22,GO16,0),IF(GQ16&gt;=$HA$22,GR16,0),IF(GU16&gt;=$HA$22,GV16,0),IF(GX16&gt;=$HA$22,GY16,0),IF(HV16&gt;=$II$22,HW16,0),IF(HY16&gt;=$II$22,HZ16,0),IF(IC16&gt;=$II$22,ID16,0),IF(IF16&gt;=$II$22,IG16,0),IF(JD16&gt;=$JQ$22,JE16,0),IF(JG16&gt;=$JQ$22,JH16,0),IF(JK16&gt;=$JQ$22,JL16,0),IF(JN16&gt;=$JQ$22,JO16,0),IF(KL16&gt;=$KY$22,KM16,0),IF(KO16&gt;=$KY$22,KP16,0),IF(KS16&gt;=$KY$22,KT16,0),IF(KV16&gt;=$KY$22,KW16,0),IF(LT16&gt;=$MG$22,LU16,0),IF(LW16&gt;=$MG$22,LX16,0),IF(MA16&gt;=$MG$22,MB16,0),IF(MD16&gt;=$MG$22,ME16,0),IF(NB16&gt;=$NO$22,NC16,0),IF(NE16&gt;=$NO$22,NF16,0),IF(NI16&gt;=$NO$22,NJ16,0),IF(NL16&gt;=$NO$22,NM16,0),IF(OJ16&gt;=$OW$22,OK16,0),IF(OM16&gt;=$OW$22,ON16,0),IF(OQ16&gt;=$OW$22,OR16,0),IF(OT16&gt;=$OW$22,OU16,0),IF(PR16&gt;=$QE$22,PS16,0),IF(PU16&gt;=$QE$22,PV16,0),IF(PY16&gt;=$QE$22,PZ16,0),IF(QB16&gt;=$QE$22,QC16,0),IF(QZ16&gt;=$RM$22,RA16,0),IF(RC16&gt;=$RM$22,RD16,0),IF(RG16&gt;=$RM$22,RH16,0),IF(RJ16&gt;=$RM$22,RK16,0),IF(SH16&gt;=$SU$22,SI16,0),IF(SK16&gt;=$SU$22,SL16,0),IF(SO16&gt;=$SU$22,SP16,0),IF(SR16&gt;=$SU$22,SS16,0)),0)</f>
        <v>13.69</v>
      </c>
      <c r="U16" s="8" t="str">
        <f t="shared" si="6"/>
        <v>2024 Coimbra Gym Fest (July 7)</v>
      </c>
      <c r="V16" s="8">
        <f t="shared" si="7"/>
        <v>45.199999999999996</v>
      </c>
      <c r="W16" s="11" t="str">
        <f t="shared" si="8"/>
        <v>(Optional)</v>
      </c>
      <c r="X16" s="8" t="str">
        <f t="shared" si="9"/>
        <v>2024 Coimbra Gym Fest (July 7)</v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 t="shared" si="10"/>
        <v/>
      </c>
      <c r="AP16" s="38" t="str">
        <f t="shared" si="11"/>
        <v/>
      </c>
      <c r="AQ16" s="40" t="str">
        <f t="shared" si="12"/>
        <v/>
      </c>
      <c r="AR16" s="40" t="str">
        <f t="shared" si="13"/>
        <v/>
      </c>
      <c r="AS16" s="40" t="str">
        <f t="shared" si="14"/>
        <v/>
      </c>
      <c r="AT16" s="40" t="str">
        <f t="shared" si="15"/>
        <v/>
      </c>
      <c r="AU16" s="40" t="str">
        <f t="shared" si="16"/>
        <v/>
      </c>
      <c r="AV16" s="40" t="str">
        <f t="shared" si="17"/>
        <v/>
      </c>
      <c r="AW16" s="40" t="str">
        <f t="shared" si="18"/>
        <v/>
      </c>
      <c r="AX16" s="40" t="str">
        <f t="shared" si="19"/>
        <v/>
      </c>
      <c r="AY16" s="40" t="str">
        <f t="shared" si="20"/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 t="shared" si="21"/>
        <v/>
      </c>
      <c r="BQ16" s="39" t="str">
        <f t="shared" si="22"/>
        <v/>
      </c>
      <c r="BR16" s="11" t="str">
        <f t="shared" si="23"/>
        <v/>
      </c>
      <c r="BS16" s="11" t="str">
        <f t="shared" si="24"/>
        <v/>
      </c>
      <c r="BT16" s="11" t="str">
        <f t="shared" si="25"/>
        <v/>
      </c>
      <c r="BU16" s="11" t="str">
        <f t="shared" si="26"/>
        <v/>
      </c>
      <c r="BV16" s="11" t="str">
        <f t="shared" si="27"/>
        <v/>
      </c>
      <c r="BW16" s="11" t="str">
        <f t="shared" si="28"/>
        <v/>
      </c>
      <c r="BX16" s="11" t="str">
        <f t="shared" si="29"/>
        <v/>
      </c>
      <c r="BY16" s="11" t="str">
        <f t="shared" si="30"/>
        <v/>
      </c>
      <c r="BZ16" s="11" t="str">
        <f t="shared" si="31"/>
        <v/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2"/>
        <v/>
      </c>
      <c r="CR16" s="38" t="str">
        <f t="shared" si="33"/>
        <v/>
      </c>
      <c r="CS16" s="40" t="str">
        <f t="shared" si="34"/>
        <v/>
      </c>
      <c r="CT16" s="40" t="str">
        <f t="shared" si="35"/>
        <v/>
      </c>
      <c r="CU16" s="40" t="str">
        <f t="shared" si="36"/>
        <v/>
      </c>
      <c r="CV16" s="40" t="str">
        <f t="shared" si="37"/>
        <v/>
      </c>
      <c r="CW16" s="40" t="str">
        <f t="shared" si="38"/>
        <v/>
      </c>
      <c r="CX16" s="40" t="str">
        <f t="shared" si="39"/>
        <v/>
      </c>
      <c r="CY16" s="40" t="str">
        <f t="shared" si="40"/>
        <v/>
      </c>
      <c r="CZ16" s="40" t="str">
        <f t="shared" si="41"/>
        <v/>
      </c>
      <c r="DA16" s="40" t="str">
        <f t="shared" si="42"/>
        <v/>
      </c>
      <c r="DB16" s="50">
        <f t="shared" si="43"/>
        <v>45.199999999999996</v>
      </c>
      <c r="DC16" s="50" t="str">
        <f t="shared" si="44"/>
        <v/>
      </c>
      <c r="DD16" s="17">
        <v>15.3</v>
      </c>
      <c r="DE16" s="17">
        <v>9.4</v>
      </c>
      <c r="DF16" s="17">
        <v>0</v>
      </c>
      <c r="DG16" s="17">
        <v>13.69</v>
      </c>
      <c r="DH16" s="17">
        <v>0</v>
      </c>
      <c r="DI16" s="17">
        <v>13</v>
      </c>
      <c r="DJ16" s="17">
        <v>9</v>
      </c>
      <c r="DK16" s="17">
        <v>10.3</v>
      </c>
      <c r="DL16" s="17">
        <v>12.9</v>
      </c>
      <c r="DM16" s="17">
        <v>0</v>
      </c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45"/>
        <v/>
      </c>
      <c r="DY16" s="40">
        <f t="shared" si="46"/>
        <v>13.69</v>
      </c>
      <c r="DZ16" s="40">
        <f t="shared" si="47"/>
        <v>38.39</v>
      </c>
      <c r="EA16" s="40">
        <f t="shared" si="48"/>
        <v>10.3</v>
      </c>
      <c r="EB16" s="40">
        <f t="shared" si="49"/>
        <v>12.9</v>
      </c>
      <c r="EC16" s="40">
        <f t="shared" si="50"/>
        <v>45.199999999999996</v>
      </c>
      <c r="ED16" s="40">
        <f t="shared" si="51"/>
        <v>45.199999999999996</v>
      </c>
      <c r="EE16" s="40" t="str">
        <f t="shared" si="52"/>
        <v/>
      </c>
      <c r="EF16" s="40" t="str">
        <f t="shared" si="53"/>
        <v/>
      </c>
      <c r="EG16" s="40" t="str">
        <f t="shared" si="54"/>
        <v/>
      </c>
      <c r="EH16" s="40" t="str">
        <f t="shared" si="55"/>
        <v/>
      </c>
      <c r="EI16" s="40" t="str">
        <f t="shared" si="56"/>
        <v/>
      </c>
      <c r="EJ16" s="40" t="str">
        <f t="shared" si="57"/>
        <v/>
      </c>
      <c r="EK16" s="40">
        <f t="shared" si="58"/>
        <v>45.199999999999996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59"/>
        <v/>
      </c>
      <c r="FG16" s="11" t="str">
        <f t="shared" si="60"/>
        <v/>
      </c>
      <c r="FH16" s="11" t="str">
        <f t="shared" si="61"/>
        <v/>
      </c>
      <c r="FI16" s="11" t="str">
        <f t="shared" si="62"/>
        <v/>
      </c>
      <c r="FJ16" s="11" t="str">
        <f t="shared" si="63"/>
        <v/>
      </c>
      <c r="FK16" s="11" t="str">
        <f t="shared" si="64"/>
        <v/>
      </c>
      <c r="FL16" s="11" t="str">
        <f t="shared" si="65"/>
        <v/>
      </c>
      <c r="FM16" s="11" t="str">
        <f t="shared" si="66"/>
        <v/>
      </c>
      <c r="FN16" s="11" t="str">
        <f t="shared" si="67"/>
        <v/>
      </c>
      <c r="FO16" s="11" t="str">
        <f t="shared" si="68"/>
        <v/>
      </c>
      <c r="FP16" s="11" t="str">
        <f t="shared" si="69"/>
        <v/>
      </c>
      <c r="FQ16" s="11" t="str">
        <f t="shared" si="70"/>
        <v/>
      </c>
      <c r="FR16" s="11" t="str">
        <f t="shared" si="71"/>
        <v/>
      </c>
      <c r="FS16" s="11" t="str">
        <f t="shared" si="72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3"/>
        <v/>
      </c>
      <c r="GO16" s="40" t="str">
        <f t="shared" si="74"/>
        <v/>
      </c>
      <c r="GP16" s="40" t="str">
        <f t="shared" si="75"/>
        <v/>
      </c>
      <c r="GQ16" s="40" t="str">
        <f t="shared" si="76"/>
        <v/>
      </c>
      <c r="GR16" s="40" t="str">
        <f t="shared" si="77"/>
        <v/>
      </c>
      <c r="GS16" s="40" t="str">
        <f t="shared" si="78"/>
        <v/>
      </c>
      <c r="GT16" s="40" t="str">
        <f t="shared" si="79"/>
        <v/>
      </c>
      <c r="GU16" s="40" t="str">
        <f t="shared" si="80"/>
        <v/>
      </c>
      <c r="GV16" s="40" t="str">
        <f t="shared" si="81"/>
        <v/>
      </c>
      <c r="GW16" s="40" t="str">
        <f t="shared" si="82"/>
        <v/>
      </c>
      <c r="GX16" s="40" t="str">
        <f t="shared" si="83"/>
        <v/>
      </c>
      <c r="GY16" s="40" t="str">
        <f t="shared" si="84"/>
        <v/>
      </c>
      <c r="GZ16" s="40" t="str">
        <f t="shared" si="85"/>
        <v/>
      </c>
      <c r="HA16" s="40" t="str">
        <f t="shared" si="86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87"/>
        <v/>
      </c>
      <c r="HW16" s="11" t="str">
        <f t="shared" si="88"/>
        <v/>
      </c>
      <c r="HX16" s="11" t="str">
        <f t="shared" si="89"/>
        <v/>
      </c>
      <c r="HY16" s="11" t="str">
        <f t="shared" si="90"/>
        <v/>
      </c>
      <c r="HZ16" s="11" t="str">
        <f t="shared" si="91"/>
        <v/>
      </c>
      <c r="IA16" s="11" t="str">
        <f t="shared" si="92"/>
        <v/>
      </c>
      <c r="IB16" s="11" t="str">
        <f t="shared" si="93"/>
        <v/>
      </c>
      <c r="IC16" s="11" t="str">
        <f t="shared" si="94"/>
        <v/>
      </c>
      <c r="ID16" s="11" t="str">
        <f t="shared" si="95"/>
        <v/>
      </c>
      <c r="IE16" s="11" t="str">
        <f t="shared" si="96"/>
        <v/>
      </c>
      <c r="IF16" s="11" t="str">
        <f t="shared" si="97"/>
        <v/>
      </c>
      <c r="IG16" s="11" t="str">
        <f t="shared" si="98"/>
        <v/>
      </c>
      <c r="IH16" s="11" t="str">
        <f t="shared" si="99"/>
        <v/>
      </c>
      <c r="II16" s="11" t="str">
        <f t="shared" si="100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1"/>
        <v/>
      </c>
      <c r="JE16" s="40" t="str">
        <f t="shared" si="102"/>
        <v/>
      </c>
      <c r="JF16" s="40" t="str">
        <f t="shared" si="103"/>
        <v/>
      </c>
      <c r="JG16" s="40" t="str">
        <f t="shared" si="104"/>
        <v/>
      </c>
      <c r="JH16" s="40" t="str">
        <f t="shared" si="105"/>
        <v/>
      </c>
      <c r="JI16" s="40" t="str">
        <f t="shared" si="106"/>
        <v/>
      </c>
      <c r="JJ16" s="40" t="str">
        <f t="shared" si="107"/>
        <v/>
      </c>
      <c r="JK16" s="40" t="str">
        <f t="shared" si="108"/>
        <v/>
      </c>
      <c r="JL16" s="40" t="str">
        <f t="shared" si="109"/>
        <v/>
      </c>
      <c r="JM16" s="40" t="str">
        <f t="shared" si="110"/>
        <v/>
      </c>
      <c r="JN16" s="40" t="str">
        <f t="shared" si="111"/>
        <v/>
      </c>
      <c r="JO16" s="40" t="str">
        <f t="shared" si="112"/>
        <v/>
      </c>
      <c r="JP16" s="40" t="str">
        <f t="shared" si="113"/>
        <v/>
      </c>
      <c r="JQ16" s="40" t="str">
        <f t="shared" si="114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15"/>
        <v/>
      </c>
      <c r="KM16" s="11" t="str">
        <f t="shared" si="116"/>
        <v/>
      </c>
      <c r="KN16" s="11" t="str">
        <f t="shared" si="117"/>
        <v/>
      </c>
      <c r="KO16" s="11" t="str">
        <f t="shared" si="118"/>
        <v/>
      </c>
      <c r="KP16" s="11" t="str">
        <f t="shared" si="119"/>
        <v/>
      </c>
      <c r="KQ16" s="11" t="str">
        <f t="shared" si="120"/>
        <v/>
      </c>
      <c r="KR16" s="11" t="str">
        <f t="shared" si="121"/>
        <v/>
      </c>
      <c r="KS16" s="11" t="str">
        <f t="shared" si="122"/>
        <v/>
      </c>
      <c r="KT16" s="11" t="str">
        <f t="shared" si="123"/>
        <v/>
      </c>
      <c r="KU16" s="11" t="str">
        <f t="shared" si="124"/>
        <v/>
      </c>
      <c r="KV16" s="11" t="str">
        <f t="shared" si="125"/>
        <v/>
      </c>
      <c r="KW16" s="11" t="str">
        <f t="shared" si="126"/>
        <v/>
      </c>
      <c r="KX16" s="11" t="str">
        <f t="shared" si="127"/>
        <v/>
      </c>
      <c r="KY16" s="11" t="str">
        <f t="shared" si="128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29"/>
        <v/>
      </c>
      <c r="LU16" s="40" t="str">
        <f t="shared" si="130"/>
        <v/>
      </c>
      <c r="LV16" s="40" t="str">
        <f t="shared" si="131"/>
        <v/>
      </c>
      <c r="LW16" s="40" t="str">
        <f t="shared" si="132"/>
        <v/>
      </c>
      <c r="LX16" s="40" t="str">
        <f t="shared" si="133"/>
        <v/>
      </c>
      <c r="LY16" s="40" t="str">
        <f t="shared" si="134"/>
        <v/>
      </c>
      <c r="LZ16" s="40" t="str">
        <f t="shared" si="135"/>
        <v/>
      </c>
      <c r="MA16" s="40" t="str">
        <f t="shared" si="136"/>
        <v/>
      </c>
      <c r="MB16" s="40" t="str">
        <f t="shared" si="137"/>
        <v/>
      </c>
      <c r="MC16" s="40" t="str">
        <f t="shared" si="138"/>
        <v/>
      </c>
      <c r="MD16" s="40" t="str">
        <f t="shared" si="139"/>
        <v/>
      </c>
      <c r="ME16" s="40" t="str">
        <f t="shared" si="140"/>
        <v/>
      </c>
      <c r="MF16" s="40" t="str">
        <f t="shared" si="141"/>
        <v/>
      </c>
      <c r="MG16" s="40" t="str">
        <f t="shared" si="142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3"/>
        <v/>
      </c>
      <c r="NC16" s="11" t="str">
        <f t="shared" si="144"/>
        <v/>
      </c>
      <c r="ND16" s="11" t="str">
        <f t="shared" si="145"/>
        <v/>
      </c>
      <c r="NE16" s="11" t="str">
        <f t="shared" si="146"/>
        <v/>
      </c>
      <c r="NF16" s="11" t="str">
        <f t="shared" si="147"/>
        <v/>
      </c>
      <c r="NG16" s="11" t="str">
        <f t="shared" si="148"/>
        <v/>
      </c>
      <c r="NH16" s="11" t="str">
        <f t="shared" si="149"/>
        <v/>
      </c>
      <c r="NI16" s="11" t="str">
        <f t="shared" si="150"/>
        <v/>
      </c>
      <c r="NJ16" s="11" t="str">
        <f t="shared" si="151"/>
        <v/>
      </c>
      <c r="NK16" s="11" t="str">
        <f t="shared" si="152"/>
        <v/>
      </c>
      <c r="NL16" s="11" t="str">
        <f t="shared" si="153"/>
        <v/>
      </c>
      <c r="NM16" s="11" t="str">
        <f t="shared" si="154"/>
        <v/>
      </c>
      <c r="NN16" s="11" t="str">
        <f t="shared" si="155"/>
        <v/>
      </c>
      <c r="NO16" s="11" t="str">
        <f t="shared" si="156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57"/>
        <v/>
      </c>
      <c r="OK16" s="40" t="str">
        <f t="shared" si="158"/>
        <v/>
      </c>
      <c r="OL16" s="40" t="str">
        <f t="shared" si="159"/>
        <v/>
      </c>
      <c r="OM16" s="40" t="str">
        <f t="shared" si="160"/>
        <v/>
      </c>
      <c r="ON16" s="40" t="str">
        <f t="shared" si="161"/>
        <v/>
      </c>
      <c r="OO16" s="40" t="str">
        <f t="shared" si="162"/>
        <v/>
      </c>
      <c r="OP16" s="40" t="str">
        <f t="shared" si="163"/>
        <v/>
      </c>
      <c r="OQ16" s="40" t="str">
        <f t="shared" si="164"/>
        <v/>
      </c>
      <c r="OR16" s="40" t="str">
        <f t="shared" si="165"/>
        <v/>
      </c>
      <c r="OS16" s="40" t="str">
        <f t="shared" si="166"/>
        <v/>
      </c>
      <c r="OT16" s="40" t="str">
        <f t="shared" si="167"/>
        <v/>
      </c>
      <c r="OU16" s="40" t="str">
        <f t="shared" si="168"/>
        <v/>
      </c>
      <c r="OV16" s="40" t="str">
        <f t="shared" si="169"/>
        <v/>
      </c>
      <c r="OW16" s="40" t="str">
        <f t="shared" si="170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1"/>
        <v/>
      </c>
      <c r="PS16" s="11" t="str">
        <f t="shared" si="172"/>
        <v/>
      </c>
      <c r="PT16" s="11" t="str">
        <f t="shared" si="173"/>
        <v/>
      </c>
      <c r="PU16" s="11" t="str">
        <f t="shared" si="174"/>
        <v/>
      </c>
      <c r="PV16" s="11" t="str">
        <f t="shared" si="175"/>
        <v/>
      </c>
      <c r="PW16" s="11" t="str">
        <f t="shared" si="176"/>
        <v/>
      </c>
      <c r="PX16" s="11" t="str">
        <f t="shared" si="177"/>
        <v/>
      </c>
      <c r="PY16" s="11" t="str">
        <f t="shared" si="178"/>
        <v/>
      </c>
      <c r="PZ16" s="11" t="str">
        <f t="shared" si="179"/>
        <v/>
      </c>
      <c r="QA16" s="11" t="str">
        <f t="shared" si="180"/>
        <v/>
      </c>
      <c r="QB16" s="11" t="str">
        <f t="shared" si="181"/>
        <v/>
      </c>
      <c r="QC16" s="11" t="str">
        <f t="shared" si="182"/>
        <v/>
      </c>
      <c r="QD16" s="11" t="str">
        <f t="shared" si="183"/>
        <v/>
      </c>
      <c r="QE16" s="11" t="str">
        <f t="shared" si="184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85"/>
        <v/>
      </c>
      <c r="RA16" s="40" t="str">
        <f t="shared" si="186"/>
        <v/>
      </c>
      <c r="RB16" s="40" t="str">
        <f t="shared" si="187"/>
        <v/>
      </c>
      <c r="RC16" s="40" t="str">
        <f t="shared" si="188"/>
        <v/>
      </c>
      <c r="RD16" s="40" t="str">
        <f t="shared" si="189"/>
        <v/>
      </c>
      <c r="RE16" s="40" t="str">
        <f t="shared" si="190"/>
        <v/>
      </c>
      <c r="RF16" s="40" t="str">
        <f t="shared" si="191"/>
        <v/>
      </c>
      <c r="RG16" s="40" t="str">
        <f t="shared" si="192"/>
        <v/>
      </c>
      <c r="RH16" s="40" t="str">
        <f t="shared" si="193"/>
        <v/>
      </c>
      <c r="RI16" s="40" t="str">
        <f t="shared" si="194"/>
        <v/>
      </c>
      <c r="RJ16" s="40" t="str">
        <f t="shared" si="195"/>
        <v/>
      </c>
      <c r="RK16" s="40" t="str">
        <f t="shared" si="196"/>
        <v/>
      </c>
      <c r="RL16" s="40" t="str">
        <f t="shared" si="197"/>
        <v/>
      </c>
      <c r="RM16" s="40" t="str">
        <f t="shared" si="198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199"/>
        <v/>
      </c>
      <c r="SI16" s="11" t="str">
        <f t="shared" si="200"/>
        <v/>
      </c>
      <c r="SJ16" s="11" t="str">
        <f t="shared" si="201"/>
        <v/>
      </c>
      <c r="SK16" s="11" t="str">
        <f t="shared" si="202"/>
        <v/>
      </c>
      <c r="SL16" s="11" t="str">
        <f t="shared" si="203"/>
        <v/>
      </c>
      <c r="SM16" s="11" t="str">
        <f t="shared" si="204"/>
        <v/>
      </c>
      <c r="SN16" s="11" t="str">
        <f t="shared" si="205"/>
        <v/>
      </c>
      <c r="SO16" s="11" t="str">
        <f t="shared" si="206"/>
        <v/>
      </c>
      <c r="SP16" s="11" t="str">
        <f t="shared" si="207"/>
        <v/>
      </c>
      <c r="SQ16" s="11" t="str">
        <f t="shared" si="208"/>
        <v/>
      </c>
      <c r="SR16" s="11" t="str">
        <f t="shared" si="209"/>
        <v/>
      </c>
      <c r="SS16" s="11" t="str">
        <f t="shared" si="210"/>
        <v/>
      </c>
      <c r="ST16" s="11" t="str">
        <f t="shared" si="211"/>
        <v/>
      </c>
      <c r="SU16" s="11" t="str">
        <f t="shared" si="212"/>
        <v/>
      </c>
      <c r="SV16" s="22">
        <f t="shared" si="213"/>
        <v>0</v>
      </c>
      <c r="SW16" s="22">
        <f t="shared" si="214"/>
        <v>0</v>
      </c>
      <c r="SX16" s="22">
        <f t="shared" si="215"/>
        <v>0</v>
      </c>
      <c r="SY16" s="22">
        <f t="shared" si="216"/>
        <v>0</v>
      </c>
      <c r="SZ16" s="22">
        <f t="shared" si="217"/>
        <v>0</v>
      </c>
      <c r="TA16" s="22">
        <f t="shared" si="218"/>
        <v>0</v>
      </c>
      <c r="TB16" s="22">
        <f t="shared" si="219"/>
        <v>0</v>
      </c>
      <c r="TC16" s="22">
        <f t="shared" si="220"/>
        <v>0</v>
      </c>
      <c r="TD16" s="22">
        <f t="shared" si="221"/>
        <v>0</v>
      </c>
      <c r="TE16" s="22">
        <f t="shared" si="222"/>
        <v>0</v>
      </c>
      <c r="TF16" s="22">
        <f t="shared" si="223"/>
        <v>0</v>
      </c>
      <c r="TG16" s="22">
        <f t="shared" si="224"/>
        <v>0</v>
      </c>
      <c r="TH16" s="22">
        <f t="shared" si="225"/>
        <v>0</v>
      </c>
      <c r="TI16" s="22">
        <f t="shared" si="226"/>
        <v>0</v>
      </c>
      <c r="TJ16" s="22">
        <f t="shared" si="227"/>
        <v>0</v>
      </c>
      <c r="TK16" s="27" t="s">
        <v>46</v>
      </c>
      <c r="TL16" s="40" t="str">
        <f t="shared" si="228"/>
        <v/>
      </c>
      <c r="TM16" s="40" t="str">
        <f t="shared" si="229"/>
        <v/>
      </c>
      <c r="TN16" s="40" t="str">
        <f t="shared" si="230"/>
        <v/>
      </c>
      <c r="TO16" s="40" t="str">
        <f t="shared" si="231"/>
        <v/>
      </c>
      <c r="TP16" s="40" t="str">
        <f t="shared" si="232"/>
        <v/>
      </c>
      <c r="TQ16" s="40" t="str">
        <f t="shared" si="233"/>
        <v/>
      </c>
      <c r="TR16" s="40" t="str">
        <f t="shared" si="234"/>
        <v/>
      </c>
      <c r="TS16" s="40" t="str">
        <f t="shared" si="235"/>
        <v/>
      </c>
      <c r="TT16" s="40" t="str">
        <f t="shared" si="236"/>
        <v/>
      </c>
      <c r="TU16" s="40" t="str">
        <f t="shared" si="237"/>
        <v/>
      </c>
      <c r="TV16" s="40" t="str">
        <f t="shared" si="238"/>
        <v/>
      </c>
    </row>
    <row r="17" spans="1:544" x14ac:dyDescent="0.2">
      <c r="A17" s="4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>7</v>
      </c>
      <c r="B17" s="4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>5</v>
      </c>
      <c r="C17" s="5" t="s">
        <v>114</v>
      </c>
      <c r="D17" s="4" t="s">
        <v>6</v>
      </c>
      <c r="E17" s="4">
        <v>2006</v>
      </c>
      <c r="F17" s="9">
        <f t="shared" si="0"/>
        <v>60.770001079999993</v>
      </c>
      <c r="G17" s="64"/>
      <c r="H17" s="3" t="str">
        <f>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P","")</f>
        <v/>
      </c>
      <c r="I17" s="3" t="str">
        <f>IF(OR(AND(AQ17&gt;=AY$26,AQ17&lt;&gt;"",AN17=""),AND(AT17&gt;=AY$26,AT17&lt;&gt;"",AN17=""),AND(AX17&gt;=AY$26,AX17&lt;&gt;"",AN17=""),AND(BR17&gt;=BZ$26,BR17&lt;&gt;"",BO17=""),AND(BU17&gt;=BZ$26,BU17&lt;&gt;"",BO17=""),AND(BY17&gt;=BZ$26,BY17&lt;&gt;"",BO17=""),AND(CS17&gt;=DA$26,CS17&lt;&gt;"",CP17=""),AND(CV17&gt;=DA$26,CV17&lt;&gt;"",CP17=""),AND(CZ17&gt;=DA$26,CZ17&lt;&gt;"",CP17=""),AND(DZ17&gt;=EK$26,DZ17&lt;&gt;""),AND(EC17&gt;=EK$26,EC17&lt;&gt;""),AND(EG17&gt;=EK$26,EG17&lt;&gt;""),AND(EJ17&gt;=EK$26,EJ17&lt;&gt;""),AND(FH17&gt;=FS$26,FH17&lt;&gt;""),AND(FK17&gt;=FS$26,FK17&lt;&gt;""),AND(FO17&gt;=FS$26,FO17&lt;&gt;""),AND(FR17&gt;=FS$26,FR17&lt;&gt;""),AND(GP17&gt;=HA$26,GP17&lt;&gt;""),AND(GS17&gt;=HA$26,GS17&lt;&gt;""),AND(GW17&gt;=HA$26,GW17&lt;&gt;""),AND(GZ17&gt;=HA$26,GZ17&lt;&gt;""),AND(HX17&gt;=II$26,HX17&lt;&gt;""),AND(IA17&gt;=II$26,IA17&lt;&gt;""),AND(IE17&gt;=II$26,IE17&lt;&gt;""),AND(IH17&gt;=II$26,IH17&lt;&gt;""),AND(JF17&gt;=JQ$26,JF17&lt;&gt;""),AND(JI17&gt;=JQ$26,JI17&lt;&gt;""),AND(JM17&gt;=JQ$26,JM17&lt;&gt;""),AND(JP17&gt;=JQ$26,JP17&lt;&gt;""),AND(KN17&gt;=KY$26,KN17&lt;&gt;""),AND(KQ17&gt;=KY$26,KQ17&lt;&gt;""),AND(KU17&gt;=KY$26,KU17&lt;&gt;""),AND(KX17&gt;=KY$26,KX17&lt;&gt;""),AND(LV17&gt;=MG$26,LV17&lt;&gt;""),AND(LY17&gt;=MG$26,LY17&lt;&gt;""),AND(MC17&gt;=MG$26,MC17&lt;&gt;""),AND(MF17&gt;=MG$26,MF17&lt;&gt;""),AND(ND17&gt;=NO$26,ND17&lt;&gt;""),AND(NG17&gt;=NO$26,NG17&lt;&gt;""),AND(NK17&gt;=NO$26,NK17&lt;&gt;""),AND(NN17&gt;=NO$26,NN17&lt;&gt;""),AND(OL17&gt;=OW$26,OL17&lt;&gt;""),AND(OO17&gt;=OW$26,OO17&lt;&gt;""),AND(OS17&gt;=OW$26,OS17&lt;&gt;""),AND(OV17&gt;=OW$26,OV17&lt;&gt;""),AND(PT17&gt;=QE$26,PT17&lt;&gt;""),AND(PW17&gt;=QE$26,PW17&lt;&gt;""),AND(QA17&gt;=QE$26,QA17&lt;&gt;""),AND(QD17&gt;=QE$26,QD17&lt;&gt;""),AND(RB17&gt;=RM$26,RB17&lt;&gt;""),AND(RE17&gt;=RM$26,RE17&lt;&gt;""),AND(RI17&gt;=RM$26,RI17&lt;&gt;""),AND(RL17&gt;=RM$26,RL17&lt;&gt;""),AND(SJ17&gt;=SU$26,SJ17&lt;&gt;""),AND(SM17&gt;=SU$26,SM17&lt;&gt;""),AND(SQ17&gt;=SU$26,SQ17&lt;&gt;""),AND(ST17&gt;=SU$26,ST17&lt;&gt;"")),"P","")</f>
        <v>P</v>
      </c>
      <c r="J17" s="36" t="str">
        <f>IF(AND(I17="P",H17=""),"No DD",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Merit",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Excellence",IF(K17="P","Worlds Team",IF(H17="P","National Team","")))))</f>
        <v>No DD</v>
      </c>
      <c r="K17" s="3" t="str">
        <f>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P","")</f>
        <v/>
      </c>
      <c r="L17" s="8">
        <f>IF(COUNT(AQ17,AT17,BR17,BU17,CS17,CV17)&gt;0,LARGE((AQ17,AT17,BR17,BU17,CS17,CV17),1),0)</f>
        <v>0</v>
      </c>
      <c r="M17" s="8" t="str">
        <f t="shared" si="1"/>
        <v/>
      </c>
      <c r="N17" s="8">
        <f>IF(COUNT(AQ17,AT17,BR17,BU17,CS17,CV17)&gt;1,LARGE((AQ17,AT17,BR17,BU17,CS17,CV17),2),0)</f>
        <v>0</v>
      </c>
      <c r="O17" s="8" t="str">
        <f t="shared" si="2"/>
        <v/>
      </c>
      <c r="P17" s="8">
        <f>IF(COUNT(AQ17,AT17,BR17,BU17,CS17,CV17)&gt;2,MAX(AX17,BY17,CZ17,LARGE((AQ17,AT17,BR17,BU17,CS17,CV17),3)),IF(MAX(AX17,BY17,CZ17)&gt;0,MAX(AX17,BY17,CZ17),0))</f>
        <v>0</v>
      </c>
      <c r="Q17" s="8" t="str">
        <f t="shared" si="3"/>
        <v/>
      </c>
      <c r="R17" s="8">
        <f t="shared" si="4"/>
        <v>10.8</v>
      </c>
      <c r="S17" s="8" t="str">
        <f t="shared" si="5"/>
        <v>2024 Coimbra Gym Fest (July 7)</v>
      </c>
      <c r="T17" s="8">
        <f>IF(MAX(IF(AO17&gt;=$AY$22,AP17,0),IF(AR17&gt;=$AY$22,AS17,0),IF(AV17&gt;=$AY$22,AW17,0),IF(BP17&gt;=$BZ$22,BQ17,0),IF(BS17&gt;=$BZ$22,BT17,0),IF(BW17&gt;=$BZ$22,BX17,0),IF(CQ17&gt;=$DA$22,CR17,0),IF(CT17&gt;=$DA$22,CU17,0),IF(CX17&gt;=$DA$22,CY17,0),IF(DX17&gt;=$EK$22,DY17,0),IF(EA17&gt;=$EK$22,EB17,0),IF(EE17&gt;=$EK$22,EF17,0),IF(EH17&gt;=$EK$22,EI17,0),IF(FF17&gt;=$FS$22,FG17,0),IF(FI17&gt;=$FS$22,FJ17,0),IF(FM17&gt;=$FS$22,FN17,0),IF(FP17&gt;=$FS$22,FQ17,0),IF(GN17&gt;=$HA$22,GO17,0),IF(GQ17&gt;=$HA$22,GR17,0),IF(GU17&gt;=$HA$22,GV17,0),IF(GX17&gt;=$HA$22,GY17,0),IF(HV17&gt;=$II$22,HW17,0),IF(HY17&gt;=$II$22,HZ17,0),IF(IC17&gt;=$II$22,ID17,0),IF(IF17&gt;=$II$22,IG17,0),IF(JD17&gt;=$JQ$22,JE17,0),IF(JG17&gt;=$JQ$22,JH17,0),IF(JK17&gt;=$JQ$22,JL17,0),IF(JN17&gt;=$JQ$22,JO17,0),IF(KL17&gt;=$KY$22,KM17,0),IF(KO17&gt;=$KY$22,KP17,0),IF(KS17&gt;=$KY$22,KT17,0),IF(KV17&gt;=$KY$22,KW17,0),IF(LT17&gt;=$MG$22,LU17,0),IF(LW17&gt;=$MG$22,LX17,0),IF(MA17&gt;=$MG$22,MB17,0),IF(MD17&gt;=$MG$22,ME17,0),IF(NB17&gt;=$NO$22,NC17,0),IF(NE17&gt;=$NO$22,NF17,0),IF(NI17&gt;=$NO$22,NJ17,0),IF(NL17&gt;=$NO$22,NM17,0),IF(OJ17&gt;=$OW$22,OK17,0),IF(OM17&gt;=$OW$22,ON17,0),IF(OQ17&gt;=$OW$22,OR17,0),IF(OT17&gt;=$OW$22,OU17,0),IF(PR17&gt;=$QE$22,PS17,0),IF(PU17&gt;=$QE$22,PV17,0),IF(PY17&gt;=$QE$22,PZ17,0),IF(QB17&gt;=$QE$22,QC17,0),IF(QZ17&gt;=$RM$22,RA17,0),IF(RC17&gt;=$RM$22,RD17,0),IF(RG17&gt;=$RM$22,RH17,0),IF(RJ17&gt;=$RM$22,RK17,0),IF(SH17&gt;=$SU$22,SI17,0),IF(SK17&gt;=$SU$22,SL17,0),IF(SO17&gt;=$SU$22,SP17,0),IF(SR17&gt;=$SU$22,SS17,0))&gt;0,MAX(IF(AO17&gt;=$AY$22,AP17,0),IF(AR17&gt;=$AY$22,AS17,0),IF(AV17&gt;=$AY$22,AW17,0),IF(BP17&gt;=$BZ$22,BQ17,0),IF(BS17&gt;=$BZ$22,BT17,0),IF(BW17&gt;=$BZ$22,BX17,0),IF(CQ17&gt;=$DA$22,CR17,0),IF(CT17&gt;=$DA$22,CU17,0),IF(CX17&gt;=$DA$22,CY17,0),IF(DX17&gt;=$EK$22,DY17,0),IF(EA17&gt;=$EK$22,EB17,0),IF(EE17&gt;=$EK$22,EF17,0),IF(EH17&gt;=$EK$22,EI17,0),IF(FF17&gt;=$FS$22,FG17,0),IF(FI17&gt;=$FS$22,FJ17,0),IF(FM17&gt;=$FS$22,FN17,0),IF(FP17&gt;=$FS$22,FQ17,0),IF(GN17&gt;=$HA$22,GO17,0),IF(GQ17&gt;=$HA$22,GR17,0),IF(GU17&gt;=$HA$22,GV17,0),IF(GX17&gt;=$HA$22,GY17,0),IF(HV17&gt;=$II$22,HW17,0),IF(HY17&gt;=$II$22,HZ17,0),IF(IC17&gt;=$II$22,ID17,0),IF(IF17&gt;=$II$22,IG17,0),IF(JD17&gt;=$JQ$22,JE17,0),IF(JG17&gt;=$JQ$22,JH17,0),IF(JK17&gt;=$JQ$22,JL17,0),IF(JN17&gt;=$JQ$22,JO17,0),IF(KL17&gt;=$KY$22,KM17,0),IF(KO17&gt;=$KY$22,KP17,0),IF(KS17&gt;=$KY$22,KT17,0),IF(KV17&gt;=$KY$22,KW17,0),IF(LT17&gt;=$MG$22,LU17,0),IF(LW17&gt;=$MG$22,LX17,0),IF(MA17&gt;=$MG$22,MB17,0),IF(MD17&gt;=$MG$22,ME17,0),IF(NB17&gt;=$NO$22,NC17,0),IF(NE17&gt;=$NO$22,NF17,0),IF(NI17&gt;=$NO$22,NJ17,0),IF(NL17&gt;=$NO$22,NM17,0),IF(OJ17&gt;=$OW$22,OK17,0),IF(OM17&gt;=$OW$22,ON17,0),IF(OQ17&gt;=$OW$22,OR17,0),IF(OT17&gt;=$OW$22,OU17,0),IF(PR17&gt;=$QE$22,PS17,0),IF(PU17&gt;=$QE$22,PV17,0),IF(PY17&gt;=$QE$22,PZ17,0),IF(QB17&gt;=$QE$22,QC17,0),IF(QZ17&gt;=$RM$22,RA17,0),IF(RC17&gt;=$RM$22,RD17,0),IF(RG17&gt;=$RM$22,RH17,0),IF(RJ17&gt;=$RM$22,RK17,0),IF(SH17&gt;=$SU$22,SI17,0),IF(SK17&gt;=$SU$22,SL17,0),IF(SO17&gt;=$SU$22,SP17,0),IF(SR17&gt;=$SU$22,SS17,0)),0)</f>
        <v>0</v>
      </c>
      <c r="U17" s="8" t="str">
        <f t="shared" si="6"/>
        <v/>
      </c>
      <c r="V17" s="8">
        <f t="shared" si="7"/>
        <v>49.97</v>
      </c>
      <c r="W17" s="11" t="str">
        <f t="shared" si="8"/>
        <v>(Optional)</v>
      </c>
      <c r="X17" s="8" t="str">
        <f t="shared" si="9"/>
        <v>2024 Coimbra Gym Fest (July 7)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0"/>
        <v/>
      </c>
      <c r="AP17" s="38" t="str">
        <f t="shared" si="11"/>
        <v/>
      </c>
      <c r="AQ17" s="40" t="str">
        <f t="shared" si="12"/>
        <v/>
      </c>
      <c r="AR17" s="40" t="str">
        <f t="shared" si="13"/>
        <v/>
      </c>
      <c r="AS17" s="40" t="str">
        <f t="shared" si="14"/>
        <v/>
      </c>
      <c r="AT17" s="40" t="str">
        <f t="shared" si="15"/>
        <v/>
      </c>
      <c r="AU17" s="40" t="str">
        <f t="shared" si="16"/>
        <v/>
      </c>
      <c r="AV17" s="40" t="str">
        <f t="shared" si="17"/>
        <v/>
      </c>
      <c r="AW17" s="40" t="str">
        <f t="shared" si="18"/>
        <v/>
      </c>
      <c r="AX17" s="40" t="str">
        <f t="shared" si="19"/>
        <v/>
      </c>
      <c r="AY17" s="40" t="str">
        <f t="shared" si="20"/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 t="shared" si="21"/>
        <v/>
      </c>
      <c r="BQ17" s="39" t="str">
        <f t="shared" si="22"/>
        <v/>
      </c>
      <c r="BR17" s="11" t="str">
        <f t="shared" si="23"/>
        <v/>
      </c>
      <c r="BS17" s="11" t="str">
        <f t="shared" si="24"/>
        <v/>
      </c>
      <c r="BT17" s="11" t="str">
        <f t="shared" si="25"/>
        <v/>
      </c>
      <c r="BU17" s="11" t="str">
        <f t="shared" si="26"/>
        <v/>
      </c>
      <c r="BV17" s="11" t="str">
        <f t="shared" si="27"/>
        <v/>
      </c>
      <c r="BW17" s="11" t="str">
        <f t="shared" si="28"/>
        <v/>
      </c>
      <c r="BX17" s="11" t="str">
        <f t="shared" si="29"/>
        <v/>
      </c>
      <c r="BY17" s="11" t="str">
        <f t="shared" si="30"/>
        <v/>
      </c>
      <c r="BZ17" s="11" t="str">
        <f t="shared" si="31"/>
        <v/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 t="shared" si="32"/>
        <v/>
      </c>
      <c r="CR17" s="38" t="str">
        <f t="shared" si="33"/>
        <v/>
      </c>
      <c r="CS17" s="40" t="str">
        <f t="shared" si="34"/>
        <v/>
      </c>
      <c r="CT17" s="40" t="str">
        <f t="shared" si="35"/>
        <v/>
      </c>
      <c r="CU17" s="40" t="str">
        <f t="shared" si="36"/>
        <v/>
      </c>
      <c r="CV17" s="40" t="str">
        <f t="shared" si="37"/>
        <v/>
      </c>
      <c r="CW17" s="40" t="str">
        <f t="shared" si="38"/>
        <v/>
      </c>
      <c r="CX17" s="40" t="str">
        <f t="shared" si="39"/>
        <v/>
      </c>
      <c r="CY17" s="40" t="str">
        <f t="shared" si="40"/>
        <v/>
      </c>
      <c r="CZ17" s="40" t="str">
        <f t="shared" si="41"/>
        <v/>
      </c>
      <c r="DA17" s="40" t="str">
        <f t="shared" si="42"/>
        <v/>
      </c>
      <c r="DB17" s="50">
        <f t="shared" si="43"/>
        <v>49.97</v>
      </c>
      <c r="DC17" s="50">
        <f t="shared" si="44"/>
        <v>5.48</v>
      </c>
      <c r="DD17" s="17">
        <v>4.5</v>
      </c>
      <c r="DE17" s="17">
        <v>2.85</v>
      </c>
      <c r="DF17" s="17">
        <v>3.6</v>
      </c>
      <c r="DG17" s="17">
        <v>2.98</v>
      </c>
      <c r="DH17" s="17">
        <v>0</v>
      </c>
      <c r="DI17" s="17">
        <v>15.2</v>
      </c>
      <c r="DJ17" s="17">
        <v>9</v>
      </c>
      <c r="DK17" s="17">
        <v>10.8</v>
      </c>
      <c r="DL17" s="17">
        <v>14.97</v>
      </c>
      <c r="DM17" s="17">
        <v>0</v>
      </c>
      <c r="DN17" s="17">
        <v>1.4</v>
      </c>
      <c r="DO17" s="17">
        <v>1</v>
      </c>
      <c r="DP17" s="17">
        <v>1.5</v>
      </c>
      <c r="DQ17" s="17">
        <v>1.58</v>
      </c>
      <c r="DR17" s="17">
        <v>0</v>
      </c>
      <c r="DS17" s="17"/>
      <c r="DT17" s="17"/>
      <c r="DU17" s="17"/>
      <c r="DV17" s="17"/>
      <c r="DW17" s="17"/>
      <c r="DX17" s="40">
        <f t="shared" si="45"/>
        <v>3.6</v>
      </c>
      <c r="DY17" s="40">
        <f t="shared" si="46"/>
        <v>2.98</v>
      </c>
      <c r="DZ17" s="40">
        <f t="shared" si="47"/>
        <v>13.93</v>
      </c>
      <c r="EA17" s="40">
        <f t="shared" si="48"/>
        <v>10.8</v>
      </c>
      <c r="EB17" s="40">
        <f t="shared" si="49"/>
        <v>14.97</v>
      </c>
      <c r="EC17" s="40">
        <f t="shared" si="50"/>
        <v>49.97</v>
      </c>
      <c r="ED17" s="40">
        <f t="shared" si="51"/>
        <v>49.97</v>
      </c>
      <c r="EE17" s="40">
        <f t="shared" si="52"/>
        <v>1.5</v>
      </c>
      <c r="EF17" s="40">
        <f t="shared" si="53"/>
        <v>1.58</v>
      </c>
      <c r="EG17" s="40">
        <f t="shared" si="54"/>
        <v>5.48</v>
      </c>
      <c r="EH17" s="40" t="str">
        <f t="shared" si="55"/>
        <v/>
      </c>
      <c r="EI17" s="40" t="str">
        <f t="shared" si="56"/>
        <v/>
      </c>
      <c r="EJ17" s="40" t="str">
        <f t="shared" si="57"/>
        <v/>
      </c>
      <c r="EK17" s="40">
        <f t="shared" si="58"/>
        <v>55.45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59"/>
        <v/>
      </c>
      <c r="FG17" s="11" t="str">
        <f t="shared" si="60"/>
        <v/>
      </c>
      <c r="FH17" s="11" t="str">
        <f t="shared" si="61"/>
        <v/>
      </c>
      <c r="FI17" s="11" t="str">
        <f t="shared" si="62"/>
        <v/>
      </c>
      <c r="FJ17" s="11" t="str">
        <f t="shared" si="63"/>
        <v/>
      </c>
      <c r="FK17" s="11" t="str">
        <f t="shared" si="64"/>
        <v/>
      </c>
      <c r="FL17" s="11" t="str">
        <f t="shared" si="65"/>
        <v/>
      </c>
      <c r="FM17" s="11" t="str">
        <f t="shared" si="66"/>
        <v/>
      </c>
      <c r="FN17" s="11" t="str">
        <f t="shared" si="67"/>
        <v/>
      </c>
      <c r="FO17" s="11" t="str">
        <f t="shared" si="68"/>
        <v/>
      </c>
      <c r="FP17" s="11" t="str">
        <f t="shared" si="69"/>
        <v/>
      </c>
      <c r="FQ17" s="11" t="str">
        <f t="shared" si="70"/>
        <v/>
      </c>
      <c r="FR17" s="11" t="str">
        <f t="shared" si="71"/>
        <v/>
      </c>
      <c r="FS17" s="11" t="str">
        <f t="shared" si="72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3"/>
        <v/>
      </c>
      <c r="GO17" s="40" t="str">
        <f t="shared" si="74"/>
        <v/>
      </c>
      <c r="GP17" s="40" t="str">
        <f t="shared" si="75"/>
        <v/>
      </c>
      <c r="GQ17" s="40" t="str">
        <f t="shared" si="76"/>
        <v/>
      </c>
      <c r="GR17" s="40" t="str">
        <f t="shared" si="77"/>
        <v/>
      </c>
      <c r="GS17" s="40" t="str">
        <f t="shared" si="78"/>
        <v/>
      </c>
      <c r="GT17" s="40" t="str">
        <f t="shared" si="79"/>
        <v/>
      </c>
      <c r="GU17" s="40" t="str">
        <f t="shared" si="80"/>
        <v/>
      </c>
      <c r="GV17" s="40" t="str">
        <f t="shared" si="81"/>
        <v/>
      </c>
      <c r="GW17" s="40" t="str">
        <f t="shared" si="82"/>
        <v/>
      </c>
      <c r="GX17" s="40" t="str">
        <f t="shared" si="83"/>
        <v/>
      </c>
      <c r="GY17" s="40" t="str">
        <f t="shared" si="84"/>
        <v/>
      </c>
      <c r="GZ17" s="40" t="str">
        <f t="shared" si="85"/>
        <v/>
      </c>
      <c r="HA17" s="40" t="str">
        <f t="shared" si="86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87"/>
        <v/>
      </c>
      <c r="HW17" s="11" t="str">
        <f t="shared" si="88"/>
        <v/>
      </c>
      <c r="HX17" s="11" t="str">
        <f t="shared" si="89"/>
        <v/>
      </c>
      <c r="HY17" s="11" t="str">
        <f t="shared" si="90"/>
        <v/>
      </c>
      <c r="HZ17" s="11" t="str">
        <f t="shared" si="91"/>
        <v/>
      </c>
      <c r="IA17" s="11" t="str">
        <f t="shared" si="92"/>
        <v/>
      </c>
      <c r="IB17" s="11" t="str">
        <f t="shared" si="93"/>
        <v/>
      </c>
      <c r="IC17" s="11" t="str">
        <f t="shared" si="94"/>
        <v/>
      </c>
      <c r="ID17" s="11" t="str">
        <f t="shared" si="95"/>
        <v/>
      </c>
      <c r="IE17" s="11" t="str">
        <f t="shared" si="96"/>
        <v/>
      </c>
      <c r="IF17" s="11" t="str">
        <f t="shared" si="97"/>
        <v/>
      </c>
      <c r="IG17" s="11" t="str">
        <f t="shared" si="98"/>
        <v/>
      </c>
      <c r="IH17" s="11" t="str">
        <f t="shared" si="99"/>
        <v/>
      </c>
      <c r="II17" s="11" t="str">
        <f t="shared" si="100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1"/>
        <v/>
      </c>
      <c r="JE17" s="40" t="str">
        <f t="shared" si="102"/>
        <v/>
      </c>
      <c r="JF17" s="40" t="str">
        <f t="shared" si="103"/>
        <v/>
      </c>
      <c r="JG17" s="40" t="str">
        <f t="shared" si="104"/>
        <v/>
      </c>
      <c r="JH17" s="40" t="str">
        <f t="shared" si="105"/>
        <v/>
      </c>
      <c r="JI17" s="40" t="str">
        <f t="shared" si="106"/>
        <v/>
      </c>
      <c r="JJ17" s="40" t="str">
        <f t="shared" si="107"/>
        <v/>
      </c>
      <c r="JK17" s="40" t="str">
        <f t="shared" si="108"/>
        <v/>
      </c>
      <c r="JL17" s="40" t="str">
        <f t="shared" si="109"/>
        <v/>
      </c>
      <c r="JM17" s="40" t="str">
        <f t="shared" si="110"/>
        <v/>
      </c>
      <c r="JN17" s="40" t="str">
        <f t="shared" si="111"/>
        <v/>
      </c>
      <c r="JO17" s="40" t="str">
        <f t="shared" si="112"/>
        <v/>
      </c>
      <c r="JP17" s="40" t="str">
        <f t="shared" si="113"/>
        <v/>
      </c>
      <c r="JQ17" s="40" t="str">
        <f t="shared" si="114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15"/>
        <v/>
      </c>
      <c r="KM17" s="11" t="str">
        <f t="shared" si="116"/>
        <v/>
      </c>
      <c r="KN17" s="11" t="str">
        <f t="shared" si="117"/>
        <v/>
      </c>
      <c r="KO17" s="11" t="str">
        <f t="shared" si="118"/>
        <v/>
      </c>
      <c r="KP17" s="11" t="str">
        <f t="shared" si="119"/>
        <v/>
      </c>
      <c r="KQ17" s="11" t="str">
        <f t="shared" si="120"/>
        <v/>
      </c>
      <c r="KR17" s="11" t="str">
        <f t="shared" si="121"/>
        <v/>
      </c>
      <c r="KS17" s="11" t="str">
        <f t="shared" si="122"/>
        <v/>
      </c>
      <c r="KT17" s="11" t="str">
        <f t="shared" si="123"/>
        <v/>
      </c>
      <c r="KU17" s="11" t="str">
        <f t="shared" si="124"/>
        <v/>
      </c>
      <c r="KV17" s="11" t="str">
        <f t="shared" si="125"/>
        <v/>
      </c>
      <c r="KW17" s="11" t="str">
        <f t="shared" si="126"/>
        <v/>
      </c>
      <c r="KX17" s="11" t="str">
        <f t="shared" si="127"/>
        <v/>
      </c>
      <c r="KY17" s="11" t="str">
        <f t="shared" si="128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29"/>
        <v/>
      </c>
      <c r="LU17" s="40" t="str">
        <f t="shared" si="130"/>
        <v/>
      </c>
      <c r="LV17" s="40" t="str">
        <f t="shared" si="131"/>
        <v/>
      </c>
      <c r="LW17" s="40" t="str">
        <f t="shared" si="132"/>
        <v/>
      </c>
      <c r="LX17" s="40" t="str">
        <f t="shared" si="133"/>
        <v/>
      </c>
      <c r="LY17" s="40" t="str">
        <f t="shared" si="134"/>
        <v/>
      </c>
      <c r="LZ17" s="40" t="str">
        <f t="shared" si="135"/>
        <v/>
      </c>
      <c r="MA17" s="40" t="str">
        <f t="shared" si="136"/>
        <v/>
      </c>
      <c r="MB17" s="40" t="str">
        <f t="shared" si="137"/>
        <v/>
      </c>
      <c r="MC17" s="40" t="str">
        <f t="shared" si="138"/>
        <v/>
      </c>
      <c r="MD17" s="40" t="str">
        <f t="shared" si="139"/>
        <v/>
      </c>
      <c r="ME17" s="40" t="str">
        <f t="shared" si="140"/>
        <v/>
      </c>
      <c r="MF17" s="40" t="str">
        <f t="shared" si="141"/>
        <v/>
      </c>
      <c r="MG17" s="40" t="str">
        <f t="shared" si="142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3"/>
        <v/>
      </c>
      <c r="NC17" s="11" t="str">
        <f t="shared" si="144"/>
        <v/>
      </c>
      <c r="ND17" s="11" t="str">
        <f t="shared" si="145"/>
        <v/>
      </c>
      <c r="NE17" s="11" t="str">
        <f t="shared" si="146"/>
        <v/>
      </c>
      <c r="NF17" s="11" t="str">
        <f t="shared" si="147"/>
        <v/>
      </c>
      <c r="NG17" s="11" t="str">
        <f t="shared" si="148"/>
        <v/>
      </c>
      <c r="NH17" s="11" t="str">
        <f t="shared" si="149"/>
        <v/>
      </c>
      <c r="NI17" s="11" t="str">
        <f t="shared" si="150"/>
        <v/>
      </c>
      <c r="NJ17" s="11" t="str">
        <f t="shared" si="151"/>
        <v/>
      </c>
      <c r="NK17" s="11" t="str">
        <f t="shared" si="152"/>
        <v/>
      </c>
      <c r="NL17" s="11" t="str">
        <f t="shared" si="153"/>
        <v/>
      </c>
      <c r="NM17" s="11" t="str">
        <f t="shared" si="154"/>
        <v/>
      </c>
      <c r="NN17" s="11" t="str">
        <f t="shared" si="155"/>
        <v/>
      </c>
      <c r="NO17" s="11" t="str">
        <f t="shared" si="156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57"/>
        <v/>
      </c>
      <c r="OK17" s="40" t="str">
        <f t="shared" si="158"/>
        <v/>
      </c>
      <c r="OL17" s="40" t="str">
        <f t="shared" si="159"/>
        <v/>
      </c>
      <c r="OM17" s="40" t="str">
        <f t="shared" si="160"/>
        <v/>
      </c>
      <c r="ON17" s="40" t="str">
        <f t="shared" si="161"/>
        <v/>
      </c>
      <c r="OO17" s="40" t="str">
        <f t="shared" si="162"/>
        <v/>
      </c>
      <c r="OP17" s="40" t="str">
        <f t="shared" si="163"/>
        <v/>
      </c>
      <c r="OQ17" s="40" t="str">
        <f t="shared" si="164"/>
        <v/>
      </c>
      <c r="OR17" s="40" t="str">
        <f t="shared" si="165"/>
        <v/>
      </c>
      <c r="OS17" s="40" t="str">
        <f t="shared" si="166"/>
        <v/>
      </c>
      <c r="OT17" s="40" t="str">
        <f t="shared" si="167"/>
        <v/>
      </c>
      <c r="OU17" s="40" t="str">
        <f t="shared" si="168"/>
        <v/>
      </c>
      <c r="OV17" s="40" t="str">
        <f t="shared" si="169"/>
        <v/>
      </c>
      <c r="OW17" s="40" t="str">
        <f t="shared" si="170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1"/>
        <v/>
      </c>
      <c r="PS17" s="11" t="str">
        <f t="shared" si="172"/>
        <v/>
      </c>
      <c r="PT17" s="11" t="str">
        <f t="shared" si="173"/>
        <v/>
      </c>
      <c r="PU17" s="11" t="str">
        <f t="shared" si="174"/>
        <v/>
      </c>
      <c r="PV17" s="11" t="str">
        <f t="shared" si="175"/>
        <v/>
      </c>
      <c r="PW17" s="11" t="str">
        <f t="shared" si="176"/>
        <v/>
      </c>
      <c r="PX17" s="11" t="str">
        <f t="shared" si="177"/>
        <v/>
      </c>
      <c r="PY17" s="11" t="str">
        <f t="shared" si="178"/>
        <v/>
      </c>
      <c r="PZ17" s="11" t="str">
        <f t="shared" si="179"/>
        <v/>
      </c>
      <c r="QA17" s="11" t="str">
        <f t="shared" si="180"/>
        <v/>
      </c>
      <c r="QB17" s="11" t="str">
        <f t="shared" si="181"/>
        <v/>
      </c>
      <c r="QC17" s="11" t="str">
        <f t="shared" si="182"/>
        <v/>
      </c>
      <c r="QD17" s="11" t="str">
        <f t="shared" si="183"/>
        <v/>
      </c>
      <c r="QE17" s="11" t="str">
        <f t="shared" si="184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85"/>
        <v/>
      </c>
      <c r="RA17" s="40" t="str">
        <f t="shared" si="186"/>
        <v/>
      </c>
      <c r="RB17" s="40" t="str">
        <f t="shared" si="187"/>
        <v/>
      </c>
      <c r="RC17" s="40" t="str">
        <f t="shared" si="188"/>
        <v/>
      </c>
      <c r="RD17" s="40" t="str">
        <f t="shared" si="189"/>
        <v/>
      </c>
      <c r="RE17" s="40" t="str">
        <f t="shared" si="190"/>
        <v/>
      </c>
      <c r="RF17" s="40" t="str">
        <f t="shared" si="191"/>
        <v/>
      </c>
      <c r="RG17" s="40" t="str">
        <f t="shared" si="192"/>
        <v/>
      </c>
      <c r="RH17" s="40" t="str">
        <f t="shared" si="193"/>
        <v/>
      </c>
      <c r="RI17" s="40" t="str">
        <f t="shared" si="194"/>
        <v/>
      </c>
      <c r="RJ17" s="40" t="str">
        <f t="shared" si="195"/>
        <v/>
      </c>
      <c r="RK17" s="40" t="str">
        <f t="shared" si="196"/>
        <v/>
      </c>
      <c r="RL17" s="40" t="str">
        <f t="shared" si="197"/>
        <v/>
      </c>
      <c r="RM17" s="40" t="str">
        <f t="shared" si="198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199"/>
        <v/>
      </c>
      <c r="SI17" s="11" t="str">
        <f t="shared" si="200"/>
        <v/>
      </c>
      <c r="SJ17" s="11" t="str">
        <f t="shared" si="201"/>
        <v/>
      </c>
      <c r="SK17" s="11" t="str">
        <f t="shared" si="202"/>
        <v/>
      </c>
      <c r="SL17" s="11" t="str">
        <f t="shared" si="203"/>
        <v/>
      </c>
      <c r="SM17" s="11" t="str">
        <f t="shared" si="204"/>
        <v/>
      </c>
      <c r="SN17" s="11" t="str">
        <f t="shared" si="205"/>
        <v/>
      </c>
      <c r="SO17" s="11" t="str">
        <f t="shared" si="206"/>
        <v/>
      </c>
      <c r="SP17" s="11" t="str">
        <f t="shared" si="207"/>
        <v/>
      </c>
      <c r="SQ17" s="11" t="str">
        <f t="shared" si="208"/>
        <v/>
      </c>
      <c r="SR17" s="11" t="str">
        <f t="shared" si="209"/>
        <v/>
      </c>
      <c r="SS17" s="11" t="str">
        <f t="shared" si="210"/>
        <v/>
      </c>
      <c r="ST17" s="11" t="str">
        <f t="shared" si="211"/>
        <v/>
      </c>
      <c r="SU17" s="11" t="str">
        <f t="shared" si="212"/>
        <v/>
      </c>
      <c r="SV17" s="22">
        <f t="shared" si="213"/>
        <v>0</v>
      </c>
      <c r="SW17" s="22">
        <f t="shared" si="214"/>
        <v>0</v>
      </c>
      <c r="SX17" s="22">
        <f t="shared" si="215"/>
        <v>0</v>
      </c>
      <c r="SY17" s="22">
        <f t="shared" si="216"/>
        <v>0</v>
      </c>
      <c r="SZ17" s="22">
        <f t="shared" si="217"/>
        <v>0</v>
      </c>
      <c r="TA17" s="22">
        <f t="shared" si="218"/>
        <v>0</v>
      </c>
      <c r="TB17" s="22">
        <f t="shared" si="219"/>
        <v>0</v>
      </c>
      <c r="TC17" s="22">
        <f t="shared" si="220"/>
        <v>0</v>
      </c>
      <c r="TD17" s="22">
        <f t="shared" si="221"/>
        <v>0</v>
      </c>
      <c r="TE17" s="22">
        <f t="shared" si="222"/>
        <v>0</v>
      </c>
      <c r="TF17" s="22">
        <f t="shared" si="223"/>
        <v>0</v>
      </c>
      <c r="TG17" s="22">
        <f t="shared" si="224"/>
        <v>0</v>
      </c>
      <c r="TH17" s="22">
        <f t="shared" si="225"/>
        <v>0</v>
      </c>
      <c r="TI17" s="22">
        <f t="shared" si="226"/>
        <v>0</v>
      </c>
      <c r="TJ17" s="22">
        <f t="shared" si="227"/>
        <v>0</v>
      </c>
      <c r="TK17" s="27" t="s">
        <v>46</v>
      </c>
      <c r="TL17" s="40" t="str">
        <f t="shared" si="228"/>
        <v/>
      </c>
      <c r="TM17" s="40" t="str">
        <f t="shared" si="229"/>
        <v/>
      </c>
      <c r="TN17" s="40" t="str">
        <f t="shared" si="230"/>
        <v/>
      </c>
      <c r="TO17" s="40" t="str">
        <f t="shared" si="231"/>
        <v/>
      </c>
      <c r="TP17" s="40" t="str">
        <f t="shared" si="232"/>
        <v/>
      </c>
      <c r="TQ17" s="40" t="str">
        <f t="shared" si="233"/>
        <v/>
      </c>
      <c r="TR17" s="40" t="str">
        <f t="shared" si="234"/>
        <v/>
      </c>
      <c r="TS17" s="40" t="str">
        <f t="shared" si="235"/>
        <v/>
      </c>
      <c r="TT17" s="40" t="str">
        <f t="shared" si="236"/>
        <v/>
      </c>
      <c r="TU17" s="40" t="str">
        <f t="shared" si="237"/>
        <v/>
      </c>
      <c r="TV17" s="40" t="str">
        <f t="shared" si="238"/>
        <v/>
      </c>
    </row>
    <row r="18" spans="1:544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118</v>
      </c>
      <c r="D18" s="4" t="s">
        <v>31</v>
      </c>
      <c r="E18" s="4">
        <v>2006</v>
      </c>
      <c r="F18" s="9">
        <f t="shared" si="0"/>
        <v>53.940000910000002</v>
      </c>
      <c r="G18" s="64"/>
      <c r="H18" s="3" t="str">
        <f>IF(OR(AND(AO18&gt;=AY$22,AO18&lt;&gt;"",AQ18&gt;=AY$26,AQ18&lt;&gt;"",AN18=""),AND(AR18&gt;=AY$22,AR18&lt;&gt;"",AT18&gt;=AY$26,AT18&lt;&gt;"",AN18=""),AND(AV18&gt;=AY$22,AV18&lt;&gt;"",AX18&gt;=AY$26,AX18&lt;&gt;"",AN18=""),AND(BP18&gt;=BZ$22,BP18&lt;&gt;"",BR18&gt;=BZ$26,BR18&lt;&gt;"",BO18=""),AND(BS18&gt;=BZ$22,BS18&lt;&gt;"",BU18&gt;=BZ$26,BU18&lt;&gt;"",BO18=""),AND(BW18&gt;=BZ$22,BW18&lt;&gt;"",BY18&gt;=BZ$26,BY18&lt;&gt;"",BO18=""),AND(CQ18&gt;=DA$22,CQ18&lt;&gt;"",CS18&gt;=DA$26,CS18&lt;&gt;"",CP18=""),AND(CT18&gt;=DA$22,CT18&lt;&gt;"",CV18&gt;=DA$26,CV18&lt;&gt;"",CP18=""),AND(CX18&gt;=DA$22,CX18&lt;&gt;"",CZ18&gt;=DA$26,CZ18&lt;&gt;"",CP18=""),AND(DX18&gt;=EK$22,DX18&lt;&gt;"",DZ18&gt;=EK$26,DZ18&lt;&gt;""),AND(EA18&gt;=EK$22,EA18&lt;&gt;"",EC18&gt;=EK$26,EC18&lt;&gt;""),AND(EE18&gt;=EK$22,EE18&lt;&gt;"",EG18&gt;=EK$26,EG18&lt;&gt;""),AND(EH18&gt;=EK$22,EH18&lt;&gt;"",EJ18&gt;=EK$26,EJ18&lt;&gt;""),AND(FF18&gt;=FS$22,FF18&lt;&gt;"",FH18&gt;=FS$26,FH18&lt;&gt;""),AND(FI18&gt;=FS$22,FI18&lt;&gt;"",FK18&gt;=FS$26,FK18&lt;&gt;""),AND(FM18&gt;=FS$22,FM18&lt;&gt;"",FO18&gt;=FS$26,FO18&lt;&gt;""),AND(FP18&gt;=FS$22,FP18&lt;&gt;"",FR18&gt;=FS$26,FR18&lt;&gt;""),AND(GN18&gt;=HA$22,GN18&lt;&gt;"",GP18&gt;=HA$26,GP18&lt;&gt;""),AND(GQ18&gt;=HA$22,GQ18&lt;&gt;"",GS18&gt;=HA$26,GS18&lt;&gt;""),AND(GU18&gt;=HA$22,GU18&lt;&gt;"",GW18&gt;=HA$26,GW18&lt;&gt;""),AND(GX18&gt;=HA$22,GX18&lt;&gt;"",GZ18&gt;=HA$26,GZ18&lt;&gt;""),AND(HV18&gt;=II$22,HV18&lt;&gt;"",HX18&gt;=II$26,HX18&lt;&gt;""),AND(HY18&gt;=II$22,HY18&lt;&gt;"",IA18&gt;=II$26,IA18&lt;&gt;""),AND(IC18&gt;=II$22,IC18&lt;&gt;"",IE18&gt;=II$26,IE18&lt;&gt;""),AND(IF18&gt;=II$22,IF18&lt;&gt;"",IH18&gt;=II$26,IH18&lt;&gt;""),AND(JD18&gt;=JQ$22,JD18&lt;&gt;"",JF18&gt;=JQ$26,JF18&lt;&gt;""),AND(JG18&gt;=JQ$22,JG18&lt;&gt;"",JI18&gt;=JQ$26,JI18&lt;&gt;""),AND(JK18&gt;=JQ$22,JK18&lt;&gt;"",JM18&gt;=JQ$26,JM18&lt;&gt;""),AND(JN18&gt;=JQ$22,JN18&lt;&gt;"",JP18&gt;=JQ$26,JP18&lt;&gt;""),AND(KL18&gt;=KY$22,KL18&lt;&gt;"",KN18&gt;=KY$26,KN18&lt;&gt;""),AND(KO18&gt;=KY$22,KO18&lt;&gt;"",KQ18&gt;=KY$26,KQ18&lt;&gt;""),AND(KS18&gt;=KY$22,KS18&lt;&gt;"",KU18&gt;=KY$26,KU18&lt;&gt;""),AND(KV18&gt;=KY$22,KV18&lt;&gt;"",KX18&gt;=KY$26,KX18&lt;&gt;""),AND(LT18&gt;=MG$22,LT18&lt;&gt;"",LV18&gt;=MG$26,LV18&lt;&gt;""),AND(LW18&gt;=MG$22,LW18&lt;&gt;"",LY18&gt;=MG$26,LY18&lt;&gt;""),AND(MA18&gt;=MG$22,MA18&lt;&gt;"",MC18&gt;=MG$26,MC18&lt;&gt;""),AND(MD18&gt;=MG$22,MD18&lt;&gt;"",MF18&gt;=MG$26,MF18&lt;&gt;""),AND(NB18&gt;=NO$22,NB18&lt;&gt;"",ND18&gt;=NO$26,ND18&lt;&gt;""),AND(NE18&gt;=NO$22,NE18&lt;&gt;"",NG18&gt;=NO$26,NG18&lt;&gt;""),AND(NI18&gt;=NO$22,NI18&lt;&gt;"",NK18&gt;=NO$26,NK18&lt;&gt;""),AND(NL18&gt;=NO$22,NL18&lt;&gt;"",NN18&gt;=NO$26,NN18&lt;&gt;""),AND(OJ18&gt;=OW$22,OJ18&lt;&gt;"",OL18&gt;=OW$26,OL18&lt;&gt;""),AND(OM18&gt;=OW$22,OM18&lt;&gt;"",OO18&gt;=OW$26,OO18&lt;&gt;""),AND(OQ18&gt;=OW$22,OQ18&lt;&gt;"",OS18&gt;=OW$26,OS18&lt;&gt;""),AND(OT18&gt;=OW$22,OT18&lt;&gt;"",OV18&gt;=OW$26,OV18&lt;&gt;""),AND(PR18&gt;=QE$22,PR18&lt;&gt;"",PT18&gt;=QE$26,PT18&lt;&gt;""),AND(PU18&gt;=QE$22,PU18&lt;&gt;"",PW18&gt;=QE$26,PW18&lt;&gt;""),AND(PY18&gt;=QE$22,PY18&lt;&gt;"",QA18&gt;=QE$26,QA18&lt;&gt;""),AND(QB18&gt;=QE$22,QB18&lt;&gt;"",QD18&gt;=QE$26,QD18&lt;&gt;""),AND(QZ18&gt;=RM$22,QZ18&lt;&gt;"",RB18&gt;=RM$26,RB18&lt;&gt;""),AND(RC18&gt;=RM$22,RC18&lt;&gt;"",RE18&gt;=RM$26,RE18&lt;&gt;""),AND(RG18&gt;=RM$22,RG18&lt;&gt;"",RI18&gt;=RM$26,RI18&lt;&gt;""),AND(RJ18&gt;=RM$22,RJ18&lt;&gt;"",RL18&gt;=RM$26,RL18&lt;&gt;""),AND(SH18&gt;=SU$22,SH18&lt;&gt;"",SJ18&gt;=SU$26,SJ18&lt;&gt;""),AND(SK18&gt;=SU$22,SK18&lt;&gt;"",SM18&gt;=SU$26,SM18&lt;&gt;""),AND(SO18&gt;=SU$22,SO18&lt;&gt;"",SQ18&gt;=SU$26,SQ18&lt;&gt;""),AND(SR18&gt;=SU$22,SR18&lt;&gt;"",ST18&gt;=SU$26,ST18&lt;&gt;"")),"P","")</f>
        <v/>
      </c>
      <c r="I18" s="3" t="str">
        <f>IF(OR(AND(AQ18&gt;=AY$26,AQ18&lt;&gt;"",AN18=""),AND(AT18&gt;=AY$26,AT18&lt;&gt;"",AN18=""),AND(AX18&gt;=AY$26,AX18&lt;&gt;"",AN18=""),AND(BR18&gt;=BZ$26,BR18&lt;&gt;"",BO18=""),AND(BU18&gt;=BZ$26,BU18&lt;&gt;"",BO18=""),AND(BY18&gt;=BZ$26,BY18&lt;&gt;"",BO18=""),AND(CS18&gt;=DA$26,CS18&lt;&gt;"",CP18=""),AND(CV18&gt;=DA$26,CV18&lt;&gt;"",CP18=""),AND(CZ18&gt;=DA$26,CZ18&lt;&gt;"",CP18=""),AND(DZ18&gt;=EK$26,DZ18&lt;&gt;""),AND(EC18&gt;=EK$26,EC18&lt;&gt;""),AND(EG18&gt;=EK$26,EG18&lt;&gt;""),AND(EJ18&gt;=EK$26,EJ18&lt;&gt;""),AND(FH18&gt;=FS$26,FH18&lt;&gt;""),AND(FK18&gt;=FS$26,FK18&lt;&gt;""),AND(FO18&gt;=FS$26,FO18&lt;&gt;""),AND(FR18&gt;=FS$26,FR18&lt;&gt;""),AND(GP18&gt;=HA$26,GP18&lt;&gt;""),AND(GS18&gt;=HA$26,GS18&lt;&gt;""),AND(GW18&gt;=HA$26,GW18&lt;&gt;""),AND(GZ18&gt;=HA$26,GZ18&lt;&gt;""),AND(HX18&gt;=II$26,HX18&lt;&gt;""),AND(IA18&gt;=II$26,IA18&lt;&gt;""),AND(IE18&gt;=II$26,IE18&lt;&gt;""),AND(IH18&gt;=II$26,IH18&lt;&gt;""),AND(JF18&gt;=JQ$26,JF18&lt;&gt;""),AND(JI18&gt;=JQ$26,JI18&lt;&gt;""),AND(JM18&gt;=JQ$26,JM18&lt;&gt;""),AND(JP18&gt;=JQ$26,JP18&lt;&gt;""),AND(KN18&gt;=KY$26,KN18&lt;&gt;""),AND(KQ18&gt;=KY$26,KQ18&lt;&gt;""),AND(KU18&gt;=KY$26,KU18&lt;&gt;""),AND(KX18&gt;=KY$26,KX18&lt;&gt;""),AND(LV18&gt;=MG$26,LV18&lt;&gt;""),AND(LY18&gt;=MG$26,LY18&lt;&gt;""),AND(MC18&gt;=MG$26,MC18&lt;&gt;""),AND(MF18&gt;=MG$26,MF18&lt;&gt;""),AND(ND18&gt;=NO$26,ND18&lt;&gt;""),AND(NG18&gt;=NO$26,NG18&lt;&gt;""),AND(NK18&gt;=NO$26,NK18&lt;&gt;""),AND(NN18&gt;=NO$26,NN18&lt;&gt;""),AND(OL18&gt;=OW$26,OL18&lt;&gt;""),AND(OO18&gt;=OW$26,OO18&lt;&gt;""),AND(OS18&gt;=OW$26,OS18&lt;&gt;""),AND(OV18&gt;=OW$26,OV18&lt;&gt;""),AND(PT18&gt;=QE$26,PT18&lt;&gt;""),AND(PW18&gt;=QE$26,PW18&lt;&gt;""),AND(QA18&gt;=QE$26,QA18&lt;&gt;""),AND(QD18&gt;=QE$26,QD18&lt;&gt;""),AND(RB18&gt;=RM$26,RB18&lt;&gt;""),AND(RE18&gt;=RM$26,RE18&lt;&gt;""),AND(RI18&gt;=RM$26,RI18&lt;&gt;""),AND(RL18&gt;=RM$26,RL18&lt;&gt;""),AND(SJ18&gt;=SU$26,SJ18&lt;&gt;""),AND(SM18&gt;=SU$26,SM18&lt;&gt;""),AND(SQ18&gt;=SU$26,SQ18&lt;&gt;""),AND(ST18&gt;=SU$26,ST18&lt;&gt;"")),"P","")</f>
        <v/>
      </c>
      <c r="J18" s="36" t="str">
        <f>IF(AND(I18="P",H18=""),"No DD",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Merit",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Excellence",IF(K18="P","Worlds Team",IF(H18="P","National Team","")))))</f>
        <v/>
      </c>
      <c r="K18" s="3" t="str">
        <f>IF(OR(AND(AO18&gt;=AY$23,AO18&lt;&gt;"",AQ18&gt;=AY$27,AQ18&lt;&gt;"",AN18=""),AND(AR18&gt;=AY$23,AR18&lt;&gt;"",AT18&gt;=AY$27,AT18&lt;&gt;"",AN18=""),AND(AV18&gt;=AY$23,AV18&lt;&gt;"",AX18&gt;=AY$27,AX18&lt;&gt;"",AN18=""),AND(BP18&gt;=BZ$23,BP18&lt;&gt;"",BR18&gt;=BZ$27,BR18&lt;&gt;"",BO18=""),AND(BS18&gt;=BZ$23,BS18&lt;&gt;"",BU18&gt;=BZ$27,BU18&lt;&gt;"",BO18=""),AND(BW18&gt;=BZ$23,BW18&lt;&gt;"",BY18&gt;=BZ$27,BY18&lt;&gt;"",BO18=""),AND(CQ18&gt;=DA$23,CQ18&lt;&gt;"",CS18&gt;=DA$27,CS18&lt;&gt;"",CP18=""),AND(CT18&gt;=DA$23,CT18&lt;&gt;"",CV18&gt;=DA$27,CV18&lt;&gt;"",CP18=""),AND(CX18&gt;=DA$23,CX18&lt;&gt;"",CZ18&gt;=DA$27,CZ18&lt;&gt;"",CP18=""),AND(DX18&gt;=EK$23,DX18&lt;&gt;"",DZ18&gt;=EK$27,DZ18&lt;&gt;""),AND(EA18&gt;=EK$23,EA18&lt;&gt;"",EC18&gt;=EK$27,EC18&lt;&gt;""),AND(EE18&gt;=EK$23,EE18&lt;&gt;"",EG18&gt;=EK$27,EG18&lt;&gt;""),AND(EH18&gt;=EK$23,EH18&lt;&gt;"",EJ18&gt;=EK$27,EJ18&lt;&gt;""),AND(FF18&gt;=FS$23,FF18&lt;&gt;"",FH18&gt;=FS$27,FH18&lt;&gt;""),AND(FI18&gt;=FS$23,FI18&lt;&gt;"",FK18&gt;=FS$27,FK18&lt;&gt;""),AND(FM18&gt;=FS$23,FM18&lt;&gt;"",FO18&gt;=FS$27,FO18&lt;&gt;""),AND(FP18&gt;=FS$23,FP18&lt;&gt;"",FR18&gt;=FS$27,FR18&lt;&gt;""),AND(GN18&gt;=HA$23,GN18&lt;&gt;"",GP18&gt;=HA$27,GP18&lt;&gt;""),AND(GQ18&gt;=HA$23,GQ18&lt;&gt;"",GS18&gt;=HA$27,GS18&lt;&gt;""),AND(GU18&gt;=HA$23,GU18&lt;&gt;"",GW18&gt;=HA$27,GW18&lt;&gt;""),AND(GX18&gt;=HA$23,GX18&lt;&gt;"",GZ18&gt;=HA$27,GZ18&lt;&gt;""),AND(HV18&gt;=II$23,HV18&lt;&gt;"",HX18&gt;=II$27,HX18&lt;&gt;""),AND(HY18&gt;=II$23,HY18&lt;&gt;"",IA18&gt;=II$27,IA18&lt;&gt;""),AND(IC18&gt;=II$23,IC18&lt;&gt;"",IE18&gt;=II$27,IE18&lt;&gt;""),AND(IF18&gt;=II$23,IF18&lt;&gt;"",IH18&gt;=II$27,IH18&lt;&gt;""),AND(JD18&gt;=JQ$23,JD18&lt;&gt;"",JF18&gt;=JQ$27,JF18&lt;&gt;""),AND(JG18&gt;=JQ$23,JG18&lt;&gt;"",JI18&gt;=JQ$27,JI18&lt;&gt;""),AND(JK18&gt;=JQ$23,JK18&lt;&gt;"",JM18&gt;=JQ$27,JM18&lt;&gt;""),AND(JN18&gt;=JQ$23,JN18&lt;&gt;"",JP18&gt;=JQ$27,JP18&lt;&gt;""),AND(KL18&gt;=KY$23,KL18&lt;&gt;"",KN18&gt;=KY$27,KN18&lt;&gt;""),AND(KO18&gt;=KY$23,KO18&lt;&gt;"",KQ18&gt;=KY$27,KQ18&lt;&gt;""),AND(KS18&gt;=KY$23,KS18&lt;&gt;"",KU18&gt;=KY$27,KU18&lt;&gt;""),AND(KV18&gt;=KY$23,KV18&lt;&gt;"",KX18&gt;=KY$27,KX18&lt;&gt;""),AND(LT18&gt;=MG$23,LT18&lt;&gt;"",LV18&gt;=MG$27,LV18&lt;&gt;""),AND(LW18&gt;=MG$23,LW18&lt;&gt;"",LY18&gt;=MG$27,LY18&lt;&gt;""),AND(MA18&gt;=MG$23,MA18&lt;&gt;"",MC18&gt;=MG$27,MC18&lt;&gt;""),AND(MD18&gt;=MG$23,MD18&lt;&gt;"",MF18&gt;=MG$27,MF18&lt;&gt;""),AND(NB18&gt;=NO$23,NB18&lt;&gt;"",ND18&gt;=NO$27,ND18&lt;&gt;""),AND(NE18&gt;=NO$23,NE18&lt;&gt;"",NG18&gt;=NO$27,NG18&lt;&gt;""),AND(NI18&gt;=NO$23,NI18&lt;&gt;"",NK18&gt;=NO$27,NK18&lt;&gt;""),AND(NL18&gt;=NO$23,NL18&lt;&gt;"",NN18&gt;=NO$27,NN18&lt;&gt;""),AND(OJ18&gt;=OW$23,OJ18&lt;&gt;"",OL18&gt;=OW$27,OL18&lt;&gt;""),AND(OM18&gt;=OW$23,OM18&lt;&gt;"",OO18&gt;=OW$27,OO18&lt;&gt;""),AND(OQ18&gt;=OW$23,OQ18&lt;&gt;"",OS18&gt;=OW$27,OS18&lt;&gt;""),AND(OT18&gt;=OW$23,OT18&lt;&gt;"",OV18&gt;=OW$27,OV18&lt;&gt;""),AND(PR18&gt;=QE$23,PR18&lt;&gt;"",PT18&gt;=QE$27,PT18&lt;&gt;""),AND(PU18&gt;=QE$23,PU18&lt;&gt;"",PW18&gt;=QE$27,PW18&lt;&gt;""),AND(PY18&gt;=QE$23,PY18&lt;&gt;"",QA18&gt;=QE$27,QA18&lt;&gt;""),AND(QB18&gt;=QE$23,QB18&lt;&gt;"",QD18&gt;=QE$27,QD18&lt;&gt;""),AND(QZ18&gt;=RM$23,QZ18&lt;&gt;"",RB18&gt;=RM$27,RB18&lt;&gt;""),AND(RC18&gt;=RM$23,RC18&lt;&gt;"",RE18&gt;=RM$27,RE18&lt;&gt;""),AND(RG18&gt;=RM$23,RG18&lt;&gt;"",RI18&gt;=RM$27,RI18&lt;&gt;""),AND(RJ18&gt;=RM$23,RJ18&lt;&gt;"",RL18&gt;=RM$27,RL18&lt;&gt;""),AND(SH18&gt;=SU$23,SH18&lt;&gt;"",SJ18&gt;=SU$27,SJ18&lt;&gt;""),AND(SK18&gt;=SU$23,SK18&lt;&gt;"",SM18&gt;=SU$27,SM18&lt;&gt;""),AND(SO18&gt;=SU$23,SO18&lt;&gt;"",SQ18&gt;=SU$27,SQ18&lt;&gt;""),AND(SR18&gt;=SU$23,SR18&lt;&gt;"",ST18&gt;=SU$27,ST18&lt;&gt;"")),"P","")</f>
        <v/>
      </c>
      <c r="L18" s="8">
        <f>IF(COUNT(AQ18,AT18,BR18,BU18,CS18,CV18)&gt;0,LARGE((AQ18,AT18,BR18,BU18,CS18,CV18),1),0)</f>
        <v>0</v>
      </c>
      <c r="M18" s="8" t="str">
        <f t="shared" si="1"/>
        <v/>
      </c>
      <c r="N18" s="8">
        <f>IF(COUNT(AQ18,AT18,BR18,BU18,CS18,CV18)&gt;1,LARGE((AQ18,AT18,BR18,BU18,CS18,CV18),2),0)</f>
        <v>0</v>
      </c>
      <c r="O18" s="8" t="str">
        <f t="shared" si="2"/>
        <v/>
      </c>
      <c r="P18" s="8">
        <f>IF(COUNT(AQ18,AT18,BR18,BU18,CS18,CV18)&gt;2,MAX(AX18,BY18,CZ18,LARGE((AQ18,AT18,BR18,BU18,CS18,CV18),3)),IF(MAX(AX18,BY18,CZ18)&gt;0,MAX(AX18,BY18,CZ18),0))</f>
        <v>0</v>
      </c>
      <c r="Q18" s="8" t="str">
        <f t="shared" si="3"/>
        <v/>
      </c>
      <c r="R18" s="8">
        <f t="shared" si="4"/>
        <v>9.1</v>
      </c>
      <c r="S18" s="8" t="str">
        <f t="shared" si="5"/>
        <v>2024 Coimbra Gym Fest (July 7)</v>
      </c>
      <c r="T18" s="8">
        <f>IF(MAX(IF(AO18&gt;=$AY$22,AP18,0),IF(AR18&gt;=$AY$22,AS18,0),IF(AV18&gt;=$AY$22,AW18,0),IF(BP18&gt;=$BZ$22,BQ18,0),IF(BS18&gt;=$BZ$22,BT18,0),IF(BW18&gt;=$BZ$22,BX18,0),IF(CQ18&gt;=$DA$22,CR18,0),IF(CT18&gt;=$DA$22,CU18,0),IF(CX18&gt;=$DA$22,CY18,0),IF(DX18&gt;=$EK$22,DY18,0),IF(EA18&gt;=$EK$22,EB18,0),IF(EE18&gt;=$EK$22,EF18,0),IF(EH18&gt;=$EK$22,EI18,0),IF(FF18&gt;=$FS$22,FG18,0),IF(FI18&gt;=$FS$22,FJ18,0),IF(FM18&gt;=$FS$22,FN18,0),IF(FP18&gt;=$FS$22,FQ18,0),IF(GN18&gt;=$HA$22,GO18,0),IF(GQ18&gt;=$HA$22,GR18,0),IF(GU18&gt;=$HA$22,GV18,0),IF(GX18&gt;=$HA$22,GY18,0),IF(HV18&gt;=$II$22,HW18,0),IF(HY18&gt;=$II$22,HZ18,0),IF(IC18&gt;=$II$22,ID18,0),IF(IF18&gt;=$II$22,IG18,0),IF(JD18&gt;=$JQ$22,JE18,0),IF(JG18&gt;=$JQ$22,JH18,0),IF(JK18&gt;=$JQ$22,JL18,0),IF(JN18&gt;=$JQ$22,JO18,0),IF(KL18&gt;=$KY$22,KM18,0),IF(KO18&gt;=$KY$22,KP18,0),IF(KS18&gt;=$KY$22,KT18,0),IF(KV18&gt;=$KY$22,KW18,0),IF(LT18&gt;=$MG$22,LU18,0),IF(LW18&gt;=$MG$22,LX18,0),IF(MA18&gt;=$MG$22,MB18,0),IF(MD18&gt;=$MG$22,ME18,0),IF(NB18&gt;=$NO$22,NC18,0),IF(NE18&gt;=$NO$22,NF18,0),IF(NI18&gt;=$NO$22,NJ18,0),IF(NL18&gt;=$NO$22,NM18,0),IF(OJ18&gt;=$OW$22,OK18,0),IF(OM18&gt;=$OW$22,ON18,0),IF(OQ18&gt;=$OW$22,OR18,0),IF(OT18&gt;=$OW$22,OU18,0),IF(PR18&gt;=$QE$22,PS18,0),IF(PU18&gt;=$QE$22,PV18,0),IF(PY18&gt;=$QE$22,PZ18,0),IF(QB18&gt;=$QE$22,QC18,0),IF(QZ18&gt;=$RM$22,RA18,0),IF(RC18&gt;=$RM$22,RD18,0),IF(RG18&gt;=$RM$22,RH18,0),IF(RJ18&gt;=$RM$22,RK18,0),IF(SH18&gt;=$SU$22,SI18,0),IF(SK18&gt;=$SU$22,SL18,0),IF(SO18&gt;=$SU$22,SP18,0),IF(SR18&gt;=$SU$22,SS18,0))&gt;0,MAX(IF(AO18&gt;=$AY$22,AP18,0),IF(AR18&gt;=$AY$22,AS18,0),IF(AV18&gt;=$AY$22,AW18,0),IF(BP18&gt;=$BZ$22,BQ18,0),IF(BS18&gt;=$BZ$22,BT18,0),IF(BW18&gt;=$BZ$22,BX18,0),IF(CQ18&gt;=$DA$22,CR18,0),IF(CT18&gt;=$DA$22,CU18,0),IF(CX18&gt;=$DA$22,CY18,0),IF(DX18&gt;=$EK$22,DY18,0),IF(EA18&gt;=$EK$22,EB18,0),IF(EE18&gt;=$EK$22,EF18,0),IF(EH18&gt;=$EK$22,EI18,0),IF(FF18&gt;=$FS$22,FG18,0),IF(FI18&gt;=$FS$22,FJ18,0),IF(FM18&gt;=$FS$22,FN18,0),IF(FP18&gt;=$FS$22,FQ18,0),IF(GN18&gt;=$HA$22,GO18,0),IF(GQ18&gt;=$HA$22,GR18,0),IF(GU18&gt;=$HA$22,GV18,0),IF(GX18&gt;=$HA$22,GY18,0),IF(HV18&gt;=$II$22,HW18,0),IF(HY18&gt;=$II$22,HZ18,0),IF(IC18&gt;=$II$22,ID18,0),IF(IF18&gt;=$II$22,IG18,0),IF(JD18&gt;=$JQ$22,JE18,0),IF(JG18&gt;=$JQ$22,JH18,0),IF(JK18&gt;=$JQ$22,JL18,0),IF(JN18&gt;=$JQ$22,JO18,0),IF(KL18&gt;=$KY$22,KM18,0),IF(KO18&gt;=$KY$22,KP18,0),IF(KS18&gt;=$KY$22,KT18,0),IF(KV18&gt;=$KY$22,KW18,0),IF(LT18&gt;=$MG$22,LU18,0),IF(LW18&gt;=$MG$22,LX18,0),IF(MA18&gt;=$MG$22,MB18,0),IF(MD18&gt;=$MG$22,ME18,0),IF(NB18&gt;=$NO$22,NC18,0),IF(NE18&gt;=$NO$22,NF18,0),IF(NI18&gt;=$NO$22,NJ18,0),IF(NL18&gt;=$NO$22,NM18,0),IF(OJ18&gt;=$OW$22,OK18,0),IF(OM18&gt;=$OW$22,ON18,0),IF(OQ18&gt;=$OW$22,OR18,0),IF(OT18&gt;=$OW$22,OU18,0),IF(PR18&gt;=$QE$22,PS18,0),IF(PU18&gt;=$QE$22,PV18,0),IF(PY18&gt;=$QE$22,PZ18,0),IF(QB18&gt;=$QE$22,QC18,0),IF(QZ18&gt;=$RM$22,RA18,0),IF(RC18&gt;=$RM$22,RD18,0),IF(RG18&gt;=$RM$22,RH18,0),IF(RJ18&gt;=$RM$22,RK18,0),IF(SH18&gt;=$SU$22,SI18,0),IF(SK18&gt;=$SU$22,SL18,0),IF(SO18&gt;=$SU$22,SP18,0),IF(SR18&gt;=$SU$22,SS18,0)),0)</f>
        <v>0</v>
      </c>
      <c r="U18" s="8" t="str">
        <f t="shared" si="6"/>
        <v/>
      </c>
      <c r="V18" s="8">
        <f t="shared" si="7"/>
        <v>44.84</v>
      </c>
      <c r="W18" s="11" t="str">
        <f t="shared" si="8"/>
        <v>(Optional)</v>
      </c>
      <c r="X18" s="8" t="str">
        <f t="shared" si="9"/>
        <v>2024 Coimbra Gym Fest (July 7)</v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 t="shared" si="10"/>
        <v/>
      </c>
      <c r="AP18" s="38" t="str">
        <f t="shared" si="11"/>
        <v/>
      </c>
      <c r="AQ18" s="40" t="str">
        <f t="shared" si="12"/>
        <v/>
      </c>
      <c r="AR18" s="40" t="str">
        <f t="shared" si="13"/>
        <v/>
      </c>
      <c r="AS18" s="40" t="str">
        <f t="shared" si="14"/>
        <v/>
      </c>
      <c r="AT18" s="40" t="str">
        <f t="shared" si="15"/>
        <v/>
      </c>
      <c r="AU18" s="40" t="str">
        <f t="shared" si="16"/>
        <v/>
      </c>
      <c r="AV18" s="40" t="str">
        <f t="shared" si="17"/>
        <v/>
      </c>
      <c r="AW18" s="40" t="str">
        <f t="shared" si="18"/>
        <v/>
      </c>
      <c r="AX18" s="40" t="str">
        <f t="shared" si="19"/>
        <v/>
      </c>
      <c r="AY18" s="40" t="str">
        <f t="shared" si="20"/>
        <v/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1"/>
        <v/>
      </c>
      <c r="BQ18" s="39" t="str">
        <f t="shared" si="22"/>
        <v/>
      </c>
      <c r="BR18" s="11" t="str">
        <f t="shared" si="23"/>
        <v/>
      </c>
      <c r="BS18" s="11" t="str">
        <f t="shared" si="24"/>
        <v/>
      </c>
      <c r="BT18" s="11" t="str">
        <f t="shared" si="25"/>
        <v/>
      </c>
      <c r="BU18" s="11" t="str">
        <f t="shared" si="26"/>
        <v/>
      </c>
      <c r="BV18" s="11" t="str">
        <f t="shared" si="27"/>
        <v/>
      </c>
      <c r="BW18" s="11" t="str">
        <f t="shared" si="28"/>
        <v/>
      </c>
      <c r="BX18" s="11" t="str">
        <f t="shared" si="29"/>
        <v/>
      </c>
      <c r="BY18" s="11" t="str">
        <f t="shared" si="30"/>
        <v/>
      </c>
      <c r="BZ18" s="11" t="str">
        <f t="shared" si="31"/>
        <v/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2"/>
        <v/>
      </c>
      <c r="CR18" s="38" t="str">
        <f t="shared" si="33"/>
        <v/>
      </c>
      <c r="CS18" s="40" t="str">
        <f t="shared" si="34"/>
        <v/>
      </c>
      <c r="CT18" s="40" t="str">
        <f t="shared" si="35"/>
        <v/>
      </c>
      <c r="CU18" s="40" t="str">
        <f t="shared" si="36"/>
        <v/>
      </c>
      <c r="CV18" s="40" t="str">
        <f t="shared" si="37"/>
        <v/>
      </c>
      <c r="CW18" s="40" t="str">
        <f t="shared" si="38"/>
        <v/>
      </c>
      <c r="CX18" s="40" t="str">
        <f t="shared" si="39"/>
        <v/>
      </c>
      <c r="CY18" s="40" t="str">
        <f t="shared" si="40"/>
        <v/>
      </c>
      <c r="CZ18" s="40" t="str">
        <f t="shared" si="41"/>
        <v/>
      </c>
      <c r="DA18" s="40" t="str">
        <f t="shared" si="42"/>
        <v/>
      </c>
      <c r="DB18" s="50">
        <f t="shared" si="43"/>
        <v>44.84</v>
      </c>
      <c r="DC18" s="50" t="str">
        <f t="shared" si="44"/>
        <v/>
      </c>
      <c r="DD18" s="17">
        <v>12.1</v>
      </c>
      <c r="DE18" s="17">
        <v>7.4</v>
      </c>
      <c r="DF18" s="17">
        <v>8.1</v>
      </c>
      <c r="DG18" s="17">
        <v>11.81</v>
      </c>
      <c r="DH18" s="17">
        <v>0</v>
      </c>
      <c r="DI18" s="17">
        <v>13.8</v>
      </c>
      <c r="DJ18" s="17">
        <v>8.6</v>
      </c>
      <c r="DK18" s="17">
        <v>9.1</v>
      </c>
      <c r="DL18" s="17">
        <v>13.34</v>
      </c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>
        <f t="shared" si="45"/>
        <v>8.1</v>
      </c>
      <c r="DY18" s="40">
        <f t="shared" si="46"/>
        <v>11.81</v>
      </c>
      <c r="DZ18" s="40">
        <f t="shared" si="47"/>
        <v>39.410000000000004</v>
      </c>
      <c r="EA18" s="40">
        <f t="shared" si="48"/>
        <v>9.1</v>
      </c>
      <c r="EB18" s="40">
        <f t="shared" si="49"/>
        <v>13.34</v>
      </c>
      <c r="EC18" s="40">
        <f t="shared" si="50"/>
        <v>44.84</v>
      </c>
      <c r="ED18" s="40">
        <f t="shared" si="51"/>
        <v>44.84</v>
      </c>
      <c r="EE18" s="40" t="str">
        <f t="shared" si="52"/>
        <v/>
      </c>
      <c r="EF18" s="40" t="str">
        <f t="shared" si="53"/>
        <v/>
      </c>
      <c r="EG18" s="40" t="str">
        <f t="shared" si="54"/>
        <v/>
      </c>
      <c r="EH18" s="40" t="str">
        <f t="shared" si="55"/>
        <v/>
      </c>
      <c r="EI18" s="40" t="str">
        <f t="shared" si="56"/>
        <v/>
      </c>
      <c r="EJ18" s="40" t="str">
        <f t="shared" si="57"/>
        <v/>
      </c>
      <c r="EK18" s="40">
        <f t="shared" si="58"/>
        <v>44.84</v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59"/>
        <v/>
      </c>
      <c r="FG18" s="11" t="str">
        <f t="shared" si="60"/>
        <v/>
      </c>
      <c r="FH18" s="11" t="str">
        <f t="shared" si="61"/>
        <v/>
      </c>
      <c r="FI18" s="11" t="str">
        <f t="shared" si="62"/>
        <v/>
      </c>
      <c r="FJ18" s="11" t="str">
        <f t="shared" si="63"/>
        <v/>
      </c>
      <c r="FK18" s="11" t="str">
        <f t="shared" si="64"/>
        <v/>
      </c>
      <c r="FL18" s="11" t="str">
        <f t="shared" si="65"/>
        <v/>
      </c>
      <c r="FM18" s="11" t="str">
        <f t="shared" si="66"/>
        <v/>
      </c>
      <c r="FN18" s="11" t="str">
        <f t="shared" si="67"/>
        <v/>
      </c>
      <c r="FO18" s="11" t="str">
        <f t="shared" si="68"/>
        <v/>
      </c>
      <c r="FP18" s="11" t="str">
        <f t="shared" si="69"/>
        <v/>
      </c>
      <c r="FQ18" s="11" t="str">
        <f t="shared" si="70"/>
        <v/>
      </c>
      <c r="FR18" s="11" t="str">
        <f t="shared" si="71"/>
        <v/>
      </c>
      <c r="FS18" s="11" t="str">
        <f t="shared" si="72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3"/>
        <v/>
      </c>
      <c r="GO18" s="40" t="str">
        <f t="shared" si="74"/>
        <v/>
      </c>
      <c r="GP18" s="40" t="str">
        <f t="shared" si="75"/>
        <v/>
      </c>
      <c r="GQ18" s="40" t="str">
        <f t="shared" si="76"/>
        <v/>
      </c>
      <c r="GR18" s="40" t="str">
        <f t="shared" si="77"/>
        <v/>
      </c>
      <c r="GS18" s="40" t="str">
        <f t="shared" si="78"/>
        <v/>
      </c>
      <c r="GT18" s="40" t="str">
        <f t="shared" si="79"/>
        <v/>
      </c>
      <c r="GU18" s="40" t="str">
        <f t="shared" si="80"/>
        <v/>
      </c>
      <c r="GV18" s="40" t="str">
        <f t="shared" si="81"/>
        <v/>
      </c>
      <c r="GW18" s="40" t="str">
        <f t="shared" si="82"/>
        <v/>
      </c>
      <c r="GX18" s="40" t="str">
        <f t="shared" si="83"/>
        <v/>
      </c>
      <c r="GY18" s="40" t="str">
        <f t="shared" si="84"/>
        <v/>
      </c>
      <c r="GZ18" s="40" t="str">
        <f t="shared" si="85"/>
        <v/>
      </c>
      <c r="HA18" s="40" t="str">
        <f t="shared" si="86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87"/>
        <v/>
      </c>
      <c r="HW18" s="11" t="str">
        <f t="shared" si="88"/>
        <v/>
      </c>
      <c r="HX18" s="11" t="str">
        <f t="shared" si="89"/>
        <v/>
      </c>
      <c r="HY18" s="11" t="str">
        <f t="shared" si="90"/>
        <v/>
      </c>
      <c r="HZ18" s="11" t="str">
        <f t="shared" si="91"/>
        <v/>
      </c>
      <c r="IA18" s="11" t="str">
        <f t="shared" si="92"/>
        <v/>
      </c>
      <c r="IB18" s="11" t="str">
        <f t="shared" si="93"/>
        <v/>
      </c>
      <c r="IC18" s="11" t="str">
        <f t="shared" si="94"/>
        <v/>
      </c>
      <c r="ID18" s="11" t="str">
        <f t="shared" si="95"/>
        <v/>
      </c>
      <c r="IE18" s="11" t="str">
        <f t="shared" si="96"/>
        <v/>
      </c>
      <c r="IF18" s="11" t="str">
        <f t="shared" si="97"/>
        <v/>
      </c>
      <c r="IG18" s="11" t="str">
        <f t="shared" si="98"/>
        <v/>
      </c>
      <c r="IH18" s="11" t="str">
        <f t="shared" si="99"/>
        <v/>
      </c>
      <c r="II18" s="11" t="str">
        <f t="shared" si="100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1"/>
        <v/>
      </c>
      <c r="JE18" s="40" t="str">
        <f t="shared" si="102"/>
        <v/>
      </c>
      <c r="JF18" s="40" t="str">
        <f t="shared" si="103"/>
        <v/>
      </c>
      <c r="JG18" s="40" t="str">
        <f t="shared" si="104"/>
        <v/>
      </c>
      <c r="JH18" s="40" t="str">
        <f t="shared" si="105"/>
        <v/>
      </c>
      <c r="JI18" s="40" t="str">
        <f t="shared" si="106"/>
        <v/>
      </c>
      <c r="JJ18" s="40" t="str">
        <f t="shared" si="107"/>
        <v/>
      </c>
      <c r="JK18" s="40" t="str">
        <f t="shared" si="108"/>
        <v/>
      </c>
      <c r="JL18" s="40" t="str">
        <f t="shared" si="109"/>
        <v/>
      </c>
      <c r="JM18" s="40" t="str">
        <f t="shared" si="110"/>
        <v/>
      </c>
      <c r="JN18" s="40" t="str">
        <f t="shared" si="111"/>
        <v/>
      </c>
      <c r="JO18" s="40" t="str">
        <f t="shared" si="112"/>
        <v/>
      </c>
      <c r="JP18" s="40" t="str">
        <f t="shared" si="113"/>
        <v/>
      </c>
      <c r="JQ18" s="40" t="str">
        <f t="shared" si="114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15"/>
        <v/>
      </c>
      <c r="KM18" s="11" t="str">
        <f t="shared" si="116"/>
        <v/>
      </c>
      <c r="KN18" s="11" t="str">
        <f t="shared" si="117"/>
        <v/>
      </c>
      <c r="KO18" s="11" t="str">
        <f t="shared" si="118"/>
        <v/>
      </c>
      <c r="KP18" s="11" t="str">
        <f t="shared" si="119"/>
        <v/>
      </c>
      <c r="KQ18" s="11" t="str">
        <f t="shared" si="120"/>
        <v/>
      </c>
      <c r="KR18" s="11" t="str">
        <f t="shared" si="121"/>
        <v/>
      </c>
      <c r="KS18" s="11" t="str">
        <f t="shared" si="122"/>
        <v/>
      </c>
      <c r="KT18" s="11" t="str">
        <f t="shared" si="123"/>
        <v/>
      </c>
      <c r="KU18" s="11" t="str">
        <f t="shared" si="124"/>
        <v/>
      </c>
      <c r="KV18" s="11" t="str">
        <f t="shared" si="125"/>
        <v/>
      </c>
      <c r="KW18" s="11" t="str">
        <f t="shared" si="126"/>
        <v/>
      </c>
      <c r="KX18" s="11" t="str">
        <f t="shared" si="127"/>
        <v/>
      </c>
      <c r="KY18" s="11" t="str">
        <f t="shared" si="128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29"/>
        <v/>
      </c>
      <c r="LU18" s="40" t="str">
        <f t="shared" si="130"/>
        <v/>
      </c>
      <c r="LV18" s="40" t="str">
        <f t="shared" si="131"/>
        <v/>
      </c>
      <c r="LW18" s="40" t="str">
        <f t="shared" si="132"/>
        <v/>
      </c>
      <c r="LX18" s="40" t="str">
        <f t="shared" si="133"/>
        <v/>
      </c>
      <c r="LY18" s="40" t="str">
        <f t="shared" si="134"/>
        <v/>
      </c>
      <c r="LZ18" s="40" t="str">
        <f t="shared" si="135"/>
        <v/>
      </c>
      <c r="MA18" s="40" t="str">
        <f t="shared" si="136"/>
        <v/>
      </c>
      <c r="MB18" s="40" t="str">
        <f t="shared" si="137"/>
        <v/>
      </c>
      <c r="MC18" s="40" t="str">
        <f t="shared" si="138"/>
        <v/>
      </c>
      <c r="MD18" s="40" t="str">
        <f t="shared" si="139"/>
        <v/>
      </c>
      <c r="ME18" s="40" t="str">
        <f t="shared" si="140"/>
        <v/>
      </c>
      <c r="MF18" s="40" t="str">
        <f t="shared" si="141"/>
        <v/>
      </c>
      <c r="MG18" s="40" t="str">
        <f t="shared" si="142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3"/>
        <v/>
      </c>
      <c r="NC18" s="11" t="str">
        <f t="shared" si="144"/>
        <v/>
      </c>
      <c r="ND18" s="11" t="str">
        <f t="shared" si="145"/>
        <v/>
      </c>
      <c r="NE18" s="11" t="str">
        <f t="shared" si="146"/>
        <v/>
      </c>
      <c r="NF18" s="11" t="str">
        <f t="shared" si="147"/>
        <v/>
      </c>
      <c r="NG18" s="11" t="str">
        <f t="shared" si="148"/>
        <v/>
      </c>
      <c r="NH18" s="11" t="str">
        <f t="shared" si="149"/>
        <v/>
      </c>
      <c r="NI18" s="11" t="str">
        <f t="shared" si="150"/>
        <v/>
      </c>
      <c r="NJ18" s="11" t="str">
        <f t="shared" si="151"/>
        <v/>
      </c>
      <c r="NK18" s="11" t="str">
        <f t="shared" si="152"/>
        <v/>
      </c>
      <c r="NL18" s="11" t="str">
        <f t="shared" si="153"/>
        <v/>
      </c>
      <c r="NM18" s="11" t="str">
        <f t="shared" si="154"/>
        <v/>
      </c>
      <c r="NN18" s="11" t="str">
        <f t="shared" si="155"/>
        <v/>
      </c>
      <c r="NO18" s="11" t="str">
        <f t="shared" si="156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57"/>
        <v/>
      </c>
      <c r="OK18" s="40" t="str">
        <f t="shared" si="158"/>
        <v/>
      </c>
      <c r="OL18" s="40" t="str">
        <f t="shared" si="159"/>
        <v/>
      </c>
      <c r="OM18" s="40" t="str">
        <f t="shared" si="160"/>
        <v/>
      </c>
      <c r="ON18" s="40" t="str">
        <f t="shared" si="161"/>
        <v/>
      </c>
      <c r="OO18" s="40" t="str">
        <f t="shared" si="162"/>
        <v/>
      </c>
      <c r="OP18" s="40" t="str">
        <f t="shared" si="163"/>
        <v/>
      </c>
      <c r="OQ18" s="40" t="str">
        <f t="shared" si="164"/>
        <v/>
      </c>
      <c r="OR18" s="40" t="str">
        <f t="shared" si="165"/>
        <v/>
      </c>
      <c r="OS18" s="40" t="str">
        <f t="shared" si="166"/>
        <v/>
      </c>
      <c r="OT18" s="40" t="str">
        <f t="shared" si="167"/>
        <v/>
      </c>
      <c r="OU18" s="40" t="str">
        <f t="shared" si="168"/>
        <v/>
      </c>
      <c r="OV18" s="40" t="str">
        <f t="shared" si="169"/>
        <v/>
      </c>
      <c r="OW18" s="40" t="str">
        <f t="shared" si="170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1"/>
        <v/>
      </c>
      <c r="PS18" s="11" t="str">
        <f t="shared" si="172"/>
        <v/>
      </c>
      <c r="PT18" s="11" t="str">
        <f t="shared" si="173"/>
        <v/>
      </c>
      <c r="PU18" s="11" t="str">
        <f t="shared" si="174"/>
        <v/>
      </c>
      <c r="PV18" s="11" t="str">
        <f t="shared" si="175"/>
        <v/>
      </c>
      <c r="PW18" s="11" t="str">
        <f t="shared" si="176"/>
        <v/>
      </c>
      <c r="PX18" s="11" t="str">
        <f t="shared" si="177"/>
        <v/>
      </c>
      <c r="PY18" s="11" t="str">
        <f t="shared" si="178"/>
        <v/>
      </c>
      <c r="PZ18" s="11" t="str">
        <f t="shared" si="179"/>
        <v/>
      </c>
      <c r="QA18" s="11" t="str">
        <f t="shared" si="180"/>
        <v/>
      </c>
      <c r="QB18" s="11" t="str">
        <f t="shared" si="181"/>
        <v/>
      </c>
      <c r="QC18" s="11" t="str">
        <f t="shared" si="182"/>
        <v/>
      </c>
      <c r="QD18" s="11" t="str">
        <f t="shared" si="183"/>
        <v/>
      </c>
      <c r="QE18" s="11" t="str">
        <f t="shared" si="184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85"/>
        <v/>
      </c>
      <c r="RA18" s="40" t="str">
        <f t="shared" si="186"/>
        <v/>
      </c>
      <c r="RB18" s="40" t="str">
        <f t="shared" si="187"/>
        <v/>
      </c>
      <c r="RC18" s="40" t="str">
        <f t="shared" si="188"/>
        <v/>
      </c>
      <c r="RD18" s="40" t="str">
        <f t="shared" si="189"/>
        <v/>
      </c>
      <c r="RE18" s="40" t="str">
        <f t="shared" si="190"/>
        <v/>
      </c>
      <c r="RF18" s="40" t="str">
        <f t="shared" si="191"/>
        <v/>
      </c>
      <c r="RG18" s="40" t="str">
        <f t="shared" si="192"/>
        <v/>
      </c>
      <c r="RH18" s="40" t="str">
        <f t="shared" si="193"/>
        <v/>
      </c>
      <c r="RI18" s="40" t="str">
        <f t="shared" si="194"/>
        <v/>
      </c>
      <c r="RJ18" s="40" t="str">
        <f t="shared" si="195"/>
        <v/>
      </c>
      <c r="RK18" s="40" t="str">
        <f t="shared" si="196"/>
        <v/>
      </c>
      <c r="RL18" s="40" t="str">
        <f t="shared" si="197"/>
        <v/>
      </c>
      <c r="RM18" s="40" t="str">
        <f t="shared" si="198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199"/>
        <v/>
      </c>
      <c r="SI18" s="11" t="str">
        <f t="shared" si="200"/>
        <v/>
      </c>
      <c r="SJ18" s="11" t="str">
        <f t="shared" si="201"/>
        <v/>
      </c>
      <c r="SK18" s="11" t="str">
        <f t="shared" si="202"/>
        <v/>
      </c>
      <c r="SL18" s="11" t="str">
        <f t="shared" si="203"/>
        <v/>
      </c>
      <c r="SM18" s="11" t="str">
        <f t="shared" si="204"/>
        <v/>
      </c>
      <c r="SN18" s="11" t="str">
        <f t="shared" si="205"/>
        <v/>
      </c>
      <c r="SO18" s="11" t="str">
        <f t="shared" si="206"/>
        <v/>
      </c>
      <c r="SP18" s="11" t="str">
        <f t="shared" si="207"/>
        <v/>
      </c>
      <c r="SQ18" s="11" t="str">
        <f t="shared" si="208"/>
        <v/>
      </c>
      <c r="SR18" s="11" t="str">
        <f t="shared" si="209"/>
        <v/>
      </c>
      <c r="SS18" s="11" t="str">
        <f t="shared" si="210"/>
        <v/>
      </c>
      <c r="ST18" s="11" t="str">
        <f t="shared" si="211"/>
        <v/>
      </c>
      <c r="SU18" s="11" t="str">
        <f t="shared" si="212"/>
        <v/>
      </c>
      <c r="SV18" s="22">
        <f t="shared" si="213"/>
        <v>0</v>
      </c>
      <c r="SW18" s="22">
        <f t="shared" si="214"/>
        <v>0</v>
      </c>
      <c r="SX18" s="22">
        <f t="shared" si="215"/>
        <v>0</v>
      </c>
      <c r="SY18" s="22">
        <f t="shared" si="216"/>
        <v>0</v>
      </c>
      <c r="SZ18" s="22">
        <f t="shared" si="217"/>
        <v>0</v>
      </c>
      <c r="TA18" s="22">
        <f t="shared" si="218"/>
        <v>0</v>
      </c>
      <c r="TB18" s="22">
        <f t="shared" si="219"/>
        <v>0</v>
      </c>
      <c r="TC18" s="22">
        <f t="shared" si="220"/>
        <v>0</v>
      </c>
      <c r="TD18" s="22">
        <f t="shared" si="221"/>
        <v>0</v>
      </c>
      <c r="TE18" s="22">
        <f t="shared" si="222"/>
        <v>0</v>
      </c>
      <c r="TF18" s="22">
        <f t="shared" si="223"/>
        <v>0</v>
      </c>
      <c r="TG18" s="22">
        <f t="shared" si="224"/>
        <v>0</v>
      </c>
      <c r="TH18" s="22">
        <f t="shared" si="225"/>
        <v>0</v>
      </c>
      <c r="TI18" s="22">
        <f t="shared" si="226"/>
        <v>0</v>
      </c>
      <c r="TJ18" s="22">
        <f t="shared" si="227"/>
        <v>0</v>
      </c>
      <c r="TK18" s="27" t="s">
        <v>46</v>
      </c>
      <c r="TL18" s="40" t="str">
        <f t="shared" si="228"/>
        <v/>
      </c>
      <c r="TM18" s="40" t="str">
        <f t="shared" si="229"/>
        <v/>
      </c>
      <c r="TN18" s="40" t="str">
        <f t="shared" si="230"/>
        <v/>
      </c>
      <c r="TO18" s="40" t="str">
        <f t="shared" si="231"/>
        <v/>
      </c>
      <c r="TP18" s="40" t="str">
        <f t="shared" si="232"/>
        <v/>
      </c>
      <c r="TQ18" s="40" t="str">
        <f t="shared" si="233"/>
        <v/>
      </c>
      <c r="TR18" s="40" t="str">
        <f t="shared" si="234"/>
        <v/>
      </c>
      <c r="TS18" s="40" t="str">
        <f t="shared" si="235"/>
        <v/>
      </c>
      <c r="TT18" s="40" t="str">
        <f t="shared" si="236"/>
        <v/>
      </c>
      <c r="TU18" s="40" t="str">
        <f t="shared" si="237"/>
        <v/>
      </c>
      <c r="TV18" s="40" t="str">
        <f t="shared" si="238"/>
        <v/>
      </c>
    </row>
    <row r="19" spans="1:544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146</v>
      </c>
      <c r="D19" s="4" t="s">
        <v>31</v>
      </c>
      <c r="E19" s="4">
        <v>2007</v>
      </c>
      <c r="F19" s="9">
        <f t="shared" si="0"/>
        <v>53.490000869999996</v>
      </c>
      <c r="G19" s="64"/>
      <c r="H19" s="3" t="str">
        <f>IF(OR(AND(AO19&gt;=AY$22,AO19&lt;&gt;"",AQ19&gt;=AY$26,AQ19&lt;&gt;"",AN19=""),AND(AR19&gt;=AY$22,AR19&lt;&gt;"",AT19&gt;=AY$26,AT19&lt;&gt;"",AN19=""),AND(AV19&gt;=AY$22,AV19&lt;&gt;"",AX19&gt;=AY$26,AX19&lt;&gt;"",AN19=""),AND(BP19&gt;=BZ$22,BP19&lt;&gt;"",BR19&gt;=BZ$26,BR19&lt;&gt;"",BO19=""),AND(BS19&gt;=BZ$22,BS19&lt;&gt;"",BU19&gt;=BZ$26,BU19&lt;&gt;"",BO19=""),AND(BW19&gt;=BZ$22,BW19&lt;&gt;"",BY19&gt;=BZ$26,BY19&lt;&gt;"",BO19=""),AND(CQ19&gt;=DA$22,CQ19&lt;&gt;"",CS19&gt;=DA$26,CS19&lt;&gt;"",CP19=""),AND(CT19&gt;=DA$22,CT19&lt;&gt;"",CV19&gt;=DA$26,CV19&lt;&gt;"",CP19=""),AND(CX19&gt;=DA$22,CX19&lt;&gt;"",CZ19&gt;=DA$26,CZ19&lt;&gt;"",CP19=""),AND(DX19&gt;=EK$22,DX19&lt;&gt;"",DZ19&gt;=EK$26,DZ19&lt;&gt;""),AND(EA19&gt;=EK$22,EA19&lt;&gt;"",EC19&gt;=EK$26,EC19&lt;&gt;""),AND(EE19&gt;=EK$22,EE19&lt;&gt;"",EG19&gt;=EK$26,EG19&lt;&gt;""),AND(EH19&gt;=EK$22,EH19&lt;&gt;"",EJ19&gt;=EK$26,EJ19&lt;&gt;""),AND(FF19&gt;=FS$22,FF19&lt;&gt;"",FH19&gt;=FS$26,FH19&lt;&gt;""),AND(FI19&gt;=FS$22,FI19&lt;&gt;"",FK19&gt;=FS$26,FK19&lt;&gt;""),AND(FM19&gt;=FS$22,FM19&lt;&gt;"",FO19&gt;=FS$26,FO19&lt;&gt;""),AND(FP19&gt;=FS$22,FP19&lt;&gt;"",FR19&gt;=FS$26,FR19&lt;&gt;""),AND(GN19&gt;=HA$22,GN19&lt;&gt;"",GP19&gt;=HA$26,GP19&lt;&gt;""),AND(GQ19&gt;=HA$22,GQ19&lt;&gt;"",GS19&gt;=HA$26,GS19&lt;&gt;""),AND(GU19&gt;=HA$22,GU19&lt;&gt;"",GW19&gt;=HA$26,GW19&lt;&gt;""),AND(GX19&gt;=HA$22,GX19&lt;&gt;"",GZ19&gt;=HA$26,GZ19&lt;&gt;""),AND(HV19&gt;=II$22,HV19&lt;&gt;"",HX19&gt;=II$26,HX19&lt;&gt;""),AND(HY19&gt;=II$22,HY19&lt;&gt;"",IA19&gt;=II$26,IA19&lt;&gt;""),AND(IC19&gt;=II$22,IC19&lt;&gt;"",IE19&gt;=II$26,IE19&lt;&gt;""),AND(IF19&gt;=II$22,IF19&lt;&gt;"",IH19&gt;=II$26,IH19&lt;&gt;""),AND(JD19&gt;=JQ$22,JD19&lt;&gt;"",JF19&gt;=JQ$26,JF19&lt;&gt;""),AND(JG19&gt;=JQ$22,JG19&lt;&gt;"",JI19&gt;=JQ$26,JI19&lt;&gt;""),AND(JK19&gt;=JQ$22,JK19&lt;&gt;"",JM19&gt;=JQ$26,JM19&lt;&gt;""),AND(JN19&gt;=JQ$22,JN19&lt;&gt;"",JP19&gt;=JQ$26,JP19&lt;&gt;""),AND(KL19&gt;=KY$22,KL19&lt;&gt;"",KN19&gt;=KY$26,KN19&lt;&gt;""),AND(KO19&gt;=KY$22,KO19&lt;&gt;"",KQ19&gt;=KY$26,KQ19&lt;&gt;""),AND(KS19&gt;=KY$22,KS19&lt;&gt;"",KU19&gt;=KY$26,KU19&lt;&gt;""),AND(KV19&gt;=KY$22,KV19&lt;&gt;"",KX19&gt;=KY$26,KX19&lt;&gt;""),AND(LT19&gt;=MG$22,LT19&lt;&gt;"",LV19&gt;=MG$26,LV19&lt;&gt;""),AND(LW19&gt;=MG$22,LW19&lt;&gt;"",LY19&gt;=MG$26,LY19&lt;&gt;""),AND(MA19&gt;=MG$22,MA19&lt;&gt;"",MC19&gt;=MG$26,MC19&lt;&gt;""),AND(MD19&gt;=MG$22,MD19&lt;&gt;"",MF19&gt;=MG$26,MF19&lt;&gt;""),AND(NB19&gt;=NO$22,NB19&lt;&gt;"",ND19&gt;=NO$26,ND19&lt;&gt;""),AND(NE19&gt;=NO$22,NE19&lt;&gt;"",NG19&gt;=NO$26,NG19&lt;&gt;""),AND(NI19&gt;=NO$22,NI19&lt;&gt;"",NK19&gt;=NO$26,NK19&lt;&gt;""),AND(NL19&gt;=NO$22,NL19&lt;&gt;"",NN19&gt;=NO$26,NN19&lt;&gt;""),AND(OJ19&gt;=OW$22,OJ19&lt;&gt;"",OL19&gt;=OW$26,OL19&lt;&gt;""),AND(OM19&gt;=OW$22,OM19&lt;&gt;"",OO19&gt;=OW$26,OO19&lt;&gt;""),AND(OQ19&gt;=OW$22,OQ19&lt;&gt;"",OS19&gt;=OW$26,OS19&lt;&gt;""),AND(OT19&gt;=OW$22,OT19&lt;&gt;"",OV19&gt;=OW$26,OV19&lt;&gt;""),AND(PR19&gt;=QE$22,PR19&lt;&gt;"",PT19&gt;=QE$26,PT19&lt;&gt;""),AND(PU19&gt;=QE$22,PU19&lt;&gt;"",PW19&gt;=QE$26,PW19&lt;&gt;""),AND(PY19&gt;=QE$22,PY19&lt;&gt;"",QA19&gt;=QE$26,QA19&lt;&gt;""),AND(QB19&gt;=QE$22,QB19&lt;&gt;"",QD19&gt;=QE$26,QD19&lt;&gt;""),AND(QZ19&gt;=RM$22,QZ19&lt;&gt;"",RB19&gt;=RM$26,RB19&lt;&gt;""),AND(RC19&gt;=RM$22,RC19&lt;&gt;"",RE19&gt;=RM$26,RE19&lt;&gt;""),AND(RG19&gt;=RM$22,RG19&lt;&gt;"",RI19&gt;=RM$26,RI19&lt;&gt;""),AND(RJ19&gt;=RM$22,RJ19&lt;&gt;"",RL19&gt;=RM$26,RL19&lt;&gt;""),AND(SH19&gt;=SU$22,SH19&lt;&gt;"",SJ19&gt;=SU$26,SJ19&lt;&gt;""),AND(SK19&gt;=SU$22,SK19&lt;&gt;"",SM19&gt;=SU$26,SM19&lt;&gt;""),AND(SO19&gt;=SU$22,SO19&lt;&gt;"",SQ19&gt;=SU$26,SQ19&lt;&gt;""),AND(SR19&gt;=SU$22,SR19&lt;&gt;"",ST19&gt;=SU$26,ST19&lt;&gt;"")),"P","")</f>
        <v/>
      </c>
      <c r="I19" s="3" t="str">
        <f>IF(OR(AND(AQ19&gt;=AY$26,AQ19&lt;&gt;"",AN19=""),AND(AT19&gt;=AY$26,AT19&lt;&gt;"",AN19=""),AND(AX19&gt;=AY$26,AX19&lt;&gt;"",AN19=""),AND(BR19&gt;=BZ$26,BR19&lt;&gt;"",BO19=""),AND(BU19&gt;=BZ$26,BU19&lt;&gt;"",BO19=""),AND(BY19&gt;=BZ$26,BY19&lt;&gt;"",BO19=""),AND(CS19&gt;=DA$26,CS19&lt;&gt;"",CP19=""),AND(CV19&gt;=DA$26,CV19&lt;&gt;"",CP19=""),AND(CZ19&gt;=DA$26,CZ19&lt;&gt;"",CP19=""),AND(DZ19&gt;=EK$26,DZ19&lt;&gt;""),AND(EC19&gt;=EK$26,EC19&lt;&gt;""),AND(EG19&gt;=EK$26,EG19&lt;&gt;""),AND(EJ19&gt;=EK$26,EJ19&lt;&gt;""),AND(FH19&gt;=FS$26,FH19&lt;&gt;""),AND(FK19&gt;=FS$26,FK19&lt;&gt;""),AND(FO19&gt;=FS$26,FO19&lt;&gt;""),AND(FR19&gt;=FS$26,FR19&lt;&gt;""),AND(GP19&gt;=HA$26,GP19&lt;&gt;""),AND(GS19&gt;=HA$26,GS19&lt;&gt;""),AND(GW19&gt;=HA$26,GW19&lt;&gt;""),AND(GZ19&gt;=HA$26,GZ19&lt;&gt;""),AND(HX19&gt;=II$26,HX19&lt;&gt;""),AND(IA19&gt;=II$26,IA19&lt;&gt;""),AND(IE19&gt;=II$26,IE19&lt;&gt;""),AND(IH19&gt;=II$26,IH19&lt;&gt;""),AND(JF19&gt;=JQ$26,JF19&lt;&gt;""),AND(JI19&gt;=JQ$26,JI19&lt;&gt;""),AND(JM19&gt;=JQ$26,JM19&lt;&gt;""),AND(JP19&gt;=JQ$26,JP19&lt;&gt;""),AND(KN19&gt;=KY$26,KN19&lt;&gt;""),AND(KQ19&gt;=KY$26,KQ19&lt;&gt;""),AND(KU19&gt;=KY$26,KU19&lt;&gt;""),AND(KX19&gt;=KY$26,KX19&lt;&gt;""),AND(LV19&gt;=MG$26,LV19&lt;&gt;""),AND(LY19&gt;=MG$26,LY19&lt;&gt;""),AND(MC19&gt;=MG$26,MC19&lt;&gt;""),AND(MF19&gt;=MG$26,MF19&lt;&gt;""),AND(ND19&gt;=NO$26,ND19&lt;&gt;""),AND(NG19&gt;=NO$26,NG19&lt;&gt;""),AND(NK19&gt;=NO$26,NK19&lt;&gt;""),AND(NN19&gt;=NO$26,NN19&lt;&gt;""),AND(OL19&gt;=OW$26,OL19&lt;&gt;""),AND(OO19&gt;=OW$26,OO19&lt;&gt;""),AND(OS19&gt;=OW$26,OS19&lt;&gt;""),AND(OV19&gt;=OW$26,OV19&lt;&gt;""),AND(PT19&gt;=QE$26,PT19&lt;&gt;""),AND(PW19&gt;=QE$26,PW19&lt;&gt;""),AND(QA19&gt;=QE$26,QA19&lt;&gt;""),AND(QD19&gt;=QE$26,QD19&lt;&gt;""),AND(RB19&gt;=RM$26,RB19&lt;&gt;""),AND(RE19&gt;=RM$26,RE19&lt;&gt;""),AND(RI19&gt;=RM$26,RI19&lt;&gt;""),AND(RL19&gt;=RM$26,RL19&lt;&gt;""),AND(SJ19&gt;=SU$26,SJ19&lt;&gt;""),AND(SM19&gt;=SU$26,SM19&lt;&gt;""),AND(SQ19&gt;=SU$26,SQ19&lt;&gt;""),AND(ST19&gt;=SU$26,ST19&lt;&gt;"")),"P","")</f>
        <v/>
      </c>
      <c r="J19" s="36" t="str">
        <f>IF(AND(I19="P",H19=""),"No DD",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Merit",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Excellence",IF(K19="P","Worlds Team",IF(H19="P","National Team","")))))</f>
        <v/>
      </c>
      <c r="K19" s="3" t="str">
        <f>IF(OR(AND(AO19&gt;=AY$23,AO19&lt;&gt;"",AQ19&gt;=AY$27,AQ19&lt;&gt;"",AN19=""),AND(AR19&gt;=AY$23,AR19&lt;&gt;"",AT19&gt;=AY$27,AT19&lt;&gt;"",AN19=""),AND(AV19&gt;=AY$23,AV19&lt;&gt;"",AX19&gt;=AY$27,AX19&lt;&gt;"",AN19=""),AND(BP19&gt;=BZ$23,BP19&lt;&gt;"",BR19&gt;=BZ$27,BR19&lt;&gt;"",BO19=""),AND(BS19&gt;=BZ$23,BS19&lt;&gt;"",BU19&gt;=BZ$27,BU19&lt;&gt;"",BO19=""),AND(BW19&gt;=BZ$23,BW19&lt;&gt;"",BY19&gt;=BZ$27,BY19&lt;&gt;"",BO19=""),AND(CQ19&gt;=DA$23,CQ19&lt;&gt;"",CS19&gt;=DA$27,CS19&lt;&gt;"",CP19=""),AND(CT19&gt;=DA$23,CT19&lt;&gt;"",CV19&gt;=DA$27,CV19&lt;&gt;"",CP19=""),AND(CX19&gt;=DA$23,CX19&lt;&gt;"",CZ19&gt;=DA$27,CZ19&lt;&gt;"",CP19=""),AND(DX19&gt;=EK$23,DX19&lt;&gt;"",DZ19&gt;=EK$27,DZ19&lt;&gt;""),AND(EA19&gt;=EK$23,EA19&lt;&gt;"",EC19&gt;=EK$27,EC19&lt;&gt;""),AND(EE19&gt;=EK$23,EE19&lt;&gt;"",EG19&gt;=EK$27,EG19&lt;&gt;""),AND(EH19&gt;=EK$23,EH19&lt;&gt;"",EJ19&gt;=EK$27,EJ19&lt;&gt;""),AND(FF19&gt;=FS$23,FF19&lt;&gt;"",FH19&gt;=FS$27,FH19&lt;&gt;""),AND(FI19&gt;=FS$23,FI19&lt;&gt;"",FK19&gt;=FS$27,FK19&lt;&gt;""),AND(FM19&gt;=FS$23,FM19&lt;&gt;"",FO19&gt;=FS$27,FO19&lt;&gt;""),AND(FP19&gt;=FS$23,FP19&lt;&gt;"",FR19&gt;=FS$27,FR19&lt;&gt;""),AND(GN19&gt;=HA$23,GN19&lt;&gt;"",GP19&gt;=HA$27,GP19&lt;&gt;""),AND(GQ19&gt;=HA$23,GQ19&lt;&gt;"",GS19&gt;=HA$27,GS19&lt;&gt;""),AND(GU19&gt;=HA$23,GU19&lt;&gt;"",GW19&gt;=HA$27,GW19&lt;&gt;""),AND(GX19&gt;=HA$23,GX19&lt;&gt;"",GZ19&gt;=HA$27,GZ19&lt;&gt;""),AND(HV19&gt;=II$23,HV19&lt;&gt;"",HX19&gt;=II$27,HX19&lt;&gt;""),AND(HY19&gt;=II$23,HY19&lt;&gt;"",IA19&gt;=II$27,IA19&lt;&gt;""),AND(IC19&gt;=II$23,IC19&lt;&gt;"",IE19&gt;=II$27,IE19&lt;&gt;""),AND(IF19&gt;=II$23,IF19&lt;&gt;"",IH19&gt;=II$27,IH19&lt;&gt;""),AND(JD19&gt;=JQ$23,JD19&lt;&gt;"",JF19&gt;=JQ$27,JF19&lt;&gt;""),AND(JG19&gt;=JQ$23,JG19&lt;&gt;"",JI19&gt;=JQ$27,JI19&lt;&gt;""),AND(JK19&gt;=JQ$23,JK19&lt;&gt;"",JM19&gt;=JQ$27,JM19&lt;&gt;""),AND(JN19&gt;=JQ$23,JN19&lt;&gt;"",JP19&gt;=JQ$27,JP19&lt;&gt;""),AND(KL19&gt;=KY$23,KL19&lt;&gt;"",KN19&gt;=KY$27,KN19&lt;&gt;""),AND(KO19&gt;=KY$23,KO19&lt;&gt;"",KQ19&gt;=KY$27,KQ19&lt;&gt;""),AND(KS19&gt;=KY$23,KS19&lt;&gt;"",KU19&gt;=KY$27,KU19&lt;&gt;""),AND(KV19&gt;=KY$23,KV19&lt;&gt;"",KX19&gt;=KY$27,KX19&lt;&gt;""),AND(LT19&gt;=MG$23,LT19&lt;&gt;"",LV19&gt;=MG$27,LV19&lt;&gt;""),AND(LW19&gt;=MG$23,LW19&lt;&gt;"",LY19&gt;=MG$27,LY19&lt;&gt;""),AND(MA19&gt;=MG$23,MA19&lt;&gt;"",MC19&gt;=MG$27,MC19&lt;&gt;""),AND(MD19&gt;=MG$23,MD19&lt;&gt;"",MF19&gt;=MG$27,MF19&lt;&gt;""),AND(NB19&gt;=NO$23,NB19&lt;&gt;"",ND19&gt;=NO$27,ND19&lt;&gt;""),AND(NE19&gt;=NO$23,NE19&lt;&gt;"",NG19&gt;=NO$27,NG19&lt;&gt;""),AND(NI19&gt;=NO$23,NI19&lt;&gt;"",NK19&gt;=NO$27,NK19&lt;&gt;""),AND(NL19&gt;=NO$23,NL19&lt;&gt;"",NN19&gt;=NO$27,NN19&lt;&gt;""),AND(OJ19&gt;=OW$23,OJ19&lt;&gt;"",OL19&gt;=OW$27,OL19&lt;&gt;""),AND(OM19&gt;=OW$23,OM19&lt;&gt;"",OO19&gt;=OW$27,OO19&lt;&gt;""),AND(OQ19&gt;=OW$23,OQ19&lt;&gt;"",OS19&gt;=OW$27,OS19&lt;&gt;""),AND(OT19&gt;=OW$23,OT19&lt;&gt;"",OV19&gt;=OW$27,OV19&lt;&gt;""),AND(PR19&gt;=QE$23,PR19&lt;&gt;"",PT19&gt;=QE$27,PT19&lt;&gt;""),AND(PU19&gt;=QE$23,PU19&lt;&gt;"",PW19&gt;=QE$27,PW19&lt;&gt;""),AND(PY19&gt;=QE$23,PY19&lt;&gt;"",QA19&gt;=QE$27,QA19&lt;&gt;""),AND(QB19&gt;=QE$23,QB19&lt;&gt;"",QD19&gt;=QE$27,QD19&lt;&gt;""),AND(QZ19&gt;=RM$23,QZ19&lt;&gt;"",RB19&gt;=RM$27,RB19&lt;&gt;""),AND(RC19&gt;=RM$23,RC19&lt;&gt;"",RE19&gt;=RM$27,RE19&lt;&gt;""),AND(RG19&gt;=RM$23,RG19&lt;&gt;"",RI19&gt;=RM$27,RI19&lt;&gt;""),AND(RJ19&gt;=RM$23,RJ19&lt;&gt;"",RL19&gt;=RM$27,RL19&lt;&gt;""),AND(SH19&gt;=SU$23,SH19&lt;&gt;"",SJ19&gt;=SU$27,SJ19&lt;&gt;""),AND(SK19&gt;=SU$23,SK19&lt;&gt;"",SM19&gt;=SU$27,SM19&lt;&gt;""),AND(SO19&gt;=SU$23,SO19&lt;&gt;"",SQ19&gt;=SU$27,SQ19&lt;&gt;""),AND(SR19&gt;=SU$23,SR19&lt;&gt;"",ST19&gt;=SU$27,ST19&lt;&gt;"")),"P","")</f>
        <v/>
      </c>
      <c r="L19" s="8">
        <f>IF(COUNT(AQ19,AT19,BR19,BU19,CS19,CV19)&gt;0,LARGE((AQ19,AT19,BR19,BU19,CS19,CV19),1),0)</f>
        <v>0</v>
      </c>
      <c r="M19" s="8" t="str">
        <f t="shared" si="1"/>
        <v/>
      </c>
      <c r="N19" s="8">
        <f>IF(COUNT(AQ19,AT19,BR19,BU19,CS19,CV19)&gt;1,LARGE((AQ19,AT19,BR19,BU19,CS19,CV19),2),0)</f>
        <v>0</v>
      </c>
      <c r="O19" s="8" t="str">
        <f t="shared" si="2"/>
        <v/>
      </c>
      <c r="P19" s="8">
        <f>IF(COUNT(AQ19,AT19,BR19,BU19,CS19,CV19)&gt;2,MAX(AX19,BY19,CZ19,LARGE((AQ19,AT19,BR19,BU19,CS19,CV19),3)),IF(MAX(AX19,BY19,CZ19)&gt;0,MAX(AX19,BY19,CZ19),0))</f>
        <v>0</v>
      </c>
      <c r="Q19" s="8" t="str">
        <f t="shared" si="3"/>
        <v/>
      </c>
      <c r="R19" s="8">
        <f t="shared" si="4"/>
        <v>8.6999999999999993</v>
      </c>
      <c r="S19" s="8" t="str">
        <f t="shared" si="5"/>
        <v>2024 Coimbra Gym Fest (July 7)</v>
      </c>
      <c r="T19" s="8">
        <f>IF(MAX(IF(AO19&gt;=$AY$22,AP19,0),IF(AR19&gt;=$AY$22,AS19,0),IF(AV19&gt;=$AY$22,AW19,0),IF(BP19&gt;=$BZ$22,BQ19,0),IF(BS19&gt;=$BZ$22,BT19,0),IF(BW19&gt;=$BZ$22,BX19,0),IF(CQ19&gt;=$DA$22,CR19,0),IF(CT19&gt;=$DA$22,CU19,0),IF(CX19&gt;=$DA$22,CY19,0),IF(DX19&gt;=$EK$22,DY19,0),IF(EA19&gt;=$EK$22,EB19,0),IF(EE19&gt;=$EK$22,EF19,0),IF(EH19&gt;=$EK$22,EI19,0),IF(FF19&gt;=$FS$22,FG19,0),IF(FI19&gt;=$FS$22,FJ19,0),IF(FM19&gt;=$FS$22,FN19,0),IF(FP19&gt;=$FS$22,FQ19,0),IF(GN19&gt;=$HA$22,GO19,0),IF(GQ19&gt;=$HA$22,GR19,0),IF(GU19&gt;=$HA$22,GV19,0),IF(GX19&gt;=$HA$22,GY19,0),IF(HV19&gt;=$II$22,HW19,0),IF(HY19&gt;=$II$22,HZ19,0),IF(IC19&gt;=$II$22,ID19,0),IF(IF19&gt;=$II$22,IG19,0),IF(JD19&gt;=$JQ$22,JE19,0),IF(JG19&gt;=$JQ$22,JH19,0),IF(JK19&gt;=$JQ$22,JL19,0),IF(JN19&gt;=$JQ$22,JO19,0),IF(KL19&gt;=$KY$22,KM19,0),IF(KO19&gt;=$KY$22,KP19,0),IF(KS19&gt;=$KY$22,KT19,0),IF(KV19&gt;=$KY$22,KW19,0),IF(LT19&gt;=$MG$22,LU19,0),IF(LW19&gt;=$MG$22,LX19,0),IF(MA19&gt;=$MG$22,MB19,0),IF(MD19&gt;=$MG$22,ME19,0),IF(NB19&gt;=$NO$22,NC19,0),IF(NE19&gt;=$NO$22,NF19,0),IF(NI19&gt;=$NO$22,NJ19,0),IF(NL19&gt;=$NO$22,NM19,0),IF(OJ19&gt;=$OW$22,OK19,0),IF(OM19&gt;=$OW$22,ON19,0),IF(OQ19&gt;=$OW$22,OR19,0),IF(OT19&gt;=$OW$22,OU19,0),IF(PR19&gt;=$QE$22,PS19,0),IF(PU19&gt;=$QE$22,PV19,0),IF(PY19&gt;=$QE$22,PZ19,0),IF(QB19&gt;=$QE$22,QC19,0),IF(QZ19&gt;=$RM$22,RA19,0),IF(RC19&gt;=$RM$22,RD19,0),IF(RG19&gt;=$RM$22,RH19,0),IF(RJ19&gt;=$RM$22,RK19,0),IF(SH19&gt;=$SU$22,SI19,0),IF(SK19&gt;=$SU$22,SL19,0),IF(SO19&gt;=$SU$22,SP19,0),IF(SR19&gt;=$SU$22,SS19,0))&gt;0,MAX(IF(AO19&gt;=$AY$22,AP19,0),IF(AR19&gt;=$AY$22,AS19,0),IF(AV19&gt;=$AY$22,AW19,0),IF(BP19&gt;=$BZ$22,BQ19,0),IF(BS19&gt;=$BZ$22,BT19,0),IF(BW19&gt;=$BZ$22,BX19,0),IF(CQ19&gt;=$DA$22,CR19,0),IF(CT19&gt;=$DA$22,CU19,0),IF(CX19&gt;=$DA$22,CY19,0),IF(DX19&gt;=$EK$22,DY19,0),IF(EA19&gt;=$EK$22,EB19,0),IF(EE19&gt;=$EK$22,EF19,0),IF(EH19&gt;=$EK$22,EI19,0),IF(FF19&gt;=$FS$22,FG19,0),IF(FI19&gt;=$FS$22,FJ19,0),IF(FM19&gt;=$FS$22,FN19,0),IF(FP19&gt;=$FS$22,FQ19,0),IF(GN19&gt;=$HA$22,GO19,0),IF(GQ19&gt;=$HA$22,GR19,0),IF(GU19&gt;=$HA$22,GV19,0),IF(GX19&gt;=$HA$22,GY19,0),IF(HV19&gt;=$II$22,HW19,0),IF(HY19&gt;=$II$22,HZ19,0),IF(IC19&gt;=$II$22,ID19,0),IF(IF19&gt;=$II$22,IG19,0),IF(JD19&gt;=$JQ$22,JE19,0),IF(JG19&gt;=$JQ$22,JH19,0),IF(JK19&gt;=$JQ$22,JL19,0),IF(JN19&gt;=$JQ$22,JO19,0),IF(KL19&gt;=$KY$22,KM19,0),IF(KO19&gt;=$KY$22,KP19,0),IF(KS19&gt;=$KY$22,KT19,0),IF(KV19&gt;=$KY$22,KW19,0),IF(LT19&gt;=$MG$22,LU19,0),IF(LW19&gt;=$MG$22,LX19,0),IF(MA19&gt;=$MG$22,MB19,0),IF(MD19&gt;=$MG$22,ME19,0),IF(NB19&gt;=$NO$22,NC19,0),IF(NE19&gt;=$NO$22,NF19,0),IF(NI19&gt;=$NO$22,NJ19,0),IF(NL19&gt;=$NO$22,NM19,0),IF(OJ19&gt;=$OW$22,OK19,0),IF(OM19&gt;=$OW$22,ON19,0),IF(OQ19&gt;=$OW$22,OR19,0),IF(OT19&gt;=$OW$22,OU19,0),IF(PR19&gt;=$QE$22,PS19,0),IF(PU19&gt;=$QE$22,PV19,0),IF(PY19&gt;=$QE$22,PZ19,0),IF(QB19&gt;=$QE$22,QC19,0),IF(QZ19&gt;=$RM$22,RA19,0),IF(RC19&gt;=$RM$22,RD19,0),IF(RG19&gt;=$RM$22,RH19,0),IF(RJ19&gt;=$RM$22,RK19,0),IF(SH19&gt;=$SU$22,SI19,0),IF(SK19&gt;=$SU$22,SL19,0),IF(SO19&gt;=$SU$22,SP19,0),IF(SR19&gt;=$SU$22,SS19,0)),0)</f>
        <v>0</v>
      </c>
      <c r="U19" s="8" t="str">
        <f t="shared" si="6"/>
        <v/>
      </c>
      <c r="V19" s="8">
        <f t="shared" si="7"/>
        <v>44.79</v>
      </c>
      <c r="W19" s="11" t="str">
        <f t="shared" si="8"/>
        <v>(Optional)</v>
      </c>
      <c r="X19" s="8" t="str">
        <f t="shared" si="9"/>
        <v>2024 Coimbra Gym Fest (July 7)</v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 t="shared" si="10"/>
        <v/>
      </c>
      <c r="AP19" s="38" t="str">
        <f t="shared" si="11"/>
        <v/>
      </c>
      <c r="AQ19" s="40" t="str">
        <f t="shared" si="12"/>
        <v/>
      </c>
      <c r="AR19" s="40" t="str">
        <f t="shared" si="13"/>
        <v/>
      </c>
      <c r="AS19" s="40" t="str">
        <f t="shared" si="14"/>
        <v/>
      </c>
      <c r="AT19" s="40" t="str">
        <f t="shared" si="15"/>
        <v/>
      </c>
      <c r="AU19" s="40" t="str">
        <f t="shared" si="16"/>
        <v/>
      </c>
      <c r="AV19" s="40" t="str">
        <f t="shared" si="17"/>
        <v/>
      </c>
      <c r="AW19" s="40" t="str">
        <f t="shared" si="18"/>
        <v/>
      </c>
      <c r="AX19" s="40" t="str">
        <f t="shared" si="19"/>
        <v/>
      </c>
      <c r="AY19" s="40" t="str">
        <f t="shared" si="20"/>
        <v/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1"/>
        <v/>
      </c>
      <c r="BQ19" s="39" t="str">
        <f t="shared" si="22"/>
        <v/>
      </c>
      <c r="BR19" s="11" t="str">
        <f t="shared" si="23"/>
        <v/>
      </c>
      <c r="BS19" s="11" t="str">
        <f t="shared" si="24"/>
        <v/>
      </c>
      <c r="BT19" s="11" t="str">
        <f t="shared" si="25"/>
        <v/>
      </c>
      <c r="BU19" s="11" t="str">
        <f t="shared" si="26"/>
        <v/>
      </c>
      <c r="BV19" s="11" t="str">
        <f t="shared" si="27"/>
        <v/>
      </c>
      <c r="BW19" s="11" t="str">
        <f t="shared" si="28"/>
        <v/>
      </c>
      <c r="BX19" s="11" t="str">
        <f t="shared" si="29"/>
        <v/>
      </c>
      <c r="BY19" s="11" t="str">
        <f t="shared" si="30"/>
        <v/>
      </c>
      <c r="BZ19" s="11" t="str">
        <f t="shared" si="31"/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2"/>
        <v/>
      </c>
      <c r="CR19" s="38" t="str">
        <f t="shared" si="33"/>
        <v/>
      </c>
      <c r="CS19" s="40" t="str">
        <f t="shared" si="34"/>
        <v/>
      </c>
      <c r="CT19" s="40" t="str">
        <f t="shared" si="35"/>
        <v/>
      </c>
      <c r="CU19" s="40" t="str">
        <f t="shared" si="36"/>
        <v/>
      </c>
      <c r="CV19" s="40" t="str">
        <f t="shared" si="37"/>
        <v/>
      </c>
      <c r="CW19" s="40" t="str">
        <f t="shared" si="38"/>
        <v/>
      </c>
      <c r="CX19" s="40" t="str">
        <f t="shared" si="39"/>
        <v/>
      </c>
      <c r="CY19" s="40" t="str">
        <f t="shared" si="40"/>
        <v/>
      </c>
      <c r="CZ19" s="40" t="str">
        <f t="shared" si="41"/>
        <v/>
      </c>
      <c r="DA19" s="40" t="str">
        <f t="shared" si="42"/>
        <v/>
      </c>
      <c r="DB19" s="50">
        <f t="shared" si="43"/>
        <v>44.79</v>
      </c>
      <c r="DC19" s="50" t="str">
        <f t="shared" si="44"/>
        <v/>
      </c>
      <c r="DD19" s="17">
        <v>9.8000000000000007</v>
      </c>
      <c r="DE19" s="17">
        <v>6.7</v>
      </c>
      <c r="DF19" s="17">
        <v>6.4</v>
      </c>
      <c r="DG19" s="17">
        <v>9.39</v>
      </c>
      <c r="DH19" s="17">
        <v>0</v>
      </c>
      <c r="DI19" s="17">
        <v>13.7</v>
      </c>
      <c r="DJ19" s="17">
        <v>9.5</v>
      </c>
      <c r="DK19" s="17">
        <v>8.6999999999999993</v>
      </c>
      <c r="DL19" s="17">
        <v>12.89</v>
      </c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 t="shared" si="45"/>
        <v>6.4</v>
      </c>
      <c r="DY19" s="40">
        <f t="shared" si="46"/>
        <v>9.39</v>
      </c>
      <c r="DZ19" s="40">
        <f t="shared" si="47"/>
        <v>32.29</v>
      </c>
      <c r="EA19" s="40">
        <f t="shared" si="48"/>
        <v>8.6999999999999993</v>
      </c>
      <c r="EB19" s="40">
        <f t="shared" si="49"/>
        <v>12.89</v>
      </c>
      <c r="EC19" s="40">
        <f t="shared" si="50"/>
        <v>44.79</v>
      </c>
      <c r="ED19" s="40">
        <f t="shared" si="51"/>
        <v>44.79</v>
      </c>
      <c r="EE19" s="40" t="str">
        <f t="shared" si="52"/>
        <v/>
      </c>
      <c r="EF19" s="40" t="str">
        <f t="shared" si="53"/>
        <v/>
      </c>
      <c r="EG19" s="40" t="str">
        <f t="shared" si="54"/>
        <v/>
      </c>
      <c r="EH19" s="40" t="str">
        <f t="shared" si="55"/>
        <v/>
      </c>
      <c r="EI19" s="40" t="str">
        <f t="shared" si="56"/>
        <v/>
      </c>
      <c r="EJ19" s="40" t="str">
        <f t="shared" si="57"/>
        <v/>
      </c>
      <c r="EK19" s="40">
        <f t="shared" si="58"/>
        <v>44.79</v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59"/>
        <v/>
      </c>
      <c r="FG19" s="11" t="str">
        <f t="shared" si="60"/>
        <v/>
      </c>
      <c r="FH19" s="11" t="str">
        <f t="shared" si="61"/>
        <v/>
      </c>
      <c r="FI19" s="11" t="str">
        <f t="shared" si="62"/>
        <v/>
      </c>
      <c r="FJ19" s="11" t="str">
        <f t="shared" si="63"/>
        <v/>
      </c>
      <c r="FK19" s="11" t="str">
        <f t="shared" si="64"/>
        <v/>
      </c>
      <c r="FL19" s="11" t="str">
        <f t="shared" si="65"/>
        <v/>
      </c>
      <c r="FM19" s="11" t="str">
        <f t="shared" si="66"/>
        <v/>
      </c>
      <c r="FN19" s="11" t="str">
        <f t="shared" si="67"/>
        <v/>
      </c>
      <c r="FO19" s="11" t="str">
        <f t="shared" si="68"/>
        <v/>
      </c>
      <c r="FP19" s="11" t="str">
        <f t="shared" si="69"/>
        <v/>
      </c>
      <c r="FQ19" s="11" t="str">
        <f t="shared" si="70"/>
        <v/>
      </c>
      <c r="FR19" s="11" t="str">
        <f t="shared" si="71"/>
        <v/>
      </c>
      <c r="FS19" s="11" t="str">
        <f t="shared" si="72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3"/>
        <v/>
      </c>
      <c r="GO19" s="40" t="str">
        <f t="shared" si="74"/>
        <v/>
      </c>
      <c r="GP19" s="40" t="str">
        <f t="shared" si="75"/>
        <v/>
      </c>
      <c r="GQ19" s="40" t="str">
        <f t="shared" si="76"/>
        <v/>
      </c>
      <c r="GR19" s="40" t="str">
        <f t="shared" si="77"/>
        <v/>
      </c>
      <c r="GS19" s="40" t="str">
        <f t="shared" si="78"/>
        <v/>
      </c>
      <c r="GT19" s="40" t="str">
        <f t="shared" si="79"/>
        <v/>
      </c>
      <c r="GU19" s="40" t="str">
        <f t="shared" si="80"/>
        <v/>
      </c>
      <c r="GV19" s="40" t="str">
        <f t="shared" si="81"/>
        <v/>
      </c>
      <c r="GW19" s="40" t="str">
        <f t="shared" si="82"/>
        <v/>
      </c>
      <c r="GX19" s="40" t="str">
        <f t="shared" si="83"/>
        <v/>
      </c>
      <c r="GY19" s="40" t="str">
        <f t="shared" si="84"/>
        <v/>
      </c>
      <c r="GZ19" s="40" t="str">
        <f t="shared" si="85"/>
        <v/>
      </c>
      <c r="HA19" s="40" t="str">
        <f t="shared" si="86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87"/>
        <v/>
      </c>
      <c r="HW19" s="11" t="str">
        <f t="shared" si="88"/>
        <v/>
      </c>
      <c r="HX19" s="11" t="str">
        <f t="shared" si="89"/>
        <v/>
      </c>
      <c r="HY19" s="11" t="str">
        <f t="shared" si="90"/>
        <v/>
      </c>
      <c r="HZ19" s="11" t="str">
        <f t="shared" si="91"/>
        <v/>
      </c>
      <c r="IA19" s="11" t="str">
        <f t="shared" si="92"/>
        <v/>
      </c>
      <c r="IB19" s="11" t="str">
        <f t="shared" si="93"/>
        <v/>
      </c>
      <c r="IC19" s="11" t="str">
        <f t="shared" si="94"/>
        <v/>
      </c>
      <c r="ID19" s="11" t="str">
        <f t="shared" si="95"/>
        <v/>
      </c>
      <c r="IE19" s="11" t="str">
        <f t="shared" si="96"/>
        <v/>
      </c>
      <c r="IF19" s="11" t="str">
        <f t="shared" si="97"/>
        <v/>
      </c>
      <c r="IG19" s="11" t="str">
        <f t="shared" si="98"/>
        <v/>
      </c>
      <c r="IH19" s="11" t="str">
        <f t="shared" si="99"/>
        <v/>
      </c>
      <c r="II19" s="11" t="str">
        <f t="shared" si="100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1"/>
        <v/>
      </c>
      <c r="JE19" s="40" t="str">
        <f t="shared" si="102"/>
        <v/>
      </c>
      <c r="JF19" s="40" t="str">
        <f t="shared" si="103"/>
        <v/>
      </c>
      <c r="JG19" s="40" t="str">
        <f t="shared" si="104"/>
        <v/>
      </c>
      <c r="JH19" s="40" t="str">
        <f t="shared" si="105"/>
        <v/>
      </c>
      <c r="JI19" s="40" t="str">
        <f t="shared" si="106"/>
        <v/>
      </c>
      <c r="JJ19" s="40" t="str">
        <f t="shared" si="107"/>
        <v/>
      </c>
      <c r="JK19" s="40" t="str">
        <f t="shared" si="108"/>
        <v/>
      </c>
      <c r="JL19" s="40" t="str">
        <f t="shared" si="109"/>
        <v/>
      </c>
      <c r="JM19" s="40" t="str">
        <f t="shared" si="110"/>
        <v/>
      </c>
      <c r="JN19" s="40" t="str">
        <f t="shared" si="111"/>
        <v/>
      </c>
      <c r="JO19" s="40" t="str">
        <f t="shared" si="112"/>
        <v/>
      </c>
      <c r="JP19" s="40" t="str">
        <f t="shared" si="113"/>
        <v/>
      </c>
      <c r="JQ19" s="40" t="str">
        <f t="shared" si="114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15"/>
        <v/>
      </c>
      <c r="KM19" s="11" t="str">
        <f t="shared" si="116"/>
        <v/>
      </c>
      <c r="KN19" s="11" t="str">
        <f t="shared" si="117"/>
        <v/>
      </c>
      <c r="KO19" s="11" t="str">
        <f t="shared" si="118"/>
        <v/>
      </c>
      <c r="KP19" s="11" t="str">
        <f t="shared" si="119"/>
        <v/>
      </c>
      <c r="KQ19" s="11" t="str">
        <f t="shared" si="120"/>
        <v/>
      </c>
      <c r="KR19" s="11" t="str">
        <f t="shared" si="121"/>
        <v/>
      </c>
      <c r="KS19" s="11" t="str">
        <f t="shared" si="122"/>
        <v/>
      </c>
      <c r="KT19" s="11" t="str">
        <f t="shared" si="123"/>
        <v/>
      </c>
      <c r="KU19" s="11" t="str">
        <f t="shared" si="124"/>
        <v/>
      </c>
      <c r="KV19" s="11" t="str">
        <f t="shared" si="125"/>
        <v/>
      </c>
      <c r="KW19" s="11" t="str">
        <f t="shared" si="126"/>
        <v/>
      </c>
      <c r="KX19" s="11" t="str">
        <f t="shared" si="127"/>
        <v/>
      </c>
      <c r="KY19" s="11" t="str">
        <f t="shared" si="128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29"/>
        <v/>
      </c>
      <c r="LU19" s="40" t="str">
        <f t="shared" si="130"/>
        <v/>
      </c>
      <c r="LV19" s="40" t="str">
        <f t="shared" si="131"/>
        <v/>
      </c>
      <c r="LW19" s="40" t="str">
        <f t="shared" si="132"/>
        <v/>
      </c>
      <c r="LX19" s="40" t="str">
        <f t="shared" si="133"/>
        <v/>
      </c>
      <c r="LY19" s="40" t="str">
        <f t="shared" si="134"/>
        <v/>
      </c>
      <c r="LZ19" s="40" t="str">
        <f t="shared" si="135"/>
        <v/>
      </c>
      <c r="MA19" s="40" t="str">
        <f t="shared" si="136"/>
        <v/>
      </c>
      <c r="MB19" s="40" t="str">
        <f t="shared" si="137"/>
        <v/>
      </c>
      <c r="MC19" s="40" t="str">
        <f t="shared" si="138"/>
        <v/>
      </c>
      <c r="MD19" s="40" t="str">
        <f t="shared" si="139"/>
        <v/>
      </c>
      <c r="ME19" s="40" t="str">
        <f t="shared" si="140"/>
        <v/>
      </c>
      <c r="MF19" s="40" t="str">
        <f t="shared" si="141"/>
        <v/>
      </c>
      <c r="MG19" s="40" t="str">
        <f t="shared" si="142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3"/>
        <v/>
      </c>
      <c r="NC19" s="11" t="str">
        <f t="shared" si="144"/>
        <v/>
      </c>
      <c r="ND19" s="11" t="str">
        <f t="shared" si="145"/>
        <v/>
      </c>
      <c r="NE19" s="11" t="str">
        <f t="shared" si="146"/>
        <v/>
      </c>
      <c r="NF19" s="11" t="str">
        <f t="shared" si="147"/>
        <v/>
      </c>
      <c r="NG19" s="11" t="str">
        <f t="shared" si="148"/>
        <v/>
      </c>
      <c r="NH19" s="11" t="str">
        <f t="shared" si="149"/>
        <v/>
      </c>
      <c r="NI19" s="11" t="str">
        <f t="shared" si="150"/>
        <v/>
      </c>
      <c r="NJ19" s="11" t="str">
        <f t="shared" si="151"/>
        <v/>
      </c>
      <c r="NK19" s="11" t="str">
        <f t="shared" si="152"/>
        <v/>
      </c>
      <c r="NL19" s="11" t="str">
        <f t="shared" si="153"/>
        <v/>
      </c>
      <c r="NM19" s="11" t="str">
        <f t="shared" si="154"/>
        <v/>
      </c>
      <c r="NN19" s="11" t="str">
        <f t="shared" si="155"/>
        <v/>
      </c>
      <c r="NO19" s="11" t="str">
        <f t="shared" si="156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57"/>
        <v/>
      </c>
      <c r="OK19" s="40" t="str">
        <f t="shared" si="158"/>
        <v/>
      </c>
      <c r="OL19" s="40" t="str">
        <f t="shared" si="159"/>
        <v/>
      </c>
      <c r="OM19" s="40" t="str">
        <f t="shared" si="160"/>
        <v/>
      </c>
      <c r="ON19" s="40" t="str">
        <f t="shared" si="161"/>
        <v/>
      </c>
      <c r="OO19" s="40" t="str">
        <f t="shared" si="162"/>
        <v/>
      </c>
      <c r="OP19" s="40" t="str">
        <f t="shared" si="163"/>
        <v/>
      </c>
      <c r="OQ19" s="40" t="str">
        <f t="shared" si="164"/>
        <v/>
      </c>
      <c r="OR19" s="40" t="str">
        <f t="shared" si="165"/>
        <v/>
      </c>
      <c r="OS19" s="40" t="str">
        <f t="shared" si="166"/>
        <v/>
      </c>
      <c r="OT19" s="40" t="str">
        <f t="shared" si="167"/>
        <v/>
      </c>
      <c r="OU19" s="40" t="str">
        <f t="shared" si="168"/>
        <v/>
      </c>
      <c r="OV19" s="40" t="str">
        <f t="shared" si="169"/>
        <v/>
      </c>
      <c r="OW19" s="40" t="str">
        <f t="shared" si="170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1"/>
        <v/>
      </c>
      <c r="PS19" s="11" t="str">
        <f t="shared" si="172"/>
        <v/>
      </c>
      <c r="PT19" s="11" t="str">
        <f t="shared" si="173"/>
        <v/>
      </c>
      <c r="PU19" s="11" t="str">
        <f t="shared" si="174"/>
        <v/>
      </c>
      <c r="PV19" s="11" t="str">
        <f t="shared" si="175"/>
        <v/>
      </c>
      <c r="PW19" s="11" t="str">
        <f t="shared" si="176"/>
        <v/>
      </c>
      <c r="PX19" s="11" t="str">
        <f t="shared" si="177"/>
        <v/>
      </c>
      <c r="PY19" s="11" t="str">
        <f t="shared" si="178"/>
        <v/>
      </c>
      <c r="PZ19" s="11" t="str">
        <f t="shared" si="179"/>
        <v/>
      </c>
      <c r="QA19" s="11" t="str">
        <f t="shared" si="180"/>
        <v/>
      </c>
      <c r="QB19" s="11" t="str">
        <f t="shared" si="181"/>
        <v/>
      </c>
      <c r="QC19" s="11" t="str">
        <f t="shared" si="182"/>
        <v/>
      </c>
      <c r="QD19" s="11" t="str">
        <f t="shared" si="183"/>
        <v/>
      </c>
      <c r="QE19" s="11" t="str">
        <f t="shared" si="184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85"/>
        <v/>
      </c>
      <c r="RA19" s="40" t="str">
        <f t="shared" si="186"/>
        <v/>
      </c>
      <c r="RB19" s="40" t="str">
        <f t="shared" si="187"/>
        <v/>
      </c>
      <c r="RC19" s="40" t="str">
        <f t="shared" si="188"/>
        <v/>
      </c>
      <c r="RD19" s="40" t="str">
        <f t="shared" si="189"/>
        <v/>
      </c>
      <c r="RE19" s="40" t="str">
        <f t="shared" si="190"/>
        <v/>
      </c>
      <c r="RF19" s="40" t="str">
        <f t="shared" si="191"/>
        <v/>
      </c>
      <c r="RG19" s="40" t="str">
        <f t="shared" si="192"/>
        <v/>
      </c>
      <c r="RH19" s="40" t="str">
        <f t="shared" si="193"/>
        <v/>
      </c>
      <c r="RI19" s="40" t="str">
        <f t="shared" si="194"/>
        <v/>
      </c>
      <c r="RJ19" s="40" t="str">
        <f t="shared" si="195"/>
        <v/>
      </c>
      <c r="RK19" s="40" t="str">
        <f t="shared" si="196"/>
        <v/>
      </c>
      <c r="RL19" s="40" t="str">
        <f t="shared" si="197"/>
        <v/>
      </c>
      <c r="RM19" s="40" t="str">
        <f t="shared" si="198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199"/>
        <v/>
      </c>
      <c r="SI19" s="11" t="str">
        <f t="shared" si="200"/>
        <v/>
      </c>
      <c r="SJ19" s="11" t="str">
        <f t="shared" si="201"/>
        <v/>
      </c>
      <c r="SK19" s="11" t="str">
        <f t="shared" si="202"/>
        <v/>
      </c>
      <c r="SL19" s="11" t="str">
        <f t="shared" si="203"/>
        <v/>
      </c>
      <c r="SM19" s="11" t="str">
        <f t="shared" si="204"/>
        <v/>
      </c>
      <c r="SN19" s="11" t="str">
        <f t="shared" si="205"/>
        <v/>
      </c>
      <c r="SO19" s="11" t="str">
        <f t="shared" si="206"/>
        <v/>
      </c>
      <c r="SP19" s="11" t="str">
        <f t="shared" si="207"/>
        <v/>
      </c>
      <c r="SQ19" s="11" t="str">
        <f t="shared" si="208"/>
        <v/>
      </c>
      <c r="SR19" s="11" t="str">
        <f t="shared" si="209"/>
        <v/>
      </c>
      <c r="SS19" s="11" t="str">
        <f t="shared" si="210"/>
        <v/>
      </c>
      <c r="ST19" s="11" t="str">
        <f t="shared" si="211"/>
        <v/>
      </c>
      <c r="SU19" s="11" t="str">
        <f t="shared" si="212"/>
        <v/>
      </c>
      <c r="SV19" s="22">
        <f t="shared" si="213"/>
        <v>0</v>
      </c>
      <c r="SW19" s="22">
        <f t="shared" si="214"/>
        <v>0</v>
      </c>
      <c r="SX19" s="22">
        <f t="shared" si="215"/>
        <v>0</v>
      </c>
      <c r="SY19" s="22">
        <f t="shared" si="216"/>
        <v>0</v>
      </c>
      <c r="SZ19" s="22">
        <f t="shared" si="217"/>
        <v>0</v>
      </c>
      <c r="TA19" s="22">
        <f t="shared" si="218"/>
        <v>0</v>
      </c>
      <c r="TB19" s="22">
        <f t="shared" si="219"/>
        <v>0</v>
      </c>
      <c r="TC19" s="22">
        <f t="shared" si="220"/>
        <v>0</v>
      </c>
      <c r="TD19" s="22">
        <f t="shared" si="221"/>
        <v>0</v>
      </c>
      <c r="TE19" s="22">
        <f t="shared" si="222"/>
        <v>0</v>
      </c>
      <c r="TF19" s="22">
        <f t="shared" si="223"/>
        <v>0</v>
      </c>
      <c r="TG19" s="22">
        <f t="shared" si="224"/>
        <v>0</v>
      </c>
      <c r="TH19" s="22">
        <f t="shared" si="225"/>
        <v>0</v>
      </c>
      <c r="TI19" s="22">
        <f t="shared" si="226"/>
        <v>0</v>
      </c>
      <c r="TJ19" s="22">
        <f t="shared" si="227"/>
        <v>0</v>
      </c>
      <c r="TK19" s="27" t="s">
        <v>46</v>
      </c>
      <c r="TL19" s="40" t="str">
        <f t="shared" si="228"/>
        <v/>
      </c>
      <c r="TM19" s="40" t="str">
        <f t="shared" si="229"/>
        <v/>
      </c>
      <c r="TN19" s="40" t="str">
        <f t="shared" si="230"/>
        <v/>
      </c>
      <c r="TO19" s="40" t="str">
        <f t="shared" si="231"/>
        <v/>
      </c>
      <c r="TP19" s="40" t="str">
        <f t="shared" si="232"/>
        <v/>
      </c>
      <c r="TQ19" s="40" t="str">
        <f t="shared" si="233"/>
        <v/>
      </c>
      <c r="TR19" s="40" t="str">
        <f t="shared" si="234"/>
        <v/>
      </c>
      <c r="TS19" s="40" t="str">
        <f t="shared" si="235"/>
        <v/>
      </c>
      <c r="TT19" s="40" t="str">
        <f t="shared" si="236"/>
        <v/>
      </c>
      <c r="TU19" s="40" t="str">
        <f t="shared" si="237"/>
        <v/>
      </c>
      <c r="TV19" s="40" t="str">
        <f t="shared" si="238"/>
        <v/>
      </c>
    </row>
    <row r="20" spans="1:544" x14ac:dyDescent="0.2">
      <c r="C20" s="5"/>
      <c r="E20" s="1"/>
    </row>
    <row r="21" spans="1:544" x14ac:dyDescent="0.2">
      <c r="I21" s="36"/>
      <c r="K21" s="36"/>
    </row>
    <row r="22" spans="1:544" x14ac:dyDescent="0.2">
      <c r="C22" s="23" t="s">
        <v>44</v>
      </c>
      <c r="D22" s="5"/>
      <c r="I22" s="3"/>
      <c r="AR22" s="41"/>
      <c r="AS22" s="41"/>
      <c r="AT22" s="41"/>
      <c r="AV22" s="32"/>
      <c r="AW22" s="32"/>
      <c r="AY22" s="53">
        <v>11.2</v>
      </c>
      <c r="BS22" s="41"/>
      <c r="BT22" s="41"/>
      <c r="BU22" s="41"/>
      <c r="BW22" s="32"/>
      <c r="BX22" s="32"/>
      <c r="BZ22" s="53">
        <v>12.7</v>
      </c>
      <c r="CT22" s="41"/>
      <c r="CU22" s="41"/>
      <c r="CV22" s="41"/>
      <c r="CX22" s="32"/>
      <c r="CY22" s="32"/>
      <c r="DA22" s="53">
        <v>12.7</v>
      </c>
      <c r="DX22" s="5"/>
      <c r="DY22" s="5"/>
      <c r="EH22" s="2"/>
      <c r="EI22" s="2"/>
      <c r="EK22" s="53">
        <v>11.2</v>
      </c>
      <c r="FF22" s="5"/>
      <c r="FG22" s="5"/>
      <c r="FP22" s="2"/>
      <c r="FQ22" s="2"/>
      <c r="FS22" s="53">
        <v>11.2</v>
      </c>
      <c r="GN22" s="5"/>
      <c r="GO22" s="5"/>
      <c r="GX22" s="2"/>
      <c r="GY22" s="2"/>
      <c r="HA22" s="53">
        <v>12.7</v>
      </c>
      <c r="HV22" s="5"/>
      <c r="HW22" s="5"/>
      <c r="IF22" s="2"/>
      <c r="IG22" s="2"/>
      <c r="II22" s="53">
        <v>12.7</v>
      </c>
      <c r="JD22" s="5"/>
      <c r="JE22" s="5"/>
      <c r="JN22" s="2"/>
      <c r="JO22" s="2"/>
      <c r="JQ22" s="53">
        <v>12.7</v>
      </c>
      <c r="KL22" s="5"/>
      <c r="KM22" s="5"/>
      <c r="KV22" s="2"/>
      <c r="KW22" s="2"/>
      <c r="KY22" s="53">
        <v>12.7</v>
      </c>
      <c r="LT22" s="5"/>
      <c r="LU22" s="5"/>
      <c r="MD22" s="2"/>
      <c r="ME22" s="2"/>
      <c r="MG22" s="53">
        <v>12.7</v>
      </c>
      <c r="NB22" s="5"/>
      <c r="NC22" s="5"/>
      <c r="NL22" s="2"/>
      <c r="NM22" s="2"/>
      <c r="NO22" s="53">
        <v>12.7</v>
      </c>
      <c r="OJ22" s="5"/>
      <c r="OK22" s="5"/>
      <c r="OT22" s="2"/>
      <c r="OU22" s="2"/>
      <c r="OW22" s="53">
        <v>12.7</v>
      </c>
      <c r="PR22" s="5"/>
      <c r="PS22" s="5"/>
      <c r="QB22" s="2"/>
      <c r="QC22" s="2"/>
      <c r="QE22" s="53">
        <v>12.7</v>
      </c>
      <c r="QZ22" s="5"/>
      <c r="RA22" s="5"/>
      <c r="RJ22" s="2"/>
      <c r="RK22" s="2"/>
      <c r="RM22" s="53">
        <v>12.7</v>
      </c>
      <c r="SH22" s="5"/>
      <c r="SI22" s="5"/>
      <c r="SR22" s="2"/>
      <c r="SS22" s="2"/>
      <c r="SU22" s="53">
        <v>12.7</v>
      </c>
    </row>
    <row r="23" spans="1:544" hidden="1" x14ac:dyDescent="0.2">
      <c r="C23" s="30" t="s">
        <v>43</v>
      </c>
      <c r="D23" s="5"/>
      <c r="X23" s="2"/>
      <c r="AR23" s="41"/>
      <c r="AS23" s="41"/>
      <c r="AT23" s="41"/>
      <c r="AV23" s="32"/>
      <c r="AW23" s="32"/>
      <c r="AY23" s="54">
        <v>1000</v>
      </c>
      <c r="BS23" s="41"/>
      <c r="BT23" s="41"/>
      <c r="BU23" s="41"/>
      <c r="BW23" s="32"/>
      <c r="BX23" s="32"/>
      <c r="BZ23" s="54">
        <v>1000</v>
      </c>
      <c r="CT23" s="41"/>
      <c r="CU23" s="41"/>
      <c r="CV23" s="41"/>
      <c r="CX23" s="32"/>
      <c r="CY23" s="32"/>
      <c r="DA23" s="54">
        <v>1000</v>
      </c>
      <c r="DX23" s="5"/>
      <c r="DY23" s="5"/>
      <c r="EH23" s="2"/>
      <c r="EI23" s="2"/>
      <c r="EK23" s="54">
        <v>1000</v>
      </c>
      <c r="FF23" s="5"/>
      <c r="FG23" s="5"/>
      <c r="FP23" s="2"/>
      <c r="FQ23" s="2"/>
      <c r="FS23" s="54">
        <v>1000</v>
      </c>
      <c r="GN23" s="5"/>
      <c r="GO23" s="5"/>
      <c r="GX23" s="2"/>
      <c r="GY23" s="2"/>
      <c r="HA23" s="54">
        <v>1000</v>
      </c>
      <c r="HV23" s="5"/>
      <c r="HW23" s="5"/>
      <c r="IF23" s="2"/>
      <c r="IG23" s="2"/>
      <c r="II23" s="54">
        <v>1000</v>
      </c>
      <c r="JD23" s="5"/>
      <c r="JE23" s="5"/>
      <c r="JN23" s="2"/>
      <c r="JO23" s="2"/>
      <c r="JQ23" s="54">
        <v>1000</v>
      </c>
      <c r="KL23" s="5"/>
      <c r="KM23" s="5"/>
      <c r="KV23" s="2"/>
      <c r="KW23" s="2"/>
      <c r="KY23" s="54">
        <v>1000</v>
      </c>
      <c r="LT23" s="5"/>
      <c r="LU23" s="5"/>
      <c r="MD23" s="2"/>
      <c r="ME23" s="2"/>
      <c r="MG23" s="54">
        <v>1000</v>
      </c>
      <c r="NB23" s="5"/>
      <c r="NC23" s="5"/>
      <c r="NL23" s="2"/>
      <c r="NM23" s="2"/>
      <c r="NO23" s="54">
        <v>1000</v>
      </c>
      <c r="OJ23" s="5"/>
      <c r="OK23" s="5"/>
      <c r="OT23" s="2"/>
      <c r="OU23" s="2"/>
      <c r="OW23" s="54">
        <v>1000</v>
      </c>
      <c r="PR23" s="5"/>
      <c r="PS23" s="5"/>
      <c r="QB23" s="2"/>
      <c r="QC23" s="2"/>
      <c r="QE23" s="54">
        <v>1000</v>
      </c>
      <c r="QZ23" s="5"/>
      <c r="RA23" s="5"/>
      <c r="RJ23" s="2"/>
      <c r="RK23" s="2"/>
      <c r="RM23" s="54">
        <v>1000</v>
      </c>
      <c r="SH23" s="5"/>
      <c r="SI23" s="5"/>
      <c r="SR23" s="2"/>
      <c r="SS23" s="2"/>
      <c r="SU23" s="54">
        <v>1000</v>
      </c>
    </row>
    <row r="24" spans="1:544" hidden="1" x14ac:dyDescent="0.2">
      <c r="A24" s="5"/>
      <c r="B24" s="5"/>
      <c r="C24" s="31" t="s">
        <v>55</v>
      </c>
      <c r="D24" s="5"/>
      <c r="F24" s="2"/>
      <c r="G24" s="64"/>
      <c r="AR24" s="41"/>
      <c r="AS24" s="41"/>
      <c r="AT24" s="41"/>
      <c r="AU24" s="32"/>
      <c r="AV24" s="32"/>
      <c r="AW24" s="32"/>
      <c r="AX24" s="32"/>
      <c r="AY24" s="55">
        <v>1000</v>
      </c>
      <c r="BS24" s="41"/>
      <c r="BT24" s="41"/>
      <c r="BU24" s="41"/>
      <c r="BW24" s="32"/>
      <c r="BX24" s="32"/>
      <c r="BZ24" s="55">
        <v>1000</v>
      </c>
      <c r="CT24" s="41"/>
      <c r="CU24" s="41"/>
      <c r="CV24" s="41"/>
      <c r="CW24" s="32"/>
      <c r="CX24" s="32"/>
      <c r="CY24" s="32"/>
      <c r="CZ24" s="32"/>
      <c r="DA24" s="55">
        <v>1000</v>
      </c>
      <c r="DX24" s="5"/>
      <c r="DY24" s="5"/>
      <c r="EH24" s="2"/>
      <c r="EI24" s="2"/>
      <c r="EK24" s="55">
        <v>1000</v>
      </c>
      <c r="FF24" s="5"/>
      <c r="FG24" s="5"/>
      <c r="FP24" s="2"/>
      <c r="FQ24" s="2"/>
      <c r="FS24" s="55">
        <v>1000</v>
      </c>
      <c r="GN24" s="5"/>
      <c r="GO24" s="5"/>
      <c r="GX24" s="2"/>
      <c r="GY24" s="2"/>
      <c r="HA24" s="55">
        <v>1000</v>
      </c>
      <c r="HV24" s="5"/>
      <c r="HW24" s="5"/>
      <c r="IF24" s="2"/>
      <c r="IG24" s="2"/>
      <c r="II24" s="55">
        <v>1000</v>
      </c>
      <c r="JD24" s="5"/>
      <c r="JE24" s="5"/>
      <c r="JN24" s="2"/>
      <c r="JO24" s="2"/>
      <c r="JQ24" s="55">
        <v>1000</v>
      </c>
      <c r="KL24" s="5"/>
      <c r="KM24" s="5"/>
      <c r="KV24" s="2"/>
      <c r="KW24" s="2"/>
      <c r="KY24" s="55">
        <v>1000</v>
      </c>
      <c r="LT24" s="5"/>
      <c r="LU24" s="5"/>
      <c r="MD24" s="2"/>
      <c r="ME24" s="2"/>
      <c r="MG24" s="55">
        <v>1000</v>
      </c>
      <c r="NB24" s="5"/>
      <c r="NC24" s="5"/>
      <c r="NL24" s="2"/>
      <c r="NM24" s="2"/>
      <c r="NO24" s="55">
        <v>1000</v>
      </c>
      <c r="OJ24" s="5"/>
      <c r="OK24" s="5"/>
      <c r="OT24" s="2"/>
      <c r="OU24" s="2"/>
      <c r="OW24" s="55">
        <v>1000</v>
      </c>
      <c r="PR24" s="5"/>
      <c r="PS24" s="5"/>
      <c r="QB24" s="2"/>
      <c r="QC24" s="2"/>
      <c r="QE24" s="55">
        <v>1000</v>
      </c>
      <c r="QZ24" s="5"/>
      <c r="RA24" s="5"/>
      <c r="RJ24" s="2"/>
      <c r="RK24" s="2"/>
      <c r="RM24" s="55">
        <v>1000</v>
      </c>
      <c r="SH24" s="5"/>
      <c r="SI24" s="5"/>
      <c r="SR24" s="2"/>
      <c r="SS24" s="2"/>
      <c r="SU24" s="55">
        <v>1000</v>
      </c>
    </row>
    <row r="25" spans="1:544" hidden="1" x14ac:dyDescent="0.2">
      <c r="A25" s="5"/>
      <c r="B25" s="5"/>
      <c r="C25" s="35" t="s">
        <v>60</v>
      </c>
      <c r="D25" s="5"/>
      <c r="F25" s="2"/>
      <c r="G25" s="64"/>
      <c r="AR25" s="41"/>
      <c r="AS25" s="41"/>
      <c r="AT25" s="41"/>
      <c r="AU25" s="32"/>
      <c r="AV25" s="32"/>
      <c r="AW25" s="32"/>
      <c r="AX25" s="32"/>
      <c r="AY25" s="56">
        <v>1000</v>
      </c>
      <c r="BS25" s="41"/>
      <c r="BT25" s="41"/>
      <c r="BU25" s="41"/>
      <c r="BW25" s="32"/>
      <c r="BX25" s="32"/>
      <c r="BZ25" s="56">
        <v>1000</v>
      </c>
      <c r="CT25" s="41"/>
      <c r="CU25" s="41"/>
      <c r="CV25" s="41"/>
      <c r="CW25" s="32"/>
      <c r="CX25" s="32"/>
      <c r="CY25" s="32"/>
      <c r="CZ25" s="32"/>
      <c r="DA25" s="56">
        <v>1000</v>
      </c>
      <c r="DX25" s="5"/>
      <c r="DY25" s="5"/>
      <c r="EH25" s="2"/>
      <c r="EI25" s="2"/>
      <c r="EK25" s="56">
        <v>1000</v>
      </c>
      <c r="FF25" s="5"/>
      <c r="FG25" s="5"/>
      <c r="FP25" s="2"/>
      <c r="FQ25" s="2"/>
      <c r="FS25" s="56">
        <v>1000</v>
      </c>
      <c r="GN25" s="5"/>
      <c r="GO25" s="5"/>
      <c r="GX25" s="2"/>
      <c r="GY25" s="2"/>
      <c r="HA25" s="56">
        <v>1000</v>
      </c>
      <c r="HV25" s="5"/>
      <c r="HW25" s="5"/>
      <c r="IF25" s="2"/>
      <c r="IG25" s="2"/>
      <c r="II25" s="56">
        <v>1000</v>
      </c>
      <c r="JD25" s="5"/>
      <c r="JE25" s="5"/>
      <c r="JN25" s="2"/>
      <c r="JO25" s="2"/>
      <c r="JQ25" s="56">
        <v>1000</v>
      </c>
      <c r="KL25" s="5"/>
      <c r="KM25" s="5"/>
      <c r="KV25" s="2"/>
      <c r="KW25" s="2"/>
      <c r="KY25" s="56">
        <v>1000</v>
      </c>
      <c r="LT25" s="5"/>
      <c r="LU25" s="5"/>
      <c r="MD25" s="2"/>
      <c r="ME25" s="2"/>
      <c r="MG25" s="56">
        <v>1000</v>
      </c>
      <c r="NB25" s="5"/>
      <c r="NC25" s="5"/>
      <c r="NL25" s="2"/>
      <c r="NM25" s="2"/>
      <c r="NO25" s="56">
        <v>1000</v>
      </c>
      <c r="OJ25" s="5"/>
      <c r="OK25" s="5"/>
      <c r="OT25" s="2"/>
      <c r="OU25" s="2"/>
      <c r="OW25" s="56">
        <v>1000</v>
      </c>
      <c r="PR25" s="5"/>
      <c r="PS25" s="5"/>
      <c r="QB25" s="2"/>
      <c r="QC25" s="2"/>
      <c r="QE25" s="56">
        <v>1000</v>
      </c>
      <c r="QZ25" s="5"/>
      <c r="RA25" s="5"/>
      <c r="RJ25" s="2"/>
      <c r="RK25" s="2"/>
      <c r="RM25" s="56">
        <v>1000</v>
      </c>
      <c r="SH25" s="5"/>
      <c r="SI25" s="5"/>
      <c r="SR25" s="2"/>
      <c r="SS25" s="2"/>
      <c r="SU25" s="56">
        <v>1000</v>
      </c>
    </row>
    <row r="26" spans="1:544" x14ac:dyDescent="0.2">
      <c r="A26" s="5"/>
      <c r="B26" s="5"/>
      <c r="C26" s="34" t="s">
        <v>41</v>
      </c>
      <c r="D26" s="5"/>
      <c r="AR26" s="41"/>
      <c r="AS26" s="41"/>
      <c r="AT26" s="41"/>
      <c r="AU26" s="32"/>
      <c r="AV26" s="32"/>
      <c r="AW26" s="32"/>
      <c r="AX26" s="32"/>
      <c r="AY26" s="57">
        <v>48.3</v>
      </c>
      <c r="BS26" s="41"/>
      <c r="BT26" s="41"/>
      <c r="BU26" s="41"/>
      <c r="BW26" s="32"/>
      <c r="BX26" s="32"/>
      <c r="BZ26" s="57">
        <v>50</v>
      </c>
      <c r="CT26" s="41"/>
      <c r="CU26" s="41"/>
      <c r="CV26" s="41"/>
      <c r="CW26" s="32"/>
      <c r="CX26" s="32"/>
      <c r="CY26" s="32"/>
      <c r="CZ26" s="32"/>
      <c r="DA26" s="57">
        <v>50</v>
      </c>
      <c r="DX26" s="5"/>
      <c r="DY26" s="5"/>
      <c r="EH26" s="2"/>
      <c r="EI26" s="2"/>
      <c r="EK26" s="57">
        <v>48.3</v>
      </c>
      <c r="FF26" s="5"/>
      <c r="FG26" s="5"/>
      <c r="FP26" s="2"/>
      <c r="FQ26" s="2"/>
      <c r="FS26" s="57">
        <v>48.3</v>
      </c>
      <c r="GN26" s="5"/>
      <c r="GO26" s="5"/>
      <c r="GX26" s="2"/>
      <c r="GY26" s="2"/>
      <c r="HA26" s="57">
        <v>50</v>
      </c>
      <c r="HV26" s="5"/>
      <c r="HW26" s="5"/>
      <c r="IF26" s="2"/>
      <c r="IG26" s="2"/>
      <c r="II26" s="57">
        <v>50</v>
      </c>
      <c r="JD26" s="5"/>
      <c r="JE26" s="5"/>
      <c r="JN26" s="2"/>
      <c r="JO26" s="2"/>
      <c r="JQ26" s="57">
        <v>50</v>
      </c>
      <c r="KL26" s="5"/>
      <c r="KM26" s="5"/>
      <c r="KV26" s="2"/>
      <c r="KW26" s="2"/>
      <c r="KY26" s="57">
        <v>50</v>
      </c>
      <c r="LT26" s="5"/>
      <c r="LU26" s="5"/>
      <c r="MD26" s="2"/>
      <c r="ME26" s="2"/>
      <c r="MG26" s="57">
        <v>50</v>
      </c>
      <c r="NB26" s="5"/>
      <c r="NC26" s="5"/>
      <c r="NL26" s="2"/>
      <c r="NM26" s="2"/>
      <c r="NO26" s="57">
        <v>50</v>
      </c>
      <c r="OJ26" s="5"/>
      <c r="OK26" s="5"/>
      <c r="OT26" s="2"/>
      <c r="OU26" s="2"/>
      <c r="OW26" s="57">
        <v>50</v>
      </c>
      <c r="PR26" s="5"/>
      <c r="PS26" s="5"/>
      <c r="QB26" s="2"/>
      <c r="QC26" s="2"/>
      <c r="QE26" s="57">
        <v>50</v>
      </c>
      <c r="QZ26" s="5"/>
      <c r="RA26" s="5"/>
      <c r="RJ26" s="2"/>
      <c r="RK26" s="2"/>
      <c r="RM26" s="57">
        <v>50</v>
      </c>
      <c r="SH26" s="5"/>
      <c r="SI26" s="5"/>
      <c r="SR26" s="2"/>
      <c r="SS26" s="2"/>
      <c r="SU26" s="57">
        <v>50</v>
      </c>
    </row>
    <row r="27" spans="1:544" hidden="1" x14ac:dyDescent="0.2">
      <c r="A27" s="5"/>
      <c r="B27" s="5"/>
      <c r="C27" s="24" t="s">
        <v>42</v>
      </c>
      <c r="D27" s="5"/>
      <c r="AR27" s="41"/>
      <c r="AS27" s="41"/>
      <c r="AT27" s="41"/>
      <c r="AU27" s="32"/>
      <c r="AV27" s="32"/>
      <c r="AW27" s="32"/>
      <c r="AX27" s="32"/>
      <c r="AY27" s="58">
        <v>1000</v>
      </c>
      <c r="BS27" s="41"/>
      <c r="BT27" s="41"/>
      <c r="BU27" s="41"/>
      <c r="BW27" s="32"/>
      <c r="BX27" s="32"/>
      <c r="BZ27" s="58">
        <v>1000</v>
      </c>
      <c r="CT27" s="41"/>
      <c r="CU27" s="41"/>
      <c r="CV27" s="41"/>
      <c r="CW27" s="32"/>
      <c r="CX27" s="32"/>
      <c r="CY27" s="32"/>
      <c r="CZ27" s="32"/>
      <c r="DA27" s="58">
        <v>1000</v>
      </c>
      <c r="DX27" s="5"/>
      <c r="DY27" s="5"/>
      <c r="EH27" s="2"/>
      <c r="EI27" s="2"/>
      <c r="EK27" s="58">
        <v>1000</v>
      </c>
      <c r="FF27" s="5"/>
      <c r="FG27" s="5"/>
      <c r="FP27" s="2"/>
      <c r="FQ27" s="2"/>
      <c r="FS27" s="58">
        <v>1000</v>
      </c>
      <c r="GN27" s="5"/>
      <c r="GO27" s="5"/>
      <c r="GX27" s="2"/>
      <c r="GY27" s="2"/>
      <c r="HA27" s="58">
        <v>1000</v>
      </c>
      <c r="HV27" s="5"/>
      <c r="HW27" s="5"/>
      <c r="IF27" s="2"/>
      <c r="IG27" s="2"/>
      <c r="II27" s="58">
        <v>1000</v>
      </c>
      <c r="JD27" s="5"/>
      <c r="JE27" s="5"/>
      <c r="JN27" s="2"/>
      <c r="JO27" s="2"/>
      <c r="JQ27" s="58">
        <v>1000</v>
      </c>
      <c r="KL27" s="5"/>
      <c r="KM27" s="5"/>
      <c r="KV27" s="2"/>
      <c r="KW27" s="2"/>
      <c r="KY27" s="58">
        <v>1000</v>
      </c>
      <c r="LT27" s="5"/>
      <c r="LU27" s="5"/>
      <c r="MD27" s="2"/>
      <c r="ME27" s="2"/>
      <c r="MG27" s="58">
        <v>1000</v>
      </c>
      <c r="NB27" s="5"/>
      <c r="NC27" s="5"/>
      <c r="NL27" s="2"/>
      <c r="NM27" s="2"/>
      <c r="NO27" s="58">
        <v>1000</v>
      </c>
      <c r="OJ27" s="5"/>
      <c r="OK27" s="5"/>
      <c r="OT27" s="2"/>
      <c r="OU27" s="2"/>
      <c r="OW27" s="58">
        <v>1000</v>
      </c>
      <c r="PR27" s="5"/>
      <c r="PS27" s="5"/>
      <c r="QB27" s="2"/>
      <c r="QC27" s="2"/>
      <c r="QE27" s="58">
        <v>1000</v>
      </c>
      <c r="QZ27" s="5"/>
      <c r="RA27" s="5"/>
      <c r="RJ27" s="2"/>
      <c r="RK27" s="2"/>
      <c r="RM27" s="58">
        <v>1000</v>
      </c>
      <c r="SH27" s="5"/>
      <c r="SI27" s="5"/>
      <c r="SR27" s="2"/>
      <c r="SS27" s="2"/>
      <c r="SU27" s="58">
        <v>1000</v>
      </c>
    </row>
    <row r="28" spans="1:544" hidden="1" x14ac:dyDescent="0.2">
      <c r="A28" s="5"/>
      <c r="B28" s="5"/>
      <c r="C28" s="33" t="s">
        <v>54</v>
      </c>
      <c r="D28" s="5"/>
      <c r="AR28" s="41"/>
      <c r="AS28" s="41"/>
      <c r="AT28" s="41"/>
      <c r="AU28" s="32"/>
      <c r="AV28" s="32"/>
      <c r="AW28" s="32"/>
      <c r="AX28" s="32"/>
      <c r="AY28" s="59">
        <v>1000</v>
      </c>
      <c r="BS28" s="41"/>
      <c r="BT28" s="41"/>
      <c r="BU28" s="41"/>
      <c r="BW28" s="32"/>
      <c r="BX28" s="32"/>
      <c r="BZ28" s="59">
        <v>1000</v>
      </c>
      <c r="CT28" s="41"/>
      <c r="CU28" s="41"/>
      <c r="CV28" s="41"/>
      <c r="CW28" s="32"/>
      <c r="CX28" s="32"/>
      <c r="CY28" s="32"/>
      <c r="CZ28" s="32"/>
      <c r="DA28" s="59">
        <v>1000</v>
      </c>
      <c r="DX28" s="5"/>
      <c r="DY28" s="5"/>
      <c r="EH28" s="2"/>
      <c r="EI28" s="2"/>
      <c r="EJ28" s="37"/>
      <c r="EK28" s="59">
        <v>1000</v>
      </c>
      <c r="FF28" s="5"/>
      <c r="FG28" s="5"/>
      <c r="FP28" s="2"/>
      <c r="FQ28" s="2"/>
      <c r="FR28" s="37"/>
      <c r="FS28" s="59">
        <v>1000</v>
      </c>
      <c r="GN28" s="5"/>
      <c r="GO28" s="5"/>
      <c r="GX28" s="2"/>
      <c r="GY28" s="2"/>
      <c r="GZ28" s="37"/>
      <c r="HA28" s="59">
        <v>1000</v>
      </c>
      <c r="HV28" s="5"/>
      <c r="HW28" s="5"/>
      <c r="IF28" s="2"/>
      <c r="IG28" s="2"/>
      <c r="IH28" s="37"/>
      <c r="II28" s="59">
        <v>1000</v>
      </c>
      <c r="JD28" s="5"/>
      <c r="JE28" s="5"/>
      <c r="JN28" s="2"/>
      <c r="JO28" s="2"/>
      <c r="JP28" s="37"/>
      <c r="JQ28" s="59">
        <v>1000</v>
      </c>
      <c r="KL28" s="5"/>
      <c r="KM28" s="5"/>
      <c r="KV28" s="2"/>
      <c r="KW28" s="2"/>
      <c r="KX28" s="37"/>
      <c r="KY28" s="59">
        <v>1000</v>
      </c>
      <c r="LT28" s="5"/>
      <c r="LU28" s="5"/>
      <c r="MD28" s="2"/>
      <c r="ME28" s="2"/>
      <c r="MF28" s="37"/>
      <c r="MG28" s="59">
        <v>1000</v>
      </c>
      <c r="NB28" s="5"/>
      <c r="NC28" s="5"/>
      <c r="NL28" s="2"/>
      <c r="NM28" s="2"/>
      <c r="NN28" s="37"/>
      <c r="NO28" s="59">
        <v>1000</v>
      </c>
      <c r="OJ28" s="5"/>
      <c r="OK28" s="5"/>
      <c r="OT28" s="2"/>
      <c r="OU28" s="2"/>
      <c r="OV28" s="37"/>
      <c r="OW28" s="59">
        <v>1000</v>
      </c>
      <c r="PR28" s="5"/>
      <c r="PS28" s="5"/>
      <c r="QB28" s="2"/>
      <c r="QC28" s="2"/>
      <c r="QD28" s="37"/>
      <c r="QE28" s="59">
        <v>1000</v>
      </c>
      <c r="QZ28" s="5"/>
      <c r="RA28" s="5"/>
      <c r="RJ28" s="2"/>
      <c r="RK28" s="2"/>
      <c r="RL28" s="37"/>
      <c r="RM28" s="59">
        <v>1000</v>
      </c>
      <c r="SH28" s="5"/>
      <c r="SI28" s="5"/>
      <c r="SR28" s="2"/>
      <c r="SS28" s="2"/>
      <c r="ST28" s="37"/>
      <c r="SU28" s="59">
        <v>1000</v>
      </c>
    </row>
    <row r="29" spans="1:544" hidden="1" x14ac:dyDescent="0.2">
      <c r="A29" s="5"/>
      <c r="B29" s="5"/>
      <c r="C29" s="25" t="s">
        <v>27</v>
      </c>
      <c r="D29" s="5"/>
      <c r="AR29" s="41"/>
      <c r="AS29" s="41"/>
      <c r="AT29" s="41"/>
      <c r="AU29" s="32"/>
      <c r="AV29" s="41"/>
      <c r="AW29" s="41"/>
      <c r="AX29" s="32"/>
      <c r="AY29" s="60">
        <v>1000</v>
      </c>
      <c r="BS29" s="41"/>
      <c r="BT29" s="41"/>
      <c r="BU29" s="41"/>
      <c r="BW29" s="41"/>
      <c r="BX29" s="32"/>
      <c r="BZ29" s="60">
        <v>1000</v>
      </c>
      <c r="CT29" s="41"/>
      <c r="CU29" s="41"/>
      <c r="CV29" s="41"/>
      <c r="CW29" s="32"/>
      <c r="CX29" s="41"/>
      <c r="CY29" s="32"/>
      <c r="CZ29" s="32"/>
      <c r="DA29" s="60">
        <v>1000</v>
      </c>
      <c r="DX29" s="5"/>
      <c r="DY29" s="5"/>
      <c r="EH29" s="41"/>
      <c r="EI29" s="2"/>
      <c r="EK29" s="60">
        <v>1000</v>
      </c>
      <c r="FF29" s="5"/>
      <c r="FG29" s="5"/>
      <c r="FP29" s="41"/>
      <c r="FQ29" s="2"/>
      <c r="FS29" s="60">
        <v>1000</v>
      </c>
      <c r="GN29" s="5"/>
      <c r="GO29" s="5"/>
      <c r="GX29" s="2"/>
      <c r="GY29" s="2"/>
      <c r="HA29" s="60">
        <v>1000</v>
      </c>
      <c r="HV29" s="5"/>
      <c r="HW29" s="5"/>
      <c r="IF29" s="41"/>
      <c r="IG29" s="2"/>
      <c r="II29" s="60">
        <v>1000</v>
      </c>
      <c r="JD29" s="5"/>
      <c r="JE29" s="5"/>
      <c r="JN29" s="2"/>
      <c r="JO29" s="2"/>
      <c r="JQ29" s="60">
        <v>1000</v>
      </c>
      <c r="KL29" s="5"/>
      <c r="KM29" s="5"/>
      <c r="KV29" s="2"/>
      <c r="KW29" s="2"/>
      <c r="KY29" s="60">
        <v>1000</v>
      </c>
      <c r="LT29" s="5"/>
      <c r="LU29" s="5"/>
      <c r="MD29" s="2"/>
      <c r="ME29" s="2"/>
      <c r="MG29" s="60">
        <v>1000</v>
      </c>
      <c r="NB29" s="5"/>
      <c r="NC29" s="5"/>
      <c r="NL29" s="2"/>
      <c r="NM29" s="2"/>
      <c r="NO29" s="60">
        <v>1000</v>
      </c>
      <c r="OJ29" s="5"/>
      <c r="OK29" s="5"/>
      <c r="OT29" s="2"/>
      <c r="OU29" s="2"/>
      <c r="OW29" s="60">
        <v>1000</v>
      </c>
      <c r="PR29" s="5"/>
      <c r="PS29" s="5"/>
      <c r="QB29" s="2"/>
      <c r="QC29" s="2"/>
      <c r="QE29" s="60">
        <v>1000</v>
      </c>
      <c r="QZ29" s="5"/>
      <c r="RA29" s="5"/>
      <c r="RJ29" s="2"/>
      <c r="RK29" s="2"/>
      <c r="RM29" s="60">
        <v>1000</v>
      </c>
      <c r="SH29" s="5"/>
      <c r="SI29" s="5"/>
      <c r="SR29" s="2"/>
      <c r="SS29" s="2"/>
      <c r="SU29" s="60">
        <v>1000</v>
      </c>
    </row>
    <row r="30" spans="1:544" s="36" customFormat="1" x14ac:dyDescent="0.2">
      <c r="A30"/>
      <c r="B30"/>
      <c r="C30" s="29" t="s">
        <v>47</v>
      </c>
      <c r="D30" s="2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x14ac:dyDescent="0.2">
      <c r="A31" s="5"/>
      <c r="B31" s="5"/>
      <c r="C31" s="5"/>
      <c r="D31" s="20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 s="5"/>
      <c r="B32" s="5"/>
      <c r="C32" s="5"/>
      <c r="D32" s="20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 s="5"/>
      <c r="B33" s="5"/>
      <c r="C33" s="5"/>
      <c r="D33" s="20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2"/>
      <c r="AR35" s="32"/>
      <c r="AS35" s="32"/>
      <c r="AT35" s="32"/>
      <c r="AU35" s="32"/>
      <c r="AX35" s="32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2"/>
      <c r="CT35" s="32"/>
      <c r="CU35" s="32"/>
      <c r="CV35" s="32"/>
      <c r="CW35" s="32"/>
      <c r="CZ35" s="32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Q36" s="32"/>
      <c r="AR36" s="32"/>
      <c r="AS36" s="32"/>
      <c r="AT36" s="32"/>
      <c r="AU36" s="32"/>
      <c r="AX36" s="32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S36" s="32"/>
      <c r="CT36" s="32"/>
      <c r="CU36" s="32"/>
      <c r="CV36" s="32"/>
      <c r="CW36" s="32"/>
      <c r="CZ36" s="32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 s="65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 s="65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 s="65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 s="65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 s="65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 s="65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 s="65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6" customFormat="1" ht="17" x14ac:dyDescent="0.2">
      <c r="A44"/>
      <c r="B44"/>
      <c r="C44"/>
      <c r="D44"/>
      <c r="E44"/>
      <c r="F44"/>
      <c r="G44" s="65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s="36" customFormat="1" ht="17" x14ac:dyDescent="0.2">
      <c r="A45"/>
      <c r="B45"/>
      <c r="C45"/>
      <c r="D45"/>
      <c r="E45"/>
      <c r="F45"/>
      <c r="G45" s="6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0"/>
      <c r="W45" s="10"/>
      <c r="X45" s="10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</sheetData>
  <sheetProtection sheet="1" formatCells="0" formatColumns="0" formatRows="0"/>
  <autoFilter ref="A1:TV1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0">
      <sortCondition descending="1" ref="H1:H31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9">
    <cfRule type="expression" dxfId="275" priority="43" stopIfTrue="1">
      <formula>IF($AN4&lt;&gt;"",1,0)</formula>
    </cfRule>
  </conditionalFormatting>
  <conditionalFormatting sqref="AZ4:BZ19">
    <cfRule type="expression" dxfId="274" priority="36" stopIfTrue="1">
      <formula>IF($BO4&lt;&gt;"",1,0)</formula>
    </cfRule>
  </conditionalFormatting>
  <conditionalFormatting sqref="CA4:DA19">
    <cfRule type="expression" dxfId="273" priority="35" stopIfTrue="1">
      <formula>IF($CP4&lt;&gt;"",1,0)</formula>
    </cfRule>
  </conditionalFormatting>
  <conditionalFormatting sqref="BW30:BW1048576 BP1:BP1048576 BS1:BS1048576 BW1:BW28">
    <cfRule type="cellIs" dxfId="272" priority="48" operator="between">
      <formula>$BZ$25</formula>
      <formula>1000</formula>
    </cfRule>
    <cfRule type="cellIs" dxfId="271" priority="49" operator="between">
      <formula>$BZ$24</formula>
      <formula>$BZ$25</formula>
    </cfRule>
    <cfRule type="cellIs" dxfId="270" priority="50" operator="between">
      <formula>$BZ$23</formula>
      <formula>$BZ$24</formula>
    </cfRule>
    <cfRule type="cellIs" dxfId="269" priority="51" operator="between">
      <formula>$BZ$22</formula>
      <formula>$BZ$23</formula>
    </cfRule>
  </conditionalFormatting>
  <conditionalFormatting sqref="CX30:CX1048576 CQ1:CQ1048576 CT1:CT1048576 CX1:CX28">
    <cfRule type="cellIs" dxfId="268" priority="44" operator="between">
      <formula>$DA$25</formula>
      <formula>1000</formula>
    </cfRule>
    <cfRule type="cellIs" dxfId="267" priority="45" operator="between">
      <formula>$DA$24</formula>
      <formula>$DA$25</formula>
    </cfRule>
    <cfRule type="cellIs" dxfId="266" priority="46" operator="between">
      <formula>$DA$23</formula>
      <formula>$DA$24</formula>
    </cfRule>
    <cfRule type="cellIs" dxfId="265" priority="47" operator="between">
      <formula>$DA$22</formula>
      <formula>$DA$23</formula>
    </cfRule>
  </conditionalFormatting>
  <conditionalFormatting sqref="EH30:EH1048576 DX1:DX1048576 EA1:EA1048576 EE1:EE1048576 EH1:EH28">
    <cfRule type="cellIs" dxfId="264" priority="55" operator="between">
      <formula>$EK$25</formula>
      <formula>1000</formula>
    </cfRule>
    <cfRule type="cellIs" dxfId="263" priority="56" operator="between">
      <formula>$EK$24</formula>
      <formula>$EK$25</formula>
    </cfRule>
    <cfRule type="cellIs" dxfId="262" priority="57" operator="between">
      <formula>$EK$23</formula>
      <formula>$EK$24</formula>
    </cfRule>
    <cfRule type="cellIs" dxfId="261" priority="58" operator="between">
      <formula>$EK$22</formula>
      <formula>$EK$23</formula>
    </cfRule>
  </conditionalFormatting>
  <conditionalFormatting sqref="FP30:FP1048576 FF1:FF1048576 FI1:FI1048576 FM1:FM1048576 FP1:FP28">
    <cfRule type="cellIs" dxfId="260" priority="31" operator="between">
      <formula>$FS$25</formula>
      <formula>1000</formula>
    </cfRule>
    <cfRule type="cellIs" dxfId="259" priority="32" operator="between">
      <formula>$FS$24</formula>
      <formula>$FS$25</formula>
    </cfRule>
    <cfRule type="cellIs" dxfId="258" priority="33" operator="between">
      <formula>$FS$23</formula>
      <formula>$FS$24</formula>
    </cfRule>
    <cfRule type="cellIs" dxfId="257" priority="34" operator="between">
      <formula>$FS$22</formula>
      <formula>$FS$23</formula>
    </cfRule>
  </conditionalFormatting>
  <conditionalFormatting sqref="IF30:IF1048576 HV1:HV1048576 HY1:HY1048576 IC1:IC1048576 IF1:IF28">
    <cfRule type="cellIs" dxfId="256" priority="27" operator="between">
      <formula>$II$25</formula>
      <formula>1000</formula>
    </cfRule>
    <cfRule type="cellIs" dxfId="255" priority="28" operator="between">
      <formula>$II$24</formula>
      <formula>$II$25</formula>
    </cfRule>
    <cfRule type="cellIs" dxfId="254" priority="29" operator="between">
      <formula>$II$23</formula>
      <formula>$II$24</formula>
    </cfRule>
    <cfRule type="cellIs" dxfId="253" priority="30" operator="between">
      <formula>$II$22</formula>
      <formula>$II$23</formula>
    </cfRule>
  </conditionalFormatting>
  <conditionalFormatting sqref="AW29 AO1:AO1048576 AR1:AR1048576 AV1:AV1048576">
    <cfRule type="cellIs" dxfId="252" priority="23" operator="between">
      <formula>$AY$25</formula>
      <formula>1000</formula>
    </cfRule>
    <cfRule type="cellIs" dxfId="251" priority="24" operator="between">
      <formula>$AY$24</formula>
      <formula>$AY$25</formula>
    </cfRule>
    <cfRule type="cellIs" dxfId="250" priority="25" operator="between">
      <formula>$AY$23</formula>
      <formula>$AY$24</formula>
    </cfRule>
    <cfRule type="cellIs" dxfId="249" priority="26" operator="between">
      <formula>$AY$22</formula>
      <formula>$AY$23</formula>
    </cfRule>
  </conditionalFormatting>
  <conditionalFormatting sqref="BW29">
    <cfRule type="cellIs" dxfId="248" priority="19" operator="between">
      <formula>$AY$25</formula>
      <formula>1000</formula>
    </cfRule>
    <cfRule type="cellIs" dxfId="247" priority="20" operator="between">
      <formula>$AY$24</formula>
      <formula>$AY$25</formula>
    </cfRule>
    <cfRule type="cellIs" dxfId="246" priority="21" operator="between">
      <formula>$AY$23</formula>
      <formula>$AY$24</formula>
    </cfRule>
    <cfRule type="cellIs" dxfId="245" priority="22" operator="between">
      <formula>$AY$22</formula>
      <formula>$AY$23</formula>
    </cfRule>
  </conditionalFormatting>
  <conditionalFormatting sqref="CX29">
    <cfRule type="cellIs" dxfId="244" priority="15" operator="between">
      <formula>$AY$25</formula>
      <formula>1000</formula>
    </cfRule>
    <cfRule type="cellIs" dxfId="243" priority="16" operator="between">
      <formula>$AY$24</formula>
      <formula>$AY$25</formula>
    </cfRule>
    <cfRule type="cellIs" dxfId="242" priority="17" operator="between">
      <formula>$AY$23</formula>
      <formula>$AY$24</formula>
    </cfRule>
    <cfRule type="cellIs" dxfId="241" priority="18" operator="between">
      <formula>$AY$22</formula>
      <formula>$AY$23</formula>
    </cfRule>
  </conditionalFormatting>
  <conditionalFormatting sqref="EH29">
    <cfRule type="cellIs" dxfId="240" priority="11" operator="between">
      <formula>$AY$25</formula>
      <formula>1000</formula>
    </cfRule>
    <cfRule type="cellIs" dxfId="239" priority="12" operator="between">
      <formula>$AY$24</formula>
      <formula>$AY$25</formula>
    </cfRule>
    <cfRule type="cellIs" dxfId="238" priority="13" operator="between">
      <formula>$AY$23</formula>
      <formula>$AY$24</formula>
    </cfRule>
    <cfRule type="cellIs" dxfId="237" priority="14" operator="between">
      <formula>$AY$22</formula>
      <formula>$AY$23</formula>
    </cfRule>
  </conditionalFormatting>
  <conditionalFormatting sqref="FP29">
    <cfRule type="cellIs" dxfId="236" priority="7" operator="between">
      <formula>$AY$25</formula>
      <formula>1000</formula>
    </cfRule>
    <cfRule type="cellIs" dxfId="235" priority="8" operator="between">
      <formula>$AY$24</formula>
      <formula>$AY$25</formula>
    </cfRule>
    <cfRule type="cellIs" dxfId="234" priority="9" operator="between">
      <formula>$AY$23</formula>
      <formula>$AY$24</formula>
    </cfRule>
    <cfRule type="cellIs" dxfId="233" priority="10" operator="between">
      <formula>$AY$22</formula>
      <formula>$AY$23</formula>
    </cfRule>
  </conditionalFormatting>
  <conditionalFormatting sqref="IF29">
    <cfRule type="cellIs" dxfId="232" priority="3" operator="between">
      <formula>$AY$25</formula>
      <formula>1000</formula>
    </cfRule>
    <cfRule type="cellIs" dxfId="231" priority="4" operator="between">
      <formula>$AY$24</formula>
      <formula>$AY$25</formula>
    </cfRule>
    <cfRule type="cellIs" dxfId="230" priority="5" operator="between">
      <formula>$AY$23</formula>
      <formula>$AY$24</formula>
    </cfRule>
    <cfRule type="cellIs" dxfId="229" priority="6" operator="between">
      <formula>$AY$22</formula>
      <formula>$AY$23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37735" operator="between">
      <formula>AY$29</formula>
      <formula>1000</formula>
    </cfRule>
    <cfRule type="cellIs" dxfId="223" priority="237736" operator="between">
      <formula>AY$28</formula>
      <formula>AY$29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37747" operator="between">
      <formula>EK$29</formula>
      <formula>1000</formula>
    </cfRule>
    <cfRule type="cellIs" dxfId="221" priority="237748" operator="between">
      <formula>EK$28</formula>
      <formula>EK$29</formula>
    </cfRule>
  </conditionalFormatting>
  <conditionalFormatting sqref="AQ1:AQ1048576 AT1:AT1048576 AX1:AX1048576">
    <cfRule type="cellIs" dxfId="220" priority="237819" operator="between">
      <formula>$AY$29</formula>
      <formula>1000</formula>
    </cfRule>
    <cfRule type="cellIs" dxfId="219" priority="237820" operator="between">
      <formula>$AY$28</formula>
      <formula>$AY$29</formula>
    </cfRule>
    <cfRule type="cellIs" dxfId="218" priority="237821" operator="between">
      <formula>$AY$27</formula>
      <formula>$AY$28</formula>
    </cfRule>
    <cfRule type="cellIs" dxfId="217" priority="237822" operator="between">
      <formula>$AY$26</formula>
      <formula>$AY$27</formula>
    </cfRule>
  </conditionalFormatting>
  <conditionalFormatting sqref="BR1:BR1048576 BU1:BU1048576 BY1:BY1048576">
    <cfRule type="cellIs" dxfId="216" priority="237855" operator="between">
      <formula>$BZ$29</formula>
      <formula>1000</formula>
    </cfRule>
    <cfRule type="cellIs" dxfId="215" priority="237856" operator="between">
      <formula>$BZ$28</formula>
      <formula>$BZ$29</formula>
    </cfRule>
    <cfRule type="cellIs" dxfId="214" priority="237857" operator="between">
      <formula>$BZ$27</formula>
      <formula>$BZ$28</formula>
    </cfRule>
    <cfRule type="cellIs" dxfId="213" priority="237858" operator="between">
      <formula>$BZ$26</formula>
      <formula>$BZ$27</formula>
    </cfRule>
  </conditionalFormatting>
  <conditionalFormatting sqref="CS1:CS1048576 CV1:CV1048576 CZ1:CZ1048576">
    <cfRule type="cellIs" dxfId="212" priority="237891" operator="between">
      <formula>$DA$29</formula>
      <formula>1000</formula>
    </cfRule>
    <cfRule type="cellIs" dxfId="211" priority="237892" operator="between">
      <formula>$DA$28</formula>
      <formula>$DA$29</formula>
    </cfRule>
    <cfRule type="cellIs" dxfId="210" priority="237893" operator="between">
      <formula>$DA$27</formula>
      <formula>$DA$28</formula>
    </cfRule>
    <cfRule type="cellIs" dxfId="209" priority="237894" operator="between">
      <formula>$DA$26</formula>
      <formula>$DA$27</formula>
    </cfRule>
  </conditionalFormatting>
  <conditionalFormatting sqref="NB1:NB1048576 NE1:NE1048576 NI1:NI1048576 NL1:NL1048576">
    <cfRule type="cellIs" dxfId="208" priority="237927" operator="between">
      <formula>$NO$22</formula>
      <formula>$NO$23</formula>
    </cfRule>
  </conditionalFormatting>
  <conditionalFormatting sqref="DZ1:DZ1048576 EC1:EC1048576 EG1:EG1048576 EJ1:EJ1048576">
    <cfRule type="cellIs" dxfId="207" priority="237939" operator="between">
      <formula>$EK$29</formula>
      <formula>1000</formula>
    </cfRule>
    <cfRule type="cellIs" dxfId="206" priority="237940" operator="between">
      <formula>$EK$28</formula>
      <formula>$EK$29</formula>
    </cfRule>
    <cfRule type="cellIs" dxfId="205" priority="237941" operator="between">
      <formula>$EK$27</formula>
      <formula>$EK$28</formula>
    </cfRule>
    <cfRule type="cellIs" dxfId="204" priority="237942" operator="between">
      <formula>$EK$26</formula>
      <formula>$EK$27</formula>
    </cfRule>
  </conditionalFormatting>
  <conditionalFormatting sqref="FH1:FH1048576 FK1:FK1048576 FO1:FO1048576 FR1:FR1048576">
    <cfRule type="cellIs" dxfId="203" priority="237987" operator="between">
      <formula>$FS$29</formula>
      <formula>1000</formula>
    </cfRule>
    <cfRule type="cellIs" dxfId="202" priority="237988" operator="between">
      <formula>$FS$28</formula>
      <formula>$FS$29</formula>
    </cfRule>
    <cfRule type="cellIs" dxfId="201" priority="237989" operator="between">
      <formula>$FS$27</formula>
      <formula>$FS$28</formula>
    </cfRule>
    <cfRule type="cellIs" dxfId="200" priority="237990" operator="between">
      <formula>$FS$26</formula>
      <formula>$FS$27</formula>
    </cfRule>
  </conditionalFormatting>
  <conditionalFormatting sqref="GN1:GN1048576 GQ1:GQ1048576 GU1:GU1048576 GX1:GX1048576">
    <cfRule type="cellIs" dxfId="199" priority="238035" operator="between">
      <formula>$HA$25</formula>
      <formula>1000</formula>
    </cfRule>
    <cfRule type="cellIs" dxfId="198" priority="238036" operator="between">
      <formula>$HA$24</formula>
      <formula>$HA$25</formula>
    </cfRule>
    <cfRule type="cellIs" dxfId="197" priority="238037" operator="between">
      <formula>$HA$23</formula>
      <formula>$HA$24</formula>
    </cfRule>
    <cfRule type="cellIs" dxfId="196" priority="238038" operator="between">
      <formula>$HA$22</formula>
      <formula>$HA$23</formula>
    </cfRule>
  </conditionalFormatting>
  <conditionalFormatting sqref="GP1:GP1048576 GS1:GS1048576 GW1:GW1048576 GZ1:GZ1048576">
    <cfRule type="cellIs" dxfId="195" priority="238083" operator="between">
      <formula>$HA$29</formula>
      <formula>1000</formula>
    </cfRule>
    <cfRule type="cellIs" dxfId="194" priority="238084" operator="between">
      <formula>$HA$28</formula>
      <formula>$HA$29</formula>
    </cfRule>
    <cfRule type="cellIs" dxfId="193" priority="238085" operator="between">
      <formula>$HA$27</formula>
      <formula>$HA$28</formula>
    </cfRule>
    <cfRule type="cellIs" dxfId="192" priority="238086" operator="between">
      <formula>$HA$26</formula>
      <formula>$HA$27</formula>
    </cfRule>
  </conditionalFormatting>
  <conditionalFormatting sqref="HX1:HX1048576 IA1:IA1048576 IE1:IE1048576 IH1:IH1048576">
    <cfRule type="cellIs" dxfId="191" priority="238131" operator="between">
      <formula>$II$29</formula>
      <formula>1000</formula>
    </cfRule>
    <cfRule type="cellIs" dxfId="190" priority="238132" operator="between">
      <formula>$II$28</formula>
      <formula>$II$29</formula>
    </cfRule>
    <cfRule type="cellIs" dxfId="189" priority="238133" operator="between">
      <formula>$II$27</formula>
      <formula>$II$28</formula>
    </cfRule>
    <cfRule type="cellIs" dxfId="188" priority="238134" operator="between">
      <formula>$II$26</formula>
      <formula>$II$27</formula>
    </cfRule>
  </conditionalFormatting>
  <conditionalFormatting sqref="JD1:JD1048576 JG1:JG1048576 JK1:JK1048576 JN1:JN1048576">
    <cfRule type="cellIs" dxfId="187" priority="238179" operator="between">
      <formula>$JQ$25</formula>
      <formula>1000</formula>
    </cfRule>
    <cfRule type="cellIs" dxfId="186" priority="238180" operator="between">
      <formula>$JQ$24</formula>
      <formula>$JQ$25</formula>
    </cfRule>
    <cfRule type="cellIs" dxfId="185" priority="238181" operator="between">
      <formula>$JQ$23</formula>
      <formula>$JQ$24</formula>
    </cfRule>
    <cfRule type="cellIs" dxfId="184" priority="238182" operator="between">
      <formula>$JQ$22</formula>
      <formula>$JQ$23</formula>
    </cfRule>
  </conditionalFormatting>
  <conditionalFormatting sqref="JF1:JF1048576 JI1:JI1048576 JM1:JM1048576 JP1:JP1048576">
    <cfRule type="cellIs" dxfId="183" priority="238227" operator="between">
      <formula>$JQ$29</formula>
      <formula>1000</formula>
    </cfRule>
    <cfRule type="cellIs" dxfId="182" priority="238228" operator="between">
      <formula>$JQ$28</formula>
      <formula>$JQ$29</formula>
    </cfRule>
    <cfRule type="cellIs" dxfId="181" priority="238229" operator="between">
      <formula>$JQ$27</formula>
      <formula>$JQ$28</formula>
    </cfRule>
    <cfRule type="cellIs" dxfId="180" priority="238230" operator="between">
      <formula>$JQ$26</formula>
      <formula>$JQ$27</formula>
    </cfRule>
  </conditionalFormatting>
  <conditionalFormatting sqref="KL1:KL1048576 KO1:KO1048576 KS1:KS1048576 KV1:KV1048576">
    <cfRule type="cellIs" dxfId="179" priority="238275" operator="between">
      <formula>$KY$25</formula>
      <formula>1000</formula>
    </cfRule>
    <cfRule type="cellIs" dxfId="178" priority="238276" operator="between">
      <formula>$KY$24</formula>
      <formula>$KY$25</formula>
    </cfRule>
    <cfRule type="cellIs" dxfId="177" priority="238277" operator="between">
      <formula>$KY$23</formula>
      <formula>$KY$24</formula>
    </cfRule>
    <cfRule type="cellIs" dxfId="176" priority="238278" operator="between">
      <formula>$KY$22</formula>
      <formula>$KY$23</formula>
    </cfRule>
  </conditionalFormatting>
  <conditionalFormatting sqref="KN1:KN1048576 KQ1:KQ1048576 KU1:KU1048576 KX1:KX1048576">
    <cfRule type="cellIs" dxfId="175" priority="238323" operator="between">
      <formula>$KY$29</formula>
      <formula>1000</formula>
    </cfRule>
    <cfRule type="cellIs" dxfId="174" priority="238324" operator="between">
      <formula>$KY$28</formula>
      <formula>$KY$29</formula>
    </cfRule>
    <cfRule type="cellIs" dxfId="173" priority="238325" operator="between">
      <formula>$KY$27</formula>
      <formula>$KY$28</formula>
    </cfRule>
    <cfRule type="cellIs" dxfId="172" priority="238326" operator="between">
      <formula>$KY$26</formula>
      <formula>$KY$27</formula>
    </cfRule>
  </conditionalFormatting>
  <conditionalFormatting sqref="LT1:LT1048576 LW1:LW1048576 MA1:MA1048576 MD1:MD1048576">
    <cfRule type="cellIs" dxfId="171" priority="238371" operator="between">
      <formula>$MG$25</formula>
      <formula>1000</formula>
    </cfRule>
    <cfRule type="cellIs" dxfId="170" priority="238372" operator="between">
      <formula>$MG$24</formula>
      <formula>$MG$25</formula>
    </cfRule>
    <cfRule type="cellIs" dxfId="169" priority="238373" operator="between">
      <formula>$MG$23</formula>
      <formula>$MG$24</formula>
    </cfRule>
    <cfRule type="cellIs" dxfId="168" priority="238374" operator="between">
      <formula>$MG$22</formula>
      <formula>$MG$23</formula>
    </cfRule>
  </conditionalFormatting>
  <conditionalFormatting sqref="LV1:LV1048576 LY1:LY1048576 MC1:MC1048576 MF1:MF1048576">
    <cfRule type="cellIs" dxfId="167" priority="238419" operator="between">
      <formula>$MG$29</formula>
      <formula>1000</formula>
    </cfRule>
    <cfRule type="cellIs" dxfId="166" priority="238420" operator="between">
      <formula>$MG$28</formula>
      <formula>$MG$29</formula>
    </cfRule>
    <cfRule type="cellIs" dxfId="165" priority="238421" operator="between">
      <formula>$MG$27</formula>
      <formula>$MG$28</formula>
    </cfRule>
    <cfRule type="cellIs" dxfId="164" priority="238422" operator="between">
      <formula>$MG$26</formula>
      <formula>$MG$27</formula>
    </cfRule>
  </conditionalFormatting>
  <conditionalFormatting sqref="NB1:NB1048576 NE1:NE1048576 NI1:NI1048576">
    <cfRule type="cellIs" dxfId="163" priority="238467" operator="between">
      <formula>$NO$25</formula>
      <formula>1000</formula>
    </cfRule>
    <cfRule type="cellIs" dxfId="162" priority="238468" operator="between">
      <formula>$NO$24</formula>
      <formula>$NO$25</formula>
    </cfRule>
    <cfRule type="cellIs" dxfId="161" priority="238469" operator="between">
      <formula>$NO$23</formula>
      <formula>$NO$24</formula>
    </cfRule>
  </conditionalFormatting>
  <conditionalFormatting sqref="ND1:ND1048576 NG1:NG1048576 NK1:NK1048576 NN1:NN1048576">
    <cfRule type="cellIs" dxfId="160" priority="238494" operator="between">
      <formula>$NO$29</formula>
      <formula>1000</formula>
    </cfRule>
    <cfRule type="cellIs" dxfId="159" priority="238495" operator="between">
      <formula>$NO$28</formula>
      <formula>$NO$29</formula>
    </cfRule>
    <cfRule type="cellIs" dxfId="158" priority="238496" operator="between">
      <formula>$NO$27</formula>
      <formula>$NO$28</formula>
    </cfRule>
    <cfRule type="cellIs" dxfId="157" priority="238497" operator="between">
      <formula>$NO$26</formula>
      <formula>$NO$27</formula>
    </cfRule>
  </conditionalFormatting>
  <conditionalFormatting sqref="OJ1:OJ1048576 OM1:OM1048576 OQ1:OQ1048576 OT1:OT1048576">
    <cfRule type="cellIs" dxfId="156" priority="238542" operator="between">
      <formula>$OW$25</formula>
      <formula>1000</formula>
    </cfRule>
    <cfRule type="cellIs" dxfId="155" priority="238543" operator="between">
      <formula>$OW$24</formula>
      <formula>$OW$25</formula>
    </cfRule>
    <cfRule type="cellIs" dxfId="154" priority="238544" operator="between">
      <formula>$OW$23</formula>
      <formula>$OW$24</formula>
    </cfRule>
    <cfRule type="cellIs" dxfId="153" priority="238545" operator="between">
      <formula>$OW$22</formula>
      <formula>$OW$23</formula>
    </cfRule>
  </conditionalFormatting>
  <conditionalFormatting sqref="OL1:OL1048576 OO1:OO1048576 OS1:OS1048576 OV1:OV1048576">
    <cfRule type="cellIs" dxfId="152" priority="238590" operator="between">
      <formula>$OW$29</formula>
      <formula>1000</formula>
    </cfRule>
    <cfRule type="cellIs" dxfId="151" priority="238591" operator="between">
      <formula>$OW$28</formula>
      <formula>$OW$29</formula>
    </cfRule>
    <cfRule type="cellIs" dxfId="150" priority="238592" operator="between">
      <formula>$OW$27</formula>
      <formula>$OW$28</formula>
    </cfRule>
    <cfRule type="cellIs" dxfId="149" priority="238593" operator="between">
      <formula>$OW$26</formula>
      <formula>$OW$27</formula>
    </cfRule>
  </conditionalFormatting>
  <conditionalFormatting sqref="PR1:PR1048576 PU1:PU1048576 PY1:PY1048576 QB1:QB1048576">
    <cfRule type="cellIs" dxfId="148" priority="238638" operator="between">
      <formula>$QE$25</formula>
      <formula>1000</formula>
    </cfRule>
    <cfRule type="cellIs" dxfId="147" priority="238639" operator="between">
      <formula>$QE$24</formula>
      <formula>$QE$25</formula>
    </cfRule>
    <cfRule type="cellIs" dxfId="146" priority="238640" operator="between">
      <formula>$QE$23</formula>
      <formula>$QE$24</formula>
    </cfRule>
    <cfRule type="cellIs" dxfId="145" priority="238641" operator="between">
      <formula>$QE$22</formula>
      <formula>$QE$23</formula>
    </cfRule>
  </conditionalFormatting>
  <conditionalFormatting sqref="PT1:PT1048576 PW1:PW1048576 QA1:QA1048576 QD1:QD1048576">
    <cfRule type="cellIs" dxfId="144" priority="238686" operator="between">
      <formula>$QE$29</formula>
      <formula>1000</formula>
    </cfRule>
    <cfRule type="cellIs" dxfId="143" priority="238687" operator="between">
      <formula>$QE$28</formula>
      <formula>$QE$29</formula>
    </cfRule>
    <cfRule type="cellIs" dxfId="142" priority="238688" operator="between">
      <formula>$QE$27</formula>
      <formula>$QE$28</formula>
    </cfRule>
    <cfRule type="cellIs" dxfId="141" priority="238689" operator="between">
      <formula>$QE$26</formula>
      <formula>$QE$27</formula>
    </cfRule>
  </conditionalFormatting>
  <conditionalFormatting sqref="QZ1:QZ1048576 RC1:RC1048576 RG1:RG1048576 RJ1:RJ1048576">
    <cfRule type="cellIs" dxfId="140" priority="238734" operator="between">
      <formula>$RM$25</formula>
      <formula>1000</formula>
    </cfRule>
    <cfRule type="cellIs" dxfId="139" priority="238735" operator="between">
      <formula>$RM$24</formula>
      <formula>$RM$25</formula>
    </cfRule>
    <cfRule type="cellIs" dxfId="138" priority="238736" operator="between">
      <formula>$RM$23</formula>
      <formula>$RM$24</formula>
    </cfRule>
    <cfRule type="cellIs" dxfId="137" priority="238737" operator="between">
      <formula>$RM$22</formula>
      <formula>$RM$23</formula>
    </cfRule>
  </conditionalFormatting>
  <conditionalFormatting sqref="RB1:RB1048576 RE1:RE1048576 RI1:RI1048576 RL1:RL1048576">
    <cfRule type="cellIs" dxfId="136" priority="238782" operator="between">
      <formula>$RM$29</formula>
      <formula>1000</formula>
    </cfRule>
    <cfRule type="cellIs" dxfId="135" priority="238783" operator="between">
      <formula>$RM$28</formula>
      <formula>$RM$29</formula>
    </cfRule>
    <cfRule type="cellIs" dxfId="134" priority="238784" operator="between">
      <formula>$RM$27</formula>
      <formula>$RM$28</formula>
    </cfRule>
    <cfRule type="cellIs" dxfId="133" priority="238785" operator="between">
      <formula>$RM$26</formula>
      <formula>$RM$27</formula>
    </cfRule>
  </conditionalFormatting>
  <conditionalFormatting sqref="SH1:SH1048576 SK1:SK1048576 SO1:SO1048576 SR1:SR1048576">
    <cfRule type="cellIs" dxfId="132" priority="238830" operator="between">
      <formula>$SU$25</formula>
      <formula>1000</formula>
    </cfRule>
    <cfRule type="cellIs" dxfId="131" priority="238831" operator="between">
      <formula>$SU$24</formula>
      <formula>$SU$25</formula>
    </cfRule>
    <cfRule type="cellIs" dxfId="130" priority="238832" operator="between">
      <formula>$SU$23</formula>
      <formula>$SU$24</formula>
    </cfRule>
    <cfRule type="cellIs" dxfId="129" priority="238833" operator="between">
      <formula>$SU$22</formula>
      <formula>$SU$23</formula>
    </cfRule>
  </conditionalFormatting>
  <conditionalFormatting sqref="SJ1:SJ1048576 SM1:SM1048576 SQ1:SQ1048576 ST1:ST1048576">
    <cfRule type="cellIs" dxfId="128" priority="238878" operator="between">
      <formula>$SU$29</formula>
      <formula>1000</formula>
    </cfRule>
    <cfRule type="cellIs" dxfId="127" priority="238879" operator="between">
      <formula>$SU$28</formula>
      <formula>$SU$29</formula>
    </cfRule>
    <cfRule type="cellIs" dxfId="126" priority="238880" operator="between">
      <formula>$SU$27</formula>
      <formula>$SU$28</formula>
    </cfRule>
    <cfRule type="cellIs" dxfId="125" priority="238881" operator="between">
      <formula>$SU$26</formula>
      <formula>$SU$27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116</v>
      </c>
      <c r="D4" s="4" t="s">
        <v>3</v>
      </c>
      <c r="E4" s="4">
        <v>2006</v>
      </c>
      <c r="F4" s="9">
        <f t="shared" ref="F4:F20" si="0">SUM(L4:R4)+SUM(L4:O4)*0.0000001+SUM(L4)*0.0000000000001</f>
        <v>159.80001050000536</v>
      </c>
      <c r="G4" s="64" t="s">
        <v>46</v>
      </c>
      <c r="H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 t="shared" ref="M4:M20" si="1">IF(L4=0,"",IF(L4=CW4,$CA$1,IF(L4=BT4,$AX$1,IF(L4=AQ4,$U$1,""))))</f>
        <v>2025 Elite Canada</v>
      </c>
      <c r="N4" s="8">
        <f>IF(COUNT(AQ4,BT4,CW4)&gt;1,LARGE((AQ4,BT4,CW4),2),0)</f>
        <v>51.6</v>
      </c>
      <c r="O4" s="8" t="str">
        <f t="shared" ref="O4:O20" si="2">IF(N4=0,"",IF(AND(N4=L4,N4=AQ4,N4=BT4),$U$1,IF(AND(N4=L4,N4=AQ4,N4=CW4),$U$1,IF(AND(N4=L4,N4=BT4,N4=CW4),$AX$1,IF(N4=CW4,$CA$1,IF(N4=BT4,$AX$1,IF(N4=AQ4,$U$1,"")))))))</f>
        <v>2024 3rd Domestic Trial</v>
      </c>
      <c r="P4" s="8">
        <f t="shared" ref="P4:P20" si="3">IF(MAX(AV4,BY4,DB4)&gt;0,MAX(AV4,BY4,DB4),0)</f>
        <v>54.8</v>
      </c>
      <c r="Q4" s="8" t="str">
        <f t="shared" ref="Q4:Q20" si="4">IF(P4=0,"",IF(P4=DB4,$CA$1,IF(P4=BY4,$AX$1,IF(P4=AV4,$U$1,""))))</f>
        <v>2025 Nationals</v>
      </c>
      <c r="R4" s="8" t="str">
        <f t="shared" ref="R4:R20" si="5">IF(MAX(DD4:DE4)&gt;0,MAX(DD4:DE4),"")</f>
        <v/>
      </c>
      <c r="S4" s="11" t="str">
        <f t="shared" ref="S4:S20" si="6">IF(R4="","",IF(R4=DD4,"("&amp;DD$2&amp;")",IF(R4=DE4,"("&amp;DE$2&amp;")")))</f>
        <v/>
      </c>
      <c r="T4" s="8" t="str">
        <f t="shared" ref="T4:T20" si="7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</v>
      </c>
      <c r="V4" s="19">
        <v>8.5</v>
      </c>
      <c r="W4" s="19">
        <v>0</v>
      </c>
      <c r="X4" s="19">
        <v>0</v>
      </c>
      <c r="Y4" s="19">
        <v>18.3</v>
      </c>
      <c r="Z4" s="19">
        <v>6.5</v>
      </c>
      <c r="AA4" s="19">
        <v>0</v>
      </c>
      <c r="AB4" s="19">
        <v>0</v>
      </c>
      <c r="AC4" s="19">
        <v>18.3</v>
      </c>
      <c r="AD4" s="19">
        <v>8.5</v>
      </c>
      <c r="AE4" s="19">
        <v>0</v>
      </c>
      <c r="AF4" s="19">
        <v>0</v>
      </c>
      <c r="AG4" s="19">
        <v>18.399999999999999</v>
      </c>
      <c r="AH4" s="19">
        <v>8.5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7"/>
      <c r="AP4" s="40">
        <f t="shared" ref="AP4:AP20" si="8">IF(SUM(V4,Z4)&gt;0,SUM(V4,Z4),"")</f>
        <v>15</v>
      </c>
      <c r="AQ4" s="40">
        <f t="shared" ref="AQ4:AQ20" si="9">IF(SUM(U4:V4,X4:Z4,AB4)-W4-AA4&gt;0,SUM(U4:V4,X4:Z4,AB4)-W4-AA4,"")</f>
        <v>51.6</v>
      </c>
      <c r="AR4" s="40">
        <f t="shared" ref="AR4:AR20" si="10">IF(SUM(AC4:AD4,AF4)-AE4&gt;0,SUM(AC4:AD4,AF4)-AE4,"")</f>
        <v>26.8</v>
      </c>
      <c r="AS4" s="40">
        <f t="shared" ref="AS4:AS20" si="11">IF(SUM(V4,Z4,AD4)&gt;0,SUM(V4,Z4,AD4),"")</f>
        <v>23.5</v>
      </c>
      <c r="AT4" s="40">
        <f t="shared" ref="AT4:AT20" si="12">IF(SUM(AQ4,AR4)&gt;0,SUM(AQ4,AR4),"")</f>
        <v>78.400000000000006</v>
      </c>
      <c r="AU4" s="40">
        <f t="shared" ref="AU4:AU20" si="13">IF(SUM(AH4,AL4)&gt;0,SUM(AH4,AL4),"")</f>
        <v>16.2</v>
      </c>
      <c r="AV4" s="40">
        <f t="shared" ref="AV4:AV20" si="14">IF(SUM(AG4:AH4,AJ4:AL4,AN4)-SUM(AI4,AM4)&gt;0,SUM(AG4:AH4,AJ4:AL4,AN4)-SUM(AI4,AM4),"")</f>
        <v>52.8</v>
      </c>
      <c r="AW4" s="40">
        <f t="shared" ref="AW4:AW20" si="15">IF(SUM(AQ4,AR4,AV4)&gt;0,SUM(AQ4,AR4,AV4),"")</f>
        <v>131.19999999999999</v>
      </c>
      <c r="AX4" s="18">
        <v>18.399999999999999</v>
      </c>
      <c r="AY4" s="18">
        <v>8.5</v>
      </c>
      <c r="AZ4" s="18">
        <v>0.2</v>
      </c>
      <c r="BA4" s="18">
        <v>0</v>
      </c>
      <c r="BB4" s="18">
        <v>18.5</v>
      </c>
      <c r="BC4" s="18">
        <v>8.1999999999999993</v>
      </c>
      <c r="BD4" s="18">
        <v>0</v>
      </c>
      <c r="BE4" s="18">
        <v>0</v>
      </c>
      <c r="BF4" s="18"/>
      <c r="BG4" s="18"/>
      <c r="BH4" s="18"/>
      <c r="BI4" s="18"/>
      <c r="BJ4" s="18">
        <v>18.8</v>
      </c>
      <c r="BK4" s="18">
        <v>8.5</v>
      </c>
      <c r="BL4" s="18">
        <v>0.2</v>
      </c>
      <c r="BM4" s="18">
        <v>0</v>
      </c>
      <c r="BN4" s="18">
        <v>18.7</v>
      </c>
      <c r="BO4" s="18">
        <v>8.8000000000000007</v>
      </c>
      <c r="BP4" s="18">
        <v>0</v>
      </c>
      <c r="BQ4" s="18">
        <v>0</v>
      </c>
      <c r="BR4" s="28"/>
      <c r="BS4" s="11">
        <f t="shared" ref="BS4:BS20" si="16">IF(SUM(AY4,BC4)&gt;0,SUM(AY4,BC4),"")</f>
        <v>16.7</v>
      </c>
      <c r="BT4" s="11">
        <f t="shared" ref="BT4:BT20" si="17">IF(SUM(AX4:AY4,BA4:BC4,BE4)-AZ4-BD4&gt;0,SUM(AX4:AY4,BA4:BC4,BE4)-AZ4-BD4,"")</f>
        <v>53.399999999999991</v>
      </c>
      <c r="BU4" s="11" t="str">
        <f t="shared" ref="BU4:BU20" si="18">IF(SUM(BF4:BG4,BI4)-BH4&gt;0,SUM(BF4:BG4,BI4)-BH4,"")</f>
        <v/>
      </c>
      <c r="BV4" s="11">
        <f t="shared" ref="BV4:BV20" si="19">IF(SUM(AY4,BC4,BG4)&gt;0,SUM(AY4,BC4,BG4),"")</f>
        <v>16.7</v>
      </c>
      <c r="BW4" s="11">
        <f t="shared" ref="BW4:BW20" si="20">IF(SUM(BT4,BU4)&gt;0,SUM(BT4,BU4),"")</f>
        <v>53.399999999999991</v>
      </c>
      <c r="BX4" s="11">
        <f t="shared" ref="BX4:BX20" si="21">IF(SUM(BK4,BO4)&gt;0,SUM(BK4,BO4),"")</f>
        <v>17.3</v>
      </c>
      <c r="BY4" s="11">
        <f t="shared" ref="BY4:BY20" si="22">IF(SUM(BJ4:BK4,BM4:BO4,BQ4)-SUM(BL4,BP4)&gt;0,SUM(BJ4:BK4,BM4:BO4,BQ4)-SUM(BL4,BP4),"")</f>
        <v>54.599999999999994</v>
      </c>
      <c r="BZ4" s="11">
        <f t="shared" ref="BZ4:BZ20" si="23">IF(SUM(BT4,BU4,BY4)&gt;0,SUM(BT4,BU4,BY4),"")</f>
        <v>107.99999999999999</v>
      </c>
      <c r="CA4" s="19">
        <v>18.399999999999999</v>
      </c>
      <c r="CB4" s="19">
        <v>7.3</v>
      </c>
      <c r="CC4" s="19">
        <v>0</v>
      </c>
      <c r="CD4" s="19">
        <v>0</v>
      </c>
      <c r="CE4" s="19">
        <v>17.899999999999999</v>
      </c>
      <c r="CF4" s="19">
        <v>6.9</v>
      </c>
      <c r="CG4" s="19">
        <v>0</v>
      </c>
      <c r="CH4" s="19">
        <v>0</v>
      </c>
      <c r="CI4" s="19"/>
      <c r="CJ4" s="19"/>
      <c r="CK4" s="19"/>
      <c r="CL4" s="19"/>
      <c r="CM4" s="19">
        <v>18.600000000000001</v>
      </c>
      <c r="CN4" s="19">
        <v>8.8000000000000007</v>
      </c>
      <c r="CO4" s="19">
        <v>0</v>
      </c>
      <c r="CP4" s="19">
        <v>0</v>
      </c>
      <c r="CQ4" s="19">
        <v>18.100000000000001</v>
      </c>
      <c r="CR4" s="19">
        <v>9.3000000000000007</v>
      </c>
      <c r="CS4" s="19">
        <v>0</v>
      </c>
      <c r="CT4" s="19">
        <v>0</v>
      </c>
      <c r="CU4" s="27"/>
      <c r="CV4" s="40">
        <f t="shared" ref="CV4:CV20" si="24">IF(SUM(CB4,CF4)&gt;0,SUM(CB4,CF4),"")</f>
        <v>14.2</v>
      </c>
      <c r="CW4" s="40">
        <f t="shared" ref="CW4:CW20" si="25">IF(SUM(CA4:CB4,CD4:CF4,CH4)-CC4-CG4&gt;0,SUM(CA4:CB4,CD4:CF4,CH4)-CC4-CG4,"")</f>
        <v>50.499999999999993</v>
      </c>
      <c r="CX4" s="40" t="str">
        <f t="shared" ref="CX4:CX20" si="26">IF(SUM(CI4:CJ4,CL4)-CK4&gt;0,SUM(CI4:CJ4,CL4)-CK4,"")</f>
        <v/>
      </c>
      <c r="CY4" s="40">
        <f t="shared" ref="CY4:CY20" si="27">IF(SUM(CB4,CF4,CJ4)&gt;0,SUM(CB4,CF4,CJ4),"")</f>
        <v>14.2</v>
      </c>
      <c r="CZ4" s="40">
        <f t="shared" ref="CZ4:CZ20" si="28">IF(SUM(CW4,CX4)&gt;0,SUM(CW4,CX4),"")</f>
        <v>50.499999999999993</v>
      </c>
      <c r="DA4" s="40">
        <f t="shared" ref="DA4:DA20" si="29">IF(SUM(CN4,CR4)&gt;0,SUM(CN4,CR4),"")</f>
        <v>18.100000000000001</v>
      </c>
      <c r="DB4" s="40">
        <f t="shared" ref="DB4:DB20" si="30">IF(SUM(CM4:CN4,CP4:CR4,CT4)-SUM(CO4,CS4)&gt;0,SUM(CM4:CN4,CP4:CR4,CT4)-SUM(CO4,CS4),"")</f>
        <v>54.8</v>
      </c>
      <c r="DC4" s="40">
        <f t="shared" ref="DC4:DC20" si="31">IF(SUM(CW4,CX4,DB4)&gt;0,SUM(CW4,CX4,DB4),"")</f>
        <v>105.29999999999998</v>
      </c>
      <c r="DD4" s="50" t="str">
        <f t="shared" ref="DD4:DD20" si="32">IF(MAX(EA4,FC4,GE4,HG4,II4,JK4,KM4,LO4,MQ4,NS4,OU4,PW4)-IF(N4="",0,N4)&gt;0.001,MAX(EA4,FC4,GE4,HG4,II4,JK4,KM4,LO4,MQ4,NS4,OU4,PW4)-IF(N4="",0,N4),"")</f>
        <v/>
      </c>
      <c r="DE4" s="50" t="str">
        <f t="shared" ref="DE4:DE20" si="33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0" si="34">IF(SUM(DG4,DK4)&gt;0,SUM(DG4,DK4),"")</f>
        <v/>
      </c>
      <c r="EA4" s="40" t="str">
        <f t="shared" ref="EA4:EA20" si="35">IF(SUM(DF4:DG4,DI4:DK4,DM4)-DH4-DL4&gt;0,SUM(DF4:DG4,DI4:DK4,DM4)-DH4-DL4,"")</f>
        <v/>
      </c>
      <c r="EB4" s="40" t="str">
        <f t="shared" ref="EB4:EB20" si="36">IF(SUM(DN4:DO4,DQ4)-DP4&gt;0,SUM(DN4:DO4,DQ4)-DP4,"")</f>
        <v/>
      </c>
      <c r="EC4" s="40" t="str">
        <f t="shared" ref="EC4:EC20" si="37">IF(SUM(DG4,DK4,DO4)&gt;0,SUM(DG4,DK4,DO4),"")</f>
        <v/>
      </c>
      <c r="ED4" s="40" t="str">
        <f t="shared" ref="ED4:ED20" si="38">IF(SUM(EA4,EB4)&gt;0,SUM(EA4,EB4),"")</f>
        <v/>
      </c>
      <c r="EE4" s="40" t="str">
        <f t="shared" ref="EE4:EE20" si="39">IF(SUM(DS4,DW4)&gt;0,SUM(DS4,DW4),"")</f>
        <v/>
      </c>
      <c r="EF4" s="40" t="str">
        <f t="shared" ref="EF4:EF20" si="40">IF(SUM(DR4:DS4,DU4:DW4,DY4)-SUM(DT4,DX4)&gt;0,SUM(DR4:DS4,DU4:DW4,DY4)-SUM(DT4,DX4),"")</f>
        <v/>
      </c>
      <c r="EG4" s="40" t="str">
        <f t="shared" ref="EG4:EG20" si="41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20" si="42">IF(SUM(EI4,EM4)&gt;0,SUM(EI4,EM4),"")</f>
        <v/>
      </c>
      <c r="FC4" s="11" t="str">
        <f t="shared" ref="FC4:FC20" si="43">IF(SUM(EH4:EI4,EK4:EM4,EO4)-EJ4-EN4&gt;0,SUM(EH4:EI4,EK4:EM4,EO4)-EJ4-EN4,"")</f>
        <v/>
      </c>
      <c r="FD4" s="11" t="str">
        <f t="shared" ref="FD4:FD20" si="44">IF(SUM(EP4:EQ4,ES4)-ER4&gt;0,SUM(EP4:EQ4,ES4)-ER4,"")</f>
        <v/>
      </c>
      <c r="FE4" s="11" t="str">
        <f t="shared" ref="FE4:FE20" si="45">IF(SUM(EI4,EM4,EQ4)&gt;0,SUM(EI4,EM4,EQ4),"")</f>
        <v/>
      </c>
      <c r="FF4" s="11" t="str">
        <f t="shared" ref="FF4:FF20" si="46">IF(SUM(FC4,FD4)&gt;0,SUM(FC4,FD4),"")</f>
        <v/>
      </c>
      <c r="FG4" s="11" t="str">
        <f t="shared" ref="FG4:FG20" si="47">IF(SUM(EU4,EY4)&gt;0,SUM(EU4,EY4),"")</f>
        <v/>
      </c>
      <c r="FH4" s="11" t="str">
        <f t="shared" ref="FH4:FH20" si="48">IF(SUM(ET4:EU4,EW4:EY4,FA4)-SUM(EV4,EZ4)&gt;0,SUM(ET4:EU4,EW4:EY4,FA4)-SUM(EV4,EZ4),"")</f>
        <v/>
      </c>
      <c r="FI4" s="11" t="str">
        <f t="shared" ref="FI4:FI20" si="49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0" si="50">IF(SUM(FK4,FO4)&gt;0,SUM(FK4,FO4),"")</f>
        <v/>
      </c>
      <c r="GE4" s="40" t="str">
        <f t="shared" ref="GE4:GE20" si="51">IF(SUM(FJ4:FK4,FM4:FO4,FQ4)-FL4-FP4&gt;0,SUM(FJ4:FK4,FM4:FO4,FQ4)-FL4-FP4,"")</f>
        <v/>
      </c>
      <c r="GF4" s="40" t="str">
        <f t="shared" ref="GF4:GF20" si="52">IF(SUM(FR4:FS4,FU4)-FT4&gt;0,SUM(FR4:FS4,FU4)-FT4,"")</f>
        <v/>
      </c>
      <c r="GG4" s="40" t="str">
        <f t="shared" ref="GG4:GG20" si="53">IF(SUM(FK4,FO4,FS4)&gt;0,SUM(FK4,FO4,FS4),"")</f>
        <v/>
      </c>
      <c r="GH4" s="40" t="str">
        <f t="shared" ref="GH4:GH20" si="54">IF(SUM(GE4,GF4)&gt;0,SUM(GE4,GF4),"")</f>
        <v/>
      </c>
      <c r="GI4" s="40" t="str">
        <f t="shared" ref="GI4:GI20" si="55">IF(SUM(FW4,GA4)&gt;0,SUM(FW4,GA4),"")</f>
        <v/>
      </c>
      <c r="GJ4" s="40" t="str">
        <f t="shared" ref="GJ4:GJ20" si="56">IF(SUM(FV4:FW4,FY4:GA4,GC4)-SUM(FX4,GB4)&gt;0,SUM(FV4:FW4,FY4:GA4,GC4)-SUM(FX4,GB4),"")</f>
        <v/>
      </c>
      <c r="GK4" s="40" t="str">
        <f t="shared" ref="GK4:GK20" si="57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0" si="58">IF(SUM(GM4,GQ4)&gt;0,SUM(GM4,GQ4),"")</f>
        <v/>
      </c>
      <c r="HG4" s="11" t="str">
        <f t="shared" ref="HG4:HG20" si="59">IF(SUM(GL4:GM4,GO4:GQ4,GS4)-GN4-GR4&gt;0,SUM(GL4:GM4,GO4:GQ4,GS4)-GN4-GR4,"")</f>
        <v/>
      </c>
      <c r="HH4" s="11" t="str">
        <f t="shared" ref="HH4:HH20" si="60">IF(SUM(GT4:GU4,GW4)-GV4&gt;0,SUM(GT4:GU4,GW4)-GV4,"")</f>
        <v/>
      </c>
      <c r="HI4" s="11" t="str">
        <f t="shared" ref="HI4:HI20" si="61">IF(SUM(GM4,GQ4,GU4)&gt;0,SUM(GM4,GQ4,GU4),"")</f>
        <v/>
      </c>
      <c r="HJ4" s="11" t="str">
        <f t="shared" ref="HJ4:HJ20" si="62">IF(SUM(HG4,HH4)&gt;0,SUM(HG4,HH4),"")</f>
        <v/>
      </c>
      <c r="HK4" s="11" t="str">
        <f t="shared" ref="HK4:HK20" si="63">IF(SUM(GY4,HC4)&gt;0,SUM(GY4,HC4),"")</f>
        <v/>
      </c>
      <c r="HL4" s="11" t="str">
        <f t="shared" ref="HL4:HL20" si="64">IF(SUM(GX4:GY4,HA4:HC4,HE4)-SUM(GZ4,HD4)&gt;0,SUM(GX4:GY4,HA4:HC4,HE4)-SUM(GZ4,HD4),"")</f>
        <v/>
      </c>
      <c r="HM4" s="11" t="str">
        <f t="shared" ref="HM4:HM20" si="65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0" si="66">IF(SUM(HO4,HS4)&gt;0,SUM(HO4,HS4),"")</f>
        <v/>
      </c>
      <c r="II4" s="40" t="str">
        <f t="shared" ref="II4:II20" si="67">IF(SUM(HN4:HO4,HQ4:HS4,HU4)-HP4-HT4&gt;0,SUM(HN4:HO4,HQ4:HS4,HU4)-HP4-HT4,"")</f>
        <v/>
      </c>
      <c r="IJ4" s="40" t="str">
        <f t="shared" ref="IJ4:IJ20" si="68">IF(SUM(HV4:HW4,HY4)-HX4&gt;0,SUM(HV4:HW4,HY4)-HX4,"")</f>
        <v/>
      </c>
      <c r="IK4" s="40" t="str">
        <f t="shared" ref="IK4:IK20" si="69">IF(SUM(HO4,HS4,HW4)&gt;0,SUM(HO4,HS4,HW4),"")</f>
        <v/>
      </c>
      <c r="IL4" s="40" t="str">
        <f t="shared" ref="IL4:IL20" si="70">IF(SUM(II4,IJ4)&gt;0,SUM(II4,IJ4),"")</f>
        <v/>
      </c>
      <c r="IM4" s="40" t="str">
        <f t="shared" ref="IM4:IM20" si="71">IF(SUM(IA4,IE4)&gt;0,SUM(IA4,IE4),"")</f>
        <v/>
      </c>
      <c r="IN4" s="40" t="str">
        <f t="shared" ref="IN4:IN20" si="72">IF(SUM(HZ4:IA4,IC4:IE4,IG4)-SUM(IB4,IF4)&gt;0,SUM(HZ4:IA4,IC4:IE4,IG4)-SUM(IB4,IF4),"")</f>
        <v/>
      </c>
      <c r="IO4" s="40" t="str">
        <f t="shared" ref="IO4:IO20" si="73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0" si="74">IF(SUM(IQ4,IU4)&gt;0,SUM(IQ4,IU4),"")</f>
        <v/>
      </c>
      <c r="JK4" s="11" t="str">
        <f t="shared" ref="JK4:JK20" si="75">IF(SUM(IP4:IQ4,IS4:IU4,IW4)-IR4-IV4&gt;0,SUM(IP4:IQ4,IS4:IU4,IW4)-IR4-IV4,"")</f>
        <v/>
      </c>
      <c r="JL4" s="11" t="str">
        <f t="shared" ref="JL4:JL20" si="76">IF(SUM(IX4:IY4,JA4)-IZ4&gt;0,SUM(IX4:IY4,JA4)-IZ4,"")</f>
        <v/>
      </c>
      <c r="JM4" s="11" t="str">
        <f t="shared" ref="JM4:JM20" si="77">IF(SUM(IQ4,IU4,IY4)&gt;0,SUM(IQ4,IU4,IY4),"")</f>
        <v/>
      </c>
      <c r="JN4" s="11" t="str">
        <f t="shared" ref="JN4:JN20" si="78">IF(SUM(JK4,JL4)&gt;0,SUM(JK4,JL4),"")</f>
        <v/>
      </c>
      <c r="JO4" s="11" t="str">
        <f t="shared" ref="JO4:JO20" si="79">IF(SUM(JC4,JG4)&gt;0,SUM(JC4,JG4),"")</f>
        <v/>
      </c>
      <c r="JP4" s="11" t="str">
        <f t="shared" ref="JP4:JP20" si="80">IF(SUM(JB4:JC4,JE4:JG4,JI4)-SUM(JD4,JH4)&gt;0,SUM(JB4:JC4,JE4:JG4,JI4)-SUM(JD4,JH4),"")</f>
        <v/>
      </c>
      <c r="JQ4" s="11" t="str">
        <f t="shared" ref="JQ4:JQ20" si="81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0" si="82">IF(SUM(JS4,JW4)&gt;0,SUM(JS4,JW4),"")</f>
        <v/>
      </c>
      <c r="KM4" s="40" t="str">
        <f t="shared" ref="KM4:KM20" si="83">IF(SUM(JR4:JS4,JU4:JW4,JY4)-JT4-JX4&gt;0,SUM(JR4:JS4,JU4:JW4,JY4)-JT4-JX4,"")</f>
        <v/>
      </c>
      <c r="KN4" s="40" t="str">
        <f t="shared" ref="KN4:KN20" si="84">IF(SUM(JZ4:KA4,KC4)-KB4&gt;0,SUM(JZ4:KA4,KC4)-KB4,"")</f>
        <v/>
      </c>
      <c r="KO4" s="40" t="str">
        <f t="shared" ref="KO4:KO20" si="85">IF(SUM(JS4,JW4,KA4)&gt;0,SUM(JS4,JW4,KA4),"")</f>
        <v/>
      </c>
      <c r="KP4" s="40" t="str">
        <f t="shared" ref="KP4:KP20" si="86">IF(SUM(KM4,KN4)&gt;0,SUM(KM4,KN4),"")</f>
        <v/>
      </c>
      <c r="KQ4" s="40" t="str">
        <f t="shared" ref="KQ4:KQ20" si="87">IF(SUM(KE4,KI4)&gt;0,SUM(KE4,KI4),"")</f>
        <v/>
      </c>
      <c r="KR4" s="40" t="str">
        <f t="shared" ref="KR4:KR20" si="88">IF(SUM(KD4:KE4,KG4:KI4,KK4)-SUM(KF4,KJ4)&gt;0,SUM(KD4:KE4,KG4:KI4,KK4)-SUM(KF4,KJ4),"")</f>
        <v/>
      </c>
      <c r="KS4" s="40" t="str">
        <f t="shared" ref="KS4:KS20" si="89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0" si="90">IF(SUM(KU4,KY4)&gt;0,SUM(KU4,KY4),"")</f>
        <v/>
      </c>
      <c r="LO4" s="11" t="str">
        <f t="shared" ref="LO4:LO20" si="91">IF(SUM(KT4:KU4,KW4:KY4,LA4)-KV4-KZ4&gt;0,SUM(KT4:KU4,KW4:KY4,LA4)-KV4-KZ4,"")</f>
        <v/>
      </c>
      <c r="LP4" s="11" t="str">
        <f t="shared" ref="LP4:LP20" si="92">IF(SUM(LB4:LC4,LE4)-LD4&gt;0,SUM(LB4:LC4,LE4)-LD4,"")</f>
        <v/>
      </c>
      <c r="LQ4" s="11" t="str">
        <f t="shared" ref="LQ4:LQ20" si="93">IF(SUM(KU4,KY4,LC4)&gt;0,SUM(KU4,KY4,LC4),"")</f>
        <v/>
      </c>
      <c r="LR4" s="11" t="str">
        <f t="shared" ref="LR4:LR20" si="94">IF(SUM(LO4,LP4)&gt;0,SUM(LO4,LP4),"")</f>
        <v/>
      </c>
      <c r="LS4" s="11" t="str">
        <f t="shared" ref="LS4:LS20" si="95">IF(SUM(LG4,LK4)&gt;0,SUM(LG4,LK4),"")</f>
        <v/>
      </c>
      <c r="LT4" s="11" t="str">
        <f t="shared" ref="LT4:LT20" si="96">IF(SUM(LF4:LG4,LI4:LK4,LM4)-SUM(LH4,LL4)&gt;0,SUM(LF4:LG4,LI4:LK4,LM4)-SUM(LH4,LL4),"")</f>
        <v/>
      </c>
      <c r="LU4" s="11" t="str">
        <f t="shared" ref="LU4:LU20" si="97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0" si="98">IF(SUM(LW4,MA4)&gt;0,SUM(LW4,MA4),"")</f>
        <v/>
      </c>
      <c r="MQ4" s="40" t="str">
        <f t="shared" ref="MQ4:MQ20" si="99">IF(SUM(LV4:LW4,LY4:MA4,MC4)-LX4-MB4&gt;0,SUM(LV4:LW4,LY4:MA4,MC4)-LX4-MB4,"")</f>
        <v/>
      </c>
      <c r="MR4" s="40" t="str">
        <f t="shared" ref="MR4:MR20" si="100">IF(SUM(MD4:ME4,MG4)-MF4&gt;0,SUM(MD4:ME4,MG4)-MF4,"")</f>
        <v/>
      </c>
      <c r="MS4" s="40" t="str">
        <f t="shared" ref="MS4:MS20" si="101">IF(SUM(LW4,MA4,ME4)&gt;0,SUM(LW4,MA4,ME4),"")</f>
        <v/>
      </c>
      <c r="MT4" s="40" t="str">
        <f t="shared" ref="MT4:MT20" si="102">IF(SUM(MQ4,MR4)&gt;0,SUM(MQ4,MR4),"")</f>
        <v/>
      </c>
      <c r="MU4" s="40" t="str">
        <f t="shared" ref="MU4:MU20" si="103">IF(SUM(MI4,MM4)&gt;0,SUM(MI4,MM4),"")</f>
        <v/>
      </c>
      <c r="MV4" s="40" t="str">
        <f t="shared" ref="MV4:MV20" si="104">IF(SUM(MH4:MI4,MK4:MM4,MO4)-SUM(MJ4,MN4)&gt;0,SUM(MH4:MI4,MK4:MM4,MO4)-SUM(MJ4,MN4),"")</f>
        <v/>
      </c>
      <c r="MW4" s="40" t="str">
        <f t="shared" ref="MW4:MW20" si="105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0" si="106">IF(SUM(MY4,NC4)&gt;0,SUM(MY4,NC4),"")</f>
        <v/>
      </c>
      <c r="NS4" s="11" t="str">
        <f t="shared" ref="NS4:NS20" si="107">IF(SUM(MX4:MY4,NA4:NC4,NE4)-MZ4-ND4&gt;0,SUM(MX4:MY4,NA4:NC4,NE4)-MZ4-ND4,"")</f>
        <v/>
      </c>
      <c r="NT4" s="11" t="str">
        <f t="shared" ref="NT4:NT20" si="108">IF(SUM(NF4:NG4,NI4)-NH4&gt;0,SUM(NF4:NG4,NI4)-NH4,"")</f>
        <v/>
      </c>
      <c r="NU4" s="11" t="str">
        <f t="shared" ref="NU4:NU20" si="109">IF(SUM(MY4,NC4,NG4)&gt;0,SUM(MY4,NC4,NG4),"")</f>
        <v/>
      </c>
      <c r="NV4" s="11" t="str">
        <f t="shared" ref="NV4:NV20" si="110">IF(SUM(NS4,NT4)&gt;0,SUM(NS4,NT4),"")</f>
        <v/>
      </c>
      <c r="NW4" s="11" t="str">
        <f t="shared" ref="NW4:NW20" si="111">IF(SUM(NK4,NO4)&gt;0,SUM(NK4,NO4),"")</f>
        <v/>
      </c>
      <c r="NX4" s="11" t="str">
        <f t="shared" ref="NX4:NX20" si="112">IF(SUM(NJ4:NK4,NM4:NO4,NQ4)-SUM(NL4,NP4)&gt;0,SUM(NJ4:NK4,NM4:NO4,NQ4)-SUM(NL4,NP4),"")</f>
        <v/>
      </c>
      <c r="NY4" s="11" t="str">
        <f t="shared" ref="NY4:NY20" si="113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0" si="114">IF(SUM(OA4,OE4)&gt;0,SUM(OA4,OE4),"")</f>
        <v/>
      </c>
      <c r="OU4" s="40" t="str">
        <f t="shared" ref="OU4:OU20" si="115">IF(SUM(NZ4:OA4,OC4:OE4,OG4)-OB4-OF4&gt;0,SUM(NZ4:OA4,OC4:OE4,OG4)-OB4-OF4,"")</f>
        <v/>
      </c>
      <c r="OV4" s="40" t="str">
        <f t="shared" ref="OV4:OV20" si="116">IF(SUM(OH4:OI4,OK4)-OJ4&gt;0,SUM(OH4:OI4,OK4)-OJ4,"")</f>
        <v/>
      </c>
      <c r="OW4" s="40" t="str">
        <f t="shared" ref="OW4:OW20" si="117">IF(SUM(OA4,OE4,OI4)&gt;0,SUM(OA4,OE4,OI4),"")</f>
        <v/>
      </c>
      <c r="OX4" s="40" t="str">
        <f t="shared" ref="OX4:OX20" si="118">IF(SUM(OU4,OV4)&gt;0,SUM(OU4,OV4),"")</f>
        <v/>
      </c>
      <c r="OY4" s="40" t="str">
        <f t="shared" ref="OY4:OY20" si="119">IF(SUM(OM4,OQ4)&gt;0,SUM(OM4,OQ4),"")</f>
        <v/>
      </c>
      <c r="OZ4" s="40" t="str">
        <f t="shared" ref="OZ4:OZ20" si="120">IF(SUM(OL4:OM4,OO4:OQ4,OS4)-SUM(ON4,OR4)&gt;0,SUM(OL4:OM4,OO4:OQ4,OS4)-SUM(ON4,OR4),"")</f>
        <v/>
      </c>
      <c r="PA4" s="40" t="str">
        <f t="shared" ref="PA4:PA20" si="121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0" si="122">IF(SUM(PC4,PG4)&gt;0,SUM(PC4,PG4),"")</f>
        <v/>
      </c>
      <c r="PW4" s="11" t="str">
        <f t="shared" ref="PW4:PW20" si="123">IF(SUM(PB4:PC4,PE4:PG4,PI4)-PD4-PH4&gt;0,SUM(PB4:PC4,PE4:PG4,PI4)-PD4-PH4,"")</f>
        <v/>
      </c>
      <c r="PX4" s="11" t="str">
        <f t="shared" ref="PX4:PX20" si="124">IF(SUM(PJ4:PK4,PM4)-PL4&gt;0,SUM(PJ4:PK4,PM4)-PL4,"")</f>
        <v/>
      </c>
      <c r="PY4" s="11" t="str">
        <f t="shared" ref="PY4:PY20" si="125">IF(SUM(PC4,PG4,PK4)&gt;0,SUM(PC4,PG4,PK4),"")</f>
        <v/>
      </c>
      <c r="PZ4" s="11" t="str">
        <f t="shared" ref="PZ4:PZ20" si="126">IF(SUM(PW4,PX4)&gt;0,SUM(PW4,PX4),"")</f>
        <v/>
      </c>
      <c r="QA4" s="11" t="str">
        <f t="shared" ref="QA4:QA20" si="127">IF(SUM(PO4,PS4)&gt;0,SUM(PO4,PS4),"")</f>
        <v/>
      </c>
      <c r="QB4" s="11" t="str">
        <f t="shared" ref="QB4:QB20" si="128">IF(SUM(PN4:PO4,PQ4:PS4,PU4)-SUM(PP4,PT4)&gt;0,SUM(PN4:PO4,PQ4:PS4,PU4)-SUM(PP4,PT4),"")</f>
        <v/>
      </c>
      <c r="QC4" s="11" t="str">
        <f t="shared" ref="QC4:QC20" si="129">IF(SUM(PW4,PX4,QB4)&gt;0,SUM(PW4,PX4,QB4),"")</f>
        <v/>
      </c>
      <c r="QD4" s="22">
        <f t="shared" ref="QD4:QD20" si="130">IF($CU4="P",CA4,(CA4+AX4)/2)</f>
        <v>18.399999999999999</v>
      </c>
      <c r="QE4" s="22">
        <f t="shared" ref="QE4:QE20" si="131">IF($CU4="P",CB4,(CB4+AY4)/2)</f>
        <v>7.9</v>
      </c>
      <c r="QF4" s="22">
        <f t="shared" ref="QF4:QF20" si="132">IF($CU4="P",CC4,(CC4+AZ4)/2)</f>
        <v>0.1</v>
      </c>
      <c r="QG4" s="22">
        <f t="shared" ref="QG4:QG20" si="133">IF($CU4="P",CD4,(CD4+BA4)/2)</f>
        <v>0</v>
      </c>
      <c r="QH4" s="22">
        <f t="shared" ref="QH4:QH20" si="134">IF($CU4="P",CE4,(CE4+BB4)/2)</f>
        <v>18.2</v>
      </c>
      <c r="QI4" s="22">
        <f t="shared" ref="QI4:QI20" si="135">IF($CU4="P",CF4,(CF4+BC4)/2)</f>
        <v>7.55</v>
      </c>
      <c r="QJ4" s="22">
        <f t="shared" ref="QJ4:QJ20" si="136">IF($CU4="P",CG4,(CG4+BD4)/2)</f>
        <v>0</v>
      </c>
      <c r="QK4" s="22">
        <f t="shared" ref="QK4:QK20" si="137">IF($CU4="P",CH4,(CH4+BE4)/2)</f>
        <v>0</v>
      </c>
      <c r="QL4" s="22">
        <f t="shared" ref="QL4:QL20" si="138">IF($CU4="P",CI4,(CI4+BF4)/2)</f>
        <v>0</v>
      </c>
      <c r="QM4" s="22">
        <f t="shared" ref="QM4:QM20" si="139">IF($CU4="P",CJ4,(CJ4+BG4)/2)</f>
        <v>0</v>
      </c>
      <c r="QN4" s="22">
        <f t="shared" ref="QN4:QN20" si="140">IF($CU4="P",CK4,(CK4+BH4)/2)</f>
        <v>0</v>
      </c>
      <c r="QO4" s="22">
        <f t="shared" ref="QO4:QO20" si="141">IF($CU4="P",CL4,(CL4+BI4)/2)</f>
        <v>0</v>
      </c>
      <c r="QP4" s="22">
        <f t="shared" ref="QP4:QP20" si="142">IF($CU4="P",CM4,(CM4+BJ4)/2)</f>
        <v>18.700000000000003</v>
      </c>
      <c r="QQ4" s="22">
        <f t="shared" ref="QQ4:QQ20" si="143">IF($CU4="P",CN4,(CN4+BK4)/2)</f>
        <v>8.65</v>
      </c>
      <c r="QR4" s="22">
        <f t="shared" ref="QR4:QR20" si="144">IF($CU4="P",CO4,(CO4+BL4)/2)</f>
        <v>0.1</v>
      </c>
      <c r="QS4" s="22">
        <f t="shared" ref="QS4:QS20" si="145">IF($CU4="P",CP4,(CP4+BM4)/2)</f>
        <v>0</v>
      </c>
      <c r="QT4" s="22">
        <f t="shared" ref="QT4:QT20" si="146">IF($CU4="P",CQ4,(CQ4+BN4)/2)</f>
        <v>18.399999999999999</v>
      </c>
      <c r="QU4" s="22">
        <f t="shared" ref="QU4:QU20" si="147">IF($CU4="P",CR4,(CR4+BO4)/2)</f>
        <v>9.0500000000000007</v>
      </c>
      <c r="QV4" s="22">
        <f t="shared" ref="QV4:QV20" si="148">IF($CU4="P",CS4,(CS4+BP4)/2)</f>
        <v>0</v>
      </c>
      <c r="QW4" s="22">
        <f t="shared" ref="QW4:QW20" si="149">IF($CU4="P",CT4,(CT4+BQ4)/2)</f>
        <v>0</v>
      </c>
      <c r="QX4" s="27" t="s">
        <v>46</v>
      </c>
      <c r="QY4" s="40">
        <f t="shared" ref="QY4:QY20" si="150">IF(SUM(QE4,QI4)&gt;0,SUM(QE4,QI4),"")</f>
        <v>15.45</v>
      </c>
      <c r="QZ4" s="40">
        <f t="shared" ref="QZ4:QZ20" si="151">IF(SUM(QD4:QE4,QG4:QI4,QK4)-QF4-QJ4&gt;0,SUM(QD4:QE4,QG4:QI4,QK4)-QF4-QJ4,"")</f>
        <v>51.949999999999996</v>
      </c>
      <c r="RA4" s="40" t="str">
        <f t="shared" ref="RA4:RA20" si="152">IF(SUM(QL4:QM4,QO4)-QN4&gt;0,SUM(QL4:QM4,QO4)-QN4,"")</f>
        <v/>
      </c>
      <c r="RB4" s="40">
        <f t="shared" ref="RB4:RB20" si="153">IF(SUM(QE4,QI4,QM4)&gt;0,SUM(QE4,QI4,QM4),"")</f>
        <v>15.45</v>
      </c>
      <c r="RC4" s="40">
        <f t="shared" ref="RC4:RC20" si="154">IF(SUM(QZ4,RA4)&gt;0,SUM(QZ4,RA4),"")</f>
        <v>51.949999999999996</v>
      </c>
      <c r="RD4" s="40">
        <f t="shared" ref="RD4:RD20" si="155">IF(SUM(QQ4,QU4)&gt;0,SUM(QQ4,QU4),"")</f>
        <v>17.700000000000003</v>
      </c>
      <c r="RE4" s="40">
        <f t="shared" ref="RE4:RE20" si="156">IF(SUM(QP4:QQ4,QS4:QU4,QW4)-SUM(QR4,QV4)&gt;0,SUM(QP4:QQ4,QS4:QU4,QW4)-SUM(QR4,QV4),"")</f>
        <v>54.699999999999996</v>
      </c>
      <c r="RF4" s="40">
        <f t="shared" ref="RF4:RF20" si="157">IF(SUM(QZ4,RA4,RE4)&gt;0,SUM(QZ4,RA4,RE4),"")</f>
        <v>106.64999999999999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120</v>
      </c>
      <c r="D5" s="4" t="s">
        <v>6</v>
      </c>
      <c r="E5" s="4">
        <v>2006</v>
      </c>
      <c r="F5" s="9">
        <f t="shared" si="0"/>
        <v>157.0000103500052</v>
      </c>
      <c r="G5" s="64" t="s">
        <v>46</v>
      </c>
      <c r="H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DZ5&gt;=EG$23,EA5&gt;=EG$27,DZ5&lt;&gt;""),AND(EE5&gt;=EG$23,EF5&gt;=EG$27,EE5&lt;&gt;""),AND(FB5&gt;=FI$23,FC5&gt;=FI$27,FB5&lt;&gt;""),AND(FG5&gt;=FI$23,FH5&gt;=FI$27,FG5&lt;&gt;""),AND(GD5&gt;=GK$23,GE5&gt;=GK$27,GD5&lt;&gt;""),AND(GI5&gt;=GK$23,GJ5&gt;=GK$27,GI5&lt;&gt;""),AND(HF5&gt;=HM$23,HG5&gt;=HM$27,HF5&lt;&gt;""),AND(HK5&gt;=HM$23,HL5&gt;=HM$27,HK5&lt;&gt;""),AND(IH5&gt;=IO$23,II5&gt;=IO$27,IH5&lt;&gt;""),AND(IM5&gt;=IO$23,IN5&gt;=IO$27,IM5&lt;&gt;""),AND(JJ5&gt;=JQ$23,JK5&gt;=JQ$27,JJ5&lt;&gt;""),AND(JO5&gt;=JQ$23,JP5&gt;=JQ$27,JO5&lt;&gt;""),AND(KL5&gt;=KS$23,KM5&gt;=KS$27,KL5&lt;&gt;""),AND(KQ5&gt;=KS$23,KR5&gt;=KS$27,KQ5&lt;&gt;""),AND(LN5&gt;=LU$23,LO5&gt;=LU$27,LN5&lt;&gt;""),AND(LS5&gt;=LU$23,LT5&gt;=LU$27,LS5&lt;&gt;""),AND(MP5&gt;=MW$23,MQ5&gt;=MW$27,MP5&lt;&gt;""),AND(MU5&gt;=MW$23,MV5&gt;=MW$27,MU5&lt;&gt;""),AND(NR5&gt;=NY$23,NS5&gt;=NY$27,NR5&lt;&gt;""),AND(NW5&gt;=NY$23,NX5&gt;=NY$27,NW5&lt;&gt;""),AND(OT5&gt;=PA$23,OU5&gt;=PA$27,OT5&lt;&gt;""),AND(OY5&gt;=PA$23,OZ5&gt;=PA$27,OY5&lt;&gt;""),AND(PV5&gt;=QC$23,PW5&gt;=QC$27,PV5&lt;&gt;""),AND(QA5&gt;=QC$23,QB5&gt;=QC$27,QA5&lt;&gt;"")),"P","")</f>
        <v>P</v>
      </c>
      <c r="I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A5&gt;=EG$27,EA5&lt;&gt;""),AND(EF5&gt;=EG$27,EF5&lt;&gt;""),AND(FC5&gt;=FI$27,FC5&lt;&gt;""),AND(FH5&gt;=FI$27,FH5&lt;&gt;""),AND(GE5&gt;=GK$27,GE5&lt;&gt;""),AND(GJ5&gt;=GK$27,GJ5&lt;&gt;""),AND(HG5&gt;=HM$27,HG5&lt;&gt;""),AND(HL5&gt;=HM$27,HL5&lt;&gt;""),AND(II5&gt;=IO$27,II5&lt;&gt;""),AND(IN5&gt;=IO$27,IN5&lt;&gt;""),AND(JK5&gt;=JQ$27,JK5&lt;&gt;""),AND(JP5&gt;=JQ$27,JP5&lt;&gt;""),AND(KM5&gt;=KS$27,KM5&lt;&gt;""),AND(KR5&gt;=KS$27,KR5&lt;&gt;""),AND(LO5&gt;=LU$27,LO5&lt;&gt;""),AND(LT5&gt;=LU$27,LT5&lt;&gt;""),AND(MQ5&gt;=MW$27,MQ5&lt;&gt;""),AND(MV5&gt;=MW$27,MV5&lt;&gt;""),AND(NS5&gt;=NY$27,NS5&lt;&gt;""),AND(NX5&gt;=NY$27,NX5&lt;&gt;""),AND(OU5&gt;=PA$27,OU5&lt;&gt;""),AND(OZ5&gt;=PA$27,OZ5&lt;&gt;""),AND(PW5&gt;=QC$27,PW5&lt;&gt;""),AND(QB5&gt;=QC$27,QB5&lt;&gt;"")),"P","")</f>
        <v>P</v>
      </c>
      <c r="J5" s="36" t="str">
        <f>IF(AND(I5="P",H5=""),"No DD",IF(OR(AND(AS5&gt;=AW$26,AT5&gt;=AW$30,AS5&lt;&gt;"",AO5=""),AND(BV5&gt;=BZ$26,BW5&gt;=BZ$30,BV5&lt;&gt;"",BR5=""),AND(CY5&gt;=DC$26,CZ5&gt;=DC$30,CY5&lt;&gt;"",CU5=""),AND(EC5&gt;=EG$26,ED5&gt;=EG$30,EC5&lt;&gt;""),AND(FE5&gt;=FI$26,FF5&gt;=FI$30,FE5&lt;&gt;""),AND(GG5&gt;=GK$26,GH5&gt;=GK$30,GG5&lt;&gt;""),AND(HI5&gt;=HM$26,HJ5&gt;=HM$30,HI5&lt;&gt;""),AND(IK5&gt;=IO$26,IL5&gt;=IO$30,IK5&lt;&gt;""),AND(JM5&gt;=JQ$26,JN5&gt;=JQ$30,JM5&lt;&gt;""),AND(KO5&gt;=KS$26,KP5&gt;=KS$30,KO5&lt;&gt;""),AND(LQ5&gt;=LU$26,LR5&gt;=LU$30,LQ5&lt;&gt;""),AND(MS5&gt;=MW$26,MT5&gt;=MW$30,MS5&lt;&gt;""),AND(NU5&gt;=NY$26,NV5&gt;=NY$30,NU5&lt;&gt;""),AND(OW5&gt;=PA$26,OX5&gt;=PA$30,OW5&lt;&gt;""),AND(PY5&gt;=QC$26,PZ5&gt;=QC$30,PY5&lt;&gt;"")),"Merit",IF(OR(AND(AS5&gt;=AW$25,AT5&gt;=AW$29,AS5&lt;&gt;"",AO5=""),AND(BV5&gt;=BZ$25,BW5&gt;=BZ$29,BV5&lt;&gt;"",BR5=""),AND(CY5&gt;=DC$25,CZ5&gt;=DC$29,CY5&lt;&gt;"",CU5=""),AND(EC5&gt;=EG$25,ED5&gt;=EG$29,EC5&lt;&gt;""),AND(FE5&gt;=FI$25,FF5&gt;=FI$29,FE5&lt;&gt;""),AND(GG5&gt;=GK$25,GH5&gt;=GK$29,GG5&lt;&gt;""),AND(HI5&gt;=HM$25,HJ5&gt;=HM$29,HI5&lt;&gt;""),AND(IK5&gt;=IO$25,IL5&gt;=IO$29,IK5&lt;&gt;""),AND(JM5&gt;=JQ$25,JN5&gt;=JQ$29,JM5&lt;&gt;""),AND(KO5&gt;=KS$25,KP5&gt;=KS$29,KO5&lt;&gt;""),AND(LQ5&gt;=LU$25,LR5&gt;=LU$29,LQ5&lt;&gt;""),AND(MS5&gt;=MW$25,MT5&gt;=MW$29,MS5&lt;&gt;""),AND(NU5&gt;=NY$25,NV5&gt;=NY$29,NU5&lt;&gt;""),AND(OW5&gt;=PA$25,OX5&gt;=PA$29,OW5&lt;&gt;""),AND(PY5&gt;=QC$25,PZ5&gt;=QC$29,PY5&lt;&gt;"")),"Excellence",IF(K5="P","Worlds Team",IF(H5="P","National Team","")))))</f>
        <v>National Team</v>
      </c>
      <c r="K5" s="3" t="str">
        <f>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P","")</f>
        <v/>
      </c>
      <c r="L5" s="8">
        <f>IF(COUNT(AQ5,BT5,CW5)&gt;0,LARGE((AQ5,BT5,CW5),1),0)</f>
        <v>51.900000000000006</v>
      </c>
      <c r="M5" s="8" t="str">
        <f t="shared" si="1"/>
        <v>2024 3rd Domestic Trial</v>
      </c>
      <c r="N5" s="8">
        <f>IF(COUNT(AQ5,BT5,CW5)&gt;1,LARGE((AQ5,BT5,CW5),2),0)</f>
        <v>51.6</v>
      </c>
      <c r="O5" s="8" t="str">
        <f t="shared" si="2"/>
        <v>2025 Nationals</v>
      </c>
      <c r="P5" s="8">
        <f t="shared" si="3"/>
        <v>53.5</v>
      </c>
      <c r="Q5" s="8" t="str">
        <f t="shared" si="4"/>
        <v>2025 Elite Canada</v>
      </c>
      <c r="R5" s="8" t="str">
        <f t="shared" si="5"/>
        <v/>
      </c>
      <c r="S5" s="11" t="str">
        <f t="shared" si="6"/>
        <v/>
      </c>
      <c r="T5" s="8" t="str">
        <f t="shared" si="7"/>
        <v/>
      </c>
      <c r="U5" s="19">
        <v>18.100000000000001</v>
      </c>
      <c r="V5" s="19">
        <v>7.5</v>
      </c>
      <c r="W5" s="19">
        <v>0</v>
      </c>
      <c r="X5" s="19">
        <v>0</v>
      </c>
      <c r="Y5" s="19">
        <v>18.8</v>
      </c>
      <c r="Z5" s="19">
        <v>7.5</v>
      </c>
      <c r="AA5" s="19">
        <v>0</v>
      </c>
      <c r="AB5" s="19">
        <v>0</v>
      </c>
      <c r="AC5" s="19">
        <v>18.3</v>
      </c>
      <c r="AD5" s="19">
        <v>7.3</v>
      </c>
      <c r="AE5" s="19">
        <v>0</v>
      </c>
      <c r="AF5" s="19">
        <v>0</v>
      </c>
      <c r="AG5" s="19">
        <v>18.3</v>
      </c>
      <c r="AH5" s="19">
        <v>7.5</v>
      </c>
      <c r="AI5" s="19">
        <v>0.2</v>
      </c>
      <c r="AJ5" s="19">
        <v>0</v>
      </c>
      <c r="AK5" s="19">
        <v>18.3</v>
      </c>
      <c r="AL5" s="19">
        <v>6.9</v>
      </c>
      <c r="AM5" s="19">
        <v>0</v>
      </c>
      <c r="AN5" s="19">
        <v>0</v>
      </c>
      <c r="AO5" s="27"/>
      <c r="AP5" s="40">
        <f t="shared" si="8"/>
        <v>15</v>
      </c>
      <c r="AQ5" s="40">
        <f t="shared" si="9"/>
        <v>51.900000000000006</v>
      </c>
      <c r="AR5" s="40">
        <f t="shared" si="10"/>
        <v>25.6</v>
      </c>
      <c r="AS5" s="40">
        <f t="shared" si="11"/>
        <v>22.3</v>
      </c>
      <c r="AT5" s="40">
        <f t="shared" si="12"/>
        <v>77.5</v>
      </c>
      <c r="AU5" s="40">
        <f t="shared" si="13"/>
        <v>14.4</v>
      </c>
      <c r="AV5" s="40">
        <f t="shared" si="14"/>
        <v>50.8</v>
      </c>
      <c r="AW5" s="40">
        <f t="shared" si="15"/>
        <v>128.30000000000001</v>
      </c>
      <c r="AX5" s="18">
        <v>17.3</v>
      </c>
      <c r="AY5" s="18">
        <v>6.7</v>
      </c>
      <c r="AZ5" s="18">
        <v>0</v>
      </c>
      <c r="BA5" s="18">
        <v>0</v>
      </c>
      <c r="BB5" s="18">
        <v>18.7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18.3</v>
      </c>
      <c r="BK5" s="18">
        <v>8.3000000000000007</v>
      </c>
      <c r="BL5" s="18">
        <v>0</v>
      </c>
      <c r="BM5" s="18">
        <v>0</v>
      </c>
      <c r="BN5" s="18">
        <v>19</v>
      </c>
      <c r="BO5" s="18">
        <v>7.9</v>
      </c>
      <c r="BP5" s="18">
        <v>0</v>
      </c>
      <c r="BQ5" s="18">
        <v>0</v>
      </c>
      <c r="BR5" s="28"/>
      <c r="BS5" s="11">
        <f t="shared" si="16"/>
        <v>14.600000000000001</v>
      </c>
      <c r="BT5" s="11">
        <f t="shared" si="17"/>
        <v>50.6</v>
      </c>
      <c r="BU5" s="11" t="str">
        <f t="shared" si="18"/>
        <v/>
      </c>
      <c r="BV5" s="11">
        <f t="shared" si="19"/>
        <v>14.600000000000001</v>
      </c>
      <c r="BW5" s="11">
        <f t="shared" si="20"/>
        <v>50.6</v>
      </c>
      <c r="BX5" s="11">
        <f t="shared" si="21"/>
        <v>16.200000000000003</v>
      </c>
      <c r="BY5" s="11">
        <f t="shared" si="22"/>
        <v>53.5</v>
      </c>
      <c r="BZ5" s="11">
        <f t="shared" si="23"/>
        <v>104.1</v>
      </c>
      <c r="CA5" s="19">
        <v>18.399999999999999</v>
      </c>
      <c r="CB5" s="19">
        <v>6.5</v>
      </c>
      <c r="CC5" s="19">
        <v>0</v>
      </c>
      <c r="CD5" s="19">
        <v>0</v>
      </c>
      <c r="CE5" s="19">
        <v>18.8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16.600000000000001</v>
      </c>
      <c r="CN5" s="19">
        <v>4.5</v>
      </c>
      <c r="CO5" s="19">
        <v>0</v>
      </c>
      <c r="CP5" s="19">
        <v>0</v>
      </c>
      <c r="CQ5" s="19">
        <v>17.2</v>
      </c>
      <c r="CR5" s="19">
        <v>8.3000000000000007</v>
      </c>
      <c r="CS5" s="19">
        <v>0</v>
      </c>
      <c r="CT5" s="19">
        <v>0</v>
      </c>
      <c r="CU5" s="27"/>
      <c r="CV5" s="40">
        <f t="shared" si="24"/>
        <v>14.4</v>
      </c>
      <c r="CW5" s="40">
        <f t="shared" si="25"/>
        <v>51.6</v>
      </c>
      <c r="CX5" s="40" t="str">
        <f t="shared" si="26"/>
        <v/>
      </c>
      <c r="CY5" s="40">
        <f t="shared" si="27"/>
        <v>14.4</v>
      </c>
      <c r="CZ5" s="40">
        <f t="shared" si="28"/>
        <v>51.6</v>
      </c>
      <c r="DA5" s="40">
        <f t="shared" si="29"/>
        <v>12.8</v>
      </c>
      <c r="DB5" s="40">
        <f t="shared" si="30"/>
        <v>46.599999999999994</v>
      </c>
      <c r="DC5" s="40">
        <f t="shared" si="31"/>
        <v>98.199999999999989</v>
      </c>
      <c r="DD5" s="50" t="str">
        <f t="shared" si="32"/>
        <v/>
      </c>
      <c r="DE5" s="50" t="str">
        <f t="shared" si="33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4"/>
        <v/>
      </c>
      <c r="EA5" s="40" t="str">
        <f t="shared" si="35"/>
        <v/>
      </c>
      <c r="EB5" s="40" t="str">
        <f t="shared" si="36"/>
        <v/>
      </c>
      <c r="EC5" s="40" t="str">
        <f t="shared" si="37"/>
        <v/>
      </c>
      <c r="ED5" s="40" t="str">
        <f t="shared" si="38"/>
        <v/>
      </c>
      <c r="EE5" s="40" t="str">
        <f t="shared" si="39"/>
        <v/>
      </c>
      <c r="EF5" s="40" t="str">
        <f t="shared" si="40"/>
        <v/>
      </c>
      <c r="EG5" s="40" t="str">
        <f t="shared" si="41"/>
        <v/>
      </c>
      <c r="EH5" s="18">
        <v>17.5</v>
      </c>
      <c r="EI5" s="18">
        <v>7.3</v>
      </c>
      <c r="EJ5" s="18">
        <v>0</v>
      </c>
      <c r="EK5" s="18">
        <v>0</v>
      </c>
      <c r="EL5" s="18">
        <v>17.600000000000001</v>
      </c>
      <c r="EM5" s="18">
        <v>7.5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 t="shared" si="42"/>
        <v>14.8</v>
      </c>
      <c r="FC5" s="11">
        <f t="shared" si="43"/>
        <v>49.900000000000006</v>
      </c>
      <c r="FD5" s="11" t="str">
        <f t="shared" si="44"/>
        <v/>
      </c>
      <c r="FE5" s="11">
        <f t="shared" si="45"/>
        <v>14.8</v>
      </c>
      <c r="FF5" s="11">
        <f t="shared" si="46"/>
        <v>49.900000000000006</v>
      </c>
      <c r="FG5" s="11" t="str">
        <f t="shared" si="47"/>
        <v/>
      </c>
      <c r="FH5" s="11" t="str">
        <f t="shared" si="48"/>
        <v/>
      </c>
      <c r="FI5" s="11">
        <f t="shared" si="49"/>
        <v>49.900000000000006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0"/>
        <v/>
      </c>
      <c r="GE5" s="40" t="str">
        <f t="shared" si="51"/>
        <v/>
      </c>
      <c r="GF5" s="40" t="str">
        <f t="shared" si="52"/>
        <v/>
      </c>
      <c r="GG5" s="40" t="str">
        <f t="shared" si="53"/>
        <v/>
      </c>
      <c r="GH5" s="40" t="str">
        <f t="shared" si="54"/>
        <v/>
      </c>
      <c r="GI5" s="40" t="str">
        <f t="shared" si="55"/>
        <v/>
      </c>
      <c r="GJ5" s="40" t="str">
        <f t="shared" si="56"/>
        <v/>
      </c>
      <c r="GK5" s="40" t="str">
        <f t="shared" si="57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58"/>
        <v/>
      </c>
      <c r="HG5" s="11" t="str">
        <f t="shared" si="59"/>
        <v/>
      </c>
      <c r="HH5" s="11" t="str">
        <f t="shared" si="60"/>
        <v/>
      </c>
      <c r="HI5" s="11" t="str">
        <f t="shared" si="61"/>
        <v/>
      </c>
      <c r="HJ5" s="11" t="str">
        <f t="shared" si="62"/>
        <v/>
      </c>
      <c r="HK5" s="11" t="str">
        <f t="shared" si="63"/>
        <v/>
      </c>
      <c r="HL5" s="11" t="str">
        <f t="shared" si="64"/>
        <v/>
      </c>
      <c r="HM5" s="11" t="str">
        <f t="shared" si="65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6"/>
        <v/>
      </c>
      <c r="II5" s="40" t="str">
        <f t="shared" si="67"/>
        <v/>
      </c>
      <c r="IJ5" s="40" t="str">
        <f t="shared" si="68"/>
        <v/>
      </c>
      <c r="IK5" s="40" t="str">
        <f t="shared" si="69"/>
        <v/>
      </c>
      <c r="IL5" s="40" t="str">
        <f t="shared" si="70"/>
        <v/>
      </c>
      <c r="IM5" s="40" t="str">
        <f t="shared" si="71"/>
        <v/>
      </c>
      <c r="IN5" s="40" t="str">
        <f t="shared" si="72"/>
        <v/>
      </c>
      <c r="IO5" s="40" t="str">
        <f t="shared" si="73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4"/>
        <v/>
      </c>
      <c r="JK5" s="11" t="str">
        <f t="shared" si="75"/>
        <v/>
      </c>
      <c r="JL5" s="11" t="str">
        <f t="shared" si="76"/>
        <v/>
      </c>
      <c r="JM5" s="11" t="str">
        <f t="shared" si="77"/>
        <v/>
      </c>
      <c r="JN5" s="11" t="str">
        <f t="shared" si="78"/>
        <v/>
      </c>
      <c r="JO5" s="11" t="str">
        <f t="shared" si="79"/>
        <v/>
      </c>
      <c r="JP5" s="11" t="str">
        <f t="shared" si="80"/>
        <v/>
      </c>
      <c r="JQ5" s="11" t="str">
        <f t="shared" si="81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2"/>
        <v/>
      </c>
      <c r="KM5" s="40" t="str">
        <f t="shared" si="83"/>
        <v/>
      </c>
      <c r="KN5" s="40" t="str">
        <f t="shared" si="84"/>
        <v/>
      </c>
      <c r="KO5" s="40" t="str">
        <f t="shared" si="85"/>
        <v/>
      </c>
      <c r="KP5" s="40" t="str">
        <f t="shared" si="86"/>
        <v/>
      </c>
      <c r="KQ5" s="40" t="str">
        <f t="shared" si="87"/>
        <v/>
      </c>
      <c r="KR5" s="40" t="str">
        <f t="shared" si="88"/>
        <v/>
      </c>
      <c r="KS5" s="40" t="str">
        <f t="shared" si="89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0"/>
        <v/>
      </c>
      <c r="LO5" s="11" t="str">
        <f t="shared" si="91"/>
        <v/>
      </c>
      <c r="LP5" s="11" t="str">
        <f t="shared" si="92"/>
        <v/>
      </c>
      <c r="LQ5" s="11" t="str">
        <f t="shared" si="93"/>
        <v/>
      </c>
      <c r="LR5" s="11" t="str">
        <f t="shared" si="94"/>
        <v/>
      </c>
      <c r="LS5" s="11" t="str">
        <f t="shared" si="95"/>
        <v/>
      </c>
      <c r="LT5" s="11" t="str">
        <f t="shared" si="96"/>
        <v/>
      </c>
      <c r="LU5" s="11" t="str">
        <f t="shared" si="97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98"/>
        <v/>
      </c>
      <c r="MQ5" s="40" t="str">
        <f t="shared" si="99"/>
        <v/>
      </c>
      <c r="MR5" s="40" t="str">
        <f t="shared" si="100"/>
        <v/>
      </c>
      <c r="MS5" s="40" t="str">
        <f t="shared" si="101"/>
        <v/>
      </c>
      <c r="MT5" s="40" t="str">
        <f t="shared" si="102"/>
        <v/>
      </c>
      <c r="MU5" s="40" t="str">
        <f t="shared" si="103"/>
        <v/>
      </c>
      <c r="MV5" s="40" t="str">
        <f t="shared" si="104"/>
        <v/>
      </c>
      <c r="MW5" s="40" t="str">
        <f t="shared" si="105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6"/>
        <v/>
      </c>
      <c r="NS5" s="11" t="str">
        <f t="shared" si="107"/>
        <v/>
      </c>
      <c r="NT5" s="11" t="str">
        <f t="shared" si="108"/>
        <v/>
      </c>
      <c r="NU5" s="11" t="str">
        <f t="shared" si="109"/>
        <v/>
      </c>
      <c r="NV5" s="11" t="str">
        <f t="shared" si="110"/>
        <v/>
      </c>
      <c r="NW5" s="11" t="str">
        <f t="shared" si="111"/>
        <v/>
      </c>
      <c r="NX5" s="11" t="str">
        <f t="shared" si="112"/>
        <v/>
      </c>
      <c r="NY5" s="11" t="str">
        <f t="shared" si="113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4"/>
        <v/>
      </c>
      <c r="OU5" s="40" t="str">
        <f t="shared" si="115"/>
        <v/>
      </c>
      <c r="OV5" s="40" t="str">
        <f t="shared" si="116"/>
        <v/>
      </c>
      <c r="OW5" s="40" t="str">
        <f t="shared" si="117"/>
        <v/>
      </c>
      <c r="OX5" s="40" t="str">
        <f t="shared" si="118"/>
        <v/>
      </c>
      <c r="OY5" s="40" t="str">
        <f t="shared" si="119"/>
        <v/>
      </c>
      <c r="OZ5" s="40" t="str">
        <f t="shared" si="120"/>
        <v/>
      </c>
      <c r="PA5" s="40" t="str">
        <f t="shared" si="121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2"/>
        <v/>
      </c>
      <c r="PW5" s="11" t="str">
        <f t="shared" si="123"/>
        <v/>
      </c>
      <c r="PX5" s="11" t="str">
        <f t="shared" si="124"/>
        <v/>
      </c>
      <c r="PY5" s="11" t="str">
        <f t="shared" si="125"/>
        <v/>
      </c>
      <c r="PZ5" s="11" t="str">
        <f t="shared" si="126"/>
        <v/>
      </c>
      <c r="QA5" s="11" t="str">
        <f t="shared" si="127"/>
        <v/>
      </c>
      <c r="QB5" s="11" t="str">
        <f t="shared" si="128"/>
        <v/>
      </c>
      <c r="QC5" s="11" t="str">
        <f t="shared" si="129"/>
        <v/>
      </c>
      <c r="QD5" s="22">
        <f t="shared" si="130"/>
        <v>17.850000000000001</v>
      </c>
      <c r="QE5" s="22">
        <f t="shared" si="131"/>
        <v>6.6</v>
      </c>
      <c r="QF5" s="22">
        <f t="shared" si="132"/>
        <v>0</v>
      </c>
      <c r="QG5" s="22">
        <f t="shared" si="133"/>
        <v>0</v>
      </c>
      <c r="QH5" s="22">
        <f t="shared" si="134"/>
        <v>18.75</v>
      </c>
      <c r="QI5" s="22">
        <f t="shared" si="135"/>
        <v>7.9</v>
      </c>
      <c r="QJ5" s="22">
        <f t="shared" si="136"/>
        <v>0</v>
      </c>
      <c r="QK5" s="22">
        <f t="shared" si="137"/>
        <v>0</v>
      </c>
      <c r="QL5" s="22">
        <f t="shared" si="138"/>
        <v>0</v>
      </c>
      <c r="QM5" s="22">
        <f t="shared" si="139"/>
        <v>0</v>
      </c>
      <c r="QN5" s="22">
        <f t="shared" si="140"/>
        <v>0</v>
      </c>
      <c r="QO5" s="22">
        <f t="shared" si="141"/>
        <v>0</v>
      </c>
      <c r="QP5" s="22">
        <f t="shared" si="142"/>
        <v>17.450000000000003</v>
      </c>
      <c r="QQ5" s="22">
        <f t="shared" si="143"/>
        <v>6.4</v>
      </c>
      <c r="QR5" s="22">
        <f t="shared" si="144"/>
        <v>0</v>
      </c>
      <c r="QS5" s="22">
        <f t="shared" si="145"/>
        <v>0</v>
      </c>
      <c r="QT5" s="22">
        <f t="shared" si="146"/>
        <v>18.100000000000001</v>
      </c>
      <c r="QU5" s="22">
        <f t="shared" si="147"/>
        <v>8.1000000000000014</v>
      </c>
      <c r="QV5" s="22">
        <f t="shared" si="148"/>
        <v>0</v>
      </c>
      <c r="QW5" s="22">
        <f t="shared" si="149"/>
        <v>0</v>
      </c>
      <c r="QX5" s="27" t="s">
        <v>46</v>
      </c>
      <c r="QY5" s="40">
        <f t="shared" si="150"/>
        <v>14.5</v>
      </c>
      <c r="QZ5" s="40">
        <f t="shared" si="151"/>
        <v>51.1</v>
      </c>
      <c r="RA5" s="40" t="str">
        <f t="shared" si="152"/>
        <v/>
      </c>
      <c r="RB5" s="40">
        <f t="shared" si="153"/>
        <v>14.5</v>
      </c>
      <c r="RC5" s="40">
        <f t="shared" si="154"/>
        <v>51.1</v>
      </c>
      <c r="RD5" s="40">
        <f t="shared" si="155"/>
        <v>14.500000000000002</v>
      </c>
      <c r="RE5" s="40">
        <f t="shared" si="156"/>
        <v>50.050000000000004</v>
      </c>
      <c r="RF5" s="40">
        <f t="shared" si="157"/>
        <v>101.15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100</v>
      </c>
      <c r="D6" s="4" t="s">
        <v>92</v>
      </c>
      <c r="E6" s="4">
        <v>2005</v>
      </c>
      <c r="F6" s="9">
        <f t="shared" si="0"/>
        <v>142.40000956000483</v>
      </c>
      <c r="G6" s="64" t="s">
        <v>46</v>
      </c>
      <c r="H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DZ6&gt;=EG$23,EA6&gt;=EG$27,DZ6&lt;&gt;""),AND(EE6&gt;=EG$23,EF6&gt;=EG$27,EE6&lt;&gt;""),AND(FB6&gt;=FI$23,FC6&gt;=FI$27,FB6&lt;&gt;""),AND(FG6&gt;=FI$23,FH6&gt;=FI$27,FG6&lt;&gt;""),AND(GD6&gt;=GK$23,GE6&gt;=GK$27,GD6&lt;&gt;""),AND(GI6&gt;=GK$23,GJ6&gt;=GK$27,GI6&lt;&gt;""),AND(HF6&gt;=HM$23,HG6&gt;=HM$27,HF6&lt;&gt;""),AND(HK6&gt;=HM$23,HL6&gt;=HM$27,HK6&lt;&gt;""),AND(IH6&gt;=IO$23,II6&gt;=IO$27,IH6&lt;&gt;""),AND(IM6&gt;=IO$23,IN6&gt;=IO$27,IM6&lt;&gt;""),AND(JJ6&gt;=JQ$23,JK6&gt;=JQ$27,JJ6&lt;&gt;""),AND(JO6&gt;=JQ$23,JP6&gt;=JQ$27,JO6&lt;&gt;""),AND(KL6&gt;=KS$23,KM6&gt;=KS$27,KL6&lt;&gt;""),AND(KQ6&gt;=KS$23,KR6&gt;=KS$27,KQ6&lt;&gt;""),AND(LN6&gt;=LU$23,LO6&gt;=LU$27,LN6&lt;&gt;""),AND(LS6&gt;=LU$23,LT6&gt;=LU$27,LS6&lt;&gt;""),AND(MP6&gt;=MW$23,MQ6&gt;=MW$27,MP6&lt;&gt;""),AND(MU6&gt;=MW$23,MV6&gt;=MW$27,MU6&lt;&gt;""),AND(NR6&gt;=NY$23,NS6&gt;=NY$27,NR6&lt;&gt;""),AND(NW6&gt;=NY$23,NX6&gt;=NY$27,NW6&lt;&gt;""),AND(OT6&gt;=PA$23,OU6&gt;=PA$27,OT6&lt;&gt;""),AND(OY6&gt;=PA$23,OZ6&gt;=PA$27,OY6&lt;&gt;""),AND(PV6&gt;=QC$23,PW6&gt;=QC$27,PV6&lt;&gt;""),AND(QA6&gt;=QC$23,QB6&gt;=QC$27,QA6&lt;&gt;"")),"P","")</f>
        <v>P</v>
      </c>
      <c r="I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A6&gt;=EG$27,EA6&lt;&gt;""),AND(EF6&gt;=EG$27,EF6&lt;&gt;""),AND(FC6&gt;=FI$27,FC6&lt;&gt;""),AND(FH6&gt;=FI$27,FH6&lt;&gt;""),AND(GE6&gt;=GK$27,GE6&lt;&gt;""),AND(GJ6&gt;=GK$27,GJ6&lt;&gt;""),AND(HG6&gt;=HM$27,HG6&lt;&gt;""),AND(HL6&gt;=HM$27,HL6&lt;&gt;""),AND(II6&gt;=IO$27,II6&lt;&gt;""),AND(IN6&gt;=IO$27,IN6&lt;&gt;""),AND(JK6&gt;=JQ$27,JK6&lt;&gt;""),AND(JP6&gt;=JQ$27,JP6&lt;&gt;""),AND(KM6&gt;=KS$27,KM6&lt;&gt;""),AND(KR6&gt;=KS$27,KR6&lt;&gt;""),AND(LO6&gt;=LU$27,LO6&lt;&gt;""),AND(LT6&gt;=LU$27,LT6&lt;&gt;""),AND(MQ6&gt;=MW$27,MQ6&lt;&gt;""),AND(MV6&gt;=MW$27,MV6&lt;&gt;""),AND(NS6&gt;=NY$27,NS6&lt;&gt;""),AND(NX6&gt;=NY$27,NX6&lt;&gt;""),AND(OU6&gt;=PA$27,OU6&lt;&gt;""),AND(OZ6&gt;=PA$27,OZ6&lt;&gt;""),AND(PW6&gt;=QC$27,PW6&lt;&gt;""),AND(QB6&gt;=QC$27,QB6&lt;&gt;"")),"P","")</f>
        <v>P</v>
      </c>
      <c r="J6" s="36" t="str">
        <f>IF(AND(I6="P",H6=""),"No DD",IF(OR(AND(AS6&gt;=AW$26,AT6&gt;=AW$30,AS6&lt;&gt;"",AO6=""),AND(BV6&gt;=BZ$26,BW6&gt;=BZ$30,BV6&lt;&gt;"",BR6=""),AND(CY6&gt;=DC$26,CZ6&gt;=DC$30,CY6&lt;&gt;"",CU6=""),AND(EC6&gt;=EG$26,ED6&gt;=EG$30,EC6&lt;&gt;""),AND(FE6&gt;=FI$26,FF6&gt;=FI$30,FE6&lt;&gt;""),AND(GG6&gt;=GK$26,GH6&gt;=GK$30,GG6&lt;&gt;""),AND(HI6&gt;=HM$26,HJ6&gt;=HM$30,HI6&lt;&gt;""),AND(IK6&gt;=IO$26,IL6&gt;=IO$30,IK6&lt;&gt;""),AND(JM6&gt;=JQ$26,JN6&gt;=JQ$30,JM6&lt;&gt;""),AND(KO6&gt;=KS$26,KP6&gt;=KS$30,KO6&lt;&gt;""),AND(LQ6&gt;=LU$26,LR6&gt;=LU$30,LQ6&lt;&gt;""),AND(MS6&gt;=MW$26,MT6&gt;=MW$30,MS6&lt;&gt;""),AND(NU6&gt;=NY$26,NV6&gt;=NY$30,NU6&lt;&gt;""),AND(OW6&gt;=PA$26,OX6&gt;=PA$30,OW6&lt;&gt;""),AND(PY6&gt;=QC$26,PZ6&gt;=QC$30,PY6&lt;&gt;"")),"Merit",IF(OR(AND(AS6&gt;=AW$25,AT6&gt;=AW$29,AS6&lt;&gt;"",AO6=""),AND(BV6&gt;=BZ$25,BW6&gt;=BZ$29,BV6&lt;&gt;"",BR6=""),AND(CY6&gt;=DC$25,CZ6&gt;=DC$29,CY6&lt;&gt;"",CU6=""),AND(EC6&gt;=EG$25,ED6&gt;=EG$29,EC6&lt;&gt;""),AND(FE6&gt;=FI$25,FF6&gt;=FI$29,FE6&lt;&gt;""),AND(GG6&gt;=GK$25,GH6&gt;=GK$29,GG6&lt;&gt;""),AND(HI6&gt;=HM$25,HJ6&gt;=HM$29,HI6&lt;&gt;""),AND(IK6&gt;=IO$25,IL6&gt;=IO$29,IK6&lt;&gt;""),AND(JM6&gt;=JQ$25,JN6&gt;=JQ$29,JM6&lt;&gt;""),AND(KO6&gt;=KS$25,KP6&gt;=KS$29,KO6&lt;&gt;""),AND(LQ6&gt;=LU$25,LR6&gt;=LU$29,LQ6&lt;&gt;""),AND(MS6&gt;=MW$25,MT6&gt;=MW$29,MS6&lt;&gt;""),AND(NU6&gt;=NY$25,NV6&gt;=NY$29,NU6&lt;&gt;""),AND(OW6&gt;=PA$25,OX6&gt;=PA$29,OW6&lt;&gt;""),AND(PY6&gt;=QC$25,PZ6&gt;=QC$29,PY6&lt;&gt;"")),"Excellence",IF(K6="P","Worlds Team",IF(H6="P","National Team","")))))</f>
        <v>National Team</v>
      </c>
      <c r="K6" s="3" t="str">
        <f>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P","")</f>
        <v/>
      </c>
      <c r="L6" s="8">
        <f>IF(COUNT(AQ6,BT6,CW6)&gt;0,LARGE((AQ6,BT6,CW6),1),0)</f>
        <v>48.3</v>
      </c>
      <c r="M6" s="8" t="str">
        <f t="shared" si="1"/>
        <v>2025 Elite Canada</v>
      </c>
      <c r="N6" s="8">
        <f>IF(COUNT(AQ6,BT6,CW6)&gt;1,LARGE((AQ6,BT6,CW6),2),0)</f>
        <v>47.3</v>
      </c>
      <c r="O6" s="8" t="str">
        <f t="shared" si="2"/>
        <v>2024 3rd Domestic Trial</v>
      </c>
      <c r="P6" s="8">
        <f t="shared" si="3"/>
        <v>46.800000000000004</v>
      </c>
      <c r="Q6" s="8" t="str">
        <f t="shared" si="4"/>
        <v>2025 Nationals</v>
      </c>
      <c r="R6" s="8" t="str">
        <f t="shared" si="5"/>
        <v/>
      </c>
      <c r="S6" s="11" t="str">
        <f t="shared" si="6"/>
        <v/>
      </c>
      <c r="T6" s="8" t="str">
        <f t="shared" si="7"/>
        <v/>
      </c>
      <c r="U6" s="19">
        <v>17.5</v>
      </c>
      <c r="V6" s="19">
        <v>6.3</v>
      </c>
      <c r="W6" s="19">
        <v>0</v>
      </c>
      <c r="X6" s="19">
        <v>0.3</v>
      </c>
      <c r="Y6" s="19">
        <v>17.600000000000001</v>
      </c>
      <c r="Z6" s="19">
        <v>5.3</v>
      </c>
      <c r="AA6" s="19">
        <v>0</v>
      </c>
      <c r="AB6" s="19">
        <v>0.3</v>
      </c>
      <c r="AC6" s="19">
        <v>17.3</v>
      </c>
      <c r="AD6" s="19">
        <v>6.3</v>
      </c>
      <c r="AE6" s="19">
        <v>0</v>
      </c>
      <c r="AF6" s="19">
        <v>0.3</v>
      </c>
      <c r="AG6" s="19">
        <v>15.2</v>
      </c>
      <c r="AH6" s="19">
        <v>3.1</v>
      </c>
      <c r="AI6" s="19">
        <v>0.3</v>
      </c>
      <c r="AJ6" s="19">
        <v>0.3</v>
      </c>
      <c r="AK6" s="19">
        <v>17</v>
      </c>
      <c r="AL6" s="19">
        <v>6.1</v>
      </c>
      <c r="AM6" s="19">
        <v>0</v>
      </c>
      <c r="AN6" s="19">
        <v>0.3</v>
      </c>
      <c r="AO6" s="27"/>
      <c r="AP6" s="40">
        <f t="shared" si="8"/>
        <v>11.6</v>
      </c>
      <c r="AQ6" s="40">
        <f t="shared" si="9"/>
        <v>47.3</v>
      </c>
      <c r="AR6" s="40">
        <f t="shared" si="10"/>
        <v>23.900000000000002</v>
      </c>
      <c r="AS6" s="40">
        <f t="shared" si="11"/>
        <v>17.899999999999999</v>
      </c>
      <c r="AT6" s="40">
        <f t="shared" si="12"/>
        <v>71.2</v>
      </c>
      <c r="AU6" s="40">
        <f t="shared" si="13"/>
        <v>9.1999999999999993</v>
      </c>
      <c r="AV6" s="40">
        <f t="shared" si="14"/>
        <v>41.7</v>
      </c>
      <c r="AW6" s="40">
        <f t="shared" si="15"/>
        <v>112.9</v>
      </c>
      <c r="AX6" s="18">
        <v>18.3</v>
      </c>
      <c r="AY6" s="18">
        <v>6.5</v>
      </c>
      <c r="AZ6" s="18">
        <v>0</v>
      </c>
      <c r="BA6" s="18">
        <v>0</v>
      </c>
      <c r="BB6" s="18">
        <v>18</v>
      </c>
      <c r="BC6" s="18">
        <v>5.5</v>
      </c>
      <c r="BD6" s="18">
        <v>0</v>
      </c>
      <c r="BE6" s="18">
        <v>0</v>
      </c>
      <c r="BF6" s="18"/>
      <c r="BG6" s="18"/>
      <c r="BH6" s="18"/>
      <c r="BI6" s="18"/>
      <c r="BJ6" s="18">
        <v>16.600000000000001</v>
      </c>
      <c r="BK6" s="18">
        <v>3.3</v>
      </c>
      <c r="BL6" s="18">
        <v>0</v>
      </c>
      <c r="BM6" s="18">
        <v>0</v>
      </c>
      <c r="BN6" s="18">
        <v>14.9</v>
      </c>
      <c r="BO6" s="18">
        <v>6.1</v>
      </c>
      <c r="BP6" s="18">
        <v>0.2</v>
      </c>
      <c r="BQ6" s="18">
        <v>0</v>
      </c>
      <c r="BR6" s="28"/>
      <c r="BS6" s="11">
        <f t="shared" si="16"/>
        <v>12</v>
      </c>
      <c r="BT6" s="11">
        <f t="shared" si="17"/>
        <v>48.3</v>
      </c>
      <c r="BU6" s="11" t="str">
        <f t="shared" si="18"/>
        <v/>
      </c>
      <c r="BV6" s="11">
        <f t="shared" si="19"/>
        <v>12</v>
      </c>
      <c r="BW6" s="11">
        <f t="shared" si="20"/>
        <v>48.3</v>
      </c>
      <c r="BX6" s="11">
        <f t="shared" si="21"/>
        <v>9.3999999999999986</v>
      </c>
      <c r="BY6" s="11">
        <f t="shared" si="22"/>
        <v>40.700000000000003</v>
      </c>
      <c r="BZ6" s="11">
        <f t="shared" si="23"/>
        <v>89</v>
      </c>
      <c r="CA6" s="19">
        <v>13.7</v>
      </c>
      <c r="CB6" s="19">
        <v>5.0999999999999996</v>
      </c>
      <c r="CC6" s="19">
        <v>2.4</v>
      </c>
      <c r="CD6" s="19">
        <v>0</v>
      </c>
      <c r="CE6" s="19">
        <v>15.1</v>
      </c>
      <c r="CF6" s="19">
        <v>6.5</v>
      </c>
      <c r="CG6" s="19">
        <v>0.2</v>
      </c>
      <c r="CH6" s="19">
        <v>0</v>
      </c>
      <c r="CI6" s="19"/>
      <c r="CJ6" s="19"/>
      <c r="CK6" s="19"/>
      <c r="CL6" s="19"/>
      <c r="CM6" s="19">
        <v>18.3</v>
      </c>
      <c r="CN6" s="19">
        <v>6.5</v>
      </c>
      <c r="CO6" s="19">
        <v>0</v>
      </c>
      <c r="CP6" s="19">
        <v>0</v>
      </c>
      <c r="CQ6" s="19">
        <v>16.899999999999999</v>
      </c>
      <c r="CR6" s="19">
        <v>5.0999999999999996</v>
      </c>
      <c r="CS6" s="19">
        <v>0</v>
      </c>
      <c r="CT6" s="19">
        <v>0</v>
      </c>
      <c r="CU6" s="27"/>
      <c r="CV6" s="40">
        <f t="shared" si="24"/>
        <v>11.6</v>
      </c>
      <c r="CW6" s="40">
        <f t="shared" si="25"/>
        <v>37.799999999999997</v>
      </c>
      <c r="CX6" s="40" t="str">
        <f t="shared" si="26"/>
        <v/>
      </c>
      <c r="CY6" s="40">
        <f t="shared" si="27"/>
        <v>11.6</v>
      </c>
      <c r="CZ6" s="40">
        <f t="shared" si="28"/>
        <v>37.799999999999997</v>
      </c>
      <c r="DA6" s="40">
        <f t="shared" si="29"/>
        <v>11.6</v>
      </c>
      <c r="DB6" s="40">
        <f t="shared" si="30"/>
        <v>46.800000000000004</v>
      </c>
      <c r="DC6" s="40">
        <f t="shared" si="31"/>
        <v>84.6</v>
      </c>
      <c r="DD6" s="50" t="str">
        <f t="shared" si="32"/>
        <v/>
      </c>
      <c r="DE6" s="50" t="str">
        <f t="shared" si="33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4"/>
        <v/>
      </c>
      <c r="EA6" s="40" t="str">
        <f t="shared" si="35"/>
        <v/>
      </c>
      <c r="EB6" s="40" t="str">
        <f t="shared" si="36"/>
        <v/>
      </c>
      <c r="EC6" s="40" t="str">
        <f t="shared" si="37"/>
        <v/>
      </c>
      <c r="ED6" s="40" t="str">
        <f t="shared" si="38"/>
        <v/>
      </c>
      <c r="EE6" s="40" t="str">
        <f t="shared" si="39"/>
        <v/>
      </c>
      <c r="EF6" s="40" t="str">
        <f t="shared" si="40"/>
        <v/>
      </c>
      <c r="EG6" s="40" t="str">
        <f t="shared" si="41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2"/>
        <v/>
      </c>
      <c r="FC6" s="11" t="str">
        <f t="shared" si="43"/>
        <v/>
      </c>
      <c r="FD6" s="11" t="str">
        <f t="shared" si="44"/>
        <v/>
      </c>
      <c r="FE6" s="11" t="str">
        <f t="shared" si="45"/>
        <v/>
      </c>
      <c r="FF6" s="11" t="str">
        <f t="shared" si="46"/>
        <v/>
      </c>
      <c r="FG6" s="11" t="str">
        <f t="shared" si="47"/>
        <v/>
      </c>
      <c r="FH6" s="11" t="str">
        <f t="shared" si="48"/>
        <v/>
      </c>
      <c r="FI6" s="11" t="str">
        <f t="shared" si="49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0"/>
        <v/>
      </c>
      <c r="GE6" s="40" t="str">
        <f t="shared" si="51"/>
        <v/>
      </c>
      <c r="GF6" s="40" t="str">
        <f t="shared" si="52"/>
        <v/>
      </c>
      <c r="GG6" s="40" t="str">
        <f t="shared" si="53"/>
        <v/>
      </c>
      <c r="GH6" s="40" t="str">
        <f t="shared" si="54"/>
        <v/>
      </c>
      <c r="GI6" s="40" t="str">
        <f t="shared" si="55"/>
        <v/>
      </c>
      <c r="GJ6" s="40" t="str">
        <f t="shared" si="56"/>
        <v/>
      </c>
      <c r="GK6" s="40" t="str">
        <f t="shared" si="57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58"/>
        <v/>
      </c>
      <c r="HG6" s="11" t="str">
        <f t="shared" si="59"/>
        <v/>
      </c>
      <c r="HH6" s="11" t="str">
        <f t="shared" si="60"/>
        <v/>
      </c>
      <c r="HI6" s="11" t="str">
        <f t="shared" si="61"/>
        <v/>
      </c>
      <c r="HJ6" s="11" t="str">
        <f t="shared" si="62"/>
        <v/>
      </c>
      <c r="HK6" s="11" t="str">
        <f t="shared" si="63"/>
        <v/>
      </c>
      <c r="HL6" s="11" t="str">
        <f t="shared" si="64"/>
        <v/>
      </c>
      <c r="HM6" s="11" t="str">
        <f t="shared" si="65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6"/>
        <v/>
      </c>
      <c r="II6" s="40" t="str">
        <f t="shared" si="67"/>
        <v/>
      </c>
      <c r="IJ6" s="40" t="str">
        <f t="shared" si="68"/>
        <v/>
      </c>
      <c r="IK6" s="40" t="str">
        <f t="shared" si="69"/>
        <v/>
      </c>
      <c r="IL6" s="40" t="str">
        <f t="shared" si="70"/>
        <v/>
      </c>
      <c r="IM6" s="40" t="str">
        <f t="shared" si="71"/>
        <v/>
      </c>
      <c r="IN6" s="40" t="str">
        <f t="shared" si="72"/>
        <v/>
      </c>
      <c r="IO6" s="40" t="str">
        <f t="shared" si="73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4"/>
        <v/>
      </c>
      <c r="JK6" s="11" t="str">
        <f t="shared" si="75"/>
        <v/>
      </c>
      <c r="JL6" s="11" t="str">
        <f t="shared" si="76"/>
        <v/>
      </c>
      <c r="JM6" s="11" t="str">
        <f t="shared" si="77"/>
        <v/>
      </c>
      <c r="JN6" s="11" t="str">
        <f t="shared" si="78"/>
        <v/>
      </c>
      <c r="JO6" s="11" t="str">
        <f t="shared" si="79"/>
        <v/>
      </c>
      <c r="JP6" s="11" t="str">
        <f t="shared" si="80"/>
        <v/>
      </c>
      <c r="JQ6" s="11" t="str">
        <f t="shared" si="81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2"/>
        <v/>
      </c>
      <c r="KM6" s="40" t="str">
        <f t="shared" si="83"/>
        <v/>
      </c>
      <c r="KN6" s="40" t="str">
        <f t="shared" si="84"/>
        <v/>
      </c>
      <c r="KO6" s="40" t="str">
        <f t="shared" si="85"/>
        <v/>
      </c>
      <c r="KP6" s="40" t="str">
        <f t="shared" si="86"/>
        <v/>
      </c>
      <c r="KQ6" s="40" t="str">
        <f t="shared" si="87"/>
        <v/>
      </c>
      <c r="KR6" s="40" t="str">
        <f t="shared" si="88"/>
        <v/>
      </c>
      <c r="KS6" s="40" t="str">
        <f t="shared" si="89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0"/>
        <v/>
      </c>
      <c r="LO6" s="11" t="str">
        <f t="shared" si="91"/>
        <v/>
      </c>
      <c r="LP6" s="11" t="str">
        <f t="shared" si="92"/>
        <v/>
      </c>
      <c r="LQ6" s="11" t="str">
        <f t="shared" si="93"/>
        <v/>
      </c>
      <c r="LR6" s="11" t="str">
        <f t="shared" si="94"/>
        <v/>
      </c>
      <c r="LS6" s="11" t="str">
        <f t="shared" si="95"/>
        <v/>
      </c>
      <c r="LT6" s="11" t="str">
        <f t="shared" si="96"/>
        <v/>
      </c>
      <c r="LU6" s="11" t="str">
        <f t="shared" si="97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98"/>
        <v/>
      </c>
      <c r="MQ6" s="40" t="str">
        <f t="shared" si="99"/>
        <v/>
      </c>
      <c r="MR6" s="40" t="str">
        <f t="shared" si="100"/>
        <v/>
      </c>
      <c r="MS6" s="40" t="str">
        <f t="shared" si="101"/>
        <v/>
      </c>
      <c r="MT6" s="40" t="str">
        <f t="shared" si="102"/>
        <v/>
      </c>
      <c r="MU6" s="40" t="str">
        <f t="shared" si="103"/>
        <v/>
      </c>
      <c r="MV6" s="40" t="str">
        <f t="shared" si="104"/>
        <v/>
      </c>
      <c r="MW6" s="40" t="str">
        <f t="shared" si="105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6"/>
        <v/>
      </c>
      <c r="NS6" s="11" t="str">
        <f t="shared" si="107"/>
        <v/>
      </c>
      <c r="NT6" s="11" t="str">
        <f t="shared" si="108"/>
        <v/>
      </c>
      <c r="NU6" s="11" t="str">
        <f t="shared" si="109"/>
        <v/>
      </c>
      <c r="NV6" s="11" t="str">
        <f t="shared" si="110"/>
        <v/>
      </c>
      <c r="NW6" s="11" t="str">
        <f t="shared" si="111"/>
        <v/>
      </c>
      <c r="NX6" s="11" t="str">
        <f t="shared" si="112"/>
        <v/>
      </c>
      <c r="NY6" s="11" t="str">
        <f t="shared" si="113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4"/>
        <v/>
      </c>
      <c r="OU6" s="40" t="str">
        <f t="shared" si="115"/>
        <v/>
      </c>
      <c r="OV6" s="40" t="str">
        <f t="shared" si="116"/>
        <v/>
      </c>
      <c r="OW6" s="40" t="str">
        <f t="shared" si="117"/>
        <v/>
      </c>
      <c r="OX6" s="40" t="str">
        <f t="shared" si="118"/>
        <v/>
      </c>
      <c r="OY6" s="40" t="str">
        <f t="shared" si="119"/>
        <v/>
      </c>
      <c r="OZ6" s="40" t="str">
        <f t="shared" si="120"/>
        <v/>
      </c>
      <c r="PA6" s="40" t="str">
        <f t="shared" si="121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2"/>
        <v/>
      </c>
      <c r="PW6" s="11" t="str">
        <f t="shared" si="123"/>
        <v/>
      </c>
      <c r="PX6" s="11" t="str">
        <f t="shared" si="124"/>
        <v/>
      </c>
      <c r="PY6" s="11" t="str">
        <f t="shared" si="125"/>
        <v/>
      </c>
      <c r="PZ6" s="11" t="str">
        <f t="shared" si="126"/>
        <v/>
      </c>
      <c r="QA6" s="11" t="str">
        <f t="shared" si="127"/>
        <v/>
      </c>
      <c r="QB6" s="11" t="str">
        <f t="shared" si="128"/>
        <v/>
      </c>
      <c r="QC6" s="11" t="str">
        <f t="shared" si="129"/>
        <v/>
      </c>
      <c r="QD6" s="22">
        <f t="shared" si="130"/>
        <v>16</v>
      </c>
      <c r="QE6" s="22">
        <f t="shared" si="131"/>
        <v>5.8</v>
      </c>
      <c r="QF6" s="22">
        <f t="shared" si="132"/>
        <v>1.2</v>
      </c>
      <c r="QG6" s="22">
        <f t="shared" si="133"/>
        <v>0</v>
      </c>
      <c r="QH6" s="22">
        <f t="shared" si="134"/>
        <v>16.55</v>
      </c>
      <c r="QI6" s="22">
        <f t="shared" si="135"/>
        <v>6</v>
      </c>
      <c r="QJ6" s="22">
        <f t="shared" si="136"/>
        <v>0.1</v>
      </c>
      <c r="QK6" s="22">
        <f t="shared" si="137"/>
        <v>0</v>
      </c>
      <c r="QL6" s="22">
        <f t="shared" si="138"/>
        <v>0</v>
      </c>
      <c r="QM6" s="22">
        <f t="shared" si="139"/>
        <v>0</v>
      </c>
      <c r="QN6" s="22">
        <f t="shared" si="140"/>
        <v>0</v>
      </c>
      <c r="QO6" s="22">
        <f t="shared" si="141"/>
        <v>0</v>
      </c>
      <c r="QP6" s="22">
        <f t="shared" si="142"/>
        <v>17.450000000000003</v>
      </c>
      <c r="QQ6" s="22">
        <f t="shared" si="143"/>
        <v>4.9000000000000004</v>
      </c>
      <c r="QR6" s="22">
        <f t="shared" si="144"/>
        <v>0</v>
      </c>
      <c r="QS6" s="22">
        <f t="shared" si="145"/>
        <v>0</v>
      </c>
      <c r="QT6" s="22">
        <f t="shared" si="146"/>
        <v>15.899999999999999</v>
      </c>
      <c r="QU6" s="22">
        <f t="shared" si="147"/>
        <v>5.6</v>
      </c>
      <c r="QV6" s="22">
        <f t="shared" si="148"/>
        <v>0.1</v>
      </c>
      <c r="QW6" s="22">
        <f t="shared" si="149"/>
        <v>0</v>
      </c>
      <c r="QX6" s="27" t="s">
        <v>46</v>
      </c>
      <c r="QY6" s="40">
        <f t="shared" si="150"/>
        <v>11.8</v>
      </c>
      <c r="QZ6" s="40">
        <f t="shared" si="151"/>
        <v>43.05</v>
      </c>
      <c r="RA6" s="40" t="str">
        <f t="shared" si="152"/>
        <v/>
      </c>
      <c r="RB6" s="40">
        <f t="shared" si="153"/>
        <v>11.8</v>
      </c>
      <c r="RC6" s="40">
        <f t="shared" si="154"/>
        <v>43.05</v>
      </c>
      <c r="RD6" s="40">
        <f t="shared" si="155"/>
        <v>10.5</v>
      </c>
      <c r="RE6" s="40">
        <f t="shared" si="156"/>
        <v>43.75</v>
      </c>
      <c r="RF6" s="40">
        <f t="shared" si="157"/>
        <v>86.8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106</v>
      </c>
      <c r="D7" s="4" t="s">
        <v>6</v>
      </c>
      <c r="E7" s="4">
        <v>2006</v>
      </c>
      <c r="F7" s="9">
        <f t="shared" si="0"/>
        <v>137.30000890000466</v>
      </c>
      <c r="G7" s="64" t="s">
        <v>46</v>
      </c>
      <c r="H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DZ7&gt;=EG$23,EA7&gt;=EG$27,DZ7&lt;&gt;""),AND(EE7&gt;=EG$23,EF7&gt;=EG$27,EE7&lt;&gt;""),AND(FB7&gt;=FI$23,FC7&gt;=FI$27,FB7&lt;&gt;""),AND(FG7&gt;=FI$23,FH7&gt;=FI$27,FG7&lt;&gt;""),AND(GD7&gt;=GK$23,GE7&gt;=GK$27,GD7&lt;&gt;""),AND(GI7&gt;=GK$23,GJ7&gt;=GK$27,GI7&lt;&gt;""),AND(HF7&gt;=HM$23,HG7&gt;=HM$27,HF7&lt;&gt;""),AND(HK7&gt;=HM$23,HL7&gt;=HM$27,HK7&lt;&gt;""),AND(IH7&gt;=IO$23,II7&gt;=IO$27,IH7&lt;&gt;""),AND(IM7&gt;=IO$23,IN7&gt;=IO$27,IM7&lt;&gt;""),AND(JJ7&gt;=JQ$23,JK7&gt;=JQ$27,JJ7&lt;&gt;""),AND(JO7&gt;=JQ$23,JP7&gt;=JQ$27,JO7&lt;&gt;""),AND(KL7&gt;=KS$23,KM7&gt;=KS$27,KL7&lt;&gt;""),AND(KQ7&gt;=KS$23,KR7&gt;=KS$27,KQ7&lt;&gt;""),AND(LN7&gt;=LU$23,LO7&gt;=LU$27,LN7&lt;&gt;""),AND(LS7&gt;=LU$23,LT7&gt;=LU$27,LS7&lt;&gt;""),AND(MP7&gt;=MW$23,MQ7&gt;=MW$27,MP7&lt;&gt;""),AND(MU7&gt;=MW$23,MV7&gt;=MW$27,MU7&lt;&gt;""),AND(NR7&gt;=NY$23,NS7&gt;=NY$27,NR7&lt;&gt;""),AND(NW7&gt;=NY$23,NX7&gt;=NY$27,NW7&lt;&gt;""),AND(OT7&gt;=PA$23,OU7&gt;=PA$27,OT7&lt;&gt;""),AND(OY7&gt;=PA$23,OZ7&gt;=PA$27,OY7&lt;&gt;""),AND(PV7&gt;=QC$23,PW7&gt;=QC$27,PV7&lt;&gt;""),AND(QA7&gt;=QC$23,QB7&gt;=QC$27,QA7&lt;&gt;"")),"P","")</f>
        <v>P</v>
      </c>
      <c r="I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A7&gt;=EG$27,EA7&lt;&gt;""),AND(EF7&gt;=EG$27,EF7&lt;&gt;""),AND(FC7&gt;=FI$27,FC7&lt;&gt;""),AND(FH7&gt;=FI$27,FH7&lt;&gt;""),AND(GE7&gt;=GK$27,GE7&lt;&gt;""),AND(GJ7&gt;=GK$27,GJ7&lt;&gt;""),AND(HG7&gt;=HM$27,HG7&lt;&gt;""),AND(HL7&gt;=HM$27,HL7&lt;&gt;""),AND(II7&gt;=IO$27,II7&lt;&gt;""),AND(IN7&gt;=IO$27,IN7&lt;&gt;""),AND(JK7&gt;=JQ$27,JK7&lt;&gt;""),AND(JP7&gt;=JQ$27,JP7&lt;&gt;""),AND(KM7&gt;=KS$27,KM7&lt;&gt;""),AND(KR7&gt;=KS$27,KR7&lt;&gt;""),AND(LO7&gt;=LU$27,LO7&lt;&gt;""),AND(LT7&gt;=LU$27,LT7&lt;&gt;""),AND(MQ7&gt;=MW$27,MQ7&lt;&gt;""),AND(MV7&gt;=MW$27,MV7&lt;&gt;""),AND(NS7&gt;=NY$27,NS7&lt;&gt;""),AND(NX7&gt;=NY$27,NX7&lt;&gt;""),AND(OU7&gt;=PA$27,OU7&lt;&gt;""),AND(OZ7&gt;=PA$27,OZ7&lt;&gt;""),AND(PW7&gt;=QC$27,PW7&lt;&gt;""),AND(QB7&gt;=QC$27,QB7&lt;&gt;"")),"P","")</f>
        <v>P</v>
      </c>
      <c r="J7" s="36" t="str">
        <f>IF(AND(I7="P",H7=""),"No DD",IF(OR(AND(AS7&gt;=AW$26,AT7&gt;=AW$30,AS7&lt;&gt;"",AO7=""),AND(BV7&gt;=BZ$26,BW7&gt;=BZ$30,BV7&lt;&gt;"",BR7=""),AND(CY7&gt;=DC$26,CZ7&gt;=DC$30,CY7&lt;&gt;"",CU7=""),AND(EC7&gt;=EG$26,ED7&gt;=EG$30,EC7&lt;&gt;""),AND(FE7&gt;=FI$26,FF7&gt;=FI$30,FE7&lt;&gt;""),AND(GG7&gt;=GK$26,GH7&gt;=GK$30,GG7&lt;&gt;""),AND(HI7&gt;=HM$26,HJ7&gt;=HM$30,HI7&lt;&gt;""),AND(IK7&gt;=IO$26,IL7&gt;=IO$30,IK7&lt;&gt;""),AND(JM7&gt;=JQ$26,JN7&gt;=JQ$30,JM7&lt;&gt;""),AND(KO7&gt;=KS$26,KP7&gt;=KS$30,KO7&lt;&gt;""),AND(LQ7&gt;=LU$26,LR7&gt;=LU$30,LQ7&lt;&gt;""),AND(MS7&gt;=MW$26,MT7&gt;=MW$30,MS7&lt;&gt;""),AND(NU7&gt;=NY$26,NV7&gt;=NY$30,NU7&lt;&gt;""),AND(OW7&gt;=PA$26,OX7&gt;=PA$30,OW7&lt;&gt;""),AND(PY7&gt;=QC$26,PZ7&gt;=QC$30,PY7&lt;&gt;"")),"Merit",IF(OR(AND(AS7&gt;=AW$25,AT7&gt;=AW$29,AS7&lt;&gt;"",AO7=""),AND(BV7&gt;=BZ$25,BW7&gt;=BZ$29,BV7&lt;&gt;"",BR7=""),AND(CY7&gt;=DC$25,CZ7&gt;=DC$29,CY7&lt;&gt;"",CU7=""),AND(EC7&gt;=EG$25,ED7&gt;=EG$29,EC7&lt;&gt;""),AND(FE7&gt;=FI$25,FF7&gt;=FI$29,FE7&lt;&gt;""),AND(GG7&gt;=GK$25,GH7&gt;=GK$29,GG7&lt;&gt;""),AND(HI7&gt;=HM$25,HJ7&gt;=HM$29,HI7&lt;&gt;""),AND(IK7&gt;=IO$25,IL7&gt;=IO$29,IK7&lt;&gt;""),AND(JM7&gt;=JQ$25,JN7&gt;=JQ$29,JM7&lt;&gt;""),AND(KO7&gt;=KS$25,KP7&gt;=KS$29,KO7&lt;&gt;""),AND(LQ7&gt;=LU$25,LR7&gt;=LU$29,LQ7&lt;&gt;""),AND(MS7&gt;=MW$25,MT7&gt;=MW$29,MS7&lt;&gt;""),AND(NU7&gt;=NY$25,NV7&gt;=NY$29,NU7&lt;&gt;""),AND(OW7&gt;=PA$25,OX7&gt;=PA$29,OW7&lt;&gt;""),AND(PY7&gt;=QC$25,PZ7&gt;=QC$29,PY7&lt;&gt;"")),"Excellence",IF(K7="P","Worlds Team",IF(H7="P","National Team","")))))</f>
        <v>National Team</v>
      </c>
      <c r="K7" s="3" t="str">
        <f>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P","")</f>
        <v/>
      </c>
      <c r="L7" s="8">
        <f>IF(COUNT(AQ7,BT7,CW7)&gt;0,LARGE((AQ7,BT7,CW7),1),0)</f>
        <v>46.4</v>
      </c>
      <c r="M7" s="8" t="str">
        <f t="shared" si="1"/>
        <v>2025 Elite Canada</v>
      </c>
      <c r="N7" s="8">
        <f>IF(COUNT(AQ7,BT7,CW7)&gt;1,LARGE((AQ7,BT7,CW7),2),0)</f>
        <v>42.6</v>
      </c>
      <c r="O7" s="8" t="str">
        <f t="shared" si="2"/>
        <v>2025 Nationals</v>
      </c>
      <c r="P7" s="8">
        <f t="shared" si="3"/>
        <v>47</v>
      </c>
      <c r="Q7" s="8" t="str">
        <f t="shared" si="4"/>
        <v>2025 Elite Canada</v>
      </c>
      <c r="R7" s="8">
        <f t="shared" si="5"/>
        <v>1.2999999999999972</v>
      </c>
      <c r="S7" s="11" t="str">
        <f t="shared" si="6"/>
        <v>(Q1)</v>
      </c>
      <c r="T7" s="8" t="str">
        <f t="shared" si="7"/>
        <v>2024 Coimbra Gym Fest (July 7)</v>
      </c>
      <c r="U7" s="19">
        <v>16.8</v>
      </c>
      <c r="V7" s="19">
        <v>5</v>
      </c>
      <c r="W7" s="19">
        <v>0.5</v>
      </c>
      <c r="X7" s="19">
        <v>0</v>
      </c>
      <c r="Y7" s="19">
        <v>16.7</v>
      </c>
      <c r="Z7" s="19">
        <v>2.6</v>
      </c>
      <c r="AA7" s="19">
        <v>3</v>
      </c>
      <c r="AB7" s="19">
        <v>0</v>
      </c>
      <c r="AC7" s="19">
        <v>16.899999999999999</v>
      </c>
      <c r="AD7" s="19">
        <v>5.2</v>
      </c>
      <c r="AE7" s="19">
        <v>0</v>
      </c>
      <c r="AF7" s="19">
        <v>0</v>
      </c>
      <c r="AG7" s="19">
        <v>16.5</v>
      </c>
      <c r="AH7" s="19">
        <v>5.2</v>
      </c>
      <c r="AI7" s="19">
        <v>0</v>
      </c>
      <c r="AJ7" s="19">
        <v>0</v>
      </c>
      <c r="AK7" s="19">
        <v>17.100000000000001</v>
      </c>
      <c r="AL7" s="19">
        <v>5</v>
      </c>
      <c r="AM7" s="19">
        <v>0</v>
      </c>
      <c r="AN7" s="19">
        <v>0</v>
      </c>
      <c r="AO7" s="27"/>
      <c r="AP7" s="40">
        <f t="shared" si="8"/>
        <v>7.6</v>
      </c>
      <c r="AQ7" s="40">
        <f t="shared" si="9"/>
        <v>37.6</v>
      </c>
      <c r="AR7" s="40">
        <f t="shared" si="10"/>
        <v>22.099999999999998</v>
      </c>
      <c r="AS7" s="40">
        <f t="shared" si="11"/>
        <v>12.8</v>
      </c>
      <c r="AT7" s="40">
        <f t="shared" si="12"/>
        <v>59.7</v>
      </c>
      <c r="AU7" s="40">
        <f t="shared" si="13"/>
        <v>10.199999999999999</v>
      </c>
      <c r="AV7" s="40">
        <f t="shared" si="14"/>
        <v>43.8</v>
      </c>
      <c r="AW7" s="40">
        <f t="shared" si="15"/>
        <v>103.5</v>
      </c>
      <c r="AX7" s="18">
        <v>17.600000000000001</v>
      </c>
      <c r="AY7" s="18">
        <v>5.8</v>
      </c>
      <c r="AZ7" s="18">
        <v>0</v>
      </c>
      <c r="BA7" s="18">
        <v>0</v>
      </c>
      <c r="BB7" s="18">
        <v>17.100000000000001</v>
      </c>
      <c r="BC7" s="18">
        <v>5.9</v>
      </c>
      <c r="BD7" s="18">
        <v>0</v>
      </c>
      <c r="BE7" s="18">
        <v>0</v>
      </c>
      <c r="BF7" s="18"/>
      <c r="BG7" s="18"/>
      <c r="BH7" s="18"/>
      <c r="BI7" s="18"/>
      <c r="BJ7" s="18">
        <v>18.2</v>
      </c>
      <c r="BK7" s="18">
        <v>5.8</v>
      </c>
      <c r="BL7" s="18">
        <v>0</v>
      </c>
      <c r="BM7" s="18">
        <v>0</v>
      </c>
      <c r="BN7" s="18">
        <v>17.3</v>
      </c>
      <c r="BO7" s="18">
        <v>5.7</v>
      </c>
      <c r="BP7" s="18">
        <v>0</v>
      </c>
      <c r="BQ7" s="18">
        <v>0</v>
      </c>
      <c r="BR7" s="28"/>
      <c r="BS7" s="11">
        <f t="shared" si="16"/>
        <v>11.7</v>
      </c>
      <c r="BT7" s="11">
        <f t="shared" si="17"/>
        <v>46.4</v>
      </c>
      <c r="BU7" s="11" t="str">
        <f t="shared" si="18"/>
        <v/>
      </c>
      <c r="BV7" s="11">
        <f t="shared" si="19"/>
        <v>11.7</v>
      </c>
      <c r="BW7" s="11">
        <f t="shared" si="20"/>
        <v>46.4</v>
      </c>
      <c r="BX7" s="11">
        <f t="shared" si="21"/>
        <v>11.5</v>
      </c>
      <c r="BY7" s="11">
        <f t="shared" si="22"/>
        <v>47</v>
      </c>
      <c r="BZ7" s="11">
        <f t="shared" si="23"/>
        <v>93.4</v>
      </c>
      <c r="CA7" s="19">
        <v>14.4</v>
      </c>
      <c r="CB7" s="19">
        <v>6.1</v>
      </c>
      <c r="CC7" s="19">
        <v>0.2</v>
      </c>
      <c r="CD7" s="19">
        <v>0</v>
      </c>
      <c r="CE7" s="19">
        <v>17.2</v>
      </c>
      <c r="CF7" s="19">
        <v>5.2</v>
      </c>
      <c r="CG7" s="19">
        <v>0.1</v>
      </c>
      <c r="CH7" s="19">
        <v>0</v>
      </c>
      <c r="CI7" s="19"/>
      <c r="CJ7" s="19"/>
      <c r="CK7" s="19"/>
      <c r="CL7" s="19"/>
      <c r="CM7" s="19">
        <v>16.7</v>
      </c>
      <c r="CN7" s="19">
        <v>5.3</v>
      </c>
      <c r="CO7" s="19">
        <v>0.2</v>
      </c>
      <c r="CP7" s="19">
        <v>0</v>
      </c>
      <c r="CQ7" s="19">
        <v>17.7</v>
      </c>
      <c r="CR7" s="19">
        <v>3.2</v>
      </c>
      <c r="CS7" s="19">
        <v>1</v>
      </c>
      <c r="CT7" s="19">
        <v>0</v>
      </c>
      <c r="CU7" s="27"/>
      <c r="CV7" s="40">
        <f t="shared" si="24"/>
        <v>11.3</v>
      </c>
      <c r="CW7" s="40">
        <f t="shared" si="25"/>
        <v>42.6</v>
      </c>
      <c r="CX7" s="40" t="str">
        <f t="shared" si="26"/>
        <v/>
      </c>
      <c r="CY7" s="40">
        <f t="shared" si="27"/>
        <v>11.3</v>
      </c>
      <c r="CZ7" s="40">
        <f t="shared" si="28"/>
        <v>42.6</v>
      </c>
      <c r="DA7" s="40">
        <f t="shared" si="29"/>
        <v>8.5</v>
      </c>
      <c r="DB7" s="40">
        <f t="shared" si="30"/>
        <v>41.7</v>
      </c>
      <c r="DC7" s="40">
        <f t="shared" si="31"/>
        <v>84.300000000000011</v>
      </c>
      <c r="DD7" s="50">
        <f t="shared" si="32"/>
        <v>1.2999999999999972</v>
      </c>
      <c r="DE7" s="50" t="str">
        <f t="shared" si="33"/>
        <v/>
      </c>
      <c r="DF7" s="17">
        <v>16.899999999999999</v>
      </c>
      <c r="DG7" s="17">
        <v>5.2</v>
      </c>
      <c r="DH7" s="17">
        <v>0</v>
      </c>
      <c r="DI7" s="17">
        <v>0</v>
      </c>
      <c r="DJ7" s="17">
        <v>16.3</v>
      </c>
      <c r="DK7" s="17">
        <v>5.5</v>
      </c>
      <c r="DL7" s="17">
        <v>0</v>
      </c>
      <c r="DM7" s="17">
        <v>0</v>
      </c>
      <c r="DN7" s="17"/>
      <c r="DO7" s="17"/>
      <c r="DP7" s="17"/>
      <c r="DQ7" s="17"/>
      <c r="DR7" s="17">
        <v>17</v>
      </c>
      <c r="DS7" s="17">
        <v>5.3</v>
      </c>
      <c r="DT7" s="17">
        <v>0</v>
      </c>
      <c r="DU7" s="17">
        <v>0</v>
      </c>
      <c r="DV7" s="17"/>
      <c r="DW7" s="17"/>
      <c r="DX7" s="17"/>
      <c r="DY7" s="17"/>
      <c r="DZ7" s="40">
        <f t="shared" si="34"/>
        <v>10.7</v>
      </c>
      <c r="EA7" s="40">
        <f t="shared" si="35"/>
        <v>43.9</v>
      </c>
      <c r="EB7" s="40" t="str">
        <f t="shared" si="36"/>
        <v/>
      </c>
      <c r="EC7" s="40">
        <f t="shared" si="37"/>
        <v>10.7</v>
      </c>
      <c r="ED7" s="40">
        <f t="shared" si="38"/>
        <v>43.9</v>
      </c>
      <c r="EE7" s="40">
        <f t="shared" si="39"/>
        <v>5.3</v>
      </c>
      <c r="EF7" s="40">
        <f t="shared" si="40"/>
        <v>22.3</v>
      </c>
      <c r="EG7" s="40">
        <f t="shared" si="41"/>
        <v>66.2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2"/>
        <v/>
      </c>
      <c r="FC7" s="11" t="str">
        <f t="shared" si="43"/>
        <v/>
      </c>
      <c r="FD7" s="11" t="str">
        <f t="shared" si="44"/>
        <v/>
      </c>
      <c r="FE7" s="11" t="str">
        <f t="shared" si="45"/>
        <v/>
      </c>
      <c r="FF7" s="11" t="str">
        <f t="shared" si="46"/>
        <v/>
      </c>
      <c r="FG7" s="11" t="str">
        <f t="shared" si="47"/>
        <v/>
      </c>
      <c r="FH7" s="11" t="str">
        <f t="shared" si="48"/>
        <v/>
      </c>
      <c r="FI7" s="11" t="str">
        <f t="shared" si="49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0"/>
        <v/>
      </c>
      <c r="GE7" s="40" t="str">
        <f t="shared" si="51"/>
        <v/>
      </c>
      <c r="GF7" s="40" t="str">
        <f t="shared" si="52"/>
        <v/>
      </c>
      <c r="GG7" s="40" t="str">
        <f t="shared" si="53"/>
        <v/>
      </c>
      <c r="GH7" s="40" t="str">
        <f t="shared" si="54"/>
        <v/>
      </c>
      <c r="GI7" s="40" t="str">
        <f t="shared" si="55"/>
        <v/>
      </c>
      <c r="GJ7" s="40" t="str">
        <f t="shared" si="56"/>
        <v/>
      </c>
      <c r="GK7" s="40" t="str">
        <f t="shared" si="57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58"/>
        <v/>
      </c>
      <c r="HG7" s="11" t="str">
        <f t="shared" si="59"/>
        <v/>
      </c>
      <c r="HH7" s="11" t="str">
        <f t="shared" si="60"/>
        <v/>
      </c>
      <c r="HI7" s="11" t="str">
        <f t="shared" si="61"/>
        <v/>
      </c>
      <c r="HJ7" s="11" t="str">
        <f t="shared" si="62"/>
        <v/>
      </c>
      <c r="HK7" s="11" t="str">
        <f t="shared" si="63"/>
        <v/>
      </c>
      <c r="HL7" s="11" t="str">
        <f t="shared" si="64"/>
        <v/>
      </c>
      <c r="HM7" s="11" t="str">
        <f t="shared" si="65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6"/>
        <v/>
      </c>
      <c r="II7" s="40" t="str">
        <f t="shared" si="67"/>
        <v/>
      </c>
      <c r="IJ7" s="40" t="str">
        <f t="shared" si="68"/>
        <v/>
      </c>
      <c r="IK7" s="40" t="str">
        <f t="shared" si="69"/>
        <v/>
      </c>
      <c r="IL7" s="40" t="str">
        <f t="shared" si="70"/>
        <v/>
      </c>
      <c r="IM7" s="40" t="str">
        <f t="shared" si="71"/>
        <v/>
      </c>
      <c r="IN7" s="40" t="str">
        <f t="shared" si="72"/>
        <v/>
      </c>
      <c r="IO7" s="40" t="str">
        <f t="shared" si="73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4"/>
        <v/>
      </c>
      <c r="JK7" s="11" t="str">
        <f t="shared" si="75"/>
        <v/>
      </c>
      <c r="JL7" s="11" t="str">
        <f t="shared" si="76"/>
        <v/>
      </c>
      <c r="JM7" s="11" t="str">
        <f t="shared" si="77"/>
        <v/>
      </c>
      <c r="JN7" s="11" t="str">
        <f t="shared" si="78"/>
        <v/>
      </c>
      <c r="JO7" s="11" t="str">
        <f t="shared" si="79"/>
        <v/>
      </c>
      <c r="JP7" s="11" t="str">
        <f t="shared" si="80"/>
        <v/>
      </c>
      <c r="JQ7" s="11" t="str">
        <f t="shared" si="81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2"/>
        <v/>
      </c>
      <c r="KM7" s="40" t="str">
        <f t="shared" si="83"/>
        <v/>
      </c>
      <c r="KN7" s="40" t="str">
        <f t="shared" si="84"/>
        <v/>
      </c>
      <c r="KO7" s="40" t="str">
        <f t="shared" si="85"/>
        <v/>
      </c>
      <c r="KP7" s="40" t="str">
        <f t="shared" si="86"/>
        <v/>
      </c>
      <c r="KQ7" s="40" t="str">
        <f t="shared" si="87"/>
        <v/>
      </c>
      <c r="KR7" s="40" t="str">
        <f t="shared" si="88"/>
        <v/>
      </c>
      <c r="KS7" s="40" t="str">
        <f t="shared" si="89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0"/>
        <v/>
      </c>
      <c r="LO7" s="11" t="str">
        <f t="shared" si="91"/>
        <v/>
      </c>
      <c r="LP7" s="11" t="str">
        <f t="shared" si="92"/>
        <v/>
      </c>
      <c r="LQ7" s="11" t="str">
        <f t="shared" si="93"/>
        <v/>
      </c>
      <c r="LR7" s="11" t="str">
        <f t="shared" si="94"/>
        <v/>
      </c>
      <c r="LS7" s="11" t="str">
        <f t="shared" si="95"/>
        <v/>
      </c>
      <c r="LT7" s="11" t="str">
        <f t="shared" si="96"/>
        <v/>
      </c>
      <c r="LU7" s="11" t="str">
        <f t="shared" si="97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98"/>
        <v/>
      </c>
      <c r="MQ7" s="40" t="str">
        <f t="shared" si="99"/>
        <v/>
      </c>
      <c r="MR7" s="40" t="str">
        <f t="shared" si="100"/>
        <v/>
      </c>
      <c r="MS7" s="40" t="str">
        <f t="shared" si="101"/>
        <v/>
      </c>
      <c r="MT7" s="40" t="str">
        <f t="shared" si="102"/>
        <v/>
      </c>
      <c r="MU7" s="40" t="str">
        <f t="shared" si="103"/>
        <v/>
      </c>
      <c r="MV7" s="40" t="str">
        <f t="shared" si="104"/>
        <v/>
      </c>
      <c r="MW7" s="40" t="str">
        <f t="shared" si="105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6"/>
        <v/>
      </c>
      <c r="NS7" s="11" t="str">
        <f t="shared" si="107"/>
        <v/>
      </c>
      <c r="NT7" s="11" t="str">
        <f t="shared" si="108"/>
        <v/>
      </c>
      <c r="NU7" s="11" t="str">
        <f t="shared" si="109"/>
        <v/>
      </c>
      <c r="NV7" s="11" t="str">
        <f t="shared" si="110"/>
        <v/>
      </c>
      <c r="NW7" s="11" t="str">
        <f t="shared" si="111"/>
        <v/>
      </c>
      <c r="NX7" s="11" t="str">
        <f t="shared" si="112"/>
        <v/>
      </c>
      <c r="NY7" s="11" t="str">
        <f t="shared" si="113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4"/>
        <v/>
      </c>
      <c r="OU7" s="40" t="str">
        <f t="shared" si="115"/>
        <v/>
      </c>
      <c r="OV7" s="40" t="str">
        <f t="shared" si="116"/>
        <v/>
      </c>
      <c r="OW7" s="40" t="str">
        <f t="shared" si="117"/>
        <v/>
      </c>
      <c r="OX7" s="40" t="str">
        <f t="shared" si="118"/>
        <v/>
      </c>
      <c r="OY7" s="40" t="str">
        <f t="shared" si="119"/>
        <v/>
      </c>
      <c r="OZ7" s="40" t="str">
        <f t="shared" si="120"/>
        <v/>
      </c>
      <c r="PA7" s="40" t="str">
        <f t="shared" si="121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2"/>
        <v/>
      </c>
      <c r="PW7" s="11" t="str">
        <f t="shared" si="123"/>
        <v/>
      </c>
      <c r="PX7" s="11" t="str">
        <f t="shared" si="124"/>
        <v/>
      </c>
      <c r="PY7" s="11" t="str">
        <f t="shared" si="125"/>
        <v/>
      </c>
      <c r="PZ7" s="11" t="str">
        <f t="shared" si="126"/>
        <v/>
      </c>
      <c r="QA7" s="11" t="str">
        <f t="shared" si="127"/>
        <v/>
      </c>
      <c r="QB7" s="11" t="str">
        <f t="shared" si="128"/>
        <v/>
      </c>
      <c r="QC7" s="11" t="str">
        <f t="shared" si="129"/>
        <v/>
      </c>
      <c r="QD7" s="22">
        <f t="shared" si="130"/>
        <v>16</v>
      </c>
      <c r="QE7" s="22">
        <f t="shared" si="131"/>
        <v>5.9499999999999993</v>
      </c>
      <c r="QF7" s="22">
        <f t="shared" si="132"/>
        <v>0.1</v>
      </c>
      <c r="QG7" s="22">
        <f t="shared" si="133"/>
        <v>0</v>
      </c>
      <c r="QH7" s="22">
        <f t="shared" si="134"/>
        <v>17.149999999999999</v>
      </c>
      <c r="QI7" s="22">
        <f t="shared" si="135"/>
        <v>5.5500000000000007</v>
      </c>
      <c r="QJ7" s="22">
        <f t="shared" si="136"/>
        <v>0.05</v>
      </c>
      <c r="QK7" s="22">
        <f t="shared" si="137"/>
        <v>0</v>
      </c>
      <c r="QL7" s="22">
        <f t="shared" si="138"/>
        <v>0</v>
      </c>
      <c r="QM7" s="22">
        <f t="shared" si="139"/>
        <v>0</v>
      </c>
      <c r="QN7" s="22">
        <f t="shared" si="140"/>
        <v>0</v>
      </c>
      <c r="QO7" s="22">
        <f t="shared" si="141"/>
        <v>0</v>
      </c>
      <c r="QP7" s="22">
        <f t="shared" si="142"/>
        <v>17.45</v>
      </c>
      <c r="QQ7" s="22">
        <f t="shared" si="143"/>
        <v>5.55</v>
      </c>
      <c r="QR7" s="22">
        <f t="shared" si="144"/>
        <v>0.1</v>
      </c>
      <c r="QS7" s="22">
        <f t="shared" si="145"/>
        <v>0</v>
      </c>
      <c r="QT7" s="22">
        <f t="shared" si="146"/>
        <v>17.5</v>
      </c>
      <c r="QU7" s="22">
        <f t="shared" si="147"/>
        <v>4.45</v>
      </c>
      <c r="QV7" s="22">
        <f t="shared" si="148"/>
        <v>0.5</v>
      </c>
      <c r="QW7" s="22">
        <f t="shared" si="149"/>
        <v>0</v>
      </c>
      <c r="QX7" s="27" t="s">
        <v>46</v>
      </c>
      <c r="QY7" s="40">
        <f t="shared" si="150"/>
        <v>11.5</v>
      </c>
      <c r="QZ7" s="40">
        <f t="shared" si="151"/>
        <v>44.499999999999993</v>
      </c>
      <c r="RA7" s="40" t="str">
        <f t="shared" si="152"/>
        <v/>
      </c>
      <c r="RB7" s="40">
        <f t="shared" si="153"/>
        <v>11.5</v>
      </c>
      <c r="RC7" s="40">
        <f t="shared" si="154"/>
        <v>44.499999999999993</v>
      </c>
      <c r="RD7" s="40">
        <f t="shared" si="155"/>
        <v>10</v>
      </c>
      <c r="RE7" s="40">
        <f t="shared" si="156"/>
        <v>44.35</v>
      </c>
      <c r="RF7" s="40">
        <f t="shared" si="157"/>
        <v>88.85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175</v>
      </c>
      <c r="D8" s="4" t="s">
        <v>4</v>
      </c>
      <c r="E8" s="4">
        <v>2008</v>
      </c>
      <c r="F8" s="9">
        <f t="shared" si="0"/>
        <v>134.00000865000445</v>
      </c>
      <c r="G8" s="64"/>
      <c r="H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DZ8&gt;=EG$23,EA8&gt;=EG$27,DZ8&lt;&gt;""),AND(EE8&gt;=EG$23,EF8&gt;=EG$27,EE8&lt;&gt;""),AND(FB8&gt;=FI$23,FC8&gt;=FI$27,FB8&lt;&gt;""),AND(FG8&gt;=FI$23,FH8&gt;=FI$27,FG8&lt;&gt;""),AND(GD8&gt;=GK$23,GE8&gt;=GK$27,GD8&lt;&gt;""),AND(GI8&gt;=GK$23,GJ8&gt;=GK$27,GI8&lt;&gt;""),AND(HF8&gt;=HM$23,HG8&gt;=HM$27,HF8&lt;&gt;""),AND(HK8&gt;=HM$23,HL8&gt;=HM$27,HK8&lt;&gt;""),AND(IH8&gt;=IO$23,II8&gt;=IO$27,IH8&lt;&gt;""),AND(IM8&gt;=IO$23,IN8&gt;=IO$27,IM8&lt;&gt;""),AND(JJ8&gt;=JQ$23,JK8&gt;=JQ$27,JJ8&lt;&gt;""),AND(JO8&gt;=JQ$23,JP8&gt;=JQ$27,JO8&lt;&gt;""),AND(KL8&gt;=KS$23,KM8&gt;=KS$27,KL8&lt;&gt;""),AND(KQ8&gt;=KS$23,KR8&gt;=KS$27,KQ8&lt;&gt;""),AND(LN8&gt;=LU$23,LO8&gt;=LU$27,LN8&lt;&gt;""),AND(LS8&gt;=LU$23,LT8&gt;=LU$27,LS8&lt;&gt;""),AND(MP8&gt;=MW$23,MQ8&gt;=MW$27,MP8&lt;&gt;""),AND(MU8&gt;=MW$23,MV8&gt;=MW$27,MU8&lt;&gt;""),AND(NR8&gt;=NY$23,NS8&gt;=NY$27,NR8&lt;&gt;""),AND(NW8&gt;=NY$23,NX8&gt;=NY$27,NW8&lt;&gt;""),AND(OT8&gt;=PA$23,OU8&gt;=PA$27,OT8&lt;&gt;""),AND(OY8&gt;=PA$23,OZ8&gt;=PA$27,OY8&lt;&gt;""),AND(PV8&gt;=QC$23,PW8&gt;=QC$27,PV8&lt;&gt;""),AND(QA8&gt;=QC$23,QB8&gt;=QC$27,QA8&lt;&gt;"")),"P","")</f>
        <v>P</v>
      </c>
      <c r="I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A8&gt;=EG$27,EA8&lt;&gt;""),AND(EF8&gt;=EG$27,EF8&lt;&gt;""),AND(FC8&gt;=FI$27,FC8&lt;&gt;""),AND(FH8&gt;=FI$27,FH8&lt;&gt;""),AND(GE8&gt;=GK$27,GE8&lt;&gt;""),AND(GJ8&gt;=GK$27,GJ8&lt;&gt;""),AND(HG8&gt;=HM$27,HG8&lt;&gt;""),AND(HL8&gt;=HM$27,HL8&lt;&gt;""),AND(II8&gt;=IO$27,II8&lt;&gt;""),AND(IN8&gt;=IO$27,IN8&lt;&gt;""),AND(JK8&gt;=JQ$27,JK8&lt;&gt;""),AND(JP8&gt;=JQ$27,JP8&lt;&gt;""),AND(KM8&gt;=KS$27,KM8&lt;&gt;""),AND(KR8&gt;=KS$27,KR8&lt;&gt;""),AND(LO8&gt;=LU$27,LO8&lt;&gt;""),AND(LT8&gt;=LU$27,LT8&lt;&gt;""),AND(MQ8&gt;=MW$27,MQ8&lt;&gt;""),AND(MV8&gt;=MW$27,MV8&lt;&gt;""),AND(NS8&gt;=NY$27,NS8&lt;&gt;""),AND(NX8&gt;=NY$27,NX8&lt;&gt;""),AND(OU8&gt;=PA$27,OU8&lt;&gt;""),AND(OZ8&gt;=PA$27,OZ8&lt;&gt;""),AND(PW8&gt;=QC$27,PW8&lt;&gt;""),AND(QB8&gt;=QC$27,QB8&lt;&gt;"")),"P","")</f>
        <v>P</v>
      </c>
      <c r="J8" s="36" t="str">
        <f>IF(AND(I8="P",H8=""),"No DD",IF(OR(AND(AS8&gt;=AW$26,AT8&gt;=AW$30,AS8&lt;&gt;"",AO8=""),AND(BV8&gt;=BZ$26,BW8&gt;=BZ$30,BV8&lt;&gt;"",BR8=""),AND(CY8&gt;=DC$26,CZ8&gt;=DC$30,CY8&lt;&gt;"",CU8=""),AND(EC8&gt;=EG$26,ED8&gt;=EG$30,EC8&lt;&gt;""),AND(FE8&gt;=FI$26,FF8&gt;=FI$30,FE8&lt;&gt;""),AND(GG8&gt;=GK$26,GH8&gt;=GK$30,GG8&lt;&gt;""),AND(HI8&gt;=HM$26,HJ8&gt;=HM$30,HI8&lt;&gt;""),AND(IK8&gt;=IO$26,IL8&gt;=IO$30,IK8&lt;&gt;""),AND(JM8&gt;=JQ$26,JN8&gt;=JQ$30,JM8&lt;&gt;""),AND(KO8&gt;=KS$26,KP8&gt;=KS$30,KO8&lt;&gt;""),AND(LQ8&gt;=LU$26,LR8&gt;=LU$30,LQ8&lt;&gt;""),AND(MS8&gt;=MW$26,MT8&gt;=MW$30,MS8&lt;&gt;""),AND(NU8&gt;=NY$26,NV8&gt;=NY$30,NU8&lt;&gt;""),AND(OW8&gt;=PA$26,OX8&gt;=PA$30,OW8&lt;&gt;""),AND(PY8&gt;=QC$26,PZ8&gt;=QC$30,PY8&lt;&gt;"")),"Merit",IF(OR(AND(AS8&gt;=AW$25,AT8&gt;=AW$29,AS8&lt;&gt;"",AO8=""),AND(BV8&gt;=BZ$25,BW8&gt;=BZ$29,BV8&lt;&gt;"",BR8=""),AND(CY8&gt;=DC$25,CZ8&gt;=DC$29,CY8&lt;&gt;"",CU8=""),AND(EC8&gt;=EG$25,ED8&gt;=EG$29,EC8&lt;&gt;""),AND(FE8&gt;=FI$25,FF8&gt;=FI$29,FE8&lt;&gt;""),AND(GG8&gt;=GK$25,GH8&gt;=GK$29,GG8&lt;&gt;""),AND(HI8&gt;=HM$25,HJ8&gt;=HM$29,HI8&lt;&gt;""),AND(IK8&gt;=IO$25,IL8&gt;=IO$29,IK8&lt;&gt;""),AND(JM8&gt;=JQ$25,JN8&gt;=JQ$29,JM8&lt;&gt;""),AND(KO8&gt;=KS$25,KP8&gt;=KS$29,KO8&lt;&gt;""),AND(LQ8&gt;=LU$25,LR8&gt;=LU$29,LQ8&lt;&gt;""),AND(MS8&gt;=MW$25,MT8&gt;=MW$29,MS8&lt;&gt;""),AND(NU8&gt;=NY$25,NV8&gt;=NY$29,NU8&lt;&gt;""),AND(OW8&gt;=PA$25,OX8&gt;=PA$29,OW8&lt;&gt;""),AND(PY8&gt;=QC$25,PZ8&gt;=QC$29,PY8&lt;&gt;"")),"Excellence",IF(K8="P","Worlds Team",IF(H8="P","National Team","")))))</f>
        <v>National Team</v>
      </c>
      <c r="K8" s="3" t="str">
        <f>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P","")</f>
        <v/>
      </c>
      <c r="L8" s="8">
        <f>IF(COUNT(AQ8,BT8,CW8)&gt;0,LARGE((AQ8,BT8,CW8),1),0)</f>
        <v>44.3</v>
      </c>
      <c r="M8" s="8" t="str">
        <f t="shared" si="1"/>
        <v>2025 Nationals</v>
      </c>
      <c r="N8" s="8">
        <f>IF(COUNT(AQ8,BT8,CW8)&gt;1,LARGE((AQ8,BT8,CW8),2),0)</f>
        <v>42.199999999999996</v>
      </c>
      <c r="O8" s="8" t="str">
        <f t="shared" si="2"/>
        <v>2025 Elite Canada</v>
      </c>
      <c r="P8" s="8">
        <f t="shared" si="3"/>
        <v>45</v>
      </c>
      <c r="Q8" s="8" t="str">
        <f t="shared" si="4"/>
        <v>2025 Nationals</v>
      </c>
      <c r="R8" s="8">
        <f t="shared" si="5"/>
        <v>2.5000000000000071</v>
      </c>
      <c r="S8" s="11" t="str">
        <f t="shared" si="6"/>
        <v>(Q1)</v>
      </c>
      <c r="T8" s="8" t="str">
        <f t="shared" si="7"/>
        <v>2024 Coimbra Gym Fest (July 7)</v>
      </c>
      <c r="U8" s="19">
        <v>15</v>
      </c>
      <c r="V8" s="19">
        <v>7.2</v>
      </c>
      <c r="W8" s="19">
        <v>2</v>
      </c>
      <c r="X8" s="19">
        <v>0.6</v>
      </c>
      <c r="Y8" s="19">
        <v>13.5</v>
      </c>
      <c r="Z8" s="19">
        <v>6.8</v>
      </c>
      <c r="AA8" s="19">
        <v>0.2</v>
      </c>
      <c r="AB8" s="19">
        <v>0.6</v>
      </c>
      <c r="AC8" s="19">
        <v>15.1</v>
      </c>
      <c r="AD8" s="19">
        <v>8.1999999999999993</v>
      </c>
      <c r="AE8" s="19">
        <v>0</v>
      </c>
      <c r="AF8" s="19">
        <v>0.6</v>
      </c>
      <c r="AG8" s="19">
        <v>15.4</v>
      </c>
      <c r="AH8" s="19">
        <v>7.5</v>
      </c>
      <c r="AI8" s="19">
        <v>0.4</v>
      </c>
      <c r="AJ8" s="19">
        <v>0.6</v>
      </c>
      <c r="AK8" s="19">
        <v>13.8</v>
      </c>
      <c r="AL8" s="19">
        <v>7</v>
      </c>
      <c r="AM8" s="19">
        <v>0</v>
      </c>
      <c r="AN8" s="19">
        <v>0.6</v>
      </c>
      <c r="AO8" s="27"/>
      <c r="AP8" s="40">
        <f t="shared" si="8"/>
        <v>14</v>
      </c>
      <c r="AQ8" s="40">
        <f t="shared" si="9"/>
        <v>41.499999999999993</v>
      </c>
      <c r="AR8" s="40">
        <f t="shared" si="10"/>
        <v>23.9</v>
      </c>
      <c r="AS8" s="40">
        <f t="shared" si="11"/>
        <v>22.2</v>
      </c>
      <c r="AT8" s="40">
        <f t="shared" si="12"/>
        <v>65.399999999999991</v>
      </c>
      <c r="AU8" s="40">
        <f t="shared" si="13"/>
        <v>14.5</v>
      </c>
      <c r="AV8" s="40">
        <f t="shared" si="14"/>
        <v>44.5</v>
      </c>
      <c r="AW8" s="40">
        <f t="shared" si="15"/>
        <v>109.89999999999999</v>
      </c>
      <c r="AX8" s="18">
        <v>15.3</v>
      </c>
      <c r="AY8" s="18">
        <v>6.6</v>
      </c>
      <c r="AZ8" s="18">
        <v>0.2</v>
      </c>
      <c r="BA8" s="18">
        <v>0</v>
      </c>
      <c r="BB8" s="18">
        <v>15.1</v>
      </c>
      <c r="BC8" s="18">
        <v>5.4</v>
      </c>
      <c r="BD8" s="18">
        <v>0</v>
      </c>
      <c r="BE8" s="18">
        <v>0</v>
      </c>
      <c r="BF8" s="18"/>
      <c r="BG8" s="18"/>
      <c r="BH8" s="18"/>
      <c r="BI8" s="18"/>
      <c r="BJ8" s="18">
        <v>16.3</v>
      </c>
      <c r="BK8" s="18">
        <v>5.7</v>
      </c>
      <c r="BL8" s="18">
        <v>0</v>
      </c>
      <c r="BM8" s="18">
        <v>0</v>
      </c>
      <c r="BN8" s="18">
        <v>15.4</v>
      </c>
      <c r="BO8" s="18">
        <v>4</v>
      </c>
      <c r="BP8" s="18">
        <v>0</v>
      </c>
      <c r="BQ8" s="18">
        <v>0</v>
      </c>
      <c r="BR8" s="28"/>
      <c r="BS8" s="11">
        <f t="shared" si="16"/>
        <v>12</v>
      </c>
      <c r="BT8" s="11">
        <f t="shared" si="17"/>
        <v>42.199999999999996</v>
      </c>
      <c r="BU8" s="11" t="str">
        <f t="shared" si="18"/>
        <v/>
      </c>
      <c r="BV8" s="11">
        <f t="shared" si="19"/>
        <v>12</v>
      </c>
      <c r="BW8" s="11">
        <f t="shared" si="20"/>
        <v>42.199999999999996</v>
      </c>
      <c r="BX8" s="11">
        <f t="shared" si="21"/>
        <v>9.6999999999999993</v>
      </c>
      <c r="BY8" s="11">
        <f t="shared" si="22"/>
        <v>41.4</v>
      </c>
      <c r="BZ8" s="11">
        <f t="shared" si="23"/>
        <v>83.6</v>
      </c>
      <c r="CA8" s="19">
        <v>16.399999999999999</v>
      </c>
      <c r="CB8" s="19">
        <v>5.7</v>
      </c>
      <c r="CC8" s="19">
        <v>0</v>
      </c>
      <c r="CD8" s="19">
        <v>0</v>
      </c>
      <c r="CE8" s="19">
        <v>15.6</v>
      </c>
      <c r="CF8" s="19">
        <v>6.6</v>
      </c>
      <c r="CG8" s="19">
        <v>0</v>
      </c>
      <c r="CH8" s="19">
        <v>0</v>
      </c>
      <c r="CI8" s="19"/>
      <c r="CJ8" s="19"/>
      <c r="CK8" s="19"/>
      <c r="CL8" s="19"/>
      <c r="CM8" s="19">
        <v>16.5</v>
      </c>
      <c r="CN8" s="19">
        <v>5.7</v>
      </c>
      <c r="CO8" s="19">
        <v>0</v>
      </c>
      <c r="CP8" s="19">
        <v>0</v>
      </c>
      <c r="CQ8" s="19">
        <v>16</v>
      </c>
      <c r="CR8" s="19">
        <v>6.8</v>
      </c>
      <c r="CS8" s="19">
        <v>0</v>
      </c>
      <c r="CT8" s="19">
        <v>0</v>
      </c>
      <c r="CU8" s="27"/>
      <c r="CV8" s="40">
        <f t="shared" si="24"/>
        <v>12.3</v>
      </c>
      <c r="CW8" s="40">
        <f t="shared" si="25"/>
        <v>44.3</v>
      </c>
      <c r="CX8" s="40" t="str">
        <f t="shared" si="26"/>
        <v/>
      </c>
      <c r="CY8" s="40">
        <f t="shared" si="27"/>
        <v>12.3</v>
      </c>
      <c r="CZ8" s="40">
        <f t="shared" si="28"/>
        <v>44.3</v>
      </c>
      <c r="DA8" s="40">
        <f t="shared" si="29"/>
        <v>12.5</v>
      </c>
      <c r="DB8" s="40">
        <f t="shared" si="30"/>
        <v>45</v>
      </c>
      <c r="DC8" s="40">
        <f t="shared" si="31"/>
        <v>89.3</v>
      </c>
      <c r="DD8" s="50">
        <f t="shared" si="32"/>
        <v>2.5000000000000071</v>
      </c>
      <c r="DE8" s="50">
        <f t="shared" si="33"/>
        <v>0.20000000000000284</v>
      </c>
      <c r="DF8" s="17">
        <v>15.1</v>
      </c>
      <c r="DG8" s="17">
        <v>7.5</v>
      </c>
      <c r="DH8" s="17">
        <v>0</v>
      </c>
      <c r="DI8" s="17">
        <v>0</v>
      </c>
      <c r="DJ8" s="17">
        <v>15.3</v>
      </c>
      <c r="DK8" s="17">
        <v>6.8</v>
      </c>
      <c r="DL8" s="17">
        <v>0</v>
      </c>
      <c r="DM8" s="17">
        <v>0</v>
      </c>
      <c r="DN8" s="17"/>
      <c r="DO8" s="17"/>
      <c r="DP8" s="17"/>
      <c r="DQ8" s="17"/>
      <c r="DR8" s="17">
        <v>15.4</v>
      </c>
      <c r="DS8" s="17">
        <v>6.8</v>
      </c>
      <c r="DT8" s="17">
        <v>0</v>
      </c>
      <c r="DU8" s="17">
        <v>0</v>
      </c>
      <c r="DV8" s="17">
        <v>15.5</v>
      </c>
      <c r="DW8" s="17">
        <v>7.5</v>
      </c>
      <c r="DX8" s="17">
        <v>0</v>
      </c>
      <c r="DY8" s="17">
        <v>0</v>
      </c>
      <c r="DZ8" s="40">
        <f t="shared" si="34"/>
        <v>14.3</v>
      </c>
      <c r="EA8" s="40">
        <f t="shared" si="35"/>
        <v>44.7</v>
      </c>
      <c r="EB8" s="40" t="str">
        <f t="shared" si="36"/>
        <v/>
      </c>
      <c r="EC8" s="40">
        <f t="shared" si="37"/>
        <v>14.3</v>
      </c>
      <c r="ED8" s="40">
        <f t="shared" si="38"/>
        <v>44.7</v>
      </c>
      <c r="EE8" s="40">
        <f t="shared" si="39"/>
        <v>14.3</v>
      </c>
      <c r="EF8" s="40">
        <f t="shared" si="40"/>
        <v>45.2</v>
      </c>
      <c r="EG8" s="40">
        <f t="shared" si="41"/>
        <v>89.9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2"/>
        <v/>
      </c>
      <c r="FC8" s="11" t="str">
        <f t="shared" si="43"/>
        <v/>
      </c>
      <c r="FD8" s="11" t="str">
        <f t="shared" si="44"/>
        <v/>
      </c>
      <c r="FE8" s="11" t="str">
        <f t="shared" si="45"/>
        <v/>
      </c>
      <c r="FF8" s="11" t="str">
        <f t="shared" si="46"/>
        <v/>
      </c>
      <c r="FG8" s="11" t="str">
        <f t="shared" si="47"/>
        <v/>
      </c>
      <c r="FH8" s="11" t="str">
        <f t="shared" si="48"/>
        <v/>
      </c>
      <c r="FI8" s="11" t="str">
        <f t="shared" si="49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0"/>
        <v/>
      </c>
      <c r="GE8" s="40" t="str">
        <f t="shared" si="51"/>
        <v/>
      </c>
      <c r="GF8" s="40" t="str">
        <f t="shared" si="52"/>
        <v/>
      </c>
      <c r="GG8" s="40" t="str">
        <f t="shared" si="53"/>
        <v/>
      </c>
      <c r="GH8" s="40" t="str">
        <f t="shared" si="54"/>
        <v/>
      </c>
      <c r="GI8" s="40" t="str">
        <f t="shared" si="55"/>
        <v/>
      </c>
      <c r="GJ8" s="40" t="str">
        <f t="shared" si="56"/>
        <v/>
      </c>
      <c r="GK8" s="40" t="str">
        <f t="shared" si="57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58"/>
        <v/>
      </c>
      <c r="HG8" s="11" t="str">
        <f t="shared" si="59"/>
        <v/>
      </c>
      <c r="HH8" s="11" t="str">
        <f t="shared" si="60"/>
        <v/>
      </c>
      <c r="HI8" s="11" t="str">
        <f t="shared" si="61"/>
        <v/>
      </c>
      <c r="HJ8" s="11" t="str">
        <f t="shared" si="62"/>
        <v/>
      </c>
      <c r="HK8" s="11" t="str">
        <f t="shared" si="63"/>
        <v/>
      </c>
      <c r="HL8" s="11" t="str">
        <f t="shared" si="64"/>
        <v/>
      </c>
      <c r="HM8" s="11" t="str">
        <f t="shared" si="65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6"/>
        <v/>
      </c>
      <c r="II8" s="40" t="str">
        <f t="shared" si="67"/>
        <v/>
      </c>
      <c r="IJ8" s="40" t="str">
        <f t="shared" si="68"/>
        <v/>
      </c>
      <c r="IK8" s="40" t="str">
        <f t="shared" si="69"/>
        <v/>
      </c>
      <c r="IL8" s="40" t="str">
        <f t="shared" si="70"/>
        <v/>
      </c>
      <c r="IM8" s="40" t="str">
        <f t="shared" si="71"/>
        <v/>
      </c>
      <c r="IN8" s="40" t="str">
        <f t="shared" si="72"/>
        <v/>
      </c>
      <c r="IO8" s="40" t="str">
        <f t="shared" si="73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4"/>
        <v/>
      </c>
      <c r="JK8" s="11" t="str">
        <f t="shared" si="75"/>
        <v/>
      </c>
      <c r="JL8" s="11" t="str">
        <f t="shared" si="76"/>
        <v/>
      </c>
      <c r="JM8" s="11" t="str">
        <f t="shared" si="77"/>
        <v/>
      </c>
      <c r="JN8" s="11" t="str">
        <f t="shared" si="78"/>
        <v/>
      </c>
      <c r="JO8" s="11" t="str">
        <f t="shared" si="79"/>
        <v/>
      </c>
      <c r="JP8" s="11" t="str">
        <f t="shared" si="80"/>
        <v/>
      </c>
      <c r="JQ8" s="11" t="str">
        <f t="shared" si="81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2"/>
        <v/>
      </c>
      <c r="KM8" s="40" t="str">
        <f t="shared" si="83"/>
        <v/>
      </c>
      <c r="KN8" s="40" t="str">
        <f t="shared" si="84"/>
        <v/>
      </c>
      <c r="KO8" s="40" t="str">
        <f t="shared" si="85"/>
        <v/>
      </c>
      <c r="KP8" s="40" t="str">
        <f t="shared" si="86"/>
        <v/>
      </c>
      <c r="KQ8" s="40" t="str">
        <f t="shared" si="87"/>
        <v/>
      </c>
      <c r="KR8" s="40" t="str">
        <f t="shared" si="88"/>
        <v/>
      </c>
      <c r="KS8" s="40" t="str">
        <f t="shared" si="89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0"/>
        <v/>
      </c>
      <c r="LO8" s="11" t="str">
        <f t="shared" si="91"/>
        <v/>
      </c>
      <c r="LP8" s="11" t="str">
        <f t="shared" si="92"/>
        <v/>
      </c>
      <c r="LQ8" s="11" t="str">
        <f t="shared" si="93"/>
        <v/>
      </c>
      <c r="LR8" s="11" t="str">
        <f t="shared" si="94"/>
        <v/>
      </c>
      <c r="LS8" s="11" t="str">
        <f t="shared" si="95"/>
        <v/>
      </c>
      <c r="LT8" s="11" t="str">
        <f t="shared" si="96"/>
        <v/>
      </c>
      <c r="LU8" s="11" t="str">
        <f t="shared" si="97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98"/>
        <v/>
      </c>
      <c r="MQ8" s="40" t="str">
        <f t="shared" si="99"/>
        <v/>
      </c>
      <c r="MR8" s="40" t="str">
        <f t="shared" si="100"/>
        <v/>
      </c>
      <c r="MS8" s="40" t="str">
        <f t="shared" si="101"/>
        <v/>
      </c>
      <c r="MT8" s="40" t="str">
        <f t="shared" si="102"/>
        <v/>
      </c>
      <c r="MU8" s="40" t="str">
        <f t="shared" si="103"/>
        <v/>
      </c>
      <c r="MV8" s="40" t="str">
        <f t="shared" si="104"/>
        <v/>
      </c>
      <c r="MW8" s="40" t="str">
        <f t="shared" si="105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6"/>
        <v/>
      </c>
      <c r="NS8" s="11" t="str">
        <f t="shared" si="107"/>
        <v/>
      </c>
      <c r="NT8" s="11" t="str">
        <f t="shared" si="108"/>
        <v/>
      </c>
      <c r="NU8" s="11" t="str">
        <f t="shared" si="109"/>
        <v/>
      </c>
      <c r="NV8" s="11" t="str">
        <f t="shared" si="110"/>
        <v/>
      </c>
      <c r="NW8" s="11" t="str">
        <f t="shared" si="111"/>
        <v/>
      </c>
      <c r="NX8" s="11" t="str">
        <f t="shared" si="112"/>
        <v/>
      </c>
      <c r="NY8" s="11" t="str">
        <f t="shared" si="113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4"/>
        <v/>
      </c>
      <c r="OU8" s="40" t="str">
        <f t="shared" si="115"/>
        <v/>
      </c>
      <c r="OV8" s="40" t="str">
        <f t="shared" si="116"/>
        <v/>
      </c>
      <c r="OW8" s="40" t="str">
        <f t="shared" si="117"/>
        <v/>
      </c>
      <c r="OX8" s="40" t="str">
        <f t="shared" si="118"/>
        <v/>
      </c>
      <c r="OY8" s="40" t="str">
        <f t="shared" si="119"/>
        <v/>
      </c>
      <c r="OZ8" s="40" t="str">
        <f t="shared" si="120"/>
        <v/>
      </c>
      <c r="PA8" s="40" t="str">
        <f t="shared" si="121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2"/>
        <v/>
      </c>
      <c r="PW8" s="11" t="str">
        <f t="shared" si="123"/>
        <v/>
      </c>
      <c r="PX8" s="11" t="str">
        <f t="shared" si="124"/>
        <v/>
      </c>
      <c r="PY8" s="11" t="str">
        <f t="shared" si="125"/>
        <v/>
      </c>
      <c r="PZ8" s="11" t="str">
        <f t="shared" si="126"/>
        <v/>
      </c>
      <c r="QA8" s="11" t="str">
        <f t="shared" si="127"/>
        <v/>
      </c>
      <c r="QB8" s="11" t="str">
        <f t="shared" si="128"/>
        <v/>
      </c>
      <c r="QC8" s="11" t="str">
        <f t="shared" si="129"/>
        <v/>
      </c>
      <c r="QD8" s="22">
        <f t="shared" si="130"/>
        <v>15.85</v>
      </c>
      <c r="QE8" s="22">
        <f t="shared" si="131"/>
        <v>6.15</v>
      </c>
      <c r="QF8" s="22">
        <f t="shared" si="132"/>
        <v>0.1</v>
      </c>
      <c r="QG8" s="22">
        <f t="shared" si="133"/>
        <v>0</v>
      </c>
      <c r="QH8" s="22">
        <f t="shared" si="134"/>
        <v>15.35</v>
      </c>
      <c r="QI8" s="22">
        <f t="shared" si="135"/>
        <v>6</v>
      </c>
      <c r="QJ8" s="22">
        <f t="shared" si="136"/>
        <v>0</v>
      </c>
      <c r="QK8" s="22">
        <f t="shared" si="137"/>
        <v>0</v>
      </c>
      <c r="QL8" s="22">
        <f t="shared" si="138"/>
        <v>0</v>
      </c>
      <c r="QM8" s="22">
        <f t="shared" si="139"/>
        <v>0</v>
      </c>
      <c r="QN8" s="22">
        <f t="shared" si="140"/>
        <v>0</v>
      </c>
      <c r="QO8" s="22">
        <f t="shared" si="141"/>
        <v>0</v>
      </c>
      <c r="QP8" s="22">
        <f t="shared" si="142"/>
        <v>16.399999999999999</v>
      </c>
      <c r="QQ8" s="22">
        <f t="shared" si="143"/>
        <v>5.7</v>
      </c>
      <c r="QR8" s="22">
        <f t="shared" si="144"/>
        <v>0</v>
      </c>
      <c r="QS8" s="22">
        <f t="shared" si="145"/>
        <v>0</v>
      </c>
      <c r="QT8" s="22">
        <f t="shared" si="146"/>
        <v>15.7</v>
      </c>
      <c r="QU8" s="22">
        <f t="shared" si="147"/>
        <v>5.4</v>
      </c>
      <c r="QV8" s="22">
        <f t="shared" si="148"/>
        <v>0</v>
      </c>
      <c r="QW8" s="22">
        <f t="shared" si="149"/>
        <v>0</v>
      </c>
      <c r="QX8" s="27" t="s">
        <v>46</v>
      </c>
      <c r="QY8" s="40">
        <f t="shared" si="150"/>
        <v>12.15</v>
      </c>
      <c r="QZ8" s="40">
        <f t="shared" si="151"/>
        <v>43.25</v>
      </c>
      <c r="RA8" s="40" t="str">
        <f t="shared" si="152"/>
        <v/>
      </c>
      <c r="RB8" s="40">
        <f t="shared" si="153"/>
        <v>12.15</v>
      </c>
      <c r="RC8" s="40">
        <f t="shared" si="154"/>
        <v>43.25</v>
      </c>
      <c r="RD8" s="40">
        <f t="shared" si="155"/>
        <v>11.100000000000001</v>
      </c>
      <c r="RE8" s="40">
        <f t="shared" si="156"/>
        <v>43.199999999999996</v>
      </c>
      <c r="RF8" s="40">
        <f t="shared" si="157"/>
        <v>86.449999999999989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172</v>
      </c>
      <c r="D9" s="4" t="s">
        <v>4</v>
      </c>
      <c r="E9" s="4">
        <v>2008</v>
      </c>
      <c r="F9" s="9">
        <f t="shared" si="0"/>
        <v>132.90000873000434</v>
      </c>
      <c r="G9" s="64"/>
      <c r="H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DZ9&gt;=EG$23,EA9&gt;=EG$27,DZ9&lt;&gt;""),AND(EE9&gt;=EG$23,EF9&gt;=EG$27,EE9&lt;&gt;""),AND(FB9&gt;=FI$23,FC9&gt;=FI$27,FB9&lt;&gt;""),AND(FG9&gt;=FI$23,FH9&gt;=FI$27,FG9&lt;&gt;""),AND(GD9&gt;=GK$23,GE9&gt;=GK$27,GD9&lt;&gt;""),AND(GI9&gt;=GK$23,GJ9&gt;=GK$27,GI9&lt;&gt;""),AND(HF9&gt;=HM$23,HG9&gt;=HM$27,HF9&lt;&gt;""),AND(HK9&gt;=HM$23,HL9&gt;=HM$27,HK9&lt;&gt;""),AND(IH9&gt;=IO$23,II9&gt;=IO$27,IH9&lt;&gt;""),AND(IM9&gt;=IO$23,IN9&gt;=IO$27,IM9&lt;&gt;""),AND(JJ9&gt;=JQ$23,JK9&gt;=JQ$27,JJ9&lt;&gt;""),AND(JO9&gt;=JQ$23,JP9&gt;=JQ$27,JO9&lt;&gt;""),AND(KL9&gt;=KS$23,KM9&gt;=KS$27,KL9&lt;&gt;""),AND(KQ9&gt;=KS$23,KR9&gt;=KS$27,KQ9&lt;&gt;""),AND(LN9&gt;=LU$23,LO9&gt;=LU$27,LN9&lt;&gt;""),AND(LS9&gt;=LU$23,LT9&gt;=LU$27,LS9&lt;&gt;""),AND(MP9&gt;=MW$23,MQ9&gt;=MW$27,MP9&lt;&gt;""),AND(MU9&gt;=MW$23,MV9&gt;=MW$27,MU9&lt;&gt;""),AND(NR9&gt;=NY$23,NS9&gt;=NY$27,NR9&lt;&gt;""),AND(NW9&gt;=NY$23,NX9&gt;=NY$27,NW9&lt;&gt;""),AND(OT9&gt;=PA$23,OU9&gt;=PA$27,OT9&lt;&gt;""),AND(OY9&gt;=PA$23,OZ9&gt;=PA$27,OY9&lt;&gt;""),AND(PV9&gt;=QC$23,PW9&gt;=QC$27,PV9&lt;&gt;""),AND(QA9&gt;=QC$23,QB9&gt;=QC$27,QA9&lt;&gt;"")),"P","")</f>
        <v>P</v>
      </c>
      <c r="I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A9&gt;=EG$27,EA9&lt;&gt;""),AND(EF9&gt;=EG$27,EF9&lt;&gt;""),AND(FC9&gt;=FI$27,FC9&lt;&gt;""),AND(FH9&gt;=FI$27,FH9&lt;&gt;""),AND(GE9&gt;=GK$27,GE9&lt;&gt;""),AND(GJ9&gt;=GK$27,GJ9&lt;&gt;""),AND(HG9&gt;=HM$27,HG9&lt;&gt;""),AND(HL9&gt;=HM$27,HL9&lt;&gt;""),AND(II9&gt;=IO$27,II9&lt;&gt;""),AND(IN9&gt;=IO$27,IN9&lt;&gt;""),AND(JK9&gt;=JQ$27,JK9&lt;&gt;""),AND(JP9&gt;=JQ$27,JP9&lt;&gt;""),AND(KM9&gt;=KS$27,KM9&lt;&gt;""),AND(KR9&gt;=KS$27,KR9&lt;&gt;""),AND(LO9&gt;=LU$27,LO9&lt;&gt;""),AND(LT9&gt;=LU$27,LT9&lt;&gt;""),AND(MQ9&gt;=MW$27,MQ9&lt;&gt;""),AND(MV9&gt;=MW$27,MV9&lt;&gt;""),AND(NS9&gt;=NY$27,NS9&lt;&gt;""),AND(NX9&gt;=NY$27,NX9&lt;&gt;""),AND(OU9&gt;=PA$27,OU9&lt;&gt;""),AND(OZ9&gt;=PA$27,OZ9&lt;&gt;""),AND(PW9&gt;=QC$27,PW9&lt;&gt;""),AND(QB9&gt;=QC$27,QB9&lt;&gt;"")),"P","")</f>
        <v>P</v>
      </c>
      <c r="J9" s="36" t="str">
        <f>IF(AND(I9="P",H9=""),"No DD",IF(OR(AND(AS9&gt;=AW$26,AT9&gt;=AW$30,AS9&lt;&gt;"",AO9=""),AND(BV9&gt;=BZ$26,BW9&gt;=BZ$30,BV9&lt;&gt;"",BR9=""),AND(CY9&gt;=DC$26,CZ9&gt;=DC$30,CY9&lt;&gt;"",CU9=""),AND(EC9&gt;=EG$26,ED9&gt;=EG$30,EC9&lt;&gt;""),AND(FE9&gt;=FI$26,FF9&gt;=FI$30,FE9&lt;&gt;""),AND(GG9&gt;=GK$26,GH9&gt;=GK$30,GG9&lt;&gt;""),AND(HI9&gt;=HM$26,HJ9&gt;=HM$30,HI9&lt;&gt;""),AND(IK9&gt;=IO$26,IL9&gt;=IO$30,IK9&lt;&gt;""),AND(JM9&gt;=JQ$26,JN9&gt;=JQ$30,JM9&lt;&gt;""),AND(KO9&gt;=KS$26,KP9&gt;=KS$30,KO9&lt;&gt;""),AND(LQ9&gt;=LU$26,LR9&gt;=LU$30,LQ9&lt;&gt;""),AND(MS9&gt;=MW$26,MT9&gt;=MW$30,MS9&lt;&gt;""),AND(NU9&gt;=NY$26,NV9&gt;=NY$30,NU9&lt;&gt;""),AND(OW9&gt;=PA$26,OX9&gt;=PA$30,OW9&lt;&gt;""),AND(PY9&gt;=QC$26,PZ9&gt;=QC$30,PY9&lt;&gt;"")),"Merit",IF(OR(AND(AS9&gt;=AW$25,AT9&gt;=AW$29,AS9&lt;&gt;"",AO9=""),AND(BV9&gt;=BZ$25,BW9&gt;=BZ$29,BV9&lt;&gt;"",BR9=""),AND(CY9&gt;=DC$25,CZ9&gt;=DC$29,CY9&lt;&gt;"",CU9=""),AND(EC9&gt;=EG$25,ED9&gt;=EG$29,EC9&lt;&gt;""),AND(FE9&gt;=FI$25,FF9&gt;=FI$29,FE9&lt;&gt;""),AND(GG9&gt;=GK$25,GH9&gt;=GK$29,GG9&lt;&gt;""),AND(HI9&gt;=HM$25,HJ9&gt;=HM$29,HI9&lt;&gt;""),AND(IK9&gt;=IO$25,IL9&gt;=IO$29,IK9&lt;&gt;""),AND(JM9&gt;=JQ$25,JN9&gt;=JQ$29,JM9&lt;&gt;""),AND(KO9&gt;=KS$25,KP9&gt;=KS$29,KO9&lt;&gt;""),AND(LQ9&gt;=LU$25,LR9&gt;=LU$29,LQ9&lt;&gt;""),AND(MS9&gt;=MW$25,MT9&gt;=MW$29,MS9&lt;&gt;""),AND(NU9&gt;=NY$25,NV9&gt;=NY$29,NU9&lt;&gt;""),AND(OW9&gt;=PA$25,OX9&gt;=PA$29,OW9&lt;&gt;""),AND(PY9&gt;=QC$25,PZ9&gt;=QC$29,PY9&lt;&gt;"")),"Excellence",IF(K9="P","Worlds Team",IF(H9="P","National Team","")))))</f>
        <v>National Team</v>
      </c>
      <c r="K9" s="3" t="str">
        <f>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P","")</f>
        <v/>
      </c>
      <c r="L9" s="8">
        <f>IF(COUNT(AQ9,BT9,CW9)&gt;0,LARGE((AQ9,BT9,CW9),1),0)</f>
        <v>43.8</v>
      </c>
      <c r="M9" s="8" t="str">
        <f t="shared" si="1"/>
        <v>2025 Nationals</v>
      </c>
      <c r="N9" s="8">
        <f>IF(COUNT(AQ9,BT9,CW9)&gt;1,LARGE((AQ9,BT9,CW9),2),0)</f>
        <v>43.5</v>
      </c>
      <c r="O9" s="8" t="str">
        <f t="shared" si="2"/>
        <v>2025 Elite Canada</v>
      </c>
      <c r="P9" s="8">
        <f t="shared" si="3"/>
        <v>43.4</v>
      </c>
      <c r="Q9" s="8" t="str">
        <f t="shared" si="4"/>
        <v>2025 Nationals</v>
      </c>
      <c r="R9" s="8">
        <f t="shared" si="5"/>
        <v>2.2000000000000028</v>
      </c>
      <c r="S9" s="11" t="str">
        <f t="shared" si="6"/>
        <v>(Q1)</v>
      </c>
      <c r="T9" s="8" t="str">
        <f t="shared" si="7"/>
        <v>2024 Coimbra Gym Fest (July 7)</v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8"/>
        <v/>
      </c>
      <c r="AQ9" s="40" t="str">
        <f t="shared" si="9"/>
        <v/>
      </c>
      <c r="AR9" s="40" t="str">
        <f t="shared" si="10"/>
        <v/>
      </c>
      <c r="AS9" s="40" t="str">
        <f t="shared" si="11"/>
        <v/>
      </c>
      <c r="AT9" s="40" t="str">
        <f t="shared" si="12"/>
        <v/>
      </c>
      <c r="AU9" s="40" t="str">
        <f t="shared" si="13"/>
        <v/>
      </c>
      <c r="AV9" s="40" t="str">
        <f t="shared" si="14"/>
        <v/>
      </c>
      <c r="AW9" s="40" t="str">
        <f t="shared" si="15"/>
        <v/>
      </c>
      <c r="AX9" s="18">
        <v>16.3</v>
      </c>
      <c r="AY9" s="18">
        <v>5.4</v>
      </c>
      <c r="AZ9" s="18">
        <v>0</v>
      </c>
      <c r="BA9" s="18">
        <v>0</v>
      </c>
      <c r="BB9" s="18">
        <v>15.5</v>
      </c>
      <c r="BC9" s="18">
        <v>6.3</v>
      </c>
      <c r="BD9" s="18">
        <v>0</v>
      </c>
      <c r="BE9" s="18">
        <v>0</v>
      </c>
      <c r="BF9" s="18"/>
      <c r="BG9" s="18"/>
      <c r="BH9" s="18"/>
      <c r="BI9" s="18"/>
      <c r="BJ9" s="18">
        <v>15.3</v>
      </c>
      <c r="BK9" s="18">
        <v>5.4</v>
      </c>
      <c r="BL9" s="18">
        <v>0</v>
      </c>
      <c r="BM9" s="18">
        <v>0</v>
      </c>
      <c r="BN9" s="18">
        <v>15</v>
      </c>
      <c r="BO9" s="18">
        <v>6.3</v>
      </c>
      <c r="BP9" s="18">
        <v>0</v>
      </c>
      <c r="BQ9" s="18">
        <v>0</v>
      </c>
      <c r="BR9" s="28"/>
      <c r="BS9" s="11">
        <f t="shared" si="16"/>
        <v>11.7</v>
      </c>
      <c r="BT9" s="11">
        <f t="shared" si="17"/>
        <v>43.5</v>
      </c>
      <c r="BU9" s="11" t="str">
        <f t="shared" si="18"/>
        <v/>
      </c>
      <c r="BV9" s="11">
        <f t="shared" si="19"/>
        <v>11.7</v>
      </c>
      <c r="BW9" s="11">
        <f t="shared" si="20"/>
        <v>43.5</v>
      </c>
      <c r="BX9" s="11">
        <f t="shared" si="21"/>
        <v>11.7</v>
      </c>
      <c r="BY9" s="11">
        <f t="shared" si="22"/>
        <v>42</v>
      </c>
      <c r="BZ9" s="11">
        <f t="shared" si="23"/>
        <v>85.5</v>
      </c>
      <c r="CA9" s="19">
        <v>15.9</v>
      </c>
      <c r="CB9" s="19">
        <v>5.4</v>
      </c>
      <c r="CC9" s="19">
        <v>0</v>
      </c>
      <c r="CD9" s="19">
        <v>0</v>
      </c>
      <c r="CE9" s="19">
        <v>16.2</v>
      </c>
      <c r="CF9" s="19">
        <v>6.3</v>
      </c>
      <c r="CG9" s="19">
        <v>0</v>
      </c>
      <c r="CH9" s="19">
        <v>0</v>
      </c>
      <c r="CI9" s="19"/>
      <c r="CJ9" s="19"/>
      <c r="CK9" s="19"/>
      <c r="CL9" s="19"/>
      <c r="CM9" s="19">
        <v>15.2</v>
      </c>
      <c r="CN9" s="19">
        <v>6.5</v>
      </c>
      <c r="CO9" s="19">
        <v>0.4</v>
      </c>
      <c r="CP9" s="19">
        <v>0.7</v>
      </c>
      <c r="CQ9" s="19">
        <v>15.3</v>
      </c>
      <c r="CR9" s="19">
        <v>6.3</v>
      </c>
      <c r="CS9" s="19">
        <v>0.2</v>
      </c>
      <c r="CT9" s="19">
        <v>0</v>
      </c>
      <c r="CU9" s="27"/>
      <c r="CV9" s="40">
        <f t="shared" si="24"/>
        <v>11.7</v>
      </c>
      <c r="CW9" s="40">
        <f t="shared" si="25"/>
        <v>43.8</v>
      </c>
      <c r="CX9" s="40" t="str">
        <f t="shared" si="26"/>
        <v/>
      </c>
      <c r="CY9" s="40">
        <f t="shared" si="27"/>
        <v>11.7</v>
      </c>
      <c r="CZ9" s="40">
        <f t="shared" si="28"/>
        <v>43.8</v>
      </c>
      <c r="DA9" s="40">
        <f t="shared" si="29"/>
        <v>12.8</v>
      </c>
      <c r="DB9" s="40">
        <f t="shared" si="30"/>
        <v>43.4</v>
      </c>
      <c r="DC9" s="40">
        <f t="shared" si="31"/>
        <v>87.199999999999989</v>
      </c>
      <c r="DD9" s="50">
        <f t="shared" si="32"/>
        <v>2.2000000000000028</v>
      </c>
      <c r="DE9" s="50">
        <f t="shared" si="33"/>
        <v>1.3999999999999986</v>
      </c>
      <c r="DF9" s="17">
        <v>15.7</v>
      </c>
      <c r="DG9" s="17">
        <v>7.5</v>
      </c>
      <c r="DH9" s="17">
        <v>0</v>
      </c>
      <c r="DI9" s="17">
        <v>0</v>
      </c>
      <c r="DJ9" s="17">
        <v>15.3</v>
      </c>
      <c r="DK9" s="17">
        <v>7.2</v>
      </c>
      <c r="DL9" s="17">
        <v>0</v>
      </c>
      <c r="DM9" s="17">
        <v>0</v>
      </c>
      <c r="DN9" s="17"/>
      <c r="DO9" s="17"/>
      <c r="DP9" s="17"/>
      <c r="DQ9" s="17"/>
      <c r="DR9" s="17">
        <v>15.4</v>
      </c>
      <c r="DS9" s="17">
        <v>6.8</v>
      </c>
      <c r="DT9" s="17">
        <v>0</v>
      </c>
      <c r="DU9" s="17">
        <v>0</v>
      </c>
      <c r="DV9" s="17">
        <v>16.100000000000001</v>
      </c>
      <c r="DW9" s="17">
        <v>6.5</v>
      </c>
      <c r="DX9" s="17">
        <v>0</v>
      </c>
      <c r="DY9" s="17">
        <v>0</v>
      </c>
      <c r="DZ9" s="40">
        <f t="shared" si="34"/>
        <v>14.7</v>
      </c>
      <c r="EA9" s="40">
        <f t="shared" si="35"/>
        <v>45.7</v>
      </c>
      <c r="EB9" s="40" t="str">
        <f t="shared" si="36"/>
        <v/>
      </c>
      <c r="EC9" s="40">
        <f t="shared" si="37"/>
        <v>14.7</v>
      </c>
      <c r="ED9" s="40">
        <f t="shared" si="38"/>
        <v>45.7</v>
      </c>
      <c r="EE9" s="40">
        <f t="shared" si="39"/>
        <v>13.3</v>
      </c>
      <c r="EF9" s="40">
        <f t="shared" si="40"/>
        <v>44.8</v>
      </c>
      <c r="EG9" s="40">
        <f t="shared" si="41"/>
        <v>90.5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2"/>
        <v/>
      </c>
      <c r="FC9" s="11" t="str">
        <f t="shared" si="43"/>
        <v/>
      </c>
      <c r="FD9" s="11" t="str">
        <f t="shared" si="44"/>
        <v/>
      </c>
      <c r="FE9" s="11" t="str">
        <f t="shared" si="45"/>
        <v/>
      </c>
      <c r="FF9" s="11" t="str">
        <f t="shared" si="46"/>
        <v/>
      </c>
      <c r="FG9" s="11" t="str">
        <f t="shared" si="47"/>
        <v/>
      </c>
      <c r="FH9" s="11" t="str">
        <f t="shared" si="48"/>
        <v/>
      </c>
      <c r="FI9" s="11" t="str">
        <f t="shared" si="49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0"/>
        <v/>
      </c>
      <c r="GE9" s="40" t="str">
        <f t="shared" si="51"/>
        <v/>
      </c>
      <c r="GF9" s="40" t="str">
        <f t="shared" si="52"/>
        <v/>
      </c>
      <c r="GG9" s="40" t="str">
        <f t="shared" si="53"/>
        <v/>
      </c>
      <c r="GH9" s="40" t="str">
        <f t="shared" si="54"/>
        <v/>
      </c>
      <c r="GI9" s="40" t="str">
        <f t="shared" si="55"/>
        <v/>
      </c>
      <c r="GJ9" s="40" t="str">
        <f t="shared" si="56"/>
        <v/>
      </c>
      <c r="GK9" s="40" t="str">
        <f t="shared" si="57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58"/>
        <v/>
      </c>
      <c r="HG9" s="11" t="str">
        <f t="shared" si="59"/>
        <v/>
      </c>
      <c r="HH9" s="11" t="str">
        <f t="shared" si="60"/>
        <v/>
      </c>
      <c r="HI9" s="11" t="str">
        <f t="shared" si="61"/>
        <v/>
      </c>
      <c r="HJ9" s="11" t="str">
        <f t="shared" si="62"/>
        <v/>
      </c>
      <c r="HK9" s="11" t="str">
        <f t="shared" si="63"/>
        <v/>
      </c>
      <c r="HL9" s="11" t="str">
        <f t="shared" si="64"/>
        <v/>
      </c>
      <c r="HM9" s="11" t="str">
        <f t="shared" si="65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6"/>
        <v/>
      </c>
      <c r="II9" s="40" t="str">
        <f t="shared" si="67"/>
        <v/>
      </c>
      <c r="IJ9" s="40" t="str">
        <f t="shared" si="68"/>
        <v/>
      </c>
      <c r="IK9" s="40" t="str">
        <f t="shared" si="69"/>
        <v/>
      </c>
      <c r="IL9" s="40" t="str">
        <f t="shared" si="70"/>
        <v/>
      </c>
      <c r="IM9" s="40" t="str">
        <f t="shared" si="71"/>
        <v/>
      </c>
      <c r="IN9" s="40" t="str">
        <f t="shared" si="72"/>
        <v/>
      </c>
      <c r="IO9" s="40" t="str">
        <f t="shared" si="73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4"/>
        <v/>
      </c>
      <c r="JK9" s="11" t="str">
        <f t="shared" si="75"/>
        <v/>
      </c>
      <c r="JL9" s="11" t="str">
        <f t="shared" si="76"/>
        <v/>
      </c>
      <c r="JM9" s="11" t="str">
        <f t="shared" si="77"/>
        <v/>
      </c>
      <c r="JN9" s="11" t="str">
        <f t="shared" si="78"/>
        <v/>
      </c>
      <c r="JO9" s="11" t="str">
        <f t="shared" si="79"/>
        <v/>
      </c>
      <c r="JP9" s="11" t="str">
        <f t="shared" si="80"/>
        <v/>
      </c>
      <c r="JQ9" s="11" t="str">
        <f t="shared" si="81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2"/>
        <v/>
      </c>
      <c r="KM9" s="40" t="str">
        <f t="shared" si="83"/>
        <v/>
      </c>
      <c r="KN9" s="40" t="str">
        <f t="shared" si="84"/>
        <v/>
      </c>
      <c r="KO9" s="40" t="str">
        <f t="shared" si="85"/>
        <v/>
      </c>
      <c r="KP9" s="40" t="str">
        <f t="shared" si="86"/>
        <v/>
      </c>
      <c r="KQ9" s="40" t="str">
        <f t="shared" si="87"/>
        <v/>
      </c>
      <c r="KR9" s="40" t="str">
        <f t="shared" si="88"/>
        <v/>
      </c>
      <c r="KS9" s="40" t="str">
        <f t="shared" si="89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0"/>
        <v/>
      </c>
      <c r="LO9" s="11" t="str">
        <f t="shared" si="91"/>
        <v/>
      </c>
      <c r="LP9" s="11" t="str">
        <f t="shared" si="92"/>
        <v/>
      </c>
      <c r="LQ9" s="11" t="str">
        <f t="shared" si="93"/>
        <v/>
      </c>
      <c r="LR9" s="11" t="str">
        <f t="shared" si="94"/>
        <v/>
      </c>
      <c r="LS9" s="11" t="str">
        <f t="shared" si="95"/>
        <v/>
      </c>
      <c r="LT9" s="11" t="str">
        <f t="shared" si="96"/>
        <v/>
      </c>
      <c r="LU9" s="11" t="str">
        <f t="shared" si="97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98"/>
        <v/>
      </c>
      <c r="MQ9" s="40" t="str">
        <f t="shared" si="99"/>
        <v/>
      </c>
      <c r="MR9" s="40" t="str">
        <f t="shared" si="100"/>
        <v/>
      </c>
      <c r="MS9" s="40" t="str">
        <f t="shared" si="101"/>
        <v/>
      </c>
      <c r="MT9" s="40" t="str">
        <f t="shared" si="102"/>
        <v/>
      </c>
      <c r="MU9" s="40" t="str">
        <f t="shared" si="103"/>
        <v/>
      </c>
      <c r="MV9" s="40" t="str">
        <f t="shared" si="104"/>
        <v/>
      </c>
      <c r="MW9" s="40" t="str">
        <f t="shared" si="105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6"/>
        <v/>
      </c>
      <c r="NS9" s="11" t="str">
        <f t="shared" si="107"/>
        <v/>
      </c>
      <c r="NT9" s="11" t="str">
        <f t="shared" si="108"/>
        <v/>
      </c>
      <c r="NU9" s="11" t="str">
        <f t="shared" si="109"/>
        <v/>
      </c>
      <c r="NV9" s="11" t="str">
        <f t="shared" si="110"/>
        <v/>
      </c>
      <c r="NW9" s="11" t="str">
        <f t="shared" si="111"/>
        <v/>
      </c>
      <c r="NX9" s="11" t="str">
        <f t="shared" si="112"/>
        <v/>
      </c>
      <c r="NY9" s="11" t="str">
        <f t="shared" si="113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4"/>
        <v/>
      </c>
      <c r="OU9" s="40" t="str">
        <f t="shared" si="115"/>
        <v/>
      </c>
      <c r="OV9" s="40" t="str">
        <f t="shared" si="116"/>
        <v/>
      </c>
      <c r="OW9" s="40" t="str">
        <f t="shared" si="117"/>
        <v/>
      </c>
      <c r="OX9" s="40" t="str">
        <f t="shared" si="118"/>
        <v/>
      </c>
      <c r="OY9" s="40" t="str">
        <f t="shared" si="119"/>
        <v/>
      </c>
      <c r="OZ9" s="40" t="str">
        <f t="shared" si="120"/>
        <v/>
      </c>
      <c r="PA9" s="40" t="str">
        <f t="shared" si="121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2"/>
        <v/>
      </c>
      <c r="PW9" s="11" t="str">
        <f t="shared" si="123"/>
        <v/>
      </c>
      <c r="PX9" s="11" t="str">
        <f t="shared" si="124"/>
        <v/>
      </c>
      <c r="PY9" s="11" t="str">
        <f t="shared" si="125"/>
        <v/>
      </c>
      <c r="PZ9" s="11" t="str">
        <f t="shared" si="126"/>
        <v/>
      </c>
      <c r="QA9" s="11" t="str">
        <f t="shared" si="127"/>
        <v/>
      </c>
      <c r="QB9" s="11" t="str">
        <f t="shared" si="128"/>
        <v/>
      </c>
      <c r="QC9" s="11" t="str">
        <f t="shared" si="129"/>
        <v/>
      </c>
      <c r="QD9" s="22">
        <f t="shared" si="130"/>
        <v>16.100000000000001</v>
      </c>
      <c r="QE9" s="22">
        <f t="shared" si="131"/>
        <v>5.4</v>
      </c>
      <c r="QF9" s="22">
        <f t="shared" si="132"/>
        <v>0</v>
      </c>
      <c r="QG9" s="22">
        <f t="shared" si="133"/>
        <v>0</v>
      </c>
      <c r="QH9" s="22">
        <f t="shared" si="134"/>
        <v>15.85</v>
      </c>
      <c r="QI9" s="22">
        <f t="shared" si="135"/>
        <v>6.3</v>
      </c>
      <c r="QJ9" s="22">
        <f t="shared" si="136"/>
        <v>0</v>
      </c>
      <c r="QK9" s="22">
        <f t="shared" si="137"/>
        <v>0</v>
      </c>
      <c r="QL9" s="22">
        <f t="shared" si="138"/>
        <v>0</v>
      </c>
      <c r="QM9" s="22">
        <f t="shared" si="139"/>
        <v>0</v>
      </c>
      <c r="QN9" s="22">
        <f t="shared" si="140"/>
        <v>0</v>
      </c>
      <c r="QO9" s="22">
        <f t="shared" si="141"/>
        <v>0</v>
      </c>
      <c r="QP9" s="22">
        <f t="shared" si="142"/>
        <v>15.25</v>
      </c>
      <c r="QQ9" s="22">
        <f t="shared" si="143"/>
        <v>5.95</v>
      </c>
      <c r="QR9" s="22">
        <f t="shared" si="144"/>
        <v>0.2</v>
      </c>
      <c r="QS9" s="22">
        <f t="shared" si="145"/>
        <v>0.35</v>
      </c>
      <c r="QT9" s="22">
        <f t="shared" si="146"/>
        <v>15.15</v>
      </c>
      <c r="QU9" s="22">
        <f t="shared" si="147"/>
        <v>6.3</v>
      </c>
      <c r="QV9" s="22">
        <f t="shared" si="148"/>
        <v>0.1</v>
      </c>
      <c r="QW9" s="22">
        <f t="shared" si="149"/>
        <v>0</v>
      </c>
      <c r="QX9" s="27" t="s">
        <v>46</v>
      </c>
      <c r="QY9" s="40">
        <f t="shared" si="150"/>
        <v>11.7</v>
      </c>
      <c r="QZ9" s="40">
        <f t="shared" si="151"/>
        <v>43.65</v>
      </c>
      <c r="RA9" s="40" t="str">
        <f t="shared" si="152"/>
        <v/>
      </c>
      <c r="RB9" s="40">
        <f t="shared" si="153"/>
        <v>11.7</v>
      </c>
      <c r="RC9" s="40">
        <f t="shared" si="154"/>
        <v>43.65</v>
      </c>
      <c r="RD9" s="40">
        <f t="shared" si="155"/>
        <v>12.25</v>
      </c>
      <c r="RE9" s="40">
        <f t="shared" si="156"/>
        <v>42.7</v>
      </c>
      <c r="RF9" s="40">
        <f t="shared" si="157"/>
        <v>86.35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97</v>
      </c>
      <c r="D10" s="4" t="s">
        <v>4</v>
      </c>
      <c r="E10" s="4">
        <v>2005</v>
      </c>
      <c r="F10" s="9">
        <f t="shared" si="0"/>
        <v>132.60000897000461</v>
      </c>
      <c r="G10" s="64"/>
      <c r="H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DZ10&gt;=EG$23,EA10&gt;=EG$27,DZ10&lt;&gt;""),AND(EE10&gt;=EG$23,EF10&gt;=EG$27,EE10&lt;&gt;""),AND(FB10&gt;=FI$23,FC10&gt;=FI$27,FB10&lt;&gt;""),AND(FG10&gt;=FI$23,FH10&gt;=FI$27,FG10&lt;&gt;""),AND(GD10&gt;=GK$23,GE10&gt;=GK$27,GD10&lt;&gt;""),AND(GI10&gt;=GK$23,GJ10&gt;=GK$27,GI10&lt;&gt;""),AND(HF10&gt;=HM$23,HG10&gt;=HM$27,HF10&lt;&gt;""),AND(HK10&gt;=HM$23,HL10&gt;=HM$27,HK10&lt;&gt;""),AND(IH10&gt;=IO$23,II10&gt;=IO$27,IH10&lt;&gt;""),AND(IM10&gt;=IO$23,IN10&gt;=IO$27,IM10&lt;&gt;""),AND(JJ10&gt;=JQ$23,JK10&gt;=JQ$27,JJ10&lt;&gt;""),AND(JO10&gt;=JQ$23,JP10&gt;=JQ$27,JO10&lt;&gt;""),AND(KL10&gt;=KS$23,KM10&gt;=KS$27,KL10&lt;&gt;""),AND(KQ10&gt;=KS$23,KR10&gt;=KS$27,KQ10&lt;&gt;""),AND(LN10&gt;=LU$23,LO10&gt;=LU$27,LN10&lt;&gt;""),AND(LS10&gt;=LU$23,LT10&gt;=LU$27,LS10&lt;&gt;""),AND(MP10&gt;=MW$23,MQ10&gt;=MW$27,MP10&lt;&gt;""),AND(MU10&gt;=MW$23,MV10&gt;=MW$27,MU10&lt;&gt;""),AND(NR10&gt;=NY$23,NS10&gt;=NY$27,NR10&lt;&gt;""),AND(NW10&gt;=NY$23,NX10&gt;=NY$27,NW10&lt;&gt;""),AND(OT10&gt;=PA$23,OU10&gt;=PA$27,OT10&lt;&gt;""),AND(OY10&gt;=PA$23,OZ10&gt;=PA$27,OY10&lt;&gt;""),AND(PV10&gt;=QC$23,PW10&gt;=QC$27,PV10&lt;&gt;""),AND(QA10&gt;=QC$23,QB10&gt;=QC$27,QA10&lt;&gt;"")),"P","")</f>
        <v>P</v>
      </c>
      <c r="I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A10&gt;=EG$27,EA10&lt;&gt;""),AND(EF10&gt;=EG$27,EF10&lt;&gt;""),AND(FC10&gt;=FI$27,FC10&lt;&gt;""),AND(FH10&gt;=FI$27,FH10&lt;&gt;""),AND(GE10&gt;=GK$27,GE10&lt;&gt;""),AND(GJ10&gt;=GK$27,GJ10&lt;&gt;""),AND(HG10&gt;=HM$27,HG10&lt;&gt;""),AND(HL10&gt;=HM$27,HL10&lt;&gt;""),AND(II10&gt;=IO$27,II10&lt;&gt;""),AND(IN10&gt;=IO$27,IN10&lt;&gt;""),AND(JK10&gt;=JQ$27,JK10&lt;&gt;""),AND(JP10&gt;=JQ$27,JP10&lt;&gt;""),AND(KM10&gt;=KS$27,KM10&lt;&gt;""),AND(KR10&gt;=KS$27,KR10&lt;&gt;""),AND(LO10&gt;=LU$27,LO10&lt;&gt;""),AND(LT10&gt;=LU$27,LT10&lt;&gt;""),AND(MQ10&gt;=MW$27,MQ10&lt;&gt;""),AND(MV10&gt;=MW$27,MV10&lt;&gt;""),AND(NS10&gt;=NY$27,NS10&lt;&gt;""),AND(NX10&gt;=NY$27,NX10&lt;&gt;""),AND(OU10&gt;=PA$27,OU10&lt;&gt;""),AND(OZ10&gt;=PA$27,OZ10&lt;&gt;""),AND(PW10&gt;=QC$27,PW10&lt;&gt;""),AND(QB10&gt;=QC$27,QB10&lt;&gt;"")),"P","")</f>
        <v>P</v>
      </c>
      <c r="J10" s="36" t="str">
        <f>IF(AND(I10="P",H10=""),"No DD",IF(OR(AND(AS10&gt;=AW$26,AT10&gt;=AW$30,AS10&lt;&gt;"",AO10=""),AND(BV10&gt;=BZ$26,BW10&gt;=BZ$30,BV10&lt;&gt;"",BR10=""),AND(CY10&gt;=DC$26,CZ10&gt;=DC$30,CY10&lt;&gt;"",CU10=""),AND(EC10&gt;=EG$26,ED10&gt;=EG$30,EC10&lt;&gt;""),AND(FE10&gt;=FI$26,FF10&gt;=FI$30,FE10&lt;&gt;""),AND(GG10&gt;=GK$26,GH10&gt;=GK$30,GG10&lt;&gt;""),AND(HI10&gt;=HM$26,HJ10&gt;=HM$30,HI10&lt;&gt;""),AND(IK10&gt;=IO$26,IL10&gt;=IO$30,IK10&lt;&gt;""),AND(JM10&gt;=JQ$26,JN10&gt;=JQ$30,JM10&lt;&gt;""),AND(KO10&gt;=KS$26,KP10&gt;=KS$30,KO10&lt;&gt;""),AND(LQ10&gt;=LU$26,LR10&gt;=LU$30,LQ10&lt;&gt;""),AND(MS10&gt;=MW$26,MT10&gt;=MW$30,MS10&lt;&gt;""),AND(NU10&gt;=NY$26,NV10&gt;=NY$30,NU10&lt;&gt;""),AND(OW10&gt;=PA$26,OX10&gt;=PA$30,OW10&lt;&gt;""),AND(PY10&gt;=QC$26,PZ10&gt;=QC$30,PY10&lt;&gt;"")),"Merit",IF(OR(AND(AS10&gt;=AW$25,AT10&gt;=AW$29,AS10&lt;&gt;"",AO10=""),AND(BV10&gt;=BZ$25,BW10&gt;=BZ$29,BV10&lt;&gt;"",BR10=""),AND(CY10&gt;=DC$25,CZ10&gt;=DC$29,CY10&lt;&gt;"",CU10=""),AND(EC10&gt;=EG$25,ED10&gt;=EG$29,EC10&lt;&gt;""),AND(FE10&gt;=FI$25,FF10&gt;=FI$29,FE10&lt;&gt;""),AND(GG10&gt;=GK$25,GH10&gt;=GK$29,GG10&lt;&gt;""),AND(HI10&gt;=HM$25,HJ10&gt;=HM$29,HI10&lt;&gt;""),AND(IK10&gt;=IO$25,IL10&gt;=IO$29,IK10&lt;&gt;""),AND(JM10&gt;=JQ$25,JN10&gt;=JQ$29,JM10&lt;&gt;""),AND(KO10&gt;=KS$25,KP10&gt;=KS$29,KO10&lt;&gt;""),AND(LQ10&gt;=LU$25,LR10&gt;=LU$29,LQ10&lt;&gt;""),AND(MS10&gt;=MW$25,MT10&gt;=MW$29,MS10&lt;&gt;""),AND(NU10&gt;=NY$25,NV10&gt;=NY$29,NU10&lt;&gt;""),AND(OW10&gt;=PA$25,OX10&gt;=PA$29,OW10&lt;&gt;""),AND(PY10&gt;=QC$25,PZ10&gt;=QC$29,PY10&lt;&gt;"")),"Excellence",IF(K10="P","Worlds Team",IF(H10="P","National Team","")))))</f>
        <v>National Team</v>
      </c>
      <c r="K10" s="3" t="str">
        <f>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P","")</f>
        <v/>
      </c>
      <c r="L10" s="8">
        <f>IF(COUNT(AQ10,BT10,CW10)&gt;0,LARGE((AQ10,BT10,CW10),1),0)</f>
        <v>46</v>
      </c>
      <c r="M10" s="8" t="str">
        <f t="shared" si="1"/>
        <v>2025 Nationals</v>
      </c>
      <c r="N10" s="8">
        <f>IF(COUNT(AQ10,BT10,CW10)&gt;1,LARGE((AQ10,BT10,CW10),2),0)</f>
        <v>43.7</v>
      </c>
      <c r="O10" s="8" t="str">
        <f t="shared" si="2"/>
        <v>2024 3rd Domestic Trial</v>
      </c>
      <c r="P10" s="8">
        <f t="shared" si="3"/>
        <v>42.9</v>
      </c>
      <c r="Q10" s="8" t="str">
        <f t="shared" si="4"/>
        <v>2024 3rd Domestic Trial</v>
      </c>
      <c r="R10" s="8" t="str">
        <f t="shared" si="5"/>
        <v/>
      </c>
      <c r="S10" s="11" t="str">
        <f t="shared" si="6"/>
        <v/>
      </c>
      <c r="T10" s="8" t="str">
        <f t="shared" si="7"/>
        <v/>
      </c>
      <c r="U10" s="19">
        <v>16.100000000000001</v>
      </c>
      <c r="V10" s="19">
        <v>5.5</v>
      </c>
      <c r="W10" s="19">
        <v>0</v>
      </c>
      <c r="X10" s="19">
        <v>0.3</v>
      </c>
      <c r="Y10" s="19">
        <v>16.2</v>
      </c>
      <c r="Z10" s="19">
        <v>5</v>
      </c>
      <c r="AA10" s="19">
        <v>0</v>
      </c>
      <c r="AB10" s="19">
        <v>0.6</v>
      </c>
      <c r="AC10" s="19">
        <v>15.3</v>
      </c>
      <c r="AD10" s="19">
        <v>5.5</v>
      </c>
      <c r="AE10" s="19">
        <v>0</v>
      </c>
      <c r="AF10" s="19">
        <v>0.3</v>
      </c>
      <c r="AG10" s="19">
        <v>15.8</v>
      </c>
      <c r="AH10" s="19">
        <v>5.5</v>
      </c>
      <c r="AI10" s="19">
        <v>0</v>
      </c>
      <c r="AJ10" s="19">
        <v>0.3</v>
      </c>
      <c r="AK10" s="19">
        <v>15.9</v>
      </c>
      <c r="AL10" s="19">
        <v>4.8</v>
      </c>
      <c r="AM10" s="19">
        <v>0</v>
      </c>
      <c r="AN10" s="19">
        <v>0.6</v>
      </c>
      <c r="AO10" s="27"/>
      <c r="AP10" s="40">
        <f t="shared" si="8"/>
        <v>10.5</v>
      </c>
      <c r="AQ10" s="40">
        <f t="shared" si="9"/>
        <v>43.7</v>
      </c>
      <c r="AR10" s="40">
        <f t="shared" si="10"/>
        <v>21.1</v>
      </c>
      <c r="AS10" s="40">
        <f t="shared" si="11"/>
        <v>16</v>
      </c>
      <c r="AT10" s="40">
        <f t="shared" si="12"/>
        <v>64.800000000000011</v>
      </c>
      <c r="AU10" s="40">
        <f t="shared" si="13"/>
        <v>10.3</v>
      </c>
      <c r="AV10" s="40">
        <f t="shared" si="14"/>
        <v>42.9</v>
      </c>
      <c r="AW10" s="40">
        <f t="shared" si="15"/>
        <v>107.70000000000002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16"/>
        <v/>
      </c>
      <c r="BT10" s="11" t="str">
        <f t="shared" si="17"/>
        <v/>
      </c>
      <c r="BU10" s="11" t="str">
        <f t="shared" si="18"/>
        <v/>
      </c>
      <c r="BV10" s="11" t="str">
        <f t="shared" si="19"/>
        <v/>
      </c>
      <c r="BW10" s="11" t="str">
        <f t="shared" si="20"/>
        <v/>
      </c>
      <c r="BX10" s="11" t="str">
        <f t="shared" si="21"/>
        <v/>
      </c>
      <c r="BY10" s="11" t="str">
        <f t="shared" si="22"/>
        <v/>
      </c>
      <c r="BZ10" s="11" t="str">
        <f t="shared" si="23"/>
        <v/>
      </c>
      <c r="CA10" s="19">
        <v>16.8</v>
      </c>
      <c r="CB10" s="19">
        <v>5.7</v>
      </c>
      <c r="CC10" s="19">
        <v>0</v>
      </c>
      <c r="CD10" s="19">
        <v>0.7</v>
      </c>
      <c r="CE10" s="19">
        <v>16.8</v>
      </c>
      <c r="CF10" s="19">
        <v>5.3</v>
      </c>
      <c r="CG10" s="19">
        <v>0</v>
      </c>
      <c r="CH10" s="19">
        <v>0.7</v>
      </c>
      <c r="CI10" s="19"/>
      <c r="CJ10" s="19"/>
      <c r="CK10" s="19"/>
      <c r="CL10" s="19"/>
      <c r="CM10" s="19">
        <v>15.8</v>
      </c>
      <c r="CN10" s="19">
        <v>3.1</v>
      </c>
      <c r="CO10" s="19">
        <v>0</v>
      </c>
      <c r="CP10" s="19">
        <v>0.7</v>
      </c>
      <c r="CQ10" s="19">
        <v>16.600000000000001</v>
      </c>
      <c r="CR10" s="19">
        <v>5.3</v>
      </c>
      <c r="CS10" s="19">
        <v>0</v>
      </c>
      <c r="CT10" s="19">
        <v>0.7</v>
      </c>
      <c r="CU10" s="27"/>
      <c r="CV10" s="40">
        <f t="shared" si="24"/>
        <v>11</v>
      </c>
      <c r="CW10" s="40">
        <f t="shared" si="25"/>
        <v>46</v>
      </c>
      <c r="CX10" s="40" t="str">
        <f t="shared" si="26"/>
        <v/>
      </c>
      <c r="CY10" s="40">
        <f t="shared" si="27"/>
        <v>11</v>
      </c>
      <c r="CZ10" s="40">
        <f t="shared" si="28"/>
        <v>46</v>
      </c>
      <c r="DA10" s="40">
        <f t="shared" si="29"/>
        <v>8.4</v>
      </c>
      <c r="DB10" s="40">
        <f t="shared" si="30"/>
        <v>42.2</v>
      </c>
      <c r="DC10" s="40">
        <f t="shared" si="31"/>
        <v>88.2</v>
      </c>
      <c r="DD10" s="50" t="str">
        <f t="shared" si="32"/>
        <v/>
      </c>
      <c r="DE10" s="50" t="str">
        <f t="shared" si="33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4"/>
        <v/>
      </c>
      <c r="EA10" s="40" t="str">
        <f t="shared" si="35"/>
        <v/>
      </c>
      <c r="EB10" s="40" t="str">
        <f t="shared" si="36"/>
        <v/>
      </c>
      <c r="EC10" s="40" t="str">
        <f t="shared" si="37"/>
        <v/>
      </c>
      <c r="ED10" s="40" t="str">
        <f t="shared" si="38"/>
        <v/>
      </c>
      <c r="EE10" s="40" t="str">
        <f t="shared" si="39"/>
        <v/>
      </c>
      <c r="EF10" s="40" t="str">
        <f t="shared" si="40"/>
        <v/>
      </c>
      <c r="EG10" s="40" t="str">
        <f t="shared" si="41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2"/>
        <v/>
      </c>
      <c r="FC10" s="11" t="str">
        <f t="shared" si="43"/>
        <v/>
      </c>
      <c r="FD10" s="11" t="str">
        <f t="shared" si="44"/>
        <v/>
      </c>
      <c r="FE10" s="11" t="str">
        <f t="shared" si="45"/>
        <v/>
      </c>
      <c r="FF10" s="11" t="str">
        <f t="shared" si="46"/>
        <v/>
      </c>
      <c r="FG10" s="11" t="str">
        <f t="shared" si="47"/>
        <v/>
      </c>
      <c r="FH10" s="11" t="str">
        <f t="shared" si="48"/>
        <v/>
      </c>
      <c r="FI10" s="11" t="str">
        <f t="shared" si="49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0"/>
        <v/>
      </c>
      <c r="GE10" s="40" t="str">
        <f t="shared" si="51"/>
        <v/>
      </c>
      <c r="GF10" s="40" t="str">
        <f t="shared" si="52"/>
        <v/>
      </c>
      <c r="GG10" s="40" t="str">
        <f t="shared" si="53"/>
        <v/>
      </c>
      <c r="GH10" s="40" t="str">
        <f t="shared" si="54"/>
        <v/>
      </c>
      <c r="GI10" s="40" t="str">
        <f t="shared" si="55"/>
        <v/>
      </c>
      <c r="GJ10" s="40" t="str">
        <f t="shared" si="56"/>
        <v/>
      </c>
      <c r="GK10" s="40" t="str">
        <f t="shared" si="57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58"/>
        <v/>
      </c>
      <c r="HG10" s="11" t="str">
        <f t="shared" si="59"/>
        <v/>
      </c>
      <c r="HH10" s="11" t="str">
        <f t="shared" si="60"/>
        <v/>
      </c>
      <c r="HI10" s="11" t="str">
        <f t="shared" si="61"/>
        <v/>
      </c>
      <c r="HJ10" s="11" t="str">
        <f t="shared" si="62"/>
        <v/>
      </c>
      <c r="HK10" s="11" t="str">
        <f t="shared" si="63"/>
        <v/>
      </c>
      <c r="HL10" s="11" t="str">
        <f t="shared" si="64"/>
        <v/>
      </c>
      <c r="HM10" s="11" t="str">
        <f t="shared" si="65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6"/>
        <v/>
      </c>
      <c r="II10" s="40" t="str">
        <f t="shared" si="67"/>
        <v/>
      </c>
      <c r="IJ10" s="40" t="str">
        <f t="shared" si="68"/>
        <v/>
      </c>
      <c r="IK10" s="40" t="str">
        <f t="shared" si="69"/>
        <v/>
      </c>
      <c r="IL10" s="40" t="str">
        <f t="shared" si="70"/>
        <v/>
      </c>
      <c r="IM10" s="40" t="str">
        <f t="shared" si="71"/>
        <v/>
      </c>
      <c r="IN10" s="40" t="str">
        <f t="shared" si="72"/>
        <v/>
      </c>
      <c r="IO10" s="40" t="str">
        <f t="shared" si="73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4"/>
        <v/>
      </c>
      <c r="JK10" s="11" t="str">
        <f t="shared" si="75"/>
        <v/>
      </c>
      <c r="JL10" s="11" t="str">
        <f t="shared" si="76"/>
        <v/>
      </c>
      <c r="JM10" s="11" t="str">
        <f t="shared" si="77"/>
        <v/>
      </c>
      <c r="JN10" s="11" t="str">
        <f t="shared" si="78"/>
        <v/>
      </c>
      <c r="JO10" s="11" t="str">
        <f t="shared" si="79"/>
        <v/>
      </c>
      <c r="JP10" s="11" t="str">
        <f t="shared" si="80"/>
        <v/>
      </c>
      <c r="JQ10" s="11" t="str">
        <f t="shared" si="81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2"/>
        <v/>
      </c>
      <c r="KM10" s="40" t="str">
        <f t="shared" si="83"/>
        <v/>
      </c>
      <c r="KN10" s="40" t="str">
        <f t="shared" si="84"/>
        <v/>
      </c>
      <c r="KO10" s="40" t="str">
        <f t="shared" si="85"/>
        <v/>
      </c>
      <c r="KP10" s="40" t="str">
        <f t="shared" si="86"/>
        <v/>
      </c>
      <c r="KQ10" s="40" t="str">
        <f t="shared" si="87"/>
        <v/>
      </c>
      <c r="KR10" s="40" t="str">
        <f t="shared" si="88"/>
        <v/>
      </c>
      <c r="KS10" s="40" t="str">
        <f t="shared" si="89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0"/>
        <v/>
      </c>
      <c r="LO10" s="11" t="str">
        <f t="shared" si="91"/>
        <v/>
      </c>
      <c r="LP10" s="11" t="str">
        <f t="shared" si="92"/>
        <v/>
      </c>
      <c r="LQ10" s="11" t="str">
        <f t="shared" si="93"/>
        <v/>
      </c>
      <c r="LR10" s="11" t="str">
        <f t="shared" si="94"/>
        <v/>
      </c>
      <c r="LS10" s="11" t="str">
        <f t="shared" si="95"/>
        <v/>
      </c>
      <c r="LT10" s="11" t="str">
        <f t="shared" si="96"/>
        <v/>
      </c>
      <c r="LU10" s="11" t="str">
        <f t="shared" si="97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98"/>
        <v/>
      </c>
      <c r="MQ10" s="40" t="str">
        <f t="shared" si="99"/>
        <v/>
      </c>
      <c r="MR10" s="40" t="str">
        <f t="shared" si="100"/>
        <v/>
      </c>
      <c r="MS10" s="40" t="str">
        <f t="shared" si="101"/>
        <v/>
      </c>
      <c r="MT10" s="40" t="str">
        <f t="shared" si="102"/>
        <v/>
      </c>
      <c r="MU10" s="40" t="str">
        <f t="shared" si="103"/>
        <v/>
      </c>
      <c r="MV10" s="40" t="str">
        <f t="shared" si="104"/>
        <v/>
      </c>
      <c r="MW10" s="40" t="str">
        <f t="shared" si="105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6"/>
        <v/>
      </c>
      <c r="NS10" s="11" t="str">
        <f t="shared" si="107"/>
        <v/>
      </c>
      <c r="NT10" s="11" t="str">
        <f t="shared" si="108"/>
        <v/>
      </c>
      <c r="NU10" s="11" t="str">
        <f t="shared" si="109"/>
        <v/>
      </c>
      <c r="NV10" s="11" t="str">
        <f t="shared" si="110"/>
        <v/>
      </c>
      <c r="NW10" s="11" t="str">
        <f t="shared" si="111"/>
        <v/>
      </c>
      <c r="NX10" s="11" t="str">
        <f t="shared" si="112"/>
        <v/>
      </c>
      <c r="NY10" s="11" t="str">
        <f t="shared" si="113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4"/>
        <v/>
      </c>
      <c r="OU10" s="40" t="str">
        <f t="shared" si="115"/>
        <v/>
      </c>
      <c r="OV10" s="40" t="str">
        <f t="shared" si="116"/>
        <v/>
      </c>
      <c r="OW10" s="40" t="str">
        <f t="shared" si="117"/>
        <v/>
      </c>
      <c r="OX10" s="40" t="str">
        <f t="shared" si="118"/>
        <v/>
      </c>
      <c r="OY10" s="40" t="str">
        <f t="shared" si="119"/>
        <v/>
      </c>
      <c r="OZ10" s="40" t="str">
        <f t="shared" si="120"/>
        <v/>
      </c>
      <c r="PA10" s="40" t="str">
        <f t="shared" si="121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2"/>
        <v/>
      </c>
      <c r="PW10" s="11" t="str">
        <f t="shared" si="123"/>
        <v/>
      </c>
      <c r="PX10" s="11" t="str">
        <f t="shared" si="124"/>
        <v/>
      </c>
      <c r="PY10" s="11" t="str">
        <f t="shared" si="125"/>
        <v/>
      </c>
      <c r="PZ10" s="11" t="str">
        <f t="shared" si="126"/>
        <v/>
      </c>
      <c r="QA10" s="11" t="str">
        <f t="shared" si="127"/>
        <v/>
      </c>
      <c r="QB10" s="11" t="str">
        <f t="shared" si="128"/>
        <v/>
      </c>
      <c r="QC10" s="11" t="str">
        <f t="shared" si="129"/>
        <v/>
      </c>
      <c r="QD10" s="22">
        <f t="shared" si="130"/>
        <v>8.4</v>
      </c>
      <c r="QE10" s="22">
        <f t="shared" si="131"/>
        <v>2.85</v>
      </c>
      <c r="QF10" s="22">
        <f t="shared" si="132"/>
        <v>0</v>
      </c>
      <c r="QG10" s="22">
        <f t="shared" si="133"/>
        <v>0.35</v>
      </c>
      <c r="QH10" s="22">
        <f t="shared" si="134"/>
        <v>8.4</v>
      </c>
      <c r="QI10" s="22">
        <f t="shared" si="135"/>
        <v>2.65</v>
      </c>
      <c r="QJ10" s="22">
        <f t="shared" si="136"/>
        <v>0</v>
      </c>
      <c r="QK10" s="22">
        <f t="shared" si="137"/>
        <v>0.35</v>
      </c>
      <c r="QL10" s="22">
        <f t="shared" si="138"/>
        <v>0</v>
      </c>
      <c r="QM10" s="22">
        <f t="shared" si="139"/>
        <v>0</v>
      </c>
      <c r="QN10" s="22">
        <f t="shared" si="140"/>
        <v>0</v>
      </c>
      <c r="QO10" s="22">
        <f t="shared" si="141"/>
        <v>0</v>
      </c>
      <c r="QP10" s="22">
        <f t="shared" si="142"/>
        <v>7.9</v>
      </c>
      <c r="QQ10" s="22">
        <f t="shared" si="143"/>
        <v>1.55</v>
      </c>
      <c r="QR10" s="22">
        <f t="shared" si="144"/>
        <v>0</v>
      </c>
      <c r="QS10" s="22">
        <f t="shared" si="145"/>
        <v>0.35</v>
      </c>
      <c r="QT10" s="22">
        <f t="shared" si="146"/>
        <v>8.3000000000000007</v>
      </c>
      <c r="QU10" s="22">
        <f t="shared" si="147"/>
        <v>2.65</v>
      </c>
      <c r="QV10" s="22">
        <f t="shared" si="148"/>
        <v>0</v>
      </c>
      <c r="QW10" s="22">
        <f t="shared" si="149"/>
        <v>0.35</v>
      </c>
      <c r="QX10" s="27" t="s">
        <v>46</v>
      </c>
      <c r="QY10" s="40">
        <f t="shared" si="150"/>
        <v>5.5</v>
      </c>
      <c r="QZ10" s="40">
        <f t="shared" si="151"/>
        <v>23</v>
      </c>
      <c r="RA10" s="40" t="str">
        <f t="shared" si="152"/>
        <v/>
      </c>
      <c r="RB10" s="40">
        <f t="shared" si="153"/>
        <v>5.5</v>
      </c>
      <c r="RC10" s="40">
        <f t="shared" si="154"/>
        <v>23</v>
      </c>
      <c r="RD10" s="40">
        <f t="shared" si="155"/>
        <v>4.2</v>
      </c>
      <c r="RE10" s="40">
        <f t="shared" si="156"/>
        <v>21.1</v>
      </c>
      <c r="RF10" s="40">
        <f t="shared" si="157"/>
        <v>44.1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4</v>
      </c>
      <c r="C11" s="5" t="s">
        <v>176</v>
      </c>
      <c r="D11" s="4" t="s">
        <v>3</v>
      </c>
      <c r="E11" s="4">
        <v>2008</v>
      </c>
      <c r="F11" s="9">
        <f t="shared" si="0"/>
        <v>131.90000859000429</v>
      </c>
      <c r="G11" s="64"/>
      <c r="H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DZ11&gt;=EG$23,EA11&gt;=EG$27,DZ11&lt;&gt;""),AND(EE11&gt;=EG$23,EF11&gt;=EG$27,EE11&lt;&gt;""),AND(FB11&gt;=FI$23,FC11&gt;=FI$27,FB11&lt;&gt;""),AND(FG11&gt;=FI$23,FH11&gt;=FI$27,FG11&lt;&gt;""),AND(GD11&gt;=GK$23,GE11&gt;=GK$27,GD11&lt;&gt;""),AND(GI11&gt;=GK$23,GJ11&gt;=GK$27,GI11&lt;&gt;""),AND(HF11&gt;=HM$23,HG11&gt;=HM$27,HF11&lt;&gt;""),AND(HK11&gt;=HM$23,HL11&gt;=HM$27,HK11&lt;&gt;""),AND(IH11&gt;=IO$23,II11&gt;=IO$27,IH11&lt;&gt;""),AND(IM11&gt;=IO$23,IN11&gt;=IO$27,IM11&lt;&gt;""),AND(JJ11&gt;=JQ$23,JK11&gt;=JQ$27,JJ11&lt;&gt;""),AND(JO11&gt;=JQ$23,JP11&gt;=JQ$27,JO11&lt;&gt;""),AND(KL11&gt;=KS$23,KM11&gt;=KS$27,KL11&lt;&gt;""),AND(KQ11&gt;=KS$23,KR11&gt;=KS$27,KQ11&lt;&gt;""),AND(LN11&gt;=LU$23,LO11&gt;=LU$27,LN11&lt;&gt;""),AND(LS11&gt;=LU$23,LT11&gt;=LU$27,LS11&lt;&gt;""),AND(MP11&gt;=MW$23,MQ11&gt;=MW$27,MP11&lt;&gt;""),AND(MU11&gt;=MW$23,MV11&gt;=MW$27,MU11&lt;&gt;""),AND(NR11&gt;=NY$23,NS11&gt;=NY$27,NR11&lt;&gt;""),AND(NW11&gt;=NY$23,NX11&gt;=NY$27,NW11&lt;&gt;""),AND(OT11&gt;=PA$23,OU11&gt;=PA$27,OT11&lt;&gt;""),AND(OY11&gt;=PA$23,OZ11&gt;=PA$27,OY11&lt;&gt;""),AND(PV11&gt;=QC$23,PW11&gt;=QC$27,PV11&lt;&gt;""),AND(QA11&gt;=QC$23,QB11&gt;=QC$27,QA11&lt;&gt;"")),"P","")</f>
        <v>P</v>
      </c>
      <c r="I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A11&gt;=EG$27,EA11&lt;&gt;""),AND(EF11&gt;=EG$27,EF11&lt;&gt;""),AND(FC11&gt;=FI$27,FC11&lt;&gt;""),AND(FH11&gt;=FI$27,FH11&lt;&gt;""),AND(GE11&gt;=GK$27,GE11&lt;&gt;""),AND(GJ11&gt;=GK$27,GJ11&lt;&gt;""),AND(HG11&gt;=HM$27,HG11&lt;&gt;""),AND(HL11&gt;=HM$27,HL11&lt;&gt;""),AND(II11&gt;=IO$27,II11&lt;&gt;""),AND(IN11&gt;=IO$27,IN11&lt;&gt;""),AND(JK11&gt;=JQ$27,JK11&lt;&gt;""),AND(JP11&gt;=JQ$27,JP11&lt;&gt;""),AND(KM11&gt;=KS$27,KM11&lt;&gt;""),AND(KR11&gt;=KS$27,KR11&lt;&gt;""),AND(LO11&gt;=LU$27,LO11&lt;&gt;""),AND(LT11&gt;=LU$27,LT11&lt;&gt;""),AND(MQ11&gt;=MW$27,MQ11&lt;&gt;""),AND(MV11&gt;=MW$27,MV11&lt;&gt;""),AND(NS11&gt;=NY$27,NS11&lt;&gt;""),AND(NX11&gt;=NY$27,NX11&lt;&gt;""),AND(OU11&gt;=PA$27,OU11&lt;&gt;""),AND(OZ11&gt;=PA$27,OZ11&lt;&gt;""),AND(PW11&gt;=QC$27,PW11&lt;&gt;""),AND(QB11&gt;=QC$27,QB11&lt;&gt;"")),"P","")</f>
        <v>P</v>
      </c>
      <c r="J11" s="36" t="str">
        <f>IF(AND(I11="P",H11=""),"No DD",IF(OR(AND(AS11&gt;=AW$26,AT11&gt;=AW$30,AS11&lt;&gt;"",AO11=""),AND(BV11&gt;=BZ$26,BW11&gt;=BZ$30,BV11&lt;&gt;"",BR11=""),AND(CY11&gt;=DC$26,CZ11&gt;=DC$30,CY11&lt;&gt;"",CU11=""),AND(EC11&gt;=EG$26,ED11&gt;=EG$30,EC11&lt;&gt;""),AND(FE11&gt;=FI$26,FF11&gt;=FI$30,FE11&lt;&gt;""),AND(GG11&gt;=GK$26,GH11&gt;=GK$30,GG11&lt;&gt;""),AND(HI11&gt;=HM$26,HJ11&gt;=HM$30,HI11&lt;&gt;""),AND(IK11&gt;=IO$26,IL11&gt;=IO$30,IK11&lt;&gt;""),AND(JM11&gt;=JQ$26,JN11&gt;=JQ$30,JM11&lt;&gt;""),AND(KO11&gt;=KS$26,KP11&gt;=KS$30,KO11&lt;&gt;""),AND(LQ11&gt;=LU$26,LR11&gt;=LU$30,LQ11&lt;&gt;""),AND(MS11&gt;=MW$26,MT11&gt;=MW$30,MS11&lt;&gt;""),AND(NU11&gt;=NY$26,NV11&gt;=NY$30,NU11&lt;&gt;""),AND(OW11&gt;=PA$26,OX11&gt;=PA$30,OW11&lt;&gt;""),AND(PY11&gt;=QC$26,PZ11&gt;=QC$30,PY11&lt;&gt;"")),"Merit",IF(OR(AND(AS11&gt;=AW$25,AT11&gt;=AW$29,AS11&lt;&gt;"",AO11=""),AND(BV11&gt;=BZ$25,BW11&gt;=BZ$29,BV11&lt;&gt;"",BR11=""),AND(CY11&gt;=DC$25,CZ11&gt;=DC$29,CY11&lt;&gt;"",CU11=""),AND(EC11&gt;=EG$25,ED11&gt;=EG$29,EC11&lt;&gt;""),AND(FE11&gt;=FI$25,FF11&gt;=FI$29,FE11&lt;&gt;""),AND(GG11&gt;=GK$25,GH11&gt;=GK$29,GG11&lt;&gt;""),AND(HI11&gt;=HM$25,HJ11&gt;=HM$29,HI11&lt;&gt;""),AND(IK11&gt;=IO$25,IL11&gt;=IO$29,IK11&lt;&gt;""),AND(JM11&gt;=JQ$25,JN11&gt;=JQ$29,JM11&lt;&gt;""),AND(KO11&gt;=KS$25,KP11&gt;=KS$29,KO11&lt;&gt;""),AND(LQ11&gt;=LU$25,LR11&gt;=LU$29,LQ11&lt;&gt;""),AND(MS11&gt;=MW$25,MT11&gt;=MW$29,MS11&lt;&gt;""),AND(NU11&gt;=NY$25,NV11&gt;=NY$29,NU11&lt;&gt;""),AND(OW11&gt;=PA$25,OX11&gt;=PA$29,OW11&lt;&gt;""),AND(PY11&gt;=QC$25,PZ11&gt;=QC$29,PY11&lt;&gt;"")),"Excellence",IF(K11="P","Worlds Team",IF(H11="P","National Team","")))))</f>
        <v>National Team</v>
      </c>
      <c r="K11" s="3" t="str">
        <f>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P","")</f>
        <v/>
      </c>
      <c r="L11" s="8">
        <f>IF(COUNT(AQ11,BT11,CW11)&gt;0,LARGE((AQ11,BT11,CW11),1),0)</f>
        <v>43.099999999999994</v>
      </c>
      <c r="M11" s="8" t="str">
        <f t="shared" si="1"/>
        <v>2024 3rd Domestic Trial</v>
      </c>
      <c r="N11" s="8">
        <f>IF(COUNT(AQ11,BT11,CW11)&gt;1,LARGE((AQ11,BT11,CW11),2),0)</f>
        <v>42.8</v>
      </c>
      <c r="O11" s="8" t="str">
        <f t="shared" si="2"/>
        <v>2025 Elite Canada</v>
      </c>
      <c r="P11" s="8">
        <f t="shared" si="3"/>
        <v>45.199999999999996</v>
      </c>
      <c r="Q11" s="8" t="str">
        <f t="shared" si="4"/>
        <v>2024 3rd Domestic Trial</v>
      </c>
      <c r="R11" s="8">
        <f t="shared" si="5"/>
        <v>0.79999999999999716</v>
      </c>
      <c r="S11" s="11" t="str">
        <f t="shared" si="6"/>
        <v>(Q1)</v>
      </c>
      <c r="T11" s="8" t="str">
        <f t="shared" si="7"/>
        <v>2024 Coimbra Gym Fest (July 7)</v>
      </c>
      <c r="U11" s="19">
        <v>16.100000000000001</v>
      </c>
      <c r="V11" s="19">
        <v>5.9</v>
      </c>
      <c r="W11" s="19">
        <v>0</v>
      </c>
      <c r="X11" s="19">
        <v>0.3</v>
      </c>
      <c r="Y11" s="19">
        <v>15.6</v>
      </c>
      <c r="Z11" s="19">
        <v>5.3</v>
      </c>
      <c r="AA11" s="19">
        <v>0.4</v>
      </c>
      <c r="AB11" s="19">
        <v>0.3</v>
      </c>
      <c r="AC11" s="19">
        <v>16.8</v>
      </c>
      <c r="AD11" s="19">
        <v>5.7</v>
      </c>
      <c r="AE11" s="19">
        <v>0</v>
      </c>
      <c r="AF11" s="19">
        <v>0.3</v>
      </c>
      <c r="AG11" s="19">
        <v>16.899999999999999</v>
      </c>
      <c r="AH11" s="19">
        <v>5.9</v>
      </c>
      <c r="AI11" s="19">
        <v>0</v>
      </c>
      <c r="AJ11" s="19">
        <v>0.3</v>
      </c>
      <c r="AK11" s="19">
        <v>16.3</v>
      </c>
      <c r="AL11" s="19">
        <v>5.5</v>
      </c>
      <c r="AM11" s="19">
        <v>0</v>
      </c>
      <c r="AN11" s="19">
        <v>0.3</v>
      </c>
      <c r="AO11" s="27"/>
      <c r="AP11" s="40">
        <f t="shared" si="8"/>
        <v>11.2</v>
      </c>
      <c r="AQ11" s="40">
        <f t="shared" si="9"/>
        <v>43.099999999999994</v>
      </c>
      <c r="AR11" s="40">
        <f t="shared" si="10"/>
        <v>22.8</v>
      </c>
      <c r="AS11" s="40">
        <f t="shared" si="11"/>
        <v>16.899999999999999</v>
      </c>
      <c r="AT11" s="40">
        <f t="shared" si="12"/>
        <v>65.899999999999991</v>
      </c>
      <c r="AU11" s="40">
        <f t="shared" si="13"/>
        <v>11.4</v>
      </c>
      <c r="AV11" s="40">
        <f t="shared" si="14"/>
        <v>45.199999999999996</v>
      </c>
      <c r="AW11" s="40">
        <f t="shared" si="15"/>
        <v>111.1</v>
      </c>
      <c r="AX11" s="18">
        <v>17.3</v>
      </c>
      <c r="AY11" s="18">
        <v>5.5</v>
      </c>
      <c r="AZ11" s="18">
        <v>0</v>
      </c>
      <c r="BA11" s="18">
        <v>0</v>
      </c>
      <c r="BB11" s="18">
        <v>14.3</v>
      </c>
      <c r="BC11" s="18">
        <v>5.9</v>
      </c>
      <c r="BD11" s="18">
        <v>0.2</v>
      </c>
      <c r="BE11" s="18">
        <v>0</v>
      </c>
      <c r="BF11" s="18"/>
      <c r="BG11" s="18"/>
      <c r="BH11" s="18"/>
      <c r="BI11" s="18"/>
      <c r="BJ11" s="18">
        <v>14.2</v>
      </c>
      <c r="BK11" s="18">
        <v>3.2</v>
      </c>
      <c r="BL11" s="18">
        <v>0</v>
      </c>
      <c r="BM11" s="18">
        <v>0</v>
      </c>
      <c r="BN11" s="18">
        <v>15.9</v>
      </c>
      <c r="BO11" s="18">
        <v>5.5</v>
      </c>
      <c r="BP11" s="18">
        <v>0</v>
      </c>
      <c r="BQ11" s="18">
        <v>0</v>
      </c>
      <c r="BR11" s="28"/>
      <c r="BS11" s="11">
        <f t="shared" si="16"/>
        <v>11.4</v>
      </c>
      <c r="BT11" s="11">
        <f t="shared" si="17"/>
        <v>42.8</v>
      </c>
      <c r="BU11" s="11" t="str">
        <f t="shared" si="18"/>
        <v/>
      </c>
      <c r="BV11" s="11">
        <f t="shared" si="19"/>
        <v>11.4</v>
      </c>
      <c r="BW11" s="11">
        <f t="shared" si="20"/>
        <v>42.8</v>
      </c>
      <c r="BX11" s="11">
        <f t="shared" si="21"/>
        <v>8.6999999999999993</v>
      </c>
      <c r="BY11" s="11">
        <f t="shared" si="22"/>
        <v>38.799999999999997</v>
      </c>
      <c r="BZ11" s="11">
        <f t="shared" si="23"/>
        <v>81.599999999999994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4"/>
        <v/>
      </c>
      <c r="CW11" s="40" t="str">
        <f t="shared" si="25"/>
        <v/>
      </c>
      <c r="CX11" s="40" t="str">
        <f t="shared" si="26"/>
        <v/>
      </c>
      <c r="CY11" s="40" t="str">
        <f t="shared" si="27"/>
        <v/>
      </c>
      <c r="CZ11" s="40" t="str">
        <f t="shared" si="28"/>
        <v/>
      </c>
      <c r="DA11" s="40" t="str">
        <f t="shared" si="29"/>
        <v/>
      </c>
      <c r="DB11" s="40" t="str">
        <f t="shared" si="30"/>
        <v/>
      </c>
      <c r="DC11" s="40" t="str">
        <f t="shared" si="31"/>
        <v/>
      </c>
      <c r="DD11" s="50">
        <f t="shared" si="32"/>
        <v>0.79999999999999716</v>
      </c>
      <c r="DE11" s="50" t="str">
        <f t="shared" si="33"/>
        <v/>
      </c>
      <c r="DF11" s="17">
        <v>15.9</v>
      </c>
      <c r="DG11" s="17">
        <v>5.5</v>
      </c>
      <c r="DH11" s="17">
        <v>0</v>
      </c>
      <c r="DI11" s="17">
        <v>0</v>
      </c>
      <c r="DJ11" s="17">
        <v>16.2</v>
      </c>
      <c r="DK11" s="17">
        <v>6</v>
      </c>
      <c r="DL11" s="17">
        <v>0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>
        <f t="shared" si="34"/>
        <v>11.5</v>
      </c>
      <c r="EA11" s="40">
        <f t="shared" si="35"/>
        <v>43.599999999999994</v>
      </c>
      <c r="EB11" s="40" t="str">
        <f t="shared" si="36"/>
        <v/>
      </c>
      <c r="EC11" s="40">
        <f t="shared" si="37"/>
        <v>11.5</v>
      </c>
      <c r="ED11" s="40">
        <f t="shared" si="38"/>
        <v>43.599999999999994</v>
      </c>
      <c r="EE11" s="40" t="str">
        <f t="shared" si="39"/>
        <v/>
      </c>
      <c r="EF11" s="40" t="str">
        <f t="shared" si="40"/>
        <v/>
      </c>
      <c r="EG11" s="40">
        <f t="shared" si="41"/>
        <v>43.599999999999994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2"/>
        <v/>
      </c>
      <c r="FC11" s="11" t="str">
        <f t="shared" si="43"/>
        <v/>
      </c>
      <c r="FD11" s="11" t="str">
        <f t="shared" si="44"/>
        <v/>
      </c>
      <c r="FE11" s="11" t="str">
        <f t="shared" si="45"/>
        <v/>
      </c>
      <c r="FF11" s="11" t="str">
        <f t="shared" si="46"/>
        <v/>
      </c>
      <c r="FG11" s="11" t="str">
        <f t="shared" si="47"/>
        <v/>
      </c>
      <c r="FH11" s="11" t="str">
        <f t="shared" si="48"/>
        <v/>
      </c>
      <c r="FI11" s="11" t="str">
        <f t="shared" si="49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0"/>
        <v/>
      </c>
      <c r="GE11" s="40" t="str">
        <f t="shared" si="51"/>
        <v/>
      </c>
      <c r="GF11" s="40" t="str">
        <f t="shared" si="52"/>
        <v/>
      </c>
      <c r="GG11" s="40" t="str">
        <f t="shared" si="53"/>
        <v/>
      </c>
      <c r="GH11" s="40" t="str">
        <f t="shared" si="54"/>
        <v/>
      </c>
      <c r="GI11" s="40" t="str">
        <f t="shared" si="55"/>
        <v/>
      </c>
      <c r="GJ11" s="40" t="str">
        <f t="shared" si="56"/>
        <v/>
      </c>
      <c r="GK11" s="40" t="str">
        <f t="shared" si="57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58"/>
        <v/>
      </c>
      <c r="HG11" s="11" t="str">
        <f t="shared" si="59"/>
        <v/>
      </c>
      <c r="HH11" s="11" t="str">
        <f t="shared" si="60"/>
        <v/>
      </c>
      <c r="HI11" s="11" t="str">
        <f t="shared" si="61"/>
        <v/>
      </c>
      <c r="HJ11" s="11" t="str">
        <f t="shared" si="62"/>
        <v/>
      </c>
      <c r="HK11" s="11" t="str">
        <f t="shared" si="63"/>
        <v/>
      </c>
      <c r="HL11" s="11" t="str">
        <f t="shared" si="64"/>
        <v/>
      </c>
      <c r="HM11" s="11" t="str">
        <f t="shared" si="65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6"/>
        <v/>
      </c>
      <c r="II11" s="40" t="str">
        <f t="shared" si="67"/>
        <v/>
      </c>
      <c r="IJ11" s="40" t="str">
        <f t="shared" si="68"/>
        <v/>
      </c>
      <c r="IK11" s="40" t="str">
        <f t="shared" si="69"/>
        <v/>
      </c>
      <c r="IL11" s="40" t="str">
        <f t="shared" si="70"/>
        <v/>
      </c>
      <c r="IM11" s="40" t="str">
        <f t="shared" si="71"/>
        <v/>
      </c>
      <c r="IN11" s="40" t="str">
        <f t="shared" si="72"/>
        <v/>
      </c>
      <c r="IO11" s="40" t="str">
        <f t="shared" si="73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4"/>
        <v/>
      </c>
      <c r="JK11" s="11" t="str">
        <f t="shared" si="75"/>
        <v/>
      </c>
      <c r="JL11" s="11" t="str">
        <f t="shared" si="76"/>
        <v/>
      </c>
      <c r="JM11" s="11" t="str">
        <f t="shared" si="77"/>
        <v/>
      </c>
      <c r="JN11" s="11" t="str">
        <f t="shared" si="78"/>
        <v/>
      </c>
      <c r="JO11" s="11" t="str">
        <f t="shared" si="79"/>
        <v/>
      </c>
      <c r="JP11" s="11" t="str">
        <f t="shared" si="80"/>
        <v/>
      </c>
      <c r="JQ11" s="11" t="str">
        <f t="shared" si="81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2"/>
        <v/>
      </c>
      <c r="KM11" s="40" t="str">
        <f t="shared" si="83"/>
        <v/>
      </c>
      <c r="KN11" s="40" t="str">
        <f t="shared" si="84"/>
        <v/>
      </c>
      <c r="KO11" s="40" t="str">
        <f t="shared" si="85"/>
        <v/>
      </c>
      <c r="KP11" s="40" t="str">
        <f t="shared" si="86"/>
        <v/>
      </c>
      <c r="KQ11" s="40" t="str">
        <f t="shared" si="87"/>
        <v/>
      </c>
      <c r="KR11" s="40" t="str">
        <f t="shared" si="88"/>
        <v/>
      </c>
      <c r="KS11" s="40" t="str">
        <f t="shared" si="89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0"/>
        <v/>
      </c>
      <c r="LO11" s="11" t="str">
        <f t="shared" si="91"/>
        <v/>
      </c>
      <c r="LP11" s="11" t="str">
        <f t="shared" si="92"/>
        <v/>
      </c>
      <c r="LQ11" s="11" t="str">
        <f t="shared" si="93"/>
        <v/>
      </c>
      <c r="LR11" s="11" t="str">
        <f t="shared" si="94"/>
        <v/>
      </c>
      <c r="LS11" s="11" t="str">
        <f t="shared" si="95"/>
        <v/>
      </c>
      <c r="LT11" s="11" t="str">
        <f t="shared" si="96"/>
        <v/>
      </c>
      <c r="LU11" s="11" t="str">
        <f t="shared" si="97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98"/>
        <v/>
      </c>
      <c r="MQ11" s="40" t="str">
        <f t="shared" si="99"/>
        <v/>
      </c>
      <c r="MR11" s="40" t="str">
        <f t="shared" si="100"/>
        <v/>
      </c>
      <c r="MS11" s="40" t="str">
        <f t="shared" si="101"/>
        <v/>
      </c>
      <c r="MT11" s="40" t="str">
        <f t="shared" si="102"/>
        <v/>
      </c>
      <c r="MU11" s="40" t="str">
        <f t="shared" si="103"/>
        <v/>
      </c>
      <c r="MV11" s="40" t="str">
        <f t="shared" si="104"/>
        <v/>
      </c>
      <c r="MW11" s="40" t="str">
        <f t="shared" si="105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6"/>
        <v/>
      </c>
      <c r="NS11" s="11" t="str">
        <f t="shared" si="107"/>
        <v/>
      </c>
      <c r="NT11" s="11" t="str">
        <f t="shared" si="108"/>
        <v/>
      </c>
      <c r="NU11" s="11" t="str">
        <f t="shared" si="109"/>
        <v/>
      </c>
      <c r="NV11" s="11" t="str">
        <f t="shared" si="110"/>
        <v/>
      </c>
      <c r="NW11" s="11" t="str">
        <f t="shared" si="111"/>
        <v/>
      </c>
      <c r="NX11" s="11" t="str">
        <f t="shared" si="112"/>
        <v/>
      </c>
      <c r="NY11" s="11" t="str">
        <f t="shared" si="113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4"/>
        <v/>
      </c>
      <c r="OU11" s="40" t="str">
        <f t="shared" si="115"/>
        <v/>
      </c>
      <c r="OV11" s="40" t="str">
        <f t="shared" si="116"/>
        <v/>
      </c>
      <c r="OW11" s="40" t="str">
        <f t="shared" si="117"/>
        <v/>
      </c>
      <c r="OX11" s="40" t="str">
        <f t="shared" si="118"/>
        <v/>
      </c>
      <c r="OY11" s="40" t="str">
        <f t="shared" si="119"/>
        <v/>
      </c>
      <c r="OZ11" s="40" t="str">
        <f t="shared" si="120"/>
        <v/>
      </c>
      <c r="PA11" s="40" t="str">
        <f t="shared" si="121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2"/>
        <v/>
      </c>
      <c r="PW11" s="11" t="str">
        <f t="shared" si="123"/>
        <v/>
      </c>
      <c r="PX11" s="11" t="str">
        <f t="shared" si="124"/>
        <v/>
      </c>
      <c r="PY11" s="11" t="str">
        <f t="shared" si="125"/>
        <v/>
      </c>
      <c r="PZ11" s="11" t="str">
        <f t="shared" si="126"/>
        <v/>
      </c>
      <c r="QA11" s="11" t="str">
        <f t="shared" si="127"/>
        <v/>
      </c>
      <c r="QB11" s="11" t="str">
        <f t="shared" si="128"/>
        <v/>
      </c>
      <c r="QC11" s="11" t="str">
        <f t="shared" si="129"/>
        <v/>
      </c>
      <c r="QD11" s="22">
        <f t="shared" si="130"/>
        <v>8.65</v>
      </c>
      <c r="QE11" s="22">
        <f t="shared" si="131"/>
        <v>2.75</v>
      </c>
      <c r="QF11" s="22">
        <f t="shared" si="132"/>
        <v>0</v>
      </c>
      <c r="QG11" s="22">
        <f t="shared" si="133"/>
        <v>0</v>
      </c>
      <c r="QH11" s="22">
        <f t="shared" si="134"/>
        <v>7.15</v>
      </c>
      <c r="QI11" s="22">
        <f t="shared" si="135"/>
        <v>2.95</v>
      </c>
      <c r="QJ11" s="22">
        <f t="shared" si="136"/>
        <v>0.1</v>
      </c>
      <c r="QK11" s="22">
        <f t="shared" si="137"/>
        <v>0</v>
      </c>
      <c r="QL11" s="22">
        <f t="shared" si="138"/>
        <v>0</v>
      </c>
      <c r="QM11" s="22">
        <f t="shared" si="139"/>
        <v>0</v>
      </c>
      <c r="QN11" s="22">
        <f t="shared" si="140"/>
        <v>0</v>
      </c>
      <c r="QO11" s="22">
        <f t="shared" si="141"/>
        <v>0</v>
      </c>
      <c r="QP11" s="22">
        <f t="shared" si="142"/>
        <v>7.1</v>
      </c>
      <c r="QQ11" s="22">
        <f t="shared" si="143"/>
        <v>1.6</v>
      </c>
      <c r="QR11" s="22">
        <f t="shared" si="144"/>
        <v>0</v>
      </c>
      <c r="QS11" s="22">
        <f t="shared" si="145"/>
        <v>0</v>
      </c>
      <c r="QT11" s="22">
        <f t="shared" si="146"/>
        <v>7.95</v>
      </c>
      <c r="QU11" s="22">
        <f t="shared" si="147"/>
        <v>2.75</v>
      </c>
      <c r="QV11" s="22">
        <f t="shared" si="148"/>
        <v>0</v>
      </c>
      <c r="QW11" s="22">
        <f t="shared" si="149"/>
        <v>0</v>
      </c>
      <c r="QX11" s="27" t="s">
        <v>46</v>
      </c>
      <c r="QY11" s="40">
        <f t="shared" si="150"/>
        <v>5.7</v>
      </c>
      <c r="QZ11" s="40">
        <f t="shared" si="151"/>
        <v>21.4</v>
      </c>
      <c r="RA11" s="40" t="str">
        <f t="shared" si="152"/>
        <v/>
      </c>
      <c r="RB11" s="40">
        <f t="shared" si="153"/>
        <v>5.7</v>
      </c>
      <c r="RC11" s="40">
        <f t="shared" si="154"/>
        <v>21.4</v>
      </c>
      <c r="RD11" s="40">
        <f t="shared" si="155"/>
        <v>4.3499999999999996</v>
      </c>
      <c r="RE11" s="40">
        <f t="shared" si="156"/>
        <v>19.399999999999999</v>
      </c>
      <c r="RF11" s="40">
        <f t="shared" si="157"/>
        <v>40.799999999999997</v>
      </c>
    </row>
    <row r="12" spans="1:474" x14ac:dyDescent="0.2">
      <c r="A12" s="4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>9</v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87</v>
      </c>
      <c r="D12" s="4" t="s">
        <v>4</v>
      </c>
      <c r="E12" s="4">
        <v>2004</v>
      </c>
      <c r="F12" s="9">
        <f t="shared" si="0"/>
        <v>97.100007335004889</v>
      </c>
      <c r="G12" s="64" t="s">
        <v>46</v>
      </c>
      <c r="H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DZ12&gt;=EG$23,EA12&gt;=EG$27,DZ12&lt;&gt;""),AND(EE12&gt;=EG$23,EF12&gt;=EG$27,EE12&lt;&gt;""),AND(FB12&gt;=FI$23,FC12&gt;=FI$27,FB12&lt;&gt;""),AND(FG12&gt;=FI$23,FH12&gt;=FI$27,FG12&lt;&gt;""),AND(GD12&gt;=GK$23,GE12&gt;=GK$27,GD12&lt;&gt;""),AND(GI12&gt;=GK$23,GJ12&gt;=GK$27,GI12&lt;&gt;""),AND(HF12&gt;=HM$23,HG12&gt;=HM$27,HF12&lt;&gt;""),AND(HK12&gt;=HM$23,HL12&gt;=HM$27,HK12&lt;&gt;""),AND(IH12&gt;=IO$23,II12&gt;=IO$27,IH12&lt;&gt;""),AND(IM12&gt;=IO$23,IN12&gt;=IO$27,IM12&lt;&gt;""),AND(JJ12&gt;=JQ$23,JK12&gt;=JQ$27,JJ12&lt;&gt;""),AND(JO12&gt;=JQ$23,JP12&gt;=JQ$27,JO12&lt;&gt;""),AND(KL12&gt;=KS$23,KM12&gt;=KS$27,KL12&lt;&gt;""),AND(KQ12&gt;=KS$23,KR12&gt;=KS$27,KQ12&lt;&gt;""),AND(LN12&gt;=LU$23,LO12&gt;=LU$27,LN12&lt;&gt;""),AND(LS12&gt;=LU$23,LT12&gt;=LU$27,LS12&lt;&gt;""),AND(MP12&gt;=MW$23,MQ12&gt;=MW$27,MP12&lt;&gt;""),AND(MU12&gt;=MW$23,MV12&gt;=MW$27,MU12&lt;&gt;""),AND(NR12&gt;=NY$23,NS12&gt;=NY$27,NR12&lt;&gt;""),AND(NW12&gt;=NY$23,NX12&gt;=NY$27,NW12&lt;&gt;""),AND(OT12&gt;=PA$23,OU12&gt;=PA$27,OT12&lt;&gt;""),AND(OY12&gt;=PA$23,OZ12&gt;=PA$27,OY12&lt;&gt;""),AND(PV12&gt;=QC$23,PW12&gt;=QC$27,PV12&lt;&gt;""),AND(QA12&gt;=QC$23,QB12&gt;=QC$27,QA12&lt;&gt;"")),"P","")</f>
        <v>P</v>
      </c>
      <c r="I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A12&gt;=EG$27,EA12&lt;&gt;""),AND(EF12&gt;=EG$27,EF12&lt;&gt;""),AND(FC12&gt;=FI$27,FC12&lt;&gt;""),AND(FH12&gt;=FI$27,FH12&lt;&gt;""),AND(GE12&gt;=GK$27,GE12&lt;&gt;""),AND(GJ12&gt;=GK$27,GJ12&lt;&gt;""),AND(HG12&gt;=HM$27,HG12&lt;&gt;""),AND(HL12&gt;=HM$27,HL12&lt;&gt;""),AND(II12&gt;=IO$27,II12&lt;&gt;""),AND(IN12&gt;=IO$27,IN12&lt;&gt;""),AND(JK12&gt;=JQ$27,JK12&lt;&gt;""),AND(JP12&gt;=JQ$27,JP12&lt;&gt;""),AND(KM12&gt;=KS$27,KM12&lt;&gt;""),AND(KR12&gt;=KS$27,KR12&lt;&gt;""),AND(LO12&gt;=LU$27,LO12&lt;&gt;""),AND(LT12&gt;=LU$27,LT12&lt;&gt;""),AND(MQ12&gt;=MW$27,MQ12&lt;&gt;""),AND(MV12&gt;=MW$27,MV12&lt;&gt;""),AND(NS12&gt;=NY$27,NS12&lt;&gt;""),AND(NX12&gt;=NY$27,NX12&lt;&gt;""),AND(OU12&gt;=PA$27,OU12&lt;&gt;""),AND(OZ12&gt;=PA$27,OZ12&lt;&gt;""),AND(PW12&gt;=QC$27,PW12&lt;&gt;""),AND(QB12&gt;=QC$27,QB12&lt;&gt;"")),"P","")</f>
        <v>P</v>
      </c>
      <c r="J12" s="36" t="str">
        <f>IF(AND(I12="P",H12=""),"No DD",IF(OR(AND(AS12&gt;=AW$26,AT12&gt;=AW$30,AS12&lt;&gt;"",AO12=""),AND(BV12&gt;=BZ$26,BW12&gt;=BZ$30,BV12&lt;&gt;"",BR12=""),AND(CY12&gt;=DC$26,CZ12&gt;=DC$30,CY12&lt;&gt;"",CU12=""),AND(EC12&gt;=EG$26,ED12&gt;=EG$30,EC12&lt;&gt;""),AND(FE12&gt;=FI$26,FF12&gt;=FI$30,FE12&lt;&gt;""),AND(GG12&gt;=GK$26,GH12&gt;=GK$30,GG12&lt;&gt;""),AND(HI12&gt;=HM$26,HJ12&gt;=HM$30,HI12&lt;&gt;""),AND(IK12&gt;=IO$26,IL12&gt;=IO$30,IK12&lt;&gt;""),AND(JM12&gt;=JQ$26,JN12&gt;=JQ$30,JM12&lt;&gt;""),AND(KO12&gt;=KS$26,KP12&gt;=KS$30,KO12&lt;&gt;""),AND(LQ12&gt;=LU$26,LR12&gt;=LU$30,LQ12&lt;&gt;""),AND(MS12&gt;=MW$26,MT12&gt;=MW$30,MS12&lt;&gt;""),AND(NU12&gt;=NY$26,NV12&gt;=NY$30,NU12&lt;&gt;""),AND(OW12&gt;=PA$26,OX12&gt;=PA$30,OW12&lt;&gt;""),AND(PY12&gt;=QC$26,PZ12&gt;=QC$30,PY12&lt;&gt;"")),"Merit",IF(OR(AND(AS12&gt;=AW$25,AT12&gt;=AW$29,AS12&lt;&gt;"",AO12=""),AND(BV12&gt;=BZ$25,BW12&gt;=BZ$29,BV12&lt;&gt;"",BR12=""),AND(CY12&gt;=DC$25,CZ12&gt;=DC$29,CY12&lt;&gt;"",CU12=""),AND(EC12&gt;=EG$25,ED12&gt;=EG$29,EC12&lt;&gt;""),AND(FE12&gt;=FI$25,FF12&gt;=FI$29,FE12&lt;&gt;""),AND(GG12&gt;=GK$25,GH12&gt;=GK$29,GG12&lt;&gt;""),AND(HI12&gt;=HM$25,HJ12&gt;=HM$29,HI12&lt;&gt;""),AND(IK12&gt;=IO$25,IL12&gt;=IO$29,IK12&lt;&gt;""),AND(JM12&gt;=JQ$25,JN12&gt;=JQ$29,JM12&lt;&gt;""),AND(KO12&gt;=KS$25,KP12&gt;=KS$29,KO12&lt;&gt;""),AND(LQ12&gt;=LU$25,LR12&gt;=LU$29,LQ12&lt;&gt;""),AND(MS12&gt;=MW$25,MT12&gt;=MW$29,MS12&lt;&gt;""),AND(NU12&gt;=NY$25,NV12&gt;=NY$29,NU12&lt;&gt;""),AND(OW12&gt;=PA$25,OX12&gt;=PA$29,OW12&lt;&gt;""),AND(PY12&gt;=QC$25,PZ12&gt;=QC$29,PY12&lt;&gt;"")),"Excellence",IF(K12="P","Worlds Team",IF(H12="P","National Team","")))))</f>
        <v>National Team</v>
      </c>
      <c r="K12" s="3" t="str">
        <f>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P","")</f>
        <v/>
      </c>
      <c r="L12" s="8">
        <f>IF(COUNT(AQ12,BT12,CW12)&gt;0,LARGE((AQ12,BT12,CW12),1),0)</f>
        <v>48.899999999999991</v>
      </c>
      <c r="M12" s="8" t="str">
        <f t="shared" si="1"/>
        <v>2025 Elite Canada</v>
      </c>
      <c r="N12" s="8">
        <f>IF(COUNT(AQ12,BT12,CW12)&gt;1,LARGE((AQ12,BT12,CW12),2),0)</f>
        <v>24.449999999999996</v>
      </c>
      <c r="O12" s="8" t="str">
        <f t="shared" si="2"/>
        <v>2025 Nationals</v>
      </c>
      <c r="P12" s="8">
        <f t="shared" si="3"/>
        <v>0</v>
      </c>
      <c r="Q12" s="8" t="str">
        <f t="shared" si="4"/>
        <v/>
      </c>
      <c r="R12" s="8">
        <f t="shared" si="5"/>
        <v>23.75</v>
      </c>
      <c r="S12" s="11" t="str">
        <f t="shared" si="6"/>
        <v>(Q1)</v>
      </c>
      <c r="T12" s="8" t="str">
        <f t="shared" si="7"/>
        <v>2024 World Cup POR (July 7)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8"/>
        <v/>
      </c>
      <c r="AQ12" s="40" t="str">
        <f t="shared" si="9"/>
        <v/>
      </c>
      <c r="AR12" s="40" t="str">
        <f t="shared" si="10"/>
        <v/>
      </c>
      <c r="AS12" s="40" t="str">
        <f t="shared" si="11"/>
        <v/>
      </c>
      <c r="AT12" s="40" t="str">
        <f t="shared" si="12"/>
        <v/>
      </c>
      <c r="AU12" s="40" t="str">
        <f t="shared" si="13"/>
        <v/>
      </c>
      <c r="AV12" s="40" t="str">
        <f t="shared" si="14"/>
        <v/>
      </c>
      <c r="AW12" s="40" t="str">
        <f t="shared" si="15"/>
        <v/>
      </c>
      <c r="AX12" s="18">
        <v>17.7</v>
      </c>
      <c r="AY12" s="18">
        <v>6.5</v>
      </c>
      <c r="AZ12" s="18">
        <v>0</v>
      </c>
      <c r="BA12" s="18">
        <v>0</v>
      </c>
      <c r="BB12" s="18">
        <v>17.399999999999999</v>
      </c>
      <c r="BC12" s="18">
        <v>7.3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16"/>
        <v>13.8</v>
      </c>
      <c r="BT12" s="11">
        <f t="shared" si="17"/>
        <v>48.899999999999991</v>
      </c>
      <c r="BU12" s="11" t="str">
        <f t="shared" si="18"/>
        <v/>
      </c>
      <c r="BV12" s="11">
        <f t="shared" si="19"/>
        <v>13.8</v>
      </c>
      <c r="BW12" s="11">
        <f t="shared" si="20"/>
        <v>48.899999999999991</v>
      </c>
      <c r="BX12" s="11" t="str">
        <f t="shared" si="21"/>
        <v/>
      </c>
      <c r="BY12" s="11" t="str">
        <f t="shared" si="22"/>
        <v/>
      </c>
      <c r="BZ12" s="11">
        <f t="shared" si="23"/>
        <v>48.899999999999991</v>
      </c>
      <c r="CA12" s="19">
        <v>8.85</v>
      </c>
      <c r="CB12" s="19">
        <v>3.25</v>
      </c>
      <c r="CC12" s="19">
        <v>0</v>
      </c>
      <c r="CD12" s="19">
        <v>0</v>
      </c>
      <c r="CE12" s="19">
        <v>8.6999999999999993</v>
      </c>
      <c r="CF12" s="19">
        <v>3.65</v>
      </c>
      <c r="CG12" s="19">
        <v>0</v>
      </c>
      <c r="CH12" s="19">
        <v>0</v>
      </c>
      <c r="CI12" s="19"/>
      <c r="CJ12" s="19"/>
      <c r="CK12" s="19"/>
      <c r="CL12" s="19"/>
      <c r="CM12" s="19">
        <v>0</v>
      </c>
      <c r="CN12" s="19">
        <v>0</v>
      </c>
      <c r="CO12" s="19">
        <v>0</v>
      </c>
      <c r="CP12" s="19">
        <v>0</v>
      </c>
      <c r="CQ12" s="19">
        <v>0</v>
      </c>
      <c r="CR12" s="19">
        <v>0</v>
      </c>
      <c r="CS12" s="19">
        <v>0</v>
      </c>
      <c r="CT12" s="19">
        <v>0</v>
      </c>
      <c r="CU12" s="27" t="s">
        <v>46</v>
      </c>
      <c r="CV12" s="40">
        <f t="shared" si="24"/>
        <v>6.9</v>
      </c>
      <c r="CW12" s="40">
        <f t="shared" si="25"/>
        <v>24.449999999999996</v>
      </c>
      <c r="CX12" s="40" t="str">
        <f t="shared" si="26"/>
        <v/>
      </c>
      <c r="CY12" s="40">
        <f t="shared" si="27"/>
        <v>6.9</v>
      </c>
      <c r="CZ12" s="40">
        <f t="shared" si="28"/>
        <v>24.449999999999996</v>
      </c>
      <c r="DA12" s="40" t="str">
        <f t="shared" si="29"/>
        <v/>
      </c>
      <c r="DB12" s="40" t="str">
        <f t="shared" si="30"/>
        <v/>
      </c>
      <c r="DC12" s="40">
        <f t="shared" si="31"/>
        <v>24.449999999999996</v>
      </c>
      <c r="DD12" s="50">
        <f t="shared" si="32"/>
        <v>23.75</v>
      </c>
      <c r="DE12" s="50" t="str">
        <f t="shared" si="33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4"/>
        <v/>
      </c>
      <c r="EA12" s="40" t="str">
        <f t="shared" si="35"/>
        <v/>
      </c>
      <c r="EB12" s="40" t="str">
        <f t="shared" si="36"/>
        <v/>
      </c>
      <c r="EC12" s="40" t="str">
        <f t="shared" si="37"/>
        <v/>
      </c>
      <c r="ED12" s="40" t="str">
        <f t="shared" si="38"/>
        <v/>
      </c>
      <c r="EE12" s="40" t="str">
        <f t="shared" si="39"/>
        <v/>
      </c>
      <c r="EF12" s="40" t="str">
        <f t="shared" si="40"/>
        <v/>
      </c>
      <c r="EG12" s="40" t="str">
        <f t="shared" si="41"/>
        <v/>
      </c>
      <c r="EH12" s="18">
        <v>17.399999999999999</v>
      </c>
      <c r="EI12" s="18">
        <v>6.9</v>
      </c>
      <c r="EJ12" s="18">
        <v>0</v>
      </c>
      <c r="EK12" s="18">
        <v>0</v>
      </c>
      <c r="EL12" s="18">
        <v>17</v>
      </c>
      <c r="EM12" s="18">
        <v>6.9</v>
      </c>
      <c r="EN12" s="18">
        <v>0</v>
      </c>
      <c r="EO12" s="18">
        <v>0</v>
      </c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>
        <f t="shared" si="42"/>
        <v>13.8</v>
      </c>
      <c r="FC12" s="11">
        <f t="shared" si="43"/>
        <v>48.199999999999996</v>
      </c>
      <c r="FD12" s="11" t="str">
        <f t="shared" si="44"/>
        <v/>
      </c>
      <c r="FE12" s="11">
        <f t="shared" si="45"/>
        <v>13.8</v>
      </c>
      <c r="FF12" s="11">
        <f t="shared" si="46"/>
        <v>48.199999999999996</v>
      </c>
      <c r="FG12" s="11" t="str">
        <f t="shared" si="47"/>
        <v/>
      </c>
      <c r="FH12" s="11" t="str">
        <f t="shared" si="48"/>
        <v/>
      </c>
      <c r="FI12" s="11">
        <f t="shared" si="49"/>
        <v>48.199999999999996</v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0"/>
        <v/>
      </c>
      <c r="GE12" s="40" t="str">
        <f t="shared" si="51"/>
        <v/>
      </c>
      <c r="GF12" s="40" t="str">
        <f t="shared" si="52"/>
        <v/>
      </c>
      <c r="GG12" s="40" t="str">
        <f t="shared" si="53"/>
        <v/>
      </c>
      <c r="GH12" s="40" t="str">
        <f t="shared" si="54"/>
        <v/>
      </c>
      <c r="GI12" s="40" t="str">
        <f t="shared" si="55"/>
        <v/>
      </c>
      <c r="GJ12" s="40" t="str">
        <f t="shared" si="56"/>
        <v/>
      </c>
      <c r="GK12" s="40" t="str">
        <f t="shared" si="57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58"/>
        <v/>
      </c>
      <c r="HG12" s="11" t="str">
        <f t="shared" si="59"/>
        <v/>
      </c>
      <c r="HH12" s="11" t="str">
        <f t="shared" si="60"/>
        <v/>
      </c>
      <c r="HI12" s="11" t="str">
        <f t="shared" si="61"/>
        <v/>
      </c>
      <c r="HJ12" s="11" t="str">
        <f t="shared" si="62"/>
        <v/>
      </c>
      <c r="HK12" s="11" t="str">
        <f t="shared" si="63"/>
        <v/>
      </c>
      <c r="HL12" s="11" t="str">
        <f t="shared" si="64"/>
        <v/>
      </c>
      <c r="HM12" s="11" t="str">
        <f t="shared" si="65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6"/>
        <v/>
      </c>
      <c r="II12" s="40" t="str">
        <f t="shared" si="67"/>
        <v/>
      </c>
      <c r="IJ12" s="40" t="str">
        <f t="shared" si="68"/>
        <v/>
      </c>
      <c r="IK12" s="40" t="str">
        <f t="shared" si="69"/>
        <v/>
      </c>
      <c r="IL12" s="40" t="str">
        <f t="shared" si="70"/>
        <v/>
      </c>
      <c r="IM12" s="40" t="str">
        <f t="shared" si="71"/>
        <v/>
      </c>
      <c r="IN12" s="40" t="str">
        <f t="shared" si="72"/>
        <v/>
      </c>
      <c r="IO12" s="40" t="str">
        <f t="shared" si="73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4"/>
        <v/>
      </c>
      <c r="JK12" s="11" t="str">
        <f t="shared" si="75"/>
        <v/>
      </c>
      <c r="JL12" s="11" t="str">
        <f t="shared" si="76"/>
        <v/>
      </c>
      <c r="JM12" s="11" t="str">
        <f t="shared" si="77"/>
        <v/>
      </c>
      <c r="JN12" s="11" t="str">
        <f t="shared" si="78"/>
        <v/>
      </c>
      <c r="JO12" s="11" t="str">
        <f t="shared" si="79"/>
        <v/>
      </c>
      <c r="JP12" s="11" t="str">
        <f t="shared" si="80"/>
        <v/>
      </c>
      <c r="JQ12" s="11" t="str">
        <f t="shared" si="81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2"/>
        <v/>
      </c>
      <c r="KM12" s="40" t="str">
        <f t="shared" si="83"/>
        <v/>
      </c>
      <c r="KN12" s="40" t="str">
        <f t="shared" si="84"/>
        <v/>
      </c>
      <c r="KO12" s="40" t="str">
        <f t="shared" si="85"/>
        <v/>
      </c>
      <c r="KP12" s="40" t="str">
        <f t="shared" si="86"/>
        <v/>
      </c>
      <c r="KQ12" s="40" t="str">
        <f t="shared" si="87"/>
        <v/>
      </c>
      <c r="KR12" s="40" t="str">
        <f t="shared" si="88"/>
        <v/>
      </c>
      <c r="KS12" s="40" t="str">
        <f t="shared" si="89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0"/>
        <v/>
      </c>
      <c r="LO12" s="11" t="str">
        <f t="shared" si="91"/>
        <v/>
      </c>
      <c r="LP12" s="11" t="str">
        <f t="shared" si="92"/>
        <v/>
      </c>
      <c r="LQ12" s="11" t="str">
        <f t="shared" si="93"/>
        <v/>
      </c>
      <c r="LR12" s="11" t="str">
        <f t="shared" si="94"/>
        <v/>
      </c>
      <c r="LS12" s="11" t="str">
        <f t="shared" si="95"/>
        <v/>
      </c>
      <c r="LT12" s="11" t="str">
        <f t="shared" si="96"/>
        <v/>
      </c>
      <c r="LU12" s="11" t="str">
        <f t="shared" si="97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98"/>
        <v/>
      </c>
      <c r="MQ12" s="40" t="str">
        <f t="shared" si="99"/>
        <v/>
      </c>
      <c r="MR12" s="40" t="str">
        <f t="shared" si="100"/>
        <v/>
      </c>
      <c r="MS12" s="40" t="str">
        <f t="shared" si="101"/>
        <v/>
      </c>
      <c r="MT12" s="40" t="str">
        <f t="shared" si="102"/>
        <v/>
      </c>
      <c r="MU12" s="40" t="str">
        <f t="shared" si="103"/>
        <v/>
      </c>
      <c r="MV12" s="40" t="str">
        <f t="shared" si="104"/>
        <v/>
      </c>
      <c r="MW12" s="40" t="str">
        <f t="shared" si="105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6"/>
        <v/>
      </c>
      <c r="NS12" s="11" t="str">
        <f t="shared" si="107"/>
        <v/>
      </c>
      <c r="NT12" s="11" t="str">
        <f t="shared" si="108"/>
        <v/>
      </c>
      <c r="NU12" s="11" t="str">
        <f t="shared" si="109"/>
        <v/>
      </c>
      <c r="NV12" s="11" t="str">
        <f t="shared" si="110"/>
        <v/>
      </c>
      <c r="NW12" s="11" t="str">
        <f t="shared" si="111"/>
        <v/>
      </c>
      <c r="NX12" s="11" t="str">
        <f t="shared" si="112"/>
        <v/>
      </c>
      <c r="NY12" s="11" t="str">
        <f t="shared" si="113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4"/>
        <v/>
      </c>
      <c r="OU12" s="40" t="str">
        <f t="shared" si="115"/>
        <v/>
      </c>
      <c r="OV12" s="40" t="str">
        <f t="shared" si="116"/>
        <v/>
      </c>
      <c r="OW12" s="40" t="str">
        <f t="shared" si="117"/>
        <v/>
      </c>
      <c r="OX12" s="40" t="str">
        <f t="shared" si="118"/>
        <v/>
      </c>
      <c r="OY12" s="40" t="str">
        <f t="shared" si="119"/>
        <v/>
      </c>
      <c r="OZ12" s="40" t="str">
        <f t="shared" si="120"/>
        <v/>
      </c>
      <c r="PA12" s="40" t="str">
        <f t="shared" si="121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2"/>
        <v/>
      </c>
      <c r="PW12" s="11" t="str">
        <f t="shared" si="123"/>
        <v/>
      </c>
      <c r="PX12" s="11" t="str">
        <f t="shared" si="124"/>
        <v/>
      </c>
      <c r="PY12" s="11" t="str">
        <f t="shared" si="125"/>
        <v/>
      </c>
      <c r="PZ12" s="11" t="str">
        <f t="shared" si="126"/>
        <v/>
      </c>
      <c r="QA12" s="11" t="str">
        <f t="shared" si="127"/>
        <v/>
      </c>
      <c r="QB12" s="11" t="str">
        <f t="shared" si="128"/>
        <v/>
      </c>
      <c r="QC12" s="11" t="str">
        <f t="shared" si="129"/>
        <v/>
      </c>
      <c r="QD12" s="22">
        <f t="shared" si="130"/>
        <v>8.85</v>
      </c>
      <c r="QE12" s="22">
        <f t="shared" si="131"/>
        <v>3.25</v>
      </c>
      <c r="QF12" s="22">
        <f t="shared" si="132"/>
        <v>0</v>
      </c>
      <c r="QG12" s="22">
        <f t="shared" si="133"/>
        <v>0</v>
      </c>
      <c r="QH12" s="22">
        <f t="shared" si="134"/>
        <v>8.6999999999999993</v>
      </c>
      <c r="QI12" s="22">
        <f t="shared" si="135"/>
        <v>3.65</v>
      </c>
      <c r="QJ12" s="22">
        <f t="shared" si="136"/>
        <v>0</v>
      </c>
      <c r="QK12" s="22">
        <f t="shared" si="137"/>
        <v>0</v>
      </c>
      <c r="QL12" s="22">
        <f t="shared" si="138"/>
        <v>0</v>
      </c>
      <c r="QM12" s="22">
        <f t="shared" si="139"/>
        <v>0</v>
      </c>
      <c r="QN12" s="22">
        <f t="shared" si="140"/>
        <v>0</v>
      </c>
      <c r="QO12" s="22">
        <f t="shared" si="141"/>
        <v>0</v>
      </c>
      <c r="QP12" s="22">
        <f t="shared" si="142"/>
        <v>0</v>
      </c>
      <c r="QQ12" s="22">
        <f t="shared" si="143"/>
        <v>0</v>
      </c>
      <c r="QR12" s="22">
        <f t="shared" si="144"/>
        <v>0</v>
      </c>
      <c r="QS12" s="22">
        <f t="shared" si="145"/>
        <v>0</v>
      </c>
      <c r="QT12" s="22">
        <f t="shared" si="146"/>
        <v>0</v>
      </c>
      <c r="QU12" s="22">
        <f t="shared" si="147"/>
        <v>0</v>
      </c>
      <c r="QV12" s="22">
        <f t="shared" si="148"/>
        <v>0</v>
      </c>
      <c r="QW12" s="22">
        <f t="shared" si="149"/>
        <v>0</v>
      </c>
      <c r="QX12" s="27" t="s">
        <v>46</v>
      </c>
      <c r="QY12" s="40">
        <f t="shared" si="150"/>
        <v>6.9</v>
      </c>
      <c r="QZ12" s="40">
        <f t="shared" si="151"/>
        <v>24.449999999999996</v>
      </c>
      <c r="RA12" s="40" t="str">
        <f t="shared" si="152"/>
        <v/>
      </c>
      <c r="RB12" s="40">
        <f t="shared" si="153"/>
        <v>6.9</v>
      </c>
      <c r="RC12" s="40">
        <f t="shared" si="154"/>
        <v>24.449999999999996</v>
      </c>
      <c r="RD12" s="40" t="str">
        <f t="shared" si="155"/>
        <v/>
      </c>
      <c r="RE12" s="40" t="str">
        <f t="shared" si="156"/>
        <v/>
      </c>
      <c r="RF12" s="40">
        <f t="shared" si="157"/>
        <v>24.449999999999996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135</v>
      </c>
      <c r="D13" s="4" t="s">
        <v>5</v>
      </c>
      <c r="E13" s="4">
        <v>2007</v>
      </c>
      <c r="F13" s="9">
        <f t="shared" si="0"/>
        <v>129.0000085400043</v>
      </c>
      <c r="G13" s="64"/>
      <c r="H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DZ13&gt;=EG$23,EA13&gt;=EG$27,DZ13&lt;&gt;""),AND(EE13&gt;=EG$23,EF13&gt;=EG$27,EE13&lt;&gt;""),AND(FB13&gt;=FI$23,FC13&gt;=FI$27,FB13&lt;&gt;""),AND(FG13&gt;=FI$23,FH13&gt;=FI$27,FG13&lt;&gt;""),AND(GD13&gt;=GK$23,GE13&gt;=GK$27,GD13&lt;&gt;""),AND(GI13&gt;=GK$23,GJ13&gt;=GK$27,GI13&lt;&gt;""),AND(HF13&gt;=HM$23,HG13&gt;=HM$27,HF13&lt;&gt;""),AND(HK13&gt;=HM$23,HL13&gt;=HM$27,HK13&lt;&gt;""),AND(IH13&gt;=IO$23,II13&gt;=IO$27,IH13&lt;&gt;""),AND(IM13&gt;=IO$23,IN13&gt;=IO$27,IM13&lt;&gt;""),AND(JJ13&gt;=JQ$23,JK13&gt;=JQ$27,JJ13&lt;&gt;""),AND(JO13&gt;=JQ$23,JP13&gt;=JQ$27,JO13&lt;&gt;""),AND(KL13&gt;=KS$23,KM13&gt;=KS$27,KL13&lt;&gt;""),AND(KQ13&gt;=KS$23,KR13&gt;=KS$27,KQ13&lt;&gt;""),AND(LN13&gt;=LU$23,LO13&gt;=LU$27,LN13&lt;&gt;""),AND(LS13&gt;=LU$23,LT13&gt;=LU$27,LS13&lt;&gt;""),AND(MP13&gt;=MW$23,MQ13&gt;=MW$27,MP13&lt;&gt;""),AND(MU13&gt;=MW$23,MV13&gt;=MW$27,MU13&lt;&gt;""),AND(NR13&gt;=NY$23,NS13&gt;=NY$27,NR13&lt;&gt;""),AND(NW13&gt;=NY$23,NX13&gt;=NY$27,NW13&lt;&gt;""),AND(OT13&gt;=PA$23,OU13&gt;=PA$27,OT13&lt;&gt;""),AND(OY13&gt;=PA$23,OZ13&gt;=PA$27,OY13&lt;&gt;""),AND(PV13&gt;=QC$23,PW13&gt;=QC$27,PV13&lt;&gt;""),AND(QA13&gt;=QC$23,QB13&gt;=QC$27,QA13&lt;&gt;"")),"P","")</f>
        <v/>
      </c>
      <c r="I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A13&gt;=EG$27,EA13&lt;&gt;""),AND(EF13&gt;=EG$27,EF13&lt;&gt;""),AND(FC13&gt;=FI$27,FC13&lt;&gt;""),AND(FH13&gt;=FI$27,FH13&lt;&gt;""),AND(GE13&gt;=GK$27,GE13&lt;&gt;""),AND(GJ13&gt;=GK$27,GJ13&lt;&gt;""),AND(HG13&gt;=HM$27,HG13&lt;&gt;""),AND(HL13&gt;=HM$27,HL13&lt;&gt;""),AND(II13&gt;=IO$27,II13&lt;&gt;""),AND(IN13&gt;=IO$27,IN13&lt;&gt;""),AND(JK13&gt;=JQ$27,JK13&lt;&gt;""),AND(JP13&gt;=JQ$27,JP13&lt;&gt;""),AND(KM13&gt;=KS$27,KM13&lt;&gt;""),AND(KR13&gt;=KS$27,KR13&lt;&gt;""),AND(LO13&gt;=LU$27,LO13&lt;&gt;""),AND(LT13&gt;=LU$27,LT13&lt;&gt;""),AND(MQ13&gt;=MW$27,MQ13&lt;&gt;""),AND(MV13&gt;=MW$27,MV13&lt;&gt;""),AND(NS13&gt;=NY$27,NS13&lt;&gt;""),AND(NX13&gt;=NY$27,NX13&lt;&gt;""),AND(OU13&gt;=PA$27,OU13&lt;&gt;""),AND(OZ13&gt;=PA$27,OZ13&lt;&gt;""),AND(PW13&gt;=QC$27,PW13&lt;&gt;""),AND(QB13&gt;=QC$27,QB13&lt;&gt;"")),"P","")</f>
        <v/>
      </c>
      <c r="J13" s="36" t="str">
        <f>IF(AND(I13="P",H13=""),"No DD",IF(OR(AND(AS13&gt;=AW$26,AT13&gt;=AW$30,AS13&lt;&gt;"",AO13=""),AND(BV13&gt;=BZ$26,BW13&gt;=BZ$30,BV13&lt;&gt;"",BR13=""),AND(CY13&gt;=DC$26,CZ13&gt;=DC$30,CY13&lt;&gt;"",CU13=""),AND(EC13&gt;=EG$26,ED13&gt;=EG$30,EC13&lt;&gt;""),AND(FE13&gt;=FI$26,FF13&gt;=FI$30,FE13&lt;&gt;""),AND(GG13&gt;=GK$26,GH13&gt;=GK$30,GG13&lt;&gt;""),AND(HI13&gt;=HM$26,HJ13&gt;=HM$30,HI13&lt;&gt;""),AND(IK13&gt;=IO$26,IL13&gt;=IO$30,IK13&lt;&gt;""),AND(JM13&gt;=JQ$26,JN13&gt;=JQ$30,JM13&lt;&gt;""),AND(KO13&gt;=KS$26,KP13&gt;=KS$30,KO13&lt;&gt;""),AND(LQ13&gt;=LU$26,LR13&gt;=LU$30,LQ13&lt;&gt;""),AND(MS13&gt;=MW$26,MT13&gt;=MW$30,MS13&lt;&gt;""),AND(NU13&gt;=NY$26,NV13&gt;=NY$30,NU13&lt;&gt;""),AND(OW13&gt;=PA$26,OX13&gt;=PA$30,OW13&lt;&gt;""),AND(PY13&gt;=QC$26,PZ13&gt;=QC$30,PY13&lt;&gt;"")),"Merit",IF(OR(AND(AS13&gt;=AW$25,AT13&gt;=AW$29,AS13&lt;&gt;"",AO13=""),AND(BV13&gt;=BZ$25,BW13&gt;=BZ$29,BV13&lt;&gt;"",BR13=""),AND(CY13&gt;=DC$25,CZ13&gt;=DC$29,CY13&lt;&gt;"",CU13=""),AND(EC13&gt;=EG$25,ED13&gt;=EG$29,EC13&lt;&gt;""),AND(FE13&gt;=FI$25,FF13&gt;=FI$29,FE13&lt;&gt;""),AND(GG13&gt;=GK$25,GH13&gt;=GK$29,GG13&lt;&gt;""),AND(HI13&gt;=HM$25,HJ13&gt;=HM$29,HI13&lt;&gt;""),AND(IK13&gt;=IO$25,IL13&gt;=IO$29,IK13&lt;&gt;""),AND(JM13&gt;=JQ$25,JN13&gt;=JQ$29,JM13&lt;&gt;""),AND(KO13&gt;=KS$25,KP13&gt;=KS$29,KO13&lt;&gt;""),AND(LQ13&gt;=LU$25,LR13&gt;=LU$29,LQ13&lt;&gt;""),AND(MS13&gt;=MW$25,MT13&gt;=MW$29,MS13&lt;&gt;""),AND(NU13&gt;=NY$25,NV13&gt;=NY$29,NU13&lt;&gt;""),AND(OW13&gt;=PA$25,OX13&gt;=PA$29,OW13&lt;&gt;""),AND(PY13&gt;=QC$25,PZ13&gt;=QC$29,PY13&lt;&gt;"")),"Excellence",IF(K13="P","Worlds Team",IF(H13="P","National Team","")))))</f>
        <v/>
      </c>
      <c r="K13" s="3" t="str">
        <f>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P","")</f>
        <v/>
      </c>
      <c r="L13" s="8">
        <f>IF(COUNT(AQ13,BT13,CW13)&gt;0,LARGE((AQ13,BT13,CW13),1),0)</f>
        <v>42.70000000000001</v>
      </c>
      <c r="M13" s="8" t="str">
        <f t="shared" si="1"/>
        <v>2025 Nationals</v>
      </c>
      <c r="N13" s="8">
        <f>IF(COUNT(AQ13,BT13,CW13)&gt;1,LARGE((AQ13,BT13,CW13),2),0)</f>
        <v>42.70000000000001</v>
      </c>
      <c r="O13" s="8" t="str">
        <f t="shared" si="2"/>
        <v>2025 Elite Canada</v>
      </c>
      <c r="P13" s="8">
        <f t="shared" si="3"/>
        <v>43.600000000000009</v>
      </c>
      <c r="Q13" s="8" t="str">
        <f t="shared" si="4"/>
        <v>2025 Nationals</v>
      </c>
      <c r="R13" s="8" t="str">
        <f t="shared" si="5"/>
        <v/>
      </c>
      <c r="S13" s="11" t="str">
        <f t="shared" si="6"/>
        <v/>
      </c>
      <c r="T13" s="8" t="str">
        <f t="shared" si="7"/>
        <v/>
      </c>
      <c r="U13" s="19">
        <v>11</v>
      </c>
      <c r="V13" s="19">
        <v>2.9</v>
      </c>
      <c r="W13" s="19">
        <v>0</v>
      </c>
      <c r="X13" s="19">
        <v>0.3</v>
      </c>
      <c r="Y13" s="19">
        <v>11.9</v>
      </c>
      <c r="Z13" s="19">
        <v>2.6</v>
      </c>
      <c r="AA13" s="19">
        <v>0</v>
      </c>
      <c r="AB13" s="19">
        <v>0.3</v>
      </c>
      <c r="AC13" s="19">
        <v>15.8</v>
      </c>
      <c r="AD13" s="19">
        <v>3.5</v>
      </c>
      <c r="AE13" s="19">
        <v>0.4</v>
      </c>
      <c r="AF13" s="19">
        <v>0.3</v>
      </c>
      <c r="AG13" s="19">
        <v>15.4</v>
      </c>
      <c r="AH13" s="19">
        <v>2.9</v>
      </c>
      <c r="AI13" s="19">
        <v>0</v>
      </c>
      <c r="AJ13" s="19">
        <v>0.3</v>
      </c>
      <c r="AK13" s="19">
        <v>16.399999999999999</v>
      </c>
      <c r="AL13" s="19">
        <v>3.6</v>
      </c>
      <c r="AM13" s="19">
        <v>0</v>
      </c>
      <c r="AN13" s="19">
        <v>0</v>
      </c>
      <c r="AO13" s="27"/>
      <c r="AP13" s="40">
        <f t="shared" si="8"/>
        <v>5.5</v>
      </c>
      <c r="AQ13" s="40">
        <f t="shared" si="9"/>
        <v>29.000000000000004</v>
      </c>
      <c r="AR13" s="40">
        <f t="shared" si="10"/>
        <v>19.200000000000003</v>
      </c>
      <c r="AS13" s="40">
        <f t="shared" si="11"/>
        <v>9</v>
      </c>
      <c r="AT13" s="40">
        <f t="shared" si="12"/>
        <v>48.2</v>
      </c>
      <c r="AU13" s="40">
        <f t="shared" si="13"/>
        <v>6.5</v>
      </c>
      <c r="AV13" s="40">
        <f t="shared" si="14"/>
        <v>38.6</v>
      </c>
      <c r="AW13" s="40">
        <f t="shared" si="15"/>
        <v>86.800000000000011</v>
      </c>
      <c r="AX13" s="18">
        <v>16.100000000000001</v>
      </c>
      <c r="AY13" s="18">
        <v>4</v>
      </c>
      <c r="AZ13" s="18">
        <v>0</v>
      </c>
      <c r="BA13" s="18">
        <v>0.7</v>
      </c>
      <c r="BB13" s="18">
        <v>16.100000000000001</v>
      </c>
      <c r="BC13" s="18">
        <v>5.0999999999999996</v>
      </c>
      <c r="BD13" s="18">
        <v>0</v>
      </c>
      <c r="BE13" s="18">
        <v>0.7</v>
      </c>
      <c r="BF13" s="18"/>
      <c r="BG13" s="18"/>
      <c r="BH13" s="18"/>
      <c r="BI13" s="18"/>
      <c r="BJ13" s="18">
        <v>15.2</v>
      </c>
      <c r="BK13" s="18">
        <v>4.0999999999999996</v>
      </c>
      <c r="BL13" s="18">
        <v>0</v>
      </c>
      <c r="BM13" s="18">
        <v>0</v>
      </c>
      <c r="BN13" s="18">
        <v>16.100000000000001</v>
      </c>
      <c r="BO13" s="18">
        <v>3.2</v>
      </c>
      <c r="BP13" s="18">
        <v>0.7</v>
      </c>
      <c r="BQ13" s="18">
        <v>0</v>
      </c>
      <c r="BR13" s="28"/>
      <c r="BS13" s="11">
        <f t="shared" si="16"/>
        <v>9.1</v>
      </c>
      <c r="BT13" s="11">
        <f t="shared" si="17"/>
        <v>42.70000000000001</v>
      </c>
      <c r="BU13" s="11" t="str">
        <f t="shared" si="18"/>
        <v/>
      </c>
      <c r="BV13" s="11">
        <f t="shared" si="19"/>
        <v>9.1</v>
      </c>
      <c r="BW13" s="11">
        <f t="shared" si="20"/>
        <v>42.70000000000001</v>
      </c>
      <c r="BX13" s="11">
        <f t="shared" si="21"/>
        <v>7.3</v>
      </c>
      <c r="BY13" s="11">
        <f t="shared" si="22"/>
        <v>37.9</v>
      </c>
      <c r="BZ13" s="11">
        <f t="shared" si="23"/>
        <v>80.600000000000009</v>
      </c>
      <c r="CA13" s="19">
        <v>16.100000000000001</v>
      </c>
      <c r="CB13" s="19">
        <v>3.3</v>
      </c>
      <c r="CC13" s="19">
        <v>0</v>
      </c>
      <c r="CD13" s="19">
        <v>0.7</v>
      </c>
      <c r="CE13" s="19">
        <v>16.8</v>
      </c>
      <c r="CF13" s="19">
        <v>5.0999999999999996</v>
      </c>
      <c r="CG13" s="19">
        <v>0</v>
      </c>
      <c r="CH13" s="19">
        <v>0.7</v>
      </c>
      <c r="CI13" s="19"/>
      <c r="CJ13" s="19"/>
      <c r="CK13" s="19"/>
      <c r="CL13" s="19"/>
      <c r="CM13" s="19">
        <v>15.9</v>
      </c>
      <c r="CN13" s="19">
        <v>5.0999999999999996</v>
      </c>
      <c r="CO13" s="19">
        <v>0</v>
      </c>
      <c r="CP13" s="19">
        <v>0.7</v>
      </c>
      <c r="CQ13" s="19">
        <v>17</v>
      </c>
      <c r="CR13" s="19">
        <v>4.2</v>
      </c>
      <c r="CS13" s="19">
        <v>0</v>
      </c>
      <c r="CT13" s="19">
        <v>0.7</v>
      </c>
      <c r="CU13" s="27"/>
      <c r="CV13" s="40">
        <f t="shared" si="24"/>
        <v>8.3999999999999986</v>
      </c>
      <c r="CW13" s="40">
        <f t="shared" si="25"/>
        <v>42.70000000000001</v>
      </c>
      <c r="CX13" s="40" t="str">
        <f t="shared" si="26"/>
        <v/>
      </c>
      <c r="CY13" s="40">
        <f t="shared" si="27"/>
        <v>8.3999999999999986</v>
      </c>
      <c r="CZ13" s="40">
        <f t="shared" si="28"/>
        <v>42.70000000000001</v>
      </c>
      <c r="DA13" s="40">
        <f t="shared" si="29"/>
        <v>9.3000000000000007</v>
      </c>
      <c r="DB13" s="40">
        <f t="shared" si="30"/>
        <v>43.600000000000009</v>
      </c>
      <c r="DC13" s="40">
        <f t="shared" si="31"/>
        <v>86.300000000000011</v>
      </c>
      <c r="DD13" s="50" t="str">
        <f t="shared" si="32"/>
        <v/>
      </c>
      <c r="DE13" s="50" t="str">
        <f t="shared" si="33"/>
        <v/>
      </c>
      <c r="DF13" s="17">
        <v>17.2</v>
      </c>
      <c r="DG13" s="17">
        <v>3.4</v>
      </c>
      <c r="DH13" s="17">
        <v>0</v>
      </c>
      <c r="DI13" s="17">
        <v>0</v>
      </c>
      <c r="DJ13" s="17">
        <v>17</v>
      </c>
      <c r="DK13" s="17">
        <v>3.6</v>
      </c>
      <c r="DL13" s="17">
        <v>0</v>
      </c>
      <c r="DM13" s="17">
        <v>0</v>
      </c>
      <c r="DN13" s="17"/>
      <c r="DO13" s="17"/>
      <c r="DP13" s="17"/>
      <c r="DQ13" s="17"/>
      <c r="DR13" s="17">
        <v>14</v>
      </c>
      <c r="DS13" s="17">
        <v>3.4</v>
      </c>
      <c r="DT13" s="17">
        <v>2</v>
      </c>
      <c r="DU13" s="17">
        <v>0</v>
      </c>
      <c r="DV13" s="17"/>
      <c r="DW13" s="17"/>
      <c r="DX13" s="17"/>
      <c r="DY13" s="17"/>
      <c r="DZ13" s="40">
        <f t="shared" si="34"/>
        <v>7</v>
      </c>
      <c r="EA13" s="40">
        <f t="shared" si="35"/>
        <v>41.199999999999996</v>
      </c>
      <c r="EB13" s="40" t="str">
        <f t="shared" si="36"/>
        <v/>
      </c>
      <c r="EC13" s="40">
        <f t="shared" si="37"/>
        <v>7</v>
      </c>
      <c r="ED13" s="40">
        <f t="shared" si="38"/>
        <v>41.199999999999996</v>
      </c>
      <c r="EE13" s="40">
        <f t="shared" si="39"/>
        <v>3.4</v>
      </c>
      <c r="EF13" s="40">
        <f t="shared" si="40"/>
        <v>15.399999999999999</v>
      </c>
      <c r="EG13" s="40">
        <f t="shared" si="41"/>
        <v>56.599999999999994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2"/>
        <v/>
      </c>
      <c r="FC13" s="11" t="str">
        <f t="shared" si="43"/>
        <v/>
      </c>
      <c r="FD13" s="11" t="str">
        <f t="shared" si="44"/>
        <v/>
      </c>
      <c r="FE13" s="11" t="str">
        <f t="shared" si="45"/>
        <v/>
      </c>
      <c r="FF13" s="11" t="str">
        <f t="shared" si="46"/>
        <v/>
      </c>
      <c r="FG13" s="11" t="str">
        <f t="shared" si="47"/>
        <v/>
      </c>
      <c r="FH13" s="11" t="str">
        <f t="shared" si="48"/>
        <v/>
      </c>
      <c r="FI13" s="11" t="str">
        <f t="shared" si="49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0"/>
        <v/>
      </c>
      <c r="GE13" s="40" t="str">
        <f t="shared" si="51"/>
        <v/>
      </c>
      <c r="GF13" s="40" t="str">
        <f t="shared" si="52"/>
        <v/>
      </c>
      <c r="GG13" s="40" t="str">
        <f t="shared" si="53"/>
        <v/>
      </c>
      <c r="GH13" s="40" t="str">
        <f t="shared" si="54"/>
        <v/>
      </c>
      <c r="GI13" s="40" t="str">
        <f t="shared" si="55"/>
        <v/>
      </c>
      <c r="GJ13" s="40" t="str">
        <f t="shared" si="56"/>
        <v/>
      </c>
      <c r="GK13" s="40" t="str">
        <f t="shared" si="57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58"/>
        <v/>
      </c>
      <c r="HG13" s="11" t="str">
        <f t="shared" si="59"/>
        <v/>
      </c>
      <c r="HH13" s="11" t="str">
        <f t="shared" si="60"/>
        <v/>
      </c>
      <c r="HI13" s="11" t="str">
        <f t="shared" si="61"/>
        <v/>
      </c>
      <c r="HJ13" s="11" t="str">
        <f t="shared" si="62"/>
        <v/>
      </c>
      <c r="HK13" s="11" t="str">
        <f t="shared" si="63"/>
        <v/>
      </c>
      <c r="HL13" s="11" t="str">
        <f t="shared" si="64"/>
        <v/>
      </c>
      <c r="HM13" s="11" t="str">
        <f t="shared" si="65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6"/>
        <v/>
      </c>
      <c r="II13" s="40" t="str">
        <f t="shared" si="67"/>
        <v/>
      </c>
      <c r="IJ13" s="40" t="str">
        <f t="shared" si="68"/>
        <v/>
      </c>
      <c r="IK13" s="40" t="str">
        <f t="shared" si="69"/>
        <v/>
      </c>
      <c r="IL13" s="40" t="str">
        <f t="shared" si="70"/>
        <v/>
      </c>
      <c r="IM13" s="40" t="str">
        <f t="shared" si="71"/>
        <v/>
      </c>
      <c r="IN13" s="40" t="str">
        <f t="shared" si="72"/>
        <v/>
      </c>
      <c r="IO13" s="40" t="str">
        <f t="shared" si="73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4"/>
        <v/>
      </c>
      <c r="JK13" s="11" t="str">
        <f t="shared" si="75"/>
        <v/>
      </c>
      <c r="JL13" s="11" t="str">
        <f t="shared" si="76"/>
        <v/>
      </c>
      <c r="JM13" s="11" t="str">
        <f t="shared" si="77"/>
        <v/>
      </c>
      <c r="JN13" s="11" t="str">
        <f t="shared" si="78"/>
        <v/>
      </c>
      <c r="JO13" s="11" t="str">
        <f t="shared" si="79"/>
        <v/>
      </c>
      <c r="JP13" s="11" t="str">
        <f t="shared" si="80"/>
        <v/>
      </c>
      <c r="JQ13" s="11" t="str">
        <f t="shared" si="81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2"/>
        <v/>
      </c>
      <c r="KM13" s="40" t="str">
        <f t="shared" si="83"/>
        <v/>
      </c>
      <c r="KN13" s="40" t="str">
        <f t="shared" si="84"/>
        <v/>
      </c>
      <c r="KO13" s="40" t="str">
        <f t="shared" si="85"/>
        <v/>
      </c>
      <c r="KP13" s="40" t="str">
        <f t="shared" si="86"/>
        <v/>
      </c>
      <c r="KQ13" s="40" t="str">
        <f t="shared" si="87"/>
        <v/>
      </c>
      <c r="KR13" s="40" t="str">
        <f t="shared" si="88"/>
        <v/>
      </c>
      <c r="KS13" s="40" t="str">
        <f t="shared" si="89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0"/>
        <v/>
      </c>
      <c r="LO13" s="11" t="str">
        <f t="shared" si="91"/>
        <v/>
      </c>
      <c r="LP13" s="11" t="str">
        <f t="shared" si="92"/>
        <v/>
      </c>
      <c r="LQ13" s="11" t="str">
        <f t="shared" si="93"/>
        <v/>
      </c>
      <c r="LR13" s="11" t="str">
        <f t="shared" si="94"/>
        <v/>
      </c>
      <c r="LS13" s="11" t="str">
        <f t="shared" si="95"/>
        <v/>
      </c>
      <c r="LT13" s="11" t="str">
        <f t="shared" si="96"/>
        <v/>
      </c>
      <c r="LU13" s="11" t="str">
        <f t="shared" si="97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98"/>
        <v/>
      </c>
      <c r="MQ13" s="40" t="str">
        <f t="shared" si="99"/>
        <v/>
      </c>
      <c r="MR13" s="40" t="str">
        <f t="shared" si="100"/>
        <v/>
      </c>
      <c r="MS13" s="40" t="str">
        <f t="shared" si="101"/>
        <v/>
      </c>
      <c r="MT13" s="40" t="str">
        <f t="shared" si="102"/>
        <v/>
      </c>
      <c r="MU13" s="40" t="str">
        <f t="shared" si="103"/>
        <v/>
      </c>
      <c r="MV13" s="40" t="str">
        <f t="shared" si="104"/>
        <v/>
      </c>
      <c r="MW13" s="40" t="str">
        <f t="shared" si="105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6"/>
        <v/>
      </c>
      <c r="NS13" s="11" t="str">
        <f t="shared" si="107"/>
        <v/>
      </c>
      <c r="NT13" s="11" t="str">
        <f t="shared" si="108"/>
        <v/>
      </c>
      <c r="NU13" s="11" t="str">
        <f t="shared" si="109"/>
        <v/>
      </c>
      <c r="NV13" s="11" t="str">
        <f t="shared" si="110"/>
        <v/>
      </c>
      <c r="NW13" s="11" t="str">
        <f t="shared" si="111"/>
        <v/>
      </c>
      <c r="NX13" s="11" t="str">
        <f t="shared" si="112"/>
        <v/>
      </c>
      <c r="NY13" s="11" t="str">
        <f t="shared" si="113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4"/>
        <v/>
      </c>
      <c r="OU13" s="40" t="str">
        <f t="shared" si="115"/>
        <v/>
      </c>
      <c r="OV13" s="40" t="str">
        <f t="shared" si="116"/>
        <v/>
      </c>
      <c r="OW13" s="40" t="str">
        <f t="shared" si="117"/>
        <v/>
      </c>
      <c r="OX13" s="40" t="str">
        <f t="shared" si="118"/>
        <v/>
      </c>
      <c r="OY13" s="40" t="str">
        <f t="shared" si="119"/>
        <v/>
      </c>
      <c r="OZ13" s="40" t="str">
        <f t="shared" si="120"/>
        <v/>
      </c>
      <c r="PA13" s="40" t="str">
        <f t="shared" si="121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2"/>
        <v/>
      </c>
      <c r="PW13" s="11" t="str">
        <f t="shared" si="123"/>
        <v/>
      </c>
      <c r="PX13" s="11" t="str">
        <f t="shared" si="124"/>
        <v/>
      </c>
      <c r="PY13" s="11" t="str">
        <f t="shared" si="125"/>
        <v/>
      </c>
      <c r="PZ13" s="11" t="str">
        <f t="shared" si="126"/>
        <v/>
      </c>
      <c r="QA13" s="11" t="str">
        <f t="shared" si="127"/>
        <v/>
      </c>
      <c r="QB13" s="11" t="str">
        <f t="shared" si="128"/>
        <v/>
      </c>
      <c r="QC13" s="11" t="str">
        <f t="shared" si="129"/>
        <v/>
      </c>
      <c r="QD13" s="22">
        <f t="shared" si="130"/>
        <v>16.100000000000001</v>
      </c>
      <c r="QE13" s="22">
        <f t="shared" si="131"/>
        <v>3.65</v>
      </c>
      <c r="QF13" s="22">
        <f t="shared" si="132"/>
        <v>0</v>
      </c>
      <c r="QG13" s="22">
        <f t="shared" si="133"/>
        <v>0.7</v>
      </c>
      <c r="QH13" s="22">
        <f t="shared" si="134"/>
        <v>16.450000000000003</v>
      </c>
      <c r="QI13" s="22">
        <f t="shared" si="135"/>
        <v>5.0999999999999996</v>
      </c>
      <c r="QJ13" s="22">
        <f t="shared" si="136"/>
        <v>0</v>
      </c>
      <c r="QK13" s="22">
        <f t="shared" si="137"/>
        <v>0.7</v>
      </c>
      <c r="QL13" s="22">
        <f t="shared" si="138"/>
        <v>0</v>
      </c>
      <c r="QM13" s="22">
        <f t="shared" si="139"/>
        <v>0</v>
      </c>
      <c r="QN13" s="22">
        <f t="shared" si="140"/>
        <v>0</v>
      </c>
      <c r="QO13" s="22">
        <f t="shared" si="141"/>
        <v>0</v>
      </c>
      <c r="QP13" s="22">
        <f t="shared" si="142"/>
        <v>15.55</v>
      </c>
      <c r="QQ13" s="22">
        <f t="shared" si="143"/>
        <v>4.5999999999999996</v>
      </c>
      <c r="QR13" s="22">
        <f t="shared" si="144"/>
        <v>0</v>
      </c>
      <c r="QS13" s="22">
        <f t="shared" si="145"/>
        <v>0.35</v>
      </c>
      <c r="QT13" s="22">
        <f t="shared" si="146"/>
        <v>16.55</v>
      </c>
      <c r="QU13" s="22">
        <f t="shared" si="147"/>
        <v>3.7</v>
      </c>
      <c r="QV13" s="22">
        <f t="shared" si="148"/>
        <v>0.35</v>
      </c>
      <c r="QW13" s="22">
        <f t="shared" si="149"/>
        <v>0.35</v>
      </c>
      <c r="QX13" s="27" t="s">
        <v>46</v>
      </c>
      <c r="QY13" s="40">
        <f t="shared" si="150"/>
        <v>8.75</v>
      </c>
      <c r="QZ13" s="40">
        <f t="shared" si="151"/>
        <v>42.70000000000001</v>
      </c>
      <c r="RA13" s="40" t="str">
        <f t="shared" si="152"/>
        <v/>
      </c>
      <c r="RB13" s="40">
        <f t="shared" si="153"/>
        <v>8.75</v>
      </c>
      <c r="RC13" s="40">
        <f t="shared" si="154"/>
        <v>42.70000000000001</v>
      </c>
      <c r="RD13" s="40">
        <f t="shared" si="155"/>
        <v>8.3000000000000007</v>
      </c>
      <c r="RE13" s="40">
        <f t="shared" si="156"/>
        <v>40.75</v>
      </c>
      <c r="RF13" s="40">
        <f t="shared" si="157"/>
        <v>83.450000000000017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147</v>
      </c>
      <c r="D14" s="4" t="s">
        <v>3</v>
      </c>
      <c r="E14" s="4">
        <v>2007</v>
      </c>
      <c r="F14" s="9">
        <f t="shared" si="0"/>
        <v>127.9000083300043</v>
      </c>
      <c r="G14" s="64"/>
      <c r="H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DZ14&gt;=EG$23,EA14&gt;=EG$27,DZ14&lt;&gt;""),AND(EE14&gt;=EG$23,EF14&gt;=EG$27,EE14&lt;&gt;""),AND(FB14&gt;=FI$23,FC14&gt;=FI$27,FB14&lt;&gt;""),AND(FG14&gt;=FI$23,FH14&gt;=FI$27,FG14&lt;&gt;""),AND(GD14&gt;=GK$23,GE14&gt;=GK$27,GD14&lt;&gt;""),AND(GI14&gt;=GK$23,GJ14&gt;=GK$27,GI14&lt;&gt;""),AND(HF14&gt;=HM$23,HG14&gt;=HM$27,HF14&lt;&gt;""),AND(HK14&gt;=HM$23,HL14&gt;=HM$27,HK14&lt;&gt;""),AND(IH14&gt;=IO$23,II14&gt;=IO$27,IH14&lt;&gt;""),AND(IM14&gt;=IO$23,IN14&gt;=IO$27,IM14&lt;&gt;""),AND(JJ14&gt;=JQ$23,JK14&gt;=JQ$27,JJ14&lt;&gt;""),AND(JO14&gt;=JQ$23,JP14&gt;=JQ$27,JO14&lt;&gt;""),AND(KL14&gt;=KS$23,KM14&gt;=KS$27,KL14&lt;&gt;""),AND(KQ14&gt;=KS$23,KR14&gt;=KS$27,KQ14&lt;&gt;""),AND(LN14&gt;=LU$23,LO14&gt;=LU$27,LN14&lt;&gt;""),AND(LS14&gt;=LU$23,LT14&gt;=LU$27,LS14&lt;&gt;""),AND(MP14&gt;=MW$23,MQ14&gt;=MW$27,MP14&lt;&gt;""),AND(MU14&gt;=MW$23,MV14&gt;=MW$27,MU14&lt;&gt;""),AND(NR14&gt;=NY$23,NS14&gt;=NY$27,NR14&lt;&gt;""),AND(NW14&gt;=NY$23,NX14&gt;=NY$27,NW14&lt;&gt;""),AND(OT14&gt;=PA$23,OU14&gt;=PA$27,OT14&lt;&gt;""),AND(OY14&gt;=PA$23,OZ14&gt;=PA$27,OY14&lt;&gt;""),AND(PV14&gt;=QC$23,PW14&gt;=QC$27,PV14&lt;&gt;""),AND(QA14&gt;=QC$23,QB14&gt;=QC$27,QA14&lt;&gt;"")),"P","")</f>
        <v/>
      </c>
      <c r="I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A14&gt;=EG$27,EA14&lt;&gt;""),AND(EF14&gt;=EG$27,EF14&lt;&gt;""),AND(FC14&gt;=FI$27,FC14&lt;&gt;""),AND(FH14&gt;=FI$27,FH14&lt;&gt;""),AND(GE14&gt;=GK$27,GE14&lt;&gt;""),AND(GJ14&gt;=GK$27,GJ14&lt;&gt;""),AND(HG14&gt;=HM$27,HG14&lt;&gt;""),AND(HL14&gt;=HM$27,HL14&lt;&gt;""),AND(II14&gt;=IO$27,II14&lt;&gt;""),AND(IN14&gt;=IO$27,IN14&lt;&gt;""),AND(JK14&gt;=JQ$27,JK14&lt;&gt;""),AND(JP14&gt;=JQ$27,JP14&lt;&gt;""),AND(KM14&gt;=KS$27,KM14&lt;&gt;""),AND(KR14&gt;=KS$27,KR14&lt;&gt;""),AND(LO14&gt;=LU$27,LO14&lt;&gt;""),AND(LT14&gt;=LU$27,LT14&lt;&gt;""),AND(MQ14&gt;=MW$27,MQ14&lt;&gt;""),AND(MV14&gt;=MW$27,MV14&lt;&gt;""),AND(NS14&gt;=NY$27,NS14&lt;&gt;""),AND(NX14&gt;=NY$27,NX14&lt;&gt;""),AND(OU14&gt;=PA$27,OU14&lt;&gt;""),AND(OZ14&gt;=PA$27,OZ14&lt;&gt;""),AND(PW14&gt;=QC$27,PW14&lt;&gt;""),AND(QB14&gt;=QC$27,QB14&lt;&gt;"")),"P","")</f>
        <v/>
      </c>
      <c r="J14" s="36" t="str">
        <f>IF(AND(I14="P",H14=""),"No DD",IF(OR(AND(AS14&gt;=AW$26,AT14&gt;=AW$30,AS14&lt;&gt;"",AO14=""),AND(BV14&gt;=BZ$26,BW14&gt;=BZ$30,BV14&lt;&gt;"",BR14=""),AND(CY14&gt;=DC$26,CZ14&gt;=DC$30,CY14&lt;&gt;"",CU14=""),AND(EC14&gt;=EG$26,ED14&gt;=EG$30,EC14&lt;&gt;""),AND(FE14&gt;=FI$26,FF14&gt;=FI$30,FE14&lt;&gt;""),AND(GG14&gt;=GK$26,GH14&gt;=GK$30,GG14&lt;&gt;""),AND(HI14&gt;=HM$26,HJ14&gt;=HM$30,HI14&lt;&gt;""),AND(IK14&gt;=IO$26,IL14&gt;=IO$30,IK14&lt;&gt;""),AND(JM14&gt;=JQ$26,JN14&gt;=JQ$30,JM14&lt;&gt;""),AND(KO14&gt;=KS$26,KP14&gt;=KS$30,KO14&lt;&gt;""),AND(LQ14&gt;=LU$26,LR14&gt;=LU$30,LQ14&lt;&gt;""),AND(MS14&gt;=MW$26,MT14&gt;=MW$30,MS14&lt;&gt;""),AND(NU14&gt;=NY$26,NV14&gt;=NY$30,NU14&lt;&gt;""),AND(OW14&gt;=PA$26,OX14&gt;=PA$30,OW14&lt;&gt;""),AND(PY14&gt;=QC$26,PZ14&gt;=QC$30,PY14&lt;&gt;"")),"Merit",IF(OR(AND(AS14&gt;=AW$25,AT14&gt;=AW$29,AS14&lt;&gt;"",AO14=""),AND(BV14&gt;=BZ$25,BW14&gt;=BZ$29,BV14&lt;&gt;"",BR14=""),AND(CY14&gt;=DC$25,CZ14&gt;=DC$29,CY14&lt;&gt;"",CU14=""),AND(EC14&gt;=EG$25,ED14&gt;=EG$29,EC14&lt;&gt;""),AND(FE14&gt;=FI$25,FF14&gt;=FI$29,FE14&lt;&gt;""),AND(GG14&gt;=GK$25,GH14&gt;=GK$29,GG14&lt;&gt;""),AND(HI14&gt;=HM$25,HJ14&gt;=HM$29,HI14&lt;&gt;""),AND(IK14&gt;=IO$25,IL14&gt;=IO$29,IK14&lt;&gt;""),AND(JM14&gt;=JQ$25,JN14&gt;=JQ$29,JM14&lt;&gt;""),AND(KO14&gt;=KS$25,KP14&gt;=KS$29,KO14&lt;&gt;""),AND(LQ14&gt;=LU$25,LR14&gt;=LU$29,LQ14&lt;&gt;""),AND(MS14&gt;=MW$25,MT14&gt;=MW$29,MS14&lt;&gt;""),AND(NU14&gt;=NY$25,NV14&gt;=NY$29,NU14&lt;&gt;""),AND(OW14&gt;=PA$25,OX14&gt;=PA$29,OW14&lt;&gt;""),AND(PY14&gt;=QC$25,PZ14&gt;=QC$29,PY14&lt;&gt;"")),"Excellence",IF(K14="P","Worlds Team",IF(H14="P","National Team","")))))</f>
        <v/>
      </c>
      <c r="K14" s="3" t="str">
        <f>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P","")</f>
        <v/>
      </c>
      <c r="L14" s="8">
        <f>IF(COUNT(AQ14,BT14,CW14)&gt;0,LARGE((AQ14,BT14,CW14),1),0)</f>
        <v>42.9</v>
      </c>
      <c r="M14" s="8" t="str">
        <f t="shared" si="1"/>
        <v>2025 Elite Canada</v>
      </c>
      <c r="N14" s="8">
        <f>IF(COUNT(AQ14,BT14,CW14)&gt;1,LARGE((AQ14,BT14,CW14),2),0)</f>
        <v>40.4</v>
      </c>
      <c r="O14" s="8" t="str">
        <f t="shared" si="2"/>
        <v>2025 Nationals</v>
      </c>
      <c r="P14" s="8">
        <f t="shared" si="3"/>
        <v>43.1</v>
      </c>
      <c r="Q14" s="8" t="str">
        <f t="shared" si="4"/>
        <v>2025 Elite Canada</v>
      </c>
      <c r="R14" s="8">
        <f t="shared" si="5"/>
        <v>1.5000000000000071</v>
      </c>
      <c r="S14" s="11" t="str">
        <f t="shared" si="6"/>
        <v>(Q1)</v>
      </c>
      <c r="T14" s="8" t="str">
        <f t="shared" si="7"/>
        <v>2024 Coimbra Gym Fest (July 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8"/>
        <v/>
      </c>
      <c r="AQ14" s="40" t="str">
        <f t="shared" si="9"/>
        <v/>
      </c>
      <c r="AR14" s="40" t="str">
        <f t="shared" si="10"/>
        <v/>
      </c>
      <c r="AS14" s="40" t="str">
        <f t="shared" si="11"/>
        <v/>
      </c>
      <c r="AT14" s="40" t="str">
        <f t="shared" si="12"/>
        <v/>
      </c>
      <c r="AU14" s="40" t="str">
        <f t="shared" si="13"/>
        <v/>
      </c>
      <c r="AV14" s="40" t="str">
        <f t="shared" si="14"/>
        <v/>
      </c>
      <c r="AW14" s="40" t="str">
        <f t="shared" si="15"/>
        <v/>
      </c>
      <c r="AX14" s="18">
        <v>15.4</v>
      </c>
      <c r="AY14" s="18">
        <v>5.6</v>
      </c>
      <c r="AZ14" s="18">
        <v>0</v>
      </c>
      <c r="BA14" s="18">
        <v>0</v>
      </c>
      <c r="BB14" s="18">
        <v>16.5</v>
      </c>
      <c r="BC14" s="18">
        <v>5.4</v>
      </c>
      <c r="BD14" s="18">
        <v>0</v>
      </c>
      <c r="BE14" s="18">
        <v>0</v>
      </c>
      <c r="BF14" s="18"/>
      <c r="BG14" s="18"/>
      <c r="BH14" s="18"/>
      <c r="BI14" s="18"/>
      <c r="BJ14" s="18">
        <v>15.9</v>
      </c>
      <c r="BK14" s="18">
        <v>5.6</v>
      </c>
      <c r="BL14" s="18">
        <v>0</v>
      </c>
      <c r="BM14" s="18">
        <v>0</v>
      </c>
      <c r="BN14" s="18">
        <v>16.2</v>
      </c>
      <c r="BO14" s="18">
        <v>5.4</v>
      </c>
      <c r="BP14" s="18">
        <v>0</v>
      </c>
      <c r="BQ14" s="18">
        <v>0</v>
      </c>
      <c r="BR14" s="28"/>
      <c r="BS14" s="11">
        <f t="shared" si="16"/>
        <v>11</v>
      </c>
      <c r="BT14" s="11">
        <f t="shared" si="17"/>
        <v>42.9</v>
      </c>
      <c r="BU14" s="11" t="str">
        <f t="shared" si="18"/>
        <v/>
      </c>
      <c r="BV14" s="11">
        <f t="shared" si="19"/>
        <v>11</v>
      </c>
      <c r="BW14" s="11">
        <f t="shared" si="20"/>
        <v>42.9</v>
      </c>
      <c r="BX14" s="11">
        <f t="shared" si="21"/>
        <v>11</v>
      </c>
      <c r="BY14" s="11">
        <f t="shared" si="22"/>
        <v>43.1</v>
      </c>
      <c r="BZ14" s="11">
        <f t="shared" si="23"/>
        <v>86</v>
      </c>
      <c r="CA14" s="19">
        <v>15.7</v>
      </c>
      <c r="CB14" s="19">
        <v>3.4</v>
      </c>
      <c r="CC14" s="19">
        <v>0</v>
      </c>
      <c r="CD14" s="19">
        <v>0</v>
      </c>
      <c r="CE14" s="19">
        <v>15.9</v>
      </c>
      <c r="CF14" s="19">
        <v>5.4</v>
      </c>
      <c r="CG14" s="19">
        <v>0</v>
      </c>
      <c r="CH14" s="19">
        <v>0</v>
      </c>
      <c r="CI14" s="19"/>
      <c r="CJ14" s="19"/>
      <c r="CK14" s="19"/>
      <c r="CL14" s="19"/>
      <c r="CM14" s="19">
        <v>16.5</v>
      </c>
      <c r="CN14" s="19">
        <v>4.9000000000000004</v>
      </c>
      <c r="CO14" s="19">
        <v>0</v>
      </c>
      <c r="CP14" s="19">
        <v>0</v>
      </c>
      <c r="CQ14" s="19">
        <v>16.5</v>
      </c>
      <c r="CR14" s="19">
        <v>4.4000000000000004</v>
      </c>
      <c r="CS14" s="19">
        <v>0</v>
      </c>
      <c r="CT14" s="19">
        <v>0</v>
      </c>
      <c r="CU14" s="27"/>
      <c r="CV14" s="40">
        <f t="shared" si="24"/>
        <v>8.8000000000000007</v>
      </c>
      <c r="CW14" s="40">
        <f t="shared" si="25"/>
        <v>40.4</v>
      </c>
      <c r="CX14" s="40" t="str">
        <f t="shared" si="26"/>
        <v/>
      </c>
      <c r="CY14" s="40">
        <f t="shared" si="27"/>
        <v>8.8000000000000007</v>
      </c>
      <c r="CZ14" s="40">
        <f t="shared" si="28"/>
        <v>40.4</v>
      </c>
      <c r="DA14" s="40">
        <f t="shared" si="29"/>
        <v>9.3000000000000007</v>
      </c>
      <c r="DB14" s="40">
        <f t="shared" si="30"/>
        <v>42.3</v>
      </c>
      <c r="DC14" s="40">
        <f t="shared" si="31"/>
        <v>82.699999999999989</v>
      </c>
      <c r="DD14" s="50">
        <f t="shared" si="32"/>
        <v>1.5000000000000071</v>
      </c>
      <c r="DE14" s="50" t="str">
        <f t="shared" si="33"/>
        <v/>
      </c>
      <c r="DF14" s="17">
        <v>16.2</v>
      </c>
      <c r="DG14" s="17">
        <v>4.9000000000000004</v>
      </c>
      <c r="DH14" s="17">
        <v>0</v>
      </c>
      <c r="DI14" s="17">
        <v>0</v>
      </c>
      <c r="DJ14" s="17">
        <v>16.100000000000001</v>
      </c>
      <c r="DK14" s="17">
        <v>4.7</v>
      </c>
      <c r="DL14" s="17">
        <v>0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 t="shared" si="34"/>
        <v>9.6000000000000014</v>
      </c>
      <c r="EA14" s="40">
        <f t="shared" si="35"/>
        <v>41.900000000000006</v>
      </c>
      <c r="EB14" s="40" t="str">
        <f t="shared" si="36"/>
        <v/>
      </c>
      <c r="EC14" s="40">
        <f t="shared" si="37"/>
        <v>9.6000000000000014</v>
      </c>
      <c r="ED14" s="40">
        <f t="shared" si="38"/>
        <v>41.900000000000006</v>
      </c>
      <c r="EE14" s="40" t="str">
        <f t="shared" si="39"/>
        <v/>
      </c>
      <c r="EF14" s="40" t="str">
        <f t="shared" si="40"/>
        <v/>
      </c>
      <c r="EG14" s="40">
        <f t="shared" si="41"/>
        <v>41.900000000000006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2"/>
        <v/>
      </c>
      <c r="FC14" s="11" t="str">
        <f t="shared" si="43"/>
        <v/>
      </c>
      <c r="FD14" s="11" t="str">
        <f t="shared" si="44"/>
        <v/>
      </c>
      <c r="FE14" s="11" t="str">
        <f t="shared" si="45"/>
        <v/>
      </c>
      <c r="FF14" s="11" t="str">
        <f t="shared" si="46"/>
        <v/>
      </c>
      <c r="FG14" s="11" t="str">
        <f t="shared" si="47"/>
        <v/>
      </c>
      <c r="FH14" s="11" t="str">
        <f t="shared" si="48"/>
        <v/>
      </c>
      <c r="FI14" s="11" t="str">
        <f t="shared" si="49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0"/>
        <v/>
      </c>
      <c r="GE14" s="40" t="str">
        <f t="shared" si="51"/>
        <v/>
      </c>
      <c r="GF14" s="40" t="str">
        <f t="shared" si="52"/>
        <v/>
      </c>
      <c r="GG14" s="40" t="str">
        <f t="shared" si="53"/>
        <v/>
      </c>
      <c r="GH14" s="40" t="str">
        <f t="shared" si="54"/>
        <v/>
      </c>
      <c r="GI14" s="40" t="str">
        <f t="shared" si="55"/>
        <v/>
      </c>
      <c r="GJ14" s="40" t="str">
        <f t="shared" si="56"/>
        <v/>
      </c>
      <c r="GK14" s="40" t="str">
        <f t="shared" si="57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58"/>
        <v/>
      </c>
      <c r="HG14" s="11" t="str">
        <f t="shared" si="59"/>
        <v/>
      </c>
      <c r="HH14" s="11" t="str">
        <f t="shared" si="60"/>
        <v/>
      </c>
      <c r="HI14" s="11" t="str">
        <f t="shared" si="61"/>
        <v/>
      </c>
      <c r="HJ14" s="11" t="str">
        <f t="shared" si="62"/>
        <v/>
      </c>
      <c r="HK14" s="11" t="str">
        <f t="shared" si="63"/>
        <v/>
      </c>
      <c r="HL14" s="11" t="str">
        <f t="shared" si="64"/>
        <v/>
      </c>
      <c r="HM14" s="11" t="str">
        <f t="shared" si="65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6"/>
        <v/>
      </c>
      <c r="II14" s="40" t="str">
        <f t="shared" si="67"/>
        <v/>
      </c>
      <c r="IJ14" s="40" t="str">
        <f t="shared" si="68"/>
        <v/>
      </c>
      <c r="IK14" s="40" t="str">
        <f t="shared" si="69"/>
        <v/>
      </c>
      <c r="IL14" s="40" t="str">
        <f t="shared" si="70"/>
        <v/>
      </c>
      <c r="IM14" s="40" t="str">
        <f t="shared" si="71"/>
        <v/>
      </c>
      <c r="IN14" s="40" t="str">
        <f t="shared" si="72"/>
        <v/>
      </c>
      <c r="IO14" s="40" t="str">
        <f t="shared" si="73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4"/>
        <v/>
      </c>
      <c r="JK14" s="11" t="str">
        <f t="shared" si="75"/>
        <v/>
      </c>
      <c r="JL14" s="11" t="str">
        <f t="shared" si="76"/>
        <v/>
      </c>
      <c r="JM14" s="11" t="str">
        <f t="shared" si="77"/>
        <v/>
      </c>
      <c r="JN14" s="11" t="str">
        <f t="shared" si="78"/>
        <v/>
      </c>
      <c r="JO14" s="11" t="str">
        <f t="shared" si="79"/>
        <v/>
      </c>
      <c r="JP14" s="11" t="str">
        <f t="shared" si="80"/>
        <v/>
      </c>
      <c r="JQ14" s="11" t="str">
        <f t="shared" si="81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2"/>
        <v/>
      </c>
      <c r="KM14" s="40" t="str">
        <f t="shared" si="83"/>
        <v/>
      </c>
      <c r="KN14" s="40" t="str">
        <f t="shared" si="84"/>
        <v/>
      </c>
      <c r="KO14" s="40" t="str">
        <f t="shared" si="85"/>
        <v/>
      </c>
      <c r="KP14" s="40" t="str">
        <f t="shared" si="86"/>
        <v/>
      </c>
      <c r="KQ14" s="40" t="str">
        <f t="shared" si="87"/>
        <v/>
      </c>
      <c r="KR14" s="40" t="str">
        <f t="shared" si="88"/>
        <v/>
      </c>
      <c r="KS14" s="40" t="str">
        <f t="shared" si="89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0"/>
        <v/>
      </c>
      <c r="LO14" s="11" t="str">
        <f t="shared" si="91"/>
        <v/>
      </c>
      <c r="LP14" s="11" t="str">
        <f t="shared" si="92"/>
        <v/>
      </c>
      <c r="LQ14" s="11" t="str">
        <f t="shared" si="93"/>
        <v/>
      </c>
      <c r="LR14" s="11" t="str">
        <f t="shared" si="94"/>
        <v/>
      </c>
      <c r="LS14" s="11" t="str">
        <f t="shared" si="95"/>
        <v/>
      </c>
      <c r="LT14" s="11" t="str">
        <f t="shared" si="96"/>
        <v/>
      </c>
      <c r="LU14" s="11" t="str">
        <f t="shared" si="97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98"/>
        <v/>
      </c>
      <c r="MQ14" s="40" t="str">
        <f t="shared" si="99"/>
        <v/>
      </c>
      <c r="MR14" s="40" t="str">
        <f t="shared" si="100"/>
        <v/>
      </c>
      <c r="MS14" s="40" t="str">
        <f t="shared" si="101"/>
        <v/>
      </c>
      <c r="MT14" s="40" t="str">
        <f t="shared" si="102"/>
        <v/>
      </c>
      <c r="MU14" s="40" t="str">
        <f t="shared" si="103"/>
        <v/>
      </c>
      <c r="MV14" s="40" t="str">
        <f t="shared" si="104"/>
        <v/>
      </c>
      <c r="MW14" s="40" t="str">
        <f t="shared" si="105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6"/>
        <v/>
      </c>
      <c r="NS14" s="11" t="str">
        <f t="shared" si="107"/>
        <v/>
      </c>
      <c r="NT14" s="11" t="str">
        <f t="shared" si="108"/>
        <v/>
      </c>
      <c r="NU14" s="11" t="str">
        <f t="shared" si="109"/>
        <v/>
      </c>
      <c r="NV14" s="11" t="str">
        <f t="shared" si="110"/>
        <v/>
      </c>
      <c r="NW14" s="11" t="str">
        <f t="shared" si="111"/>
        <v/>
      </c>
      <c r="NX14" s="11" t="str">
        <f t="shared" si="112"/>
        <v/>
      </c>
      <c r="NY14" s="11" t="str">
        <f t="shared" si="113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4"/>
        <v/>
      </c>
      <c r="OU14" s="40" t="str">
        <f t="shared" si="115"/>
        <v/>
      </c>
      <c r="OV14" s="40" t="str">
        <f t="shared" si="116"/>
        <v/>
      </c>
      <c r="OW14" s="40" t="str">
        <f t="shared" si="117"/>
        <v/>
      </c>
      <c r="OX14" s="40" t="str">
        <f t="shared" si="118"/>
        <v/>
      </c>
      <c r="OY14" s="40" t="str">
        <f t="shared" si="119"/>
        <v/>
      </c>
      <c r="OZ14" s="40" t="str">
        <f t="shared" si="120"/>
        <v/>
      </c>
      <c r="PA14" s="40" t="str">
        <f t="shared" si="121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2"/>
        <v/>
      </c>
      <c r="PW14" s="11" t="str">
        <f t="shared" si="123"/>
        <v/>
      </c>
      <c r="PX14" s="11" t="str">
        <f t="shared" si="124"/>
        <v/>
      </c>
      <c r="PY14" s="11" t="str">
        <f t="shared" si="125"/>
        <v/>
      </c>
      <c r="PZ14" s="11" t="str">
        <f t="shared" si="126"/>
        <v/>
      </c>
      <c r="QA14" s="11" t="str">
        <f t="shared" si="127"/>
        <v/>
      </c>
      <c r="QB14" s="11" t="str">
        <f t="shared" si="128"/>
        <v/>
      </c>
      <c r="QC14" s="11" t="str">
        <f t="shared" si="129"/>
        <v/>
      </c>
      <c r="QD14" s="22">
        <f t="shared" si="130"/>
        <v>15.55</v>
      </c>
      <c r="QE14" s="22">
        <f t="shared" si="131"/>
        <v>4.5</v>
      </c>
      <c r="QF14" s="22">
        <f t="shared" si="132"/>
        <v>0</v>
      </c>
      <c r="QG14" s="22">
        <f t="shared" si="133"/>
        <v>0</v>
      </c>
      <c r="QH14" s="22">
        <f t="shared" si="134"/>
        <v>16.2</v>
      </c>
      <c r="QI14" s="22">
        <f t="shared" si="135"/>
        <v>5.4</v>
      </c>
      <c r="QJ14" s="22">
        <f t="shared" si="136"/>
        <v>0</v>
      </c>
      <c r="QK14" s="22">
        <f t="shared" si="137"/>
        <v>0</v>
      </c>
      <c r="QL14" s="22">
        <f t="shared" si="138"/>
        <v>0</v>
      </c>
      <c r="QM14" s="22">
        <f t="shared" si="139"/>
        <v>0</v>
      </c>
      <c r="QN14" s="22">
        <f t="shared" si="140"/>
        <v>0</v>
      </c>
      <c r="QO14" s="22">
        <f t="shared" si="141"/>
        <v>0</v>
      </c>
      <c r="QP14" s="22">
        <f t="shared" si="142"/>
        <v>16.2</v>
      </c>
      <c r="QQ14" s="22">
        <f t="shared" si="143"/>
        <v>5.25</v>
      </c>
      <c r="QR14" s="22">
        <f t="shared" si="144"/>
        <v>0</v>
      </c>
      <c r="QS14" s="22">
        <f t="shared" si="145"/>
        <v>0</v>
      </c>
      <c r="QT14" s="22">
        <f t="shared" si="146"/>
        <v>16.350000000000001</v>
      </c>
      <c r="QU14" s="22">
        <f t="shared" si="147"/>
        <v>4.9000000000000004</v>
      </c>
      <c r="QV14" s="22">
        <f t="shared" si="148"/>
        <v>0</v>
      </c>
      <c r="QW14" s="22">
        <f t="shared" si="149"/>
        <v>0</v>
      </c>
      <c r="QX14" s="27" t="s">
        <v>46</v>
      </c>
      <c r="QY14" s="40">
        <f t="shared" si="150"/>
        <v>9.9</v>
      </c>
      <c r="QZ14" s="40">
        <f t="shared" si="151"/>
        <v>41.65</v>
      </c>
      <c r="RA14" s="40" t="str">
        <f t="shared" si="152"/>
        <v/>
      </c>
      <c r="RB14" s="40">
        <f t="shared" si="153"/>
        <v>9.9</v>
      </c>
      <c r="RC14" s="40">
        <f t="shared" si="154"/>
        <v>41.65</v>
      </c>
      <c r="RD14" s="40">
        <f t="shared" si="155"/>
        <v>10.15</v>
      </c>
      <c r="RE14" s="40">
        <f t="shared" si="156"/>
        <v>42.699999999999996</v>
      </c>
      <c r="RF14" s="40">
        <f t="shared" si="157"/>
        <v>84.35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137</v>
      </c>
      <c r="D15" s="4" t="s">
        <v>4</v>
      </c>
      <c r="E15" s="4">
        <v>2007</v>
      </c>
      <c r="F15" s="9">
        <f t="shared" si="0"/>
        <v>123.30000816000414</v>
      </c>
      <c r="G15" s="64"/>
      <c r="H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DZ15&gt;=EG$23,EA15&gt;=EG$27,DZ15&lt;&gt;""),AND(EE15&gt;=EG$23,EF15&gt;=EG$27,EE15&lt;&gt;""),AND(FB15&gt;=FI$23,FC15&gt;=FI$27,FB15&lt;&gt;""),AND(FG15&gt;=FI$23,FH15&gt;=FI$27,FG15&lt;&gt;""),AND(GD15&gt;=GK$23,GE15&gt;=GK$27,GD15&lt;&gt;""),AND(GI15&gt;=GK$23,GJ15&gt;=GK$27,GI15&lt;&gt;""),AND(HF15&gt;=HM$23,HG15&gt;=HM$27,HF15&lt;&gt;""),AND(HK15&gt;=HM$23,HL15&gt;=HM$27,HK15&lt;&gt;""),AND(IH15&gt;=IO$23,II15&gt;=IO$27,IH15&lt;&gt;""),AND(IM15&gt;=IO$23,IN15&gt;=IO$27,IM15&lt;&gt;""),AND(JJ15&gt;=JQ$23,JK15&gt;=JQ$27,JJ15&lt;&gt;""),AND(JO15&gt;=JQ$23,JP15&gt;=JQ$27,JO15&lt;&gt;""),AND(KL15&gt;=KS$23,KM15&gt;=KS$27,KL15&lt;&gt;""),AND(KQ15&gt;=KS$23,KR15&gt;=KS$27,KQ15&lt;&gt;""),AND(LN15&gt;=LU$23,LO15&gt;=LU$27,LN15&lt;&gt;""),AND(LS15&gt;=LU$23,LT15&gt;=LU$27,LS15&lt;&gt;""),AND(MP15&gt;=MW$23,MQ15&gt;=MW$27,MP15&lt;&gt;""),AND(MU15&gt;=MW$23,MV15&gt;=MW$27,MU15&lt;&gt;""),AND(NR15&gt;=NY$23,NS15&gt;=NY$27,NR15&lt;&gt;""),AND(NW15&gt;=NY$23,NX15&gt;=NY$27,NW15&lt;&gt;""),AND(OT15&gt;=PA$23,OU15&gt;=PA$27,OT15&lt;&gt;""),AND(OY15&gt;=PA$23,OZ15&gt;=PA$27,OY15&lt;&gt;""),AND(PV15&gt;=QC$23,PW15&gt;=QC$27,PV15&lt;&gt;""),AND(QA15&gt;=QC$23,QB15&gt;=QC$27,QA15&lt;&gt;"")),"P","")</f>
        <v/>
      </c>
      <c r="I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A15&gt;=EG$27,EA15&lt;&gt;""),AND(EF15&gt;=EG$27,EF15&lt;&gt;""),AND(FC15&gt;=FI$27,FC15&lt;&gt;""),AND(FH15&gt;=FI$27,FH15&lt;&gt;""),AND(GE15&gt;=GK$27,GE15&lt;&gt;""),AND(GJ15&gt;=GK$27,GJ15&lt;&gt;""),AND(HG15&gt;=HM$27,HG15&lt;&gt;""),AND(HL15&gt;=HM$27,HL15&lt;&gt;""),AND(II15&gt;=IO$27,II15&lt;&gt;""),AND(IN15&gt;=IO$27,IN15&lt;&gt;""),AND(JK15&gt;=JQ$27,JK15&lt;&gt;""),AND(JP15&gt;=JQ$27,JP15&lt;&gt;""),AND(KM15&gt;=KS$27,KM15&lt;&gt;""),AND(KR15&gt;=KS$27,KR15&lt;&gt;""),AND(LO15&gt;=LU$27,LO15&lt;&gt;""),AND(LT15&gt;=LU$27,LT15&lt;&gt;""),AND(MQ15&gt;=MW$27,MQ15&lt;&gt;""),AND(MV15&gt;=MW$27,MV15&lt;&gt;""),AND(NS15&gt;=NY$27,NS15&lt;&gt;""),AND(NX15&gt;=NY$27,NX15&lt;&gt;""),AND(OU15&gt;=PA$27,OU15&lt;&gt;""),AND(OZ15&gt;=PA$27,OZ15&lt;&gt;""),AND(PW15&gt;=QC$27,PW15&lt;&gt;""),AND(QB15&gt;=QC$27,QB15&lt;&gt;"")),"P","")</f>
        <v/>
      </c>
      <c r="J15" s="36" t="str">
        <f>IF(AND(I15="P",H15=""),"No DD",IF(OR(AND(AS15&gt;=AW$26,AT15&gt;=AW$30,AS15&lt;&gt;"",AO15=""),AND(BV15&gt;=BZ$26,BW15&gt;=BZ$30,BV15&lt;&gt;"",BR15=""),AND(CY15&gt;=DC$26,CZ15&gt;=DC$30,CY15&lt;&gt;"",CU15=""),AND(EC15&gt;=EG$26,ED15&gt;=EG$30,EC15&lt;&gt;""),AND(FE15&gt;=FI$26,FF15&gt;=FI$30,FE15&lt;&gt;""),AND(GG15&gt;=GK$26,GH15&gt;=GK$30,GG15&lt;&gt;""),AND(HI15&gt;=HM$26,HJ15&gt;=HM$30,HI15&lt;&gt;""),AND(IK15&gt;=IO$26,IL15&gt;=IO$30,IK15&lt;&gt;""),AND(JM15&gt;=JQ$26,JN15&gt;=JQ$30,JM15&lt;&gt;""),AND(KO15&gt;=KS$26,KP15&gt;=KS$30,KO15&lt;&gt;""),AND(LQ15&gt;=LU$26,LR15&gt;=LU$30,LQ15&lt;&gt;""),AND(MS15&gt;=MW$26,MT15&gt;=MW$30,MS15&lt;&gt;""),AND(NU15&gt;=NY$26,NV15&gt;=NY$30,NU15&lt;&gt;""),AND(OW15&gt;=PA$26,OX15&gt;=PA$30,OW15&lt;&gt;""),AND(PY15&gt;=QC$26,PZ15&gt;=QC$30,PY15&lt;&gt;"")),"Merit",IF(OR(AND(AS15&gt;=AW$25,AT15&gt;=AW$29,AS15&lt;&gt;"",AO15=""),AND(BV15&gt;=BZ$25,BW15&gt;=BZ$29,BV15&lt;&gt;"",BR15=""),AND(CY15&gt;=DC$25,CZ15&gt;=DC$29,CY15&lt;&gt;"",CU15=""),AND(EC15&gt;=EG$25,ED15&gt;=EG$29,EC15&lt;&gt;""),AND(FE15&gt;=FI$25,FF15&gt;=FI$29,FE15&lt;&gt;""),AND(GG15&gt;=GK$25,GH15&gt;=GK$29,GG15&lt;&gt;""),AND(HI15&gt;=HM$25,HJ15&gt;=HM$29,HI15&lt;&gt;""),AND(IK15&gt;=IO$25,IL15&gt;=IO$29,IK15&lt;&gt;""),AND(JM15&gt;=JQ$25,JN15&gt;=JQ$29,JM15&lt;&gt;""),AND(KO15&gt;=KS$25,KP15&gt;=KS$29,KO15&lt;&gt;""),AND(LQ15&gt;=LU$25,LR15&gt;=LU$29,LQ15&lt;&gt;""),AND(MS15&gt;=MW$25,MT15&gt;=MW$29,MS15&lt;&gt;""),AND(NU15&gt;=NY$25,NV15&gt;=NY$29,NU15&lt;&gt;""),AND(OW15&gt;=PA$25,OX15&gt;=PA$29,OW15&lt;&gt;""),AND(PY15&gt;=QC$25,PZ15&gt;=QC$29,PY15&lt;&gt;"")),"Excellence",IF(K15="P","Worlds Team",IF(H15="P","National Team","")))))</f>
        <v/>
      </c>
      <c r="K15" s="3" t="str">
        <f>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P","")</f>
        <v/>
      </c>
      <c r="L15" s="8">
        <f>IF(COUNT(AQ15,BT15,CW15)&gt;0,LARGE((AQ15,BT15,CW15),1),0)</f>
        <v>41.599999999999994</v>
      </c>
      <c r="M15" s="8" t="str">
        <f t="shared" si="1"/>
        <v>2025 Nationals</v>
      </c>
      <c r="N15" s="8">
        <f>IF(COUNT(AQ15,BT15,CW15)&gt;1,LARGE((AQ15,BT15,CW15),2),0)</f>
        <v>39.999999999999993</v>
      </c>
      <c r="O15" s="8" t="str">
        <f t="shared" si="2"/>
        <v>2025 Elite Canada</v>
      </c>
      <c r="P15" s="8">
        <f t="shared" si="3"/>
        <v>41.199999999999996</v>
      </c>
      <c r="Q15" s="8" t="str">
        <f t="shared" si="4"/>
        <v>2025 Nationals</v>
      </c>
      <c r="R15" s="8">
        <f t="shared" si="5"/>
        <v>0.50000000000000711</v>
      </c>
      <c r="S15" s="11" t="str">
        <f t="shared" si="6"/>
        <v>(Q1)</v>
      </c>
      <c r="T15" s="8" t="str">
        <f t="shared" si="7"/>
        <v>2024 Coimbra Gym Fest (July 7)</v>
      </c>
      <c r="U15" s="19">
        <v>15.4</v>
      </c>
      <c r="V15" s="19">
        <v>4.5999999999999996</v>
      </c>
      <c r="W15" s="19">
        <v>0</v>
      </c>
      <c r="X15" s="19">
        <v>0.6</v>
      </c>
      <c r="Y15" s="19">
        <v>15.6</v>
      </c>
      <c r="Z15" s="19">
        <v>3.9</v>
      </c>
      <c r="AA15" s="19">
        <v>2</v>
      </c>
      <c r="AB15" s="19">
        <v>0.6</v>
      </c>
      <c r="AC15" s="19">
        <v>15</v>
      </c>
      <c r="AD15" s="19">
        <v>2.6</v>
      </c>
      <c r="AE15" s="19">
        <v>0</v>
      </c>
      <c r="AF15" s="19">
        <v>0.6</v>
      </c>
      <c r="AG15" s="19">
        <v>15.6</v>
      </c>
      <c r="AH15" s="19">
        <v>4.5999999999999996</v>
      </c>
      <c r="AI15" s="19">
        <v>0</v>
      </c>
      <c r="AJ15" s="19">
        <v>0.6</v>
      </c>
      <c r="AK15" s="19">
        <v>15.3</v>
      </c>
      <c r="AL15" s="19">
        <v>3.9</v>
      </c>
      <c r="AM15" s="19">
        <v>0</v>
      </c>
      <c r="AN15" s="19">
        <v>0.6</v>
      </c>
      <c r="AO15" s="27"/>
      <c r="AP15" s="40">
        <f t="shared" si="8"/>
        <v>8.5</v>
      </c>
      <c r="AQ15" s="40">
        <f t="shared" si="9"/>
        <v>38.700000000000003</v>
      </c>
      <c r="AR15" s="40">
        <f t="shared" si="10"/>
        <v>18.200000000000003</v>
      </c>
      <c r="AS15" s="40">
        <f t="shared" si="11"/>
        <v>11.1</v>
      </c>
      <c r="AT15" s="40">
        <f t="shared" si="12"/>
        <v>56.900000000000006</v>
      </c>
      <c r="AU15" s="40">
        <f t="shared" si="13"/>
        <v>8.5</v>
      </c>
      <c r="AV15" s="40">
        <f t="shared" si="14"/>
        <v>40.6</v>
      </c>
      <c r="AW15" s="40">
        <f t="shared" si="15"/>
        <v>97.5</v>
      </c>
      <c r="AX15" s="18">
        <v>15.2</v>
      </c>
      <c r="AY15" s="18">
        <v>4.5999999999999996</v>
      </c>
      <c r="AZ15" s="18">
        <v>0</v>
      </c>
      <c r="BA15" s="18">
        <v>0</v>
      </c>
      <c r="BB15" s="18">
        <v>15.4</v>
      </c>
      <c r="BC15" s="18">
        <v>4.8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4.8</v>
      </c>
      <c r="BL15" s="18">
        <v>0.2</v>
      </c>
      <c r="BM15" s="18">
        <v>0</v>
      </c>
      <c r="BN15" s="18">
        <v>15.5</v>
      </c>
      <c r="BO15" s="18">
        <v>5.3</v>
      </c>
      <c r="BP15" s="18">
        <v>0.4</v>
      </c>
      <c r="BQ15" s="18">
        <v>0</v>
      </c>
      <c r="BR15" s="28"/>
      <c r="BS15" s="11">
        <f t="shared" si="16"/>
        <v>9.3999999999999986</v>
      </c>
      <c r="BT15" s="11">
        <f t="shared" si="17"/>
        <v>39.999999999999993</v>
      </c>
      <c r="BU15" s="11" t="str">
        <f t="shared" si="18"/>
        <v/>
      </c>
      <c r="BV15" s="11">
        <f t="shared" si="19"/>
        <v>9.3999999999999986</v>
      </c>
      <c r="BW15" s="11">
        <f t="shared" si="20"/>
        <v>39.999999999999993</v>
      </c>
      <c r="BX15" s="11">
        <f t="shared" si="21"/>
        <v>10.1</v>
      </c>
      <c r="BY15" s="11">
        <f t="shared" si="22"/>
        <v>40.4</v>
      </c>
      <c r="BZ15" s="11">
        <f t="shared" si="23"/>
        <v>80.399999999999991</v>
      </c>
      <c r="CA15" s="19">
        <v>16</v>
      </c>
      <c r="CB15" s="19">
        <v>4.8</v>
      </c>
      <c r="CC15" s="19">
        <v>0</v>
      </c>
      <c r="CD15" s="19">
        <v>0</v>
      </c>
      <c r="CE15" s="19">
        <v>15.5</v>
      </c>
      <c r="CF15" s="19">
        <v>5.3</v>
      </c>
      <c r="CG15" s="19">
        <v>0</v>
      </c>
      <c r="CH15" s="19">
        <v>0</v>
      </c>
      <c r="CI15" s="19"/>
      <c r="CJ15" s="19"/>
      <c r="CK15" s="19"/>
      <c r="CL15" s="19"/>
      <c r="CM15" s="19">
        <v>15.7</v>
      </c>
      <c r="CN15" s="19">
        <v>4.8</v>
      </c>
      <c r="CO15" s="19">
        <v>0.2</v>
      </c>
      <c r="CP15" s="19">
        <v>0</v>
      </c>
      <c r="CQ15" s="19">
        <v>15.6</v>
      </c>
      <c r="CR15" s="19">
        <v>5.3</v>
      </c>
      <c r="CS15" s="19">
        <v>0</v>
      </c>
      <c r="CT15" s="19">
        <v>0</v>
      </c>
      <c r="CU15" s="27"/>
      <c r="CV15" s="40">
        <f t="shared" si="24"/>
        <v>10.1</v>
      </c>
      <c r="CW15" s="40">
        <f t="shared" si="25"/>
        <v>41.599999999999994</v>
      </c>
      <c r="CX15" s="40" t="str">
        <f t="shared" si="26"/>
        <v/>
      </c>
      <c r="CY15" s="40">
        <f t="shared" si="27"/>
        <v>10.1</v>
      </c>
      <c r="CZ15" s="40">
        <f t="shared" si="28"/>
        <v>41.599999999999994</v>
      </c>
      <c r="DA15" s="40">
        <f t="shared" si="29"/>
        <v>10.1</v>
      </c>
      <c r="DB15" s="40">
        <f t="shared" si="30"/>
        <v>41.199999999999996</v>
      </c>
      <c r="DC15" s="40">
        <f t="shared" si="31"/>
        <v>82.799999999999983</v>
      </c>
      <c r="DD15" s="50">
        <f t="shared" si="32"/>
        <v>0.50000000000000711</v>
      </c>
      <c r="DE15" s="50" t="str">
        <f t="shared" si="33"/>
        <v/>
      </c>
      <c r="DF15" s="17">
        <v>15.7</v>
      </c>
      <c r="DG15" s="17">
        <v>4.8</v>
      </c>
      <c r="DH15" s="17">
        <v>0</v>
      </c>
      <c r="DI15" s="17">
        <v>0</v>
      </c>
      <c r="DJ15" s="17">
        <v>15.4</v>
      </c>
      <c r="DK15" s="17">
        <v>4.5999999999999996</v>
      </c>
      <c r="DL15" s="17">
        <v>0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 t="shared" si="34"/>
        <v>9.3999999999999986</v>
      </c>
      <c r="EA15" s="40">
        <f t="shared" si="35"/>
        <v>40.5</v>
      </c>
      <c r="EB15" s="40" t="str">
        <f t="shared" si="36"/>
        <v/>
      </c>
      <c r="EC15" s="40">
        <f t="shared" si="37"/>
        <v>9.3999999999999986</v>
      </c>
      <c r="ED15" s="40">
        <f t="shared" si="38"/>
        <v>40.5</v>
      </c>
      <c r="EE15" s="40" t="str">
        <f t="shared" si="39"/>
        <v/>
      </c>
      <c r="EF15" s="40" t="str">
        <f t="shared" si="40"/>
        <v/>
      </c>
      <c r="EG15" s="40">
        <f t="shared" si="41"/>
        <v>40.5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2"/>
        <v/>
      </c>
      <c r="FC15" s="11" t="str">
        <f t="shared" si="43"/>
        <v/>
      </c>
      <c r="FD15" s="11" t="str">
        <f t="shared" si="44"/>
        <v/>
      </c>
      <c r="FE15" s="11" t="str">
        <f t="shared" si="45"/>
        <v/>
      </c>
      <c r="FF15" s="11" t="str">
        <f t="shared" si="46"/>
        <v/>
      </c>
      <c r="FG15" s="11" t="str">
        <f t="shared" si="47"/>
        <v/>
      </c>
      <c r="FH15" s="11" t="str">
        <f t="shared" si="48"/>
        <v/>
      </c>
      <c r="FI15" s="11" t="str">
        <f t="shared" si="49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0"/>
        <v/>
      </c>
      <c r="GE15" s="40" t="str">
        <f t="shared" si="51"/>
        <v/>
      </c>
      <c r="GF15" s="40" t="str">
        <f t="shared" si="52"/>
        <v/>
      </c>
      <c r="GG15" s="40" t="str">
        <f t="shared" si="53"/>
        <v/>
      </c>
      <c r="GH15" s="40" t="str">
        <f t="shared" si="54"/>
        <v/>
      </c>
      <c r="GI15" s="40" t="str">
        <f t="shared" si="55"/>
        <v/>
      </c>
      <c r="GJ15" s="40" t="str">
        <f t="shared" si="56"/>
        <v/>
      </c>
      <c r="GK15" s="40" t="str">
        <f t="shared" si="57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58"/>
        <v/>
      </c>
      <c r="HG15" s="11" t="str">
        <f t="shared" si="59"/>
        <v/>
      </c>
      <c r="HH15" s="11" t="str">
        <f t="shared" si="60"/>
        <v/>
      </c>
      <c r="HI15" s="11" t="str">
        <f t="shared" si="61"/>
        <v/>
      </c>
      <c r="HJ15" s="11" t="str">
        <f t="shared" si="62"/>
        <v/>
      </c>
      <c r="HK15" s="11" t="str">
        <f t="shared" si="63"/>
        <v/>
      </c>
      <c r="HL15" s="11" t="str">
        <f t="shared" si="64"/>
        <v/>
      </c>
      <c r="HM15" s="11" t="str">
        <f t="shared" si="65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6"/>
        <v/>
      </c>
      <c r="II15" s="40" t="str">
        <f t="shared" si="67"/>
        <v/>
      </c>
      <c r="IJ15" s="40" t="str">
        <f t="shared" si="68"/>
        <v/>
      </c>
      <c r="IK15" s="40" t="str">
        <f t="shared" si="69"/>
        <v/>
      </c>
      <c r="IL15" s="40" t="str">
        <f t="shared" si="70"/>
        <v/>
      </c>
      <c r="IM15" s="40" t="str">
        <f t="shared" si="71"/>
        <v/>
      </c>
      <c r="IN15" s="40" t="str">
        <f t="shared" si="72"/>
        <v/>
      </c>
      <c r="IO15" s="40" t="str">
        <f t="shared" si="73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4"/>
        <v/>
      </c>
      <c r="JK15" s="11" t="str">
        <f t="shared" si="75"/>
        <v/>
      </c>
      <c r="JL15" s="11" t="str">
        <f t="shared" si="76"/>
        <v/>
      </c>
      <c r="JM15" s="11" t="str">
        <f t="shared" si="77"/>
        <v/>
      </c>
      <c r="JN15" s="11" t="str">
        <f t="shared" si="78"/>
        <v/>
      </c>
      <c r="JO15" s="11" t="str">
        <f t="shared" si="79"/>
        <v/>
      </c>
      <c r="JP15" s="11" t="str">
        <f t="shared" si="80"/>
        <v/>
      </c>
      <c r="JQ15" s="11" t="str">
        <f t="shared" si="81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2"/>
        <v/>
      </c>
      <c r="KM15" s="40" t="str">
        <f t="shared" si="83"/>
        <v/>
      </c>
      <c r="KN15" s="40" t="str">
        <f t="shared" si="84"/>
        <v/>
      </c>
      <c r="KO15" s="40" t="str">
        <f t="shared" si="85"/>
        <v/>
      </c>
      <c r="KP15" s="40" t="str">
        <f t="shared" si="86"/>
        <v/>
      </c>
      <c r="KQ15" s="40" t="str">
        <f t="shared" si="87"/>
        <v/>
      </c>
      <c r="KR15" s="40" t="str">
        <f t="shared" si="88"/>
        <v/>
      </c>
      <c r="KS15" s="40" t="str">
        <f t="shared" si="89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0"/>
        <v/>
      </c>
      <c r="LO15" s="11" t="str">
        <f t="shared" si="91"/>
        <v/>
      </c>
      <c r="LP15" s="11" t="str">
        <f t="shared" si="92"/>
        <v/>
      </c>
      <c r="LQ15" s="11" t="str">
        <f t="shared" si="93"/>
        <v/>
      </c>
      <c r="LR15" s="11" t="str">
        <f t="shared" si="94"/>
        <v/>
      </c>
      <c r="LS15" s="11" t="str">
        <f t="shared" si="95"/>
        <v/>
      </c>
      <c r="LT15" s="11" t="str">
        <f t="shared" si="96"/>
        <v/>
      </c>
      <c r="LU15" s="11" t="str">
        <f t="shared" si="97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98"/>
        <v/>
      </c>
      <c r="MQ15" s="40" t="str">
        <f t="shared" si="99"/>
        <v/>
      </c>
      <c r="MR15" s="40" t="str">
        <f t="shared" si="100"/>
        <v/>
      </c>
      <c r="MS15" s="40" t="str">
        <f t="shared" si="101"/>
        <v/>
      </c>
      <c r="MT15" s="40" t="str">
        <f t="shared" si="102"/>
        <v/>
      </c>
      <c r="MU15" s="40" t="str">
        <f t="shared" si="103"/>
        <v/>
      </c>
      <c r="MV15" s="40" t="str">
        <f t="shared" si="104"/>
        <v/>
      </c>
      <c r="MW15" s="40" t="str">
        <f t="shared" si="105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6"/>
        <v/>
      </c>
      <c r="NS15" s="11" t="str">
        <f t="shared" si="107"/>
        <v/>
      </c>
      <c r="NT15" s="11" t="str">
        <f t="shared" si="108"/>
        <v/>
      </c>
      <c r="NU15" s="11" t="str">
        <f t="shared" si="109"/>
        <v/>
      </c>
      <c r="NV15" s="11" t="str">
        <f t="shared" si="110"/>
        <v/>
      </c>
      <c r="NW15" s="11" t="str">
        <f t="shared" si="111"/>
        <v/>
      </c>
      <c r="NX15" s="11" t="str">
        <f t="shared" si="112"/>
        <v/>
      </c>
      <c r="NY15" s="11" t="str">
        <f t="shared" si="113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4"/>
        <v/>
      </c>
      <c r="OU15" s="40" t="str">
        <f t="shared" si="115"/>
        <v/>
      </c>
      <c r="OV15" s="40" t="str">
        <f t="shared" si="116"/>
        <v/>
      </c>
      <c r="OW15" s="40" t="str">
        <f t="shared" si="117"/>
        <v/>
      </c>
      <c r="OX15" s="40" t="str">
        <f t="shared" si="118"/>
        <v/>
      </c>
      <c r="OY15" s="40" t="str">
        <f t="shared" si="119"/>
        <v/>
      </c>
      <c r="OZ15" s="40" t="str">
        <f t="shared" si="120"/>
        <v/>
      </c>
      <c r="PA15" s="40" t="str">
        <f t="shared" si="121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2"/>
        <v/>
      </c>
      <c r="PW15" s="11" t="str">
        <f t="shared" si="123"/>
        <v/>
      </c>
      <c r="PX15" s="11" t="str">
        <f t="shared" si="124"/>
        <v/>
      </c>
      <c r="PY15" s="11" t="str">
        <f t="shared" si="125"/>
        <v/>
      </c>
      <c r="PZ15" s="11" t="str">
        <f t="shared" si="126"/>
        <v/>
      </c>
      <c r="QA15" s="11" t="str">
        <f t="shared" si="127"/>
        <v/>
      </c>
      <c r="QB15" s="11" t="str">
        <f t="shared" si="128"/>
        <v/>
      </c>
      <c r="QC15" s="11" t="str">
        <f t="shared" si="129"/>
        <v/>
      </c>
      <c r="QD15" s="22">
        <f t="shared" si="130"/>
        <v>15.6</v>
      </c>
      <c r="QE15" s="22">
        <f t="shared" si="131"/>
        <v>4.6999999999999993</v>
      </c>
      <c r="QF15" s="22">
        <f t="shared" si="132"/>
        <v>0</v>
      </c>
      <c r="QG15" s="22">
        <f t="shared" si="133"/>
        <v>0</v>
      </c>
      <c r="QH15" s="22">
        <f t="shared" si="134"/>
        <v>15.45</v>
      </c>
      <c r="QI15" s="22">
        <f t="shared" si="135"/>
        <v>5.05</v>
      </c>
      <c r="QJ15" s="22">
        <f t="shared" si="136"/>
        <v>0</v>
      </c>
      <c r="QK15" s="22">
        <f t="shared" si="137"/>
        <v>0</v>
      </c>
      <c r="QL15" s="22">
        <f t="shared" si="138"/>
        <v>0</v>
      </c>
      <c r="QM15" s="22">
        <f t="shared" si="139"/>
        <v>0</v>
      </c>
      <c r="QN15" s="22">
        <f t="shared" si="140"/>
        <v>0</v>
      </c>
      <c r="QO15" s="22">
        <f t="shared" si="141"/>
        <v>0</v>
      </c>
      <c r="QP15" s="22">
        <f t="shared" si="142"/>
        <v>15.55</v>
      </c>
      <c r="QQ15" s="22">
        <f t="shared" si="143"/>
        <v>4.8</v>
      </c>
      <c r="QR15" s="22">
        <f t="shared" si="144"/>
        <v>0.2</v>
      </c>
      <c r="QS15" s="22">
        <f t="shared" si="145"/>
        <v>0</v>
      </c>
      <c r="QT15" s="22">
        <f t="shared" si="146"/>
        <v>15.55</v>
      </c>
      <c r="QU15" s="22">
        <f t="shared" si="147"/>
        <v>5.3</v>
      </c>
      <c r="QV15" s="22">
        <f t="shared" si="148"/>
        <v>0.2</v>
      </c>
      <c r="QW15" s="22">
        <f t="shared" si="149"/>
        <v>0</v>
      </c>
      <c r="QX15" s="27" t="s">
        <v>46</v>
      </c>
      <c r="QY15" s="40">
        <f t="shared" si="150"/>
        <v>9.75</v>
      </c>
      <c r="QZ15" s="40">
        <f t="shared" si="151"/>
        <v>40.799999999999997</v>
      </c>
      <c r="RA15" s="40" t="str">
        <f t="shared" si="152"/>
        <v/>
      </c>
      <c r="RB15" s="40">
        <f t="shared" si="153"/>
        <v>9.75</v>
      </c>
      <c r="RC15" s="40">
        <f t="shared" si="154"/>
        <v>40.799999999999997</v>
      </c>
      <c r="RD15" s="40">
        <f t="shared" si="155"/>
        <v>10.1</v>
      </c>
      <c r="RE15" s="40">
        <f t="shared" si="156"/>
        <v>40.800000000000004</v>
      </c>
      <c r="RF15" s="40">
        <f t="shared" si="157"/>
        <v>81.599999999999994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95</v>
      </c>
      <c r="D16" s="4" t="s">
        <v>5</v>
      </c>
      <c r="E16" s="4">
        <v>2005</v>
      </c>
      <c r="F16" s="9">
        <f t="shared" si="0"/>
        <v>120.5000079700044</v>
      </c>
      <c r="G16" s="64"/>
      <c r="H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DZ16&gt;=EG$23,EA16&gt;=EG$27,DZ16&lt;&gt;""),AND(EE16&gt;=EG$23,EF16&gt;=EG$27,EE16&lt;&gt;""),AND(FB16&gt;=FI$23,FC16&gt;=FI$27,FB16&lt;&gt;""),AND(FG16&gt;=FI$23,FH16&gt;=FI$27,FG16&lt;&gt;""),AND(GD16&gt;=GK$23,GE16&gt;=GK$27,GD16&lt;&gt;""),AND(GI16&gt;=GK$23,GJ16&gt;=GK$27,GI16&lt;&gt;""),AND(HF16&gt;=HM$23,HG16&gt;=HM$27,HF16&lt;&gt;""),AND(HK16&gt;=HM$23,HL16&gt;=HM$27,HK16&lt;&gt;""),AND(IH16&gt;=IO$23,II16&gt;=IO$27,IH16&lt;&gt;""),AND(IM16&gt;=IO$23,IN16&gt;=IO$27,IM16&lt;&gt;""),AND(JJ16&gt;=JQ$23,JK16&gt;=JQ$27,JJ16&lt;&gt;""),AND(JO16&gt;=JQ$23,JP16&gt;=JQ$27,JO16&lt;&gt;""),AND(KL16&gt;=KS$23,KM16&gt;=KS$27,KL16&lt;&gt;""),AND(KQ16&gt;=KS$23,KR16&gt;=KS$27,KQ16&lt;&gt;""),AND(LN16&gt;=LU$23,LO16&gt;=LU$27,LN16&lt;&gt;""),AND(LS16&gt;=LU$23,LT16&gt;=LU$27,LS16&lt;&gt;""),AND(MP16&gt;=MW$23,MQ16&gt;=MW$27,MP16&lt;&gt;""),AND(MU16&gt;=MW$23,MV16&gt;=MW$27,MU16&lt;&gt;""),AND(NR16&gt;=NY$23,NS16&gt;=NY$27,NR16&lt;&gt;""),AND(NW16&gt;=NY$23,NX16&gt;=NY$27,NW16&lt;&gt;""),AND(OT16&gt;=PA$23,OU16&gt;=PA$27,OT16&lt;&gt;""),AND(OY16&gt;=PA$23,OZ16&gt;=PA$27,OY16&lt;&gt;""),AND(PV16&gt;=QC$23,PW16&gt;=QC$27,PV16&lt;&gt;""),AND(QA16&gt;=QC$23,QB16&gt;=QC$27,QA16&lt;&gt;"")),"P","")</f>
        <v/>
      </c>
      <c r="I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A16&gt;=EG$27,EA16&lt;&gt;""),AND(EF16&gt;=EG$27,EF16&lt;&gt;""),AND(FC16&gt;=FI$27,FC16&lt;&gt;""),AND(FH16&gt;=FI$27,FH16&lt;&gt;""),AND(GE16&gt;=GK$27,GE16&lt;&gt;""),AND(GJ16&gt;=GK$27,GJ16&lt;&gt;""),AND(HG16&gt;=HM$27,HG16&lt;&gt;""),AND(HL16&gt;=HM$27,HL16&lt;&gt;""),AND(II16&gt;=IO$27,II16&lt;&gt;""),AND(IN16&gt;=IO$27,IN16&lt;&gt;""),AND(JK16&gt;=JQ$27,JK16&lt;&gt;""),AND(JP16&gt;=JQ$27,JP16&lt;&gt;""),AND(KM16&gt;=KS$27,KM16&lt;&gt;""),AND(KR16&gt;=KS$27,KR16&lt;&gt;""),AND(LO16&gt;=LU$27,LO16&lt;&gt;""),AND(LT16&gt;=LU$27,LT16&lt;&gt;""),AND(MQ16&gt;=MW$27,MQ16&lt;&gt;""),AND(MV16&gt;=MW$27,MV16&lt;&gt;""),AND(NS16&gt;=NY$27,NS16&lt;&gt;""),AND(NX16&gt;=NY$27,NX16&lt;&gt;""),AND(OU16&gt;=PA$27,OU16&lt;&gt;""),AND(OZ16&gt;=PA$27,OZ16&lt;&gt;""),AND(PW16&gt;=QC$27,PW16&lt;&gt;""),AND(QB16&gt;=QC$27,QB16&lt;&gt;"")),"P","")</f>
        <v/>
      </c>
      <c r="J16" s="36" t="str">
        <f>IF(AND(I16="P",H16=""),"No DD",IF(OR(AND(AS16&gt;=AW$26,AT16&gt;=AW$30,AS16&lt;&gt;"",AO16=""),AND(BV16&gt;=BZ$26,BW16&gt;=BZ$30,BV16&lt;&gt;"",BR16=""),AND(CY16&gt;=DC$26,CZ16&gt;=DC$30,CY16&lt;&gt;"",CU16=""),AND(EC16&gt;=EG$26,ED16&gt;=EG$30,EC16&lt;&gt;""),AND(FE16&gt;=FI$26,FF16&gt;=FI$30,FE16&lt;&gt;""),AND(GG16&gt;=GK$26,GH16&gt;=GK$30,GG16&lt;&gt;""),AND(HI16&gt;=HM$26,HJ16&gt;=HM$30,HI16&lt;&gt;""),AND(IK16&gt;=IO$26,IL16&gt;=IO$30,IK16&lt;&gt;""),AND(JM16&gt;=JQ$26,JN16&gt;=JQ$30,JM16&lt;&gt;""),AND(KO16&gt;=KS$26,KP16&gt;=KS$30,KO16&lt;&gt;""),AND(LQ16&gt;=LU$26,LR16&gt;=LU$30,LQ16&lt;&gt;""),AND(MS16&gt;=MW$26,MT16&gt;=MW$30,MS16&lt;&gt;""),AND(NU16&gt;=NY$26,NV16&gt;=NY$30,NU16&lt;&gt;""),AND(OW16&gt;=PA$26,OX16&gt;=PA$30,OW16&lt;&gt;""),AND(PY16&gt;=QC$26,PZ16&gt;=QC$30,PY16&lt;&gt;"")),"Merit",IF(OR(AND(AS16&gt;=AW$25,AT16&gt;=AW$29,AS16&lt;&gt;"",AO16=""),AND(BV16&gt;=BZ$25,BW16&gt;=BZ$29,BV16&lt;&gt;"",BR16=""),AND(CY16&gt;=DC$25,CZ16&gt;=DC$29,CY16&lt;&gt;"",CU16=""),AND(EC16&gt;=EG$25,ED16&gt;=EG$29,EC16&lt;&gt;""),AND(FE16&gt;=FI$25,FF16&gt;=FI$29,FE16&lt;&gt;""),AND(GG16&gt;=GK$25,GH16&gt;=GK$29,GG16&lt;&gt;""),AND(HI16&gt;=HM$25,HJ16&gt;=HM$29,HI16&lt;&gt;""),AND(IK16&gt;=IO$25,IL16&gt;=IO$29,IK16&lt;&gt;""),AND(JM16&gt;=JQ$25,JN16&gt;=JQ$29,JM16&lt;&gt;""),AND(KO16&gt;=KS$25,KP16&gt;=KS$29,KO16&lt;&gt;""),AND(LQ16&gt;=LU$25,LR16&gt;=LU$29,LQ16&lt;&gt;""),AND(MS16&gt;=MW$25,MT16&gt;=MW$29,MS16&lt;&gt;""),AND(NU16&gt;=NY$25,NV16&gt;=NY$29,NU16&lt;&gt;""),AND(OW16&gt;=PA$25,OX16&gt;=PA$29,OW16&lt;&gt;""),AND(PY16&gt;=QC$25,PZ16&gt;=QC$29,PY16&lt;&gt;"")),"Excellence",IF(K16="P","Worlds Team",IF(H16="P","National Team","")))))</f>
        <v/>
      </c>
      <c r="K16" s="3" t="str">
        <f>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P","")</f>
        <v/>
      </c>
      <c r="L16" s="8">
        <f>IF(COUNT(AQ16,BT16,CW16)&gt;0,LARGE((AQ16,BT16,CW16),1),0)</f>
        <v>44.1</v>
      </c>
      <c r="M16" s="8" t="str">
        <f t="shared" si="1"/>
        <v>2025 Nationals</v>
      </c>
      <c r="N16" s="8">
        <f>IF(COUNT(AQ16,BT16,CW16)&gt;1,LARGE((AQ16,BT16,CW16),2),0)</f>
        <v>35.599999999999994</v>
      </c>
      <c r="O16" s="8" t="str">
        <f t="shared" si="2"/>
        <v>2025 Elite Canada</v>
      </c>
      <c r="P16" s="8">
        <f t="shared" si="3"/>
        <v>40.600000000000009</v>
      </c>
      <c r="Q16" s="8" t="str">
        <f t="shared" si="4"/>
        <v>2025 Nationals</v>
      </c>
      <c r="R16" s="8">
        <f t="shared" si="5"/>
        <v>0.20000000000000284</v>
      </c>
      <c r="S16" s="11" t="str">
        <f t="shared" si="6"/>
        <v>(Q1)</v>
      </c>
      <c r="T16" s="8" t="str">
        <f t="shared" si="7"/>
        <v>2024 Coimbra Gym Fest (July 7)</v>
      </c>
      <c r="U16" s="19">
        <v>9.6999999999999993</v>
      </c>
      <c r="V16" s="19">
        <v>2.4</v>
      </c>
      <c r="W16" s="19">
        <v>0</v>
      </c>
      <c r="X16" s="19">
        <v>0.3</v>
      </c>
      <c r="Y16" s="19">
        <v>13.8</v>
      </c>
      <c r="Z16" s="19">
        <v>2.1</v>
      </c>
      <c r="AA16" s="19">
        <v>5.4</v>
      </c>
      <c r="AB16" s="19">
        <v>0.3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8"/>
        <v>4.5</v>
      </c>
      <c r="AQ16" s="40">
        <f t="shared" si="9"/>
        <v>23.200000000000003</v>
      </c>
      <c r="AR16" s="40" t="str">
        <f t="shared" si="10"/>
        <v/>
      </c>
      <c r="AS16" s="40">
        <f t="shared" si="11"/>
        <v>4.5</v>
      </c>
      <c r="AT16" s="40">
        <f t="shared" si="12"/>
        <v>23.200000000000003</v>
      </c>
      <c r="AU16" s="40" t="str">
        <f t="shared" si="13"/>
        <v/>
      </c>
      <c r="AV16" s="40" t="str">
        <f t="shared" si="14"/>
        <v/>
      </c>
      <c r="AW16" s="40">
        <f t="shared" si="15"/>
        <v>23.200000000000003</v>
      </c>
      <c r="AX16" s="18">
        <v>14</v>
      </c>
      <c r="AY16" s="18">
        <v>4.2</v>
      </c>
      <c r="AZ16" s="18">
        <v>0.4</v>
      </c>
      <c r="BA16" s="18">
        <v>0.7</v>
      </c>
      <c r="BB16" s="18">
        <v>14.2</v>
      </c>
      <c r="BC16" s="18">
        <v>3.5</v>
      </c>
      <c r="BD16" s="18">
        <v>0.6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16"/>
        <v>7.7</v>
      </c>
      <c r="BT16" s="11">
        <f t="shared" si="17"/>
        <v>35.599999999999994</v>
      </c>
      <c r="BU16" s="11" t="str">
        <f t="shared" si="18"/>
        <v/>
      </c>
      <c r="BV16" s="11">
        <f t="shared" si="19"/>
        <v>7.7</v>
      </c>
      <c r="BW16" s="11">
        <f t="shared" si="20"/>
        <v>35.599999999999994</v>
      </c>
      <c r="BX16" s="11" t="str">
        <f t="shared" si="21"/>
        <v/>
      </c>
      <c r="BY16" s="11" t="str">
        <f t="shared" si="22"/>
        <v/>
      </c>
      <c r="BZ16" s="11">
        <f t="shared" si="23"/>
        <v>35.599999999999994</v>
      </c>
      <c r="CA16" s="19">
        <v>15.9</v>
      </c>
      <c r="CB16" s="19">
        <v>6</v>
      </c>
      <c r="CC16" s="19">
        <v>0</v>
      </c>
      <c r="CD16" s="19">
        <v>0.7</v>
      </c>
      <c r="CE16" s="19">
        <v>15.3</v>
      </c>
      <c r="CF16" s="19">
        <v>5.5</v>
      </c>
      <c r="CG16" s="19">
        <v>0</v>
      </c>
      <c r="CH16" s="19">
        <v>0.7</v>
      </c>
      <c r="CI16" s="19"/>
      <c r="CJ16" s="19"/>
      <c r="CK16" s="19"/>
      <c r="CL16" s="19"/>
      <c r="CM16" s="19">
        <v>15.3</v>
      </c>
      <c r="CN16" s="19">
        <v>5.7</v>
      </c>
      <c r="CO16" s="19">
        <v>0</v>
      </c>
      <c r="CP16" s="19">
        <v>0.7</v>
      </c>
      <c r="CQ16" s="19">
        <v>14</v>
      </c>
      <c r="CR16" s="19">
        <v>4.5999999999999996</v>
      </c>
      <c r="CS16" s="19">
        <v>0.4</v>
      </c>
      <c r="CT16" s="19">
        <v>0.7</v>
      </c>
      <c r="CU16" s="27"/>
      <c r="CV16" s="40">
        <f t="shared" si="24"/>
        <v>11.5</v>
      </c>
      <c r="CW16" s="40">
        <f t="shared" si="25"/>
        <v>44.1</v>
      </c>
      <c r="CX16" s="40" t="str">
        <f t="shared" si="26"/>
        <v/>
      </c>
      <c r="CY16" s="40">
        <f t="shared" si="27"/>
        <v>11.5</v>
      </c>
      <c r="CZ16" s="40">
        <f t="shared" si="28"/>
        <v>44.1</v>
      </c>
      <c r="DA16" s="40">
        <f t="shared" si="29"/>
        <v>10.3</v>
      </c>
      <c r="DB16" s="40">
        <f t="shared" si="30"/>
        <v>40.600000000000009</v>
      </c>
      <c r="DC16" s="40">
        <f t="shared" si="31"/>
        <v>84.700000000000017</v>
      </c>
      <c r="DD16" s="50">
        <f t="shared" si="32"/>
        <v>0.20000000000000284</v>
      </c>
      <c r="DE16" s="50" t="str">
        <f t="shared" si="33"/>
        <v/>
      </c>
      <c r="DF16" s="17">
        <v>15.1</v>
      </c>
      <c r="DG16" s="17">
        <v>4.2</v>
      </c>
      <c r="DH16" s="17">
        <v>0</v>
      </c>
      <c r="DI16" s="17">
        <v>0</v>
      </c>
      <c r="DJ16" s="17">
        <v>13.2</v>
      </c>
      <c r="DK16" s="17">
        <v>3.5</v>
      </c>
      <c r="DL16" s="17">
        <v>0.2</v>
      </c>
      <c r="DM16" s="17">
        <v>0</v>
      </c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>
        <f t="shared" si="34"/>
        <v>7.7</v>
      </c>
      <c r="EA16" s="40">
        <f t="shared" si="35"/>
        <v>35.799999999999997</v>
      </c>
      <c r="EB16" s="40" t="str">
        <f t="shared" si="36"/>
        <v/>
      </c>
      <c r="EC16" s="40">
        <f t="shared" si="37"/>
        <v>7.7</v>
      </c>
      <c r="ED16" s="40">
        <f t="shared" si="38"/>
        <v>35.799999999999997</v>
      </c>
      <c r="EE16" s="40" t="str">
        <f t="shared" si="39"/>
        <v/>
      </c>
      <c r="EF16" s="40" t="str">
        <f t="shared" si="40"/>
        <v/>
      </c>
      <c r="EG16" s="40">
        <f t="shared" si="41"/>
        <v>35.799999999999997</v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2"/>
        <v/>
      </c>
      <c r="FC16" s="11" t="str">
        <f t="shared" si="43"/>
        <v/>
      </c>
      <c r="FD16" s="11" t="str">
        <f t="shared" si="44"/>
        <v/>
      </c>
      <c r="FE16" s="11" t="str">
        <f t="shared" si="45"/>
        <v/>
      </c>
      <c r="FF16" s="11" t="str">
        <f t="shared" si="46"/>
        <v/>
      </c>
      <c r="FG16" s="11" t="str">
        <f t="shared" si="47"/>
        <v/>
      </c>
      <c r="FH16" s="11" t="str">
        <f t="shared" si="48"/>
        <v/>
      </c>
      <c r="FI16" s="11" t="str">
        <f t="shared" si="49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0"/>
        <v/>
      </c>
      <c r="GE16" s="40" t="str">
        <f t="shared" si="51"/>
        <v/>
      </c>
      <c r="GF16" s="40" t="str">
        <f t="shared" si="52"/>
        <v/>
      </c>
      <c r="GG16" s="40" t="str">
        <f t="shared" si="53"/>
        <v/>
      </c>
      <c r="GH16" s="40" t="str">
        <f t="shared" si="54"/>
        <v/>
      </c>
      <c r="GI16" s="40" t="str">
        <f t="shared" si="55"/>
        <v/>
      </c>
      <c r="GJ16" s="40" t="str">
        <f t="shared" si="56"/>
        <v/>
      </c>
      <c r="GK16" s="40" t="str">
        <f t="shared" si="57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58"/>
        <v/>
      </c>
      <c r="HG16" s="11" t="str">
        <f t="shared" si="59"/>
        <v/>
      </c>
      <c r="HH16" s="11" t="str">
        <f t="shared" si="60"/>
        <v/>
      </c>
      <c r="HI16" s="11" t="str">
        <f t="shared" si="61"/>
        <v/>
      </c>
      <c r="HJ16" s="11" t="str">
        <f t="shared" si="62"/>
        <v/>
      </c>
      <c r="HK16" s="11" t="str">
        <f t="shared" si="63"/>
        <v/>
      </c>
      <c r="HL16" s="11" t="str">
        <f t="shared" si="64"/>
        <v/>
      </c>
      <c r="HM16" s="11" t="str">
        <f t="shared" si="65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6"/>
        <v/>
      </c>
      <c r="II16" s="40" t="str">
        <f t="shared" si="67"/>
        <v/>
      </c>
      <c r="IJ16" s="40" t="str">
        <f t="shared" si="68"/>
        <v/>
      </c>
      <c r="IK16" s="40" t="str">
        <f t="shared" si="69"/>
        <v/>
      </c>
      <c r="IL16" s="40" t="str">
        <f t="shared" si="70"/>
        <v/>
      </c>
      <c r="IM16" s="40" t="str">
        <f t="shared" si="71"/>
        <v/>
      </c>
      <c r="IN16" s="40" t="str">
        <f t="shared" si="72"/>
        <v/>
      </c>
      <c r="IO16" s="40" t="str">
        <f t="shared" si="73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4"/>
        <v/>
      </c>
      <c r="JK16" s="11" t="str">
        <f t="shared" si="75"/>
        <v/>
      </c>
      <c r="JL16" s="11" t="str">
        <f t="shared" si="76"/>
        <v/>
      </c>
      <c r="JM16" s="11" t="str">
        <f t="shared" si="77"/>
        <v/>
      </c>
      <c r="JN16" s="11" t="str">
        <f t="shared" si="78"/>
        <v/>
      </c>
      <c r="JO16" s="11" t="str">
        <f t="shared" si="79"/>
        <v/>
      </c>
      <c r="JP16" s="11" t="str">
        <f t="shared" si="80"/>
        <v/>
      </c>
      <c r="JQ16" s="11" t="str">
        <f t="shared" si="81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2"/>
        <v/>
      </c>
      <c r="KM16" s="40" t="str">
        <f t="shared" si="83"/>
        <v/>
      </c>
      <c r="KN16" s="40" t="str">
        <f t="shared" si="84"/>
        <v/>
      </c>
      <c r="KO16" s="40" t="str">
        <f t="shared" si="85"/>
        <v/>
      </c>
      <c r="KP16" s="40" t="str">
        <f t="shared" si="86"/>
        <v/>
      </c>
      <c r="KQ16" s="40" t="str">
        <f t="shared" si="87"/>
        <v/>
      </c>
      <c r="KR16" s="40" t="str">
        <f t="shared" si="88"/>
        <v/>
      </c>
      <c r="KS16" s="40" t="str">
        <f t="shared" si="89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0"/>
        <v/>
      </c>
      <c r="LO16" s="11" t="str">
        <f t="shared" si="91"/>
        <v/>
      </c>
      <c r="LP16" s="11" t="str">
        <f t="shared" si="92"/>
        <v/>
      </c>
      <c r="LQ16" s="11" t="str">
        <f t="shared" si="93"/>
        <v/>
      </c>
      <c r="LR16" s="11" t="str">
        <f t="shared" si="94"/>
        <v/>
      </c>
      <c r="LS16" s="11" t="str">
        <f t="shared" si="95"/>
        <v/>
      </c>
      <c r="LT16" s="11" t="str">
        <f t="shared" si="96"/>
        <v/>
      </c>
      <c r="LU16" s="11" t="str">
        <f t="shared" si="97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98"/>
        <v/>
      </c>
      <c r="MQ16" s="40" t="str">
        <f t="shared" si="99"/>
        <v/>
      </c>
      <c r="MR16" s="40" t="str">
        <f t="shared" si="100"/>
        <v/>
      </c>
      <c r="MS16" s="40" t="str">
        <f t="shared" si="101"/>
        <v/>
      </c>
      <c r="MT16" s="40" t="str">
        <f t="shared" si="102"/>
        <v/>
      </c>
      <c r="MU16" s="40" t="str">
        <f t="shared" si="103"/>
        <v/>
      </c>
      <c r="MV16" s="40" t="str">
        <f t="shared" si="104"/>
        <v/>
      </c>
      <c r="MW16" s="40" t="str">
        <f t="shared" si="105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6"/>
        <v/>
      </c>
      <c r="NS16" s="11" t="str">
        <f t="shared" si="107"/>
        <v/>
      </c>
      <c r="NT16" s="11" t="str">
        <f t="shared" si="108"/>
        <v/>
      </c>
      <c r="NU16" s="11" t="str">
        <f t="shared" si="109"/>
        <v/>
      </c>
      <c r="NV16" s="11" t="str">
        <f t="shared" si="110"/>
        <v/>
      </c>
      <c r="NW16" s="11" t="str">
        <f t="shared" si="111"/>
        <v/>
      </c>
      <c r="NX16" s="11" t="str">
        <f t="shared" si="112"/>
        <v/>
      </c>
      <c r="NY16" s="11" t="str">
        <f t="shared" si="113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4"/>
        <v/>
      </c>
      <c r="OU16" s="40" t="str">
        <f t="shared" si="115"/>
        <v/>
      </c>
      <c r="OV16" s="40" t="str">
        <f t="shared" si="116"/>
        <v/>
      </c>
      <c r="OW16" s="40" t="str">
        <f t="shared" si="117"/>
        <v/>
      </c>
      <c r="OX16" s="40" t="str">
        <f t="shared" si="118"/>
        <v/>
      </c>
      <c r="OY16" s="40" t="str">
        <f t="shared" si="119"/>
        <v/>
      </c>
      <c r="OZ16" s="40" t="str">
        <f t="shared" si="120"/>
        <v/>
      </c>
      <c r="PA16" s="40" t="str">
        <f t="shared" si="121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2"/>
        <v/>
      </c>
      <c r="PW16" s="11" t="str">
        <f t="shared" si="123"/>
        <v/>
      </c>
      <c r="PX16" s="11" t="str">
        <f t="shared" si="124"/>
        <v/>
      </c>
      <c r="PY16" s="11" t="str">
        <f t="shared" si="125"/>
        <v/>
      </c>
      <c r="PZ16" s="11" t="str">
        <f t="shared" si="126"/>
        <v/>
      </c>
      <c r="QA16" s="11" t="str">
        <f t="shared" si="127"/>
        <v/>
      </c>
      <c r="QB16" s="11" t="str">
        <f t="shared" si="128"/>
        <v/>
      </c>
      <c r="QC16" s="11" t="str">
        <f t="shared" si="129"/>
        <v/>
      </c>
      <c r="QD16" s="22">
        <f t="shared" si="130"/>
        <v>14.95</v>
      </c>
      <c r="QE16" s="22">
        <f t="shared" si="131"/>
        <v>5.0999999999999996</v>
      </c>
      <c r="QF16" s="22">
        <f t="shared" si="132"/>
        <v>0.2</v>
      </c>
      <c r="QG16" s="22">
        <f t="shared" si="133"/>
        <v>0.7</v>
      </c>
      <c r="QH16" s="22">
        <f t="shared" si="134"/>
        <v>14.75</v>
      </c>
      <c r="QI16" s="22">
        <f t="shared" si="135"/>
        <v>4.5</v>
      </c>
      <c r="QJ16" s="22">
        <f t="shared" si="136"/>
        <v>0.3</v>
      </c>
      <c r="QK16" s="22">
        <f t="shared" si="137"/>
        <v>0.35</v>
      </c>
      <c r="QL16" s="22">
        <f t="shared" si="138"/>
        <v>0</v>
      </c>
      <c r="QM16" s="22">
        <f t="shared" si="139"/>
        <v>0</v>
      </c>
      <c r="QN16" s="22">
        <f t="shared" si="140"/>
        <v>0</v>
      </c>
      <c r="QO16" s="22">
        <f t="shared" si="141"/>
        <v>0</v>
      </c>
      <c r="QP16" s="22">
        <f t="shared" si="142"/>
        <v>7.65</v>
      </c>
      <c r="QQ16" s="22">
        <f t="shared" si="143"/>
        <v>2.85</v>
      </c>
      <c r="QR16" s="22">
        <f t="shared" si="144"/>
        <v>0</v>
      </c>
      <c r="QS16" s="22">
        <f t="shared" si="145"/>
        <v>0.35</v>
      </c>
      <c r="QT16" s="22">
        <f t="shared" si="146"/>
        <v>7</v>
      </c>
      <c r="QU16" s="22">
        <f t="shared" si="147"/>
        <v>2.2999999999999998</v>
      </c>
      <c r="QV16" s="22">
        <f t="shared" si="148"/>
        <v>0.2</v>
      </c>
      <c r="QW16" s="22">
        <f t="shared" si="149"/>
        <v>0.35</v>
      </c>
      <c r="QX16" s="27" t="s">
        <v>46</v>
      </c>
      <c r="QY16" s="40">
        <f t="shared" si="150"/>
        <v>9.6</v>
      </c>
      <c r="QZ16" s="40">
        <f t="shared" si="151"/>
        <v>39.85</v>
      </c>
      <c r="RA16" s="40" t="str">
        <f t="shared" si="152"/>
        <v/>
      </c>
      <c r="RB16" s="40">
        <f t="shared" si="153"/>
        <v>9.6</v>
      </c>
      <c r="RC16" s="40">
        <f t="shared" si="154"/>
        <v>39.85</v>
      </c>
      <c r="RD16" s="40">
        <f t="shared" si="155"/>
        <v>5.15</v>
      </c>
      <c r="RE16" s="40">
        <f t="shared" si="156"/>
        <v>20.300000000000004</v>
      </c>
      <c r="RF16" s="40">
        <f t="shared" si="157"/>
        <v>60.150000000000006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185</v>
      </c>
      <c r="D17" s="4" t="s">
        <v>4</v>
      </c>
      <c r="E17" s="4">
        <v>2004</v>
      </c>
      <c r="F17" s="9">
        <f t="shared" si="0"/>
        <v>120.20000766000385</v>
      </c>
      <c r="G17" s="64"/>
      <c r="H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DZ17&gt;=EG$23,EA17&gt;=EG$27,DZ17&lt;&gt;""),AND(EE17&gt;=EG$23,EF17&gt;=EG$27,EE17&lt;&gt;""),AND(FB17&gt;=FI$23,FC17&gt;=FI$27,FB17&lt;&gt;""),AND(FG17&gt;=FI$23,FH17&gt;=FI$27,FG17&lt;&gt;""),AND(GD17&gt;=GK$23,GE17&gt;=GK$27,GD17&lt;&gt;""),AND(GI17&gt;=GK$23,GJ17&gt;=GK$27,GI17&lt;&gt;""),AND(HF17&gt;=HM$23,HG17&gt;=HM$27,HF17&lt;&gt;""),AND(HK17&gt;=HM$23,HL17&gt;=HM$27,HK17&lt;&gt;""),AND(IH17&gt;=IO$23,II17&gt;=IO$27,IH17&lt;&gt;""),AND(IM17&gt;=IO$23,IN17&gt;=IO$27,IM17&lt;&gt;""),AND(JJ17&gt;=JQ$23,JK17&gt;=JQ$27,JJ17&lt;&gt;""),AND(JO17&gt;=JQ$23,JP17&gt;=JQ$27,JO17&lt;&gt;""),AND(KL17&gt;=KS$23,KM17&gt;=KS$27,KL17&lt;&gt;""),AND(KQ17&gt;=KS$23,KR17&gt;=KS$27,KQ17&lt;&gt;""),AND(LN17&gt;=LU$23,LO17&gt;=LU$27,LN17&lt;&gt;""),AND(LS17&gt;=LU$23,LT17&gt;=LU$27,LS17&lt;&gt;""),AND(MP17&gt;=MW$23,MQ17&gt;=MW$27,MP17&lt;&gt;""),AND(MU17&gt;=MW$23,MV17&gt;=MW$27,MU17&lt;&gt;""),AND(NR17&gt;=NY$23,NS17&gt;=NY$27,NR17&lt;&gt;""),AND(NW17&gt;=NY$23,NX17&gt;=NY$27,NW17&lt;&gt;""),AND(OT17&gt;=PA$23,OU17&gt;=PA$27,OT17&lt;&gt;""),AND(OY17&gt;=PA$23,OZ17&gt;=PA$27,OY17&lt;&gt;""),AND(PV17&gt;=QC$23,PW17&gt;=QC$27,PV17&lt;&gt;""),AND(QA17&gt;=QC$23,QB17&gt;=QC$27,QA17&lt;&gt;"")),"P","")</f>
        <v/>
      </c>
      <c r="I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A17&gt;=EG$27,EA17&lt;&gt;""),AND(EF17&gt;=EG$27,EF17&lt;&gt;""),AND(FC17&gt;=FI$27,FC17&lt;&gt;""),AND(FH17&gt;=FI$27,FH17&lt;&gt;""),AND(GE17&gt;=GK$27,GE17&lt;&gt;""),AND(GJ17&gt;=GK$27,GJ17&lt;&gt;""),AND(HG17&gt;=HM$27,HG17&lt;&gt;""),AND(HL17&gt;=HM$27,HL17&lt;&gt;""),AND(II17&gt;=IO$27,II17&lt;&gt;""),AND(IN17&gt;=IO$27,IN17&lt;&gt;""),AND(JK17&gt;=JQ$27,JK17&lt;&gt;""),AND(JP17&gt;=JQ$27,JP17&lt;&gt;""),AND(KM17&gt;=KS$27,KM17&lt;&gt;""),AND(KR17&gt;=KS$27,KR17&lt;&gt;""),AND(LO17&gt;=LU$27,LO17&lt;&gt;""),AND(LT17&gt;=LU$27,LT17&lt;&gt;""),AND(MQ17&gt;=MW$27,MQ17&lt;&gt;""),AND(MV17&gt;=MW$27,MV17&lt;&gt;""),AND(NS17&gt;=NY$27,NS17&lt;&gt;""),AND(NX17&gt;=NY$27,NX17&lt;&gt;""),AND(OU17&gt;=PA$27,OU17&lt;&gt;""),AND(OZ17&gt;=PA$27,OZ17&lt;&gt;""),AND(PW17&gt;=QC$27,PW17&lt;&gt;""),AND(QB17&gt;=QC$27,QB17&lt;&gt;"")),"P","")</f>
        <v/>
      </c>
      <c r="J17" s="36" t="str">
        <f>IF(AND(I17="P",H17=""),"No DD",IF(OR(AND(AS17&gt;=AW$26,AT17&gt;=AW$30,AS17&lt;&gt;"",AO17=""),AND(BV17&gt;=BZ$26,BW17&gt;=BZ$30,BV17&lt;&gt;"",BR17=""),AND(CY17&gt;=DC$26,CZ17&gt;=DC$30,CY17&lt;&gt;"",CU17=""),AND(EC17&gt;=EG$26,ED17&gt;=EG$30,EC17&lt;&gt;""),AND(FE17&gt;=FI$26,FF17&gt;=FI$30,FE17&lt;&gt;""),AND(GG17&gt;=GK$26,GH17&gt;=GK$30,GG17&lt;&gt;""),AND(HI17&gt;=HM$26,HJ17&gt;=HM$30,HI17&lt;&gt;""),AND(IK17&gt;=IO$26,IL17&gt;=IO$30,IK17&lt;&gt;""),AND(JM17&gt;=JQ$26,JN17&gt;=JQ$30,JM17&lt;&gt;""),AND(KO17&gt;=KS$26,KP17&gt;=KS$30,KO17&lt;&gt;""),AND(LQ17&gt;=LU$26,LR17&gt;=LU$30,LQ17&lt;&gt;""),AND(MS17&gt;=MW$26,MT17&gt;=MW$30,MS17&lt;&gt;""),AND(NU17&gt;=NY$26,NV17&gt;=NY$30,NU17&lt;&gt;""),AND(OW17&gt;=PA$26,OX17&gt;=PA$30,OW17&lt;&gt;""),AND(PY17&gt;=QC$26,PZ17&gt;=QC$30,PY17&lt;&gt;"")),"Merit",IF(OR(AND(AS17&gt;=AW$25,AT17&gt;=AW$29,AS17&lt;&gt;"",AO17=""),AND(BV17&gt;=BZ$25,BW17&gt;=BZ$29,BV17&lt;&gt;"",BR17=""),AND(CY17&gt;=DC$25,CZ17&gt;=DC$29,CY17&lt;&gt;"",CU17=""),AND(EC17&gt;=EG$25,ED17&gt;=EG$29,EC17&lt;&gt;""),AND(FE17&gt;=FI$25,FF17&gt;=FI$29,FE17&lt;&gt;""),AND(GG17&gt;=GK$25,GH17&gt;=GK$29,GG17&lt;&gt;""),AND(HI17&gt;=HM$25,HJ17&gt;=HM$29,HI17&lt;&gt;""),AND(IK17&gt;=IO$25,IL17&gt;=IO$29,IK17&lt;&gt;""),AND(JM17&gt;=JQ$25,JN17&gt;=JQ$29,JM17&lt;&gt;""),AND(KO17&gt;=KS$25,KP17&gt;=KS$29,KO17&lt;&gt;""),AND(LQ17&gt;=LU$25,LR17&gt;=LU$29,LQ17&lt;&gt;""),AND(MS17&gt;=MW$25,MT17&gt;=MW$29,MS17&lt;&gt;""),AND(NU17&gt;=NY$25,NV17&gt;=NY$29,NU17&lt;&gt;""),AND(OW17&gt;=PA$25,OX17&gt;=PA$29,OW17&lt;&gt;""),AND(PY17&gt;=QC$25,PZ17&gt;=QC$29,PY17&lt;&gt;"")),"Excellence",IF(K17="P","Worlds Team",IF(H17="P","National Team","")))))</f>
        <v/>
      </c>
      <c r="K17" s="3" t="str">
        <f>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P","")</f>
        <v/>
      </c>
      <c r="L17" s="8">
        <f>IF(COUNT(AQ17,BT17,CW17)&gt;0,LARGE((AQ17,BT17,CW17),1),0)</f>
        <v>38.699999999999996</v>
      </c>
      <c r="M17" s="8" t="str">
        <f t="shared" si="1"/>
        <v>2025 Elite Canada</v>
      </c>
      <c r="N17" s="8">
        <f>IF(COUNT(AQ17,BT17,CW17)&gt;1,LARGE((AQ17,BT17,CW17),2),0)</f>
        <v>37.9</v>
      </c>
      <c r="O17" s="8" t="str">
        <f t="shared" si="2"/>
        <v>2025 Nationals</v>
      </c>
      <c r="P17" s="8">
        <f t="shared" si="3"/>
        <v>43.599999999999994</v>
      </c>
      <c r="Q17" s="8" t="str">
        <f t="shared" si="4"/>
        <v>2025 Elite Canada</v>
      </c>
      <c r="R17" s="8" t="str">
        <f t="shared" si="5"/>
        <v/>
      </c>
      <c r="S17" s="11" t="str">
        <f t="shared" si="6"/>
        <v/>
      </c>
      <c r="T17" s="8" t="str">
        <f t="shared" si="7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8"/>
        <v/>
      </c>
      <c r="AQ17" s="40" t="str">
        <f t="shared" si="9"/>
        <v/>
      </c>
      <c r="AR17" s="40" t="str">
        <f t="shared" si="10"/>
        <v/>
      </c>
      <c r="AS17" s="40" t="str">
        <f t="shared" si="11"/>
        <v/>
      </c>
      <c r="AT17" s="40" t="str">
        <f t="shared" si="12"/>
        <v/>
      </c>
      <c r="AU17" s="40" t="str">
        <f t="shared" si="13"/>
        <v/>
      </c>
      <c r="AV17" s="40" t="str">
        <f t="shared" si="14"/>
        <v/>
      </c>
      <c r="AW17" s="40" t="str">
        <f t="shared" si="15"/>
        <v/>
      </c>
      <c r="AX17" s="18">
        <v>14.2</v>
      </c>
      <c r="AY17" s="18">
        <v>5.3</v>
      </c>
      <c r="AZ17" s="18">
        <v>0.2</v>
      </c>
      <c r="BA17" s="18">
        <v>0</v>
      </c>
      <c r="BB17" s="18">
        <v>15.6</v>
      </c>
      <c r="BC17" s="18">
        <v>4</v>
      </c>
      <c r="BD17" s="18">
        <v>0.2</v>
      </c>
      <c r="BE17" s="18">
        <v>0</v>
      </c>
      <c r="BF17" s="18"/>
      <c r="BG17" s="18"/>
      <c r="BH17" s="18"/>
      <c r="BI17" s="18"/>
      <c r="BJ17" s="18">
        <v>15.7</v>
      </c>
      <c r="BK17" s="18">
        <v>6.2</v>
      </c>
      <c r="BL17" s="18">
        <v>0</v>
      </c>
      <c r="BM17" s="18">
        <v>0</v>
      </c>
      <c r="BN17" s="18">
        <v>16.399999999999999</v>
      </c>
      <c r="BO17" s="18">
        <v>5.3</v>
      </c>
      <c r="BP17" s="18">
        <v>0</v>
      </c>
      <c r="BQ17" s="18">
        <v>0</v>
      </c>
      <c r="BR17" s="28"/>
      <c r="BS17" s="11">
        <f t="shared" si="16"/>
        <v>9.3000000000000007</v>
      </c>
      <c r="BT17" s="11">
        <f t="shared" si="17"/>
        <v>38.699999999999996</v>
      </c>
      <c r="BU17" s="11" t="str">
        <f t="shared" si="18"/>
        <v/>
      </c>
      <c r="BV17" s="11">
        <f t="shared" si="19"/>
        <v>9.3000000000000007</v>
      </c>
      <c r="BW17" s="11">
        <f t="shared" si="20"/>
        <v>38.699999999999996</v>
      </c>
      <c r="BX17" s="11">
        <f t="shared" si="21"/>
        <v>11.5</v>
      </c>
      <c r="BY17" s="11">
        <f t="shared" si="22"/>
        <v>43.599999999999994</v>
      </c>
      <c r="BZ17" s="11">
        <f t="shared" si="23"/>
        <v>82.299999999999983</v>
      </c>
      <c r="CA17" s="19">
        <v>16.100000000000001</v>
      </c>
      <c r="CB17" s="19">
        <v>4.5999999999999996</v>
      </c>
      <c r="CC17" s="19">
        <v>0.2</v>
      </c>
      <c r="CD17" s="19">
        <v>0</v>
      </c>
      <c r="CE17" s="19">
        <v>15.5</v>
      </c>
      <c r="CF17" s="19">
        <v>3.9</v>
      </c>
      <c r="CG17" s="19">
        <v>2</v>
      </c>
      <c r="CH17" s="19">
        <v>0</v>
      </c>
      <c r="CI17" s="19"/>
      <c r="CJ17" s="19"/>
      <c r="CK17" s="19"/>
      <c r="CL17" s="19"/>
      <c r="CM17" s="19">
        <v>14.8</v>
      </c>
      <c r="CN17" s="19">
        <v>2.9</v>
      </c>
      <c r="CO17" s="19">
        <v>0</v>
      </c>
      <c r="CP17" s="19">
        <v>0.7</v>
      </c>
      <c r="CQ17" s="19"/>
      <c r="CR17" s="19"/>
      <c r="CS17" s="19"/>
      <c r="CT17" s="19"/>
      <c r="CU17" s="27"/>
      <c r="CV17" s="40">
        <f t="shared" si="24"/>
        <v>8.5</v>
      </c>
      <c r="CW17" s="40">
        <f t="shared" si="25"/>
        <v>37.9</v>
      </c>
      <c r="CX17" s="40" t="str">
        <f t="shared" si="26"/>
        <v/>
      </c>
      <c r="CY17" s="40">
        <f t="shared" si="27"/>
        <v>8.5</v>
      </c>
      <c r="CZ17" s="40">
        <f t="shared" si="28"/>
        <v>37.9</v>
      </c>
      <c r="DA17" s="40">
        <f t="shared" si="29"/>
        <v>2.9</v>
      </c>
      <c r="DB17" s="40">
        <f t="shared" si="30"/>
        <v>18.399999999999999</v>
      </c>
      <c r="DC17" s="40">
        <f t="shared" si="31"/>
        <v>56.3</v>
      </c>
      <c r="DD17" s="50" t="str">
        <f t="shared" si="32"/>
        <v/>
      </c>
      <c r="DE17" s="50" t="str">
        <f t="shared" si="33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4"/>
        <v/>
      </c>
      <c r="EA17" s="40" t="str">
        <f t="shared" si="35"/>
        <v/>
      </c>
      <c r="EB17" s="40" t="str">
        <f t="shared" si="36"/>
        <v/>
      </c>
      <c r="EC17" s="40" t="str">
        <f t="shared" si="37"/>
        <v/>
      </c>
      <c r="ED17" s="40" t="str">
        <f t="shared" si="38"/>
        <v/>
      </c>
      <c r="EE17" s="40" t="str">
        <f t="shared" si="39"/>
        <v/>
      </c>
      <c r="EF17" s="40" t="str">
        <f t="shared" si="40"/>
        <v/>
      </c>
      <c r="EG17" s="40" t="str">
        <f t="shared" si="41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2"/>
        <v/>
      </c>
      <c r="FC17" s="11" t="str">
        <f t="shared" si="43"/>
        <v/>
      </c>
      <c r="FD17" s="11" t="str">
        <f t="shared" si="44"/>
        <v/>
      </c>
      <c r="FE17" s="11" t="str">
        <f t="shared" si="45"/>
        <v/>
      </c>
      <c r="FF17" s="11" t="str">
        <f t="shared" si="46"/>
        <v/>
      </c>
      <c r="FG17" s="11" t="str">
        <f t="shared" si="47"/>
        <v/>
      </c>
      <c r="FH17" s="11" t="str">
        <f t="shared" si="48"/>
        <v/>
      </c>
      <c r="FI17" s="11" t="str">
        <f t="shared" si="49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0"/>
        <v/>
      </c>
      <c r="GE17" s="40" t="str">
        <f t="shared" si="51"/>
        <v/>
      </c>
      <c r="GF17" s="40" t="str">
        <f t="shared" si="52"/>
        <v/>
      </c>
      <c r="GG17" s="40" t="str">
        <f t="shared" si="53"/>
        <v/>
      </c>
      <c r="GH17" s="40" t="str">
        <f t="shared" si="54"/>
        <v/>
      </c>
      <c r="GI17" s="40" t="str">
        <f t="shared" si="55"/>
        <v/>
      </c>
      <c r="GJ17" s="40" t="str">
        <f t="shared" si="56"/>
        <v/>
      </c>
      <c r="GK17" s="40" t="str">
        <f t="shared" si="57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58"/>
        <v/>
      </c>
      <c r="HG17" s="11" t="str">
        <f t="shared" si="59"/>
        <v/>
      </c>
      <c r="HH17" s="11" t="str">
        <f t="shared" si="60"/>
        <v/>
      </c>
      <c r="HI17" s="11" t="str">
        <f t="shared" si="61"/>
        <v/>
      </c>
      <c r="HJ17" s="11" t="str">
        <f t="shared" si="62"/>
        <v/>
      </c>
      <c r="HK17" s="11" t="str">
        <f t="shared" si="63"/>
        <v/>
      </c>
      <c r="HL17" s="11" t="str">
        <f t="shared" si="64"/>
        <v/>
      </c>
      <c r="HM17" s="11" t="str">
        <f t="shared" si="65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6"/>
        <v/>
      </c>
      <c r="II17" s="40" t="str">
        <f t="shared" si="67"/>
        <v/>
      </c>
      <c r="IJ17" s="40" t="str">
        <f t="shared" si="68"/>
        <v/>
      </c>
      <c r="IK17" s="40" t="str">
        <f t="shared" si="69"/>
        <v/>
      </c>
      <c r="IL17" s="40" t="str">
        <f t="shared" si="70"/>
        <v/>
      </c>
      <c r="IM17" s="40" t="str">
        <f t="shared" si="71"/>
        <v/>
      </c>
      <c r="IN17" s="40" t="str">
        <f t="shared" si="72"/>
        <v/>
      </c>
      <c r="IO17" s="40" t="str">
        <f t="shared" si="73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4"/>
        <v/>
      </c>
      <c r="JK17" s="11" t="str">
        <f t="shared" si="75"/>
        <v/>
      </c>
      <c r="JL17" s="11" t="str">
        <f t="shared" si="76"/>
        <v/>
      </c>
      <c r="JM17" s="11" t="str">
        <f t="shared" si="77"/>
        <v/>
      </c>
      <c r="JN17" s="11" t="str">
        <f t="shared" si="78"/>
        <v/>
      </c>
      <c r="JO17" s="11" t="str">
        <f t="shared" si="79"/>
        <v/>
      </c>
      <c r="JP17" s="11" t="str">
        <f t="shared" si="80"/>
        <v/>
      </c>
      <c r="JQ17" s="11" t="str">
        <f t="shared" si="81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2"/>
        <v/>
      </c>
      <c r="KM17" s="40" t="str">
        <f t="shared" si="83"/>
        <v/>
      </c>
      <c r="KN17" s="40" t="str">
        <f t="shared" si="84"/>
        <v/>
      </c>
      <c r="KO17" s="40" t="str">
        <f t="shared" si="85"/>
        <v/>
      </c>
      <c r="KP17" s="40" t="str">
        <f t="shared" si="86"/>
        <v/>
      </c>
      <c r="KQ17" s="40" t="str">
        <f t="shared" si="87"/>
        <v/>
      </c>
      <c r="KR17" s="40" t="str">
        <f t="shared" si="88"/>
        <v/>
      </c>
      <c r="KS17" s="40" t="str">
        <f t="shared" si="89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0"/>
        <v/>
      </c>
      <c r="LO17" s="11" t="str">
        <f t="shared" si="91"/>
        <v/>
      </c>
      <c r="LP17" s="11" t="str">
        <f t="shared" si="92"/>
        <v/>
      </c>
      <c r="LQ17" s="11" t="str">
        <f t="shared" si="93"/>
        <v/>
      </c>
      <c r="LR17" s="11" t="str">
        <f t="shared" si="94"/>
        <v/>
      </c>
      <c r="LS17" s="11" t="str">
        <f t="shared" si="95"/>
        <v/>
      </c>
      <c r="LT17" s="11" t="str">
        <f t="shared" si="96"/>
        <v/>
      </c>
      <c r="LU17" s="11" t="str">
        <f t="shared" si="97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98"/>
        <v/>
      </c>
      <c r="MQ17" s="40" t="str">
        <f t="shared" si="99"/>
        <v/>
      </c>
      <c r="MR17" s="40" t="str">
        <f t="shared" si="100"/>
        <v/>
      </c>
      <c r="MS17" s="40" t="str">
        <f t="shared" si="101"/>
        <v/>
      </c>
      <c r="MT17" s="40" t="str">
        <f t="shared" si="102"/>
        <v/>
      </c>
      <c r="MU17" s="40" t="str">
        <f t="shared" si="103"/>
        <v/>
      </c>
      <c r="MV17" s="40" t="str">
        <f t="shared" si="104"/>
        <v/>
      </c>
      <c r="MW17" s="40" t="str">
        <f t="shared" si="105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6"/>
        <v/>
      </c>
      <c r="NS17" s="11" t="str">
        <f t="shared" si="107"/>
        <v/>
      </c>
      <c r="NT17" s="11" t="str">
        <f t="shared" si="108"/>
        <v/>
      </c>
      <c r="NU17" s="11" t="str">
        <f t="shared" si="109"/>
        <v/>
      </c>
      <c r="NV17" s="11" t="str">
        <f t="shared" si="110"/>
        <v/>
      </c>
      <c r="NW17" s="11" t="str">
        <f t="shared" si="111"/>
        <v/>
      </c>
      <c r="NX17" s="11" t="str">
        <f t="shared" si="112"/>
        <v/>
      </c>
      <c r="NY17" s="11" t="str">
        <f t="shared" si="113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4"/>
        <v/>
      </c>
      <c r="OU17" s="40" t="str">
        <f t="shared" si="115"/>
        <v/>
      </c>
      <c r="OV17" s="40" t="str">
        <f t="shared" si="116"/>
        <v/>
      </c>
      <c r="OW17" s="40" t="str">
        <f t="shared" si="117"/>
        <v/>
      </c>
      <c r="OX17" s="40" t="str">
        <f t="shared" si="118"/>
        <v/>
      </c>
      <c r="OY17" s="40" t="str">
        <f t="shared" si="119"/>
        <v/>
      </c>
      <c r="OZ17" s="40" t="str">
        <f t="shared" si="120"/>
        <v/>
      </c>
      <c r="PA17" s="40" t="str">
        <f t="shared" si="121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2"/>
        <v/>
      </c>
      <c r="PW17" s="11" t="str">
        <f t="shared" si="123"/>
        <v/>
      </c>
      <c r="PX17" s="11" t="str">
        <f t="shared" si="124"/>
        <v/>
      </c>
      <c r="PY17" s="11" t="str">
        <f t="shared" si="125"/>
        <v/>
      </c>
      <c r="PZ17" s="11" t="str">
        <f t="shared" si="126"/>
        <v/>
      </c>
      <c r="QA17" s="11" t="str">
        <f t="shared" si="127"/>
        <v/>
      </c>
      <c r="QB17" s="11" t="str">
        <f t="shared" si="128"/>
        <v/>
      </c>
      <c r="QC17" s="11" t="str">
        <f t="shared" si="129"/>
        <v/>
      </c>
      <c r="QD17" s="22">
        <f t="shared" si="130"/>
        <v>15.15</v>
      </c>
      <c r="QE17" s="22">
        <f t="shared" si="131"/>
        <v>4.9499999999999993</v>
      </c>
      <c r="QF17" s="22">
        <f t="shared" si="132"/>
        <v>0.2</v>
      </c>
      <c r="QG17" s="22">
        <f t="shared" si="133"/>
        <v>0</v>
      </c>
      <c r="QH17" s="22">
        <f t="shared" si="134"/>
        <v>15.55</v>
      </c>
      <c r="QI17" s="22">
        <f t="shared" si="135"/>
        <v>3.95</v>
      </c>
      <c r="QJ17" s="22">
        <f t="shared" si="136"/>
        <v>1.1000000000000001</v>
      </c>
      <c r="QK17" s="22">
        <f t="shared" si="137"/>
        <v>0</v>
      </c>
      <c r="QL17" s="22">
        <f t="shared" si="138"/>
        <v>0</v>
      </c>
      <c r="QM17" s="22">
        <f t="shared" si="139"/>
        <v>0</v>
      </c>
      <c r="QN17" s="22">
        <f t="shared" si="140"/>
        <v>0</v>
      </c>
      <c r="QO17" s="22">
        <f t="shared" si="141"/>
        <v>0</v>
      </c>
      <c r="QP17" s="22">
        <f t="shared" si="142"/>
        <v>15.25</v>
      </c>
      <c r="QQ17" s="22">
        <f t="shared" si="143"/>
        <v>4.55</v>
      </c>
      <c r="QR17" s="22">
        <f t="shared" si="144"/>
        <v>0</v>
      </c>
      <c r="QS17" s="22">
        <f t="shared" si="145"/>
        <v>0.35</v>
      </c>
      <c r="QT17" s="22">
        <f t="shared" si="146"/>
        <v>8.1999999999999993</v>
      </c>
      <c r="QU17" s="22">
        <f t="shared" si="147"/>
        <v>2.65</v>
      </c>
      <c r="QV17" s="22">
        <f t="shared" si="148"/>
        <v>0</v>
      </c>
      <c r="QW17" s="22">
        <f t="shared" si="149"/>
        <v>0</v>
      </c>
      <c r="QX17" s="27" t="s">
        <v>46</v>
      </c>
      <c r="QY17" s="40">
        <f t="shared" si="150"/>
        <v>8.8999999999999986</v>
      </c>
      <c r="QZ17" s="40">
        <f t="shared" si="151"/>
        <v>38.300000000000004</v>
      </c>
      <c r="RA17" s="40" t="str">
        <f t="shared" si="152"/>
        <v/>
      </c>
      <c r="RB17" s="40">
        <f t="shared" si="153"/>
        <v>8.8999999999999986</v>
      </c>
      <c r="RC17" s="40">
        <f t="shared" si="154"/>
        <v>38.300000000000004</v>
      </c>
      <c r="RD17" s="40">
        <f t="shared" si="155"/>
        <v>7.1999999999999993</v>
      </c>
      <c r="RE17" s="40">
        <f t="shared" si="156"/>
        <v>31</v>
      </c>
      <c r="RF17" s="40">
        <f t="shared" si="157"/>
        <v>69.300000000000011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141</v>
      </c>
      <c r="D18" s="4" t="s">
        <v>5</v>
      </c>
      <c r="E18" s="4">
        <v>2007</v>
      </c>
      <c r="F18" s="9">
        <f t="shared" si="0"/>
        <v>118.80000785000401</v>
      </c>
      <c r="G18" s="64"/>
      <c r="H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DZ18&gt;=EG$23,EA18&gt;=EG$27,DZ18&lt;&gt;""),AND(EE18&gt;=EG$23,EF18&gt;=EG$27,EE18&lt;&gt;""),AND(FB18&gt;=FI$23,FC18&gt;=FI$27,FB18&lt;&gt;""),AND(FG18&gt;=FI$23,FH18&gt;=FI$27,FG18&lt;&gt;""),AND(GD18&gt;=GK$23,GE18&gt;=GK$27,GD18&lt;&gt;""),AND(GI18&gt;=GK$23,GJ18&gt;=GK$27,GI18&lt;&gt;""),AND(HF18&gt;=HM$23,HG18&gt;=HM$27,HF18&lt;&gt;""),AND(HK18&gt;=HM$23,HL18&gt;=HM$27,HK18&lt;&gt;""),AND(IH18&gt;=IO$23,II18&gt;=IO$27,IH18&lt;&gt;""),AND(IM18&gt;=IO$23,IN18&gt;=IO$27,IM18&lt;&gt;""),AND(JJ18&gt;=JQ$23,JK18&gt;=JQ$27,JJ18&lt;&gt;""),AND(JO18&gt;=JQ$23,JP18&gt;=JQ$27,JO18&lt;&gt;""),AND(KL18&gt;=KS$23,KM18&gt;=KS$27,KL18&lt;&gt;""),AND(KQ18&gt;=KS$23,KR18&gt;=KS$27,KQ18&lt;&gt;""),AND(LN18&gt;=LU$23,LO18&gt;=LU$27,LN18&lt;&gt;""),AND(LS18&gt;=LU$23,LT18&gt;=LU$27,LS18&lt;&gt;""),AND(MP18&gt;=MW$23,MQ18&gt;=MW$27,MP18&lt;&gt;""),AND(MU18&gt;=MW$23,MV18&gt;=MW$27,MU18&lt;&gt;""),AND(NR18&gt;=NY$23,NS18&gt;=NY$27,NR18&lt;&gt;""),AND(NW18&gt;=NY$23,NX18&gt;=NY$27,NW18&lt;&gt;""),AND(OT18&gt;=PA$23,OU18&gt;=PA$27,OT18&lt;&gt;""),AND(OY18&gt;=PA$23,OZ18&gt;=PA$27,OY18&lt;&gt;""),AND(PV18&gt;=QC$23,PW18&gt;=QC$27,PV18&lt;&gt;""),AND(QA18&gt;=QC$23,QB18&gt;=QC$27,QA18&lt;&gt;"")),"P","")</f>
        <v/>
      </c>
      <c r="I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A18&gt;=EG$27,EA18&lt;&gt;""),AND(EF18&gt;=EG$27,EF18&lt;&gt;""),AND(FC18&gt;=FI$27,FC18&lt;&gt;""),AND(FH18&gt;=FI$27,FH18&lt;&gt;""),AND(GE18&gt;=GK$27,GE18&lt;&gt;""),AND(GJ18&gt;=GK$27,GJ18&lt;&gt;""),AND(HG18&gt;=HM$27,HG18&lt;&gt;""),AND(HL18&gt;=HM$27,HL18&lt;&gt;""),AND(II18&gt;=IO$27,II18&lt;&gt;""),AND(IN18&gt;=IO$27,IN18&lt;&gt;""),AND(JK18&gt;=JQ$27,JK18&lt;&gt;""),AND(JP18&gt;=JQ$27,JP18&lt;&gt;""),AND(KM18&gt;=KS$27,KM18&lt;&gt;""),AND(KR18&gt;=KS$27,KR18&lt;&gt;""),AND(LO18&gt;=LU$27,LO18&lt;&gt;""),AND(LT18&gt;=LU$27,LT18&lt;&gt;""),AND(MQ18&gt;=MW$27,MQ18&lt;&gt;""),AND(MV18&gt;=MW$27,MV18&lt;&gt;""),AND(NS18&gt;=NY$27,NS18&lt;&gt;""),AND(NX18&gt;=NY$27,NX18&lt;&gt;""),AND(OU18&gt;=PA$27,OU18&lt;&gt;""),AND(OZ18&gt;=PA$27,OZ18&lt;&gt;""),AND(PW18&gt;=QC$27,PW18&lt;&gt;""),AND(QB18&gt;=QC$27,QB18&lt;&gt;"")),"P","")</f>
        <v/>
      </c>
      <c r="J18" s="36" t="str">
        <f>IF(AND(I18="P",H18=""),"No DD",IF(OR(AND(AS18&gt;=AW$26,AT18&gt;=AW$30,AS18&lt;&gt;"",AO18=""),AND(BV18&gt;=BZ$26,BW18&gt;=BZ$30,BV18&lt;&gt;"",BR18=""),AND(CY18&gt;=DC$26,CZ18&gt;=DC$30,CY18&lt;&gt;"",CU18=""),AND(EC18&gt;=EG$26,ED18&gt;=EG$30,EC18&lt;&gt;""),AND(FE18&gt;=FI$26,FF18&gt;=FI$30,FE18&lt;&gt;""),AND(GG18&gt;=GK$26,GH18&gt;=GK$30,GG18&lt;&gt;""),AND(HI18&gt;=HM$26,HJ18&gt;=HM$30,HI18&lt;&gt;""),AND(IK18&gt;=IO$26,IL18&gt;=IO$30,IK18&lt;&gt;""),AND(JM18&gt;=JQ$26,JN18&gt;=JQ$30,JM18&lt;&gt;""),AND(KO18&gt;=KS$26,KP18&gt;=KS$30,KO18&lt;&gt;""),AND(LQ18&gt;=LU$26,LR18&gt;=LU$30,LQ18&lt;&gt;""),AND(MS18&gt;=MW$26,MT18&gt;=MW$30,MS18&lt;&gt;""),AND(NU18&gt;=NY$26,NV18&gt;=NY$30,NU18&lt;&gt;""),AND(OW18&gt;=PA$26,OX18&gt;=PA$30,OW18&lt;&gt;""),AND(PY18&gt;=QC$26,PZ18&gt;=QC$30,PY18&lt;&gt;"")),"Merit",IF(OR(AND(AS18&gt;=AW$25,AT18&gt;=AW$29,AS18&lt;&gt;"",AO18=""),AND(BV18&gt;=BZ$25,BW18&gt;=BZ$29,BV18&lt;&gt;"",BR18=""),AND(CY18&gt;=DC$25,CZ18&gt;=DC$29,CY18&lt;&gt;"",CU18=""),AND(EC18&gt;=EG$25,ED18&gt;=EG$29,EC18&lt;&gt;""),AND(FE18&gt;=FI$25,FF18&gt;=FI$29,FE18&lt;&gt;""),AND(GG18&gt;=GK$25,GH18&gt;=GK$29,GG18&lt;&gt;""),AND(HI18&gt;=HM$25,HJ18&gt;=HM$29,HI18&lt;&gt;""),AND(IK18&gt;=IO$25,IL18&gt;=IO$29,IK18&lt;&gt;""),AND(JM18&gt;=JQ$25,JN18&gt;=JQ$29,JM18&lt;&gt;""),AND(KO18&gt;=KS$25,KP18&gt;=KS$29,KO18&lt;&gt;""),AND(LQ18&gt;=LU$25,LR18&gt;=LU$29,LQ18&lt;&gt;""),AND(MS18&gt;=MW$25,MT18&gt;=MW$29,MS18&lt;&gt;""),AND(NU18&gt;=NY$25,NV18&gt;=NY$29,NU18&lt;&gt;""),AND(OW18&gt;=PA$25,OX18&gt;=PA$29,OW18&lt;&gt;""),AND(PY18&gt;=QC$25,PZ18&gt;=QC$29,PY18&lt;&gt;"")),"Excellence",IF(K18="P","Worlds Team",IF(H18="P","National Team","")))))</f>
        <v/>
      </c>
      <c r="K18" s="3" t="str">
        <f>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P","")</f>
        <v/>
      </c>
      <c r="L18" s="8">
        <f>IF(COUNT(AQ18,BT18,CW18)&gt;0,LARGE((AQ18,BT18,CW18),1),0)</f>
        <v>40.1</v>
      </c>
      <c r="M18" s="8" t="str">
        <f t="shared" si="1"/>
        <v>2025 Elite Canada</v>
      </c>
      <c r="N18" s="8">
        <f>IF(COUNT(AQ18,BT18,CW18)&gt;1,LARGE((AQ18,BT18,CW18),2),0)</f>
        <v>38.4</v>
      </c>
      <c r="O18" s="8" t="str">
        <f t="shared" si="2"/>
        <v>2025 Nationals</v>
      </c>
      <c r="P18" s="8">
        <f t="shared" si="3"/>
        <v>40.299999999999997</v>
      </c>
      <c r="Q18" s="8" t="str">
        <f t="shared" si="4"/>
        <v>2025 Elite Canada</v>
      </c>
      <c r="R18" s="8" t="str">
        <f t="shared" si="5"/>
        <v/>
      </c>
      <c r="S18" s="11" t="str">
        <f t="shared" si="6"/>
        <v/>
      </c>
      <c r="T18" s="8" t="str">
        <f t="shared" si="7"/>
        <v/>
      </c>
      <c r="U18" s="19">
        <v>15.9</v>
      </c>
      <c r="V18" s="19">
        <v>3.3</v>
      </c>
      <c r="W18" s="19">
        <v>0</v>
      </c>
      <c r="X18" s="19">
        <v>0</v>
      </c>
      <c r="Y18" s="19">
        <v>15.2</v>
      </c>
      <c r="Z18" s="19">
        <v>2</v>
      </c>
      <c r="AA18" s="19">
        <v>0</v>
      </c>
      <c r="AB18" s="19">
        <v>0.3</v>
      </c>
      <c r="AC18" s="19">
        <v>15.6</v>
      </c>
      <c r="AD18" s="19">
        <v>3.3</v>
      </c>
      <c r="AE18" s="19">
        <v>0.2</v>
      </c>
      <c r="AF18" s="19">
        <v>0.3</v>
      </c>
      <c r="AG18" s="19">
        <v>14.2</v>
      </c>
      <c r="AH18" s="19">
        <v>3.5</v>
      </c>
      <c r="AI18" s="19">
        <v>0</v>
      </c>
      <c r="AJ18" s="19">
        <v>0</v>
      </c>
      <c r="AK18" s="19">
        <v>15.9</v>
      </c>
      <c r="AL18" s="19">
        <v>4</v>
      </c>
      <c r="AM18" s="19">
        <v>0</v>
      </c>
      <c r="AN18" s="19">
        <v>0.3</v>
      </c>
      <c r="AO18" s="27"/>
      <c r="AP18" s="40">
        <f t="shared" si="8"/>
        <v>5.3</v>
      </c>
      <c r="AQ18" s="40">
        <f t="shared" si="9"/>
        <v>36.699999999999996</v>
      </c>
      <c r="AR18" s="40">
        <f t="shared" si="10"/>
        <v>19</v>
      </c>
      <c r="AS18" s="40">
        <f t="shared" si="11"/>
        <v>8.6</v>
      </c>
      <c r="AT18" s="40">
        <f t="shared" si="12"/>
        <v>55.699999999999996</v>
      </c>
      <c r="AU18" s="40">
        <f t="shared" si="13"/>
        <v>7.5</v>
      </c>
      <c r="AV18" s="40">
        <f t="shared" si="14"/>
        <v>37.9</v>
      </c>
      <c r="AW18" s="40">
        <f t="shared" si="15"/>
        <v>93.6</v>
      </c>
      <c r="AX18" s="18">
        <v>16</v>
      </c>
      <c r="AY18" s="18">
        <v>4.2</v>
      </c>
      <c r="AZ18" s="18">
        <v>0</v>
      </c>
      <c r="BA18" s="18">
        <v>0</v>
      </c>
      <c r="BB18" s="18">
        <v>15.9</v>
      </c>
      <c r="BC18" s="18">
        <v>4</v>
      </c>
      <c r="BD18" s="18">
        <v>0</v>
      </c>
      <c r="BE18" s="18">
        <v>0</v>
      </c>
      <c r="BF18" s="18"/>
      <c r="BG18" s="18"/>
      <c r="BH18" s="18"/>
      <c r="BI18" s="18"/>
      <c r="BJ18" s="18">
        <v>16</v>
      </c>
      <c r="BK18" s="18">
        <v>4.2</v>
      </c>
      <c r="BL18" s="18">
        <v>0</v>
      </c>
      <c r="BM18" s="18">
        <v>0</v>
      </c>
      <c r="BN18" s="18">
        <v>16.100000000000001</v>
      </c>
      <c r="BO18" s="18">
        <v>4</v>
      </c>
      <c r="BP18" s="18">
        <v>0</v>
      </c>
      <c r="BQ18" s="18">
        <v>0</v>
      </c>
      <c r="BR18" s="28"/>
      <c r="BS18" s="11">
        <f t="shared" si="16"/>
        <v>8.1999999999999993</v>
      </c>
      <c r="BT18" s="11">
        <f t="shared" si="17"/>
        <v>40.1</v>
      </c>
      <c r="BU18" s="11" t="str">
        <f t="shared" si="18"/>
        <v/>
      </c>
      <c r="BV18" s="11">
        <f t="shared" si="19"/>
        <v>8.1999999999999993</v>
      </c>
      <c r="BW18" s="11">
        <f t="shared" si="20"/>
        <v>40.1</v>
      </c>
      <c r="BX18" s="11">
        <f t="shared" si="21"/>
        <v>8.1999999999999993</v>
      </c>
      <c r="BY18" s="11">
        <f t="shared" si="22"/>
        <v>40.299999999999997</v>
      </c>
      <c r="BZ18" s="11">
        <f t="shared" si="23"/>
        <v>80.400000000000006</v>
      </c>
      <c r="CA18" s="19">
        <v>15.7</v>
      </c>
      <c r="CB18" s="19">
        <v>2</v>
      </c>
      <c r="CC18" s="19">
        <v>0</v>
      </c>
      <c r="CD18" s="19">
        <v>0</v>
      </c>
      <c r="CE18" s="19">
        <v>16.7</v>
      </c>
      <c r="CF18" s="19">
        <v>4</v>
      </c>
      <c r="CG18" s="19">
        <v>0</v>
      </c>
      <c r="CH18" s="19">
        <v>0</v>
      </c>
      <c r="CI18" s="19"/>
      <c r="CJ18" s="19"/>
      <c r="CK18" s="19"/>
      <c r="CL18" s="19"/>
      <c r="CM18" s="19">
        <v>16.2</v>
      </c>
      <c r="CN18" s="19">
        <v>4.2</v>
      </c>
      <c r="CO18" s="19">
        <v>0</v>
      </c>
      <c r="CP18" s="19">
        <v>0</v>
      </c>
      <c r="CQ18" s="19">
        <v>14.3</v>
      </c>
      <c r="CR18" s="19">
        <v>4</v>
      </c>
      <c r="CS18" s="19">
        <v>0.2</v>
      </c>
      <c r="CT18" s="19">
        <v>0</v>
      </c>
      <c r="CU18" s="27"/>
      <c r="CV18" s="40">
        <f t="shared" si="24"/>
        <v>6</v>
      </c>
      <c r="CW18" s="40">
        <f t="shared" si="25"/>
        <v>38.4</v>
      </c>
      <c r="CX18" s="40" t="str">
        <f t="shared" si="26"/>
        <v/>
      </c>
      <c r="CY18" s="40">
        <f t="shared" si="27"/>
        <v>6</v>
      </c>
      <c r="CZ18" s="40">
        <f t="shared" si="28"/>
        <v>38.4</v>
      </c>
      <c r="DA18" s="40">
        <f t="shared" si="29"/>
        <v>8.1999999999999993</v>
      </c>
      <c r="DB18" s="40">
        <f t="shared" si="30"/>
        <v>38.5</v>
      </c>
      <c r="DC18" s="40">
        <f t="shared" si="31"/>
        <v>76.900000000000006</v>
      </c>
      <c r="DD18" s="50" t="str">
        <f t="shared" si="32"/>
        <v/>
      </c>
      <c r="DE18" s="50" t="str">
        <f t="shared" si="33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4"/>
        <v/>
      </c>
      <c r="EA18" s="40" t="str">
        <f t="shared" si="35"/>
        <v/>
      </c>
      <c r="EB18" s="40" t="str">
        <f t="shared" si="36"/>
        <v/>
      </c>
      <c r="EC18" s="40" t="str">
        <f t="shared" si="37"/>
        <v/>
      </c>
      <c r="ED18" s="40" t="str">
        <f t="shared" si="38"/>
        <v/>
      </c>
      <c r="EE18" s="40" t="str">
        <f t="shared" si="39"/>
        <v/>
      </c>
      <c r="EF18" s="40" t="str">
        <f t="shared" si="40"/>
        <v/>
      </c>
      <c r="EG18" s="40" t="str">
        <f t="shared" si="41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2"/>
        <v/>
      </c>
      <c r="FC18" s="11" t="str">
        <f t="shared" si="43"/>
        <v/>
      </c>
      <c r="FD18" s="11" t="str">
        <f t="shared" si="44"/>
        <v/>
      </c>
      <c r="FE18" s="11" t="str">
        <f t="shared" si="45"/>
        <v/>
      </c>
      <c r="FF18" s="11" t="str">
        <f t="shared" si="46"/>
        <v/>
      </c>
      <c r="FG18" s="11" t="str">
        <f t="shared" si="47"/>
        <v/>
      </c>
      <c r="FH18" s="11" t="str">
        <f t="shared" si="48"/>
        <v/>
      </c>
      <c r="FI18" s="11" t="str">
        <f t="shared" si="49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0"/>
        <v/>
      </c>
      <c r="GE18" s="40" t="str">
        <f t="shared" si="51"/>
        <v/>
      </c>
      <c r="GF18" s="40" t="str">
        <f t="shared" si="52"/>
        <v/>
      </c>
      <c r="GG18" s="40" t="str">
        <f t="shared" si="53"/>
        <v/>
      </c>
      <c r="GH18" s="40" t="str">
        <f t="shared" si="54"/>
        <v/>
      </c>
      <c r="GI18" s="40" t="str">
        <f t="shared" si="55"/>
        <v/>
      </c>
      <c r="GJ18" s="40" t="str">
        <f t="shared" si="56"/>
        <v/>
      </c>
      <c r="GK18" s="40" t="str">
        <f t="shared" si="57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58"/>
        <v/>
      </c>
      <c r="HG18" s="11" t="str">
        <f t="shared" si="59"/>
        <v/>
      </c>
      <c r="HH18" s="11" t="str">
        <f t="shared" si="60"/>
        <v/>
      </c>
      <c r="HI18" s="11" t="str">
        <f t="shared" si="61"/>
        <v/>
      </c>
      <c r="HJ18" s="11" t="str">
        <f t="shared" si="62"/>
        <v/>
      </c>
      <c r="HK18" s="11" t="str">
        <f t="shared" si="63"/>
        <v/>
      </c>
      <c r="HL18" s="11" t="str">
        <f t="shared" si="64"/>
        <v/>
      </c>
      <c r="HM18" s="11" t="str">
        <f t="shared" si="65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6"/>
        <v/>
      </c>
      <c r="II18" s="40" t="str">
        <f t="shared" si="67"/>
        <v/>
      </c>
      <c r="IJ18" s="40" t="str">
        <f t="shared" si="68"/>
        <v/>
      </c>
      <c r="IK18" s="40" t="str">
        <f t="shared" si="69"/>
        <v/>
      </c>
      <c r="IL18" s="40" t="str">
        <f t="shared" si="70"/>
        <v/>
      </c>
      <c r="IM18" s="40" t="str">
        <f t="shared" si="71"/>
        <v/>
      </c>
      <c r="IN18" s="40" t="str">
        <f t="shared" si="72"/>
        <v/>
      </c>
      <c r="IO18" s="40" t="str">
        <f t="shared" si="73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4"/>
        <v/>
      </c>
      <c r="JK18" s="11" t="str">
        <f t="shared" si="75"/>
        <v/>
      </c>
      <c r="JL18" s="11" t="str">
        <f t="shared" si="76"/>
        <v/>
      </c>
      <c r="JM18" s="11" t="str">
        <f t="shared" si="77"/>
        <v/>
      </c>
      <c r="JN18" s="11" t="str">
        <f t="shared" si="78"/>
        <v/>
      </c>
      <c r="JO18" s="11" t="str">
        <f t="shared" si="79"/>
        <v/>
      </c>
      <c r="JP18" s="11" t="str">
        <f t="shared" si="80"/>
        <v/>
      </c>
      <c r="JQ18" s="11" t="str">
        <f t="shared" si="81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2"/>
        <v/>
      </c>
      <c r="KM18" s="40" t="str">
        <f t="shared" si="83"/>
        <v/>
      </c>
      <c r="KN18" s="40" t="str">
        <f t="shared" si="84"/>
        <v/>
      </c>
      <c r="KO18" s="40" t="str">
        <f t="shared" si="85"/>
        <v/>
      </c>
      <c r="KP18" s="40" t="str">
        <f t="shared" si="86"/>
        <v/>
      </c>
      <c r="KQ18" s="40" t="str">
        <f t="shared" si="87"/>
        <v/>
      </c>
      <c r="KR18" s="40" t="str">
        <f t="shared" si="88"/>
        <v/>
      </c>
      <c r="KS18" s="40" t="str">
        <f t="shared" si="89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0"/>
        <v/>
      </c>
      <c r="LO18" s="11" t="str">
        <f t="shared" si="91"/>
        <v/>
      </c>
      <c r="LP18" s="11" t="str">
        <f t="shared" si="92"/>
        <v/>
      </c>
      <c r="LQ18" s="11" t="str">
        <f t="shared" si="93"/>
        <v/>
      </c>
      <c r="LR18" s="11" t="str">
        <f t="shared" si="94"/>
        <v/>
      </c>
      <c r="LS18" s="11" t="str">
        <f t="shared" si="95"/>
        <v/>
      </c>
      <c r="LT18" s="11" t="str">
        <f t="shared" si="96"/>
        <v/>
      </c>
      <c r="LU18" s="11" t="str">
        <f t="shared" si="97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98"/>
        <v/>
      </c>
      <c r="MQ18" s="40" t="str">
        <f t="shared" si="99"/>
        <v/>
      </c>
      <c r="MR18" s="40" t="str">
        <f t="shared" si="100"/>
        <v/>
      </c>
      <c r="MS18" s="40" t="str">
        <f t="shared" si="101"/>
        <v/>
      </c>
      <c r="MT18" s="40" t="str">
        <f t="shared" si="102"/>
        <v/>
      </c>
      <c r="MU18" s="40" t="str">
        <f t="shared" si="103"/>
        <v/>
      </c>
      <c r="MV18" s="40" t="str">
        <f t="shared" si="104"/>
        <v/>
      </c>
      <c r="MW18" s="40" t="str">
        <f t="shared" si="105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6"/>
        <v/>
      </c>
      <c r="NS18" s="11" t="str">
        <f t="shared" si="107"/>
        <v/>
      </c>
      <c r="NT18" s="11" t="str">
        <f t="shared" si="108"/>
        <v/>
      </c>
      <c r="NU18" s="11" t="str">
        <f t="shared" si="109"/>
        <v/>
      </c>
      <c r="NV18" s="11" t="str">
        <f t="shared" si="110"/>
        <v/>
      </c>
      <c r="NW18" s="11" t="str">
        <f t="shared" si="111"/>
        <v/>
      </c>
      <c r="NX18" s="11" t="str">
        <f t="shared" si="112"/>
        <v/>
      </c>
      <c r="NY18" s="11" t="str">
        <f t="shared" si="113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4"/>
        <v/>
      </c>
      <c r="OU18" s="40" t="str">
        <f t="shared" si="115"/>
        <v/>
      </c>
      <c r="OV18" s="40" t="str">
        <f t="shared" si="116"/>
        <v/>
      </c>
      <c r="OW18" s="40" t="str">
        <f t="shared" si="117"/>
        <v/>
      </c>
      <c r="OX18" s="40" t="str">
        <f t="shared" si="118"/>
        <v/>
      </c>
      <c r="OY18" s="40" t="str">
        <f t="shared" si="119"/>
        <v/>
      </c>
      <c r="OZ18" s="40" t="str">
        <f t="shared" si="120"/>
        <v/>
      </c>
      <c r="PA18" s="40" t="str">
        <f t="shared" si="121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2"/>
        <v/>
      </c>
      <c r="PW18" s="11" t="str">
        <f t="shared" si="123"/>
        <v/>
      </c>
      <c r="PX18" s="11" t="str">
        <f t="shared" si="124"/>
        <v/>
      </c>
      <c r="PY18" s="11" t="str">
        <f t="shared" si="125"/>
        <v/>
      </c>
      <c r="PZ18" s="11" t="str">
        <f t="shared" si="126"/>
        <v/>
      </c>
      <c r="QA18" s="11" t="str">
        <f t="shared" si="127"/>
        <v/>
      </c>
      <c r="QB18" s="11" t="str">
        <f t="shared" si="128"/>
        <v/>
      </c>
      <c r="QC18" s="11" t="str">
        <f t="shared" si="129"/>
        <v/>
      </c>
      <c r="QD18" s="22">
        <f t="shared" si="130"/>
        <v>15.85</v>
      </c>
      <c r="QE18" s="22">
        <f t="shared" si="131"/>
        <v>3.1</v>
      </c>
      <c r="QF18" s="22">
        <f t="shared" si="132"/>
        <v>0</v>
      </c>
      <c r="QG18" s="22">
        <f t="shared" si="133"/>
        <v>0</v>
      </c>
      <c r="QH18" s="22">
        <f t="shared" si="134"/>
        <v>16.3</v>
      </c>
      <c r="QI18" s="22">
        <f t="shared" si="135"/>
        <v>4</v>
      </c>
      <c r="QJ18" s="22">
        <f t="shared" si="136"/>
        <v>0</v>
      </c>
      <c r="QK18" s="22">
        <f t="shared" si="137"/>
        <v>0</v>
      </c>
      <c r="QL18" s="22">
        <f t="shared" si="138"/>
        <v>0</v>
      </c>
      <c r="QM18" s="22">
        <f t="shared" si="139"/>
        <v>0</v>
      </c>
      <c r="QN18" s="22">
        <f t="shared" si="140"/>
        <v>0</v>
      </c>
      <c r="QO18" s="22">
        <f t="shared" si="141"/>
        <v>0</v>
      </c>
      <c r="QP18" s="22">
        <f t="shared" si="142"/>
        <v>16.100000000000001</v>
      </c>
      <c r="QQ18" s="22">
        <f t="shared" si="143"/>
        <v>4.2</v>
      </c>
      <c r="QR18" s="22">
        <f t="shared" si="144"/>
        <v>0</v>
      </c>
      <c r="QS18" s="22">
        <f t="shared" si="145"/>
        <v>0</v>
      </c>
      <c r="QT18" s="22">
        <f t="shared" si="146"/>
        <v>15.200000000000001</v>
      </c>
      <c r="QU18" s="22">
        <f t="shared" si="147"/>
        <v>4</v>
      </c>
      <c r="QV18" s="22">
        <f t="shared" si="148"/>
        <v>0.1</v>
      </c>
      <c r="QW18" s="22">
        <f t="shared" si="149"/>
        <v>0</v>
      </c>
      <c r="QX18" s="27" t="s">
        <v>46</v>
      </c>
      <c r="QY18" s="40">
        <f t="shared" si="150"/>
        <v>7.1</v>
      </c>
      <c r="QZ18" s="40">
        <f t="shared" si="151"/>
        <v>39.25</v>
      </c>
      <c r="RA18" s="40" t="str">
        <f t="shared" si="152"/>
        <v/>
      </c>
      <c r="RB18" s="40">
        <f t="shared" si="153"/>
        <v>7.1</v>
      </c>
      <c r="RC18" s="40">
        <f t="shared" si="154"/>
        <v>39.25</v>
      </c>
      <c r="RD18" s="40">
        <f t="shared" si="155"/>
        <v>8.1999999999999993</v>
      </c>
      <c r="RE18" s="40">
        <f t="shared" si="156"/>
        <v>39.4</v>
      </c>
      <c r="RF18" s="40">
        <f t="shared" si="157"/>
        <v>78.650000000000006</v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126</v>
      </c>
      <c r="D19" s="4" t="s">
        <v>4</v>
      </c>
      <c r="E19" s="4">
        <v>2005</v>
      </c>
      <c r="F19" s="9">
        <f t="shared" si="0"/>
        <v>118.20000763000391</v>
      </c>
      <c r="G19" s="64"/>
      <c r="H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DZ19&gt;=EG$23,EA19&gt;=EG$27,DZ19&lt;&gt;""),AND(EE19&gt;=EG$23,EF19&gt;=EG$27,EE19&lt;&gt;""),AND(FB19&gt;=FI$23,FC19&gt;=FI$27,FB19&lt;&gt;""),AND(FG19&gt;=FI$23,FH19&gt;=FI$27,FG19&lt;&gt;""),AND(GD19&gt;=GK$23,GE19&gt;=GK$27,GD19&lt;&gt;""),AND(GI19&gt;=GK$23,GJ19&gt;=GK$27,GI19&lt;&gt;""),AND(HF19&gt;=HM$23,HG19&gt;=HM$27,HF19&lt;&gt;""),AND(HK19&gt;=HM$23,HL19&gt;=HM$27,HK19&lt;&gt;""),AND(IH19&gt;=IO$23,II19&gt;=IO$27,IH19&lt;&gt;""),AND(IM19&gt;=IO$23,IN19&gt;=IO$27,IM19&lt;&gt;""),AND(JJ19&gt;=JQ$23,JK19&gt;=JQ$27,JJ19&lt;&gt;""),AND(JO19&gt;=JQ$23,JP19&gt;=JQ$27,JO19&lt;&gt;""),AND(KL19&gt;=KS$23,KM19&gt;=KS$27,KL19&lt;&gt;""),AND(KQ19&gt;=KS$23,KR19&gt;=KS$27,KQ19&lt;&gt;""),AND(LN19&gt;=LU$23,LO19&gt;=LU$27,LN19&lt;&gt;""),AND(LS19&gt;=LU$23,LT19&gt;=LU$27,LS19&lt;&gt;""),AND(MP19&gt;=MW$23,MQ19&gt;=MW$27,MP19&lt;&gt;""),AND(MU19&gt;=MW$23,MV19&gt;=MW$27,MU19&lt;&gt;""),AND(NR19&gt;=NY$23,NS19&gt;=NY$27,NR19&lt;&gt;""),AND(NW19&gt;=NY$23,NX19&gt;=NY$27,NW19&lt;&gt;""),AND(OT19&gt;=PA$23,OU19&gt;=PA$27,OT19&lt;&gt;""),AND(OY19&gt;=PA$23,OZ19&gt;=PA$27,OY19&lt;&gt;""),AND(PV19&gt;=QC$23,PW19&gt;=QC$27,PV19&lt;&gt;""),AND(QA19&gt;=QC$23,QB19&gt;=QC$27,QA19&lt;&gt;"")),"P","")</f>
        <v/>
      </c>
      <c r="I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A19&gt;=EG$27,EA19&lt;&gt;""),AND(EF19&gt;=EG$27,EF19&lt;&gt;""),AND(FC19&gt;=FI$27,FC19&lt;&gt;""),AND(FH19&gt;=FI$27,FH19&lt;&gt;""),AND(GE19&gt;=GK$27,GE19&lt;&gt;""),AND(GJ19&gt;=GK$27,GJ19&lt;&gt;""),AND(HG19&gt;=HM$27,HG19&lt;&gt;""),AND(HL19&gt;=HM$27,HL19&lt;&gt;""),AND(II19&gt;=IO$27,II19&lt;&gt;""),AND(IN19&gt;=IO$27,IN19&lt;&gt;""),AND(JK19&gt;=JQ$27,JK19&lt;&gt;""),AND(JP19&gt;=JQ$27,JP19&lt;&gt;""),AND(KM19&gt;=KS$27,KM19&lt;&gt;""),AND(KR19&gt;=KS$27,KR19&lt;&gt;""),AND(LO19&gt;=LU$27,LO19&lt;&gt;""),AND(LT19&gt;=LU$27,LT19&lt;&gt;""),AND(MQ19&gt;=MW$27,MQ19&lt;&gt;""),AND(MV19&gt;=MW$27,MV19&lt;&gt;""),AND(NS19&gt;=NY$27,NS19&lt;&gt;""),AND(NX19&gt;=NY$27,NX19&lt;&gt;""),AND(OU19&gt;=PA$27,OU19&lt;&gt;""),AND(OZ19&gt;=PA$27,OZ19&lt;&gt;""),AND(PW19&gt;=QC$27,PW19&lt;&gt;""),AND(QB19&gt;=QC$27,QB19&lt;&gt;"")),"P","")</f>
        <v/>
      </c>
      <c r="J19" s="36" t="str">
        <f>IF(AND(I19="P",H19=""),"No DD",IF(OR(AND(AS19&gt;=AW$26,AT19&gt;=AW$30,AS19&lt;&gt;"",AO19=""),AND(BV19&gt;=BZ$26,BW19&gt;=BZ$30,BV19&lt;&gt;"",BR19=""),AND(CY19&gt;=DC$26,CZ19&gt;=DC$30,CY19&lt;&gt;"",CU19=""),AND(EC19&gt;=EG$26,ED19&gt;=EG$30,EC19&lt;&gt;""),AND(FE19&gt;=FI$26,FF19&gt;=FI$30,FE19&lt;&gt;""),AND(GG19&gt;=GK$26,GH19&gt;=GK$30,GG19&lt;&gt;""),AND(HI19&gt;=HM$26,HJ19&gt;=HM$30,HI19&lt;&gt;""),AND(IK19&gt;=IO$26,IL19&gt;=IO$30,IK19&lt;&gt;""),AND(JM19&gt;=JQ$26,JN19&gt;=JQ$30,JM19&lt;&gt;""),AND(KO19&gt;=KS$26,KP19&gt;=KS$30,KO19&lt;&gt;""),AND(LQ19&gt;=LU$26,LR19&gt;=LU$30,LQ19&lt;&gt;""),AND(MS19&gt;=MW$26,MT19&gt;=MW$30,MS19&lt;&gt;""),AND(NU19&gt;=NY$26,NV19&gt;=NY$30,NU19&lt;&gt;""),AND(OW19&gt;=PA$26,OX19&gt;=PA$30,OW19&lt;&gt;""),AND(PY19&gt;=QC$26,PZ19&gt;=QC$30,PY19&lt;&gt;"")),"Merit",IF(OR(AND(AS19&gt;=AW$25,AT19&gt;=AW$29,AS19&lt;&gt;"",AO19=""),AND(BV19&gt;=BZ$25,BW19&gt;=BZ$29,BV19&lt;&gt;"",BR19=""),AND(CY19&gt;=DC$25,CZ19&gt;=DC$29,CY19&lt;&gt;"",CU19=""),AND(EC19&gt;=EG$25,ED19&gt;=EG$29,EC19&lt;&gt;""),AND(FE19&gt;=FI$25,FF19&gt;=FI$29,FE19&lt;&gt;""),AND(GG19&gt;=GK$25,GH19&gt;=GK$29,GG19&lt;&gt;""),AND(HI19&gt;=HM$25,HJ19&gt;=HM$29,HI19&lt;&gt;""),AND(IK19&gt;=IO$25,IL19&gt;=IO$29,IK19&lt;&gt;""),AND(JM19&gt;=JQ$25,JN19&gt;=JQ$29,JM19&lt;&gt;""),AND(KO19&gt;=KS$25,KP19&gt;=KS$29,KO19&lt;&gt;""),AND(LQ19&gt;=LU$25,LR19&gt;=LU$29,LQ19&lt;&gt;""),AND(MS19&gt;=MW$25,MT19&gt;=MW$29,MS19&lt;&gt;""),AND(NU19&gt;=NY$25,NV19&gt;=NY$29,NU19&lt;&gt;""),AND(OW19&gt;=PA$25,OX19&gt;=PA$29,OW19&lt;&gt;""),AND(PY19&gt;=QC$25,PZ19&gt;=QC$29,PY19&lt;&gt;"")),"Excellence",IF(K19="P","Worlds Team",IF(H19="P","National Team","")))))</f>
        <v/>
      </c>
      <c r="K19" s="3" t="str">
        <f>IF(OR(AND(AS19&gt;=AW$24,AT19&gt;=AW$28,AS19&lt;&gt;"",AO19=""),AND(BV19&gt;=BZ$24,BW19&gt;=BZ$28,BV19&lt;&gt;"",BR19=""),AND(CY19&gt;=DC$24,CZ19&gt;=DC$28,CY19&lt;&gt;"",CU19=""),AND(EC19&gt;=EG$24,ED19&gt;=EG$28,EC19&lt;&gt;""),AND(FE19&gt;=FI$24,FF19&gt;=FI$28,FE19&lt;&gt;""),AND(GG19&gt;=GK$24,GH19&gt;=GK$28,GG19&lt;&gt;""),AND(HI19&gt;=HM$24,HJ19&gt;=HM$28,HI19&lt;&gt;""),AND(IK19&gt;=IO$24,IL19&gt;=IO$28,IK19&lt;&gt;""),AND(JM19&gt;=JQ$24,JN19&gt;=JQ$28,JM19&lt;&gt;""),AND(KO19&gt;=KS$24,KP19&gt;=KS$28,KO19&lt;&gt;""),AND(LQ19&gt;=LU$24,LR19&gt;=LU$28,LQ19&lt;&gt;""),AND(MS19&gt;=MW$24,MT19&gt;=MW$28,MS19&lt;&gt;""),AND(NU19&gt;=NY$24,NV19&gt;=NY$28,NU19&lt;&gt;""),AND(OW19&gt;=PA$24,OX19&gt;=PA$28,OW19&lt;&gt;""),AND(PY19&gt;=QC$24,PZ19&gt;=QC$28,PY19&lt;&gt;"")),"P","")</f>
        <v/>
      </c>
      <c r="L19" s="8">
        <f>IF(COUNT(AQ19,BT19,CW19)&gt;0,LARGE((AQ19,BT19,CW19),1),0)</f>
        <v>38.9</v>
      </c>
      <c r="M19" s="8" t="str">
        <f t="shared" si="1"/>
        <v>2025 Nationals</v>
      </c>
      <c r="N19" s="8">
        <f>IF(COUNT(AQ19,BT19,CW19)&gt;1,LARGE((AQ19,BT19,CW19),2),0)</f>
        <v>37.400000000000006</v>
      </c>
      <c r="O19" s="8" t="str">
        <f t="shared" si="2"/>
        <v>2024 3rd Domestic Trial</v>
      </c>
      <c r="P19" s="8">
        <f t="shared" si="3"/>
        <v>41.900000000000006</v>
      </c>
      <c r="Q19" s="8" t="str">
        <f t="shared" si="4"/>
        <v>2024 3rd Domestic Trial</v>
      </c>
      <c r="R19" s="8" t="str">
        <f t="shared" si="5"/>
        <v/>
      </c>
      <c r="S19" s="11" t="str">
        <f t="shared" si="6"/>
        <v/>
      </c>
      <c r="T19" s="8" t="str">
        <f t="shared" si="7"/>
        <v/>
      </c>
      <c r="U19" s="19">
        <v>15.9</v>
      </c>
      <c r="V19" s="19">
        <v>4.5999999999999996</v>
      </c>
      <c r="W19" s="19">
        <v>0.2</v>
      </c>
      <c r="X19" s="19">
        <v>0.6</v>
      </c>
      <c r="Y19" s="19">
        <v>14.8</v>
      </c>
      <c r="Z19" s="19">
        <v>3.5</v>
      </c>
      <c r="AA19" s="19">
        <v>2.4</v>
      </c>
      <c r="AB19" s="19">
        <v>0.6</v>
      </c>
      <c r="AC19" s="19">
        <v>15.6</v>
      </c>
      <c r="AD19" s="19">
        <v>4.5999999999999996</v>
      </c>
      <c r="AE19" s="19">
        <v>0</v>
      </c>
      <c r="AF19" s="19">
        <v>0.6</v>
      </c>
      <c r="AG19" s="19">
        <v>15.5</v>
      </c>
      <c r="AH19" s="19">
        <v>4.5999999999999996</v>
      </c>
      <c r="AI19" s="19">
        <v>0</v>
      </c>
      <c r="AJ19" s="19">
        <v>0.6</v>
      </c>
      <c r="AK19" s="19">
        <v>16</v>
      </c>
      <c r="AL19" s="19">
        <v>4.5999999999999996</v>
      </c>
      <c r="AM19" s="19">
        <v>0</v>
      </c>
      <c r="AN19" s="19">
        <v>0.6</v>
      </c>
      <c r="AO19" s="27"/>
      <c r="AP19" s="40">
        <f t="shared" si="8"/>
        <v>8.1</v>
      </c>
      <c r="AQ19" s="40">
        <f t="shared" si="9"/>
        <v>37.400000000000006</v>
      </c>
      <c r="AR19" s="40">
        <f t="shared" si="10"/>
        <v>20.8</v>
      </c>
      <c r="AS19" s="40">
        <f t="shared" si="11"/>
        <v>12.7</v>
      </c>
      <c r="AT19" s="40">
        <f t="shared" si="12"/>
        <v>58.2</v>
      </c>
      <c r="AU19" s="40">
        <f t="shared" si="13"/>
        <v>9.1999999999999993</v>
      </c>
      <c r="AV19" s="40">
        <f t="shared" si="14"/>
        <v>41.900000000000006</v>
      </c>
      <c r="AW19" s="40">
        <f t="shared" si="15"/>
        <v>100.10000000000001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16"/>
        <v/>
      </c>
      <c r="BT19" s="11" t="str">
        <f t="shared" si="17"/>
        <v/>
      </c>
      <c r="BU19" s="11" t="str">
        <f t="shared" si="18"/>
        <v/>
      </c>
      <c r="BV19" s="11" t="str">
        <f t="shared" si="19"/>
        <v/>
      </c>
      <c r="BW19" s="11" t="str">
        <f t="shared" si="20"/>
        <v/>
      </c>
      <c r="BX19" s="11" t="str">
        <f t="shared" si="21"/>
        <v/>
      </c>
      <c r="BY19" s="11" t="str">
        <f t="shared" si="22"/>
        <v/>
      </c>
      <c r="BZ19" s="11" t="str">
        <f t="shared" si="23"/>
        <v/>
      </c>
      <c r="CA19" s="19">
        <v>15.7</v>
      </c>
      <c r="CB19" s="19">
        <v>4.8</v>
      </c>
      <c r="CC19" s="19">
        <v>0.2</v>
      </c>
      <c r="CD19" s="19">
        <v>0</v>
      </c>
      <c r="CE19" s="19">
        <v>14.4</v>
      </c>
      <c r="CF19" s="19">
        <v>4.2</v>
      </c>
      <c r="CG19" s="19">
        <v>0</v>
      </c>
      <c r="CH19" s="19">
        <v>0</v>
      </c>
      <c r="CI19" s="19"/>
      <c r="CJ19" s="19"/>
      <c r="CK19" s="19"/>
      <c r="CL19" s="19"/>
      <c r="CM19" s="19">
        <v>16.100000000000001</v>
      </c>
      <c r="CN19" s="19">
        <v>4.8</v>
      </c>
      <c r="CO19" s="19">
        <v>0</v>
      </c>
      <c r="CP19" s="19">
        <v>0</v>
      </c>
      <c r="CQ19" s="19">
        <v>15.6</v>
      </c>
      <c r="CR19" s="19">
        <v>5.3</v>
      </c>
      <c r="CS19" s="19">
        <v>0</v>
      </c>
      <c r="CT19" s="19">
        <v>0</v>
      </c>
      <c r="CU19" s="27"/>
      <c r="CV19" s="40">
        <f t="shared" si="24"/>
        <v>9</v>
      </c>
      <c r="CW19" s="40">
        <f t="shared" si="25"/>
        <v>38.9</v>
      </c>
      <c r="CX19" s="40" t="str">
        <f t="shared" si="26"/>
        <v/>
      </c>
      <c r="CY19" s="40">
        <f t="shared" si="27"/>
        <v>9</v>
      </c>
      <c r="CZ19" s="40">
        <f t="shared" si="28"/>
        <v>38.9</v>
      </c>
      <c r="DA19" s="40">
        <f t="shared" si="29"/>
        <v>10.1</v>
      </c>
      <c r="DB19" s="40">
        <f t="shared" si="30"/>
        <v>41.8</v>
      </c>
      <c r="DC19" s="40">
        <f t="shared" si="31"/>
        <v>80.699999999999989</v>
      </c>
      <c r="DD19" s="50" t="str">
        <f t="shared" si="32"/>
        <v/>
      </c>
      <c r="DE19" s="50" t="str">
        <f t="shared" si="33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4"/>
        <v/>
      </c>
      <c r="EA19" s="40" t="str">
        <f t="shared" si="35"/>
        <v/>
      </c>
      <c r="EB19" s="40" t="str">
        <f t="shared" si="36"/>
        <v/>
      </c>
      <c r="EC19" s="40" t="str">
        <f t="shared" si="37"/>
        <v/>
      </c>
      <c r="ED19" s="40" t="str">
        <f t="shared" si="38"/>
        <v/>
      </c>
      <c r="EE19" s="40" t="str">
        <f t="shared" si="39"/>
        <v/>
      </c>
      <c r="EF19" s="40" t="str">
        <f t="shared" si="40"/>
        <v/>
      </c>
      <c r="EG19" s="40" t="str">
        <f t="shared" si="41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2"/>
        <v/>
      </c>
      <c r="FC19" s="11" t="str">
        <f t="shared" si="43"/>
        <v/>
      </c>
      <c r="FD19" s="11" t="str">
        <f t="shared" si="44"/>
        <v/>
      </c>
      <c r="FE19" s="11" t="str">
        <f t="shared" si="45"/>
        <v/>
      </c>
      <c r="FF19" s="11" t="str">
        <f t="shared" si="46"/>
        <v/>
      </c>
      <c r="FG19" s="11" t="str">
        <f t="shared" si="47"/>
        <v/>
      </c>
      <c r="FH19" s="11" t="str">
        <f t="shared" si="48"/>
        <v/>
      </c>
      <c r="FI19" s="11" t="str">
        <f t="shared" si="49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0"/>
        <v/>
      </c>
      <c r="GE19" s="40" t="str">
        <f t="shared" si="51"/>
        <v/>
      </c>
      <c r="GF19" s="40" t="str">
        <f t="shared" si="52"/>
        <v/>
      </c>
      <c r="GG19" s="40" t="str">
        <f t="shared" si="53"/>
        <v/>
      </c>
      <c r="GH19" s="40" t="str">
        <f t="shared" si="54"/>
        <v/>
      </c>
      <c r="GI19" s="40" t="str">
        <f t="shared" si="55"/>
        <v/>
      </c>
      <c r="GJ19" s="40" t="str">
        <f t="shared" si="56"/>
        <v/>
      </c>
      <c r="GK19" s="40" t="str">
        <f t="shared" si="57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58"/>
        <v/>
      </c>
      <c r="HG19" s="11" t="str">
        <f t="shared" si="59"/>
        <v/>
      </c>
      <c r="HH19" s="11" t="str">
        <f t="shared" si="60"/>
        <v/>
      </c>
      <c r="HI19" s="11" t="str">
        <f t="shared" si="61"/>
        <v/>
      </c>
      <c r="HJ19" s="11" t="str">
        <f t="shared" si="62"/>
        <v/>
      </c>
      <c r="HK19" s="11" t="str">
        <f t="shared" si="63"/>
        <v/>
      </c>
      <c r="HL19" s="11" t="str">
        <f t="shared" si="64"/>
        <v/>
      </c>
      <c r="HM19" s="11" t="str">
        <f t="shared" si="65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66"/>
        <v/>
      </c>
      <c r="II19" s="40" t="str">
        <f t="shared" si="67"/>
        <v/>
      </c>
      <c r="IJ19" s="40" t="str">
        <f t="shared" si="68"/>
        <v/>
      </c>
      <c r="IK19" s="40" t="str">
        <f t="shared" si="69"/>
        <v/>
      </c>
      <c r="IL19" s="40" t="str">
        <f t="shared" si="70"/>
        <v/>
      </c>
      <c r="IM19" s="40" t="str">
        <f t="shared" si="71"/>
        <v/>
      </c>
      <c r="IN19" s="40" t="str">
        <f t="shared" si="72"/>
        <v/>
      </c>
      <c r="IO19" s="40" t="str">
        <f t="shared" si="73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4"/>
        <v/>
      </c>
      <c r="JK19" s="11" t="str">
        <f t="shared" si="75"/>
        <v/>
      </c>
      <c r="JL19" s="11" t="str">
        <f t="shared" si="76"/>
        <v/>
      </c>
      <c r="JM19" s="11" t="str">
        <f t="shared" si="77"/>
        <v/>
      </c>
      <c r="JN19" s="11" t="str">
        <f t="shared" si="78"/>
        <v/>
      </c>
      <c r="JO19" s="11" t="str">
        <f t="shared" si="79"/>
        <v/>
      </c>
      <c r="JP19" s="11" t="str">
        <f t="shared" si="80"/>
        <v/>
      </c>
      <c r="JQ19" s="11" t="str">
        <f t="shared" si="81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2"/>
        <v/>
      </c>
      <c r="KM19" s="40" t="str">
        <f t="shared" si="83"/>
        <v/>
      </c>
      <c r="KN19" s="40" t="str">
        <f t="shared" si="84"/>
        <v/>
      </c>
      <c r="KO19" s="40" t="str">
        <f t="shared" si="85"/>
        <v/>
      </c>
      <c r="KP19" s="40" t="str">
        <f t="shared" si="86"/>
        <v/>
      </c>
      <c r="KQ19" s="40" t="str">
        <f t="shared" si="87"/>
        <v/>
      </c>
      <c r="KR19" s="40" t="str">
        <f t="shared" si="88"/>
        <v/>
      </c>
      <c r="KS19" s="40" t="str">
        <f t="shared" si="89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0"/>
        <v/>
      </c>
      <c r="LO19" s="11" t="str">
        <f t="shared" si="91"/>
        <v/>
      </c>
      <c r="LP19" s="11" t="str">
        <f t="shared" si="92"/>
        <v/>
      </c>
      <c r="LQ19" s="11" t="str">
        <f t="shared" si="93"/>
        <v/>
      </c>
      <c r="LR19" s="11" t="str">
        <f t="shared" si="94"/>
        <v/>
      </c>
      <c r="LS19" s="11" t="str">
        <f t="shared" si="95"/>
        <v/>
      </c>
      <c r="LT19" s="11" t="str">
        <f t="shared" si="96"/>
        <v/>
      </c>
      <c r="LU19" s="11" t="str">
        <f t="shared" si="97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98"/>
        <v/>
      </c>
      <c r="MQ19" s="40" t="str">
        <f t="shared" si="99"/>
        <v/>
      </c>
      <c r="MR19" s="40" t="str">
        <f t="shared" si="100"/>
        <v/>
      </c>
      <c r="MS19" s="40" t="str">
        <f t="shared" si="101"/>
        <v/>
      </c>
      <c r="MT19" s="40" t="str">
        <f t="shared" si="102"/>
        <v/>
      </c>
      <c r="MU19" s="40" t="str">
        <f t="shared" si="103"/>
        <v/>
      </c>
      <c r="MV19" s="40" t="str">
        <f t="shared" si="104"/>
        <v/>
      </c>
      <c r="MW19" s="40" t="str">
        <f t="shared" si="105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06"/>
        <v/>
      </c>
      <c r="NS19" s="11" t="str">
        <f t="shared" si="107"/>
        <v/>
      </c>
      <c r="NT19" s="11" t="str">
        <f t="shared" si="108"/>
        <v/>
      </c>
      <c r="NU19" s="11" t="str">
        <f t="shared" si="109"/>
        <v/>
      </c>
      <c r="NV19" s="11" t="str">
        <f t="shared" si="110"/>
        <v/>
      </c>
      <c r="NW19" s="11" t="str">
        <f t="shared" si="111"/>
        <v/>
      </c>
      <c r="NX19" s="11" t="str">
        <f t="shared" si="112"/>
        <v/>
      </c>
      <c r="NY19" s="11" t="str">
        <f t="shared" si="113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4"/>
        <v/>
      </c>
      <c r="OU19" s="40" t="str">
        <f t="shared" si="115"/>
        <v/>
      </c>
      <c r="OV19" s="40" t="str">
        <f t="shared" si="116"/>
        <v/>
      </c>
      <c r="OW19" s="40" t="str">
        <f t="shared" si="117"/>
        <v/>
      </c>
      <c r="OX19" s="40" t="str">
        <f t="shared" si="118"/>
        <v/>
      </c>
      <c r="OY19" s="40" t="str">
        <f t="shared" si="119"/>
        <v/>
      </c>
      <c r="OZ19" s="40" t="str">
        <f t="shared" si="120"/>
        <v/>
      </c>
      <c r="PA19" s="40" t="str">
        <f t="shared" si="121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2"/>
        <v/>
      </c>
      <c r="PW19" s="11" t="str">
        <f t="shared" si="123"/>
        <v/>
      </c>
      <c r="PX19" s="11" t="str">
        <f t="shared" si="124"/>
        <v/>
      </c>
      <c r="PY19" s="11" t="str">
        <f t="shared" si="125"/>
        <v/>
      </c>
      <c r="PZ19" s="11" t="str">
        <f t="shared" si="126"/>
        <v/>
      </c>
      <c r="QA19" s="11" t="str">
        <f t="shared" si="127"/>
        <v/>
      </c>
      <c r="QB19" s="11" t="str">
        <f t="shared" si="128"/>
        <v/>
      </c>
      <c r="QC19" s="11" t="str">
        <f t="shared" si="129"/>
        <v/>
      </c>
      <c r="QD19" s="22">
        <f t="shared" si="130"/>
        <v>7.85</v>
      </c>
      <c r="QE19" s="22">
        <f t="shared" si="131"/>
        <v>2.4</v>
      </c>
      <c r="QF19" s="22">
        <f t="shared" si="132"/>
        <v>0.1</v>
      </c>
      <c r="QG19" s="22">
        <f t="shared" si="133"/>
        <v>0</v>
      </c>
      <c r="QH19" s="22">
        <f t="shared" si="134"/>
        <v>7.2</v>
      </c>
      <c r="QI19" s="22">
        <f t="shared" si="135"/>
        <v>2.1</v>
      </c>
      <c r="QJ19" s="22">
        <f t="shared" si="136"/>
        <v>0</v>
      </c>
      <c r="QK19" s="22">
        <f t="shared" si="137"/>
        <v>0</v>
      </c>
      <c r="QL19" s="22">
        <f t="shared" si="138"/>
        <v>0</v>
      </c>
      <c r="QM19" s="22">
        <f t="shared" si="139"/>
        <v>0</v>
      </c>
      <c r="QN19" s="22">
        <f t="shared" si="140"/>
        <v>0</v>
      </c>
      <c r="QO19" s="22">
        <f t="shared" si="141"/>
        <v>0</v>
      </c>
      <c r="QP19" s="22">
        <f t="shared" si="142"/>
        <v>8.0500000000000007</v>
      </c>
      <c r="QQ19" s="22">
        <f t="shared" si="143"/>
        <v>2.4</v>
      </c>
      <c r="QR19" s="22">
        <f t="shared" si="144"/>
        <v>0</v>
      </c>
      <c r="QS19" s="22">
        <f t="shared" si="145"/>
        <v>0</v>
      </c>
      <c r="QT19" s="22">
        <f t="shared" si="146"/>
        <v>7.8</v>
      </c>
      <c r="QU19" s="22">
        <f t="shared" si="147"/>
        <v>2.65</v>
      </c>
      <c r="QV19" s="22">
        <f t="shared" si="148"/>
        <v>0</v>
      </c>
      <c r="QW19" s="22">
        <f t="shared" si="149"/>
        <v>0</v>
      </c>
      <c r="QX19" s="27" t="s">
        <v>46</v>
      </c>
      <c r="QY19" s="40">
        <f t="shared" si="150"/>
        <v>4.5</v>
      </c>
      <c r="QZ19" s="40">
        <f t="shared" si="151"/>
        <v>19.45</v>
      </c>
      <c r="RA19" s="40" t="str">
        <f t="shared" si="152"/>
        <v/>
      </c>
      <c r="RB19" s="40">
        <f t="shared" si="153"/>
        <v>4.5</v>
      </c>
      <c r="RC19" s="40">
        <f t="shared" si="154"/>
        <v>19.45</v>
      </c>
      <c r="RD19" s="40">
        <f t="shared" si="155"/>
        <v>5.05</v>
      </c>
      <c r="RE19" s="40">
        <f t="shared" si="156"/>
        <v>20.9</v>
      </c>
      <c r="RF19" s="40">
        <f t="shared" si="157"/>
        <v>40.349999999999994</v>
      </c>
    </row>
    <row r="20" spans="1:474" x14ac:dyDescent="0.2">
      <c r="A20" s="4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>10</v>
      </c>
      <c r="B20" s="4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>5</v>
      </c>
      <c r="C20" s="5" t="s">
        <v>184</v>
      </c>
      <c r="D20" s="4" t="s">
        <v>6</v>
      </c>
      <c r="E20" s="4">
        <v>2007</v>
      </c>
      <c r="F20" s="9">
        <f t="shared" si="0"/>
        <v>89.600004470004464</v>
      </c>
      <c r="G20" s="64"/>
      <c r="H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DZ20&gt;=EG$23,EA20&gt;=EG$27,DZ20&lt;&gt;""),AND(EE20&gt;=EG$23,EF20&gt;=EG$27,EE20&lt;&gt;""),AND(FB20&gt;=FI$23,FC20&gt;=FI$27,FB20&lt;&gt;""),AND(FG20&gt;=FI$23,FH20&gt;=FI$27,FG20&lt;&gt;""),AND(GD20&gt;=GK$23,GE20&gt;=GK$27,GD20&lt;&gt;""),AND(GI20&gt;=GK$23,GJ20&gt;=GK$27,GI20&lt;&gt;""),AND(HF20&gt;=HM$23,HG20&gt;=HM$27,HF20&lt;&gt;""),AND(HK20&gt;=HM$23,HL20&gt;=HM$27,HK20&lt;&gt;""),AND(IH20&gt;=IO$23,II20&gt;=IO$27,IH20&lt;&gt;""),AND(IM20&gt;=IO$23,IN20&gt;=IO$27,IM20&lt;&gt;""),AND(JJ20&gt;=JQ$23,JK20&gt;=JQ$27,JJ20&lt;&gt;""),AND(JO20&gt;=JQ$23,JP20&gt;=JQ$27,JO20&lt;&gt;""),AND(KL20&gt;=KS$23,KM20&gt;=KS$27,KL20&lt;&gt;""),AND(KQ20&gt;=KS$23,KR20&gt;=KS$27,KQ20&lt;&gt;""),AND(LN20&gt;=LU$23,LO20&gt;=LU$27,LN20&lt;&gt;""),AND(LS20&gt;=LU$23,LT20&gt;=LU$27,LS20&lt;&gt;""),AND(MP20&gt;=MW$23,MQ20&gt;=MW$27,MP20&lt;&gt;""),AND(MU20&gt;=MW$23,MV20&gt;=MW$27,MU20&lt;&gt;""),AND(NR20&gt;=NY$23,NS20&gt;=NY$27,NR20&lt;&gt;""),AND(NW20&gt;=NY$23,NX20&gt;=NY$27,NW20&lt;&gt;""),AND(OT20&gt;=PA$23,OU20&gt;=PA$27,OT20&lt;&gt;""),AND(OY20&gt;=PA$23,OZ20&gt;=PA$27,OY20&lt;&gt;""),AND(PV20&gt;=QC$23,PW20&gt;=QC$27,PV20&lt;&gt;""),AND(QA20&gt;=QC$23,QB20&gt;=QC$27,QA20&lt;&gt;"")),"P","")</f>
        <v/>
      </c>
      <c r="I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A20&gt;=EG$27,EA20&lt;&gt;""),AND(EF20&gt;=EG$27,EF20&lt;&gt;""),AND(FC20&gt;=FI$27,FC20&lt;&gt;""),AND(FH20&gt;=FI$27,FH20&lt;&gt;""),AND(GE20&gt;=GK$27,GE20&lt;&gt;""),AND(GJ20&gt;=GK$27,GJ20&lt;&gt;""),AND(HG20&gt;=HM$27,HG20&lt;&gt;""),AND(HL20&gt;=HM$27,HL20&lt;&gt;""),AND(II20&gt;=IO$27,II20&lt;&gt;""),AND(IN20&gt;=IO$27,IN20&lt;&gt;""),AND(JK20&gt;=JQ$27,JK20&lt;&gt;""),AND(JP20&gt;=JQ$27,JP20&lt;&gt;""),AND(KM20&gt;=KS$27,KM20&lt;&gt;""),AND(KR20&gt;=KS$27,KR20&lt;&gt;""),AND(LO20&gt;=LU$27,LO20&lt;&gt;""),AND(LT20&gt;=LU$27,LT20&lt;&gt;""),AND(MQ20&gt;=MW$27,MQ20&lt;&gt;""),AND(MV20&gt;=MW$27,MV20&lt;&gt;""),AND(NS20&gt;=NY$27,NS20&lt;&gt;""),AND(NX20&gt;=NY$27,NX20&lt;&gt;""),AND(OU20&gt;=PA$27,OU20&lt;&gt;""),AND(OZ20&gt;=PA$27,OZ20&lt;&gt;""),AND(PW20&gt;=QC$27,PW20&lt;&gt;""),AND(QB20&gt;=QC$27,QB20&lt;&gt;"")),"P","")</f>
        <v>P</v>
      </c>
      <c r="J20" s="36" t="str">
        <f>IF(AND(I20="P",H20=""),"No DD",IF(OR(AND(AS20&gt;=AW$26,AT20&gt;=AW$30,AS20&lt;&gt;"",AO20=""),AND(BV20&gt;=BZ$26,BW20&gt;=BZ$30,BV20&lt;&gt;"",BR20=""),AND(CY20&gt;=DC$26,CZ20&gt;=DC$30,CY20&lt;&gt;"",CU20=""),AND(EC20&gt;=EG$26,ED20&gt;=EG$30,EC20&lt;&gt;""),AND(FE20&gt;=FI$26,FF20&gt;=FI$30,FE20&lt;&gt;""),AND(GG20&gt;=GK$26,GH20&gt;=GK$30,GG20&lt;&gt;""),AND(HI20&gt;=HM$26,HJ20&gt;=HM$30,HI20&lt;&gt;""),AND(IK20&gt;=IO$26,IL20&gt;=IO$30,IK20&lt;&gt;""),AND(JM20&gt;=JQ$26,JN20&gt;=JQ$30,JM20&lt;&gt;""),AND(KO20&gt;=KS$26,KP20&gt;=KS$30,KO20&lt;&gt;""),AND(LQ20&gt;=LU$26,LR20&gt;=LU$30,LQ20&lt;&gt;""),AND(MS20&gt;=MW$26,MT20&gt;=MW$30,MS20&lt;&gt;""),AND(NU20&gt;=NY$26,NV20&gt;=NY$30,NU20&lt;&gt;""),AND(OW20&gt;=PA$26,OX20&gt;=PA$30,OW20&lt;&gt;""),AND(PY20&gt;=QC$26,PZ20&gt;=QC$30,PY20&lt;&gt;"")),"Merit",IF(OR(AND(AS20&gt;=AW$25,AT20&gt;=AW$29,AS20&lt;&gt;"",AO20=""),AND(BV20&gt;=BZ$25,BW20&gt;=BZ$29,BV20&lt;&gt;"",BR20=""),AND(CY20&gt;=DC$25,CZ20&gt;=DC$29,CY20&lt;&gt;"",CU20=""),AND(EC20&gt;=EG$25,ED20&gt;=EG$29,EC20&lt;&gt;""),AND(FE20&gt;=FI$25,FF20&gt;=FI$29,FE20&lt;&gt;""),AND(GG20&gt;=GK$25,GH20&gt;=GK$29,GG20&lt;&gt;""),AND(HI20&gt;=HM$25,HJ20&gt;=HM$29,HI20&lt;&gt;""),AND(IK20&gt;=IO$25,IL20&gt;=IO$29,IK20&lt;&gt;""),AND(JM20&gt;=JQ$25,JN20&gt;=JQ$29,JM20&lt;&gt;""),AND(KO20&gt;=KS$25,KP20&gt;=KS$29,KO20&lt;&gt;""),AND(LQ20&gt;=LU$25,LR20&gt;=LU$29,LQ20&lt;&gt;""),AND(MS20&gt;=MW$25,MT20&gt;=MW$29,MS20&lt;&gt;""),AND(NU20&gt;=NY$25,NV20&gt;=NY$29,NU20&lt;&gt;""),AND(OW20&gt;=PA$25,OX20&gt;=PA$29,OW20&lt;&gt;""),AND(PY20&gt;=QC$25,PZ20&gt;=QC$29,PY20&lt;&gt;"")),"Excellence",IF(K20="P","Worlds Team",IF(H20="P","National Team","")))))</f>
        <v>No DD</v>
      </c>
      <c r="K20" s="3" t="str">
        <f>IF(OR(AND(AS20&gt;=AW$24,AT20&gt;=AW$28,AS20&lt;&gt;"",AO20=""),AND(BV20&gt;=BZ$24,BW20&gt;=BZ$28,BV20&lt;&gt;"",BR20=""),AND(CY20&gt;=DC$24,CZ20&gt;=DC$28,CY20&lt;&gt;"",CU20=""),AND(EC20&gt;=EG$24,ED20&gt;=EG$28,EC20&lt;&gt;""),AND(FE20&gt;=FI$24,FF20&gt;=FI$28,FE20&lt;&gt;""),AND(GG20&gt;=GK$24,GH20&gt;=GK$28,GG20&lt;&gt;""),AND(HI20&gt;=HM$24,HJ20&gt;=HM$28,HI20&lt;&gt;""),AND(IK20&gt;=IO$24,IL20&gt;=IO$28,IK20&lt;&gt;""),AND(JM20&gt;=JQ$24,JN20&gt;=JQ$28,JM20&lt;&gt;""),AND(KO20&gt;=KS$24,KP20&gt;=KS$28,KO20&lt;&gt;""),AND(LQ20&gt;=LU$24,LR20&gt;=LU$28,LQ20&lt;&gt;""),AND(MS20&gt;=MW$24,MT20&gt;=MW$28,MS20&lt;&gt;""),AND(NU20&gt;=NY$24,NV20&gt;=NY$28,NU20&lt;&gt;""),AND(OW20&gt;=PA$24,OX20&gt;=PA$28,OW20&lt;&gt;""),AND(PY20&gt;=QC$24,PZ20&gt;=QC$28,PY20&lt;&gt;"")),"P","")</f>
        <v/>
      </c>
      <c r="L20" s="8">
        <f>IF(COUNT(AQ20,BT20,CW20)&gt;0,LARGE((AQ20,BT20,CW20),1),0)</f>
        <v>44.7</v>
      </c>
      <c r="M20" s="8" t="str">
        <f t="shared" si="1"/>
        <v>2025 Elite Canada</v>
      </c>
      <c r="N20" s="8">
        <f>IF(COUNT(AQ20,BT20,CW20)&gt;1,LARGE((AQ20,BT20,CW20),2),0)</f>
        <v>0</v>
      </c>
      <c r="O20" s="8" t="str">
        <f t="shared" si="2"/>
        <v/>
      </c>
      <c r="P20" s="8">
        <f t="shared" si="3"/>
        <v>44.899999999999991</v>
      </c>
      <c r="Q20" s="8" t="str">
        <f t="shared" si="4"/>
        <v>2025 Elite Canada</v>
      </c>
      <c r="R20" s="8" t="str">
        <f t="shared" si="5"/>
        <v/>
      </c>
      <c r="S20" s="11" t="str">
        <f t="shared" si="6"/>
        <v/>
      </c>
      <c r="T20" s="8" t="str">
        <f t="shared" si="7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8"/>
        <v/>
      </c>
      <c r="AQ20" s="40" t="str">
        <f t="shared" si="9"/>
        <v/>
      </c>
      <c r="AR20" s="40" t="str">
        <f t="shared" si="10"/>
        <v/>
      </c>
      <c r="AS20" s="40" t="str">
        <f t="shared" si="11"/>
        <v/>
      </c>
      <c r="AT20" s="40" t="str">
        <f t="shared" si="12"/>
        <v/>
      </c>
      <c r="AU20" s="40" t="str">
        <f t="shared" si="13"/>
        <v/>
      </c>
      <c r="AV20" s="40" t="str">
        <f t="shared" si="14"/>
        <v/>
      </c>
      <c r="AW20" s="40" t="str">
        <f t="shared" si="15"/>
        <v/>
      </c>
      <c r="AX20" s="18">
        <v>18</v>
      </c>
      <c r="AY20" s="18">
        <v>4.3</v>
      </c>
      <c r="AZ20" s="18">
        <v>0</v>
      </c>
      <c r="BA20" s="18">
        <v>0</v>
      </c>
      <c r="BB20" s="18">
        <v>18.100000000000001</v>
      </c>
      <c r="BC20" s="18">
        <v>4.3</v>
      </c>
      <c r="BD20" s="18">
        <v>0</v>
      </c>
      <c r="BE20" s="18">
        <v>0</v>
      </c>
      <c r="BF20" s="18"/>
      <c r="BG20" s="18"/>
      <c r="BH20" s="18"/>
      <c r="BI20" s="18"/>
      <c r="BJ20" s="18">
        <v>17.899999999999999</v>
      </c>
      <c r="BK20" s="18">
        <v>4.0999999999999996</v>
      </c>
      <c r="BL20" s="18">
        <v>0.2</v>
      </c>
      <c r="BM20" s="18">
        <v>0</v>
      </c>
      <c r="BN20" s="18">
        <v>18.8</v>
      </c>
      <c r="BO20" s="18">
        <v>4.3</v>
      </c>
      <c r="BP20" s="18">
        <v>0</v>
      </c>
      <c r="BQ20" s="18">
        <v>0</v>
      </c>
      <c r="BR20" s="28"/>
      <c r="BS20" s="11">
        <f t="shared" si="16"/>
        <v>8.6</v>
      </c>
      <c r="BT20" s="11">
        <f t="shared" si="17"/>
        <v>44.7</v>
      </c>
      <c r="BU20" s="11" t="str">
        <f t="shared" si="18"/>
        <v/>
      </c>
      <c r="BV20" s="11">
        <f t="shared" si="19"/>
        <v>8.6</v>
      </c>
      <c r="BW20" s="11">
        <f t="shared" si="20"/>
        <v>44.7</v>
      </c>
      <c r="BX20" s="11">
        <f t="shared" si="21"/>
        <v>8.3999999999999986</v>
      </c>
      <c r="BY20" s="11">
        <f t="shared" si="22"/>
        <v>44.899999999999991</v>
      </c>
      <c r="BZ20" s="11">
        <f t="shared" si="23"/>
        <v>89.6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4"/>
        <v/>
      </c>
      <c r="CW20" s="40" t="str">
        <f t="shared" si="25"/>
        <v/>
      </c>
      <c r="CX20" s="40" t="str">
        <f t="shared" si="26"/>
        <v/>
      </c>
      <c r="CY20" s="40" t="str">
        <f t="shared" si="27"/>
        <v/>
      </c>
      <c r="CZ20" s="40" t="str">
        <f t="shared" si="28"/>
        <v/>
      </c>
      <c r="DA20" s="40" t="str">
        <f t="shared" si="29"/>
        <v/>
      </c>
      <c r="DB20" s="40" t="str">
        <f t="shared" si="30"/>
        <v/>
      </c>
      <c r="DC20" s="40" t="str">
        <f t="shared" si="31"/>
        <v/>
      </c>
      <c r="DD20" s="50" t="str">
        <f t="shared" si="32"/>
        <v/>
      </c>
      <c r="DE20" s="50" t="str">
        <f t="shared" si="33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4"/>
        <v/>
      </c>
      <c r="EA20" s="40" t="str">
        <f t="shared" si="35"/>
        <v/>
      </c>
      <c r="EB20" s="40" t="str">
        <f t="shared" si="36"/>
        <v/>
      </c>
      <c r="EC20" s="40" t="str">
        <f t="shared" si="37"/>
        <v/>
      </c>
      <c r="ED20" s="40" t="str">
        <f t="shared" si="38"/>
        <v/>
      </c>
      <c r="EE20" s="40" t="str">
        <f t="shared" si="39"/>
        <v/>
      </c>
      <c r="EF20" s="40" t="str">
        <f t="shared" si="40"/>
        <v/>
      </c>
      <c r="EG20" s="40" t="str">
        <f t="shared" si="41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2"/>
        <v/>
      </c>
      <c r="FC20" s="11" t="str">
        <f t="shared" si="43"/>
        <v/>
      </c>
      <c r="FD20" s="11" t="str">
        <f t="shared" si="44"/>
        <v/>
      </c>
      <c r="FE20" s="11" t="str">
        <f t="shared" si="45"/>
        <v/>
      </c>
      <c r="FF20" s="11" t="str">
        <f t="shared" si="46"/>
        <v/>
      </c>
      <c r="FG20" s="11" t="str">
        <f t="shared" si="47"/>
        <v/>
      </c>
      <c r="FH20" s="11" t="str">
        <f t="shared" si="48"/>
        <v/>
      </c>
      <c r="FI20" s="11" t="str">
        <f t="shared" si="49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0"/>
        <v/>
      </c>
      <c r="GE20" s="40" t="str">
        <f t="shared" si="51"/>
        <v/>
      </c>
      <c r="GF20" s="40" t="str">
        <f t="shared" si="52"/>
        <v/>
      </c>
      <c r="GG20" s="40" t="str">
        <f t="shared" si="53"/>
        <v/>
      </c>
      <c r="GH20" s="40" t="str">
        <f t="shared" si="54"/>
        <v/>
      </c>
      <c r="GI20" s="40" t="str">
        <f t="shared" si="55"/>
        <v/>
      </c>
      <c r="GJ20" s="40" t="str">
        <f t="shared" si="56"/>
        <v/>
      </c>
      <c r="GK20" s="40" t="str">
        <f t="shared" si="57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58"/>
        <v/>
      </c>
      <c r="HG20" s="11" t="str">
        <f t="shared" si="59"/>
        <v/>
      </c>
      <c r="HH20" s="11" t="str">
        <f t="shared" si="60"/>
        <v/>
      </c>
      <c r="HI20" s="11" t="str">
        <f t="shared" si="61"/>
        <v/>
      </c>
      <c r="HJ20" s="11" t="str">
        <f t="shared" si="62"/>
        <v/>
      </c>
      <c r="HK20" s="11" t="str">
        <f t="shared" si="63"/>
        <v/>
      </c>
      <c r="HL20" s="11" t="str">
        <f t="shared" si="64"/>
        <v/>
      </c>
      <c r="HM20" s="11" t="str">
        <f t="shared" si="65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66"/>
        <v/>
      </c>
      <c r="II20" s="40" t="str">
        <f t="shared" si="67"/>
        <v/>
      </c>
      <c r="IJ20" s="40" t="str">
        <f t="shared" si="68"/>
        <v/>
      </c>
      <c r="IK20" s="40" t="str">
        <f t="shared" si="69"/>
        <v/>
      </c>
      <c r="IL20" s="40" t="str">
        <f t="shared" si="70"/>
        <v/>
      </c>
      <c r="IM20" s="40" t="str">
        <f t="shared" si="71"/>
        <v/>
      </c>
      <c r="IN20" s="40" t="str">
        <f t="shared" si="72"/>
        <v/>
      </c>
      <c r="IO20" s="40" t="str">
        <f t="shared" si="73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4"/>
        <v/>
      </c>
      <c r="JK20" s="11" t="str">
        <f t="shared" si="75"/>
        <v/>
      </c>
      <c r="JL20" s="11" t="str">
        <f t="shared" si="76"/>
        <v/>
      </c>
      <c r="JM20" s="11" t="str">
        <f t="shared" si="77"/>
        <v/>
      </c>
      <c r="JN20" s="11" t="str">
        <f t="shared" si="78"/>
        <v/>
      </c>
      <c r="JO20" s="11" t="str">
        <f t="shared" si="79"/>
        <v/>
      </c>
      <c r="JP20" s="11" t="str">
        <f t="shared" si="80"/>
        <v/>
      </c>
      <c r="JQ20" s="11" t="str">
        <f t="shared" si="81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2"/>
        <v/>
      </c>
      <c r="KM20" s="40" t="str">
        <f t="shared" si="83"/>
        <v/>
      </c>
      <c r="KN20" s="40" t="str">
        <f t="shared" si="84"/>
        <v/>
      </c>
      <c r="KO20" s="40" t="str">
        <f t="shared" si="85"/>
        <v/>
      </c>
      <c r="KP20" s="40" t="str">
        <f t="shared" si="86"/>
        <v/>
      </c>
      <c r="KQ20" s="40" t="str">
        <f t="shared" si="87"/>
        <v/>
      </c>
      <c r="KR20" s="40" t="str">
        <f t="shared" si="88"/>
        <v/>
      </c>
      <c r="KS20" s="40" t="str">
        <f t="shared" si="89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0"/>
        <v/>
      </c>
      <c r="LO20" s="11" t="str">
        <f t="shared" si="91"/>
        <v/>
      </c>
      <c r="LP20" s="11" t="str">
        <f t="shared" si="92"/>
        <v/>
      </c>
      <c r="LQ20" s="11" t="str">
        <f t="shared" si="93"/>
        <v/>
      </c>
      <c r="LR20" s="11" t="str">
        <f t="shared" si="94"/>
        <v/>
      </c>
      <c r="LS20" s="11" t="str">
        <f t="shared" si="95"/>
        <v/>
      </c>
      <c r="LT20" s="11" t="str">
        <f t="shared" si="96"/>
        <v/>
      </c>
      <c r="LU20" s="11" t="str">
        <f t="shared" si="97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98"/>
        <v/>
      </c>
      <c r="MQ20" s="40" t="str">
        <f t="shared" si="99"/>
        <v/>
      </c>
      <c r="MR20" s="40" t="str">
        <f t="shared" si="100"/>
        <v/>
      </c>
      <c r="MS20" s="40" t="str">
        <f t="shared" si="101"/>
        <v/>
      </c>
      <c r="MT20" s="40" t="str">
        <f t="shared" si="102"/>
        <v/>
      </c>
      <c r="MU20" s="40" t="str">
        <f t="shared" si="103"/>
        <v/>
      </c>
      <c r="MV20" s="40" t="str">
        <f t="shared" si="104"/>
        <v/>
      </c>
      <c r="MW20" s="40" t="str">
        <f t="shared" si="105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06"/>
        <v/>
      </c>
      <c r="NS20" s="11" t="str">
        <f t="shared" si="107"/>
        <v/>
      </c>
      <c r="NT20" s="11" t="str">
        <f t="shared" si="108"/>
        <v/>
      </c>
      <c r="NU20" s="11" t="str">
        <f t="shared" si="109"/>
        <v/>
      </c>
      <c r="NV20" s="11" t="str">
        <f t="shared" si="110"/>
        <v/>
      </c>
      <c r="NW20" s="11" t="str">
        <f t="shared" si="111"/>
        <v/>
      </c>
      <c r="NX20" s="11" t="str">
        <f t="shared" si="112"/>
        <v/>
      </c>
      <c r="NY20" s="11" t="str">
        <f t="shared" si="113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4"/>
        <v/>
      </c>
      <c r="OU20" s="40" t="str">
        <f t="shared" si="115"/>
        <v/>
      </c>
      <c r="OV20" s="40" t="str">
        <f t="shared" si="116"/>
        <v/>
      </c>
      <c r="OW20" s="40" t="str">
        <f t="shared" si="117"/>
        <v/>
      </c>
      <c r="OX20" s="40" t="str">
        <f t="shared" si="118"/>
        <v/>
      </c>
      <c r="OY20" s="40" t="str">
        <f t="shared" si="119"/>
        <v/>
      </c>
      <c r="OZ20" s="40" t="str">
        <f t="shared" si="120"/>
        <v/>
      </c>
      <c r="PA20" s="40" t="str">
        <f t="shared" si="121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2"/>
        <v/>
      </c>
      <c r="PW20" s="11" t="str">
        <f t="shared" si="123"/>
        <v/>
      </c>
      <c r="PX20" s="11" t="str">
        <f t="shared" si="124"/>
        <v/>
      </c>
      <c r="PY20" s="11" t="str">
        <f t="shared" si="125"/>
        <v/>
      </c>
      <c r="PZ20" s="11" t="str">
        <f t="shared" si="126"/>
        <v/>
      </c>
      <c r="QA20" s="11" t="str">
        <f t="shared" si="127"/>
        <v/>
      </c>
      <c r="QB20" s="11" t="str">
        <f t="shared" si="128"/>
        <v/>
      </c>
      <c r="QC20" s="11" t="str">
        <f t="shared" si="129"/>
        <v/>
      </c>
      <c r="QD20" s="22">
        <f t="shared" si="130"/>
        <v>9</v>
      </c>
      <c r="QE20" s="22">
        <f t="shared" si="131"/>
        <v>2.15</v>
      </c>
      <c r="QF20" s="22">
        <f t="shared" si="132"/>
        <v>0</v>
      </c>
      <c r="QG20" s="22">
        <f t="shared" si="133"/>
        <v>0</v>
      </c>
      <c r="QH20" s="22">
        <f t="shared" si="134"/>
        <v>9.0500000000000007</v>
      </c>
      <c r="QI20" s="22">
        <f t="shared" si="135"/>
        <v>2.15</v>
      </c>
      <c r="QJ20" s="22">
        <f t="shared" si="136"/>
        <v>0</v>
      </c>
      <c r="QK20" s="22">
        <f t="shared" si="137"/>
        <v>0</v>
      </c>
      <c r="QL20" s="22">
        <f t="shared" si="138"/>
        <v>0</v>
      </c>
      <c r="QM20" s="22">
        <f t="shared" si="139"/>
        <v>0</v>
      </c>
      <c r="QN20" s="22">
        <f t="shared" si="140"/>
        <v>0</v>
      </c>
      <c r="QO20" s="22">
        <f t="shared" si="141"/>
        <v>0</v>
      </c>
      <c r="QP20" s="22">
        <f t="shared" si="142"/>
        <v>8.9499999999999993</v>
      </c>
      <c r="QQ20" s="22">
        <f t="shared" si="143"/>
        <v>2.0499999999999998</v>
      </c>
      <c r="QR20" s="22">
        <f t="shared" si="144"/>
        <v>0.1</v>
      </c>
      <c r="QS20" s="22">
        <f t="shared" si="145"/>
        <v>0</v>
      </c>
      <c r="QT20" s="22">
        <f t="shared" si="146"/>
        <v>9.4</v>
      </c>
      <c r="QU20" s="22">
        <f t="shared" si="147"/>
        <v>2.15</v>
      </c>
      <c r="QV20" s="22">
        <f t="shared" si="148"/>
        <v>0</v>
      </c>
      <c r="QW20" s="22">
        <f t="shared" si="149"/>
        <v>0</v>
      </c>
      <c r="QX20" s="27" t="s">
        <v>46</v>
      </c>
      <c r="QY20" s="40">
        <f t="shared" si="150"/>
        <v>4.3</v>
      </c>
      <c r="QZ20" s="40">
        <f t="shared" si="151"/>
        <v>22.35</v>
      </c>
      <c r="RA20" s="40" t="str">
        <f t="shared" si="152"/>
        <v/>
      </c>
      <c r="RB20" s="40">
        <f t="shared" si="153"/>
        <v>4.3</v>
      </c>
      <c r="RC20" s="40">
        <f t="shared" si="154"/>
        <v>22.35</v>
      </c>
      <c r="RD20" s="40">
        <f t="shared" si="155"/>
        <v>4.1999999999999993</v>
      </c>
      <c r="RE20" s="40">
        <f t="shared" si="156"/>
        <v>22.449999999999996</v>
      </c>
      <c r="RF20" s="40">
        <f t="shared" si="157"/>
        <v>44.8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9.5</v>
      </c>
      <c r="BS23" s="4"/>
      <c r="BZ23" s="42">
        <v>10.4</v>
      </c>
      <c r="CV23" s="4"/>
      <c r="DC23" s="42">
        <v>10.4</v>
      </c>
      <c r="DZ23" s="4"/>
      <c r="EG23" s="42">
        <v>9.5</v>
      </c>
      <c r="FB23" s="4"/>
      <c r="FI23" s="42">
        <v>9.5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43.9</v>
      </c>
      <c r="BS27" s="4"/>
      <c r="BZ27" s="45">
        <v>44.8</v>
      </c>
      <c r="CV27" s="4"/>
      <c r="DC27" s="45">
        <v>44.8</v>
      </c>
      <c r="DZ27" s="4"/>
      <c r="EG27" s="45">
        <v>43.9</v>
      </c>
      <c r="FB27" s="4"/>
      <c r="FI27" s="45">
        <v>43.9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1">
      <sortCondition descending="1" ref="H1:H22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111</v>
      </c>
      <c r="D4" s="4" t="s">
        <v>4</v>
      </c>
      <c r="E4" s="4">
        <v>2006</v>
      </c>
      <c r="F4" s="9">
        <f t="shared" ref="F4:F18" si="0">SUM(L4:R4)+SUM(L4:O4)*0.0000001+SUM(L4)*0.0000000000001</f>
        <v>137.90000911000462</v>
      </c>
      <c r="G4" s="64" t="s">
        <v>46</v>
      </c>
      <c r="H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 t="shared" ref="M4:M18" si="1">IF(L4=0,"",IF(L4=CW4,$CA$1,IF(L4=BT4,$AX$1,IF(L4=AQ4,$U$1,""))))</f>
        <v>2025 Nationals</v>
      </c>
      <c r="N4" s="8">
        <f>IF(COUNT(AQ4,BT4,CW4)&gt;1,LARGE((AQ4,BT4,CW4),2),0)</f>
        <v>45.000000000000007</v>
      </c>
      <c r="O4" s="8" t="str">
        <f t="shared" ref="O4:O18" si="2">IF(N4=0,"",IF(AND(N4=L4,N4=AQ4,N4=BT4),$U$1,IF(AND(N4=L4,N4=AQ4,N4=CW4),$U$1,IF(AND(N4=L4,N4=BT4,N4=CW4),$AX$1,IF(N4=CW4,$CA$1,IF(N4=BT4,$AX$1,IF(N4=AQ4,$U$1,"")))))))</f>
        <v>2025 Elite Canada</v>
      </c>
      <c r="P4" s="8">
        <f t="shared" ref="P4:P18" si="3">IF(MAX(AV4,BY4,DB4)&gt;0,MAX(AV4,BY4,DB4),0)</f>
        <v>46.800000000000004</v>
      </c>
      <c r="Q4" s="8" t="str">
        <f t="shared" ref="Q4:Q18" si="4">IF(P4=0,"",IF(P4=DB4,$CA$1,IF(P4=BY4,$AX$1,IF(P4=AV4,$U$1,""))))</f>
        <v>2025 Elite Canada</v>
      </c>
      <c r="R4" s="8" t="str">
        <f t="shared" ref="R4:R18" si="5">IF(MAX(DD4:DE4)&gt;0,MAX(DD4:DE4),"")</f>
        <v/>
      </c>
      <c r="S4" s="11" t="str">
        <f t="shared" ref="S4:S18" si="6">IF(R4="","",IF(R4=DD4,"("&amp;DD$2&amp;")",IF(R4=DE4,"("&amp;DE$2&amp;")")))</f>
        <v/>
      </c>
      <c r="T4" s="8" t="str">
        <f t="shared" ref="T4:T18" si="7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16.2</v>
      </c>
      <c r="V4" s="19">
        <v>3.6</v>
      </c>
      <c r="W4" s="19">
        <v>0.2</v>
      </c>
      <c r="X4" s="19">
        <v>0</v>
      </c>
      <c r="Y4" s="19">
        <v>16.3</v>
      </c>
      <c r="Z4" s="19">
        <v>3.9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18.100000000000001</v>
      </c>
      <c r="AH4" s="19">
        <v>3.6</v>
      </c>
      <c r="AI4" s="19">
        <v>0</v>
      </c>
      <c r="AJ4" s="19">
        <v>0</v>
      </c>
      <c r="AK4" s="19">
        <v>17.100000000000001</v>
      </c>
      <c r="AL4" s="19">
        <v>4.0999999999999996</v>
      </c>
      <c r="AM4" s="19">
        <v>0</v>
      </c>
      <c r="AN4" s="19">
        <v>0.3</v>
      </c>
      <c r="AO4" s="27"/>
      <c r="AP4" s="40">
        <f t="shared" ref="AP4:AP18" si="8">IF(SUM(V4,Z4)&gt;0,SUM(V4,Z4),"")</f>
        <v>7.5</v>
      </c>
      <c r="AQ4" s="40">
        <f t="shared" ref="AQ4:AQ18" si="9">IF(SUM(U4:V4,X4:Z4,AB4)-W4-AA4&gt;0,SUM(U4:V4,X4:Z4,AB4)-W4-AA4,"")</f>
        <v>40.099999999999994</v>
      </c>
      <c r="AR4" s="40">
        <f t="shared" ref="AR4:AR18" si="10">IF(SUM(AC4:AD4,AF4)-AE4&gt;0,SUM(AC4:AD4,AF4)-AE4,"")</f>
        <v>22.200000000000003</v>
      </c>
      <c r="AS4" s="40">
        <f t="shared" ref="AS4:AS18" si="11">IF(SUM(V4,Z4,AD4)&gt;0,SUM(V4,Z4,AD4),"")</f>
        <v>12.3</v>
      </c>
      <c r="AT4" s="40">
        <f t="shared" ref="AT4:AT18" si="12">IF(SUM(AQ4,AR4)&gt;0,SUM(AQ4,AR4),"")</f>
        <v>62.3</v>
      </c>
      <c r="AU4" s="40">
        <f t="shared" ref="AU4:AU18" si="13">IF(SUM(AH4,AL4)&gt;0,SUM(AH4,AL4),"")</f>
        <v>7.6999999999999993</v>
      </c>
      <c r="AV4" s="40">
        <f t="shared" ref="AV4:AV18" si="14">IF(SUM(AG4:AH4,AJ4:AL4,AN4)-SUM(AI4,AM4)&gt;0,SUM(AG4:AH4,AJ4:AL4,AN4)-SUM(AI4,AM4),"")</f>
        <v>43.2</v>
      </c>
      <c r="AW4" s="40">
        <f t="shared" ref="AW4:AW18" si="15">IF(SUM(AQ4,AR4,AV4)&gt;0,SUM(AQ4,AR4,AV4),"")</f>
        <v>105.5</v>
      </c>
      <c r="AX4" s="18">
        <v>17.7</v>
      </c>
      <c r="AY4" s="18">
        <v>4.3</v>
      </c>
      <c r="AZ4" s="18">
        <v>0</v>
      </c>
      <c r="BA4" s="18">
        <v>0.7</v>
      </c>
      <c r="BB4" s="18">
        <v>15.5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18.100000000000001</v>
      </c>
      <c r="BK4" s="18">
        <v>4.3</v>
      </c>
      <c r="BL4" s="18">
        <v>0</v>
      </c>
      <c r="BM4" s="18">
        <v>0.7</v>
      </c>
      <c r="BN4" s="18">
        <v>16.899999999999999</v>
      </c>
      <c r="BO4" s="18">
        <v>6.1</v>
      </c>
      <c r="BP4" s="18">
        <v>0</v>
      </c>
      <c r="BQ4" s="18">
        <v>0.7</v>
      </c>
      <c r="BR4" s="28"/>
      <c r="BS4" s="11">
        <f t="shared" ref="BS4:BS18" si="16">IF(SUM(AY4,BC4)&gt;0,SUM(AY4,BC4),"")</f>
        <v>10.399999999999999</v>
      </c>
      <c r="BT4" s="11">
        <f t="shared" ref="BT4:BT18" si="17">IF(SUM(AX4:AY4,BA4:BC4,BE4)-AZ4-BD4&gt;0,SUM(AX4:AY4,BA4:BC4,BE4)-AZ4-BD4,"")</f>
        <v>45.000000000000007</v>
      </c>
      <c r="BU4" s="11" t="str">
        <f t="shared" ref="BU4:BU18" si="18">IF(SUM(BF4:BG4,BI4)-BH4&gt;0,SUM(BF4:BG4,BI4)-BH4,"")</f>
        <v/>
      </c>
      <c r="BV4" s="11">
        <f t="shared" ref="BV4:BV18" si="19">IF(SUM(AY4,BC4,BG4)&gt;0,SUM(AY4,BC4,BG4),"")</f>
        <v>10.399999999999999</v>
      </c>
      <c r="BW4" s="11">
        <f t="shared" ref="BW4:BW18" si="20">IF(SUM(BT4,BU4)&gt;0,SUM(BT4,BU4),"")</f>
        <v>45.000000000000007</v>
      </c>
      <c r="BX4" s="11">
        <f t="shared" ref="BX4:BX18" si="21">IF(SUM(BK4,BO4)&gt;0,SUM(BK4,BO4),"")</f>
        <v>10.399999999999999</v>
      </c>
      <c r="BY4" s="11">
        <f t="shared" ref="BY4:BY18" si="22">IF(SUM(BJ4:BK4,BM4:BO4,BQ4)-SUM(BL4,BP4)&gt;0,SUM(BJ4:BK4,BM4:BO4,BQ4)-SUM(BL4,BP4),"")</f>
        <v>46.800000000000004</v>
      </c>
      <c r="BZ4" s="11">
        <f t="shared" ref="BZ4:BZ18" si="23">IF(SUM(BT4,BU4,BY4)&gt;0,SUM(BT4,BU4,BY4),"")</f>
        <v>91.800000000000011</v>
      </c>
      <c r="CA4" s="19">
        <v>17.5</v>
      </c>
      <c r="CB4" s="19">
        <v>4.3</v>
      </c>
      <c r="CC4" s="19">
        <v>0</v>
      </c>
      <c r="CD4" s="19">
        <v>0.7</v>
      </c>
      <c r="CE4" s="19">
        <v>16.8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17.7</v>
      </c>
      <c r="CN4" s="19">
        <v>4.3</v>
      </c>
      <c r="CO4" s="19">
        <v>0</v>
      </c>
      <c r="CP4" s="19">
        <v>0.7</v>
      </c>
      <c r="CQ4" s="19">
        <v>16.8</v>
      </c>
      <c r="CR4" s="19">
        <v>6.1</v>
      </c>
      <c r="CS4" s="19">
        <v>0</v>
      </c>
      <c r="CT4" s="19">
        <v>0.7</v>
      </c>
      <c r="CU4" s="27"/>
      <c r="CV4" s="40">
        <f t="shared" ref="CV4:CV18" si="24">IF(SUM(CB4,CF4)&gt;0,SUM(CB4,CF4),"")</f>
        <v>10.399999999999999</v>
      </c>
      <c r="CW4" s="40">
        <f t="shared" ref="CW4:CW18" si="25">IF(SUM(CA4:CB4,CD4:CF4,CH4)-CC4-CG4&gt;0,SUM(CA4:CB4,CD4:CF4,CH4)-CC4-CG4,"")</f>
        <v>46.1</v>
      </c>
      <c r="CX4" s="40" t="str">
        <f t="shared" ref="CX4:CX18" si="26">IF(SUM(CI4:CJ4,CL4)-CK4&gt;0,SUM(CI4:CJ4,CL4)-CK4,"")</f>
        <v/>
      </c>
      <c r="CY4" s="40">
        <f t="shared" ref="CY4:CY18" si="27">IF(SUM(CB4,CF4,CJ4)&gt;0,SUM(CB4,CF4,CJ4),"")</f>
        <v>10.399999999999999</v>
      </c>
      <c r="CZ4" s="40">
        <f t="shared" ref="CZ4:CZ18" si="28">IF(SUM(CW4,CX4)&gt;0,SUM(CW4,CX4),"")</f>
        <v>46.1</v>
      </c>
      <c r="DA4" s="40">
        <f t="shared" ref="DA4:DA18" si="29">IF(SUM(CN4,CR4)&gt;0,SUM(CN4,CR4),"")</f>
        <v>10.399999999999999</v>
      </c>
      <c r="DB4" s="40">
        <f t="shared" ref="DB4:DB18" si="30">IF(SUM(CM4:CN4,CP4:CR4,CT4)-SUM(CO4,CS4)&gt;0,SUM(CM4:CN4,CP4:CR4,CT4)-SUM(CO4,CS4),"")</f>
        <v>46.300000000000004</v>
      </c>
      <c r="DC4" s="40">
        <f t="shared" ref="DC4:DC18" si="31">IF(SUM(CW4,CX4,DB4)&gt;0,SUM(CW4,CX4,DB4),"")</f>
        <v>92.4</v>
      </c>
      <c r="DD4" s="50" t="str">
        <f t="shared" ref="DD4:DD18" si="32">IF(MAX(EA4,FC4,GE4,HG4,II4,JK4,KM4,LO4,MQ4,NS4,OU4,PW4)-IF(N4="",0,N4)&gt;0.001,MAX(EA4,FC4,GE4,HG4,II4,JK4,KM4,LO4,MQ4,NS4,OU4,PW4)-IF(N4="",0,N4),"")</f>
        <v/>
      </c>
      <c r="DE4" s="50" t="str">
        <f t="shared" ref="DE4:DE18" si="33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18" si="34">IF(SUM(DG4,DK4)&gt;0,SUM(DG4,DK4),"")</f>
        <v/>
      </c>
      <c r="EA4" s="40" t="str">
        <f t="shared" ref="EA4:EA18" si="35">IF(SUM(DF4:DG4,DI4:DK4,DM4)-DH4-DL4&gt;0,SUM(DF4:DG4,DI4:DK4,DM4)-DH4-DL4,"")</f>
        <v/>
      </c>
      <c r="EB4" s="40" t="str">
        <f t="shared" ref="EB4:EB18" si="36">IF(SUM(DN4:DO4,DQ4)-DP4&gt;0,SUM(DN4:DO4,DQ4)-DP4,"")</f>
        <v/>
      </c>
      <c r="EC4" s="40" t="str">
        <f t="shared" ref="EC4:EC18" si="37">IF(SUM(DG4,DK4,DO4)&gt;0,SUM(DG4,DK4,DO4),"")</f>
        <v/>
      </c>
      <c r="ED4" s="40" t="str">
        <f t="shared" ref="ED4:ED18" si="38">IF(SUM(EA4,EB4)&gt;0,SUM(EA4,EB4),"")</f>
        <v/>
      </c>
      <c r="EE4" s="40" t="str">
        <f t="shared" ref="EE4:EE18" si="39">IF(SUM(DS4,DW4)&gt;0,SUM(DS4,DW4),"")</f>
        <v/>
      </c>
      <c r="EF4" s="40" t="str">
        <f t="shared" ref="EF4:EF18" si="40">IF(SUM(DR4:DS4,DU4:DW4,DY4)-SUM(DT4,DX4)&gt;0,SUM(DR4:DS4,DU4:DW4,DY4)-SUM(DT4,DX4),"")</f>
        <v/>
      </c>
      <c r="EG4" s="40" t="str">
        <f t="shared" ref="EG4:EG18" si="41">IF(SUM(EA4,EB4,EF4)&gt;0,SUM(EA4,EB4,EF4),"")</f>
        <v/>
      </c>
      <c r="EH4" s="18">
        <v>16.600000000000001</v>
      </c>
      <c r="EI4" s="18">
        <v>3.8</v>
      </c>
      <c r="EJ4" s="18">
        <v>0</v>
      </c>
      <c r="EK4" s="18">
        <v>0</v>
      </c>
      <c r="EL4" s="18">
        <v>17</v>
      </c>
      <c r="EM4" s="18">
        <v>4.8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 t="shared" ref="FB4:FB18" si="42">IF(SUM(EI4,EM4)&gt;0,SUM(EI4,EM4),"")</f>
        <v>8.6</v>
      </c>
      <c r="FC4" s="11">
        <f t="shared" ref="FC4:FC18" si="43">IF(SUM(EH4:EI4,EK4:EM4,EO4)-EJ4-EN4&gt;0,SUM(EH4:EI4,EK4:EM4,EO4)-EJ4-EN4,"")</f>
        <v>42.2</v>
      </c>
      <c r="FD4" s="11" t="str">
        <f t="shared" ref="FD4:FD18" si="44">IF(SUM(EP4:EQ4,ES4)-ER4&gt;0,SUM(EP4:EQ4,ES4)-ER4,"")</f>
        <v/>
      </c>
      <c r="FE4" s="11">
        <f t="shared" ref="FE4:FE18" si="45">IF(SUM(EI4,EM4,EQ4)&gt;0,SUM(EI4,EM4,EQ4),"")</f>
        <v>8.6</v>
      </c>
      <c r="FF4" s="11">
        <f t="shared" ref="FF4:FF18" si="46">IF(SUM(FC4,FD4)&gt;0,SUM(FC4,FD4),"")</f>
        <v>42.2</v>
      </c>
      <c r="FG4" s="11" t="str">
        <f t="shared" ref="FG4:FG18" si="47">IF(SUM(EU4,EY4)&gt;0,SUM(EU4,EY4),"")</f>
        <v/>
      </c>
      <c r="FH4" s="11" t="str">
        <f t="shared" ref="FH4:FH18" si="48">IF(SUM(ET4:EU4,EW4:EY4,FA4)-SUM(EV4,EZ4)&gt;0,SUM(ET4:EU4,EW4:EY4,FA4)-SUM(EV4,EZ4),"")</f>
        <v/>
      </c>
      <c r="FI4" s="11">
        <f t="shared" ref="FI4:FI18" si="49">IF(SUM(FC4,FD4,FH4)&gt;0,SUM(FC4,FD4,FH4),"")</f>
        <v>42.2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18" si="50">IF(SUM(FK4,FO4)&gt;0,SUM(FK4,FO4),"")</f>
        <v/>
      </c>
      <c r="GE4" s="40" t="str">
        <f t="shared" ref="GE4:GE18" si="51">IF(SUM(FJ4:FK4,FM4:FO4,FQ4)-FL4-FP4&gt;0,SUM(FJ4:FK4,FM4:FO4,FQ4)-FL4-FP4,"")</f>
        <v/>
      </c>
      <c r="GF4" s="40" t="str">
        <f t="shared" ref="GF4:GF18" si="52">IF(SUM(FR4:FS4,FU4)-FT4&gt;0,SUM(FR4:FS4,FU4)-FT4,"")</f>
        <v/>
      </c>
      <c r="GG4" s="40" t="str">
        <f t="shared" ref="GG4:GG18" si="53">IF(SUM(FK4,FO4,FS4)&gt;0,SUM(FK4,FO4,FS4),"")</f>
        <v/>
      </c>
      <c r="GH4" s="40" t="str">
        <f t="shared" ref="GH4:GH18" si="54">IF(SUM(GE4,GF4)&gt;0,SUM(GE4,GF4),"")</f>
        <v/>
      </c>
      <c r="GI4" s="40" t="str">
        <f t="shared" ref="GI4:GI18" si="55">IF(SUM(FW4,GA4)&gt;0,SUM(FW4,GA4),"")</f>
        <v/>
      </c>
      <c r="GJ4" s="40" t="str">
        <f t="shared" ref="GJ4:GJ18" si="56">IF(SUM(FV4:FW4,FY4:GA4,GC4)-SUM(FX4,GB4)&gt;0,SUM(FV4:FW4,FY4:GA4,GC4)-SUM(FX4,GB4),"")</f>
        <v/>
      </c>
      <c r="GK4" s="40" t="str">
        <f t="shared" ref="GK4:GK18" si="57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18" si="58">IF(SUM(GM4,GQ4)&gt;0,SUM(GM4,GQ4),"")</f>
        <v/>
      </c>
      <c r="HG4" s="11" t="str">
        <f t="shared" ref="HG4:HG18" si="59">IF(SUM(GL4:GM4,GO4:GQ4,GS4)-GN4-GR4&gt;0,SUM(GL4:GM4,GO4:GQ4,GS4)-GN4-GR4,"")</f>
        <v/>
      </c>
      <c r="HH4" s="11" t="str">
        <f t="shared" ref="HH4:HH18" si="60">IF(SUM(GT4:GU4,GW4)-GV4&gt;0,SUM(GT4:GU4,GW4)-GV4,"")</f>
        <v/>
      </c>
      <c r="HI4" s="11" t="str">
        <f t="shared" ref="HI4:HI18" si="61">IF(SUM(GM4,GQ4,GU4)&gt;0,SUM(GM4,GQ4,GU4),"")</f>
        <v/>
      </c>
      <c r="HJ4" s="11" t="str">
        <f t="shared" ref="HJ4:HJ18" si="62">IF(SUM(HG4,HH4)&gt;0,SUM(HG4,HH4),"")</f>
        <v/>
      </c>
      <c r="HK4" s="11" t="str">
        <f t="shared" ref="HK4:HK18" si="63">IF(SUM(GY4,HC4)&gt;0,SUM(GY4,HC4),"")</f>
        <v/>
      </c>
      <c r="HL4" s="11" t="str">
        <f t="shared" ref="HL4:HL18" si="64">IF(SUM(GX4:GY4,HA4:HC4,HE4)-SUM(GZ4,HD4)&gt;0,SUM(GX4:GY4,HA4:HC4,HE4)-SUM(GZ4,HD4),"")</f>
        <v/>
      </c>
      <c r="HM4" s="11" t="str">
        <f t="shared" ref="HM4:HM18" si="65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18" si="66">IF(SUM(HO4,HS4)&gt;0,SUM(HO4,HS4),"")</f>
        <v/>
      </c>
      <c r="II4" s="40" t="str">
        <f t="shared" ref="II4:II18" si="67">IF(SUM(HN4:HO4,HQ4:HS4,HU4)-HP4-HT4&gt;0,SUM(HN4:HO4,HQ4:HS4,HU4)-HP4-HT4,"")</f>
        <v/>
      </c>
      <c r="IJ4" s="40" t="str">
        <f t="shared" ref="IJ4:IJ18" si="68">IF(SUM(HV4:HW4,HY4)-HX4&gt;0,SUM(HV4:HW4,HY4)-HX4,"")</f>
        <v/>
      </c>
      <c r="IK4" s="40" t="str">
        <f t="shared" ref="IK4:IK18" si="69">IF(SUM(HO4,HS4,HW4)&gt;0,SUM(HO4,HS4,HW4),"")</f>
        <v/>
      </c>
      <c r="IL4" s="40" t="str">
        <f t="shared" ref="IL4:IL18" si="70">IF(SUM(II4,IJ4)&gt;0,SUM(II4,IJ4),"")</f>
        <v/>
      </c>
      <c r="IM4" s="40" t="str">
        <f t="shared" ref="IM4:IM18" si="71">IF(SUM(IA4,IE4)&gt;0,SUM(IA4,IE4),"")</f>
        <v/>
      </c>
      <c r="IN4" s="40" t="str">
        <f t="shared" ref="IN4:IN18" si="72">IF(SUM(HZ4:IA4,IC4:IE4,IG4)-SUM(IB4,IF4)&gt;0,SUM(HZ4:IA4,IC4:IE4,IG4)-SUM(IB4,IF4),"")</f>
        <v/>
      </c>
      <c r="IO4" s="40" t="str">
        <f t="shared" ref="IO4:IO18" si="73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18" si="74">IF(SUM(IQ4,IU4)&gt;0,SUM(IQ4,IU4),"")</f>
        <v/>
      </c>
      <c r="JK4" s="11" t="str">
        <f t="shared" ref="JK4:JK18" si="75">IF(SUM(IP4:IQ4,IS4:IU4,IW4)-IR4-IV4&gt;0,SUM(IP4:IQ4,IS4:IU4,IW4)-IR4-IV4,"")</f>
        <v/>
      </c>
      <c r="JL4" s="11" t="str">
        <f t="shared" ref="JL4:JL18" si="76">IF(SUM(IX4:IY4,JA4)-IZ4&gt;0,SUM(IX4:IY4,JA4)-IZ4,"")</f>
        <v/>
      </c>
      <c r="JM4" s="11" t="str">
        <f t="shared" ref="JM4:JM18" si="77">IF(SUM(IQ4,IU4,IY4)&gt;0,SUM(IQ4,IU4,IY4),"")</f>
        <v/>
      </c>
      <c r="JN4" s="11" t="str">
        <f t="shared" ref="JN4:JN18" si="78">IF(SUM(JK4,JL4)&gt;0,SUM(JK4,JL4),"")</f>
        <v/>
      </c>
      <c r="JO4" s="11" t="str">
        <f t="shared" ref="JO4:JO18" si="79">IF(SUM(JC4,JG4)&gt;0,SUM(JC4,JG4),"")</f>
        <v/>
      </c>
      <c r="JP4" s="11" t="str">
        <f t="shared" ref="JP4:JP18" si="80">IF(SUM(JB4:JC4,JE4:JG4,JI4)-SUM(JD4,JH4)&gt;0,SUM(JB4:JC4,JE4:JG4,JI4)-SUM(JD4,JH4),"")</f>
        <v/>
      </c>
      <c r="JQ4" s="11" t="str">
        <f t="shared" ref="JQ4:JQ18" si="81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18" si="82">IF(SUM(JS4,JW4)&gt;0,SUM(JS4,JW4),"")</f>
        <v/>
      </c>
      <c r="KM4" s="40" t="str">
        <f t="shared" ref="KM4:KM18" si="83">IF(SUM(JR4:JS4,JU4:JW4,JY4)-JT4-JX4&gt;0,SUM(JR4:JS4,JU4:JW4,JY4)-JT4-JX4,"")</f>
        <v/>
      </c>
      <c r="KN4" s="40" t="str">
        <f t="shared" ref="KN4:KN18" si="84">IF(SUM(JZ4:KA4,KC4)-KB4&gt;0,SUM(JZ4:KA4,KC4)-KB4,"")</f>
        <v/>
      </c>
      <c r="KO4" s="40" t="str">
        <f t="shared" ref="KO4:KO18" si="85">IF(SUM(JS4,JW4,KA4)&gt;0,SUM(JS4,JW4,KA4),"")</f>
        <v/>
      </c>
      <c r="KP4" s="40" t="str">
        <f t="shared" ref="KP4:KP18" si="86">IF(SUM(KM4,KN4)&gt;0,SUM(KM4,KN4),"")</f>
        <v/>
      </c>
      <c r="KQ4" s="40" t="str">
        <f t="shared" ref="KQ4:KQ18" si="87">IF(SUM(KE4,KI4)&gt;0,SUM(KE4,KI4),"")</f>
        <v/>
      </c>
      <c r="KR4" s="40" t="str">
        <f t="shared" ref="KR4:KR18" si="88">IF(SUM(KD4:KE4,KG4:KI4,KK4)-SUM(KF4,KJ4)&gt;0,SUM(KD4:KE4,KG4:KI4,KK4)-SUM(KF4,KJ4),"")</f>
        <v/>
      </c>
      <c r="KS4" s="40" t="str">
        <f t="shared" ref="KS4:KS18" si="89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18" si="90">IF(SUM(KU4,KY4)&gt;0,SUM(KU4,KY4),"")</f>
        <v/>
      </c>
      <c r="LO4" s="11" t="str">
        <f t="shared" ref="LO4:LO18" si="91">IF(SUM(KT4:KU4,KW4:KY4,LA4)-KV4-KZ4&gt;0,SUM(KT4:KU4,KW4:KY4,LA4)-KV4-KZ4,"")</f>
        <v/>
      </c>
      <c r="LP4" s="11" t="str">
        <f t="shared" ref="LP4:LP18" si="92">IF(SUM(LB4:LC4,LE4)-LD4&gt;0,SUM(LB4:LC4,LE4)-LD4,"")</f>
        <v/>
      </c>
      <c r="LQ4" s="11" t="str">
        <f t="shared" ref="LQ4:LQ18" si="93">IF(SUM(KU4,KY4,LC4)&gt;0,SUM(KU4,KY4,LC4),"")</f>
        <v/>
      </c>
      <c r="LR4" s="11" t="str">
        <f t="shared" ref="LR4:LR18" si="94">IF(SUM(LO4,LP4)&gt;0,SUM(LO4,LP4),"")</f>
        <v/>
      </c>
      <c r="LS4" s="11" t="str">
        <f t="shared" ref="LS4:LS18" si="95">IF(SUM(LG4,LK4)&gt;0,SUM(LG4,LK4),"")</f>
        <v/>
      </c>
      <c r="LT4" s="11" t="str">
        <f t="shared" ref="LT4:LT18" si="96">IF(SUM(LF4:LG4,LI4:LK4,LM4)-SUM(LH4,LL4)&gt;0,SUM(LF4:LG4,LI4:LK4,LM4)-SUM(LH4,LL4),"")</f>
        <v/>
      </c>
      <c r="LU4" s="11" t="str">
        <f t="shared" ref="LU4:LU18" si="97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18" si="98">IF(SUM(LW4,MA4)&gt;0,SUM(LW4,MA4),"")</f>
        <v/>
      </c>
      <c r="MQ4" s="40" t="str">
        <f t="shared" ref="MQ4:MQ18" si="99">IF(SUM(LV4:LW4,LY4:MA4,MC4)-LX4-MB4&gt;0,SUM(LV4:LW4,LY4:MA4,MC4)-LX4-MB4,"")</f>
        <v/>
      </c>
      <c r="MR4" s="40" t="str">
        <f t="shared" ref="MR4:MR18" si="100">IF(SUM(MD4:ME4,MG4)-MF4&gt;0,SUM(MD4:ME4,MG4)-MF4,"")</f>
        <v/>
      </c>
      <c r="MS4" s="40" t="str">
        <f t="shared" ref="MS4:MS18" si="101">IF(SUM(LW4,MA4,ME4)&gt;0,SUM(LW4,MA4,ME4),"")</f>
        <v/>
      </c>
      <c r="MT4" s="40" t="str">
        <f t="shared" ref="MT4:MT18" si="102">IF(SUM(MQ4,MR4)&gt;0,SUM(MQ4,MR4),"")</f>
        <v/>
      </c>
      <c r="MU4" s="40" t="str">
        <f t="shared" ref="MU4:MU18" si="103">IF(SUM(MI4,MM4)&gt;0,SUM(MI4,MM4),"")</f>
        <v/>
      </c>
      <c r="MV4" s="40" t="str">
        <f t="shared" ref="MV4:MV18" si="104">IF(SUM(MH4:MI4,MK4:MM4,MO4)-SUM(MJ4,MN4)&gt;0,SUM(MH4:MI4,MK4:MM4,MO4)-SUM(MJ4,MN4),"")</f>
        <v/>
      </c>
      <c r="MW4" s="40" t="str">
        <f t="shared" ref="MW4:MW18" si="105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18" si="106">IF(SUM(MY4,NC4)&gt;0,SUM(MY4,NC4),"")</f>
        <v/>
      </c>
      <c r="NS4" s="11" t="str">
        <f t="shared" ref="NS4:NS18" si="107">IF(SUM(MX4:MY4,NA4:NC4,NE4)-MZ4-ND4&gt;0,SUM(MX4:MY4,NA4:NC4,NE4)-MZ4-ND4,"")</f>
        <v/>
      </c>
      <c r="NT4" s="11" t="str">
        <f t="shared" ref="NT4:NT18" si="108">IF(SUM(NF4:NG4,NI4)-NH4&gt;0,SUM(NF4:NG4,NI4)-NH4,"")</f>
        <v/>
      </c>
      <c r="NU4" s="11" t="str">
        <f t="shared" ref="NU4:NU18" si="109">IF(SUM(MY4,NC4,NG4)&gt;0,SUM(MY4,NC4,NG4),"")</f>
        <v/>
      </c>
      <c r="NV4" s="11" t="str">
        <f t="shared" ref="NV4:NV18" si="110">IF(SUM(NS4,NT4)&gt;0,SUM(NS4,NT4),"")</f>
        <v/>
      </c>
      <c r="NW4" s="11" t="str">
        <f t="shared" ref="NW4:NW18" si="111">IF(SUM(NK4,NO4)&gt;0,SUM(NK4,NO4),"")</f>
        <v/>
      </c>
      <c r="NX4" s="11" t="str">
        <f t="shared" ref="NX4:NX18" si="112">IF(SUM(NJ4:NK4,NM4:NO4,NQ4)-SUM(NL4,NP4)&gt;0,SUM(NJ4:NK4,NM4:NO4,NQ4)-SUM(NL4,NP4),"")</f>
        <v/>
      </c>
      <c r="NY4" s="11" t="str">
        <f t="shared" ref="NY4:NY18" si="113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18" si="114">IF(SUM(OA4,OE4)&gt;0,SUM(OA4,OE4),"")</f>
        <v/>
      </c>
      <c r="OU4" s="40" t="str">
        <f t="shared" ref="OU4:OU18" si="115">IF(SUM(NZ4:OA4,OC4:OE4,OG4)-OB4-OF4&gt;0,SUM(NZ4:OA4,OC4:OE4,OG4)-OB4-OF4,"")</f>
        <v/>
      </c>
      <c r="OV4" s="40" t="str">
        <f t="shared" ref="OV4:OV18" si="116">IF(SUM(OH4:OI4,OK4)-OJ4&gt;0,SUM(OH4:OI4,OK4)-OJ4,"")</f>
        <v/>
      </c>
      <c r="OW4" s="40" t="str">
        <f t="shared" ref="OW4:OW18" si="117">IF(SUM(OA4,OE4,OI4)&gt;0,SUM(OA4,OE4,OI4),"")</f>
        <v/>
      </c>
      <c r="OX4" s="40" t="str">
        <f t="shared" ref="OX4:OX18" si="118">IF(SUM(OU4,OV4)&gt;0,SUM(OU4,OV4),"")</f>
        <v/>
      </c>
      <c r="OY4" s="40" t="str">
        <f t="shared" ref="OY4:OY18" si="119">IF(SUM(OM4,OQ4)&gt;0,SUM(OM4,OQ4),"")</f>
        <v/>
      </c>
      <c r="OZ4" s="40" t="str">
        <f t="shared" ref="OZ4:OZ18" si="120">IF(SUM(OL4:OM4,OO4:OQ4,OS4)-SUM(ON4,OR4)&gt;0,SUM(OL4:OM4,OO4:OQ4,OS4)-SUM(ON4,OR4),"")</f>
        <v/>
      </c>
      <c r="PA4" s="40" t="str">
        <f t="shared" ref="PA4:PA18" si="121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18" si="122">IF(SUM(PC4,PG4)&gt;0,SUM(PC4,PG4),"")</f>
        <v/>
      </c>
      <c r="PW4" s="11" t="str">
        <f t="shared" ref="PW4:PW18" si="123">IF(SUM(PB4:PC4,PE4:PG4,PI4)-PD4-PH4&gt;0,SUM(PB4:PC4,PE4:PG4,PI4)-PD4-PH4,"")</f>
        <v/>
      </c>
      <c r="PX4" s="11" t="str">
        <f t="shared" ref="PX4:PX18" si="124">IF(SUM(PJ4:PK4,PM4)-PL4&gt;0,SUM(PJ4:PK4,PM4)-PL4,"")</f>
        <v/>
      </c>
      <c r="PY4" s="11" t="str">
        <f t="shared" ref="PY4:PY18" si="125">IF(SUM(PC4,PG4,PK4)&gt;0,SUM(PC4,PG4,PK4),"")</f>
        <v/>
      </c>
      <c r="PZ4" s="11" t="str">
        <f t="shared" ref="PZ4:PZ18" si="126">IF(SUM(PW4,PX4)&gt;0,SUM(PW4,PX4),"")</f>
        <v/>
      </c>
      <c r="QA4" s="11" t="str">
        <f t="shared" ref="QA4:QA18" si="127">IF(SUM(PO4,PS4)&gt;0,SUM(PO4,PS4),"")</f>
        <v/>
      </c>
      <c r="QB4" s="11" t="str">
        <f t="shared" ref="QB4:QB18" si="128">IF(SUM(PN4:PO4,PQ4:PS4,PU4)-SUM(PP4,PT4)&gt;0,SUM(PN4:PO4,PQ4:PS4,PU4)-SUM(PP4,PT4),"")</f>
        <v/>
      </c>
      <c r="QC4" s="11" t="str">
        <f t="shared" ref="QC4:QC18" si="129">IF(SUM(PW4,PX4,QB4)&gt;0,SUM(PW4,PX4,QB4),"")</f>
        <v/>
      </c>
      <c r="QD4" s="22">
        <f t="shared" ref="QD4:QD18" si="130">IF($CU4="P",CA4,(CA4+AX4)/2)</f>
        <v>17.600000000000001</v>
      </c>
      <c r="QE4" s="22">
        <f t="shared" ref="QE4:QE18" si="131">IF($CU4="P",CB4,(CB4+AY4)/2)</f>
        <v>4.3</v>
      </c>
      <c r="QF4" s="22">
        <f t="shared" ref="QF4:QF18" si="132">IF($CU4="P",CC4,(CC4+AZ4)/2)</f>
        <v>0</v>
      </c>
      <c r="QG4" s="22">
        <f t="shared" ref="QG4:QG18" si="133">IF($CU4="P",CD4,(CD4+BA4)/2)</f>
        <v>0.7</v>
      </c>
      <c r="QH4" s="22">
        <f t="shared" ref="QH4:QH18" si="134">IF($CU4="P",CE4,(CE4+BB4)/2)</f>
        <v>16.149999999999999</v>
      </c>
      <c r="QI4" s="22">
        <f t="shared" ref="QI4:QI18" si="135">IF($CU4="P",CF4,(CF4+BC4)/2)</f>
        <v>6.1</v>
      </c>
      <c r="QJ4" s="22">
        <f t="shared" ref="QJ4:QJ18" si="136">IF($CU4="P",CG4,(CG4+BD4)/2)</f>
        <v>0</v>
      </c>
      <c r="QK4" s="22">
        <f t="shared" ref="QK4:QK18" si="137">IF($CU4="P",CH4,(CH4+BE4)/2)</f>
        <v>0.7</v>
      </c>
      <c r="QL4" s="22">
        <f t="shared" ref="QL4:QL18" si="138">IF($CU4="P",CI4,(CI4+BF4)/2)</f>
        <v>0</v>
      </c>
      <c r="QM4" s="22">
        <f t="shared" ref="QM4:QM18" si="139">IF($CU4="P",CJ4,(CJ4+BG4)/2)</f>
        <v>0</v>
      </c>
      <c r="QN4" s="22">
        <f t="shared" ref="QN4:QN18" si="140">IF($CU4="P",CK4,(CK4+BH4)/2)</f>
        <v>0</v>
      </c>
      <c r="QO4" s="22">
        <f t="shared" ref="QO4:QO18" si="141">IF($CU4="P",CL4,(CL4+BI4)/2)</f>
        <v>0</v>
      </c>
      <c r="QP4" s="22">
        <f t="shared" ref="QP4:QP18" si="142">IF($CU4="P",CM4,(CM4+BJ4)/2)</f>
        <v>17.899999999999999</v>
      </c>
      <c r="QQ4" s="22">
        <f t="shared" ref="QQ4:QQ18" si="143">IF($CU4="P",CN4,(CN4+BK4)/2)</f>
        <v>4.3</v>
      </c>
      <c r="QR4" s="22">
        <f t="shared" ref="QR4:QR18" si="144">IF($CU4="P",CO4,(CO4+BL4)/2)</f>
        <v>0</v>
      </c>
      <c r="QS4" s="22">
        <f t="shared" ref="QS4:QS18" si="145">IF($CU4="P",CP4,(CP4+BM4)/2)</f>
        <v>0.7</v>
      </c>
      <c r="QT4" s="22">
        <f t="shared" ref="QT4:QT18" si="146">IF($CU4="P",CQ4,(CQ4+BN4)/2)</f>
        <v>16.850000000000001</v>
      </c>
      <c r="QU4" s="22">
        <f t="shared" ref="QU4:QU18" si="147">IF($CU4="P",CR4,(CR4+BO4)/2)</f>
        <v>6.1</v>
      </c>
      <c r="QV4" s="22">
        <f t="shared" ref="QV4:QV18" si="148">IF($CU4="P",CS4,(CS4+BP4)/2)</f>
        <v>0</v>
      </c>
      <c r="QW4" s="22">
        <f t="shared" ref="QW4:QW18" si="149">IF($CU4="P",CT4,(CT4+BQ4)/2)</f>
        <v>0.7</v>
      </c>
      <c r="QX4" s="27" t="s">
        <v>46</v>
      </c>
      <c r="QY4" s="40">
        <f t="shared" ref="QY4:QY18" si="150">IF(SUM(QE4,QI4)&gt;0,SUM(QE4,QI4),"")</f>
        <v>10.399999999999999</v>
      </c>
      <c r="QZ4" s="40">
        <f t="shared" ref="QZ4:QZ18" si="151">IF(SUM(QD4:QE4,QG4:QI4,QK4)-QF4-QJ4&gt;0,SUM(QD4:QE4,QG4:QI4,QK4)-QF4-QJ4,"")</f>
        <v>45.550000000000004</v>
      </c>
      <c r="RA4" s="40" t="str">
        <f t="shared" ref="RA4:RA18" si="152">IF(SUM(QL4:QM4,QO4)-QN4&gt;0,SUM(QL4:QM4,QO4)-QN4,"")</f>
        <v/>
      </c>
      <c r="RB4" s="40">
        <f t="shared" ref="RB4:RB18" si="153">IF(SUM(QE4,QI4,QM4)&gt;0,SUM(QE4,QI4,QM4),"")</f>
        <v>10.399999999999999</v>
      </c>
      <c r="RC4" s="40">
        <f t="shared" ref="RC4:RC18" si="154">IF(SUM(QZ4,RA4)&gt;0,SUM(QZ4,RA4),"")</f>
        <v>45.550000000000004</v>
      </c>
      <c r="RD4" s="40">
        <f t="shared" ref="RD4:RD18" si="155">IF(SUM(QQ4,QU4)&gt;0,SUM(QQ4,QU4),"")</f>
        <v>10.399999999999999</v>
      </c>
      <c r="RE4" s="40">
        <f t="shared" ref="RE4:RE18" si="156">IF(SUM(QP4:QQ4,QS4:QU4,QW4)-SUM(QR4,QV4)&gt;0,SUM(QP4:QQ4,QS4:QU4,QW4)-SUM(QR4,QV4),"")</f>
        <v>46.550000000000004</v>
      </c>
      <c r="RF4" s="40">
        <f t="shared" ref="RF4:RF18" si="157"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 t="shared" si="0"/>
        <v>127.9000083400044</v>
      </c>
      <c r="G5" s="64" t="s">
        <v>46</v>
      </c>
      <c r="H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DZ5&gt;=EG$21,EA5&gt;=EG$25,DZ5&lt;&gt;""),AND(EE5&gt;=EG$21,EF5&gt;=EG$25,EE5&lt;&gt;""),AND(FB5&gt;=FI$21,FC5&gt;=FI$25,FB5&lt;&gt;""),AND(FG5&gt;=FI$21,FH5&gt;=FI$25,FG5&lt;&gt;""),AND(GD5&gt;=GK$21,GE5&gt;=GK$25,GD5&lt;&gt;""),AND(GI5&gt;=GK$21,GJ5&gt;=GK$25,GI5&lt;&gt;""),AND(HF5&gt;=HM$21,HG5&gt;=HM$25,HF5&lt;&gt;""),AND(HK5&gt;=HM$21,HL5&gt;=HM$25,HK5&lt;&gt;""),AND(IH5&gt;=IO$21,II5&gt;=IO$25,IH5&lt;&gt;""),AND(IM5&gt;=IO$21,IN5&gt;=IO$25,IM5&lt;&gt;""),AND(JJ5&gt;=JQ$21,JK5&gt;=JQ$25,JJ5&lt;&gt;""),AND(JO5&gt;=JQ$21,JP5&gt;=JQ$25,JO5&lt;&gt;""),AND(KL5&gt;=KS$21,KM5&gt;=KS$25,KL5&lt;&gt;""),AND(KQ5&gt;=KS$21,KR5&gt;=KS$25,KQ5&lt;&gt;""),AND(LN5&gt;=LU$21,LO5&gt;=LU$25,LN5&lt;&gt;""),AND(LS5&gt;=LU$21,LT5&gt;=LU$25,LS5&lt;&gt;""),AND(MP5&gt;=MW$21,MQ5&gt;=MW$25,MP5&lt;&gt;""),AND(MU5&gt;=MW$21,MV5&gt;=MW$25,MU5&lt;&gt;""),AND(NR5&gt;=NY$21,NS5&gt;=NY$25,NR5&lt;&gt;""),AND(NW5&gt;=NY$21,NX5&gt;=NY$25,NW5&lt;&gt;""),AND(OT5&gt;=PA$21,OU5&gt;=PA$25,OT5&lt;&gt;""),AND(OY5&gt;=PA$21,OZ5&gt;=PA$25,OY5&lt;&gt;""),AND(PV5&gt;=QC$21,PW5&gt;=QC$25,PV5&lt;&gt;""),AND(QA5&gt;=QC$21,QB5&gt;=QC$25,QA5&lt;&gt;"")),"P","")</f>
        <v>P</v>
      </c>
      <c r="I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A5&gt;=EG$25,EA5&lt;&gt;""),AND(EF5&gt;=EG$25,EF5&lt;&gt;""),AND(FC5&gt;=FI$25,FC5&lt;&gt;""),AND(FH5&gt;=FI$25,FH5&lt;&gt;""),AND(GE5&gt;=GK$25,GE5&lt;&gt;""),AND(GJ5&gt;=GK$25,GJ5&lt;&gt;""),AND(HG5&gt;=HM$25,HG5&lt;&gt;""),AND(HL5&gt;=HM$25,HL5&lt;&gt;""),AND(II5&gt;=IO$25,II5&lt;&gt;""),AND(IN5&gt;=IO$25,IN5&lt;&gt;""),AND(JK5&gt;=JQ$25,JK5&lt;&gt;""),AND(JP5&gt;=JQ$25,JP5&lt;&gt;""),AND(KM5&gt;=KS$25,KM5&lt;&gt;""),AND(KR5&gt;=KS$25,KR5&lt;&gt;""),AND(LO5&gt;=LU$25,LO5&lt;&gt;""),AND(LT5&gt;=LU$25,LT5&lt;&gt;""),AND(MQ5&gt;=MW$25,MQ5&lt;&gt;""),AND(MV5&gt;=MW$25,MV5&lt;&gt;""),AND(NS5&gt;=NY$25,NS5&lt;&gt;""),AND(NX5&gt;=NY$25,NX5&lt;&gt;""),AND(OU5&gt;=PA$25,OU5&lt;&gt;""),AND(OZ5&gt;=PA$25,OZ5&lt;&gt;""),AND(PW5&gt;=QC$25,PW5&lt;&gt;""),AND(QB5&gt;=QC$25,QB5&lt;&gt;"")),"P","")</f>
        <v>P</v>
      </c>
      <c r="J5" s="36" t="str">
        <f>IF(AND(I5="P",H5=""),"No DD",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Merit",IF(OR(AND(AS5&gt;=AW$23,AT5&gt;=AW$27,AS5&lt;&gt;"",AO5=""),AND(BV5&gt;=BZ$23,BW5&gt;=BZ$27,BV5&lt;&gt;"",BR5=""),AND(CY5&gt;=DC$23,CZ5&gt;=DC$27,CY5&lt;&gt;"",CU5=""),AND(EC5&gt;=EG$23,ED5&gt;=EG$27,EC5&lt;&gt;""),AND(FE5&gt;=FI$23,FF5&gt;=FI$27,FE5&lt;&gt;""),AND(GG5&gt;=GK$23,GH5&gt;=GK$27,GG5&lt;&gt;""),AND(HI5&gt;=HM$23,HJ5&gt;=HM$27,HI5&lt;&gt;""),AND(IK5&gt;=IO$23,IL5&gt;=IO$27,IK5&lt;&gt;""),AND(JM5&gt;=JQ$23,JN5&gt;=JQ$27,JM5&lt;&gt;""),AND(KO5&gt;=KS$23,KP5&gt;=KS$27,KO5&lt;&gt;""),AND(LQ5&gt;=LU$23,LR5&gt;=LU$27,LQ5&lt;&gt;""),AND(MS5&gt;=MW$23,MT5&gt;=MW$27,MS5&lt;&gt;""),AND(NU5&gt;=NY$23,NV5&gt;=NY$27,NU5&lt;&gt;""),AND(OW5&gt;=PA$23,OX5&gt;=PA$27,OW5&lt;&gt;""),AND(PY5&gt;=QC$23,PZ5&gt;=QC$27,PY5&lt;&gt;"")),"Excellence",IF(K5="P","Worlds Team",IF(H5="P","National Team","")))))</f>
        <v>National Team</v>
      </c>
      <c r="K5" s="3" t="str">
        <f>IF(OR(AND(AS5&gt;=AW$22,AT5&gt;=AW$26,AS5&lt;&gt;"",AO5=""),AND(BV5&gt;=BZ$22,BW5&gt;=BZ$26,BV5&lt;&gt;"",BR5=""),AND(CY5&gt;=DC$22,CZ5&gt;=DC$26,CY5&lt;&gt;"",CU5=""),AND(EC5&gt;=EG$22,ED5&gt;=EG$26,EC5&lt;&gt;""),AND(FE5&gt;=FI$22,FF5&gt;=FI$26,FE5&lt;&gt;""),AND(GG5&gt;=GK$22,GH5&gt;=GK$26,GG5&lt;&gt;""),AND(HI5&gt;=HM$22,HJ5&gt;=HM$26,HI5&lt;&gt;""),AND(IK5&gt;=IO$22,IL5&gt;=IO$26,IK5&lt;&gt;""),AND(JM5&gt;=JQ$22,JN5&gt;=JQ$26,JM5&lt;&gt;""),AND(KO5&gt;=KS$22,KP5&gt;=KS$26,KO5&lt;&gt;""),AND(LQ5&gt;=LU$22,LR5&gt;=LU$26,LQ5&lt;&gt;""),AND(MS5&gt;=MW$22,MT5&gt;=MW$26,MS5&lt;&gt;""),AND(NU5&gt;=NY$22,NV5&gt;=NY$26,NU5&lt;&gt;""),AND(OW5&gt;=PA$22,OX5&gt;=PA$26,OW5&lt;&gt;""),AND(PY5&gt;=QC$22,PZ5&gt;=QC$26,PY5&lt;&gt;"")),"P","")</f>
        <v/>
      </c>
      <c r="L5" s="8">
        <f>IF(COUNT(AQ5,BT5,CW5)&gt;0,LARGE((AQ5,BT5,CW5),1),0)</f>
        <v>44</v>
      </c>
      <c r="M5" s="8" t="str">
        <f t="shared" si="1"/>
        <v>2025 Elite Canada</v>
      </c>
      <c r="N5" s="8">
        <f>IF(COUNT(AQ5,BT5,CW5)&gt;1,LARGE((AQ5,BT5,CW5),2),0)</f>
        <v>39.400000000000006</v>
      </c>
      <c r="O5" s="8" t="str">
        <f t="shared" si="2"/>
        <v>2024 3rd Domestic Trial</v>
      </c>
      <c r="P5" s="8">
        <f t="shared" si="3"/>
        <v>44.5</v>
      </c>
      <c r="Q5" s="8" t="str">
        <f t="shared" si="4"/>
        <v>2025 Elite Canada</v>
      </c>
      <c r="R5" s="8" t="str">
        <f t="shared" si="5"/>
        <v/>
      </c>
      <c r="S5" s="11" t="str">
        <f t="shared" si="6"/>
        <v/>
      </c>
      <c r="T5" s="8" t="str">
        <f t="shared" si="7"/>
        <v/>
      </c>
      <c r="U5" s="19">
        <v>16.100000000000001</v>
      </c>
      <c r="V5" s="19">
        <v>4.3</v>
      </c>
      <c r="W5" s="19">
        <v>0</v>
      </c>
      <c r="X5" s="19">
        <v>0.3</v>
      </c>
      <c r="Y5" s="19">
        <v>15.5</v>
      </c>
      <c r="Z5" s="19">
        <v>2.6</v>
      </c>
      <c r="AA5" s="19">
        <v>0</v>
      </c>
      <c r="AB5" s="19">
        <v>0.6</v>
      </c>
      <c r="AC5" s="19">
        <v>13.5</v>
      </c>
      <c r="AD5" s="19">
        <v>3.5</v>
      </c>
      <c r="AE5" s="19">
        <v>0.3</v>
      </c>
      <c r="AF5" s="19">
        <v>0.6</v>
      </c>
      <c r="AG5" s="19">
        <v>17.100000000000001</v>
      </c>
      <c r="AH5" s="19">
        <v>4.3</v>
      </c>
      <c r="AI5" s="19">
        <v>0</v>
      </c>
      <c r="AJ5" s="19">
        <v>0.3</v>
      </c>
      <c r="AK5" s="19">
        <v>16.600000000000001</v>
      </c>
      <c r="AL5" s="19">
        <v>4.0999999999999996</v>
      </c>
      <c r="AM5" s="19">
        <v>0</v>
      </c>
      <c r="AN5" s="19">
        <v>0.3</v>
      </c>
      <c r="AO5" s="27"/>
      <c r="AP5" s="40">
        <f t="shared" si="8"/>
        <v>6.9</v>
      </c>
      <c r="AQ5" s="40">
        <f t="shared" si="9"/>
        <v>39.400000000000006</v>
      </c>
      <c r="AR5" s="40">
        <f t="shared" si="10"/>
        <v>17.3</v>
      </c>
      <c r="AS5" s="40">
        <f t="shared" si="11"/>
        <v>10.4</v>
      </c>
      <c r="AT5" s="40">
        <f t="shared" si="12"/>
        <v>56.7</v>
      </c>
      <c r="AU5" s="40">
        <f t="shared" si="13"/>
        <v>8.3999999999999986</v>
      </c>
      <c r="AV5" s="40">
        <f t="shared" si="14"/>
        <v>42.7</v>
      </c>
      <c r="AW5" s="40">
        <f t="shared" si="15"/>
        <v>99.4</v>
      </c>
      <c r="AX5" s="18">
        <v>16.399999999999999</v>
      </c>
      <c r="AY5" s="18">
        <v>4.3</v>
      </c>
      <c r="AZ5" s="18">
        <v>0.2</v>
      </c>
      <c r="BA5" s="18">
        <v>0.7</v>
      </c>
      <c r="BB5" s="18">
        <v>17.600000000000001</v>
      </c>
      <c r="BC5" s="18">
        <v>4.5</v>
      </c>
      <c r="BD5" s="18">
        <v>0</v>
      </c>
      <c r="BE5" s="18">
        <v>0.7</v>
      </c>
      <c r="BF5" s="18"/>
      <c r="BG5" s="18"/>
      <c r="BH5" s="18"/>
      <c r="BI5" s="18"/>
      <c r="BJ5" s="18">
        <v>17.7</v>
      </c>
      <c r="BK5" s="18">
        <v>4.5</v>
      </c>
      <c r="BL5" s="18">
        <v>0</v>
      </c>
      <c r="BM5" s="18">
        <v>0.7</v>
      </c>
      <c r="BN5" s="18">
        <v>16.8</v>
      </c>
      <c r="BO5" s="18">
        <v>4.3</v>
      </c>
      <c r="BP5" s="18">
        <v>0.2</v>
      </c>
      <c r="BQ5" s="18">
        <v>0.7</v>
      </c>
      <c r="BR5" s="28"/>
      <c r="BS5" s="11">
        <f t="shared" si="16"/>
        <v>8.8000000000000007</v>
      </c>
      <c r="BT5" s="11">
        <f t="shared" si="17"/>
        <v>44</v>
      </c>
      <c r="BU5" s="11" t="str">
        <f t="shared" si="18"/>
        <v/>
      </c>
      <c r="BV5" s="11">
        <f t="shared" si="19"/>
        <v>8.8000000000000007</v>
      </c>
      <c r="BW5" s="11">
        <f t="shared" si="20"/>
        <v>44</v>
      </c>
      <c r="BX5" s="11">
        <f t="shared" si="21"/>
        <v>8.8000000000000007</v>
      </c>
      <c r="BY5" s="11">
        <f t="shared" si="22"/>
        <v>44.5</v>
      </c>
      <c r="BZ5" s="11">
        <f t="shared" si="23"/>
        <v>88.5</v>
      </c>
      <c r="CA5" s="19">
        <v>15.4</v>
      </c>
      <c r="CB5" s="19">
        <v>1.9</v>
      </c>
      <c r="CC5" s="19">
        <v>0</v>
      </c>
      <c r="CD5" s="19">
        <v>0</v>
      </c>
      <c r="CE5" s="19">
        <v>16.7</v>
      </c>
      <c r="CF5" s="19">
        <v>4.3</v>
      </c>
      <c r="CG5" s="19">
        <v>0</v>
      </c>
      <c r="CH5" s="19">
        <v>0.7</v>
      </c>
      <c r="CI5" s="19"/>
      <c r="CJ5" s="19"/>
      <c r="CK5" s="19"/>
      <c r="CL5" s="19"/>
      <c r="CM5" s="19">
        <v>15.6</v>
      </c>
      <c r="CN5" s="19">
        <v>1.9</v>
      </c>
      <c r="CO5" s="19">
        <v>0</v>
      </c>
      <c r="CP5" s="19">
        <v>0</v>
      </c>
      <c r="CQ5" s="19">
        <v>17.7</v>
      </c>
      <c r="CR5" s="19">
        <v>3.6</v>
      </c>
      <c r="CS5" s="19">
        <v>0</v>
      </c>
      <c r="CT5" s="19">
        <v>0.7</v>
      </c>
      <c r="CU5" s="27"/>
      <c r="CV5" s="40">
        <f t="shared" si="24"/>
        <v>6.1999999999999993</v>
      </c>
      <c r="CW5" s="40">
        <f t="shared" si="25"/>
        <v>39</v>
      </c>
      <c r="CX5" s="40" t="str">
        <f t="shared" si="26"/>
        <v/>
      </c>
      <c r="CY5" s="40">
        <f t="shared" si="27"/>
        <v>6.1999999999999993</v>
      </c>
      <c r="CZ5" s="40">
        <f t="shared" si="28"/>
        <v>39</v>
      </c>
      <c r="DA5" s="40">
        <f t="shared" si="29"/>
        <v>5.5</v>
      </c>
      <c r="DB5" s="40">
        <f t="shared" si="30"/>
        <v>39.500000000000007</v>
      </c>
      <c r="DC5" s="40">
        <f t="shared" si="31"/>
        <v>78.5</v>
      </c>
      <c r="DD5" s="50" t="str">
        <f t="shared" si="32"/>
        <v/>
      </c>
      <c r="DE5" s="50" t="str">
        <f t="shared" si="33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4"/>
        <v/>
      </c>
      <c r="EA5" s="40" t="str">
        <f t="shared" si="35"/>
        <v/>
      </c>
      <c r="EB5" s="40" t="str">
        <f t="shared" si="36"/>
        <v/>
      </c>
      <c r="EC5" s="40" t="str">
        <f t="shared" si="37"/>
        <v/>
      </c>
      <c r="ED5" s="40" t="str">
        <f t="shared" si="38"/>
        <v/>
      </c>
      <c r="EE5" s="40" t="str">
        <f t="shared" si="39"/>
        <v/>
      </c>
      <c r="EF5" s="40" t="str">
        <f t="shared" si="40"/>
        <v/>
      </c>
      <c r="EG5" s="40" t="str">
        <f t="shared" si="41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2"/>
        <v/>
      </c>
      <c r="FC5" s="11" t="str">
        <f t="shared" si="43"/>
        <v/>
      </c>
      <c r="FD5" s="11" t="str">
        <f t="shared" si="44"/>
        <v/>
      </c>
      <c r="FE5" s="11" t="str">
        <f t="shared" si="45"/>
        <v/>
      </c>
      <c r="FF5" s="11" t="str">
        <f t="shared" si="46"/>
        <v/>
      </c>
      <c r="FG5" s="11" t="str">
        <f t="shared" si="47"/>
        <v/>
      </c>
      <c r="FH5" s="11" t="str">
        <f t="shared" si="48"/>
        <v/>
      </c>
      <c r="FI5" s="11" t="str">
        <f t="shared" si="49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0"/>
        <v/>
      </c>
      <c r="GE5" s="40" t="str">
        <f t="shared" si="51"/>
        <v/>
      </c>
      <c r="GF5" s="40" t="str">
        <f t="shared" si="52"/>
        <v/>
      </c>
      <c r="GG5" s="40" t="str">
        <f t="shared" si="53"/>
        <v/>
      </c>
      <c r="GH5" s="40" t="str">
        <f t="shared" si="54"/>
        <v/>
      </c>
      <c r="GI5" s="40" t="str">
        <f t="shared" si="55"/>
        <v/>
      </c>
      <c r="GJ5" s="40" t="str">
        <f t="shared" si="56"/>
        <v/>
      </c>
      <c r="GK5" s="40" t="str">
        <f t="shared" si="57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58"/>
        <v/>
      </c>
      <c r="HG5" s="11" t="str">
        <f t="shared" si="59"/>
        <v/>
      </c>
      <c r="HH5" s="11" t="str">
        <f t="shared" si="60"/>
        <v/>
      </c>
      <c r="HI5" s="11" t="str">
        <f t="shared" si="61"/>
        <v/>
      </c>
      <c r="HJ5" s="11" t="str">
        <f t="shared" si="62"/>
        <v/>
      </c>
      <c r="HK5" s="11" t="str">
        <f t="shared" si="63"/>
        <v/>
      </c>
      <c r="HL5" s="11" t="str">
        <f t="shared" si="64"/>
        <v/>
      </c>
      <c r="HM5" s="11" t="str">
        <f t="shared" si="65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6"/>
        <v/>
      </c>
      <c r="II5" s="40" t="str">
        <f t="shared" si="67"/>
        <v/>
      </c>
      <c r="IJ5" s="40" t="str">
        <f t="shared" si="68"/>
        <v/>
      </c>
      <c r="IK5" s="40" t="str">
        <f t="shared" si="69"/>
        <v/>
      </c>
      <c r="IL5" s="40" t="str">
        <f t="shared" si="70"/>
        <v/>
      </c>
      <c r="IM5" s="40" t="str">
        <f t="shared" si="71"/>
        <v/>
      </c>
      <c r="IN5" s="40" t="str">
        <f t="shared" si="72"/>
        <v/>
      </c>
      <c r="IO5" s="40" t="str">
        <f t="shared" si="73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4"/>
        <v/>
      </c>
      <c r="JK5" s="11" t="str">
        <f t="shared" si="75"/>
        <v/>
      </c>
      <c r="JL5" s="11" t="str">
        <f t="shared" si="76"/>
        <v/>
      </c>
      <c r="JM5" s="11" t="str">
        <f t="shared" si="77"/>
        <v/>
      </c>
      <c r="JN5" s="11" t="str">
        <f t="shared" si="78"/>
        <v/>
      </c>
      <c r="JO5" s="11" t="str">
        <f t="shared" si="79"/>
        <v/>
      </c>
      <c r="JP5" s="11" t="str">
        <f t="shared" si="80"/>
        <v/>
      </c>
      <c r="JQ5" s="11" t="str">
        <f t="shared" si="81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2"/>
        <v/>
      </c>
      <c r="KM5" s="40" t="str">
        <f t="shared" si="83"/>
        <v/>
      </c>
      <c r="KN5" s="40" t="str">
        <f t="shared" si="84"/>
        <v/>
      </c>
      <c r="KO5" s="40" t="str">
        <f t="shared" si="85"/>
        <v/>
      </c>
      <c r="KP5" s="40" t="str">
        <f t="shared" si="86"/>
        <v/>
      </c>
      <c r="KQ5" s="40" t="str">
        <f t="shared" si="87"/>
        <v/>
      </c>
      <c r="KR5" s="40" t="str">
        <f t="shared" si="88"/>
        <v/>
      </c>
      <c r="KS5" s="40" t="str">
        <f t="shared" si="89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0"/>
        <v/>
      </c>
      <c r="LO5" s="11" t="str">
        <f t="shared" si="91"/>
        <v/>
      </c>
      <c r="LP5" s="11" t="str">
        <f t="shared" si="92"/>
        <v/>
      </c>
      <c r="LQ5" s="11" t="str">
        <f t="shared" si="93"/>
        <v/>
      </c>
      <c r="LR5" s="11" t="str">
        <f t="shared" si="94"/>
        <v/>
      </c>
      <c r="LS5" s="11" t="str">
        <f t="shared" si="95"/>
        <v/>
      </c>
      <c r="LT5" s="11" t="str">
        <f t="shared" si="96"/>
        <v/>
      </c>
      <c r="LU5" s="11" t="str">
        <f t="shared" si="97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98"/>
        <v/>
      </c>
      <c r="MQ5" s="40" t="str">
        <f t="shared" si="99"/>
        <v/>
      </c>
      <c r="MR5" s="40" t="str">
        <f t="shared" si="100"/>
        <v/>
      </c>
      <c r="MS5" s="40" t="str">
        <f t="shared" si="101"/>
        <v/>
      </c>
      <c r="MT5" s="40" t="str">
        <f t="shared" si="102"/>
        <v/>
      </c>
      <c r="MU5" s="40" t="str">
        <f t="shared" si="103"/>
        <v/>
      </c>
      <c r="MV5" s="40" t="str">
        <f t="shared" si="104"/>
        <v/>
      </c>
      <c r="MW5" s="40" t="str">
        <f t="shared" si="105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6"/>
        <v/>
      </c>
      <c r="NS5" s="11" t="str">
        <f t="shared" si="107"/>
        <v/>
      </c>
      <c r="NT5" s="11" t="str">
        <f t="shared" si="108"/>
        <v/>
      </c>
      <c r="NU5" s="11" t="str">
        <f t="shared" si="109"/>
        <v/>
      </c>
      <c r="NV5" s="11" t="str">
        <f t="shared" si="110"/>
        <v/>
      </c>
      <c r="NW5" s="11" t="str">
        <f t="shared" si="111"/>
        <v/>
      </c>
      <c r="NX5" s="11" t="str">
        <f t="shared" si="112"/>
        <v/>
      </c>
      <c r="NY5" s="11" t="str">
        <f t="shared" si="113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4"/>
        <v/>
      </c>
      <c r="OU5" s="40" t="str">
        <f t="shared" si="115"/>
        <v/>
      </c>
      <c r="OV5" s="40" t="str">
        <f t="shared" si="116"/>
        <v/>
      </c>
      <c r="OW5" s="40" t="str">
        <f t="shared" si="117"/>
        <v/>
      </c>
      <c r="OX5" s="40" t="str">
        <f t="shared" si="118"/>
        <v/>
      </c>
      <c r="OY5" s="40" t="str">
        <f t="shared" si="119"/>
        <v/>
      </c>
      <c r="OZ5" s="40" t="str">
        <f t="shared" si="120"/>
        <v/>
      </c>
      <c r="PA5" s="40" t="str">
        <f t="shared" si="121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2"/>
        <v/>
      </c>
      <c r="PW5" s="11" t="str">
        <f t="shared" si="123"/>
        <v/>
      </c>
      <c r="PX5" s="11" t="str">
        <f t="shared" si="124"/>
        <v/>
      </c>
      <c r="PY5" s="11" t="str">
        <f t="shared" si="125"/>
        <v/>
      </c>
      <c r="PZ5" s="11" t="str">
        <f t="shared" si="126"/>
        <v/>
      </c>
      <c r="QA5" s="11" t="str">
        <f t="shared" si="127"/>
        <v/>
      </c>
      <c r="QB5" s="11" t="str">
        <f t="shared" si="128"/>
        <v/>
      </c>
      <c r="QC5" s="11" t="str">
        <f t="shared" si="129"/>
        <v/>
      </c>
      <c r="QD5" s="22">
        <f t="shared" si="130"/>
        <v>15.899999999999999</v>
      </c>
      <c r="QE5" s="22">
        <f t="shared" si="131"/>
        <v>3.0999999999999996</v>
      </c>
      <c r="QF5" s="22">
        <f t="shared" si="132"/>
        <v>0.1</v>
      </c>
      <c r="QG5" s="22">
        <f t="shared" si="133"/>
        <v>0.35</v>
      </c>
      <c r="QH5" s="22">
        <f t="shared" si="134"/>
        <v>17.149999999999999</v>
      </c>
      <c r="QI5" s="22">
        <f t="shared" si="135"/>
        <v>4.4000000000000004</v>
      </c>
      <c r="QJ5" s="22">
        <f t="shared" si="136"/>
        <v>0</v>
      </c>
      <c r="QK5" s="22">
        <f t="shared" si="137"/>
        <v>0.7</v>
      </c>
      <c r="QL5" s="22">
        <f t="shared" si="138"/>
        <v>0</v>
      </c>
      <c r="QM5" s="22">
        <f t="shared" si="139"/>
        <v>0</v>
      </c>
      <c r="QN5" s="22">
        <f t="shared" si="140"/>
        <v>0</v>
      </c>
      <c r="QO5" s="22">
        <f t="shared" si="141"/>
        <v>0</v>
      </c>
      <c r="QP5" s="22">
        <f t="shared" si="142"/>
        <v>16.649999999999999</v>
      </c>
      <c r="QQ5" s="22">
        <f t="shared" si="143"/>
        <v>3.2</v>
      </c>
      <c r="QR5" s="22">
        <f t="shared" si="144"/>
        <v>0</v>
      </c>
      <c r="QS5" s="22">
        <f t="shared" si="145"/>
        <v>0.35</v>
      </c>
      <c r="QT5" s="22">
        <f t="shared" si="146"/>
        <v>17.25</v>
      </c>
      <c r="QU5" s="22">
        <f t="shared" si="147"/>
        <v>3.95</v>
      </c>
      <c r="QV5" s="22">
        <f t="shared" si="148"/>
        <v>0.1</v>
      </c>
      <c r="QW5" s="22">
        <f t="shared" si="149"/>
        <v>0.7</v>
      </c>
      <c r="QX5" s="27" t="s">
        <v>46</v>
      </c>
      <c r="QY5" s="40">
        <f t="shared" si="150"/>
        <v>7.5</v>
      </c>
      <c r="QZ5" s="40">
        <f t="shared" si="151"/>
        <v>41.5</v>
      </c>
      <c r="RA5" s="40" t="str">
        <f t="shared" si="152"/>
        <v/>
      </c>
      <c r="RB5" s="40">
        <f t="shared" si="153"/>
        <v>7.5</v>
      </c>
      <c r="RC5" s="40">
        <f t="shared" si="154"/>
        <v>41.5</v>
      </c>
      <c r="RD5" s="40">
        <f t="shared" si="155"/>
        <v>7.15</v>
      </c>
      <c r="RE5" s="40">
        <f t="shared" si="156"/>
        <v>42.000000000000007</v>
      </c>
      <c r="RF5" s="40">
        <f t="shared" si="157"/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177</v>
      </c>
      <c r="D6" s="4" t="s">
        <v>4</v>
      </c>
      <c r="E6" s="4">
        <v>2008</v>
      </c>
      <c r="F6" s="9">
        <f t="shared" si="0"/>
        <v>127.0000079500041</v>
      </c>
      <c r="G6" s="64" t="s">
        <v>46</v>
      </c>
      <c r="H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DZ6&gt;=EG$21,EA6&gt;=EG$25,DZ6&lt;&gt;""),AND(EE6&gt;=EG$21,EF6&gt;=EG$25,EE6&lt;&gt;""),AND(FB6&gt;=FI$21,FC6&gt;=FI$25,FB6&lt;&gt;""),AND(FG6&gt;=FI$21,FH6&gt;=FI$25,FG6&lt;&gt;""),AND(GD6&gt;=GK$21,GE6&gt;=GK$25,GD6&lt;&gt;""),AND(GI6&gt;=GK$21,GJ6&gt;=GK$25,GI6&lt;&gt;""),AND(HF6&gt;=HM$21,HG6&gt;=HM$25,HF6&lt;&gt;""),AND(HK6&gt;=HM$21,HL6&gt;=HM$25,HK6&lt;&gt;""),AND(IH6&gt;=IO$21,II6&gt;=IO$25,IH6&lt;&gt;""),AND(IM6&gt;=IO$21,IN6&gt;=IO$25,IM6&lt;&gt;""),AND(JJ6&gt;=JQ$21,JK6&gt;=JQ$25,JJ6&lt;&gt;""),AND(JO6&gt;=JQ$21,JP6&gt;=JQ$25,JO6&lt;&gt;""),AND(KL6&gt;=KS$21,KM6&gt;=KS$25,KL6&lt;&gt;""),AND(KQ6&gt;=KS$21,KR6&gt;=KS$25,KQ6&lt;&gt;""),AND(LN6&gt;=LU$21,LO6&gt;=LU$25,LN6&lt;&gt;""),AND(LS6&gt;=LU$21,LT6&gt;=LU$25,LS6&lt;&gt;""),AND(MP6&gt;=MW$21,MQ6&gt;=MW$25,MP6&lt;&gt;""),AND(MU6&gt;=MW$21,MV6&gt;=MW$25,MU6&lt;&gt;""),AND(NR6&gt;=NY$21,NS6&gt;=NY$25,NR6&lt;&gt;""),AND(NW6&gt;=NY$21,NX6&gt;=NY$25,NW6&lt;&gt;""),AND(OT6&gt;=PA$21,OU6&gt;=PA$25,OT6&lt;&gt;""),AND(OY6&gt;=PA$21,OZ6&gt;=PA$25,OY6&lt;&gt;""),AND(PV6&gt;=QC$21,PW6&gt;=QC$25,PV6&lt;&gt;""),AND(QA6&gt;=QC$21,QB6&gt;=QC$25,QA6&lt;&gt;"")),"P","")</f>
        <v>P</v>
      </c>
      <c r="I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A6&gt;=EG$25,EA6&lt;&gt;""),AND(EF6&gt;=EG$25,EF6&lt;&gt;""),AND(FC6&gt;=FI$25,FC6&lt;&gt;""),AND(FH6&gt;=FI$25,FH6&lt;&gt;""),AND(GE6&gt;=GK$25,GE6&lt;&gt;""),AND(GJ6&gt;=GK$25,GJ6&lt;&gt;""),AND(HG6&gt;=HM$25,HG6&lt;&gt;""),AND(HL6&gt;=HM$25,HL6&lt;&gt;""),AND(II6&gt;=IO$25,II6&lt;&gt;""),AND(IN6&gt;=IO$25,IN6&lt;&gt;""),AND(JK6&gt;=JQ$25,JK6&lt;&gt;""),AND(JP6&gt;=JQ$25,JP6&lt;&gt;""),AND(KM6&gt;=KS$25,KM6&lt;&gt;""),AND(KR6&gt;=KS$25,KR6&lt;&gt;""),AND(LO6&gt;=LU$25,LO6&lt;&gt;""),AND(LT6&gt;=LU$25,LT6&lt;&gt;""),AND(MQ6&gt;=MW$25,MQ6&lt;&gt;""),AND(MV6&gt;=MW$25,MV6&lt;&gt;""),AND(NS6&gt;=NY$25,NS6&lt;&gt;""),AND(NX6&gt;=NY$25,NX6&lt;&gt;""),AND(OU6&gt;=PA$25,OU6&lt;&gt;""),AND(OZ6&gt;=PA$25,OZ6&lt;&gt;""),AND(PW6&gt;=QC$25,PW6&lt;&gt;""),AND(QB6&gt;=QC$25,QB6&lt;&gt;"")),"P","")</f>
        <v>P</v>
      </c>
      <c r="J6" s="36" t="str">
        <f>IF(AND(I6="P",H6=""),"No DD",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Merit",IF(OR(AND(AS6&gt;=AW$23,AT6&gt;=AW$27,AS6&lt;&gt;"",AO6=""),AND(BV6&gt;=BZ$23,BW6&gt;=BZ$27,BV6&lt;&gt;"",BR6=""),AND(CY6&gt;=DC$23,CZ6&gt;=DC$27,CY6&lt;&gt;"",CU6=""),AND(EC6&gt;=EG$23,ED6&gt;=EG$27,EC6&lt;&gt;""),AND(FE6&gt;=FI$23,FF6&gt;=FI$27,FE6&lt;&gt;""),AND(GG6&gt;=GK$23,GH6&gt;=GK$27,GG6&lt;&gt;""),AND(HI6&gt;=HM$23,HJ6&gt;=HM$27,HI6&lt;&gt;""),AND(IK6&gt;=IO$23,IL6&gt;=IO$27,IK6&lt;&gt;""),AND(JM6&gt;=JQ$23,JN6&gt;=JQ$27,JM6&lt;&gt;""),AND(KO6&gt;=KS$23,KP6&gt;=KS$27,KO6&lt;&gt;""),AND(LQ6&gt;=LU$23,LR6&gt;=LU$27,LQ6&lt;&gt;""),AND(MS6&gt;=MW$23,MT6&gt;=MW$27,MS6&lt;&gt;""),AND(NU6&gt;=NY$23,NV6&gt;=NY$27,NU6&lt;&gt;""),AND(OW6&gt;=PA$23,OX6&gt;=PA$27,OW6&lt;&gt;""),AND(PY6&gt;=QC$23,PZ6&gt;=QC$27,PY6&lt;&gt;"")),"Excellence",IF(K6="P","Worlds Team",IF(H6="P","National Team","")))))</f>
        <v>National Team</v>
      </c>
      <c r="K6" s="3" t="str">
        <f>IF(OR(AND(AS6&gt;=AW$22,AT6&gt;=AW$26,AS6&lt;&gt;"",AO6=""),AND(BV6&gt;=BZ$22,BW6&gt;=BZ$26,BV6&lt;&gt;"",BR6=""),AND(CY6&gt;=DC$22,CZ6&gt;=DC$26,CY6&lt;&gt;"",CU6=""),AND(EC6&gt;=EG$22,ED6&gt;=EG$26,EC6&lt;&gt;""),AND(FE6&gt;=FI$22,FF6&gt;=FI$26,FE6&lt;&gt;""),AND(GG6&gt;=GK$22,GH6&gt;=GK$26,GG6&lt;&gt;""),AND(HI6&gt;=HM$22,HJ6&gt;=HM$26,HI6&lt;&gt;""),AND(IK6&gt;=IO$22,IL6&gt;=IO$26,IK6&lt;&gt;""),AND(JM6&gt;=JQ$22,JN6&gt;=JQ$26,JM6&lt;&gt;""),AND(KO6&gt;=KS$22,KP6&gt;=KS$26,KO6&lt;&gt;""),AND(LQ6&gt;=LU$22,LR6&gt;=LU$26,LQ6&lt;&gt;""),AND(MS6&gt;=MW$22,MT6&gt;=MW$26,MS6&lt;&gt;""),AND(NU6&gt;=NY$22,NV6&gt;=NY$26,NU6&lt;&gt;""),AND(OW6&gt;=PA$22,OX6&gt;=PA$26,OW6&lt;&gt;""),AND(PY6&gt;=QC$22,PZ6&gt;=QC$26,PY6&lt;&gt;"")),"P","")</f>
        <v/>
      </c>
      <c r="L6" s="8">
        <f>IF(COUNT(AQ6,BT6,CW6)&gt;0,LARGE((AQ6,BT6,CW6),1),0)</f>
        <v>41</v>
      </c>
      <c r="M6" s="8" t="str">
        <f t="shared" si="1"/>
        <v>2025 Nationals</v>
      </c>
      <c r="N6" s="8">
        <f>IF(COUNT(AQ6,BT6,CW6)&gt;1,LARGE((AQ6,BT6,CW6),2),0)</f>
        <v>38.5</v>
      </c>
      <c r="O6" s="8" t="str">
        <f t="shared" si="2"/>
        <v>2025 Elite Canada</v>
      </c>
      <c r="P6" s="8">
        <f t="shared" si="3"/>
        <v>45.5</v>
      </c>
      <c r="Q6" s="8" t="str">
        <f t="shared" si="4"/>
        <v>2025 Elite Canada</v>
      </c>
      <c r="R6" s="8">
        <f t="shared" si="5"/>
        <v>2.0000000000000071</v>
      </c>
      <c r="S6" s="11" t="str">
        <f t="shared" si="6"/>
        <v>(Q1)</v>
      </c>
      <c r="T6" s="8" t="str">
        <f t="shared" si="7"/>
        <v>2024 Coimbra Gym Fest (July 7)</v>
      </c>
      <c r="U6" s="19">
        <v>9.9</v>
      </c>
      <c r="V6" s="19">
        <v>2.4</v>
      </c>
      <c r="W6" s="19">
        <v>0</v>
      </c>
      <c r="X6" s="19">
        <v>0.3</v>
      </c>
      <c r="Y6" s="19">
        <v>16.5</v>
      </c>
      <c r="Z6" s="19">
        <v>1.8</v>
      </c>
      <c r="AA6" s="19">
        <v>1</v>
      </c>
      <c r="AB6" s="19">
        <v>0</v>
      </c>
      <c r="AC6" s="19">
        <v>9.8000000000000007</v>
      </c>
      <c r="AD6" s="19">
        <v>2.4</v>
      </c>
      <c r="AE6" s="19">
        <v>0</v>
      </c>
      <c r="AF6" s="19">
        <v>0.3</v>
      </c>
      <c r="AG6" s="19">
        <v>9.9</v>
      </c>
      <c r="AH6" s="19">
        <v>2.4</v>
      </c>
      <c r="AI6" s="19">
        <v>0</v>
      </c>
      <c r="AJ6" s="19">
        <v>0.3</v>
      </c>
      <c r="AK6" s="19">
        <v>14.3</v>
      </c>
      <c r="AL6" s="19">
        <v>2.1</v>
      </c>
      <c r="AM6" s="19">
        <v>1</v>
      </c>
      <c r="AN6" s="19">
        <v>0</v>
      </c>
      <c r="AO6" s="27"/>
      <c r="AP6" s="40">
        <f t="shared" si="8"/>
        <v>4.2</v>
      </c>
      <c r="AQ6" s="40">
        <f t="shared" si="9"/>
        <v>29.900000000000002</v>
      </c>
      <c r="AR6" s="40">
        <f t="shared" si="10"/>
        <v>12.500000000000002</v>
      </c>
      <c r="AS6" s="40">
        <f t="shared" si="11"/>
        <v>6.6</v>
      </c>
      <c r="AT6" s="40">
        <f t="shared" si="12"/>
        <v>42.400000000000006</v>
      </c>
      <c r="AU6" s="40">
        <f t="shared" si="13"/>
        <v>4.5</v>
      </c>
      <c r="AV6" s="40">
        <f t="shared" si="14"/>
        <v>28.000000000000004</v>
      </c>
      <c r="AW6" s="40">
        <f t="shared" si="15"/>
        <v>70.400000000000006</v>
      </c>
      <c r="AX6" s="18">
        <v>16.5</v>
      </c>
      <c r="AY6" s="18">
        <v>3.5</v>
      </c>
      <c r="AZ6" s="18">
        <v>0.1</v>
      </c>
      <c r="BA6" s="18">
        <v>0</v>
      </c>
      <c r="BB6" s="18">
        <v>14.3</v>
      </c>
      <c r="BC6" s="18">
        <v>4</v>
      </c>
      <c r="BD6" s="18">
        <v>0.4</v>
      </c>
      <c r="BE6" s="18">
        <v>0.7</v>
      </c>
      <c r="BF6" s="18"/>
      <c r="BG6" s="18"/>
      <c r="BH6" s="18"/>
      <c r="BI6" s="18"/>
      <c r="BJ6" s="18">
        <v>16.399999999999999</v>
      </c>
      <c r="BK6" s="18">
        <v>6.3</v>
      </c>
      <c r="BL6" s="18">
        <v>0</v>
      </c>
      <c r="BM6" s="18">
        <v>0.7</v>
      </c>
      <c r="BN6" s="18">
        <v>17.600000000000001</v>
      </c>
      <c r="BO6" s="18">
        <v>3.8</v>
      </c>
      <c r="BP6" s="18">
        <v>0</v>
      </c>
      <c r="BQ6" s="18">
        <v>0.7</v>
      </c>
      <c r="BR6" s="28"/>
      <c r="BS6" s="11">
        <f t="shared" si="16"/>
        <v>7.5</v>
      </c>
      <c r="BT6" s="11">
        <f t="shared" si="17"/>
        <v>38.5</v>
      </c>
      <c r="BU6" s="11" t="str">
        <f t="shared" si="18"/>
        <v/>
      </c>
      <c r="BV6" s="11">
        <f t="shared" si="19"/>
        <v>7.5</v>
      </c>
      <c r="BW6" s="11">
        <f t="shared" si="20"/>
        <v>38.5</v>
      </c>
      <c r="BX6" s="11">
        <f t="shared" si="21"/>
        <v>10.1</v>
      </c>
      <c r="BY6" s="11">
        <f t="shared" si="22"/>
        <v>45.5</v>
      </c>
      <c r="BZ6" s="11">
        <f t="shared" si="23"/>
        <v>84</v>
      </c>
      <c r="CA6" s="19">
        <v>15.5</v>
      </c>
      <c r="CB6" s="19">
        <v>3.4</v>
      </c>
      <c r="CC6" s="19">
        <v>0.2</v>
      </c>
      <c r="CD6" s="19">
        <v>0.7</v>
      </c>
      <c r="CE6" s="19">
        <v>17.100000000000001</v>
      </c>
      <c r="CF6" s="19">
        <v>3.8</v>
      </c>
      <c r="CG6" s="19">
        <v>0</v>
      </c>
      <c r="CH6" s="19">
        <v>0.7</v>
      </c>
      <c r="CI6" s="19"/>
      <c r="CJ6" s="19"/>
      <c r="CK6" s="19"/>
      <c r="CL6" s="19"/>
      <c r="CM6" s="19">
        <v>14.8</v>
      </c>
      <c r="CN6" s="19">
        <v>6.1</v>
      </c>
      <c r="CO6" s="19">
        <v>0</v>
      </c>
      <c r="CP6" s="19">
        <v>0.7</v>
      </c>
      <c r="CQ6" s="19">
        <v>16.100000000000001</v>
      </c>
      <c r="CR6" s="19">
        <v>1.2</v>
      </c>
      <c r="CS6" s="19">
        <v>0</v>
      </c>
      <c r="CT6" s="19">
        <v>0</v>
      </c>
      <c r="CU6" s="27"/>
      <c r="CV6" s="40">
        <f t="shared" si="24"/>
        <v>7.1999999999999993</v>
      </c>
      <c r="CW6" s="40">
        <f t="shared" si="25"/>
        <v>41</v>
      </c>
      <c r="CX6" s="40" t="str">
        <f t="shared" si="26"/>
        <v/>
      </c>
      <c r="CY6" s="40">
        <f t="shared" si="27"/>
        <v>7.1999999999999993</v>
      </c>
      <c r="CZ6" s="40">
        <f t="shared" si="28"/>
        <v>41</v>
      </c>
      <c r="DA6" s="40">
        <f t="shared" si="29"/>
        <v>7.3</v>
      </c>
      <c r="DB6" s="40">
        <f t="shared" si="30"/>
        <v>38.900000000000006</v>
      </c>
      <c r="DC6" s="40">
        <f t="shared" si="31"/>
        <v>79.900000000000006</v>
      </c>
      <c r="DD6" s="50">
        <f t="shared" si="32"/>
        <v>2.0000000000000071</v>
      </c>
      <c r="DE6" s="50" t="str">
        <f t="shared" si="33"/>
        <v/>
      </c>
      <c r="DF6" s="17">
        <v>16.100000000000001</v>
      </c>
      <c r="DG6" s="17">
        <v>6.1</v>
      </c>
      <c r="DH6" s="17">
        <v>0.4</v>
      </c>
      <c r="DI6" s="17">
        <v>0</v>
      </c>
      <c r="DJ6" s="17">
        <v>15.1</v>
      </c>
      <c r="DK6" s="17">
        <v>3.6</v>
      </c>
      <c r="DL6" s="17">
        <v>0</v>
      </c>
      <c r="DM6" s="17">
        <v>0</v>
      </c>
      <c r="DN6" s="17"/>
      <c r="DO6" s="17"/>
      <c r="DP6" s="17"/>
      <c r="DQ6" s="17"/>
      <c r="DR6" s="17">
        <v>16.3</v>
      </c>
      <c r="DS6" s="17">
        <v>1.2</v>
      </c>
      <c r="DT6" s="17">
        <v>0</v>
      </c>
      <c r="DU6" s="17">
        <v>0</v>
      </c>
      <c r="DV6" s="17"/>
      <c r="DW6" s="17"/>
      <c r="DX6" s="17"/>
      <c r="DY6" s="17"/>
      <c r="DZ6" s="40">
        <f t="shared" si="34"/>
        <v>9.6999999999999993</v>
      </c>
      <c r="EA6" s="40">
        <f t="shared" si="35"/>
        <v>40.500000000000007</v>
      </c>
      <c r="EB6" s="40" t="str">
        <f t="shared" si="36"/>
        <v/>
      </c>
      <c r="EC6" s="40">
        <f t="shared" si="37"/>
        <v>9.6999999999999993</v>
      </c>
      <c r="ED6" s="40">
        <f t="shared" si="38"/>
        <v>40.500000000000007</v>
      </c>
      <c r="EE6" s="40">
        <f t="shared" si="39"/>
        <v>1.2</v>
      </c>
      <c r="EF6" s="40">
        <f t="shared" si="40"/>
        <v>17.5</v>
      </c>
      <c r="EG6" s="40">
        <f t="shared" si="41"/>
        <v>58.000000000000007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2"/>
        <v/>
      </c>
      <c r="FC6" s="11" t="str">
        <f t="shared" si="43"/>
        <v/>
      </c>
      <c r="FD6" s="11" t="str">
        <f t="shared" si="44"/>
        <v/>
      </c>
      <c r="FE6" s="11" t="str">
        <f t="shared" si="45"/>
        <v/>
      </c>
      <c r="FF6" s="11" t="str">
        <f t="shared" si="46"/>
        <v/>
      </c>
      <c r="FG6" s="11" t="str">
        <f t="shared" si="47"/>
        <v/>
      </c>
      <c r="FH6" s="11" t="str">
        <f t="shared" si="48"/>
        <v/>
      </c>
      <c r="FI6" s="11" t="str">
        <f t="shared" si="49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0"/>
        <v/>
      </c>
      <c r="GE6" s="40" t="str">
        <f t="shared" si="51"/>
        <v/>
      </c>
      <c r="GF6" s="40" t="str">
        <f t="shared" si="52"/>
        <v/>
      </c>
      <c r="GG6" s="40" t="str">
        <f t="shared" si="53"/>
        <v/>
      </c>
      <c r="GH6" s="40" t="str">
        <f t="shared" si="54"/>
        <v/>
      </c>
      <c r="GI6" s="40" t="str">
        <f t="shared" si="55"/>
        <v/>
      </c>
      <c r="GJ6" s="40" t="str">
        <f t="shared" si="56"/>
        <v/>
      </c>
      <c r="GK6" s="40" t="str">
        <f t="shared" si="57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58"/>
        <v/>
      </c>
      <c r="HG6" s="11" t="str">
        <f t="shared" si="59"/>
        <v/>
      </c>
      <c r="HH6" s="11" t="str">
        <f t="shared" si="60"/>
        <v/>
      </c>
      <c r="HI6" s="11" t="str">
        <f t="shared" si="61"/>
        <v/>
      </c>
      <c r="HJ6" s="11" t="str">
        <f t="shared" si="62"/>
        <v/>
      </c>
      <c r="HK6" s="11" t="str">
        <f t="shared" si="63"/>
        <v/>
      </c>
      <c r="HL6" s="11" t="str">
        <f t="shared" si="64"/>
        <v/>
      </c>
      <c r="HM6" s="11" t="str">
        <f t="shared" si="65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6"/>
        <v/>
      </c>
      <c r="II6" s="40" t="str">
        <f t="shared" si="67"/>
        <v/>
      </c>
      <c r="IJ6" s="40" t="str">
        <f t="shared" si="68"/>
        <v/>
      </c>
      <c r="IK6" s="40" t="str">
        <f t="shared" si="69"/>
        <v/>
      </c>
      <c r="IL6" s="40" t="str">
        <f t="shared" si="70"/>
        <v/>
      </c>
      <c r="IM6" s="40" t="str">
        <f t="shared" si="71"/>
        <v/>
      </c>
      <c r="IN6" s="40" t="str">
        <f t="shared" si="72"/>
        <v/>
      </c>
      <c r="IO6" s="40" t="str">
        <f t="shared" si="73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4"/>
        <v/>
      </c>
      <c r="JK6" s="11" t="str">
        <f t="shared" si="75"/>
        <v/>
      </c>
      <c r="JL6" s="11" t="str">
        <f t="shared" si="76"/>
        <v/>
      </c>
      <c r="JM6" s="11" t="str">
        <f t="shared" si="77"/>
        <v/>
      </c>
      <c r="JN6" s="11" t="str">
        <f t="shared" si="78"/>
        <v/>
      </c>
      <c r="JO6" s="11" t="str">
        <f t="shared" si="79"/>
        <v/>
      </c>
      <c r="JP6" s="11" t="str">
        <f t="shared" si="80"/>
        <v/>
      </c>
      <c r="JQ6" s="11" t="str">
        <f t="shared" si="81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2"/>
        <v/>
      </c>
      <c r="KM6" s="40" t="str">
        <f t="shared" si="83"/>
        <v/>
      </c>
      <c r="KN6" s="40" t="str">
        <f t="shared" si="84"/>
        <v/>
      </c>
      <c r="KO6" s="40" t="str">
        <f t="shared" si="85"/>
        <v/>
      </c>
      <c r="KP6" s="40" t="str">
        <f t="shared" si="86"/>
        <v/>
      </c>
      <c r="KQ6" s="40" t="str">
        <f t="shared" si="87"/>
        <v/>
      </c>
      <c r="KR6" s="40" t="str">
        <f t="shared" si="88"/>
        <v/>
      </c>
      <c r="KS6" s="40" t="str">
        <f t="shared" si="89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0"/>
        <v/>
      </c>
      <c r="LO6" s="11" t="str">
        <f t="shared" si="91"/>
        <v/>
      </c>
      <c r="LP6" s="11" t="str">
        <f t="shared" si="92"/>
        <v/>
      </c>
      <c r="LQ6" s="11" t="str">
        <f t="shared" si="93"/>
        <v/>
      </c>
      <c r="LR6" s="11" t="str">
        <f t="shared" si="94"/>
        <v/>
      </c>
      <c r="LS6" s="11" t="str">
        <f t="shared" si="95"/>
        <v/>
      </c>
      <c r="LT6" s="11" t="str">
        <f t="shared" si="96"/>
        <v/>
      </c>
      <c r="LU6" s="11" t="str">
        <f t="shared" si="97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98"/>
        <v/>
      </c>
      <c r="MQ6" s="40" t="str">
        <f t="shared" si="99"/>
        <v/>
      </c>
      <c r="MR6" s="40" t="str">
        <f t="shared" si="100"/>
        <v/>
      </c>
      <c r="MS6" s="40" t="str">
        <f t="shared" si="101"/>
        <v/>
      </c>
      <c r="MT6" s="40" t="str">
        <f t="shared" si="102"/>
        <v/>
      </c>
      <c r="MU6" s="40" t="str">
        <f t="shared" si="103"/>
        <v/>
      </c>
      <c r="MV6" s="40" t="str">
        <f t="shared" si="104"/>
        <v/>
      </c>
      <c r="MW6" s="40" t="str">
        <f t="shared" si="105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6"/>
        <v/>
      </c>
      <c r="NS6" s="11" t="str">
        <f t="shared" si="107"/>
        <v/>
      </c>
      <c r="NT6" s="11" t="str">
        <f t="shared" si="108"/>
        <v/>
      </c>
      <c r="NU6" s="11" t="str">
        <f t="shared" si="109"/>
        <v/>
      </c>
      <c r="NV6" s="11" t="str">
        <f t="shared" si="110"/>
        <v/>
      </c>
      <c r="NW6" s="11" t="str">
        <f t="shared" si="111"/>
        <v/>
      </c>
      <c r="NX6" s="11" t="str">
        <f t="shared" si="112"/>
        <v/>
      </c>
      <c r="NY6" s="11" t="str">
        <f t="shared" si="113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4"/>
        <v/>
      </c>
      <c r="OU6" s="40" t="str">
        <f t="shared" si="115"/>
        <v/>
      </c>
      <c r="OV6" s="40" t="str">
        <f t="shared" si="116"/>
        <v/>
      </c>
      <c r="OW6" s="40" t="str">
        <f t="shared" si="117"/>
        <v/>
      </c>
      <c r="OX6" s="40" t="str">
        <f t="shared" si="118"/>
        <v/>
      </c>
      <c r="OY6" s="40" t="str">
        <f t="shared" si="119"/>
        <v/>
      </c>
      <c r="OZ6" s="40" t="str">
        <f t="shared" si="120"/>
        <v/>
      </c>
      <c r="PA6" s="40" t="str">
        <f t="shared" si="121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2"/>
        <v/>
      </c>
      <c r="PW6" s="11" t="str">
        <f t="shared" si="123"/>
        <v/>
      </c>
      <c r="PX6" s="11" t="str">
        <f t="shared" si="124"/>
        <v/>
      </c>
      <c r="PY6" s="11" t="str">
        <f t="shared" si="125"/>
        <v/>
      </c>
      <c r="PZ6" s="11" t="str">
        <f t="shared" si="126"/>
        <v/>
      </c>
      <c r="QA6" s="11" t="str">
        <f t="shared" si="127"/>
        <v/>
      </c>
      <c r="QB6" s="11" t="str">
        <f t="shared" si="128"/>
        <v/>
      </c>
      <c r="QC6" s="11" t="str">
        <f t="shared" si="129"/>
        <v/>
      </c>
      <c r="QD6" s="22">
        <f t="shared" si="130"/>
        <v>16</v>
      </c>
      <c r="QE6" s="22">
        <f t="shared" si="131"/>
        <v>3.45</v>
      </c>
      <c r="QF6" s="22">
        <f t="shared" si="132"/>
        <v>0.15000000000000002</v>
      </c>
      <c r="QG6" s="22">
        <f t="shared" si="133"/>
        <v>0.35</v>
      </c>
      <c r="QH6" s="22">
        <f t="shared" si="134"/>
        <v>15.700000000000001</v>
      </c>
      <c r="QI6" s="22">
        <f t="shared" si="135"/>
        <v>3.9</v>
      </c>
      <c r="QJ6" s="22">
        <f t="shared" si="136"/>
        <v>0.2</v>
      </c>
      <c r="QK6" s="22">
        <f t="shared" si="137"/>
        <v>0.7</v>
      </c>
      <c r="QL6" s="22">
        <f t="shared" si="138"/>
        <v>0</v>
      </c>
      <c r="QM6" s="22">
        <f t="shared" si="139"/>
        <v>0</v>
      </c>
      <c r="QN6" s="22">
        <f t="shared" si="140"/>
        <v>0</v>
      </c>
      <c r="QO6" s="22">
        <f t="shared" si="141"/>
        <v>0</v>
      </c>
      <c r="QP6" s="22">
        <f t="shared" si="142"/>
        <v>15.6</v>
      </c>
      <c r="QQ6" s="22">
        <f t="shared" si="143"/>
        <v>6.1999999999999993</v>
      </c>
      <c r="QR6" s="22">
        <f t="shared" si="144"/>
        <v>0</v>
      </c>
      <c r="QS6" s="22">
        <f t="shared" si="145"/>
        <v>0.7</v>
      </c>
      <c r="QT6" s="22">
        <f t="shared" si="146"/>
        <v>16.850000000000001</v>
      </c>
      <c r="QU6" s="22">
        <f t="shared" si="147"/>
        <v>2.5</v>
      </c>
      <c r="QV6" s="22">
        <f t="shared" si="148"/>
        <v>0</v>
      </c>
      <c r="QW6" s="22">
        <f t="shared" si="149"/>
        <v>0.35</v>
      </c>
      <c r="QX6" s="27" t="s">
        <v>46</v>
      </c>
      <c r="QY6" s="40">
        <f t="shared" si="150"/>
        <v>7.35</v>
      </c>
      <c r="QZ6" s="40">
        <f t="shared" si="151"/>
        <v>39.75</v>
      </c>
      <c r="RA6" s="40" t="str">
        <f t="shared" si="152"/>
        <v/>
      </c>
      <c r="RB6" s="40">
        <f t="shared" si="153"/>
        <v>7.35</v>
      </c>
      <c r="RC6" s="40">
        <f t="shared" si="154"/>
        <v>39.75</v>
      </c>
      <c r="RD6" s="40">
        <f t="shared" si="155"/>
        <v>8.6999999999999993</v>
      </c>
      <c r="RE6" s="40">
        <f t="shared" si="156"/>
        <v>42.199999999999996</v>
      </c>
      <c r="RF6" s="40">
        <f t="shared" si="157"/>
        <v>81.949999999999989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136</v>
      </c>
      <c r="D7" s="4" t="s">
        <v>3</v>
      </c>
      <c r="E7" s="4">
        <v>2007</v>
      </c>
      <c r="F7" s="9">
        <f t="shared" si="0"/>
        <v>125.90000820000418</v>
      </c>
      <c r="G7" s="64" t="s">
        <v>46</v>
      </c>
      <c r="H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DZ7&gt;=EG$21,EA7&gt;=EG$25,DZ7&lt;&gt;""),AND(EE7&gt;=EG$21,EF7&gt;=EG$25,EE7&lt;&gt;""),AND(FB7&gt;=FI$21,FC7&gt;=FI$25,FB7&lt;&gt;""),AND(FG7&gt;=FI$21,FH7&gt;=FI$25,FG7&lt;&gt;""),AND(GD7&gt;=GK$21,GE7&gt;=GK$25,GD7&lt;&gt;""),AND(GI7&gt;=GK$21,GJ7&gt;=GK$25,GI7&lt;&gt;""),AND(HF7&gt;=HM$21,HG7&gt;=HM$25,HF7&lt;&gt;""),AND(HK7&gt;=HM$21,HL7&gt;=HM$25,HK7&lt;&gt;""),AND(IH7&gt;=IO$21,II7&gt;=IO$25,IH7&lt;&gt;""),AND(IM7&gt;=IO$21,IN7&gt;=IO$25,IM7&lt;&gt;""),AND(JJ7&gt;=JQ$21,JK7&gt;=JQ$25,JJ7&lt;&gt;""),AND(JO7&gt;=JQ$21,JP7&gt;=JQ$25,JO7&lt;&gt;""),AND(KL7&gt;=KS$21,KM7&gt;=KS$25,KL7&lt;&gt;""),AND(KQ7&gt;=KS$21,KR7&gt;=KS$25,KQ7&lt;&gt;""),AND(LN7&gt;=LU$21,LO7&gt;=LU$25,LN7&lt;&gt;""),AND(LS7&gt;=LU$21,LT7&gt;=LU$25,LS7&lt;&gt;""),AND(MP7&gt;=MW$21,MQ7&gt;=MW$25,MP7&lt;&gt;""),AND(MU7&gt;=MW$21,MV7&gt;=MW$25,MU7&lt;&gt;""),AND(NR7&gt;=NY$21,NS7&gt;=NY$25,NR7&lt;&gt;""),AND(NW7&gt;=NY$21,NX7&gt;=NY$25,NW7&lt;&gt;""),AND(OT7&gt;=PA$21,OU7&gt;=PA$25,OT7&lt;&gt;""),AND(OY7&gt;=PA$21,OZ7&gt;=PA$25,OY7&lt;&gt;""),AND(PV7&gt;=QC$21,PW7&gt;=QC$25,PV7&lt;&gt;""),AND(QA7&gt;=QC$21,QB7&gt;=QC$25,QA7&lt;&gt;"")),"P","")</f>
        <v>P</v>
      </c>
      <c r="I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A7&gt;=EG$25,EA7&lt;&gt;""),AND(EF7&gt;=EG$25,EF7&lt;&gt;""),AND(FC7&gt;=FI$25,FC7&lt;&gt;""),AND(FH7&gt;=FI$25,FH7&lt;&gt;""),AND(GE7&gt;=GK$25,GE7&lt;&gt;""),AND(GJ7&gt;=GK$25,GJ7&lt;&gt;""),AND(HG7&gt;=HM$25,HG7&lt;&gt;""),AND(HL7&gt;=HM$25,HL7&lt;&gt;""),AND(II7&gt;=IO$25,II7&lt;&gt;""),AND(IN7&gt;=IO$25,IN7&lt;&gt;""),AND(JK7&gt;=JQ$25,JK7&lt;&gt;""),AND(JP7&gt;=JQ$25,JP7&lt;&gt;""),AND(KM7&gt;=KS$25,KM7&lt;&gt;""),AND(KR7&gt;=KS$25,KR7&lt;&gt;""),AND(LO7&gt;=LU$25,LO7&lt;&gt;""),AND(LT7&gt;=LU$25,LT7&lt;&gt;""),AND(MQ7&gt;=MW$25,MQ7&lt;&gt;""),AND(MV7&gt;=MW$25,MV7&lt;&gt;""),AND(NS7&gt;=NY$25,NS7&lt;&gt;""),AND(NX7&gt;=NY$25,NX7&lt;&gt;""),AND(OU7&gt;=PA$25,OU7&lt;&gt;""),AND(OZ7&gt;=PA$25,OZ7&lt;&gt;""),AND(PW7&gt;=QC$25,PW7&lt;&gt;""),AND(QB7&gt;=QC$25,QB7&lt;&gt;"")),"P","")</f>
        <v>P</v>
      </c>
      <c r="J7" s="36" t="str">
        <f>IF(AND(I7="P",H7=""),"No DD",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Merit",IF(OR(AND(AS7&gt;=AW$23,AT7&gt;=AW$27,AS7&lt;&gt;"",AO7=""),AND(BV7&gt;=BZ$23,BW7&gt;=BZ$27,BV7&lt;&gt;"",BR7=""),AND(CY7&gt;=DC$23,CZ7&gt;=DC$27,CY7&lt;&gt;"",CU7=""),AND(EC7&gt;=EG$23,ED7&gt;=EG$27,EC7&lt;&gt;""),AND(FE7&gt;=FI$23,FF7&gt;=FI$27,FE7&lt;&gt;""),AND(GG7&gt;=GK$23,GH7&gt;=GK$27,GG7&lt;&gt;""),AND(HI7&gt;=HM$23,HJ7&gt;=HM$27,HI7&lt;&gt;""),AND(IK7&gt;=IO$23,IL7&gt;=IO$27,IK7&lt;&gt;""),AND(JM7&gt;=JQ$23,JN7&gt;=JQ$27,JM7&lt;&gt;""),AND(KO7&gt;=KS$23,KP7&gt;=KS$27,KO7&lt;&gt;""),AND(LQ7&gt;=LU$23,LR7&gt;=LU$27,LQ7&lt;&gt;""),AND(MS7&gt;=MW$23,MT7&gt;=MW$27,MS7&lt;&gt;""),AND(NU7&gt;=NY$23,NV7&gt;=NY$27,NU7&lt;&gt;""),AND(OW7&gt;=PA$23,OX7&gt;=PA$27,OW7&lt;&gt;""),AND(PY7&gt;=QC$23,PZ7&gt;=QC$27,PY7&lt;&gt;"")),"Excellence",IF(K7="P","Worlds Team",IF(H7="P","National Team","")))))</f>
        <v>National Team</v>
      </c>
      <c r="K7" s="3" t="str">
        <f>IF(OR(AND(AS7&gt;=AW$22,AT7&gt;=AW$26,AS7&lt;&gt;"",AO7=""),AND(BV7&gt;=BZ$22,BW7&gt;=BZ$26,BV7&lt;&gt;"",BR7=""),AND(CY7&gt;=DC$22,CZ7&gt;=DC$26,CY7&lt;&gt;"",CU7=""),AND(EC7&gt;=EG$22,ED7&gt;=EG$26,EC7&lt;&gt;""),AND(FE7&gt;=FI$22,FF7&gt;=FI$26,FE7&lt;&gt;""),AND(GG7&gt;=GK$22,GH7&gt;=GK$26,GG7&lt;&gt;""),AND(HI7&gt;=HM$22,HJ7&gt;=HM$26,HI7&lt;&gt;""),AND(IK7&gt;=IO$22,IL7&gt;=IO$26,IK7&lt;&gt;""),AND(JM7&gt;=JQ$22,JN7&gt;=JQ$26,JM7&lt;&gt;""),AND(KO7&gt;=KS$22,KP7&gt;=KS$26,KO7&lt;&gt;""),AND(LQ7&gt;=LU$22,LR7&gt;=LU$26,LQ7&lt;&gt;""),AND(MS7&gt;=MW$22,MT7&gt;=MW$26,MS7&lt;&gt;""),AND(NU7&gt;=NY$22,NV7&gt;=NY$26,NU7&lt;&gt;""),AND(OW7&gt;=PA$22,OX7&gt;=PA$26,OW7&lt;&gt;""),AND(PY7&gt;=QC$22,PZ7&gt;=QC$26,PY7&lt;&gt;"")),"P","")</f>
        <v/>
      </c>
      <c r="L7" s="8">
        <f>IF(COUNT(AQ7,BT7,CW7)&gt;0,LARGE((AQ7,BT7,CW7),1),0)</f>
        <v>41.9</v>
      </c>
      <c r="M7" s="8" t="str">
        <f t="shared" si="1"/>
        <v>2025 Nationals</v>
      </c>
      <c r="N7" s="8">
        <f>IF(COUNT(AQ7,BT7,CW7)&gt;1,LARGE((AQ7,BT7,CW7),2),0)</f>
        <v>40.1</v>
      </c>
      <c r="O7" s="8" t="str">
        <f t="shared" si="2"/>
        <v>2025 Elite Canada</v>
      </c>
      <c r="P7" s="8">
        <f t="shared" si="3"/>
        <v>41.699999999999996</v>
      </c>
      <c r="Q7" s="8" t="str">
        <f t="shared" si="4"/>
        <v>2025 Nationals</v>
      </c>
      <c r="R7" s="8">
        <f t="shared" si="5"/>
        <v>2.2000000000000028</v>
      </c>
      <c r="S7" s="11" t="str">
        <f t="shared" si="6"/>
        <v>(Final)</v>
      </c>
      <c r="T7" s="8" t="str">
        <f t="shared" si="7"/>
        <v>2024 Coimbra Gym Fest (July 7)</v>
      </c>
      <c r="U7" s="19">
        <v>11.7</v>
      </c>
      <c r="V7" s="19">
        <v>3</v>
      </c>
      <c r="W7" s="19">
        <v>0</v>
      </c>
      <c r="X7" s="19">
        <v>0.6</v>
      </c>
      <c r="Y7" s="19">
        <v>16.399999999999999</v>
      </c>
      <c r="Z7" s="19">
        <v>4.5999999999999996</v>
      </c>
      <c r="AA7" s="19">
        <v>0</v>
      </c>
      <c r="AB7" s="19">
        <v>0.6</v>
      </c>
      <c r="AC7" s="19">
        <v>16.2</v>
      </c>
      <c r="AD7" s="19">
        <v>4.5999999999999996</v>
      </c>
      <c r="AE7" s="19">
        <v>0</v>
      </c>
      <c r="AF7" s="19">
        <v>0.6</v>
      </c>
      <c r="AG7" s="19">
        <v>16.3</v>
      </c>
      <c r="AH7" s="19">
        <v>4.4000000000000004</v>
      </c>
      <c r="AI7" s="19">
        <v>0.2</v>
      </c>
      <c r="AJ7" s="19">
        <v>0.44999999999999996</v>
      </c>
      <c r="AK7" s="19">
        <v>16.25</v>
      </c>
      <c r="AL7" s="19">
        <v>3.5999999999999996</v>
      </c>
      <c r="AM7" s="19">
        <v>0</v>
      </c>
      <c r="AN7" s="19">
        <v>0.6</v>
      </c>
      <c r="AO7" s="27" t="s">
        <v>46</v>
      </c>
      <c r="AP7" s="40">
        <f t="shared" si="8"/>
        <v>7.6</v>
      </c>
      <c r="AQ7" s="40">
        <f t="shared" si="9"/>
        <v>36.9</v>
      </c>
      <c r="AR7" s="40">
        <f t="shared" si="10"/>
        <v>21.4</v>
      </c>
      <c r="AS7" s="40">
        <f t="shared" si="11"/>
        <v>12.2</v>
      </c>
      <c r="AT7" s="40">
        <f t="shared" si="12"/>
        <v>58.3</v>
      </c>
      <c r="AU7" s="40">
        <f t="shared" si="13"/>
        <v>8</v>
      </c>
      <c r="AV7" s="40">
        <f t="shared" si="14"/>
        <v>41.400000000000006</v>
      </c>
      <c r="AW7" s="40">
        <f t="shared" si="15"/>
        <v>99.7</v>
      </c>
      <c r="AX7" s="18">
        <v>15.3</v>
      </c>
      <c r="AY7" s="18">
        <v>4.2</v>
      </c>
      <c r="AZ7" s="18">
        <v>0.4</v>
      </c>
      <c r="BA7" s="18">
        <v>0.7</v>
      </c>
      <c r="BB7" s="18">
        <v>15.7</v>
      </c>
      <c r="BC7" s="18">
        <v>4.5999999999999996</v>
      </c>
      <c r="BD7" s="18">
        <v>0</v>
      </c>
      <c r="BE7" s="18">
        <v>0</v>
      </c>
      <c r="BF7" s="18"/>
      <c r="BG7" s="18"/>
      <c r="BH7" s="18"/>
      <c r="BI7" s="18"/>
      <c r="BJ7" s="18">
        <v>15.6</v>
      </c>
      <c r="BK7" s="18">
        <v>4.0999999999999996</v>
      </c>
      <c r="BL7" s="18">
        <v>0</v>
      </c>
      <c r="BM7" s="18">
        <v>0.7</v>
      </c>
      <c r="BN7" s="18">
        <v>16.399999999999999</v>
      </c>
      <c r="BO7" s="18">
        <v>4.8</v>
      </c>
      <c r="BP7" s="18">
        <v>0</v>
      </c>
      <c r="BQ7" s="18">
        <v>0</v>
      </c>
      <c r="BR7" s="28"/>
      <c r="BS7" s="11">
        <f t="shared" si="16"/>
        <v>8.8000000000000007</v>
      </c>
      <c r="BT7" s="11">
        <f t="shared" si="17"/>
        <v>40.1</v>
      </c>
      <c r="BU7" s="11" t="str">
        <f t="shared" si="18"/>
        <v/>
      </c>
      <c r="BV7" s="11">
        <f t="shared" si="19"/>
        <v>8.8000000000000007</v>
      </c>
      <c r="BW7" s="11">
        <f t="shared" si="20"/>
        <v>40.1</v>
      </c>
      <c r="BX7" s="11">
        <f t="shared" si="21"/>
        <v>8.8999999999999986</v>
      </c>
      <c r="BY7" s="11">
        <f t="shared" si="22"/>
        <v>41.599999999999994</v>
      </c>
      <c r="BZ7" s="11">
        <f t="shared" si="23"/>
        <v>81.699999999999989</v>
      </c>
      <c r="CA7" s="19">
        <v>16.399999999999999</v>
      </c>
      <c r="CB7" s="19">
        <v>4.2</v>
      </c>
      <c r="CC7" s="19">
        <v>0</v>
      </c>
      <c r="CD7" s="19">
        <v>0.7</v>
      </c>
      <c r="CE7" s="19">
        <v>16</v>
      </c>
      <c r="CF7" s="19">
        <v>4.5999999999999996</v>
      </c>
      <c r="CG7" s="19">
        <v>0</v>
      </c>
      <c r="CH7" s="19">
        <v>0</v>
      </c>
      <c r="CI7" s="19"/>
      <c r="CJ7" s="19"/>
      <c r="CK7" s="19"/>
      <c r="CL7" s="19"/>
      <c r="CM7" s="19">
        <v>16.2</v>
      </c>
      <c r="CN7" s="19">
        <v>3.3</v>
      </c>
      <c r="CO7" s="19">
        <v>0</v>
      </c>
      <c r="CP7" s="19">
        <v>0.7</v>
      </c>
      <c r="CQ7" s="19">
        <v>16.7</v>
      </c>
      <c r="CR7" s="19">
        <v>4.8</v>
      </c>
      <c r="CS7" s="19">
        <v>0</v>
      </c>
      <c r="CT7" s="19">
        <v>0</v>
      </c>
      <c r="CU7" s="27"/>
      <c r="CV7" s="40">
        <f t="shared" si="24"/>
        <v>8.8000000000000007</v>
      </c>
      <c r="CW7" s="40">
        <f t="shared" si="25"/>
        <v>41.9</v>
      </c>
      <c r="CX7" s="40" t="str">
        <f t="shared" si="26"/>
        <v/>
      </c>
      <c r="CY7" s="40">
        <f t="shared" si="27"/>
        <v>8.8000000000000007</v>
      </c>
      <c r="CZ7" s="40">
        <f t="shared" si="28"/>
        <v>41.9</v>
      </c>
      <c r="DA7" s="40">
        <f t="shared" si="29"/>
        <v>8.1</v>
      </c>
      <c r="DB7" s="40">
        <f t="shared" si="30"/>
        <v>41.699999999999996</v>
      </c>
      <c r="DC7" s="40">
        <f t="shared" si="31"/>
        <v>83.6</v>
      </c>
      <c r="DD7" s="50">
        <f t="shared" si="32"/>
        <v>2.1000000000000014</v>
      </c>
      <c r="DE7" s="50">
        <f t="shared" si="33"/>
        <v>2.2000000000000028</v>
      </c>
      <c r="DF7" s="17">
        <v>16</v>
      </c>
      <c r="DG7" s="17">
        <v>5.3</v>
      </c>
      <c r="DH7" s="17">
        <v>0</v>
      </c>
      <c r="DI7" s="17">
        <v>1</v>
      </c>
      <c r="DJ7" s="17">
        <v>16.399999999999999</v>
      </c>
      <c r="DK7" s="17">
        <v>3.5</v>
      </c>
      <c r="DL7" s="17">
        <v>0</v>
      </c>
      <c r="DM7" s="17">
        <v>0</v>
      </c>
      <c r="DN7" s="17"/>
      <c r="DO7" s="17"/>
      <c r="DP7" s="17"/>
      <c r="DQ7" s="17"/>
      <c r="DR7" s="17">
        <v>16.899999999999999</v>
      </c>
      <c r="DS7" s="17">
        <v>4.5999999999999996</v>
      </c>
      <c r="DT7" s="17">
        <v>0</v>
      </c>
      <c r="DU7" s="17">
        <v>0</v>
      </c>
      <c r="DV7" s="17">
        <v>17.600000000000001</v>
      </c>
      <c r="DW7" s="17">
        <v>4.8</v>
      </c>
      <c r="DX7" s="17">
        <v>0</v>
      </c>
      <c r="DY7" s="17">
        <v>0</v>
      </c>
      <c r="DZ7" s="40">
        <f t="shared" si="34"/>
        <v>8.8000000000000007</v>
      </c>
      <c r="EA7" s="40">
        <f t="shared" si="35"/>
        <v>42.2</v>
      </c>
      <c r="EB7" s="40" t="str">
        <f t="shared" si="36"/>
        <v/>
      </c>
      <c r="EC7" s="40">
        <f t="shared" si="37"/>
        <v>8.8000000000000007</v>
      </c>
      <c r="ED7" s="40">
        <f t="shared" si="38"/>
        <v>42.2</v>
      </c>
      <c r="EE7" s="40">
        <f t="shared" si="39"/>
        <v>9.3999999999999986</v>
      </c>
      <c r="EF7" s="40">
        <f t="shared" si="40"/>
        <v>43.9</v>
      </c>
      <c r="EG7" s="40">
        <f t="shared" si="41"/>
        <v>86.1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2"/>
        <v/>
      </c>
      <c r="FC7" s="11" t="str">
        <f t="shared" si="43"/>
        <v/>
      </c>
      <c r="FD7" s="11" t="str">
        <f t="shared" si="44"/>
        <v/>
      </c>
      <c r="FE7" s="11" t="str">
        <f t="shared" si="45"/>
        <v/>
      </c>
      <c r="FF7" s="11" t="str">
        <f t="shared" si="46"/>
        <v/>
      </c>
      <c r="FG7" s="11" t="str">
        <f t="shared" si="47"/>
        <v/>
      </c>
      <c r="FH7" s="11" t="str">
        <f t="shared" si="48"/>
        <v/>
      </c>
      <c r="FI7" s="11" t="str">
        <f t="shared" si="49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0"/>
        <v/>
      </c>
      <c r="GE7" s="40" t="str">
        <f t="shared" si="51"/>
        <v/>
      </c>
      <c r="GF7" s="40" t="str">
        <f t="shared" si="52"/>
        <v/>
      </c>
      <c r="GG7" s="40" t="str">
        <f t="shared" si="53"/>
        <v/>
      </c>
      <c r="GH7" s="40" t="str">
        <f t="shared" si="54"/>
        <v/>
      </c>
      <c r="GI7" s="40" t="str">
        <f t="shared" si="55"/>
        <v/>
      </c>
      <c r="GJ7" s="40" t="str">
        <f t="shared" si="56"/>
        <v/>
      </c>
      <c r="GK7" s="40" t="str">
        <f t="shared" si="57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58"/>
        <v/>
      </c>
      <c r="HG7" s="11" t="str">
        <f t="shared" si="59"/>
        <v/>
      </c>
      <c r="HH7" s="11" t="str">
        <f t="shared" si="60"/>
        <v/>
      </c>
      <c r="HI7" s="11" t="str">
        <f t="shared" si="61"/>
        <v/>
      </c>
      <c r="HJ7" s="11" t="str">
        <f t="shared" si="62"/>
        <v/>
      </c>
      <c r="HK7" s="11" t="str">
        <f t="shared" si="63"/>
        <v/>
      </c>
      <c r="HL7" s="11" t="str">
        <f t="shared" si="64"/>
        <v/>
      </c>
      <c r="HM7" s="11" t="str">
        <f t="shared" si="65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6"/>
        <v/>
      </c>
      <c r="II7" s="40" t="str">
        <f t="shared" si="67"/>
        <v/>
      </c>
      <c r="IJ7" s="40" t="str">
        <f t="shared" si="68"/>
        <v/>
      </c>
      <c r="IK7" s="40" t="str">
        <f t="shared" si="69"/>
        <v/>
      </c>
      <c r="IL7" s="40" t="str">
        <f t="shared" si="70"/>
        <v/>
      </c>
      <c r="IM7" s="40" t="str">
        <f t="shared" si="71"/>
        <v/>
      </c>
      <c r="IN7" s="40" t="str">
        <f t="shared" si="72"/>
        <v/>
      </c>
      <c r="IO7" s="40" t="str">
        <f t="shared" si="73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4"/>
        <v/>
      </c>
      <c r="JK7" s="11" t="str">
        <f t="shared" si="75"/>
        <v/>
      </c>
      <c r="JL7" s="11" t="str">
        <f t="shared" si="76"/>
        <v/>
      </c>
      <c r="JM7" s="11" t="str">
        <f t="shared" si="77"/>
        <v/>
      </c>
      <c r="JN7" s="11" t="str">
        <f t="shared" si="78"/>
        <v/>
      </c>
      <c r="JO7" s="11" t="str">
        <f t="shared" si="79"/>
        <v/>
      </c>
      <c r="JP7" s="11" t="str">
        <f t="shared" si="80"/>
        <v/>
      </c>
      <c r="JQ7" s="11" t="str">
        <f t="shared" si="81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2"/>
        <v/>
      </c>
      <c r="KM7" s="40" t="str">
        <f t="shared" si="83"/>
        <v/>
      </c>
      <c r="KN7" s="40" t="str">
        <f t="shared" si="84"/>
        <v/>
      </c>
      <c r="KO7" s="40" t="str">
        <f t="shared" si="85"/>
        <v/>
      </c>
      <c r="KP7" s="40" t="str">
        <f t="shared" si="86"/>
        <v/>
      </c>
      <c r="KQ7" s="40" t="str">
        <f t="shared" si="87"/>
        <v/>
      </c>
      <c r="KR7" s="40" t="str">
        <f t="shared" si="88"/>
        <v/>
      </c>
      <c r="KS7" s="40" t="str">
        <f t="shared" si="89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0"/>
        <v/>
      </c>
      <c r="LO7" s="11" t="str">
        <f t="shared" si="91"/>
        <v/>
      </c>
      <c r="LP7" s="11" t="str">
        <f t="shared" si="92"/>
        <v/>
      </c>
      <c r="LQ7" s="11" t="str">
        <f t="shared" si="93"/>
        <v/>
      </c>
      <c r="LR7" s="11" t="str">
        <f t="shared" si="94"/>
        <v/>
      </c>
      <c r="LS7" s="11" t="str">
        <f t="shared" si="95"/>
        <v/>
      </c>
      <c r="LT7" s="11" t="str">
        <f t="shared" si="96"/>
        <v/>
      </c>
      <c r="LU7" s="11" t="str">
        <f t="shared" si="97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98"/>
        <v/>
      </c>
      <c r="MQ7" s="40" t="str">
        <f t="shared" si="99"/>
        <v/>
      </c>
      <c r="MR7" s="40" t="str">
        <f t="shared" si="100"/>
        <v/>
      </c>
      <c r="MS7" s="40" t="str">
        <f t="shared" si="101"/>
        <v/>
      </c>
      <c r="MT7" s="40" t="str">
        <f t="shared" si="102"/>
        <v/>
      </c>
      <c r="MU7" s="40" t="str">
        <f t="shared" si="103"/>
        <v/>
      </c>
      <c r="MV7" s="40" t="str">
        <f t="shared" si="104"/>
        <v/>
      </c>
      <c r="MW7" s="40" t="str">
        <f t="shared" si="105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6"/>
        <v/>
      </c>
      <c r="NS7" s="11" t="str">
        <f t="shared" si="107"/>
        <v/>
      </c>
      <c r="NT7" s="11" t="str">
        <f t="shared" si="108"/>
        <v/>
      </c>
      <c r="NU7" s="11" t="str">
        <f t="shared" si="109"/>
        <v/>
      </c>
      <c r="NV7" s="11" t="str">
        <f t="shared" si="110"/>
        <v/>
      </c>
      <c r="NW7" s="11" t="str">
        <f t="shared" si="111"/>
        <v/>
      </c>
      <c r="NX7" s="11" t="str">
        <f t="shared" si="112"/>
        <v/>
      </c>
      <c r="NY7" s="11" t="str">
        <f t="shared" si="113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4"/>
        <v/>
      </c>
      <c r="OU7" s="40" t="str">
        <f t="shared" si="115"/>
        <v/>
      </c>
      <c r="OV7" s="40" t="str">
        <f t="shared" si="116"/>
        <v/>
      </c>
      <c r="OW7" s="40" t="str">
        <f t="shared" si="117"/>
        <v/>
      </c>
      <c r="OX7" s="40" t="str">
        <f t="shared" si="118"/>
        <v/>
      </c>
      <c r="OY7" s="40" t="str">
        <f t="shared" si="119"/>
        <v/>
      </c>
      <c r="OZ7" s="40" t="str">
        <f t="shared" si="120"/>
        <v/>
      </c>
      <c r="PA7" s="40" t="str">
        <f t="shared" si="121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2"/>
        <v/>
      </c>
      <c r="PW7" s="11" t="str">
        <f t="shared" si="123"/>
        <v/>
      </c>
      <c r="PX7" s="11" t="str">
        <f t="shared" si="124"/>
        <v/>
      </c>
      <c r="PY7" s="11" t="str">
        <f t="shared" si="125"/>
        <v/>
      </c>
      <c r="PZ7" s="11" t="str">
        <f t="shared" si="126"/>
        <v/>
      </c>
      <c r="QA7" s="11" t="str">
        <f t="shared" si="127"/>
        <v/>
      </c>
      <c r="QB7" s="11" t="str">
        <f t="shared" si="128"/>
        <v/>
      </c>
      <c r="QC7" s="11" t="str">
        <f t="shared" si="129"/>
        <v/>
      </c>
      <c r="QD7" s="22">
        <f t="shared" si="130"/>
        <v>15.85</v>
      </c>
      <c r="QE7" s="22">
        <f t="shared" si="131"/>
        <v>4.2</v>
      </c>
      <c r="QF7" s="22">
        <f t="shared" si="132"/>
        <v>0.2</v>
      </c>
      <c r="QG7" s="22">
        <f t="shared" si="133"/>
        <v>0.7</v>
      </c>
      <c r="QH7" s="22">
        <f t="shared" si="134"/>
        <v>15.85</v>
      </c>
      <c r="QI7" s="22">
        <f t="shared" si="135"/>
        <v>4.5999999999999996</v>
      </c>
      <c r="QJ7" s="22">
        <f t="shared" si="136"/>
        <v>0</v>
      </c>
      <c r="QK7" s="22">
        <f t="shared" si="137"/>
        <v>0</v>
      </c>
      <c r="QL7" s="22">
        <f t="shared" si="138"/>
        <v>0</v>
      </c>
      <c r="QM7" s="22">
        <f t="shared" si="139"/>
        <v>0</v>
      </c>
      <c r="QN7" s="22">
        <f t="shared" si="140"/>
        <v>0</v>
      </c>
      <c r="QO7" s="22">
        <f t="shared" si="141"/>
        <v>0</v>
      </c>
      <c r="QP7" s="22">
        <f t="shared" si="142"/>
        <v>15.899999999999999</v>
      </c>
      <c r="QQ7" s="22">
        <f t="shared" si="143"/>
        <v>3.6999999999999997</v>
      </c>
      <c r="QR7" s="22">
        <f t="shared" si="144"/>
        <v>0</v>
      </c>
      <c r="QS7" s="22">
        <f t="shared" si="145"/>
        <v>0.7</v>
      </c>
      <c r="QT7" s="22">
        <f t="shared" si="146"/>
        <v>16.549999999999997</v>
      </c>
      <c r="QU7" s="22">
        <f t="shared" si="147"/>
        <v>4.8</v>
      </c>
      <c r="QV7" s="22">
        <f t="shared" si="148"/>
        <v>0</v>
      </c>
      <c r="QW7" s="22">
        <f t="shared" si="149"/>
        <v>0</v>
      </c>
      <c r="QX7" s="27" t="s">
        <v>46</v>
      </c>
      <c r="QY7" s="40">
        <f t="shared" si="150"/>
        <v>8.8000000000000007</v>
      </c>
      <c r="QZ7" s="40">
        <f t="shared" si="151"/>
        <v>41</v>
      </c>
      <c r="RA7" s="40" t="str">
        <f t="shared" si="152"/>
        <v/>
      </c>
      <c r="RB7" s="40">
        <f t="shared" si="153"/>
        <v>8.8000000000000007</v>
      </c>
      <c r="RC7" s="40">
        <f t="shared" si="154"/>
        <v>41</v>
      </c>
      <c r="RD7" s="40">
        <f t="shared" si="155"/>
        <v>8.5</v>
      </c>
      <c r="RE7" s="40">
        <f t="shared" si="156"/>
        <v>41.649999999999991</v>
      </c>
      <c r="RF7" s="40">
        <f t="shared" si="157"/>
        <v>82.649999999999991</v>
      </c>
    </row>
    <row r="8" spans="1:474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1</v>
      </c>
      <c r="C8" s="5" t="s">
        <v>121</v>
      </c>
      <c r="D8" s="4" t="s">
        <v>3</v>
      </c>
      <c r="E8" s="4">
        <v>2005</v>
      </c>
      <c r="F8" s="9">
        <f t="shared" si="0"/>
        <v>124.80000817000429</v>
      </c>
      <c r="G8" s="64"/>
      <c r="H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DZ8&gt;=EG$21,EA8&gt;=EG$25,DZ8&lt;&gt;""),AND(EE8&gt;=EG$21,EF8&gt;=EG$25,EE8&lt;&gt;""),AND(FB8&gt;=FI$21,FC8&gt;=FI$25,FB8&lt;&gt;""),AND(FG8&gt;=FI$21,FH8&gt;=FI$25,FG8&lt;&gt;""),AND(GD8&gt;=GK$21,GE8&gt;=GK$25,GD8&lt;&gt;""),AND(GI8&gt;=GK$21,GJ8&gt;=GK$25,GI8&lt;&gt;""),AND(HF8&gt;=HM$21,HG8&gt;=HM$25,HF8&lt;&gt;""),AND(HK8&gt;=HM$21,HL8&gt;=HM$25,HK8&lt;&gt;""),AND(IH8&gt;=IO$21,II8&gt;=IO$25,IH8&lt;&gt;""),AND(IM8&gt;=IO$21,IN8&gt;=IO$25,IM8&lt;&gt;""),AND(JJ8&gt;=JQ$21,JK8&gt;=JQ$25,JJ8&lt;&gt;""),AND(JO8&gt;=JQ$21,JP8&gt;=JQ$25,JO8&lt;&gt;""),AND(KL8&gt;=KS$21,KM8&gt;=KS$25,KL8&lt;&gt;""),AND(KQ8&gt;=KS$21,KR8&gt;=KS$25,KQ8&lt;&gt;""),AND(LN8&gt;=LU$21,LO8&gt;=LU$25,LN8&lt;&gt;""),AND(LS8&gt;=LU$21,LT8&gt;=LU$25,LS8&lt;&gt;""),AND(MP8&gt;=MW$21,MQ8&gt;=MW$25,MP8&lt;&gt;""),AND(MU8&gt;=MW$21,MV8&gt;=MW$25,MU8&lt;&gt;""),AND(NR8&gt;=NY$21,NS8&gt;=NY$25,NR8&lt;&gt;""),AND(NW8&gt;=NY$21,NX8&gt;=NY$25,NW8&lt;&gt;""),AND(OT8&gt;=PA$21,OU8&gt;=PA$25,OT8&lt;&gt;""),AND(OY8&gt;=PA$21,OZ8&gt;=PA$25,OY8&lt;&gt;""),AND(PV8&gt;=QC$21,PW8&gt;=QC$25,PV8&lt;&gt;""),AND(QA8&gt;=QC$21,QB8&gt;=QC$25,QA8&lt;&gt;"")),"P","")</f>
        <v>P</v>
      </c>
      <c r="I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A8&gt;=EG$25,EA8&lt;&gt;""),AND(EF8&gt;=EG$25,EF8&lt;&gt;""),AND(FC8&gt;=FI$25,FC8&lt;&gt;""),AND(FH8&gt;=FI$25,FH8&lt;&gt;""),AND(GE8&gt;=GK$25,GE8&lt;&gt;""),AND(GJ8&gt;=GK$25,GJ8&lt;&gt;""),AND(HG8&gt;=HM$25,HG8&lt;&gt;""),AND(HL8&gt;=HM$25,HL8&lt;&gt;""),AND(II8&gt;=IO$25,II8&lt;&gt;""),AND(IN8&gt;=IO$25,IN8&lt;&gt;""),AND(JK8&gt;=JQ$25,JK8&lt;&gt;""),AND(JP8&gt;=JQ$25,JP8&lt;&gt;""),AND(KM8&gt;=KS$25,KM8&lt;&gt;""),AND(KR8&gt;=KS$25,KR8&lt;&gt;""),AND(LO8&gt;=LU$25,LO8&lt;&gt;""),AND(LT8&gt;=LU$25,LT8&lt;&gt;""),AND(MQ8&gt;=MW$25,MQ8&lt;&gt;""),AND(MV8&gt;=MW$25,MV8&lt;&gt;""),AND(NS8&gt;=NY$25,NS8&lt;&gt;""),AND(NX8&gt;=NY$25,NX8&lt;&gt;""),AND(OU8&gt;=PA$25,OU8&lt;&gt;""),AND(OZ8&gt;=PA$25,OZ8&lt;&gt;""),AND(PW8&gt;=QC$25,PW8&lt;&gt;""),AND(QB8&gt;=QC$25,QB8&lt;&gt;"")),"P","")</f>
        <v>P</v>
      </c>
      <c r="J8" s="36" t="str">
        <f>IF(AND(I8="P",H8=""),"No DD",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Merit",IF(OR(AND(AS8&gt;=AW$23,AT8&gt;=AW$27,AS8&lt;&gt;"",AO8=""),AND(BV8&gt;=BZ$23,BW8&gt;=BZ$27,BV8&lt;&gt;"",BR8=""),AND(CY8&gt;=DC$23,CZ8&gt;=DC$27,CY8&lt;&gt;"",CU8=""),AND(EC8&gt;=EG$23,ED8&gt;=EG$27,EC8&lt;&gt;""),AND(FE8&gt;=FI$23,FF8&gt;=FI$27,FE8&lt;&gt;""),AND(GG8&gt;=GK$23,GH8&gt;=GK$27,GG8&lt;&gt;""),AND(HI8&gt;=HM$23,HJ8&gt;=HM$27,HI8&lt;&gt;""),AND(IK8&gt;=IO$23,IL8&gt;=IO$27,IK8&lt;&gt;""),AND(JM8&gt;=JQ$23,JN8&gt;=JQ$27,JM8&lt;&gt;""),AND(KO8&gt;=KS$23,KP8&gt;=KS$27,KO8&lt;&gt;""),AND(LQ8&gt;=LU$23,LR8&gt;=LU$27,LQ8&lt;&gt;""),AND(MS8&gt;=MW$23,MT8&gt;=MW$27,MS8&lt;&gt;""),AND(NU8&gt;=NY$23,NV8&gt;=NY$27,NU8&lt;&gt;""),AND(OW8&gt;=PA$23,OX8&gt;=PA$27,OW8&lt;&gt;""),AND(PY8&gt;=QC$23,PZ8&gt;=QC$27,PY8&lt;&gt;"")),"Excellence",IF(K8="P","Worlds Team",IF(H8="P","National Team","")))))</f>
        <v>National Team</v>
      </c>
      <c r="K8" s="3" t="str">
        <f>IF(OR(AND(AS8&gt;=AW$22,AT8&gt;=AW$26,AS8&lt;&gt;"",AO8=""),AND(BV8&gt;=BZ$22,BW8&gt;=BZ$26,BV8&lt;&gt;"",BR8=""),AND(CY8&gt;=DC$22,CZ8&gt;=DC$26,CY8&lt;&gt;"",CU8=""),AND(EC8&gt;=EG$22,ED8&gt;=EG$26,EC8&lt;&gt;""),AND(FE8&gt;=FI$22,FF8&gt;=FI$26,FE8&lt;&gt;""),AND(GG8&gt;=GK$22,GH8&gt;=GK$26,GG8&lt;&gt;""),AND(HI8&gt;=HM$22,HJ8&gt;=HM$26,HI8&lt;&gt;""),AND(IK8&gt;=IO$22,IL8&gt;=IO$26,IK8&lt;&gt;""),AND(JM8&gt;=JQ$22,JN8&gt;=JQ$26,JM8&lt;&gt;""),AND(KO8&gt;=KS$22,KP8&gt;=KS$26,KO8&lt;&gt;""),AND(LQ8&gt;=LU$22,LR8&gt;=LU$26,LQ8&lt;&gt;""),AND(MS8&gt;=MW$22,MT8&gt;=MW$26,MS8&lt;&gt;""),AND(NU8&gt;=NY$22,NV8&gt;=NY$26,NU8&lt;&gt;""),AND(OW8&gt;=PA$22,OX8&gt;=PA$26,OW8&lt;&gt;""),AND(PY8&gt;=QC$22,PZ8&gt;=QC$26,PY8&lt;&gt;"")),"P","")</f>
        <v/>
      </c>
      <c r="L8" s="8">
        <f>IF(COUNT(AQ8,BT8,CW8)&gt;0,LARGE((AQ8,BT8,CW8),1),0)</f>
        <v>43.1</v>
      </c>
      <c r="M8" s="8" t="str">
        <f t="shared" si="1"/>
        <v>2024 3rd Domestic Trial</v>
      </c>
      <c r="N8" s="8">
        <f>IF(COUNT(AQ8,BT8,CW8)&gt;1,LARGE((AQ8,BT8,CW8),2),0)</f>
        <v>38.599999999999994</v>
      </c>
      <c r="O8" s="8" t="str">
        <f t="shared" si="2"/>
        <v>2025 Elite Canada</v>
      </c>
      <c r="P8" s="8">
        <f t="shared" si="3"/>
        <v>43.1</v>
      </c>
      <c r="Q8" s="8" t="str">
        <f t="shared" si="4"/>
        <v>2024 3rd Domestic Trial</v>
      </c>
      <c r="R8" s="8" t="str">
        <f t="shared" si="5"/>
        <v/>
      </c>
      <c r="S8" s="11" t="str">
        <f t="shared" si="6"/>
        <v/>
      </c>
      <c r="T8" s="8" t="str">
        <f t="shared" si="7"/>
        <v/>
      </c>
      <c r="U8" s="19">
        <v>17.100000000000001</v>
      </c>
      <c r="V8" s="19">
        <v>4.0999999999999996</v>
      </c>
      <c r="W8" s="19">
        <v>0</v>
      </c>
      <c r="X8" s="19">
        <v>0.3</v>
      </c>
      <c r="Y8" s="19">
        <v>17.399999999999999</v>
      </c>
      <c r="Z8" s="19">
        <v>3.9</v>
      </c>
      <c r="AA8" s="19">
        <v>0</v>
      </c>
      <c r="AB8" s="19">
        <v>0.3</v>
      </c>
      <c r="AC8" s="19">
        <v>16.7</v>
      </c>
      <c r="AD8" s="19">
        <v>3.9</v>
      </c>
      <c r="AE8" s="19">
        <v>0</v>
      </c>
      <c r="AF8" s="19">
        <v>0.6</v>
      </c>
      <c r="AG8" s="19">
        <v>17.100000000000001</v>
      </c>
      <c r="AH8" s="19">
        <v>4.0999999999999996</v>
      </c>
      <c r="AI8" s="19">
        <v>0</v>
      </c>
      <c r="AJ8" s="19">
        <v>0.3</v>
      </c>
      <c r="AK8" s="19">
        <v>17.399999999999999</v>
      </c>
      <c r="AL8" s="19">
        <v>3.9</v>
      </c>
      <c r="AM8" s="19">
        <v>0</v>
      </c>
      <c r="AN8" s="19">
        <v>0.3</v>
      </c>
      <c r="AO8" s="27"/>
      <c r="AP8" s="40">
        <f t="shared" si="8"/>
        <v>8</v>
      </c>
      <c r="AQ8" s="40">
        <f t="shared" si="9"/>
        <v>43.1</v>
      </c>
      <c r="AR8" s="40">
        <f t="shared" si="10"/>
        <v>21.2</v>
      </c>
      <c r="AS8" s="40">
        <f t="shared" si="11"/>
        <v>11.9</v>
      </c>
      <c r="AT8" s="40">
        <f t="shared" si="12"/>
        <v>64.3</v>
      </c>
      <c r="AU8" s="40">
        <f t="shared" si="13"/>
        <v>8</v>
      </c>
      <c r="AV8" s="40">
        <f t="shared" si="14"/>
        <v>43.1</v>
      </c>
      <c r="AW8" s="40">
        <f t="shared" si="15"/>
        <v>107.4</v>
      </c>
      <c r="AX8" s="18">
        <v>16.2</v>
      </c>
      <c r="AY8" s="18">
        <v>3.9</v>
      </c>
      <c r="AZ8" s="18">
        <v>0</v>
      </c>
      <c r="BA8" s="18">
        <v>0</v>
      </c>
      <c r="BB8" s="18">
        <v>14.6</v>
      </c>
      <c r="BC8" s="18">
        <v>4.0999999999999996</v>
      </c>
      <c r="BD8" s="18">
        <v>0.2</v>
      </c>
      <c r="BE8" s="18">
        <v>0</v>
      </c>
      <c r="BF8" s="18"/>
      <c r="BG8" s="18"/>
      <c r="BH8" s="18"/>
      <c r="BI8" s="18"/>
      <c r="BJ8" s="18">
        <v>14.3</v>
      </c>
      <c r="BK8" s="18">
        <v>4.5999999999999996</v>
      </c>
      <c r="BL8" s="18">
        <v>0</v>
      </c>
      <c r="BM8" s="18">
        <v>0</v>
      </c>
      <c r="BN8" s="18">
        <v>16.3</v>
      </c>
      <c r="BO8" s="18">
        <v>4.0999999999999996</v>
      </c>
      <c r="BP8" s="18">
        <v>0</v>
      </c>
      <c r="BQ8" s="18">
        <v>0</v>
      </c>
      <c r="BR8" s="28"/>
      <c r="BS8" s="11">
        <f t="shared" si="16"/>
        <v>8</v>
      </c>
      <c r="BT8" s="11">
        <f t="shared" si="17"/>
        <v>38.599999999999994</v>
      </c>
      <c r="BU8" s="11" t="str">
        <f t="shared" si="18"/>
        <v/>
      </c>
      <c r="BV8" s="11">
        <f t="shared" si="19"/>
        <v>8</v>
      </c>
      <c r="BW8" s="11">
        <f t="shared" si="20"/>
        <v>38.599999999999994</v>
      </c>
      <c r="BX8" s="11">
        <f t="shared" si="21"/>
        <v>8.6999999999999993</v>
      </c>
      <c r="BY8" s="11">
        <f t="shared" si="22"/>
        <v>39.300000000000004</v>
      </c>
      <c r="BZ8" s="11">
        <f t="shared" si="23"/>
        <v>77.900000000000006</v>
      </c>
      <c r="CA8" s="19">
        <v>14.5</v>
      </c>
      <c r="CB8" s="19">
        <v>4.5999999999999996</v>
      </c>
      <c r="CC8" s="19">
        <v>0</v>
      </c>
      <c r="CD8" s="19">
        <v>0</v>
      </c>
      <c r="CE8" s="19">
        <v>14.5</v>
      </c>
      <c r="CF8" s="19">
        <v>4.8</v>
      </c>
      <c r="CG8" s="19">
        <v>0</v>
      </c>
      <c r="CH8" s="19">
        <v>0</v>
      </c>
      <c r="CI8" s="19"/>
      <c r="CJ8" s="19"/>
      <c r="CK8" s="19"/>
      <c r="CL8" s="19"/>
      <c r="CM8" s="19">
        <v>16.399999999999999</v>
      </c>
      <c r="CN8" s="19">
        <v>4.5999999999999996</v>
      </c>
      <c r="CO8" s="19">
        <v>0</v>
      </c>
      <c r="CP8" s="19">
        <v>0</v>
      </c>
      <c r="CQ8" s="19">
        <v>16.600000000000001</v>
      </c>
      <c r="CR8" s="19">
        <v>4.8</v>
      </c>
      <c r="CS8" s="19">
        <v>0</v>
      </c>
      <c r="CT8" s="19">
        <v>0</v>
      </c>
      <c r="CU8" s="27"/>
      <c r="CV8" s="40">
        <f t="shared" si="24"/>
        <v>9.3999999999999986</v>
      </c>
      <c r="CW8" s="40">
        <f t="shared" si="25"/>
        <v>38.4</v>
      </c>
      <c r="CX8" s="40" t="str">
        <f t="shared" si="26"/>
        <v/>
      </c>
      <c r="CY8" s="40">
        <f t="shared" si="27"/>
        <v>9.3999999999999986</v>
      </c>
      <c r="CZ8" s="40">
        <f t="shared" si="28"/>
        <v>38.4</v>
      </c>
      <c r="DA8" s="40">
        <f t="shared" si="29"/>
        <v>9.3999999999999986</v>
      </c>
      <c r="DB8" s="40">
        <f t="shared" si="30"/>
        <v>42.4</v>
      </c>
      <c r="DC8" s="40">
        <f t="shared" si="31"/>
        <v>80.8</v>
      </c>
      <c r="DD8" s="50" t="str">
        <f t="shared" si="32"/>
        <v/>
      </c>
      <c r="DE8" s="50" t="str">
        <f t="shared" si="33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4"/>
        <v/>
      </c>
      <c r="EA8" s="40" t="str">
        <f t="shared" si="35"/>
        <v/>
      </c>
      <c r="EB8" s="40" t="str">
        <f t="shared" si="36"/>
        <v/>
      </c>
      <c r="EC8" s="40" t="str">
        <f t="shared" si="37"/>
        <v/>
      </c>
      <c r="ED8" s="40" t="str">
        <f t="shared" si="38"/>
        <v/>
      </c>
      <c r="EE8" s="40" t="str">
        <f t="shared" si="39"/>
        <v/>
      </c>
      <c r="EF8" s="40" t="str">
        <f t="shared" si="40"/>
        <v/>
      </c>
      <c r="EG8" s="40" t="str">
        <f t="shared" si="41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2"/>
        <v/>
      </c>
      <c r="FC8" s="11" t="str">
        <f t="shared" si="43"/>
        <v/>
      </c>
      <c r="FD8" s="11" t="str">
        <f t="shared" si="44"/>
        <v/>
      </c>
      <c r="FE8" s="11" t="str">
        <f t="shared" si="45"/>
        <v/>
      </c>
      <c r="FF8" s="11" t="str">
        <f t="shared" si="46"/>
        <v/>
      </c>
      <c r="FG8" s="11" t="str">
        <f t="shared" si="47"/>
        <v/>
      </c>
      <c r="FH8" s="11" t="str">
        <f t="shared" si="48"/>
        <v/>
      </c>
      <c r="FI8" s="11" t="str">
        <f t="shared" si="49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0"/>
        <v/>
      </c>
      <c r="GE8" s="40" t="str">
        <f t="shared" si="51"/>
        <v/>
      </c>
      <c r="GF8" s="40" t="str">
        <f t="shared" si="52"/>
        <v/>
      </c>
      <c r="GG8" s="40" t="str">
        <f t="shared" si="53"/>
        <v/>
      </c>
      <c r="GH8" s="40" t="str">
        <f t="shared" si="54"/>
        <v/>
      </c>
      <c r="GI8" s="40" t="str">
        <f t="shared" si="55"/>
        <v/>
      </c>
      <c r="GJ8" s="40" t="str">
        <f t="shared" si="56"/>
        <v/>
      </c>
      <c r="GK8" s="40" t="str">
        <f t="shared" si="57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58"/>
        <v/>
      </c>
      <c r="HG8" s="11" t="str">
        <f t="shared" si="59"/>
        <v/>
      </c>
      <c r="HH8" s="11" t="str">
        <f t="shared" si="60"/>
        <v/>
      </c>
      <c r="HI8" s="11" t="str">
        <f t="shared" si="61"/>
        <v/>
      </c>
      <c r="HJ8" s="11" t="str">
        <f t="shared" si="62"/>
        <v/>
      </c>
      <c r="HK8" s="11" t="str">
        <f t="shared" si="63"/>
        <v/>
      </c>
      <c r="HL8" s="11" t="str">
        <f t="shared" si="64"/>
        <v/>
      </c>
      <c r="HM8" s="11" t="str">
        <f t="shared" si="65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6"/>
        <v/>
      </c>
      <c r="II8" s="40" t="str">
        <f t="shared" si="67"/>
        <v/>
      </c>
      <c r="IJ8" s="40" t="str">
        <f t="shared" si="68"/>
        <v/>
      </c>
      <c r="IK8" s="40" t="str">
        <f t="shared" si="69"/>
        <v/>
      </c>
      <c r="IL8" s="40" t="str">
        <f t="shared" si="70"/>
        <v/>
      </c>
      <c r="IM8" s="40" t="str">
        <f t="shared" si="71"/>
        <v/>
      </c>
      <c r="IN8" s="40" t="str">
        <f t="shared" si="72"/>
        <v/>
      </c>
      <c r="IO8" s="40" t="str">
        <f t="shared" si="73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4"/>
        <v/>
      </c>
      <c r="JK8" s="11" t="str">
        <f t="shared" si="75"/>
        <v/>
      </c>
      <c r="JL8" s="11" t="str">
        <f t="shared" si="76"/>
        <v/>
      </c>
      <c r="JM8" s="11" t="str">
        <f t="shared" si="77"/>
        <v/>
      </c>
      <c r="JN8" s="11" t="str">
        <f t="shared" si="78"/>
        <v/>
      </c>
      <c r="JO8" s="11" t="str">
        <f t="shared" si="79"/>
        <v/>
      </c>
      <c r="JP8" s="11" t="str">
        <f t="shared" si="80"/>
        <v/>
      </c>
      <c r="JQ8" s="11" t="str">
        <f t="shared" si="81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2"/>
        <v/>
      </c>
      <c r="KM8" s="40" t="str">
        <f t="shared" si="83"/>
        <v/>
      </c>
      <c r="KN8" s="40" t="str">
        <f t="shared" si="84"/>
        <v/>
      </c>
      <c r="KO8" s="40" t="str">
        <f t="shared" si="85"/>
        <v/>
      </c>
      <c r="KP8" s="40" t="str">
        <f t="shared" si="86"/>
        <v/>
      </c>
      <c r="KQ8" s="40" t="str">
        <f t="shared" si="87"/>
        <v/>
      </c>
      <c r="KR8" s="40" t="str">
        <f t="shared" si="88"/>
        <v/>
      </c>
      <c r="KS8" s="40" t="str">
        <f t="shared" si="89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0"/>
        <v/>
      </c>
      <c r="LO8" s="11" t="str">
        <f t="shared" si="91"/>
        <v/>
      </c>
      <c r="LP8" s="11" t="str">
        <f t="shared" si="92"/>
        <v/>
      </c>
      <c r="LQ8" s="11" t="str">
        <f t="shared" si="93"/>
        <v/>
      </c>
      <c r="LR8" s="11" t="str">
        <f t="shared" si="94"/>
        <v/>
      </c>
      <c r="LS8" s="11" t="str">
        <f t="shared" si="95"/>
        <v/>
      </c>
      <c r="LT8" s="11" t="str">
        <f t="shared" si="96"/>
        <v/>
      </c>
      <c r="LU8" s="11" t="str">
        <f t="shared" si="97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98"/>
        <v/>
      </c>
      <c r="MQ8" s="40" t="str">
        <f t="shared" si="99"/>
        <v/>
      </c>
      <c r="MR8" s="40" t="str">
        <f t="shared" si="100"/>
        <v/>
      </c>
      <c r="MS8" s="40" t="str">
        <f t="shared" si="101"/>
        <v/>
      </c>
      <c r="MT8" s="40" t="str">
        <f t="shared" si="102"/>
        <v/>
      </c>
      <c r="MU8" s="40" t="str">
        <f t="shared" si="103"/>
        <v/>
      </c>
      <c r="MV8" s="40" t="str">
        <f t="shared" si="104"/>
        <v/>
      </c>
      <c r="MW8" s="40" t="str">
        <f t="shared" si="105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6"/>
        <v/>
      </c>
      <c r="NS8" s="11" t="str">
        <f t="shared" si="107"/>
        <v/>
      </c>
      <c r="NT8" s="11" t="str">
        <f t="shared" si="108"/>
        <v/>
      </c>
      <c r="NU8" s="11" t="str">
        <f t="shared" si="109"/>
        <v/>
      </c>
      <c r="NV8" s="11" t="str">
        <f t="shared" si="110"/>
        <v/>
      </c>
      <c r="NW8" s="11" t="str">
        <f t="shared" si="111"/>
        <v/>
      </c>
      <c r="NX8" s="11" t="str">
        <f t="shared" si="112"/>
        <v/>
      </c>
      <c r="NY8" s="11" t="str">
        <f t="shared" si="113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4"/>
        <v/>
      </c>
      <c r="OU8" s="40" t="str">
        <f t="shared" si="115"/>
        <v/>
      </c>
      <c r="OV8" s="40" t="str">
        <f t="shared" si="116"/>
        <v/>
      </c>
      <c r="OW8" s="40" t="str">
        <f t="shared" si="117"/>
        <v/>
      </c>
      <c r="OX8" s="40" t="str">
        <f t="shared" si="118"/>
        <v/>
      </c>
      <c r="OY8" s="40" t="str">
        <f t="shared" si="119"/>
        <v/>
      </c>
      <c r="OZ8" s="40" t="str">
        <f t="shared" si="120"/>
        <v/>
      </c>
      <c r="PA8" s="40" t="str">
        <f t="shared" si="121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2"/>
        <v/>
      </c>
      <c r="PW8" s="11" t="str">
        <f t="shared" si="123"/>
        <v/>
      </c>
      <c r="PX8" s="11" t="str">
        <f t="shared" si="124"/>
        <v/>
      </c>
      <c r="PY8" s="11" t="str">
        <f t="shared" si="125"/>
        <v/>
      </c>
      <c r="PZ8" s="11" t="str">
        <f t="shared" si="126"/>
        <v/>
      </c>
      <c r="QA8" s="11" t="str">
        <f t="shared" si="127"/>
        <v/>
      </c>
      <c r="QB8" s="11" t="str">
        <f t="shared" si="128"/>
        <v/>
      </c>
      <c r="QC8" s="11" t="str">
        <f t="shared" si="129"/>
        <v/>
      </c>
      <c r="QD8" s="22">
        <f t="shared" si="130"/>
        <v>15.35</v>
      </c>
      <c r="QE8" s="22">
        <f t="shared" si="131"/>
        <v>4.25</v>
      </c>
      <c r="QF8" s="22">
        <f t="shared" si="132"/>
        <v>0</v>
      </c>
      <c r="QG8" s="22">
        <f t="shared" si="133"/>
        <v>0</v>
      </c>
      <c r="QH8" s="22">
        <f t="shared" si="134"/>
        <v>14.55</v>
      </c>
      <c r="QI8" s="22">
        <f t="shared" si="135"/>
        <v>4.4499999999999993</v>
      </c>
      <c r="QJ8" s="22">
        <f t="shared" si="136"/>
        <v>0.1</v>
      </c>
      <c r="QK8" s="22">
        <f t="shared" si="137"/>
        <v>0</v>
      </c>
      <c r="QL8" s="22">
        <f t="shared" si="138"/>
        <v>0</v>
      </c>
      <c r="QM8" s="22">
        <f t="shared" si="139"/>
        <v>0</v>
      </c>
      <c r="QN8" s="22">
        <f t="shared" si="140"/>
        <v>0</v>
      </c>
      <c r="QO8" s="22">
        <f t="shared" si="141"/>
        <v>0</v>
      </c>
      <c r="QP8" s="22">
        <f t="shared" si="142"/>
        <v>15.35</v>
      </c>
      <c r="QQ8" s="22">
        <f t="shared" si="143"/>
        <v>4.5999999999999996</v>
      </c>
      <c r="QR8" s="22">
        <f t="shared" si="144"/>
        <v>0</v>
      </c>
      <c r="QS8" s="22">
        <f t="shared" si="145"/>
        <v>0</v>
      </c>
      <c r="QT8" s="22">
        <f t="shared" si="146"/>
        <v>16.450000000000003</v>
      </c>
      <c r="QU8" s="22">
        <f t="shared" si="147"/>
        <v>4.4499999999999993</v>
      </c>
      <c r="QV8" s="22">
        <f t="shared" si="148"/>
        <v>0</v>
      </c>
      <c r="QW8" s="22">
        <f t="shared" si="149"/>
        <v>0</v>
      </c>
      <c r="QX8" s="27" t="s">
        <v>46</v>
      </c>
      <c r="QY8" s="40">
        <f t="shared" si="150"/>
        <v>8.6999999999999993</v>
      </c>
      <c r="QZ8" s="40">
        <f t="shared" si="151"/>
        <v>38.500000000000007</v>
      </c>
      <c r="RA8" s="40" t="str">
        <f t="shared" si="152"/>
        <v/>
      </c>
      <c r="RB8" s="40">
        <f t="shared" si="153"/>
        <v>8.6999999999999993</v>
      </c>
      <c r="RC8" s="40">
        <f t="shared" si="154"/>
        <v>38.500000000000007</v>
      </c>
      <c r="RD8" s="40">
        <f t="shared" si="155"/>
        <v>9.0499999999999989</v>
      </c>
      <c r="RE8" s="40">
        <f t="shared" si="156"/>
        <v>40.850000000000009</v>
      </c>
      <c r="RF8" s="40">
        <f t="shared" si="157"/>
        <v>79.350000000000023</v>
      </c>
    </row>
    <row r="9" spans="1:474" x14ac:dyDescent="0.2">
      <c r="A9" s="4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>6</v>
      </c>
      <c r="B9" s="4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>2</v>
      </c>
      <c r="C9" s="5" t="s">
        <v>112</v>
      </c>
      <c r="D9" s="4" t="s">
        <v>4</v>
      </c>
      <c r="E9" s="4">
        <v>2005</v>
      </c>
      <c r="F9" s="9">
        <f t="shared" si="0"/>
        <v>116.50000739000399</v>
      </c>
      <c r="G9" s="64"/>
      <c r="H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DZ9&gt;=EG$21,EA9&gt;=EG$25,DZ9&lt;&gt;""),AND(EE9&gt;=EG$21,EF9&gt;=EG$25,EE9&lt;&gt;""),AND(FB9&gt;=FI$21,FC9&gt;=FI$25,FB9&lt;&gt;""),AND(FG9&gt;=FI$21,FH9&gt;=FI$25,FG9&lt;&gt;""),AND(GD9&gt;=GK$21,GE9&gt;=GK$25,GD9&lt;&gt;""),AND(GI9&gt;=GK$21,GJ9&gt;=GK$25,GI9&lt;&gt;""),AND(HF9&gt;=HM$21,HG9&gt;=HM$25,HF9&lt;&gt;""),AND(HK9&gt;=HM$21,HL9&gt;=HM$25,HK9&lt;&gt;""),AND(IH9&gt;=IO$21,II9&gt;=IO$25,IH9&lt;&gt;""),AND(IM9&gt;=IO$21,IN9&gt;=IO$25,IM9&lt;&gt;""),AND(JJ9&gt;=JQ$21,JK9&gt;=JQ$25,JJ9&lt;&gt;""),AND(JO9&gt;=JQ$21,JP9&gt;=JQ$25,JO9&lt;&gt;""),AND(KL9&gt;=KS$21,KM9&gt;=KS$25,KL9&lt;&gt;""),AND(KQ9&gt;=KS$21,KR9&gt;=KS$25,KQ9&lt;&gt;""),AND(LN9&gt;=LU$21,LO9&gt;=LU$25,LN9&lt;&gt;""),AND(LS9&gt;=LU$21,LT9&gt;=LU$25,LS9&lt;&gt;""),AND(MP9&gt;=MW$21,MQ9&gt;=MW$25,MP9&lt;&gt;""),AND(MU9&gt;=MW$21,MV9&gt;=MW$25,MU9&lt;&gt;""),AND(NR9&gt;=NY$21,NS9&gt;=NY$25,NR9&lt;&gt;""),AND(NW9&gt;=NY$21,NX9&gt;=NY$25,NW9&lt;&gt;""),AND(OT9&gt;=PA$21,OU9&gt;=PA$25,OT9&lt;&gt;""),AND(OY9&gt;=PA$21,OZ9&gt;=PA$25,OY9&lt;&gt;""),AND(PV9&gt;=QC$21,PW9&gt;=QC$25,PV9&lt;&gt;""),AND(QA9&gt;=QC$21,QB9&gt;=QC$25,QA9&lt;&gt;"")),"P","")</f>
        <v>P</v>
      </c>
      <c r="I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A9&gt;=EG$25,EA9&lt;&gt;""),AND(EF9&gt;=EG$25,EF9&lt;&gt;""),AND(FC9&gt;=FI$25,FC9&lt;&gt;""),AND(FH9&gt;=FI$25,FH9&lt;&gt;""),AND(GE9&gt;=GK$25,GE9&lt;&gt;""),AND(GJ9&gt;=GK$25,GJ9&lt;&gt;""),AND(HG9&gt;=HM$25,HG9&lt;&gt;""),AND(HL9&gt;=HM$25,HL9&lt;&gt;""),AND(II9&gt;=IO$25,II9&lt;&gt;""),AND(IN9&gt;=IO$25,IN9&lt;&gt;""),AND(JK9&gt;=JQ$25,JK9&lt;&gt;""),AND(JP9&gt;=JQ$25,JP9&lt;&gt;""),AND(KM9&gt;=KS$25,KM9&lt;&gt;""),AND(KR9&gt;=KS$25,KR9&lt;&gt;""),AND(LO9&gt;=LU$25,LO9&lt;&gt;""),AND(LT9&gt;=LU$25,LT9&lt;&gt;""),AND(MQ9&gt;=MW$25,MQ9&lt;&gt;""),AND(MV9&gt;=MW$25,MV9&lt;&gt;""),AND(NS9&gt;=NY$25,NS9&lt;&gt;""),AND(NX9&gt;=NY$25,NX9&lt;&gt;""),AND(OU9&gt;=PA$25,OU9&lt;&gt;""),AND(OZ9&gt;=PA$25,OZ9&lt;&gt;""),AND(PW9&gt;=QC$25,PW9&lt;&gt;""),AND(QB9&gt;=QC$25,QB9&lt;&gt;"")),"P","")</f>
        <v>P</v>
      </c>
      <c r="J9" s="36" t="str">
        <f>IF(AND(I9="P",H9=""),"No DD",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Merit",IF(OR(AND(AS9&gt;=AW$23,AT9&gt;=AW$27,AS9&lt;&gt;"",AO9=""),AND(BV9&gt;=BZ$23,BW9&gt;=BZ$27,BV9&lt;&gt;"",BR9=""),AND(CY9&gt;=DC$23,CZ9&gt;=DC$27,CY9&lt;&gt;"",CU9=""),AND(EC9&gt;=EG$23,ED9&gt;=EG$27,EC9&lt;&gt;""),AND(FE9&gt;=FI$23,FF9&gt;=FI$27,FE9&lt;&gt;""),AND(GG9&gt;=GK$23,GH9&gt;=GK$27,GG9&lt;&gt;""),AND(HI9&gt;=HM$23,HJ9&gt;=HM$27,HI9&lt;&gt;""),AND(IK9&gt;=IO$23,IL9&gt;=IO$27,IK9&lt;&gt;""),AND(JM9&gt;=JQ$23,JN9&gt;=JQ$27,JM9&lt;&gt;""),AND(KO9&gt;=KS$23,KP9&gt;=KS$27,KO9&lt;&gt;""),AND(LQ9&gt;=LU$23,LR9&gt;=LU$27,LQ9&lt;&gt;""),AND(MS9&gt;=MW$23,MT9&gt;=MW$27,MS9&lt;&gt;""),AND(NU9&gt;=NY$23,NV9&gt;=NY$27,NU9&lt;&gt;""),AND(OW9&gt;=PA$23,OX9&gt;=PA$27,OW9&lt;&gt;""),AND(PY9&gt;=QC$23,PZ9&gt;=QC$27,PY9&lt;&gt;"")),"Excellence",IF(K9="P","Worlds Team",IF(H9="P","National Team","")))))</f>
        <v>National Team</v>
      </c>
      <c r="K9" s="3" t="str">
        <f>IF(OR(AND(AS9&gt;=AW$22,AT9&gt;=AW$26,AS9&lt;&gt;"",AO9=""),AND(BV9&gt;=BZ$22,BW9&gt;=BZ$26,BV9&lt;&gt;"",BR9=""),AND(CY9&gt;=DC$22,CZ9&gt;=DC$26,CY9&lt;&gt;"",CU9=""),AND(EC9&gt;=EG$22,ED9&gt;=EG$26,EC9&lt;&gt;""),AND(FE9&gt;=FI$22,FF9&gt;=FI$26,FE9&lt;&gt;""),AND(GG9&gt;=GK$22,GH9&gt;=GK$26,GG9&lt;&gt;""),AND(HI9&gt;=HM$22,HJ9&gt;=HM$26,HI9&lt;&gt;""),AND(IK9&gt;=IO$22,IL9&gt;=IO$26,IK9&lt;&gt;""),AND(JM9&gt;=JQ$22,JN9&gt;=JQ$26,JM9&lt;&gt;""),AND(KO9&gt;=KS$22,KP9&gt;=KS$26,KO9&lt;&gt;""),AND(LQ9&gt;=LU$22,LR9&gt;=LU$26,LQ9&lt;&gt;""),AND(MS9&gt;=MW$22,MT9&gt;=MW$26,MS9&lt;&gt;""),AND(NU9&gt;=NY$22,NV9&gt;=NY$26,NU9&lt;&gt;""),AND(OW9&gt;=PA$22,OX9&gt;=PA$26,OW9&lt;&gt;""),AND(PY9&gt;=QC$22,PZ9&gt;=QC$26,PY9&lt;&gt;"")),"P","")</f>
        <v/>
      </c>
      <c r="L9" s="8">
        <f>IF(COUNT(AQ9,BT9,CW9)&gt;0,LARGE((AQ9,BT9,CW9),1),0)</f>
        <v>40.099999999999994</v>
      </c>
      <c r="M9" s="8" t="str">
        <f t="shared" si="1"/>
        <v>2024 3rd Domestic Trial</v>
      </c>
      <c r="N9" s="8">
        <f>IF(COUNT(AQ9,BT9,CW9)&gt;1,LARGE((AQ9,BT9,CW9),2),0)</f>
        <v>33.799999999999997</v>
      </c>
      <c r="O9" s="8" t="str">
        <f t="shared" si="2"/>
        <v>2025 Elite Canada</v>
      </c>
      <c r="P9" s="8">
        <f t="shared" si="3"/>
        <v>42.599999999999994</v>
      </c>
      <c r="Q9" s="8" t="str">
        <f t="shared" si="4"/>
        <v>2024 3rd Domestic Trial</v>
      </c>
      <c r="R9" s="8" t="str">
        <f t="shared" si="5"/>
        <v/>
      </c>
      <c r="S9" s="11" t="str">
        <f t="shared" si="6"/>
        <v/>
      </c>
      <c r="T9" s="8" t="str">
        <f t="shared" si="7"/>
        <v/>
      </c>
      <c r="U9" s="19">
        <v>16.899999999999999</v>
      </c>
      <c r="V9" s="19">
        <v>4.3</v>
      </c>
      <c r="W9" s="19">
        <v>0.2</v>
      </c>
      <c r="X9" s="19">
        <v>0.3</v>
      </c>
      <c r="Y9" s="19">
        <v>15</v>
      </c>
      <c r="Z9" s="19">
        <v>3.9</v>
      </c>
      <c r="AA9" s="19">
        <v>0.4</v>
      </c>
      <c r="AB9" s="19">
        <v>0.3</v>
      </c>
      <c r="AC9" s="19">
        <v>16.100000000000001</v>
      </c>
      <c r="AD9" s="19">
        <v>1.9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16.399999999999999</v>
      </c>
      <c r="AL9" s="19">
        <v>4.3</v>
      </c>
      <c r="AM9" s="19">
        <v>0</v>
      </c>
      <c r="AN9" s="19">
        <v>0.3</v>
      </c>
      <c r="AO9" s="27"/>
      <c r="AP9" s="40">
        <f t="shared" si="8"/>
        <v>8.1999999999999993</v>
      </c>
      <c r="AQ9" s="40">
        <f t="shared" si="9"/>
        <v>40.099999999999994</v>
      </c>
      <c r="AR9" s="40">
        <f t="shared" si="10"/>
        <v>18.3</v>
      </c>
      <c r="AS9" s="40">
        <f t="shared" si="11"/>
        <v>10.1</v>
      </c>
      <c r="AT9" s="40">
        <f t="shared" si="12"/>
        <v>58.399999999999991</v>
      </c>
      <c r="AU9" s="40">
        <f t="shared" si="13"/>
        <v>8.3999999999999986</v>
      </c>
      <c r="AV9" s="40">
        <f t="shared" si="14"/>
        <v>42.599999999999994</v>
      </c>
      <c r="AW9" s="40">
        <f t="shared" si="15"/>
        <v>100.99999999999999</v>
      </c>
      <c r="AX9" s="18">
        <v>16.100000000000001</v>
      </c>
      <c r="AY9" s="18">
        <v>4.2</v>
      </c>
      <c r="AZ9" s="18">
        <v>0.2</v>
      </c>
      <c r="BA9" s="18">
        <v>0</v>
      </c>
      <c r="BB9" s="18">
        <v>10.6</v>
      </c>
      <c r="BC9" s="18">
        <v>2.4</v>
      </c>
      <c r="BD9" s="18">
        <v>0</v>
      </c>
      <c r="BE9" s="18">
        <v>0.7</v>
      </c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16"/>
        <v>6.6</v>
      </c>
      <c r="BT9" s="11">
        <f t="shared" si="17"/>
        <v>33.799999999999997</v>
      </c>
      <c r="BU9" s="11" t="str">
        <f t="shared" si="18"/>
        <v/>
      </c>
      <c r="BV9" s="11">
        <f t="shared" si="19"/>
        <v>6.6</v>
      </c>
      <c r="BW9" s="11">
        <f t="shared" si="20"/>
        <v>33.799999999999997</v>
      </c>
      <c r="BX9" s="11" t="str">
        <f t="shared" si="21"/>
        <v/>
      </c>
      <c r="BY9" s="11" t="str">
        <f t="shared" si="22"/>
        <v/>
      </c>
      <c r="BZ9" s="11">
        <f t="shared" si="23"/>
        <v>33.799999999999997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24"/>
        <v/>
      </c>
      <c r="CW9" s="40" t="str">
        <f t="shared" si="25"/>
        <v/>
      </c>
      <c r="CX9" s="40" t="str">
        <f t="shared" si="26"/>
        <v/>
      </c>
      <c r="CY9" s="40" t="str">
        <f t="shared" si="27"/>
        <v/>
      </c>
      <c r="CZ9" s="40" t="str">
        <f t="shared" si="28"/>
        <v/>
      </c>
      <c r="DA9" s="40" t="str">
        <f t="shared" si="29"/>
        <v/>
      </c>
      <c r="DB9" s="40" t="str">
        <f t="shared" si="30"/>
        <v/>
      </c>
      <c r="DC9" s="40" t="str">
        <f t="shared" si="31"/>
        <v/>
      </c>
      <c r="DD9" s="50" t="str">
        <f t="shared" si="32"/>
        <v/>
      </c>
      <c r="DE9" s="50" t="str">
        <f t="shared" si="33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4"/>
        <v/>
      </c>
      <c r="EA9" s="40" t="str">
        <f t="shared" si="35"/>
        <v/>
      </c>
      <c r="EB9" s="40" t="str">
        <f t="shared" si="36"/>
        <v/>
      </c>
      <c r="EC9" s="40" t="str">
        <f t="shared" si="37"/>
        <v/>
      </c>
      <c r="ED9" s="40" t="str">
        <f t="shared" si="38"/>
        <v/>
      </c>
      <c r="EE9" s="40" t="str">
        <f t="shared" si="39"/>
        <v/>
      </c>
      <c r="EF9" s="40" t="str">
        <f t="shared" si="40"/>
        <v/>
      </c>
      <c r="EG9" s="40" t="str">
        <f t="shared" si="41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2"/>
        <v/>
      </c>
      <c r="FC9" s="11" t="str">
        <f t="shared" si="43"/>
        <v/>
      </c>
      <c r="FD9" s="11" t="str">
        <f t="shared" si="44"/>
        <v/>
      </c>
      <c r="FE9" s="11" t="str">
        <f t="shared" si="45"/>
        <v/>
      </c>
      <c r="FF9" s="11" t="str">
        <f t="shared" si="46"/>
        <v/>
      </c>
      <c r="FG9" s="11" t="str">
        <f t="shared" si="47"/>
        <v/>
      </c>
      <c r="FH9" s="11" t="str">
        <f t="shared" si="48"/>
        <v/>
      </c>
      <c r="FI9" s="11" t="str">
        <f t="shared" si="49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0"/>
        <v/>
      </c>
      <c r="GE9" s="40" t="str">
        <f t="shared" si="51"/>
        <v/>
      </c>
      <c r="GF9" s="40" t="str">
        <f t="shared" si="52"/>
        <v/>
      </c>
      <c r="GG9" s="40" t="str">
        <f t="shared" si="53"/>
        <v/>
      </c>
      <c r="GH9" s="40" t="str">
        <f t="shared" si="54"/>
        <v/>
      </c>
      <c r="GI9" s="40" t="str">
        <f t="shared" si="55"/>
        <v/>
      </c>
      <c r="GJ9" s="40" t="str">
        <f t="shared" si="56"/>
        <v/>
      </c>
      <c r="GK9" s="40" t="str">
        <f t="shared" si="57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58"/>
        <v/>
      </c>
      <c r="HG9" s="11" t="str">
        <f t="shared" si="59"/>
        <v/>
      </c>
      <c r="HH9" s="11" t="str">
        <f t="shared" si="60"/>
        <v/>
      </c>
      <c r="HI9" s="11" t="str">
        <f t="shared" si="61"/>
        <v/>
      </c>
      <c r="HJ9" s="11" t="str">
        <f t="shared" si="62"/>
        <v/>
      </c>
      <c r="HK9" s="11" t="str">
        <f t="shared" si="63"/>
        <v/>
      </c>
      <c r="HL9" s="11" t="str">
        <f t="shared" si="64"/>
        <v/>
      </c>
      <c r="HM9" s="11" t="str">
        <f t="shared" si="65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6"/>
        <v/>
      </c>
      <c r="II9" s="40" t="str">
        <f t="shared" si="67"/>
        <v/>
      </c>
      <c r="IJ9" s="40" t="str">
        <f t="shared" si="68"/>
        <v/>
      </c>
      <c r="IK9" s="40" t="str">
        <f t="shared" si="69"/>
        <v/>
      </c>
      <c r="IL9" s="40" t="str">
        <f t="shared" si="70"/>
        <v/>
      </c>
      <c r="IM9" s="40" t="str">
        <f t="shared" si="71"/>
        <v/>
      </c>
      <c r="IN9" s="40" t="str">
        <f t="shared" si="72"/>
        <v/>
      </c>
      <c r="IO9" s="40" t="str">
        <f t="shared" si="73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4"/>
        <v/>
      </c>
      <c r="JK9" s="11" t="str">
        <f t="shared" si="75"/>
        <v/>
      </c>
      <c r="JL9" s="11" t="str">
        <f t="shared" si="76"/>
        <v/>
      </c>
      <c r="JM9" s="11" t="str">
        <f t="shared" si="77"/>
        <v/>
      </c>
      <c r="JN9" s="11" t="str">
        <f t="shared" si="78"/>
        <v/>
      </c>
      <c r="JO9" s="11" t="str">
        <f t="shared" si="79"/>
        <v/>
      </c>
      <c r="JP9" s="11" t="str">
        <f t="shared" si="80"/>
        <v/>
      </c>
      <c r="JQ9" s="11" t="str">
        <f t="shared" si="81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2"/>
        <v/>
      </c>
      <c r="KM9" s="40" t="str">
        <f t="shared" si="83"/>
        <v/>
      </c>
      <c r="KN9" s="40" t="str">
        <f t="shared" si="84"/>
        <v/>
      </c>
      <c r="KO9" s="40" t="str">
        <f t="shared" si="85"/>
        <v/>
      </c>
      <c r="KP9" s="40" t="str">
        <f t="shared" si="86"/>
        <v/>
      </c>
      <c r="KQ9" s="40" t="str">
        <f t="shared" si="87"/>
        <v/>
      </c>
      <c r="KR9" s="40" t="str">
        <f t="shared" si="88"/>
        <v/>
      </c>
      <c r="KS9" s="40" t="str">
        <f t="shared" si="89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0"/>
        <v/>
      </c>
      <c r="LO9" s="11" t="str">
        <f t="shared" si="91"/>
        <v/>
      </c>
      <c r="LP9" s="11" t="str">
        <f t="shared" si="92"/>
        <v/>
      </c>
      <c r="LQ9" s="11" t="str">
        <f t="shared" si="93"/>
        <v/>
      </c>
      <c r="LR9" s="11" t="str">
        <f t="shared" si="94"/>
        <v/>
      </c>
      <c r="LS9" s="11" t="str">
        <f t="shared" si="95"/>
        <v/>
      </c>
      <c r="LT9" s="11" t="str">
        <f t="shared" si="96"/>
        <v/>
      </c>
      <c r="LU9" s="11" t="str">
        <f t="shared" si="97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98"/>
        <v/>
      </c>
      <c r="MQ9" s="40" t="str">
        <f t="shared" si="99"/>
        <v/>
      </c>
      <c r="MR9" s="40" t="str">
        <f t="shared" si="100"/>
        <v/>
      </c>
      <c r="MS9" s="40" t="str">
        <f t="shared" si="101"/>
        <v/>
      </c>
      <c r="MT9" s="40" t="str">
        <f t="shared" si="102"/>
        <v/>
      </c>
      <c r="MU9" s="40" t="str">
        <f t="shared" si="103"/>
        <v/>
      </c>
      <c r="MV9" s="40" t="str">
        <f t="shared" si="104"/>
        <v/>
      </c>
      <c r="MW9" s="40" t="str">
        <f t="shared" si="105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6"/>
        <v/>
      </c>
      <c r="NS9" s="11" t="str">
        <f t="shared" si="107"/>
        <v/>
      </c>
      <c r="NT9" s="11" t="str">
        <f t="shared" si="108"/>
        <v/>
      </c>
      <c r="NU9" s="11" t="str">
        <f t="shared" si="109"/>
        <v/>
      </c>
      <c r="NV9" s="11" t="str">
        <f t="shared" si="110"/>
        <v/>
      </c>
      <c r="NW9" s="11" t="str">
        <f t="shared" si="111"/>
        <v/>
      </c>
      <c r="NX9" s="11" t="str">
        <f t="shared" si="112"/>
        <v/>
      </c>
      <c r="NY9" s="11" t="str">
        <f t="shared" si="113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4"/>
        <v/>
      </c>
      <c r="OU9" s="40" t="str">
        <f t="shared" si="115"/>
        <v/>
      </c>
      <c r="OV9" s="40" t="str">
        <f t="shared" si="116"/>
        <v/>
      </c>
      <c r="OW9" s="40" t="str">
        <f t="shared" si="117"/>
        <v/>
      </c>
      <c r="OX9" s="40" t="str">
        <f t="shared" si="118"/>
        <v/>
      </c>
      <c r="OY9" s="40" t="str">
        <f t="shared" si="119"/>
        <v/>
      </c>
      <c r="OZ9" s="40" t="str">
        <f t="shared" si="120"/>
        <v/>
      </c>
      <c r="PA9" s="40" t="str">
        <f t="shared" si="121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2"/>
        <v/>
      </c>
      <c r="PW9" s="11" t="str">
        <f t="shared" si="123"/>
        <v/>
      </c>
      <c r="PX9" s="11" t="str">
        <f t="shared" si="124"/>
        <v/>
      </c>
      <c r="PY9" s="11" t="str">
        <f t="shared" si="125"/>
        <v/>
      </c>
      <c r="PZ9" s="11" t="str">
        <f t="shared" si="126"/>
        <v/>
      </c>
      <c r="QA9" s="11" t="str">
        <f t="shared" si="127"/>
        <v/>
      </c>
      <c r="QB9" s="11" t="str">
        <f t="shared" si="128"/>
        <v/>
      </c>
      <c r="QC9" s="11" t="str">
        <f t="shared" si="129"/>
        <v/>
      </c>
      <c r="QD9" s="22">
        <f t="shared" si="130"/>
        <v>8.0500000000000007</v>
      </c>
      <c r="QE9" s="22">
        <f t="shared" si="131"/>
        <v>2.1</v>
      </c>
      <c r="QF9" s="22">
        <f t="shared" si="132"/>
        <v>0.1</v>
      </c>
      <c r="QG9" s="22">
        <f t="shared" si="133"/>
        <v>0</v>
      </c>
      <c r="QH9" s="22">
        <f t="shared" si="134"/>
        <v>5.3</v>
      </c>
      <c r="QI9" s="22">
        <f t="shared" si="135"/>
        <v>1.2</v>
      </c>
      <c r="QJ9" s="22">
        <f t="shared" si="136"/>
        <v>0</v>
      </c>
      <c r="QK9" s="22">
        <f t="shared" si="137"/>
        <v>0.35</v>
      </c>
      <c r="QL9" s="22">
        <f t="shared" si="138"/>
        <v>0</v>
      </c>
      <c r="QM9" s="22">
        <f t="shared" si="139"/>
        <v>0</v>
      </c>
      <c r="QN9" s="22">
        <f t="shared" si="140"/>
        <v>0</v>
      </c>
      <c r="QO9" s="22">
        <f t="shared" si="141"/>
        <v>0</v>
      </c>
      <c r="QP9" s="22">
        <f t="shared" si="142"/>
        <v>0</v>
      </c>
      <c r="QQ9" s="22">
        <f t="shared" si="143"/>
        <v>0</v>
      </c>
      <c r="QR9" s="22">
        <f t="shared" si="144"/>
        <v>0</v>
      </c>
      <c r="QS9" s="22">
        <f t="shared" si="145"/>
        <v>0</v>
      </c>
      <c r="QT9" s="22">
        <f t="shared" si="146"/>
        <v>0</v>
      </c>
      <c r="QU9" s="22">
        <f t="shared" si="147"/>
        <v>0</v>
      </c>
      <c r="QV9" s="22">
        <f t="shared" si="148"/>
        <v>0</v>
      </c>
      <c r="QW9" s="22">
        <f t="shared" si="149"/>
        <v>0</v>
      </c>
      <c r="QX9" s="27" t="s">
        <v>46</v>
      </c>
      <c r="QY9" s="40">
        <f t="shared" si="150"/>
        <v>3.3</v>
      </c>
      <c r="QZ9" s="40">
        <f t="shared" si="151"/>
        <v>16.899999999999999</v>
      </c>
      <c r="RA9" s="40" t="str">
        <f t="shared" si="152"/>
        <v/>
      </c>
      <c r="RB9" s="40">
        <f t="shared" si="153"/>
        <v>3.3</v>
      </c>
      <c r="RC9" s="40">
        <f t="shared" si="154"/>
        <v>16.899999999999999</v>
      </c>
      <c r="RD9" s="40" t="str">
        <f t="shared" si="155"/>
        <v/>
      </c>
      <c r="RE9" s="40" t="str">
        <f t="shared" si="156"/>
        <v/>
      </c>
      <c r="RF9" s="40">
        <f t="shared" si="157"/>
        <v>16.899999999999999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98</v>
      </c>
      <c r="D10" s="4" t="s">
        <v>6</v>
      </c>
      <c r="E10" s="4">
        <v>2005</v>
      </c>
      <c r="F10" s="9">
        <f t="shared" si="0"/>
        <v>126.60000842000423</v>
      </c>
      <c r="G10" s="64"/>
      <c r="H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DZ10&gt;=EG$21,EA10&gt;=EG$25,DZ10&lt;&gt;""),AND(EE10&gt;=EG$21,EF10&gt;=EG$25,EE10&lt;&gt;""),AND(FB10&gt;=FI$21,FC10&gt;=FI$25,FB10&lt;&gt;""),AND(FG10&gt;=FI$21,FH10&gt;=FI$25,FG10&lt;&gt;""),AND(GD10&gt;=GK$21,GE10&gt;=GK$25,GD10&lt;&gt;""),AND(GI10&gt;=GK$21,GJ10&gt;=GK$25,GI10&lt;&gt;""),AND(HF10&gt;=HM$21,HG10&gt;=HM$25,HF10&lt;&gt;""),AND(HK10&gt;=HM$21,HL10&gt;=HM$25,HK10&lt;&gt;""),AND(IH10&gt;=IO$21,II10&gt;=IO$25,IH10&lt;&gt;""),AND(IM10&gt;=IO$21,IN10&gt;=IO$25,IM10&lt;&gt;""),AND(JJ10&gt;=JQ$21,JK10&gt;=JQ$25,JJ10&lt;&gt;""),AND(JO10&gt;=JQ$21,JP10&gt;=JQ$25,JO10&lt;&gt;""),AND(KL10&gt;=KS$21,KM10&gt;=KS$25,KL10&lt;&gt;""),AND(KQ10&gt;=KS$21,KR10&gt;=KS$25,KQ10&lt;&gt;""),AND(LN10&gt;=LU$21,LO10&gt;=LU$25,LN10&lt;&gt;""),AND(LS10&gt;=LU$21,LT10&gt;=LU$25,LS10&lt;&gt;""),AND(MP10&gt;=MW$21,MQ10&gt;=MW$25,MP10&lt;&gt;""),AND(MU10&gt;=MW$21,MV10&gt;=MW$25,MU10&lt;&gt;""),AND(NR10&gt;=NY$21,NS10&gt;=NY$25,NR10&lt;&gt;""),AND(NW10&gt;=NY$21,NX10&gt;=NY$25,NW10&lt;&gt;""),AND(OT10&gt;=PA$21,OU10&gt;=PA$25,OT10&lt;&gt;""),AND(OY10&gt;=PA$21,OZ10&gt;=PA$25,OY10&lt;&gt;""),AND(PV10&gt;=QC$21,PW10&gt;=QC$25,PV10&lt;&gt;""),AND(QA10&gt;=QC$21,QB10&gt;=QC$25,QA10&lt;&gt;"")),"P","")</f>
        <v/>
      </c>
      <c r="I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A10&gt;=EG$25,EA10&lt;&gt;""),AND(EF10&gt;=EG$25,EF10&lt;&gt;""),AND(FC10&gt;=FI$25,FC10&lt;&gt;""),AND(FH10&gt;=FI$25,FH10&lt;&gt;""),AND(GE10&gt;=GK$25,GE10&lt;&gt;""),AND(GJ10&gt;=GK$25,GJ10&lt;&gt;""),AND(HG10&gt;=HM$25,HG10&lt;&gt;""),AND(HL10&gt;=HM$25,HL10&lt;&gt;""),AND(II10&gt;=IO$25,II10&lt;&gt;""),AND(IN10&gt;=IO$25,IN10&lt;&gt;""),AND(JK10&gt;=JQ$25,JK10&lt;&gt;""),AND(JP10&gt;=JQ$25,JP10&lt;&gt;""),AND(KM10&gt;=KS$25,KM10&lt;&gt;""),AND(KR10&gt;=KS$25,KR10&lt;&gt;""),AND(LO10&gt;=LU$25,LO10&lt;&gt;""),AND(LT10&gt;=LU$25,LT10&lt;&gt;""),AND(MQ10&gt;=MW$25,MQ10&lt;&gt;""),AND(MV10&gt;=MW$25,MV10&lt;&gt;""),AND(NS10&gt;=NY$25,NS10&lt;&gt;""),AND(NX10&gt;=NY$25,NX10&lt;&gt;""),AND(OU10&gt;=PA$25,OU10&lt;&gt;""),AND(OZ10&gt;=PA$25,OZ10&lt;&gt;""),AND(PW10&gt;=QC$25,PW10&lt;&gt;""),AND(QB10&gt;=QC$25,QB10&lt;&gt;"")),"P","")</f>
        <v/>
      </c>
      <c r="J10" s="36" t="str">
        <f>IF(AND(I10="P",H10=""),"No DD",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Merit",IF(OR(AND(AS10&gt;=AW$23,AT10&gt;=AW$27,AS10&lt;&gt;"",AO10=""),AND(BV10&gt;=BZ$23,BW10&gt;=BZ$27,BV10&lt;&gt;"",BR10=""),AND(CY10&gt;=DC$23,CZ10&gt;=DC$27,CY10&lt;&gt;"",CU10=""),AND(EC10&gt;=EG$23,ED10&gt;=EG$27,EC10&lt;&gt;""),AND(FE10&gt;=FI$23,FF10&gt;=FI$27,FE10&lt;&gt;""),AND(GG10&gt;=GK$23,GH10&gt;=GK$27,GG10&lt;&gt;""),AND(HI10&gt;=HM$23,HJ10&gt;=HM$27,HI10&lt;&gt;""),AND(IK10&gt;=IO$23,IL10&gt;=IO$27,IK10&lt;&gt;""),AND(JM10&gt;=JQ$23,JN10&gt;=JQ$27,JM10&lt;&gt;""),AND(KO10&gt;=KS$23,KP10&gt;=KS$27,KO10&lt;&gt;""),AND(LQ10&gt;=LU$23,LR10&gt;=LU$27,LQ10&lt;&gt;""),AND(MS10&gt;=MW$23,MT10&gt;=MW$27,MS10&lt;&gt;""),AND(NU10&gt;=NY$23,NV10&gt;=NY$27,NU10&lt;&gt;""),AND(OW10&gt;=PA$23,OX10&gt;=PA$27,OW10&lt;&gt;""),AND(PY10&gt;=QC$23,PZ10&gt;=QC$27,PY10&lt;&gt;"")),"Excellence",IF(K10="P","Worlds Team",IF(H10="P","National Team","")))))</f>
        <v/>
      </c>
      <c r="K10" s="3" t="str">
        <f>IF(OR(AND(AS10&gt;=AW$22,AT10&gt;=AW$26,AS10&lt;&gt;"",AO10=""),AND(BV10&gt;=BZ$22,BW10&gt;=BZ$26,BV10&lt;&gt;"",BR10=""),AND(CY10&gt;=DC$22,CZ10&gt;=DC$26,CY10&lt;&gt;"",CU10=""),AND(EC10&gt;=EG$22,ED10&gt;=EG$26,EC10&lt;&gt;""),AND(FE10&gt;=FI$22,FF10&gt;=FI$26,FE10&lt;&gt;""),AND(GG10&gt;=GK$22,GH10&gt;=GK$26,GG10&lt;&gt;""),AND(HI10&gt;=HM$22,HJ10&gt;=HM$26,HI10&lt;&gt;""),AND(IK10&gt;=IO$22,IL10&gt;=IO$26,IK10&lt;&gt;""),AND(JM10&gt;=JQ$22,JN10&gt;=JQ$26,JM10&lt;&gt;""),AND(KO10&gt;=KS$22,KP10&gt;=KS$26,KO10&lt;&gt;""),AND(LQ10&gt;=LU$22,LR10&gt;=LU$26,LQ10&lt;&gt;""),AND(MS10&gt;=MW$22,MT10&gt;=MW$26,MS10&lt;&gt;""),AND(NU10&gt;=NY$22,NV10&gt;=NY$26,NU10&lt;&gt;""),AND(OW10&gt;=PA$22,OX10&gt;=PA$26,OW10&lt;&gt;""),AND(PY10&gt;=QC$22,PZ10&gt;=QC$26,PY10&lt;&gt;"")),"P","")</f>
        <v/>
      </c>
      <c r="L10" s="8">
        <f>IF(COUNT(AQ10,BT10,CW10)&gt;0,LARGE((AQ10,BT10,CW10),1),0)</f>
        <v>42.300000000000004</v>
      </c>
      <c r="M10" s="8" t="str">
        <f t="shared" si="1"/>
        <v>2025 Nationals</v>
      </c>
      <c r="N10" s="8">
        <f>IF(COUNT(AQ10,BT10,CW10)&gt;1,LARGE((AQ10,BT10,CW10),2),0)</f>
        <v>41.9</v>
      </c>
      <c r="O10" s="8" t="str">
        <f t="shared" si="2"/>
        <v>2025 Elite Canada</v>
      </c>
      <c r="P10" s="8">
        <f t="shared" si="3"/>
        <v>42.4</v>
      </c>
      <c r="Q10" s="8" t="str">
        <f t="shared" si="4"/>
        <v>2025 Nationals</v>
      </c>
      <c r="R10" s="8" t="str">
        <f t="shared" si="5"/>
        <v/>
      </c>
      <c r="S10" s="11" t="str">
        <f t="shared" si="6"/>
        <v/>
      </c>
      <c r="T10" s="8" t="str">
        <f t="shared" si="7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8"/>
        <v/>
      </c>
      <c r="AQ10" s="40" t="str">
        <f t="shared" si="9"/>
        <v/>
      </c>
      <c r="AR10" s="40" t="str">
        <f t="shared" si="10"/>
        <v/>
      </c>
      <c r="AS10" s="40" t="str">
        <f t="shared" si="11"/>
        <v/>
      </c>
      <c r="AT10" s="40" t="str">
        <f t="shared" si="12"/>
        <v/>
      </c>
      <c r="AU10" s="40" t="str">
        <f t="shared" si="13"/>
        <v/>
      </c>
      <c r="AV10" s="40" t="str">
        <f t="shared" si="14"/>
        <v/>
      </c>
      <c r="AW10" s="40" t="str">
        <f t="shared" si="15"/>
        <v/>
      </c>
      <c r="AX10" s="18">
        <v>16.899999999999999</v>
      </c>
      <c r="AY10" s="18">
        <v>4.0999999999999996</v>
      </c>
      <c r="AZ10" s="18">
        <v>0</v>
      </c>
      <c r="BA10" s="18">
        <v>0</v>
      </c>
      <c r="BB10" s="18">
        <v>17</v>
      </c>
      <c r="BC10" s="18">
        <v>3.9</v>
      </c>
      <c r="BD10" s="18">
        <v>0</v>
      </c>
      <c r="BE10" s="18">
        <v>0</v>
      </c>
      <c r="BF10" s="18"/>
      <c r="BG10" s="18"/>
      <c r="BH10" s="18"/>
      <c r="BI10" s="18"/>
      <c r="BJ10" s="18">
        <v>16.8</v>
      </c>
      <c r="BK10" s="18">
        <v>4.0999999999999996</v>
      </c>
      <c r="BL10" s="18">
        <v>0</v>
      </c>
      <c r="BM10" s="18">
        <v>0</v>
      </c>
      <c r="BN10" s="18">
        <v>14.8</v>
      </c>
      <c r="BO10" s="18">
        <v>4.5999999999999996</v>
      </c>
      <c r="BP10" s="18">
        <v>0</v>
      </c>
      <c r="BQ10" s="18">
        <v>0</v>
      </c>
      <c r="BR10" s="28"/>
      <c r="BS10" s="11">
        <f t="shared" si="16"/>
        <v>8</v>
      </c>
      <c r="BT10" s="11">
        <f t="shared" si="17"/>
        <v>41.9</v>
      </c>
      <c r="BU10" s="11" t="str">
        <f t="shared" si="18"/>
        <v/>
      </c>
      <c r="BV10" s="11">
        <f t="shared" si="19"/>
        <v>8</v>
      </c>
      <c r="BW10" s="11">
        <f t="shared" si="20"/>
        <v>41.9</v>
      </c>
      <c r="BX10" s="11">
        <f t="shared" si="21"/>
        <v>8.6999999999999993</v>
      </c>
      <c r="BY10" s="11">
        <f t="shared" si="22"/>
        <v>40.300000000000004</v>
      </c>
      <c r="BZ10" s="11">
        <f t="shared" si="23"/>
        <v>82.2</v>
      </c>
      <c r="CA10" s="19">
        <v>16.899999999999999</v>
      </c>
      <c r="CB10" s="19">
        <v>4.0999999999999996</v>
      </c>
      <c r="CC10" s="19">
        <v>0</v>
      </c>
      <c r="CD10" s="19">
        <v>0</v>
      </c>
      <c r="CE10" s="19">
        <v>16.7</v>
      </c>
      <c r="CF10" s="19">
        <v>4.5999999999999996</v>
      </c>
      <c r="CG10" s="19">
        <v>0</v>
      </c>
      <c r="CH10" s="19">
        <v>0</v>
      </c>
      <c r="CI10" s="19"/>
      <c r="CJ10" s="19"/>
      <c r="CK10" s="19"/>
      <c r="CL10" s="19"/>
      <c r="CM10" s="19">
        <v>16.5</v>
      </c>
      <c r="CN10" s="19">
        <v>4.8</v>
      </c>
      <c r="CO10" s="19">
        <v>0</v>
      </c>
      <c r="CP10" s="19">
        <v>0</v>
      </c>
      <c r="CQ10" s="19">
        <v>16.5</v>
      </c>
      <c r="CR10" s="19">
        <v>4.5999999999999996</v>
      </c>
      <c r="CS10" s="19">
        <v>0</v>
      </c>
      <c r="CT10" s="19">
        <v>0</v>
      </c>
      <c r="CU10" s="27"/>
      <c r="CV10" s="40">
        <f t="shared" si="24"/>
        <v>8.6999999999999993</v>
      </c>
      <c r="CW10" s="40">
        <f t="shared" si="25"/>
        <v>42.300000000000004</v>
      </c>
      <c r="CX10" s="40" t="str">
        <f t="shared" si="26"/>
        <v/>
      </c>
      <c r="CY10" s="40">
        <f t="shared" si="27"/>
        <v>8.6999999999999993</v>
      </c>
      <c r="CZ10" s="40">
        <f t="shared" si="28"/>
        <v>42.300000000000004</v>
      </c>
      <c r="DA10" s="40">
        <f t="shared" si="29"/>
        <v>9.3999999999999986</v>
      </c>
      <c r="DB10" s="40">
        <f t="shared" si="30"/>
        <v>42.4</v>
      </c>
      <c r="DC10" s="40">
        <f t="shared" si="31"/>
        <v>84.7</v>
      </c>
      <c r="DD10" s="50" t="str">
        <f t="shared" si="32"/>
        <v/>
      </c>
      <c r="DE10" s="50" t="str">
        <f t="shared" si="33"/>
        <v/>
      </c>
      <c r="DF10" s="17">
        <v>15.3</v>
      </c>
      <c r="DG10" s="17">
        <v>2.6</v>
      </c>
      <c r="DH10" s="17">
        <v>0</v>
      </c>
      <c r="DI10" s="17">
        <v>0</v>
      </c>
      <c r="DJ10" s="17">
        <v>16.2</v>
      </c>
      <c r="DK10" s="17">
        <v>4.5999999999999996</v>
      </c>
      <c r="DL10" s="17">
        <v>0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>
        <f t="shared" si="34"/>
        <v>7.1999999999999993</v>
      </c>
      <c r="EA10" s="40">
        <f t="shared" si="35"/>
        <v>38.700000000000003</v>
      </c>
      <c r="EB10" s="40" t="str">
        <f t="shared" si="36"/>
        <v/>
      </c>
      <c r="EC10" s="40">
        <f t="shared" si="37"/>
        <v>7.1999999999999993</v>
      </c>
      <c r="ED10" s="40">
        <f t="shared" si="38"/>
        <v>38.700000000000003</v>
      </c>
      <c r="EE10" s="40" t="str">
        <f t="shared" si="39"/>
        <v/>
      </c>
      <c r="EF10" s="40" t="str">
        <f t="shared" si="40"/>
        <v/>
      </c>
      <c r="EG10" s="40">
        <f t="shared" si="41"/>
        <v>38.700000000000003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2"/>
        <v/>
      </c>
      <c r="FC10" s="11" t="str">
        <f t="shared" si="43"/>
        <v/>
      </c>
      <c r="FD10" s="11" t="str">
        <f t="shared" si="44"/>
        <v/>
      </c>
      <c r="FE10" s="11" t="str">
        <f t="shared" si="45"/>
        <v/>
      </c>
      <c r="FF10" s="11" t="str">
        <f t="shared" si="46"/>
        <v/>
      </c>
      <c r="FG10" s="11" t="str">
        <f t="shared" si="47"/>
        <v/>
      </c>
      <c r="FH10" s="11" t="str">
        <f t="shared" si="48"/>
        <v/>
      </c>
      <c r="FI10" s="11" t="str">
        <f t="shared" si="49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0"/>
        <v/>
      </c>
      <c r="GE10" s="40" t="str">
        <f t="shared" si="51"/>
        <v/>
      </c>
      <c r="GF10" s="40" t="str">
        <f t="shared" si="52"/>
        <v/>
      </c>
      <c r="GG10" s="40" t="str">
        <f t="shared" si="53"/>
        <v/>
      </c>
      <c r="GH10" s="40" t="str">
        <f t="shared" si="54"/>
        <v/>
      </c>
      <c r="GI10" s="40" t="str">
        <f t="shared" si="55"/>
        <v/>
      </c>
      <c r="GJ10" s="40" t="str">
        <f t="shared" si="56"/>
        <v/>
      </c>
      <c r="GK10" s="40" t="str">
        <f t="shared" si="57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58"/>
        <v/>
      </c>
      <c r="HG10" s="11" t="str">
        <f t="shared" si="59"/>
        <v/>
      </c>
      <c r="HH10" s="11" t="str">
        <f t="shared" si="60"/>
        <v/>
      </c>
      <c r="HI10" s="11" t="str">
        <f t="shared" si="61"/>
        <v/>
      </c>
      <c r="HJ10" s="11" t="str">
        <f t="shared" si="62"/>
        <v/>
      </c>
      <c r="HK10" s="11" t="str">
        <f t="shared" si="63"/>
        <v/>
      </c>
      <c r="HL10" s="11" t="str">
        <f t="shared" si="64"/>
        <v/>
      </c>
      <c r="HM10" s="11" t="str">
        <f t="shared" si="65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6"/>
        <v/>
      </c>
      <c r="II10" s="40" t="str">
        <f t="shared" si="67"/>
        <v/>
      </c>
      <c r="IJ10" s="40" t="str">
        <f t="shared" si="68"/>
        <v/>
      </c>
      <c r="IK10" s="40" t="str">
        <f t="shared" si="69"/>
        <v/>
      </c>
      <c r="IL10" s="40" t="str">
        <f t="shared" si="70"/>
        <v/>
      </c>
      <c r="IM10" s="40" t="str">
        <f t="shared" si="71"/>
        <v/>
      </c>
      <c r="IN10" s="40" t="str">
        <f t="shared" si="72"/>
        <v/>
      </c>
      <c r="IO10" s="40" t="str">
        <f t="shared" si="73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4"/>
        <v/>
      </c>
      <c r="JK10" s="11" t="str">
        <f t="shared" si="75"/>
        <v/>
      </c>
      <c r="JL10" s="11" t="str">
        <f t="shared" si="76"/>
        <v/>
      </c>
      <c r="JM10" s="11" t="str">
        <f t="shared" si="77"/>
        <v/>
      </c>
      <c r="JN10" s="11" t="str">
        <f t="shared" si="78"/>
        <v/>
      </c>
      <c r="JO10" s="11" t="str">
        <f t="shared" si="79"/>
        <v/>
      </c>
      <c r="JP10" s="11" t="str">
        <f t="shared" si="80"/>
        <v/>
      </c>
      <c r="JQ10" s="11" t="str">
        <f t="shared" si="81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2"/>
        <v/>
      </c>
      <c r="KM10" s="40" t="str">
        <f t="shared" si="83"/>
        <v/>
      </c>
      <c r="KN10" s="40" t="str">
        <f t="shared" si="84"/>
        <v/>
      </c>
      <c r="KO10" s="40" t="str">
        <f t="shared" si="85"/>
        <v/>
      </c>
      <c r="KP10" s="40" t="str">
        <f t="shared" si="86"/>
        <v/>
      </c>
      <c r="KQ10" s="40" t="str">
        <f t="shared" si="87"/>
        <v/>
      </c>
      <c r="KR10" s="40" t="str">
        <f t="shared" si="88"/>
        <v/>
      </c>
      <c r="KS10" s="40" t="str">
        <f t="shared" si="89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0"/>
        <v/>
      </c>
      <c r="LO10" s="11" t="str">
        <f t="shared" si="91"/>
        <v/>
      </c>
      <c r="LP10" s="11" t="str">
        <f t="shared" si="92"/>
        <v/>
      </c>
      <c r="LQ10" s="11" t="str">
        <f t="shared" si="93"/>
        <v/>
      </c>
      <c r="LR10" s="11" t="str">
        <f t="shared" si="94"/>
        <v/>
      </c>
      <c r="LS10" s="11" t="str">
        <f t="shared" si="95"/>
        <v/>
      </c>
      <c r="LT10" s="11" t="str">
        <f t="shared" si="96"/>
        <v/>
      </c>
      <c r="LU10" s="11" t="str">
        <f t="shared" si="97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98"/>
        <v/>
      </c>
      <c r="MQ10" s="40" t="str">
        <f t="shared" si="99"/>
        <v/>
      </c>
      <c r="MR10" s="40" t="str">
        <f t="shared" si="100"/>
        <v/>
      </c>
      <c r="MS10" s="40" t="str">
        <f t="shared" si="101"/>
        <v/>
      </c>
      <c r="MT10" s="40" t="str">
        <f t="shared" si="102"/>
        <v/>
      </c>
      <c r="MU10" s="40" t="str">
        <f t="shared" si="103"/>
        <v/>
      </c>
      <c r="MV10" s="40" t="str">
        <f t="shared" si="104"/>
        <v/>
      </c>
      <c r="MW10" s="40" t="str">
        <f t="shared" si="105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6"/>
        <v/>
      </c>
      <c r="NS10" s="11" t="str">
        <f t="shared" si="107"/>
        <v/>
      </c>
      <c r="NT10" s="11" t="str">
        <f t="shared" si="108"/>
        <v/>
      </c>
      <c r="NU10" s="11" t="str">
        <f t="shared" si="109"/>
        <v/>
      </c>
      <c r="NV10" s="11" t="str">
        <f t="shared" si="110"/>
        <v/>
      </c>
      <c r="NW10" s="11" t="str">
        <f t="shared" si="111"/>
        <v/>
      </c>
      <c r="NX10" s="11" t="str">
        <f t="shared" si="112"/>
        <v/>
      </c>
      <c r="NY10" s="11" t="str">
        <f t="shared" si="113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4"/>
        <v/>
      </c>
      <c r="OU10" s="40" t="str">
        <f t="shared" si="115"/>
        <v/>
      </c>
      <c r="OV10" s="40" t="str">
        <f t="shared" si="116"/>
        <v/>
      </c>
      <c r="OW10" s="40" t="str">
        <f t="shared" si="117"/>
        <v/>
      </c>
      <c r="OX10" s="40" t="str">
        <f t="shared" si="118"/>
        <v/>
      </c>
      <c r="OY10" s="40" t="str">
        <f t="shared" si="119"/>
        <v/>
      </c>
      <c r="OZ10" s="40" t="str">
        <f t="shared" si="120"/>
        <v/>
      </c>
      <c r="PA10" s="40" t="str">
        <f t="shared" si="121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2"/>
        <v/>
      </c>
      <c r="PW10" s="11" t="str">
        <f t="shared" si="123"/>
        <v/>
      </c>
      <c r="PX10" s="11" t="str">
        <f t="shared" si="124"/>
        <v/>
      </c>
      <c r="PY10" s="11" t="str">
        <f t="shared" si="125"/>
        <v/>
      </c>
      <c r="PZ10" s="11" t="str">
        <f t="shared" si="126"/>
        <v/>
      </c>
      <c r="QA10" s="11" t="str">
        <f t="shared" si="127"/>
        <v/>
      </c>
      <c r="QB10" s="11" t="str">
        <f t="shared" si="128"/>
        <v/>
      </c>
      <c r="QC10" s="11" t="str">
        <f t="shared" si="129"/>
        <v/>
      </c>
      <c r="QD10" s="22">
        <f t="shared" si="130"/>
        <v>16.899999999999999</v>
      </c>
      <c r="QE10" s="22">
        <f t="shared" si="131"/>
        <v>4.0999999999999996</v>
      </c>
      <c r="QF10" s="22">
        <f t="shared" si="132"/>
        <v>0</v>
      </c>
      <c r="QG10" s="22">
        <f t="shared" si="133"/>
        <v>0</v>
      </c>
      <c r="QH10" s="22">
        <f t="shared" si="134"/>
        <v>16.850000000000001</v>
      </c>
      <c r="QI10" s="22">
        <f t="shared" si="135"/>
        <v>4.25</v>
      </c>
      <c r="QJ10" s="22">
        <f t="shared" si="136"/>
        <v>0</v>
      </c>
      <c r="QK10" s="22">
        <f t="shared" si="137"/>
        <v>0</v>
      </c>
      <c r="QL10" s="22">
        <f t="shared" si="138"/>
        <v>0</v>
      </c>
      <c r="QM10" s="22">
        <f t="shared" si="139"/>
        <v>0</v>
      </c>
      <c r="QN10" s="22">
        <f t="shared" si="140"/>
        <v>0</v>
      </c>
      <c r="QO10" s="22">
        <f t="shared" si="141"/>
        <v>0</v>
      </c>
      <c r="QP10" s="22">
        <f t="shared" si="142"/>
        <v>16.649999999999999</v>
      </c>
      <c r="QQ10" s="22">
        <f t="shared" si="143"/>
        <v>4.4499999999999993</v>
      </c>
      <c r="QR10" s="22">
        <f t="shared" si="144"/>
        <v>0</v>
      </c>
      <c r="QS10" s="22">
        <f t="shared" si="145"/>
        <v>0</v>
      </c>
      <c r="QT10" s="22">
        <f t="shared" si="146"/>
        <v>15.65</v>
      </c>
      <c r="QU10" s="22">
        <f t="shared" si="147"/>
        <v>4.5999999999999996</v>
      </c>
      <c r="QV10" s="22">
        <f t="shared" si="148"/>
        <v>0</v>
      </c>
      <c r="QW10" s="22">
        <f t="shared" si="149"/>
        <v>0</v>
      </c>
      <c r="QX10" s="27" t="s">
        <v>46</v>
      </c>
      <c r="QY10" s="40">
        <f t="shared" si="150"/>
        <v>8.35</v>
      </c>
      <c r="QZ10" s="40">
        <f t="shared" si="151"/>
        <v>42.1</v>
      </c>
      <c r="RA10" s="40" t="str">
        <f t="shared" si="152"/>
        <v/>
      </c>
      <c r="RB10" s="40">
        <f t="shared" si="153"/>
        <v>8.35</v>
      </c>
      <c r="RC10" s="40">
        <f t="shared" si="154"/>
        <v>42.1</v>
      </c>
      <c r="RD10" s="40">
        <f t="shared" si="155"/>
        <v>9.0499999999999989</v>
      </c>
      <c r="RE10" s="40">
        <f t="shared" si="156"/>
        <v>41.35</v>
      </c>
      <c r="RF10" s="40">
        <f t="shared" si="157"/>
        <v>83.45</v>
      </c>
    </row>
    <row r="11" spans="1:474" x14ac:dyDescent="0.2">
      <c r="A11" s="4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>7</v>
      </c>
      <c r="B11" s="4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>3</v>
      </c>
      <c r="C11" s="5" t="s">
        <v>148</v>
      </c>
      <c r="D11" s="4" t="s">
        <v>3</v>
      </c>
      <c r="E11" s="4">
        <v>2007</v>
      </c>
      <c r="F11" s="9">
        <f t="shared" si="0"/>
        <v>123.20000826000427</v>
      </c>
      <c r="G11" s="64"/>
      <c r="H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DZ11&gt;=EG$21,EA11&gt;=EG$25,DZ11&lt;&gt;""),AND(EE11&gt;=EG$21,EF11&gt;=EG$25,EE11&lt;&gt;""),AND(FB11&gt;=FI$21,FC11&gt;=FI$25,FB11&lt;&gt;""),AND(FG11&gt;=FI$21,FH11&gt;=FI$25,FG11&lt;&gt;""),AND(GD11&gt;=GK$21,GE11&gt;=GK$25,GD11&lt;&gt;""),AND(GI11&gt;=GK$21,GJ11&gt;=GK$25,GI11&lt;&gt;""),AND(HF11&gt;=HM$21,HG11&gt;=HM$25,HF11&lt;&gt;""),AND(HK11&gt;=HM$21,HL11&gt;=HM$25,HK11&lt;&gt;""),AND(IH11&gt;=IO$21,II11&gt;=IO$25,IH11&lt;&gt;""),AND(IM11&gt;=IO$21,IN11&gt;=IO$25,IM11&lt;&gt;""),AND(JJ11&gt;=JQ$21,JK11&gt;=JQ$25,JJ11&lt;&gt;""),AND(JO11&gt;=JQ$21,JP11&gt;=JQ$25,JO11&lt;&gt;""),AND(KL11&gt;=KS$21,KM11&gt;=KS$25,KL11&lt;&gt;""),AND(KQ11&gt;=KS$21,KR11&gt;=KS$25,KQ11&lt;&gt;""),AND(LN11&gt;=LU$21,LO11&gt;=LU$25,LN11&lt;&gt;""),AND(LS11&gt;=LU$21,LT11&gt;=LU$25,LS11&lt;&gt;""),AND(MP11&gt;=MW$21,MQ11&gt;=MW$25,MP11&lt;&gt;""),AND(MU11&gt;=MW$21,MV11&gt;=MW$25,MU11&lt;&gt;""),AND(NR11&gt;=NY$21,NS11&gt;=NY$25,NR11&lt;&gt;""),AND(NW11&gt;=NY$21,NX11&gt;=NY$25,NW11&lt;&gt;""),AND(OT11&gt;=PA$21,OU11&gt;=PA$25,OT11&lt;&gt;""),AND(OY11&gt;=PA$21,OZ11&gt;=PA$25,OY11&lt;&gt;""),AND(PV11&gt;=QC$21,PW11&gt;=QC$25,PV11&lt;&gt;""),AND(QA11&gt;=QC$21,QB11&gt;=QC$25,QA11&lt;&gt;"")),"P","")</f>
        <v/>
      </c>
      <c r="I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A11&gt;=EG$25,EA11&lt;&gt;""),AND(EF11&gt;=EG$25,EF11&lt;&gt;""),AND(FC11&gt;=FI$25,FC11&lt;&gt;""),AND(FH11&gt;=FI$25,FH11&lt;&gt;""),AND(GE11&gt;=GK$25,GE11&lt;&gt;""),AND(GJ11&gt;=GK$25,GJ11&lt;&gt;""),AND(HG11&gt;=HM$25,HG11&lt;&gt;""),AND(HL11&gt;=HM$25,HL11&lt;&gt;""),AND(II11&gt;=IO$25,II11&lt;&gt;""),AND(IN11&gt;=IO$25,IN11&lt;&gt;""),AND(JK11&gt;=JQ$25,JK11&lt;&gt;""),AND(JP11&gt;=JQ$25,JP11&lt;&gt;""),AND(KM11&gt;=KS$25,KM11&lt;&gt;""),AND(KR11&gt;=KS$25,KR11&lt;&gt;""),AND(LO11&gt;=LU$25,LO11&lt;&gt;""),AND(LT11&gt;=LU$25,LT11&lt;&gt;""),AND(MQ11&gt;=MW$25,MQ11&lt;&gt;""),AND(MV11&gt;=MW$25,MV11&lt;&gt;""),AND(NS11&gt;=NY$25,NS11&lt;&gt;""),AND(NX11&gt;=NY$25,NX11&lt;&gt;""),AND(OU11&gt;=PA$25,OU11&lt;&gt;""),AND(OZ11&gt;=PA$25,OZ11&lt;&gt;""),AND(PW11&gt;=QC$25,PW11&lt;&gt;""),AND(QB11&gt;=QC$25,QB11&lt;&gt;"")),"P","")</f>
        <v>P</v>
      </c>
      <c r="J11" s="36" t="str">
        <f>IF(AND(I11="P",H11=""),"No DD",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Merit",IF(OR(AND(AS11&gt;=AW$23,AT11&gt;=AW$27,AS11&lt;&gt;"",AO11=""),AND(BV11&gt;=BZ$23,BW11&gt;=BZ$27,BV11&lt;&gt;"",BR11=""),AND(CY11&gt;=DC$23,CZ11&gt;=DC$27,CY11&lt;&gt;"",CU11=""),AND(EC11&gt;=EG$23,ED11&gt;=EG$27,EC11&lt;&gt;""),AND(FE11&gt;=FI$23,FF11&gt;=FI$27,FE11&lt;&gt;""),AND(GG11&gt;=GK$23,GH11&gt;=GK$27,GG11&lt;&gt;""),AND(HI11&gt;=HM$23,HJ11&gt;=HM$27,HI11&lt;&gt;""),AND(IK11&gt;=IO$23,IL11&gt;=IO$27,IK11&lt;&gt;""),AND(JM11&gt;=JQ$23,JN11&gt;=JQ$27,JM11&lt;&gt;""),AND(KO11&gt;=KS$23,KP11&gt;=KS$27,KO11&lt;&gt;""),AND(LQ11&gt;=LU$23,LR11&gt;=LU$27,LQ11&lt;&gt;""),AND(MS11&gt;=MW$23,MT11&gt;=MW$27,MS11&lt;&gt;""),AND(NU11&gt;=NY$23,NV11&gt;=NY$27,NU11&lt;&gt;""),AND(OW11&gt;=PA$23,OX11&gt;=PA$27,OW11&lt;&gt;""),AND(PY11&gt;=QC$23,PZ11&gt;=QC$27,PY11&lt;&gt;"")),"Excellence",IF(K11="P","Worlds Team",IF(H11="P","National Team","")))))</f>
        <v>No DD</v>
      </c>
      <c r="K11" s="3" t="str">
        <f>IF(OR(AND(AS11&gt;=AW$22,AT11&gt;=AW$26,AS11&lt;&gt;"",AO11=""),AND(BV11&gt;=BZ$22,BW11&gt;=BZ$26,BV11&lt;&gt;"",BR11=""),AND(CY11&gt;=DC$22,CZ11&gt;=DC$26,CY11&lt;&gt;"",CU11=""),AND(EC11&gt;=EG$22,ED11&gt;=EG$26,EC11&lt;&gt;""),AND(FE11&gt;=FI$22,FF11&gt;=FI$26,FE11&lt;&gt;""),AND(GG11&gt;=GK$22,GH11&gt;=GK$26,GG11&lt;&gt;""),AND(HI11&gt;=HM$22,HJ11&gt;=HM$26,HI11&lt;&gt;""),AND(IK11&gt;=IO$22,IL11&gt;=IO$26,IK11&lt;&gt;""),AND(JM11&gt;=JQ$22,JN11&gt;=JQ$26,JM11&lt;&gt;""),AND(KO11&gt;=KS$22,KP11&gt;=KS$26,KO11&lt;&gt;""),AND(LQ11&gt;=LU$22,LR11&gt;=LU$26,LQ11&lt;&gt;""),AND(MS11&gt;=MW$22,MT11&gt;=MW$26,MS11&lt;&gt;""),AND(NU11&gt;=NY$22,NV11&gt;=NY$26,NU11&lt;&gt;""),AND(OW11&gt;=PA$22,OX11&gt;=PA$26,OW11&lt;&gt;""),AND(PY11&gt;=QC$22,PZ11&gt;=QC$26,PY11&lt;&gt;"")),"P","")</f>
        <v/>
      </c>
      <c r="L11" s="8">
        <f>IF(COUNT(AQ11,BT11,CW11)&gt;0,LARGE((AQ11,BT11,CW11),1),0)</f>
        <v>42.8</v>
      </c>
      <c r="M11" s="8" t="str">
        <f t="shared" si="1"/>
        <v>2024 3rd Domestic Trial</v>
      </c>
      <c r="N11" s="8">
        <f>IF(COUNT(AQ11,BT11,CW11)&gt;1,LARGE((AQ11,BT11,CW11),2),0)</f>
        <v>39.799999999999997</v>
      </c>
      <c r="O11" s="8" t="str">
        <f t="shared" si="2"/>
        <v>2025 Nationals</v>
      </c>
      <c r="P11" s="8">
        <f t="shared" si="3"/>
        <v>40.599999999999994</v>
      </c>
      <c r="Q11" s="8" t="str">
        <f t="shared" si="4"/>
        <v>2025 Nationals</v>
      </c>
      <c r="R11" s="8" t="str">
        <f t="shared" si="5"/>
        <v/>
      </c>
      <c r="S11" s="11" t="str">
        <f t="shared" si="6"/>
        <v/>
      </c>
      <c r="T11" s="8" t="str">
        <f t="shared" si="7"/>
        <v/>
      </c>
      <c r="U11" s="19">
        <v>18</v>
      </c>
      <c r="V11" s="19">
        <v>3.4</v>
      </c>
      <c r="W11" s="19">
        <v>0.2</v>
      </c>
      <c r="X11" s="19">
        <v>0</v>
      </c>
      <c r="Y11" s="19">
        <v>17.399999999999999</v>
      </c>
      <c r="Z11" s="19">
        <v>3.6</v>
      </c>
      <c r="AA11" s="19">
        <v>0</v>
      </c>
      <c r="AB11" s="19">
        <v>0.6</v>
      </c>
      <c r="AC11" s="19">
        <v>17.100000000000001</v>
      </c>
      <c r="AD11" s="19">
        <v>3.6</v>
      </c>
      <c r="AE11" s="19">
        <v>0</v>
      </c>
      <c r="AF11" s="19">
        <v>0.6</v>
      </c>
      <c r="AG11" s="19">
        <v>17.3</v>
      </c>
      <c r="AH11" s="19">
        <v>3.4</v>
      </c>
      <c r="AI11" s="19">
        <v>0.2</v>
      </c>
      <c r="AJ11" s="19">
        <v>0</v>
      </c>
      <c r="AK11" s="19">
        <v>15.8</v>
      </c>
      <c r="AL11" s="19">
        <v>3.3</v>
      </c>
      <c r="AM11" s="19">
        <v>0.4</v>
      </c>
      <c r="AN11" s="19">
        <v>0.6</v>
      </c>
      <c r="AO11" s="27"/>
      <c r="AP11" s="40">
        <f t="shared" si="8"/>
        <v>7</v>
      </c>
      <c r="AQ11" s="40">
        <f t="shared" si="9"/>
        <v>42.8</v>
      </c>
      <c r="AR11" s="40">
        <f t="shared" si="10"/>
        <v>21.300000000000004</v>
      </c>
      <c r="AS11" s="40">
        <f t="shared" si="11"/>
        <v>10.6</v>
      </c>
      <c r="AT11" s="40">
        <f t="shared" si="12"/>
        <v>64.099999999999994</v>
      </c>
      <c r="AU11" s="40">
        <f t="shared" si="13"/>
        <v>6.6999999999999993</v>
      </c>
      <c r="AV11" s="40">
        <f t="shared" si="14"/>
        <v>39.799999999999997</v>
      </c>
      <c r="AW11" s="40">
        <f t="shared" si="15"/>
        <v>103.89999999999999</v>
      </c>
      <c r="AX11" s="18">
        <v>14.5</v>
      </c>
      <c r="AY11" s="18">
        <v>1.6</v>
      </c>
      <c r="AZ11" s="18">
        <v>0</v>
      </c>
      <c r="BA11" s="18">
        <v>0</v>
      </c>
      <c r="BB11" s="18">
        <v>16.3</v>
      </c>
      <c r="BC11" s="18">
        <v>1.2</v>
      </c>
      <c r="BD11" s="18">
        <v>0.2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16"/>
        <v>2.8</v>
      </c>
      <c r="BT11" s="11">
        <f t="shared" si="17"/>
        <v>33.400000000000006</v>
      </c>
      <c r="BU11" s="11" t="str">
        <f t="shared" si="18"/>
        <v/>
      </c>
      <c r="BV11" s="11">
        <f t="shared" si="19"/>
        <v>2.8</v>
      </c>
      <c r="BW11" s="11">
        <f t="shared" si="20"/>
        <v>33.400000000000006</v>
      </c>
      <c r="BX11" s="11" t="str">
        <f t="shared" si="21"/>
        <v/>
      </c>
      <c r="BY11" s="11" t="str">
        <f t="shared" si="22"/>
        <v/>
      </c>
      <c r="BZ11" s="11">
        <f t="shared" si="23"/>
        <v>33.400000000000006</v>
      </c>
      <c r="CA11" s="19">
        <v>16.7</v>
      </c>
      <c r="CB11" s="19">
        <v>3.4</v>
      </c>
      <c r="CC11" s="19">
        <v>0.2</v>
      </c>
      <c r="CD11" s="19">
        <v>0</v>
      </c>
      <c r="CE11" s="19">
        <v>16.8</v>
      </c>
      <c r="CF11" s="19">
        <v>3.1</v>
      </c>
      <c r="CG11" s="19">
        <v>0</v>
      </c>
      <c r="CH11" s="19">
        <v>0</v>
      </c>
      <c r="CI11" s="19"/>
      <c r="CJ11" s="19"/>
      <c r="CK11" s="19"/>
      <c r="CL11" s="19"/>
      <c r="CM11" s="19">
        <v>17.100000000000001</v>
      </c>
      <c r="CN11" s="19">
        <v>3.4</v>
      </c>
      <c r="CO11" s="19">
        <v>0</v>
      </c>
      <c r="CP11" s="19">
        <v>0</v>
      </c>
      <c r="CQ11" s="19">
        <v>17.3</v>
      </c>
      <c r="CR11" s="19">
        <v>2.9</v>
      </c>
      <c r="CS11" s="19">
        <v>0.1</v>
      </c>
      <c r="CT11" s="19">
        <v>0</v>
      </c>
      <c r="CU11" s="27"/>
      <c r="CV11" s="40">
        <f t="shared" si="24"/>
        <v>6.5</v>
      </c>
      <c r="CW11" s="40">
        <f t="shared" si="25"/>
        <v>39.799999999999997</v>
      </c>
      <c r="CX11" s="40" t="str">
        <f t="shared" si="26"/>
        <v/>
      </c>
      <c r="CY11" s="40">
        <f t="shared" si="27"/>
        <v>6.5</v>
      </c>
      <c r="CZ11" s="40">
        <f t="shared" si="28"/>
        <v>39.799999999999997</v>
      </c>
      <c r="DA11" s="40">
        <f t="shared" si="29"/>
        <v>6.3</v>
      </c>
      <c r="DB11" s="40">
        <f t="shared" si="30"/>
        <v>40.599999999999994</v>
      </c>
      <c r="DC11" s="40">
        <f t="shared" si="31"/>
        <v>80.399999999999991</v>
      </c>
      <c r="DD11" s="50" t="str">
        <f t="shared" si="32"/>
        <v/>
      </c>
      <c r="DE11" s="50" t="str">
        <f t="shared" si="33"/>
        <v/>
      </c>
      <c r="DF11" s="17">
        <v>15.9</v>
      </c>
      <c r="DG11" s="17">
        <v>3.8</v>
      </c>
      <c r="DH11" s="17">
        <v>0.2</v>
      </c>
      <c r="DI11" s="17">
        <v>0</v>
      </c>
      <c r="DJ11" s="17">
        <v>16.2</v>
      </c>
      <c r="DK11" s="17">
        <v>3.6</v>
      </c>
      <c r="DL11" s="17">
        <v>0.6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>
        <f t="shared" si="34"/>
        <v>7.4</v>
      </c>
      <c r="EA11" s="40">
        <f t="shared" si="35"/>
        <v>38.699999999999996</v>
      </c>
      <c r="EB11" s="40" t="str">
        <f t="shared" si="36"/>
        <v/>
      </c>
      <c r="EC11" s="40">
        <f t="shared" si="37"/>
        <v>7.4</v>
      </c>
      <c r="ED11" s="40">
        <f t="shared" si="38"/>
        <v>38.699999999999996</v>
      </c>
      <c r="EE11" s="40" t="str">
        <f t="shared" si="39"/>
        <v/>
      </c>
      <c r="EF11" s="40" t="str">
        <f t="shared" si="40"/>
        <v/>
      </c>
      <c r="EG11" s="40">
        <f t="shared" si="41"/>
        <v>38.699999999999996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2"/>
        <v/>
      </c>
      <c r="FC11" s="11" t="str">
        <f t="shared" si="43"/>
        <v/>
      </c>
      <c r="FD11" s="11" t="str">
        <f t="shared" si="44"/>
        <v/>
      </c>
      <c r="FE11" s="11" t="str">
        <f t="shared" si="45"/>
        <v/>
      </c>
      <c r="FF11" s="11" t="str">
        <f t="shared" si="46"/>
        <v/>
      </c>
      <c r="FG11" s="11" t="str">
        <f t="shared" si="47"/>
        <v/>
      </c>
      <c r="FH11" s="11" t="str">
        <f t="shared" si="48"/>
        <v/>
      </c>
      <c r="FI11" s="11" t="str">
        <f t="shared" si="49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0"/>
        <v/>
      </c>
      <c r="GE11" s="40" t="str">
        <f t="shared" si="51"/>
        <v/>
      </c>
      <c r="GF11" s="40" t="str">
        <f t="shared" si="52"/>
        <v/>
      </c>
      <c r="GG11" s="40" t="str">
        <f t="shared" si="53"/>
        <v/>
      </c>
      <c r="GH11" s="40" t="str">
        <f t="shared" si="54"/>
        <v/>
      </c>
      <c r="GI11" s="40" t="str">
        <f t="shared" si="55"/>
        <v/>
      </c>
      <c r="GJ11" s="40" t="str">
        <f t="shared" si="56"/>
        <v/>
      </c>
      <c r="GK11" s="40" t="str">
        <f t="shared" si="57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58"/>
        <v/>
      </c>
      <c r="HG11" s="11" t="str">
        <f t="shared" si="59"/>
        <v/>
      </c>
      <c r="HH11" s="11" t="str">
        <f t="shared" si="60"/>
        <v/>
      </c>
      <c r="HI11" s="11" t="str">
        <f t="shared" si="61"/>
        <v/>
      </c>
      <c r="HJ11" s="11" t="str">
        <f t="shared" si="62"/>
        <v/>
      </c>
      <c r="HK11" s="11" t="str">
        <f t="shared" si="63"/>
        <v/>
      </c>
      <c r="HL11" s="11" t="str">
        <f t="shared" si="64"/>
        <v/>
      </c>
      <c r="HM11" s="11" t="str">
        <f t="shared" si="65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6"/>
        <v/>
      </c>
      <c r="II11" s="40" t="str">
        <f t="shared" si="67"/>
        <v/>
      </c>
      <c r="IJ11" s="40" t="str">
        <f t="shared" si="68"/>
        <v/>
      </c>
      <c r="IK11" s="40" t="str">
        <f t="shared" si="69"/>
        <v/>
      </c>
      <c r="IL11" s="40" t="str">
        <f t="shared" si="70"/>
        <v/>
      </c>
      <c r="IM11" s="40" t="str">
        <f t="shared" si="71"/>
        <v/>
      </c>
      <c r="IN11" s="40" t="str">
        <f t="shared" si="72"/>
        <v/>
      </c>
      <c r="IO11" s="40" t="str">
        <f t="shared" si="73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4"/>
        <v/>
      </c>
      <c r="JK11" s="11" t="str">
        <f t="shared" si="75"/>
        <v/>
      </c>
      <c r="JL11" s="11" t="str">
        <f t="shared" si="76"/>
        <v/>
      </c>
      <c r="JM11" s="11" t="str">
        <f t="shared" si="77"/>
        <v/>
      </c>
      <c r="JN11" s="11" t="str">
        <f t="shared" si="78"/>
        <v/>
      </c>
      <c r="JO11" s="11" t="str">
        <f t="shared" si="79"/>
        <v/>
      </c>
      <c r="JP11" s="11" t="str">
        <f t="shared" si="80"/>
        <v/>
      </c>
      <c r="JQ11" s="11" t="str">
        <f t="shared" si="81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2"/>
        <v/>
      </c>
      <c r="KM11" s="40" t="str">
        <f t="shared" si="83"/>
        <v/>
      </c>
      <c r="KN11" s="40" t="str">
        <f t="shared" si="84"/>
        <v/>
      </c>
      <c r="KO11" s="40" t="str">
        <f t="shared" si="85"/>
        <v/>
      </c>
      <c r="KP11" s="40" t="str">
        <f t="shared" si="86"/>
        <v/>
      </c>
      <c r="KQ11" s="40" t="str">
        <f t="shared" si="87"/>
        <v/>
      </c>
      <c r="KR11" s="40" t="str">
        <f t="shared" si="88"/>
        <v/>
      </c>
      <c r="KS11" s="40" t="str">
        <f t="shared" si="89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0"/>
        <v/>
      </c>
      <c r="LO11" s="11" t="str">
        <f t="shared" si="91"/>
        <v/>
      </c>
      <c r="LP11" s="11" t="str">
        <f t="shared" si="92"/>
        <v/>
      </c>
      <c r="LQ11" s="11" t="str">
        <f t="shared" si="93"/>
        <v/>
      </c>
      <c r="LR11" s="11" t="str">
        <f t="shared" si="94"/>
        <v/>
      </c>
      <c r="LS11" s="11" t="str">
        <f t="shared" si="95"/>
        <v/>
      </c>
      <c r="LT11" s="11" t="str">
        <f t="shared" si="96"/>
        <v/>
      </c>
      <c r="LU11" s="11" t="str">
        <f t="shared" si="97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98"/>
        <v/>
      </c>
      <c r="MQ11" s="40" t="str">
        <f t="shared" si="99"/>
        <v/>
      </c>
      <c r="MR11" s="40" t="str">
        <f t="shared" si="100"/>
        <v/>
      </c>
      <c r="MS11" s="40" t="str">
        <f t="shared" si="101"/>
        <v/>
      </c>
      <c r="MT11" s="40" t="str">
        <f t="shared" si="102"/>
        <v/>
      </c>
      <c r="MU11" s="40" t="str">
        <f t="shared" si="103"/>
        <v/>
      </c>
      <c r="MV11" s="40" t="str">
        <f t="shared" si="104"/>
        <v/>
      </c>
      <c r="MW11" s="40" t="str">
        <f t="shared" si="105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6"/>
        <v/>
      </c>
      <c r="NS11" s="11" t="str">
        <f t="shared" si="107"/>
        <v/>
      </c>
      <c r="NT11" s="11" t="str">
        <f t="shared" si="108"/>
        <v/>
      </c>
      <c r="NU11" s="11" t="str">
        <f t="shared" si="109"/>
        <v/>
      </c>
      <c r="NV11" s="11" t="str">
        <f t="shared" si="110"/>
        <v/>
      </c>
      <c r="NW11" s="11" t="str">
        <f t="shared" si="111"/>
        <v/>
      </c>
      <c r="NX11" s="11" t="str">
        <f t="shared" si="112"/>
        <v/>
      </c>
      <c r="NY11" s="11" t="str">
        <f t="shared" si="113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4"/>
        <v/>
      </c>
      <c r="OU11" s="40" t="str">
        <f t="shared" si="115"/>
        <v/>
      </c>
      <c r="OV11" s="40" t="str">
        <f t="shared" si="116"/>
        <v/>
      </c>
      <c r="OW11" s="40" t="str">
        <f t="shared" si="117"/>
        <v/>
      </c>
      <c r="OX11" s="40" t="str">
        <f t="shared" si="118"/>
        <v/>
      </c>
      <c r="OY11" s="40" t="str">
        <f t="shared" si="119"/>
        <v/>
      </c>
      <c r="OZ11" s="40" t="str">
        <f t="shared" si="120"/>
        <v/>
      </c>
      <c r="PA11" s="40" t="str">
        <f t="shared" si="121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2"/>
        <v/>
      </c>
      <c r="PW11" s="11" t="str">
        <f t="shared" si="123"/>
        <v/>
      </c>
      <c r="PX11" s="11" t="str">
        <f t="shared" si="124"/>
        <v/>
      </c>
      <c r="PY11" s="11" t="str">
        <f t="shared" si="125"/>
        <v/>
      </c>
      <c r="PZ11" s="11" t="str">
        <f t="shared" si="126"/>
        <v/>
      </c>
      <c r="QA11" s="11" t="str">
        <f t="shared" si="127"/>
        <v/>
      </c>
      <c r="QB11" s="11" t="str">
        <f t="shared" si="128"/>
        <v/>
      </c>
      <c r="QC11" s="11" t="str">
        <f t="shared" si="129"/>
        <v/>
      </c>
      <c r="QD11" s="22">
        <f t="shared" si="130"/>
        <v>15.6</v>
      </c>
      <c r="QE11" s="22">
        <f t="shared" si="131"/>
        <v>2.5</v>
      </c>
      <c r="QF11" s="22">
        <f t="shared" si="132"/>
        <v>0.1</v>
      </c>
      <c r="QG11" s="22">
        <f t="shared" si="133"/>
        <v>0</v>
      </c>
      <c r="QH11" s="22">
        <f t="shared" si="134"/>
        <v>16.55</v>
      </c>
      <c r="QI11" s="22">
        <f t="shared" si="135"/>
        <v>2.15</v>
      </c>
      <c r="QJ11" s="22">
        <f t="shared" si="136"/>
        <v>0.1</v>
      </c>
      <c r="QK11" s="22">
        <f t="shared" si="137"/>
        <v>0</v>
      </c>
      <c r="QL11" s="22">
        <f t="shared" si="138"/>
        <v>0</v>
      </c>
      <c r="QM11" s="22">
        <f t="shared" si="139"/>
        <v>0</v>
      </c>
      <c r="QN11" s="22">
        <f t="shared" si="140"/>
        <v>0</v>
      </c>
      <c r="QO11" s="22">
        <f t="shared" si="141"/>
        <v>0</v>
      </c>
      <c r="QP11" s="22">
        <f t="shared" si="142"/>
        <v>8.5500000000000007</v>
      </c>
      <c r="QQ11" s="22">
        <f t="shared" si="143"/>
        <v>1.7</v>
      </c>
      <c r="QR11" s="22">
        <f t="shared" si="144"/>
        <v>0</v>
      </c>
      <c r="QS11" s="22">
        <f t="shared" si="145"/>
        <v>0</v>
      </c>
      <c r="QT11" s="22">
        <f t="shared" si="146"/>
        <v>8.65</v>
      </c>
      <c r="QU11" s="22">
        <f t="shared" si="147"/>
        <v>1.45</v>
      </c>
      <c r="QV11" s="22">
        <f t="shared" si="148"/>
        <v>0.05</v>
      </c>
      <c r="QW11" s="22">
        <f t="shared" si="149"/>
        <v>0</v>
      </c>
      <c r="QX11" s="27" t="s">
        <v>46</v>
      </c>
      <c r="QY11" s="40">
        <f t="shared" si="150"/>
        <v>4.6500000000000004</v>
      </c>
      <c r="QZ11" s="40">
        <f t="shared" si="151"/>
        <v>36.6</v>
      </c>
      <c r="RA11" s="40" t="str">
        <f t="shared" si="152"/>
        <v/>
      </c>
      <c r="RB11" s="40">
        <f t="shared" si="153"/>
        <v>4.6500000000000004</v>
      </c>
      <c r="RC11" s="40">
        <f t="shared" si="154"/>
        <v>36.6</v>
      </c>
      <c r="RD11" s="40">
        <f t="shared" si="155"/>
        <v>3.15</v>
      </c>
      <c r="RE11" s="40">
        <f t="shared" si="156"/>
        <v>20.299999999999997</v>
      </c>
      <c r="RF11" s="40">
        <f t="shared" si="157"/>
        <v>56.9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158</v>
      </c>
      <c r="D12" s="4" t="s">
        <v>4</v>
      </c>
      <c r="E12" s="4">
        <v>2005</v>
      </c>
      <c r="F12" s="9">
        <f t="shared" si="0"/>
        <v>123.20000816000419</v>
      </c>
      <c r="G12" s="64"/>
      <c r="H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DZ12&gt;=EG$21,EA12&gt;=EG$25,DZ12&lt;&gt;""),AND(EE12&gt;=EG$21,EF12&gt;=EG$25,EE12&lt;&gt;""),AND(FB12&gt;=FI$21,FC12&gt;=FI$25,FB12&lt;&gt;""),AND(FG12&gt;=FI$21,FH12&gt;=FI$25,FG12&lt;&gt;""),AND(GD12&gt;=GK$21,GE12&gt;=GK$25,GD12&lt;&gt;""),AND(GI12&gt;=GK$21,GJ12&gt;=GK$25,GI12&lt;&gt;""),AND(HF12&gt;=HM$21,HG12&gt;=HM$25,HF12&lt;&gt;""),AND(HK12&gt;=HM$21,HL12&gt;=HM$25,HK12&lt;&gt;""),AND(IH12&gt;=IO$21,II12&gt;=IO$25,IH12&lt;&gt;""),AND(IM12&gt;=IO$21,IN12&gt;=IO$25,IM12&lt;&gt;""),AND(JJ12&gt;=JQ$21,JK12&gt;=JQ$25,JJ12&lt;&gt;""),AND(JO12&gt;=JQ$21,JP12&gt;=JQ$25,JO12&lt;&gt;""),AND(KL12&gt;=KS$21,KM12&gt;=KS$25,KL12&lt;&gt;""),AND(KQ12&gt;=KS$21,KR12&gt;=KS$25,KQ12&lt;&gt;""),AND(LN12&gt;=LU$21,LO12&gt;=LU$25,LN12&lt;&gt;""),AND(LS12&gt;=LU$21,LT12&gt;=LU$25,LS12&lt;&gt;""),AND(MP12&gt;=MW$21,MQ12&gt;=MW$25,MP12&lt;&gt;""),AND(MU12&gt;=MW$21,MV12&gt;=MW$25,MU12&lt;&gt;""),AND(NR12&gt;=NY$21,NS12&gt;=NY$25,NR12&lt;&gt;""),AND(NW12&gt;=NY$21,NX12&gt;=NY$25,NW12&lt;&gt;""),AND(OT12&gt;=PA$21,OU12&gt;=PA$25,OT12&lt;&gt;""),AND(OY12&gt;=PA$21,OZ12&gt;=PA$25,OY12&lt;&gt;""),AND(PV12&gt;=QC$21,PW12&gt;=QC$25,PV12&lt;&gt;""),AND(QA12&gt;=QC$21,QB12&gt;=QC$25,QA12&lt;&gt;"")),"P","")</f>
        <v/>
      </c>
      <c r="I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A12&gt;=EG$25,EA12&lt;&gt;""),AND(EF12&gt;=EG$25,EF12&lt;&gt;""),AND(FC12&gt;=FI$25,FC12&lt;&gt;""),AND(FH12&gt;=FI$25,FH12&lt;&gt;""),AND(GE12&gt;=GK$25,GE12&lt;&gt;""),AND(GJ12&gt;=GK$25,GJ12&lt;&gt;""),AND(HG12&gt;=HM$25,HG12&lt;&gt;""),AND(HL12&gt;=HM$25,HL12&lt;&gt;""),AND(II12&gt;=IO$25,II12&lt;&gt;""),AND(IN12&gt;=IO$25,IN12&lt;&gt;""),AND(JK12&gt;=JQ$25,JK12&lt;&gt;""),AND(JP12&gt;=JQ$25,JP12&lt;&gt;""),AND(KM12&gt;=KS$25,KM12&lt;&gt;""),AND(KR12&gt;=KS$25,KR12&lt;&gt;""),AND(LO12&gt;=LU$25,LO12&lt;&gt;""),AND(LT12&gt;=LU$25,LT12&lt;&gt;""),AND(MQ12&gt;=MW$25,MQ12&lt;&gt;""),AND(MV12&gt;=MW$25,MV12&lt;&gt;""),AND(NS12&gt;=NY$25,NS12&lt;&gt;""),AND(NX12&gt;=NY$25,NX12&lt;&gt;""),AND(OU12&gt;=PA$25,OU12&lt;&gt;""),AND(OZ12&gt;=PA$25,OZ12&lt;&gt;""),AND(PW12&gt;=QC$25,PW12&lt;&gt;""),AND(QB12&gt;=QC$25,QB12&lt;&gt;"")),"P","")</f>
        <v/>
      </c>
      <c r="J12" s="36" t="str">
        <f>IF(AND(I12="P",H12=""),"No DD",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Merit",IF(OR(AND(AS12&gt;=AW$23,AT12&gt;=AW$27,AS12&lt;&gt;"",AO12=""),AND(BV12&gt;=BZ$23,BW12&gt;=BZ$27,BV12&lt;&gt;"",BR12=""),AND(CY12&gt;=DC$23,CZ12&gt;=DC$27,CY12&lt;&gt;"",CU12=""),AND(EC12&gt;=EG$23,ED12&gt;=EG$27,EC12&lt;&gt;""),AND(FE12&gt;=FI$23,FF12&gt;=FI$27,FE12&lt;&gt;""),AND(GG12&gt;=GK$23,GH12&gt;=GK$27,GG12&lt;&gt;""),AND(HI12&gt;=HM$23,HJ12&gt;=HM$27,HI12&lt;&gt;""),AND(IK12&gt;=IO$23,IL12&gt;=IO$27,IK12&lt;&gt;""),AND(JM12&gt;=JQ$23,JN12&gt;=JQ$27,JM12&lt;&gt;""),AND(KO12&gt;=KS$23,KP12&gt;=KS$27,KO12&lt;&gt;""),AND(LQ12&gt;=LU$23,LR12&gt;=LU$27,LQ12&lt;&gt;""),AND(MS12&gt;=MW$23,MT12&gt;=MW$27,MS12&lt;&gt;""),AND(NU12&gt;=NY$23,NV12&gt;=NY$27,NU12&lt;&gt;""),AND(OW12&gt;=PA$23,OX12&gt;=PA$27,OW12&lt;&gt;""),AND(PY12&gt;=QC$23,PZ12&gt;=QC$27,PY12&lt;&gt;"")),"Excellence",IF(K12="P","Worlds Team",IF(H12="P","National Team","")))))</f>
        <v/>
      </c>
      <c r="K12" s="3" t="str">
        <f>IF(OR(AND(AS12&gt;=AW$22,AT12&gt;=AW$26,AS12&lt;&gt;"",AO12=""),AND(BV12&gt;=BZ$22,BW12&gt;=BZ$26,BV12&lt;&gt;"",BR12=""),AND(CY12&gt;=DC$22,CZ12&gt;=DC$26,CY12&lt;&gt;"",CU12=""),AND(EC12&gt;=EG$22,ED12&gt;=EG$26,EC12&lt;&gt;""),AND(FE12&gt;=FI$22,FF12&gt;=FI$26,FE12&lt;&gt;""),AND(GG12&gt;=GK$22,GH12&gt;=GK$26,GG12&lt;&gt;""),AND(HI12&gt;=HM$22,HJ12&gt;=HM$26,HI12&lt;&gt;""),AND(IK12&gt;=IO$22,IL12&gt;=IO$26,IK12&lt;&gt;""),AND(JM12&gt;=JQ$22,JN12&gt;=JQ$26,JM12&lt;&gt;""),AND(KO12&gt;=KS$22,KP12&gt;=KS$26,KO12&lt;&gt;""),AND(LQ12&gt;=LU$22,LR12&gt;=LU$26,LQ12&lt;&gt;""),AND(MS12&gt;=MW$22,MT12&gt;=MW$26,MS12&lt;&gt;""),AND(NU12&gt;=NY$22,NV12&gt;=NY$26,NU12&lt;&gt;""),AND(OW12&gt;=PA$22,OX12&gt;=PA$26,OW12&lt;&gt;""),AND(PY12&gt;=QC$22,PZ12&gt;=QC$26,PY12&lt;&gt;"")),"P","")</f>
        <v/>
      </c>
      <c r="L12" s="8">
        <f>IF(COUNT(AQ12,BT12,CW12)&gt;0,LARGE((AQ12,BT12,CW12),1),0)</f>
        <v>41.999999999999993</v>
      </c>
      <c r="M12" s="8" t="str">
        <f t="shared" si="1"/>
        <v>2024 3rd Domestic Trial</v>
      </c>
      <c r="N12" s="8">
        <f>IF(COUNT(AQ12,BT12,CW12)&gt;1,LARGE((AQ12,BT12,CW12),2),0)</f>
        <v>39.599999999999994</v>
      </c>
      <c r="O12" s="8" t="str">
        <f t="shared" si="2"/>
        <v>2025 Nationals</v>
      </c>
      <c r="P12" s="8">
        <f t="shared" si="3"/>
        <v>41.6</v>
      </c>
      <c r="Q12" s="8" t="str">
        <f t="shared" si="4"/>
        <v>2024 3rd Domestic Trial</v>
      </c>
      <c r="R12" s="8" t="str">
        <f t="shared" si="5"/>
        <v/>
      </c>
      <c r="S12" s="11" t="str">
        <f t="shared" si="6"/>
        <v/>
      </c>
      <c r="T12" s="8" t="str">
        <f t="shared" si="7"/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16.899999999999999</v>
      </c>
      <c r="Z12" s="19">
        <v>4.0999999999999996</v>
      </c>
      <c r="AA12" s="19">
        <v>0</v>
      </c>
      <c r="AB12" s="19">
        <v>0.3</v>
      </c>
      <c r="AC12" s="19">
        <v>16.8</v>
      </c>
      <c r="AD12" s="19">
        <v>4.0999999999999996</v>
      </c>
      <c r="AE12" s="19">
        <v>0</v>
      </c>
      <c r="AF12" s="19">
        <v>0.3</v>
      </c>
      <c r="AG12" s="19">
        <v>16.7</v>
      </c>
      <c r="AH12" s="19">
        <v>3.9</v>
      </c>
      <c r="AI12" s="19">
        <v>0</v>
      </c>
      <c r="AJ12" s="19">
        <v>0.3</v>
      </c>
      <c r="AK12" s="19">
        <v>16.3</v>
      </c>
      <c r="AL12" s="19">
        <v>4.0999999999999996</v>
      </c>
      <c r="AM12" s="19">
        <v>0</v>
      </c>
      <c r="AN12" s="19">
        <v>0.3</v>
      </c>
      <c r="AO12" s="27"/>
      <c r="AP12" s="40">
        <f t="shared" si="8"/>
        <v>8</v>
      </c>
      <c r="AQ12" s="40">
        <f t="shared" si="9"/>
        <v>41.999999999999993</v>
      </c>
      <c r="AR12" s="40">
        <f t="shared" si="10"/>
        <v>21.2</v>
      </c>
      <c r="AS12" s="40">
        <f t="shared" si="11"/>
        <v>12.1</v>
      </c>
      <c r="AT12" s="40">
        <f t="shared" si="12"/>
        <v>63.199999999999989</v>
      </c>
      <c r="AU12" s="40">
        <f t="shared" si="13"/>
        <v>8</v>
      </c>
      <c r="AV12" s="40">
        <f t="shared" si="14"/>
        <v>41.6</v>
      </c>
      <c r="AW12" s="40">
        <f t="shared" si="15"/>
        <v>104.79999999999998</v>
      </c>
      <c r="AX12" s="18">
        <v>16.899999999999999</v>
      </c>
      <c r="AY12" s="18">
        <v>3.9</v>
      </c>
      <c r="AZ12" s="18">
        <v>0</v>
      </c>
      <c r="BA12" s="18">
        <v>0</v>
      </c>
      <c r="BB12" s="18">
        <v>16.399999999999999</v>
      </c>
      <c r="BC12" s="18">
        <v>1.9</v>
      </c>
      <c r="BD12" s="18">
        <v>1</v>
      </c>
      <c r="BE12" s="18">
        <v>0</v>
      </c>
      <c r="BF12" s="18"/>
      <c r="BG12" s="18"/>
      <c r="BH12" s="18"/>
      <c r="BI12" s="18"/>
      <c r="BJ12" s="18">
        <v>16</v>
      </c>
      <c r="BK12" s="18">
        <v>4.0999999999999996</v>
      </c>
      <c r="BL12" s="18">
        <v>0.2</v>
      </c>
      <c r="BM12" s="18">
        <v>0</v>
      </c>
      <c r="BN12" s="18">
        <v>16.600000000000001</v>
      </c>
      <c r="BO12" s="18">
        <v>3.9</v>
      </c>
      <c r="BP12" s="18">
        <v>0</v>
      </c>
      <c r="BQ12" s="18">
        <v>0</v>
      </c>
      <c r="BR12" s="28"/>
      <c r="BS12" s="11">
        <f t="shared" si="16"/>
        <v>5.8</v>
      </c>
      <c r="BT12" s="11">
        <f t="shared" si="17"/>
        <v>38.099999999999994</v>
      </c>
      <c r="BU12" s="11" t="str">
        <f t="shared" si="18"/>
        <v/>
      </c>
      <c r="BV12" s="11">
        <f t="shared" si="19"/>
        <v>5.8</v>
      </c>
      <c r="BW12" s="11">
        <f t="shared" si="20"/>
        <v>38.099999999999994</v>
      </c>
      <c r="BX12" s="11">
        <f t="shared" si="21"/>
        <v>8</v>
      </c>
      <c r="BY12" s="11">
        <f t="shared" si="22"/>
        <v>40.4</v>
      </c>
      <c r="BZ12" s="11">
        <f t="shared" si="23"/>
        <v>78.5</v>
      </c>
      <c r="CA12" s="19">
        <v>16.5</v>
      </c>
      <c r="CB12" s="19">
        <v>3.9</v>
      </c>
      <c r="CC12" s="19">
        <v>0</v>
      </c>
      <c r="CD12" s="19">
        <v>0</v>
      </c>
      <c r="CE12" s="19">
        <v>16.600000000000001</v>
      </c>
      <c r="CF12" s="19">
        <v>2.8</v>
      </c>
      <c r="CG12" s="19">
        <v>0.2</v>
      </c>
      <c r="CH12" s="19">
        <v>0</v>
      </c>
      <c r="CI12" s="19"/>
      <c r="CJ12" s="19"/>
      <c r="CK12" s="19"/>
      <c r="CL12" s="19"/>
      <c r="CM12" s="19">
        <v>16.399999999999999</v>
      </c>
      <c r="CN12" s="19">
        <v>3.9</v>
      </c>
      <c r="CO12" s="19">
        <v>0</v>
      </c>
      <c r="CP12" s="19">
        <v>0</v>
      </c>
      <c r="CQ12" s="19">
        <v>15.7</v>
      </c>
      <c r="CR12" s="19">
        <v>1.9</v>
      </c>
      <c r="CS12" s="19">
        <v>0</v>
      </c>
      <c r="CT12" s="19">
        <v>0</v>
      </c>
      <c r="CU12" s="27"/>
      <c r="CV12" s="40">
        <f t="shared" si="24"/>
        <v>6.6999999999999993</v>
      </c>
      <c r="CW12" s="40">
        <f t="shared" si="25"/>
        <v>39.599999999999994</v>
      </c>
      <c r="CX12" s="40" t="str">
        <f t="shared" si="26"/>
        <v/>
      </c>
      <c r="CY12" s="40">
        <f t="shared" si="27"/>
        <v>6.6999999999999993</v>
      </c>
      <c r="CZ12" s="40">
        <f t="shared" si="28"/>
        <v>39.599999999999994</v>
      </c>
      <c r="DA12" s="40">
        <f t="shared" si="29"/>
        <v>5.8</v>
      </c>
      <c r="DB12" s="40">
        <f t="shared" si="30"/>
        <v>37.9</v>
      </c>
      <c r="DC12" s="40">
        <f t="shared" si="31"/>
        <v>77.5</v>
      </c>
      <c r="DD12" s="50" t="str">
        <f t="shared" si="32"/>
        <v/>
      </c>
      <c r="DE12" s="50" t="str">
        <f t="shared" si="33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4"/>
        <v/>
      </c>
      <c r="EA12" s="40" t="str">
        <f t="shared" si="35"/>
        <v/>
      </c>
      <c r="EB12" s="40" t="str">
        <f t="shared" si="36"/>
        <v/>
      </c>
      <c r="EC12" s="40" t="str">
        <f t="shared" si="37"/>
        <v/>
      </c>
      <c r="ED12" s="40" t="str">
        <f t="shared" si="38"/>
        <v/>
      </c>
      <c r="EE12" s="40" t="str">
        <f t="shared" si="39"/>
        <v/>
      </c>
      <c r="EF12" s="40" t="str">
        <f t="shared" si="40"/>
        <v/>
      </c>
      <c r="EG12" s="40" t="str">
        <f t="shared" si="41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2"/>
        <v/>
      </c>
      <c r="FC12" s="11" t="str">
        <f t="shared" si="43"/>
        <v/>
      </c>
      <c r="FD12" s="11" t="str">
        <f t="shared" si="44"/>
        <v/>
      </c>
      <c r="FE12" s="11" t="str">
        <f t="shared" si="45"/>
        <v/>
      </c>
      <c r="FF12" s="11" t="str">
        <f t="shared" si="46"/>
        <v/>
      </c>
      <c r="FG12" s="11" t="str">
        <f t="shared" si="47"/>
        <v/>
      </c>
      <c r="FH12" s="11" t="str">
        <f t="shared" si="48"/>
        <v/>
      </c>
      <c r="FI12" s="11" t="str">
        <f t="shared" si="49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0"/>
        <v/>
      </c>
      <c r="GE12" s="40" t="str">
        <f t="shared" si="51"/>
        <v/>
      </c>
      <c r="GF12" s="40" t="str">
        <f t="shared" si="52"/>
        <v/>
      </c>
      <c r="GG12" s="40" t="str">
        <f t="shared" si="53"/>
        <v/>
      </c>
      <c r="GH12" s="40" t="str">
        <f t="shared" si="54"/>
        <v/>
      </c>
      <c r="GI12" s="40" t="str">
        <f t="shared" si="55"/>
        <v/>
      </c>
      <c r="GJ12" s="40" t="str">
        <f t="shared" si="56"/>
        <v/>
      </c>
      <c r="GK12" s="40" t="str">
        <f t="shared" si="57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58"/>
        <v/>
      </c>
      <c r="HG12" s="11" t="str">
        <f t="shared" si="59"/>
        <v/>
      </c>
      <c r="HH12" s="11" t="str">
        <f t="shared" si="60"/>
        <v/>
      </c>
      <c r="HI12" s="11" t="str">
        <f t="shared" si="61"/>
        <v/>
      </c>
      <c r="HJ12" s="11" t="str">
        <f t="shared" si="62"/>
        <v/>
      </c>
      <c r="HK12" s="11" t="str">
        <f t="shared" si="63"/>
        <v/>
      </c>
      <c r="HL12" s="11" t="str">
        <f t="shared" si="64"/>
        <v/>
      </c>
      <c r="HM12" s="11" t="str">
        <f t="shared" si="65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6"/>
        <v/>
      </c>
      <c r="II12" s="40" t="str">
        <f t="shared" si="67"/>
        <v/>
      </c>
      <c r="IJ12" s="40" t="str">
        <f t="shared" si="68"/>
        <v/>
      </c>
      <c r="IK12" s="40" t="str">
        <f t="shared" si="69"/>
        <v/>
      </c>
      <c r="IL12" s="40" t="str">
        <f t="shared" si="70"/>
        <v/>
      </c>
      <c r="IM12" s="40" t="str">
        <f t="shared" si="71"/>
        <v/>
      </c>
      <c r="IN12" s="40" t="str">
        <f t="shared" si="72"/>
        <v/>
      </c>
      <c r="IO12" s="40" t="str">
        <f t="shared" si="73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4"/>
        <v/>
      </c>
      <c r="JK12" s="11" t="str">
        <f t="shared" si="75"/>
        <v/>
      </c>
      <c r="JL12" s="11" t="str">
        <f t="shared" si="76"/>
        <v/>
      </c>
      <c r="JM12" s="11" t="str">
        <f t="shared" si="77"/>
        <v/>
      </c>
      <c r="JN12" s="11" t="str">
        <f t="shared" si="78"/>
        <v/>
      </c>
      <c r="JO12" s="11" t="str">
        <f t="shared" si="79"/>
        <v/>
      </c>
      <c r="JP12" s="11" t="str">
        <f t="shared" si="80"/>
        <v/>
      </c>
      <c r="JQ12" s="11" t="str">
        <f t="shared" si="81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2"/>
        <v/>
      </c>
      <c r="KM12" s="40" t="str">
        <f t="shared" si="83"/>
        <v/>
      </c>
      <c r="KN12" s="40" t="str">
        <f t="shared" si="84"/>
        <v/>
      </c>
      <c r="KO12" s="40" t="str">
        <f t="shared" si="85"/>
        <v/>
      </c>
      <c r="KP12" s="40" t="str">
        <f t="shared" si="86"/>
        <v/>
      </c>
      <c r="KQ12" s="40" t="str">
        <f t="shared" si="87"/>
        <v/>
      </c>
      <c r="KR12" s="40" t="str">
        <f t="shared" si="88"/>
        <v/>
      </c>
      <c r="KS12" s="40" t="str">
        <f t="shared" si="89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0"/>
        <v/>
      </c>
      <c r="LO12" s="11" t="str">
        <f t="shared" si="91"/>
        <v/>
      </c>
      <c r="LP12" s="11" t="str">
        <f t="shared" si="92"/>
        <v/>
      </c>
      <c r="LQ12" s="11" t="str">
        <f t="shared" si="93"/>
        <v/>
      </c>
      <c r="LR12" s="11" t="str">
        <f t="shared" si="94"/>
        <v/>
      </c>
      <c r="LS12" s="11" t="str">
        <f t="shared" si="95"/>
        <v/>
      </c>
      <c r="LT12" s="11" t="str">
        <f t="shared" si="96"/>
        <v/>
      </c>
      <c r="LU12" s="11" t="str">
        <f t="shared" si="97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98"/>
        <v/>
      </c>
      <c r="MQ12" s="40" t="str">
        <f t="shared" si="99"/>
        <v/>
      </c>
      <c r="MR12" s="40" t="str">
        <f t="shared" si="100"/>
        <v/>
      </c>
      <c r="MS12" s="40" t="str">
        <f t="shared" si="101"/>
        <v/>
      </c>
      <c r="MT12" s="40" t="str">
        <f t="shared" si="102"/>
        <v/>
      </c>
      <c r="MU12" s="40" t="str">
        <f t="shared" si="103"/>
        <v/>
      </c>
      <c r="MV12" s="40" t="str">
        <f t="shared" si="104"/>
        <v/>
      </c>
      <c r="MW12" s="40" t="str">
        <f t="shared" si="105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6"/>
        <v/>
      </c>
      <c r="NS12" s="11" t="str">
        <f t="shared" si="107"/>
        <v/>
      </c>
      <c r="NT12" s="11" t="str">
        <f t="shared" si="108"/>
        <v/>
      </c>
      <c r="NU12" s="11" t="str">
        <f t="shared" si="109"/>
        <v/>
      </c>
      <c r="NV12" s="11" t="str">
        <f t="shared" si="110"/>
        <v/>
      </c>
      <c r="NW12" s="11" t="str">
        <f t="shared" si="111"/>
        <v/>
      </c>
      <c r="NX12" s="11" t="str">
        <f t="shared" si="112"/>
        <v/>
      </c>
      <c r="NY12" s="11" t="str">
        <f t="shared" si="113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4"/>
        <v/>
      </c>
      <c r="OU12" s="40" t="str">
        <f t="shared" si="115"/>
        <v/>
      </c>
      <c r="OV12" s="40" t="str">
        <f t="shared" si="116"/>
        <v/>
      </c>
      <c r="OW12" s="40" t="str">
        <f t="shared" si="117"/>
        <v/>
      </c>
      <c r="OX12" s="40" t="str">
        <f t="shared" si="118"/>
        <v/>
      </c>
      <c r="OY12" s="40" t="str">
        <f t="shared" si="119"/>
        <v/>
      </c>
      <c r="OZ12" s="40" t="str">
        <f t="shared" si="120"/>
        <v/>
      </c>
      <c r="PA12" s="40" t="str">
        <f t="shared" si="121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2"/>
        <v/>
      </c>
      <c r="PW12" s="11" t="str">
        <f t="shared" si="123"/>
        <v/>
      </c>
      <c r="PX12" s="11" t="str">
        <f t="shared" si="124"/>
        <v/>
      </c>
      <c r="PY12" s="11" t="str">
        <f t="shared" si="125"/>
        <v/>
      </c>
      <c r="PZ12" s="11" t="str">
        <f t="shared" si="126"/>
        <v/>
      </c>
      <c r="QA12" s="11" t="str">
        <f t="shared" si="127"/>
        <v/>
      </c>
      <c r="QB12" s="11" t="str">
        <f t="shared" si="128"/>
        <v/>
      </c>
      <c r="QC12" s="11" t="str">
        <f t="shared" si="129"/>
        <v/>
      </c>
      <c r="QD12" s="22">
        <f t="shared" si="130"/>
        <v>16.7</v>
      </c>
      <c r="QE12" s="22">
        <f t="shared" si="131"/>
        <v>3.9</v>
      </c>
      <c r="QF12" s="22">
        <f t="shared" si="132"/>
        <v>0</v>
      </c>
      <c r="QG12" s="22">
        <f t="shared" si="133"/>
        <v>0</v>
      </c>
      <c r="QH12" s="22">
        <f t="shared" si="134"/>
        <v>16.5</v>
      </c>
      <c r="QI12" s="22">
        <f t="shared" si="135"/>
        <v>2.3499999999999996</v>
      </c>
      <c r="QJ12" s="22">
        <f t="shared" si="136"/>
        <v>0.6</v>
      </c>
      <c r="QK12" s="22">
        <f t="shared" si="137"/>
        <v>0</v>
      </c>
      <c r="QL12" s="22">
        <f t="shared" si="138"/>
        <v>0</v>
      </c>
      <c r="QM12" s="22">
        <f t="shared" si="139"/>
        <v>0</v>
      </c>
      <c r="QN12" s="22">
        <f t="shared" si="140"/>
        <v>0</v>
      </c>
      <c r="QO12" s="22">
        <f t="shared" si="141"/>
        <v>0</v>
      </c>
      <c r="QP12" s="22">
        <f t="shared" si="142"/>
        <v>16.2</v>
      </c>
      <c r="QQ12" s="22">
        <f t="shared" si="143"/>
        <v>4</v>
      </c>
      <c r="QR12" s="22">
        <f t="shared" si="144"/>
        <v>0.1</v>
      </c>
      <c r="QS12" s="22">
        <f t="shared" si="145"/>
        <v>0</v>
      </c>
      <c r="QT12" s="22">
        <f t="shared" si="146"/>
        <v>16.149999999999999</v>
      </c>
      <c r="QU12" s="22">
        <f t="shared" si="147"/>
        <v>2.9</v>
      </c>
      <c r="QV12" s="22">
        <f t="shared" si="148"/>
        <v>0</v>
      </c>
      <c r="QW12" s="22">
        <f t="shared" si="149"/>
        <v>0</v>
      </c>
      <c r="QX12" s="27" t="s">
        <v>46</v>
      </c>
      <c r="QY12" s="40">
        <f t="shared" si="150"/>
        <v>6.25</v>
      </c>
      <c r="QZ12" s="40">
        <f t="shared" si="151"/>
        <v>38.849999999999994</v>
      </c>
      <c r="RA12" s="40" t="str">
        <f t="shared" si="152"/>
        <v/>
      </c>
      <c r="RB12" s="40">
        <f t="shared" si="153"/>
        <v>6.25</v>
      </c>
      <c r="RC12" s="40">
        <f t="shared" si="154"/>
        <v>38.849999999999994</v>
      </c>
      <c r="RD12" s="40">
        <f t="shared" si="155"/>
        <v>6.9</v>
      </c>
      <c r="RE12" s="40">
        <f t="shared" si="156"/>
        <v>39.149999999999991</v>
      </c>
      <c r="RF12" s="40">
        <f t="shared" si="157"/>
        <v>77.999999999999986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150</v>
      </c>
      <c r="D13" s="4" t="s">
        <v>6</v>
      </c>
      <c r="E13" s="4">
        <v>2006</v>
      </c>
      <c r="F13" s="9">
        <f t="shared" si="0"/>
        <v>122.10000817000413</v>
      </c>
      <c r="G13" s="64"/>
      <c r="H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DZ13&gt;=EG$21,EA13&gt;=EG$25,DZ13&lt;&gt;""),AND(EE13&gt;=EG$21,EF13&gt;=EG$25,EE13&lt;&gt;""),AND(FB13&gt;=FI$21,FC13&gt;=FI$25,FB13&lt;&gt;""),AND(FG13&gt;=FI$21,FH13&gt;=FI$25,FG13&lt;&gt;""),AND(GD13&gt;=GK$21,GE13&gt;=GK$25,GD13&lt;&gt;""),AND(GI13&gt;=GK$21,GJ13&gt;=GK$25,GI13&lt;&gt;""),AND(HF13&gt;=HM$21,HG13&gt;=HM$25,HF13&lt;&gt;""),AND(HK13&gt;=HM$21,HL13&gt;=HM$25,HK13&lt;&gt;""),AND(IH13&gt;=IO$21,II13&gt;=IO$25,IH13&lt;&gt;""),AND(IM13&gt;=IO$21,IN13&gt;=IO$25,IM13&lt;&gt;""),AND(JJ13&gt;=JQ$21,JK13&gt;=JQ$25,JJ13&lt;&gt;""),AND(JO13&gt;=JQ$21,JP13&gt;=JQ$25,JO13&lt;&gt;""),AND(KL13&gt;=KS$21,KM13&gt;=KS$25,KL13&lt;&gt;""),AND(KQ13&gt;=KS$21,KR13&gt;=KS$25,KQ13&lt;&gt;""),AND(LN13&gt;=LU$21,LO13&gt;=LU$25,LN13&lt;&gt;""),AND(LS13&gt;=LU$21,LT13&gt;=LU$25,LS13&lt;&gt;""),AND(MP13&gt;=MW$21,MQ13&gt;=MW$25,MP13&lt;&gt;""),AND(MU13&gt;=MW$21,MV13&gt;=MW$25,MU13&lt;&gt;""),AND(NR13&gt;=NY$21,NS13&gt;=NY$25,NR13&lt;&gt;""),AND(NW13&gt;=NY$21,NX13&gt;=NY$25,NW13&lt;&gt;""),AND(OT13&gt;=PA$21,OU13&gt;=PA$25,OT13&lt;&gt;""),AND(OY13&gt;=PA$21,OZ13&gt;=PA$25,OY13&lt;&gt;""),AND(PV13&gt;=QC$21,PW13&gt;=QC$25,PV13&lt;&gt;""),AND(QA13&gt;=QC$21,QB13&gt;=QC$25,QA13&lt;&gt;"")),"P","")</f>
        <v/>
      </c>
      <c r="I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A13&gt;=EG$25,EA13&lt;&gt;""),AND(EF13&gt;=EG$25,EF13&lt;&gt;""),AND(FC13&gt;=FI$25,FC13&lt;&gt;""),AND(FH13&gt;=FI$25,FH13&lt;&gt;""),AND(GE13&gt;=GK$25,GE13&lt;&gt;""),AND(GJ13&gt;=GK$25,GJ13&lt;&gt;""),AND(HG13&gt;=HM$25,HG13&lt;&gt;""),AND(HL13&gt;=HM$25,HL13&lt;&gt;""),AND(II13&gt;=IO$25,II13&lt;&gt;""),AND(IN13&gt;=IO$25,IN13&lt;&gt;""),AND(JK13&gt;=JQ$25,JK13&lt;&gt;""),AND(JP13&gt;=JQ$25,JP13&lt;&gt;""),AND(KM13&gt;=KS$25,KM13&lt;&gt;""),AND(KR13&gt;=KS$25,KR13&lt;&gt;""),AND(LO13&gt;=LU$25,LO13&lt;&gt;""),AND(LT13&gt;=LU$25,LT13&lt;&gt;""),AND(MQ13&gt;=MW$25,MQ13&lt;&gt;""),AND(MV13&gt;=MW$25,MV13&lt;&gt;""),AND(NS13&gt;=NY$25,NS13&lt;&gt;""),AND(NX13&gt;=NY$25,NX13&lt;&gt;""),AND(OU13&gt;=PA$25,OU13&lt;&gt;""),AND(OZ13&gt;=PA$25,OZ13&lt;&gt;""),AND(PW13&gt;=QC$25,PW13&lt;&gt;""),AND(QB13&gt;=QC$25,QB13&lt;&gt;"")),"P","")</f>
        <v/>
      </c>
      <c r="J13" s="36" t="str">
        <f>IF(AND(I13="P",H13=""),"No DD",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Merit",IF(OR(AND(AS13&gt;=AW$23,AT13&gt;=AW$27,AS13&lt;&gt;"",AO13=""),AND(BV13&gt;=BZ$23,BW13&gt;=BZ$27,BV13&lt;&gt;"",BR13=""),AND(CY13&gt;=DC$23,CZ13&gt;=DC$27,CY13&lt;&gt;"",CU13=""),AND(EC13&gt;=EG$23,ED13&gt;=EG$27,EC13&lt;&gt;""),AND(FE13&gt;=FI$23,FF13&gt;=FI$27,FE13&lt;&gt;""),AND(GG13&gt;=GK$23,GH13&gt;=GK$27,GG13&lt;&gt;""),AND(HI13&gt;=HM$23,HJ13&gt;=HM$27,HI13&lt;&gt;""),AND(IK13&gt;=IO$23,IL13&gt;=IO$27,IK13&lt;&gt;""),AND(JM13&gt;=JQ$23,JN13&gt;=JQ$27,JM13&lt;&gt;""),AND(KO13&gt;=KS$23,KP13&gt;=KS$27,KO13&lt;&gt;""),AND(LQ13&gt;=LU$23,LR13&gt;=LU$27,LQ13&lt;&gt;""),AND(MS13&gt;=MW$23,MT13&gt;=MW$27,MS13&lt;&gt;""),AND(NU13&gt;=NY$23,NV13&gt;=NY$27,NU13&lt;&gt;""),AND(OW13&gt;=PA$23,OX13&gt;=PA$27,OW13&lt;&gt;""),AND(PY13&gt;=QC$23,PZ13&gt;=QC$27,PY13&lt;&gt;"")),"Excellence",IF(K13="P","Worlds Team",IF(H13="P","National Team","")))))</f>
        <v/>
      </c>
      <c r="K13" s="3" t="str">
        <f>IF(OR(AND(AS13&gt;=AW$22,AT13&gt;=AW$26,AS13&lt;&gt;"",AO13=""),AND(BV13&gt;=BZ$22,BW13&gt;=BZ$26,BV13&lt;&gt;"",BR13=""),AND(CY13&gt;=DC$22,CZ13&gt;=DC$26,CY13&lt;&gt;"",CU13=""),AND(EC13&gt;=EG$22,ED13&gt;=EG$26,EC13&lt;&gt;""),AND(FE13&gt;=FI$22,FF13&gt;=FI$26,FE13&lt;&gt;""),AND(GG13&gt;=GK$22,GH13&gt;=GK$26,GG13&lt;&gt;""),AND(HI13&gt;=HM$22,HJ13&gt;=HM$26,HI13&lt;&gt;""),AND(IK13&gt;=IO$22,IL13&gt;=IO$26,IK13&lt;&gt;""),AND(JM13&gt;=JQ$22,JN13&gt;=JQ$26,JM13&lt;&gt;""),AND(KO13&gt;=KS$22,KP13&gt;=KS$26,KO13&lt;&gt;""),AND(LQ13&gt;=LU$22,LR13&gt;=LU$26,LQ13&lt;&gt;""),AND(MS13&gt;=MW$22,MT13&gt;=MW$26,MS13&lt;&gt;""),AND(NU13&gt;=NY$22,NV13&gt;=NY$26,NU13&lt;&gt;""),AND(OW13&gt;=PA$22,OX13&gt;=PA$26,OW13&lt;&gt;""),AND(PY13&gt;=QC$22,PZ13&gt;=QC$26,PY13&lt;&gt;"")),"P","")</f>
        <v/>
      </c>
      <c r="L13" s="8">
        <f>IF(COUNT(AQ13,BT13,CW13)&gt;0,LARGE((AQ13,BT13,CW13),1),0)</f>
        <v>41.4</v>
      </c>
      <c r="M13" s="8" t="str">
        <f t="shared" si="1"/>
        <v>2025 Nationals</v>
      </c>
      <c r="N13" s="8">
        <f>IF(COUNT(AQ13,BT13,CW13)&gt;1,LARGE((AQ13,BT13,CW13),2),0)</f>
        <v>40.299999999999997</v>
      </c>
      <c r="O13" s="8" t="str">
        <f t="shared" si="2"/>
        <v>2025 Elite Canada</v>
      </c>
      <c r="P13" s="8">
        <f t="shared" si="3"/>
        <v>40.4</v>
      </c>
      <c r="Q13" s="8" t="str">
        <f t="shared" si="4"/>
        <v>2025 Elite Canada</v>
      </c>
      <c r="R13" s="8" t="str">
        <f t="shared" si="5"/>
        <v/>
      </c>
      <c r="S13" s="11" t="str">
        <f t="shared" si="6"/>
        <v/>
      </c>
      <c r="T13" s="8" t="str">
        <f t="shared" si="7"/>
        <v/>
      </c>
      <c r="U13" s="19">
        <v>14.9</v>
      </c>
      <c r="V13" s="19">
        <v>2.1</v>
      </c>
      <c r="W13" s="19">
        <v>2.9</v>
      </c>
      <c r="X13" s="19">
        <v>0.3</v>
      </c>
      <c r="Y13" s="19">
        <v>15.8</v>
      </c>
      <c r="Z13" s="19">
        <v>1.9</v>
      </c>
      <c r="AA13" s="19">
        <v>0</v>
      </c>
      <c r="AB13" s="19">
        <v>0.3</v>
      </c>
      <c r="AC13" s="19">
        <v>16.2</v>
      </c>
      <c r="AD13" s="19">
        <v>4.0999999999999996</v>
      </c>
      <c r="AE13" s="19">
        <v>0.2</v>
      </c>
      <c r="AF13" s="19">
        <v>0.3</v>
      </c>
      <c r="AG13" s="19">
        <v>15.6</v>
      </c>
      <c r="AH13" s="19">
        <v>1.9</v>
      </c>
      <c r="AI13" s="19">
        <v>0</v>
      </c>
      <c r="AJ13" s="19">
        <v>0.3</v>
      </c>
      <c r="AK13" s="19">
        <v>16.2</v>
      </c>
      <c r="AL13" s="19">
        <v>1.6</v>
      </c>
      <c r="AM13" s="19">
        <v>1.4</v>
      </c>
      <c r="AN13" s="19">
        <v>0</v>
      </c>
      <c r="AO13" s="27"/>
      <c r="AP13" s="40">
        <f t="shared" si="8"/>
        <v>4</v>
      </c>
      <c r="AQ13" s="40">
        <f t="shared" si="9"/>
        <v>32.4</v>
      </c>
      <c r="AR13" s="40">
        <f t="shared" si="10"/>
        <v>20.399999999999999</v>
      </c>
      <c r="AS13" s="40">
        <f t="shared" si="11"/>
        <v>8.1</v>
      </c>
      <c r="AT13" s="40">
        <f t="shared" si="12"/>
        <v>52.8</v>
      </c>
      <c r="AU13" s="40">
        <f t="shared" si="13"/>
        <v>3.5</v>
      </c>
      <c r="AV13" s="40">
        <f t="shared" si="14"/>
        <v>34.200000000000003</v>
      </c>
      <c r="AW13" s="40">
        <f t="shared" si="15"/>
        <v>87</v>
      </c>
      <c r="AX13" s="18">
        <v>15.9</v>
      </c>
      <c r="AY13" s="18">
        <v>4.0999999999999996</v>
      </c>
      <c r="AZ13" s="18">
        <v>0</v>
      </c>
      <c r="BA13" s="18">
        <v>0</v>
      </c>
      <c r="BB13" s="18">
        <v>16.399999999999999</v>
      </c>
      <c r="BC13" s="18">
        <v>3.9</v>
      </c>
      <c r="BD13" s="18">
        <v>0</v>
      </c>
      <c r="BE13" s="18">
        <v>0</v>
      </c>
      <c r="BF13" s="18"/>
      <c r="BG13" s="18"/>
      <c r="BH13" s="18"/>
      <c r="BI13" s="18"/>
      <c r="BJ13" s="18">
        <v>15.5</v>
      </c>
      <c r="BK13" s="18">
        <v>4.5999999999999996</v>
      </c>
      <c r="BL13" s="18">
        <v>0</v>
      </c>
      <c r="BM13" s="18">
        <v>0</v>
      </c>
      <c r="BN13" s="18">
        <v>16.2</v>
      </c>
      <c r="BO13" s="18">
        <v>4.0999999999999996</v>
      </c>
      <c r="BP13" s="18">
        <v>0</v>
      </c>
      <c r="BQ13" s="18">
        <v>0</v>
      </c>
      <c r="BR13" s="28"/>
      <c r="BS13" s="11">
        <f t="shared" si="16"/>
        <v>8</v>
      </c>
      <c r="BT13" s="11">
        <f t="shared" si="17"/>
        <v>40.299999999999997</v>
      </c>
      <c r="BU13" s="11" t="str">
        <f t="shared" si="18"/>
        <v/>
      </c>
      <c r="BV13" s="11">
        <f t="shared" si="19"/>
        <v>8</v>
      </c>
      <c r="BW13" s="11">
        <f t="shared" si="20"/>
        <v>40.299999999999997</v>
      </c>
      <c r="BX13" s="11">
        <f t="shared" si="21"/>
        <v>8.6999999999999993</v>
      </c>
      <c r="BY13" s="11">
        <f t="shared" si="22"/>
        <v>40.4</v>
      </c>
      <c r="BZ13" s="11">
        <f t="shared" si="23"/>
        <v>80.699999999999989</v>
      </c>
      <c r="CA13" s="19">
        <v>16.3</v>
      </c>
      <c r="CB13" s="19">
        <v>4.0999999999999996</v>
      </c>
      <c r="CC13" s="19">
        <v>0</v>
      </c>
      <c r="CD13" s="19">
        <v>0</v>
      </c>
      <c r="CE13" s="19">
        <v>17.100000000000001</v>
      </c>
      <c r="CF13" s="19">
        <v>3.9</v>
      </c>
      <c r="CG13" s="19">
        <v>0</v>
      </c>
      <c r="CH13" s="19">
        <v>0</v>
      </c>
      <c r="CI13" s="19"/>
      <c r="CJ13" s="19"/>
      <c r="CK13" s="19"/>
      <c r="CL13" s="19"/>
      <c r="CM13" s="19">
        <v>13.7</v>
      </c>
      <c r="CN13" s="19">
        <v>1.8</v>
      </c>
      <c r="CO13" s="19">
        <v>0</v>
      </c>
      <c r="CP13" s="19">
        <v>0</v>
      </c>
      <c r="CQ13" s="19">
        <v>14.6</v>
      </c>
      <c r="CR13" s="19">
        <v>2.8</v>
      </c>
      <c r="CS13" s="19">
        <v>0.6</v>
      </c>
      <c r="CT13" s="19">
        <v>0</v>
      </c>
      <c r="CU13" s="27"/>
      <c r="CV13" s="40">
        <f t="shared" si="24"/>
        <v>8</v>
      </c>
      <c r="CW13" s="40">
        <f t="shared" si="25"/>
        <v>41.4</v>
      </c>
      <c r="CX13" s="40" t="str">
        <f t="shared" si="26"/>
        <v/>
      </c>
      <c r="CY13" s="40">
        <f t="shared" si="27"/>
        <v>8</v>
      </c>
      <c r="CZ13" s="40">
        <f t="shared" si="28"/>
        <v>41.4</v>
      </c>
      <c r="DA13" s="40">
        <f t="shared" si="29"/>
        <v>4.5999999999999996</v>
      </c>
      <c r="DB13" s="40">
        <f t="shared" si="30"/>
        <v>32.299999999999997</v>
      </c>
      <c r="DC13" s="40">
        <f t="shared" si="31"/>
        <v>73.699999999999989</v>
      </c>
      <c r="DD13" s="50" t="str">
        <f t="shared" si="32"/>
        <v/>
      </c>
      <c r="DE13" s="50" t="str">
        <f t="shared" si="33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4"/>
        <v/>
      </c>
      <c r="EA13" s="40" t="str">
        <f t="shared" si="35"/>
        <v/>
      </c>
      <c r="EB13" s="40" t="str">
        <f t="shared" si="36"/>
        <v/>
      </c>
      <c r="EC13" s="40" t="str">
        <f t="shared" si="37"/>
        <v/>
      </c>
      <c r="ED13" s="40" t="str">
        <f t="shared" si="38"/>
        <v/>
      </c>
      <c r="EE13" s="40" t="str">
        <f t="shared" si="39"/>
        <v/>
      </c>
      <c r="EF13" s="40" t="str">
        <f t="shared" si="40"/>
        <v/>
      </c>
      <c r="EG13" s="40" t="str">
        <f t="shared" si="41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2"/>
        <v/>
      </c>
      <c r="FC13" s="11" t="str">
        <f t="shared" si="43"/>
        <v/>
      </c>
      <c r="FD13" s="11" t="str">
        <f t="shared" si="44"/>
        <v/>
      </c>
      <c r="FE13" s="11" t="str">
        <f t="shared" si="45"/>
        <v/>
      </c>
      <c r="FF13" s="11" t="str">
        <f t="shared" si="46"/>
        <v/>
      </c>
      <c r="FG13" s="11" t="str">
        <f t="shared" si="47"/>
        <v/>
      </c>
      <c r="FH13" s="11" t="str">
        <f t="shared" si="48"/>
        <v/>
      </c>
      <c r="FI13" s="11" t="str">
        <f t="shared" si="49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0"/>
        <v/>
      </c>
      <c r="GE13" s="40" t="str">
        <f t="shared" si="51"/>
        <v/>
      </c>
      <c r="GF13" s="40" t="str">
        <f t="shared" si="52"/>
        <v/>
      </c>
      <c r="GG13" s="40" t="str">
        <f t="shared" si="53"/>
        <v/>
      </c>
      <c r="GH13" s="40" t="str">
        <f t="shared" si="54"/>
        <v/>
      </c>
      <c r="GI13" s="40" t="str">
        <f t="shared" si="55"/>
        <v/>
      </c>
      <c r="GJ13" s="40" t="str">
        <f t="shared" si="56"/>
        <v/>
      </c>
      <c r="GK13" s="40" t="str">
        <f t="shared" si="57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58"/>
        <v/>
      </c>
      <c r="HG13" s="11" t="str">
        <f t="shared" si="59"/>
        <v/>
      </c>
      <c r="HH13" s="11" t="str">
        <f t="shared" si="60"/>
        <v/>
      </c>
      <c r="HI13" s="11" t="str">
        <f t="shared" si="61"/>
        <v/>
      </c>
      <c r="HJ13" s="11" t="str">
        <f t="shared" si="62"/>
        <v/>
      </c>
      <c r="HK13" s="11" t="str">
        <f t="shared" si="63"/>
        <v/>
      </c>
      <c r="HL13" s="11" t="str">
        <f t="shared" si="64"/>
        <v/>
      </c>
      <c r="HM13" s="11" t="str">
        <f t="shared" si="65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6"/>
        <v/>
      </c>
      <c r="II13" s="40" t="str">
        <f t="shared" si="67"/>
        <v/>
      </c>
      <c r="IJ13" s="40" t="str">
        <f t="shared" si="68"/>
        <v/>
      </c>
      <c r="IK13" s="40" t="str">
        <f t="shared" si="69"/>
        <v/>
      </c>
      <c r="IL13" s="40" t="str">
        <f t="shared" si="70"/>
        <v/>
      </c>
      <c r="IM13" s="40" t="str">
        <f t="shared" si="71"/>
        <v/>
      </c>
      <c r="IN13" s="40" t="str">
        <f t="shared" si="72"/>
        <v/>
      </c>
      <c r="IO13" s="40" t="str">
        <f t="shared" si="73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4"/>
        <v/>
      </c>
      <c r="JK13" s="11" t="str">
        <f t="shared" si="75"/>
        <v/>
      </c>
      <c r="JL13" s="11" t="str">
        <f t="shared" si="76"/>
        <v/>
      </c>
      <c r="JM13" s="11" t="str">
        <f t="shared" si="77"/>
        <v/>
      </c>
      <c r="JN13" s="11" t="str">
        <f t="shared" si="78"/>
        <v/>
      </c>
      <c r="JO13" s="11" t="str">
        <f t="shared" si="79"/>
        <v/>
      </c>
      <c r="JP13" s="11" t="str">
        <f t="shared" si="80"/>
        <v/>
      </c>
      <c r="JQ13" s="11" t="str">
        <f t="shared" si="81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2"/>
        <v/>
      </c>
      <c r="KM13" s="40" t="str">
        <f t="shared" si="83"/>
        <v/>
      </c>
      <c r="KN13" s="40" t="str">
        <f t="shared" si="84"/>
        <v/>
      </c>
      <c r="KO13" s="40" t="str">
        <f t="shared" si="85"/>
        <v/>
      </c>
      <c r="KP13" s="40" t="str">
        <f t="shared" si="86"/>
        <v/>
      </c>
      <c r="KQ13" s="40" t="str">
        <f t="shared" si="87"/>
        <v/>
      </c>
      <c r="KR13" s="40" t="str">
        <f t="shared" si="88"/>
        <v/>
      </c>
      <c r="KS13" s="40" t="str">
        <f t="shared" si="89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0"/>
        <v/>
      </c>
      <c r="LO13" s="11" t="str">
        <f t="shared" si="91"/>
        <v/>
      </c>
      <c r="LP13" s="11" t="str">
        <f t="shared" si="92"/>
        <v/>
      </c>
      <c r="LQ13" s="11" t="str">
        <f t="shared" si="93"/>
        <v/>
      </c>
      <c r="LR13" s="11" t="str">
        <f t="shared" si="94"/>
        <v/>
      </c>
      <c r="LS13" s="11" t="str">
        <f t="shared" si="95"/>
        <v/>
      </c>
      <c r="LT13" s="11" t="str">
        <f t="shared" si="96"/>
        <v/>
      </c>
      <c r="LU13" s="11" t="str">
        <f t="shared" si="97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98"/>
        <v/>
      </c>
      <c r="MQ13" s="40" t="str">
        <f t="shared" si="99"/>
        <v/>
      </c>
      <c r="MR13" s="40" t="str">
        <f t="shared" si="100"/>
        <v/>
      </c>
      <c r="MS13" s="40" t="str">
        <f t="shared" si="101"/>
        <v/>
      </c>
      <c r="MT13" s="40" t="str">
        <f t="shared" si="102"/>
        <v/>
      </c>
      <c r="MU13" s="40" t="str">
        <f t="shared" si="103"/>
        <v/>
      </c>
      <c r="MV13" s="40" t="str">
        <f t="shared" si="104"/>
        <v/>
      </c>
      <c r="MW13" s="40" t="str">
        <f t="shared" si="105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6"/>
        <v/>
      </c>
      <c r="NS13" s="11" t="str">
        <f t="shared" si="107"/>
        <v/>
      </c>
      <c r="NT13" s="11" t="str">
        <f t="shared" si="108"/>
        <v/>
      </c>
      <c r="NU13" s="11" t="str">
        <f t="shared" si="109"/>
        <v/>
      </c>
      <c r="NV13" s="11" t="str">
        <f t="shared" si="110"/>
        <v/>
      </c>
      <c r="NW13" s="11" t="str">
        <f t="shared" si="111"/>
        <v/>
      </c>
      <c r="NX13" s="11" t="str">
        <f t="shared" si="112"/>
        <v/>
      </c>
      <c r="NY13" s="11" t="str">
        <f t="shared" si="113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4"/>
        <v/>
      </c>
      <c r="OU13" s="40" t="str">
        <f t="shared" si="115"/>
        <v/>
      </c>
      <c r="OV13" s="40" t="str">
        <f t="shared" si="116"/>
        <v/>
      </c>
      <c r="OW13" s="40" t="str">
        <f t="shared" si="117"/>
        <v/>
      </c>
      <c r="OX13" s="40" t="str">
        <f t="shared" si="118"/>
        <v/>
      </c>
      <c r="OY13" s="40" t="str">
        <f t="shared" si="119"/>
        <v/>
      </c>
      <c r="OZ13" s="40" t="str">
        <f t="shared" si="120"/>
        <v/>
      </c>
      <c r="PA13" s="40" t="str">
        <f t="shared" si="121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2"/>
        <v/>
      </c>
      <c r="PW13" s="11" t="str">
        <f t="shared" si="123"/>
        <v/>
      </c>
      <c r="PX13" s="11" t="str">
        <f t="shared" si="124"/>
        <v/>
      </c>
      <c r="PY13" s="11" t="str">
        <f t="shared" si="125"/>
        <v/>
      </c>
      <c r="PZ13" s="11" t="str">
        <f t="shared" si="126"/>
        <v/>
      </c>
      <c r="QA13" s="11" t="str">
        <f t="shared" si="127"/>
        <v/>
      </c>
      <c r="QB13" s="11" t="str">
        <f t="shared" si="128"/>
        <v/>
      </c>
      <c r="QC13" s="11" t="str">
        <f t="shared" si="129"/>
        <v/>
      </c>
      <c r="QD13" s="22">
        <f t="shared" si="130"/>
        <v>16.100000000000001</v>
      </c>
      <c r="QE13" s="22">
        <f t="shared" si="131"/>
        <v>4.0999999999999996</v>
      </c>
      <c r="QF13" s="22">
        <f t="shared" si="132"/>
        <v>0</v>
      </c>
      <c r="QG13" s="22">
        <f t="shared" si="133"/>
        <v>0</v>
      </c>
      <c r="QH13" s="22">
        <f t="shared" si="134"/>
        <v>16.75</v>
      </c>
      <c r="QI13" s="22">
        <f t="shared" si="135"/>
        <v>3.9</v>
      </c>
      <c r="QJ13" s="22">
        <f t="shared" si="136"/>
        <v>0</v>
      </c>
      <c r="QK13" s="22">
        <f t="shared" si="137"/>
        <v>0</v>
      </c>
      <c r="QL13" s="22">
        <f t="shared" si="138"/>
        <v>0</v>
      </c>
      <c r="QM13" s="22">
        <f t="shared" si="139"/>
        <v>0</v>
      </c>
      <c r="QN13" s="22">
        <f t="shared" si="140"/>
        <v>0</v>
      </c>
      <c r="QO13" s="22">
        <f t="shared" si="141"/>
        <v>0</v>
      </c>
      <c r="QP13" s="22">
        <f t="shared" si="142"/>
        <v>14.6</v>
      </c>
      <c r="QQ13" s="22">
        <f t="shared" si="143"/>
        <v>3.1999999999999997</v>
      </c>
      <c r="QR13" s="22">
        <f t="shared" si="144"/>
        <v>0</v>
      </c>
      <c r="QS13" s="22">
        <f t="shared" si="145"/>
        <v>0</v>
      </c>
      <c r="QT13" s="22">
        <f t="shared" si="146"/>
        <v>15.399999999999999</v>
      </c>
      <c r="QU13" s="22">
        <f t="shared" si="147"/>
        <v>3.4499999999999997</v>
      </c>
      <c r="QV13" s="22">
        <f t="shared" si="148"/>
        <v>0.3</v>
      </c>
      <c r="QW13" s="22">
        <f t="shared" si="149"/>
        <v>0</v>
      </c>
      <c r="QX13" s="27" t="s">
        <v>46</v>
      </c>
      <c r="QY13" s="40">
        <f t="shared" si="150"/>
        <v>8</v>
      </c>
      <c r="QZ13" s="40">
        <f t="shared" si="151"/>
        <v>40.85</v>
      </c>
      <c r="RA13" s="40" t="str">
        <f t="shared" si="152"/>
        <v/>
      </c>
      <c r="RB13" s="40">
        <f t="shared" si="153"/>
        <v>8</v>
      </c>
      <c r="RC13" s="40">
        <f t="shared" si="154"/>
        <v>40.85</v>
      </c>
      <c r="RD13" s="40">
        <f t="shared" si="155"/>
        <v>6.6499999999999995</v>
      </c>
      <c r="RE13" s="40">
        <f t="shared" si="156"/>
        <v>36.350000000000009</v>
      </c>
      <c r="RF13" s="40">
        <f t="shared" si="157"/>
        <v>77.200000000000017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63</v>
      </c>
      <c r="D14" s="4" t="s">
        <v>5</v>
      </c>
      <c r="E14" s="4">
        <v>2004</v>
      </c>
      <c r="F14" s="9">
        <f t="shared" si="0"/>
        <v>118.70000768000394</v>
      </c>
      <c r="G14" s="64"/>
      <c r="H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DZ14&gt;=EG$21,EA14&gt;=EG$25,DZ14&lt;&gt;""),AND(EE14&gt;=EG$21,EF14&gt;=EG$25,EE14&lt;&gt;""),AND(FB14&gt;=FI$21,FC14&gt;=FI$25,FB14&lt;&gt;""),AND(FG14&gt;=FI$21,FH14&gt;=FI$25,FG14&lt;&gt;""),AND(GD14&gt;=GK$21,GE14&gt;=GK$25,GD14&lt;&gt;""),AND(GI14&gt;=GK$21,GJ14&gt;=GK$25,GI14&lt;&gt;""),AND(HF14&gt;=HM$21,HG14&gt;=HM$25,HF14&lt;&gt;""),AND(HK14&gt;=HM$21,HL14&gt;=HM$25,HK14&lt;&gt;""),AND(IH14&gt;=IO$21,II14&gt;=IO$25,IH14&lt;&gt;""),AND(IM14&gt;=IO$21,IN14&gt;=IO$25,IM14&lt;&gt;""),AND(JJ14&gt;=JQ$21,JK14&gt;=JQ$25,JJ14&lt;&gt;""),AND(JO14&gt;=JQ$21,JP14&gt;=JQ$25,JO14&lt;&gt;""),AND(KL14&gt;=KS$21,KM14&gt;=KS$25,KL14&lt;&gt;""),AND(KQ14&gt;=KS$21,KR14&gt;=KS$25,KQ14&lt;&gt;""),AND(LN14&gt;=LU$21,LO14&gt;=LU$25,LN14&lt;&gt;""),AND(LS14&gt;=LU$21,LT14&gt;=LU$25,LS14&lt;&gt;""),AND(MP14&gt;=MW$21,MQ14&gt;=MW$25,MP14&lt;&gt;""),AND(MU14&gt;=MW$21,MV14&gt;=MW$25,MU14&lt;&gt;""),AND(NR14&gt;=NY$21,NS14&gt;=NY$25,NR14&lt;&gt;""),AND(NW14&gt;=NY$21,NX14&gt;=NY$25,NW14&lt;&gt;""),AND(OT14&gt;=PA$21,OU14&gt;=PA$25,OT14&lt;&gt;""),AND(OY14&gt;=PA$21,OZ14&gt;=PA$25,OY14&lt;&gt;""),AND(PV14&gt;=QC$21,PW14&gt;=QC$25,PV14&lt;&gt;""),AND(QA14&gt;=QC$21,QB14&gt;=QC$25,QA14&lt;&gt;"")),"P","")</f>
        <v/>
      </c>
      <c r="I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A14&gt;=EG$25,EA14&lt;&gt;""),AND(EF14&gt;=EG$25,EF14&lt;&gt;""),AND(FC14&gt;=FI$25,FC14&lt;&gt;""),AND(FH14&gt;=FI$25,FH14&lt;&gt;""),AND(GE14&gt;=GK$25,GE14&lt;&gt;""),AND(GJ14&gt;=GK$25,GJ14&lt;&gt;""),AND(HG14&gt;=HM$25,HG14&lt;&gt;""),AND(HL14&gt;=HM$25,HL14&lt;&gt;""),AND(II14&gt;=IO$25,II14&lt;&gt;""),AND(IN14&gt;=IO$25,IN14&lt;&gt;""),AND(JK14&gt;=JQ$25,JK14&lt;&gt;""),AND(JP14&gt;=JQ$25,JP14&lt;&gt;""),AND(KM14&gt;=KS$25,KM14&lt;&gt;""),AND(KR14&gt;=KS$25,KR14&lt;&gt;""),AND(LO14&gt;=LU$25,LO14&lt;&gt;""),AND(LT14&gt;=LU$25,LT14&lt;&gt;""),AND(MQ14&gt;=MW$25,MQ14&lt;&gt;""),AND(MV14&gt;=MW$25,MV14&lt;&gt;""),AND(NS14&gt;=NY$25,NS14&lt;&gt;""),AND(NX14&gt;=NY$25,NX14&lt;&gt;""),AND(OU14&gt;=PA$25,OU14&lt;&gt;""),AND(OZ14&gt;=PA$25,OZ14&lt;&gt;""),AND(PW14&gt;=QC$25,PW14&lt;&gt;""),AND(QB14&gt;=QC$25,QB14&lt;&gt;"")),"P","")</f>
        <v/>
      </c>
      <c r="J14" s="36" t="str">
        <f>IF(AND(I14="P",H14=""),"No DD",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Merit",IF(OR(AND(AS14&gt;=AW$23,AT14&gt;=AW$27,AS14&lt;&gt;"",AO14=""),AND(BV14&gt;=BZ$23,BW14&gt;=BZ$27,BV14&lt;&gt;"",BR14=""),AND(CY14&gt;=DC$23,CZ14&gt;=DC$27,CY14&lt;&gt;"",CU14=""),AND(EC14&gt;=EG$23,ED14&gt;=EG$27,EC14&lt;&gt;""),AND(FE14&gt;=FI$23,FF14&gt;=FI$27,FE14&lt;&gt;""),AND(GG14&gt;=GK$23,GH14&gt;=GK$27,GG14&lt;&gt;""),AND(HI14&gt;=HM$23,HJ14&gt;=HM$27,HI14&lt;&gt;""),AND(IK14&gt;=IO$23,IL14&gt;=IO$27,IK14&lt;&gt;""),AND(JM14&gt;=JQ$23,JN14&gt;=JQ$27,JM14&lt;&gt;""),AND(KO14&gt;=KS$23,KP14&gt;=KS$27,KO14&lt;&gt;""),AND(LQ14&gt;=LU$23,LR14&gt;=LU$27,LQ14&lt;&gt;""),AND(MS14&gt;=MW$23,MT14&gt;=MW$27,MS14&lt;&gt;""),AND(NU14&gt;=NY$23,NV14&gt;=NY$27,NU14&lt;&gt;""),AND(OW14&gt;=PA$23,OX14&gt;=PA$27,OW14&lt;&gt;""),AND(PY14&gt;=QC$23,PZ14&gt;=QC$27,PY14&lt;&gt;"")),"Excellence",IF(K14="P","Worlds Team",IF(H14="P","National Team","")))))</f>
        <v/>
      </c>
      <c r="K14" s="3" t="str">
        <f>IF(OR(AND(AS14&gt;=AW$22,AT14&gt;=AW$26,AS14&lt;&gt;"",AO14=""),AND(BV14&gt;=BZ$22,BW14&gt;=BZ$26,BV14&lt;&gt;"",BR14=""),AND(CY14&gt;=DC$22,CZ14&gt;=DC$26,CY14&lt;&gt;"",CU14=""),AND(EC14&gt;=EG$22,ED14&gt;=EG$26,EC14&lt;&gt;""),AND(FE14&gt;=FI$22,FF14&gt;=FI$26,FE14&lt;&gt;""),AND(GG14&gt;=GK$22,GH14&gt;=GK$26,GG14&lt;&gt;""),AND(HI14&gt;=HM$22,HJ14&gt;=HM$26,HI14&lt;&gt;""),AND(IK14&gt;=IO$22,IL14&gt;=IO$26,IK14&lt;&gt;""),AND(JM14&gt;=JQ$22,JN14&gt;=JQ$26,JM14&lt;&gt;""),AND(KO14&gt;=KS$22,KP14&gt;=KS$26,KO14&lt;&gt;""),AND(LQ14&gt;=LU$22,LR14&gt;=LU$26,LQ14&lt;&gt;""),AND(MS14&gt;=MW$22,MT14&gt;=MW$26,MS14&lt;&gt;""),AND(NU14&gt;=NY$22,NV14&gt;=NY$26,NU14&lt;&gt;""),AND(OW14&gt;=PA$22,OX14&gt;=PA$26,OW14&lt;&gt;""),AND(PY14&gt;=QC$22,PZ14&gt;=QC$26,PY14&lt;&gt;"")),"P","")</f>
        <v/>
      </c>
      <c r="L14" s="8">
        <f>IF(COUNT(AQ14,BT14,CW14)&gt;0,LARGE((AQ14,BT14,CW14),1),0)</f>
        <v>39.200000000000003</v>
      </c>
      <c r="M14" s="8" t="str">
        <f t="shared" si="1"/>
        <v>2025 Elite Canada</v>
      </c>
      <c r="N14" s="8">
        <f>IF(COUNT(AQ14,BT14,CW14)&gt;1,LARGE((AQ14,BT14,CW14),2),0)</f>
        <v>37.6</v>
      </c>
      <c r="O14" s="8" t="str">
        <f t="shared" si="2"/>
        <v>2025 Nationals</v>
      </c>
      <c r="P14" s="8">
        <f t="shared" si="3"/>
        <v>38.4</v>
      </c>
      <c r="Q14" s="8" t="str">
        <f t="shared" si="4"/>
        <v>2025 Elite Canada</v>
      </c>
      <c r="R14" s="8">
        <f t="shared" si="5"/>
        <v>3.5</v>
      </c>
      <c r="S14" s="11" t="str">
        <f t="shared" si="6"/>
        <v>(Q1)</v>
      </c>
      <c r="T14" s="8" t="str">
        <f t="shared" si="7"/>
        <v>2024 World Cup POR (July 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8"/>
        <v/>
      </c>
      <c r="AQ14" s="40" t="str">
        <f t="shared" si="9"/>
        <v/>
      </c>
      <c r="AR14" s="40" t="str">
        <f t="shared" si="10"/>
        <v/>
      </c>
      <c r="AS14" s="40" t="str">
        <f t="shared" si="11"/>
        <v/>
      </c>
      <c r="AT14" s="40" t="str">
        <f t="shared" si="12"/>
        <v/>
      </c>
      <c r="AU14" s="40" t="str">
        <f t="shared" si="13"/>
        <v/>
      </c>
      <c r="AV14" s="40" t="str">
        <f t="shared" si="14"/>
        <v/>
      </c>
      <c r="AW14" s="40" t="str">
        <f t="shared" si="15"/>
        <v/>
      </c>
      <c r="AX14" s="18">
        <v>16.8</v>
      </c>
      <c r="AY14" s="18">
        <v>3.5</v>
      </c>
      <c r="AZ14" s="18">
        <v>0.5</v>
      </c>
      <c r="BA14" s="18">
        <v>0.7</v>
      </c>
      <c r="BB14" s="18">
        <v>14.6</v>
      </c>
      <c r="BC14" s="18">
        <v>4.0999999999999996</v>
      </c>
      <c r="BD14" s="18">
        <v>0</v>
      </c>
      <c r="BE14" s="18">
        <v>0</v>
      </c>
      <c r="BF14" s="18"/>
      <c r="BG14" s="18"/>
      <c r="BH14" s="18"/>
      <c r="BI14" s="18"/>
      <c r="BJ14" s="18">
        <v>16.899999999999999</v>
      </c>
      <c r="BK14" s="18">
        <v>3.8</v>
      </c>
      <c r="BL14" s="18">
        <v>0.4</v>
      </c>
      <c r="BM14" s="18">
        <v>0.7</v>
      </c>
      <c r="BN14" s="18">
        <v>15.5</v>
      </c>
      <c r="BO14" s="18">
        <v>1.9</v>
      </c>
      <c r="BP14" s="18">
        <v>0</v>
      </c>
      <c r="BQ14" s="18">
        <v>0</v>
      </c>
      <c r="BR14" s="28"/>
      <c r="BS14" s="11">
        <f t="shared" si="16"/>
        <v>7.6</v>
      </c>
      <c r="BT14" s="11">
        <f t="shared" si="17"/>
        <v>39.200000000000003</v>
      </c>
      <c r="BU14" s="11" t="str">
        <f t="shared" si="18"/>
        <v/>
      </c>
      <c r="BV14" s="11">
        <f t="shared" si="19"/>
        <v>7.6</v>
      </c>
      <c r="BW14" s="11">
        <f t="shared" si="20"/>
        <v>39.200000000000003</v>
      </c>
      <c r="BX14" s="11">
        <f t="shared" si="21"/>
        <v>5.6999999999999993</v>
      </c>
      <c r="BY14" s="11">
        <f t="shared" si="22"/>
        <v>38.4</v>
      </c>
      <c r="BZ14" s="11">
        <f t="shared" si="23"/>
        <v>77.599999999999994</v>
      </c>
      <c r="CA14" s="19">
        <v>16.100000000000001</v>
      </c>
      <c r="CB14" s="19">
        <v>3.8</v>
      </c>
      <c r="CC14" s="19">
        <v>0.4</v>
      </c>
      <c r="CD14" s="19">
        <v>0.7</v>
      </c>
      <c r="CE14" s="19">
        <v>15.5</v>
      </c>
      <c r="CF14" s="19">
        <v>1.9</v>
      </c>
      <c r="CG14" s="19">
        <v>0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4"/>
        <v>5.6999999999999993</v>
      </c>
      <c r="CW14" s="40">
        <f t="shared" si="25"/>
        <v>37.6</v>
      </c>
      <c r="CX14" s="40" t="str">
        <f t="shared" si="26"/>
        <v/>
      </c>
      <c r="CY14" s="40">
        <f t="shared" si="27"/>
        <v>5.6999999999999993</v>
      </c>
      <c r="CZ14" s="40">
        <f t="shared" si="28"/>
        <v>37.6</v>
      </c>
      <c r="DA14" s="40" t="str">
        <f t="shared" si="29"/>
        <v/>
      </c>
      <c r="DB14" s="40" t="str">
        <f t="shared" si="30"/>
        <v/>
      </c>
      <c r="DC14" s="40">
        <f t="shared" si="31"/>
        <v>37.6</v>
      </c>
      <c r="DD14" s="50">
        <f t="shared" si="32"/>
        <v>3.5</v>
      </c>
      <c r="DE14" s="50" t="str">
        <f t="shared" si="33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4"/>
        <v/>
      </c>
      <c r="EA14" s="40" t="str">
        <f t="shared" si="35"/>
        <v/>
      </c>
      <c r="EB14" s="40" t="str">
        <f t="shared" si="36"/>
        <v/>
      </c>
      <c r="EC14" s="40" t="str">
        <f t="shared" si="37"/>
        <v/>
      </c>
      <c r="ED14" s="40" t="str">
        <f t="shared" si="38"/>
        <v/>
      </c>
      <c r="EE14" s="40" t="str">
        <f t="shared" si="39"/>
        <v/>
      </c>
      <c r="EF14" s="40" t="str">
        <f t="shared" si="40"/>
        <v/>
      </c>
      <c r="EG14" s="40" t="str">
        <f t="shared" si="41"/>
        <v/>
      </c>
      <c r="EH14" s="18">
        <v>16.899999999999999</v>
      </c>
      <c r="EI14" s="18">
        <v>3.5</v>
      </c>
      <c r="EJ14" s="18">
        <v>0.4</v>
      </c>
      <c r="EK14" s="18">
        <v>0</v>
      </c>
      <c r="EL14" s="18">
        <v>17.3</v>
      </c>
      <c r="EM14" s="18">
        <v>3.8</v>
      </c>
      <c r="EN14" s="18">
        <v>0</v>
      </c>
      <c r="EO14" s="18">
        <v>0</v>
      </c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>
        <f t="shared" si="42"/>
        <v>7.3</v>
      </c>
      <c r="FC14" s="11">
        <f t="shared" si="43"/>
        <v>41.1</v>
      </c>
      <c r="FD14" s="11" t="str">
        <f t="shared" si="44"/>
        <v/>
      </c>
      <c r="FE14" s="11">
        <f t="shared" si="45"/>
        <v>7.3</v>
      </c>
      <c r="FF14" s="11">
        <f t="shared" si="46"/>
        <v>41.1</v>
      </c>
      <c r="FG14" s="11" t="str">
        <f t="shared" si="47"/>
        <v/>
      </c>
      <c r="FH14" s="11" t="str">
        <f t="shared" si="48"/>
        <v/>
      </c>
      <c r="FI14" s="11">
        <f t="shared" si="49"/>
        <v>41.1</v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0"/>
        <v/>
      </c>
      <c r="GE14" s="40" t="str">
        <f t="shared" si="51"/>
        <v/>
      </c>
      <c r="GF14" s="40" t="str">
        <f t="shared" si="52"/>
        <v/>
      </c>
      <c r="GG14" s="40" t="str">
        <f t="shared" si="53"/>
        <v/>
      </c>
      <c r="GH14" s="40" t="str">
        <f t="shared" si="54"/>
        <v/>
      </c>
      <c r="GI14" s="40" t="str">
        <f t="shared" si="55"/>
        <v/>
      </c>
      <c r="GJ14" s="40" t="str">
        <f t="shared" si="56"/>
        <v/>
      </c>
      <c r="GK14" s="40" t="str">
        <f t="shared" si="57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58"/>
        <v/>
      </c>
      <c r="HG14" s="11" t="str">
        <f t="shared" si="59"/>
        <v/>
      </c>
      <c r="HH14" s="11" t="str">
        <f t="shared" si="60"/>
        <v/>
      </c>
      <c r="HI14" s="11" t="str">
        <f t="shared" si="61"/>
        <v/>
      </c>
      <c r="HJ14" s="11" t="str">
        <f t="shared" si="62"/>
        <v/>
      </c>
      <c r="HK14" s="11" t="str">
        <f t="shared" si="63"/>
        <v/>
      </c>
      <c r="HL14" s="11" t="str">
        <f t="shared" si="64"/>
        <v/>
      </c>
      <c r="HM14" s="11" t="str">
        <f t="shared" si="65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6"/>
        <v/>
      </c>
      <c r="II14" s="40" t="str">
        <f t="shared" si="67"/>
        <v/>
      </c>
      <c r="IJ14" s="40" t="str">
        <f t="shared" si="68"/>
        <v/>
      </c>
      <c r="IK14" s="40" t="str">
        <f t="shared" si="69"/>
        <v/>
      </c>
      <c r="IL14" s="40" t="str">
        <f t="shared" si="70"/>
        <v/>
      </c>
      <c r="IM14" s="40" t="str">
        <f t="shared" si="71"/>
        <v/>
      </c>
      <c r="IN14" s="40" t="str">
        <f t="shared" si="72"/>
        <v/>
      </c>
      <c r="IO14" s="40" t="str">
        <f t="shared" si="73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4"/>
        <v/>
      </c>
      <c r="JK14" s="11" t="str">
        <f t="shared" si="75"/>
        <v/>
      </c>
      <c r="JL14" s="11" t="str">
        <f t="shared" si="76"/>
        <v/>
      </c>
      <c r="JM14" s="11" t="str">
        <f t="shared" si="77"/>
        <v/>
      </c>
      <c r="JN14" s="11" t="str">
        <f t="shared" si="78"/>
        <v/>
      </c>
      <c r="JO14" s="11" t="str">
        <f t="shared" si="79"/>
        <v/>
      </c>
      <c r="JP14" s="11" t="str">
        <f t="shared" si="80"/>
        <v/>
      </c>
      <c r="JQ14" s="11" t="str">
        <f t="shared" si="81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2"/>
        <v/>
      </c>
      <c r="KM14" s="40" t="str">
        <f t="shared" si="83"/>
        <v/>
      </c>
      <c r="KN14" s="40" t="str">
        <f t="shared" si="84"/>
        <v/>
      </c>
      <c r="KO14" s="40" t="str">
        <f t="shared" si="85"/>
        <v/>
      </c>
      <c r="KP14" s="40" t="str">
        <f t="shared" si="86"/>
        <v/>
      </c>
      <c r="KQ14" s="40" t="str">
        <f t="shared" si="87"/>
        <v/>
      </c>
      <c r="KR14" s="40" t="str">
        <f t="shared" si="88"/>
        <v/>
      </c>
      <c r="KS14" s="40" t="str">
        <f t="shared" si="89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0"/>
        <v/>
      </c>
      <c r="LO14" s="11" t="str">
        <f t="shared" si="91"/>
        <v/>
      </c>
      <c r="LP14" s="11" t="str">
        <f t="shared" si="92"/>
        <v/>
      </c>
      <c r="LQ14" s="11" t="str">
        <f t="shared" si="93"/>
        <v/>
      </c>
      <c r="LR14" s="11" t="str">
        <f t="shared" si="94"/>
        <v/>
      </c>
      <c r="LS14" s="11" t="str">
        <f t="shared" si="95"/>
        <v/>
      </c>
      <c r="LT14" s="11" t="str">
        <f t="shared" si="96"/>
        <v/>
      </c>
      <c r="LU14" s="11" t="str">
        <f t="shared" si="97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98"/>
        <v/>
      </c>
      <c r="MQ14" s="40" t="str">
        <f t="shared" si="99"/>
        <v/>
      </c>
      <c r="MR14" s="40" t="str">
        <f t="shared" si="100"/>
        <v/>
      </c>
      <c r="MS14" s="40" t="str">
        <f t="shared" si="101"/>
        <v/>
      </c>
      <c r="MT14" s="40" t="str">
        <f t="shared" si="102"/>
        <v/>
      </c>
      <c r="MU14" s="40" t="str">
        <f t="shared" si="103"/>
        <v/>
      </c>
      <c r="MV14" s="40" t="str">
        <f t="shared" si="104"/>
        <v/>
      </c>
      <c r="MW14" s="40" t="str">
        <f t="shared" si="105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6"/>
        <v/>
      </c>
      <c r="NS14" s="11" t="str">
        <f t="shared" si="107"/>
        <v/>
      </c>
      <c r="NT14" s="11" t="str">
        <f t="shared" si="108"/>
        <v/>
      </c>
      <c r="NU14" s="11" t="str">
        <f t="shared" si="109"/>
        <v/>
      </c>
      <c r="NV14" s="11" t="str">
        <f t="shared" si="110"/>
        <v/>
      </c>
      <c r="NW14" s="11" t="str">
        <f t="shared" si="111"/>
        <v/>
      </c>
      <c r="NX14" s="11" t="str">
        <f t="shared" si="112"/>
        <v/>
      </c>
      <c r="NY14" s="11" t="str">
        <f t="shared" si="113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4"/>
        <v/>
      </c>
      <c r="OU14" s="40" t="str">
        <f t="shared" si="115"/>
        <v/>
      </c>
      <c r="OV14" s="40" t="str">
        <f t="shared" si="116"/>
        <v/>
      </c>
      <c r="OW14" s="40" t="str">
        <f t="shared" si="117"/>
        <v/>
      </c>
      <c r="OX14" s="40" t="str">
        <f t="shared" si="118"/>
        <v/>
      </c>
      <c r="OY14" s="40" t="str">
        <f t="shared" si="119"/>
        <v/>
      </c>
      <c r="OZ14" s="40" t="str">
        <f t="shared" si="120"/>
        <v/>
      </c>
      <c r="PA14" s="40" t="str">
        <f t="shared" si="121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2"/>
        <v/>
      </c>
      <c r="PW14" s="11" t="str">
        <f t="shared" si="123"/>
        <v/>
      </c>
      <c r="PX14" s="11" t="str">
        <f t="shared" si="124"/>
        <v/>
      </c>
      <c r="PY14" s="11" t="str">
        <f t="shared" si="125"/>
        <v/>
      </c>
      <c r="PZ14" s="11" t="str">
        <f t="shared" si="126"/>
        <v/>
      </c>
      <c r="QA14" s="11" t="str">
        <f t="shared" si="127"/>
        <v/>
      </c>
      <c r="QB14" s="11" t="str">
        <f t="shared" si="128"/>
        <v/>
      </c>
      <c r="QC14" s="11" t="str">
        <f t="shared" si="129"/>
        <v/>
      </c>
      <c r="QD14" s="22">
        <f t="shared" si="130"/>
        <v>16.450000000000003</v>
      </c>
      <c r="QE14" s="22">
        <f t="shared" si="131"/>
        <v>3.65</v>
      </c>
      <c r="QF14" s="22">
        <f t="shared" si="132"/>
        <v>0.45</v>
      </c>
      <c r="QG14" s="22">
        <f t="shared" si="133"/>
        <v>0.7</v>
      </c>
      <c r="QH14" s="22">
        <f t="shared" si="134"/>
        <v>15.05</v>
      </c>
      <c r="QI14" s="22">
        <f t="shared" si="135"/>
        <v>3</v>
      </c>
      <c r="QJ14" s="22">
        <f t="shared" si="136"/>
        <v>0</v>
      </c>
      <c r="QK14" s="22">
        <f t="shared" si="137"/>
        <v>0</v>
      </c>
      <c r="QL14" s="22">
        <f t="shared" si="138"/>
        <v>0</v>
      </c>
      <c r="QM14" s="22">
        <f t="shared" si="139"/>
        <v>0</v>
      </c>
      <c r="QN14" s="22">
        <f t="shared" si="140"/>
        <v>0</v>
      </c>
      <c r="QO14" s="22">
        <f t="shared" si="141"/>
        <v>0</v>
      </c>
      <c r="QP14" s="22">
        <f t="shared" si="142"/>
        <v>8.4499999999999993</v>
      </c>
      <c r="QQ14" s="22">
        <f t="shared" si="143"/>
        <v>1.9</v>
      </c>
      <c r="QR14" s="22">
        <f t="shared" si="144"/>
        <v>0.2</v>
      </c>
      <c r="QS14" s="22">
        <f t="shared" si="145"/>
        <v>0.35</v>
      </c>
      <c r="QT14" s="22">
        <f t="shared" si="146"/>
        <v>7.75</v>
      </c>
      <c r="QU14" s="22">
        <f t="shared" si="147"/>
        <v>0.95</v>
      </c>
      <c r="QV14" s="22">
        <f t="shared" si="148"/>
        <v>0</v>
      </c>
      <c r="QW14" s="22">
        <f t="shared" si="149"/>
        <v>0</v>
      </c>
      <c r="QX14" s="27" t="s">
        <v>46</v>
      </c>
      <c r="QY14" s="40">
        <f t="shared" si="150"/>
        <v>6.65</v>
      </c>
      <c r="QZ14" s="40">
        <f t="shared" si="151"/>
        <v>38.4</v>
      </c>
      <c r="RA14" s="40" t="str">
        <f t="shared" si="152"/>
        <v/>
      </c>
      <c r="RB14" s="40">
        <f t="shared" si="153"/>
        <v>6.65</v>
      </c>
      <c r="RC14" s="40">
        <f t="shared" si="154"/>
        <v>38.4</v>
      </c>
      <c r="RD14" s="40">
        <f t="shared" si="155"/>
        <v>2.8499999999999996</v>
      </c>
      <c r="RE14" s="40">
        <f t="shared" si="156"/>
        <v>19.2</v>
      </c>
      <c r="RF14" s="40">
        <f t="shared" si="157"/>
        <v>57.599999999999994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187</v>
      </c>
      <c r="D15" s="4" t="s">
        <v>4</v>
      </c>
      <c r="E15" s="4">
        <v>2008</v>
      </c>
      <c r="F15" s="9">
        <f t="shared" si="0"/>
        <v>117.60000790000397</v>
      </c>
      <c r="G15" s="64"/>
      <c r="H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DZ15&gt;=EG$21,EA15&gt;=EG$25,DZ15&lt;&gt;""),AND(EE15&gt;=EG$21,EF15&gt;=EG$25,EE15&lt;&gt;""),AND(FB15&gt;=FI$21,FC15&gt;=FI$25,FB15&lt;&gt;""),AND(FG15&gt;=FI$21,FH15&gt;=FI$25,FG15&lt;&gt;""),AND(GD15&gt;=GK$21,GE15&gt;=GK$25,GD15&lt;&gt;""),AND(GI15&gt;=GK$21,GJ15&gt;=GK$25,GI15&lt;&gt;""),AND(HF15&gt;=HM$21,HG15&gt;=HM$25,HF15&lt;&gt;""),AND(HK15&gt;=HM$21,HL15&gt;=HM$25,HK15&lt;&gt;""),AND(IH15&gt;=IO$21,II15&gt;=IO$25,IH15&lt;&gt;""),AND(IM15&gt;=IO$21,IN15&gt;=IO$25,IM15&lt;&gt;""),AND(JJ15&gt;=JQ$21,JK15&gt;=JQ$25,JJ15&lt;&gt;""),AND(JO15&gt;=JQ$21,JP15&gt;=JQ$25,JO15&lt;&gt;""),AND(KL15&gt;=KS$21,KM15&gt;=KS$25,KL15&lt;&gt;""),AND(KQ15&gt;=KS$21,KR15&gt;=KS$25,KQ15&lt;&gt;""),AND(LN15&gt;=LU$21,LO15&gt;=LU$25,LN15&lt;&gt;""),AND(LS15&gt;=LU$21,LT15&gt;=LU$25,LS15&lt;&gt;""),AND(MP15&gt;=MW$21,MQ15&gt;=MW$25,MP15&lt;&gt;""),AND(MU15&gt;=MW$21,MV15&gt;=MW$25,MU15&lt;&gt;""),AND(NR15&gt;=NY$21,NS15&gt;=NY$25,NR15&lt;&gt;""),AND(NW15&gt;=NY$21,NX15&gt;=NY$25,NW15&lt;&gt;""),AND(OT15&gt;=PA$21,OU15&gt;=PA$25,OT15&lt;&gt;""),AND(OY15&gt;=PA$21,OZ15&gt;=PA$25,OY15&lt;&gt;""),AND(PV15&gt;=QC$21,PW15&gt;=QC$25,PV15&lt;&gt;""),AND(QA15&gt;=QC$21,QB15&gt;=QC$25,QA15&lt;&gt;"")),"P","")</f>
        <v/>
      </c>
      <c r="I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A15&gt;=EG$25,EA15&lt;&gt;""),AND(EF15&gt;=EG$25,EF15&lt;&gt;""),AND(FC15&gt;=FI$25,FC15&lt;&gt;""),AND(FH15&gt;=FI$25,FH15&lt;&gt;""),AND(GE15&gt;=GK$25,GE15&lt;&gt;""),AND(GJ15&gt;=GK$25,GJ15&lt;&gt;""),AND(HG15&gt;=HM$25,HG15&lt;&gt;""),AND(HL15&gt;=HM$25,HL15&lt;&gt;""),AND(II15&gt;=IO$25,II15&lt;&gt;""),AND(IN15&gt;=IO$25,IN15&lt;&gt;""),AND(JK15&gt;=JQ$25,JK15&lt;&gt;""),AND(JP15&gt;=JQ$25,JP15&lt;&gt;""),AND(KM15&gt;=KS$25,KM15&lt;&gt;""),AND(KR15&gt;=KS$25,KR15&lt;&gt;""),AND(LO15&gt;=LU$25,LO15&lt;&gt;""),AND(LT15&gt;=LU$25,LT15&lt;&gt;""),AND(MQ15&gt;=MW$25,MQ15&lt;&gt;""),AND(MV15&gt;=MW$25,MV15&lt;&gt;""),AND(NS15&gt;=NY$25,NS15&lt;&gt;""),AND(NX15&gt;=NY$25,NX15&lt;&gt;""),AND(OU15&gt;=PA$25,OU15&lt;&gt;""),AND(OZ15&gt;=PA$25,OZ15&lt;&gt;""),AND(PW15&gt;=QC$25,PW15&lt;&gt;""),AND(QB15&gt;=QC$25,QB15&lt;&gt;"")),"P","")</f>
        <v/>
      </c>
      <c r="J15" s="36" t="str">
        <f>IF(AND(I15="P",H15=""),"No DD",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Merit",IF(OR(AND(AS15&gt;=AW$23,AT15&gt;=AW$27,AS15&lt;&gt;"",AO15=""),AND(BV15&gt;=BZ$23,BW15&gt;=BZ$27,BV15&lt;&gt;"",BR15=""),AND(CY15&gt;=DC$23,CZ15&gt;=DC$27,CY15&lt;&gt;"",CU15=""),AND(EC15&gt;=EG$23,ED15&gt;=EG$27,EC15&lt;&gt;""),AND(FE15&gt;=FI$23,FF15&gt;=FI$27,FE15&lt;&gt;""),AND(GG15&gt;=GK$23,GH15&gt;=GK$27,GG15&lt;&gt;""),AND(HI15&gt;=HM$23,HJ15&gt;=HM$27,HI15&lt;&gt;""),AND(IK15&gt;=IO$23,IL15&gt;=IO$27,IK15&lt;&gt;""),AND(JM15&gt;=JQ$23,JN15&gt;=JQ$27,JM15&lt;&gt;""),AND(KO15&gt;=KS$23,KP15&gt;=KS$27,KO15&lt;&gt;""),AND(LQ15&gt;=LU$23,LR15&gt;=LU$27,LQ15&lt;&gt;""),AND(MS15&gt;=MW$23,MT15&gt;=MW$27,MS15&lt;&gt;""),AND(NU15&gt;=NY$23,NV15&gt;=NY$27,NU15&lt;&gt;""),AND(OW15&gt;=PA$23,OX15&gt;=PA$27,OW15&lt;&gt;""),AND(PY15&gt;=QC$23,PZ15&gt;=QC$27,PY15&lt;&gt;"")),"Excellence",IF(K15="P","Worlds Team",IF(H15="P","National Team","")))))</f>
        <v/>
      </c>
      <c r="K15" s="3" t="str">
        <f>IF(OR(AND(AS15&gt;=AW$22,AT15&gt;=AW$26,AS15&lt;&gt;"",AO15=""),AND(BV15&gt;=BZ$22,BW15&gt;=BZ$26,BV15&lt;&gt;"",BR15=""),AND(CY15&gt;=DC$22,CZ15&gt;=DC$26,CY15&lt;&gt;"",CU15=""),AND(EC15&gt;=EG$22,ED15&gt;=EG$26,EC15&lt;&gt;""),AND(FE15&gt;=FI$22,FF15&gt;=FI$26,FE15&lt;&gt;""),AND(GG15&gt;=GK$22,GH15&gt;=GK$26,GG15&lt;&gt;""),AND(HI15&gt;=HM$22,HJ15&gt;=HM$26,HI15&lt;&gt;""),AND(IK15&gt;=IO$22,IL15&gt;=IO$26,IK15&lt;&gt;""),AND(JM15&gt;=JQ$22,JN15&gt;=JQ$26,JM15&lt;&gt;""),AND(KO15&gt;=KS$22,KP15&gt;=KS$26,KO15&lt;&gt;""),AND(LQ15&gt;=LU$22,LR15&gt;=LU$26,LQ15&lt;&gt;""),AND(MS15&gt;=MW$22,MT15&gt;=MW$26,MS15&lt;&gt;""),AND(NU15&gt;=NY$22,NV15&gt;=NY$26,NU15&lt;&gt;""),AND(OW15&gt;=PA$22,OX15&gt;=PA$26,OW15&lt;&gt;""),AND(PY15&gt;=QC$22,PZ15&gt;=QC$26,PY15&lt;&gt;"")),"P","")</f>
        <v/>
      </c>
      <c r="L15" s="8">
        <f>IF(COUNT(AQ15,BT15,CW15)&gt;0,LARGE((AQ15,BT15,CW15),1),0)</f>
        <v>39.79999999999999</v>
      </c>
      <c r="M15" s="8" t="str">
        <f t="shared" si="1"/>
        <v>2024 3rd Domestic Trial</v>
      </c>
      <c r="N15" s="8">
        <f>IF(COUNT(AQ15,BT15,CW15)&gt;1,LARGE((AQ15,BT15,CW15),2),0)</f>
        <v>39.199999999999996</v>
      </c>
      <c r="O15" s="8" t="str">
        <f t="shared" si="2"/>
        <v>2025 Elite Canada</v>
      </c>
      <c r="P15" s="8">
        <f t="shared" si="3"/>
        <v>38.6</v>
      </c>
      <c r="Q15" s="8" t="str">
        <f t="shared" si="4"/>
        <v>2025 Elite Canada</v>
      </c>
      <c r="R15" s="8" t="str">
        <f t="shared" si="5"/>
        <v/>
      </c>
      <c r="S15" s="11" t="str">
        <f t="shared" si="6"/>
        <v/>
      </c>
      <c r="T15" s="8" t="str">
        <f t="shared" si="7"/>
        <v/>
      </c>
      <c r="U15" s="19">
        <v>15.5</v>
      </c>
      <c r="V15" s="19">
        <v>3.7</v>
      </c>
      <c r="W15" s="19">
        <v>0.2</v>
      </c>
      <c r="X15" s="19">
        <v>0.6</v>
      </c>
      <c r="Y15" s="19">
        <v>16</v>
      </c>
      <c r="Z15" s="19">
        <v>3.9</v>
      </c>
      <c r="AA15" s="19">
        <v>0</v>
      </c>
      <c r="AB15" s="19">
        <v>0.3</v>
      </c>
      <c r="AC15" s="19"/>
      <c r="AD15" s="19"/>
      <c r="AE15" s="19"/>
      <c r="AF15" s="19"/>
      <c r="AG15" s="19">
        <v>15.8</v>
      </c>
      <c r="AH15" s="19">
        <v>3.5</v>
      </c>
      <c r="AI15" s="19">
        <v>0.2</v>
      </c>
      <c r="AJ15" s="19">
        <v>0.6</v>
      </c>
      <c r="AK15" s="19">
        <v>15.4</v>
      </c>
      <c r="AL15" s="19">
        <v>3.2</v>
      </c>
      <c r="AM15" s="19">
        <v>0.4</v>
      </c>
      <c r="AN15" s="19">
        <v>0.6</v>
      </c>
      <c r="AO15" s="27"/>
      <c r="AP15" s="40">
        <f t="shared" si="8"/>
        <v>7.6</v>
      </c>
      <c r="AQ15" s="40">
        <f t="shared" si="9"/>
        <v>39.79999999999999</v>
      </c>
      <c r="AR15" s="40" t="str">
        <f t="shared" si="10"/>
        <v/>
      </c>
      <c r="AS15" s="40">
        <f t="shared" si="11"/>
        <v>7.6</v>
      </c>
      <c r="AT15" s="40">
        <f t="shared" si="12"/>
        <v>39.79999999999999</v>
      </c>
      <c r="AU15" s="40">
        <f t="shared" si="13"/>
        <v>6.7</v>
      </c>
      <c r="AV15" s="40">
        <f t="shared" si="14"/>
        <v>38.500000000000007</v>
      </c>
      <c r="AW15" s="40">
        <f t="shared" si="15"/>
        <v>78.3</v>
      </c>
      <c r="AX15" s="18">
        <v>16.3</v>
      </c>
      <c r="AY15" s="18">
        <v>3.4</v>
      </c>
      <c r="AZ15" s="18">
        <v>0.2</v>
      </c>
      <c r="BA15" s="18">
        <v>0</v>
      </c>
      <c r="BB15" s="18">
        <v>15.1</v>
      </c>
      <c r="BC15" s="18">
        <v>4.5999999999999996</v>
      </c>
      <c r="BD15" s="18">
        <v>0</v>
      </c>
      <c r="BE15" s="18">
        <v>0</v>
      </c>
      <c r="BF15" s="18"/>
      <c r="BG15" s="18"/>
      <c r="BH15" s="18"/>
      <c r="BI15" s="18"/>
      <c r="BJ15" s="18">
        <v>15.1</v>
      </c>
      <c r="BK15" s="18">
        <v>3.4</v>
      </c>
      <c r="BL15" s="18">
        <v>0</v>
      </c>
      <c r="BM15" s="18">
        <v>0</v>
      </c>
      <c r="BN15" s="18">
        <v>15.5</v>
      </c>
      <c r="BO15" s="18">
        <v>4.5999999999999996</v>
      </c>
      <c r="BP15" s="18">
        <v>0</v>
      </c>
      <c r="BQ15" s="18">
        <v>0</v>
      </c>
      <c r="BR15" s="28"/>
      <c r="BS15" s="11">
        <f t="shared" si="16"/>
        <v>8</v>
      </c>
      <c r="BT15" s="11">
        <f t="shared" si="17"/>
        <v>39.199999999999996</v>
      </c>
      <c r="BU15" s="11" t="str">
        <f t="shared" si="18"/>
        <v/>
      </c>
      <c r="BV15" s="11">
        <f t="shared" si="19"/>
        <v>8</v>
      </c>
      <c r="BW15" s="11">
        <f t="shared" si="20"/>
        <v>39.199999999999996</v>
      </c>
      <c r="BX15" s="11">
        <f t="shared" si="21"/>
        <v>8</v>
      </c>
      <c r="BY15" s="11">
        <f t="shared" si="22"/>
        <v>38.6</v>
      </c>
      <c r="BZ15" s="11">
        <f t="shared" si="23"/>
        <v>77.8</v>
      </c>
      <c r="CA15" s="19">
        <v>15.6</v>
      </c>
      <c r="CB15" s="19">
        <v>1.2</v>
      </c>
      <c r="CC15" s="19">
        <v>0</v>
      </c>
      <c r="CD15" s="19">
        <v>0</v>
      </c>
      <c r="CE15" s="19">
        <v>15</v>
      </c>
      <c r="CF15" s="19">
        <v>4.5999999999999996</v>
      </c>
      <c r="CG15" s="19">
        <v>0.2</v>
      </c>
      <c r="CH15" s="19">
        <v>0</v>
      </c>
      <c r="CI15" s="19"/>
      <c r="CJ15" s="19"/>
      <c r="CK15" s="19"/>
      <c r="CL15" s="19"/>
      <c r="CM15" s="19">
        <v>14.6</v>
      </c>
      <c r="CN15" s="19">
        <v>3.4</v>
      </c>
      <c r="CO15" s="19">
        <v>0</v>
      </c>
      <c r="CP15" s="19">
        <v>0</v>
      </c>
      <c r="CQ15" s="19">
        <v>15.2</v>
      </c>
      <c r="CR15" s="19">
        <v>2.6</v>
      </c>
      <c r="CS15" s="19">
        <v>0</v>
      </c>
      <c r="CT15" s="19">
        <v>0</v>
      </c>
      <c r="CU15" s="27"/>
      <c r="CV15" s="40">
        <f t="shared" si="24"/>
        <v>5.8</v>
      </c>
      <c r="CW15" s="40">
        <f t="shared" si="25"/>
        <v>36.199999999999996</v>
      </c>
      <c r="CX15" s="40" t="str">
        <f t="shared" si="26"/>
        <v/>
      </c>
      <c r="CY15" s="40">
        <f t="shared" si="27"/>
        <v>5.8</v>
      </c>
      <c r="CZ15" s="40">
        <f t="shared" si="28"/>
        <v>36.199999999999996</v>
      </c>
      <c r="DA15" s="40">
        <f t="shared" si="29"/>
        <v>6</v>
      </c>
      <c r="DB15" s="40">
        <f t="shared" si="30"/>
        <v>35.800000000000004</v>
      </c>
      <c r="DC15" s="40">
        <f t="shared" si="31"/>
        <v>72</v>
      </c>
      <c r="DD15" s="50" t="str">
        <f t="shared" si="32"/>
        <v/>
      </c>
      <c r="DE15" s="50" t="str">
        <f t="shared" si="33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4"/>
        <v/>
      </c>
      <c r="EA15" s="40" t="str">
        <f t="shared" si="35"/>
        <v/>
      </c>
      <c r="EB15" s="40" t="str">
        <f t="shared" si="36"/>
        <v/>
      </c>
      <c r="EC15" s="40" t="str">
        <f t="shared" si="37"/>
        <v/>
      </c>
      <c r="ED15" s="40" t="str">
        <f t="shared" si="38"/>
        <v/>
      </c>
      <c r="EE15" s="40" t="str">
        <f t="shared" si="39"/>
        <v/>
      </c>
      <c r="EF15" s="40" t="str">
        <f t="shared" si="40"/>
        <v/>
      </c>
      <c r="EG15" s="40" t="str">
        <f t="shared" si="41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2"/>
        <v/>
      </c>
      <c r="FC15" s="11" t="str">
        <f t="shared" si="43"/>
        <v/>
      </c>
      <c r="FD15" s="11" t="str">
        <f t="shared" si="44"/>
        <v/>
      </c>
      <c r="FE15" s="11" t="str">
        <f t="shared" si="45"/>
        <v/>
      </c>
      <c r="FF15" s="11" t="str">
        <f t="shared" si="46"/>
        <v/>
      </c>
      <c r="FG15" s="11" t="str">
        <f t="shared" si="47"/>
        <v/>
      </c>
      <c r="FH15" s="11" t="str">
        <f t="shared" si="48"/>
        <v/>
      </c>
      <c r="FI15" s="11" t="str">
        <f t="shared" si="49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0"/>
        <v/>
      </c>
      <c r="GE15" s="40" t="str">
        <f t="shared" si="51"/>
        <v/>
      </c>
      <c r="GF15" s="40" t="str">
        <f t="shared" si="52"/>
        <v/>
      </c>
      <c r="GG15" s="40" t="str">
        <f t="shared" si="53"/>
        <v/>
      </c>
      <c r="GH15" s="40" t="str">
        <f t="shared" si="54"/>
        <v/>
      </c>
      <c r="GI15" s="40" t="str">
        <f t="shared" si="55"/>
        <v/>
      </c>
      <c r="GJ15" s="40" t="str">
        <f t="shared" si="56"/>
        <v/>
      </c>
      <c r="GK15" s="40" t="str">
        <f t="shared" si="57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58"/>
        <v/>
      </c>
      <c r="HG15" s="11" t="str">
        <f t="shared" si="59"/>
        <v/>
      </c>
      <c r="HH15" s="11" t="str">
        <f t="shared" si="60"/>
        <v/>
      </c>
      <c r="HI15" s="11" t="str">
        <f t="shared" si="61"/>
        <v/>
      </c>
      <c r="HJ15" s="11" t="str">
        <f t="shared" si="62"/>
        <v/>
      </c>
      <c r="HK15" s="11" t="str">
        <f t="shared" si="63"/>
        <v/>
      </c>
      <c r="HL15" s="11" t="str">
        <f t="shared" si="64"/>
        <v/>
      </c>
      <c r="HM15" s="11" t="str">
        <f t="shared" si="65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6"/>
        <v/>
      </c>
      <c r="II15" s="40" t="str">
        <f t="shared" si="67"/>
        <v/>
      </c>
      <c r="IJ15" s="40" t="str">
        <f t="shared" si="68"/>
        <v/>
      </c>
      <c r="IK15" s="40" t="str">
        <f t="shared" si="69"/>
        <v/>
      </c>
      <c r="IL15" s="40" t="str">
        <f t="shared" si="70"/>
        <v/>
      </c>
      <c r="IM15" s="40" t="str">
        <f t="shared" si="71"/>
        <v/>
      </c>
      <c r="IN15" s="40" t="str">
        <f t="shared" si="72"/>
        <v/>
      </c>
      <c r="IO15" s="40" t="str">
        <f t="shared" si="73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4"/>
        <v/>
      </c>
      <c r="JK15" s="11" t="str">
        <f t="shared" si="75"/>
        <v/>
      </c>
      <c r="JL15" s="11" t="str">
        <f t="shared" si="76"/>
        <v/>
      </c>
      <c r="JM15" s="11" t="str">
        <f t="shared" si="77"/>
        <v/>
      </c>
      <c r="JN15" s="11" t="str">
        <f t="shared" si="78"/>
        <v/>
      </c>
      <c r="JO15" s="11" t="str">
        <f t="shared" si="79"/>
        <v/>
      </c>
      <c r="JP15" s="11" t="str">
        <f t="shared" si="80"/>
        <v/>
      </c>
      <c r="JQ15" s="11" t="str">
        <f t="shared" si="81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2"/>
        <v/>
      </c>
      <c r="KM15" s="40" t="str">
        <f t="shared" si="83"/>
        <v/>
      </c>
      <c r="KN15" s="40" t="str">
        <f t="shared" si="84"/>
        <v/>
      </c>
      <c r="KO15" s="40" t="str">
        <f t="shared" si="85"/>
        <v/>
      </c>
      <c r="KP15" s="40" t="str">
        <f t="shared" si="86"/>
        <v/>
      </c>
      <c r="KQ15" s="40" t="str">
        <f t="shared" si="87"/>
        <v/>
      </c>
      <c r="KR15" s="40" t="str">
        <f t="shared" si="88"/>
        <v/>
      </c>
      <c r="KS15" s="40" t="str">
        <f t="shared" si="89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0"/>
        <v/>
      </c>
      <c r="LO15" s="11" t="str">
        <f t="shared" si="91"/>
        <v/>
      </c>
      <c r="LP15" s="11" t="str">
        <f t="shared" si="92"/>
        <v/>
      </c>
      <c r="LQ15" s="11" t="str">
        <f t="shared" si="93"/>
        <v/>
      </c>
      <c r="LR15" s="11" t="str">
        <f t="shared" si="94"/>
        <v/>
      </c>
      <c r="LS15" s="11" t="str">
        <f t="shared" si="95"/>
        <v/>
      </c>
      <c r="LT15" s="11" t="str">
        <f t="shared" si="96"/>
        <v/>
      </c>
      <c r="LU15" s="11" t="str">
        <f t="shared" si="97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98"/>
        <v/>
      </c>
      <c r="MQ15" s="40" t="str">
        <f t="shared" si="99"/>
        <v/>
      </c>
      <c r="MR15" s="40" t="str">
        <f t="shared" si="100"/>
        <v/>
      </c>
      <c r="MS15" s="40" t="str">
        <f t="shared" si="101"/>
        <v/>
      </c>
      <c r="MT15" s="40" t="str">
        <f t="shared" si="102"/>
        <v/>
      </c>
      <c r="MU15" s="40" t="str">
        <f t="shared" si="103"/>
        <v/>
      </c>
      <c r="MV15" s="40" t="str">
        <f t="shared" si="104"/>
        <v/>
      </c>
      <c r="MW15" s="40" t="str">
        <f t="shared" si="105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6"/>
        <v/>
      </c>
      <c r="NS15" s="11" t="str">
        <f t="shared" si="107"/>
        <v/>
      </c>
      <c r="NT15" s="11" t="str">
        <f t="shared" si="108"/>
        <v/>
      </c>
      <c r="NU15" s="11" t="str">
        <f t="shared" si="109"/>
        <v/>
      </c>
      <c r="NV15" s="11" t="str">
        <f t="shared" si="110"/>
        <v/>
      </c>
      <c r="NW15" s="11" t="str">
        <f t="shared" si="111"/>
        <v/>
      </c>
      <c r="NX15" s="11" t="str">
        <f t="shared" si="112"/>
        <v/>
      </c>
      <c r="NY15" s="11" t="str">
        <f t="shared" si="113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4"/>
        <v/>
      </c>
      <c r="OU15" s="40" t="str">
        <f t="shared" si="115"/>
        <v/>
      </c>
      <c r="OV15" s="40" t="str">
        <f t="shared" si="116"/>
        <v/>
      </c>
      <c r="OW15" s="40" t="str">
        <f t="shared" si="117"/>
        <v/>
      </c>
      <c r="OX15" s="40" t="str">
        <f t="shared" si="118"/>
        <v/>
      </c>
      <c r="OY15" s="40" t="str">
        <f t="shared" si="119"/>
        <v/>
      </c>
      <c r="OZ15" s="40" t="str">
        <f t="shared" si="120"/>
        <v/>
      </c>
      <c r="PA15" s="40" t="str">
        <f t="shared" si="121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2"/>
        <v/>
      </c>
      <c r="PW15" s="11" t="str">
        <f t="shared" si="123"/>
        <v/>
      </c>
      <c r="PX15" s="11" t="str">
        <f t="shared" si="124"/>
        <v/>
      </c>
      <c r="PY15" s="11" t="str">
        <f t="shared" si="125"/>
        <v/>
      </c>
      <c r="PZ15" s="11" t="str">
        <f t="shared" si="126"/>
        <v/>
      </c>
      <c r="QA15" s="11" t="str">
        <f t="shared" si="127"/>
        <v/>
      </c>
      <c r="QB15" s="11" t="str">
        <f t="shared" si="128"/>
        <v/>
      </c>
      <c r="QC15" s="11" t="str">
        <f t="shared" si="129"/>
        <v/>
      </c>
      <c r="QD15" s="22">
        <f t="shared" si="130"/>
        <v>15.95</v>
      </c>
      <c r="QE15" s="22">
        <f t="shared" si="131"/>
        <v>2.2999999999999998</v>
      </c>
      <c r="QF15" s="22">
        <f t="shared" si="132"/>
        <v>0.1</v>
      </c>
      <c r="QG15" s="22">
        <f t="shared" si="133"/>
        <v>0</v>
      </c>
      <c r="QH15" s="22">
        <f t="shared" si="134"/>
        <v>15.05</v>
      </c>
      <c r="QI15" s="22">
        <f t="shared" si="135"/>
        <v>4.5999999999999996</v>
      </c>
      <c r="QJ15" s="22">
        <f t="shared" si="136"/>
        <v>0.1</v>
      </c>
      <c r="QK15" s="22">
        <f t="shared" si="137"/>
        <v>0</v>
      </c>
      <c r="QL15" s="22">
        <f t="shared" si="138"/>
        <v>0</v>
      </c>
      <c r="QM15" s="22">
        <f t="shared" si="139"/>
        <v>0</v>
      </c>
      <c r="QN15" s="22">
        <f t="shared" si="140"/>
        <v>0</v>
      </c>
      <c r="QO15" s="22">
        <f t="shared" si="141"/>
        <v>0</v>
      </c>
      <c r="QP15" s="22">
        <f t="shared" si="142"/>
        <v>14.85</v>
      </c>
      <c r="QQ15" s="22">
        <f t="shared" si="143"/>
        <v>3.4</v>
      </c>
      <c r="QR15" s="22">
        <f t="shared" si="144"/>
        <v>0</v>
      </c>
      <c r="QS15" s="22">
        <f t="shared" si="145"/>
        <v>0</v>
      </c>
      <c r="QT15" s="22">
        <f t="shared" si="146"/>
        <v>15.35</v>
      </c>
      <c r="QU15" s="22">
        <f t="shared" si="147"/>
        <v>3.5999999999999996</v>
      </c>
      <c r="QV15" s="22">
        <f t="shared" si="148"/>
        <v>0</v>
      </c>
      <c r="QW15" s="22">
        <f t="shared" si="149"/>
        <v>0</v>
      </c>
      <c r="QX15" s="27" t="s">
        <v>46</v>
      </c>
      <c r="QY15" s="40">
        <f t="shared" si="150"/>
        <v>6.8999999999999995</v>
      </c>
      <c r="QZ15" s="40">
        <f t="shared" si="151"/>
        <v>37.699999999999996</v>
      </c>
      <c r="RA15" s="40" t="str">
        <f t="shared" si="152"/>
        <v/>
      </c>
      <c r="RB15" s="40">
        <f t="shared" si="153"/>
        <v>6.8999999999999995</v>
      </c>
      <c r="RC15" s="40">
        <f t="shared" si="154"/>
        <v>37.699999999999996</v>
      </c>
      <c r="RD15" s="40">
        <f t="shared" si="155"/>
        <v>7</v>
      </c>
      <c r="RE15" s="40">
        <f t="shared" si="156"/>
        <v>37.200000000000003</v>
      </c>
      <c r="RF15" s="40">
        <f t="shared" si="157"/>
        <v>74.900000000000006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149</v>
      </c>
      <c r="D16" s="4" t="s">
        <v>4</v>
      </c>
      <c r="E16" s="4">
        <v>2004</v>
      </c>
      <c r="F16" s="9">
        <f t="shared" si="0"/>
        <v>115.10000730000395</v>
      </c>
      <c r="G16" s="64"/>
      <c r="H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DZ16&gt;=EG$21,EA16&gt;=EG$25,DZ16&lt;&gt;""),AND(EE16&gt;=EG$21,EF16&gt;=EG$25,EE16&lt;&gt;""),AND(FB16&gt;=FI$21,FC16&gt;=FI$25,FB16&lt;&gt;""),AND(FG16&gt;=FI$21,FH16&gt;=FI$25,FG16&lt;&gt;""),AND(GD16&gt;=GK$21,GE16&gt;=GK$25,GD16&lt;&gt;""),AND(GI16&gt;=GK$21,GJ16&gt;=GK$25,GI16&lt;&gt;""),AND(HF16&gt;=HM$21,HG16&gt;=HM$25,HF16&lt;&gt;""),AND(HK16&gt;=HM$21,HL16&gt;=HM$25,HK16&lt;&gt;""),AND(IH16&gt;=IO$21,II16&gt;=IO$25,IH16&lt;&gt;""),AND(IM16&gt;=IO$21,IN16&gt;=IO$25,IM16&lt;&gt;""),AND(JJ16&gt;=JQ$21,JK16&gt;=JQ$25,JJ16&lt;&gt;""),AND(JO16&gt;=JQ$21,JP16&gt;=JQ$25,JO16&lt;&gt;""),AND(KL16&gt;=KS$21,KM16&gt;=KS$25,KL16&lt;&gt;""),AND(KQ16&gt;=KS$21,KR16&gt;=KS$25,KQ16&lt;&gt;""),AND(LN16&gt;=LU$21,LO16&gt;=LU$25,LN16&lt;&gt;""),AND(LS16&gt;=LU$21,LT16&gt;=LU$25,LS16&lt;&gt;""),AND(MP16&gt;=MW$21,MQ16&gt;=MW$25,MP16&lt;&gt;""),AND(MU16&gt;=MW$21,MV16&gt;=MW$25,MU16&lt;&gt;""),AND(NR16&gt;=NY$21,NS16&gt;=NY$25,NR16&lt;&gt;""),AND(NW16&gt;=NY$21,NX16&gt;=NY$25,NW16&lt;&gt;""),AND(OT16&gt;=PA$21,OU16&gt;=PA$25,OT16&lt;&gt;""),AND(OY16&gt;=PA$21,OZ16&gt;=PA$25,OY16&lt;&gt;""),AND(PV16&gt;=QC$21,PW16&gt;=QC$25,PV16&lt;&gt;""),AND(QA16&gt;=QC$21,QB16&gt;=QC$25,QA16&lt;&gt;"")),"P","")</f>
        <v/>
      </c>
      <c r="I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A16&gt;=EG$25,EA16&lt;&gt;""),AND(EF16&gt;=EG$25,EF16&lt;&gt;""),AND(FC16&gt;=FI$25,FC16&lt;&gt;""),AND(FH16&gt;=FI$25,FH16&lt;&gt;""),AND(GE16&gt;=GK$25,GE16&lt;&gt;""),AND(GJ16&gt;=GK$25,GJ16&lt;&gt;""),AND(HG16&gt;=HM$25,HG16&lt;&gt;""),AND(HL16&gt;=HM$25,HL16&lt;&gt;""),AND(II16&gt;=IO$25,II16&lt;&gt;""),AND(IN16&gt;=IO$25,IN16&lt;&gt;""),AND(JK16&gt;=JQ$25,JK16&lt;&gt;""),AND(JP16&gt;=JQ$25,JP16&lt;&gt;""),AND(KM16&gt;=KS$25,KM16&lt;&gt;""),AND(KR16&gt;=KS$25,KR16&lt;&gt;""),AND(LO16&gt;=LU$25,LO16&lt;&gt;""),AND(LT16&gt;=LU$25,LT16&lt;&gt;""),AND(MQ16&gt;=MW$25,MQ16&lt;&gt;""),AND(MV16&gt;=MW$25,MV16&lt;&gt;""),AND(NS16&gt;=NY$25,NS16&lt;&gt;""),AND(NX16&gt;=NY$25,NX16&lt;&gt;""),AND(OU16&gt;=PA$25,OU16&lt;&gt;""),AND(OZ16&gt;=PA$25,OZ16&lt;&gt;""),AND(PW16&gt;=QC$25,PW16&lt;&gt;""),AND(QB16&gt;=QC$25,QB16&lt;&gt;"")),"P","")</f>
        <v/>
      </c>
      <c r="J16" s="36" t="str">
        <f>IF(AND(I16="P",H16=""),"No DD",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Merit",IF(OR(AND(AS16&gt;=AW$23,AT16&gt;=AW$27,AS16&lt;&gt;"",AO16=""),AND(BV16&gt;=BZ$23,BW16&gt;=BZ$27,BV16&lt;&gt;"",BR16=""),AND(CY16&gt;=DC$23,CZ16&gt;=DC$27,CY16&lt;&gt;"",CU16=""),AND(EC16&gt;=EG$23,ED16&gt;=EG$27,EC16&lt;&gt;""),AND(FE16&gt;=FI$23,FF16&gt;=FI$27,FE16&lt;&gt;""),AND(GG16&gt;=GK$23,GH16&gt;=GK$27,GG16&lt;&gt;""),AND(HI16&gt;=HM$23,HJ16&gt;=HM$27,HI16&lt;&gt;""),AND(IK16&gt;=IO$23,IL16&gt;=IO$27,IK16&lt;&gt;""),AND(JM16&gt;=JQ$23,JN16&gt;=JQ$27,JM16&lt;&gt;""),AND(KO16&gt;=KS$23,KP16&gt;=KS$27,KO16&lt;&gt;""),AND(LQ16&gt;=LU$23,LR16&gt;=LU$27,LQ16&lt;&gt;""),AND(MS16&gt;=MW$23,MT16&gt;=MW$27,MS16&lt;&gt;""),AND(NU16&gt;=NY$23,NV16&gt;=NY$27,NU16&lt;&gt;""),AND(OW16&gt;=PA$23,OX16&gt;=PA$27,OW16&lt;&gt;""),AND(PY16&gt;=QC$23,PZ16&gt;=QC$27,PY16&lt;&gt;"")),"Excellence",IF(K16="P","Worlds Team",IF(H16="P","National Team","")))))</f>
        <v/>
      </c>
      <c r="K16" s="3" t="str">
        <f>IF(OR(AND(AS16&gt;=AW$22,AT16&gt;=AW$26,AS16&lt;&gt;"",AO16=""),AND(BV16&gt;=BZ$22,BW16&gt;=BZ$26,BV16&lt;&gt;"",BR16=""),AND(CY16&gt;=DC$22,CZ16&gt;=DC$26,CY16&lt;&gt;"",CU16=""),AND(EC16&gt;=EG$22,ED16&gt;=EG$26,EC16&lt;&gt;""),AND(FE16&gt;=FI$22,FF16&gt;=FI$26,FE16&lt;&gt;""),AND(GG16&gt;=GK$22,GH16&gt;=GK$26,GG16&lt;&gt;""),AND(HI16&gt;=HM$22,HJ16&gt;=HM$26,HI16&lt;&gt;""),AND(IK16&gt;=IO$22,IL16&gt;=IO$26,IK16&lt;&gt;""),AND(JM16&gt;=JQ$22,JN16&gt;=JQ$26,JM16&lt;&gt;""),AND(KO16&gt;=KS$22,KP16&gt;=KS$26,KO16&lt;&gt;""),AND(LQ16&gt;=LU$22,LR16&gt;=LU$26,LQ16&lt;&gt;""),AND(MS16&gt;=MW$22,MT16&gt;=MW$26,MS16&lt;&gt;""),AND(NU16&gt;=NY$22,NV16&gt;=NY$26,NU16&lt;&gt;""),AND(OW16&gt;=PA$22,OX16&gt;=PA$26,OW16&lt;&gt;""),AND(PY16&gt;=QC$22,PZ16&gt;=QC$26,PY16&lt;&gt;"")),"P","")</f>
        <v/>
      </c>
      <c r="L16" s="8">
        <f>IF(COUNT(AQ16,BT16,CW16)&gt;0,LARGE((AQ16,BT16,CW16),1),0)</f>
        <v>39.6</v>
      </c>
      <c r="M16" s="8" t="str">
        <f t="shared" si="1"/>
        <v>2025 Nationals</v>
      </c>
      <c r="N16" s="8">
        <f>IF(COUNT(AQ16,BT16,CW16)&gt;1,LARGE((AQ16,BT16,CW16),2),0)</f>
        <v>33.4</v>
      </c>
      <c r="O16" s="8" t="str">
        <f t="shared" si="2"/>
        <v>2024 3rd Domestic Trial</v>
      </c>
      <c r="P16" s="8">
        <f t="shared" si="3"/>
        <v>42.1</v>
      </c>
      <c r="Q16" s="8" t="str">
        <f t="shared" si="4"/>
        <v>2025 Nationals</v>
      </c>
      <c r="R16" s="8" t="str">
        <f t="shared" si="5"/>
        <v/>
      </c>
      <c r="S16" s="11" t="str">
        <f t="shared" si="6"/>
        <v/>
      </c>
      <c r="T16" s="8" t="str">
        <f t="shared" si="7"/>
        <v/>
      </c>
      <c r="U16" s="19">
        <v>14.4</v>
      </c>
      <c r="V16" s="19">
        <v>3.4</v>
      </c>
      <c r="W16" s="19">
        <v>0.6</v>
      </c>
      <c r="X16" s="19">
        <v>0.3</v>
      </c>
      <c r="Y16" s="19">
        <v>15</v>
      </c>
      <c r="Z16" s="19">
        <v>4.3</v>
      </c>
      <c r="AA16" s="19">
        <v>4</v>
      </c>
      <c r="AB16" s="19">
        <v>0.6</v>
      </c>
      <c r="AC16" s="19">
        <v>14.6</v>
      </c>
      <c r="AD16" s="19">
        <v>3.3</v>
      </c>
      <c r="AE16" s="19">
        <v>0.3</v>
      </c>
      <c r="AF16" s="19">
        <v>0.3</v>
      </c>
      <c r="AG16" s="19">
        <v>14.9</v>
      </c>
      <c r="AH16" s="19">
        <v>2.9</v>
      </c>
      <c r="AI16" s="19">
        <v>0</v>
      </c>
      <c r="AJ16" s="19">
        <v>0.3</v>
      </c>
      <c r="AK16" s="19">
        <v>14.1</v>
      </c>
      <c r="AL16" s="19">
        <v>3.9</v>
      </c>
      <c r="AM16" s="19">
        <v>0.4</v>
      </c>
      <c r="AN16" s="19">
        <v>0.6</v>
      </c>
      <c r="AO16" s="27"/>
      <c r="AP16" s="40">
        <f t="shared" si="8"/>
        <v>7.6999999999999993</v>
      </c>
      <c r="AQ16" s="40">
        <f t="shared" si="9"/>
        <v>33.4</v>
      </c>
      <c r="AR16" s="40">
        <f t="shared" si="10"/>
        <v>17.899999999999999</v>
      </c>
      <c r="AS16" s="40">
        <f t="shared" si="11"/>
        <v>11</v>
      </c>
      <c r="AT16" s="40">
        <f t="shared" si="12"/>
        <v>51.3</v>
      </c>
      <c r="AU16" s="40">
        <f t="shared" si="13"/>
        <v>6.8</v>
      </c>
      <c r="AV16" s="40">
        <f t="shared" si="14"/>
        <v>36.300000000000004</v>
      </c>
      <c r="AW16" s="40">
        <f t="shared" si="15"/>
        <v>87.6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16"/>
        <v/>
      </c>
      <c r="BT16" s="11" t="str">
        <f t="shared" si="17"/>
        <v/>
      </c>
      <c r="BU16" s="11" t="str">
        <f t="shared" si="18"/>
        <v/>
      </c>
      <c r="BV16" s="11" t="str">
        <f t="shared" si="19"/>
        <v/>
      </c>
      <c r="BW16" s="11" t="str">
        <f t="shared" si="20"/>
        <v/>
      </c>
      <c r="BX16" s="11" t="str">
        <f t="shared" si="21"/>
        <v/>
      </c>
      <c r="BY16" s="11" t="str">
        <f t="shared" si="22"/>
        <v/>
      </c>
      <c r="BZ16" s="11" t="str">
        <f t="shared" si="23"/>
        <v/>
      </c>
      <c r="CA16" s="19">
        <v>16.600000000000001</v>
      </c>
      <c r="CB16" s="19">
        <v>6.1</v>
      </c>
      <c r="CC16" s="19">
        <v>0</v>
      </c>
      <c r="CD16" s="19">
        <v>0.7</v>
      </c>
      <c r="CE16" s="19">
        <v>17.100000000000001</v>
      </c>
      <c r="CF16" s="19">
        <v>2.1</v>
      </c>
      <c r="CG16" s="19">
        <v>3</v>
      </c>
      <c r="CH16" s="19">
        <v>0</v>
      </c>
      <c r="CI16" s="19"/>
      <c r="CJ16" s="19"/>
      <c r="CK16" s="19"/>
      <c r="CL16" s="19"/>
      <c r="CM16" s="19">
        <v>16.899999999999999</v>
      </c>
      <c r="CN16" s="19">
        <v>6.1</v>
      </c>
      <c r="CO16" s="19">
        <v>0</v>
      </c>
      <c r="CP16" s="19">
        <v>0.7</v>
      </c>
      <c r="CQ16" s="19">
        <v>17.5</v>
      </c>
      <c r="CR16" s="19">
        <v>2.1</v>
      </c>
      <c r="CS16" s="19">
        <v>1.2</v>
      </c>
      <c r="CT16" s="19">
        <v>0</v>
      </c>
      <c r="CU16" s="27"/>
      <c r="CV16" s="40">
        <f t="shared" si="24"/>
        <v>8.1999999999999993</v>
      </c>
      <c r="CW16" s="40">
        <f t="shared" si="25"/>
        <v>39.6</v>
      </c>
      <c r="CX16" s="40" t="str">
        <f t="shared" si="26"/>
        <v/>
      </c>
      <c r="CY16" s="40">
        <f t="shared" si="27"/>
        <v>8.1999999999999993</v>
      </c>
      <c r="CZ16" s="40">
        <f t="shared" si="28"/>
        <v>39.6</v>
      </c>
      <c r="DA16" s="40">
        <f t="shared" si="29"/>
        <v>8.1999999999999993</v>
      </c>
      <c r="DB16" s="40">
        <f t="shared" si="30"/>
        <v>42.1</v>
      </c>
      <c r="DC16" s="40">
        <f t="shared" si="31"/>
        <v>81.7</v>
      </c>
      <c r="DD16" s="50" t="str">
        <f t="shared" si="32"/>
        <v/>
      </c>
      <c r="DE16" s="50" t="str">
        <f t="shared" si="33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4"/>
        <v/>
      </c>
      <c r="EA16" s="40" t="str">
        <f t="shared" si="35"/>
        <v/>
      </c>
      <c r="EB16" s="40" t="str">
        <f t="shared" si="36"/>
        <v/>
      </c>
      <c r="EC16" s="40" t="str">
        <f t="shared" si="37"/>
        <v/>
      </c>
      <c r="ED16" s="40" t="str">
        <f t="shared" si="38"/>
        <v/>
      </c>
      <c r="EE16" s="40" t="str">
        <f t="shared" si="39"/>
        <v/>
      </c>
      <c r="EF16" s="40" t="str">
        <f t="shared" si="40"/>
        <v/>
      </c>
      <c r="EG16" s="40" t="str">
        <f t="shared" si="41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2"/>
        <v/>
      </c>
      <c r="FC16" s="11" t="str">
        <f t="shared" si="43"/>
        <v/>
      </c>
      <c r="FD16" s="11" t="str">
        <f t="shared" si="44"/>
        <v/>
      </c>
      <c r="FE16" s="11" t="str">
        <f t="shared" si="45"/>
        <v/>
      </c>
      <c r="FF16" s="11" t="str">
        <f t="shared" si="46"/>
        <v/>
      </c>
      <c r="FG16" s="11" t="str">
        <f t="shared" si="47"/>
        <v/>
      </c>
      <c r="FH16" s="11" t="str">
        <f t="shared" si="48"/>
        <v/>
      </c>
      <c r="FI16" s="11" t="str">
        <f t="shared" si="49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0"/>
        <v/>
      </c>
      <c r="GE16" s="40" t="str">
        <f t="shared" si="51"/>
        <v/>
      </c>
      <c r="GF16" s="40" t="str">
        <f t="shared" si="52"/>
        <v/>
      </c>
      <c r="GG16" s="40" t="str">
        <f t="shared" si="53"/>
        <v/>
      </c>
      <c r="GH16" s="40" t="str">
        <f t="shared" si="54"/>
        <v/>
      </c>
      <c r="GI16" s="40" t="str">
        <f t="shared" si="55"/>
        <v/>
      </c>
      <c r="GJ16" s="40" t="str">
        <f t="shared" si="56"/>
        <v/>
      </c>
      <c r="GK16" s="40" t="str">
        <f t="shared" si="57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58"/>
        <v/>
      </c>
      <c r="HG16" s="11" t="str">
        <f t="shared" si="59"/>
        <v/>
      </c>
      <c r="HH16" s="11" t="str">
        <f t="shared" si="60"/>
        <v/>
      </c>
      <c r="HI16" s="11" t="str">
        <f t="shared" si="61"/>
        <v/>
      </c>
      <c r="HJ16" s="11" t="str">
        <f t="shared" si="62"/>
        <v/>
      </c>
      <c r="HK16" s="11" t="str">
        <f t="shared" si="63"/>
        <v/>
      </c>
      <c r="HL16" s="11" t="str">
        <f t="shared" si="64"/>
        <v/>
      </c>
      <c r="HM16" s="11" t="str">
        <f t="shared" si="65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6"/>
        <v/>
      </c>
      <c r="II16" s="40" t="str">
        <f t="shared" si="67"/>
        <v/>
      </c>
      <c r="IJ16" s="40" t="str">
        <f t="shared" si="68"/>
        <v/>
      </c>
      <c r="IK16" s="40" t="str">
        <f t="shared" si="69"/>
        <v/>
      </c>
      <c r="IL16" s="40" t="str">
        <f t="shared" si="70"/>
        <v/>
      </c>
      <c r="IM16" s="40" t="str">
        <f t="shared" si="71"/>
        <v/>
      </c>
      <c r="IN16" s="40" t="str">
        <f t="shared" si="72"/>
        <v/>
      </c>
      <c r="IO16" s="40" t="str">
        <f t="shared" si="73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4"/>
        <v/>
      </c>
      <c r="JK16" s="11" t="str">
        <f t="shared" si="75"/>
        <v/>
      </c>
      <c r="JL16" s="11" t="str">
        <f t="shared" si="76"/>
        <v/>
      </c>
      <c r="JM16" s="11" t="str">
        <f t="shared" si="77"/>
        <v/>
      </c>
      <c r="JN16" s="11" t="str">
        <f t="shared" si="78"/>
        <v/>
      </c>
      <c r="JO16" s="11" t="str">
        <f t="shared" si="79"/>
        <v/>
      </c>
      <c r="JP16" s="11" t="str">
        <f t="shared" si="80"/>
        <v/>
      </c>
      <c r="JQ16" s="11" t="str">
        <f t="shared" si="81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2"/>
        <v/>
      </c>
      <c r="KM16" s="40" t="str">
        <f t="shared" si="83"/>
        <v/>
      </c>
      <c r="KN16" s="40" t="str">
        <f t="shared" si="84"/>
        <v/>
      </c>
      <c r="KO16" s="40" t="str">
        <f t="shared" si="85"/>
        <v/>
      </c>
      <c r="KP16" s="40" t="str">
        <f t="shared" si="86"/>
        <v/>
      </c>
      <c r="KQ16" s="40" t="str">
        <f t="shared" si="87"/>
        <v/>
      </c>
      <c r="KR16" s="40" t="str">
        <f t="shared" si="88"/>
        <v/>
      </c>
      <c r="KS16" s="40" t="str">
        <f t="shared" si="89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0"/>
        <v/>
      </c>
      <c r="LO16" s="11" t="str">
        <f t="shared" si="91"/>
        <v/>
      </c>
      <c r="LP16" s="11" t="str">
        <f t="shared" si="92"/>
        <v/>
      </c>
      <c r="LQ16" s="11" t="str">
        <f t="shared" si="93"/>
        <v/>
      </c>
      <c r="LR16" s="11" t="str">
        <f t="shared" si="94"/>
        <v/>
      </c>
      <c r="LS16" s="11" t="str">
        <f t="shared" si="95"/>
        <v/>
      </c>
      <c r="LT16" s="11" t="str">
        <f t="shared" si="96"/>
        <v/>
      </c>
      <c r="LU16" s="11" t="str">
        <f t="shared" si="97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98"/>
        <v/>
      </c>
      <c r="MQ16" s="40" t="str">
        <f t="shared" si="99"/>
        <v/>
      </c>
      <c r="MR16" s="40" t="str">
        <f t="shared" si="100"/>
        <v/>
      </c>
      <c r="MS16" s="40" t="str">
        <f t="shared" si="101"/>
        <v/>
      </c>
      <c r="MT16" s="40" t="str">
        <f t="shared" si="102"/>
        <v/>
      </c>
      <c r="MU16" s="40" t="str">
        <f t="shared" si="103"/>
        <v/>
      </c>
      <c r="MV16" s="40" t="str">
        <f t="shared" si="104"/>
        <v/>
      </c>
      <c r="MW16" s="40" t="str">
        <f t="shared" si="105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6"/>
        <v/>
      </c>
      <c r="NS16" s="11" t="str">
        <f t="shared" si="107"/>
        <v/>
      </c>
      <c r="NT16" s="11" t="str">
        <f t="shared" si="108"/>
        <v/>
      </c>
      <c r="NU16" s="11" t="str">
        <f t="shared" si="109"/>
        <v/>
      </c>
      <c r="NV16" s="11" t="str">
        <f t="shared" si="110"/>
        <v/>
      </c>
      <c r="NW16" s="11" t="str">
        <f t="shared" si="111"/>
        <v/>
      </c>
      <c r="NX16" s="11" t="str">
        <f t="shared" si="112"/>
        <v/>
      </c>
      <c r="NY16" s="11" t="str">
        <f t="shared" si="113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4"/>
        <v/>
      </c>
      <c r="OU16" s="40" t="str">
        <f t="shared" si="115"/>
        <v/>
      </c>
      <c r="OV16" s="40" t="str">
        <f t="shared" si="116"/>
        <v/>
      </c>
      <c r="OW16" s="40" t="str">
        <f t="shared" si="117"/>
        <v/>
      </c>
      <c r="OX16" s="40" t="str">
        <f t="shared" si="118"/>
        <v/>
      </c>
      <c r="OY16" s="40" t="str">
        <f t="shared" si="119"/>
        <v/>
      </c>
      <c r="OZ16" s="40" t="str">
        <f t="shared" si="120"/>
        <v/>
      </c>
      <c r="PA16" s="40" t="str">
        <f t="shared" si="121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2"/>
        <v/>
      </c>
      <c r="PW16" s="11" t="str">
        <f t="shared" si="123"/>
        <v/>
      </c>
      <c r="PX16" s="11" t="str">
        <f t="shared" si="124"/>
        <v/>
      </c>
      <c r="PY16" s="11" t="str">
        <f t="shared" si="125"/>
        <v/>
      </c>
      <c r="PZ16" s="11" t="str">
        <f t="shared" si="126"/>
        <v/>
      </c>
      <c r="QA16" s="11" t="str">
        <f t="shared" si="127"/>
        <v/>
      </c>
      <c r="QB16" s="11" t="str">
        <f t="shared" si="128"/>
        <v/>
      </c>
      <c r="QC16" s="11" t="str">
        <f t="shared" si="129"/>
        <v/>
      </c>
      <c r="QD16" s="22">
        <f t="shared" si="130"/>
        <v>8.3000000000000007</v>
      </c>
      <c r="QE16" s="22">
        <f t="shared" si="131"/>
        <v>3.05</v>
      </c>
      <c r="QF16" s="22">
        <f t="shared" si="132"/>
        <v>0</v>
      </c>
      <c r="QG16" s="22">
        <f t="shared" si="133"/>
        <v>0.35</v>
      </c>
      <c r="QH16" s="22">
        <f t="shared" si="134"/>
        <v>8.5500000000000007</v>
      </c>
      <c r="QI16" s="22">
        <f t="shared" si="135"/>
        <v>1.05</v>
      </c>
      <c r="QJ16" s="22">
        <f t="shared" si="136"/>
        <v>1.5</v>
      </c>
      <c r="QK16" s="22">
        <f t="shared" si="137"/>
        <v>0</v>
      </c>
      <c r="QL16" s="22">
        <f t="shared" si="138"/>
        <v>0</v>
      </c>
      <c r="QM16" s="22">
        <f t="shared" si="139"/>
        <v>0</v>
      </c>
      <c r="QN16" s="22">
        <f t="shared" si="140"/>
        <v>0</v>
      </c>
      <c r="QO16" s="22">
        <f t="shared" si="141"/>
        <v>0</v>
      </c>
      <c r="QP16" s="22">
        <f t="shared" si="142"/>
        <v>8.4499999999999993</v>
      </c>
      <c r="QQ16" s="22">
        <f t="shared" si="143"/>
        <v>3.05</v>
      </c>
      <c r="QR16" s="22">
        <f t="shared" si="144"/>
        <v>0</v>
      </c>
      <c r="QS16" s="22">
        <f t="shared" si="145"/>
        <v>0.35</v>
      </c>
      <c r="QT16" s="22">
        <f t="shared" si="146"/>
        <v>8.75</v>
      </c>
      <c r="QU16" s="22">
        <f t="shared" si="147"/>
        <v>1.05</v>
      </c>
      <c r="QV16" s="22">
        <f t="shared" si="148"/>
        <v>0.6</v>
      </c>
      <c r="QW16" s="22">
        <f t="shared" si="149"/>
        <v>0</v>
      </c>
      <c r="QX16" s="27" t="s">
        <v>46</v>
      </c>
      <c r="QY16" s="40">
        <f t="shared" si="150"/>
        <v>4.0999999999999996</v>
      </c>
      <c r="QZ16" s="40">
        <f t="shared" si="151"/>
        <v>19.8</v>
      </c>
      <c r="RA16" s="40" t="str">
        <f t="shared" si="152"/>
        <v/>
      </c>
      <c r="RB16" s="40">
        <f t="shared" si="153"/>
        <v>4.0999999999999996</v>
      </c>
      <c r="RC16" s="40">
        <f t="shared" si="154"/>
        <v>19.8</v>
      </c>
      <c r="RD16" s="40">
        <f t="shared" si="155"/>
        <v>4.0999999999999996</v>
      </c>
      <c r="RE16" s="40">
        <f t="shared" si="156"/>
        <v>21.05</v>
      </c>
      <c r="RF16" s="40">
        <f t="shared" si="157"/>
        <v>40.85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186</v>
      </c>
      <c r="D17" s="4" t="s">
        <v>6</v>
      </c>
      <c r="E17" s="4">
        <v>2004</v>
      </c>
      <c r="F17" s="9">
        <f t="shared" si="0"/>
        <v>112.30000734000372</v>
      </c>
      <c r="G17" s="64"/>
      <c r="H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DZ17&gt;=EG$21,EA17&gt;=EG$25,DZ17&lt;&gt;""),AND(EE17&gt;=EG$21,EF17&gt;=EG$25,EE17&lt;&gt;""),AND(FB17&gt;=FI$21,FC17&gt;=FI$25,FB17&lt;&gt;""),AND(FG17&gt;=FI$21,FH17&gt;=FI$25,FG17&lt;&gt;""),AND(GD17&gt;=GK$21,GE17&gt;=GK$25,GD17&lt;&gt;""),AND(GI17&gt;=GK$21,GJ17&gt;=GK$25,GI17&lt;&gt;""),AND(HF17&gt;=HM$21,HG17&gt;=HM$25,HF17&lt;&gt;""),AND(HK17&gt;=HM$21,HL17&gt;=HM$25,HK17&lt;&gt;""),AND(IH17&gt;=IO$21,II17&gt;=IO$25,IH17&lt;&gt;""),AND(IM17&gt;=IO$21,IN17&gt;=IO$25,IM17&lt;&gt;""),AND(JJ17&gt;=JQ$21,JK17&gt;=JQ$25,JJ17&lt;&gt;""),AND(JO17&gt;=JQ$21,JP17&gt;=JQ$25,JO17&lt;&gt;""),AND(KL17&gt;=KS$21,KM17&gt;=KS$25,KL17&lt;&gt;""),AND(KQ17&gt;=KS$21,KR17&gt;=KS$25,KQ17&lt;&gt;""),AND(LN17&gt;=LU$21,LO17&gt;=LU$25,LN17&lt;&gt;""),AND(LS17&gt;=LU$21,LT17&gt;=LU$25,LS17&lt;&gt;""),AND(MP17&gt;=MW$21,MQ17&gt;=MW$25,MP17&lt;&gt;""),AND(MU17&gt;=MW$21,MV17&gt;=MW$25,MU17&lt;&gt;""),AND(NR17&gt;=NY$21,NS17&gt;=NY$25,NR17&lt;&gt;""),AND(NW17&gt;=NY$21,NX17&gt;=NY$25,NW17&lt;&gt;""),AND(OT17&gt;=PA$21,OU17&gt;=PA$25,OT17&lt;&gt;""),AND(OY17&gt;=PA$21,OZ17&gt;=PA$25,OY17&lt;&gt;""),AND(PV17&gt;=QC$21,PW17&gt;=QC$25,PV17&lt;&gt;""),AND(QA17&gt;=QC$21,QB17&gt;=QC$25,QA17&lt;&gt;"")),"P","")</f>
        <v/>
      </c>
      <c r="I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A17&gt;=EG$25,EA17&lt;&gt;""),AND(EF17&gt;=EG$25,EF17&lt;&gt;""),AND(FC17&gt;=FI$25,FC17&lt;&gt;""),AND(FH17&gt;=FI$25,FH17&lt;&gt;""),AND(GE17&gt;=GK$25,GE17&lt;&gt;""),AND(GJ17&gt;=GK$25,GJ17&lt;&gt;""),AND(HG17&gt;=HM$25,HG17&lt;&gt;""),AND(HL17&gt;=HM$25,HL17&lt;&gt;""),AND(II17&gt;=IO$25,II17&lt;&gt;""),AND(IN17&gt;=IO$25,IN17&lt;&gt;""),AND(JK17&gt;=JQ$25,JK17&lt;&gt;""),AND(JP17&gt;=JQ$25,JP17&lt;&gt;""),AND(KM17&gt;=KS$25,KM17&lt;&gt;""),AND(KR17&gt;=KS$25,KR17&lt;&gt;""),AND(LO17&gt;=LU$25,LO17&lt;&gt;""),AND(LT17&gt;=LU$25,LT17&lt;&gt;""),AND(MQ17&gt;=MW$25,MQ17&lt;&gt;""),AND(MV17&gt;=MW$25,MV17&lt;&gt;""),AND(NS17&gt;=NY$25,NS17&lt;&gt;""),AND(NX17&gt;=NY$25,NX17&lt;&gt;""),AND(OU17&gt;=PA$25,OU17&lt;&gt;""),AND(OZ17&gt;=PA$25,OZ17&lt;&gt;""),AND(PW17&gt;=QC$25,PW17&lt;&gt;""),AND(QB17&gt;=QC$25,QB17&lt;&gt;"")),"P","")</f>
        <v/>
      </c>
      <c r="J17" s="36" t="str">
        <f>IF(AND(I17="P",H17=""),"No DD",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Merit",IF(OR(AND(AS17&gt;=AW$23,AT17&gt;=AW$27,AS17&lt;&gt;"",AO17=""),AND(BV17&gt;=BZ$23,BW17&gt;=BZ$27,BV17&lt;&gt;"",BR17=""),AND(CY17&gt;=DC$23,CZ17&gt;=DC$27,CY17&lt;&gt;"",CU17=""),AND(EC17&gt;=EG$23,ED17&gt;=EG$27,EC17&lt;&gt;""),AND(FE17&gt;=FI$23,FF17&gt;=FI$27,FE17&lt;&gt;""),AND(GG17&gt;=GK$23,GH17&gt;=GK$27,GG17&lt;&gt;""),AND(HI17&gt;=HM$23,HJ17&gt;=HM$27,HI17&lt;&gt;""),AND(IK17&gt;=IO$23,IL17&gt;=IO$27,IK17&lt;&gt;""),AND(JM17&gt;=JQ$23,JN17&gt;=JQ$27,JM17&lt;&gt;""),AND(KO17&gt;=KS$23,KP17&gt;=KS$27,KO17&lt;&gt;""),AND(LQ17&gt;=LU$23,LR17&gt;=LU$27,LQ17&lt;&gt;""),AND(MS17&gt;=MW$23,MT17&gt;=MW$27,MS17&lt;&gt;""),AND(NU17&gt;=NY$23,NV17&gt;=NY$27,NU17&lt;&gt;""),AND(OW17&gt;=PA$23,OX17&gt;=PA$27,OW17&lt;&gt;""),AND(PY17&gt;=QC$23,PZ17&gt;=QC$27,PY17&lt;&gt;"")),"Excellence",IF(K17="P","Worlds Team",IF(H17="P","National Team","")))))</f>
        <v/>
      </c>
      <c r="K17" s="3" t="str">
        <f>IF(OR(AND(AS17&gt;=AW$22,AT17&gt;=AW$26,AS17&lt;&gt;"",AO17=""),AND(BV17&gt;=BZ$22,BW17&gt;=BZ$26,BV17&lt;&gt;"",BR17=""),AND(CY17&gt;=DC$22,CZ17&gt;=DC$26,CY17&lt;&gt;"",CU17=""),AND(EC17&gt;=EG$22,ED17&gt;=EG$26,EC17&lt;&gt;""),AND(FE17&gt;=FI$22,FF17&gt;=FI$26,FE17&lt;&gt;""),AND(GG17&gt;=GK$22,GH17&gt;=GK$26,GG17&lt;&gt;""),AND(HI17&gt;=HM$22,HJ17&gt;=HM$26,HI17&lt;&gt;""),AND(IK17&gt;=IO$22,IL17&gt;=IO$26,IK17&lt;&gt;""),AND(JM17&gt;=JQ$22,JN17&gt;=JQ$26,JM17&lt;&gt;""),AND(KO17&gt;=KS$22,KP17&gt;=KS$26,KO17&lt;&gt;""),AND(LQ17&gt;=LU$22,LR17&gt;=LU$26,LQ17&lt;&gt;""),AND(MS17&gt;=MW$22,MT17&gt;=MW$26,MS17&lt;&gt;""),AND(NU17&gt;=NY$22,NV17&gt;=NY$26,NU17&lt;&gt;""),AND(OW17&gt;=PA$22,OX17&gt;=PA$26,OW17&lt;&gt;""),AND(PY17&gt;=QC$22,PZ17&gt;=QC$26,PY17&lt;&gt;"")),"P","")</f>
        <v/>
      </c>
      <c r="L17" s="8">
        <f>IF(COUNT(AQ17,BT17,CW17)&gt;0,LARGE((AQ17,BT17,CW17),1),0)</f>
        <v>37.100000000000009</v>
      </c>
      <c r="M17" s="8" t="str">
        <f t="shared" si="1"/>
        <v>2025 Nationals</v>
      </c>
      <c r="N17" s="8">
        <f>IF(COUNT(AQ17,BT17,CW17)&gt;1,LARGE((AQ17,BT17,CW17),2),0)</f>
        <v>36.299999999999997</v>
      </c>
      <c r="O17" s="8" t="str">
        <f t="shared" si="2"/>
        <v>2025 Elite Canada</v>
      </c>
      <c r="P17" s="8">
        <f t="shared" si="3"/>
        <v>38.9</v>
      </c>
      <c r="Q17" s="8" t="str">
        <f t="shared" si="4"/>
        <v>2025 Elite Canada</v>
      </c>
      <c r="R17" s="8" t="str">
        <f t="shared" si="5"/>
        <v/>
      </c>
      <c r="S17" s="11" t="str">
        <f t="shared" si="6"/>
        <v/>
      </c>
      <c r="T17" s="8" t="str">
        <f t="shared" si="7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8"/>
        <v/>
      </c>
      <c r="AQ17" s="40" t="str">
        <f t="shared" si="9"/>
        <v/>
      </c>
      <c r="AR17" s="40" t="str">
        <f t="shared" si="10"/>
        <v/>
      </c>
      <c r="AS17" s="40" t="str">
        <f t="shared" si="11"/>
        <v/>
      </c>
      <c r="AT17" s="40" t="str">
        <f t="shared" si="12"/>
        <v/>
      </c>
      <c r="AU17" s="40" t="str">
        <f t="shared" si="13"/>
        <v/>
      </c>
      <c r="AV17" s="40" t="str">
        <f t="shared" si="14"/>
        <v/>
      </c>
      <c r="AW17" s="40" t="str">
        <f t="shared" si="15"/>
        <v/>
      </c>
      <c r="AX17" s="18">
        <v>15.7</v>
      </c>
      <c r="AY17" s="18">
        <v>1.5</v>
      </c>
      <c r="AZ17" s="18">
        <v>0</v>
      </c>
      <c r="BA17" s="18">
        <v>0</v>
      </c>
      <c r="BB17" s="18">
        <v>16.899999999999999</v>
      </c>
      <c r="BC17" s="18">
        <v>2.6</v>
      </c>
      <c r="BD17" s="18">
        <v>0.4</v>
      </c>
      <c r="BE17" s="18">
        <v>0</v>
      </c>
      <c r="BF17" s="18"/>
      <c r="BG17" s="18"/>
      <c r="BH17" s="18"/>
      <c r="BI17" s="18"/>
      <c r="BJ17" s="18">
        <v>16.3</v>
      </c>
      <c r="BK17" s="18">
        <v>3.7</v>
      </c>
      <c r="BL17" s="18">
        <v>0.2</v>
      </c>
      <c r="BM17" s="18">
        <v>0</v>
      </c>
      <c r="BN17" s="18">
        <v>15.5</v>
      </c>
      <c r="BO17" s="18">
        <v>3.6</v>
      </c>
      <c r="BP17" s="18">
        <v>0</v>
      </c>
      <c r="BQ17" s="18">
        <v>0</v>
      </c>
      <c r="BR17" s="28"/>
      <c r="BS17" s="11">
        <f t="shared" si="16"/>
        <v>4.0999999999999996</v>
      </c>
      <c r="BT17" s="11">
        <f t="shared" si="17"/>
        <v>36.299999999999997</v>
      </c>
      <c r="BU17" s="11" t="str">
        <f t="shared" si="18"/>
        <v/>
      </c>
      <c r="BV17" s="11">
        <f t="shared" si="19"/>
        <v>4.0999999999999996</v>
      </c>
      <c r="BW17" s="11">
        <f t="shared" si="20"/>
        <v>36.299999999999997</v>
      </c>
      <c r="BX17" s="11">
        <f t="shared" si="21"/>
        <v>7.3000000000000007</v>
      </c>
      <c r="BY17" s="11">
        <f t="shared" si="22"/>
        <v>38.9</v>
      </c>
      <c r="BZ17" s="11">
        <f t="shared" si="23"/>
        <v>75.199999999999989</v>
      </c>
      <c r="CA17" s="19">
        <v>17.100000000000001</v>
      </c>
      <c r="CB17" s="19">
        <v>2.5</v>
      </c>
      <c r="CC17" s="19">
        <v>0.5</v>
      </c>
      <c r="CD17" s="19">
        <v>0</v>
      </c>
      <c r="CE17" s="19">
        <v>16.3</v>
      </c>
      <c r="CF17" s="19">
        <v>1.7</v>
      </c>
      <c r="CG17" s="19">
        <v>0</v>
      </c>
      <c r="CH17" s="19">
        <v>0</v>
      </c>
      <c r="CI17" s="19"/>
      <c r="CJ17" s="19"/>
      <c r="CK17" s="19"/>
      <c r="CL17" s="19"/>
      <c r="CM17" s="19">
        <v>17.100000000000001</v>
      </c>
      <c r="CN17" s="19">
        <v>2.5</v>
      </c>
      <c r="CO17" s="19">
        <v>0.5</v>
      </c>
      <c r="CP17" s="19">
        <v>0</v>
      </c>
      <c r="CQ17" s="19">
        <v>17.399999999999999</v>
      </c>
      <c r="CR17" s="19">
        <v>2.2999999999999998</v>
      </c>
      <c r="CS17" s="19">
        <v>0.7</v>
      </c>
      <c r="CT17" s="19">
        <v>0</v>
      </c>
      <c r="CU17" s="27"/>
      <c r="CV17" s="40">
        <f t="shared" si="24"/>
        <v>4.2</v>
      </c>
      <c r="CW17" s="40">
        <f t="shared" si="25"/>
        <v>37.100000000000009</v>
      </c>
      <c r="CX17" s="40" t="str">
        <f t="shared" si="26"/>
        <v/>
      </c>
      <c r="CY17" s="40">
        <f t="shared" si="27"/>
        <v>4.2</v>
      </c>
      <c r="CZ17" s="40">
        <f t="shared" si="28"/>
        <v>37.100000000000009</v>
      </c>
      <c r="DA17" s="40">
        <f t="shared" si="29"/>
        <v>4.8</v>
      </c>
      <c r="DB17" s="40">
        <f t="shared" si="30"/>
        <v>38.099999999999994</v>
      </c>
      <c r="DC17" s="40">
        <f t="shared" si="31"/>
        <v>75.2</v>
      </c>
      <c r="DD17" s="50" t="str">
        <f t="shared" si="32"/>
        <v/>
      </c>
      <c r="DE17" s="50" t="str">
        <f t="shared" si="33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4"/>
        <v/>
      </c>
      <c r="EA17" s="40" t="str">
        <f t="shared" si="35"/>
        <v/>
      </c>
      <c r="EB17" s="40" t="str">
        <f t="shared" si="36"/>
        <v/>
      </c>
      <c r="EC17" s="40" t="str">
        <f t="shared" si="37"/>
        <v/>
      </c>
      <c r="ED17" s="40" t="str">
        <f t="shared" si="38"/>
        <v/>
      </c>
      <c r="EE17" s="40" t="str">
        <f t="shared" si="39"/>
        <v/>
      </c>
      <c r="EF17" s="40" t="str">
        <f t="shared" si="40"/>
        <v/>
      </c>
      <c r="EG17" s="40" t="str">
        <f t="shared" si="41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2"/>
        <v/>
      </c>
      <c r="FC17" s="11" t="str">
        <f t="shared" si="43"/>
        <v/>
      </c>
      <c r="FD17" s="11" t="str">
        <f t="shared" si="44"/>
        <v/>
      </c>
      <c r="FE17" s="11" t="str">
        <f t="shared" si="45"/>
        <v/>
      </c>
      <c r="FF17" s="11" t="str">
        <f t="shared" si="46"/>
        <v/>
      </c>
      <c r="FG17" s="11" t="str">
        <f t="shared" si="47"/>
        <v/>
      </c>
      <c r="FH17" s="11" t="str">
        <f t="shared" si="48"/>
        <v/>
      </c>
      <c r="FI17" s="11" t="str">
        <f t="shared" si="49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0"/>
        <v/>
      </c>
      <c r="GE17" s="40" t="str">
        <f t="shared" si="51"/>
        <v/>
      </c>
      <c r="GF17" s="40" t="str">
        <f t="shared" si="52"/>
        <v/>
      </c>
      <c r="GG17" s="40" t="str">
        <f t="shared" si="53"/>
        <v/>
      </c>
      <c r="GH17" s="40" t="str">
        <f t="shared" si="54"/>
        <v/>
      </c>
      <c r="GI17" s="40" t="str">
        <f t="shared" si="55"/>
        <v/>
      </c>
      <c r="GJ17" s="40" t="str">
        <f t="shared" si="56"/>
        <v/>
      </c>
      <c r="GK17" s="40" t="str">
        <f t="shared" si="57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58"/>
        <v/>
      </c>
      <c r="HG17" s="11" t="str">
        <f t="shared" si="59"/>
        <v/>
      </c>
      <c r="HH17" s="11" t="str">
        <f t="shared" si="60"/>
        <v/>
      </c>
      <c r="HI17" s="11" t="str">
        <f t="shared" si="61"/>
        <v/>
      </c>
      <c r="HJ17" s="11" t="str">
        <f t="shared" si="62"/>
        <v/>
      </c>
      <c r="HK17" s="11" t="str">
        <f t="shared" si="63"/>
        <v/>
      </c>
      <c r="HL17" s="11" t="str">
        <f t="shared" si="64"/>
        <v/>
      </c>
      <c r="HM17" s="11" t="str">
        <f t="shared" si="65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6"/>
        <v/>
      </c>
      <c r="II17" s="40" t="str">
        <f t="shared" si="67"/>
        <v/>
      </c>
      <c r="IJ17" s="40" t="str">
        <f t="shared" si="68"/>
        <v/>
      </c>
      <c r="IK17" s="40" t="str">
        <f t="shared" si="69"/>
        <v/>
      </c>
      <c r="IL17" s="40" t="str">
        <f t="shared" si="70"/>
        <v/>
      </c>
      <c r="IM17" s="40" t="str">
        <f t="shared" si="71"/>
        <v/>
      </c>
      <c r="IN17" s="40" t="str">
        <f t="shared" si="72"/>
        <v/>
      </c>
      <c r="IO17" s="40" t="str">
        <f t="shared" si="73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4"/>
        <v/>
      </c>
      <c r="JK17" s="11" t="str">
        <f t="shared" si="75"/>
        <v/>
      </c>
      <c r="JL17" s="11" t="str">
        <f t="shared" si="76"/>
        <v/>
      </c>
      <c r="JM17" s="11" t="str">
        <f t="shared" si="77"/>
        <v/>
      </c>
      <c r="JN17" s="11" t="str">
        <f t="shared" si="78"/>
        <v/>
      </c>
      <c r="JO17" s="11" t="str">
        <f t="shared" si="79"/>
        <v/>
      </c>
      <c r="JP17" s="11" t="str">
        <f t="shared" si="80"/>
        <v/>
      </c>
      <c r="JQ17" s="11" t="str">
        <f t="shared" si="81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2"/>
        <v/>
      </c>
      <c r="KM17" s="40" t="str">
        <f t="shared" si="83"/>
        <v/>
      </c>
      <c r="KN17" s="40" t="str">
        <f t="shared" si="84"/>
        <v/>
      </c>
      <c r="KO17" s="40" t="str">
        <f t="shared" si="85"/>
        <v/>
      </c>
      <c r="KP17" s="40" t="str">
        <f t="shared" si="86"/>
        <v/>
      </c>
      <c r="KQ17" s="40" t="str">
        <f t="shared" si="87"/>
        <v/>
      </c>
      <c r="KR17" s="40" t="str">
        <f t="shared" si="88"/>
        <v/>
      </c>
      <c r="KS17" s="40" t="str">
        <f t="shared" si="89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0"/>
        <v/>
      </c>
      <c r="LO17" s="11" t="str">
        <f t="shared" si="91"/>
        <v/>
      </c>
      <c r="LP17" s="11" t="str">
        <f t="shared" si="92"/>
        <v/>
      </c>
      <c r="LQ17" s="11" t="str">
        <f t="shared" si="93"/>
        <v/>
      </c>
      <c r="LR17" s="11" t="str">
        <f t="shared" si="94"/>
        <v/>
      </c>
      <c r="LS17" s="11" t="str">
        <f t="shared" si="95"/>
        <v/>
      </c>
      <c r="LT17" s="11" t="str">
        <f t="shared" si="96"/>
        <v/>
      </c>
      <c r="LU17" s="11" t="str">
        <f t="shared" si="97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98"/>
        <v/>
      </c>
      <c r="MQ17" s="40" t="str">
        <f t="shared" si="99"/>
        <v/>
      </c>
      <c r="MR17" s="40" t="str">
        <f t="shared" si="100"/>
        <v/>
      </c>
      <c r="MS17" s="40" t="str">
        <f t="shared" si="101"/>
        <v/>
      </c>
      <c r="MT17" s="40" t="str">
        <f t="shared" si="102"/>
        <v/>
      </c>
      <c r="MU17" s="40" t="str">
        <f t="shared" si="103"/>
        <v/>
      </c>
      <c r="MV17" s="40" t="str">
        <f t="shared" si="104"/>
        <v/>
      </c>
      <c r="MW17" s="40" t="str">
        <f t="shared" si="105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6"/>
        <v/>
      </c>
      <c r="NS17" s="11" t="str">
        <f t="shared" si="107"/>
        <v/>
      </c>
      <c r="NT17" s="11" t="str">
        <f t="shared" si="108"/>
        <v/>
      </c>
      <c r="NU17" s="11" t="str">
        <f t="shared" si="109"/>
        <v/>
      </c>
      <c r="NV17" s="11" t="str">
        <f t="shared" si="110"/>
        <v/>
      </c>
      <c r="NW17" s="11" t="str">
        <f t="shared" si="111"/>
        <v/>
      </c>
      <c r="NX17" s="11" t="str">
        <f t="shared" si="112"/>
        <v/>
      </c>
      <c r="NY17" s="11" t="str">
        <f t="shared" si="113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4"/>
        <v/>
      </c>
      <c r="OU17" s="40" t="str">
        <f t="shared" si="115"/>
        <v/>
      </c>
      <c r="OV17" s="40" t="str">
        <f t="shared" si="116"/>
        <v/>
      </c>
      <c r="OW17" s="40" t="str">
        <f t="shared" si="117"/>
        <v/>
      </c>
      <c r="OX17" s="40" t="str">
        <f t="shared" si="118"/>
        <v/>
      </c>
      <c r="OY17" s="40" t="str">
        <f t="shared" si="119"/>
        <v/>
      </c>
      <c r="OZ17" s="40" t="str">
        <f t="shared" si="120"/>
        <v/>
      </c>
      <c r="PA17" s="40" t="str">
        <f t="shared" si="121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2"/>
        <v/>
      </c>
      <c r="PW17" s="11" t="str">
        <f t="shared" si="123"/>
        <v/>
      </c>
      <c r="PX17" s="11" t="str">
        <f t="shared" si="124"/>
        <v/>
      </c>
      <c r="PY17" s="11" t="str">
        <f t="shared" si="125"/>
        <v/>
      </c>
      <c r="PZ17" s="11" t="str">
        <f t="shared" si="126"/>
        <v/>
      </c>
      <c r="QA17" s="11" t="str">
        <f t="shared" si="127"/>
        <v/>
      </c>
      <c r="QB17" s="11" t="str">
        <f t="shared" si="128"/>
        <v/>
      </c>
      <c r="QC17" s="11" t="str">
        <f t="shared" si="129"/>
        <v/>
      </c>
      <c r="QD17" s="22">
        <f t="shared" si="130"/>
        <v>16.399999999999999</v>
      </c>
      <c r="QE17" s="22">
        <f t="shared" si="131"/>
        <v>2</v>
      </c>
      <c r="QF17" s="22">
        <f t="shared" si="132"/>
        <v>0.25</v>
      </c>
      <c r="QG17" s="22">
        <f t="shared" si="133"/>
        <v>0</v>
      </c>
      <c r="QH17" s="22">
        <f t="shared" si="134"/>
        <v>16.600000000000001</v>
      </c>
      <c r="QI17" s="22">
        <f t="shared" si="135"/>
        <v>2.15</v>
      </c>
      <c r="QJ17" s="22">
        <f t="shared" si="136"/>
        <v>0.2</v>
      </c>
      <c r="QK17" s="22">
        <f t="shared" si="137"/>
        <v>0</v>
      </c>
      <c r="QL17" s="22">
        <f t="shared" si="138"/>
        <v>0</v>
      </c>
      <c r="QM17" s="22">
        <f t="shared" si="139"/>
        <v>0</v>
      </c>
      <c r="QN17" s="22">
        <f t="shared" si="140"/>
        <v>0</v>
      </c>
      <c r="QO17" s="22">
        <f t="shared" si="141"/>
        <v>0</v>
      </c>
      <c r="QP17" s="22">
        <f t="shared" si="142"/>
        <v>16.700000000000003</v>
      </c>
      <c r="QQ17" s="22">
        <f t="shared" si="143"/>
        <v>3.1</v>
      </c>
      <c r="QR17" s="22">
        <f t="shared" si="144"/>
        <v>0.35</v>
      </c>
      <c r="QS17" s="22">
        <f t="shared" si="145"/>
        <v>0</v>
      </c>
      <c r="QT17" s="22">
        <f t="shared" si="146"/>
        <v>16.45</v>
      </c>
      <c r="QU17" s="22">
        <f t="shared" si="147"/>
        <v>2.95</v>
      </c>
      <c r="QV17" s="22">
        <f t="shared" si="148"/>
        <v>0.35</v>
      </c>
      <c r="QW17" s="22">
        <f t="shared" si="149"/>
        <v>0</v>
      </c>
      <c r="QX17" s="27" t="s">
        <v>46</v>
      </c>
      <c r="QY17" s="40">
        <f t="shared" si="150"/>
        <v>4.1500000000000004</v>
      </c>
      <c r="QZ17" s="40">
        <f t="shared" si="151"/>
        <v>36.699999999999996</v>
      </c>
      <c r="RA17" s="40" t="str">
        <f t="shared" si="152"/>
        <v/>
      </c>
      <c r="RB17" s="40">
        <f t="shared" si="153"/>
        <v>4.1500000000000004</v>
      </c>
      <c r="RC17" s="40">
        <f t="shared" si="154"/>
        <v>36.699999999999996</v>
      </c>
      <c r="RD17" s="40">
        <f t="shared" si="155"/>
        <v>6.0500000000000007</v>
      </c>
      <c r="RE17" s="40">
        <f t="shared" si="156"/>
        <v>38.5</v>
      </c>
      <c r="RF17" s="40">
        <f t="shared" si="157"/>
        <v>75.199999999999989</v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178</v>
      </c>
      <c r="D18" s="4" t="s">
        <v>3</v>
      </c>
      <c r="E18" s="4">
        <v>2008</v>
      </c>
      <c r="F18" s="9">
        <f t="shared" si="0"/>
        <v>97.500006120003292</v>
      </c>
      <c r="G18" s="64"/>
      <c r="H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DZ18&gt;=EG$21,EA18&gt;=EG$25,DZ18&lt;&gt;""),AND(EE18&gt;=EG$21,EF18&gt;=EG$25,EE18&lt;&gt;""),AND(FB18&gt;=FI$21,FC18&gt;=FI$25,FB18&lt;&gt;""),AND(FG18&gt;=FI$21,FH18&gt;=FI$25,FG18&lt;&gt;""),AND(GD18&gt;=GK$21,GE18&gt;=GK$25,GD18&lt;&gt;""),AND(GI18&gt;=GK$21,GJ18&gt;=GK$25,GI18&lt;&gt;""),AND(HF18&gt;=HM$21,HG18&gt;=HM$25,HF18&lt;&gt;""),AND(HK18&gt;=HM$21,HL18&gt;=HM$25,HK18&lt;&gt;""),AND(IH18&gt;=IO$21,II18&gt;=IO$25,IH18&lt;&gt;""),AND(IM18&gt;=IO$21,IN18&gt;=IO$25,IM18&lt;&gt;""),AND(JJ18&gt;=JQ$21,JK18&gt;=JQ$25,JJ18&lt;&gt;""),AND(JO18&gt;=JQ$21,JP18&gt;=JQ$25,JO18&lt;&gt;""),AND(KL18&gt;=KS$21,KM18&gt;=KS$25,KL18&lt;&gt;""),AND(KQ18&gt;=KS$21,KR18&gt;=KS$25,KQ18&lt;&gt;""),AND(LN18&gt;=LU$21,LO18&gt;=LU$25,LN18&lt;&gt;""),AND(LS18&gt;=LU$21,LT18&gt;=LU$25,LS18&lt;&gt;""),AND(MP18&gt;=MW$21,MQ18&gt;=MW$25,MP18&lt;&gt;""),AND(MU18&gt;=MW$21,MV18&gt;=MW$25,MU18&lt;&gt;""),AND(NR18&gt;=NY$21,NS18&gt;=NY$25,NR18&lt;&gt;""),AND(NW18&gt;=NY$21,NX18&gt;=NY$25,NW18&lt;&gt;""),AND(OT18&gt;=PA$21,OU18&gt;=PA$25,OT18&lt;&gt;""),AND(OY18&gt;=PA$21,OZ18&gt;=PA$25,OY18&lt;&gt;""),AND(PV18&gt;=QC$21,PW18&gt;=QC$25,PV18&lt;&gt;""),AND(QA18&gt;=QC$21,QB18&gt;=QC$25,QA18&lt;&gt;"")),"P","")</f>
        <v/>
      </c>
      <c r="I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A18&gt;=EG$25,EA18&lt;&gt;""),AND(EF18&gt;=EG$25,EF18&lt;&gt;""),AND(FC18&gt;=FI$25,FC18&lt;&gt;""),AND(FH18&gt;=FI$25,FH18&lt;&gt;""),AND(GE18&gt;=GK$25,GE18&lt;&gt;""),AND(GJ18&gt;=GK$25,GJ18&lt;&gt;""),AND(HG18&gt;=HM$25,HG18&lt;&gt;""),AND(HL18&gt;=HM$25,HL18&lt;&gt;""),AND(II18&gt;=IO$25,II18&lt;&gt;""),AND(IN18&gt;=IO$25,IN18&lt;&gt;""),AND(JK18&gt;=JQ$25,JK18&lt;&gt;""),AND(JP18&gt;=JQ$25,JP18&lt;&gt;""),AND(KM18&gt;=KS$25,KM18&lt;&gt;""),AND(KR18&gt;=KS$25,KR18&lt;&gt;""),AND(LO18&gt;=LU$25,LO18&lt;&gt;""),AND(LT18&gt;=LU$25,LT18&lt;&gt;""),AND(MQ18&gt;=MW$25,MQ18&lt;&gt;""),AND(MV18&gt;=MW$25,MV18&lt;&gt;""),AND(NS18&gt;=NY$25,NS18&lt;&gt;""),AND(NX18&gt;=NY$25,NX18&lt;&gt;""),AND(OU18&gt;=PA$25,OU18&lt;&gt;""),AND(OZ18&gt;=PA$25,OZ18&lt;&gt;""),AND(PW18&gt;=QC$25,PW18&lt;&gt;""),AND(QB18&gt;=QC$25,QB18&lt;&gt;"")),"P","")</f>
        <v/>
      </c>
      <c r="J18" s="36" t="str">
        <f>IF(AND(I18="P",H18=""),"No DD",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Merit",IF(OR(AND(AS18&gt;=AW$23,AT18&gt;=AW$27,AS18&lt;&gt;"",AO18=""),AND(BV18&gt;=BZ$23,BW18&gt;=BZ$27,BV18&lt;&gt;"",BR18=""),AND(CY18&gt;=DC$23,CZ18&gt;=DC$27,CY18&lt;&gt;"",CU18=""),AND(EC18&gt;=EG$23,ED18&gt;=EG$27,EC18&lt;&gt;""),AND(FE18&gt;=FI$23,FF18&gt;=FI$27,FE18&lt;&gt;""),AND(GG18&gt;=GK$23,GH18&gt;=GK$27,GG18&lt;&gt;""),AND(HI18&gt;=HM$23,HJ18&gt;=HM$27,HI18&lt;&gt;""),AND(IK18&gt;=IO$23,IL18&gt;=IO$27,IK18&lt;&gt;""),AND(JM18&gt;=JQ$23,JN18&gt;=JQ$27,JM18&lt;&gt;""),AND(KO18&gt;=KS$23,KP18&gt;=KS$27,KO18&lt;&gt;""),AND(LQ18&gt;=LU$23,LR18&gt;=LU$27,LQ18&lt;&gt;""),AND(MS18&gt;=MW$23,MT18&gt;=MW$27,MS18&lt;&gt;""),AND(NU18&gt;=NY$23,NV18&gt;=NY$27,NU18&lt;&gt;""),AND(OW18&gt;=PA$23,OX18&gt;=PA$27,OW18&lt;&gt;""),AND(PY18&gt;=QC$23,PZ18&gt;=QC$27,PY18&lt;&gt;"")),"Excellence",IF(K18="P","Worlds Team",IF(H18="P","National Team","")))))</f>
        <v/>
      </c>
      <c r="K18" s="3" t="str">
        <f>IF(OR(AND(AS18&gt;=AW$22,AT18&gt;=AW$26,AS18&lt;&gt;"",AO18=""),AND(BV18&gt;=BZ$22,BW18&gt;=BZ$26,BV18&lt;&gt;"",BR18=""),AND(CY18&gt;=DC$22,CZ18&gt;=DC$26,CY18&lt;&gt;"",CU18=""),AND(EC18&gt;=EG$22,ED18&gt;=EG$26,EC18&lt;&gt;""),AND(FE18&gt;=FI$22,FF18&gt;=FI$26,FE18&lt;&gt;""),AND(GG18&gt;=GK$22,GH18&gt;=GK$26,GG18&lt;&gt;""),AND(HI18&gt;=HM$22,HJ18&gt;=HM$26,HI18&lt;&gt;""),AND(IK18&gt;=IO$22,IL18&gt;=IO$26,IK18&lt;&gt;""),AND(JM18&gt;=JQ$22,JN18&gt;=JQ$26,JM18&lt;&gt;""),AND(KO18&gt;=KS$22,KP18&gt;=KS$26,KO18&lt;&gt;""),AND(LQ18&gt;=LU$22,LR18&gt;=LU$26,LQ18&lt;&gt;""),AND(MS18&gt;=MW$22,MT18&gt;=MW$26,MS18&lt;&gt;""),AND(NU18&gt;=NY$22,NV18&gt;=NY$26,NU18&lt;&gt;""),AND(OW18&gt;=PA$22,OX18&gt;=PA$26,OW18&lt;&gt;""),AND(PY18&gt;=QC$22,PZ18&gt;=QC$26,PY18&lt;&gt;"")),"P","")</f>
        <v/>
      </c>
      <c r="L18" s="8">
        <f>IF(COUNT(AQ18,BT18,CW18)&gt;0,LARGE((AQ18,BT18,CW18),1),0)</f>
        <v>32.999999999999993</v>
      </c>
      <c r="M18" s="8" t="str">
        <f t="shared" si="1"/>
        <v>2025 Elite Canada</v>
      </c>
      <c r="N18" s="8">
        <f>IF(COUNT(AQ18,BT18,CW18)&gt;1,LARGE((AQ18,BT18,CW18),2),0)</f>
        <v>28.200000000000003</v>
      </c>
      <c r="O18" s="8" t="str">
        <f t="shared" si="2"/>
        <v>2024 3rd Domestic Trial</v>
      </c>
      <c r="P18" s="8">
        <f t="shared" si="3"/>
        <v>36.299999999999997</v>
      </c>
      <c r="Q18" s="8" t="str">
        <f t="shared" si="4"/>
        <v>2024 3rd Domestic Trial</v>
      </c>
      <c r="R18" s="8" t="str">
        <f t="shared" si="5"/>
        <v/>
      </c>
      <c r="S18" s="11" t="str">
        <f t="shared" si="6"/>
        <v/>
      </c>
      <c r="T18" s="8" t="str">
        <f t="shared" si="7"/>
        <v/>
      </c>
      <c r="U18" s="19">
        <v>17</v>
      </c>
      <c r="V18" s="19">
        <v>3.2</v>
      </c>
      <c r="W18" s="19">
        <v>2.2000000000000002</v>
      </c>
      <c r="X18" s="19">
        <v>0.3</v>
      </c>
      <c r="Y18" s="19">
        <v>8.6</v>
      </c>
      <c r="Z18" s="19">
        <v>1.2</v>
      </c>
      <c r="AA18" s="19">
        <v>0.2</v>
      </c>
      <c r="AB18" s="19">
        <v>0.3</v>
      </c>
      <c r="AC18" s="19">
        <v>15.5</v>
      </c>
      <c r="AD18" s="19">
        <v>2.8</v>
      </c>
      <c r="AE18" s="19">
        <v>1</v>
      </c>
      <c r="AF18" s="19">
        <v>0.3</v>
      </c>
      <c r="AG18" s="19">
        <v>16.7</v>
      </c>
      <c r="AH18" s="19">
        <v>2.8</v>
      </c>
      <c r="AI18" s="19">
        <v>0.6</v>
      </c>
      <c r="AJ18" s="19">
        <v>0.3</v>
      </c>
      <c r="AK18" s="19">
        <v>14.9</v>
      </c>
      <c r="AL18" s="19">
        <v>1.9</v>
      </c>
      <c r="AM18" s="19">
        <v>0</v>
      </c>
      <c r="AN18" s="19">
        <v>0.3</v>
      </c>
      <c r="AO18" s="27"/>
      <c r="AP18" s="40">
        <f t="shared" si="8"/>
        <v>4.4000000000000004</v>
      </c>
      <c r="AQ18" s="40">
        <f t="shared" si="9"/>
        <v>28.200000000000003</v>
      </c>
      <c r="AR18" s="40">
        <f t="shared" si="10"/>
        <v>17.600000000000001</v>
      </c>
      <c r="AS18" s="40">
        <f t="shared" si="11"/>
        <v>7.2</v>
      </c>
      <c r="AT18" s="40">
        <f t="shared" si="12"/>
        <v>45.800000000000004</v>
      </c>
      <c r="AU18" s="40">
        <f t="shared" si="13"/>
        <v>4.6999999999999993</v>
      </c>
      <c r="AV18" s="40">
        <f t="shared" si="14"/>
        <v>36.299999999999997</v>
      </c>
      <c r="AW18" s="40">
        <f t="shared" si="15"/>
        <v>82.1</v>
      </c>
      <c r="AX18" s="18">
        <v>15.7</v>
      </c>
      <c r="AY18" s="18">
        <v>1.9</v>
      </c>
      <c r="AZ18" s="18">
        <v>0</v>
      </c>
      <c r="BA18" s="18">
        <v>0</v>
      </c>
      <c r="BB18" s="18">
        <v>16</v>
      </c>
      <c r="BC18" s="18">
        <v>2.4</v>
      </c>
      <c r="BD18" s="18">
        <v>3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16"/>
        <v>4.3</v>
      </c>
      <c r="BT18" s="11">
        <f t="shared" si="17"/>
        <v>32.999999999999993</v>
      </c>
      <c r="BU18" s="11" t="str">
        <f t="shared" si="18"/>
        <v/>
      </c>
      <c r="BV18" s="11">
        <f t="shared" si="19"/>
        <v>4.3</v>
      </c>
      <c r="BW18" s="11">
        <f t="shared" si="20"/>
        <v>32.999999999999993</v>
      </c>
      <c r="BX18" s="11" t="str">
        <f t="shared" si="21"/>
        <v/>
      </c>
      <c r="BY18" s="11" t="str">
        <f t="shared" si="22"/>
        <v/>
      </c>
      <c r="BZ18" s="11">
        <f t="shared" si="23"/>
        <v>32.999999999999993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4"/>
        <v/>
      </c>
      <c r="CW18" s="40" t="str">
        <f t="shared" si="25"/>
        <v/>
      </c>
      <c r="CX18" s="40" t="str">
        <f t="shared" si="26"/>
        <v/>
      </c>
      <c r="CY18" s="40" t="str">
        <f t="shared" si="27"/>
        <v/>
      </c>
      <c r="CZ18" s="40" t="str">
        <f t="shared" si="28"/>
        <v/>
      </c>
      <c r="DA18" s="40" t="str">
        <f t="shared" si="29"/>
        <v/>
      </c>
      <c r="DB18" s="40" t="str">
        <f t="shared" si="30"/>
        <v/>
      </c>
      <c r="DC18" s="40" t="str">
        <f t="shared" si="31"/>
        <v/>
      </c>
      <c r="DD18" s="50" t="str">
        <f t="shared" si="32"/>
        <v/>
      </c>
      <c r="DE18" s="50" t="str">
        <f t="shared" si="33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4"/>
        <v/>
      </c>
      <c r="EA18" s="40" t="str">
        <f t="shared" si="35"/>
        <v/>
      </c>
      <c r="EB18" s="40" t="str">
        <f t="shared" si="36"/>
        <v/>
      </c>
      <c r="EC18" s="40" t="str">
        <f t="shared" si="37"/>
        <v/>
      </c>
      <c r="ED18" s="40" t="str">
        <f t="shared" si="38"/>
        <v/>
      </c>
      <c r="EE18" s="40" t="str">
        <f t="shared" si="39"/>
        <v/>
      </c>
      <c r="EF18" s="40" t="str">
        <f t="shared" si="40"/>
        <v/>
      </c>
      <c r="EG18" s="40" t="str">
        <f t="shared" si="41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2"/>
        <v/>
      </c>
      <c r="FC18" s="11" t="str">
        <f t="shared" si="43"/>
        <v/>
      </c>
      <c r="FD18" s="11" t="str">
        <f t="shared" si="44"/>
        <v/>
      </c>
      <c r="FE18" s="11" t="str">
        <f t="shared" si="45"/>
        <v/>
      </c>
      <c r="FF18" s="11" t="str">
        <f t="shared" si="46"/>
        <v/>
      </c>
      <c r="FG18" s="11" t="str">
        <f t="shared" si="47"/>
        <v/>
      </c>
      <c r="FH18" s="11" t="str">
        <f t="shared" si="48"/>
        <v/>
      </c>
      <c r="FI18" s="11" t="str">
        <f t="shared" si="49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0"/>
        <v/>
      </c>
      <c r="GE18" s="40" t="str">
        <f t="shared" si="51"/>
        <v/>
      </c>
      <c r="GF18" s="40" t="str">
        <f t="shared" si="52"/>
        <v/>
      </c>
      <c r="GG18" s="40" t="str">
        <f t="shared" si="53"/>
        <v/>
      </c>
      <c r="GH18" s="40" t="str">
        <f t="shared" si="54"/>
        <v/>
      </c>
      <c r="GI18" s="40" t="str">
        <f t="shared" si="55"/>
        <v/>
      </c>
      <c r="GJ18" s="40" t="str">
        <f t="shared" si="56"/>
        <v/>
      </c>
      <c r="GK18" s="40" t="str">
        <f t="shared" si="57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58"/>
        <v/>
      </c>
      <c r="HG18" s="11" t="str">
        <f t="shared" si="59"/>
        <v/>
      </c>
      <c r="HH18" s="11" t="str">
        <f t="shared" si="60"/>
        <v/>
      </c>
      <c r="HI18" s="11" t="str">
        <f t="shared" si="61"/>
        <v/>
      </c>
      <c r="HJ18" s="11" t="str">
        <f t="shared" si="62"/>
        <v/>
      </c>
      <c r="HK18" s="11" t="str">
        <f t="shared" si="63"/>
        <v/>
      </c>
      <c r="HL18" s="11" t="str">
        <f t="shared" si="64"/>
        <v/>
      </c>
      <c r="HM18" s="11" t="str">
        <f t="shared" si="65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6"/>
        <v/>
      </c>
      <c r="II18" s="40" t="str">
        <f t="shared" si="67"/>
        <v/>
      </c>
      <c r="IJ18" s="40" t="str">
        <f t="shared" si="68"/>
        <v/>
      </c>
      <c r="IK18" s="40" t="str">
        <f t="shared" si="69"/>
        <v/>
      </c>
      <c r="IL18" s="40" t="str">
        <f t="shared" si="70"/>
        <v/>
      </c>
      <c r="IM18" s="40" t="str">
        <f t="shared" si="71"/>
        <v/>
      </c>
      <c r="IN18" s="40" t="str">
        <f t="shared" si="72"/>
        <v/>
      </c>
      <c r="IO18" s="40" t="str">
        <f t="shared" si="73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4"/>
        <v/>
      </c>
      <c r="JK18" s="11" t="str">
        <f t="shared" si="75"/>
        <v/>
      </c>
      <c r="JL18" s="11" t="str">
        <f t="shared" si="76"/>
        <v/>
      </c>
      <c r="JM18" s="11" t="str">
        <f t="shared" si="77"/>
        <v/>
      </c>
      <c r="JN18" s="11" t="str">
        <f t="shared" si="78"/>
        <v/>
      </c>
      <c r="JO18" s="11" t="str">
        <f t="shared" si="79"/>
        <v/>
      </c>
      <c r="JP18" s="11" t="str">
        <f t="shared" si="80"/>
        <v/>
      </c>
      <c r="JQ18" s="11" t="str">
        <f t="shared" si="81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2"/>
        <v/>
      </c>
      <c r="KM18" s="40" t="str">
        <f t="shared" si="83"/>
        <v/>
      </c>
      <c r="KN18" s="40" t="str">
        <f t="shared" si="84"/>
        <v/>
      </c>
      <c r="KO18" s="40" t="str">
        <f t="shared" si="85"/>
        <v/>
      </c>
      <c r="KP18" s="40" t="str">
        <f t="shared" si="86"/>
        <v/>
      </c>
      <c r="KQ18" s="40" t="str">
        <f t="shared" si="87"/>
        <v/>
      </c>
      <c r="KR18" s="40" t="str">
        <f t="shared" si="88"/>
        <v/>
      </c>
      <c r="KS18" s="40" t="str">
        <f t="shared" si="89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0"/>
        <v/>
      </c>
      <c r="LO18" s="11" t="str">
        <f t="shared" si="91"/>
        <v/>
      </c>
      <c r="LP18" s="11" t="str">
        <f t="shared" si="92"/>
        <v/>
      </c>
      <c r="LQ18" s="11" t="str">
        <f t="shared" si="93"/>
        <v/>
      </c>
      <c r="LR18" s="11" t="str">
        <f t="shared" si="94"/>
        <v/>
      </c>
      <c r="LS18" s="11" t="str">
        <f t="shared" si="95"/>
        <v/>
      </c>
      <c r="LT18" s="11" t="str">
        <f t="shared" si="96"/>
        <v/>
      </c>
      <c r="LU18" s="11" t="str">
        <f t="shared" si="97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98"/>
        <v/>
      </c>
      <c r="MQ18" s="40" t="str">
        <f t="shared" si="99"/>
        <v/>
      </c>
      <c r="MR18" s="40" t="str">
        <f t="shared" si="100"/>
        <v/>
      </c>
      <c r="MS18" s="40" t="str">
        <f t="shared" si="101"/>
        <v/>
      </c>
      <c r="MT18" s="40" t="str">
        <f t="shared" si="102"/>
        <v/>
      </c>
      <c r="MU18" s="40" t="str">
        <f t="shared" si="103"/>
        <v/>
      </c>
      <c r="MV18" s="40" t="str">
        <f t="shared" si="104"/>
        <v/>
      </c>
      <c r="MW18" s="40" t="str">
        <f t="shared" si="105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6"/>
        <v/>
      </c>
      <c r="NS18" s="11" t="str">
        <f t="shared" si="107"/>
        <v/>
      </c>
      <c r="NT18" s="11" t="str">
        <f t="shared" si="108"/>
        <v/>
      </c>
      <c r="NU18" s="11" t="str">
        <f t="shared" si="109"/>
        <v/>
      </c>
      <c r="NV18" s="11" t="str">
        <f t="shared" si="110"/>
        <v/>
      </c>
      <c r="NW18" s="11" t="str">
        <f t="shared" si="111"/>
        <v/>
      </c>
      <c r="NX18" s="11" t="str">
        <f t="shared" si="112"/>
        <v/>
      </c>
      <c r="NY18" s="11" t="str">
        <f t="shared" si="113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4"/>
        <v/>
      </c>
      <c r="OU18" s="40" t="str">
        <f t="shared" si="115"/>
        <v/>
      </c>
      <c r="OV18" s="40" t="str">
        <f t="shared" si="116"/>
        <v/>
      </c>
      <c r="OW18" s="40" t="str">
        <f t="shared" si="117"/>
        <v/>
      </c>
      <c r="OX18" s="40" t="str">
        <f t="shared" si="118"/>
        <v/>
      </c>
      <c r="OY18" s="40" t="str">
        <f t="shared" si="119"/>
        <v/>
      </c>
      <c r="OZ18" s="40" t="str">
        <f t="shared" si="120"/>
        <v/>
      </c>
      <c r="PA18" s="40" t="str">
        <f t="shared" si="121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2"/>
        <v/>
      </c>
      <c r="PW18" s="11" t="str">
        <f t="shared" si="123"/>
        <v/>
      </c>
      <c r="PX18" s="11" t="str">
        <f t="shared" si="124"/>
        <v/>
      </c>
      <c r="PY18" s="11" t="str">
        <f t="shared" si="125"/>
        <v/>
      </c>
      <c r="PZ18" s="11" t="str">
        <f t="shared" si="126"/>
        <v/>
      </c>
      <c r="QA18" s="11" t="str">
        <f t="shared" si="127"/>
        <v/>
      </c>
      <c r="QB18" s="11" t="str">
        <f t="shared" si="128"/>
        <v/>
      </c>
      <c r="QC18" s="11" t="str">
        <f t="shared" si="129"/>
        <v/>
      </c>
      <c r="QD18" s="22">
        <f t="shared" si="130"/>
        <v>7.85</v>
      </c>
      <c r="QE18" s="22">
        <f t="shared" si="131"/>
        <v>0.95</v>
      </c>
      <c r="QF18" s="22">
        <f t="shared" si="132"/>
        <v>0</v>
      </c>
      <c r="QG18" s="22">
        <f t="shared" si="133"/>
        <v>0</v>
      </c>
      <c r="QH18" s="22">
        <f t="shared" si="134"/>
        <v>8</v>
      </c>
      <c r="QI18" s="22">
        <f t="shared" si="135"/>
        <v>1.2</v>
      </c>
      <c r="QJ18" s="22">
        <f t="shared" si="136"/>
        <v>1.5</v>
      </c>
      <c r="QK18" s="22">
        <f t="shared" si="137"/>
        <v>0</v>
      </c>
      <c r="QL18" s="22">
        <f t="shared" si="138"/>
        <v>0</v>
      </c>
      <c r="QM18" s="22">
        <f t="shared" si="139"/>
        <v>0</v>
      </c>
      <c r="QN18" s="22">
        <f t="shared" si="140"/>
        <v>0</v>
      </c>
      <c r="QO18" s="22">
        <f t="shared" si="141"/>
        <v>0</v>
      </c>
      <c r="QP18" s="22">
        <f t="shared" si="142"/>
        <v>0</v>
      </c>
      <c r="QQ18" s="22">
        <f t="shared" si="143"/>
        <v>0</v>
      </c>
      <c r="QR18" s="22">
        <f t="shared" si="144"/>
        <v>0</v>
      </c>
      <c r="QS18" s="22">
        <f t="shared" si="145"/>
        <v>0</v>
      </c>
      <c r="QT18" s="22">
        <f t="shared" si="146"/>
        <v>0</v>
      </c>
      <c r="QU18" s="22">
        <f t="shared" si="147"/>
        <v>0</v>
      </c>
      <c r="QV18" s="22">
        <f t="shared" si="148"/>
        <v>0</v>
      </c>
      <c r="QW18" s="22">
        <f t="shared" si="149"/>
        <v>0</v>
      </c>
      <c r="QX18" s="27" t="s">
        <v>46</v>
      </c>
      <c r="QY18" s="40">
        <f t="shared" si="150"/>
        <v>2.15</v>
      </c>
      <c r="QZ18" s="40">
        <f t="shared" si="151"/>
        <v>16.499999999999996</v>
      </c>
      <c r="RA18" s="40" t="str">
        <f t="shared" si="152"/>
        <v/>
      </c>
      <c r="RB18" s="40">
        <f t="shared" si="153"/>
        <v>2.15</v>
      </c>
      <c r="RC18" s="40">
        <f t="shared" si="154"/>
        <v>16.499999999999996</v>
      </c>
      <c r="RD18" s="40" t="str">
        <f t="shared" si="155"/>
        <v/>
      </c>
      <c r="RE18" s="40" t="str">
        <f t="shared" si="156"/>
        <v/>
      </c>
      <c r="RF18" s="40">
        <f t="shared" si="157"/>
        <v>16.499999999999996</v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</v>
      </c>
      <c r="BS21" s="4"/>
      <c r="BZ21" s="42">
        <v>8.4</v>
      </c>
      <c r="CV21" s="4"/>
      <c r="DC21" s="42">
        <v>8.4</v>
      </c>
      <c r="DZ21" s="4"/>
      <c r="EG21" s="42">
        <v>8</v>
      </c>
      <c r="FB21" s="4"/>
      <c r="FI21" s="42">
        <v>8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42.1</v>
      </c>
      <c r="BS25" s="4"/>
      <c r="BZ25" s="45">
        <v>42.8</v>
      </c>
      <c r="CV25" s="4"/>
      <c r="DC25" s="45">
        <v>42.8</v>
      </c>
      <c r="DZ25" s="4"/>
      <c r="EG25" s="45">
        <v>42.1</v>
      </c>
      <c r="FB25" s="4"/>
      <c r="FI25" s="45">
        <v>42.1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0">
      <sortCondition descending="1" ref="H1:H21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 t="s">
        <v>198</v>
      </c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172</v>
      </c>
      <c r="D4" s="4" t="s">
        <v>4</v>
      </c>
      <c r="E4" s="4">
        <v>2008</v>
      </c>
      <c r="F4" s="9">
        <f t="shared" ref="F4:F38" si="0">SUM(L4:R4)+SUM(L4:O4)*0.0000001+SUM(L4)*0.0000000000001</f>
        <v>160.40001076000544</v>
      </c>
      <c r="G4" s="65" t="s">
        <v>46</v>
      </c>
      <c r="H4" s="3" t="str">
        <f>IF(OR(AND(AP4&gt;=AW$41,AQ4&gt;=AW$45,AP4&lt;&gt;"",AO4=""),AND(AU4&gt;=AW$41,AV4&gt;=AW$45,AU4&lt;&gt;"",AO4=""),AND(BS4&gt;=BZ$41,BT4&gt;=BZ$45,BS4&lt;&gt;"",BR4=""),AND(BX4&gt;=BZ$41,BY4&gt;=BZ$45,BX4&lt;&gt;"",BR4=""),AND(CV4&gt;=DC$41,CW4&gt;=DC$45,CV4&lt;&gt;"",CU4=""),AND(DA4&gt;=DC$41,DB4&gt;=DC$45,DA4&lt;&gt;""),AND(DZ4&gt;=EG$41,EA4&gt;=EG$45,DZ4&lt;&gt;""),AND(EE4&gt;=EG$41,EF4&gt;=EG$45,EE4&lt;&gt;""),AND(FB4&gt;=FI$41,FC4&gt;=FI$45,FB4&lt;&gt;""),AND(FG4&gt;=FI$41,FH4&gt;=FI$45,FG4&lt;&gt;""),AND(GD4&gt;=GK$41,GE4&gt;=GK$45,GD4&lt;&gt;""),AND(GI4&gt;=GK$41,GJ4&gt;=GK$45,GI4&lt;&gt;""),AND(HF4&gt;=HM$41,HG4&gt;=HM$45,HF4&lt;&gt;""),AND(HK4&gt;=HM$41,HL4&gt;=HM$45,HK4&lt;&gt;""),AND(IH4&gt;=IO$41,II4&gt;=IO$45,IH4&lt;&gt;""),AND(IM4&gt;=IO$41,IN4&gt;=IO$45,IM4&lt;&gt;""),AND(JJ4&gt;=JQ$41,JK4&gt;=JQ$45,JJ4&lt;&gt;""),AND(JO4&gt;=JQ$41,JP4&gt;=JQ$45,JO4&lt;&gt;""),AND(KL4&gt;=KS$41,KM4&gt;=KS$45,KL4&lt;&gt;""),AND(KQ4&gt;=KS$41,KR4&gt;=KS$45,KQ4&lt;&gt;""),AND(LN4&gt;=LU$41,LO4&gt;=LU$45,LN4&lt;&gt;""),AND(LS4&gt;=LU$41,LT4&gt;=LU$45,LS4&lt;&gt;""),AND(MP4&gt;=MW$41,MQ4&gt;=MW$45,MP4&lt;&gt;""),AND(MU4&gt;=MW$41,MV4&gt;=MW$45,MU4&lt;&gt;""),AND(NR4&gt;=NY$41,NS4&gt;=NY$45,NR4&lt;&gt;""),AND(NW4&gt;=NY$41,NX4&gt;=NY$45,NW4&lt;&gt;""),AND(OT4&gt;=PA$41,OU4&gt;=PA$45,OT4&lt;&gt;""),AND(OY4&gt;=PA$41,OZ4&gt;=PA$45,OY4&lt;&gt;""),AND(PV4&gt;=QC$41,PW4&gt;=QC$45,PV4&lt;&gt;""),AND(QA4&gt;=QC$41,QB4&gt;=QC$45,QA4&lt;&gt;"")),"P","")</f>
        <v>P</v>
      </c>
      <c r="I4" s="3" t="str">
        <f>IF(OR(AND(AQ4&gt;=AW$45,AQ4&lt;&gt;"",AO4=""),AND(AV4&gt;=AW$45,AV4&lt;&gt;"",AO4=""),AND(BT4&gt;=BZ$45,BT4&lt;&gt;"",BR4=""),AND(BY4&gt;=BZ$45,BY4&lt;&gt;"",BR4=""),AND(CW4&gt;=DC$45,CW4&lt;&gt;"",CU4=""),AND(DB4&gt;=DC$45,DB4&lt;&gt;"",CU4=""),AND(EA4&gt;=EG$45,EA4&lt;&gt;""),AND(EF4&gt;=EG$45,EF4&lt;&gt;""),AND(FC4&gt;=FI$45,FC4&lt;&gt;""),AND(FH4&gt;=FI$45,FH4&lt;&gt;""),AND(GE4&gt;=GK$45,GE4&lt;&gt;""),AND(GJ4&gt;=GK$45,GJ4&lt;&gt;""),AND(HG4&gt;=HM$45,HG4&lt;&gt;""),AND(HL4&gt;=HM$45,HL4&lt;&gt;""),AND(II4&gt;=IO$45,II4&lt;&gt;""),AND(IN4&gt;=IO$45,IN4&lt;&gt;""),AND(JK4&gt;=JQ$45,JK4&lt;&gt;""),AND(JP4&gt;=JQ$45,JP4&lt;&gt;""),AND(KM4&gt;=KS$45,KM4&lt;&gt;""),AND(KR4&gt;=KS$45,KR4&lt;&gt;""),AND(LO4&gt;=LU$45,LO4&lt;&gt;""),AND(LT4&gt;=LU$45,LT4&lt;&gt;""),AND(MQ4&gt;=MW$45,MQ4&lt;&gt;""),AND(MV4&gt;=MW$45,MV4&lt;&gt;""),AND(NS4&gt;=NY$45,NS4&lt;&gt;""),AND(NX4&gt;=NY$45,NX4&lt;&gt;""),AND(OU4&gt;=PA$45,OU4&lt;&gt;""),AND(OZ4&gt;=PA$45,OZ4&lt;&gt;""),AND(PW4&gt;=QC$45,PW4&lt;&gt;""),AND(QB4&gt;=QC$45,QB4&lt;&gt;"")),"P","")</f>
        <v>P</v>
      </c>
      <c r="J4" s="36" t="str">
        <f>IF(AND(I4="P",H4=""),"No DD",IF(OR(AND(AS4&gt;=AW$44,AT4&gt;=AW$48,AS4&lt;&gt;"",AO4=""),AND(BV4&gt;=BZ$44,BW4&gt;=BZ$48,BV4&lt;&gt;"",BR4=""),AND(CY4&gt;=DC$44,CZ4&gt;=DC$48,CY4&lt;&gt;"",CU4=""),AND(EC4&gt;=EG$44,ED4&gt;=EG$48,EC4&lt;&gt;""),AND(FE4&gt;=FI$44,FF4&gt;=FI$48,FE4&lt;&gt;""),AND(GG4&gt;=GK$44,GH4&gt;=GK$48,GG4&lt;&gt;""),AND(HI4&gt;=HM$44,HJ4&gt;=HM$48,HI4&lt;&gt;""),AND(IK4&gt;=IO$44,IL4&gt;=IO$48,IK4&lt;&gt;""),AND(JM4&gt;=JQ$44,JN4&gt;=JQ$48,JM4&lt;&gt;""),AND(KO4&gt;=KS$44,KP4&gt;=KS$48,KO4&lt;&gt;""),AND(LQ4&gt;=LU$44,LR4&gt;=LU$48,LQ4&lt;&gt;""),AND(MS4&gt;=MW$44,MT4&gt;=MW$48,MS4&lt;&gt;""),AND(NU4&gt;=NY$44,NV4&gt;=NY$48,NU4&lt;&gt;""),AND(OW4&gt;=PA$44,OX4&gt;=PA$48,OW4&lt;&gt;""),AND(PY4&gt;=QC$44,PZ4&gt;=QC$48,PY4&lt;&gt;"")),"Merit",IF(OR(AND(AS4&gt;=AW$43,AT4&gt;=AW$47,AS4&lt;&gt;"",AO4=""),AND(BV4&gt;=BZ$43,BW4&gt;=BZ$47,BV4&lt;&gt;"",BR4=""),AND(CY4&gt;=DC$43,CZ4&gt;=DC$47,CY4&lt;&gt;"",CU4=""),AND(EC4&gt;=EG$43,ED4&gt;=EG$47,EC4&lt;&gt;""),AND(FE4&gt;=FI$43,FF4&gt;=FI$47,FE4&lt;&gt;""),AND(GG4&gt;=GK$43,GH4&gt;=GK$47,GG4&lt;&gt;""),AND(HI4&gt;=HM$43,HJ4&gt;=HM$47,HI4&lt;&gt;""),AND(IK4&gt;=IO$43,IL4&gt;=IO$47,IK4&lt;&gt;""),AND(JM4&gt;=JQ$43,JN4&gt;=JQ$47,JM4&lt;&gt;""),AND(KO4&gt;=KS$43,KP4&gt;=KS$47,KO4&lt;&gt;""),AND(LQ4&gt;=LU$43,LR4&gt;=LU$47,LQ4&lt;&gt;""),AND(MS4&gt;=MW$43,MT4&gt;=MW$47,MS4&lt;&gt;""),AND(NU4&gt;=NY$43,NV4&gt;=NY$47,NU4&lt;&gt;""),AND(OW4&gt;=PA$43,OX4&gt;=PA$47,OW4&lt;&gt;""),AND(PY4&gt;=QC$43,PZ4&gt;=QC$47,PY4&lt;&gt;"")),"Excellence",IF(K4="P","Worlds Team",IF(H4="P","National Team","")))))</f>
        <v>National Team</v>
      </c>
      <c r="K4" s="3" t="str">
        <f>IF(OR(AND(AS4&gt;=AW$42,AT4&gt;=AW$46,AS4&lt;&gt;"",AO4=""),AND(BV4&gt;=BZ$42,BW4&gt;=BZ$46,BV4&lt;&gt;"",BR4=""),AND(CY4&gt;=DC$42,CZ4&gt;=DC$46,CY4&lt;&gt;"",CU4=""),AND(EC4&gt;=EG$42,ED4&gt;=EG$46,EC4&lt;&gt;""),AND(FE4&gt;=FI$42,FF4&gt;=FI$46,FE4&lt;&gt;""),AND(GG4&gt;=GK$42,GH4&gt;=GK$46,GG4&lt;&gt;""),AND(HI4&gt;=HM$42,HJ4&gt;=HM$46,HI4&lt;&gt;""),AND(IK4&gt;=IO$42,IL4&gt;=IO$46,IK4&lt;&gt;""),AND(JM4&gt;=JQ$42,JN4&gt;=JQ$46,JM4&lt;&gt;""),AND(KO4&gt;=KS$42,KP4&gt;=KS$46,KO4&lt;&gt;""),AND(LQ4&gt;=LU$42,LR4&gt;=LU$46,LQ4&lt;&gt;""),AND(MS4&gt;=MW$42,MT4&gt;=MW$46,MS4&lt;&gt;""),AND(NU4&gt;=NY$42,NV4&gt;=NY$46,NU4&lt;&gt;""),AND(OW4&gt;=PA$42,OX4&gt;=PA$46,OW4&lt;&gt;""),AND(PY4&gt;=QC$42,PZ4&gt;=QC$46,PY4&lt;&gt;"")),"P","")</f>
        <v/>
      </c>
      <c r="L4" s="8">
        <f>IF(COUNT(AQ4,BT4,CW4)&gt;0,LARGE((AQ4,BT4,CW4),1),0)</f>
        <v>54.199999999999996</v>
      </c>
      <c r="M4" s="8" t="str">
        <f t="shared" ref="M4:M38" si="1">IF(L4=0,"",IF(L4=CW4,$CA$1,IF(L4=BT4,$AX$1,IF(L4=AQ4,$U$1,""))))</f>
        <v>2025 Elite Canada</v>
      </c>
      <c r="N4" s="8">
        <f>IF(COUNT(AQ4,BT4,CW4)&gt;1,LARGE((AQ4,BT4,CW4),2),0)</f>
        <v>53.4</v>
      </c>
      <c r="O4" s="8" t="str">
        <f t="shared" ref="O4:O38" si="2">IF(N4=0,"",IF(AND(N4=L4,N4=AQ4,N4=BT4),$U$1,IF(AND(N4=L4,N4=AQ4,N4=CW4),$U$1,IF(AND(N4=L4,N4=BT4,N4=CW4),$AX$1,IF(N4=CW4,$CA$1,IF(N4=BT4,$AX$1,IF(N4=AQ4,$U$1,"")))))))</f>
        <v>2025 Nationals</v>
      </c>
      <c r="P4" s="8">
        <f t="shared" ref="P4:P38" si="3">IF(MAX(AV4,BY4,DB4)&gt;0,MAX(AV4,BY4,DB4),0)</f>
        <v>52.499999999999993</v>
      </c>
      <c r="Q4" s="8" t="str">
        <f t="shared" ref="Q4:Q38" si="4">IF(P4=0,"",IF(P4=DB4,$CA$1,IF(P4=BY4,$AX$1,IF(P4=AV4,$U$1,""))))</f>
        <v>2025 Elite Canada</v>
      </c>
      <c r="R4" s="8">
        <f t="shared" ref="R4:R38" si="5">IF(MAX(DD4:DE4)&gt;0,MAX(DD4:DE4),"")</f>
        <v>0.30000000000000426</v>
      </c>
      <c r="S4" s="11" t="str">
        <f t="shared" ref="S4:S38" si="6">IF(R4="","",IF(R4=DD4,"("&amp;DD$2&amp;")",IF(R4=DE4,"("&amp;DE$2&amp;")")))</f>
        <v>(Q1)</v>
      </c>
      <c r="T4" s="8" t="str">
        <f t="shared" ref="T4:T38" si="7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ITA (April 6)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 t="str">
        <f t="shared" ref="AP4:AP38" si="8">IF(SUM(V4,Z4)&gt;0,SUM(V4,Z4),"")</f>
        <v/>
      </c>
      <c r="AQ4" s="40" t="str">
        <f t="shared" ref="AQ4:AQ38" si="9">IF(SUM(U4:V4,X4:Z4,AB4)-W4-AA4&gt;0,SUM(U4:V4,X4:Z4,AB4)-W4-AA4,"")</f>
        <v/>
      </c>
      <c r="AR4" s="40" t="str">
        <f t="shared" ref="AR4:AR38" si="10">IF(SUM(AC4:AD4,AF4)-AE4&gt;0,SUM(AC4:AD4,AF4)-AE4,"")</f>
        <v/>
      </c>
      <c r="AS4" s="40" t="str">
        <f t="shared" ref="AS4:AS38" si="11">IF(SUM(V4,Z4,AD4)&gt;0,SUM(V4,Z4,AD4),"")</f>
        <v/>
      </c>
      <c r="AT4" s="40" t="str">
        <f t="shared" ref="AT4:AT38" si="12">IF(SUM(AQ4,AR4)&gt;0,SUM(AQ4,AR4),"")</f>
        <v/>
      </c>
      <c r="AU4" s="40" t="str">
        <f t="shared" ref="AU4:AU38" si="13">IF(SUM(AH4,AL4)&gt;0,SUM(AH4,AL4),"")</f>
        <v/>
      </c>
      <c r="AV4" s="40" t="str">
        <f t="shared" ref="AV4:AV38" si="14">IF(SUM(AG4:AH4,AJ4:AL4,AN4)-SUM(AI4,AM4)&gt;0,SUM(AG4:AH4,AJ4:AL4,AN4)-SUM(AI4,AM4),"")</f>
        <v/>
      </c>
      <c r="AW4" s="40" t="str">
        <f t="shared" ref="AW4:AW38" si="15">IF(SUM(AQ4,AR4,AV4)&gt;0,SUM(AQ4,AR4,AV4),"")</f>
        <v/>
      </c>
      <c r="AX4" s="18">
        <v>19</v>
      </c>
      <c r="AY4" s="18">
        <v>8.4</v>
      </c>
      <c r="AZ4" s="18">
        <v>0</v>
      </c>
      <c r="BA4" s="18">
        <v>0</v>
      </c>
      <c r="BB4" s="18">
        <v>18.600000000000001</v>
      </c>
      <c r="BC4" s="18">
        <v>8.1</v>
      </c>
      <c r="BD4" s="18">
        <v>0.2</v>
      </c>
      <c r="BE4" s="18">
        <v>0.3</v>
      </c>
      <c r="BF4" s="18"/>
      <c r="BG4" s="18"/>
      <c r="BH4" s="18"/>
      <c r="BI4" s="18"/>
      <c r="BJ4" s="18">
        <v>19</v>
      </c>
      <c r="BK4" s="18">
        <v>8.4</v>
      </c>
      <c r="BL4" s="18">
        <v>0.6</v>
      </c>
      <c r="BM4" s="18">
        <v>0</v>
      </c>
      <c r="BN4" s="18">
        <v>18.399999999999999</v>
      </c>
      <c r="BO4" s="18">
        <v>7.3</v>
      </c>
      <c r="BP4" s="18">
        <v>0</v>
      </c>
      <c r="BQ4" s="18">
        <v>0</v>
      </c>
      <c r="BR4" s="28"/>
      <c r="BS4" s="11">
        <f t="shared" ref="BS4:BS38" si="16">IF(SUM(AY4,BC4)&gt;0,SUM(AY4,BC4),"")</f>
        <v>16.5</v>
      </c>
      <c r="BT4" s="11">
        <f t="shared" ref="BT4:BT38" si="17">IF(SUM(AX4:AY4,BA4:BC4,BE4)-AZ4-BD4&gt;0,SUM(AX4:AY4,BA4:BC4,BE4)-AZ4-BD4,"")</f>
        <v>54.199999999999996</v>
      </c>
      <c r="BU4" s="11" t="str">
        <f t="shared" ref="BU4:BU38" si="18">IF(SUM(BF4:BG4,BI4)-BH4&gt;0,SUM(BF4:BG4,BI4)-BH4,"")</f>
        <v/>
      </c>
      <c r="BV4" s="11">
        <f t="shared" ref="BV4:BV38" si="19">IF(SUM(AY4,BC4,BG4)&gt;0,SUM(AY4,BC4,BG4),"")</f>
        <v>16.5</v>
      </c>
      <c r="BW4" s="11">
        <f t="shared" ref="BW4:BW38" si="20">IF(SUM(BT4,BU4)&gt;0,SUM(BT4,BU4),"")</f>
        <v>54.199999999999996</v>
      </c>
      <c r="BX4" s="11">
        <f t="shared" ref="BX4:BX38" si="21">IF(SUM(BK4,BO4)&gt;0,SUM(BK4,BO4),"")</f>
        <v>15.7</v>
      </c>
      <c r="BY4" s="11">
        <f t="shared" ref="BY4:BY38" si="22">IF(SUM(BJ4:BK4,BM4:BO4,BQ4)-SUM(BL4,BP4)&gt;0,SUM(BJ4:BK4,BM4:BO4,BQ4)-SUM(BL4,BP4),"")</f>
        <v>52.499999999999993</v>
      </c>
      <c r="BZ4" s="11">
        <f t="shared" ref="BZ4:BZ38" si="23">IF(SUM(BT4,BU4,BY4)&gt;0,SUM(BT4,BU4,BY4),"")</f>
        <v>106.69999999999999</v>
      </c>
      <c r="CA4" s="19">
        <v>19.100000000000001</v>
      </c>
      <c r="CB4" s="19">
        <v>8.4</v>
      </c>
      <c r="CC4" s="19">
        <v>0</v>
      </c>
      <c r="CD4" s="19">
        <v>0</v>
      </c>
      <c r="CE4" s="19">
        <v>18.600000000000001</v>
      </c>
      <c r="CF4" s="19">
        <v>7.3</v>
      </c>
      <c r="CG4" s="19">
        <v>0</v>
      </c>
      <c r="CH4" s="19">
        <v>0</v>
      </c>
      <c r="CI4" s="19"/>
      <c r="CJ4" s="19"/>
      <c r="CK4" s="19"/>
      <c r="CL4" s="19"/>
      <c r="CM4" s="19">
        <v>18.7</v>
      </c>
      <c r="CN4" s="19">
        <v>7.6</v>
      </c>
      <c r="CO4" s="19">
        <v>0</v>
      </c>
      <c r="CP4" s="19">
        <v>0</v>
      </c>
      <c r="CQ4" s="19">
        <v>15.1</v>
      </c>
      <c r="CR4" s="19">
        <v>5.0999999999999996</v>
      </c>
      <c r="CS4" s="19">
        <v>0</v>
      </c>
      <c r="CT4" s="19">
        <v>0.3</v>
      </c>
      <c r="CU4" s="27"/>
      <c r="CV4" s="40">
        <f t="shared" ref="CV4:CV38" si="24">IF(SUM(CB4,CF4)&gt;0,SUM(CB4,CF4),"")</f>
        <v>15.7</v>
      </c>
      <c r="CW4" s="40">
        <f t="shared" ref="CW4:CW38" si="25">IF(SUM(CA4:CB4,CD4:CF4,CH4)-CC4-CG4&gt;0,SUM(CA4:CB4,CD4:CF4,CH4)-CC4-CG4,"")</f>
        <v>53.4</v>
      </c>
      <c r="CX4" s="40" t="str">
        <f t="shared" ref="CX4:CX38" si="26">IF(SUM(CI4:CJ4,CL4)-CK4&gt;0,SUM(CI4:CJ4,CL4)-CK4,"")</f>
        <v/>
      </c>
      <c r="CY4" s="40">
        <f t="shared" ref="CY4:CY38" si="27">IF(SUM(CB4,CF4,CJ4)&gt;0,SUM(CB4,CF4,CJ4),"")</f>
        <v>15.7</v>
      </c>
      <c r="CZ4" s="40">
        <f t="shared" ref="CZ4:CZ38" si="28">IF(SUM(CW4,CX4)&gt;0,SUM(CW4,CX4),"")</f>
        <v>53.4</v>
      </c>
      <c r="DA4" s="40">
        <f t="shared" ref="DA4:DA38" si="29">IF(SUM(CN4,CR4)&gt;0,SUM(CN4,CR4),"")</f>
        <v>12.7</v>
      </c>
      <c r="DB4" s="40">
        <f t="shared" ref="DB4:DB38" si="30">IF(SUM(CM4:CN4,CP4:CR4,CT4)-SUM(CO4,CS4)&gt;0,SUM(CM4:CN4,CP4:CR4,CT4)-SUM(CO4,CS4),"")</f>
        <v>46.8</v>
      </c>
      <c r="DC4" s="40">
        <f t="shared" ref="DC4:DC38" si="31">IF(SUM(CW4,CX4,DB4)&gt;0,SUM(CW4,CX4,DB4),"")</f>
        <v>100.19999999999999</v>
      </c>
      <c r="DD4" s="50">
        <f t="shared" ref="DD4:DD38" si="32">IF(MAX(EA4,FC4,GE4,HG4,II4,JK4,KM4,LO4,MQ4,NS4,OU4,PW4)-IF(N4="",0,N4)&gt;0.001,MAX(EA4,FC4,GE4,HG4,II4,JK4,KM4,LO4,MQ4,NS4,OU4,PW4)-IF(N4="",0,N4),"")</f>
        <v>0.30000000000000426</v>
      </c>
      <c r="DE4" s="50">
        <f t="shared" ref="DE4:DE38" si="33">IF(MAX(EF4,FH4,GJ4,HL4,IN4,JP4,KR4,LT4,MV4,NX4,OZ4,QB4)-IF(P4="",0,P4)&gt;0.001,MAX(EF4,FH4,GJ4,HL4,IN4,JP4,KR4,LT4,MV4,NX4,OZ4,QB4)-IF(P4="",0,P4),"")</f>
        <v>0.10000000000000853</v>
      </c>
      <c r="DF4" s="17">
        <v>19</v>
      </c>
      <c r="DG4" s="17">
        <v>8.4</v>
      </c>
      <c r="DH4" s="17">
        <v>0.2</v>
      </c>
      <c r="DI4" s="17">
        <v>0</v>
      </c>
      <c r="DJ4" s="17">
        <v>18.399999999999999</v>
      </c>
      <c r="DK4" s="17">
        <v>8.1</v>
      </c>
      <c r="DL4" s="17">
        <v>0.8</v>
      </c>
      <c r="DM4" s="17">
        <v>0</v>
      </c>
      <c r="DN4" s="17"/>
      <c r="DO4" s="17"/>
      <c r="DP4" s="17"/>
      <c r="DQ4" s="17"/>
      <c r="DR4" s="17">
        <v>18.600000000000001</v>
      </c>
      <c r="DS4" s="17">
        <v>8.4</v>
      </c>
      <c r="DT4" s="17">
        <v>0.2</v>
      </c>
      <c r="DU4" s="17">
        <v>0</v>
      </c>
      <c r="DV4" s="17">
        <v>17.899999999999999</v>
      </c>
      <c r="DW4" s="17">
        <v>8.1</v>
      </c>
      <c r="DX4" s="17">
        <v>0.2</v>
      </c>
      <c r="DY4" s="17">
        <v>0</v>
      </c>
      <c r="DZ4" s="40">
        <f t="shared" ref="DZ4:DZ38" si="34">IF(SUM(DG4,DK4)&gt;0,SUM(DG4,DK4),"")</f>
        <v>16.5</v>
      </c>
      <c r="EA4" s="40">
        <f t="shared" ref="EA4:EA38" si="35">IF(SUM(DF4:DG4,DI4:DK4,DM4)-DH4-DL4&gt;0,SUM(DF4:DG4,DI4:DK4,DM4)-DH4-DL4,"")</f>
        <v>52.9</v>
      </c>
      <c r="EB4" s="40" t="str">
        <f t="shared" ref="EB4:EB38" si="36">IF(SUM(DN4:DO4,DQ4)-DP4&gt;0,SUM(DN4:DO4,DQ4)-DP4,"")</f>
        <v/>
      </c>
      <c r="EC4" s="40">
        <f t="shared" ref="EC4:EC38" si="37">IF(SUM(DG4,DK4,DO4)&gt;0,SUM(DG4,DK4,DO4),"")</f>
        <v>16.5</v>
      </c>
      <c r="ED4" s="40">
        <f t="shared" ref="ED4:ED38" si="38">IF(SUM(EA4,EB4)&gt;0,SUM(EA4,EB4),"")</f>
        <v>52.9</v>
      </c>
      <c r="EE4" s="40">
        <f t="shared" ref="EE4:EE38" si="39">IF(SUM(DS4,DW4)&gt;0,SUM(DS4,DW4),"")</f>
        <v>16.5</v>
      </c>
      <c r="EF4" s="40">
        <f t="shared" ref="EF4:EF38" si="40">IF(SUM(DR4:DS4,DU4:DW4,DY4)-SUM(DT4,DX4)&gt;0,SUM(DR4:DS4,DU4:DW4,DY4)-SUM(DT4,DX4),"")</f>
        <v>52.6</v>
      </c>
      <c r="EG4" s="40">
        <f t="shared" ref="EG4:EG38" si="41">IF(SUM(EA4,EB4,EF4)&gt;0,SUM(EA4,EB4,EF4),"")</f>
        <v>105.5</v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38" si="42">IF(SUM(EI4,EM4)&gt;0,SUM(EI4,EM4),"")</f>
        <v/>
      </c>
      <c r="FC4" s="11" t="str">
        <f t="shared" ref="FC4:FC38" si="43">IF(SUM(EH4:EI4,EK4:EM4,EO4)-EJ4-EN4&gt;0,SUM(EH4:EI4,EK4:EM4,EO4)-EJ4-EN4,"")</f>
        <v/>
      </c>
      <c r="FD4" s="11" t="str">
        <f t="shared" ref="FD4:FD38" si="44">IF(SUM(EP4:EQ4,ES4)-ER4&gt;0,SUM(EP4:EQ4,ES4)-ER4,"")</f>
        <v/>
      </c>
      <c r="FE4" s="11" t="str">
        <f t="shared" ref="FE4:FE38" si="45">IF(SUM(EI4,EM4,EQ4)&gt;0,SUM(EI4,EM4,EQ4),"")</f>
        <v/>
      </c>
      <c r="FF4" s="11" t="str">
        <f t="shared" ref="FF4:FF38" si="46">IF(SUM(FC4,FD4)&gt;0,SUM(FC4,FD4),"")</f>
        <v/>
      </c>
      <c r="FG4" s="11" t="str">
        <f t="shared" ref="FG4:FG38" si="47">IF(SUM(EU4,EY4)&gt;0,SUM(EU4,EY4),"")</f>
        <v/>
      </c>
      <c r="FH4" s="11" t="str">
        <f t="shared" ref="FH4:FH38" si="48">IF(SUM(ET4:EU4,EW4:EY4,FA4)-SUM(EV4,EZ4)&gt;0,SUM(ET4:EU4,EW4:EY4,FA4)-SUM(EV4,EZ4),"")</f>
        <v/>
      </c>
      <c r="FI4" s="11" t="str">
        <f t="shared" ref="FI4:FI38" si="49">IF(SUM(FC4,FD4,FH4)&gt;0,SUM(FC4,FD4,FH4),"")</f>
        <v/>
      </c>
      <c r="FJ4" s="17">
        <v>18.8</v>
      </c>
      <c r="FK4" s="17">
        <v>8.4</v>
      </c>
      <c r="FL4" s="17">
        <v>0</v>
      </c>
      <c r="FM4" s="17">
        <v>0</v>
      </c>
      <c r="FN4" s="17">
        <v>18.399999999999999</v>
      </c>
      <c r="FO4" s="17">
        <v>8.1</v>
      </c>
      <c r="FP4" s="17">
        <v>0</v>
      </c>
      <c r="FQ4" s="17">
        <v>0</v>
      </c>
      <c r="FR4" s="17">
        <v>17.8</v>
      </c>
      <c r="FS4" s="17">
        <v>9.3000000000000007</v>
      </c>
      <c r="FT4" s="17">
        <v>0.8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40">
        <f t="shared" ref="GD4:GD38" si="50">IF(SUM(FK4,FO4)&gt;0,SUM(FK4,FO4),"")</f>
        <v>16.5</v>
      </c>
      <c r="GE4" s="40">
        <f t="shared" ref="GE4:GE38" si="51">IF(SUM(FJ4:FK4,FM4:FO4,FQ4)-FL4-FP4&gt;0,SUM(FJ4:FK4,FM4:FO4,FQ4)-FL4-FP4,"")</f>
        <v>53.7</v>
      </c>
      <c r="GF4" s="40">
        <f t="shared" ref="GF4:GF38" si="52">IF(SUM(FR4:FS4,FU4)-FT4&gt;0,SUM(FR4:FS4,FU4)-FT4,"")</f>
        <v>26.3</v>
      </c>
      <c r="GG4" s="40">
        <f t="shared" ref="GG4:GG38" si="53">IF(SUM(FK4,FO4,FS4)&gt;0,SUM(FK4,FO4,FS4),"")</f>
        <v>25.8</v>
      </c>
      <c r="GH4" s="40">
        <f t="shared" ref="GH4:GH38" si="54">IF(SUM(GE4,GF4)&gt;0,SUM(GE4,GF4),"")</f>
        <v>80</v>
      </c>
      <c r="GI4" s="40" t="str">
        <f t="shared" ref="GI4:GI38" si="55">IF(SUM(FW4,GA4)&gt;0,SUM(FW4,GA4),"")</f>
        <v/>
      </c>
      <c r="GJ4" s="40" t="str">
        <f t="shared" ref="GJ4:GJ38" si="56">IF(SUM(FV4:FW4,FY4:GA4,GC4)-SUM(FX4,GB4)&gt;0,SUM(FV4:FW4,FY4:GA4,GC4)-SUM(FX4,GB4),"")</f>
        <v/>
      </c>
      <c r="GK4" s="40">
        <f t="shared" ref="GK4:GK38" si="57">IF(SUM(GE4,GF4,GJ4)&gt;0,SUM(GE4,GF4,GJ4),"")</f>
        <v>80</v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8" si="58">IF(SUM(GM4,GQ4)&gt;0,SUM(GM4,GQ4),"")</f>
        <v/>
      </c>
      <c r="HG4" s="11" t="str">
        <f t="shared" ref="HG4:HG38" si="59">IF(SUM(GL4:GM4,GO4:GQ4,GS4)-GN4-GR4&gt;0,SUM(GL4:GM4,GO4:GQ4,GS4)-GN4-GR4,"")</f>
        <v/>
      </c>
      <c r="HH4" s="11" t="str">
        <f t="shared" ref="HH4:HH38" si="60">IF(SUM(GT4:GU4,GW4)-GV4&gt;0,SUM(GT4:GU4,GW4)-GV4,"")</f>
        <v/>
      </c>
      <c r="HI4" s="11" t="str">
        <f t="shared" ref="HI4:HI38" si="61">IF(SUM(GM4,GQ4,GU4)&gt;0,SUM(GM4,GQ4,GU4),"")</f>
        <v/>
      </c>
      <c r="HJ4" s="11" t="str">
        <f t="shared" ref="HJ4:HJ38" si="62">IF(SUM(HG4,HH4)&gt;0,SUM(HG4,HH4),"")</f>
        <v/>
      </c>
      <c r="HK4" s="11" t="str">
        <f t="shared" ref="HK4:HK38" si="63">IF(SUM(GY4,HC4)&gt;0,SUM(GY4,HC4),"")</f>
        <v/>
      </c>
      <c r="HL4" s="11" t="str">
        <f t="shared" ref="HL4:HL38" si="64">IF(SUM(GX4:GY4,HA4:HC4,HE4)-SUM(GZ4,HD4)&gt;0,SUM(GX4:GY4,HA4:HC4,HE4)-SUM(GZ4,HD4),"")</f>
        <v/>
      </c>
      <c r="HM4" s="11" t="str">
        <f t="shared" ref="HM4:HM38" si="65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8" si="66">IF(SUM(HO4,HS4)&gt;0,SUM(HO4,HS4),"")</f>
        <v/>
      </c>
      <c r="II4" s="40" t="str">
        <f t="shared" ref="II4:II38" si="67">IF(SUM(HN4:HO4,HQ4:HS4,HU4)-HP4-HT4&gt;0,SUM(HN4:HO4,HQ4:HS4,HU4)-HP4-HT4,"")</f>
        <v/>
      </c>
      <c r="IJ4" s="40" t="str">
        <f t="shared" ref="IJ4:IJ38" si="68">IF(SUM(HV4:HW4,HY4)-HX4&gt;0,SUM(HV4:HW4,HY4)-HX4,"")</f>
        <v/>
      </c>
      <c r="IK4" s="40" t="str">
        <f t="shared" ref="IK4:IK38" si="69">IF(SUM(HO4,HS4,HW4)&gt;0,SUM(HO4,HS4,HW4),"")</f>
        <v/>
      </c>
      <c r="IL4" s="40" t="str">
        <f t="shared" ref="IL4:IL38" si="70">IF(SUM(II4,IJ4)&gt;0,SUM(II4,IJ4),"")</f>
        <v/>
      </c>
      <c r="IM4" s="40" t="str">
        <f t="shared" ref="IM4:IM38" si="71">IF(SUM(IA4,IE4)&gt;0,SUM(IA4,IE4),"")</f>
        <v/>
      </c>
      <c r="IN4" s="40" t="str">
        <f t="shared" ref="IN4:IN38" si="72">IF(SUM(HZ4:IA4,IC4:IE4,IG4)-SUM(IB4,IF4)&gt;0,SUM(HZ4:IA4,IC4:IE4,IG4)-SUM(IB4,IF4),"")</f>
        <v/>
      </c>
      <c r="IO4" s="40" t="str">
        <f t="shared" ref="IO4:IO38" si="73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8" si="74">IF(SUM(IQ4,IU4)&gt;0,SUM(IQ4,IU4),"")</f>
        <v/>
      </c>
      <c r="JK4" s="11" t="str">
        <f t="shared" ref="JK4:JK38" si="75">IF(SUM(IP4:IQ4,IS4:IU4,IW4)-IR4-IV4&gt;0,SUM(IP4:IQ4,IS4:IU4,IW4)-IR4-IV4,"")</f>
        <v/>
      </c>
      <c r="JL4" s="11" t="str">
        <f t="shared" ref="JL4:JL38" si="76">IF(SUM(IX4:IY4,JA4)-IZ4&gt;0,SUM(IX4:IY4,JA4)-IZ4,"")</f>
        <v/>
      </c>
      <c r="JM4" s="11" t="str">
        <f t="shared" ref="JM4:JM38" si="77">IF(SUM(IQ4,IU4,IY4)&gt;0,SUM(IQ4,IU4,IY4),"")</f>
        <v/>
      </c>
      <c r="JN4" s="11" t="str">
        <f t="shared" ref="JN4:JN38" si="78">IF(SUM(JK4,JL4)&gt;0,SUM(JK4,JL4),"")</f>
        <v/>
      </c>
      <c r="JO4" s="11" t="str">
        <f t="shared" ref="JO4:JO38" si="79">IF(SUM(JC4,JG4)&gt;0,SUM(JC4,JG4),"")</f>
        <v/>
      </c>
      <c r="JP4" s="11" t="str">
        <f t="shared" ref="JP4:JP38" si="80">IF(SUM(JB4:JC4,JE4:JG4,JI4)-SUM(JD4,JH4)&gt;0,SUM(JB4:JC4,JE4:JG4,JI4)-SUM(JD4,JH4),"")</f>
        <v/>
      </c>
      <c r="JQ4" s="11" t="str">
        <f t="shared" ref="JQ4:JQ38" si="81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8" si="82">IF(SUM(JS4,JW4)&gt;0,SUM(JS4,JW4),"")</f>
        <v/>
      </c>
      <c r="KM4" s="40" t="str">
        <f t="shared" ref="KM4:KM38" si="83">IF(SUM(JR4:JS4,JU4:JW4,JY4)-JT4-JX4&gt;0,SUM(JR4:JS4,JU4:JW4,JY4)-JT4-JX4,"")</f>
        <v/>
      </c>
      <c r="KN4" s="40" t="str">
        <f t="shared" ref="KN4:KN38" si="84">IF(SUM(JZ4:KA4,KC4)-KB4&gt;0,SUM(JZ4:KA4,KC4)-KB4,"")</f>
        <v/>
      </c>
      <c r="KO4" s="40" t="str">
        <f t="shared" ref="KO4:KO38" si="85">IF(SUM(JS4,JW4,KA4)&gt;0,SUM(JS4,JW4,KA4),"")</f>
        <v/>
      </c>
      <c r="KP4" s="40" t="str">
        <f t="shared" ref="KP4:KP38" si="86">IF(SUM(KM4,KN4)&gt;0,SUM(KM4,KN4),"")</f>
        <v/>
      </c>
      <c r="KQ4" s="40" t="str">
        <f t="shared" ref="KQ4:KQ38" si="87">IF(SUM(KE4,KI4)&gt;0,SUM(KE4,KI4),"")</f>
        <v/>
      </c>
      <c r="KR4" s="40" t="str">
        <f t="shared" ref="KR4:KR38" si="88">IF(SUM(KD4:KE4,KG4:KI4,KK4)-SUM(KF4,KJ4)&gt;0,SUM(KD4:KE4,KG4:KI4,KK4)-SUM(KF4,KJ4),"")</f>
        <v/>
      </c>
      <c r="KS4" s="40" t="str">
        <f t="shared" ref="KS4:KS38" si="89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8" si="90">IF(SUM(KU4,KY4)&gt;0,SUM(KU4,KY4),"")</f>
        <v/>
      </c>
      <c r="LO4" s="11" t="str">
        <f t="shared" ref="LO4:LO38" si="91">IF(SUM(KT4:KU4,KW4:KY4,LA4)-KV4-KZ4&gt;0,SUM(KT4:KU4,KW4:KY4,LA4)-KV4-KZ4,"")</f>
        <v/>
      </c>
      <c r="LP4" s="11" t="str">
        <f t="shared" ref="LP4:LP38" si="92">IF(SUM(LB4:LC4,LE4)-LD4&gt;0,SUM(LB4:LC4,LE4)-LD4,"")</f>
        <v/>
      </c>
      <c r="LQ4" s="11" t="str">
        <f t="shared" ref="LQ4:LQ38" si="93">IF(SUM(KU4,KY4,LC4)&gt;0,SUM(KU4,KY4,LC4),"")</f>
        <v/>
      </c>
      <c r="LR4" s="11" t="str">
        <f t="shared" ref="LR4:LR38" si="94">IF(SUM(LO4,LP4)&gt;0,SUM(LO4,LP4),"")</f>
        <v/>
      </c>
      <c r="LS4" s="11" t="str">
        <f t="shared" ref="LS4:LS38" si="95">IF(SUM(LG4,LK4)&gt;0,SUM(LG4,LK4),"")</f>
        <v/>
      </c>
      <c r="LT4" s="11" t="str">
        <f t="shared" ref="LT4:LT38" si="96">IF(SUM(LF4:LG4,LI4:LK4,LM4)-SUM(LH4,LL4)&gt;0,SUM(LF4:LG4,LI4:LK4,LM4)-SUM(LH4,LL4),"")</f>
        <v/>
      </c>
      <c r="LU4" s="11" t="str">
        <f t="shared" ref="LU4:LU38" si="97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8" si="98">IF(SUM(LW4,MA4)&gt;0,SUM(LW4,MA4),"")</f>
        <v/>
      </c>
      <c r="MQ4" s="40" t="str">
        <f t="shared" ref="MQ4:MQ38" si="99">IF(SUM(LV4:LW4,LY4:MA4,MC4)-LX4-MB4&gt;0,SUM(LV4:LW4,LY4:MA4,MC4)-LX4-MB4,"")</f>
        <v/>
      </c>
      <c r="MR4" s="40" t="str">
        <f t="shared" ref="MR4:MR38" si="100">IF(SUM(MD4:ME4,MG4)-MF4&gt;0,SUM(MD4:ME4,MG4)-MF4,"")</f>
        <v/>
      </c>
      <c r="MS4" s="40" t="str">
        <f t="shared" ref="MS4:MS38" si="101">IF(SUM(LW4,MA4,ME4)&gt;0,SUM(LW4,MA4,ME4),"")</f>
        <v/>
      </c>
      <c r="MT4" s="40" t="str">
        <f t="shared" ref="MT4:MT38" si="102">IF(SUM(MQ4,MR4)&gt;0,SUM(MQ4,MR4),"")</f>
        <v/>
      </c>
      <c r="MU4" s="40" t="str">
        <f t="shared" ref="MU4:MU38" si="103">IF(SUM(MI4,MM4)&gt;0,SUM(MI4,MM4),"")</f>
        <v/>
      </c>
      <c r="MV4" s="40" t="str">
        <f t="shared" ref="MV4:MV38" si="104">IF(SUM(MH4:MI4,MK4:MM4,MO4)-SUM(MJ4,MN4)&gt;0,SUM(MH4:MI4,MK4:MM4,MO4)-SUM(MJ4,MN4),"")</f>
        <v/>
      </c>
      <c r="MW4" s="40" t="str">
        <f t="shared" ref="MW4:MW38" si="105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8" si="106">IF(SUM(MY4,NC4)&gt;0,SUM(MY4,NC4),"")</f>
        <v/>
      </c>
      <c r="NS4" s="11" t="str">
        <f t="shared" ref="NS4:NS38" si="107">IF(SUM(MX4:MY4,NA4:NC4,NE4)-MZ4-ND4&gt;0,SUM(MX4:MY4,NA4:NC4,NE4)-MZ4-ND4,"")</f>
        <v/>
      </c>
      <c r="NT4" s="11" t="str">
        <f t="shared" ref="NT4:NT38" si="108">IF(SUM(NF4:NG4,NI4)-NH4&gt;0,SUM(NF4:NG4,NI4)-NH4,"")</f>
        <v/>
      </c>
      <c r="NU4" s="11" t="str">
        <f t="shared" ref="NU4:NU38" si="109">IF(SUM(MY4,NC4,NG4)&gt;0,SUM(MY4,NC4,NG4),"")</f>
        <v/>
      </c>
      <c r="NV4" s="11" t="str">
        <f t="shared" ref="NV4:NV38" si="110">IF(SUM(NS4,NT4)&gt;0,SUM(NS4,NT4),"")</f>
        <v/>
      </c>
      <c r="NW4" s="11" t="str">
        <f t="shared" ref="NW4:NW38" si="111">IF(SUM(NK4,NO4)&gt;0,SUM(NK4,NO4),"")</f>
        <v/>
      </c>
      <c r="NX4" s="11" t="str">
        <f t="shared" ref="NX4:NX38" si="112">IF(SUM(NJ4:NK4,NM4:NO4,NQ4)-SUM(NL4,NP4)&gt;0,SUM(NJ4:NK4,NM4:NO4,NQ4)-SUM(NL4,NP4),"")</f>
        <v/>
      </c>
      <c r="NY4" s="11" t="str">
        <f t="shared" ref="NY4:NY38" si="113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8" si="114">IF(SUM(OA4,OE4)&gt;0,SUM(OA4,OE4),"")</f>
        <v/>
      </c>
      <c r="OU4" s="40" t="str">
        <f t="shared" ref="OU4:OU38" si="115">IF(SUM(NZ4:OA4,OC4:OE4,OG4)-OB4-OF4&gt;0,SUM(NZ4:OA4,OC4:OE4,OG4)-OB4-OF4,"")</f>
        <v/>
      </c>
      <c r="OV4" s="40" t="str">
        <f t="shared" ref="OV4:OV38" si="116">IF(SUM(OH4:OI4,OK4)-OJ4&gt;0,SUM(OH4:OI4,OK4)-OJ4,"")</f>
        <v/>
      </c>
      <c r="OW4" s="40" t="str">
        <f t="shared" ref="OW4:OW38" si="117">IF(SUM(OA4,OE4,OI4)&gt;0,SUM(OA4,OE4,OI4),"")</f>
        <v/>
      </c>
      <c r="OX4" s="40" t="str">
        <f t="shared" ref="OX4:OX38" si="118">IF(SUM(OU4,OV4)&gt;0,SUM(OU4,OV4),"")</f>
        <v/>
      </c>
      <c r="OY4" s="40" t="str">
        <f t="shared" ref="OY4:OY38" si="119">IF(SUM(OM4,OQ4)&gt;0,SUM(OM4,OQ4),"")</f>
        <v/>
      </c>
      <c r="OZ4" s="40" t="str">
        <f t="shared" ref="OZ4:OZ38" si="120">IF(SUM(OL4:OM4,OO4:OQ4,OS4)-SUM(ON4,OR4)&gt;0,SUM(OL4:OM4,OO4:OQ4,OS4)-SUM(ON4,OR4),"")</f>
        <v/>
      </c>
      <c r="PA4" s="40" t="str">
        <f t="shared" ref="PA4:PA38" si="121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8" si="122">IF(SUM(PC4,PG4)&gt;0,SUM(PC4,PG4),"")</f>
        <v/>
      </c>
      <c r="PW4" s="11" t="str">
        <f t="shared" ref="PW4:PW38" si="123">IF(SUM(PB4:PC4,PE4:PG4,PI4)-PD4-PH4&gt;0,SUM(PB4:PC4,PE4:PG4,PI4)-PD4-PH4,"")</f>
        <v/>
      </c>
      <c r="PX4" s="11" t="str">
        <f t="shared" ref="PX4:PX38" si="124">IF(SUM(PJ4:PK4,PM4)-PL4&gt;0,SUM(PJ4:PK4,PM4)-PL4,"")</f>
        <v/>
      </c>
      <c r="PY4" s="11" t="str">
        <f t="shared" ref="PY4:PY38" si="125">IF(SUM(PC4,PG4,PK4)&gt;0,SUM(PC4,PG4,PK4),"")</f>
        <v/>
      </c>
      <c r="PZ4" s="11" t="str">
        <f t="shared" ref="PZ4:PZ38" si="126">IF(SUM(PW4,PX4)&gt;0,SUM(PW4,PX4),"")</f>
        <v/>
      </c>
      <c r="QA4" s="11" t="str">
        <f t="shared" ref="QA4:QA38" si="127">IF(SUM(PO4,PS4)&gt;0,SUM(PO4,PS4),"")</f>
        <v/>
      </c>
      <c r="QB4" s="11" t="str">
        <f t="shared" ref="QB4:QB38" si="128">IF(SUM(PN4:PO4,PQ4:PS4,PU4)-SUM(PP4,PT4)&gt;0,SUM(PN4:PO4,PQ4:PS4,PU4)-SUM(PP4,PT4),"")</f>
        <v/>
      </c>
      <c r="QC4" s="11" t="str">
        <f t="shared" ref="QC4:QC38" si="129">IF(SUM(PW4,PX4,QB4)&gt;0,SUM(PW4,PX4,QB4),"")</f>
        <v/>
      </c>
      <c r="QD4" s="22">
        <f t="shared" ref="QD4:QD38" si="130">IF($CU4="P",CA4,(CA4+AX4)/2)</f>
        <v>19.05</v>
      </c>
      <c r="QE4" s="22">
        <f t="shared" ref="QE4:QE38" si="131">IF($CU4="P",CB4,(CB4+AY4)/2)</f>
        <v>8.4</v>
      </c>
      <c r="QF4" s="22">
        <f t="shared" ref="QF4:QF38" si="132">IF($CU4="P",CC4,(CC4+AZ4)/2)</f>
        <v>0</v>
      </c>
      <c r="QG4" s="22">
        <f t="shared" ref="QG4:QG38" si="133">IF($CU4="P",CD4,(CD4+BA4)/2)</f>
        <v>0</v>
      </c>
      <c r="QH4" s="22">
        <f t="shared" ref="QH4:QH38" si="134">IF($CU4="P",CE4,(CE4+BB4)/2)</f>
        <v>18.600000000000001</v>
      </c>
      <c r="QI4" s="22">
        <f t="shared" ref="QI4:QI38" si="135">IF($CU4="P",CF4,(CF4+BC4)/2)</f>
        <v>7.6999999999999993</v>
      </c>
      <c r="QJ4" s="22">
        <f t="shared" ref="QJ4:QJ38" si="136">IF($CU4="P",CG4,(CG4+BD4)/2)</f>
        <v>0.1</v>
      </c>
      <c r="QK4" s="22">
        <f t="shared" ref="QK4:QK38" si="137">IF($CU4="P",CH4,(CH4+BE4)/2)</f>
        <v>0.15</v>
      </c>
      <c r="QL4" s="22">
        <f t="shared" ref="QL4:QL38" si="138">IF($CU4="P",CI4,(CI4+BF4)/2)</f>
        <v>0</v>
      </c>
      <c r="QM4" s="22">
        <f t="shared" ref="QM4:QM38" si="139">IF($CU4="P",CJ4,(CJ4+BG4)/2)</f>
        <v>0</v>
      </c>
      <c r="QN4" s="22">
        <f t="shared" ref="QN4:QN38" si="140">IF($CU4="P",CK4,(CK4+BH4)/2)</f>
        <v>0</v>
      </c>
      <c r="QO4" s="22">
        <f t="shared" ref="QO4:QO38" si="141">IF($CU4="P",CL4,(CL4+BI4)/2)</f>
        <v>0</v>
      </c>
      <c r="QP4" s="22">
        <f t="shared" ref="QP4:QP38" si="142">IF($CU4="P",CM4,(CM4+BJ4)/2)</f>
        <v>18.850000000000001</v>
      </c>
      <c r="QQ4" s="22">
        <f t="shared" ref="QQ4:QQ38" si="143">IF($CU4="P",CN4,(CN4+BK4)/2)</f>
        <v>8</v>
      </c>
      <c r="QR4" s="22">
        <f t="shared" ref="QR4:QR38" si="144">IF($CU4="P",CO4,(CO4+BL4)/2)</f>
        <v>0.3</v>
      </c>
      <c r="QS4" s="22">
        <f t="shared" ref="QS4:QS38" si="145">IF($CU4="P",CP4,(CP4+BM4)/2)</f>
        <v>0</v>
      </c>
      <c r="QT4" s="22">
        <f t="shared" ref="QT4:QT38" si="146">IF($CU4="P",CQ4,(CQ4+BN4)/2)</f>
        <v>16.75</v>
      </c>
      <c r="QU4" s="22">
        <f t="shared" ref="QU4:QU38" si="147">IF($CU4="P",CR4,(CR4+BO4)/2)</f>
        <v>6.1999999999999993</v>
      </c>
      <c r="QV4" s="22">
        <f t="shared" ref="QV4:QV38" si="148">IF($CU4="P",CS4,(CS4+BP4)/2)</f>
        <v>0</v>
      </c>
      <c r="QW4" s="22">
        <f t="shared" ref="QW4:QW38" si="149">IF($CU4="P",CT4,(CT4+BQ4)/2)</f>
        <v>0.15</v>
      </c>
      <c r="QX4" s="27" t="s">
        <v>46</v>
      </c>
      <c r="QY4" s="40">
        <f t="shared" ref="QY4:QY38" si="150">IF(SUM(QE4,QI4)&gt;0,SUM(QE4,QI4),"")</f>
        <v>16.100000000000001</v>
      </c>
      <c r="QZ4" s="40">
        <f t="shared" ref="QZ4:QZ38" si="151">IF(SUM(QD4:QE4,QG4:QI4,QK4)-QF4-QJ4&gt;0,SUM(QD4:QE4,QG4:QI4,QK4)-QF4-QJ4,"")</f>
        <v>53.8</v>
      </c>
      <c r="RA4" s="40" t="str">
        <f t="shared" ref="RA4:RA38" si="152">IF(SUM(QL4:QM4,QO4)-QN4&gt;0,SUM(QL4:QM4,QO4)-QN4,"")</f>
        <v/>
      </c>
      <c r="RB4" s="40">
        <f t="shared" ref="RB4:RB38" si="153">IF(SUM(QE4,QI4,QM4)&gt;0,SUM(QE4,QI4,QM4),"")</f>
        <v>16.100000000000001</v>
      </c>
      <c r="RC4" s="40">
        <f t="shared" ref="RC4:RC38" si="154">IF(SUM(QZ4,RA4)&gt;0,SUM(QZ4,RA4),"")</f>
        <v>53.8</v>
      </c>
      <c r="RD4" s="40">
        <f t="shared" ref="RD4:RD38" si="155">IF(SUM(QQ4,QU4)&gt;0,SUM(QQ4,QU4),"")</f>
        <v>14.2</v>
      </c>
      <c r="RE4" s="40">
        <f t="shared" ref="RE4:RE38" si="156">IF(SUM(QP4:QQ4,QS4:QU4,QW4)-SUM(QR4,QV4)&gt;0,SUM(QP4:QQ4,QS4:QU4,QW4)-SUM(QR4,QV4),"")</f>
        <v>49.65</v>
      </c>
      <c r="RF4" s="40">
        <f t="shared" ref="RF4:RF38" si="157">IF(SUM(QZ4,RA4,RE4)&gt;0,SUM(QZ4,RA4,RE4),"")</f>
        <v>103.44999999999999</v>
      </c>
    </row>
    <row r="5" spans="1:474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95</v>
      </c>
      <c r="D5" s="4" t="s">
        <v>5</v>
      </c>
      <c r="E5" s="4">
        <v>2005</v>
      </c>
      <c r="F5" s="9">
        <f t="shared" si="0"/>
        <v>159.7000105700053</v>
      </c>
      <c r="G5" s="64" t="s">
        <v>46</v>
      </c>
      <c r="H5" s="3" t="str">
        <f>IF(OR(AND(AP5&gt;=AW$41,AQ5&gt;=AW$45,AP5&lt;&gt;"",AO5=""),AND(AU5&gt;=AW$41,AV5&gt;=AW$45,AU5&lt;&gt;"",AO5=""),AND(BS5&gt;=BZ$41,BT5&gt;=BZ$45,BS5&lt;&gt;"",BR5=""),AND(BX5&gt;=BZ$41,BY5&gt;=BZ$45,BX5&lt;&gt;"",BR5=""),AND(CV5&gt;=DC$41,CW5&gt;=DC$45,CV5&lt;&gt;"",CU5=""),AND(DA5&gt;=DC$41,DB5&gt;=DC$45,DA5&lt;&gt;""),AND(DZ5&gt;=EG$41,EA5&gt;=EG$45,DZ5&lt;&gt;""),AND(EE5&gt;=EG$41,EF5&gt;=EG$45,EE5&lt;&gt;""),AND(FB5&gt;=FI$41,FC5&gt;=FI$45,FB5&lt;&gt;""),AND(FG5&gt;=FI$41,FH5&gt;=FI$45,FG5&lt;&gt;""),AND(GD5&gt;=GK$41,GE5&gt;=GK$45,GD5&lt;&gt;""),AND(GI5&gt;=GK$41,GJ5&gt;=GK$45,GI5&lt;&gt;""),AND(HF5&gt;=HM$41,HG5&gt;=HM$45,HF5&lt;&gt;""),AND(HK5&gt;=HM$41,HL5&gt;=HM$45,HK5&lt;&gt;""),AND(IH5&gt;=IO$41,II5&gt;=IO$45,IH5&lt;&gt;""),AND(IM5&gt;=IO$41,IN5&gt;=IO$45,IM5&lt;&gt;""),AND(JJ5&gt;=JQ$41,JK5&gt;=JQ$45,JJ5&lt;&gt;""),AND(JO5&gt;=JQ$41,JP5&gt;=JQ$45,JO5&lt;&gt;""),AND(KL5&gt;=KS$41,KM5&gt;=KS$45,KL5&lt;&gt;""),AND(KQ5&gt;=KS$41,KR5&gt;=KS$45,KQ5&lt;&gt;""),AND(LN5&gt;=LU$41,LO5&gt;=LU$45,LN5&lt;&gt;""),AND(LS5&gt;=LU$41,LT5&gt;=LU$45,LS5&lt;&gt;""),AND(MP5&gt;=MW$41,MQ5&gt;=MW$45,MP5&lt;&gt;""),AND(MU5&gt;=MW$41,MV5&gt;=MW$45,MU5&lt;&gt;""),AND(NR5&gt;=NY$41,NS5&gt;=NY$45,NR5&lt;&gt;""),AND(NW5&gt;=NY$41,NX5&gt;=NY$45,NW5&lt;&gt;""),AND(OT5&gt;=PA$41,OU5&gt;=PA$45,OT5&lt;&gt;""),AND(OY5&gt;=PA$41,OZ5&gt;=PA$45,OY5&lt;&gt;""),AND(PV5&gt;=QC$41,PW5&gt;=QC$45,PV5&lt;&gt;""),AND(QA5&gt;=QC$41,QB5&gt;=QC$45,QA5&lt;&gt;"")),"P","")</f>
        <v>P</v>
      </c>
      <c r="I5" s="3" t="str">
        <f>IF(OR(AND(AQ5&gt;=AW$45,AQ5&lt;&gt;"",AO5=""),AND(AV5&gt;=AW$45,AV5&lt;&gt;"",AO5=""),AND(BT5&gt;=BZ$45,BT5&lt;&gt;"",BR5=""),AND(BY5&gt;=BZ$45,BY5&lt;&gt;"",BR5=""),AND(CW5&gt;=DC$45,CW5&lt;&gt;"",CU5=""),AND(DB5&gt;=DC$45,DB5&lt;&gt;"",CU5=""),AND(EA5&gt;=EG$45,EA5&lt;&gt;""),AND(EF5&gt;=EG$45,EF5&lt;&gt;""),AND(FC5&gt;=FI$45,FC5&lt;&gt;""),AND(FH5&gt;=FI$45,FH5&lt;&gt;""),AND(GE5&gt;=GK$45,GE5&lt;&gt;""),AND(GJ5&gt;=GK$45,GJ5&lt;&gt;""),AND(HG5&gt;=HM$45,HG5&lt;&gt;""),AND(HL5&gt;=HM$45,HL5&lt;&gt;""),AND(II5&gt;=IO$45,II5&lt;&gt;""),AND(IN5&gt;=IO$45,IN5&lt;&gt;""),AND(JK5&gt;=JQ$45,JK5&lt;&gt;""),AND(JP5&gt;=JQ$45,JP5&lt;&gt;""),AND(KM5&gt;=KS$45,KM5&lt;&gt;""),AND(KR5&gt;=KS$45,KR5&lt;&gt;""),AND(LO5&gt;=LU$45,LO5&lt;&gt;""),AND(LT5&gt;=LU$45,LT5&lt;&gt;""),AND(MQ5&gt;=MW$45,MQ5&lt;&gt;""),AND(MV5&gt;=MW$45,MV5&lt;&gt;""),AND(NS5&gt;=NY$45,NS5&lt;&gt;""),AND(NX5&gt;=NY$45,NX5&lt;&gt;""),AND(OU5&gt;=PA$45,OU5&lt;&gt;""),AND(OZ5&gt;=PA$45,OZ5&lt;&gt;""),AND(PW5&gt;=QC$45,PW5&lt;&gt;""),AND(QB5&gt;=QC$45,QB5&lt;&gt;"")),"P","")</f>
        <v>P</v>
      </c>
      <c r="J5" s="36" t="str">
        <f>IF(AND(I5="P",H5=""),"No DD",IF(OR(AND(AS5&gt;=AW$44,AT5&gt;=AW$48,AS5&lt;&gt;"",AO5=""),AND(BV5&gt;=BZ$44,BW5&gt;=BZ$48,BV5&lt;&gt;"",BR5=""),AND(CY5&gt;=DC$44,CZ5&gt;=DC$48,CY5&lt;&gt;"",CU5=""),AND(EC5&gt;=EG$44,ED5&gt;=EG$48,EC5&lt;&gt;""),AND(FE5&gt;=FI$44,FF5&gt;=FI$48,FE5&lt;&gt;""),AND(GG5&gt;=GK$44,GH5&gt;=GK$48,GG5&lt;&gt;""),AND(HI5&gt;=HM$44,HJ5&gt;=HM$48,HI5&lt;&gt;""),AND(IK5&gt;=IO$44,IL5&gt;=IO$48,IK5&lt;&gt;""),AND(JM5&gt;=JQ$44,JN5&gt;=JQ$48,JM5&lt;&gt;""),AND(KO5&gt;=KS$44,KP5&gt;=KS$48,KO5&lt;&gt;""),AND(LQ5&gt;=LU$44,LR5&gt;=LU$48,LQ5&lt;&gt;""),AND(MS5&gt;=MW$44,MT5&gt;=MW$48,MS5&lt;&gt;""),AND(NU5&gt;=NY$44,NV5&gt;=NY$48,NU5&lt;&gt;""),AND(OW5&gt;=PA$44,OX5&gt;=PA$48,OW5&lt;&gt;""),AND(PY5&gt;=QC$44,PZ5&gt;=QC$48,PY5&lt;&gt;"")),"Merit",IF(OR(AND(AS5&gt;=AW$43,AT5&gt;=AW$47,AS5&lt;&gt;"",AO5=""),AND(BV5&gt;=BZ$43,BW5&gt;=BZ$47,BV5&lt;&gt;"",BR5=""),AND(CY5&gt;=DC$43,CZ5&gt;=DC$47,CY5&lt;&gt;"",CU5=""),AND(EC5&gt;=EG$43,ED5&gt;=EG$47,EC5&lt;&gt;""),AND(FE5&gt;=FI$43,FF5&gt;=FI$47,FE5&lt;&gt;""),AND(GG5&gt;=GK$43,GH5&gt;=GK$47,GG5&lt;&gt;""),AND(HI5&gt;=HM$43,HJ5&gt;=HM$47,HI5&lt;&gt;""),AND(IK5&gt;=IO$43,IL5&gt;=IO$47,IK5&lt;&gt;""),AND(JM5&gt;=JQ$43,JN5&gt;=JQ$47,JM5&lt;&gt;""),AND(KO5&gt;=KS$43,KP5&gt;=KS$47,KO5&lt;&gt;""),AND(LQ5&gt;=LU$43,LR5&gt;=LU$47,LQ5&lt;&gt;""),AND(MS5&gt;=MW$43,MT5&gt;=MW$47,MS5&lt;&gt;""),AND(NU5&gt;=NY$43,NV5&gt;=NY$47,NU5&lt;&gt;""),AND(OW5&gt;=PA$43,OX5&gt;=PA$47,OW5&lt;&gt;""),AND(PY5&gt;=QC$43,PZ5&gt;=QC$47,PY5&lt;&gt;"")),"Excellence",IF(K5="P","Worlds Team",IF(H5="P","National Team","")))))</f>
        <v>National Team</v>
      </c>
      <c r="K5" s="3" t="str">
        <f>IF(OR(AND(AS5&gt;=AW$42,AT5&gt;=AW$46,AS5&lt;&gt;"",AO5=""),AND(BV5&gt;=BZ$42,BW5&gt;=BZ$46,BV5&lt;&gt;"",BR5=""),AND(CY5&gt;=DC$42,CZ5&gt;=DC$46,CY5&lt;&gt;"",CU5=""),AND(EC5&gt;=EG$42,ED5&gt;=EG$46,EC5&lt;&gt;""),AND(FE5&gt;=FI$42,FF5&gt;=FI$46,FE5&lt;&gt;""),AND(GG5&gt;=GK$42,GH5&gt;=GK$46,GG5&lt;&gt;""),AND(HI5&gt;=HM$42,HJ5&gt;=HM$46,HI5&lt;&gt;""),AND(IK5&gt;=IO$42,IL5&gt;=IO$46,IK5&lt;&gt;""),AND(JM5&gt;=JQ$42,JN5&gt;=JQ$46,JM5&lt;&gt;""),AND(KO5&gt;=KS$42,KP5&gt;=KS$46,KO5&lt;&gt;""),AND(LQ5&gt;=LU$42,LR5&gt;=LU$46,LQ5&lt;&gt;""),AND(MS5&gt;=MW$42,MT5&gt;=MW$46,MS5&lt;&gt;""),AND(NU5&gt;=NY$42,NV5&gt;=NY$46,NU5&lt;&gt;""),AND(OW5&gt;=PA$42,OX5&gt;=PA$46,OW5&lt;&gt;""),AND(PY5&gt;=QC$42,PZ5&gt;=QC$46,PY5&lt;&gt;"")),"P","")</f>
        <v/>
      </c>
      <c r="L5" s="8">
        <f>IF(COUNT(AQ5,BT5,CW5)&gt;0,LARGE((AQ5,BT5,CW5),1),0)</f>
        <v>53.099999999999994</v>
      </c>
      <c r="M5" s="8" t="str">
        <f t="shared" si="1"/>
        <v>2024 3rd Domestic Trial</v>
      </c>
      <c r="N5" s="8">
        <f>IF(COUNT(AQ5,BT5,CW5)&gt;1,LARGE((AQ5,BT5,CW5),2),0)</f>
        <v>52.600000000000009</v>
      </c>
      <c r="O5" s="8" t="str">
        <f t="shared" si="2"/>
        <v>2025 Elite Canada</v>
      </c>
      <c r="P5" s="8">
        <f t="shared" si="3"/>
        <v>54</v>
      </c>
      <c r="Q5" s="8" t="str">
        <f t="shared" si="4"/>
        <v>2025 Elite Canada</v>
      </c>
      <c r="R5" s="8" t="str">
        <f t="shared" si="5"/>
        <v/>
      </c>
      <c r="S5" s="11" t="str">
        <f t="shared" si="6"/>
        <v/>
      </c>
      <c r="T5" s="8" t="str">
        <f t="shared" si="7"/>
        <v/>
      </c>
      <c r="U5" s="19">
        <v>18.5</v>
      </c>
      <c r="V5" s="19">
        <v>8.4</v>
      </c>
      <c r="W5" s="19">
        <v>0.6</v>
      </c>
      <c r="X5" s="19">
        <v>0.3</v>
      </c>
      <c r="Y5" s="19">
        <v>18.899999999999999</v>
      </c>
      <c r="Z5" s="19">
        <v>7.6</v>
      </c>
      <c r="AA5" s="19">
        <v>0</v>
      </c>
      <c r="AB5" s="19">
        <v>0</v>
      </c>
      <c r="AC5" s="19">
        <v>18.399999999999999</v>
      </c>
      <c r="AD5" s="19">
        <v>8.1</v>
      </c>
      <c r="AE5" s="19">
        <v>0</v>
      </c>
      <c r="AF5" s="19">
        <v>0.3</v>
      </c>
      <c r="AG5" s="19">
        <v>18.399999999999999</v>
      </c>
      <c r="AH5" s="19">
        <v>8.4</v>
      </c>
      <c r="AI5" s="19">
        <v>0.8</v>
      </c>
      <c r="AJ5" s="19">
        <v>0.3</v>
      </c>
      <c r="AK5" s="19">
        <v>18.8</v>
      </c>
      <c r="AL5" s="19">
        <v>8</v>
      </c>
      <c r="AM5" s="19">
        <v>0.2</v>
      </c>
      <c r="AN5" s="19">
        <v>0</v>
      </c>
      <c r="AO5" s="27"/>
      <c r="AP5" s="40">
        <f t="shared" si="8"/>
        <v>16</v>
      </c>
      <c r="AQ5" s="40">
        <f t="shared" si="9"/>
        <v>53.099999999999994</v>
      </c>
      <c r="AR5" s="40">
        <f t="shared" si="10"/>
        <v>26.8</v>
      </c>
      <c r="AS5" s="40">
        <f t="shared" si="11"/>
        <v>24.1</v>
      </c>
      <c r="AT5" s="40">
        <f t="shared" si="12"/>
        <v>79.899999999999991</v>
      </c>
      <c r="AU5" s="40">
        <f t="shared" si="13"/>
        <v>16.399999999999999</v>
      </c>
      <c r="AV5" s="40">
        <f t="shared" si="14"/>
        <v>52.9</v>
      </c>
      <c r="AW5" s="40">
        <f t="shared" si="15"/>
        <v>132.79999999999998</v>
      </c>
      <c r="AX5" s="18">
        <v>18.2</v>
      </c>
      <c r="AY5" s="18">
        <v>8.4</v>
      </c>
      <c r="AZ5" s="18">
        <v>0.8</v>
      </c>
      <c r="BA5" s="18">
        <v>0.3</v>
      </c>
      <c r="BB5" s="18">
        <v>18.5</v>
      </c>
      <c r="BC5" s="18">
        <v>8</v>
      </c>
      <c r="BD5" s="18">
        <v>0</v>
      </c>
      <c r="BE5" s="18">
        <v>0</v>
      </c>
      <c r="BF5" s="18"/>
      <c r="BG5" s="18"/>
      <c r="BH5" s="18"/>
      <c r="BI5" s="18"/>
      <c r="BJ5" s="18">
        <v>18.100000000000001</v>
      </c>
      <c r="BK5" s="18">
        <v>8.5</v>
      </c>
      <c r="BL5" s="18">
        <v>0.2</v>
      </c>
      <c r="BM5" s="18">
        <v>0.3</v>
      </c>
      <c r="BN5" s="18">
        <v>18.8</v>
      </c>
      <c r="BO5" s="18">
        <v>8.8000000000000007</v>
      </c>
      <c r="BP5" s="18">
        <v>0.6</v>
      </c>
      <c r="BQ5" s="18">
        <v>0.3</v>
      </c>
      <c r="BR5" s="28"/>
      <c r="BS5" s="11">
        <f t="shared" si="16"/>
        <v>16.399999999999999</v>
      </c>
      <c r="BT5" s="11">
        <f t="shared" si="17"/>
        <v>52.600000000000009</v>
      </c>
      <c r="BU5" s="11" t="str">
        <f t="shared" si="18"/>
        <v/>
      </c>
      <c r="BV5" s="11">
        <f t="shared" si="19"/>
        <v>16.399999999999999</v>
      </c>
      <c r="BW5" s="11">
        <f t="shared" si="20"/>
        <v>52.600000000000009</v>
      </c>
      <c r="BX5" s="11">
        <f t="shared" si="21"/>
        <v>17.3</v>
      </c>
      <c r="BY5" s="11">
        <f t="shared" si="22"/>
        <v>54</v>
      </c>
      <c r="BZ5" s="11">
        <f t="shared" si="23"/>
        <v>106.60000000000001</v>
      </c>
      <c r="CA5" s="19">
        <v>18.2</v>
      </c>
      <c r="CB5" s="19">
        <v>8.5</v>
      </c>
      <c r="CC5" s="19">
        <v>0.8</v>
      </c>
      <c r="CD5" s="19">
        <v>0.3</v>
      </c>
      <c r="CE5" s="19">
        <v>18.2</v>
      </c>
      <c r="CF5" s="19">
        <v>6.4</v>
      </c>
      <c r="CG5" s="19">
        <v>0.4</v>
      </c>
      <c r="CH5" s="19">
        <v>0</v>
      </c>
      <c r="CI5" s="19"/>
      <c r="CJ5" s="19"/>
      <c r="CK5" s="19"/>
      <c r="CL5" s="19"/>
      <c r="CM5" s="19">
        <v>0</v>
      </c>
      <c r="CN5" s="19">
        <v>0</v>
      </c>
      <c r="CO5" s="19">
        <v>0</v>
      </c>
      <c r="CP5" s="19">
        <v>0</v>
      </c>
      <c r="CQ5" s="19">
        <v>18.100000000000001</v>
      </c>
      <c r="CR5" s="19">
        <v>7.6</v>
      </c>
      <c r="CS5" s="19">
        <v>0</v>
      </c>
      <c r="CT5" s="19">
        <v>0</v>
      </c>
      <c r="CU5" s="27"/>
      <c r="CV5" s="40">
        <f t="shared" si="24"/>
        <v>14.9</v>
      </c>
      <c r="CW5" s="40">
        <f t="shared" si="25"/>
        <v>50.400000000000006</v>
      </c>
      <c r="CX5" s="40" t="str">
        <f t="shared" si="26"/>
        <v/>
      </c>
      <c r="CY5" s="40">
        <f t="shared" si="27"/>
        <v>14.9</v>
      </c>
      <c r="CZ5" s="40">
        <f t="shared" si="28"/>
        <v>50.400000000000006</v>
      </c>
      <c r="DA5" s="40">
        <f t="shared" si="29"/>
        <v>7.6</v>
      </c>
      <c r="DB5" s="40">
        <f t="shared" si="30"/>
        <v>25.700000000000003</v>
      </c>
      <c r="DC5" s="40">
        <f t="shared" si="31"/>
        <v>76.100000000000009</v>
      </c>
      <c r="DD5" s="50" t="str">
        <f t="shared" si="32"/>
        <v/>
      </c>
      <c r="DE5" s="50" t="str">
        <f t="shared" si="33"/>
        <v/>
      </c>
      <c r="DF5" s="17">
        <v>18.399999999999999</v>
      </c>
      <c r="DG5" s="17">
        <v>8.4</v>
      </c>
      <c r="DH5" s="17">
        <v>0.8</v>
      </c>
      <c r="DI5" s="17">
        <v>0</v>
      </c>
      <c r="DJ5" s="17">
        <v>17.2</v>
      </c>
      <c r="DK5" s="17">
        <v>3.6</v>
      </c>
      <c r="DL5" s="17">
        <v>0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>
        <f t="shared" si="34"/>
        <v>12</v>
      </c>
      <c r="EA5" s="40">
        <f t="shared" si="35"/>
        <v>46.800000000000004</v>
      </c>
      <c r="EB5" s="40" t="str">
        <f t="shared" si="36"/>
        <v/>
      </c>
      <c r="EC5" s="40">
        <f t="shared" si="37"/>
        <v>12</v>
      </c>
      <c r="ED5" s="40">
        <f t="shared" si="38"/>
        <v>46.800000000000004</v>
      </c>
      <c r="EE5" s="40" t="str">
        <f t="shared" si="39"/>
        <v/>
      </c>
      <c r="EF5" s="40" t="str">
        <f t="shared" si="40"/>
        <v/>
      </c>
      <c r="EG5" s="40">
        <f t="shared" si="41"/>
        <v>46.800000000000004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2"/>
        <v/>
      </c>
      <c r="FC5" s="11" t="str">
        <f t="shared" si="43"/>
        <v/>
      </c>
      <c r="FD5" s="11" t="str">
        <f t="shared" si="44"/>
        <v/>
      </c>
      <c r="FE5" s="11" t="str">
        <f t="shared" si="45"/>
        <v/>
      </c>
      <c r="FF5" s="11" t="str">
        <f t="shared" si="46"/>
        <v/>
      </c>
      <c r="FG5" s="11" t="str">
        <f t="shared" si="47"/>
        <v/>
      </c>
      <c r="FH5" s="11" t="str">
        <f t="shared" si="48"/>
        <v/>
      </c>
      <c r="FI5" s="11" t="str">
        <f t="shared" si="49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0"/>
        <v/>
      </c>
      <c r="GE5" s="40" t="str">
        <f t="shared" si="51"/>
        <v/>
      </c>
      <c r="GF5" s="40" t="str">
        <f t="shared" si="52"/>
        <v/>
      </c>
      <c r="GG5" s="40" t="str">
        <f t="shared" si="53"/>
        <v/>
      </c>
      <c r="GH5" s="40" t="str">
        <f t="shared" si="54"/>
        <v/>
      </c>
      <c r="GI5" s="40" t="str">
        <f t="shared" si="55"/>
        <v/>
      </c>
      <c r="GJ5" s="40" t="str">
        <f t="shared" si="56"/>
        <v/>
      </c>
      <c r="GK5" s="40" t="str">
        <f t="shared" si="57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58"/>
        <v/>
      </c>
      <c r="HG5" s="11" t="str">
        <f t="shared" si="59"/>
        <v/>
      </c>
      <c r="HH5" s="11" t="str">
        <f t="shared" si="60"/>
        <v/>
      </c>
      <c r="HI5" s="11" t="str">
        <f t="shared" si="61"/>
        <v/>
      </c>
      <c r="HJ5" s="11" t="str">
        <f t="shared" si="62"/>
        <v/>
      </c>
      <c r="HK5" s="11" t="str">
        <f t="shared" si="63"/>
        <v/>
      </c>
      <c r="HL5" s="11" t="str">
        <f t="shared" si="64"/>
        <v/>
      </c>
      <c r="HM5" s="11" t="str">
        <f t="shared" si="65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6"/>
        <v/>
      </c>
      <c r="II5" s="40" t="str">
        <f t="shared" si="67"/>
        <v/>
      </c>
      <c r="IJ5" s="40" t="str">
        <f t="shared" si="68"/>
        <v/>
      </c>
      <c r="IK5" s="40" t="str">
        <f t="shared" si="69"/>
        <v/>
      </c>
      <c r="IL5" s="40" t="str">
        <f t="shared" si="70"/>
        <v/>
      </c>
      <c r="IM5" s="40" t="str">
        <f t="shared" si="71"/>
        <v/>
      </c>
      <c r="IN5" s="40" t="str">
        <f t="shared" si="72"/>
        <v/>
      </c>
      <c r="IO5" s="40" t="str">
        <f t="shared" si="73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4"/>
        <v/>
      </c>
      <c r="JK5" s="11" t="str">
        <f t="shared" si="75"/>
        <v/>
      </c>
      <c r="JL5" s="11" t="str">
        <f t="shared" si="76"/>
        <v/>
      </c>
      <c r="JM5" s="11" t="str">
        <f t="shared" si="77"/>
        <v/>
      </c>
      <c r="JN5" s="11" t="str">
        <f t="shared" si="78"/>
        <v/>
      </c>
      <c r="JO5" s="11" t="str">
        <f t="shared" si="79"/>
        <v/>
      </c>
      <c r="JP5" s="11" t="str">
        <f t="shared" si="80"/>
        <v/>
      </c>
      <c r="JQ5" s="11" t="str">
        <f t="shared" si="81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2"/>
        <v/>
      </c>
      <c r="KM5" s="40" t="str">
        <f t="shared" si="83"/>
        <v/>
      </c>
      <c r="KN5" s="40" t="str">
        <f t="shared" si="84"/>
        <v/>
      </c>
      <c r="KO5" s="40" t="str">
        <f t="shared" si="85"/>
        <v/>
      </c>
      <c r="KP5" s="40" t="str">
        <f t="shared" si="86"/>
        <v/>
      </c>
      <c r="KQ5" s="40" t="str">
        <f t="shared" si="87"/>
        <v/>
      </c>
      <c r="KR5" s="40" t="str">
        <f t="shared" si="88"/>
        <v/>
      </c>
      <c r="KS5" s="40" t="str">
        <f t="shared" si="89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0"/>
        <v/>
      </c>
      <c r="LO5" s="11" t="str">
        <f t="shared" si="91"/>
        <v/>
      </c>
      <c r="LP5" s="11" t="str">
        <f t="shared" si="92"/>
        <v/>
      </c>
      <c r="LQ5" s="11" t="str">
        <f t="shared" si="93"/>
        <v/>
      </c>
      <c r="LR5" s="11" t="str">
        <f t="shared" si="94"/>
        <v/>
      </c>
      <c r="LS5" s="11" t="str">
        <f t="shared" si="95"/>
        <v/>
      </c>
      <c r="LT5" s="11" t="str">
        <f t="shared" si="96"/>
        <v/>
      </c>
      <c r="LU5" s="11" t="str">
        <f t="shared" si="97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98"/>
        <v/>
      </c>
      <c r="MQ5" s="40" t="str">
        <f t="shared" si="99"/>
        <v/>
      </c>
      <c r="MR5" s="40" t="str">
        <f t="shared" si="100"/>
        <v/>
      </c>
      <c r="MS5" s="40" t="str">
        <f t="shared" si="101"/>
        <v/>
      </c>
      <c r="MT5" s="40" t="str">
        <f t="shared" si="102"/>
        <v/>
      </c>
      <c r="MU5" s="40" t="str">
        <f t="shared" si="103"/>
        <v/>
      </c>
      <c r="MV5" s="40" t="str">
        <f t="shared" si="104"/>
        <v/>
      </c>
      <c r="MW5" s="40" t="str">
        <f t="shared" si="105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6"/>
        <v/>
      </c>
      <c r="NS5" s="11" t="str">
        <f t="shared" si="107"/>
        <v/>
      </c>
      <c r="NT5" s="11" t="str">
        <f t="shared" si="108"/>
        <v/>
      </c>
      <c r="NU5" s="11" t="str">
        <f t="shared" si="109"/>
        <v/>
      </c>
      <c r="NV5" s="11" t="str">
        <f t="shared" si="110"/>
        <v/>
      </c>
      <c r="NW5" s="11" t="str">
        <f t="shared" si="111"/>
        <v/>
      </c>
      <c r="NX5" s="11" t="str">
        <f t="shared" si="112"/>
        <v/>
      </c>
      <c r="NY5" s="11" t="str">
        <f t="shared" si="113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4"/>
        <v/>
      </c>
      <c r="OU5" s="40" t="str">
        <f t="shared" si="115"/>
        <v/>
      </c>
      <c r="OV5" s="40" t="str">
        <f t="shared" si="116"/>
        <v/>
      </c>
      <c r="OW5" s="40" t="str">
        <f t="shared" si="117"/>
        <v/>
      </c>
      <c r="OX5" s="40" t="str">
        <f t="shared" si="118"/>
        <v/>
      </c>
      <c r="OY5" s="40" t="str">
        <f t="shared" si="119"/>
        <v/>
      </c>
      <c r="OZ5" s="40" t="str">
        <f t="shared" si="120"/>
        <v/>
      </c>
      <c r="PA5" s="40" t="str">
        <f t="shared" si="121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2"/>
        <v/>
      </c>
      <c r="PW5" s="11" t="str">
        <f t="shared" si="123"/>
        <v/>
      </c>
      <c r="PX5" s="11" t="str">
        <f t="shared" si="124"/>
        <v/>
      </c>
      <c r="PY5" s="11" t="str">
        <f t="shared" si="125"/>
        <v/>
      </c>
      <c r="PZ5" s="11" t="str">
        <f t="shared" si="126"/>
        <v/>
      </c>
      <c r="QA5" s="11" t="str">
        <f t="shared" si="127"/>
        <v/>
      </c>
      <c r="QB5" s="11" t="str">
        <f t="shared" si="128"/>
        <v/>
      </c>
      <c r="QC5" s="11" t="str">
        <f t="shared" si="129"/>
        <v/>
      </c>
      <c r="QD5" s="22">
        <f t="shared" si="130"/>
        <v>18.2</v>
      </c>
      <c r="QE5" s="22">
        <f t="shared" si="131"/>
        <v>8.4499999999999993</v>
      </c>
      <c r="QF5" s="22">
        <f t="shared" si="132"/>
        <v>0.8</v>
      </c>
      <c r="QG5" s="22">
        <f t="shared" si="133"/>
        <v>0.3</v>
      </c>
      <c r="QH5" s="22">
        <f t="shared" si="134"/>
        <v>18.350000000000001</v>
      </c>
      <c r="QI5" s="22">
        <f t="shared" si="135"/>
        <v>7.2</v>
      </c>
      <c r="QJ5" s="22">
        <f t="shared" si="136"/>
        <v>0.2</v>
      </c>
      <c r="QK5" s="22">
        <f t="shared" si="137"/>
        <v>0</v>
      </c>
      <c r="QL5" s="22">
        <f t="shared" si="138"/>
        <v>0</v>
      </c>
      <c r="QM5" s="22">
        <f t="shared" si="139"/>
        <v>0</v>
      </c>
      <c r="QN5" s="22">
        <f t="shared" si="140"/>
        <v>0</v>
      </c>
      <c r="QO5" s="22">
        <f t="shared" si="141"/>
        <v>0</v>
      </c>
      <c r="QP5" s="22">
        <f t="shared" si="142"/>
        <v>9.0500000000000007</v>
      </c>
      <c r="QQ5" s="22">
        <f t="shared" si="143"/>
        <v>4.25</v>
      </c>
      <c r="QR5" s="22">
        <f t="shared" si="144"/>
        <v>0.1</v>
      </c>
      <c r="QS5" s="22">
        <f t="shared" si="145"/>
        <v>0.15</v>
      </c>
      <c r="QT5" s="22">
        <f t="shared" si="146"/>
        <v>18.450000000000003</v>
      </c>
      <c r="QU5" s="22">
        <f t="shared" si="147"/>
        <v>8.1999999999999993</v>
      </c>
      <c r="QV5" s="22">
        <f t="shared" si="148"/>
        <v>0.3</v>
      </c>
      <c r="QW5" s="22">
        <f t="shared" si="149"/>
        <v>0.15</v>
      </c>
      <c r="QX5" s="27" t="s">
        <v>46</v>
      </c>
      <c r="QY5" s="40">
        <f t="shared" si="150"/>
        <v>15.649999999999999</v>
      </c>
      <c r="QZ5" s="40">
        <f t="shared" si="151"/>
        <v>51.5</v>
      </c>
      <c r="RA5" s="40" t="str">
        <f t="shared" si="152"/>
        <v/>
      </c>
      <c r="RB5" s="40">
        <f t="shared" si="153"/>
        <v>15.649999999999999</v>
      </c>
      <c r="RC5" s="40">
        <f t="shared" si="154"/>
        <v>51.5</v>
      </c>
      <c r="RD5" s="40">
        <f t="shared" si="155"/>
        <v>12.45</v>
      </c>
      <c r="RE5" s="40">
        <f t="shared" si="156"/>
        <v>39.850000000000009</v>
      </c>
      <c r="RF5" s="40">
        <f t="shared" si="157"/>
        <v>91.350000000000009</v>
      </c>
    </row>
    <row r="6" spans="1:474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t="str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/>
      </c>
      <c r="C6" s="5" t="s">
        <v>89</v>
      </c>
      <c r="D6" s="4" t="s">
        <v>4</v>
      </c>
      <c r="E6" s="4">
        <v>2004</v>
      </c>
      <c r="F6" s="9">
        <f t="shared" si="0"/>
        <v>158.4000105300054</v>
      </c>
      <c r="G6" s="64" t="s">
        <v>46</v>
      </c>
      <c r="H6" s="3" t="str">
        <f>IF(OR(AND(AP6&gt;=AW$41,AQ6&gt;=AW$45,AP6&lt;&gt;"",AO6=""),AND(AU6&gt;=AW$41,AV6&gt;=AW$45,AU6&lt;&gt;"",AO6=""),AND(BS6&gt;=BZ$41,BT6&gt;=BZ$45,BS6&lt;&gt;"",BR6=""),AND(BX6&gt;=BZ$41,BY6&gt;=BZ$45,BX6&lt;&gt;"",BR6=""),AND(CV6&gt;=DC$41,CW6&gt;=DC$45,CV6&lt;&gt;"",CU6=""),AND(DA6&gt;=DC$41,DB6&gt;=DC$45,DA6&lt;&gt;""),AND(DZ6&gt;=EG$41,EA6&gt;=EG$45,DZ6&lt;&gt;""),AND(EE6&gt;=EG$41,EF6&gt;=EG$45,EE6&lt;&gt;""),AND(FB6&gt;=FI$41,FC6&gt;=FI$45,FB6&lt;&gt;""),AND(FG6&gt;=FI$41,FH6&gt;=FI$45,FG6&lt;&gt;""),AND(GD6&gt;=GK$41,GE6&gt;=GK$45,GD6&lt;&gt;""),AND(GI6&gt;=GK$41,GJ6&gt;=GK$45,GI6&lt;&gt;""),AND(HF6&gt;=HM$41,HG6&gt;=HM$45,HF6&lt;&gt;""),AND(HK6&gt;=HM$41,HL6&gt;=HM$45,HK6&lt;&gt;""),AND(IH6&gt;=IO$41,II6&gt;=IO$45,IH6&lt;&gt;""),AND(IM6&gt;=IO$41,IN6&gt;=IO$45,IM6&lt;&gt;""),AND(JJ6&gt;=JQ$41,JK6&gt;=JQ$45,JJ6&lt;&gt;""),AND(JO6&gt;=JQ$41,JP6&gt;=JQ$45,JO6&lt;&gt;""),AND(KL6&gt;=KS$41,KM6&gt;=KS$45,KL6&lt;&gt;""),AND(KQ6&gt;=KS$41,KR6&gt;=KS$45,KQ6&lt;&gt;""),AND(LN6&gt;=LU$41,LO6&gt;=LU$45,LN6&lt;&gt;""),AND(LS6&gt;=LU$41,LT6&gt;=LU$45,LS6&lt;&gt;""),AND(MP6&gt;=MW$41,MQ6&gt;=MW$45,MP6&lt;&gt;""),AND(MU6&gt;=MW$41,MV6&gt;=MW$45,MU6&lt;&gt;""),AND(NR6&gt;=NY$41,NS6&gt;=NY$45,NR6&lt;&gt;""),AND(NW6&gt;=NY$41,NX6&gt;=NY$45,NW6&lt;&gt;""),AND(OT6&gt;=PA$41,OU6&gt;=PA$45,OT6&lt;&gt;""),AND(OY6&gt;=PA$41,OZ6&gt;=PA$45,OY6&lt;&gt;""),AND(PV6&gt;=QC$41,PW6&gt;=QC$45,PV6&lt;&gt;""),AND(QA6&gt;=QC$41,QB6&gt;=QC$45,QA6&lt;&gt;"")),"P","")</f>
        <v>P</v>
      </c>
      <c r="I6" s="3" t="str">
        <f>IF(OR(AND(AQ6&gt;=AW$45,AQ6&lt;&gt;"",AO6=""),AND(AV6&gt;=AW$45,AV6&lt;&gt;"",AO6=""),AND(BT6&gt;=BZ$45,BT6&lt;&gt;"",BR6=""),AND(BY6&gt;=BZ$45,BY6&lt;&gt;"",BR6=""),AND(CW6&gt;=DC$45,CW6&lt;&gt;"",CU6=""),AND(DB6&gt;=DC$45,DB6&lt;&gt;"",CU6=""),AND(EA6&gt;=EG$45,EA6&lt;&gt;""),AND(EF6&gt;=EG$45,EF6&lt;&gt;""),AND(FC6&gt;=FI$45,FC6&lt;&gt;""),AND(FH6&gt;=FI$45,FH6&lt;&gt;""),AND(GE6&gt;=GK$45,GE6&lt;&gt;""),AND(GJ6&gt;=GK$45,GJ6&lt;&gt;""),AND(HG6&gt;=HM$45,HG6&lt;&gt;""),AND(HL6&gt;=HM$45,HL6&lt;&gt;""),AND(II6&gt;=IO$45,II6&lt;&gt;""),AND(IN6&gt;=IO$45,IN6&lt;&gt;""),AND(JK6&gt;=JQ$45,JK6&lt;&gt;""),AND(JP6&gt;=JQ$45,JP6&lt;&gt;""),AND(KM6&gt;=KS$45,KM6&lt;&gt;""),AND(KR6&gt;=KS$45,KR6&lt;&gt;""),AND(LO6&gt;=LU$45,LO6&lt;&gt;""),AND(LT6&gt;=LU$45,LT6&lt;&gt;""),AND(MQ6&gt;=MW$45,MQ6&lt;&gt;""),AND(MV6&gt;=MW$45,MV6&lt;&gt;""),AND(NS6&gt;=NY$45,NS6&lt;&gt;""),AND(NX6&gt;=NY$45,NX6&lt;&gt;""),AND(OU6&gt;=PA$45,OU6&lt;&gt;""),AND(OZ6&gt;=PA$45,OZ6&lt;&gt;""),AND(PW6&gt;=QC$45,PW6&lt;&gt;""),AND(QB6&gt;=QC$45,QB6&lt;&gt;"")),"P","")</f>
        <v>P</v>
      </c>
      <c r="J6" s="36" t="str">
        <f>IF(AND(I6="P",H6=""),"No DD",IF(OR(AND(AS6&gt;=AW$44,AT6&gt;=AW$48,AS6&lt;&gt;"",AO6=""),AND(BV6&gt;=BZ$44,BW6&gt;=BZ$48,BV6&lt;&gt;"",BR6=""),AND(CY6&gt;=DC$44,CZ6&gt;=DC$48,CY6&lt;&gt;"",CU6=""),AND(EC6&gt;=EG$44,ED6&gt;=EG$48,EC6&lt;&gt;""),AND(FE6&gt;=FI$44,FF6&gt;=FI$48,FE6&lt;&gt;""),AND(GG6&gt;=GK$44,GH6&gt;=GK$48,GG6&lt;&gt;""),AND(HI6&gt;=HM$44,HJ6&gt;=HM$48,HI6&lt;&gt;""),AND(IK6&gt;=IO$44,IL6&gt;=IO$48,IK6&lt;&gt;""),AND(JM6&gt;=JQ$44,JN6&gt;=JQ$48,JM6&lt;&gt;""),AND(KO6&gt;=KS$44,KP6&gt;=KS$48,KO6&lt;&gt;""),AND(LQ6&gt;=LU$44,LR6&gt;=LU$48,LQ6&lt;&gt;""),AND(MS6&gt;=MW$44,MT6&gt;=MW$48,MS6&lt;&gt;""),AND(NU6&gt;=NY$44,NV6&gt;=NY$48,NU6&lt;&gt;""),AND(OW6&gt;=PA$44,OX6&gt;=PA$48,OW6&lt;&gt;""),AND(PY6&gt;=QC$44,PZ6&gt;=QC$48,PY6&lt;&gt;"")),"Merit",IF(OR(AND(AS6&gt;=AW$43,AT6&gt;=AW$47,AS6&lt;&gt;"",AO6=""),AND(BV6&gt;=BZ$43,BW6&gt;=BZ$47,BV6&lt;&gt;"",BR6=""),AND(CY6&gt;=DC$43,CZ6&gt;=DC$47,CY6&lt;&gt;"",CU6=""),AND(EC6&gt;=EG$43,ED6&gt;=EG$47,EC6&lt;&gt;""),AND(FE6&gt;=FI$43,FF6&gt;=FI$47,FE6&lt;&gt;""),AND(GG6&gt;=GK$43,GH6&gt;=GK$47,GG6&lt;&gt;""),AND(HI6&gt;=HM$43,HJ6&gt;=HM$47,HI6&lt;&gt;""),AND(IK6&gt;=IO$43,IL6&gt;=IO$47,IK6&lt;&gt;""),AND(JM6&gt;=JQ$43,JN6&gt;=JQ$47,JM6&lt;&gt;""),AND(KO6&gt;=KS$43,KP6&gt;=KS$47,KO6&lt;&gt;""),AND(LQ6&gt;=LU$43,LR6&gt;=LU$47,LQ6&lt;&gt;""),AND(MS6&gt;=MW$43,MT6&gt;=MW$47,MS6&lt;&gt;""),AND(NU6&gt;=NY$43,NV6&gt;=NY$47,NU6&lt;&gt;""),AND(OW6&gt;=PA$43,OX6&gt;=PA$47,OW6&lt;&gt;""),AND(PY6&gt;=QC$43,PZ6&gt;=QC$47,PY6&lt;&gt;"")),"Excellence",IF(K6="P","Worlds Team",IF(H6="P","National Team","")))))</f>
        <v>National Team</v>
      </c>
      <c r="K6" s="3" t="str">
        <f>IF(OR(AND(AS6&gt;=AW$42,AT6&gt;=AW$46,AS6&lt;&gt;"",AO6=""),AND(BV6&gt;=BZ$42,BW6&gt;=BZ$46,BV6&lt;&gt;"",BR6=""),AND(CY6&gt;=DC$42,CZ6&gt;=DC$46,CY6&lt;&gt;"",CU6=""),AND(EC6&gt;=EG$42,ED6&gt;=EG$46,EC6&lt;&gt;""),AND(FE6&gt;=FI$42,FF6&gt;=FI$46,FE6&lt;&gt;""),AND(GG6&gt;=GK$42,GH6&gt;=GK$46,GG6&lt;&gt;""),AND(HI6&gt;=HM$42,HJ6&gt;=HM$46,HI6&lt;&gt;""),AND(IK6&gt;=IO$42,IL6&gt;=IO$46,IK6&lt;&gt;""),AND(JM6&gt;=JQ$42,JN6&gt;=JQ$46,JM6&lt;&gt;""),AND(KO6&gt;=KS$42,KP6&gt;=KS$46,KO6&lt;&gt;""),AND(LQ6&gt;=LU$42,LR6&gt;=LU$46,LQ6&lt;&gt;""),AND(MS6&gt;=MW$42,MT6&gt;=MW$46,MS6&lt;&gt;""),AND(NU6&gt;=NY$42,NV6&gt;=NY$46,NU6&lt;&gt;""),AND(OW6&gt;=PA$42,OX6&gt;=PA$46,OW6&lt;&gt;""),AND(PY6&gt;=QC$42,PZ6&gt;=QC$46,PY6&lt;&gt;"")),"P","")</f>
        <v/>
      </c>
      <c r="L6" s="8">
        <f>IF(COUNT(AQ6,BT6,CW6)&gt;0,LARGE((AQ6,BT6,CW6),1),0)</f>
        <v>54.399999999999991</v>
      </c>
      <c r="M6" s="8" t="str">
        <f t="shared" si="1"/>
        <v>2025 Nationals</v>
      </c>
      <c r="N6" s="8">
        <f>IF(COUNT(AQ6,BT6,CW6)&gt;1,LARGE((AQ6,BT6,CW6),2),0)</f>
        <v>50.900000000000006</v>
      </c>
      <c r="O6" s="8" t="str">
        <f t="shared" si="2"/>
        <v>2025 Elite Canada</v>
      </c>
      <c r="P6" s="8">
        <f t="shared" si="3"/>
        <v>53.099999999999994</v>
      </c>
      <c r="Q6" s="8" t="str">
        <f t="shared" si="4"/>
        <v>2025 Nationals</v>
      </c>
      <c r="R6" s="8" t="str">
        <f t="shared" si="5"/>
        <v/>
      </c>
      <c r="S6" s="11" t="str">
        <f t="shared" si="6"/>
        <v/>
      </c>
      <c r="T6" s="8" t="str">
        <f t="shared" si="7"/>
        <v/>
      </c>
      <c r="U6" s="19">
        <v>16.399999999999999</v>
      </c>
      <c r="V6" s="19">
        <v>8.4</v>
      </c>
      <c r="W6" s="19">
        <v>1</v>
      </c>
      <c r="X6" s="19">
        <v>0</v>
      </c>
      <c r="Y6" s="19">
        <v>16.2</v>
      </c>
      <c r="Z6" s="19">
        <v>7.2</v>
      </c>
      <c r="AA6" s="19">
        <v>1</v>
      </c>
      <c r="AB6" s="19">
        <v>0</v>
      </c>
      <c r="AC6" s="19">
        <v>19.2</v>
      </c>
      <c r="AD6" s="19">
        <v>5.6</v>
      </c>
      <c r="AE6" s="19">
        <v>0.4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 t="shared" si="8"/>
        <v>15.600000000000001</v>
      </c>
      <c r="AQ6" s="40">
        <f t="shared" si="9"/>
        <v>46.2</v>
      </c>
      <c r="AR6" s="40">
        <f t="shared" si="10"/>
        <v>24.4</v>
      </c>
      <c r="AS6" s="40">
        <f t="shared" si="11"/>
        <v>21.200000000000003</v>
      </c>
      <c r="AT6" s="40">
        <f t="shared" si="12"/>
        <v>70.599999999999994</v>
      </c>
      <c r="AU6" s="40" t="str">
        <f t="shared" si="13"/>
        <v/>
      </c>
      <c r="AV6" s="40" t="str">
        <f t="shared" si="14"/>
        <v/>
      </c>
      <c r="AW6" s="40">
        <f t="shared" si="15"/>
        <v>70.599999999999994</v>
      </c>
      <c r="AX6" s="18">
        <v>18.399999999999999</v>
      </c>
      <c r="AY6" s="18">
        <v>8</v>
      </c>
      <c r="AZ6" s="18">
        <v>0.2</v>
      </c>
      <c r="BA6" s="18">
        <v>0</v>
      </c>
      <c r="BB6" s="18">
        <v>17.8</v>
      </c>
      <c r="BC6" s="18">
        <v>7.7</v>
      </c>
      <c r="BD6" s="18">
        <v>0.8</v>
      </c>
      <c r="BE6" s="18">
        <v>0</v>
      </c>
      <c r="BF6" s="18"/>
      <c r="BG6" s="18"/>
      <c r="BH6" s="18"/>
      <c r="BI6" s="18"/>
      <c r="BJ6" s="18">
        <v>18.100000000000001</v>
      </c>
      <c r="BK6" s="18">
        <v>7.2</v>
      </c>
      <c r="BL6" s="18">
        <v>0.6</v>
      </c>
      <c r="BM6" s="18">
        <v>0</v>
      </c>
      <c r="BN6" s="18">
        <v>17.899999999999999</v>
      </c>
      <c r="BO6" s="18">
        <v>7.7</v>
      </c>
      <c r="BP6" s="18">
        <v>0.8</v>
      </c>
      <c r="BQ6" s="18">
        <v>0</v>
      </c>
      <c r="BR6" s="28"/>
      <c r="BS6" s="11">
        <f t="shared" si="16"/>
        <v>15.7</v>
      </c>
      <c r="BT6" s="11">
        <f t="shared" si="17"/>
        <v>50.900000000000006</v>
      </c>
      <c r="BU6" s="11" t="str">
        <f t="shared" si="18"/>
        <v/>
      </c>
      <c r="BV6" s="11">
        <f t="shared" si="19"/>
        <v>15.7</v>
      </c>
      <c r="BW6" s="11">
        <f t="shared" si="20"/>
        <v>50.900000000000006</v>
      </c>
      <c r="BX6" s="11">
        <f t="shared" si="21"/>
        <v>14.9</v>
      </c>
      <c r="BY6" s="11">
        <f t="shared" si="22"/>
        <v>49.500000000000007</v>
      </c>
      <c r="BZ6" s="11">
        <f t="shared" si="23"/>
        <v>100.4</v>
      </c>
      <c r="CA6" s="19">
        <v>19</v>
      </c>
      <c r="CB6" s="19">
        <v>8.4</v>
      </c>
      <c r="CC6" s="19">
        <v>0</v>
      </c>
      <c r="CD6" s="19">
        <v>0</v>
      </c>
      <c r="CE6" s="19">
        <v>18</v>
      </c>
      <c r="CF6" s="19">
        <v>8.6999999999999993</v>
      </c>
      <c r="CG6" s="19">
        <v>0</v>
      </c>
      <c r="CH6" s="19">
        <v>0.3</v>
      </c>
      <c r="CI6" s="19"/>
      <c r="CJ6" s="19"/>
      <c r="CK6" s="19"/>
      <c r="CL6" s="19"/>
      <c r="CM6" s="19">
        <v>18.7</v>
      </c>
      <c r="CN6" s="19">
        <v>8.4</v>
      </c>
      <c r="CO6" s="19">
        <v>1</v>
      </c>
      <c r="CP6" s="19">
        <v>0</v>
      </c>
      <c r="CQ6" s="19">
        <v>18.2</v>
      </c>
      <c r="CR6" s="19">
        <v>8.6999999999999993</v>
      </c>
      <c r="CS6" s="19">
        <v>0.2</v>
      </c>
      <c r="CT6" s="19">
        <v>0.3</v>
      </c>
      <c r="CU6" s="27"/>
      <c r="CV6" s="40">
        <f t="shared" si="24"/>
        <v>17.100000000000001</v>
      </c>
      <c r="CW6" s="40">
        <f t="shared" si="25"/>
        <v>54.399999999999991</v>
      </c>
      <c r="CX6" s="40" t="str">
        <f t="shared" si="26"/>
        <v/>
      </c>
      <c r="CY6" s="40">
        <f t="shared" si="27"/>
        <v>17.100000000000001</v>
      </c>
      <c r="CZ6" s="40">
        <f t="shared" si="28"/>
        <v>54.399999999999991</v>
      </c>
      <c r="DA6" s="40">
        <f t="shared" si="29"/>
        <v>17.100000000000001</v>
      </c>
      <c r="DB6" s="40">
        <f t="shared" si="30"/>
        <v>53.099999999999994</v>
      </c>
      <c r="DC6" s="40">
        <f t="shared" si="31"/>
        <v>107.49999999999999</v>
      </c>
      <c r="DD6" s="50" t="str">
        <f t="shared" si="32"/>
        <v/>
      </c>
      <c r="DE6" s="50" t="str">
        <f t="shared" si="33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4"/>
        <v/>
      </c>
      <c r="EA6" s="40" t="str">
        <f t="shared" si="35"/>
        <v/>
      </c>
      <c r="EB6" s="40" t="str">
        <f t="shared" si="36"/>
        <v/>
      </c>
      <c r="EC6" s="40" t="str">
        <f t="shared" si="37"/>
        <v/>
      </c>
      <c r="ED6" s="40" t="str">
        <f t="shared" si="38"/>
        <v/>
      </c>
      <c r="EE6" s="40" t="str">
        <f t="shared" si="39"/>
        <v/>
      </c>
      <c r="EF6" s="40" t="str">
        <f t="shared" si="40"/>
        <v/>
      </c>
      <c r="EG6" s="40" t="str">
        <f t="shared" si="41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2"/>
        <v/>
      </c>
      <c r="FC6" s="11" t="str">
        <f t="shared" si="43"/>
        <v/>
      </c>
      <c r="FD6" s="11" t="str">
        <f t="shared" si="44"/>
        <v/>
      </c>
      <c r="FE6" s="11" t="str">
        <f t="shared" si="45"/>
        <v/>
      </c>
      <c r="FF6" s="11" t="str">
        <f t="shared" si="46"/>
        <v/>
      </c>
      <c r="FG6" s="11" t="str">
        <f t="shared" si="47"/>
        <v/>
      </c>
      <c r="FH6" s="11" t="str">
        <f t="shared" si="48"/>
        <v/>
      </c>
      <c r="FI6" s="11" t="str">
        <f t="shared" si="49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0"/>
        <v/>
      </c>
      <c r="GE6" s="40" t="str">
        <f t="shared" si="51"/>
        <v/>
      </c>
      <c r="GF6" s="40" t="str">
        <f t="shared" si="52"/>
        <v/>
      </c>
      <c r="GG6" s="40" t="str">
        <f t="shared" si="53"/>
        <v/>
      </c>
      <c r="GH6" s="40" t="str">
        <f t="shared" si="54"/>
        <v/>
      </c>
      <c r="GI6" s="40" t="str">
        <f t="shared" si="55"/>
        <v/>
      </c>
      <c r="GJ6" s="40" t="str">
        <f t="shared" si="56"/>
        <v/>
      </c>
      <c r="GK6" s="40" t="str">
        <f t="shared" si="57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58"/>
        <v/>
      </c>
      <c r="HG6" s="11" t="str">
        <f t="shared" si="59"/>
        <v/>
      </c>
      <c r="HH6" s="11" t="str">
        <f t="shared" si="60"/>
        <v/>
      </c>
      <c r="HI6" s="11" t="str">
        <f t="shared" si="61"/>
        <v/>
      </c>
      <c r="HJ6" s="11" t="str">
        <f t="shared" si="62"/>
        <v/>
      </c>
      <c r="HK6" s="11" t="str">
        <f t="shared" si="63"/>
        <v/>
      </c>
      <c r="HL6" s="11" t="str">
        <f t="shared" si="64"/>
        <v/>
      </c>
      <c r="HM6" s="11" t="str">
        <f t="shared" si="65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6"/>
        <v/>
      </c>
      <c r="II6" s="40" t="str">
        <f t="shared" si="67"/>
        <v/>
      </c>
      <c r="IJ6" s="40" t="str">
        <f t="shared" si="68"/>
        <v/>
      </c>
      <c r="IK6" s="40" t="str">
        <f t="shared" si="69"/>
        <v/>
      </c>
      <c r="IL6" s="40" t="str">
        <f t="shared" si="70"/>
        <v/>
      </c>
      <c r="IM6" s="40" t="str">
        <f t="shared" si="71"/>
        <v/>
      </c>
      <c r="IN6" s="40" t="str">
        <f t="shared" si="72"/>
        <v/>
      </c>
      <c r="IO6" s="40" t="str">
        <f t="shared" si="73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4"/>
        <v/>
      </c>
      <c r="JK6" s="11" t="str">
        <f t="shared" si="75"/>
        <v/>
      </c>
      <c r="JL6" s="11" t="str">
        <f t="shared" si="76"/>
        <v/>
      </c>
      <c r="JM6" s="11" t="str">
        <f t="shared" si="77"/>
        <v/>
      </c>
      <c r="JN6" s="11" t="str">
        <f t="shared" si="78"/>
        <v/>
      </c>
      <c r="JO6" s="11" t="str">
        <f t="shared" si="79"/>
        <v/>
      </c>
      <c r="JP6" s="11" t="str">
        <f t="shared" si="80"/>
        <v/>
      </c>
      <c r="JQ6" s="11" t="str">
        <f t="shared" si="81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2"/>
        <v/>
      </c>
      <c r="KM6" s="40" t="str">
        <f t="shared" si="83"/>
        <v/>
      </c>
      <c r="KN6" s="40" t="str">
        <f t="shared" si="84"/>
        <v/>
      </c>
      <c r="KO6" s="40" t="str">
        <f t="shared" si="85"/>
        <v/>
      </c>
      <c r="KP6" s="40" t="str">
        <f t="shared" si="86"/>
        <v/>
      </c>
      <c r="KQ6" s="40" t="str">
        <f t="shared" si="87"/>
        <v/>
      </c>
      <c r="KR6" s="40" t="str">
        <f t="shared" si="88"/>
        <v/>
      </c>
      <c r="KS6" s="40" t="str">
        <f t="shared" si="89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0"/>
        <v/>
      </c>
      <c r="LO6" s="11" t="str">
        <f t="shared" si="91"/>
        <v/>
      </c>
      <c r="LP6" s="11" t="str">
        <f t="shared" si="92"/>
        <v/>
      </c>
      <c r="LQ6" s="11" t="str">
        <f t="shared" si="93"/>
        <v/>
      </c>
      <c r="LR6" s="11" t="str">
        <f t="shared" si="94"/>
        <v/>
      </c>
      <c r="LS6" s="11" t="str">
        <f t="shared" si="95"/>
        <v/>
      </c>
      <c r="LT6" s="11" t="str">
        <f t="shared" si="96"/>
        <v/>
      </c>
      <c r="LU6" s="11" t="str">
        <f t="shared" si="97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98"/>
        <v/>
      </c>
      <c r="MQ6" s="40" t="str">
        <f t="shared" si="99"/>
        <v/>
      </c>
      <c r="MR6" s="40" t="str">
        <f t="shared" si="100"/>
        <v/>
      </c>
      <c r="MS6" s="40" t="str">
        <f t="shared" si="101"/>
        <v/>
      </c>
      <c r="MT6" s="40" t="str">
        <f t="shared" si="102"/>
        <v/>
      </c>
      <c r="MU6" s="40" t="str">
        <f t="shared" si="103"/>
        <v/>
      </c>
      <c r="MV6" s="40" t="str">
        <f t="shared" si="104"/>
        <v/>
      </c>
      <c r="MW6" s="40" t="str">
        <f t="shared" si="105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6"/>
        <v/>
      </c>
      <c r="NS6" s="11" t="str">
        <f t="shared" si="107"/>
        <v/>
      </c>
      <c r="NT6" s="11" t="str">
        <f t="shared" si="108"/>
        <v/>
      </c>
      <c r="NU6" s="11" t="str">
        <f t="shared" si="109"/>
        <v/>
      </c>
      <c r="NV6" s="11" t="str">
        <f t="shared" si="110"/>
        <v/>
      </c>
      <c r="NW6" s="11" t="str">
        <f t="shared" si="111"/>
        <v/>
      </c>
      <c r="NX6" s="11" t="str">
        <f t="shared" si="112"/>
        <v/>
      </c>
      <c r="NY6" s="11" t="str">
        <f t="shared" si="113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4"/>
        <v/>
      </c>
      <c r="OU6" s="40" t="str">
        <f t="shared" si="115"/>
        <v/>
      </c>
      <c r="OV6" s="40" t="str">
        <f t="shared" si="116"/>
        <v/>
      </c>
      <c r="OW6" s="40" t="str">
        <f t="shared" si="117"/>
        <v/>
      </c>
      <c r="OX6" s="40" t="str">
        <f t="shared" si="118"/>
        <v/>
      </c>
      <c r="OY6" s="40" t="str">
        <f t="shared" si="119"/>
        <v/>
      </c>
      <c r="OZ6" s="40" t="str">
        <f t="shared" si="120"/>
        <v/>
      </c>
      <c r="PA6" s="40" t="str">
        <f t="shared" si="121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2"/>
        <v/>
      </c>
      <c r="PW6" s="11" t="str">
        <f t="shared" si="123"/>
        <v/>
      </c>
      <c r="PX6" s="11" t="str">
        <f t="shared" si="124"/>
        <v/>
      </c>
      <c r="PY6" s="11" t="str">
        <f t="shared" si="125"/>
        <v/>
      </c>
      <c r="PZ6" s="11" t="str">
        <f t="shared" si="126"/>
        <v/>
      </c>
      <c r="QA6" s="11" t="str">
        <f t="shared" si="127"/>
        <v/>
      </c>
      <c r="QB6" s="11" t="str">
        <f t="shared" si="128"/>
        <v/>
      </c>
      <c r="QC6" s="11" t="str">
        <f t="shared" si="129"/>
        <v/>
      </c>
      <c r="QD6" s="22">
        <f t="shared" si="130"/>
        <v>18.7</v>
      </c>
      <c r="QE6" s="22">
        <f t="shared" si="131"/>
        <v>8.1999999999999993</v>
      </c>
      <c r="QF6" s="22">
        <f t="shared" si="132"/>
        <v>0.1</v>
      </c>
      <c r="QG6" s="22">
        <f t="shared" si="133"/>
        <v>0</v>
      </c>
      <c r="QH6" s="22">
        <f t="shared" si="134"/>
        <v>17.899999999999999</v>
      </c>
      <c r="QI6" s="22">
        <f t="shared" si="135"/>
        <v>8.1999999999999993</v>
      </c>
      <c r="QJ6" s="22">
        <f t="shared" si="136"/>
        <v>0.4</v>
      </c>
      <c r="QK6" s="22">
        <f t="shared" si="137"/>
        <v>0.15</v>
      </c>
      <c r="QL6" s="22">
        <f t="shared" si="138"/>
        <v>0</v>
      </c>
      <c r="QM6" s="22">
        <f t="shared" si="139"/>
        <v>0</v>
      </c>
      <c r="QN6" s="22">
        <f t="shared" si="140"/>
        <v>0</v>
      </c>
      <c r="QO6" s="22">
        <f t="shared" si="141"/>
        <v>0</v>
      </c>
      <c r="QP6" s="22">
        <f t="shared" si="142"/>
        <v>18.399999999999999</v>
      </c>
      <c r="QQ6" s="22">
        <f t="shared" si="143"/>
        <v>7.8000000000000007</v>
      </c>
      <c r="QR6" s="22">
        <f t="shared" si="144"/>
        <v>0.8</v>
      </c>
      <c r="QS6" s="22">
        <f t="shared" si="145"/>
        <v>0</v>
      </c>
      <c r="QT6" s="22">
        <f t="shared" si="146"/>
        <v>18.049999999999997</v>
      </c>
      <c r="QU6" s="22">
        <f t="shared" si="147"/>
        <v>8.1999999999999993</v>
      </c>
      <c r="QV6" s="22">
        <f t="shared" si="148"/>
        <v>0.5</v>
      </c>
      <c r="QW6" s="22">
        <f t="shared" si="149"/>
        <v>0.15</v>
      </c>
      <c r="QX6" s="27" t="s">
        <v>46</v>
      </c>
      <c r="QY6" s="40">
        <f t="shared" si="150"/>
        <v>16.399999999999999</v>
      </c>
      <c r="QZ6" s="40">
        <f t="shared" si="151"/>
        <v>52.65</v>
      </c>
      <c r="RA6" s="40" t="str">
        <f t="shared" si="152"/>
        <v/>
      </c>
      <c r="RB6" s="40">
        <f t="shared" si="153"/>
        <v>16.399999999999999</v>
      </c>
      <c r="RC6" s="40">
        <f t="shared" si="154"/>
        <v>52.65</v>
      </c>
      <c r="RD6" s="40">
        <f t="shared" si="155"/>
        <v>16</v>
      </c>
      <c r="RE6" s="40">
        <f t="shared" si="156"/>
        <v>51.300000000000004</v>
      </c>
      <c r="RF6" s="40">
        <f t="shared" si="157"/>
        <v>103.95</v>
      </c>
    </row>
    <row r="7" spans="1:474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t="str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/>
      </c>
      <c r="C7" s="5" t="s">
        <v>137</v>
      </c>
      <c r="D7" s="4" t="s">
        <v>4</v>
      </c>
      <c r="E7" s="4">
        <v>2007</v>
      </c>
      <c r="F7" s="9">
        <f t="shared" si="0"/>
        <v>158.10001058000532</v>
      </c>
      <c r="G7" s="64" t="s">
        <v>46</v>
      </c>
      <c r="H7" s="3" t="str">
        <f>IF(OR(AND(AP7&gt;=AW$41,AQ7&gt;=AW$45,AP7&lt;&gt;"",AO7=""),AND(AU7&gt;=AW$41,AV7&gt;=AW$45,AU7&lt;&gt;"",AO7=""),AND(BS7&gt;=BZ$41,BT7&gt;=BZ$45,BS7&lt;&gt;"",BR7=""),AND(BX7&gt;=BZ$41,BY7&gt;=BZ$45,BX7&lt;&gt;"",BR7=""),AND(CV7&gt;=DC$41,CW7&gt;=DC$45,CV7&lt;&gt;"",CU7=""),AND(DA7&gt;=DC$41,DB7&gt;=DC$45,DA7&lt;&gt;""),AND(DZ7&gt;=EG$41,EA7&gt;=EG$45,DZ7&lt;&gt;""),AND(EE7&gt;=EG$41,EF7&gt;=EG$45,EE7&lt;&gt;""),AND(FB7&gt;=FI$41,FC7&gt;=FI$45,FB7&lt;&gt;""),AND(FG7&gt;=FI$41,FH7&gt;=FI$45,FG7&lt;&gt;""),AND(GD7&gt;=GK$41,GE7&gt;=GK$45,GD7&lt;&gt;""),AND(GI7&gt;=GK$41,GJ7&gt;=GK$45,GI7&lt;&gt;""),AND(HF7&gt;=HM$41,HG7&gt;=HM$45,HF7&lt;&gt;""),AND(HK7&gt;=HM$41,HL7&gt;=HM$45,HK7&lt;&gt;""),AND(IH7&gt;=IO$41,II7&gt;=IO$45,IH7&lt;&gt;""),AND(IM7&gt;=IO$41,IN7&gt;=IO$45,IM7&lt;&gt;""),AND(JJ7&gt;=JQ$41,JK7&gt;=JQ$45,JJ7&lt;&gt;""),AND(JO7&gt;=JQ$41,JP7&gt;=JQ$45,JO7&lt;&gt;""),AND(KL7&gt;=KS$41,KM7&gt;=KS$45,KL7&lt;&gt;""),AND(KQ7&gt;=KS$41,KR7&gt;=KS$45,KQ7&lt;&gt;""),AND(LN7&gt;=LU$41,LO7&gt;=LU$45,LN7&lt;&gt;""),AND(LS7&gt;=LU$41,LT7&gt;=LU$45,LS7&lt;&gt;""),AND(MP7&gt;=MW$41,MQ7&gt;=MW$45,MP7&lt;&gt;""),AND(MU7&gt;=MW$41,MV7&gt;=MW$45,MU7&lt;&gt;""),AND(NR7&gt;=NY$41,NS7&gt;=NY$45,NR7&lt;&gt;""),AND(NW7&gt;=NY$41,NX7&gt;=NY$45,NW7&lt;&gt;""),AND(OT7&gt;=PA$41,OU7&gt;=PA$45,OT7&lt;&gt;""),AND(OY7&gt;=PA$41,OZ7&gt;=PA$45,OY7&lt;&gt;""),AND(PV7&gt;=QC$41,PW7&gt;=QC$45,PV7&lt;&gt;""),AND(QA7&gt;=QC$41,QB7&gt;=QC$45,QA7&lt;&gt;"")),"P","")</f>
        <v>P</v>
      </c>
      <c r="I7" s="3" t="str">
        <f>IF(OR(AND(AQ7&gt;=AW$45,AQ7&lt;&gt;"",AO7=""),AND(AV7&gt;=AW$45,AV7&lt;&gt;"",AO7=""),AND(BT7&gt;=BZ$45,BT7&lt;&gt;"",BR7=""),AND(BY7&gt;=BZ$45,BY7&lt;&gt;"",BR7=""),AND(CW7&gt;=DC$45,CW7&lt;&gt;"",CU7=""),AND(DB7&gt;=DC$45,DB7&lt;&gt;"",CU7=""),AND(EA7&gt;=EG$45,EA7&lt;&gt;""),AND(EF7&gt;=EG$45,EF7&lt;&gt;""),AND(FC7&gt;=FI$45,FC7&lt;&gt;""),AND(FH7&gt;=FI$45,FH7&lt;&gt;""),AND(GE7&gt;=GK$45,GE7&lt;&gt;""),AND(GJ7&gt;=GK$45,GJ7&lt;&gt;""),AND(HG7&gt;=HM$45,HG7&lt;&gt;""),AND(HL7&gt;=HM$45,HL7&lt;&gt;""),AND(II7&gt;=IO$45,II7&lt;&gt;""),AND(IN7&gt;=IO$45,IN7&lt;&gt;""),AND(JK7&gt;=JQ$45,JK7&lt;&gt;""),AND(JP7&gt;=JQ$45,JP7&lt;&gt;""),AND(KM7&gt;=KS$45,KM7&lt;&gt;""),AND(KR7&gt;=KS$45,KR7&lt;&gt;""),AND(LO7&gt;=LU$45,LO7&lt;&gt;""),AND(LT7&gt;=LU$45,LT7&lt;&gt;""),AND(MQ7&gt;=MW$45,MQ7&lt;&gt;""),AND(MV7&gt;=MW$45,MV7&lt;&gt;""),AND(NS7&gt;=NY$45,NS7&lt;&gt;""),AND(NX7&gt;=NY$45,NX7&lt;&gt;""),AND(OU7&gt;=PA$45,OU7&lt;&gt;""),AND(OZ7&gt;=PA$45,OZ7&lt;&gt;""),AND(PW7&gt;=QC$45,PW7&lt;&gt;""),AND(QB7&gt;=QC$45,QB7&lt;&gt;"")),"P","")</f>
        <v>P</v>
      </c>
      <c r="J7" s="36" t="str">
        <f>IF(AND(I7="P",H7=""),"No DD",IF(OR(AND(AS7&gt;=AW$44,AT7&gt;=AW$48,AS7&lt;&gt;"",AO7=""),AND(BV7&gt;=BZ$44,BW7&gt;=BZ$48,BV7&lt;&gt;"",BR7=""),AND(CY7&gt;=DC$44,CZ7&gt;=DC$48,CY7&lt;&gt;"",CU7=""),AND(EC7&gt;=EG$44,ED7&gt;=EG$48,EC7&lt;&gt;""),AND(FE7&gt;=FI$44,FF7&gt;=FI$48,FE7&lt;&gt;""),AND(GG7&gt;=GK$44,GH7&gt;=GK$48,GG7&lt;&gt;""),AND(HI7&gt;=HM$44,HJ7&gt;=HM$48,HI7&lt;&gt;""),AND(IK7&gt;=IO$44,IL7&gt;=IO$48,IK7&lt;&gt;""),AND(JM7&gt;=JQ$44,JN7&gt;=JQ$48,JM7&lt;&gt;""),AND(KO7&gt;=KS$44,KP7&gt;=KS$48,KO7&lt;&gt;""),AND(LQ7&gt;=LU$44,LR7&gt;=LU$48,LQ7&lt;&gt;""),AND(MS7&gt;=MW$44,MT7&gt;=MW$48,MS7&lt;&gt;""),AND(NU7&gt;=NY$44,NV7&gt;=NY$48,NU7&lt;&gt;""),AND(OW7&gt;=PA$44,OX7&gt;=PA$48,OW7&lt;&gt;""),AND(PY7&gt;=QC$44,PZ7&gt;=QC$48,PY7&lt;&gt;"")),"Merit",IF(OR(AND(AS7&gt;=AW$43,AT7&gt;=AW$47,AS7&lt;&gt;"",AO7=""),AND(BV7&gt;=BZ$43,BW7&gt;=BZ$47,BV7&lt;&gt;"",BR7=""),AND(CY7&gt;=DC$43,CZ7&gt;=DC$47,CY7&lt;&gt;"",CU7=""),AND(EC7&gt;=EG$43,ED7&gt;=EG$47,EC7&lt;&gt;""),AND(FE7&gt;=FI$43,FF7&gt;=FI$47,FE7&lt;&gt;""),AND(GG7&gt;=GK$43,GH7&gt;=GK$47,GG7&lt;&gt;""),AND(HI7&gt;=HM$43,HJ7&gt;=HM$47,HI7&lt;&gt;""),AND(IK7&gt;=IO$43,IL7&gt;=IO$47,IK7&lt;&gt;""),AND(JM7&gt;=JQ$43,JN7&gt;=JQ$47,JM7&lt;&gt;""),AND(KO7&gt;=KS$43,KP7&gt;=KS$47,KO7&lt;&gt;""),AND(LQ7&gt;=LU$43,LR7&gt;=LU$47,LQ7&lt;&gt;""),AND(MS7&gt;=MW$43,MT7&gt;=MW$47,MS7&lt;&gt;""),AND(NU7&gt;=NY$43,NV7&gt;=NY$47,NU7&lt;&gt;""),AND(OW7&gt;=PA$43,OX7&gt;=PA$47,OW7&lt;&gt;""),AND(PY7&gt;=QC$43,PZ7&gt;=QC$47,PY7&lt;&gt;"")),"Excellence",IF(K7="P","Worlds Team",IF(H7="P","National Team","")))))</f>
        <v>National Team</v>
      </c>
      <c r="K7" s="3" t="str">
        <f>IF(OR(AND(AS7&gt;=AW$42,AT7&gt;=AW$46,AS7&lt;&gt;"",AO7=""),AND(BV7&gt;=BZ$42,BW7&gt;=BZ$46,BV7&lt;&gt;"",BR7=""),AND(CY7&gt;=DC$42,CZ7&gt;=DC$46,CY7&lt;&gt;"",CU7=""),AND(EC7&gt;=EG$42,ED7&gt;=EG$46,EC7&lt;&gt;""),AND(FE7&gt;=FI$42,FF7&gt;=FI$46,FE7&lt;&gt;""),AND(GG7&gt;=GK$42,GH7&gt;=GK$46,GG7&lt;&gt;""),AND(HI7&gt;=HM$42,HJ7&gt;=HM$46,HI7&lt;&gt;""),AND(IK7&gt;=IO$42,IL7&gt;=IO$46,IK7&lt;&gt;""),AND(JM7&gt;=JQ$42,JN7&gt;=JQ$46,JM7&lt;&gt;""),AND(KO7&gt;=KS$42,KP7&gt;=KS$46,KO7&lt;&gt;""),AND(LQ7&gt;=LU$42,LR7&gt;=LU$46,LQ7&lt;&gt;""),AND(MS7&gt;=MW$42,MT7&gt;=MW$46,MS7&lt;&gt;""),AND(NU7&gt;=NY$42,NV7&gt;=NY$46,NU7&lt;&gt;""),AND(OW7&gt;=PA$42,OX7&gt;=PA$46,OW7&lt;&gt;""),AND(PY7&gt;=QC$42,PZ7&gt;=QC$46,PY7&lt;&gt;"")),"P","")</f>
        <v/>
      </c>
      <c r="L7" s="8">
        <f>IF(COUNT(AQ7,BT7,CW7)&gt;0,LARGE((AQ7,BT7,CW7),1),0)</f>
        <v>53.099999999999994</v>
      </c>
      <c r="M7" s="8" t="str">
        <f t="shared" si="1"/>
        <v>2025 Nationals</v>
      </c>
      <c r="N7" s="8">
        <f>IF(COUNT(AQ7,BT7,CW7)&gt;1,LARGE((AQ7,BT7,CW7),2),0)</f>
        <v>52.7</v>
      </c>
      <c r="O7" s="8" t="str">
        <f t="shared" si="2"/>
        <v>2025 Elite Canada</v>
      </c>
      <c r="P7" s="8">
        <f t="shared" si="3"/>
        <v>52.300000000000004</v>
      </c>
      <c r="Q7" s="8" t="str">
        <f t="shared" si="4"/>
        <v>2025 Nationals</v>
      </c>
      <c r="R7" s="8" t="str">
        <f t="shared" si="5"/>
        <v/>
      </c>
      <c r="S7" s="11" t="str">
        <f t="shared" si="6"/>
        <v/>
      </c>
      <c r="T7" s="8" t="str">
        <f t="shared" si="7"/>
        <v/>
      </c>
      <c r="U7" s="19">
        <v>18.7</v>
      </c>
      <c r="V7" s="19">
        <v>7.2</v>
      </c>
      <c r="W7" s="19">
        <v>0.8</v>
      </c>
      <c r="X7" s="19">
        <v>0</v>
      </c>
      <c r="Y7" s="19">
        <v>18.899999999999999</v>
      </c>
      <c r="Z7" s="19">
        <v>8.4</v>
      </c>
      <c r="AA7" s="19">
        <v>0</v>
      </c>
      <c r="AB7" s="19">
        <v>0</v>
      </c>
      <c r="AC7" s="19">
        <v>18.5</v>
      </c>
      <c r="AD7" s="19">
        <v>7.7</v>
      </c>
      <c r="AE7" s="19">
        <v>0</v>
      </c>
      <c r="AF7" s="19">
        <v>0</v>
      </c>
      <c r="AG7" s="19">
        <v>17.399999999999999</v>
      </c>
      <c r="AH7" s="19">
        <v>4</v>
      </c>
      <c r="AI7" s="19">
        <v>0</v>
      </c>
      <c r="AJ7" s="19">
        <v>0</v>
      </c>
      <c r="AK7" s="19">
        <v>18.2</v>
      </c>
      <c r="AL7" s="19">
        <v>6</v>
      </c>
      <c r="AM7" s="19">
        <v>0</v>
      </c>
      <c r="AN7" s="19">
        <v>0</v>
      </c>
      <c r="AO7" s="27"/>
      <c r="AP7" s="40">
        <f t="shared" si="8"/>
        <v>15.600000000000001</v>
      </c>
      <c r="AQ7" s="40">
        <f t="shared" si="9"/>
        <v>52.4</v>
      </c>
      <c r="AR7" s="40">
        <f t="shared" si="10"/>
        <v>26.2</v>
      </c>
      <c r="AS7" s="40">
        <f t="shared" si="11"/>
        <v>23.3</v>
      </c>
      <c r="AT7" s="40">
        <f t="shared" si="12"/>
        <v>78.599999999999994</v>
      </c>
      <c r="AU7" s="40">
        <f t="shared" si="13"/>
        <v>10</v>
      </c>
      <c r="AV7" s="40">
        <f t="shared" si="14"/>
        <v>45.599999999999994</v>
      </c>
      <c r="AW7" s="40">
        <f t="shared" si="15"/>
        <v>124.19999999999999</v>
      </c>
      <c r="AX7" s="18">
        <v>18.600000000000001</v>
      </c>
      <c r="AY7" s="18">
        <v>8.4</v>
      </c>
      <c r="AZ7" s="18">
        <v>0</v>
      </c>
      <c r="BA7" s="18">
        <v>0</v>
      </c>
      <c r="BB7" s="18">
        <v>18.2</v>
      </c>
      <c r="BC7" s="18">
        <v>7.7</v>
      </c>
      <c r="BD7" s="18">
        <v>0.2</v>
      </c>
      <c r="BE7" s="18">
        <v>0</v>
      </c>
      <c r="BF7" s="18"/>
      <c r="BG7" s="18"/>
      <c r="BH7" s="18"/>
      <c r="BI7" s="18"/>
      <c r="BJ7" s="18">
        <v>18.600000000000001</v>
      </c>
      <c r="BK7" s="18">
        <v>8.4</v>
      </c>
      <c r="BL7" s="18">
        <v>0.6</v>
      </c>
      <c r="BM7" s="18">
        <v>0</v>
      </c>
      <c r="BN7" s="18">
        <v>18.2</v>
      </c>
      <c r="BO7" s="18">
        <v>7.7</v>
      </c>
      <c r="BP7" s="18">
        <v>0.2</v>
      </c>
      <c r="BQ7" s="18">
        <v>0</v>
      </c>
      <c r="BR7" s="28"/>
      <c r="BS7" s="11">
        <f t="shared" si="16"/>
        <v>16.100000000000001</v>
      </c>
      <c r="BT7" s="11">
        <f t="shared" si="17"/>
        <v>52.7</v>
      </c>
      <c r="BU7" s="11" t="str">
        <f t="shared" si="18"/>
        <v/>
      </c>
      <c r="BV7" s="11">
        <f t="shared" si="19"/>
        <v>16.100000000000001</v>
      </c>
      <c r="BW7" s="11">
        <f t="shared" si="20"/>
        <v>52.7</v>
      </c>
      <c r="BX7" s="11">
        <f t="shared" si="21"/>
        <v>16.100000000000001</v>
      </c>
      <c r="BY7" s="11">
        <f t="shared" si="22"/>
        <v>52.100000000000009</v>
      </c>
      <c r="BZ7" s="11">
        <f t="shared" si="23"/>
        <v>104.80000000000001</v>
      </c>
      <c r="CA7" s="19">
        <v>19</v>
      </c>
      <c r="CB7" s="19">
        <v>8.4</v>
      </c>
      <c r="CC7" s="19">
        <v>0.2</v>
      </c>
      <c r="CD7" s="19">
        <v>0</v>
      </c>
      <c r="CE7" s="19">
        <v>18.2</v>
      </c>
      <c r="CF7" s="19">
        <v>7.7</v>
      </c>
      <c r="CG7" s="19">
        <v>0</v>
      </c>
      <c r="CH7" s="19">
        <v>0</v>
      </c>
      <c r="CI7" s="19"/>
      <c r="CJ7" s="19"/>
      <c r="CK7" s="19"/>
      <c r="CL7" s="19"/>
      <c r="CM7" s="19">
        <v>18.7</v>
      </c>
      <c r="CN7" s="19">
        <v>8.4</v>
      </c>
      <c r="CO7" s="19">
        <v>0.8</v>
      </c>
      <c r="CP7" s="19">
        <v>0</v>
      </c>
      <c r="CQ7" s="19">
        <v>18.5</v>
      </c>
      <c r="CR7" s="19">
        <v>7.7</v>
      </c>
      <c r="CS7" s="19">
        <v>0.2</v>
      </c>
      <c r="CT7" s="19">
        <v>0</v>
      </c>
      <c r="CU7" s="27"/>
      <c r="CV7" s="40">
        <f t="shared" si="24"/>
        <v>16.100000000000001</v>
      </c>
      <c r="CW7" s="40">
        <f t="shared" si="25"/>
        <v>53.099999999999994</v>
      </c>
      <c r="CX7" s="40" t="str">
        <f t="shared" si="26"/>
        <v/>
      </c>
      <c r="CY7" s="40">
        <f t="shared" si="27"/>
        <v>16.100000000000001</v>
      </c>
      <c r="CZ7" s="40">
        <f t="shared" si="28"/>
        <v>53.099999999999994</v>
      </c>
      <c r="DA7" s="40">
        <f t="shared" si="29"/>
        <v>16.100000000000001</v>
      </c>
      <c r="DB7" s="40">
        <f t="shared" si="30"/>
        <v>52.300000000000004</v>
      </c>
      <c r="DC7" s="40">
        <f t="shared" si="31"/>
        <v>105.4</v>
      </c>
      <c r="DD7" s="50" t="str">
        <f t="shared" si="32"/>
        <v/>
      </c>
      <c r="DE7" s="50" t="str">
        <f t="shared" si="33"/>
        <v/>
      </c>
      <c r="DF7" s="17">
        <v>0</v>
      </c>
      <c r="DG7" s="17">
        <v>0</v>
      </c>
      <c r="DH7" s="17">
        <v>0</v>
      </c>
      <c r="DI7" s="17">
        <v>0</v>
      </c>
      <c r="DJ7" s="17">
        <v>18.8</v>
      </c>
      <c r="DK7" s="17">
        <v>8.4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 t="shared" si="34"/>
        <v>8.4</v>
      </c>
      <c r="EA7" s="40">
        <f t="shared" si="35"/>
        <v>27.200000000000003</v>
      </c>
      <c r="EB7" s="40" t="str">
        <f t="shared" si="36"/>
        <v/>
      </c>
      <c r="EC7" s="40">
        <f t="shared" si="37"/>
        <v>8.4</v>
      </c>
      <c r="ED7" s="40">
        <f t="shared" si="38"/>
        <v>27.200000000000003</v>
      </c>
      <c r="EE7" s="40" t="str">
        <f t="shared" si="39"/>
        <v/>
      </c>
      <c r="EF7" s="40" t="str">
        <f t="shared" si="40"/>
        <v/>
      </c>
      <c r="EG7" s="40">
        <f t="shared" si="41"/>
        <v>27.200000000000003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2"/>
        <v/>
      </c>
      <c r="FC7" s="11" t="str">
        <f t="shared" si="43"/>
        <v/>
      </c>
      <c r="FD7" s="11" t="str">
        <f t="shared" si="44"/>
        <v/>
      </c>
      <c r="FE7" s="11" t="str">
        <f t="shared" si="45"/>
        <v/>
      </c>
      <c r="FF7" s="11" t="str">
        <f t="shared" si="46"/>
        <v/>
      </c>
      <c r="FG7" s="11" t="str">
        <f t="shared" si="47"/>
        <v/>
      </c>
      <c r="FH7" s="11" t="str">
        <f t="shared" si="48"/>
        <v/>
      </c>
      <c r="FI7" s="11" t="str">
        <f t="shared" si="49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0"/>
        <v/>
      </c>
      <c r="GE7" s="40" t="str">
        <f t="shared" si="51"/>
        <v/>
      </c>
      <c r="GF7" s="40" t="str">
        <f t="shared" si="52"/>
        <v/>
      </c>
      <c r="GG7" s="40" t="str">
        <f t="shared" si="53"/>
        <v/>
      </c>
      <c r="GH7" s="40" t="str">
        <f t="shared" si="54"/>
        <v/>
      </c>
      <c r="GI7" s="40" t="str">
        <f t="shared" si="55"/>
        <v/>
      </c>
      <c r="GJ7" s="40" t="str">
        <f t="shared" si="56"/>
        <v/>
      </c>
      <c r="GK7" s="40" t="str">
        <f t="shared" si="57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58"/>
        <v/>
      </c>
      <c r="HG7" s="11" t="str">
        <f t="shared" si="59"/>
        <v/>
      </c>
      <c r="HH7" s="11" t="str">
        <f t="shared" si="60"/>
        <v/>
      </c>
      <c r="HI7" s="11" t="str">
        <f t="shared" si="61"/>
        <v/>
      </c>
      <c r="HJ7" s="11" t="str">
        <f t="shared" si="62"/>
        <v/>
      </c>
      <c r="HK7" s="11" t="str">
        <f t="shared" si="63"/>
        <v/>
      </c>
      <c r="HL7" s="11" t="str">
        <f t="shared" si="64"/>
        <v/>
      </c>
      <c r="HM7" s="11" t="str">
        <f t="shared" si="65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6"/>
        <v/>
      </c>
      <c r="II7" s="40" t="str">
        <f t="shared" si="67"/>
        <v/>
      </c>
      <c r="IJ7" s="40" t="str">
        <f t="shared" si="68"/>
        <v/>
      </c>
      <c r="IK7" s="40" t="str">
        <f t="shared" si="69"/>
        <v/>
      </c>
      <c r="IL7" s="40" t="str">
        <f t="shared" si="70"/>
        <v/>
      </c>
      <c r="IM7" s="40" t="str">
        <f t="shared" si="71"/>
        <v/>
      </c>
      <c r="IN7" s="40" t="str">
        <f t="shared" si="72"/>
        <v/>
      </c>
      <c r="IO7" s="40" t="str">
        <f t="shared" si="73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4"/>
        <v/>
      </c>
      <c r="JK7" s="11" t="str">
        <f t="shared" si="75"/>
        <v/>
      </c>
      <c r="JL7" s="11" t="str">
        <f t="shared" si="76"/>
        <v/>
      </c>
      <c r="JM7" s="11" t="str">
        <f t="shared" si="77"/>
        <v/>
      </c>
      <c r="JN7" s="11" t="str">
        <f t="shared" si="78"/>
        <v/>
      </c>
      <c r="JO7" s="11" t="str">
        <f t="shared" si="79"/>
        <v/>
      </c>
      <c r="JP7" s="11" t="str">
        <f t="shared" si="80"/>
        <v/>
      </c>
      <c r="JQ7" s="11" t="str">
        <f t="shared" si="81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2"/>
        <v/>
      </c>
      <c r="KM7" s="40" t="str">
        <f t="shared" si="83"/>
        <v/>
      </c>
      <c r="KN7" s="40" t="str">
        <f t="shared" si="84"/>
        <v/>
      </c>
      <c r="KO7" s="40" t="str">
        <f t="shared" si="85"/>
        <v/>
      </c>
      <c r="KP7" s="40" t="str">
        <f t="shared" si="86"/>
        <v/>
      </c>
      <c r="KQ7" s="40" t="str">
        <f t="shared" si="87"/>
        <v/>
      </c>
      <c r="KR7" s="40" t="str">
        <f t="shared" si="88"/>
        <v/>
      </c>
      <c r="KS7" s="40" t="str">
        <f t="shared" si="89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0"/>
        <v/>
      </c>
      <c r="LO7" s="11" t="str">
        <f t="shared" si="91"/>
        <v/>
      </c>
      <c r="LP7" s="11" t="str">
        <f t="shared" si="92"/>
        <v/>
      </c>
      <c r="LQ7" s="11" t="str">
        <f t="shared" si="93"/>
        <v/>
      </c>
      <c r="LR7" s="11" t="str">
        <f t="shared" si="94"/>
        <v/>
      </c>
      <c r="LS7" s="11" t="str">
        <f t="shared" si="95"/>
        <v/>
      </c>
      <c r="LT7" s="11" t="str">
        <f t="shared" si="96"/>
        <v/>
      </c>
      <c r="LU7" s="11" t="str">
        <f t="shared" si="97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98"/>
        <v/>
      </c>
      <c r="MQ7" s="40" t="str">
        <f t="shared" si="99"/>
        <v/>
      </c>
      <c r="MR7" s="40" t="str">
        <f t="shared" si="100"/>
        <v/>
      </c>
      <c r="MS7" s="40" t="str">
        <f t="shared" si="101"/>
        <v/>
      </c>
      <c r="MT7" s="40" t="str">
        <f t="shared" si="102"/>
        <v/>
      </c>
      <c r="MU7" s="40" t="str">
        <f t="shared" si="103"/>
        <v/>
      </c>
      <c r="MV7" s="40" t="str">
        <f t="shared" si="104"/>
        <v/>
      </c>
      <c r="MW7" s="40" t="str">
        <f t="shared" si="105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6"/>
        <v/>
      </c>
      <c r="NS7" s="11" t="str">
        <f t="shared" si="107"/>
        <v/>
      </c>
      <c r="NT7" s="11" t="str">
        <f t="shared" si="108"/>
        <v/>
      </c>
      <c r="NU7" s="11" t="str">
        <f t="shared" si="109"/>
        <v/>
      </c>
      <c r="NV7" s="11" t="str">
        <f t="shared" si="110"/>
        <v/>
      </c>
      <c r="NW7" s="11" t="str">
        <f t="shared" si="111"/>
        <v/>
      </c>
      <c r="NX7" s="11" t="str">
        <f t="shared" si="112"/>
        <v/>
      </c>
      <c r="NY7" s="11" t="str">
        <f t="shared" si="113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4"/>
        <v/>
      </c>
      <c r="OU7" s="40" t="str">
        <f t="shared" si="115"/>
        <v/>
      </c>
      <c r="OV7" s="40" t="str">
        <f t="shared" si="116"/>
        <v/>
      </c>
      <c r="OW7" s="40" t="str">
        <f t="shared" si="117"/>
        <v/>
      </c>
      <c r="OX7" s="40" t="str">
        <f t="shared" si="118"/>
        <v/>
      </c>
      <c r="OY7" s="40" t="str">
        <f t="shared" si="119"/>
        <v/>
      </c>
      <c r="OZ7" s="40" t="str">
        <f t="shared" si="120"/>
        <v/>
      </c>
      <c r="PA7" s="40" t="str">
        <f t="shared" si="121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2"/>
        <v/>
      </c>
      <c r="PW7" s="11" t="str">
        <f t="shared" si="123"/>
        <v/>
      </c>
      <c r="PX7" s="11" t="str">
        <f t="shared" si="124"/>
        <v/>
      </c>
      <c r="PY7" s="11" t="str">
        <f t="shared" si="125"/>
        <v/>
      </c>
      <c r="PZ7" s="11" t="str">
        <f t="shared" si="126"/>
        <v/>
      </c>
      <c r="QA7" s="11" t="str">
        <f t="shared" si="127"/>
        <v/>
      </c>
      <c r="QB7" s="11" t="str">
        <f t="shared" si="128"/>
        <v/>
      </c>
      <c r="QC7" s="11" t="str">
        <f t="shared" si="129"/>
        <v/>
      </c>
      <c r="QD7" s="22">
        <f t="shared" si="130"/>
        <v>18.8</v>
      </c>
      <c r="QE7" s="22">
        <f t="shared" si="131"/>
        <v>8.4</v>
      </c>
      <c r="QF7" s="22">
        <f t="shared" si="132"/>
        <v>0.1</v>
      </c>
      <c r="QG7" s="22">
        <f t="shared" si="133"/>
        <v>0</v>
      </c>
      <c r="QH7" s="22">
        <f t="shared" si="134"/>
        <v>18.2</v>
      </c>
      <c r="QI7" s="22">
        <f t="shared" si="135"/>
        <v>7.7</v>
      </c>
      <c r="QJ7" s="22">
        <f t="shared" si="136"/>
        <v>0.1</v>
      </c>
      <c r="QK7" s="22">
        <f t="shared" si="137"/>
        <v>0</v>
      </c>
      <c r="QL7" s="22">
        <f t="shared" si="138"/>
        <v>0</v>
      </c>
      <c r="QM7" s="22">
        <f t="shared" si="139"/>
        <v>0</v>
      </c>
      <c r="QN7" s="22">
        <f t="shared" si="140"/>
        <v>0</v>
      </c>
      <c r="QO7" s="22">
        <f t="shared" si="141"/>
        <v>0</v>
      </c>
      <c r="QP7" s="22">
        <f t="shared" si="142"/>
        <v>18.649999999999999</v>
      </c>
      <c r="QQ7" s="22">
        <f t="shared" si="143"/>
        <v>8.4</v>
      </c>
      <c r="QR7" s="22">
        <f t="shared" si="144"/>
        <v>0.7</v>
      </c>
      <c r="QS7" s="22">
        <f t="shared" si="145"/>
        <v>0</v>
      </c>
      <c r="QT7" s="22">
        <f t="shared" si="146"/>
        <v>18.350000000000001</v>
      </c>
      <c r="QU7" s="22">
        <f t="shared" si="147"/>
        <v>7.7</v>
      </c>
      <c r="QV7" s="22">
        <f t="shared" si="148"/>
        <v>0.2</v>
      </c>
      <c r="QW7" s="22">
        <f t="shared" si="149"/>
        <v>0</v>
      </c>
      <c r="QX7" s="27" t="s">
        <v>46</v>
      </c>
      <c r="QY7" s="40">
        <f t="shared" si="150"/>
        <v>16.100000000000001</v>
      </c>
      <c r="QZ7" s="40">
        <f t="shared" si="151"/>
        <v>52.900000000000006</v>
      </c>
      <c r="RA7" s="40" t="str">
        <f t="shared" si="152"/>
        <v/>
      </c>
      <c r="RB7" s="40">
        <f t="shared" si="153"/>
        <v>16.100000000000001</v>
      </c>
      <c r="RC7" s="40">
        <f t="shared" si="154"/>
        <v>52.900000000000006</v>
      </c>
      <c r="RD7" s="40">
        <f t="shared" si="155"/>
        <v>16.100000000000001</v>
      </c>
      <c r="RE7" s="40">
        <f t="shared" si="156"/>
        <v>52.2</v>
      </c>
      <c r="RF7" s="40">
        <f t="shared" si="157"/>
        <v>105.10000000000001</v>
      </c>
    </row>
    <row r="8" spans="1:474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t="str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/>
      </c>
      <c r="C8" s="5" t="s">
        <v>106</v>
      </c>
      <c r="D8" s="4" t="s">
        <v>6</v>
      </c>
      <c r="E8" s="4">
        <v>2006</v>
      </c>
      <c r="F8" s="9">
        <f t="shared" si="0"/>
        <v>156.10001051000532</v>
      </c>
      <c r="G8" s="64" t="s">
        <v>46</v>
      </c>
      <c r="H8" s="3" t="str">
        <f>IF(OR(AND(AP8&gt;=AW$41,AQ8&gt;=AW$45,AP8&lt;&gt;"",AO8=""),AND(AU8&gt;=AW$41,AV8&gt;=AW$45,AU8&lt;&gt;"",AO8=""),AND(BS8&gt;=BZ$41,BT8&gt;=BZ$45,BS8&lt;&gt;"",BR8=""),AND(BX8&gt;=BZ$41,BY8&gt;=BZ$45,BX8&lt;&gt;"",BR8=""),AND(CV8&gt;=DC$41,CW8&gt;=DC$45,CV8&lt;&gt;"",CU8=""),AND(DA8&gt;=DC$41,DB8&gt;=DC$45,DA8&lt;&gt;""),AND(DZ8&gt;=EG$41,EA8&gt;=EG$45,DZ8&lt;&gt;""),AND(EE8&gt;=EG$41,EF8&gt;=EG$45,EE8&lt;&gt;""),AND(FB8&gt;=FI$41,FC8&gt;=FI$45,FB8&lt;&gt;""),AND(FG8&gt;=FI$41,FH8&gt;=FI$45,FG8&lt;&gt;""),AND(GD8&gt;=GK$41,GE8&gt;=GK$45,GD8&lt;&gt;""),AND(GI8&gt;=GK$41,GJ8&gt;=GK$45,GI8&lt;&gt;""),AND(HF8&gt;=HM$41,HG8&gt;=HM$45,HF8&lt;&gt;""),AND(HK8&gt;=HM$41,HL8&gt;=HM$45,HK8&lt;&gt;""),AND(IH8&gt;=IO$41,II8&gt;=IO$45,IH8&lt;&gt;""),AND(IM8&gt;=IO$41,IN8&gt;=IO$45,IM8&lt;&gt;""),AND(JJ8&gt;=JQ$41,JK8&gt;=JQ$45,JJ8&lt;&gt;""),AND(JO8&gt;=JQ$41,JP8&gt;=JQ$45,JO8&lt;&gt;""),AND(KL8&gt;=KS$41,KM8&gt;=KS$45,KL8&lt;&gt;""),AND(KQ8&gt;=KS$41,KR8&gt;=KS$45,KQ8&lt;&gt;""),AND(LN8&gt;=LU$41,LO8&gt;=LU$45,LN8&lt;&gt;""),AND(LS8&gt;=LU$41,LT8&gt;=LU$45,LS8&lt;&gt;""),AND(MP8&gt;=MW$41,MQ8&gt;=MW$45,MP8&lt;&gt;""),AND(MU8&gt;=MW$41,MV8&gt;=MW$45,MU8&lt;&gt;""),AND(NR8&gt;=NY$41,NS8&gt;=NY$45,NR8&lt;&gt;""),AND(NW8&gt;=NY$41,NX8&gt;=NY$45,NW8&lt;&gt;""),AND(OT8&gt;=PA$41,OU8&gt;=PA$45,OT8&lt;&gt;""),AND(OY8&gt;=PA$41,OZ8&gt;=PA$45,OY8&lt;&gt;""),AND(PV8&gt;=QC$41,PW8&gt;=QC$45,PV8&lt;&gt;""),AND(QA8&gt;=QC$41,QB8&gt;=QC$45,QA8&lt;&gt;"")),"P","")</f>
        <v>P</v>
      </c>
      <c r="I8" s="3" t="str">
        <f>IF(OR(AND(AQ8&gt;=AW$45,AQ8&lt;&gt;"",AO8=""),AND(AV8&gt;=AW$45,AV8&lt;&gt;"",AO8=""),AND(BT8&gt;=BZ$45,BT8&lt;&gt;"",BR8=""),AND(BY8&gt;=BZ$45,BY8&lt;&gt;"",BR8=""),AND(CW8&gt;=DC$45,CW8&lt;&gt;"",CU8=""),AND(DB8&gt;=DC$45,DB8&lt;&gt;"",CU8=""),AND(EA8&gt;=EG$45,EA8&lt;&gt;""),AND(EF8&gt;=EG$45,EF8&lt;&gt;""),AND(FC8&gt;=FI$45,FC8&lt;&gt;""),AND(FH8&gt;=FI$45,FH8&lt;&gt;""),AND(GE8&gt;=GK$45,GE8&lt;&gt;""),AND(GJ8&gt;=GK$45,GJ8&lt;&gt;""),AND(HG8&gt;=HM$45,HG8&lt;&gt;""),AND(HL8&gt;=HM$45,HL8&lt;&gt;""),AND(II8&gt;=IO$45,II8&lt;&gt;""),AND(IN8&gt;=IO$45,IN8&lt;&gt;""),AND(JK8&gt;=JQ$45,JK8&lt;&gt;""),AND(JP8&gt;=JQ$45,JP8&lt;&gt;""),AND(KM8&gt;=KS$45,KM8&lt;&gt;""),AND(KR8&gt;=KS$45,KR8&lt;&gt;""),AND(LO8&gt;=LU$45,LO8&lt;&gt;""),AND(LT8&gt;=LU$45,LT8&lt;&gt;""),AND(MQ8&gt;=MW$45,MQ8&lt;&gt;""),AND(MV8&gt;=MW$45,MV8&lt;&gt;""),AND(NS8&gt;=NY$45,NS8&lt;&gt;""),AND(NX8&gt;=NY$45,NX8&lt;&gt;""),AND(OU8&gt;=PA$45,OU8&lt;&gt;""),AND(OZ8&gt;=PA$45,OZ8&lt;&gt;""),AND(PW8&gt;=QC$45,PW8&lt;&gt;""),AND(QB8&gt;=QC$45,QB8&lt;&gt;"")),"P","")</f>
        <v>P</v>
      </c>
      <c r="J8" s="36" t="str">
        <f>IF(AND(I8="P",H8=""),"No DD",IF(OR(AND(AS8&gt;=AW$44,AT8&gt;=AW$48,AS8&lt;&gt;"",AO8=""),AND(BV8&gt;=BZ$44,BW8&gt;=BZ$48,BV8&lt;&gt;"",BR8=""),AND(CY8&gt;=DC$44,CZ8&gt;=DC$48,CY8&lt;&gt;"",CU8=""),AND(EC8&gt;=EG$44,ED8&gt;=EG$48,EC8&lt;&gt;""),AND(FE8&gt;=FI$44,FF8&gt;=FI$48,FE8&lt;&gt;""),AND(GG8&gt;=GK$44,GH8&gt;=GK$48,GG8&lt;&gt;""),AND(HI8&gt;=HM$44,HJ8&gt;=HM$48,HI8&lt;&gt;""),AND(IK8&gt;=IO$44,IL8&gt;=IO$48,IK8&lt;&gt;""),AND(JM8&gt;=JQ$44,JN8&gt;=JQ$48,JM8&lt;&gt;""),AND(KO8&gt;=KS$44,KP8&gt;=KS$48,KO8&lt;&gt;""),AND(LQ8&gt;=LU$44,LR8&gt;=LU$48,LQ8&lt;&gt;""),AND(MS8&gt;=MW$44,MT8&gt;=MW$48,MS8&lt;&gt;""),AND(NU8&gt;=NY$44,NV8&gt;=NY$48,NU8&lt;&gt;""),AND(OW8&gt;=PA$44,OX8&gt;=PA$48,OW8&lt;&gt;""),AND(PY8&gt;=QC$44,PZ8&gt;=QC$48,PY8&lt;&gt;"")),"Merit",IF(OR(AND(AS8&gt;=AW$43,AT8&gt;=AW$47,AS8&lt;&gt;"",AO8=""),AND(BV8&gt;=BZ$43,BW8&gt;=BZ$47,BV8&lt;&gt;"",BR8=""),AND(CY8&gt;=DC$43,CZ8&gt;=DC$47,CY8&lt;&gt;"",CU8=""),AND(EC8&gt;=EG$43,ED8&gt;=EG$47,EC8&lt;&gt;""),AND(FE8&gt;=FI$43,FF8&gt;=FI$47,FE8&lt;&gt;""),AND(GG8&gt;=GK$43,GH8&gt;=GK$47,GG8&lt;&gt;""),AND(HI8&gt;=HM$43,HJ8&gt;=HM$47,HI8&lt;&gt;""),AND(IK8&gt;=IO$43,IL8&gt;=IO$47,IK8&lt;&gt;""),AND(JM8&gt;=JQ$43,JN8&gt;=JQ$47,JM8&lt;&gt;""),AND(KO8&gt;=KS$43,KP8&gt;=KS$47,KO8&lt;&gt;""),AND(LQ8&gt;=LU$43,LR8&gt;=LU$47,LQ8&lt;&gt;""),AND(MS8&gt;=MW$43,MT8&gt;=MW$47,MS8&lt;&gt;""),AND(NU8&gt;=NY$43,NV8&gt;=NY$47,NU8&lt;&gt;""),AND(OW8&gt;=PA$43,OX8&gt;=PA$47,OW8&lt;&gt;""),AND(PY8&gt;=QC$43,PZ8&gt;=QC$47,PY8&lt;&gt;"")),"Excellence",IF(K8="P","Worlds Team",IF(H8="P","National Team","")))))</f>
        <v>National Team</v>
      </c>
      <c r="K8" s="3" t="str">
        <f>IF(OR(AND(AS8&gt;=AW$42,AT8&gt;=AW$46,AS8&lt;&gt;"",AO8=""),AND(BV8&gt;=BZ$42,BW8&gt;=BZ$46,BV8&lt;&gt;"",BR8=""),AND(CY8&gt;=DC$42,CZ8&gt;=DC$46,CY8&lt;&gt;"",CU8=""),AND(EC8&gt;=EG$42,ED8&gt;=EG$46,EC8&lt;&gt;""),AND(FE8&gt;=FI$42,FF8&gt;=FI$46,FE8&lt;&gt;""),AND(GG8&gt;=GK$42,GH8&gt;=GK$46,GG8&lt;&gt;""),AND(HI8&gt;=HM$42,HJ8&gt;=HM$46,HI8&lt;&gt;""),AND(IK8&gt;=IO$42,IL8&gt;=IO$46,IK8&lt;&gt;""),AND(JM8&gt;=JQ$42,JN8&gt;=JQ$46,JM8&lt;&gt;""),AND(KO8&gt;=KS$42,KP8&gt;=KS$46,KO8&lt;&gt;""),AND(LQ8&gt;=LU$42,LR8&gt;=LU$46,LQ8&lt;&gt;""),AND(MS8&gt;=MW$42,MT8&gt;=MW$46,MS8&lt;&gt;""),AND(NU8&gt;=NY$42,NV8&gt;=NY$46,NU8&lt;&gt;""),AND(OW8&gt;=PA$42,OX8&gt;=PA$46,OW8&lt;&gt;""),AND(PY8&gt;=QC$42,PZ8&gt;=QC$46,PY8&lt;&gt;"")),"P","")</f>
        <v/>
      </c>
      <c r="L8" s="8">
        <f>IF(COUNT(AQ8,BT8,CW8)&gt;0,LARGE((AQ8,BT8,CW8),1),0)</f>
        <v>52.999999999999993</v>
      </c>
      <c r="M8" s="8" t="str">
        <f t="shared" si="1"/>
        <v>2025 Elite Canada</v>
      </c>
      <c r="N8" s="8">
        <f>IF(COUNT(AQ8,BT8,CW8)&gt;1,LARGE((AQ8,BT8,CW8),2),0)</f>
        <v>52.099999999999994</v>
      </c>
      <c r="O8" s="8" t="str">
        <f t="shared" si="2"/>
        <v>2024 3rd Domestic Trial</v>
      </c>
      <c r="P8" s="8">
        <f t="shared" si="3"/>
        <v>50.499999999999993</v>
      </c>
      <c r="Q8" s="8" t="str">
        <f t="shared" si="4"/>
        <v>2025 Elite Canada</v>
      </c>
      <c r="R8" s="8">
        <f t="shared" si="5"/>
        <v>0.50000000000001421</v>
      </c>
      <c r="S8" s="11" t="str">
        <f t="shared" si="6"/>
        <v>(Q1)</v>
      </c>
      <c r="T8" s="8" t="str">
        <f t="shared" si="7"/>
        <v>2024 Coimbra Gym Fest (July 7)</v>
      </c>
      <c r="U8" s="19">
        <v>19</v>
      </c>
      <c r="V8" s="19">
        <v>8.4</v>
      </c>
      <c r="W8" s="19">
        <v>0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</v>
      </c>
      <c r="AD8" s="19">
        <v>7.3</v>
      </c>
      <c r="AE8" s="19">
        <v>0</v>
      </c>
      <c r="AF8" s="19">
        <v>0</v>
      </c>
      <c r="AG8" s="19">
        <v>17.2</v>
      </c>
      <c r="AH8" s="19">
        <v>4</v>
      </c>
      <c r="AI8" s="19">
        <v>0</v>
      </c>
      <c r="AJ8" s="19">
        <v>0</v>
      </c>
      <c r="AK8" s="19">
        <v>18.2</v>
      </c>
      <c r="AL8" s="19">
        <v>7.3</v>
      </c>
      <c r="AM8" s="19">
        <v>0</v>
      </c>
      <c r="AN8" s="19">
        <v>0</v>
      </c>
      <c r="AO8" s="27"/>
      <c r="AP8" s="40">
        <f t="shared" si="8"/>
        <v>14.4</v>
      </c>
      <c r="AQ8" s="40">
        <f t="shared" si="9"/>
        <v>52.099999999999994</v>
      </c>
      <c r="AR8" s="40">
        <f t="shared" si="10"/>
        <v>26.1</v>
      </c>
      <c r="AS8" s="40">
        <f t="shared" si="11"/>
        <v>21.7</v>
      </c>
      <c r="AT8" s="40">
        <f t="shared" si="12"/>
        <v>78.199999999999989</v>
      </c>
      <c r="AU8" s="40">
        <f t="shared" si="13"/>
        <v>11.3</v>
      </c>
      <c r="AV8" s="40">
        <f t="shared" si="14"/>
        <v>46.699999999999996</v>
      </c>
      <c r="AW8" s="40">
        <f t="shared" si="15"/>
        <v>124.89999999999998</v>
      </c>
      <c r="AX8" s="18">
        <v>19.2</v>
      </c>
      <c r="AY8" s="18">
        <v>8.4</v>
      </c>
      <c r="AZ8" s="18">
        <v>0.6</v>
      </c>
      <c r="BA8" s="18">
        <v>0</v>
      </c>
      <c r="BB8" s="18">
        <v>18.7</v>
      </c>
      <c r="BC8" s="18">
        <v>7.3</v>
      </c>
      <c r="BD8" s="18">
        <v>0</v>
      </c>
      <c r="BE8" s="18">
        <v>0</v>
      </c>
      <c r="BF8" s="18"/>
      <c r="BG8" s="18"/>
      <c r="BH8" s="18"/>
      <c r="BI8" s="18"/>
      <c r="BJ8" s="18">
        <v>18.7</v>
      </c>
      <c r="BK8" s="18">
        <v>6</v>
      </c>
      <c r="BL8" s="18">
        <v>1.4</v>
      </c>
      <c r="BM8" s="18">
        <v>0</v>
      </c>
      <c r="BN8" s="18">
        <v>17.899999999999999</v>
      </c>
      <c r="BO8" s="18">
        <v>9.6</v>
      </c>
      <c r="BP8" s="18">
        <v>0.6</v>
      </c>
      <c r="BQ8" s="18">
        <v>0.3</v>
      </c>
      <c r="BR8" s="28"/>
      <c r="BS8" s="11">
        <f t="shared" si="16"/>
        <v>15.7</v>
      </c>
      <c r="BT8" s="11">
        <f t="shared" si="17"/>
        <v>52.999999999999993</v>
      </c>
      <c r="BU8" s="11" t="str">
        <f t="shared" si="18"/>
        <v/>
      </c>
      <c r="BV8" s="11">
        <f t="shared" si="19"/>
        <v>15.7</v>
      </c>
      <c r="BW8" s="11">
        <f t="shared" si="20"/>
        <v>52.999999999999993</v>
      </c>
      <c r="BX8" s="11">
        <f t="shared" si="21"/>
        <v>15.6</v>
      </c>
      <c r="BY8" s="11">
        <f t="shared" si="22"/>
        <v>50.499999999999993</v>
      </c>
      <c r="BZ8" s="11">
        <f t="shared" si="23"/>
        <v>103.49999999999999</v>
      </c>
      <c r="CA8" s="19">
        <v>18.2</v>
      </c>
      <c r="CB8" s="19">
        <v>8.4</v>
      </c>
      <c r="CC8" s="19">
        <v>0.8</v>
      </c>
      <c r="CD8" s="19">
        <v>0</v>
      </c>
      <c r="CE8" s="19">
        <v>15.4</v>
      </c>
      <c r="CF8" s="19">
        <v>3.6</v>
      </c>
      <c r="CG8" s="19">
        <v>0</v>
      </c>
      <c r="CH8" s="19">
        <v>0</v>
      </c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>
        <f t="shared" si="24"/>
        <v>12</v>
      </c>
      <c r="CW8" s="40">
        <f t="shared" si="25"/>
        <v>44.800000000000004</v>
      </c>
      <c r="CX8" s="40" t="str">
        <f t="shared" si="26"/>
        <v/>
      </c>
      <c r="CY8" s="40">
        <f t="shared" si="27"/>
        <v>12</v>
      </c>
      <c r="CZ8" s="40">
        <f t="shared" si="28"/>
        <v>44.800000000000004</v>
      </c>
      <c r="DA8" s="40" t="str">
        <f t="shared" si="29"/>
        <v/>
      </c>
      <c r="DB8" s="40" t="str">
        <f t="shared" si="30"/>
        <v/>
      </c>
      <c r="DC8" s="40">
        <f t="shared" si="31"/>
        <v>44.800000000000004</v>
      </c>
      <c r="DD8" s="50">
        <f t="shared" si="32"/>
        <v>0.50000000000001421</v>
      </c>
      <c r="DE8" s="50" t="str">
        <f t="shared" si="33"/>
        <v/>
      </c>
      <c r="DF8" s="17">
        <v>19</v>
      </c>
      <c r="DG8" s="17">
        <v>8.4</v>
      </c>
      <c r="DH8" s="17">
        <v>0</v>
      </c>
      <c r="DI8" s="17">
        <v>0</v>
      </c>
      <c r="DJ8" s="17">
        <v>18.3</v>
      </c>
      <c r="DK8" s="17">
        <v>7.7</v>
      </c>
      <c r="DL8" s="17">
        <v>0.8</v>
      </c>
      <c r="DM8" s="17">
        <v>0</v>
      </c>
      <c r="DN8" s="17"/>
      <c r="DO8" s="17"/>
      <c r="DP8" s="17"/>
      <c r="DQ8" s="17"/>
      <c r="DR8" s="17">
        <v>18.899999999999999</v>
      </c>
      <c r="DS8" s="17">
        <v>8.4</v>
      </c>
      <c r="DT8" s="17">
        <v>0.6</v>
      </c>
      <c r="DU8" s="17">
        <v>0</v>
      </c>
      <c r="DV8" s="17">
        <v>16.399999999999999</v>
      </c>
      <c r="DW8" s="17">
        <v>7.7</v>
      </c>
      <c r="DX8" s="17">
        <v>0.8</v>
      </c>
      <c r="DY8" s="17">
        <v>0</v>
      </c>
      <c r="DZ8" s="40">
        <f t="shared" si="34"/>
        <v>16.100000000000001</v>
      </c>
      <c r="EA8" s="40">
        <f t="shared" si="35"/>
        <v>52.600000000000009</v>
      </c>
      <c r="EB8" s="40" t="str">
        <f t="shared" si="36"/>
        <v/>
      </c>
      <c r="EC8" s="40">
        <f t="shared" si="37"/>
        <v>16.100000000000001</v>
      </c>
      <c r="ED8" s="40">
        <f t="shared" si="38"/>
        <v>52.600000000000009</v>
      </c>
      <c r="EE8" s="40">
        <f t="shared" si="39"/>
        <v>16.100000000000001</v>
      </c>
      <c r="EF8" s="40">
        <f t="shared" si="40"/>
        <v>50</v>
      </c>
      <c r="EG8" s="40">
        <f t="shared" si="41"/>
        <v>102.60000000000001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2"/>
        <v/>
      </c>
      <c r="FC8" s="11" t="str">
        <f t="shared" si="43"/>
        <v/>
      </c>
      <c r="FD8" s="11" t="str">
        <f t="shared" si="44"/>
        <v/>
      </c>
      <c r="FE8" s="11" t="str">
        <f t="shared" si="45"/>
        <v/>
      </c>
      <c r="FF8" s="11" t="str">
        <f t="shared" si="46"/>
        <v/>
      </c>
      <c r="FG8" s="11" t="str">
        <f t="shared" si="47"/>
        <v/>
      </c>
      <c r="FH8" s="11" t="str">
        <f t="shared" si="48"/>
        <v/>
      </c>
      <c r="FI8" s="11" t="str">
        <f t="shared" si="49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0"/>
        <v/>
      </c>
      <c r="GE8" s="40" t="str">
        <f t="shared" si="51"/>
        <v/>
      </c>
      <c r="GF8" s="40" t="str">
        <f t="shared" si="52"/>
        <v/>
      </c>
      <c r="GG8" s="40" t="str">
        <f t="shared" si="53"/>
        <v/>
      </c>
      <c r="GH8" s="40" t="str">
        <f t="shared" si="54"/>
        <v/>
      </c>
      <c r="GI8" s="40" t="str">
        <f t="shared" si="55"/>
        <v/>
      </c>
      <c r="GJ8" s="40" t="str">
        <f t="shared" si="56"/>
        <v/>
      </c>
      <c r="GK8" s="40" t="str">
        <f t="shared" si="57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58"/>
        <v/>
      </c>
      <c r="HG8" s="11" t="str">
        <f t="shared" si="59"/>
        <v/>
      </c>
      <c r="HH8" s="11" t="str">
        <f t="shared" si="60"/>
        <v/>
      </c>
      <c r="HI8" s="11" t="str">
        <f t="shared" si="61"/>
        <v/>
      </c>
      <c r="HJ8" s="11" t="str">
        <f t="shared" si="62"/>
        <v/>
      </c>
      <c r="HK8" s="11" t="str">
        <f t="shared" si="63"/>
        <v/>
      </c>
      <c r="HL8" s="11" t="str">
        <f t="shared" si="64"/>
        <v/>
      </c>
      <c r="HM8" s="11" t="str">
        <f t="shared" si="65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6"/>
        <v/>
      </c>
      <c r="II8" s="40" t="str">
        <f t="shared" si="67"/>
        <v/>
      </c>
      <c r="IJ8" s="40" t="str">
        <f t="shared" si="68"/>
        <v/>
      </c>
      <c r="IK8" s="40" t="str">
        <f t="shared" si="69"/>
        <v/>
      </c>
      <c r="IL8" s="40" t="str">
        <f t="shared" si="70"/>
        <v/>
      </c>
      <c r="IM8" s="40" t="str">
        <f t="shared" si="71"/>
        <v/>
      </c>
      <c r="IN8" s="40" t="str">
        <f t="shared" si="72"/>
        <v/>
      </c>
      <c r="IO8" s="40" t="str">
        <f t="shared" si="73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4"/>
        <v/>
      </c>
      <c r="JK8" s="11" t="str">
        <f t="shared" si="75"/>
        <v/>
      </c>
      <c r="JL8" s="11" t="str">
        <f t="shared" si="76"/>
        <v/>
      </c>
      <c r="JM8" s="11" t="str">
        <f t="shared" si="77"/>
        <v/>
      </c>
      <c r="JN8" s="11" t="str">
        <f t="shared" si="78"/>
        <v/>
      </c>
      <c r="JO8" s="11" t="str">
        <f t="shared" si="79"/>
        <v/>
      </c>
      <c r="JP8" s="11" t="str">
        <f t="shared" si="80"/>
        <v/>
      </c>
      <c r="JQ8" s="11" t="str">
        <f t="shared" si="81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2"/>
        <v/>
      </c>
      <c r="KM8" s="40" t="str">
        <f t="shared" si="83"/>
        <v/>
      </c>
      <c r="KN8" s="40" t="str">
        <f t="shared" si="84"/>
        <v/>
      </c>
      <c r="KO8" s="40" t="str">
        <f t="shared" si="85"/>
        <v/>
      </c>
      <c r="KP8" s="40" t="str">
        <f t="shared" si="86"/>
        <v/>
      </c>
      <c r="KQ8" s="40" t="str">
        <f t="shared" si="87"/>
        <v/>
      </c>
      <c r="KR8" s="40" t="str">
        <f t="shared" si="88"/>
        <v/>
      </c>
      <c r="KS8" s="40" t="str">
        <f t="shared" si="89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0"/>
        <v/>
      </c>
      <c r="LO8" s="11" t="str">
        <f t="shared" si="91"/>
        <v/>
      </c>
      <c r="LP8" s="11" t="str">
        <f t="shared" si="92"/>
        <v/>
      </c>
      <c r="LQ8" s="11" t="str">
        <f t="shared" si="93"/>
        <v/>
      </c>
      <c r="LR8" s="11" t="str">
        <f t="shared" si="94"/>
        <v/>
      </c>
      <c r="LS8" s="11" t="str">
        <f t="shared" si="95"/>
        <v/>
      </c>
      <c r="LT8" s="11" t="str">
        <f t="shared" si="96"/>
        <v/>
      </c>
      <c r="LU8" s="11" t="str">
        <f t="shared" si="97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98"/>
        <v/>
      </c>
      <c r="MQ8" s="40" t="str">
        <f t="shared" si="99"/>
        <v/>
      </c>
      <c r="MR8" s="40" t="str">
        <f t="shared" si="100"/>
        <v/>
      </c>
      <c r="MS8" s="40" t="str">
        <f t="shared" si="101"/>
        <v/>
      </c>
      <c r="MT8" s="40" t="str">
        <f t="shared" si="102"/>
        <v/>
      </c>
      <c r="MU8" s="40" t="str">
        <f t="shared" si="103"/>
        <v/>
      </c>
      <c r="MV8" s="40" t="str">
        <f t="shared" si="104"/>
        <v/>
      </c>
      <c r="MW8" s="40" t="str">
        <f t="shared" si="105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6"/>
        <v/>
      </c>
      <c r="NS8" s="11" t="str">
        <f t="shared" si="107"/>
        <v/>
      </c>
      <c r="NT8" s="11" t="str">
        <f t="shared" si="108"/>
        <v/>
      </c>
      <c r="NU8" s="11" t="str">
        <f t="shared" si="109"/>
        <v/>
      </c>
      <c r="NV8" s="11" t="str">
        <f t="shared" si="110"/>
        <v/>
      </c>
      <c r="NW8" s="11" t="str">
        <f t="shared" si="111"/>
        <v/>
      </c>
      <c r="NX8" s="11" t="str">
        <f t="shared" si="112"/>
        <v/>
      </c>
      <c r="NY8" s="11" t="str">
        <f t="shared" si="113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4"/>
        <v/>
      </c>
      <c r="OU8" s="40" t="str">
        <f t="shared" si="115"/>
        <v/>
      </c>
      <c r="OV8" s="40" t="str">
        <f t="shared" si="116"/>
        <v/>
      </c>
      <c r="OW8" s="40" t="str">
        <f t="shared" si="117"/>
        <v/>
      </c>
      <c r="OX8" s="40" t="str">
        <f t="shared" si="118"/>
        <v/>
      </c>
      <c r="OY8" s="40" t="str">
        <f t="shared" si="119"/>
        <v/>
      </c>
      <c r="OZ8" s="40" t="str">
        <f t="shared" si="120"/>
        <v/>
      </c>
      <c r="PA8" s="40" t="str">
        <f t="shared" si="121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2"/>
        <v/>
      </c>
      <c r="PW8" s="11" t="str">
        <f t="shared" si="123"/>
        <v/>
      </c>
      <c r="PX8" s="11" t="str">
        <f t="shared" si="124"/>
        <v/>
      </c>
      <c r="PY8" s="11" t="str">
        <f t="shared" si="125"/>
        <v/>
      </c>
      <c r="PZ8" s="11" t="str">
        <f t="shared" si="126"/>
        <v/>
      </c>
      <c r="QA8" s="11" t="str">
        <f t="shared" si="127"/>
        <v/>
      </c>
      <c r="QB8" s="11" t="str">
        <f t="shared" si="128"/>
        <v/>
      </c>
      <c r="QC8" s="11" t="str">
        <f t="shared" si="129"/>
        <v/>
      </c>
      <c r="QD8" s="22">
        <f t="shared" si="130"/>
        <v>18.7</v>
      </c>
      <c r="QE8" s="22">
        <f t="shared" si="131"/>
        <v>8.4</v>
      </c>
      <c r="QF8" s="22">
        <f t="shared" si="132"/>
        <v>0.7</v>
      </c>
      <c r="QG8" s="22">
        <f t="shared" si="133"/>
        <v>0</v>
      </c>
      <c r="QH8" s="22">
        <f t="shared" si="134"/>
        <v>17.05</v>
      </c>
      <c r="QI8" s="22">
        <f t="shared" si="135"/>
        <v>5.45</v>
      </c>
      <c r="QJ8" s="22">
        <f t="shared" si="136"/>
        <v>0</v>
      </c>
      <c r="QK8" s="22">
        <f t="shared" si="137"/>
        <v>0</v>
      </c>
      <c r="QL8" s="22">
        <f t="shared" si="138"/>
        <v>0</v>
      </c>
      <c r="QM8" s="22">
        <f t="shared" si="139"/>
        <v>0</v>
      </c>
      <c r="QN8" s="22">
        <f t="shared" si="140"/>
        <v>0</v>
      </c>
      <c r="QO8" s="22">
        <f t="shared" si="141"/>
        <v>0</v>
      </c>
      <c r="QP8" s="22">
        <f t="shared" si="142"/>
        <v>9.35</v>
      </c>
      <c r="QQ8" s="22">
        <f t="shared" si="143"/>
        <v>3</v>
      </c>
      <c r="QR8" s="22">
        <f t="shared" si="144"/>
        <v>0.7</v>
      </c>
      <c r="QS8" s="22">
        <f t="shared" si="145"/>
        <v>0</v>
      </c>
      <c r="QT8" s="22">
        <f t="shared" si="146"/>
        <v>8.9499999999999993</v>
      </c>
      <c r="QU8" s="22">
        <f t="shared" si="147"/>
        <v>4.8</v>
      </c>
      <c r="QV8" s="22">
        <f t="shared" si="148"/>
        <v>0.3</v>
      </c>
      <c r="QW8" s="22">
        <f t="shared" si="149"/>
        <v>0.15</v>
      </c>
      <c r="QX8" s="27" t="s">
        <v>46</v>
      </c>
      <c r="QY8" s="40">
        <f t="shared" si="150"/>
        <v>13.850000000000001</v>
      </c>
      <c r="QZ8" s="40">
        <f t="shared" si="151"/>
        <v>48.900000000000006</v>
      </c>
      <c r="RA8" s="40" t="str">
        <f t="shared" si="152"/>
        <v/>
      </c>
      <c r="RB8" s="40">
        <f t="shared" si="153"/>
        <v>13.850000000000001</v>
      </c>
      <c r="RC8" s="40">
        <f t="shared" si="154"/>
        <v>48.900000000000006</v>
      </c>
      <c r="RD8" s="40">
        <f t="shared" si="155"/>
        <v>7.8</v>
      </c>
      <c r="RE8" s="40">
        <f t="shared" si="156"/>
        <v>25.249999999999996</v>
      </c>
      <c r="RF8" s="40">
        <f t="shared" si="157"/>
        <v>74.150000000000006</v>
      </c>
    </row>
    <row r="9" spans="1:474" x14ac:dyDescent="0.2">
      <c r="A9" s="4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>6</v>
      </c>
      <c r="B9" s="4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>1</v>
      </c>
      <c r="C9" s="5" t="s">
        <v>97</v>
      </c>
      <c r="D9" s="4" t="s">
        <v>4</v>
      </c>
      <c r="E9" s="4">
        <v>2005</v>
      </c>
      <c r="F9" s="9">
        <f t="shared" si="0"/>
        <v>155.90001053000532</v>
      </c>
      <c r="G9" s="64"/>
      <c r="H9" s="3" t="str">
        <f>IF(OR(AND(AP9&gt;=AW$41,AQ9&gt;=AW$45,AP9&lt;&gt;"",AO9=""),AND(AU9&gt;=AW$41,AV9&gt;=AW$45,AU9&lt;&gt;"",AO9=""),AND(BS9&gt;=BZ$41,BT9&gt;=BZ$45,BS9&lt;&gt;"",BR9=""),AND(BX9&gt;=BZ$41,BY9&gt;=BZ$45,BX9&lt;&gt;"",BR9=""),AND(CV9&gt;=DC$41,CW9&gt;=DC$45,CV9&lt;&gt;"",CU9=""),AND(DA9&gt;=DC$41,DB9&gt;=DC$45,DA9&lt;&gt;""),AND(DZ9&gt;=EG$41,EA9&gt;=EG$45,DZ9&lt;&gt;""),AND(EE9&gt;=EG$41,EF9&gt;=EG$45,EE9&lt;&gt;""),AND(FB9&gt;=FI$41,FC9&gt;=FI$45,FB9&lt;&gt;""),AND(FG9&gt;=FI$41,FH9&gt;=FI$45,FG9&lt;&gt;""),AND(GD9&gt;=GK$41,GE9&gt;=GK$45,GD9&lt;&gt;""),AND(GI9&gt;=GK$41,GJ9&gt;=GK$45,GI9&lt;&gt;""),AND(HF9&gt;=HM$41,HG9&gt;=HM$45,HF9&lt;&gt;""),AND(HK9&gt;=HM$41,HL9&gt;=HM$45,HK9&lt;&gt;""),AND(IH9&gt;=IO$41,II9&gt;=IO$45,IH9&lt;&gt;""),AND(IM9&gt;=IO$41,IN9&gt;=IO$45,IM9&lt;&gt;""),AND(JJ9&gt;=JQ$41,JK9&gt;=JQ$45,JJ9&lt;&gt;""),AND(JO9&gt;=JQ$41,JP9&gt;=JQ$45,JO9&lt;&gt;""),AND(KL9&gt;=KS$41,KM9&gt;=KS$45,KL9&lt;&gt;""),AND(KQ9&gt;=KS$41,KR9&gt;=KS$45,KQ9&lt;&gt;""),AND(LN9&gt;=LU$41,LO9&gt;=LU$45,LN9&lt;&gt;""),AND(LS9&gt;=LU$41,LT9&gt;=LU$45,LS9&lt;&gt;""),AND(MP9&gt;=MW$41,MQ9&gt;=MW$45,MP9&lt;&gt;""),AND(MU9&gt;=MW$41,MV9&gt;=MW$45,MU9&lt;&gt;""),AND(NR9&gt;=NY$41,NS9&gt;=NY$45,NR9&lt;&gt;""),AND(NW9&gt;=NY$41,NX9&gt;=NY$45,NW9&lt;&gt;""),AND(OT9&gt;=PA$41,OU9&gt;=PA$45,OT9&lt;&gt;""),AND(OY9&gt;=PA$41,OZ9&gt;=PA$45,OY9&lt;&gt;""),AND(PV9&gt;=QC$41,PW9&gt;=QC$45,PV9&lt;&gt;""),AND(QA9&gt;=QC$41,QB9&gt;=QC$45,QA9&lt;&gt;"")),"P","")</f>
        <v>P</v>
      </c>
      <c r="I9" s="3" t="str">
        <f>IF(OR(AND(AQ9&gt;=AW$45,AQ9&lt;&gt;"",AO9=""),AND(AV9&gt;=AW$45,AV9&lt;&gt;"",AO9=""),AND(BT9&gt;=BZ$45,BT9&lt;&gt;"",BR9=""),AND(BY9&gt;=BZ$45,BY9&lt;&gt;"",BR9=""),AND(CW9&gt;=DC$45,CW9&lt;&gt;"",CU9=""),AND(DB9&gt;=DC$45,DB9&lt;&gt;"",CU9=""),AND(EA9&gt;=EG$45,EA9&lt;&gt;""),AND(EF9&gt;=EG$45,EF9&lt;&gt;""),AND(FC9&gt;=FI$45,FC9&lt;&gt;""),AND(FH9&gt;=FI$45,FH9&lt;&gt;""),AND(GE9&gt;=GK$45,GE9&lt;&gt;""),AND(GJ9&gt;=GK$45,GJ9&lt;&gt;""),AND(HG9&gt;=HM$45,HG9&lt;&gt;""),AND(HL9&gt;=HM$45,HL9&lt;&gt;""),AND(II9&gt;=IO$45,II9&lt;&gt;""),AND(IN9&gt;=IO$45,IN9&lt;&gt;""),AND(JK9&gt;=JQ$45,JK9&lt;&gt;""),AND(JP9&gt;=JQ$45,JP9&lt;&gt;""),AND(KM9&gt;=KS$45,KM9&lt;&gt;""),AND(KR9&gt;=KS$45,KR9&lt;&gt;""),AND(LO9&gt;=LU$45,LO9&lt;&gt;""),AND(LT9&gt;=LU$45,LT9&lt;&gt;""),AND(MQ9&gt;=MW$45,MQ9&lt;&gt;""),AND(MV9&gt;=MW$45,MV9&lt;&gt;""),AND(NS9&gt;=NY$45,NS9&lt;&gt;""),AND(NX9&gt;=NY$45,NX9&lt;&gt;""),AND(OU9&gt;=PA$45,OU9&lt;&gt;""),AND(OZ9&gt;=PA$45,OZ9&lt;&gt;""),AND(PW9&gt;=QC$45,PW9&lt;&gt;""),AND(QB9&gt;=QC$45,QB9&lt;&gt;"")),"P","")</f>
        <v>P</v>
      </c>
      <c r="J9" s="36" t="str">
        <f>IF(AND(I9="P",H9=""),"No DD",IF(OR(AND(AS9&gt;=AW$44,AT9&gt;=AW$48,AS9&lt;&gt;"",AO9=""),AND(BV9&gt;=BZ$44,BW9&gt;=BZ$48,BV9&lt;&gt;"",BR9=""),AND(CY9&gt;=DC$44,CZ9&gt;=DC$48,CY9&lt;&gt;"",CU9=""),AND(EC9&gt;=EG$44,ED9&gt;=EG$48,EC9&lt;&gt;""),AND(FE9&gt;=FI$44,FF9&gt;=FI$48,FE9&lt;&gt;""),AND(GG9&gt;=GK$44,GH9&gt;=GK$48,GG9&lt;&gt;""),AND(HI9&gt;=HM$44,HJ9&gt;=HM$48,HI9&lt;&gt;""),AND(IK9&gt;=IO$44,IL9&gt;=IO$48,IK9&lt;&gt;""),AND(JM9&gt;=JQ$44,JN9&gt;=JQ$48,JM9&lt;&gt;""),AND(KO9&gt;=KS$44,KP9&gt;=KS$48,KO9&lt;&gt;""),AND(LQ9&gt;=LU$44,LR9&gt;=LU$48,LQ9&lt;&gt;""),AND(MS9&gt;=MW$44,MT9&gt;=MW$48,MS9&lt;&gt;""),AND(NU9&gt;=NY$44,NV9&gt;=NY$48,NU9&lt;&gt;""),AND(OW9&gt;=PA$44,OX9&gt;=PA$48,OW9&lt;&gt;""),AND(PY9&gt;=QC$44,PZ9&gt;=QC$48,PY9&lt;&gt;"")),"Merit",IF(OR(AND(AS9&gt;=AW$43,AT9&gt;=AW$47,AS9&lt;&gt;"",AO9=""),AND(BV9&gt;=BZ$43,BW9&gt;=BZ$47,BV9&lt;&gt;"",BR9=""),AND(CY9&gt;=DC$43,CZ9&gt;=DC$47,CY9&lt;&gt;"",CU9=""),AND(EC9&gt;=EG$43,ED9&gt;=EG$47,EC9&lt;&gt;""),AND(FE9&gt;=FI$43,FF9&gt;=FI$47,FE9&lt;&gt;""),AND(GG9&gt;=GK$43,GH9&gt;=GK$47,GG9&lt;&gt;""),AND(HI9&gt;=HM$43,HJ9&gt;=HM$47,HI9&lt;&gt;""),AND(IK9&gt;=IO$43,IL9&gt;=IO$47,IK9&lt;&gt;""),AND(JM9&gt;=JQ$43,JN9&gt;=JQ$47,JM9&lt;&gt;""),AND(KO9&gt;=KS$43,KP9&gt;=KS$47,KO9&lt;&gt;""),AND(LQ9&gt;=LU$43,LR9&gt;=LU$47,LQ9&lt;&gt;""),AND(MS9&gt;=MW$43,MT9&gt;=MW$47,MS9&lt;&gt;""),AND(NU9&gt;=NY$43,NV9&gt;=NY$47,NU9&lt;&gt;""),AND(OW9&gt;=PA$43,OX9&gt;=PA$47,OW9&lt;&gt;""),AND(PY9&gt;=QC$43,PZ9&gt;=QC$47,PY9&lt;&gt;"")),"Excellence",IF(K9="P","Worlds Team",IF(H9="P","National Team","")))))</f>
        <v>National Team</v>
      </c>
      <c r="K9" s="3" t="str">
        <f>IF(OR(AND(AS9&gt;=AW$42,AT9&gt;=AW$46,AS9&lt;&gt;"",AO9=""),AND(BV9&gt;=BZ$42,BW9&gt;=BZ$46,BV9&lt;&gt;"",BR9=""),AND(CY9&gt;=DC$42,CZ9&gt;=DC$46,CY9&lt;&gt;"",CU9=""),AND(EC9&gt;=EG$42,ED9&gt;=EG$46,EC9&lt;&gt;""),AND(FE9&gt;=FI$42,FF9&gt;=FI$46,FE9&lt;&gt;""),AND(GG9&gt;=GK$42,GH9&gt;=GK$46,GG9&lt;&gt;""),AND(HI9&gt;=HM$42,HJ9&gt;=HM$46,HI9&lt;&gt;""),AND(IK9&gt;=IO$42,IL9&gt;=IO$46,IK9&lt;&gt;""),AND(JM9&gt;=JQ$42,JN9&gt;=JQ$46,JM9&lt;&gt;""),AND(KO9&gt;=KS$42,KP9&gt;=KS$46,KO9&lt;&gt;""),AND(LQ9&gt;=LU$42,LR9&gt;=LU$46,LQ9&lt;&gt;""),AND(MS9&gt;=MW$42,MT9&gt;=MW$46,MS9&lt;&gt;""),AND(NU9&gt;=NY$42,NV9&gt;=NY$46,NU9&lt;&gt;""),AND(OW9&gt;=PA$42,OX9&gt;=PA$46,OW9&lt;&gt;""),AND(PY9&gt;=QC$42,PZ9&gt;=QC$46,PY9&lt;&gt;"")),"P","")</f>
        <v/>
      </c>
      <c r="L9" s="8">
        <f>IF(COUNT(AQ9,BT9,CW9)&gt;0,LARGE((AQ9,BT9,CW9),1),0)</f>
        <v>53.1</v>
      </c>
      <c r="M9" s="8" t="str">
        <f t="shared" si="1"/>
        <v>2024 3rd Domestic Trial</v>
      </c>
      <c r="N9" s="8">
        <f>IF(COUNT(AQ9,BT9,CW9)&gt;1,LARGE((AQ9,BT9,CW9),2),0)</f>
        <v>52.199999999999996</v>
      </c>
      <c r="O9" s="8" t="str">
        <f t="shared" si="2"/>
        <v>2025 Nationals</v>
      </c>
      <c r="P9" s="8">
        <f t="shared" si="3"/>
        <v>50.6</v>
      </c>
      <c r="Q9" s="8" t="str">
        <f t="shared" si="4"/>
        <v>2024 3rd Domestic Trial</v>
      </c>
      <c r="R9" s="8" t="str">
        <f t="shared" si="5"/>
        <v/>
      </c>
      <c r="S9" s="11" t="str">
        <f t="shared" si="6"/>
        <v/>
      </c>
      <c r="T9" s="8" t="str">
        <f t="shared" si="7"/>
        <v/>
      </c>
      <c r="U9" s="19">
        <v>18.899999999999999</v>
      </c>
      <c r="V9" s="19">
        <v>7.7</v>
      </c>
      <c r="W9" s="19">
        <v>0</v>
      </c>
      <c r="X9" s="19">
        <v>0.3</v>
      </c>
      <c r="Y9" s="19">
        <v>19</v>
      </c>
      <c r="Z9" s="19">
        <v>7.2</v>
      </c>
      <c r="AA9" s="19">
        <v>0</v>
      </c>
      <c r="AB9" s="19">
        <v>0</v>
      </c>
      <c r="AC9" s="19">
        <v>18.600000000000001</v>
      </c>
      <c r="AD9" s="19">
        <v>7.2</v>
      </c>
      <c r="AE9" s="19">
        <v>0.6</v>
      </c>
      <c r="AF9" s="19">
        <v>0</v>
      </c>
      <c r="AG9" s="19">
        <v>18.5</v>
      </c>
      <c r="AH9" s="19">
        <v>6.9</v>
      </c>
      <c r="AI9" s="19">
        <v>0.2</v>
      </c>
      <c r="AJ9" s="19">
        <v>0</v>
      </c>
      <c r="AK9" s="19">
        <v>18.399999999999999</v>
      </c>
      <c r="AL9" s="19">
        <v>7.2</v>
      </c>
      <c r="AM9" s="19">
        <v>0.2</v>
      </c>
      <c r="AN9" s="19">
        <v>0</v>
      </c>
      <c r="AO9" s="27"/>
      <c r="AP9" s="40">
        <f t="shared" si="8"/>
        <v>14.9</v>
      </c>
      <c r="AQ9" s="40">
        <f t="shared" si="9"/>
        <v>53.1</v>
      </c>
      <c r="AR9" s="40">
        <f t="shared" si="10"/>
        <v>25.2</v>
      </c>
      <c r="AS9" s="40">
        <f t="shared" si="11"/>
        <v>22.1</v>
      </c>
      <c r="AT9" s="40">
        <f t="shared" si="12"/>
        <v>78.3</v>
      </c>
      <c r="AU9" s="40">
        <f t="shared" si="13"/>
        <v>14.100000000000001</v>
      </c>
      <c r="AV9" s="40">
        <f t="shared" si="14"/>
        <v>50.6</v>
      </c>
      <c r="AW9" s="40">
        <f t="shared" si="15"/>
        <v>128.9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16"/>
        <v/>
      </c>
      <c r="BT9" s="11" t="str">
        <f t="shared" si="17"/>
        <v/>
      </c>
      <c r="BU9" s="11" t="str">
        <f t="shared" si="18"/>
        <v/>
      </c>
      <c r="BV9" s="11" t="str">
        <f t="shared" si="19"/>
        <v/>
      </c>
      <c r="BW9" s="11" t="str">
        <f t="shared" si="20"/>
        <v/>
      </c>
      <c r="BX9" s="11" t="str">
        <f t="shared" si="21"/>
        <v/>
      </c>
      <c r="BY9" s="11" t="str">
        <f t="shared" si="22"/>
        <v/>
      </c>
      <c r="BZ9" s="11" t="str">
        <f t="shared" si="23"/>
        <v/>
      </c>
      <c r="CA9" s="19">
        <v>18.8</v>
      </c>
      <c r="CB9" s="19">
        <v>8.4</v>
      </c>
      <c r="CC9" s="19">
        <v>0</v>
      </c>
      <c r="CD9" s="19">
        <v>0</v>
      </c>
      <c r="CE9" s="19">
        <v>16.8</v>
      </c>
      <c r="CF9" s="19">
        <v>8.1</v>
      </c>
      <c r="CG9" s="19">
        <v>0.2</v>
      </c>
      <c r="CH9" s="19">
        <v>0.3</v>
      </c>
      <c r="CI9" s="19"/>
      <c r="CJ9" s="19"/>
      <c r="CK9" s="19"/>
      <c r="CL9" s="19"/>
      <c r="CM9" s="19">
        <v>16.3</v>
      </c>
      <c r="CN9" s="19">
        <v>7.6</v>
      </c>
      <c r="CO9" s="19">
        <v>1</v>
      </c>
      <c r="CP9" s="19">
        <v>0</v>
      </c>
      <c r="CQ9" s="19">
        <v>18.399999999999999</v>
      </c>
      <c r="CR9" s="19">
        <v>8.1</v>
      </c>
      <c r="CS9" s="19">
        <v>0.2</v>
      </c>
      <c r="CT9" s="19">
        <v>0.3</v>
      </c>
      <c r="CU9" s="27"/>
      <c r="CV9" s="40">
        <f t="shared" si="24"/>
        <v>16.5</v>
      </c>
      <c r="CW9" s="40">
        <f t="shared" si="25"/>
        <v>52.199999999999996</v>
      </c>
      <c r="CX9" s="40" t="str">
        <f t="shared" si="26"/>
        <v/>
      </c>
      <c r="CY9" s="40">
        <f t="shared" si="27"/>
        <v>16.5</v>
      </c>
      <c r="CZ9" s="40">
        <f t="shared" si="28"/>
        <v>52.199999999999996</v>
      </c>
      <c r="DA9" s="40">
        <f t="shared" si="29"/>
        <v>15.7</v>
      </c>
      <c r="DB9" s="40">
        <f t="shared" si="30"/>
        <v>49.499999999999993</v>
      </c>
      <c r="DC9" s="40">
        <f t="shared" si="31"/>
        <v>101.69999999999999</v>
      </c>
      <c r="DD9" s="50" t="str">
        <f t="shared" si="32"/>
        <v/>
      </c>
      <c r="DE9" s="50" t="str">
        <f t="shared" si="33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4"/>
        <v/>
      </c>
      <c r="EA9" s="40" t="str">
        <f t="shared" si="35"/>
        <v/>
      </c>
      <c r="EB9" s="40" t="str">
        <f t="shared" si="36"/>
        <v/>
      </c>
      <c r="EC9" s="40" t="str">
        <f t="shared" si="37"/>
        <v/>
      </c>
      <c r="ED9" s="40" t="str">
        <f t="shared" si="38"/>
        <v/>
      </c>
      <c r="EE9" s="40" t="str">
        <f t="shared" si="39"/>
        <v/>
      </c>
      <c r="EF9" s="40" t="str">
        <f t="shared" si="40"/>
        <v/>
      </c>
      <c r="EG9" s="40" t="str">
        <f t="shared" si="41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2"/>
        <v/>
      </c>
      <c r="FC9" s="11" t="str">
        <f t="shared" si="43"/>
        <v/>
      </c>
      <c r="FD9" s="11" t="str">
        <f t="shared" si="44"/>
        <v/>
      </c>
      <c r="FE9" s="11" t="str">
        <f t="shared" si="45"/>
        <v/>
      </c>
      <c r="FF9" s="11" t="str">
        <f t="shared" si="46"/>
        <v/>
      </c>
      <c r="FG9" s="11" t="str">
        <f t="shared" si="47"/>
        <v/>
      </c>
      <c r="FH9" s="11" t="str">
        <f t="shared" si="48"/>
        <v/>
      </c>
      <c r="FI9" s="11" t="str">
        <f t="shared" si="49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0"/>
        <v/>
      </c>
      <c r="GE9" s="40" t="str">
        <f t="shared" si="51"/>
        <v/>
      </c>
      <c r="GF9" s="40" t="str">
        <f t="shared" si="52"/>
        <v/>
      </c>
      <c r="GG9" s="40" t="str">
        <f t="shared" si="53"/>
        <v/>
      </c>
      <c r="GH9" s="40" t="str">
        <f t="shared" si="54"/>
        <v/>
      </c>
      <c r="GI9" s="40" t="str">
        <f t="shared" si="55"/>
        <v/>
      </c>
      <c r="GJ9" s="40" t="str">
        <f t="shared" si="56"/>
        <v/>
      </c>
      <c r="GK9" s="40" t="str">
        <f t="shared" si="57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58"/>
        <v/>
      </c>
      <c r="HG9" s="11" t="str">
        <f t="shared" si="59"/>
        <v/>
      </c>
      <c r="HH9" s="11" t="str">
        <f t="shared" si="60"/>
        <v/>
      </c>
      <c r="HI9" s="11" t="str">
        <f t="shared" si="61"/>
        <v/>
      </c>
      <c r="HJ9" s="11" t="str">
        <f t="shared" si="62"/>
        <v/>
      </c>
      <c r="HK9" s="11" t="str">
        <f t="shared" si="63"/>
        <v/>
      </c>
      <c r="HL9" s="11" t="str">
        <f t="shared" si="64"/>
        <v/>
      </c>
      <c r="HM9" s="11" t="str">
        <f t="shared" si="65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6"/>
        <v/>
      </c>
      <c r="II9" s="40" t="str">
        <f t="shared" si="67"/>
        <v/>
      </c>
      <c r="IJ9" s="40" t="str">
        <f t="shared" si="68"/>
        <v/>
      </c>
      <c r="IK9" s="40" t="str">
        <f t="shared" si="69"/>
        <v/>
      </c>
      <c r="IL9" s="40" t="str">
        <f t="shared" si="70"/>
        <v/>
      </c>
      <c r="IM9" s="40" t="str">
        <f t="shared" si="71"/>
        <v/>
      </c>
      <c r="IN9" s="40" t="str">
        <f t="shared" si="72"/>
        <v/>
      </c>
      <c r="IO9" s="40" t="str">
        <f t="shared" si="73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4"/>
        <v/>
      </c>
      <c r="JK9" s="11" t="str">
        <f t="shared" si="75"/>
        <v/>
      </c>
      <c r="JL9" s="11" t="str">
        <f t="shared" si="76"/>
        <v/>
      </c>
      <c r="JM9" s="11" t="str">
        <f t="shared" si="77"/>
        <v/>
      </c>
      <c r="JN9" s="11" t="str">
        <f t="shared" si="78"/>
        <v/>
      </c>
      <c r="JO9" s="11" t="str">
        <f t="shared" si="79"/>
        <v/>
      </c>
      <c r="JP9" s="11" t="str">
        <f t="shared" si="80"/>
        <v/>
      </c>
      <c r="JQ9" s="11" t="str">
        <f t="shared" si="81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2"/>
        <v/>
      </c>
      <c r="KM9" s="40" t="str">
        <f t="shared" si="83"/>
        <v/>
      </c>
      <c r="KN9" s="40" t="str">
        <f t="shared" si="84"/>
        <v/>
      </c>
      <c r="KO9" s="40" t="str">
        <f t="shared" si="85"/>
        <v/>
      </c>
      <c r="KP9" s="40" t="str">
        <f t="shared" si="86"/>
        <v/>
      </c>
      <c r="KQ9" s="40" t="str">
        <f t="shared" si="87"/>
        <v/>
      </c>
      <c r="KR9" s="40" t="str">
        <f t="shared" si="88"/>
        <v/>
      </c>
      <c r="KS9" s="40" t="str">
        <f t="shared" si="89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0"/>
        <v/>
      </c>
      <c r="LO9" s="11" t="str">
        <f t="shared" si="91"/>
        <v/>
      </c>
      <c r="LP9" s="11" t="str">
        <f t="shared" si="92"/>
        <v/>
      </c>
      <c r="LQ9" s="11" t="str">
        <f t="shared" si="93"/>
        <v/>
      </c>
      <c r="LR9" s="11" t="str">
        <f t="shared" si="94"/>
        <v/>
      </c>
      <c r="LS9" s="11" t="str">
        <f t="shared" si="95"/>
        <v/>
      </c>
      <c r="LT9" s="11" t="str">
        <f t="shared" si="96"/>
        <v/>
      </c>
      <c r="LU9" s="11" t="str">
        <f t="shared" si="97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98"/>
        <v/>
      </c>
      <c r="MQ9" s="40" t="str">
        <f t="shared" si="99"/>
        <v/>
      </c>
      <c r="MR9" s="40" t="str">
        <f t="shared" si="100"/>
        <v/>
      </c>
      <c r="MS9" s="40" t="str">
        <f t="shared" si="101"/>
        <v/>
      </c>
      <c r="MT9" s="40" t="str">
        <f t="shared" si="102"/>
        <v/>
      </c>
      <c r="MU9" s="40" t="str">
        <f t="shared" si="103"/>
        <v/>
      </c>
      <c r="MV9" s="40" t="str">
        <f t="shared" si="104"/>
        <v/>
      </c>
      <c r="MW9" s="40" t="str">
        <f t="shared" si="105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6"/>
        <v/>
      </c>
      <c r="NS9" s="11" t="str">
        <f t="shared" si="107"/>
        <v/>
      </c>
      <c r="NT9" s="11" t="str">
        <f t="shared" si="108"/>
        <v/>
      </c>
      <c r="NU9" s="11" t="str">
        <f t="shared" si="109"/>
        <v/>
      </c>
      <c r="NV9" s="11" t="str">
        <f t="shared" si="110"/>
        <v/>
      </c>
      <c r="NW9" s="11" t="str">
        <f t="shared" si="111"/>
        <v/>
      </c>
      <c r="NX9" s="11" t="str">
        <f t="shared" si="112"/>
        <v/>
      </c>
      <c r="NY9" s="11" t="str">
        <f t="shared" si="113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4"/>
        <v/>
      </c>
      <c r="OU9" s="40" t="str">
        <f t="shared" si="115"/>
        <v/>
      </c>
      <c r="OV9" s="40" t="str">
        <f t="shared" si="116"/>
        <v/>
      </c>
      <c r="OW9" s="40" t="str">
        <f t="shared" si="117"/>
        <v/>
      </c>
      <c r="OX9" s="40" t="str">
        <f t="shared" si="118"/>
        <v/>
      </c>
      <c r="OY9" s="40" t="str">
        <f t="shared" si="119"/>
        <v/>
      </c>
      <c r="OZ9" s="40" t="str">
        <f t="shared" si="120"/>
        <v/>
      </c>
      <c r="PA9" s="40" t="str">
        <f t="shared" si="121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2"/>
        <v/>
      </c>
      <c r="PW9" s="11" t="str">
        <f t="shared" si="123"/>
        <v/>
      </c>
      <c r="PX9" s="11" t="str">
        <f t="shared" si="124"/>
        <v/>
      </c>
      <c r="PY9" s="11" t="str">
        <f t="shared" si="125"/>
        <v/>
      </c>
      <c r="PZ9" s="11" t="str">
        <f t="shared" si="126"/>
        <v/>
      </c>
      <c r="QA9" s="11" t="str">
        <f t="shared" si="127"/>
        <v/>
      </c>
      <c r="QB9" s="11" t="str">
        <f t="shared" si="128"/>
        <v/>
      </c>
      <c r="QC9" s="11" t="str">
        <f t="shared" si="129"/>
        <v/>
      </c>
      <c r="QD9" s="22">
        <f t="shared" si="130"/>
        <v>9.4</v>
      </c>
      <c r="QE9" s="22">
        <f t="shared" si="131"/>
        <v>4.2</v>
      </c>
      <c r="QF9" s="22">
        <f t="shared" si="132"/>
        <v>0</v>
      </c>
      <c r="QG9" s="22">
        <f t="shared" si="133"/>
        <v>0</v>
      </c>
      <c r="QH9" s="22">
        <f t="shared" si="134"/>
        <v>8.4</v>
      </c>
      <c r="QI9" s="22">
        <f t="shared" si="135"/>
        <v>4.05</v>
      </c>
      <c r="QJ9" s="22">
        <f t="shared" si="136"/>
        <v>0.1</v>
      </c>
      <c r="QK9" s="22">
        <f t="shared" si="137"/>
        <v>0.15</v>
      </c>
      <c r="QL9" s="22">
        <f t="shared" si="138"/>
        <v>0</v>
      </c>
      <c r="QM9" s="22">
        <f t="shared" si="139"/>
        <v>0</v>
      </c>
      <c r="QN9" s="22">
        <f t="shared" si="140"/>
        <v>0</v>
      </c>
      <c r="QO9" s="22">
        <f t="shared" si="141"/>
        <v>0</v>
      </c>
      <c r="QP9" s="22">
        <f t="shared" si="142"/>
        <v>8.15</v>
      </c>
      <c r="QQ9" s="22">
        <f t="shared" si="143"/>
        <v>3.8</v>
      </c>
      <c r="QR9" s="22">
        <f t="shared" si="144"/>
        <v>0.5</v>
      </c>
      <c r="QS9" s="22">
        <f t="shared" si="145"/>
        <v>0</v>
      </c>
      <c r="QT9" s="22">
        <f t="shared" si="146"/>
        <v>9.1999999999999993</v>
      </c>
      <c r="QU9" s="22">
        <f t="shared" si="147"/>
        <v>4.05</v>
      </c>
      <c r="QV9" s="22">
        <f t="shared" si="148"/>
        <v>0.1</v>
      </c>
      <c r="QW9" s="22">
        <f t="shared" si="149"/>
        <v>0.15</v>
      </c>
      <c r="QX9" s="27" t="s">
        <v>46</v>
      </c>
      <c r="QY9" s="40">
        <f t="shared" si="150"/>
        <v>8.25</v>
      </c>
      <c r="QZ9" s="40">
        <f t="shared" si="151"/>
        <v>26.099999999999998</v>
      </c>
      <c r="RA9" s="40" t="str">
        <f t="shared" si="152"/>
        <v/>
      </c>
      <c r="RB9" s="40">
        <f t="shared" si="153"/>
        <v>8.25</v>
      </c>
      <c r="RC9" s="40">
        <f t="shared" si="154"/>
        <v>26.099999999999998</v>
      </c>
      <c r="RD9" s="40">
        <f t="shared" si="155"/>
        <v>7.85</v>
      </c>
      <c r="RE9" s="40">
        <f t="shared" si="156"/>
        <v>24.749999999999996</v>
      </c>
      <c r="RF9" s="40">
        <f t="shared" si="157"/>
        <v>50.849999999999994</v>
      </c>
    </row>
    <row r="10" spans="1:474" x14ac:dyDescent="0.2">
      <c r="A10" s="4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>7</v>
      </c>
      <c r="B10" s="4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>2</v>
      </c>
      <c r="C10" s="5" t="s">
        <v>135</v>
      </c>
      <c r="D10" s="4" t="s">
        <v>5</v>
      </c>
      <c r="E10" s="4">
        <v>2007</v>
      </c>
      <c r="F10" s="9">
        <f t="shared" si="0"/>
        <v>154.10000961000503</v>
      </c>
      <c r="G10" s="64"/>
      <c r="H10" s="3" t="str">
        <f>IF(OR(AND(AP10&gt;=AW$41,AQ10&gt;=AW$45,AP10&lt;&gt;"",AO10=""),AND(AU10&gt;=AW$41,AV10&gt;=AW$45,AU10&lt;&gt;"",AO10=""),AND(BS10&gt;=BZ$41,BT10&gt;=BZ$45,BS10&lt;&gt;"",BR10=""),AND(BX10&gt;=BZ$41,BY10&gt;=BZ$45,BX10&lt;&gt;"",BR10=""),AND(CV10&gt;=DC$41,CW10&gt;=DC$45,CV10&lt;&gt;"",CU10=""),AND(DA10&gt;=DC$41,DB10&gt;=DC$45,DA10&lt;&gt;""),AND(DZ10&gt;=EG$41,EA10&gt;=EG$45,DZ10&lt;&gt;""),AND(EE10&gt;=EG$41,EF10&gt;=EG$45,EE10&lt;&gt;""),AND(FB10&gt;=FI$41,FC10&gt;=FI$45,FB10&lt;&gt;""),AND(FG10&gt;=FI$41,FH10&gt;=FI$45,FG10&lt;&gt;""),AND(GD10&gt;=GK$41,GE10&gt;=GK$45,GD10&lt;&gt;""),AND(GI10&gt;=GK$41,GJ10&gt;=GK$45,GI10&lt;&gt;""),AND(HF10&gt;=HM$41,HG10&gt;=HM$45,HF10&lt;&gt;""),AND(HK10&gt;=HM$41,HL10&gt;=HM$45,HK10&lt;&gt;""),AND(IH10&gt;=IO$41,II10&gt;=IO$45,IH10&lt;&gt;""),AND(IM10&gt;=IO$41,IN10&gt;=IO$45,IM10&lt;&gt;""),AND(JJ10&gt;=JQ$41,JK10&gt;=JQ$45,JJ10&lt;&gt;""),AND(JO10&gt;=JQ$41,JP10&gt;=JQ$45,JO10&lt;&gt;""),AND(KL10&gt;=KS$41,KM10&gt;=KS$45,KL10&lt;&gt;""),AND(KQ10&gt;=KS$41,KR10&gt;=KS$45,KQ10&lt;&gt;""),AND(LN10&gt;=LU$41,LO10&gt;=LU$45,LN10&lt;&gt;""),AND(LS10&gt;=LU$41,LT10&gt;=LU$45,LS10&lt;&gt;""),AND(MP10&gt;=MW$41,MQ10&gt;=MW$45,MP10&lt;&gt;""),AND(MU10&gt;=MW$41,MV10&gt;=MW$45,MU10&lt;&gt;""),AND(NR10&gt;=NY$41,NS10&gt;=NY$45,NR10&lt;&gt;""),AND(NW10&gt;=NY$41,NX10&gt;=NY$45,NW10&lt;&gt;""),AND(OT10&gt;=PA$41,OU10&gt;=PA$45,OT10&lt;&gt;""),AND(OY10&gt;=PA$41,OZ10&gt;=PA$45,OY10&lt;&gt;""),AND(PV10&gt;=QC$41,PW10&gt;=QC$45,PV10&lt;&gt;""),AND(QA10&gt;=QC$41,QB10&gt;=QC$45,QA10&lt;&gt;"")),"P","")</f>
        <v>P</v>
      </c>
      <c r="I10" s="3" t="str">
        <f>IF(OR(AND(AQ10&gt;=AW$45,AQ10&lt;&gt;"",AO10=""),AND(AV10&gt;=AW$45,AV10&lt;&gt;"",AO10=""),AND(BT10&gt;=BZ$45,BT10&lt;&gt;"",BR10=""),AND(BY10&gt;=BZ$45,BY10&lt;&gt;"",BR10=""),AND(CW10&gt;=DC$45,CW10&lt;&gt;"",CU10=""),AND(DB10&gt;=DC$45,DB10&lt;&gt;"",CU10=""),AND(EA10&gt;=EG$45,EA10&lt;&gt;""),AND(EF10&gt;=EG$45,EF10&lt;&gt;""),AND(FC10&gt;=FI$45,FC10&lt;&gt;""),AND(FH10&gt;=FI$45,FH10&lt;&gt;""),AND(GE10&gt;=GK$45,GE10&lt;&gt;""),AND(GJ10&gt;=GK$45,GJ10&lt;&gt;""),AND(HG10&gt;=HM$45,HG10&lt;&gt;""),AND(HL10&gt;=HM$45,HL10&lt;&gt;""),AND(II10&gt;=IO$45,II10&lt;&gt;""),AND(IN10&gt;=IO$45,IN10&lt;&gt;""),AND(JK10&gt;=JQ$45,JK10&lt;&gt;""),AND(JP10&gt;=JQ$45,JP10&lt;&gt;""),AND(KM10&gt;=KS$45,KM10&lt;&gt;""),AND(KR10&gt;=KS$45,KR10&lt;&gt;""),AND(LO10&gt;=LU$45,LO10&lt;&gt;""),AND(LT10&gt;=LU$45,LT10&lt;&gt;""),AND(MQ10&gt;=MW$45,MQ10&lt;&gt;""),AND(MV10&gt;=MW$45,MV10&lt;&gt;""),AND(NS10&gt;=NY$45,NS10&lt;&gt;""),AND(NX10&gt;=NY$45,NX10&lt;&gt;""),AND(OU10&gt;=PA$45,OU10&lt;&gt;""),AND(OZ10&gt;=PA$45,OZ10&lt;&gt;""),AND(PW10&gt;=QC$45,PW10&lt;&gt;""),AND(QB10&gt;=QC$45,QB10&lt;&gt;"")),"P","")</f>
        <v>P</v>
      </c>
      <c r="J10" s="36" t="str">
        <f>IF(AND(I10="P",H10=""),"No DD",IF(OR(AND(AS10&gt;=AW$44,AT10&gt;=AW$48,AS10&lt;&gt;"",AO10=""),AND(BV10&gt;=BZ$44,BW10&gt;=BZ$48,BV10&lt;&gt;"",BR10=""),AND(CY10&gt;=DC$44,CZ10&gt;=DC$48,CY10&lt;&gt;"",CU10=""),AND(EC10&gt;=EG$44,ED10&gt;=EG$48,EC10&lt;&gt;""),AND(FE10&gt;=FI$44,FF10&gt;=FI$48,FE10&lt;&gt;""),AND(GG10&gt;=GK$44,GH10&gt;=GK$48,GG10&lt;&gt;""),AND(HI10&gt;=HM$44,HJ10&gt;=HM$48,HI10&lt;&gt;""),AND(IK10&gt;=IO$44,IL10&gt;=IO$48,IK10&lt;&gt;""),AND(JM10&gt;=JQ$44,JN10&gt;=JQ$48,JM10&lt;&gt;""),AND(KO10&gt;=KS$44,KP10&gt;=KS$48,KO10&lt;&gt;""),AND(LQ10&gt;=LU$44,LR10&gt;=LU$48,LQ10&lt;&gt;""),AND(MS10&gt;=MW$44,MT10&gt;=MW$48,MS10&lt;&gt;""),AND(NU10&gt;=NY$44,NV10&gt;=NY$48,NU10&lt;&gt;""),AND(OW10&gt;=PA$44,OX10&gt;=PA$48,OW10&lt;&gt;""),AND(PY10&gt;=QC$44,PZ10&gt;=QC$48,PY10&lt;&gt;"")),"Merit",IF(OR(AND(AS10&gt;=AW$43,AT10&gt;=AW$47,AS10&lt;&gt;"",AO10=""),AND(BV10&gt;=BZ$43,BW10&gt;=BZ$47,BV10&lt;&gt;"",BR10=""),AND(CY10&gt;=DC$43,CZ10&gt;=DC$47,CY10&lt;&gt;"",CU10=""),AND(EC10&gt;=EG$43,ED10&gt;=EG$47,EC10&lt;&gt;""),AND(FE10&gt;=FI$43,FF10&gt;=FI$47,FE10&lt;&gt;""),AND(GG10&gt;=GK$43,GH10&gt;=GK$47,GG10&lt;&gt;""),AND(HI10&gt;=HM$43,HJ10&gt;=HM$47,HI10&lt;&gt;""),AND(IK10&gt;=IO$43,IL10&gt;=IO$47,IK10&lt;&gt;""),AND(JM10&gt;=JQ$43,JN10&gt;=JQ$47,JM10&lt;&gt;""),AND(KO10&gt;=KS$43,KP10&gt;=KS$47,KO10&lt;&gt;""),AND(LQ10&gt;=LU$43,LR10&gt;=LU$47,LQ10&lt;&gt;""),AND(MS10&gt;=MW$43,MT10&gt;=MW$47,MS10&lt;&gt;""),AND(NU10&gt;=NY$43,NV10&gt;=NY$47,NU10&lt;&gt;""),AND(OW10&gt;=PA$43,OX10&gt;=PA$47,OW10&lt;&gt;""),AND(PY10&gt;=QC$43,PZ10&gt;=QC$47,PY10&lt;&gt;"")),"Excellence",IF(K10="P","Worlds Team",IF(H10="P","National Team","")))))</f>
        <v>National Team</v>
      </c>
      <c r="K10" s="3" t="str">
        <f>IF(OR(AND(AS10&gt;=AW$42,AT10&gt;=AW$46,AS10&lt;&gt;"",AO10=""),AND(BV10&gt;=BZ$42,BW10&gt;=BZ$46,BV10&lt;&gt;"",BR10=""),AND(CY10&gt;=DC$42,CZ10&gt;=DC$46,CY10&lt;&gt;"",CU10=""),AND(EC10&gt;=EG$42,ED10&gt;=EG$46,EC10&lt;&gt;""),AND(FE10&gt;=FI$42,FF10&gt;=FI$46,FE10&lt;&gt;""),AND(GG10&gt;=GK$42,GH10&gt;=GK$46,GG10&lt;&gt;""),AND(HI10&gt;=HM$42,HJ10&gt;=HM$46,HI10&lt;&gt;""),AND(IK10&gt;=IO$42,IL10&gt;=IO$46,IK10&lt;&gt;""),AND(JM10&gt;=JQ$42,JN10&gt;=JQ$46,JM10&lt;&gt;""),AND(KO10&gt;=KS$42,KP10&gt;=KS$46,KO10&lt;&gt;""),AND(LQ10&gt;=LU$42,LR10&gt;=LU$46,LQ10&lt;&gt;""),AND(MS10&gt;=MW$42,MT10&gt;=MW$46,MS10&lt;&gt;""),AND(NU10&gt;=NY$42,NV10&gt;=NY$46,NU10&lt;&gt;""),AND(OW10&gt;=PA$42,OX10&gt;=PA$46,OW10&lt;&gt;""),AND(PY10&gt;=QC$42,PZ10&gt;=QC$46,PY10&lt;&gt;"")),"P","")</f>
        <v/>
      </c>
      <c r="L10" s="8">
        <f>IF(COUNT(AQ10,BT10,CW10)&gt;0,LARGE((AQ10,BT10,CW10),1),0)</f>
        <v>49.999999999999993</v>
      </c>
      <c r="M10" s="8" t="str">
        <f t="shared" si="1"/>
        <v>2025 Elite Canada</v>
      </c>
      <c r="N10" s="8">
        <f>IF(COUNT(AQ10,BT10,CW10)&gt;1,LARGE((AQ10,BT10,CW10),2),0)</f>
        <v>46.099999999999994</v>
      </c>
      <c r="O10" s="8" t="str">
        <f t="shared" si="2"/>
        <v>2025 Nationals</v>
      </c>
      <c r="P10" s="8">
        <f t="shared" si="3"/>
        <v>50.800000000000004</v>
      </c>
      <c r="Q10" s="8" t="str">
        <f t="shared" si="4"/>
        <v>2025 Elite Canada</v>
      </c>
      <c r="R10" s="8">
        <f t="shared" si="5"/>
        <v>7.2000000000000028</v>
      </c>
      <c r="S10" s="11" t="str">
        <f t="shared" si="6"/>
        <v>(Q1)</v>
      </c>
      <c r="T10" s="8" t="str">
        <f t="shared" si="7"/>
        <v>2024 Coimbra Gym Fest (July 7)</v>
      </c>
      <c r="U10" s="19">
        <v>0</v>
      </c>
      <c r="V10" s="19">
        <v>0</v>
      </c>
      <c r="W10" s="19">
        <v>0</v>
      </c>
      <c r="X10" s="19">
        <v>0</v>
      </c>
      <c r="Y10" s="19">
        <v>17.600000000000001</v>
      </c>
      <c r="Z10" s="19">
        <v>4</v>
      </c>
      <c r="AA10" s="19">
        <v>0</v>
      </c>
      <c r="AB10" s="19">
        <v>0</v>
      </c>
      <c r="AC10" s="19">
        <v>18.399999999999999</v>
      </c>
      <c r="AD10" s="19">
        <v>6</v>
      </c>
      <c r="AE10" s="19">
        <v>0.6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 t="shared" si="8"/>
        <v>4</v>
      </c>
      <c r="AQ10" s="40">
        <f t="shared" si="9"/>
        <v>21.6</v>
      </c>
      <c r="AR10" s="40">
        <f t="shared" si="10"/>
        <v>23.799999999999997</v>
      </c>
      <c r="AS10" s="40">
        <f t="shared" si="11"/>
        <v>10</v>
      </c>
      <c r="AT10" s="40">
        <f t="shared" si="12"/>
        <v>45.4</v>
      </c>
      <c r="AU10" s="40" t="str">
        <f t="shared" si="13"/>
        <v/>
      </c>
      <c r="AV10" s="40" t="str">
        <f t="shared" si="14"/>
        <v/>
      </c>
      <c r="AW10" s="40">
        <f t="shared" si="15"/>
        <v>45.4</v>
      </c>
      <c r="AX10" s="18">
        <v>18.899999999999999</v>
      </c>
      <c r="AY10" s="18">
        <v>6.4</v>
      </c>
      <c r="AZ10" s="18">
        <v>0.4</v>
      </c>
      <c r="BA10" s="18">
        <v>0</v>
      </c>
      <c r="BB10" s="18">
        <v>18.600000000000001</v>
      </c>
      <c r="BC10" s="18">
        <v>6.8</v>
      </c>
      <c r="BD10" s="18">
        <v>0.6</v>
      </c>
      <c r="BE10" s="18">
        <v>0.3</v>
      </c>
      <c r="BF10" s="18"/>
      <c r="BG10" s="18"/>
      <c r="BH10" s="18"/>
      <c r="BI10" s="18"/>
      <c r="BJ10" s="18">
        <v>16.8</v>
      </c>
      <c r="BK10" s="18">
        <v>9.3000000000000007</v>
      </c>
      <c r="BL10" s="18">
        <v>1</v>
      </c>
      <c r="BM10" s="18">
        <v>0.3</v>
      </c>
      <c r="BN10" s="18">
        <v>18.7</v>
      </c>
      <c r="BO10" s="18">
        <v>7.2</v>
      </c>
      <c r="BP10" s="18">
        <v>0.8</v>
      </c>
      <c r="BQ10" s="18">
        <v>0.3</v>
      </c>
      <c r="BR10" s="28"/>
      <c r="BS10" s="11">
        <f t="shared" si="16"/>
        <v>13.2</v>
      </c>
      <c r="BT10" s="11">
        <f t="shared" si="17"/>
        <v>49.999999999999993</v>
      </c>
      <c r="BU10" s="11" t="str">
        <f t="shared" si="18"/>
        <v/>
      </c>
      <c r="BV10" s="11">
        <f t="shared" si="19"/>
        <v>13.2</v>
      </c>
      <c r="BW10" s="11">
        <f t="shared" si="20"/>
        <v>49.999999999999993</v>
      </c>
      <c r="BX10" s="11">
        <f t="shared" si="21"/>
        <v>16.5</v>
      </c>
      <c r="BY10" s="11">
        <f t="shared" si="22"/>
        <v>50.800000000000004</v>
      </c>
      <c r="BZ10" s="11">
        <f t="shared" si="23"/>
        <v>100.8</v>
      </c>
      <c r="CA10" s="19">
        <v>18.3</v>
      </c>
      <c r="CB10" s="19">
        <v>9.3000000000000007</v>
      </c>
      <c r="CC10" s="19">
        <v>0.2</v>
      </c>
      <c r="CD10" s="19">
        <v>0.3</v>
      </c>
      <c r="CE10" s="19">
        <v>15.6</v>
      </c>
      <c r="CF10" s="19">
        <v>2.8</v>
      </c>
      <c r="CG10" s="19">
        <v>0</v>
      </c>
      <c r="CH10" s="19">
        <v>0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4"/>
        <v>12.100000000000001</v>
      </c>
      <c r="CW10" s="40">
        <f t="shared" si="25"/>
        <v>46.099999999999994</v>
      </c>
      <c r="CX10" s="40" t="str">
        <f t="shared" si="26"/>
        <v/>
      </c>
      <c r="CY10" s="40">
        <f t="shared" si="27"/>
        <v>12.100000000000001</v>
      </c>
      <c r="CZ10" s="40">
        <f t="shared" si="28"/>
        <v>46.099999999999994</v>
      </c>
      <c r="DA10" s="40" t="str">
        <f t="shared" si="29"/>
        <v/>
      </c>
      <c r="DB10" s="40" t="str">
        <f t="shared" si="30"/>
        <v/>
      </c>
      <c r="DC10" s="40">
        <f t="shared" si="31"/>
        <v>46.099999999999994</v>
      </c>
      <c r="DD10" s="50">
        <f t="shared" si="32"/>
        <v>7.2000000000000028</v>
      </c>
      <c r="DE10" s="50" t="str">
        <f t="shared" si="33"/>
        <v/>
      </c>
      <c r="DF10" s="17">
        <v>18.399999999999999</v>
      </c>
      <c r="DG10" s="17">
        <v>8.8000000000000007</v>
      </c>
      <c r="DH10" s="17">
        <v>0.8</v>
      </c>
      <c r="DI10" s="17">
        <v>0</v>
      </c>
      <c r="DJ10" s="17">
        <v>18.399999999999999</v>
      </c>
      <c r="DK10" s="17">
        <v>9.3000000000000007</v>
      </c>
      <c r="DL10" s="17">
        <v>0.8</v>
      </c>
      <c r="DM10" s="17">
        <v>0</v>
      </c>
      <c r="DN10" s="17"/>
      <c r="DO10" s="17"/>
      <c r="DP10" s="17"/>
      <c r="DQ10" s="17"/>
      <c r="DR10" s="17">
        <v>16.5</v>
      </c>
      <c r="DS10" s="17">
        <v>8.5</v>
      </c>
      <c r="DT10" s="17">
        <v>0.6</v>
      </c>
      <c r="DU10" s="17">
        <v>0</v>
      </c>
      <c r="DV10" s="17"/>
      <c r="DW10" s="17"/>
      <c r="DX10" s="17"/>
      <c r="DY10" s="17"/>
      <c r="DZ10" s="40">
        <f t="shared" si="34"/>
        <v>18.100000000000001</v>
      </c>
      <c r="EA10" s="40">
        <f t="shared" si="35"/>
        <v>53.3</v>
      </c>
      <c r="EB10" s="40" t="str">
        <f t="shared" si="36"/>
        <v/>
      </c>
      <c r="EC10" s="40">
        <f t="shared" si="37"/>
        <v>18.100000000000001</v>
      </c>
      <c r="ED10" s="40">
        <f t="shared" si="38"/>
        <v>53.3</v>
      </c>
      <c r="EE10" s="40">
        <f t="shared" si="39"/>
        <v>8.5</v>
      </c>
      <c r="EF10" s="40">
        <f t="shared" si="40"/>
        <v>24.4</v>
      </c>
      <c r="EG10" s="40">
        <f t="shared" si="41"/>
        <v>77.699999999999989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2"/>
        <v/>
      </c>
      <c r="FC10" s="11" t="str">
        <f t="shared" si="43"/>
        <v/>
      </c>
      <c r="FD10" s="11" t="str">
        <f t="shared" si="44"/>
        <v/>
      </c>
      <c r="FE10" s="11" t="str">
        <f t="shared" si="45"/>
        <v/>
      </c>
      <c r="FF10" s="11" t="str">
        <f t="shared" si="46"/>
        <v/>
      </c>
      <c r="FG10" s="11" t="str">
        <f t="shared" si="47"/>
        <v/>
      </c>
      <c r="FH10" s="11" t="str">
        <f t="shared" si="48"/>
        <v/>
      </c>
      <c r="FI10" s="11" t="str">
        <f t="shared" si="49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0"/>
        <v/>
      </c>
      <c r="GE10" s="40" t="str">
        <f t="shared" si="51"/>
        <v/>
      </c>
      <c r="GF10" s="40" t="str">
        <f t="shared" si="52"/>
        <v/>
      </c>
      <c r="GG10" s="40" t="str">
        <f t="shared" si="53"/>
        <v/>
      </c>
      <c r="GH10" s="40" t="str">
        <f t="shared" si="54"/>
        <v/>
      </c>
      <c r="GI10" s="40" t="str">
        <f t="shared" si="55"/>
        <v/>
      </c>
      <c r="GJ10" s="40" t="str">
        <f t="shared" si="56"/>
        <v/>
      </c>
      <c r="GK10" s="40" t="str">
        <f t="shared" si="57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58"/>
        <v/>
      </c>
      <c r="HG10" s="11" t="str">
        <f t="shared" si="59"/>
        <v/>
      </c>
      <c r="HH10" s="11" t="str">
        <f t="shared" si="60"/>
        <v/>
      </c>
      <c r="HI10" s="11" t="str">
        <f t="shared" si="61"/>
        <v/>
      </c>
      <c r="HJ10" s="11" t="str">
        <f t="shared" si="62"/>
        <v/>
      </c>
      <c r="HK10" s="11" t="str">
        <f t="shared" si="63"/>
        <v/>
      </c>
      <c r="HL10" s="11" t="str">
        <f t="shared" si="64"/>
        <v/>
      </c>
      <c r="HM10" s="11" t="str">
        <f t="shared" si="65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6"/>
        <v/>
      </c>
      <c r="II10" s="40" t="str">
        <f t="shared" si="67"/>
        <v/>
      </c>
      <c r="IJ10" s="40" t="str">
        <f t="shared" si="68"/>
        <v/>
      </c>
      <c r="IK10" s="40" t="str">
        <f t="shared" si="69"/>
        <v/>
      </c>
      <c r="IL10" s="40" t="str">
        <f t="shared" si="70"/>
        <v/>
      </c>
      <c r="IM10" s="40" t="str">
        <f t="shared" si="71"/>
        <v/>
      </c>
      <c r="IN10" s="40" t="str">
        <f t="shared" si="72"/>
        <v/>
      </c>
      <c r="IO10" s="40" t="str">
        <f t="shared" si="73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4"/>
        <v/>
      </c>
      <c r="JK10" s="11" t="str">
        <f t="shared" si="75"/>
        <v/>
      </c>
      <c r="JL10" s="11" t="str">
        <f t="shared" si="76"/>
        <v/>
      </c>
      <c r="JM10" s="11" t="str">
        <f t="shared" si="77"/>
        <v/>
      </c>
      <c r="JN10" s="11" t="str">
        <f t="shared" si="78"/>
        <v/>
      </c>
      <c r="JO10" s="11" t="str">
        <f t="shared" si="79"/>
        <v/>
      </c>
      <c r="JP10" s="11" t="str">
        <f t="shared" si="80"/>
        <v/>
      </c>
      <c r="JQ10" s="11" t="str">
        <f t="shared" si="81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2"/>
        <v/>
      </c>
      <c r="KM10" s="40" t="str">
        <f t="shared" si="83"/>
        <v/>
      </c>
      <c r="KN10" s="40" t="str">
        <f t="shared" si="84"/>
        <v/>
      </c>
      <c r="KO10" s="40" t="str">
        <f t="shared" si="85"/>
        <v/>
      </c>
      <c r="KP10" s="40" t="str">
        <f t="shared" si="86"/>
        <v/>
      </c>
      <c r="KQ10" s="40" t="str">
        <f t="shared" si="87"/>
        <v/>
      </c>
      <c r="KR10" s="40" t="str">
        <f t="shared" si="88"/>
        <v/>
      </c>
      <c r="KS10" s="40" t="str">
        <f t="shared" si="89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0"/>
        <v/>
      </c>
      <c r="LO10" s="11" t="str">
        <f t="shared" si="91"/>
        <v/>
      </c>
      <c r="LP10" s="11" t="str">
        <f t="shared" si="92"/>
        <v/>
      </c>
      <c r="LQ10" s="11" t="str">
        <f t="shared" si="93"/>
        <v/>
      </c>
      <c r="LR10" s="11" t="str">
        <f t="shared" si="94"/>
        <v/>
      </c>
      <c r="LS10" s="11" t="str">
        <f t="shared" si="95"/>
        <v/>
      </c>
      <c r="LT10" s="11" t="str">
        <f t="shared" si="96"/>
        <v/>
      </c>
      <c r="LU10" s="11" t="str">
        <f t="shared" si="97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98"/>
        <v/>
      </c>
      <c r="MQ10" s="40" t="str">
        <f t="shared" si="99"/>
        <v/>
      </c>
      <c r="MR10" s="40" t="str">
        <f t="shared" si="100"/>
        <v/>
      </c>
      <c r="MS10" s="40" t="str">
        <f t="shared" si="101"/>
        <v/>
      </c>
      <c r="MT10" s="40" t="str">
        <f t="shared" si="102"/>
        <v/>
      </c>
      <c r="MU10" s="40" t="str">
        <f t="shared" si="103"/>
        <v/>
      </c>
      <c r="MV10" s="40" t="str">
        <f t="shared" si="104"/>
        <v/>
      </c>
      <c r="MW10" s="40" t="str">
        <f t="shared" si="105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6"/>
        <v/>
      </c>
      <c r="NS10" s="11" t="str">
        <f t="shared" si="107"/>
        <v/>
      </c>
      <c r="NT10" s="11" t="str">
        <f t="shared" si="108"/>
        <v/>
      </c>
      <c r="NU10" s="11" t="str">
        <f t="shared" si="109"/>
        <v/>
      </c>
      <c r="NV10" s="11" t="str">
        <f t="shared" si="110"/>
        <v/>
      </c>
      <c r="NW10" s="11" t="str">
        <f t="shared" si="111"/>
        <v/>
      </c>
      <c r="NX10" s="11" t="str">
        <f t="shared" si="112"/>
        <v/>
      </c>
      <c r="NY10" s="11" t="str">
        <f t="shared" si="113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4"/>
        <v/>
      </c>
      <c r="OU10" s="40" t="str">
        <f t="shared" si="115"/>
        <v/>
      </c>
      <c r="OV10" s="40" t="str">
        <f t="shared" si="116"/>
        <v/>
      </c>
      <c r="OW10" s="40" t="str">
        <f t="shared" si="117"/>
        <v/>
      </c>
      <c r="OX10" s="40" t="str">
        <f t="shared" si="118"/>
        <v/>
      </c>
      <c r="OY10" s="40" t="str">
        <f t="shared" si="119"/>
        <v/>
      </c>
      <c r="OZ10" s="40" t="str">
        <f t="shared" si="120"/>
        <v/>
      </c>
      <c r="PA10" s="40" t="str">
        <f t="shared" si="121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2"/>
        <v/>
      </c>
      <c r="PW10" s="11" t="str">
        <f t="shared" si="123"/>
        <v/>
      </c>
      <c r="PX10" s="11" t="str">
        <f t="shared" si="124"/>
        <v/>
      </c>
      <c r="PY10" s="11" t="str">
        <f t="shared" si="125"/>
        <v/>
      </c>
      <c r="PZ10" s="11" t="str">
        <f t="shared" si="126"/>
        <v/>
      </c>
      <c r="QA10" s="11" t="str">
        <f t="shared" si="127"/>
        <v/>
      </c>
      <c r="QB10" s="11" t="str">
        <f t="shared" si="128"/>
        <v/>
      </c>
      <c r="QC10" s="11" t="str">
        <f t="shared" si="129"/>
        <v/>
      </c>
      <c r="QD10" s="22">
        <f t="shared" si="130"/>
        <v>18.600000000000001</v>
      </c>
      <c r="QE10" s="22">
        <f t="shared" si="131"/>
        <v>7.8500000000000005</v>
      </c>
      <c r="QF10" s="22">
        <f t="shared" si="132"/>
        <v>0.30000000000000004</v>
      </c>
      <c r="QG10" s="22">
        <f t="shared" si="133"/>
        <v>0.15</v>
      </c>
      <c r="QH10" s="22">
        <f t="shared" si="134"/>
        <v>17.100000000000001</v>
      </c>
      <c r="QI10" s="22">
        <f t="shared" si="135"/>
        <v>4.8</v>
      </c>
      <c r="QJ10" s="22">
        <f t="shared" si="136"/>
        <v>0.3</v>
      </c>
      <c r="QK10" s="22">
        <f t="shared" si="137"/>
        <v>0.15</v>
      </c>
      <c r="QL10" s="22">
        <f t="shared" si="138"/>
        <v>0</v>
      </c>
      <c r="QM10" s="22">
        <f t="shared" si="139"/>
        <v>0</v>
      </c>
      <c r="QN10" s="22">
        <f t="shared" si="140"/>
        <v>0</v>
      </c>
      <c r="QO10" s="22">
        <f t="shared" si="141"/>
        <v>0</v>
      </c>
      <c r="QP10" s="22">
        <f t="shared" si="142"/>
        <v>8.4</v>
      </c>
      <c r="QQ10" s="22">
        <f t="shared" si="143"/>
        <v>4.6500000000000004</v>
      </c>
      <c r="QR10" s="22">
        <f t="shared" si="144"/>
        <v>0.5</v>
      </c>
      <c r="QS10" s="22">
        <f t="shared" si="145"/>
        <v>0.15</v>
      </c>
      <c r="QT10" s="22">
        <f t="shared" si="146"/>
        <v>9.35</v>
      </c>
      <c r="QU10" s="22">
        <f t="shared" si="147"/>
        <v>3.6</v>
      </c>
      <c r="QV10" s="22">
        <f t="shared" si="148"/>
        <v>0.4</v>
      </c>
      <c r="QW10" s="22">
        <f t="shared" si="149"/>
        <v>0.15</v>
      </c>
      <c r="QX10" s="27" t="s">
        <v>46</v>
      </c>
      <c r="QY10" s="40">
        <f t="shared" si="150"/>
        <v>12.65</v>
      </c>
      <c r="QZ10" s="40">
        <f t="shared" si="151"/>
        <v>48.050000000000004</v>
      </c>
      <c r="RA10" s="40" t="str">
        <f t="shared" si="152"/>
        <v/>
      </c>
      <c r="RB10" s="40">
        <f t="shared" si="153"/>
        <v>12.65</v>
      </c>
      <c r="RC10" s="40">
        <f t="shared" si="154"/>
        <v>48.050000000000004</v>
      </c>
      <c r="RD10" s="40">
        <f t="shared" si="155"/>
        <v>8.25</v>
      </c>
      <c r="RE10" s="40">
        <f t="shared" si="156"/>
        <v>25.400000000000002</v>
      </c>
      <c r="RF10" s="40">
        <f t="shared" si="157"/>
        <v>73.45</v>
      </c>
    </row>
    <row r="11" spans="1:474" x14ac:dyDescent="0.2">
      <c r="A11" s="4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>8</v>
      </c>
      <c r="B11" s="4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>3</v>
      </c>
      <c r="C11" s="5" t="s">
        <v>180</v>
      </c>
      <c r="D11" s="4" t="s">
        <v>3</v>
      </c>
      <c r="E11" s="4">
        <v>2008</v>
      </c>
      <c r="F11" s="9">
        <f t="shared" si="0"/>
        <v>153.30001020000512</v>
      </c>
      <c r="H11" s="3" t="str">
        <f>IF(OR(AND(AP11&gt;=AW$41,AQ11&gt;=AW$45,AP11&lt;&gt;"",AO11=""),AND(AU11&gt;=AW$41,AV11&gt;=AW$45,AU11&lt;&gt;"",AO11=""),AND(BS11&gt;=BZ$41,BT11&gt;=BZ$45,BS11&lt;&gt;"",BR11=""),AND(BX11&gt;=BZ$41,BY11&gt;=BZ$45,BX11&lt;&gt;"",BR11=""),AND(CV11&gt;=DC$41,CW11&gt;=DC$45,CV11&lt;&gt;"",CU11=""),AND(DA11&gt;=DC$41,DB11&gt;=DC$45,DA11&lt;&gt;""),AND(DZ11&gt;=EG$41,EA11&gt;=EG$45,DZ11&lt;&gt;""),AND(EE11&gt;=EG$41,EF11&gt;=EG$45,EE11&lt;&gt;""),AND(FB11&gt;=FI$41,FC11&gt;=FI$45,FB11&lt;&gt;""),AND(FG11&gt;=FI$41,FH11&gt;=FI$45,FG11&lt;&gt;""),AND(GD11&gt;=GK$41,GE11&gt;=GK$45,GD11&lt;&gt;""),AND(GI11&gt;=GK$41,GJ11&gt;=GK$45,GI11&lt;&gt;""),AND(HF11&gt;=HM$41,HG11&gt;=HM$45,HF11&lt;&gt;""),AND(HK11&gt;=HM$41,HL11&gt;=HM$45,HK11&lt;&gt;""),AND(IH11&gt;=IO$41,II11&gt;=IO$45,IH11&lt;&gt;""),AND(IM11&gt;=IO$41,IN11&gt;=IO$45,IM11&lt;&gt;""),AND(JJ11&gt;=JQ$41,JK11&gt;=JQ$45,JJ11&lt;&gt;""),AND(JO11&gt;=JQ$41,JP11&gt;=JQ$45,JO11&lt;&gt;""),AND(KL11&gt;=KS$41,KM11&gt;=KS$45,KL11&lt;&gt;""),AND(KQ11&gt;=KS$41,KR11&gt;=KS$45,KQ11&lt;&gt;""),AND(LN11&gt;=LU$41,LO11&gt;=LU$45,LN11&lt;&gt;""),AND(LS11&gt;=LU$41,LT11&gt;=LU$45,LS11&lt;&gt;""),AND(MP11&gt;=MW$41,MQ11&gt;=MW$45,MP11&lt;&gt;""),AND(MU11&gt;=MW$41,MV11&gt;=MW$45,MU11&lt;&gt;""),AND(NR11&gt;=NY$41,NS11&gt;=NY$45,NR11&lt;&gt;""),AND(NW11&gt;=NY$41,NX11&gt;=NY$45,NW11&lt;&gt;""),AND(OT11&gt;=PA$41,OU11&gt;=PA$45,OT11&lt;&gt;""),AND(OY11&gt;=PA$41,OZ11&gt;=PA$45,OY11&lt;&gt;""),AND(PV11&gt;=QC$41,PW11&gt;=QC$45,PV11&lt;&gt;""),AND(QA11&gt;=QC$41,QB11&gt;=QC$45,QA11&lt;&gt;"")),"P","")</f>
        <v>P</v>
      </c>
      <c r="I11" s="3" t="str">
        <f>IF(OR(AND(AQ11&gt;=AW$45,AQ11&lt;&gt;"",AO11=""),AND(AV11&gt;=AW$45,AV11&lt;&gt;"",AO11=""),AND(BT11&gt;=BZ$45,BT11&lt;&gt;"",BR11=""),AND(BY11&gt;=BZ$45,BY11&lt;&gt;"",BR11=""),AND(CW11&gt;=DC$45,CW11&lt;&gt;"",CU11=""),AND(DB11&gt;=DC$45,DB11&lt;&gt;"",CU11=""),AND(EA11&gt;=EG$45,EA11&lt;&gt;""),AND(EF11&gt;=EG$45,EF11&lt;&gt;""),AND(FC11&gt;=FI$45,FC11&lt;&gt;""),AND(FH11&gt;=FI$45,FH11&lt;&gt;""),AND(GE11&gt;=GK$45,GE11&lt;&gt;""),AND(GJ11&gt;=GK$45,GJ11&lt;&gt;""),AND(HG11&gt;=HM$45,HG11&lt;&gt;""),AND(HL11&gt;=HM$45,HL11&lt;&gt;""),AND(II11&gt;=IO$45,II11&lt;&gt;""),AND(IN11&gt;=IO$45,IN11&lt;&gt;""),AND(JK11&gt;=JQ$45,JK11&lt;&gt;""),AND(JP11&gt;=JQ$45,JP11&lt;&gt;""),AND(KM11&gt;=KS$45,KM11&lt;&gt;""),AND(KR11&gt;=KS$45,KR11&lt;&gt;""),AND(LO11&gt;=LU$45,LO11&lt;&gt;""),AND(LT11&gt;=LU$45,LT11&lt;&gt;""),AND(MQ11&gt;=MW$45,MQ11&lt;&gt;""),AND(MV11&gt;=MW$45,MV11&lt;&gt;""),AND(NS11&gt;=NY$45,NS11&lt;&gt;""),AND(NX11&gt;=NY$45,NX11&lt;&gt;""),AND(OU11&gt;=PA$45,OU11&lt;&gt;""),AND(OZ11&gt;=PA$45,OZ11&lt;&gt;""),AND(PW11&gt;=QC$45,PW11&lt;&gt;""),AND(QB11&gt;=QC$45,QB11&lt;&gt;"")),"P","")</f>
        <v>P</v>
      </c>
      <c r="J11" s="36" t="str">
        <f>IF(AND(I11="P",H11=""),"No DD",IF(OR(AND(AS11&gt;=AW$44,AT11&gt;=AW$48,AS11&lt;&gt;"",AO11=""),AND(BV11&gt;=BZ$44,BW11&gt;=BZ$48,BV11&lt;&gt;"",BR11=""),AND(CY11&gt;=DC$44,CZ11&gt;=DC$48,CY11&lt;&gt;"",CU11=""),AND(EC11&gt;=EG$44,ED11&gt;=EG$48,EC11&lt;&gt;""),AND(FE11&gt;=FI$44,FF11&gt;=FI$48,FE11&lt;&gt;""),AND(GG11&gt;=GK$44,GH11&gt;=GK$48,GG11&lt;&gt;""),AND(HI11&gt;=HM$44,HJ11&gt;=HM$48,HI11&lt;&gt;""),AND(IK11&gt;=IO$44,IL11&gt;=IO$48,IK11&lt;&gt;""),AND(JM11&gt;=JQ$44,JN11&gt;=JQ$48,JM11&lt;&gt;""),AND(KO11&gt;=KS$44,KP11&gt;=KS$48,KO11&lt;&gt;""),AND(LQ11&gt;=LU$44,LR11&gt;=LU$48,LQ11&lt;&gt;""),AND(MS11&gt;=MW$44,MT11&gt;=MW$48,MS11&lt;&gt;""),AND(NU11&gt;=NY$44,NV11&gt;=NY$48,NU11&lt;&gt;""),AND(OW11&gt;=PA$44,OX11&gt;=PA$48,OW11&lt;&gt;""),AND(PY11&gt;=QC$44,PZ11&gt;=QC$48,PY11&lt;&gt;"")),"Merit",IF(OR(AND(AS11&gt;=AW$43,AT11&gt;=AW$47,AS11&lt;&gt;"",AO11=""),AND(BV11&gt;=BZ$43,BW11&gt;=BZ$47,BV11&lt;&gt;"",BR11=""),AND(CY11&gt;=DC$43,CZ11&gt;=DC$47,CY11&lt;&gt;"",CU11=""),AND(EC11&gt;=EG$43,ED11&gt;=EG$47,EC11&lt;&gt;""),AND(FE11&gt;=FI$43,FF11&gt;=FI$47,FE11&lt;&gt;""),AND(GG11&gt;=GK$43,GH11&gt;=GK$47,GG11&lt;&gt;""),AND(HI11&gt;=HM$43,HJ11&gt;=HM$47,HI11&lt;&gt;""),AND(IK11&gt;=IO$43,IL11&gt;=IO$47,IK11&lt;&gt;""),AND(JM11&gt;=JQ$43,JN11&gt;=JQ$47,JM11&lt;&gt;""),AND(KO11&gt;=KS$43,KP11&gt;=KS$47,KO11&lt;&gt;""),AND(LQ11&gt;=LU$43,LR11&gt;=LU$47,LQ11&lt;&gt;""),AND(MS11&gt;=MW$43,MT11&gt;=MW$47,MS11&lt;&gt;""),AND(NU11&gt;=NY$43,NV11&gt;=NY$47,NU11&lt;&gt;""),AND(OW11&gt;=PA$43,OX11&gt;=PA$47,OW11&lt;&gt;""),AND(PY11&gt;=QC$43,PZ11&gt;=QC$47,PY11&lt;&gt;"")),"Excellence",IF(K11="P","Worlds Team",IF(H11="P","National Team","")))))</f>
        <v>National Team</v>
      </c>
      <c r="K11" s="3" t="str">
        <f>IF(OR(AND(AS11&gt;=AW$42,AT11&gt;=AW$46,AS11&lt;&gt;"",AO11=""),AND(BV11&gt;=BZ$42,BW11&gt;=BZ$46,BV11&lt;&gt;"",BR11=""),AND(CY11&gt;=DC$42,CZ11&gt;=DC$46,CY11&lt;&gt;"",CU11=""),AND(EC11&gt;=EG$42,ED11&gt;=EG$46,EC11&lt;&gt;""),AND(FE11&gt;=FI$42,FF11&gt;=FI$46,FE11&lt;&gt;""),AND(GG11&gt;=GK$42,GH11&gt;=GK$46,GG11&lt;&gt;""),AND(HI11&gt;=HM$42,HJ11&gt;=HM$46,HI11&lt;&gt;""),AND(IK11&gt;=IO$42,IL11&gt;=IO$46,IK11&lt;&gt;""),AND(JM11&gt;=JQ$42,JN11&gt;=JQ$46,JM11&lt;&gt;""),AND(KO11&gt;=KS$42,KP11&gt;=KS$46,KO11&lt;&gt;""),AND(LQ11&gt;=LU$42,LR11&gt;=LU$46,LQ11&lt;&gt;""),AND(MS11&gt;=MW$42,MT11&gt;=MW$46,MS11&lt;&gt;""),AND(NU11&gt;=NY$42,NV11&gt;=NY$46,NU11&lt;&gt;""),AND(OW11&gt;=PA$42,OX11&gt;=PA$46,OW11&lt;&gt;""),AND(PY11&gt;=QC$42,PZ11&gt;=QC$46,PY11&lt;&gt;"")),"P","")</f>
        <v/>
      </c>
      <c r="L11" s="8">
        <f>IF(COUNT(AQ11,BT11,CW11)&gt;0,LARGE((AQ11,BT11,CW11),1),0)</f>
        <v>51.3</v>
      </c>
      <c r="M11" s="8" t="str">
        <f t="shared" si="1"/>
        <v>2025 Nationals</v>
      </c>
      <c r="N11" s="8">
        <f>IF(COUNT(AQ11,BT11,CW11)&gt;1,LARGE((AQ11,BT11,CW11),2),0)</f>
        <v>50.7</v>
      </c>
      <c r="O11" s="8" t="str">
        <f t="shared" si="2"/>
        <v>2025 Elite Canada</v>
      </c>
      <c r="P11" s="8">
        <f t="shared" si="3"/>
        <v>51.300000000000004</v>
      </c>
      <c r="Q11" s="8" t="str">
        <f t="shared" si="4"/>
        <v>2025 Nationals</v>
      </c>
      <c r="R11" s="8" t="str">
        <f t="shared" si="5"/>
        <v/>
      </c>
      <c r="S11" s="11" t="str">
        <f t="shared" si="6"/>
        <v/>
      </c>
      <c r="T11" s="8" t="str">
        <f t="shared" si="7"/>
        <v/>
      </c>
      <c r="U11" s="19">
        <v>18.2</v>
      </c>
      <c r="V11" s="19">
        <v>6</v>
      </c>
      <c r="W11" s="19">
        <v>0.2</v>
      </c>
      <c r="X11" s="19">
        <v>0</v>
      </c>
      <c r="Y11" s="19">
        <v>19</v>
      </c>
      <c r="Z11" s="19">
        <v>6.4</v>
      </c>
      <c r="AA11" s="19">
        <v>0.2</v>
      </c>
      <c r="AB11" s="19">
        <v>0</v>
      </c>
      <c r="AC11" s="19">
        <v>17.399999999999999</v>
      </c>
      <c r="AD11" s="19">
        <v>3.2</v>
      </c>
      <c r="AE11" s="19">
        <v>0</v>
      </c>
      <c r="AF11" s="19">
        <v>0</v>
      </c>
      <c r="AG11" s="19">
        <v>19</v>
      </c>
      <c r="AH11" s="19">
        <v>6.8</v>
      </c>
      <c r="AI11" s="19">
        <v>0.2</v>
      </c>
      <c r="AJ11" s="19">
        <v>0</v>
      </c>
      <c r="AK11" s="19">
        <v>19.2</v>
      </c>
      <c r="AL11" s="19">
        <v>6.4</v>
      </c>
      <c r="AM11" s="19">
        <v>0</v>
      </c>
      <c r="AN11" s="19">
        <v>0</v>
      </c>
      <c r="AO11" s="27"/>
      <c r="AP11" s="40">
        <f t="shared" si="8"/>
        <v>12.4</v>
      </c>
      <c r="AQ11" s="40">
        <f t="shared" si="9"/>
        <v>49.199999999999996</v>
      </c>
      <c r="AR11" s="40">
        <f t="shared" si="10"/>
        <v>20.599999999999998</v>
      </c>
      <c r="AS11" s="40">
        <f t="shared" si="11"/>
        <v>15.600000000000001</v>
      </c>
      <c r="AT11" s="40">
        <f t="shared" si="12"/>
        <v>69.8</v>
      </c>
      <c r="AU11" s="40">
        <f t="shared" si="13"/>
        <v>13.2</v>
      </c>
      <c r="AV11" s="40">
        <f t="shared" si="14"/>
        <v>51.199999999999996</v>
      </c>
      <c r="AW11" s="40">
        <f t="shared" si="15"/>
        <v>121</v>
      </c>
      <c r="AX11" s="18">
        <v>19</v>
      </c>
      <c r="AY11" s="18">
        <v>6.8</v>
      </c>
      <c r="AZ11" s="18">
        <v>0</v>
      </c>
      <c r="BA11" s="18">
        <v>0</v>
      </c>
      <c r="BB11" s="18">
        <v>19.100000000000001</v>
      </c>
      <c r="BC11" s="18">
        <v>6.4</v>
      </c>
      <c r="BD11" s="18">
        <v>0.6</v>
      </c>
      <c r="BE11" s="18">
        <v>0</v>
      </c>
      <c r="BF11" s="18"/>
      <c r="BG11" s="18"/>
      <c r="BH11" s="18"/>
      <c r="BI11" s="18"/>
      <c r="BJ11" s="18">
        <v>0</v>
      </c>
      <c r="BK11" s="18">
        <v>0</v>
      </c>
      <c r="BL11" s="18">
        <v>0</v>
      </c>
      <c r="BM11" s="18">
        <v>0</v>
      </c>
      <c r="BN11" s="18">
        <v>16.3</v>
      </c>
      <c r="BO11" s="18">
        <v>6</v>
      </c>
      <c r="BP11" s="18">
        <v>0.2</v>
      </c>
      <c r="BQ11" s="18">
        <v>0</v>
      </c>
      <c r="BR11" s="28"/>
      <c r="BS11" s="11">
        <f t="shared" si="16"/>
        <v>13.2</v>
      </c>
      <c r="BT11" s="11">
        <f t="shared" si="17"/>
        <v>50.7</v>
      </c>
      <c r="BU11" s="11" t="str">
        <f t="shared" si="18"/>
        <v/>
      </c>
      <c r="BV11" s="11">
        <f t="shared" si="19"/>
        <v>13.2</v>
      </c>
      <c r="BW11" s="11">
        <f t="shared" si="20"/>
        <v>50.7</v>
      </c>
      <c r="BX11" s="11">
        <f t="shared" si="21"/>
        <v>6</v>
      </c>
      <c r="BY11" s="11">
        <f t="shared" si="22"/>
        <v>22.1</v>
      </c>
      <c r="BZ11" s="11">
        <f t="shared" si="23"/>
        <v>72.800000000000011</v>
      </c>
      <c r="CA11" s="19">
        <v>18.899999999999999</v>
      </c>
      <c r="CB11" s="19">
        <v>7.2</v>
      </c>
      <c r="CC11" s="19">
        <v>0</v>
      </c>
      <c r="CD11" s="19">
        <v>0</v>
      </c>
      <c r="CE11" s="19">
        <v>18.600000000000001</v>
      </c>
      <c r="CF11" s="19">
        <v>6.8</v>
      </c>
      <c r="CG11" s="19">
        <v>0.2</v>
      </c>
      <c r="CH11" s="19">
        <v>0</v>
      </c>
      <c r="CI11" s="19"/>
      <c r="CJ11" s="19"/>
      <c r="CK11" s="19"/>
      <c r="CL11" s="19"/>
      <c r="CM11" s="19">
        <v>18.600000000000001</v>
      </c>
      <c r="CN11" s="19">
        <v>7.2</v>
      </c>
      <c r="CO11" s="19">
        <v>0.8</v>
      </c>
      <c r="CP11" s="19">
        <v>0</v>
      </c>
      <c r="CQ11" s="19">
        <v>18.899999999999999</v>
      </c>
      <c r="CR11" s="19">
        <v>7.6</v>
      </c>
      <c r="CS11" s="19">
        <v>0.2</v>
      </c>
      <c r="CT11" s="19">
        <v>0</v>
      </c>
      <c r="CU11" s="27"/>
      <c r="CV11" s="40">
        <f t="shared" si="24"/>
        <v>14</v>
      </c>
      <c r="CW11" s="40">
        <f t="shared" si="25"/>
        <v>51.3</v>
      </c>
      <c r="CX11" s="40" t="str">
        <f t="shared" si="26"/>
        <v/>
      </c>
      <c r="CY11" s="40">
        <f t="shared" si="27"/>
        <v>14</v>
      </c>
      <c r="CZ11" s="40">
        <f t="shared" si="28"/>
        <v>51.3</v>
      </c>
      <c r="DA11" s="40">
        <f t="shared" si="29"/>
        <v>14.8</v>
      </c>
      <c r="DB11" s="40">
        <f t="shared" si="30"/>
        <v>51.300000000000004</v>
      </c>
      <c r="DC11" s="40">
        <f t="shared" si="31"/>
        <v>102.6</v>
      </c>
      <c r="DD11" s="50" t="str">
        <f t="shared" si="32"/>
        <v/>
      </c>
      <c r="DE11" s="50" t="str">
        <f t="shared" si="33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4"/>
        <v/>
      </c>
      <c r="EA11" s="40" t="str">
        <f t="shared" si="35"/>
        <v/>
      </c>
      <c r="EB11" s="40" t="str">
        <f t="shared" si="36"/>
        <v/>
      </c>
      <c r="EC11" s="40" t="str">
        <f t="shared" si="37"/>
        <v/>
      </c>
      <c r="ED11" s="40" t="str">
        <f t="shared" si="38"/>
        <v/>
      </c>
      <c r="EE11" s="40" t="str">
        <f t="shared" si="39"/>
        <v/>
      </c>
      <c r="EF11" s="40" t="str">
        <f t="shared" si="40"/>
        <v/>
      </c>
      <c r="EG11" s="40" t="str">
        <f t="shared" si="41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2"/>
        <v/>
      </c>
      <c r="FC11" s="11" t="str">
        <f t="shared" si="43"/>
        <v/>
      </c>
      <c r="FD11" s="11" t="str">
        <f t="shared" si="44"/>
        <v/>
      </c>
      <c r="FE11" s="11" t="str">
        <f t="shared" si="45"/>
        <v/>
      </c>
      <c r="FF11" s="11" t="str">
        <f t="shared" si="46"/>
        <v/>
      </c>
      <c r="FG11" s="11" t="str">
        <f t="shared" si="47"/>
        <v/>
      </c>
      <c r="FH11" s="11" t="str">
        <f t="shared" si="48"/>
        <v/>
      </c>
      <c r="FI11" s="11" t="str">
        <f t="shared" si="49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0"/>
        <v/>
      </c>
      <c r="GE11" s="40" t="str">
        <f t="shared" si="51"/>
        <v/>
      </c>
      <c r="GF11" s="40" t="str">
        <f t="shared" si="52"/>
        <v/>
      </c>
      <c r="GG11" s="40" t="str">
        <f t="shared" si="53"/>
        <v/>
      </c>
      <c r="GH11" s="40" t="str">
        <f t="shared" si="54"/>
        <v/>
      </c>
      <c r="GI11" s="40" t="str">
        <f t="shared" si="55"/>
        <v/>
      </c>
      <c r="GJ11" s="40" t="str">
        <f t="shared" si="56"/>
        <v/>
      </c>
      <c r="GK11" s="40" t="str">
        <f t="shared" si="57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58"/>
        <v/>
      </c>
      <c r="HG11" s="11" t="str">
        <f t="shared" si="59"/>
        <v/>
      </c>
      <c r="HH11" s="11" t="str">
        <f t="shared" si="60"/>
        <v/>
      </c>
      <c r="HI11" s="11" t="str">
        <f t="shared" si="61"/>
        <v/>
      </c>
      <c r="HJ11" s="11" t="str">
        <f t="shared" si="62"/>
        <v/>
      </c>
      <c r="HK11" s="11" t="str">
        <f t="shared" si="63"/>
        <v/>
      </c>
      <c r="HL11" s="11" t="str">
        <f t="shared" si="64"/>
        <v/>
      </c>
      <c r="HM11" s="11" t="str">
        <f t="shared" si="65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6"/>
        <v/>
      </c>
      <c r="II11" s="40" t="str">
        <f t="shared" si="67"/>
        <v/>
      </c>
      <c r="IJ11" s="40" t="str">
        <f t="shared" si="68"/>
        <v/>
      </c>
      <c r="IK11" s="40" t="str">
        <f t="shared" si="69"/>
        <v/>
      </c>
      <c r="IL11" s="40" t="str">
        <f t="shared" si="70"/>
        <v/>
      </c>
      <c r="IM11" s="40" t="str">
        <f t="shared" si="71"/>
        <v/>
      </c>
      <c r="IN11" s="40" t="str">
        <f t="shared" si="72"/>
        <v/>
      </c>
      <c r="IO11" s="40" t="str">
        <f t="shared" si="73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4"/>
        <v/>
      </c>
      <c r="JK11" s="11" t="str">
        <f t="shared" si="75"/>
        <v/>
      </c>
      <c r="JL11" s="11" t="str">
        <f t="shared" si="76"/>
        <v/>
      </c>
      <c r="JM11" s="11" t="str">
        <f t="shared" si="77"/>
        <v/>
      </c>
      <c r="JN11" s="11" t="str">
        <f t="shared" si="78"/>
        <v/>
      </c>
      <c r="JO11" s="11" t="str">
        <f t="shared" si="79"/>
        <v/>
      </c>
      <c r="JP11" s="11" t="str">
        <f t="shared" si="80"/>
        <v/>
      </c>
      <c r="JQ11" s="11" t="str">
        <f t="shared" si="81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2"/>
        <v/>
      </c>
      <c r="KM11" s="40" t="str">
        <f t="shared" si="83"/>
        <v/>
      </c>
      <c r="KN11" s="40" t="str">
        <f t="shared" si="84"/>
        <v/>
      </c>
      <c r="KO11" s="40" t="str">
        <f t="shared" si="85"/>
        <v/>
      </c>
      <c r="KP11" s="40" t="str">
        <f t="shared" si="86"/>
        <v/>
      </c>
      <c r="KQ11" s="40" t="str">
        <f t="shared" si="87"/>
        <v/>
      </c>
      <c r="KR11" s="40" t="str">
        <f t="shared" si="88"/>
        <v/>
      </c>
      <c r="KS11" s="40" t="str">
        <f t="shared" si="89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0"/>
        <v/>
      </c>
      <c r="LO11" s="11" t="str">
        <f t="shared" si="91"/>
        <v/>
      </c>
      <c r="LP11" s="11" t="str">
        <f t="shared" si="92"/>
        <v/>
      </c>
      <c r="LQ11" s="11" t="str">
        <f t="shared" si="93"/>
        <v/>
      </c>
      <c r="LR11" s="11" t="str">
        <f t="shared" si="94"/>
        <v/>
      </c>
      <c r="LS11" s="11" t="str">
        <f t="shared" si="95"/>
        <v/>
      </c>
      <c r="LT11" s="11" t="str">
        <f t="shared" si="96"/>
        <v/>
      </c>
      <c r="LU11" s="11" t="str">
        <f t="shared" si="97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98"/>
        <v/>
      </c>
      <c r="MQ11" s="40" t="str">
        <f t="shared" si="99"/>
        <v/>
      </c>
      <c r="MR11" s="40" t="str">
        <f t="shared" si="100"/>
        <v/>
      </c>
      <c r="MS11" s="40" t="str">
        <f t="shared" si="101"/>
        <v/>
      </c>
      <c r="MT11" s="40" t="str">
        <f t="shared" si="102"/>
        <v/>
      </c>
      <c r="MU11" s="40" t="str">
        <f t="shared" si="103"/>
        <v/>
      </c>
      <c r="MV11" s="40" t="str">
        <f t="shared" si="104"/>
        <v/>
      </c>
      <c r="MW11" s="40" t="str">
        <f t="shared" si="105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6"/>
        <v/>
      </c>
      <c r="NS11" s="11" t="str">
        <f t="shared" si="107"/>
        <v/>
      </c>
      <c r="NT11" s="11" t="str">
        <f t="shared" si="108"/>
        <v/>
      </c>
      <c r="NU11" s="11" t="str">
        <f t="shared" si="109"/>
        <v/>
      </c>
      <c r="NV11" s="11" t="str">
        <f t="shared" si="110"/>
        <v/>
      </c>
      <c r="NW11" s="11" t="str">
        <f t="shared" si="111"/>
        <v/>
      </c>
      <c r="NX11" s="11" t="str">
        <f t="shared" si="112"/>
        <v/>
      </c>
      <c r="NY11" s="11" t="str">
        <f t="shared" si="113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4"/>
        <v/>
      </c>
      <c r="OU11" s="40" t="str">
        <f t="shared" si="115"/>
        <v/>
      </c>
      <c r="OV11" s="40" t="str">
        <f t="shared" si="116"/>
        <v/>
      </c>
      <c r="OW11" s="40" t="str">
        <f t="shared" si="117"/>
        <v/>
      </c>
      <c r="OX11" s="40" t="str">
        <f t="shared" si="118"/>
        <v/>
      </c>
      <c r="OY11" s="40" t="str">
        <f t="shared" si="119"/>
        <v/>
      </c>
      <c r="OZ11" s="40" t="str">
        <f t="shared" si="120"/>
        <v/>
      </c>
      <c r="PA11" s="40" t="str">
        <f t="shared" si="121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2"/>
        <v/>
      </c>
      <c r="PW11" s="11" t="str">
        <f t="shared" si="123"/>
        <v/>
      </c>
      <c r="PX11" s="11" t="str">
        <f t="shared" si="124"/>
        <v/>
      </c>
      <c r="PY11" s="11" t="str">
        <f t="shared" si="125"/>
        <v/>
      </c>
      <c r="PZ11" s="11" t="str">
        <f t="shared" si="126"/>
        <v/>
      </c>
      <c r="QA11" s="11" t="str">
        <f t="shared" si="127"/>
        <v/>
      </c>
      <c r="QB11" s="11" t="str">
        <f t="shared" si="128"/>
        <v/>
      </c>
      <c r="QC11" s="11" t="str">
        <f t="shared" si="129"/>
        <v/>
      </c>
      <c r="QD11" s="22">
        <f t="shared" si="130"/>
        <v>18.95</v>
      </c>
      <c r="QE11" s="22">
        <f t="shared" si="131"/>
        <v>7</v>
      </c>
      <c r="QF11" s="22">
        <f t="shared" si="132"/>
        <v>0</v>
      </c>
      <c r="QG11" s="22">
        <f t="shared" si="133"/>
        <v>0</v>
      </c>
      <c r="QH11" s="22">
        <f t="shared" si="134"/>
        <v>18.850000000000001</v>
      </c>
      <c r="QI11" s="22">
        <f t="shared" si="135"/>
        <v>6.6</v>
      </c>
      <c r="QJ11" s="22">
        <f t="shared" si="136"/>
        <v>0.4</v>
      </c>
      <c r="QK11" s="22">
        <f t="shared" si="137"/>
        <v>0</v>
      </c>
      <c r="QL11" s="22">
        <f t="shared" si="138"/>
        <v>0</v>
      </c>
      <c r="QM11" s="22">
        <f t="shared" si="139"/>
        <v>0</v>
      </c>
      <c r="QN11" s="22">
        <f t="shared" si="140"/>
        <v>0</v>
      </c>
      <c r="QO11" s="22">
        <f t="shared" si="141"/>
        <v>0</v>
      </c>
      <c r="QP11" s="22">
        <f t="shared" si="142"/>
        <v>9.3000000000000007</v>
      </c>
      <c r="QQ11" s="22">
        <f t="shared" si="143"/>
        <v>3.6</v>
      </c>
      <c r="QR11" s="22">
        <f t="shared" si="144"/>
        <v>0.4</v>
      </c>
      <c r="QS11" s="22">
        <f t="shared" si="145"/>
        <v>0</v>
      </c>
      <c r="QT11" s="22">
        <f t="shared" si="146"/>
        <v>17.600000000000001</v>
      </c>
      <c r="QU11" s="22">
        <f t="shared" si="147"/>
        <v>6.8</v>
      </c>
      <c r="QV11" s="22">
        <f t="shared" si="148"/>
        <v>0.2</v>
      </c>
      <c r="QW11" s="22">
        <f t="shared" si="149"/>
        <v>0</v>
      </c>
      <c r="QX11" s="27" t="s">
        <v>46</v>
      </c>
      <c r="QY11" s="40">
        <f t="shared" si="150"/>
        <v>13.6</v>
      </c>
      <c r="QZ11" s="40">
        <f t="shared" si="151"/>
        <v>51</v>
      </c>
      <c r="RA11" s="40" t="str">
        <f t="shared" si="152"/>
        <v/>
      </c>
      <c r="RB11" s="40">
        <f t="shared" si="153"/>
        <v>13.6</v>
      </c>
      <c r="RC11" s="40">
        <f t="shared" si="154"/>
        <v>51</v>
      </c>
      <c r="RD11" s="40">
        <f t="shared" si="155"/>
        <v>10.4</v>
      </c>
      <c r="RE11" s="40">
        <f t="shared" si="156"/>
        <v>36.699999999999996</v>
      </c>
      <c r="RF11" s="40">
        <f t="shared" si="157"/>
        <v>87.699999999999989</v>
      </c>
    </row>
    <row r="12" spans="1:474" x14ac:dyDescent="0.2">
      <c r="A12" s="4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>9</v>
      </c>
      <c r="B12" s="4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>4</v>
      </c>
      <c r="C12" s="5" t="s">
        <v>179</v>
      </c>
      <c r="D12" s="4" t="s">
        <v>5</v>
      </c>
      <c r="E12" s="4">
        <v>2008</v>
      </c>
      <c r="F12" s="9">
        <f t="shared" si="0"/>
        <v>152.50001013000511</v>
      </c>
      <c r="H12" s="3" t="str">
        <f>IF(OR(AND(AP12&gt;=AW$41,AQ12&gt;=AW$45,AP12&lt;&gt;"",AO12=""),AND(AU12&gt;=AW$41,AV12&gt;=AW$45,AU12&lt;&gt;"",AO12=""),AND(BS12&gt;=BZ$41,BT12&gt;=BZ$45,BS12&lt;&gt;"",BR12=""),AND(BX12&gt;=BZ$41,BY12&gt;=BZ$45,BX12&lt;&gt;"",BR12=""),AND(CV12&gt;=DC$41,CW12&gt;=DC$45,CV12&lt;&gt;"",CU12=""),AND(DA12&gt;=DC$41,DB12&gt;=DC$45,DA12&lt;&gt;""),AND(DZ12&gt;=EG$41,EA12&gt;=EG$45,DZ12&lt;&gt;""),AND(EE12&gt;=EG$41,EF12&gt;=EG$45,EE12&lt;&gt;""),AND(FB12&gt;=FI$41,FC12&gt;=FI$45,FB12&lt;&gt;""),AND(FG12&gt;=FI$41,FH12&gt;=FI$45,FG12&lt;&gt;""),AND(GD12&gt;=GK$41,GE12&gt;=GK$45,GD12&lt;&gt;""),AND(GI12&gt;=GK$41,GJ12&gt;=GK$45,GI12&lt;&gt;""),AND(HF12&gt;=HM$41,HG12&gt;=HM$45,HF12&lt;&gt;""),AND(HK12&gt;=HM$41,HL12&gt;=HM$45,HK12&lt;&gt;""),AND(IH12&gt;=IO$41,II12&gt;=IO$45,IH12&lt;&gt;""),AND(IM12&gt;=IO$41,IN12&gt;=IO$45,IM12&lt;&gt;""),AND(JJ12&gt;=JQ$41,JK12&gt;=JQ$45,JJ12&lt;&gt;""),AND(JO12&gt;=JQ$41,JP12&gt;=JQ$45,JO12&lt;&gt;""),AND(KL12&gt;=KS$41,KM12&gt;=KS$45,KL12&lt;&gt;""),AND(KQ12&gt;=KS$41,KR12&gt;=KS$45,KQ12&lt;&gt;""),AND(LN12&gt;=LU$41,LO12&gt;=LU$45,LN12&lt;&gt;""),AND(LS12&gt;=LU$41,LT12&gt;=LU$45,LS12&lt;&gt;""),AND(MP12&gt;=MW$41,MQ12&gt;=MW$45,MP12&lt;&gt;""),AND(MU12&gt;=MW$41,MV12&gt;=MW$45,MU12&lt;&gt;""),AND(NR12&gt;=NY$41,NS12&gt;=NY$45,NR12&lt;&gt;""),AND(NW12&gt;=NY$41,NX12&gt;=NY$45,NW12&lt;&gt;""),AND(OT12&gt;=PA$41,OU12&gt;=PA$45,OT12&lt;&gt;""),AND(OY12&gt;=PA$41,OZ12&gt;=PA$45,OY12&lt;&gt;""),AND(PV12&gt;=QC$41,PW12&gt;=QC$45,PV12&lt;&gt;""),AND(QA12&gt;=QC$41,QB12&gt;=QC$45,QA12&lt;&gt;"")),"P","")</f>
        <v>P</v>
      </c>
      <c r="I12" s="3" t="str">
        <f>IF(OR(AND(AQ12&gt;=AW$45,AQ12&lt;&gt;"",AO12=""),AND(AV12&gt;=AW$45,AV12&lt;&gt;"",AO12=""),AND(BT12&gt;=BZ$45,BT12&lt;&gt;"",BR12=""),AND(BY12&gt;=BZ$45,BY12&lt;&gt;"",BR12=""),AND(CW12&gt;=DC$45,CW12&lt;&gt;"",CU12=""),AND(DB12&gt;=DC$45,DB12&lt;&gt;"",CU12=""),AND(EA12&gt;=EG$45,EA12&lt;&gt;""),AND(EF12&gt;=EG$45,EF12&lt;&gt;""),AND(FC12&gt;=FI$45,FC12&lt;&gt;""),AND(FH12&gt;=FI$45,FH12&lt;&gt;""),AND(GE12&gt;=GK$45,GE12&lt;&gt;""),AND(GJ12&gt;=GK$45,GJ12&lt;&gt;""),AND(HG12&gt;=HM$45,HG12&lt;&gt;""),AND(HL12&gt;=HM$45,HL12&lt;&gt;""),AND(II12&gt;=IO$45,II12&lt;&gt;""),AND(IN12&gt;=IO$45,IN12&lt;&gt;""),AND(JK12&gt;=JQ$45,JK12&lt;&gt;""),AND(JP12&gt;=JQ$45,JP12&lt;&gt;""),AND(KM12&gt;=KS$45,KM12&lt;&gt;""),AND(KR12&gt;=KS$45,KR12&lt;&gt;""),AND(LO12&gt;=LU$45,LO12&lt;&gt;""),AND(LT12&gt;=LU$45,LT12&lt;&gt;""),AND(MQ12&gt;=MW$45,MQ12&lt;&gt;""),AND(MV12&gt;=MW$45,MV12&lt;&gt;""),AND(NS12&gt;=NY$45,NS12&lt;&gt;""),AND(NX12&gt;=NY$45,NX12&lt;&gt;""),AND(OU12&gt;=PA$45,OU12&lt;&gt;""),AND(OZ12&gt;=PA$45,OZ12&lt;&gt;""),AND(PW12&gt;=QC$45,PW12&lt;&gt;""),AND(QB12&gt;=QC$45,QB12&lt;&gt;"")),"P","")</f>
        <v>P</v>
      </c>
      <c r="J12" s="36" t="str">
        <f>IF(AND(I12="P",H12=""),"No DD",IF(OR(AND(AS12&gt;=AW$44,AT12&gt;=AW$48,AS12&lt;&gt;"",AO12=""),AND(BV12&gt;=BZ$44,BW12&gt;=BZ$48,BV12&lt;&gt;"",BR12=""),AND(CY12&gt;=DC$44,CZ12&gt;=DC$48,CY12&lt;&gt;"",CU12=""),AND(EC12&gt;=EG$44,ED12&gt;=EG$48,EC12&lt;&gt;""),AND(FE12&gt;=FI$44,FF12&gt;=FI$48,FE12&lt;&gt;""),AND(GG12&gt;=GK$44,GH12&gt;=GK$48,GG12&lt;&gt;""),AND(HI12&gt;=HM$44,HJ12&gt;=HM$48,HI12&lt;&gt;""),AND(IK12&gt;=IO$44,IL12&gt;=IO$48,IK12&lt;&gt;""),AND(JM12&gt;=JQ$44,JN12&gt;=JQ$48,JM12&lt;&gt;""),AND(KO12&gt;=KS$44,KP12&gt;=KS$48,KO12&lt;&gt;""),AND(LQ12&gt;=LU$44,LR12&gt;=LU$48,LQ12&lt;&gt;""),AND(MS12&gt;=MW$44,MT12&gt;=MW$48,MS12&lt;&gt;""),AND(NU12&gt;=NY$44,NV12&gt;=NY$48,NU12&lt;&gt;""),AND(OW12&gt;=PA$44,OX12&gt;=PA$48,OW12&lt;&gt;""),AND(PY12&gt;=QC$44,PZ12&gt;=QC$48,PY12&lt;&gt;"")),"Merit",IF(OR(AND(AS12&gt;=AW$43,AT12&gt;=AW$47,AS12&lt;&gt;"",AO12=""),AND(BV12&gt;=BZ$43,BW12&gt;=BZ$47,BV12&lt;&gt;"",BR12=""),AND(CY12&gt;=DC$43,CZ12&gt;=DC$47,CY12&lt;&gt;"",CU12=""),AND(EC12&gt;=EG$43,ED12&gt;=EG$47,EC12&lt;&gt;""),AND(FE12&gt;=FI$43,FF12&gt;=FI$47,FE12&lt;&gt;""),AND(GG12&gt;=GK$43,GH12&gt;=GK$47,GG12&lt;&gt;""),AND(HI12&gt;=HM$43,HJ12&gt;=HM$47,HI12&lt;&gt;""),AND(IK12&gt;=IO$43,IL12&gt;=IO$47,IK12&lt;&gt;""),AND(JM12&gt;=JQ$43,JN12&gt;=JQ$47,JM12&lt;&gt;""),AND(KO12&gt;=KS$43,KP12&gt;=KS$47,KO12&lt;&gt;""),AND(LQ12&gt;=LU$43,LR12&gt;=LU$47,LQ12&lt;&gt;""),AND(MS12&gt;=MW$43,MT12&gt;=MW$47,MS12&lt;&gt;""),AND(NU12&gt;=NY$43,NV12&gt;=NY$47,NU12&lt;&gt;""),AND(OW12&gt;=PA$43,OX12&gt;=PA$47,OW12&lt;&gt;""),AND(PY12&gt;=QC$43,PZ12&gt;=QC$47,PY12&lt;&gt;"")),"Excellence",IF(K12="P","Worlds Team",IF(H12="P","National Team","")))))</f>
        <v>National Team</v>
      </c>
      <c r="K12" s="3" t="str">
        <f>IF(OR(AND(AS12&gt;=AW$42,AT12&gt;=AW$46,AS12&lt;&gt;"",AO12=""),AND(BV12&gt;=BZ$42,BW12&gt;=BZ$46,BV12&lt;&gt;"",BR12=""),AND(CY12&gt;=DC$42,CZ12&gt;=DC$46,CY12&lt;&gt;"",CU12=""),AND(EC12&gt;=EG$42,ED12&gt;=EG$46,EC12&lt;&gt;""),AND(FE12&gt;=FI$42,FF12&gt;=FI$46,FE12&lt;&gt;""),AND(GG12&gt;=GK$42,GH12&gt;=GK$46,GG12&lt;&gt;""),AND(HI12&gt;=HM$42,HJ12&gt;=HM$46,HI12&lt;&gt;""),AND(IK12&gt;=IO$42,IL12&gt;=IO$46,IK12&lt;&gt;""),AND(JM12&gt;=JQ$42,JN12&gt;=JQ$46,JM12&lt;&gt;""),AND(KO12&gt;=KS$42,KP12&gt;=KS$46,KO12&lt;&gt;""),AND(LQ12&gt;=LU$42,LR12&gt;=LU$46,LQ12&lt;&gt;""),AND(MS12&gt;=MW$42,MT12&gt;=MW$46,MS12&lt;&gt;""),AND(NU12&gt;=NY$42,NV12&gt;=NY$46,NU12&lt;&gt;""),AND(OW12&gt;=PA$42,OX12&gt;=PA$46,OW12&lt;&gt;""),AND(PY12&gt;=QC$42,PZ12&gt;=QC$46,PY12&lt;&gt;"")),"P","")</f>
        <v/>
      </c>
      <c r="L12" s="8">
        <f>IF(COUNT(AQ12,BT12,CW12)&gt;0,LARGE((AQ12,BT12,CW12),1),0)</f>
        <v>51.2</v>
      </c>
      <c r="M12" s="8" t="str">
        <f t="shared" si="1"/>
        <v>2024 3rd Domestic Trial</v>
      </c>
      <c r="N12" s="8">
        <f>IF(COUNT(AQ12,BT12,CW12)&gt;1,LARGE((AQ12,BT12,CW12),2),0)</f>
        <v>50.099999999999994</v>
      </c>
      <c r="O12" s="8" t="str">
        <f t="shared" si="2"/>
        <v>2025 Nationals</v>
      </c>
      <c r="P12" s="8">
        <f t="shared" si="3"/>
        <v>51.2</v>
      </c>
      <c r="Q12" s="8" t="str">
        <f t="shared" si="4"/>
        <v>2024 3rd Domestic Trial</v>
      </c>
      <c r="R12" s="8" t="str">
        <f t="shared" si="5"/>
        <v/>
      </c>
      <c r="S12" s="11" t="str">
        <f t="shared" si="6"/>
        <v/>
      </c>
      <c r="T12" s="8" t="str">
        <f t="shared" si="7"/>
        <v/>
      </c>
      <c r="U12" s="19">
        <v>18.600000000000001</v>
      </c>
      <c r="V12" s="19">
        <v>7.2</v>
      </c>
      <c r="W12" s="19">
        <v>0</v>
      </c>
      <c r="X12" s="19">
        <v>0</v>
      </c>
      <c r="Y12" s="19">
        <v>18.600000000000001</v>
      </c>
      <c r="Z12" s="19">
        <v>6.8</v>
      </c>
      <c r="AA12" s="19">
        <v>0</v>
      </c>
      <c r="AB12" s="19">
        <v>0</v>
      </c>
      <c r="AC12" s="19">
        <v>18.2</v>
      </c>
      <c r="AD12" s="19">
        <v>6.9</v>
      </c>
      <c r="AE12" s="19">
        <v>0</v>
      </c>
      <c r="AF12" s="19">
        <v>0</v>
      </c>
      <c r="AG12" s="19">
        <v>18.7</v>
      </c>
      <c r="AH12" s="19">
        <v>7.3</v>
      </c>
      <c r="AI12" s="19">
        <v>0</v>
      </c>
      <c r="AJ12" s="19">
        <v>0</v>
      </c>
      <c r="AK12" s="19">
        <v>18.399999999999999</v>
      </c>
      <c r="AL12" s="19">
        <v>7.6</v>
      </c>
      <c r="AM12" s="19">
        <v>0.8</v>
      </c>
      <c r="AN12" s="19">
        <v>0</v>
      </c>
      <c r="AO12" s="27"/>
      <c r="AP12" s="40">
        <f t="shared" si="8"/>
        <v>14</v>
      </c>
      <c r="AQ12" s="40">
        <f t="shared" si="9"/>
        <v>51.2</v>
      </c>
      <c r="AR12" s="40">
        <f t="shared" si="10"/>
        <v>25.1</v>
      </c>
      <c r="AS12" s="40">
        <f t="shared" si="11"/>
        <v>20.9</v>
      </c>
      <c r="AT12" s="40">
        <f t="shared" si="12"/>
        <v>76.300000000000011</v>
      </c>
      <c r="AU12" s="40">
        <f t="shared" si="13"/>
        <v>14.899999999999999</v>
      </c>
      <c r="AV12" s="40">
        <f t="shared" si="14"/>
        <v>51.2</v>
      </c>
      <c r="AW12" s="40">
        <f t="shared" si="15"/>
        <v>127.50000000000001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18.100000000000001</v>
      </c>
      <c r="BC12" s="18">
        <v>5.2</v>
      </c>
      <c r="BD12" s="18">
        <v>1.8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16"/>
        <v>12.4</v>
      </c>
      <c r="BT12" s="11">
        <f t="shared" si="17"/>
        <v>46.70000000000001</v>
      </c>
      <c r="BU12" s="11" t="str">
        <f t="shared" si="18"/>
        <v/>
      </c>
      <c r="BV12" s="11">
        <f t="shared" si="19"/>
        <v>12.4</v>
      </c>
      <c r="BW12" s="11">
        <f t="shared" si="20"/>
        <v>46.70000000000001</v>
      </c>
      <c r="BX12" s="11" t="str">
        <f t="shared" si="21"/>
        <v/>
      </c>
      <c r="BY12" s="11" t="str">
        <f t="shared" si="22"/>
        <v/>
      </c>
      <c r="BZ12" s="11">
        <f t="shared" si="23"/>
        <v>46.70000000000001</v>
      </c>
      <c r="CA12" s="19">
        <v>18.899999999999999</v>
      </c>
      <c r="CB12" s="19">
        <v>7.2</v>
      </c>
      <c r="CC12" s="19">
        <v>0.2</v>
      </c>
      <c r="CD12" s="19">
        <v>0</v>
      </c>
      <c r="CE12" s="19">
        <v>18.399999999999999</v>
      </c>
      <c r="CF12" s="19">
        <v>6.8</v>
      </c>
      <c r="CG12" s="19">
        <v>1</v>
      </c>
      <c r="CH12" s="19">
        <v>0</v>
      </c>
      <c r="CI12" s="19"/>
      <c r="CJ12" s="19"/>
      <c r="CK12" s="19"/>
      <c r="CL12" s="19"/>
      <c r="CM12" s="19">
        <v>17.8</v>
      </c>
      <c r="CN12" s="19">
        <v>5.2</v>
      </c>
      <c r="CO12" s="19">
        <v>1</v>
      </c>
      <c r="CP12" s="19">
        <v>0</v>
      </c>
      <c r="CQ12" s="19">
        <v>16.5</v>
      </c>
      <c r="CR12" s="19">
        <v>7.2</v>
      </c>
      <c r="CS12" s="19">
        <v>0.8</v>
      </c>
      <c r="CT12" s="19">
        <v>0</v>
      </c>
      <c r="CU12" s="27"/>
      <c r="CV12" s="40">
        <f t="shared" si="24"/>
        <v>14</v>
      </c>
      <c r="CW12" s="40">
        <f t="shared" si="25"/>
        <v>50.099999999999994</v>
      </c>
      <c r="CX12" s="40" t="str">
        <f t="shared" si="26"/>
        <v/>
      </c>
      <c r="CY12" s="40">
        <f t="shared" si="27"/>
        <v>14</v>
      </c>
      <c r="CZ12" s="40">
        <f t="shared" si="28"/>
        <v>50.099999999999994</v>
      </c>
      <c r="DA12" s="40">
        <f t="shared" si="29"/>
        <v>12.4</v>
      </c>
      <c r="DB12" s="40">
        <f t="shared" si="30"/>
        <v>44.900000000000006</v>
      </c>
      <c r="DC12" s="40">
        <f t="shared" si="31"/>
        <v>95</v>
      </c>
      <c r="DD12" s="50" t="str">
        <f t="shared" si="32"/>
        <v/>
      </c>
      <c r="DE12" s="50" t="str">
        <f t="shared" si="33"/>
        <v/>
      </c>
      <c r="DF12" s="17">
        <v>18.600000000000001</v>
      </c>
      <c r="DG12" s="17">
        <v>7.2</v>
      </c>
      <c r="DH12" s="17">
        <v>0.6</v>
      </c>
      <c r="DI12" s="17">
        <v>0</v>
      </c>
      <c r="DJ12" s="17">
        <v>18.3</v>
      </c>
      <c r="DK12" s="17">
        <v>6.8</v>
      </c>
      <c r="DL12" s="17">
        <v>0.2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>
        <f t="shared" si="34"/>
        <v>14</v>
      </c>
      <c r="EA12" s="40">
        <f t="shared" si="35"/>
        <v>50.099999999999994</v>
      </c>
      <c r="EB12" s="40" t="str">
        <f t="shared" si="36"/>
        <v/>
      </c>
      <c r="EC12" s="40">
        <f t="shared" si="37"/>
        <v>14</v>
      </c>
      <c r="ED12" s="40">
        <f t="shared" si="38"/>
        <v>50.099999999999994</v>
      </c>
      <c r="EE12" s="40" t="str">
        <f t="shared" si="39"/>
        <v/>
      </c>
      <c r="EF12" s="40" t="str">
        <f t="shared" si="40"/>
        <v/>
      </c>
      <c r="EG12" s="40">
        <f t="shared" si="41"/>
        <v>50.099999999999994</v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2"/>
        <v/>
      </c>
      <c r="FC12" s="11" t="str">
        <f t="shared" si="43"/>
        <v/>
      </c>
      <c r="FD12" s="11" t="str">
        <f t="shared" si="44"/>
        <v/>
      </c>
      <c r="FE12" s="11" t="str">
        <f t="shared" si="45"/>
        <v/>
      </c>
      <c r="FF12" s="11" t="str">
        <f t="shared" si="46"/>
        <v/>
      </c>
      <c r="FG12" s="11" t="str">
        <f t="shared" si="47"/>
        <v/>
      </c>
      <c r="FH12" s="11" t="str">
        <f t="shared" si="48"/>
        <v/>
      </c>
      <c r="FI12" s="11" t="str">
        <f t="shared" si="49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0"/>
        <v/>
      </c>
      <c r="GE12" s="40" t="str">
        <f t="shared" si="51"/>
        <v/>
      </c>
      <c r="GF12" s="40" t="str">
        <f t="shared" si="52"/>
        <v/>
      </c>
      <c r="GG12" s="40" t="str">
        <f t="shared" si="53"/>
        <v/>
      </c>
      <c r="GH12" s="40" t="str">
        <f t="shared" si="54"/>
        <v/>
      </c>
      <c r="GI12" s="40" t="str">
        <f t="shared" si="55"/>
        <v/>
      </c>
      <c r="GJ12" s="40" t="str">
        <f t="shared" si="56"/>
        <v/>
      </c>
      <c r="GK12" s="40" t="str">
        <f t="shared" si="57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58"/>
        <v/>
      </c>
      <c r="HG12" s="11" t="str">
        <f t="shared" si="59"/>
        <v/>
      </c>
      <c r="HH12" s="11" t="str">
        <f t="shared" si="60"/>
        <v/>
      </c>
      <c r="HI12" s="11" t="str">
        <f t="shared" si="61"/>
        <v/>
      </c>
      <c r="HJ12" s="11" t="str">
        <f t="shared" si="62"/>
        <v/>
      </c>
      <c r="HK12" s="11" t="str">
        <f t="shared" si="63"/>
        <v/>
      </c>
      <c r="HL12" s="11" t="str">
        <f t="shared" si="64"/>
        <v/>
      </c>
      <c r="HM12" s="11" t="str">
        <f t="shared" si="65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6"/>
        <v/>
      </c>
      <c r="II12" s="40" t="str">
        <f t="shared" si="67"/>
        <v/>
      </c>
      <c r="IJ12" s="40" t="str">
        <f t="shared" si="68"/>
        <v/>
      </c>
      <c r="IK12" s="40" t="str">
        <f t="shared" si="69"/>
        <v/>
      </c>
      <c r="IL12" s="40" t="str">
        <f t="shared" si="70"/>
        <v/>
      </c>
      <c r="IM12" s="40" t="str">
        <f t="shared" si="71"/>
        <v/>
      </c>
      <c r="IN12" s="40" t="str">
        <f t="shared" si="72"/>
        <v/>
      </c>
      <c r="IO12" s="40" t="str">
        <f t="shared" si="73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4"/>
        <v/>
      </c>
      <c r="JK12" s="11" t="str">
        <f t="shared" si="75"/>
        <v/>
      </c>
      <c r="JL12" s="11" t="str">
        <f t="shared" si="76"/>
        <v/>
      </c>
      <c r="JM12" s="11" t="str">
        <f t="shared" si="77"/>
        <v/>
      </c>
      <c r="JN12" s="11" t="str">
        <f t="shared" si="78"/>
        <v/>
      </c>
      <c r="JO12" s="11" t="str">
        <f t="shared" si="79"/>
        <v/>
      </c>
      <c r="JP12" s="11" t="str">
        <f t="shared" si="80"/>
        <v/>
      </c>
      <c r="JQ12" s="11" t="str">
        <f t="shared" si="81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2"/>
        <v/>
      </c>
      <c r="KM12" s="40" t="str">
        <f t="shared" si="83"/>
        <v/>
      </c>
      <c r="KN12" s="40" t="str">
        <f t="shared" si="84"/>
        <v/>
      </c>
      <c r="KO12" s="40" t="str">
        <f t="shared" si="85"/>
        <v/>
      </c>
      <c r="KP12" s="40" t="str">
        <f t="shared" si="86"/>
        <v/>
      </c>
      <c r="KQ12" s="40" t="str">
        <f t="shared" si="87"/>
        <v/>
      </c>
      <c r="KR12" s="40" t="str">
        <f t="shared" si="88"/>
        <v/>
      </c>
      <c r="KS12" s="40" t="str">
        <f t="shared" si="89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0"/>
        <v/>
      </c>
      <c r="LO12" s="11" t="str">
        <f t="shared" si="91"/>
        <v/>
      </c>
      <c r="LP12" s="11" t="str">
        <f t="shared" si="92"/>
        <v/>
      </c>
      <c r="LQ12" s="11" t="str">
        <f t="shared" si="93"/>
        <v/>
      </c>
      <c r="LR12" s="11" t="str">
        <f t="shared" si="94"/>
        <v/>
      </c>
      <c r="LS12" s="11" t="str">
        <f t="shared" si="95"/>
        <v/>
      </c>
      <c r="LT12" s="11" t="str">
        <f t="shared" si="96"/>
        <v/>
      </c>
      <c r="LU12" s="11" t="str">
        <f t="shared" si="97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98"/>
        <v/>
      </c>
      <c r="MQ12" s="40" t="str">
        <f t="shared" si="99"/>
        <v/>
      </c>
      <c r="MR12" s="40" t="str">
        <f t="shared" si="100"/>
        <v/>
      </c>
      <c r="MS12" s="40" t="str">
        <f t="shared" si="101"/>
        <v/>
      </c>
      <c r="MT12" s="40" t="str">
        <f t="shared" si="102"/>
        <v/>
      </c>
      <c r="MU12" s="40" t="str">
        <f t="shared" si="103"/>
        <v/>
      </c>
      <c r="MV12" s="40" t="str">
        <f t="shared" si="104"/>
        <v/>
      </c>
      <c r="MW12" s="40" t="str">
        <f t="shared" si="105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6"/>
        <v/>
      </c>
      <c r="NS12" s="11" t="str">
        <f t="shared" si="107"/>
        <v/>
      </c>
      <c r="NT12" s="11" t="str">
        <f t="shared" si="108"/>
        <v/>
      </c>
      <c r="NU12" s="11" t="str">
        <f t="shared" si="109"/>
        <v/>
      </c>
      <c r="NV12" s="11" t="str">
        <f t="shared" si="110"/>
        <v/>
      </c>
      <c r="NW12" s="11" t="str">
        <f t="shared" si="111"/>
        <v/>
      </c>
      <c r="NX12" s="11" t="str">
        <f t="shared" si="112"/>
        <v/>
      </c>
      <c r="NY12" s="11" t="str">
        <f t="shared" si="113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4"/>
        <v/>
      </c>
      <c r="OU12" s="40" t="str">
        <f t="shared" si="115"/>
        <v/>
      </c>
      <c r="OV12" s="40" t="str">
        <f t="shared" si="116"/>
        <v/>
      </c>
      <c r="OW12" s="40" t="str">
        <f t="shared" si="117"/>
        <v/>
      </c>
      <c r="OX12" s="40" t="str">
        <f t="shared" si="118"/>
        <v/>
      </c>
      <c r="OY12" s="40" t="str">
        <f t="shared" si="119"/>
        <v/>
      </c>
      <c r="OZ12" s="40" t="str">
        <f t="shared" si="120"/>
        <v/>
      </c>
      <c r="PA12" s="40" t="str">
        <f t="shared" si="121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2"/>
        <v/>
      </c>
      <c r="PW12" s="11" t="str">
        <f t="shared" si="123"/>
        <v/>
      </c>
      <c r="PX12" s="11" t="str">
        <f t="shared" si="124"/>
        <v/>
      </c>
      <c r="PY12" s="11" t="str">
        <f t="shared" si="125"/>
        <v/>
      </c>
      <c r="PZ12" s="11" t="str">
        <f t="shared" si="126"/>
        <v/>
      </c>
      <c r="QA12" s="11" t="str">
        <f t="shared" si="127"/>
        <v/>
      </c>
      <c r="QB12" s="11" t="str">
        <f t="shared" si="128"/>
        <v/>
      </c>
      <c r="QC12" s="11" t="str">
        <f t="shared" si="129"/>
        <v/>
      </c>
      <c r="QD12" s="22">
        <f t="shared" si="130"/>
        <v>18.75</v>
      </c>
      <c r="QE12" s="22">
        <f t="shared" si="131"/>
        <v>7.2</v>
      </c>
      <c r="QF12" s="22">
        <f t="shared" si="132"/>
        <v>0.4</v>
      </c>
      <c r="QG12" s="22">
        <f t="shared" si="133"/>
        <v>0</v>
      </c>
      <c r="QH12" s="22">
        <f t="shared" si="134"/>
        <v>18.25</v>
      </c>
      <c r="QI12" s="22">
        <f t="shared" si="135"/>
        <v>6</v>
      </c>
      <c r="QJ12" s="22">
        <f t="shared" si="136"/>
        <v>1.4</v>
      </c>
      <c r="QK12" s="22">
        <f t="shared" si="137"/>
        <v>0</v>
      </c>
      <c r="QL12" s="22">
        <f t="shared" si="138"/>
        <v>0</v>
      </c>
      <c r="QM12" s="22">
        <f t="shared" si="139"/>
        <v>0</v>
      </c>
      <c r="QN12" s="22">
        <f t="shared" si="140"/>
        <v>0</v>
      </c>
      <c r="QO12" s="22">
        <f t="shared" si="141"/>
        <v>0</v>
      </c>
      <c r="QP12" s="22">
        <f t="shared" si="142"/>
        <v>8.9</v>
      </c>
      <c r="QQ12" s="22">
        <f t="shared" si="143"/>
        <v>2.6</v>
      </c>
      <c r="QR12" s="22">
        <f t="shared" si="144"/>
        <v>0.5</v>
      </c>
      <c r="QS12" s="22">
        <f t="shared" si="145"/>
        <v>0</v>
      </c>
      <c r="QT12" s="22">
        <f t="shared" si="146"/>
        <v>8.25</v>
      </c>
      <c r="QU12" s="22">
        <f t="shared" si="147"/>
        <v>3.6</v>
      </c>
      <c r="QV12" s="22">
        <f t="shared" si="148"/>
        <v>0.4</v>
      </c>
      <c r="QW12" s="22">
        <f t="shared" si="149"/>
        <v>0</v>
      </c>
      <c r="QX12" s="27" t="s">
        <v>46</v>
      </c>
      <c r="QY12" s="40">
        <f t="shared" si="150"/>
        <v>13.2</v>
      </c>
      <c r="QZ12" s="40">
        <f t="shared" si="151"/>
        <v>48.400000000000006</v>
      </c>
      <c r="RA12" s="40" t="str">
        <f t="shared" si="152"/>
        <v/>
      </c>
      <c r="RB12" s="40">
        <f t="shared" si="153"/>
        <v>13.2</v>
      </c>
      <c r="RC12" s="40">
        <f t="shared" si="154"/>
        <v>48.400000000000006</v>
      </c>
      <c r="RD12" s="40">
        <f t="shared" si="155"/>
        <v>6.2</v>
      </c>
      <c r="RE12" s="40">
        <f t="shared" si="156"/>
        <v>22.450000000000003</v>
      </c>
      <c r="RF12" s="40">
        <f t="shared" si="157"/>
        <v>70.850000000000009</v>
      </c>
    </row>
    <row r="13" spans="1:474" x14ac:dyDescent="0.2">
      <c r="A13" s="4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>10</v>
      </c>
      <c r="B13" s="4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>5</v>
      </c>
      <c r="C13" s="5" t="s">
        <v>170</v>
      </c>
      <c r="D13" s="4" t="s">
        <v>31</v>
      </c>
      <c r="E13" s="4">
        <v>2007</v>
      </c>
      <c r="F13" s="9">
        <f t="shared" si="0"/>
        <v>152.00001016000508</v>
      </c>
      <c r="G13" s="64"/>
      <c r="H13" s="3" t="str">
        <f>IF(OR(AND(AP13&gt;=AW$41,AQ13&gt;=AW$45,AP13&lt;&gt;"",AO13=""),AND(AU13&gt;=AW$41,AV13&gt;=AW$45,AU13&lt;&gt;"",AO13=""),AND(BS13&gt;=BZ$41,BT13&gt;=BZ$45,BS13&lt;&gt;"",BR13=""),AND(BX13&gt;=BZ$41,BY13&gt;=BZ$45,BX13&lt;&gt;"",BR13=""),AND(CV13&gt;=DC$41,CW13&gt;=DC$45,CV13&lt;&gt;"",CU13=""),AND(DA13&gt;=DC$41,DB13&gt;=DC$45,DA13&lt;&gt;""),AND(DZ13&gt;=EG$41,EA13&gt;=EG$45,DZ13&lt;&gt;""),AND(EE13&gt;=EG$41,EF13&gt;=EG$45,EE13&lt;&gt;""),AND(FB13&gt;=FI$41,FC13&gt;=FI$45,FB13&lt;&gt;""),AND(FG13&gt;=FI$41,FH13&gt;=FI$45,FG13&lt;&gt;""),AND(GD13&gt;=GK$41,GE13&gt;=GK$45,GD13&lt;&gt;""),AND(GI13&gt;=GK$41,GJ13&gt;=GK$45,GI13&lt;&gt;""),AND(HF13&gt;=HM$41,HG13&gt;=HM$45,HF13&lt;&gt;""),AND(HK13&gt;=HM$41,HL13&gt;=HM$45,HK13&lt;&gt;""),AND(IH13&gt;=IO$41,II13&gt;=IO$45,IH13&lt;&gt;""),AND(IM13&gt;=IO$41,IN13&gt;=IO$45,IM13&lt;&gt;""),AND(JJ13&gt;=JQ$41,JK13&gt;=JQ$45,JJ13&lt;&gt;""),AND(JO13&gt;=JQ$41,JP13&gt;=JQ$45,JO13&lt;&gt;""),AND(KL13&gt;=KS$41,KM13&gt;=KS$45,KL13&lt;&gt;""),AND(KQ13&gt;=KS$41,KR13&gt;=KS$45,KQ13&lt;&gt;""),AND(LN13&gt;=LU$41,LO13&gt;=LU$45,LN13&lt;&gt;""),AND(LS13&gt;=LU$41,LT13&gt;=LU$45,LS13&lt;&gt;""),AND(MP13&gt;=MW$41,MQ13&gt;=MW$45,MP13&lt;&gt;""),AND(MU13&gt;=MW$41,MV13&gt;=MW$45,MU13&lt;&gt;""),AND(NR13&gt;=NY$41,NS13&gt;=NY$45,NR13&lt;&gt;""),AND(NW13&gt;=NY$41,NX13&gt;=NY$45,NW13&lt;&gt;""),AND(OT13&gt;=PA$41,OU13&gt;=PA$45,OT13&lt;&gt;""),AND(OY13&gt;=PA$41,OZ13&gt;=PA$45,OY13&lt;&gt;""),AND(PV13&gt;=QC$41,PW13&gt;=QC$45,PV13&lt;&gt;""),AND(QA13&gt;=QC$41,QB13&gt;=QC$45,QA13&lt;&gt;"")),"P","")</f>
        <v>P</v>
      </c>
      <c r="I13" s="3" t="str">
        <f>IF(OR(AND(AQ13&gt;=AW$45,AQ13&lt;&gt;"",AO13=""),AND(AV13&gt;=AW$45,AV13&lt;&gt;"",AO13=""),AND(BT13&gt;=BZ$45,BT13&lt;&gt;"",BR13=""),AND(BY13&gt;=BZ$45,BY13&lt;&gt;"",BR13=""),AND(CW13&gt;=DC$45,CW13&lt;&gt;"",CU13=""),AND(DB13&gt;=DC$45,DB13&lt;&gt;"",CU13=""),AND(EA13&gt;=EG$45,EA13&lt;&gt;""),AND(EF13&gt;=EG$45,EF13&lt;&gt;""),AND(FC13&gt;=FI$45,FC13&lt;&gt;""),AND(FH13&gt;=FI$45,FH13&lt;&gt;""),AND(GE13&gt;=GK$45,GE13&lt;&gt;""),AND(GJ13&gt;=GK$45,GJ13&lt;&gt;""),AND(HG13&gt;=HM$45,HG13&lt;&gt;""),AND(HL13&gt;=HM$45,HL13&lt;&gt;""),AND(II13&gt;=IO$45,II13&lt;&gt;""),AND(IN13&gt;=IO$45,IN13&lt;&gt;""),AND(JK13&gt;=JQ$45,JK13&lt;&gt;""),AND(JP13&gt;=JQ$45,JP13&lt;&gt;""),AND(KM13&gt;=KS$45,KM13&lt;&gt;""),AND(KR13&gt;=KS$45,KR13&lt;&gt;""),AND(LO13&gt;=LU$45,LO13&lt;&gt;""),AND(LT13&gt;=LU$45,LT13&lt;&gt;""),AND(MQ13&gt;=MW$45,MQ13&lt;&gt;""),AND(MV13&gt;=MW$45,MV13&lt;&gt;""),AND(NS13&gt;=NY$45,NS13&lt;&gt;""),AND(NX13&gt;=NY$45,NX13&lt;&gt;""),AND(OU13&gt;=PA$45,OU13&lt;&gt;""),AND(OZ13&gt;=PA$45,OZ13&lt;&gt;""),AND(PW13&gt;=QC$45,PW13&lt;&gt;""),AND(QB13&gt;=QC$45,QB13&lt;&gt;"")),"P","")</f>
        <v>P</v>
      </c>
      <c r="J13" s="36" t="str">
        <f>IF(AND(I13="P",H13=""),"No DD",IF(OR(AND(AS13&gt;=AW$44,AT13&gt;=AW$48,AS13&lt;&gt;"",AO13=""),AND(BV13&gt;=BZ$44,BW13&gt;=BZ$48,BV13&lt;&gt;"",BR13=""),AND(CY13&gt;=DC$44,CZ13&gt;=DC$48,CY13&lt;&gt;"",CU13=""),AND(EC13&gt;=EG$44,ED13&gt;=EG$48,EC13&lt;&gt;""),AND(FE13&gt;=FI$44,FF13&gt;=FI$48,FE13&lt;&gt;""),AND(GG13&gt;=GK$44,GH13&gt;=GK$48,GG13&lt;&gt;""),AND(HI13&gt;=HM$44,HJ13&gt;=HM$48,HI13&lt;&gt;""),AND(IK13&gt;=IO$44,IL13&gt;=IO$48,IK13&lt;&gt;""),AND(JM13&gt;=JQ$44,JN13&gt;=JQ$48,JM13&lt;&gt;""),AND(KO13&gt;=KS$44,KP13&gt;=KS$48,KO13&lt;&gt;""),AND(LQ13&gt;=LU$44,LR13&gt;=LU$48,LQ13&lt;&gt;""),AND(MS13&gt;=MW$44,MT13&gt;=MW$48,MS13&lt;&gt;""),AND(NU13&gt;=NY$44,NV13&gt;=NY$48,NU13&lt;&gt;""),AND(OW13&gt;=PA$44,OX13&gt;=PA$48,OW13&lt;&gt;""),AND(PY13&gt;=QC$44,PZ13&gt;=QC$48,PY13&lt;&gt;"")),"Merit",IF(OR(AND(AS13&gt;=AW$43,AT13&gt;=AW$47,AS13&lt;&gt;"",AO13=""),AND(BV13&gt;=BZ$43,BW13&gt;=BZ$47,BV13&lt;&gt;"",BR13=""),AND(CY13&gt;=DC$43,CZ13&gt;=DC$47,CY13&lt;&gt;"",CU13=""),AND(EC13&gt;=EG$43,ED13&gt;=EG$47,EC13&lt;&gt;""),AND(FE13&gt;=FI$43,FF13&gt;=FI$47,FE13&lt;&gt;""),AND(GG13&gt;=GK$43,GH13&gt;=GK$47,GG13&lt;&gt;""),AND(HI13&gt;=HM$43,HJ13&gt;=HM$47,HI13&lt;&gt;""),AND(IK13&gt;=IO$43,IL13&gt;=IO$47,IK13&lt;&gt;""),AND(JM13&gt;=JQ$43,JN13&gt;=JQ$47,JM13&lt;&gt;""),AND(KO13&gt;=KS$43,KP13&gt;=KS$47,KO13&lt;&gt;""),AND(LQ13&gt;=LU$43,LR13&gt;=LU$47,LQ13&lt;&gt;""),AND(MS13&gt;=MW$43,MT13&gt;=MW$47,MS13&lt;&gt;""),AND(NU13&gt;=NY$43,NV13&gt;=NY$47,NU13&lt;&gt;""),AND(OW13&gt;=PA$43,OX13&gt;=PA$47,OW13&lt;&gt;""),AND(PY13&gt;=QC$43,PZ13&gt;=QC$47,PY13&lt;&gt;"")),"Excellence",IF(K13="P","Worlds Team",IF(H13="P","National Team","")))))</f>
        <v>National Team</v>
      </c>
      <c r="K13" s="3" t="str">
        <f>IF(OR(AND(AS13&gt;=AW$42,AT13&gt;=AW$46,AS13&lt;&gt;"",AO13=""),AND(BV13&gt;=BZ$42,BW13&gt;=BZ$46,BV13&lt;&gt;"",BR13=""),AND(CY13&gt;=DC$42,CZ13&gt;=DC$46,CY13&lt;&gt;"",CU13=""),AND(EC13&gt;=EG$42,ED13&gt;=EG$46,EC13&lt;&gt;""),AND(FE13&gt;=FI$42,FF13&gt;=FI$46,FE13&lt;&gt;""),AND(GG13&gt;=GK$42,GH13&gt;=GK$46,GG13&lt;&gt;""),AND(HI13&gt;=HM$42,HJ13&gt;=HM$46,HI13&lt;&gt;""),AND(IK13&gt;=IO$42,IL13&gt;=IO$46,IK13&lt;&gt;""),AND(JM13&gt;=JQ$42,JN13&gt;=JQ$46,JM13&lt;&gt;""),AND(KO13&gt;=KS$42,KP13&gt;=KS$46,KO13&lt;&gt;""),AND(LQ13&gt;=LU$42,LR13&gt;=LU$46,LQ13&lt;&gt;""),AND(MS13&gt;=MW$42,MT13&gt;=MW$46,MS13&lt;&gt;""),AND(NU13&gt;=NY$42,NV13&gt;=NY$46,NU13&lt;&gt;""),AND(OW13&gt;=PA$42,OX13&gt;=PA$46,OW13&lt;&gt;""),AND(PY13&gt;=QC$42,PZ13&gt;=QC$46,PY13&lt;&gt;"")),"P","")</f>
        <v/>
      </c>
      <c r="L13" s="8">
        <f>IF(COUNT(AQ13,BT13,CW13)&gt;0,LARGE((AQ13,BT13,CW13),1),0)</f>
        <v>50.999999999999993</v>
      </c>
      <c r="M13" s="8" t="str">
        <f t="shared" si="1"/>
        <v>2025 Elite Canada</v>
      </c>
      <c r="N13" s="8">
        <f>IF(COUNT(AQ13,BT13,CW13)&gt;1,LARGE((AQ13,BT13,CW13),2),0)</f>
        <v>50.599999999999994</v>
      </c>
      <c r="O13" s="8" t="str">
        <f t="shared" si="2"/>
        <v>2025 Nationals</v>
      </c>
      <c r="P13" s="8">
        <f t="shared" si="3"/>
        <v>50.4</v>
      </c>
      <c r="Q13" s="8" t="str">
        <f t="shared" si="4"/>
        <v>2025 Elite Canada</v>
      </c>
      <c r="R13" s="8" t="str">
        <f t="shared" si="5"/>
        <v/>
      </c>
      <c r="S13" s="11" t="str">
        <f t="shared" si="6"/>
        <v/>
      </c>
      <c r="T13" s="8" t="str">
        <f t="shared" si="7"/>
        <v/>
      </c>
      <c r="U13" s="19">
        <v>18.7</v>
      </c>
      <c r="V13" s="19">
        <v>5.6</v>
      </c>
      <c r="W13" s="19">
        <v>0.2</v>
      </c>
      <c r="X13" s="19">
        <v>0</v>
      </c>
      <c r="Y13" s="19">
        <v>18.8</v>
      </c>
      <c r="Z13" s="19">
        <v>6</v>
      </c>
      <c r="AA13" s="19">
        <v>0</v>
      </c>
      <c r="AB13" s="19">
        <v>0</v>
      </c>
      <c r="AC13" s="19">
        <v>18.8</v>
      </c>
      <c r="AD13" s="19">
        <v>4</v>
      </c>
      <c r="AE13" s="19">
        <v>0</v>
      </c>
      <c r="AF13" s="19">
        <v>0</v>
      </c>
      <c r="AG13" s="19">
        <v>19</v>
      </c>
      <c r="AH13" s="19">
        <v>5.6</v>
      </c>
      <c r="AI13" s="19">
        <v>0</v>
      </c>
      <c r="AJ13" s="19">
        <v>0</v>
      </c>
      <c r="AK13" s="19">
        <v>18.600000000000001</v>
      </c>
      <c r="AL13" s="19">
        <v>6</v>
      </c>
      <c r="AM13" s="19">
        <v>0.6</v>
      </c>
      <c r="AN13" s="19">
        <v>0</v>
      </c>
      <c r="AO13" s="27"/>
      <c r="AP13" s="40">
        <f t="shared" si="8"/>
        <v>11.6</v>
      </c>
      <c r="AQ13" s="40">
        <f t="shared" si="9"/>
        <v>48.899999999999991</v>
      </c>
      <c r="AR13" s="40">
        <f t="shared" si="10"/>
        <v>22.8</v>
      </c>
      <c r="AS13" s="40">
        <f t="shared" si="11"/>
        <v>15.6</v>
      </c>
      <c r="AT13" s="40">
        <f t="shared" si="12"/>
        <v>71.699999999999989</v>
      </c>
      <c r="AU13" s="40">
        <f t="shared" si="13"/>
        <v>11.6</v>
      </c>
      <c r="AV13" s="40">
        <f t="shared" si="14"/>
        <v>48.6</v>
      </c>
      <c r="AW13" s="40">
        <f t="shared" si="15"/>
        <v>120.29999999999998</v>
      </c>
      <c r="AX13" s="18">
        <v>18.8</v>
      </c>
      <c r="AY13" s="18">
        <v>7.2</v>
      </c>
      <c r="AZ13" s="18">
        <v>0.2</v>
      </c>
      <c r="BA13" s="18">
        <v>0</v>
      </c>
      <c r="BB13" s="18">
        <v>18.600000000000001</v>
      </c>
      <c r="BC13" s="18">
        <v>6.8</v>
      </c>
      <c r="BD13" s="18">
        <v>0.2</v>
      </c>
      <c r="BE13" s="18">
        <v>0</v>
      </c>
      <c r="BF13" s="18"/>
      <c r="BG13" s="18"/>
      <c r="BH13" s="18"/>
      <c r="BI13" s="18"/>
      <c r="BJ13" s="18">
        <v>18.5</v>
      </c>
      <c r="BK13" s="18">
        <v>7.2</v>
      </c>
      <c r="BL13" s="18">
        <v>0</v>
      </c>
      <c r="BM13" s="18">
        <v>0</v>
      </c>
      <c r="BN13" s="18">
        <v>18.5</v>
      </c>
      <c r="BO13" s="18">
        <v>6.8</v>
      </c>
      <c r="BP13" s="18">
        <v>0.6</v>
      </c>
      <c r="BQ13" s="18">
        <v>0</v>
      </c>
      <c r="BR13" s="28"/>
      <c r="BS13" s="11">
        <f t="shared" si="16"/>
        <v>14</v>
      </c>
      <c r="BT13" s="11">
        <f t="shared" si="17"/>
        <v>50.999999999999993</v>
      </c>
      <c r="BU13" s="11" t="str">
        <f t="shared" si="18"/>
        <v/>
      </c>
      <c r="BV13" s="11">
        <f t="shared" si="19"/>
        <v>14</v>
      </c>
      <c r="BW13" s="11">
        <f t="shared" si="20"/>
        <v>50.999999999999993</v>
      </c>
      <c r="BX13" s="11">
        <f t="shared" si="21"/>
        <v>14</v>
      </c>
      <c r="BY13" s="11">
        <f t="shared" si="22"/>
        <v>50.4</v>
      </c>
      <c r="BZ13" s="11">
        <f t="shared" si="23"/>
        <v>101.39999999999999</v>
      </c>
      <c r="CA13" s="19">
        <v>18.600000000000001</v>
      </c>
      <c r="CB13" s="19">
        <v>7.2</v>
      </c>
      <c r="CC13" s="19">
        <v>0.2</v>
      </c>
      <c r="CD13" s="19">
        <v>0</v>
      </c>
      <c r="CE13" s="19">
        <v>18.399999999999999</v>
      </c>
      <c r="CF13" s="19">
        <v>6.8</v>
      </c>
      <c r="CG13" s="19">
        <v>0.2</v>
      </c>
      <c r="CH13" s="19">
        <v>0</v>
      </c>
      <c r="CI13" s="19"/>
      <c r="CJ13" s="19"/>
      <c r="CK13" s="19"/>
      <c r="CL13" s="19"/>
      <c r="CM13" s="19">
        <v>18.600000000000001</v>
      </c>
      <c r="CN13" s="19">
        <v>6.8</v>
      </c>
      <c r="CO13" s="19">
        <v>0</v>
      </c>
      <c r="CP13" s="19">
        <v>0</v>
      </c>
      <c r="CQ13" s="19">
        <v>18.5</v>
      </c>
      <c r="CR13" s="19">
        <v>6.8</v>
      </c>
      <c r="CS13" s="19">
        <v>0.6</v>
      </c>
      <c r="CT13" s="19">
        <v>0</v>
      </c>
      <c r="CU13" s="27"/>
      <c r="CV13" s="40">
        <f t="shared" si="24"/>
        <v>14</v>
      </c>
      <c r="CW13" s="40">
        <f t="shared" si="25"/>
        <v>50.599999999999994</v>
      </c>
      <c r="CX13" s="40" t="str">
        <f t="shared" si="26"/>
        <v/>
      </c>
      <c r="CY13" s="40">
        <f t="shared" si="27"/>
        <v>14</v>
      </c>
      <c r="CZ13" s="40">
        <f t="shared" si="28"/>
        <v>50.599999999999994</v>
      </c>
      <c r="DA13" s="40">
        <f t="shared" si="29"/>
        <v>13.6</v>
      </c>
      <c r="DB13" s="40">
        <f t="shared" si="30"/>
        <v>50.1</v>
      </c>
      <c r="DC13" s="40">
        <f t="shared" si="31"/>
        <v>100.69999999999999</v>
      </c>
      <c r="DD13" s="50" t="str">
        <f t="shared" si="32"/>
        <v/>
      </c>
      <c r="DE13" s="50" t="str">
        <f t="shared" si="33"/>
        <v/>
      </c>
      <c r="DF13" s="17">
        <v>18.8</v>
      </c>
      <c r="DG13" s="17">
        <v>3.5</v>
      </c>
      <c r="DH13" s="17">
        <v>0</v>
      </c>
      <c r="DI13" s="17">
        <v>0</v>
      </c>
      <c r="DJ13" s="17">
        <v>18.399999999999999</v>
      </c>
      <c r="DK13" s="17">
        <v>4.3</v>
      </c>
      <c r="DL13" s="17">
        <v>0</v>
      </c>
      <c r="DM13" s="17">
        <v>0</v>
      </c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>
        <f t="shared" si="34"/>
        <v>7.8</v>
      </c>
      <c r="EA13" s="40">
        <f t="shared" si="35"/>
        <v>45</v>
      </c>
      <c r="EB13" s="40" t="str">
        <f t="shared" si="36"/>
        <v/>
      </c>
      <c r="EC13" s="40">
        <f t="shared" si="37"/>
        <v>7.8</v>
      </c>
      <c r="ED13" s="40">
        <f t="shared" si="38"/>
        <v>45</v>
      </c>
      <c r="EE13" s="40" t="str">
        <f t="shared" si="39"/>
        <v/>
      </c>
      <c r="EF13" s="40" t="str">
        <f t="shared" si="40"/>
        <v/>
      </c>
      <c r="EG13" s="40">
        <f t="shared" si="41"/>
        <v>45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2"/>
        <v/>
      </c>
      <c r="FC13" s="11" t="str">
        <f t="shared" si="43"/>
        <v/>
      </c>
      <c r="FD13" s="11" t="str">
        <f t="shared" si="44"/>
        <v/>
      </c>
      <c r="FE13" s="11" t="str">
        <f t="shared" si="45"/>
        <v/>
      </c>
      <c r="FF13" s="11" t="str">
        <f t="shared" si="46"/>
        <v/>
      </c>
      <c r="FG13" s="11" t="str">
        <f t="shared" si="47"/>
        <v/>
      </c>
      <c r="FH13" s="11" t="str">
        <f t="shared" si="48"/>
        <v/>
      </c>
      <c r="FI13" s="11" t="str">
        <f t="shared" si="49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0"/>
        <v/>
      </c>
      <c r="GE13" s="40" t="str">
        <f t="shared" si="51"/>
        <v/>
      </c>
      <c r="GF13" s="40" t="str">
        <f t="shared" si="52"/>
        <v/>
      </c>
      <c r="GG13" s="40" t="str">
        <f t="shared" si="53"/>
        <v/>
      </c>
      <c r="GH13" s="40" t="str">
        <f t="shared" si="54"/>
        <v/>
      </c>
      <c r="GI13" s="40" t="str">
        <f t="shared" si="55"/>
        <v/>
      </c>
      <c r="GJ13" s="40" t="str">
        <f t="shared" si="56"/>
        <v/>
      </c>
      <c r="GK13" s="40" t="str">
        <f t="shared" si="57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58"/>
        <v/>
      </c>
      <c r="HG13" s="11" t="str">
        <f t="shared" si="59"/>
        <v/>
      </c>
      <c r="HH13" s="11" t="str">
        <f t="shared" si="60"/>
        <v/>
      </c>
      <c r="HI13" s="11" t="str">
        <f t="shared" si="61"/>
        <v/>
      </c>
      <c r="HJ13" s="11" t="str">
        <f t="shared" si="62"/>
        <v/>
      </c>
      <c r="HK13" s="11" t="str">
        <f t="shared" si="63"/>
        <v/>
      </c>
      <c r="HL13" s="11" t="str">
        <f t="shared" si="64"/>
        <v/>
      </c>
      <c r="HM13" s="11" t="str">
        <f t="shared" si="65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6"/>
        <v/>
      </c>
      <c r="II13" s="40" t="str">
        <f t="shared" si="67"/>
        <v/>
      </c>
      <c r="IJ13" s="40" t="str">
        <f t="shared" si="68"/>
        <v/>
      </c>
      <c r="IK13" s="40" t="str">
        <f t="shared" si="69"/>
        <v/>
      </c>
      <c r="IL13" s="40" t="str">
        <f t="shared" si="70"/>
        <v/>
      </c>
      <c r="IM13" s="40" t="str">
        <f t="shared" si="71"/>
        <v/>
      </c>
      <c r="IN13" s="40" t="str">
        <f t="shared" si="72"/>
        <v/>
      </c>
      <c r="IO13" s="40" t="str">
        <f t="shared" si="73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4"/>
        <v/>
      </c>
      <c r="JK13" s="11" t="str">
        <f t="shared" si="75"/>
        <v/>
      </c>
      <c r="JL13" s="11" t="str">
        <f t="shared" si="76"/>
        <v/>
      </c>
      <c r="JM13" s="11" t="str">
        <f t="shared" si="77"/>
        <v/>
      </c>
      <c r="JN13" s="11" t="str">
        <f t="shared" si="78"/>
        <v/>
      </c>
      <c r="JO13" s="11" t="str">
        <f t="shared" si="79"/>
        <v/>
      </c>
      <c r="JP13" s="11" t="str">
        <f t="shared" si="80"/>
        <v/>
      </c>
      <c r="JQ13" s="11" t="str">
        <f t="shared" si="81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2"/>
        <v/>
      </c>
      <c r="KM13" s="40" t="str">
        <f t="shared" si="83"/>
        <v/>
      </c>
      <c r="KN13" s="40" t="str">
        <f t="shared" si="84"/>
        <v/>
      </c>
      <c r="KO13" s="40" t="str">
        <f t="shared" si="85"/>
        <v/>
      </c>
      <c r="KP13" s="40" t="str">
        <f t="shared" si="86"/>
        <v/>
      </c>
      <c r="KQ13" s="40" t="str">
        <f t="shared" si="87"/>
        <v/>
      </c>
      <c r="KR13" s="40" t="str">
        <f t="shared" si="88"/>
        <v/>
      </c>
      <c r="KS13" s="40" t="str">
        <f t="shared" si="89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0"/>
        <v/>
      </c>
      <c r="LO13" s="11" t="str">
        <f t="shared" si="91"/>
        <v/>
      </c>
      <c r="LP13" s="11" t="str">
        <f t="shared" si="92"/>
        <v/>
      </c>
      <c r="LQ13" s="11" t="str">
        <f t="shared" si="93"/>
        <v/>
      </c>
      <c r="LR13" s="11" t="str">
        <f t="shared" si="94"/>
        <v/>
      </c>
      <c r="LS13" s="11" t="str">
        <f t="shared" si="95"/>
        <v/>
      </c>
      <c r="LT13" s="11" t="str">
        <f t="shared" si="96"/>
        <v/>
      </c>
      <c r="LU13" s="11" t="str">
        <f t="shared" si="97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98"/>
        <v/>
      </c>
      <c r="MQ13" s="40" t="str">
        <f t="shared" si="99"/>
        <v/>
      </c>
      <c r="MR13" s="40" t="str">
        <f t="shared" si="100"/>
        <v/>
      </c>
      <c r="MS13" s="40" t="str">
        <f t="shared" si="101"/>
        <v/>
      </c>
      <c r="MT13" s="40" t="str">
        <f t="shared" si="102"/>
        <v/>
      </c>
      <c r="MU13" s="40" t="str">
        <f t="shared" si="103"/>
        <v/>
      </c>
      <c r="MV13" s="40" t="str">
        <f t="shared" si="104"/>
        <v/>
      </c>
      <c r="MW13" s="40" t="str">
        <f t="shared" si="105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6"/>
        <v/>
      </c>
      <c r="NS13" s="11" t="str">
        <f t="shared" si="107"/>
        <v/>
      </c>
      <c r="NT13" s="11" t="str">
        <f t="shared" si="108"/>
        <v/>
      </c>
      <c r="NU13" s="11" t="str">
        <f t="shared" si="109"/>
        <v/>
      </c>
      <c r="NV13" s="11" t="str">
        <f t="shared" si="110"/>
        <v/>
      </c>
      <c r="NW13" s="11" t="str">
        <f t="shared" si="111"/>
        <v/>
      </c>
      <c r="NX13" s="11" t="str">
        <f t="shared" si="112"/>
        <v/>
      </c>
      <c r="NY13" s="11" t="str">
        <f t="shared" si="113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4"/>
        <v/>
      </c>
      <c r="OU13" s="40" t="str">
        <f t="shared" si="115"/>
        <v/>
      </c>
      <c r="OV13" s="40" t="str">
        <f t="shared" si="116"/>
        <v/>
      </c>
      <c r="OW13" s="40" t="str">
        <f t="shared" si="117"/>
        <v/>
      </c>
      <c r="OX13" s="40" t="str">
        <f t="shared" si="118"/>
        <v/>
      </c>
      <c r="OY13" s="40" t="str">
        <f t="shared" si="119"/>
        <v/>
      </c>
      <c r="OZ13" s="40" t="str">
        <f t="shared" si="120"/>
        <v/>
      </c>
      <c r="PA13" s="40" t="str">
        <f t="shared" si="121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2"/>
        <v/>
      </c>
      <c r="PW13" s="11" t="str">
        <f t="shared" si="123"/>
        <v/>
      </c>
      <c r="PX13" s="11" t="str">
        <f t="shared" si="124"/>
        <v/>
      </c>
      <c r="PY13" s="11" t="str">
        <f t="shared" si="125"/>
        <v/>
      </c>
      <c r="PZ13" s="11" t="str">
        <f t="shared" si="126"/>
        <v/>
      </c>
      <c r="QA13" s="11" t="str">
        <f t="shared" si="127"/>
        <v/>
      </c>
      <c r="QB13" s="11" t="str">
        <f t="shared" si="128"/>
        <v/>
      </c>
      <c r="QC13" s="11" t="str">
        <f t="shared" si="129"/>
        <v/>
      </c>
      <c r="QD13" s="22">
        <f t="shared" si="130"/>
        <v>18.700000000000003</v>
      </c>
      <c r="QE13" s="22">
        <f t="shared" si="131"/>
        <v>7.2</v>
      </c>
      <c r="QF13" s="22">
        <f t="shared" si="132"/>
        <v>0.2</v>
      </c>
      <c r="QG13" s="22">
        <f t="shared" si="133"/>
        <v>0</v>
      </c>
      <c r="QH13" s="22">
        <f t="shared" si="134"/>
        <v>18.5</v>
      </c>
      <c r="QI13" s="22">
        <f t="shared" si="135"/>
        <v>6.8</v>
      </c>
      <c r="QJ13" s="22">
        <f t="shared" si="136"/>
        <v>0.2</v>
      </c>
      <c r="QK13" s="22">
        <f t="shared" si="137"/>
        <v>0</v>
      </c>
      <c r="QL13" s="22">
        <f t="shared" si="138"/>
        <v>0</v>
      </c>
      <c r="QM13" s="22">
        <f t="shared" si="139"/>
        <v>0</v>
      </c>
      <c r="QN13" s="22">
        <f t="shared" si="140"/>
        <v>0</v>
      </c>
      <c r="QO13" s="22">
        <f t="shared" si="141"/>
        <v>0</v>
      </c>
      <c r="QP13" s="22">
        <f t="shared" si="142"/>
        <v>18.55</v>
      </c>
      <c r="QQ13" s="22">
        <f t="shared" si="143"/>
        <v>7</v>
      </c>
      <c r="QR13" s="22">
        <f t="shared" si="144"/>
        <v>0</v>
      </c>
      <c r="QS13" s="22">
        <f t="shared" si="145"/>
        <v>0</v>
      </c>
      <c r="QT13" s="22">
        <f t="shared" si="146"/>
        <v>18.5</v>
      </c>
      <c r="QU13" s="22">
        <f t="shared" si="147"/>
        <v>6.8</v>
      </c>
      <c r="QV13" s="22">
        <f t="shared" si="148"/>
        <v>0.6</v>
      </c>
      <c r="QW13" s="22">
        <f t="shared" si="149"/>
        <v>0</v>
      </c>
      <c r="QX13" s="27" t="s">
        <v>46</v>
      </c>
      <c r="QY13" s="40">
        <f t="shared" si="150"/>
        <v>14</v>
      </c>
      <c r="QZ13" s="40">
        <f t="shared" si="151"/>
        <v>50.8</v>
      </c>
      <c r="RA13" s="40" t="str">
        <f t="shared" si="152"/>
        <v/>
      </c>
      <c r="RB13" s="40">
        <f t="shared" si="153"/>
        <v>14</v>
      </c>
      <c r="RC13" s="40">
        <f t="shared" si="154"/>
        <v>50.8</v>
      </c>
      <c r="RD13" s="40">
        <f t="shared" si="155"/>
        <v>13.8</v>
      </c>
      <c r="RE13" s="40">
        <f t="shared" si="156"/>
        <v>50.249999999999993</v>
      </c>
      <c r="RF13" s="40">
        <f t="shared" si="157"/>
        <v>101.04999999999998</v>
      </c>
    </row>
    <row r="14" spans="1:474" x14ac:dyDescent="0.2">
      <c r="A14" s="4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>11</v>
      </c>
      <c r="B14" s="4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>6</v>
      </c>
      <c r="C14" s="5" t="s">
        <v>87</v>
      </c>
      <c r="D14" s="4" t="s">
        <v>4</v>
      </c>
      <c r="E14" s="4">
        <v>2004</v>
      </c>
      <c r="F14" s="9">
        <f t="shared" si="0"/>
        <v>151.55000963500484</v>
      </c>
      <c r="G14" s="64"/>
      <c r="H14" s="3" t="str">
        <f>IF(OR(AND(AP14&gt;=AW$41,AQ14&gt;=AW$45,AP14&lt;&gt;"",AO14=""),AND(AU14&gt;=AW$41,AV14&gt;=AW$45,AU14&lt;&gt;"",AO14=""),AND(BS14&gt;=BZ$41,BT14&gt;=BZ$45,BS14&lt;&gt;"",BR14=""),AND(BX14&gt;=BZ$41,BY14&gt;=BZ$45,BX14&lt;&gt;"",BR14=""),AND(CV14&gt;=DC$41,CW14&gt;=DC$45,CV14&lt;&gt;"",CU14=""),AND(DA14&gt;=DC$41,DB14&gt;=DC$45,DA14&lt;&gt;""),AND(DZ14&gt;=EG$41,EA14&gt;=EG$45,DZ14&lt;&gt;""),AND(EE14&gt;=EG$41,EF14&gt;=EG$45,EE14&lt;&gt;""),AND(FB14&gt;=FI$41,FC14&gt;=FI$45,FB14&lt;&gt;""),AND(FG14&gt;=FI$41,FH14&gt;=FI$45,FG14&lt;&gt;""),AND(GD14&gt;=GK$41,GE14&gt;=GK$45,GD14&lt;&gt;""),AND(GI14&gt;=GK$41,GJ14&gt;=GK$45,GI14&lt;&gt;""),AND(HF14&gt;=HM$41,HG14&gt;=HM$45,HF14&lt;&gt;""),AND(HK14&gt;=HM$41,HL14&gt;=HM$45,HK14&lt;&gt;""),AND(IH14&gt;=IO$41,II14&gt;=IO$45,IH14&lt;&gt;""),AND(IM14&gt;=IO$41,IN14&gt;=IO$45,IM14&lt;&gt;""),AND(JJ14&gt;=JQ$41,JK14&gt;=JQ$45,JJ14&lt;&gt;""),AND(JO14&gt;=JQ$41,JP14&gt;=JQ$45,JO14&lt;&gt;""),AND(KL14&gt;=KS$41,KM14&gt;=KS$45,KL14&lt;&gt;""),AND(KQ14&gt;=KS$41,KR14&gt;=KS$45,KQ14&lt;&gt;""),AND(LN14&gt;=LU$41,LO14&gt;=LU$45,LN14&lt;&gt;""),AND(LS14&gt;=LU$41,LT14&gt;=LU$45,LS14&lt;&gt;""),AND(MP14&gt;=MW$41,MQ14&gt;=MW$45,MP14&lt;&gt;""),AND(MU14&gt;=MW$41,MV14&gt;=MW$45,MU14&lt;&gt;""),AND(NR14&gt;=NY$41,NS14&gt;=NY$45,NR14&lt;&gt;""),AND(NW14&gt;=NY$41,NX14&gt;=NY$45,NW14&lt;&gt;""),AND(OT14&gt;=PA$41,OU14&gt;=PA$45,OT14&lt;&gt;""),AND(OY14&gt;=PA$41,OZ14&gt;=PA$45,OY14&lt;&gt;""),AND(PV14&gt;=QC$41,PW14&gt;=QC$45,PV14&lt;&gt;""),AND(QA14&gt;=QC$41,QB14&gt;=QC$45,QA14&lt;&gt;"")),"P","")</f>
        <v>P</v>
      </c>
      <c r="I14" s="3" t="str">
        <f>IF(OR(AND(AQ14&gt;=AW$45,AQ14&lt;&gt;"",AO14=""),AND(AV14&gt;=AW$45,AV14&lt;&gt;"",AO14=""),AND(BT14&gt;=BZ$45,BT14&lt;&gt;"",BR14=""),AND(BY14&gt;=BZ$45,BY14&lt;&gt;"",BR14=""),AND(CW14&gt;=DC$45,CW14&lt;&gt;"",CU14=""),AND(DB14&gt;=DC$45,DB14&lt;&gt;"",CU14=""),AND(EA14&gt;=EG$45,EA14&lt;&gt;""),AND(EF14&gt;=EG$45,EF14&lt;&gt;""),AND(FC14&gt;=FI$45,FC14&lt;&gt;""),AND(FH14&gt;=FI$45,FH14&lt;&gt;""),AND(GE14&gt;=GK$45,GE14&lt;&gt;""),AND(GJ14&gt;=GK$45,GJ14&lt;&gt;""),AND(HG14&gt;=HM$45,HG14&lt;&gt;""),AND(HL14&gt;=HM$45,HL14&lt;&gt;""),AND(II14&gt;=IO$45,II14&lt;&gt;""),AND(IN14&gt;=IO$45,IN14&lt;&gt;""),AND(JK14&gt;=JQ$45,JK14&lt;&gt;""),AND(JP14&gt;=JQ$45,JP14&lt;&gt;""),AND(KM14&gt;=KS$45,KM14&lt;&gt;""),AND(KR14&gt;=KS$45,KR14&lt;&gt;""),AND(LO14&gt;=LU$45,LO14&lt;&gt;""),AND(LT14&gt;=LU$45,LT14&lt;&gt;""),AND(MQ14&gt;=MW$45,MQ14&lt;&gt;""),AND(MV14&gt;=MW$45,MV14&lt;&gt;""),AND(NS14&gt;=NY$45,NS14&lt;&gt;""),AND(NX14&gt;=NY$45,NX14&lt;&gt;""),AND(OU14&gt;=PA$45,OU14&lt;&gt;""),AND(OZ14&gt;=PA$45,OZ14&lt;&gt;""),AND(PW14&gt;=QC$45,PW14&lt;&gt;""),AND(QB14&gt;=QC$45,QB14&lt;&gt;"")),"P","")</f>
        <v>P</v>
      </c>
      <c r="J14" s="36" t="str">
        <f>IF(AND(I14="P",H14=""),"No DD",IF(OR(AND(AS14&gt;=AW$44,AT14&gt;=AW$48,AS14&lt;&gt;"",AO14=""),AND(BV14&gt;=BZ$44,BW14&gt;=BZ$48,BV14&lt;&gt;"",BR14=""),AND(CY14&gt;=DC$44,CZ14&gt;=DC$48,CY14&lt;&gt;"",CU14=""),AND(EC14&gt;=EG$44,ED14&gt;=EG$48,EC14&lt;&gt;""),AND(FE14&gt;=FI$44,FF14&gt;=FI$48,FE14&lt;&gt;""),AND(GG14&gt;=GK$44,GH14&gt;=GK$48,GG14&lt;&gt;""),AND(HI14&gt;=HM$44,HJ14&gt;=HM$48,HI14&lt;&gt;""),AND(IK14&gt;=IO$44,IL14&gt;=IO$48,IK14&lt;&gt;""),AND(JM14&gt;=JQ$44,JN14&gt;=JQ$48,JM14&lt;&gt;""),AND(KO14&gt;=KS$44,KP14&gt;=KS$48,KO14&lt;&gt;""),AND(LQ14&gt;=LU$44,LR14&gt;=LU$48,LQ14&lt;&gt;""),AND(MS14&gt;=MW$44,MT14&gt;=MW$48,MS14&lt;&gt;""),AND(NU14&gt;=NY$44,NV14&gt;=NY$48,NU14&lt;&gt;""),AND(OW14&gt;=PA$44,OX14&gt;=PA$48,OW14&lt;&gt;""),AND(PY14&gt;=QC$44,PZ14&gt;=QC$48,PY14&lt;&gt;"")),"Merit",IF(OR(AND(AS14&gt;=AW$43,AT14&gt;=AW$47,AS14&lt;&gt;"",AO14=""),AND(BV14&gt;=BZ$43,BW14&gt;=BZ$47,BV14&lt;&gt;"",BR14=""),AND(CY14&gt;=DC$43,CZ14&gt;=DC$47,CY14&lt;&gt;"",CU14=""),AND(EC14&gt;=EG$43,ED14&gt;=EG$47,EC14&lt;&gt;""),AND(FE14&gt;=FI$43,FF14&gt;=FI$47,FE14&lt;&gt;""),AND(GG14&gt;=GK$43,GH14&gt;=GK$47,GG14&lt;&gt;""),AND(HI14&gt;=HM$43,HJ14&gt;=HM$47,HI14&lt;&gt;""),AND(IK14&gt;=IO$43,IL14&gt;=IO$47,IK14&lt;&gt;""),AND(JM14&gt;=JQ$43,JN14&gt;=JQ$47,JM14&lt;&gt;""),AND(KO14&gt;=KS$43,KP14&gt;=KS$47,KO14&lt;&gt;""),AND(LQ14&gt;=LU$43,LR14&gt;=LU$47,LQ14&lt;&gt;""),AND(MS14&gt;=MW$43,MT14&gt;=MW$47,MS14&lt;&gt;""),AND(NU14&gt;=NY$43,NV14&gt;=NY$47,NU14&lt;&gt;""),AND(OW14&gt;=PA$43,OX14&gt;=PA$47,OW14&lt;&gt;""),AND(PY14&gt;=QC$43,PZ14&gt;=QC$47,PY14&lt;&gt;"")),"Excellence",IF(K14="P","Worlds Team",IF(H14="P","National Team","")))))</f>
        <v>National Team</v>
      </c>
      <c r="K14" s="3" t="str">
        <f>IF(OR(AND(AS14&gt;=AW$42,AT14&gt;=AW$46,AS14&lt;&gt;"",AO14=""),AND(BV14&gt;=BZ$42,BW14&gt;=BZ$46,BV14&lt;&gt;"",BR14=""),AND(CY14&gt;=DC$42,CZ14&gt;=DC$46,CY14&lt;&gt;"",CU14=""),AND(EC14&gt;=EG$42,ED14&gt;=EG$46,EC14&lt;&gt;""),AND(FE14&gt;=FI$42,FF14&gt;=FI$46,FE14&lt;&gt;""),AND(GG14&gt;=GK$42,GH14&gt;=GK$46,GG14&lt;&gt;""),AND(HI14&gt;=HM$42,HJ14&gt;=HM$46,HI14&lt;&gt;""),AND(IK14&gt;=IO$42,IL14&gt;=IO$46,IK14&lt;&gt;""),AND(JM14&gt;=JQ$42,JN14&gt;=JQ$46,JM14&lt;&gt;""),AND(KO14&gt;=KS$42,KP14&gt;=KS$46,KO14&lt;&gt;""),AND(LQ14&gt;=LU$42,LR14&gt;=LU$46,LQ14&lt;&gt;""),AND(MS14&gt;=MW$42,MT14&gt;=MW$46,MS14&lt;&gt;""),AND(NU14&gt;=NY$42,NV14&gt;=NY$46,NU14&lt;&gt;""),AND(OW14&gt;=PA$42,OX14&gt;=PA$46,OW14&lt;&gt;""),AND(PY14&gt;=QC$42,PZ14&gt;=QC$46,PY14&lt;&gt;"")),"P","")</f>
        <v/>
      </c>
      <c r="L14" s="8">
        <f>IF(COUNT(AQ14,BT14,CW14)&gt;0,LARGE((AQ14,BT14,CW14),1),0)</f>
        <v>48.2</v>
      </c>
      <c r="M14" s="8" t="str">
        <f t="shared" si="1"/>
        <v>2025 Elite Canada</v>
      </c>
      <c r="N14" s="8">
        <f>IF(COUNT(AQ14,BT14,CW14)&gt;1,LARGE((AQ14,BT14,CW14),2),0)</f>
        <v>48.150000000000006</v>
      </c>
      <c r="O14" s="8" t="str">
        <f t="shared" si="2"/>
        <v>2025 Nationals</v>
      </c>
      <c r="P14" s="8">
        <f t="shared" si="3"/>
        <v>55.2</v>
      </c>
      <c r="Q14" s="8" t="str">
        <f t="shared" si="4"/>
        <v>2024 3rd Domestic Trial</v>
      </c>
      <c r="R14" s="8" t="str">
        <f t="shared" si="5"/>
        <v/>
      </c>
      <c r="S14" s="11" t="str">
        <f t="shared" si="6"/>
        <v/>
      </c>
      <c r="T14" s="8" t="str">
        <f t="shared" si="7"/>
        <v/>
      </c>
      <c r="U14" s="19">
        <v>17.2</v>
      </c>
      <c r="V14" s="19">
        <v>3.6</v>
      </c>
      <c r="W14" s="19">
        <v>0</v>
      </c>
      <c r="X14" s="19">
        <v>0</v>
      </c>
      <c r="Y14" s="19">
        <v>18.600000000000001</v>
      </c>
      <c r="Z14" s="19">
        <v>9.1999999999999993</v>
      </c>
      <c r="AA14" s="19">
        <v>0.8</v>
      </c>
      <c r="AB14" s="19">
        <v>0.3</v>
      </c>
      <c r="AC14" s="19">
        <v>18.100000000000001</v>
      </c>
      <c r="AD14" s="19">
        <v>9.3000000000000007</v>
      </c>
      <c r="AE14" s="19">
        <v>0.6</v>
      </c>
      <c r="AF14" s="19">
        <v>0.3</v>
      </c>
      <c r="AG14" s="19">
        <v>18.399999999999999</v>
      </c>
      <c r="AH14" s="19">
        <v>8.9</v>
      </c>
      <c r="AI14" s="19">
        <v>0.8</v>
      </c>
      <c r="AJ14" s="19">
        <v>0.3</v>
      </c>
      <c r="AK14" s="19">
        <v>19.100000000000001</v>
      </c>
      <c r="AL14" s="19">
        <v>9.1999999999999993</v>
      </c>
      <c r="AM14" s="19">
        <v>0.2</v>
      </c>
      <c r="AN14" s="19">
        <v>0.3</v>
      </c>
      <c r="AO14" s="27"/>
      <c r="AP14" s="40">
        <f t="shared" si="8"/>
        <v>12.799999999999999</v>
      </c>
      <c r="AQ14" s="40">
        <f t="shared" si="9"/>
        <v>48.100000000000009</v>
      </c>
      <c r="AR14" s="40">
        <f t="shared" si="10"/>
        <v>27.1</v>
      </c>
      <c r="AS14" s="40">
        <f t="shared" si="11"/>
        <v>22.1</v>
      </c>
      <c r="AT14" s="40">
        <f t="shared" si="12"/>
        <v>75.200000000000017</v>
      </c>
      <c r="AU14" s="40">
        <f t="shared" si="13"/>
        <v>18.100000000000001</v>
      </c>
      <c r="AV14" s="40">
        <f t="shared" si="14"/>
        <v>55.2</v>
      </c>
      <c r="AW14" s="40">
        <f t="shared" si="15"/>
        <v>130.40000000000003</v>
      </c>
      <c r="AX14" s="18">
        <v>15.3</v>
      </c>
      <c r="AY14" s="18">
        <v>4</v>
      </c>
      <c r="AZ14" s="18">
        <v>0</v>
      </c>
      <c r="BA14" s="18">
        <v>0</v>
      </c>
      <c r="BB14" s="18">
        <v>18.3</v>
      </c>
      <c r="BC14" s="18">
        <v>10</v>
      </c>
      <c r="BD14" s="18">
        <v>0</v>
      </c>
      <c r="BE14" s="18">
        <v>0.6</v>
      </c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16"/>
        <v>14</v>
      </c>
      <c r="BT14" s="11">
        <f t="shared" si="17"/>
        <v>48.2</v>
      </c>
      <c r="BU14" s="11" t="str">
        <f t="shared" si="18"/>
        <v/>
      </c>
      <c r="BV14" s="11">
        <f t="shared" si="19"/>
        <v>14</v>
      </c>
      <c r="BW14" s="11">
        <f t="shared" si="20"/>
        <v>48.2</v>
      </c>
      <c r="BX14" s="11" t="str">
        <f t="shared" si="21"/>
        <v/>
      </c>
      <c r="BY14" s="11" t="str">
        <f t="shared" si="22"/>
        <v/>
      </c>
      <c r="BZ14" s="11">
        <f t="shared" si="23"/>
        <v>48.2</v>
      </c>
      <c r="CA14" s="19">
        <v>16.25</v>
      </c>
      <c r="CB14" s="19">
        <v>3.8</v>
      </c>
      <c r="CC14" s="19">
        <v>0</v>
      </c>
      <c r="CD14" s="19">
        <v>0</v>
      </c>
      <c r="CE14" s="19">
        <v>18.450000000000003</v>
      </c>
      <c r="CF14" s="19">
        <v>9.6</v>
      </c>
      <c r="CG14" s="19">
        <v>0.4</v>
      </c>
      <c r="CH14" s="19">
        <v>0.44999999999999996</v>
      </c>
      <c r="CI14" s="19"/>
      <c r="CJ14" s="19"/>
      <c r="CK14" s="19"/>
      <c r="CL14" s="19"/>
      <c r="CM14" s="19">
        <v>9.1999999999999993</v>
      </c>
      <c r="CN14" s="19">
        <v>4.45</v>
      </c>
      <c r="CO14" s="19">
        <v>0.4</v>
      </c>
      <c r="CP14" s="19">
        <v>0.15</v>
      </c>
      <c r="CQ14" s="19">
        <v>9.5500000000000007</v>
      </c>
      <c r="CR14" s="19">
        <v>4.5999999999999996</v>
      </c>
      <c r="CS14" s="19">
        <v>0.1</v>
      </c>
      <c r="CT14" s="19">
        <v>0.15</v>
      </c>
      <c r="CU14" s="27" t="s">
        <v>46</v>
      </c>
      <c r="CV14" s="40">
        <f t="shared" si="24"/>
        <v>13.399999999999999</v>
      </c>
      <c r="CW14" s="40">
        <f t="shared" si="25"/>
        <v>48.150000000000006</v>
      </c>
      <c r="CX14" s="40" t="str">
        <f t="shared" si="26"/>
        <v/>
      </c>
      <c r="CY14" s="40">
        <f t="shared" si="27"/>
        <v>13.399999999999999</v>
      </c>
      <c r="CZ14" s="40">
        <f t="shared" si="28"/>
        <v>48.150000000000006</v>
      </c>
      <c r="DA14" s="40">
        <f t="shared" si="29"/>
        <v>9.0500000000000007</v>
      </c>
      <c r="DB14" s="40">
        <f t="shared" si="30"/>
        <v>27.6</v>
      </c>
      <c r="DC14" s="40">
        <f t="shared" si="31"/>
        <v>75.75</v>
      </c>
      <c r="DD14" s="50" t="str">
        <f t="shared" si="32"/>
        <v/>
      </c>
      <c r="DE14" s="50" t="str">
        <f t="shared" si="33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4"/>
        <v/>
      </c>
      <c r="EA14" s="40" t="str">
        <f t="shared" si="35"/>
        <v/>
      </c>
      <c r="EB14" s="40" t="str">
        <f t="shared" si="36"/>
        <v/>
      </c>
      <c r="EC14" s="40" t="str">
        <f t="shared" si="37"/>
        <v/>
      </c>
      <c r="ED14" s="40" t="str">
        <f t="shared" si="38"/>
        <v/>
      </c>
      <c r="EE14" s="40" t="str">
        <f t="shared" si="39"/>
        <v/>
      </c>
      <c r="EF14" s="40" t="str">
        <f t="shared" si="40"/>
        <v/>
      </c>
      <c r="EG14" s="40" t="str">
        <f t="shared" si="41"/>
        <v/>
      </c>
      <c r="EH14" s="18">
        <v>18.8</v>
      </c>
      <c r="EI14" s="18">
        <v>10</v>
      </c>
      <c r="EJ14" s="18">
        <v>1</v>
      </c>
      <c r="EK14" s="18">
        <v>0</v>
      </c>
      <c r="EL14" s="18">
        <v>0</v>
      </c>
      <c r="EM14" s="18">
        <v>0</v>
      </c>
      <c r="EN14" s="18">
        <v>0</v>
      </c>
      <c r="EO14" s="18">
        <v>0</v>
      </c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>
        <f t="shared" si="42"/>
        <v>10</v>
      </c>
      <c r="FC14" s="11">
        <f t="shared" si="43"/>
        <v>27.8</v>
      </c>
      <c r="FD14" s="11" t="str">
        <f t="shared" si="44"/>
        <v/>
      </c>
      <c r="FE14" s="11">
        <f t="shared" si="45"/>
        <v>10</v>
      </c>
      <c r="FF14" s="11">
        <f t="shared" si="46"/>
        <v>27.8</v>
      </c>
      <c r="FG14" s="11" t="str">
        <f t="shared" si="47"/>
        <v/>
      </c>
      <c r="FH14" s="11" t="str">
        <f t="shared" si="48"/>
        <v/>
      </c>
      <c r="FI14" s="11">
        <f t="shared" si="49"/>
        <v>27.8</v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0"/>
        <v/>
      </c>
      <c r="GE14" s="40" t="str">
        <f t="shared" si="51"/>
        <v/>
      </c>
      <c r="GF14" s="40" t="str">
        <f t="shared" si="52"/>
        <v/>
      </c>
      <c r="GG14" s="40" t="str">
        <f t="shared" si="53"/>
        <v/>
      </c>
      <c r="GH14" s="40" t="str">
        <f t="shared" si="54"/>
        <v/>
      </c>
      <c r="GI14" s="40" t="str">
        <f t="shared" si="55"/>
        <v/>
      </c>
      <c r="GJ14" s="40" t="str">
        <f t="shared" si="56"/>
        <v/>
      </c>
      <c r="GK14" s="40" t="str">
        <f t="shared" si="57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58"/>
        <v/>
      </c>
      <c r="HG14" s="11" t="str">
        <f t="shared" si="59"/>
        <v/>
      </c>
      <c r="HH14" s="11" t="str">
        <f t="shared" si="60"/>
        <v/>
      </c>
      <c r="HI14" s="11" t="str">
        <f t="shared" si="61"/>
        <v/>
      </c>
      <c r="HJ14" s="11" t="str">
        <f t="shared" si="62"/>
        <v/>
      </c>
      <c r="HK14" s="11" t="str">
        <f t="shared" si="63"/>
        <v/>
      </c>
      <c r="HL14" s="11" t="str">
        <f t="shared" si="64"/>
        <v/>
      </c>
      <c r="HM14" s="11" t="str">
        <f t="shared" si="65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6"/>
        <v/>
      </c>
      <c r="II14" s="40" t="str">
        <f t="shared" si="67"/>
        <v/>
      </c>
      <c r="IJ14" s="40" t="str">
        <f t="shared" si="68"/>
        <v/>
      </c>
      <c r="IK14" s="40" t="str">
        <f t="shared" si="69"/>
        <v/>
      </c>
      <c r="IL14" s="40" t="str">
        <f t="shared" si="70"/>
        <v/>
      </c>
      <c r="IM14" s="40" t="str">
        <f t="shared" si="71"/>
        <v/>
      </c>
      <c r="IN14" s="40" t="str">
        <f t="shared" si="72"/>
        <v/>
      </c>
      <c r="IO14" s="40" t="str">
        <f t="shared" si="73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4"/>
        <v/>
      </c>
      <c r="JK14" s="11" t="str">
        <f t="shared" si="75"/>
        <v/>
      </c>
      <c r="JL14" s="11" t="str">
        <f t="shared" si="76"/>
        <v/>
      </c>
      <c r="JM14" s="11" t="str">
        <f t="shared" si="77"/>
        <v/>
      </c>
      <c r="JN14" s="11" t="str">
        <f t="shared" si="78"/>
        <v/>
      </c>
      <c r="JO14" s="11" t="str">
        <f t="shared" si="79"/>
        <v/>
      </c>
      <c r="JP14" s="11" t="str">
        <f t="shared" si="80"/>
        <v/>
      </c>
      <c r="JQ14" s="11" t="str">
        <f t="shared" si="81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2"/>
        <v/>
      </c>
      <c r="KM14" s="40" t="str">
        <f t="shared" si="83"/>
        <v/>
      </c>
      <c r="KN14" s="40" t="str">
        <f t="shared" si="84"/>
        <v/>
      </c>
      <c r="KO14" s="40" t="str">
        <f t="shared" si="85"/>
        <v/>
      </c>
      <c r="KP14" s="40" t="str">
        <f t="shared" si="86"/>
        <v/>
      </c>
      <c r="KQ14" s="40" t="str">
        <f t="shared" si="87"/>
        <v/>
      </c>
      <c r="KR14" s="40" t="str">
        <f t="shared" si="88"/>
        <v/>
      </c>
      <c r="KS14" s="40" t="str">
        <f t="shared" si="89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0"/>
        <v/>
      </c>
      <c r="LO14" s="11" t="str">
        <f t="shared" si="91"/>
        <v/>
      </c>
      <c r="LP14" s="11" t="str">
        <f t="shared" si="92"/>
        <v/>
      </c>
      <c r="LQ14" s="11" t="str">
        <f t="shared" si="93"/>
        <v/>
      </c>
      <c r="LR14" s="11" t="str">
        <f t="shared" si="94"/>
        <v/>
      </c>
      <c r="LS14" s="11" t="str">
        <f t="shared" si="95"/>
        <v/>
      </c>
      <c r="LT14" s="11" t="str">
        <f t="shared" si="96"/>
        <v/>
      </c>
      <c r="LU14" s="11" t="str">
        <f t="shared" si="97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98"/>
        <v/>
      </c>
      <c r="MQ14" s="40" t="str">
        <f t="shared" si="99"/>
        <v/>
      </c>
      <c r="MR14" s="40" t="str">
        <f t="shared" si="100"/>
        <v/>
      </c>
      <c r="MS14" s="40" t="str">
        <f t="shared" si="101"/>
        <v/>
      </c>
      <c r="MT14" s="40" t="str">
        <f t="shared" si="102"/>
        <v/>
      </c>
      <c r="MU14" s="40" t="str">
        <f t="shared" si="103"/>
        <v/>
      </c>
      <c r="MV14" s="40" t="str">
        <f t="shared" si="104"/>
        <v/>
      </c>
      <c r="MW14" s="40" t="str">
        <f t="shared" si="105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6"/>
        <v/>
      </c>
      <c r="NS14" s="11" t="str">
        <f t="shared" si="107"/>
        <v/>
      </c>
      <c r="NT14" s="11" t="str">
        <f t="shared" si="108"/>
        <v/>
      </c>
      <c r="NU14" s="11" t="str">
        <f t="shared" si="109"/>
        <v/>
      </c>
      <c r="NV14" s="11" t="str">
        <f t="shared" si="110"/>
        <v/>
      </c>
      <c r="NW14" s="11" t="str">
        <f t="shared" si="111"/>
        <v/>
      </c>
      <c r="NX14" s="11" t="str">
        <f t="shared" si="112"/>
        <v/>
      </c>
      <c r="NY14" s="11" t="str">
        <f t="shared" si="113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4"/>
        <v/>
      </c>
      <c r="OU14" s="40" t="str">
        <f t="shared" si="115"/>
        <v/>
      </c>
      <c r="OV14" s="40" t="str">
        <f t="shared" si="116"/>
        <v/>
      </c>
      <c r="OW14" s="40" t="str">
        <f t="shared" si="117"/>
        <v/>
      </c>
      <c r="OX14" s="40" t="str">
        <f t="shared" si="118"/>
        <v/>
      </c>
      <c r="OY14" s="40" t="str">
        <f t="shared" si="119"/>
        <v/>
      </c>
      <c r="OZ14" s="40" t="str">
        <f t="shared" si="120"/>
        <v/>
      </c>
      <c r="PA14" s="40" t="str">
        <f t="shared" si="121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2"/>
        <v/>
      </c>
      <c r="PW14" s="11" t="str">
        <f t="shared" si="123"/>
        <v/>
      </c>
      <c r="PX14" s="11" t="str">
        <f t="shared" si="124"/>
        <v/>
      </c>
      <c r="PY14" s="11" t="str">
        <f t="shared" si="125"/>
        <v/>
      </c>
      <c r="PZ14" s="11" t="str">
        <f t="shared" si="126"/>
        <v/>
      </c>
      <c r="QA14" s="11" t="str">
        <f t="shared" si="127"/>
        <v/>
      </c>
      <c r="QB14" s="11" t="str">
        <f t="shared" si="128"/>
        <v/>
      </c>
      <c r="QC14" s="11" t="str">
        <f t="shared" si="129"/>
        <v/>
      </c>
      <c r="QD14" s="22">
        <f t="shared" si="130"/>
        <v>16.25</v>
      </c>
      <c r="QE14" s="22">
        <f t="shared" si="131"/>
        <v>3.8</v>
      </c>
      <c r="QF14" s="22">
        <f t="shared" si="132"/>
        <v>0</v>
      </c>
      <c r="QG14" s="22">
        <f t="shared" si="133"/>
        <v>0</v>
      </c>
      <c r="QH14" s="22">
        <f t="shared" si="134"/>
        <v>18.450000000000003</v>
      </c>
      <c r="QI14" s="22">
        <f t="shared" si="135"/>
        <v>9.6</v>
      </c>
      <c r="QJ14" s="22">
        <f t="shared" si="136"/>
        <v>0.4</v>
      </c>
      <c r="QK14" s="22">
        <f t="shared" si="137"/>
        <v>0.44999999999999996</v>
      </c>
      <c r="QL14" s="22">
        <f t="shared" si="138"/>
        <v>0</v>
      </c>
      <c r="QM14" s="22">
        <f t="shared" si="139"/>
        <v>0</v>
      </c>
      <c r="QN14" s="22">
        <f t="shared" si="140"/>
        <v>0</v>
      </c>
      <c r="QO14" s="22">
        <f t="shared" si="141"/>
        <v>0</v>
      </c>
      <c r="QP14" s="22">
        <f t="shared" si="142"/>
        <v>9.1999999999999993</v>
      </c>
      <c r="QQ14" s="22">
        <f t="shared" si="143"/>
        <v>4.45</v>
      </c>
      <c r="QR14" s="22">
        <f t="shared" si="144"/>
        <v>0.4</v>
      </c>
      <c r="QS14" s="22">
        <f t="shared" si="145"/>
        <v>0.15</v>
      </c>
      <c r="QT14" s="22">
        <f t="shared" si="146"/>
        <v>9.5500000000000007</v>
      </c>
      <c r="QU14" s="22">
        <f t="shared" si="147"/>
        <v>4.5999999999999996</v>
      </c>
      <c r="QV14" s="22">
        <f t="shared" si="148"/>
        <v>0.1</v>
      </c>
      <c r="QW14" s="22">
        <f t="shared" si="149"/>
        <v>0.15</v>
      </c>
      <c r="QX14" s="27" t="s">
        <v>46</v>
      </c>
      <c r="QY14" s="40">
        <f t="shared" si="150"/>
        <v>13.399999999999999</v>
      </c>
      <c r="QZ14" s="40">
        <f t="shared" si="151"/>
        <v>48.150000000000006</v>
      </c>
      <c r="RA14" s="40" t="str">
        <f t="shared" si="152"/>
        <v/>
      </c>
      <c r="RB14" s="40">
        <f t="shared" si="153"/>
        <v>13.399999999999999</v>
      </c>
      <c r="RC14" s="40">
        <f t="shared" si="154"/>
        <v>48.150000000000006</v>
      </c>
      <c r="RD14" s="40">
        <f t="shared" si="155"/>
        <v>9.0500000000000007</v>
      </c>
      <c r="RE14" s="40">
        <f t="shared" si="156"/>
        <v>27.6</v>
      </c>
      <c r="RF14" s="40">
        <f t="shared" si="157"/>
        <v>75.75</v>
      </c>
    </row>
    <row r="15" spans="1:474" x14ac:dyDescent="0.2">
      <c r="A15" s="4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>12</v>
      </c>
      <c r="B15" s="4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>7</v>
      </c>
      <c r="C15" s="5" t="s">
        <v>175</v>
      </c>
      <c r="D15" s="4" t="s">
        <v>4</v>
      </c>
      <c r="E15" s="4">
        <v>2008</v>
      </c>
      <c r="F15" s="9">
        <f t="shared" si="0"/>
        <v>150.3500094800051</v>
      </c>
      <c r="H15" s="3" t="str">
        <f>IF(OR(AND(AP15&gt;=AW$41,AQ15&gt;=AW$45,AP15&lt;&gt;"",AO15=""),AND(AU15&gt;=AW$41,AV15&gt;=AW$45,AU15&lt;&gt;"",AO15=""),AND(BS15&gt;=BZ$41,BT15&gt;=BZ$45,BS15&lt;&gt;"",BR15=""),AND(BX15&gt;=BZ$41,BY15&gt;=BZ$45,BX15&lt;&gt;"",BR15=""),AND(CV15&gt;=DC$41,CW15&gt;=DC$45,CV15&lt;&gt;"",CU15=""),AND(DA15&gt;=DC$41,DB15&gt;=DC$45,DA15&lt;&gt;""),AND(DZ15&gt;=EG$41,EA15&gt;=EG$45,DZ15&lt;&gt;""),AND(EE15&gt;=EG$41,EF15&gt;=EG$45,EE15&lt;&gt;""),AND(FB15&gt;=FI$41,FC15&gt;=FI$45,FB15&lt;&gt;""),AND(FG15&gt;=FI$41,FH15&gt;=FI$45,FG15&lt;&gt;""),AND(GD15&gt;=GK$41,GE15&gt;=GK$45,GD15&lt;&gt;""),AND(GI15&gt;=GK$41,GJ15&gt;=GK$45,GI15&lt;&gt;""),AND(HF15&gt;=HM$41,HG15&gt;=HM$45,HF15&lt;&gt;""),AND(HK15&gt;=HM$41,HL15&gt;=HM$45,HK15&lt;&gt;""),AND(IH15&gt;=IO$41,II15&gt;=IO$45,IH15&lt;&gt;""),AND(IM15&gt;=IO$41,IN15&gt;=IO$45,IM15&lt;&gt;""),AND(JJ15&gt;=JQ$41,JK15&gt;=JQ$45,JJ15&lt;&gt;""),AND(JO15&gt;=JQ$41,JP15&gt;=JQ$45,JO15&lt;&gt;""),AND(KL15&gt;=KS$41,KM15&gt;=KS$45,KL15&lt;&gt;""),AND(KQ15&gt;=KS$41,KR15&gt;=KS$45,KQ15&lt;&gt;""),AND(LN15&gt;=LU$41,LO15&gt;=LU$45,LN15&lt;&gt;""),AND(LS15&gt;=LU$41,LT15&gt;=LU$45,LS15&lt;&gt;""),AND(MP15&gt;=MW$41,MQ15&gt;=MW$45,MP15&lt;&gt;""),AND(MU15&gt;=MW$41,MV15&gt;=MW$45,MU15&lt;&gt;""),AND(NR15&gt;=NY$41,NS15&gt;=NY$45,NR15&lt;&gt;""),AND(NW15&gt;=NY$41,NX15&gt;=NY$45,NW15&lt;&gt;""),AND(OT15&gt;=PA$41,OU15&gt;=PA$45,OT15&lt;&gt;""),AND(OY15&gt;=PA$41,OZ15&gt;=PA$45,OY15&lt;&gt;""),AND(PV15&gt;=QC$41,PW15&gt;=QC$45,PV15&lt;&gt;""),AND(QA15&gt;=QC$41,QB15&gt;=QC$45,QA15&lt;&gt;"")),"P","")</f>
        <v>P</v>
      </c>
      <c r="I15" s="3" t="str">
        <f>IF(OR(AND(AQ15&gt;=AW$45,AQ15&lt;&gt;"",AO15=""),AND(AV15&gt;=AW$45,AV15&lt;&gt;"",AO15=""),AND(BT15&gt;=BZ$45,BT15&lt;&gt;"",BR15=""),AND(BY15&gt;=BZ$45,BY15&lt;&gt;"",BR15=""),AND(CW15&gt;=DC$45,CW15&lt;&gt;"",CU15=""),AND(DB15&gt;=DC$45,DB15&lt;&gt;"",CU15=""),AND(EA15&gt;=EG$45,EA15&lt;&gt;""),AND(EF15&gt;=EG$45,EF15&lt;&gt;""),AND(FC15&gt;=FI$45,FC15&lt;&gt;""),AND(FH15&gt;=FI$45,FH15&lt;&gt;""),AND(GE15&gt;=GK$45,GE15&lt;&gt;""),AND(GJ15&gt;=GK$45,GJ15&lt;&gt;""),AND(HG15&gt;=HM$45,HG15&lt;&gt;""),AND(HL15&gt;=HM$45,HL15&lt;&gt;""),AND(II15&gt;=IO$45,II15&lt;&gt;""),AND(IN15&gt;=IO$45,IN15&lt;&gt;""),AND(JK15&gt;=JQ$45,JK15&lt;&gt;""),AND(JP15&gt;=JQ$45,JP15&lt;&gt;""),AND(KM15&gt;=KS$45,KM15&lt;&gt;""),AND(KR15&gt;=KS$45,KR15&lt;&gt;""),AND(LO15&gt;=LU$45,LO15&lt;&gt;""),AND(LT15&gt;=LU$45,LT15&lt;&gt;""),AND(MQ15&gt;=MW$45,MQ15&lt;&gt;""),AND(MV15&gt;=MW$45,MV15&lt;&gt;""),AND(NS15&gt;=NY$45,NS15&lt;&gt;""),AND(NX15&gt;=NY$45,NX15&lt;&gt;""),AND(OU15&gt;=PA$45,OU15&lt;&gt;""),AND(OZ15&gt;=PA$45,OZ15&lt;&gt;""),AND(PW15&gt;=QC$45,PW15&lt;&gt;""),AND(QB15&gt;=QC$45,QB15&lt;&gt;"")),"P","")</f>
        <v>P</v>
      </c>
      <c r="J15" s="36" t="str">
        <f>IF(AND(I15="P",H15=""),"No DD",IF(OR(AND(AS15&gt;=AW$44,AT15&gt;=AW$48,AS15&lt;&gt;"",AO15=""),AND(BV15&gt;=BZ$44,BW15&gt;=BZ$48,BV15&lt;&gt;"",BR15=""),AND(CY15&gt;=DC$44,CZ15&gt;=DC$48,CY15&lt;&gt;"",CU15=""),AND(EC15&gt;=EG$44,ED15&gt;=EG$48,EC15&lt;&gt;""),AND(FE15&gt;=FI$44,FF15&gt;=FI$48,FE15&lt;&gt;""),AND(GG15&gt;=GK$44,GH15&gt;=GK$48,GG15&lt;&gt;""),AND(HI15&gt;=HM$44,HJ15&gt;=HM$48,HI15&lt;&gt;""),AND(IK15&gt;=IO$44,IL15&gt;=IO$48,IK15&lt;&gt;""),AND(JM15&gt;=JQ$44,JN15&gt;=JQ$48,JM15&lt;&gt;""),AND(KO15&gt;=KS$44,KP15&gt;=KS$48,KO15&lt;&gt;""),AND(LQ15&gt;=LU$44,LR15&gt;=LU$48,LQ15&lt;&gt;""),AND(MS15&gt;=MW$44,MT15&gt;=MW$48,MS15&lt;&gt;""),AND(NU15&gt;=NY$44,NV15&gt;=NY$48,NU15&lt;&gt;""),AND(OW15&gt;=PA$44,OX15&gt;=PA$48,OW15&lt;&gt;""),AND(PY15&gt;=QC$44,PZ15&gt;=QC$48,PY15&lt;&gt;"")),"Merit",IF(OR(AND(AS15&gt;=AW$43,AT15&gt;=AW$47,AS15&lt;&gt;"",AO15=""),AND(BV15&gt;=BZ$43,BW15&gt;=BZ$47,BV15&lt;&gt;"",BR15=""),AND(CY15&gt;=DC$43,CZ15&gt;=DC$47,CY15&lt;&gt;"",CU15=""),AND(EC15&gt;=EG$43,ED15&gt;=EG$47,EC15&lt;&gt;""),AND(FE15&gt;=FI$43,FF15&gt;=FI$47,FE15&lt;&gt;""),AND(GG15&gt;=GK$43,GH15&gt;=GK$47,GG15&lt;&gt;""),AND(HI15&gt;=HM$43,HJ15&gt;=HM$47,HI15&lt;&gt;""),AND(IK15&gt;=IO$43,IL15&gt;=IO$47,IK15&lt;&gt;""),AND(JM15&gt;=JQ$43,JN15&gt;=JQ$47,JM15&lt;&gt;""),AND(KO15&gt;=KS$43,KP15&gt;=KS$47,KO15&lt;&gt;""),AND(LQ15&gt;=LU$43,LR15&gt;=LU$47,LQ15&lt;&gt;""),AND(MS15&gt;=MW$43,MT15&gt;=MW$47,MS15&lt;&gt;""),AND(NU15&gt;=NY$43,NV15&gt;=NY$47,NU15&lt;&gt;""),AND(OW15&gt;=PA$43,OX15&gt;=PA$47,OW15&lt;&gt;""),AND(PY15&gt;=QC$43,PZ15&gt;=QC$47,PY15&lt;&gt;"")),"Excellence",IF(K15="P","Worlds Team",IF(H15="P","National Team","")))))</f>
        <v>National Team</v>
      </c>
      <c r="K15" s="3" t="str">
        <f>IF(OR(AND(AS15&gt;=AW$42,AT15&gt;=AW$46,AS15&lt;&gt;"",AO15=""),AND(BV15&gt;=BZ$42,BW15&gt;=BZ$46,BV15&lt;&gt;"",BR15=""),AND(CY15&gt;=DC$42,CZ15&gt;=DC$46,CY15&lt;&gt;"",CU15=""),AND(EC15&gt;=EG$42,ED15&gt;=EG$46,EC15&lt;&gt;""),AND(FE15&gt;=FI$42,FF15&gt;=FI$46,FE15&lt;&gt;""),AND(GG15&gt;=GK$42,GH15&gt;=GK$46,GG15&lt;&gt;""),AND(HI15&gt;=HM$42,HJ15&gt;=HM$46,HI15&lt;&gt;""),AND(IK15&gt;=IO$42,IL15&gt;=IO$46,IK15&lt;&gt;""),AND(JM15&gt;=JQ$42,JN15&gt;=JQ$46,JM15&lt;&gt;""),AND(KO15&gt;=KS$42,KP15&gt;=KS$46,KO15&lt;&gt;""),AND(LQ15&gt;=LU$42,LR15&gt;=LU$46,LQ15&lt;&gt;""),AND(MS15&gt;=MW$42,MT15&gt;=MW$46,MS15&lt;&gt;""),AND(NU15&gt;=NY$42,NV15&gt;=NY$46,NU15&lt;&gt;""),AND(OW15&gt;=PA$42,OX15&gt;=PA$46,OW15&lt;&gt;""),AND(PY15&gt;=QC$42,PZ15&gt;=QC$46,PY15&lt;&gt;"")),"P","")</f>
        <v/>
      </c>
      <c r="L15" s="8">
        <f>IF(COUNT(AQ15,BT15,CW15)&gt;0,LARGE((AQ15,BT15,CW15),1),0)</f>
        <v>51.1</v>
      </c>
      <c r="M15" s="8" t="str">
        <f t="shared" si="1"/>
        <v>2024 3rd Domestic Trial</v>
      </c>
      <c r="N15" s="8">
        <f>IF(COUNT(AQ15,BT15,CW15)&gt;1,LARGE((AQ15,BT15,CW15),2),0)</f>
        <v>43.699999999999996</v>
      </c>
      <c r="O15" s="8" t="str">
        <f t="shared" si="2"/>
        <v>2025 Nationals</v>
      </c>
      <c r="P15" s="8">
        <f t="shared" si="3"/>
        <v>46.15</v>
      </c>
      <c r="Q15" s="8" t="str">
        <f t="shared" si="4"/>
        <v>2024 3rd Domestic Trial</v>
      </c>
      <c r="R15" s="8">
        <f t="shared" si="5"/>
        <v>9.3999999999999986</v>
      </c>
      <c r="S15" s="11" t="str">
        <f t="shared" si="6"/>
        <v>(Q1)</v>
      </c>
      <c r="T15" s="8" t="str">
        <f t="shared" si="7"/>
        <v>2024 Coimbra Gym Fest (July 7)</v>
      </c>
      <c r="U15" s="19">
        <v>16.7</v>
      </c>
      <c r="V15" s="19">
        <v>8.1</v>
      </c>
      <c r="W15" s="19">
        <v>0</v>
      </c>
      <c r="X15" s="19">
        <v>0</v>
      </c>
      <c r="Y15" s="19">
        <v>18.7</v>
      </c>
      <c r="Z15" s="19">
        <v>8.4</v>
      </c>
      <c r="AA15" s="19">
        <v>0.8</v>
      </c>
      <c r="AB15" s="19">
        <v>0</v>
      </c>
      <c r="AC15" s="19">
        <v>18.399999999999999</v>
      </c>
      <c r="AD15" s="19">
        <v>8.1</v>
      </c>
      <c r="AE15" s="19">
        <v>0</v>
      </c>
      <c r="AF15" s="19">
        <v>0</v>
      </c>
      <c r="AG15" s="19">
        <v>19</v>
      </c>
      <c r="AH15" s="19">
        <v>8.4</v>
      </c>
      <c r="AI15" s="19">
        <v>0</v>
      </c>
      <c r="AJ15" s="19">
        <v>0</v>
      </c>
      <c r="AK15" s="19">
        <v>18.75</v>
      </c>
      <c r="AL15" s="19">
        <v>0</v>
      </c>
      <c r="AM15" s="19">
        <v>0</v>
      </c>
      <c r="AN15" s="19">
        <v>0</v>
      </c>
      <c r="AO15" s="27"/>
      <c r="AP15" s="40">
        <f t="shared" si="8"/>
        <v>16.5</v>
      </c>
      <c r="AQ15" s="40">
        <f t="shared" si="9"/>
        <v>51.1</v>
      </c>
      <c r="AR15" s="40">
        <f t="shared" si="10"/>
        <v>26.5</v>
      </c>
      <c r="AS15" s="40">
        <f t="shared" si="11"/>
        <v>24.6</v>
      </c>
      <c r="AT15" s="40">
        <f t="shared" si="12"/>
        <v>77.599999999999994</v>
      </c>
      <c r="AU15" s="40">
        <f t="shared" si="13"/>
        <v>8.4</v>
      </c>
      <c r="AV15" s="40">
        <f t="shared" si="14"/>
        <v>46.15</v>
      </c>
      <c r="AW15" s="40">
        <f t="shared" si="15"/>
        <v>123.75</v>
      </c>
      <c r="AX15" s="18">
        <v>0</v>
      </c>
      <c r="AY15" s="18">
        <v>0</v>
      </c>
      <c r="AZ15" s="18">
        <v>0</v>
      </c>
      <c r="BA15" s="18">
        <v>0</v>
      </c>
      <c r="BB15" s="18">
        <v>18.2</v>
      </c>
      <c r="BC15" s="18">
        <v>8.1</v>
      </c>
      <c r="BD15" s="18">
        <v>0.2</v>
      </c>
      <c r="BE15" s="18">
        <v>0</v>
      </c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16"/>
        <v>8.1</v>
      </c>
      <c r="BT15" s="11">
        <f t="shared" si="17"/>
        <v>26.099999999999998</v>
      </c>
      <c r="BU15" s="11" t="str">
        <f t="shared" si="18"/>
        <v/>
      </c>
      <c r="BV15" s="11">
        <f t="shared" si="19"/>
        <v>8.1</v>
      </c>
      <c r="BW15" s="11">
        <f t="shared" si="20"/>
        <v>26.099999999999998</v>
      </c>
      <c r="BX15" s="11" t="str">
        <f t="shared" si="21"/>
        <v/>
      </c>
      <c r="BY15" s="11" t="str">
        <f t="shared" si="22"/>
        <v/>
      </c>
      <c r="BZ15" s="11">
        <f t="shared" si="23"/>
        <v>26.099999999999998</v>
      </c>
      <c r="CA15" s="19">
        <v>15.4</v>
      </c>
      <c r="CB15" s="19">
        <v>2.8</v>
      </c>
      <c r="CC15" s="19">
        <v>0</v>
      </c>
      <c r="CD15" s="19">
        <v>0</v>
      </c>
      <c r="CE15" s="19">
        <v>18.100000000000001</v>
      </c>
      <c r="CF15" s="19">
        <v>8</v>
      </c>
      <c r="CG15" s="19">
        <v>0.6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4"/>
        <v>10.8</v>
      </c>
      <c r="CW15" s="40">
        <f t="shared" si="25"/>
        <v>43.699999999999996</v>
      </c>
      <c r="CX15" s="40" t="str">
        <f t="shared" si="26"/>
        <v/>
      </c>
      <c r="CY15" s="40">
        <f t="shared" si="27"/>
        <v>10.8</v>
      </c>
      <c r="CZ15" s="40">
        <f t="shared" si="28"/>
        <v>43.699999999999996</v>
      </c>
      <c r="DA15" s="40" t="str">
        <f t="shared" si="29"/>
        <v/>
      </c>
      <c r="DB15" s="40" t="str">
        <f t="shared" si="30"/>
        <v/>
      </c>
      <c r="DC15" s="40">
        <f t="shared" si="31"/>
        <v>43.699999999999996</v>
      </c>
      <c r="DD15" s="50">
        <f t="shared" si="32"/>
        <v>9.3999999999999986</v>
      </c>
      <c r="DE15" s="50">
        <f t="shared" si="33"/>
        <v>0.45000000000000995</v>
      </c>
      <c r="DF15" s="17">
        <v>18.899999999999999</v>
      </c>
      <c r="DG15" s="17">
        <v>8.4</v>
      </c>
      <c r="DH15" s="17">
        <v>0.2</v>
      </c>
      <c r="DI15" s="17">
        <v>0</v>
      </c>
      <c r="DJ15" s="17">
        <v>18.3</v>
      </c>
      <c r="DK15" s="17">
        <v>7.7</v>
      </c>
      <c r="DL15" s="17">
        <v>0</v>
      </c>
      <c r="DM15" s="17">
        <v>0</v>
      </c>
      <c r="DN15" s="17"/>
      <c r="DO15" s="17"/>
      <c r="DP15" s="17"/>
      <c r="DQ15" s="17"/>
      <c r="DR15" s="17">
        <v>18.600000000000001</v>
      </c>
      <c r="DS15" s="17">
        <v>8.4</v>
      </c>
      <c r="DT15" s="17">
        <v>0.8</v>
      </c>
      <c r="DU15" s="17">
        <v>0</v>
      </c>
      <c r="DV15" s="17">
        <v>17.2</v>
      </c>
      <c r="DW15" s="17">
        <v>3.2</v>
      </c>
      <c r="DX15" s="17">
        <v>0</v>
      </c>
      <c r="DY15" s="17">
        <v>0</v>
      </c>
      <c r="DZ15" s="40">
        <f t="shared" si="34"/>
        <v>16.100000000000001</v>
      </c>
      <c r="EA15" s="40">
        <f t="shared" si="35"/>
        <v>53.099999999999994</v>
      </c>
      <c r="EB15" s="40" t="str">
        <f t="shared" si="36"/>
        <v/>
      </c>
      <c r="EC15" s="40">
        <f t="shared" si="37"/>
        <v>16.100000000000001</v>
      </c>
      <c r="ED15" s="40">
        <f t="shared" si="38"/>
        <v>53.099999999999994</v>
      </c>
      <c r="EE15" s="40">
        <f t="shared" si="39"/>
        <v>11.600000000000001</v>
      </c>
      <c r="EF15" s="40">
        <f t="shared" si="40"/>
        <v>46.600000000000009</v>
      </c>
      <c r="EG15" s="40">
        <f t="shared" si="41"/>
        <v>99.7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2"/>
        <v/>
      </c>
      <c r="FC15" s="11" t="str">
        <f t="shared" si="43"/>
        <v/>
      </c>
      <c r="FD15" s="11" t="str">
        <f t="shared" si="44"/>
        <v/>
      </c>
      <c r="FE15" s="11" t="str">
        <f t="shared" si="45"/>
        <v/>
      </c>
      <c r="FF15" s="11" t="str">
        <f t="shared" si="46"/>
        <v/>
      </c>
      <c r="FG15" s="11" t="str">
        <f t="shared" si="47"/>
        <v/>
      </c>
      <c r="FH15" s="11" t="str">
        <f t="shared" si="48"/>
        <v/>
      </c>
      <c r="FI15" s="11" t="str">
        <f t="shared" si="49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0"/>
        <v/>
      </c>
      <c r="GE15" s="40" t="str">
        <f t="shared" si="51"/>
        <v/>
      </c>
      <c r="GF15" s="40" t="str">
        <f t="shared" si="52"/>
        <v/>
      </c>
      <c r="GG15" s="40" t="str">
        <f t="shared" si="53"/>
        <v/>
      </c>
      <c r="GH15" s="40" t="str">
        <f t="shared" si="54"/>
        <v/>
      </c>
      <c r="GI15" s="40" t="str">
        <f t="shared" si="55"/>
        <v/>
      </c>
      <c r="GJ15" s="40" t="str">
        <f t="shared" si="56"/>
        <v/>
      </c>
      <c r="GK15" s="40" t="str">
        <f t="shared" si="57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58"/>
        <v/>
      </c>
      <c r="HG15" s="11" t="str">
        <f t="shared" si="59"/>
        <v/>
      </c>
      <c r="HH15" s="11" t="str">
        <f t="shared" si="60"/>
        <v/>
      </c>
      <c r="HI15" s="11" t="str">
        <f t="shared" si="61"/>
        <v/>
      </c>
      <c r="HJ15" s="11" t="str">
        <f t="shared" si="62"/>
        <v/>
      </c>
      <c r="HK15" s="11" t="str">
        <f t="shared" si="63"/>
        <v/>
      </c>
      <c r="HL15" s="11" t="str">
        <f t="shared" si="64"/>
        <v/>
      </c>
      <c r="HM15" s="11" t="str">
        <f t="shared" si="65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6"/>
        <v/>
      </c>
      <c r="II15" s="40" t="str">
        <f t="shared" si="67"/>
        <v/>
      </c>
      <c r="IJ15" s="40" t="str">
        <f t="shared" si="68"/>
        <v/>
      </c>
      <c r="IK15" s="40" t="str">
        <f t="shared" si="69"/>
        <v/>
      </c>
      <c r="IL15" s="40" t="str">
        <f t="shared" si="70"/>
        <v/>
      </c>
      <c r="IM15" s="40" t="str">
        <f t="shared" si="71"/>
        <v/>
      </c>
      <c r="IN15" s="40" t="str">
        <f t="shared" si="72"/>
        <v/>
      </c>
      <c r="IO15" s="40" t="str">
        <f t="shared" si="73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4"/>
        <v/>
      </c>
      <c r="JK15" s="11" t="str">
        <f t="shared" si="75"/>
        <v/>
      </c>
      <c r="JL15" s="11" t="str">
        <f t="shared" si="76"/>
        <v/>
      </c>
      <c r="JM15" s="11" t="str">
        <f t="shared" si="77"/>
        <v/>
      </c>
      <c r="JN15" s="11" t="str">
        <f t="shared" si="78"/>
        <v/>
      </c>
      <c r="JO15" s="11" t="str">
        <f t="shared" si="79"/>
        <v/>
      </c>
      <c r="JP15" s="11" t="str">
        <f t="shared" si="80"/>
        <v/>
      </c>
      <c r="JQ15" s="11" t="str">
        <f t="shared" si="81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2"/>
        <v/>
      </c>
      <c r="KM15" s="40" t="str">
        <f t="shared" si="83"/>
        <v/>
      </c>
      <c r="KN15" s="40" t="str">
        <f t="shared" si="84"/>
        <v/>
      </c>
      <c r="KO15" s="40" t="str">
        <f t="shared" si="85"/>
        <v/>
      </c>
      <c r="KP15" s="40" t="str">
        <f t="shared" si="86"/>
        <v/>
      </c>
      <c r="KQ15" s="40" t="str">
        <f t="shared" si="87"/>
        <v/>
      </c>
      <c r="KR15" s="40" t="str">
        <f t="shared" si="88"/>
        <v/>
      </c>
      <c r="KS15" s="40" t="str">
        <f t="shared" si="89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0"/>
        <v/>
      </c>
      <c r="LO15" s="11" t="str">
        <f t="shared" si="91"/>
        <v/>
      </c>
      <c r="LP15" s="11" t="str">
        <f t="shared" si="92"/>
        <v/>
      </c>
      <c r="LQ15" s="11" t="str">
        <f t="shared" si="93"/>
        <v/>
      </c>
      <c r="LR15" s="11" t="str">
        <f t="shared" si="94"/>
        <v/>
      </c>
      <c r="LS15" s="11" t="str">
        <f t="shared" si="95"/>
        <v/>
      </c>
      <c r="LT15" s="11" t="str">
        <f t="shared" si="96"/>
        <v/>
      </c>
      <c r="LU15" s="11" t="str">
        <f t="shared" si="97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98"/>
        <v/>
      </c>
      <c r="MQ15" s="40" t="str">
        <f t="shared" si="99"/>
        <v/>
      </c>
      <c r="MR15" s="40" t="str">
        <f t="shared" si="100"/>
        <v/>
      </c>
      <c r="MS15" s="40" t="str">
        <f t="shared" si="101"/>
        <v/>
      </c>
      <c r="MT15" s="40" t="str">
        <f t="shared" si="102"/>
        <v/>
      </c>
      <c r="MU15" s="40" t="str">
        <f t="shared" si="103"/>
        <v/>
      </c>
      <c r="MV15" s="40" t="str">
        <f t="shared" si="104"/>
        <v/>
      </c>
      <c r="MW15" s="40" t="str">
        <f t="shared" si="105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6"/>
        <v/>
      </c>
      <c r="NS15" s="11" t="str">
        <f t="shared" si="107"/>
        <v/>
      </c>
      <c r="NT15" s="11" t="str">
        <f t="shared" si="108"/>
        <v/>
      </c>
      <c r="NU15" s="11" t="str">
        <f t="shared" si="109"/>
        <v/>
      </c>
      <c r="NV15" s="11" t="str">
        <f t="shared" si="110"/>
        <v/>
      </c>
      <c r="NW15" s="11" t="str">
        <f t="shared" si="111"/>
        <v/>
      </c>
      <c r="NX15" s="11" t="str">
        <f t="shared" si="112"/>
        <v/>
      </c>
      <c r="NY15" s="11" t="str">
        <f t="shared" si="113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4"/>
        <v/>
      </c>
      <c r="OU15" s="40" t="str">
        <f t="shared" si="115"/>
        <v/>
      </c>
      <c r="OV15" s="40" t="str">
        <f t="shared" si="116"/>
        <v/>
      </c>
      <c r="OW15" s="40" t="str">
        <f t="shared" si="117"/>
        <v/>
      </c>
      <c r="OX15" s="40" t="str">
        <f t="shared" si="118"/>
        <v/>
      </c>
      <c r="OY15" s="40" t="str">
        <f t="shared" si="119"/>
        <v/>
      </c>
      <c r="OZ15" s="40" t="str">
        <f t="shared" si="120"/>
        <v/>
      </c>
      <c r="PA15" s="40" t="str">
        <f t="shared" si="121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2"/>
        <v/>
      </c>
      <c r="PW15" s="11" t="str">
        <f t="shared" si="123"/>
        <v/>
      </c>
      <c r="PX15" s="11" t="str">
        <f t="shared" si="124"/>
        <v/>
      </c>
      <c r="PY15" s="11" t="str">
        <f t="shared" si="125"/>
        <v/>
      </c>
      <c r="PZ15" s="11" t="str">
        <f t="shared" si="126"/>
        <v/>
      </c>
      <c r="QA15" s="11" t="str">
        <f t="shared" si="127"/>
        <v/>
      </c>
      <c r="QB15" s="11" t="str">
        <f t="shared" si="128"/>
        <v/>
      </c>
      <c r="QC15" s="11" t="str">
        <f t="shared" si="129"/>
        <v/>
      </c>
      <c r="QD15" s="22">
        <f t="shared" si="130"/>
        <v>7.7</v>
      </c>
      <c r="QE15" s="22">
        <f t="shared" si="131"/>
        <v>1.4</v>
      </c>
      <c r="QF15" s="22">
        <f t="shared" si="132"/>
        <v>0</v>
      </c>
      <c r="QG15" s="22">
        <f t="shared" si="133"/>
        <v>0</v>
      </c>
      <c r="QH15" s="22">
        <f t="shared" si="134"/>
        <v>18.149999999999999</v>
      </c>
      <c r="QI15" s="22">
        <f t="shared" si="135"/>
        <v>8.0500000000000007</v>
      </c>
      <c r="QJ15" s="22">
        <f t="shared" si="136"/>
        <v>0.4</v>
      </c>
      <c r="QK15" s="22">
        <f t="shared" si="137"/>
        <v>0</v>
      </c>
      <c r="QL15" s="22">
        <f t="shared" si="138"/>
        <v>0</v>
      </c>
      <c r="QM15" s="22">
        <f t="shared" si="139"/>
        <v>0</v>
      </c>
      <c r="QN15" s="22">
        <f t="shared" si="140"/>
        <v>0</v>
      </c>
      <c r="QO15" s="22">
        <f t="shared" si="141"/>
        <v>0</v>
      </c>
      <c r="QP15" s="22">
        <f t="shared" si="142"/>
        <v>0</v>
      </c>
      <c r="QQ15" s="22">
        <f t="shared" si="143"/>
        <v>0</v>
      </c>
      <c r="QR15" s="22">
        <f t="shared" si="144"/>
        <v>0</v>
      </c>
      <c r="QS15" s="22">
        <f t="shared" si="145"/>
        <v>0</v>
      </c>
      <c r="QT15" s="22">
        <f t="shared" si="146"/>
        <v>0</v>
      </c>
      <c r="QU15" s="22">
        <f t="shared" si="147"/>
        <v>0</v>
      </c>
      <c r="QV15" s="22">
        <f t="shared" si="148"/>
        <v>0</v>
      </c>
      <c r="QW15" s="22">
        <f t="shared" si="149"/>
        <v>0</v>
      </c>
      <c r="QX15" s="27" t="s">
        <v>46</v>
      </c>
      <c r="QY15" s="40">
        <f t="shared" si="150"/>
        <v>9.4500000000000011</v>
      </c>
      <c r="QZ15" s="40">
        <f t="shared" si="151"/>
        <v>34.9</v>
      </c>
      <c r="RA15" s="40" t="str">
        <f t="shared" si="152"/>
        <v/>
      </c>
      <c r="RB15" s="40">
        <f t="shared" si="153"/>
        <v>9.4500000000000011</v>
      </c>
      <c r="RC15" s="40">
        <f t="shared" si="154"/>
        <v>34.9</v>
      </c>
      <c r="RD15" s="40" t="str">
        <f t="shared" si="155"/>
        <v/>
      </c>
      <c r="RE15" s="40" t="str">
        <f t="shared" si="156"/>
        <v/>
      </c>
      <c r="RF15" s="40">
        <f t="shared" si="157"/>
        <v>34.9</v>
      </c>
    </row>
    <row r="16" spans="1:474" x14ac:dyDescent="0.2">
      <c r="A16" s="4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>13</v>
      </c>
      <c r="B16" s="4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>8</v>
      </c>
      <c r="C16" s="5" t="s">
        <v>151</v>
      </c>
      <c r="D16" s="4" t="s">
        <v>92</v>
      </c>
      <c r="E16" s="4">
        <v>2007</v>
      </c>
      <c r="F16" s="9">
        <f t="shared" si="0"/>
        <v>149.30000989000499</v>
      </c>
      <c r="G16" s="64"/>
      <c r="H16" s="3" t="str">
        <f>IF(OR(AND(AP16&gt;=AW$41,AQ16&gt;=AW$45,AP16&lt;&gt;"",AO16=""),AND(AU16&gt;=AW$41,AV16&gt;=AW$45,AU16&lt;&gt;"",AO16=""),AND(BS16&gt;=BZ$41,BT16&gt;=BZ$45,BS16&lt;&gt;"",BR16=""),AND(BX16&gt;=BZ$41,BY16&gt;=BZ$45,BX16&lt;&gt;"",BR16=""),AND(CV16&gt;=DC$41,CW16&gt;=DC$45,CV16&lt;&gt;"",CU16=""),AND(DA16&gt;=DC$41,DB16&gt;=DC$45,DA16&lt;&gt;""),AND(DZ16&gt;=EG$41,EA16&gt;=EG$45,DZ16&lt;&gt;""),AND(EE16&gt;=EG$41,EF16&gt;=EG$45,EE16&lt;&gt;""),AND(FB16&gt;=FI$41,FC16&gt;=FI$45,FB16&lt;&gt;""),AND(FG16&gt;=FI$41,FH16&gt;=FI$45,FG16&lt;&gt;""),AND(GD16&gt;=GK$41,GE16&gt;=GK$45,GD16&lt;&gt;""),AND(GI16&gt;=GK$41,GJ16&gt;=GK$45,GI16&lt;&gt;""),AND(HF16&gt;=HM$41,HG16&gt;=HM$45,HF16&lt;&gt;""),AND(HK16&gt;=HM$41,HL16&gt;=HM$45,HK16&lt;&gt;""),AND(IH16&gt;=IO$41,II16&gt;=IO$45,IH16&lt;&gt;""),AND(IM16&gt;=IO$41,IN16&gt;=IO$45,IM16&lt;&gt;""),AND(JJ16&gt;=JQ$41,JK16&gt;=JQ$45,JJ16&lt;&gt;""),AND(JO16&gt;=JQ$41,JP16&gt;=JQ$45,JO16&lt;&gt;""),AND(KL16&gt;=KS$41,KM16&gt;=KS$45,KL16&lt;&gt;""),AND(KQ16&gt;=KS$41,KR16&gt;=KS$45,KQ16&lt;&gt;""),AND(LN16&gt;=LU$41,LO16&gt;=LU$45,LN16&lt;&gt;""),AND(LS16&gt;=LU$41,LT16&gt;=LU$45,LS16&lt;&gt;""),AND(MP16&gt;=MW$41,MQ16&gt;=MW$45,MP16&lt;&gt;""),AND(MU16&gt;=MW$41,MV16&gt;=MW$45,MU16&lt;&gt;""),AND(NR16&gt;=NY$41,NS16&gt;=NY$45,NR16&lt;&gt;""),AND(NW16&gt;=NY$41,NX16&gt;=NY$45,NW16&lt;&gt;""),AND(OT16&gt;=PA$41,OU16&gt;=PA$45,OT16&lt;&gt;""),AND(OY16&gt;=PA$41,OZ16&gt;=PA$45,OY16&lt;&gt;""),AND(PV16&gt;=QC$41,PW16&gt;=QC$45,PV16&lt;&gt;""),AND(QA16&gt;=QC$41,QB16&gt;=QC$45,QA16&lt;&gt;"")),"P","")</f>
        <v>P</v>
      </c>
      <c r="I16" s="3" t="str">
        <f>IF(OR(AND(AQ16&gt;=AW$45,AQ16&lt;&gt;"",AO16=""),AND(AV16&gt;=AW$45,AV16&lt;&gt;"",AO16=""),AND(BT16&gt;=BZ$45,BT16&lt;&gt;"",BR16=""),AND(BY16&gt;=BZ$45,BY16&lt;&gt;"",BR16=""),AND(CW16&gt;=DC$45,CW16&lt;&gt;"",CU16=""),AND(DB16&gt;=DC$45,DB16&lt;&gt;"",CU16=""),AND(EA16&gt;=EG$45,EA16&lt;&gt;""),AND(EF16&gt;=EG$45,EF16&lt;&gt;""),AND(FC16&gt;=FI$45,FC16&lt;&gt;""),AND(FH16&gt;=FI$45,FH16&lt;&gt;""),AND(GE16&gt;=GK$45,GE16&lt;&gt;""),AND(GJ16&gt;=GK$45,GJ16&lt;&gt;""),AND(HG16&gt;=HM$45,HG16&lt;&gt;""),AND(HL16&gt;=HM$45,HL16&lt;&gt;""),AND(II16&gt;=IO$45,II16&lt;&gt;""),AND(IN16&gt;=IO$45,IN16&lt;&gt;""),AND(JK16&gt;=JQ$45,JK16&lt;&gt;""),AND(JP16&gt;=JQ$45,JP16&lt;&gt;""),AND(KM16&gt;=KS$45,KM16&lt;&gt;""),AND(KR16&gt;=KS$45,KR16&lt;&gt;""),AND(LO16&gt;=LU$45,LO16&lt;&gt;""),AND(LT16&gt;=LU$45,LT16&lt;&gt;""),AND(MQ16&gt;=MW$45,MQ16&lt;&gt;""),AND(MV16&gt;=MW$45,MV16&lt;&gt;""),AND(NS16&gt;=NY$45,NS16&lt;&gt;""),AND(NX16&gt;=NY$45,NX16&lt;&gt;""),AND(OU16&gt;=PA$45,OU16&lt;&gt;""),AND(OZ16&gt;=PA$45,OZ16&lt;&gt;""),AND(PW16&gt;=QC$45,PW16&lt;&gt;""),AND(QB16&gt;=QC$45,QB16&lt;&gt;"")),"P","")</f>
        <v>P</v>
      </c>
      <c r="J16" s="36" t="str">
        <f>IF(AND(I16="P",H16=""),"No DD",IF(OR(AND(AS16&gt;=AW$44,AT16&gt;=AW$48,AS16&lt;&gt;"",AO16=""),AND(BV16&gt;=BZ$44,BW16&gt;=BZ$48,BV16&lt;&gt;"",BR16=""),AND(CY16&gt;=DC$44,CZ16&gt;=DC$48,CY16&lt;&gt;"",CU16=""),AND(EC16&gt;=EG$44,ED16&gt;=EG$48,EC16&lt;&gt;""),AND(FE16&gt;=FI$44,FF16&gt;=FI$48,FE16&lt;&gt;""),AND(GG16&gt;=GK$44,GH16&gt;=GK$48,GG16&lt;&gt;""),AND(HI16&gt;=HM$44,HJ16&gt;=HM$48,HI16&lt;&gt;""),AND(IK16&gt;=IO$44,IL16&gt;=IO$48,IK16&lt;&gt;""),AND(JM16&gt;=JQ$44,JN16&gt;=JQ$48,JM16&lt;&gt;""),AND(KO16&gt;=KS$44,KP16&gt;=KS$48,KO16&lt;&gt;""),AND(LQ16&gt;=LU$44,LR16&gt;=LU$48,LQ16&lt;&gt;""),AND(MS16&gt;=MW$44,MT16&gt;=MW$48,MS16&lt;&gt;""),AND(NU16&gt;=NY$44,NV16&gt;=NY$48,NU16&lt;&gt;""),AND(OW16&gt;=PA$44,OX16&gt;=PA$48,OW16&lt;&gt;""),AND(PY16&gt;=QC$44,PZ16&gt;=QC$48,PY16&lt;&gt;"")),"Merit",IF(OR(AND(AS16&gt;=AW$43,AT16&gt;=AW$47,AS16&lt;&gt;"",AO16=""),AND(BV16&gt;=BZ$43,BW16&gt;=BZ$47,BV16&lt;&gt;"",BR16=""),AND(CY16&gt;=DC$43,CZ16&gt;=DC$47,CY16&lt;&gt;"",CU16=""),AND(EC16&gt;=EG$43,ED16&gt;=EG$47,EC16&lt;&gt;""),AND(FE16&gt;=FI$43,FF16&gt;=FI$47,FE16&lt;&gt;""),AND(GG16&gt;=GK$43,GH16&gt;=GK$47,GG16&lt;&gt;""),AND(HI16&gt;=HM$43,HJ16&gt;=HM$47,HI16&lt;&gt;""),AND(IK16&gt;=IO$43,IL16&gt;=IO$47,IK16&lt;&gt;""),AND(JM16&gt;=JQ$43,JN16&gt;=JQ$47,JM16&lt;&gt;""),AND(KO16&gt;=KS$43,KP16&gt;=KS$47,KO16&lt;&gt;""),AND(LQ16&gt;=LU$43,LR16&gt;=LU$47,LQ16&lt;&gt;""),AND(MS16&gt;=MW$43,MT16&gt;=MW$47,MS16&lt;&gt;""),AND(NU16&gt;=NY$43,NV16&gt;=NY$47,NU16&lt;&gt;""),AND(OW16&gt;=PA$43,OX16&gt;=PA$47,OW16&lt;&gt;""),AND(PY16&gt;=QC$43,PZ16&gt;=QC$47,PY16&lt;&gt;"")),"Excellence",IF(K16="P","Worlds Team",IF(H16="P","National Team","")))))</f>
        <v>National Team</v>
      </c>
      <c r="K16" s="3" t="str">
        <f>IF(OR(AND(AS16&gt;=AW$42,AT16&gt;=AW$46,AS16&lt;&gt;"",AO16=""),AND(BV16&gt;=BZ$42,BW16&gt;=BZ$46,BV16&lt;&gt;"",BR16=""),AND(CY16&gt;=DC$42,CZ16&gt;=DC$46,CY16&lt;&gt;"",CU16=""),AND(EC16&gt;=EG$42,ED16&gt;=EG$46,EC16&lt;&gt;""),AND(FE16&gt;=FI$42,FF16&gt;=FI$46,FE16&lt;&gt;""),AND(GG16&gt;=GK$42,GH16&gt;=GK$46,GG16&lt;&gt;""),AND(HI16&gt;=HM$42,HJ16&gt;=HM$46,HI16&lt;&gt;""),AND(IK16&gt;=IO$42,IL16&gt;=IO$46,IK16&lt;&gt;""),AND(JM16&gt;=JQ$42,JN16&gt;=JQ$46,JM16&lt;&gt;""),AND(KO16&gt;=KS$42,KP16&gt;=KS$46,KO16&lt;&gt;""),AND(LQ16&gt;=LU$42,LR16&gt;=LU$46,LQ16&lt;&gt;""),AND(MS16&gt;=MW$42,MT16&gt;=MW$46,MS16&lt;&gt;""),AND(NU16&gt;=NY$42,NV16&gt;=NY$46,NU16&lt;&gt;""),AND(OW16&gt;=PA$42,OX16&gt;=PA$46,OW16&lt;&gt;""),AND(PY16&gt;=QC$42,PZ16&gt;=QC$46,PY16&lt;&gt;"")),"P","")</f>
        <v/>
      </c>
      <c r="L16" s="8">
        <f>IF(COUNT(AQ16,BT16,CW16)&gt;0,LARGE((AQ16,BT16,CW16),1),0)</f>
        <v>49.999999999999993</v>
      </c>
      <c r="M16" s="8" t="str">
        <f t="shared" si="1"/>
        <v>2025 Elite Canada</v>
      </c>
      <c r="N16" s="8">
        <f>IF(COUNT(AQ16,BT16,CW16)&gt;1,LARGE((AQ16,BT16,CW16),2),0)</f>
        <v>48.9</v>
      </c>
      <c r="O16" s="8" t="str">
        <f t="shared" si="2"/>
        <v>2024 3rd Domestic Trial</v>
      </c>
      <c r="P16" s="8">
        <f t="shared" si="3"/>
        <v>50.4</v>
      </c>
      <c r="Q16" s="8" t="str">
        <f t="shared" si="4"/>
        <v>2025 Elite Canada</v>
      </c>
      <c r="R16" s="8" t="str">
        <f t="shared" si="5"/>
        <v/>
      </c>
      <c r="S16" s="11" t="str">
        <f t="shared" si="6"/>
        <v/>
      </c>
      <c r="T16" s="8" t="str">
        <f t="shared" si="7"/>
        <v/>
      </c>
      <c r="U16" s="19">
        <v>18.7</v>
      </c>
      <c r="V16" s="19">
        <v>6</v>
      </c>
      <c r="W16" s="19">
        <v>0.6</v>
      </c>
      <c r="X16" s="19">
        <v>0</v>
      </c>
      <c r="Y16" s="19">
        <v>18.8</v>
      </c>
      <c r="Z16" s="19">
        <v>6</v>
      </c>
      <c r="AA16" s="19">
        <v>0</v>
      </c>
      <c r="AB16" s="19">
        <v>0</v>
      </c>
      <c r="AC16" s="19">
        <v>18.600000000000001</v>
      </c>
      <c r="AD16" s="19">
        <v>5.6</v>
      </c>
      <c r="AE16" s="19">
        <v>0.2</v>
      </c>
      <c r="AF16" s="19">
        <v>0</v>
      </c>
      <c r="AG16" s="19">
        <v>18.8</v>
      </c>
      <c r="AH16" s="19">
        <v>6</v>
      </c>
      <c r="AI16" s="19">
        <v>0.2</v>
      </c>
      <c r="AJ16" s="19">
        <v>0</v>
      </c>
      <c r="AK16" s="19">
        <v>18.600000000000001</v>
      </c>
      <c r="AL16" s="19">
        <v>5.6</v>
      </c>
      <c r="AM16" s="19">
        <v>0.6</v>
      </c>
      <c r="AN16" s="19">
        <v>0</v>
      </c>
      <c r="AO16" s="27"/>
      <c r="AP16" s="40">
        <f t="shared" si="8"/>
        <v>12</v>
      </c>
      <c r="AQ16" s="40">
        <f t="shared" si="9"/>
        <v>48.9</v>
      </c>
      <c r="AR16" s="40">
        <f t="shared" si="10"/>
        <v>24.000000000000004</v>
      </c>
      <c r="AS16" s="40">
        <f t="shared" si="11"/>
        <v>17.600000000000001</v>
      </c>
      <c r="AT16" s="40">
        <f t="shared" si="12"/>
        <v>72.900000000000006</v>
      </c>
      <c r="AU16" s="40">
        <f t="shared" si="13"/>
        <v>11.6</v>
      </c>
      <c r="AV16" s="40">
        <f t="shared" si="14"/>
        <v>48.20000000000001</v>
      </c>
      <c r="AW16" s="40">
        <f t="shared" si="15"/>
        <v>121.10000000000002</v>
      </c>
      <c r="AX16" s="18">
        <v>18.600000000000001</v>
      </c>
      <c r="AY16" s="18">
        <v>6.8</v>
      </c>
      <c r="AZ16" s="18">
        <v>0.2</v>
      </c>
      <c r="BA16" s="18">
        <v>0</v>
      </c>
      <c r="BB16" s="18">
        <v>18.600000000000001</v>
      </c>
      <c r="BC16" s="18">
        <v>6.4</v>
      </c>
      <c r="BD16" s="18">
        <v>0.2</v>
      </c>
      <c r="BE16" s="18">
        <v>0</v>
      </c>
      <c r="BF16" s="18"/>
      <c r="BG16" s="18"/>
      <c r="BH16" s="18"/>
      <c r="BI16" s="18"/>
      <c r="BJ16" s="18">
        <v>18.5</v>
      </c>
      <c r="BK16" s="18">
        <v>6.8</v>
      </c>
      <c r="BL16" s="18">
        <v>0.2</v>
      </c>
      <c r="BM16" s="18">
        <v>0</v>
      </c>
      <c r="BN16" s="18">
        <v>18.899999999999999</v>
      </c>
      <c r="BO16" s="18">
        <v>6.4</v>
      </c>
      <c r="BP16" s="18">
        <v>0</v>
      </c>
      <c r="BQ16" s="18">
        <v>0</v>
      </c>
      <c r="BR16" s="28"/>
      <c r="BS16" s="11">
        <f t="shared" si="16"/>
        <v>13.2</v>
      </c>
      <c r="BT16" s="11">
        <f t="shared" si="17"/>
        <v>49.999999999999993</v>
      </c>
      <c r="BU16" s="11" t="str">
        <f t="shared" si="18"/>
        <v/>
      </c>
      <c r="BV16" s="11">
        <f t="shared" si="19"/>
        <v>13.2</v>
      </c>
      <c r="BW16" s="11">
        <f t="shared" si="20"/>
        <v>49.999999999999993</v>
      </c>
      <c r="BX16" s="11">
        <f t="shared" si="21"/>
        <v>13.2</v>
      </c>
      <c r="BY16" s="11">
        <f t="shared" si="22"/>
        <v>50.4</v>
      </c>
      <c r="BZ16" s="11">
        <f t="shared" si="23"/>
        <v>100.39999999999999</v>
      </c>
      <c r="CA16" s="19">
        <v>18</v>
      </c>
      <c r="CB16" s="19">
        <v>5.2</v>
      </c>
      <c r="CC16" s="19">
        <v>0</v>
      </c>
      <c r="CD16" s="19">
        <v>0</v>
      </c>
      <c r="CE16" s="19">
        <v>15.2</v>
      </c>
      <c r="CF16" s="19">
        <v>2.8</v>
      </c>
      <c r="CG16" s="19">
        <v>0</v>
      </c>
      <c r="CH16" s="19">
        <v>0</v>
      </c>
      <c r="CI16" s="19"/>
      <c r="CJ16" s="19"/>
      <c r="CK16" s="19"/>
      <c r="CL16" s="19"/>
      <c r="CM16" s="19">
        <v>17.899999999999999</v>
      </c>
      <c r="CN16" s="19">
        <v>5.2</v>
      </c>
      <c r="CO16" s="19">
        <v>1</v>
      </c>
      <c r="CP16" s="19">
        <v>0</v>
      </c>
      <c r="CQ16" s="19">
        <v>18</v>
      </c>
      <c r="CR16" s="19">
        <v>6.4</v>
      </c>
      <c r="CS16" s="19">
        <v>0.2</v>
      </c>
      <c r="CT16" s="19">
        <v>0</v>
      </c>
      <c r="CU16" s="27"/>
      <c r="CV16" s="40">
        <f t="shared" si="24"/>
        <v>8</v>
      </c>
      <c r="CW16" s="40">
        <f t="shared" si="25"/>
        <v>41.199999999999996</v>
      </c>
      <c r="CX16" s="40" t="str">
        <f t="shared" si="26"/>
        <v/>
      </c>
      <c r="CY16" s="40">
        <f t="shared" si="27"/>
        <v>8</v>
      </c>
      <c r="CZ16" s="40">
        <f t="shared" si="28"/>
        <v>41.199999999999996</v>
      </c>
      <c r="DA16" s="40">
        <f t="shared" si="29"/>
        <v>11.600000000000001</v>
      </c>
      <c r="DB16" s="40">
        <f t="shared" si="30"/>
        <v>46.29999999999999</v>
      </c>
      <c r="DC16" s="40">
        <f t="shared" si="31"/>
        <v>87.499999999999986</v>
      </c>
      <c r="DD16" s="50" t="str">
        <f t="shared" si="32"/>
        <v/>
      </c>
      <c r="DE16" s="50" t="str">
        <f t="shared" si="33"/>
        <v/>
      </c>
      <c r="DF16" s="17">
        <v>18.600000000000001</v>
      </c>
      <c r="DG16" s="17">
        <v>6.4</v>
      </c>
      <c r="DH16" s="17">
        <v>0</v>
      </c>
      <c r="DI16" s="17">
        <v>0</v>
      </c>
      <c r="DJ16" s="17">
        <v>17.2</v>
      </c>
      <c r="DK16" s="17">
        <v>3.2</v>
      </c>
      <c r="DL16" s="17">
        <v>0</v>
      </c>
      <c r="DM16" s="17">
        <v>0</v>
      </c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>
        <f t="shared" si="34"/>
        <v>9.6000000000000014</v>
      </c>
      <c r="EA16" s="40">
        <f t="shared" si="35"/>
        <v>45.400000000000006</v>
      </c>
      <c r="EB16" s="40" t="str">
        <f t="shared" si="36"/>
        <v/>
      </c>
      <c r="EC16" s="40">
        <f t="shared" si="37"/>
        <v>9.6000000000000014</v>
      </c>
      <c r="ED16" s="40">
        <f t="shared" si="38"/>
        <v>45.400000000000006</v>
      </c>
      <c r="EE16" s="40" t="str">
        <f t="shared" si="39"/>
        <v/>
      </c>
      <c r="EF16" s="40" t="str">
        <f t="shared" si="40"/>
        <v/>
      </c>
      <c r="EG16" s="40">
        <f t="shared" si="41"/>
        <v>45.400000000000006</v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2"/>
        <v/>
      </c>
      <c r="FC16" s="11" t="str">
        <f t="shared" si="43"/>
        <v/>
      </c>
      <c r="FD16" s="11" t="str">
        <f t="shared" si="44"/>
        <v/>
      </c>
      <c r="FE16" s="11" t="str">
        <f t="shared" si="45"/>
        <v/>
      </c>
      <c r="FF16" s="11" t="str">
        <f t="shared" si="46"/>
        <v/>
      </c>
      <c r="FG16" s="11" t="str">
        <f t="shared" si="47"/>
        <v/>
      </c>
      <c r="FH16" s="11" t="str">
        <f t="shared" si="48"/>
        <v/>
      </c>
      <c r="FI16" s="11" t="str">
        <f t="shared" si="49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0"/>
        <v/>
      </c>
      <c r="GE16" s="40" t="str">
        <f t="shared" si="51"/>
        <v/>
      </c>
      <c r="GF16" s="40" t="str">
        <f t="shared" si="52"/>
        <v/>
      </c>
      <c r="GG16" s="40" t="str">
        <f t="shared" si="53"/>
        <v/>
      </c>
      <c r="GH16" s="40" t="str">
        <f t="shared" si="54"/>
        <v/>
      </c>
      <c r="GI16" s="40" t="str">
        <f t="shared" si="55"/>
        <v/>
      </c>
      <c r="GJ16" s="40" t="str">
        <f t="shared" si="56"/>
        <v/>
      </c>
      <c r="GK16" s="40" t="str">
        <f t="shared" si="57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58"/>
        <v/>
      </c>
      <c r="HG16" s="11" t="str">
        <f t="shared" si="59"/>
        <v/>
      </c>
      <c r="HH16" s="11" t="str">
        <f t="shared" si="60"/>
        <v/>
      </c>
      <c r="HI16" s="11" t="str">
        <f t="shared" si="61"/>
        <v/>
      </c>
      <c r="HJ16" s="11" t="str">
        <f t="shared" si="62"/>
        <v/>
      </c>
      <c r="HK16" s="11" t="str">
        <f t="shared" si="63"/>
        <v/>
      </c>
      <c r="HL16" s="11" t="str">
        <f t="shared" si="64"/>
        <v/>
      </c>
      <c r="HM16" s="11" t="str">
        <f t="shared" si="65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6"/>
        <v/>
      </c>
      <c r="II16" s="40" t="str">
        <f t="shared" si="67"/>
        <v/>
      </c>
      <c r="IJ16" s="40" t="str">
        <f t="shared" si="68"/>
        <v/>
      </c>
      <c r="IK16" s="40" t="str">
        <f t="shared" si="69"/>
        <v/>
      </c>
      <c r="IL16" s="40" t="str">
        <f t="shared" si="70"/>
        <v/>
      </c>
      <c r="IM16" s="40" t="str">
        <f t="shared" si="71"/>
        <v/>
      </c>
      <c r="IN16" s="40" t="str">
        <f t="shared" si="72"/>
        <v/>
      </c>
      <c r="IO16" s="40" t="str">
        <f t="shared" si="73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4"/>
        <v/>
      </c>
      <c r="JK16" s="11" t="str">
        <f t="shared" si="75"/>
        <v/>
      </c>
      <c r="JL16" s="11" t="str">
        <f t="shared" si="76"/>
        <v/>
      </c>
      <c r="JM16" s="11" t="str">
        <f t="shared" si="77"/>
        <v/>
      </c>
      <c r="JN16" s="11" t="str">
        <f t="shared" si="78"/>
        <v/>
      </c>
      <c r="JO16" s="11" t="str">
        <f t="shared" si="79"/>
        <v/>
      </c>
      <c r="JP16" s="11" t="str">
        <f t="shared" si="80"/>
        <v/>
      </c>
      <c r="JQ16" s="11" t="str">
        <f t="shared" si="81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2"/>
        <v/>
      </c>
      <c r="KM16" s="40" t="str">
        <f t="shared" si="83"/>
        <v/>
      </c>
      <c r="KN16" s="40" t="str">
        <f t="shared" si="84"/>
        <v/>
      </c>
      <c r="KO16" s="40" t="str">
        <f t="shared" si="85"/>
        <v/>
      </c>
      <c r="KP16" s="40" t="str">
        <f t="shared" si="86"/>
        <v/>
      </c>
      <c r="KQ16" s="40" t="str">
        <f t="shared" si="87"/>
        <v/>
      </c>
      <c r="KR16" s="40" t="str">
        <f t="shared" si="88"/>
        <v/>
      </c>
      <c r="KS16" s="40" t="str">
        <f t="shared" si="89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0"/>
        <v/>
      </c>
      <c r="LO16" s="11" t="str">
        <f t="shared" si="91"/>
        <v/>
      </c>
      <c r="LP16" s="11" t="str">
        <f t="shared" si="92"/>
        <v/>
      </c>
      <c r="LQ16" s="11" t="str">
        <f t="shared" si="93"/>
        <v/>
      </c>
      <c r="LR16" s="11" t="str">
        <f t="shared" si="94"/>
        <v/>
      </c>
      <c r="LS16" s="11" t="str">
        <f t="shared" si="95"/>
        <v/>
      </c>
      <c r="LT16" s="11" t="str">
        <f t="shared" si="96"/>
        <v/>
      </c>
      <c r="LU16" s="11" t="str">
        <f t="shared" si="97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98"/>
        <v/>
      </c>
      <c r="MQ16" s="40" t="str">
        <f t="shared" si="99"/>
        <v/>
      </c>
      <c r="MR16" s="40" t="str">
        <f t="shared" si="100"/>
        <v/>
      </c>
      <c r="MS16" s="40" t="str">
        <f t="shared" si="101"/>
        <v/>
      </c>
      <c r="MT16" s="40" t="str">
        <f t="shared" si="102"/>
        <v/>
      </c>
      <c r="MU16" s="40" t="str">
        <f t="shared" si="103"/>
        <v/>
      </c>
      <c r="MV16" s="40" t="str">
        <f t="shared" si="104"/>
        <v/>
      </c>
      <c r="MW16" s="40" t="str">
        <f t="shared" si="105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6"/>
        <v/>
      </c>
      <c r="NS16" s="11" t="str">
        <f t="shared" si="107"/>
        <v/>
      </c>
      <c r="NT16" s="11" t="str">
        <f t="shared" si="108"/>
        <v/>
      </c>
      <c r="NU16" s="11" t="str">
        <f t="shared" si="109"/>
        <v/>
      </c>
      <c r="NV16" s="11" t="str">
        <f t="shared" si="110"/>
        <v/>
      </c>
      <c r="NW16" s="11" t="str">
        <f t="shared" si="111"/>
        <v/>
      </c>
      <c r="NX16" s="11" t="str">
        <f t="shared" si="112"/>
        <v/>
      </c>
      <c r="NY16" s="11" t="str">
        <f t="shared" si="113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4"/>
        <v/>
      </c>
      <c r="OU16" s="40" t="str">
        <f t="shared" si="115"/>
        <v/>
      </c>
      <c r="OV16" s="40" t="str">
        <f t="shared" si="116"/>
        <v/>
      </c>
      <c r="OW16" s="40" t="str">
        <f t="shared" si="117"/>
        <v/>
      </c>
      <c r="OX16" s="40" t="str">
        <f t="shared" si="118"/>
        <v/>
      </c>
      <c r="OY16" s="40" t="str">
        <f t="shared" si="119"/>
        <v/>
      </c>
      <c r="OZ16" s="40" t="str">
        <f t="shared" si="120"/>
        <v/>
      </c>
      <c r="PA16" s="40" t="str">
        <f t="shared" si="121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2"/>
        <v/>
      </c>
      <c r="PW16" s="11" t="str">
        <f t="shared" si="123"/>
        <v/>
      </c>
      <c r="PX16" s="11" t="str">
        <f t="shared" si="124"/>
        <v/>
      </c>
      <c r="PY16" s="11" t="str">
        <f t="shared" si="125"/>
        <v/>
      </c>
      <c r="PZ16" s="11" t="str">
        <f t="shared" si="126"/>
        <v/>
      </c>
      <c r="QA16" s="11" t="str">
        <f t="shared" si="127"/>
        <v/>
      </c>
      <c r="QB16" s="11" t="str">
        <f t="shared" si="128"/>
        <v/>
      </c>
      <c r="QC16" s="11" t="str">
        <f t="shared" si="129"/>
        <v/>
      </c>
      <c r="QD16" s="22">
        <f t="shared" si="130"/>
        <v>18.3</v>
      </c>
      <c r="QE16" s="22">
        <f t="shared" si="131"/>
        <v>6</v>
      </c>
      <c r="QF16" s="22">
        <f t="shared" si="132"/>
        <v>0.1</v>
      </c>
      <c r="QG16" s="22">
        <f t="shared" si="133"/>
        <v>0</v>
      </c>
      <c r="QH16" s="22">
        <f t="shared" si="134"/>
        <v>16.899999999999999</v>
      </c>
      <c r="QI16" s="22">
        <f t="shared" si="135"/>
        <v>4.5999999999999996</v>
      </c>
      <c r="QJ16" s="22">
        <f t="shared" si="136"/>
        <v>0.1</v>
      </c>
      <c r="QK16" s="22">
        <f t="shared" si="137"/>
        <v>0</v>
      </c>
      <c r="QL16" s="22">
        <f t="shared" si="138"/>
        <v>0</v>
      </c>
      <c r="QM16" s="22">
        <f t="shared" si="139"/>
        <v>0</v>
      </c>
      <c r="QN16" s="22">
        <f t="shared" si="140"/>
        <v>0</v>
      </c>
      <c r="QO16" s="22">
        <f t="shared" si="141"/>
        <v>0</v>
      </c>
      <c r="QP16" s="22">
        <f t="shared" si="142"/>
        <v>18.2</v>
      </c>
      <c r="QQ16" s="22">
        <f t="shared" si="143"/>
        <v>6</v>
      </c>
      <c r="QR16" s="22">
        <f t="shared" si="144"/>
        <v>0.6</v>
      </c>
      <c r="QS16" s="22">
        <f t="shared" si="145"/>
        <v>0</v>
      </c>
      <c r="QT16" s="22">
        <f t="shared" si="146"/>
        <v>18.45</v>
      </c>
      <c r="QU16" s="22">
        <f t="shared" si="147"/>
        <v>6.4</v>
      </c>
      <c r="QV16" s="22">
        <f t="shared" si="148"/>
        <v>0.1</v>
      </c>
      <c r="QW16" s="22">
        <f t="shared" si="149"/>
        <v>0</v>
      </c>
      <c r="QX16" s="27" t="s">
        <v>46</v>
      </c>
      <c r="QY16" s="40">
        <f t="shared" si="150"/>
        <v>10.6</v>
      </c>
      <c r="QZ16" s="40">
        <f t="shared" si="151"/>
        <v>45.6</v>
      </c>
      <c r="RA16" s="40" t="str">
        <f t="shared" si="152"/>
        <v/>
      </c>
      <c r="RB16" s="40">
        <f t="shared" si="153"/>
        <v>10.6</v>
      </c>
      <c r="RC16" s="40">
        <f t="shared" si="154"/>
        <v>45.6</v>
      </c>
      <c r="RD16" s="40">
        <f t="shared" si="155"/>
        <v>12.4</v>
      </c>
      <c r="RE16" s="40">
        <f t="shared" si="156"/>
        <v>48.349999999999994</v>
      </c>
      <c r="RF16" s="40">
        <f t="shared" si="157"/>
        <v>93.949999999999989</v>
      </c>
    </row>
    <row r="17" spans="1:474" x14ac:dyDescent="0.2">
      <c r="A17" s="4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>14</v>
      </c>
      <c r="B17" s="4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>9</v>
      </c>
      <c r="C17" s="5" t="s">
        <v>141</v>
      </c>
      <c r="D17" s="4" t="s">
        <v>5</v>
      </c>
      <c r="E17" s="4">
        <v>2007</v>
      </c>
      <c r="F17" s="9">
        <f t="shared" si="0"/>
        <v>149.00000992000503</v>
      </c>
      <c r="G17" s="64"/>
      <c r="H17" s="3" t="str">
        <f>IF(OR(AND(AP17&gt;=AW$41,AQ17&gt;=AW$45,AP17&lt;&gt;"",AO17=""),AND(AU17&gt;=AW$41,AV17&gt;=AW$45,AU17&lt;&gt;"",AO17=""),AND(BS17&gt;=BZ$41,BT17&gt;=BZ$45,BS17&lt;&gt;"",BR17=""),AND(BX17&gt;=BZ$41,BY17&gt;=BZ$45,BX17&lt;&gt;"",BR17=""),AND(CV17&gt;=DC$41,CW17&gt;=DC$45,CV17&lt;&gt;"",CU17=""),AND(DA17&gt;=DC$41,DB17&gt;=DC$45,DA17&lt;&gt;""),AND(DZ17&gt;=EG$41,EA17&gt;=EG$45,DZ17&lt;&gt;""),AND(EE17&gt;=EG$41,EF17&gt;=EG$45,EE17&lt;&gt;""),AND(FB17&gt;=FI$41,FC17&gt;=FI$45,FB17&lt;&gt;""),AND(FG17&gt;=FI$41,FH17&gt;=FI$45,FG17&lt;&gt;""),AND(GD17&gt;=GK$41,GE17&gt;=GK$45,GD17&lt;&gt;""),AND(GI17&gt;=GK$41,GJ17&gt;=GK$45,GI17&lt;&gt;""),AND(HF17&gt;=HM$41,HG17&gt;=HM$45,HF17&lt;&gt;""),AND(HK17&gt;=HM$41,HL17&gt;=HM$45,HK17&lt;&gt;""),AND(IH17&gt;=IO$41,II17&gt;=IO$45,IH17&lt;&gt;""),AND(IM17&gt;=IO$41,IN17&gt;=IO$45,IM17&lt;&gt;""),AND(JJ17&gt;=JQ$41,JK17&gt;=JQ$45,JJ17&lt;&gt;""),AND(JO17&gt;=JQ$41,JP17&gt;=JQ$45,JO17&lt;&gt;""),AND(KL17&gt;=KS$41,KM17&gt;=KS$45,KL17&lt;&gt;""),AND(KQ17&gt;=KS$41,KR17&gt;=KS$45,KQ17&lt;&gt;""),AND(LN17&gt;=LU$41,LO17&gt;=LU$45,LN17&lt;&gt;""),AND(LS17&gt;=LU$41,LT17&gt;=LU$45,LS17&lt;&gt;""),AND(MP17&gt;=MW$41,MQ17&gt;=MW$45,MP17&lt;&gt;""),AND(MU17&gt;=MW$41,MV17&gt;=MW$45,MU17&lt;&gt;""),AND(NR17&gt;=NY$41,NS17&gt;=NY$45,NR17&lt;&gt;""),AND(NW17&gt;=NY$41,NX17&gt;=NY$45,NW17&lt;&gt;""),AND(OT17&gt;=PA$41,OU17&gt;=PA$45,OT17&lt;&gt;""),AND(OY17&gt;=PA$41,OZ17&gt;=PA$45,OY17&lt;&gt;""),AND(PV17&gt;=QC$41,PW17&gt;=QC$45,PV17&lt;&gt;""),AND(QA17&gt;=QC$41,QB17&gt;=QC$45,QA17&lt;&gt;"")),"P","")</f>
        <v>P</v>
      </c>
      <c r="I17" s="3" t="str">
        <f>IF(OR(AND(AQ17&gt;=AW$45,AQ17&lt;&gt;"",AO17=""),AND(AV17&gt;=AW$45,AV17&lt;&gt;"",AO17=""),AND(BT17&gt;=BZ$45,BT17&lt;&gt;"",BR17=""),AND(BY17&gt;=BZ$45,BY17&lt;&gt;"",BR17=""),AND(CW17&gt;=DC$45,CW17&lt;&gt;"",CU17=""),AND(DB17&gt;=DC$45,DB17&lt;&gt;"",CU17=""),AND(EA17&gt;=EG$45,EA17&lt;&gt;""),AND(EF17&gt;=EG$45,EF17&lt;&gt;""),AND(FC17&gt;=FI$45,FC17&lt;&gt;""),AND(FH17&gt;=FI$45,FH17&lt;&gt;""),AND(GE17&gt;=GK$45,GE17&lt;&gt;""),AND(GJ17&gt;=GK$45,GJ17&lt;&gt;""),AND(HG17&gt;=HM$45,HG17&lt;&gt;""),AND(HL17&gt;=HM$45,HL17&lt;&gt;""),AND(II17&gt;=IO$45,II17&lt;&gt;""),AND(IN17&gt;=IO$45,IN17&lt;&gt;""),AND(JK17&gt;=JQ$45,JK17&lt;&gt;""),AND(JP17&gt;=JQ$45,JP17&lt;&gt;""),AND(KM17&gt;=KS$45,KM17&lt;&gt;""),AND(KR17&gt;=KS$45,KR17&lt;&gt;""),AND(LO17&gt;=LU$45,LO17&lt;&gt;""),AND(LT17&gt;=LU$45,LT17&lt;&gt;""),AND(MQ17&gt;=MW$45,MQ17&lt;&gt;""),AND(MV17&gt;=MW$45,MV17&lt;&gt;""),AND(NS17&gt;=NY$45,NS17&lt;&gt;""),AND(NX17&gt;=NY$45,NX17&lt;&gt;""),AND(OU17&gt;=PA$45,OU17&lt;&gt;""),AND(OZ17&gt;=PA$45,OZ17&lt;&gt;""),AND(PW17&gt;=QC$45,PW17&lt;&gt;""),AND(QB17&gt;=QC$45,QB17&lt;&gt;"")),"P","")</f>
        <v>P</v>
      </c>
      <c r="J17" s="36" t="str">
        <f>IF(AND(I17="P",H17=""),"No DD",IF(OR(AND(AS17&gt;=AW$44,AT17&gt;=AW$48,AS17&lt;&gt;"",AO17=""),AND(BV17&gt;=BZ$44,BW17&gt;=BZ$48,BV17&lt;&gt;"",BR17=""),AND(CY17&gt;=DC$44,CZ17&gt;=DC$48,CY17&lt;&gt;"",CU17=""),AND(EC17&gt;=EG$44,ED17&gt;=EG$48,EC17&lt;&gt;""),AND(FE17&gt;=FI$44,FF17&gt;=FI$48,FE17&lt;&gt;""),AND(GG17&gt;=GK$44,GH17&gt;=GK$48,GG17&lt;&gt;""),AND(HI17&gt;=HM$44,HJ17&gt;=HM$48,HI17&lt;&gt;""),AND(IK17&gt;=IO$44,IL17&gt;=IO$48,IK17&lt;&gt;""),AND(JM17&gt;=JQ$44,JN17&gt;=JQ$48,JM17&lt;&gt;""),AND(KO17&gt;=KS$44,KP17&gt;=KS$48,KO17&lt;&gt;""),AND(LQ17&gt;=LU$44,LR17&gt;=LU$48,LQ17&lt;&gt;""),AND(MS17&gt;=MW$44,MT17&gt;=MW$48,MS17&lt;&gt;""),AND(NU17&gt;=NY$44,NV17&gt;=NY$48,NU17&lt;&gt;""),AND(OW17&gt;=PA$44,OX17&gt;=PA$48,OW17&lt;&gt;""),AND(PY17&gt;=QC$44,PZ17&gt;=QC$48,PY17&lt;&gt;"")),"Merit",IF(OR(AND(AS17&gt;=AW$43,AT17&gt;=AW$47,AS17&lt;&gt;"",AO17=""),AND(BV17&gt;=BZ$43,BW17&gt;=BZ$47,BV17&lt;&gt;"",BR17=""),AND(CY17&gt;=DC$43,CZ17&gt;=DC$47,CY17&lt;&gt;"",CU17=""),AND(EC17&gt;=EG$43,ED17&gt;=EG$47,EC17&lt;&gt;""),AND(FE17&gt;=FI$43,FF17&gt;=FI$47,FE17&lt;&gt;""),AND(GG17&gt;=GK$43,GH17&gt;=GK$47,GG17&lt;&gt;""),AND(HI17&gt;=HM$43,HJ17&gt;=HM$47,HI17&lt;&gt;""),AND(IK17&gt;=IO$43,IL17&gt;=IO$47,IK17&lt;&gt;""),AND(JM17&gt;=JQ$43,JN17&gt;=JQ$47,JM17&lt;&gt;""),AND(KO17&gt;=KS$43,KP17&gt;=KS$47,KO17&lt;&gt;""),AND(LQ17&gt;=LU$43,LR17&gt;=LU$47,LQ17&lt;&gt;""),AND(MS17&gt;=MW$43,MT17&gt;=MW$47,MS17&lt;&gt;""),AND(NU17&gt;=NY$43,NV17&gt;=NY$47,NU17&lt;&gt;""),AND(OW17&gt;=PA$43,OX17&gt;=PA$47,OW17&lt;&gt;""),AND(PY17&gt;=QC$43,PZ17&gt;=QC$47,PY17&lt;&gt;"")),"Excellence",IF(K17="P","Worlds Team",IF(H17="P","National Team","")))))</f>
        <v>National Team</v>
      </c>
      <c r="K17" s="3" t="str">
        <f>IF(OR(AND(AS17&gt;=AW$42,AT17&gt;=AW$46,AS17&lt;&gt;"",AO17=""),AND(BV17&gt;=BZ$42,BW17&gt;=BZ$46,BV17&lt;&gt;"",BR17=""),AND(CY17&gt;=DC$42,CZ17&gt;=DC$46,CY17&lt;&gt;"",CU17=""),AND(EC17&gt;=EG$42,ED17&gt;=EG$46,EC17&lt;&gt;""),AND(FE17&gt;=FI$42,FF17&gt;=FI$46,FE17&lt;&gt;""),AND(GG17&gt;=GK$42,GH17&gt;=GK$46,GG17&lt;&gt;""),AND(HI17&gt;=HM$42,HJ17&gt;=HM$46,HI17&lt;&gt;""),AND(IK17&gt;=IO$42,IL17&gt;=IO$46,IK17&lt;&gt;""),AND(JM17&gt;=JQ$42,JN17&gt;=JQ$46,JM17&lt;&gt;""),AND(KO17&gt;=KS$42,KP17&gt;=KS$46,KO17&lt;&gt;""),AND(LQ17&gt;=LU$42,LR17&gt;=LU$46,LQ17&lt;&gt;""),AND(MS17&gt;=MW$42,MT17&gt;=MW$46,MS17&lt;&gt;""),AND(NU17&gt;=NY$42,NV17&gt;=NY$46,NU17&lt;&gt;""),AND(OW17&gt;=PA$42,OX17&gt;=PA$46,OW17&lt;&gt;""),AND(PY17&gt;=QC$42,PZ17&gt;=QC$46,PY17&lt;&gt;"")),"P","")</f>
        <v/>
      </c>
      <c r="L17" s="8">
        <f>IF(COUNT(AQ17,BT17,CW17)&gt;0,LARGE((AQ17,BT17,CW17),1),0)</f>
        <v>50.4</v>
      </c>
      <c r="M17" s="8" t="str">
        <f t="shared" si="1"/>
        <v>2024 3rd Domestic Trial</v>
      </c>
      <c r="N17" s="8">
        <f>IF(COUNT(AQ17,BT17,CW17)&gt;1,LARGE((AQ17,BT17,CW17),2),0)</f>
        <v>48.8</v>
      </c>
      <c r="O17" s="8" t="str">
        <f t="shared" si="2"/>
        <v>2025 Nationals</v>
      </c>
      <c r="P17" s="8">
        <f t="shared" si="3"/>
        <v>49.800000000000004</v>
      </c>
      <c r="Q17" s="8" t="str">
        <f t="shared" si="4"/>
        <v>2024 3rd Domestic Trial</v>
      </c>
      <c r="R17" s="8" t="str">
        <f t="shared" si="5"/>
        <v/>
      </c>
      <c r="S17" s="11" t="str">
        <f t="shared" si="6"/>
        <v/>
      </c>
      <c r="T17" s="8" t="str">
        <f t="shared" si="7"/>
        <v/>
      </c>
      <c r="U17" s="19">
        <v>18.7</v>
      </c>
      <c r="V17" s="19">
        <v>6.8</v>
      </c>
      <c r="W17" s="19">
        <v>0</v>
      </c>
      <c r="X17" s="19">
        <v>0</v>
      </c>
      <c r="Y17" s="19">
        <v>18.5</v>
      </c>
      <c r="Z17" s="19">
        <v>6.4</v>
      </c>
      <c r="AA17" s="19">
        <v>0</v>
      </c>
      <c r="AB17" s="19">
        <v>0</v>
      </c>
      <c r="AC17" s="19">
        <v>18.399999999999999</v>
      </c>
      <c r="AD17" s="19">
        <v>6</v>
      </c>
      <c r="AE17" s="19">
        <v>0</v>
      </c>
      <c r="AF17" s="19">
        <v>0</v>
      </c>
      <c r="AG17" s="19">
        <v>18.8</v>
      </c>
      <c r="AH17" s="19">
        <v>6.8</v>
      </c>
      <c r="AI17" s="19">
        <v>0.6</v>
      </c>
      <c r="AJ17" s="19">
        <v>0</v>
      </c>
      <c r="AK17" s="19">
        <v>18.600000000000001</v>
      </c>
      <c r="AL17" s="19">
        <v>6.4</v>
      </c>
      <c r="AM17" s="19">
        <v>0.2</v>
      </c>
      <c r="AN17" s="19">
        <v>0</v>
      </c>
      <c r="AO17" s="27"/>
      <c r="AP17" s="40">
        <f t="shared" si="8"/>
        <v>13.2</v>
      </c>
      <c r="AQ17" s="40">
        <f t="shared" si="9"/>
        <v>50.4</v>
      </c>
      <c r="AR17" s="40">
        <f t="shared" si="10"/>
        <v>24.4</v>
      </c>
      <c r="AS17" s="40">
        <f t="shared" si="11"/>
        <v>19.2</v>
      </c>
      <c r="AT17" s="40">
        <f t="shared" si="12"/>
        <v>74.8</v>
      </c>
      <c r="AU17" s="40">
        <f t="shared" si="13"/>
        <v>13.2</v>
      </c>
      <c r="AV17" s="40">
        <f t="shared" si="14"/>
        <v>49.800000000000004</v>
      </c>
      <c r="AW17" s="40">
        <f t="shared" si="15"/>
        <v>124.6</v>
      </c>
      <c r="AX17" s="18">
        <v>18.2</v>
      </c>
      <c r="AY17" s="18">
        <v>6.4</v>
      </c>
      <c r="AZ17" s="18">
        <v>0.6</v>
      </c>
      <c r="BA17" s="18">
        <v>0</v>
      </c>
      <c r="BB17" s="18">
        <v>17.8</v>
      </c>
      <c r="BC17" s="18">
        <v>6</v>
      </c>
      <c r="BD17" s="18">
        <v>1.6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16"/>
        <v>12.4</v>
      </c>
      <c r="BT17" s="11">
        <f t="shared" si="17"/>
        <v>46.2</v>
      </c>
      <c r="BU17" s="11" t="str">
        <f t="shared" si="18"/>
        <v/>
      </c>
      <c r="BV17" s="11">
        <f t="shared" si="19"/>
        <v>12.4</v>
      </c>
      <c r="BW17" s="11">
        <f t="shared" si="20"/>
        <v>46.2</v>
      </c>
      <c r="BX17" s="11" t="str">
        <f t="shared" si="21"/>
        <v/>
      </c>
      <c r="BY17" s="11" t="str">
        <f t="shared" si="22"/>
        <v/>
      </c>
      <c r="BZ17" s="11">
        <f t="shared" si="23"/>
        <v>46.2</v>
      </c>
      <c r="CA17" s="19">
        <v>18.600000000000001</v>
      </c>
      <c r="CB17" s="19">
        <v>7.2</v>
      </c>
      <c r="CC17" s="19">
        <v>0.2</v>
      </c>
      <c r="CD17" s="19">
        <v>0</v>
      </c>
      <c r="CE17" s="19">
        <v>18</v>
      </c>
      <c r="CF17" s="19">
        <v>6</v>
      </c>
      <c r="CG17" s="19">
        <v>0.8</v>
      </c>
      <c r="CH17" s="19">
        <v>0</v>
      </c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24"/>
        <v>13.2</v>
      </c>
      <c r="CW17" s="40">
        <f t="shared" si="25"/>
        <v>48.8</v>
      </c>
      <c r="CX17" s="40" t="str">
        <f t="shared" si="26"/>
        <v/>
      </c>
      <c r="CY17" s="40">
        <f t="shared" si="27"/>
        <v>13.2</v>
      </c>
      <c r="CZ17" s="40">
        <f t="shared" si="28"/>
        <v>48.8</v>
      </c>
      <c r="DA17" s="40" t="str">
        <f t="shared" si="29"/>
        <v/>
      </c>
      <c r="DB17" s="40" t="str">
        <f t="shared" si="30"/>
        <v/>
      </c>
      <c r="DC17" s="40">
        <f t="shared" si="31"/>
        <v>48.8</v>
      </c>
      <c r="DD17" s="50" t="str">
        <f t="shared" si="32"/>
        <v/>
      </c>
      <c r="DE17" s="50" t="str">
        <f t="shared" si="33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4"/>
        <v/>
      </c>
      <c r="EA17" s="40" t="str">
        <f t="shared" si="35"/>
        <v/>
      </c>
      <c r="EB17" s="40" t="str">
        <f t="shared" si="36"/>
        <v/>
      </c>
      <c r="EC17" s="40" t="str">
        <f t="shared" si="37"/>
        <v/>
      </c>
      <c r="ED17" s="40" t="str">
        <f t="shared" si="38"/>
        <v/>
      </c>
      <c r="EE17" s="40" t="str">
        <f t="shared" si="39"/>
        <v/>
      </c>
      <c r="EF17" s="40" t="str">
        <f t="shared" si="40"/>
        <v/>
      </c>
      <c r="EG17" s="40" t="str">
        <f t="shared" si="41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2"/>
        <v/>
      </c>
      <c r="FC17" s="11" t="str">
        <f t="shared" si="43"/>
        <v/>
      </c>
      <c r="FD17" s="11" t="str">
        <f t="shared" si="44"/>
        <v/>
      </c>
      <c r="FE17" s="11" t="str">
        <f t="shared" si="45"/>
        <v/>
      </c>
      <c r="FF17" s="11" t="str">
        <f t="shared" si="46"/>
        <v/>
      </c>
      <c r="FG17" s="11" t="str">
        <f t="shared" si="47"/>
        <v/>
      </c>
      <c r="FH17" s="11" t="str">
        <f t="shared" si="48"/>
        <v/>
      </c>
      <c r="FI17" s="11" t="str">
        <f t="shared" si="49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0"/>
        <v/>
      </c>
      <c r="GE17" s="40" t="str">
        <f t="shared" si="51"/>
        <v/>
      </c>
      <c r="GF17" s="40" t="str">
        <f t="shared" si="52"/>
        <v/>
      </c>
      <c r="GG17" s="40" t="str">
        <f t="shared" si="53"/>
        <v/>
      </c>
      <c r="GH17" s="40" t="str">
        <f t="shared" si="54"/>
        <v/>
      </c>
      <c r="GI17" s="40" t="str">
        <f t="shared" si="55"/>
        <v/>
      </c>
      <c r="GJ17" s="40" t="str">
        <f t="shared" si="56"/>
        <v/>
      </c>
      <c r="GK17" s="40" t="str">
        <f t="shared" si="57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58"/>
        <v/>
      </c>
      <c r="HG17" s="11" t="str">
        <f t="shared" si="59"/>
        <v/>
      </c>
      <c r="HH17" s="11" t="str">
        <f t="shared" si="60"/>
        <v/>
      </c>
      <c r="HI17" s="11" t="str">
        <f t="shared" si="61"/>
        <v/>
      </c>
      <c r="HJ17" s="11" t="str">
        <f t="shared" si="62"/>
        <v/>
      </c>
      <c r="HK17" s="11" t="str">
        <f t="shared" si="63"/>
        <v/>
      </c>
      <c r="HL17" s="11" t="str">
        <f t="shared" si="64"/>
        <v/>
      </c>
      <c r="HM17" s="11" t="str">
        <f t="shared" si="65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6"/>
        <v/>
      </c>
      <c r="II17" s="40" t="str">
        <f t="shared" si="67"/>
        <v/>
      </c>
      <c r="IJ17" s="40" t="str">
        <f t="shared" si="68"/>
        <v/>
      </c>
      <c r="IK17" s="40" t="str">
        <f t="shared" si="69"/>
        <v/>
      </c>
      <c r="IL17" s="40" t="str">
        <f t="shared" si="70"/>
        <v/>
      </c>
      <c r="IM17" s="40" t="str">
        <f t="shared" si="71"/>
        <v/>
      </c>
      <c r="IN17" s="40" t="str">
        <f t="shared" si="72"/>
        <v/>
      </c>
      <c r="IO17" s="40" t="str">
        <f t="shared" si="73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4"/>
        <v/>
      </c>
      <c r="JK17" s="11" t="str">
        <f t="shared" si="75"/>
        <v/>
      </c>
      <c r="JL17" s="11" t="str">
        <f t="shared" si="76"/>
        <v/>
      </c>
      <c r="JM17" s="11" t="str">
        <f t="shared" si="77"/>
        <v/>
      </c>
      <c r="JN17" s="11" t="str">
        <f t="shared" si="78"/>
        <v/>
      </c>
      <c r="JO17" s="11" t="str">
        <f t="shared" si="79"/>
        <v/>
      </c>
      <c r="JP17" s="11" t="str">
        <f t="shared" si="80"/>
        <v/>
      </c>
      <c r="JQ17" s="11" t="str">
        <f t="shared" si="81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2"/>
        <v/>
      </c>
      <c r="KM17" s="40" t="str">
        <f t="shared" si="83"/>
        <v/>
      </c>
      <c r="KN17" s="40" t="str">
        <f t="shared" si="84"/>
        <v/>
      </c>
      <c r="KO17" s="40" t="str">
        <f t="shared" si="85"/>
        <v/>
      </c>
      <c r="KP17" s="40" t="str">
        <f t="shared" si="86"/>
        <v/>
      </c>
      <c r="KQ17" s="40" t="str">
        <f t="shared" si="87"/>
        <v/>
      </c>
      <c r="KR17" s="40" t="str">
        <f t="shared" si="88"/>
        <v/>
      </c>
      <c r="KS17" s="40" t="str">
        <f t="shared" si="89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0"/>
        <v/>
      </c>
      <c r="LO17" s="11" t="str">
        <f t="shared" si="91"/>
        <v/>
      </c>
      <c r="LP17" s="11" t="str">
        <f t="shared" si="92"/>
        <v/>
      </c>
      <c r="LQ17" s="11" t="str">
        <f t="shared" si="93"/>
        <v/>
      </c>
      <c r="LR17" s="11" t="str">
        <f t="shared" si="94"/>
        <v/>
      </c>
      <c r="LS17" s="11" t="str">
        <f t="shared" si="95"/>
        <v/>
      </c>
      <c r="LT17" s="11" t="str">
        <f t="shared" si="96"/>
        <v/>
      </c>
      <c r="LU17" s="11" t="str">
        <f t="shared" si="97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98"/>
        <v/>
      </c>
      <c r="MQ17" s="40" t="str">
        <f t="shared" si="99"/>
        <v/>
      </c>
      <c r="MR17" s="40" t="str">
        <f t="shared" si="100"/>
        <v/>
      </c>
      <c r="MS17" s="40" t="str">
        <f t="shared" si="101"/>
        <v/>
      </c>
      <c r="MT17" s="40" t="str">
        <f t="shared" si="102"/>
        <v/>
      </c>
      <c r="MU17" s="40" t="str">
        <f t="shared" si="103"/>
        <v/>
      </c>
      <c r="MV17" s="40" t="str">
        <f t="shared" si="104"/>
        <v/>
      </c>
      <c r="MW17" s="40" t="str">
        <f t="shared" si="105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6"/>
        <v/>
      </c>
      <c r="NS17" s="11" t="str">
        <f t="shared" si="107"/>
        <v/>
      </c>
      <c r="NT17" s="11" t="str">
        <f t="shared" si="108"/>
        <v/>
      </c>
      <c r="NU17" s="11" t="str">
        <f t="shared" si="109"/>
        <v/>
      </c>
      <c r="NV17" s="11" t="str">
        <f t="shared" si="110"/>
        <v/>
      </c>
      <c r="NW17" s="11" t="str">
        <f t="shared" si="111"/>
        <v/>
      </c>
      <c r="NX17" s="11" t="str">
        <f t="shared" si="112"/>
        <v/>
      </c>
      <c r="NY17" s="11" t="str">
        <f t="shared" si="113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4"/>
        <v/>
      </c>
      <c r="OU17" s="40" t="str">
        <f t="shared" si="115"/>
        <v/>
      </c>
      <c r="OV17" s="40" t="str">
        <f t="shared" si="116"/>
        <v/>
      </c>
      <c r="OW17" s="40" t="str">
        <f t="shared" si="117"/>
        <v/>
      </c>
      <c r="OX17" s="40" t="str">
        <f t="shared" si="118"/>
        <v/>
      </c>
      <c r="OY17" s="40" t="str">
        <f t="shared" si="119"/>
        <v/>
      </c>
      <c r="OZ17" s="40" t="str">
        <f t="shared" si="120"/>
        <v/>
      </c>
      <c r="PA17" s="40" t="str">
        <f t="shared" si="121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2"/>
        <v/>
      </c>
      <c r="PW17" s="11" t="str">
        <f t="shared" si="123"/>
        <v/>
      </c>
      <c r="PX17" s="11" t="str">
        <f t="shared" si="124"/>
        <v/>
      </c>
      <c r="PY17" s="11" t="str">
        <f t="shared" si="125"/>
        <v/>
      </c>
      <c r="PZ17" s="11" t="str">
        <f t="shared" si="126"/>
        <v/>
      </c>
      <c r="QA17" s="11" t="str">
        <f t="shared" si="127"/>
        <v/>
      </c>
      <c r="QB17" s="11" t="str">
        <f t="shared" si="128"/>
        <v/>
      </c>
      <c r="QC17" s="11" t="str">
        <f t="shared" si="129"/>
        <v/>
      </c>
      <c r="QD17" s="22">
        <f t="shared" si="130"/>
        <v>18.399999999999999</v>
      </c>
      <c r="QE17" s="22">
        <f t="shared" si="131"/>
        <v>6.8000000000000007</v>
      </c>
      <c r="QF17" s="22">
        <f t="shared" si="132"/>
        <v>0.4</v>
      </c>
      <c r="QG17" s="22">
        <f t="shared" si="133"/>
        <v>0</v>
      </c>
      <c r="QH17" s="22">
        <f t="shared" si="134"/>
        <v>17.899999999999999</v>
      </c>
      <c r="QI17" s="22">
        <f t="shared" si="135"/>
        <v>6</v>
      </c>
      <c r="QJ17" s="22">
        <f t="shared" si="136"/>
        <v>1.2000000000000002</v>
      </c>
      <c r="QK17" s="22">
        <f t="shared" si="137"/>
        <v>0</v>
      </c>
      <c r="QL17" s="22">
        <f t="shared" si="138"/>
        <v>0</v>
      </c>
      <c r="QM17" s="22">
        <f t="shared" si="139"/>
        <v>0</v>
      </c>
      <c r="QN17" s="22">
        <f t="shared" si="140"/>
        <v>0</v>
      </c>
      <c r="QO17" s="22">
        <f t="shared" si="141"/>
        <v>0</v>
      </c>
      <c r="QP17" s="22">
        <f t="shared" si="142"/>
        <v>0</v>
      </c>
      <c r="QQ17" s="22">
        <f t="shared" si="143"/>
        <v>0</v>
      </c>
      <c r="QR17" s="22">
        <f t="shared" si="144"/>
        <v>0</v>
      </c>
      <c r="QS17" s="22">
        <f t="shared" si="145"/>
        <v>0</v>
      </c>
      <c r="QT17" s="22">
        <f t="shared" si="146"/>
        <v>0</v>
      </c>
      <c r="QU17" s="22">
        <f t="shared" si="147"/>
        <v>0</v>
      </c>
      <c r="QV17" s="22">
        <f t="shared" si="148"/>
        <v>0</v>
      </c>
      <c r="QW17" s="22">
        <f t="shared" si="149"/>
        <v>0</v>
      </c>
      <c r="QX17" s="27" t="s">
        <v>46</v>
      </c>
      <c r="QY17" s="40">
        <f t="shared" si="150"/>
        <v>12.8</v>
      </c>
      <c r="QZ17" s="40">
        <f t="shared" si="151"/>
        <v>47.499999999999993</v>
      </c>
      <c r="RA17" s="40" t="str">
        <f t="shared" si="152"/>
        <v/>
      </c>
      <c r="RB17" s="40">
        <f t="shared" si="153"/>
        <v>12.8</v>
      </c>
      <c r="RC17" s="40">
        <f t="shared" si="154"/>
        <v>47.499999999999993</v>
      </c>
      <c r="RD17" s="40" t="str">
        <f t="shared" si="155"/>
        <v/>
      </c>
      <c r="RE17" s="40" t="str">
        <f t="shared" si="156"/>
        <v/>
      </c>
      <c r="RF17" s="40">
        <f t="shared" si="157"/>
        <v>47.499999999999993</v>
      </c>
    </row>
    <row r="18" spans="1:474" x14ac:dyDescent="0.2">
      <c r="A18" s="4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>15</v>
      </c>
      <c r="B18" s="4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>10</v>
      </c>
      <c r="C18" s="5" t="s">
        <v>139</v>
      </c>
      <c r="D18" s="4" t="s">
        <v>5</v>
      </c>
      <c r="E18" s="4">
        <v>2007</v>
      </c>
      <c r="F18" s="9">
        <f t="shared" si="0"/>
        <v>148.30000985000504</v>
      </c>
      <c r="G18" s="64"/>
      <c r="H18" s="3" t="str">
        <f>IF(OR(AND(AP18&gt;=AW$41,AQ18&gt;=AW$45,AP18&lt;&gt;"",AO18=""),AND(AU18&gt;=AW$41,AV18&gt;=AW$45,AU18&lt;&gt;"",AO18=""),AND(BS18&gt;=BZ$41,BT18&gt;=BZ$45,BS18&lt;&gt;"",BR18=""),AND(BX18&gt;=BZ$41,BY18&gt;=BZ$45,BX18&lt;&gt;"",BR18=""),AND(CV18&gt;=DC$41,CW18&gt;=DC$45,CV18&lt;&gt;"",CU18=""),AND(DA18&gt;=DC$41,DB18&gt;=DC$45,DA18&lt;&gt;""),AND(DZ18&gt;=EG$41,EA18&gt;=EG$45,DZ18&lt;&gt;""),AND(EE18&gt;=EG$41,EF18&gt;=EG$45,EE18&lt;&gt;""),AND(FB18&gt;=FI$41,FC18&gt;=FI$45,FB18&lt;&gt;""),AND(FG18&gt;=FI$41,FH18&gt;=FI$45,FG18&lt;&gt;""),AND(GD18&gt;=GK$41,GE18&gt;=GK$45,GD18&lt;&gt;""),AND(GI18&gt;=GK$41,GJ18&gt;=GK$45,GI18&lt;&gt;""),AND(HF18&gt;=HM$41,HG18&gt;=HM$45,HF18&lt;&gt;""),AND(HK18&gt;=HM$41,HL18&gt;=HM$45,HK18&lt;&gt;""),AND(IH18&gt;=IO$41,II18&gt;=IO$45,IH18&lt;&gt;""),AND(IM18&gt;=IO$41,IN18&gt;=IO$45,IM18&lt;&gt;""),AND(JJ18&gt;=JQ$41,JK18&gt;=JQ$45,JJ18&lt;&gt;""),AND(JO18&gt;=JQ$41,JP18&gt;=JQ$45,JO18&lt;&gt;""),AND(KL18&gt;=KS$41,KM18&gt;=KS$45,KL18&lt;&gt;""),AND(KQ18&gt;=KS$41,KR18&gt;=KS$45,KQ18&lt;&gt;""),AND(LN18&gt;=LU$41,LO18&gt;=LU$45,LN18&lt;&gt;""),AND(LS18&gt;=LU$41,LT18&gt;=LU$45,LS18&lt;&gt;""),AND(MP18&gt;=MW$41,MQ18&gt;=MW$45,MP18&lt;&gt;""),AND(MU18&gt;=MW$41,MV18&gt;=MW$45,MU18&lt;&gt;""),AND(NR18&gt;=NY$41,NS18&gt;=NY$45,NR18&lt;&gt;""),AND(NW18&gt;=NY$41,NX18&gt;=NY$45,NW18&lt;&gt;""),AND(OT18&gt;=PA$41,OU18&gt;=PA$45,OT18&lt;&gt;""),AND(OY18&gt;=PA$41,OZ18&gt;=PA$45,OY18&lt;&gt;""),AND(PV18&gt;=QC$41,PW18&gt;=QC$45,PV18&lt;&gt;""),AND(QA18&gt;=QC$41,QB18&gt;=QC$45,QA18&lt;&gt;"")),"P","")</f>
        <v>P</v>
      </c>
      <c r="I18" s="3" t="str">
        <f>IF(OR(AND(AQ18&gt;=AW$45,AQ18&lt;&gt;"",AO18=""),AND(AV18&gt;=AW$45,AV18&lt;&gt;"",AO18=""),AND(BT18&gt;=BZ$45,BT18&lt;&gt;"",BR18=""),AND(BY18&gt;=BZ$45,BY18&lt;&gt;"",BR18=""),AND(CW18&gt;=DC$45,CW18&lt;&gt;"",CU18=""),AND(DB18&gt;=DC$45,DB18&lt;&gt;"",CU18=""),AND(EA18&gt;=EG$45,EA18&lt;&gt;""),AND(EF18&gt;=EG$45,EF18&lt;&gt;""),AND(FC18&gt;=FI$45,FC18&lt;&gt;""),AND(FH18&gt;=FI$45,FH18&lt;&gt;""),AND(GE18&gt;=GK$45,GE18&lt;&gt;""),AND(GJ18&gt;=GK$45,GJ18&lt;&gt;""),AND(HG18&gt;=HM$45,HG18&lt;&gt;""),AND(HL18&gt;=HM$45,HL18&lt;&gt;""),AND(II18&gt;=IO$45,II18&lt;&gt;""),AND(IN18&gt;=IO$45,IN18&lt;&gt;""),AND(JK18&gt;=JQ$45,JK18&lt;&gt;""),AND(JP18&gt;=JQ$45,JP18&lt;&gt;""),AND(KM18&gt;=KS$45,KM18&lt;&gt;""),AND(KR18&gt;=KS$45,KR18&lt;&gt;""),AND(LO18&gt;=LU$45,LO18&lt;&gt;""),AND(LT18&gt;=LU$45,LT18&lt;&gt;""),AND(MQ18&gt;=MW$45,MQ18&lt;&gt;""),AND(MV18&gt;=MW$45,MV18&lt;&gt;""),AND(NS18&gt;=NY$45,NS18&lt;&gt;""),AND(NX18&gt;=NY$45,NX18&lt;&gt;""),AND(OU18&gt;=PA$45,OU18&lt;&gt;""),AND(OZ18&gt;=PA$45,OZ18&lt;&gt;""),AND(PW18&gt;=QC$45,PW18&lt;&gt;""),AND(QB18&gt;=QC$45,QB18&lt;&gt;"")),"P","")</f>
        <v>P</v>
      </c>
      <c r="J18" s="36" t="str">
        <f>IF(AND(I18="P",H18=""),"No DD",IF(OR(AND(AS18&gt;=AW$44,AT18&gt;=AW$48,AS18&lt;&gt;"",AO18=""),AND(BV18&gt;=BZ$44,BW18&gt;=BZ$48,BV18&lt;&gt;"",BR18=""),AND(CY18&gt;=DC$44,CZ18&gt;=DC$48,CY18&lt;&gt;"",CU18=""),AND(EC18&gt;=EG$44,ED18&gt;=EG$48,EC18&lt;&gt;""),AND(FE18&gt;=FI$44,FF18&gt;=FI$48,FE18&lt;&gt;""),AND(GG18&gt;=GK$44,GH18&gt;=GK$48,GG18&lt;&gt;""),AND(HI18&gt;=HM$44,HJ18&gt;=HM$48,HI18&lt;&gt;""),AND(IK18&gt;=IO$44,IL18&gt;=IO$48,IK18&lt;&gt;""),AND(JM18&gt;=JQ$44,JN18&gt;=JQ$48,JM18&lt;&gt;""),AND(KO18&gt;=KS$44,KP18&gt;=KS$48,KO18&lt;&gt;""),AND(LQ18&gt;=LU$44,LR18&gt;=LU$48,LQ18&lt;&gt;""),AND(MS18&gt;=MW$44,MT18&gt;=MW$48,MS18&lt;&gt;""),AND(NU18&gt;=NY$44,NV18&gt;=NY$48,NU18&lt;&gt;""),AND(OW18&gt;=PA$44,OX18&gt;=PA$48,OW18&lt;&gt;""),AND(PY18&gt;=QC$44,PZ18&gt;=QC$48,PY18&lt;&gt;"")),"Merit",IF(OR(AND(AS18&gt;=AW$43,AT18&gt;=AW$47,AS18&lt;&gt;"",AO18=""),AND(BV18&gt;=BZ$43,BW18&gt;=BZ$47,BV18&lt;&gt;"",BR18=""),AND(CY18&gt;=DC$43,CZ18&gt;=DC$47,CY18&lt;&gt;"",CU18=""),AND(EC18&gt;=EG$43,ED18&gt;=EG$47,EC18&lt;&gt;""),AND(FE18&gt;=FI$43,FF18&gt;=FI$47,FE18&lt;&gt;""),AND(GG18&gt;=GK$43,GH18&gt;=GK$47,GG18&lt;&gt;""),AND(HI18&gt;=HM$43,HJ18&gt;=HM$47,HI18&lt;&gt;""),AND(IK18&gt;=IO$43,IL18&gt;=IO$47,IK18&lt;&gt;""),AND(JM18&gt;=JQ$43,JN18&gt;=JQ$47,JM18&lt;&gt;""),AND(KO18&gt;=KS$43,KP18&gt;=KS$47,KO18&lt;&gt;""),AND(LQ18&gt;=LU$43,LR18&gt;=LU$47,LQ18&lt;&gt;""),AND(MS18&gt;=MW$43,MT18&gt;=MW$47,MS18&lt;&gt;""),AND(NU18&gt;=NY$43,NV18&gt;=NY$47,NU18&lt;&gt;""),AND(OW18&gt;=PA$43,OX18&gt;=PA$47,OW18&lt;&gt;""),AND(PY18&gt;=QC$43,PZ18&gt;=QC$47,PY18&lt;&gt;"")),"Excellence",IF(K18="P","Worlds Team",IF(H18="P","National Team","")))))</f>
        <v>National Team</v>
      </c>
      <c r="K18" s="3" t="str">
        <f>IF(OR(AND(AS18&gt;=AW$42,AT18&gt;=AW$46,AS18&lt;&gt;"",AO18=""),AND(BV18&gt;=BZ$42,BW18&gt;=BZ$46,BV18&lt;&gt;"",BR18=""),AND(CY18&gt;=DC$42,CZ18&gt;=DC$46,CY18&lt;&gt;"",CU18=""),AND(EC18&gt;=EG$42,ED18&gt;=EG$46,EC18&lt;&gt;""),AND(FE18&gt;=FI$42,FF18&gt;=FI$46,FE18&lt;&gt;""),AND(GG18&gt;=GK$42,GH18&gt;=GK$46,GG18&lt;&gt;""),AND(HI18&gt;=HM$42,HJ18&gt;=HM$46,HI18&lt;&gt;""),AND(IK18&gt;=IO$42,IL18&gt;=IO$46,IK18&lt;&gt;""),AND(JM18&gt;=JQ$42,JN18&gt;=JQ$46,JM18&lt;&gt;""),AND(KO18&gt;=KS$42,KP18&gt;=KS$46,KO18&lt;&gt;""),AND(LQ18&gt;=LU$42,LR18&gt;=LU$46,LQ18&lt;&gt;""),AND(MS18&gt;=MW$42,MT18&gt;=MW$46,MS18&lt;&gt;""),AND(NU18&gt;=NY$42,NV18&gt;=NY$46,NU18&lt;&gt;""),AND(OW18&gt;=PA$42,OX18&gt;=PA$46,OW18&lt;&gt;""),AND(PY18&gt;=QC$42,PZ18&gt;=QC$46,PY18&lt;&gt;"")),"P","")</f>
        <v/>
      </c>
      <c r="L18" s="8">
        <f>IF(COUNT(AQ18,BT18,CW18)&gt;0,LARGE((AQ18,BT18,CW18),1),0)</f>
        <v>50.4</v>
      </c>
      <c r="M18" s="8" t="str">
        <f t="shared" si="1"/>
        <v>2024 3rd Domestic Trial</v>
      </c>
      <c r="N18" s="8">
        <f>IF(COUNT(AQ18,BT18,CW18)&gt;1,LARGE((AQ18,BT18,CW18),2),0)</f>
        <v>48.099999999999994</v>
      </c>
      <c r="O18" s="8" t="str">
        <f t="shared" si="2"/>
        <v>2025 Elite Canada</v>
      </c>
      <c r="P18" s="8">
        <f t="shared" si="3"/>
        <v>49.800000000000004</v>
      </c>
      <c r="Q18" s="8" t="str">
        <f t="shared" si="4"/>
        <v>2024 3rd Domestic Trial</v>
      </c>
      <c r="R18" s="8" t="str">
        <f t="shared" si="5"/>
        <v/>
      </c>
      <c r="S18" s="11" t="str">
        <f t="shared" si="6"/>
        <v/>
      </c>
      <c r="T18" s="8" t="str">
        <f t="shared" si="7"/>
        <v/>
      </c>
      <c r="U18" s="19">
        <v>18.8</v>
      </c>
      <c r="V18" s="19">
        <v>6</v>
      </c>
      <c r="W18" s="19">
        <v>0.2</v>
      </c>
      <c r="X18" s="19">
        <v>0</v>
      </c>
      <c r="Y18" s="19">
        <v>18.8</v>
      </c>
      <c r="Z18" s="19">
        <v>7.2</v>
      </c>
      <c r="AA18" s="19">
        <v>0.2</v>
      </c>
      <c r="AB18" s="19">
        <v>0</v>
      </c>
      <c r="AC18" s="19">
        <v>18.600000000000001</v>
      </c>
      <c r="AD18" s="19">
        <v>5.6</v>
      </c>
      <c r="AE18" s="19">
        <v>0.4</v>
      </c>
      <c r="AF18" s="19">
        <v>0</v>
      </c>
      <c r="AG18" s="19">
        <v>19</v>
      </c>
      <c r="AH18" s="19">
        <v>6</v>
      </c>
      <c r="AI18" s="19">
        <v>0</v>
      </c>
      <c r="AJ18" s="19">
        <v>0</v>
      </c>
      <c r="AK18" s="19">
        <v>18.399999999999999</v>
      </c>
      <c r="AL18" s="19">
        <v>7.2</v>
      </c>
      <c r="AM18" s="19">
        <v>0.8</v>
      </c>
      <c r="AN18" s="19">
        <v>0</v>
      </c>
      <c r="AO18" s="27"/>
      <c r="AP18" s="40">
        <f t="shared" si="8"/>
        <v>13.2</v>
      </c>
      <c r="AQ18" s="40">
        <f t="shared" si="9"/>
        <v>50.4</v>
      </c>
      <c r="AR18" s="40">
        <f t="shared" si="10"/>
        <v>23.800000000000004</v>
      </c>
      <c r="AS18" s="40">
        <f t="shared" si="11"/>
        <v>18.799999999999997</v>
      </c>
      <c r="AT18" s="40">
        <f t="shared" si="12"/>
        <v>74.2</v>
      </c>
      <c r="AU18" s="40">
        <f t="shared" si="13"/>
        <v>13.2</v>
      </c>
      <c r="AV18" s="40">
        <f t="shared" si="14"/>
        <v>49.800000000000004</v>
      </c>
      <c r="AW18" s="40">
        <f t="shared" si="15"/>
        <v>124</v>
      </c>
      <c r="AX18" s="18">
        <v>18</v>
      </c>
      <c r="AY18" s="18">
        <v>6.8</v>
      </c>
      <c r="AZ18" s="18">
        <v>0.2</v>
      </c>
      <c r="BA18" s="18">
        <v>0</v>
      </c>
      <c r="BB18" s="18">
        <v>18.3</v>
      </c>
      <c r="BC18" s="18">
        <v>6.4</v>
      </c>
      <c r="BD18" s="18">
        <v>1.2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16"/>
        <v>13.2</v>
      </c>
      <c r="BT18" s="11">
        <f t="shared" si="17"/>
        <v>48.099999999999994</v>
      </c>
      <c r="BU18" s="11" t="str">
        <f t="shared" si="18"/>
        <v/>
      </c>
      <c r="BV18" s="11">
        <f t="shared" si="19"/>
        <v>13.2</v>
      </c>
      <c r="BW18" s="11">
        <f t="shared" si="20"/>
        <v>48.099999999999994</v>
      </c>
      <c r="BX18" s="11" t="str">
        <f t="shared" si="21"/>
        <v/>
      </c>
      <c r="BY18" s="11" t="str">
        <f t="shared" si="22"/>
        <v/>
      </c>
      <c r="BZ18" s="11">
        <f t="shared" si="23"/>
        <v>48.099999999999994</v>
      </c>
      <c r="CA18" s="19">
        <v>16.8</v>
      </c>
      <c r="CB18" s="19">
        <v>6.8</v>
      </c>
      <c r="CC18" s="19">
        <v>0.8</v>
      </c>
      <c r="CD18" s="19">
        <v>0</v>
      </c>
      <c r="CE18" s="19">
        <v>18.3</v>
      </c>
      <c r="CF18" s="19">
        <v>5.6</v>
      </c>
      <c r="CG18" s="19">
        <v>1.8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4"/>
        <v>12.399999999999999</v>
      </c>
      <c r="CW18" s="40">
        <f t="shared" si="25"/>
        <v>44.900000000000013</v>
      </c>
      <c r="CX18" s="40" t="str">
        <f t="shared" si="26"/>
        <v/>
      </c>
      <c r="CY18" s="40">
        <f t="shared" si="27"/>
        <v>12.399999999999999</v>
      </c>
      <c r="CZ18" s="40">
        <f t="shared" si="28"/>
        <v>44.900000000000013</v>
      </c>
      <c r="DA18" s="40" t="str">
        <f t="shared" si="29"/>
        <v/>
      </c>
      <c r="DB18" s="40" t="str">
        <f t="shared" si="30"/>
        <v/>
      </c>
      <c r="DC18" s="40">
        <f t="shared" si="31"/>
        <v>44.900000000000013</v>
      </c>
      <c r="DD18" s="50" t="str">
        <f t="shared" si="32"/>
        <v/>
      </c>
      <c r="DE18" s="50" t="str">
        <f t="shared" si="33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4"/>
        <v/>
      </c>
      <c r="EA18" s="40" t="str">
        <f t="shared" si="35"/>
        <v/>
      </c>
      <c r="EB18" s="40" t="str">
        <f t="shared" si="36"/>
        <v/>
      </c>
      <c r="EC18" s="40" t="str">
        <f t="shared" si="37"/>
        <v/>
      </c>
      <c r="ED18" s="40" t="str">
        <f t="shared" si="38"/>
        <v/>
      </c>
      <c r="EE18" s="40" t="str">
        <f t="shared" si="39"/>
        <v/>
      </c>
      <c r="EF18" s="40" t="str">
        <f t="shared" si="40"/>
        <v/>
      </c>
      <c r="EG18" s="40" t="str">
        <f t="shared" si="41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2"/>
        <v/>
      </c>
      <c r="FC18" s="11" t="str">
        <f t="shared" si="43"/>
        <v/>
      </c>
      <c r="FD18" s="11" t="str">
        <f t="shared" si="44"/>
        <v/>
      </c>
      <c r="FE18" s="11" t="str">
        <f t="shared" si="45"/>
        <v/>
      </c>
      <c r="FF18" s="11" t="str">
        <f t="shared" si="46"/>
        <v/>
      </c>
      <c r="FG18" s="11" t="str">
        <f t="shared" si="47"/>
        <v/>
      </c>
      <c r="FH18" s="11" t="str">
        <f t="shared" si="48"/>
        <v/>
      </c>
      <c r="FI18" s="11" t="str">
        <f t="shared" si="49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0"/>
        <v/>
      </c>
      <c r="GE18" s="40" t="str">
        <f t="shared" si="51"/>
        <v/>
      </c>
      <c r="GF18" s="40" t="str">
        <f t="shared" si="52"/>
        <v/>
      </c>
      <c r="GG18" s="40" t="str">
        <f t="shared" si="53"/>
        <v/>
      </c>
      <c r="GH18" s="40" t="str">
        <f t="shared" si="54"/>
        <v/>
      </c>
      <c r="GI18" s="40" t="str">
        <f t="shared" si="55"/>
        <v/>
      </c>
      <c r="GJ18" s="40" t="str">
        <f t="shared" si="56"/>
        <v/>
      </c>
      <c r="GK18" s="40" t="str">
        <f t="shared" si="57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58"/>
        <v/>
      </c>
      <c r="HG18" s="11" t="str">
        <f t="shared" si="59"/>
        <v/>
      </c>
      <c r="HH18" s="11" t="str">
        <f t="shared" si="60"/>
        <v/>
      </c>
      <c r="HI18" s="11" t="str">
        <f t="shared" si="61"/>
        <v/>
      </c>
      <c r="HJ18" s="11" t="str">
        <f t="shared" si="62"/>
        <v/>
      </c>
      <c r="HK18" s="11" t="str">
        <f t="shared" si="63"/>
        <v/>
      </c>
      <c r="HL18" s="11" t="str">
        <f t="shared" si="64"/>
        <v/>
      </c>
      <c r="HM18" s="11" t="str">
        <f t="shared" si="65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6"/>
        <v/>
      </c>
      <c r="II18" s="40" t="str">
        <f t="shared" si="67"/>
        <v/>
      </c>
      <c r="IJ18" s="40" t="str">
        <f t="shared" si="68"/>
        <v/>
      </c>
      <c r="IK18" s="40" t="str">
        <f t="shared" si="69"/>
        <v/>
      </c>
      <c r="IL18" s="40" t="str">
        <f t="shared" si="70"/>
        <v/>
      </c>
      <c r="IM18" s="40" t="str">
        <f t="shared" si="71"/>
        <v/>
      </c>
      <c r="IN18" s="40" t="str">
        <f t="shared" si="72"/>
        <v/>
      </c>
      <c r="IO18" s="40" t="str">
        <f t="shared" si="73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4"/>
        <v/>
      </c>
      <c r="JK18" s="11" t="str">
        <f t="shared" si="75"/>
        <v/>
      </c>
      <c r="JL18" s="11" t="str">
        <f t="shared" si="76"/>
        <v/>
      </c>
      <c r="JM18" s="11" t="str">
        <f t="shared" si="77"/>
        <v/>
      </c>
      <c r="JN18" s="11" t="str">
        <f t="shared" si="78"/>
        <v/>
      </c>
      <c r="JO18" s="11" t="str">
        <f t="shared" si="79"/>
        <v/>
      </c>
      <c r="JP18" s="11" t="str">
        <f t="shared" si="80"/>
        <v/>
      </c>
      <c r="JQ18" s="11" t="str">
        <f t="shared" si="81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2"/>
        <v/>
      </c>
      <c r="KM18" s="40" t="str">
        <f t="shared" si="83"/>
        <v/>
      </c>
      <c r="KN18" s="40" t="str">
        <f t="shared" si="84"/>
        <v/>
      </c>
      <c r="KO18" s="40" t="str">
        <f t="shared" si="85"/>
        <v/>
      </c>
      <c r="KP18" s="40" t="str">
        <f t="shared" si="86"/>
        <v/>
      </c>
      <c r="KQ18" s="40" t="str">
        <f t="shared" si="87"/>
        <v/>
      </c>
      <c r="KR18" s="40" t="str">
        <f t="shared" si="88"/>
        <v/>
      </c>
      <c r="KS18" s="40" t="str">
        <f t="shared" si="89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0"/>
        <v/>
      </c>
      <c r="LO18" s="11" t="str">
        <f t="shared" si="91"/>
        <v/>
      </c>
      <c r="LP18" s="11" t="str">
        <f t="shared" si="92"/>
        <v/>
      </c>
      <c r="LQ18" s="11" t="str">
        <f t="shared" si="93"/>
        <v/>
      </c>
      <c r="LR18" s="11" t="str">
        <f t="shared" si="94"/>
        <v/>
      </c>
      <c r="LS18" s="11" t="str">
        <f t="shared" si="95"/>
        <v/>
      </c>
      <c r="LT18" s="11" t="str">
        <f t="shared" si="96"/>
        <v/>
      </c>
      <c r="LU18" s="11" t="str">
        <f t="shared" si="97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98"/>
        <v/>
      </c>
      <c r="MQ18" s="40" t="str">
        <f t="shared" si="99"/>
        <v/>
      </c>
      <c r="MR18" s="40" t="str">
        <f t="shared" si="100"/>
        <v/>
      </c>
      <c r="MS18" s="40" t="str">
        <f t="shared" si="101"/>
        <v/>
      </c>
      <c r="MT18" s="40" t="str">
        <f t="shared" si="102"/>
        <v/>
      </c>
      <c r="MU18" s="40" t="str">
        <f t="shared" si="103"/>
        <v/>
      </c>
      <c r="MV18" s="40" t="str">
        <f t="shared" si="104"/>
        <v/>
      </c>
      <c r="MW18" s="40" t="str">
        <f t="shared" si="105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6"/>
        <v/>
      </c>
      <c r="NS18" s="11" t="str">
        <f t="shared" si="107"/>
        <v/>
      </c>
      <c r="NT18" s="11" t="str">
        <f t="shared" si="108"/>
        <v/>
      </c>
      <c r="NU18" s="11" t="str">
        <f t="shared" si="109"/>
        <v/>
      </c>
      <c r="NV18" s="11" t="str">
        <f t="shared" si="110"/>
        <v/>
      </c>
      <c r="NW18" s="11" t="str">
        <f t="shared" si="111"/>
        <v/>
      </c>
      <c r="NX18" s="11" t="str">
        <f t="shared" si="112"/>
        <v/>
      </c>
      <c r="NY18" s="11" t="str">
        <f t="shared" si="113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4"/>
        <v/>
      </c>
      <c r="OU18" s="40" t="str">
        <f t="shared" si="115"/>
        <v/>
      </c>
      <c r="OV18" s="40" t="str">
        <f t="shared" si="116"/>
        <v/>
      </c>
      <c r="OW18" s="40" t="str">
        <f t="shared" si="117"/>
        <v/>
      </c>
      <c r="OX18" s="40" t="str">
        <f t="shared" si="118"/>
        <v/>
      </c>
      <c r="OY18" s="40" t="str">
        <f t="shared" si="119"/>
        <v/>
      </c>
      <c r="OZ18" s="40" t="str">
        <f t="shared" si="120"/>
        <v/>
      </c>
      <c r="PA18" s="40" t="str">
        <f t="shared" si="121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2"/>
        <v/>
      </c>
      <c r="PW18" s="11" t="str">
        <f t="shared" si="123"/>
        <v/>
      </c>
      <c r="PX18" s="11" t="str">
        <f t="shared" si="124"/>
        <v/>
      </c>
      <c r="PY18" s="11" t="str">
        <f t="shared" si="125"/>
        <v/>
      </c>
      <c r="PZ18" s="11" t="str">
        <f t="shared" si="126"/>
        <v/>
      </c>
      <c r="QA18" s="11" t="str">
        <f t="shared" si="127"/>
        <v/>
      </c>
      <c r="QB18" s="11" t="str">
        <f t="shared" si="128"/>
        <v/>
      </c>
      <c r="QC18" s="11" t="str">
        <f t="shared" si="129"/>
        <v/>
      </c>
      <c r="QD18" s="22">
        <f t="shared" si="130"/>
        <v>17.399999999999999</v>
      </c>
      <c r="QE18" s="22">
        <f t="shared" si="131"/>
        <v>6.8</v>
      </c>
      <c r="QF18" s="22">
        <f t="shared" si="132"/>
        <v>0.5</v>
      </c>
      <c r="QG18" s="22">
        <f t="shared" si="133"/>
        <v>0</v>
      </c>
      <c r="QH18" s="22">
        <f t="shared" si="134"/>
        <v>18.3</v>
      </c>
      <c r="QI18" s="22">
        <f t="shared" si="135"/>
        <v>6</v>
      </c>
      <c r="QJ18" s="22">
        <f t="shared" si="136"/>
        <v>1.5</v>
      </c>
      <c r="QK18" s="22">
        <f t="shared" si="137"/>
        <v>0</v>
      </c>
      <c r="QL18" s="22">
        <f t="shared" si="138"/>
        <v>0</v>
      </c>
      <c r="QM18" s="22">
        <f t="shared" si="139"/>
        <v>0</v>
      </c>
      <c r="QN18" s="22">
        <f t="shared" si="140"/>
        <v>0</v>
      </c>
      <c r="QO18" s="22">
        <f t="shared" si="141"/>
        <v>0</v>
      </c>
      <c r="QP18" s="22">
        <f t="shared" si="142"/>
        <v>0</v>
      </c>
      <c r="QQ18" s="22">
        <f t="shared" si="143"/>
        <v>0</v>
      </c>
      <c r="QR18" s="22">
        <f t="shared" si="144"/>
        <v>0</v>
      </c>
      <c r="QS18" s="22">
        <f t="shared" si="145"/>
        <v>0</v>
      </c>
      <c r="QT18" s="22">
        <f t="shared" si="146"/>
        <v>0</v>
      </c>
      <c r="QU18" s="22">
        <f t="shared" si="147"/>
        <v>0</v>
      </c>
      <c r="QV18" s="22">
        <f t="shared" si="148"/>
        <v>0</v>
      </c>
      <c r="QW18" s="22">
        <f t="shared" si="149"/>
        <v>0</v>
      </c>
      <c r="QX18" s="27" t="s">
        <v>46</v>
      </c>
      <c r="QY18" s="40">
        <f t="shared" si="150"/>
        <v>12.8</v>
      </c>
      <c r="QZ18" s="40">
        <f t="shared" si="151"/>
        <v>46.5</v>
      </c>
      <c r="RA18" s="40" t="str">
        <f t="shared" si="152"/>
        <v/>
      </c>
      <c r="RB18" s="40">
        <f t="shared" si="153"/>
        <v>12.8</v>
      </c>
      <c r="RC18" s="40">
        <f t="shared" si="154"/>
        <v>46.5</v>
      </c>
      <c r="RD18" s="40" t="str">
        <f t="shared" si="155"/>
        <v/>
      </c>
      <c r="RE18" s="40" t="str">
        <f t="shared" si="156"/>
        <v/>
      </c>
      <c r="RF18" s="40">
        <f t="shared" si="157"/>
        <v>46.5</v>
      </c>
    </row>
    <row r="19" spans="1:474" x14ac:dyDescent="0.2">
      <c r="A19" s="4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>16</v>
      </c>
      <c r="B19" s="4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>11</v>
      </c>
      <c r="C19" s="5" t="s">
        <v>131</v>
      </c>
      <c r="D19" s="4" t="s">
        <v>4</v>
      </c>
      <c r="E19" s="4">
        <v>2007</v>
      </c>
      <c r="F19" s="9">
        <f t="shared" si="0"/>
        <v>148.00000975000512</v>
      </c>
      <c r="G19" s="64"/>
      <c r="H19" s="3" t="str">
        <f>IF(OR(AND(AP19&gt;=AW$41,AQ19&gt;=AW$45,AP19&lt;&gt;"",AO19=""),AND(AU19&gt;=AW$41,AV19&gt;=AW$45,AU19&lt;&gt;"",AO19=""),AND(BS19&gt;=BZ$41,BT19&gt;=BZ$45,BS19&lt;&gt;"",BR19=""),AND(BX19&gt;=BZ$41,BY19&gt;=BZ$45,BX19&lt;&gt;"",BR19=""),AND(CV19&gt;=DC$41,CW19&gt;=DC$45,CV19&lt;&gt;"",CU19=""),AND(DA19&gt;=DC$41,DB19&gt;=DC$45,DA19&lt;&gt;""),AND(DZ19&gt;=EG$41,EA19&gt;=EG$45,DZ19&lt;&gt;""),AND(EE19&gt;=EG$41,EF19&gt;=EG$45,EE19&lt;&gt;""),AND(FB19&gt;=FI$41,FC19&gt;=FI$45,FB19&lt;&gt;""),AND(FG19&gt;=FI$41,FH19&gt;=FI$45,FG19&lt;&gt;""),AND(GD19&gt;=GK$41,GE19&gt;=GK$45,GD19&lt;&gt;""),AND(GI19&gt;=GK$41,GJ19&gt;=GK$45,GI19&lt;&gt;""),AND(HF19&gt;=HM$41,HG19&gt;=HM$45,HF19&lt;&gt;""),AND(HK19&gt;=HM$41,HL19&gt;=HM$45,HK19&lt;&gt;""),AND(IH19&gt;=IO$41,II19&gt;=IO$45,IH19&lt;&gt;""),AND(IM19&gt;=IO$41,IN19&gt;=IO$45,IM19&lt;&gt;""),AND(JJ19&gt;=JQ$41,JK19&gt;=JQ$45,JJ19&lt;&gt;""),AND(JO19&gt;=JQ$41,JP19&gt;=JQ$45,JO19&lt;&gt;""),AND(KL19&gt;=KS$41,KM19&gt;=KS$45,KL19&lt;&gt;""),AND(KQ19&gt;=KS$41,KR19&gt;=KS$45,KQ19&lt;&gt;""),AND(LN19&gt;=LU$41,LO19&gt;=LU$45,LN19&lt;&gt;""),AND(LS19&gt;=LU$41,LT19&gt;=LU$45,LS19&lt;&gt;""),AND(MP19&gt;=MW$41,MQ19&gt;=MW$45,MP19&lt;&gt;""),AND(MU19&gt;=MW$41,MV19&gt;=MW$45,MU19&lt;&gt;""),AND(NR19&gt;=NY$41,NS19&gt;=NY$45,NR19&lt;&gt;""),AND(NW19&gt;=NY$41,NX19&gt;=NY$45,NW19&lt;&gt;""),AND(OT19&gt;=PA$41,OU19&gt;=PA$45,OT19&lt;&gt;""),AND(OY19&gt;=PA$41,OZ19&gt;=PA$45,OY19&lt;&gt;""),AND(PV19&gt;=QC$41,PW19&gt;=QC$45,PV19&lt;&gt;""),AND(QA19&gt;=QC$41,QB19&gt;=QC$45,QA19&lt;&gt;"")),"P","")</f>
        <v>P</v>
      </c>
      <c r="I19" s="3" t="str">
        <f>IF(OR(AND(AQ19&gt;=AW$45,AQ19&lt;&gt;"",AO19=""),AND(AV19&gt;=AW$45,AV19&lt;&gt;"",AO19=""),AND(BT19&gt;=BZ$45,BT19&lt;&gt;"",BR19=""),AND(BY19&gt;=BZ$45,BY19&lt;&gt;"",BR19=""),AND(CW19&gt;=DC$45,CW19&lt;&gt;"",CU19=""),AND(DB19&gt;=DC$45,DB19&lt;&gt;"",CU19=""),AND(EA19&gt;=EG$45,EA19&lt;&gt;""),AND(EF19&gt;=EG$45,EF19&lt;&gt;""),AND(FC19&gt;=FI$45,FC19&lt;&gt;""),AND(FH19&gt;=FI$45,FH19&lt;&gt;""),AND(GE19&gt;=GK$45,GE19&lt;&gt;""),AND(GJ19&gt;=GK$45,GJ19&lt;&gt;""),AND(HG19&gt;=HM$45,HG19&lt;&gt;""),AND(HL19&gt;=HM$45,HL19&lt;&gt;""),AND(II19&gt;=IO$45,II19&lt;&gt;""),AND(IN19&gt;=IO$45,IN19&lt;&gt;""),AND(JK19&gt;=JQ$45,JK19&lt;&gt;""),AND(JP19&gt;=JQ$45,JP19&lt;&gt;""),AND(KM19&gt;=KS$45,KM19&lt;&gt;""),AND(KR19&gt;=KS$45,KR19&lt;&gt;""),AND(LO19&gt;=LU$45,LO19&lt;&gt;""),AND(LT19&gt;=LU$45,LT19&lt;&gt;""),AND(MQ19&gt;=MW$45,MQ19&lt;&gt;""),AND(MV19&gt;=MW$45,MV19&lt;&gt;""),AND(NS19&gt;=NY$45,NS19&lt;&gt;""),AND(NX19&gt;=NY$45,NX19&lt;&gt;""),AND(OU19&gt;=PA$45,OU19&lt;&gt;""),AND(OZ19&gt;=PA$45,OZ19&lt;&gt;""),AND(PW19&gt;=QC$45,PW19&lt;&gt;""),AND(QB19&gt;=QC$45,QB19&lt;&gt;"")),"P","")</f>
        <v>P</v>
      </c>
      <c r="J19" s="36" t="str">
        <f>IF(AND(I19="P",H19=""),"No DD",IF(OR(AND(AS19&gt;=AW$44,AT19&gt;=AW$48,AS19&lt;&gt;"",AO19=""),AND(BV19&gt;=BZ$44,BW19&gt;=BZ$48,BV19&lt;&gt;"",BR19=""),AND(CY19&gt;=DC$44,CZ19&gt;=DC$48,CY19&lt;&gt;"",CU19=""),AND(EC19&gt;=EG$44,ED19&gt;=EG$48,EC19&lt;&gt;""),AND(FE19&gt;=FI$44,FF19&gt;=FI$48,FE19&lt;&gt;""),AND(GG19&gt;=GK$44,GH19&gt;=GK$48,GG19&lt;&gt;""),AND(HI19&gt;=HM$44,HJ19&gt;=HM$48,HI19&lt;&gt;""),AND(IK19&gt;=IO$44,IL19&gt;=IO$48,IK19&lt;&gt;""),AND(JM19&gt;=JQ$44,JN19&gt;=JQ$48,JM19&lt;&gt;""),AND(KO19&gt;=KS$44,KP19&gt;=KS$48,KO19&lt;&gt;""),AND(LQ19&gt;=LU$44,LR19&gt;=LU$48,LQ19&lt;&gt;""),AND(MS19&gt;=MW$44,MT19&gt;=MW$48,MS19&lt;&gt;""),AND(NU19&gt;=NY$44,NV19&gt;=NY$48,NU19&lt;&gt;""),AND(OW19&gt;=PA$44,OX19&gt;=PA$48,OW19&lt;&gt;""),AND(PY19&gt;=QC$44,PZ19&gt;=QC$48,PY19&lt;&gt;"")),"Merit",IF(OR(AND(AS19&gt;=AW$43,AT19&gt;=AW$47,AS19&lt;&gt;"",AO19=""),AND(BV19&gt;=BZ$43,BW19&gt;=BZ$47,BV19&lt;&gt;"",BR19=""),AND(CY19&gt;=DC$43,CZ19&gt;=DC$47,CY19&lt;&gt;"",CU19=""),AND(EC19&gt;=EG$43,ED19&gt;=EG$47,EC19&lt;&gt;""),AND(FE19&gt;=FI$43,FF19&gt;=FI$47,FE19&lt;&gt;""),AND(GG19&gt;=GK$43,GH19&gt;=GK$47,GG19&lt;&gt;""),AND(HI19&gt;=HM$43,HJ19&gt;=HM$47,HI19&lt;&gt;""),AND(IK19&gt;=IO$43,IL19&gt;=IO$47,IK19&lt;&gt;""),AND(JM19&gt;=JQ$43,JN19&gt;=JQ$47,JM19&lt;&gt;""),AND(KO19&gt;=KS$43,KP19&gt;=KS$47,KO19&lt;&gt;""),AND(LQ19&gt;=LU$43,LR19&gt;=LU$47,LQ19&lt;&gt;""),AND(MS19&gt;=MW$43,MT19&gt;=MW$47,MS19&lt;&gt;""),AND(NU19&gt;=NY$43,NV19&gt;=NY$47,NU19&lt;&gt;""),AND(OW19&gt;=PA$43,OX19&gt;=PA$47,OW19&lt;&gt;""),AND(PY19&gt;=QC$43,PZ19&gt;=QC$47,PY19&lt;&gt;"")),"Excellence",IF(K19="P","Worlds Team",IF(H19="P","National Team","")))))</f>
        <v>National Team</v>
      </c>
      <c r="K19" s="3" t="str">
        <f>IF(OR(AND(AS19&gt;=AW$42,AT19&gt;=AW$46,AS19&lt;&gt;"",AO19=""),AND(BV19&gt;=BZ$42,BW19&gt;=BZ$46,BV19&lt;&gt;"",BR19=""),AND(CY19&gt;=DC$42,CZ19&gt;=DC$46,CY19&lt;&gt;"",CU19=""),AND(EC19&gt;=EG$42,ED19&gt;=EG$46,EC19&lt;&gt;""),AND(FE19&gt;=FI$42,FF19&gt;=FI$46,FE19&lt;&gt;""),AND(GG19&gt;=GK$42,GH19&gt;=GK$46,GG19&lt;&gt;""),AND(HI19&gt;=HM$42,HJ19&gt;=HM$46,HI19&lt;&gt;""),AND(IK19&gt;=IO$42,IL19&gt;=IO$46,IK19&lt;&gt;""),AND(JM19&gt;=JQ$42,JN19&gt;=JQ$46,JM19&lt;&gt;""),AND(KO19&gt;=KS$42,KP19&gt;=KS$46,KO19&lt;&gt;""),AND(LQ19&gt;=LU$42,LR19&gt;=LU$46,LQ19&lt;&gt;""),AND(MS19&gt;=MW$42,MT19&gt;=MW$46,MS19&lt;&gt;""),AND(NU19&gt;=NY$42,NV19&gt;=NY$46,NU19&lt;&gt;""),AND(OW19&gt;=PA$42,OX19&gt;=PA$46,OW19&lt;&gt;""),AND(PY19&gt;=QC$42,PZ19&gt;=QC$46,PY19&lt;&gt;"")),"P","")</f>
        <v/>
      </c>
      <c r="L19" s="8">
        <f>IF(COUNT(AQ19,BT19,CW19)&gt;0,LARGE((AQ19,BT19,CW19),1),0)</f>
        <v>51.099999999999994</v>
      </c>
      <c r="M19" s="8" t="str">
        <f t="shared" si="1"/>
        <v>2024 3rd Domestic Trial</v>
      </c>
      <c r="N19" s="8">
        <f>IF(COUNT(AQ19,BT19,CW19)&gt;1,LARGE((AQ19,BT19,CW19),2),0)</f>
        <v>46.4</v>
      </c>
      <c r="O19" s="8" t="str">
        <f t="shared" si="2"/>
        <v>2025 Elite Canada</v>
      </c>
      <c r="P19" s="8">
        <f t="shared" si="3"/>
        <v>50.5</v>
      </c>
      <c r="Q19" s="8" t="str">
        <f t="shared" si="4"/>
        <v>2024 3rd Domestic Trial</v>
      </c>
      <c r="R19" s="8" t="str">
        <f t="shared" si="5"/>
        <v/>
      </c>
      <c r="S19" s="11" t="str">
        <f t="shared" si="6"/>
        <v/>
      </c>
      <c r="T19" s="8" t="str">
        <f t="shared" si="7"/>
        <v/>
      </c>
      <c r="U19" s="19">
        <v>18.899999999999999</v>
      </c>
      <c r="V19" s="19">
        <v>7.2</v>
      </c>
      <c r="W19" s="19">
        <v>0.6</v>
      </c>
      <c r="X19" s="19">
        <v>0</v>
      </c>
      <c r="Y19" s="19">
        <v>18.8</v>
      </c>
      <c r="Z19" s="19">
        <v>6.8</v>
      </c>
      <c r="AA19" s="19">
        <v>0</v>
      </c>
      <c r="AB19" s="19">
        <v>0</v>
      </c>
      <c r="AC19" s="19">
        <v>18.7</v>
      </c>
      <c r="AD19" s="19">
        <v>6</v>
      </c>
      <c r="AE19" s="19">
        <v>0</v>
      </c>
      <c r="AF19" s="19">
        <v>0</v>
      </c>
      <c r="AG19" s="19">
        <v>18.7</v>
      </c>
      <c r="AH19" s="19">
        <v>7.2</v>
      </c>
      <c r="AI19" s="19">
        <v>0.6</v>
      </c>
      <c r="AJ19" s="19">
        <v>0</v>
      </c>
      <c r="AK19" s="19">
        <v>18.600000000000001</v>
      </c>
      <c r="AL19" s="19">
        <v>6.8</v>
      </c>
      <c r="AM19" s="19">
        <v>0.2</v>
      </c>
      <c r="AN19" s="19">
        <v>0</v>
      </c>
      <c r="AO19" s="27"/>
      <c r="AP19" s="40">
        <f t="shared" si="8"/>
        <v>14</v>
      </c>
      <c r="AQ19" s="40">
        <f t="shared" si="9"/>
        <v>51.099999999999994</v>
      </c>
      <c r="AR19" s="40">
        <f t="shared" si="10"/>
        <v>24.7</v>
      </c>
      <c r="AS19" s="40">
        <f t="shared" si="11"/>
        <v>20</v>
      </c>
      <c r="AT19" s="40">
        <f t="shared" si="12"/>
        <v>75.8</v>
      </c>
      <c r="AU19" s="40">
        <f t="shared" si="13"/>
        <v>14</v>
      </c>
      <c r="AV19" s="40">
        <f t="shared" si="14"/>
        <v>50.5</v>
      </c>
      <c r="AW19" s="40">
        <f t="shared" si="15"/>
        <v>126.3</v>
      </c>
      <c r="AX19" s="18">
        <v>19</v>
      </c>
      <c r="AY19" s="18">
        <v>7.2</v>
      </c>
      <c r="AZ19" s="18">
        <v>0.2</v>
      </c>
      <c r="BA19" s="18">
        <v>0</v>
      </c>
      <c r="BB19" s="18">
        <v>16.2</v>
      </c>
      <c r="BC19" s="18">
        <v>6</v>
      </c>
      <c r="BD19" s="18">
        <v>1.8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16"/>
        <v>13.2</v>
      </c>
      <c r="BT19" s="11">
        <f t="shared" si="17"/>
        <v>46.4</v>
      </c>
      <c r="BU19" s="11" t="str">
        <f t="shared" si="18"/>
        <v/>
      </c>
      <c r="BV19" s="11">
        <f t="shared" si="19"/>
        <v>13.2</v>
      </c>
      <c r="BW19" s="11">
        <f t="shared" si="20"/>
        <v>46.4</v>
      </c>
      <c r="BX19" s="11" t="str">
        <f t="shared" si="21"/>
        <v/>
      </c>
      <c r="BY19" s="11" t="str">
        <f t="shared" si="22"/>
        <v/>
      </c>
      <c r="BZ19" s="11">
        <f t="shared" si="23"/>
        <v>46.4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4"/>
        <v/>
      </c>
      <c r="CW19" s="40" t="str">
        <f t="shared" si="25"/>
        <v/>
      </c>
      <c r="CX19" s="40" t="str">
        <f t="shared" si="26"/>
        <v/>
      </c>
      <c r="CY19" s="40" t="str">
        <f t="shared" si="27"/>
        <v/>
      </c>
      <c r="CZ19" s="40" t="str">
        <f t="shared" si="28"/>
        <v/>
      </c>
      <c r="DA19" s="40" t="str">
        <f t="shared" si="29"/>
        <v/>
      </c>
      <c r="DB19" s="40" t="str">
        <f t="shared" si="30"/>
        <v/>
      </c>
      <c r="DC19" s="40" t="str">
        <f t="shared" si="31"/>
        <v/>
      </c>
      <c r="DD19" s="50" t="str">
        <f t="shared" si="32"/>
        <v/>
      </c>
      <c r="DE19" s="50" t="str">
        <f t="shared" si="33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4"/>
        <v/>
      </c>
      <c r="EA19" s="40" t="str">
        <f t="shared" si="35"/>
        <v/>
      </c>
      <c r="EB19" s="40" t="str">
        <f t="shared" si="36"/>
        <v/>
      </c>
      <c r="EC19" s="40" t="str">
        <f t="shared" si="37"/>
        <v/>
      </c>
      <c r="ED19" s="40" t="str">
        <f t="shared" si="38"/>
        <v/>
      </c>
      <c r="EE19" s="40" t="str">
        <f t="shared" si="39"/>
        <v/>
      </c>
      <c r="EF19" s="40" t="str">
        <f t="shared" si="40"/>
        <v/>
      </c>
      <c r="EG19" s="40" t="str">
        <f t="shared" si="41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2"/>
        <v/>
      </c>
      <c r="FC19" s="11" t="str">
        <f t="shared" si="43"/>
        <v/>
      </c>
      <c r="FD19" s="11" t="str">
        <f t="shared" si="44"/>
        <v/>
      </c>
      <c r="FE19" s="11" t="str">
        <f t="shared" si="45"/>
        <v/>
      </c>
      <c r="FF19" s="11" t="str">
        <f t="shared" si="46"/>
        <v/>
      </c>
      <c r="FG19" s="11" t="str">
        <f t="shared" si="47"/>
        <v/>
      </c>
      <c r="FH19" s="11" t="str">
        <f t="shared" si="48"/>
        <v/>
      </c>
      <c r="FI19" s="11" t="str">
        <f t="shared" si="49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0"/>
        <v/>
      </c>
      <c r="GE19" s="40" t="str">
        <f t="shared" si="51"/>
        <v/>
      </c>
      <c r="GF19" s="40" t="str">
        <f t="shared" si="52"/>
        <v/>
      </c>
      <c r="GG19" s="40" t="str">
        <f t="shared" si="53"/>
        <v/>
      </c>
      <c r="GH19" s="40" t="str">
        <f t="shared" si="54"/>
        <v/>
      </c>
      <c r="GI19" s="40" t="str">
        <f t="shared" si="55"/>
        <v/>
      </c>
      <c r="GJ19" s="40" t="str">
        <f t="shared" si="56"/>
        <v/>
      </c>
      <c r="GK19" s="40" t="str">
        <f t="shared" si="57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58"/>
        <v/>
      </c>
      <c r="HG19" s="11" t="str">
        <f t="shared" si="59"/>
        <v/>
      </c>
      <c r="HH19" s="11" t="str">
        <f t="shared" si="60"/>
        <v/>
      </c>
      <c r="HI19" s="11" t="str">
        <f t="shared" si="61"/>
        <v/>
      </c>
      <c r="HJ19" s="11" t="str">
        <f t="shared" si="62"/>
        <v/>
      </c>
      <c r="HK19" s="11" t="str">
        <f t="shared" si="63"/>
        <v/>
      </c>
      <c r="HL19" s="11" t="str">
        <f t="shared" si="64"/>
        <v/>
      </c>
      <c r="HM19" s="11" t="str">
        <f t="shared" si="65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66"/>
        <v/>
      </c>
      <c r="II19" s="40" t="str">
        <f t="shared" si="67"/>
        <v/>
      </c>
      <c r="IJ19" s="40" t="str">
        <f t="shared" si="68"/>
        <v/>
      </c>
      <c r="IK19" s="40" t="str">
        <f t="shared" si="69"/>
        <v/>
      </c>
      <c r="IL19" s="40" t="str">
        <f t="shared" si="70"/>
        <v/>
      </c>
      <c r="IM19" s="40" t="str">
        <f t="shared" si="71"/>
        <v/>
      </c>
      <c r="IN19" s="40" t="str">
        <f t="shared" si="72"/>
        <v/>
      </c>
      <c r="IO19" s="40" t="str">
        <f t="shared" si="73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4"/>
        <v/>
      </c>
      <c r="JK19" s="11" t="str">
        <f t="shared" si="75"/>
        <v/>
      </c>
      <c r="JL19" s="11" t="str">
        <f t="shared" si="76"/>
        <v/>
      </c>
      <c r="JM19" s="11" t="str">
        <f t="shared" si="77"/>
        <v/>
      </c>
      <c r="JN19" s="11" t="str">
        <f t="shared" si="78"/>
        <v/>
      </c>
      <c r="JO19" s="11" t="str">
        <f t="shared" si="79"/>
        <v/>
      </c>
      <c r="JP19" s="11" t="str">
        <f t="shared" si="80"/>
        <v/>
      </c>
      <c r="JQ19" s="11" t="str">
        <f t="shared" si="81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2"/>
        <v/>
      </c>
      <c r="KM19" s="40" t="str">
        <f t="shared" si="83"/>
        <v/>
      </c>
      <c r="KN19" s="40" t="str">
        <f t="shared" si="84"/>
        <v/>
      </c>
      <c r="KO19" s="40" t="str">
        <f t="shared" si="85"/>
        <v/>
      </c>
      <c r="KP19" s="40" t="str">
        <f t="shared" si="86"/>
        <v/>
      </c>
      <c r="KQ19" s="40" t="str">
        <f t="shared" si="87"/>
        <v/>
      </c>
      <c r="KR19" s="40" t="str">
        <f t="shared" si="88"/>
        <v/>
      </c>
      <c r="KS19" s="40" t="str">
        <f t="shared" si="89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0"/>
        <v/>
      </c>
      <c r="LO19" s="11" t="str">
        <f t="shared" si="91"/>
        <v/>
      </c>
      <c r="LP19" s="11" t="str">
        <f t="shared" si="92"/>
        <v/>
      </c>
      <c r="LQ19" s="11" t="str">
        <f t="shared" si="93"/>
        <v/>
      </c>
      <c r="LR19" s="11" t="str">
        <f t="shared" si="94"/>
        <v/>
      </c>
      <c r="LS19" s="11" t="str">
        <f t="shared" si="95"/>
        <v/>
      </c>
      <c r="LT19" s="11" t="str">
        <f t="shared" si="96"/>
        <v/>
      </c>
      <c r="LU19" s="11" t="str">
        <f t="shared" si="97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98"/>
        <v/>
      </c>
      <c r="MQ19" s="40" t="str">
        <f t="shared" si="99"/>
        <v/>
      </c>
      <c r="MR19" s="40" t="str">
        <f t="shared" si="100"/>
        <v/>
      </c>
      <c r="MS19" s="40" t="str">
        <f t="shared" si="101"/>
        <v/>
      </c>
      <c r="MT19" s="40" t="str">
        <f t="shared" si="102"/>
        <v/>
      </c>
      <c r="MU19" s="40" t="str">
        <f t="shared" si="103"/>
        <v/>
      </c>
      <c r="MV19" s="40" t="str">
        <f t="shared" si="104"/>
        <v/>
      </c>
      <c r="MW19" s="40" t="str">
        <f t="shared" si="105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06"/>
        <v/>
      </c>
      <c r="NS19" s="11" t="str">
        <f t="shared" si="107"/>
        <v/>
      </c>
      <c r="NT19" s="11" t="str">
        <f t="shared" si="108"/>
        <v/>
      </c>
      <c r="NU19" s="11" t="str">
        <f t="shared" si="109"/>
        <v/>
      </c>
      <c r="NV19" s="11" t="str">
        <f t="shared" si="110"/>
        <v/>
      </c>
      <c r="NW19" s="11" t="str">
        <f t="shared" si="111"/>
        <v/>
      </c>
      <c r="NX19" s="11" t="str">
        <f t="shared" si="112"/>
        <v/>
      </c>
      <c r="NY19" s="11" t="str">
        <f t="shared" si="113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4"/>
        <v/>
      </c>
      <c r="OU19" s="40" t="str">
        <f t="shared" si="115"/>
        <v/>
      </c>
      <c r="OV19" s="40" t="str">
        <f t="shared" si="116"/>
        <v/>
      </c>
      <c r="OW19" s="40" t="str">
        <f t="shared" si="117"/>
        <v/>
      </c>
      <c r="OX19" s="40" t="str">
        <f t="shared" si="118"/>
        <v/>
      </c>
      <c r="OY19" s="40" t="str">
        <f t="shared" si="119"/>
        <v/>
      </c>
      <c r="OZ19" s="40" t="str">
        <f t="shared" si="120"/>
        <v/>
      </c>
      <c r="PA19" s="40" t="str">
        <f t="shared" si="121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2"/>
        <v/>
      </c>
      <c r="PW19" s="11" t="str">
        <f t="shared" si="123"/>
        <v/>
      </c>
      <c r="PX19" s="11" t="str">
        <f t="shared" si="124"/>
        <v/>
      </c>
      <c r="PY19" s="11" t="str">
        <f t="shared" si="125"/>
        <v/>
      </c>
      <c r="PZ19" s="11" t="str">
        <f t="shared" si="126"/>
        <v/>
      </c>
      <c r="QA19" s="11" t="str">
        <f t="shared" si="127"/>
        <v/>
      </c>
      <c r="QB19" s="11" t="str">
        <f t="shared" si="128"/>
        <v/>
      </c>
      <c r="QC19" s="11" t="str">
        <f t="shared" si="129"/>
        <v/>
      </c>
      <c r="QD19" s="22">
        <f t="shared" si="130"/>
        <v>9.5</v>
      </c>
      <c r="QE19" s="22">
        <f t="shared" si="131"/>
        <v>3.6</v>
      </c>
      <c r="QF19" s="22">
        <f t="shared" si="132"/>
        <v>0.1</v>
      </c>
      <c r="QG19" s="22">
        <f t="shared" si="133"/>
        <v>0</v>
      </c>
      <c r="QH19" s="22">
        <f t="shared" si="134"/>
        <v>8.1</v>
      </c>
      <c r="QI19" s="22">
        <f t="shared" si="135"/>
        <v>3</v>
      </c>
      <c r="QJ19" s="22">
        <f t="shared" si="136"/>
        <v>0.9</v>
      </c>
      <c r="QK19" s="22">
        <f t="shared" si="137"/>
        <v>0</v>
      </c>
      <c r="QL19" s="22">
        <f t="shared" si="138"/>
        <v>0</v>
      </c>
      <c r="QM19" s="22">
        <f t="shared" si="139"/>
        <v>0</v>
      </c>
      <c r="QN19" s="22">
        <f t="shared" si="140"/>
        <v>0</v>
      </c>
      <c r="QO19" s="22">
        <f t="shared" si="141"/>
        <v>0</v>
      </c>
      <c r="QP19" s="22">
        <f t="shared" si="142"/>
        <v>0</v>
      </c>
      <c r="QQ19" s="22">
        <f t="shared" si="143"/>
        <v>0</v>
      </c>
      <c r="QR19" s="22">
        <f t="shared" si="144"/>
        <v>0</v>
      </c>
      <c r="QS19" s="22">
        <f t="shared" si="145"/>
        <v>0</v>
      </c>
      <c r="QT19" s="22">
        <f t="shared" si="146"/>
        <v>0</v>
      </c>
      <c r="QU19" s="22">
        <f t="shared" si="147"/>
        <v>0</v>
      </c>
      <c r="QV19" s="22">
        <f t="shared" si="148"/>
        <v>0</v>
      </c>
      <c r="QW19" s="22">
        <f t="shared" si="149"/>
        <v>0</v>
      </c>
      <c r="QX19" s="27" t="s">
        <v>46</v>
      </c>
      <c r="QY19" s="40">
        <f t="shared" si="150"/>
        <v>6.6</v>
      </c>
      <c r="QZ19" s="40">
        <f t="shared" si="151"/>
        <v>23.2</v>
      </c>
      <c r="RA19" s="40" t="str">
        <f t="shared" si="152"/>
        <v/>
      </c>
      <c r="RB19" s="40">
        <f t="shared" si="153"/>
        <v>6.6</v>
      </c>
      <c r="RC19" s="40">
        <f t="shared" si="154"/>
        <v>23.2</v>
      </c>
      <c r="RD19" s="40" t="str">
        <f t="shared" si="155"/>
        <v/>
      </c>
      <c r="RE19" s="40" t="str">
        <f t="shared" si="156"/>
        <v/>
      </c>
      <c r="RF19" s="40">
        <f t="shared" si="157"/>
        <v>23.2</v>
      </c>
    </row>
    <row r="20" spans="1:474" x14ac:dyDescent="0.2">
      <c r="A20" s="4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>17</v>
      </c>
      <c r="B20" s="4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>12</v>
      </c>
      <c r="C20" s="5" t="s">
        <v>117</v>
      </c>
      <c r="D20" s="4" t="s">
        <v>5</v>
      </c>
      <c r="E20" s="4">
        <v>2006</v>
      </c>
      <c r="F20" s="9">
        <f t="shared" si="0"/>
        <v>99.000009900004983</v>
      </c>
      <c r="G20" s="64"/>
      <c r="H20" s="3" t="str">
        <f>IF(OR(AND(AP20&gt;=AW$41,AQ20&gt;=AW$45,AP20&lt;&gt;"",AO20=""),AND(AU20&gt;=AW$41,AV20&gt;=AW$45,AU20&lt;&gt;"",AO20=""),AND(BS20&gt;=BZ$41,BT20&gt;=BZ$45,BS20&lt;&gt;"",BR20=""),AND(BX20&gt;=BZ$41,BY20&gt;=BZ$45,BX20&lt;&gt;"",BR20=""),AND(CV20&gt;=DC$41,CW20&gt;=DC$45,CV20&lt;&gt;"",CU20=""),AND(DA20&gt;=DC$41,DB20&gt;=DC$45,DA20&lt;&gt;""),AND(DZ20&gt;=EG$41,EA20&gt;=EG$45,DZ20&lt;&gt;""),AND(EE20&gt;=EG$41,EF20&gt;=EG$45,EE20&lt;&gt;""),AND(FB20&gt;=FI$41,FC20&gt;=FI$45,FB20&lt;&gt;""),AND(FG20&gt;=FI$41,FH20&gt;=FI$45,FG20&lt;&gt;""),AND(GD20&gt;=GK$41,GE20&gt;=GK$45,GD20&lt;&gt;""),AND(GI20&gt;=GK$41,GJ20&gt;=GK$45,GI20&lt;&gt;""),AND(HF20&gt;=HM$41,HG20&gt;=HM$45,HF20&lt;&gt;""),AND(HK20&gt;=HM$41,HL20&gt;=HM$45,HK20&lt;&gt;""),AND(IH20&gt;=IO$41,II20&gt;=IO$45,IH20&lt;&gt;""),AND(IM20&gt;=IO$41,IN20&gt;=IO$45,IM20&lt;&gt;""),AND(JJ20&gt;=JQ$41,JK20&gt;=JQ$45,JJ20&lt;&gt;""),AND(JO20&gt;=JQ$41,JP20&gt;=JQ$45,JO20&lt;&gt;""),AND(KL20&gt;=KS$41,KM20&gt;=KS$45,KL20&lt;&gt;""),AND(KQ20&gt;=KS$41,KR20&gt;=KS$45,KQ20&lt;&gt;""),AND(LN20&gt;=LU$41,LO20&gt;=LU$45,LN20&lt;&gt;""),AND(LS20&gt;=LU$41,LT20&gt;=LU$45,LS20&lt;&gt;""),AND(MP20&gt;=MW$41,MQ20&gt;=MW$45,MP20&lt;&gt;""),AND(MU20&gt;=MW$41,MV20&gt;=MW$45,MU20&lt;&gt;""),AND(NR20&gt;=NY$41,NS20&gt;=NY$45,NR20&lt;&gt;""),AND(NW20&gt;=NY$41,NX20&gt;=NY$45,NW20&lt;&gt;""),AND(OT20&gt;=PA$41,OU20&gt;=PA$45,OT20&lt;&gt;""),AND(OY20&gt;=PA$41,OZ20&gt;=PA$45,OY20&lt;&gt;""),AND(PV20&gt;=QC$41,PW20&gt;=QC$45,PV20&lt;&gt;""),AND(QA20&gt;=QC$41,QB20&gt;=QC$45,QA20&lt;&gt;"")),"P","")</f>
        <v>P</v>
      </c>
      <c r="I20" s="3" t="str">
        <f>IF(OR(AND(AQ20&gt;=AW$45,AQ20&lt;&gt;"",AO20=""),AND(AV20&gt;=AW$45,AV20&lt;&gt;"",AO20=""),AND(BT20&gt;=BZ$45,BT20&lt;&gt;"",BR20=""),AND(BY20&gt;=BZ$45,BY20&lt;&gt;"",BR20=""),AND(CW20&gt;=DC$45,CW20&lt;&gt;"",CU20=""),AND(DB20&gt;=DC$45,DB20&lt;&gt;"",CU20=""),AND(EA20&gt;=EG$45,EA20&lt;&gt;""),AND(EF20&gt;=EG$45,EF20&lt;&gt;""),AND(FC20&gt;=FI$45,FC20&lt;&gt;""),AND(FH20&gt;=FI$45,FH20&lt;&gt;""),AND(GE20&gt;=GK$45,GE20&lt;&gt;""),AND(GJ20&gt;=GK$45,GJ20&lt;&gt;""),AND(HG20&gt;=HM$45,HG20&lt;&gt;""),AND(HL20&gt;=HM$45,HL20&lt;&gt;""),AND(II20&gt;=IO$45,II20&lt;&gt;""),AND(IN20&gt;=IO$45,IN20&lt;&gt;""),AND(JK20&gt;=JQ$45,JK20&lt;&gt;""),AND(JP20&gt;=JQ$45,JP20&lt;&gt;""),AND(KM20&gt;=KS$45,KM20&lt;&gt;""),AND(KR20&gt;=KS$45,KR20&lt;&gt;""),AND(LO20&gt;=LU$45,LO20&lt;&gt;""),AND(LT20&gt;=LU$45,LT20&lt;&gt;""),AND(MQ20&gt;=MW$45,MQ20&lt;&gt;""),AND(MV20&gt;=MW$45,MV20&lt;&gt;""),AND(NS20&gt;=NY$45,NS20&lt;&gt;""),AND(NX20&gt;=NY$45,NX20&lt;&gt;""),AND(OU20&gt;=PA$45,OU20&lt;&gt;""),AND(OZ20&gt;=PA$45,OZ20&lt;&gt;""),AND(PW20&gt;=QC$45,PW20&lt;&gt;""),AND(QB20&gt;=QC$45,QB20&lt;&gt;"")),"P","")</f>
        <v>P</v>
      </c>
      <c r="J20" s="36" t="str">
        <f>IF(AND(I20="P",H20=""),"No DD",IF(OR(AND(AS20&gt;=AW$44,AT20&gt;=AW$48,AS20&lt;&gt;"",AO20=""),AND(BV20&gt;=BZ$44,BW20&gt;=BZ$48,BV20&lt;&gt;"",BR20=""),AND(CY20&gt;=DC$44,CZ20&gt;=DC$48,CY20&lt;&gt;"",CU20=""),AND(EC20&gt;=EG$44,ED20&gt;=EG$48,EC20&lt;&gt;""),AND(FE20&gt;=FI$44,FF20&gt;=FI$48,FE20&lt;&gt;""),AND(GG20&gt;=GK$44,GH20&gt;=GK$48,GG20&lt;&gt;""),AND(HI20&gt;=HM$44,HJ20&gt;=HM$48,HI20&lt;&gt;""),AND(IK20&gt;=IO$44,IL20&gt;=IO$48,IK20&lt;&gt;""),AND(JM20&gt;=JQ$44,JN20&gt;=JQ$48,JM20&lt;&gt;""),AND(KO20&gt;=KS$44,KP20&gt;=KS$48,KO20&lt;&gt;""),AND(LQ20&gt;=LU$44,LR20&gt;=LU$48,LQ20&lt;&gt;""),AND(MS20&gt;=MW$44,MT20&gt;=MW$48,MS20&lt;&gt;""),AND(NU20&gt;=NY$44,NV20&gt;=NY$48,NU20&lt;&gt;""),AND(OW20&gt;=PA$44,OX20&gt;=PA$48,OW20&lt;&gt;""),AND(PY20&gt;=QC$44,PZ20&gt;=QC$48,PY20&lt;&gt;"")),"Merit",IF(OR(AND(AS20&gt;=AW$43,AT20&gt;=AW$47,AS20&lt;&gt;"",AO20=""),AND(BV20&gt;=BZ$43,BW20&gt;=BZ$47,BV20&lt;&gt;"",BR20=""),AND(CY20&gt;=DC$43,CZ20&gt;=DC$47,CY20&lt;&gt;"",CU20=""),AND(EC20&gt;=EG$43,ED20&gt;=EG$47,EC20&lt;&gt;""),AND(FE20&gt;=FI$43,FF20&gt;=FI$47,FE20&lt;&gt;""),AND(GG20&gt;=GK$43,GH20&gt;=GK$47,GG20&lt;&gt;""),AND(HI20&gt;=HM$43,HJ20&gt;=HM$47,HI20&lt;&gt;""),AND(IK20&gt;=IO$43,IL20&gt;=IO$47,IK20&lt;&gt;""),AND(JM20&gt;=JQ$43,JN20&gt;=JQ$47,JM20&lt;&gt;""),AND(KO20&gt;=KS$43,KP20&gt;=KS$47,KO20&lt;&gt;""),AND(LQ20&gt;=LU$43,LR20&gt;=LU$47,LQ20&lt;&gt;""),AND(MS20&gt;=MW$43,MT20&gt;=MW$47,MS20&lt;&gt;""),AND(NU20&gt;=NY$43,NV20&gt;=NY$47,NU20&lt;&gt;""),AND(OW20&gt;=PA$43,OX20&gt;=PA$47,OW20&lt;&gt;""),AND(PY20&gt;=QC$43,PZ20&gt;=QC$47,PY20&lt;&gt;"")),"Excellence",IF(K20="P","Worlds Team",IF(H20="P","National Team","")))))</f>
        <v>National Team</v>
      </c>
      <c r="K20" s="3" t="str">
        <f>IF(OR(AND(AS20&gt;=AW$42,AT20&gt;=AW$46,AS20&lt;&gt;"",AO20=""),AND(BV20&gt;=BZ$42,BW20&gt;=BZ$46,BV20&lt;&gt;"",BR20=""),AND(CY20&gt;=DC$42,CZ20&gt;=DC$46,CY20&lt;&gt;"",CU20=""),AND(EC20&gt;=EG$42,ED20&gt;=EG$46,EC20&lt;&gt;""),AND(FE20&gt;=FI$42,FF20&gt;=FI$46,FE20&lt;&gt;""),AND(GG20&gt;=GK$42,GH20&gt;=GK$46,GG20&lt;&gt;""),AND(HI20&gt;=HM$42,HJ20&gt;=HM$46,HI20&lt;&gt;""),AND(IK20&gt;=IO$42,IL20&gt;=IO$46,IK20&lt;&gt;""),AND(JM20&gt;=JQ$42,JN20&gt;=JQ$46,JM20&lt;&gt;""),AND(KO20&gt;=KS$42,KP20&gt;=KS$46,KO20&lt;&gt;""),AND(LQ20&gt;=LU$42,LR20&gt;=LU$46,LQ20&lt;&gt;""),AND(MS20&gt;=MW$42,MT20&gt;=MW$46,MS20&lt;&gt;""),AND(NU20&gt;=NY$42,NV20&gt;=NY$46,NU20&lt;&gt;""),AND(OW20&gt;=PA$42,OX20&gt;=PA$46,OW20&lt;&gt;""),AND(PY20&gt;=QC$42,PZ20&gt;=QC$46,PY20&lt;&gt;"")),"P","")</f>
        <v/>
      </c>
      <c r="L20" s="8">
        <f>IF(COUNT(AQ20,BT20,CW20)&gt;0,LARGE((AQ20,BT20,CW20),1),0)</f>
        <v>49.900000000000006</v>
      </c>
      <c r="M20" s="8" t="str">
        <f t="shared" si="1"/>
        <v>2025 Nationals</v>
      </c>
      <c r="N20" s="8">
        <f>IF(COUNT(AQ20,BT20,CW20)&gt;1,LARGE((AQ20,BT20,CW20),2),0)</f>
        <v>49.099999999999994</v>
      </c>
      <c r="O20" s="8" t="str">
        <f t="shared" si="2"/>
        <v>2024 3rd Domestic Trial</v>
      </c>
      <c r="P20" s="8">
        <f t="shared" si="3"/>
        <v>0</v>
      </c>
      <c r="Q20" s="8" t="str">
        <f t="shared" si="4"/>
        <v/>
      </c>
      <c r="R20" s="8" t="str">
        <f t="shared" si="5"/>
        <v/>
      </c>
      <c r="S20" s="11" t="str">
        <f t="shared" si="6"/>
        <v/>
      </c>
      <c r="T20" s="8" t="str">
        <f t="shared" si="7"/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18.600000000000001</v>
      </c>
      <c r="Z20" s="19">
        <v>6</v>
      </c>
      <c r="AA20" s="19">
        <v>0.2</v>
      </c>
      <c r="AB20" s="19">
        <v>0</v>
      </c>
      <c r="AC20" s="19">
        <v>17.100000000000001</v>
      </c>
      <c r="AD20" s="19">
        <v>3.2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8"/>
        <v>12</v>
      </c>
      <c r="AQ20" s="40">
        <f t="shared" si="9"/>
        <v>49.099999999999994</v>
      </c>
      <c r="AR20" s="40">
        <f t="shared" si="10"/>
        <v>20.3</v>
      </c>
      <c r="AS20" s="40">
        <f t="shared" si="11"/>
        <v>15.2</v>
      </c>
      <c r="AT20" s="40">
        <f t="shared" si="12"/>
        <v>69.399999999999991</v>
      </c>
      <c r="AU20" s="40" t="str">
        <f t="shared" si="13"/>
        <v/>
      </c>
      <c r="AV20" s="40" t="str">
        <f t="shared" si="14"/>
        <v/>
      </c>
      <c r="AW20" s="40">
        <f t="shared" si="15"/>
        <v>69.399999999999991</v>
      </c>
      <c r="AX20" s="18">
        <v>17.7</v>
      </c>
      <c r="AY20" s="18">
        <v>5.6</v>
      </c>
      <c r="AZ20" s="18">
        <v>1.6</v>
      </c>
      <c r="BA20" s="18">
        <v>0</v>
      </c>
      <c r="BB20" s="18">
        <v>18.7</v>
      </c>
      <c r="BC20" s="18">
        <v>7.2</v>
      </c>
      <c r="BD20" s="18">
        <v>0.8</v>
      </c>
      <c r="BE20" s="18">
        <v>0</v>
      </c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16"/>
        <v>12.8</v>
      </c>
      <c r="BT20" s="11">
        <f t="shared" si="17"/>
        <v>46.800000000000004</v>
      </c>
      <c r="BU20" s="11" t="str">
        <f t="shared" si="18"/>
        <v/>
      </c>
      <c r="BV20" s="11">
        <f t="shared" si="19"/>
        <v>12.8</v>
      </c>
      <c r="BW20" s="11">
        <f t="shared" si="20"/>
        <v>46.800000000000004</v>
      </c>
      <c r="BX20" s="11" t="str">
        <f t="shared" si="21"/>
        <v/>
      </c>
      <c r="BY20" s="11" t="str">
        <f t="shared" si="22"/>
        <v/>
      </c>
      <c r="BZ20" s="11">
        <f t="shared" si="23"/>
        <v>46.800000000000004</v>
      </c>
      <c r="CA20" s="19">
        <v>18.2</v>
      </c>
      <c r="CB20" s="19">
        <v>8</v>
      </c>
      <c r="CC20" s="19">
        <v>0.8</v>
      </c>
      <c r="CD20" s="19">
        <v>0</v>
      </c>
      <c r="CE20" s="19">
        <v>18</v>
      </c>
      <c r="CF20" s="19">
        <v>7.3</v>
      </c>
      <c r="CG20" s="19">
        <v>0.8</v>
      </c>
      <c r="CH20" s="19">
        <v>0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4"/>
        <v>15.3</v>
      </c>
      <c r="CW20" s="40">
        <f t="shared" si="25"/>
        <v>49.900000000000006</v>
      </c>
      <c r="CX20" s="40" t="str">
        <f t="shared" si="26"/>
        <v/>
      </c>
      <c r="CY20" s="40">
        <f t="shared" si="27"/>
        <v>15.3</v>
      </c>
      <c r="CZ20" s="40">
        <f t="shared" si="28"/>
        <v>49.900000000000006</v>
      </c>
      <c r="DA20" s="40" t="str">
        <f t="shared" si="29"/>
        <v/>
      </c>
      <c r="DB20" s="40" t="str">
        <f t="shared" si="30"/>
        <v/>
      </c>
      <c r="DC20" s="40">
        <f t="shared" si="31"/>
        <v>49.900000000000006</v>
      </c>
      <c r="DD20" s="50" t="str">
        <f t="shared" si="32"/>
        <v/>
      </c>
      <c r="DE20" s="50" t="str">
        <f t="shared" si="33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4"/>
        <v/>
      </c>
      <c r="EA20" s="40" t="str">
        <f t="shared" si="35"/>
        <v/>
      </c>
      <c r="EB20" s="40" t="str">
        <f t="shared" si="36"/>
        <v/>
      </c>
      <c r="EC20" s="40" t="str">
        <f t="shared" si="37"/>
        <v/>
      </c>
      <c r="ED20" s="40" t="str">
        <f t="shared" si="38"/>
        <v/>
      </c>
      <c r="EE20" s="40" t="str">
        <f t="shared" si="39"/>
        <v/>
      </c>
      <c r="EF20" s="40" t="str">
        <f t="shared" si="40"/>
        <v/>
      </c>
      <c r="EG20" s="40" t="str">
        <f t="shared" si="41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2"/>
        <v/>
      </c>
      <c r="FC20" s="11" t="str">
        <f t="shared" si="43"/>
        <v/>
      </c>
      <c r="FD20" s="11" t="str">
        <f t="shared" si="44"/>
        <v/>
      </c>
      <c r="FE20" s="11" t="str">
        <f t="shared" si="45"/>
        <v/>
      </c>
      <c r="FF20" s="11" t="str">
        <f t="shared" si="46"/>
        <v/>
      </c>
      <c r="FG20" s="11" t="str">
        <f t="shared" si="47"/>
        <v/>
      </c>
      <c r="FH20" s="11" t="str">
        <f t="shared" si="48"/>
        <v/>
      </c>
      <c r="FI20" s="11" t="str">
        <f t="shared" si="49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0"/>
        <v/>
      </c>
      <c r="GE20" s="40" t="str">
        <f t="shared" si="51"/>
        <v/>
      </c>
      <c r="GF20" s="40" t="str">
        <f t="shared" si="52"/>
        <v/>
      </c>
      <c r="GG20" s="40" t="str">
        <f t="shared" si="53"/>
        <v/>
      </c>
      <c r="GH20" s="40" t="str">
        <f t="shared" si="54"/>
        <v/>
      </c>
      <c r="GI20" s="40" t="str">
        <f t="shared" si="55"/>
        <v/>
      </c>
      <c r="GJ20" s="40" t="str">
        <f t="shared" si="56"/>
        <v/>
      </c>
      <c r="GK20" s="40" t="str">
        <f t="shared" si="57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58"/>
        <v/>
      </c>
      <c r="HG20" s="11" t="str">
        <f t="shared" si="59"/>
        <v/>
      </c>
      <c r="HH20" s="11" t="str">
        <f t="shared" si="60"/>
        <v/>
      </c>
      <c r="HI20" s="11" t="str">
        <f t="shared" si="61"/>
        <v/>
      </c>
      <c r="HJ20" s="11" t="str">
        <f t="shared" si="62"/>
        <v/>
      </c>
      <c r="HK20" s="11" t="str">
        <f t="shared" si="63"/>
        <v/>
      </c>
      <c r="HL20" s="11" t="str">
        <f t="shared" si="64"/>
        <v/>
      </c>
      <c r="HM20" s="11" t="str">
        <f t="shared" si="65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66"/>
        <v/>
      </c>
      <c r="II20" s="40" t="str">
        <f t="shared" si="67"/>
        <v/>
      </c>
      <c r="IJ20" s="40" t="str">
        <f t="shared" si="68"/>
        <v/>
      </c>
      <c r="IK20" s="40" t="str">
        <f t="shared" si="69"/>
        <v/>
      </c>
      <c r="IL20" s="40" t="str">
        <f t="shared" si="70"/>
        <v/>
      </c>
      <c r="IM20" s="40" t="str">
        <f t="shared" si="71"/>
        <v/>
      </c>
      <c r="IN20" s="40" t="str">
        <f t="shared" si="72"/>
        <v/>
      </c>
      <c r="IO20" s="40" t="str">
        <f t="shared" si="73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4"/>
        <v/>
      </c>
      <c r="JK20" s="11" t="str">
        <f t="shared" si="75"/>
        <v/>
      </c>
      <c r="JL20" s="11" t="str">
        <f t="shared" si="76"/>
        <v/>
      </c>
      <c r="JM20" s="11" t="str">
        <f t="shared" si="77"/>
        <v/>
      </c>
      <c r="JN20" s="11" t="str">
        <f t="shared" si="78"/>
        <v/>
      </c>
      <c r="JO20" s="11" t="str">
        <f t="shared" si="79"/>
        <v/>
      </c>
      <c r="JP20" s="11" t="str">
        <f t="shared" si="80"/>
        <v/>
      </c>
      <c r="JQ20" s="11" t="str">
        <f t="shared" si="81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2"/>
        <v/>
      </c>
      <c r="KM20" s="40" t="str">
        <f t="shared" si="83"/>
        <v/>
      </c>
      <c r="KN20" s="40" t="str">
        <f t="shared" si="84"/>
        <v/>
      </c>
      <c r="KO20" s="40" t="str">
        <f t="shared" si="85"/>
        <v/>
      </c>
      <c r="KP20" s="40" t="str">
        <f t="shared" si="86"/>
        <v/>
      </c>
      <c r="KQ20" s="40" t="str">
        <f t="shared" si="87"/>
        <v/>
      </c>
      <c r="KR20" s="40" t="str">
        <f t="shared" si="88"/>
        <v/>
      </c>
      <c r="KS20" s="40" t="str">
        <f t="shared" si="89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0"/>
        <v/>
      </c>
      <c r="LO20" s="11" t="str">
        <f t="shared" si="91"/>
        <v/>
      </c>
      <c r="LP20" s="11" t="str">
        <f t="shared" si="92"/>
        <v/>
      </c>
      <c r="LQ20" s="11" t="str">
        <f t="shared" si="93"/>
        <v/>
      </c>
      <c r="LR20" s="11" t="str">
        <f t="shared" si="94"/>
        <v/>
      </c>
      <c r="LS20" s="11" t="str">
        <f t="shared" si="95"/>
        <v/>
      </c>
      <c r="LT20" s="11" t="str">
        <f t="shared" si="96"/>
        <v/>
      </c>
      <c r="LU20" s="11" t="str">
        <f t="shared" si="97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98"/>
        <v/>
      </c>
      <c r="MQ20" s="40" t="str">
        <f t="shared" si="99"/>
        <v/>
      </c>
      <c r="MR20" s="40" t="str">
        <f t="shared" si="100"/>
        <v/>
      </c>
      <c r="MS20" s="40" t="str">
        <f t="shared" si="101"/>
        <v/>
      </c>
      <c r="MT20" s="40" t="str">
        <f t="shared" si="102"/>
        <v/>
      </c>
      <c r="MU20" s="40" t="str">
        <f t="shared" si="103"/>
        <v/>
      </c>
      <c r="MV20" s="40" t="str">
        <f t="shared" si="104"/>
        <v/>
      </c>
      <c r="MW20" s="40" t="str">
        <f t="shared" si="105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06"/>
        <v/>
      </c>
      <c r="NS20" s="11" t="str">
        <f t="shared" si="107"/>
        <v/>
      </c>
      <c r="NT20" s="11" t="str">
        <f t="shared" si="108"/>
        <v/>
      </c>
      <c r="NU20" s="11" t="str">
        <f t="shared" si="109"/>
        <v/>
      </c>
      <c r="NV20" s="11" t="str">
        <f t="shared" si="110"/>
        <v/>
      </c>
      <c r="NW20" s="11" t="str">
        <f t="shared" si="111"/>
        <v/>
      </c>
      <c r="NX20" s="11" t="str">
        <f t="shared" si="112"/>
        <v/>
      </c>
      <c r="NY20" s="11" t="str">
        <f t="shared" si="113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4"/>
        <v/>
      </c>
      <c r="OU20" s="40" t="str">
        <f t="shared" si="115"/>
        <v/>
      </c>
      <c r="OV20" s="40" t="str">
        <f t="shared" si="116"/>
        <v/>
      </c>
      <c r="OW20" s="40" t="str">
        <f t="shared" si="117"/>
        <v/>
      </c>
      <c r="OX20" s="40" t="str">
        <f t="shared" si="118"/>
        <v/>
      </c>
      <c r="OY20" s="40" t="str">
        <f t="shared" si="119"/>
        <v/>
      </c>
      <c r="OZ20" s="40" t="str">
        <f t="shared" si="120"/>
        <v/>
      </c>
      <c r="PA20" s="40" t="str">
        <f t="shared" si="121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2"/>
        <v/>
      </c>
      <c r="PW20" s="11" t="str">
        <f t="shared" si="123"/>
        <v/>
      </c>
      <c r="PX20" s="11" t="str">
        <f t="shared" si="124"/>
        <v/>
      </c>
      <c r="PY20" s="11" t="str">
        <f t="shared" si="125"/>
        <v/>
      </c>
      <c r="PZ20" s="11" t="str">
        <f t="shared" si="126"/>
        <v/>
      </c>
      <c r="QA20" s="11" t="str">
        <f t="shared" si="127"/>
        <v/>
      </c>
      <c r="QB20" s="11" t="str">
        <f t="shared" si="128"/>
        <v/>
      </c>
      <c r="QC20" s="11" t="str">
        <f t="shared" si="129"/>
        <v/>
      </c>
      <c r="QD20" s="22">
        <f t="shared" si="130"/>
        <v>17.95</v>
      </c>
      <c r="QE20" s="22">
        <f t="shared" si="131"/>
        <v>6.8</v>
      </c>
      <c r="QF20" s="22">
        <f t="shared" si="132"/>
        <v>1.2000000000000002</v>
      </c>
      <c r="QG20" s="22">
        <f t="shared" si="133"/>
        <v>0</v>
      </c>
      <c r="QH20" s="22">
        <f t="shared" si="134"/>
        <v>18.350000000000001</v>
      </c>
      <c r="QI20" s="22">
        <f t="shared" si="135"/>
        <v>7.25</v>
      </c>
      <c r="QJ20" s="22">
        <f t="shared" si="136"/>
        <v>0.8</v>
      </c>
      <c r="QK20" s="22">
        <f t="shared" si="137"/>
        <v>0</v>
      </c>
      <c r="QL20" s="22">
        <f t="shared" si="138"/>
        <v>0</v>
      </c>
      <c r="QM20" s="22">
        <f t="shared" si="139"/>
        <v>0</v>
      </c>
      <c r="QN20" s="22">
        <f t="shared" si="140"/>
        <v>0</v>
      </c>
      <c r="QO20" s="22">
        <f t="shared" si="141"/>
        <v>0</v>
      </c>
      <c r="QP20" s="22">
        <f t="shared" si="142"/>
        <v>0</v>
      </c>
      <c r="QQ20" s="22">
        <f t="shared" si="143"/>
        <v>0</v>
      </c>
      <c r="QR20" s="22">
        <f t="shared" si="144"/>
        <v>0</v>
      </c>
      <c r="QS20" s="22">
        <f t="shared" si="145"/>
        <v>0</v>
      </c>
      <c r="QT20" s="22">
        <f t="shared" si="146"/>
        <v>0</v>
      </c>
      <c r="QU20" s="22">
        <f t="shared" si="147"/>
        <v>0</v>
      </c>
      <c r="QV20" s="22">
        <f t="shared" si="148"/>
        <v>0</v>
      </c>
      <c r="QW20" s="22">
        <f t="shared" si="149"/>
        <v>0</v>
      </c>
      <c r="QX20" s="27" t="s">
        <v>46</v>
      </c>
      <c r="QY20" s="40">
        <f t="shared" si="150"/>
        <v>14.05</v>
      </c>
      <c r="QZ20" s="40">
        <f t="shared" si="151"/>
        <v>48.35</v>
      </c>
      <c r="RA20" s="40" t="str">
        <f t="shared" si="152"/>
        <v/>
      </c>
      <c r="RB20" s="40">
        <f t="shared" si="153"/>
        <v>14.05</v>
      </c>
      <c r="RC20" s="40">
        <f t="shared" si="154"/>
        <v>48.35</v>
      </c>
      <c r="RD20" s="40" t="str">
        <f t="shared" si="155"/>
        <v/>
      </c>
      <c r="RE20" s="40" t="str">
        <f t="shared" si="156"/>
        <v/>
      </c>
      <c r="RF20" s="40">
        <f t="shared" si="157"/>
        <v>48.35</v>
      </c>
    </row>
    <row r="21" spans="1:474" x14ac:dyDescent="0.2">
      <c r="A21" s="4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>18</v>
      </c>
      <c r="B21" s="4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>13</v>
      </c>
      <c r="C21" s="5" t="s">
        <v>100</v>
      </c>
      <c r="D21" s="4" t="s">
        <v>92</v>
      </c>
      <c r="E21" s="4">
        <v>2005</v>
      </c>
      <c r="F21" s="9">
        <f t="shared" si="0"/>
        <v>94.700009470005114</v>
      </c>
      <c r="G21" s="64"/>
      <c r="H21" s="3" t="str">
        <f>IF(OR(AND(AP21&gt;=AW$41,AQ21&gt;=AW$45,AP21&lt;&gt;"",AO21=""),AND(AU21&gt;=AW$41,AV21&gt;=AW$45,AU21&lt;&gt;"",AO21=""),AND(BS21&gt;=BZ$41,BT21&gt;=BZ$45,BS21&lt;&gt;"",BR21=""),AND(BX21&gt;=BZ$41,BY21&gt;=BZ$45,BX21&lt;&gt;"",BR21=""),AND(CV21&gt;=DC$41,CW21&gt;=DC$45,CV21&lt;&gt;"",CU21=""),AND(DA21&gt;=DC$41,DB21&gt;=DC$45,DA21&lt;&gt;""),AND(DZ21&gt;=EG$41,EA21&gt;=EG$45,DZ21&lt;&gt;""),AND(EE21&gt;=EG$41,EF21&gt;=EG$45,EE21&lt;&gt;""),AND(FB21&gt;=FI$41,FC21&gt;=FI$45,FB21&lt;&gt;""),AND(FG21&gt;=FI$41,FH21&gt;=FI$45,FG21&lt;&gt;""),AND(GD21&gt;=GK$41,GE21&gt;=GK$45,GD21&lt;&gt;""),AND(GI21&gt;=GK$41,GJ21&gt;=GK$45,GI21&lt;&gt;""),AND(HF21&gt;=HM$41,HG21&gt;=HM$45,HF21&lt;&gt;""),AND(HK21&gt;=HM$41,HL21&gt;=HM$45,HK21&lt;&gt;""),AND(IH21&gt;=IO$41,II21&gt;=IO$45,IH21&lt;&gt;""),AND(IM21&gt;=IO$41,IN21&gt;=IO$45,IM21&lt;&gt;""),AND(JJ21&gt;=JQ$41,JK21&gt;=JQ$45,JJ21&lt;&gt;""),AND(JO21&gt;=JQ$41,JP21&gt;=JQ$45,JO21&lt;&gt;""),AND(KL21&gt;=KS$41,KM21&gt;=KS$45,KL21&lt;&gt;""),AND(KQ21&gt;=KS$41,KR21&gt;=KS$45,KQ21&lt;&gt;""),AND(LN21&gt;=LU$41,LO21&gt;=LU$45,LN21&lt;&gt;""),AND(LS21&gt;=LU$41,LT21&gt;=LU$45,LS21&lt;&gt;""),AND(MP21&gt;=MW$41,MQ21&gt;=MW$45,MP21&lt;&gt;""),AND(MU21&gt;=MW$41,MV21&gt;=MW$45,MU21&lt;&gt;""),AND(NR21&gt;=NY$41,NS21&gt;=NY$45,NR21&lt;&gt;""),AND(NW21&gt;=NY$41,NX21&gt;=NY$45,NW21&lt;&gt;""),AND(OT21&gt;=PA$41,OU21&gt;=PA$45,OT21&lt;&gt;""),AND(OY21&gt;=PA$41,OZ21&gt;=PA$45,OY21&lt;&gt;""),AND(PV21&gt;=QC$41,PW21&gt;=QC$45,PV21&lt;&gt;""),AND(QA21&gt;=QC$41,QB21&gt;=QC$45,QA21&lt;&gt;"")),"P","")</f>
        <v>P</v>
      </c>
      <c r="I21" s="3" t="str">
        <f>IF(OR(AND(AQ21&gt;=AW$45,AQ21&lt;&gt;"",AO21=""),AND(AV21&gt;=AW$45,AV21&lt;&gt;"",AO21=""),AND(BT21&gt;=BZ$45,BT21&lt;&gt;"",BR21=""),AND(BY21&gt;=BZ$45,BY21&lt;&gt;"",BR21=""),AND(CW21&gt;=DC$45,CW21&lt;&gt;"",CU21=""),AND(DB21&gt;=DC$45,DB21&lt;&gt;"",CU21=""),AND(EA21&gt;=EG$45,EA21&lt;&gt;""),AND(EF21&gt;=EG$45,EF21&lt;&gt;""),AND(FC21&gt;=FI$45,FC21&lt;&gt;""),AND(FH21&gt;=FI$45,FH21&lt;&gt;""),AND(GE21&gt;=GK$45,GE21&lt;&gt;""),AND(GJ21&gt;=GK$45,GJ21&lt;&gt;""),AND(HG21&gt;=HM$45,HG21&lt;&gt;""),AND(HL21&gt;=HM$45,HL21&lt;&gt;""),AND(II21&gt;=IO$45,II21&lt;&gt;""),AND(IN21&gt;=IO$45,IN21&lt;&gt;""),AND(JK21&gt;=JQ$45,JK21&lt;&gt;""),AND(JP21&gt;=JQ$45,JP21&lt;&gt;""),AND(KM21&gt;=KS$45,KM21&lt;&gt;""),AND(KR21&gt;=KS$45,KR21&lt;&gt;""),AND(LO21&gt;=LU$45,LO21&lt;&gt;""),AND(LT21&gt;=LU$45,LT21&lt;&gt;""),AND(MQ21&gt;=MW$45,MQ21&lt;&gt;""),AND(MV21&gt;=MW$45,MV21&lt;&gt;""),AND(NS21&gt;=NY$45,NS21&lt;&gt;""),AND(NX21&gt;=NY$45,NX21&lt;&gt;""),AND(OU21&gt;=PA$45,OU21&lt;&gt;""),AND(OZ21&gt;=PA$45,OZ21&lt;&gt;""),AND(PW21&gt;=QC$45,PW21&lt;&gt;""),AND(QB21&gt;=QC$45,QB21&lt;&gt;"")),"P","")</f>
        <v>P</v>
      </c>
      <c r="J21" s="36" t="str">
        <f>IF(AND(I21="P",H21=""),"No DD",IF(OR(AND(AS21&gt;=AW$44,AT21&gt;=AW$48,AS21&lt;&gt;"",AO21=""),AND(BV21&gt;=BZ$44,BW21&gt;=BZ$48,BV21&lt;&gt;"",BR21=""),AND(CY21&gt;=DC$44,CZ21&gt;=DC$48,CY21&lt;&gt;"",CU21=""),AND(EC21&gt;=EG$44,ED21&gt;=EG$48,EC21&lt;&gt;""),AND(FE21&gt;=FI$44,FF21&gt;=FI$48,FE21&lt;&gt;""),AND(GG21&gt;=GK$44,GH21&gt;=GK$48,GG21&lt;&gt;""),AND(HI21&gt;=HM$44,HJ21&gt;=HM$48,HI21&lt;&gt;""),AND(IK21&gt;=IO$44,IL21&gt;=IO$48,IK21&lt;&gt;""),AND(JM21&gt;=JQ$44,JN21&gt;=JQ$48,JM21&lt;&gt;""),AND(KO21&gt;=KS$44,KP21&gt;=KS$48,KO21&lt;&gt;""),AND(LQ21&gt;=LU$44,LR21&gt;=LU$48,LQ21&lt;&gt;""),AND(MS21&gt;=MW$44,MT21&gt;=MW$48,MS21&lt;&gt;""),AND(NU21&gt;=NY$44,NV21&gt;=NY$48,NU21&lt;&gt;""),AND(OW21&gt;=PA$44,OX21&gt;=PA$48,OW21&lt;&gt;""),AND(PY21&gt;=QC$44,PZ21&gt;=QC$48,PY21&lt;&gt;"")),"Merit",IF(OR(AND(AS21&gt;=AW$43,AT21&gt;=AW$47,AS21&lt;&gt;"",AO21=""),AND(BV21&gt;=BZ$43,BW21&gt;=BZ$47,BV21&lt;&gt;"",BR21=""),AND(CY21&gt;=DC$43,CZ21&gt;=DC$47,CY21&lt;&gt;"",CU21=""),AND(EC21&gt;=EG$43,ED21&gt;=EG$47,EC21&lt;&gt;""),AND(FE21&gt;=FI$43,FF21&gt;=FI$47,FE21&lt;&gt;""),AND(GG21&gt;=GK$43,GH21&gt;=GK$47,GG21&lt;&gt;""),AND(HI21&gt;=HM$43,HJ21&gt;=HM$47,HI21&lt;&gt;""),AND(IK21&gt;=IO$43,IL21&gt;=IO$47,IK21&lt;&gt;""),AND(JM21&gt;=JQ$43,JN21&gt;=JQ$47,JM21&lt;&gt;""),AND(KO21&gt;=KS$43,KP21&gt;=KS$47,KO21&lt;&gt;""),AND(LQ21&gt;=LU$43,LR21&gt;=LU$47,LQ21&lt;&gt;""),AND(MS21&gt;=MW$43,MT21&gt;=MW$47,MS21&lt;&gt;""),AND(NU21&gt;=NY$43,NV21&gt;=NY$47,NU21&lt;&gt;""),AND(OW21&gt;=PA$43,OX21&gt;=PA$47,OW21&lt;&gt;""),AND(PY21&gt;=QC$43,PZ21&gt;=QC$47,PY21&lt;&gt;"")),"Excellence",IF(K21="P","Worlds Team",IF(H21="P","National Team","")))))</f>
        <v>National Team</v>
      </c>
      <c r="K21" s="3" t="str">
        <f>IF(OR(AND(AS21&gt;=AW$42,AT21&gt;=AW$46,AS21&lt;&gt;"",AO21=""),AND(BV21&gt;=BZ$42,BW21&gt;=BZ$46,BV21&lt;&gt;"",BR21=""),AND(CY21&gt;=DC$42,CZ21&gt;=DC$46,CY21&lt;&gt;"",CU21=""),AND(EC21&gt;=EG$42,ED21&gt;=EG$46,EC21&lt;&gt;""),AND(FE21&gt;=FI$42,FF21&gt;=FI$46,FE21&lt;&gt;""),AND(GG21&gt;=GK$42,GH21&gt;=GK$46,GG21&lt;&gt;""),AND(HI21&gt;=HM$42,HJ21&gt;=HM$46,HI21&lt;&gt;""),AND(IK21&gt;=IO$42,IL21&gt;=IO$46,IK21&lt;&gt;""),AND(JM21&gt;=JQ$42,JN21&gt;=JQ$46,JM21&lt;&gt;""),AND(KO21&gt;=KS$42,KP21&gt;=KS$46,KO21&lt;&gt;""),AND(LQ21&gt;=LU$42,LR21&gt;=LU$46,LQ21&lt;&gt;""),AND(MS21&gt;=MW$42,MT21&gt;=MW$46,MS21&lt;&gt;""),AND(NU21&gt;=NY$42,NV21&gt;=NY$46,NU21&lt;&gt;""),AND(OW21&gt;=PA$42,OX21&gt;=PA$46,OW21&lt;&gt;""),AND(PY21&gt;=QC$42,PZ21&gt;=QC$46,PY21&lt;&gt;"")),"P","")</f>
        <v/>
      </c>
      <c r="L21" s="8">
        <f>IF(COUNT(AQ21,BT21,CW21)&gt;0,LARGE((AQ21,BT21,CW21),1),0)</f>
        <v>51.3</v>
      </c>
      <c r="M21" s="8" t="str">
        <f t="shared" si="1"/>
        <v>2024 3rd Domestic Trial</v>
      </c>
      <c r="N21" s="8">
        <f>IF(COUNT(AQ21,BT21,CW21)&gt;1,LARGE((AQ21,BT21,CW21),2),0)</f>
        <v>43.4</v>
      </c>
      <c r="O21" s="8" t="str">
        <f t="shared" si="2"/>
        <v>2025 Elite Canada</v>
      </c>
      <c r="P21" s="8">
        <f t="shared" si="3"/>
        <v>0</v>
      </c>
      <c r="Q21" s="8" t="str">
        <f t="shared" si="4"/>
        <v/>
      </c>
      <c r="R21" s="8" t="str">
        <f t="shared" si="5"/>
        <v/>
      </c>
      <c r="S21" s="11" t="str">
        <f t="shared" si="6"/>
        <v/>
      </c>
      <c r="T21" s="8" t="str">
        <f t="shared" si="7"/>
        <v/>
      </c>
      <c r="U21" s="19">
        <v>18.899999999999999</v>
      </c>
      <c r="V21" s="19">
        <v>8</v>
      </c>
      <c r="W21" s="19">
        <v>0.6</v>
      </c>
      <c r="X21" s="19">
        <v>0.3</v>
      </c>
      <c r="Y21" s="19">
        <v>18.5</v>
      </c>
      <c r="Z21" s="19">
        <v>6.8</v>
      </c>
      <c r="AA21" s="19">
        <v>0.6</v>
      </c>
      <c r="AB21" s="19">
        <v>0</v>
      </c>
      <c r="AC21" s="19">
        <v>17.600000000000001</v>
      </c>
      <c r="AD21" s="19">
        <v>2.4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8"/>
        <v>14.8</v>
      </c>
      <c r="AQ21" s="40">
        <f t="shared" si="9"/>
        <v>51.3</v>
      </c>
      <c r="AR21" s="40">
        <f t="shared" si="10"/>
        <v>20</v>
      </c>
      <c r="AS21" s="40">
        <f t="shared" si="11"/>
        <v>17.2</v>
      </c>
      <c r="AT21" s="40">
        <f t="shared" si="12"/>
        <v>71.3</v>
      </c>
      <c r="AU21" s="40" t="str">
        <f t="shared" si="13"/>
        <v/>
      </c>
      <c r="AV21" s="40" t="str">
        <f t="shared" si="14"/>
        <v/>
      </c>
      <c r="AW21" s="40">
        <f t="shared" si="15"/>
        <v>71.3</v>
      </c>
      <c r="AX21" s="18">
        <v>15.4</v>
      </c>
      <c r="AY21" s="18">
        <v>2.8</v>
      </c>
      <c r="AZ21" s="18">
        <v>0</v>
      </c>
      <c r="BA21" s="18">
        <v>0</v>
      </c>
      <c r="BB21" s="18">
        <v>18.2</v>
      </c>
      <c r="BC21" s="18">
        <v>7.2</v>
      </c>
      <c r="BD21" s="18">
        <v>0.2</v>
      </c>
      <c r="BE21" s="18">
        <v>0</v>
      </c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16"/>
        <v>10</v>
      </c>
      <c r="BT21" s="11">
        <f t="shared" si="17"/>
        <v>43.4</v>
      </c>
      <c r="BU21" s="11" t="str">
        <f t="shared" si="18"/>
        <v/>
      </c>
      <c r="BV21" s="11">
        <f t="shared" si="19"/>
        <v>10</v>
      </c>
      <c r="BW21" s="11">
        <f t="shared" si="20"/>
        <v>43.4</v>
      </c>
      <c r="BX21" s="11" t="str">
        <f t="shared" si="21"/>
        <v/>
      </c>
      <c r="BY21" s="11" t="str">
        <f t="shared" si="22"/>
        <v/>
      </c>
      <c r="BZ21" s="11">
        <f t="shared" si="23"/>
        <v>43.4</v>
      </c>
      <c r="CA21" s="19">
        <v>16.7</v>
      </c>
      <c r="CB21" s="19">
        <v>8</v>
      </c>
      <c r="CC21" s="19">
        <v>0.2</v>
      </c>
      <c r="CD21" s="19">
        <v>0.3</v>
      </c>
      <c r="CE21" s="19">
        <v>15.2</v>
      </c>
      <c r="CF21" s="19">
        <v>3.2</v>
      </c>
      <c r="CG21" s="19">
        <v>0</v>
      </c>
      <c r="CH21" s="19">
        <v>0</v>
      </c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4"/>
        <v>11.2</v>
      </c>
      <c r="CW21" s="40">
        <f t="shared" si="25"/>
        <v>43.2</v>
      </c>
      <c r="CX21" s="40" t="str">
        <f t="shared" si="26"/>
        <v/>
      </c>
      <c r="CY21" s="40">
        <f t="shared" si="27"/>
        <v>11.2</v>
      </c>
      <c r="CZ21" s="40">
        <f t="shared" si="28"/>
        <v>43.2</v>
      </c>
      <c r="DA21" s="40" t="str">
        <f t="shared" si="29"/>
        <v/>
      </c>
      <c r="DB21" s="40" t="str">
        <f t="shared" si="30"/>
        <v/>
      </c>
      <c r="DC21" s="40">
        <f t="shared" si="31"/>
        <v>43.2</v>
      </c>
      <c r="DD21" s="50" t="str">
        <f t="shared" si="32"/>
        <v/>
      </c>
      <c r="DE21" s="50" t="str">
        <f t="shared" si="33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4"/>
        <v/>
      </c>
      <c r="EA21" s="40" t="str">
        <f t="shared" si="35"/>
        <v/>
      </c>
      <c r="EB21" s="40" t="str">
        <f t="shared" si="36"/>
        <v/>
      </c>
      <c r="EC21" s="40" t="str">
        <f t="shared" si="37"/>
        <v/>
      </c>
      <c r="ED21" s="40" t="str">
        <f t="shared" si="38"/>
        <v/>
      </c>
      <c r="EE21" s="40" t="str">
        <f t="shared" si="39"/>
        <v/>
      </c>
      <c r="EF21" s="40" t="str">
        <f t="shared" si="40"/>
        <v/>
      </c>
      <c r="EG21" s="40" t="str">
        <f t="shared" si="41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2"/>
        <v/>
      </c>
      <c r="FC21" s="11" t="str">
        <f t="shared" si="43"/>
        <v/>
      </c>
      <c r="FD21" s="11" t="str">
        <f t="shared" si="44"/>
        <v/>
      </c>
      <c r="FE21" s="11" t="str">
        <f t="shared" si="45"/>
        <v/>
      </c>
      <c r="FF21" s="11" t="str">
        <f t="shared" si="46"/>
        <v/>
      </c>
      <c r="FG21" s="11" t="str">
        <f t="shared" si="47"/>
        <v/>
      </c>
      <c r="FH21" s="11" t="str">
        <f t="shared" si="48"/>
        <v/>
      </c>
      <c r="FI21" s="11" t="str">
        <f t="shared" si="49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0"/>
        <v/>
      </c>
      <c r="GE21" s="40" t="str">
        <f t="shared" si="51"/>
        <v/>
      </c>
      <c r="GF21" s="40" t="str">
        <f t="shared" si="52"/>
        <v/>
      </c>
      <c r="GG21" s="40" t="str">
        <f t="shared" si="53"/>
        <v/>
      </c>
      <c r="GH21" s="40" t="str">
        <f t="shared" si="54"/>
        <v/>
      </c>
      <c r="GI21" s="40" t="str">
        <f t="shared" si="55"/>
        <v/>
      </c>
      <c r="GJ21" s="40" t="str">
        <f t="shared" si="56"/>
        <v/>
      </c>
      <c r="GK21" s="40" t="str">
        <f t="shared" si="57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58"/>
        <v/>
      </c>
      <c r="HG21" s="11" t="str">
        <f t="shared" si="59"/>
        <v/>
      </c>
      <c r="HH21" s="11" t="str">
        <f t="shared" si="60"/>
        <v/>
      </c>
      <c r="HI21" s="11" t="str">
        <f t="shared" si="61"/>
        <v/>
      </c>
      <c r="HJ21" s="11" t="str">
        <f t="shared" si="62"/>
        <v/>
      </c>
      <c r="HK21" s="11" t="str">
        <f t="shared" si="63"/>
        <v/>
      </c>
      <c r="HL21" s="11" t="str">
        <f t="shared" si="64"/>
        <v/>
      </c>
      <c r="HM21" s="11" t="str">
        <f t="shared" si="65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66"/>
        <v/>
      </c>
      <c r="II21" s="40" t="str">
        <f t="shared" si="67"/>
        <v/>
      </c>
      <c r="IJ21" s="40" t="str">
        <f t="shared" si="68"/>
        <v/>
      </c>
      <c r="IK21" s="40" t="str">
        <f t="shared" si="69"/>
        <v/>
      </c>
      <c r="IL21" s="40" t="str">
        <f t="shared" si="70"/>
        <v/>
      </c>
      <c r="IM21" s="40" t="str">
        <f t="shared" si="71"/>
        <v/>
      </c>
      <c r="IN21" s="40" t="str">
        <f t="shared" si="72"/>
        <v/>
      </c>
      <c r="IO21" s="40" t="str">
        <f t="shared" si="73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4"/>
        <v/>
      </c>
      <c r="JK21" s="11" t="str">
        <f t="shared" si="75"/>
        <v/>
      </c>
      <c r="JL21" s="11" t="str">
        <f t="shared" si="76"/>
        <v/>
      </c>
      <c r="JM21" s="11" t="str">
        <f t="shared" si="77"/>
        <v/>
      </c>
      <c r="JN21" s="11" t="str">
        <f t="shared" si="78"/>
        <v/>
      </c>
      <c r="JO21" s="11" t="str">
        <f t="shared" si="79"/>
        <v/>
      </c>
      <c r="JP21" s="11" t="str">
        <f t="shared" si="80"/>
        <v/>
      </c>
      <c r="JQ21" s="11" t="str">
        <f t="shared" si="81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2"/>
        <v/>
      </c>
      <c r="KM21" s="40" t="str">
        <f t="shared" si="83"/>
        <v/>
      </c>
      <c r="KN21" s="40" t="str">
        <f t="shared" si="84"/>
        <v/>
      </c>
      <c r="KO21" s="40" t="str">
        <f t="shared" si="85"/>
        <v/>
      </c>
      <c r="KP21" s="40" t="str">
        <f t="shared" si="86"/>
        <v/>
      </c>
      <c r="KQ21" s="40" t="str">
        <f t="shared" si="87"/>
        <v/>
      </c>
      <c r="KR21" s="40" t="str">
        <f t="shared" si="88"/>
        <v/>
      </c>
      <c r="KS21" s="40" t="str">
        <f t="shared" si="89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0"/>
        <v/>
      </c>
      <c r="LO21" s="11" t="str">
        <f t="shared" si="91"/>
        <v/>
      </c>
      <c r="LP21" s="11" t="str">
        <f t="shared" si="92"/>
        <v/>
      </c>
      <c r="LQ21" s="11" t="str">
        <f t="shared" si="93"/>
        <v/>
      </c>
      <c r="LR21" s="11" t="str">
        <f t="shared" si="94"/>
        <v/>
      </c>
      <c r="LS21" s="11" t="str">
        <f t="shared" si="95"/>
        <v/>
      </c>
      <c r="LT21" s="11" t="str">
        <f t="shared" si="96"/>
        <v/>
      </c>
      <c r="LU21" s="11" t="str">
        <f t="shared" si="97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98"/>
        <v/>
      </c>
      <c r="MQ21" s="40" t="str">
        <f t="shared" si="99"/>
        <v/>
      </c>
      <c r="MR21" s="40" t="str">
        <f t="shared" si="100"/>
        <v/>
      </c>
      <c r="MS21" s="40" t="str">
        <f t="shared" si="101"/>
        <v/>
      </c>
      <c r="MT21" s="40" t="str">
        <f t="shared" si="102"/>
        <v/>
      </c>
      <c r="MU21" s="40" t="str">
        <f t="shared" si="103"/>
        <v/>
      </c>
      <c r="MV21" s="40" t="str">
        <f t="shared" si="104"/>
        <v/>
      </c>
      <c r="MW21" s="40" t="str">
        <f t="shared" si="105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06"/>
        <v/>
      </c>
      <c r="NS21" s="11" t="str">
        <f t="shared" si="107"/>
        <v/>
      </c>
      <c r="NT21" s="11" t="str">
        <f t="shared" si="108"/>
        <v/>
      </c>
      <c r="NU21" s="11" t="str">
        <f t="shared" si="109"/>
        <v/>
      </c>
      <c r="NV21" s="11" t="str">
        <f t="shared" si="110"/>
        <v/>
      </c>
      <c r="NW21" s="11" t="str">
        <f t="shared" si="111"/>
        <v/>
      </c>
      <c r="NX21" s="11" t="str">
        <f t="shared" si="112"/>
        <v/>
      </c>
      <c r="NY21" s="11" t="str">
        <f t="shared" si="113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4"/>
        <v/>
      </c>
      <c r="OU21" s="40" t="str">
        <f t="shared" si="115"/>
        <v/>
      </c>
      <c r="OV21" s="40" t="str">
        <f t="shared" si="116"/>
        <v/>
      </c>
      <c r="OW21" s="40" t="str">
        <f t="shared" si="117"/>
        <v/>
      </c>
      <c r="OX21" s="40" t="str">
        <f t="shared" si="118"/>
        <v/>
      </c>
      <c r="OY21" s="40" t="str">
        <f t="shared" si="119"/>
        <v/>
      </c>
      <c r="OZ21" s="40" t="str">
        <f t="shared" si="120"/>
        <v/>
      </c>
      <c r="PA21" s="40" t="str">
        <f t="shared" si="121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2"/>
        <v/>
      </c>
      <c r="PW21" s="11" t="str">
        <f t="shared" si="123"/>
        <v/>
      </c>
      <c r="PX21" s="11" t="str">
        <f t="shared" si="124"/>
        <v/>
      </c>
      <c r="PY21" s="11" t="str">
        <f t="shared" si="125"/>
        <v/>
      </c>
      <c r="PZ21" s="11" t="str">
        <f t="shared" si="126"/>
        <v/>
      </c>
      <c r="QA21" s="11" t="str">
        <f t="shared" si="127"/>
        <v/>
      </c>
      <c r="QB21" s="11" t="str">
        <f t="shared" si="128"/>
        <v/>
      </c>
      <c r="QC21" s="11" t="str">
        <f t="shared" si="129"/>
        <v/>
      </c>
      <c r="QD21" s="22">
        <f t="shared" si="130"/>
        <v>16.05</v>
      </c>
      <c r="QE21" s="22">
        <f t="shared" si="131"/>
        <v>5.4</v>
      </c>
      <c r="QF21" s="22">
        <f t="shared" si="132"/>
        <v>0.1</v>
      </c>
      <c r="QG21" s="22">
        <f t="shared" si="133"/>
        <v>0.15</v>
      </c>
      <c r="QH21" s="22">
        <f t="shared" si="134"/>
        <v>16.7</v>
      </c>
      <c r="QI21" s="22">
        <f t="shared" si="135"/>
        <v>5.2</v>
      </c>
      <c r="QJ21" s="22">
        <f t="shared" si="136"/>
        <v>0.1</v>
      </c>
      <c r="QK21" s="22">
        <f t="shared" si="137"/>
        <v>0</v>
      </c>
      <c r="QL21" s="22">
        <f t="shared" si="138"/>
        <v>0</v>
      </c>
      <c r="QM21" s="22">
        <f t="shared" si="139"/>
        <v>0</v>
      </c>
      <c r="QN21" s="22">
        <f t="shared" si="140"/>
        <v>0</v>
      </c>
      <c r="QO21" s="22">
        <f t="shared" si="141"/>
        <v>0</v>
      </c>
      <c r="QP21" s="22">
        <f t="shared" si="142"/>
        <v>0</v>
      </c>
      <c r="QQ21" s="22">
        <f t="shared" si="143"/>
        <v>0</v>
      </c>
      <c r="QR21" s="22">
        <f t="shared" si="144"/>
        <v>0</v>
      </c>
      <c r="QS21" s="22">
        <f t="shared" si="145"/>
        <v>0</v>
      </c>
      <c r="QT21" s="22">
        <f t="shared" si="146"/>
        <v>0</v>
      </c>
      <c r="QU21" s="22">
        <f t="shared" si="147"/>
        <v>0</v>
      </c>
      <c r="QV21" s="22">
        <f t="shared" si="148"/>
        <v>0</v>
      </c>
      <c r="QW21" s="22">
        <f t="shared" si="149"/>
        <v>0</v>
      </c>
      <c r="QX21" s="27" t="s">
        <v>46</v>
      </c>
      <c r="QY21" s="40">
        <f t="shared" si="150"/>
        <v>10.600000000000001</v>
      </c>
      <c r="QZ21" s="40">
        <f t="shared" si="151"/>
        <v>43.3</v>
      </c>
      <c r="RA21" s="40" t="str">
        <f t="shared" si="152"/>
        <v/>
      </c>
      <c r="RB21" s="40">
        <f t="shared" si="153"/>
        <v>10.600000000000001</v>
      </c>
      <c r="RC21" s="40">
        <f t="shared" si="154"/>
        <v>43.3</v>
      </c>
      <c r="RD21" s="40" t="str">
        <f t="shared" si="155"/>
        <v/>
      </c>
      <c r="RE21" s="40" t="str">
        <f t="shared" si="156"/>
        <v/>
      </c>
      <c r="RF21" s="40">
        <f t="shared" si="157"/>
        <v>43.3</v>
      </c>
    </row>
    <row r="22" spans="1:474" x14ac:dyDescent="0.2">
      <c r="A22" s="4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>19</v>
      </c>
      <c r="B22" s="4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>14</v>
      </c>
      <c r="C22" s="5" t="s">
        <v>99</v>
      </c>
      <c r="D22" s="4" t="s">
        <v>6</v>
      </c>
      <c r="E22" s="4">
        <v>2004</v>
      </c>
      <c r="F22" s="9">
        <f t="shared" si="0"/>
        <v>49.3</v>
      </c>
      <c r="G22" s="64"/>
      <c r="H22" s="3" t="str">
        <f>IF(OR(AND(AP22&gt;=AW$41,AQ22&gt;=AW$45,AP22&lt;&gt;"",AO22=""),AND(AU22&gt;=AW$41,AV22&gt;=AW$45,AU22&lt;&gt;"",AO22=""),AND(BS22&gt;=BZ$41,BT22&gt;=BZ$45,BS22&lt;&gt;"",BR22=""),AND(BX22&gt;=BZ$41,BY22&gt;=BZ$45,BX22&lt;&gt;"",BR22=""),AND(CV22&gt;=DC$41,CW22&gt;=DC$45,CV22&lt;&gt;"",CU22=""),AND(DA22&gt;=DC$41,DB22&gt;=DC$45,DA22&lt;&gt;""),AND(DZ22&gt;=EG$41,EA22&gt;=EG$45,DZ22&lt;&gt;""),AND(EE22&gt;=EG$41,EF22&gt;=EG$45,EE22&lt;&gt;""),AND(FB22&gt;=FI$41,FC22&gt;=FI$45,FB22&lt;&gt;""),AND(FG22&gt;=FI$41,FH22&gt;=FI$45,FG22&lt;&gt;""),AND(GD22&gt;=GK$41,GE22&gt;=GK$45,GD22&lt;&gt;""),AND(GI22&gt;=GK$41,GJ22&gt;=GK$45,GI22&lt;&gt;""),AND(HF22&gt;=HM$41,HG22&gt;=HM$45,HF22&lt;&gt;""),AND(HK22&gt;=HM$41,HL22&gt;=HM$45,HK22&lt;&gt;""),AND(IH22&gt;=IO$41,II22&gt;=IO$45,IH22&lt;&gt;""),AND(IM22&gt;=IO$41,IN22&gt;=IO$45,IM22&lt;&gt;""),AND(JJ22&gt;=JQ$41,JK22&gt;=JQ$45,JJ22&lt;&gt;""),AND(JO22&gt;=JQ$41,JP22&gt;=JQ$45,JO22&lt;&gt;""),AND(KL22&gt;=KS$41,KM22&gt;=KS$45,KL22&lt;&gt;""),AND(KQ22&gt;=KS$41,KR22&gt;=KS$45,KQ22&lt;&gt;""),AND(LN22&gt;=LU$41,LO22&gt;=LU$45,LN22&lt;&gt;""),AND(LS22&gt;=LU$41,LT22&gt;=LU$45,LS22&lt;&gt;""),AND(MP22&gt;=MW$41,MQ22&gt;=MW$45,MP22&lt;&gt;""),AND(MU22&gt;=MW$41,MV22&gt;=MW$45,MU22&lt;&gt;""),AND(NR22&gt;=NY$41,NS22&gt;=NY$45,NR22&lt;&gt;""),AND(NW22&gt;=NY$41,NX22&gt;=NY$45,NW22&lt;&gt;""),AND(OT22&gt;=PA$41,OU22&gt;=PA$45,OT22&lt;&gt;""),AND(OY22&gt;=PA$41,OZ22&gt;=PA$45,OY22&lt;&gt;""),AND(PV22&gt;=QC$41,PW22&gt;=QC$45,PV22&lt;&gt;""),AND(QA22&gt;=QC$41,QB22&gt;=QC$45,QA22&lt;&gt;"")),"P","")</f>
        <v>P</v>
      </c>
      <c r="I22" s="3" t="str">
        <f>IF(OR(AND(AQ22&gt;=AW$45,AQ22&lt;&gt;"",AO22=""),AND(AV22&gt;=AW$45,AV22&lt;&gt;"",AO22=""),AND(BT22&gt;=BZ$45,BT22&lt;&gt;"",BR22=""),AND(BY22&gt;=BZ$45,BY22&lt;&gt;"",BR22=""),AND(CW22&gt;=DC$45,CW22&lt;&gt;"",CU22=""),AND(DB22&gt;=DC$45,DB22&lt;&gt;"",CU22=""),AND(EA22&gt;=EG$45,EA22&lt;&gt;""),AND(EF22&gt;=EG$45,EF22&lt;&gt;""),AND(FC22&gt;=FI$45,FC22&lt;&gt;""),AND(FH22&gt;=FI$45,FH22&lt;&gt;""),AND(GE22&gt;=GK$45,GE22&lt;&gt;""),AND(GJ22&gt;=GK$45,GJ22&lt;&gt;""),AND(HG22&gt;=HM$45,HG22&lt;&gt;""),AND(HL22&gt;=HM$45,HL22&lt;&gt;""),AND(II22&gt;=IO$45,II22&lt;&gt;""),AND(IN22&gt;=IO$45,IN22&lt;&gt;""),AND(JK22&gt;=JQ$45,JK22&lt;&gt;""),AND(JP22&gt;=JQ$45,JP22&lt;&gt;""),AND(KM22&gt;=KS$45,KM22&lt;&gt;""),AND(KR22&gt;=KS$45,KR22&lt;&gt;""),AND(LO22&gt;=LU$45,LO22&lt;&gt;""),AND(LT22&gt;=LU$45,LT22&lt;&gt;""),AND(MQ22&gt;=MW$45,MQ22&lt;&gt;""),AND(MV22&gt;=MW$45,MV22&lt;&gt;""),AND(NS22&gt;=NY$45,NS22&lt;&gt;""),AND(NX22&gt;=NY$45,NX22&lt;&gt;""),AND(OU22&gt;=PA$45,OU22&lt;&gt;""),AND(OZ22&gt;=PA$45,OZ22&lt;&gt;""),AND(PW22&gt;=QC$45,PW22&lt;&gt;""),AND(QB22&gt;=QC$45,QB22&lt;&gt;"")),"P","")</f>
        <v>P</v>
      </c>
      <c r="J22" s="36" t="str">
        <f>IF(AND(I22="P",H22=""),"No DD",IF(OR(AND(AS22&gt;=AW$44,AT22&gt;=AW$48,AS22&lt;&gt;"",AO22=""),AND(BV22&gt;=BZ$44,BW22&gt;=BZ$48,BV22&lt;&gt;"",BR22=""),AND(CY22&gt;=DC$44,CZ22&gt;=DC$48,CY22&lt;&gt;"",CU22=""),AND(EC22&gt;=EG$44,ED22&gt;=EG$48,EC22&lt;&gt;""),AND(FE22&gt;=FI$44,FF22&gt;=FI$48,FE22&lt;&gt;""),AND(GG22&gt;=GK$44,GH22&gt;=GK$48,GG22&lt;&gt;""),AND(HI22&gt;=HM$44,HJ22&gt;=HM$48,HI22&lt;&gt;""),AND(IK22&gt;=IO$44,IL22&gt;=IO$48,IK22&lt;&gt;""),AND(JM22&gt;=JQ$44,JN22&gt;=JQ$48,JM22&lt;&gt;""),AND(KO22&gt;=KS$44,KP22&gt;=KS$48,KO22&lt;&gt;""),AND(LQ22&gt;=LU$44,LR22&gt;=LU$48,LQ22&lt;&gt;""),AND(MS22&gt;=MW$44,MT22&gt;=MW$48,MS22&lt;&gt;""),AND(NU22&gt;=NY$44,NV22&gt;=NY$48,NU22&lt;&gt;""),AND(OW22&gt;=PA$44,OX22&gt;=PA$48,OW22&lt;&gt;""),AND(PY22&gt;=QC$44,PZ22&gt;=QC$48,PY22&lt;&gt;"")),"Merit",IF(OR(AND(AS22&gt;=AW$43,AT22&gt;=AW$47,AS22&lt;&gt;"",AO22=""),AND(BV22&gt;=BZ$43,BW22&gt;=BZ$47,BV22&lt;&gt;"",BR22=""),AND(CY22&gt;=DC$43,CZ22&gt;=DC$47,CY22&lt;&gt;"",CU22=""),AND(EC22&gt;=EG$43,ED22&gt;=EG$47,EC22&lt;&gt;""),AND(FE22&gt;=FI$43,FF22&gt;=FI$47,FE22&lt;&gt;""),AND(GG22&gt;=GK$43,GH22&gt;=GK$47,GG22&lt;&gt;""),AND(HI22&gt;=HM$43,HJ22&gt;=HM$47,HI22&lt;&gt;""),AND(IK22&gt;=IO$43,IL22&gt;=IO$47,IK22&lt;&gt;""),AND(JM22&gt;=JQ$43,JN22&gt;=JQ$47,JM22&lt;&gt;""),AND(KO22&gt;=KS$43,KP22&gt;=KS$47,KO22&lt;&gt;""),AND(LQ22&gt;=LU$43,LR22&gt;=LU$47,LQ22&lt;&gt;""),AND(MS22&gt;=MW$43,MT22&gt;=MW$47,MS22&lt;&gt;""),AND(NU22&gt;=NY$43,NV22&gt;=NY$47,NU22&lt;&gt;""),AND(OW22&gt;=PA$43,OX22&gt;=PA$47,OW22&lt;&gt;""),AND(PY22&gt;=QC$43,PZ22&gt;=QC$47,PY22&lt;&gt;"")),"Excellence",IF(K22="P","Worlds Team",IF(H22="P","National Team","")))))</f>
        <v>National Team</v>
      </c>
      <c r="K22" s="3" t="str">
        <f>IF(OR(AND(AS22&gt;=AW$42,AT22&gt;=AW$46,AS22&lt;&gt;"",AO22=""),AND(BV22&gt;=BZ$42,BW22&gt;=BZ$46,BV22&lt;&gt;"",BR22=""),AND(CY22&gt;=DC$42,CZ22&gt;=DC$46,CY22&lt;&gt;"",CU22=""),AND(EC22&gt;=EG$42,ED22&gt;=EG$46,EC22&lt;&gt;""),AND(FE22&gt;=FI$42,FF22&gt;=FI$46,FE22&lt;&gt;""),AND(GG22&gt;=GK$42,GH22&gt;=GK$46,GG22&lt;&gt;""),AND(HI22&gt;=HM$42,HJ22&gt;=HM$46,HI22&lt;&gt;""),AND(IK22&gt;=IO$42,IL22&gt;=IO$46,IK22&lt;&gt;""),AND(JM22&gt;=JQ$42,JN22&gt;=JQ$46,JM22&lt;&gt;""),AND(KO22&gt;=KS$42,KP22&gt;=KS$46,KO22&lt;&gt;""),AND(LQ22&gt;=LU$42,LR22&gt;=LU$46,LQ22&lt;&gt;""),AND(MS22&gt;=MW$42,MT22&gt;=MW$46,MS22&lt;&gt;""),AND(NU22&gt;=NY$42,NV22&gt;=NY$46,NU22&lt;&gt;""),AND(OW22&gt;=PA$42,OX22&gt;=PA$46,OW22&lt;&gt;""),AND(PY22&gt;=QC$42,PZ22&gt;=QC$46,PY22&lt;&gt;"")),"P","")</f>
        <v/>
      </c>
      <c r="L22" s="8">
        <f>IF(COUNT(AQ22,BT22,CW22)&gt;0,LARGE((AQ22,BT22,CW22),1),0)</f>
        <v>0</v>
      </c>
      <c r="M22" s="8" t="str">
        <f t="shared" si="1"/>
        <v/>
      </c>
      <c r="N22" s="8">
        <f>IF(COUNT(AQ22,BT22,CW22)&gt;1,LARGE((AQ22,BT22,CW22),2),0)</f>
        <v>0</v>
      </c>
      <c r="O22" s="8" t="str">
        <f t="shared" si="2"/>
        <v/>
      </c>
      <c r="P22" s="8">
        <f t="shared" si="3"/>
        <v>0</v>
      </c>
      <c r="Q22" s="8" t="str">
        <f t="shared" si="4"/>
        <v/>
      </c>
      <c r="R22" s="8">
        <f t="shared" si="5"/>
        <v>49.3</v>
      </c>
      <c r="S22" s="11" t="str">
        <f t="shared" si="6"/>
        <v>(Q1)</v>
      </c>
      <c r="T22" s="8" t="str">
        <f t="shared" si="7"/>
        <v>2024 Coimbra Gym Fest (July 7)</v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8"/>
        <v/>
      </c>
      <c r="AQ22" s="40" t="str">
        <f t="shared" si="9"/>
        <v/>
      </c>
      <c r="AR22" s="40" t="str">
        <f t="shared" si="10"/>
        <v/>
      </c>
      <c r="AS22" s="40" t="str">
        <f t="shared" si="11"/>
        <v/>
      </c>
      <c r="AT22" s="40" t="str">
        <f t="shared" si="12"/>
        <v/>
      </c>
      <c r="AU22" s="40" t="str">
        <f t="shared" si="13"/>
        <v/>
      </c>
      <c r="AV22" s="40" t="str">
        <f t="shared" si="14"/>
        <v/>
      </c>
      <c r="AW22" s="40" t="str">
        <f t="shared" si="15"/>
        <v/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16"/>
        <v/>
      </c>
      <c r="BT22" s="11" t="str">
        <f t="shared" si="17"/>
        <v/>
      </c>
      <c r="BU22" s="11" t="str">
        <f t="shared" si="18"/>
        <v/>
      </c>
      <c r="BV22" s="11" t="str">
        <f t="shared" si="19"/>
        <v/>
      </c>
      <c r="BW22" s="11" t="str">
        <f t="shared" si="20"/>
        <v/>
      </c>
      <c r="BX22" s="11" t="str">
        <f t="shared" si="21"/>
        <v/>
      </c>
      <c r="BY22" s="11" t="str">
        <f t="shared" si="22"/>
        <v/>
      </c>
      <c r="BZ22" s="11" t="str">
        <f t="shared" si="23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4"/>
        <v/>
      </c>
      <c r="CW22" s="40" t="str">
        <f t="shared" si="25"/>
        <v/>
      </c>
      <c r="CX22" s="40" t="str">
        <f t="shared" si="26"/>
        <v/>
      </c>
      <c r="CY22" s="40" t="str">
        <f t="shared" si="27"/>
        <v/>
      </c>
      <c r="CZ22" s="40" t="str">
        <f t="shared" si="28"/>
        <v/>
      </c>
      <c r="DA22" s="40" t="str">
        <f t="shared" si="29"/>
        <v/>
      </c>
      <c r="DB22" s="40" t="str">
        <f t="shared" si="30"/>
        <v/>
      </c>
      <c r="DC22" s="40" t="str">
        <f t="shared" si="31"/>
        <v/>
      </c>
      <c r="DD22" s="50">
        <f t="shared" si="32"/>
        <v>49.3</v>
      </c>
      <c r="DE22" s="50" t="str">
        <f t="shared" si="33"/>
        <v/>
      </c>
      <c r="DF22" s="17">
        <v>18.5</v>
      </c>
      <c r="DG22" s="17">
        <v>4.8</v>
      </c>
      <c r="DH22" s="17">
        <v>0</v>
      </c>
      <c r="DI22" s="17">
        <v>0</v>
      </c>
      <c r="DJ22" s="17">
        <v>18.7</v>
      </c>
      <c r="DK22" s="17">
        <v>7.3</v>
      </c>
      <c r="DL22" s="17">
        <v>0</v>
      </c>
      <c r="DM22" s="17">
        <v>0</v>
      </c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>
        <f t="shared" si="34"/>
        <v>12.1</v>
      </c>
      <c r="EA22" s="40">
        <f t="shared" si="35"/>
        <v>49.3</v>
      </c>
      <c r="EB22" s="40" t="str">
        <f t="shared" si="36"/>
        <v/>
      </c>
      <c r="EC22" s="40">
        <f t="shared" si="37"/>
        <v>12.1</v>
      </c>
      <c r="ED22" s="40">
        <f t="shared" si="38"/>
        <v>49.3</v>
      </c>
      <c r="EE22" s="40" t="str">
        <f t="shared" si="39"/>
        <v/>
      </c>
      <c r="EF22" s="40" t="str">
        <f t="shared" si="40"/>
        <v/>
      </c>
      <c r="EG22" s="40">
        <f t="shared" si="41"/>
        <v>49.3</v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2"/>
        <v/>
      </c>
      <c r="FC22" s="11" t="str">
        <f t="shared" si="43"/>
        <v/>
      </c>
      <c r="FD22" s="11" t="str">
        <f t="shared" si="44"/>
        <v/>
      </c>
      <c r="FE22" s="11" t="str">
        <f t="shared" si="45"/>
        <v/>
      </c>
      <c r="FF22" s="11" t="str">
        <f t="shared" si="46"/>
        <v/>
      </c>
      <c r="FG22" s="11" t="str">
        <f t="shared" si="47"/>
        <v/>
      </c>
      <c r="FH22" s="11" t="str">
        <f t="shared" si="48"/>
        <v/>
      </c>
      <c r="FI22" s="11" t="str">
        <f t="shared" si="49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0"/>
        <v/>
      </c>
      <c r="GE22" s="40" t="str">
        <f t="shared" si="51"/>
        <v/>
      </c>
      <c r="GF22" s="40" t="str">
        <f t="shared" si="52"/>
        <v/>
      </c>
      <c r="GG22" s="40" t="str">
        <f t="shared" si="53"/>
        <v/>
      </c>
      <c r="GH22" s="40" t="str">
        <f t="shared" si="54"/>
        <v/>
      </c>
      <c r="GI22" s="40" t="str">
        <f t="shared" si="55"/>
        <v/>
      </c>
      <c r="GJ22" s="40" t="str">
        <f t="shared" si="56"/>
        <v/>
      </c>
      <c r="GK22" s="40" t="str">
        <f t="shared" si="57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58"/>
        <v/>
      </c>
      <c r="HG22" s="11" t="str">
        <f t="shared" si="59"/>
        <v/>
      </c>
      <c r="HH22" s="11" t="str">
        <f t="shared" si="60"/>
        <v/>
      </c>
      <c r="HI22" s="11" t="str">
        <f t="shared" si="61"/>
        <v/>
      </c>
      <c r="HJ22" s="11" t="str">
        <f t="shared" si="62"/>
        <v/>
      </c>
      <c r="HK22" s="11" t="str">
        <f t="shared" si="63"/>
        <v/>
      </c>
      <c r="HL22" s="11" t="str">
        <f t="shared" si="64"/>
        <v/>
      </c>
      <c r="HM22" s="11" t="str">
        <f t="shared" si="65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66"/>
        <v/>
      </c>
      <c r="II22" s="40" t="str">
        <f t="shared" si="67"/>
        <v/>
      </c>
      <c r="IJ22" s="40" t="str">
        <f t="shared" si="68"/>
        <v/>
      </c>
      <c r="IK22" s="40" t="str">
        <f t="shared" si="69"/>
        <v/>
      </c>
      <c r="IL22" s="40" t="str">
        <f t="shared" si="70"/>
        <v/>
      </c>
      <c r="IM22" s="40" t="str">
        <f t="shared" si="71"/>
        <v/>
      </c>
      <c r="IN22" s="40" t="str">
        <f t="shared" si="72"/>
        <v/>
      </c>
      <c r="IO22" s="40" t="str">
        <f t="shared" si="73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4"/>
        <v/>
      </c>
      <c r="JK22" s="11" t="str">
        <f t="shared" si="75"/>
        <v/>
      </c>
      <c r="JL22" s="11" t="str">
        <f t="shared" si="76"/>
        <v/>
      </c>
      <c r="JM22" s="11" t="str">
        <f t="shared" si="77"/>
        <v/>
      </c>
      <c r="JN22" s="11" t="str">
        <f t="shared" si="78"/>
        <v/>
      </c>
      <c r="JO22" s="11" t="str">
        <f t="shared" si="79"/>
        <v/>
      </c>
      <c r="JP22" s="11" t="str">
        <f t="shared" si="80"/>
        <v/>
      </c>
      <c r="JQ22" s="11" t="str">
        <f t="shared" si="81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2"/>
        <v/>
      </c>
      <c r="KM22" s="40" t="str">
        <f t="shared" si="83"/>
        <v/>
      </c>
      <c r="KN22" s="40" t="str">
        <f t="shared" si="84"/>
        <v/>
      </c>
      <c r="KO22" s="40" t="str">
        <f t="shared" si="85"/>
        <v/>
      </c>
      <c r="KP22" s="40" t="str">
        <f t="shared" si="86"/>
        <v/>
      </c>
      <c r="KQ22" s="40" t="str">
        <f t="shared" si="87"/>
        <v/>
      </c>
      <c r="KR22" s="40" t="str">
        <f t="shared" si="88"/>
        <v/>
      </c>
      <c r="KS22" s="40" t="str">
        <f t="shared" si="89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0"/>
        <v/>
      </c>
      <c r="LO22" s="11" t="str">
        <f t="shared" si="91"/>
        <v/>
      </c>
      <c r="LP22" s="11" t="str">
        <f t="shared" si="92"/>
        <v/>
      </c>
      <c r="LQ22" s="11" t="str">
        <f t="shared" si="93"/>
        <v/>
      </c>
      <c r="LR22" s="11" t="str">
        <f t="shared" si="94"/>
        <v/>
      </c>
      <c r="LS22" s="11" t="str">
        <f t="shared" si="95"/>
        <v/>
      </c>
      <c r="LT22" s="11" t="str">
        <f t="shared" si="96"/>
        <v/>
      </c>
      <c r="LU22" s="11" t="str">
        <f t="shared" si="97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98"/>
        <v/>
      </c>
      <c r="MQ22" s="40" t="str">
        <f t="shared" si="99"/>
        <v/>
      </c>
      <c r="MR22" s="40" t="str">
        <f t="shared" si="100"/>
        <v/>
      </c>
      <c r="MS22" s="40" t="str">
        <f t="shared" si="101"/>
        <v/>
      </c>
      <c r="MT22" s="40" t="str">
        <f t="shared" si="102"/>
        <v/>
      </c>
      <c r="MU22" s="40" t="str">
        <f t="shared" si="103"/>
        <v/>
      </c>
      <c r="MV22" s="40" t="str">
        <f t="shared" si="104"/>
        <v/>
      </c>
      <c r="MW22" s="40" t="str">
        <f t="shared" si="105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06"/>
        <v/>
      </c>
      <c r="NS22" s="11" t="str">
        <f t="shared" si="107"/>
        <v/>
      </c>
      <c r="NT22" s="11" t="str">
        <f t="shared" si="108"/>
        <v/>
      </c>
      <c r="NU22" s="11" t="str">
        <f t="shared" si="109"/>
        <v/>
      </c>
      <c r="NV22" s="11" t="str">
        <f t="shared" si="110"/>
        <v/>
      </c>
      <c r="NW22" s="11" t="str">
        <f t="shared" si="111"/>
        <v/>
      </c>
      <c r="NX22" s="11" t="str">
        <f t="shared" si="112"/>
        <v/>
      </c>
      <c r="NY22" s="11" t="str">
        <f t="shared" si="113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4"/>
        <v/>
      </c>
      <c r="OU22" s="40" t="str">
        <f t="shared" si="115"/>
        <v/>
      </c>
      <c r="OV22" s="40" t="str">
        <f t="shared" si="116"/>
        <v/>
      </c>
      <c r="OW22" s="40" t="str">
        <f t="shared" si="117"/>
        <v/>
      </c>
      <c r="OX22" s="40" t="str">
        <f t="shared" si="118"/>
        <v/>
      </c>
      <c r="OY22" s="40" t="str">
        <f t="shared" si="119"/>
        <v/>
      </c>
      <c r="OZ22" s="40" t="str">
        <f t="shared" si="120"/>
        <v/>
      </c>
      <c r="PA22" s="40" t="str">
        <f t="shared" si="121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2"/>
        <v/>
      </c>
      <c r="PW22" s="11" t="str">
        <f t="shared" si="123"/>
        <v/>
      </c>
      <c r="PX22" s="11" t="str">
        <f t="shared" si="124"/>
        <v/>
      </c>
      <c r="PY22" s="11" t="str">
        <f t="shared" si="125"/>
        <v/>
      </c>
      <c r="PZ22" s="11" t="str">
        <f t="shared" si="126"/>
        <v/>
      </c>
      <c r="QA22" s="11" t="str">
        <f t="shared" si="127"/>
        <v/>
      </c>
      <c r="QB22" s="11" t="str">
        <f t="shared" si="128"/>
        <v/>
      </c>
      <c r="QC22" s="11" t="str">
        <f t="shared" si="129"/>
        <v/>
      </c>
      <c r="QD22" s="22">
        <f t="shared" si="130"/>
        <v>0</v>
      </c>
      <c r="QE22" s="22">
        <f t="shared" si="131"/>
        <v>0</v>
      </c>
      <c r="QF22" s="22">
        <f t="shared" si="132"/>
        <v>0</v>
      </c>
      <c r="QG22" s="22">
        <f t="shared" si="133"/>
        <v>0</v>
      </c>
      <c r="QH22" s="22">
        <f t="shared" si="134"/>
        <v>0</v>
      </c>
      <c r="QI22" s="22">
        <f t="shared" si="135"/>
        <v>0</v>
      </c>
      <c r="QJ22" s="22">
        <f t="shared" si="136"/>
        <v>0</v>
      </c>
      <c r="QK22" s="22">
        <f t="shared" si="137"/>
        <v>0</v>
      </c>
      <c r="QL22" s="22">
        <f t="shared" si="138"/>
        <v>0</v>
      </c>
      <c r="QM22" s="22">
        <f t="shared" si="139"/>
        <v>0</v>
      </c>
      <c r="QN22" s="22">
        <f t="shared" si="140"/>
        <v>0</v>
      </c>
      <c r="QO22" s="22">
        <f t="shared" si="141"/>
        <v>0</v>
      </c>
      <c r="QP22" s="22">
        <f t="shared" si="142"/>
        <v>0</v>
      </c>
      <c r="QQ22" s="22">
        <f t="shared" si="143"/>
        <v>0</v>
      </c>
      <c r="QR22" s="22">
        <f t="shared" si="144"/>
        <v>0</v>
      </c>
      <c r="QS22" s="22">
        <f t="shared" si="145"/>
        <v>0</v>
      </c>
      <c r="QT22" s="22">
        <f t="shared" si="146"/>
        <v>0</v>
      </c>
      <c r="QU22" s="22">
        <f t="shared" si="147"/>
        <v>0</v>
      </c>
      <c r="QV22" s="22">
        <f t="shared" si="148"/>
        <v>0</v>
      </c>
      <c r="QW22" s="22">
        <f t="shared" si="149"/>
        <v>0</v>
      </c>
      <c r="QX22" s="27" t="s">
        <v>46</v>
      </c>
      <c r="QY22" s="40" t="str">
        <f t="shared" si="150"/>
        <v/>
      </c>
      <c r="QZ22" s="40" t="str">
        <f t="shared" si="151"/>
        <v/>
      </c>
      <c r="RA22" s="40" t="str">
        <f t="shared" si="152"/>
        <v/>
      </c>
      <c r="RB22" s="40" t="str">
        <f t="shared" si="153"/>
        <v/>
      </c>
      <c r="RC22" s="40" t="str">
        <f t="shared" si="154"/>
        <v/>
      </c>
      <c r="RD22" s="40" t="str">
        <f t="shared" si="155"/>
        <v/>
      </c>
      <c r="RE22" s="40" t="str">
        <f t="shared" si="156"/>
        <v/>
      </c>
      <c r="RF22" s="40" t="str">
        <f t="shared" si="157"/>
        <v/>
      </c>
    </row>
    <row r="23" spans="1:474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94</v>
      </c>
      <c r="D23" s="4" t="s">
        <v>3</v>
      </c>
      <c r="E23" s="4">
        <v>2005</v>
      </c>
      <c r="F23" s="9">
        <f t="shared" si="0"/>
        <v>151.80001013000512</v>
      </c>
      <c r="G23" s="64"/>
      <c r="H23" s="3" t="str">
        <f>IF(OR(AND(AP23&gt;=AW$41,AQ23&gt;=AW$45,AP23&lt;&gt;"",AO23=""),AND(AU23&gt;=AW$41,AV23&gt;=AW$45,AU23&lt;&gt;"",AO23=""),AND(BS23&gt;=BZ$41,BT23&gt;=BZ$45,BS23&lt;&gt;"",BR23=""),AND(BX23&gt;=BZ$41,BY23&gt;=BZ$45,BX23&lt;&gt;"",BR23=""),AND(CV23&gt;=DC$41,CW23&gt;=DC$45,CV23&lt;&gt;"",CU23=""),AND(DA23&gt;=DC$41,DB23&gt;=DC$45,DA23&lt;&gt;""),AND(DZ23&gt;=EG$41,EA23&gt;=EG$45,DZ23&lt;&gt;""),AND(EE23&gt;=EG$41,EF23&gt;=EG$45,EE23&lt;&gt;""),AND(FB23&gt;=FI$41,FC23&gt;=FI$45,FB23&lt;&gt;""),AND(FG23&gt;=FI$41,FH23&gt;=FI$45,FG23&lt;&gt;""),AND(GD23&gt;=GK$41,GE23&gt;=GK$45,GD23&lt;&gt;""),AND(GI23&gt;=GK$41,GJ23&gt;=GK$45,GI23&lt;&gt;""),AND(HF23&gt;=HM$41,HG23&gt;=HM$45,HF23&lt;&gt;""),AND(HK23&gt;=HM$41,HL23&gt;=HM$45,HK23&lt;&gt;""),AND(IH23&gt;=IO$41,II23&gt;=IO$45,IH23&lt;&gt;""),AND(IM23&gt;=IO$41,IN23&gt;=IO$45,IM23&lt;&gt;""),AND(JJ23&gt;=JQ$41,JK23&gt;=JQ$45,JJ23&lt;&gt;""),AND(JO23&gt;=JQ$41,JP23&gt;=JQ$45,JO23&lt;&gt;""),AND(KL23&gt;=KS$41,KM23&gt;=KS$45,KL23&lt;&gt;""),AND(KQ23&gt;=KS$41,KR23&gt;=KS$45,KQ23&lt;&gt;""),AND(LN23&gt;=LU$41,LO23&gt;=LU$45,LN23&lt;&gt;""),AND(LS23&gt;=LU$41,LT23&gt;=LU$45,LS23&lt;&gt;""),AND(MP23&gt;=MW$41,MQ23&gt;=MW$45,MP23&lt;&gt;""),AND(MU23&gt;=MW$41,MV23&gt;=MW$45,MU23&lt;&gt;""),AND(NR23&gt;=NY$41,NS23&gt;=NY$45,NR23&lt;&gt;""),AND(NW23&gt;=NY$41,NX23&gt;=NY$45,NW23&lt;&gt;""),AND(OT23&gt;=PA$41,OU23&gt;=PA$45,OT23&lt;&gt;""),AND(OY23&gt;=PA$41,OZ23&gt;=PA$45,OY23&lt;&gt;""),AND(PV23&gt;=QC$41,PW23&gt;=QC$45,PV23&lt;&gt;""),AND(QA23&gt;=QC$41,QB23&gt;=QC$45,QA23&lt;&gt;"")),"P","")</f>
        <v/>
      </c>
      <c r="I23" s="3" t="str">
        <f>IF(OR(AND(AQ23&gt;=AW$45,AQ23&lt;&gt;"",AO23=""),AND(AV23&gt;=AW$45,AV23&lt;&gt;"",AO23=""),AND(BT23&gt;=BZ$45,BT23&lt;&gt;"",BR23=""),AND(BY23&gt;=BZ$45,BY23&lt;&gt;"",BR23=""),AND(CW23&gt;=DC$45,CW23&lt;&gt;"",CU23=""),AND(DB23&gt;=DC$45,DB23&lt;&gt;"",CU23=""),AND(EA23&gt;=EG$45,EA23&lt;&gt;""),AND(EF23&gt;=EG$45,EF23&lt;&gt;""),AND(FC23&gt;=FI$45,FC23&lt;&gt;""),AND(FH23&gt;=FI$45,FH23&lt;&gt;""),AND(GE23&gt;=GK$45,GE23&lt;&gt;""),AND(GJ23&gt;=GK$45,GJ23&lt;&gt;""),AND(HG23&gt;=HM$45,HG23&lt;&gt;""),AND(HL23&gt;=HM$45,HL23&lt;&gt;""),AND(II23&gt;=IO$45,II23&lt;&gt;""),AND(IN23&gt;=IO$45,IN23&lt;&gt;""),AND(JK23&gt;=JQ$45,JK23&lt;&gt;""),AND(JP23&gt;=JQ$45,JP23&lt;&gt;""),AND(KM23&gt;=KS$45,KM23&lt;&gt;""),AND(KR23&gt;=KS$45,KR23&lt;&gt;""),AND(LO23&gt;=LU$45,LO23&lt;&gt;""),AND(LT23&gt;=LU$45,LT23&lt;&gt;""),AND(MQ23&gt;=MW$45,MQ23&lt;&gt;""),AND(MV23&gt;=MW$45,MV23&lt;&gt;""),AND(NS23&gt;=NY$45,NS23&lt;&gt;""),AND(NX23&gt;=NY$45,NX23&lt;&gt;""),AND(OU23&gt;=PA$45,OU23&lt;&gt;""),AND(OZ23&gt;=PA$45,OZ23&lt;&gt;""),AND(PW23&gt;=QC$45,PW23&lt;&gt;""),AND(QB23&gt;=QC$45,QB23&lt;&gt;"")),"P","")</f>
        <v/>
      </c>
      <c r="J23" s="36" t="str">
        <f>IF(AND(I23="P",H23=""),"No DD",IF(OR(AND(AS23&gt;=AW$44,AT23&gt;=AW$48,AS23&lt;&gt;"",AO23=""),AND(BV23&gt;=BZ$44,BW23&gt;=BZ$48,BV23&lt;&gt;"",BR23=""),AND(CY23&gt;=DC$44,CZ23&gt;=DC$48,CY23&lt;&gt;"",CU23=""),AND(EC23&gt;=EG$44,ED23&gt;=EG$48,EC23&lt;&gt;""),AND(FE23&gt;=FI$44,FF23&gt;=FI$48,FE23&lt;&gt;""),AND(GG23&gt;=GK$44,GH23&gt;=GK$48,GG23&lt;&gt;""),AND(HI23&gt;=HM$44,HJ23&gt;=HM$48,HI23&lt;&gt;""),AND(IK23&gt;=IO$44,IL23&gt;=IO$48,IK23&lt;&gt;""),AND(JM23&gt;=JQ$44,JN23&gt;=JQ$48,JM23&lt;&gt;""),AND(KO23&gt;=KS$44,KP23&gt;=KS$48,KO23&lt;&gt;""),AND(LQ23&gt;=LU$44,LR23&gt;=LU$48,LQ23&lt;&gt;""),AND(MS23&gt;=MW$44,MT23&gt;=MW$48,MS23&lt;&gt;""),AND(NU23&gt;=NY$44,NV23&gt;=NY$48,NU23&lt;&gt;""),AND(OW23&gt;=PA$44,OX23&gt;=PA$48,OW23&lt;&gt;""),AND(PY23&gt;=QC$44,PZ23&gt;=QC$48,PY23&lt;&gt;"")),"Merit",IF(OR(AND(AS23&gt;=AW$43,AT23&gt;=AW$47,AS23&lt;&gt;"",AO23=""),AND(BV23&gt;=BZ$43,BW23&gt;=BZ$47,BV23&lt;&gt;"",BR23=""),AND(CY23&gt;=DC$43,CZ23&gt;=DC$47,CY23&lt;&gt;"",CU23=""),AND(EC23&gt;=EG$43,ED23&gt;=EG$47,EC23&lt;&gt;""),AND(FE23&gt;=FI$43,FF23&gt;=FI$47,FE23&lt;&gt;""),AND(GG23&gt;=GK$43,GH23&gt;=GK$47,GG23&lt;&gt;""),AND(HI23&gt;=HM$43,HJ23&gt;=HM$47,HI23&lt;&gt;""),AND(IK23&gt;=IO$43,IL23&gt;=IO$47,IK23&lt;&gt;""),AND(JM23&gt;=JQ$43,JN23&gt;=JQ$47,JM23&lt;&gt;""),AND(KO23&gt;=KS$43,KP23&gt;=KS$47,KO23&lt;&gt;""),AND(LQ23&gt;=LU$43,LR23&gt;=LU$47,LQ23&lt;&gt;""),AND(MS23&gt;=MW$43,MT23&gt;=MW$47,MS23&lt;&gt;""),AND(NU23&gt;=NY$43,NV23&gt;=NY$47,NU23&lt;&gt;""),AND(OW23&gt;=PA$43,OX23&gt;=PA$47,OW23&lt;&gt;""),AND(PY23&gt;=QC$43,PZ23&gt;=QC$47,PY23&lt;&gt;"")),"Excellence",IF(K23="P","Worlds Team",IF(H23="P","National Team","")))))</f>
        <v/>
      </c>
      <c r="K23" s="3" t="str">
        <f>IF(OR(AND(AS23&gt;=AW$42,AT23&gt;=AW$46,AS23&lt;&gt;"",AO23=""),AND(BV23&gt;=BZ$42,BW23&gt;=BZ$46,BV23&lt;&gt;"",BR23=""),AND(CY23&gt;=DC$42,CZ23&gt;=DC$46,CY23&lt;&gt;"",CU23=""),AND(EC23&gt;=EG$42,ED23&gt;=EG$46,EC23&lt;&gt;""),AND(FE23&gt;=FI$42,FF23&gt;=FI$46,FE23&lt;&gt;""),AND(GG23&gt;=GK$42,GH23&gt;=GK$46,GG23&lt;&gt;""),AND(HI23&gt;=HM$42,HJ23&gt;=HM$46,HI23&lt;&gt;""),AND(IK23&gt;=IO$42,IL23&gt;=IO$46,IK23&lt;&gt;""),AND(JM23&gt;=JQ$42,JN23&gt;=JQ$46,JM23&lt;&gt;""),AND(KO23&gt;=KS$42,KP23&gt;=KS$46,KO23&lt;&gt;""),AND(LQ23&gt;=LU$42,LR23&gt;=LU$46,LQ23&lt;&gt;""),AND(MS23&gt;=MW$42,MT23&gt;=MW$46,MS23&lt;&gt;""),AND(NU23&gt;=NY$42,NV23&gt;=NY$46,NU23&lt;&gt;""),AND(OW23&gt;=PA$42,OX23&gt;=PA$46,OW23&lt;&gt;""),AND(PY23&gt;=QC$42,PZ23&gt;=QC$46,PY23&lt;&gt;"")),"P","")</f>
        <v/>
      </c>
      <c r="L23" s="8">
        <f>IF(COUNT(AQ23,BT23,CW23)&gt;0,LARGE((AQ23,BT23,CW23),1),0)</f>
        <v>51.2</v>
      </c>
      <c r="M23" s="8" t="str">
        <f t="shared" si="1"/>
        <v>2025 Nationals</v>
      </c>
      <c r="N23" s="8">
        <f>IF(COUNT(AQ23,BT23,CW23)&gt;1,LARGE((AQ23,BT23,CW23),2),0)</f>
        <v>50.099999999999994</v>
      </c>
      <c r="O23" s="8" t="str">
        <f t="shared" si="2"/>
        <v>2025 Elite Canada</v>
      </c>
      <c r="P23" s="8">
        <f t="shared" si="3"/>
        <v>50.5</v>
      </c>
      <c r="Q23" s="8" t="str">
        <f t="shared" si="4"/>
        <v>2025 Elite Canada</v>
      </c>
      <c r="R23" s="8" t="str">
        <f t="shared" si="5"/>
        <v/>
      </c>
      <c r="S23" s="11" t="str">
        <f t="shared" si="6"/>
        <v/>
      </c>
      <c r="T23" s="8" t="str">
        <f t="shared" si="7"/>
        <v/>
      </c>
      <c r="U23" s="19">
        <v>19</v>
      </c>
      <c r="V23" s="19">
        <v>7.2</v>
      </c>
      <c r="W23" s="19">
        <v>0</v>
      </c>
      <c r="X23" s="19">
        <v>0</v>
      </c>
      <c r="Y23" s="19">
        <v>17.3</v>
      </c>
      <c r="Z23" s="19">
        <v>3.2</v>
      </c>
      <c r="AA23" s="19">
        <v>0</v>
      </c>
      <c r="AB23" s="19">
        <v>0</v>
      </c>
      <c r="AC23" s="19">
        <v>16.8</v>
      </c>
      <c r="AD23" s="19">
        <v>6.9</v>
      </c>
      <c r="AE23" s="19">
        <v>0.2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8"/>
        <v>10.4</v>
      </c>
      <c r="AQ23" s="40">
        <f t="shared" si="9"/>
        <v>46.7</v>
      </c>
      <c r="AR23" s="40">
        <f t="shared" si="10"/>
        <v>23.500000000000004</v>
      </c>
      <c r="AS23" s="40">
        <f t="shared" si="11"/>
        <v>17.3</v>
      </c>
      <c r="AT23" s="40">
        <f t="shared" si="12"/>
        <v>70.2</v>
      </c>
      <c r="AU23" s="40" t="str">
        <f t="shared" si="13"/>
        <v/>
      </c>
      <c r="AV23" s="40" t="str">
        <f t="shared" si="14"/>
        <v/>
      </c>
      <c r="AW23" s="40">
        <f t="shared" si="15"/>
        <v>70.2</v>
      </c>
      <c r="AX23" s="18">
        <v>18.600000000000001</v>
      </c>
      <c r="AY23" s="18">
        <v>7.2</v>
      </c>
      <c r="AZ23" s="18">
        <v>0.8</v>
      </c>
      <c r="BA23" s="18">
        <v>0</v>
      </c>
      <c r="BB23" s="18">
        <v>18.5</v>
      </c>
      <c r="BC23" s="18">
        <v>6.8</v>
      </c>
      <c r="BD23" s="18">
        <v>0.2</v>
      </c>
      <c r="BE23" s="18">
        <v>0</v>
      </c>
      <c r="BF23" s="18"/>
      <c r="BG23" s="18"/>
      <c r="BH23" s="18"/>
      <c r="BI23" s="18"/>
      <c r="BJ23" s="18">
        <v>19.2</v>
      </c>
      <c r="BK23" s="18">
        <v>7.2</v>
      </c>
      <c r="BL23" s="18">
        <v>0</v>
      </c>
      <c r="BM23" s="18">
        <v>0</v>
      </c>
      <c r="BN23" s="18">
        <v>18.100000000000001</v>
      </c>
      <c r="BO23" s="18">
        <v>6.8</v>
      </c>
      <c r="BP23" s="18">
        <v>0.8</v>
      </c>
      <c r="BQ23" s="18">
        <v>0</v>
      </c>
      <c r="BR23" s="28"/>
      <c r="BS23" s="11">
        <f t="shared" si="16"/>
        <v>14</v>
      </c>
      <c r="BT23" s="11">
        <f t="shared" si="17"/>
        <v>50.099999999999994</v>
      </c>
      <c r="BU23" s="11" t="str">
        <f t="shared" si="18"/>
        <v/>
      </c>
      <c r="BV23" s="11">
        <f t="shared" si="19"/>
        <v>14</v>
      </c>
      <c r="BW23" s="11">
        <f t="shared" si="20"/>
        <v>50.099999999999994</v>
      </c>
      <c r="BX23" s="11">
        <f t="shared" si="21"/>
        <v>14</v>
      </c>
      <c r="BY23" s="11">
        <f t="shared" si="22"/>
        <v>50.5</v>
      </c>
      <c r="BZ23" s="11">
        <f t="shared" si="23"/>
        <v>100.6</v>
      </c>
      <c r="CA23" s="19">
        <v>18.8</v>
      </c>
      <c r="CB23" s="19">
        <v>8</v>
      </c>
      <c r="CC23" s="19">
        <v>0</v>
      </c>
      <c r="CD23" s="19">
        <v>0.3</v>
      </c>
      <c r="CE23" s="19">
        <v>18.100000000000001</v>
      </c>
      <c r="CF23" s="19">
        <v>6.8</v>
      </c>
      <c r="CG23" s="19">
        <v>0.8</v>
      </c>
      <c r="CH23" s="19">
        <v>0</v>
      </c>
      <c r="CI23" s="19"/>
      <c r="CJ23" s="19"/>
      <c r="CK23" s="19"/>
      <c r="CL23" s="19"/>
      <c r="CM23" s="19">
        <v>15.4</v>
      </c>
      <c r="CN23" s="19">
        <v>2.8</v>
      </c>
      <c r="CO23" s="19">
        <v>0</v>
      </c>
      <c r="CP23" s="19">
        <v>0</v>
      </c>
      <c r="CQ23" s="19">
        <v>18.7</v>
      </c>
      <c r="CR23" s="19">
        <v>6.8</v>
      </c>
      <c r="CS23" s="19">
        <v>0.2</v>
      </c>
      <c r="CT23" s="19">
        <v>0</v>
      </c>
      <c r="CU23" s="27"/>
      <c r="CV23" s="40">
        <f t="shared" si="24"/>
        <v>14.8</v>
      </c>
      <c r="CW23" s="40">
        <f t="shared" si="25"/>
        <v>51.2</v>
      </c>
      <c r="CX23" s="40" t="str">
        <f t="shared" si="26"/>
        <v/>
      </c>
      <c r="CY23" s="40">
        <f t="shared" si="27"/>
        <v>14.8</v>
      </c>
      <c r="CZ23" s="40">
        <f t="shared" si="28"/>
        <v>51.2</v>
      </c>
      <c r="DA23" s="40">
        <f t="shared" si="29"/>
        <v>9.6</v>
      </c>
      <c r="DB23" s="40">
        <f t="shared" si="30"/>
        <v>43.499999999999993</v>
      </c>
      <c r="DC23" s="40">
        <f t="shared" si="31"/>
        <v>94.699999999999989</v>
      </c>
      <c r="DD23" s="50" t="str">
        <f t="shared" si="32"/>
        <v/>
      </c>
      <c r="DE23" s="50" t="str">
        <f t="shared" si="33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4"/>
        <v/>
      </c>
      <c r="EA23" s="40" t="str">
        <f t="shared" si="35"/>
        <v/>
      </c>
      <c r="EB23" s="40" t="str">
        <f t="shared" si="36"/>
        <v/>
      </c>
      <c r="EC23" s="40" t="str">
        <f t="shared" si="37"/>
        <v/>
      </c>
      <c r="ED23" s="40" t="str">
        <f t="shared" si="38"/>
        <v/>
      </c>
      <c r="EE23" s="40" t="str">
        <f t="shared" si="39"/>
        <v/>
      </c>
      <c r="EF23" s="40" t="str">
        <f t="shared" si="40"/>
        <v/>
      </c>
      <c r="EG23" s="40" t="str">
        <f t="shared" si="41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2"/>
        <v/>
      </c>
      <c r="FC23" s="11" t="str">
        <f t="shared" si="43"/>
        <v/>
      </c>
      <c r="FD23" s="11" t="str">
        <f t="shared" si="44"/>
        <v/>
      </c>
      <c r="FE23" s="11" t="str">
        <f t="shared" si="45"/>
        <v/>
      </c>
      <c r="FF23" s="11" t="str">
        <f t="shared" si="46"/>
        <v/>
      </c>
      <c r="FG23" s="11" t="str">
        <f t="shared" si="47"/>
        <v/>
      </c>
      <c r="FH23" s="11" t="str">
        <f t="shared" si="48"/>
        <v/>
      </c>
      <c r="FI23" s="11" t="str">
        <f t="shared" si="49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0"/>
        <v/>
      </c>
      <c r="GE23" s="40" t="str">
        <f t="shared" si="51"/>
        <v/>
      </c>
      <c r="GF23" s="40" t="str">
        <f t="shared" si="52"/>
        <v/>
      </c>
      <c r="GG23" s="40" t="str">
        <f t="shared" si="53"/>
        <v/>
      </c>
      <c r="GH23" s="40" t="str">
        <f t="shared" si="54"/>
        <v/>
      </c>
      <c r="GI23" s="40" t="str">
        <f t="shared" si="55"/>
        <v/>
      </c>
      <c r="GJ23" s="40" t="str">
        <f t="shared" si="56"/>
        <v/>
      </c>
      <c r="GK23" s="40" t="str">
        <f t="shared" si="57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58"/>
        <v/>
      </c>
      <c r="HG23" s="11" t="str">
        <f t="shared" si="59"/>
        <v/>
      </c>
      <c r="HH23" s="11" t="str">
        <f t="shared" si="60"/>
        <v/>
      </c>
      <c r="HI23" s="11" t="str">
        <f t="shared" si="61"/>
        <v/>
      </c>
      <c r="HJ23" s="11" t="str">
        <f t="shared" si="62"/>
        <v/>
      </c>
      <c r="HK23" s="11" t="str">
        <f t="shared" si="63"/>
        <v/>
      </c>
      <c r="HL23" s="11" t="str">
        <f t="shared" si="64"/>
        <v/>
      </c>
      <c r="HM23" s="11" t="str">
        <f t="shared" si="65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66"/>
        <v/>
      </c>
      <c r="II23" s="40" t="str">
        <f t="shared" si="67"/>
        <v/>
      </c>
      <c r="IJ23" s="40" t="str">
        <f t="shared" si="68"/>
        <v/>
      </c>
      <c r="IK23" s="40" t="str">
        <f t="shared" si="69"/>
        <v/>
      </c>
      <c r="IL23" s="40" t="str">
        <f t="shared" si="70"/>
        <v/>
      </c>
      <c r="IM23" s="40" t="str">
        <f t="shared" si="71"/>
        <v/>
      </c>
      <c r="IN23" s="40" t="str">
        <f t="shared" si="72"/>
        <v/>
      </c>
      <c r="IO23" s="40" t="str">
        <f t="shared" si="73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4"/>
        <v/>
      </c>
      <c r="JK23" s="11" t="str">
        <f t="shared" si="75"/>
        <v/>
      </c>
      <c r="JL23" s="11" t="str">
        <f t="shared" si="76"/>
        <v/>
      </c>
      <c r="JM23" s="11" t="str">
        <f t="shared" si="77"/>
        <v/>
      </c>
      <c r="JN23" s="11" t="str">
        <f t="shared" si="78"/>
        <v/>
      </c>
      <c r="JO23" s="11" t="str">
        <f t="shared" si="79"/>
        <v/>
      </c>
      <c r="JP23" s="11" t="str">
        <f t="shared" si="80"/>
        <v/>
      </c>
      <c r="JQ23" s="11" t="str">
        <f t="shared" si="81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2"/>
        <v/>
      </c>
      <c r="KM23" s="40" t="str">
        <f t="shared" si="83"/>
        <v/>
      </c>
      <c r="KN23" s="40" t="str">
        <f t="shared" si="84"/>
        <v/>
      </c>
      <c r="KO23" s="40" t="str">
        <f t="shared" si="85"/>
        <v/>
      </c>
      <c r="KP23" s="40" t="str">
        <f t="shared" si="86"/>
        <v/>
      </c>
      <c r="KQ23" s="40" t="str">
        <f t="shared" si="87"/>
        <v/>
      </c>
      <c r="KR23" s="40" t="str">
        <f t="shared" si="88"/>
        <v/>
      </c>
      <c r="KS23" s="40" t="str">
        <f t="shared" si="89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0"/>
        <v/>
      </c>
      <c r="LO23" s="11" t="str">
        <f t="shared" si="91"/>
        <v/>
      </c>
      <c r="LP23" s="11" t="str">
        <f t="shared" si="92"/>
        <v/>
      </c>
      <c r="LQ23" s="11" t="str">
        <f t="shared" si="93"/>
        <v/>
      </c>
      <c r="LR23" s="11" t="str">
        <f t="shared" si="94"/>
        <v/>
      </c>
      <c r="LS23" s="11" t="str">
        <f t="shared" si="95"/>
        <v/>
      </c>
      <c r="LT23" s="11" t="str">
        <f t="shared" si="96"/>
        <v/>
      </c>
      <c r="LU23" s="11" t="str">
        <f t="shared" si="97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98"/>
        <v/>
      </c>
      <c r="MQ23" s="40" t="str">
        <f t="shared" si="99"/>
        <v/>
      </c>
      <c r="MR23" s="40" t="str">
        <f t="shared" si="100"/>
        <v/>
      </c>
      <c r="MS23" s="40" t="str">
        <f t="shared" si="101"/>
        <v/>
      </c>
      <c r="MT23" s="40" t="str">
        <f t="shared" si="102"/>
        <v/>
      </c>
      <c r="MU23" s="40" t="str">
        <f t="shared" si="103"/>
        <v/>
      </c>
      <c r="MV23" s="40" t="str">
        <f t="shared" si="104"/>
        <v/>
      </c>
      <c r="MW23" s="40" t="str">
        <f t="shared" si="105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06"/>
        <v/>
      </c>
      <c r="NS23" s="11" t="str">
        <f t="shared" si="107"/>
        <v/>
      </c>
      <c r="NT23" s="11" t="str">
        <f t="shared" si="108"/>
        <v/>
      </c>
      <c r="NU23" s="11" t="str">
        <f t="shared" si="109"/>
        <v/>
      </c>
      <c r="NV23" s="11" t="str">
        <f t="shared" si="110"/>
        <v/>
      </c>
      <c r="NW23" s="11" t="str">
        <f t="shared" si="111"/>
        <v/>
      </c>
      <c r="NX23" s="11" t="str">
        <f t="shared" si="112"/>
        <v/>
      </c>
      <c r="NY23" s="11" t="str">
        <f t="shared" si="113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4"/>
        <v/>
      </c>
      <c r="OU23" s="40" t="str">
        <f t="shared" si="115"/>
        <v/>
      </c>
      <c r="OV23" s="40" t="str">
        <f t="shared" si="116"/>
        <v/>
      </c>
      <c r="OW23" s="40" t="str">
        <f t="shared" si="117"/>
        <v/>
      </c>
      <c r="OX23" s="40" t="str">
        <f t="shared" si="118"/>
        <v/>
      </c>
      <c r="OY23" s="40" t="str">
        <f t="shared" si="119"/>
        <v/>
      </c>
      <c r="OZ23" s="40" t="str">
        <f t="shared" si="120"/>
        <v/>
      </c>
      <c r="PA23" s="40" t="str">
        <f t="shared" si="121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2"/>
        <v/>
      </c>
      <c r="PW23" s="11" t="str">
        <f t="shared" si="123"/>
        <v/>
      </c>
      <c r="PX23" s="11" t="str">
        <f t="shared" si="124"/>
        <v/>
      </c>
      <c r="PY23" s="11" t="str">
        <f t="shared" si="125"/>
        <v/>
      </c>
      <c r="PZ23" s="11" t="str">
        <f t="shared" si="126"/>
        <v/>
      </c>
      <c r="QA23" s="11" t="str">
        <f t="shared" si="127"/>
        <v/>
      </c>
      <c r="QB23" s="11" t="str">
        <f t="shared" si="128"/>
        <v/>
      </c>
      <c r="QC23" s="11" t="str">
        <f t="shared" si="129"/>
        <v/>
      </c>
      <c r="QD23" s="22">
        <f t="shared" si="130"/>
        <v>18.700000000000003</v>
      </c>
      <c r="QE23" s="22">
        <f t="shared" si="131"/>
        <v>7.6</v>
      </c>
      <c r="QF23" s="22">
        <f t="shared" si="132"/>
        <v>0.4</v>
      </c>
      <c r="QG23" s="22">
        <f t="shared" si="133"/>
        <v>0.15</v>
      </c>
      <c r="QH23" s="22">
        <f t="shared" si="134"/>
        <v>18.3</v>
      </c>
      <c r="QI23" s="22">
        <f t="shared" si="135"/>
        <v>6.8</v>
      </c>
      <c r="QJ23" s="22">
        <f t="shared" si="136"/>
        <v>0.5</v>
      </c>
      <c r="QK23" s="22">
        <f t="shared" si="137"/>
        <v>0</v>
      </c>
      <c r="QL23" s="22">
        <f t="shared" si="138"/>
        <v>0</v>
      </c>
      <c r="QM23" s="22">
        <f t="shared" si="139"/>
        <v>0</v>
      </c>
      <c r="QN23" s="22">
        <f t="shared" si="140"/>
        <v>0</v>
      </c>
      <c r="QO23" s="22">
        <f t="shared" si="141"/>
        <v>0</v>
      </c>
      <c r="QP23" s="22">
        <f t="shared" si="142"/>
        <v>17.3</v>
      </c>
      <c r="QQ23" s="22">
        <f t="shared" si="143"/>
        <v>5</v>
      </c>
      <c r="QR23" s="22">
        <f t="shared" si="144"/>
        <v>0</v>
      </c>
      <c r="QS23" s="22">
        <f t="shared" si="145"/>
        <v>0</v>
      </c>
      <c r="QT23" s="22">
        <f t="shared" si="146"/>
        <v>18.399999999999999</v>
      </c>
      <c r="QU23" s="22">
        <f t="shared" si="147"/>
        <v>6.8</v>
      </c>
      <c r="QV23" s="22">
        <f t="shared" si="148"/>
        <v>0.5</v>
      </c>
      <c r="QW23" s="22">
        <f t="shared" si="149"/>
        <v>0</v>
      </c>
      <c r="QX23" s="27" t="s">
        <v>46</v>
      </c>
      <c r="QY23" s="40">
        <f t="shared" si="150"/>
        <v>14.399999999999999</v>
      </c>
      <c r="QZ23" s="40">
        <f t="shared" si="151"/>
        <v>50.65</v>
      </c>
      <c r="RA23" s="40" t="str">
        <f t="shared" si="152"/>
        <v/>
      </c>
      <c r="RB23" s="40">
        <f t="shared" si="153"/>
        <v>14.399999999999999</v>
      </c>
      <c r="RC23" s="40">
        <f t="shared" si="154"/>
        <v>50.65</v>
      </c>
      <c r="RD23" s="40">
        <f t="shared" si="155"/>
        <v>11.8</v>
      </c>
      <c r="RE23" s="40">
        <f t="shared" si="156"/>
        <v>47</v>
      </c>
      <c r="RF23" s="40">
        <f t="shared" si="157"/>
        <v>97.65</v>
      </c>
    </row>
    <row r="24" spans="1:474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190</v>
      </c>
      <c r="D24" s="4" t="s">
        <v>3</v>
      </c>
      <c r="E24" s="4">
        <v>2008</v>
      </c>
      <c r="F24" s="9">
        <f t="shared" si="0"/>
        <v>141.8000093100047</v>
      </c>
      <c r="H24" s="3" t="str">
        <f>IF(OR(AND(AP24&gt;=AW$41,AQ24&gt;=AW$45,AP24&lt;&gt;"",AO24=""),AND(AU24&gt;=AW$41,AV24&gt;=AW$45,AU24&lt;&gt;"",AO24=""),AND(BS24&gt;=BZ$41,BT24&gt;=BZ$45,BS24&lt;&gt;"",BR24=""),AND(BX24&gt;=BZ$41,BY24&gt;=BZ$45,BX24&lt;&gt;"",BR24=""),AND(CV24&gt;=DC$41,CW24&gt;=DC$45,CV24&lt;&gt;"",CU24=""),AND(DA24&gt;=DC$41,DB24&gt;=DC$45,DA24&lt;&gt;""),AND(DZ24&gt;=EG$41,EA24&gt;=EG$45,DZ24&lt;&gt;""),AND(EE24&gt;=EG$41,EF24&gt;=EG$45,EE24&lt;&gt;""),AND(FB24&gt;=FI$41,FC24&gt;=FI$45,FB24&lt;&gt;""),AND(FG24&gt;=FI$41,FH24&gt;=FI$45,FG24&lt;&gt;""),AND(GD24&gt;=GK$41,GE24&gt;=GK$45,GD24&lt;&gt;""),AND(GI24&gt;=GK$41,GJ24&gt;=GK$45,GI24&lt;&gt;""),AND(HF24&gt;=HM$41,HG24&gt;=HM$45,HF24&lt;&gt;""),AND(HK24&gt;=HM$41,HL24&gt;=HM$45,HK24&lt;&gt;""),AND(IH24&gt;=IO$41,II24&gt;=IO$45,IH24&lt;&gt;""),AND(IM24&gt;=IO$41,IN24&gt;=IO$45,IM24&lt;&gt;""),AND(JJ24&gt;=JQ$41,JK24&gt;=JQ$45,JJ24&lt;&gt;""),AND(JO24&gt;=JQ$41,JP24&gt;=JQ$45,JO24&lt;&gt;""),AND(KL24&gt;=KS$41,KM24&gt;=KS$45,KL24&lt;&gt;""),AND(KQ24&gt;=KS$41,KR24&gt;=KS$45,KQ24&lt;&gt;""),AND(LN24&gt;=LU$41,LO24&gt;=LU$45,LN24&lt;&gt;""),AND(LS24&gt;=LU$41,LT24&gt;=LU$45,LS24&lt;&gt;""),AND(MP24&gt;=MW$41,MQ24&gt;=MW$45,MP24&lt;&gt;""),AND(MU24&gt;=MW$41,MV24&gt;=MW$45,MU24&lt;&gt;""),AND(NR24&gt;=NY$41,NS24&gt;=NY$45,NR24&lt;&gt;""),AND(NW24&gt;=NY$41,NX24&gt;=NY$45,NW24&lt;&gt;""),AND(OT24&gt;=PA$41,OU24&gt;=PA$45,OT24&lt;&gt;""),AND(OY24&gt;=PA$41,OZ24&gt;=PA$45,OY24&lt;&gt;""),AND(PV24&gt;=QC$41,PW24&gt;=QC$45,PV24&lt;&gt;""),AND(QA24&gt;=QC$41,QB24&gt;=QC$45,QA24&lt;&gt;"")),"P","")</f>
        <v/>
      </c>
      <c r="I24" s="3" t="str">
        <f>IF(OR(AND(AQ24&gt;=AW$45,AQ24&lt;&gt;"",AO24=""),AND(AV24&gt;=AW$45,AV24&lt;&gt;"",AO24=""),AND(BT24&gt;=BZ$45,BT24&lt;&gt;"",BR24=""),AND(BY24&gt;=BZ$45,BY24&lt;&gt;"",BR24=""),AND(CW24&gt;=DC$45,CW24&lt;&gt;"",CU24=""),AND(DB24&gt;=DC$45,DB24&lt;&gt;"",CU24=""),AND(EA24&gt;=EG$45,EA24&lt;&gt;""),AND(EF24&gt;=EG$45,EF24&lt;&gt;""),AND(FC24&gt;=FI$45,FC24&lt;&gt;""),AND(FH24&gt;=FI$45,FH24&lt;&gt;""),AND(GE24&gt;=GK$45,GE24&lt;&gt;""),AND(GJ24&gt;=GK$45,GJ24&lt;&gt;""),AND(HG24&gt;=HM$45,HG24&lt;&gt;""),AND(HL24&gt;=HM$45,HL24&lt;&gt;""),AND(II24&gt;=IO$45,II24&lt;&gt;""),AND(IN24&gt;=IO$45,IN24&lt;&gt;""),AND(JK24&gt;=JQ$45,JK24&lt;&gt;""),AND(JP24&gt;=JQ$45,JP24&lt;&gt;""),AND(KM24&gt;=KS$45,KM24&lt;&gt;""),AND(KR24&gt;=KS$45,KR24&lt;&gt;""),AND(LO24&gt;=LU$45,LO24&lt;&gt;""),AND(LT24&gt;=LU$45,LT24&lt;&gt;""),AND(MQ24&gt;=MW$45,MQ24&lt;&gt;""),AND(MV24&gt;=MW$45,MV24&lt;&gt;""),AND(NS24&gt;=NY$45,NS24&lt;&gt;""),AND(NX24&gt;=NY$45,NX24&lt;&gt;""),AND(OU24&gt;=PA$45,OU24&lt;&gt;""),AND(OZ24&gt;=PA$45,OZ24&lt;&gt;""),AND(PW24&gt;=QC$45,PW24&lt;&gt;""),AND(QB24&gt;=QC$45,QB24&lt;&gt;"")),"P","")</f>
        <v/>
      </c>
      <c r="J24" s="36" t="str">
        <f>IF(AND(I24="P",H24=""),"No DD",IF(OR(AND(AS24&gt;=AW$44,AT24&gt;=AW$48,AS24&lt;&gt;"",AO24=""),AND(BV24&gt;=BZ$44,BW24&gt;=BZ$48,BV24&lt;&gt;"",BR24=""),AND(CY24&gt;=DC$44,CZ24&gt;=DC$48,CY24&lt;&gt;"",CU24=""),AND(EC24&gt;=EG$44,ED24&gt;=EG$48,EC24&lt;&gt;""),AND(FE24&gt;=FI$44,FF24&gt;=FI$48,FE24&lt;&gt;""),AND(GG24&gt;=GK$44,GH24&gt;=GK$48,GG24&lt;&gt;""),AND(HI24&gt;=HM$44,HJ24&gt;=HM$48,HI24&lt;&gt;""),AND(IK24&gt;=IO$44,IL24&gt;=IO$48,IK24&lt;&gt;""),AND(JM24&gt;=JQ$44,JN24&gt;=JQ$48,JM24&lt;&gt;""),AND(KO24&gt;=KS$44,KP24&gt;=KS$48,KO24&lt;&gt;""),AND(LQ24&gt;=LU$44,LR24&gt;=LU$48,LQ24&lt;&gt;""),AND(MS24&gt;=MW$44,MT24&gt;=MW$48,MS24&lt;&gt;""),AND(NU24&gt;=NY$44,NV24&gt;=NY$48,NU24&lt;&gt;""),AND(OW24&gt;=PA$44,OX24&gt;=PA$48,OW24&lt;&gt;""),AND(PY24&gt;=QC$44,PZ24&gt;=QC$48,PY24&lt;&gt;"")),"Merit",IF(OR(AND(AS24&gt;=AW$43,AT24&gt;=AW$47,AS24&lt;&gt;"",AO24=""),AND(BV24&gt;=BZ$43,BW24&gt;=BZ$47,BV24&lt;&gt;"",BR24=""),AND(CY24&gt;=DC$43,CZ24&gt;=DC$47,CY24&lt;&gt;"",CU24=""),AND(EC24&gt;=EG$43,ED24&gt;=EG$47,EC24&lt;&gt;""),AND(FE24&gt;=FI$43,FF24&gt;=FI$47,FE24&lt;&gt;""),AND(GG24&gt;=GK$43,GH24&gt;=GK$47,GG24&lt;&gt;""),AND(HI24&gt;=HM$43,HJ24&gt;=HM$47,HI24&lt;&gt;""),AND(IK24&gt;=IO$43,IL24&gt;=IO$47,IK24&lt;&gt;""),AND(JM24&gt;=JQ$43,JN24&gt;=JQ$47,JM24&lt;&gt;""),AND(KO24&gt;=KS$43,KP24&gt;=KS$47,KO24&lt;&gt;""),AND(LQ24&gt;=LU$43,LR24&gt;=LU$47,LQ24&lt;&gt;""),AND(MS24&gt;=MW$43,MT24&gt;=MW$47,MS24&lt;&gt;""),AND(NU24&gt;=NY$43,NV24&gt;=NY$47,NU24&lt;&gt;""),AND(OW24&gt;=PA$43,OX24&gt;=PA$47,OW24&lt;&gt;""),AND(PY24&gt;=QC$43,PZ24&gt;=QC$47,PY24&lt;&gt;"")),"Excellence",IF(K24="P","Worlds Team",IF(H24="P","National Team","")))))</f>
        <v/>
      </c>
      <c r="K24" s="3" t="str">
        <f>IF(OR(AND(AS24&gt;=AW$42,AT24&gt;=AW$46,AS24&lt;&gt;"",AO24=""),AND(BV24&gt;=BZ$42,BW24&gt;=BZ$46,BV24&lt;&gt;"",BR24=""),AND(CY24&gt;=DC$42,CZ24&gt;=DC$46,CY24&lt;&gt;"",CU24=""),AND(EC24&gt;=EG$42,ED24&gt;=EG$46,EC24&lt;&gt;""),AND(FE24&gt;=FI$42,FF24&gt;=FI$46,FE24&lt;&gt;""),AND(GG24&gt;=GK$42,GH24&gt;=GK$46,GG24&lt;&gt;""),AND(HI24&gt;=HM$42,HJ24&gt;=HM$46,HI24&lt;&gt;""),AND(IK24&gt;=IO$42,IL24&gt;=IO$46,IK24&lt;&gt;""),AND(JM24&gt;=JQ$42,JN24&gt;=JQ$46,JM24&lt;&gt;""),AND(KO24&gt;=KS$42,KP24&gt;=KS$46,KO24&lt;&gt;""),AND(LQ24&gt;=LU$42,LR24&gt;=LU$46,LQ24&lt;&gt;""),AND(MS24&gt;=MW$42,MT24&gt;=MW$46,MS24&lt;&gt;""),AND(NU24&gt;=NY$42,NV24&gt;=NY$46,NU24&lt;&gt;""),AND(OW24&gt;=PA$42,OX24&gt;=PA$46,OW24&lt;&gt;""),AND(PY24&gt;=QC$42,PZ24&gt;=QC$46,PY24&lt;&gt;"")),"P","")</f>
        <v/>
      </c>
      <c r="L24" s="8">
        <f>IF(COUNT(AQ24,BT24,CW24)&gt;0,LARGE((AQ24,BT24,CW24),1),0)</f>
        <v>46.9</v>
      </c>
      <c r="M24" s="8" t="str">
        <f t="shared" si="1"/>
        <v>2024 3rd Domestic Trial</v>
      </c>
      <c r="N24" s="8">
        <f>IF(COUNT(AQ24,BT24,CW24)&gt;1,LARGE((AQ24,BT24,CW24),2),0)</f>
        <v>46.20000000000001</v>
      </c>
      <c r="O24" s="8" t="str">
        <f t="shared" si="2"/>
        <v>2025 Nationals</v>
      </c>
      <c r="P24" s="8">
        <f t="shared" si="3"/>
        <v>48.699999999999996</v>
      </c>
      <c r="Q24" s="8" t="str">
        <f t="shared" si="4"/>
        <v>2025 Nationals</v>
      </c>
      <c r="R24" s="8" t="str">
        <f t="shared" si="5"/>
        <v/>
      </c>
      <c r="S24" s="11" t="str">
        <f t="shared" si="6"/>
        <v/>
      </c>
      <c r="T24" s="8" t="str">
        <f t="shared" si="7"/>
        <v/>
      </c>
      <c r="U24" s="19">
        <v>18</v>
      </c>
      <c r="V24" s="19">
        <v>5.6</v>
      </c>
      <c r="W24" s="19">
        <v>0.6</v>
      </c>
      <c r="X24" s="19">
        <v>0</v>
      </c>
      <c r="Y24" s="19">
        <v>18.7</v>
      </c>
      <c r="Z24" s="19">
        <v>5.2</v>
      </c>
      <c r="AA24" s="19">
        <v>0</v>
      </c>
      <c r="AB24" s="19">
        <v>0</v>
      </c>
      <c r="AC24" s="19"/>
      <c r="AD24" s="19"/>
      <c r="AE24" s="19"/>
      <c r="AF24" s="19"/>
      <c r="AG24" s="19">
        <v>18.399999999999999</v>
      </c>
      <c r="AH24" s="19">
        <v>4.3</v>
      </c>
      <c r="AI24" s="19">
        <v>0.2</v>
      </c>
      <c r="AJ24" s="19">
        <v>0</v>
      </c>
      <c r="AK24" s="19">
        <v>18.7</v>
      </c>
      <c r="AL24" s="19">
        <v>4.8</v>
      </c>
      <c r="AM24" s="19">
        <v>0</v>
      </c>
      <c r="AN24" s="19">
        <v>0</v>
      </c>
      <c r="AO24" s="27"/>
      <c r="AP24" s="40">
        <f t="shared" si="8"/>
        <v>10.8</v>
      </c>
      <c r="AQ24" s="40">
        <f t="shared" si="9"/>
        <v>46.9</v>
      </c>
      <c r="AR24" s="40" t="str">
        <f t="shared" si="10"/>
        <v/>
      </c>
      <c r="AS24" s="40">
        <f t="shared" si="11"/>
        <v>10.8</v>
      </c>
      <c r="AT24" s="40">
        <f t="shared" si="12"/>
        <v>46.9</v>
      </c>
      <c r="AU24" s="40">
        <f t="shared" si="13"/>
        <v>9.1</v>
      </c>
      <c r="AV24" s="40">
        <f t="shared" si="14"/>
        <v>45.999999999999993</v>
      </c>
      <c r="AW24" s="40">
        <f t="shared" si="15"/>
        <v>92.899999999999991</v>
      </c>
      <c r="AX24" s="18">
        <v>15.4</v>
      </c>
      <c r="AY24" s="18">
        <v>2.4</v>
      </c>
      <c r="AZ24" s="18">
        <v>0</v>
      </c>
      <c r="BA24" s="18">
        <v>0</v>
      </c>
      <c r="BB24" s="18">
        <v>15.3</v>
      </c>
      <c r="BC24" s="18">
        <v>2.8</v>
      </c>
      <c r="BD24" s="18">
        <v>0</v>
      </c>
      <c r="BE24" s="18">
        <v>0</v>
      </c>
      <c r="BF24" s="18"/>
      <c r="BG24" s="18"/>
      <c r="BH24" s="18"/>
      <c r="BI24" s="18"/>
      <c r="BJ24" s="18">
        <v>18.2</v>
      </c>
      <c r="BK24" s="18">
        <v>6</v>
      </c>
      <c r="BL24" s="18">
        <v>0.6</v>
      </c>
      <c r="BM24" s="18">
        <v>0</v>
      </c>
      <c r="BN24" s="18">
        <v>15.4</v>
      </c>
      <c r="BO24" s="18">
        <v>2.8</v>
      </c>
      <c r="BP24" s="18">
        <v>0</v>
      </c>
      <c r="BQ24" s="18">
        <v>0</v>
      </c>
      <c r="BR24" s="28"/>
      <c r="BS24" s="11">
        <f t="shared" si="16"/>
        <v>5.1999999999999993</v>
      </c>
      <c r="BT24" s="11">
        <f t="shared" si="17"/>
        <v>35.9</v>
      </c>
      <c r="BU24" s="11" t="str">
        <f t="shared" si="18"/>
        <v/>
      </c>
      <c r="BV24" s="11">
        <f t="shared" si="19"/>
        <v>5.1999999999999993</v>
      </c>
      <c r="BW24" s="11">
        <f t="shared" si="20"/>
        <v>35.9</v>
      </c>
      <c r="BX24" s="11">
        <f t="shared" si="21"/>
        <v>8.8000000000000007</v>
      </c>
      <c r="BY24" s="11">
        <f t="shared" si="22"/>
        <v>41.8</v>
      </c>
      <c r="BZ24" s="11">
        <f t="shared" si="23"/>
        <v>77.699999999999989</v>
      </c>
      <c r="CA24" s="19">
        <v>16.5</v>
      </c>
      <c r="CB24" s="19">
        <v>6.8</v>
      </c>
      <c r="CC24" s="19">
        <v>0.8</v>
      </c>
      <c r="CD24" s="19">
        <v>0</v>
      </c>
      <c r="CE24" s="19">
        <v>18.100000000000001</v>
      </c>
      <c r="CF24" s="19">
        <v>6.4</v>
      </c>
      <c r="CG24" s="19">
        <v>0.8</v>
      </c>
      <c r="CH24" s="19">
        <v>0</v>
      </c>
      <c r="CI24" s="19"/>
      <c r="CJ24" s="19"/>
      <c r="CK24" s="19"/>
      <c r="CL24" s="19"/>
      <c r="CM24" s="19">
        <v>18.3</v>
      </c>
      <c r="CN24" s="19">
        <v>6.8</v>
      </c>
      <c r="CO24" s="19">
        <v>0.8</v>
      </c>
      <c r="CP24" s="19">
        <v>0</v>
      </c>
      <c r="CQ24" s="19">
        <v>18.2</v>
      </c>
      <c r="CR24" s="19">
        <v>6.4</v>
      </c>
      <c r="CS24" s="19">
        <v>0.2</v>
      </c>
      <c r="CT24" s="19">
        <v>0</v>
      </c>
      <c r="CU24" s="27"/>
      <c r="CV24" s="40">
        <f t="shared" si="24"/>
        <v>13.2</v>
      </c>
      <c r="CW24" s="40">
        <f t="shared" si="25"/>
        <v>46.20000000000001</v>
      </c>
      <c r="CX24" s="40" t="str">
        <f t="shared" si="26"/>
        <v/>
      </c>
      <c r="CY24" s="40">
        <f t="shared" si="27"/>
        <v>13.2</v>
      </c>
      <c r="CZ24" s="40">
        <f t="shared" si="28"/>
        <v>46.20000000000001</v>
      </c>
      <c r="DA24" s="40">
        <f t="shared" si="29"/>
        <v>13.2</v>
      </c>
      <c r="DB24" s="40">
        <f t="shared" si="30"/>
        <v>48.699999999999996</v>
      </c>
      <c r="DC24" s="40">
        <f t="shared" si="31"/>
        <v>94.9</v>
      </c>
      <c r="DD24" s="50" t="str">
        <f t="shared" si="32"/>
        <v/>
      </c>
      <c r="DE24" s="50" t="str">
        <f t="shared" si="33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4"/>
        <v/>
      </c>
      <c r="EA24" s="40" t="str">
        <f t="shared" si="35"/>
        <v/>
      </c>
      <c r="EB24" s="40" t="str">
        <f t="shared" si="36"/>
        <v/>
      </c>
      <c r="EC24" s="40" t="str">
        <f t="shared" si="37"/>
        <v/>
      </c>
      <c r="ED24" s="40" t="str">
        <f t="shared" si="38"/>
        <v/>
      </c>
      <c r="EE24" s="40" t="str">
        <f t="shared" si="39"/>
        <v/>
      </c>
      <c r="EF24" s="40" t="str">
        <f t="shared" si="40"/>
        <v/>
      </c>
      <c r="EG24" s="40" t="str">
        <f t="shared" si="41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2"/>
        <v/>
      </c>
      <c r="FC24" s="11" t="str">
        <f t="shared" si="43"/>
        <v/>
      </c>
      <c r="FD24" s="11" t="str">
        <f t="shared" si="44"/>
        <v/>
      </c>
      <c r="FE24" s="11" t="str">
        <f t="shared" si="45"/>
        <v/>
      </c>
      <c r="FF24" s="11" t="str">
        <f t="shared" si="46"/>
        <v/>
      </c>
      <c r="FG24" s="11" t="str">
        <f t="shared" si="47"/>
        <v/>
      </c>
      <c r="FH24" s="11" t="str">
        <f t="shared" si="48"/>
        <v/>
      </c>
      <c r="FI24" s="11" t="str">
        <f t="shared" si="49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0"/>
        <v/>
      </c>
      <c r="GE24" s="40" t="str">
        <f t="shared" si="51"/>
        <v/>
      </c>
      <c r="GF24" s="40" t="str">
        <f t="shared" si="52"/>
        <v/>
      </c>
      <c r="GG24" s="40" t="str">
        <f t="shared" si="53"/>
        <v/>
      </c>
      <c r="GH24" s="40" t="str">
        <f t="shared" si="54"/>
        <v/>
      </c>
      <c r="GI24" s="40" t="str">
        <f t="shared" si="55"/>
        <v/>
      </c>
      <c r="GJ24" s="40" t="str">
        <f t="shared" si="56"/>
        <v/>
      </c>
      <c r="GK24" s="40" t="str">
        <f t="shared" si="57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58"/>
        <v/>
      </c>
      <c r="HG24" s="11" t="str">
        <f t="shared" si="59"/>
        <v/>
      </c>
      <c r="HH24" s="11" t="str">
        <f t="shared" si="60"/>
        <v/>
      </c>
      <c r="HI24" s="11" t="str">
        <f t="shared" si="61"/>
        <v/>
      </c>
      <c r="HJ24" s="11" t="str">
        <f t="shared" si="62"/>
        <v/>
      </c>
      <c r="HK24" s="11" t="str">
        <f t="shared" si="63"/>
        <v/>
      </c>
      <c r="HL24" s="11" t="str">
        <f t="shared" si="64"/>
        <v/>
      </c>
      <c r="HM24" s="11" t="str">
        <f t="shared" si="65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66"/>
        <v/>
      </c>
      <c r="II24" s="40" t="str">
        <f t="shared" si="67"/>
        <v/>
      </c>
      <c r="IJ24" s="40" t="str">
        <f t="shared" si="68"/>
        <v/>
      </c>
      <c r="IK24" s="40" t="str">
        <f t="shared" si="69"/>
        <v/>
      </c>
      <c r="IL24" s="40" t="str">
        <f t="shared" si="70"/>
        <v/>
      </c>
      <c r="IM24" s="40" t="str">
        <f t="shared" si="71"/>
        <v/>
      </c>
      <c r="IN24" s="40" t="str">
        <f t="shared" si="72"/>
        <v/>
      </c>
      <c r="IO24" s="40" t="str">
        <f t="shared" si="73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4"/>
        <v/>
      </c>
      <c r="JK24" s="11" t="str">
        <f t="shared" si="75"/>
        <v/>
      </c>
      <c r="JL24" s="11" t="str">
        <f t="shared" si="76"/>
        <v/>
      </c>
      <c r="JM24" s="11" t="str">
        <f t="shared" si="77"/>
        <v/>
      </c>
      <c r="JN24" s="11" t="str">
        <f t="shared" si="78"/>
        <v/>
      </c>
      <c r="JO24" s="11" t="str">
        <f t="shared" si="79"/>
        <v/>
      </c>
      <c r="JP24" s="11" t="str">
        <f t="shared" si="80"/>
        <v/>
      </c>
      <c r="JQ24" s="11" t="str">
        <f t="shared" si="81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2"/>
        <v/>
      </c>
      <c r="KM24" s="40" t="str">
        <f t="shared" si="83"/>
        <v/>
      </c>
      <c r="KN24" s="40" t="str">
        <f t="shared" si="84"/>
        <v/>
      </c>
      <c r="KO24" s="40" t="str">
        <f t="shared" si="85"/>
        <v/>
      </c>
      <c r="KP24" s="40" t="str">
        <f t="shared" si="86"/>
        <v/>
      </c>
      <c r="KQ24" s="40" t="str">
        <f t="shared" si="87"/>
        <v/>
      </c>
      <c r="KR24" s="40" t="str">
        <f t="shared" si="88"/>
        <v/>
      </c>
      <c r="KS24" s="40" t="str">
        <f t="shared" si="89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0"/>
        <v/>
      </c>
      <c r="LO24" s="11" t="str">
        <f t="shared" si="91"/>
        <v/>
      </c>
      <c r="LP24" s="11" t="str">
        <f t="shared" si="92"/>
        <v/>
      </c>
      <c r="LQ24" s="11" t="str">
        <f t="shared" si="93"/>
        <v/>
      </c>
      <c r="LR24" s="11" t="str">
        <f t="shared" si="94"/>
        <v/>
      </c>
      <c r="LS24" s="11" t="str">
        <f t="shared" si="95"/>
        <v/>
      </c>
      <c r="LT24" s="11" t="str">
        <f t="shared" si="96"/>
        <v/>
      </c>
      <c r="LU24" s="11" t="str">
        <f t="shared" si="97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98"/>
        <v/>
      </c>
      <c r="MQ24" s="40" t="str">
        <f t="shared" si="99"/>
        <v/>
      </c>
      <c r="MR24" s="40" t="str">
        <f t="shared" si="100"/>
        <v/>
      </c>
      <c r="MS24" s="40" t="str">
        <f t="shared" si="101"/>
        <v/>
      </c>
      <c r="MT24" s="40" t="str">
        <f t="shared" si="102"/>
        <v/>
      </c>
      <c r="MU24" s="40" t="str">
        <f t="shared" si="103"/>
        <v/>
      </c>
      <c r="MV24" s="40" t="str">
        <f t="shared" si="104"/>
        <v/>
      </c>
      <c r="MW24" s="40" t="str">
        <f t="shared" si="105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06"/>
        <v/>
      </c>
      <c r="NS24" s="11" t="str">
        <f t="shared" si="107"/>
        <v/>
      </c>
      <c r="NT24" s="11" t="str">
        <f t="shared" si="108"/>
        <v/>
      </c>
      <c r="NU24" s="11" t="str">
        <f t="shared" si="109"/>
        <v/>
      </c>
      <c r="NV24" s="11" t="str">
        <f t="shared" si="110"/>
        <v/>
      </c>
      <c r="NW24" s="11" t="str">
        <f t="shared" si="111"/>
        <v/>
      </c>
      <c r="NX24" s="11" t="str">
        <f t="shared" si="112"/>
        <v/>
      </c>
      <c r="NY24" s="11" t="str">
        <f t="shared" si="113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4"/>
        <v/>
      </c>
      <c r="OU24" s="40" t="str">
        <f t="shared" si="115"/>
        <v/>
      </c>
      <c r="OV24" s="40" t="str">
        <f t="shared" si="116"/>
        <v/>
      </c>
      <c r="OW24" s="40" t="str">
        <f t="shared" si="117"/>
        <v/>
      </c>
      <c r="OX24" s="40" t="str">
        <f t="shared" si="118"/>
        <v/>
      </c>
      <c r="OY24" s="40" t="str">
        <f t="shared" si="119"/>
        <v/>
      </c>
      <c r="OZ24" s="40" t="str">
        <f t="shared" si="120"/>
        <v/>
      </c>
      <c r="PA24" s="40" t="str">
        <f t="shared" si="121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2"/>
        <v/>
      </c>
      <c r="PW24" s="11" t="str">
        <f t="shared" si="123"/>
        <v/>
      </c>
      <c r="PX24" s="11" t="str">
        <f t="shared" si="124"/>
        <v/>
      </c>
      <c r="PY24" s="11" t="str">
        <f t="shared" si="125"/>
        <v/>
      </c>
      <c r="PZ24" s="11" t="str">
        <f t="shared" si="126"/>
        <v/>
      </c>
      <c r="QA24" s="11" t="str">
        <f t="shared" si="127"/>
        <v/>
      </c>
      <c r="QB24" s="11" t="str">
        <f t="shared" si="128"/>
        <v/>
      </c>
      <c r="QC24" s="11" t="str">
        <f t="shared" si="129"/>
        <v/>
      </c>
      <c r="QD24" s="22">
        <f t="shared" si="130"/>
        <v>15.95</v>
      </c>
      <c r="QE24" s="22">
        <f t="shared" si="131"/>
        <v>4.5999999999999996</v>
      </c>
      <c r="QF24" s="22">
        <f t="shared" si="132"/>
        <v>0.4</v>
      </c>
      <c r="QG24" s="22">
        <f t="shared" si="133"/>
        <v>0</v>
      </c>
      <c r="QH24" s="22">
        <f t="shared" si="134"/>
        <v>16.700000000000003</v>
      </c>
      <c r="QI24" s="22">
        <f t="shared" si="135"/>
        <v>4.5999999999999996</v>
      </c>
      <c r="QJ24" s="22">
        <f t="shared" si="136"/>
        <v>0.4</v>
      </c>
      <c r="QK24" s="22">
        <f t="shared" si="137"/>
        <v>0</v>
      </c>
      <c r="QL24" s="22">
        <f t="shared" si="138"/>
        <v>0</v>
      </c>
      <c r="QM24" s="22">
        <f t="shared" si="139"/>
        <v>0</v>
      </c>
      <c r="QN24" s="22">
        <f t="shared" si="140"/>
        <v>0</v>
      </c>
      <c r="QO24" s="22">
        <f t="shared" si="141"/>
        <v>0</v>
      </c>
      <c r="QP24" s="22">
        <f t="shared" si="142"/>
        <v>18.25</v>
      </c>
      <c r="QQ24" s="22">
        <f t="shared" si="143"/>
        <v>6.4</v>
      </c>
      <c r="QR24" s="22">
        <f t="shared" si="144"/>
        <v>0.7</v>
      </c>
      <c r="QS24" s="22">
        <f t="shared" si="145"/>
        <v>0</v>
      </c>
      <c r="QT24" s="22">
        <f t="shared" si="146"/>
        <v>16.8</v>
      </c>
      <c r="QU24" s="22">
        <f t="shared" si="147"/>
        <v>4.5999999999999996</v>
      </c>
      <c r="QV24" s="22">
        <f t="shared" si="148"/>
        <v>0.1</v>
      </c>
      <c r="QW24" s="22">
        <f t="shared" si="149"/>
        <v>0</v>
      </c>
      <c r="QX24" s="27" t="s">
        <v>46</v>
      </c>
      <c r="QY24" s="40">
        <f t="shared" si="150"/>
        <v>9.1999999999999993</v>
      </c>
      <c r="QZ24" s="40">
        <f t="shared" si="151"/>
        <v>41.050000000000004</v>
      </c>
      <c r="RA24" s="40" t="str">
        <f t="shared" si="152"/>
        <v/>
      </c>
      <c r="RB24" s="40">
        <f t="shared" si="153"/>
        <v>9.1999999999999993</v>
      </c>
      <c r="RC24" s="40">
        <f t="shared" si="154"/>
        <v>41.050000000000004</v>
      </c>
      <c r="RD24" s="40">
        <f t="shared" si="155"/>
        <v>11</v>
      </c>
      <c r="RE24" s="40">
        <f t="shared" si="156"/>
        <v>45.250000000000007</v>
      </c>
      <c r="RF24" s="40">
        <f t="shared" si="157"/>
        <v>86.300000000000011</v>
      </c>
    </row>
    <row r="25" spans="1:474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189</v>
      </c>
      <c r="D25" s="4" t="s">
        <v>4</v>
      </c>
      <c r="E25" s="4">
        <v>2008</v>
      </c>
      <c r="F25" s="9">
        <f t="shared" si="0"/>
        <v>138.20000914000468</v>
      </c>
      <c r="H25" s="3" t="str">
        <f>IF(OR(AND(AP25&gt;=AW$41,AQ25&gt;=AW$45,AP25&lt;&gt;"",AO25=""),AND(AU25&gt;=AW$41,AV25&gt;=AW$45,AU25&lt;&gt;"",AO25=""),AND(BS25&gt;=BZ$41,BT25&gt;=BZ$45,BS25&lt;&gt;"",BR25=""),AND(BX25&gt;=BZ$41,BY25&gt;=BZ$45,BX25&lt;&gt;"",BR25=""),AND(CV25&gt;=DC$41,CW25&gt;=DC$45,CV25&lt;&gt;"",CU25=""),AND(DA25&gt;=DC$41,DB25&gt;=DC$45,DA25&lt;&gt;""),AND(DZ25&gt;=EG$41,EA25&gt;=EG$45,DZ25&lt;&gt;""),AND(EE25&gt;=EG$41,EF25&gt;=EG$45,EE25&lt;&gt;""),AND(FB25&gt;=FI$41,FC25&gt;=FI$45,FB25&lt;&gt;""),AND(FG25&gt;=FI$41,FH25&gt;=FI$45,FG25&lt;&gt;""),AND(GD25&gt;=GK$41,GE25&gt;=GK$45,GD25&lt;&gt;""),AND(GI25&gt;=GK$41,GJ25&gt;=GK$45,GI25&lt;&gt;""),AND(HF25&gt;=HM$41,HG25&gt;=HM$45,HF25&lt;&gt;""),AND(HK25&gt;=HM$41,HL25&gt;=HM$45,HK25&lt;&gt;""),AND(IH25&gt;=IO$41,II25&gt;=IO$45,IH25&lt;&gt;""),AND(IM25&gt;=IO$41,IN25&gt;=IO$45,IM25&lt;&gt;""),AND(JJ25&gt;=JQ$41,JK25&gt;=JQ$45,JJ25&lt;&gt;""),AND(JO25&gt;=JQ$41,JP25&gt;=JQ$45,JO25&lt;&gt;""),AND(KL25&gt;=KS$41,KM25&gt;=KS$45,KL25&lt;&gt;""),AND(KQ25&gt;=KS$41,KR25&gt;=KS$45,KQ25&lt;&gt;""),AND(LN25&gt;=LU$41,LO25&gt;=LU$45,LN25&lt;&gt;""),AND(LS25&gt;=LU$41,LT25&gt;=LU$45,LS25&lt;&gt;""),AND(MP25&gt;=MW$41,MQ25&gt;=MW$45,MP25&lt;&gt;""),AND(MU25&gt;=MW$41,MV25&gt;=MW$45,MU25&lt;&gt;""),AND(NR25&gt;=NY$41,NS25&gt;=NY$45,NR25&lt;&gt;""),AND(NW25&gt;=NY$41,NX25&gt;=NY$45,NW25&lt;&gt;""),AND(OT25&gt;=PA$41,OU25&gt;=PA$45,OT25&lt;&gt;""),AND(OY25&gt;=PA$41,OZ25&gt;=PA$45,OY25&lt;&gt;""),AND(PV25&gt;=QC$41,PW25&gt;=QC$45,PV25&lt;&gt;""),AND(QA25&gt;=QC$41,QB25&gt;=QC$45,QA25&lt;&gt;"")),"P","")</f>
        <v/>
      </c>
      <c r="I25" s="3" t="str">
        <f>IF(OR(AND(AQ25&gt;=AW$45,AQ25&lt;&gt;"",AO25=""),AND(AV25&gt;=AW$45,AV25&lt;&gt;"",AO25=""),AND(BT25&gt;=BZ$45,BT25&lt;&gt;"",BR25=""),AND(BY25&gt;=BZ$45,BY25&lt;&gt;"",BR25=""),AND(CW25&gt;=DC$45,CW25&lt;&gt;"",CU25=""),AND(DB25&gt;=DC$45,DB25&lt;&gt;"",CU25=""),AND(EA25&gt;=EG$45,EA25&lt;&gt;""),AND(EF25&gt;=EG$45,EF25&lt;&gt;""),AND(FC25&gt;=FI$45,FC25&lt;&gt;""),AND(FH25&gt;=FI$45,FH25&lt;&gt;""),AND(GE25&gt;=GK$45,GE25&lt;&gt;""),AND(GJ25&gt;=GK$45,GJ25&lt;&gt;""),AND(HG25&gt;=HM$45,HG25&lt;&gt;""),AND(HL25&gt;=HM$45,HL25&lt;&gt;""),AND(II25&gt;=IO$45,II25&lt;&gt;""),AND(IN25&gt;=IO$45,IN25&lt;&gt;""),AND(JK25&gt;=JQ$45,JK25&lt;&gt;""),AND(JP25&gt;=JQ$45,JP25&lt;&gt;""),AND(KM25&gt;=KS$45,KM25&lt;&gt;""),AND(KR25&gt;=KS$45,KR25&lt;&gt;""),AND(LO25&gt;=LU$45,LO25&lt;&gt;""),AND(LT25&gt;=LU$45,LT25&lt;&gt;""),AND(MQ25&gt;=MW$45,MQ25&lt;&gt;""),AND(MV25&gt;=MW$45,MV25&lt;&gt;""),AND(NS25&gt;=NY$45,NS25&lt;&gt;""),AND(NX25&gt;=NY$45,NX25&lt;&gt;""),AND(OU25&gt;=PA$45,OU25&lt;&gt;""),AND(OZ25&gt;=PA$45,OZ25&lt;&gt;""),AND(PW25&gt;=QC$45,PW25&lt;&gt;""),AND(QB25&gt;=QC$45,QB25&lt;&gt;"")),"P","")</f>
        <v/>
      </c>
      <c r="J25" s="36" t="str">
        <f>IF(AND(I25="P",H25=""),"No DD",IF(OR(AND(AS25&gt;=AW$44,AT25&gt;=AW$48,AS25&lt;&gt;"",AO25=""),AND(BV25&gt;=BZ$44,BW25&gt;=BZ$48,BV25&lt;&gt;"",BR25=""),AND(CY25&gt;=DC$44,CZ25&gt;=DC$48,CY25&lt;&gt;"",CU25=""),AND(EC25&gt;=EG$44,ED25&gt;=EG$48,EC25&lt;&gt;""),AND(FE25&gt;=FI$44,FF25&gt;=FI$48,FE25&lt;&gt;""),AND(GG25&gt;=GK$44,GH25&gt;=GK$48,GG25&lt;&gt;""),AND(HI25&gt;=HM$44,HJ25&gt;=HM$48,HI25&lt;&gt;""),AND(IK25&gt;=IO$44,IL25&gt;=IO$48,IK25&lt;&gt;""),AND(JM25&gt;=JQ$44,JN25&gt;=JQ$48,JM25&lt;&gt;""),AND(KO25&gt;=KS$44,KP25&gt;=KS$48,KO25&lt;&gt;""),AND(LQ25&gt;=LU$44,LR25&gt;=LU$48,LQ25&lt;&gt;""),AND(MS25&gt;=MW$44,MT25&gt;=MW$48,MS25&lt;&gt;""),AND(NU25&gt;=NY$44,NV25&gt;=NY$48,NU25&lt;&gt;""),AND(OW25&gt;=PA$44,OX25&gt;=PA$48,OW25&lt;&gt;""),AND(PY25&gt;=QC$44,PZ25&gt;=QC$48,PY25&lt;&gt;"")),"Merit",IF(OR(AND(AS25&gt;=AW$43,AT25&gt;=AW$47,AS25&lt;&gt;"",AO25=""),AND(BV25&gt;=BZ$43,BW25&gt;=BZ$47,BV25&lt;&gt;"",BR25=""),AND(CY25&gt;=DC$43,CZ25&gt;=DC$47,CY25&lt;&gt;"",CU25=""),AND(EC25&gt;=EG$43,ED25&gt;=EG$47,EC25&lt;&gt;""),AND(FE25&gt;=FI$43,FF25&gt;=FI$47,FE25&lt;&gt;""),AND(GG25&gt;=GK$43,GH25&gt;=GK$47,GG25&lt;&gt;""),AND(HI25&gt;=HM$43,HJ25&gt;=HM$47,HI25&lt;&gt;""),AND(IK25&gt;=IO$43,IL25&gt;=IO$47,IK25&lt;&gt;""),AND(JM25&gt;=JQ$43,JN25&gt;=JQ$47,JM25&lt;&gt;""),AND(KO25&gt;=KS$43,KP25&gt;=KS$47,KO25&lt;&gt;""),AND(LQ25&gt;=LU$43,LR25&gt;=LU$47,LQ25&lt;&gt;""),AND(MS25&gt;=MW$43,MT25&gt;=MW$47,MS25&lt;&gt;""),AND(NU25&gt;=NY$43,NV25&gt;=NY$47,NU25&lt;&gt;""),AND(OW25&gt;=PA$43,OX25&gt;=PA$47,OW25&lt;&gt;""),AND(PY25&gt;=QC$43,PZ25&gt;=QC$47,PY25&lt;&gt;"")),"Excellence",IF(K25="P","Worlds Team",IF(H25="P","National Team","")))))</f>
        <v/>
      </c>
      <c r="K25" s="3" t="str">
        <f>IF(OR(AND(AS25&gt;=AW$42,AT25&gt;=AW$46,AS25&lt;&gt;"",AO25=""),AND(BV25&gt;=BZ$42,BW25&gt;=BZ$46,BV25&lt;&gt;"",BR25=""),AND(CY25&gt;=DC$42,CZ25&gt;=DC$46,CY25&lt;&gt;"",CU25=""),AND(EC25&gt;=EG$42,ED25&gt;=EG$46,EC25&lt;&gt;""),AND(FE25&gt;=FI$42,FF25&gt;=FI$46,FE25&lt;&gt;""),AND(GG25&gt;=GK$42,GH25&gt;=GK$46,GG25&lt;&gt;""),AND(HI25&gt;=HM$42,HJ25&gt;=HM$46,HI25&lt;&gt;""),AND(IK25&gt;=IO$42,IL25&gt;=IO$46,IK25&lt;&gt;""),AND(JM25&gt;=JQ$42,JN25&gt;=JQ$46,JM25&lt;&gt;""),AND(KO25&gt;=KS$42,KP25&gt;=KS$46,KO25&lt;&gt;""),AND(LQ25&gt;=LU$42,LR25&gt;=LU$46,LQ25&lt;&gt;""),AND(MS25&gt;=MW$42,MT25&gt;=MW$46,MS25&lt;&gt;""),AND(NU25&gt;=NY$42,NV25&gt;=NY$46,NU25&lt;&gt;""),AND(OW25&gt;=PA$42,OX25&gt;=PA$46,OW25&lt;&gt;""),AND(PY25&gt;=QC$42,PZ25&gt;=QC$46,PY25&lt;&gt;"")),"P","")</f>
        <v/>
      </c>
      <c r="L25" s="8">
        <f>IF(COUNT(AQ25,BT25,CW25)&gt;0,LARGE((AQ25,BT25,CW25),1),0)</f>
        <v>46.5</v>
      </c>
      <c r="M25" s="8" t="str">
        <f t="shared" si="1"/>
        <v>2025 Nationals</v>
      </c>
      <c r="N25" s="8">
        <f>IF(COUNT(AQ25,BT25,CW25)&gt;1,LARGE((AQ25,BT25,CW25),2),0)</f>
        <v>44.9</v>
      </c>
      <c r="O25" s="8" t="str">
        <f t="shared" si="2"/>
        <v>2025 Elite Canada</v>
      </c>
      <c r="P25" s="8">
        <f t="shared" si="3"/>
        <v>46.800000000000004</v>
      </c>
      <c r="Q25" s="8" t="str">
        <f t="shared" si="4"/>
        <v>2025 Nationals</v>
      </c>
      <c r="R25" s="8" t="str">
        <f t="shared" si="5"/>
        <v/>
      </c>
      <c r="S25" s="11" t="str">
        <f t="shared" si="6"/>
        <v/>
      </c>
      <c r="T25" s="8" t="str">
        <f t="shared" si="7"/>
        <v/>
      </c>
      <c r="U25" s="19">
        <v>17.2</v>
      </c>
      <c r="V25" s="19">
        <v>2.4</v>
      </c>
      <c r="W25" s="19">
        <v>0</v>
      </c>
      <c r="X25" s="19">
        <v>0</v>
      </c>
      <c r="Y25" s="19">
        <v>17.600000000000001</v>
      </c>
      <c r="Z25" s="19">
        <v>0.7</v>
      </c>
      <c r="AA25" s="19">
        <v>0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8"/>
        <v>3.0999999999999996</v>
      </c>
      <c r="AQ25" s="40">
        <f t="shared" si="9"/>
        <v>37.900000000000006</v>
      </c>
      <c r="AR25" s="40" t="str">
        <f t="shared" si="10"/>
        <v/>
      </c>
      <c r="AS25" s="40">
        <f t="shared" si="11"/>
        <v>3.0999999999999996</v>
      </c>
      <c r="AT25" s="40">
        <f t="shared" si="12"/>
        <v>37.900000000000006</v>
      </c>
      <c r="AU25" s="40" t="str">
        <f t="shared" si="13"/>
        <v/>
      </c>
      <c r="AV25" s="40" t="str">
        <f t="shared" si="14"/>
        <v/>
      </c>
      <c r="AW25" s="40">
        <f t="shared" si="15"/>
        <v>37.900000000000006</v>
      </c>
      <c r="AX25" s="18">
        <v>16.600000000000001</v>
      </c>
      <c r="AY25" s="18">
        <v>6</v>
      </c>
      <c r="AZ25" s="18">
        <v>0.2</v>
      </c>
      <c r="BA25" s="18">
        <v>0</v>
      </c>
      <c r="BB25" s="18">
        <v>18.5</v>
      </c>
      <c r="BC25" s="18">
        <v>4.3</v>
      </c>
      <c r="BD25" s="18">
        <v>0.3</v>
      </c>
      <c r="BE25" s="18">
        <v>0</v>
      </c>
      <c r="BF25" s="18"/>
      <c r="BG25" s="18"/>
      <c r="BH25" s="18"/>
      <c r="BI25" s="18"/>
      <c r="BJ25" s="18">
        <v>18.100000000000001</v>
      </c>
      <c r="BK25" s="18">
        <v>6</v>
      </c>
      <c r="BL25" s="18">
        <v>0.6</v>
      </c>
      <c r="BM25" s="18">
        <v>0</v>
      </c>
      <c r="BN25" s="18">
        <v>18.399999999999999</v>
      </c>
      <c r="BO25" s="18">
        <v>4.3</v>
      </c>
      <c r="BP25" s="18">
        <v>0.9</v>
      </c>
      <c r="BQ25" s="18">
        <v>0</v>
      </c>
      <c r="BR25" s="28"/>
      <c r="BS25" s="11">
        <f t="shared" si="16"/>
        <v>10.3</v>
      </c>
      <c r="BT25" s="11">
        <f t="shared" si="17"/>
        <v>44.9</v>
      </c>
      <c r="BU25" s="11" t="str">
        <f t="shared" si="18"/>
        <v/>
      </c>
      <c r="BV25" s="11">
        <f t="shared" si="19"/>
        <v>10.3</v>
      </c>
      <c r="BW25" s="11">
        <f t="shared" si="20"/>
        <v>44.9</v>
      </c>
      <c r="BX25" s="11">
        <f t="shared" si="21"/>
        <v>10.3</v>
      </c>
      <c r="BY25" s="11">
        <f t="shared" si="22"/>
        <v>45.3</v>
      </c>
      <c r="BZ25" s="11">
        <f t="shared" si="23"/>
        <v>90.199999999999989</v>
      </c>
      <c r="CA25" s="19">
        <v>18.100000000000001</v>
      </c>
      <c r="CB25" s="19">
        <v>4.8</v>
      </c>
      <c r="CC25" s="19">
        <v>0.2</v>
      </c>
      <c r="CD25" s="19">
        <v>0</v>
      </c>
      <c r="CE25" s="19">
        <v>18.2</v>
      </c>
      <c r="CF25" s="19">
        <v>5.6</v>
      </c>
      <c r="CG25" s="19">
        <v>0</v>
      </c>
      <c r="CH25" s="19">
        <v>0</v>
      </c>
      <c r="CI25" s="19"/>
      <c r="CJ25" s="19"/>
      <c r="CK25" s="19"/>
      <c r="CL25" s="19"/>
      <c r="CM25" s="19">
        <v>18.100000000000001</v>
      </c>
      <c r="CN25" s="19">
        <v>6</v>
      </c>
      <c r="CO25" s="19">
        <v>0.6</v>
      </c>
      <c r="CP25" s="19">
        <v>0</v>
      </c>
      <c r="CQ25" s="19">
        <v>17.899999999999999</v>
      </c>
      <c r="CR25" s="19">
        <v>5.6</v>
      </c>
      <c r="CS25" s="19">
        <v>0.2</v>
      </c>
      <c r="CT25" s="19">
        <v>0</v>
      </c>
      <c r="CU25" s="27"/>
      <c r="CV25" s="40">
        <f t="shared" si="24"/>
        <v>10.399999999999999</v>
      </c>
      <c r="CW25" s="40">
        <f t="shared" si="25"/>
        <v>46.5</v>
      </c>
      <c r="CX25" s="40" t="str">
        <f t="shared" si="26"/>
        <v/>
      </c>
      <c r="CY25" s="40">
        <f t="shared" si="27"/>
        <v>10.399999999999999</v>
      </c>
      <c r="CZ25" s="40">
        <f t="shared" si="28"/>
        <v>46.5</v>
      </c>
      <c r="DA25" s="40">
        <f t="shared" si="29"/>
        <v>11.6</v>
      </c>
      <c r="DB25" s="40">
        <f t="shared" si="30"/>
        <v>46.800000000000004</v>
      </c>
      <c r="DC25" s="40">
        <f t="shared" si="31"/>
        <v>93.300000000000011</v>
      </c>
      <c r="DD25" s="50" t="str">
        <f t="shared" si="32"/>
        <v/>
      </c>
      <c r="DE25" s="50" t="str">
        <f t="shared" si="33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4"/>
        <v/>
      </c>
      <c r="EA25" s="40" t="str">
        <f t="shared" si="35"/>
        <v/>
      </c>
      <c r="EB25" s="40" t="str">
        <f t="shared" si="36"/>
        <v/>
      </c>
      <c r="EC25" s="40" t="str">
        <f t="shared" si="37"/>
        <v/>
      </c>
      <c r="ED25" s="40" t="str">
        <f t="shared" si="38"/>
        <v/>
      </c>
      <c r="EE25" s="40" t="str">
        <f t="shared" si="39"/>
        <v/>
      </c>
      <c r="EF25" s="40" t="str">
        <f t="shared" si="40"/>
        <v/>
      </c>
      <c r="EG25" s="40" t="str">
        <f t="shared" si="41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2"/>
        <v/>
      </c>
      <c r="FC25" s="11" t="str">
        <f t="shared" si="43"/>
        <v/>
      </c>
      <c r="FD25" s="11" t="str">
        <f t="shared" si="44"/>
        <v/>
      </c>
      <c r="FE25" s="11" t="str">
        <f t="shared" si="45"/>
        <v/>
      </c>
      <c r="FF25" s="11" t="str">
        <f t="shared" si="46"/>
        <v/>
      </c>
      <c r="FG25" s="11" t="str">
        <f t="shared" si="47"/>
        <v/>
      </c>
      <c r="FH25" s="11" t="str">
        <f t="shared" si="48"/>
        <v/>
      </c>
      <c r="FI25" s="11" t="str">
        <f t="shared" si="49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0"/>
        <v/>
      </c>
      <c r="GE25" s="40" t="str">
        <f t="shared" si="51"/>
        <v/>
      </c>
      <c r="GF25" s="40" t="str">
        <f t="shared" si="52"/>
        <v/>
      </c>
      <c r="GG25" s="40" t="str">
        <f t="shared" si="53"/>
        <v/>
      </c>
      <c r="GH25" s="40" t="str">
        <f t="shared" si="54"/>
        <v/>
      </c>
      <c r="GI25" s="40" t="str">
        <f t="shared" si="55"/>
        <v/>
      </c>
      <c r="GJ25" s="40" t="str">
        <f t="shared" si="56"/>
        <v/>
      </c>
      <c r="GK25" s="40" t="str">
        <f t="shared" si="57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58"/>
        <v/>
      </c>
      <c r="HG25" s="11" t="str">
        <f t="shared" si="59"/>
        <v/>
      </c>
      <c r="HH25" s="11" t="str">
        <f t="shared" si="60"/>
        <v/>
      </c>
      <c r="HI25" s="11" t="str">
        <f t="shared" si="61"/>
        <v/>
      </c>
      <c r="HJ25" s="11" t="str">
        <f t="shared" si="62"/>
        <v/>
      </c>
      <c r="HK25" s="11" t="str">
        <f t="shared" si="63"/>
        <v/>
      </c>
      <c r="HL25" s="11" t="str">
        <f t="shared" si="64"/>
        <v/>
      </c>
      <c r="HM25" s="11" t="str">
        <f t="shared" si="65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66"/>
        <v/>
      </c>
      <c r="II25" s="40" t="str">
        <f t="shared" si="67"/>
        <v/>
      </c>
      <c r="IJ25" s="40" t="str">
        <f t="shared" si="68"/>
        <v/>
      </c>
      <c r="IK25" s="40" t="str">
        <f t="shared" si="69"/>
        <v/>
      </c>
      <c r="IL25" s="40" t="str">
        <f t="shared" si="70"/>
        <v/>
      </c>
      <c r="IM25" s="40" t="str">
        <f t="shared" si="71"/>
        <v/>
      </c>
      <c r="IN25" s="40" t="str">
        <f t="shared" si="72"/>
        <v/>
      </c>
      <c r="IO25" s="40" t="str">
        <f t="shared" si="73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4"/>
        <v/>
      </c>
      <c r="JK25" s="11" t="str">
        <f t="shared" si="75"/>
        <v/>
      </c>
      <c r="JL25" s="11" t="str">
        <f t="shared" si="76"/>
        <v/>
      </c>
      <c r="JM25" s="11" t="str">
        <f t="shared" si="77"/>
        <v/>
      </c>
      <c r="JN25" s="11" t="str">
        <f t="shared" si="78"/>
        <v/>
      </c>
      <c r="JO25" s="11" t="str">
        <f t="shared" si="79"/>
        <v/>
      </c>
      <c r="JP25" s="11" t="str">
        <f t="shared" si="80"/>
        <v/>
      </c>
      <c r="JQ25" s="11" t="str">
        <f t="shared" si="81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2"/>
        <v/>
      </c>
      <c r="KM25" s="40" t="str">
        <f t="shared" si="83"/>
        <v/>
      </c>
      <c r="KN25" s="40" t="str">
        <f t="shared" si="84"/>
        <v/>
      </c>
      <c r="KO25" s="40" t="str">
        <f t="shared" si="85"/>
        <v/>
      </c>
      <c r="KP25" s="40" t="str">
        <f t="shared" si="86"/>
        <v/>
      </c>
      <c r="KQ25" s="40" t="str">
        <f t="shared" si="87"/>
        <v/>
      </c>
      <c r="KR25" s="40" t="str">
        <f t="shared" si="88"/>
        <v/>
      </c>
      <c r="KS25" s="40" t="str">
        <f t="shared" si="89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0"/>
        <v/>
      </c>
      <c r="LO25" s="11" t="str">
        <f t="shared" si="91"/>
        <v/>
      </c>
      <c r="LP25" s="11" t="str">
        <f t="shared" si="92"/>
        <v/>
      </c>
      <c r="LQ25" s="11" t="str">
        <f t="shared" si="93"/>
        <v/>
      </c>
      <c r="LR25" s="11" t="str">
        <f t="shared" si="94"/>
        <v/>
      </c>
      <c r="LS25" s="11" t="str">
        <f t="shared" si="95"/>
        <v/>
      </c>
      <c r="LT25" s="11" t="str">
        <f t="shared" si="96"/>
        <v/>
      </c>
      <c r="LU25" s="11" t="str">
        <f t="shared" si="97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98"/>
        <v/>
      </c>
      <c r="MQ25" s="40" t="str">
        <f t="shared" si="99"/>
        <v/>
      </c>
      <c r="MR25" s="40" t="str">
        <f t="shared" si="100"/>
        <v/>
      </c>
      <c r="MS25" s="40" t="str">
        <f t="shared" si="101"/>
        <v/>
      </c>
      <c r="MT25" s="40" t="str">
        <f t="shared" si="102"/>
        <v/>
      </c>
      <c r="MU25" s="40" t="str">
        <f t="shared" si="103"/>
        <v/>
      </c>
      <c r="MV25" s="40" t="str">
        <f t="shared" si="104"/>
        <v/>
      </c>
      <c r="MW25" s="40" t="str">
        <f t="shared" si="105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06"/>
        <v/>
      </c>
      <c r="NS25" s="11" t="str">
        <f t="shared" si="107"/>
        <v/>
      </c>
      <c r="NT25" s="11" t="str">
        <f t="shared" si="108"/>
        <v/>
      </c>
      <c r="NU25" s="11" t="str">
        <f t="shared" si="109"/>
        <v/>
      </c>
      <c r="NV25" s="11" t="str">
        <f t="shared" si="110"/>
        <v/>
      </c>
      <c r="NW25" s="11" t="str">
        <f t="shared" si="111"/>
        <v/>
      </c>
      <c r="NX25" s="11" t="str">
        <f t="shared" si="112"/>
        <v/>
      </c>
      <c r="NY25" s="11" t="str">
        <f t="shared" si="113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4"/>
        <v/>
      </c>
      <c r="OU25" s="40" t="str">
        <f t="shared" si="115"/>
        <v/>
      </c>
      <c r="OV25" s="40" t="str">
        <f t="shared" si="116"/>
        <v/>
      </c>
      <c r="OW25" s="40" t="str">
        <f t="shared" si="117"/>
        <v/>
      </c>
      <c r="OX25" s="40" t="str">
        <f t="shared" si="118"/>
        <v/>
      </c>
      <c r="OY25" s="40" t="str">
        <f t="shared" si="119"/>
        <v/>
      </c>
      <c r="OZ25" s="40" t="str">
        <f t="shared" si="120"/>
        <v/>
      </c>
      <c r="PA25" s="40" t="str">
        <f t="shared" si="121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2"/>
        <v/>
      </c>
      <c r="PW25" s="11" t="str">
        <f t="shared" si="123"/>
        <v/>
      </c>
      <c r="PX25" s="11" t="str">
        <f t="shared" si="124"/>
        <v/>
      </c>
      <c r="PY25" s="11" t="str">
        <f t="shared" si="125"/>
        <v/>
      </c>
      <c r="PZ25" s="11" t="str">
        <f t="shared" si="126"/>
        <v/>
      </c>
      <c r="QA25" s="11" t="str">
        <f t="shared" si="127"/>
        <v/>
      </c>
      <c r="QB25" s="11" t="str">
        <f t="shared" si="128"/>
        <v/>
      </c>
      <c r="QC25" s="11" t="str">
        <f t="shared" si="129"/>
        <v/>
      </c>
      <c r="QD25" s="22">
        <f t="shared" si="130"/>
        <v>17.350000000000001</v>
      </c>
      <c r="QE25" s="22">
        <f t="shared" si="131"/>
        <v>5.4</v>
      </c>
      <c r="QF25" s="22">
        <f t="shared" si="132"/>
        <v>0.2</v>
      </c>
      <c r="QG25" s="22">
        <f t="shared" si="133"/>
        <v>0</v>
      </c>
      <c r="QH25" s="22">
        <f t="shared" si="134"/>
        <v>18.350000000000001</v>
      </c>
      <c r="QI25" s="22">
        <f t="shared" si="135"/>
        <v>4.9499999999999993</v>
      </c>
      <c r="QJ25" s="22">
        <f t="shared" si="136"/>
        <v>0.15</v>
      </c>
      <c r="QK25" s="22">
        <f t="shared" si="137"/>
        <v>0</v>
      </c>
      <c r="QL25" s="22">
        <f t="shared" si="138"/>
        <v>0</v>
      </c>
      <c r="QM25" s="22">
        <f t="shared" si="139"/>
        <v>0</v>
      </c>
      <c r="QN25" s="22">
        <f t="shared" si="140"/>
        <v>0</v>
      </c>
      <c r="QO25" s="22">
        <f t="shared" si="141"/>
        <v>0</v>
      </c>
      <c r="QP25" s="22">
        <f t="shared" si="142"/>
        <v>18.100000000000001</v>
      </c>
      <c r="QQ25" s="22">
        <f t="shared" si="143"/>
        <v>6</v>
      </c>
      <c r="QR25" s="22">
        <f t="shared" si="144"/>
        <v>0.6</v>
      </c>
      <c r="QS25" s="22">
        <f t="shared" si="145"/>
        <v>0</v>
      </c>
      <c r="QT25" s="22">
        <f t="shared" si="146"/>
        <v>18.149999999999999</v>
      </c>
      <c r="QU25" s="22">
        <f t="shared" si="147"/>
        <v>4.9499999999999993</v>
      </c>
      <c r="QV25" s="22">
        <f t="shared" si="148"/>
        <v>0.55000000000000004</v>
      </c>
      <c r="QW25" s="22">
        <f t="shared" si="149"/>
        <v>0</v>
      </c>
      <c r="QX25" s="27" t="s">
        <v>46</v>
      </c>
      <c r="QY25" s="40">
        <f t="shared" si="150"/>
        <v>10.35</v>
      </c>
      <c r="QZ25" s="40">
        <f t="shared" si="151"/>
        <v>45.699999999999996</v>
      </c>
      <c r="RA25" s="40" t="str">
        <f t="shared" si="152"/>
        <v/>
      </c>
      <c r="RB25" s="40">
        <f t="shared" si="153"/>
        <v>10.35</v>
      </c>
      <c r="RC25" s="40">
        <f t="shared" si="154"/>
        <v>45.699999999999996</v>
      </c>
      <c r="RD25" s="40">
        <f t="shared" si="155"/>
        <v>10.95</v>
      </c>
      <c r="RE25" s="40">
        <f t="shared" si="156"/>
        <v>46.050000000000004</v>
      </c>
      <c r="RF25" s="40">
        <f t="shared" si="157"/>
        <v>91.75</v>
      </c>
    </row>
    <row r="26" spans="1:474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110</v>
      </c>
      <c r="D26" s="4" t="s">
        <v>6</v>
      </c>
      <c r="E26" s="4">
        <v>2004</v>
      </c>
      <c r="F26" s="9">
        <f t="shared" si="0"/>
        <v>135.6000085500049</v>
      </c>
      <c r="G26" s="64"/>
      <c r="H26" s="3" t="str">
        <f>IF(OR(AND(AP26&gt;=AW$41,AQ26&gt;=AW$45,AP26&lt;&gt;"",AO26=""),AND(AU26&gt;=AW$41,AV26&gt;=AW$45,AU26&lt;&gt;"",AO26=""),AND(BS26&gt;=BZ$41,BT26&gt;=BZ$45,BS26&lt;&gt;"",BR26=""),AND(BX26&gt;=BZ$41,BY26&gt;=BZ$45,BX26&lt;&gt;"",BR26=""),AND(CV26&gt;=DC$41,CW26&gt;=DC$45,CV26&lt;&gt;"",CU26=""),AND(DA26&gt;=DC$41,DB26&gt;=DC$45,DA26&lt;&gt;""),AND(DZ26&gt;=EG$41,EA26&gt;=EG$45,DZ26&lt;&gt;""),AND(EE26&gt;=EG$41,EF26&gt;=EG$45,EE26&lt;&gt;""),AND(FB26&gt;=FI$41,FC26&gt;=FI$45,FB26&lt;&gt;""),AND(FG26&gt;=FI$41,FH26&gt;=FI$45,FG26&lt;&gt;""),AND(GD26&gt;=GK$41,GE26&gt;=GK$45,GD26&lt;&gt;""),AND(GI26&gt;=GK$41,GJ26&gt;=GK$45,GI26&lt;&gt;""),AND(HF26&gt;=HM$41,HG26&gt;=HM$45,HF26&lt;&gt;""),AND(HK26&gt;=HM$41,HL26&gt;=HM$45,HK26&lt;&gt;""),AND(IH26&gt;=IO$41,II26&gt;=IO$45,IH26&lt;&gt;""),AND(IM26&gt;=IO$41,IN26&gt;=IO$45,IM26&lt;&gt;""),AND(JJ26&gt;=JQ$41,JK26&gt;=JQ$45,JJ26&lt;&gt;""),AND(JO26&gt;=JQ$41,JP26&gt;=JQ$45,JO26&lt;&gt;""),AND(KL26&gt;=KS$41,KM26&gt;=KS$45,KL26&lt;&gt;""),AND(KQ26&gt;=KS$41,KR26&gt;=KS$45,KQ26&lt;&gt;""),AND(LN26&gt;=LU$41,LO26&gt;=LU$45,LN26&lt;&gt;""),AND(LS26&gt;=LU$41,LT26&gt;=LU$45,LS26&lt;&gt;""),AND(MP26&gt;=MW$41,MQ26&gt;=MW$45,MP26&lt;&gt;""),AND(MU26&gt;=MW$41,MV26&gt;=MW$45,MU26&lt;&gt;""),AND(NR26&gt;=NY$41,NS26&gt;=NY$45,NR26&lt;&gt;""),AND(NW26&gt;=NY$41,NX26&gt;=NY$45,NW26&lt;&gt;""),AND(OT26&gt;=PA$41,OU26&gt;=PA$45,OT26&lt;&gt;""),AND(OY26&gt;=PA$41,OZ26&gt;=PA$45,OY26&lt;&gt;""),AND(PV26&gt;=QC$41,PW26&gt;=QC$45,PV26&lt;&gt;""),AND(QA26&gt;=QC$41,QB26&gt;=QC$45,QA26&lt;&gt;"")),"P","")</f>
        <v/>
      </c>
      <c r="I26" s="3" t="str">
        <f>IF(OR(AND(AQ26&gt;=AW$45,AQ26&lt;&gt;"",AO26=""),AND(AV26&gt;=AW$45,AV26&lt;&gt;"",AO26=""),AND(BT26&gt;=BZ$45,BT26&lt;&gt;"",BR26=""),AND(BY26&gt;=BZ$45,BY26&lt;&gt;"",BR26=""),AND(CW26&gt;=DC$45,CW26&lt;&gt;"",CU26=""),AND(DB26&gt;=DC$45,DB26&lt;&gt;"",CU26=""),AND(EA26&gt;=EG$45,EA26&lt;&gt;""),AND(EF26&gt;=EG$45,EF26&lt;&gt;""),AND(FC26&gt;=FI$45,FC26&lt;&gt;""),AND(FH26&gt;=FI$45,FH26&lt;&gt;""),AND(GE26&gt;=GK$45,GE26&lt;&gt;""),AND(GJ26&gt;=GK$45,GJ26&lt;&gt;""),AND(HG26&gt;=HM$45,HG26&lt;&gt;""),AND(HL26&gt;=HM$45,HL26&lt;&gt;""),AND(II26&gt;=IO$45,II26&lt;&gt;""),AND(IN26&gt;=IO$45,IN26&lt;&gt;""),AND(JK26&gt;=JQ$45,JK26&lt;&gt;""),AND(JP26&gt;=JQ$45,JP26&lt;&gt;""),AND(KM26&gt;=KS$45,KM26&lt;&gt;""),AND(KR26&gt;=KS$45,KR26&lt;&gt;""),AND(LO26&gt;=LU$45,LO26&lt;&gt;""),AND(LT26&gt;=LU$45,LT26&lt;&gt;""),AND(MQ26&gt;=MW$45,MQ26&lt;&gt;""),AND(MV26&gt;=MW$45,MV26&lt;&gt;""),AND(NS26&gt;=NY$45,NS26&lt;&gt;""),AND(NX26&gt;=NY$45,NX26&lt;&gt;""),AND(OU26&gt;=PA$45,OU26&lt;&gt;""),AND(OZ26&gt;=PA$45,OZ26&lt;&gt;""),AND(PW26&gt;=QC$45,PW26&lt;&gt;""),AND(QB26&gt;=QC$45,QB26&lt;&gt;"")),"P","")</f>
        <v/>
      </c>
      <c r="J26" s="36" t="str">
        <f>IF(AND(I26="P",H26=""),"No DD",IF(OR(AND(AS26&gt;=AW$44,AT26&gt;=AW$48,AS26&lt;&gt;"",AO26=""),AND(BV26&gt;=BZ$44,BW26&gt;=BZ$48,BV26&lt;&gt;"",BR26=""),AND(CY26&gt;=DC$44,CZ26&gt;=DC$48,CY26&lt;&gt;"",CU26=""),AND(EC26&gt;=EG$44,ED26&gt;=EG$48,EC26&lt;&gt;""),AND(FE26&gt;=FI$44,FF26&gt;=FI$48,FE26&lt;&gt;""),AND(GG26&gt;=GK$44,GH26&gt;=GK$48,GG26&lt;&gt;""),AND(HI26&gt;=HM$44,HJ26&gt;=HM$48,HI26&lt;&gt;""),AND(IK26&gt;=IO$44,IL26&gt;=IO$48,IK26&lt;&gt;""),AND(JM26&gt;=JQ$44,JN26&gt;=JQ$48,JM26&lt;&gt;""),AND(KO26&gt;=KS$44,KP26&gt;=KS$48,KO26&lt;&gt;""),AND(LQ26&gt;=LU$44,LR26&gt;=LU$48,LQ26&lt;&gt;""),AND(MS26&gt;=MW$44,MT26&gt;=MW$48,MS26&lt;&gt;""),AND(NU26&gt;=NY$44,NV26&gt;=NY$48,NU26&lt;&gt;""),AND(OW26&gt;=PA$44,OX26&gt;=PA$48,OW26&lt;&gt;""),AND(PY26&gt;=QC$44,PZ26&gt;=QC$48,PY26&lt;&gt;"")),"Merit",IF(OR(AND(AS26&gt;=AW$43,AT26&gt;=AW$47,AS26&lt;&gt;"",AO26=""),AND(BV26&gt;=BZ$43,BW26&gt;=BZ$47,BV26&lt;&gt;"",BR26=""),AND(CY26&gt;=DC$43,CZ26&gt;=DC$47,CY26&lt;&gt;"",CU26=""),AND(EC26&gt;=EG$43,ED26&gt;=EG$47,EC26&lt;&gt;""),AND(FE26&gt;=FI$43,FF26&gt;=FI$47,FE26&lt;&gt;""),AND(GG26&gt;=GK$43,GH26&gt;=GK$47,GG26&lt;&gt;""),AND(HI26&gt;=HM$43,HJ26&gt;=HM$47,HI26&lt;&gt;""),AND(IK26&gt;=IO$43,IL26&gt;=IO$47,IK26&lt;&gt;""),AND(JM26&gt;=JQ$43,JN26&gt;=JQ$47,JM26&lt;&gt;""),AND(KO26&gt;=KS$43,KP26&gt;=KS$47,KO26&lt;&gt;""),AND(LQ26&gt;=LU$43,LR26&gt;=LU$47,LQ26&lt;&gt;""),AND(MS26&gt;=MW$43,MT26&gt;=MW$47,MS26&lt;&gt;""),AND(NU26&gt;=NY$43,NV26&gt;=NY$47,NU26&lt;&gt;""),AND(OW26&gt;=PA$43,OX26&gt;=PA$47,OW26&lt;&gt;""),AND(PY26&gt;=QC$43,PZ26&gt;=QC$47,PY26&lt;&gt;"")),"Excellence",IF(K26="P","Worlds Team",IF(H26="P","National Team","")))))</f>
        <v/>
      </c>
      <c r="K26" s="3" t="str">
        <f>IF(OR(AND(AS26&gt;=AW$42,AT26&gt;=AW$46,AS26&lt;&gt;"",AO26=""),AND(BV26&gt;=BZ$42,BW26&gt;=BZ$46,BV26&lt;&gt;"",BR26=""),AND(CY26&gt;=DC$42,CZ26&gt;=DC$46,CY26&lt;&gt;"",CU26=""),AND(EC26&gt;=EG$42,ED26&gt;=EG$46,EC26&lt;&gt;""),AND(FE26&gt;=FI$42,FF26&gt;=FI$46,FE26&lt;&gt;""),AND(GG26&gt;=GK$42,GH26&gt;=GK$46,GG26&lt;&gt;""),AND(HI26&gt;=HM$42,HJ26&gt;=HM$46,HI26&lt;&gt;""),AND(IK26&gt;=IO$42,IL26&gt;=IO$46,IK26&lt;&gt;""),AND(JM26&gt;=JQ$42,JN26&gt;=JQ$46,JM26&lt;&gt;""),AND(KO26&gt;=KS$42,KP26&gt;=KS$46,KO26&lt;&gt;""),AND(LQ26&gt;=LU$42,LR26&gt;=LU$46,LQ26&lt;&gt;""),AND(MS26&gt;=MW$42,MT26&gt;=MW$46,MS26&lt;&gt;""),AND(NU26&gt;=NY$42,NV26&gt;=NY$46,NU26&lt;&gt;""),AND(OW26&gt;=PA$42,OX26&gt;=PA$46,OW26&lt;&gt;""),AND(PY26&gt;=QC$42,PZ26&gt;=QC$46,PY26&lt;&gt;"")),"P","")</f>
        <v/>
      </c>
      <c r="L26" s="8">
        <f>IF(COUNT(AQ26,BT26,CW26)&gt;0,LARGE((AQ26,BT26,CW26),1),0)</f>
        <v>49.2</v>
      </c>
      <c r="M26" s="8" t="str">
        <f t="shared" si="1"/>
        <v>2025 Elite Canada</v>
      </c>
      <c r="N26" s="8">
        <f>IF(COUNT(AQ26,BT26,CW26)&gt;1,LARGE((AQ26,BT26,CW26),2),0)</f>
        <v>36.299999999999997</v>
      </c>
      <c r="O26" s="8" t="str">
        <f t="shared" si="2"/>
        <v>2025 Nationals</v>
      </c>
      <c r="P26" s="8">
        <f t="shared" si="3"/>
        <v>50.1</v>
      </c>
      <c r="Q26" s="8" t="str">
        <f t="shared" si="4"/>
        <v>2025 Elite Canada</v>
      </c>
      <c r="R26" s="8" t="str">
        <f t="shared" si="5"/>
        <v/>
      </c>
      <c r="S26" s="11" t="str">
        <f t="shared" si="6"/>
        <v/>
      </c>
      <c r="T26" s="8" t="str">
        <f t="shared" si="7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8"/>
        <v/>
      </c>
      <c r="AQ26" s="40" t="str">
        <f t="shared" si="9"/>
        <v/>
      </c>
      <c r="AR26" s="40" t="str">
        <f t="shared" si="10"/>
        <v/>
      </c>
      <c r="AS26" s="40" t="str">
        <f t="shared" si="11"/>
        <v/>
      </c>
      <c r="AT26" s="40" t="str">
        <f t="shared" si="12"/>
        <v/>
      </c>
      <c r="AU26" s="40" t="str">
        <f t="shared" si="13"/>
        <v/>
      </c>
      <c r="AV26" s="40" t="str">
        <f t="shared" si="14"/>
        <v/>
      </c>
      <c r="AW26" s="40" t="str">
        <f t="shared" si="15"/>
        <v/>
      </c>
      <c r="AX26" s="18">
        <v>18.600000000000001</v>
      </c>
      <c r="AY26" s="18">
        <v>6.8</v>
      </c>
      <c r="AZ26" s="18">
        <v>0.8</v>
      </c>
      <c r="BA26" s="18">
        <v>0</v>
      </c>
      <c r="BB26" s="18">
        <v>18</v>
      </c>
      <c r="BC26" s="18">
        <v>6.8</v>
      </c>
      <c r="BD26" s="18">
        <v>0.2</v>
      </c>
      <c r="BE26" s="18">
        <v>0</v>
      </c>
      <c r="BF26" s="18"/>
      <c r="BG26" s="18"/>
      <c r="BH26" s="18"/>
      <c r="BI26" s="18"/>
      <c r="BJ26" s="18">
        <v>19.100000000000001</v>
      </c>
      <c r="BK26" s="18">
        <v>6.8</v>
      </c>
      <c r="BL26" s="18">
        <v>0</v>
      </c>
      <c r="BM26" s="18">
        <v>0</v>
      </c>
      <c r="BN26" s="18">
        <v>18</v>
      </c>
      <c r="BO26" s="18">
        <v>6.8</v>
      </c>
      <c r="BP26" s="18">
        <v>0.6</v>
      </c>
      <c r="BQ26" s="18">
        <v>0</v>
      </c>
      <c r="BR26" s="28"/>
      <c r="BS26" s="11">
        <f t="shared" si="16"/>
        <v>13.6</v>
      </c>
      <c r="BT26" s="11">
        <f t="shared" si="17"/>
        <v>49.2</v>
      </c>
      <c r="BU26" s="11" t="str">
        <f t="shared" si="18"/>
        <v/>
      </c>
      <c r="BV26" s="11">
        <f t="shared" si="19"/>
        <v>13.6</v>
      </c>
      <c r="BW26" s="11">
        <f t="shared" si="20"/>
        <v>49.2</v>
      </c>
      <c r="BX26" s="11">
        <f t="shared" si="21"/>
        <v>13.6</v>
      </c>
      <c r="BY26" s="11">
        <f t="shared" si="22"/>
        <v>50.1</v>
      </c>
      <c r="BZ26" s="11">
        <f t="shared" si="23"/>
        <v>99.300000000000011</v>
      </c>
      <c r="CA26" s="19">
        <v>15.7</v>
      </c>
      <c r="CB26" s="19">
        <v>2.4</v>
      </c>
      <c r="CC26" s="19">
        <v>0</v>
      </c>
      <c r="CD26" s="19">
        <v>0</v>
      </c>
      <c r="CE26" s="19">
        <v>15.4</v>
      </c>
      <c r="CF26" s="19">
        <v>2.8</v>
      </c>
      <c r="CG26" s="19">
        <v>0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24"/>
        <v>5.1999999999999993</v>
      </c>
      <c r="CW26" s="40">
        <f t="shared" si="25"/>
        <v>36.299999999999997</v>
      </c>
      <c r="CX26" s="40" t="str">
        <f t="shared" si="26"/>
        <v/>
      </c>
      <c r="CY26" s="40">
        <f t="shared" si="27"/>
        <v>5.1999999999999993</v>
      </c>
      <c r="CZ26" s="40">
        <f t="shared" si="28"/>
        <v>36.299999999999997</v>
      </c>
      <c r="DA26" s="40" t="str">
        <f t="shared" si="29"/>
        <v/>
      </c>
      <c r="DB26" s="40" t="str">
        <f t="shared" si="30"/>
        <v/>
      </c>
      <c r="DC26" s="40">
        <f t="shared" si="31"/>
        <v>36.299999999999997</v>
      </c>
      <c r="DD26" s="50" t="str">
        <f t="shared" si="32"/>
        <v/>
      </c>
      <c r="DE26" s="50" t="str">
        <f t="shared" si="33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4"/>
        <v/>
      </c>
      <c r="EA26" s="40" t="str">
        <f t="shared" si="35"/>
        <v/>
      </c>
      <c r="EB26" s="40" t="str">
        <f t="shared" si="36"/>
        <v/>
      </c>
      <c r="EC26" s="40" t="str">
        <f t="shared" si="37"/>
        <v/>
      </c>
      <c r="ED26" s="40" t="str">
        <f t="shared" si="38"/>
        <v/>
      </c>
      <c r="EE26" s="40" t="str">
        <f t="shared" si="39"/>
        <v/>
      </c>
      <c r="EF26" s="40" t="str">
        <f t="shared" si="40"/>
        <v/>
      </c>
      <c r="EG26" s="40" t="str">
        <f t="shared" si="41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2"/>
        <v/>
      </c>
      <c r="FC26" s="11" t="str">
        <f t="shared" si="43"/>
        <v/>
      </c>
      <c r="FD26" s="11" t="str">
        <f t="shared" si="44"/>
        <v/>
      </c>
      <c r="FE26" s="11" t="str">
        <f t="shared" si="45"/>
        <v/>
      </c>
      <c r="FF26" s="11" t="str">
        <f t="shared" si="46"/>
        <v/>
      </c>
      <c r="FG26" s="11" t="str">
        <f t="shared" si="47"/>
        <v/>
      </c>
      <c r="FH26" s="11" t="str">
        <f t="shared" si="48"/>
        <v/>
      </c>
      <c r="FI26" s="11" t="str">
        <f t="shared" si="49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0"/>
        <v/>
      </c>
      <c r="GE26" s="40" t="str">
        <f t="shared" si="51"/>
        <v/>
      </c>
      <c r="GF26" s="40" t="str">
        <f t="shared" si="52"/>
        <v/>
      </c>
      <c r="GG26" s="40" t="str">
        <f t="shared" si="53"/>
        <v/>
      </c>
      <c r="GH26" s="40" t="str">
        <f t="shared" si="54"/>
        <v/>
      </c>
      <c r="GI26" s="40" t="str">
        <f t="shared" si="55"/>
        <v/>
      </c>
      <c r="GJ26" s="40" t="str">
        <f t="shared" si="56"/>
        <v/>
      </c>
      <c r="GK26" s="40" t="str">
        <f t="shared" si="57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58"/>
        <v/>
      </c>
      <c r="HG26" s="11" t="str">
        <f t="shared" si="59"/>
        <v/>
      </c>
      <c r="HH26" s="11" t="str">
        <f t="shared" si="60"/>
        <v/>
      </c>
      <c r="HI26" s="11" t="str">
        <f t="shared" si="61"/>
        <v/>
      </c>
      <c r="HJ26" s="11" t="str">
        <f t="shared" si="62"/>
        <v/>
      </c>
      <c r="HK26" s="11" t="str">
        <f t="shared" si="63"/>
        <v/>
      </c>
      <c r="HL26" s="11" t="str">
        <f t="shared" si="64"/>
        <v/>
      </c>
      <c r="HM26" s="11" t="str">
        <f t="shared" si="65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66"/>
        <v/>
      </c>
      <c r="II26" s="40" t="str">
        <f t="shared" si="67"/>
        <v/>
      </c>
      <c r="IJ26" s="40" t="str">
        <f t="shared" si="68"/>
        <v/>
      </c>
      <c r="IK26" s="40" t="str">
        <f t="shared" si="69"/>
        <v/>
      </c>
      <c r="IL26" s="40" t="str">
        <f t="shared" si="70"/>
        <v/>
      </c>
      <c r="IM26" s="40" t="str">
        <f t="shared" si="71"/>
        <v/>
      </c>
      <c r="IN26" s="40" t="str">
        <f t="shared" si="72"/>
        <v/>
      </c>
      <c r="IO26" s="40" t="str">
        <f t="shared" si="73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4"/>
        <v/>
      </c>
      <c r="JK26" s="11" t="str">
        <f t="shared" si="75"/>
        <v/>
      </c>
      <c r="JL26" s="11" t="str">
        <f t="shared" si="76"/>
        <v/>
      </c>
      <c r="JM26" s="11" t="str">
        <f t="shared" si="77"/>
        <v/>
      </c>
      <c r="JN26" s="11" t="str">
        <f t="shared" si="78"/>
        <v/>
      </c>
      <c r="JO26" s="11" t="str">
        <f t="shared" si="79"/>
        <v/>
      </c>
      <c r="JP26" s="11" t="str">
        <f t="shared" si="80"/>
        <v/>
      </c>
      <c r="JQ26" s="11" t="str">
        <f t="shared" si="81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2"/>
        <v/>
      </c>
      <c r="KM26" s="40" t="str">
        <f t="shared" si="83"/>
        <v/>
      </c>
      <c r="KN26" s="40" t="str">
        <f t="shared" si="84"/>
        <v/>
      </c>
      <c r="KO26" s="40" t="str">
        <f t="shared" si="85"/>
        <v/>
      </c>
      <c r="KP26" s="40" t="str">
        <f t="shared" si="86"/>
        <v/>
      </c>
      <c r="KQ26" s="40" t="str">
        <f t="shared" si="87"/>
        <v/>
      </c>
      <c r="KR26" s="40" t="str">
        <f t="shared" si="88"/>
        <v/>
      </c>
      <c r="KS26" s="40" t="str">
        <f t="shared" si="89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0"/>
        <v/>
      </c>
      <c r="LO26" s="11" t="str">
        <f t="shared" si="91"/>
        <v/>
      </c>
      <c r="LP26" s="11" t="str">
        <f t="shared" si="92"/>
        <v/>
      </c>
      <c r="LQ26" s="11" t="str">
        <f t="shared" si="93"/>
        <v/>
      </c>
      <c r="LR26" s="11" t="str">
        <f t="shared" si="94"/>
        <v/>
      </c>
      <c r="LS26" s="11" t="str">
        <f t="shared" si="95"/>
        <v/>
      </c>
      <c r="LT26" s="11" t="str">
        <f t="shared" si="96"/>
        <v/>
      </c>
      <c r="LU26" s="11" t="str">
        <f t="shared" si="97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98"/>
        <v/>
      </c>
      <c r="MQ26" s="40" t="str">
        <f t="shared" si="99"/>
        <v/>
      </c>
      <c r="MR26" s="40" t="str">
        <f t="shared" si="100"/>
        <v/>
      </c>
      <c r="MS26" s="40" t="str">
        <f t="shared" si="101"/>
        <v/>
      </c>
      <c r="MT26" s="40" t="str">
        <f t="shared" si="102"/>
        <v/>
      </c>
      <c r="MU26" s="40" t="str">
        <f t="shared" si="103"/>
        <v/>
      </c>
      <c r="MV26" s="40" t="str">
        <f t="shared" si="104"/>
        <v/>
      </c>
      <c r="MW26" s="40" t="str">
        <f t="shared" si="105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06"/>
        <v/>
      </c>
      <c r="NS26" s="11" t="str">
        <f t="shared" si="107"/>
        <v/>
      </c>
      <c r="NT26" s="11" t="str">
        <f t="shared" si="108"/>
        <v/>
      </c>
      <c r="NU26" s="11" t="str">
        <f t="shared" si="109"/>
        <v/>
      </c>
      <c r="NV26" s="11" t="str">
        <f t="shared" si="110"/>
        <v/>
      </c>
      <c r="NW26" s="11" t="str">
        <f t="shared" si="111"/>
        <v/>
      </c>
      <c r="NX26" s="11" t="str">
        <f t="shared" si="112"/>
        <v/>
      </c>
      <c r="NY26" s="11" t="str">
        <f t="shared" si="113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4"/>
        <v/>
      </c>
      <c r="OU26" s="40" t="str">
        <f t="shared" si="115"/>
        <v/>
      </c>
      <c r="OV26" s="40" t="str">
        <f t="shared" si="116"/>
        <v/>
      </c>
      <c r="OW26" s="40" t="str">
        <f t="shared" si="117"/>
        <v/>
      </c>
      <c r="OX26" s="40" t="str">
        <f t="shared" si="118"/>
        <v/>
      </c>
      <c r="OY26" s="40" t="str">
        <f t="shared" si="119"/>
        <v/>
      </c>
      <c r="OZ26" s="40" t="str">
        <f t="shared" si="120"/>
        <v/>
      </c>
      <c r="PA26" s="40" t="str">
        <f t="shared" si="121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2"/>
        <v/>
      </c>
      <c r="PW26" s="11" t="str">
        <f t="shared" si="123"/>
        <v/>
      </c>
      <c r="PX26" s="11" t="str">
        <f t="shared" si="124"/>
        <v/>
      </c>
      <c r="PY26" s="11" t="str">
        <f t="shared" si="125"/>
        <v/>
      </c>
      <c r="PZ26" s="11" t="str">
        <f t="shared" si="126"/>
        <v/>
      </c>
      <c r="QA26" s="11" t="str">
        <f t="shared" si="127"/>
        <v/>
      </c>
      <c r="QB26" s="11" t="str">
        <f t="shared" si="128"/>
        <v/>
      </c>
      <c r="QC26" s="11" t="str">
        <f t="shared" si="129"/>
        <v/>
      </c>
      <c r="QD26" s="22">
        <f t="shared" si="130"/>
        <v>17.149999999999999</v>
      </c>
      <c r="QE26" s="22">
        <f t="shared" si="131"/>
        <v>4.5999999999999996</v>
      </c>
      <c r="QF26" s="22">
        <f t="shared" si="132"/>
        <v>0.4</v>
      </c>
      <c r="QG26" s="22">
        <f t="shared" si="133"/>
        <v>0</v>
      </c>
      <c r="QH26" s="22">
        <f t="shared" si="134"/>
        <v>16.7</v>
      </c>
      <c r="QI26" s="22">
        <f t="shared" si="135"/>
        <v>4.8</v>
      </c>
      <c r="QJ26" s="22">
        <f t="shared" si="136"/>
        <v>0.1</v>
      </c>
      <c r="QK26" s="22">
        <f t="shared" si="137"/>
        <v>0</v>
      </c>
      <c r="QL26" s="22">
        <f t="shared" si="138"/>
        <v>0</v>
      </c>
      <c r="QM26" s="22">
        <f t="shared" si="139"/>
        <v>0</v>
      </c>
      <c r="QN26" s="22">
        <f t="shared" si="140"/>
        <v>0</v>
      </c>
      <c r="QO26" s="22">
        <f t="shared" si="141"/>
        <v>0</v>
      </c>
      <c r="QP26" s="22">
        <f t="shared" si="142"/>
        <v>9.5500000000000007</v>
      </c>
      <c r="QQ26" s="22">
        <f t="shared" si="143"/>
        <v>3.4</v>
      </c>
      <c r="QR26" s="22">
        <f t="shared" si="144"/>
        <v>0</v>
      </c>
      <c r="QS26" s="22">
        <f t="shared" si="145"/>
        <v>0</v>
      </c>
      <c r="QT26" s="22">
        <f t="shared" si="146"/>
        <v>9</v>
      </c>
      <c r="QU26" s="22">
        <f t="shared" si="147"/>
        <v>3.4</v>
      </c>
      <c r="QV26" s="22">
        <f t="shared" si="148"/>
        <v>0.3</v>
      </c>
      <c r="QW26" s="22">
        <f t="shared" si="149"/>
        <v>0</v>
      </c>
      <c r="QX26" s="27" t="s">
        <v>46</v>
      </c>
      <c r="QY26" s="40">
        <f t="shared" si="150"/>
        <v>9.3999999999999986</v>
      </c>
      <c r="QZ26" s="40">
        <f t="shared" si="151"/>
        <v>42.75</v>
      </c>
      <c r="RA26" s="40" t="str">
        <f t="shared" si="152"/>
        <v/>
      </c>
      <c r="RB26" s="40">
        <f t="shared" si="153"/>
        <v>9.3999999999999986</v>
      </c>
      <c r="RC26" s="40">
        <f t="shared" si="154"/>
        <v>42.75</v>
      </c>
      <c r="RD26" s="40">
        <f t="shared" si="155"/>
        <v>6.8</v>
      </c>
      <c r="RE26" s="40">
        <f t="shared" si="156"/>
        <v>25.05</v>
      </c>
      <c r="RF26" s="40">
        <f t="shared" si="157"/>
        <v>67.8</v>
      </c>
    </row>
    <row r="27" spans="1:474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191</v>
      </c>
      <c r="D27" s="4" t="s">
        <v>5</v>
      </c>
      <c r="E27" s="4">
        <v>2008</v>
      </c>
      <c r="F27" s="9">
        <f t="shared" si="0"/>
        <v>132.80000883000446</v>
      </c>
      <c r="H27" s="3" t="str">
        <f>IF(OR(AND(AP27&gt;=AW$41,AQ27&gt;=AW$45,AP27&lt;&gt;"",AO27=""),AND(AU27&gt;=AW$41,AV27&gt;=AW$45,AU27&lt;&gt;"",AO27=""),AND(BS27&gt;=BZ$41,BT27&gt;=BZ$45,BS27&lt;&gt;"",BR27=""),AND(BX27&gt;=BZ$41,BY27&gt;=BZ$45,BX27&lt;&gt;"",BR27=""),AND(CV27&gt;=DC$41,CW27&gt;=DC$45,CV27&lt;&gt;"",CU27=""),AND(DA27&gt;=DC$41,DB27&gt;=DC$45,DA27&lt;&gt;""),AND(DZ27&gt;=EG$41,EA27&gt;=EG$45,DZ27&lt;&gt;""),AND(EE27&gt;=EG$41,EF27&gt;=EG$45,EE27&lt;&gt;""),AND(FB27&gt;=FI$41,FC27&gt;=FI$45,FB27&lt;&gt;""),AND(FG27&gt;=FI$41,FH27&gt;=FI$45,FG27&lt;&gt;""),AND(GD27&gt;=GK$41,GE27&gt;=GK$45,GD27&lt;&gt;""),AND(GI27&gt;=GK$41,GJ27&gt;=GK$45,GI27&lt;&gt;""),AND(HF27&gt;=HM$41,HG27&gt;=HM$45,HF27&lt;&gt;""),AND(HK27&gt;=HM$41,HL27&gt;=HM$45,HK27&lt;&gt;""),AND(IH27&gt;=IO$41,II27&gt;=IO$45,IH27&lt;&gt;""),AND(IM27&gt;=IO$41,IN27&gt;=IO$45,IM27&lt;&gt;""),AND(JJ27&gt;=JQ$41,JK27&gt;=JQ$45,JJ27&lt;&gt;""),AND(JO27&gt;=JQ$41,JP27&gt;=JQ$45,JO27&lt;&gt;""),AND(KL27&gt;=KS$41,KM27&gt;=KS$45,KL27&lt;&gt;""),AND(KQ27&gt;=KS$41,KR27&gt;=KS$45,KQ27&lt;&gt;""),AND(LN27&gt;=LU$41,LO27&gt;=LU$45,LN27&lt;&gt;""),AND(LS27&gt;=LU$41,LT27&gt;=LU$45,LS27&lt;&gt;""),AND(MP27&gt;=MW$41,MQ27&gt;=MW$45,MP27&lt;&gt;""),AND(MU27&gt;=MW$41,MV27&gt;=MW$45,MU27&lt;&gt;""),AND(NR27&gt;=NY$41,NS27&gt;=NY$45,NR27&lt;&gt;""),AND(NW27&gt;=NY$41,NX27&gt;=NY$45,NW27&lt;&gt;""),AND(OT27&gt;=PA$41,OU27&gt;=PA$45,OT27&lt;&gt;""),AND(OY27&gt;=PA$41,OZ27&gt;=PA$45,OY27&lt;&gt;""),AND(PV27&gt;=QC$41,PW27&gt;=QC$45,PV27&lt;&gt;""),AND(QA27&gt;=QC$41,QB27&gt;=QC$45,QA27&lt;&gt;"")),"P","")</f>
        <v/>
      </c>
      <c r="I27" s="3" t="str">
        <f>IF(OR(AND(AQ27&gt;=AW$45,AQ27&lt;&gt;"",AO27=""),AND(AV27&gt;=AW$45,AV27&lt;&gt;"",AO27=""),AND(BT27&gt;=BZ$45,BT27&lt;&gt;"",BR27=""),AND(BY27&gt;=BZ$45,BY27&lt;&gt;"",BR27=""),AND(CW27&gt;=DC$45,CW27&lt;&gt;"",CU27=""),AND(DB27&gt;=DC$45,DB27&lt;&gt;"",CU27=""),AND(EA27&gt;=EG$45,EA27&lt;&gt;""),AND(EF27&gt;=EG$45,EF27&lt;&gt;""),AND(FC27&gt;=FI$45,FC27&lt;&gt;""),AND(FH27&gt;=FI$45,FH27&lt;&gt;""),AND(GE27&gt;=GK$45,GE27&lt;&gt;""),AND(GJ27&gt;=GK$45,GJ27&lt;&gt;""),AND(HG27&gt;=HM$45,HG27&lt;&gt;""),AND(HL27&gt;=HM$45,HL27&lt;&gt;""),AND(II27&gt;=IO$45,II27&lt;&gt;""),AND(IN27&gt;=IO$45,IN27&lt;&gt;""),AND(JK27&gt;=JQ$45,JK27&lt;&gt;""),AND(JP27&gt;=JQ$45,JP27&lt;&gt;""),AND(KM27&gt;=KS$45,KM27&lt;&gt;""),AND(KR27&gt;=KS$45,KR27&lt;&gt;""),AND(LO27&gt;=LU$45,LO27&lt;&gt;""),AND(LT27&gt;=LU$45,LT27&lt;&gt;""),AND(MQ27&gt;=MW$45,MQ27&lt;&gt;""),AND(MV27&gt;=MW$45,MV27&lt;&gt;""),AND(NS27&gt;=NY$45,NS27&lt;&gt;""),AND(NX27&gt;=NY$45,NX27&lt;&gt;""),AND(OU27&gt;=PA$45,OU27&lt;&gt;""),AND(OZ27&gt;=PA$45,OZ27&lt;&gt;""),AND(PW27&gt;=QC$45,PW27&lt;&gt;""),AND(QB27&gt;=QC$45,QB27&lt;&gt;"")),"P","")</f>
        <v/>
      </c>
      <c r="J27" s="36" t="str">
        <f>IF(AND(I27="P",H27=""),"No DD",IF(OR(AND(AS27&gt;=AW$44,AT27&gt;=AW$48,AS27&lt;&gt;"",AO27=""),AND(BV27&gt;=BZ$44,BW27&gt;=BZ$48,BV27&lt;&gt;"",BR27=""),AND(CY27&gt;=DC$44,CZ27&gt;=DC$48,CY27&lt;&gt;"",CU27=""),AND(EC27&gt;=EG$44,ED27&gt;=EG$48,EC27&lt;&gt;""),AND(FE27&gt;=FI$44,FF27&gt;=FI$48,FE27&lt;&gt;""),AND(GG27&gt;=GK$44,GH27&gt;=GK$48,GG27&lt;&gt;""),AND(HI27&gt;=HM$44,HJ27&gt;=HM$48,HI27&lt;&gt;""),AND(IK27&gt;=IO$44,IL27&gt;=IO$48,IK27&lt;&gt;""),AND(JM27&gt;=JQ$44,JN27&gt;=JQ$48,JM27&lt;&gt;""),AND(KO27&gt;=KS$44,KP27&gt;=KS$48,KO27&lt;&gt;""),AND(LQ27&gt;=LU$44,LR27&gt;=LU$48,LQ27&lt;&gt;""),AND(MS27&gt;=MW$44,MT27&gt;=MW$48,MS27&lt;&gt;""),AND(NU27&gt;=NY$44,NV27&gt;=NY$48,NU27&lt;&gt;""),AND(OW27&gt;=PA$44,OX27&gt;=PA$48,OW27&lt;&gt;""),AND(PY27&gt;=QC$44,PZ27&gt;=QC$48,PY27&lt;&gt;"")),"Merit",IF(OR(AND(AS27&gt;=AW$43,AT27&gt;=AW$47,AS27&lt;&gt;"",AO27=""),AND(BV27&gt;=BZ$43,BW27&gt;=BZ$47,BV27&lt;&gt;"",BR27=""),AND(CY27&gt;=DC$43,CZ27&gt;=DC$47,CY27&lt;&gt;"",CU27=""),AND(EC27&gt;=EG$43,ED27&gt;=EG$47,EC27&lt;&gt;""),AND(FE27&gt;=FI$43,FF27&gt;=FI$47,FE27&lt;&gt;""),AND(GG27&gt;=GK$43,GH27&gt;=GK$47,GG27&lt;&gt;""),AND(HI27&gt;=HM$43,HJ27&gt;=HM$47,HI27&lt;&gt;""),AND(IK27&gt;=IO$43,IL27&gt;=IO$47,IK27&lt;&gt;""),AND(JM27&gt;=JQ$43,JN27&gt;=JQ$47,JM27&lt;&gt;""),AND(KO27&gt;=KS$43,KP27&gt;=KS$47,KO27&lt;&gt;""),AND(LQ27&gt;=LU$43,LR27&gt;=LU$47,LQ27&lt;&gt;""),AND(MS27&gt;=MW$43,MT27&gt;=MW$47,MS27&lt;&gt;""),AND(NU27&gt;=NY$43,NV27&gt;=NY$47,NU27&lt;&gt;""),AND(OW27&gt;=PA$43,OX27&gt;=PA$47,OW27&lt;&gt;""),AND(PY27&gt;=QC$43,PZ27&gt;=QC$47,PY27&lt;&gt;"")),"Excellence",IF(K27="P","Worlds Team",IF(H27="P","National Team","")))))</f>
        <v/>
      </c>
      <c r="K27" s="3" t="str">
        <f>IF(OR(AND(AS27&gt;=AW$42,AT27&gt;=AW$46,AS27&lt;&gt;"",AO27=""),AND(BV27&gt;=BZ$42,BW27&gt;=BZ$46,BV27&lt;&gt;"",BR27=""),AND(CY27&gt;=DC$42,CZ27&gt;=DC$46,CY27&lt;&gt;"",CU27=""),AND(EC27&gt;=EG$42,ED27&gt;=EG$46,EC27&lt;&gt;""),AND(FE27&gt;=FI$42,FF27&gt;=FI$46,FE27&lt;&gt;""),AND(GG27&gt;=GK$42,GH27&gt;=GK$46,GG27&lt;&gt;""),AND(HI27&gt;=HM$42,HJ27&gt;=HM$46,HI27&lt;&gt;""),AND(IK27&gt;=IO$42,IL27&gt;=IO$46,IK27&lt;&gt;""),AND(JM27&gt;=JQ$42,JN27&gt;=JQ$46,JM27&lt;&gt;""),AND(KO27&gt;=KS$42,KP27&gt;=KS$46,KO27&lt;&gt;""),AND(LQ27&gt;=LU$42,LR27&gt;=LU$46,LQ27&lt;&gt;""),AND(MS27&gt;=MW$42,MT27&gt;=MW$46,MS27&lt;&gt;""),AND(NU27&gt;=NY$42,NV27&gt;=NY$46,NU27&lt;&gt;""),AND(OW27&gt;=PA$42,OX27&gt;=PA$46,OW27&lt;&gt;""),AND(PY27&gt;=QC$42,PZ27&gt;=QC$46,PY27&lt;&gt;"")),"P","")</f>
        <v/>
      </c>
      <c r="L27" s="8">
        <f>IF(COUNT(AQ27,BT27,CW27)&gt;0,LARGE((AQ27,BT27,CW27),1),0)</f>
        <v>44.2</v>
      </c>
      <c r="M27" s="8" t="str">
        <f t="shared" si="1"/>
        <v>2024 3rd Domestic Trial</v>
      </c>
      <c r="N27" s="8">
        <f>IF(COUNT(AQ27,BT27,CW27)&gt;1,LARGE((AQ27,BT27,CW27),2),0)</f>
        <v>44.1</v>
      </c>
      <c r="O27" s="8" t="str">
        <f t="shared" si="2"/>
        <v>2025 Elite Canada</v>
      </c>
      <c r="P27" s="8">
        <f t="shared" si="3"/>
        <v>44.5</v>
      </c>
      <c r="Q27" s="8" t="str">
        <f t="shared" si="4"/>
        <v>2024 3rd Domestic Trial</v>
      </c>
      <c r="R27" s="8" t="str">
        <f t="shared" si="5"/>
        <v/>
      </c>
      <c r="S27" s="11" t="str">
        <f t="shared" si="6"/>
        <v/>
      </c>
      <c r="T27" s="8" t="str">
        <f t="shared" si="7"/>
        <v/>
      </c>
      <c r="U27" s="19">
        <v>17.600000000000001</v>
      </c>
      <c r="V27" s="19">
        <v>4.4000000000000004</v>
      </c>
      <c r="W27" s="19">
        <v>0</v>
      </c>
      <c r="X27" s="19">
        <v>0</v>
      </c>
      <c r="Y27" s="19">
        <v>18.600000000000001</v>
      </c>
      <c r="Z27" s="19">
        <v>3.6</v>
      </c>
      <c r="AA27" s="19">
        <v>0</v>
      </c>
      <c r="AB27" s="19">
        <v>0</v>
      </c>
      <c r="AC27" s="19"/>
      <c r="AD27" s="19"/>
      <c r="AE27" s="19"/>
      <c r="AF27" s="19"/>
      <c r="AG27" s="19">
        <v>18.2</v>
      </c>
      <c r="AH27" s="19">
        <v>4.3</v>
      </c>
      <c r="AI27" s="19">
        <v>0.2</v>
      </c>
      <c r="AJ27" s="19">
        <v>0</v>
      </c>
      <c r="AK27" s="19">
        <v>18.5</v>
      </c>
      <c r="AL27" s="19">
        <v>3.7</v>
      </c>
      <c r="AM27" s="19">
        <v>0</v>
      </c>
      <c r="AN27" s="19">
        <v>0</v>
      </c>
      <c r="AO27" s="27"/>
      <c r="AP27" s="40">
        <f t="shared" si="8"/>
        <v>8</v>
      </c>
      <c r="AQ27" s="40">
        <f t="shared" si="9"/>
        <v>44.2</v>
      </c>
      <c r="AR27" s="40" t="str">
        <f t="shared" si="10"/>
        <v/>
      </c>
      <c r="AS27" s="40">
        <f t="shared" si="11"/>
        <v>8</v>
      </c>
      <c r="AT27" s="40">
        <f t="shared" si="12"/>
        <v>44.2</v>
      </c>
      <c r="AU27" s="40">
        <f t="shared" si="13"/>
        <v>8</v>
      </c>
      <c r="AV27" s="40">
        <f t="shared" si="14"/>
        <v>44.5</v>
      </c>
      <c r="AW27" s="40">
        <f t="shared" si="15"/>
        <v>88.7</v>
      </c>
      <c r="AX27" s="18">
        <v>17.600000000000001</v>
      </c>
      <c r="AY27" s="18">
        <v>4.4000000000000004</v>
      </c>
      <c r="AZ27" s="18">
        <v>0.8</v>
      </c>
      <c r="BA27" s="18">
        <v>0</v>
      </c>
      <c r="BB27" s="18">
        <v>18.899999999999999</v>
      </c>
      <c r="BC27" s="18">
        <v>4.3</v>
      </c>
      <c r="BD27" s="18">
        <v>0.3</v>
      </c>
      <c r="BE27" s="18">
        <v>0</v>
      </c>
      <c r="BF27" s="18"/>
      <c r="BG27" s="18"/>
      <c r="BH27" s="18"/>
      <c r="BI27" s="18"/>
      <c r="BJ27" s="18">
        <v>17.600000000000001</v>
      </c>
      <c r="BK27" s="18">
        <v>4.8</v>
      </c>
      <c r="BL27" s="18">
        <v>0.6</v>
      </c>
      <c r="BM27" s="18">
        <v>0</v>
      </c>
      <c r="BN27" s="18">
        <v>15.1</v>
      </c>
      <c r="BO27" s="18">
        <v>2.4</v>
      </c>
      <c r="BP27" s="18">
        <v>0</v>
      </c>
      <c r="BQ27" s="18">
        <v>0</v>
      </c>
      <c r="BR27" s="28"/>
      <c r="BS27" s="11">
        <f t="shared" si="16"/>
        <v>8.6999999999999993</v>
      </c>
      <c r="BT27" s="11">
        <f t="shared" si="17"/>
        <v>44.1</v>
      </c>
      <c r="BU27" s="11" t="str">
        <f t="shared" si="18"/>
        <v/>
      </c>
      <c r="BV27" s="11">
        <f t="shared" si="19"/>
        <v>8.6999999999999993</v>
      </c>
      <c r="BW27" s="11">
        <f t="shared" si="20"/>
        <v>44.1</v>
      </c>
      <c r="BX27" s="11">
        <f t="shared" si="21"/>
        <v>7.1999999999999993</v>
      </c>
      <c r="BY27" s="11">
        <f t="shared" si="22"/>
        <v>39.299999999999997</v>
      </c>
      <c r="BZ27" s="11">
        <f t="shared" si="23"/>
        <v>83.4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 t="shared" si="24"/>
        <v/>
      </c>
      <c r="CW27" s="40" t="str">
        <f t="shared" si="25"/>
        <v/>
      </c>
      <c r="CX27" s="40" t="str">
        <f t="shared" si="26"/>
        <v/>
      </c>
      <c r="CY27" s="40" t="str">
        <f t="shared" si="27"/>
        <v/>
      </c>
      <c r="CZ27" s="40" t="str">
        <f t="shared" si="28"/>
        <v/>
      </c>
      <c r="DA27" s="40" t="str">
        <f t="shared" si="29"/>
        <v/>
      </c>
      <c r="DB27" s="40" t="str">
        <f t="shared" si="30"/>
        <v/>
      </c>
      <c r="DC27" s="40" t="str">
        <f t="shared" si="31"/>
        <v/>
      </c>
      <c r="DD27" s="50" t="str">
        <f t="shared" si="32"/>
        <v/>
      </c>
      <c r="DE27" s="50" t="str">
        <f t="shared" si="33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4"/>
        <v/>
      </c>
      <c r="EA27" s="40" t="str">
        <f t="shared" si="35"/>
        <v/>
      </c>
      <c r="EB27" s="40" t="str">
        <f t="shared" si="36"/>
        <v/>
      </c>
      <c r="EC27" s="40" t="str">
        <f t="shared" si="37"/>
        <v/>
      </c>
      <c r="ED27" s="40" t="str">
        <f t="shared" si="38"/>
        <v/>
      </c>
      <c r="EE27" s="40" t="str">
        <f t="shared" si="39"/>
        <v/>
      </c>
      <c r="EF27" s="40" t="str">
        <f t="shared" si="40"/>
        <v/>
      </c>
      <c r="EG27" s="40" t="str">
        <f t="shared" si="41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2"/>
        <v/>
      </c>
      <c r="FC27" s="11" t="str">
        <f t="shared" si="43"/>
        <v/>
      </c>
      <c r="FD27" s="11" t="str">
        <f t="shared" si="44"/>
        <v/>
      </c>
      <c r="FE27" s="11" t="str">
        <f t="shared" si="45"/>
        <v/>
      </c>
      <c r="FF27" s="11" t="str">
        <f t="shared" si="46"/>
        <v/>
      </c>
      <c r="FG27" s="11" t="str">
        <f t="shared" si="47"/>
        <v/>
      </c>
      <c r="FH27" s="11" t="str">
        <f t="shared" si="48"/>
        <v/>
      </c>
      <c r="FI27" s="11" t="str">
        <f t="shared" si="49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0"/>
        <v/>
      </c>
      <c r="GE27" s="40" t="str">
        <f t="shared" si="51"/>
        <v/>
      </c>
      <c r="GF27" s="40" t="str">
        <f t="shared" si="52"/>
        <v/>
      </c>
      <c r="GG27" s="40" t="str">
        <f t="shared" si="53"/>
        <v/>
      </c>
      <c r="GH27" s="40" t="str">
        <f t="shared" si="54"/>
        <v/>
      </c>
      <c r="GI27" s="40" t="str">
        <f t="shared" si="55"/>
        <v/>
      </c>
      <c r="GJ27" s="40" t="str">
        <f t="shared" si="56"/>
        <v/>
      </c>
      <c r="GK27" s="40" t="str">
        <f t="shared" si="57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58"/>
        <v/>
      </c>
      <c r="HG27" s="11" t="str">
        <f t="shared" si="59"/>
        <v/>
      </c>
      <c r="HH27" s="11" t="str">
        <f t="shared" si="60"/>
        <v/>
      </c>
      <c r="HI27" s="11" t="str">
        <f t="shared" si="61"/>
        <v/>
      </c>
      <c r="HJ27" s="11" t="str">
        <f t="shared" si="62"/>
        <v/>
      </c>
      <c r="HK27" s="11" t="str">
        <f t="shared" si="63"/>
        <v/>
      </c>
      <c r="HL27" s="11" t="str">
        <f t="shared" si="64"/>
        <v/>
      </c>
      <c r="HM27" s="11" t="str">
        <f t="shared" si="65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66"/>
        <v/>
      </c>
      <c r="II27" s="40" t="str">
        <f t="shared" si="67"/>
        <v/>
      </c>
      <c r="IJ27" s="40" t="str">
        <f t="shared" si="68"/>
        <v/>
      </c>
      <c r="IK27" s="40" t="str">
        <f t="shared" si="69"/>
        <v/>
      </c>
      <c r="IL27" s="40" t="str">
        <f t="shared" si="70"/>
        <v/>
      </c>
      <c r="IM27" s="40" t="str">
        <f t="shared" si="71"/>
        <v/>
      </c>
      <c r="IN27" s="40" t="str">
        <f t="shared" si="72"/>
        <v/>
      </c>
      <c r="IO27" s="40" t="str">
        <f t="shared" si="73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4"/>
        <v/>
      </c>
      <c r="JK27" s="11" t="str">
        <f t="shared" si="75"/>
        <v/>
      </c>
      <c r="JL27" s="11" t="str">
        <f t="shared" si="76"/>
        <v/>
      </c>
      <c r="JM27" s="11" t="str">
        <f t="shared" si="77"/>
        <v/>
      </c>
      <c r="JN27" s="11" t="str">
        <f t="shared" si="78"/>
        <v/>
      </c>
      <c r="JO27" s="11" t="str">
        <f t="shared" si="79"/>
        <v/>
      </c>
      <c r="JP27" s="11" t="str">
        <f t="shared" si="80"/>
        <v/>
      </c>
      <c r="JQ27" s="11" t="str">
        <f t="shared" si="81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2"/>
        <v/>
      </c>
      <c r="KM27" s="40" t="str">
        <f t="shared" si="83"/>
        <v/>
      </c>
      <c r="KN27" s="40" t="str">
        <f t="shared" si="84"/>
        <v/>
      </c>
      <c r="KO27" s="40" t="str">
        <f t="shared" si="85"/>
        <v/>
      </c>
      <c r="KP27" s="40" t="str">
        <f t="shared" si="86"/>
        <v/>
      </c>
      <c r="KQ27" s="40" t="str">
        <f t="shared" si="87"/>
        <v/>
      </c>
      <c r="KR27" s="40" t="str">
        <f t="shared" si="88"/>
        <v/>
      </c>
      <c r="KS27" s="40" t="str">
        <f t="shared" si="89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0"/>
        <v/>
      </c>
      <c r="LO27" s="11" t="str">
        <f t="shared" si="91"/>
        <v/>
      </c>
      <c r="LP27" s="11" t="str">
        <f t="shared" si="92"/>
        <v/>
      </c>
      <c r="LQ27" s="11" t="str">
        <f t="shared" si="93"/>
        <v/>
      </c>
      <c r="LR27" s="11" t="str">
        <f t="shared" si="94"/>
        <v/>
      </c>
      <c r="LS27" s="11" t="str">
        <f t="shared" si="95"/>
        <v/>
      </c>
      <c r="LT27" s="11" t="str">
        <f t="shared" si="96"/>
        <v/>
      </c>
      <c r="LU27" s="11" t="str">
        <f t="shared" si="97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98"/>
        <v/>
      </c>
      <c r="MQ27" s="40" t="str">
        <f t="shared" si="99"/>
        <v/>
      </c>
      <c r="MR27" s="40" t="str">
        <f t="shared" si="100"/>
        <v/>
      </c>
      <c r="MS27" s="40" t="str">
        <f t="shared" si="101"/>
        <v/>
      </c>
      <c r="MT27" s="40" t="str">
        <f t="shared" si="102"/>
        <v/>
      </c>
      <c r="MU27" s="40" t="str">
        <f t="shared" si="103"/>
        <v/>
      </c>
      <c r="MV27" s="40" t="str">
        <f t="shared" si="104"/>
        <v/>
      </c>
      <c r="MW27" s="40" t="str">
        <f t="shared" si="105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06"/>
        <v/>
      </c>
      <c r="NS27" s="11" t="str">
        <f t="shared" si="107"/>
        <v/>
      </c>
      <c r="NT27" s="11" t="str">
        <f t="shared" si="108"/>
        <v/>
      </c>
      <c r="NU27" s="11" t="str">
        <f t="shared" si="109"/>
        <v/>
      </c>
      <c r="NV27" s="11" t="str">
        <f t="shared" si="110"/>
        <v/>
      </c>
      <c r="NW27" s="11" t="str">
        <f t="shared" si="111"/>
        <v/>
      </c>
      <c r="NX27" s="11" t="str">
        <f t="shared" si="112"/>
        <v/>
      </c>
      <c r="NY27" s="11" t="str">
        <f t="shared" si="113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4"/>
        <v/>
      </c>
      <c r="OU27" s="40" t="str">
        <f t="shared" si="115"/>
        <v/>
      </c>
      <c r="OV27" s="40" t="str">
        <f t="shared" si="116"/>
        <v/>
      </c>
      <c r="OW27" s="40" t="str">
        <f t="shared" si="117"/>
        <v/>
      </c>
      <c r="OX27" s="40" t="str">
        <f t="shared" si="118"/>
        <v/>
      </c>
      <c r="OY27" s="40" t="str">
        <f t="shared" si="119"/>
        <v/>
      </c>
      <c r="OZ27" s="40" t="str">
        <f t="shared" si="120"/>
        <v/>
      </c>
      <c r="PA27" s="40" t="str">
        <f t="shared" si="121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2"/>
        <v/>
      </c>
      <c r="PW27" s="11" t="str">
        <f t="shared" si="123"/>
        <v/>
      </c>
      <c r="PX27" s="11" t="str">
        <f t="shared" si="124"/>
        <v/>
      </c>
      <c r="PY27" s="11" t="str">
        <f t="shared" si="125"/>
        <v/>
      </c>
      <c r="PZ27" s="11" t="str">
        <f t="shared" si="126"/>
        <v/>
      </c>
      <c r="QA27" s="11" t="str">
        <f t="shared" si="127"/>
        <v/>
      </c>
      <c r="QB27" s="11" t="str">
        <f t="shared" si="128"/>
        <v/>
      </c>
      <c r="QC27" s="11" t="str">
        <f t="shared" si="129"/>
        <v/>
      </c>
      <c r="QD27" s="22">
        <f t="shared" si="130"/>
        <v>8.8000000000000007</v>
      </c>
      <c r="QE27" s="22">
        <f t="shared" si="131"/>
        <v>2.2000000000000002</v>
      </c>
      <c r="QF27" s="22">
        <f t="shared" si="132"/>
        <v>0.4</v>
      </c>
      <c r="QG27" s="22">
        <f t="shared" si="133"/>
        <v>0</v>
      </c>
      <c r="QH27" s="22">
        <f t="shared" si="134"/>
        <v>9.4499999999999993</v>
      </c>
      <c r="QI27" s="22">
        <f t="shared" si="135"/>
        <v>2.15</v>
      </c>
      <c r="QJ27" s="22">
        <f t="shared" si="136"/>
        <v>0.15</v>
      </c>
      <c r="QK27" s="22">
        <f t="shared" si="137"/>
        <v>0</v>
      </c>
      <c r="QL27" s="22">
        <f t="shared" si="138"/>
        <v>0</v>
      </c>
      <c r="QM27" s="22">
        <f t="shared" si="139"/>
        <v>0</v>
      </c>
      <c r="QN27" s="22">
        <f t="shared" si="140"/>
        <v>0</v>
      </c>
      <c r="QO27" s="22">
        <f t="shared" si="141"/>
        <v>0</v>
      </c>
      <c r="QP27" s="22">
        <f t="shared" si="142"/>
        <v>8.8000000000000007</v>
      </c>
      <c r="QQ27" s="22">
        <f t="shared" si="143"/>
        <v>2.4</v>
      </c>
      <c r="QR27" s="22">
        <f t="shared" si="144"/>
        <v>0.3</v>
      </c>
      <c r="QS27" s="22">
        <f t="shared" si="145"/>
        <v>0</v>
      </c>
      <c r="QT27" s="22">
        <f t="shared" si="146"/>
        <v>7.55</v>
      </c>
      <c r="QU27" s="22">
        <f t="shared" si="147"/>
        <v>1.2</v>
      </c>
      <c r="QV27" s="22">
        <f t="shared" si="148"/>
        <v>0</v>
      </c>
      <c r="QW27" s="22">
        <f t="shared" si="149"/>
        <v>0</v>
      </c>
      <c r="QX27" s="27" t="s">
        <v>46</v>
      </c>
      <c r="QY27" s="40">
        <f t="shared" si="150"/>
        <v>4.3499999999999996</v>
      </c>
      <c r="QZ27" s="40">
        <f t="shared" si="151"/>
        <v>22.05</v>
      </c>
      <c r="RA27" s="40" t="str">
        <f t="shared" si="152"/>
        <v/>
      </c>
      <c r="RB27" s="40">
        <f t="shared" si="153"/>
        <v>4.3499999999999996</v>
      </c>
      <c r="RC27" s="40">
        <f t="shared" si="154"/>
        <v>22.05</v>
      </c>
      <c r="RD27" s="40">
        <f t="shared" si="155"/>
        <v>3.5999999999999996</v>
      </c>
      <c r="RE27" s="40">
        <f t="shared" si="156"/>
        <v>19.649999999999999</v>
      </c>
      <c r="RF27" s="40">
        <f t="shared" si="157"/>
        <v>41.7</v>
      </c>
    </row>
    <row r="28" spans="1:474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152</v>
      </c>
      <c r="D28" s="4" t="s">
        <v>4</v>
      </c>
      <c r="E28" s="4">
        <v>2005</v>
      </c>
      <c r="F28" s="9">
        <f t="shared" si="0"/>
        <v>131.40000859000443</v>
      </c>
      <c r="G28" s="64"/>
      <c r="H28" s="3" t="str">
        <f>IF(OR(AND(AP28&gt;=AW$41,AQ28&gt;=AW$45,AP28&lt;&gt;"",AO28=""),AND(AU28&gt;=AW$41,AV28&gt;=AW$45,AU28&lt;&gt;"",AO28=""),AND(BS28&gt;=BZ$41,BT28&gt;=BZ$45,BS28&lt;&gt;"",BR28=""),AND(BX28&gt;=BZ$41,BY28&gt;=BZ$45,BX28&lt;&gt;"",BR28=""),AND(CV28&gt;=DC$41,CW28&gt;=DC$45,CV28&lt;&gt;"",CU28=""),AND(DA28&gt;=DC$41,DB28&gt;=DC$45,DA28&lt;&gt;""),AND(DZ28&gt;=EG$41,EA28&gt;=EG$45,DZ28&lt;&gt;""),AND(EE28&gt;=EG$41,EF28&gt;=EG$45,EE28&lt;&gt;""),AND(FB28&gt;=FI$41,FC28&gt;=FI$45,FB28&lt;&gt;""),AND(FG28&gt;=FI$41,FH28&gt;=FI$45,FG28&lt;&gt;""),AND(GD28&gt;=GK$41,GE28&gt;=GK$45,GD28&lt;&gt;""),AND(GI28&gt;=GK$41,GJ28&gt;=GK$45,GI28&lt;&gt;""),AND(HF28&gt;=HM$41,HG28&gt;=HM$45,HF28&lt;&gt;""),AND(HK28&gt;=HM$41,HL28&gt;=HM$45,HK28&lt;&gt;""),AND(IH28&gt;=IO$41,II28&gt;=IO$45,IH28&lt;&gt;""),AND(IM28&gt;=IO$41,IN28&gt;=IO$45,IM28&lt;&gt;""),AND(JJ28&gt;=JQ$41,JK28&gt;=JQ$45,JJ28&lt;&gt;""),AND(JO28&gt;=JQ$41,JP28&gt;=JQ$45,JO28&lt;&gt;""),AND(KL28&gt;=KS$41,KM28&gt;=KS$45,KL28&lt;&gt;""),AND(KQ28&gt;=KS$41,KR28&gt;=KS$45,KQ28&lt;&gt;""),AND(LN28&gt;=LU$41,LO28&gt;=LU$45,LN28&lt;&gt;""),AND(LS28&gt;=LU$41,LT28&gt;=LU$45,LS28&lt;&gt;""),AND(MP28&gt;=MW$41,MQ28&gt;=MW$45,MP28&lt;&gt;""),AND(MU28&gt;=MW$41,MV28&gt;=MW$45,MU28&lt;&gt;""),AND(NR28&gt;=NY$41,NS28&gt;=NY$45,NR28&lt;&gt;""),AND(NW28&gt;=NY$41,NX28&gt;=NY$45,NW28&lt;&gt;""),AND(OT28&gt;=PA$41,OU28&gt;=PA$45,OT28&lt;&gt;""),AND(OY28&gt;=PA$41,OZ28&gt;=PA$45,OY28&lt;&gt;""),AND(PV28&gt;=QC$41,PW28&gt;=QC$45,PV28&lt;&gt;""),AND(QA28&gt;=QC$41,QB28&gt;=QC$45,QA28&lt;&gt;"")),"P","")</f>
        <v/>
      </c>
      <c r="I28" s="3" t="str">
        <f>IF(OR(AND(AQ28&gt;=AW$45,AQ28&lt;&gt;"",AO28=""),AND(AV28&gt;=AW$45,AV28&lt;&gt;"",AO28=""),AND(BT28&gt;=BZ$45,BT28&lt;&gt;"",BR28=""),AND(BY28&gt;=BZ$45,BY28&lt;&gt;"",BR28=""),AND(CW28&gt;=DC$45,CW28&lt;&gt;"",CU28=""),AND(DB28&gt;=DC$45,DB28&lt;&gt;"",CU28=""),AND(EA28&gt;=EG$45,EA28&lt;&gt;""),AND(EF28&gt;=EG$45,EF28&lt;&gt;""),AND(FC28&gt;=FI$45,FC28&lt;&gt;""),AND(FH28&gt;=FI$45,FH28&lt;&gt;""),AND(GE28&gt;=GK$45,GE28&lt;&gt;""),AND(GJ28&gt;=GK$45,GJ28&lt;&gt;""),AND(HG28&gt;=HM$45,HG28&lt;&gt;""),AND(HL28&gt;=HM$45,HL28&lt;&gt;""),AND(II28&gt;=IO$45,II28&lt;&gt;""),AND(IN28&gt;=IO$45,IN28&lt;&gt;""),AND(JK28&gt;=JQ$45,JK28&lt;&gt;""),AND(JP28&gt;=JQ$45,JP28&lt;&gt;""),AND(KM28&gt;=KS$45,KM28&lt;&gt;""),AND(KR28&gt;=KS$45,KR28&lt;&gt;""),AND(LO28&gt;=LU$45,LO28&lt;&gt;""),AND(LT28&gt;=LU$45,LT28&lt;&gt;""),AND(MQ28&gt;=MW$45,MQ28&lt;&gt;""),AND(MV28&gt;=MW$45,MV28&lt;&gt;""),AND(NS28&gt;=NY$45,NS28&lt;&gt;""),AND(NX28&gt;=NY$45,NX28&lt;&gt;""),AND(OU28&gt;=PA$45,OU28&lt;&gt;""),AND(OZ28&gt;=PA$45,OZ28&lt;&gt;""),AND(PW28&gt;=QC$45,PW28&lt;&gt;""),AND(QB28&gt;=QC$45,QB28&lt;&gt;"")),"P","")</f>
        <v/>
      </c>
      <c r="J28" s="36" t="str">
        <f>IF(AND(I28="P",H28=""),"No DD",IF(OR(AND(AS28&gt;=AW$44,AT28&gt;=AW$48,AS28&lt;&gt;"",AO28=""),AND(BV28&gt;=BZ$44,BW28&gt;=BZ$48,BV28&lt;&gt;"",BR28=""),AND(CY28&gt;=DC$44,CZ28&gt;=DC$48,CY28&lt;&gt;"",CU28=""),AND(EC28&gt;=EG$44,ED28&gt;=EG$48,EC28&lt;&gt;""),AND(FE28&gt;=FI$44,FF28&gt;=FI$48,FE28&lt;&gt;""),AND(GG28&gt;=GK$44,GH28&gt;=GK$48,GG28&lt;&gt;""),AND(HI28&gt;=HM$44,HJ28&gt;=HM$48,HI28&lt;&gt;""),AND(IK28&gt;=IO$44,IL28&gt;=IO$48,IK28&lt;&gt;""),AND(JM28&gt;=JQ$44,JN28&gt;=JQ$48,JM28&lt;&gt;""),AND(KO28&gt;=KS$44,KP28&gt;=KS$48,KO28&lt;&gt;""),AND(LQ28&gt;=LU$44,LR28&gt;=LU$48,LQ28&lt;&gt;""),AND(MS28&gt;=MW$44,MT28&gt;=MW$48,MS28&lt;&gt;""),AND(NU28&gt;=NY$44,NV28&gt;=NY$48,NU28&lt;&gt;""),AND(OW28&gt;=PA$44,OX28&gt;=PA$48,OW28&lt;&gt;""),AND(PY28&gt;=QC$44,PZ28&gt;=QC$48,PY28&lt;&gt;"")),"Merit",IF(OR(AND(AS28&gt;=AW$43,AT28&gt;=AW$47,AS28&lt;&gt;"",AO28=""),AND(BV28&gt;=BZ$43,BW28&gt;=BZ$47,BV28&lt;&gt;"",BR28=""),AND(CY28&gt;=DC$43,CZ28&gt;=DC$47,CY28&lt;&gt;"",CU28=""),AND(EC28&gt;=EG$43,ED28&gt;=EG$47,EC28&lt;&gt;""),AND(FE28&gt;=FI$43,FF28&gt;=FI$47,FE28&lt;&gt;""),AND(GG28&gt;=GK$43,GH28&gt;=GK$47,GG28&lt;&gt;""),AND(HI28&gt;=HM$43,HJ28&gt;=HM$47,HI28&lt;&gt;""),AND(IK28&gt;=IO$43,IL28&gt;=IO$47,IK28&lt;&gt;""),AND(JM28&gt;=JQ$43,JN28&gt;=JQ$47,JM28&lt;&gt;""),AND(KO28&gt;=KS$43,KP28&gt;=KS$47,KO28&lt;&gt;""),AND(LQ28&gt;=LU$43,LR28&gt;=LU$47,LQ28&lt;&gt;""),AND(MS28&gt;=MW$43,MT28&gt;=MW$47,MS28&lt;&gt;""),AND(NU28&gt;=NY$43,NV28&gt;=NY$47,NU28&lt;&gt;""),AND(OW28&gt;=PA$43,OX28&gt;=PA$47,OW28&lt;&gt;""),AND(PY28&gt;=QC$43,PZ28&gt;=QC$47,PY28&lt;&gt;"")),"Excellence",IF(K28="P","Worlds Team",IF(H28="P","National Team","")))))</f>
        <v/>
      </c>
      <c r="K28" s="3" t="str">
        <f>IF(OR(AND(AS28&gt;=AW$42,AT28&gt;=AW$46,AS28&lt;&gt;"",AO28=""),AND(BV28&gt;=BZ$42,BW28&gt;=BZ$46,BV28&lt;&gt;"",BR28=""),AND(CY28&gt;=DC$42,CZ28&gt;=DC$46,CY28&lt;&gt;"",CU28=""),AND(EC28&gt;=EG$42,ED28&gt;=EG$46,EC28&lt;&gt;""),AND(FE28&gt;=FI$42,FF28&gt;=FI$46,FE28&lt;&gt;""),AND(GG28&gt;=GK$42,GH28&gt;=GK$46,GG28&lt;&gt;""),AND(HI28&gt;=HM$42,HJ28&gt;=HM$46,HI28&lt;&gt;""),AND(IK28&gt;=IO$42,IL28&gt;=IO$46,IK28&lt;&gt;""),AND(JM28&gt;=JQ$42,JN28&gt;=JQ$46,JM28&lt;&gt;""),AND(KO28&gt;=KS$42,KP28&gt;=KS$46,KO28&lt;&gt;""),AND(LQ28&gt;=LU$42,LR28&gt;=LU$46,LQ28&lt;&gt;""),AND(MS28&gt;=MW$42,MT28&gt;=MW$46,MS28&lt;&gt;""),AND(NU28&gt;=NY$42,NV28&gt;=NY$46,NU28&lt;&gt;""),AND(OW28&gt;=PA$42,OX28&gt;=PA$46,OW28&lt;&gt;""),AND(PY28&gt;=QC$42,PZ28&gt;=QC$46,PY28&lt;&gt;"")),"P","")</f>
        <v/>
      </c>
      <c r="L28" s="8">
        <f>IF(COUNT(AQ28,BT28,CW28)&gt;0,LARGE((AQ28,BT28,CW28),1),0)</f>
        <v>44.400000000000006</v>
      </c>
      <c r="M28" s="8" t="str">
        <f t="shared" si="1"/>
        <v>2025 Nationals</v>
      </c>
      <c r="N28" s="8">
        <f>IF(COUNT(AQ28,BT28,CW28)&gt;1,LARGE((AQ28,BT28,CW28),2),0)</f>
        <v>41.500000000000007</v>
      </c>
      <c r="O28" s="8" t="str">
        <f t="shared" si="2"/>
        <v>2025 Elite Canada</v>
      </c>
      <c r="P28" s="8">
        <f t="shared" si="3"/>
        <v>45.5</v>
      </c>
      <c r="Q28" s="8" t="str">
        <f t="shared" si="4"/>
        <v>2025 Elite Canada</v>
      </c>
      <c r="R28" s="8" t="str">
        <f t="shared" si="5"/>
        <v/>
      </c>
      <c r="S28" s="11" t="str">
        <f t="shared" si="6"/>
        <v/>
      </c>
      <c r="T28" s="8" t="str">
        <f t="shared" si="7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8"/>
        <v/>
      </c>
      <c r="AQ28" s="40" t="str">
        <f t="shared" si="9"/>
        <v/>
      </c>
      <c r="AR28" s="40" t="str">
        <f t="shared" si="10"/>
        <v/>
      </c>
      <c r="AS28" s="40" t="str">
        <f t="shared" si="11"/>
        <v/>
      </c>
      <c r="AT28" s="40" t="str">
        <f t="shared" si="12"/>
        <v/>
      </c>
      <c r="AU28" s="40" t="str">
        <f t="shared" si="13"/>
        <v/>
      </c>
      <c r="AV28" s="40" t="str">
        <f t="shared" si="14"/>
        <v/>
      </c>
      <c r="AW28" s="40" t="str">
        <f t="shared" si="15"/>
        <v/>
      </c>
      <c r="AX28" s="18">
        <v>15.1</v>
      </c>
      <c r="AY28" s="18">
        <v>3.2</v>
      </c>
      <c r="AZ28" s="18">
        <v>0</v>
      </c>
      <c r="BA28" s="18">
        <v>0</v>
      </c>
      <c r="BB28" s="18">
        <v>18.8</v>
      </c>
      <c r="BC28" s="18">
        <v>5.2</v>
      </c>
      <c r="BD28" s="18">
        <v>0.8</v>
      </c>
      <c r="BE28" s="18">
        <v>0</v>
      </c>
      <c r="BF28" s="18"/>
      <c r="BG28" s="18"/>
      <c r="BH28" s="18"/>
      <c r="BI28" s="18"/>
      <c r="BJ28" s="18">
        <v>18.100000000000001</v>
      </c>
      <c r="BK28" s="18">
        <v>6.4</v>
      </c>
      <c r="BL28" s="18">
        <v>0.8</v>
      </c>
      <c r="BM28" s="18">
        <v>0</v>
      </c>
      <c r="BN28" s="18">
        <v>17.399999999999999</v>
      </c>
      <c r="BO28" s="18">
        <v>5.2</v>
      </c>
      <c r="BP28" s="18">
        <v>0.8</v>
      </c>
      <c r="BQ28" s="18">
        <v>0</v>
      </c>
      <c r="BR28" s="28"/>
      <c r="BS28" s="11">
        <f t="shared" si="16"/>
        <v>8.4</v>
      </c>
      <c r="BT28" s="11">
        <f t="shared" si="17"/>
        <v>41.500000000000007</v>
      </c>
      <c r="BU28" s="11" t="str">
        <f t="shared" si="18"/>
        <v/>
      </c>
      <c r="BV28" s="11">
        <f t="shared" si="19"/>
        <v>8.4</v>
      </c>
      <c r="BW28" s="11">
        <f t="shared" si="20"/>
        <v>41.500000000000007</v>
      </c>
      <c r="BX28" s="11">
        <f t="shared" si="21"/>
        <v>11.600000000000001</v>
      </c>
      <c r="BY28" s="11">
        <f t="shared" si="22"/>
        <v>45.5</v>
      </c>
      <c r="BZ28" s="11">
        <f t="shared" si="23"/>
        <v>87</v>
      </c>
      <c r="CA28" s="19">
        <v>16.600000000000001</v>
      </c>
      <c r="CB28" s="19">
        <v>4.4000000000000004</v>
      </c>
      <c r="CC28" s="19">
        <v>0.8</v>
      </c>
      <c r="CD28" s="19">
        <v>0</v>
      </c>
      <c r="CE28" s="19">
        <v>18.600000000000001</v>
      </c>
      <c r="CF28" s="19">
        <v>5.6</v>
      </c>
      <c r="CG28" s="19">
        <v>0</v>
      </c>
      <c r="CH28" s="19">
        <v>0</v>
      </c>
      <c r="CI28" s="19"/>
      <c r="CJ28" s="19"/>
      <c r="CK28" s="19"/>
      <c r="CL28" s="19"/>
      <c r="CM28" s="19">
        <v>15.1</v>
      </c>
      <c r="CN28" s="19">
        <v>2.4</v>
      </c>
      <c r="CO28" s="19">
        <v>0</v>
      </c>
      <c r="CP28" s="19">
        <v>0</v>
      </c>
      <c r="CQ28" s="19">
        <v>18.600000000000001</v>
      </c>
      <c r="CR28" s="19">
        <v>1.3</v>
      </c>
      <c r="CS28" s="19">
        <v>4.2</v>
      </c>
      <c r="CT28" s="19">
        <v>0</v>
      </c>
      <c r="CU28" s="27"/>
      <c r="CV28" s="40">
        <f t="shared" si="24"/>
        <v>10</v>
      </c>
      <c r="CW28" s="40">
        <f t="shared" si="25"/>
        <v>44.400000000000006</v>
      </c>
      <c r="CX28" s="40" t="str">
        <f t="shared" si="26"/>
        <v/>
      </c>
      <c r="CY28" s="40">
        <f t="shared" si="27"/>
        <v>10</v>
      </c>
      <c r="CZ28" s="40">
        <f t="shared" si="28"/>
        <v>44.400000000000006</v>
      </c>
      <c r="DA28" s="40">
        <f t="shared" si="29"/>
        <v>3.7</v>
      </c>
      <c r="DB28" s="40">
        <f t="shared" si="30"/>
        <v>33.199999999999996</v>
      </c>
      <c r="DC28" s="40">
        <f t="shared" si="31"/>
        <v>77.599999999999994</v>
      </c>
      <c r="DD28" s="50" t="str">
        <f t="shared" si="32"/>
        <v/>
      </c>
      <c r="DE28" s="50" t="str">
        <f t="shared" si="33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4"/>
        <v/>
      </c>
      <c r="EA28" s="40" t="str">
        <f t="shared" si="35"/>
        <v/>
      </c>
      <c r="EB28" s="40" t="str">
        <f t="shared" si="36"/>
        <v/>
      </c>
      <c r="EC28" s="40" t="str">
        <f t="shared" si="37"/>
        <v/>
      </c>
      <c r="ED28" s="40" t="str">
        <f t="shared" si="38"/>
        <v/>
      </c>
      <c r="EE28" s="40" t="str">
        <f t="shared" si="39"/>
        <v/>
      </c>
      <c r="EF28" s="40" t="str">
        <f t="shared" si="40"/>
        <v/>
      </c>
      <c r="EG28" s="40" t="str">
        <f t="shared" si="41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2"/>
        <v/>
      </c>
      <c r="FC28" s="11" t="str">
        <f t="shared" si="43"/>
        <v/>
      </c>
      <c r="FD28" s="11" t="str">
        <f t="shared" si="44"/>
        <v/>
      </c>
      <c r="FE28" s="11" t="str">
        <f t="shared" si="45"/>
        <v/>
      </c>
      <c r="FF28" s="11" t="str">
        <f t="shared" si="46"/>
        <v/>
      </c>
      <c r="FG28" s="11" t="str">
        <f t="shared" si="47"/>
        <v/>
      </c>
      <c r="FH28" s="11" t="str">
        <f t="shared" si="48"/>
        <v/>
      </c>
      <c r="FI28" s="11" t="str">
        <f t="shared" si="49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0"/>
        <v/>
      </c>
      <c r="GE28" s="40" t="str">
        <f t="shared" si="51"/>
        <v/>
      </c>
      <c r="GF28" s="40" t="str">
        <f t="shared" si="52"/>
        <v/>
      </c>
      <c r="GG28" s="40" t="str">
        <f t="shared" si="53"/>
        <v/>
      </c>
      <c r="GH28" s="40" t="str">
        <f t="shared" si="54"/>
        <v/>
      </c>
      <c r="GI28" s="40" t="str">
        <f t="shared" si="55"/>
        <v/>
      </c>
      <c r="GJ28" s="40" t="str">
        <f t="shared" si="56"/>
        <v/>
      </c>
      <c r="GK28" s="40" t="str">
        <f t="shared" si="57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58"/>
        <v/>
      </c>
      <c r="HG28" s="11" t="str">
        <f t="shared" si="59"/>
        <v/>
      </c>
      <c r="HH28" s="11" t="str">
        <f t="shared" si="60"/>
        <v/>
      </c>
      <c r="HI28" s="11" t="str">
        <f t="shared" si="61"/>
        <v/>
      </c>
      <c r="HJ28" s="11" t="str">
        <f t="shared" si="62"/>
        <v/>
      </c>
      <c r="HK28" s="11" t="str">
        <f t="shared" si="63"/>
        <v/>
      </c>
      <c r="HL28" s="11" t="str">
        <f t="shared" si="64"/>
        <v/>
      </c>
      <c r="HM28" s="11" t="str">
        <f t="shared" si="65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66"/>
        <v/>
      </c>
      <c r="II28" s="40" t="str">
        <f t="shared" si="67"/>
        <v/>
      </c>
      <c r="IJ28" s="40" t="str">
        <f t="shared" si="68"/>
        <v/>
      </c>
      <c r="IK28" s="40" t="str">
        <f t="shared" si="69"/>
        <v/>
      </c>
      <c r="IL28" s="40" t="str">
        <f t="shared" si="70"/>
        <v/>
      </c>
      <c r="IM28" s="40" t="str">
        <f t="shared" si="71"/>
        <v/>
      </c>
      <c r="IN28" s="40" t="str">
        <f t="shared" si="72"/>
        <v/>
      </c>
      <c r="IO28" s="40" t="str">
        <f t="shared" si="73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4"/>
        <v/>
      </c>
      <c r="JK28" s="11" t="str">
        <f t="shared" si="75"/>
        <v/>
      </c>
      <c r="JL28" s="11" t="str">
        <f t="shared" si="76"/>
        <v/>
      </c>
      <c r="JM28" s="11" t="str">
        <f t="shared" si="77"/>
        <v/>
      </c>
      <c r="JN28" s="11" t="str">
        <f t="shared" si="78"/>
        <v/>
      </c>
      <c r="JO28" s="11" t="str">
        <f t="shared" si="79"/>
        <v/>
      </c>
      <c r="JP28" s="11" t="str">
        <f t="shared" si="80"/>
        <v/>
      </c>
      <c r="JQ28" s="11" t="str">
        <f t="shared" si="81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2"/>
        <v/>
      </c>
      <c r="KM28" s="40" t="str">
        <f t="shared" si="83"/>
        <v/>
      </c>
      <c r="KN28" s="40" t="str">
        <f t="shared" si="84"/>
        <v/>
      </c>
      <c r="KO28" s="40" t="str">
        <f t="shared" si="85"/>
        <v/>
      </c>
      <c r="KP28" s="40" t="str">
        <f t="shared" si="86"/>
        <v/>
      </c>
      <c r="KQ28" s="40" t="str">
        <f t="shared" si="87"/>
        <v/>
      </c>
      <c r="KR28" s="40" t="str">
        <f t="shared" si="88"/>
        <v/>
      </c>
      <c r="KS28" s="40" t="str">
        <f t="shared" si="89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0"/>
        <v/>
      </c>
      <c r="LO28" s="11" t="str">
        <f t="shared" si="91"/>
        <v/>
      </c>
      <c r="LP28" s="11" t="str">
        <f t="shared" si="92"/>
        <v/>
      </c>
      <c r="LQ28" s="11" t="str">
        <f t="shared" si="93"/>
        <v/>
      </c>
      <c r="LR28" s="11" t="str">
        <f t="shared" si="94"/>
        <v/>
      </c>
      <c r="LS28" s="11" t="str">
        <f t="shared" si="95"/>
        <v/>
      </c>
      <c r="LT28" s="11" t="str">
        <f t="shared" si="96"/>
        <v/>
      </c>
      <c r="LU28" s="11" t="str">
        <f t="shared" si="97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98"/>
        <v/>
      </c>
      <c r="MQ28" s="40" t="str">
        <f t="shared" si="99"/>
        <v/>
      </c>
      <c r="MR28" s="40" t="str">
        <f t="shared" si="100"/>
        <v/>
      </c>
      <c r="MS28" s="40" t="str">
        <f t="shared" si="101"/>
        <v/>
      </c>
      <c r="MT28" s="40" t="str">
        <f t="shared" si="102"/>
        <v/>
      </c>
      <c r="MU28" s="40" t="str">
        <f t="shared" si="103"/>
        <v/>
      </c>
      <c r="MV28" s="40" t="str">
        <f t="shared" si="104"/>
        <v/>
      </c>
      <c r="MW28" s="40" t="str">
        <f t="shared" si="105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06"/>
        <v/>
      </c>
      <c r="NS28" s="11" t="str">
        <f t="shared" si="107"/>
        <v/>
      </c>
      <c r="NT28" s="11" t="str">
        <f t="shared" si="108"/>
        <v/>
      </c>
      <c r="NU28" s="11" t="str">
        <f t="shared" si="109"/>
        <v/>
      </c>
      <c r="NV28" s="11" t="str">
        <f t="shared" si="110"/>
        <v/>
      </c>
      <c r="NW28" s="11" t="str">
        <f t="shared" si="111"/>
        <v/>
      </c>
      <c r="NX28" s="11" t="str">
        <f t="shared" si="112"/>
        <v/>
      </c>
      <c r="NY28" s="11" t="str">
        <f t="shared" si="113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4"/>
        <v/>
      </c>
      <c r="OU28" s="40" t="str">
        <f t="shared" si="115"/>
        <v/>
      </c>
      <c r="OV28" s="40" t="str">
        <f t="shared" si="116"/>
        <v/>
      </c>
      <c r="OW28" s="40" t="str">
        <f t="shared" si="117"/>
        <v/>
      </c>
      <c r="OX28" s="40" t="str">
        <f t="shared" si="118"/>
        <v/>
      </c>
      <c r="OY28" s="40" t="str">
        <f t="shared" si="119"/>
        <v/>
      </c>
      <c r="OZ28" s="40" t="str">
        <f t="shared" si="120"/>
        <v/>
      </c>
      <c r="PA28" s="40" t="str">
        <f t="shared" si="121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2"/>
        <v/>
      </c>
      <c r="PW28" s="11" t="str">
        <f t="shared" si="123"/>
        <v/>
      </c>
      <c r="PX28" s="11" t="str">
        <f t="shared" si="124"/>
        <v/>
      </c>
      <c r="PY28" s="11" t="str">
        <f t="shared" si="125"/>
        <v/>
      </c>
      <c r="PZ28" s="11" t="str">
        <f t="shared" si="126"/>
        <v/>
      </c>
      <c r="QA28" s="11" t="str">
        <f t="shared" si="127"/>
        <v/>
      </c>
      <c r="QB28" s="11" t="str">
        <f t="shared" si="128"/>
        <v/>
      </c>
      <c r="QC28" s="11" t="str">
        <f t="shared" si="129"/>
        <v/>
      </c>
      <c r="QD28" s="22">
        <f t="shared" si="130"/>
        <v>15.850000000000001</v>
      </c>
      <c r="QE28" s="22">
        <f t="shared" si="131"/>
        <v>3.8000000000000003</v>
      </c>
      <c r="QF28" s="22">
        <f t="shared" si="132"/>
        <v>0.4</v>
      </c>
      <c r="QG28" s="22">
        <f t="shared" si="133"/>
        <v>0</v>
      </c>
      <c r="QH28" s="22">
        <f t="shared" si="134"/>
        <v>18.700000000000003</v>
      </c>
      <c r="QI28" s="22">
        <f t="shared" si="135"/>
        <v>5.4</v>
      </c>
      <c r="QJ28" s="22">
        <f t="shared" si="136"/>
        <v>0.4</v>
      </c>
      <c r="QK28" s="22">
        <f t="shared" si="137"/>
        <v>0</v>
      </c>
      <c r="QL28" s="22">
        <f t="shared" si="138"/>
        <v>0</v>
      </c>
      <c r="QM28" s="22">
        <f t="shared" si="139"/>
        <v>0</v>
      </c>
      <c r="QN28" s="22">
        <f t="shared" si="140"/>
        <v>0</v>
      </c>
      <c r="QO28" s="22">
        <f t="shared" si="141"/>
        <v>0</v>
      </c>
      <c r="QP28" s="22">
        <f t="shared" si="142"/>
        <v>16.600000000000001</v>
      </c>
      <c r="QQ28" s="22">
        <f t="shared" si="143"/>
        <v>4.4000000000000004</v>
      </c>
      <c r="QR28" s="22">
        <f t="shared" si="144"/>
        <v>0.4</v>
      </c>
      <c r="QS28" s="22">
        <f t="shared" si="145"/>
        <v>0</v>
      </c>
      <c r="QT28" s="22">
        <f t="shared" si="146"/>
        <v>18</v>
      </c>
      <c r="QU28" s="22">
        <f t="shared" si="147"/>
        <v>3.25</v>
      </c>
      <c r="QV28" s="22">
        <f t="shared" si="148"/>
        <v>2.5</v>
      </c>
      <c r="QW28" s="22">
        <f t="shared" si="149"/>
        <v>0</v>
      </c>
      <c r="QX28" s="27" t="s">
        <v>46</v>
      </c>
      <c r="QY28" s="40">
        <f t="shared" si="150"/>
        <v>9.2000000000000011</v>
      </c>
      <c r="QZ28" s="40">
        <f t="shared" si="151"/>
        <v>42.95000000000001</v>
      </c>
      <c r="RA28" s="40" t="str">
        <f t="shared" si="152"/>
        <v/>
      </c>
      <c r="RB28" s="40">
        <f t="shared" si="153"/>
        <v>9.2000000000000011</v>
      </c>
      <c r="RC28" s="40">
        <f t="shared" si="154"/>
        <v>42.95000000000001</v>
      </c>
      <c r="RD28" s="40">
        <f t="shared" si="155"/>
        <v>7.65</v>
      </c>
      <c r="RE28" s="40">
        <f t="shared" si="156"/>
        <v>39.35</v>
      </c>
      <c r="RF28" s="40">
        <f t="shared" si="157"/>
        <v>82.300000000000011</v>
      </c>
    </row>
    <row r="29" spans="1:474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201</v>
      </c>
      <c r="D29" s="4" t="s">
        <v>5</v>
      </c>
      <c r="E29" s="4">
        <v>2007</v>
      </c>
      <c r="F29" s="9">
        <f t="shared" si="0"/>
        <v>97.500004860004864</v>
      </c>
      <c r="G29" s="64"/>
      <c r="H29" s="3" t="str">
        <f>IF(OR(AND(AP29&gt;=AW$41,AQ29&gt;=AW$45,AP29&lt;&gt;"",AO29=""),AND(AU29&gt;=AW$41,AV29&gt;=AW$45,AU29&lt;&gt;"",AO29=""),AND(BS29&gt;=BZ$41,BT29&gt;=BZ$45,BS29&lt;&gt;"",BR29=""),AND(BX29&gt;=BZ$41,BY29&gt;=BZ$45,BX29&lt;&gt;"",BR29=""),AND(CV29&gt;=DC$41,CW29&gt;=DC$45,CV29&lt;&gt;"",CU29=""),AND(DA29&gt;=DC$41,DB29&gt;=DC$45,DA29&lt;&gt;""),AND(DZ29&gt;=EG$41,EA29&gt;=EG$45,DZ29&lt;&gt;""),AND(EE29&gt;=EG$41,EF29&gt;=EG$45,EE29&lt;&gt;""),AND(FB29&gt;=FI$41,FC29&gt;=FI$45,FB29&lt;&gt;""),AND(FG29&gt;=FI$41,FH29&gt;=FI$45,FG29&lt;&gt;""),AND(GD29&gt;=GK$41,GE29&gt;=GK$45,GD29&lt;&gt;""),AND(GI29&gt;=GK$41,GJ29&gt;=GK$45,GI29&lt;&gt;""),AND(HF29&gt;=HM$41,HG29&gt;=HM$45,HF29&lt;&gt;""),AND(HK29&gt;=HM$41,HL29&gt;=HM$45,HK29&lt;&gt;""),AND(IH29&gt;=IO$41,II29&gt;=IO$45,IH29&lt;&gt;""),AND(IM29&gt;=IO$41,IN29&gt;=IO$45,IM29&lt;&gt;""),AND(JJ29&gt;=JQ$41,JK29&gt;=JQ$45,JJ29&lt;&gt;""),AND(JO29&gt;=JQ$41,JP29&gt;=JQ$45,JO29&lt;&gt;""),AND(KL29&gt;=KS$41,KM29&gt;=KS$45,KL29&lt;&gt;""),AND(KQ29&gt;=KS$41,KR29&gt;=KS$45,KQ29&lt;&gt;""),AND(LN29&gt;=LU$41,LO29&gt;=LU$45,LN29&lt;&gt;""),AND(LS29&gt;=LU$41,LT29&gt;=LU$45,LS29&lt;&gt;""),AND(MP29&gt;=MW$41,MQ29&gt;=MW$45,MP29&lt;&gt;""),AND(MU29&gt;=MW$41,MV29&gt;=MW$45,MU29&lt;&gt;""),AND(NR29&gt;=NY$41,NS29&gt;=NY$45,NR29&lt;&gt;""),AND(NW29&gt;=NY$41,NX29&gt;=NY$45,NW29&lt;&gt;""),AND(OT29&gt;=PA$41,OU29&gt;=PA$45,OT29&lt;&gt;""),AND(OY29&gt;=PA$41,OZ29&gt;=PA$45,OY29&lt;&gt;""),AND(PV29&gt;=QC$41,PW29&gt;=QC$45,PV29&lt;&gt;""),AND(QA29&gt;=QC$41,QB29&gt;=QC$45,QA29&lt;&gt;"")),"P","")</f>
        <v/>
      </c>
      <c r="I29" s="3" t="str">
        <f>IF(OR(AND(AQ29&gt;=AW$45,AQ29&lt;&gt;"",AO29=""),AND(AV29&gt;=AW$45,AV29&lt;&gt;"",AO29=""),AND(BT29&gt;=BZ$45,BT29&lt;&gt;"",BR29=""),AND(BY29&gt;=BZ$45,BY29&lt;&gt;"",BR29=""),AND(CW29&gt;=DC$45,CW29&lt;&gt;"",CU29=""),AND(DB29&gt;=DC$45,DB29&lt;&gt;"",CU29=""),AND(EA29&gt;=EG$45,EA29&lt;&gt;""),AND(EF29&gt;=EG$45,EF29&lt;&gt;""),AND(FC29&gt;=FI$45,FC29&lt;&gt;""),AND(FH29&gt;=FI$45,FH29&lt;&gt;""),AND(GE29&gt;=GK$45,GE29&lt;&gt;""),AND(GJ29&gt;=GK$45,GJ29&lt;&gt;""),AND(HG29&gt;=HM$45,HG29&lt;&gt;""),AND(HL29&gt;=HM$45,HL29&lt;&gt;""),AND(II29&gt;=IO$45,II29&lt;&gt;""),AND(IN29&gt;=IO$45,IN29&lt;&gt;""),AND(JK29&gt;=JQ$45,JK29&lt;&gt;""),AND(JP29&gt;=JQ$45,JP29&lt;&gt;""),AND(KM29&gt;=KS$45,KM29&lt;&gt;""),AND(KR29&gt;=KS$45,KR29&lt;&gt;""),AND(LO29&gt;=LU$45,LO29&lt;&gt;""),AND(LT29&gt;=LU$45,LT29&lt;&gt;""),AND(MQ29&gt;=MW$45,MQ29&lt;&gt;""),AND(MV29&gt;=MW$45,MV29&lt;&gt;""),AND(NS29&gt;=NY$45,NS29&lt;&gt;""),AND(NX29&gt;=NY$45,NX29&lt;&gt;""),AND(OU29&gt;=PA$45,OU29&lt;&gt;""),AND(OZ29&gt;=PA$45,OZ29&lt;&gt;""),AND(PW29&gt;=QC$45,PW29&lt;&gt;""),AND(QB29&gt;=QC$45,QB29&lt;&gt;"")),"P","")</f>
        <v/>
      </c>
      <c r="J29" s="36" t="str">
        <f>IF(AND(I29="P",H29=""),"No DD",IF(OR(AND(AS29&gt;=AW$44,AT29&gt;=AW$48,AS29&lt;&gt;"",AO29=""),AND(BV29&gt;=BZ$44,BW29&gt;=BZ$48,BV29&lt;&gt;"",BR29=""),AND(CY29&gt;=DC$44,CZ29&gt;=DC$48,CY29&lt;&gt;"",CU29=""),AND(EC29&gt;=EG$44,ED29&gt;=EG$48,EC29&lt;&gt;""),AND(FE29&gt;=FI$44,FF29&gt;=FI$48,FE29&lt;&gt;""),AND(GG29&gt;=GK$44,GH29&gt;=GK$48,GG29&lt;&gt;""),AND(HI29&gt;=HM$44,HJ29&gt;=HM$48,HI29&lt;&gt;""),AND(IK29&gt;=IO$44,IL29&gt;=IO$48,IK29&lt;&gt;""),AND(JM29&gt;=JQ$44,JN29&gt;=JQ$48,JM29&lt;&gt;""),AND(KO29&gt;=KS$44,KP29&gt;=KS$48,KO29&lt;&gt;""),AND(LQ29&gt;=LU$44,LR29&gt;=LU$48,LQ29&lt;&gt;""),AND(MS29&gt;=MW$44,MT29&gt;=MW$48,MS29&lt;&gt;""),AND(NU29&gt;=NY$44,NV29&gt;=NY$48,NU29&lt;&gt;""),AND(OW29&gt;=PA$44,OX29&gt;=PA$48,OW29&lt;&gt;""),AND(PY29&gt;=QC$44,PZ29&gt;=QC$48,PY29&lt;&gt;"")),"Merit",IF(OR(AND(AS29&gt;=AW$43,AT29&gt;=AW$47,AS29&lt;&gt;"",AO29=""),AND(BV29&gt;=BZ$43,BW29&gt;=BZ$47,BV29&lt;&gt;"",BR29=""),AND(CY29&gt;=DC$43,CZ29&gt;=DC$47,CY29&lt;&gt;"",CU29=""),AND(EC29&gt;=EG$43,ED29&gt;=EG$47,EC29&lt;&gt;""),AND(FE29&gt;=FI$43,FF29&gt;=FI$47,FE29&lt;&gt;""),AND(GG29&gt;=GK$43,GH29&gt;=GK$47,GG29&lt;&gt;""),AND(HI29&gt;=HM$43,HJ29&gt;=HM$47,HI29&lt;&gt;""),AND(IK29&gt;=IO$43,IL29&gt;=IO$47,IK29&lt;&gt;""),AND(JM29&gt;=JQ$43,JN29&gt;=JQ$47,JM29&lt;&gt;""),AND(KO29&gt;=KS$43,KP29&gt;=KS$47,KO29&lt;&gt;""),AND(LQ29&gt;=LU$43,LR29&gt;=LU$47,LQ29&lt;&gt;""),AND(MS29&gt;=MW$43,MT29&gt;=MW$47,MS29&lt;&gt;""),AND(NU29&gt;=NY$43,NV29&gt;=NY$47,NU29&lt;&gt;""),AND(OW29&gt;=PA$43,OX29&gt;=PA$47,OW29&lt;&gt;""),AND(PY29&gt;=QC$43,PZ29&gt;=QC$47,PY29&lt;&gt;"")),"Excellence",IF(K29="P","Worlds Team",IF(H29="P","National Team","")))))</f>
        <v/>
      </c>
      <c r="K29" s="3" t="str">
        <f>IF(OR(AND(AS29&gt;=AW$42,AT29&gt;=AW$46,AS29&lt;&gt;"",AO29=""),AND(BV29&gt;=BZ$42,BW29&gt;=BZ$46,BV29&lt;&gt;"",BR29=""),AND(CY29&gt;=DC$42,CZ29&gt;=DC$46,CY29&lt;&gt;"",CU29=""),AND(EC29&gt;=EG$42,ED29&gt;=EG$46,EC29&lt;&gt;""),AND(FE29&gt;=FI$42,FF29&gt;=FI$46,FE29&lt;&gt;""),AND(GG29&gt;=GK$42,GH29&gt;=GK$46,GG29&lt;&gt;""),AND(HI29&gt;=HM$42,HJ29&gt;=HM$46,HI29&lt;&gt;""),AND(IK29&gt;=IO$42,IL29&gt;=IO$46,IK29&lt;&gt;""),AND(JM29&gt;=JQ$42,JN29&gt;=JQ$46,JM29&lt;&gt;""),AND(KO29&gt;=KS$42,KP29&gt;=KS$46,KO29&lt;&gt;""),AND(LQ29&gt;=LU$42,LR29&gt;=LU$46,LQ29&lt;&gt;""),AND(MS29&gt;=MW$42,MT29&gt;=MW$46,MS29&lt;&gt;""),AND(NU29&gt;=NY$42,NV29&gt;=NY$46,NU29&lt;&gt;""),AND(OW29&gt;=PA$42,OX29&gt;=PA$46,OW29&lt;&gt;""),AND(PY29&gt;=QC$42,PZ29&gt;=QC$46,PY29&lt;&gt;"")),"P","")</f>
        <v/>
      </c>
      <c r="L29" s="8">
        <f>IF(COUNT(AQ29,BT29,CW29)&gt;0,LARGE((AQ29,BT29,CW29),1),0)</f>
        <v>48.6</v>
      </c>
      <c r="M29" s="8" t="str">
        <f t="shared" si="1"/>
        <v>2025 Nationals</v>
      </c>
      <c r="N29" s="8">
        <f>IF(COUNT(AQ29,BT29,CW29)&gt;1,LARGE((AQ29,BT29,CW29),2),0)</f>
        <v>0</v>
      </c>
      <c r="O29" s="8" t="str">
        <f t="shared" si="2"/>
        <v/>
      </c>
      <c r="P29" s="8">
        <f t="shared" si="3"/>
        <v>48.9</v>
      </c>
      <c r="Q29" s="8" t="str">
        <f t="shared" si="4"/>
        <v>2025 Nationals</v>
      </c>
      <c r="R29" s="8" t="str">
        <f t="shared" si="5"/>
        <v/>
      </c>
      <c r="S29" s="11" t="str">
        <f t="shared" si="6"/>
        <v/>
      </c>
      <c r="T29" s="8" t="str">
        <f t="shared" si="7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8"/>
        <v/>
      </c>
      <c r="AQ29" s="40" t="str">
        <f t="shared" si="9"/>
        <v/>
      </c>
      <c r="AR29" s="40" t="str">
        <f t="shared" si="10"/>
        <v/>
      </c>
      <c r="AS29" s="40" t="str">
        <f t="shared" si="11"/>
        <v/>
      </c>
      <c r="AT29" s="40" t="str">
        <f t="shared" si="12"/>
        <v/>
      </c>
      <c r="AU29" s="40" t="str">
        <f t="shared" si="13"/>
        <v/>
      </c>
      <c r="AV29" s="40" t="str">
        <f t="shared" si="14"/>
        <v/>
      </c>
      <c r="AW29" s="40" t="str">
        <f t="shared" si="15"/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16"/>
        <v/>
      </c>
      <c r="BT29" s="11" t="str">
        <f t="shared" si="17"/>
        <v/>
      </c>
      <c r="BU29" s="11" t="str">
        <f t="shared" si="18"/>
        <v/>
      </c>
      <c r="BV29" s="11" t="str">
        <f t="shared" si="19"/>
        <v/>
      </c>
      <c r="BW29" s="11" t="str">
        <f t="shared" si="20"/>
        <v/>
      </c>
      <c r="BX29" s="11" t="str">
        <f t="shared" si="21"/>
        <v/>
      </c>
      <c r="BY29" s="11" t="str">
        <f t="shared" si="22"/>
        <v/>
      </c>
      <c r="BZ29" s="11" t="str">
        <f t="shared" si="23"/>
        <v/>
      </c>
      <c r="CA29" s="19">
        <v>19</v>
      </c>
      <c r="CB29" s="19">
        <v>5.2</v>
      </c>
      <c r="CC29" s="19">
        <v>0.8</v>
      </c>
      <c r="CD29" s="19">
        <v>0</v>
      </c>
      <c r="CE29" s="19">
        <v>18.8</v>
      </c>
      <c r="CF29" s="19">
        <v>6.4</v>
      </c>
      <c r="CG29" s="19">
        <v>0</v>
      </c>
      <c r="CH29" s="19">
        <v>0</v>
      </c>
      <c r="CI29" s="19"/>
      <c r="CJ29" s="19"/>
      <c r="CK29" s="19"/>
      <c r="CL29" s="19"/>
      <c r="CM29" s="19">
        <v>19.100000000000001</v>
      </c>
      <c r="CN29" s="19">
        <v>5.2</v>
      </c>
      <c r="CO29" s="19">
        <v>0.4</v>
      </c>
      <c r="CP29" s="19">
        <v>0</v>
      </c>
      <c r="CQ29" s="19">
        <v>18.8</v>
      </c>
      <c r="CR29" s="19">
        <v>6.4</v>
      </c>
      <c r="CS29" s="19">
        <v>0.2</v>
      </c>
      <c r="CT29" s="19">
        <v>0</v>
      </c>
      <c r="CU29" s="27"/>
      <c r="CV29" s="40">
        <f t="shared" si="24"/>
        <v>11.600000000000001</v>
      </c>
      <c r="CW29" s="40">
        <f t="shared" si="25"/>
        <v>48.6</v>
      </c>
      <c r="CX29" s="40" t="str">
        <f t="shared" si="26"/>
        <v/>
      </c>
      <c r="CY29" s="40">
        <f t="shared" si="27"/>
        <v>11.600000000000001</v>
      </c>
      <c r="CZ29" s="40">
        <f t="shared" si="28"/>
        <v>48.6</v>
      </c>
      <c r="DA29" s="40">
        <f t="shared" si="29"/>
        <v>11.600000000000001</v>
      </c>
      <c r="DB29" s="40">
        <f t="shared" si="30"/>
        <v>48.9</v>
      </c>
      <c r="DC29" s="40">
        <f t="shared" si="31"/>
        <v>97.5</v>
      </c>
      <c r="DD29" s="50" t="str">
        <f t="shared" si="32"/>
        <v/>
      </c>
      <c r="DE29" s="50" t="str">
        <f t="shared" si="33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4"/>
        <v/>
      </c>
      <c r="EA29" s="40" t="str">
        <f t="shared" si="35"/>
        <v/>
      </c>
      <c r="EB29" s="40" t="str">
        <f t="shared" si="36"/>
        <v/>
      </c>
      <c r="EC29" s="40" t="str">
        <f t="shared" si="37"/>
        <v/>
      </c>
      <c r="ED29" s="40" t="str">
        <f t="shared" si="38"/>
        <v/>
      </c>
      <c r="EE29" s="40" t="str">
        <f t="shared" si="39"/>
        <v/>
      </c>
      <c r="EF29" s="40" t="str">
        <f t="shared" si="40"/>
        <v/>
      </c>
      <c r="EG29" s="40" t="str">
        <f t="shared" si="41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2"/>
        <v/>
      </c>
      <c r="FC29" s="11" t="str">
        <f t="shared" si="43"/>
        <v/>
      </c>
      <c r="FD29" s="11" t="str">
        <f t="shared" si="44"/>
        <v/>
      </c>
      <c r="FE29" s="11" t="str">
        <f t="shared" si="45"/>
        <v/>
      </c>
      <c r="FF29" s="11" t="str">
        <f t="shared" si="46"/>
        <v/>
      </c>
      <c r="FG29" s="11" t="str">
        <f t="shared" si="47"/>
        <v/>
      </c>
      <c r="FH29" s="11" t="str">
        <f t="shared" si="48"/>
        <v/>
      </c>
      <c r="FI29" s="11" t="str">
        <f t="shared" si="49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0"/>
        <v/>
      </c>
      <c r="GE29" s="40" t="str">
        <f t="shared" si="51"/>
        <v/>
      </c>
      <c r="GF29" s="40" t="str">
        <f t="shared" si="52"/>
        <v/>
      </c>
      <c r="GG29" s="40" t="str">
        <f t="shared" si="53"/>
        <v/>
      </c>
      <c r="GH29" s="40" t="str">
        <f t="shared" si="54"/>
        <v/>
      </c>
      <c r="GI29" s="40" t="str">
        <f t="shared" si="55"/>
        <v/>
      </c>
      <c r="GJ29" s="40" t="str">
        <f t="shared" si="56"/>
        <v/>
      </c>
      <c r="GK29" s="40" t="str">
        <f t="shared" si="57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58"/>
        <v/>
      </c>
      <c r="HG29" s="11" t="str">
        <f t="shared" si="59"/>
        <v/>
      </c>
      <c r="HH29" s="11" t="str">
        <f t="shared" si="60"/>
        <v/>
      </c>
      <c r="HI29" s="11" t="str">
        <f t="shared" si="61"/>
        <v/>
      </c>
      <c r="HJ29" s="11" t="str">
        <f t="shared" si="62"/>
        <v/>
      </c>
      <c r="HK29" s="11" t="str">
        <f t="shared" si="63"/>
        <v/>
      </c>
      <c r="HL29" s="11" t="str">
        <f t="shared" si="64"/>
        <v/>
      </c>
      <c r="HM29" s="11" t="str">
        <f t="shared" si="65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66"/>
        <v/>
      </c>
      <c r="II29" s="40" t="str">
        <f t="shared" si="67"/>
        <v/>
      </c>
      <c r="IJ29" s="40" t="str">
        <f t="shared" si="68"/>
        <v/>
      </c>
      <c r="IK29" s="40" t="str">
        <f t="shared" si="69"/>
        <v/>
      </c>
      <c r="IL29" s="40" t="str">
        <f t="shared" si="70"/>
        <v/>
      </c>
      <c r="IM29" s="40" t="str">
        <f t="shared" si="71"/>
        <v/>
      </c>
      <c r="IN29" s="40" t="str">
        <f t="shared" si="72"/>
        <v/>
      </c>
      <c r="IO29" s="40" t="str">
        <f t="shared" si="73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4"/>
        <v/>
      </c>
      <c r="JK29" s="11" t="str">
        <f t="shared" si="75"/>
        <v/>
      </c>
      <c r="JL29" s="11" t="str">
        <f t="shared" si="76"/>
        <v/>
      </c>
      <c r="JM29" s="11" t="str">
        <f t="shared" si="77"/>
        <v/>
      </c>
      <c r="JN29" s="11" t="str">
        <f t="shared" si="78"/>
        <v/>
      </c>
      <c r="JO29" s="11" t="str">
        <f t="shared" si="79"/>
        <v/>
      </c>
      <c r="JP29" s="11" t="str">
        <f t="shared" si="80"/>
        <v/>
      </c>
      <c r="JQ29" s="11" t="str">
        <f t="shared" si="81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2"/>
        <v/>
      </c>
      <c r="KM29" s="40" t="str">
        <f t="shared" si="83"/>
        <v/>
      </c>
      <c r="KN29" s="40" t="str">
        <f t="shared" si="84"/>
        <v/>
      </c>
      <c r="KO29" s="40" t="str">
        <f t="shared" si="85"/>
        <v/>
      </c>
      <c r="KP29" s="40" t="str">
        <f t="shared" si="86"/>
        <v/>
      </c>
      <c r="KQ29" s="40" t="str">
        <f t="shared" si="87"/>
        <v/>
      </c>
      <c r="KR29" s="40" t="str">
        <f t="shared" si="88"/>
        <v/>
      </c>
      <c r="KS29" s="40" t="str">
        <f t="shared" si="89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0"/>
        <v/>
      </c>
      <c r="LO29" s="11" t="str">
        <f t="shared" si="91"/>
        <v/>
      </c>
      <c r="LP29" s="11" t="str">
        <f t="shared" si="92"/>
        <v/>
      </c>
      <c r="LQ29" s="11" t="str">
        <f t="shared" si="93"/>
        <v/>
      </c>
      <c r="LR29" s="11" t="str">
        <f t="shared" si="94"/>
        <v/>
      </c>
      <c r="LS29" s="11" t="str">
        <f t="shared" si="95"/>
        <v/>
      </c>
      <c r="LT29" s="11" t="str">
        <f t="shared" si="96"/>
        <v/>
      </c>
      <c r="LU29" s="11" t="str">
        <f t="shared" si="97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98"/>
        <v/>
      </c>
      <c r="MQ29" s="40" t="str">
        <f t="shared" si="99"/>
        <v/>
      </c>
      <c r="MR29" s="40" t="str">
        <f t="shared" si="100"/>
        <v/>
      </c>
      <c r="MS29" s="40" t="str">
        <f t="shared" si="101"/>
        <v/>
      </c>
      <c r="MT29" s="40" t="str">
        <f t="shared" si="102"/>
        <v/>
      </c>
      <c r="MU29" s="40" t="str">
        <f t="shared" si="103"/>
        <v/>
      </c>
      <c r="MV29" s="40" t="str">
        <f t="shared" si="104"/>
        <v/>
      </c>
      <c r="MW29" s="40" t="str">
        <f t="shared" si="105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06"/>
        <v/>
      </c>
      <c r="NS29" s="11" t="str">
        <f t="shared" si="107"/>
        <v/>
      </c>
      <c r="NT29" s="11" t="str">
        <f t="shared" si="108"/>
        <v/>
      </c>
      <c r="NU29" s="11" t="str">
        <f t="shared" si="109"/>
        <v/>
      </c>
      <c r="NV29" s="11" t="str">
        <f t="shared" si="110"/>
        <v/>
      </c>
      <c r="NW29" s="11" t="str">
        <f t="shared" si="111"/>
        <v/>
      </c>
      <c r="NX29" s="11" t="str">
        <f t="shared" si="112"/>
        <v/>
      </c>
      <c r="NY29" s="11" t="str">
        <f t="shared" si="113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4"/>
        <v/>
      </c>
      <c r="OU29" s="40" t="str">
        <f t="shared" si="115"/>
        <v/>
      </c>
      <c r="OV29" s="40" t="str">
        <f t="shared" si="116"/>
        <v/>
      </c>
      <c r="OW29" s="40" t="str">
        <f t="shared" si="117"/>
        <v/>
      </c>
      <c r="OX29" s="40" t="str">
        <f t="shared" si="118"/>
        <v/>
      </c>
      <c r="OY29" s="40" t="str">
        <f t="shared" si="119"/>
        <v/>
      </c>
      <c r="OZ29" s="40" t="str">
        <f t="shared" si="120"/>
        <v/>
      </c>
      <c r="PA29" s="40" t="str">
        <f t="shared" si="121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2"/>
        <v/>
      </c>
      <c r="PW29" s="11" t="str">
        <f t="shared" si="123"/>
        <v/>
      </c>
      <c r="PX29" s="11" t="str">
        <f t="shared" si="124"/>
        <v/>
      </c>
      <c r="PY29" s="11" t="str">
        <f t="shared" si="125"/>
        <v/>
      </c>
      <c r="PZ29" s="11" t="str">
        <f t="shared" si="126"/>
        <v/>
      </c>
      <c r="QA29" s="11" t="str">
        <f t="shared" si="127"/>
        <v/>
      </c>
      <c r="QB29" s="11" t="str">
        <f t="shared" si="128"/>
        <v/>
      </c>
      <c r="QC29" s="11" t="str">
        <f t="shared" si="129"/>
        <v/>
      </c>
      <c r="QD29" s="22">
        <f t="shared" si="130"/>
        <v>9.5</v>
      </c>
      <c r="QE29" s="22">
        <f t="shared" si="131"/>
        <v>2.6</v>
      </c>
      <c r="QF29" s="22">
        <f t="shared" si="132"/>
        <v>0.4</v>
      </c>
      <c r="QG29" s="22">
        <f t="shared" si="133"/>
        <v>0</v>
      </c>
      <c r="QH29" s="22">
        <f t="shared" si="134"/>
        <v>9.4</v>
      </c>
      <c r="QI29" s="22">
        <f t="shared" si="135"/>
        <v>3.2</v>
      </c>
      <c r="QJ29" s="22">
        <f t="shared" si="136"/>
        <v>0</v>
      </c>
      <c r="QK29" s="22">
        <f t="shared" si="137"/>
        <v>0</v>
      </c>
      <c r="QL29" s="22">
        <f t="shared" si="138"/>
        <v>0</v>
      </c>
      <c r="QM29" s="22">
        <f t="shared" si="139"/>
        <v>0</v>
      </c>
      <c r="QN29" s="22">
        <f t="shared" si="140"/>
        <v>0</v>
      </c>
      <c r="QO29" s="22">
        <f t="shared" si="141"/>
        <v>0</v>
      </c>
      <c r="QP29" s="22">
        <f t="shared" si="142"/>
        <v>9.5500000000000007</v>
      </c>
      <c r="QQ29" s="22">
        <f t="shared" si="143"/>
        <v>2.6</v>
      </c>
      <c r="QR29" s="22">
        <f t="shared" si="144"/>
        <v>0.2</v>
      </c>
      <c r="QS29" s="22">
        <f t="shared" si="145"/>
        <v>0</v>
      </c>
      <c r="QT29" s="22">
        <f t="shared" si="146"/>
        <v>9.4</v>
      </c>
      <c r="QU29" s="22">
        <f t="shared" si="147"/>
        <v>3.2</v>
      </c>
      <c r="QV29" s="22">
        <f t="shared" si="148"/>
        <v>0.1</v>
      </c>
      <c r="QW29" s="22">
        <f t="shared" si="149"/>
        <v>0</v>
      </c>
      <c r="QX29" s="27" t="s">
        <v>46</v>
      </c>
      <c r="QY29" s="40">
        <f t="shared" si="150"/>
        <v>5.8000000000000007</v>
      </c>
      <c r="QZ29" s="40">
        <f t="shared" si="151"/>
        <v>24.3</v>
      </c>
      <c r="RA29" s="40" t="str">
        <f t="shared" si="152"/>
        <v/>
      </c>
      <c r="RB29" s="40">
        <f t="shared" si="153"/>
        <v>5.8000000000000007</v>
      </c>
      <c r="RC29" s="40">
        <f t="shared" si="154"/>
        <v>24.3</v>
      </c>
      <c r="RD29" s="40">
        <f t="shared" si="155"/>
        <v>5.8000000000000007</v>
      </c>
      <c r="RE29" s="40">
        <f t="shared" si="156"/>
        <v>24.45</v>
      </c>
      <c r="RF29" s="40">
        <f t="shared" si="157"/>
        <v>48.75</v>
      </c>
    </row>
    <row r="30" spans="1:474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188</v>
      </c>
      <c r="D30" s="4" t="s">
        <v>5</v>
      </c>
      <c r="E30" s="4">
        <v>2005</v>
      </c>
      <c r="F30" s="9">
        <f t="shared" si="0"/>
        <v>93.200004650004644</v>
      </c>
      <c r="H30" s="3" t="str">
        <f>IF(OR(AND(AP30&gt;=AW$41,AQ30&gt;=AW$45,AP30&lt;&gt;"",AO30=""),AND(AU30&gt;=AW$41,AV30&gt;=AW$45,AU30&lt;&gt;"",AO30=""),AND(BS30&gt;=BZ$41,BT30&gt;=BZ$45,BS30&lt;&gt;"",BR30=""),AND(BX30&gt;=BZ$41,BY30&gt;=BZ$45,BX30&lt;&gt;"",BR30=""),AND(CV30&gt;=DC$41,CW30&gt;=DC$45,CV30&lt;&gt;"",CU30=""),AND(DA30&gt;=DC$41,DB30&gt;=DC$45,DA30&lt;&gt;""),AND(DZ30&gt;=EG$41,EA30&gt;=EG$45,DZ30&lt;&gt;""),AND(EE30&gt;=EG$41,EF30&gt;=EG$45,EE30&lt;&gt;""),AND(FB30&gt;=FI$41,FC30&gt;=FI$45,FB30&lt;&gt;""),AND(FG30&gt;=FI$41,FH30&gt;=FI$45,FG30&lt;&gt;""),AND(GD30&gt;=GK$41,GE30&gt;=GK$45,GD30&lt;&gt;""),AND(GI30&gt;=GK$41,GJ30&gt;=GK$45,GI30&lt;&gt;""),AND(HF30&gt;=HM$41,HG30&gt;=HM$45,HF30&lt;&gt;""),AND(HK30&gt;=HM$41,HL30&gt;=HM$45,HK30&lt;&gt;""),AND(IH30&gt;=IO$41,II30&gt;=IO$45,IH30&lt;&gt;""),AND(IM30&gt;=IO$41,IN30&gt;=IO$45,IM30&lt;&gt;""),AND(JJ30&gt;=JQ$41,JK30&gt;=JQ$45,JJ30&lt;&gt;""),AND(JO30&gt;=JQ$41,JP30&gt;=JQ$45,JO30&lt;&gt;""),AND(KL30&gt;=KS$41,KM30&gt;=KS$45,KL30&lt;&gt;""),AND(KQ30&gt;=KS$41,KR30&gt;=KS$45,KQ30&lt;&gt;""),AND(LN30&gt;=LU$41,LO30&gt;=LU$45,LN30&lt;&gt;""),AND(LS30&gt;=LU$41,LT30&gt;=LU$45,LS30&lt;&gt;""),AND(MP30&gt;=MW$41,MQ30&gt;=MW$45,MP30&lt;&gt;""),AND(MU30&gt;=MW$41,MV30&gt;=MW$45,MU30&lt;&gt;""),AND(NR30&gt;=NY$41,NS30&gt;=NY$45,NR30&lt;&gt;""),AND(NW30&gt;=NY$41,NX30&gt;=NY$45,NW30&lt;&gt;""),AND(OT30&gt;=PA$41,OU30&gt;=PA$45,OT30&lt;&gt;""),AND(OY30&gt;=PA$41,OZ30&gt;=PA$45,OY30&lt;&gt;""),AND(PV30&gt;=QC$41,PW30&gt;=QC$45,PV30&lt;&gt;""),AND(QA30&gt;=QC$41,QB30&gt;=QC$45,QA30&lt;&gt;"")),"P","")</f>
        <v/>
      </c>
      <c r="I30" s="3" t="str">
        <f>IF(OR(AND(AQ30&gt;=AW$45,AQ30&lt;&gt;"",AO30=""),AND(AV30&gt;=AW$45,AV30&lt;&gt;"",AO30=""),AND(BT30&gt;=BZ$45,BT30&lt;&gt;"",BR30=""),AND(BY30&gt;=BZ$45,BY30&lt;&gt;"",BR30=""),AND(CW30&gt;=DC$45,CW30&lt;&gt;"",CU30=""),AND(DB30&gt;=DC$45,DB30&lt;&gt;"",CU30=""),AND(EA30&gt;=EG$45,EA30&lt;&gt;""),AND(EF30&gt;=EG$45,EF30&lt;&gt;""),AND(FC30&gt;=FI$45,FC30&lt;&gt;""),AND(FH30&gt;=FI$45,FH30&lt;&gt;""),AND(GE30&gt;=GK$45,GE30&lt;&gt;""),AND(GJ30&gt;=GK$45,GJ30&lt;&gt;""),AND(HG30&gt;=HM$45,HG30&lt;&gt;""),AND(HL30&gt;=HM$45,HL30&lt;&gt;""),AND(II30&gt;=IO$45,II30&lt;&gt;""),AND(IN30&gt;=IO$45,IN30&lt;&gt;""),AND(JK30&gt;=JQ$45,JK30&lt;&gt;""),AND(JP30&gt;=JQ$45,JP30&lt;&gt;""),AND(KM30&gt;=KS$45,KM30&lt;&gt;""),AND(KR30&gt;=KS$45,KR30&lt;&gt;""),AND(LO30&gt;=LU$45,LO30&lt;&gt;""),AND(LT30&gt;=LU$45,LT30&lt;&gt;""),AND(MQ30&gt;=MW$45,MQ30&lt;&gt;""),AND(MV30&gt;=MW$45,MV30&lt;&gt;""),AND(NS30&gt;=NY$45,NS30&lt;&gt;""),AND(NX30&gt;=NY$45,NX30&lt;&gt;""),AND(OU30&gt;=PA$45,OU30&lt;&gt;""),AND(OZ30&gt;=PA$45,OZ30&lt;&gt;""),AND(PW30&gt;=QC$45,PW30&lt;&gt;""),AND(QB30&gt;=QC$45,QB30&lt;&gt;"")),"P","")</f>
        <v/>
      </c>
      <c r="J30" s="36" t="str">
        <f>IF(AND(I30="P",H30=""),"No DD",IF(OR(AND(AS30&gt;=AW$44,AT30&gt;=AW$48,AS30&lt;&gt;"",AO30=""),AND(BV30&gt;=BZ$44,BW30&gt;=BZ$48,BV30&lt;&gt;"",BR30=""),AND(CY30&gt;=DC$44,CZ30&gt;=DC$48,CY30&lt;&gt;"",CU30=""),AND(EC30&gt;=EG$44,ED30&gt;=EG$48,EC30&lt;&gt;""),AND(FE30&gt;=FI$44,FF30&gt;=FI$48,FE30&lt;&gt;""),AND(GG30&gt;=GK$44,GH30&gt;=GK$48,GG30&lt;&gt;""),AND(HI30&gt;=HM$44,HJ30&gt;=HM$48,HI30&lt;&gt;""),AND(IK30&gt;=IO$44,IL30&gt;=IO$48,IK30&lt;&gt;""),AND(JM30&gt;=JQ$44,JN30&gt;=JQ$48,JM30&lt;&gt;""),AND(KO30&gt;=KS$44,KP30&gt;=KS$48,KO30&lt;&gt;""),AND(LQ30&gt;=LU$44,LR30&gt;=LU$48,LQ30&lt;&gt;""),AND(MS30&gt;=MW$44,MT30&gt;=MW$48,MS30&lt;&gt;""),AND(NU30&gt;=NY$44,NV30&gt;=NY$48,NU30&lt;&gt;""),AND(OW30&gt;=PA$44,OX30&gt;=PA$48,OW30&lt;&gt;""),AND(PY30&gt;=QC$44,PZ30&gt;=QC$48,PY30&lt;&gt;"")),"Merit",IF(OR(AND(AS30&gt;=AW$43,AT30&gt;=AW$47,AS30&lt;&gt;"",AO30=""),AND(BV30&gt;=BZ$43,BW30&gt;=BZ$47,BV30&lt;&gt;"",BR30=""),AND(CY30&gt;=DC$43,CZ30&gt;=DC$47,CY30&lt;&gt;"",CU30=""),AND(EC30&gt;=EG$43,ED30&gt;=EG$47,EC30&lt;&gt;""),AND(FE30&gt;=FI$43,FF30&gt;=FI$47,FE30&lt;&gt;""),AND(GG30&gt;=GK$43,GH30&gt;=GK$47,GG30&lt;&gt;""),AND(HI30&gt;=HM$43,HJ30&gt;=HM$47,HI30&lt;&gt;""),AND(IK30&gt;=IO$43,IL30&gt;=IO$47,IK30&lt;&gt;""),AND(JM30&gt;=JQ$43,JN30&gt;=JQ$47,JM30&lt;&gt;""),AND(KO30&gt;=KS$43,KP30&gt;=KS$47,KO30&lt;&gt;""),AND(LQ30&gt;=LU$43,LR30&gt;=LU$47,LQ30&lt;&gt;""),AND(MS30&gt;=MW$43,MT30&gt;=MW$47,MS30&lt;&gt;""),AND(NU30&gt;=NY$43,NV30&gt;=NY$47,NU30&lt;&gt;""),AND(OW30&gt;=PA$43,OX30&gt;=PA$47,OW30&lt;&gt;""),AND(PY30&gt;=QC$43,PZ30&gt;=QC$47,PY30&lt;&gt;"")),"Excellence",IF(K30="P","Worlds Team",IF(H30="P","National Team","")))))</f>
        <v/>
      </c>
      <c r="K30" s="3" t="str">
        <f>IF(OR(AND(AS30&gt;=AW$42,AT30&gt;=AW$46,AS30&lt;&gt;"",AO30=""),AND(BV30&gt;=BZ$42,BW30&gt;=BZ$46,BV30&lt;&gt;"",BR30=""),AND(CY30&gt;=DC$42,CZ30&gt;=DC$46,CY30&lt;&gt;"",CU30=""),AND(EC30&gt;=EG$42,ED30&gt;=EG$46,EC30&lt;&gt;""),AND(FE30&gt;=FI$42,FF30&gt;=FI$46,FE30&lt;&gt;""),AND(GG30&gt;=GK$42,GH30&gt;=GK$46,GG30&lt;&gt;""),AND(HI30&gt;=HM$42,HJ30&gt;=HM$46,HI30&lt;&gt;""),AND(IK30&gt;=IO$42,IL30&gt;=IO$46,IK30&lt;&gt;""),AND(JM30&gt;=JQ$42,JN30&gt;=JQ$46,JM30&lt;&gt;""),AND(KO30&gt;=KS$42,KP30&gt;=KS$46,KO30&lt;&gt;""),AND(LQ30&gt;=LU$42,LR30&gt;=LU$46,LQ30&lt;&gt;""),AND(MS30&gt;=MW$42,MT30&gt;=MW$46,MS30&lt;&gt;""),AND(NU30&gt;=NY$42,NV30&gt;=NY$46,NU30&lt;&gt;""),AND(OW30&gt;=PA$42,OX30&gt;=PA$46,OW30&lt;&gt;""),AND(PY30&gt;=QC$42,PZ30&gt;=QC$46,PY30&lt;&gt;"")),"P","")</f>
        <v/>
      </c>
      <c r="L30" s="8">
        <f>IF(COUNT(AQ30,BT30,CW30)&gt;0,LARGE((AQ30,BT30,CW30),1),0)</f>
        <v>46.5</v>
      </c>
      <c r="M30" s="8" t="str">
        <f t="shared" si="1"/>
        <v>2025 Elite Canada</v>
      </c>
      <c r="N30" s="8">
        <f>IF(COUNT(AQ30,BT30,CW30)&gt;1,LARGE((AQ30,BT30,CW30),2),0)</f>
        <v>0</v>
      </c>
      <c r="O30" s="8" t="str">
        <f t="shared" si="2"/>
        <v/>
      </c>
      <c r="P30" s="8">
        <f t="shared" si="3"/>
        <v>46.7</v>
      </c>
      <c r="Q30" s="8" t="str">
        <f t="shared" si="4"/>
        <v>2025 Elite Canada</v>
      </c>
      <c r="R30" s="8" t="str">
        <f t="shared" si="5"/>
        <v/>
      </c>
      <c r="S30" s="11" t="str">
        <f t="shared" si="6"/>
        <v/>
      </c>
      <c r="T30" s="8" t="str">
        <f t="shared" si="7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8"/>
        <v/>
      </c>
      <c r="AQ30" s="40" t="str">
        <f t="shared" si="9"/>
        <v/>
      </c>
      <c r="AR30" s="40" t="str">
        <f t="shared" si="10"/>
        <v/>
      </c>
      <c r="AS30" s="40" t="str">
        <f t="shared" si="11"/>
        <v/>
      </c>
      <c r="AT30" s="40" t="str">
        <f t="shared" si="12"/>
        <v/>
      </c>
      <c r="AU30" s="40" t="str">
        <f t="shared" si="13"/>
        <v/>
      </c>
      <c r="AV30" s="40" t="str">
        <f t="shared" si="14"/>
        <v/>
      </c>
      <c r="AW30" s="40" t="str">
        <f t="shared" si="15"/>
        <v/>
      </c>
      <c r="AX30" s="18">
        <v>18.7</v>
      </c>
      <c r="AY30" s="18">
        <v>4.4000000000000004</v>
      </c>
      <c r="AZ30" s="18">
        <v>0.2</v>
      </c>
      <c r="BA30" s="18">
        <v>0</v>
      </c>
      <c r="BB30" s="18">
        <v>18.399999999999999</v>
      </c>
      <c r="BC30" s="18">
        <v>5.2</v>
      </c>
      <c r="BD30" s="18">
        <v>0</v>
      </c>
      <c r="BE30" s="18">
        <v>0</v>
      </c>
      <c r="BF30" s="18"/>
      <c r="BG30" s="18"/>
      <c r="BH30" s="18"/>
      <c r="BI30" s="18"/>
      <c r="BJ30" s="18">
        <v>18.8</v>
      </c>
      <c r="BK30" s="18">
        <v>5.2</v>
      </c>
      <c r="BL30" s="18">
        <v>0.2</v>
      </c>
      <c r="BM30" s="18">
        <v>0</v>
      </c>
      <c r="BN30" s="18">
        <v>18.5</v>
      </c>
      <c r="BO30" s="18">
        <v>5.2</v>
      </c>
      <c r="BP30" s="18">
        <v>0.8</v>
      </c>
      <c r="BQ30" s="18">
        <v>0</v>
      </c>
      <c r="BR30" s="28"/>
      <c r="BS30" s="11">
        <f t="shared" si="16"/>
        <v>9.6000000000000014</v>
      </c>
      <c r="BT30" s="11">
        <f t="shared" si="17"/>
        <v>46.5</v>
      </c>
      <c r="BU30" s="11" t="str">
        <f t="shared" si="18"/>
        <v/>
      </c>
      <c r="BV30" s="11">
        <f t="shared" si="19"/>
        <v>9.6000000000000014</v>
      </c>
      <c r="BW30" s="11">
        <f t="shared" si="20"/>
        <v>46.5</v>
      </c>
      <c r="BX30" s="11">
        <f t="shared" si="21"/>
        <v>10.4</v>
      </c>
      <c r="BY30" s="11">
        <f t="shared" si="22"/>
        <v>46.7</v>
      </c>
      <c r="BZ30" s="11">
        <f t="shared" si="23"/>
        <v>93.2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4"/>
        <v/>
      </c>
      <c r="CW30" s="40" t="str">
        <f t="shared" si="25"/>
        <v/>
      </c>
      <c r="CX30" s="40" t="str">
        <f t="shared" si="26"/>
        <v/>
      </c>
      <c r="CY30" s="40" t="str">
        <f t="shared" si="27"/>
        <v/>
      </c>
      <c r="CZ30" s="40" t="str">
        <f t="shared" si="28"/>
        <v/>
      </c>
      <c r="DA30" s="40" t="str">
        <f t="shared" si="29"/>
        <v/>
      </c>
      <c r="DB30" s="40" t="str">
        <f t="shared" si="30"/>
        <v/>
      </c>
      <c r="DC30" s="40" t="str">
        <f t="shared" si="31"/>
        <v/>
      </c>
      <c r="DD30" s="50" t="str">
        <f t="shared" si="32"/>
        <v/>
      </c>
      <c r="DE30" s="50" t="str">
        <f t="shared" si="33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4"/>
        <v/>
      </c>
      <c r="EA30" s="40" t="str">
        <f t="shared" si="35"/>
        <v/>
      </c>
      <c r="EB30" s="40" t="str">
        <f t="shared" si="36"/>
        <v/>
      </c>
      <c r="EC30" s="40" t="str">
        <f t="shared" si="37"/>
        <v/>
      </c>
      <c r="ED30" s="40" t="str">
        <f t="shared" si="38"/>
        <v/>
      </c>
      <c r="EE30" s="40" t="str">
        <f t="shared" si="39"/>
        <v/>
      </c>
      <c r="EF30" s="40" t="str">
        <f t="shared" si="40"/>
        <v/>
      </c>
      <c r="EG30" s="40" t="str">
        <f t="shared" si="41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2"/>
        <v/>
      </c>
      <c r="FC30" s="11" t="str">
        <f t="shared" si="43"/>
        <v/>
      </c>
      <c r="FD30" s="11" t="str">
        <f t="shared" si="44"/>
        <v/>
      </c>
      <c r="FE30" s="11" t="str">
        <f t="shared" si="45"/>
        <v/>
      </c>
      <c r="FF30" s="11" t="str">
        <f t="shared" si="46"/>
        <v/>
      </c>
      <c r="FG30" s="11" t="str">
        <f t="shared" si="47"/>
        <v/>
      </c>
      <c r="FH30" s="11" t="str">
        <f t="shared" si="48"/>
        <v/>
      </c>
      <c r="FI30" s="11" t="str">
        <f t="shared" si="49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0"/>
        <v/>
      </c>
      <c r="GE30" s="40" t="str">
        <f t="shared" si="51"/>
        <v/>
      </c>
      <c r="GF30" s="40" t="str">
        <f t="shared" si="52"/>
        <v/>
      </c>
      <c r="GG30" s="40" t="str">
        <f t="shared" si="53"/>
        <v/>
      </c>
      <c r="GH30" s="40" t="str">
        <f t="shared" si="54"/>
        <v/>
      </c>
      <c r="GI30" s="40" t="str">
        <f t="shared" si="55"/>
        <v/>
      </c>
      <c r="GJ30" s="40" t="str">
        <f t="shared" si="56"/>
        <v/>
      </c>
      <c r="GK30" s="40" t="str">
        <f t="shared" si="57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58"/>
        <v/>
      </c>
      <c r="HG30" s="11" t="str">
        <f t="shared" si="59"/>
        <v/>
      </c>
      <c r="HH30" s="11" t="str">
        <f t="shared" si="60"/>
        <v/>
      </c>
      <c r="HI30" s="11" t="str">
        <f t="shared" si="61"/>
        <v/>
      </c>
      <c r="HJ30" s="11" t="str">
        <f t="shared" si="62"/>
        <v/>
      </c>
      <c r="HK30" s="11" t="str">
        <f t="shared" si="63"/>
        <v/>
      </c>
      <c r="HL30" s="11" t="str">
        <f t="shared" si="64"/>
        <v/>
      </c>
      <c r="HM30" s="11" t="str">
        <f t="shared" si="65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66"/>
        <v/>
      </c>
      <c r="II30" s="40" t="str">
        <f t="shared" si="67"/>
        <v/>
      </c>
      <c r="IJ30" s="40" t="str">
        <f t="shared" si="68"/>
        <v/>
      </c>
      <c r="IK30" s="40" t="str">
        <f t="shared" si="69"/>
        <v/>
      </c>
      <c r="IL30" s="40" t="str">
        <f t="shared" si="70"/>
        <v/>
      </c>
      <c r="IM30" s="40" t="str">
        <f t="shared" si="71"/>
        <v/>
      </c>
      <c r="IN30" s="40" t="str">
        <f t="shared" si="72"/>
        <v/>
      </c>
      <c r="IO30" s="40" t="str">
        <f t="shared" si="73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4"/>
        <v/>
      </c>
      <c r="JK30" s="11" t="str">
        <f t="shared" si="75"/>
        <v/>
      </c>
      <c r="JL30" s="11" t="str">
        <f t="shared" si="76"/>
        <v/>
      </c>
      <c r="JM30" s="11" t="str">
        <f t="shared" si="77"/>
        <v/>
      </c>
      <c r="JN30" s="11" t="str">
        <f t="shared" si="78"/>
        <v/>
      </c>
      <c r="JO30" s="11" t="str">
        <f t="shared" si="79"/>
        <v/>
      </c>
      <c r="JP30" s="11" t="str">
        <f t="shared" si="80"/>
        <v/>
      </c>
      <c r="JQ30" s="11" t="str">
        <f t="shared" si="81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2"/>
        <v/>
      </c>
      <c r="KM30" s="40" t="str">
        <f t="shared" si="83"/>
        <v/>
      </c>
      <c r="KN30" s="40" t="str">
        <f t="shared" si="84"/>
        <v/>
      </c>
      <c r="KO30" s="40" t="str">
        <f t="shared" si="85"/>
        <v/>
      </c>
      <c r="KP30" s="40" t="str">
        <f t="shared" si="86"/>
        <v/>
      </c>
      <c r="KQ30" s="40" t="str">
        <f t="shared" si="87"/>
        <v/>
      </c>
      <c r="KR30" s="40" t="str">
        <f t="shared" si="88"/>
        <v/>
      </c>
      <c r="KS30" s="40" t="str">
        <f t="shared" si="89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0"/>
        <v/>
      </c>
      <c r="LO30" s="11" t="str">
        <f t="shared" si="91"/>
        <v/>
      </c>
      <c r="LP30" s="11" t="str">
        <f t="shared" si="92"/>
        <v/>
      </c>
      <c r="LQ30" s="11" t="str">
        <f t="shared" si="93"/>
        <v/>
      </c>
      <c r="LR30" s="11" t="str">
        <f t="shared" si="94"/>
        <v/>
      </c>
      <c r="LS30" s="11" t="str">
        <f t="shared" si="95"/>
        <v/>
      </c>
      <c r="LT30" s="11" t="str">
        <f t="shared" si="96"/>
        <v/>
      </c>
      <c r="LU30" s="11" t="str">
        <f t="shared" si="97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98"/>
        <v/>
      </c>
      <c r="MQ30" s="40" t="str">
        <f t="shared" si="99"/>
        <v/>
      </c>
      <c r="MR30" s="40" t="str">
        <f t="shared" si="100"/>
        <v/>
      </c>
      <c r="MS30" s="40" t="str">
        <f t="shared" si="101"/>
        <v/>
      </c>
      <c r="MT30" s="40" t="str">
        <f t="shared" si="102"/>
        <v/>
      </c>
      <c r="MU30" s="40" t="str">
        <f t="shared" si="103"/>
        <v/>
      </c>
      <c r="MV30" s="40" t="str">
        <f t="shared" si="104"/>
        <v/>
      </c>
      <c r="MW30" s="40" t="str">
        <f t="shared" si="105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06"/>
        <v/>
      </c>
      <c r="NS30" s="11" t="str">
        <f t="shared" si="107"/>
        <v/>
      </c>
      <c r="NT30" s="11" t="str">
        <f t="shared" si="108"/>
        <v/>
      </c>
      <c r="NU30" s="11" t="str">
        <f t="shared" si="109"/>
        <v/>
      </c>
      <c r="NV30" s="11" t="str">
        <f t="shared" si="110"/>
        <v/>
      </c>
      <c r="NW30" s="11" t="str">
        <f t="shared" si="111"/>
        <v/>
      </c>
      <c r="NX30" s="11" t="str">
        <f t="shared" si="112"/>
        <v/>
      </c>
      <c r="NY30" s="11" t="str">
        <f t="shared" si="113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4"/>
        <v/>
      </c>
      <c r="OU30" s="40" t="str">
        <f t="shared" si="115"/>
        <v/>
      </c>
      <c r="OV30" s="40" t="str">
        <f t="shared" si="116"/>
        <v/>
      </c>
      <c r="OW30" s="40" t="str">
        <f t="shared" si="117"/>
        <v/>
      </c>
      <c r="OX30" s="40" t="str">
        <f t="shared" si="118"/>
        <v/>
      </c>
      <c r="OY30" s="40" t="str">
        <f t="shared" si="119"/>
        <v/>
      </c>
      <c r="OZ30" s="40" t="str">
        <f t="shared" si="120"/>
        <v/>
      </c>
      <c r="PA30" s="40" t="str">
        <f t="shared" si="121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2"/>
        <v/>
      </c>
      <c r="PW30" s="11" t="str">
        <f t="shared" si="123"/>
        <v/>
      </c>
      <c r="PX30" s="11" t="str">
        <f t="shared" si="124"/>
        <v/>
      </c>
      <c r="PY30" s="11" t="str">
        <f t="shared" si="125"/>
        <v/>
      </c>
      <c r="PZ30" s="11" t="str">
        <f t="shared" si="126"/>
        <v/>
      </c>
      <c r="QA30" s="11" t="str">
        <f t="shared" si="127"/>
        <v/>
      </c>
      <c r="QB30" s="11" t="str">
        <f t="shared" si="128"/>
        <v/>
      </c>
      <c r="QC30" s="11" t="str">
        <f t="shared" si="129"/>
        <v/>
      </c>
      <c r="QD30" s="22">
        <f t="shared" si="130"/>
        <v>9.35</v>
      </c>
      <c r="QE30" s="22">
        <f t="shared" si="131"/>
        <v>2.2000000000000002</v>
      </c>
      <c r="QF30" s="22">
        <f t="shared" si="132"/>
        <v>0.1</v>
      </c>
      <c r="QG30" s="22">
        <f t="shared" si="133"/>
        <v>0</v>
      </c>
      <c r="QH30" s="22">
        <f t="shared" si="134"/>
        <v>9.1999999999999993</v>
      </c>
      <c r="QI30" s="22">
        <f t="shared" si="135"/>
        <v>2.6</v>
      </c>
      <c r="QJ30" s="22">
        <f t="shared" si="136"/>
        <v>0</v>
      </c>
      <c r="QK30" s="22">
        <f t="shared" si="137"/>
        <v>0</v>
      </c>
      <c r="QL30" s="22">
        <f t="shared" si="138"/>
        <v>0</v>
      </c>
      <c r="QM30" s="22">
        <f t="shared" si="139"/>
        <v>0</v>
      </c>
      <c r="QN30" s="22">
        <f t="shared" si="140"/>
        <v>0</v>
      </c>
      <c r="QO30" s="22">
        <f t="shared" si="141"/>
        <v>0</v>
      </c>
      <c r="QP30" s="22">
        <f t="shared" si="142"/>
        <v>9.4</v>
      </c>
      <c r="QQ30" s="22">
        <f t="shared" si="143"/>
        <v>2.6</v>
      </c>
      <c r="QR30" s="22">
        <f t="shared" si="144"/>
        <v>0.1</v>
      </c>
      <c r="QS30" s="22">
        <f t="shared" si="145"/>
        <v>0</v>
      </c>
      <c r="QT30" s="22">
        <f t="shared" si="146"/>
        <v>9.25</v>
      </c>
      <c r="QU30" s="22">
        <f t="shared" si="147"/>
        <v>2.6</v>
      </c>
      <c r="QV30" s="22">
        <f t="shared" si="148"/>
        <v>0.4</v>
      </c>
      <c r="QW30" s="22">
        <f t="shared" si="149"/>
        <v>0</v>
      </c>
      <c r="QX30" s="27" t="s">
        <v>46</v>
      </c>
      <c r="QY30" s="40">
        <f t="shared" si="150"/>
        <v>4.8000000000000007</v>
      </c>
      <c r="QZ30" s="40">
        <f t="shared" si="151"/>
        <v>23.25</v>
      </c>
      <c r="RA30" s="40" t="str">
        <f t="shared" si="152"/>
        <v/>
      </c>
      <c r="RB30" s="40">
        <f t="shared" si="153"/>
        <v>4.8000000000000007</v>
      </c>
      <c r="RC30" s="40">
        <f t="shared" si="154"/>
        <v>23.25</v>
      </c>
      <c r="RD30" s="40">
        <f t="shared" si="155"/>
        <v>5.2</v>
      </c>
      <c r="RE30" s="40">
        <f t="shared" si="156"/>
        <v>23.35</v>
      </c>
      <c r="RF30" s="40">
        <f t="shared" si="157"/>
        <v>46.6</v>
      </c>
    </row>
    <row r="31" spans="1:474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130</v>
      </c>
      <c r="D31" s="4" t="s">
        <v>4</v>
      </c>
      <c r="E31" s="4">
        <v>2007</v>
      </c>
      <c r="F31" s="9">
        <f t="shared" si="0"/>
        <v>92.300009230004648</v>
      </c>
      <c r="G31" s="64"/>
      <c r="H31" s="3" t="str">
        <f>IF(OR(AND(AP31&gt;=AW$41,AQ31&gt;=AW$45,AP31&lt;&gt;"",AO31=""),AND(AU31&gt;=AW$41,AV31&gt;=AW$45,AU31&lt;&gt;"",AO31=""),AND(BS31&gt;=BZ$41,BT31&gt;=BZ$45,BS31&lt;&gt;"",BR31=""),AND(BX31&gt;=BZ$41,BY31&gt;=BZ$45,BX31&lt;&gt;"",BR31=""),AND(CV31&gt;=DC$41,CW31&gt;=DC$45,CV31&lt;&gt;"",CU31=""),AND(DA31&gt;=DC$41,DB31&gt;=DC$45,DA31&lt;&gt;""),AND(DZ31&gt;=EG$41,EA31&gt;=EG$45,DZ31&lt;&gt;""),AND(EE31&gt;=EG$41,EF31&gt;=EG$45,EE31&lt;&gt;""),AND(FB31&gt;=FI$41,FC31&gt;=FI$45,FB31&lt;&gt;""),AND(FG31&gt;=FI$41,FH31&gt;=FI$45,FG31&lt;&gt;""),AND(GD31&gt;=GK$41,GE31&gt;=GK$45,GD31&lt;&gt;""),AND(GI31&gt;=GK$41,GJ31&gt;=GK$45,GI31&lt;&gt;""),AND(HF31&gt;=HM$41,HG31&gt;=HM$45,HF31&lt;&gt;""),AND(HK31&gt;=HM$41,HL31&gt;=HM$45,HK31&lt;&gt;""),AND(IH31&gt;=IO$41,II31&gt;=IO$45,IH31&lt;&gt;""),AND(IM31&gt;=IO$41,IN31&gt;=IO$45,IM31&lt;&gt;""),AND(JJ31&gt;=JQ$41,JK31&gt;=JQ$45,JJ31&lt;&gt;""),AND(JO31&gt;=JQ$41,JP31&gt;=JQ$45,JO31&lt;&gt;""),AND(KL31&gt;=KS$41,KM31&gt;=KS$45,KL31&lt;&gt;""),AND(KQ31&gt;=KS$41,KR31&gt;=KS$45,KQ31&lt;&gt;""),AND(LN31&gt;=LU$41,LO31&gt;=LU$45,LN31&lt;&gt;""),AND(LS31&gt;=LU$41,LT31&gt;=LU$45,LS31&lt;&gt;""),AND(MP31&gt;=MW$41,MQ31&gt;=MW$45,MP31&lt;&gt;""),AND(MU31&gt;=MW$41,MV31&gt;=MW$45,MU31&lt;&gt;""),AND(NR31&gt;=NY$41,NS31&gt;=NY$45,NR31&lt;&gt;""),AND(NW31&gt;=NY$41,NX31&gt;=NY$45,NW31&lt;&gt;""),AND(OT31&gt;=PA$41,OU31&gt;=PA$45,OT31&lt;&gt;""),AND(OY31&gt;=PA$41,OZ31&gt;=PA$45,OY31&lt;&gt;""),AND(PV31&gt;=QC$41,PW31&gt;=QC$45,PV31&lt;&gt;""),AND(QA31&gt;=QC$41,QB31&gt;=QC$45,QA31&lt;&gt;"")),"P","")</f>
        <v/>
      </c>
      <c r="I31" s="3" t="str">
        <f>IF(OR(AND(AQ31&gt;=AW$45,AQ31&lt;&gt;"",AO31=""),AND(AV31&gt;=AW$45,AV31&lt;&gt;"",AO31=""),AND(BT31&gt;=BZ$45,BT31&lt;&gt;"",BR31=""),AND(BY31&gt;=BZ$45,BY31&lt;&gt;"",BR31=""),AND(CW31&gt;=DC$45,CW31&lt;&gt;"",CU31=""),AND(DB31&gt;=DC$45,DB31&lt;&gt;"",CU31=""),AND(EA31&gt;=EG$45,EA31&lt;&gt;""),AND(EF31&gt;=EG$45,EF31&lt;&gt;""),AND(FC31&gt;=FI$45,FC31&lt;&gt;""),AND(FH31&gt;=FI$45,FH31&lt;&gt;""),AND(GE31&gt;=GK$45,GE31&lt;&gt;""),AND(GJ31&gt;=GK$45,GJ31&lt;&gt;""),AND(HG31&gt;=HM$45,HG31&lt;&gt;""),AND(HL31&gt;=HM$45,HL31&lt;&gt;""),AND(II31&gt;=IO$45,II31&lt;&gt;""),AND(IN31&gt;=IO$45,IN31&lt;&gt;""),AND(JK31&gt;=JQ$45,JK31&lt;&gt;""),AND(JP31&gt;=JQ$45,JP31&lt;&gt;""),AND(KM31&gt;=KS$45,KM31&lt;&gt;""),AND(KR31&gt;=KS$45,KR31&lt;&gt;""),AND(LO31&gt;=LU$45,LO31&lt;&gt;""),AND(LT31&gt;=LU$45,LT31&lt;&gt;""),AND(MQ31&gt;=MW$45,MQ31&lt;&gt;""),AND(MV31&gt;=MW$45,MV31&lt;&gt;""),AND(NS31&gt;=NY$45,NS31&lt;&gt;""),AND(NX31&gt;=NY$45,NX31&lt;&gt;""),AND(OU31&gt;=PA$45,OU31&lt;&gt;""),AND(OZ31&gt;=PA$45,OZ31&lt;&gt;""),AND(PW31&gt;=QC$45,PW31&lt;&gt;""),AND(QB31&gt;=QC$45,QB31&lt;&gt;"")),"P","")</f>
        <v/>
      </c>
      <c r="J31" s="36" t="str">
        <f>IF(AND(I31="P",H31=""),"No DD",IF(OR(AND(AS31&gt;=AW$44,AT31&gt;=AW$48,AS31&lt;&gt;"",AO31=""),AND(BV31&gt;=BZ$44,BW31&gt;=BZ$48,BV31&lt;&gt;"",BR31=""),AND(CY31&gt;=DC$44,CZ31&gt;=DC$48,CY31&lt;&gt;"",CU31=""),AND(EC31&gt;=EG$44,ED31&gt;=EG$48,EC31&lt;&gt;""),AND(FE31&gt;=FI$44,FF31&gt;=FI$48,FE31&lt;&gt;""),AND(GG31&gt;=GK$44,GH31&gt;=GK$48,GG31&lt;&gt;""),AND(HI31&gt;=HM$44,HJ31&gt;=HM$48,HI31&lt;&gt;""),AND(IK31&gt;=IO$44,IL31&gt;=IO$48,IK31&lt;&gt;""),AND(JM31&gt;=JQ$44,JN31&gt;=JQ$48,JM31&lt;&gt;""),AND(KO31&gt;=KS$44,KP31&gt;=KS$48,KO31&lt;&gt;""),AND(LQ31&gt;=LU$44,LR31&gt;=LU$48,LQ31&lt;&gt;""),AND(MS31&gt;=MW$44,MT31&gt;=MW$48,MS31&lt;&gt;""),AND(NU31&gt;=NY$44,NV31&gt;=NY$48,NU31&lt;&gt;""),AND(OW31&gt;=PA$44,OX31&gt;=PA$48,OW31&lt;&gt;""),AND(PY31&gt;=QC$44,PZ31&gt;=QC$48,PY31&lt;&gt;"")),"Merit",IF(OR(AND(AS31&gt;=AW$43,AT31&gt;=AW$47,AS31&lt;&gt;"",AO31=""),AND(BV31&gt;=BZ$43,BW31&gt;=BZ$47,BV31&lt;&gt;"",BR31=""),AND(CY31&gt;=DC$43,CZ31&gt;=DC$47,CY31&lt;&gt;"",CU31=""),AND(EC31&gt;=EG$43,ED31&gt;=EG$47,EC31&lt;&gt;""),AND(FE31&gt;=FI$43,FF31&gt;=FI$47,FE31&lt;&gt;""),AND(GG31&gt;=GK$43,GH31&gt;=GK$47,GG31&lt;&gt;""),AND(HI31&gt;=HM$43,HJ31&gt;=HM$47,HI31&lt;&gt;""),AND(IK31&gt;=IO$43,IL31&gt;=IO$47,IK31&lt;&gt;""),AND(JM31&gt;=JQ$43,JN31&gt;=JQ$47,JM31&lt;&gt;""),AND(KO31&gt;=KS$43,KP31&gt;=KS$47,KO31&lt;&gt;""),AND(LQ31&gt;=LU$43,LR31&gt;=LU$47,LQ31&lt;&gt;""),AND(MS31&gt;=MW$43,MT31&gt;=MW$47,MS31&lt;&gt;""),AND(NU31&gt;=NY$43,NV31&gt;=NY$47,NU31&lt;&gt;""),AND(OW31&gt;=PA$43,OX31&gt;=PA$47,OW31&lt;&gt;""),AND(PY31&gt;=QC$43,PZ31&gt;=QC$47,PY31&lt;&gt;"")),"Excellence",IF(K31="P","Worlds Team",IF(H31="P","National Team","")))))</f>
        <v/>
      </c>
      <c r="K31" s="3" t="str">
        <f>IF(OR(AND(AS31&gt;=AW$42,AT31&gt;=AW$46,AS31&lt;&gt;"",AO31=""),AND(BV31&gt;=BZ$42,BW31&gt;=BZ$46,BV31&lt;&gt;"",BR31=""),AND(CY31&gt;=DC$42,CZ31&gt;=DC$46,CY31&lt;&gt;"",CU31=""),AND(EC31&gt;=EG$42,ED31&gt;=EG$46,EC31&lt;&gt;""),AND(FE31&gt;=FI$42,FF31&gt;=FI$46,FE31&lt;&gt;""),AND(GG31&gt;=GK$42,GH31&gt;=GK$46,GG31&lt;&gt;""),AND(HI31&gt;=HM$42,HJ31&gt;=HM$46,HI31&lt;&gt;""),AND(IK31&gt;=IO$42,IL31&gt;=IO$46,IK31&lt;&gt;""),AND(JM31&gt;=JQ$42,JN31&gt;=JQ$46,JM31&lt;&gt;""),AND(KO31&gt;=KS$42,KP31&gt;=KS$46,KO31&lt;&gt;""),AND(LQ31&gt;=LU$42,LR31&gt;=LU$46,LQ31&lt;&gt;""),AND(MS31&gt;=MW$42,MT31&gt;=MW$46,MS31&lt;&gt;""),AND(NU31&gt;=NY$42,NV31&gt;=NY$46,NU31&lt;&gt;""),AND(OW31&gt;=PA$42,OX31&gt;=PA$46,OW31&lt;&gt;""),AND(PY31&gt;=QC$42,PZ31&gt;=QC$46,PY31&lt;&gt;"")),"P","")</f>
        <v/>
      </c>
      <c r="L31" s="8">
        <f>IF(COUNT(AQ31,BT31,CW31)&gt;0,LARGE((AQ31,BT31,CW31),1),0)</f>
        <v>46.5</v>
      </c>
      <c r="M31" s="8" t="str">
        <f t="shared" si="1"/>
        <v>2025 Elite Canada</v>
      </c>
      <c r="N31" s="8">
        <f>IF(COUNT(AQ31,BT31,CW31)&gt;1,LARGE((AQ31,BT31,CW31),2),0)</f>
        <v>45.8</v>
      </c>
      <c r="O31" s="8" t="str">
        <f t="shared" si="2"/>
        <v>2024 3rd Domestic Trial</v>
      </c>
      <c r="P31" s="8">
        <f t="shared" si="3"/>
        <v>0</v>
      </c>
      <c r="Q31" s="8" t="str">
        <f t="shared" si="4"/>
        <v/>
      </c>
      <c r="R31" s="8" t="str">
        <f t="shared" si="5"/>
        <v/>
      </c>
      <c r="S31" s="11" t="str">
        <f t="shared" si="6"/>
        <v/>
      </c>
      <c r="T31" s="8" t="str">
        <f t="shared" si="7"/>
        <v/>
      </c>
      <c r="U31" s="19">
        <v>19.2</v>
      </c>
      <c r="V31" s="19">
        <v>6</v>
      </c>
      <c r="W31" s="19">
        <v>0</v>
      </c>
      <c r="X31" s="19">
        <v>0</v>
      </c>
      <c r="Y31" s="19">
        <v>17.399999999999999</v>
      </c>
      <c r="Z31" s="19">
        <v>3.2</v>
      </c>
      <c r="AA31" s="19">
        <v>0</v>
      </c>
      <c r="AB31" s="19">
        <v>0</v>
      </c>
      <c r="AC31" s="19">
        <v>18.899999999999999</v>
      </c>
      <c r="AD31" s="19">
        <v>6.4</v>
      </c>
      <c r="AE31" s="19">
        <v>0.6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 t="shared" si="8"/>
        <v>9.1999999999999993</v>
      </c>
      <c r="AQ31" s="40">
        <f t="shared" si="9"/>
        <v>45.8</v>
      </c>
      <c r="AR31" s="40">
        <f t="shared" si="10"/>
        <v>24.699999999999996</v>
      </c>
      <c r="AS31" s="40">
        <f t="shared" si="11"/>
        <v>15.6</v>
      </c>
      <c r="AT31" s="40">
        <f t="shared" si="12"/>
        <v>70.5</v>
      </c>
      <c r="AU31" s="40" t="str">
        <f t="shared" si="13"/>
        <v/>
      </c>
      <c r="AV31" s="40" t="str">
        <f t="shared" si="14"/>
        <v/>
      </c>
      <c r="AW31" s="40">
        <f t="shared" si="15"/>
        <v>70.5</v>
      </c>
      <c r="AX31" s="18">
        <v>18.899999999999999</v>
      </c>
      <c r="AY31" s="18">
        <v>5.6</v>
      </c>
      <c r="AZ31" s="18">
        <v>1.6</v>
      </c>
      <c r="BA31" s="18">
        <v>0</v>
      </c>
      <c r="BB31" s="18">
        <v>19</v>
      </c>
      <c r="BC31" s="18">
        <v>5.6</v>
      </c>
      <c r="BD31" s="18">
        <v>1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 t="shared" si="16"/>
        <v>11.2</v>
      </c>
      <c r="BT31" s="11">
        <f t="shared" si="17"/>
        <v>46.5</v>
      </c>
      <c r="BU31" s="11" t="str">
        <f t="shared" si="18"/>
        <v/>
      </c>
      <c r="BV31" s="11">
        <f t="shared" si="19"/>
        <v>11.2</v>
      </c>
      <c r="BW31" s="11">
        <f t="shared" si="20"/>
        <v>46.5</v>
      </c>
      <c r="BX31" s="11" t="str">
        <f t="shared" si="21"/>
        <v/>
      </c>
      <c r="BY31" s="11" t="str">
        <f t="shared" si="22"/>
        <v/>
      </c>
      <c r="BZ31" s="11">
        <f t="shared" si="23"/>
        <v>46.5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4"/>
        <v/>
      </c>
      <c r="CW31" s="40" t="str">
        <f t="shared" si="25"/>
        <v/>
      </c>
      <c r="CX31" s="40" t="str">
        <f t="shared" si="26"/>
        <v/>
      </c>
      <c r="CY31" s="40" t="str">
        <f t="shared" si="27"/>
        <v/>
      </c>
      <c r="CZ31" s="40" t="str">
        <f t="shared" si="28"/>
        <v/>
      </c>
      <c r="DA31" s="40" t="str">
        <f t="shared" si="29"/>
        <v/>
      </c>
      <c r="DB31" s="40" t="str">
        <f t="shared" si="30"/>
        <v/>
      </c>
      <c r="DC31" s="40" t="str">
        <f t="shared" si="31"/>
        <v/>
      </c>
      <c r="DD31" s="50" t="str">
        <f t="shared" si="32"/>
        <v/>
      </c>
      <c r="DE31" s="50" t="str">
        <f t="shared" si="33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4"/>
        <v/>
      </c>
      <c r="EA31" s="40" t="str">
        <f t="shared" si="35"/>
        <v/>
      </c>
      <c r="EB31" s="40" t="str">
        <f t="shared" si="36"/>
        <v/>
      </c>
      <c r="EC31" s="40" t="str">
        <f t="shared" si="37"/>
        <v/>
      </c>
      <c r="ED31" s="40" t="str">
        <f t="shared" si="38"/>
        <v/>
      </c>
      <c r="EE31" s="40" t="str">
        <f t="shared" si="39"/>
        <v/>
      </c>
      <c r="EF31" s="40" t="str">
        <f t="shared" si="40"/>
        <v/>
      </c>
      <c r="EG31" s="40" t="str">
        <f t="shared" si="41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2"/>
        <v/>
      </c>
      <c r="FC31" s="11" t="str">
        <f t="shared" si="43"/>
        <v/>
      </c>
      <c r="FD31" s="11" t="str">
        <f t="shared" si="44"/>
        <v/>
      </c>
      <c r="FE31" s="11" t="str">
        <f t="shared" si="45"/>
        <v/>
      </c>
      <c r="FF31" s="11" t="str">
        <f t="shared" si="46"/>
        <v/>
      </c>
      <c r="FG31" s="11" t="str">
        <f t="shared" si="47"/>
        <v/>
      </c>
      <c r="FH31" s="11" t="str">
        <f t="shared" si="48"/>
        <v/>
      </c>
      <c r="FI31" s="11" t="str">
        <f t="shared" si="49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0"/>
        <v/>
      </c>
      <c r="GE31" s="40" t="str">
        <f t="shared" si="51"/>
        <v/>
      </c>
      <c r="GF31" s="40" t="str">
        <f t="shared" si="52"/>
        <v/>
      </c>
      <c r="GG31" s="40" t="str">
        <f t="shared" si="53"/>
        <v/>
      </c>
      <c r="GH31" s="40" t="str">
        <f t="shared" si="54"/>
        <v/>
      </c>
      <c r="GI31" s="40" t="str">
        <f t="shared" si="55"/>
        <v/>
      </c>
      <c r="GJ31" s="40" t="str">
        <f t="shared" si="56"/>
        <v/>
      </c>
      <c r="GK31" s="40" t="str">
        <f t="shared" si="57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58"/>
        <v/>
      </c>
      <c r="HG31" s="11" t="str">
        <f t="shared" si="59"/>
        <v/>
      </c>
      <c r="HH31" s="11" t="str">
        <f t="shared" si="60"/>
        <v/>
      </c>
      <c r="HI31" s="11" t="str">
        <f t="shared" si="61"/>
        <v/>
      </c>
      <c r="HJ31" s="11" t="str">
        <f t="shared" si="62"/>
        <v/>
      </c>
      <c r="HK31" s="11" t="str">
        <f t="shared" si="63"/>
        <v/>
      </c>
      <c r="HL31" s="11" t="str">
        <f t="shared" si="64"/>
        <v/>
      </c>
      <c r="HM31" s="11" t="str">
        <f t="shared" si="65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66"/>
        <v/>
      </c>
      <c r="II31" s="40" t="str">
        <f t="shared" si="67"/>
        <v/>
      </c>
      <c r="IJ31" s="40" t="str">
        <f t="shared" si="68"/>
        <v/>
      </c>
      <c r="IK31" s="40" t="str">
        <f t="shared" si="69"/>
        <v/>
      </c>
      <c r="IL31" s="40" t="str">
        <f t="shared" si="70"/>
        <v/>
      </c>
      <c r="IM31" s="40" t="str">
        <f t="shared" si="71"/>
        <v/>
      </c>
      <c r="IN31" s="40" t="str">
        <f t="shared" si="72"/>
        <v/>
      </c>
      <c r="IO31" s="40" t="str">
        <f t="shared" si="73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4"/>
        <v/>
      </c>
      <c r="JK31" s="11" t="str">
        <f t="shared" si="75"/>
        <v/>
      </c>
      <c r="JL31" s="11" t="str">
        <f t="shared" si="76"/>
        <v/>
      </c>
      <c r="JM31" s="11" t="str">
        <f t="shared" si="77"/>
        <v/>
      </c>
      <c r="JN31" s="11" t="str">
        <f t="shared" si="78"/>
        <v/>
      </c>
      <c r="JO31" s="11" t="str">
        <f t="shared" si="79"/>
        <v/>
      </c>
      <c r="JP31" s="11" t="str">
        <f t="shared" si="80"/>
        <v/>
      </c>
      <c r="JQ31" s="11" t="str">
        <f t="shared" si="81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2"/>
        <v/>
      </c>
      <c r="KM31" s="40" t="str">
        <f t="shared" si="83"/>
        <v/>
      </c>
      <c r="KN31" s="40" t="str">
        <f t="shared" si="84"/>
        <v/>
      </c>
      <c r="KO31" s="40" t="str">
        <f t="shared" si="85"/>
        <v/>
      </c>
      <c r="KP31" s="40" t="str">
        <f t="shared" si="86"/>
        <v/>
      </c>
      <c r="KQ31" s="40" t="str">
        <f t="shared" si="87"/>
        <v/>
      </c>
      <c r="KR31" s="40" t="str">
        <f t="shared" si="88"/>
        <v/>
      </c>
      <c r="KS31" s="40" t="str">
        <f t="shared" si="89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0"/>
        <v/>
      </c>
      <c r="LO31" s="11" t="str">
        <f t="shared" si="91"/>
        <v/>
      </c>
      <c r="LP31" s="11" t="str">
        <f t="shared" si="92"/>
        <v/>
      </c>
      <c r="LQ31" s="11" t="str">
        <f t="shared" si="93"/>
        <v/>
      </c>
      <c r="LR31" s="11" t="str">
        <f t="shared" si="94"/>
        <v/>
      </c>
      <c r="LS31" s="11" t="str">
        <f t="shared" si="95"/>
        <v/>
      </c>
      <c r="LT31" s="11" t="str">
        <f t="shared" si="96"/>
        <v/>
      </c>
      <c r="LU31" s="11" t="str">
        <f t="shared" si="97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98"/>
        <v/>
      </c>
      <c r="MQ31" s="40" t="str">
        <f t="shared" si="99"/>
        <v/>
      </c>
      <c r="MR31" s="40" t="str">
        <f t="shared" si="100"/>
        <v/>
      </c>
      <c r="MS31" s="40" t="str">
        <f t="shared" si="101"/>
        <v/>
      </c>
      <c r="MT31" s="40" t="str">
        <f t="shared" si="102"/>
        <v/>
      </c>
      <c r="MU31" s="40" t="str">
        <f t="shared" si="103"/>
        <v/>
      </c>
      <c r="MV31" s="40" t="str">
        <f t="shared" si="104"/>
        <v/>
      </c>
      <c r="MW31" s="40" t="str">
        <f t="shared" si="105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06"/>
        <v/>
      </c>
      <c r="NS31" s="11" t="str">
        <f t="shared" si="107"/>
        <v/>
      </c>
      <c r="NT31" s="11" t="str">
        <f t="shared" si="108"/>
        <v/>
      </c>
      <c r="NU31" s="11" t="str">
        <f t="shared" si="109"/>
        <v/>
      </c>
      <c r="NV31" s="11" t="str">
        <f t="shared" si="110"/>
        <v/>
      </c>
      <c r="NW31" s="11" t="str">
        <f t="shared" si="111"/>
        <v/>
      </c>
      <c r="NX31" s="11" t="str">
        <f t="shared" si="112"/>
        <v/>
      </c>
      <c r="NY31" s="11" t="str">
        <f t="shared" si="113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4"/>
        <v/>
      </c>
      <c r="OU31" s="40" t="str">
        <f t="shared" si="115"/>
        <v/>
      </c>
      <c r="OV31" s="40" t="str">
        <f t="shared" si="116"/>
        <v/>
      </c>
      <c r="OW31" s="40" t="str">
        <f t="shared" si="117"/>
        <v/>
      </c>
      <c r="OX31" s="40" t="str">
        <f t="shared" si="118"/>
        <v/>
      </c>
      <c r="OY31" s="40" t="str">
        <f t="shared" si="119"/>
        <v/>
      </c>
      <c r="OZ31" s="40" t="str">
        <f t="shared" si="120"/>
        <v/>
      </c>
      <c r="PA31" s="40" t="str">
        <f t="shared" si="121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2"/>
        <v/>
      </c>
      <c r="PW31" s="11" t="str">
        <f t="shared" si="123"/>
        <v/>
      </c>
      <c r="PX31" s="11" t="str">
        <f t="shared" si="124"/>
        <v/>
      </c>
      <c r="PY31" s="11" t="str">
        <f t="shared" si="125"/>
        <v/>
      </c>
      <c r="PZ31" s="11" t="str">
        <f t="shared" si="126"/>
        <v/>
      </c>
      <c r="QA31" s="11" t="str">
        <f t="shared" si="127"/>
        <v/>
      </c>
      <c r="QB31" s="11" t="str">
        <f t="shared" si="128"/>
        <v/>
      </c>
      <c r="QC31" s="11" t="str">
        <f t="shared" si="129"/>
        <v/>
      </c>
      <c r="QD31" s="22">
        <f t="shared" si="130"/>
        <v>9.4499999999999993</v>
      </c>
      <c r="QE31" s="22">
        <f t="shared" si="131"/>
        <v>2.8</v>
      </c>
      <c r="QF31" s="22">
        <f t="shared" si="132"/>
        <v>0.8</v>
      </c>
      <c r="QG31" s="22">
        <f t="shared" si="133"/>
        <v>0</v>
      </c>
      <c r="QH31" s="22">
        <f t="shared" si="134"/>
        <v>9.5</v>
      </c>
      <c r="QI31" s="22">
        <f t="shared" si="135"/>
        <v>2.8</v>
      </c>
      <c r="QJ31" s="22">
        <f t="shared" si="136"/>
        <v>0.5</v>
      </c>
      <c r="QK31" s="22">
        <f t="shared" si="137"/>
        <v>0</v>
      </c>
      <c r="QL31" s="22">
        <f t="shared" si="138"/>
        <v>0</v>
      </c>
      <c r="QM31" s="22">
        <f t="shared" si="139"/>
        <v>0</v>
      </c>
      <c r="QN31" s="22">
        <f t="shared" si="140"/>
        <v>0</v>
      </c>
      <c r="QO31" s="22">
        <f t="shared" si="141"/>
        <v>0</v>
      </c>
      <c r="QP31" s="22">
        <f t="shared" si="142"/>
        <v>0</v>
      </c>
      <c r="QQ31" s="22">
        <f t="shared" si="143"/>
        <v>0</v>
      </c>
      <c r="QR31" s="22">
        <f t="shared" si="144"/>
        <v>0</v>
      </c>
      <c r="QS31" s="22">
        <f t="shared" si="145"/>
        <v>0</v>
      </c>
      <c r="QT31" s="22">
        <f t="shared" si="146"/>
        <v>0</v>
      </c>
      <c r="QU31" s="22">
        <f t="shared" si="147"/>
        <v>0</v>
      </c>
      <c r="QV31" s="22">
        <f t="shared" si="148"/>
        <v>0</v>
      </c>
      <c r="QW31" s="22">
        <f t="shared" si="149"/>
        <v>0</v>
      </c>
      <c r="QX31" s="27" t="s">
        <v>46</v>
      </c>
      <c r="QY31" s="40">
        <f t="shared" si="150"/>
        <v>5.6</v>
      </c>
      <c r="QZ31" s="40">
        <f t="shared" si="151"/>
        <v>23.25</v>
      </c>
      <c r="RA31" s="40" t="str">
        <f t="shared" si="152"/>
        <v/>
      </c>
      <c r="RB31" s="40">
        <f t="shared" si="153"/>
        <v>5.6</v>
      </c>
      <c r="RC31" s="40">
        <f t="shared" si="154"/>
        <v>23.25</v>
      </c>
      <c r="RD31" s="40" t="str">
        <f t="shared" si="155"/>
        <v/>
      </c>
      <c r="RE31" s="40" t="str">
        <f t="shared" si="156"/>
        <v/>
      </c>
      <c r="RF31" s="40">
        <f t="shared" si="157"/>
        <v>23.25</v>
      </c>
    </row>
    <row r="32" spans="1:474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161</v>
      </c>
      <c r="D32" s="4" t="s">
        <v>3</v>
      </c>
      <c r="E32" s="4">
        <v>2006</v>
      </c>
      <c r="F32" s="9">
        <f t="shared" si="0"/>
        <v>90.200004720004713</v>
      </c>
      <c r="H32" s="3" t="str">
        <f>IF(OR(AND(AP32&gt;=AW$41,AQ32&gt;=AW$45,AP32&lt;&gt;"",AO32=""),AND(AU32&gt;=AW$41,AV32&gt;=AW$45,AU32&lt;&gt;"",AO32=""),AND(BS32&gt;=BZ$41,BT32&gt;=BZ$45,BS32&lt;&gt;"",BR32=""),AND(BX32&gt;=BZ$41,BY32&gt;=BZ$45,BX32&lt;&gt;"",BR32=""),AND(CV32&gt;=DC$41,CW32&gt;=DC$45,CV32&lt;&gt;"",CU32=""),AND(DA32&gt;=DC$41,DB32&gt;=DC$45,DA32&lt;&gt;""),AND(DZ32&gt;=EG$41,EA32&gt;=EG$45,DZ32&lt;&gt;""),AND(EE32&gt;=EG$41,EF32&gt;=EG$45,EE32&lt;&gt;""),AND(FB32&gt;=FI$41,FC32&gt;=FI$45,FB32&lt;&gt;""),AND(FG32&gt;=FI$41,FH32&gt;=FI$45,FG32&lt;&gt;""),AND(GD32&gt;=GK$41,GE32&gt;=GK$45,GD32&lt;&gt;""),AND(GI32&gt;=GK$41,GJ32&gt;=GK$45,GI32&lt;&gt;""),AND(HF32&gt;=HM$41,HG32&gt;=HM$45,HF32&lt;&gt;""),AND(HK32&gt;=HM$41,HL32&gt;=HM$45,HK32&lt;&gt;""),AND(IH32&gt;=IO$41,II32&gt;=IO$45,IH32&lt;&gt;""),AND(IM32&gt;=IO$41,IN32&gt;=IO$45,IM32&lt;&gt;""),AND(JJ32&gt;=JQ$41,JK32&gt;=JQ$45,JJ32&lt;&gt;""),AND(JO32&gt;=JQ$41,JP32&gt;=JQ$45,JO32&lt;&gt;""),AND(KL32&gt;=KS$41,KM32&gt;=KS$45,KL32&lt;&gt;""),AND(KQ32&gt;=KS$41,KR32&gt;=KS$45,KQ32&lt;&gt;""),AND(LN32&gt;=LU$41,LO32&gt;=LU$45,LN32&lt;&gt;""),AND(LS32&gt;=LU$41,LT32&gt;=LU$45,LS32&lt;&gt;""),AND(MP32&gt;=MW$41,MQ32&gt;=MW$45,MP32&lt;&gt;""),AND(MU32&gt;=MW$41,MV32&gt;=MW$45,MU32&lt;&gt;""),AND(NR32&gt;=NY$41,NS32&gt;=NY$45,NR32&lt;&gt;""),AND(NW32&gt;=NY$41,NX32&gt;=NY$45,NW32&lt;&gt;""),AND(OT32&gt;=PA$41,OU32&gt;=PA$45,OT32&lt;&gt;""),AND(OY32&gt;=PA$41,OZ32&gt;=PA$45,OY32&lt;&gt;""),AND(PV32&gt;=QC$41,PW32&gt;=QC$45,PV32&lt;&gt;""),AND(QA32&gt;=QC$41,QB32&gt;=QC$45,QA32&lt;&gt;"")),"P","")</f>
        <v/>
      </c>
      <c r="I32" s="3" t="str">
        <f>IF(OR(AND(AQ32&gt;=AW$45,AQ32&lt;&gt;"",AO32=""),AND(AV32&gt;=AW$45,AV32&lt;&gt;"",AO32=""),AND(BT32&gt;=BZ$45,BT32&lt;&gt;"",BR32=""),AND(BY32&gt;=BZ$45,BY32&lt;&gt;"",BR32=""),AND(CW32&gt;=DC$45,CW32&lt;&gt;"",CU32=""),AND(DB32&gt;=DC$45,DB32&lt;&gt;"",CU32=""),AND(EA32&gt;=EG$45,EA32&lt;&gt;""),AND(EF32&gt;=EG$45,EF32&lt;&gt;""),AND(FC32&gt;=FI$45,FC32&lt;&gt;""),AND(FH32&gt;=FI$45,FH32&lt;&gt;""),AND(GE32&gt;=GK$45,GE32&lt;&gt;""),AND(GJ32&gt;=GK$45,GJ32&lt;&gt;""),AND(HG32&gt;=HM$45,HG32&lt;&gt;""),AND(HL32&gt;=HM$45,HL32&lt;&gt;""),AND(II32&gt;=IO$45,II32&lt;&gt;""),AND(IN32&gt;=IO$45,IN32&lt;&gt;""),AND(JK32&gt;=JQ$45,JK32&lt;&gt;""),AND(JP32&gt;=JQ$45,JP32&lt;&gt;""),AND(KM32&gt;=KS$45,KM32&lt;&gt;""),AND(KR32&gt;=KS$45,KR32&lt;&gt;""),AND(LO32&gt;=LU$45,LO32&lt;&gt;""),AND(LT32&gt;=LU$45,LT32&lt;&gt;""),AND(MQ32&gt;=MW$45,MQ32&lt;&gt;""),AND(MV32&gt;=MW$45,MV32&lt;&gt;""),AND(NS32&gt;=NY$45,NS32&lt;&gt;""),AND(NX32&gt;=NY$45,NX32&lt;&gt;""),AND(OU32&gt;=PA$45,OU32&lt;&gt;""),AND(OZ32&gt;=PA$45,OZ32&lt;&gt;""),AND(PW32&gt;=QC$45,PW32&lt;&gt;""),AND(QB32&gt;=QC$45,QB32&lt;&gt;"")),"P","")</f>
        <v/>
      </c>
      <c r="J32" s="36" t="str">
        <f>IF(AND(I32="P",H32=""),"No DD",IF(OR(AND(AS32&gt;=AW$44,AT32&gt;=AW$48,AS32&lt;&gt;"",AO32=""),AND(BV32&gt;=BZ$44,BW32&gt;=BZ$48,BV32&lt;&gt;"",BR32=""),AND(CY32&gt;=DC$44,CZ32&gt;=DC$48,CY32&lt;&gt;"",CU32=""),AND(EC32&gt;=EG$44,ED32&gt;=EG$48,EC32&lt;&gt;""),AND(FE32&gt;=FI$44,FF32&gt;=FI$48,FE32&lt;&gt;""),AND(GG32&gt;=GK$44,GH32&gt;=GK$48,GG32&lt;&gt;""),AND(HI32&gt;=HM$44,HJ32&gt;=HM$48,HI32&lt;&gt;""),AND(IK32&gt;=IO$44,IL32&gt;=IO$48,IK32&lt;&gt;""),AND(JM32&gt;=JQ$44,JN32&gt;=JQ$48,JM32&lt;&gt;""),AND(KO32&gt;=KS$44,KP32&gt;=KS$48,KO32&lt;&gt;""),AND(LQ32&gt;=LU$44,LR32&gt;=LU$48,LQ32&lt;&gt;""),AND(MS32&gt;=MW$44,MT32&gt;=MW$48,MS32&lt;&gt;""),AND(NU32&gt;=NY$44,NV32&gt;=NY$48,NU32&lt;&gt;""),AND(OW32&gt;=PA$44,OX32&gt;=PA$48,OW32&lt;&gt;""),AND(PY32&gt;=QC$44,PZ32&gt;=QC$48,PY32&lt;&gt;"")),"Merit",IF(OR(AND(AS32&gt;=AW$43,AT32&gt;=AW$47,AS32&lt;&gt;"",AO32=""),AND(BV32&gt;=BZ$43,BW32&gt;=BZ$47,BV32&lt;&gt;"",BR32=""),AND(CY32&gt;=DC$43,CZ32&gt;=DC$47,CY32&lt;&gt;"",CU32=""),AND(EC32&gt;=EG$43,ED32&gt;=EG$47,EC32&lt;&gt;""),AND(FE32&gt;=FI$43,FF32&gt;=FI$47,FE32&lt;&gt;""),AND(GG32&gt;=GK$43,GH32&gt;=GK$47,GG32&lt;&gt;""),AND(HI32&gt;=HM$43,HJ32&gt;=HM$47,HI32&lt;&gt;""),AND(IK32&gt;=IO$43,IL32&gt;=IO$47,IK32&lt;&gt;""),AND(JM32&gt;=JQ$43,JN32&gt;=JQ$47,JM32&lt;&gt;""),AND(KO32&gt;=KS$43,KP32&gt;=KS$47,KO32&lt;&gt;""),AND(LQ32&gt;=LU$43,LR32&gt;=LU$47,LQ32&lt;&gt;""),AND(MS32&gt;=MW$43,MT32&gt;=MW$47,MS32&lt;&gt;""),AND(NU32&gt;=NY$43,NV32&gt;=NY$47,NU32&lt;&gt;""),AND(OW32&gt;=PA$43,OX32&gt;=PA$47,OW32&lt;&gt;""),AND(PY32&gt;=QC$43,PZ32&gt;=QC$47,PY32&lt;&gt;"")),"Excellence",IF(K32="P","Worlds Team",IF(H32="P","National Team","")))))</f>
        <v/>
      </c>
      <c r="K32" s="3" t="str">
        <f>IF(OR(AND(AS32&gt;=AW$42,AT32&gt;=AW$46,AS32&lt;&gt;"",AO32=""),AND(BV32&gt;=BZ$42,BW32&gt;=BZ$46,BV32&lt;&gt;"",BR32=""),AND(CY32&gt;=DC$42,CZ32&gt;=DC$46,CY32&lt;&gt;"",CU32=""),AND(EC32&gt;=EG$42,ED32&gt;=EG$46,EC32&lt;&gt;""),AND(FE32&gt;=FI$42,FF32&gt;=FI$46,FE32&lt;&gt;""),AND(GG32&gt;=GK$42,GH32&gt;=GK$46,GG32&lt;&gt;""),AND(HI32&gt;=HM$42,HJ32&gt;=HM$46,HI32&lt;&gt;""),AND(IK32&gt;=IO$42,IL32&gt;=IO$46,IK32&lt;&gt;""),AND(JM32&gt;=JQ$42,JN32&gt;=JQ$46,JM32&lt;&gt;""),AND(KO32&gt;=KS$42,KP32&gt;=KS$46,KO32&lt;&gt;""),AND(LQ32&gt;=LU$42,LR32&gt;=LU$46,LQ32&lt;&gt;""),AND(MS32&gt;=MW$42,MT32&gt;=MW$46,MS32&lt;&gt;""),AND(NU32&gt;=NY$42,NV32&gt;=NY$46,NU32&lt;&gt;""),AND(OW32&gt;=PA$42,OX32&gt;=PA$46,OW32&lt;&gt;""),AND(PY32&gt;=QC$42,PZ32&gt;=QC$46,PY32&lt;&gt;"")),"P","")</f>
        <v/>
      </c>
      <c r="L32" s="8">
        <f>IF(COUNT(AQ32,BT32,CW32)&gt;0,LARGE((AQ32,BT32,CW32),1),0)</f>
        <v>47.199999999999996</v>
      </c>
      <c r="M32" s="8" t="str">
        <f t="shared" si="1"/>
        <v>2025 Nationals</v>
      </c>
      <c r="N32" s="8">
        <f>IF(COUNT(AQ32,BT32,CW32)&gt;1,LARGE((AQ32,BT32,CW32),2),0)</f>
        <v>0</v>
      </c>
      <c r="O32" s="8" t="str">
        <f t="shared" si="2"/>
        <v/>
      </c>
      <c r="P32" s="8">
        <f t="shared" si="3"/>
        <v>43</v>
      </c>
      <c r="Q32" s="8" t="str">
        <f t="shared" si="4"/>
        <v>2025 Nationals</v>
      </c>
      <c r="R32" s="8" t="str">
        <f t="shared" si="5"/>
        <v/>
      </c>
      <c r="S32" s="11" t="str">
        <f t="shared" si="6"/>
        <v/>
      </c>
      <c r="T32" s="8" t="str">
        <f t="shared" si="7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8"/>
        <v/>
      </c>
      <c r="AQ32" s="40" t="str">
        <f t="shared" si="9"/>
        <v/>
      </c>
      <c r="AR32" s="40" t="str">
        <f t="shared" si="10"/>
        <v/>
      </c>
      <c r="AS32" s="40" t="str">
        <f t="shared" si="11"/>
        <v/>
      </c>
      <c r="AT32" s="40" t="str">
        <f t="shared" si="12"/>
        <v/>
      </c>
      <c r="AU32" s="40" t="str">
        <f t="shared" si="13"/>
        <v/>
      </c>
      <c r="AV32" s="40" t="str">
        <f t="shared" si="14"/>
        <v/>
      </c>
      <c r="AW32" s="40" t="str">
        <f t="shared" si="15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16"/>
        <v/>
      </c>
      <c r="BT32" s="11" t="str">
        <f t="shared" si="17"/>
        <v/>
      </c>
      <c r="BU32" s="11" t="str">
        <f t="shared" si="18"/>
        <v/>
      </c>
      <c r="BV32" s="11" t="str">
        <f t="shared" si="19"/>
        <v/>
      </c>
      <c r="BW32" s="11" t="str">
        <f t="shared" si="20"/>
        <v/>
      </c>
      <c r="BX32" s="11" t="str">
        <f t="shared" si="21"/>
        <v/>
      </c>
      <c r="BY32" s="11" t="str">
        <f t="shared" si="22"/>
        <v/>
      </c>
      <c r="BZ32" s="11" t="str">
        <f t="shared" si="23"/>
        <v/>
      </c>
      <c r="CA32" s="19">
        <v>18.2</v>
      </c>
      <c r="CB32" s="19">
        <v>5.2</v>
      </c>
      <c r="CC32" s="19">
        <v>0.2</v>
      </c>
      <c r="CD32" s="19">
        <v>0</v>
      </c>
      <c r="CE32" s="19">
        <v>18.399999999999999</v>
      </c>
      <c r="CF32" s="19">
        <v>5.6</v>
      </c>
      <c r="CG32" s="19">
        <v>0</v>
      </c>
      <c r="CH32" s="19">
        <v>0</v>
      </c>
      <c r="CI32" s="19"/>
      <c r="CJ32" s="19"/>
      <c r="CK32" s="19"/>
      <c r="CL32" s="19"/>
      <c r="CM32" s="19">
        <v>18.3</v>
      </c>
      <c r="CN32" s="19">
        <v>5.2</v>
      </c>
      <c r="CO32" s="19">
        <v>0</v>
      </c>
      <c r="CP32" s="19">
        <v>0</v>
      </c>
      <c r="CQ32" s="19">
        <v>18.5</v>
      </c>
      <c r="CR32" s="19">
        <v>2</v>
      </c>
      <c r="CS32" s="19">
        <v>1</v>
      </c>
      <c r="CT32" s="19">
        <v>0</v>
      </c>
      <c r="CU32" s="27"/>
      <c r="CV32" s="40">
        <f t="shared" si="24"/>
        <v>10.8</v>
      </c>
      <c r="CW32" s="40">
        <f t="shared" si="25"/>
        <v>47.199999999999996</v>
      </c>
      <c r="CX32" s="40" t="str">
        <f t="shared" si="26"/>
        <v/>
      </c>
      <c r="CY32" s="40">
        <f t="shared" si="27"/>
        <v>10.8</v>
      </c>
      <c r="CZ32" s="40">
        <f t="shared" si="28"/>
        <v>47.199999999999996</v>
      </c>
      <c r="DA32" s="40">
        <f t="shared" si="29"/>
        <v>7.2</v>
      </c>
      <c r="DB32" s="40">
        <f t="shared" si="30"/>
        <v>43</v>
      </c>
      <c r="DC32" s="40">
        <f t="shared" si="31"/>
        <v>90.199999999999989</v>
      </c>
      <c r="DD32" s="50" t="str">
        <f t="shared" si="32"/>
        <v/>
      </c>
      <c r="DE32" s="50" t="str">
        <f t="shared" si="33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4"/>
        <v/>
      </c>
      <c r="EA32" s="40" t="str">
        <f t="shared" si="35"/>
        <v/>
      </c>
      <c r="EB32" s="40" t="str">
        <f t="shared" si="36"/>
        <v/>
      </c>
      <c r="EC32" s="40" t="str">
        <f t="shared" si="37"/>
        <v/>
      </c>
      <c r="ED32" s="40" t="str">
        <f t="shared" si="38"/>
        <v/>
      </c>
      <c r="EE32" s="40" t="str">
        <f t="shared" si="39"/>
        <v/>
      </c>
      <c r="EF32" s="40" t="str">
        <f t="shared" si="40"/>
        <v/>
      </c>
      <c r="EG32" s="40" t="str">
        <f t="shared" si="41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2"/>
        <v/>
      </c>
      <c r="FC32" s="11" t="str">
        <f t="shared" si="43"/>
        <v/>
      </c>
      <c r="FD32" s="11" t="str">
        <f t="shared" si="44"/>
        <v/>
      </c>
      <c r="FE32" s="11" t="str">
        <f t="shared" si="45"/>
        <v/>
      </c>
      <c r="FF32" s="11" t="str">
        <f t="shared" si="46"/>
        <v/>
      </c>
      <c r="FG32" s="11" t="str">
        <f t="shared" si="47"/>
        <v/>
      </c>
      <c r="FH32" s="11" t="str">
        <f t="shared" si="48"/>
        <v/>
      </c>
      <c r="FI32" s="11" t="str">
        <f t="shared" si="49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0"/>
        <v/>
      </c>
      <c r="GE32" s="40" t="str">
        <f t="shared" si="51"/>
        <v/>
      </c>
      <c r="GF32" s="40" t="str">
        <f t="shared" si="52"/>
        <v/>
      </c>
      <c r="GG32" s="40" t="str">
        <f t="shared" si="53"/>
        <v/>
      </c>
      <c r="GH32" s="40" t="str">
        <f t="shared" si="54"/>
        <v/>
      </c>
      <c r="GI32" s="40" t="str">
        <f t="shared" si="55"/>
        <v/>
      </c>
      <c r="GJ32" s="40" t="str">
        <f t="shared" si="56"/>
        <v/>
      </c>
      <c r="GK32" s="40" t="str">
        <f t="shared" si="57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58"/>
        <v/>
      </c>
      <c r="HG32" s="11" t="str">
        <f t="shared" si="59"/>
        <v/>
      </c>
      <c r="HH32" s="11" t="str">
        <f t="shared" si="60"/>
        <v/>
      </c>
      <c r="HI32" s="11" t="str">
        <f t="shared" si="61"/>
        <v/>
      </c>
      <c r="HJ32" s="11" t="str">
        <f t="shared" si="62"/>
        <v/>
      </c>
      <c r="HK32" s="11" t="str">
        <f t="shared" si="63"/>
        <v/>
      </c>
      <c r="HL32" s="11" t="str">
        <f t="shared" si="64"/>
        <v/>
      </c>
      <c r="HM32" s="11" t="str">
        <f t="shared" si="65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66"/>
        <v/>
      </c>
      <c r="II32" s="40" t="str">
        <f t="shared" si="67"/>
        <v/>
      </c>
      <c r="IJ32" s="40" t="str">
        <f t="shared" si="68"/>
        <v/>
      </c>
      <c r="IK32" s="40" t="str">
        <f t="shared" si="69"/>
        <v/>
      </c>
      <c r="IL32" s="40" t="str">
        <f t="shared" si="70"/>
        <v/>
      </c>
      <c r="IM32" s="40" t="str">
        <f t="shared" si="71"/>
        <v/>
      </c>
      <c r="IN32" s="40" t="str">
        <f t="shared" si="72"/>
        <v/>
      </c>
      <c r="IO32" s="40" t="str">
        <f t="shared" si="73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4"/>
        <v/>
      </c>
      <c r="JK32" s="11" t="str">
        <f t="shared" si="75"/>
        <v/>
      </c>
      <c r="JL32" s="11" t="str">
        <f t="shared" si="76"/>
        <v/>
      </c>
      <c r="JM32" s="11" t="str">
        <f t="shared" si="77"/>
        <v/>
      </c>
      <c r="JN32" s="11" t="str">
        <f t="shared" si="78"/>
        <v/>
      </c>
      <c r="JO32" s="11" t="str">
        <f t="shared" si="79"/>
        <v/>
      </c>
      <c r="JP32" s="11" t="str">
        <f t="shared" si="80"/>
        <v/>
      </c>
      <c r="JQ32" s="11" t="str">
        <f t="shared" si="81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2"/>
        <v/>
      </c>
      <c r="KM32" s="40" t="str">
        <f t="shared" si="83"/>
        <v/>
      </c>
      <c r="KN32" s="40" t="str">
        <f t="shared" si="84"/>
        <v/>
      </c>
      <c r="KO32" s="40" t="str">
        <f t="shared" si="85"/>
        <v/>
      </c>
      <c r="KP32" s="40" t="str">
        <f t="shared" si="86"/>
        <v/>
      </c>
      <c r="KQ32" s="40" t="str">
        <f t="shared" si="87"/>
        <v/>
      </c>
      <c r="KR32" s="40" t="str">
        <f t="shared" si="88"/>
        <v/>
      </c>
      <c r="KS32" s="40" t="str">
        <f t="shared" si="89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0"/>
        <v/>
      </c>
      <c r="LO32" s="11" t="str">
        <f t="shared" si="91"/>
        <v/>
      </c>
      <c r="LP32" s="11" t="str">
        <f t="shared" si="92"/>
        <v/>
      </c>
      <c r="LQ32" s="11" t="str">
        <f t="shared" si="93"/>
        <v/>
      </c>
      <c r="LR32" s="11" t="str">
        <f t="shared" si="94"/>
        <v/>
      </c>
      <c r="LS32" s="11" t="str">
        <f t="shared" si="95"/>
        <v/>
      </c>
      <c r="LT32" s="11" t="str">
        <f t="shared" si="96"/>
        <v/>
      </c>
      <c r="LU32" s="11" t="str">
        <f t="shared" si="97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98"/>
        <v/>
      </c>
      <c r="MQ32" s="40" t="str">
        <f t="shared" si="99"/>
        <v/>
      </c>
      <c r="MR32" s="40" t="str">
        <f t="shared" si="100"/>
        <v/>
      </c>
      <c r="MS32" s="40" t="str">
        <f t="shared" si="101"/>
        <v/>
      </c>
      <c r="MT32" s="40" t="str">
        <f t="shared" si="102"/>
        <v/>
      </c>
      <c r="MU32" s="40" t="str">
        <f t="shared" si="103"/>
        <v/>
      </c>
      <c r="MV32" s="40" t="str">
        <f t="shared" si="104"/>
        <v/>
      </c>
      <c r="MW32" s="40" t="str">
        <f t="shared" si="105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06"/>
        <v/>
      </c>
      <c r="NS32" s="11" t="str">
        <f t="shared" si="107"/>
        <v/>
      </c>
      <c r="NT32" s="11" t="str">
        <f t="shared" si="108"/>
        <v/>
      </c>
      <c r="NU32" s="11" t="str">
        <f t="shared" si="109"/>
        <v/>
      </c>
      <c r="NV32" s="11" t="str">
        <f t="shared" si="110"/>
        <v/>
      </c>
      <c r="NW32" s="11" t="str">
        <f t="shared" si="111"/>
        <v/>
      </c>
      <c r="NX32" s="11" t="str">
        <f t="shared" si="112"/>
        <v/>
      </c>
      <c r="NY32" s="11" t="str">
        <f t="shared" si="113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4"/>
        <v/>
      </c>
      <c r="OU32" s="40" t="str">
        <f t="shared" si="115"/>
        <v/>
      </c>
      <c r="OV32" s="40" t="str">
        <f t="shared" si="116"/>
        <v/>
      </c>
      <c r="OW32" s="40" t="str">
        <f t="shared" si="117"/>
        <v/>
      </c>
      <c r="OX32" s="40" t="str">
        <f t="shared" si="118"/>
        <v/>
      </c>
      <c r="OY32" s="40" t="str">
        <f t="shared" si="119"/>
        <v/>
      </c>
      <c r="OZ32" s="40" t="str">
        <f t="shared" si="120"/>
        <v/>
      </c>
      <c r="PA32" s="40" t="str">
        <f t="shared" si="121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2"/>
        <v/>
      </c>
      <c r="PW32" s="11" t="str">
        <f t="shared" si="123"/>
        <v/>
      </c>
      <c r="PX32" s="11" t="str">
        <f t="shared" si="124"/>
        <v/>
      </c>
      <c r="PY32" s="11" t="str">
        <f t="shared" si="125"/>
        <v/>
      </c>
      <c r="PZ32" s="11" t="str">
        <f t="shared" si="126"/>
        <v/>
      </c>
      <c r="QA32" s="11" t="str">
        <f t="shared" si="127"/>
        <v/>
      </c>
      <c r="QB32" s="11" t="str">
        <f t="shared" si="128"/>
        <v/>
      </c>
      <c r="QC32" s="11" t="str">
        <f t="shared" si="129"/>
        <v/>
      </c>
      <c r="QD32" s="22">
        <f t="shared" si="130"/>
        <v>9.1</v>
      </c>
      <c r="QE32" s="22">
        <f t="shared" si="131"/>
        <v>2.6</v>
      </c>
      <c r="QF32" s="22">
        <f t="shared" si="132"/>
        <v>0.1</v>
      </c>
      <c r="QG32" s="22">
        <f t="shared" si="133"/>
        <v>0</v>
      </c>
      <c r="QH32" s="22">
        <f t="shared" si="134"/>
        <v>9.1999999999999993</v>
      </c>
      <c r="QI32" s="22">
        <f t="shared" si="135"/>
        <v>2.8</v>
      </c>
      <c r="QJ32" s="22">
        <f t="shared" si="136"/>
        <v>0</v>
      </c>
      <c r="QK32" s="22">
        <f t="shared" si="137"/>
        <v>0</v>
      </c>
      <c r="QL32" s="22">
        <f t="shared" si="138"/>
        <v>0</v>
      </c>
      <c r="QM32" s="22">
        <f t="shared" si="139"/>
        <v>0</v>
      </c>
      <c r="QN32" s="22">
        <f t="shared" si="140"/>
        <v>0</v>
      </c>
      <c r="QO32" s="22">
        <f t="shared" si="141"/>
        <v>0</v>
      </c>
      <c r="QP32" s="22">
        <f t="shared" si="142"/>
        <v>9.15</v>
      </c>
      <c r="QQ32" s="22">
        <f t="shared" si="143"/>
        <v>2.6</v>
      </c>
      <c r="QR32" s="22">
        <f t="shared" si="144"/>
        <v>0</v>
      </c>
      <c r="QS32" s="22">
        <f t="shared" si="145"/>
        <v>0</v>
      </c>
      <c r="QT32" s="22">
        <f t="shared" si="146"/>
        <v>9.25</v>
      </c>
      <c r="QU32" s="22">
        <f t="shared" si="147"/>
        <v>1</v>
      </c>
      <c r="QV32" s="22">
        <f t="shared" si="148"/>
        <v>0.5</v>
      </c>
      <c r="QW32" s="22">
        <f t="shared" si="149"/>
        <v>0</v>
      </c>
      <c r="QX32" s="27" t="s">
        <v>46</v>
      </c>
      <c r="QY32" s="40">
        <f t="shared" si="150"/>
        <v>5.4</v>
      </c>
      <c r="QZ32" s="40">
        <f t="shared" si="151"/>
        <v>23.599999999999998</v>
      </c>
      <c r="RA32" s="40" t="str">
        <f t="shared" si="152"/>
        <v/>
      </c>
      <c r="RB32" s="40">
        <f t="shared" si="153"/>
        <v>5.4</v>
      </c>
      <c r="RC32" s="40">
        <f t="shared" si="154"/>
        <v>23.599999999999998</v>
      </c>
      <c r="RD32" s="40">
        <f t="shared" si="155"/>
        <v>3.6</v>
      </c>
      <c r="RE32" s="40">
        <f t="shared" si="156"/>
        <v>21.5</v>
      </c>
      <c r="RF32" s="40">
        <f t="shared" si="157"/>
        <v>45.099999999999994</v>
      </c>
    </row>
    <row r="33" spans="1:474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202</v>
      </c>
      <c r="D33" s="4" t="s">
        <v>3</v>
      </c>
      <c r="E33" s="4">
        <v>2006</v>
      </c>
      <c r="F33" s="9">
        <f t="shared" si="0"/>
        <v>87.800004530004543</v>
      </c>
      <c r="G33" s="64"/>
      <c r="H33" s="3" t="str">
        <f>IF(OR(AND(AP33&gt;=AW$41,AQ33&gt;=AW$45,AP33&lt;&gt;"",AO33=""),AND(AU33&gt;=AW$41,AV33&gt;=AW$45,AU33&lt;&gt;"",AO33=""),AND(BS33&gt;=BZ$41,BT33&gt;=BZ$45,BS33&lt;&gt;"",BR33=""),AND(BX33&gt;=BZ$41,BY33&gt;=BZ$45,BX33&lt;&gt;"",BR33=""),AND(CV33&gt;=DC$41,CW33&gt;=DC$45,CV33&lt;&gt;"",CU33=""),AND(DA33&gt;=DC$41,DB33&gt;=DC$45,DA33&lt;&gt;""),AND(DZ33&gt;=EG$41,EA33&gt;=EG$45,DZ33&lt;&gt;""),AND(EE33&gt;=EG$41,EF33&gt;=EG$45,EE33&lt;&gt;""),AND(FB33&gt;=FI$41,FC33&gt;=FI$45,FB33&lt;&gt;""),AND(FG33&gt;=FI$41,FH33&gt;=FI$45,FG33&lt;&gt;""),AND(GD33&gt;=GK$41,GE33&gt;=GK$45,GD33&lt;&gt;""),AND(GI33&gt;=GK$41,GJ33&gt;=GK$45,GI33&lt;&gt;""),AND(HF33&gt;=HM$41,HG33&gt;=HM$45,HF33&lt;&gt;""),AND(HK33&gt;=HM$41,HL33&gt;=HM$45,HK33&lt;&gt;""),AND(IH33&gt;=IO$41,II33&gt;=IO$45,IH33&lt;&gt;""),AND(IM33&gt;=IO$41,IN33&gt;=IO$45,IM33&lt;&gt;""),AND(JJ33&gt;=JQ$41,JK33&gt;=JQ$45,JJ33&lt;&gt;""),AND(JO33&gt;=JQ$41,JP33&gt;=JQ$45,JO33&lt;&gt;""),AND(KL33&gt;=KS$41,KM33&gt;=KS$45,KL33&lt;&gt;""),AND(KQ33&gt;=KS$41,KR33&gt;=KS$45,KQ33&lt;&gt;""),AND(LN33&gt;=LU$41,LO33&gt;=LU$45,LN33&lt;&gt;""),AND(LS33&gt;=LU$41,LT33&gt;=LU$45,LS33&lt;&gt;""),AND(MP33&gt;=MW$41,MQ33&gt;=MW$45,MP33&lt;&gt;""),AND(MU33&gt;=MW$41,MV33&gt;=MW$45,MU33&lt;&gt;""),AND(NR33&gt;=NY$41,NS33&gt;=NY$45,NR33&lt;&gt;""),AND(NW33&gt;=NY$41,NX33&gt;=NY$45,NW33&lt;&gt;""),AND(OT33&gt;=PA$41,OU33&gt;=PA$45,OT33&lt;&gt;""),AND(OY33&gt;=PA$41,OZ33&gt;=PA$45,OY33&lt;&gt;""),AND(PV33&gt;=QC$41,PW33&gt;=QC$45,PV33&lt;&gt;""),AND(QA33&gt;=QC$41,QB33&gt;=QC$45,QA33&lt;&gt;"")),"P","")</f>
        <v/>
      </c>
      <c r="I33" s="3" t="str">
        <f>IF(OR(AND(AQ33&gt;=AW$45,AQ33&lt;&gt;"",AO33=""),AND(AV33&gt;=AW$45,AV33&lt;&gt;"",AO33=""),AND(BT33&gt;=BZ$45,BT33&lt;&gt;"",BR33=""),AND(BY33&gt;=BZ$45,BY33&lt;&gt;"",BR33=""),AND(CW33&gt;=DC$45,CW33&lt;&gt;"",CU33=""),AND(DB33&gt;=DC$45,DB33&lt;&gt;"",CU33=""),AND(EA33&gt;=EG$45,EA33&lt;&gt;""),AND(EF33&gt;=EG$45,EF33&lt;&gt;""),AND(FC33&gt;=FI$45,FC33&lt;&gt;""),AND(FH33&gt;=FI$45,FH33&lt;&gt;""),AND(GE33&gt;=GK$45,GE33&lt;&gt;""),AND(GJ33&gt;=GK$45,GJ33&lt;&gt;""),AND(HG33&gt;=HM$45,HG33&lt;&gt;""),AND(HL33&gt;=HM$45,HL33&lt;&gt;""),AND(II33&gt;=IO$45,II33&lt;&gt;""),AND(IN33&gt;=IO$45,IN33&lt;&gt;""),AND(JK33&gt;=JQ$45,JK33&lt;&gt;""),AND(JP33&gt;=JQ$45,JP33&lt;&gt;""),AND(KM33&gt;=KS$45,KM33&lt;&gt;""),AND(KR33&gt;=KS$45,KR33&lt;&gt;""),AND(LO33&gt;=LU$45,LO33&lt;&gt;""),AND(LT33&gt;=LU$45,LT33&lt;&gt;""),AND(MQ33&gt;=MW$45,MQ33&lt;&gt;""),AND(MV33&gt;=MW$45,MV33&lt;&gt;""),AND(NS33&gt;=NY$45,NS33&lt;&gt;""),AND(NX33&gt;=NY$45,NX33&lt;&gt;""),AND(OU33&gt;=PA$45,OU33&lt;&gt;""),AND(OZ33&gt;=PA$45,OZ33&lt;&gt;""),AND(PW33&gt;=QC$45,PW33&lt;&gt;""),AND(QB33&gt;=QC$45,QB33&lt;&gt;"")),"P","")</f>
        <v/>
      </c>
      <c r="J33" s="36" t="str">
        <f>IF(AND(I33="P",H33=""),"No DD",IF(OR(AND(AS33&gt;=AW$44,AT33&gt;=AW$48,AS33&lt;&gt;"",AO33=""),AND(BV33&gt;=BZ$44,BW33&gt;=BZ$48,BV33&lt;&gt;"",BR33=""),AND(CY33&gt;=DC$44,CZ33&gt;=DC$48,CY33&lt;&gt;"",CU33=""),AND(EC33&gt;=EG$44,ED33&gt;=EG$48,EC33&lt;&gt;""),AND(FE33&gt;=FI$44,FF33&gt;=FI$48,FE33&lt;&gt;""),AND(GG33&gt;=GK$44,GH33&gt;=GK$48,GG33&lt;&gt;""),AND(HI33&gt;=HM$44,HJ33&gt;=HM$48,HI33&lt;&gt;""),AND(IK33&gt;=IO$44,IL33&gt;=IO$48,IK33&lt;&gt;""),AND(JM33&gt;=JQ$44,JN33&gt;=JQ$48,JM33&lt;&gt;""),AND(KO33&gt;=KS$44,KP33&gt;=KS$48,KO33&lt;&gt;""),AND(LQ33&gt;=LU$44,LR33&gt;=LU$48,LQ33&lt;&gt;""),AND(MS33&gt;=MW$44,MT33&gt;=MW$48,MS33&lt;&gt;""),AND(NU33&gt;=NY$44,NV33&gt;=NY$48,NU33&lt;&gt;""),AND(OW33&gt;=PA$44,OX33&gt;=PA$48,OW33&lt;&gt;""),AND(PY33&gt;=QC$44,PZ33&gt;=QC$48,PY33&lt;&gt;"")),"Merit",IF(OR(AND(AS33&gt;=AW$43,AT33&gt;=AW$47,AS33&lt;&gt;"",AO33=""),AND(BV33&gt;=BZ$43,BW33&gt;=BZ$47,BV33&lt;&gt;"",BR33=""),AND(CY33&gt;=DC$43,CZ33&gt;=DC$47,CY33&lt;&gt;"",CU33=""),AND(EC33&gt;=EG$43,ED33&gt;=EG$47,EC33&lt;&gt;""),AND(FE33&gt;=FI$43,FF33&gt;=FI$47,FE33&lt;&gt;""),AND(GG33&gt;=GK$43,GH33&gt;=GK$47,GG33&lt;&gt;""),AND(HI33&gt;=HM$43,HJ33&gt;=HM$47,HI33&lt;&gt;""),AND(IK33&gt;=IO$43,IL33&gt;=IO$47,IK33&lt;&gt;""),AND(JM33&gt;=JQ$43,JN33&gt;=JQ$47,JM33&lt;&gt;""),AND(KO33&gt;=KS$43,KP33&gt;=KS$47,KO33&lt;&gt;""),AND(LQ33&gt;=LU$43,LR33&gt;=LU$47,LQ33&lt;&gt;""),AND(MS33&gt;=MW$43,MT33&gt;=MW$47,MS33&lt;&gt;""),AND(NU33&gt;=NY$43,NV33&gt;=NY$47,NU33&lt;&gt;""),AND(OW33&gt;=PA$43,OX33&gt;=PA$47,OW33&lt;&gt;""),AND(PY33&gt;=QC$43,PZ33&gt;=QC$47,PY33&lt;&gt;"")),"Excellence",IF(K33="P","Worlds Team",IF(H33="P","National Team","")))))</f>
        <v/>
      </c>
      <c r="K33" s="3" t="str">
        <f>IF(OR(AND(AS33&gt;=AW$42,AT33&gt;=AW$46,AS33&lt;&gt;"",AO33=""),AND(BV33&gt;=BZ$42,BW33&gt;=BZ$46,BV33&lt;&gt;"",BR33=""),AND(CY33&gt;=DC$42,CZ33&gt;=DC$46,CY33&lt;&gt;"",CU33=""),AND(EC33&gt;=EG$42,ED33&gt;=EG$46,EC33&lt;&gt;""),AND(FE33&gt;=FI$42,FF33&gt;=FI$46,FE33&lt;&gt;""),AND(GG33&gt;=GK$42,GH33&gt;=GK$46,GG33&lt;&gt;""),AND(HI33&gt;=HM$42,HJ33&gt;=HM$46,HI33&lt;&gt;""),AND(IK33&gt;=IO$42,IL33&gt;=IO$46,IK33&lt;&gt;""),AND(JM33&gt;=JQ$42,JN33&gt;=JQ$46,JM33&lt;&gt;""),AND(KO33&gt;=KS$42,KP33&gt;=KS$46,KO33&lt;&gt;""),AND(LQ33&gt;=LU$42,LR33&gt;=LU$46,LQ33&lt;&gt;""),AND(MS33&gt;=MW$42,MT33&gt;=MW$46,MS33&lt;&gt;""),AND(NU33&gt;=NY$42,NV33&gt;=NY$46,NU33&lt;&gt;""),AND(OW33&gt;=PA$42,OX33&gt;=PA$46,OW33&lt;&gt;""),AND(PY33&gt;=QC$42,PZ33&gt;=QC$46,PY33&lt;&gt;"")),"P","")</f>
        <v/>
      </c>
      <c r="L33" s="8">
        <f>IF(COUNT(AQ33,BT33,CW33)&gt;0,LARGE((AQ33,BT33,CW33),1),0)</f>
        <v>45.300000000000011</v>
      </c>
      <c r="M33" s="8" t="str">
        <f t="shared" si="1"/>
        <v>2025 Nationals</v>
      </c>
      <c r="N33" s="8">
        <f>IF(COUNT(AQ33,BT33,CW33)&gt;1,LARGE((AQ33,BT33,CW33),2),0)</f>
        <v>0</v>
      </c>
      <c r="O33" s="8" t="str">
        <f t="shared" si="2"/>
        <v/>
      </c>
      <c r="P33" s="8">
        <f t="shared" si="3"/>
        <v>42.5</v>
      </c>
      <c r="Q33" s="8" t="str">
        <f t="shared" si="4"/>
        <v>2025 Nationals</v>
      </c>
      <c r="R33" s="8" t="str">
        <f t="shared" si="5"/>
        <v/>
      </c>
      <c r="S33" s="11" t="str">
        <f t="shared" si="6"/>
        <v/>
      </c>
      <c r="T33" s="8" t="str">
        <f t="shared" si="7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8"/>
        <v/>
      </c>
      <c r="AQ33" s="40" t="str">
        <f t="shared" si="9"/>
        <v/>
      </c>
      <c r="AR33" s="40" t="str">
        <f t="shared" si="10"/>
        <v/>
      </c>
      <c r="AS33" s="40" t="str">
        <f t="shared" si="11"/>
        <v/>
      </c>
      <c r="AT33" s="40" t="str">
        <f t="shared" si="12"/>
        <v/>
      </c>
      <c r="AU33" s="40" t="str">
        <f t="shared" si="13"/>
        <v/>
      </c>
      <c r="AV33" s="40" t="str">
        <f t="shared" si="14"/>
        <v/>
      </c>
      <c r="AW33" s="40" t="str">
        <f t="shared" si="15"/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16"/>
        <v/>
      </c>
      <c r="BT33" s="11" t="str">
        <f t="shared" si="17"/>
        <v/>
      </c>
      <c r="BU33" s="11" t="str">
        <f t="shared" si="18"/>
        <v/>
      </c>
      <c r="BV33" s="11" t="str">
        <f t="shared" si="19"/>
        <v/>
      </c>
      <c r="BW33" s="11" t="str">
        <f t="shared" si="20"/>
        <v/>
      </c>
      <c r="BX33" s="11" t="str">
        <f t="shared" si="21"/>
        <v/>
      </c>
      <c r="BY33" s="11" t="str">
        <f t="shared" si="22"/>
        <v/>
      </c>
      <c r="BZ33" s="11" t="str">
        <f t="shared" si="23"/>
        <v/>
      </c>
      <c r="CA33" s="19">
        <v>18.3</v>
      </c>
      <c r="CB33" s="19">
        <v>5.2</v>
      </c>
      <c r="CC33" s="19">
        <v>0.8</v>
      </c>
      <c r="CD33" s="19">
        <v>0</v>
      </c>
      <c r="CE33" s="19">
        <v>18.2</v>
      </c>
      <c r="CF33" s="19">
        <v>5.2</v>
      </c>
      <c r="CG33" s="19">
        <v>0.8</v>
      </c>
      <c r="CH33" s="19">
        <v>0</v>
      </c>
      <c r="CI33" s="19"/>
      <c r="CJ33" s="19"/>
      <c r="CK33" s="19"/>
      <c r="CL33" s="19"/>
      <c r="CM33" s="19">
        <v>18.600000000000001</v>
      </c>
      <c r="CN33" s="19">
        <v>5.2</v>
      </c>
      <c r="CO33" s="19">
        <v>0.2</v>
      </c>
      <c r="CP33" s="19">
        <v>0</v>
      </c>
      <c r="CQ33" s="19">
        <v>18.3</v>
      </c>
      <c r="CR33" s="19">
        <v>2.4</v>
      </c>
      <c r="CS33" s="19">
        <v>1.8</v>
      </c>
      <c r="CT33" s="19">
        <v>0</v>
      </c>
      <c r="CU33" s="27"/>
      <c r="CV33" s="40">
        <f t="shared" si="24"/>
        <v>10.4</v>
      </c>
      <c r="CW33" s="40">
        <f t="shared" si="25"/>
        <v>45.300000000000011</v>
      </c>
      <c r="CX33" s="40" t="str">
        <f t="shared" si="26"/>
        <v/>
      </c>
      <c r="CY33" s="40">
        <f t="shared" si="27"/>
        <v>10.4</v>
      </c>
      <c r="CZ33" s="40">
        <f t="shared" si="28"/>
        <v>45.300000000000011</v>
      </c>
      <c r="DA33" s="40">
        <f t="shared" si="29"/>
        <v>7.6</v>
      </c>
      <c r="DB33" s="40">
        <f t="shared" si="30"/>
        <v>42.5</v>
      </c>
      <c r="DC33" s="40">
        <f t="shared" si="31"/>
        <v>87.800000000000011</v>
      </c>
      <c r="DD33" s="50" t="str">
        <f t="shared" si="32"/>
        <v/>
      </c>
      <c r="DE33" s="50" t="str">
        <f t="shared" si="33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4"/>
        <v/>
      </c>
      <c r="EA33" s="40" t="str">
        <f t="shared" si="35"/>
        <v/>
      </c>
      <c r="EB33" s="40" t="str">
        <f t="shared" si="36"/>
        <v/>
      </c>
      <c r="EC33" s="40" t="str">
        <f t="shared" si="37"/>
        <v/>
      </c>
      <c r="ED33" s="40" t="str">
        <f t="shared" si="38"/>
        <v/>
      </c>
      <c r="EE33" s="40" t="str">
        <f t="shared" si="39"/>
        <v/>
      </c>
      <c r="EF33" s="40" t="str">
        <f t="shared" si="40"/>
        <v/>
      </c>
      <c r="EG33" s="40" t="str">
        <f t="shared" si="41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2"/>
        <v/>
      </c>
      <c r="FC33" s="11" t="str">
        <f t="shared" si="43"/>
        <v/>
      </c>
      <c r="FD33" s="11" t="str">
        <f t="shared" si="44"/>
        <v/>
      </c>
      <c r="FE33" s="11" t="str">
        <f t="shared" si="45"/>
        <v/>
      </c>
      <c r="FF33" s="11" t="str">
        <f t="shared" si="46"/>
        <v/>
      </c>
      <c r="FG33" s="11" t="str">
        <f t="shared" si="47"/>
        <v/>
      </c>
      <c r="FH33" s="11" t="str">
        <f t="shared" si="48"/>
        <v/>
      </c>
      <c r="FI33" s="11" t="str">
        <f t="shared" si="49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0"/>
        <v/>
      </c>
      <c r="GE33" s="40" t="str">
        <f t="shared" si="51"/>
        <v/>
      </c>
      <c r="GF33" s="40" t="str">
        <f t="shared" si="52"/>
        <v/>
      </c>
      <c r="GG33" s="40" t="str">
        <f t="shared" si="53"/>
        <v/>
      </c>
      <c r="GH33" s="40" t="str">
        <f t="shared" si="54"/>
        <v/>
      </c>
      <c r="GI33" s="40" t="str">
        <f t="shared" si="55"/>
        <v/>
      </c>
      <c r="GJ33" s="40" t="str">
        <f t="shared" si="56"/>
        <v/>
      </c>
      <c r="GK33" s="40" t="str">
        <f t="shared" si="57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58"/>
        <v/>
      </c>
      <c r="HG33" s="11" t="str">
        <f t="shared" si="59"/>
        <v/>
      </c>
      <c r="HH33" s="11" t="str">
        <f t="shared" si="60"/>
        <v/>
      </c>
      <c r="HI33" s="11" t="str">
        <f t="shared" si="61"/>
        <v/>
      </c>
      <c r="HJ33" s="11" t="str">
        <f t="shared" si="62"/>
        <v/>
      </c>
      <c r="HK33" s="11" t="str">
        <f t="shared" si="63"/>
        <v/>
      </c>
      <c r="HL33" s="11" t="str">
        <f t="shared" si="64"/>
        <v/>
      </c>
      <c r="HM33" s="11" t="str">
        <f t="shared" si="65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66"/>
        <v/>
      </c>
      <c r="II33" s="40" t="str">
        <f t="shared" si="67"/>
        <v/>
      </c>
      <c r="IJ33" s="40" t="str">
        <f t="shared" si="68"/>
        <v/>
      </c>
      <c r="IK33" s="40" t="str">
        <f t="shared" si="69"/>
        <v/>
      </c>
      <c r="IL33" s="40" t="str">
        <f t="shared" si="70"/>
        <v/>
      </c>
      <c r="IM33" s="40" t="str">
        <f t="shared" si="71"/>
        <v/>
      </c>
      <c r="IN33" s="40" t="str">
        <f t="shared" si="72"/>
        <v/>
      </c>
      <c r="IO33" s="40" t="str">
        <f t="shared" si="73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4"/>
        <v/>
      </c>
      <c r="JK33" s="11" t="str">
        <f t="shared" si="75"/>
        <v/>
      </c>
      <c r="JL33" s="11" t="str">
        <f t="shared" si="76"/>
        <v/>
      </c>
      <c r="JM33" s="11" t="str">
        <f t="shared" si="77"/>
        <v/>
      </c>
      <c r="JN33" s="11" t="str">
        <f t="shared" si="78"/>
        <v/>
      </c>
      <c r="JO33" s="11" t="str">
        <f t="shared" si="79"/>
        <v/>
      </c>
      <c r="JP33" s="11" t="str">
        <f t="shared" si="80"/>
        <v/>
      </c>
      <c r="JQ33" s="11" t="str">
        <f t="shared" si="81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2"/>
        <v/>
      </c>
      <c r="KM33" s="40" t="str">
        <f t="shared" si="83"/>
        <v/>
      </c>
      <c r="KN33" s="40" t="str">
        <f t="shared" si="84"/>
        <v/>
      </c>
      <c r="KO33" s="40" t="str">
        <f t="shared" si="85"/>
        <v/>
      </c>
      <c r="KP33" s="40" t="str">
        <f t="shared" si="86"/>
        <v/>
      </c>
      <c r="KQ33" s="40" t="str">
        <f t="shared" si="87"/>
        <v/>
      </c>
      <c r="KR33" s="40" t="str">
        <f t="shared" si="88"/>
        <v/>
      </c>
      <c r="KS33" s="40" t="str">
        <f t="shared" si="89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0"/>
        <v/>
      </c>
      <c r="LO33" s="11" t="str">
        <f t="shared" si="91"/>
        <v/>
      </c>
      <c r="LP33" s="11" t="str">
        <f t="shared" si="92"/>
        <v/>
      </c>
      <c r="LQ33" s="11" t="str">
        <f t="shared" si="93"/>
        <v/>
      </c>
      <c r="LR33" s="11" t="str">
        <f t="shared" si="94"/>
        <v/>
      </c>
      <c r="LS33" s="11" t="str">
        <f t="shared" si="95"/>
        <v/>
      </c>
      <c r="LT33" s="11" t="str">
        <f t="shared" si="96"/>
        <v/>
      </c>
      <c r="LU33" s="11" t="str">
        <f t="shared" si="97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98"/>
        <v/>
      </c>
      <c r="MQ33" s="40" t="str">
        <f t="shared" si="99"/>
        <v/>
      </c>
      <c r="MR33" s="40" t="str">
        <f t="shared" si="100"/>
        <v/>
      </c>
      <c r="MS33" s="40" t="str">
        <f t="shared" si="101"/>
        <v/>
      </c>
      <c r="MT33" s="40" t="str">
        <f t="shared" si="102"/>
        <v/>
      </c>
      <c r="MU33" s="40" t="str">
        <f t="shared" si="103"/>
        <v/>
      </c>
      <c r="MV33" s="40" t="str">
        <f t="shared" si="104"/>
        <v/>
      </c>
      <c r="MW33" s="40" t="str">
        <f t="shared" si="105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06"/>
        <v/>
      </c>
      <c r="NS33" s="11" t="str">
        <f t="shared" si="107"/>
        <v/>
      </c>
      <c r="NT33" s="11" t="str">
        <f t="shared" si="108"/>
        <v/>
      </c>
      <c r="NU33" s="11" t="str">
        <f t="shared" si="109"/>
        <v/>
      </c>
      <c r="NV33" s="11" t="str">
        <f t="shared" si="110"/>
        <v/>
      </c>
      <c r="NW33" s="11" t="str">
        <f t="shared" si="111"/>
        <v/>
      </c>
      <c r="NX33" s="11" t="str">
        <f t="shared" si="112"/>
        <v/>
      </c>
      <c r="NY33" s="11" t="str">
        <f t="shared" si="113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4"/>
        <v/>
      </c>
      <c r="OU33" s="40" t="str">
        <f t="shared" si="115"/>
        <v/>
      </c>
      <c r="OV33" s="40" t="str">
        <f t="shared" si="116"/>
        <v/>
      </c>
      <c r="OW33" s="40" t="str">
        <f t="shared" si="117"/>
        <v/>
      </c>
      <c r="OX33" s="40" t="str">
        <f t="shared" si="118"/>
        <v/>
      </c>
      <c r="OY33" s="40" t="str">
        <f t="shared" si="119"/>
        <v/>
      </c>
      <c r="OZ33" s="40" t="str">
        <f t="shared" si="120"/>
        <v/>
      </c>
      <c r="PA33" s="40" t="str">
        <f t="shared" si="121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2"/>
        <v/>
      </c>
      <c r="PW33" s="11" t="str">
        <f t="shared" si="123"/>
        <v/>
      </c>
      <c r="PX33" s="11" t="str">
        <f t="shared" si="124"/>
        <v/>
      </c>
      <c r="PY33" s="11" t="str">
        <f t="shared" si="125"/>
        <v/>
      </c>
      <c r="PZ33" s="11" t="str">
        <f t="shared" si="126"/>
        <v/>
      </c>
      <c r="QA33" s="11" t="str">
        <f t="shared" si="127"/>
        <v/>
      </c>
      <c r="QB33" s="11" t="str">
        <f t="shared" si="128"/>
        <v/>
      </c>
      <c r="QC33" s="11" t="str">
        <f t="shared" si="129"/>
        <v/>
      </c>
      <c r="QD33" s="22">
        <f t="shared" si="130"/>
        <v>9.15</v>
      </c>
      <c r="QE33" s="22">
        <f t="shared" si="131"/>
        <v>2.6</v>
      </c>
      <c r="QF33" s="22">
        <f t="shared" si="132"/>
        <v>0.4</v>
      </c>
      <c r="QG33" s="22">
        <f t="shared" si="133"/>
        <v>0</v>
      </c>
      <c r="QH33" s="22">
        <f t="shared" si="134"/>
        <v>9.1</v>
      </c>
      <c r="QI33" s="22">
        <f t="shared" si="135"/>
        <v>2.6</v>
      </c>
      <c r="QJ33" s="22">
        <f t="shared" si="136"/>
        <v>0.4</v>
      </c>
      <c r="QK33" s="22">
        <f t="shared" si="137"/>
        <v>0</v>
      </c>
      <c r="QL33" s="22">
        <f t="shared" si="138"/>
        <v>0</v>
      </c>
      <c r="QM33" s="22">
        <f t="shared" si="139"/>
        <v>0</v>
      </c>
      <c r="QN33" s="22">
        <f t="shared" si="140"/>
        <v>0</v>
      </c>
      <c r="QO33" s="22">
        <f t="shared" si="141"/>
        <v>0</v>
      </c>
      <c r="QP33" s="22">
        <f t="shared" si="142"/>
        <v>9.3000000000000007</v>
      </c>
      <c r="QQ33" s="22">
        <f t="shared" si="143"/>
        <v>2.6</v>
      </c>
      <c r="QR33" s="22">
        <f t="shared" si="144"/>
        <v>0.1</v>
      </c>
      <c r="QS33" s="22">
        <f t="shared" si="145"/>
        <v>0</v>
      </c>
      <c r="QT33" s="22">
        <f t="shared" si="146"/>
        <v>9.15</v>
      </c>
      <c r="QU33" s="22">
        <f t="shared" si="147"/>
        <v>1.2</v>
      </c>
      <c r="QV33" s="22">
        <f t="shared" si="148"/>
        <v>0.9</v>
      </c>
      <c r="QW33" s="22">
        <f t="shared" si="149"/>
        <v>0</v>
      </c>
      <c r="QX33" s="27" t="s">
        <v>46</v>
      </c>
      <c r="QY33" s="40">
        <f t="shared" si="150"/>
        <v>5.2</v>
      </c>
      <c r="QZ33" s="40">
        <f t="shared" si="151"/>
        <v>22.650000000000006</v>
      </c>
      <c r="RA33" s="40" t="str">
        <f t="shared" si="152"/>
        <v/>
      </c>
      <c r="RB33" s="40">
        <f t="shared" si="153"/>
        <v>5.2</v>
      </c>
      <c r="RC33" s="40">
        <f t="shared" si="154"/>
        <v>22.650000000000006</v>
      </c>
      <c r="RD33" s="40">
        <f t="shared" si="155"/>
        <v>3.8</v>
      </c>
      <c r="RE33" s="40">
        <f t="shared" si="156"/>
        <v>21.25</v>
      </c>
      <c r="RF33" s="40">
        <f t="shared" si="157"/>
        <v>43.900000000000006</v>
      </c>
    </row>
    <row r="34" spans="1:474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181</v>
      </c>
      <c r="D34" s="4" t="s">
        <v>4</v>
      </c>
      <c r="E34" s="4">
        <v>2008</v>
      </c>
      <c r="F34" s="9">
        <f t="shared" si="0"/>
        <v>83.200008320004429</v>
      </c>
      <c r="H34" s="3" t="str">
        <f>IF(OR(AND(AP34&gt;=AW$41,AQ34&gt;=AW$45,AP34&lt;&gt;"",AO34=""),AND(AU34&gt;=AW$41,AV34&gt;=AW$45,AU34&lt;&gt;"",AO34=""),AND(BS34&gt;=BZ$41,BT34&gt;=BZ$45,BS34&lt;&gt;"",BR34=""),AND(BX34&gt;=BZ$41,BY34&gt;=BZ$45,BX34&lt;&gt;"",BR34=""),AND(CV34&gt;=DC$41,CW34&gt;=DC$45,CV34&lt;&gt;"",CU34=""),AND(DA34&gt;=DC$41,DB34&gt;=DC$45,DA34&lt;&gt;""),AND(DZ34&gt;=EG$41,EA34&gt;=EG$45,DZ34&lt;&gt;""),AND(EE34&gt;=EG$41,EF34&gt;=EG$45,EE34&lt;&gt;""),AND(FB34&gt;=FI$41,FC34&gt;=FI$45,FB34&lt;&gt;""),AND(FG34&gt;=FI$41,FH34&gt;=FI$45,FG34&lt;&gt;""),AND(GD34&gt;=GK$41,GE34&gt;=GK$45,GD34&lt;&gt;""),AND(GI34&gt;=GK$41,GJ34&gt;=GK$45,GI34&lt;&gt;""),AND(HF34&gt;=HM$41,HG34&gt;=HM$45,HF34&lt;&gt;""),AND(HK34&gt;=HM$41,HL34&gt;=HM$45,HK34&lt;&gt;""),AND(IH34&gt;=IO$41,II34&gt;=IO$45,IH34&lt;&gt;""),AND(IM34&gt;=IO$41,IN34&gt;=IO$45,IM34&lt;&gt;""),AND(JJ34&gt;=JQ$41,JK34&gt;=JQ$45,JJ34&lt;&gt;""),AND(JO34&gt;=JQ$41,JP34&gt;=JQ$45,JO34&lt;&gt;""),AND(KL34&gt;=KS$41,KM34&gt;=KS$45,KL34&lt;&gt;""),AND(KQ34&gt;=KS$41,KR34&gt;=KS$45,KQ34&lt;&gt;""),AND(LN34&gt;=LU$41,LO34&gt;=LU$45,LN34&lt;&gt;""),AND(LS34&gt;=LU$41,LT34&gt;=LU$45,LS34&lt;&gt;""),AND(MP34&gt;=MW$41,MQ34&gt;=MW$45,MP34&lt;&gt;""),AND(MU34&gt;=MW$41,MV34&gt;=MW$45,MU34&lt;&gt;""),AND(NR34&gt;=NY$41,NS34&gt;=NY$45,NR34&lt;&gt;""),AND(NW34&gt;=NY$41,NX34&gt;=NY$45,NW34&lt;&gt;""),AND(OT34&gt;=PA$41,OU34&gt;=PA$45,OT34&lt;&gt;""),AND(OY34&gt;=PA$41,OZ34&gt;=PA$45,OY34&lt;&gt;""),AND(PV34&gt;=QC$41,PW34&gt;=QC$45,PV34&lt;&gt;""),AND(QA34&gt;=QC$41,QB34&gt;=QC$45,QA34&lt;&gt;"")),"P","")</f>
        <v/>
      </c>
      <c r="I34" s="3" t="str">
        <f>IF(OR(AND(AQ34&gt;=AW$45,AQ34&lt;&gt;"",AO34=""),AND(AV34&gt;=AW$45,AV34&lt;&gt;"",AO34=""),AND(BT34&gt;=BZ$45,BT34&lt;&gt;"",BR34=""),AND(BY34&gt;=BZ$45,BY34&lt;&gt;"",BR34=""),AND(CW34&gt;=DC$45,CW34&lt;&gt;"",CU34=""),AND(DB34&gt;=DC$45,DB34&lt;&gt;"",CU34=""),AND(EA34&gt;=EG$45,EA34&lt;&gt;""),AND(EF34&gt;=EG$45,EF34&lt;&gt;""),AND(FC34&gt;=FI$45,FC34&lt;&gt;""),AND(FH34&gt;=FI$45,FH34&lt;&gt;""),AND(GE34&gt;=GK$45,GE34&lt;&gt;""),AND(GJ34&gt;=GK$45,GJ34&lt;&gt;""),AND(HG34&gt;=HM$45,HG34&lt;&gt;""),AND(HL34&gt;=HM$45,HL34&lt;&gt;""),AND(II34&gt;=IO$45,II34&lt;&gt;""),AND(IN34&gt;=IO$45,IN34&lt;&gt;""),AND(JK34&gt;=JQ$45,JK34&lt;&gt;""),AND(JP34&gt;=JQ$45,JP34&lt;&gt;""),AND(KM34&gt;=KS$45,KM34&lt;&gt;""),AND(KR34&gt;=KS$45,KR34&lt;&gt;""),AND(LO34&gt;=LU$45,LO34&lt;&gt;""),AND(LT34&gt;=LU$45,LT34&lt;&gt;""),AND(MQ34&gt;=MW$45,MQ34&lt;&gt;""),AND(MV34&gt;=MW$45,MV34&lt;&gt;""),AND(NS34&gt;=NY$45,NS34&lt;&gt;""),AND(NX34&gt;=NY$45,NX34&lt;&gt;""),AND(OU34&gt;=PA$45,OU34&lt;&gt;""),AND(OZ34&gt;=PA$45,OZ34&lt;&gt;""),AND(PW34&gt;=QC$45,PW34&lt;&gt;""),AND(QB34&gt;=QC$45,QB34&lt;&gt;"")),"P","")</f>
        <v/>
      </c>
      <c r="J34" s="36" t="str">
        <f>IF(AND(I34="P",H34=""),"No DD",IF(OR(AND(AS34&gt;=AW$44,AT34&gt;=AW$48,AS34&lt;&gt;"",AO34=""),AND(BV34&gt;=BZ$44,BW34&gt;=BZ$48,BV34&lt;&gt;"",BR34=""),AND(CY34&gt;=DC$44,CZ34&gt;=DC$48,CY34&lt;&gt;"",CU34=""),AND(EC34&gt;=EG$44,ED34&gt;=EG$48,EC34&lt;&gt;""),AND(FE34&gt;=FI$44,FF34&gt;=FI$48,FE34&lt;&gt;""),AND(GG34&gt;=GK$44,GH34&gt;=GK$48,GG34&lt;&gt;""),AND(HI34&gt;=HM$44,HJ34&gt;=HM$48,HI34&lt;&gt;""),AND(IK34&gt;=IO$44,IL34&gt;=IO$48,IK34&lt;&gt;""),AND(JM34&gt;=JQ$44,JN34&gt;=JQ$48,JM34&lt;&gt;""),AND(KO34&gt;=KS$44,KP34&gt;=KS$48,KO34&lt;&gt;""),AND(LQ34&gt;=LU$44,LR34&gt;=LU$48,LQ34&lt;&gt;""),AND(MS34&gt;=MW$44,MT34&gt;=MW$48,MS34&lt;&gt;""),AND(NU34&gt;=NY$44,NV34&gt;=NY$48,NU34&lt;&gt;""),AND(OW34&gt;=PA$44,OX34&gt;=PA$48,OW34&lt;&gt;""),AND(PY34&gt;=QC$44,PZ34&gt;=QC$48,PY34&lt;&gt;"")),"Merit",IF(OR(AND(AS34&gt;=AW$43,AT34&gt;=AW$47,AS34&lt;&gt;"",AO34=""),AND(BV34&gt;=BZ$43,BW34&gt;=BZ$47,BV34&lt;&gt;"",BR34=""),AND(CY34&gt;=DC$43,CZ34&gt;=DC$47,CY34&lt;&gt;"",CU34=""),AND(EC34&gt;=EG$43,ED34&gt;=EG$47,EC34&lt;&gt;""),AND(FE34&gt;=FI$43,FF34&gt;=FI$47,FE34&lt;&gt;""),AND(GG34&gt;=GK$43,GH34&gt;=GK$47,GG34&lt;&gt;""),AND(HI34&gt;=HM$43,HJ34&gt;=HM$47,HI34&lt;&gt;""),AND(IK34&gt;=IO$43,IL34&gt;=IO$47,IK34&lt;&gt;""),AND(JM34&gt;=JQ$43,JN34&gt;=JQ$47,JM34&lt;&gt;""),AND(KO34&gt;=KS$43,KP34&gt;=KS$47,KO34&lt;&gt;""),AND(LQ34&gt;=LU$43,LR34&gt;=LU$47,LQ34&lt;&gt;""),AND(MS34&gt;=MW$43,MT34&gt;=MW$47,MS34&lt;&gt;""),AND(NU34&gt;=NY$43,NV34&gt;=NY$47,NU34&lt;&gt;""),AND(OW34&gt;=PA$43,OX34&gt;=PA$47,OW34&lt;&gt;""),AND(PY34&gt;=QC$43,PZ34&gt;=QC$47,PY34&lt;&gt;"")),"Excellence",IF(K34="P","Worlds Team",IF(H34="P","National Team","")))))</f>
        <v/>
      </c>
      <c r="K34" s="3" t="str">
        <f>IF(OR(AND(AS34&gt;=AW$42,AT34&gt;=AW$46,AS34&lt;&gt;"",AO34=""),AND(BV34&gt;=BZ$42,BW34&gt;=BZ$46,BV34&lt;&gt;"",BR34=""),AND(CY34&gt;=DC$42,CZ34&gt;=DC$46,CY34&lt;&gt;"",CU34=""),AND(EC34&gt;=EG$42,ED34&gt;=EG$46,EC34&lt;&gt;""),AND(FE34&gt;=FI$42,FF34&gt;=FI$46,FE34&lt;&gt;""),AND(GG34&gt;=GK$42,GH34&gt;=GK$46,GG34&lt;&gt;""),AND(HI34&gt;=HM$42,HJ34&gt;=HM$46,HI34&lt;&gt;""),AND(IK34&gt;=IO$42,IL34&gt;=IO$46,IK34&lt;&gt;""),AND(JM34&gt;=JQ$42,JN34&gt;=JQ$46,JM34&lt;&gt;""),AND(KO34&gt;=KS$42,KP34&gt;=KS$46,KO34&lt;&gt;""),AND(LQ34&gt;=LU$42,LR34&gt;=LU$46,LQ34&lt;&gt;""),AND(MS34&gt;=MW$42,MT34&gt;=MW$46,MS34&lt;&gt;""),AND(NU34&gt;=NY$42,NV34&gt;=NY$46,NU34&lt;&gt;""),AND(OW34&gt;=PA$42,OX34&gt;=PA$46,OW34&lt;&gt;""),AND(PY34&gt;=QC$42,PZ34&gt;=QC$46,PY34&lt;&gt;"")),"P","")</f>
        <v/>
      </c>
      <c r="L34" s="8">
        <f>IF(COUNT(AQ34,BT34,CW34)&gt;0,LARGE((AQ34,BT34,CW34),1),0)</f>
        <v>44.300000000000004</v>
      </c>
      <c r="M34" s="8" t="str">
        <f t="shared" si="1"/>
        <v>2025 Elite Canada</v>
      </c>
      <c r="N34" s="8">
        <f>IF(COUNT(AQ34,BT34,CW34)&gt;1,LARGE((AQ34,BT34,CW34),2),0)</f>
        <v>38.899999999999991</v>
      </c>
      <c r="O34" s="8" t="str">
        <f t="shared" si="2"/>
        <v>2025 Nationals</v>
      </c>
      <c r="P34" s="8">
        <f t="shared" si="3"/>
        <v>0</v>
      </c>
      <c r="Q34" s="8" t="str">
        <f t="shared" si="4"/>
        <v/>
      </c>
      <c r="R34" s="8" t="str">
        <f t="shared" si="5"/>
        <v/>
      </c>
      <c r="S34" s="11" t="str">
        <f t="shared" si="6"/>
        <v/>
      </c>
      <c r="T34" s="8" t="str">
        <f t="shared" si="7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8"/>
        <v/>
      </c>
      <c r="AQ34" s="40" t="str">
        <f t="shared" si="9"/>
        <v/>
      </c>
      <c r="AR34" s="40" t="str">
        <f t="shared" si="10"/>
        <v/>
      </c>
      <c r="AS34" s="40" t="str">
        <f t="shared" si="11"/>
        <v/>
      </c>
      <c r="AT34" s="40" t="str">
        <f t="shared" si="12"/>
        <v/>
      </c>
      <c r="AU34" s="40" t="str">
        <f t="shared" si="13"/>
        <v/>
      </c>
      <c r="AV34" s="40" t="str">
        <f t="shared" si="14"/>
        <v/>
      </c>
      <c r="AW34" s="40" t="str">
        <f t="shared" si="15"/>
        <v/>
      </c>
      <c r="AX34" s="18">
        <v>18.600000000000001</v>
      </c>
      <c r="AY34" s="18">
        <v>7.3</v>
      </c>
      <c r="AZ34" s="18">
        <v>0</v>
      </c>
      <c r="BA34" s="18">
        <v>0</v>
      </c>
      <c r="BB34" s="18">
        <v>15.2</v>
      </c>
      <c r="BC34" s="18">
        <v>3.2</v>
      </c>
      <c r="BD34" s="18">
        <v>0</v>
      </c>
      <c r="BE34" s="18">
        <v>0</v>
      </c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>
        <f t="shared" si="16"/>
        <v>10.5</v>
      </c>
      <c r="BT34" s="11">
        <f t="shared" si="17"/>
        <v>44.300000000000004</v>
      </c>
      <c r="BU34" s="11" t="str">
        <f t="shared" si="18"/>
        <v/>
      </c>
      <c r="BV34" s="11">
        <f t="shared" si="19"/>
        <v>10.5</v>
      </c>
      <c r="BW34" s="11">
        <f t="shared" si="20"/>
        <v>44.300000000000004</v>
      </c>
      <c r="BX34" s="11" t="str">
        <f t="shared" si="21"/>
        <v/>
      </c>
      <c r="BY34" s="11" t="str">
        <f t="shared" si="22"/>
        <v/>
      </c>
      <c r="BZ34" s="11">
        <f t="shared" si="23"/>
        <v>44.300000000000004</v>
      </c>
      <c r="CA34" s="19">
        <v>15.2</v>
      </c>
      <c r="CB34" s="19">
        <v>3.2</v>
      </c>
      <c r="CC34" s="19">
        <v>0</v>
      </c>
      <c r="CD34" s="19">
        <v>0</v>
      </c>
      <c r="CE34" s="19">
        <v>15.4</v>
      </c>
      <c r="CF34" s="19">
        <v>4.8</v>
      </c>
      <c r="CG34" s="19">
        <v>0</v>
      </c>
      <c r="CH34" s="19">
        <v>0.3</v>
      </c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4"/>
        <v>8</v>
      </c>
      <c r="CW34" s="40">
        <f t="shared" si="25"/>
        <v>38.899999999999991</v>
      </c>
      <c r="CX34" s="40" t="str">
        <f t="shared" si="26"/>
        <v/>
      </c>
      <c r="CY34" s="40">
        <f t="shared" si="27"/>
        <v>8</v>
      </c>
      <c r="CZ34" s="40">
        <f t="shared" si="28"/>
        <v>38.899999999999991</v>
      </c>
      <c r="DA34" s="40" t="str">
        <f t="shared" si="29"/>
        <v/>
      </c>
      <c r="DB34" s="40" t="str">
        <f t="shared" si="30"/>
        <v/>
      </c>
      <c r="DC34" s="40">
        <f t="shared" si="31"/>
        <v>38.899999999999991</v>
      </c>
      <c r="DD34" s="50" t="str">
        <f t="shared" si="32"/>
        <v/>
      </c>
      <c r="DE34" s="50" t="str">
        <f t="shared" si="33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4"/>
        <v/>
      </c>
      <c r="EA34" s="40" t="str">
        <f t="shared" si="35"/>
        <v/>
      </c>
      <c r="EB34" s="40" t="str">
        <f t="shared" si="36"/>
        <v/>
      </c>
      <c r="EC34" s="40" t="str">
        <f t="shared" si="37"/>
        <v/>
      </c>
      <c r="ED34" s="40" t="str">
        <f t="shared" si="38"/>
        <v/>
      </c>
      <c r="EE34" s="40" t="str">
        <f t="shared" si="39"/>
        <v/>
      </c>
      <c r="EF34" s="40" t="str">
        <f t="shared" si="40"/>
        <v/>
      </c>
      <c r="EG34" s="40" t="str">
        <f t="shared" si="41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2"/>
        <v/>
      </c>
      <c r="FC34" s="11" t="str">
        <f t="shared" si="43"/>
        <v/>
      </c>
      <c r="FD34" s="11" t="str">
        <f t="shared" si="44"/>
        <v/>
      </c>
      <c r="FE34" s="11" t="str">
        <f t="shared" si="45"/>
        <v/>
      </c>
      <c r="FF34" s="11" t="str">
        <f t="shared" si="46"/>
        <v/>
      </c>
      <c r="FG34" s="11" t="str">
        <f t="shared" si="47"/>
        <v/>
      </c>
      <c r="FH34" s="11" t="str">
        <f t="shared" si="48"/>
        <v/>
      </c>
      <c r="FI34" s="11" t="str">
        <f t="shared" si="49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0"/>
        <v/>
      </c>
      <c r="GE34" s="40" t="str">
        <f t="shared" si="51"/>
        <v/>
      </c>
      <c r="GF34" s="40" t="str">
        <f t="shared" si="52"/>
        <v/>
      </c>
      <c r="GG34" s="40" t="str">
        <f t="shared" si="53"/>
        <v/>
      </c>
      <c r="GH34" s="40" t="str">
        <f t="shared" si="54"/>
        <v/>
      </c>
      <c r="GI34" s="40" t="str">
        <f t="shared" si="55"/>
        <v/>
      </c>
      <c r="GJ34" s="40" t="str">
        <f t="shared" si="56"/>
        <v/>
      </c>
      <c r="GK34" s="40" t="str">
        <f t="shared" si="57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58"/>
        <v/>
      </c>
      <c r="HG34" s="11" t="str">
        <f t="shared" si="59"/>
        <v/>
      </c>
      <c r="HH34" s="11" t="str">
        <f t="shared" si="60"/>
        <v/>
      </c>
      <c r="HI34" s="11" t="str">
        <f t="shared" si="61"/>
        <v/>
      </c>
      <c r="HJ34" s="11" t="str">
        <f t="shared" si="62"/>
        <v/>
      </c>
      <c r="HK34" s="11" t="str">
        <f t="shared" si="63"/>
        <v/>
      </c>
      <c r="HL34" s="11" t="str">
        <f t="shared" si="64"/>
        <v/>
      </c>
      <c r="HM34" s="11" t="str">
        <f t="shared" si="65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66"/>
        <v/>
      </c>
      <c r="II34" s="40" t="str">
        <f t="shared" si="67"/>
        <v/>
      </c>
      <c r="IJ34" s="40" t="str">
        <f t="shared" si="68"/>
        <v/>
      </c>
      <c r="IK34" s="40" t="str">
        <f t="shared" si="69"/>
        <v/>
      </c>
      <c r="IL34" s="40" t="str">
        <f t="shared" si="70"/>
        <v/>
      </c>
      <c r="IM34" s="40" t="str">
        <f t="shared" si="71"/>
        <v/>
      </c>
      <c r="IN34" s="40" t="str">
        <f t="shared" si="72"/>
        <v/>
      </c>
      <c r="IO34" s="40" t="str">
        <f t="shared" si="73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4"/>
        <v/>
      </c>
      <c r="JK34" s="11" t="str">
        <f t="shared" si="75"/>
        <v/>
      </c>
      <c r="JL34" s="11" t="str">
        <f t="shared" si="76"/>
        <v/>
      </c>
      <c r="JM34" s="11" t="str">
        <f t="shared" si="77"/>
        <v/>
      </c>
      <c r="JN34" s="11" t="str">
        <f t="shared" si="78"/>
        <v/>
      </c>
      <c r="JO34" s="11" t="str">
        <f t="shared" si="79"/>
        <v/>
      </c>
      <c r="JP34" s="11" t="str">
        <f t="shared" si="80"/>
        <v/>
      </c>
      <c r="JQ34" s="11" t="str">
        <f t="shared" si="81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2"/>
        <v/>
      </c>
      <c r="KM34" s="40" t="str">
        <f t="shared" si="83"/>
        <v/>
      </c>
      <c r="KN34" s="40" t="str">
        <f t="shared" si="84"/>
        <v/>
      </c>
      <c r="KO34" s="40" t="str">
        <f t="shared" si="85"/>
        <v/>
      </c>
      <c r="KP34" s="40" t="str">
        <f t="shared" si="86"/>
        <v/>
      </c>
      <c r="KQ34" s="40" t="str">
        <f t="shared" si="87"/>
        <v/>
      </c>
      <c r="KR34" s="40" t="str">
        <f t="shared" si="88"/>
        <v/>
      </c>
      <c r="KS34" s="40" t="str">
        <f t="shared" si="89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0"/>
        <v/>
      </c>
      <c r="LO34" s="11" t="str">
        <f t="shared" si="91"/>
        <v/>
      </c>
      <c r="LP34" s="11" t="str">
        <f t="shared" si="92"/>
        <v/>
      </c>
      <c r="LQ34" s="11" t="str">
        <f t="shared" si="93"/>
        <v/>
      </c>
      <c r="LR34" s="11" t="str">
        <f t="shared" si="94"/>
        <v/>
      </c>
      <c r="LS34" s="11" t="str">
        <f t="shared" si="95"/>
        <v/>
      </c>
      <c r="LT34" s="11" t="str">
        <f t="shared" si="96"/>
        <v/>
      </c>
      <c r="LU34" s="11" t="str">
        <f t="shared" si="97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98"/>
        <v/>
      </c>
      <c r="MQ34" s="40" t="str">
        <f t="shared" si="99"/>
        <v/>
      </c>
      <c r="MR34" s="40" t="str">
        <f t="shared" si="100"/>
        <v/>
      </c>
      <c r="MS34" s="40" t="str">
        <f t="shared" si="101"/>
        <v/>
      </c>
      <c r="MT34" s="40" t="str">
        <f t="shared" si="102"/>
        <v/>
      </c>
      <c r="MU34" s="40" t="str">
        <f t="shared" si="103"/>
        <v/>
      </c>
      <c r="MV34" s="40" t="str">
        <f t="shared" si="104"/>
        <v/>
      </c>
      <c r="MW34" s="40" t="str">
        <f t="shared" si="105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06"/>
        <v/>
      </c>
      <c r="NS34" s="11" t="str">
        <f t="shared" si="107"/>
        <v/>
      </c>
      <c r="NT34" s="11" t="str">
        <f t="shared" si="108"/>
        <v/>
      </c>
      <c r="NU34" s="11" t="str">
        <f t="shared" si="109"/>
        <v/>
      </c>
      <c r="NV34" s="11" t="str">
        <f t="shared" si="110"/>
        <v/>
      </c>
      <c r="NW34" s="11" t="str">
        <f t="shared" si="111"/>
        <v/>
      </c>
      <c r="NX34" s="11" t="str">
        <f t="shared" si="112"/>
        <v/>
      </c>
      <c r="NY34" s="11" t="str">
        <f t="shared" si="113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4"/>
        <v/>
      </c>
      <c r="OU34" s="40" t="str">
        <f t="shared" si="115"/>
        <v/>
      </c>
      <c r="OV34" s="40" t="str">
        <f t="shared" si="116"/>
        <v/>
      </c>
      <c r="OW34" s="40" t="str">
        <f t="shared" si="117"/>
        <v/>
      </c>
      <c r="OX34" s="40" t="str">
        <f t="shared" si="118"/>
        <v/>
      </c>
      <c r="OY34" s="40" t="str">
        <f t="shared" si="119"/>
        <v/>
      </c>
      <c r="OZ34" s="40" t="str">
        <f t="shared" si="120"/>
        <v/>
      </c>
      <c r="PA34" s="40" t="str">
        <f t="shared" si="121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2"/>
        <v/>
      </c>
      <c r="PW34" s="11" t="str">
        <f t="shared" si="123"/>
        <v/>
      </c>
      <c r="PX34" s="11" t="str">
        <f t="shared" si="124"/>
        <v/>
      </c>
      <c r="PY34" s="11" t="str">
        <f t="shared" si="125"/>
        <v/>
      </c>
      <c r="PZ34" s="11" t="str">
        <f t="shared" si="126"/>
        <v/>
      </c>
      <c r="QA34" s="11" t="str">
        <f t="shared" si="127"/>
        <v/>
      </c>
      <c r="QB34" s="11" t="str">
        <f t="shared" si="128"/>
        <v/>
      </c>
      <c r="QC34" s="11" t="str">
        <f t="shared" si="129"/>
        <v/>
      </c>
      <c r="QD34" s="22">
        <f t="shared" si="130"/>
        <v>16.899999999999999</v>
      </c>
      <c r="QE34" s="22">
        <f t="shared" si="131"/>
        <v>5.25</v>
      </c>
      <c r="QF34" s="22">
        <f t="shared" si="132"/>
        <v>0</v>
      </c>
      <c r="QG34" s="22">
        <f t="shared" si="133"/>
        <v>0</v>
      </c>
      <c r="QH34" s="22">
        <f t="shared" si="134"/>
        <v>15.3</v>
      </c>
      <c r="QI34" s="22">
        <f t="shared" si="135"/>
        <v>4</v>
      </c>
      <c r="QJ34" s="22">
        <f t="shared" si="136"/>
        <v>0</v>
      </c>
      <c r="QK34" s="22">
        <f t="shared" si="137"/>
        <v>0.15</v>
      </c>
      <c r="QL34" s="22">
        <f t="shared" si="138"/>
        <v>0</v>
      </c>
      <c r="QM34" s="22">
        <f t="shared" si="139"/>
        <v>0</v>
      </c>
      <c r="QN34" s="22">
        <f t="shared" si="140"/>
        <v>0</v>
      </c>
      <c r="QO34" s="22">
        <f t="shared" si="141"/>
        <v>0</v>
      </c>
      <c r="QP34" s="22">
        <f t="shared" si="142"/>
        <v>0</v>
      </c>
      <c r="QQ34" s="22">
        <f t="shared" si="143"/>
        <v>0</v>
      </c>
      <c r="QR34" s="22">
        <f t="shared" si="144"/>
        <v>0</v>
      </c>
      <c r="QS34" s="22">
        <f t="shared" si="145"/>
        <v>0</v>
      </c>
      <c r="QT34" s="22">
        <f t="shared" si="146"/>
        <v>0</v>
      </c>
      <c r="QU34" s="22">
        <f t="shared" si="147"/>
        <v>0</v>
      </c>
      <c r="QV34" s="22">
        <f t="shared" si="148"/>
        <v>0</v>
      </c>
      <c r="QW34" s="22">
        <f t="shared" si="149"/>
        <v>0</v>
      </c>
      <c r="QX34" s="27" t="s">
        <v>46</v>
      </c>
      <c r="QY34" s="40">
        <f t="shared" si="150"/>
        <v>9.25</v>
      </c>
      <c r="QZ34" s="40">
        <f t="shared" si="151"/>
        <v>41.6</v>
      </c>
      <c r="RA34" s="40" t="str">
        <f t="shared" si="152"/>
        <v/>
      </c>
      <c r="RB34" s="40">
        <f t="shared" si="153"/>
        <v>9.25</v>
      </c>
      <c r="RC34" s="40">
        <f t="shared" si="154"/>
        <v>41.6</v>
      </c>
      <c r="RD34" s="40" t="str">
        <f t="shared" si="155"/>
        <v/>
      </c>
      <c r="RE34" s="40" t="str">
        <f t="shared" si="156"/>
        <v/>
      </c>
      <c r="RF34" s="40">
        <f t="shared" si="157"/>
        <v>41.6</v>
      </c>
    </row>
    <row r="35" spans="1:474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203</v>
      </c>
      <c r="D35" s="4" t="s">
        <v>5</v>
      </c>
      <c r="E35" s="4">
        <v>2008</v>
      </c>
      <c r="F35" s="9">
        <f t="shared" si="0"/>
        <v>80.200003540003522</v>
      </c>
      <c r="G35" s="64"/>
      <c r="H35" s="3" t="str">
        <f>IF(OR(AND(AP35&gt;=AW$41,AQ35&gt;=AW$45,AP35&lt;&gt;"",AO35=""),AND(AU35&gt;=AW$41,AV35&gt;=AW$45,AU35&lt;&gt;"",AO35=""),AND(BS35&gt;=BZ$41,BT35&gt;=BZ$45,BS35&lt;&gt;"",BR35=""),AND(BX35&gt;=BZ$41,BY35&gt;=BZ$45,BX35&lt;&gt;"",BR35=""),AND(CV35&gt;=DC$41,CW35&gt;=DC$45,CV35&lt;&gt;"",CU35=""),AND(DA35&gt;=DC$41,DB35&gt;=DC$45,DA35&lt;&gt;""),AND(DZ35&gt;=EG$41,EA35&gt;=EG$45,DZ35&lt;&gt;""),AND(EE35&gt;=EG$41,EF35&gt;=EG$45,EE35&lt;&gt;""),AND(FB35&gt;=FI$41,FC35&gt;=FI$45,FB35&lt;&gt;""),AND(FG35&gt;=FI$41,FH35&gt;=FI$45,FG35&lt;&gt;""),AND(GD35&gt;=GK$41,GE35&gt;=GK$45,GD35&lt;&gt;""),AND(GI35&gt;=GK$41,GJ35&gt;=GK$45,GI35&lt;&gt;""),AND(HF35&gt;=HM$41,HG35&gt;=HM$45,HF35&lt;&gt;""),AND(HK35&gt;=HM$41,HL35&gt;=HM$45,HK35&lt;&gt;""),AND(IH35&gt;=IO$41,II35&gt;=IO$45,IH35&lt;&gt;""),AND(IM35&gt;=IO$41,IN35&gt;=IO$45,IM35&lt;&gt;""),AND(JJ35&gt;=JQ$41,JK35&gt;=JQ$45,JJ35&lt;&gt;""),AND(JO35&gt;=JQ$41,JP35&gt;=JQ$45,JO35&lt;&gt;""),AND(KL35&gt;=KS$41,KM35&gt;=KS$45,KL35&lt;&gt;""),AND(KQ35&gt;=KS$41,KR35&gt;=KS$45,KQ35&lt;&gt;""),AND(LN35&gt;=LU$41,LO35&gt;=LU$45,LN35&lt;&gt;""),AND(LS35&gt;=LU$41,LT35&gt;=LU$45,LS35&lt;&gt;""),AND(MP35&gt;=MW$41,MQ35&gt;=MW$45,MP35&lt;&gt;""),AND(MU35&gt;=MW$41,MV35&gt;=MW$45,MU35&lt;&gt;""),AND(NR35&gt;=NY$41,NS35&gt;=NY$45,NR35&lt;&gt;""),AND(NW35&gt;=NY$41,NX35&gt;=NY$45,NW35&lt;&gt;""),AND(OT35&gt;=PA$41,OU35&gt;=PA$45,OT35&lt;&gt;""),AND(OY35&gt;=PA$41,OZ35&gt;=PA$45,OY35&lt;&gt;""),AND(PV35&gt;=QC$41,PW35&gt;=QC$45,PV35&lt;&gt;""),AND(QA35&gt;=QC$41,QB35&gt;=QC$45,QA35&lt;&gt;"")),"P","")</f>
        <v/>
      </c>
      <c r="I35" s="3" t="str">
        <f>IF(OR(AND(AQ35&gt;=AW$45,AQ35&lt;&gt;"",AO35=""),AND(AV35&gt;=AW$45,AV35&lt;&gt;"",AO35=""),AND(BT35&gt;=BZ$45,BT35&lt;&gt;"",BR35=""),AND(BY35&gt;=BZ$45,BY35&lt;&gt;"",BR35=""),AND(CW35&gt;=DC$45,CW35&lt;&gt;"",CU35=""),AND(DB35&gt;=DC$45,DB35&lt;&gt;"",CU35=""),AND(EA35&gt;=EG$45,EA35&lt;&gt;""),AND(EF35&gt;=EG$45,EF35&lt;&gt;""),AND(FC35&gt;=FI$45,FC35&lt;&gt;""),AND(FH35&gt;=FI$45,FH35&lt;&gt;""),AND(GE35&gt;=GK$45,GE35&lt;&gt;""),AND(GJ35&gt;=GK$45,GJ35&lt;&gt;""),AND(HG35&gt;=HM$45,HG35&lt;&gt;""),AND(HL35&gt;=HM$45,HL35&lt;&gt;""),AND(II35&gt;=IO$45,II35&lt;&gt;""),AND(IN35&gt;=IO$45,IN35&lt;&gt;""),AND(JK35&gt;=JQ$45,JK35&lt;&gt;""),AND(JP35&gt;=JQ$45,JP35&lt;&gt;""),AND(KM35&gt;=KS$45,KM35&lt;&gt;""),AND(KR35&gt;=KS$45,KR35&lt;&gt;""),AND(LO35&gt;=LU$45,LO35&lt;&gt;""),AND(LT35&gt;=LU$45,LT35&lt;&gt;""),AND(MQ35&gt;=MW$45,MQ35&lt;&gt;""),AND(MV35&gt;=MW$45,MV35&lt;&gt;""),AND(NS35&gt;=NY$45,NS35&lt;&gt;""),AND(NX35&gt;=NY$45,NX35&lt;&gt;""),AND(OU35&gt;=PA$45,OU35&lt;&gt;""),AND(OZ35&gt;=PA$45,OZ35&lt;&gt;""),AND(PW35&gt;=QC$45,PW35&lt;&gt;""),AND(QB35&gt;=QC$45,QB35&lt;&gt;"")),"P","")</f>
        <v/>
      </c>
      <c r="J35" s="36" t="str">
        <f>IF(AND(I35="P",H35=""),"No DD",IF(OR(AND(AS35&gt;=AW$44,AT35&gt;=AW$48,AS35&lt;&gt;"",AO35=""),AND(BV35&gt;=BZ$44,BW35&gt;=BZ$48,BV35&lt;&gt;"",BR35=""),AND(CY35&gt;=DC$44,CZ35&gt;=DC$48,CY35&lt;&gt;"",CU35=""),AND(EC35&gt;=EG$44,ED35&gt;=EG$48,EC35&lt;&gt;""),AND(FE35&gt;=FI$44,FF35&gt;=FI$48,FE35&lt;&gt;""),AND(GG35&gt;=GK$44,GH35&gt;=GK$48,GG35&lt;&gt;""),AND(HI35&gt;=HM$44,HJ35&gt;=HM$48,HI35&lt;&gt;""),AND(IK35&gt;=IO$44,IL35&gt;=IO$48,IK35&lt;&gt;""),AND(JM35&gt;=JQ$44,JN35&gt;=JQ$48,JM35&lt;&gt;""),AND(KO35&gt;=KS$44,KP35&gt;=KS$48,KO35&lt;&gt;""),AND(LQ35&gt;=LU$44,LR35&gt;=LU$48,LQ35&lt;&gt;""),AND(MS35&gt;=MW$44,MT35&gt;=MW$48,MS35&lt;&gt;""),AND(NU35&gt;=NY$44,NV35&gt;=NY$48,NU35&lt;&gt;""),AND(OW35&gt;=PA$44,OX35&gt;=PA$48,OW35&lt;&gt;""),AND(PY35&gt;=QC$44,PZ35&gt;=QC$48,PY35&lt;&gt;"")),"Merit",IF(OR(AND(AS35&gt;=AW$43,AT35&gt;=AW$47,AS35&lt;&gt;"",AO35=""),AND(BV35&gt;=BZ$43,BW35&gt;=BZ$47,BV35&lt;&gt;"",BR35=""),AND(CY35&gt;=DC$43,CZ35&gt;=DC$47,CY35&lt;&gt;"",CU35=""),AND(EC35&gt;=EG$43,ED35&gt;=EG$47,EC35&lt;&gt;""),AND(FE35&gt;=FI$43,FF35&gt;=FI$47,FE35&lt;&gt;""),AND(GG35&gt;=GK$43,GH35&gt;=GK$47,GG35&lt;&gt;""),AND(HI35&gt;=HM$43,HJ35&gt;=HM$47,HI35&lt;&gt;""),AND(IK35&gt;=IO$43,IL35&gt;=IO$47,IK35&lt;&gt;""),AND(JM35&gt;=JQ$43,JN35&gt;=JQ$47,JM35&lt;&gt;""),AND(KO35&gt;=KS$43,KP35&gt;=KS$47,KO35&lt;&gt;""),AND(LQ35&gt;=LU$43,LR35&gt;=LU$47,LQ35&lt;&gt;""),AND(MS35&gt;=MW$43,MT35&gt;=MW$47,MS35&lt;&gt;""),AND(NU35&gt;=NY$43,NV35&gt;=NY$47,NU35&lt;&gt;""),AND(OW35&gt;=PA$43,OX35&gt;=PA$47,OW35&lt;&gt;""),AND(PY35&gt;=QC$43,PZ35&gt;=QC$47,PY35&lt;&gt;"")),"Excellence",IF(K35="P","Worlds Team",IF(H35="P","National Team","")))))</f>
        <v/>
      </c>
      <c r="K35" s="3" t="str">
        <f>IF(OR(AND(AS35&gt;=AW$42,AT35&gt;=AW$46,AS35&lt;&gt;"",AO35=""),AND(BV35&gt;=BZ$42,BW35&gt;=BZ$46,BV35&lt;&gt;"",BR35=""),AND(CY35&gt;=DC$42,CZ35&gt;=DC$46,CY35&lt;&gt;"",CU35=""),AND(EC35&gt;=EG$42,ED35&gt;=EG$46,EC35&lt;&gt;""),AND(FE35&gt;=FI$42,FF35&gt;=FI$46,FE35&lt;&gt;""),AND(GG35&gt;=GK$42,GH35&gt;=GK$46,GG35&lt;&gt;""),AND(HI35&gt;=HM$42,HJ35&gt;=HM$46,HI35&lt;&gt;""),AND(IK35&gt;=IO$42,IL35&gt;=IO$46,IK35&lt;&gt;""),AND(JM35&gt;=JQ$42,JN35&gt;=JQ$46,JM35&lt;&gt;""),AND(KO35&gt;=KS$42,KP35&gt;=KS$46,KO35&lt;&gt;""),AND(LQ35&gt;=LU$42,LR35&gt;=LU$46,LQ35&lt;&gt;""),AND(MS35&gt;=MW$42,MT35&gt;=MW$46,MS35&lt;&gt;""),AND(NU35&gt;=NY$42,NV35&gt;=NY$46,NU35&lt;&gt;""),AND(OW35&gt;=PA$42,OX35&gt;=PA$46,OW35&lt;&gt;""),AND(PY35&gt;=QC$42,PZ35&gt;=QC$46,PY35&lt;&gt;"")),"P","")</f>
        <v/>
      </c>
      <c r="L35" s="8">
        <f>IF(COUNT(AQ35,BT35,CW35)&gt;0,LARGE((AQ35,BT35,CW35),1),0)</f>
        <v>35.399999999999991</v>
      </c>
      <c r="M35" s="8" t="str">
        <f t="shared" si="1"/>
        <v>2025 Nationals</v>
      </c>
      <c r="N35" s="8">
        <f>IF(COUNT(AQ35,BT35,CW35)&gt;1,LARGE((AQ35,BT35,CW35),2),0)</f>
        <v>0</v>
      </c>
      <c r="O35" s="8" t="str">
        <f t="shared" si="2"/>
        <v/>
      </c>
      <c r="P35" s="8">
        <f t="shared" si="3"/>
        <v>44.8</v>
      </c>
      <c r="Q35" s="8" t="str">
        <f t="shared" si="4"/>
        <v>2025 Nationals</v>
      </c>
      <c r="R35" s="8" t="str">
        <f t="shared" si="5"/>
        <v/>
      </c>
      <c r="S35" s="11" t="str">
        <f t="shared" si="6"/>
        <v/>
      </c>
      <c r="T35" s="8" t="str">
        <f t="shared" si="7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8"/>
        <v/>
      </c>
      <c r="AQ35" s="40" t="str">
        <f t="shared" si="9"/>
        <v/>
      </c>
      <c r="AR35" s="40" t="str">
        <f t="shared" si="10"/>
        <v/>
      </c>
      <c r="AS35" s="40" t="str">
        <f t="shared" si="11"/>
        <v/>
      </c>
      <c r="AT35" s="40" t="str">
        <f t="shared" si="12"/>
        <v/>
      </c>
      <c r="AU35" s="40" t="str">
        <f t="shared" si="13"/>
        <v/>
      </c>
      <c r="AV35" s="40" t="str">
        <f t="shared" si="14"/>
        <v/>
      </c>
      <c r="AW35" s="40" t="str">
        <f t="shared" si="15"/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16"/>
        <v/>
      </c>
      <c r="BT35" s="11" t="str">
        <f t="shared" si="17"/>
        <v/>
      </c>
      <c r="BU35" s="11" t="str">
        <f t="shared" si="18"/>
        <v/>
      </c>
      <c r="BV35" s="11" t="str">
        <f t="shared" si="19"/>
        <v/>
      </c>
      <c r="BW35" s="11" t="str">
        <f t="shared" si="20"/>
        <v/>
      </c>
      <c r="BX35" s="11" t="str">
        <f t="shared" si="21"/>
        <v/>
      </c>
      <c r="BY35" s="11" t="str">
        <f t="shared" si="22"/>
        <v/>
      </c>
      <c r="BZ35" s="11" t="str">
        <f t="shared" si="23"/>
        <v/>
      </c>
      <c r="CA35" s="19">
        <v>15</v>
      </c>
      <c r="CB35" s="19">
        <v>2.4</v>
      </c>
      <c r="CC35" s="19">
        <v>0</v>
      </c>
      <c r="CD35" s="19">
        <v>0</v>
      </c>
      <c r="CE35" s="19">
        <v>15.2</v>
      </c>
      <c r="CF35" s="19">
        <v>2.8</v>
      </c>
      <c r="CG35" s="19">
        <v>0</v>
      </c>
      <c r="CH35" s="19">
        <v>0</v>
      </c>
      <c r="CI35" s="19"/>
      <c r="CJ35" s="19"/>
      <c r="CK35" s="19"/>
      <c r="CL35" s="19"/>
      <c r="CM35" s="19">
        <v>18.100000000000001</v>
      </c>
      <c r="CN35" s="19">
        <v>4.4000000000000004</v>
      </c>
      <c r="CO35" s="19">
        <v>0.8</v>
      </c>
      <c r="CP35" s="19">
        <v>0</v>
      </c>
      <c r="CQ35" s="19">
        <v>18.3</v>
      </c>
      <c r="CR35" s="19">
        <v>5.6</v>
      </c>
      <c r="CS35" s="19">
        <v>0.8</v>
      </c>
      <c r="CT35" s="19">
        <v>0</v>
      </c>
      <c r="CU35" s="27"/>
      <c r="CV35" s="40">
        <f t="shared" si="24"/>
        <v>5.1999999999999993</v>
      </c>
      <c r="CW35" s="40">
        <f t="shared" si="25"/>
        <v>35.399999999999991</v>
      </c>
      <c r="CX35" s="40" t="str">
        <f t="shared" si="26"/>
        <v/>
      </c>
      <c r="CY35" s="40">
        <f t="shared" si="27"/>
        <v>5.1999999999999993</v>
      </c>
      <c r="CZ35" s="40">
        <f t="shared" si="28"/>
        <v>35.399999999999991</v>
      </c>
      <c r="DA35" s="40">
        <f t="shared" si="29"/>
        <v>10</v>
      </c>
      <c r="DB35" s="40">
        <f t="shared" si="30"/>
        <v>44.8</v>
      </c>
      <c r="DC35" s="40">
        <f t="shared" si="31"/>
        <v>80.199999999999989</v>
      </c>
      <c r="DD35" s="50" t="str">
        <f t="shared" si="32"/>
        <v/>
      </c>
      <c r="DE35" s="50" t="str">
        <f t="shared" si="33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4"/>
        <v/>
      </c>
      <c r="EA35" s="40" t="str">
        <f t="shared" si="35"/>
        <v/>
      </c>
      <c r="EB35" s="40" t="str">
        <f t="shared" si="36"/>
        <v/>
      </c>
      <c r="EC35" s="40" t="str">
        <f t="shared" si="37"/>
        <v/>
      </c>
      <c r="ED35" s="40" t="str">
        <f t="shared" si="38"/>
        <v/>
      </c>
      <c r="EE35" s="40" t="str">
        <f t="shared" si="39"/>
        <v/>
      </c>
      <c r="EF35" s="40" t="str">
        <f t="shared" si="40"/>
        <v/>
      </c>
      <c r="EG35" s="40" t="str">
        <f t="shared" si="41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2"/>
        <v/>
      </c>
      <c r="FC35" s="11" t="str">
        <f t="shared" si="43"/>
        <v/>
      </c>
      <c r="FD35" s="11" t="str">
        <f t="shared" si="44"/>
        <v/>
      </c>
      <c r="FE35" s="11" t="str">
        <f t="shared" si="45"/>
        <v/>
      </c>
      <c r="FF35" s="11" t="str">
        <f t="shared" si="46"/>
        <v/>
      </c>
      <c r="FG35" s="11" t="str">
        <f t="shared" si="47"/>
        <v/>
      </c>
      <c r="FH35" s="11" t="str">
        <f t="shared" si="48"/>
        <v/>
      </c>
      <c r="FI35" s="11" t="str">
        <f t="shared" si="49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0"/>
        <v/>
      </c>
      <c r="GE35" s="40" t="str">
        <f t="shared" si="51"/>
        <v/>
      </c>
      <c r="GF35" s="40" t="str">
        <f t="shared" si="52"/>
        <v/>
      </c>
      <c r="GG35" s="40" t="str">
        <f t="shared" si="53"/>
        <v/>
      </c>
      <c r="GH35" s="40" t="str">
        <f t="shared" si="54"/>
        <v/>
      </c>
      <c r="GI35" s="40" t="str">
        <f t="shared" si="55"/>
        <v/>
      </c>
      <c r="GJ35" s="40" t="str">
        <f t="shared" si="56"/>
        <v/>
      </c>
      <c r="GK35" s="40" t="str">
        <f t="shared" si="57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58"/>
        <v/>
      </c>
      <c r="HG35" s="11" t="str">
        <f t="shared" si="59"/>
        <v/>
      </c>
      <c r="HH35" s="11" t="str">
        <f t="shared" si="60"/>
        <v/>
      </c>
      <c r="HI35" s="11" t="str">
        <f t="shared" si="61"/>
        <v/>
      </c>
      <c r="HJ35" s="11" t="str">
        <f t="shared" si="62"/>
        <v/>
      </c>
      <c r="HK35" s="11" t="str">
        <f t="shared" si="63"/>
        <v/>
      </c>
      <c r="HL35" s="11" t="str">
        <f t="shared" si="64"/>
        <v/>
      </c>
      <c r="HM35" s="11" t="str">
        <f t="shared" si="65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66"/>
        <v/>
      </c>
      <c r="II35" s="40" t="str">
        <f t="shared" si="67"/>
        <v/>
      </c>
      <c r="IJ35" s="40" t="str">
        <f t="shared" si="68"/>
        <v/>
      </c>
      <c r="IK35" s="40" t="str">
        <f t="shared" si="69"/>
        <v/>
      </c>
      <c r="IL35" s="40" t="str">
        <f t="shared" si="70"/>
        <v/>
      </c>
      <c r="IM35" s="40" t="str">
        <f t="shared" si="71"/>
        <v/>
      </c>
      <c r="IN35" s="40" t="str">
        <f t="shared" si="72"/>
        <v/>
      </c>
      <c r="IO35" s="40" t="str">
        <f t="shared" si="73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4"/>
        <v/>
      </c>
      <c r="JK35" s="11" t="str">
        <f t="shared" si="75"/>
        <v/>
      </c>
      <c r="JL35" s="11" t="str">
        <f t="shared" si="76"/>
        <v/>
      </c>
      <c r="JM35" s="11" t="str">
        <f t="shared" si="77"/>
        <v/>
      </c>
      <c r="JN35" s="11" t="str">
        <f t="shared" si="78"/>
        <v/>
      </c>
      <c r="JO35" s="11" t="str">
        <f t="shared" si="79"/>
        <v/>
      </c>
      <c r="JP35" s="11" t="str">
        <f t="shared" si="80"/>
        <v/>
      </c>
      <c r="JQ35" s="11" t="str">
        <f t="shared" si="81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2"/>
        <v/>
      </c>
      <c r="KM35" s="40" t="str">
        <f t="shared" si="83"/>
        <v/>
      </c>
      <c r="KN35" s="40" t="str">
        <f t="shared" si="84"/>
        <v/>
      </c>
      <c r="KO35" s="40" t="str">
        <f t="shared" si="85"/>
        <v/>
      </c>
      <c r="KP35" s="40" t="str">
        <f t="shared" si="86"/>
        <v/>
      </c>
      <c r="KQ35" s="40" t="str">
        <f t="shared" si="87"/>
        <v/>
      </c>
      <c r="KR35" s="40" t="str">
        <f t="shared" si="88"/>
        <v/>
      </c>
      <c r="KS35" s="40" t="str">
        <f t="shared" si="89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0"/>
        <v/>
      </c>
      <c r="LO35" s="11" t="str">
        <f t="shared" si="91"/>
        <v/>
      </c>
      <c r="LP35" s="11" t="str">
        <f t="shared" si="92"/>
        <v/>
      </c>
      <c r="LQ35" s="11" t="str">
        <f t="shared" si="93"/>
        <v/>
      </c>
      <c r="LR35" s="11" t="str">
        <f t="shared" si="94"/>
        <v/>
      </c>
      <c r="LS35" s="11" t="str">
        <f t="shared" si="95"/>
        <v/>
      </c>
      <c r="LT35" s="11" t="str">
        <f t="shared" si="96"/>
        <v/>
      </c>
      <c r="LU35" s="11" t="str">
        <f t="shared" si="97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98"/>
        <v/>
      </c>
      <c r="MQ35" s="40" t="str">
        <f t="shared" si="99"/>
        <v/>
      </c>
      <c r="MR35" s="40" t="str">
        <f t="shared" si="100"/>
        <v/>
      </c>
      <c r="MS35" s="40" t="str">
        <f t="shared" si="101"/>
        <v/>
      </c>
      <c r="MT35" s="40" t="str">
        <f t="shared" si="102"/>
        <v/>
      </c>
      <c r="MU35" s="40" t="str">
        <f t="shared" si="103"/>
        <v/>
      </c>
      <c r="MV35" s="40" t="str">
        <f t="shared" si="104"/>
        <v/>
      </c>
      <c r="MW35" s="40" t="str">
        <f t="shared" si="105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06"/>
        <v/>
      </c>
      <c r="NS35" s="11" t="str">
        <f t="shared" si="107"/>
        <v/>
      </c>
      <c r="NT35" s="11" t="str">
        <f t="shared" si="108"/>
        <v/>
      </c>
      <c r="NU35" s="11" t="str">
        <f t="shared" si="109"/>
        <v/>
      </c>
      <c r="NV35" s="11" t="str">
        <f t="shared" si="110"/>
        <v/>
      </c>
      <c r="NW35" s="11" t="str">
        <f t="shared" si="111"/>
        <v/>
      </c>
      <c r="NX35" s="11" t="str">
        <f t="shared" si="112"/>
        <v/>
      </c>
      <c r="NY35" s="11" t="str">
        <f t="shared" si="113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4"/>
        <v/>
      </c>
      <c r="OU35" s="40" t="str">
        <f t="shared" si="115"/>
        <v/>
      </c>
      <c r="OV35" s="40" t="str">
        <f t="shared" si="116"/>
        <v/>
      </c>
      <c r="OW35" s="40" t="str">
        <f t="shared" si="117"/>
        <v/>
      </c>
      <c r="OX35" s="40" t="str">
        <f t="shared" si="118"/>
        <v/>
      </c>
      <c r="OY35" s="40" t="str">
        <f t="shared" si="119"/>
        <v/>
      </c>
      <c r="OZ35" s="40" t="str">
        <f t="shared" si="120"/>
        <v/>
      </c>
      <c r="PA35" s="40" t="str">
        <f t="shared" si="121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2"/>
        <v/>
      </c>
      <c r="PW35" s="11" t="str">
        <f t="shared" si="123"/>
        <v/>
      </c>
      <c r="PX35" s="11" t="str">
        <f t="shared" si="124"/>
        <v/>
      </c>
      <c r="PY35" s="11" t="str">
        <f t="shared" si="125"/>
        <v/>
      </c>
      <c r="PZ35" s="11" t="str">
        <f t="shared" si="126"/>
        <v/>
      </c>
      <c r="QA35" s="11" t="str">
        <f t="shared" si="127"/>
        <v/>
      </c>
      <c r="QB35" s="11" t="str">
        <f t="shared" si="128"/>
        <v/>
      </c>
      <c r="QC35" s="11" t="str">
        <f t="shared" si="129"/>
        <v/>
      </c>
      <c r="QD35" s="22">
        <f t="shared" si="130"/>
        <v>7.5</v>
      </c>
      <c r="QE35" s="22">
        <f t="shared" si="131"/>
        <v>1.2</v>
      </c>
      <c r="QF35" s="22">
        <f t="shared" si="132"/>
        <v>0</v>
      </c>
      <c r="QG35" s="22">
        <f t="shared" si="133"/>
        <v>0</v>
      </c>
      <c r="QH35" s="22">
        <f t="shared" si="134"/>
        <v>7.6</v>
      </c>
      <c r="QI35" s="22">
        <f t="shared" si="135"/>
        <v>1.4</v>
      </c>
      <c r="QJ35" s="22">
        <f t="shared" si="136"/>
        <v>0</v>
      </c>
      <c r="QK35" s="22">
        <f t="shared" si="137"/>
        <v>0</v>
      </c>
      <c r="QL35" s="22">
        <f t="shared" si="138"/>
        <v>0</v>
      </c>
      <c r="QM35" s="22">
        <f t="shared" si="139"/>
        <v>0</v>
      </c>
      <c r="QN35" s="22">
        <f t="shared" si="140"/>
        <v>0</v>
      </c>
      <c r="QO35" s="22">
        <f t="shared" si="141"/>
        <v>0</v>
      </c>
      <c r="QP35" s="22">
        <f t="shared" si="142"/>
        <v>9.0500000000000007</v>
      </c>
      <c r="QQ35" s="22">
        <f t="shared" si="143"/>
        <v>2.2000000000000002</v>
      </c>
      <c r="QR35" s="22">
        <f t="shared" si="144"/>
        <v>0.4</v>
      </c>
      <c r="QS35" s="22">
        <f t="shared" si="145"/>
        <v>0</v>
      </c>
      <c r="QT35" s="22">
        <f t="shared" si="146"/>
        <v>9.15</v>
      </c>
      <c r="QU35" s="22">
        <f t="shared" si="147"/>
        <v>2.8</v>
      </c>
      <c r="QV35" s="22">
        <f t="shared" si="148"/>
        <v>0.4</v>
      </c>
      <c r="QW35" s="22">
        <f t="shared" si="149"/>
        <v>0</v>
      </c>
      <c r="QX35" s="27" t="s">
        <v>46</v>
      </c>
      <c r="QY35" s="40">
        <f t="shared" si="150"/>
        <v>2.5999999999999996</v>
      </c>
      <c r="QZ35" s="40">
        <f t="shared" si="151"/>
        <v>17.699999999999996</v>
      </c>
      <c r="RA35" s="40" t="str">
        <f t="shared" si="152"/>
        <v/>
      </c>
      <c r="RB35" s="40">
        <f t="shared" si="153"/>
        <v>2.5999999999999996</v>
      </c>
      <c r="RC35" s="40">
        <f t="shared" si="154"/>
        <v>17.699999999999996</v>
      </c>
      <c r="RD35" s="40">
        <f t="shared" si="155"/>
        <v>5</v>
      </c>
      <c r="RE35" s="40">
        <f t="shared" si="156"/>
        <v>22.4</v>
      </c>
      <c r="RF35" s="40">
        <f t="shared" si="157"/>
        <v>40.099999999999994</v>
      </c>
    </row>
    <row r="36" spans="1:474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153</v>
      </c>
      <c r="D36" s="4" t="s">
        <v>6</v>
      </c>
      <c r="E36" s="4">
        <v>2005</v>
      </c>
      <c r="F36" s="9">
        <f t="shared" si="0"/>
        <v>47.3</v>
      </c>
      <c r="G36" s="64"/>
      <c r="H36" s="3" t="str">
        <f>IF(OR(AND(AP36&gt;=AW$41,AQ36&gt;=AW$45,AP36&lt;&gt;"",AO36=""),AND(AU36&gt;=AW$41,AV36&gt;=AW$45,AU36&lt;&gt;"",AO36=""),AND(BS36&gt;=BZ$41,BT36&gt;=BZ$45,BS36&lt;&gt;"",BR36=""),AND(BX36&gt;=BZ$41,BY36&gt;=BZ$45,BX36&lt;&gt;"",BR36=""),AND(CV36&gt;=DC$41,CW36&gt;=DC$45,CV36&lt;&gt;"",CU36=""),AND(DA36&gt;=DC$41,DB36&gt;=DC$45,DA36&lt;&gt;""),AND(DZ36&gt;=EG$41,EA36&gt;=EG$45,DZ36&lt;&gt;""),AND(EE36&gt;=EG$41,EF36&gt;=EG$45,EE36&lt;&gt;""),AND(FB36&gt;=FI$41,FC36&gt;=FI$45,FB36&lt;&gt;""),AND(FG36&gt;=FI$41,FH36&gt;=FI$45,FG36&lt;&gt;""),AND(GD36&gt;=GK$41,GE36&gt;=GK$45,GD36&lt;&gt;""),AND(GI36&gt;=GK$41,GJ36&gt;=GK$45,GI36&lt;&gt;""),AND(HF36&gt;=HM$41,HG36&gt;=HM$45,HF36&lt;&gt;""),AND(HK36&gt;=HM$41,HL36&gt;=HM$45,HK36&lt;&gt;""),AND(IH36&gt;=IO$41,II36&gt;=IO$45,IH36&lt;&gt;""),AND(IM36&gt;=IO$41,IN36&gt;=IO$45,IM36&lt;&gt;""),AND(JJ36&gt;=JQ$41,JK36&gt;=JQ$45,JJ36&lt;&gt;""),AND(JO36&gt;=JQ$41,JP36&gt;=JQ$45,JO36&lt;&gt;""),AND(KL36&gt;=KS$41,KM36&gt;=KS$45,KL36&lt;&gt;""),AND(KQ36&gt;=KS$41,KR36&gt;=KS$45,KQ36&lt;&gt;""),AND(LN36&gt;=LU$41,LO36&gt;=LU$45,LN36&lt;&gt;""),AND(LS36&gt;=LU$41,LT36&gt;=LU$45,LS36&lt;&gt;""),AND(MP36&gt;=MW$41,MQ36&gt;=MW$45,MP36&lt;&gt;""),AND(MU36&gt;=MW$41,MV36&gt;=MW$45,MU36&lt;&gt;""),AND(NR36&gt;=NY$41,NS36&gt;=NY$45,NR36&lt;&gt;""),AND(NW36&gt;=NY$41,NX36&gt;=NY$45,NW36&lt;&gt;""),AND(OT36&gt;=PA$41,OU36&gt;=PA$45,OT36&lt;&gt;""),AND(OY36&gt;=PA$41,OZ36&gt;=PA$45,OY36&lt;&gt;""),AND(PV36&gt;=QC$41,PW36&gt;=QC$45,PV36&lt;&gt;""),AND(QA36&gt;=QC$41,QB36&gt;=QC$45,QA36&lt;&gt;"")),"P","")</f>
        <v/>
      </c>
      <c r="I36" s="3" t="str">
        <f>IF(OR(AND(AQ36&gt;=AW$45,AQ36&lt;&gt;"",AO36=""),AND(AV36&gt;=AW$45,AV36&lt;&gt;"",AO36=""),AND(BT36&gt;=BZ$45,BT36&lt;&gt;"",BR36=""),AND(BY36&gt;=BZ$45,BY36&lt;&gt;"",BR36=""),AND(CW36&gt;=DC$45,CW36&lt;&gt;"",CU36=""),AND(DB36&gt;=DC$45,DB36&lt;&gt;"",CU36=""),AND(EA36&gt;=EG$45,EA36&lt;&gt;""),AND(EF36&gt;=EG$45,EF36&lt;&gt;""),AND(FC36&gt;=FI$45,FC36&lt;&gt;""),AND(FH36&gt;=FI$45,FH36&lt;&gt;""),AND(GE36&gt;=GK$45,GE36&lt;&gt;""),AND(GJ36&gt;=GK$45,GJ36&lt;&gt;""),AND(HG36&gt;=HM$45,HG36&lt;&gt;""),AND(HL36&gt;=HM$45,HL36&lt;&gt;""),AND(II36&gt;=IO$45,II36&lt;&gt;""),AND(IN36&gt;=IO$45,IN36&lt;&gt;""),AND(JK36&gt;=JQ$45,JK36&lt;&gt;""),AND(JP36&gt;=JQ$45,JP36&lt;&gt;""),AND(KM36&gt;=KS$45,KM36&lt;&gt;""),AND(KR36&gt;=KS$45,KR36&lt;&gt;""),AND(LO36&gt;=LU$45,LO36&lt;&gt;""),AND(LT36&gt;=LU$45,LT36&lt;&gt;""),AND(MQ36&gt;=MW$45,MQ36&lt;&gt;""),AND(MV36&gt;=MW$45,MV36&lt;&gt;""),AND(NS36&gt;=NY$45,NS36&lt;&gt;""),AND(NX36&gt;=NY$45,NX36&lt;&gt;""),AND(OU36&gt;=PA$45,OU36&lt;&gt;""),AND(OZ36&gt;=PA$45,OZ36&lt;&gt;""),AND(PW36&gt;=QC$45,PW36&lt;&gt;""),AND(QB36&gt;=QC$45,QB36&lt;&gt;"")),"P","")</f>
        <v/>
      </c>
      <c r="J36" s="36" t="str">
        <f>IF(AND(I36="P",H36=""),"No DD",IF(OR(AND(AS36&gt;=AW$44,AT36&gt;=AW$48,AS36&lt;&gt;"",AO36=""),AND(BV36&gt;=BZ$44,BW36&gt;=BZ$48,BV36&lt;&gt;"",BR36=""),AND(CY36&gt;=DC$44,CZ36&gt;=DC$48,CY36&lt;&gt;"",CU36=""),AND(EC36&gt;=EG$44,ED36&gt;=EG$48,EC36&lt;&gt;""),AND(FE36&gt;=FI$44,FF36&gt;=FI$48,FE36&lt;&gt;""),AND(GG36&gt;=GK$44,GH36&gt;=GK$48,GG36&lt;&gt;""),AND(HI36&gt;=HM$44,HJ36&gt;=HM$48,HI36&lt;&gt;""),AND(IK36&gt;=IO$44,IL36&gt;=IO$48,IK36&lt;&gt;""),AND(JM36&gt;=JQ$44,JN36&gt;=JQ$48,JM36&lt;&gt;""),AND(KO36&gt;=KS$44,KP36&gt;=KS$48,KO36&lt;&gt;""),AND(LQ36&gt;=LU$44,LR36&gt;=LU$48,LQ36&lt;&gt;""),AND(MS36&gt;=MW$44,MT36&gt;=MW$48,MS36&lt;&gt;""),AND(NU36&gt;=NY$44,NV36&gt;=NY$48,NU36&lt;&gt;""),AND(OW36&gt;=PA$44,OX36&gt;=PA$48,OW36&lt;&gt;""),AND(PY36&gt;=QC$44,PZ36&gt;=QC$48,PY36&lt;&gt;"")),"Merit",IF(OR(AND(AS36&gt;=AW$43,AT36&gt;=AW$47,AS36&lt;&gt;"",AO36=""),AND(BV36&gt;=BZ$43,BW36&gt;=BZ$47,BV36&lt;&gt;"",BR36=""),AND(CY36&gt;=DC$43,CZ36&gt;=DC$47,CY36&lt;&gt;"",CU36=""),AND(EC36&gt;=EG$43,ED36&gt;=EG$47,EC36&lt;&gt;""),AND(FE36&gt;=FI$43,FF36&gt;=FI$47,FE36&lt;&gt;""),AND(GG36&gt;=GK$43,GH36&gt;=GK$47,GG36&lt;&gt;""),AND(HI36&gt;=HM$43,HJ36&gt;=HM$47,HI36&lt;&gt;""),AND(IK36&gt;=IO$43,IL36&gt;=IO$47,IK36&lt;&gt;""),AND(JM36&gt;=JQ$43,JN36&gt;=JQ$47,JM36&lt;&gt;""),AND(KO36&gt;=KS$43,KP36&gt;=KS$47,KO36&lt;&gt;""),AND(LQ36&gt;=LU$43,LR36&gt;=LU$47,LQ36&lt;&gt;""),AND(MS36&gt;=MW$43,MT36&gt;=MW$47,MS36&lt;&gt;""),AND(NU36&gt;=NY$43,NV36&gt;=NY$47,NU36&lt;&gt;""),AND(OW36&gt;=PA$43,OX36&gt;=PA$47,OW36&lt;&gt;""),AND(PY36&gt;=QC$43,PZ36&gt;=QC$47,PY36&lt;&gt;"")),"Excellence",IF(K36="P","Worlds Team",IF(H36="P","National Team","")))))</f>
        <v/>
      </c>
      <c r="K36" s="3" t="str">
        <f>IF(OR(AND(AS36&gt;=AW$42,AT36&gt;=AW$46,AS36&lt;&gt;"",AO36=""),AND(BV36&gt;=BZ$42,BW36&gt;=BZ$46,BV36&lt;&gt;"",BR36=""),AND(CY36&gt;=DC$42,CZ36&gt;=DC$46,CY36&lt;&gt;"",CU36=""),AND(EC36&gt;=EG$42,ED36&gt;=EG$46,EC36&lt;&gt;""),AND(FE36&gt;=FI$42,FF36&gt;=FI$46,FE36&lt;&gt;""),AND(GG36&gt;=GK$42,GH36&gt;=GK$46,GG36&lt;&gt;""),AND(HI36&gt;=HM$42,HJ36&gt;=HM$46,HI36&lt;&gt;""),AND(IK36&gt;=IO$42,IL36&gt;=IO$46,IK36&lt;&gt;""),AND(JM36&gt;=JQ$42,JN36&gt;=JQ$46,JM36&lt;&gt;""),AND(KO36&gt;=KS$42,KP36&gt;=KS$46,KO36&lt;&gt;""),AND(LQ36&gt;=LU$42,LR36&gt;=LU$46,LQ36&lt;&gt;""),AND(MS36&gt;=MW$42,MT36&gt;=MW$46,MS36&lt;&gt;""),AND(NU36&gt;=NY$42,NV36&gt;=NY$46,NU36&lt;&gt;""),AND(OW36&gt;=PA$42,OX36&gt;=PA$46,OW36&lt;&gt;""),AND(PY36&gt;=QC$42,PZ36&gt;=QC$46,PY36&lt;&gt;"")),"P","")</f>
        <v/>
      </c>
      <c r="L36" s="8">
        <f>IF(COUNT(AQ36,BT36,CW36)&gt;0,LARGE((AQ36,BT36,CW36),1),0)</f>
        <v>0</v>
      </c>
      <c r="M36" s="8" t="str">
        <f t="shared" si="1"/>
        <v/>
      </c>
      <c r="N36" s="8">
        <f>IF(COUNT(AQ36,BT36,CW36)&gt;1,LARGE((AQ36,BT36,CW36),2),0)</f>
        <v>0</v>
      </c>
      <c r="O36" s="8" t="str">
        <f t="shared" si="2"/>
        <v/>
      </c>
      <c r="P36" s="8">
        <f t="shared" si="3"/>
        <v>0</v>
      </c>
      <c r="Q36" s="8" t="str">
        <f t="shared" si="4"/>
        <v/>
      </c>
      <c r="R36" s="8">
        <f t="shared" si="5"/>
        <v>47.3</v>
      </c>
      <c r="S36" s="11" t="str">
        <f t="shared" si="6"/>
        <v>(Q1)</v>
      </c>
      <c r="T36" s="8" t="str">
        <f t="shared" si="7"/>
        <v>2024 Coimbra Gym Fest (July 7)</v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8"/>
        <v/>
      </c>
      <c r="AQ36" s="40" t="str">
        <f t="shared" si="9"/>
        <v/>
      </c>
      <c r="AR36" s="40" t="str">
        <f t="shared" si="10"/>
        <v/>
      </c>
      <c r="AS36" s="40" t="str">
        <f t="shared" si="11"/>
        <v/>
      </c>
      <c r="AT36" s="40" t="str">
        <f t="shared" si="12"/>
        <v/>
      </c>
      <c r="AU36" s="40" t="str">
        <f t="shared" si="13"/>
        <v/>
      </c>
      <c r="AV36" s="40" t="str">
        <f t="shared" si="14"/>
        <v/>
      </c>
      <c r="AW36" s="40" t="str">
        <f t="shared" si="15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16"/>
        <v/>
      </c>
      <c r="BT36" s="11" t="str">
        <f t="shared" si="17"/>
        <v/>
      </c>
      <c r="BU36" s="11" t="str">
        <f t="shared" si="18"/>
        <v/>
      </c>
      <c r="BV36" s="11" t="str">
        <f t="shared" si="19"/>
        <v/>
      </c>
      <c r="BW36" s="11" t="str">
        <f t="shared" si="20"/>
        <v/>
      </c>
      <c r="BX36" s="11" t="str">
        <f t="shared" si="21"/>
        <v/>
      </c>
      <c r="BY36" s="11" t="str">
        <f t="shared" si="22"/>
        <v/>
      </c>
      <c r="BZ36" s="11" t="str">
        <f t="shared" si="23"/>
        <v/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 t="shared" si="24"/>
        <v/>
      </c>
      <c r="CW36" s="40" t="str">
        <f t="shared" si="25"/>
        <v/>
      </c>
      <c r="CX36" s="40" t="str">
        <f t="shared" si="26"/>
        <v/>
      </c>
      <c r="CY36" s="40" t="str">
        <f t="shared" si="27"/>
        <v/>
      </c>
      <c r="CZ36" s="40" t="str">
        <f t="shared" si="28"/>
        <v/>
      </c>
      <c r="DA36" s="40" t="str">
        <f t="shared" si="29"/>
        <v/>
      </c>
      <c r="DB36" s="40" t="str">
        <f t="shared" si="30"/>
        <v/>
      </c>
      <c r="DC36" s="40" t="str">
        <f t="shared" si="31"/>
        <v/>
      </c>
      <c r="DD36" s="50">
        <f t="shared" si="32"/>
        <v>47.3</v>
      </c>
      <c r="DE36" s="50" t="str">
        <f t="shared" si="33"/>
        <v/>
      </c>
      <c r="DF36" s="17">
        <v>18.399999999999999</v>
      </c>
      <c r="DG36" s="17">
        <v>5.6</v>
      </c>
      <c r="DH36" s="17">
        <v>0</v>
      </c>
      <c r="DI36" s="17">
        <v>0</v>
      </c>
      <c r="DJ36" s="17">
        <v>18.7</v>
      </c>
      <c r="DK36" s="17">
        <v>4.8</v>
      </c>
      <c r="DL36" s="17">
        <v>0.2</v>
      </c>
      <c r="DM36" s="17">
        <v>0</v>
      </c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>
        <f t="shared" si="34"/>
        <v>10.399999999999999</v>
      </c>
      <c r="EA36" s="40">
        <f t="shared" si="35"/>
        <v>47.3</v>
      </c>
      <c r="EB36" s="40" t="str">
        <f t="shared" si="36"/>
        <v/>
      </c>
      <c r="EC36" s="40">
        <f t="shared" si="37"/>
        <v>10.399999999999999</v>
      </c>
      <c r="ED36" s="40">
        <f t="shared" si="38"/>
        <v>47.3</v>
      </c>
      <c r="EE36" s="40" t="str">
        <f t="shared" si="39"/>
        <v/>
      </c>
      <c r="EF36" s="40" t="str">
        <f t="shared" si="40"/>
        <v/>
      </c>
      <c r="EG36" s="40">
        <f t="shared" si="41"/>
        <v>47.3</v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2"/>
        <v/>
      </c>
      <c r="FC36" s="11" t="str">
        <f t="shared" si="43"/>
        <v/>
      </c>
      <c r="FD36" s="11" t="str">
        <f t="shared" si="44"/>
        <v/>
      </c>
      <c r="FE36" s="11" t="str">
        <f t="shared" si="45"/>
        <v/>
      </c>
      <c r="FF36" s="11" t="str">
        <f t="shared" si="46"/>
        <v/>
      </c>
      <c r="FG36" s="11" t="str">
        <f t="shared" si="47"/>
        <v/>
      </c>
      <c r="FH36" s="11" t="str">
        <f t="shared" si="48"/>
        <v/>
      </c>
      <c r="FI36" s="11" t="str">
        <f t="shared" si="49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0"/>
        <v/>
      </c>
      <c r="GE36" s="40" t="str">
        <f t="shared" si="51"/>
        <v/>
      </c>
      <c r="GF36" s="40" t="str">
        <f t="shared" si="52"/>
        <v/>
      </c>
      <c r="GG36" s="40" t="str">
        <f t="shared" si="53"/>
        <v/>
      </c>
      <c r="GH36" s="40" t="str">
        <f t="shared" si="54"/>
        <v/>
      </c>
      <c r="GI36" s="40" t="str">
        <f t="shared" si="55"/>
        <v/>
      </c>
      <c r="GJ36" s="40" t="str">
        <f t="shared" si="56"/>
        <v/>
      </c>
      <c r="GK36" s="40" t="str">
        <f t="shared" si="57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58"/>
        <v/>
      </c>
      <c r="HG36" s="11" t="str">
        <f t="shared" si="59"/>
        <v/>
      </c>
      <c r="HH36" s="11" t="str">
        <f t="shared" si="60"/>
        <v/>
      </c>
      <c r="HI36" s="11" t="str">
        <f t="shared" si="61"/>
        <v/>
      </c>
      <c r="HJ36" s="11" t="str">
        <f t="shared" si="62"/>
        <v/>
      </c>
      <c r="HK36" s="11" t="str">
        <f t="shared" si="63"/>
        <v/>
      </c>
      <c r="HL36" s="11" t="str">
        <f t="shared" si="64"/>
        <v/>
      </c>
      <c r="HM36" s="11" t="str">
        <f t="shared" si="65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66"/>
        <v/>
      </c>
      <c r="II36" s="40" t="str">
        <f t="shared" si="67"/>
        <v/>
      </c>
      <c r="IJ36" s="40" t="str">
        <f t="shared" si="68"/>
        <v/>
      </c>
      <c r="IK36" s="40" t="str">
        <f t="shared" si="69"/>
        <v/>
      </c>
      <c r="IL36" s="40" t="str">
        <f t="shared" si="70"/>
        <v/>
      </c>
      <c r="IM36" s="40" t="str">
        <f t="shared" si="71"/>
        <v/>
      </c>
      <c r="IN36" s="40" t="str">
        <f t="shared" si="72"/>
        <v/>
      </c>
      <c r="IO36" s="40" t="str">
        <f t="shared" si="73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4"/>
        <v/>
      </c>
      <c r="JK36" s="11" t="str">
        <f t="shared" si="75"/>
        <v/>
      </c>
      <c r="JL36" s="11" t="str">
        <f t="shared" si="76"/>
        <v/>
      </c>
      <c r="JM36" s="11" t="str">
        <f t="shared" si="77"/>
        <v/>
      </c>
      <c r="JN36" s="11" t="str">
        <f t="shared" si="78"/>
        <v/>
      </c>
      <c r="JO36" s="11" t="str">
        <f t="shared" si="79"/>
        <v/>
      </c>
      <c r="JP36" s="11" t="str">
        <f t="shared" si="80"/>
        <v/>
      </c>
      <c r="JQ36" s="11" t="str">
        <f t="shared" si="81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2"/>
        <v/>
      </c>
      <c r="KM36" s="40" t="str">
        <f t="shared" si="83"/>
        <v/>
      </c>
      <c r="KN36" s="40" t="str">
        <f t="shared" si="84"/>
        <v/>
      </c>
      <c r="KO36" s="40" t="str">
        <f t="shared" si="85"/>
        <v/>
      </c>
      <c r="KP36" s="40" t="str">
        <f t="shared" si="86"/>
        <v/>
      </c>
      <c r="KQ36" s="40" t="str">
        <f t="shared" si="87"/>
        <v/>
      </c>
      <c r="KR36" s="40" t="str">
        <f t="shared" si="88"/>
        <v/>
      </c>
      <c r="KS36" s="40" t="str">
        <f t="shared" si="89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0"/>
        <v/>
      </c>
      <c r="LO36" s="11" t="str">
        <f t="shared" si="91"/>
        <v/>
      </c>
      <c r="LP36" s="11" t="str">
        <f t="shared" si="92"/>
        <v/>
      </c>
      <c r="LQ36" s="11" t="str">
        <f t="shared" si="93"/>
        <v/>
      </c>
      <c r="LR36" s="11" t="str">
        <f t="shared" si="94"/>
        <v/>
      </c>
      <c r="LS36" s="11" t="str">
        <f t="shared" si="95"/>
        <v/>
      </c>
      <c r="LT36" s="11" t="str">
        <f t="shared" si="96"/>
        <v/>
      </c>
      <c r="LU36" s="11" t="str">
        <f t="shared" si="97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98"/>
        <v/>
      </c>
      <c r="MQ36" s="40" t="str">
        <f t="shared" si="99"/>
        <v/>
      </c>
      <c r="MR36" s="40" t="str">
        <f t="shared" si="100"/>
        <v/>
      </c>
      <c r="MS36" s="40" t="str">
        <f t="shared" si="101"/>
        <v/>
      </c>
      <c r="MT36" s="40" t="str">
        <f t="shared" si="102"/>
        <v/>
      </c>
      <c r="MU36" s="40" t="str">
        <f t="shared" si="103"/>
        <v/>
      </c>
      <c r="MV36" s="40" t="str">
        <f t="shared" si="104"/>
        <v/>
      </c>
      <c r="MW36" s="40" t="str">
        <f t="shared" si="105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06"/>
        <v/>
      </c>
      <c r="NS36" s="11" t="str">
        <f t="shared" si="107"/>
        <v/>
      </c>
      <c r="NT36" s="11" t="str">
        <f t="shared" si="108"/>
        <v/>
      </c>
      <c r="NU36" s="11" t="str">
        <f t="shared" si="109"/>
        <v/>
      </c>
      <c r="NV36" s="11" t="str">
        <f t="shared" si="110"/>
        <v/>
      </c>
      <c r="NW36" s="11" t="str">
        <f t="shared" si="111"/>
        <v/>
      </c>
      <c r="NX36" s="11" t="str">
        <f t="shared" si="112"/>
        <v/>
      </c>
      <c r="NY36" s="11" t="str">
        <f t="shared" si="113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4"/>
        <v/>
      </c>
      <c r="OU36" s="40" t="str">
        <f t="shared" si="115"/>
        <v/>
      </c>
      <c r="OV36" s="40" t="str">
        <f t="shared" si="116"/>
        <v/>
      </c>
      <c r="OW36" s="40" t="str">
        <f t="shared" si="117"/>
        <v/>
      </c>
      <c r="OX36" s="40" t="str">
        <f t="shared" si="118"/>
        <v/>
      </c>
      <c r="OY36" s="40" t="str">
        <f t="shared" si="119"/>
        <v/>
      </c>
      <c r="OZ36" s="40" t="str">
        <f t="shared" si="120"/>
        <v/>
      </c>
      <c r="PA36" s="40" t="str">
        <f t="shared" si="121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2"/>
        <v/>
      </c>
      <c r="PW36" s="11" t="str">
        <f t="shared" si="123"/>
        <v/>
      </c>
      <c r="PX36" s="11" t="str">
        <f t="shared" si="124"/>
        <v/>
      </c>
      <c r="PY36" s="11" t="str">
        <f t="shared" si="125"/>
        <v/>
      </c>
      <c r="PZ36" s="11" t="str">
        <f t="shared" si="126"/>
        <v/>
      </c>
      <c r="QA36" s="11" t="str">
        <f t="shared" si="127"/>
        <v/>
      </c>
      <c r="QB36" s="11" t="str">
        <f t="shared" si="128"/>
        <v/>
      </c>
      <c r="QC36" s="11" t="str">
        <f t="shared" si="129"/>
        <v/>
      </c>
      <c r="QD36" s="22">
        <f t="shared" si="130"/>
        <v>0</v>
      </c>
      <c r="QE36" s="22">
        <f t="shared" si="131"/>
        <v>0</v>
      </c>
      <c r="QF36" s="22">
        <f t="shared" si="132"/>
        <v>0</v>
      </c>
      <c r="QG36" s="22">
        <f t="shared" si="133"/>
        <v>0</v>
      </c>
      <c r="QH36" s="22">
        <f t="shared" si="134"/>
        <v>0</v>
      </c>
      <c r="QI36" s="22">
        <f t="shared" si="135"/>
        <v>0</v>
      </c>
      <c r="QJ36" s="22">
        <f t="shared" si="136"/>
        <v>0</v>
      </c>
      <c r="QK36" s="22">
        <f t="shared" si="137"/>
        <v>0</v>
      </c>
      <c r="QL36" s="22">
        <f t="shared" si="138"/>
        <v>0</v>
      </c>
      <c r="QM36" s="22">
        <f t="shared" si="139"/>
        <v>0</v>
      </c>
      <c r="QN36" s="22">
        <f t="shared" si="140"/>
        <v>0</v>
      </c>
      <c r="QO36" s="22">
        <f t="shared" si="141"/>
        <v>0</v>
      </c>
      <c r="QP36" s="22">
        <f t="shared" si="142"/>
        <v>0</v>
      </c>
      <c r="QQ36" s="22">
        <f t="shared" si="143"/>
        <v>0</v>
      </c>
      <c r="QR36" s="22">
        <f t="shared" si="144"/>
        <v>0</v>
      </c>
      <c r="QS36" s="22">
        <f t="shared" si="145"/>
        <v>0</v>
      </c>
      <c r="QT36" s="22">
        <f t="shared" si="146"/>
        <v>0</v>
      </c>
      <c r="QU36" s="22">
        <f t="shared" si="147"/>
        <v>0</v>
      </c>
      <c r="QV36" s="22">
        <f t="shared" si="148"/>
        <v>0</v>
      </c>
      <c r="QW36" s="22">
        <f t="shared" si="149"/>
        <v>0</v>
      </c>
      <c r="QX36" s="27" t="s">
        <v>46</v>
      </c>
      <c r="QY36" s="40" t="str">
        <f t="shared" si="150"/>
        <v/>
      </c>
      <c r="QZ36" s="40" t="str">
        <f t="shared" si="151"/>
        <v/>
      </c>
      <c r="RA36" s="40" t="str">
        <f t="shared" si="152"/>
        <v/>
      </c>
      <c r="RB36" s="40" t="str">
        <f t="shared" si="153"/>
        <v/>
      </c>
      <c r="RC36" s="40" t="str">
        <f t="shared" si="154"/>
        <v/>
      </c>
      <c r="RD36" s="40" t="str">
        <f t="shared" si="155"/>
        <v/>
      </c>
      <c r="RE36" s="40" t="str">
        <f t="shared" si="156"/>
        <v/>
      </c>
      <c r="RF36" s="40" t="str">
        <f t="shared" si="157"/>
        <v/>
      </c>
    </row>
    <row r="37" spans="1:474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138</v>
      </c>
      <c r="D37" s="4" t="s">
        <v>5</v>
      </c>
      <c r="E37" s="4">
        <v>2007</v>
      </c>
      <c r="F37" s="9">
        <f t="shared" si="0"/>
        <v>46.300004630004629</v>
      </c>
      <c r="G37" s="64"/>
      <c r="H37" s="3" t="str">
        <f>IF(OR(AND(AP37&gt;=AW$41,AQ37&gt;=AW$45,AP37&lt;&gt;"",AO37=""),AND(AU37&gt;=AW$41,AV37&gt;=AW$45,AU37&lt;&gt;"",AO37=""),AND(BS37&gt;=BZ$41,BT37&gt;=BZ$45,BS37&lt;&gt;"",BR37=""),AND(BX37&gt;=BZ$41,BY37&gt;=BZ$45,BX37&lt;&gt;"",BR37=""),AND(CV37&gt;=DC$41,CW37&gt;=DC$45,CV37&lt;&gt;"",CU37=""),AND(DA37&gt;=DC$41,DB37&gt;=DC$45,DA37&lt;&gt;""),AND(DZ37&gt;=EG$41,EA37&gt;=EG$45,DZ37&lt;&gt;""),AND(EE37&gt;=EG$41,EF37&gt;=EG$45,EE37&lt;&gt;""),AND(FB37&gt;=FI$41,FC37&gt;=FI$45,FB37&lt;&gt;""),AND(FG37&gt;=FI$41,FH37&gt;=FI$45,FG37&lt;&gt;""),AND(GD37&gt;=GK$41,GE37&gt;=GK$45,GD37&lt;&gt;""),AND(GI37&gt;=GK$41,GJ37&gt;=GK$45,GI37&lt;&gt;""),AND(HF37&gt;=HM$41,HG37&gt;=HM$45,HF37&lt;&gt;""),AND(HK37&gt;=HM$41,HL37&gt;=HM$45,HK37&lt;&gt;""),AND(IH37&gt;=IO$41,II37&gt;=IO$45,IH37&lt;&gt;""),AND(IM37&gt;=IO$41,IN37&gt;=IO$45,IM37&lt;&gt;""),AND(JJ37&gt;=JQ$41,JK37&gt;=JQ$45,JJ37&lt;&gt;""),AND(JO37&gt;=JQ$41,JP37&gt;=JQ$45,JO37&lt;&gt;""),AND(KL37&gt;=KS$41,KM37&gt;=KS$45,KL37&lt;&gt;""),AND(KQ37&gt;=KS$41,KR37&gt;=KS$45,KQ37&lt;&gt;""),AND(LN37&gt;=LU$41,LO37&gt;=LU$45,LN37&lt;&gt;""),AND(LS37&gt;=LU$41,LT37&gt;=LU$45,LS37&lt;&gt;""),AND(MP37&gt;=MW$41,MQ37&gt;=MW$45,MP37&lt;&gt;""),AND(MU37&gt;=MW$41,MV37&gt;=MW$45,MU37&lt;&gt;""),AND(NR37&gt;=NY$41,NS37&gt;=NY$45,NR37&lt;&gt;""),AND(NW37&gt;=NY$41,NX37&gt;=NY$45,NW37&lt;&gt;""),AND(OT37&gt;=PA$41,OU37&gt;=PA$45,OT37&lt;&gt;""),AND(OY37&gt;=PA$41,OZ37&gt;=PA$45,OY37&lt;&gt;""),AND(PV37&gt;=QC$41,PW37&gt;=QC$45,PV37&lt;&gt;""),AND(QA37&gt;=QC$41,QB37&gt;=QC$45,QA37&lt;&gt;"")),"P","")</f>
        <v/>
      </c>
      <c r="I37" s="3" t="str">
        <f>IF(OR(AND(AQ37&gt;=AW$45,AQ37&lt;&gt;"",AO37=""),AND(AV37&gt;=AW$45,AV37&lt;&gt;"",AO37=""),AND(BT37&gt;=BZ$45,BT37&lt;&gt;"",BR37=""),AND(BY37&gt;=BZ$45,BY37&lt;&gt;"",BR37=""),AND(CW37&gt;=DC$45,CW37&lt;&gt;"",CU37=""),AND(DB37&gt;=DC$45,DB37&lt;&gt;"",CU37=""),AND(EA37&gt;=EG$45,EA37&lt;&gt;""),AND(EF37&gt;=EG$45,EF37&lt;&gt;""),AND(FC37&gt;=FI$45,FC37&lt;&gt;""),AND(FH37&gt;=FI$45,FH37&lt;&gt;""),AND(GE37&gt;=GK$45,GE37&lt;&gt;""),AND(GJ37&gt;=GK$45,GJ37&lt;&gt;""),AND(HG37&gt;=HM$45,HG37&lt;&gt;""),AND(HL37&gt;=HM$45,HL37&lt;&gt;""),AND(II37&gt;=IO$45,II37&lt;&gt;""),AND(IN37&gt;=IO$45,IN37&lt;&gt;""),AND(JK37&gt;=JQ$45,JK37&lt;&gt;""),AND(JP37&gt;=JQ$45,JP37&lt;&gt;""),AND(KM37&gt;=KS$45,KM37&lt;&gt;""),AND(KR37&gt;=KS$45,KR37&lt;&gt;""),AND(LO37&gt;=LU$45,LO37&lt;&gt;""),AND(LT37&gt;=LU$45,LT37&lt;&gt;""),AND(MQ37&gt;=MW$45,MQ37&lt;&gt;""),AND(MV37&gt;=MW$45,MV37&lt;&gt;""),AND(NS37&gt;=NY$45,NS37&lt;&gt;""),AND(NX37&gt;=NY$45,NX37&lt;&gt;""),AND(OU37&gt;=PA$45,OU37&lt;&gt;""),AND(OZ37&gt;=PA$45,OZ37&lt;&gt;""),AND(PW37&gt;=QC$45,PW37&lt;&gt;""),AND(QB37&gt;=QC$45,QB37&lt;&gt;"")),"P","")</f>
        <v/>
      </c>
      <c r="J37" s="36" t="str">
        <f>IF(AND(I37="P",H37=""),"No DD",IF(OR(AND(AS37&gt;=AW$44,AT37&gt;=AW$48,AS37&lt;&gt;"",AO37=""),AND(BV37&gt;=BZ$44,BW37&gt;=BZ$48,BV37&lt;&gt;"",BR37=""),AND(CY37&gt;=DC$44,CZ37&gt;=DC$48,CY37&lt;&gt;"",CU37=""),AND(EC37&gt;=EG$44,ED37&gt;=EG$48,EC37&lt;&gt;""),AND(FE37&gt;=FI$44,FF37&gt;=FI$48,FE37&lt;&gt;""),AND(GG37&gt;=GK$44,GH37&gt;=GK$48,GG37&lt;&gt;""),AND(HI37&gt;=HM$44,HJ37&gt;=HM$48,HI37&lt;&gt;""),AND(IK37&gt;=IO$44,IL37&gt;=IO$48,IK37&lt;&gt;""),AND(JM37&gt;=JQ$44,JN37&gt;=JQ$48,JM37&lt;&gt;""),AND(KO37&gt;=KS$44,KP37&gt;=KS$48,KO37&lt;&gt;""),AND(LQ37&gt;=LU$44,LR37&gt;=LU$48,LQ37&lt;&gt;""),AND(MS37&gt;=MW$44,MT37&gt;=MW$48,MS37&lt;&gt;""),AND(NU37&gt;=NY$44,NV37&gt;=NY$48,NU37&lt;&gt;""),AND(OW37&gt;=PA$44,OX37&gt;=PA$48,OW37&lt;&gt;""),AND(PY37&gt;=QC$44,PZ37&gt;=QC$48,PY37&lt;&gt;"")),"Merit",IF(OR(AND(AS37&gt;=AW$43,AT37&gt;=AW$47,AS37&lt;&gt;"",AO37=""),AND(BV37&gt;=BZ$43,BW37&gt;=BZ$47,BV37&lt;&gt;"",BR37=""),AND(CY37&gt;=DC$43,CZ37&gt;=DC$47,CY37&lt;&gt;"",CU37=""),AND(EC37&gt;=EG$43,ED37&gt;=EG$47,EC37&lt;&gt;""),AND(FE37&gt;=FI$43,FF37&gt;=FI$47,FE37&lt;&gt;""),AND(GG37&gt;=GK$43,GH37&gt;=GK$47,GG37&lt;&gt;""),AND(HI37&gt;=HM$43,HJ37&gt;=HM$47,HI37&lt;&gt;""),AND(IK37&gt;=IO$43,IL37&gt;=IO$47,IK37&lt;&gt;""),AND(JM37&gt;=JQ$43,JN37&gt;=JQ$47,JM37&lt;&gt;""),AND(KO37&gt;=KS$43,KP37&gt;=KS$47,KO37&lt;&gt;""),AND(LQ37&gt;=LU$43,LR37&gt;=LU$47,LQ37&lt;&gt;""),AND(MS37&gt;=MW$43,MT37&gt;=MW$47,MS37&lt;&gt;""),AND(NU37&gt;=NY$43,NV37&gt;=NY$47,NU37&lt;&gt;""),AND(OW37&gt;=PA$43,OX37&gt;=PA$47,OW37&lt;&gt;""),AND(PY37&gt;=QC$43,PZ37&gt;=QC$47,PY37&lt;&gt;"")),"Excellence",IF(K37="P","Worlds Team",IF(H37="P","National Team","")))))</f>
        <v/>
      </c>
      <c r="K37" s="3" t="str">
        <f>IF(OR(AND(AS37&gt;=AW$42,AT37&gt;=AW$46,AS37&lt;&gt;"",AO37=""),AND(BV37&gt;=BZ$42,BW37&gt;=BZ$46,BV37&lt;&gt;"",BR37=""),AND(CY37&gt;=DC$42,CZ37&gt;=DC$46,CY37&lt;&gt;"",CU37=""),AND(EC37&gt;=EG$42,ED37&gt;=EG$46,EC37&lt;&gt;""),AND(FE37&gt;=FI$42,FF37&gt;=FI$46,FE37&lt;&gt;""),AND(GG37&gt;=GK$42,GH37&gt;=GK$46,GG37&lt;&gt;""),AND(HI37&gt;=HM$42,HJ37&gt;=HM$46,HI37&lt;&gt;""),AND(IK37&gt;=IO$42,IL37&gt;=IO$46,IK37&lt;&gt;""),AND(JM37&gt;=JQ$42,JN37&gt;=JQ$46,JM37&lt;&gt;""),AND(KO37&gt;=KS$42,KP37&gt;=KS$46,KO37&lt;&gt;""),AND(LQ37&gt;=LU$42,LR37&gt;=LU$46,LQ37&lt;&gt;""),AND(MS37&gt;=MW$42,MT37&gt;=MW$46,MS37&lt;&gt;""),AND(NU37&gt;=NY$42,NV37&gt;=NY$46,NU37&lt;&gt;""),AND(OW37&gt;=PA$42,OX37&gt;=PA$46,OW37&lt;&gt;""),AND(PY37&gt;=QC$42,PZ37&gt;=QC$46,PY37&lt;&gt;"")),"P","")</f>
        <v/>
      </c>
      <c r="L37" s="8">
        <f>IF(COUNT(AQ37,BT37,CW37)&gt;0,LARGE((AQ37,BT37,CW37),1),0)</f>
        <v>46.3</v>
      </c>
      <c r="M37" s="8" t="str">
        <f t="shared" si="1"/>
        <v>2024 3rd Domestic Trial</v>
      </c>
      <c r="N37" s="8">
        <f>IF(COUNT(AQ37,BT37,CW37)&gt;1,LARGE((AQ37,BT37,CW37),2),0)</f>
        <v>0</v>
      </c>
      <c r="O37" s="8" t="str">
        <f t="shared" si="2"/>
        <v/>
      </c>
      <c r="P37" s="8">
        <f t="shared" si="3"/>
        <v>0</v>
      </c>
      <c r="Q37" s="8" t="str">
        <f t="shared" si="4"/>
        <v/>
      </c>
      <c r="R37" s="8" t="str">
        <f t="shared" si="5"/>
        <v/>
      </c>
      <c r="S37" s="11" t="str">
        <f t="shared" si="6"/>
        <v/>
      </c>
      <c r="T37" s="8" t="str">
        <f t="shared" si="7"/>
        <v/>
      </c>
      <c r="U37" s="19">
        <v>16.7</v>
      </c>
      <c r="V37" s="19">
        <v>6</v>
      </c>
      <c r="W37" s="19">
        <v>1</v>
      </c>
      <c r="X37" s="19">
        <v>0</v>
      </c>
      <c r="Y37" s="19">
        <v>18.8</v>
      </c>
      <c r="Z37" s="19">
        <v>6.4</v>
      </c>
      <c r="AA37" s="19">
        <v>0.6</v>
      </c>
      <c r="AB37" s="19">
        <v>0</v>
      </c>
      <c r="AC37" s="19">
        <v>18.8</v>
      </c>
      <c r="AD37" s="19">
        <v>5.6</v>
      </c>
      <c r="AE37" s="19">
        <v>0.4</v>
      </c>
      <c r="AF37" s="19">
        <v>0</v>
      </c>
      <c r="AG37" s="19"/>
      <c r="AH37" s="19"/>
      <c r="AI37" s="19"/>
      <c r="AJ37" s="19"/>
      <c r="AK37" s="19"/>
      <c r="AL37" s="19"/>
      <c r="AM37" s="19"/>
      <c r="AN37" s="19"/>
      <c r="AO37" s="27"/>
      <c r="AP37" s="40">
        <f t="shared" si="8"/>
        <v>12.4</v>
      </c>
      <c r="AQ37" s="40">
        <f t="shared" si="9"/>
        <v>46.3</v>
      </c>
      <c r="AR37" s="40">
        <f t="shared" si="10"/>
        <v>24</v>
      </c>
      <c r="AS37" s="40">
        <f t="shared" si="11"/>
        <v>18</v>
      </c>
      <c r="AT37" s="40">
        <f t="shared" si="12"/>
        <v>70.3</v>
      </c>
      <c r="AU37" s="40" t="str">
        <f t="shared" si="13"/>
        <v/>
      </c>
      <c r="AV37" s="40" t="str">
        <f t="shared" si="14"/>
        <v/>
      </c>
      <c r="AW37" s="40">
        <f t="shared" si="15"/>
        <v>70.3</v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 t="shared" si="16"/>
        <v/>
      </c>
      <c r="BT37" s="11" t="str">
        <f t="shared" si="17"/>
        <v/>
      </c>
      <c r="BU37" s="11" t="str">
        <f t="shared" si="18"/>
        <v/>
      </c>
      <c r="BV37" s="11" t="str">
        <f t="shared" si="19"/>
        <v/>
      </c>
      <c r="BW37" s="11" t="str">
        <f t="shared" si="20"/>
        <v/>
      </c>
      <c r="BX37" s="11" t="str">
        <f t="shared" si="21"/>
        <v/>
      </c>
      <c r="BY37" s="11" t="str">
        <f t="shared" si="22"/>
        <v/>
      </c>
      <c r="BZ37" s="11" t="str">
        <f t="shared" si="23"/>
        <v/>
      </c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 t="str">
        <f t="shared" si="24"/>
        <v/>
      </c>
      <c r="CW37" s="40" t="str">
        <f t="shared" si="25"/>
        <v/>
      </c>
      <c r="CX37" s="40" t="str">
        <f t="shared" si="26"/>
        <v/>
      </c>
      <c r="CY37" s="40" t="str">
        <f t="shared" si="27"/>
        <v/>
      </c>
      <c r="CZ37" s="40" t="str">
        <f t="shared" si="28"/>
        <v/>
      </c>
      <c r="DA37" s="40" t="str">
        <f t="shared" si="29"/>
        <v/>
      </c>
      <c r="DB37" s="40" t="str">
        <f t="shared" si="30"/>
        <v/>
      </c>
      <c r="DC37" s="40" t="str">
        <f t="shared" si="31"/>
        <v/>
      </c>
      <c r="DD37" s="50" t="str">
        <f t="shared" si="32"/>
        <v/>
      </c>
      <c r="DE37" s="50" t="str">
        <f t="shared" si="33"/>
        <v/>
      </c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40" t="str">
        <f t="shared" si="34"/>
        <v/>
      </c>
      <c r="EA37" s="40" t="str">
        <f t="shared" si="35"/>
        <v/>
      </c>
      <c r="EB37" s="40" t="str">
        <f t="shared" si="36"/>
        <v/>
      </c>
      <c r="EC37" s="40" t="str">
        <f t="shared" si="37"/>
        <v/>
      </c>
      <c r="ED37" s="40" t="str">
        <f t="shared" si="38"/>
        <v/>
      </c>
      <c r="EE37" s="40" t="str">
        <f t="shared" si="39"/>
        <v/>
      </c>
      <c r="EF37" s="40" t="str">
        <f t="shared" si="40"/>
        <v/>
      </c>
      <c r="EG37" s="40" t="str">
        <f t="shared" si="41"/>
        <v/>
      </c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1" t="str">
        <f t="shared" si="42"/>
        <v/>
      </c>
      <c r="FC37" s="11" t="str">
        <f t="shared" si="43"/>
        <v/>
      </c>
      <c r="FD37" s="11" t="str">
        <f t="shared" si="44"/>
        <v/>
      </c>
      <c r="FE37" s="11" t="str">
        <f t="shared" si="45"/>
        <v/>
      </c>
      <c r="FF37" s="11" t="str">
        <f t="shared" si="46"/>
        <v/>
      </c>
      <c r="FG37" s="11" t="str">
        <f t="shared" si="47"/>
        <v/>
      </c>
      <c r="FH37" s="11" t="str">
        <f t="shared" si="48"/>
        <v/>
      </c>
      <c r="FI37" s="11" t="str">
        <f t="shared" si="49"/>
        <v/>
      </c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40" t="str">
        <f t="shared" si="50"/>
        <v/>
      </c>
      <c r="GE37" s="40" t="str">
        <f t="shared" si="51"/>
        <v/>
      </c>
      <c r="GF37" s="40" t="str">
        <f t="shared" si="52"/>
        <v/>
      </c>
      <c r="GG37" s="40" t="str">
        <f t="shared" si="53"/>
        <v/>
      </c>
      <c r="GH37" s="40" t="str">
        <f t="shared" si="54"/>
        <v/>
      </c>
      <c r="GI37" s="40" t="str">
        <f t="shared" si="55"/>
        <v/>
      </c>
      <c r="GJ37" s="40" t="str">
        <f t="shared" si="56"/>
        <v/>
      </c>
      <c r="GK37" s="40" t="str">
        <f t="shared" si="57"/>
        <v/>
      </c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1" t="str">
        <f t="shared" si="58"/>
        <v/>
      </c>
      <c r="HG37" s="11" t="str">
        <f t="shared" si="59"/>
        <v/>
      </c>
      <c r="HH37" s="11" t="str">
        <f t="shared" si="60"/>
        <v/>
      </c>
      <c r="HI37" s="11" t="str">
        <f t="shared" si="61"/>
        <v/>
      </c>
      <c r="HJ37" s="11" t="str">
        <f t="shared" si="62"/>
        <v/>
      </c>
      <c r="HK37" s="11" t="str">
        <f t="shared" si="63"/>
        <v/>
      </c>
      <c r="HL37" s="11" t="str">
        <f t="shared" si="64"/>
        <v/>
      </c>
      <c r="HM37" s="11" t="str">
        <f t="shared" si="65"/>
        <v/>
      </c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40" t="str">
        <f t="shared" si="66"/>
        <v/>
      </c>
      <c r="II37" s="40" t="str">
        <f t="shared" si="67"/>
        <v/>
      </c>
      <c r="IJ37" s="40" t="str">
        <f t="shared" si="68"/>
        <v/>
      </c>
      <c r="IK37" s="40" t="str">
        <f t="shared" si="69"/>
        <v/>
      </c>
      <c r="IL37" s="40" t="str">
        <f t="shared" si="70"/>
        <v/>
      </c>
      <c r="IM37" s="40" t="str">
        <f t="shared" si="71"/>
        <v/>
      </c>
      <c r="IN37" s="40" t="str">
        <f t="shared" si="72"/>
        <v/>
      </c>
      <c r="IO37" s="40" t="str">
        <f t="shared" si="73"/>
        <v/>
      </c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1" t="str">
        <f t="shared" si="74"/>
        <v/>
      </c>
      <c r="JK37" s="11" t="str">
        <f t="shared" si="75"/>
        <v/>
      </c>
      <c r="JL37" s="11" t="str">
        <f t="shared" si="76"/>
        <v/>
      </c>
      <c r="JM37" s="11" t="str">
        <f t="shared" si="77"/>
        <v/>
      </c>
      <c r="JN37" s="11" t="str">
        <f t="shared" si="78"/>
        <v/>
      </c>
      <c r="JO37" s="11" t="str">
        <f t="shared" si="79"/>
        <v/>
      </c>
      <c r="JP37" s="11" t="str">
        <f t="shared" si="80"/>
        <v/>
      </c>
      <c r="JQ37" s="11" t="str">
        <f t="shared" si="81"/>
        <v/>
      </c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40" t="str">
        <f t="shared" si="82"/>
        <v/>
      </c>
      <c r="KM37" s="40" t="str">
        <f t="shared" si="83"/>
        <v/>
      </c>
      <c r="KN37" s="40" t="str">
        <f t="shared" si="84"/>
        <v/>
      </c>
      <c r="KO37" s="40" t="str">
        <f t="shared" si="85"/>
        <v/>
      </c>
      <c r="KP37" s="40" t="str">
        <f t="shared" si="86"/>
        <v/>
      </c>
      <c r="KQ37" s="40" t="str">
        <f t="shared" si="87"/>
        <v/>
      </c>
      <c r="KR37" s="40" t="str">
        <f t="shared" si="88"/>
        <v/>
      </c>
      <c r="KS37" s="40" t="str">
        <f t="shared" si="89"/>
        <v/>
      </c>
      <c r="KT37" s="18"/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1" t="str">
        <f t="shared" si="90"/>
        <v/>
      </c>
      <c r="LO37" s="11" t="str">
        <f t="shared" si="91"/>
        <v/>
      </c>
      <c r="LP37" s="11" t="str">
        <f t="shared" si="92"/>
        <v/>
      </c>
      <c r="LQ37" s="11" t="str">
        <f t="shared" si="93"/>
        <v/>
      </c>
      <c r="LR37" s="11" t="str">
        <f t="shared" si="94"/>
        <v/>
      </c>
      <c r="LS37" s="11" t="str">
        <f t="shared" si="95"/>
        <v/>
      </c>
      <c r="LT37" s="11" t="str">
        <f t="shared" si="96"/>
        <v/>
      </c>
      <c r="LU37" s="11" t="str">
        <f t="shared" si="97"/>
        <v/>
      </c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40" t="str">
        <f t="shared" si="98"/>
        <v/>
      </c>
      <c r="MQ37" s="40" t="str">
        <f t="shared" si="99"/>
        <v/>
      </c>
      <c r="MR37" s="40" t="str">
        <f t="shared" si="100"/>
        <v/>
      </c>
      <c r="MS37" s="40" t="str">
        <f t="shared" si="101"/>
        <v/>
      </c>
      <c r="MT37" s="40" t="str">
        <f t="shared" si="102"/>
        <v/>
      </c>
      <c r="MU37" s="40" t="str">
        <f t="shared" si="103"/>
        <v/>
      </c>
      <c r="MV37" s="40" t="str">
        <f t="shared" si="104"/>
        <v/>
      </c>
      <c r="MW37" s="40" t="str">
        <f t="shared" si="105"/>
        <v/>
      </c>
      <c r="MX37" s="18"/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1" t="str">
        <f t="shared" si="106"/>
        <v/>
      </c>
      <c r="NS37" s="11" t="str">
        <f t="shared" si="107"/>
        <v/>
      </c>
      <c r="NT37" s="11" t="str">
        <f t="shared" si="108"/>
        <v/>
      </c>
      <c r="NU37" s="11" t="str">
        <f t="shared" si="109"/>
        <v/>
      </c>
      <c r="NV37" s="11" t="str">
        <f t="shared" si="110"/>
        <v/>
      </c>
      <c r="NW37" s="11" t="str">
        <f t="shared" si="111"/>
        <v/>
      </c>
      <c r="NX37" s="11" t="str">
        <f t="shared" si="112"/>
        <v/>
      </c>
      <c r="NY37" s="11" t="str">
        <f t="shared" si="113"/>
        <v/>
      </c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40" t="str">
        <f t="shared" si="114"/>
        <v/>
      </c>
      <c r="OU37" s="40" t="str">
        <f t="shared" si="115"/>
        <v/>
      </c>
      <c r="OV37" s="40" t="str">
        <f t="shared" si="116"/>
        <v/>
      </c>
      <c r="OW37" s="40" t="str">
        <f t="shared" si="117"/>
        <v/>
      </c>
      <c r="OX37" s="40" t="str">
        <f t="shared" si="118"/>
        <v/>
      </c>
      <c r="OY37" s="40" t="str">
        <f t="shared" si="119"/>
        <v/>
      </c>
      <c r="OZ37" s="40" t="str">
        <f t="shared" si="120"/>
        <v/>
      </c>
      <c r="PA37" s="40" t="str">
        <f t="shared" si="121"/>
        <v/>
      </c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1" t="str">
        <f t="shared" si="122"/>
        <v/>
      </c>
      <c r="PW37" s="11" t="str">
        <f t="shared" si="123"/>
        <v/>
      </c>
      <c r="PX37" s="11" t="str">
        <f t="shared" si="124"/>
        <v/>
      </c>
      <c r="PY37" s="11" t="str">
        <f t="shared" si="125"/>
        <v/>
      </c>
      <c r="PZ37" s="11" t="str">
        <f t="shared" si="126"/>
        <v/>
      </c>
      <c r="QA37" s="11" t="str">
        <f t="shared" si="127"/>
        <v/>
      </c>
      <c r="QB37" s="11" t="str">
        <f t="shared" si="128"/>
        <v/>
      </c>
      <c r="QC37" s="11" t="str">
        <f t="shared" si="129"/>
        <v/>
      </c>
      <c r="QD37" s="22">
        <f t="shared" si="130"/>
        <v>0</v>
      </c>
      <c r="QE37" s="22">
        <f t="shared" si="131"/>
        <v>0</v>
      </c>
      <c r="QF37" s="22">
        <f t="shared" si="132"/>
        <v>0</v>
      </c>
      <c r="QG37" s="22">
        <f t="shared" si="133"/>
        <v>0</v>
      </c>
      <c r="QH37" s="22">
        <f t="shared" si="134"/>
        <v>0</v>
      </c>
      <c r="QI37" s="22">
        <f t="shared" si="135"/>
        <v>0</v>
      </c>
      <c r="QJ37" s="22">
        <f t="shared" si="136"/>
        <v>0</v>
      </c>
      <c r="QK37" s="22">
        <f t="shared" si="137"/>
        <v>0</v>
      </c>
      <c r="QL37" s="22">
        <f t="shared" si="138"/>
        <v>0</v>
      </c>
      <c r="QM37" s="22">
        <f t="shared" si="139"/>
        <v>0</v>
      </c>
      <c r="QN37" s="22">
        <f t="shared" si="140"/>
        <v>0</v>
      </c>
      <c r="QO37" s="22">
        <f t="shared" si="141"/>
        <v>0</v>
      </c>
      <c r="QP37" s="22">
        <f t="shared" si="142"/>
        <v>0</v>
      </c>
      <c r="QQ37" s="22">
        <f t="shared" si="143"/>
        <v>0</v>
      </c>
      <c r="QR37" s="22">
        <f t="shared" si="144"/>
        <v>0</v>
      </c>
      <c r="QS37" s="22">
        <f t="shared" si="145"/>
        <v>0</v>
      </c>
      <c r="QT37" s="22">
        <f t="shared" si="146"/>
        <v>0</v>
      </c>
      <c r="QU37" s="22">
        <f t="shared" si="147"/>
        <v>0</v>
      </c>
      <c r="QV37" s="22">
        <f t="shared" si="148"/>
        <v>0</v>
      </c>
      <c r="QW37" s="22">
        <f t="shared" si="149"/>
        <v>0</v>
      </c>
      <c r="QX37" s="27" t="s">
        <v>46</v>
      </c>
      <c r="QY37" s="40" t="str">
        <f t="shared" si="150"/>
        <v/>
      </c>
      <c r="QZ37" s="40" t="str">
        <f t="shared" si="151"/>
        <v/>
      </c>
      <c r="RA37" s="40" t="str">
        <f t="shared" si="152"/>
        <v/>
      </c>
      <c r="RB37" s="40" t="str">
        <f t="shared" si="153"/>
        <v/>
      </c>
      <c r="RC37" s="40" t="str">
        <f t="shared" si="154"/>
        <v/>
      </c>
      <c r="RD37" s="40" t="str">
        <f t="shared" si="155"/>
        <v/>
      </c>
      <c r="RE37" s="40" t="str">
        <f t="shared" si="156"/>
        <v/>
      </c>
      <c r="RF37" s="40" t="str">
        <f t="shared" si="157"/>
        <v/>
      </c>
    </row>
    <row r="38" spans="1:474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160</v>
      </c>
      <c r="D38" s="4" t="s">
        <v>6</v>
      </c>
      <c r="E38" s="4">
        <v>2006</v>
      </c>
      <c r="F38" s="9">
        <f t="shared" si="0"/>
        <v>36.100003610003604</v>
      </c>
      <c r="H38" s="3" t="str">
        <f>IF(OR(AND(AP38&gt;=AW$41,AQ38&gt;=AW$45,AP38&lt;&gt;"",AO38=""),AND(AU38&gt;=AW$41,AV38&gt;=AW$45,AU38&lt;&gt;"",AO38=""),AND(BS38&gt;=BZ$41,BT38&gt;=BZ$45,BS38&lt;&gt;"",BR38=""),AND(BX38&gt;=BZ$41,BY38&gt;=BZ$45,BX38&lt;&gt;"",BR38=""),AND(CV38&gt;=DC$41,CW38&gt;=DC$45,CV38&lt;&gt;"",CU38=""),AND(DA38&gt;=DC$41,DB38&gt;=DC$45,DA38&lt;&gt;""),AND(DZ38&gt;=EG$41,EA38&gt;=EG$45,DZ38&lt;&gt;""),AND(EE38&gt;=EG$41,EF38&gt;=EG$45,EE38&lt;&gt;""),AND(FB38&gt;=FI$41,FC38&gt;=FI$45,FB38&lt;&gt;""),AND(FG38&gt;=FI$41,FH38&gt;=FI$45,FG38&lt;&gt;""),AND(GD38&gt;=GK$41,GE38&gt;=GK$45,GD38&lt;&gt;""),AND(GI38&gt;=GK$41,GJ38&gt;=GK$45,GI38&lt;&gt;""),AND(HF38&gt;=HM$41,HG38&gt;=HM$45,HF38&lt;&gt;""),AND(HK38&gt;=HM$41,HL38&gt;=HM$45,HK38&lt;&gt;""),AND(IH38&gt;=IO$41,II38&gt;=IO$45,IH38&lt;&gt;""),AND(IM38&gt;=IO$41,IN38&gt;=IO$45,IM38&lt;&gt;""),AND(JJ38&gt;=JQ$41,JK38&gt;=JQ$45,JJ38&lt;&gt;""),AND(JO38&gt;=JQ$41,JP38&gt;=JQ$45,JO38&lt;&gt;""),AND(KL38&gt;=KS$41,KM38&gt;=KS$45,KL38&lt;&gt;""),AND(KQ38&gt;=KS$41,KR38&gt;=KS$45,KQ38&lt;&gt;""),AND(LN38&gt;=LU$41,LO38&gt;=LU$45,LN38&lt;&gt;""),AND(LS38&gt;=LU$41,LT38&gt;=LU$45,LS38&lt;&gt;""),AND(MP38&gt;=MW$41,MQ38&gt;=MW$45,MP38&lt;&gt;""),AND(MU38&gt;=MW$41,MV38&gt;=MW$45,MU38&lt;&gt;""),AND(NR38&gt;=NY$41,NS38&gt;=NY$45,NR38&lt;&gt;""),AND(NW38&gt;=NY$41,NX38&gt;=NY$45,NW38&lt;&gt;""),AND(OT38&gt;=PA$41,OU38&gt;=PA$45,OT38&lt;&gt;""),AND(OY38&gt;=PA$41,OZ38&gt;=PA$45,OY38&lt;&gt;""),AND(PV38&gt;=QC$41,PW38&gt;=QC$45,PV38&lt;&gt;""),AND(QA38&gt;=QC$41,QB38&gt;=QC$45,QA38&lt;&gt;"")),"P","")</f>
        <v/>
      </c>
      <c r="I38" s="3" t="str">
        <f>IF(OR(AND(AQ38&gt;=AW$45,AQ38&lt;&gt;"",AO38=""),AND(AV38&gt;=AW$45,AV38&lt;&gt;"",AO38=""),AND(BT38&gt;=BZ$45,BT38&lt;&gt;"",BR38=""),AND(BY38&gt;=BZ$45,BY38&lt;&gt;"",BR38=""),AND(CW38&gt;=DC$45,CW38&lt;&gt;"",CU38=""),AND(DB38&gt;=DC$45,DB38&lt;&gt;"",CU38=""),AND(EA38&gt;=EG$45,EA38&lt;&gt;""),AND(EF38&gt;=EG$45,EF38&lt;&gt;""),AND(FC38&gt;=FI$45,FC38&lt;&gt;""),AND(FH38&gt;=FI$45,FH38&lt;&gt;""),AND(GE38&gt;=GK$45,GE38&lt;&gt;""),AND(GJ38&gt;=GK$45,GJ38&lt;&gt;""),AND(HG38&gt;=HM$45,HG38&lt;&gt;""),AND(HL38&gt;=HM$45,HL38&lt;&gt;""),AND(II38&gt;=IO$45,II38&lt;&gt;""),AND(IN38&gt;=IO$45,IN38&lt;&gt;""),AND(JK38&gt;=JQ$45,JK38&lt;&gt;""),AND(JP38&gt;=JQ$45,JP38&lt;&gt;""),AND(KM38&gt;=KS$45,KM38&lt;&gt;""),AND(KR38&gt;=KS$45,KR38&lt;&gt;""),AND(LO38&gt;=LU$45,LO38&lt;&gt;""),AND(LT38&gt;=LU$45,LT38&lt;&gt;""),AND(MQ38&gt;=MW$45,MQ38&lt;&gt;""),AND(MV38&gt;=MW$45,MV38&lt;&gt;""),AND(NS38&gt;=NY$45,NS38&lt;&gt;""),AND(NX38&gt;=NY$45,NX38&lt;&gt;""),AND(OU38&gt;=PA$45,OU38&lt;&gt;""),AND(OZ38&gt;=PA$45,OZ38&lt;&gt;""),AND(PW38&gt;=QC$45,PW38&lt;&gt;""),AND(QB38&gt;=QC$45,QB38&lt;&gt;"")),"P","")</f>
        <v/>
      </c>
      <c r="J38" s="36" t="str">
        <f>IF(AND(I38="P",H38=""),"No DD",IF(OR(AND(AS38&gt;=AW$44,AT38&gt;=AW$48,AS38&lt;&gt;"",AO38=""),AND(BV38&gt;=BZ$44,BW38&gt;=BZ$48,BV38&lt;&gt;"",BR38=""),AND(CY38&gt;=DC$44,CZ38&gt;=DC$48,CY38&lt;&gt;"",CU38=""),AND(EC38&gt;=EG$44,ED38&gt;=EG$48,EC38&lt;&gt;""),AND(FE38&gt;=FI$44,FF38&gt;=FI$48,FE38&lt;&gt;""),AND(GG38&gt;=GK$44,GH38&gt;=GK$48,GG38&lt;&gt;""),AND(HI38&gt;=HM$44,HJ38&gt;=HM$48,HI38&lt;&gt;""),AND(IK38&gt;=IO$44,IL38&gt;=IO$48,IK38&lt;&gt;""),AND(JM38&gt;=JQ$44,JN38&gt;=JQ$48,JM38&lt;&gt;""),AND(KO38&gt;=KS$44,KP38&gt;=KS$48,KO38&lt;&gt;""),AND(LQ38&gt;=LU$44,LR38&gt;=LU$48,LQ38&lt;&gt;""),AND(MS38&gt;=MW$44,MT38&gt;=MW$48,MS38&lt;&gt;""),AND(NU38&gt;=NY$44,NV38&gt;=NY$48,NU38&lt;&gt;""),AND(OW38&gt;=PA$44,OX38&gt;=PA$48,OW38&lt;&gt;""),AND(PY38&gt;=QC$44,PZ38&gt;=QC$48,PY38&lt;&gt;"")),"Merit",IF(OR(AND(AS38&gt;=AW$43,AT38&gt;=AW$47,AS38&lt;&gt;"",AO38=""),AND(BV38&gt;=BZ$43,BW38&gt;=BZ$47,BV38&lt;&gt;"",BR38=""),AND(CY38&gt;=DC$43,CZ38&gt;=DC$47,CY38&lt;&gt;"",CU38=""),AND(EC38&gt;=EG$43,ED38&gt;=EG$47,EC38&lt;&gt;""),AND(FE38&gt;=FI$43,FF38&gt;=FI$47,FE38&lt;&gt;""),AND(GG38&gt;=GK$43,GH38&gt;=GK$47,GG38&lt;&gt;""),AND(HI38&gt;=HM$43,HJ38&gt;=HM$47,HI38&lt;&gt;""),AND(IK38&gt;=IO$43,IL38&gt;=IO$47,IK38&lt;&gt;""),AND(JM38&gt;=JQ$43,JN38&gt;=JQ$47,JM38&lt;&gt;""),AND(KO38&gt;=KS$43,KP38&gt;=KS$47,KO38&lt;&gt;""),AND(LQ38&gt;=LU$43,LR38&gt;=LU$47,LQ38&lt;&gt;""),AND(MS38&gt;=MW$43,MT38&gt;=MW$47,MS38&lt;&gt;""),AND(NU38&gt;=NY$43,NV38&gt;=NY$47,NU38&lt;&gt;""),AND(OW38&gt;=PA$43,OX38&gt;=PA$47,OW38&lt;&gt;""),AND(PY38&gt;=QC$43,PZ38&gt;=QC$47,PY38&lt;&gt;"")),"Excellence",IF(K38="P","Worlds Team",IF(H38="P","National Team","")))))</f>
        <v/>
      </c>
      <c r="K38" s="3" t="str">
        <f>IF(OR(AND(AS38&gt;=AW$42,AT38&gt;=AW$46,AS38&lt;&gt;"",AO38=""),AND(BV38&gt;=BZ$42,BW38&gt;=BZ$46,BV38&lt;&gt;"",BR38=""),AND(CY38&gt;=DC$42,CZ38&gt;=DC$46,CY38&lt;&gt;"",CU38=""),AND(EC38&gt;=EG$42,ED38&gt;=EG$46,EC38&lt;&gt;""),AND(FE38&gt;=FI$42,FF38&gt;=FI$46,FE38&lt;&gt;""),AND(GG38&gt;=GK$42,GH38&gt;=GK$46,GG38&lt;&gt;""),AND(HI38&gt;=HM$42,HJ38&gt;=HM$46,HI38&lt;&gt;""),AND(IK38&gt;=IO$42,IL38&gt;=IO$46,IK38&lt;&gt;""),AND(JM38&gt;=JQ$42,JN38&gt;=JQ$46,JM38&lt;&gt;""),AND(KO38&gt;=KS$42,KP38&gt;=KS$46,KO38&lt;&gt;""),AND(LQ38&gt;=LU$42,LR38&gt;=LU$46,LQ38&lt;&gt;""),AND(MS38&gt;=MW$42,MT38&gt;=MW$46,MS38&lt;&gt;""),AND(NU38&gt;=NY$42,NV38&gt;=NY$46,NU38&lt;&gt;""),AND(OW38&gt;=PA$42,OX38&gt;=PA$46,OW38&lt;&gt;""),AND(PY38&gt;=QC$42,PZ38&gt;=QC$46,PY38&lt;&gt;"")),"P","")</f>
        <v/>
      </c>
      <c r="L38" s="8">
        <f>IF(COUNT(AQ38,BT38,CW38)&gt;0,LARGE((AQ38,BT38,CW38),1),0)</f>
        <v>36.099999999999994</v>
      </c>
      <c r="M38" s="8" t="str">
        <f t="shared" si="1"/>
        <v>2025 Elite Canada</v>
      </c>
      <c r="N38" s="8">
        <f>IF(COUNT(AQ38,BT38,CW38)&gt;1,LARGE((AQ38,BT38,CW38),2),0)</f>
        <v>0</v>
      </c>
      <c r="O38" s="8" t="str">
        <f t="shared" si="2"/>
        <v/>
      </c>
      <c r="P38" s="8">
        <f t="shared" si="3"/>
        <v>0</v>
      </c>
      <c r="Q38" s="8" t="str">
        <f t="shared" si="4"/>
        <v/>
      </c>
      <c r="R38" s="8" t="str">
        <f t="shared" si="5"/>
        <v/>
      </c>
      <c r="S38" s="11" t="str">
        <f t="shared" si="6"/>
        <v/>
      </c>
      <c r="T38" s="8" t="str">
        <f t="shared" si="7"/>
        <v/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27"/>
      <c r="AP38" s="40" t="str">
        <f t="shared" si="8"/>
        <v/>
      </c>
      <c r="AQ38" s="40" t="str">
        <f t="shared" si="9"/>
        <v/>
      </c>
      <c r="AR38" s="40" t="str">
        <f t="shared" si="10"/>
        <v/>
      </c>
      <c r="AS38" s="40" t="str">
        <f t="shared" si="11"/>
        <v/>
      </c>
      <c r="AT38" s="40" t="str">
        <f t="shared" si="12"/>
        <v/>
      </c>
      <c r="AU38" s="40" t="str">
        <f t="shared" si="13"/>
        <v/>
      </c>
      <c r="AV38" s="40" t="str">
        <f t="shared" si="14"/>
        <v/>
      </c>
      <c r="AW38" s="40" t="str">
        <f t="shared" si="15"/>
        <v/>
      </c>
      <c r="AX38" s="18">
        <v>15.6</v>
      </c>
      <c r="AY38" s="18">
        <v>2.4</v>
      </c>
      <c r="AZ38" s="18">
        <v>0</v>
      </c>
      <c r="BA38" s="18">
        <v>0</v>
      </c>
      <c r="BB38" s="18">
        <v>15.3</v>
      </c>
      <c r="BC38" s="18">
        <v>2.8</v>
      </c>
      <c r="BD38" s="18">
        <v>0</v>
      </c>
      <c r="BE38" s="18">
        <v>0</v>
      </c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 t="shared" si="16"/>
        <v>5.1999999999999993</v>
      </c>
      <c r="BT38" s="11">
        <f t="shared" si="17"/>
        <v>36.099999999999994</v>
      </c>
      <c r="BU38" s="11" t="str">
        <f t="shared" si="18"/>
        <v/>
      </c>
      <c r="BV38" s="11">
        <f t="shared" si="19"/>
        <v>5.1999999999999993</v>
      </c>
      <c r="BW38" s="11">
        <f t="shared" si="20"/>
        <v>36.099999999999994</v>
      </c>
      <c r="BX38" s="11" t="str">
        <f t="shared" si="21"/>
        <v/>
      </c>
      <c r="BY38" s="11" t="str">
        <f t="shared" si="22"/>
        <v/>
      </c>
      <c r="BZ38" s="11">
        <f t="shared" si="23"/>
        <v>36.099999999999994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 t="shared" si="24"/>
        <v/>
      </c>
      <c r="CW38" s="40" t="str">
        <f t="shared" si="25"/>
        <v/>
      </c>
      <c r="CX38" s="40" t="str">
        <f t="shared" si="26"/>
        <v/>
      </c>
      <c r="CY38" s="40" t="str">
        <f t="shared" si="27"/>
        <v/>
      </c>
      <c r="CZ38" s="40" t="str">
        <f t="shared" si="28"/>
        <v/>
      </c>
      <c r="DA38" s="40" t="str">
        <f t="shared" si="29"/>
        <v/>
      </c>
      <c r="DB38" s="40" t="str">
        <f t="shared" si="30"/>
        <v/>
      </c>
      <c r="DC38" s="40" t="str">
        <f t="shared" si="31"/>
        <v/>
      </c>
      <c r="DD38" s="50" t="str">
        <f t="shared" si="32"/>
        <v/>
      </c>
      <c r="DE38" s="50" t="str">
        <f t="shared" si="33"/>
        <v/>
      </c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40" t="str">
        <f t="shared" si="34"/>
        <v/>
      </c>
      <c r="EA38" s="40" t="str">
        <f t="shared" si="35"/>
        <v/>
      </c>
      <c r="EB38" s="40" t="str">
        <f t="shared" si="36"/>
        <v/>
      </c>
      <c r="EC38" s="40" t="str">
        <f t="shared" si="37"/>
        <v/>
      </c>
      <c r="ED38" s="40" t="str">
        <f t="shared" si="38"/>
        <v/>
      </c>
      <c r="EE38" s="40" t="str">
        <f t="shared" si="39"/>
        <v/>
      </c>
      <c r="EF38" s="40" t="str">
        <f t="shared" si="40"/>
        <v/>
      </c>
      <c r="EG38" s="40" t="str">
        <f t="shared" si="41"/>
        <v/>
      </c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1" t="str">
        <f t="shared" si="42"/>
        <v/>
      </c>
      <c r="FC38" s="11" t="str">
        <f t="shared" si="43"/>
        <v/>
      </c>
      <c r="FD38" s="11" t="str">
        <f t="shared" si="44"/>
        <v/>
      </c>
      <c r="FE38" s="11" t="str">
        <f t="shared" si="45"/>
        <v/>
      </c>
      <c r="FF38" s="11" t="str">
        <f t="shared" si="46"/>
        <v/>
      </c>
      <c r="FG38" s="11" t="str">
        <f t="shared" si="47"/>
        <v/>
      </c>
      <c r="FH38" s="11" t="str">
        <f t="shared" si="48"/>
        <v/>
      </c>
      <c r="FI38" s="11" t="str">
        <f t="shared" si="49"/>
        <v/>
      </c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40" t="str">
        <f t="shared" si="50"/>
        <v/>
      </c>
      <c r="GE38" s="40" t="str">
        <f t="shared" si="51"/>
        <v/>
      </c>
      <c r="GF38" s="40" t="str">
        <f t="shared" si="52"/>
        <v/>
      </c>
      <c r="GG38" s="40" t="str">
        <f t="shared" si="53"/>
        <v/>
      </c>
      <c r="GH38" s="40" t="str">
        <f t="shared" si="54"/>
        <v/>
      </c>
      <c r="GI38" s="40" t="str">
        <f t="shared" si="55"/>
        <v/>
      </c>
      <c r="GJ38" s="40" t="str">
        <f t="shared" si="56"/>
        <v/>
      </c>
      <c r="GK38" s="40" t="str">
        <f t="shared" si="57"/>
        <v/>
      </c>
      <c r="GL38" s="18"/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1" t="str">
        <f t="shared" si="58"/>
        <v/>
      </c>
      <c r="HG38" s="11" t="str">
        <f t="shared" si="59"/>
        <v/>
      </c>
      <c r="HH38" s="11" t="str">
        <f t="shared" si="60"/>
        <v/>
      </c>
      <c r="HI38" s="11" t="str">
        <f t="shared" si="61"/>
        <v/>
      </c>
      <c r="HJ38" s="11" t="str">
        <f t="shared" si="62"/>
        <v/>
      </c>
      <c r="HK38" s="11" t="str">
        <f t="shared" si="63"/>
        <v/>
      </c>
      <c r="HL38" s="11" t="str">
        <f t="shared" si="64"/>
        <v/>
      </c>
      <c r="HM38" s="11" t="str">
        <f t="shared" si="65"/>
        <v/>
      </c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40" t="str">
        <f t="shared" si="66"/>
        <v/>
      </c>
      <c r="II38" s="40" t="str">
        <f t="shared" si="67"/>
        <v/>
      </c>
      <c r="IJ38" s="40" t="str">
        <f t="shared" si="68"/>
        <v/>
      </c>
      <c r="IK38" s="40" t="str">
        <f t="shared" si="69"/>
        <v/>
      </c>
      <c r="IL38" s="40" t="str">
        <f t="shared" si="70"/>
        <v/>
      </c>
      <c r="IM38" s="40" t="str">
        <f t="shared" si="71"/>
        <v/>
      </c>
      <c r="IN38" s="40" t="str">
        <f t="shared" si="72"/>
        <v/>
      </c>
      <c r="IO38" s="40" t="str">
        <f t="shared" si="73"/>
        <v/>
      </c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1" t="str">
        <f t="shared" si="74"/>
        <v/>
      </c>
      <c r="JK38" s="11" t="str">
        <f t="shared" si="75"/>
        <v/>
      </c>
      <c r="JL38" s="11" t="str">
        <f t="shared" si="76"/>
        <v/>
      </c>
      <c r="JM38" s="11" t="str">
        <f t="shared" si="77"/>
        <v/>
      </c>
      <c r="JN38" s="11" t="str">
        <f t="shared" si="78"/>
        <v/>
      </c>
      <c r="JO38" s="11" t="str">
        <f t="shared" si="79"/>
        <v/>
      </c>
      <c r="JP38" s="11" t="str">
        <f t="shared" si="80"/>
        <v/>
      </c>
      <c r="JQ38" s="11" t="str">
        <f t="shared" si="81"/>
        <v/>
      </c>
      <c r="JR38" s="17"/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40" t="str">
        <f t="shared" si="82"/>
        <v/>
      </c>
      <c r="KM38" s="40" t="str">
        <f t="shared" si="83"/>
        <v/>
      </c>
      <c r="KN38" s="40" t="str">
        <f t="shared" si="84"/>
        <v/>
      </c>
      <c r="KO38" s="40" t="str">
        <f t="shared" si="85"/>
        <v/>
      </c>
      <c r="KP38" s="40" t="str">
        <f t="shared" si="86"/>
        <v/>
      </c>
      <c r="KQ38" s="40" t="str">
        <f t="shared" si="87"/>
        <v/>
      </c>
      <c r="KR38" s="40" t="str">
        <f t="shared" si="88"/>
        <v/>
      </c>
      <c r="KS38" s="40" t="str">
        <f t="shared" si="89"/>
        <v/>
      </c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1" t="str">
        <f t="shared" si="90"/>
        <v/>
      </c>
      <c r="LO38" s="11" t="str">
        <f t="shared" si="91"/>
        <v/>
      </c>
      <c r="LP38" s="11" t="str">
        <f t="shared" si="92"/>
        <v/>
      </c>
      <c r="LQ38" s="11" t="str">
        <f t="shared" si="93"/>
        <v/>
      </c>
      <c r="LR38" s="11" t="str">
        <f t="shared" si="94"/>
        <v/>
      </c>
      <c r="LS38" s="11" t="str">
        <f t="shared" si="95"/>
        <v/>
      </c>
      <c r="LT38" s="11" t="str">
        <f t="shared" si="96"/>
        <v/>
      </c>
      <c r="LU38" s="11" t="str">
        <f t="shared" si="97"/>
        <v/>
      </c>
      <c r="LV38" s="17"/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40" t="str">
        <f t="shared" si="98"/>
        <v/>
      </c>
      <c r="MQ38" s="40" t="str">
        <f t="shared" si="99"/>
        <v/>
      </c>
      <c r="MR38" s="40" t="str">
        <f t="shared" si="100"/>
        <v/>
      </c>
      <c r="MS38" s="40" t="str">
        <f t="shared" si="101"/>
        <v/>
      </c>
      <c r="MT38" s="40" t="str">
        <f t="shared" si="102"/>
        <v/>
      </c>
      <c r="MU38" s="40" t="str">
        <f t="shared" si="103"/>
        <v/>
      </c>
      <c r="MV38" s="40" t="str">
        <f t="shared" si="104"/>
        <v/>
      </c>
      <c r="MW38" s="40" t="str">
        <f t="shared" si="105"/>
        <v/>
      </c>
      <c r="MX38" s="18"/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1" t="str">
        <f t="shared" si="106"/>
        <v/>
      </c>
      <c r="NS38" s="11" t="str">
        <f t="shared" si="107"/>
        <v/>
      </c>
      <c r="NT38" s="11" t="str">
        <f t="shared" si="108"/>
        <v/>
      </c>
      <c r="NU38" s="11" t="str">
        <f t="shared" si="109"/>
        <v/>
      </c>
      <c r="NV38" s="11" t="str">
        <f t="shared" si="110"/>
        <v/>
      </c>
      <c r="NW38" s="11" t="str">
        <f t="shared" si="111"/>
        <v/>
      </c>
      <c r="NX38" s="11" t="str">
        <f t="shared" si="112"/>
        <v/>
      </c>
      <c r="NY38" s="11" t="str">
        <f t="shared" si="113"/>
        <v/>
      </c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40" t="str">
        <f t="shared" si="114"/>
        <v/>
      </c>
      <c r="OU38" s="40" t="str">
        <f t="shared" si="115"/>
        <v/>
      </c>
      <c r="OV38" s="40" t="str">
        <f t="shared" si="116"/>
        <v/>
      </c>
      <c r="OW38" s="40" t="str">
        <f t="shared" si="117"/>
        <v/>
      </c>
      <c r="OX38" s="40" t="str">
        <f t="shared" si="118"/>
        <v/>
      </c>
      <c r="OY38" s="40" t="str">
        <f t="shared" si="119"/>
        <v/>
      </c>
      <c r="OZ38" s="40" t="str">
        <f t="shared" si="120"/>
        <v/>
      </c>
      <c r="PA38" s="40" t="str">
        <f t="shared" si="121"/>
        <v/>
      </c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1" t="str">
        <f t="shared" si="122"/>
        <v/>
      </c>
      <c r="PW38" s="11" t="str">
        <f t="shared" si="123"/>
        <v/>
      </c>
      <c r="PX38" s="11" t="str">
        <f t="shared" si="124"/>
        <v/>
      </c>
      <c r="PY38" s="11" t="str">
        <f t="shared" si="125"/>
        <v/>
      </c>
      <c r="PZ38" s="11" t="str">
        <f t="shared" si="126"/>
        <v/>
      </c>
      <c r="QA38" s="11" t="str">
        <f t="shared" si="127"/>
        <v/>
      </c>
      <c r="QB38" s="11" t="str">
        <f t="shared" si="128"/>
        <v/>
      </c>
      <c r="QC38" s="11" t="str">
        <f t="shared" si="129"/>
        <v/>
      </c>
      <c r="QD38" s="22">
        <f t="shared" si="130"/>
        <v>7.8</v>
      </c>
      <c r="QE38" s="22">
        <f t="shared" si="131"/>
        <v>1.2</v>
      </c>
      <c r="QF38" s="22">
        <f t="shared" si="132"/>
        <v>0</v>
      </c>
      <c r="QG38" s="22">
        <f t="shared" si="133"/>
        <v>0</v>
      </c>
      <c r="QH38" s="22">
        <f t="shared" si="134"/>
        <v>7.65</v>
      </c>
      <c r="QI38" s="22">
        <f t="shared" si="135"/>
        <v>1.4</v>
      </c>
      <c r="QJ38" s="22">
        <f t="shared" si="136"/>
        <v>0</v>
      </c>
      <c r="QK38" s="22">
        <f t="shared" si="137"/>
        <v>0</v>
      </c>
      <c r="QL38" s="22">
        <f t="shared" si="138"/>
        <v>0</v>
      </c>
      <c r="QM38" s="22">
        <f t="shared" si="139"/>
        <v>0</v>
      </c>
      <c r="QN38" s="22">
        <f t="shared" si="140"/>
        <v>0</v>
      </c>
      <c r="QO38" s="22">
        <f t="shared" si="141"/>
        <v>0</v>
      </c>
      <c r="QP38" s="22">
        <f t="shared" si="142"/>
        <v>0</v>
      </c>
      <c r="QQ38" s="22">
        <f t="shared" si="143"/>
        <v>0</v>
      </c>
      <c r="QR38" s="22">
        <f t="shared" si="144"/>
        <v>0</v>
      </c>
      <c r="QS38" s="22">
        <f t="shared" si="145"/>
        <v>0</v>
      </c>
      <c r="QT38" s="22">
        <f t="shared" si="146"/>
        <v>0</v>
      </c>
      <c r="QU38" s="22">
        <f t="shared" si="147"/>
        <v>0</v>
      </c>
      <c r="QV38" s="22">
        <f t="shared" si="148"/>
        <v>0</v>
      </c>
      <c r="QW38" s="22">
        <f t="shared" si="149"/>
        <v>0</v>
      </c>
      <c r="QX38" s="27" t="s">
        <v>46</v>
      </c>
      <c r="QY38" s="40">
        <f t="shared" si="150"/>
        <v>2.5999999999999996</v>
      </c>
      <c r="QZ38" s="40">
        <f t="shared" si="151"/>
        <v>18.049999999999997</v>
      </c>
      <c r="RA38" s="40" t="str">
        <f t="shared" si="152"/>
        <v/>
      </c>
      <c r="RB38" s="40">
        <f t="shared" si="153"/>
        <v>2.5999999999999996</v>
      </c>
      <c r="RC38" s="40">
        <f t="shared" si="154"/>
        <v>18.049999999999997</v>
      </c>
      <c r="RD38" s="40" t="str">
        <f t="shared" si="155"/>
        <v/>
      </c>
      <c r="RE38" s="40" t="str">
        <f t="shared" si="156"/>
        <v/>
      </c>
      <c r="RF38" s="40">
        <f t="shared" si="157"/>
        <v>18.049999999999997</v>
      </c>
    </row>
    <row r="39" spans="1:474" ht="17" x14ac:dyDescent="0.2">
      <c r="R39" s="10"/>
      <c r="S39" s="10"/>
      <c r="T39" s="10"/>
    </row>
    <row r="40" spans="1:474" ht="17" x14ac:dyDescent="0.2">
      <c r="R40" s="10"/>
      <c r="S40" s="10"/>
      <c r="T40" s="10"/>
    </row>
    <row r="41" spans="1:474" ht="17" x14ac:dyDescent="0.2">
      <c r="C41" s="23" t="s">
        <v>44</v>
      </c>
      <c r="R41" s="10"/>
      <c r="S41" s="10"/>
      <c r="T41" s="10"/>
      <c r="AP41" s="4"/>
      <c r="AW41" s="42">
        <v>11.2</v>
      </c>
      <c r="BS41" s="4"/>
      <c r="BZ41" s="42">
        <v>14.8</v>
      </c>
      <c r="CV41" s="4"/>
      <c r="DC41" s="42">
        <v>14.8</v>
      </c>
      <c r="DZ41" s="4"/>
      <c r="EG41" s="42">
        <v>11.2</v>
      </c>
      <c r="FB41" s="4"/>
      <c r="FI41" s="42">
        <v>11.2</v>
      </c>
      <c r="GD41" s="4"/>
      <c r="GK41" s="42">
        <v>14.8</v>
      </c>
      <c r="HF41" s="4"/>
      <c r="HM41" s="42">
        <v>14.8</v>
      </c>
      <c r="IH41" s="4"/>
      <c r="IO41" s="42">
        <v>14.8</v>
      </c>
      <c r="JJ41" s="4"/>
      <c r="JQ41" s="42">
        <v>14.8</v>
      </c>
      <c r="KL41" s="4"/>
      <c r="KS41" s="42">
        <v>14.8</v>
      </c>
      <c r="LN41" s="4"/>
      <c r="LU41" s="42">
        <v>14.8</v>
      </c>
      <c r="MP41" s="4"/>
      <c r="MW41" s="42">
        <v>14.8</v>
      </c>
      <c r="NR41" s="4"/>
      <c r="NY41" s="42">
        <v>14.8</v>
      </c>
      <c r="OT41" s="4"/>
      <c r="PA41" s="42">
        <v>14.8</v>
      </c>
      <c r="PV41" s="4"/>
      <c r="QC41" s="42">
        <v>14.8</v>
      </c>
    </row>
    <row r="42" spans="1:474" ht="17" hidden="1" x14ac:dyDescent="0.2">
      <c r="C42" s="30" t="s">
        <v>43</v>
      </c>
      <c r="R42" s="10"/>
      <c r="S42" s="10"/>
      <c r="T42" s="10"/>
      <c r="AP42" s="4"/>
      <c r="AW42" s="51">
        <v>1000</v>
      </c>
      <c r="BS42" s="4"/>
      <c r="BZ42" s="51">
        <v>1000</v>
      </c>
      <c r="CV42" s="4"/>
      <c r="DC42" s="51">
        <v>1000</v>
      </c>
      <c r="DZ42" s="4"/>
      <c r="EG42" s="51">
        <v>1000</v>
      </c>
      <c r="FB42" s="4"/>
      <c r="FI42" s="51">
        <v>1000</v>
      </c>
      <c r="GD42" s="4"/>
      <c r="GK42" s="51">
        <v>1000</v>
      </c>
      <c r="HF42" s="4"/>
      <c r="HM42" s="51">
        <v>1000</v>
      </c>
      <c r="IH42" s="4"/>
      <c r="IO42" s="51">
        <v>1000</v>
      </c>
      <c r="JJ42" s="4"/>
      <c r="JQ42" s="51">
        <v>1000</v>
      </c>
      <c r="KL42" s="4"/>
      <c r="KS42" s="51">
        <v>1000</v>
      </c>
      <c r="LN42" s="4"/>
      <c r="LU42" s="51">
        <v>1000</v>
      </c>
      <c r="MP42" s="4"/>
      <c r="MW42" s="51">
        <v>1000</v>
      </c>
      <c r="NR42" s="4"/>
      <c r="NY42" s="51">
        <v>1000</v>
      </c>
      <c r="OT42" s="4"/>
      <c r="PA42" s="51">
        <v>1000</v>
      </c>
      <c r="PV42" s="4"/>
      <c r="QC42" s="51">
        <v>1000</v>
      </c>
    </row>
    <row r="43" spans="1:474" ht="17" hidden="1" x14ac:dyDescent="0.2">
      <c r="A43" s="5"/>
      <c r="B43" s="5"/>
      <c r="C43" s="31" t="s">
        <v>55</v>
      </c>
      <c r="D43" s="20"/>
      <c r="R43" s="10"/>
      <c r="S43" s="10"/>
      <c r="T43" s="10"/>
      <c r="AP43" s="4"/>
      <c r="AW43" s="43">
        <v>1000</v>
      </c>
      <c r="BS43" s="4"/>
      <c r="BZ43" s="43">
        <v>1000</v>
      </c>
      <c r="CV43" s="4"/>
      <c r="DC43" s="43">
        <v>1000</v>
      </c>
      <c r="DZ43" s="4"/>
      <c r="EG43" s="43">
        <v>1000</v>
      </c>
      <c r="FB43" s="4"/>
      <c r="FI43" s="43">
        <v>1000</v>
      </c>
      <c r="GD43" s="4"/>
      <c r="GK43" s="43">
        <v>1000</v>
      </c>
      <c r="HF43" s="4"/>
      <c r="HM43" s="43">
        <v>1000</v>
      </c>
      <c r="IH43" s="4"/>
      <c r="IO43" s="43">
        <v>1000</v>
      </c>
      <c r="JJ43" s="4"/>
      <c r="JQ43" s="43">
        <v>1000</v>
      </c>
      <c r="KL43" s="4"/>
      <c r="KS43" s="43">
        <v>1000</v>
      </c>
      <c r="LN43" s="4"/>
      <c r="LU43" s="43">
        <v>1000</v>
      </c>
      <c r="MP43" s="4"/>
      <c r="MW43" s="43">
        <v>1000</v>
      </c>
      <c r="NR43" s="4"/>
      <c r="NY43" s="43">
        <v>1000</v>
      </c>
      <c r="OT43" s="4"/>
      <c r="PA43" s="43">
        <v>1000</v>
      </c>
      <c r="PV43" s="4"/>
      <c r="QC43" s="43">
        <v>1000</v>
      </c>
    </row>
    <row r="44" spans="1:474" ht="17" hidden="1" x14ac:dyDescent="0.2">
      <c r="A44" s="5"/>
      <c r="B44" s="5"/>
      <c r="C44" s="35" t="s">
        <v>60</v>
      </c>
      <c r="D44" s="20"/>
      <c r="R44" s="10"/>
      <c r="S44" s="10"/>
      <c r="T44" s="10"/>
      <c r="AP44" s="4"/>
      <c r="AW44" s="62">
        <v>1000</v>
      </c>
      <c r="BS44" s="4"/>
      <c r="BZ44" s="62">
        <v>1000</v>
      </c>
      <c r="CV44" s="4"/>
      <c r="DC44" s="62">
        <v>1000</v>
      </c>
      <c r="DZ44" s="4"/>
      <c r="EG44" s="62">
        <v>1000</v>
      </c>
      <c r="FB44" s="4"/>
      <c r="FI44" s="62">
        <v>1000</v>
      </c>
      <c r="GD44" s="4"/>
      <c r="GK44" s="62">
        <v>1000</v>
      </c>
      <c r="HF44" s="4"/>
      <c r="HM44" s="62">
        <v>1000</v>
      </c>
      <c r="IH44" s="4"/>
      <c r="IO44" s="62">
        <v>1000</v>
      </c>
      <c r="JJ44" s="4"/>
      <c r="JQ44" s="62">
        <v>1000</v>
      </c>
      <c r="KL44" s="4"/>
      <c r="KS44" s="62">
        <v>1000</v>
      </c>
      <c r="LN44" s="4"/>
      <c r="LU44" s="62">
        <v>1000</v>
      </c>
      <c r="MP44" s="4"/>
      <c r="MW44" s="62">
        <v>1000</v>
      </c>
      <c r="NR44" s="4"/>
      <c r="NY44" s="62">
        <v>1000</v>
      </c>
      <c r="OT44" s="4"/>
      <c r="PA44" s="62">
        <v>1000</v>
      </c>
      <c r="PV44" s="4"/>
      <c r="QC44" s="62">
        <v>1000</v>
      </c>
    </row>
    <row r="45" spans="1:474" ht="17" x14ac:dyDescent="0.2">
      <c r="A45" s="5"/>
      <c r="B45" s="5"/>
      <c r="C45" s="34" t="s">
        <v>41</v>
      </c>
      <c r="D45" s="20"/>
      <c r="R45" s="10"/>
      <c r="S45" s="10"/>
      <c r="T45" s="10"/>
      <c r="AP45" s="4"/>
      <c r="AW45" s="63">
        <v>48</v>
      </c>
      <c r="BS45" s="4"/>
      <c r="BZ45" s="63">
        <v>51.6</v>
      </c>
      <c r="CV45" s="4"/>
      <c r="DC45" s="63">
        <v>51.6</v>
      </c>
      <c r="DZ45" s="4"/>
      <c r="EG45" s="63">
        <v>48</v>
      </c>
      <c r="FB45" s="4"/>
      <c r="FI45" s="63">
        <v>48</v>
      </c>
      <c r="GD45" s="4"/>
      <c r="GK45" s="63">
        <v>51.6</v>
      </c>
      <c r="HF45" s="4"/>
      <c r="HM45" s="63">
        <v>51.6</v>
      </c>
      <c r="IH45" s="4"/>
      <c r="IO45" s="63">
        <v>51.6</v>
      </c>
      <c r="JJ45" s="4"/>
      <c r="JQ45" s="63">
        <v>51.6</v>
      </c>
      <c r="KL45" s="4"/>
      <c r="KS45" s="63">
        <v>51.6</v>
      </c>
      <c r="LN45" s="4"/>
      <c r="LU45" s="63">
        <v>51.6</v>
      </c>
      <c r="MP45" s="4"/>
      <c r="MW45" s="63">
        <v>51.6</v>
      </c>
      <c r="NR45" s="4"/>
      <c r="NY45" s="63">
        <v>51.6</v>
      </c>
      <c r="OT45" s="4"/>
      <c r="PA45" s="63">
        <v>51.6</v>
      </c>
      <c r="PV45" s="4"/>
      <c r="QC45" s="63">
        <v>51.6</v>
      </c>
    </row>
    <row r="46" spans="1:474" ht="17" hidden="1" x14ac:dyDescent="0.2">
      <c r="A46" s="5"/>
      <c r="B46" s="5"/>
      <c r="C46" s="24" t="s">
        <v>42</v>
      </c>
      <c r="D46" s="20"/>
      <c r="R46" s="10"/>
      <c r="S46" s="10"/>
      <c r="T46" s="10"/>
      <c r="AP46" s="4"/>
      <c r="AW46" s="46">
        <v>1000</v>
      </c>
      <c r="BS46" s="4"/>
      <c r="BZ46" s="46">
        <v>1000</v>
      </c>
      <c r="CV46" s="4"/>
      <c r="DC46" s="46">
        <v>1000</v>
      </c>
      <c r="DZ46" s="4"/>
      <c r="EG46" s="46">
        <v>1000</v>
      </c>
      <c r="FB46" s="4"/>
      <c r="FI46" s="46">
        <v>1000</v>
      </c>
      <c r="GD46" s="4"/>
      <c r="GK46" s="46">
        <v>1000</v>
      </c>
      <c r="HF46" s="4"/>
      <c r="HM46" s="46">
        <v>1000</v>
      </c>
      <c r="IH46" s="4"/>
      <c r="IO46" s="46">
        <v>1000</v>
      </c>
      <c r="JJ46" s="4"/>
      <c r="JQ46" s="46">
        <v>1000</v>
      </c>
      <c r="KL46" s="4"/>
      <c r="KS46" s="46">
        <v>1000</v>
      </c>
      <c r="LN46" s="4"/>
      <c r="LU46" s="46">
        <v>1000</v>
      </c>
      <c r="MP46" s="4"/>
      <c r="MW46" s="46">
        <v>1000</v>
      </c>
      <c r="NR46" s="4"/>
      <c r="NY46" s="46">
        <v>1000</v>
      </c>
      <c r="OT46" s="4"/>
      <c r="PA46" s="46">
        <v>1000</v>
      </c>
      <c r="PV46" s="4"/>
      <c r="QC46" s="46">
        <v>1000</v>
      </c>
    </row>
    <row r="47" spans="1:474" ht="17" hidden="1" x14ac:dyDescent="0.2">
      <c r="A47" s="5"/>
      <c r="B47" s="5"/>
      <c r="C47" s="33" t="s">
        <v>54</v>
      </c>
      <c r="D47" s="20"/>
      <c r="R47" s="10"/>
      <c r="S47" s="10"/>
      <c r="T47" s="10"/>
      <c r="AP47" s="4"/>
      <c r="AW47" s="47">
        <v>1000</v>
      </c>
      <c r="BS47" s="4"/>
      <c r="BZ47" s="47">
        <v>1000</v>
      </c>
      <c r="CV47" s="4"/>
      <c r="DC47" s="47">
        <v>1000</v>
      </c>
      <c r="DZ47" s="4"/>
      <c r="EG47" s="47">
        <v>1000</v>
      </c>
      <c r="FB47" s="4"/>
      <c r="FI47" s="47">
        <v>1000</v>
      </c>
      <c r="GD47" s="4"/>
      <c r="GK47" s="47">
        <v>1000</v>
      </c>
      <c r="HF47" s="4"/>
      <c r="HM47" s="47">
        <v>1000</v>
      </c>
      <c r="IH47" s="4"/>
      <c r="IO47" s="47">
        <v>1000</v>
      </c>
      <c r="JJ47" s="4"/>
      <c r="JQ47" s="47">
        <v>1000</v>
      </c>
      <c r="KL47" s="4"/>
      <c r="KS47" s="47">
        <v>1000</v>
      </c>
      <c r="LN47" s="4"/>
      <c r="LU47" s="47">
        <v>1000</v>
      </c>
      <c r="MP47" s="4"/>
      <c r="MW47" s="47">
        <v>1000</v>
      </c>
      <c r="NR47" s="4"/>
      <c r="NY47" s="47">
        <v>1000</v>
      </c>
      <c r="OT47" s="4"/>
      <c r="PA47" s="47">
        <v>1000</v>
      </c>
      <c r="PV47" s="4"/>
      <c r="QC47" s="47">
        <v>1000</v>
      </c>
    </row>
    <row r="48" spans="1:474" ht="17" hidden="1" x14ac:dyDescent="0.2">
      <c r="A48" s="5"/>
      <c r="B48" s="5"/>
      <c r="C48" s="25" t="s">
        <v>27</v>
      </c>
      <c r="D48" s="20"/>
      <c r="R48" s="10"/>
      <c r="S48" s="10"/>
      <c r="T48" s="10"/>
      <c r="AP48" s="4"/>
      <c r="AW48" s="48">
        <v>1000</v>
      </c>
      <c r="BS48" s="4"/>
      <c r="BZ48" s="48">
        <v>1000</v>
      </c>
      <c r="CV48" s="4"/>
      <c r="DC48" s="48">
        <v>1000</v>
      </c>
      <c r="DZ48" s="4"/>
      <c r="EG48" s="48">
        <v>1000</v>
      </c>
      <c r="FB48" s="4"/>
      <c r="FI48" s="48">
        <v>1000</v>
      </c>
      <c r="GD48" s="4"/>
      <c r="GK48" s="48">
        <v>1000</v>
      </c>
      <c r="HF48" s="4"/>
      <c r="HM48" s="48">
        <v>1000</v>
      </c>
      <c r="IH48" s="4"/>
      <c r="IO48" s="48">
        <v>1000</v>
      </c>
      <c r="JJ48" s="4"/>
      <c r="JQ48" s="48">
        <v>1000</v>
      </c>
      <c r="KL48" s="4"/>
      <c r="KS48" s="48">
        <v>1000</v>
      </c>
      <c r="LN48" s="4"/>
      <c r="LU48" s="48">
        <v>1000</v>
      </c>
      <c r="MP48" s="4"/>
      <c r="MW48" s="48">
        <v>1000</v>
      </c>
      <c r="NR48" s="4"/>
      <c r="NY48" s="48">
        <v>1000</v>
      </c>
      <c r="OT48" s="4"/>
      <c r="PA48" s="48">
        <v>1000</v>
      </c>
      <c r="PV48" s="4"/>
      <c r="QC48" s="48">
        <v>1000</v>
      </c>
    </row>
    <row r="49" spans="1:455" x14ac:dyDescent="0.2">
      <c r="C49" s="29" t="s">
        <v>47</v>
      </c>
      <c r="D49" s="2"/>
    </row>
    <row r="50" spans="1:455" x14ac:dyDescent="0.2">
      <c r="A50" s="5"/>
      <c r="B50" s="5"/>
      <c r="C50" s="5"/>
      <c r="D50" s="20"/>
      <c r="QE50" s="2"/>
      <c r="QF50" s="2"/>
      <c r="QG50" s="2"/>
      <c r="QH50" s="2"/>
      <c r="QI50" s="2"/>
      <c r="QJ50" s="2"/>
      <c r="QK50" s="2"/>
      <c r="QL50" s="2"/>
      <c r="QM50" s="2"/>
    </row>
    <row r="51" spans="1:455" x14ac:dyDescent="0.2">
      <c r="A51" s="5"/>
      <c r="B51" s="5"/>
      <c r="C51" s="5"/>
      <c r="D51" s="20"/>
    </row>
    <row r="52" spans="1:455" x14ac:dyDescent="0.2">
      <c r="A52" s="5"/>
      <c r="B52" s="5"/>
      <c r="C52" s="5"/>
      <c r="D52" s="20"/>
    </row>
    <row r="53" spans="1:455" x14ac:dyDescent="0.2">
      <c r="A53" s="5"/>
      <c r="B53" s="5"/>
      <c r="C53" s="5"/>
      <c r="D53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44">
      <sortCondition descending="1" ref="H1:H45"/>
    </sortState>
  </autoFilter>
  <mergeCells count="117"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U4:AW38">
    <cfRule type="expression" dxfId="59" priority="7" stopIfTrue="1">
      <formula>IF($AO4&lt;&gt;"",1,0)</formula>
    </cfRule>
  </conditionalFormatting>
  <conditionalFormatting sqref="AX4:BZ38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8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9:AT1048576 BW49:BW1048576 ED49:ED1048576 FF49:FF1048576 BW1:BW47 CZ1:CZ1048576 ED1:ED47 FF1:FF47 GH1:GH1048576 HJ1:HJ1048576 IL1:IL1048576 JN1:JN1048576 KP1:KP1048576 LR1:LR1048576 MT1:MT1048576 NV1:NV1048576 OX1:OX1048576 PZ1:PZ1048576 AT1:AT47">
    <cfRule type="cellIs" dxfId="46" priority="59088" operator="between">
      <formula>AW$48</formula>
      <formula>1000</formula>
    </cfRule>
    <cfRule type="cellIs" dxfId="45" priority="59089" operator="between">
      <formula>AW$47</formula>
      <formula>AW$48</formula>
    </cfRule>
    <cfRule type="cellIs" dxfId="44" priority="59090" operator="between">
      <formula>AW$46</formula>
      <formula>AW$47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244153" operator="between">
      <formula>AW$41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244198" operator="between">
      <formula>AW$45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244243" operator="between">
      <formula>AW$41</formula>
      <formula>AW$42</formula>
    </cfRule>
    <cfRule type="cellIs" dxfId="39" priority="244244" operator="between">
      <formula>AW$42</formula>
      <formula>AW$43</formula>
    </cfRule>
    <cfRule type="cellIs" dxfId="38" priority="244245" operator="between">
      <formula>AW$43</formula>
      <formula>AW$44</formula>
    </cfRule>
    <cfRule type="cellIs" dxfId="37" priority="244246" operator="between">
      <formula>AW$44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244423" operator="between">
      <formula>AW$45</formula>
      <formula>AW$46</formula>
    </cfRule>
    <cfRule type="cellIs" dxfId="35" priority="244424" operator="between">
      <formula>AW$46</formula>
      <formula>AW$47</formula>
    </cfRule>
    <cfRule type="cellIs" dxfId="34" priority="244425" operator="between">
      <formula>AW$47</formula>
      <formula>AW$48</formula>
    </cfRule>
    <cfRule type="cellIs" dxfId="33" priority="244426" operator="between">
      <formula>AW$48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244603" operator="between">
      <formula>AW$44</formula>
      <formula>1000</formula>
    </cfRule>
    <cfRule type="cellIs" dxfId="31" priority="244604" operator="between">
      <formula>AW$43</formula>
      <formula>AW$44</formula>
    </cfRule>
    <cfRule type="cellIs" dxfId="30" priority="244605" operator="between">
      <formula>AW$42</formula>
      <formula>AW$43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 t="s">
        <v>197</v>
      </c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134</v>
      </c>
      <c r="D4" s="4" t="s">
        <v>5</v>
      </c>
      <c r="E4" s="4">
        <v>2007</v>
      </c>
      <c r="F4" s="9">
        <f t="shared" ref="F4:F36" si="0">SUM(L4:R4)+SUM(L4:O4)*0.0000001+SUM(L4)*0.0000000000001</f>
        <v>153.70001023500515</v>
      </c>
      <c r="G4" s="64" t="s">
        <v>46</v>
      </c>
      <c r="H4" s="3" t="str">
        <f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DZ4&gt;=EG$39,EA4&gt;=EG$43,DZ4&lt;&gt;""),AND(EE4&gt;=EG$39,EF4&gt;=EG$43,EE4&lt;&gt;""),AND(FB4&gt;=FI$39,FC4&gt;=FI$43,FB4&lt;&gt;""),AND(FG4&gt;=FI$39,FH4&gt;=FI$43,FG4&lt;&gt;""),AND(GD4&gt;=GK$39,GE4&gt;=GK$43,GD4&lt;&gt;""),AND(GI4&gt;=GK$39,GJ4&gt;=GK$43,GI4&lt;&gt;""),AND(HF4&gt;=HM$39,HG4&gt;=HM$43,HF4&lt;&gt;""),AND(HK4&gt;=HM$39,HL4&gt;=HM$43,HK4&lt;&gt;""),AND(IH4&gt;=IO$39,II4&gt;=IO$43,IH4&lt;&gt;""),AND(IM4&gt;=IO$39,IN4&gt;=IO$43,IM4&lt;&gt;""),AND(JJ4&gt;=JQ$39,JK4&gt;=JQ$43,JJ4&lt;&gt;""),AND(JO4&gt;=JQ$39,JP4&gt;=JQ$43,JO4&lt;&gt;""),AND(KL4&gt;=KS$39,KM4&gt;=KS$43,KL4&lt;&gt;""),AND(KQ4&gt;=KS$39,KR4&gt;=KS$43,KQ4&lt;&gt;""),AND(LN4&gt;=LU$39,LO4&gt;=LU$43,LN4&lt;&gt;""),AND(LS4&gt;=LU$39,LT4&gt;=LU$43,LS4&lt;&gt;""),AND(MP4&gt;=MW$39,MQ4&gt;=MW$43,MP4&lt;&gt;""),AND(MU4&gt;=MW$39,MV4&gt;=MW$43,MU4&lt;&gt;""),AND(NR4&gt;=NY$39,NS4&gt;=NY$43,NR4&lt;&gt;""),AND(NW4&gt;=NY$39,NX4&gt;=NY$43,NW4&lt;&gt;""),AND(OT4&gt;=PA$39,OU4&gt;=PA$43,OT4&lt;&gt;""),AND(OY4&gt;=PA$39,OZ4&gt;=PA$43,OY4&lt;&gt;""),AND(PV4&gt;=QC$39,PW4&gt;=QC$43,PV4&lt;&gt;""),AND(QA4&gt;=QC$39,QB4&gt;=QC$43,QA4&lt;&gt;"")),"P","")</f>
        <v>P</v>
      </c>
      <c r="I4" s="3" t="str">
        <f>IF(OR(AND(AQ4&gt;=AW$43,AQ4&lt;&gt;"",AO4=""),AND(AV4&gt;=AW$43,AV4&lt;&gt;"",AO4=""),AND(BT4&gt;=BZ$43,BT4&lt;&gt;"",BR4=""),AND(BY4&gt;=BZ$43,BY4&lt;&gt;"",BR4=""),AND(CW4&gt;=DC$43,CW4&lt;&gt;"",CU4=""),AND(DB4&gt;=DC$43,DB4&lt;&gt;"",CU4=""),AND(EA4&gt;=EG$43,EA4&lt;&gt;""),AND(EF4&gt;=EG$43,EF4&lt;&gt;""),AND(FC4&gt;=FI$43,FC4&lt;&gt;""),AND(FH4&gt;=FI$43,FH4&lt;&gt;""),AND(GE4&gt;=GK$43,GE4&lt;&gt;""),AND(GJ4&gt;=GK$43,GJ4&lt;&gt;""),AND(HG4&gt;=HM$43,HG4&lt;&gt;""),AND(HL4&gt;=HM$43,HL4&lt;&gt;""),AND(II4&gt;=IO$43,II4&lt;&gt;""),AND(IN4&gt;=IO$43,IN4&lt;&gt;""),AND(JK4&gt;=JQ$43,JK4&lt;&gt;""),AND(JP4&gt;=JQ$43,JP4&lt;&gt;""),AND(KM4&gt;=KS$43,KM4&lt;&gt;""),AND(KR4&gt;=KS$43,KR4&lt;&gt;""),AND(LO4&gt;=LU$43,LO4&lt;&gt;""),AND(LT4&gt;=LU$43,LT4&lt;&gt;""),AND(MQ4&gt;=MW$43,MQ4&lt;&gt;""),AND(MV4&gt;=MW$43,MV4&lt;&gt;""),AND(NS4&gt;=NY$43,NS4&lt;&gt;""),AND(NX4&gt;=NY$43,NX4&lt;&gt;""),AND(OU4&gt;=PA$43,OU4&lt;&gt;""),AND(OZ4&gt;=PA$43,OZ4&lt;&gt;""),AND(PW4&gt;=QC$43,PW4&lt;&gt;""),AND(QB4&gt;=QC$43,QB4&lt;&gt;"")),"P","")</f>
        <v>P</v>
      </c>
      <c r="J4" s="36" t="str">
        <f>IF(AND(I4="P",H4=""),"No DD",IF(OR(AND(AS4&gt;=AW$42,AT4&gt;=AW$46,AS4&lt;&gt;"",AO4=""),AND(BV4&gt;=BZ$42,BW4&gt;=BZ$46,BV4&lt;&gt;"",BR4=""),AND(CY4&gt;=DC$42,CZ4&gt;=DC$46,CY4&lt;&gt;"",CU4=""),AND(EC4&gt;=EG$42,ED4&gt;=EG$46,EC4&lt;&gt;""),AND(FE4&gt;=FI$42,FF4&gt;=FI$46,FE4&lt;&gt;""),AND(GG4&gt;=GK$42,GH4&gt;=GK$46,GG4&lt;&gt;""),AND(HI4&gt;=HM$42,HJ4&gt;=HM$46,HI4&lt;&gt;""),AND(IK4&gt;=IO$42,IL4&gt;=IO$46,IK4&lt;&gt;""),AND(JM4&gt;=JQ$42,JN4&gt;=JQ$46,JM4&lt;&gt;""),AND(KO4&gt;=KS$42,KP4&gt;=KS$46,KO4&lt;&gt;""),AND(LQ4&gt;=LU$42,LR4&gt;=LU$46,LQ4&lt;&gt;""),AND(MS4&gt;=MW$42,MT4&gt;=MW$46,MS4&lt;&gt;""),AND(NU4&gt;=NY$42,NV4&gt;=NY$46,NU4&lt;&gt;""),AND(OW4&gt;=PA$42,OX4&gt;=PA$46,OW4&lt;&gt;""),AND(PY4&gt;=QC$42,PZ4&gt;=QC$46,PY4&lt;&gt;"")),"Merit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Excellence",IF(K4="P","Worlds Team",IF(H4="P","National Team","")))))</f>
        <v>National Team</v>
      </c>
      <c r="K4" s="3" t="str">
        <f>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P","")</f>
        <v/>
      </c>
      <c r="L4" s="8">
        <f>IF(COUNT(AQ4,BT4,CW4)&gt;0,LARGE((AQ4,BT4,CW4),1),0)</f>
        <v>51.7</v>
      </c>
      <c r="M4" s="8" t="str">
        <f t="shared" ref="M4:M36" si="1">IF(L4=0,"",IF(L4=CW4,$CA$1,IF(L4=BT4,$AX$1,IF(L4=AQ4,$U$1,""))))</f>
        <v>2025 Nationals</v>
      </c>
      <c r="N4" s="8">
        <f>IF(COUNT(AQ4,BT4,CW4)&gt;1,LARGE((AQ4,BT4,CW4),2),0)</f>
        <v>50.65</v>
      </c>
      <c r="O4" s="8" t="str">
        <f t="shared" ref="O4:O36" si="2">IF(N4=0,"",IF(AND(N4=L4,N4=AQ4,N4=BT4),$U$1,IF(AND(N4=L4,N4=AQ4,N4=CW4),$U$1,IF(AND(N4=L4,N4=BT4,N4=CW4),$AX$1,IF(N4=CW4,$CA$1,IF(N4=BT4,$AX$1,IF(N4=AQ4,$U$1,"")))))))</f>
        <v>2024 3rd Domestic Trial</v>
      </c>
      <c r="P4" s="8">
        <f t="shared" ref="P4:P36" si="3">IF(MAX(AV4,BY4,DB4)&gt;0,MAX(AV4,BY4,DB4),0)</f>
        <v>51.35</v>
      </c>
      <c r="Q4" s="8" t="str">
        <f t="shared" ref="Q4:Q36" si="4">IF(P4=0,"",IF(P4=DB4,$CA$1,IF(P4=BY4,$AX$1,IF(P4=AV4,$U$1,""))))</f>
        <v>2024 3rd Domestic Trial</v>
      </c>
      <c r="R4" s="8" t="str">
        <f t="shared" ref="R4:R36" si="5">IF(MAX(DD4:DE4)&gt;0,MAX(DD4:DE4),"")</f>
        <v/>
      </c>
      <c r="S4" s="11" t="str">
        <f t="shared" ref="S4:S36" si="6">IF(R4="","",IF(R4=DD4,"("&amp;DD$2&amp;")",IF(R4=DE4,"("&amp;DE$2&amp;")")))</f>
        <v/>
      </c>
      <c r="T4" s="8" t="str">
        <f t="shared" ref="T4:T36" si="7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18.899999999999999</v>
      </c>
      <c r="V4" s="19">
        <v>6.8</v>
      </c>
      <c r="W4" s="19">
        <v>0</v>
      </c>
      <c r="X4" s="19">
        <v>0.3</v>
      </c>
      <c r="Y4" s="19">
        <v>18.55</v>
      </c>
      <c r="Z4" s="19">
        <v>6.4</v>
      </c>
      <c r="AA4" s="19">
        <v>0.3</v>
      </c>
      <c r="AB4" s="19">
        <v>0</v>
      </c>
      <c r="AC4" s="19">
        <v>18.299999999999997</v>
      </c>
      <c r="AD4" s="19">
        <v>5.6</v>
      </c>
      <c r="AE4" s="19">
        <v>0.6</v>
      </c>
      <c r="AF4" s="19">
        <v>0.3</v>
      </c>
      <c r="AG4" s="19">
        <v>18.899999999999999</v>
      </c>
      <c r="AH4" s="19">
        <v>6.8</v>
      </c>
      <c r="AI4" s="19">
        <v>0</v>
      </c>
      <c r="AJ4" s="19">
        <v>0.3</v>
      </c>
      <c r="AK4" s="19">
        <v>18.95</v>
      </c>
      <c r="AL4" s="19">
        <v>6.4</v>
      </c>
      <c r="AM4" s="19">
        <v>0</v>
      </c>
      <c r="AN4" s="19">
        <v>0</v>
      </c>
      <c r="AO4" s="27" t="s">
        <v>46</v>
      </c>
      <c r="AP4" s="40">
        <f t="shared" ref="AP4:AP36" si="8">IF(SUM(V4,Z4)&gt;0,SUM(V4,Z4),"")</f>
        <v>13.2</v>
      </c>
      <c r="AQ4" s="40">
        <f t="shared" ref="AQ4:AQ36" si="9">IF(SUM(U4:V4,X4:Z4,AB4)-W4-AA4&gt;0,SUM(U4:V4,X4:Z4,AB4)-W4-AA4,"")</f>
        <v>50.65</v>
      </c>
      <c r="AR4" s="40">
        <f t="shared" ref="AR4:AR36" si="10">IF(SUM(AC4:AD4,AF4)-AE4&gt;0,SUM(AC4:AD4,AF4)-AE4,"")</f>
        <v>23.599999999999998</v>
      </c>
      <c r="AS4" s="40">
        <f t="shared" ref="AS4:AS36" si="11">IF(SUM(V4,Z4,AD4)&gt;0,SUM(V4,Z4,AD4),"")</f>
        <v>18.799999999999997</v>
      </c>
      <c r="AT4" s="40">
        <f t="shared" ref="AT4:AT36" si="12">IF(SUM(AQ4,AR4)&gt;0,SUM(AQ4,AR4),"")</f>
        <v>74.25</v>
      </c>
      <c r="AU4" s="40">
        <f t="shared" ref="AU4:AU36" si="13">IF(SUM(AH4,AL4)&gt;0,SUM(AH4,AL4),"")</f>
        <v>13.2</v>
      </c>
      <c r="AV4" s="40">
        <f t="shared" ref="AV4:AV36" si="14">IF(SUM(AG4:AH4,AJ4:AL4,AN4)-SUM(AI4,AM4)&gt;0,SUM(AG4:AH4,AJ4:AL4,AN4)-SUM(AI4,AM4),"")</f>
        <v>51.35</v>
      </c>
      <c r="AW4" s="40">
        <f t="shared" ref="AW4:AW36" si="15">IF(SUM(AQ4,AR4,AV4)&gt;0,SUM(AQ4,AR4,AV4),"")</f>
        <v>125.6</v>
      </c>
      <c r="AX4" s="18">
        <v>18.760000000000002</v>
      </c>
      <c r="AY4" s="18">
        <v>6.8</v>
      </c>
      <c r="AZ4" s="18">
        <v>0.8</v>
      </c>
      <c r="BA4" s="18">
        <v>0.3</v>
      </c>
      <c r="BB4" s="18">
        <v>18.399999999999999</v>
      </c>
      <c r="BC4" s="18">
        <v>4.8</v>
      </c>
      <c r="BD4" s="18">
        <v>0</v>
      </c>
      <c r="BE4" s="18">
        <v>0</v>
      </c>
      <c r="BF4" s="18"/>
      <c r="BG4" s="18"/>
      <c r="BH4" s="18"/>
      <c r="BI4" s="18"/>
      <c r="BJ4" s="18">
        <v>18.2</v>
      </c>
      <c r="BK4" s="18">
        <v>7.2</v>
      </c>
      <c r="BL4" s="18">
        <v>0.2</v>
      </c>
      <c r="BM4" s="18">
        <v>0.3</v>
      </c>
      <c r="BN4" s="18">
        <v>18.600000000000001</v>
      </c>
      <c r="BO4" s="18">
        <v>6</v>
      </c>
      <c r="BP4" s="18">
        <v>0</v>
      </c>
      <c r="BQ4" s="18">
        <v>0</v>
      </c>
      <c r="BR4" s="28"/>
      <c r="BS4" s="11">
        <f t="shared" ref="BS4:BS36" si="16">IF(SUM(AY4,BC4)&gt;0,SUM(AY4,BC4),"")</f>
        <v>11.6</v>
      </c>
      <c r="BT4" s="11">
        <f t="shared" ref="BT4:BT36" si="17">IF(SUM(AX4:AY4,BA4:BC4,BE4)-AZ4-BD4&gt;0,SUM(AX4:AY4,BA4:BC4,BE4)-AZ4-BD4,"")</f>
        <v>48.260000000000005</v>
      </c>
      <c r="BU4" s="11" t="str">
        <f t="shared" ref="BU4:BU36" si="18">IF(SUM(BF4:BG4,BI4)-BH4&gt;0,SUM(BF4:BG4,BI4)-BH4,"")</f>
        <v/>
      </c>
      <c r="BV4" s="11">
        <f t="shared" ref="BV4:BV36" si="19">IF(SUM(AY4,BC4,BG4)&gt;0,SUM(AY4,BC4,BG4),"")</f>
        <v>11.6</v>
      </c>
      <c r="BW4" s="11">
        <f t="shared" ref="BW4:BW36" si="20">IF(SUM(BT4,BU4)&gt;0,SUM(BT4,BU4),"")</f>
        <v>48.260000000000005</v>
      </c>
      <c r="BX4" s="11">
        <f t="shared" ref="BX4:BX36" si="21">IF(SUM(BK4,BO4)&gt;0,SUM(BK4,BO4),"")</f>
        <v>13.2</v>
      </c>
      <c r="BY4" s="11">
        <f t="shared" ref="BY4:BY36" si="22">IF(SUM(BJ4:BK4,BM4:BO4,BQ4)-SUM(BL4,BP4)&gt;0,SUM(BJ4:BK4,BM4:BO4,BQ4)-SUM(BL4,BP4),"")</f>
        <v>50.099999999999994</v>
      </c>
      <c r="BZ4" s="11">
        <f t="shared" ref="BZ4:BZ36" si="23">IF(SUM(BT4,BU4,BY4)&gt;0,SUM(BT4,BU4,BY4),"")</f>
        <v>98.36</v>
      </c>
      <c r="CA4" s="19">
        <v>19.100000000000001</v>
      </c>
      <c r="CB4" s="19">
        <v>7.2</v>
      </c>
      <c r="CC4" s="19">
        <v>0</v>
      </c>
      <c r="CD4" s="19">
        <v>0.3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7.2</v>
      </c>
      <c r="CO4" s="19">
        <v>0.6</v>
      </c>
      <c r="CP4" s="19">
        <v>0.3</v>
      </c>
      <c r="CQ4" s="19">
        <v>18.399999999999999</v>
      </c>
      <c r="CR4" s="19">
        <v>5.2</v>
      </c>
      <c r="CS4" s="19">
        <v>0</v>
      </c>
      <c r="CT4" s="19">
        <v>0.3</v>
      </c>
      <c r="CU4" s="27"/>
      <c r="CV4" s="40">
        <f t="shared" ref="CV4:CV36" si="24">IF(SUM(CB4,CF4)&gt;0,SUM(CB4,CF4),"")</f>
        <v>13.2</v>
      </c>
      <c r="CW4" s="40">
        <f t="shared" ref="CW4:CW36" si="25">IF(SUM(CA4:CB4,CD4:CF4,CH4)-CC4-CG4&gt;0,SUM(CA4:CB4,CD4:CF4,CH4)-CC4-CG4,"")</f>
        <v>51.7</v>
      </c>
      <c r="CX4" s="40" t="str">
        <f t="shared" ref="CX4:CX36" si="26">IF(SUM(CI4:CJ4,CL4)-CK4&gt;0,SUM(CI4:CJ4,CL4)-CK4,"")</f>
        <v/>
      </c>
      <c r="CY4" s="40">
        <f t="shared" ref="CY4:CY36" si="27">IF(SUM(CB4,CF4,CJ4)&gt;0,SUM(CB4,CF4,CJ4),"")</f>
        <v>13.2</v>
      </c>
      <c r="CZ4" s="40">
        <f t="shared" ref="CZ4:CZ36" si="28">IF(SUM(CW4,CX4)&gt;0,SUM(CW4,CX4),"")</f>
        <v>51.7</v>
      </c>
      <c r="DA4" s="40">
        <f t="shared" ref="DA4:DA36" si="29">IF(SUM(CN4,CR4)&gt;0,SUM(CN4,CR4),"")</f>
        <v>12.4</v>
      </c>
      <c r="DB4" s="40">
        <f t="shared" ref="DB4:DB36" si="30">IF(SUM(CM4:CN4,CP4:CR4,CT4)-SUM(CO4,CS4)&gt;0,SUM(CM4:CN4,CP4:CR4,CT4)-SUM(CO4,CS4),"")</f>
        <v>49.9</v>
      </c>
      <c r="DC4" s="40">
        <f t="shared" ref="DC4:DC36" si="31">IF(SUM(CW4,CX4,DB4)&gt;0,SUM(CW4,CX4,DB4),"")</f>
        <v>101.6</v>
      </c>
      <c r="DD4" s="50" t="str">
        <f t="shared" ref="DD4:DD36" si="32">IF(MAX(EA4,FC4,GE4,HG4,II4,JK4,KM4,LO4,MQ4,NS4,OU4,PW4)-IF(N4="",0,N4)&gt;0.001,MAX(EA4,FC4,GE4,HG4,II4,JK4,KM4,LO4,MQ4,NS4,OU4,PW4)-IF(N4="",0,N4),"")</f>
        <v/>
      </c>
      <c r="DE4" s="50" t="str">
        <f t="shared" ref="DE4:DE36" si="33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6" si="34">IF(SUM(DG4,DK4)&gt;0,SUM(DG4,DK4),"")</f>
        <v/>
      </c>
      <c r="EA4" s="40" t="str">
        <f t="shared" ref="EA4:EA36" si="35">IF(SUM(DF4:DG4,DI4:DK4,DM4)-DH4-DL4&gt;0,SUM(DF4:DG4,DI4:DK4,DM4)-DH4-DL4,"")</f>
        <v/>
      </c>
      <c r="EB4" s="40" t="str">
        <f t="shared" ref="EB4:EB36" si="36">IF(SUM(DN4:DO4,DQ4)-DP4&gt;0,SUM(DN4:DO4,DQ4)-DP4,"")</f>
        <v/>
      </c>
      <c r="EC4" s="40" t="str">
        <f t="shared" ref="EC4:EC36" si="37">IF(SUM(DG4,DK4,DO4)&gt;0,SUM(DG4,DK4,DO4),"")</f>
        <v/>
      </c>
      <c r="ED4" s="40" t="str">
        <f t="shared" ref="ED4:ED36" si="38">IF(SUM(EA4,EB4)&gt;0,SUM(EA4,EB4),"")</f>
        <v/>
      </c>
      <c r="EE4" s="40" t="str">
        <f t="shared" ref="EE4:EE36" si="39">IF(SUM(DS4,DW4)&gt;0,SUM(DS4,DW4),"")</f>
        <v/>
      </c>
      <c r="EF4" s="40" t="str">
        <f t="shared" ref="EF4:EF36" si="40">IF(SUM(DR4:DS4,DU4:DW4,DY4)-SUM(DT4,DX4)&gt;0,SUM(DR4:DS4,DU4:DW4,DY4)-SUM(DT4,DX4),"")</f>
        <v/>
      </c>
      <c r="EG4" s="40" t="str">
        <f t="shared" ref="EG4:EG36" si="41">IF(SUM(EA4,EB4,EF4)&gt;0,SUM(EA4,EB4,EF4),"")</f>
        <v/>
      </c>
      <c r="EH4" s="18">
        <v>18.8</v>
      </c>
      <c r="EI4" s="18">
        <v>7.2</v>
      </c>
      <c r="EJ4" s="18">
        <v>0</v>
      </c>
      <c r="EK4" s="18">
        <v>0</v>
      </c>
      <c r="EL4" s="18">
        <v>18.600000000000001</v>
      </c>
      <c r="EM4" s="18">
        <v>6</v>
      </c>
      <c r="EN4" s="18">
        <v>0.2</v>
      </c>
      <c r="EO4" s="18">
        <v>0</v>
      </c>
      <c r="EP4" s="18"/>
      <c r="EQ4" s="18"/>
      <c r="ER4" s="18"/>
      <c r="ES4" s="18"/>
      <c r="ET4" s="18">
        <v>19</v>
      </c>
      <c r="EU4" s="18">
        <v>7.2</v>
      </c>
      <c r="EV4" s="18">
        <v>0</v>
      </c>
      <c r="EW4" s="18">
        <v>0</v>
      </c>
      <c r="EX4" s="18">
        <v>18.600000000000001</v>
      </c>
      <c r="EY4" s="18">
        <v>6</v>
      </c>
      <c r="EZ4" s="18">
        <v>0.6</v>
      </c>
      <c r="FA4" s="18">
        <v>0</v>
      </c>
      <c r="FB4" s="11">
        <f t="shared" ref="FB4:FB36" si="42">IF(SUM(EI4,EM4)&gt;0,SUM(EI4,EM4),"")</f>
        <v>13.2</v>
      </c>
      <c r="FC4" s="11">
        <f t="shared" ref="FC4:FC36" si="43">IF(SUM(EH4:EI4,EK4:EM4,EO4)-EJ4-EN4&gt;0,SUM(EH4:EI4,EK4:EM4,EO4)-EJ4-EN4,"")</f>
        <v>50.4</v>
      </c>
      <c r="FD4" s="11" t="str">
        <f t="shared" ref="FD4:FD36" si="44">IF(SUM(EP4:EQ4,ES4)-ER4&gt;0,SUM(EP4:EQ4,ES4)-ER4,"")</f>
        <v/>
      </c>
      <c r="FE4" s="11">
        <f t="shared" ref="FE4:FE36" si="45">IF(SUM(EI4,EM4,EQ4)&gt;0,SUM(EI4,EM4,EQ4),"")</f>
        <v>13.2</v>
      </c>
      <c r="FF4" s="11">
        <f t="shared" ref="FF4:FF36" si="46">IF(SUM(FC4,FD4)&gt;0,SUM(FC4,FD4),"")</f>
        <v>50.4</v>
      </c>
      <c r="FG4" s="11">
        <f t="shared" ref="FG4:FG36" si="47">IF(SUM(EU4,EY4)&gt;0,SUM(EU4,EY4),"")</f>
        <v>13.2</v>
      </c>
      <c r="FH4" s="11">
        <f t="shared" ref="FH4:FH36" si="48">IF(SUM(ET4:EU4,EW4:EY4,FA4)-SUM(EV4,EZ4)&gt;0,SUM(ET4:EU4,EW4:EY4,FA4)-SUM(EV4,EZ4),"")</f>
        <v>50.199999999999996</v>
      </c>
      <c r="FI4" s="11">
        <f t="shared" ref="FI4:FI36" si="49">IF(SUM(FC4,FD4,FH4)&gt;0,SUM(FC4,FD4,FH4),"")</f>
        <v>100.6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36" si="50">IF(SUM(FK4,FO4)&gt;0,SUM(FK4,FO4),"")</f>
        <v/>
      </c>
      <c r="GE4" s="40" t="str">
        <f t="shared" ref="GE4:GE36" si="51">IF(SUM(FJ4:FK4,FM4:FO4,FQ4)-FL4-FP4&gt;0,SUM(FJ4:FK4,FM4:FO4,FQ4)-FL4-FP4,"")</f>
        <v/>
      </c>
      <c r="GF4" s="40" t="str">
        <f t="shared" ref="GF4:GF36" si="52">IF(SUM(FR4:FS4,FU4)-FT4&gt;0,SUM(FR4:FS4,FU4)-FT4,"")</f>
        <v/>
      </c>
      <c r="GG4" s="40" t="str">
        <f t="shared" ref="GG4:GG36" si="53">IF(SUM(FK4,FO4,FS4)&gt;0,SUM(FK4,FO4,FS4),"")</f>
        <v/>
      </c>
      <c r="GH4" s="40" t="str">
        <f t="shared" ref="GH4:GH36" si="54">IF(SUM(GE4,GF4)&gt;0,SUM(GE4,GF4),"")</f>
        <v/>
      </c>
      <c r="GI4" s="40" t="str">
        <f t="shared" ref="GI4:GI36" si="55">IF(SUM(FW4,GA4)&gt;0,SUM(FW4,GA4),"")</f>
        <v/>
      </c>
      <c r="GJ4" s="40" t="str">
        <f t="shared" ref="GJ4:GJ36" si="56">IF(SUM(FV4:FW4,FY4:GA4,GC4)-SUM(FX4,GB4)&gt;0,SUM(FV4:FW4,FY4:GA4,GC4)-SUM(FX4,GB4),"")</f>
        <v/>
      </c>
      <c r="GK4" s="40" t="str">
        <f t="shared" ref="GK4:GK36" si="57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6" si="58">IF(SUM(GM4,GQ4)&gt;0,SUM(GM4,GQ4),"")</f>
        <v/>
      </c>
      <c r="HG4" s="11" t="str">
        <f t="shared" ref="HG4:HG36" si="59">IF(SUM(GL4:GM4,GO4:GQ4,GS4)-GN4-GR4&gt;0,SUM(GL4:GM4,GO4:GQ4,GS4)-GN4-GR4,"")</f>
        <v/>
      </c>
      <c r="HH4" s="11" t="str">
        <f t="shared" ref="HH4:HH36" si="60">IF(SUM(GT4:GU4,GW4)-GV4&gt;0,SUM(GT4:GU4,GW4)-GV4,"")</f>
        <v/>
      </c>
      <c r="HI4" s="11" t="str">
        <f t="shared" ref="HI4:HI36" si="61">IF(SUM(GM4,GQ4,GU4)&gt;0,SUM(GM4,GQ4,GU4),"")</f>
        <v/>
      </c>
      <c r="HJ4" s="11" t="str">
        <f t="shared" ref="HJ4:HJ36" si="62">IF(SUM(HG4,HH4)&gt;0,SUM(HG4,HH4),"")</f>
        <v/>
      </c>
      <c r="HK4" s="11" t="str">
        <f t="shared" ref="HK4:HK36" si="63">IF(SUM(GY4,HC4)&gt;0,SUM(GY4,HC4),"")</f>
        <v/>
      </c>
      <c r="HL4" s="11" t="str">
        <f t="shared" ref="HL4:HL36" si="64">IF(SUM(GX4:GY4,HA4:HC4,HE4)-SUM(GZ4,HD4)&gt;0,SUM(GX4:GY4,HA4:HC4,HE4)-SUM(GZ4,HD4),"")</f>
        <v/>
      </c>
      <c r="HM4" s="11" t="str">
        <f t="shared" ref="HM4:HM36" si="65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6" si="66">IF(SUM(HO4,HS4)&gt;0,SUM(HO4,HS4),"")</f>
        <v/>
      </c>
      <c r="II4" s="40" t="str">
        <f t="shared" ref="II4:II36" si="67">IF(SUM(HN4:HO4,HQ4:HS4,HU4)-HP4-HT4&gt;0,SUM(HN4:HO4,HQ4:HS4,HU4)-HP4-HT4,"")</f>
        <v/>
      </c>
      <c r="IJ4" s="40" t="str">
        <f t="shared" ref="IJ4:IJ36" si="68">IF(SUM(HV4:HW4,HY4)-HX4&gt;0,SUM(HV4:HW4,HY4)-HX4,"")</f>
        <v/>
      </c>
      <c r="IK4" s="40" t="str">
        <f t="shared" ref="IK4:IK36" si="69">IF(SUM(HO4,HS4,HW4)&gt;0,SUM(HO4,HS4,HW4),"")</f>
        <v/>
      </c>
      <c r="IL4" s="40" t="str">
        <f t="shared" ref="IL4:IL36" si="70">IF(SUM(II4,IJ4)&gt;0,SUM(II4,IJ4),"")</f>
        <v/>
      </c>
      <c r="IM4" s="40" t="str">
        <f t="shared" ref="IM4:IM36" si="71">IF(SUM(IA4,IE4)&gt;0,SUM(IA4,IE4),"")</f>
        <v/>
      </c>
      <c r="IN4" s="40" t="str">
        <f t="shared" ref="IN4:IN36" si="72">IF(SUM(HZ4:IA4,IC4:IE4,IG4)-SUM(IB4,IF4)&gt;0,SUM(HZ4:IA4,IC4:IE4,IG4)-SUM(IB4,IF4),"")</f>
        <v/>
      </c>
      <c r="IO4" s="40" t="str">
        <f t="shared" ref="IO4:IO36" si="73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6" si="74">IF(SUM(IQ4,IU4)&gt;0,SUM(IQ4,IU4),"")</f>
        <v/>
      </c>
      <c r="JK4" s="11" t="str">
        <f t="shared" ref="JK4:JK36" si="75">IF(SUM(IP4:IQ4,IS4:IU4,IW4)-IR4-IV4&gt;0,SUM(IP4:IQ4,IS4:IU4,IW4)-IR4-IV4,"")</f>
        <v/>
      </c>
      <c r="JL4" s="11" t="str">
        <f t="shared" ref="JL4:JL36" si="76">IF(SUM(IX4:IY4,JA4)-IZ4&gt;0,SUM(IX4:IY4,JA4)-IZ4,"")</f>
        <v/>
      </c>
      <c r="JM4" s="11" t="str">
        <f t="shared" ref="JM4:JM36" si="77">IF(SUM(IQ4,IU4,IY4)&gt;0,SUM(IQ4,IU4,IY4),"")</f>
        <v/>
      </c>
      <c r="JN4" s="11" t="str">
        <f t="shared" ref="JN4:JN36" si="78">IF(SUM(JK4,JL4)&gt;0,SUM(JK4,JL4),"")</f>
        <v/>
      </c>
      <c r="JO4" s="11" t="str">
        <f t="shared" ref="JO4:JO36" si="79">IF(SUM(JC4,JG4)&gt;0,SUM(JC4,JG4),"")</f>
        <v/>
      </c>
      <c r="JP4" s="11" t="str">
        <f t="shared" ref="JP4:JP36" si="80">IF(SUM(JB4:JC4,JE4:JG4,JI4)-SUM(JD4,JH4)&gt;0,SUM(JB4:JC4,JE4:JG4,JI4)-SUM(JD4,JH4),"")</f>
        <v/>
      </c>
      <c r="JQ4" s="11" t="str">
        <f t="shared" ref="JQ4:JQ36" si="81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6" si="82">IF(SUM(JS4,JW4)&gt;0,SUM(JS4,JW4),"")</f>
        <v/>
      </c>
      <c r="KM4" s="40" t="str">
        <f t="shared" ref="KM4:KM36" si="83">IF(SUM(JR4:JS4,JU4:JW4,JY4)-JT4-JX4&gt;0,SUM(JR4:JS4,JU4:JW4,JY4)-JT4-JX4,"")</f>
        <v/>
      </c>
      <c r="KN4" s="40" t="str">
        <f t="shared" ref="KN4:KN36" si="84">IF(SUM(JZ4:KA4,KC4)-KB4&gt;0,SUM(JZ4:KA4,KC4)-KB4,"")</f>
        <v/>
      </c>
      <c r="KO4" s="40" t="str">
        <f t="shared" ref="KO4:KO36" si="85">IF(SUM(JS4,JW4,KA4)&gt;0,SUM(JS4,JW4,KA4),"")</f>
        <v/>
      </c>
      <c r="KP4" s="40" t="str">
        <f t="shared" ref="KP4:KP36" si="86">IF(SUM(KM4,KN4)&gt;0,SUM(KM4,KN4),"")</f>
        <v/>
      </c>
      <c r="KQ4" s="40" t="str">
        <f t="shared" ref="KQ4:KQ36" si="87">IF(SUM(KE4,KI4)&gt;0,SUM(KE4,KI4),"")</f>
        <v/>
      </c>
      <c r="KR4" s="40" t="str">
        <f t="shared" ref="KR4:KR36" si="88">IF(SUM(KD4:KE4,KG4:KI4,KK4)-SUM(KF4,KJ4)&gt;0,SUM(KD4:KE4,KG4:KI4,KK4)-SUM(KF4,KJ4),"")</f>
        <v/>
      </c>
      <c r="KS4" s="40" t="str">
        <f t="shared" ref="KS4:KS36" si="89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6" si="90">IF(SUM(KU4,KY4)&gt;0,SUM(KU4,KY4),"")</f>
        <v/>
      </c>
      <c r="LO4" s="11" t="str">
        <f t="shared" ref="LO4:LO36" si="91">IF(SUM(KT4:KU4,KW4:KY4,LA4)-KV4-KZ4&gt;0,SUM(KT4:KU4,KW4:KY4,LA4)-KV4-KZ4,"")</f>
        <v/>
      </c>
      <c r="LP4" s="11" t="str">
        <f t="shared" ref="LP4:LP36" si="92">IF(SUM(LB4:LC4,LE4)-LD4&gt;0,SUM(LB4:LC4,LE4)-LD4,"")</f>
        <v/>
      </c>
      <c r="LQ4" s="11" t="str">
        <f t="shared" ref="LQ4:LQ36" si="93">IF(SUM(KU4,KY4,LC4)&gt;0,SUM(KU4,KY4,LC4),"")</f>
        <v/>
      </c>
      <c r="LR4" s="11" t="str">
        <f t="shared" ref="LR4:LR36" si="94">IF(SUM(LO4,LP4)&gt;0,SUM(LO4,LP4),"")</f>
        <v/>
      </c>
      <c r="LS4" s="11" t="str">
        <f t="shared" ref="LS4:LS36" si="95">IF(SUM(LG4,LK4)&gt;0,SUM(LG4,LK4),"")</f>
        <v/>
      </c>
      <c r="LT4" s="11" t="str">
        <f t="shared" ref="LT4:LT36" si="96">IF(SUM(LF4:LG4,LI4:LK4,LM4)-SUM(LH4,LL4)&gt;0,SUM(LF4:LG4,LI4:LK4,LM4)-SUM(LH4,LL4),"")</f>
        <v/>
      </c>
      <c r="LU4" s="11" t="str">
        <f t="shared" ref="LU4:LU36" si="97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6" si="98">IF(SUM(LW4,MA4)&gt;0,SUM(LW4,MA4),"")</f>
        <v/>
      </c>
      <c r="MQ4" s="40" t="str">
        <f t="shared" ref="MQ4:MQ36" si="99">IF(SUM(LV4:LW4,LY4:MA4,MC4)-LX4-MB4&gt;0,SUM(LV4:LW4,LY4:MA4,MC4)-LX4-MB4,"")</f>
        <v/>
      </c>
      <c r="MR4" s="40" t="str">
        <f t="shared" ref="MR4:MR36" si="100">IF(SUM(MD4:ME4,MG4)-MF4&gt;0,SUM(MD4:ME4,MG4)-MF4,"")</f>
        <v/>
      </c>
      <c r="MS4" s="40" t="str">
        <f t="shared" ref="MS4:MS36" si="101">IF(SUM(LW4,MA4,ME4)&gt;0,SUM(LW4,MA4,ME4),"")</f>
        <v/>
      </c>
      <c r="MT4" s="40" t="str">
        <f t="shared" ref="MT4:MT36" si="102">IF(SUM(MQ4,MR4)&gt;0,SUM(MQ4,MR4),"")</f>
        <v/>
      </c>
      <c r="MU4" s="40" t="str">
        <f t="shared" ref="MU4:MU36" si="103">IF(SUM(MI4,MM4)&gt;0,SUM(MI4,MM4),"")</f>
        <v/>
      </c>
      <c r="MV4" s="40" t="str">
        <f t="shared" ref="MV4:MV36" si="104">IF(SUM(MH4:MI4,MK4:MM4,MO4)-SUM(MJ4,MN4)&gt;0,SUM(MH4:MI4,MK4:MM4,MO4)-SUM(MJ4,MN4),"")</f>
        <v/>
      </c>
      <c r="MW4" s="40" t="str">
        <f t="shared" ref="MW4:MW36" si="105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6" si="106">IF(SUM(MY4,NC4)&gt;0,SUM(MY4,NC4),"")</f>
        <v/>
      </c>
      <c r="NS4" s="11" t="str">
        <f t="shared" ref="NS4:NS36" si="107">IF(SUM(MX4:MY4,NA4:NC4,NE4)-MZ4-ND4&gt;0,SUM(MX4:MY4,NA4:NC4,NE4)-MZ4-ND4,"")</f>
        <v/>
      </c>
      <c r="NT4" s="11" t="str">
        <f t="shared" ref="NT4:NT36" si="108">IF(SUM(NF4:NG4,NI4)-NH4&gt;0,SUM(NF4:NG4,NI4)-NH4,"")</f>
        <v/>
      </c>
      <c r="NU4" s="11" t="str">
        <f t="shared" ref="NU4:NU36" si="109">IF(SUM(MY4,NC4,NG4)&gt;0,SUM(MY4,NC4,NG4),"")</f>
        <v/>
      </c>
      <c r="NV4" s="11" t="str">
        <f t="shared" ref="NV4:NV36" si="110">IF(SUM(NS4,NT4)&gt;0,SUM(NS4,NT4),"")</f>
        <v/>
      </c>
      <c r="NW4" s="11" t="str">
        <f t="shared" ref="NW4:NW36" si="111">IF(SUM(NK4,NO4)&gt;0,SUM(NK4,NO4),"")</f>
        <v/>
      </c>
      <c r="NX4" s="11" t="str">
        <f t="shared" ref="NX4:NX36" si="112">IF(SUM(NJ4:NK4,NM4:NO4,NQ4)-SUM(NL4,NP4)&gt;0,SUM(NJ4:NK4,NM4:NO4,NQ4)-SUM(NL4,NP4),"")</f>
        <v/>
      </c>
      <c r="NY4" s="11" t="str">
        <f t="shared" ref="NY4:NY36" si="113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6" si="114">IF(SUM(OA4,OE4)&gt;0,SUM(OA4,OE4),"")</f>
        <v/>
      </c>
      <c r="OU4" s="40" t="str">
        <f t="shared" ref="OU4:OU36" si="115">IF(SUM(NZ4:OA4,OC4:OE4,OG4)-OB4-OF4&gt;0,SUM(NZ4:OA4,OC4:OE4,OG4)-OB4-OF4,"")</f>
        <v/>
      </c>
      <c r="OV4" s="40" t="str">
        <f t="shared" ref="OV4:OV36" si="116">IF(SUM(OH4:OI4,OK4)-OJ4&gt;0,SUM(OH4:OI4,OK4)-OJ4,"")</f>
        <v/>
      </c>
      <c r="OW4" s="40" t="str">
        <f t="shared" ref="OW4:OW36" si="117">IF(SUM(OA4,OE4,OI4)&gt;0,SUM(OA4,OE4,OI4),"")</f>
        <v/>
      </c>
      <c r="OX4" s="40" t="str">
        <f t="shared" ref="OX4:OX36" si="118">IF(SUM(OU4,OV4)&gt;0,SUM(OU4,OV4),"")</f>
        <v/>
      </c>
      <c r="OY4" s="40" t="str">
        <f t="shared" ref="OY4:OY36" si="119">IF(SUM(OM4,OQ4)&gt;0,SUM(OM4,OQ4),"")</f>
        <v/>
      </c>
      <c r="OZ4" s="40" t="str">
        <f t="shared" ref="OZ4:OZ36" si="120">IF(SUM(OL4:OM4,OO4:OQ4,OS4)-SUM(ON4,OR4)&gt;0,SUM(OL4:OM4,OO4:OQ4,OS4)-SUM(ON4,OR4),"")</f>
        <v/>
      </c>
      <c r="PA4" s="40" t="str">
        <f t="shared" ref="PA4:PA36" si="121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6" si="122">IF(SUM(PC4,PG4)&gt;0,SUM(PC4,PG4),"")</f>
        <v/>
      </c>
      <c r="PW4" s="11" t="str">
        <f t="shared" ref="PW4:PW36" si="123">IF(SUM(PB4:PC4,PE4:PG4,PI4)-PD4-PH4&gt;0,SUM(PB4:PC4,PE4:PG4,PI4)-PD4-PH4,"")</f>
        <v/>
      </c>
      <c r="PX4" s="11" t="str">
        <f t="shared" ref="PX4:PX36" si="124">IF(SUM(PJ4:PK4,PM4)-PL4&gt;0,SUM(PJ4:PK4,PM4)-PL4,"")</f>
        <v/>
      </c>
      <c r="PY4" s="11" t="str">
        <f t="shared" ref="PY4:PY36" si="125">IF(SUM(PC4,PG4,PK4)&gt;0,SUM(PC4,PG4,PK4),"")</f>
        <v/>
      </c>
      <c r="PZ4" s="11" t="str">
        <f t="shared" ref="PZ4:PZ36" si="126">IF(SUM(PW4,PX4)&gt;0,SUM(PW4,PX4),"")</f>
        <v/>
      </c>
      <c r="QA4" s="11" t="str">
        <f t="shared" ref="QA4:QA36" si="127">IF(SUM(PO4,PS4)&gt;0,SUM(PO4,PS4),"")</f>
        <v/>
      </c>
      <c r="QB4" s="11" t="str">
        <f t="shared" ref="QB4:QB36" si="128">IF(SUM(PN4:PO4,PQ4:PS4,PU4)-SUM(PP4,PT4)&gt;0,SUM(PN4:PO4,PQ4:PS4,PU4)-SUM(PP4,PT4),"")</f>
        <v/>
      </c>
      <c r="QC4" s="11" t="str">
        <f t="shared" ref="QC4:QC36" si="129">IF(SUM(PW4,PX4,QB4)&gt;0,SUM(PW4,PX4,QB4),"")</f>
        <v/>
      </c>
      <c r="QD4" s="22">
        <f t="shared" ref="QD4:QD36" si="130">IF($CU4="P",CA4,(CA4+AX4)/2)</f>
        <v>18.93</v>
      </c>
      <c r="QE4" s="22">
        <f t="shared" ref="QE4:QE36" si="131">IF($CU4="P",CB4,(CB4+AY4)/2)</f>
        <v>7</v>
      </c>
      <c r="QF4" s="22">
        <f t="shared" ref="QF4:QF36" si="132">IF($CU4="P",CC4,(CC4+AZ4)/2)</f>
        <v>0.4</v>
      </c>
      <c r="QG4" s="22">
        <f t="shared" ref="QG4:QG36" si="133">IF($CU4="P",CD4,(CD4+BA4)/2)</f>
        <v>0.3</v>
      </c>
      <c r="QH4" s="22">
        <f t="shared" ref="QH4:QH36" si="134">IF($CU4="P",CE4,(CE4+BB4)/2)</f>
        <v>18.75</v>
      </c>
      <c r="QI4" s="22">
        <f t="shared" ref="QI4:QI36" si="135">IF($CU4="P",CF4,(CF4+BC4)/2)</f>
        <v>5.4</v>
      </c>
      <c r="QJ4" s="22">
        <f t="shared" ref="QJ4:QJ36" si="136">IF($CU4="P",CG4,(CG4+BD4)/2)</f>
        <v>0</v>
      </c>
      <c r="QK4" s="22">
        <f t="shared" ref="QK4:QK36" si="137">IF($CU4="P",CH4,(CH4+BE4)/2)</f>
        <v>0</v>
      </c>
      <c r="QL4" s="22">
        <f t="shared" ref="QL4:QL36" si="138">IF($CU4="P",CI4,(CI4+BF4)/2)</f>
        <v>0</v>
      </c>
      <c r="QM4" s="22">
        <f t="shared" ref="QM4:QM36" si="139">IF($CU4="P",CJ4,(CJ4+BG4)/2)</f>
        <v>0</v>
      </c>
      <c r="QN4" s="22">
        <f t="shared" ref="QN4:QN36" si="140">IF($CU4="P",CK4,(CK4+BH4)/2)</f>
        <v>0</v>
      </c>
      <c r="QO4" s="22">
        <f t="shared" ref="QO4:QO36" si="141">IF($CU4="P",CL4,(CL4+BI4)/2)</f>
        <v>0</v>
      </c>
      <c r="QP4" s="22">
        <f t="shared" ref="QP4:QP36" si="142">IF($CU4="P",CM4,(CM4+BJ4)/2)</f>
        <v>18.649999999999999</v>
      </c>
      <c r="QQ4" s="22">
        <f t="shared" ref="QQ4:QQ36" si="143">IF($CU4="P",CN4,(CN4+BK4)/2)</f>
        <v>7.2</v>
      </c>
      <c r="QR4" s="22">
        <f t="shared" ref="QR4:QR36" si="144">IF($CU4="P",CO4,(CO4+BL4)/2)</f>
        <v>0.4</v>
      </c>
      <c r="QS4" s="22">
        <f t="shared" ref="QS4:QS36" si="145">IF($CU4="P",CP4,(CP4+BM4)/2)</f>
        <v>0.3</v>
      </c>
      <c r="QT4" s="22">
        <f t="shared" ref="QT4:QT36" si="146">IF($CU4="P",CQ4,(CQ4+BN4)/2)</f>
        <v>18.5</v>
      </c>
      <c r="QU4" s="22">
        <f t="shared" ref="QU4:QU36" si="147">IF($CU4="P",CR4,(CR4+BO4)/2)</f>
        <v>5.6</v>
      </c>
      <c r="QV4" s="22">
        <f t="shared" ref="QV4:QV36" si="148">IF($CU4="P",CS4,(CS4+BP4)/2)</f>
        <v>0</v>
      </c>
      <c r="QW4" s="22">
        <f t="shared" ref="QW4:QW36" si="149">IF($CU4="P",CT4,(CT4+BQ4)/2)</f>
        <v>0.15</v>
      </c>
      <c r="QX4" s="27" t="s">
        <v>46</v>
      </c>
      <c r="QY4" s="40">
        <f t="shared" ref="QY4:QY36" si="150">IF(SUM(QE4,QI4)&gt;0,SUM(QE4,QI4),"")</f>
        <v>12.4</v>
      </c>
      <c r="QZ4" s="40">
        <f t="shared" ref="QZ4:QZ36" si="151">IF(SUM(QD4:QE4,QG4:QI4,QK4)-QF4-QJ4&gt;0,SUM(QD4:QE4,QG4:QI4,QK4)-QF4-QJ4,"")</f>
        <v>49.980000000000004</v>
      </c>
      <c r="RA4" s="40" t="str">
        <f t="shared" ref="RA4:RA36" si="152">IF(SUM(QL4:QM4,QO4)-QN4&gt;0,SUM(QL4:QM4,QO4)-QN4,"")</f>
        <v/>
      </c>
      <c r="RB4" s="40">
        <f t="shared" ref="RB4:RB36" si="153">IF(SUM(QE4,QI4,QM4)&gt;0,SUM(QE4,QI4,QM4),"")</f>
        <v>12.4</v>
      </c>
      <c r="RC4" s="40">
        <f t="shared" ref="RC4:RC36" si="154">IF(SUM(QZ4,RA4)&gt;0,SUM(QZ4,RA4),"")</f>
        <v>49.980000000000004</v>
      </c>
      <c r="RD4" s="40">
        <f t="shared" ref="RD4:RD36" si="155">IF(SUM(QQ4,QU4)&gt;0,SUM(QQ4,QU4),"")</f>
        <v>12.8</v>
      </c>
      <c r="RE4" s="40">
        <f t="shared" ref="RE4:RE36" si="156">IF(SUM(QP4:QQ4,QS4:QU4,QW4)-SUM(QR4,QV4)&gt;0,SUM(QP4:QQ4,QS4:QU4,QW4)-SUM(QR4,QV4),"")</f>
        <v>50</v>
      </c>
      <c r="RF4" s="40">
        <f t="shared" ref="RF4:RF36" si="157">IF(SUM(QZ4,RA4,RE4)&gt;0,SUM(QZ4,RA4,RE4),"")</f>
        <v>99.98</v>
      </c>
    </row>
    <row r="5" spans="1:474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173</v>
      </c>
      <c r="D5" s="4" t="s">
        <v>5</v>
      </c>
      <c r="E5" s="4">
        <v>2008</v>
      </c>
      <c r="F5" s="9">
        <f t="shared" si="0"/>
        <v>150.20000924000493</v>
      </c>
      <c r="G5" s="64" t="s">
        <v>46</v>
      </c>
      <c r="H5" s="3" t="str">
        <f>IF(OR(AND(AP5&gt;=AW$39,AQ5&gt;=AW$43,AP5&lt;&gt;"",AO5=""),AND(AU5&gt;=AW$39,AV5&gt;=AW$43,AU5&lt;&gt;"",AO5=""),AND(BS5&gt;=BZ$39,BT5&gt;=BZ$43,BS5&lt;&gt;"",BR5=""),AND(BX5&gt;=BZ$39,BY5&gt;=BZ$43,BX5&lt;&gt;"",BR5=""),AND(CV5&gt;=DC$39,CW5&gt;=DC$43,CV5&lt;&gt;"",CU5=""),AND(DA5&gt;=DC$39,DB5&gt;=DC$43,DA5&lt;&gt;""),AND(DZ5&gt;=EG$39,EA5&gt;=EG$43,DZ5&lt;&gt;""),AND(EE5&gt;=EG$39,EF5&gt;=EG$43,EE5&lt;&gt;""),AND(FB5&gt;=FI$39,FC5&gt;=FI$43,FB5&lt;&gt;""),AND(FG5&gt;=FI$39,FH5&gt;=FI$43,FG5&lt;&gt;""),AND(GD5&gt;=GK$39,GE5&gt;=GK$43,GD5&lt;&gt;""),AND(GI5&gt;=GK$39,GJ5&gt;=GK$43,GI5&lt;&gt;""),AND(HF5&gt;=HM$39,HG5&gt;=HM$43,HF5&lt;&gt;""),AND(HK5&gt;=HM$39,HL5&gt;=HM$43,HK5&lt;&gt;""),AND(IH5&gt;=IO$39,II5&gt;=IO$43,IH5&lt;&gt;""),AND(IM5&gt;=IO$39,IN5&gt;=IO$43,IM5&lt;&gt;""),AND(JJ5&gt;=JQ$39,JK5&gt;=JQ$43,JJ5&lt;&gt;""),AND(JO5&gt;=JQ$39,JP5&gt;=JQ$43,JO5&lt;&gt;""),AND(KL5&gt;=KS$39,KM5&gt;=KS$43,KL5&lt;&gt;""),AND(KQ5&gt;=KS$39,KR5&gt;=KS$43,KQ5&lt;&gt;""),AND(LN5&gt;=LU$39,LO5&gt;=LU$43,LN5&lt;&gt;""),AND(LS5&gt;=LU$39,LT5&gt;=LU$43,LS5&lt;&gt;""),AND(MP5&gt;=MW$39,MQ5&gt;=MW$43,MP5&lt;&gt;""),AND(MU5&gt;=MW$39,MV5&gt;=MW$43,MU5&lt;&gt;""),AND(NR5&gt;=NY$39,NS5&gt;=NY$43,NR5&lt;&gt;""),AND(NW5&gt;=NY$39,NX5&gt;=NY$43,NW5&lt;&gt;""),AND(OT5&gt;=PA$39,OU5&gt;=PA$43,OT5&lt;&gt;""),AND(OY5&gt;=PA$39,OZ5&gt;=PA$43,OY5&lt;&gt;""),AND(PV5&gt;=QC$39,PW5&gt;=QC$43,PV5&lt;&gt;""),AND(QA5&gt;=QC$39,QB5&gt;=QC$43,QA5&lt;&gt;"")),"P","")</f>
        <v>P</v>
      </c>
      <c r="I5" s="3" t="str">
        <f>IF(OR(AND(AQ5&gt;=AW$43,AQ5&lt;&gt;"",AO5=""),AND(AV5&gt;=AW$43,AV5&lt;&gt;"",AO5=""),AND(BT5&gt;=BZ$43,BT5&lt;&gt;"",BR5=""),AND(BY5&gt;=BZ$43,BY5&lt;&gt;"",BR5=""),AND(CW5&gt;=DC$43,CW5&lt;&gt;"",CU5=""),AND(DB5&gt;=DC$43,DB5&lt;&gt;"",CU5=""),AND(EA5&gt;=EG$43,EA5&lt;&gt;""),AND(EF5&gt;=EG$43,EF5&lt;&gt;""),AND(FC5&gt;=FI$43,FC5&lt;&gt;""),AND(FH5&gt;=FI$43,FH5&lt;&gt;""),AND(GE5&gt;=GK$43,GE5&lt;&gt;""),AND(GJ5&gt;=GK$43,GJ5&lt;&gt;""),AND(HG5&gt;=HM$43,HG5&lt;&gt;""),AND(HL5&gt;=HM$43,HL5&lt;&gt;""),AND(II5&gt;=IO$43,II5&lt;&gt;""),AND(IN5&gt;=IO$43,IN5&lt;&gt;""),AND(JK5&gt;=JQ$43,JK5&lt;&gt;""),AND(JP5&gt;=JQ$43,JP5&lt;&gt;""),AND(KM5&gt;=KS$43,KM5&lt;&gt;""),AND(KR5&gt;=KS$43,KR5&lt;&gt;""),AND(LO5&gt;=LU$43,LO5&lt;&gt;""),AND(LT5&gt;=LU$43,LT5&lt;&gt;""),AND(MQ5&gt;=MW$43,MQ5&lt;&gt;""),AND(MV5&gt;=MW$43,MV5&lt;&gt;""),AND(NS5&gt;=NY$43,NS5&lt;&gt;""),AND(NX5&gt;=NY$43,NX5&lt;&gt;""),AND(OU5&gt;=PA$43,OU5&lt;&gt;""),AND(OZ5&gt;=PA$43,OZ5&lt;&gt;""),AND(PW5&gt;=QC$43,PW5&lt;&gt;""),AND(QB5&gt;=QC$43,QB5&lt;&gt;"")),"P","")</f>
        <v>P</v>
      </c>
      <c r="J5" s="36" t="str">
        <f>IF(AND(I5="P",H5=""),"No DD",IF(OR(AND(AS5&gt;=AW$42,AT5&gt;=AW$46,AS5&lt;&gt;"",AO5=""),AND(BV5&gt;=BZ$42,BW5&gt;=BZ$46,BV5&lt;&gt;"",BR5=""),AND(CY5&gt;=DC$42,CZ5&gt;=DC$46,CY5&lt;&gt;"",CU5=""),AND(EC5&gt;=EG$42,ED5&gt;=EG$46,EC5&lt;&gt;""),AND(FE5&gt;=FI$42,FF5&gt;=FI$46,FE5&lt;&gt;""),AND(GG5&gt;=GK$42,GH5&gt;=GK$46,GG5&lt;&gt;""),AND(HI5&gt;=HM$42,HJ5&gt;=HM$46,HI5&lt;&gt;""),AND(IK5&gt;=IO$42,IL5&gt;=IO$46,IK5&lt;&gt;""),AND(JM5&gt;=JQ$42,JN5&gt;=JQ$46,JM5&lt;&gt;""),AND(KO5&gt;=KS$42,KP5&gt;=KS$46,KO5&lt;&gt;""),AND(LQ5&gt;=LU$42,LR5&gt;=LU$46,LQ5&lt;&gt;""),AND(MS5&gt;=MW$42,MT5&gt;=MW$46,MS5&lt;&gt;""),AND(NU5&gt;=NY$42,NV5&gt;=NY$46,NU5&lt;&gt;""),AND(OW5&gt;=PA$42,OX5&gt;=PA$46,OW5&lt;&gt;""),AND(PY5&gt;=QC$42,PZ5&gt;=QC$46,PY5&lt;&gt;"")),"Merit",IF(OR(AND(AS5&gt;=AW$41,AT5&gt;=AW$45,AS5&lt;&gt;"",AO5=""),AND(BV5&gt;=BZ$41,BW5&gt;=BZ$45,BV5&lt;&gt;"",BR5=""),AND(CY5&gt;=DC$41,CZ5&gt;=DC$45,CY5&lt;&gt;"",CU5=""),AND(EC5&gt;=EG$41,ED5&gt;=EG$45,EC5&lt;&gt;""),AND(FE5&gt;=FI$41,FF5&gt;=FI$45,FE5&lt;&gt;""),AND(GG5&gt;=GK$41,GH5&gt;=GK$45,GG5&lt;&gt;""),AND(HI5&gt;=HM$41,HJ5&gt;=HM$45,HI5&lt;&gt;""),AND(IK5&gt;=IO$41,IL5&gt;=IO$45,IK5&lt;&gt;""),AND(JM5&gt;=JQ$41,JN5&gt;=JQ$45,JM5&lt;&gt;""),AND(KO5&gt;=KS$41,KP5&gt;=KS$45,KO5&lt;&gt;""),AND(LQ5&gt;=LU$41,LR5&gt;=LU$45,LQ5&lt;&gt;""),AND(MS5&gt;=MW$41,MT5&gt;=MW$45,MS5&lt;&gt;""),AND(NU5&gt;=NY$41,NV5&gt;=NY$45,NU5&lt;&gt;""),AND(OW5&gt;=PA$41,OX5&gt;=PA$45,OW5&lt;&gt;""),AND(PY5&gt;=QC$41,PZ5&gt;=QC$45,PY5&lt;&gt;"")),"Excellence",IF(K5="P","Worlds Team",IF(H5="P","National Team","")))))</f>
        <v>National Team</v>
      </c>
      <c r="K5" s="3" t="str">
        <f>IF(OR(AND(AS5&gt;=AW$40,AT5&gt;=AW$44,AS5&lt;&gt;"",AO5=""),AND(BV5&gt;=BZ$40,BW5&gt;=BZ$44,BV5&lt;&gt;"",BR5=""),AND(CY5&gt;=DC$40,CZ5&gt;=DC$44,CY5&lt;&gt;"",CU5=""),AND(EC5&gt;=EG$40,ED5&gt;=EG$44,EC5&lt;&gt;""),AND(FE5&gt;=FI$40,FF5&gt;=FI$44,FE5&lt;&gt;""),AND(GG5&gt;=GK$40,GH5&gt;=GK$44,GG5&lt;&gt;""),AND(HI5&gt;=HM$40,HJ5&gt;=HM$44,HI5&lt;&gt;""),AND(IK5&gt;=IO$40,IL5&gt;=IO$44,IK5&lt;&gt;""),AND(JM5&gt;=JQ$40,JN5&gt;=JQ$44,JM5&lt;&gt;""),AND(KO5&gt;=KS$40,KP5&gt;=KS$44,KO5&lt;&gt;""),AND(LQ5&gt;=LU$40,LR5&gt;=LU$44,LQ5&lt;&gt;""),AND(MS5&gt;=MW$40,MT5&gt;=MW$44,MS5&lt;&gt;""),AND(NU5&gt;=NY$40,NV5&gt;=NY$44,NU5&lt;&gt;""),AND(OW5&gt;=PA$40,OX5&gt;=PA$44,OW5&lt;&gt;""),AND(PY5&gt;=QC$40,PZ5&gt;=QC$44,PY5&lt;&gt;"")),"P","")</f>
        <v/>
      </c>
      <c r="L5" s="8">
        <f>IF(COUNT(AQ5,BT5,CW5)&gt;0,LARGE((AQ5,BT5,CW5),1),0)</f>
        <v>49.499999999999993</v>
      </c>
      <c r="M5" s="8" t="str">
        <f t="shared" si="1"/>
        <v>2025 Nationals</v>
      </c>
      <c r="N5" s="8">
        <f>IF(COUNT(AQ5,BT5,CW5)&gt;1,LARGE((AQ5,BT5,CW5),2),0)</f>
        <v>42.900000000000006</v>
      </c>
      <c r="O5" s="8" t="str">
        <f t="shared" si="2"/>
        <v>2024 3rd Domestic Trial</v>
      </c>
      <c r="P5" s="8">
        <f t="shared" si="3"/>
        <v>51.3</v>
      </c>
      <c r="Q5" s="8" t="str">
        <f t="shared" si="4"/>
        <v>2025 Nationals</v>
      </c>
      <c r="R5" s="8">
        <f t="shared" si="5"/>
        <v>6.4999999999999929</v>
      </c>
      <c r="S5" s="11" t="str">
        <f t="shared" si="6"/>
        <v>(Q1)</v>
      </c>
      <c r="T5" s="8" t="str">
        <f t="shared" si="7"/>
        <v>2024 Coimbra Gym Fest (July 7)</v>
      </c>
      <c r="U5" s="19">
        <v>17.8</v>
      </c>
      <c r="V5" s="19">
        <v>4.4000000000000004</v>
      </c>
      <c r="W5" s="19">
        <v>0.6</v>
      </c>
      <c r="X5" s="19">
        <v>0</v>
      </c>
      <c r="Y5" s="19">
        <v>19</v>
      </c>
      <c r="Z5" s="19">
        <v>3.1</v>
      </c>
      <c r="AA5" s="19">
        <v>0.8</v>
      </c>
      <c r="AB5" s="19">
        <v>0</v>
      </c>
      <c r="AC5" s="19">
        <v>16.2</v>
      </c>
      <c r="AD5" s="19">
        <v>2.8</v>
      </c>
      <c r="AE5" s="19">
        <v>1.2</v>
      </c>
      <c r="AF5" s="19">
        <v>0</v>
      </c>
      <c r="AG5" s="19">
        <v>17.8</v>
      </c>
      <c r="AH5" s="19">
        <v>5.6</v>
      </c>
      <c r="AI5" s="19">
        <v>1</v>
      </c>
      <c r="AJ5" s="19">
        <v>0</v>
      </c>
      <c r="AK5" s="19">
        <v>17.2</v>
      </c>
      <c r="AL5" s="19">
        <v>2.4</v>
      </c>
      <c r="AM5" s="19">
        <v>0</v>
      </c>
      <c r="AN5" s="19">
        <v>0</v>
      </c>
      <c r="AO5" s="27"/>
      <c r="AP5" s="40">
        <f t="shared" si="8"/>
        <v>7.5</v>
      </c>
      <c r="AQ5" s="40">
        <f t="shared" si="9"/>
        <v>42.900000000000006</v>
      </c>
      <c r="AR5" s="40">
        <f t="shared" si="10"/>
        <v>17.8</v>
      </c>
      <c r="AS5" s="40">
        <f t="shared" si="11"/>
        <v>10.3</v>
      </c>
      <c r="AT5" s="40">
        <f t="shared" si="12"/>
        <v>60.7</v>
      </c>
      <c r="AU5" s="40">
        <f t="shared" si="13"/>
        <v>8</v>
      </c>
      <c r="AV5" s="40">
        <f t="shared" si="14"/>
        <v>41.999999999999993</v>
      </c>
      <c r="AW5" s="40">
        <f t="shared" si="15"/>
        <v>102.69999999999999</v>
      </c>
      <c r="AX5" s="18">
        <v>18.7</v>
      </c>
      <c r="AY5" s="18">
        <v>5.2</v>
      </c>
      <c r="AZ5" s="18">
        <v>0</v>
      </c>
      <c r="BA5" s="18">
        <v>0</v>
      </c>
      <c r="BB5" s="18">
        <v>15.2</v>
      </c>
      <c r="BC5" s="18">
        <v>0</v>
      </c>
      <c r="BD5" s="18">
        <v>0</v>
      </c>
      <c r="BE5" s="18">
        <v>0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 t="shared" si="16"/>
        <v>5.2</v>
      </c>
      <c r="BT5" s="11">
        <f t="shared" si="17"/>
        <v>39.099999999999994</v>
      </c>
      <c r="BU5" s="11" t="str">
        <f t="shared" si="18"/>
        <v/>
      </c>
      <c r="BV5" s="11">
        <f t="shared" si="19"/>
        <v>5.2</v>
      </c>
      <c r="BW5" s="11">
        <f t="shared" si="20"/>
        <v>39.099999999999994</v>
      </c>
      <c r="BX5" s="11" t="str">
        <f t="shared" si="21"/>
        <v/>
      </c>
      <c r="BY5" s="11" t="str">
        <f t="shared" si="22"/>
        <v/>
      </c>
      <c r="BZ5" s="11">
        <f t="shared" si="23"/>
        <v>39.099999999999994</v>
      </c>
      <c r="CA5" s="19">
        <v>18.5</v>
      </c>
      <c r="CB5" s="19">
        <v>6</v>
      </c>
      <c r="CC5" s="19">
        <v>0.2</v>
      </c>
      <c r="CD5" s="19">
        <v>0.3</v>
      </c>
      <c r="CE5" s="19">
        <v>18.7</v>
      </c>
      <c r="CF5" s="19">
        <v>6.4</v>
      </c>
      <c r="CG5" s="19">
        <v>0.2</v>
      </c>
      <c r="CH5" s="19">
        <v>0</v>
      </c>
      <c r="CI5" s="19"/>
      <c r="CJ5" s="19"/>
      <c r="CK5" s="19"/>
      <c r="CL5" s="19"/>
      <c r="CM5" s="19">
        <v>18.600000000000001</v>
      </c>
      <c r="CN5" s="19">
        <v>7.2</v>
      </c>
      <c r="CO5" s="19">
        <v>0</v>
      </c>
      <c r="CP5" s="19">
        <v>0.3</v>
      </c>
      <c r="CQ5" s="19">
        <v>18.3</v>
      </c>
      <c r="CR5" s="19">
        <v>6.8</v>
      </c>
      <c r="CS5" s="19">
        <v>0.2</v>
      </c>
      <c r="CT5" s="19">
        <v>0.3</v>
      </c>
      <c r="CU5" s="27"/>
      <c r="CV5" s="40">
        <f t="shared" si="24"/>
        <v>12.4</v>
      </c>
      <c r="CW5" s="40">
        <f t="shared" si="25"/>
        <v>49.499999999999993</v>
      </c>
      <c r="CX5" s="40" t="str">
        <f t="shared" si="26"/>
        <v/>
      </c>
      <c r="CY5" s="40">
        <f t="shared" si="27"/>
        <v>12.4</v>
      </c>
      <c r="CZ5" s="40">
        <f t="shared" si="28"/>
        <v>49.499999999999993</v>
      </c>
      <c r="DA5" s="40">
        <f t="shared" si="29"/>
        <v>14</v>
      </c>
      <c r="DB5" s="40">
        <f t="shared" si="30"/>
        <v>51.3</v>
      </c>
      <c r="DC5" s="40">
        <f t="shared" si="31"/>
        <v>100.79999999999998</v>
      </c>
      <c r="DD5" s="50">
        <f t="shared" si="32"/>
        <v>6.4999999999999929</v>
      </c>
      <c r="DE5" s="50" t="str">
        <f t="shared" si="33"/>
        <v/>
      </c>
      <c r="DF5" s="17">
        <v>18.2</v>
      </c>
      <c r="DG5" s="17">
        <v>6</v>
      </c>
      <c r="DH5" s="17">
        <v>0.6</v>
      </c>
      <c r="DI5" s="17">
        <v>0</v>
      </c>
      <c r="DJ5" s="17">
        <v>18.600000000000001</v>
      </c>
      <c r="DK5" s="17">
        <v>7.2</v>
      </c>
      <c r="DL5" s="17">
        <v>0</v>
      </c>
      <c r="DM5" s="17">
        <v>0</v>
      </c>
      <c r="DN5" s="17"/>
      <c r="DO5" s="17"/>
      <c r="DP5" s="17"/>
      <c r="DQ5" s="17"/>
      <c r="DR5" s="17">
        <v>18.600000000000001</v>
      </c>
      <c r="DS5" s="17">
        <v>6</v>
      </c>
      <c r="DT5" s="17">
        <v>0</v>
      </c>
      <c r="DU5" s="17">
        <v>0</v>
      </c>
      <c r="DV5" s="17">
        <v>18</v>
      </c>
      <c r="DW5" s="17">
        <v>7.2</v>
      </c>
      <c r="DX5" s="17">
        <v>0.2</v>
      </c>
      <c r="DY5" s="17">
        <v>0</v>
      </c>
      <c r="DZ5" s="40">
        <f t="shared" si="34"/>
        <v>13.2</v>
      </c>
      <c r="EA5" s="40">
        <f t="shared" si="35"/>
        <v>49.4</v>
      </c>
      <c r="EB5" s="40" t="str">
        <f t="shared" si="36"/>
        <v/>
      </c>
      <c r="EC5" s="40">
        <f t="shared" si="37"/>
        <v>13.2</v>
      </c>
      <c r="ED5" s="40">
        <f t="shared" si="38"/>
        <v>49.4</v>
      </c>
      <c r="EE5" s="40">
        <f t="shared" si="39"/>
        <v>13.2</v>
      </c>
      <c r="EF5" s="40">
        <f t="shared" si="40"/>
        <v>49.6</v>
      </c>
      <c r="EG5" s="40">
        <f t="shared" si="41"/>
        <v>99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2"/>
        <v/>
      </c>
      <c r="FC5" s="11" t="str">
        <f t="shared" si="43"/>
        <v/>
      </c>
      <c r="FD5" s="11" t="str">
        <f t="shared" si="44"/>
        <v/>
      </c>
      <c r="FE5" s="11" t="str">
        <f t="shared" si="45"/>
        <v/>
      </c>
      <c r="FF5" s="11" t="str">
        <f t="shared" si="46"/>
        <v/>
      </c>
      <c r="FG5" s="11" t="str">
        <f t="shared" si="47"/>
        <v/>
      </c>
      <c r="FH5" s="11" t="str">
        <f t="shared" si="48"/>
        <v/>
      </c>
      <c r="FI5" s="11" t="str">
        <f t="shared" si="49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0"/>
        <v/>
      </c>
      <c r="GE5" s="40" t="str">
        <f t="shared" si="51"/>
        <v/>
      </c>
      <c r="GF5" s="40" t="str">
        <f t="shared" si="52"/>
        <v/>
      </c>
      <c r="GG5" s="40" t="str">
        <f t="shared" si="53"/>
        <v/>
      </c>
      <c r="GH5" s="40" t="str">
        <f t="shared" si="54"/>
        <v/>
      </c>
      <c r="GI5" s="40" t="str">
        <f t="shared" si="55"/>
        <v/>
      </c>
      <c r="GJ5" s="40" t="str">
        <f t="shared" si="56"/>
        <v/>
      </c>
      <c r="GK5" s="40" t="str">
        <f t="shared" si="57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58"/>
        <v/>
      </c>
      <c r="HG5" s="11" t="str">
        <f t="shared" si="59"/>
        <v/>
      </c>
      <c r="HH5" s="11" t="str">
        <f t="shared" si="60"/>
        <v/>
      </c>
      <c r="HI5" s="11" t="str">
        <f t="shared" si="61"/>
        <v/>
      </c>
      <c r="HJ5" s="11" t="str">
        <f t="shared" si="62"/>
        <v/>
      </c>
      <c r="HK5" s="11" t="str">
        <f t="shared" si="63"/>
        <v/>
      </c>
      <c r="HL5" s="11" t="str">
        <f t="shared" si="64"/>
        <v/>
      </c>
      <c r="HM5" s="11" t="str">
        <f t="shared" si="65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6"/>
        <v/>
      </c>
      <c r="II5" s="40" t="str">
        <f t="shared" si="67"/>
        <v/>
      </c>
      <c r="IJ5" s="40" t="str">
        <f t="shared" si="68"/>
        <v/>
      </c>
      <c r="IK5" s="40" t="str">
        <f t="shared" si="69"/>
        <v/>
      </c>
      <c r="IL5" s="40" t="str">
        <f t="shared" si="70"/>
        <v/>
      </c>
      <c r="IM5" s="40" t="str">
        <f t="shared" si="71"/>
        <v/>
      </c>
      <c r="IN5" s="40" t="str">
        <f t="shared" si="72"/>
        <v/>
      </c>
      <c r="IO5" s="40" t="str">
        <f t="shared" si="73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4"/>
        <v/>
      </c>
      <c r="JK5" s="11" t="str">
        <f t="shared" si="75"/>
        <v/>
      </c>
      <c r="JL5" s="11" t="str">
        <f t="shared" si="76"/>
        <v/>
      </c>
      <c r="JM5" s="11" t="str">
        <f t="shared" si="77"/>
        <v/>
      </c>
      <c r="JN5" s="11" t="str">
        <f t="shared" si="78"/>
        <v/>
      </c>
      <c r="JO5" s="11" t="str">
        <f t="shared" si="79"/>
        <v/>
      </c>
      <c r="JP5" s="11" t="str">
        <f t="shared" si="80"/>
        <v/>
      </c>
      <c r="JQ5" s="11" t="str">
        <f t="shared" si="81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2"/>
        <v/>
      </c>
      <c r="KM5" s="40" t="str">
        <f t="shared" si="83"/>
        <v/>
      </c>
      <c r="KN5" s="40" t="str">
        <f t="shared" si="84"/>
        <v/>
      </c>
      <c r="KO5" s="40" t="str">
        <f t="shared" si="85"/>
        <v/>
      </c>
      <c r="KP5" s="40" t="str">
        <f t="shared" si="86"/>
        <v/>
      </c>
      <c r="KQ5" s="40" t="str">
        <f t="shared" si="87"/>
        <v/>
      </c>
      <c r="KR5" s="40" t="str">
        <f t="shared" si="88"/>
        <v/>
      </c>
      <c r="KS5" s="40" t="str">
        <f t="shared" si="89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0"/>
        <v/>
      </c>
      <c r="LO5" s="11" t="str">
        <f t="shared" si="91"/>
        <v/>
      </c>
      <c r="LP5" s="11" t="str">
        <f t="shared" si="92"/>
        <v/>
      </c>
      <c r="LQ5" s="11" t="str">
        <f t="shared" si="93"/>
        <v/>
      </c>
      <c r="LR5" s="11" t="str">
        <f t="shared" si="94"/>
        <v/>
      </c>
      <c r="LS5" s="11" t="str">
        <f t="shared" si="95"/>
        <v/>
      </c>
      <c r="LT5" s="11" t="str">
        <f t="shared" si="96"/>
        <v/>
      </c>
      <c r="LU5" s="11" t="str">
        <f t="shared" si="97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98"/>
        <v/>
      </c>
      <c r="MQ5" s="40" t="str">
        <f t="shared" si="99"/>
        <v/>
      </c>
      <c r="MR5" s="40" t="str">
        <f t="shared" si="100"/>
        <v/>
      </c>
      <c r="MS5" s="40" t="str">
        <f t="shared" si="101"/>
        <v/>
      </c>
      <c r="MT5" s="40" t="str">
        <f t="shared" si="102"/>
        <v/>
      </c>
      <c r="MU5" s="40" t="str">
        <f t="shared" si="103"/>
        <v/>
      </c>
      <c r="MV5" s="40" t="str">
        <f t="shared" si="104"/>
        <v/>
      </c>
      <c r="MW5" s="40" t="str">
        <f t="shared" si="105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6"/>
        <v/>
      </c>
      <c r="NS5" s="11" t="str">
        <f t="shared" si="107"/>
        <v/>
      </c>
      <c r="NT5" s="11" t="str">
        <f t="shared" si="108"/>
        <v/>
      </c>
      <c r="NU5" s="11" t="str">
        <f t="shared" si="109"/>
        <v/>
      </c>
      <c r="NV5" s="11" t="str">
        <f t="shared" si="110"/>
        <v/>
      </c>
      <c r="NW5" s="11" t="str">
        <f t="shared" si="111"/>
        <v/>
      </c>
      <c r="NX5" s="11" t="str">
        <f t="shared" si="112"/>
        <v/>
      </c>
      <c r="NY5" s="11" t="str">
        <f t="shared" si="113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4"/>
        <v/>
      </c>
      <c r="OU5" s="40" t="str">
        <f t="shared" si="115"/>
        <v/>
      </c>
      <c r="OV5" s="40" t="str">
        <f t="shared" si="116"/>
        <v/>
      </c>
      <c r="OW5" s="40" t="str">
        <f t="shared" si="117"/>
        <v/>
      </c>
      <c r="OX5" s="40" t="str">
        <f t="shared" si="118"/>
        <v/>
      </c>
      <c r="OY5" s="40" t="str">
        <f t="shared" si="119"/>
        <v/>
      </c>
      <c r="OZ5" s="40" t="str">
        <f t="shared" si="120"/>
        <v/>
      </c>
      <c r="PA5" s="40" t="str">
        <f t="shared" si="121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2"/>
        <v/>
      </c>
      <c r="PW5" s="11" t="str">
        <f t="shared" si="123"/>
        <v/>
      </c>
      <c r="PX5" s="11" t="str">
        <f t="shared" si="124"/>
        <v/>
      </c>
      <c r="PY5" s="11" t="str">
        <f t="shared" si="125"/>
        <v/>
      </c>
      <c r="PZ5" s="11" t="str">
        <f t="shared" si="126"/>
        <v/>
      </c>
      <c r="QA5" s="11" t="str">
        <f t="shared" si="127"/>
        <v/>
      </c>
      <c r="QB5" s="11" t="str">
        <f t="shared" si="128"/>
        <v/>
      </c>
      <c r="QC5" s="11" t="str">
        <f t="shared" si="129"/>
        <v/>
      </c>
      <c r="QD5" s="22">
        <f t="shared" si="130"/>
        <v>18.600000000000001</v>
      </c>
      <c r="QE5" s="22">
        <f t="shared" si="131"/>
        <v>5.6</v>
      </c>
      <c r="QF5" s="22">
        <f t="shared" si="132"/>
        <v>0.1</v>
      </c>
      <c r="QG5" s="22">
        <f t="shared" si="133"/>
        <v>0.15</v>
      </c>
      <c r="QH5" s="22">
        <f t="shared" si="134"/>
        <v>16.95</v>
      </c>
      <c r="QI5" s="22">
        <f t="shared" si="135"/>
        <v>3.2</v>
      </c>
      <c r="QJ5" s="22">
        <f t="shared" si="136"/>
        <v>0.1</v>
      </c>
      <c r="QK5" s="22">
        <f t="shared" si="137"/>
        <v>0</v>
      </c>
      <c r="QL5" s="22">
        <f t="shared" si="138"/>
        <v>0</v>
      </c>
      <c r="QM5" s="22">
        <f t="shared" si="139"/>
        <v>0</v>
      </c>
      <c r="QN5" s="22">
        <f t="shared" si="140"/>
        <v>0</v>
      </c>
      <c r="QO5" s="22">
        <f t="shared" si="141"/>
        <v>0</v>
      </c>
      <c r="QP5" s="22">
        <f t="shared" si="142"/>
        <v>9.3000000000000007</v>
      </c>
      <c r="QQ5" s="22">
        <f t="shared" si="143"/>
        <v>3.6</v>
      </c>
      <c r="QR5" s="22">
        <f t="shared" si="144"/>
        <v>0</v>
      </c>
      <c r="QS5" s="22">
        <f t="shared" si="145"/>
        <v>0.15</v>
      </c>
      <c r="QT5" s="22">
        <f t="shared" si="146"/>
        <v>9.15</v>
      </c>
      <c r="QU5" s="22">
        <f t="shared" si="147"/>
        <v>3.4</v>
      </c>
      <c r="QV5" s="22">
        <f t="shared" si="148"/>
        <v>0.1</v>
      </c>
      <c r="QW5" s="22">
        <f t="shared" si="149"/>
        <v>0.15</v>
      </c>
      <c r="QX5" s="27" t="s">
        <v>46</v>
      </c>
      <c r="QY5" s="40">
        <f t="shared" si="150"/>
        <v>8.8000000000000007</v>
      </c>
      <c r="QZ5" s="40">
        <f t="shared" si="151"/>
        <v>44.3</v>
      </c>
      <c r="RA5" s="40" t="str">
        <f t="shared" si="152"/>
        <v/>
      </c>
      <c r="RB5" s="40">
        <f t="shared" si="153"/>
        <v>8.8000000000000007</v>
      </c>
      <c r="RC5" s="40">
        <f t="shared" si="154"/>
        <v>44.3</v>
      </c>
      <c r="RD5" s="40">
        <f t="shared" si="155"/>
        <v>7</v>
      </c>
      <c r="RE5" s="40">
        <f t="shared" si="156"/>
        <v>25.65</v>
      </c>
      <c r="RF5" s="40">
        <f t="shared" si="157"/>
        <v>69.949999999999989</v>
      </c>
    </row>
    <row r="6" spans="1:474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t="str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/>
      </c>
      <c r="C6" s="5" t="s">
        <v>112</v>
      </c>
      <c r="D6" s="4" t="s">
        <v>4</v>
      </c>
      <c r="E6" s="4">
        <v>2005</v>
      </c>
      <c r="F6" s="9">
        <f t="shared" si="0"/>
        <v>149.80000993000505</v>
      </c>
      <c r="G6" s="64" t="s">
        <v>46</v>
      </c>
      <c r="H6" s="3" t="str">
        <f>IF(OR(AND(AP6&gt;=AW$39,AQ6&gt;=AW$43,AP6&lt;&gt;"",AO6=""),AND(AU6&gt;=AW$39,AV6&gt;=AW$43,AU6&lt;&gt;"",AO6=""),AND(BS6&gt;=BZ$39,BT6&gt;=BZ$43,BS6&lt;&gt;"",BR6=""),AND(BX6&gt;=BZ$39,BY6&gt;=BZ$43,BX6&lt;&gt;"",BR6=""),AND(CV6&gt;=DC$39,CW6&gt;=DC$43,CV6&lt;&gt;"",CU6=""),AND(DA6&gt;=DC$39,DB6&gt;=DC$43,DA6&lt;&gt;""),AND(DZ6&gt;=EG$39,EA6&gt;=EG$43,DZ6&lt;&gt;""),AND(EE6&gt;=EG$39,EF6&gt;=EG$43,EE6&lt;&gt;""),AND(FB6&gt;=FI$39,FC6&gt;=FI$43,FB6&lt;&gt;""),AND(FG6&gt;=FI$39,FH6&gt;=FI$43,FG6&lt;&gt;""),AND(GD6&gt;=GK$39,GE6&gt;=GK$43,GD6&lt;&gt;""),AND(GI6&gt;=GK$39,GJ6&gt;=GK$43,GI6&lt;&gt;""),AND(HF6&gt;=HM$39,HG6&gt;=HM$43,HF6&lt;&gt;""),AND(HK6&gt;=HM$39,HL6&gt;=HM$43,HK6&lt;&gt;""),AND(IH6&gt;=IO$39,II6&gt;=IO$43,IH6&lt;&gt;""),AND(IM6&gt;=IO$39,IN6&gt;=IO$43,IM6&lt;&gt;""),AND(JJ6&gt;=JQ$39,JK6&gt;=JQ$43,JJ6&lt;&gt;""),AND(JO6&gt;=JQ$39,JP6&gt;=JQ$43,JO6&lt;&gt;""),AND(KL6&gt;=KS$39,KM6&gt;=KS$43,KL6&lt;&gt;""),AND(KQ6&gt;=KS$39,KR6&gt;=KS$43,KQ6&lt;&gt;""),AND(LN6&gt;=LU$39,LO6&gt;=LU$43,LN6&lt;&gt;""),AND(LS6&gt;=LU$39,LT6&gt;=LU$43,LS6&lt;&gt;""),AND(MP6&gt;=MW$39,MQ6&gt;=MW$43,MP6&lt;&gt;""),AND(MU6&gt;=MW$39,MV6&gt;=MW$43,MU6&lt;&gt;""),AND(NR6&gt;=NY$39,NS6&gt;=NY$43,NR6&lt;&gt;""),AND(NW6&gt;=NY$39,NX6&gt;=NY$43,NW6&lt;&gt;""),AND(OT6&gt;=PA$39,OU6&gt;=PA$43,OT6&lt;&gt;""),AND(OY6&gt;=PA$39,OZ6&gt;=PA$43,OY6&lt;&gt;""),AND(PV6&gt;=QC$39,PW6&gt;=QC$43,PV6&lt;&gt;""),AND(QA6&gt;=QC$39,QB6&gt;=QC$43,QA6&lt;&gt;"")),"P","")</f>
        <v>P</v>
      </c>
      <c r="I6" s="3" t="str">
        <f>IF(OR(AND(AQ6&gt;=AW$43,AQ6&lt;&gt;"",AO6=""),AND(AV6&gt;=AW$43,AV6&lt;&gt;"",AO6=""),AND(BT6&gt;=BZ$43,BT6&lt;&gt;"",BR6=""),AND(BY6&gt;=BZ$43,BY6&lt;&gt;"",BR6=""),AND(CW6&gt;=DC$43,CW6&lt;&gt;"",CU6=""),AND(DB6&gt;=DC$43,DB6&lt;&gt;"",CU6=""),AND(EA6&gt;=EG$43,EA6&lt;&gt;""),AND(EF6&gt;=EG$43,EF6&lt;&gt;""),AND(FC6&gt;=FI$43,FC6&lt;&gt;""),AND(FH6&gt;=FI$43,FH6&lt;&gt;""),AND(GE6&gt;=GK$43,GE6&lt;&gt;""),AND(GJ6&gt;=GK$43,GJ6&lt;&gt;""),AND(HG6&gt;=HM$43,HG6&lt;&gt;""),AND(HL6&gt;=HM$43,HL6&lt;&gt;""),AND(II6&gt;=IO$43,II6&lt;&gt;""),AND(IN6&gt;=IO$43,IN6&lt;&gt;""),AND(JK6&gt;=JQ$43,JK6&lt;&gt;""),AND(JP6&gt;=JQ$43,JP6&lt;&gt;""),AND(KM6&gt;=KS$43,KM6&lt;&gt;""),AND(KR6&gt;=KS$43,KR6&lt;&gt;""),AND(LO6&gt;=LU$43,LO6&lt;&gt;""),AND(LT6&gt;=LU$43,LT6&lt;&gt;""),AND(MQ6&gt;=MW$43,MQ6&lt;&gt;""),AND(MV6&gt;=MW$43,MV6&lt;&gt;""),AND(NS6&gt;=NY$43,NS6&lt;&gt;""),AND(NX6&gt;=NY$43,NX6&lt;&gt;""),AND(OU6&gt;=PA$43,OU6&lt;&gt;""),AND(OZ6&gt;=PA$43,OZ6&lt;&gt;""),AND(PW6&gt;=QC$43,PW6&lt;&gt;""),AND(QB6&gt;=QC$43,QB6&lt;&gt;"")),"P","")</f>
        <v>P</v>
      </c>
      <c r="J6" s="36" t="str">
        <f>IF(AND(I6="P",H6=""),"No DD",IF(OR(AND(AS6&gt;=AW$42,AT6&gt;=AW$46,AS6&lt;&gt;"",AO6=""),AND(BV6&gt;=BZ$42,BW6&gt;=BZ$46,BV6&lt;&gt;"",BR6=""),AND(CY6&gt;=DC$42,CZ6&gt;=DC$46,CY6&lt;&gt;"",CU6=""),AND(EC6&gt;=EG$42,ED6&gt;=EG$46,EC6&lt;&gt;""),AND(FE6&gt;=FI$42,FF6&gt;=FI$46,FE6&lt;&gt;""),AND(GG6&gt;=GK$42,GH6&gt;=GK$46,GG6&lt;&gt;""),AND(HI6&gt;=HM$42,HJ6&gt;=HM$46,HI6&lt;&gt;""),AND(IK6&gt;=IO$42,IL6&gt;=IO$46,IK6&lt;&gt;""),AND(JM6&gt;=JQ$42,JN6&gt;=JQ$46,JM6&lt;&gt;""),AND(KO6&gt;=KS$42,KP6&gt;=KS$46,KO6&lt;&gt;""),AND(LQ6&gt;=LU$42,LR6&gt;=LU$46,LQ6&lt;&gt;""),AND(MS6&gt;=MW$42,MT6&gt;=MW$46,MS6&lt;&gt;""),AND(NU6&gt;=NY$42,NV6&gt;=NY$46,NU6&lt;&gt;""),AND(OW6&gt;=PA$42,OX6&gt;=PA$46,OW6&lt;&gt;""),AND(PY6&gt;=QC$42,PZ6&gt;=QC$46,PY6&lt;&gt;"")),"Merit",IF(OR(AND(AS6&gt;=AW$41,AT6&gt;=AW$45,AS6&lt;&gt;"",AO6=""),AND(BV6&gt;=BZ$41,BW6&gt;=BZ$45,BV6&lt;&gt;"",BR6=""),AND(CY6&gt;=DC$41,CZ6&gt;=DC$45,CY6&lt;&gt;"",CU6=""),AND(EC6&gt;=EG$41,ED6&gt;=EG$45,EC6&lt;&gt;""),AND(FE6&gt;=FI$41,FF6&gt;=FI$45,FE6&lt;&gt;""),AND(GG6&gt;=GK$41,GH6&gt;=GK$45,GG6&lt;&gt;""),AND(HI6&gt;=HM$41,HJ6&gt;=HM$45,HI6&lt;&gt;""),AND(IK6&gt;=IO$41,IL6&gt;=IO$45,IK6&lt;&gt;""),AND(JM6&gt;=JQ$41,JN6&gt;=JQ$45,JM6&lt;&gt;""),AND(KO6&gt;=KS$41,KP6&gt;=KS$45,KO6&lt;&gt;""),AND(LQ6&gt;=LU$41,LR6&gt;=LU$45,LQ6&lt;&gt;""),AND(MS6&gt;=MW$41,MT6&gt;=MW$45,MS6&lt;&gt;""),AND(NU6&gt;=NY$41,NV6&gt;=NY$45,NU6&lt;&gt;""),AND(OW6&gt;=PA$41,OX6&gt;=PA$45,OW6&lt;&gt;""),AND(PY6&gt;=QC$41,PZ6&gt;=QC$45,PY6&lt;&gt;"")),"Excellence",IF(K6="P","Worlds Team",IF(H6="P","National Team","")))))</f>
        <v>National Team</v>
      </c>
      <c r="K6" s="3" t="str">
        <f>IF(OR(AND(AS6&gt;=AW$40,AT6&gt;=AW$44,AS6&lt;&gt;"",AO6=""),AND(BV6&gt;=BZ$40,BW6&gt;=BZ$44,BV6&lt;&gt;"",BR6=""),AND(CY6&gt;=DC$40,CZ6&gt;=DC$44,CY6&lt;&gt;"",CU6=""),AND(EC6&gt;=EG$40,ED6&gt;=EG$44,EC6&lt;&gt;""),AND(FE6&gt;=FI$40,FF6&gt;=FI$44,FE6&lt;&gt;""),AND(GG6&gt;=GK$40,GH6&gt;=GK$44,GG6&lt;&gt;""),AND(HI6&gt;=HM$40,HJ6&gt;=HM$44,HI6&lt;&gt;""),AND(IK6&gt;=IO$40,IL6&gt;=IO$44,IK6&lt;&gt;""),AND(JM6&gt;=JQ$40,JN6&gt;=JQ$44,JM6&lt;&gt;""),AND(KO6&gt;=KS$40,KP6&gt;=KS$44,KO6&lt;&gt;""),AND(LQ6&gt;=LU$40,LR6&gt;=LU$44,LQ6&lt;&gt;""),AND(MS6&gt;=MW$40,MT6&gt;=MW$44,MS6&lt;&gt;""),AND(NU6&gt;=NY$40,NV6&gt;=NY$44,NU6&lt;&gt;""),AND(OW6&gt;=PA$40,OX6&gt;=PA$44,OW6&lt;&gt;""),AND(PY6&gt;=QC$40,PZ6&gt;=QC$44,PY6&lt;&gt;"")),"P","")</f>
        <v/>
      </c>
      <c r="L6" s="8">
        <f>IF(COUNT(AQ6,BT6,CW6)&gt;0,LARGE((AQ6,BT6,CW6),1),0)</f>
        <v>50.599999999999994</v>
      </c>
      <c r="M6" s="8" t="str">
        <f t="shared" si="1"/>
        <v>2024 3rd Domestic Trial</v>
      </c>
      <c r="N6" s="8">
        <f>IF(COUNT(AQ6,BT6,CW6)&gt;1,LARGE((AQ6,BT6,CW6),2),0)</f>
        <v>48.699999999999996</v>
      </c>
      <c r="O6" s="8" t="str">
        <f t="shared" si="2"/>
        <v>2025 Elite Canada</v>
      </c>
      <c r="P6" s="8">
        <f t="shared" si="3"/>
        <v>50.5</v>
      </c>
      <c r="Q6" s="8" t="str">
        <f t="shared" si="4"/>
        <v>2025 Elite Canada</v>
      </c>
      <c r="R6" s="8" t="str">
        <f t="shared" si="5"/>
        <v/>
      </c>
      <c r="S6" s="11" t="str">
        <f t="shared" si="6"/>
        <v/>
      </c>
      <c r="T6" s="8" t="str">
        <f t="shared" si="7"/>
        <v/>
      </c>
      <c r="U6" s="19">
        <v>18.7</v>
      </c>
      <c r="V6" s="19">
        <v>6.8</v>
      </c>
      <c r="W6" s="19">
        <v>0.6</v>
      </c>
      <c r="X6" s="19">
        <v>0.3</v>
      </c>
      <c r="Y6" s="19">
        <v>19</v>
      </c>
      <c r="Z6" s="19">
        <v>6.4</v>
      </c>
      <c r="AA6" s="19">
        <v>0</v>
      </c>
      <c r="AB6" s="19">
        <v>0</v>
      </c>
      <c r="AC6" s="19">
        <v>18.600000000000001</v>
      </c>
      <c r="AD6" s="19">
        <v>5.2</v>
      </c>
      <c r="AE6" s="19">
        <v>0.6</v>
      </c>
      <c r="AF6" s="19">
        <v>0</v>
      </c>
      <c r="AG6" s="19">
        <v>18.2</v>
      </c>
      <c r="AH6" s="19">
        <v>6.8</v>
      </c>
      <c r="AI6" s="19">
        <v>0.2</v>
      </c>
      <c r="AJ6" s="19">
        <v>0.3</v>
      </c>
      <c r="AK6" s="19">
        <v>18.399999999999999</v>
      </c>
      <c r="AL6" s="19">
        <v>6.4</v>
      </c>
      <c r="AM6" s="19">
        <v>0.6</v>
      </c>
      <c r="AN6" s="19">
        <v>0</v>
      </c>
      <c r="AO6" s="27"/>
      <c r="AP6" s="40">
        <f t="shared" si="8"/>
        <v>13.2</v>
      </c>
      <c r="AQ6" s="40">
        <f t="shared" si="9"/>
        <v>50.599999999999994</v>
      </c>
      <c r="AR6" s="40">
        <f t="shared" si="10"/>
        <v>23.2</v>
      </c>
      <c r="AS6" s="40">
        <f t="shared" si="11"/>
        <v>18.399999999999999</v>
      </c>
      <c r="AT6" s="40">
        <f t="shared" si="12"/>
        <v>73.8</v>
      </c>
      <c r="AU6" s="40">
        <f t="shared" si="13"/>
        <v>13.2</v>
      </c>
      <c r="AV6" s="40">
        <f t="shared" si="14"/>
        <v>49.300000000000004</v>
      </c>
      <c r="AW6" s="40">
        <f t="shared" si="15"/>
        <v>123.1</v>
      </c>
      <c r="AX6" s="18">
        <v>18.399999999999999</v>
      </c>
      <c r="AY6" s="18">
        <v>6</v>
      </c>
      <c r="AZ6" s="18">
        <v>0.2</v>
      </c>
      <c r="BA6" s="18">
        <v>0.3</v>
      </c>
      <c r="BB6" s="18">
        <v>18.600000000000001</v>
      </c>
      <c r="BC6" s="18">
        <v>6.4</v>
      </c>
      <c r="BD6" s="18">
        <v>0.8</v>
      </c>
      <c r="BE6" s="18">
        <v>0</v>
      </c>
      <c r="BF6" s="18"/>
      <c r="BG6" s="18"/>
      <c r="BH6" s="18"/>
      <c r="BI6" s="18"/>
      <c r="BJ6" s="18">
        <v>18.600000000000001</v>
      </c>
      <c r="BK6" s="18">
        <v>6.8</v>
      </c>
      <c r="BL6" s="18">
        <v>0.2</v>
      </c>
      <c r="BM6" s="18">
        <v>0.3</v>
      </c>
      <c r="BN6" s="18">
        <v>18.600000000000001</v>
      </c>
      <c r="BO6" s="18">
        <v>6.4</v>
      </c>
      <c r="BP6" s="18">
        <v>0</v>
      </c>
      <c r="BQ6" s="18">
        <v>0</v>
      </c>
      <c r="BR6" s="28"/>
      <c r="BS6" s="11">
        <f t="shared" si="16"/>
        <v>12.4</v>
      </c>
      <c r="BT6" s="11">
        <f t="shared" si="17"/>
        <v>48.699999999999996</v>
      </c>
      <c r="BU6" s="11" t="str">
        <f t="shared" si="18"/>
        <v/>
      </c>
      <c r="BV6" s="11">
        <f t="shared" si="19"/>
        <v>12.4</v>
      </c>
      <c r="BW6" s="11">
        <f t="shared" si="20"/>
        <v>48.699999999999996</v>
      </c>
      <c r="BX6" s="11">
        <f t="shared" si="21"/>
        <v>13.2</v>
      </c>
      <c r="BY6" s="11">
        <f t="shared" si="22"/>
        <v>50.5</v>
      </c>
      <c r="BZ6" s="11">
        <f t="shared" si="23"/>
        <v>99.199999999999989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 t="shared" si="24"/>
        <v/>
      </c>
      <c r="CW6" s="40" t="str">
        <f t="shared" si="25"/>
        <v/>
      </c>
      <c r="CX6" s="40" t="str">
        <f t="shared" si="26"/>
        <v/>
      </c>
      <c r="CY6" s="40" t="str">
        <f t="shared" si="27"/>
        <v/>
      </c>
      <c r="CZ6" s="40" t="str">
        <f t="shared" si="28"/>
        <v/>
      </c>
      <c r="DA6" s="40" t="str">
        <f t="shared" si="29"/>
        <v/>
      </c>
      <c r="DB6" s="40" t="str">
        <f t="shared" si="30"/>
        <v/>
      </c>
      <c r="DC6" s="40" t="str">
        <f t="shared" si="31"/>
        <v/>
      </c>
      <c r="DD6" s="50" t="str">
        <f t="shared" si="32"/>
        <v/>
      </c>
      <c r="DE6" s="50" t="str">
        <f t="shared" si="33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4"/>
        <v/>
      </c>
      <c r="EA6" s="40" t="str">
        <f t="shared" si="35"/>
        <v/>
      </c>
      <c r="EB6" s="40" t="str">
        <f t="shared" si="36"/>
        <v/>
      </c>
      <c r="EC6" s="40" t="str">
        <f t="shared" si="37"/>
        <v/>
      </c>
      <c r="ED6" s="40" t="str">
        <f t="shared" si="38"/>
        <v/>
      </c>
      <c r="EE6" s="40" t="str">
        <f t="shared" si="39"/>
        <v/>
      </c>
      <c r="EF6" s="40" t="str">
        <f t="shared" si="40"/>
        <v/>
      </c>
      <c r="EG6" s="40" t="str">
        <f t="shared" si="41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2"/>
        <v/>
      </c>
      <c r="FC6" s="11" t="str">
        <f t="shared" si="43"/>
        <v/>
      </c>
      <c r="FD6" s="11" t="str">
        <f t="shared" si="44"/>
        <v/>
      </c>
      <c r="FE6" s="11" t="str">
        <f t="shared" si="45"/>
        <v/>
      </c>
      <c r="FF6" s="11" t="str">
        <f t="shared" si="46"/>
        <v/>
      </c>
      <c r="FG6" s="11" t="str">
        <f t="shared" si="47"/>
        <v/>
      </c>
      <c r="FH6" s="11" t="str">
        <f t="shared" si="48"/>
        <v/>
      </c>
      <c r="FI6" s="11" t="str">
        <f t="shared" si="49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0"/>
        <v/>
      </c>
      <c r="GE6" s="40" t="str">
        <f t="shared" si="51"/>
        <v/>
      </c>
      <c r="GF6" s="40" t="str">
        <f t="shared" si="52"/>
        <v/>
      </c>
      <c r="GG6" s="40" t="str">
        <f t="shared" si="53"/>
        <v/>
      </c>
      <c r="GH6" s="40" t="str">
        <f t="shared" si="54"/>
        <v/>
      </c>
      <c r="GI6" s="40" t="str">
        <f t="shared" si="55"/>
        <v/>
      </c>
      <c r="GJ6" s="40" t="str">
        <f t="shared" si="56"/>
        <v/>
      </c>
      <c r="GK6" s="40" t="str">
        <f t="shared" si="57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58"/>
        <v/>
      </c>
      <c r="HG6" s="11" t="str">
        <f t="shared" si="59"/>
        <v/>
      </c>
      <c r="HH6" s="11" t="str">
        <f t="shared" si="60"/>
        <v/>
      </c>
      <c r="HI6" s="11" t="str">
        <f t="shared" si="61"/>
        <v/>
      </c>
      <c r="HJ6" s="11" t="str">
        <f t="shared" si="62"/>
        <v/>
      </c>
      <c r="HK6" s="11" t="str">
        <f t="shared" si="63"/>
        <v/>
      </c>
      <c r="HL6" s="11" t="str">
        <f t="shared" si="64"/>
        <v/>
      </c>
      <c r="HM6" s="11" t="str">
        <f t="shared" si="65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6"/>
        <v/>
      </c>
      <c r="II6" s="40" t="str">
        <f t="shared" si="67"/>
        <v/>
      </c>
      <c r="IJ6" s="40" t="str">
        <f t="shared" si="68"/>
        <v/>
      </c>
      <c r="IK6" s="40" t="str">
        <f t="shared" si="69"/>
        <v/>
      </c>
      <c r="IL6" s="40" t="str">
        <f t="shared" si="70"/>
        <v/>
      </c>
      <c r="IM6" s="40" t="str">
        <f t="shared" si="71"/>
        <v/>
      </c>
      <c r="IN6" s="40" t="str">
        <f t="shared" si="72"/>
        <v/>
      </c>
      <c r="IO6" s="40" t="str">
        <f t="shared" si="73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4"/>
        <v/>
      </c>
      <c r="JK6" s="11" t="str">
        <f t="shared" si="75"/>
        <v/>
      </c>
      <c r="JL6" s="11" t="str">
        <f t="shared" si="76"/>
        <v/>
      </c>
      <c r="JM6" s="11" t="str">
        <f t="shared" si="77"/>
        <v/>
      </c>
      <c r="JN6" s="11" t="str">
        <f t="shared" si="78"/>
        <v/>
      </c>
      <c r="JO6" s="11" t="str">
        <f t="shared" si="79"/>
        <v/>
      </c>
      <c r="JP6" s="11" t="str">
        <f t="shared" si="80"/>
        <v/>
      </c>
      <c r="JQ6" s="11" t="str">
        <f t="shared" si="81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2"/>
        <v/>
      </c>
      <c r="KM6" s="40" t="str">
        <f t="shared" si="83"/>
        <v/>
      </c>
      <c r="KN6" s="40" t="str">
        <f t="shared" si="84"/>
        <v/>
      </c>
      <c r="KO6" s="40" t="str">
        <f t="shared" si="85"/>
        <v/>
      </c>
      <c r="KP6" s="40" t="str">
        <f t="shared" si="86"/>
        <v/>
      </c>
      <c r="KQ6" s="40" t="str">
        <f t="shared" si="87"/>
        <v/>
      </c>
      <c r="KR6" s="40" t="str">
        <f t="shared" si="88"/>
        <v/>
      </c>
      <c r="KS6" s="40" t="str">
        <f t="shared" si="89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0"/>
        <v/>
      </c>
      <c r="LO6" s="11" t="str">
        <f t="shared" si="91"/>
        <v/>
      </c>
      <c r="LP6" s="11" t="str">
        <f t="shared" si="92"/>
        <v/>
      </c>
      <c r="LQ6" s="11" t="str">
        <f t="shared" si="93"/>
        <v/>
      </c>
      <c r="LR6" s="11" t="str">
        <f t="shared" si="94"/>
        <v/>
      </c>
      <c r="LS6" s="11" t="str">
        <f t="shared" si="95"/>
        <v/>
      </c>
      <c r="LT6" s="11" t="str">
        <f t="shared" si="96"/>
        <v/>
      </c>
      <c r="LU6" s="11" t="str">
        <f t="shared" si="97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98"/>
        <v/>
      </c>
      <c r="MQ6" s="40" t="str">
        <f t="shared" si="99"/>
        <v/>
      </c>
      <c r="MR6" s="40" t="str">
        <f t="shared" si="100"/>
        <v/>
      </c>
      <c r="MS6" s="40" t="str">
        <f t="shared" si="101"/>
        <v/>
      </c>
      <c r="MT6" s="40" t="str">
        <f t="shared" si="102"/>
        <v/>
      </c>
      <c r="MU6" s="40" t="str">
        <f t="shared" si="103"/>
        <v/>
      </c>
      <c r="MV6" s="40" t="str">
        <f t="shared" si="104"/>
        <v/>
      </c>
      <c r="MW6" s="40" t="str">
        <f t="shared" si="105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6"/>
        <v/>
      </c>
      <c r="NS6" s="11" t="str">
        <f t="shared" si="107"/>
        <v/>
      </c>
      <c r="NT6" s="11" t="str">
        <f t="shared" si="108"/>
        <v/>
      </c>
      <c r="NU6" s="11" t="str">
        <f t="shared" si="109"/>
        <v/>
      </c>
      <c r="NV6" s="11" t="str">
        <f t="shared" si="110"/>
        <v/>
      </c>
      <c r="NW6" s="11" t="str">
        <f t="shared" si="111"/>
        <v/>
      </c>
      <c r="NX6" s="11" t="str">
        <f t="shared" si="112"/>
        <v/>
      </c>
      <c r="NY6" s="11" t="str">
        <f t="shared" si="113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4"/>
        <v/>
      </c>
      <c r="OU6" s="40" t="str">
        <f t="shared" si="115"/>
        <v/>
      </c>
      <c r="OV6" s="40" t="str">
        <f t="shared" si="116"/>
        <v/>
      </c>
      <c r="OW6" s="40" t="str">
        <f t="shared" si="117"/>
        <v/>
      </c>
      <c r="OX6" s="40" t="str">
        <f t="shared" si="118"/>
        <v/>
      </c>
      <c r="OY6" s="40" t="str">
        <f t="shared" si="119"/>
        <v/>
      </c>
      <c r="OZ6" s="40" t="str">
        <f t="shared" si="120"/>
        <v/>
      </c>
      <c r="PA6" s="40" t="str">
        <f t="shared" si="121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2"/>
        <v/>
      </c>
      <c r="PW6" s="11" t="str">
        <f t="shared" si="123"/>
        <v/>
      </c>
      <c r="PX6" s="11" t="str">
        <f t="shared" si="124"/>
        <v/>
      </c>
      <c r="PY6" s="11" t="str">
        <f t="shared" si="125"/>
        <v/>
      </c>
      <c r="PZ6" s="11" t="str">
        <f t="shared" si="126"/>
        <v/>
      </c>
      <c r="QA6" s="11" t="str">
        <f t="shared" si="127"/>
        <v/>
      </c>
      <c r="QB6" s="11" t="str">
        <f t="shared" si="128"/>
        <v/>
      </c>
      <c r="QC6" s="11" t="str">
        <f t="shared" si="129"/>
        <v/>
      </c>
      <c r="QD6" s="22">
        <f t="shared" si="130"/>
        <v>9.1999999999999993</v>
      </c>
      <c r="QE6" s="22">
        <f t="shared" si="131"/>
        <v>3</v>
      </c>
      <c r="QF6" s="22">
        <f t="shared" si="132"/>
        <v>0.1</v>
      </c>
      <c r="QG6" s="22">
        <f t="shared" si="133"/>
        <v>0.15</v>
      </c>
      <c r="QH6" s="22">
        <f t="shared" si="134"/>
        <v>9.3000000000000007</v>
      </c>
      <c r="QI6" s="22">
        <f t="shared" si="135"/>
        <v>3.2</v>
      </c>
      <c r="QJ6" s="22">
        <f t="shared" si="136"/>
        <v>0.4</v>
      </c>
      <c r="QK6" s="22">
        <f t="shared" si="137"/>
        <v>0</v>
      </c>
      <c r="QL6" s="22">
        <f t="shared" si="138"/>
        <v>0</v>
      </c>
      <c r="QM6" s="22">
        <f t="shared" si="139"/>
        <v>0</v>
      </c>
      <c r="QN6" s="22">
        <f t="shared" si="140"/>
        <v>0</v>
      </c>
      <c r="QO6" s="22">
        <f t="shared" si="141"/>
        <v>0</v>
      </c>
      <c r="QP6" s="22">
        <f t="shared" si="142"/>
        <v>9.3000000000000007</v>
      </c>
      <c r="QQ6" s="22">
        <f t="shared" si="143"/>
        <v>3.4</v>
      </c>
      <c r="QR6" s="22">
        <f t="shared" si="144"/>
        <v>0.1</v>
      </c>
      <c r="QS6" s="22">
        <f t="shared" si="145"/>
        <v>0.15</v>
      </c>
      <c r="QT6" s="22">
        <f t="shared" si="146"/>
        <v>9.3000000000000007</v>
      </c>
      <c r="QU6" s="22">
        <f t="shared" si="147"/>
        <v>3.2</v>
      </c>
      <c r="QV6" s="22">
        <f t="shared" si="148"/>
        <v>0</v>
      </c>
      <c r="QW6" s="22">
        <f t="shared" si="149"/>
        <v>0</v>
      </c>
      <c r="QX6" s="27" t="s">
        <v>46</v>
      </c>
      <c r="QY6" s="40">
        <f t="shared" si="150"/>
        <v>6.2</v>
      </c>
      <c r="QZ6" s="40">
        <f t="shared" si="151"/>
        <v>24.349999999999998</v>
      </c>
      <c r="RA6" s="40" t="str">
        <f t="shared" si="152"/>
        <v/>
      </c>
      <c r="RB6" s="40">
        <f t="shared" si="153"/>
        <v>6.2</v>
      </c>
      <c r="RC6" s="40">
        <f t="shared" si="154"/>
        <v>24.349999999999998</v>
      </c>
      <c r="RD6" s="40">
        <f t="shared" si="155"/>
        <v>6.6</v>
      </c>
      <c r="RE6" s="40">
        <f t="shared" si="156"/>
        <v>25.25</v>
      </c>
      <c r="RF6" s="40">
        <f t="shared" si="157"/>
        <v>49.599999999999994</v>
      </c>
    </row>
    <row r="7" spans="1:474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1</v>
      </c>
      <c r="C7" s="5" t="s">
        <v>63</v>
      </c>
      <c r="D7" s="4" t="s">
        <v>5</v>
      </c>
      <c r="E7" s="4">
        <v>2004</v>
      </c>
      <c r="F7" s="9">
        <f t="shared" si="0"/>
        <v>144.90000950000513</v>
      </c>
      <c r="G7" s="64"/>
      <c r="H7" s="3" t="str">
        <f>IF(OR(AND(AP7&gt;=AW$39,AQ7&gt;=AW$43,AP7&lt;&gt;"",AO7=""),AND(AU7&gt;=AW$39,AV7&gt;=AW$43,AU7&lt;&gt;"",AO7=""),AND(BS7&gt;=BZ$39,BT7&gt;=BZ$43,BS7&lt;&gt;"",BR7=""),AND(BX7&gt;=BZ$39,BY7&gt;=BZ$43,BX7&lt;&gt;"",BR7=""),AND(CV7&gt;=DC$39,CW7&gt;=DC$43,CV7&lt;&gt;"",CU7=""),AND(DA7&gt;=DC$39,DB7&gt;=DC$43,DA7&lt;&gt;""),AND(DZ7&gt;=EG$39,EA7&gt;=EG$43,DZ7&lt;&gt;""),AND(EE7&gt;=EG$39,EF7&gt;=EG$43,EE7&lt;&gt;""),AND(FB7&gt;=FI$39,FC7&gt;=FI$43,FB7&lt;&gt;""),AND(FG7&gt;=FI$39,FH7&gt;=FI$43,FG7&lt;&gt;""),AND(GD7&gt;=GK$39,GE7&gt;=GK$43,GD7&lt;&gt;""),AND(GI7&gt;=GK$39,GJ7&gt;=GK$43,GI7&lt;&gt;""),AND(HF7&gt;=HM$39,HG7&gt;=HM$43,HF7&lt;&gt;""),AND(HK7&gt;=HM$39,HL7&gt;=HM$43,HK7&lt;&gt;""),AND(IH7&gt;=IO$39,II7&gt;=IO$43,IH7&lt;&gt;""),AND(IM7&gt;=IO$39,IN7&gt;=IO$43,IM7&lt;&gt;""),AND(JJ7&gt;=JQ$39,JK7&gt;=JQ$43,JJ7&lt;&gt;""),AND(JO7&gt;=JQ$39,JP7&gt;=JQ$43,JO7&lt;&gt;""),AND(KL7&gt;=KS$39,KM7&gt;=KS$43,KL7&lt;&gt;""),AND(KQ7&gt;=KS$39,KR7&gt;=KS$43,KQ7&lt;&gt;""),AND(LN7&gt;=LU$39,LO7&gt;=LU$43,LN7&lt;&gt;""),AND(LS7&gt;=LU$39,LT7&gt;=LU$43,LS7&lt;&gt;""),AND(MP7&gt;=MW$39,MQ7&gt;=MW$43,MP7&lt;&gt;""),AND(MU7&gt;=MW$39,MV7&gt;=MW$43,MU7&lt;&gt;""),AND(NR7&gt;=NY$39,NS7&gt;=NY$43,NR7&lt;&gt;""),AND(NW7&gt;=NY$39,NX7&gt;=NY$43,NW7&lt;&gt;""),AND(OT7&gt;=PA$39,OU7&gt;=PA$43,OT7&lt;&gt;""),AND(OY7&gt;=PA$39,OZ7&gt;=PA$43,OY7&lt;&gt;""),AND(PV7&gt;=QC$39,PW7&gt;=QC$43,PV7&lt;&gt;""),AND(QA7&gt;=QC$39,QB7&gt;=QC$43,QA7&lt;&gt;"")),"P","")</f>
        <v>P</v>
      </c>
      <c r="I7" s="3" t="str">
        <f>IF(OR(AND(AQ7&gt;=AW$43,AQ7&lt;&gt;"",AO7=""),AND(AV7&gt;=AW$43,AV7&lt;&gt;"",AO7=""),AND(BT7&gt;=BZ$43,BT7&lt;&gt;"",BR7=""),AND(BY7&gt;=BZ$43,BY7&lt;&gt;"",BR7=""),AND(CW7&gt;=DC$43,CW7&lt;&gt;"",CU7=""),AND(DB7&gt;=DC$43,DB7&lt;&gt;"",CU7=""),AND(EA7&gt;=EG$43,EA7&lt;&gt;""),AND(EF7&gt;=EG$43,EF7&lt;&gt;""),AND(FC7&gt;=FI$43,FC7&lt;&gt;""),AND(FH7&gt;=FI$43,FH7&lt;&gt;""),AND(GE7&gt;=GK$43,GE7&lt;&gt;""),AND(GJ7&gt;=GK$43,GJ7&lt;&gt;""),AND(HG7&gt;=HM$43,HG7&lt;&gt;""),AND(HL7&gt;=HM$43,HL7&lt;&gt;""),AND(II7&gt;=IO$43,II7&lt;&gt;""),AND(IN7&gt;=IO$43,IN7&lt;&gt;""),AND(JK7&gt;=JQ$43,JK7&lt;&gt;""),AND(JP7&gt;=JQ$43,JP7&lt;&gt;""),AND(KM7&gt;=KS$43,KM7&lt;&gt;""),AND(KR7&gt;=KS$43,KR7&lt;&gt;""),AND(LO7&gt;=LU$43,LO7&lt;&gt;""),AND(LT7&gt;=LU$43,LT7&lt;&gt;""),AND(MQ7&gt;=MW$43,MQ7&lt;&gt;""),AND(MV7&gt;=MW$43,MV7&lt;&gt;""),AND(NS7&gt;=NY$43,NS7&lt;&gt;""),AND(NX7&gt;=NY$43,NX7&lt;&gt;""),AND(OU7&gt;=PA$43,OU7&lt;&gt;""),AND(OZ7&gt;=PA$43,OZ7&lt;&gt;""),AND(PW7&gt;=QC$43,PW7&lt;&gt;""),AND(QB7&gt;=QC$43,QB7&lt;&gt;"")),"P","")</f>
        <v>P</v>
      </c>
      <c r="J7" s="36" t="str">
        <f>IF(AND(I7="P",H7=""),"No DD",IF(OR(AND(AS7&gt;=AW$42,AT7&gt;=AW$46,AS7&lt;&gt;"",AO7=""),AND(BV7&gt;=BZ$42,BW7&gt;=BZ$46,BV7&lt;&gt;"",BR7=""),AND(CY7&gt;=DC$42,CZ7&gt;=DC$46,CY7&lt;&gt;"",CU7=""),AND(EC7&gt;=EG$42,ED7&gt;=EG$46,EC7&lt;&gt;""),AND(FE7&gt;=FI$42,FF7&gt;=FI$46,FE7&lt;&gt;""),AND(GG7&gt;=GK$42,GH7&gt;=GK$46,GG7&lt;&gt;""),AND(HI7&gt;=HM$42,HJ7&gt;=HM$46,HI7&lt;&gt;""),AND(IK7&gt;=IO$42,IL7&gt;=IO$46,IK7&lt;&gt;""),AND(JM7&gt;=JQ$42,JN7&gt;=JQ$46,JM7&lt;&gt;""),AND(KO7&gt;=KS$42,KP7&gt;=KS$46,KO7&lt;&gt;""),AND(LQ7&gt;=LU$42,LR7&gt;=LU$46,LQ7&lt;&gt;""),AND(MS7&gt;=MW$42,MT7&gt;=MW$46,MS7&lt;&gt;""),AND(NU7&gt;=NY$42,NV7&gt;=NY$46,NU7&lt;&gt;""),AND(OW7&gt;=PA$42,OX7&gt;=PA$46,OW7&lt;&gt;""),AND(PY7&gt;=QC$42,PZ7&gt;=QC$46,PY7&lt;&gt;"")),"Merit",IF(OR(AND(AS7&gt;=AW$41,AT7&gt;=AW$45,AS7&lt;&gt;"",AO7=""),AND(BV7&gt;=BZ$41,BW7&gt;=BZ$45,BV7&lt;&gt;"",BR7=""),AND(CY7&gt;=DC$41,CZ7&gt;=DC$45,CY7&lt;&gt;"",CU7=""),AND(EC7&gt;=EG$41,ED7&gt;=EG$45,EC7&lt;&gt;""),AND(FE7&gt;=FI$41,FF7&gt;=FI$45,FE7&lt;&gt;""),AND(GG7&gt;=GK$41,GH7&gt;=GK$45,GG7&lt;&gt;""),AND(HI7&gt;=HM$41,HJ7&gt;=HM$45,HI7&lt;&gt;""),AND(IK7&gt;=IO$41,IL7&gt;=IO$45,IK7&lt;&gt;""),AND(JM7&gt;=JQ$41,JN7&gt;=JQ$45,JM7&lt;&gt;""),AND(KO7&gt;=KS$41,KP7&gt;=KS$45,KO7&lt;&gt;""),AND(LQ7&gt;=LU$41,LR7&gt;=LU$45,LQ7&lt;&gt;""),AND(MS7&gt;=MW$41,MT7&gt;=MW$45,MS7&lt;&gt;""),AND(NU7&gt;=NY$41,NV7&gt;=NY$45,NU7&lt;&gt;""),AND(OW7&gt;=PA$41,OX7&gt;=PA$45,OW7&lt;&gt;""),AND(PY7&gt;=QC$41,PZ7&gt;=QC$45,PY7&lt;&gt;"")),"Excellence",IF(K7="P","Worlds Team",IF(H7="P","National Team","")))))</f>
        <v>National Team</v>
      </c>
      <c r="K7" s="3" t="str">
        <f>IF(OR(AND(AS7&gt;=AW$40,AT7&gt;=AW$44,AS7&lt;&gt;"",AO7=""),AND(BV7&gt;=BZ$40,BW7&gt;=BZ$44,BV7&lt;&gt;"",BR7=""),AND(CY7&gt;=DC$40,CZ7&gt;=DC$44,CY7&lt;&gt;"",CU7=""),AND(EC7&gt;=EG$40,ED7&gt;=EG$44,EC7&lt;&gt;""),AND(FE7&gt;=FI$40,FF7&gt;=FI$44,FE7&lt;&gt;""),AND(GG7&gt;=GK$40,GH7&gt;=GK$44,GG7&lt;&gt;""),AND(HI7&gt;=HM$40,HJ7&gt;=HM$44,HI7&lt;&gt;""),AND(IK7&gt;=IO$40,IL7&gt;=IO$44,IK7&lt;&gt;""),AND(JM7&gt;=JQ$40,JN7&gt;=JQ$44,JM7&lt;&gt;""),AND(KO7&gt;=KS$40,KP7&gt;=KS$44,KO7&lt;&gt;""),AND(LQ7&gt;=LU$40,LR7&gt;=LU$44,LQ7&lt;&gt;""),AND(MS7&gt;=MW$40,MT7&gt;=MW$44,MS7&lt;&gt;""),AND(NU7&gt;=NY$40,NV7&gt;=NY$44,NU7&lt;&gt;""),AND(OW7&gt;=PA$40,OX7&gt;=PA$44,OW7&lt;&gt;""),AND(PY7&gt;=QC$40,PZ7&gt;=QC$44,PY7&lt;&gt;"")),"P","")</f>
        <v/>
      </c>
      <c r="L7" s="8">
        <f>IF(COUNT(AQ7,BT7,CW7)&gt;0,LARGE((AQ7,BT7,CW7),1),0)</f>
        <v>51.1</v>
      </c>
      <c r="M7" s="8" t="str">
        <f t="shared" si="1"/>
        <v>2025 Elite Canada</v>
      </c>
      <c r="N7" s="8">
        <f>IF(COUNT(AQ7,BT7,CW7)&gt;1,LARGE((AQ7,BT7,CW7),2),0)</f>
        <v>43.9</v>
      </c>
      <c r="O7" s="8" t="str">
        <f t="shared" si="2"/>
        <v>2025 Nationals</v>
      </c>
      <c r="P7" s="8">
        <f t="shared" si="3"/>
        <v>44.099999999999994</v>
      </c>
      <c r="Q7" s="8" t="str">
        <f t="shared" si="4"/>
        <v>2025 Elite Canada</v>
      </c>
      <c r="R7" s="8">
        <f t="shared" si="5"/>
        <v>5.8000000000000043</v>
      </c>
      <c r="S7" s="11" t="str">
        <f t="shared" si="6"/>
        <v>(Q1)</v>
      </c>
      <c r="T7" s="8" t="str">
        <f t="shared" si="7"/>
        <v>2024 World Cup POR (July 7)</v>
      </c>
      <c r="U7" s="19">
        <v>18.399999999999999</v>
      </c>
      <c r="V7" s="19">
        <v>6.8</v>
      </c>
      <c r="W7" s="19">
        <v>0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19.100000000000001</v>
      </c>
      <c r="AD7" s="19">
        <v>5.6</v>
      </c>
      <c r="AE7" s="19">
        <v>0.6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8"/>
        <v>6.8</v>
      </c>
      <c r="AQ7" s="40">
        <f t="shared" si="9"/>
        <v>25.5</v>
      </c>
      <c r="AR7" s="40">
        <f t="shared" si="10"/>
        <v>24.1</v>
      </c>
      <c r="AS7" s="40">
        <f t="shared" si="11"/>
        <v>12.399999999999999</v>
      </c>
      <c r="AT7" s="40">
        <f t="shared" si="12"/>
        <v>49.6</v>
      </c>
      <c r="AU7" s="40" t="str">
        <f t="shared" si="13"/>
        <v/>
      </c>
      <c r="AV7" s="40" t="str">
        <f t="shared" si="14"/>
        <v/>
      </c>
      <c r="AW7" s="40">
        <f t="shared" si="15"/>
        <v>49.6</v>
      </c>
      <c r="AX7" s="18">
        <v>19</v>
      </c>
      <c r="AY7" s="18">
        <v>6.8</v>
      </c>
      <c r="AZ7" s="18">
        <v>0.2</v>
      </c>
      <c r="BA7" s="18">
        <v>0.3</v>
      </c>
      <c r="BB7" s="18">
        <v>18.8</v>
      </c>
      <c r="BC7" s="18">
        <v>6.4</v>
      </c>
      <c r="BD7" s="18">
        <v>0</v>
      </c>
      <c r="BE7" s="18">
        <v>0</v>
      </c>
      <c r="BF7" s="18"/>
      <c r="BG7" s="18"/>
      <c r="BH7" s="18"/>
      <c r="BI7" s="18"/>
      <c r="BJ7" s="18">
        <v>18.8</v>
      </c>
      <c r="BK7" s="18">
        <v>6.8</v>
      </c>
      <c r="BL7" s="18">
        <v>0.2</v>
      </c>
      <c r="BM7" s="18">
        <v>0.3</v>
      </c>
      <c r="BN7" s="18">
        <v>15.6</v>
      </c>
      <c r="BO7" s="18">
        <v>2.8</v>
      </c>
      <c r="BP7" s="18">
        <v>0</v>
      </c>
      <c r="BQ7" s="18">
        <v>0</v>
      </c>
      <c r="BR7" s="28"/>
      <c r="BS7" s="11">
        <f t="shared" si="16"/>
        <v>13.2</v>
      </c>
      <c r="BT7" s="11">
        <f t="shared" si="17"/>
        <v>51.1</v>
      </c>
      <c r="BU7" s="11" t="str">
        <f t="shared" si="18"/>
        <v/>
      </c>
      <c r="BV7" s="11">
        <f t="shared" si="19"/>
        <v>13.2</v>
      </c>
      <c r="BW7" s="11">
        <f t="shared" si="20"/>
        <v>51.1</v>
      </c>
      <c r="BX7" s="11">
        <f t="shared" si="21"/>
        <v>9.6</v>
      </c>
      <c r="BY7" s="11">
        <f t="shared" si="22"/>
        <v>44.099999999999994</v>
      </c>
      <c r="BZ7" s="11">
        <f t="shared" si="23"/>
        <v>95.199999999999989</v>
      </c>
      <c r="CA7" s="19">
        <v>15.7</v>
      </c>
      <c r="CB7" s="19">
        <v>2.4</v>
      </c>
      <c r="CC7" s="19">
        <v>0</v>
      </c>
      <c r="CD7" s="19">
        <v>0</v>
      </c>
      <c r="CE7" s="19">
        <v>18.3</v>
      </c>
      <c r="CF7" s="19">
        <v>7.2</v>
      </c>
      <c r="CG7" s="19">
        <v>0</v>
      </c>
      <c r="CH7" s="19">
        <v>0.3</v>
      </c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4"/>
        <v>9.6</v>
      </c>
      <c r="CW7" s="40">
        <f t="shared" si="25"/>
        <v>43.9</v>
      </c>
      <c r="CX7" s="40" t="str">
        <f t="shared" si="26"/>
        <v/>
      </c>
      <c r="CY7" s="40">
        <f t="shared" si="27"/>
        <v>9.6</v>
      </c>
      <c r="CZ7" s="40">
        <f t="shared" si="28"/>
        <v>43.9</v>
      </c>
      <c r="DA7" s="40" t="str">
        <f t="shared" si="29"/>
        <v/>
      </c>
      <c r="DB7" s="40" t="str">
        <f t="shared" si="30"/>
        <v/>
      </c>
      <c r="DC7" s="40">
        <f t="shared" si="31"/>
        <v>43.9</v>
      </c>
      <c r="DD7" s="50">
        <f t="shared" si="32"/>
        <v>5.8000000000000043</v>
      </c>
      <c r="DE7" s="50" t="str">
        <f t="shared" si="33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4"/>
        <v/>
      </c>
      <c r="EA7" s="40" t="str">
        <f t="shared" si="35"/>
        <v/>
      </c>
      <c r="EB7" s="40" t="str">
        <f t="shared" si="36"/>
        <v/>
      </c>
      <c r="EC7" s="40" t="str">
        <f t="shared" si="37"/>
        <v/>
      </c>
      <c r="ED7" s="40" t="str">
        <f t="shared" si="38"/>
        <v/>
      </c>
      <c r="EE7" s="40" t="str">
        <f t="shared" si="39"/>
        <v/>
      </c>
      <c r="EF7" s="40" t="str">
        <f t="shared" si="40"/>
        <v/>
      </c>
      <c r="EG7" s="40" t="str">
        <f t="shared" si="41"/>
        <v/>
      </c>
      <c r="EH7" s="18">
        <v>18.8</v>
      </c>
      <c r="EI7" s="18">
        <v>6.8</v>
      </c>
      <c r="EJ7" s="18">
        <v>0.8</v>
      </c>
      <c r="EK7" s="18">
        <v>0</v>
      </c>
      <c r="EL7" s="18">
        <v>18.5</v>
      </c>
      <c r="EM7" s="18">
        <v>6.4</v>
      </c>
      <c r="EN7" s="18">
        <v>0</v>
      </c>
      <c r="EO7" s="18">
        <v>0</v>
      </c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>
        <f t="shared" si="42"/>
        <v>13.2</v>
      </c>
      <c r="FC7" s="11">
        <f t="shared" si="43"/>
        <v>49.7</v>
      </c>
      <c r="FD7" s="11" t="str">
        <f t="shared" si="44"/>
        <v/>
      </c>
      <c r="FE7" s="11">
        <f t="shared" si="45"/>
        <v>13.2</v>
      </c>
      <c r="FF7" s="11">
        <f t="shared" si="46"/>
        <v>49.7</v>
      </c>
      <c r="FG7" s="11" t="str">
        <f t="shared" si="47"/>
        <v/>
      </c>
      <c r="FH7" s="11" t="str">
        <f t="shared" si="48"/>
        <v/>
      </c>
      <c r="FI7" s="11">
        <f t="shared" si="49"/>
        <v>49.7</v>
      </c>
      <c r="FJ7" s="17">
        <v>15.6</v>
      </c>
      <c r="FK7" s="17">
        <v>2.4</v>
      </c>
      <c r="FL7" s="17">
        <v>0</v>
      </c>
      <c r="FM7" s="17">
        <v>0</v>
      </c>
      <c r="FN7" s="17">
        <v>18.7</v>
      </c>
      <c r="FO7" s="17">
        <v>6.4</v>
      </c>
      <c r="FP7" s="17">
        <v>0</v>
      </c>
      <c r="FQ7" s="17">
        <v>0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>
        <f t="shared" si="50"/>
        <v>8.8000000000000007</v>
      </c>
      <c r="GE7" s="40">
        <f t="shared" si="51"/>
        <v>43.1</v>
      </c>
      <c r="GF7" s="40" t="str">
        <f t="shared" si="52"/>
        <v/>
      </c>
      <c r="GG7" s="40">
        <f t="shared" si="53"/>
        <v>8.8000000000000007</v>
      </c>
      <c r="GH7" s="40">
        <f t="shared" si="54"/>
        <v>43.1</v>
      </c>
      <c r="GI7" s="40" t="str">
        <f t="shared" si="55"/>
        <v/>
      </c>
      <c r="GJ7" s="40" t="str">
        <f t="shared" si="56"/>
        <v/>
      </c>
      <c r="GK7" s="40">
        <f t="shared" si="57"/>
        <v>43.1</v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58"/>
        <v/>
      </c>
      <c r="HG7" s="11" t="str">
        <f t="shared" si="59"/>
        <v/>
      </c>
      <c r="HH7" s="11" t="str">
        <f t="shared" si="60"/>
        <v/>
      </c>
      <c r="HI7" s="11" t="str">
        <f t="shared" si="61"/>
        <v/>
      </c>
      <c r="HJ7" s="11" t="str">
        <f t="shared" si="62"/>
        <v/>
      </c>
      <c r="HK7" s="11" t="str">
        <f t="shared" si="63"/>
        <v/>
      </c>
      <c r="HL7" s="11" t="str">
        <f t="shared" si="64"/>
        <v/>
      </c>
      <c r="HM7" s="11" t="str">
        <f t="shared" si="65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6"/>
        <v/>
      </c>
      <c r="II7" s="40" t="str">
        <f t="shared" si="67"/>
        <v/>
      </c>
      <c r="IJ7" s="40" t="str">
        <f t="shared" si="68"/>
        <v/>
      </c>
      <c r="IK7" s="40" t="str">
        <f t="shared" si="69"/>
        <v/>
      </c>
      <c r="IL7" s="40" t="str">
        <f t="shared" si="70"/>
        <v/>
      </c>
      <c r="IM7" s="40" t="str">
        <f t="shared" si="71"/>
        <v/>
      </c>
      <c r="IN7" s="40" t="str">
        <f t="shared" si="72"/>
        <v/>
      </c>
      <c r="IO7" s="40" t="str">
        <f t="shared" si="73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4"/>
        <v/>
      </c>
      <c r="JK7" s="11" t="str">
        <f t="shared" si="75"/>
        <v/>
      </c>
      <c r="JL7" s="11" t="str">
        <f t="shared" si="76"/>
        <v/>
      </c>
      <c r="JM7" s="11" t="str">
        <f t="shared" si="77"/>
        <v/>
      </c>
      <c r="JN7" s="11" t="str">
        <f t="shared" si="78"/>
        <v/>
      </c>
      <c r="JO7" s="11" t="str">
        <f t="shared" si="79"/>
        <v/>
      </c>
      <c r="JP7" s="11" t="str">
        <f t="shared" si="80"/>
        <v/>
      </c>
      <c r="JQ7" s="11" t="str">
        <f t="shared" si="81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2"/>
        <v/>
      </c>
      <c r="KM7" s="40" t="str">
        <f t="shared" si="83"/>
        <v/>
      </c>
      <c r="KN7" s="40" t="str">
        <f t="shared" si="84"/>
        <v/>
      </c>
      <c r="KO7" s="40" t="str">
        <f t="shared" si="85"/>
        <v/>
      </c>
      <c r="KP7" s="40" t="str">
        <f t="shared" si="86"/>
        <v/>
      </c>
      <c r="KQ7" s="40" t="str">
        <f t="shared" si="87"/>
        <v/>
      </c>
      <c r="KR7" s="40" t="str">
        <f t="shared" si="88"/>
        <v/>
      </c>
      <c r="KS7" s="40" t="str">
        <f t="shared" si="89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0"/>
        <v/>
      </c>
      <c r="LO7" s="11" t="str">
        <f t="shared" si="91"/>
        <v/>
      </c>
      <c r="LP7" s="11" t="str">
        <f t="shared" si="92"/>
        <v/>
      </c>
      <c r="LQ7" s="11" t="str">
        <f t="shared" si="93"/>
        <v/>
      </c>
      <c r="LR7" s="11" t="str">
        <f t="shared" si="94"/>
        <v/>
      </c>
      <c r="LS7" s="11" t="str">
        <f t="shared" si="95"/>
        <v/>
      </c>
      <c r="LT7" s="11" t="str">
        <f t="shared" si="96"/>
        <v/>
      </c>
      <c r="LU7" s="11" t="str">
        <f t="shared" si="97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98"/>
        <v/>
      </c>
      <c r="MQ7" s="40" t="str">
        <f t="shared" si="99"/>
        <v/>
      </c>
      <c r="MR7" s="40" t="str">
        <f t="shared" si="100"/>
        <v/>
      </c>
      <c r="MS7" s="40" t="str">
        <f t="shared" si="101"/>
        <v/>
      </c>
      <c r="MT7" s="40" t="str">
        <f t="shared" si="102"/>
        <v/>
      </c>
      <c r="MU7" s="40" t="str">
        <f t="shared" si="103"/>
        <v/>
      </c>
      <c r="MV7" s="40" t="str">
        <f t="shared" si="104"/>
        <v/>
      </c>
      <c r="MW7" s="40" t="str">
        <f t="shared" si="105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6"/>
        <v/>
      </c>
      <c r="NS7" s="11" t="str">
        <f t="shared" si="107"/>
        <v/>
      </c>
      <c r="NT7" s="11" t="str">
        <f t="shared" si="108"/>
        <v/>
      </c>
      <c r="NU7" s="11" t="str">
        <f t="shared" si="109"/>
        <v/>
      </c>
      <c r="NV7" s="11" t="str">
        <f t="shared" si="110"/>
        <v/>
      </c>
      <c r="NW7" s="11" t="str">
        <f t="shared" si="111"/>
        <v/>
      </c>
      <c r="NX7" s="11" t="str">
        <f t="shared" si="112"/>
        <v/>
      </c>
      <c r="NY7" s="11" t="str">
        <f t="shared" si="113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4"/>
        <v/>
      </c>
      <c r="OU7" s="40" t="str">
        <f t="shared" si="115"/>
        <v/>
      </c>
      <c r="OV7" s="40" t="str">
        <f t="shared" si="116"/>
        <v/>
      </c>
      <c r="OW7" s="40" t="str">
        <f t="shared" si="117"/>
        <v/>
      </c>
      <c r="OX7" s="40" t="str">
        <f t="shared" si="118"/>
        <v/>
      </c>
      <c r="OY7" s="40" t="str">
        <f t="shared" si="119"/>
        <v/>
      </c>
      <c r="OZ7" s="40" t="str">
        <f t="shared" si="120"/>
        <v/>
      </c>
      <c r="PA7" s="40" t="str">
        <f t="shared" si="121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2"/>
        <v/>
      </c>
      <c r="PW7" s="11" t="str">
        <f t="shared" si="123"/>
        <v/>
      </c>
      <c r="PX7" s="11" t="str">
        <f t="shared" si="124"/>
        <v/>
      </c>
      <c r="PY7" s="11" t="str">
        <f t="shared" si="125"/>
        <v/>
      </c>
      <c r="PZ7" s="11" t="str">
        <f t="shared" si="126"/>
        <v/>
      </c>
      <c r="QA7" s="11" t="str">
        <f t="shared" si="127"/>
        <v/>
      </c>
      <c r="QB7" s="11" t="str">
        <f t="shared" si="128"/>
        <v/>
      </c>
      <c r="QC7" s="11" t="str">
        <f t="shared" si="129"/>
        <v/>
      </c>
      <c r="QD7" s="22">
        <f t="shared" si="130"/>
        <v>17.350000000000001</v>
      </c>
      <c r="QE7" s="22">
        <f t="shared" si="131"/>
        <v>4.5999999999999996</v>
      </c>
      <c r="QF7" s="22">
        <f t="shared" si="132"/>
        <v>0.1</v>
      </c>
      <c r="QG7" s="22">
        <f t="shared" si="133"/>
        <v>0.15</v>
      </c>
      <c r="QH7" s="22">
        <f t="shared" si="134"/>
        <v>18.55</v>
      </c>
      <c r="QI7" s="22">
        <f t="shared" si="135"/>
        <v>6.8000000000000007</v>
      </c>
      <c r="QJ7" s="22">
        <f t="shared" si="136"/>
        <v>0</v>
      </c>
      <c r="QK7" s="22">
        <f t="shared" si="137"/>
        <v>0.15</v>
      </c>
      <c r="QL7" s="22">
        <f t="shared" si="138"/>
        <v>0</v>
      </c>
      <c r="QM7" s="22">
        <f t="shared" si="139"/>
        <v>0</v>
      </c>
      <c r="QN7" s="22">
        <f t="shared" si="140"/>
        <v>0</v>
      </c>
      <c r="QO7" s="22">
        <f t="shared" si="141"/>
        <v>0</v>
      </c>
      <c r="QP7" s="22">
        <f t="shared" si="142"/>
        <v>9.4</v>
      </c>
      <c r="QQ7" s="22">
        <f t="shared" si="143"/>
        <v>3.4</v>
      </c>
      <c r="QR7" s="22">
        <f t="shared" si="144"/>
        <v>0.1</v>
      </c>
      <c r="QS7" s="22">
        <f t="shared" si="145"/>
        <v>0.15</v>
      </c>
      <c r="QT7" s="22">
        <f t="shared" si="146"/>
        <v>7.8</v>
      </c>
      <c r="QU7" s="22">
        <f t="shared" si="147"/>
        <v>1.4</v>
      </c>
      <c r="QV7" s="22">
        <f t="shared" si="148"/>
        <v>0</v>
      </c>
      <c r="QW7" s="22">
        <f t="shared" si="149"/>
        <v>0</v>
      </c>
      <c r="QX7" s="27" t="s">
        <v>46</v>
      </c>
      <c r="QY7" s="40">
        <f t="shared" si="150"/>
        <v>11.4</v>
      </c>
      <c r="QZ7" s="40">
        <f t="shared" si="151"/>
        <v>47.5</v>
      </c>
      <c r="RA7" s="40" t="str">
        <f t="shared" si="152"/>
        <v/>
      </c>
      <c r="RB7" s="40">
        <f t="shared" si="153"/>
        <v>11.4</v>
      </c>
      <c r="RC7" s="40">
        <f t="shared" si="154"/>
        <v>47.5</v>
      </c>
      <c r="RD7" s="40">
        <f t="shared" si="155"/>
        <v>4.8</v>
      </c>
      <c r="RE7" s="40">
        <f t="shared" si="156"/>
        <v>22.049999999999997</v>
      </c>
      <c r="RF7" s="40">
        <f t="shared" si="157"/>
        <v>69.55</v>
      </c>
    </row>
    <row r="8" spans="1:474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2</v>
      </c>
      <c r="C8" s="5" t="s">
        <v>196</v>
      </c>
      <c r="D8" s="4" t="s">
        <v>5</v>
      </c>
      <c r="E8" s="4">
        <v>2008</v>
      </c>
      <c r="F8" s="9">
        <f t="shared" si="0"/>
        <v>141.60000940000472</v>
      </c>
      <c r="G8" s="64"/>
      <c r="H8" s="3" t="str">
        <f>IF(OR(AND(AP8&gt;=AW$39,AQ8&gt;=AW$43,AP8&lt;&gt;"",AO8=""),AND(AU8&gt;=AW$39,AV8&gt;=AW$43,AU8&lt;&gt;"",AO8=""),AND(BS8&gt;=BZ$39,BT8&gt;=BZ$43,BS8&lt;&gt;"",BR8=""),AND(BX8&gt;=BZ$39,BY8&gt;=BZ$43,BX8&lt;&gt;"",BR8=""),AND(CV8&gt;=DC$39,CW8&gt;=DC$43,CV8&lt;&gt;"",CU8=""),AND(DA8&gt;=DC$39,DB8&gt;=DC$43,DA8&lt;&gt;""),AND(DZ8&gt;=EG$39,EA8&gt;=EG$43,DZ8&lt;&gt;""),AND(EE8&gt;=EG$39,EF8&gt;=EG$43,EE8&lt;&gt;""),AND(FB8&gt;=FI$39,FC8&gt;=FI$43,FB8&lt;&gt;""),AND(FG8&gt;=FI$39,FH8&gt;=FI$43,FG8&lt;&gt;""),AND(GD8&gt;=GK$39,GE8&gt;=GK$43,GD8&lt;&gt;""),AND(GI8&gt;=GK$39,GJ8&gt;=GK$43,GI8&lt;&gt;""),AND(HF8&gt;=HM$39,HG8&gt;=HM$43,HF8&lt;&gt;""),AND(HK8&gt;=HM$39,HL8&gt;=HM$43,HK8&lt;&gt;""),AND(IH8&gt;=IO$39,II8&gt;=IO$43,IH8&lt;&gt;""),AND(IM8&gt;=IO$39,IN8&gt;=IO$43,IM8&lt;&gt;""),AND(JJ8&gt;=JQ$39,JK8&gt;=JQ$43,JJ8&lt;&gt;""),AND(JO8&gt;=JQ$39,JP8&gt;=JQ$43,JO8&lt;&gt;""),AND(KL8&gt;=KS$39,KM8&gt;=KS$43,KL8&lt;&gt;""),AND(KQ8&gt;=KS$39,KR8&gt;=KS$43,KQ8&lt;&gt;""),AND(LN8&gt;=LU$39,LO8&gt;=LU$43,LN8&lt;&gt;""),AND(LS8&gt;=LU$39,LT8&gt;=LU$43,LS8&lt;&gt;""),AND(MP8&gt;=MW$39,MQ8&gt;=MW$43,MP8&lt;&gt;""),AND(MU8&gt;=MW$39,MV8&gt;=MW$43,MU8&lt;&gt;""),AND(NR8&gt;=NY$39,NS8&gt;=NY$43,NR8&lt;&gt;""),AND(NW8&gt;=NY$39,NX8&gt;=NY$43,NW8&lt;&gt;""),AND(OT8&gt;=PA$39,OU8&gt;=PA$43,OT8&lt;&gt;""),AND(OY8&gt;=PA$39,OZ8&gt;=PA$43,OY8&lt;&gt;""),AND(PV8&gt;=QC$39,PW8&gt;=QC$43,PV8&lt;&gt;""),AND(QA8&gt;=QC$39,QB8&gt;=QC$43,QA8&lt;&gt;"")),"P","")</f>
        <v>P</v>
      </c>
      <c r="I8" s="3" t="str">
        <f>IF(OR(AND(AQ8&gt;=AW$43,AQ8&lt;&gt;"",AO8=""),AND(AV8&gt;=AW$43,AV8&lt;&gt;"",AO8=""),AND(BT8&gt;=BZ$43,BT8&lt;&gt;"",BR8=""),AND(BY8&gt;=BZ$43,BY8&lt;&gt;"",BR8=""),AND(CW8&gt;=DC$43,CW8&lt;&gt;"",CU8=""),AND(DB8&gt;=DC$43,DB8&lt;&gt;"",CU8=""),AND(EA8&gt;=EG$43,EA8&lt;&gt;""),AND(EF8&gt;=EG$43,EF8&lt;&gt;""),AND(FC8&gt;=FI$43,FC8&lt;&gt;""),AND(FH8&gt;=FI$43,FH8&lt;&gt;""),AND(GE8&gt;=GK$43,GE8&lt;&gt;""),AND(GJ8&gt;=GK$43,GJ8&lt;&gt;""),AND(HG8&gt;=HM$43,HG8&lt;&gt;""),AND(HL8&gt;=HM$43,HL8&lt;&gt;""),AND(II8&gt;=IO$43,II8&lt;&gt;""),AND(IN8&gt;=IO$43,IN8&lt;&gt;""),AND(JK8&gt;=JQ$43,JK8&lt;&gt;""),AND(JP8&gt;=JQ$43,JP8&lt;&gt;""),AND(KM8&gt;=KS$43,KM8&lt;&gt;""),AND(KR8&gt;=KS$43,KR8&lt;&gt;""),AND(LO8&gt;=LU$43,LO8&lt;&gt;""),AND(LT8&gt;=LU$43,LT8&lt;&gt;""),AND(MQ8&gt;=MW$43,MQ8&lt;&gt;""),AND(MV8&gt;=MW$43,MV8&lt;&gt;""),AND(NS8&gt;=NY$43,NS8&lt;&gt;""),AND(NX8&gt;=NY$43,NX8&lt;&gt;""),AND(OU8&gt;=PA$43,OU8&lt;&gt;""),AND(OZ8&gt;=PA$43,OZ8&lt;&gt;""),AND(PW8&gt;=QC$43,PW8&lt;&gt;""),AND(QB8&gt;=QC$43,QB8&lt;&gt;"")),"P","")</f>
        <v>P</v>
      </c>
      <c r="J8" s="36" t="str">
        <f>IF(AND(I8="P",H8=""),"No DD",IF(OR(AND(AS8&gt;=AW$42,AT8&gt;=AW$46,AS8&lt;&gt;"",AO8=""),AND(BV8&gt;=BZ$42,BW8&gt;=BZ$46,BV8&lt;&gt;"",BR8=""),AND(CY8&gt;=DC$42,CZ8&gt;=DC$46,CY8&lt;&gt;"",CU8=""),AND(EC8&gt;=EG$42,ED8&gt;=EG$46,EC8&lt;&gt;""),AND(FE8&gt;=FI$42,FF8&gt;=FI$46,FE8&lt;&gt;""),AND(GG8&gt;=GK$42,GH8&gt;=GK$46,GG8&lt;&gt;""),AND(HI8&gt;=HM$42,HJ8&gt;=HM$46,HI8&lt;&gt;""),AND(IK8&gt;=IO$42,IL8&gt;=IO$46,IK8&lt;&gt;""),AND(JM8&gt;=JQ$42,JN8&gt;=JQ$46,JM8&lt;&gt;""),AND(KO8&gt;=KS$42,KP8&gt;=KS$46,KO8&lt;&gt;""),AND(LQ8&gt;=LU$42,LR8&gt;=LU$46,LQ8&lt;&gt;""),AND(MS8&gt;=MW$42,MT8&gt;=MW$46,MS8&lt;&gt;""),AND(NU8&gt;=NY$42,NV8&gt;=NY$46,NU8&lt;&gt;""),AND(OW8&gt;=PA$42,OX8&gt;=PA$46,OW8&lt;&gt;""),AND(PY8&gt;=QC$42,PZ8&gt;=QC$46,PY8&lt;&gt;"")),"Merit",IF(OR(AND(AS8&gt;=AW$41,AT8&gt;=AW$45,AS8&lt;&gt;"",AO8=""),AND(BV8&gt;=BZ$41,BW8&gt;=BZ$45,BV8&lt;&gt;"",BR8=""),AND(CY8&gt;=DC$41,CZ8&gt;=DC$45,CY8&lt;&gt;"",CU8=""),AND(EC8&gt;=EG$41,ED8&gt;=EG$45,EC8&lt;&gt;""),AND(FE8&gt;=FI$41,FF8&gt;=FI$45,FE8&lt;&gt;""),AND(GG8&gt;=GK$41,GH8&gt;=GK$45,GG8&lt;&gt;""),AND(HI8&gt;=HM$41,HJ8&gt;=HM$45,HI8&lt;&gt;""),AND(IK8&gt;=IO$41,IL8&gt;=IO$45,IK8&lt;&gt;""),AND(JM8&gt;=JQ$41,JN8&gt;=JQ$45,JM8&lt;&gt;""),AND(KO8&gt;=KS$41,KP8&gt;=KS$45,KO8&lt;&gt;""),AND(LQ8&gt;=LU$41,LR8&gt;=LU$45,LQ8&lt;&gt;""),AND(MS8&gt;=MW$41,MT8&gt;=MW$45,MS8&lt;&gt;""),AND(NU8&gt;=NY$41,NV8&gt;=NY$45,NU8&lt;&gt;""),AND(OW8&gt;=PA$41,OX8&gt;=PA$45,OW8&lt;&gt;""),AND(PY8&gt;=QC$41,PZ8&gt;=QC$45,PY8&lt;&gt;"")),"Excellence",IF(K8="P","Worlds Team",IF(H8="P","National Team","")))))</f>
        <v>National Team</v>
      </c>
      <c r="K8" s="3" t="str">
        <f>IF(OR(AND(AS8&gt;=AW$40,AT8&gt;=AW$44,AS8&lt;&gt;"",AO8=""),AND(BV8&gt;=BZ$40,BW8&gt;=BZ$44,BV8&lt;&gt;"",BR8=""),AND(CY8&gt;=DC$40,CZ8&gt;=DC$44,CY8&lt;&gt;"",CU8=""),AND(EC8&gt;=EG$40,ED8&gt;=EG$44,EC8&lt;&gt;""),AND(FE8&gt;=FI$40,FF8&gt;=FI$44,FE8&lt;&gt;""),AND(GG8&gt;=GK$40,GH8&gt;=GK$44,GG8&lt;&gt;""),AND(HI8&gt;=HM$40,HJ8&gt;=HM$44,HI8&lt;&gt;""),AND(IK8&gt;=IO$40,IL8&gt;=IO$44,IK8&lt;&gt;""),AND(JM8&gt;=JQ$40,JN8&gt;=JQ$44,JM8&lt;&gt;""),AND(KO8&gt;=KS$40,KP8&gt;=KS$44,KO8&lt;&gt;""),AND(LQ8&gt;=LU$40,LR8&gt;=LU$44,LQ8&lt;&gt;""),AND(MS8&gt;=MW$40,MT8&gt;=MW$44,MS8&lt;&gt;""),AND(NU8&gt;=NY$40,NV8&gt;=NY$44,NU8&lt;&gt;""),AND(OW8&gt;=PA$40,OX8&gt;=PA$44,OW8&lt;&gt;""),AND(PY8&gt;=QC$40,PZ8&gt;=QC$44,PY8&lt;&gt;"")),"P","")</f>
        <v/>
      </c>
      <c r="L8" s="8">
        <f>IF(COUNT(AQ8,BT8,CW8)&gt;0,LARGE((AQ8,BT8,CW8),1),0)</f>
        <v>47.2</v>
      </c>
      <c r="M8" s="8" t="str">
        <f t="shared" si="1"/>
        <v>2025 Elite Canada</v>
      </c>
      <c r="N8" s="8">
        <f>IF(COUNT(AQ8,BT8,CW8)&gt;1,LARGE((AQ8,BT8,CW8),2),0)</f>
        <v>46.8</v>
      </c>
      <c r="O8" s="8" t="str">
        <f t="shared" si="2"/>
        <v>2025 Nationals</v>
      </c>
      <c r="P8" s="8">
        <f t="shared" si="3"/>
        <v>47.6</v>
      </c>
      <c r="Q8" s="8" t="str">
        <f t="shared" si="4"/>
        <v>2025 Nationals</v>
      </c>
      <c r="R8" s="8" t="str">
        <f t="shared" si="5"/>
        <v/>
      </c>
      <c r="S8" s="11" t="str">
        <f t="shared" si="6"/>
        <v/>
      </c>
      <c r="T8" s="8" t="str">
        <f t="shared" si="7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8"/>
        <v/>
      </c>
      <c r="AQ8" s="40" t="str">
        <f t="shared" si="9"/>
        <v/>
      </c>
      <c r="AR8" s="40" t="str">
        <f t="shared" si="10"/>
        <v/>
      </c>
      <c r="AS8" s="40" t="str">
        <f t="shared" si="11"/>
        <v/>
      </c>
      <c r="AT8" s="40" t="str">
        <f t="shared" si="12"/>
        <v/>
      </c>
      <c r="AU8" s="40" t="str">
        <f t="shared" si="13"/>
        <v/>
      </c>
      <c r="AV8" s="40" t="str">
        <f t="shared" si="14"/>
        <v/>
      </c>
      <c r="AW8" s="40" t="str">
        <f t="shared" si="15"/>
        <v/>
      </c>
      <c r="AX8" s="18">
        <v>18.600000000000001</v>
      </c>
      <c r="AY8" s="18">
        <v>5.2</v>
      </c>
      <c r="AZ8" s="18">
        <v>0</v>
      </c>
      <c r="BA8" s="18">
        <v>0</v>
      </c>
      <c r="BB8" s="18">
        <v>18.2</v>
      </c>
      <c r="BC8" s="18">
        <v>5.2</v>
      </c>
      <c r="BD8" s="18">
        <v>0</v>
      </c>
      <c r="BE8" s="18">
        <v>0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 t="shared" si="16"/>
        <v>10.4</v>
      </c>
      <c r="BT8" s="11">
        <f t="shared" si="17"/>
        <v>47.2</v>
      </c>
      <c r="BU8" s="11" t="str">
        <f t="shared" si="18"/>
        <v/>
      </c>
      <c r="BV8" s="11">
        <f t="shared" si="19"/>
        <v>10.4</v>
      </c>
      <c r="BW8" s="11">
        <f t="shared" si="20"/>
        <v>47.2</v>
      </c>
      <c r="BX8" s="11" t="str">
        <f t="shared" si="21"/>
        <v/>
      </c>
      <c r="BY8" s="11" t="str">
        <f t="shared" si="22"/>
        <v/>
      </c>
      <c r="BZ8" s="11">
        <f t="shared" si="23"/>
        <v>47.2</v>
      </c>
      <c r="CA8" s="19">
        <v>18.100000000000001</v>
      </c>
      <c r="CB8" s="19">
        <v>5.2</v>
      </c>
      <c r="CC8" s="19">
        <v>0.2</v>
      </c>
      <c r="CD8" s="19">
        <v>0</v>
      </c>
      <c r="CE8" s="19">
        <v>18.3</v>
      </c>
      <c r="CF8" s="19">
        <v>5.6</v>
      </c>
      <c r="CG8" s="19">
        <v>0.2</v>
      </c>
      <c r="CH8" s="19">
        <v>0</v>
      </c>
      <c r="CI8" s="19"/>
      <c r="CJ8" s="19"/>
      <c r="CK8" s="19"/>
      <c r="CL8" s="19"/>
      <c r="CM8" s="19">
        <v>18.2</v>
      </c>
      <c r="CN8" s="19">
        <v>6</v>
      </c>
      <c r="CO8" s="19">
        <v>0.6</v>
      </c>
      <c r="CP8" s="19">
        <v>0</v>
      </c>
      <c r="CQ8" s="19">
        <v>18.600000000000001</v>
      </c>
      <c r="CR8" s="19">
        <v>5.6</v>
      </c>
      <c r="CS8" s="19">
        <v>0.2</v>
      </c>
      <c r="CT8" s="19">
        <v>0</v>
      </c>
      <c r="CU8" s="27"/>
      <c r="CV8" s="40">
        <f t="shared" si="24"/>
        <v>10.8</v>
      </c>
      <c r="CW8" s="40">
        <f t="shared" si="25"/>
        <v>46.8</v>
      </c>
      <c r="CX8" s="40" t="str">
        <f t="shared" si="26"/>
        <v/>
      </c>
      <c r="CY8" s="40">
        <f t="shared" si="27"/>
        <v>10.8</v>
      </c>
      <c r="CZ8" s="40">
        <f t="shared" si="28"/>
        <v>46.8</v>
      </c>
      <c r="DA8" s="40">
        <f t="shared" si="29"/>
        <v>11.6</v>
      </c>
      <c r="DB8" s="40">
        <f t="shared" si="30"/>
        <v>47.6</v>
      </c>
      <c r="DC8" s="40">
        <f t="shared" si="31"/>
        <v>94.4</v>
      </c>
      <c r="DD8" s="50" t="str">
        <f t="shared" si="32"/>
        <v/>
      </c>
      <c r="DE8" s="50" t="str">
        <f t="shared" si="33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4"/>
        <v/>
      </c>
      <c r="EA8" s="40" t="str">
        <f t="shared" si="35"/>
        <v/>
      </c>
      <c r="EB8" s="40" t="str">
        <f t="shared" si="36"/>
        <v/>
      </c>
      <c r="EC8" s="40" t="str">
        <f t="shared" si="37"/>
        <v/>
      </c>
      <c r="ED8" s="40" t="str">
        <f t="shared" si="38"/>
        <v/>
      </c>
      <c r="EE8" s="40" t="str">
        <f t="shared" si="39"/>
        <v/>
      </c>
      <c r="EF8" s="40" t="str">
        <f t="shared" si="40"/>
        <v/>
      </c>
      <c r="EG8" s="40" t="str">
        <f t="shared" si="41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2"/>
        <v/>
      </c>
      <c r="FC8" s="11" t="str">
        <f t="shared" si="43"/>
        <v/>
      </c>
      <c r="FD8" s="11" t="str">
        <f t="shared" si="44"/>
        <v/>
      </c>
      <c r="FE8" s="11" t="str">
        <f t="shared" si="45"/>
        <v/>
      </c>
      <c r="FF8" s="11" t="str">
        <f t="shared" si="46"/>
        <v/>
      </c>
      <c r="FG8" s="11" t="str">
        <f t="shared" si="47"/>
        <v/>
      </c>
      <c r="FH8" s="11" t="str">
        <f t="shared" si="48"/>
        <v/>
      </c>
      <c r="FI8" s="11" t="str">
        <f t="shared" si="49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0"/>
        <v/>
      </c>
      <c r="GE8" s="40" t="str">
        <f t="shared" si="51"/>
        <v/>
      </c>
      <c r="GF8" s="40" t="str">
        <f t="shared" si="52"/>
        <v/>
      </c>
      <c r="GG8" s="40" t="str">
        <f t="shared" si="53"/>
        <v/>
      </c>
      <c r="GH8" s="40" t="str">
        <f t="shared" si="54"/>
        <v/>
      </c>
      <c r="GI8" s="40" t="str">
        <f t="shared" si="55"/>
        <v/>
      </c>
      <c r="GJ8" s="40" t="str">
        <f t="shared" si="56"/>
        <v/>
      </c>
      <c r="GK8" s="40" t="str">
        <f t="shared" si="57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58"/>
        <v/>
      </c>
      <c r="HG8" s="11" t="str">
        <f t="shared" si="59"/>
        <v/>
      </c>
      <c r="HH8" s="11" t="str">
        <f t="shared" si="60"/>
        <v/>
      </c>
      <c r="HI8" s="11" t="str">
        <f t="shared" si="61"/>
        <v/>
      </c>
      <c r="HJ8" s="11" t="str">
        <f t="shared" si="62"/>
        <v/>
      </c>
      <c r="HK8" s="11" t="str">
        <f t="shared" si="63"/>
        <v/>
      </c>
      <c r="HL8" s="11" t="str">
        <f t="shared" si="64"/>
        <v/>
      </c>
      <c r="HM8" s="11" t="str">
        <f t="shared" si="65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6"/>
        <v/>
      </c>
      <c r="II8" s="40" t="str">
        <f t="shared" si="67"/>
        <v/>
      </c>
      <c r="IJ8" s="40" t="str">
        <f t="shared" si="68"/>
        <v/>
      </c>
      <c r="IK8" s="40" t="str">
        <f t="shared" si="69"/>
        <v/>
      </c>
      <c r="IL8" s="40" t="str">
        <f t="shared" si="70"/>
        <v/>
      </c>
      <c r="IM8" s="40" t="str">
        <f t="shared" si="71"/>
        <v/>
      </c>
      <c r="IN8" s="40" t="str">
        <f t="shared" si="72"/>
        <v/>
      </c>
      <c r="IO8" s="40" t="str">
        <f t="shared" si="73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4"/>
        <v/>
      </c>
      <c r="JK8" s="11" t="str">
        <f t="shared" si="75"/>
        <v/>
      </c>
      <c r="JL8" s="11" t="str">
        <f t="shared" si="76"/>
        <v/>
      </c>
      <c r="JM8" s="11" t="str">
        <f t="shared" si="77"/>
        <v/>
      </c>
      <c r="JN8" s="11" t="str">
        <f t="shared" si="78"/>
        <v/>
      </c>
      <c r="JO8" s="11" t="str">
        <f t="shared" si="79"/>
        <v/>
      </c>
      <c r="JP8" s="11" t="str">
        <f t="shared" si="80"/>
        <v/>
      </c>
      <c r="JQ8" s="11" t="str">
        <f t="shared" si="81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2"/>
        <v/>
      </c>
      <c r="KM8" s="40" t="str">
        <f t="shared" si="83"/>
        <v/>
      </c>
      <c r="KN8" s="40" t="str">
        <f t="shared" si="84"/>
        <v/>
      </c>
      <c r="KO8" s="40" t="str">
        <f t="shared" si="85"/>
        <v/>
      </c>
      <c r="KP8" s="40" t="str">
        <f t="shared" si="86"/>
        <v/>
      </c>
      <c r="KQ8" s="40" t="str">
        <f t="shared" si="87"/>
        <v/>
      </c>
      <c r="KR8" s="40" t="str">
        <f t="shared" si="88"/>
        <v/>
      </c>
      <c r="KS8" s="40" t="str">
        <f t="shared" si="89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0"/>
        <v/>
      </c>
      <c r="LO8" s="11" t="str">
        <f t="shared" si="91"/>
        <v/>
      </c>
      <c r="LP8" s="11" t="str">
        <f t="shared" si="92"/>
        <v/>
      </c>
      <c r="LQ8" s="11" t="str">
        <f t="shared" si="93"/>
        <v/>
      </c>
      <c r="LR8" s="11" t="str">
        <f t="shared" si="94"/>
        <v/>
      </c>
      <c r="LS8" s="11" t="str">
        <f t="shared" si="95"/>
        <v/>
      </c>
      <c r="LT8" s="11" t="str">
        <f t="shared" si="96"/>
        <v/>
      </c>
      <c r="LU8" s="11" t="str">
        <f t="shared" si="97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98"/>
        <v/>
      </c>
      <c r="MQ8" s="40" t="str">
        <f t="shared" si="99"/>
        <v/>
      </c>
      <c r="MR8" s="40" t="str">
        <f t="shared" si="100"/>
        <v/>
      </c>
      <c r="MS8" s="40" t="str">
        <f t="shared" si="101"/>
        <v/>
      </c>
      <c r="MT8" s="40" t="str">
        <f t="shared" si="102"/>
        <v/>
      </c>
      <c r="MU8" s="40" t="str">
        <f t="shared" si="103"/>
        <v/>
      </c>
      <c r="MV8" s="40" t="str">
        <f t="shared" si="104"/>
        <v/>
      </c>
      <c r="MW8" s="40" t="str">
        <f t="shared" si="105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6"/>
        <v/>
      </c>
      <c r="NS8" s="11" t="str">
        <f t="shared" si="107"/>
        <v/>
      </c>
      <c r="NT8" s="11" t="str">
        <f t="shared" si="108"/>
        <v/>
      </c>
      <c r="NU8" s="11" t="str">
        <f t="shared" si="109"/>
        <v/>
      </c>
      <c r="NV8" s="11" t="str">
        <f t="shared" si="110"/>
        <v/>
      </c>
      <c r="NW8" s="11" t="str">
        <f t="shared" si="111"/>
        <v/>
      </c>
      <c r="NX8" s="11" t="str">
        <f t="shared" si="112"/>
        <v/>
      </c>
      <c r="NY8" s="11" t="str">
        <f t="shared" si="113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4"/>
        <v/>
      </c>
      <c r="OU8" s="40" t="str">
        <f t="shared" si="115"/>
        <v/>
      </c>
      <c r="OV8" s="40" t="str">
        <f t="shared" si="116"/>
        <v/>
      </c>
      <c r="OW8" s="40" t="str">
        <f t="shared" si="117"/>
        <v/>
      </c>
      <c r="OX8" s="40" t="str">
        <f t="shared" si="118"/>
        <v/>
      </c>
      <c r="OY8" s="40" t="str">
        <f t="shared" si="119"/>
        <v/>
      </c>
      <c r="OZ8" s="40" t="str">
        <f t="shared" si="120"/>
        <v/>
      </c>
      <c r="PA8" s="40" t="str">
        <f t="shared" si="121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2"/>
        <v/>
      </c>
      <c r="PW8" s="11" t="str">
        <f t="shared" si="123"/>
        <v/>
      </c>
      <c r="PX8" s="11" t="str">
        <f t="shared" si="124"/>
        <v/>
      </c>
      <c r="PY8" s="11" t="str">
        <f t="shared" si="125"/>
        <v/>
      </c>
      <c r="PZ8" s="11" t="str">
        <f t="shared" si="126"/>
        <v/>
      </c>
      <c r="QA8" s="11" t="str">
        <f t="shared" si="127"/>
        <v/>
      </c>
      <c r="QB8" s="11" t="str">
        <f t="shared" si="128"/>
        <v/>
      </c>
      <c r="QC8" s="11" t="str">
        <f t="shared" si="129"/>
        <v/>
      </c>
      <c r="QD8" s="22">
        <f t="shared" si="130"/>
        <v>18.350000000000001</v>
      </c>
      <c r="QE8" s="22">
        <f t="shared" si="131"/>
        <v>5.2</v>
      </c>
      <c r="QF8" s="22">
        <f t="shared" si="132"/>
        <v>0.1</v>
      </c>
      <c r="QG8" s="22">
        <f t="shared" si="133"/>
        <v>0</v>
      </c>
      <c r="QH8" s="22">
        <f t="shared" si="134"/>
        <v>18.25</v>
      </c>
      <c r="QI8" s="22">
        <f t="shared" si="135"/>
        <v>5.4</v>
      </c>
      <c r="QJ8" s="22">
        <f t="shared" si="136"/>
        <v>0.1</v>
      </c>
      <c r="QK8" s="22">
        <f t="shared" si="137"/>
        <v>0</v>
      </c>
      <c r="QL8" s="22">
        <f t="shared" si="138"/>
        <v>0</v>
      </c>
      <c r="QM8" s="22">
        <f t="shared" si="139"/>
        <v>0</v>
      </c>
      <c r="QN8" s="22">
        <f t="shared" si="140"/>
        <v>0</v>
      </c>
      <c r="QO8" s="22">
        <f t="shared" si="141"/>
        <v>0</v>
      </c>
      <c r="QP8" s="22">
        <f t="shared" si="142"/>
        <v>9.1</v>
      </c>
      <c r="QQ8" s="22">
        <f t="shared" si="143"/>
        <v>3</v>
      </c>
      <c r="QR8" s="22">
        <f t="shared" si="144"/>
        <v>0.3</v>
      </c>
      <c r="QS8" s="22">
        <f t="shared" si="145"/>
        <v>0</v>
      </c>
      <c r="QT8" s="22">
        <f t="shared" si="146"/>
        <v>9.3000000000000007</v>
      </c>
      <c r="QU8" s="22">
        <f t="shared" si="147"/>
        <v>2.8</v>
      </c>
      <c r="QV8" s="22">
        <f t="shared" si="148"/>
        <v>0.1</v>
      </c>
      <c r="QW8" s="22">
        <f t="shared" si="149"/>
        <v>0</v>
      </c>
      <c r="QX8" s="27" t="s">
        <v>46</v>
      </c>
      <c r="QY8" s="40">
        <f t="shared" si="150"/>
        <v>10.600000000000001</v>
      </c>
      <c r="QZ8" s="40">
        <f t="shared" si="151"/>
        <v>46.999999999999993</v>
      </c>
      <c r="RA8" s="40" t="str">
        <f t="shared" si="152"/>
        <v/>
      </c>
      <c r="RB8" s="40">
        <f t="shared" si="153"/>
        <v>10.600000000000001</v>
      </c>
      <c r="RC8" s="40">
        <f t="shared" si="154"/>
        <v>46.999999999999993</v>
      </c>
      <c r="RD8" s="40">
        <f t="shared" si="155"/>
        <v>5.8</v>
      </c>
      <c r="RE8" s="40">
        <f t="shared" si="156"/>
        <v>23.8</v>
      </c>
      <c r="RF8" s="40">
        <f t="shared" si="157"/>
        <v>70.8</v>
      </c>
    </row>
    <row r="9" spans="1:474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3</v>
      </c>
      <c r="C9" s="5" t="s">
        <v>102</v>
      </c>
      <c r="D9" s="4" t="s">
        <v>31</v>
      </c>
      <c r="E9" s="4">
        <v>2005</v>
      </c>
      <c r="F9" s="9">
        <f t="shared" si="0"/>
        <v>138.00000913000471</v>
      </c>
      <c r="G9" s="64"/>
      <c r="H9" s="3" t="str">
        <f>IF(OR(AND(AP9&gt;=AW$39,AQ9&gt;=AW$43,AP9&lt;&gt;"",AO9=""),AND(AU9&gt;=AW$39,AV9&gt;=AW$43,AU9&lt;&gt;"",AO9=""),AND(BS9&gt;=BZ$39,BT9&gt;=BZ$43,BS9&lt;&gt;"",BR9=""),AND(BX9&gt;=BZ$39,BY9&gt;=BZ$43,BX9&lt;&gt;"",BR9=""),AND(CV9&gt;=DC$39,CW9&gt;=DC$43,CV9&lt;&gt;"",CU9=""),AND(DA9&gt;=DC$39,DB9&gt;=DC$43,DA9&lt;&gt;""),AND(DZ9&gt;=EG$39,EA9&gt;=EG$43,DZ9&lt;&gt;""),AND(EE9&gt;=EG$39,EF9&gt;=EG$43,EE9&lt;&gt;""),AND(FB9&gt;=FI$39,FC9&gt;=FI$43,FB9&lt;&gt;""),AND(FG9&gt;=FI$39,FH9&gt;=FI$43,FG9&lt;&gt;""),AND(GD9&gt;=GK$39,GE9&gt;=GK$43,GD9&lt;&gt;""),AND(GI9&gt;=GK$39,GJ9&gt;=GK$43,GI9&lt;&gt;""),AND(HF9&gt;=HM$39,HG9&gt;=HM$43,HF9&lt;&gt;""),AND(HK9&gt;=HM$39,HL9&gt;=HM$43,HK9&lt;&gt;""),AND(IH9&gt;=IO$39,II9&gt;=IO$43,IH9&lt;&gt;""),AND(IM9&gt;=IO$39,IN9&gt;=IO$43,IM9&lt;&gt;""),AND(JJ9&gt;=JQ$39,JK9&gt;=JQ$43,JJ9&lt;&gt;""),AND(JO9&gt;=JQ$39,JP9&gt;=JQ$43,JO9&lt;&gt;""),AND(KL9&gt;=KS$39,KM9&gt;=KS$43,KL9&lt;&gt;""),AND(KQ9&gt;=KS$39,KR9&gt;=KS$43,KQ9&lt;&gt;""),AND(LN9&gt;=LU$39,LO9&gt;=LU$43,LN9&lt;&gt;""),AND(LS9&gt;=LU$39,LT9&gt;=LU$43,LS9&lt;&gt;""),AND(MP9&gt;=MW$39,MQ9&gt;=MW$43,MP9&lt;&gt;""),AND(MU9&gt;=MW$39,MV9&gt;=MW$43,MU9&lt;&gt;""),AND(NR9&gt;=NY$39,NS9&gt;=NY$43,NR9&lt;&gt;""),AND(NW9&gt;=NY$39,NX9&gt;=NY$43,NW9&lt;&gt;""),AND(OT9&gt;=PA$39,OU9&gt;=PA$43,OT9&lt;&gt;""),AND(OY9&gt;=PA$39,OZ9&gt;=PA$43,OY9&lt;&gt;""),AND(PV9&gt;=QC$39,PW9&gt;=QC$43,PV9&lt;&gt;""),AND(QA9&gt;=QC$39,QB9&gt;=QC$43,QA9&lt;&gt;"")),"P","")</f>
        <v>P</v>
      </c>
      <c r="I9" s="3" t="str">
        <f>IF(OR(AND(AQ9&gt;=AW$43,AQ9&lt;&gt;"",AO9=""),AND(AV9&gt;=AW$43,AV9&lt;&gt;"",AO9=""),AND(BT9&gt;=BZ$43,BT9&lt;&gt;"",BR9=""),AND(BY9&gt;=BZ$43,BY9&lt;&gt;"",BR9=""),AND(CW9&gt;=DC$43,CW9&lt;&gt;"",CU9=""),AND(DB9&gt;=DC$43,DB9&lt;&gt;"",CU9=""),AND(EA9&gt;=EG$43,EA9&lt;&gt;""),AND(EF9&gt;=EG$43,EF9&lt;&gt;""),AND(FC9&gt;=FI$43,FC9&lt;&gt;""),AND(FH9&gt;=FI$43,FH9&lt;&gt;""),AND(GE9&gt;=GK$43,GE9&lt;&gt;""),AND(GJ9&gt;=GK$43,GJ9&lt;&gt;""),AND(HG9&gt;=HM$43,HG9&lt;&gt;""),AND(HL9&gt;=HM$43,HL9&lt;&gt;""),AND(II9&gt;=IO$43,II9&lt;&gt;""),AND(IN9&gt;=IO$43,IN9&lt;&gt;""),AND(JK9&gt;=JQ$43,JK9&lt;&gt;""),AND(JP9&gt;=JQ$43,JP9&lt;&gt;""),AND(KM9&gt;=KS$43,KM9&lt;&gt;""),AND(KR9&gt;=KS$43,KR9&lt;&gt;""),AND(LO9&gt;=LU$43,LO9&lt;&gt;""),AND(LT9&gt;=LU$43,LT9&lt;&gt;""),AND(MQ9&gt;=MW$43,MQ9&lt;&gt;""),AND(MV9&gt;=MW$43,MV9&lt;&gt;""),AND(NS9&gt;=NY$43,NS9&lt;&gt;""),AND(NX9&gt;=NY$43,NX9&lt;&gt;""),AND(OU9&gt;=PA$43,OU9&lt;&gt;""),AND(OZ9&gt;=PA$43,OZ9&lt;&gt;""),AND(PW9&gt;=QC$43,PW9&lt;&gt;""),AND(QB9&gt;=QC$43,QB9&lt;&gt;"")),"P","")</f>
        <v>P</v>
      </c>
      <c r="J9" s="36" t="str">
        <f>IF(AND(I9="P",H9=""),"No DD",IF(OR(AND(AS9&gt;=AW$42,AT9&gt;=AW$46,AS9&lt;&gt;"",AO9=""),AND(BV9&gt;=BZ$42,BW9&gt;=BZ$46,BV9&lt;&gt;"",BR9=""),AND(CY9&gt;=DC$42,CZ9&gt;=DC$46,CY9&lt;&gt;"",CU9=""),AND(EC9&gt;=EG$42,ED9&gt;=EG$46,EC9&lt;&gt;""),AND(FE9&gt;=FI$42,FF9&gt;=FI$46,FE9&lt;&gt;""),AND(GG9&gt;=GK$42,GH9&gt;=GK$46,GG9&lt;&gt;""),AND(HI9&gt;=HM$42,HJ9&gt;=HM$46,HI9&lt;&gt;""),AND(IK9&gt;=IO$42,IL9&gt;=IO$46,IK9&lt;&gt;""),AND(JM9&gt;=JQ$42,JN9&gt;=JQ$46,JM9&lt;&gt;""),AND(KO9&gt;=KS$42,KP9&gt;=KS$46,KO9&lt;&gt;""),AND(LQ9&gt;=LU$42,LR9&gt;=LU$46,LQ9&lt;&gt;""),AND(MS9&gt;=MW$42,MT9&gt;=MW$46,MS9&lt;&gt;""),AND(NU9&gt;=NY$42,NV9&gt;=NY$46,NU9&lt;&gt;""),AND(OW9&gt;=PA$42,OX9&gt;=PA$46,OW9&lt;&gt;""),AND(PY9&gt;=QC$42,PZ9&gt;=QC$46,PY9&lt;&gt;"")),"Merit",IF(OR(AND(AS9&gt;=AW$41,AT9&gt;=AW$45,AS9&lt;&gt;"",AO9=""),AND(BV9&gt;=BZ$41,BW9&gt;=BZ$45,BV9&lt;&gt;"",BR9=""),AND(CY9&gt;=DC$41,CZ9&gt;=DC$45,CY9&lt;&gt;"",CU9=""),AND(EC9&gt;=EG$41,ED9&gt;=EG$45,EC9&lt;&gt;""),AND(FE9&gt;=FI$41,FF9&gt;=FI$45,FE9&lt;&gt;""),AND(GG9&gt;=GK$41,GH9&gt;=GK$45,GG9&lt;&gt;""),AND(HI9&gt;=HM$41,HJ9&gt;=HM$45,HI9&lt;&gt;""),AND(IK9&gt;=IO$41,IL9&gt;=IO$45,IK9&lt;&gt;""),AND(JM9&gt;=JQ$41,JN9&gt;=JQ$45,JM9&lt;&gt;""),AND(KO9&gt;=KS$41,KP9&gt;=KS$45,KO9&lt;&gt;""),AND(LQ9&gt;=LU$41,LR9&gt;=LU$45,LQ9&lt;&gt;""),AND(MS9&gt;=MW$41,MT9&gt;=MW$45,MS9&lt;&gt;""),AND(NU9&gt;=NY$41,NV9&gt;=NY$45,NU9&lt;&gt;""),AND(OW9&gt;=PA$41,OX9&gt;=PA$45,OW9&lt;&gt;""),AND(PY9&gt;=QC$41,PZ9&gt;=QC$45,PY9&lt;&gt;"")),"Excellence",IF(K9="P","Worlds Team",IF(H9="P","National Team","")))))</f>
        <v>National Team</v>
      </c>
      <c r="K9" s="3" t="str">
        <f>IF(OR(AND(AS9&gt;=AW$40,AT9&gt;=AW$44,AS9&lt;&gt;"",AO9=""),AND(BV9&gt;=BZ$40,BW9&gt;=BZ$44,BV9&lt;&gt;"",BR9=""),AND(CY9&gt;=DC$40,CZ9&gt;=DC$44,CY9&lt;&gt;"",CU9=""),AND(EC9&gt;=EG$40,ED9&gt;=EG$44,EC9&lt;&gt;""),AND(FE9&gt;=FI$40,FF9&gt;=FI$44,FE9&lt;&gt;""),AND(GG9&gt;=GK$40,GH9&gt;=GK$44,GG9&lt;&gt;""),AND(HI9&gt;=HM$40,HJ9&gt;=HM$44,HI9&lt;&gt;""),AND(IK9&gt;=IO$40,IL9&gt;=IO$44,IK9&lt;&gt;""),AND(JM9&gt;=JQ$40,JN9&gt;=JQ$44,JM9&lt;&gt;""),AND(KO9&gt;=KS$40,KP9&gt;=KS$44,KO9&lt;&gt;""),AND(LQ9&gt;=LU$40,LR9&gt;=LU$44,LQ9&lt;&gt;""),AND(MS9&gt;=MW$40,MT9&gt;=MW$44,MS9&lt;&gt;""),AND(NU9&gt;=NY$40,NV9&gt;=NY$44,NU9&lt;&gt;""),AND(OW9&gt;=PA$40,OX9&gt;=PA$44,OW9&lt;&gt;""),AND(PY9&gt;=QC$40,PZ9&gt;=QC$44,PY9&lt;&gt;"")),"P","")</f>
        <v/>
      </c>
      <c r="L9" s="8">
        <f>IF(COUNT(AQ9,BT9,CW9)&gt;0,LARGE((AQ9,BT9,CW9),1),0)</f>
        <v>47.1</v>
      </c>
      <c r="M9" s="8" t="str">
        <f t="shared" si="1"/>
        <v>2025 Elite Canada</v>
      </c>
      <c r="N9" s="8">
        <f>IF(COUNT(AQ9,BT9,CW9)&gt;1,LARGE((AQ9,BT9,CW9),2),0)</f>
        <v>44.199999999999996</v>
      </c>
      <c r="O9" s="8" t="str">
        <f t="shared" si="2"/>
        <v>2025 Nationals</v>
      </c>
      <c r="P9" s="8">
        <f t="shared" si="3"/>
        <v>46.7</v>
      </c>
      <c r="Q9" s="8" t="str">
        <f t="shared" si="4"/>
        <v>2025 Elite Canada</v>
      </c>
      <c r="R9" s="8" t="str">
        <f t="shared" si="5"/>
        <v/>
      </c>
      <c r="S9" s="11" t="str">
        <f t="shared" si="6"/>
        <v/>
      </c>
      <c r="T9" s="8" t="str">
        <f t="shared" si="7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8"/>
        <v/>
      </c>
      <c r="AQ9" s="40" t="str">
        <f t="shared" si="9"/>
        <v/>
      </c>
      <c r="AR9" s="40" t="str">
        <f t="shared" si="10"/>
        <v/>
      </c>
      <c r="AS9" s="40" t="str">
        <f t="shared" si="11"/>
        <v/>
      </c>
      <c r="AT9" s="40" t="str">
        <f t="shared" si="12"/>
        <v/>
      </c>
      <c r="AU9" s="40" t="str">
        <f t="shared" si="13"/>
        <v/>
      </c>
      <c r="AV9" s="40" t="str">
        <f t="shared" si="14"/>
        <v/>
      </c>
      <c r="AW9" s="40" t="str">
        <f t="shared" si="15"/>
        <v/>
      </c>
      <c r="AX9" s="18">
        <v>18.3</v>
      </c>
      <c r="AY9" s="18">
        <v>5.6</v>
      </c>
      <c r="AZ9" s="18">
        <v>0.6</v>
      </c>
      <c r="BA9" s="18">
        <v>0.3</v>
      </c>
      <c r="BB9" s="18">
        <v>18.5</v>
      </c>
      <c r="BC9" s="18">
        <v>5.2</v>
      </c>
      <c r="BD9" s="18">
        <v>0.2</v>
      </c>
      <c r="BE9" s="18">
        <v>0</v>
      </c>
      <c r="BF9" s="18"/>
      <c r="BG9" s="18"/>
      <c r="BH9" s="18"/>
      <c r="BI9" s="18"/>
      <c r="BJ9" s="18">
        <v>18.5</v>
      </c>
      <c r="BK9" s="18">
        <v>5.6</v>
      </c>
      <c r="BL9" s="18">
        <v>0.6</v>
      </c>
      <c r="BM9" s="18">
        <v>0.3</v>
      </c>
      <c r="BN9" s="18">
        <v>17.7</v>
      </c>
      <c r="BO9" s="18">
        <v>5.2</v>
      </c>
      <c r="BP9" s="18">
        <v>0</v>
      </c>
      <c r="BQ9" s="18">
        <v>0</v>
      </c>
      <c r="BR9" s="28"/>
      <c r="BS9" s="11">
        <f t="shared" si="16"/>
        <v>10.8</v>
      </c>
      <c r="BT9" s="11">
        <f t="shared" si="17"/>
        <v>47.1</v>
      </c>
      <c r="BU9" s="11" t="str">
        <f t="shared" si="18"/>
        <v/>
      </c>
      <c r="BV9" s="11">
        <f t="shared" si="19"/>
        <v>10.8</v>
      </c>
      <c r="BW9" s="11">
        <f t="shared" si="20"/>
        <v>47.1</v>
      </c>
      <c r="BX9" s="11">
        <f t="shared" si="21"/>
        <v>10.8</v>
      </c>
      <c r="BY9" s="11">
        <f t="shared" si="22"/>
        <v>46.7</v>
      </c>
      <c r="BZ9" s="11">
        <f t="shared" si="23"/>
        <v>93.800000000000011</v>
      </c>
      <c r="CA9" s="19">
        <v>16.399999999999999</v>
      </c>
      <c r="CB9" s="19">
        <v>4.8</v>
      </c>
      <c r="CC9" s="19">
        <v>0.8</v>
      </c>
      <c r="CD9" s="19">
        <v>0</v>
      </c>
      <c r="CE9" s="19">
        <v>18.399999999999999</v>
      </c>
      <c r="CF9" s="19">
        <v>5.6</v>
      </c>
      <c r="CG9" s="19">
        <v>0.2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 t="shared" si="24"/>
        <v>10.399999999999999</v>
      </c>
      <c r="CW9" s="40">
        <f t="shared" si="25"/>
        <v>44.199999999999996</v>
      </c>
      <c r="CX9" s="40" t="str">
        <f t="shared" si="26"/>
        <v/>
      </c>
      <c r="CY9" s="40">
        <f t="shared" si="27"/>
        <v>10.399999999999999</v>
      </c>
      <c r="CZ9" s="40">
        <f t="shared" si="28"/>
        <v>44.199999999999996</v>
      </c>
      <c r="DA9" s="40" t="str">
        <f t="shared" si="29"/>
        <v/>
      </c>
      <c r="DB9" s="40" t="str">
        <f t="shared" si="30"/>
        <v/>
      </c>
      <c r="DC9" s="40">
        <f t="shared" si="31"/>
        <v>44.199999999999996</v>
      </c>
      <c r="DD9" s="50" t="str">
        <f t="shared" si="32"/>
        <v/>
      </c>
      <c r="DE9" s="50" t="str">
        <f t="shared" si="33"/>
        <v/>
      </c>
      <c r="DF9" s="17">
        <v>16.2</v>
      </c>
      <c r="DG9" s="17">
        <v>5.6</v>
      </c>
      <c r="DH9" s="17">
        <v>1</v>
      </c>
      <c r="DI9" s="17">
        <v>0</v>
      </c>
      <c r="DJ9" s="17">
        <v>18.3</v>
      </c>
      <c r="DK9" s="17">
        <v>5.2</v>
      </c>
      <c r="DL9" s="17">
        <v>0.2</v>
      </c>
      <c r="DM9" s="17">
        <v>0</v>
      </c>
      <c r="DN9" s="17"/>
      <c r="DO9" s="17"/>
      <c r="DP9" s="17"/>
      <c r="DQ9" s="17"/>
      <c r="DR9" s="17">
        <v>0</v>
      </c>
      <c r="DS9" s="17">
        <v>0</v>
      </c>
      <c r="DT9" s="17">
        <v>0</v>
      </c>
      <c r="DU9" s="17">
        <v>0</v>
      </c>
      <c r="DV9" s="17"/>
      <c r="DW9" s="17"/>
      <c r="DX9" s="17"/>
      <c r="DY9" s="17"/>
      <c r="DZ9" s="40">
        <f t="shared" si="34"/>
        <v>10.8</v>
      </c>
      <c r="EA9" s="40">
        <f t="shared" si="35"/>
        <v>44.099999999999994</v>
      </c>
      <c r="EB9" s="40" t="str">
        <f t="shared" si="36"/>
        <v/>
      </c>
      <c r="EC9" s="40">
        <f t="shared" si="37"/>
        <v>10.8</v>
      </c>
      <c r="ED9" s="40">
        <f t="shared" si="38"/>
        <v>44.099999999999994</v>
      </c>
      <c r="EE9" s="40" t="str">
        <f t="shared" si="39"/>
        <v/>
      </c>
      <c r="EF9" s="40" t="str">
        <f t="shared" si="40"/>
        <v/>
      </c>
      <c r="EG9" s="40">
        <f t="shared" si="41"/>
        <v>44.099999999999994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2"/>
        <v/>
      </c>
      <c r="FC9" s="11" t="str">
        <f t="shared" si="43"/>
        <v/>
      </c>
      <c r="FD9" s="11" t="str">
        <f t="shared" si="44"/>
        <v/>
      </c>
      <c r="FE9" s="11" t="str">
        <f t="shared" si="45"/>
        <v/>
      </c>
      <c r="FF9" s="11" t="str">
        <f t="shared" si="46"/>
        <v/>
      </c>
      <c r="FG9" s="11" t="str">
        <f t="shared" si="47"/>
        <v/>
      </c>
      <c r="FH9" s="11" t="str">
        <f t="shared" si="48"/>
        <v/>
      </c>
      <c r="FI9" s="11" t="str">
        <f t="shared" si="49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0"/>
        <v/>
      </c>
      <c r="GE9" s="40" t="str">
        <f t="shared" si="51"/>
        <v/>
      </c>
      <c r="GF9" s="40" t="str">
        <f t="shared" si="52"/>
        <v/>
      </c>
      <c r="GG9" s="40" t="str">
        <f t="shared" si="53"/>
        <v/>
      </c>
      <c r="GH9" s="40" t="str">
        <f t="shared" si="54"/>
        <v/>
      </c>
      <c r="GI9" s="40" t="str">
        <f t="shared" si="55"/>
        <v/>
      </c>
      <c r="GJ9" s="40" t="str">
        <f t="shared" si="56"/>
        <v/>
      </c>
      <c r="GK9" s="40" t="str">
        <f t="shared" si="57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58"/>
        <v/>
      </c>
      <c r="HG9" s="11" t="str">
        <f t="shared" si="59"/>
        <v/>
      </c>
      <c r="HH9" s="11" t="str">
        <f t="shared" si="60"/>
        <v/>
      </c>
      <c r="HI9" s="11" t="str">
        <f t="shared" si="61"/>
        <v/>
      </c>
      <c r="HJ9" s="11" t="str">
        <f t="shared" si="62"/>
        <v/>
      </c>
      <c r="HK9" s="11" t="str">
        <f t="shared" si="63"/>
        <v/>
      </c>
      <c r="HL9" s="11" t="str">
        <f t="shared" si="64"/>
        <v/>
      </c>
      <c r="HM9" s="11" t="str">
        <f t="shared" si="65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6"/>
        <v/>
      </c>
      <c r="II9" s="40" t="str">
        <f t="shared" si="67"/>
        <v/>
      </c>
      <c r="IJ9" s="40" t="str">
        <f t="shared" si="68"/>
        <v/>
      </c>
      <c r="IK9" s="40" t="str">
        <f t="shared" si="69"/>
        <v/>
      </c>
      <c r="IL9" s="40" t="str">
        <f t="shared" si="70"/>
        <v/>
      </c>
      <c r="IM9" s="40" t="str">
        <f t="shared" si="71"/>
        <v/>
      </c>
      <c r="IN9" s="40" t="str">
        <f t="shared" si="72"/>
        <v/>
      </c>
      <c r="IO9" s="40" t="str">
        <f t="shared" si="73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4"/>
        <v/>
      </c>
      <c r="JK9" s="11" t="str">
        <f t="shared" si="75"/>
        <v/>
      </c>
      <c r="JL9" s="11" t="str">
        <f t="shared" si="76"/>
        <v/>
      </c>
      <c r="JM9" s="11" t="str">
        <f t="shared" si="77"/>
        <v/>
      </c>
      <c r="JN9" s="11" t="str">
        <f t="shared" si="78"/>
        <v/>
      </c>
      <c r="JO9" s="11" t="str">
        <f t="shared" si="79"/>
        <v/>
      </c>
      <c r="JP9" s="11" t="str">
        <f t="shared" si="80"/>
        <v/>
      </c>
      <c r="JQ9" s="11" t="str">
        <f t="shared" si="81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2"/>
        <v/>
      </c>
      <c r="KM9" s="40" t="str">
        <f t="shared" si="83"/>
        <v/>
      </c>
      <c r="KN9" s="40" t="str">
        <f t="shared" si="84"/>
        <v/>
      </c>
      <c r="KO9" s="40" t="str">
        <f t="shared" si="85"/>
        <v/>
      </c>
      <c r="KP9" s="40" t="str">
        <f t="shared" si="86"/>
        <v/>
      </c>
      <c r="KQ9" s="40" t="str">
        <f t="shared" si="87"/>
        <v/>
      </c>
      <c r="KR9" s="40" t="str">
        <f t="shared" si="88"/>
        <v/>
      </c>
      <c r="KS9" s="40" t="str">
        <f t="shared" si="89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0"/>
        <v/>
      </c>
      <c r="LO9" s="11" t="str">
        <f t="shared" si="91"/>
        <v/>
      </c>
      <c r="LP9" s="11" t="str">
        <f t="shared" si="92"/>
        <v/>
      </c>
      <c r="LQ9" s="11" t="str">
        <f t="shared" si="93"/>
        <v/>
      </c>
      <c r="LR9" s="11" t="str">
        <f t="shared" si="94"/>
        <v/>
      </c>
      <c r="LS9" s="11" t="str">
        <f t="shared" si="95"/>
        <v/>
      </c>
      <c r="LT9" s="11" t="str">
        <f t="shared" si="96"/>
        <v/>
      </c>
      <c r="LU9" s="11" t="str">
        <f t="shared" si="97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98"/>
        <v/>
      </c>
      <c r="MQ9" s="40" t="str">
        <f t="shared" si="99"/>
        <v/>
      </c>
      <c r="MR9" s="40" t="str">
        <f t="shared" si="100"/>
        <v/>
      </c>
      <c r="MS9" s="40" t="str">
        <f t="shared" si="101"/>
        <v/>
      </c>
      <c r="MT9" s="40" t="str">
        <f t="shared" si="102"/>
        <v/>
      </c>
      <c r="MU9" s="40" t="str">
        <f t="shared" si="103"/>
        <v/>
      </c>
      <c r="MV9" s="40" t="str">
        <f t="shared" si="104"/>
        <v/>
      </c>
      <c r="MW9" s="40" t="str">
        <f t="shared" si="105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6"/>
        <v/>
      </c>
      <c r="NS9" s="11" t="str">
        <f t="shared" si="107"/>
        <v/>
      </c>
      <c r="NT9" s="11" t="str">
        <f t="shared" si="108"/>
        <v/>
      </c>
      <c r="NU9" s="11" t="str">
        <f t="shared" si="109"/>
        <v/>
      </c>
      <c r="NV9" s="11" t="str">
        <f t="shared" si="110"/>
        <v/>
      </c>
      <c r="NW9" s="11" t="str">
        <f t="shared" si="111"/>
        <v/>
      </c>
      <c r="NX9" s="11" t="str">
        <f t="shared" si="112"/>
        <v/>
      </c>
      <c r="NY9" s="11" t="str">
        <f t="shared" si="113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4"/>
        <v/>
      </c>
      <c r="OU9" s="40" t="str">
        <f t="shared" si="115"/>
        <v/>
      </c>
      <c r="OV9" s="40" t="str">
        <f t="shared" si="116"/>
        <v/>
      </c>
      <c r="OW9" s="40" t="str">
        <f t="shared" si="117"/>
        <v/>
      </c>
      <c r="OX9" s="40" t="str">
        <f t="shared" si="118"/>
        <v/>
      </c>
      <c r="OY9" s="40" t="str">
        <f t="shared" si="119"/>
        <v/>
      </c>
      <c r="OZ9" s="40" t="str">
        <f t="shared" si="120"/>
        <v/>
      </c>
      <c r="PA9" s="40" t="str">
        <f t="shared" si="121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2"/>
        <v/>
      </c>
      <c r="PW9" s="11" t="str">
        <f t="shared" si="123"/>
        <v/>
      </c>
      <c r="PX9" s="11" t="str">
        <f t="shared" si="124"/>
        <v/>
      </c>
      <c r="PY9" s="11" t="str">
        <f t="shared" si="125"/>
        <v/>
      </c>
      <c r="PZ9" s="11" t="str">
        <f t="shared" si="126"/>
        <v/>
      </c>
      <c r="QA9" s="11" t="str">
        <f t="shared" si="127"/>
        <v/>
      </c>
      <c r="QB9" s="11" t="str">
        <f t="shared" si="128"/>
        <v/>
      </c>
      <c r="QC9" s="11" t="str">
        <f t="shared" si="129"/>
        <v/>
      </c>
      <c r="QD9" s="22">
        <f t="shared" si="130"/>
        <v>17.350000000000001</v>
      </c>
      <c r="QE9" s="22">
        <f t="shared" si="131"/>
        <v>5.1999999999999993</v>
      </c>
      <c r="QF9" s="22">
        <f t="shared" si="132"/>
        <v>0.7</v>
      </c>
      <c r="QG9" s="22">
        <f t="shared" si="133"/>
        <v>0.15</v>
      </c>
      <c r="QH9" s="22">
        <f t="shared" si="134"/>
        <v>18.45</v>
      </c>
      <c r="QI9" s="22">
        <f t="shared" si="135"/>
        <v>5.4</v>
      </c>
      <c r="QJ9" s="22">
        <f t="shared" si="136"/>
        <v>0.2</v>
      </c>
      <c r="QK9" s="22">
        <f t="shared" si="137"/>
        <v>0</v>
      </c>
      <c r="QL9" s="22">
        <f t="shared" si="138"/>
        <v>0</v>
      </c>
      <c r="QM9" s="22">
        <f t="shared" si="139"/>
        <v>0</v>
      </c>
      <c r="QN9" s="22">
        <f t="shared" si="140"/>
        <v>0</v>
      </c>
      <c r="QO9" s="22">
        <f t="shared" si="141"/>
        <v>0</v>
      </c>
      <c r="QP9" s="22">
        <f t="shared" si="142"/>
        <v>9.25</v>
      </c>
      <c r="QQ9" s="22">
        <f t="shared" si="143"/>
        <v>2.8</v>
      </c>
      <c r="QR9" s="22">
        <f t="shared" si="144"/>
        <v>0.3</v>
      </c>
      <c r="QS9" s="22">
        <f t="shared" si="145"/>
        <v>0.15</v>
      </c>
      <c r="QT9" s="22">
        <f t="shared" si="146"/>
        <v>8.85</v>
      </c>
      <c r="QU9" s="22">
        <f t="shared" si="147"/>
        <v>2.6</v>
      </c>
      <c r="QV9" s="22">
        <f t="shared" si="148"/>
        <v>0</v>
      </c>
      <c r="QW9" s="22">
        <f t="shared" si="149"/>
        <v>0</v>
      </c>
      <c r="QX9" s="27" t="s">
        <v>46</v>
      </c>
      <c r="QY9" s="40">
        <f t="shared" si="150"/>
        <v>10.6</v>
      </c>
      <c r="QZ9" s="40">
        <f t="shared" si="151"/>
        <v>45.649999999999991</v>
      </c>
      <c r="RA9" s="40" t="str">
        <f t="shared" si="152"/>
        <v/>
      </c>
      <c r="RB9" s="40">
        <f t="shared" si="153"/>
        <v>10.6</v>
      </c>
      <c r="RC9" s="40">
        <f t="shared" si="154"/>
        <v>45.649999999999991</v>
      </c>
      <c r="RD9" s="40">
        <f t="shared" si="155"/>
        <v>5.4</v>
      </c>
      <c r="RE9" s="40">
        <f t="shared" si="156"/>
        <v>23.35</v>
      </c>
      <c r="RF9" s="40">
        <f t="shared" si="157"/>
        <v>69</v>
      </c>
    </row>
    <row r="10" spans="1:474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4</v>
      </c>
      <c r="C10" s="5" t="s">
        <v>174</v>
      </c>
      <c r="D10" s="4" t="s">
        <v>4</v>
      </c>
      <c r="E10" s="4">
        <v>2008</v>
      </c>
      <c r="F10" s="9">
        <f t="shared" si="0"/>
        <v>132.70000814000488</v>
      </c>
      <c r="G10" s="64"/>
      <c r="H10" s="3" t="str">
        <f>IF(OR(AND(AP10&gt;=AW$39,AQ10&gt;=AW$43,AP10&lt;&gt;"",AO10=""),AND(AU10&gt;=AW$39,AV10&gt;=AW$43,AU10&lt;&gt;"",AO10=""),AND(BS10&gt;=BZ$39,BT10&gt;=BZ$43,BS10&lt;&gt;"",BR10=""),AND(BX10&gt;=BZ$39,BY10&gt;=BZ$43,BX10&lt;&gt;"",BR10=""),AND(CV10&gt;=DC$39,CW10&gt;=DC$43,CV10&lt;&gt;"",CU10=""),AND(DA10&gt;=DC$39,DB10&gt;=DC$43,DA10&lt;&gt;""),AND(DZ10&gt;=EG$39,EA10&gt;=EG$43,DZ10&lt;&gt;""),AND(EE10&gt;=EG$39,EF10&gt;=EG$43,EE10&lt;&gt;""),AND(FB10&gt;=FI$39,FC10&gt;=FI$43,FB10&lt;&gt;""),AND(FG10&gt;=FI$39,FH10&gt;=FI$43,FG10&lt;&gt;""),AND(GD10&gt;=GK$39,GE10&gt;=GK$43,GD10&lt;&gt;""),AND(GI10&gt;=GK$39,GJ10&gt;=GK$43,GI10&lt;&gt;""),AND(HF10&gt;=HM$39,HG10&gt;=HM$43,HF10&lt;&gt;""),AND(HK10&gt;=HM$39,HL10&gt;=HM$43,HK10&lt;&gt;""),AND(IH10&gt;=IO$39,II10&gt;=IO$43,IH10&lt;&gt;""),AND(IM10&gt;=IO$39,IN10&gt;=IO$43,IM10&lt;&gt;""),AND(JJ10&gt;=JQ$39,JK10&gt;=JQ$43,JJ10&lt;&gt;""),AND(JO10&gt;=JQ$39,JP10&gt;=JQ$43,JO10&lt;&gt;""),AND(KL10&gt;=KS$39,KM10&gt;=KS$43,KL10&lt;&gt;""),AND(KQ10&gt;=KS$39,KR10&gt;=KS$43,KQ10&lt;&gt;""),AND(LN10&gt;=LU$39,LO10&gt;=LU$43,LN10&lt;&gt;""),AND(LS10&gt;=LU$39,LT10&gt;=LU$43,LS10&lt;&gt;""),AND(MP10&gt;=MW$39,MQ10&gt;=MW$43,MP10&lt;&gt;""),AND(MU10&gt;=MW$39,MV10&gt;=MW$43,MU10&lt;&gt;""),AND(NR10&gt;=NY$39,NS10&gt;=NY$43,NR10&lt;&gt;""),AND(NW10&gt;=NY$39,NX10&gt;=NY$43,NW10&lt;&gt;""),AND(OT10&gt;=PA$39,OU10&gt;=PA$43,OT10&lt;&gt;""),AND(OY10&gt;=PA$39,OZ10&gt;=PA$43,OY10&lt;&gt;""),AND(PV10&gt;=QC$39,PW10&gt;=QC$43,PV10&lt;&gt;""),AND(QA10&gt;=QC$39,QB10&gt;=QC$43,QA10&lt;&gt;"")),"P","")</f>
        <v>P</v>
      </c>
      <c r="I10" s="3" t="str">
        <f>IF(OR(AND(AQ10&gt;=AW$43,AQ10&lt;&gt;"",AO10=""),AND(AV10&gt;=AW$43,AV10&lt;&gt;"",AO10=""),AND(BT10&gt;=BZ$43,BT10&lt;&gt;"",BR10=""),AND(BY10&gt;=BZ$43,BY10&lt;&gt;"",BR10=""),AND(CW10&gt;=DC$43,CW10&lt;&gt;"",CU10=""),AND(DB10&gt;=DC$43,DB10&lt;&gt;"",CU10=""),AND(EA10&gt;=EG$43,EA10&lt;&gt;""),AND(EF10&gt;=EG$43,EF10&lt;&gt;""),AND(FC10&gt;=FI$43,FC10&lt;&gt;""),AND(FH10&gt;=FI$43,FH10&lt;&gt;""),AND(GE10&gt;=GK$43,GE10&lt;&gt;""),AND(GJ10&gt;=GK$43,GJ10&lt;&gt;""),AND(HG10&gt;=HM$43,HG10&lt;&gt;""),AND(HL10&gt;=HM$43,HL10&lt;&gt;""),AND(II10&gt;=IO$43,II10&lt;&gt;""),AND(IN10&gt;=IO$43,IN10&lt;&gt;""),AND(JK10&gt;=JQ$43,JK10&lt;&gt;""),AND(JP10&gt;=JQ$43,JP10&lt;&gt;""),AND(KM10&gt;=KS$43,KM10&lt;&gt;""),AND(KR10&gt;=KS$43,KR10&lt;&gt;""),AND(LO10&gt;=LU$43,LO10&lt;&gt;""),AND(LT10&gt;=LU$43,LT10&lt;&gt;""),AND(MQ10&gt;=MW$43,MQ10&lt;&gt;""),AND(MV10&gt;=MW$43,MV10&lt;&gt;""),AND(NS10&gt;=NY$43,NS10&lt;&gt;""),AND(NX10&gt;=NY$43,NX10&lt;&gt;""),AND(OU10&gt;=PA$43,OU10&lt;&gt;""),AND(OZ10&gt;=PA$43,OZ10&lt;&gt;""),AND(PW10&gt;=QC$43,PW10&lt;&gt;""),AND(QB10&gt;=QC$43,QB10&lt;&gt;"")),"P","")</f>
        <v>P</v>
      </c>
      <c r="J10" s="36" t="str">
        <f>IF(AND(I10="P",H10=""),"No DD",IF(OR(AND(AS10&gt;=AW$42,AT10&gt;=AW$46,AS10&lt;&gt;"",AO10=""),AND(BV10&gt;=BZ$42,BW10&gt;=BZ$46,BV10&lt;&gt;"",BR10=""),AND(CY10&gt;=DC$42,CZ10&gt;=DC$46,CY10&lt;&gt;"",CU10=""),AND(EC10&gt;=EG$42,ED10&gt;=EG$46,EC10&lt;&gt;""),AND(FE10&gt;=FI$42,FF10&gt;=FI$46,FE10&lt;&gt;""),AND(GG10&gt;=GK$42,GH10&gt;=GK$46,GG10&lt;&gt;""),AND(HI10&gt;=HM$42,HJ10&gt;=HM$46,HI10&lt;&gt;""),AND(IK10&gt;=IO$42,IL10&gt;=IO$46,IK10&lt;&gt;""),AND(JM10&gt;=JQ$42,JN10&gt;=JQ$46,JM10&lt;&gt;""),AND(KO10&gt;=KS$42,KP10&gt;=KS$46,KO10&lt;&gt;""),AND(LQ10&gt;=LU$42,LR10&gt;=LU$46,LQ10&lt;&gt;""),AND(MS10&gt;=MW$42,MT10&gt;=MW$46,MS10&lt;&gt;""),AND(NU10&gt;=NY$42,NV10&gt;=NY$46,NU10&lt;&gt;""),AND(OW10&gt;=PA$42,OX10&gt;=PA$46,OW10&lt;&gt;""),AND(PY10&gt;=QC$42,PZ10&gt;=QC$46,PY10&lt;&gt;"")),"Merit",IF(OR(AND(AS10&gt;=AW$41,AT10&gt;=AW$45,AS10&lt;&gt;"",AO10=""),AND(BV10&gt;=BZ$41,BW10&gt;=BZ$45,BV10&lt;&gt;"",BR10=""),AND(CY10&gt;=DC$41,CZ10&gt;=DC$45,CY10&lt;&gt;"",CU10=""),AND(EC10&gt;=EG$41,ED10&gt;=EG$45,EC10&lt;&gt;""),AND(FE10&gt;=FI$41,FF10&gt;=FI$45,FE10&lt;&gt;""),AND(GG10&gt;=GK$41,GH10&gt;=GK$45,GG10&lt;&gt;""),AND(HI10&gt;=HM$41,HJ10&gt;=HM$45,HI10&lt;&gt;""),AND(IK10&gt;=IO$41,IL10&gt;=IO$45,IK10&lt;&gt;""),AND(JM10&gt;=JQ$41,JN10&gt;=JQ$45,JM10&lt;&gt;""),AND(KO10&gt;=KS$41,KP10&gt;=KS$45,KO10&lt;&gt;""),AND(LQ10&gt;=LU$41,LR10&gt;=LU$45,LQ10&lt;&gt;""),AND(MS10&gt;=MW$41,MT10&gt;=MW$45,MS10&lt;&gt;""),AND(NU10&gt;=NY$41,NV10&gt;=NY$45,NU10&lt;&gt;""),AND(OW10&gt;=PA$41,OX10&gt;=PA$45,OW10&lt;&gt;""),AND(PY10&gt;=QC$41,PZ10&gt;=QC$45,PY10&lt;&gt;"")),"Excellence",IF(K10="P","Worlds Team",IF(H10="P","National Team","")))))</f>
        <v>National Team</v>
      </c>
      <c r="K10" s="3" t="str">
        <f>IF(OR(AND(AS10&gt;=AW$40,AT10&gt;=AW$44,AS10&lt;&gt;"",AO10=""),AND(BV10&gt;=BZ$40,BW10&gt;=BZ$44,BV10&lt;&gt;"",BR10=""),AND(CY10&gt;=DC$40,CZ10&gt;=DC$44,CY10&lt;&gt;"",CU10=""),AND(EC10&gt;=EG$40,ED10&gt;=EG$44,EC10&lt;&gt;""),AND(FE10&gt;=FI$40,FF10&gt;=FI$44,FE10&lt;&gt;""),AND(GG10&gt;=GK$40,GH10&gt;=GK$44,GG10&lt;&gt;""),AND(HI10&gt;=HM$40,HJ10&gt;=HM$44,HI10&lt;&gt;""),AND(IK10&gt;=IO$40,IL10&gt;=IO$44,IK10&lt;&gt;""),AND(JM10&gt;=JQ$40,JN10&gt;=JQ$44,JM10&lt;&gt;""),AND(KO10&gt;=KS$40,KP10&gt;=KS$44,KO10&lt;&gt;""),AND(LQ10&gt;=LU$40,LR10&gt;=LU$44,LQ10&lt;&gt;""),AND(MS10&gt;=MW$40,MT10&gt;=MW$44,MS10&lt;&gt;""),AND(NU10&gt;=NY$40,NV10&gt;=NY$44,NU10&lt;&gt;""),AND(OW10&gt;=PA$40,OX10&gt;=PA$44,OW10&lt;&gt;""),AND(PY10&gt;=QC$40,PZ10&gt;=QC$44,PY10&lt;&gt;"")),"P","")</f>
        <v/>
      </c>
      <c r="L10" s="8">
        <f>IF(COUNT(AQ10,BT10,CW10)&gt;0,LARGE((AQ10,BT10,CW10),1),0)</f>
        <v>48.5</v>
      </c>
      <c r="M10" s="8" t="str">
        <f t="shared" si="1"/>
        <v>2025 Elite Canada</v>
      </c>
      <c r="N10" s="8">
        <f>IF(COUNT(AQ10,BT10,CW10)&gt;1,LARGE((AQ10,BT10,CW10),2),0)</f>
        <v>32.9</v>
      </c>
      <c r="O10" s="8" t="str">
        <f t="shared" si="2"/>
        <v>2025 Nationals</v>
      </c>
      <c r="P10" s="8">
        <f t="shared" si="3"/>
        <v>38.400000000000006</v>
      </c>
      <c r="Q10" s="8" t="str">
        <f t="shared" si="4"/>
        <v>2025 Elite Canada</v>
      </c>
      <c r="R10" s="8">
        <f t="shared" si="5"/>
        <v>12.899999999999999</v>
      </c>
      <c r="S10" s="11" t="str">
        <f t="shared" si="6"/>
        <v>(Q1)</v>
      </c>
      <c r="T10" s="8" t="str">
        <f t="shared" si="7"/>
        <v>2024 Coimbra Gym Fest (July 7)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8"/>
        <v/>
      </c>
      <c r="AQ10" s="40" t="str">
        <f t="shared" si="9"/>
        <v/>
      </c>
      <c r="AR10" s="40" t="str">
        <f t="shared" si="10"/>
        <v/>
      </c>
      <c r="AS10" s="40" t="str">
        <f t="shared" si="11"/>
        <v/>
      </c>
      <c r="AT10" s="40" t="str">
        <f t="shared" si="12"/>
        <v/>
      </c>
      <c r="AU10" s="40" t="str">
        <f t="shared" si="13"/>
        <v/>
      </c>
      <c r="AV10" s="40" t="str">
        <f t="shared" si="14"/>
        <v/>
      </c>
      <c r="AW10" s="40" t="str">
        <f t="shared" si="15"/>
        <v/>
      </c>
      <c r="AX10" s="18">
        <v>18.8</v>
      </c>
      <c r="AY10" s="18">
        <v>5.6</v>
      </c>
      <c r="AZ10" s="18">
        <v>0</v>
      </c>
      <c r="BA10" s="18">
        <v>0</v>
      </c>
      <c r="BB10" s="18">
        <v>18.5</v>
      </c>
      <c r="BC10" s="18">
        <v>5.6</v>
      </c>
      <c r="BD10" s="18">
        <v>0</v>
      </c>
      <c r="BE10" s="18">
        <v>0</v>
      </c>
      <c r="BF10" s="18"/>
      <c r="BG10" s="18"/>
      <c r="BH10" s="18"/>
      <c r="BI10" s="18"/>
      <c r="BJ10" s="18">
        <v>16.600000000000001</v>
      </c>
      <c r="BK10" s="18">
        <v>4.8</v>
      </c>
      <c r="BL10" s="18">
        <v>0.8</v>
      </c>
      <c r="BM10" s="18">
        <v>0</v>
      </c>
      <c r="BN10" s="18">
        <v>15.4</v>
      </c>
      <c r="BO10" s="18">
        <v>2.4</v>
      </c>
      <c r="BP10" s="18">
        <v>0</v>
      </c>
      <c r="BQ10" s="18">
        <v>0</v>
      </c>
      <c r="BR10" s="28"/>
      <c r="BS10" s="11">
        <f t="shared" si="16"/>
        <v>11.2</v>
      </c>
      <c r="BT10" s="11">
        <f t="shared" si="17"/>
        <v>48.5</v>
      </c>
      <c r="BU10" s="11" t="str">
        <f t="shared" si="18"/>
        <v/>
      </c>
      <c r="BV10" s="11">
        <f t="shared" si="19"/>
        <v>11.2</v>
      </c>
      <c r="BW10" s="11">
        <f t="shared" si="20"/>
        <v>48.5</v>
      </c>
      <c r="BX10" s="11">
        <f t="shared" si="21"/>
        <v>7.1999999999999993</v>
      </c>
      <c r="BY10" s="11">
        <f t="shared" si="22"/>
        <v>38.400000000000006</v>
      </c>
      <c r="BZ10" s="11">
        <f t="shared" si="23"/>
        <v>86.9</v>
      </c>
      <c r="CA10" s="19">
        <v>15.2</v>
      </c>
      <c r="CB10" s="19">
        <v>2.4</v>
      </c>
      <c r="CC10" s="19">
        <v>0</v>
      </c>
      <c r="CD10" s="19">
        <v>0</v>
      </c>
      <c r="CE10" s="19">
        <v>15.3</v>
      </c>
      <c r="CF10" s="19">
        <v>0</v>
      </c>
      <c r="CG10" s="19">
        <v>0</v>
      </c>
      <c r="CH10" s="19">
        <v>0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4"/>
        <v>2.4</v>
      </c>
      <c r="CW10" s="40">
        <f t="shared" si="25"/>
        <v>32.9</v>
      </c>
      <c r="CX10" s="40" t="str">
        <f t="shared" si="26"/>
        <v/>
      </c>
      <c r="CY10" s="40">
        <f t="shared" si="27"/>
        <v>2.4</v>
      </c>
      <c r="CZ10" s="40">
        <f t="shared" si="28"/>
        <v>32.9</v>
      </c>
      <c r="DA10" s="40" t="str">
        <f t="shared" si="29"/>
        <v/>
      </c>
      <c r="DB10" s="40" t="str">
        <f t="shared" si="30"/>
        <v/>
      </c>
      <c r="DC10" s="40">
        <f t="shared" si="31"/>
        <v>32.9</v>
      </c>
      <c r="DD10" s="50">
        <f t="shared" si="32"/>
        <v>12.899999999999999</v>
      </c>
      <c r="DE10" s="50" t="str">
        <f t="shared" si="33"/>
        <v/>
      </c>
      <c r="DF10" s="17">
        <v>18.399999999999999</v>
      </c>
      <c r="DG10" s="17">
        <v>5.2</v>
      </c>
      <c r="DH10" s="17">
        <v>0.2</v>
      </c>
      <c r="DI10" s="17">
        <v>0</v>
      </c>
      <c r="DJ10" s="17">
        <v>16.600000000000001</v>
      </c>
      <c r="DK10" s="17">
        <v>6</v>
      </c>
      <c r="DL10" s="17">
        <v>0.2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>
        <f t="shared" si="34"/>
        <v>11.2</v>
      </c>
      <c r="EA10" s="40">
        <f t="shared" si="35"/>
        <v>45.8</v>
      </c>
      <c r="EB10" s="40" t="str">
        <f t="shared" si="36"/>
        <v/>
      </c>
      <c r="EC10" s="40">
        <f t="shared" si="37"/>
        <v>11.2</v>
      </c>
      <c r="ED10" s="40">
        <f t="shared" si="38"/>
        <v>45.8</v>
      </c>
      <c r="EE10" s="40" t="str">
        <f t="shared" si="39"/>
        <v/>
      </c>
      <c r="EF10" s="40" t="str">
        <f t="shared" si="40"/>
        <v/>
      </c>
      <c r="EG10" s="40">
        <f t="shared" si="41"/>
        <v>45.8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2"/>
        <v/>
      </c>
      <c r="FC10" s="11" t="str">
        <f t="shared" si="43"/>
        <v/>
      </c>
      <c r="FD10" s="11" t="str">
        <f t="shared" si="44"/>
        <v/>
      </c>
      <c r="FE10" s="11" t="str">
        <f t="shared" si="45"/>
        <v/>
      </c>
      <c r="FF10" s="11" t="str">
        <f t="shared" si="46"/>
        <v/>
      </c>
      <c r="FG10" s="11" t="str">
        <f t="shared" si="47"/>
        <v/>
      </c>
      <c r="FH10" s="11" t="str">
        <f t="shared" si="48"/>
        <v/>
      </c>
      <c r="FI10" s="11" t="str">
        <f t="shared" si="49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0"/>
        <v/>
      </c>
      <c r="GE10" s="40" t="str">
        <f t="shared" si="51"/>
        <v/>
      </c>
      <c r="GF10" s="40" t="str">
        <f t="shared" si="52"/>
        <v/>
      </c>
      <c r="GG10" s="40" t="str">
        <f t="shared" si="53"/>
        <v/>
      </c>
      <c r="GH10" s="40" t="str">
        <f t="shared" si="54"/>
        <v/>
      </c>
      <c r="GI10" s="40" t="str">
        <f t="shared" si="55"/>
        <v/>
      </c>
      <c r="GJ10" s="40" t="str">
        <f t="shared" si="56"/>
        <v/>
      </c>
      <c r="GK10" s="40" t="str">
        <f t="shared" si="57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58"/>
        <v/>
      </c>
      <c r="HG10" s="11" t="str">
        <f t="shared" si="59"/>
        <v/>
      </c>
      <c r="HH10" s="11" t="str">
        <f t="shared" si="60"/>
        <v/>
      </c>
      <c r="HI10" s="11" t="str">
        <f t="shared" si="61"/>
        <v/>
      </c>
      <c r="HJ10" s="11" t="str">
        <f t="shared" si="62"/>
        <v/>
      </c>
      <c r="HK10" s="11" t="str">
        <f t="shared" si="63"/>
        <v/>
      </c>
      <c r="HL10" s="11" t="str">
        <f t="shared" si="64"/>
        <v/>
      </c>
      <c r="HM10" s="11" t="str">
        <f t="shared" si="65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6"/>
        <v/>
      </c>
      <c r="II10" s="40" t="str">
        <f t="shared" si="67"/>
        <v/>
      </c>
      <c r="IJ10" s="40" t="str">
        <f t="shared" si="68"/>
        <v/>
      </c>
      <c r="IK10" s="40" t="str">
        <f t="shared" si="69"/>
        <v/>
      </c>
      <c r="IL10" s="40" t="str">
        <f t="shared" si="70"/>
        <v/>
      </c>
      <c r="IM10" s="40" t="str">
        <f t="shared" si="71"/>
        <v/>
      </c>
      <c r="IN10" s="40" t="str">
        <f t="shared" si="72"/>
        <v/>
      </c>
      <c r="IO10" s="40" t="str">
        <f t="shared" si="73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4"/>
        <v/>
      </c>
      <c r="JK10" s="11" t="str">
        <f t="shared" si="75"/>
        <v/>
      </c>
      <c r="JL10" s="11" t="str">
        <f t="shared" si="76"/>
        <v/>
      </c>
      <c r="JM10" s="11" t="str">
        <f t="shared" si="77"/>
        <v/>
      </c>
      <c r="JN10" s="11" t="str">
        <f t="shared" si="78"/>
        <v/>
      </c>
      <c r="JO10" s="11" t="str">
        <f t="shared" si="79"/>
        <v/>
      </c>
      <c r="JP10" s="11" t="str">
        <f t="shared" si="80"/>
        <v/>
      </c>
      <c r="JQ10" s="11" t="str">
        <f t="shared" si="81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2"/>
        <v/>
      </c>
      <c r="KM10" s="40" t="str">
        <f t="shared" si="83"/>
        <v/>
      </c>
      <c r="KN10" s="40" t="str">
        <f t="shared" si="84"/>
        <v/>
      </c>
      <c r="KO10" s="40" t="str">
        <f t="shared" si="85"/>
        <v/>
      </c>
      <c r="KP10" s="40" t="str">
        <f t="shared" si="86"/>
        <v/>
      </c>
      <c r="KQ10" s="40" t="str">
        <f t="shared" si="87"/>
        <v/>
      </c>
      <c r="KR10" s="40" t="str">
        <f t="shared" si="88"/>
        <v/>
      </c>
      <c r="KS10" s="40" t="str">
        <f t="shared" si="89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0"/>
        <v/>
      </c>
      <c r="LO10" s="11" t="str">
        <f t="shared" si="91"/>
        <v/>
      </c>
      <c r="LP10" s="11" t="str">
        <f t="shared" si="92"/>
        <v/>
      </c>
      <c r="LQ10" s="11" t="str">
        <f t="shared" si="93"/>
        <v/>
      </c>
      <c r="LR10" s="11" t="str">
        <f t="shared" si="94"/>
        <v/>
      </c>
      <c r="LS10" s="11" t="str">
        <f t="shared" si="95"/>
        <v/>
      </c>
      <c r="LT10" s="11" t="str">
        <f t="shared" si="96"/>
        <v/>
      </c>
      <c r="LU10" s="11" t="str">
        <f t="shared" si="97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98"/>
        <v/>
      </c>
      <c r="MQ10" s="40" t="str">
        <f t="shared" si="99"/>
        <v/>
      </c>
      <c r="MR10" s="40" t="str">
        <f t="shared" si="100"/>
        <v/>
      </c>
      <c r="MS10" s="40" t="str">
        <f t="shared" si="101"/>
        <v/>
      </c>
      <c r="MT10" s="40" t="str">
        <f t="shared" si="102"/>
        <v/>
      </c>
      <c r="MU10" s="40" t="str">
        <f t="shared" si="103"/>
        <v/>
      </c>
      <c r="MV10" s="40" t="str">
        <f t="shared" si="104"/>
        <v/>
      </c>
      <c r="MW10" s="40" t="str">
        <f t="shared" si="105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6"/>
        <v/>
      </c>
      <c r="NS10" s="11" t="str">
        <f t="shared" si="107"/>
        <v/>
      </c>
      <c r="NT10" s="11" t="str">
        <f t="shared" si="108"/>
        <v/>
      </c>
      <c r="NU10" s="11" t="str">
        <f t="shared" si="109"/>
        <v/>
      </c>
      <c r="NV10" s="11" t="str">
        <f t="shared" si="110"/>
        <v/>
      </c>
      <c r="NW10" s="11" t="str">
        <f t="shared" si="111"/>
        <v/>
      </c>
      <c r="NX10" s="11" t="str">
        <f t="shared" si="112"/>
        <v/>
      </c>
      <c r="NY10" s="11" t="str">
        <f t="shared" si="113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4"/>
        <v/>
      </c>
      <c r="OU10" s="40" t="str">
        <f t="shared" si="115"/>
        <v/>
      </c>
      <c r="OV10" s="40" t="str">
        <f t="shared" si="116"/>
        <v/>
      </c>
      <c r="OW10" s="40" t="str">
        <f t="shared" si="117"/>
        <v/>
      </c>
      <c r="OX10" s="40" t="str">
        <f t="shared" si="118"/>
        <v/>
      </c>
      <c r="OY10" s="40" t="str">
        <f t="shared" si="119"/>
        <v/>
      </c>
      <c r="OZ10" s="40" t="str">
        <f t="shared" si="120"/>
        <v/>
      </c>
      <c r="PA10" s="40" t="str">
        <f t="shared" si="121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2"/>
        <v/>
      </c>
      <c r="PW10" s="11" t="str">
        <f t="shared" si="123"/>
        <v/>
      </c>
      <c r="PX10" s="11" t="str">
        <f t="shared" si="124"/>
        <v/>
      </c>
      <c r="PY10" s="11" t="str">
        <f t="shared" si="125"/>
        <v/>
      </c>
      <c r="PZ10" s="11" t="str">
        <f t="shared" si="126"/>
        <v/>
      </c>
      <c r="QA10" s="11" t="str">
        <f t="shared" si="127"/>
        <v/>
      </c>
      <c r="QB10" s="11" t="str">
        <f t="shared" si="128"/>
        <v/>
      </c>
      <c r="QC10" s="11" t="str">
        <f t="shared" si="129"/>
        <v/>
      </c>
      <c r="QD10" s="22">
        <f t="shared" si="130"/>
        <v>17</v>
      </c>
      <c r="QE10" s="22">
        <f t="shared" si="131"/>
        <v>4</v>
      </c>
      <c r="QF10" s="22">
        <f t="shared" si="132"/>
        <v>0</v>
      </c>
      <c r="QG10" s="22">
        <f t="shared" si="133"/>
        <v>0</v>
      </c>
      <c r="QH10" s="22">
        <f t="shared" si="134"/>
        <v>16.899999999999999</v>
      </c>
      <c r="QI10" s="22">
        <f t="shared" si="135"/>
        <v>2.8</v>
      </c>
      <c r="QJ10" s="22">
        <f t="shared" si="136"/>
        <v>0</v>
      </c>
      <c r="QK10" s="22">
        <f t="shared" si="137"/>
        <v>0</v>
      </c>
      <c r="QL10" s="22">
        <f t="shared" si="138"/>
        <v>0</v>
      </c>
      <c r="QM10" s="22">
        <f t="shared" si="139"/>
        <v>0</v>
      </c>
      <c r="QN10" s="22">
        <f t="shared" si="140"/>
        <v>0</v>
      </c>
      <c r="QO10" s="22">
        <f t="shared" si="141"/>
        <v>0</v>
      </c>
      <c r="QP10" s="22">
        <f t="shared" si="142"/>
        <v>8.3000000000000007</v>
      </c>
      <c r="QQ10" s="22">
        <f t="shared" si="143"/>
        <v>2.4</v>
      </c>
      <c r="QR10" s="22">
        <f t="shared" si="144"/>
        <v>0.4</v>
      </c>
      <c r="QS10" s="22">
        <f t="shared" si="145"/>
        <v>0</v>
      </c>
      <c r="QT10" s="22">
        <f t="shared" si="146"/>
        <v>7.7</v>
      </c>
      <c r="QU10" s="22">
        <f t="shared" si="147"/>
        <v>1.2</v>
      </c>
      <c r="QV10" s="22">
        <f t="shared" si="148"/>
        <v>0</v>
      </c>
      <c r="QW10" s="22">
        <f t="shared" si="149"/>
        <v>0</v>
      </c>
      <c r="QX10" s="27" t="s">
        <v>46</v>
      </c>
      <c r="QY10" s="40">
        <f t="shared" si="150"/>
        <v>6.8</v>
      </c>
      <c r="QZ10" s="40">
        <f t="shared" si="151"/>
        <v>40.699999999999996</v>
      </c>
      <c r="RA10" s="40" t="str">
        <f t="shared" si="152"/>
        <v/>
      </c>
      <c r="RB10" s="40">
        <f t="shared" si="153"/>
        <v>6.8</v>
      </c>
      <c r="RC10" s="40">
        <f t="shared" si="154"/>
        <v>40.699999999999996</v>
      </c>
      <c r="RD10" s="40">
        <f t="shared" si="155"/>
        <v>3.5999999999999996</v>
      </c>
      <c r="RE10" s="40">
        <f t="shared" si="156"/>
        <v>19.200000000000003</v>
      </c>
      <c r="RF10" s="40">
        <f t="shared" si="157"/>
        <v>59.9</v>
      </c>
    </row>
    <row r="11" spans="1:474" x14ac:dyDescent="0.2">
      <c r="A11" s="4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>8</v>
      </c>
      <c r="B11" s="4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>5</v>
      </c>
      <c r="C11" s="5" t="s">
        <v>119</v>
      </c>
      <c r="D11" s="4" t="s">
        <v>5</v>
      </c>
      <c r="E11" s="4">
        <v>2006</v>
      </c>
      <c r="F11" s="9">
        <f t="shared" si="0"/>
        <v>48.4</v>
      </c>
      <c r="G11" s="64"/>
      <c r="H11" s="3" t="str">
        <f>IF(OR(AND(AP11&gt;=AW$39,AQ11&gt;=AW$43,AP11&lt;&gt;"",AO11=""),AND(AU11&gt;=AW$39,AV11&gt;=AW$43,AU11&lt;&gt;"",AO11=""),AND(BS11&gt;=BZ$39,BT11&gt;=BZ$43,BS11&lt;&gt;"",BR11=""),AND(BX11&gt;=BZ$39,BY11&gt;=BZ$43,BX11&lt;&gt;"",BR11=""),AND(CV11&gt;=DC$39,CW11&gt;=DC$43,CV11&lt;&gt;"",CU11=""),AND(DA11&gt;=DC$39,DB11&gt;=DC$43,DA11&lt;&gt;""),AND(DZ11&gt;=EG$39,EA11&gt;=EG$43,DZ11&lt;&gt;""),AND(EE11&gt;=EG$39,EF11&gt;=EG$43,EE11&lt;&gt;""),AND(FB11&gt;=FI$39,FC11&gt;=FI$43,FB11&lt;&gt;""),AND(FG11&gt;=FI$39,FH11&gt;=FI$43,FG11&lt;&gt;""),AND(GD11&gt;=GK$39,GE11&gt;=GK$43,GD11&lt;&gt;""),AND(GI11&gt;=GK$39,GJ11&gt;=GK$43,GI11&lt;&gt;""),AND(HF11&gt;=HM$39,HG11&gt;=HM$43,HF11&lt;&gt;""),AND(HK11&gt;=HM$39,HL11&gt;=HM$43,HK11&lt;&gt;""),AND(IH11&gt;=IO$39,II11&gt;=IO$43,IH11&lt;&gt;""),AND(IM11&gt;=IO$39,IN11&gt;=IO$43,IM11&lt;&gt;""),AND(JJ11&gt;=JQ$39,JK11&gt;=JQ$43,JJ11&lt;&gt;""),AND(JO11&gt;=JQ$39,JP11&gt;=JQ$43,JO11&lt;&gt;""),AND(KL11&gt;=KS$39,KM11&gt;=KS$43,KL11&lt;&gt;""),AND(KQ11&gt;=KS$39,KR11&gt;=KS$43,KQ11&lt;&gt;""),AND(LN11&gt;=LU$39,LO11&gt;=LU$43,LN11&lt;&gt;""),AND(LS11&gt;=LU$39,LT11&gt;=LU$43,LS11&lt;&gt;""),AND(MP11&gt;=MW$39,MQ11&gt;=MW$43,MP11&lt;&gt;""),AND(MU11&gt;=MW$39,MV11&gt;=MW$43,MU11&lt;&gt;""),AND(NR11&gt;=NY$39,NS11&gt;=NY$43,NR11&lt;&gt;""),AND(NW11&gt;=NY$39,NX11&gt;=NY$43,NW11&lt;&gt;""),AND(OT11&gt;=PA$39,OU11&gt;=PA$43,OT11&lt;&gt;""),AND(OY11&gt;=PA$39,OZ11&gt;=PA$43,OY11&lt;&gt;""),AND(PV11&gt;=QC$39,PW11&gt;=QC$43,PV11&lt;&gt;""),AND(QA11&gt;=QC$39,QB11&gt;=QC$43,QA11&lt;&gt;"")),"P","")</f>
        <v>P</v>
      </c>
      <c r="I11" s="3" t="str">
        <f>IF(OR(AND(AQ11&gt;=AW$43,AQ11&lt;&gt;"",AO11=""),AND(AV11&gt;=AW$43,AV11&lt;&gt;"",AO11=""),AND(BT11&gt;=BZ$43,BT11&lt;&gt;"",BR11=""),AND(BY11&gt;=BZ$43,BY11&lt;&gt;"",BR11=""),AND(CW11&gt;=DC$43,CW11&lt;&gt;"",CU11=""),AND(DB11&gt;=DC$43,DB11&lt;&gt;"",CU11=""),AND(EA11&gt;=EG$43,EA11&lt;&gt;""),AND(EF11&gt;=EG$43,EF11&lt;&gt;""),AND(FC11&gt;=FI$43,FC11&lt;&gt;""),AND(FH11&gt;=FI$43,FH11&lt;&gt;""),AND(GE11&gt;=GK$43,GE11&lt;&gt;""),AND(GJ11&gt;=GK$43,GJ11&lt;&gt;""),AND(HG11&gt;=HM$43,HG11&lt;&gt;""),AND(HL11&gt;=HM$43,HL11&lt;&gt;""),AND(II11&gt;=IO$43,II11&lt;&gt;""),AND(IN11&gt;=IO$43,IN11&lt;&gt;""),AND(JK11&gt;=JQ$43,JK11&lt;&gt;""),AND(JP11&gt;=JQ$43,JP11&lt;&gt;""),AND(KM11&gt;=KS$43,KM11&lt;&gt;""),AND(KR11&gt;=KS$43,KR11&lt;&gt;""),AND(LO11&gt;=LU$43,LO11&lt;&gt;""),AND(LT11&gt;=LU$43,LT11&lt;&gt;""),AND(MQ11&gt;=MW$43,MQ11&lt;&gt;""),AND(MV11&gt;=MW$43,MV11&lt;&gt;""),AND(NS11&gt;=NY$43,NS11&lt;&gt;""),AND(NX11&gt;=NY$43,NX11&lt;&gt;""),AND(OU11&gt;=PA$43,OU11&lt;&gt;""),AND(OZ11&gt;=PA$43,OZ11&lt;&gt;""),AND(PW11&gt;=QC$43,PW11&lt;&gt;""),AND(QB11&gt;=QC$43,QB11&lt;&gt;"")),"P","")</f>
        <v>P</v>
      </c>
      <c r="J11" s="36" t="str">
        <f>IF(AND(I11="P",H11=""),"No DD",IF(OR(AND(AS11&gt;=AW$42,AT11&gt;=AW$46,AS11&lt;&gt;"",AO11=""),AND(BV11&gt;=BZ$42,BW11&gt;=BZ$46,BV11&lt;&gt;"",BR11=""),AND(CY11&gt;=DC$42,CZ11&gt;=DC$46,CY11&lt;&gt;"",CU11=""),AND(EC11&gt;=EG$42,ED11&gt;=EG$46,EC11&lt;&gt;""),AND(FE11&gt;=FI$42,FF11&gt;=FI$46,FE11&lt;&gt;""),AND(GG11&gt;=GK$42,GH11&gt;=GK$46,GG11&lt;&gt;""),AND(HI11&gt;=HM$42,HJ11&gt;=HM$46,HI11&lt;&gt;""),AND(IK11&gt;=IO$42,IL11&gt;=IO$46,IK11&lt;&gt;""),AND(JM11&gt;=JQ$42,JN11&gt;=JQ$46,JM11&lt;&gt;""),AND(KO11&gt;=KS$42,KP11&gt;=KS$46,KO11&lt;&gt;""),AND(LQ11&gt;=LU$42,LR11&gt;=LU$46,LQ11&lt;&gt;""),AND(MS11&gt;=MW$42,MT11&gt;=MW$46,MS11&lt;&gt;""),AND(NU11&gt;=NY$42,NV11&gt;=NY$46,NU11&lt;&gt;""),AND(OW11&gt;=PA$42,OX11&gt;=PA$46,OW11&lt;&gt;""),AND(PY11&gt;=QC$42,PZ11&gt;=QC$46,PY11&lt;&gt;"")),"Merit",IF(OR(AND(AS11&gt;=AW$41,AT11&gt;=AW$45,AS11&lt;&gt;"",AO11=""),AND(BV11&gt;=BZ$41,BW11&gt;=BZ$45,BV11&lt;&gt;"",BR11=""),AND(CY11&gt;=DC$41,CZ11&gt;=DC$45,CY11&lt;&gt;"",CU11=""),AND(EC11&gt;=EG$41,ED11&gt;=EG$45,EC11&lt;&gt;""),AND(FE11&gt;=FI$41,FF11&gt;=FI$45,FE11&lt;&gt;""),AND(GG11&gt;=GK$41,GH11&gt;=GK$45,GG11&lt;&gt;""),AND(HI11&gt;=HM$41,HJ11&gt;=HM$45,HI11&lt;&gt;""),AND(IK11&gt;=IO$41,IL11&gt;=IO$45,IK11&lt;&gt;""),AND(JM11&gt;=JQ$41,JN11&gt;=JQ$45,JM11&lt;&gt;""),AND(KO11&gt;=KS$41,KP11&gt;=KS$45,KO11&lt;&gt;""),AND(LQ11&gt;=LU$41,LR11&gt;=LU$45,LQ11&lt;&gt;""),AND(MS11&gt;=MW$41,MT11&gt;=MW$45,MS11&lt;&gt;""),AND(NU11&gt;=NY$41,NV11&gt;=NY$45,NU11&lt;&gt;""),AND(OW11&gt;=PA$41,OX11&gt;=PA$45,OW11&lt;&gt;""),AND(PY11&gt;=QC$41,PZ11&gt;=QC$45,PY11&lt;&gt;"")),"Excellence",IF(K11="P","Worlds Team",IF(H11="P","National Team","")))))</f>
        <v>National Team</v>
      </c>
      <c r="K11" s="3" t="str">
        <f>IF(OR(AND(AS11&gt;=AW$40,AT11&gt;=AW$44,AS11&lt;&gt;"",AO11=""),AND(BV11&gt;=BZ$40,BW11&gt;=BZ$44,BV11&lt;&gt;"",BR11=""),AND(CY11&gt;=DC$40,CZ11&gt;=DC$44,CY11&lt;&gt;"",CU11=""),AND(EC11&gt;=EG$40,ED11&gt;=EG$44,EC11&lt;&gt;""),AND(FE11&gt;=FI$40,FF11&gt;=FI$44,FE11&lt;&gt;""),AND(GG11&gt;=GK$40,GH11&gt;=GK$44,GG11&lt;&gt;""),AND(HI11&gt;=HM$40,HJ11&gt;=HM$44,HI11&lt;&gt;""),AND(IK11&gt;=IO$40,IL11&gt;=IO$44,IK11&lt;&gt;""),AND(JM11&gt;=JQ$40,JN11&gt;=JQ$44,JM11&lt;&gt;""),AND(KO11&gt;=KS$40,KP11&gt;=KS$44,KO11&lt;&gt;""),AND(LQ11&gt;=LU$40,LR11&gt;=LU$44,LQ11&lt;&gt;""),AND(MS11&gt;=MW$40,MT11&gt;=MW$44,MS11&lt;&gt;""),AND(NU11&gt;=NY$40,NV11&gt;=NY$44,NU11&lt;&gt;""),AND(OW11&gt;=PA$40,OX11&gt;=PA$44,OW11&lt;&gt;""),AND(PY11&gt;=QC$40,PZ11&gt;=QC$44,PY11&lt;&gt;"")),"P","")</f>
        <v/>
      </c>
      <c r="L11" s="8">
        <f>IF(COUNT(AQ11,BT11,CW11)&gt;0,LARGE((AQ11,BT11,CW11),1),0)</f>
        <v>0</v>
      </c>
      <c r="M11" s="8" t="str">
        <f t="shared" si="1"/>
        <v/>
      </c>
      <c r="N11" s="8">
        <f>IF(COUNT(AQ11,BT11,CW11)&gt;1,LARGE((AQ11,BT11,CW11),2),0)</f>
        <v>0</v>
      </c>
      <c r="O11" s="8" t="str">
        <f t="shared" si="2"/>
        <v/>
      </c>
      <c r="P11" s="8">
        <f t="shared" si="3"/>
        <v>0</v>
      </c>
      <c r="Q11" s="8" t="str">
        <f t="shared" si="4"/>
        <v/>
      </c>
      <c r="R11" s="8">
        <f t="shared" si="5"/>
        <v>48.4</v>
      </c>
      <c r="S11" s="11" t="str">
        <f t="shared" si="6"/>
        <v>(Q1)</v>
      </c>
      <c r="T11" s="8" t="str">
        <f t="shared" si="7"/>
        <v>2024 Coimbra Gym Fest (July 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8"/>
        <v/>
      </c>
      <c r="AQ11" s="40" t="str">
        <f t="shared" si="9"/>
        <v/>
      </c>
      <c r="AR11" s="40" t="str">
        <f t="shared" si="10"/>
        <v/>
      </c>
      <c r="AS11" s="40" t="str">
        <f t="shared" si="11"/>
        <v/>
      </c>
      <c r="AT11" s="40" t="str">
        <f t="shared" si="12"/>
        <v/>
      </c>
      <c r="AU11" s="40" t="str">
        <f t="shared" si="13"/>
        <v/>
      </c>
      <c r="AV11" s="40" t="str">
        <f t="shared" si="14"/>
        <v/>
      </c>
      <c r="AW11" s="40" t="str">
        <f t="shared" si="15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16"/>
        <v/>
      </c>
      <c r="BT11" s="11" t="str">
        <f t="shared" si="17"/>
        <v/>
      </c>
      <c r="BU11" s="11" t="str">
        <f t="shared" si="18"/>
        <v/>
      </c>
      <c r="BV11" s="11" t="str">
        <f t="shared" si="19"/>
        <v/>
      </c>
      <c r="BW11" s="11" t="str">
        <f t="shared" si="20"/>
        <v/>
      </c>
      <c r="BX11" s="11" t="str">
        <f t="shared" si="21"/>
        <v/>
      </c>
      <c r="BY11" s="11" t="str">
        <f t="shared" si="22"/>
        <v/>
      </c>
      <c r="BZ11" s="11" t="str">
        <f t="shared" si="23"/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4"/>
        <v/>
      </c>
      <c r="CW11" s="40" t="str">
        <f t="shared" si="25"/>
        <v/>
      </c>
      <c r="CX11" s="40" t="str">
        <f t="shared" si="26"/>
        <v/>
      </c>
      <c r="CY11" s="40" t="str">
        <f t="shared" si="27"/>
        <v/>
      </c>
      <c r="CZ11" s="40" t="str">
        <f t="shared" si="28"/>
        <v/>
      </c>
      <c r="DA11" s="40" t="str">
        <f t="shared" si="29"/>
        <v/>
      </c>
      <c r="DB11" s="40" t="str">
        <f t="shared" si="30"/>
        <v/>
      </c>
      <c r="DC11" s="40" t="str">
        <f t="shared" si="31"/>
        <v/>
      </c>
      <c r="DD11" s="50">
        <f t="shared" si="32"/>
        <v>48.4</v>
      </c>
      <c r="DE11" s="50">
        <f t="shared" si="33"/>
        <v>47.4</v>
      </c>
      <c r="DF11" s="17">
        <v>18.8</v>
      </c>
      <c r="DG11" s="17">
        <v>6</v>
      </c>
      <c r="DH11" s="17">
        <v>0.6</v>
      </c>
      <c r="DI11" s="17">
        <v>0</v>
      </c>
      <c r="DJ11" s="17">
        <v>18.8</v>
      </c>
      <c r="DK11" s="17">
        <v>5.6</v>
      </c>
      <c r="DL11" s="17">
        <v>0.2</v>
      </c>
      <c r="DM11" s="17">
        <v>0</v>
      </c>
      <c r="DN11" s="17"/>
      <c r="DO11" s="17"/>
      <c r="DP11" s="17"/>
      <c r="DQ11" s="17"/>
      <c r="DR11" s="17">
        <v>18.3</v>
      </c>
      <c r="DS11" s="17">
        <v>6</v>
      </c>
      <c r="DT11" s="17">
        <v>0.8</v>
      </c>
      <c r="DU11" s="17">
        <v>0</v>
      </c>
      <c r="DV11" s="17">
        <v>18.5</v>
      </c>
      <c r="DW11" s="17">
        <v>5.6</v>
      </c>
      <c r="DX11" s="17">
        <v>0.2</v>
      </c>
      <c r="DY11" s="17">
        <v>0</v>
      </c>
      <c r="DZ11" s="40">
        <f t="shared" si="34"/>
        <v>11.6</v>
      </c>
      <c r="EA11" s="40">
        <f t="shared" si="35"/>
        <v>48.4</v>
      </c>
      <c r="EB11" s="40" t="str">
        <f t="shared" si="36"/>
        <v/>
      </c>
      <c r="EC11" s="40">
        <f t="shared" si="37"/>
        <v>11.6</v>
      </c>
      <c r="ED11" s="40">
        <f t="shared" si="38"/>
        <v>48.4</v>
      </c>
      <c r="EE11" s="40">
        <f t="shared" si="39"/>
        <v>11.6</v>
      </c>
      <c r="EF11" s="40">
        <f t="shared" si="40"/>
        <v>47.4</v>
      </c>
      <c r="EG11" s="40">
        <f t="shared" si="41"/>
        <v>95.8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2"/>
        <v/>
      </c>
      <c r="FC11" s="11" t="str">
        <f t="shared" si="43"/>
        <v/>
      </c>
      <c r="FD11" s="11" t="str">
        <f t="shared" si="44"/>
        <v/>
      </c>
      <c r="FE11" s="11" t="str">
        <f t="shared" si="45"/>
        <v/>
      </c>
      <c r="FF11" s="11" t="str">
        <f t="shared" si="46"/>
        <v/>
      </c>
      <c r="FG11" s="11" t="str">
        <f t="shared" si="47"/>
        <v/>
      </c>
      <c r="FH11" s="11" t="str">
        <f t="shared" si="48"/>
        <v/>
      </c>
      <c r="FI11" s="11" t="str">
        <f t="shared" si="49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0"/>
        <v/>
      </c>
      <c r="GE11" s="40" t="str">
        <f t="shared" si="51"/>
        <v/>
      </c>
      <c r="GF11" s="40" t="str">
        <f t="shared" si="52"/>
        <v/>
      </c>
      <c r="GG11" s="40" t="str">
        <f t="shared" si="53"/>
        <v/>
      </c>
      <c r="GH11" s="40" t="str">
        <f t="shared" si="54"/>
        <v/>
      </c>
      <c r="GI11" s="40" t="str">
        <f t="shared" si="55"/>
        <v/>
      </c>
      <c r="GJ11" s="40" t="str">
        <f t="shared" si="56"/>
        <v/>
      </c>
      <c r="GK11" s="40" t="str">
        <f t="shared" si="57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58"/>
        <v/>
      </c>
      <c r="HG11" s="11" t="str">
        <f t="shared" si="59"/>
        <v/>
      </c>
      <c r="HH11" s="11" t="str">
        <f t="shared" si="60"/>
        <v/>
      </c>
      <c r="HI11" s="11" t="str">
        <f t="shared" si="61"/>
        <v/>
      </c>
      <c r="HJ11" s="11" t="str">
        <f t="shared" si="62"/>
        <v/>
      </c>
      <c r="HK11" s="11" t="str">
        <f t="shared" si="63"/>
        <v/>
      </c>
      <c r="HL11" s="11" t="str">
        <f t="shared" si="64"/>
        <v/>
      </c>
      <c r="HM11" s="11" t="str">
        <f t="shared" si="65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6"/>
        <v/>
      </c>
      <c r="II11" s="40" t="str">
        <f t="shared" si="67"/>
        <v/>
      </c>
      <c r="IJ11" s="40" t="str">
        <f t="shared" si="68"/>
        <v/>
      </c>
      <c r="IK11" s="40" t="str">
        <f t="shared" si="69"/>
        <v/>
      </c>
      <c r="IL11" s="40" t="str">
        <f t="shared" si="70"/>
        <v/>
      </c>
      <c r="IM11" s="40" t="str">
        <f t="shared" si="71"/>
        <v/>
      </c>
      <c r="IN11" s="40" t="str">
        <f t="shared" si="72"/>
        <v/>
      </c>
      <c r="IO11" s="40" t="str">
        <f t="shared" si="73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4"/>
        <v/>
      </c>
      <c r="JK11" s="11" t="str">
        <f t="shared" si="75"/>
        <v/>
      </c>
      <c r="JL11" s="11" t="str">
        <f t="shared" si="76"/>
        <v/>
      </c>
      <c r="JM11" s="11" t="str">
        <f t="shared" si="77"/>
        <v/>
      </c>
      <c r="JN11" s="11" t="str">
        <f t="shared" si="78"/>
        <v/>
      </c>
      <c r="JO11" s="11" t="str">
        <f t="shared" si="79"/>
        <v/>
      </c>
      <c r="JP11" s="11" t="str">
        <f t="shared" si="80"/>
        <v/>
      </c>
      <c r="JQ11" s="11" t="str">
        <f t="shared" si="81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2"/>
        <v/>
      </c>
      <c r="KM11" s="40" t="str">
        <f t="shared" si="83"/>
        <v/>
      </c>
      <c r="KN11" s="40" t="str">
        <f t="shared" si="84"/>
        <v/>
      </c>
      <c r="KO11" s="40" t="str">
        <f t="shared" si="85"/>
        <v/>
      </c>
      <c r="KP11" s="40" t="str">
        <f t="shared" si="86"/>
        <v/>
      </c>
      <c r="KQ11" s="40" t="str">
        <f t="shared" si="87"/>
        <v/>
      </c>
      <c r="KR11" s="40" t="str">
        <f t="shared" si="88"/>
        <v/>
      </c>
      <c r="KS11" s="40" t="str">
        <f t="shared" si="89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0"/>
        <v/>
      </c>
      <c r="LO11" s="11" t="str">
        <f t="shared" si="91"/>
        <v/>
      </c>
      <c r="LP11" s="11" t="str">
        <f t="shared" si="92"/>
        <v/>
      </c>
      <c r="LQ11" s="11" t="str">
        <f t="shared" si="93"/>
        <v/>
      </c>
      <c r="LR11" s="11" t="str">
        <f t="shared" si="94"/>
        <v/>
      </c>
      <c r="LS11" s="11" t="str">
        <f t="shared" si="95"/>
        <v/>
      </c>
      <c r="LT11" s="11" t="str">
        <f t="shared" si="96"/>
        <v/>
      </c>
      <c r="LU11" s="11" t="str">
        <f t="shared" si="97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98"/>
        <v/>
      </c>
      <c r="MQ11" s="40" t="str">
        <f t="shared" si="99"/>
        <v/>
      </c>
      <c r="MR11" s="40" t="str">
        <f t="shared" si="100"/>
        <v/>
      </c>
      <c r="MS11" s="40" t="str">
        <f t="shared" si="101"/>
        <v/>
      </c>
      <c r="MT11" s="40" t="str">
        <f t="shared" si="102"/>
        <v/>
      </c>
      <c r="MU11" s="40" t="str">
        <f t="shared" si="103"/>
        <v/>
      </c>
      <c r="MV11" s="40" t="str">
        <f t="shared" si="104"/>
        <v/>
      </c>
      <c r="MW11" s="40" t="str">
        <f t="shared" si="105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6"/>
        <v/>
      </c>
      <c r="NS11" s="11" t="str">
        <f t="shared" si="107"/>
        <v/>
      </c>
      <c r="NT11" s="11" t="str">
        <f t="shared" si="108"/>
        <v/>
      </c>
      <c r="NU11" s="11" t="str">
        <f t="shared" si="109"/>
        <v/>
      </c>
      <c r="NV11" s="11" t="str">
        <f t="shared" si="110"/>
        <v/>
      </c>
      <c r="NW11" s="11" t="str">
        <f t="shared" si="111"/>
        <v/>
      </c>
      <c r="NX11" s="11" t="str">
        <f t="shared" si="112"/>
        <v/>
      </c>
      <c r="NY11" s="11" t="str">
        <f t="shared" si="113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4"/>
        <v/>
      </c>
      <c r="OU11" s="40" t="str">
        <f t="shared" si="115"/>
        <v/>
      </c>
      <c r="OV11" s="40" t="str">
        <f t="shared" si="116"/>
        <v/>
      </c>
      <c r="OW11" s="40" t="str">
        <f t="shared" si="117"/>
        <v/>
      </c>
      <c r="OX11" s="40" t="str">
        <f t="shared" si="118"/>
        <v/>
      </c>
      <c r="OY11" s="40" t="str">
        <f t="shared" si="119"/>
        <v/>
      </c>
      <c r="OZ11" s="40" t="str">
        <f t="shared" si="120"/>
        <v/>
      </c>
      <c r="PA11" s="40" t="str">
        <f t="shared" si="121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2"/>
        <v/>
      </c>
      <c r="PW11" s="11" t="str">
        <f t="shared" si="123"/>
        <v/>
      </c>
      <c r="PX11" s="11" t="str">
        <f t="shared" si="124"/>
        <v/>
      </c>
      <c r="PY11" s="11" t="str">
        <f t="shared" si="125"/>
        <v/>
      </c>
      <c r="PZ11" s="11" t="str">
        <f t="shared" si="126"/>
        <v/>
      </c>
      <c r="QA11" s="11" t="str">
        <f t="shared" si="127"/>
        <v/>
      </c>
      <c r="QB11" s="11" t="str">
        <f t="shared" si="128"/>
        <v/>
      </c>
      <c r="QC11" s="11" t="str">
        <f t="shared" si="129"/>
        <v/>
      </c>
      <c r="QD11" s="22">
        <f t="shared" si="130"/>
        <v>0</v>
      </c>
      <c r="QE11" s="22">
        <f t="shared" si="131"/>
        <v>0</v>
      </c>
      <c r="QF11" s="22">
        <f t="shared" si="132"/>
        <v>0</v>
      </c>
      <c r="QG11" s="22">
        <f t="shared" si="133"/>
        <v>0</v>
      </c>
      <c r="QH11" s="22">
        <f t="shared" si="134"/>
        <v>0</v>
      </c>
      <c r="QI11" s="22">
        <f t="shared" si="135"/>
        <v>0</v>
      </c>
      <c r="QJ11" s="22">
        <f t="shared" si="136"/>
        <v>0</v>
      </c>
      <c r="QK11" s="22">
        <f t="shared" si="137"/>
        <v>0</v>
      </c>
      <c r="QL11" s="22">
        <f t="shared" si="138"/>
        <v>0</v>
      </c>
      <c r="QM11" s="22">
        <f t="shared" si="139"/>
        <v>0</v>
      </c>
      <c r="QN11" s="22">
        <f t="shared" si="140"/>
        <v>0</v>
      </c>
      <c r="QO11" s="22">
        <f t="shared" si="141"/>
        <v>0</v>
      </c>
      <c r="QP11" s="22">
        <f t="shared" si="142"/>
        <v>0</v>
      </c>
      <c r="QQ11" s="22">
        <f t="shared" si="143"/>
        <v>0</v>
      </c>
      <c r="QR11" s="22">
        <f t="shared" si="144"/>
        <v>0</v>
      </c>
      <c r="QS11" s="22">
        <f t="shared" si="145"/>
        <v>0</v>
      </c>
      <c r="QT11" s="22">
        <f t="shared" si="146"/>
        <v>0</v>
      </c>
      <c r="QU11" s="22">
        <f t="shared" si="147"/>
        <v>0</v>
      </c>
      <c r="QV11" s="22">
        <f t="shared" si="148"/>
        <v>0</v>
      </c>
      <c r="QW11" s="22">
        <f t="shared" si="149"/>
        <v>0</v>
      </c>
      <c r="QX11" s="27" t="s">
        <v>46</v>
      </c>
      <c r="QY11" s="40" t="str">
        <f t="shared" si="150"/>
        <v/>
      </c>
      <c r="QZ11" s="40" t="str">
        <f t="shared" si="151"/>
        <v/>
      </c>
      <c r="RA11" s="40" t="str">
        <f t="shared" si="152"/>
        <v/>
      </c>
      <c r="RB11" s="40" t="str">
        <f t="shared" si="153"/>
        <v/>
      </c>
      <c r="RC11" s="40" t="str">
        <f t="shared" si="154"/>
        <v/>
      </c>
      <c r="RD11" s="40" t="str">
        <f t="shared" si="155"/>
        <v/>
      </c>
      <c r="RE11" s="40" t="str">
        <f t="shared" si="156"/>
        <v/>
      </c>
      <c r="RF11" s="40" t="str">
        <f t="shared" si="157"/>
        <v/>
      </c>
    </row>
    <row r="12" spans="1:474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101</v>
      </c>
      <c r="D12" s="4" t="s">
        <v>5</v>
      </c>
      <c r="E12" s="4">
        <v>2005</v>
      </c>
      <c r="F12" s="9">
        <f t="shared" si="0"/>
        <v>139.50000928000466</v>
      </c>
      <c r="G12" s="64"/>
      <c r="H12" s="3" t="str">
        <f>IF(OR(AND(AP12&gt;=AW$39,AQ12&gt;=AW$43,AP12&lt;&gt;"",AO12=""),AND(AU12&gt;=AW$39,AV12&gt;=AW$43,AU12&lt;&gt;"",AO12=""),AND(BS12&gt;=BZ$39,BT12&gt;=BZ$43,BS12&lt;&gt;"",BR12=""),AND(BX12&gt;=BZ$39,BY12&gt;=BZ$43,BX12&lt;&gt;"",BR12=""),AND(CV12&gt;=DC$39,CW12&gt;=DC$43,CV12&lt;&gt;"",CU12=""),AND(DA12&gt;=DC$39,DB12&gt;=DC$43,DA12&lt;&gt;""),AND(DZ12&gt;=EG$39,EA12&gt;=EG$43,DZ12&lt;&gt;""),AND(EE12&gt;=EG$39,EF12&gt;=EG$43,EE12&lt;&gt;""),AND(FB12&gt;=FI$39,FC12&gt;=FI$43,FB12&lt;&gt;""),AND(FG12&gt;=FI$39,FH12&gt;=FI$43,FG12&lt;&gt;""),AND(GD12&gt;=GK$39,GE12&gt;=GK$43,GD12&lt;&gt;""),AND(GI12&gt;=GK$39,GJ12&gt;=GK$43,GI12&lt;&gt;""),AND(HF12&gt;=HM$39,HG12&gt;=HM$43,HF12&lt;&gt;""),AND(HK12&gt;=HM$39,HL12&gt;=HM$43,HK12&lt;&gt;""),AND(IH12&gt;=IO$39,II12&gt;=IO$43,IH12&lt;&gt;""),AND(IM12&gt;=IO$39,IN12&gt;=IO$43,IM12&lt;&gt;""),AND(JJ12&gt;=JQ$39,JK12&gt;=JQ$43,JJ12&lt;&gt;""),AND(JO12&gt;=JQ$39,JP12&gt;=JQ$43,JO12&lt;&gt;""),AND(KL12&gt;=KS$39,KM12&gt;=KS$43,KL12&lt;&gt;""),AND(KQ12&gt;=KS$39,KR12&gt;=KS$43,KQ12&lt;&gt;""),AND(LN12&gt;=LU$39,LO12&gt;=LU$43,LN12&lt;&gt;""),AND(LS12&gt;=LU$39,LT12&gt;=LU$43,LS12&lt;&gt;""),AND(MP12&gt;=MW$39,MQ12&gt;=MW$43,MP12&lt;&gt;""),AND(MU12&gt;=MW$39,MV12&gt;=MW$43,MU12&lt;&gt;""),AND(NR12&gt;=NY$39,NS12&gt;=NY$43,NR12&lt;&gt;""),AND(NW12&gt;=NY$39,NX12&gt;=NY$43,NW12&lt;&gt;""),AND(OT12&gt;=PA$39,OU12&gt;=PA$43,OT12&lt;&gt;""),AND(OY12&gt;=PA$39,OZ12&gt;=PA$43,OY12&lt;&gt;""),AND(PV12&gt;=QC$39,PW12&gt;=QC$43,PV12&lt;&gt;""),AND(QA12&gt;=QC$39,QB12&gt;=QC$43,QA12&lt;&gt;"")),"P","")</f>
        <v/>
      </c>
      <c r="I12" s="3" t="str">
        <f>IF(OR(AND(AQ12&gt;=AW$43,AQ12&lt;&gt;"",AO12=""),AND(AV12&gt;=AW$43,AV12&lt;&gt;"",AO12=""),AND(BT12&gt;=BZ$43,BT12&lt;&gt;"",BR12=""),AND(BY12&gt;=BZ$43,BY12&lt;&gt;"",BR12=""),AND(CW12&gt;=DC$43,CW12&lt;&gt;"",CU12=""),AND(DB12&gt;=DC$43,DB12&lt;&gt;"",CU12=""),AND(EA12&gt;=EG$43,EA12&lt;&gt;""),AND(EF12&gt;=EG$43,EF12&lt;&gt;""),AND(FC12&gt;=FI$43,FC12&lt;&gt;""),AND(FH12&gt;=FI$43,FH12&lt;&gt;""),AND(GE12&gt;=GK$43,GE12&lt;&gt;""),AND(GJ12&gt;=GK$43,GJ12&lt;&gt;""),AND(HG12&gt;=HM$43,HG12&lt;&gt;""),AND(HL12&gt;=HM$43,HL12&lt;&gt;""),AND(II12&gt;=IO$43,II12&lt;&gt;""),AND(IN12&gt;=IO$43,IN12&lt;&gt;""),AND(JK12&gt;=JQ$43,JK12&lt;&gt;""),AND(JP12&gt;=JQ$43,JP12&lt;&gt;""),AND(KM12&gt;=KS$43,KM12&lt;&gt;""),AND(KR12&gt;=KS$43,KR12&lt;&gt;""),AND(LO12&gt;=LU$43,LO12&lt;&gt;""),AND(LT12&gt;=LU$43,LT12&lt;&gt;""),AND(MQ12&gt;=MW$43,MQ12&lt;&gt;""),AND(MV12&gt;=MW$43,MV12&lt;&gt;""),AND(NS12&gt;=NY$43,NS12&lt;&gt;""),AND(NX12&gt;=NY$43,NX12&lt;&gt;""),AND(OU12&gt;=PA$43,OU12&lt;&gt;""),AND(OZ12&gt;=PA$43,OZ12&lt;&gt;""),AND(PW12&gt;=QC$43,PW12&lt;&gt;""),AND(QB12&gt;=QC$43,QB12&lt;&gt;"")),"P","")</f>
        <v/>
      </c>
      <c r="J12" s="36" t="str">
        <f>IF(AND(I12="P",H12=""),"No DD",IF(OR(AND(AS12&gt;=AW$42,AT12&gt;=AW$46,AS12&lt;&gt;"",AO12=""),AND(BV12&gt;=BZ$42,BW12&gt;=BZ$46,BV12&lt;&gt;"",BR12=""),AND(CY12&gt;=DC$42,CZ12&gt;=DC$46,CY12&lt;&gt;"",CU12=""),AND(EC12&gt;=EG$42,ED12&gt;=EG$46,EC12&lt;&gt;""),AND(FE12&gt;=FI$42,FF12&gt;=FI$46,FE12&lt;&gt;""),AND(GG12&gt;=GK$42,GH12&gt;=GK$46,GG12&lt;&gt;""),AND(HI12&gt;=HM$42,HJ12&gt;=HM$46,HI12&lt;&gt;""),AND(IK12&gt;=IO$42,IL12&gt;=IO$46,IK12&lt;&gt;""),AND(JM12&gt;=JQ$42,JN12&gt;=JQ$46,JM12&lt;&gt;""),AND(KO12&gt;=KS$42,KP12&gt;=KS$46,KO12&lt;&gt;""),AND(LQ12&gt;=LU$42,LR12&gt;=LU$46,LQ12&lt;&gt;""),AND(MS12&gt;=MW$42,MT12&gt;=MW$46,MS12&lt;&gt;""),AND(NU12&gt;=NY$42,NV12&gt;=NY$46,NU12&lt;&gt;""),AND(OW12&gt;=PA$42,OX12&gt;=PA$46,OW12&lt;&gt;""),AND(PY12&gt;=QC$42,PZ12&gt;=QC$46,PY12&lt;&gt;"")),"Merit",IF(OR(AND(AS12&gt;=AW$41,AT12&gt;=AW$45,AS12&lt;&gt;"",AO12=""),AND(BV12&gt;=BZ$41,BW12&gt;=BZ$45,BV12&lt;&gt;"",BR12=""),AND(CY12&gt;=DC$41,CZ12&gt;=DC$45,CY12&lt;&gt;"",CU12=""),AND(EC12&gt;=EG$41,ED12&gt;=EG$45,EC12&lt;&gt;""),AND(FE12&gt;=FI$41,FF12&gt;=FI$45,FE12&lt;&gt;""),AND(GG12&gt;=GK$41,GH12&gt;=GK$45,GG12&lt;&gt;""),AND(HI12&gt;=HM$41,HJ12&gt;=HM$45,HI12&lt;&gt;""),AND(IK12&gt;=IO$41,IL12&gt;=IO$45,IK12&lt;&gt;""),AND(JM12&gt;=JQ$41,JN12&gt;=JQ$45,JM12&lt;&gt;""),AND(KO12&gt;=KS$41,KP12&gt;=KS$45,KO12&lt;&gt;""),AND(LQ12&gt;=LU$41,LR12&gt;=LU$45,LQ12&lt;&gt;""),AND(MS12&gt;=MW$41,MT12&gt;=MW$45,MS12&lt;&gt;""),AND(NU12&gt;=NY$41,NV12&gt;=NY$45,NU12&lt;&gt;""),AND(OW12&gt;=PA$41,OX12&gt;=PA$45,OW12&lt;&gt;""),AND(PY12&gt;=QC$41,PZ12&gt;=QC$45,PY12&lt;&gt;"")),"Excellence",IF(K12="P","Worlds Team",IF(H12="P","National Team","")))))</f>
        <v/>
      </c>
      <c r="K12" s="3" t="str">
        <f>IF(OR(AND(AS12&gt;=AW$40,AT12&gt;=AW$44,AS12&lt;&gt;"",AO12=""),AND(BV12&gt;=BZ$40,BW12&gt;=BZ$44,BV12&lt;&gt;"",BR12=""),AND(CY12&gt;=DC$40,CZ12&gt;=DC$44,CY12&lt;&gt;"",CU12=""),AND(EC12&gt;=EG$40,ED12&gt;=EG$44,EC12&lt;&gt;""),AND(FE12&gt;=FI$40,FF12&gt;=FI$44,FE12&lt;&gt;""),AND(GG12&gt;=GK$40,GH12&gt;=GK$44,GG12&lt;&gt;""),AND(HI12&gt;=HM$40,HJ12&gt;=HM$44,HI12&lt;&gt;""),AND(IK12&gt;=IO$40,IL12&gt;=IO$44,IK12&lt;&gt;""),AND(JM12&gt;=JQ$40,JN12&gt;=JQ$44,JM12&lt;&gt;""),AND(KO12&gt;=KS$40,KP12&gt;=KS$44,KO12&lt;&gt;""),AND(LQ12&gt;=LU$40,LR12&gt;=LU$44,LQ12&lt;&gt;""),AND(MS12&gt;=MW$40,MT12&gt;=MW$44,MS12&lt;&gt;""),AND(NU12&gt;=NY$40,NV12&gt;=NY$44,NU12&lt;&gt;""),AND(OW12&gt;=PA$40,OX12&gt;=PA$44,OW12&lt;&gt;""),AND(PY12&gt;=QC$40,PZ12&gt;=QC$44,PY12&lt;&gt;"")),"P","")</f>
        <v/>
      </c>
      <c r="L12" s="8">
        <f>IF(COUNT(AQ12,BT12,CW12)&gt;0,LARGE((AQ12,BT12,CW12),1),0)</f>
        <v>46.6</v>
      </c>
      <c r="M12" s="8" t="str">
        <f t="shared" si="1"/>
        <v>2025 Nationals</v>
      </c>
      <c r="N12" s="8">
        <f>IF(COUNT(AQ12,BT12,CW12)&gt;1,LARGE((AQ12,BT12,CW12),2),0)</f>
        <v>46.199999999999996</v>
      </c>
      <c r="O12" s="8" t="str">
        <f t="shared" si="2"/>
        <v>2025 Elite Canada</v>
      </c>
      <c r="P12" s="8">
        <f t="shared" si="3"/>
        <v>46.7</v>
      </c>
      <c r="Q12" s="8" t="str">
        <f t="shared" si="4"/>
        <v>2025 Nationals</v>
      </c>
      <c r="R12" s="8" t="str">
        <f t="shared" si="5"/>
        <v/>
      </c>
      <c r="S12" s="11" t="str">
        <f t="shared" si="6"/>
        <v/>
      </c>
      <c r="T12" s="8" t="str">
        <f t="shared" si="7"/>
        <v/>
      </c>
      <c r="U12" s="19">
        <v>16.2</v>
      </c>
      <c r="V12" s="19">
        <v>5.2</v>
      </c>
      <c r="W12" s="19">
        <v>0.2</v>
      </c>
      <c r="X12" s="19">
        <v>0.3</v>
      </c>
      <c r="Y12" s="19">
        <v>17.2</v>
      </c>
      <c r="Z12" s="19">
        <v>2.4</v>
      </c>
      <c r="AA12" s="19">
        <v>0</v>
      </c>
      <c r="AB12" s="19">
        <v>0</v>
      </c>
      <c r="AC12" s="19">
        <v>16.600000000000001</v>
      </c>
      <c r="AD12" s="19">
        <v>3</v>
      </c>
      <c r="AE12" s="19">
        <v>0.2</v>
      </c>
      <c r="AF12" s="19">
        <v>0</v>
      </c>
      <c r="AG12" s="19">
        <v>17.2</v>
      </c>
      <c r="AH12" s="19">
        <v>2.8</v>
      </c>
      <c r="AI12" s="19">
        <v>0</v>
      </c>
      <c r="AJ12" s="19">
        <v>0.3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 t="shared" si="8"/>
        <v>7.6</v>
      </c>
      <c r="AQ12" s="40">
        <f t="shared" si="9"/>
        <v>41.099999999999994</v>
      </c>
      <c r="AR12" s="40">
        <f t="shared" si="10"/>
        <v>19.400000000000002</v>
      </c>
      <c r="AS12" s="40">
        <f t="shared" si="11"/>
        <v>10.6</v>
      </c>
      <c r="AT12" s="40">
        <f t="shared" si="12"/>
        <v>60.5</v>
      </c>
      <c r="AU12" s="40">
        <f t="shared" si="13"/>
        <v>5.1999999999999993</v>
      </c>
      <c r="AV12" s="40">
        <f t="shared" si="14"/>
        <v>39.9</v>
      </c>
      <c r="AW12" s="40">
        <f t="shared" si="15"/>
        <v>100.4</v>
      </c>
      <c r="AX12" s="18">
        <v>18.3</v>
      </c>
      <c r="AY12" s="18">
        <v>4.8</v>
      </c>
      <c r="AZ12" s="18">
        <v>0</v>
      </c>
      <c r="BA12" s="18">
        <v>0.3</v>
      </c>
      <c r="BB12" s="18">
        <v>18.600000000000001</v>
      </c>
      <c r="BC12" s="18">
        <v>4.8</v>
      </c>
      <c r="BD12" s="18">
        <v>0.6</v>
      </c>
      <c r="BE12" s="18">
        <v>0</v>
      </c>
      <c r="BF12" s="18"/>
      <c r="BG12" s="18"/>
      <c r="BH12" s="18"/>
      <c r="BI12" s="18"/>
      <c r="BJ12" s="18">
        <v>18.100000000000001</v>
      </c>
      <c r="BK12" s="18">
        <v>4.8</v>
      </c>
      <c r="BL12" s="18">
        <v>0</v>
      </c>
      <c r="BM12" s="18">
        <v>0.3</v>
      </c>
      <c r="BN12" s="18">
        <v>18.100000000000001</v>
      </c>
      <c r="BO12" s="18">
        <v>4.8</v>
      </c>
      <c r="BP12" s="18">
        <v>0</v>
      </c>
      <c r="BQ12" s="18">
        <v>0</v>
      </c>
      <c r="BR12" s="28"/>
      <c r="BS12" s="11">
        <f t="shared" si="16"/>
        <v>9.6</v>
      </c>
      <c r="BT12" s="11">
        <f t="shared" si="17"/>
        <v>46.199999999999996</v>
      </c>
      <c r="BU12" s="11" t="str">
        <f t="shared" si="18"/>
        <v/>
      </c>
      <c r="BV12" s="11">
        <f t="shared" si="19"/>
        <v>9.6</v>
      </c>
      <c r="BW12" s="11">
        <f t="shared" si="20"/>
        <v>46.199999999999996</v>
      </c>
      <c r="BX12" s="11">
        <f t="shared" si="21"/>
        <v>9.6</v>
      </c>
      <c r="BY12" s="11">
        <f t="shared" si="22"/>
        <v>46.1</v>
      </c>
      <c r="BZ12" s="11">
        <f t="shared" si="23"/>
        <v>92.3</v>
      </c>
      <c r="CA12" s="19">
        <v>18.3</v>
      </c>
      <c r="CB12" s="19">
        <v>5.2</v>
      </c>
      <c r="CC12" s="19">
        <v>0.6</v>
      </c>
      <c r="CD12" s="19">
        <v>0</v>
      </c>
      <c r="CE12" s="19">
        <v>18.5</v>
      </c>
      <c r="CF12" s="19">
        <v>5.2</v>
      </c>
      <c r="CG12" s="19">
        <v>0</v>
      </c>
      <c r="CH12" s="19">
        <v>0</v>
      </c>
      <c r="CI12" s="19"/>
      <c r="CJ12" s="19"/>
      <c r="CK12" s="19"/>
      <c r="CL12" s="19"/>
      <c r="CM12" s="19">
        <v>18.5</v>
      </c>
      <c r="CN12" s="19">
        <v>5.2</v>
      </c>
      <c r="CO12" s="19">
        <v>0.2</v>
      </c>
      <c r="CP12" s="19">
        <v>0</v>
      </c>
      <c r="CQ12" s="19">
        <v>18.2</v>
      </c>
      <c r="CR12" s="19">
        <v>5.2</v>
      </c>
      <c r="CS12" s="19">
        <v>0.2</v>
      </c>
      <c r="CT12" s="19">
        <v>0</v>
      </c>
      <c r="CU12" s="27"/>
      <c r="CV12" s="40">
        <f t="shared" si="24"/>
        <v>10.4</v>
      </c>
      <c r="CW12" s="40">
        <f t="shared" si="25"/>
        <v>46.6</v>
      </c>
      <c r="CX12" s="40" t="str">
        <f t="shared" si="26"/>
        <v/>
      </c>
      <c r="CY12" s="40">
        <f t="shared" si="27"/>
        <v>10.4</v>
      </c>
      <c r="CZ12" s="40">
        <f t="shared" si="28"/>
        <v>46.6</v>
      </c>
      <c r="DA12" s="40">
        <f t="shared" si="29"/>
        <v>10.4</v>
      </c>
      <c r="DB12" s="40">
        <f t="shared" si="30"/>
        <v>46.7</v>
      </c>
      <c r="DC12" s="40">
        <f t="shared" si="31"/>
        <v>93.300000000000011</v>
      </c>
      <c r="DD12" s="50" t="str">
        <f t="shared" si="32"/>
        <v/>
      </c>
      <c r="DE12" s="50" t="str">
        <f t="shared" si="33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4"/>
        <v/>
      </c>
      <c r="EA12" s="40" t="str">
        <f t="shared" si="35"/>
        <v/>
      </c>
      <c r="EB12" s="40" t="str">
        <f t="shared" si="36"/>
        <v/>
      </c>
      <c r="EC12" s="40" t="str">
        <f t="shared" si="37"/>
        <v/>
      </c>
      <c r="ED12" s="40" t="str">
        <f t="shared" si="38"/>
        <v/>
      </c>
      <c r="EE12" s="40" t="str">
        <f t="shared" si="39"/>
        <v/>
      </c>
      <c r="EF12" s="40" t="str">
        <f t="shared" si="40"/>
        <v/>
      </c>
      <c r="EG12" s="40" t="str">
        <f t="shared" si="41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2"/>
        <v/>
      </c>
      <c r="FC12" s="11" t="str">
        <f t="shared" si="43"/>
        <v/>
      </c>
      <c r="FD12" s="11" t="str">
        <f t="shared" si="44"/>
        <v/>
      </c>
      <c r="FE12" s="11" t="str">
        <f t="shared" si="45"/>
        <v/>
      </c>
      <c r="FF12" s="11" t="str">
        <f t="shared" si="46"/>
        <v/>
      </c>
      <c r="FG12" s="11" t="str">
        <f t="shared" si="47"/>
        <v/>
      </c>
      <c r="FH12" s="11" t="str">
        <f t="shared" si="48"/>
        <v/>
      </c>
      <c r="FI12" s="11" t="str">
        <f t="shared" si="49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0"/>
        <v/>
      </c>
      <c r="GE12" s="40" t="str">
        <f t="shared" si="51"/>
        <v/>
      </c>
      <c r="GF12" s="40" t="str">
        <f t="shared" si="52"/>
        <v/>
      </c>
      <c r="GG12" s="40" t="str">
        <f t="shared" si="53"/>
        <v/>
      </c>
      <c r="GH12" s="40" t="str">
        <f t="shared" si="54"/>
        <v/>
      </c>
      <c r="GI12" s="40" t="str">
        <f t="shared" si="55"/>
        <v/>
      </c>
      <c r="GJ12" s="40" t="str">
        <f t="shared" si="56"/>
        <v/>
      </c>
      <c r="GK12" s="40" t="str">
        <f t="shared" si="57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58"/>
        <v/>
      </c>
      <c r="HG12" s="11" t="str">
        <f t="shared" si="59"/>
        <v/>
      </c>
      <c r="HH12" s="11" t="str">
        <f t="shared" si="60"/>
        <v/>
      </c>
      <c r="HI12" s="11" t="str">
        <f t="shared" si="61"/>
        <v/>
      </c>
      <c r="HJ12" s="11" t="str">
        <f t="shared" si="62"/>
        <v/>
      </c>
      <c r="HK12" s="11" t="str">
        <f t="shared" si="63"/>
        <v/>
      </c>
      <c r="HL12" s="11" t="str">
        <f t="shared" si="64"/>
        <v/>
      </c>
      <c r="HM12" s="11" t="str">
        <f t="shared" si="65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6"/>
        <v/>
      </c>
      <c r="II12" s="40" t="str">
        <f t="shared" si="67"/>
        <v/>
      </c>
      <c r="IJ12" s="40" t="str">
        <f t="shared" si="68"/>
        <v/>
      </c>
      <c r="IK12" s="40" t="str">
        <f t="shared" si="69"/>
        <v/>
      </c>
      <c r="IL12" s="40" t="str">
        <f t="shared" si="70"/>
        <v/>
      </c>
      <c r="IM12" s="40" t="str">
        <f t="shared" si="71"/>
        <v/>
      </c>
      <c r="IN12" s="40" t="str">
        <f t="shared" si="72"/>
        <v/>
      </c>
      <c r="IO12" s="40" t="str">
        <f t="shared" si="73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4"/>
        <v/>
      </c>
      <c r="JK12" s="11" t="str">
        <f t="shared" si="75"/>
        <v/>
      </c>
      <c r="JL12" s="11" t="str">
        <f t="shared" si="76"/>
        <v/>
      </c>
      <c r="JM12" s="11" t="str">
        <f t="shared" si="77"/>
        <v/>
      </c>
      <c r="JN12" s="11" t="str">
        <f t="shared" si="78"/>
        <v/>
      </c>
      <c r="JO12" s="11" t="str">
        <f t="shared" si="79"/>
        <v/>
      </c>
      <c r="JP12" s="11" t="str">
        <f t="shared" si="80"/>
        <v/>
      </c>
      <c r="JQ12" s="11" t="str">
        <f t="shared" si="81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2"/>
        <v/>
      </c>
      <c r="KM12" s="40" t="str">
        <f t="shared" si="83"/>
        <v/>
      </c>
      <c r="KN12" s="40" t="str">
        <f t="shared" si="84"/>
        <v/>
      </c>
      <c r="KO12" s="40" t="str">
        <f t="shared" si="85"/>
        <v/>
      </c>
      <c r="KP12" s="40" t="str">
        <f t="shared" si="86"/>
        <v/>
      </c>
      <c r="KQ12" s="40" t="str">
        <f t="shared" si="87"/>
        <v/>
      </c>
      <c r="KR12" s="40" t="str">
        <f t="shared" si="88"/>
        <v/>
      </c>
      <c r="KS12" s="40" t="str">
        <f t="shared" si="89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0"/>
        <v/>
      </c>
      <c r="LO12" s="11" t="str">
        <f t="shared" si="91"/>
        <v/>
      </c>
      <c r="LP12" s="11" t="str">
        <f t="shared" si="92"/>
        <v/>
      </c>
      <c r="LQ12" s="11" t="str">
        <f t="shared" si="93"/>
        <v/>
      </c>
      <c r="LR12" s="11" t="str">
        <f t="shared" si="94"/>
        <v/>
      </c>
      <c r="LS12" s="11" t="str">
        <f t="shared" si="95"/>
        <v/>
      </c>
      <c r="LT12" s="11" t="str">
        <f t="shared" si="96"/>
        <v/>
      </c>
      <c r="LU12" s="11" t="str">
        <f t="shared" si="97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98"/>
        <v/>
      </c>
      <c r="MQ12" s="40" t="str">
        <f t="shared" si="99"/>
        <v/>
      </c>
      <c r="MR12" s="40" t="str">
        <f t="shared" si="100"/>
        <v/>
      </c>
      <c r="MS12" s="40" t="str">
        <f t="shared" si="101"/>
        <v/>
      </c>
      <c r="MT12" s="40" t="str">
        <f t="shared" si="102"/>
        <v/>
      </c>
      <c r="MU12" s="40" t="str">
        <f t="shared" si="103"/>
        <v/>
      </c>
      <c r="MV12" s="40" t="str">
        <f t="shared" si="104"/>
        <v/>
      </c>
      <c r="MW12" s="40" t="str">
        <f t="shared" si="105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6"/>
        <v/>
      </c>
      <c r="NS12" s="11" t="str">
        <f t="shared" si="107"/>
        <v/>
      </c>
      <c r="NT12" s="11" t="str">
        <f t="shared" si="108"/>
        <v/>
      </c>
      <c r="NU12" s="11" t="str">
        <f t="shared" si="109"/>
        <v/>
      </c>
      <c r="NV12" s="11" t="str">
        <f t="shared" si="110"/>
        <v/>
      </c>
      <c r="NW12" s="11" t="str">
        <f t="shared" si="111"/>
        <v/>
      </c>
      <c r="NX12" s="11" t="str">
        <f t="shared" si="112"/>
        <v/>
      </c>
      <c r="NY12" s="11" t="str">
        <f t="shared" si="113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4"/>
        <v/>
      </c>
      <c r="OU12" s="40" t="str">
        <f t="shared" si="115"/>
        <v/>
      </c>
      <c r="OV12" s="40" t="str">
        <f t="shared" si="116"/>
        <v/>
      </c>
      <c r="OW12" s="40" t="str">
        <f t="shared" si="117"/>
        <v/>
      </c>
      <c r="OX12" s="40" t="str">
        <f t="shared" si="118"/>
        <v/>
      </c>
      <c r="OY12" s="40" t="str">
        <f t="shared" si="119"/>
        <v/>
      </c>
      <c r="OZ12" s="40" t="str">
        <f t="shared" si="120"/>
        <v/>
      </c>
      <c r="PA12" s="40" t="str">
        <f t="shared" si="121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2"/>
        <v/>
      </c>
      <c r="PW12" s="11" t="str">
        <f t="shared" si="123"/>
        <v/>
      </c>
      <c r="PX12" s="11" t="str">
        <f t="shared" si="124"/>
        <v/>
      </c>
      <c r="PY12" s="11" t="str">
        <f t="shared" si="125"/>
        <v/>
      </c>
      <c r="PZ12" s="11" t="str">
        <f t="shared" si="126"/>
        <v/>
      </c>
      <c r="QA12" s="11" t="str">
        <f t="shared" si="127"/>
        <v/>
      </c>
      <c r="QB12" s="11" t="str">
        <f t="shared" si="128"/>
        <v/>
      </c>
      <c r="QC12" s="11" t="str">
        <f t="shared" si="129"/>
        <v/>
      </c>
      <c r="QD12" s="22">
        <f t="shared" si="130"/>
        <v>18.3</v>
      </c>
      <c r="QE12" s="22">
        <f t="shared" si="131"/>
        <v>5</v>
      </c>
      <c r="QF12" s="22">
        <f t="shared" si="132"/>
        <v>0.3</v>
      </c>
      <c r="QG12" s="22">
        <f t="shared" si="133"/>
        <v>0.15</v>
      </c>
      <c r="QH12" s="22">
        <f t="shared" si="134"/>
        <v>18.55</v>
      </c>
      <c r="QI12" s="22">
        <f t="shared" si="135"/>
        <v>5</v>
      </c>
      <c r="QJ12" s="22">
        <f t="shared" si="136"/>
        <v>0.3</v>
      </c>
      <c r="QK12" s="22">
        <f t="shared" si="137"/>
        <v>0</v>
      </c>
      <c r="QL12" s="22">
        <f t="shared" si="138"/>
        <v>0</v>
      </c>
      <c r="QM12" s="22">
        <f t="shared" si="139"/>
        <v>0</v>
      </c>
      <c r="QN12" s="22">
        <f t="shared" si="140"/>
        <v>0</v>
      </c>
      <c r="QO12" s="22">
        <f t="shared" si="141"/>
        <v>0</v>
      </c>
      <c r="QP12" s="22">
        <f t="shared" si="142"/>
        <v>18.3</v>
      </c>
      <c r="QQ12" s="22">
        <f t="shared" si="143"/>
        <v>5</v>
      </c>
      <c r="QR12" s="22">
        <f t="shared" si="144"/>
        <v>0.1</v>
      </c>
      <c r="QS12" s="22">
        <f t="shared" si="145"/>
        <v>0.15</v>
      </c>
      <c r="QT12" s="22">
        <f t="shared" si="146"/>
        <v>18.149999999999999</v>
      </c>
      <c r="QU12" s="22">
        <f t="shared" si="147"/>
        <v>5</v>
      </c>
      <c r="QV12" s="22">
        <f t="shared" si="148"/>
        <v>0.1</v>
      </c>
      <c r="QW12" s="22">
        <f t="shared" si="149"/>
        <v>0</v>
      </c>
      <c r="QX12" s="27" t="s">
        <v>46</v>
      </c>
      <c r="QY12" s="40">
        <f t="shared" si="150"/>
        <v>10</v>
      </c>
      <c r="QZ12" s="40">
        <f t="shared" si="151"/>
        <v>46.400000000000006</v>
      </c>
      <c r="RA12" s="40" t="str">
        <f t="shared" si="152"/>
        <v/>
      </c>
      <c r="RB12" s="40">
        <f t="shared" si="153"/>
        <v>10</v>
      </c>
      <c r="RC12" s="40">
        <f t="shared" si="154"/>
        <v>46.400000000000006</v>
      </c>
      <c r="RD12" s="40">
        <f t="shared" si="155"/>
        <v>10</v>
      </c>
      <c r="RE12" s="40">
        <f t="shared" si="156"/>
        <v>46.399999999999991</v>
      </c>
      <c r="RF12" s="40">
        <f t="shared" si="157"/>
        <v>92.8</v>
      </c>
    </row>
    <row r="13" spans="1:474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158</v>
      </c>
      <c r="D13" s="4" t="s">
        <v>31</v>
      </c>
      <c r="E13" s="4">
        <v>2005</v>
      </c>
      <c r="F13" s="9">
        <f t="shared" si="0"/>
        <v>135.80000888000458</v>
      </c>
      <c r="G13" s="64"/>
      <c r="H13" s="3" t="str">
        <f>IF(OR(AND(AP13&gt;=AW$39,AQ13&gt;=AW$43,AP13&lt;&gt;"",AO13=""),AND(AU13&gt;=AW$39,AV13&gt;=AW$43,AU13&lt;&gt;"",AO13=""),AND(BS13&gt;=BZ$39,BT13&gt;=BZ$43,BS13&lt;&gt;"",BR13=""),AND(BX13&gt;=BZ$39,BY13&gt;=BZ$43,BX13&lt;&gt;"",BR13=""),AND(CV13&gt;=DC$39,CW13&gt;=DC$43,CV13&lt;&gt;"",CU13=""),AND(DA13&gt;=DC$39,DB13&gt;=DC$43,DA13&lt;&gt;""),AND(DZ13&gt;=EG$39,EA13&gt;=EG$43,DZ13&lt;&gt;""),AND(EE13&gt;=EG$39,EF13&gt;=EG$43,EE13&lt;&gt;""),AND(FB13&gt;=FI$39,FC13&gt;=FI$43,FB13&lt;&gt;""),AND(FG13&gt;=FI$39,FH13&gt;=FI$43,FG13&lt;&gt;""),AND(GD13&gt;=GK$39,GE13&gt;=GK$43,GD13&lt;&gt;""),AND(GI13&gt;=GK$39,GJ13&gt;=GK$43,GI13&lt;&gt;""),AND(HF13&gt;=HM$39,HG13&gt;=HM$43,HF13&lt;&gt;""),AND(HK13&gt;=HM$39,HL13&gt;=HM$43,HK13&lt;&gt;""),AND(IH13&gt;=IO$39,II13&gt;=IO$43,IH13&lt;&gt;""),AND(IM13&gt;=IO$39,IN13&gt;=IO$43,IM13&lt;&gt;""),AND(JJ13&gt;=JQ$39,JK13&gt;=JQ$43,JJ13&lt;&gt;""),AND(JO13&gt;=JQ$39,JP13&gt;=JQ$43,JO13&lt;&gt;""),AND(KL13&gt;=KS$39,KM13&gt;=KS$43,KL13&lt;&gt;""),AND(KQ13&gt;=KS$39,KR13&gt;=KS$43,KQ13&lt;&gt;""),AND(LN13&gt;=LU$39,LO13&gt;=LU$43,LN13&lt;&gt;""),AND(LS13&gt;=LU$39,LT13&gt;=LU$43,LS13&lt;&gt;""),AND(MP13&gt;=MW$39,MQ13&gt;=MW$43,MP13&lt;&gt;""),AND(MU13&gt;=MW$39,MV13&gt;=MW$43,MU13&lt;&gt;""),AND(NR13&gt;=NY$39,NS13&gt;=NY$43,NR13&lt;&gt;""),AND(NW13&gt;=NY$39,NX13&gt;=NY$43,NW13&lt;&gt;""),AND(OT13&gt;=PA$39,OU13&gt;=PA$43,OT13&lt;&gt;""),AND(OY13&gt;=PA$39,OZ13&gt;=PA$43,OY13&lt;&gt;""),AND(PV13&gt;=QC$39,PW13&gt;=QC$43,PV13&lt;&gt;""),AND(QA13&gt;=QC$39,QB13&gt;=QC$43,QA13&lt;&gt;"")),"P","")</f>
        <v/>
      </c>
      <c r="I13" s="3" t="str">
        <f>IF(OR(AND(AQ13&gt;=AW$43,AQ13&lt;&gt;"",AO13=""),AND(AV13&gt;=AW$43,AV13&lt;&gt;"",AO13=""),AND(BT13&gt;=BZ$43,BT13&lt;&gt;"",BR13=""),AND(BY13&gt;=BZ$43,BY13&lt;&gt;"",BR13=""),AND(CW13&gt;=DC$43,CW13&lt;&gt;"",CU13=""),AND(DB13&gt;=DC$43,DB13&lt;&gt;"",CU13=""),AND(EA13&gt;=EG$43,EA13&lt;&gt;""),AND(EF13&gt;=EG$43,EF13&lt;&gt;""),AND(FC13&gt;=FI$43,FC13&lt;&gt;""),AND(FH13&gt;=FI$43,FH13&lt;&gt;""),AND(GE13&gt;=GK$43,GE13&lt;&gt;""),AND(GJ13&gt;=GK$43,GJ13&lt;&gt;""),AND(HG13&gt;=HM$43,HG13&lt;&gt;""),AND(HL13&gt;=HM$43,HL13&lt;&gt;""),AND(II13&gt;=IO$43,II13&lt;&gt;""),AND(IN13&gt;=IO$43,IN13&lt;&gt;""),AND(JK13&gt;=JQ$43,JK13&lt;&gt;""),AND(JP13&gt;=JQ$43,JP13&lt;&gt;""),AND(KM13&gt;=KS$43,KM13&lt;&gt;""),AND(KR13&gt;=KS$43,KR13&lt;&gt;""),AND(LO13&gt;=LU$43,LO13&lt;&gt;""),AND(LT13&gt;=LU$43,LT13&lt;&gt;""),AND(MQ13&gt;=MW$43,MQ13&lt;&gt;""),AND(MV13&gt;=MW$43,MV13&lt;&gt;""),AND(NS13&gt;=NY$43,NS13&lt;&gt;""),AND(NX13&gt;=NY$43,NX13&lt;&gt;""),AND(OU13&gt;=PA$43,OU13&lt;&gt;""),AND(OZ13&gt;=PA$43,OZ13&lt;&gt;""),AND(PW13&gt;=QC$43,PW13&lt;&gt;""),AND(QB13&gt;=QC$43,QB13&lt;&gt;"")),"P","")</f>
        <v/>
      </c>
      <c r="J13" s="36" t="str">
        <f>IF(AND(I13="P",H13=""),"No DD",IF(OR(AND(AS13&gt;=AW$42,AT13&gt;=AW$46,AS13&lt;&gt;"",AO13=""),AND(BV13&gt;=BZ$42,BW13&gt;=BZ$46,BV13&lt;&gt;"",BR13=""),AND(CY13&gt;=DC$42,CZ13&gt;=DC$46,CY13&lt;&gt;"",CU13=""),AND(EC13&gt;=EG$42,ED13&gt;=EG$46,EC13&lt;&gt;""),AND(FE13&gt;=FI$42,FF13&gt;=FI$46,FE13&lt;&gt;""),AND(GG13&gt;=GK$42,GH13&gt;=GK$46,GG13&lt;&gt;""),AND(HI13&gt;=HM$42,HJ13&gt;=HM$46,HI13&lt;&gt;""),AND(IK13&gt;=IO$42,IL13&gt;=IO$46,IK13&lt;&gt;""),AND(JM13&gt;=JQ$42,JN13&gt;=JQ$46,JM13&lt;&gt;""),AND(KO13&gt;=KS$42,KP13&gt;=KS$46,KO13&lt;&gt;""),AND(LQ13&gt;=LU$42,LR13&gt;=LU$46,LQ13&lt;&gt;""),AND(MS13&gt;=MW$42,MT13&gt;=MW$46,MS13&lt;&gt;""),AND(NU13&gt;=NY$42,NV13&gt;=NY$46,NU13&lt;&gt;""),AND(OW13&gt;=PA$42,OX13&gt;=PA$46,OW13&lt;&gt;""),AND(PY13&gt;=QC$42,PZ13&gt;=QC$46,PY13&lt;&gt;"")),"Merit",IF(OR(AND(AS13&gt;=AW$41,AT13&gt;=AW$45,AS13&lt;&gt;"",AO13=""),AND(BV13&gt;=BZ$41,BW13&gt;=BZ$45,BV13&lt;&gt;"",BR13=""),AND(CY13&gt;=DC$41,CZ13&gt;=DC$45,CY13&lt;&gt;"",CU13=""),AND(EC13&gt;=EG$41,ED13&gt;=EG$45,EC13&lt;&gt;""),AND(FE13&gt;=FI$41,FF13&gt;=FI$45,FE13&lt;&gt;""),AND(GG13&gt;=GK$41,GH13&gt;=GK$45,GG13&lt;&gt;""),AND(HI13&gt;=HM$41,HJ13&gt;=HM$45,HI13&lt;&gt;""),AND(IK13&gt;=IO$41,IL13&gt;=IO$45,IK13&lt;&gt;""),AND(JM13&gt;=JQ$41,JN13&gt;=JQ$45,JM13&lt;&gt;""),AND(KO13&gt;=KS$41,KP13&gt;=KS$45,KO13&lt;&gt;""),AND(LQ13&gt;=LU$41,LR13&gt;=LU$45,LQ13&lt;&gt;""),AND(MS13&gt;=MW$41,MT13&gt;=MW$45,MS13&lt;&gt;""),AND(NU13&gt;=NY$41,NV13&gt;=NY$45,NU13&lt;&gt;""),AND(OW13&gt;=PA$41,OX13&gt;=PA$45,OW13&lt;&gt;""),AND(PY13&gt;=QC$41,PZ13&gt;=QC$45,PY13&lt;&gt;"")),"Excellence",IF(K13="P","Worlds Team",IF(H13="P","National Team","")))))</f>
        <v/>
      </c>
      <c r="K13" s="3" t="str">
        <f>IF(OR(AND(AS13&gt;=AW$40,AT13&gt;=AW$44,AS13&lt;&gt;"",AO13=""),AND(BV13&gt;=BZ$40,BW13&gt;=BZ$44,BV13&lt;&gt;"",BR13=""),AND(CY13&gt;=DC$40,CZ13&gt;=DC$44,CY13&lt;&gt;"",CU13=""),AND(EC13&gt;=EG$40,ED13&gt;=EG$44,EC13&lt;&gt;""),AND(FE13&gt;=FI$40,FF13&gt;=FI$44,FE13&lt;&gt;""),AND(GG13&gt;=GK$40,GH13&gt;=GK$44,GG13&lt;&gt;""),AND(HI13&gt;=HM$40,HJ13&gt;=HM$44,HI13&lt;&gt;""),AND(IK13&gt;=IO$40,IL13&gt;=IO$44,IK13&lt;&gt;""),AND(JM13&gt;=JQ$40,JN13&gt;=JQ$44,JM13&lt;&gt;""),AND(KO13&gt;=KS$40,KP13&gt;=KS$44,KO13&lt;&gt;""),AND(LQ13&gt;=LU$40,LR13&gt;=LU$44,LQ13&lt;&gt;""),AND(MS13&gt;=MW$40,MT13&gt;=MW$44,MS13&lt;&gt;""),AND(NU13&gt;=NY$40,NV13&gt;=NY$44,NU13&lt;&gt;""),AND(OW13&gt;=PA$40,OX13&gt;=PA$44,OW13&lt;&gt;""),AND(PY13&gt;=QC$40,PZ13&gt;=QC$44,PY13&lt;&gt;"")),"P","")</f>
        <v/>
      </c>
      <c r="L13" s="8">
        <f>IF(COUNT(AQ13,BT13,CW13)&gt;0,LARGE((AQ13,BT13,CW13),1),0)</f>
        <v>45.8</v>
      </c>
      <c r="M13" s="8" t="str">
        <f t="shared" si="1"/>
        <v>2025 Nationals</v>
      </c>
      <c r="N13" s="8">
        <f>IF(COUNT(AQ13,BT13,CW13)&gt;1,LARGE((AQ13,BT13,CW13),2),0)</f>
        <v>42.999999999999993</v>
      </c>
      <c r="O13" s="8" t="str">
        <f t="shared" si="2"/>
        <v>2024 3rd Domestic Trial</v>
      </c>
      <c r="P13" s="8">
        <f t="shared" si="3"/>
        <v>45.800000000000011</v>
      </c>
      <c r="Q13" s="8" t="str">
        <f t="shared" si="4"/>
        <v>2024 3rd Domestic Trial</v>
      </c>
      <c r="R13" s="8">
        <f t="shared" si="5"/>
        <v>1.2000000000000028</v>
      </c>
      <c r="S13" s="11" t="str">
        <f t="shared" si="6"/>
        <v>(Q1)</v>
      </c>
      <c r="T13" s="8" t="str">
        <f t="shared" si="7"/>
        <v>2024 Coimbra Gym Fest (July 7)</v>
      </c>
      <c r="U13" s="19">
        <v>18.100000000000001</v>
      </c>
      <c r="V13" s="19">
        <v>4.8</v>
      </c>
      <c r="W13" s="19">
        <v>0.2</v>
      </c>
      <c r="X13" s="19">
        <v>0</v>
      </c>
      <c r="Y13" s="19">
        <v>17.2</v>
      </c>
      <c r="Z13" s="19">
        <v>2.8</v>
      </c>
      <c r="AA13" s="19">
        <v>0</v>
      </c>
      <c r="AB13" s="19">
        <v>0.3</v>
      </c>
      <c r="AC13" s="19">
        <v>19</v>
      </c>
      <c r="AD13" s="19">
        <v>4.3</v>
      </c>
      <c r="AE13" s="19">
        <v>0.6</v>
      </c>
      <c r="AF13" s="19">
        <v>0</v>
      </c>
      <c r="AG13" s="19">
        <v>18.2</v>
      </c>
      <c r="AH13" s="19">
        <v>4.8</v>
      </c>
      <c r="AI13" s="19">
        <v>0.6</v>
      </c>
      <c r="AJ13" s="19">
        <v>0.3</v>
      </c>
      <c r="AK13" s="19">
        <v>18.100000000000001</v>
      </c>
      <c r="AL13" s="19">
        <v>5.2</v>
      </c>
      <c r="AM13" s="19">
        <v>0.2</v>
      </c>
      <c r="AN13" s="19">
        <v>0</v>
      </c>
      <c r="AO13" s="27"/>
      <c r="AP13" s="40">
        <f t="shared" si="8"/>
        <v>7.6</v>
      </c>
      <c r="AQ13" s="40">
        <f t="shared" si="9"/>
        <v>42.999999999999993</v>
      </c>
      <c r="AR13" s="40">
        <f t="shared" si="10"/>
        <v>22.7</v>
      </c>
      <c r="AS13" s="40">
        <f t="shared" si="11"/>
        <v>11.899999999999999</v>
      </c>
      <c r="AT13" s="40">
        <f t="shared" si="12"/>
        <v>65.699999999999989</v>
      </c>
      <c r="AU13" s="40">
        <f t="shared" si="13"/>
        <v>10</v>
      </c>
      <c r="AV13" s="40">
        <f t="shared" si="14"/>
        <v>45.800000000000011</v>
      </c>
      <c r="AW13" s="40">
        <f t="shared" si="15"/>
        <v>111.5</v>
      </c>
      <c r="AX13" s="18">
        <v>15.2</v>
      </c>
      <c r="AY13" s="18">
        <v>2.8</v>
      </c>
      <c r="AZ13" s="18">
        <v>0</v>
      </c>
      <c r="BA13" s="18">
        <v>0.3</v>
      </c>
      <c r="BB13" s="18">
        <v>17.899999999999999</v>
      </c>
      <c r="BC13" s="18">
        <v>5.6</v>
      </c>
      <c r="BD13" s="18">
        <v>0.2</v>
      </c>
      <c r="BE13" s="18">
        <v>0</v>
      </c>
      <c r="BF13" s="18"/>
      <c r="BG13" s="18"/>
      <c r="BH13" s="18"/>
      <c r="BI13" s="18"/>
      <c r="BJ13" s="18">
        <v>18.100000000000001</v>
      </c>
      <c r="BK13" s="18">
        <v>5.2</v>
      </c>
      <c r="BL13" s="18">
        <v>0.8</v>
      </c>
      <c r="BM13" s="18">
        <v>0.3</v>
      </c>
      <c r="BN13" s="18">
        <v>17.8</v>
      </c>
      <c r="BO13" s="18">
        <v>5.6</v>
      </c>
      <c r="BP13" s="18">
        <v>0.6</v>
      </c>
      <c r="BQ13" s="18">
        <v>0</v>
      </c>
      <c r="BR13" s="28"/>
      <c r="BS13" s="11">
        <f t="shared" si="16"/>
        <v>8.3999999999999986</v>
      </c>
      <c r="BT13" s="11">
        <f t="shared" si="17"/>
        <v>41.6</v>
      </c>
      <c r="BU13" s="11" t="str">
        <f t="shared" si="18"/>
        <v/>
      </c>
      <c r="BV13" s="11">
        <f t="shared" si="19"/>
        <v>8.3999999999999986</v>
      </c>
      <c r="BW13" s="11">
        <f t="shared" si="20"/>
        <v>41.6</v>
      </c>
      <c r="BX13" s="11">
        <f t="shared" si="21"/>
        <v>10.8</v>
      </c>
      <c r="BY13" s="11">
        <f t="shared" si="22"/>
        <v>45.600000000000009</v>
      </c>
      <c r="BZ13" s="11">
        <f t="shared" si="23"/>
        <v>87.200000000000017</v>
      </c>
      <c r="CA13" s="19">
        <v>18</v>
      </c>
      <c r="CB13" s="19">
        <v>4.8</v>
      </c>
      <c r="CC13" s="19">
        <v>0.6</v>
      </c>
      <c r="CD13" s="19">
        <v>0.3</v>
      </c>
      <c r="CE13" s="19">
        <v>17.899999999999999</v>
      </c>
      <c r="CF13" s="19">
        <v>5.6</v>
      </c>
      <c r="CG13" s="19">
        <v>0.2</v>
      </c>
      <c r="CH13" s="19">
        <v>0</v>
      </c>
      <c r="CI13" s="19"/>
      <c r="CJ13" s="19"/>
      <c r="CK13" s="19"/>
      <c r="CL13" s="19"/>
      <c r="CM13" s="19">
        <v>16.100000000000001</v>
      </c>
      <c r="CN13" s="19">
        <v>5.2</v>
      </c>
      <c r="CO13" s="19">
        <v>1</v>
      </c>
      <c r="CP13" s="19">
        <v>0</v>
      </c>
      <c r="CQ13" s="19">
        <v>17.8</v>
      </c>
      <c r="CR13" s="19">
        <v>4.8</v>
      </c>
      <c r="CS13" s="19">
        <v>0.6</v>
      </c>
      <c r="CT13" s="19">
        <v>0.3</v>
      </c>
      <c r="CU13" s="27"/>
      <c r="CV13" s="40">
        <f t="shared" si="24"/>
        <v>10.399999999999999</v>
      </c>
      <c r="CW13" s="40">
        <f t="shared" si="25"/>
        <v>45.8</v>
      </c>
      <c r="CX13" s="40" t="str">
        <f t="shared" si="26"/>
        <v/>
      </c>
      <c r="CY13" s="40">
        <f t="shared" si="27"/>
        <v>10.399999999999999</v>
      </c>
      <c r="CZ13" s="40">
        <f t="shared" si="28"/>
        <v>45.8</v>
      </c>
      <c r="DA13" s="40">
        <f t="shared" si="29"/>
        <v>10</v>
      </c>
      <c r="DB13" s="40">
        <f t="shared" si="30"/>
        <v>42.599999999999994</v>
      </c>
      <c r="DC13" s="40">
        <f t="shared" si="31"/>
        <v>88.399999999999991</v>
      </c>
      <c r="DD13" s="50">
        <f t="shared" si="32"/>
        <v>1.2000000000000028</v>
      </c>
      <c r="DE13" s="50" t="str">
        <f t="shared" si="33"/>
        <v/>
      </c>
      <c r="DF13" s="17">
        <v>18.3</v>
      </c>
      <c r="DG13" s="17">
        <v>3.9</v>
      </c>
      <c r="DH13" s="17">
        <v>0.2</v>
      </c>
      <c r="DI13" s="17">
        <v>0</v>
      </c>
      <c r="DJ13" s="17">
        <v>18.600000000000001</v>
      </c>
      <c r="DK13" s="17">
        <v>3.6</v>
      </c>
      <c r="DL13" s="17">
        <v>0</v>
      </c>
      <c r="DM13" s="17">
        <v>0</v>
      </c>
      <c r="DN13" s="17"/>
      <c r="DO13" s="17"/>
      <c r="DP13" s="17"/>
      <c r="DQ13" s="17"/>
      <c r="DR13" s="17">
        <v>18.3</v>
      </c>
      <c r="DS13" s="17">
        <v>4</v>
      </c>
      <c r="DT13" s="17">
        <v>0</v>
      </c>
      <c r="DU13" s="17">
        <v>0</v>
      </c>
      <c r="DV13" s="17"/>
      <c r="DW13" s="17"/>
      <c r="DX13" s="17"/>
      <c r="DY13" s="17"/>
      <c r="DZ13" s="40">
        <f t="shared" si="34"/>
        <v>7.5</v>
      </c>
      <c r="EA13" s="40">
        <f t="shared" si="35"/>
        <v>44.199999999999996</v>
      </c>
      <c r="EB13" s="40" t="str">
        <f t="shared" si="36"/>
        <v/>
      </c>
      <c r="EC13" s="40">
        <f t="shared" si="37"/>
        <v>7.5</v>
      </c>
      <c r="ED13" s="40">
        <f t="shared" si="38"/>
        <v>44.199999999999996</v>
      </c>
      <c r="EE13" s="40">
        <f t="shared" si="39"/>
        <v>4</v>
      </c>
      <c r="EF13" s="40">
        <f t="shared" si="40"/>
        <v>22.3</v>
      </c>
      <c r="EG13" s="40">
        <f t="shared" si="41"/>
        <v>66.5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2"/>
        <v/>
      </c>
      <c r="FC13" s="11" t="str">
        <f t="shared" si="43"/>
        <v/>
      </c>
      <c r="FD13" s="11" t="str">
        <f t="shared" si="44"/>
        <v/>
      </c>
      <c r="FE13" s="11" t="str">
        <f t="shared" si="45"/>
        <v/>
      </c>
      <c r="FF13" s="11" t="str">
        <f t="shared" si="46"/>
        <v/>
      </c>
      <c r="FG13" s="11" t="str">
        <f t="shared" si="47"/>
        <v/>
      </c>
      <c r="FH13" s="11" t="str">
        <f t="shared" si="48"/>
        <v/>
      </c>
      <c r="FI13" s="11" t="str">
        <f t="shared" si="49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0"/>
        <v/>
      </c>
      <c r="GE13" s="40" t="str">
        <f t="shared" si="51"/>
        <v/>
      </c>
      <c r="GF13" s="40" t="str">
        <f t="shared" si="52"/>
        <v/>
      </c>
      <c r="GG13" s="40" t="str">
        <f t="shared" si="53"/>
        <v/>
      </c>
      <c r="GH13" s="40" t="str">
        <f t="shared" si="54"/>
        <v/>
      </c>
      <c r="GI13" s="40" t="str">
        <f t="shared" si="55"/>
        <v/>
      </c>
      <c r="GJ13" s="40" t="str">
        <f t="shared" si="56"/>
        <v/>
      </c>
      <c r="GK13" s="40" t="str">
        <f t="shared" si="57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58"/>
        <v/>
      </c>
      <c r="HG13" s="11" t="str">
        <f t="shared" si="59"/>
        <v/>
      </c>
      <c r="HH13" s="11" t="str">
        <f t="shared" si="60"/>
        <v/>
      </c>
      <c r="HI13" s="11" t="str">
        <f t="shared" si="61"/>
        <v/>
      </c>
      <c r="HJ13" s="11" t="str">
        <f t="shared" si="62"/>
        <v/>
      </c>
      <c r="HK13" s="11" t="str">
        <f t="shared" si="63"/>
        <v/>
      </c>
      <c r="HL13" s="11" t="str">
        <f t="shared" si="64"/>
        <v/>
      </c>
      <c r="HM13" s="11" t="str">
        <f t="shared" si="65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6"/>
        <v/>
      </c>
      <c r="II13" s="40" t="str">
        <f t="shared" si="67"/>
        <v/>
      </c>
      <c r="IJ13" s="40" t="str">
        <f t="shared" si="68"/>
        <v/>
      </c>
      <c r="IK13" s="40" t="str">
        <f t="shared" si="69"/>
        <v/>
      </c>
      <c r="IL13" s="40" t="str">
        <f t="shared" si="70"/>
        <v/>
      </c>
      <c r="IM13" s="40" t="str">
        <f t="shared" si="71"/>
        <v/>
      </c>
      <c r="IN13" s="40" t="str">
        <f t="shared" si="72"/>
        <v/>
      </c>
      <c r="IO13" s="40" t="str">
        <f t="shared" si="73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4"/>
        <v/>
      </c>
      <c r="JK13" s="11" t="str">
        <f t="shared" si="75"/>
        <v/>
      </c>
      <c r="JL13" s="11" t="str">
        <f t="shared" si="76"/>
        <v/>
      </c>
      <c r="JM13" s="11" t="str">
        <f t="shared" si="77"/>
        <v/>
      </c>
      <c r="JN13" s="11" t="str">
        <f t="shared" si="78"/>
        <v/>
      </c>
      <c r="JO13" s="11" t="str">
        <f t="shared" si="79"/>
        <v/>
      </c>
      <c r="JP13" s="11" t="str">
        <f t="shared" si="80"/>
        <v/>
      </c>
      <c r="JQ13" s="11" t="str">
        <f t="shared" si="81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2"/>
        <v/>
      </c>
      <c r="KM13" s="40" t="str">
        <f t="shared" si="83"/>
        <v/>
      </c>
      <c r="KN13" s="40" t="str">
        <f t="shared" si="84"/>
        <v/>
      </c>
      <c r="KO13" s="40" t="str">
        <f t="shared" si="85"/>
        <v/>
      </c>
      <c r="KP13" s="40" t="str">
        <f t="shared" si="86"/>
        <v/>
      </c>
      <c r="KQ13" s="40" t="str">
        <f t="shared" si="87"/>
        <v/>
      </c>
      <c r="KR13" s="40" t="str">
        <f t="shared" si="88"/>
        <v/>
      </c>
      <c r="KS13" s="40" t="str">
        <f t="shared" si="89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0"/>
        <v/>
      </c>
      <c r="LO13" s="11" t="str">
        <f t="shared" si="91"/>
        <v/>
      </c>
      <c r="LP13" s="11" t="str">
        <f t="shared" si="92"/>
        <v/>
      </c>
      <c r="LQ13" s="11" t="str">
        <f t="shared" si="93"/>
        <v/>
      </c>
      <c r="LR13" s="11" t="str">
        <f t="shared" si="94"/>
        <v/>
      </c>
      <c r="LS13" s="11" t="str">
        <f t="shared" si="95"/>
        <v/>
      </c>
      <c r="LT13" s="11" t="str">
        <f t="shared" si="96"/>
        <v/>
      </c>
      <c r="LU13" s="11" t="str">
        <f t="shared" si="97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98"/>
        <v/>
      </c>
      <c r="MQ13" s="40" t="str">
        <f t="shared" si="99"/>
        <v/>
      </c>
      <c r="MR13" s="40" t="str">
        <f t="shared" si="100"/>
        <v/>
      </c>
      <c r="MS13" s="40" t="str">
        <f t="shared" si="101"/>
        <v/>
      </c>
      <c r="MT13" s="40" t="str">
        <f t="shared" si="102"/>
        <v/>
      </c>
      <c r="MU13" s="40" t="str">
        <f t="shared" si="103"/>
        <v/>
      </c>
      <c r="MV13" s="40" t="str">
        <f t="shared" si="104"/>
        <v/>
      </c>
      <c r="MW13" s="40" t="str">
        <f t="shared" si="105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6"/>
        <v/>
      </c>
      <c r="NS13" s="11" t="str">
        <f t="shared" si="107"/>
        <v/>
      </c>
      <c r="NT13" s="11" t="str">
        <f t="shared" si="108"/>
        <v/>
      </c>
      <c r="NU13" s="11" t="str">
        <f t="shared" si="109"/>
        <v/>
      </c>
      <c r="NV13" s="11" t="str">
        <f t="shared" si="110"/>
        <v/>
      </c>
      <c r="NW13" s="11" t="str">
        <f t="shared" si="111"/>
        <v/>
      </c>
      <c r="NX13" s="11" t="str">
        <f t="shared" si="112"/>
        <v/>
      </c>
      <c r="NY13" s="11" t="str">
        <f t="shared" si="113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4"/>
        <v/>
      </c>
      <c r="OU13" s="40" t="str">
        <f t="shared" si="115"/>
        <v/>
      </c>
      <c r="OV13" s="40" t="str">
        <f t="shared" si="116"/>
        <v/>
      </c>
      <c r="OW13" s="40" t="str">
        <f t="shared" si="117"/>
        <v/>
      </c>
      <c r="OX13" s="40" t="str">
        <f t="shared" si="118"/>
        <v/>
      </c>
      <c r="OY13" s="40" t="str">
        <f t="shared" si="119"/>
        <v/>
      </c>
      <c r="OZ13" s="40" t="str">
        <f t="shared" si="120"/>
        <v/>
      </c>
      <c r="PA13" s="40" t="str">
        <f t="shared" si="121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2"/>
        <v/>
      </c>
      <c r="PW13" s="11" t="str">
        <f t="shared" si="123"/>
        <v/>
      </c>
      <c r="PX13" s="11" t="str">
        <f t="shared" si="124"/>
        <v/>
      </c>
      <c r="PY13" s="11" t="str">
        <f t="shared" si="125"/>
        <v/>
      </c>
      <c r="PZ13" s="11" t="str">
        <f t="shared" si="126"/>
        <v/>
      </c>
      <c r="QA13" s="11" t="str">
        <f t="shared" si="127"/>
        <v/>
      </c>
      <c r="QB13" s="11" t="str">
        <f t="shared" si="128"/>
        <v/>
      </c>
      <c r="QC13" s="11" t="str">
        <f t="shared" si="129"/>
        <v/>
      </c>
      <c r="QD13" s="22">
        <f t="shared" si="130"/>
        <v>16.600000000000001</v>
      </c>
      <c r="QE13" s="22">
        <f t="shared" si="131"/>
        <v>3.8</v>
      </c>
      <c r="QF13" s="22">
        <f t="shared" si="132"/>
        <v>0.3</v>
      </c>
      <c r="QG13" s="22">
        <f t="shared" si="133"/>
        <v>0.3</v>
      </c>
      <c r="QH13" s="22">
        <f t="shared" si="134"/>
        <v>17.899999999999999</v>
      </c>
      <c r="QI13" s="22">
        <f t="shared" si="135"/>
        <v>5.6</v>
      </c>
      <c r="QJ13" s="22">
        <f t="shared" si="136"/>
        <v>0.2</v>
      </c>
      <c r="QK13" s="22">
        <f t="shared" si="137"/>
        <v>0</v>
      </c>
      <c r="QL13" s="22">
        <f t="shared" si="138"/>
        <v>0</v>
      </c>
      <c r="QM13" s="22">
        <f t="shared" si="139"/>
        <v>0</v>
      </c>
      <c r="QN13" s="22">
        <f t="shared" si="140"/>
        <v>0</v>
      </c>
      <c r="QO13" s="22">
        <f t="shared" si="141"/>
        <v>0</v>
      </c>
      <c r="QP13" s="22">
        <f t="shared" si="142"/>
        <v>17.100000000000001</v>
      </c>
      <c r="QQ13" s="22">
        <f t="shared" si="143"/>
        <v>5.2</v>
      </c>
      <c r="QR13" s="22">
        <f t="shared" si="144"/>
        <v>0.9</v>
      </c>
      <c r="QS13" s="22">
        <f t="shared" si="145"/>
        <v>0.15</v>
      </c>
      <c r="QT13" s="22">
        <f t="shared" si="146"/>
        <v>17.8</v>
      </c>
      <c r="QU13" s="22">
        <f t="shared" si="147"/>
        <v>5.1999999999999993</v>
      </c>
      <c r="QV13" s="22">
        <f t="shared" si="148"/>
        <v>0.6</v>
      </c>
      <c r="QW13" s="22">
        <f t="shared" si="149"/>
        <v>0.15</v>
      </c>
      <c r="QX13" s="27" t="s">
        <v>46</v>
      </c>
      <c r="QY13" s="40">
        <f t="shared" si="150"/>
        <v>9.3999999999999986</v>
      </c>
      <c r="QZ13" s="40">
        <f t="shared" si="151"/>
        <v>43.7</v>
      </c>
      <c r="RA13" s="40" t="str">
        <f t="shared" si="152"/>
        <v/>
      </c>
      <c r="RB13" s="40">
        <f t="shared" si="153"/>
        <v>9.3999999999999986</v>
      </c>
      <c r="RC13" s="40">
        <f t="shared" si="154"/>
        <v>43.7</v>
      </c>
      <c r="RD13" s="40">
        <f t="shared" si="155"/>
        <v>10.399999999999999</v>
      </c>
      <c r="RE13" s="40">
        <f t="shared" si="156"/>
        <v>44.1</v>
      </c>
      <c r="RF13" s="40">
        <f t="shared" si="157"/>
        <v>87.800000000000011</v>
      </c>
    </row>
    <row r="14" spans="1:474" x14ac:dyDescent="0.2">
      <c r="A14" s="4" t="str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/>
      </c>
      <c r="B14" s="4" t="str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/>
      </c>
      <c r="C14" s="5" t="s">
        <v>192</v>
      </c>
      <c r="D14" s="4" t="s">
        <v>31</v>
      </c>
      <c r="E14" s="4">
        <v>2007</v>
      </c>
      <c r="F14" s="9">
        <f t="shared" si="0"/>
        <v>134.90000895000452</v>
      </c>
      <c r="G14" s="64"/>
      <c r="H14" s="3" t="str">
        <f>IF(OR(AND(AP14&gt;=AW$39,AQ14&gt;=AW$43,AP14&lt;&gt;"",AO14=""),AND(AU14&gt;=AW$39,AV14&gt;=AW$43,AU14&lt;&gt;"",AO14=""),AND(BS14&gt;=BZ$39,BT14&gt;=BZ$43,BS14&lt;&gt;"",BR14=""),AND(BX14&gt;=BZ$39,BY14&gt;=BZ$43,BX14&lt;&gt;"",BR14=""),AND(CV14&gt;=DC$39,CW14&gt;=DC$43,CV14&lt;&gt;"",CU14=""),AND(DA14&gt;=DC$39,DB14&gt;=DC$43,DA14&lt;&gt;""),AND(DZ14&gt;=EG$39,EA14&gt;=EG$43,DZ14&lt;&gt;""),AND(EE14&gt;=EG$39,EF14&gt;=EG$43,EE14&lt;&gt;""),AND(FB14&gt;=FI$39,FC14&gt;=FI$43,FB14&lt;&gt;""),AND(FG14&gt;=FI$39,FH14&gt;=FI$43,FG14&lt;&gt;""),AND(GD14&gt;=GK$39,GE14&gt;=GK$43,GD14&lt;&gt;""),AND(GI14&gt;=GK$39,GJ14&gt;=GK$43,GI14&lt;&gt;""),AND(HF14&gt;=HM$39,HG14&gt;=HM$43,HF14&lt;&gt;""),AND(HK14&gt;=HM$39,HL14&gt;=HM$43,HK14&lt;&gt;""),AND(IH14&gt;=IO$39,II14&gt;=IO$43,IH14&lt;&gt;""),AND(IM14&gt;=IO$39,IN14&gt;=IO$43,IM14&lt;&gt;""),AND(JJ14&gt;=JQ$39,JK14&gt;=JQ$43,JJ14&lt;&gt;""),AND(JO14&gt;=JQ$39,JP14&gt;=JQ$43,JO14&lt;&gt;""),AND(KL14&gt;=KS$39,KM14&gt;=KS$43,KL14&lt;&gt;""),AND(KQ14&gt;=KS$39,KR14&gt;=KS$43,KQ14&lt;&gt;""),AND(LN14&gt;=LU$39,LO14&gt;=LU$43,LN14&lt;&gt;""),AND(LS14&gt;=LU$39,LT14&gt;=LU$43,LS14&lt;&gt;""),AND(MP14&gt;=MW$39,MQ14&gt;=MW$43,MP14&lt;&gt;""),AND(MU14&gt;=MW$39,MV14&gt;=MW$43,MU14&lt;&gt;""),AND(NR14&gt;=NY$39,NS14&gt;=NY$43,NR14&lt;&gt;""),AND(NW14&gt;=NY$39,NX14&gt;=NY$43,NW14&lt;&gt;""),AND(OT14&gt;=PA$39,OU14&gt;=PA$43,OT14&lt;&gt;""),AND(OY14&gt;=PA$39,OZ14&gt;=PA$43,OY14&lt;&gt;""),AND(PV14&gt;=QC$39,PW14&gt;=QC$43,PV14&lt;&gt;""),AND(QA14&gt;=QC$39,QB14&gt;=QC$43,QA14&lt;&gt;"")),"P","")</f>
        <v/>
      </c>
      <c r="I14" s="3" t="str">
        <f>IF(OR(AND(AQ14&gt;=AW$43,AQ14&lt;&gt;"",AO14=""),AND(AV14&gt;=AW$43,AV14&lt;&gt;"",AO14=""),AND(BT14&gt;=BZ$43,BT14&lt;&gt;"",BR14=""),AND(BY14&gt;=BZ$43,BY14&lt;&gt;"",BR14=""),AND(CW14&gt;=DC$43,CW14&lt;&gt;"",CU14=""),AND(DB14&gt;=DC$43,DB14&lt;&gt;"",CU14=""),AND(EA14&gt;=EG$43,EA14&lt;&gt;""),AND(EF14&gt;=EG$43,EF14&lt;&gt;""),AND(FC14&gt;=FI$43,FC14&lt;&gt;""),AND(FH14&gt;=FI$43,FH14&lt;&gt;""),AND(GE14&gt;=GK$43,GE14&lt;&gt;""),AND(GJ14&gt;=GK$43,GJ14&lt;&gt;""),AND(HG14&gt;=HM$43,HG14&lt;&gt;""),AND(HL14&gt;=HM$43,HL14&lt;&gt;""),AND(II14&gt;=IO$43,II14&lt;&gt;""),AND(IN14&gt;=IO$43,IN14&lt;&gt;""),AND(JK14&gt;=JQ$43,JK14&lt;&gt;""),AND(JP14&gt;=JQ$43,JP14&lt;&gt;""),AND(KM14&gt;=KS$43,KM14&lt;&gt;""),AND(KR14&gt;=KS$43,KR14&lt;&gt;""),AND(LO14&gt;=LU$43,LO14&lt;&gt;""),AND(LT14&gt;=LU$43,LT14&lt;&gt;""),AND(MQ14&gt;=MW$43,MQ14&lt;&gt;""),AND(MV14&gt;=MW$43,MV14&lt;&gt;""),AND(NS14&gt;=NY$43,NS14&lt;&gt;""),AND(NX14&gt;=NY$43,NX14&lt;&gt;""),AND(OU14&gt;=PA$43,OU14&lt;&gt;""),AND(OZ14&gt;=PA$43,OZ14&lt;&gt;""),AND(PW14&gt;=QC$43,PW14&lt;&gt;""),AND(QB14&gt;=QC$43,QB14&lt;&gt;"")),"P","")</f>
        <v/>
      </c>
      <c r="J14" s="36" t="str">
        <f>IF(AND(I14="P",H14=""),"No DD",IF(OR(AND(AS14&gt;=AW$42,AT14&gt;=AW$46,AS14&lt;&gt;"",AO14=""),AND(BV14&gt;=BZ$42,BW14&gt;=BZ$46,BV14&lt;&gt;"",BR14=""),AND(CY14&gt;=DC$42,CZ14&gt;=DC$46,CY14&lt;&gt;"",CU14=""),AND(EC14&gt;=EG$42,ED14&gt;=EG$46,EC14&lt;&gt;""),AND(FE14&gt;=FI$42,FF14&gt;=FI$46,FE14&lt;&gt;""),AND(GG14&gt;=GK$42,GH14&gt;=GK$46,GG14&lt;&gt;""),AND(HI14&gt;=HM$42,HJ14&gt;=HM$46,HI14&lt;&gt;""),AND(IK14&gt;=IO$42,IL14&gt;=IO$46,IK14&lt;&gt;""),AND(JM14&gt;=JQ$42,JN14&gt;=JQ$46,JM14&lt;&gt;""),AND(KO14&gt;=KS$42,KP14&gt;=KS$46,KO14&lt;&gt;""),AND(LQ14&gt;=LU$42,LR14&gt;=LU$46,LQ14&lt;&gt;""),AND(MS14&gt;=MW$42,MT14&gt;=MW$46,MS14&lt;&gt;""),AND(NU14&gt;=NY$42,NV14&gt;=NY$46,NU14&lt;&gt;""),AND(OW14&gt;=PA$42,OX14&gt;=PA$46,OW14&lt;&gt;""),AND(PY14&gt;=QC$42,PZ14&gt;=QC$46,PY14&lt;&gt;"")),"Merit",IF(OR(AND(AS14&gt;=AW$41,AT14&gt;=AW$45,AS14&lt;&gt;"",AO14=""),AND(BV14&gt;=BZ$41,BW14&gt;=BZ$45,BV14&lt;&gt;"",BR14=""),AND(CY14&gt;=DC$41,CZ14&gt;=DC$45,CY14&lt;&gt;"",CU14=""),AND(EC14&gt;=EG$41,ED14&gt;=EG$45,EC14&lt;&gt;""),AND(FE14&gt;=FI$41,FF14&gt;=FI$45,FE14&lt;&gt;""),AND(GG14&gt;=GK$41,GH14&gt;=GK$45,GG14&lt;&gt;""),AND(HI14&gt;=HM$41,HJ14&gt;=HM$45,HI14&lt;&gt;""),AND(IK14&gt;=IO$41,IL14&gt;=IO$45,IK14&lt;&gt;""),AND(JM14&gt;=JQ$41,JN14&gt;=JQ$45,JM14&lt;&gt;""),AND(KO14&gt;=KS$41,KP14&gt;=KS$45,KO14&lt;&gt;""),AND(LQ14&gt;=LU$41,LR14&gt;=LU$45,LQ14&lt;&gt;""),AND(MS14&gt;=MW$41,MT14&gt;=MW$45,MS14&lt;&gt;""),AND(NU14&gt;=NY$41,NV14&gt;=NY$45,NU14&lt;&gt;""),AND(OW14&gt;=PA$41,OX14&gt;=PA$45,OW14&lt;&gt;""),AND(PY14&gt;=QC$41,PZ14&gt;=QC$45,PY14&lt;&gt;"")),"Excellence",IF(K14="P","Worlds Team",IF(H14="P","National Team","")))))</f>
        <v/>
      </c>
      <c r="K14" s="3" t="str">
        <f>IF(OR(AND(AS14&gt;=AW$40,AT14&gt;=AW$44,AS14&lt;&gt;"",AO14=""),AND(BV14&gt;=BZ$40,BW14&gt;=BZ$44,BV14&lt;&gt;"",BR14=""),AND(CY14&gt;=DC$40,CZ14&gt;=DC$44,CY14&lt;&gt;"",CU14=""),AND(EC14&gt;=EG$40,ED14&gt;=EG$44,EC14&lt;&gt;""),AND(FE14&gt;=FI$40,FF14&gt;=FI$44,FE14&lt;&gt;""),AND(GG14&gt;=GK$40,GH14&gt;=GK$44,GG14&lt;&gt;""),AND(HI14&gt;=HM$40,HJ14&gt;=HM$44,HI14&lt;&gt;""),AND(IK14&gt;=IO$40,IL14&gt;=IO$44,IK14&lt;&gt;""),AND(JM14&gt;=JQ$40,JN14&gt;=JQ$44,JM14&lt;&gt;""),AND(KO14&gt;=KS$40,KP14&gt;=KS$44,KO14&lt;&gt;""),AND(LQ14&gt;=LU$40,LR14&gt;=LU$44,LQ14&lt;&gt;""),AND(MS14&gt;=MW$40,MT14&gt;=MW$44,MS14&lt;&gt;""),AND(NU14&gt;=NY$40,NV14&gt;=NY$44,NU14&lt;&gt;""),AND(OW14&gt;=PA$40,OX14&gt;=PA$44,OW14&lt;&gt;""),AND(PY14&gt;=QC$40,PZ14&gt;=QC$44,PY14&lt;&gt;"")),"P","")</f>
        <v/>
      </c>
      <c r="L14" s="8">
        <f>IF(COUNT(AQ14,BT14,CW14)&gt;0,LARGE((AQ14,BT14,CW14),1),0)</f>
        <v>45.099999999999994</v>
      </c>
      <c r="M14" s="8" t="str">
        <f t="shared" si="1"/>
        <v>2025 Elite Canada</v>
      </c>
      <c r="N14" s="8">
        <f>IF(COUNT(AQ14,BT14,CW14)&gt;1,LARGE((AQ14,BT14,CW14),2),0)</f>
        <v>44.4</v>
      </c>
      <c r="O14" s="8" t="str">
        <f t="shared" si="2"/>
        <v>2025 Nationals</v>
      </c>
      <c r="P14" s="8">
        <f t="shared" si="3"/>
        <v>45.4</v>
      </c>
      <c r="Q14" s="8" t="str">
        <f t="shared" si="4"/>
        <v>2025 Elite Canada</v>
      </c>
      <c r="R14" s="8" t="str">
        <f t="shared" si="5"/>
        <v/>
      </c>
      <c r="S14" s="11" t="str">
        <f t="shared" si="6"/>
        <v/>
      </c>
      <c r="T14" s="8" t="str">
        <f t="shared" si="7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8"/>
        <v/>
      </c>
      <c r="AQ14" s="40" t="str">
        <f t="shared" si="9"/>
        <v/>
      </c>
      <c r="AR14" s="40" t="str">
        <f t="shared" si="10"/>
        <v/>
      </c>
      <c r="AS14" s="40" t="str">
        <f t="shared" si="11"/>
        <v/>
      </c>
      <c r="AT14" s="40" t="str">
        <f t="shared" si="12"/>
        <v/>
      </c>
      <c r="AU14" s="40" t="str">
        <f t="shared" si="13"/>
        <v/>
      </c>
      <c r="AV14" s="40" t="str">
        <f t="shared" si="14"/>
        <v/>
      </c>
      <c r="AW14" s="40" t="str">
        <f t="shared" si="15"/>
        <v/>
      </c>
      <c r="AX14" s="18">
        <v>18.3</v>
      </c>
      <c r="AY14" s="18">
        <v>4.8</v>
      </c>
      <c r="AZ14" s="18">
        <v>1</v>
      </c>
      <c r="BA14" s="18">
        <v>0.3</v>
      </c>
      <c r="BB14" s="18">
        <v>18.100000000000001</v>
      </c>
      <c r="BC14" s="18">
        <v>4.8</v>
      </c>
      <c r="BD14" s="18">
        <v>0.2</v>
      </c>
      <c r="BE14" s="18">
        <v>0</v>
      </c>
      <c r="BF14" s="18"/>
      <c r="BG14" s="18"/>
      <c r="BH14" s="18"/>
      <c r="BI14" s="18"/>
      <c r="BJ14" s="18">
        <v>18.3</v>
      </c>
      <c r="BK14" s="18">
        <v>5.2</v>
      </c>
      <c r="BL14" s="18">
        <v>0.8</v>
      </c>
      <c r="BM14" s="18">
        <v>0.3</v>
      </c>
      <c r="BN14" s="18">
        <v>18.2</v>
      </c>
      <c r="BO14" s="18">
        <v>4.4000000000000004</v>
      </c>
      <c r="BP14" s="18">
        <v>0.2</v>
      </c>
      <c r="BQ14" s="18">
        <v>0</v>
      </c>
      <c r="BR14" s="28"/>
      <c r="BS14" s="11">
        <f t="shared" si="16"/>
        <v>9.6</v>
      </c>
      <c r="BT14" s="11">
        <f t="shared" si="17"/>
        <v>45.099999999999994</v>
      </c>
      <c r="BU14" s="11" t="str">
        <f t="shared" si="18"/>
        <v/>
      </c>
      <c r="BV14" s="11">
        <f t="shared" si="19"/>
        <v>9.6</v>
      </c>
      <c r="BW14" s="11">
        <f t="shared" si="20"/>
        <v>45.099999999999994</v>
      </c>
      <c r="BX14" s="11">
        <f t="shared" si="21"/>
        <v>9.6000000000000014</v>
      </c>
      <c r="BY14" s="11">
        <f t="shared" si="22"/>
        <v>45.4</v>
      </c>
      <c r="BZ14" s="11">
        <f t="shared" si="23"/>
        <v>90.5</v>
      </c>
      <c r="CA14" s="19">
        <v>18</v>
      </c>
      <c r="CB14" s="19">
        <v>5.6</v>
      </c>
      <c r="CC14" s="19">
        <v>0.2</v>
      </c>
      <c r="CD14" s="19">
        <v>0</v>
      </c>
      <c r="CE14" s="19">
        <v>16.2</v>
      </c>
      <c r="CF14" s="19">
        <v>5.6</v>
      </c>
      <c r="CG14" s="19">
        <v>0.8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4"/>
        <v>11.2</v>
      </c>
      <c r="CW14" s="40">
        <f t="shared" si="25"/>
        <v>44.4</v>
      </c>
      <c r="CX14" s="40" t="str">
        <f t="shared" si="26"/>
        <v/>
      </c>
      <c r="CY14" s="40">
        <f t="shared" si="27"/>
        <v>11.2</v>
      </c>
      <c r="CZ14" s="40">
        <f t="shared" si="28"/>
        <v>44.4</v>
      </c>
      <c r="DA14" s="40" t="str">
        <f t="shared" si="29"/>
        <v/>
      </c>
      <c r="DB14" s="40" t="str">
        <f t="shared" si="30"/>
        <v/>
      </c>
      <c r="DC14" s="40">
        <f t="shared" si="31"/>
        <v>44.4</v>
      </c>
      <c r="DD14" s="50" t="str">
        <f t="shared" si="32"/>
        <v/>
      </c>
      <c r="DE14" s="50" t="str">
        <f t="shared" si="33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4"/>
        <v/>
      </c>
      <c r="EA14" s="40" t="str">
        <f t="shared" si="35"/>
        <v/>
      </c>
      <c r="EB14" s="40" t="str">
        <f t="shared" si="36"/>
        <v/>
      </c>
      <c r="EC14" s="40" t="str">
        <f t="shared" si="37"/>
        <v/>
      </c>
      <c r="ED14" s="40" t="str">
        <f t="shared" si="38"/>
        <v/>
      </c>
      <c r="EE14" s="40" t="str">
        <f t="shared" si="39"/>
        <v/>
      </c>
      <c r="EF14" s="40" t="str">
        <f t="shared" si="40"/>
        <v/>
      </c>
      <c r="EG14" s="40" t="str">
        <f t="shared" si="41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2"/>
        <v/>
      </c>
      <c r="FC14" s="11" t="str">
        <f t="shared" si="43"/>
        <v/>
      </c>
      <c r="FD14" s="11" t="str">
        <f t="shared" si="44"/>
        <v/>
      </c>
      <c r="FE14" s="11" t="str">
        <f t="shared" si="45"/>
        <v/>
      </c>
      <c r="FF14" s="11" t="str">
        <f t="shared" si="46"/>
        <v/>
      </c>
      <c r="FG14" s="11" t="str">
        <f t="shared" si="47"/>
        <v/>
      </c>
      <c r="FH14" s="11" t="str">
        <f t="shared" si="48"/>
        <v/>
      </c>
      <c r="FI14" s="11" t="str">
        <f t="shared" si="49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0"/>
        <v/>
      </c>
      <c r="GE14" s="40" t="str">
        <f t="shared" si="51"/>
        <v/>
      </c>
      <c r="GF14" s="40" t="str">
        <f t="shared" si="52"/>
        <v/>
      </c>
      <c r="GG14" s="40" t="str">
        <f t="shared" si="53"/>
        <v/>
      </c>
      <c r="GH14" s="40" t="str">
        <f t="shared" si="54"/>
        <v/>
      </c>
      <c r="GI14" s="40" t="str">
        <f t="shared" si="55"/>
        <v/>
      </c>
      <c r="GJ14" s="40" t="str">
        <f t="shared" si="56"/>
        <v/>
      </c>
      <c r="GK14" s="40" t="str">
        <f t="shared" si="57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58"/>
        <v/>
      </c>
      <c r="HG14" s="11" t="str">
        <f t="shared" si="59"/>
        <v/>
      </c>
      <c r="HH14" s="11" t="str">
        <f t="shared" si="60"/>
        <v/>
      </c>
      <c r="HI14" s="11" t="str">
        <f t="shared" si="61"/>
        <v/>
      </c>
      <c r="HJ14" s="11" t="str">
        <f t="shared" si="62"/>
        <v/>
      </c>
      <c r="HK14" s="11" t="str">
        <f t="shared" si="63"/>
        <v/>
      </c>
      <c r="HL14" s="11" t="str">
        <f t="shared" si="64"/>
        <v/>
      </c>
      <c r="HM14" s="11" t="str">
        <f t="shared" si="65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6"/>
        <v/>
      </c>
      <c r="II14" s="40" t="str">
        <f t="shared" si="67"/>
        <v/>
      </c>
      <c r="IJ14" s="40" t="str">
        <f t="shared" si="68"/>
        <v/>
      </c>
      <c r="IK14" s="40" t="str">
        <f t="shared" si="69"/>
        <v/>
      </c>
      <c r="IL14" s="40" t="str">
        <f t="shared" si="70"/>
        <v/>
      </c>
      <c r="IM14" s="40" t="str">
        <f t="shared" si="71"/>
        <v/>
      </c>
      <c r="IN14" s="40" t="str">
        <f t="shared" si="72"/>
        <v/>
      </c>
      <c r="IO14" s="40" t="str">
        <f t="shared" si="73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4"/>
        <v/>
      </c>
      <c r="JK14" s="11" t="str">
        <f t="shared" si="75"/>
        <v/>
      </c>
      <c r="JL14" s="11" t="str">
        <f t="shared" si="76"/>
        <v/>
      </c>
      <c r="JM14" s="11" t="str">
        <f t="shared" si="77"/>
        <v/>
      </c>
      <c r="JN14" s="11" t="str">
        <f t="shared" si="78"/>
        <v/>
      </c>
      <c r="JO14" s="11" t="str">
        <f t="shared" si="79"/>
        <v/>
      </c>
      <c r="JP14" s="11" t="str">
        <f t="shared" si="80"/>
        <v/>
      </c>
      <c r="JQ14" s="11" t="str">
        <f t="shared" si="81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2"/>
        <v/>
      </c>
      <c r="KM14" s="40" t="str">
        <f t="shared" si="83"/>
        <v/>
      </c>
      <c r="KN14" s="40" t="str">
        <f t="shared" si="84"/>
        <v/>
      </c>
      <c r="KO14" s="40" t="str">
        <f t="shared" si="85"/>
        <v/>
      </c>
      <c r="KP14" s="40" t="str">
        <f t="shared" si="86"/>
        <v/>
      </c>
      <c r="KQ14" s="40" t="str">
        <f t="shared" si="87"/>
        <v/>
      </c>
      <c r="KR14" s="40" t="str">
        <f t="shared" si="88"/>
        <v/>
      </c>
      <c r="KS14" s="40" t="str">
        <f t="shared" si="89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0"/>
        <v/>
      </c>
      <c r="LO14" s="11" t="str">
        <f t="shared" si="91"/>
        <v/>
      </c>
      <c r="LP14" s="11" t="str">
        <f t="shared" si="92"/>
        <v/>
      </c>
      <c r="LQ14" s="11" t="str">
        <f t="shared" si="93"/>
        <v/>
      </c>
      <c r="LR14" s="11" t="str">
        <f t="shared" si="94"/>
        <v/>
      </c>
      <c r="LS14" s="11" t="str">
        <f t="shared" si="95"/>
        <v/>
      </c>
      <c r="LT14" s="11" t="str">
        <f t="shared" si="96"/>
        <v/>
      </c>
      <c r="LU14" s="11" t="str">
        <f t="shared" si="97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98"/>
        <v/>
      </c>
      <c r="MQ14" s="40" t="str">
        <f t="shared" si="99"/>
        <v/>
      </c>
      <c r="MR14" s="40" t="str">
        <f t="shared" si="100"/>
        <v/>
      </c>
      <c r="MS14" s="40" t="str">
        <f t="shared" si="101"/>
        <v/>
      </c>
      <c r="MT14" s="40" t="str">
        <f t="shared" si="102"/>
        <v/>
      </c>
      <c r="MU14" s="40" t="str">
        <f t="shared" si="103"/>
        <v/>
      </c>
      <c r="MV14" s="40" t="str">
        <f t="shared" si="104"/>
        <v/>
      </c>
      <c r="MW14" s="40" t="str">
        <f t="shared" si="105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6"/>
        <v/>
      </c>
      <c r="NS14" s="11" t="str">
        <f t="shared" si="107"/>
        <v/>
      </c>
      <c r="NT14" s="11" t="str">
        <f t="shared" si="108"/>
        <v/>
      </c>
      <c r="NU14" s="11" t="str">
        <f t="shared" si="109"/>
        <v/>
      </c>
      <c r="NV14" s="11" t="str">
        <f t="shared" si="110"/>
        <v/>
      </c>
      <c r="NW14" s="11" t="str">
        <f t="shared" si="111"/>
        <v/>
      </c>
      <c r="NX14" s="11" t="str">
        <f t="shared" si="112"/>
        <v/>
      </c>
      <c r="NY14" s="11" t="str">
        <f t="shared" si="113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4"/>
        <v/>
      </c>
      <c r="OU14" s="40" t="str">
        <f t="shared" si="115"/>
        <v/>
      </c>
      <c r="OV14" s="40" t="str">
        <f t="shared" si="116"/>
        <v/>
      </c>
      <c r="OW14" s="40" t="str">
        <f t="shared" si="117"/>
        <v/>
      </c>
      <c r="OX14" s="40" t="str">
        <f t="shared" si="118"/>
        <v/>
      </c>
      <c r="OY14" s="40" t="str">
        <f t="shared" si="119"/>
        <v/>
      </c>
      <c r="OZ14" s="40" t="str">
        <f t="shared" si="120"/>
        <v/>
      </c>
      <c r="PA14" s="40" t="str">
        <f t="shared" si="121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2"/>
        <v/>
      </c>
      <c r="PW14" s="11" t="str">
        <f t="shared" si="123"/>
        <v/>
      </c>
      <c r="PX14" s="11" t="str">
        <f t="shared" si="124"/>
        <v/>
      </c>
      <c r="PY14" s="11" t="str">
        <f t="shared" si="125"/>
        <v/>
      </c>
      <c r="PZ14" s="11" t="str">
        <f t="shared" si="126"/>
        <v/>
      </c>
      <c r="QA14" s="11" t="str">
        <f t="shared" si="127"/>
        <v/>
      </c>
      <c r="QB14" s="11" t="str">
        <f t="shared" si="128"/>
        <v/>
      </c>
      <c r="QC14" s="11" t="str">
        <f t="shared" si="129"/>
        <v/>
      </c>
      <c r="QD14" s="22">
        <f t="shared" si="130"/>
        <v>18.149999999999999</v>
      </c>
      <c r="QE14" s="22">
        <f t="shared" si="131"/>
        <v>5.1999999999999993</v>
      </c>
      <c r="QF14" s="22">
        <f t="shared" si="132"/>
        <v>0.6</v>
      </c>
      <c r="QG14" s="22">
        <f t="shared" si="133"/>
        <v>0.15</v>
      </c>
      <c r="QH14" s="22">
        <f t="shared" si="134"/>
        <v>17.149999999999999</v>
      </c>
      <c r="QI14" s="22">
        <f t="shared" si="135"/>
        <v>5.1999999999999993</v>
      </c>
      <c r="QJ14" s="22">
        <f t="shared" si="136"/>
        <v>0.5</v>
      </c>
      <c r="QK14" s="22">
        <f t="shared" si="137"/>
        <v>0</v>
      </c>
      <c r="QL14" s="22">
        <f t="shared" si="138"/>
        <v>0</v>
      </c>
      <c r="QM14" s="22">
        <f t="shared" si="139"/>
        <v>0</v>
      </c>
      <c r="QN14" s="22">
        <f t="shared" si="140"/>
        <v>0</v>
      </c>
      <c r="QO14" s="22">
        <f t="shared" si="141"/>
        <v>0</v>
      </c>
      <c r="QP14" s="22">
        <f t="shared" si="142"/>
        <v>9.15</v>
      </c>
      <c r="QQ14" s="22">
        <f t="shared" si="143"/>
        <v>2.6</v>
      </c>
      <c r="QR14" s="22">
        <f t="shared" si="144"/>
        <v>0.4</v>
      </c>
      <c r="QS14" s="22">
        <f t="shared" si="145"/>
        <v>0.15</v>
      </c>
      <c r="QT14" s="22">
        <f t="shared" si="146"/>
        <v>9.1</v>
      </c>
      <c r="QU14" s="22">
        <f t="shared" si="147"/>
        <v>2.2000000000000002</v>
      </c>
      <c r="QV14" s="22">
        <f t="shared" si="148"/>
        <v>0.1</v>
      </c>
      <c r="QW14" s="22">
        <f t="shared" si="149"/>
        <v>0</v>
      </c>
      <c r="QX14" s="27" t="s">
        <v>46</v>
      </c>
      <c r="QY14" s="40">
        <f t="shared" si="150"/>
        <v>10.399999999999999</v>
      </c>
      <c r="QZ14" s="40">
        <f t="shared" si="151"/>
        <v>44.749999999999993</v>
      </c>
      <c r="RA14" s="40" t="str">
        <f t="shared" si="152"/>
        <v/>
      </c>
      <c r="RB14" s="40">
        <f t="shared" si="153"/>
        <v>10.399999999999999</v>
      </c>
      <c r="RC14" s="40">
        <f t="shared" si="154"/>
        <v>44.749999999999993</v>
      </c>
      <c r="RD14" s="40">
        <f t="shared" si="155"/>
        <v>4.8000000000000007</v>
      </c>
      <c r="RE14" s="40">
        <f t="shared" si="156"/>
        <v>22.7</v>
      </c>
      <c r="RF14" s="40">
        <f t="shared" si="157"/>
        <v>67.449999999999989</v>
      </c>
    </row>
    <row r="15" spans="1:474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125</v>
      </c>
      <c r="D15" s="4" t="s">
        <v>4</v>
      </c>
      <c r="E15" s="4">
        <v>2006</v>
      </c>
      <c r="F15" s="9">
        <f t="shared" si="0"/>
        <v>134.70000887000452</v>
      </c>
      <c r="G15" s="64"/>
      <c r="H15" s="3" t="str">
        <f>IF(OR(AND(AP15&gt;=AW$39,AQ15&gt;=AW$43,AP15&lt;&gt;"",AO15=""),AND(AU15&gt;=AW$39,AV15&gt;=AW$43,AU15&lt;&gt;"",AO15=""),AND(BS15&gt;=BZ$39,BT15&gt;=BZ$43,BS15&lt;&gt;"",BR15=""),AND(BX15&gt;=BZ$39,BY15&gt;=BZ$43,BX15&lt;&gt;"",BR15=""),AND(CV15&gt;=DC$39,CW15&gt;=DC$43,CV15&lt;&gt;"",CU15=""),AND(DA15&gt;=DC$39,DB15&gt;=DC$43,DA15&lt;&gt;""),AND(DZ15&gt;=EG$39,EA15&gt;=EG$43,DZ15&lt;&gt;""),AND(EE15&gt;=EG$39,EF15&gt;=EG$43,EE15&lt;&gt;""),AND(FB15&gt;=FI$39,FC15&gt;=FI$43,FB15&lt;&gt;""),AND(FG15&gt;=FI$39,FH15&gt;=FI$43,FG15&lt;&gt;""),AND(GD15&gt;=GK$39,GE15&gt;=GK$43,GD15&lt;&gt;""),AND(GI15&gt;=GK$39,GJ15&gt;=GK$43,GI15&lt;&gt;""),AND(HF15&gt;=HM$39,HG15&gt;=HM$43,HF15&lt;&gt;""),AND(HK15&gt;=HM$39,HL15&gt;=HM$43,HK15&lt;&gt;""),AND(IH15&gt;=IO$39,II15&gt;=IO$43,IH15&lt;&gt;""),AND(IM15&gt;=IO$39,IN15&gt;=IO$43,IM15&lt;&gt;""),AND(JJ15&gt;=JQ$39,JK15&gt;=JQ$43,JJ15&lt;&gt;""),AND(JO15&gt;=JQ$39,JP15&gt;=JQ$43,JO15&lt;&gt;""),AND(KL15&gt;=KS$39,KM15&gt;=KS$43,KL15&lt;&gt;""),AND(KQ15&gt;=KS$39,KR15&gt;=KS$43,KQ15&lt;&gt;""),AND(LN15&gt;=LU$39,LO15&gt;=LU$43,LN15&lt;&gt;""),AND(LS15&gt;=LU$39,LT15&gt;=LU$43,LS15&lt;&gt;""),AND(MP15&gt;=MW$39,MQ15&gt;=MW$43,MP15&lt;&gt;""),AND(MU15&gt;=MW$39,MV15&gt;=MW$43,MU15&lt;&gt;""),AND(NR15&gt;=NY$39,NS15&gt;=NY$43,NR15&lt;&gt;""),AND(NW15&gt;=NY$39,NX15&gt;=NY$43,NW15&lt;&gt;""),AND(OT15&gt;=PA$39,OU15&gt;=PA$43,OT15&lt;&gt;""),AND(OY15&gt;=PA$39,OZ15&gt;=PA$43,OY15&lt;&gt;""),AND(PV15&gt;=QC$39,PW15&gt;=QC$43,PV15&lt;&gt;""),AND(QA15&gt;=QC$39,QB15&gt;=QC$43,QA15&lt;&gt;"")),"P","")</f>
        <v/>
      </c>
      <c r="I15" s="3" t="str">
        <f>IF(OR(AND(AQ15&gt;=AW$43,AQ15&lt;&gt;"",AO15=""),AND(AV15&gt;=AW$43,AV15&lt;&gt;"",AO15=""),AND(BT15&gt;=BZ$43,BT15&lt;&gt;"",BR15=""),AND(BY15&gt;=BZ$43,BY15&lt;&gt;"",BR15=""),AND(CW15&gt;=DC$43,CW15&lt;&gt;"",CU15=""),AND(DB15&gt;=DC$43,DB15&lt;&gt;"",CU15=""),AND(EA15&gt;=EG$43,EA15&lt;&gt;""),AND(EF15&gt;=EG$43,EF15&lt;&gt;""),AND(FC15&gt;=FI$43,FC15&lt;&gt;""),AND(FH15&gt;=FI$43,FH15&lt;&gt;""),AND(GE15&gt;=GK$43,GE15&lt;&gt;""),AND(GJ15&gt;=GK$43,GJ15&lt;&gt;""),AND(HG15&gt;=HM$43,HG15&lt;&gt;""),AND(HL15&gt;=HM$43,HL15&lt;&gt;""),AND(II15&gt;=IO$43,II15&lt;&gt;""),AND(IN15&gt;=IO$43,IN15&lt;&gt;""),AND(JK15&gt;=JQ$43,JK15&lt;&gt;""),AND(JP15&gt;=JQ$43,JP15&lt;&gt;""),AND(KM15&gt;=KS$43,KM15&lt;&gt;""),AND(KR15&gt;=KS$43,KR15&lt;&gt;""),AND(LO15&gt;=LU$43,LO15&lt;&gt;""),AND(LT15&gt;=LU$43,LT15&lt;&gt;""),AND(MQ15&gt;=MW$43,MQ15&lt;&gt;""),AND(MV15&gt;=MW$43,MV15&lt;&gt;""),AND(NS15&gt;=NY$43,NS15&lt;&gt;""),AND(NX15&gt;=NY$43,NX15&lt;&gt;""),AND(OU15&gt;=PA$43,OU15&lt;&gt;""),AND(OZ15&gt;=PA$43,OZ15&lt;&gt;""),AND(PW15&gt;=QC$43,PW15&lt;&gt;""),AND(QB15&gt;=QC$43,QB15&lt;&gt;"")),"P","")</f>
        <v/>
      </c>
      <c r="J15" s="36" t="str">
        <f>IF(AND(I15="P",H15=""),"No DD",IF(OR(AND(AS15&gt;=AW$42,AT15&gt;=AW$46,AS15&lt;&gt;"",AO15=""),AND(BV15&gt;=BZ$42,BW15&gt;=BZ$46,BV15&lt;&gt;"",BR15=""),AND(CY15&gt;=DC$42,CZ15&gt;=DC$46,CY15&lt;&gt;"",CU15=""),AND(EC15&gt;=EG$42,ED15&gt;=EG$46,EC15&lt;&gt;""),AND(FE15&gt;=FI$42,FF15&gt;=FI$46,FE15&lt;&gt;""),AND(GG15&gt;=GK$42,GH15&gt;=GK$46,GG15&lt;&gt;""),AND(HI15&gt;=HM$42,HJ15&gt;=HM$46,HI15&lt;&gt;""),AND(IK15&gt;=IO$42,IL15&gt;=IO$46,IK15&lt;&gt;""),AND(JM15&gt;=JQ$42,JN15&gt;=JQ$46,JM15&lt;&gt;""),AND(KO15&gt;=KS$42,KP15&gt;=KS$46,KO15&lt;&gt;""),AND(LQ15&gt;=LU$42,LR15&gt;=LU$46,LQ15&lt;&gt;""),AND(MS15&gt;=MW$42,MT15&gt;=MW$46,MS15&lt;&gt;""),AND(NU15&gt;=NY$42,NV15&gt;=NY$46,NU15&lt;&gt;""),AND(OW15&gt;=PA$42,OX15&gt;=PA$46,OW15&lt;&gt;""),AND(PY15&gt;=QC$42,PZ15&gt;=QC$46,PY15&lt;&gt;"")),"Merit",IF(OR(AND(AS15&gt;=AW$41,AT15&gt;=AW$45,AS15&lt;&gt;"",AO15=""),AND(BV15&gt;=BZ$41,BW15&gt;=BZ$45,BV15&lt;&gt;"",BR15=""),AND(CY15&gt;=DC$41,CZ15&gt;=DC$45,CY15&lt;&gt;"",CU15=""),AND(EC15&gt;=EG$41,ED15&gt;=EG$45,EC15&lt;&gt;""),AND(FE15&gt;=FI$41,FF15&gt;=FI$45,FE15&lt;&gt;""),AND(GG15&gt;=GK$41,GH15&gt;=GK$45,GG15&lt;&gt;""),AND(HI15&gt;=HM$41,HJ15&gt;=HM$45,HI15&lt;&gt;""),AND(IK15&gt;=IO$41,IL15&gt;=IO$45,IK15&lt;&gt;""),AND(JM15&gt;=JQ$41,JN15&gt;=JQ$45,JM15&lt;&gt;""),AND(KO15&gt;=KS$41,KP15&gt;=KS$45,KO15&lt;&gt;""),AND(LQ15&gt;=LU$41,LR15&gt;=LU$45,LQ15&lt;&gt;""),AND(MS15&gt;=MW$41,MT15&gt;=MW$45,MS15&lt;&gt;""),AND(NU15&gt;=NY$41,NV15&gt;=NY$45,NU15&lt;&gt;""),AND(OW15&gt;=PA$41,OX15&gt;=PA$45,OW15&lt;&gt;""),AND(PY15&gt;=QC$41,PZ15&gt;=QC$45,PY15&lt;&gt;"")),"Excellence",IF(K15="P","Worlds Team",IF(H15="P","National Team","")))))</f>
        <v/>
      </c>
      <c r="K15" s="3" t="str">
        <f>IF(OR(AND(AS15&gt;=AW$40,AT15&gt;=AW$44,AS15&lt;&gt;"",AO15=""),AND(BV15&gt;=BZ$40,BW15&gt;=BZ$44,BV15&lt;&gt;"",BR15=""),AND(CY15&gt;=DC$40,CZ15&gt;=DC$44,CY15&lt;&gt;"",CU15=""),AND(EC15&gt;=EG$40,ED15&gt;=EG$44,EC15&lt;&gt;""),AND(FE15&gt;=FI$40,FF15&gt;=FI$44,FE15&lt;&gt;""),AND(GG15&gt;=GK$40,GH15&gt;=GK$44,GG15&lt;&gt;""),AND(HI15&gt;=HM$40,HJ15&gt;=HM$44,HI15&lt;&gt;""),AND(IK15&gt;=IO$40,IL15&gt;=IO$44,IK15&lt;&gt;""),AND(JM15&gt;=JQ$40,JN15&gt;=JQ$44,JM15&lt;&gt;""),AND(KO15&gt;=KS$40,KP15&gt;=KS$44,KO15&lt;&gt;""),AND(LQ15&gt;=LU$40,LR15&gt;=LU$44,LQ15&lt;&gt;""),AND(MS15&gt;=MW$40,MT15&gt;=MW$44,MS15&lt;&gt;""),AND(NU15&gt;=NY$40,NV15&gt;=NY$44,NU15&lt;&gt;""),AND(OW15&gt;=PA$40,OX15&gt;=PA$44,OW15&lt;&gt;""),AND(PY15&gt;=QC$40,PZ15&gt;=QC$44,PY15&lt;&gt;"")),"P","")</f>
        <v/>
      </c>
      <c r="L15" s="8">
        <f>IF(COUNT(AQ15,BT15,CW15)&gt;0,LARGE((AQ15,BT15,CW15),1),0)</f>
        <v>45.399999999999991</v>
      </c>
      <c r="M15" s="8" t="str">
        <f t="shared" si="1"/>
        <v>2025 Nationals</v>
      </c>
      <c r="N15" s="8">
        <f>IF(COUNT(AQ15,BT15,CW15)&gt;1,LARGE((AQ15,BT15,CW15),2),0)</f>
        <v>43.3</v>
      </c>
      <c r="O15" s="8" t="str">
        <f t="shared" si="2"/>
        <v>2025 Elite Canada</v>
      </c>
      <c r="P15" s="8">
        <f t="shared" si="3"/>
        <v>46</v>
      </c>
      <c r="Q15" s="8" t="str">
        <f t="shared" si="4"/>
        <v>2025 Nationals</v>
      </c>
      <c r="R15" s="8" t="str">
        <f t="shared" si="5"/>
        <v/>
      </c>
      <c r="S15" s="11" t="str">
        <f t="shared" si="6"/>
        <v/>
      </c>
      <c r="T15" s="8" t="str">
        <f t="shared" si="7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8"/>
        <v/>
      </c>
      <c r="AQ15" s="40" t="str">
        <f t="shared" si="9"/>
        <v/>
      </c>
      <c r="AR15" s="40" t="str">
        <f t="shared" si="10"/>
        <v/>
      </c>
      <c r="AS15" s="40" t="str">
        <f t="shared" si="11"/>
        <v/>
      </c>
      <c r="AT15" s="40" t="str">
        <f t="shared" si="12"/>
        <v/>
      </c>
      <c r="AU15" s="40" t="str">
        <f t="shared" si="13"/>
        <v/>
      </c>
      <c r="AV15" s="40" t="str">
        <f t="shared" si="14"/>
        <v/>
      </c>
      <c r="AW15" s="40" t="str">
        <f t="shared" si="15"/>
        <v/>
      </c>
      <c r="AX15" s="18">
        <v>18.399999999999999</v>
      </c>
      <c r="AY15" s="18">
        <v>3.5</v>
      </c>
      <c r="AZ15" s="18">
        <v>0.2</v>
      </c>
      <c r="BA15" s="18">
        <v>0</v>
      </c>
      <c r="BB15" s="18">
        <v>18</v>
      </c>
      <c r="BC15" s="18">
        <v>4.4000000000000004</v>
      </c>
      <c r="BD15" s="18">
        <v>0.8</v>
      </c>
      <c r="BE15" s="18">
        <v>0</v>
      </c>
      <c r="BF15" s="18"/>
      <c r="BG15" s="18"/>
      <c r="BH15" s="18"/>
      <c r="BI15" s="18"/>
      <c r="BJ15" s="18">
        <v>18.3</v>
      </c>
      <c r="BK15" s="18">
        <v>3.5</v>
      </c>
      <c r="BL15" s="18">
        <v>0.2</v>
      </c>
      <c r="BM15" s="18">
        <v>0</v>
      </c>
      <c r="BN15" s="18">
        <v>17.7</v>
      </c>
      <c r="BO15" s="18">
        <v>4.4000000000000004</v>
      </c>
      <c r="BP15" s="18">
        <v>0.2</v>
      </c>
      <c r="BQ15" s="18">
        <v>0</v>
      </c>
      <c r="BR15" s="28"/>
      <c r="BS15" s="11">
        <f t="shared" si="16"/>
        <v>7.9</v>
      </c>
      <c r="BT15" s="11">
        <f t="shared" si="17"/>
        <v>43.3</v>
      </c>
      <c r="BU15" s="11" t="str">
        <f t="shared" si="18"/>
        <v/>
      </c>
      <c r="BV15" s="11">
        <f t="shared" si="19"/>
        <v>7.9</v>
      </c>
      <c r="BW15" s="11">
        <f t="shared" si="20"/>
        <v>43.3</v>
      </c>
      <c r="BX15" s="11">
        <f t="shared" si="21"/>
        <v>7.9</v>
      </c>
      <c r="BY15" s="11">
        <f t="shared" si="22"/>
        <v>43.5</v>
      </c>
      <c r="BZ15" s="11">
        <f t="shared" si="23"/>
        <v>86.8</v>
      </c>
      <c r="CA15" s="19">
        <v>18.100000000000001</v>
      </c>
      <c r="CB15" s="19">
        <v>4.8</v>
      </c>
      <c r="CC15" s="19">
        <v>0.6</v>
      </c>
      <c r="CD15" s="19">
        <v>0</v>
      </c>
      <c r="CE15" s="19">
        <v>18.399999999999999</v>
      </c>
      <c r="CF15" s="19">
        <v>4.4000000000000004</v>
      </c>
      <c r="CG15" s="19">
        <v>0</v>
      </c>
      <c r="CH15" s="19">
        <v>0.3</v>
      </c>
      <c r="CI15" s="19"/>
      <c r="CJ15" s="19"/>
      <c r="CK15" s="19"/>
      <c r="CL15" s="19"/>
      <c r="CM15" s="19">
        <v>18.2</v>
      </c>
      <c r="CN15" s="19">
        <v>5.2</v>
      </c>
      <c r="CO15" s="19">
        <v>0.2</v>
      </c>
      <c r="CP15" s="19">
        <v>0</v>
      </c>
      <c r="CQ15" s="19">
        <v>18.3</v>
      </c>
      <c r="CR15" s="19">
        <v>4.8</v>
      </c>
      <c r="CS15" s="19">
        <v>0.6</v>
      </c>
      <c r="CT15" s="19">
        <v>0.3</v>
      </c>
      <c r="CU15" s="27"/>
      <c r="CV15" s="40">
        <f t="shared" si="24"/>
        <v>9.1999999999999993</v>
      </c>
      <c r="CW15" s="40">
        <f t="shared" si="25"/>
        <v>45.399999999999991</v>
      </c>
      <c r="CX15" s="40" t="str">
        <f t="shared" si="26"/>
        <v/>
      </c>
      <c r="CY15" s="40">
        <f t="shared" si="27"/>
        <v>9.1999999999999993</v>
      </c>
      <c r="CZ15" s="40">
        <f t="shared" si="28"/>
        <v>45.399999999999991</v>
      </c>
      <c r="DA15" s="40">
        <f t="shared" si="29"/>
        <v>10</v>
      </c>
      <c r="DB15" s="40">
        <f t="shared" si="30"/>
        <v>46</v>
      </c>
      <c r="DC15" s="40">
        <f t="shared" si="31"/>
        <v>91.399999999999991</v>
      </c>
      <c r="DD15" s="50" t="str">
        <f t="shared" si="32"/>
        <v/>
      </c>
      <c r="DE15" s="50" t="str">
        <f t="shared" si="33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4"/>
        <v/>
      </c>
      <c r="EA15" s="40" t="str">
        <f t="shared" si="35"/>
        <v/>
      </c>
      <c r="EB15" s="40" t="str">
        <f t="shared" si="36"/>
        <v/>
      </c>
      <c r="EC15" s="40" t="str">
        <f t="shared" si="37"/>
        <v/>
      </c>
      <c r="ED15" s="40" t="str">
        <f t="shared" si="38"/>
        <v/>
      </c>
      <c r="EE15" s="40" t="str">
        <f t="shared" si="39"/>
        <v/>
      </c>
      <c r="EF15" s="40" t="str">
        <f t="shared" si="40"/>
        <v/>
      </c>
      <c r="EG15" s="40" t="str">
        <f t="shared" si="41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2"/>
        <v/>
      </c>
      <c r="FC15" s="11" t="str">
        <f t="shared" si="43"/>
        <v/>
      </c>
      <c r="FD15" s="11" t="str">
        <f t="shared" si="44"/>
        <v/>
      </c>
      <c r="FE15" s="11" t="str">
        <f t="shared" si="45"/>
        <v/>
      </c>
      <c r="FF15" s="11" t="str">
        <f t="shared" si="46"/>
        <v/>
      </c>
      <c r="FG15" s="11" t="str">
        <f t="shared" si="47"/>
        <v/>
      </c>
      <c r="FH15" s="11" t="str">
        <f t="shared" si="48"/>
        <v/>
      </c>
      <c r="FI15" s="11" t="str">
        <f t="shared" si="49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0"/>
        <v/>
      </c>
      <c r="GE15" s="40" t="str">
        <f t="shared" si="51"/>
        <v/>
      </c>
      <c r="GF15" s="40" t="str">
        <f t="shared" si="52"/>
        <v/>
      </c>
      <c r="GG15" s="40" t="str">
        <f t="shared" si="53"/>
        <v/>
      </c>
      <c r="GH15" s="40" t="str">
        <f t="shared" si="54"/>
        <v/>
      </c>
      <c r="GI15" s="40" t="str">
        <f t="shared" si="55"/>
        <v/>
      </c>
      <c r="GJ15" s="40" t="str">
        <f t="shared" si="56"/>
        <v/>
      </c>
      <c r="GK15" s="40" t="str">
        <f t="shared" si="57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58"/>
        <v/>
      </c>
      <c r="HG15" s="11" t="str">
        <f t="shared" si="59"/>
        <v/>
      </c>
      <c r="HH15" s="11" t="str">
        <f t="shared" si="60"/>
        <v/>
      </c>
      <c r="HI15" s="11" t="str">
        <f t="shared" si="61"/>
        <v/>
      </c>
      <c r="HJ15" s="11" t="str">
        <f t="shared" si="62"/>
        <v/>
      </c>
      <c r="HK15" s="11" t="str">
        <f t="shared" si="63"/>
        <v/>
      </c>
      <c r="HL15" s="11" t="str">
        <f t="shared" si="64"/>
        <v/>
      </c>
      <c r="HM15" s="11" t="str">
        <f t="shared" si="65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6"/>
        <v/>
      </c>
      <c r="II15" s="40" t="str">
        <f t="shared" si="67"/>
        <v/>
      </c>
      <c r="IJ15" s="40" t="str">
        <f t="shared" si="68"/>
        <v/>
      </c>
      <c r="IK15" s="40" t="str">
        <f t="shared" si="69"/>
        <v/>
      </c>
      <c r="IL15" s="40" t="str">
        <f t="shared" si="70"/>
        <v/>
      </c>
      <c r="IM15" s="40" t="str">
        <f t="shared" si="71"/>
        <v/>
      </c>
      <c r="IN15" s="40" t="str">
        <f t="shared" si="72"/>
        <v/>
      </c>
      <c r="IO15" s="40" t="str">
        <f t="shared" si="73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4"/>
        <v/>
      </c>
      <c r="JK15" s="11" t="str">
        <f t="shared" si="75"/>
        <v/>
      </c>
      <c r="JL15" s="11" t="str">
        <f t="shared" si="76"/>
        <v/>
      </c>
      <c r="JM15" s="11" t="str">
        <f t="shared" si="77"/>
        <v/>
      </c>
      <c r="JN15" s="11" t="str">
        <f t="shared" si="78"/>
        <v/>
      </c>
      <c r="JO15" s="11" t="str">
        <f t="shared" si="79"/>
        <v/>
      </c>
      <c r="JP15" s="11" t="str">
        <f t="shared" si="80"/>
        <v/>
      </c>
      <c r="JQ15" s="11" t="str">
        <f t="shared" si="81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2"/>
        <v/>
      </c>
      <c r="KM15" s="40" t="str">
        <f t="shared" si="83"/>
        <v/>
      </c>
      <c r="KN15" s="40" t="str">
        <f t="shared" si="84"/>
        <v/>
      </c>
      <c r="KO15" s="40" t="str">
        <f t="shared" si="85"/>
        <v/>
      </c>
      <c r="KP15" s="40" t="str">
        <f t="shared" si="86"/>
        <v/>
      </c>
      <c r="KQ15" s="40" t="str">
        <f t="shared" si="87"/>
        <v/>
      </c>
      <c r="KR15" s="40" t="str">
        <f t="shared" si="88"/>
        <v/>
      </c>
      <c r="KS15" s="40" t="str">
        <f t="shared" si="89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0"/>
        <v/>
      </c>
      <c r="LO15" s="11" t="str">
        <f t="shared" si="91"/>
        <v/>
      </c>
      <c r="LP15" s="11" t="str">
        <f t="shared" si="92"/>
        <v/>
      </c>
      <c r="LQ15" s="11" t="str">
        <f t="shared" si="93"/>
        <v/>
      </c>
      <c r="LR15" s="11" t="str">
        <f t="shared" si="94"/>
        <v/>
      </c>
      <c r="LS15" s="11" t="str">
        <f t="shared" si="95"/>
        <v/>
      </c>
      <c r="LT15" s="11" t="str">
        <f t="shared" si="96"/>
        <v/>
      </c>
      <c r="LU15" s="11" t="str">
        <f t="shared" si="97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98"/>
        <v/>
      </c>
      <c r="MQ15" s="40" t="str">
        <f t="shared" si="99"/>
        <v/>
      </c>
      <c r="MR15" s="40" t="str">
        <f t="shared" si="100"/>
        <v/>
      </c>
      <c r="MS15" s="40" t="str">
        <f t="shared" si="101"/>
        <v/>
      </c>
      <c r="MT15" s="40" t="str">
        <f t="shared" si="102"/>
        <v/>
      </c>
      <c r="MU15" s="40" t="str">
        <f t="shared" si="103"/>
        <v/>
      </c>
      <c r="MV15" s="40" t="str">
        <f t="shared" si="104"/>
        <v/>
      </c>
      <c r="MW15" s="40" t="str">
        <f t="shared" si="105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6"/>
        <v/>
      </c>
      <c r="NS15" s="11" t="str">
        <f t="shared" si="107"/>
        <v/>
      </c>
      <c r="NT15" s="11" t="str">
        <f t="shared" si="108"/>
        <v/>
      </c>
      <c r="NU15" s="11" t="str">
        <f t="shared" si="109"/>
        <v/>
      </c>
      <c r="NV15" s="11" t="str">
        <f t="shared" si="110"/>
        <v/>
      </c>
      <c r="NW15" s="11" t="str">
        <f t="shared" si="111"/>
        <v/>
      </c>
      <c r="NX15" s="11" t="str">
        <f t="shared" si="112"/>
        <v/>
      </c>
      <c r="NY15" s="11" t="str">
        <f t="shared" si="113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4"/>
        <v/>
      </c>
      <c r="OU15" s="40" t="str">
        <f t="shared" si="115"/>
        <v/>
      </c>
      <c r="OV15" s="40" t="str">
        <f t="shared" si="116"/>
        <v/>
      </c>
      <c r="OW15" s="40" t="str">
        <f t="shared" si="117"/>
        <v/>
      </c>
      <c r="OX15" s="40" t="str">
        <f t="shared" si="118"/>
        <v/>
      </c>
      <c r="OY15" s="40" t="str">
        <f t="shared" si="119"/>
        <v/>
      </c>
      <c r="OZ15" s="40" t="str">
        <f t="shared" si="120"/>
        <v/>
      </c>
      <c r="PA15" s="40" t="str">
        <f t="shared" si="121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2"/>
        <v/>
      </c>
      <c r="PW15" s="11" t="str">
        <f t="shared" si="123"/>
        <v/>
      </c>
      <c r="PX15" s="11" t="str">
        <f t="shared" si="124"/>
        <v/>
      </c>
      <c r="PY15" s="11" t="str">
        <f t="shared" si="125"/>
        <v/>
      </c>
      <c r="PZ15" s="11" t="str">
        <f t="shared" si="126"/>
        <v/>
      </c>
      <c r="QA15" s="11" t="str">
        <f t="shared" si="127"/>
        <v/>
      </c>
      <c r="QB15" s="11" t="str">
        <f t="shared" si="128"/>
        <v/>
      </c>
      <c r="QC15" s="11" t="str">
        <f t="shared" si="129"/>
        <v/>
      </c>
      <c r="QD15" s="22">
        <f t="shared" si="130"/>
        <v>18.25</v>
      </c>
      <c r="QE15" s="22">
        <f t="shared" si="131"/>
        <v>4.1500000000000004</v>
      </c>
      <c r="QF15" s="22">
        <f t="shared" si="132"/>
        <v>0.4</v>
      </c>
      <c r="QG15" s="22">
        <f t="shared" si="133"/>
        <v>0</v>
      </c>
      <c r="QH15" s="22">
        <f t="shared" si="134"/>
        <v>18.2</v>
      </c>
      <c r="QI15" s="22">
        <f t="shared" si="135"/>
        <v>4.4000000000000004</v>
      </c>
      <c r="QJ15" s="22">
        <f t="shared" si="136"/>
        <v>0.4</v>
      </c>
      <c r="QK15" s="22">
        <f t="shared" si="137"/>
        <v>0.15</v>
      </c>
      <c r="QL15" s="22">
        <f t="shared" si="138"/>
        <v>0</v>
      </c>
      <c r="QM15" s="22">
        <f t="shared" si="139"/>
        <v>0</v>
      </c>
      <c r="QN15" s="22">
        <f t="shared" si="140"/>
        <v>0</v>
      </c>
      <c r="QO15" s="22">
        <f t="shared" si="141"/>
        <v>0</v>
      </c>
      <c r="QP15" s="22">
        <f t="shared" si="142"/>
        <v>18.25</v>
      </c>
      <c r="QQ15" s="22">
        <f t="shared" si="143"/>
        <v>4.3499999999999996</v>
      </c>
      <c r="QR15" s="22">
        <f t="shared" si="144"/>
        <v>0.2</v>
      </c>
      <c r="QS15" s="22">
        <f t="shared" si="145"/>
        <v>0</v>
      </c>
      <c r="QT15" s="22">
        <f t="shared" si="146"/>
        <v>18</v>
      </c>
      <c r="QU15" s="22">
        <f t="shared" si="147"/>
        <v>4.5999999999999996</v>
      </c>
      <c r="QV15" s="22">
        <f t="shared" si="148"/>
        <v>0.4</v>
      </c>
      <c r="QW15" s="22">
        <f t="shared" si="149"/>
        <v>0.15</v>
      </c>
      <c r="QX15" s="27" t="s">
        <v>46</v>
      </c>
      <c r="QY15" s="40">
        <f t="shared" si="150"/>
        <v>8.5500000000000007</v>
      </c>
      <c r="QZ15" s="40">
        <f t="shared" si="151"/>
        <v>44.349999999999994</v>
      </c>
      <c r="RA15" s="40" t="str">
        <f t="shared" si="152"/>
        <v/>
      </c>
      <c r="RB15" s="40">
        <f t="shared" si="153"/>
        <v>8.5500000000000007</v>
      </c>
      <c r="RC15" s="40">
        <f t="shared" si="154"/>
        <v>44.349999999999994</v>
      </c>
      <c r="RD15" s="40">
        <f t="shared" si="155"/>
        <v>8.9499999999999993</v>
      </c>
      <c r="RE15" s="40">
        <f t="shared" si="156"/>
        <v>44.75</v>
      </c>
      <c r="RF15" s="40">
        <f t="shared" si="157"/>
        <v>89.1</v>
      </c>
    </row>
    <row r="16" spans="1:474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182</v>
      </c>
      <c r="D16" s="4" t="s">
        <v>5</v>
      </c>
      <c r="E16" s="4">
        <v>2008</v>
      </c>
      <c r="F16" s="9">
        <f t="shared" si="0"/>
        <v>132.20000867000442</v>
      </c>
      <c r="G16" s="64"/>
      <c r="H16" s="3" t="str">
        <f>IF(OR(AND(AP16&gt;=AW$39,AQ16&gt;=AW$43,AP16&lt;&gt;"",AO16=""),AND(AU16&gt;=AW$39,AV16&gt;=AW$43,AU16&lt;&gt;"",AO16=""),AND(BS16&gt;=BZ$39,BT16&gt;=BZ$43,BS16&lt;&gt;"",BR16=""),AND(BX16&gt;=BZ$39,BY16&gt;=BZ$43,BX16&lt;&gt;"",BR16=""),AND(CV16&gt;=DC$39,CW16&gt;=DC$43,CV16&lt;&gt;"",CU16=""),AND(DA16&gt;=DC$39,DB16&gt;=DC$43,DA16&lt;&gt;""),AND(DZ16&gt;=EG$39,EA16&gt;=EG$43,DZ16&lt;&gt;""),AND(EE16&gt;=EG$39,EF16&gt;=EG$43,EE16&lt;&gt;""),AND(FB16&gt;=FI$39,FC16&gt;=FI$43,FB16&lt;&gt;""),AND(FG16&gt;=FI$39,FH16&gt;=FI$43,FG16&lt;&gt;""),AND(GD16&gt;=GK$39,GE16&gt;=GK$43,GD16&lt;&gt;""),AND(GI16&gt;=GK$39,GJ16&gt;=GK$43,GI16&lt;&gt;""),AND(HF16&gt;=HM$39,HG16&gt;=HM$43,HF16&lt;&gt;""),AND(HK16&gt;=HM$39,HL16&gt;=HM$43,HK16&lt;&gt;""),AND(IH16&gt;=IO$39,II16&gt;=IO$43,IH16&lt;&gt;""),AND(IM16&gt;=IO$39,IN16&gt;=IO$43,IM16&lt;&gt;""),AND(JJ16&gt;=JQ$39,JK16&gt;=JQ$43,JJ16&lt;&gt;""),AND(JO16&gt;=JQ$39,JP16&gt;=JQ$43,JO16&lt;&gt;""),AND(KL16&gt;=KS$39,KM16&gt;=KS$43,KL16&lt;&gt;""),AND(KQ16&gt;=KS$39,KR16&gt;=KS$43,KQ16&lt;&gt;""),AND(LN16&gt;=LU$39,LO16&gt;=LU$43,LN16&lt;&gt;""),AND(LS16&gt;=LU$39,LT16&gt;=LU$43,LS16&lt;&gt;""),AND(MP16&gt;=MW$39,MQ16&gt;=MW$43,MP16&lt;&gt;""),AND(MU16&gt;=MW$39,MV16&gt;=MW$43,MU16&lt;&gt;""),AND(NR16&gt;=NY$39,NS16&gt;=NY$43,NR16&lt;&gt;""),AND(NW16&gt;=NY$39,NX16&gt;=NY$43,NW16&lt;&gt;""),AND(OT16&gt;=PA$39,OU16&gt;=PA$43,OT16&lt;&gt;""),AND(OY16&gt;=PA$39,OZ16&gt;=PA$43,OY16&lt;&gt;""),AND(PV16&gt;=QC$39,PW16&gt;=QC$43,PV16&lt;&gt;""),AND(QA16&gt;=QC$39,QB16&gt;=QC$43,QA16&lt;&gt;"")),"P","")</f>
        <v/>
      </c>
      <c r="I16" s="3" t="str">
        <f>IF(OR(AND(AQ16&gt;=AW$43,AQ16&lt;&gt;"",AO16=""),AND(AV16&gt;=AW$43,AV16&lt;&gt;"",AO16=""),AND(BT16&gt;=BZ$43,BT16&lt;&gt;"",BR16=""),AND(BY16&gt;=BZ$43,BY16&lt;&gt;"",BR16=""),AND(CW16&gt;=DC$43,CW16&lt;&gt;"",CU16=""),AND(DB16&gt;=DC$43,DB16&lt;&gt;"",CU16=""),AND(EA16&gt;=EG$43,EA16&lt;&gt;""),AND(EF16&gt;=EG$43,EF16&lt;&gt;""),AND(FC16&gt;=FI$43,FC16&lt;&gt;""),AND(FH16&gt;=FI$43,FH16&lt;&gt;""),AND(GE16&gt;=GK$43,GE16&lt;&gt;""),AND(GJ16&gt;=GK$43,GJ16&lt;&gt;""),AND(HG16&gt;=HM$43,HG16&lt;&gt;""),AND(HL16&gt;=HM$43,HL16&lt;&gt;""),AND(II16&gt;=IO$43,II16&lt;&gt;""),AND(IN16&gt;=IO$43,IN16&lt;&gt;""),AND(JK16&gt;=JQ$43,JK16&lt;&gt;""),AND(JP16&gt;=JQ$43,JP16&lt;&gt;""),AND(KM16&gt;=KS$43,KM16&lt;&gt;""),AND(KR16&gt;=KS$43,KR16&lt;&gt;""),AND(LO16&gt;=LU$43,LO16&lt;&gt;""),AND(LT16&gt;=LU$43,LT16&lt;&gt;""),AND(MQ16&gt;=MW$43,MQ16&lt;&gt;""),AND(MV16&gt;=MW$43,MV16&lt;&gt;""),AND(NS16&gt;=NY$43,NS16&lt;&gt;""),AND(NX16&gt;=NY$43,NX16&lt;&gt;""),AND(OU16&gt;=PA$43,OU16&lt;&gt;""),AND(OZ16&gt;=PA$43,OZ16&lt;&gt;""),AND(PW16&gt;=QC$43,PW16&lt;&gt;""),AND(QB16&gt;=QC$43,QB16&lt;&gt;"")),"P","")</f>
        <v/>
      </c>
      <c r="J16" s="36" t="str">
        <f>IF(AND(I16="P",H16=""),"No DD",IF(OR(AND(AS16&gt;=AW$42,AT16&gt;=AW$46,AS16&lt;&gt;"",AO16=""),AND(BV16&gt;=BZ$42,BW16&gt;=BZ$46,BV16&lt;&gt;"",BR16=""),AND(CY16&gt;=DC$42,CZ16&gt;=DC$46,CY16&lt;&gt;"",CU16=""),AND(EC16&gt;=EG$42,ED16&gt;=EG$46,EC16&lt;&gt;""),AND(FE16&gt;=FI$42,FF16&gt;=FI$46,FE16&lt;&gt;""),AND(GG16&gt;=GK$42,GH16&gt;=GK$46,GG16&lt;&gt;""),AND(HI16&gt;=HM$42,HJ16&gt;=HM$46,HI16&lt;&gt;""),AND(IK16&gt;=IO$42,IL16&gt;=IO$46,IK16&lt;&gt;""),AND(JM16&gt;=JQ$42,JN16&gt;=JQ$46,JM16&lt;&gt;""),AND(KO16&gt;=KS$42,KP16&gt;=KS$46,KO16&lt;&gt;""),AND(LQ16&gt;=LU$42,LR16&gt;=LU$46,LQ16&lt;&gt;""),AND(MS16&gt;=MW$42,MT16&gt;=MW$46,MS16&lt;&gt;""),AND(NU16&gt;=NY$42,NV16&gt;=NY$46,NU16&lt;&gt;""),AND(OW16&gt;=PA$42,OX16&gt;=PA$46,OW16&lt;&gt;""),AND(PY16&gt;=QC$42,PZ16&gt;=QC$46,PY16&lt;&gt;"")),"Merit",IF(OR(AND(AS16&gt;=AW$41,AT16&gt;=AW$45,AS16&lt;&gt;"",AO16=""),AND(BV16&gt;=BZ$41,BW16&gt;=BZ$45,BV16&lt;&gt;"",BR16=""),AND(CY16&gt;=DC$41,CZ16&gt;=DC$45,CY16&lt;&gt;"",CU16=""),AND(EC16&gt;=EG$41,ED16&gt;=EG$45,EC16&lt;&gt;""),AND(FE16&gt;=FI$41,FF16&gt;=FI$45,FE16&lt;&gt;""),AND(GG16&gt;=GK$41,GH16&gt;=GK$45,GG16&lt;&gt;""),AND(HI16&gt;=HM$41,HJ16&gt;=HM$45,HI16&lt;&gt;""),AND(IK16&gt;=IO$41,IL16&gt;=IO$45,IK16&lt;&gt;""),AND(JM16&gt;=JQ$41,JN16&gt;=JQ$45,JM16&lt;&gt;""),AND(KO16&gt;=KS$41,KP16&gt;=KS$45,KO16&lt;&gt;""),AND(LQ16&gt;=LU$41,LR16&gt;=LU$45,LQ16&lt;&gt;""),AND(MS16&gt;=MW$41,MT16&gt;=MW$45,MS16&lt;&gt;""),AND(NU16&gt;=NY$41,NV16&gt;=NY$45,NU16&lt;&gt;""),AND(OW16&gt;=PA$41,OX16&gt;=PA$45,OW16&lt;&gt;""),AND(PY16&gt;=QC$41,PZ16&gt;=QC$45,PY16&lt;&gt;"")),"Excellence",IF(K16="P","Worlds Team",IF(H16="P","National Team","")))))</f>
        <v/>
      </c>
      <c r="K16" s="3" t="str">
        <f>IF(OR(AND(AS16&gt;=AW$40,AT16&gt;=AW$44,AS16&lt;&gt;"",AO16=""),AND(BV16&gt;=BZ$40,BW16&gt;=BZ$44,BV16&lt;&gt;"",BR16=""),AND(CY16&gt;=DC$40,CZ16&gt;=DC$44,CY16&lt;&gt;"",CU16=""),AND(EC16&gt;=EG$40,ED16&gt;=EG$44,EC16&lt;&gt;""),AND(FE16&gt;=FI$40,FF16&gt;=FI$44,FE16&lt;&gt;""),AND(GG16&gt;=GK$40,GH16&gt;=GK$44,GG16&lt;&gt;""),AND(HI16&gt;=HM$40,HJ16&gt;=HM$44,HI16&lt;&gt;""),AND(IK16&gt;=IO$40,IL16&gt;=IO$44,IK16&lt;&gt;""),AND(JM16&gt;=JQ$40,JN16&gt;=JQ$44,JM16&lt;&gt;""),AND(KO16&gt;=KS$40,KP16&gt;=KS$44,KO16&lt;&gt;""),AND(LQ16&gt;=LU$40,LR16&gt;=LU$44,LQ16&lt;&gt;""),AND(MS16&gt;=MW$40,MT16&gt;=MW$44,MS16&lt;&gt;""),AND(NU16&gt;=NY$40,NV16&gt;=NY$44,NU16&lt;&gt;""),AND(OW16&gt;=PA$40,OX16&gt;=PA$44,OW16&lt;&gt;""),AND(PY16&gt;=QC$40,PZ16&gt;=QC$44,PY16&lt;&gt;"")),"P","")</f>
        <v/>
      </c>
      <c r="L16" s="8">
        <f>IF(COUNT(AQ16,BT16,CW16)&gt;0,LARGE((AQ16,BT16,CW16),1),0)</f>
        <v>44.1</v>
      </c>
      <c r="M16" s="8" t="str">
        <f t="shared" si="1"/>
        <v>2025 Nationals</v>
      </c>
      <c r="N16" s="8">
        <f>IF(COUNT(AQ16,BT16,CW16)&gt;1,LARGE((AQ16,BT16,CW16),2),0)</f>
        <v>42.6</v>
      </c>
      <c r="O16" s="8" t="str">
        <f t="shared" si="2"/>
        <v>2024 3rd Domestic Trial</v>
      </c>
      <c r="P16" s="8">
        <f t="shared" si="3"/>
        <v>45.500000000000007</v>
      </c>
      <c r="Q16" s="8" t="str">
        <f t="shared" si="4"/>
        <v>2024 3rd Domestic Trial</v>
      </c>
      <c r="R16" s="8" t="str">
        <f t="shared" si="5"/>
        <v/>
      </c>
      <c r="S16" s="11" t="str">
        <f t="shared" si="6"/>
        <v/>
      </c>
      <c r="T16" s="8" t="str">
        <f t="shared" si="7"/>
        <v/>
      </c>
      <c r="U16" s="19">
        <v>17.399999999999999</v>
      </c>
      <c r="V16" s="19">
        <v>2.4</v>
      </c>
      <c r="W16" s="19">
        <v>0</v>
      </c>
      <c r="X16" s="19">
        <v>0</v>
      </c>
      <c r="Y16" s="19">
        <v>18.2</v>
      </c>
      <c r="Z16" s="19">
        <v>5.2</v>
      </c>
      <c r="AA16" s="19">
        <v>0.6</v>
      </c>
      <c r="AB16" s="19">
        <v>0</v>
      </c>
      <c r="AC16" s="19">
        <v>18.7</v>
      </c>
      <c r="AD16" s="19">
        <v>2.8</v>
      </c>
      <c r="AE16" s="19">
        <v>0</v>
      </c>
      <c r="AF16" s="19">
        <v>0</v>
      </c>
      <c r="AG16" s="19">
        <v>16.8</v>
      </c>
      <c r="AH16" s="19">
        <v>5.2</v>
      </c>
      <c r="AI16" s="19">
        <v>0.2</v>
      </c>
      <c r="AJ16" s="19">
        <v>0</v>
      </c>
      <c r="AK16" s="19">
        <v>18.7</v>
      </c>
      <c r="AL16" s="19">
        <v>5.2</v>
      </c>
      <c r="AM16" s="19">
        <v>0.2</v>
      </c>
      <c r="AN16" s="19">
        <v>0</v>
      </c>
      <c r="AO16" s="27"/>
      <c r="AP16" s="40">
        <f t="shared" si="8"/>
        <v>7.6</v>
      </c>
      <c r="AQ16" s="40">
        <f t="shared" si="9"/>
        <v>42.6</v>
      </c>
      <c r="AR16" s="40">
        <f t="shared" si="10"/>
        <v>21.5</v>
      </c>
      <c r="AS16" s="40">
        <f t="shared" si="11"/>
        <v>10.399999999999999</v>
      </c>
      <c r="AT16" s="40">
        <f t="shared" si="12"/>
        <v>64.099999999999994</v>
      </c>
      <c r="AU16" s="40">
        <f t="shared" si="13"/>
        <v>10.4</v>
      </c>
      <c r="AV16" s="40">
        <f t="shared" si="14"/>
        <v>45.500000000000007</v>
      </c>
      <c r="AW16" s="40">
        <f t="shared" si="15"/>
        <v>109.6</v>
      </c>
      <c r="AX16" s="18">
        <v>15.2</v>
      </c>
      <c r="AY16" s="18">
        <v>2.4</v>
      </c>
      <c r="AZ16" s="18">
        <v>0</v>
      </c>
      <c r="BA16" s="18">
        <v>0</v>
      </c>
      <c r="BB16" s="18">
        <v>15.2</v>
      </c>
      <c r="BC16" s="18">
        <v>0</v>
      </c>
      <c r="BD16" s="18">
        <v>0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16"/>
        <v>2.4</v>
      </c>
      <c r="BT16" s="11">
        <f t="shared" si="17"/>
        <v>32.799999999999997</v>
      </c>
      <c r="BU16" s="11" t="str">
        <f t="shared" si="18"/>
        <v/>
      </c>
      <c r="BV16" s="11">
        <f t="shared" si="19"/>
        <v>2.4</v>
      </c>
      <c r="BW16" s="11">
        <f t="shared" si="20"/>
        <v>32.799999999999997</v>
      </c>
      <c r="BX16" s="11" t="str">
        <f t="shared" si="21"/>
        <v/>
      </c>
      <c r="BY16" s="11" t="str">
        <f t="shared" si="22"/>
        <v/>
      </c>
      <c r="BZ16" s="11">
        <f t="shared" si="23"/>
        <v>32.799999999999997</v>
      </c>
      <c r="CA16" s="19">
        <v>16.600000000000001</v>
      </c>
      <c r="CB16" s="19">
        <v>6</v>
      </c>
      <c r="CC16" s="19">
        <v>0.6</v>
      </c>
      <c r="CD16" s="19">
        <v>0</v>
      </c>
      <c r="CE16" s="19">
        <v>18.3</v>
      </c>
      <c r="CF16" s="19">
        <v>4.8</v>
      </c>
      <c r="CG16" s="19">
        <v>1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4"/>
        <v>10.8</v>
      </c>
      <c r="CW16" s="40">
        <f t="shared" si="25"/>
        <v>44.1</v>
      </c>
      <c r="CX16" s="40" t="str">
        <f t="shared" si="26"/>
        <v/>
      </c>
      <c r="CY16" s="40">
        <f t="shared" si="27"/>
        <v>10.8</v>
      </c>
      <c r="CZ16" s="40">
        <f t="shared" si="28"/>
        <v>44.1</v>
      </c>
      <c r="DA16" s="40" t="str">
        <f t="shared" si="29"/>
        <v/>
      </c>
      <c r="DB16" s="40" t="str">
        <f t="shared" si="30"/>
        <v/>
      </c>
      <c r="DC16" s="40">
        <f t="shared" si="31"/>
        <v>44.1</v>
      </c>
      <c r="DD16" s="50" t="str">
        <f t="shared" si="32"/>
        <v/>
      </c>
      <c r="DE16" s="50" t="str">
        <f t="shared" si="33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4"/>
        <v/>
      </c>
      <c r="EA16" s="40" t="str">
        <f t="shared" si="35"/>
        <v/>
      </c>
      <c r="EB16" s="40" t="str">
        <f t="shared" si="36"/>
        <v/>
      </c>
      <c r="EC16" s="40" t="str">
        <f t="shared" si="37"/>
        <v/>
      </c>
      <c r="ED16" s="40" t="str">
        <f t="shared" si="38"/>
        <v/>
      </c>
      <c r="EE16" s="40" t="str">
        <f t="shared" si="39"/>
        <v/>
      </c>
      <c r="EF16" s="40" t="str">
        <f t="shared" si="40"/>
        <v/>
      </c>
      <c r="EG16" s="40" t="str">
        <f t="shared" si="41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2"/>
        <v/>
      </c>
      <c r="FC16" s="11" t="str">
        <f t="shared" si="43"/>
        <v/>
      </c>
      <c r="FD16" s="11" t="str">
        <f t="shared" si="44"/>
        <v/>
      </c>
      <c r="FE16" s="11" t="str">
        <f t="shared" si="45"/>
        <v/>
      </c>
      <c r="FF16" s="11" t="str">
        <f t="shared" si="46"/>
        <v/>
      </c>
      <c r="FG16" s="11" t="str">
        <f t="shared" si="47"/>
        <v/>
      </c>
      <c r="FH16" s="11" t="str">
        <f t="shared" si="48"/>
        <v/>
      </c>
      <c r="FI16" s="11" t="str">
        <f t="shared" si="49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0"/>
        <v/>
      </c>
      <c r="GE16" s="40" t="str">
        <f t="shared" si="51"/>
        <v/>
      </c>
      <c r="GF16" s="40" t="str">
        <f t="shared" si="52"/>
        <v/>
      </c>
      <c r="GG16" s="40" t="str">
        <f t="shared" si="53"/>
        <v/>
      </c>
      <c r="GH16" s="40" t="str">
        <f t="shared" si="54"/>
        <v/>
      </c>
      <c r="GI16" s="40" t="str">
        <f t="shared" si="55"/>
        <v/>
      </c>
      <c r="GJ16" s="40" t="str">
        <f t="shared" si="56"/>
        <v/>
      </c>
      <c r="GK16" s="40" t="str">
        <f t="shared" si="57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58"/>
        <v/>
      </c>
      <c r="HG16" s="11" t="str">
        <f t="shared" si="59"/>
        <v/>
      </c>
      <c r="HH16" s="11" t="str">
        <f t="shared" si="60"/>
        <v/>
      </c>
      <c r="HI16" s="11" t="str">
        <f t="shared" si="61"/>
        <v/>
      </c>
      <c r="HJ16" s="11" t="str">
        <f t="shared" si="62"/>
        <v/>
      </c>
      <c r="HK16" s="11" t="str">
        <f t="shared" si="63"/>
        <v/>
      </c>
      <c r="HL16" s="11" t="str">
        <f t="shared" si="64"/>
        <v/>
      </c>
      <c r="HM16" s="11" t="str">
        <f t="shared" si="65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6"/>
        <v/>
      </c>
      <c r="II16" s="40" t="str">
        <f t="shared" si="67"/>
        <v/>
      </c>
      <c r="IJ16" s="40" t="str">
        <f t="shared" si="68"/>
        <v/>
      </c>
      <c r="IK16" s="40" t="str">
        <f t="shared" si="69"/>
        <v/>
      </c>
      <c r="IL16" s="40" t="str">
        <f t="shared" si="70"/>
        <v/>
      </c>
      <c r="IM16" s="40" t="str">
        <f t="shared" si="71"/>
        <v/>
      </c>
      <c r="IN16" s="40" t="str">
        <f t="shared" si="72"/>
        <v/>
      </c>
      <c r="IO16" s="40" t="str">
        <f t="shared" si="73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4"/>
        <v/>
      </c>
      <c r="JK16" s="11" t="str">
        <f t="shared" si="75"/>
        <v/>
      </c>
      <c r="JL16" s="11" t="str">
        <f t="shared" si="76"/>
        <v/>
      </c>
      <c r="JM16" s="11" t="str">
        <f t="shared" si="77"/>
        <v/>
      </c>
      <c r="JN16" s="11" t="str">
        <f t="shared" si="78"/>
        <v/>
      </c>
      <c r="JO16" s="11" t="str">
        <f t="shared" si="79"/>
        <v/>
      </c>
      <c r="JP16" s="11" t="str">
        <f t="shared" si="80"/>
        <v/>
      </c>
      <c r="JQ16" s="11" t="str">
        <f t="shared" si="81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2"/>
        <v/>
      </c>
      <c r="KM16" s="40" t="str">
        <f t="shared" si="83"/>
        <v/>
      </c>
      <c r="KN16" s="40" t="str">
        <f t="shared" si="84"/>
        <v/>
      </c>
      <c r="KO16" s="40" t="str">
        <f t="shared" si="85"/>
        <v/>
      </c>
      <c r="KP16" s="40" t="str">
        <f t="shared" si="86"/>
        <v/>
      </c>
      <c r="KQ16" s="40" t="str">
        <f t="shared" si="87"/>
        <v/>
      </c>
      <c r="KR16" s="40" t="str">
        <f t="shared" si="88"/>
        <v/>
      </c>
      <c r="KS16" s="40" t="str">
        <f t="shared" si="89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0"/>
        <v/>
      </c>
      <c r="LO16" s="11" t="str">
        <f t="shared" si="91"/>
        <v/>
      </c>
      <c r="LP16" s="11" t="str">
        <f t="shared" si="92"/>
        <v/>
      </c>
      <c r="LQ16" s="11" t="str">
        <f t="shared" si="93"/>
        <v/>
      </c>
      <c r="LR16" s="11" t="str">
        <f t="shared" si="94"/>
        <v/>
      </c>
      <c r="LS16" s="11" t="str">
        <f t="shared" si="95"/>
        <v/>
      </c>
      <c r="LT16" s="11" t="str">
        <f t="shared" si="96"/>
        <v/>
      </c>
      <c r="LU16" s="11" t="str">
        <f t="shared" si="97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98"/>
        <v/>
      </c>
      <c r="MQ16" s="40" t="str">
        <f t="shared" si="99"/>
        <v/>
      </c>
      <c r="MR16" s="40" t="str">
        <f t="shared" si="100"/>
        <v/>
      </c>
      <c r="MS16" s="40" t="str">
        <f t="shared" si="101"/>
        <v/>
      </c>
      <c r="MT16" s="40" t="str">
        <f t="shared" si="102"/>
        <v/>
      </c>
      <c r="MU16" s="40" t="str">
        <f t="shared" si="103"/>
        <v/>
      </c>
      <c r="MV16" s="40" t="str">
        <f t="shared" si="104"/>
        <v/>
      </c>
      <c r="MW16" s="40" t="str">
        <f t="shared" si="105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6"/>
        <v/>
      </c>
      <c r="NS16" s="11" t="str">
        <f t="shared" si="107"/>
        <v/>
      </c>
      <c r="NT16" s="11" t="str">
        <f t="shared" si="108"/>
        <v/>
      </c>
      <c r="NU16" s="11" t="str">
        <f t="shared" si="109"/>
        <v/>
      </c>
      <c r="NV16" s="11" t="str">
        <f t="shared" si="110"/>
        <v/>
      </c>
      <c r="NW16" s="11" t="str">
        <f t="shared" si="111"/>
        <v/>
      </c>
      <c r="NX16" s="11" t="str">
        <f t="shared" si="112"/>
        <v/>
      </c>
      <c r="NY16" s="11" t="str">
        <f t="shared" si="113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4"/>
        <v/>
      </c>
      <c r="OU16" s="40" t="str">
        <f t="shared" si="115"/>
        <v/>
      </c>
      <c r="OV16" s="40" t="str">
        <f t="shared" si="116"/>
        <v/>
      </c>
      <c r="OW16" s="40" t="str">
        <f t="shared" si="117"/>
        <v/>
      </c>
      <c r="OX16" s="40" t="str">
        <f t="shared" si="118"/>
        <v/>
      </c>
      <c r="OY16" s="40" t="str">
        <f t="shared" si="119"/>
        <v/>
      </c>
      <c r="OZ16" s="40" t="str">
        <f t="shared" si="120"/>
        <v/>
      </c>
      <c r="PA16" s="40" t="str">
        <f t="shared" si="121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2"/>
        <v/>
      </c>
      <c r="PW16" s="11" t="str">
        <f t="shared" si="123"/>
        <v/>
      </c>
      <c r="PX16" s="11" t="str">
        <f t="shared" si="124"/>
        <v/>
      </c>
      <c r="PY16" s="11" t="str">
        <f t="shared" si="125"/>
        <v/>
      </c>
      <c r="PZ16" s="11" t="str">
        <f t="shared" si="126"/>
        <v/>
      </c>
      <c r="QA16" s="11" t="str">
        <f t="shared" si="127"/>
        <v/>
      </c>
      <c r="QB16" s="11" t="str">
        <f t="shared" si="128"/>
        <v/>
      </c>
      <c r="QC16" s="11" t="str">
        <f t="shared" si="129"/>
        <v/>
      </c>
      <c r="QD16" s="22">
        <f t="shared" si="130"/>
        <v>15.9</v>
      </c>
      <c r="QE16" s="22">
        <f t="shared" si="131"/>
        <v>4.2</v>
      </c>
      <c r="QF16" s="22">
        <f t="shared" si="132"/>
        <v>0.3</v>
      </c>
      <c r="QG16" s="22">
        <f t="shared" si="133"/>
        <v>0</v>
      </c>
      <c r="QH16" s="22">
        <f t="shared" si="134"/>
        <v>16.75</v>
      </c>
      <c r="QI16" s="22">
        <f t="shared" si="135"/>
        <v>2.4</v>
      </c>
      <c r="QJ16" s="22">
        <f t="shared" si="136"/>
        <v>0.5</v>
      </c>
      <c r="QK16" s="22">
        <f t="shared" si="137"/>
        <v>0</v>
      </c>
      <c r="QL16" s="22">
        <f t="shared" si="138"/>
        <v>0</v>
      </c>
      <c r="QM16" s="22">
        <f t="shared" si="139"/>
        <v>0</v>
      </c>
      <c r="QN16" s="22">
        <f t="shared" si="140"/>
        <v>0</v>
      </c>
      <c r="QO16" s="22">
        <f t="shared" si="141"/>
        <v>0</v>
      </c>
      <c r="QP16" s="22">
        <f t="shared" si="142"/>
        <v>0</v>
      </c>
      <c r="QQ16" s="22">
        <f t="shared" si="143"/>
        <v>0</v>
      </c>
      <c r="QR16" s="22">
        <f t="shared" si="144"/>
        <v>0</v>
      </c>
      <c r="QS16" s="22">
        <f t="shared" si="145"/>
        <v>0</v>
      </c>
      <c r="QT16" s="22">
        <f t="shared" si="146"/>
        <v>0</v>
      </c>
      <c r="QU16" s="22">
        <f t="shared" si="147"/>
        <v>0</v>
      </c>
      <c r="QV16" s="22">
        <f t="shared" si="148"/>
        <v>0</v>
      </c>
      <c r="QW16" s="22">
        <f t="shared" si="149"/>
        <v>0</v>
      </c>
      <c r="QX16" s="27" t="s">
        <v>46</v>
      </c>
      <c r="QY16" s="40">
        <f t="shared" si="150"/>
        <v>6.6</v>
      </c>
      <c r="QZ16" s="40">
        <f t="shared" si="151"/>
        <v>38.450000000000003</v>
      </c>
      <c r="RA16" s="40" t="str">
        <f t="shared" si="152"/>
        <v/>
      </c>
      <c r="RB16" s="40">
        <f t="shared" si="153"/>
        <v>6.6</v>
      </c>
      <c r="RC16" s="40">
        <f t="shared" si="154"/>
        <v>38.450000000000003</v>
      </c>
      <c r="RD16" s="40" t="str">
        <f t="shared" si="155"/>
        <v/>
      </c>
      <c r="RE16" s="40" t="str">
        <f t="shared" si="156"/>
        <v/>
      </c>
      <c r="RF16" s="40">
        <f t="shared" si="157"/>
        <v>38.450000000000003</v>
      </c>
    </row>
    <row r="17" spans="1:474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143</v>
      </c>
      <c r="D17" s="4" t="s">
        <v>6</v>
      </c>
      <c r="E17" s="4">
        <v>2007</v>
      </c>
      <c r="F17" s="9">
        <f t="shared" si="0"/>
        <v>131.60000876000439</v>
      </c>
      <c r="G17" s="64"/>
      <c r="H17" s="3" t="str">
        <f>IF(OR(AND(AP17&gt;=AW$39,AQ17&gt;=AW$43,AP17&lt;&gt;"",AO17=""),AND(AU17&gt;=AW$39,AV17&gt;=AW$43,AU17&lt;&gt;"",AO17=""),AND(BS17&gt;=BZ$39,BT17&gt;=BZ$43,BS17&lt;&gt;"",BR17=""),AND(BX17&gt;=BZ$39,BY17&gt;=BZ$43,BX17&lt;&gt;"",BR17=""),AND(CV17&gt;=DC$39,CW17&gt;=DC$43,CV17&lt;&gt;"",CU17=""),AND(DA17&gt;=DC$39,DB17&gt;=DC$43,DA17&lt;&gt;""),AND(DZ17&gt;=EG$39,EA17&gt;=EG$43,DZ17&lt;&gt;""),AND(EE17&gt;=EG$39,EF17&gt;=EG$43,EE17&lt;&gt;""),AND(FB17&gt;=FI$39,FC17&gt;=FI$43,FB17&lt;&gt;""),AND(FG17&gt;=FI$39,FH17&gt;=FI$43,FG17&lt;&gt;""),AND(GD17&gt;=GK$39,GE17&gt;=GK$43,GD17&lt;&gt;""),AND(GI17&gt;=GK$39,GJ17&gt;=GK$43,GI17&lt;&gt;""),AND(HF17&gt;=HM$39,HG17&gt;=HM$43,HF17&lt;&gt;""),AND(HK17&gt;=HM$39,HL17&gt;=HM$43,HK17&lt;&gt;""),AND(IH17&gt;=IO$39,II17&gt;=IO$43,IH17&lt;&gt;""),AND(IM17&gt;=IO$39,IN17&gt;=IO$43,IM17&lt;&gt;""),AND(JJ17&gt;=JQ$39,JK17&gt;=JQ$43,JJ17&lt;&gt;""),AND(JO17&gt;=JQ$39,JP17&gt;=JQ$43,JO17&lt;&gt;""),AND(KL17&gt;=KS$39,KM17&gt;=KS$43,KL17&lt;&gt;""),AND(KQ17&gt;=KS$39,KR17&gt;=KS$43,KQ17&lt;&gt;""),AND(LN17&gt;=LU$39,LO17&gt;=LU$43,LN17&lt;&gt;""),AND(LS17&gt;=LU$39,LT17&gt;=LU$43,LS17&lt;&gt;""),AND(MP17&gt;=MW$39,MQ17&gt;=MW$43,MP17&lt;&gt;""),AND(MU17&gt;=MW$39,MV17&gt;=MW$43,MU17&lt;&gt;""),AND(NR17&gt;=NY$39,NS17&gt;=NY$43,NR17&lt;&gt;""),AND(NW17&gt;=NY$39,NX17&gt;=NY$43,NW17&lt;&gt;""),AND(OT17&gt;=PA$39,OU17&gt;=PA$43,OT17&lt;&gt;""),AND(OY17&gt;=PA$39,OZ17&gt;=PA$43,OY17&lt;&gt;""),AND(PV17&gt;=QC$39,PW17&gt;=QC$43,PV17&lt;&gt;""),AND(QA17&gt;=QC$39,QB17&gt;=QC$43,QA17&lt;&gt;"")),"P","")</f>
        <v/>
      </c>
      <c r="I17" s="3" t="str">
        <f>IF(OR(AND(AQ17&gt;=AW$43,AQ17&lt;&gt;"",AO17=""),AND(AV17&gt;=AW$43,AV17&lt;&gt;"",AO17=""),AND(BT17&gt;=BZ$43,BT17&lt;&gt;"",BR17=""),AND(BY17&gt;=BZ$43,BY17&lt;&gt;"",BR17=""),AND(CW17&gt;=DC$43,CW17&lt;&gt;"",CU17=""),AND(DB17&gt;=DC$43,DB17&lt;&gt;"",CU17=""),AND(EA17&gt;=EG$43,EA17&lt;&gt;""),AND(EF17&gt;=EG$43,EF17&lt;&gt;""),AND(FC17&gt;=FI$43,FC17&lt;&gt;""),AND(FH17&gt;=FI$43,FH17&lt;&gt;""),AND(GE17&gt;=GK$43,GE17&lt;&gt;""),AND(GJ17&gt;=GK$43,GJ17&lt;&gt;""),AND(HG17&gt;=HM$43,HG17&lt;&gt;""),AND(HL17&gt;=HM$43,HL17&lt;&gt;""),AND(II17&gt;=IO$43,II17&lt;&gt;""),AND(IN17&gt;=IO$43,IN17&lt;&gt;""),AND(JK17&gt;=JQ$43,JK17&lt;&gt;""),AND(JP17&gt;=JQ$43,JP17&lt;&gt;""),AND(KM17&gt;=KS$43,KM17&lt;&gt;""),AND(KR17&gt;=KS$43,KR17&lt;&gt;""),AND(LO17&gt;=LU$43,LO17&lt;&gt;""),AND(LT17&gt;=LU$43,LT17&lt;&gt;""),AND(MQ17&gt;=MW$43,MQ17&lt;&gt;""),AND(MV17&gt;=MW$43,MV17&lt;&gt;""),AND(NS17&gt;=NY$43,NS17&lt;&gt;""),AND(NX17&gt;=NY$43,NX17&lt;&gt;""),AND(OU17&gt;=PA$43,OU17&lt;&gt;""),AND(OZ17&gt;=PA$43,OZ17&lt;&gt;""),AND(PW17&gt;=QC$43,PW17&lt;&gt;""),AND(QB17&gt;=QC$43,QB17&lt;&gt;"")),"P","")</f>
        <v/>
      </c>
      <c r="J17" s="36" t="str">
        <f>IF(AND(I17="P",H17=""),"No DD",IF(OR(AND(AS17&gt;=AW$42,AT17&gt;=AW$46,AS17&lt;&gt;"",AO17=""),AND(BV17&gt;=BZ$42,BW17&gt;=BZ$46,BV17&lt;&gt;"",BR17=""),AND(CY17&gt;=DC$42,CZ17&gt;=DC$46,CY17&lt;&gt;"",CU17=""),AND(EC17&gt;=EG$42,ED17&gt;=EG$46,EC17&lt;&gt;""),AND(FE17&gt;=FI$42,FF17&gt;=FI$46,FE17&lt;&gt;""),AND(GG17&gt;=GK$42,GH17&gt;=GK$46,GG17&lt;&gt;""),AND(HI17&gt;=HM$42,HJ17&gt;=HM$46,HI17&lt;&gt;""),AND(IK17&gt;=IO$42,IL17&gt;=IO$46,IK17&lt;&gt;""),AND(JM17&gt;=JQ$42,JN17&gt;=JQ$46,JM17&lt;&gt;""),AND(KO17&gt;=KS$42,KP17&gt;=KS$46,KO17&lt;&gt;""),AND(LQ17&gt;=LU$42,LR17&gt;=LU$46,LQ17&lt;&gt;""),AND(MS17&gt;=MW$42,MT17&gt;=MW$46,MS17&lt;&gt;""),AND(NU17&gt;=NY$42,NV17&gt;=NY$46,NU17&lt;&gt;""),AND(OW17&gt;=PA$42,OX17&gt;=PA$46,OW17&lt;&gt;""),AND(PY17&gt;=QC$42,PZ17&gt;=QC$46,PY17&lt;&gt;"")),"Merit",IF(OR(AND(AS17&gt;=AW$41,AT17&gt;=AW$45,AS17&lt;&gt;"",AO17=""),AND(BV17&gt;=BZ$41,BW17&gt;=BZ$45,BV17&lt;&gt;"",BR17=""),AND(CY17&gt;=DC$41,CZ17&gt;=DC$45,CY17&lt;&gt;"",CU17=""),AND(EC17&gt;=EG$41,ED17&gt;=EG$45,EC17&lt;&gt;""),AND(FE17&gt;=FI$41,FF17&gt;=FI$45,FE17&lt;&gt;""),AND(GG17&gt;=GK$41,GH17&gt;=GK$45,GG17&lt;&gt;""),AND(HI17&gt;=HM$41,HJ17&gt;=HM$45,HI17&lt;&gt;""),AND(IK17&gt;=IO$41,IL17&gt;=IO$45,IK17&lt;&gt;""),AND(JM17&gt;=JQ$41,JN17&gt;=JQ$45,JM17&lt;&gt;""),AND(KO17&gt;=KS$41,KP17&gt;=KS$45,KO17&lt;&gt;""),AND(LQ17&gt;=LU$41,LR17&gt;=LU$45,LQ17&lt;&gt;""),AND(MS17&gt;=MW$41,MT17&gt;=MW$45,MS17&lt;&gt;""),AND(NU17&gt;=NY$41,NV17&gt;=NY$45,NU17&lt;&gt;""),AND(OW17&gt;=PA$41,OX17&gt;=PA$45,OW17&lt;&gt;""),AND(PY17&gt;=QC$41,PZ17&gt;=QC$45,PY17&lt;&gt;"")),"Excellence",IF(K17="P","Worlds Team",IF(H17="P","National Team","")))))</f>
        <v/>
      </c>
      <c r="K17" s="3" t="str">
        <f>IF(OR(AND(AS17&gt;=AW$40,AT17&gt;=AW$44,AS17&lt;&gt;"",AO17=""),AND(BV17&gt;=BZ$40,BW17&gt;=BZ$44,BV17&lt;&gt;"",BR17=""),AND(CY17&gt;=DC$40,CZ17&gt;=DC$44,CY17&lt;&gt;"",CU17=""),AND(EC17&gt;=EG$40,ED17&gt;=EG$44,EC17&lt;&gt;""),AND(FE17&gt;=FI$40,FF17&gt;=FI$44,FE17&lt;&gt;""),AND(GG17&gt;=GK$40,GH17&gt;=GK$44,GG17&lt;&gt;""),AND(HI17&gt;=HM$40,HJ17&gt;=HM$44,HI17&lt;&gt;""),AND(IK17&gt;=IO$40,IL17&gt;=IO$44,IK17&lt;&gt;""),AND(JM17&gt;=JQ$40,JN17&gt;=JQ$44,JM17&lt;&gt;""),AND(KO17&gt;=KS$40,KP17&gt;=KS$44,KO17&lt;&gt;""),AND(LQ17&gt;=LU$40,LR17&gt;=LU$44,LQ17&lt;&gt;""),AND(MS17&gt;=MW$40,MT17&gt;=MW$44,MS17&lt;&gt;""),AND(NU17&gt;=NY$40,NV17&gt;=NY$44,NU17&lt;&gt;""),AND(OW17&gt;=PA$40,OX17&gt;=PA$44,OW17&lt;&gt;""),AND(PY17&gt;=QC$40,PZ17&gt;=QC$44,PY17&lt;&gt;"")),"P","")</f>
        <v/>
      </c>
      <c r="L17" s="8">
        <f>IF(COUNT(AQ17,BT17,CW17)&gt;0,LARGE((AQ17,BT17,CW17),1),0)</f>
        <v>44</v>
      </c>
      <c r="M17" s="8" t="str">
        <f t="shared" si="1"/>
        <v>2025 Nationals</v>
      </c>
      <c r="N17" s="8">
        <f>IF(COUNT(AQ17,BT17,CW17)&gt;1,LARGE((AQ17,BT17,CW17),2),0)</f>
        <v>43.6</v>
      </c>
      <c r="O17" s="8" t="str">
        <f t="shared" si="2"/>
        <v>2025 Elite Canada</v>
      </c>
      <c r="P17" s="8">
        <f t="shared" si="3"/>
        <v>44</v>
      </c>
      <c r="Q17" s="8" t="str">
        <f t="shared" si="4"/>
        <v>2025 Elite Canada</v>
      </c>
      <c r="R17" s="8" t="str">
        <f t="shared" si="5"/>
        <v/>
      </c>
      <c r="S17" s="11" t="str">
        <f t="shared" si="6"/>
        <v/>
      </c>
      <c r="T17" s="8" t="str">
        <f t="shared" si="7"/>
        <v/>
      </c>
      <c r="U17" s="19">
        <v>17.399999999999999</v>
      </c>
      <c r="V17" s="19">
        <v>0.7</v>
      </c>
      <c r="W17" s="19">
        <v>0</v>
      </c>
      <c r="X17" s="19">
        <v>0</v>
      </c>
      <c r="Y17" s="19">
        <v>18.8</v>
      </c>
      <c r="Z17" s="19">
        <v>3</v>
      </c>
      <c r="AA17" s="19">
        <v>0</v>
      </c>
      <c r="AB17" s="19">
        <v>0</v>
      </c>
      <c r="AC17" s="19">
        <v>18.899999999999999</v>
      </c>
      <c r="AD17" s="19">
        <v>3.4</v>
      </c>
      <c r="AE17" s="19">
        <v>0.6</v>
      </c>
      <c r="AF17" s="19">
        <v>0</v>
      </c>
      <c r="AG17" s="19">
        <v>18.8</v>
      </c>
      <c r="AH17" s="19">
        <v>3.5</v>
      </c>
      <c r="AI17" s="19">
        <v>0.2</v>
      </c>
      <c r="AJ17" s="19">
        <v>0</v>
      </c>
      <c r="AK17" s="19">
        <v>18.600000000000001</v>
      </c>
      <c r="AL17" s="19">
        <v>3</v>
      </c>
      <c r="AM17" s="19">
        <v>0.6</v>
      </c>
      <c r="AN17" s="19">
        <v>0</v>
      </c>
      <c r="AO17" s="27"/>
      <c r="AP17" s="40">
        <f t="shared" si="8"/>
        <v>3.7</v>
      </c>
      <c r="AQ17" s="40">
        <f t="shared" si="9"/>
        <v>39.9</v>
      </c>
      <c r="AR17" s="40">
        <f t="shared" si="10"/>
        <v>21.699999999999996</v>
      </c>
      <c r="AS17" s="40">
        <f t="shared" si="11"/>
        <v>7.1</v>
      </c>
      <c r="AT17" s="40">
        <f t="shared" si="12"/>
        <v>61.599999999999994</v>
      </c>
      <c r="AU17" s="40">
        <f t="shared" si="13"/>
        <v>6.5</v>
      </c>
      <c r="AV17" s="40">
        <f t="shared" si="14"/>
        <v>43.100000000000009</v>
      </c>
      <c r="AW17" s="40">
        <f t="shared" si="15"/>
        <v>104.7</v>
      </c>
      <c r="AX17" s="18">
        <v>18.8</v>
      </c>
      <c r="AY17" s="18">
        <v>3.5</v>
      </c>
      <c r="AZ17" s="18">
        <v>0</v>
      </c>
      <c r="BA17" s="18">
        <v>0</v>
      </c>
      <c r="BB17" s="18">
        <v>18.3</v>
      </c>
      <c r="BC17" s="18">
        <v>3.6</v>
      </c>
      <c r="BD17" s="18">
        <v>0.6</v>
      </c>
      <c r="BE17" s="18">
        <v>0</v>
      </c>
      <c r="BF17" s="18"/>
      <c r="BG17" s="18"/>
      <c r="BH17" s="18"/>
      <c r="BI17" s="18"/>
      <c r="BJ17" s="18">
        <v>18.399999999999999</v>
      </c>
      <c r="BK17" s="18">
        <v>3.5</v>
      </c>
      <c r="BL17" s="18">
        <v>0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 t="shared" si="16"/>
        <v>7.1</v>
      </c>
      <c r="BT17" s="11">
        <f t="shared" si="17"/>
        <v>43.6</v>
      </c>
      <c r="BU17" s="11" t="str">
        <f t="shared" si="18"/>
        <v/>
      </c>
      <c r="BV17" s="11">
        <f t="shared" si="19"/>
        <v>7.1</v>
      </c>
      <c r="BW17" s="11">
        <f t="shared" si="20"/>
        <v>43.6</v>
      </c>
      <c r="BX17" s="11">
        <f t="shared" si="21"/>
        <v>7.1</v>
      </c>
      <c r="BY17" s="11">
        <f t="shared" si="22"/>
        <v>44</v>
      </c>
      <c r="BZ17" s="11">
        <f t="shared" si="23"/>
        <v>87.6</v>
      </c>
      <c r="CA17" s="19">
        <v>18.2</v>
      </c>
      <c r="CB17" s="19">
        <v>3.5</v>
      </c>
      <c r="CC17" s="19">
        <v>0.2</v>
      </c>
      <c r="CD17" s="19">
        <v>0</v>
      </c>
      <c r="CE17" s="19">
        <v>19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15.4</v>
      </c>
      <c r="CN17" s="19">
        <v>0.7</v>
      </c>
      <c r="CO17" s="19">
        <v>0</v>
      </c>
      <c r="CP17" s="19">
        <v>0</v>
      </c>
      <c r="CQ17" s="19">
        <v>18.899999999999999</v>
      </c>
      <c r="CR17" s="19">
        <v>2.7</v>
      </c>
      <c r="CS17" s="19">
        <v>1</v>
      </c>
      <c r="CT17" s="19">
        <v>0</v>
      </c>
      <c r="CU17" s="27"/>
      <c r="CV17" s="40">
        <f t="shared" si="24"/>
        <v>7</v>
      </c>
      <c r="CW17" s="40">
        <f t="shared" si="25"/>
        <v>44</v>
      </c>
      <c r="CX17" s="40" t="str">
        <f t="shared" si="26"/>
        <v/>
      </c>
      <c r="CY17" s="40">
        <f t="shared" si="27"/>
        <v>7</v>
      </c>
      <c r="CZ17" s="40">
        <f t="shared" si="28"/>
        <v>44</v>
      </c>
      <c r="DA17" s="40">
        <f t="shared" si="29"/>
        <v>3.4000000000000004</v>
      </c>
      <c r="DB17" s="40">
        <f t="shared" si="30"/>
        <v>36.700000000000003</v>
      </c>
      <c r="DC17" s="40">
        <f t="shared" si="31"/>
        <v>80.7</v>
      </c>
      <c r="DD17" s="50" t="str">
        <f t="shared" si="32"/>
        <v/>
      </c>
      <c r="DE17" s="50" t="str">
        <f t="shared" si="33"/>
        <v/>
      </c>
      <c r="DF17" s="17">
        <v>18.2</v>
      </c>
      <c r="DG17" s="17">
        <v>3.4</v>
      </c>
      <c r="DH17" s="17">
        <v>0</v>
      </c>
      <c r="DI17" s="17">
        <v>0</v>
      </c>
      <c r="DJ17" s="17">
        <v>18.5</v>
      </c>
      <c r="DK17" s="17">
        <v>3.7</v>
      </c>
      <c r="DL17" s="17">
        <v>0.2</v>
      </c>
      <c r="DM17" s="17">
        <v>0</v>
      </c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>
        <f t="shared" si="34"/>
        <v>7.1</v>
      </c>
      <c r="EA17" s="40">
        <f t="shared" si="35"/>
        <v>43.599999999999994</v>
      </c>
      <c r="EB17" s="40" t="str">
        <f t="shared" si="36"/>
        <v/>
      </c>
      <c r="EC17" s="40">
        <f t="shared" si="37"/>
        <v>7.1</v>
      </c>
      <c r="ED17" s="40">
        <f t="shared" si="38"/>
        <v>43.599999999999994</v>
      </c>
      <c r="EE17" s="40" t="str">
        <f t="shared" si="39"/>
        <v/>
      </c>
      <c r="EF17" s="40" t="str">
        <f t="shared" si="40"/>
        <v/>
      </c>
      <c r="EG17" s="40">
        <f t="shared" si="41"/>
        <v>43.599999999999994</v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2"/>
        <v/>
      </c>
      <c r="FC17" s="11" t="str">
        <f t="shared" si="43"/>
        <v/>
      </c>
      <c r="FD17" s="11" t="str">
        <f t="shared" si="44"/>
        <v/>
      </c>
      <c r="FE17" s="11" t="str">
        <f t="shared" si="45"/>
        <v/>
      </c>
      <c r="FF17" s="11" t="str">
        <f t="shared" si="46"/>
        <v/>
      </c>
      <c r="FG17" s="11" t="str">
        <f t="shared" si="47"/>
        <v/>
      </c>
      <c r="FH17" s="11" t="str">
        <f t="shared" si="48"/>
        <v/>
      </c>
      <c r="FI17" s="11" t="str">
        <f t="shared" si="49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0"/>
        <v/>
      </c>
      <c r="GE17" s="40" t="str">
        <f t="shared" si="51"/>
        <v/>
      </c>
      <c r="GF17" s="40" t="str">
        <f t="shared" si="52"/>
        <v/>
      </c>
      <c r="GG17" s="40" t="str">
        <f t="shared" si="53"/>
        <v/>
      </c>
      <c r="GH17" s="40" t="str">
        <f t="shared" si="54"/>
        <v/>
      </c>
      <c r="GI17" s="40" t="str">
        <f t="shared" si="55"/>
        <v/>
      </c>
      <c r="GJ17" s="40" t="str">
        <f t="shared" si="56"/>
        <v/>
      </c>
      <c r="GK17" s="40" t="str">
        <f t="shared" si="57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58"/>
        <v/>
      </c>
      <c r="HG17" s="11" t="str">
        <f t="shared" si="59"/>
        <v/>
      </c>
      <c r="HH17" s="11" t="str">
        <f t="shared" si="60"/>
        <v/>
      </c>
      <c r="HI17" s="11" t="str">
        <f t="shared" si="61"/>
        <v/>
      </c>
      <c r="HJ17" s="11" t="str">
        <f t="shared" si="62"/>
        <v/>
      </c>
      <c r="HK17" s="11" t="str">
        <f t="shared" si="63"/>
        <v/>
      </c>
      <c r="HL17" s="11" t="str">
        <f t="shared" si="64"/>
        <v/>
      </c>
      <c r="HM17" s="11" t="str">
        <f t="shared" si="65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6"/>
        <v/>
      </c>
      <c r="II17" s="40" t="str">
        <f t="shared" si="67"/>
        <v/>
      </c>
      <c r="IJ17" s="40" t="str">
        <f t="shared" si="68"/>
        <v/>
      </c>
      <c r="IK17" s="40" t="str">
        <f t="shared" si="69"/>
        <v/>
      </c>
      <c r="IL17" s="40" t="str">
        <f t="shared" si="70"/>
        <v/>
      </c>
      <c r="IM17" s="40" t="str">
        <f t="shared" si="71"/>
        <v/>
      </c>
      <c r="IN17" s="40" t="str">
        <f t="shared" si="72"/>
        <v/>
      </c>
      <c r="IO17" s="40" t="str">
        <f t="shared" si="73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4"/>
        <v/>
      </c>
      <c r="JK17" s="11" t="str">
        <f t="shared" si="75"/>
        <v/>
      </c>
      <c r="JL17" s="11" t="str">
        <f t="shared" si="76"/>
        <v/>
      </c>
      <c r="JM17" s="11" t="str">
        <f t="shared" si="77"/>
        <v/>
      </c>
      <c r="JN17" s="11" t="str">
        <f t="shared" si="78"/>
        <v/>
      </c>
      <c r="JO17" s="11" t="str">
        <f t="shared" si="79"/>
        <v/>
      </c>
      <c r="JP17" s="11" t="str">
        <f t="shared" si="80"/>
        <v/>
      </c>
      <c r="JQ17" s="11" t="str">
        <f t="shared" si="81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2"/>
        <v/>
      </c>
      <c r="KM17" s="40" t="str">
        <f t="shared" si="83"/>
        <v/>
      </c>
      <c r="KN17" s="40" t="str">
        <f t="shared" si="84"/>
        <v/>
      </c>
      <c r="KO17" s="40" t="str">
        <f t="shared" si="85"/>
        <v/>
      </c>
      <c r="KP17" s="40" t="str">
        <f t="shared" si="86"/>
        <v/>
      </c>
      <c r="KQ17" s="40" t="str">
        <f t="shared" si="87"/>
        <v/>
      </c>
      <c r="KR17" s="40" t="str">
        <f t="shared" si="88"/>
        <v/>
      </c>
      <c r="KS17" s="40" t="str">
        <f t="shared" si="89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0"/>
        <v/>
      </c>
      <c r="LO17" s="11" t="str">
        <f t="shared" si="91"/>
        <v/>
      </c>
      <c r="LP17" s="11" t="str">
        <f t="shared" si="92"/>
        <v/>
      </c>
      <c r="LQ17" s="11" t="str">
        <f t="shared" si="93"/>
        <v/>
      </c>
      <c r="LR17" s="11" t="str">
        <f t="shared" si="94"/>
        <v/>
      </c>
      <c r="LS17" s="11" t="str">
        <f t="shared" si="95"/>
        <v/>
      </c>
      <c r="LT17" s="11" t="str">
        <f t="shared" si="96"/>
        <v/>
      </c>
      <c r="LU17" s="11" t="str">
        <f t="shared" si="97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98"/>
        <v/>
      </c>
      <c r="MQ17" s="40" t="str">
        <f t="shared" si="99"/>
        <v/>
      </c>
      <c r="MR17" s="40" t="str">
        <f t="shared" si="100"/>
        <v/>
      </c>
      <c r="MS17" s="40" t="str">
        <f t="shared" si="101"/>
        <v/>
      </c>
      <c r="MT17" s="40" t="str">
        <f t="shared" si="102"/>
        <v/>
      </c>
      <c r="MU17" s="40" t="str">
        <f t="shared" si="103"/>
        <v/>
      </c>
      <c r="MV17" s="40" t="str">
        <f t="shared" si="104"/>
        <v/>
      </c>
      <c r="MW17" s="40" t="str">
        <f t="shared" si="105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6"/>
        <v/>
      </c>
      <c r="NS17" s="11" t="str">
        <f t="shared" si="107"/>
        <v/>
      </c>
      <c r="NT17" s="11" t="str">
        <f t="shared" si="108"/>
        <v/>
      </c>
      <c r="NU17" s="11" t="str">
        <f t="shared" si="109"/>
        <v/>
      </c>
      <c r="NV17" s="11" t="str">
        <f t="shared" si="110"/>
        <v/>
      </c>
      <c r="NW17" s="11" t="str">
        <f t="shared" si="111"/>
        <v/>
      </c>
      <c r="NX17" s="11" t="str">
        <f t="shared" si="112"/>
        <v/>
      </c>
      <c r="NY17" s="11" t="str">
        <f t="shared" si="113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4"/>
        <v/>
      </c>
      <c r="OU17" s="40" t="str">
        <f t="shared" si="115"/>
        <v/>
      </c>
      <c r="OV17" s="40" t="str">
        <f t="shared" si="116"/>
        <v/>
      </c>
      <c r="OW17" s="40" t="str">
        <f t="shared" si="117"/>
        <v/>
      </c>
      <c r="OX17" s="40" t="str">
        <f t="shared" si="118"/>
        <v/>
      </c>
      <c r="OY17" s="40" t="str">
        <f t="shared" si="119"/>
        <v/>
      </c>
      <c r="OZ17" s="40" t="str">
        <f t="shared" si="120"/>
        <v/>
      </c>
      <c r="PA17" s="40" t="str">
        <f t="shared" si="121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2"/>
        <v/>
      </c>
      <c r="PW17" s="11" t="str">
        <f t="shared" si="123"/>
        <v/>
      </c>
      <c r="PX17" s="11" t="str">
        <f t="shared" si="124"/>
        <v/>
      </c>
      <c r="PY17" s="11" t="str">
        <f t="shared" si="125"/>
        <v/>
      </c>
      <c r="PZ17" s="11" t="str">
        <f t="shared" si="126"/>
        <v/>
      </c>
      <c r="QA17" s="11" t="str">
        <f t="shared" si="127"/>
        <v/>
      </c>
      <c r="QB17" s="11" t="str">
        <f t="shared" si="128"/>
        <v/>
      </c>
      <c r="QC17" s="11" t="str">
        <f t="shared" si="129"/>
        <v/>
      </c>
      <c r="QD17" s="22">
        <f t="shared" si="130"/>
        <v>18.5</v>
      </c>
      <c r="QE17" s="22">
        <f t="shared" si="131"/>
        <v>3.5</v>
      </c>
      <c r="QF17" s="22">
        <f t="shared" si="132"/>
        <v>0.1</v>
      </c>
      <c r="QG17" s="22">
        <f t="shared" si="133"/>
        <v>0</v>
      </c>
      <c r="QH17" s="22">
        <f t="shared" si="134"/>
        <v>18.649999999999999</v>
      </c>
      <c r="QI17" s="22">
        <f t="shared" si="135"/>
        <v>3.55</v>
      </c>
      <c r="QJ17" s="22">
        <f t="shared" si="136"/>
        <v>0.3</v>
      </c>
      <c r="QK17" s="22">
        <f t="shared" si="137"/>
        <v>0</v>
      </c>
      <c r="QL17" s="22">
        <f t="shared" si="138"/>
        <v>0</v>
      </c>
      <c r="QM17" s="22">
        <f t="shared" si="139"/>
        <v>0</v>
      </c>
      <c r="QN17" s="22">
        <f t="shared" si="140"/>
        <v>0</v>
      </c>
      <c r="QO17" s="22">
        <f t="shared" si="141"/>
        <v>0</v>
      </c>
      <c r="QP17" s="22">
        <f t="shared" si="142"/>
        <v>16.899999999999999</v>
      </c>
      <c r="QQ17" s="22">
        <f t="shared" si="143"/>
        <v>2.1</v>
      </c>
      <c r="QR17" s="22">
        <f t="shared" si="144"/>
        <v>0</v>
      </c>
      <c r="QS17" s="22">
        <f t="shared" si="145"/>
        <v>0</v>
      </c>
      <c r="QT17" s="22">
        <f t="shared" si="146"/>
        <v>18.7</v>
      </c>
      <c r="QU17" s="22">
        <f t="shared" si="147"/>
        <v>3.1500000000000004</v>
      </c>
      <c r="QV17" s="22">
        <f t="shared" si="148"/>
        <v>0.5</v>
      </c>
      <c r="QW17" s="22">
        <f t="shared" si="149"/>
        <v>0</v>
      </c>
      <c r="QX17" s="27" t="s">
        <v>46</v>
      </c>
      <c r="QY17" s="40">
        <f t="shared" si="150"/>
        <v>7.05</v>
      </c>
      <c r="QZ17" s="40">
        <f t="shared" si="151"/>
        <v>43.8</v>
      </c>
      <c r="RA17" s="40" t="str">
        <f t="shared" si="152"/>
        <v/>
      </c>
      <c r="RB17" s="40">
        <f t="shared" si="153"/>
        <v>7.05</v>
      </c>
      <c r="RC17" s="40">
        <f t="shared" si="154"/>
        <v>43.8</v>
      </c>
      <c r="RD17" s="40">
        <f t="shared" si="155"/>
        <v>5.25</v>
      </c>
      <c r="RE17" s="40">
        <f t="shared" si="156"/>
        <v>40.35</v>
      </c>
      <c r="RF17" s="40">
        <f t="shared" si="157"/>
        <v>84.15</v>
      </c>
    </row>
    <row r="18" spans="1:474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156</v>
      </c>
      <c r="D18" s="4" t="s">
        <v>5</v>
      </c>
      <c r="E18" s="4">
        <v>2006</v>
      </c>
      <c r="F18" s="9">
        <f t="shared" si="0"/>
        <v>128.50000841000443</v>
      </c>
      <c r="G18" s="64"/>
      <c r="H18" s="3" t="str">
        <f>IF(OR(AND(AP18&gt;=AW$39,AQ18&gt;=AW$43,AP18&lt;&gt;"",AO18=""),AND(AU18&gt;=AW$39,AV18&gt;=AW$43,AU18&lt;&gt;"",AO18=""),AND(BS18&gt;=BZ$39,BT18&gt;=BZ$43,BS18&lt;&gt;"",BR18=""),AND(BX18&gt;=BZ$39,BY18&gt;=BZ$43,BX18&lt;&gt;"",BR18=""),AND(CV18&gt;=DC$39,CW18&gt;=DC$43,CV18&lt;&gt;"",CU18=""),AND(DA18&gt;=DC$39,DB18&gt;=DC$43,DA18&lt;&gt;""),AND(DZ18&gt;=EG$39,EA18&gt;=EG$43,DZ18&lt;&gt;""),AND(EE18&gt;=EG$39,EF18&gt;=EG$43,EE18&lt;&gt;""),AND(FB18&gt;=FI$39,FC18&gt;=FI$43,FB18&lt;&gt;""),AND(FG18&gt;=FI$39,FH18&gt;=FI$43,FG18&lt;&gt;""),AND(GD18&gt;=GK$39,GE18&gt;=GK$43,GD18&lt;&gt;""),AND(GI18&gt;=GK$39,GJ18&gt;=GK$43,GI18&lt;&gt;""),AND(HF18&gt;=HM$39,HG18&gt;=HM$43,HF18&lt;&gt;""),AND(HK18&gt;=HM$39,HL18&gt;=HM$43,HK18&lt;&gt;""),AND(IH18&gt;=IO$39,II18&gt;=IO$43,IH18&lt;&gt;""),AND(IM18&gt;=IO$39,IN18&gt;=IO$43,IM18&lt;&gt;""),AND(JJ18&gt;=JQ$39,JK18&gt;=JQ$43,JJ18&lt;&gt;""),AND(JO18&gt;=JQ$39,JP18&gt;=JQ$43,JO18&lt;&gt;""),AND(KL18&gt;=KS$39,KM18&gt;=KS$43,KL18&lt;&gt;""),AND(KQ18&gt;=KS$39,KR18&gt;=KS$43,KQ18&lt;&gt;""),AND(LN18&gt;=LU$39,LO18&gt;=LU$43,LN18&lt;&gt;""),AND(LS18&gt;=LU$39,LT18&gt;=LU$43,LS18&lt;&gt;""),AND(MP18&gt;=MW$39,MQ18&gt;=MW$43,MP18&lt;&gt;""),AND(MU18&gt;=MW$39,MV18&gt;=MW$43,MU18&lt;&gt;""),AND(NR18&gt;=NY$39,NS18&gt;=NY$43,NR18&lt;&gt;""),AND(NW18&gt;=NY$39,NX18&gt;=NY$43,NW18&lt;&gt;""),AND(OT18&gt;=PA$39,OU18&gt;=PA$43,OT18&lt;&gt;""),AND(OY18&gt;=PA$39,OZ18&gt;=PA$43,OY18&lt;&gt;""),AND(PV18&gt;=QC$39,PW18&gt;=QC$43,PV18&lt;&gt;""),AND(QA18&gt;=QC$39,QB18&gt;=QC$43,QA18&lt;&gt;"")),"P","")</f>
        <v/>
      </c>
      <c r="I18" s="3" t="str">
        <f>IF(OR(AND(AQ18&gt;=AW$43,AQ18&lt;&gt;"",AO18=""),AND(AV18&gt;=AW$43,AV18&lt;&gt;"",AO18=""),AND(BT18&gt;=BZ$43,BT18&lt;&gt;"",BR18=""),AND(BY18&gt;=BZ$43,BY18&lt;&gt;"",BR18=""),AND(CW18&gt;=DC$43,CW18&lt;&gt;"",CU18=""),AND(DB18&gt;=DC$43,DB18&lt;&gt;"",CU18=""),AND(EA18&gt;=EG$43,EA18&lt;&gt;""),AND(EF18&gt;=EG$43,EF18&lt;&gt;""),AND(FC18&gt;=FI$43,FC18&lt;&gt;""),AND(FH18&gt;=FI$43,FH18&lt;&gt;""),AND(GE18&gt;=GK$43,GE18&lt;&gt;""),AND(GJ18&gt;=GK$43,GJ18&lt;&gt;""),AND(HG18&gt;=HM$43,HG18&lt;&gt;""),AND(HL18&gt;=HM$43,HL18&lt;&gt;""),AND(II18&gt;=IO$43,II18&lt;&gt;""),AND(IN18&gt;=IO$43,IN18&lt;&gt;""),AND(JK18&gt;=JQ$43,JK18&lt;&gt;""),AND(JP18&gt;=JQ$43,JP18&lt;&gt;""),AND(KM18&gt;=KS$43,KM18&lt;&gt;""),AND(KR18&gt;=KS$43,KR18&lt;&gt;""),AND(LO18&gt;=LU$43,LO18&lt;&gt;""),AND(LT18&gt;=LU$43,LT18&lt;&gt;""),AND(MQ18&gt;=MW$43,MQ18&lt;&gt;""),AND(MV18&gt;=MW$43,MV18&lt;&gt;""),AND(NS18&gt;=NY$43,NS18&lt;&gt;""),AND(NX18&gt;=NY$43,NX18&lt;&gt;""),AND(OU18&gt;=PA$43,OU18&lt;&gt;""),AND(OZ18&gt;=PA$43,OZ18&lt;&gt;""),AND(PW18&gt;=QC$43,PW18&lt;&gt;""),AND(QB18&gt;=QC$43,QB18&lt;&gt;"")),"P","")</f>
        <v/>
      </c>
      <c r="J18" s="36" t="str">
        <f>IF(AND(I18="P",H18=""),"No DD",IF(OR(AND(AS18&gt;=AW$42,AT18&gt;=AW$46,AS18&lt;&gt;"",AO18=""),AND(BV18&gt;=BZ$42,BW18&gt;=BZ$46,BV18&lt;&gt;"",BR18=""),AND(CY18&gt;=DC$42,CZ18&gt;=DC$46,CY18&lt;&gt;"",CU18=""),AND(EC18&gt;=EG$42,ED18&gt;=EG$46,EC18&lt;&gt;""),AND(FE18&gt;=FI$42,FF18&gt;=FI$46,FE18&lt;&gt;""),AND(GG18&gt;=GK$42,GH18&gt;=GK$46,GG18&lt;&gt;""),AND(HI18&gt;=HM$42,HJ18&gt;=HM$46,HI18&lt;&gt;""),AND(IK18&gt;=IO$42,IL18&gt;=IO$46,IK18&lt;&gt;""),AND(JM18&gt;=JQ$42,JN18&gt;=JQ$46,JM18&lt;&gt;""),AND(KO18&gt;=KS$42,KP18&gt;=KS$46,KO18&lt;&gt;""),AND(LQ18&gt;=LU$42,LR18&gt;=LU$46,LQ18&lt;&gt;""),AND(MS18&gt;=MW$42,MT18&gt;=MW$46,MS18&lt;&gt;""),AND(NU18&gt;=NY$42,NV18&gt;=NY$46,NU18&lt;&gt;""),AND(OW18&gt;=PA$42,OX18&gt;=PA$46,OW18&lt;&gt;""),AND(PY18&gt;=QC$42,PZ18&gt;=QC$46,PY18&lt;&gt;"")),"Merit",IF(OR(AND(AS18&gt;=AW$41,AT18&gt;=AW$45,AS18&lt;&gt;"",AO18=""),AND(BV18&gt;=BZ$41,BW18&gt;=BZ$45,BV18&lt;&gt;"",BR18=""),AND(CY18&gt;=DC$41,CZ18&gt;=DC$45,CY18&lt;&gt;"",CU18=""),AND(EC18&gt;=EG$41,ED18&gt;=EG$45,EC18&lt;&gt;""),AND(FE18&gt;=FI$41,FF18&gt;=FI$45,FE18&lt;&gt;""),AND(GG18&gt;=GK$41,GH18&gt;=GK$45,GG18&lt;&gt;""),AND(HI18&gt;=HM$41,HJ18&gt;=HM$45,HI18&lt;&gt;""),AND(IK18&gt;=IO$41,IL18&gt;=IO$45,IK18&lt;&gt;""),AND(JM18&gt;=JQ$41,JN18&gt;=JQ$45,JM18&lt;&gt;""),AND(KO18&gt;=KS$41,KP18&gt;=KS$45,KO18&lt;&gt;""),AND(LQ18&gt;=LU$41,LR18&gt;=LU$45,LQ18&lt;&gt;""),AND(MS18&gt;=MW$41,MT18&gt;=MW$45,MS18&lt;&gt;""),AND(NU18&gt;=NY$41,NV18&gt;=NY$45,NU18&lt;&gt;""),AND(OW18&gt;=PA$41,OX18&gt;=PA$45,OW18&lt;&gt;""),AND(PY18&gt;=QC$41,PZ18&gt;=QC$45,PY18&lt;&gt;"")),"Excellence",IF(K18="P","Worlds Team",IF(H18="P","National Team","")))))</f>
        <v/>
      </c>
      <c r="K18" s="3" t="str">
        <f>IF(OR(AND(AS18&gt;=AW$40,AT18&gt;=AW$44,AS18&lt;&gt;"",AO18=""),AND(BV18&gt;=BZ$40,BW18&gt;=BZ$44,BV18&lt;&gt;"",BR18=""),AND(CY18&gt;=DC$40,CZ18&gt;=DC$44,CY18&lt;&gt;"",CU18=""),AND(EC18&gt;=EG$40,ED18&gt;=EG$44,EC18&lt;&gt;""),AND(FE18&gt;=FI$40,FF18&gt;=FI$44,FE18&lt;&gt;""),AND(GG18&gt;=GK$40,GH18&gt;=GK$44,GG18&lt;&gt;""),AND(HI18&gt;=HM$40,HJ18&gt;=HM$44,HI18&lt;&gt;""),AND(IK18&gt;=IO$40,IL18&gt;=IO$44,IK18&lt;&gt;""),AND(JM18&gt;=JQ$40,JN18&gt;=JQ$44,JM18&lt;&gt;""),AND(KO18&gt;=KS$40,KP18&gt;=KS$44,KO18&lt;&gt;""),AND(LQ18&gt;=LU$40,LR18&gt;=LU$44,LQ18&lt;&gt;""),AND(MS18&gt;=MW$40,MT18&gt;=MW$44,MS18&lt;&gt;""),AND(NU18&gt;=NY$40,NV18&gt;=NY$44,NU18&lt;&gt;""),AND(OW18&gt;=PA$40,OX18&gt;=PA$44,OW18&lt;&gt;""),AND(PY18&gt;=QC$40,PZ18&gt;=QC$44,PY18&lt;&gt;"")),"P","")</f>
        <v/>
      </c>
      <c r="L18" s="8">
        <f>IF(COUNT(AQ18,BT18,CW18)&gt;0,LARGE((AQ18,BT18,CW18),1),0)</f>
        <v>44.399999999999991</v>
      </c>
      <c r="M18" s="8" t="str">
        <f t="shared" si="1"/>
        <v>2025 Nationals</v>
      </c>
      <c r="N18" s="8">
        <f>IF(COUNT(AQ18,BT18,CW18)&gt;1,LARGE((AQ18,BT18,CW18),2),0)</f>
        <v>39.700000000000003</v>
      </c>
      <c r="O18" s="8" t="str">
        <f t="shared" si="2"/>
        <v>2025 Elite Canada</v>
      </c>
      <c r="P18" s="8">
        <f t="shared" si="3"/>
        <v>44.400000000000006</v>
      </c>
      <c r="Q18" s="8" t="str">
        <f t="shared" si="4"/>
        <v>2025 Nationals</v>
      </c>
      <c r="R18" s="8" t="str">
        <f t="shared" si="5"/>
        <v/>
      </c>
      <c r="S18" s="11" t="str">
        <f t="shared" si="6"/>
        <v/>
      </c>
      <c r="T18" s="8" t="str">
        <f t="shared" si="7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8"/>
        <v/>
      </c>
      <c r="AQ18" s="40" t="str">
        <f t="shared" si="9"/>
        <v/>
      </c>
      <c r="AR18" s="40" t="str">
        <f t="shared" si="10"/>
        <v/>
      </c>
      <c r="AS18" s="40" t="str">
        <f t="shared" si="11"/>
        <v/>
      </c>
      <c r="AT18" s="40" t="str">
        <f t="shared" si="12"/>
        <v/>
      </c>
      <c r="AU18" s="40" t="str">
        <f t="shared" si="13"/>
        <v/>
      </c>
      <c r="AV18" s="40" t="str">
        <f t="shared" si="14"/>
        <v/>
      </c>
      <c r="AW18" s="40" t="str">
        <f t="shared" si="15"/>
        <v/>
      </c>
      <c r="AX18" s="18">
        <v>18.2</v>
      </c>
      <c r="AY18" s="18">
        <v>5.2</v>
      </c>
      <c r="AZ18" s="18">
        <v>0.2</v>
      </c>
      <c r="BA18" s="18">
        <v>0</v>
      </c>
      <c r="BB18" s="18">
        <v>15.8</v>
      </c>
      <c r="BC18" s="18">
        <v>0.7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16"/>
        <v>5.9</v>
      </c>
      <c r="BT18" s="11">
        <f t="shared" si="17"/>
        <v>39.700000000000003</v>
      </c>
      <c r="BU18" s="11" t="str">
        <f t="shared" si="18"/>
        <v/>
      </c>
      <c r="BV18" s="11">
        <f t="shared" si="19"/>
        <v>5.9</v>
      </c>
      <c r="BW18" s="11">
        <f t="shared" si="20"/>
        <v>39.700000000000003</v>
      </c>
      <c r="BX18" s="11" t="str">
        <f t="shared" si="21"/>
        <v/>
      </c>
      <c r="BY18" s="11" t="str">
        <f t="shared" si="22"/>
        <v/>
      </c>
      <c r="BZ18" s="11">
        <f t="shared" si="23"/>
        <v>39.700000000000003</v>
      </c>
      <c r="CA18" s="19">
        <v>17.7</v>
      </c>
      <c r="CB18" s="19">
        <v>5.2</v>
      </c>
      <c r="CC18" s="19">
        <v>0</v>
      </c>
      <c r="CD18" s="19">
        <v>0</v>
      </c>
      <c r="CE18" s="19">
        <v>18.2</v>
      </c>
      <c r="CF18" s="19">
        <v>3.5</v>
      </c>
      <c r="CG18" s="19">
        <v>0.2</v>
      </c>
      <c r="CH18" s="19">
        <v>0</v>
      </c>
      <c r="CI18" s="19"/>
      <c r="CJ18" s="19"/>
      <c r="CK18" s="19"/>
      <c r="CL18" s="19"/>
      <c r="CM18" s="19">
        <v>17.8</v>
      </c>
      <c r="CN18" s="19">
        <v>5.2</v>
      </c>
      <c r="CO18" s="19">
        <v>0.8</v>
      </c>
      <c r="CP18" s="19">
        <v>0</v>
      </c>
      <c r="CQ18" s="19">
        <v>18.7</v>
      </c>
      <c r="CR18" s="19">
        <v>3.5</v>
      </c>
      <c r="CS18" s="19">
        <v>0</v>
      </c>
      <c r="CT18" s="19">
        <v>0</v>
      </c>
      <c r="CU18" s="27"/>
      <c r="CV18" s="40">
        <f t="shared" si="24"/>
        <v>8.6999999999999993</v>
      </c>
      <c r="CW18" s="40">
        <f t="shared" si="25"/>
        <v>44.399999999999991</v>
      </c>
      <c r="CX18" s="40" t="str">
        <f t="shared" si="26"/>
        <v/>
      </c>
      <c r="CY18" s="40">
        <f t="shared" si="27"/>
        <v>8.6999999999999993</v>
      </c>
      <c r="CZ18" s="40">
        <f t="shared" si="28"/>
        <v>44.399999999999991</v>
      </c>
      <c r="DA18" s="40">
        <f t="shared" si="29"/>
        <v>8.6999999999999993</v>
      </c>
      <c r="DB18" s="40">
        <f t="shared" si="30"/>
        <v>44.400000000000006</v>
      </c>
      <c r="DC18" s="40">
        <f t="shared" si="31"/>
        <v>88.8</v>
      </c>
      <c r="DD18" s="50" t="str">
        <f t="shared" si="32"/>
        <v/>
      </c>
      <c r="DE18" s="50" t="str">
        <f t="shared" si="33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4"/>
        <v/>
      </c>
      <c r="EA18" s="40" t="str">
        <f t="shared" si="35"/>
        <v/>
      </c>
      <c r="EB18" s="40" t="str">
        <f t="shared" si="36"/>
        <v/>
      </c>
      <c r="EC18" s="40" t="str">
        <f t="shared" si="37"/>
        <v/>
      </c>
      <c r="ED18" s="40" t="str">
        <f t="shared" si="38"/>
        <v/>
      </c>
      <c r="EE18" s="40" t="str">
        <f t="shared" si="39"/>
        <v/>
      </c>
      <c r="EF18" s="40" t="str">
        <f t="shared" si="40"/>
        <v/>
      </c>
      <c r="EG18" s="40" t="str">
        <f t="shared" si="41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2"/>
        <v/>
      </c>
      <c r="FC18" s="11" t="str">
        <f t="shared" si="43"/>
        <v/>
      </c>
      <c r="FD18" s="11" t="str">
        <f t="shared" si="44"/>
        <v/>
      </c>
      <c r="FE18" s="11" t="str">
        <f t="shared" si="45"/>
        <v/>
      </c>
      <c r="FF18" s="11" t="str">
        <f t="shared" si="46"/>
        <v/>
      </c>
      <c r="FG18" s="11" t="str">
        <f t="shared" si="47"/>
        <v/>
      </c>
      <c r="FH18" s="11" t="str">
        <f t="shared" si="48"/>
        <v/>
      </c>
      <c r="FI18" s="11" t="str">
        <f t="shared" si="49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0"/>
        <v/>
      </c>
      <c r="GE18" s="40" t="str">
        <f t="shared" si="51"/>
        <v/>
      </c>
      <c r="GF18" s="40" t="str">
        <f t="shared" si="52"/>
        <v/>
      </c>
      <c r="GG18" s="40" t="str">
        <f t="shared" si="53"/>
        <v/>
      </c>
      <c r="GH18" s="40" t="str">
        <f t="shared" si="54"/>
        <v/>
      </c>
      <c r="GI18" s="40" t="str">
        <f t="shared" si="55"/>
        <v/>
      </c>
      <c r="GJ18" s="40" t="str">
        <f t="shared" si="56"/>
        <v/>
      </c>
      <c r="GK18" s="40" t="str">
        <f t="shared" si="57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58"/>
        <v/>
      </c>
      <c r="HG18" s="11" t="str">
        <f t="shared" si="59"/>
        <v/>
      </c>
      <c r="HH18" s="11" t="str">
        <f t="shared" si="60"/>
        <v/>
      </c>
      <c r="HI18" s="11" t="str">
        <f t="shared" si="61"/>
        <v/>
      </c>
      <c r="HJ18" s="11" t="str">
        <f t="shared" si="62"/>
        <v/>
      </c>
      <c r="HK18" s="11" t="str">
        <f t="shared" si="63"/>
        <v/>
      </c>
      <c r="HL18" s="11" t="str">
        <f t="shared" si="64"/>
        <v/>
      </c>
      <c r="HM18" s="11" t="str">
        <f t="shared" si="65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6"/>
        <v/>
      </c>
      <c r="II18" s="40" t="str">
        <f t="shared" si="67"/>
        <v/>
      </c>
      <c r="IJ18" s="40" t="str">
        <f t="shared" si="68"/>
        <v/>
      </c>
      <c r="IK18" s="40" t="str">
        <f t="shared" si="69"/>
        <v/>
      </c>
      <c r="IL18" s="40" t="str">
        <f t="shared" si="70"/>
        <v/>
      </c>
      <c r="IM18" s="40" t="str">
        <f t="shared" si="71"/>
        <v/>
      </c>
      <c r="IN18" s="40" t="str">
        <f t="shared" si="72"/>
        <v/>
      </c>
      <c r="IO18" s="40" t="str">
        <f t="shared" si="73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4"/>
        <v/>
      </c>
      <c r="JK18" s="11" t="str">
        <f t="shared" si="75"/>
        <v/>
      </c>
      <c r="JL18" s="11" t="str">
        <f t="shared" si="76"/>
        <v/>
      </c>
      <c r="JM18" s="11" t="str">
        <f t="shared" si="77"/>
        <v/>
      </c>
      <c r="JN18" s="11" t="str">
        <f t="shared" si="78"/>
        <v/>
      </c>
      <c r="JO18" s="11" t="str">
        <f t="shared" si="79"/>
        <v/>
      </c>
      <c r="JP18" s="11" t="str">
        <f t="shared" si="80"/>
        <v/>
      </c>
      <c r="JQ18" s="11" t="str">
        <f t="shared" si="81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2"/>
        <v/>
      </c>
      <c r="KM18" s="40" t="str">
        <f t="shared" si="83"/>
        <v/>
      </c>
      <c r="KN18" s="40" t="str">
        <f t="shared" si="84"/>
        <v/>
      </c>
      <c r="KO18" s="40" t="str">
        <f t="shared" si="85"/>
        <v/>
      </c>
      <c r="KP18" s="40" t="str">
        <f t="shared" si="86"/>
        <v/>
      </c>
      <c r="KQ18" s="40" t="str">
        <f t="shared" si="87"/>
        <v/>
      </c>
      <c r="KR18" s="40" t="str">
        <f t="shared" si="88"/>
        <v/>
      </c>
      <c r="KS18" s="40" t="str">
        <f t="shared" si="89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0"/>
        <v/>
      </c>
      <c r="LO18" s="11" t="str">
        <f t="shared" si="91"/>
        <v/>
      </c>
      <c r="LP18" s="11" t="str">
        <f t="shared" si="92"/>
        <v/>
      </c>
      <c r="LQ18" s="11" t="str">
        <f t="shared" si="93"/>
        <v/>
      </c>
      <c r="LR18" s="11" t="str">
        <f t="shared" si="94"/>
        <v/>
      </c>
      <c r="LS18" s="11" t="str">
        <f t="shared" si="95"/>
        <v/>
      </c>
      <c r="LT18" s="11" t="str">
        <f t="shared" si="96"/>
        <v/>
      </c>
      <c r="LU18" s="11" t="str">
        <f t="shared" si="97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98"/>
        <v/>
      </c>
      <c r="MQ18" s="40" t="str">
        <f t="shared" si="99"/>
        <v/>
      </c>
      <c r="MR18" s="40" t="str">
        <f t="shared" si="100"/>
        <v/>
      </c>
      <c r="MS18" s="40" t="str">
        <f t="shared" si="101"/>
        <v/>
      </c>
      <c r="MT18" s="40" t="str">
        <f t="shared" si="102"/>
        <v/>
      </c>
      <c r="MU18" s="40" t="str">
        <f t="shared" si="103"/>
        <v/>
      </c>
      <c r="MV18" s="40" t="str">
        <f t="shared" si="104"/>
        <v/>
      </c>
      <c r="MW18" s="40" t="str">
        <f t="shared" si="105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6"/>
        <v/>
      </c>
      <c r="NS18" s="11" t="str">
        <f t="shared" si="107"/>
        <v/>
      </c>
      <c r="NT18" s="11" t="str">
        <f t="shared" si="108"/>
        <v/>
      </c>
      <c r="NU18" s="11" t="str">
        <f t="shared" si="109"/>
        <v/>
      </c>
      <c r="NV18" s="11" t="str">
        <f t="shared" si="110"/>
        <v/>
      </c>
      <c r="NW18" s="11" t="str">
        <f t="shared" si="111"/>
        <v/>
      </c>
      <c r="NX18" s="11" t="str">
        <f t="shared" si="112"/>
        <v/>
      </c>
      <c r="NY18" s="11" t="str">
        <f t="shared" si="113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4"/>
        <v/>
      </c>
      <c r="OU18" s="40" t="str">
        <f t="shared" si="115"/>
        <v/>
      </c>
      <c r="OV18" s="40" t="str">
        <f t="shared" si="116"/>
        <v/>
      </c>
      <c r="OW18" s="40" t="str">
        <f t="shared" si="117"/>
        <v/>
      </c>
      <c r="OX18" s="40" t="str">
        <f t="shared" si="118"/>
        <v/>
      </c>
      <c r="OY18" s="40" t="str">
        <f t="shared" si="119"/>
        <v/>
      </c>
      <c r="OZ18" s="40" t="str">
        <f t="shared" si="120"/>
        <v/>
      </c>
      <c r="PA18" s="40" t="str">
        <f t="shared" si="121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2"/>
        <v/>
      </c>
      <c r="PW18" s="11" t="str">
        <f t="shared" si="123"/>
        <v/>
      </c>
      <c r="PX18" s="11" t="str">
        <f t="shared" si="124"/>
        <v/>
      </c>
      <c r="PY18" s="11" t="str">
        <f t="shared" si="125"/>
        <v/>
      </c>
      <c r="PZ18" s="11" t="str">
        <f t="shared" si="126"/>
        <v/>
      </c>
      <c r="QA18" s="11" t="str">
        <f t="shared" si="127"/>
        <v/>
      </c>
      <c r="QB18" s="11" t="str">
        <f t="shared" si="128"/>
        <v/>
      </c>
      <c r="QC18" s="11" t="str">
        <f t="shared" si="129"/>
        <v/>
      </c>
      <c r="QD18" s="22">
        <f t="shared" si="130"/>
        <v>17.95</v>
      </c>
      <c r="QE18" s="22">
        <f t="shared" si="131"/>
        <v>5.2</v>
      </c>
      <c r="QF18" s="22">
        <f t="shared" si="132"/>
        <v>0.1</v>
      </c>
      <c r="QG18" s="22">
        <f t="shared" si="133"/>
        <v>0</v>
      </c>
      <c r="QH18" s="22">
        <f t="shared" si="134"/>
        <v>17</v>
      </c>
      <c r="QI18" s="22">
        <f t="shared" si="135"/>
        <v>2.1</v>
      </c>
      <c r="QJ18" s="22">
        <f t="shared" si="136"/>
        <v>0.1</v>
      </c>
      <c r="QK18" s="22">
        <f t="shared" si="137"/>
        <v>0</v>
      </c>
      <c r="QL18" s="22">
        <f t="shared" si="138"/>
        <v>0</v>
      </c>
      <c r="QM18" s="22">
        <f t="shared" si="139"/>
        <v>0</v>
      </c>
      <c r="QN18" s="22">
        <f t="shared" si="140"/>
        <v>0</v>
      </c>
      <c r="QO18" s="22">
        <f t="shared" si="141"/>
        <v>0</v>
      </c>
      <c r="QP18" s="22">
        <f t="shared" si="142"/>
        <v>8.9</v>
      </c>
      <c r="QQ18" s="22">
        <f t="shared" si="143"/>
        <v>2.6</v>
      </c>
      <c r="QR18" s="22">
        <f t="shared" si="144"/>
        <v>0.4</v>
      </c>
      <c r="QS18" s="22">
        <f t="shared" si="145"/>
        <v>0</v>
      </c>
      <c r="QT18" s="22">
        <f t="shared" si="146"/>
        <v>9.35</v>
      </c>
      <c r="QU18" s="22">
        <f t="shared" si="147"/>
        <v>1.75</v>
      </c>
      <c r="QV18" s="22">
        <f t="shared" si="148"/>
        <v>0</v>
      </c>
      <c r="QW18" s="22">
        <f t="shared" si="149"/>
        <v>0</v>
      </c>
      <c r="QX18" s="27" t="s">
        <v>46</v>
      </c>
      <c r="QY18" s="40">
        <f t="shared" si="150"/>
        <v>7.3000000000000007</v>
      </c>
      <c r="QZ18" s="40">
        <f t="shared" si="151"/>
        <v>42.05</v>
      </c>
      <c r="RA18" s="40" t="str">
        <f t="shared" si="152"/>
        <v/>
      </c>
      <c r="RB18" s="40">
        <f t="shared" si="153"/>
        <v>7.3000000000000007</v>
      </c>
      <c r="RC18" s="40">
        <f t="shared" si="154"/>
        <v>42.05</v>
      </c>
      <c r="RD18" s="40">
        <f t="shared" si="155"/>
        <v>4.3499999999999996</v>
      </c>
      <c r="RE18" s="40">
        <f t="shared" si="156"/>
        <v>22.200000000000003</v>
      </c>
      <c r="RF18" s="40">
        <f t="shared" si="157"/>
        <v>64.25</v>
      </c>
    </row>
    <row r="19" spans="1:474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168</v>
      </c>
      <c r="D19" s="4" t="s">
        <v>92</v>
      </c>
      <c r="E19" s="4">
        <v>2004</v>
      </c>
      <c r="F19" s="9">
        <f t="shared" si="0"/>
        <v>127.5000088200045</v>
      </c>
      <c r="G19" s="64"/>
      <c r="H19" s="3" t="str">
        <f>IF(OR(AND(AP19&gt;=AW$39,AQ19&gt;=AW$43,AP19&lt;&gt;"",AO19=""),AND(AU19&gt;=AW$39,AV19&gt;=AW$43,AU19&lt;&gt;"",AO19=""),AND(BS19&gt;=BZ$39,BT19&gt;=BZ$43,BS19&lt;&gt;"",BR19=""),AND(BX19&gt;=BZ$39,BY19&gt;=BZ$43,BX19&lt;&gt;"",BR19=""),AND(CV19&gt;=DC$39,CW19&gt;=DC$43,CV19&lt;&gt;"",CU19=""),AND(DA19&gt;=DC$39,DB19&gt;=DC$43,DA19&lt;&gt;""),AND(DZ19&gt;=EG$39,EA19&gt;=EG$43,DZ19&lt;&gt;""),AND(EE19&gt;=EG$39,EF19&gt;=EG$43,EE19&lt;&gt;""),AND(FB19&gt;=FI$39,FC19&gt;=FI$43,FB19&lt;&gt;""),AND(FG19&gt;=FI$39,FH19&gt;=FI$43,FG19&lt;&gt;""),AND(GD19&gt;=GK$39,GE19&gt;=GK$43,GD19&lt;&gt;""),AND(GI19&gt;=GK$39,GJ19&gt;=GK$43,GI19&lt;&gt;""),AND(HF19&gt;=HM$39,HG19&gt;=HM$43,HF19&lt;&gt;""),AND(HK19&gt;=HM$39,HL19&gt;=HM$43,HK19&lt;&gt;""),AND(IH19&gt;=IO$39,II19&gt;=IO$43,IH19&lt;&gt;""),AND(IM19&gt;=IO$39,IN19&gt;=IO$43,IM19&lt;&gt;""),AND(JJ19&gt;=JQ$39,JK19&gt;=JQ$43,JJ19&lt;&gt;""),AND(JO19&gt;=JQ$39,JP19&gt;=JQ$43,JO19&lt;&gt;""),AND(KL19&gt;=KS$39,KM19&gt;=KS$43,KL19&lt;&gt;""),AND(KQ19&gt;=KS$39,KR19&gt;=KS$43,KQ19&lt;&gt;""),AND(LN19&gt;=LU$39,LO19&gt;=LU$43,LN19&lt;&gt;""),AND(LS19&gt;=LU$39,LT19&gt;=LU$43,LS19&lt;&gt;""),AND(MP19&gt;=MW$39,MQ19&gt;=MW$43,MP19&lt;&gt;""),AND(MU19&gt;=MW$39,MV19&gt;=MW$43,MU19&lt;&gt;""),AND(NR19&gt;=NY$39,NS19&gt;=NY$43,NR19&lt;&gt;""),AND(NW19&gt;=NY$39,NX19&gt;=NY$43,NW19&lt;&gt;""),AND(OT19&gt;=PA$39,OU19&gt;=PA$43,OT19&lt;&gt;""),AND(OY19&gt;=PA$39,OZ19&gt;=PA$43,OY19&lt;&gt;""),AND(PV19&gt;=QC$39,PW19&gt;=QC$43,PV19&lt;&gt;""),AND(QA19&gt;=QC$39,QB19&gt;=QC$43,QA19&lt;&gt;"")),"P","")</f>
        <v/>
      </c>
      <c r="I19" s="3" t="str">
        <f>IF(OR(AND(AQ19&gt;=AW$43,AQ19&lt;&gt;"",AO19=""),AND(AV19&gt;=AW$43,AV19&lt;&gt;"",AO19=""),AND(BT19&gt;=BZ$43,BT19&lt;&gt;"",BR19=""),AND(BY19&gt;=BZ$43,BY19&lt;&gt;"",BR19=""),AND(CW19&gt;=DC$43,CW19&lt;&gt;"",CU19=""),AND(DB19&gt;=DC$43,DB19&lt;&gt;"",CU19=""),AND(EA19&gt;=EG$43,EA19&lt;&gt;""),AND(EF19&gt;=EG$43,EF19&lt;&gt;""),AND(FC19&gt;=FI$43,FC19&lt;&gt;""),AND(FH19&gt;=FI$43,FH19&lt;&gt;""),AND(GE19&gt;=GK$43,GE19&lt;&gt;""),AND(GJ19&gt;=GK$43,GJ19&lt;&gt;""),AND(HG19&gt;=HM$43,HG19&lt;&gt;""),AND(HL19&gt;=HM$43,HL19&lt;&gt;""),AND(II19&gt;=IO$43,II19&lt;&gt;""),AND(IN19&gt;=IO$43,IN19&lt;&gt;""),AND(JK19&gt;=JQ$43,JK19&lt;&gt;""),AND(JP19&gt;=JQ$43,JP19&lt;&gt;""),AND(KM19&gt;=KS$43,KM19&lt;&gt;""),AND(KR19&gt;=KS$43,KR19&lt;&gt;""),AND(LO19&gt;=LU$43,LO19&lt;&gt;""),AND(LT19&gt;=LU$43,LT19&lt;&gt;""),AND(MQ19&gt;=MW$43,MQ19&lt;&gt;""),AND(MV19&gt;=MW$43,MV19&lt;&gt;""),AND(NS19&gt;=NY$43,NS19&lt;&gt;""),AND(NX19&gt;=NY$43,NX19&lt;&gt;""),AND(OU19&gt;=PA$43,OU19&lt;&gt;""),AND(OZ19&gt;=PA$43,OZ19&lt;&gt;""),AND(PW19&gt;=QC$43,PW19&lt;&gt;""),AND(QB19&gt;=QC$43,QB19&lt;&gt;"")),"P","")</f>
        <v/>
      </c>
      <c r="J19" s="36" t="str">
        <f>IF(AND(I19="P",H19=""),"No DD",IF(OR(AND(AS19&gt;=AW$42,AT19&gt;=AW$46,AS19&lt;&gt;"",AO19=""),AND(BV19&gt;=BZ$42,BW19&gt;=BZ$46,BV19&lt;&gt;"",BR19=""),AND(CY19&gt;=DC$42,CZ19&gt;=DC$46,CY19&lt;&gt;"",CU19=""),AND(EC19&gt;=EG$42,ED19&gt;=EG$46,EC19&lt;&gt;""),AND(FE19&gt;=FI$42,FF19&gt;=FI$46,FE19&lt;&gt;""),AND(GG19&gt;=GK$42,GH19&gt;=GK$46,GG19&lt;&gt;""),AND(HI19&gt;=HM$42,HJ19&gt;=HM$46,HI19&lt;&gt;""),AND(IK19&gt;=IO$42,IL19&gt;=IO$46,IK19&lt;&gt;""),AND(JM19&gt;=JQ$42,JN19&gt;=JQ$46,JM19&lt;&gt;""),AND(KO19&gt;=KS$42,KP19&gt;=KS$46,KO19&lt;&gt;""),AND(LQ19&gt;=LU$42,LR19&gt;=LU$46,LQ19&lt;&gt;""),AND(MS19&gt;=MW$42,MT19&gt;=MW$46,MS19&lt;&gt;""),AND(NU19&gt;=NY$42,NV19&gt;=NY$46,NU19&lt;&gt;""),AND(OW19&gt;=PA$42,OX19&gt;=PA$46,OW19&lt;&gt;""),AND(PY19&gt;=QC$42,PZ19&gt;=QC$46,PY19&lt;&gt;"")),"Merit",IF(OR(AND(AS19&gt;=AW$41,AT19&gt;=AW$45,AS19&lt;&gt;"",AO19=""),AND(BV19&gt;=BZ$41,BW19&gt;=BZ$45,BV19&lt;&gt;"",BR19=""),AND(CY19&gt;=DC$41,CZ19&gt;=DC$45,CY19&lt;&gt;"",CU19=""),AND(EC19&gt;=EG$41,ED19&gt;=EG$45,EC19&lt;&gt;""),AND(FE19&gt;=FI$41,FF19&gt;=FI$45,FE19&lt;&gt;""),AND(GG19&gt;=GK$41,GH19&gt;=GK$45,GG19&lt;&gt;""),AND(HI19&gt;=HM$41,HJ19&gt;=HM$45,HI19&lt;&gt;""),AND(IK19&gt;=IO$41,IL19&gt;=IO$45,IK19&lt;&gt;""),AND(JM19&gt;=JQ$41,JN19&gt;=JQ$45,JM19&lt;&gt;""),AND(KO19&gt;=KS$41,KP19&gt;=KS$45,KO19&lt;&gt;""),AND(LQ19&gt;=LU$41,LR19&gt;=LU$45,LQ19&lt;&gt;""),AND(MS19&gt;=MW$41,MT19&gt;=MW$45,MS19&lt;&gt;""),AND(NU19&gt;=NY$41,NV19&gt;=NY$45,NU19&lt;&gt;""),AND(OW19&gt;=PA$41,OX19&gt;=PA$45,OW19&lt;&gt;""),AND(PY19&gt;=QC$41,PZ19&gt;=QC$45,PY19&lt;&gt;"")),"Excellence",IF(K19="P","Worlds Team",IF(H19="P","National Team","")))))</f>
        <v/>
      </c>
      <c r="K19" s="3" t="str">
        <f>IF(OR(AND(AS19&gt;=AW$40,AT19&gt;=AW$44,AS19&lt;&gt;"",AO19=""),AND(BV19&gt;=BZ$40,BW19&gt;=BZ$44,BV19&lt;&gt;"",BR19=""),AND(CY19&gt;=DC$40,CZ19&gt;=DC$44,CY19&lt;&gt;"",CU19=""),AND(EC19&gt;=EG$40,ED19&gt;=EG$44,EC19&lt;&gt;""),AND(FE19&gt;=FI$40,FF19&gt;=FI$44,FE19&lt;&gt;""),AND(GG19&gt;=GK$40,GH19&gt;=GK$44,GG19&lt;&gt;""),AND(HI19&gt;=HM$40,HJ19&gt;=HM$44,HI19&lt;&gt;""),AND(IK19&gt;=IO$40,IL19&gt;=IO$44,IK19&lt;&gt;""),AND(JM19&gt;=JQ$40,JN19&gt;=JQ$44,JM19&lt;&gt;""),AND(KO19&gt;=KS$40,KP19&gt;=KS$44,KO19&lt;&gt;""),AND(LQ19&gt;=LU$40,LR19&gt;=LU$44,LQ19&lt;&gt;""),AND(MS19&gt;=MW$40,MT19&gt;=MW$44,MS19&lt;&gt;""),AND(NU19&gt;=NY$40,NV19&gt;=NY$44,NU19&lt;&gt;""),AND(OW19&gt;=PA$40,OX19&gt;=PA$44,OW19&lt;&gt;""),AND(PY19&gt;=QC$40,PZ19&gt;=QC$44,PY19&lt;&gt;"")),"P","")</f>
        <v/>
      </c>
      <c r="L19" s="8">
        <f>IF(COUNT(AQ19,BT19,CW19)&gt;0,LARGE((AQ19,BT19,CW19),1),0)</f>
        <v>44.9</v>
      </c>
      <c r="M19" s="8" t="str">
        <f t="shared" si="1"/>
        <v>2025 Elite Canada</v>
      </c>
      <c r="N19" s="8">
        <f>IF(COUNT(AQ19,BT19,CW19)&gt;1,LARGE((AQ19,BT19,CW19),2),0)</f>
        <v>43.300000000000004</v>
      </c>
      <c r="O19" s="8" t="str">
        <f t="shared" si="2"/>
        <v>2025 Nationals</v>
      </c>
      <c r="P19" s="8">
        <f t="shared" si="3"/>
        <v>39.299999999999997</v>
      </c>
      <c r="Q19" s="8" t="str">
        <f t="shared" si="4"/>
        <v>2024 3rd Domestic Trial</v>
      </c>
      <c r="R19" s="8" t="str">
        <f t="shared" si="5"/>
        <v/>
      </c>
      <c r="S19" s="11" t="str">
        <f t="shared" si="6"/>
        <v/>
      </c>
      <c r="T19" s="8" t="str">
        <f t="shared" si="7"/>
        <v/>
      </c>
      <c r="U19" s="19">
        <v>18.2</v>
      </c>
      <c r="V19" s="19">
        <v>4.4000000000000004</v>
      </c>
      <c r="W19" s="19">
        <v>0.6</v>
      </c>
      <c r="X19" s="19">
        <v>0</v>
      </c>
      <c r="Y19" s="19">
        <v>17.7</v>
      </c>
      <c r="Z19" s="19">
        <v>0.7</v>
      </c>
      <c r="AA19" s="19">
        <v>0</v>
      </c>
      <c r="AB19" s="19">
        <v>0</v>
      </c>
      <c r="AC19" s="19">
        <v>18.399999999999999</v>
      </c>
      <c r="AD19" s="19">
        <v>3.5</v>
      </c>
      <c r="AE19" s="19">
        <v>0</v>
      </c>
      <c r="AF19" s="19">
        <v>0</v>
      </c>
      <c r="AG19" s="19">
        <v>17.899999999999999</v>
      </c>
      <c r="AH19" s="19">
        <v>4.4000000000000004</v>
      </c>
      <c r="AI19" s="19">
        <v>0.8</v>
      </c>
      <c r="AJ19" s="19">
        <v>0</v>
      </c>
      <c r="AK19" s="19">
        <v>18.3</v>
      </c>
      <c r="AL19" s="19">
        <v>0.7</v>
      </c>
      <c r="AM19" s="19">
        <v>1.2</v>
      </c>
      <c r="AN19" s="19">
        <v>0</v>
      </c>
      <c r="AO19" s="27"/>
      <c r="AP19" s="40">
        <f t="shared" si="8"/>
        <v>5.1000000000000005</v>
      </c>
      <c r="AQ19" s="40">
        <f t="shared" si="9"/>
        <v>40.4</v>
      </c>
      <c r="AR19" s="40">
        <f t="shared" si="10"/>
        <v>21.9</v>
      </c>
      <c r="AS19" s="40">
        <f t="shared" si="11"/>
        <v>8.6000000000000014</v>
      </c>
      <c r="AT19" s="40">
        <f t="shared" si="12"/>
        <v>62.3</v>
      </c>
      <c r="AU19" s="40">
        <f t="shared" si="13"/>
        <v>5.1000000000000005</v>
      </c>
      <c r="AV19" s="40">
        <f t="shared" si="14"/>
        <v>39.299999999999997</v>
      </c>
      <c r="AW19" s="40">
        <f t="shared" si="15"/>
        <v>101.6</v>
      </c>
      <c r="AX19" s="18">
        <v>18.2</v>
      </c>
      <c r="AY19" s="18">
        <v>4.4000000000000004</v>
      </c>
      <c r="AZ19" s="18">
        <v>0.2</v>
      </c>
      <c r="BA19" s="18">
        <v>0</v>
      </c>
      <c r="BB19" s="18">
        <v>19</v>
      </c>
      <c r="BC19" s="18">
        <v>3.5</v>
      </c>
      <c r="BD19" s="18">
        <v>0</v>
      </c>
      <c r="BE19" s="18">
        <v>0</v>
      </c>
      <c r="BF19" s="18"/>
      <c r="BG19" s="18"/>
      <c r="BH19" s="18"/>
      <c r="BI19" s="18"/>
      <c r="BJ19" s="18">
        <v>18</v>
      </c>
      <c r="BK19" s="18">
        <v>4.4000000000000004</v>
      </c>
      <c r="BL19" s="18">
        <v>0.2</v>
      </c>
      <c r="BM19" s="18">
        <v>0</v>
      </c>
      <c r="BN19" s="18">
        <v>15.6</v>
      </c>
      <c r="BO19" s="18">
        <v>0.7</v>
      </c>
      <c r="BP19" s="18">
        <v>0</v>
      </c>
      <c r="BQ19" s="18">
        <v>0</v>
      </c>
      <c r="BR19" s="28"/>
      <c r="BS19" s="11">
        <f t="shared" si="16"/>
        <v>7.9</v>
      </c>
      <c r="BT19" s="11">
        <f t="shared" si="17"/>
        <v>44.9</v>
      </c>
      <c r="BU19" s="11" t="str">
        <f t="shared" si="18"/>
        <v/>
      </c>
      <c r="BV19" s="11">
        <f t="shared" si="19"/>
        <v>7.9</v>
      </c>
      <c r="BW19" s="11">
        <f t="shared" si="20"/>
        <v>44.9</v>
      </c>
      <c r="BX19" s="11">
        <f t="shared" si="21"/>
        <v>5.1000000000000005</v>
      </c>
      <c r="BY19" s="11">
        <f t="shared" si="22"/>
        <v>38.5</v>
      </c>
      <c r="BZ19" s="11">
        <f t="shared" si="23"/>
        <v>83.4</v>
      </c>
      <c r="CA19" s="19">
        <v>18.100000000000001</v>
      </c>
      <c r="CB19" s="19">
        <v>4.4000000000000004</v>
      </c>
      <c r="CC19" s="19">
        <v>0.8</v>
      </c>
      <c r="CD19" s="19">
        <v>0</v>
      </c>
      <c r="CE19" s="19">
        <v>18.899999999999999</v>
      </c>
      <c r="CF19" s="19">
        <v>3.1</v>
      </c>
      <c r="CG19" s="19">
        <v>0.4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4"/>
        <v>7.5</v>
      </c>
      <c r="CW19" s="40">
        <f t="shared" si="25"/>
        <v>43.300000000000004</v>
      </c>
      <c r="CX19" s="40" t="str">
        <f t="shared" si="26"/>
        <v/>
      </c>
      <c r="CY19" s="40">
        <f t="shared" si="27"/>
        <v>7.5</v>
      </c>
      <c r="CZ19" s="40">
        <f t="shared" si="28"/>
        <v>43.300000000000004</v>
      </c>
      <c r="DA19" s="40" t="str">
        <f t="shared" si="29"/>
        <v/>
      </c>
      <c r="DB19" s="40" t="str">
        <f t="shared" si="30"/>
        <v/>
      </c>
      <c r="DC19" s="40">
        <f t="shared" si="31"/>
        <v>43.300000000000004</v>
      </c>
      <c r="DD19" s="50" t="str">
        <f t="shared" si="32"/>
        <v/>
      </c>
      <c r="DE19" s="50" t="str">
        <f t="shared" si="33"/>
        <v/>
      </c>
      <c r="DF19" s="17">
        <v>18.399999999999999</v>
      </c>
      <c r="DG19" s="17">
        <v>3.5</v>
      </c>
      <c r="DH19" s="17">
        <v>0.6</v>
      </c>
      <c r="DI19" s="17">
        <v>0</v>
      </c>
      <c r="DJ19" s="17">
        <v>18.5</v>
      </c>
      <c r="DK19" s="17">
        <v>3.7</v>
      </c>
      <c r="DL19" s="17">
        <v>0.2</v>
      </c>
      <c r="DM19" s="17">
        <v>0</v>
      </c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>
        <f t="shared" si="34"/>
        <v>7.2</v>
      </c>
      <c r="EA19" s="40">
        <f t="shared" si="35"/>
        <v>43.3</v>
      </c>
      <c r="EB19" s="40" t="str">
        <f t="shared" si="36"/>
        <v/>
      </c>
      <c r="EC19" s="40">
        <f t="shared" si="37"/>
        <v>7.2</v>
      </c>
      <c r="ED19" s="40">
        <f t="shared" si="38"/>
        <v>43.3</v>
      </c>
      <c r="EE19" s="40" t="str">
        <f t="shared" si="39"/>
        <v/>
      </c>
      <c r="EF19" s="40" t="str">
        <f t="shared" si="40"/>
        <v/>
      </c>
      <c r="EG19" s="40">
        <f t="shared" si="41"/>
        <v>43.3</v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2"/>
        <v/>
      </c>
      <c r="FC19" s="11" t="str">
        <f t="shared" si="43"/>
        <v/>
      </c>
      <c r="FD19" s="11" t="str">
        <f t="shared" si="44"/>
        <v/>
      </c>
      <c r="FE19" s="11" t="str">
        <f t="shared" si="45"/>
        <v/>
      </c>
      <c r="FF19" s="11" t="str">
        <f t="shared" si="46"/>
        <v/>
      </c>
      <c r="FG19" s="11" t="str">
        <f t="shared" si="47"/>
        <v/>
      </c>
      <c r="FH19" s="11" t="str">
        <f t="shared" si="48"/>
        <v/>
      </c>
      <c r="FI19" s="11" t="str">
        <f t="shared" si="49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0"/>
        <v/>
      </c>
      <c r="GE19" s="40" t="str">
        <f t="shared" si="51"/>
        <v/>
      </c>
      <c r="GF19" s="40" t="str">
        <f t="shared" si="52"/>
        <v/>
      </c>
      <c r="GG19" s="40" t="str">
        <f t="shared" si="53"/>
        <v/>
      </c>
      <c r="GH19" s="40" t="str">
        <f t="shared" si="54"/>
        <v/>
      </c>
      <c r="GI19" s="40" t="str">
        <f t="shared" si="55"/>
        <v/>
      </c>
      <c r="GJ19" s="40" t="str">
        <f t="shared" si="56"/>
        <v/>
      </c>
      <c r="GK19" s="40" t="str">
        <f t="shared" si="57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58"/>
        <v/>
      </c>
      <c r="HG19" s="11" t="str">
        <f t="shared" si="59"/>
        <v/>
      </c>
      <c r="HH19" s="11" t="str">
        <f t="shared" si="60"/>
        <v/>
      </c>
      <c r="HI19" s="11" t="str">
        <f t="shared" si="61"/>
        <v/>
      </c>
      <c r="HJ19" s="11" t="str">
        <f t="shared" si="62"/>
        <v/>
      </c>
      <c r="HK19" s="11" t="str">
        <f t="shared" si="63"/>
        <v/>
      </c>
      <c r="HL19" s="11" t="str">
        <f t="shared" si="64"/>
        <v/>
      </c>
      <c r="HM19" s="11" t="str">
        <f t="shared" si="65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66"/>
        <v/>
      </c>
      <c r="II19" s="40" t="str">
        <f t="shared" si="67"/>
        <v/>
      </c>
      <c r="IJ19" s="40" t="str">
        <f t="shared" si="68"/>
        <v/>
      </c>
      <c r="IK19" s="40" t="str">
        <f t="shared" si="69"/>
        <v/>
      </c>
      <c r="IL19" s="40" t="str">
        <f t="shared" si="70"/>
        <v/>
      </c>
      <c r="IM19" s="40" t="str">
        <f t="shared" si="71"/>
        <v/>
      </c>
      <c r="IN19" s="40" t="str">
        <f t="shared" si="72"/>
        <v/>
      </c>
      <c r="IO19" s="40" t="str">
        <f t="shared" si="73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4"/>
        <v/>
      </c>
      <c r="JK19" s="11" t="str">
        <f t="shared" si="75"/>
        <v/>
      </c>
      <c r="JL19" s="11" t="str">
        <f t="shared" si="76"/>
        <v/>
      </c>
      <c r="JM19" s="11" t="str">
        <f t="shared" si="77"/>
        <v/>
      </c>
      <c r="JN19" s="11" t="str">
        <f t="shared" si="78"/>
        <v/>
      </c>
      <c r="JO19" s="11" t="str">
        <f t="shared" si="79"/>
        <v/>
      </c>
      <c r="JP19" s="11" t="str">
        <f t="shared" si="80"/>
        <v/>
      </c>
      <c r="JQ19" s="11" t="str">
        <f t="shared" si="81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2"/>
        <v/>
      </c>
      <c r="KM19" s="40" t="str">
        <f t="shared" si="83"/>
        <v/>
      </c>
      <c r="KN19" s="40" t="str">
        <f t="shared" si="84"/>
        <v/>
      </c>
      <c r="KO19" s="40" t="str">
        <f t="shared" si="85"/>
        <v/>
      </c>
      <c r="KP19" s="40" t="str">
        <f t="shared" si="86"/>
        <v/>
      </c>
      <c r="KQ19" s="40" t="str">
        <f t="shared" si="87"/>
        <v/>
      </c>
      <c r="KR19" s="40" t="str">
        <f t="shared" si="88"/>
        <v/>
      </c>
      <c r="KS19" s="40" t="str">
        <f t="shared" si="89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0"/>
        <v/>
      </c>
      <c r="LO19" s="11" t="str">
        <f t="shared" si="91"/>
        <v/>
      </c>
      <c r="LP19" s="11" t="str">
        <f t="shared" si="92"/>
        <v/>
      </c>
      <c r="LQ19" s="11" t="str">
        <f t="shared" si="93"/>
        <v/>
      </c>
      <c r="LR19" s="11" t="str">
        <f t="shared" si="94"/>
        <v/>
      </c>
      <c r="LS19" s="11" t="str">
        <f t="shared" si="95"/>
        <v/>
      </c>
      <c r="LT19" s="11" t="str">
        <f t="shared" si="96"/>
        <v/>
      </c>
      <c r="LU19" s="11" t="str">
        <f t="shared" si="97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98"/>
        <v/>
      </c>
      <c r="MQ19" s="40" t="str">
        <f t="shared" si="99"/>
        <v/>
      </c>
      <c r="MR19" s="40" t="str">
        <f t="shared" si="100"/>
        <v/>
      </c>
      <c r="MS19" s="40" t="str">
        <f t="shared" si="101"/>
        <v/>
      </c>
      <c r="MT19" s="40" t="str">
        <f t="shared" si="102"/>
        <v/>
      </c>
      <c r="MU19" s="40" t="str">
        <f t="shared" si="103"/>
        <v/>
      </c>
      <c r="MV19" s="40" t="str">
        <f t="shared" si="104"/>
        <v/>
      </c>
      <c r="MW19" s="40" t="str">
        <f t="shared" si="105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06"/>
        <v/>
      </c>
      <c r="NS19" s="11" t="str">
        <f t="shared" si="107"/>
        <v/>
      </c>
      <c r="NT19" s="11" t="str">
        <f t="shared" si="108"/>
        <v/>
      </c>
      <c r="NU19" s="11" t="str">
        <f t="shared" si="109"/>
        <v/>
      </c>
      <c r="NV19" s="11" t="str">
        <f t="shared" si="110"/>
        <v/>
      </c>
      <c r="NW19" s="11" t="str">
        <f t="shared" si="111"/>
        <v/>
      </c>
      <c r="NX19" s="11" t="str">
        <f t="shared" si="112"/>
        <v/>
      </c>
      <c r="NY19" s="11" t="str">
        <f t="shared" si="113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4"/>
        <v/>
      </c>
      <c r="OU19" s="40" t="str">
        <f t="shared" si="115"/>
        <v/>
      </c>
      <c r="OV19" s="40" t="str">
        <f t="shared" si="116"/>
        <v/>
      </c>
      <c r="OW19" s="40" t="str">
        <f t="shared" si="117"/>
        <v/>
      </c>
      <c r="OX19" s="40" t="str">
        <f t="shared" si="118"/>
        <v/>
      </c>
      <c r="OY19" s="40" t="str">
        <f t="shared" si="119"/>
        <v/>
      </c>
      <c r="OZ19" s="40" t="str">
        <f t="shared" si="120"/>
        <v/>
      </c>
      <c r="PA19" s="40" t="str">
        <f t="shared" si="121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2"/>
        <v/>
      </c>
      <c r="PW19" s="11" t="str">
        <f t="shared" si="123"/>
        <v/>
      </c>
      <c r="PX19" s="11" t="str">
        <f t="shared" si="124"/>
        <v/>
      </c>
      <c r="PY19" s="11" t="str">
        <f t="shared" si="125"/>
        <v/>
      </c>
      <c r="PZ19" s="11" t="str">
        <f t="shared" si="126"/>
        <v/>
      </c>
      <c r="QA19" s="11" t="str">
        <f t="shared" si="127"/>
        <v/>
      </c>
      <c r="QB19" s="11" t="str">
        <f t="shared" si="128"/>
        <v/>
      </c>
      <c r="QC19" s="11" t="str">
        <f t="shared" si="129"/>
        <v/>
      </c>
      <c r="QD19" s="22">
        <f t="shared" si="130"/>
        <v>18.149999999999999</v>
      </c>
      <c r="QE19" s="22">
        <f t="shared" si="131"/>
        <v>4.4000000000000004</v>
      </c>
      <c r="QF19" s="22">
        <f t="shared" si="132"/>
        <v>0.5</v>
      </c>
      <c r="QG19" s="22">
        <f t="shared" si="133"/>
        <v>0</v>
      </c>
      <c r="QH19" s="22">
        <f t="shared" si="134"/>
        <v>18.95</v>
      </c>
      <c r="QI19" s="22">
        <f t="shared" si="135"/>
        <v>3.3</v>
      </c>
      <c r="QJ19" s="22">
        <f t="shared" si="136"/>
        <v>0.2</v>
      </c>
      <c r="QK19" s="22">
        <f t="shared" si="137"/>
        <v>0</v>
      </c>
      <c r="QL19" s="22">
        <f t="shared" si="138"/>
        <v>0</v>
      </c>
      <c r="QM19" s="22">
        <f t="shared" si="139"/>
        <v>0</v>
      </c>
      <c r="QN19" s="22">
        <f t="shared" si="140"/>
        <v>0</v>
      </c>
      <c r="QO19" s="22">
        <f t="shared" si="141"/>
        <v>0</v>
      </c>
      <c r="QP19" s="22">
        <f t="shared" si="142"/>
        <v>9</v>
      </c>
      <c r="QQ19" s="22">
        <f t="shared" si="143"/>
        <v>2.2000000000000002</v>
      </c>
      <c r="QR19" s="22">
        <f t="shared" si="144"/>
        <v>0.1</v>
      </c>
      <c r="QS19" s="22">
        <f t="shared" si="145"/>
        <v>0</v>
      </c>
      <c r="QT19" s="22">
        <f t="shared" si="146"/>
        <v>7.8</v>
      </c>
      <c r="QU19" s="22">
        <f t="shared" si="147"/>
        <v>0.35</v>
      </c>
      <c r="QV19" s="22">
        <f t="shared" si="148"/>
        <v>0</v>
      </c>
      <c r="QW19" s="22">
        <f t="shared" si="149"/>
        <v>0</v>
      </c>
      <c r="QX19" s="27" t="s">
        <v>46</v>
      </c>
      <c r="QY19" s="40">
        <f t="shared" si="150"/>
        <v>7.7</v>
      </c>
      <c r="QZ19" s="40">
        <f t="shared" si="151"/>
        <v>44.099999999999994</v>
      </c>
      <c r="RA19" s="40" t="str">
        <f t="shared" si="152"/>
        <v/>
      </c>
      <c r="RB19" s="40">
        <f t="shared" si="153"/>
        <v>7.7</v>
      </c>
      <c r="RC19" s="40">
        <f t="shared" si="154"/>
        <v>44.099999999999994</v>
      </c>
      <c r="RD19" s="40">
        <f t="shared" si="155"/>
        <v>2.5500000000000003</v>
      </c>
      <c r="RE19" s="40">
        <f t="shared" si="156"/>
        <v>19.25</v>
      </c>
      <c r="RF19" s="40">
        <f t="shared" si="157"/>
        <v>63.349999999999994</v>
      </c>
    </row>
    <row r="20" spans="1:474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194</v>
      </c>
      <c r="D20" s="4" t="s">
        <v>4</v>
      </c>
      <c r="E20" s="4">
        <v>2005</v>
      </c>
      <c r="F20" s="9">
        <f t="shared" si="0"/>
        <v>127.50000831000443</v>
      </c>
      <c r="G20" s="64"/>
      <c r="H20" s="3" t="str">
        <f>IF(OR(AND(AP20&gt;=AW$39,AQ20&gt;=AW$43,AP20&lt;&gt;"",AO20=""),AND(AU20&gt;=AW$39,AV20&gt;=AW$43,AU20&lt;&gt;"",AO20=""),AND(BS20&gt;=BZ$39,BT20&gt;=BZ$43,BS20&lt;&gt;"",BR20=""),AND(BX20&gt;=BZ$39,BY20&gt;=BZ$43,BX20&lt;&gt;"",BR20=""),AND(CV20&gt;=DC$39,CW20&gt;=DC$43,CV20&lt;&gt;"",CU20=""),AND(DA20&gt;=DC$39,DB20&gt;=DC$43,DA20&lt;&gt;""),AND(DZ20&gt;=EG$39,EA20&gt;=EG$43,DZ20&lt;&gt;""),AND(EE20&gt;=EG$39,EF20&gt;=EG$43,EE20&lt;&gt;""),AND(FB20&gt;=FI$39,FC20&gt;=FI$43,FB20&lt;&gt;""),AND(FG20&gt;=FI$39,FH20&gt;=FI$43,FG20&lt;&gt;""),AND(GD20&gt;=GK$39,GE20&gt;=GK$43,GD20&lt;&gt;""),AND(GI20&gt;=GK$39,GJ20&gt;=GK$43,GI20&lt;&gt;""),AND(HF20&gt;=HM$39,HG20&gt;=HM$43,HF20&lt;&gt;""),AND(HK20&gt;=HM$39,HL20&gt;=HM$43,HK20&lt;&gt;""),AND(IH20&gt;=IO$39,II20&gt;=IO$43,IH20&lt;&gt;""),AND(IM20&gt;=IO$39,IN20&gt;=IO$43,IM20&lt;&gt;""),AND(JJ20&gt;=JQ$39,JK20&gt;=JQ$43,JJ20&lt;&gt;""),AND(JO20&gt;=JQ$39,JP20&gt;=JQ$43,JO20&lt;&gt;""),AND(KL20&gt;=KS$39,KM20&gt;=KS$43,KL20&lt;&gt;""),AND(KQ20&gt;=KS$39,KR20&gt;=KS$43,KQ20&lt;&gt;""),AND(LN20&gt;=LU$39,LO20&gt;=LU$43,LN20&lt;&gt;""),AND(LS20&gt;=LU$39,LT20&gt;=LU$43,LS20&lt;&gt;""),AND(MP20&gt;=MW$39,MQ20&gt;=MW$43,MP20&lt;&gt;""),AND(MU20&gt;=MW$39,MV20&gt;=MW$43,MU20&lt;&gt;""),AND(NR20&gt;=NY$39,NS20&gt;=NY$43,NR20&lt;&gt;""),AND(NW20&gt;=NY$39,NX20&gt;=NY$43,NW20&lt;&gt;""),AND(OT20&gt;=PA$39,OU20&gt;=PA$43,OT20&lt;&gt;""),AND(OY20&gt;=PA$39,OZ20&gt;=PA$43,OY20&lt;&gt;""),AND(PV20&gt;=QC$39,PW20&gt;=QC$43,PV20&lt;&gt;""),AND(QA20&gt;=QC$39,QB20&gt;=QC$43,QA20&lt;&gt;"")),"P","")</f>
        <v/>
      </c>
      <c r="I20" s="3" t="str">
        <f>IF(OR(AND(AQ20&gt;=AW$43,AQ20&lt;&gt;"",AO20=""),AND(AV20&gt;=AW$43,AV20&lt;&gt;"",AO20=""),AND(BT20&gt;=BZ$43,BT20&lt;&gt;"",BR20=""),AND(BY20&gt;=BZ$43,BY20&lt;&gt;"",BR20=""),AND(CW20&gt;=DC$43,CW20&lt;&gt;"",CU20=""),AND(DB20&gt;=DC$43,DB20&lt;&gt;"",CU20=""),AND(EA20&gt;=EG$43,EA20&lt;&gt;""),AND(EF20&gt;=EG$43,EF20&lt;&gt;""),AND(FC20&gt;=FI$43,FC20&lt;&gt;""),AND(FH20&gt;=FI$43,FH20&lt;&gt;""),AND(GE20&gt;=GK$43,GE20&lt;&gt;""),AND(GJ20&gt;=GK$43,GJ20&lt;&gt;""),AND(HG20&gt;=HM$43,HG20&lt;&gt;""),AND(HL20&gt;=HM$43,HL20&lt;&gt;""),AND(II20&gt;=IO$43,II20&lt;&gt;""),AND(IN20&gt;=IO$43,IN20&lt;&gt;""),AND(JK20&gt;=JQ$43,JK20&lt;&gt;""),AND(JP20&gt;=JQ$43,JP20&lt;&gt;""),AND(KM20&gt;=KS$43,KM20&lt;&gt;""),AND(KR20&gt;=KS$43,KR20&lt;&gt;""),AND(LO20&gt;=LU$43,LO20&lt;&gt;""),AND(LT20&gt;=LU$43,LT20&lt;&gt;""),AND(MQ20&gt;=MW$43,MQ20&lt;&gt;""),AND(MV20&gt;=MW$43,MV20&lt;&gt;""),AND(NS20&gt;=NY$43,NS20&lt;&gt;""),AND(NX20&gt;=NY$43,NX20&lt;&gt;""),AND(OU20&gt;=PA$43,OU20&lt;&gt;""),AND(OZ20&gt;=PA$43,OZ20&lt;&gt;""),AND(PW20&gt;=QC$43,PW20&lt;&gt;""),AND(QB20&gt;=QC$43,QB20&lt;&gt;"")),"P","")</f>
        <v/>
      </c>
      <c r="J20" s="36" t="str">
        <f>IF(AND(I20="P",H20=""),"No DD",IF(OR(AND(AS20&gt;=AW$42,AT20&gt;=AW$46,AS20&lt;&gt;"",AO20=""),AND(BV20&gt;=BZ$42,BW20&gt;=BZ$46,BV20&lt;&gt;"",BR20=""),AND(CY20&gt;=DC$42,CZ20&gt;=DC$46,CY20&lt;&gt;"",CU20=""),AND(EC20&gt;=EG$42,ED20&gt;=EG$46,EC20&lt;&gt;""),AND(FE20&gt;=FI$42,FF20&gt;=FI$46,FE20&lt;&gt;""),AND(GG20&gt;=GK$42,GH20&gt;=GK$46,GG20&lt;&gt;""),AND(HI20&gt;=HM$42,HJ20&gt;=HM$46,HI20&lt;&gt;""),AND(IK20&gt;=IO$42,IL20&gt;=IO$46,IK20&lt;&gt;""),AND(JM20&gt;=JQ$42,JN20&gt;=JQ$46,JM20&lt;&gt;""),AND(KO20&gt;=KS$42,KP20&gt;=KS$46,KO20&lt;&gt;""),AND(LQ20&gt;=LU$42,LR20&gt;=LU$46,LQ20&lt;&gt;""),AND(MS20&gt;=MW$42,MT20&gt;=MW$46,MS20&lt;&gt;""),AND(NU20&gt;=NY$42,NV20&gt;=NY$46,NU20&lt;&gt;""),AND(OW20&gt;=PA$42,OX20&gt;=PA$46,OW20&lt;&gt;""),AND(PY20&gt;=QC$42,PZ20&gt;=QC$46,PY20&lt;&gt;"")),"Merit",IF(OR(AND(AS20&gt;=AW$41,AT20&gt;=AW$45,AS20&lt;&gt;"",AO20=""),AND(BV20&gt;=BZ$41,BW20&gt;=BZ$45,BV20&lt;&gt;"",BR20=""),AND(CY20&gt;=DC$41,CZ20&gt;=DC$45,CY20&lt;&gt;"",CU20=""),AND(EC20&gt;=EG$41,ED20&gt;=EG$45,EC20&lt;&gt;""),AND(FE20&gt;=FI$41,FF20&gt;=FI$45,FE20&lt;&gt;""),AND(GG20&gt;=GK$41,GH20&gt;=GK$45,GG20&lt;&gt;""),AND(HI20&gt;=HM$41,HJ20&gt;=HM$45,HI20&lt;&gt;""),AND(IK20&gt;=IO$41,IL20&gt;=IO$45,IK20&lt;&gt;""),AND(JM20&gt;=JQ$41,JN20&gt;=JQ$45,JM20&lt;&gt;""),AND(KO20&gt;=KS$41,KP20&gt;=KS$45,KO20&lt;&gt;""),AND(LQ20&gt;=LU$41,LR20&gt;=LU$45,LQ20&lt;&gt;""),AND(MS20&gt;=MW$41,MT20&gt;=MW$45,MS20&lt;&gt;""),AND(NU20&gt;=NY$41,NV20&gt;=NY$45,NU20&lt;&gt;""),AND(OW20&gt;=PA$41,OX20&gt;=PA$45,OW20&lt;&gt;""),AND(PY20&gt;=QC$41,PZ20&gt;=QC$45,PY20&lt;&gt;"")),"Excellence",IF(K20="P","Worlds Team",IF(H20="P","National Team","")))))</f>
        <v/>
      </c>
      <c r="K20" s="3" t="str">
        <f>IF(OR(AND(AS20&gt;=AW$40,AT20&gt;=AW$44,AS20&lt;&gt;"",AO20=""),AND(BV20&gt;=BZ$40,BW20&gt;=BZ$44,BV20&lt;&gt;"",BR20=""),AND(CY20&gt;=DC$40,CZ20&gt;=DC$44,CY20&lt;&gt;"",CU20=""),AND(EC20&gt;=EG$40,ED20&gt;=EG$44,EC20&lt;&gt;""),AND(FE20&gt;=FI$40,FF20&gt;=FI$44,FE20&lt;&gt;""),AND(GG20&gt;=GK$40,GH20&gt;=GK$44,GG20&lt;&gt;""),AND(HI20&gt;=HM$40,HJ20&gt;=HM$44,HI20&lt;&gt;""),AND(IK20&gt;=IO$40,IL20&gt;=IO$44,IK20&lt;&gt;""),AND(JM20&gt;=JQ$40,JN20&gt;=JQ$44,JM20&lt;&gt;""),AND(KO20&gt;=KS$40,KP20&gt;=KS$44,KO20&lt;&gt;""),AND(LQ20&gt;=LU$40,LR20&gt;=LU$44,LQ20&lt;&gt;""),AND(MS20&gt;=MW$40,MT20&gt;=MW$44,MS20&lt;&gt;""),AND(NU20&gt;=NY$40,NV20&gt;=NY$44,NU20&lt;&gt;""),AND(OW20&gt;=PA$40,OX20&gt;=PA$44,OW20&lt;&gt;""),AND(PY20&gt;=QC$40,PZ20&gt;=QC$44,PY20&lt;&gt;"")),"P","")</f>
        <v/>
      </c>
      <c r="L20" s="8">
        <f>IF(COUNT(AQ20,BT20,CW20)&gt;0,LARGE((AQ20,BT20,CW20),1),0)</f>
        <v>44.2</v>
      </c>
      <c r="M20" s="8" t="str">
        <f t="shared" si="1"/>
        <v>2025 Elite Canada</v>
      </c>
      <c r="N20" s="8">
        <f>IF(COUNT(AQ20,BT20,CW20)&gt;1,LARGE((AQ20,BT20,CW20),2),0)</f>
        <v>38.900000000000006</v>
      </c>
      <c r="O20" s="8" t="str">
        <f t="shared" si="2"/>
        <v>2025 Nationals</v>
      </c>
      <c r="P20" s="8">
        <f t="shared" si="3"/>
        <v>44.400000000000006</v>
      </c>
      <c r="Q20" s="8" t="str">
        <f t="shared" si="4"/>
        <v>2025 Elite Canada</v>
      </c>
      <c r="R20" s="8" t="str">
        <f t="shared" si="5"/>
        <v/>
      </c>
      <c r="S20" s="11" t="str">
        <f t="shared" si="6"/>
        <v/>
      </c>
      <c r="T20" s="8" t="str">
        <f t="shared" si="7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8"/>
        <v/>
      </c>
      <c r="AQ20" s="40" t="str">
        <f t="shared" si="9"/>
        <v/>
      </c>
      <c r="AR20" s="40" t="str">
        <f t="shared" si="10"/>
        <v/>
      </c>
      <c r="AS20" s="40" t="str">
        <f t="shared" si="11"/>
        <v/>
      </c>
      <c r="AT20" s="40" t="str">
        <f t="shared" si="12"/>
        <v/>
      </c>
      <c r="AU20" s="40" t="str">
        <f t="shared" si="13"/>
        <v/>
      </c>
      <c r="AV20" s="40" t="str">
        <f t="shared" si="14"/>
        <v/>
      </c>
      <c r="AW20" s="40" t="str">
        <f t="shared" si="15"/>
        <v/>
      </c>
      <c r="AX20" s="18">
        <v>18.3</v>
      </c>
      <c r="AY20" s="18">
        <v>3.5</v>
      </c>
      <c r="AZ20" s="18">
        <v>0</v>
      </c>
      <c r="BA20" s="18">
        <v>0</v>
      </c>
      <c r="BB20" s="18">
        <v>18.899999999999999</v>
      </c>
      <c r="BC20" s="18">
        <v>3.5</v>
      </c>
      <c r="BD20" s="18">
        <v>0</v>
      </c>
      <c r="BE20" s="18">
        <v>0</v>
      </c>
      <c r="BF20" s="18"/>
      <c r="BG20" s="18"/>
      <c r="BH20" s="18"/>
      <c r="BI20" s="18"/>
      <c r="BJ20" s="18">
        <v>18.3</v>
      </c>
      <c r="BK20" s="18">
        <v>3.5</v>
      </c>
      <c r="BL20" s="18">
        <v>0</v>
      </c>
      <c r="BM20" s="18">
        <v>0</v>
      </c>
      <c r="BN20" s="18">
        <v>19.100000000000001</v>
      </c>
      <c r="BO20" s="18">
        <v>3.5</v>
      </c>
      <c r="BP20" s="18">
        <v>0</v>
      </c>
      <c r="BQ20" s="18">
        <v>0</v>
      </c>
      <c r="BR20" s="28"/>
      <c r="BS20" s="11">
        <f t="shared" si="16"/>
        <v>7</v>
      </c>
      <c r="BT20" s="11">
        <f t="shared" si="17"/>
        <v>44.2</v>
      </c>
      <c r="BU20" s="11" t="str">
        <f t="shared" si="18"/>
        <v/>
      </c>
      <c r="BV20" s="11">
        <f t="shared" si="19"/>
        <v>7</v>
      </c>
      <c r="BW20" s="11">
        <f t="shared" si="20"/>
        <v>44.2</v>
      </c>
      <c r="BX20" s="11">
        <f t="shared" si="21"/>
        <v>7</v>
      </c>
      <c r="BY20" s="11">
        <f t="shared" si="22"/>
        <v>44.400000000000006</v>
      </c>
      <c r="BZ20" s="11">
        <f t="shared" si="23"/>
        <v>88.600000000000009</v>
      </c>
      <c r="CA20" s="19">
        <v>15.4</v>
      </c>
      <c r="CB20" s="19">
        <v>0.7</v>
      </c>
      <c r="CC20" s="19">
        <v>0</v>
      </c>
      <c r="CD20" s="19">
        <v>0</v>
      </c>
      <c r="CE20" s="19">
        <v>19.3</v>
      </c>
      <c r="CF20" s="19">
        <v>3.5</v>
      </c>
      <c r="CG20" s="19">
        <v>0</v>
      </c>
      <c r="CH20" s="19">
        <v>0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4"/>
        <v>4.2</v>
      </c>
      <c r="CW20" s="40">
        <f t="shared" si="25"/>
        <v>38.900000000000006</v>
      </c>
      <c r="CX20" s="40" t="str">
        <f t="shared" si="26"/>
        <v/>
      </c>
      <c r="CY20" s="40">
        <f t="shared" si="27"/>
        <v>4.2</v>
      </c>
      <c r="CZ20" s="40">
        <f t="shared" si="28"/>
        <v>38.900000000000006</v>
      </c>
      <c r="DA20" s="40" t="str">
        <f t="shared" si="29"/>
        <v/>
      </c>
      <c r="DB20" s="40" t="str">
        <f t="shared" si="30"/>
        <v/>
      </c>
      <c r="DC20" s="40">
        <f t="shared" si="31"/>
        <v>38.900000000000006</v>
      </c>
      <c r="DD20" s="50" t="str">
        <f t="shared" si="32"/>
        <v/>
      </c>
      <c r="DE20" s="50" t="str">
        <f t="shared" si="33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4"/>
        <v/>
      </c>
      <c r="EA20" s="40" t="str">
        <f t="shared" si="35"/>
        <v/>
      </c>
      <c r="EB20" s="40" t="str">
        <f t="shared" si="36"/>
        <v/>
      </c>
      <c r="EC20" s="40" t="str">
        <f t="shared" si="37"/>
        <v/>
      </c>
      <c r="ED20" s="40" t="str">
        <f t="shared" si="38"/>
        <v/>
      </c>
      <c r="EE20" s="40" t="str">
        <f t="shared" si="39"/>
        <v/>
      </c>
      <c r="EF20" s="40" t="str">
        <f t="shared" si="40"/>
        <v/>
      </c>
      <c r="EG20" s="40" t="str">
        <f t="shared" si="41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2"/>
        <v/>
      </c>
      <c r="FC20" s="11" t="str">
        <f t="shared" si="43"/>
        <v/>
      </c>
      <c r="FD20" s="11" t="str">
        <f t="shared" si="44"/>
        <v/>
      </c>
      <c r="FE20" s="11" t="str">
        <f t="shared" si="45"/>
        <v/>
      </c>
      <c r="FF20" s="11" t="str">
        <f t="shared" si="46"/>
        <v/>
      </c>
      <c r="FG20" s="11" t="str">
        <f t="shared" si="47"/>
        <v/>
      </c>
      <c r="FH20" s="11" t="str">
        <f t="shared" si="48"/>
        <v/>
      </c>
      <c r="FI20" s="11" t="str">
        <f t="shared" si="49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0"/>
        <v/>
      </c>
      <c r="GE20" s="40" t="str">
        <f t="shared" si="51"/>
        <v/>
      </c>
      <c r="GF20" s="40" t="str">
        <f t="shared" si="52"/>
        <v/>
      </c>
      <c r="GG20" s="40" t="str">
        <f t="shared" si="53"/>
        <v/>
      </c>
      <c r="GH20" s="40" t="str">
        <f t="shared" si="54"/>
        <v/>
      </c>
      <c r="GI20" s="40" t="str">
        <f t="shared" si="55"/>
        <v/>
      </c>
      <c r="GJ20" s="40" t="str">
        <f t="shared" si="56"/>
        <v/>
      </c>
      <c r="GK20" s="40" t="str">
        <f t="shared" si="57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58"/>
        <v/>
      </c>
      <c r="HG20" s="11" t="str">
        <f t="shared" si="59"/>
        <v/>
      </c>
      <c r="HH20" s="11" t="str">
        <f t="shared" si="60"/>
        <v/>
      </c>
      <c r="HI20" s="11" t="str">
        <f t="shared" si="61"/>
        <v/>
      </c>
      <c r="HJ20" s="11" t="str">
        <f t="shared" si="62"/>
        <v/>
      </c>
      <c r="HK20" s="11" t="str">
        <f t="shared" si="63"/>
        <v/>
      </c>
      <c r="HL20" s="11" t="str">
        <f t="shared" si="64"/>
        <v/>
      </c>
      <c r="HM20" s="11" t="str">
        <f t="shared" si="65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66"/>
        <v/>
      </c>
      <c r="II20" s="40" t="str">
        <f t="shared" si="67"/>
        <v/>
      </c>
      <c r="IJ20" s="40" t="str">
        <f t="shared" si="68"/>
        <v/>
      </c>
      <c r="IK20" s="40" t="str">
        <f t="shared" si="69"/>
        <v/>
      </c>
      <c r="IL20" s="40" t="str">
        <f t="shared" si="70"/>
        <v/>
      </c>
      <c r="IM20" s="40" t="str">
        <f t="shared" si="71"/>
        <v/>
      </c>
      <c r="IN20" s="40" t="str">
        <f t="shared" si="72"/>
        <v/>
      </c>
      <c r="IO20" s="40" t="str">
        <f t="shared" si="73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4"/>
        <v/>
      </c>
      <c r="JK20" s="11" t="str">
        <f t="shared" si="75"/>
        <v/>
      </c>
      <c r="JL20" s="11" t="str">
        <f t="shared" si="76"/>
        <v/>
      </c>
      <c r="JM20" s="11" t="str">
        <f t="shared" si="77"/>
        <v/>
      </c>
      <c r="JN20" s="11" t="str">
        <f t="shared" si="78"/>
        <v/>
      </c>
      <c r="JO20" s="11" t="str">
        <f t="shared" si="79"/>
        <v/>
      </c>
      <c r="JP20" s="11" t="str">
        <f t="shared" si="80"/>
        <v/>
      </c>
      <c r="JQ20" s="11" t="str">
        <f t="shared" si="81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2"/>
        <v/>
      </c>
      <c r="KM20" s="40" t="str">
        <f t="shared" si="83"/>
        <v/>
      </c>
      <c r="KN20" s="40" t="str">
        <f t="shared" si="84"/>
        <v/>
      </c>
      <c r="KO20" s="40" t="str">
        <f t="shared" si="85"/>
        <v/>
      </c>
      <c r="KP20" s="40" t="str">
        <f t="shared" si="86"/>
        <v/>
      </c>
      <c r="KQ20" s="40" t="str">
        <f t="shared" si="87"/>
        <v/>
      </c>
      <c r="KR20" s="40" t="str">
        <f t="shared" si="88"/>
        <v/>
      </c>
      <c r="KS20" s="40" t="str">
        <f t="shared" si="89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0"/>
        <v/>
      </c>
      <c r="LO20" s="11" t="str">
        <f t="shared" si="91"/>
        <v/>
      </c>
      <c r="LP20" s="11" t="str">
        <f t="shared" si="92"/>
        <v/>
      </c>
      <c r="LQ20" s="11" t="str">
        <f t="shared" si="93"/>
        <v/>
      </c>
      <c r="LR20" s="11" t="str">
        <f t="shared" si="94"/>
        <v/>
      </c>
      <c r="LS20" s="11" t="str">
        <f t="shared" si="95"/>
        <v/>
      </c>
      <c r="LT20" s="11" t="str">
        <f t="shared" si="96"/>
        <v/>
      </c>
      <c r="LU20" s="11" t="str">
        <f t="shared" si="97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98"/>
        <v/>
      </c>
      <c r="MQ20" s="40" t="str">
        <f t="shared" si="99"/>
        <v/>
      </c>
      <c r="MR20" s="40" t="str">
        <f t="shared" si="100"/>
        <v/>
      </c>
      <c r="MS20" s="40" t="str">
        <f t="shared" si="101"/>
        <v/>
      </c>
      <c r="MT20" s="40" t="str">
        <f t="shared" si="102"/>
        <v/>
      </c>
      <c r="MU20" s="40" t="str">
        <f t="shared" si="103"/>
        <v/>
      </c>
      <c r="MV20" s="40" t="str">
        <f t="shared" si="104"/>
        <v/>
      </c>
      <c r="MW20" s="40" t="str">
        <f t="shared" si="105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06"/>
        <v/>
      </c>
      <c r="NS20" s="11" t="str">
        <f t="shared" si="107"/>
        <v/>
      </c>
      <c r="NT20" s="11" t="str">
        <f t="shared" si="108"/>
        <v/>
      </c>
      <c r="NU20" s="11" t="str">
        <f t="shared" si="109"/>
        <v/>
      </c>
      <c r="NV20" s="11" t="str">
        <f t="shared" si="110"/>
        <v/>
      </c>
      <c r="NW20" s="11" t="str">
        <f t="shared" si="111"/>
        <v/>
      </c>
      <c r="NX20" s="11" t="str">
        <f t="shared" si="112"/>
        <v/>
      </c>
      <c r="NY20" s="11" t="str">
        <f t="shared" si="113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4"/>
        <v/>
      </c>
      <c r="OU20" s="40" t="str">
        <f t="shared" si="115"/>
        <v/>
      </c>
      <c r="OV20" s="40" t="str">
        <f t="shared" si="116"/>
        <v/>
      </c>
      <c r="OW20" s="40" t="str">
        <f t="shared" si="117"/>
        <v/>
      </c>
      <c r="OX20" s="40" t="str">
        <f t="shared" si="118"/>
        <v/>
      </c>
      <c r="OY20" s="40" t="str">
        <f t="shared" si="119"/>
        <v/>
      </c>
      <c r="OZ20" s="40" t="str">
        <f t="shared" si="120"/>
        <v/>
      </c>
      <c r="PA20" s="40" t="str">
        <f t="shared" si="121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2"/>
        <v/>
      </c>
      <c r="PW20" s="11" t="str">
        <f t="shared" si="123"/>
        <v/>
      </c>
      <c r="PX20" s="11" t="str">
        <f t="shared" si="124"/>
        <v/>
      </c>
      <c r="PY20" s="11" t="str">
        <f t="shared" si="125"/>
        <v/>
      </c>
      <c r="PZ20" s="11" t="str">
        <f t="shared" si="126"/>
        <v/>
      </c>
      <c r="QA20" s="11" t="str">
        <f t="shared" si="127"/>
        <v/>
      </c>
      <c r="QB20" s="11" t="str">
        <f t="shared" si="128"/>
        <v/>
      </c>
      <c r="QC20" s="11" t="str">
        <f t="shared" si="129"/>
        <v/>
      </c>
      <c r="QD20" s="22">
        <f t="shared" si="130"/>
        <v>16.850000000000001</v>
      </c>
      <c r="QE20" s="22">
        <f t="shared" si="131"/>
        <v>2.1</v>
      </c>
      <c r="QF20" s="22">
        <f t="shared" si="132"/>
        <v>0</v>
      </c>
      <c r="QG20" s="22">
        <f t="shared" si="133"/>
        <v>0</v>
      </c>
      <c r="QH20" s="22">
        <f t="shared" si="134"/>
        <v>19.100000000000001</v>
      </c>
      <c r="QI20" s="22">
        <f t="shared" si="135"/>
        <v>3.5</v>
      </c>
      <c r="QJ20" s="22">
        <f t="shared" si="136"/>
        <v>0</v>
      </c>
      <c r="QK20" s="22">
        <f t="shared" si="137"/>
        <v>0</v>
      </c>
      <c r="QL20" s="22">
        <f t="shared" si="138"/>
        <v>0</v>
      </c>
      <c r="QM20" s="22">
        <f t="shared" si="139"/>
        <v>0</v>
      </c>
      <c r="QN20" s="22">
        <f t="shared" si="140"/>
        <v>0</v>
      </c>
      <c r="QO20" s="22">
        <f t="shared" si="141"/>
        <v>0</v>
      </c>
      <c r="QP20" s="22">
        <f t="shared" si="142"/>
        <v>9.15</v>
      </c>
      <c r="QQ20" s="22">
        <f t="shared" si="143"/>
        <v>1.75</v>
      </c>
      <c r="QR20" s="22">
        <f t="shared" si="144"/>
        <v>0</v>
      </c>
      <c r="QS20" s="22">
        <f t="shared" si="145"/>
        <v>0</v>
      </c>
      <c r="QT20" s="22">
        <f t="shared" si="146"/>
        <v>9.5500000000000007</v>
      </c>
      <c r="QU20" s="22">
        <f t="shared" si="147"/>
        <v>1.75</v>
      </c>
      <c r="QV20" s="22">
        <f t="shared" si="148"/>
        <v>0</v>
      </c>
      <c r="QW20" s="22">
        <f t="shared" si="149"/>
        <v>0</v>
      </c>
      <c r="QX20" s="27" t="s">
        <v>46</v>
      </c>
      <c r="QY20" s="40">
        <f t="shared" si="150"/>
        <v>5.6</v>
      </c>
      <c r="QZ20" s="40">
        <f t="shared" si="151"/>
        <v>41.550000000000004</v>
      </c>
      <c r="RA20" s="40" t="str">
        <f t="shared" si="152"/>
        <v/>
      </c>
      <c r="RB20" s="40">
        <f t="shared" si="153"/>
        <v>5.6</v>
      </c>
      <c r="RC20" s="40">
        <f t="shared" si="154"/>
        <v>41.550000000000004</v>
      </c>
      <c r="RD20" s="40">
        <f t="shared" si="155"/>
        <v>3.5</v>
      </c>
      <c r="RE20" s="40">
        <f t="shared" si="156"/>
        <v>22.200000000000003</v>
      </c>
      <c r="RF20" s="40">
        <f t="shared" si="157"/>
        <v>63.750000000000007</v>
      </c>
    </row>
    <row r="21" spans="1:474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193</v>
      </c>
      <c r="D21" s="4" t="s">
        <v>4</v>
      </c>
      <c r="E21" s="4">
        <v>2008</v>
      </c>
      <c r="F21" s="9">
        <f t="shared" si="0"/>
        <v>127.1000082100044</v>
      </c>
      <c r="G21" s="64"/>
      <c r="H21" s="3" t="str">
        <f>IF(OR(AND(AP21&gt;=AW$39,AQ21&gt;=AW$43,AP21&lt;&gt;"",AO21=""),AND(AU21&gt;=AW$39,AV21&gt;=AW$43,AU21&lt;&gt;"",AO21=""),AND(BS21&gt;=BZ$39,BT21&gt;=BZ$43,BS21&lt;&gt;"",BR21=""),AND(BX21&gt;=BZ$39,BY21&gt;=BZ$43,BX21&lt;&gt;"",BR21=""),AND(CV21&gt;=DC$39,CW21&gt;=DC$43,CV21&lt;&gt;"",CU21=""),AND(DA21&gt;=DC$39,DB21&gt;=DC$43,DA21&lt;&gt;""),AND(DZ21&gt;=EG$39,EA21&gt;=EG$43,DZ21&lt;&gt;""),AND(EE21&gt;=EG$39,EF21&gt;=EG$43,EE21&lt;&gt;""),AND(FB21&gt;=FI$39,FC21&gt;=FI$43,FB21&lt;&gt;""),AND(FG21&gt;=FI$39,FH21&gt;=FI$43,FG21&lt;&gt;""),AND(GD21&gt;=GK$39,GE21&gt;=GK$43,GD21&lt;&gt;""),AND(GI21&gt;=GK$39,GJ21&gt;=GK$43,GI21&lt;&gt;""),AND(HF21&gt;=HM$39,HG21&gt;=HM$43,HF21&lt;&gt;""),AND(HK21&gt;=HM$39,HL21&gt;=HM$43,HK21&lt;&gt;""),AND(IH21&gt;=IO$39,II21&gt;=IO$43,IH21&lt;&gt;""),AND(IM21&gt;=IO$39,IN21&gt;=IO$43,IM21&lt;&gt;""),AND(JJ21&gt;=JQ$39,JK21&gt;=JQ$43,JJ21&lt;&gt;""),AND(JO21&gt;=JQ$39,JP21&gt;=JQ$43,JO21&lt;&gt;""),AND(KL21&gt;=KS$39,KM21&gt;=KS$43,KL21&lt;&gt;""),AND(KQ21&gt;=KS$39,KR21&gt;=KS$43,KQ21&lt;&gt;""),AND(LN21&gt;=LU$39,LO21&gt;=LU$43,LN21&lt;&gt;""),AND(LS21&gt;=LU$39,LT21&gt;=LU$43,LS21&lt;&gt;""),AND(MP21&gt;=MW$39,MQ21&gt;=MW$43,MP21&lt;&gt;""),AND(MU21&gt;=MW$39,MV21&gt;=MW$43,MU21&lt;&gt;""),AND(NR21&gt;=NY$39,NS21&gt;=NY$43,NR21&lt;&gt;""),AND(NW21&gt;=NY$39,NX21&gt;=NY$43,NW21&lt;&gt;""),AND(OT21&gt;=PA$39,OU21&gt;=PA$43,OT21&lt;&gt;""),AND(OY21&gt;=PA$39,OZ21&gt;=PA$43,OY21&lt;&gt;""),AND(PV21&gt;=QC$39,PW21&gt;=QC$43,PV21&lt;&gt;""),AND(QA21&gt;=QC$39,QB21&gt;=QC$43,QA21&lt;&gt;"")),"P","")</f>
        <v/>
      </c>
      <c r="I21" s="3" t="str">
        <f>IF(OR(AND(AQ21&gt;=AW$43,AQ21&lt;&gt;"",AO21=""),AND(AV21&gt;=AW$43,AV21&lt;&gt;"",AO21=""),AND(BT21&gt;=BZ$43,BT21&lt;&gt;"",BR21=""),AND(BY21&gt;=BZ$43,BY21&lt;&gt;"",BR21=""),AND(CW21&gt;=DC$43,CW21&lt;&gt;"",CU21=""),AND(DB21&gt;=DC$43,DB21&lt;&gt;"",CU21=""),AND(EA21&gt;=EG$43,EA21&lt;&gt;""),AND(EF21&gt;=EG$43,EF21&lt;&gt;""),AND(FC21&gt;=FI$43,FC21&lt;&gt;""),AND(FH21&gt;=FI$43,FH21&lt;&gt;""),AND(GE21&gt;=GK$43,GE21&lt;&gt;""),AND(GJ21&gt;=GK$43,GJ21&lt;&gt;""),AND(HG21&gt;=HM$43,HG21&lt;&gt;""),AND(HL21&gt;=HM$43,HL21&lt;&gt;""),AND(II21&gt;=IO$43,II21&lt;&gt;""),AND(IN21&gt;=IO$43,IN21&lt;&gt;""),AND(JK21&gt;=JQ$43,JK21&lt;&gt;""),AND(JP21&gt;=JQ$43,JP21&lt;&gt;""),AND(KM21&gt;=KS$43,KM21&lt;&gt;""),AND(KR21&gt;=KS$43,KR21&lt;&gt;""),AND(LO21&gt;=LU$43,LO21&lt;&gt;""),AND(LT21&gt;=LU$43,LT21&lt;&gt;""),AND(MQ21&gt;=MW$43,MQ21&lt;&gt;""),AND(MV21&gt;=MW$43,MV21&lt;&gt;""),AND(NS21&gt;=NY$43,NS21&lt;&gt;""),AND(NX21&gt;=NY$43,NX21&lt;&gt;""),AND(OU21&gt;=PA$43,OU21&lt;&gt;""),AND(OZ21&gt;=PA$43,OZ21&lt;&gt;""),AND(PW21&gt;=QC$43,PW21&lt;&gt;""),AND(QB21&gt;=QC$43,QB21&lt;&gt;"")),"P","")</f>
        <v/>
      </c>
      <c r="J21" s="36" t="str">
        <f>IF(AND(I21="P",H21=""),"No DD",IF(OR(AND(AS21&gt;=AW$42,AT21&gt;=AW$46,AS21&lt;&gt;"",AO21=""),AND(BV21&gt;=BZ$42,BW21&gt;=BZ$46,BV21&lt;&gt;"",BR21=""),AND(CY21&gt;=DC$42,CZ21&gt;=DC$46,CY21&lt;&gt;"",CU21=""),AND(EC21&gt;=EG$42,ED21&gt;=EG$46,EC21&lt;&gt;""),AND(FE21&gt;=FI$42,FF21&gt;=FI$46,FE21&lt;&gt;""),AND(GG21&gt;=GK$42,GH21&gt;=GK$46,GG21&lt;&gt;""),AND(HI21&gt;=HM$42,HJ21&gt;=HM$46,HI21&lt;&gt;""),AND(IK21&gt;=IO$42,IL21&gt;=IO$46,IK21&lt;&gt;""),AND(JM21&gt;=JQ$42,JN21&gt;=JQ$46,JM21&lt;&gt;""),AND(KO21&gt;=KS$42,KP21&gt;=KS$46,KO21&lt;&gt;""),AND(LQ21&gt;=LU$42,LR21&gt;=LU$46,LQ21&lt;&gt;""),AND(MS21&gt;=MW$42,MT21&gt;=MW$46,MS21&lt;&gt;""),AND(NU21&gt;=NY$42,NV21&gt;=NY$46,NU21&lt;&gt;""),AND(OW21&gt;=PA$42,OX21&gt;=PA$46,OW21&lt;&gt;""),AND(PY21&gt;=QC$42,PZ21&gt;=QC$46,PY21&lt;&gt;"")),"Merit",IF(OR(AND(AS21&gt;=AW$41,AT21&gt;=AW$45,AS21&lt;&gt;"",AO21=""),AND(BV21&gt;=BZ$41,BW21&gt;=BZ$45,BV21&lt;&gt;"",BR21=""),AND(CY21&gt;=DC$41,CZ21&gt;=DC$45,CY21&lt;&gt;"",CU21=""),AND(EC21&gt;=EG$41,ED21&gt;=EG$45,EC21&lt;&gt;""),AND(FE21&gt;=FI$41,FF21&gt;=FI$45,FE21&lt;&gt;""),AND(GG21&gt;=GK$41,GH21&gt;=GK$45,GG21&lt;&gt;""),AND(HI21&gt;=HM$41,HJ21&gt;=HM$45,HI21&lt;&gt;""),AND(IK21&gt;=IO$41,IL21&gt;=IO$45,IK21&lt;&gt;""),AND(JM21&gt;=JQ$41,JN21&gt;=JQ$45,JM21&lt;&gt;""),AND(KO21&gt;=KS$41,KP21&gt;=KS$45,KO21&lt;&gt;""),AND(LQ21&gt;=LU$41,LR21&gt;=LU$45,LQ21&lt;&gt;""),AND(MS21&gt;=MW$41,MT21&gt;=MW$45,MS21&lt;&gt;""),AND(NU21&gt;=NY$41,NV21&gt;=NY$45,NU21&lt;&gt;""),AND(OW21&gt;=PA$41,OX21&gt;=PA$45,OW21&lt;&gt;""),AND(PY21&gt;=QC$41,PZ21&gt;=QC$45,PY21&lt;&gt;"")),"Excellence",IF(K21="P","Worlds Team",IF(H21="P","National Team","")))))</f>
        <v/>
      </c>
      <c r="K21" s="3" t="str">
        <f>IF(OR(AND(AS21&gt;=AW$40,AT21&gt;=AW$44,AS21&lt;&gt;"",AO21=""),AND(BV21&gt;=BZ$40,BW21&gt;=BZ$44,BV21&lt;&gt;"",BR21=""),AND(CY21&gt;=DC$40,CZ21&gt;=DC$44,CY21&lt;&gt;"",CU21=""),AND(EC21&gt;=EG$40,ED21&gt;=EG$44,EC21&lt;&gt;""),AND(FE21&gt;=FI$40,FF21&gt;=FI$44,FE21&lt;&gt;""),AND(GG21&gt;=GK$40,GH21&gt;=GK$44,GG21&lt;&gt;""),AND(HI21&gt;=HM$40,HJ21&gt;=HM$44,HI21&lt;&gt;""),AND(IK21&gt;=IO$40,IL21&gt;=IO$44,IK21&lt;&gt;""),AND(JM21&gt;=JQ$40,JN21&gt;=JQ$44,JM21&lt;&gt;""),AND(KO21&gt;=KS$40,KP21&gt;=KS$44,KO21&lt;&gt;""),AND(LQ21&gt;=LU$40,LR21&gt;=LU$44,LQ21&lt;&gt;""),AND(MS21&gt;=MW$40,MT21&gt;=MW$44,MS21&lt;&gt;""),AND(NU21&gt;=NY$40,NV21&gt;=NY$44,NU21&lt;&gt;""),AND(OW21&gt;=PA$40,OX21&gt;=PA$44,OW21&lt;&gt;""),AND(PY21&gt;=QC$40,PZ21&gt;=QC$44,PY21&lt;&gt;"")),"P","")</f>
        <v/>
      </c>
      <c r="L21" s="8">
        <f>IF(COUNT(AQ21,BT21,CW21)&gt;0,LARGE((AQ21,BT21,CW21),1),0)</f>
        <v>44.1</v>
      </c>
      <c r="M21" s="8" t="str">
        <f t="shared" si="1"/>
        <v>2025 Nationals</v>
      </c>
      <c r="N21" s="8">
        <f>IF(COUNT(AQ21,BT21,CW21)&gt;1,LARGE((AQ21,BT21,CW21),2),0)</f>
        <v>38</v>
      </c>
      <c r="O21" s="8" t="str">
        <f t="shared" si="2"/>
        <v>2025 Elite Canada</v>
      </c>
      <c r="P21" s="8">
        <f t="shared" si="3"/>
        <v>45</v>
      </c>
      <c r="Q21" s="8" t="str">
        <f t="shared" si="4"/>
        <v>2025 Elite Canada</v>
      </c>
      <c r="R21" s="8" t="str">
        <f t="shared" si="5"/>
        <v/>
      </c>
      <c r="S21" s="11" t="str">
        <f t="shared" si="6"/>
        <v/>
      </c>
      <c r="T21" s="8" t="str">
        <f t="shared" si="7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8"/>
        <v/>
      </c>
      <c r="AQ21" s="40" t="str">
        <f t="shared" si="9"/>
        <v/>
      </c>
      <c r="AR21" s="40" t="str">
        <f t="shared" si="10"/>
        <v/>
      </c>
      <c r="AS21" s="40" t="str">
        <f t="shared" si="11"/>
        <v/>
      </c>
      <c r="AT21" s="40" t="str">
        <f t="shared" si="12"/>
        <v/>
      </c>
      <c r="AU21" s="40" t="str">
        <f t="shared" si="13"/>
        <v/>
      </c>
      <c r="AV21" s="40" t="str">
        <f t="shared" si="14"/>
        <v/>
      </c>
      <c r="AW21" s="40" t="str">
        <f t="shared" si="15"/>
        <v/>
      </c>
      <c r="AX21" s="18">
        <v>18.5</v>
      </c>
      <c r="AY21" s="18">
        <v>3.1</v>
      </c>
      <c r="AZ21" s="18">
        <v>1</v>
      </c>
      <c r="BA21" s="18">
        <v>0</v>
      </c>
      <c r="BB21" s="18">
        <v>15</v>
      </c>
      <c r="BC21" s="18">
        <v>2.4</v>
      </c>
      <c r="BD21" s="18">
        <v>0</v>
      </c>
      <c r="BE21" s="18">
        <v>0</v>
      </c>
      <c r="BF21" s="18"/>
      <c r="BG21" s="18"/>
      <c r="BH21" s="18"/>
      <c r="BI21" s="18"/>
      <c r="BJ21" s="18">
        <v>18.7</v>
      </c>
      <c r="BK21" s="18">
        <v>3.5</v>
      </c>
      <c r="BL21" s="18">
        <v>0</v>
      </c>
      <c r="BM21" s="18">
        <v>0</v>
      </c>
      <c r="BN21" s="18">
        <v>18</v>
      </c>
      <c r="BO21" s="18">
        <v>4.8</v>
      </c>
      <c r="BP21" s="18">
        <v>0</v>
      </c>
      <c r="BQ21" s="18">
        <v>0</v>
      </c>
      <c r="BR21" s="28"/>
      <c r="BS21" s="11">
        <f t="shared" si="16"/>
        <v>5.5</v>
      </c>
      <c r="BT21" s="11">
        <f t="shared" si="17"/>
        <v>38</v>
      </c>
      <c r="BU21" s="11" t="str">
        <f t="shared" si="18"/>
        <v/>
      </c>
      <c r="BV21" s="11">
        <f t="shared" si="19"/>
        <v>5.5</v>
      </c>
      <c r="BW21" s="11">
        <f t="shared" si="20"/>
        <v>38</v>
      </c>
      <c r="BX21" s="11">
        <f t="shared" si="21"/>
        <v>8.3000000000000007</v>
      </c>
      <c r="BY21" s="11">
        <f t="shared" si="22"/>
        <v>45</v>
      </c>
      <c r="BZ21" s="11">
        <f t="shared" si="23"/>
        <v>83</v>
      </c>
      <c r="CA21" s="19">
        <v>18.5</v>
      </c>
      <c r="CB21" s="19">
        <v>3.5</v>
      </c>
      <c r="CC21" s="19">
        <v>0</v>
      </c>
      <c r="CD21" s="19">
        <v>0</v>
      </c>
      <c r="CE21" s="19">
        <v>17.7</v>
      </c>
      <c r="CF21" s="19">
        <v>4.4000000000000004</v>
      </c>
      <c r="CG21" s="19">
        <v>0</v>
      </c>
      <c r="CH21" s="19">
        <v>0</v>
      </c>
      <c r="CI21" s="19"/>
      <c r="CJ21" s="19"/>
      <c r="CK21" s="19"/>
      <c r="CL21" s="19"/>
      <c r="CM21" s="19">
        <v>18.899999999999999</v>
      </c>
      <c r="CN21" s="19">
        <v>3.5</v>
      </c>
      <c r="CO21" s="19">
        <v>0</v>
      </c>
      <c r="CP21" s="19">
        <v>0</v>
      </c>
      <c r="CQ21" s="19">
        <v>18</v>
      </c>
      <c r="CR21" s="19">
        <v>4.4000000000000004</v>
      </c>
      <c r="CS21" s="19">
        <v>0.6</v>
      </c>
      <c r="CT21" s="19">
        <v>0</v>
      </c>
      <c r="CU21" s="27"/>
      <c r="CV21" s="40">
        <f t="shared" si="24"/>
        <v>7.9</v>
      </c>
      <c r="CW21" s="40">
        <f t="shared" si="25"/>
        <v>44.1</v>
      </c>
      <c r="CX21" s="40" t="str">
        <f t="shared" si="26"/>
        <v/>
      </c>
      <c r="CY21" s="40">
        <f t="shared" si="27"/>
        <v>7.9</v>
      </c>
      <c r="CZ21" s="40">
        <f t="shared" si="28"/>
        <v>44.1</v>
      </c>
      <c r="DA21" s="40">
        <f t="shared" si="29"/>
        <v>7.9</v>
      </c>
      <c r="DB21" s="40">
        <f t="shared" si="30"/>
        <v>44.199999999999996</v>
      </c>
      <c r="DC21" s="40">
        <f t="shared" si="31"/>
        <v>88.3</v>
      </c>
      <c r="DD21" s="50" t="str">
        <f t="shared" si="32"/>
        <v/>
      </c>
      <c r="DE21" s="50" t="str">
        <f t="shared" si="33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4"/>
        <v/>
      </c>
      <c r="EA21" s="40" t="str">
        <f t="shared" si="35"/>
        <v/>
      </c>
      <c r="EB21" s="40" t="str">
        <f t="shared" si="36"/>
        <v/>
      </c>
      <c r="EC21" s="40" t="str">
        <f t="shared" si="37"/>
        <v/>
      </c>
      <c r="ED21" s="40" t="str">
        <f t="shared" si="38"/>
        <v/>
      </c>
      <c r="EE21" s="40" t="str">
        <f t="shared" si="39"/>
        <v/>
      </c>
      <c r="EF21" s="40" t="str">
        <f t="shared" si="40"/>
        <v/>
      </c>
      <c r="EG21" s="40" t="str">
        <f t="shared" si="41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2"/>
        <v/>
      </c>
      <c r="FC21" s="11" t="str">
        <f t="shared" si="43"/>
        <v/>
      </c>
      <c r="FD21" s="11" t="str">
        <f t="shared" si="44"/>
        <v/>
      </c>
      <c r="FE21" s="11" t="str">
        <f t="shared" si="45"/>
        <v/>
      </c>
      <c r="FF21" s="11" t="str">
        <f t="shared" si="46"/>
        <v/>
      </c>
      <c r="FG21" s="11" t="str">
        <f t="shared" si="47"/>
        <v/>
      </c>
      <c r="FH21" s="11" t="str">
        <f t="shared" si="48"/>
        <v/>
      </c>
      <c r="FI21" s="11" t="str">
        <f t="shared" si="49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0"/>
        <v/>
      </c>
      <c r="GE21" s="40" t="str">
        <f t="shared" si="51"/>
        <v/>
      </c>
      <c r="GF21" s="40" t="str">
        <f t="shared" si="52"/>
        <v/>
      </c>
      <c r="GG21" s="40" t="str">
        <f t="shared" si="53"/>
        <v/>
      </c>
      <c r="GH21" s="40" t="str">
        <f t="shared" si="54"/>
        <v/>
      </c>
      <c r="GI21" s="40" t="str">
        <f t="shared" si="55"/>
        <v/>
      </c>
      <c r="GJ21" s="40" t="str">
        <f t="shared" si="56"/>
        <v/>
      </c>
      <c r="GK21" s="40" t="str">
        <f t="shared" si="57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58"/>
        <v/>
      </c>
      <c r="HG21" s="11" t="str">
        <f t="shared" si="59"/>
        <v/>
      </c>
      <c r="HH21" s="11" t="str">
        <f t="shared" si="60"/>
        <v/>
      </c>
      <c r="HI21" s="11" t="str">
        <f t="shared" si="61"/>
        <v/>
      </c>
      <c r="HJ21" s="11" t="str">
        <f t="shared" si="62"/>
        <v/>
      </c>
      <c r="HK21" s="11" t="str">
        <f t="shared" si="63"/>
        <v/>
      </c>
      <c r="HL21" s="11" t="str">
        <f t="shared" si="64"/>
        <v/>
      </c>
      <c r="HM21" s="11" t="str">
        <f t="shared" si="65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66"/>
        <v/>
      </c>
      <c r="II21" s="40" t="str">
        <f t="shared" si="67"/>
        <v/>
      </c>
      <c r="IJ21" s="40" t="str">
        <f t="shared" si="68"/>
        <v/>
      </c>
      <c r="IK21" s="40" t="str">
        <f t="shared" si="69"/>
        <v/>
      </c>
      <c r="IL21" s="40" t="str">
        <f t="shared" si="70"/>
        <v/>
      </c>
      <c r="IM21" s="40" t="str">
        <f t="shared" si="71"/>
        <v/>
      </c>
      <c r="IN21" s="40" t="str">
        <f t="shared" si="72"/>
        <v/>
      </c>
      <c r="IO21" s="40" t="str">
        <f t="shared" si="73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4"/>
        <v/>
      </c>
      <c r="JK21" s="11" t="str">
        <f t="shared" si="75"/>
        <v/>
      </c>
      <c r="JL21" s="11" t="str">
        <f t="shared" si="76"/>
        <v/>
      </c>
      <c r="JM21" s="11" t="str">
        <f t="shared" si="77"/>
        <v/>
      </c>
      <c r="JN21" s="11" t="str">
        <f t="shared" si="78"/>
        <v/>
      </c>
      <c r="JO21" s="11" t="str">
        <f t="shared" si="79"/>
        <v/>
      </c>
      <c r="JP21" s="11" t="str">
        <f t="shared" si="80"/>
        <v/>
      </c>
      <c r="JQ21" s="11" t="str">
        <f t="shared" si="81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2"/>
        <v/>
      </c>
      <c r="KM21" s="40" t="str">
        <f t="shared" si="83"/>
        <v/>
      </c>
      <c r="KN21" s="40" t="str">
        <f t="shared" si="84"/>
        <v/>
      </c>
      <c r="KO21" s="40" t="str">
        <f t="shared" si="85"/>
        <v/>
      </c>
      <c r="KP21" s="40" t="str">
        <f t="shared" si="86"/>
        <v/>
      </c>
      <c r="KQ21" s="40" t="str">
        <f t="shared" si="87"/>
        <v/>
      </c>
      <c r="KR21" s="40" t="str">
        <f t="shared" si="88"/>
        <v/>
      </c>
      <c r="KS21" s="40" t="str">
        <f t="shared" si="89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0"/>
        <v/>
      </c>
      <c r="LO21" s="11" t="str">
        <f t="shared" si="91"/>
        <v/>
      </c>
      <c r="LP21" s="11" t="str">
        <f t="shared" si="92"/>
        <v/>
      </c>
      <c r="LQ21" s="11" t="str">
        <f t="shared" si="93"/>
        <v/>
      </c>
      <c r="LR21" s="11" t="str">
        <f t="shared" si="94"/>
        <v/>
      </c>
      <c r="LS21" s="11" t="str">
        <f t="shared" si="95"/>
        <v/>
      </c>
      <c r="LT21" s="11" t="str">
        <f t="shared" si="96"/>
        <v/>
      </c>
      <c r="LU21" s="11" t="str">
        <f t="shared" si="97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98"/>
        <v/>
      </c>
      <c r="MQ21" s="40" t="str">
        <f t="shared" si="99"/>
        <v/>
      </c>
      <c r="MR21" s="40" t="str">
        <f t="shared" si="100"/>
        <v/>
      </c>
      <c r="MS21" s="40" t="str">
        <f t="shared" si="101"/>
        <v/>
      </c>
      <c r="MT21" s="40" t="str">
        <f t="shared" si="102"/>
        <v/>
      </c>
      <c r="MU21" s="40" t="str">
        <f t="shared" si="103"/>
        <v/>
      </c>
      <c r="MV21" s="40" t="str">
        <f t="shared" si="104"/>
        <v/>
      </c>
      <c r="MW21" s="40" t="str">
        <f t="shared" si="105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06"/>
        <v/>
      </c>
      <c r="NS21" s="11" t="str">
        <f t="shared" si="107"/>
        <v/>
      </c>
      <c r="NT21" s="11" t="str">
        <f t="shared" si="108"/>
        <v/>
      </c>
      <c r="NU21" s="11" t="str">
        <f t="shared" si="109"/>
        <v/>
      </c>
      <c r="NV21" s="11" t="str">
        <f t="shared" si="110"/>
        <v/>
      </c>
      <c r="NW21" s="11" t="str">
        <f t="shared" si="111"/>
        <v/>
      </c>
      <c r="NX21" s="11" t="str">
        <f t="shared" si="112"/>
        <v/>
      </c>
      <c r="NY21" s="11" t="str">
        <f t="shared" si="113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4"/>
        <v/>
      </c>
      <c r="OU21" s="40" t="str">
        <f t="shared" si="115"/>
        <v/>
      </c>
      <c r="OV21" s="40" t="str">
        <f t="shared" si="116"/>
        <v/>
      </c>
      <c r="OW21" s="40" t="str">
        <f t="shared" si="117"/>
        <v/>
      </c>
      <c r="OX21" s="40" t="str">
        <f t="shared" si="118"/>
        <v/>
      </c>
      <c r="OY21" s="40" t="str">
        <f t="shared" si="119"/>
        <v/>
      </c>
      <c r="OZ21" s="40" t="str">
        <f t="shared" si="120"/>
        <v/>
      </c>
      <c r="PA21" s="40" t="str">
        <f t="shared" si="121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2"/>
        <v/>
      </c>
      <c r="PW21" s="11" t="str">
        <f t="shared" si="123"/>
        <v/>
      </c>
      <c r="PX21" s="11" t="str">
        <f t="shared" si="124"/>
        <v/>
      </c>
      <c r="PY21" s="11" t="str">
        <f t="shared" si="125"/>
        <v/>
      </c>
      <c r="PZ21" s="11" t="str">
        <f t="shared" si="126"/>
        <v/>
      </c>
      <c r="QA21" s="11" t="str">
        <f t="shared" si="127"/>
        <v/>
      </c>
      <c r="QB21" s="11" t="str">
        <f t="shared" si="128"/>
        <v/>
      </c>
      <c r="QC21" s="11" t="str">
        <f t="shared" si="129"/>
        <v/>
      </c>
      <c r="QD21" s="22">
        <f t="shared" si="130"/>
        <v>18.5</v>
      </c>
      <c r="QE21" s="22">
        <f t="shared" si="131"/>
        <v>3.3</v>
      </c>
      <c r="QF21" s="22">
        <f t="shared" si="132"/>
        <v>0.5</v>
      </c>
      <c r="QG21" s="22">
        <f t="shared" si="133"/>
        <v>0</v>
      </c>
      <c r="QH21" s="22">
        <f t="shared" si="134"/>
        <v>16.350000000000001</v>
      </c>
      <c r="QI21" s="22">
        <f t="shared" si="135"/>
        <v>3.4000000000000004</v>
      </c>
      <c r="QJ21" s="22">
        <f t="shared" si="136"/>
        <v>0</v>
      </c>
      <c r="QK21" s="22">
        <f t="shared" si="137"/>
        <v>0</v>
      </c>
      <c r="QL21" s="22">
        <f t="shared" si="138"/>
        <v>0</v>
      </c>
      <c r="QM21" s="22">
        <f t="shared" si="139"/>
        <v>0</v>
      </c>
      <c r="QN21" s="22">
        <f t="shared" si="140"/>
        <v>0</v>
      </c>
      <c r="QO21" s="22">
        <f t="shared" si="141"/>
        <v>0</v>
      </c>
      <c r="QP21" s="22">
        <f t="shared" si="142"/>
        <v>18.799999999999997</v>
      </c>
      <c r="QQ21" s="22">
        <f t="shared" si="143"/>
        <v>3.5</v>
      </c>
      <c r="QR21" s="22">
        <f t="shared" si="144"/>
        <v>0</v>
      </c>
      <c r="QS21" s="22">
        <f t="shared" si="145"/>
        <v>0</v>
      </c>
      <c r="QT21" s="22">
        <f t="shared" si="146"/>
        <v>18</v>
      </c>
      <c r="QU21" s="22">
        <f t="shared" si="147"/>
        <v>4.5999999999999996</v>
      </c>
      <c r="QV21" s="22">
        <f t="shared" si="148"/>
        <v>0.3</v>
      </c>
      <c r="QW21" s="22">
        <f t="shared" si="149"/>
        <v>0</v>
      </c>
      <c r="QX21" s="27" t="s">
        <v>46</v>
      </c>
      <c r="QY21" s="40">
        <f t="shared" si="150"/>
        <v>6.7</v>
      </c>
      <c r="QZ21" s="40">
        <f t="shared" si="151"/>
        <v>41.050000000000004</v>
      </c>
      <c r="RA21" s="40" t="str">
        <f t="shared" si="152"/>
        <v/>
      </c>
      <c r="RB21" s="40">
        <f t="shared" si="153"/>
        <v>6.7</v>
      </c>
      <c r="RC21" s="40">
        <f t="shared" si="154"/>
        <v>41.050000000000004</v>
      </c>
      <c r="RD21" s="40">
        <f t="shared" si="155"/>
        <v>8.1</v>
      </c>
      <c r="RE21" s="40">
        <f t="shared" si="156"/>
        <v>44.6</v>
      </c>
      <c r="RF21" s="40">
        <f t="shared" si="157"/>
        <v>85.65</v>
      </c>
    </row>
    <row r="22" spans="1:474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155</v>
      </c>
      <c r="D22" s="4" t="s">
        <v>4</v>
      </c>
      <c r="E22" s="4">
        <v>2007</v>
      </c>
      <c r="F22" s="9">
        <f t="shared" si="0"/>
        <v>122.40000827000449</v>
      </c>
      <c r="G22" s="64"/>
      <c r="H22" s="3" t="str">
        <f>IF(OR(AND(AP22&gt;=AW$39,AQ22&gt;=AW$43,AP22&lt;&gt;"",AO22=""),AND(AU22&gt;=AW$39,AV22&gt;=AW$43,AU22&lt;&gt;"",AO22=""),AND(BS22&gt;=BZ$39,BT22&gt;=BZ$43,BS22&lt;&gt;"",BR22=""),AND(BX22&gt;=BZ$39,BY22&gt;=BZ$43,BX22&lt;&gt;"",BR22=""),AND(CV22&gt;=DC$39,CW22&gt;=DC$43,CV22&lt;&gt;"",CU22=""),AND(DA22&gt;=DC$39,DB22&gt;=DC$43,DA22&lt;&gt;""),AND(DZ22&gt;=EG$39,EA22&gt;=EG$43,DZ22&lt;&gt;""),AND(EE22&gt;=EG$39,EF22&gt;=EG$43,EE22&lt;&gt;""),AND(FB22&gt;=FI$39,FC22&gt;=FI$43,FB22&lt;&gt;""),AND(FG22&gt;=FI$39,FH22&gt;=FI$43,FG22&lt;&gt;""),AND(GD22&gt;=GK$39,GE22&gt;=GK$43,GD22&lt;&gt;""),AND(GI22&gt;=GK$39,GJ22&gt;=GK$43,GI22&lt;&gt;""),AND(HF22&gt;=HM$39,HG22&gt;=HM$43,HF22&lt;&gt;""),AND(HK22&gt;=HM$39,HL22&gt;=HM$43,HK22&lt;&gt;""),AND(IH22&gt;=IO$39,II22&gt;=IO$43,IH22&lt;&gt;""),AND(IM22&gt;=IO$39,IN22&gt;=IO$43,IM22&lt;&gt;""),AND(JJ22&gt;=JQ$39,JK22&gt;=JQ$43,JJ22&lt;&gt;""),AND(JO22&gt;=JQ$39,JP22&gt;=JQ$43,JO22&lt;&gt;""),AND(KL22&gt;=KS$39,KM22&gt;=KS$43,KL22&lt;&gt;""),AND(KQ22&gt;=KS$39,KR22&gt;=KS$43,KQ22&lt;&gt;""),AND(LN22&gt;=LU$39,LO22&gt;=LU$43,LN22&lt;&gt;""),AND(LS22&gt;=LU$39,LT22&gt;=LU$43,LS22&lt;&gt;""),AND(MP22&gt;=MW$39,MQ22&gt;=MW$43,MP22&lt;&gt;""),AND(MU22&gt;=MW$39,MV22&gt;=MW$43,MU22&lt;&gt;""),AND(NR22&gt;=NY$39,NS22&gt;=NY$43,NR22&lt;&gt;""),AND(NW22&gt;=NY$39,NX22&gt;=NY$43,NW22&lt;&gt;""),AND(OT22&gt;=PA$39,OU22&gt;=PA$43,OT22&lt;&gt;""),AND(OY22&gt;=PA$39,OZ22&gt;=PA$43,OY22&lt;&gt;""),AND(PV22&gt;=QC$39,PW22&gt;=QC$43,PV22&lt;&gt;""),AND(QA22&gt;=QC$39,QB22&gt;=QC$43,QA22&lt;&gt;"")),"P","")</f>
        <v/>
      </c>
      <c r="I22" s="3" t="str">
        <f>IF(OR(AND(AQ22&gt;=AW$43,AQ22&lt;&gt;"",AO22=""),AND(AV22&gt;=AW$43,AV22&lt;&gt;"",AO22=""),AND(BT22&gt;=BZ$43,BT22&lt;&gt;"",BR22=""),AND(BY22&gt;=BZ$43,BY22&lt;&gt;"",BR22=""),AND(CW22&gt;=DC$43,CW22&lt;&gt;"",CU22=""),AND(DB22&gt;=DC$43,DB22&lt;&gt;"",CU22=""),AND(EA22&gt;=EG$43,EA22&lt;&gt;""),AND(EF22&gt;=EG$43,EF22&lt;&gt;""),AND(FC22&gt;=FI$43,FC22&lt;&gt;""),AND(FH22&gt;=FI$43,FH22&lt;&gt;""),AND(GE22&gt;=GK$43,GE22&lt;&gt;""),AND(GJ22&gt;=GK$43,GJ22&lt;&gt;""),AND(HG22&gt;=HM$43,HG22&lt;&gt;""),AND(HL22&gt;=HM$43,HL22&lt;&gt;""),AND(II22&gt;=IO$43,II22&lt;&gt;""),AND(IN22&gt;=IO$43,IN22&lt;&gt;""),AND(JK22&gt;=JQ$43,JK22&lt;&gt;""),AND(JP22&gt;=JQ$43,JP22&lt;&gt;""),AND(KM22&gt;=KS$43,KM22&lt;&gt;""),AND(KR22&gt;=KS$43,KR22&lt;&gt;""),AND(LO22&gt;=LU$43,LO22&lt;&gt;""),AND(LT22&gt;=LU$43,LT22&lt;&gt;""),AND(MQ22&gt;=MW$43,MQ22&lt;&gt;""),AND(MV22&gt;=MW$43,MV22&lt;&gt;""),AND(NS22&gt;=NY$43,NS22&lt;&gt;""),AND(NX22&gt;=NY$43,NX22&lt;&gt;""),AND(OU22&gt;=PA$43,OU22&lt;&gt;""),AND(OZ22&gt;=PA$43,OZ22&lt;&gt;""),AND(PW22&gt;=QC$43,PW22&lt;&gt;""),AND(QB22&gt;=QC$43,QB22&lt;&gt;"")),"P","")</f>
        <v/>
      </c>
      <c r="J22" s="36" t="str">
        <f>IF(AND(I22="P",H22=""),"No DD",IF(OR(AND(AS22&gt;=AW$42,AT22&gt;=AW$46,AS22&lt;&gt;"",AO22=""),AND(BV22&gt;=BZ$42,BW22&gt;=BZ$46,BV22&lt;&gt;"",BR22=""),AND(CY22&gt;=DC$42,CZ22&gt;=DC$46,CY22&lt;&gt;"",CU22=""),AND(EC22&gt;=EG$42,ED22&gt;=EG$46,EC22&lt;&gt;""),AND(FE22&gt;=FI$42,FF22&gt;=FI$46,FE22&lt;&gt;""),AND(GG22&gt;=GK$42,GH22&gt;=GK$46,GG22&lt;&gt;""),AND(HI22&gt;=HM$42,HJ22&gt;=HM$46,HI22&lt;&gt;""),AND(IK22&gt;=IO$42,IL22&gt;=IO$46,IK22&lt;&gt;""),AND(JM22&gt;=JQ$42,JN22&gt;=JQ$46,JM22&lt;&gt;""),AND(KO22&gt;=KS$42,KP22&gt;=KS$46,KO22&lt;&gt;""),AND(LQ22&gt;=LU$42,LR22&gt;=LU$46,LQ22&lt;&gt;""),AND(MS22&gt;=MW$42,MT22&gt;=MW$46,MS22&lt;&gt;""),AND(NU22&gt;=NY$42,NV22&gt;=NY$46,NU22&lt;&gt;""),AND(OW22&gt;=PA$42,OX22&gt;=PA$46,OW22&lt;&gt;""),AND(PY22&gt;=QC$42,PZ22&gt;=QC$46,PY22&lt;&gt;"")),"Merit",IF(OR(AND(AS22&gt;=AW$41,AT22&gt;=AW$45,AS22&lt;&gt;"",AO22=""),AND(BV22&gt;=BZ$41,BW22&gt;=BZ$45,BV22&lt;&gt;"",BR22=""),AND(CY22&gt;=DC$41,CZ22&gt;=DC$45,CY22&lt;&gt;"",CU22=""),AND(EC22&gt;=EG$41,ED22&gt;=EG$45,EC22&lt;&gt;""),AND(FE22&gt;=FI$41,FF22&gt;=FI$45,FE22&lt;&gt;""),AND(GG22&gt;=GK$41,GH22&gt;=GK$45,GG22&lt;&gt;""),AND(HI22&gt;=HM$41,HJ22&gt;=HM$45,HI22&lt;&gt;""),AND(IK22&gt;=IO$41,IL22&gt;=IO$45,IK22&lt;&gt;""),AND(JM22&gt;=JQ$41,JN22&gt;=JQ$45,JM22&lt;&gt;""),AND(KO22&gt;=KS$41,KP22&gt;=KS$45,KO22&lt;&gt;""),AND(LQ22&gt;=LU$41,LR22&gt;=LU$45,LQ22&lt;&gt;""),AND(MS22&gt;=MW$41,MT22&gt;=MW$45,MS22&lt;&gt;""),AND(NU22&gt;=NY$41,NV22&gt;=NY$45,NU22&lt;&gt;""),AND(OW22&gt;=PA$41,OX22&gt;=PA$45,OW22&lt;&gt;""),AND(PY22&gt;=QC$41,PZ22&gt;=QC$45,PY22&lt;&gt;"")),"Excellence",IF(K22="P","Worlds Team",IF(H22="P","National Team","")))))</f>
        <v/>
      </c>
      <c r="K22" s="3" t="str">
        <f>IF(OR(AND(AS22&gt;=AW$40,AT22&gt;=AW$44,AS22&lt;&gt;"",AO22=""),AND(BV22&gt;=BZ$40,BW22&gt;=BZ$44,BV22&lt;&gt;"",BR22=""),AND(CY22&gt;=DC$40,CZ22&gt;=DC$44,CY22&lt;&gt;"",CU22=""),AND(EC22&gt;=EG$40,ED22&gt;=EG$44,EC22&lt;&gt;""),AND(FE22&gt;=FI$40,FF22&gt;=FI$44,FE22&lt;&gt;""),AND(GG22&gt;=GK$40,GH22&gt;=GK$44,GG22&lt;&gt;""),AND(HI22&gt;=HM$40,HJ22&gt;=HM$44,HI22&lt;&gt;""),AND(IK22&gt;=IO$40,IL22&gt;=IO$44,IK22&lt;&gt;""),AND(JM22&gt;=JQ$40,JN22&gt;=JQ$44,JM22&lt;&gt;""),AND(KO22&gt;=KS$40,KP22&gt;=KS$44,KO22&lt;&gt;""),AND(LQ22&gt;=LU$40,LR22&gt;=LU$44,LQ22&lt;&gt;""),AND(MS22&gt;=MW$40,MT22&gt;=MW$44,MS22&lt;&gt;""),AND(NU22&gt;=NY$40,NV22&gt;=NY$44,NU22&lt;&gt;""),AND(OW22&gt;=PA$40,OX22&gt;=PA$44,OW22&lt;&gt;""),AND(PY22&gt;=QC$40,PZ22&gt;=QC$44,PY22&lt;&gt;"")),"P","")</f>
        <v/>
      </c>
      <c r="L22" s="8">
        <f>IF(COUNT(AQ22,BT22,CW22)&gt;0,LARGE((AQ22,BT22,CW22),1),0)</f>
        <v>44.9</v>
      </c>
      <c r="M22" s="8" t="str">
        <f t="shared" si="1"/>
        <v>2025 Nationals</v>
      </c>
      <c r="N22" s="8">
        <f>IF(COUNT(AQ22,BT22,CW22)&gt;1,LARGE((AQ22,BT22,CW22),2),0)</f>
        <v>37.800000000000004</v>
      </c>
      <c r="O22" s="8" t="str">
        <f t="shared" si="2"/>
        <v>2025 Elite Canada</v>
      </c>
      <c r="P22" s="8">
        <f t="shared" si="3"/>
        <v>39.699999999999996</v>
      </c>
      <c r="Q22" s="8" t="str">
        <f t="shared" si="4"/>
        <v>2025 Nationals</v>
      </c>
      <c r="R22" s="8" t="str">
        <f t="shared" si="5"/>
        <v/>
      </c>
      <c r="S22" s="11" t="str">
        <f t="shared" si="6"/>
        <v/>
      </c>
      <c r="T22" s="8" t="str">
        <f t="shared" si="7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8"/>
        <v/>
      </c>
      <c r="AQ22" s="40" t="str">
        <f t="shared" si="9"/>
        <v/>
      </c>
      <c r="AR22" s="40" t="str">
        <f t="shared" si="10"/>
        <v/>
      </c>
      <c r="AS22" s="40" t="str">
        <f t="shared" si="11"/>
        <v/>
      </c>
      <c r="AT22" s="40" t="str">
        <f t="shared" si="12"/>
        <v/>
      </c>
      <c r="AU22" s="40" t="str">
        <f t="shared" si="13"/>
        <v/>
      </c>
      <c r="AV22" s="40" t="str">
        <f t="shared" si="14"/>
        <v/>
      </c>
      <c r="AW22" s="40" t="str">
        <f t="shared" si="15"/>
        <v/>
      </c>
      <c r="AX22" s="18">
        <v>18.399999999999999</v>
      </c>
      <c r="AY22" s="18">
        <v>3.2</v>
      </c>
      <c r="AZ22" s="18">
        <v>0.3</v>
      </c>
      <c r="BA22" s="18">
        <v>0</v>
      </c>
      <c r="BB22" s="18">
        <v>15.8</v>
      </c>
      <c r="BC22" s="18">
        <v>0.7</v>
      </c>
      <c r="BD22" s="18">
        <v>0</v>
      </c>
      <c r="BE22" s="18">
        <v>0</v>
      </c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 t="shared" si="16"/>
        <v>3.9000000000000004</v>
      </c>
      <c r="BT22" s="11">
        <f t="shared" si="17"/>
        <v>37.800000000000004</v>
      </c>
      <c r="BU22" s="11" t="str">
        <f t="shared" si="18"/>
        <v/>
      </c>
      <c r="BV22" s="11">
        <f t="shared" si="19"/>
        <v>3.9000000000000004</v>
      </c>
      <c r="BW22" s="11">
        <f t="shared" si="20"/>
        <v>37.800000000000004</v>
      </c>
      <c r="BX22" s="11" t="str">
        <f t="shared" si="21"/>
        <v/>
      </c>
      <c r="BY22" s="11" t="str">
        <f t="shared" si="22"/>
        <v/>
      </c>
      <c r="BZ22" s="11">
        <f t="shared" si="23"/>
        <v>37.800000000000004</v>
      </c>
      <c r="CA22" s="19">
        <v>18.899999999999999</v>
      </c>
      <c r="CB22" s="19">
        <v>3.5</v>
      </c>
      <c r="CC22" s="19">
        <v>0</v>
      </c>
      <c r="CD22" s="19">
        <v>0</v>
      </c>
      <c r="CE22" s="19">
        <v>18.3</v>
      </c>
      <c r="CF22" s="19">
        <v>4.4000000000000004</v>
      </c>
      <c r="CG22" s="19">
        <v>0.2</v>
      </c>
      <c r="CH22" s="19">
        <v>0</v>
      </c>
      <c r="CI22" s="19"/>
      <c r="CJ22" s="19"/>
      <c r="CK22" s="19"/>
      <c r="CL22" s="19"/>
      <c r="CM22" s="19">
        <v>19.3</v>
      </c>
      <c r="CN22" s="19">
        <v>3.5</v>
      </c>
      <c r="CO22" s="19">
        <v>0.6</v>
      </c>
      <c r="CP22" s="19">
        <v>0</v>
      </c>
      <c r="CQ22" s="19">
        <v>15.1</v>
      </c>
      <c r="CR22" s="19">
        <v>2.4</v>
      </c>
      <c r="CS22" s="19">
        <v>0</v>
      </c>
      <c r="CT22" s="19">
        <v>0</v>
      </c>
      <c r="CU22" s="27"/>
      <c r="CV22" s="40">
        <f t="shared" si="24"/>
        <v>7.9</v>
      </c>
      <c r="CW22" s="40">
        <f t="shared" si="25"/>
        <v>44.9</v>
      </c>
      <c r="CX22" s="40" t="str">
        <f t="shared" si="26"/>
        <v/>
      </c>
      <c r="CY22" s="40">
        <f t="shared" si="27"/>
        <v>7.9</v>
      </c>
      <c r="CZ22" s="40">
        <f t="shared" si="28"/>
        <v>44.9</v>
      </c>
      <c r="DA22" s="40">
        <f t="shared" si="29"/>
        <v>5.9</v>
      </c>
      <c r="DB22" s="40">
        <f t="shared" si="30"/>
        <v>39.699999999999996</v>
      </c>
      <c r="DC22" s="40">
        <f t="shared" si="31"/>
        <v>84.6</v>
      </c>
      <c r="DD22" s="50" t="str">
        <f t="shared" si="32"/>
        <v/>
      </c>
      <c r="DE22" s="50" t="str">
        <f t="shared" si="33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4"/>
        <v/>
      </c>
      <c r="EA22" s="40" t="str">
        <f t="shared" si="35"/>
        <v/>
      </c>
      <c r="EB22" s="40" t="str">
        <f t="shared" si="36"/>
        <v/>
      </c>
      <c r="EC22" s="40" t="str">
        <f t="shared" si="37"/>
        <v/>
      </c>
      <c r="ED22" s="40" t="str">
        <f t="shared" si="38"/>
        <v/>
      </c>
      <c r="EE22" s="40" t="str">
        <f t="shared" si="39"/>
        <v/>
      </c>
      <c r="EF22" s="40" t="str">
        <f t="shared" si="40"/>
        <v/>
      </c>
      <c r="EG22" s="40" t="str">
        <f t="shared" si="41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2"/>
        <v/>
      </c>
      <c r="FC22" s="11" t="str">
        <f t="shared" si="43"/>
        <v/>
      </c>
      <c r="FD22" s="11" t="str">
        <f t="shared" si="44"/>
        <v/>
      </c>
      <c r="FE22" s="11" t="str">
        <f t="shared" si="45"/>
        <v/>
      </c>
      <c r="FF22" s="11" t="str">
        <f t="shared" si="46"/>
        <v/>
      </c>
      <c r="FG22" s="11" t="str">
        <f t="shared" si="47"/>
        <v/>
      </c>
      <c r="FH22" s="11" t="str">
        <f t="shared" si="48"/>
        <v/>
      </c>
      <c r="FI22" s="11" t="str">
        <f t="shared" si="49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0"/>
        <v/>
      </c>
      <c r="GE22" s="40" t="str">
        <f t="shared" si="51"/>
        <v/>
      </c>
      <c r="GF22" s="40" t="str">
        <f t="shared" si="52"/>
        <v/>
      </c>
      <c r="GG22" s="40" t="str">
        <f t="shared" si="53"/>
        <v/>
      </c>
      <c r="GH22" s="40" t="str">
        <f t="shared" si="54"/>
        <v/>
      </c>
      <c r="GI22" s="40" t="str">
        <f t="shared" si="55"/>
        <v/>
      </c>
      <c r="GJ22" s="40" t="str">
        <f t="shared" si="56"/>
        <v/>
      </c>
      <c r="GK22" s="40" t="str">
        <f t="shared" si="57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58"/>
        <v/>
      </c>
      <c r="HG22" s="11" t="str">
        <f t="shared" si="59"/>
        <v/>
      </c>
      <c r="HH22" s="11" t="str">
        <f t="shared" si="60"/>
        <v/>
      </c>
      <c r="HI22" s="11" t="str">
        <f t="shared" si="61"/>
        <v/>
      </c>
      <c r="HJ22" s="11" t="str">
        <f t="shared" si="62"/>
        <v/>
      </c>
      <c r="HK22" s="11" t="str">
        <f t="shared" si="63"/>
        <v/>
      </c>
      <c r="HL22" s="11" t="str">
        <f t="shared" si="64"/>
        <v/>
      </c>
      <c r="HM22" s="11" t="str">
        <f t="shared" si="65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66"/>
        <v/>
      </c>
      <c r="II22" s="40" t="str">
        <f t="shared" si="67"/>
        <v/>
      </c>
      <c r="IJ22" s="40" t="str">
        <f t="shared" si="68"/>
        <v/>
      </c>
      <c r="IK22" s="40" t="str">
        <f t="shared" si="69"/>
        <v/>
      </c>
      <c r="IL22" s="40" t="str">
        <f t="shared" si="70"/>
        <v/>
      </c>
      <c r="IM22" s="40" t="str">
        <f t="shared" si="71"/>
        <v/>
      </c>
      <c r="IN22" s="40" t="str">
        <f t="shared" si="72"/>
        <v/>
      </c>
      <c r="IO22" s="40" t="str">
        <f t="shared" si="73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4"/>
        <v/>
      </c>
      <c r="JK22" s="11" t="str">
        <f t="shared" si="75"/>
        <v/>
      </c>
      <c r="JL22" s="11" t="str">
        <f t="shared" si="76"/>
        <v/>
      </c>
      <c r="JM22" s="11" t="str">
        <f t="shared" si="77"/>
        <v/>
      </c>
      <c r="JN22" s="11" t="str">
        <f t="shared" si="78"/>
        <v/>
      </c>
      <c r="JO22" s="11" t="str">
        <f t="shared" si="79"/>
        <v/>
      </c>
      <c r="JP22" s="11" t="str">
        <f t="shared" si="80"/>
        <v/>
      </c>
      <c r="JQ22" s="11" t="str">
        <f t="shared" si="81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2"/>
        <v/>
      </c>
      <c r="KM22" s="40" t="str">
        <f t="shared" si="83"/>
        <v/>
      </c>
      <c r="KN22" s="40" t="str">
        <f t="shared" si="84"/>
        <v/>
      </c>
      <c r="KO22" s="40" t="str">
        <f t="shared" si="85"/>
        <v/>
      </c>
      <c r="KP22" s="40" t="str">
        <f t="shared" si="86"/>
        <v/>
      </c>
      <c r="KQ22" s="40" t="str">
        <f t="shared" si="87"/>
        <v/>
      </c>
      <c r="KR22" s="40" t="str">
        <f t="shared" si="88"/>
        <v/>
      </c>
      <c r="KS22" s="40" t="str">
        <f t="shared" si="89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0"/>
        <v/>
      </c>
      <c r="LO22" s="11" t="str">
        <f t="shared" si="91"/>
        <v/>
      </c>
      <c r="LP22" s="11" t="str">
        <f t="shared" si="92"/>
        <v/>
      </c>
      <c r="LQ22" s="11" t="str">
        <f t="shared" si="93"/>
        <v/>
      </c>
      <c r="LR22" s="11" t="str">
        <f t="shared" si="94"/>
        <v/>
      </c>
      <c r="LS22" s="11" t="str">
        <f t="shared" si="95"/>
        <v/>
      </c>
      <c r="LT22" s="11" t="str">
        <f t="shared" si="96"/>
        <v/>
      </c>
      <c r="LU22" s="11" t="str">
        <f t="shared" si="97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98"/>
        <v/>
      </c>
      <c r="MQ22" s="40" t="str">
        <f t="shared" si="99"/>
        <v/>
      </c>
      <c r="MR22" s="40" t="str">
        <f t="shared" si="100"/>
        <v/>
      </c>
      <c r="MS22" s="40" t="str">
        <f t="shared" si="101"/>
        <v/>
      </c>
      <c r="MT22" s="40" t="str">
        <f t="shared" si="102"/>
        <v/>
      </c>
      <c r="MU22" s="40" t="str">
        <f t="shared" si="103"/>
        <v/>
      </c>
      <c r="MV22" s="40" t="str">
        <f t="shared" si="104"/>
        <v/>
      </c>
      <c r="MW22" s="40" t="str">
        <f t="shared" si="105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06"/>
        <v/>
      </c>
      <c r="NS22" s="11" t="str">
        <f t="shared" si="107"/>
        <v/>
      </c>
      <c r="NT22" s="11" t="str">
        <f t="shared" si="108"/>
        <v/>
      </c>
      <c r="NU22" s="11" t="str">
        <f t="shared" si="109"/>
        <v/>
      </c>
      <c r="NV22" s="11" t="str">
        <f t="shared" si="110"/>
        <v/>
      </c>
      <c r="NW22" s="11" t="str">
        <f t="shared" si="111"/>
        <v/>
      </c>
      <c r="NX22" s="11" t="str">
        <f t="shared" si="112"/>
        <v/>
      </c>
      <c r="NY22" s="11" t="str">
        <f t="shared" si="113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4"/>
        <v/>
      </c>
      <c r="OU22" s="40" t="str">
        <f t="shared" si="115"/>
        <v/>
      </c>
      <c r="OV22" s="40" t="str">
        <f t="shared" si="116"/>
        <v/>
      </c>
      <c r="OW22" s="40" t="str">
        <f t="shared" si="117"/>
        <v/>
      </c>
      <c r="OX22" s="40" t="str">
        <f t="shared" si="118"/>
        <v/>
      </c>
      <c r="OY22" s="40" t="str">
        <f t="shared" si="119"/>
        <v/>
      </c>
      <c r="OZ22" s="40" t="str">
        <f t="shared" si="120"/>
        <v/>
      </c>
      <c r="PA22" s="40" t="str">
        <f t="shared" si="121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2"/>
        <v/>
      </c>
      <c r="PW22" s="11" t="str">
        <f t="shared" si="123"/>
        <v/>
      </c>
      <c r="PX22" s="11" t="str">
        <f t="shared" si="124"/>
        <v/>
      </c>
      <c r="PY22" s="11" t="str">
        <f t="shared" si="125"/>
        <v/>
      </c>
      <c r="PZ22" s="11" t="str">
        <f t="shared" si="126"/>
        <v/>
      </c>
      <c r="QA22" s="11" t="str">
        <f t="shared" si="127"/>
        <v/>
      </c>
      <c r="QB22" s="11" t="str">
        <f t="shared" si="128"/>
        <v/>
      </c>
      <c r="QC22" s="11" t="str">
        <f t="shared" si="129"/>
        <v/>
      </c>
      <c r="QD22" s="22">
        <f t="shared" si="130"/>
        <v>18.649999999999999</v>
      </c>
      <c r="QE22" s="22">
        <f t="shared" si="131"/>
        <v>3.35</v>
      </c>
      <c r="QF22" s="22">
        <f t="shared" si="132"/>
        <v>0.15</v>
      </c>
      <c r="QG22" s="22">
        <f t="shared" si="133"/>
        <v>0</v>
      </c>
      <c r="QH22" s="22">
        <f t="shared" si="134"/>
        <v>17.05</v>
      </c>
      <c r="QI22" s="22">
        <f t="shared" si="135"/>
        <v>2.5500000000000003</v>
      </c>
      <c r="QJ22" s="22">
        <f t="shared" si="136"/>
        <v>0.1</v>
      </c>
      <c r="QK22" s="22">
        <f t="shared" si="137"/>
        <v>0</v>
      </c>
      <c r="QL22" s="22">
        <f t="shared" si="138"/>
        <v>0</v>
      </c>
      <c r="QM22" s="22">
        <f t="shared" si="139"/>
        <v>0</v>
      </c>
      <c r="QN22" s="22">
        <f t="shared" si="140"/>
        <v>0</v>
      </c>
      <c r="QO22" s="22">
        <f t="shared" si="141"/>
        <v>0</v>
      </c>
      <c r="QP22" s="22">
        <f t="shared" si="142"/>
        <v>9.65</v>
      </c>
      <c r="QQ22" s="22">
        <f t="shared" si="143"/>
        <v>1.75</v>
      </c>
      <c r="QR22" s="22">
        <f t="shared" si="144"/>
        <v>0.3</v>
      </c>
      <c r="QS22" s="22">
        <f t="shared" si="145"/>
        <v>0</v>
      </c>
      <c r="QT22" s="22">
        <f t="shared" si="146"/>
        <v>7.55</v>
      </c>
      <c r="QU22" s="22">
        <f t="shared" si="147"/>
        <v>1.2</v>
      </c>
      <c r="QV22" s="22">
        <f t="shared" si="148"/>
        <v>0</v>
      </c>
      <c r="QW22" s="22">
        <f t="shared" si="149"/>
        <v>0</v>
      </c>
      <c r="QX22" s="27" t="s">
        <v>46</v>
      </c>
      <c r="QY22" s="40">
        <f t="shared" si="150"/>
        <v>5.9</v>
      </c>
      <c r="QZ22" s="40">
        <f t="shared" si="151"/>
        <v>41.349999999999994</v>
      </c>
      <c r="RA22" s="40" t="str">
        <f t="shared" si="152"/>
        <v/>
      </c>
      <c r="RB22" s="40">
        <f t="shared" si="153"/>
        <v>5.9</v>
      </c>
      <c r="RC22" s="40">
        <f t="shared" si="154"/>
        <v>41.349999999999994</v>
      </c>
      <c r="RD22" s="40">
        <f t="shared" si="155"/>
        <v>2.95</v>
      </c>
      <c r="RE22" s="40">
        <f t="shared" si="156"/>
        <v>19.849999999999998</v>
      </c>
      <c r="RF22" s="40">
        <f t="shared" si="157"/>
        <v>61.199999999999989</v>
      </c>
    </row>
    <row r="23" spans="1:474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195</v>
      </c>
      <c r="D23" s="4" t="s">
        <v>3</v>
      </c>
      <c r="E23" s="4">
        <v>2008</v>
      </c>
      <c r="F23" s="9">
        <f t="shared" si="0"/>
        <v>107.70000627000462</v>
      </c>
      <c r="G23" s="64"/>
      <c r="H23" s="3" t="str">
        <f>IF(OR(AND(AP23&gt;=AW$39,AQ23&gt;=AW$43,AP23&lt;&gt;"",AO23=""),AND(AU23&gt;=AW$39,AV23&gt;=AW$43,AU23&lt;&gt;"",AO23=""),AND(BS23&gt;=BZ$39,BT23&gt;=BZ$43,BS23&lt;&gt;"",BR23=""),AND(BX23&gt;=BZ$39,BY23&gt;=BZ$43,BX23&lt;&gt;"",BR23=""),AND(CV23&gt;=DC$39,CW23&gt;=DC$43,CV23&lt;&gt;"",CU23=""),AND(DA23&gt;=DC$39,DB23&gt;=DC$43,DA23&lt;&gt;""),AND(DZ23&gt;=EG$39,EA23&gt;=EG$43,DZ23&lt;&gt;""),AND(EE23&gt;=EG$39,EF23&gt;=EG$43,EE23&lt;&gt;""),AND(FB23&gt;=FI$39,FC23&gt;=FI$43,FB23&lt;&gt;""),AND(FG23&gt;=FI$39,FH23&gt;=FI$43,FG23&lt;&gt;""),AND(GD23&gt;=GK$39,GE23&gt;=GK$43,GD23&lt;&gt;""),AND(GI23&gt;=GK$39,GJ23&gt;=GK$43,GI23&lt;&gt;""),AND(HF23&gt;=HM$39,HG23&gt;=HM$43,HF23&lt;&gt;""),AND(HK23&gt;=HM$39,HL23&gt;=HM$43,HK23&lt;&gt;""),AND(IH23&gt;=IO$39,II23&gt;=IO$43,IH23&lt;&gt;""),AND(IM23&gt;=IO$39,IN23&gt;=IO$43,IM23&lt;&gt;""),AND(JJ23&gt;=JQ$39,JK23&gt;=JQ$43,JJ23&lt;&gt;""),AND(JO23&gt;=JQ$39,JP23&gt;=JQ$43,JO23&lt;&gt;""),AND(KL23&gt;=KS$39,KM23&gt;=KS$43,KL23&lt;&gt;""),AND(KQ23&gt;=KS$39,KR23&gt;=KS$43,KQ23&lt;&gt;""),AND(LN23&gt;=LU$39,LO23&gt;=LU$43,LN23&lt;&gt;""),AND(LS23&gt;=LU$39,LT23&gt;=LU$43,LS23&lt;&gt;""),AND(MP23&gt;=MW$39,MQ23&gt;=MW$43,MP23&lt;&gt;""),AND(MU23&gt;=MW$39,MV23&gt;=MW$43,MU23&lt;&gt;""),AND(NR23&gt;=NY$39,NS23&gt;=NY$43,NR23&lt;&gt;""),AND(NW23&gt;=NY$39,NX23&gt;=NY$43,NW23&lt;&gt;""),AND(OT23&gt;=PA$39,OU23&gt;=PA$43,OT23&lt;&gt;""),AND(OY23&gt;=PA$39,OZ23&gt;=PA$43,OY23&lt;&gt;""),AND(PV23&gt;=QC$39,PW23&gt;=QC$43,PV23&lt;&gt;""),AND(QA23&gt;=QC$39,QB23&gt;=QC$43,QA23&lt;&gt;"")),"P","")</f>
        <v/>
      </c>
      <c r="I23" s="3" t="str">
        <f>IF(OR(AND(AQ23&gt;=AW$43,AQ23&lt;&gt;"",AO23=""),AND(AV23&gt;=AW$43,AV23&lt;&gt;"",AO23=""),AND(BT23&gt;=BZ$43,BT23&lt;&gt;"",BR23=""),AND(BY23&gt;=BZ$43,BY23&lt;&gt;"",BR23=""),AND(CW23&gt;=DC$43,CW23&lt;&gt;"",CU23=""),AND(DB23&gt;=DC$43,DB23&lt;&gt;"",CU23=""),AND(EA23&gt;=EG$43,EA23&lt;&gt;""),AND(EF23&gt;=EG$43,EF23&lt;&gt;""),AND(FC23&gt;=FI$43,FC23&lt;&gt;""),AND(FH23&gt;=FI$43,FH23&lt;&gt;""),AND(GE23&gt;=GK$43,GE23&lt;&gt;""),AND(GJ23&gt;=GK$43,GJ23&lt;&gt;""),AND(HG23&gt;=HM$43,HG23&lt;&gt;""),AND(HL23&gt;=HM$43,HL23&lt;&gt;""),AND(II23&gt;=IO$43,II23&lt;&gt;""),AND(IN23&gt;=IO$43,IN23&lt;&gt;""),AND(JK23&gt;=JQ$43,JK23&lt;&gt;""),AND(JP23&gt;=JQ$43,JP23&lt;&gt;""),AND(KM23&gt;=KS$43,KM23&lt;&gt;""),AND(KR23&gt;=KS$43,KR23&lt;&gt;""),AND(LO23&gt;=LU$43,LO23&lt;&gt;""),AND(LT23&gt;=LU$43,LT23&lt;&gt;""),AND(MQ23&gt;=MW$43,MQ23&lt;&gt;""),AND(MV23&gt;=MW$43,MV23&lt;&gt;""),AND(NS23&gt;=NY$43,NS23&lt;&gt;""),AND(NX23&gt;=NY$43,NX23&lt;&gt;""),AND(OU23&gt;=PA$43,OU23&lt;&gt;""),AND(OZ23&gt;=PA$43,OZ23&lt;&gt;""),AND(PW23&gt;=QC$43,PW23&lt;&gt;""),AND(QB23&gt;=QC$43,QB23&lt;&gt;"")),"P","")</f>
        <v/>
      </c>
      <c r="J23" s="36" t="str">
        <f>IF(AND(I23="P",H23=""),"No DD",IF(OR(AND(AS23&gt;=AW$42,AT23&gt;=AW$46,AS23&lt;&gt;"",AO23=""),AND(BV23&gt;=BZ$42,BW23&gt;=BZ$46,BV23&lt;&gt;"",BR23=""),AND(CY23&gt;=DC$42,CZ23&gt;=DC$46,CY23&lt;&gt;"",CU23=""),AND(EC23&gt;=EG$42,ED23&gt;=EG$46,EC23&lt;&gt;""),AND(FE23&gt;=FI$42,FF23&gt;=FI$46,FE23&lt;&gt;""),AND(GG23&gt;=GK$42,GH23&gt;=GK$46,GG23&lt;&gt;""),AND(HI23&gt;=HM$42,HJ23&gt;=HM$46,HI23&lt;&gt;""),AND(IK23&gt;=IO$42,IL23&gt;=IO$46,IK23&lt;&gt;""),AND(JM23&gt;=JQ$42,JN23&gt;=JQ$46,JM23&lt;&gt;""),AND(KO23&gt;=KS$42,KP23&gt;=KS$46,KO23&lt;&gt;""),AND(LQ23&gt;=LU$42,LR23&gt;=LU$46,LQ23&lt;&gt;""),AND(MS23&gt;=MW$42,MT23&gt;=MW$46,MS23&lt;&gt;""),AND(NU23&gt;=NY$42,NV23&gt;=NY$46,NU23&lt;&gt;""),AND(OW23&gt;=PA$42,OX23&gt;=PA$46,OW23&lt;&gt;""),AND(PY23&gt;=QC$42,PZ23&gt;=QC$46,PY23&lt;&gt;"")),"Merit",IF(OR(AND(AS23&gt;=AW$41,AT23&gt;=AW$45,AS23&lt;&gt;"",AO23=""),AND(BV23&gt;=BZ$41,BW23&gt;=BZ$45,BV23&lt;&gt;"",BR23=""),AND(CY23&gt;=DC$41,CZ23&gt;=DC$45,CY23&lt;&gt;"",CU23=""),AND(EC23&gt;=EG$41,ED23&gt;=EG$45,EC23&lt;&gt;""),AND(FE23&gt;=FI$41,FF23&gt;=FI$45,FE23&lt;&gt;""),AND(GG23&gt;=GK$41,GH23&gt;=GK$45,GG23&lt;&gt;""),AND(HI23&gt;=HM$41,HJ23&gt;=HM$45,HI23&lt;&gt;""),AND(IK23&gt;=IO$41,IL23&gt;=IO$45,IK23&lt;&gt;""),AND(JM23&gt;=JQ$41,JN23&gt;=JQ$45,JM23&lt;&gt;""),AND(KO23&gt;=KS$41,KP23&gt;=KS$45,KO23&lt;&gt;""),AND(LQ23&gt;=LU$41,LR23&gt;=LU$45,LQ23&lt;&gt;""),AND(MS23&gt;=MW$41,MT23&gt;=MW$45,MS23&lt;&gt;""),AND(NU23&gt;=NY$41,NV23&gt;=NY$45,NU23&lt;&gt;""),AND(OW23&gt;=PA$41,OX23&gt;=PA$45,OW23&lt;&gt;""),AND(PY23&gt;=QC$41,PZ23&gt;=QC$45,PY23&lt;&gt;"")),"Excellence",IF(K23="P","Worlds Team",IF(H23="P","National Team","")))))</f>
        <v/>
      </c>
      <c r="K23" s="3" t="str">
        <f>IF(OR(AND(AS23&gt;=AW$40,AT23&gt;=AW$44,AS23&lt;&gt;"",AO23=""),AND(BV23&gt;=BZ$40,BW23&gt;=BZ$44,BV23&lt;&gt;"",BR23=""),AND(CY23&gt;=DC$40,CZ23&gt;=DC$44,CY23&lt;&gt;"",CU23=""),AND(EC23&gt;=EG$40,ED23&gt;=EG$44,EC23&lt;&gt;""),AND(FE23&gt;=FI$40,FF23&gt;=FI$44,FE23&lt;&gt;""),AND(GG23&gt;=GK$40,GH23&gt;=GK$44,GG23&lt;&gt;""),AND(HI23&gt;=HM$40,HJ23&gt;=HM$44,HI23&lt;&gt;""),AND(IK23&gt;=IO$40,IL23&gt;=IO$44,IK23&lt;&gt;""),AND(JM23&gt;=JQ$40,JN23&gt;=JQ$44,JM23&lt;&gt;""),AND(KO23&gt;=KS$40,KP23&gt;=KS$44,KO23&lt;&gt;""),AND(LQ23&gt;=LU$40,LR23&gt;=LU$44,LQ23&lt;&gt;""),AND(MS23&gt;=MW$40,MT23&gt;=MW$44,MS23&lt;&gt;""),AND(NU23&gt;=NY$40,NV23&gt;=NY$44,NU23&lt;&gt;""),AND(OW23&gt;=PA$40,OX23&gt;=PA$44,OW23&lt;&gt;""),AND(PY23&gt;=QC$40,PZ23&gt;=QC$44,PY23&lt;&gt;"")),"P","")</f>
        <v/>
      </c>
      <c r="L23" s="8">
        <f>IF(COUNT(AQ23,BT23,CW23)&gt;0,LARGE((AQ23,BT23,CW23),1),0)</f>
        <v>46.1</v>
      </c>
      <c r="M23" s="8" t="str">
        <f t="shared" si="1"/>
        <v>2025 Nationals</v>
      </c>
      <c r="N23" s="8">
        <f>IF(COUNT(AQ23,BT23,CW23)&gt;1,LARGE((AQ23,BT23,CW23),2),0)</f>
        <v>16.600000000000001</v>
      </c>
      <c r="O23" s="8" t="str">
        <f t="shared" si="2"/>
        <v>2025 Elite Canada</v>
      </c>
      <c r="P23" s="8">
        <f t="shared" si="3"/>
        <v>45.000000000000007</v>
      </c>
      <c r="Q23" s="8" t="str">
        <f t="shared" si="4"/>
        <v>2025 Nationals</v>
      </c>
      <c r="R23" s="8" t="str">
        <f t="shared" si="5"/>
        <v/>
      </c>
      <c r="S23" s="11" t="str">
        <f t="shared" si="6"/>
        <v/>
      </c>
      <c r="T23" s="8" t="str">
        <f t="shared" si="7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8"/>
        <v/>
      </c>
      <c r="AQ23" s="40" t="str">
        <f t="shared" si="9"/>
        <v/>
      </c>
      <c r="AR23" s="40" t="str">
        <f t="shared" si="10"/>
        <v/>
      </c>
      <c r="AS23" s="40" t="str">
        <f t="shared" si="11"/>
        <v/>
      </c>
      <c r="AT23" s="40" t="str">
        <f t="shared" si="12"/>
        <v/>
      </c>
      <c r="AU23" s="40" t="str">
        <f t="shared" si="13"/>
        <v/>
      </c>
      <c r="AV23" s="40" t="str">
        <f t="shared" si="14"/>
        <v/>
      </c>
      <c r="AW23" s="40" t="str">
        <f t="shared" si="15"/>
        <v/>
      </c>
      <c r="AX23" s="18">
        <v>15.4</v>
      </c>
      <c r="AY23" s="18">
        <v>1.2</v>
      </c>
      <c r="AZ23" s="18">
        <v>0</v>
      </c>
      <c r="BA23" s="18">
        <v>0</v>
      </c>
      <c r="BB23" s="18">
        <v>0</v>
      </c>
      <c r="BC23" s="18">
        <v>0</v>
      </c>
      <c r="BD23" s="18">
        <v>0</v>
      </c>
      <c r="BE23" s="18">
        <v>0</v>
      </c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 t="shared" si="16"/>
        <v>1.2</v>
      </c>
      <c r="BT23" s="11">
        <f t="shared" si="17"/>
        <v>16.600000000000001</v>
      </c>
      <c r="BU23" s="11" t="str">
        <f t="shared" si="18"/>
        <v/>
      </c>
      <c r="BV23" s="11">
        <f t="shared" si="19"/>
        <v>1.2</v>
      </c>
      <c r="BW23" s="11">
        <f t="shared" si="20"/>
        <v>16.600000000000001</v>
      </c>
      <c r="BX23" s="11" t="str">
        <f t="shared" si="21"/>
        <v/>
      </c>
      <c r="BY23" s="11" t="str">
        <f t="shared" si="22"/>
        <v/>
      </c>
      <c r="BZ23" s="11">
        <f t="shared" si="23"/>
        <v>16.600000000000001</v>
      </c>
      <c r="CA23" s="19">
        <v>18.399999999999999</v>
      </c>
      <c r="CB23" s="19">
        <v>3.6</v>
      </c>
      <c r="CC23" s="19">
        <v>0</v>
      </c>
      <c r="CD23" s="19">
        <v>0</v>
      </c>
      <c r="CE23" s="19">
        <v>18.899999999999999</v>
      </c>
      <c r="CF23" s="19">
        <v>5.2</v>
      </c>
      <c r="CG23" s="19">
        <v>0</v>
      </c>
      <c r="CH23" s="19">
        <v>0</v>
      </c>
      <c r="CI23" s="19"/>
      <c r="CJ23" s="19"/>
      <c r="CK23" s="19"/>
      <c r="CL23" s="19"/>
      <c r="CM23" s="19">
        <v>18.600000000000001</v>
      </c>
      <c r="CN23" s="19">
        <v>3.6</v>
      </c>
      <c r="CO23" s="19">
        <v>0</v>
      </c>
      <c r="CP23" s="19">
        <v>0</v>
      </c>
      <c r="CQ23" s="19">
        <v>18.399999999999999</v>
      </c>
      <c r="CR23" s="19">
        <v>5.2</v>
      </c>
      <c r="CS23" s="19">
        <v>0.8</v>
      </c>
      <c r="CT23" s="19">
        <v>0</v>
      </c>
      <c r="CU23" s="27"/>
      <c r="CV23" s="40">
        <f t="shared" si="24"/>
        <v>8.8000000000000007</v>
      </c>
      <c r="CW23" s="40">
        <f t="shared" si="25"/>
        <v>46.1</v>
      </c>
      <c r="CX23" s="40" t="str">
        <f t="shared" si="26"/>
        <v/>
      </c>
      <c r="CY23" s="40">
        <f t="shared" si="27"/>
        <v>8.8000000000000007</v>
      </c>
      <c r="CZ23" s="40">
        <f t="shared" si="28"/>
        <v>46.1</v>
      </c>
      <c r="DA23" s="40">
        <f t="shared" si="29"/>
        <v>8.8000000000000007</v>
      </c>
      <c r="DB23" s="40">
        <f t="shared" si="30"/>
        <v>45.000000000000007</v>
      </c>
      <c r="DC23" s="40">
        <f t="shared" si="31"/>
        <v>91.100000000000009</v>
      </c>
      <c r="DD23" s="50" t="str">
        <f t="shared" si="32"/>
        <v/>
      </c>
      <c r="DE23" s="50" t="str">
        <f t="shared" si="33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4"/>
        <v/>
      </c>
      <c r="EA23" s="40" t="str">
        <f t="shared" si="35"/>
        <v/>
      </c>
      <c r="EB23" s="40" t="str">
        <f t="shared" si="36"/>
        <v/>
      </c>
      <c r="EC23" s="40" t="str">
        <f t="shared" si="37"/>
        <v/>
      </c>
      <c r="ED23" s="40" t="str">
        <f t="shared" si="38"/>
        <v/>
      </c>
      <c r="EE23" s="40" t="str">
        <f t="shared" si="39"/>
        <v/>
      </c>
      <c r="EF23" s="40" t="str">
        <f t="shared" si="40"/>
        <v/>
      </c>
      <c r="EG23" s="40" t="str">
        <f t="shared" si="41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2"/>
        <v/>
      </c>
      <c r="FC23" s="11" t="str">
        <f t="shared" si="43"/>
        <v/>
      </c>
      <c r="FD23" s="11" t="str">
        <f t="shared" si="44"/>
        <v/>
      </c>
      <c r="FE23" s="11" t="str">
        <f t="shared" si="45"/>
        <v/>
      </c>
      <c r="FF23" s="11" t="str">
        <f t="shared" si="46"/>
        <v/>
      </c>
      <c r="FG23" s="11" t="str">
        <f t="shared" si="47"/>
        <v/>
      </c>
      <c r="FH23" s="11" t="str">
        <f t="shared" si="48"/>
        <v/>
      </c>
      <c r="FI23" s="11" t="str">
        <f t="shared" si="49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0"/>
        <v/>
      </c>
      <c r="GE23" s="40" t="str">
        <f t="shared" si="51"/>
        <v/>
      </c>
      <c r="GF23" s="40" t="str">
        <f t="shared" si="52"/>
        <v/>
      </c>
      <c r="GG23" s="40" t="str">
        <f t="shared" si="53"/>
        <v/>
      </c>
      <c r="GH23" s="40" t="str">
        <f t="shared" si="54"/>
        <v/>
      </c>
      <c r="GI23" s="40" t="str">
        <f t="shared" si="55"/>
        <v/>
      </c>
      <c r="GJ23" s="40" t="str">
        <f t="shared" si="56"/>
        <v/>
      </c>
      <c r="GK23" s="40" t="str">
        <f t="shared" si="57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58"/>
        <v/>
      </c>
      <c r="HG23" s="11" t="str">
        <f t="shared" si="59"/>
        <v/>
      </c>
      <c r="HH23" s="11" t="str">
        <f t="shared" si="60"/>
        <v/>
      </c>
      <c r="HI23" s="11" t="str">
        <f t="shared" si="61"/>
        <v/>
      </c>
      <c r="HJ23" s="11" t="str">
        <f t="shared" si="62"/>
        <v/>
      </c>
      <c r="HK23" s="11" t="str">
        <f t="shared" si="63"/>
        <v/>
      </c>
      <c r="HL23" s="11" t="str">
        <f t="shared" si="64"/>
        <v/>
      </c>
      <c r="HM23" s="11" t="str">
        <f t="shared" si="65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66"/>
        <v/>
      </c>
      <c r="II23" s="40" t="str">
        <f t="shared" si="67"/>
        <v/>
      </c>
      <c r="IJ23" s="40" t="str">
        <f t="shared" si="68"/>
        <v/>
      </c>
      <c r="IK23" s="40" t="str">
        <f t="shared" si="69"/>
        <v/>
      </c>
      <c r="IL23" s="40" t="str">
        <f t="shared" si="70"/>
        <v/>
      </c>
      <c r="IM23" s="40" t="str">
        <f t="shared" si="71"/>
        <v/>
      </c>
      <c r="IN23" s="40" t="str">
        <f t="shared" si="72"/>
        <v/>
      </c>
      <c r="IO23" s="40" t="str">
        <f t="shared" si="73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4"/>
        <v/>
      </c>
      <c r="JK23" s="11" t="str">
        <f t="shared" si="75"/>
        <v/>
      </c>
      <c r="JL23" s="11" t="str">
        <f t="shared" si="76"/>
        <v/>
      </c>
      <c r="JM23" s="11" t="str">
        <f t="shared" si="77"/>
        <v/>
      </c>
      <c r="JN23" s="11" t="str">
        <f t="shared" si="78"/>
        <v/>
      </c>
      <c r="JO23" s="11" t="str">
        <f t="shared" si="79"/>
        <v/>
      </c>
      <c r="JP23" s="11" t="str">
        <f t="shared" si="80"/>
        <v/>
      </c>
      <c r="JQ23" s="11" t="str">
        <f t="shared" si="81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2"/>
        <v/>
      </c>
      <c r="KM23" s="40" t="str">
        <f t="shared" si="83"/>
        <v/>
      </c>
      <c r="KN23" s="40" t="str">
        <f t="shared" si="84"/>
        <v/>
      </c>
      <c r="KO23" s="40" t="str">
        <f t="shared" si="85"/>
        <v/>
      </c>
      <c r="KP23" s="40" t="str">
        <f t="shared" si="86"/>
        <v/>
      </c>
      <c r="KQ23" s="40" t="str">
        <f t="shared" si="87"/>
        <v/>
      </c>
      <c r="KR23" s="40" t="str">
        <f t="shared" si="88"/>
        <v/>
      </c>
      <c r="KS23" s="40" t="str">
        <f t="shared" si="89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0"/>
        <v/>
      </c>
      <c r="LO23" s="11" t="str">
        <f t="shared" si="91"/>
        <v/>
      </c>
      <c r="LP23" s="11" t="str">
        <f t="shared" si="92"/>
        <v/>
      </c>
      <c r="LQ23" s="11" t="str">
        <f t="shared" si="93"/>
        <v/>
      </c>
      <c r="LR23" s="11" t="str">
        <f t="shared" si="94"/>
        <v/>
      </c>
      <c r="LS23" s="11" t="str">
        <f t="shared" si="95"/>
        <v/>
      </c>
      <c r="LT23" s="11" t="str">
        <f t="shared" si="96"/>
        <v/>
      </c>
      <c r="LU23" s="11" t="str">
        <f t="shared" si="97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98"/>
        <v/>
      </c>
      <c r="MQ23" s="40" t="str">
        <f t="shared" si="99"/>
        <v/>
      </c>
      <c r="MR23" s="40" t="str">
        <f t="shared" si="100"/>
        <v/>
      </c>
      <c r="MS23" s="40" t="str">
        <f t="shared" si="101"/>
        <v/>
      </c>
      <c r="MT23" s="40" t="str">
        <f t="shared" si="102"/>
        <v/>
      </c>
      <c r="MU23" s="40" t="str">
        <f t="shared" si="103"/>
        <v/>
      </c>
      <c r="MV23" s="40" t="str">
        <f t="shared" si="104"/>
        <v/>
      </c>
      <c r="MW23" s="40" t="str">
        <f t="shared" si="105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06"/>
        <v/>
      </c>
      <c r="NS23" s="11" t="str">
        <f t="shared" si="107"/>
        <v/>
      </c>
      <c r="NT23" s="11" t="str">
        <f t="shared" si="108"/>
        <v/>
      </c>
      <c r="NU23" s="11" t="str">
        <f t="shared" si="109"/>
        <v/>
      </c>
      <c r="NV23" s="11" t="str">
        <f t="shared" si="110"/>
        <v/>
      </c>
      <c r="NW23" s="11" t="str">
        <f t="shared" si="111"/>
        <v/>
      </c>
      <c r="NX23" s="11" t="str">
        <f t="shared" si="112"/>
        <v/>
      </c>
      <c r="NY23" s="11" t="str">
        <f t="shared" si="113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4"/>
        <v/>
      </c>
      <c r="OU23" s="40" t="str">
        <f t="shared" si="115"/>
        <v/>
      </c>
      <c r="OV23" s="40" t="str">
        <f t="shared" si="116"/>
        <v/>
      </c>
      <c r="OW23" s="40" t="str">
        <f t="shared" si="117"/>
        <v/>
      </c>
      <c r="OX23" s="40" t="str">
        <f t="shared" si="118"/>
        <v/>
      </c>
      <c r="OY23" s="40" t="str">
        <f t="shared" si="119"/>
        <v/>
      </c>
      <c r="OZ23" s="40" t="str">
        <f t="shared" si="120"/>
        <v/>
      </c>
      <c r="PA23" s="40" t="str">
        <f t="shared" si="121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2"/>
        <v/>
      </c>
      <c r="PW23" s="11" t="str">
        <f t="shared" si="123"/>
        <v/>
      </c>
      <c r="PX23" s="11" t="str">
        <f t="shared" si="124"/>
        <v/>
      </c>
      <c r="PY23" s="11" t="str">
        <f t="shared" si="125"/>
        <v/>
      </c>
      <c r="PZ23" s="11" t="str">
        <f t="shared" si="126"/>
        <v/>
      </c>
      <c r="QA23" s="11" t="str">
        <f t="shared" si="127"/>
        <v/>
      </c>
      <c r="QB23" s="11" t="str">
        <f t="shared" si="128"/>
        <v/>
      </c>
      <c r="QC23" s="11" t="str">
        <f t="shared" si="129"/>
        <v/>
      </c>
      <c r="QD23" s="22">
        <f t="shared" si="130"/>
        <v>16.899999999999999</v>
      </c>
      <c r="QE23" s="22">
        <f t="shared" si="131"/>
        <v>2.4</v>
      </c>
      <c r="QF23" s="22">
        <f t="shared" si="132"/>
        <v>0</v>
      </c>
      <c r="QG23" s="22">
        <f t="shared" si="133"/>
        <v>0</v>
      </c>
      <c r="QH23" s="22">
        <f t="shared" si="134"/>
        <v>9.4499999999999993</v>
      </c>
      <c r="QI23" s="22">
        <f t="shared" si="135"/>
        <v>2.6</v>
      </c>
      <c r="QJ23" s="22">
        <f t="shared" si="136"/>
        <v>0</v>
      </c>
      <c r="QK23" s="22">
        <f t="shared" si="137"/>
        <v>0</v>
      </c>
      <c r="QL23" s="22">
        <f t="shared" si="138"/>
        <v>0</v>
      </c>
      <c r="QM23" s="22">
        <f t="shared" si="139"/>
        <v>0</v>
      </c>
      <c r="QN23" s="22">
        <f t="shared" si="140"/>
        <v>0</v>
      </c>
      <c r="QO23" s="22">
        <f t="shared" si="141"/>
        <v>0</v>
      </c>
      <c r="QP23" s="22">
        <f t="shared" si="142"/>
        <v>9.3000000000000007</v>
      </c>
      <c r="QQ23" s="22">
        <f t="shared" si="143"/>
        <v>1.8</v>
      </c>
      <c r="QR23" s="22">
        <f t="shared" si="144"/>
        <v>0</v>
      </c>
      <c r="QS23" s="22">
        <f t="shared" si="145"/>
        <v>0</v>
      </c>
      <c r="QT23" s="22">
        <f t="shared" si="146"/>
        <v>9.1999999999999993</v>
      </c>
      <c r="QU23" s="22">
        <f t="shared" si="147"/>
        <v>2.6</v>
      </c>
      <c r="QV23" s="22">
        <f t="shared" si="148"/>
        <v>0.4</v>
      </c>
      <c r="QW23" s="22">
        <f t="shared" si="149"/>
        <v>0</v>
      </c>
      <c r="QX23" s="27" t="s">
        <v>46</v>
      </c>
      <c r="QY23" s="40">
        <f t="shared" si="150"/>
        <v>5</v>
      </c>
      <c r="QZ23" s="40">
        <f t="shared" si="151"/>
        <v>31.349999999999998</v>
      </c>
      <c r="RA23" s="40" t="str">
        <f t="shared" si="152"/>
        <v/>
      </c>
      <c r="RB23" s="40">
        <f t="shared" si="153"/>
        <v>5</v>
      </c>
      <c r="RC23" s="40">
        <f t="shared" si="154"/>
        <v>31.349999999999998</v>
      </c>
      <c r="RD23" s="40">
        <f t="shared" si="155"/>
        <v>4.4000000000000004</v>
      </c>
      <c r="RE23" s="40">
        <f t="shared" si="156"/>
        <v>22.500000000000004</v>
      </c>
      <c r="RF23" s="40">
        <f t="shared" si="157"/>
        <v>53.85</v>
      </c>
    </row>
    <row r="24" spans="1:474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103</v>
      </c>
      <c r="D24" s="4" t="s">
        <v>4</v>
      </c>
      <c r="E24" s="4">
        <v>2005</v>
      </c>
      <c r="F24" s="9">
        <f t="shared" si="0"/>
        <v>94.200007710004371</v>
      </c>
      <c r="G24" s="64"/>
      <c r="H24" s="3" t="str">
        <f>IF(OR(AND(AP24&gt;=AW$39,AQ24&gt;=AW$43,AP24&lt;&gt;"",AO24=""),AND(AU24&gt;=AW$39,AV24&gt;=AW$43,AU24&lt;&gt;"",AO24=""),AND(BS24&gt;=BZ$39,BT24&gt;=BZ$43,BS24&lt;&gt;"",BR24=""),AND(BX24&gt;=BZ$39,BY24&gt;=BZ$43,BX24&lt;&gt;"",BR24=""),AND(CV24&gt;=DC$39,CW24&gt;=DC$43,CV24&lt;&gt;"",CU24=""),AND(DA24&gt;=DC$39,DB24&gt;=DC$43,DA24&lt;&gt;""),AND(DZ24&gt;=EG$39,EA24&gt;=EG$43,DZ24&lt;&gt;""),AND(EE24&gt;=EG$39,EF24&gt;=EG$43,EE24&lt;&gt;""),AND(FB24&gt;=FI$39,FC24&gt;=FI$43,FB24&lt;&gt;""),AND(FG24&gt;=FI$39,FH24&gt;=FI$43,FG24&lt;&gt;""),AND(GD24&gt;=GK$39,GE24&gt;=GK$43,GD24&lt;&gt;""),AND(GI24&gt;=GK$39,GJ24&gt;=GK$43,GI24&lt;&gt;""),AND(HF24&gt;=HM$39,HG24&gt;=HM$43,HF24&lt;&gt;""),AND(HK24&gt;=HM$39,HL24&gt;=HM$43,HK24&lt;&gt;""),AND(IH24&gt;=IO$39,II24&gt;=IO$43,IH24&lt;&gt;""),AND(IM24&gt;=IO$39,IN24&gt;=IO$43,IM24&lt;&gt;""),AND(JJ24&gt;=JQ$39,JK24&gt;=JQ$43,JJ24&lt;&gt;""),AND(JO24&gt;=JQ$39,JP24&gt;=JQ$43,JO24&lt;&gt;""),AND(KL24&gt;=KS$39,KM24&gt;=KS$43,KL24&lt;&gt;""),AND(KQ24&gt;=KS$39,KR24&gt;=KS$43,KQ24&lt;&gt;""),AND(LN24&gt;=LU$39,LO24&gt;=LU$43,LN24&lt;&gt;""),AND(LS24&gt;=LU$39,LT24&gt;=LU$43,LS24&lt;&gt;""),AND(MP24&gt;=MW$39,MQ24&gt;=MW$43,MP24&lt;&gt;""),AND(MU24&gt;=MW$39,MV24&gt;=MW$43,MU24&lt;&gt;""),AND(NR24&gt;=NY$39,NS24&gt;=NY$43,NR24&lt;&gt;""),AND(NW24&gt;=NY$39,NX24&gt;=NY$43,NW24&lt;&gt;""),AND(OT24&gt;=PA$39,OU24&gt;=PA$43,OT24&lt;&gt;""),AND(OY24&gt;=PA$39,OZ24&gt;=PA$43,OY24&lt;&gt;""),AND(PV24&gt;=QC$39,PW24&gt;=QC$43,PV24&lt;&gt;""),AND(QA24&gt;=QC$39,QB24&gt;=QC$43,QA24&lt;&gt;"")),"P","")</f>
        <v/>
      </c>
      <c r="I24" s="3" t="str">
        <f>IF(OR(AND(AQ24&gt;=AW$43,AQ24&lt;&gt;"",AO24=""),AND(AV24&gt;=AW$43,AV24&lt;&gt;"",AO24=""),AND(BT24&gt;=BZ$43,BT24&lt;&gt;"",BR24=""),AND(BY24&gt;=BZ$43,BY24&lt;&gt;"",BR24=""),AND(CW24&gt;=DC$43,CW24&lt;&gt;"",CU24=""),AND(DB24&gt;=DC$43,DB24&lt;&gt;"",CU24=""),AND(EA24&gt;=EG$43,EA24&lt;&gt;""),AND(EF24&gt;=EG$43,EF24&lt;&gt;""),AND(FC24&gt;=FI$43,FC24&lt;&gt;""),AND(FH24&gt;=FI$43,FH24&lt;&gt;""),AND(GE24&gt;=GK$43,GE24&lt;&gt;""),AND(GJ24&gt;=GK$43,GJ24&lt;&gt;""),AND(HG24&gt;=HM$43,HG24&lt;&gt;""),AND(HL24&gt;=HM$43,HL24&lt;&gt;""),AND(II24&gt;=IO$43,II24&lt;&gt;""),AND(IN24&gt;=IO$43,IN24&lt;&gt;""),AND(JK24&gt;=JQ$43,JK24&lt;&gt;""),AND(JP24&gt;=JQ$43,JP24&lt;&gt;""),AND(KM24&gt;=KS$43,KM24&lt;&gt;""),AND(KR24&gt;=KS$43,KR24&lt;&gt;""),AND(LO24&gt;=LU$43,LO24&lt;&gt;""),AND(LT24&gt;=LU$43,LT24&lt;&gt;""),AND(MQ24&gt;=MW$43,MQ24&lt;&gt;""),AND(MV24&gt;=MW$43,MV24&lt;&gt;""),AND(NS24&gt;=NY$43,NS24&lt;&gt;""),AND(NX24&gt;=NY$43,NX24&lt;&gt;""),AND(OU24&gt;=PA$43,OU24&lt;&gt;""),AND(OZ24&gt;=PA$43,OZ24&lt;&gt;""),AND(PW24&gt;=QC$43,PW24&lt;&gt;""),AND(QB24&gt;=QC$43,QB24&lt;&gt;"")),"P","")</f>
        <v/>
      </c>
      <c r="J24" s="36" t="str">
        <f>IF(AND(I24="P",H24=""),"No DD",IF(OR(AND(AS24&gt;=AW$42,AT24&gt;=AW$46,AS24&lt;&gt;"",AO24=""),AND(BV24&gt;=BZ$42,BW24&gt;=BZ$46,BV24&lt;&gt;"",BR24=""),AND(CY24&gt;=DC$42,CZ24&gt;=DC$46,CY24&lt;&gt;"",CU24=""),AND(EC24&gt;=EG$42,ED24&gt;=EG$46,EC24&lt;&gt;""),AND(FE24&gt;=FI$42,FF24&gt;=FI$46,FE24&lt;&gt;""),AND(GG24&gt;=GK$42,GH24&gt;=GK$46,GG24&lt;&gt;""),AND(HI24&gt;=HM$42,HJ24&gt;=HM$46,HI24&lt;&gt;""),AND(IK24&gt;=IO$42,IL24&gt;=IO$46,IK24&lt;&gt;""),AND(JM24&gt;=JQ$42,JN24&gt;=JQ$46,JM24&lt;&gt;""),AND(KO24&gt;=KS$42,KP24&gt;=KS$46,KO24&lt;&gt;""),AND(LQ24&gt;=LU$42,LR24&gt;=LU$46,LQ24&lt;&gt;""),AND(MS24&gt;=MW$42,MT24&gt;=MW$46,MS24&lt;&gt;""),AND(NU24&gt;=NY$42,NV24&gt;=NY$46,NU24&lt;&gt;""),AND(OW24&gt;=PA$42,OX24&gt;=PA$46,OW24&lt;&gt;""),AND(PY24&gt;=QC$42,PZ24&gt;=QC$46,PY24&lt;&gt;"")),"Merit",IF(OR(AND(AS24&gt;=AW$41,AT24&gt;=AW$45,AS24&lt;&gt;"",AO24=""),AND(BV24&gt;=BZ$41,BW24&gt;=BZ$45,BV24&lt;&gt;"",BR24=""),AND(CY24&gt;=DC$41,CZ24&gt;=DC$45,CY24&lt;&gt;"",CU24=""),AND(EC24&gt;=EG$41,ED24&gt;=EG$45,EC24&lt;&gt;""),AND(FE24&gt;=FI$41,FF24&gt;=FI$45,FE24&lt;&gt;""),AND(GG24&gt;=GK$41,GH24&gt;=GK$45,GG24&lt;&gt;""),AND(HI24&gt;=HM$41,HJ24&gt;=HM$45,HI24&lt;&gt;""),AND(IK24&gt;=IO$41,IL24&gt;=IO$45,IK24&lt;&gt;""),AND(JM24&gt;=JQ$41,JN24&gt;=JQ$45,JM24&lt;&gt;""),AND(KO24&gt;=KS$41,KP24&gt;=KS$45,KO24&lt;&gt;""),AND(LQ24&gt;=LU$41,LR24&gt;=LU$45,LQ24&lt;&gt;""),AND(MS24&gt;=MW$41,MT24&gt;=MW$45,MS24&lt;&gt;""),AND(NU24&gt;=NY$41,NV24&gt;=NY$45,NU24&lt;&gt;""),AND(OW24&gt;=PA$41,OX24&gt;=PA$45,OW24&lt;&gt;""),AND(PY24&gt;=QC$41,PZ24&gt;=QC$45,PY24&lt;&gt;"")),"Excellence",IF(K24="P","Worlds Team",IF(H24="P","National Team","")))))</f>
        <v/>
      </c>
      <c r="K24" s="3" t="str">
        <f>IF(OR(AND(AS24&gt;=AW$40,AT24&gt;=AW$44,AS24&lt;&gt;"",AO24=""),AND(BV24&gt;=BZ$40,BW24&gt;=BZ$44,BV24&lt;&gt;"",BR24=""),AND(CY24&gt;=DC$40,CZ24&gt;=DC$44,CY24&lt;&gt;"",CU24=""),AND(EC24&gt;=EG$40,ED24&gt;=EG$44,EC24&lt;&gt;""),AND(FE24&gt;=FI$40,FF24&gt;=FI$44,FE24&lt;&gt;""),AND(GG24&gt;=GK$40,GH24&gt;=GK$44,GG24&lt;&gt;""),AND(HI24&gt;=HM$40,HJ24&gt;=HM$44,HI24&lt;&gt;""),AND(IK24&gt;=IO$40,IL24&gt;=IO$44,IK24&lt;&gt;""),AND(JM24&gt;=JQ$40,JN24&gt;=JQ$44,JM24&lt;&gt;""),AND(KO24&gt;=KS$40,KP24&gt;=KS$44,KO24&lt;&gt;""),AND(LQ24&gt;=LU$40,LR24&gt;=LU$44,LQ24&lt;&gt;""),AND(MS24&gt;=MW$40,MT24&gt;=MW$44,MS24&lt;&gt;""),AND(NU24&gt;=NY$40,NV24&gt;=NY$44,NU24&lt;&gt;""),AND(OW24&gt;=PA$40,OX24&gt;=PA$44,OW24&lt;&gt;""),AND(PY24&gt;=QC$40,PZ24&gt;=QC$44,PY24&lt;&gt;"")),"P","")</f>
        <v/>
      </c>
      <c r="L24" s="8">
        <f>IF(COUNT(AQ24,BT24,CW24)&gt;0,LARGE((AQ24,BT24,CW24),1),0)</f>
        <v>43.800000000000004</v>
      </c>
      <c r="M24" s="8" t="str">
        <f t="shared" si="1"/>
        <v>2025 Nationals</v>
      </c>
      <c r="N24" s="8">
        <f>IF(COUNT(AQ24,BT24,CW24)&gt;1,LARGE((AQ24,BT24,CW24),2),0)</f>
        <v>33.299999999999997</v>
      </c>
      <c r="O24" s="8" t="str">
        <f t="shared" si="2"/>
        <v>2025 Elite Canada</v>
      </c>
      <c r="P24" s="8">
        <f t="shared" si="3"/>
        <v>17.100000000000001</v>
      </c>
      <c r="Q24" s="8" t="str">
        <f t="shared" si="4"/>
        <v>2025 Nationals</v>
      </c>
      <c r="R24" s="8" t="str">
        <f t="shared" si="5"/>
        <v/>
      </c>
      <c r="S24" s="11" t="str">
        <f t="shared" si="6"/>
        <v/>
      </c>
      <c r="T24" s="8" t="str">
        <f t="shared" si="7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8"/>
        <v/>
      </c>
      <c r="AQ24" s="40" t="str">
        <f t="shared" si="9"/>
        <v/>
      </c>
      <c r="AR24" s="40" t="str">
        <f t="shared" si="10"/>
        <v/>
      </c>
      <c r="AS24" s="40" t="str">
        <f t="shared" si="11"/>
        <v/>
      </c>
      <c r="AT24" s="40" t="str">
        <f t="shared" si="12"/>
        <v/>
      </c>
      <c r="AU24" s="40" t="str">
        <f t="shared" si="13"/>
        <v/>
      </c>
      <c r="AV24" s="40" t="str">
        <f t="shared" si="14"/>
        <v/>
      </c>
      <c r="AW24" s="40" t="str">
        <f t="shared" si="15"/>
        <v/>
      </c>
      <c r="AX24" s="18">
        <v>15.2</v>
      </c>
      <c r="AY24" s="18">
        <v>2</v>
      </c>
      <c r="AZ24" s="18">
        <v>0</v>
      </c>
      <c r="BA24" s="18">
        <v>0</v>
      </c>
      <c r="BB24" s="18">
        <v>15.2</v>
      </c>
      <c r="BC24" s="18">
        <v>0.9</v>
      </c>
      <c r="BD24" s="18">
        <v>0</v>
      </c>
      <c r="BE24" s="18">
        <v>0</v>
      </c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16"/>
        <v>2.9</v>
      </c>
      <c r="BT24" s="11">
        <f t="shared" si="17"/>
        <v>33.299999999999997</v>
      </c>
      <c r="BU24" s="11" t="str">
        <f t="shared" si="18"/>
        <v/>
      </c>
      <c r="BV24" s="11">
        <f t="shared" si="19"/>
        <v>2.9</v>
      </c>
      <c r="BW24" s="11">
        <f t="shared" si="20"/>
        <v>33.299999999999997</v>
      </c>
      <c r="BX24" s="11" t="str">
        <f t="shared" si="21"/>
        <v/>
      </c>
      <c r="BY24" s="11" t="str">
        <f t="shared" si="22"/>
        <v/>
      </c>
      <c r="BZ24" s="11">
        <f t="shared" si="23"/>
        <v>33.299999999999997</v>
      </c>
      <c r="CA24" s="19">
        <v>18.2</v>
      </c>
      <c r="CB24" s="19">
        <v>4.4000000000000004</v>
      </c>
      <c r="CC24" s="19">
        <v>0.2</v>
      </c>
      <c r="CD24" s="19">
        <v>0</v>
      </c>
      <c r="CE24" s="19">
        <v>18.3</v>
      </c>
      <c r="CF24" s="19">
        <v>3.7</v>
      </c>
      <c r="CG24" s="19">
        <v>0.6</v>
      </c>
      <c r="CH24" s="19">
        <v>0</v>
      </c>
      <c r="CI24" s="19"/>
      <c r="CJ24" s="19"/>
      <c r="CK24" s="19"/>
      <c r="CL24" s="19"/>
      <c r="CM24" s="19">
        <v>0</v>
      </c>
      <c r="CN24" s="19">
        <v>0</v>
      </c>
      <c r="CO24" s="19">
        <v>0</v>
      </c>
      <c r="CP24" s="19">
        <v>0</v>
      </c>
      <c r="CQ24" s="19">
        <v>15.1</v>
      </c>
      <c r="CR24" s="19">
        <v>2</v>
      </c>
      <c r="CS24" s="19">
        <v>0</v>
      </c>
      <c r="CT24" s="19">
        <v>0</v>
      </c>
      <c r="CU24" s="27"/>
      <c r="CV24" s="40">
        <f t="shared" si="24"/>
        <v>8.1000000000000014</v>
      </c>
      <c r="CW24" s="40">
        <f t="shared" si="25"/>
        <v>43.800000000000004</v>
      </c>
      <c r="CX24" s="40" t="str">
        <f t="shared" si="26"/>
        <v/>
      </c>
      <c r="CY24" s="40">
        <f t="shared" si="27"/>
        <v>8.1000000000000014</v>
      </c>
      <c r="CZ24" s="40">
        <f t="shared" si="28"/>
        <v>43.800000000000004</v>
      </c>
      <c r="DA24" s="40">
        <f t="shared" si="29"/>
        <v>2</v>
      </c>
      <c r="DB24" s="40">
        <f t="shared" si="30"/>
        <v>17.100000000000001</v>
      </c>
      <c r="DC24" s="40">
        <f t="shared" si="31"/>
        <v>60.900000000000006</v>
      </c>
      <c r="DD24" s="50" t="str">
        <f t="shared" si="32"/>
        <v/>
      </c>
      <c r="DE24" s="50" t="str">
        <f t="shared" si="33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4"/>
        <v/>
      </c>
      <c r="EA24" s="40" t="str">
        <f t="shared" si="35"/>
        <v/>
      </c>
      <c r="EB24" s="40" t="str">
        <f t="shared" si="36"/>
        <v/>
      </c>
      <c r="EC24" s="40" t="str">
        <f t="shared" si="37"/>
        <v/>
      </c>
      <c r="ED24" s="40" t="str">
        <f t="shared" si="38"/>
        <v/>
      </c>
      <c r="EE24" s="40" t="str">
        <f t="shared" si="39"/>
        <v/>
      </c>
      <c r="EF24" s="40" t="str">
        <f t="shared" si="40"/>
        <v/>
      </c>
      <c r="EG24" s="40" t="str">
        <f t="shared" si="41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2"/>
        <v/>
      </c>
      <c r="FC24" s="11" t="str">
        <f t="shared" si="43"/>
        <v/>
      </c>
      <c r="FD24" s="11" t="str">
        <f t="shared" si="44"/>
        <v/>
      </c>
      <c r="FE24" s="11" t="str">
        <f t="shared" si="45"/>
        <v/>
      </c>
      <c r="FF24" s="11" t="str">
        <f t="shared" si="46"/>
        <v/>
      </c>
      <c r="FG24" s="11" t="str">
        <f t="shared" si="47"/>
        <v/>
      </c>
      <c r="FH24" s="11" t="str">
        <f t="shared" si="48"/>
        <v/>
      </c>
      <c r="FI24" s="11" t="str">
        <f t="shared" si="49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0"/>
        <v/>
      </c>
      <c r="GE24" s="40" t="str">
        <f t="shared" si="51"/>
        <v/>
      </c>
      <c r="GF24" s="40" t="str">
        <f t="shared" si="52"/>
        <v/>
      </c>
      <c r="GG24" s="40" t="str">
        <f t="shared" si="53"/>
        <v/>
      </c>
      <c r="GH24" s="40" t="str">
        <f t="shared" si="54"/>
        <v/>
      </c>
      <c r="GI24" s="40" t="str">
        <f t="shared" si="55"/>
        <v/>
      </c>
      <c r="GJ24" s="40" t="str">
        <f t="shared" si="56"/>
        <v/>
      </c>
      <c r="GK24" s="40" t="str">
        <f t="shared" si="57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58"/>
        <v/>
      </c>
      <c r="HG24" s="11" t="str">
        <f t="shared" si="59"/>
        <v/>
      </c>
      <c r="HH24" s="11" t="str">
        <f t="shared" si="60"/>
        <v/>
      </c>
      <c r="HI24" s="11" t="str">
        <f t="shared" si="61"/>
        <v/>
      </c>
      <c r="HJ24" s="11" t="str">
        <f t="shared" si="62"/>
        <v/>
      </c>
      <c r="HK24" s="11" t="str">
        <f t="shared" si="63"/>
        <v/>
      </c>
      <c r="HL24" s="11" t="str">
        <f t="shared" si="64"/>
        <v/>
      </c>
      <c r="HM24" s="11" t="str">
        <f t="shared" si="65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66"/>
        <v/>
      </c>
      <c r="II24" s="40" t="str">
        <f t="shared" si="67"/>
        <v/>
      </c>
      <c r="IJ24" s="40" t="str">
        <f t="shared" si="68"/>
        <v/>
      </c>
      <c r="IK24" s="40" t="str">
        <f t="shared" si="69"/>
        <v/>
      </c>
      <c r="IL24" s="40" t="str">
        <f t="shared" si="70"/>
        <v/>
      </c>
      <c r="IM24" s="40" t="str">
        <f t="shared" si="71"/>
        <v/>
      </c>
      <c r="IN24" s="40" t="str">
        <f t="shared" si="72"/>
        <v/>
      </c>
      <c r="IO24" s="40" t="str">
        <f t="shared" si="73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4"/>
        <v/>
      </c>
      <c r="JK24" s="11" t="str">
        <f t="shared" si="75"/>
        <v/>
      </c>
      <c r="JL24" s="11" t="str">
        <f t="shared" si="76"/>
        <v/>
      </c>
      <c r="JM24" s="11" t="str">
        <f t="shared" si="77"/>
        <v/>
      </c>
      <c r="JN24" s="11" t="str">
        <f t="shared" si="78"/>
        <v/>
      </c>
      <c r="JO24" s="11" t="str">
        <f t="shared" si="79"/>
        <v/>
      </c>
      <c r="JP24" s="11" t="str">
        <f t="shared" si="80"/>
        <v/>
      </c>
      <c r="JQ24" s="11" t="str">
        <f t="shared" si="81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2"/>
        <v/>
      </c>
      <c r="KM24" s="40" t="str">
        <f t="shared" si="83"/>
        <v/>
      </c>
      <c r="KN24" s="40" t="str">
        <f t="shared" si="84"/>
        <v/>
      </c>
      <c r="KO24" s="40" t="str">
        <f t="shared" si="85"/>
        <v/>
      </c>
      <c r="KP24" s="40" t="str">
        <f t="shared" si="86"/>
        <v/>
      </c>
      <c r="KQ24" s="40" t="str">
        <f t="shared" si="87"/>
        <v/>
      </c>
      <c r="KR24" s="40" t="str">
        <f t="shared" si="88"/>
        <v/>
      </c>
      <c r="KS24" s="40" t="str">
        <f t="shared" si="89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0"/>
        <v/>
      </c>
      <c r="LO24" s="11" t="str">
        <f t="shared" si="91"/>
        <v/>
      </c>
      <c r="LP24" s="11" t="str">
        <f t="shared" si="92"/>
        <v/>
      </c>
      <c r="LQ24" s="11" t="str">
        <f t="shared" si="93"/>
        <v/>
      </c>
      <c r="LR24" s="11" t="str">
        <f t="shared" si="94"/>
        <v/>
      </c>
      <c r="LS24" s="11" t="str">
        <f t="shared" si="95"/>
        <v/>
      </c>
      <c r="LT24" s="11" t="str">
        <f t="shared" si="96"/>
        <v/>
      </c>
      <c r="LU24" s="11" t="str">
        <f t="shared" si="97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98"/>
        <v/>
      </c>
      <c r="MQ24" s="40" t="str">
        <f t="shared" si="99"/>
        <v/>
      </c>
      <c r="MR24" s="40" t="str">
        <f t="shared" si="100"/>
        <v/>
      </c>
      <c r="MS24" s="40" t="str">
        <f t="shared" si="101"/>
        <v/>
      </c>
      <c r="MT24" s="40" t="str">
        <f t="shared" si="102"/>
        <v/>
      </c>
      <c r="MU24" s="40" t="str">
        <f t="shared" si="103"/>
        <v/>
      </c>
      <c r="MV24" s="40" t="str">
        <f t="shared" si="104"/>
        <v/>
      </c>
      <c r="MW24" s="40" t="str">
        <f t="shared" si="105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06"/>
        <v/>
      </c>
      <c r="NS24" s="11" t="str">
        <f t="shared" si="107"/>
        <v/>
      </c>
      <c r="NT24" s="11" t="str">
        <f t="shared" si="108"/>
        <v/>
      </c>
      <c r="NU24" s="11" t="str">
        <f t="shared" si="109"/>
        <v/>
      </c>
      <c r="NV24" s="11" t="str">
        <f t="shared" si="110"/>
        <v/>
      </c>
      <c r="NW24" s="11" t="str">
        <f t="shared" si="111"/>
        <v/>
      </c>
      <c r="NX24" s="11" t="str">
        <f t="shared" si="112"/>
        <v/>
      </c>
      <c r="NY24" s="11" t="str">
        <f t="shared" si="113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4"/>
        <v/>
      </c>
      <c r="OU24" s="40" t="str">
        <f t="shared" si="115"/>
        <v/>
      </c>
      <c r="OV24" s="40" t="str">
        <f t="shared" si="116"/>
        <v/>
      </c>
      <c r="OW24" s="40" t="str">
        <f t="shared" si="117"/>
        <v/>
      </c>
      <c r="OX24" s="40" t="str">
        <f t="shared" si="118"/>
        <v/>
      </c>
      <c r="OY24" s="40" t="str">
        <f t="shared" si="119"/>
        <v/>
      </c>
      <c r="OZ24" s="40" t="str">
        <f t="shared" si="120"/>
        <v/>
      </c>
      <c r="PA24" s="40" t="str">
        <f t="shared" si="121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2"/>
        <v/>
      </c>
      <c r="PW24" s="11" t="str">
        <f t="shared" si="123"/>
        <v/>
      </c>
      <c r="PX24" s="11" t="str">
        <f t="shared" si="124"/>
        <v/>
      </c>
      <c r="PY24" s="11" t="str">
        <f t="shared" si="125"/>
        <v/>
      </c>
      <c r="PZ24" s="11" t="str">
        <f t="shared" si="126"/>
        <v/>
      </c>
      <c r="QA24" s="11" t="str">
        <f t="shared" si="127"/>
        <v/>
      </c>
      <c r="QB24" s="11" t="str">
        <f t="shared" si="128"/>
        <v/>
      </c>
      <c r="QC24" s="11" t="str">
        <f t="shared" si="129"/>
        <v/>
      </c>
      <c r="QD24" s="22">
        <f t="shared" si="130"/>
        <v>16.7</v>
      </c>
      <c r="QE24" s="22">
        <f t="shared" si="131"/>
        <v>3.2</v>
      </c>
      <c r="QF24" s="22">
        <f t="shared" si="132"/>
        <v>0.1</v>
      </c>
      <c r="QG24" s="22">
        <f t="shared" si="133"/>
        <v>0</v>
      </c>
      <c r="QH24" s="22">
        <f t="shared" si="134"/>
        <v>16.75</v>
      </c>
      <c r="QI24" s="22">
        <f t="shared" si="135"/>
        <v>2.3000000000000003</v>
      </c>
      <c r="QJ24" s="22">
        <f t="shared" si="136"/>
        <v>0.3</v>
      </c>
      <c r="QK24" s="22">
        <f t="shared" si="137"/>
        <v>0</v>
      </c>
      <c r="QL24" s="22">
        <f t="shared" si="138"/>
        <v>0</v>
      </c>
      <c r="QM24" s="22">
        <f t="shared" si="139"/>
        <v>0</v>
      </c>
      <c r="QN24" s="22">
        <f t="shared" si="140"/>
        <v>0</v>
      </c>
      <c r="QO24" s="22">
        <f t="shared" si="141"/>
        <v>0</v>
      </c>
      <c r="QP24" s="22">
        <f t="shared" si="142"/>
        <v>0</v>
      </c>
      <c r="QQ24" s="22">
        <f t="shared" si="143"/>
        <v>0</v>
      </c>
      <c r="QR24" s="22">
        <f t="shared" si="144"/>
        <v>0</v>
      </c>
      <c r="QS24" s="22">
        <f t="shared" si="145"/>
        <v>0</v>
      </c>
      <c r="QT24" s="22">
        <f t="shared" si="146"/>
        <v>7.55</v>
      </c>
      <c r="QU24" s="22">
        <f t="shared" si="147"/>
        <v>1</v>
      </c>
      <c r="QV24" s="22">
        <f t="shared" si="148"/>
        <v>0</v>
      </c>
      <c r="QW24" s="22">
        <f t="shared" si="149"/>
        <v>0</v>
      </c>
      <c r="QX24" s="27" t="s">
        <v>46</v>
      </c>
      <c r="QY24" s="40">
        <f t="shared" si="150"/>
        <v>5.5</v>
      </c>
      <c r="QZ24" s="40">
        <f t="shared" si="151"/>
        <v>38.549999999999997</v>
      </c>
      <c r="RA24" s="40" t="str">
        <f t="shared" si="152"/>
        <v/>
      </c>
      <c r="RB24" s="40">
        <f t="shared" si="153"/>
        <v>5.5</v>
      </c>
      <c r="RC24" s="40">
        <f t="shared" si="154"/>
        <v>38.549999999999997</v>
      </c>
      <c r="RD24" s="40">
        <f t="shared" si="155"/>
        <v>1</v>
      </c>
      <c r="RE24" s="40">
        <f t="shared" si="156"/>
        <v>8.5500000000000007</v>
      </c>
      <c r="RF24" s="40">
        <f t="shared" si="157"/>
        <v>47.099999999999994</v>
      </c>
    </row>
    <row r="25" spans="1:474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204</v>
      </c>
      <c r="D25" s="4" t="s">
        <v>4</v>
      </c>
      <c r="E25" s="4">
        <v>2008</v>
      </c>
      <c r="F25" s="9">
        <f t="shared" si="0"/>
        <v>91.20000453000452</v>
      </c>
      <c r="G25" s="64"/>
      <c r="H25" s="3" t="str">
        <f>IF(OR(AND(AP25&gt;=AW$39,AQ25&gt;=AW$43,AP25&lt;&gt;"",AO25=""),AND(AU25&gt;=AW$39,AV25&gt;=AW$43,AU25&lt;&gt;"",AO25=""),AND(BS25&gt;=BZ$39,BT25&gt;=BZ$43,BS25&lt;&gt;"",BR25=""),AND(BX25&gt;=BZ$39,BY25&gt;=BZ$43,BX25&lt;&gt;"",BR25=""),AND(CV25&gt;=DC$39,CW25&gt;=DC$43,CV25&lt;&gt;"",CU25=""),AND(DA25&gt;=DC$39,DB25&gt;=DC$43,DA25&lt;&gt;""),AND(DZ25&gt;=EG$39,EA25&gt;=EG$43,DZ25&lt;&gt;""),AND(EE25&gt;=EG$39,EF25&gt;=EG$43,EE25&lt;&gt;""),AND(FB25&gt;=FI$39,FC25&gt;=FI$43,FB25&lt;&gt;""),AND(FG25&gt;=FI$39,FH25&gt;=FI$43,FG25&lt;&gt;""),AND(GD25&gt;=GK$39,GE25&gt;=GK$43,GD25&lt;&gt;""),AND(GI25&gt;=GK$39,GJ25&gt;=GK$43,GI25&lt;&gt;""),AND(HF25&gt;=HM$39,HG25&gt;=HM$43,HF25&lt;&gt;""),AND(HK25&gt;=HM$39,HL25&gt;=HM$43,HK25&lt;&gt;""),AND(IH25&gt;=IO$39,II25&gt;=IO$43,IH25&lt;&gt;""),AND(IM25&gt;=IO$39,IN25&gt;=IO$43,IM25&lt;&gt;""),AND(JJ25&gt;=JQ$39,JK25&gt;=JQ$43,JJ25&lt;&gt;""),AND(JO25&gt;=JQ$39,JP25&gt;=JQ$43,JO25&lt;&gt;""),AND(KL25&gt;=KS$39,KM25&gt;=KS$43,KL25&lt;&gt;""),AND(KQ25&gt;=KS$39,KR25&gt;=KS$43,KQ25&lt;&gt;""),AND(LN25&gt;=LU$39,LO25&gt;=LU$43,LN25&lt;&gt;""),AND(LS25&gt;=LU$39,LT25&gt;=LU$43,LS25&lt;&gt;""),AND(MP25&gt;=MW$39,MQ25&gt;=MW$43,MP25&lt;&gt;""),AND(MU25&gt;=MW$39,MV25&gt;=MW$43,MU25&lt;&gt;""),AND(NR25&gt;=NY$39,NS25&gt;=NY$43,NR25&lt;&gt;""),AND(NW25&gt;=NY$39,NX25&gt;=NY$43,NW25&lt;&gt;""),AND(OT25&gt;=PA$39,OU25&gt;=PA$43,OT25&lt;&gt;""),AND(OY25&gt;=PA$39,OZ25&gt;=PA$43,OY25&lt;&gt;""),AND(PV25&gt;=QC$39,PW25&gt;=QC$43,PV25&lt;&gt;""),AND(QA25&gt;=QC$39,QB25&gt;=QC$43,QA25&lt;&gt;"")),"P","")</f>
        <v/>
      </c>
      <c r="I25" s="3" t="str">
        <f>IF(OR(AND(AQ25&gt;=AW$43,AQ25&lt;&gt;"",AO25=""),AND(AV25&gt;=AW$43,AV25&lt;&gt;"",AO25=""),AND(BT25&gt;=BZ$43,BT25&lt;&gt;"",BR25=""),AND(BY25&gt;=BZ$43,BY25&lt;&gt;"",BR25=""),AND(CW25&gt;=DC$43,CW25&lt;&gt;"",CU25=""),AND(DB25&gt;=DC$43,DB25&lt;&gt;"",CU25=""),AND(EA25&gt;=EG$43,EA25&lt;&gt;""),AND(EF25&gt;=EG$43,EF25&lt;&gt;""),AND(FC25&gt;=FI$43,FC25&lt;&gt;""),AND(FH25&gt;=FI$43,FH25&lt;&gt;""),AND(GE25&gt;=GK$43,GE25&lt;&gt;""),AND(GJ25&gt;=GK$43,GJ25&lt;&gt;""),AND(HG25&gt;=HM$43,HG25&lt;&gt;""),AND(HL25&gt;=HM$43,HL25&lt;&gt;""),AND(II25&gt;=IO$43,II25&lt;&gt;""),AND(IN25&gt;=IO$43,IN25&lt;&gt;""),AND(JK25&gt;=JQ$43,JK25&lt;&gt;""),AND(JP25&gt;=JQ$43,JP25&lt;&gt;""),AND(KM25&gt;=KS$43,KM25&lt;&gt;""),AND(KR25&gt;=KS$43,KR25&lt;&gt;""),AND(LO25&gt;=LU$43,LO25&lt;&gt;""),AND(LT25&gt;=LU$43,LT25&lt;&gt;""),AND(MQ25&gt;=MW$43,MQ25&lt;&gt;""),AND(MV25&gt;=MW$43,MV25&lt;&gt;""),AND(NS25&gt;=NY$43,NS25&lt;&gt;""),AND(NX25&gt;=NY$43,NX25&lt;&gt;""),AND(OU25&gt;=PA$43,OU25&lt;&gt;""),AND(OZ25&gt;=PA$43,OZ25&lt;&gt;""),AND(PW25&gt;=QC$43,PW25&lt;&gt;""),AND(QB25&gt;=QC$43,QB25&lt;&gt;"")),"P","")</f>
        <v/>
      </c>
      <c r="J25" s="36" t="str">
        <f>IF(AND(I25="P",H25=""),"No DD",IF(OR(AND(AS25&gt;=AW$42,AT25&gt;=AW$46,AS25&lt;&gt;"",AO25=""),AND(BV25&gt;=BZ$42,BW25&gt;=BZ$46,BV25&lt;&gt;"",BR25=""),AND(CY25&gt;=DC$42,CZ25&gt;=DC$46,CY25&lt;&gt;"",CU25=""),AND(EC25&gt;=EG$42,ED25&gt;=EG$46,EC25&lt;&gt;""),AND(FE25&gt;=FI$42,FF25&gt;=FI$46,FE25&lt;&gt;""),AND(GG25&gt;=GK$42,GH25&gt;=GK$46,GG25&lt;&gt;""),AND(HI25&gt;=HM$42,HJ25&gt;=HM$46,HI25&lt;&gt;""),AND(IK25&gt;=IO$42,IL25&gt;=IO$46,IK25&lt;&gt;""),AND(JM25&gt;=JQ$42,JN25&gt;=JQ$46,JM25&lt;&gt;""),AND(KO25&gt;=KS$42,KP25&gt;=KS$46,KO25&lt;&gt;""),AND(LQ25&gt;=LU$42,LR25&gt;=LU$46,LQ25&lt;&gt;""),AND(MS25&gt;=MW$42,MT25&gt;=MW$46,MS25&lt;&gt;""),AND(NU25&gt;=NY$42,NV25&gt;=NY$46,NU25&lt;&gt;""),AND(OW25&gt;=PA$42,OX25&gt;=PA$46,OW25&lt;&gt;""),AND(PY25&gt;=QC$42,PZ25&gt;=QC$46,PY25&lt;&gt;"")),"Merit",IF(OR(AND(AS25&gt;=AW$41,AT25&gt;=AW$45,AS25&lt;&gt;"",AO25=""),AND(BV25&gt;=BZ$41,BW25&gt;=BZ$45,BV25&lt;&gt;"",BR25=""),AND(CY25&gt;=DC$41,CZ25&gt;=DC$45,CY25&lt;&gt;"",CU25=""),AND(EC25&gt;=EG$41,ED25&gt;=EG$45,EC25&lt;&gt;""),AND(FE25&gt;=FI$41,FF25&gt;=FI$45,FE25&lt;&gt;""),AND(GG25&gt;=GK$41,GH25&gt;=GK$45,GG25&lt;&gt;""),AND(HI25&gt;=HM$41,HJ25&gt;=HM$45,HI25&lt;&gt;""),AND(IK25&gt;=IO$41,IL25&gt;=IO$45,IK25&lt;&gt;""),AND(JM25&gt;=JQ$41,JN25&gt;=JQ$45,JM25&lt;&gt;""),AND(KO25&gt;=KS$41,KP25&gt;=KS$45,KO25&lt;&gt;""),AND(LQ25&gt;=LU$41,LR25&gt;=LU$45,LQ25&lt;&gt;""),AND(MS25&gt;=MW$41,MT25&gt;=MW$45,MS25&lt;&gt;""),AND(NU25&gt;=NY$41,NV25&gt;=NY$45,NU25&lt;&gt;""),AND(OW25&gt;=PA$41,OX25&gt;=PA$45,OW25&lt;&gt;""),AND(PY25&gt;=QC$41,PZ25&gt;=QC$45,PY25&lt;&gt;"")),"Excellence",IF(K25="P","Worlds Team",IF(H25="P","National Team","")))))</f>
        <v/>
      </c>
      <c r="K25" s="3" t="str">
        <f>IF(OR(AND(AS25&gt;=AW$40,AT25&gt;=AW$44,AS25&lt;&gt;"",AO25=""),AND(BV25&gt;=BZ$40,BW25&gt;=BZ$44,BV25&lt;&gt;"",BR25=""),AND(CY25&gt;=DC$40,CZ25&gt;=DC$44,CY25&lt;&gt;"",CU25=""),AND(EC25&gt;=EG$40,ED25&gt;=EG$44,EC25&lt;&gt;""),AND(FE25&gt;=FI$40,FF25&gt;=FI$44,FE25&lt;&gt;""),AND(GG25&gt;=GK$40,GH25&gt;=GK$44,GG25&lt;&gt;""),AND(HI25&gt;=HM$40,HJ25&gt;=HM$44,HI25&lt;&gt;""),AND(IK25&gt;=IO$40,IL25&gt;=IO$44,IK25&lt;&gt;""),AND(JM25&gt;=JQ$40,JN25&gt;=JQ$44,JM25&lt;&gt;""),AND(KO25&gt;=KS$40,KP25&gt;=KS$44,KO25&lt;&gt;""),AND(LQ25&gt;=LU$40,LR25&gt;=LU$44,LQ25&lt;&gt;""),AND(MS25&gt;=MW$40,MT25&gt;=MW$44,MS25&lt;&gt;""),AND(NU25&gt;=NY$40,NV25&gt;=NY$44,NU25&lt;&gt;""),AND(OW25&gt;=PA$40,OX25&gt;=PA$44,OW25&lt;&gt;""),AND(PY25&gt;=QC$40,PZ25&gt;=QC$44,PY25&lt;&gt;"")),"P","")</f>
        <v/>
      </c>
      <c r="L25" s="8">
        <f>IF(COUNT(AQ25,BT25,CW25)&gt;0,LARGE((AQ25,BT25,CW25),1),0)</f>
        <v>45.3</v>
      </c>
      <c r="M25" s="8" t="str">
        <f t="shared" si="1"/>
        <v>2025 Nationals</v>
      </c>
      <c r="N25" s="8">
        <f>IF(COUNT(AQ25,BT25,CW25)&gt;1,LARGE((AQ25,BT25,CW25),2),0)</f>
        <v>0</v>
      </c>
      <c r="O25" s="8" t="str">
        <f t="shared" si="2"/>
        <v/>
      </c>
      <c r="P25" s="8">
        <f t="shared" si="3"/>
        <v>45.9</v>
      </c>
      <c r="Q25" s="8" t="str">
        <f t="shared" si="4"/>
        <v>2025 Nationals</v>
      </c>
      <c r="R25" s="8" t="str">
        <f t="shared" si="5"/>
        <v/>
      </c>
      <c r="S25" s="11" t="str">
        <f t="shared" si="6"/>
        <v/>
      </c>
      <c r="T25" s="8" t="str">
        <f t="shared" si="7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8"/>
        <v/>
      </c>
      <c r="AQ25" s="40" t="str">
        <f t="shared" si="9"/>
        <v/>
      </c>
      <c r="AR25" s="40" t="str">
        <f t="shared" si="10"/>
        <v/>
      </c>
      <c r="AS25" s="40" t="str">
        <f t="shared" si="11"/>
        <v/>
      </c>
      <c r="AT25" s="40" t="str">
        <f t="shared" si="12"/>
        <v/>
      </c>
      <c r="AU25" s="40" t="str">
        <f t="shared" si="13"/>
        <v/>
      </c>
      <c r="AV25" s="40" t="str">
        <f t="shared" si="14"/>
        <v/>
      </c>
      <c r="AW25" s="40" t="str">
        <f t="shared" si="15"/>
        <v/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16"/>
        <v/>
      </c>
      <c r="BT25" s="11" t="str">
        <f t="shared" si="17"/>
        <v/>
      </c>
      <c r="BU25" s="11" t="str">
        <f t="shared" si="18"/>
        <v/>
      </c>
      <c r="BV25" s="11" t="str">
        <f t="shared" si="19"/>
        <v/>
      </c>
      <c r="BW25" s="11" t="str">
        <f t="shared" si="20"/>
        <v/>
      </c>
      <c r="BX25" s="11" t="str">
        <f t="shared" si="21"/>
        <v/>
      </c>
      <c r="BY25" s="11" t="str">
        <f t="shared" si="22"/>
        <v/>
      </c>
      <c r="BZ25" s="11" t="str">
        <f t="shared" si="23"/>
        <v/>
      </c>
      <c r="CA25" s="19">
        <v>18.3</v>
      </c>
      <c r="CB25" s="19">
        <v>5.2</v>
      </c>
      <c r="CC25" s="19">
        <v>0</v>
      </c>
      <c r="CD25" s="19">
        <v>0</v>
      </c>
      <c r="CE25" s="19">
        <v>18.8</v>
      </c>
      <c r="CF25" s="19">
        <v>3.6</v>
      </c>
      <c r="CG25" s="19">
        <v>0.6</v>
      </c>
      <c r="CH25" s="19">
        <v>0</v>
      </c>
      <c r="CI25" s="19"/>
      <c r="CJ25" s="19"/>
      <c r="CK25" s="19"/>
      <c r="CL25" s="19"/>
      <c r="CM25" s="19">
        <v>18.399999999999999</v>
      </c>
      <c r="CN25" s="19">
        <v>5.2</v>
      </c>
      <c r="CO25" s="19">
        <v>0</v>
      </c>
      <c r="CP25" s="19">
        <v>0</v>
      </c>
      <c r="CQ25" s="19">
        <v>18.899999999999999</v>
      </c>
      <c r="CR25" s="19">
        <v>4</v>
      </c>
      <c r="CS25" s="19">
        <v>0.6</v>
      </c>
      <c r="CT25" s="19">
        <v>0</v>
      </c>
      <c r="CU25" s="27"/>
      <c r="CV25" s="40">
        <f t="shared" si="24"/>
        <v>8.8000000000000007</v>
      </c>
      <c r="CW25" s="40">
        <f t="shared" si="25"/>
        <v>45.3</v>
      </c>
      <c r="CX25" s="40" t="str">
        <f t="shared" si="26"/>
        <v/>
      </c>
      <c r="CY25" s="40">
        <f t="shared" si="27"/>
        <v>8.8000000000000007</v>
      </c>
      <c r="CZ25" s="40">
        <f t="shared" si="28"/>
        <v>45.3</v>
      </c>
      <c r="DA25" s="40">
        <f t="shared" si="29"/>
        <v>9.1999999999999993</v>
      </c>
      <c r="DB25" s="40">
        <f t="shared" si="30"/>
        <v>45.9</v>
      </c>
      <c r="DC25" s="40">
        <f t="shared" si="31"/>
        <v>91.199999999999989</v>
      </c>
      <c r="DD25" s="50" t="str">
        <f t="shared" si="32"/>
        <v/>
      </c>
      <c r="DE25" s="50" t="str">
        <f t="shared" si="33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4"/>
        <v/>
      </c>
      <c r="EA25" s="40" t="str">
        <f t="shared" si="35"/>
        <v/>
      </c>
      <c r="EB25" s="40" t="str">
        <f t="shared" si="36"/>
        <v/>
      </c>
      <c r="EC25" s="40" t="str">
        <f t="shared" si="37"/>
        <v/>
      </c>
      <c r="ED25" s="40" t="str">
        <f t="shared" si="38"/>
        <v/>
      </c>
      <c r="EE25" s="40" t="str">
        <f t="shared" si="39"/>
        <v/>
      </c>
      <c r="EF25" s="40" t="str">
        <f t="shared" si="40"/>
        <v/>
      </c>
      <c r="EG25" s="40" t="str">
        <f t="shared" si="41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2"/>
        <v/>
      </c>
      <c r="FC25" s="11" t="str">
        <f t="shared" si="43"/>
        <v/>
      </c>
      <c r="FD25" s="11" t="str">
        <f t="shared" si="44"/>
        <v/>
      </c>
      <c r="FE25" s="11" t="str">
        <f t="shared" si="45"/>
        <v/>
      </c>
      <c r="FF25" s="11" t="str">
        <f t="shared" si="46"/>
        <v/>
      </c>
      <c r="FG25" s="11" t="str">
        <f t="shared" si="47"/>
        <v/>
      </c>
      <c r="FH25" s="11" t="str">
        <f t="shared" si="48"/>
        <v/>
      </c>
      <c r="FI25" s="11" t="str">
        <f t="shared" si="49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0"/>
        <v/>
      </c>
      <c r="GE25" s="40" t="str">
        <f t="shared" si="51"/>
        <v/>
      </c>
      <c r="GF25" s="40" t="str">
        <f t="shared" si="52"/>
        <v/>
      </c>
      <c r="GG25" s="40" t="str">
        <f t="shared" si="53"/>
        <v/>
      </c>
      <c r="GH25" s="40" t="str">
        <f t="shared" si="54"/>
        <v/>
      </c>
      <c r="GI25" s="40" t="str">
        <f t="shared" si="55"/>
        <v/>
      </c>
      <c r="GJ25" s="40" t="str">
        <f t="shared" si="56"/>
        <v/>
      </c>
      <c r="GK25" s="40" t="str">
        <f t="shared" si="57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58"/>
        <v/>
      </c>
      <c r="HG25" s="11" t="str">
        <f t="shared" si="59"/>
        <v/>
      </c>
      <c r="HH25" s="11" t="str">
        <f t="shared" si="60"/>
        <v/>
      </c>
      <c r="HI25" s="11" t="str">
        <f t="shared" si="61"/>
        <v/>
      </c>
      <c r="HJ25" s="11" t="str">
        <f t="shared" si="62"/>
        <v/>
      </c>
      <c r="HK25" s="11" t="str">
        <f t="shared" si="63"/>
        <v/>
      </c>
      <c r="HL25" s="11" t="str">
        <f t="shared" si="64"/>
        <v/>
      </c>
      <c r="HM25" s="11" t="str">
        <f t="shared" si="65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66"/>
        <v/>
      </c>
      <c r="II25" s="40" t="str">
        <f t="shared" si="67"/>
        <v/>
      </c>
      <c r="IJ25" s="40" t="str">
        <f t="shared" si="68"/>
        <v/>
      </c>
      <c r="IK25" s="40" t="str">
        <f t="shared" si="69"/>
        <v/>
      </c>
      <c r="IL25" s="40" t="str">
        <f t="shared" si="70"/>
        <v/>
      </c>
      <c r="IM25" s="40" t="str">
        <f t="shared" si="71"/>
        <v/>
      </c>
      <c r="IN25" s="40" t="str">
        <f t="shared" si="72"/>
        <v/>
      </c>
      <c r="IO25" s="40" t="str">
        <f t="shared" si="73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4"/>
        <v/>
      </c>
      <c r="JK25" s="11" t="str">
        <f t="shared" si="75"/>
        <v/>
      </c>
      <c r="JL25" s="11" t="str">
        <f t="shared" si="76"/>
        <v/>
      </c>
      <c r="JM25" s="11" t="str">
        <f t="shared" si="77"/>
        <v/>
      </c>
      <c r="JN25" s="11" t="str">
        <f t="shared" si="78"/>
        <v/>
      </c>
      <c r="JO25" s="11" t="str">
        <f t="shared" si="79"/>
        <v/>
      </c>
      <c r="JP25" s="11" t="str">
        <f t="shared" si="80"/>
        <v/>
      </c>
      <c r="JQ25" s="11" t="str">
        <f t="shared" si="81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2"/>
        <v/>
      </c>
      <c r="KM25" s="40" t="str">
        <f t="shared" si="83"/>
        <v/>
      </c>
      <c r="KN25" s="40" t="str">
        <f t="shared" si="84"/>
        <v/>
      </c>
      <c r="KO25" s="40" t="str">
        <f t="shared" si="85"/>
        <v/>
      </c>
      <c r="KP25" s="40" t="str">
        <f t="shared" si="86"/>
        <v/>
      </c>
      <c r="KQ25" s="40" t="str">
        <f t="shared" si="87"/>
        <v/>
      </c>
      <c r="KR25" s="40" t="str">
        <f t="shared" si="88"/>
        <v/>
      </c>
      <c r="KS25" s="40" t="str">
        <f t="shared" si="89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0"/>
        <v/>
      </c>
      <c r="LO25" s="11" t="str">
        <f t="shared" si="91"/>
        <v/>
      </c>
      <c r="LP25" s="11" t="str">
        <f t="shared" si="92"/>
        <v/>
      </c>
      <c r="LQ25" s="11" t="str">
        <f t="shared" si="93"/>
        <v/>
      </c>
      <c r="LR25" s="11" t="str">
        <f t="shared" si="94"/>
        <v/>
      </c>
      <c r="LS25" s="11" t="str">
        <f t="shared" si="95"/>
        <v/>
      </c>
      <c r="LT25" s="11" t="str">
        <f t="shared" si="96"/>
        <v/>
      </c>
      <c r="LU25" s="11" t="str">
        <f t="shared" si="97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98"/>
        <v/>
      </c>
      <c r="MQ25" s="40" t="str">
        <f t="shared" si="99"/>
        <v/>
      </c>
      <c r="MR25" s="40" t="str">
        <f t="shared" si="100"/>
        <v/>
      </c>
      <c r="MS25" s="40" t="str">
        <f t="shared" si="101"/>
        <v/>
      </c>
      <c r="MT25" s="40" t="str">
        <f t="shared" si="102"/>
        <v/>
      </c>
      <c r="MU25" s="40" t="str">
        <f t="shared" si="103"/>
        <v/>
      </c>
      <c r="MV25" s="40" t="str">
        <f t="shared" si="104"/>
        <v/>
      </c>
      <c r="MW25" s="40" t="str">
        <f t="shared" si="105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06"/>
        <v/>
      </c>
      <c r="NS25" s="11" t="str">
        <f t="shared" si="107"/>
        <v/>
      </c>
      <c r="NT25" s="11" t="str">
        <f t="shared" si="108"/>
        <v/>
      </c>
      <c r="NU25" s="11" t="str">
        <f t="shared" si="109"/>
        <v/>
      </c>
      <c r="NV25" s="11" t="str">
        <f t="shared" si="110"/>
        <v/>
      </c>
      <c r="NW25" s="11" t="str">
        <f t="shared" si="111"/>
        <v/>
      </c>
      <c r="NX25" s="11" t="str">
        <f t="shared" si="112"/>
        <v/>
      </c>
      <c r="NY25" s="11" t="str">
        <f t="shared" si="113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4"/>
        <v/>
      </c>
      <c r="OU25" s="40" t="str">
        <f t="shared" si="115"/>
        <v/>
      </c>
      <c r="OV25" s="40" t="str">
        <f t="shared" si="116"/>
        <v/>
      </c>
      <c r="OW25" s="40" t="str">
        <f t="shared" si="117"/>
        <v/>
      </c>
      <c r="OX25" s="40" t="str">
        <f t="shared" si="118"/>
        <v/>
      </c>
      <c r="OY25" s="40" t="str">
        <f t="shared" si="119"/>
        <v/>
      </c>
      <c r="OZ25" s="40" t="str">
        <f t="shared" si="120"/>
        <v/>
      </c>
      <c r="PA25" s="40" t="str">
        <f t="shared" si="121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2"/>
        <v/>
      </c>
      <c r="PW25" s="11" t="str">
        <f t="shared" si="123"/>
        <v/>
      </c>
      <c r="PX25" s="11" t="str">
        <f t="shared" si="124"/>
        <v/>
      </c>
      <c r="PY25" s="11" t="str">
        <f t="shared" si="125"/>
        <v/>
      </c>
      <c r="PZ25" s="11" t="str">
        <f t="shared" si="126"/>
        <v/>
      </c>
      <c r="QA25" s="11" t="str">
        <f t="shared" si="127"/>
        <v/>
      </c>
      <c r="QB25" s="11" t="str">
        <f t="shared" si="128"/>
        <v/>
      </c>
      <c r="QC25" s="11" t="str">
        <f t="shared" si="129"/>
        <v/>
      </c>
      <c r="QD25" s="22">
        <f t="shared" si="130"/>
        <v>9.15</v>
      </c>
      <c r="QE25" s="22">
        <f t="shared" si="131"/>
        <v>2.6</v>
      </c>
      <c r="QF25" s="22">
        <f t="shared" si="132"/>
        <v>0</v>
      </c>
      <c r="QG25" s="22">
        <f t="shared" si="133"/>
        <v>0</v>
      </c>
      <c r="QH25" s="22">
        <f t="shared" si="134"/>
        <v>9.4</v>
      </c>
      <c r="QI25" s="22">
        <f t="shared" si="135"/>
        <v>1.8</v>
      </c>
      <c r="QJ25" s="22">
        <f t="shared" si="136"/>
        <v>0.3</v>
      </c>
      <c r="QK25" s="22">
        <f t="shared" si="137"/>
        <v>0</v>
      </c>
      <c r="QL25" s="22">
        <f t="shared" si="138"/>
        <v>0</v>
      </c>
      <c r="QM25" s="22">
        <f t="shared" si="139"/>
        <v>0</v>
      </c>
      <c r="QN25" s="22">
        <f t="shared" si="140"/>
        <v>0</v>
      </c>
      <c r="QO25" s="22">
        <f t="shared" si="141"/>
        <v>0</v>
      </c>
      <c r="QP25" s="22">
        <f t="shared" si="142"/>
        <v>9.1999999999999993</v>
      </c>
      <c r="QQ25" s="22">
        <f t="shared" si="143"/>
        <v>2.6</v>
      </c>
      <c r="QR25" s="22">
        <f t="shared" si="144"/>
        <v>0</v>
      </c>
      <c r="QS25" s="22">
        <f t="shared" si="145"/>
        <v>0</v>
      </c>
      <c r="QT25" s="22">
        <f t="shared" si="146"/>
        <v>9.4499999999999993</v>
      </c>
      <c r="QU25" s="22">
        <f t="shared" si="147"/>
        <v>2</v>
      </c>
      <c r="QV25" s="22">
        <f t="shared" si="148"/>
        <v>0.3</v>
      </c>
      <c r="QW25" s="22">
        <f t="shared" si="149"/>
        <v>0</v>
      </c>
      <c r="QX25" s="27" t="s">
        <v>46</v>
      </c>
      <c r="QY25" s="40">
        <f t="shared" si="150"/>
        <v>4.4000000000000004</v>
      </c>
      <c r="QZ25" s="40">
        <f t="shared" si="151"/>
        <v>22.65</v>
      </c>
      <c r="RA25" s="40" t="str">
        <f t="shared" si="152"/>
        <v/>
      </c>
      <c r="RB25" s="40">
        <f t="shared" si="153"/>
        <v>4.4000000000000004</v>
      </c>
      <c r="RC25" s="40">
        <f t="shared" si="154"/>
        <v>22.65</v>
      </c>
      <c r="RD25" s="40">
        <f t="shared" si="155"/>
        <v>4.5999999999999996</v>
      </c>
      <c r="RE25" s="40">
        <f t="shared" si="156"/>
        <v>22.95</v>
      </c>
      <c r="RF25" s="40">
        <f t="shared" si="157"/>
        <v>45.599999999999994</v>
      </c>
    </row>
    <row r="26" spans="1:474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205</v>
      </c>
      <c r="D26" s="4" t="s">
        <v>5</v>
      </c>
      <c r="E26" s="4">
        <v>2007</v>
      </c>
      <c r="F26" s="9">
        <f t="shared" si="0"/>
        <v>84.900004450004459</v>
      </c>
      <c r="G26" s="64"/>
      <c r="H26" s="3" t="str">
        <f>IF(OR(AND(AP26&gt;=AW$39,AQ26&gt;=AW$43,AP26&lt;&gt;"",AO26=""),AND(AU26&gt;=AW$39,AV26&gt;=AW$43,AU26&lt;&gt;"",AO26=""),AND(BS26&gt;=BZ$39,BT26&gt;=BZ$43,BS26&lt;&gt;"",BR26=""),AND(BX26&gt;=BZ$39,BY26&gt;=BZ$43,BX26&lt;&gt;"",BR26=""),AND(CV26&gt;=DC$39,CW26&gt;=DC$43,CV26&lt;&gt;"",CU26=""),AND(DA26&gt;=DC$39,DB26&gt;=DC$43,DA26&lt;&gt;""),AND(DZ26&gt;=EG$39,EA26&gt;=EG$43,DZ26&lt;&gt;""),AND(EE26&gt;=EG$39,EF26&gt;=EG$43,EE26&lt;&gt;""),AND(FB26&gt;=FI$39,FC26&gt;=FI$43,FB26&lt;&gt;""),AND(FG26&gt;=FI$39,FH26&gt;=FI$43,FG26&lt;&gt;""),AND(GD26&gt;=GK$39,GE26&gt;=GK$43,GD26&lt;&gt;""),AND(GI26&gt;=GK$39,GJ26&gt;=GK$43,GI26&lt;&gt;""),AND(HF26&gt;=HM$39,HG26&gt;=HM$43,HF26&lt;&gt;""),AND(HK26&gt;=HM$39,HL26&gt;=HM$43,HK26&lt;&gt;""),AND(IH26&gt;=IO$39,II26&gt;=IO$43,IH26&lt;&gt;""),AND(IM26&gt;=IO$39,IN26&gt;=IO$43,IM26&lt;&gt;""),AND(JJ26&gt;=JQ$39,JK26&gt;=JQ$43,JJ26&lt;&gt;""),AND(JO26&gt;=JQ$39,JP26&gt;=JQ$43,JO26&lt;&gt;""),AND(KL26&gt;=KS$39,KM26&gt;=KS$43,KL26&lt;&gt;""),AND(KQ26&gt;=KS$39,KR26&gt;=KS$43,KQ26&lt;&gt;""),AND(LN26&gt;=LU$39,LO26&gt;=LU$43,LN26&lt;&gt;""),AND(LS26&gt;=LU$39,LT26&gt;=LU$43,LS26&lt;&gt;""),AND(MP26&gt;=MW$39,MQ26&gt;=MW$43,MP26&lt;&gt;""),AND(MU26&gt;=MW$39,MV26&gt;=MW$43,MU26&lt;&gt;""),AND(NR26&gt;=NY$39,NS26&gt;=NY$43,NR26&lt;&gt;""),AND(NW26&gt;=NY$39,NX26&gt;=NY$43,NW26&lt;&gt;""),AND(OT26&gt;=PA$39,OU26&gt;=PA$43,OT26&lt;&gt;""),AND(OY26&gt;=PA$39,OZ26&gt;=PA$43,OY26&lt;&gt;""),AND(PV26&gt;=QC$39,PW26&gt;=QC$43,PV26&lt;&gt;""),AND(QA26&gt;=QC$39,QB26&gt;=QC$43,QA26&lt;&gt;"")),"P","")</f>
        <v/>
      </c>
      <c r="I26" s="3" t="str">
        <f>IF(OR(AND(AQ26&gt;=AW$43,AQ26&lt;&gt;"",AO26=""),AND(AV26&gt;=AW$43,AV26&lt;&gt;"",AO26=""),AND(BT26&gt;=BZ$43,BT26&lt;&gt;"",BR26=""),AND(BY26&gt;=BZ$43,BY26&lt;&gt;"",BR26=""),AND(CW26&gt;=DC$43,CW26&lt;&gt;"",CU26=""),AND(DB26&gt;=DC$43,DB26&lt;&gt;"",CU26=""),AND(EA26&gt;=EG$43,EA26&lt;&gt;""),AND(EF26&gt;=EG$43,EF26&lt;&gt;""),AND(FC26&gt;=FI$43,FC26&lt;&gt;""),AND(FH26&gt;=FI$43,FH26&lt;&gt;""),AND(GE26&gt;=GK$43,GE26&lt;&gt;""),AND(GJ26&gt;=GK$43,GJ26&lt;&gt;""),AND(HG26&gt;=HM$43,HG26&lt;&gt;""),AND(HL26&gt;=HM$43,HL26&lt;&gt;""),AND(II26&gt;=IO$43,II26&lt;&gt;""),AND(IN26&gt;=IO$43,IN26&lt;&gt;""),AND(JK26&gt;=JQ$43,JK26&lt;&gt;""),AND(JP26&gt;=JQ$43,JP26&lt;&gt;""),AND(KM26&gt;=KS$43,KM26&lt;&gt;""),AND(KR26&gt;=KS$43,KR26&lt;&gt;""),AND(LO26&gt;=LU$43,LO26&lt;&gt;""),AND(LT26&gt;=LU$43,LT26&lt;&gt;""),AND(MQ26&gt;=MW$43,MQ26&lt;&gt;""),AND(MV26&gt;=MW$43,MV26&lt;&gt;""),AND(NS26&gt;=NY$43,NS26&lt;&gt;""),AND(NX26&gt;=NY$43,NX26&lt;&gt;""),AND(OU26&gt;=PA$43,OU26&lt;&gt;""),AND(OZ26&gt;=PA$43,OZ26&lt;&gt;""),AND(PW26&gt;=QC$43,PW26&lt;&gt;""),AND(QB26&gt;=QC$43,QB26&lt;&gt;"")),"P","")</f>
        <v/>
      </c>
      <c r="J26" s="36" t="str">
        <f>IF(AND(I26="P",H26=""),"No DD",IF(OR(AND(AS26&gt;=AW$42,AT26&gt;=AW$46,AS26&lt;&gt;"",AO26=""),AND(BV26&gt;=BZ$42,BW26&gt;=BZ$46,BV26&lt;&gt;"",BR26=""),AND(CY26&gt;=DC$42,CZ26&gt;=DC$46,CY26&lt;&gt;"",CU26=""),AND(EC26&gt;=EG$42,ED26&gt;=EG$46,EC26&lt;&gt;""),AND(FE26&gt;=FI$42,FF26&gt;=FI$46,FE26&lt;&gt;""),AND(GG26&gt;=GK$42,GH26&gt;=GK$46,GG26&lt;&gt;""),AND(HI26&gt;=HM$42,HJ26&gt;=HM$46,HI26&lt;&gt;""),AND(IK26&gt;=IO$42,IL26&gt;=IO$46,IK26&lt;&gt;""),AND(JM26&gt;=JQ$42,JN26&gt;=JQ$46,JM26&lt;&gt;""),AND(KO26&gt;=KS$42,KP26&gt;=KS$46,KO26&lt;&gt;""),AND(LQ26&gt;=LU$42,LR26&gt;=LU$46,LQ26&lt;&gt;""),AND(MS26&gt;=MW$42,MT26&gt;=MW$46,MS26&lt;&gt;""),AND(NU26&gt;=NY$42,NV26&gt;=NY$46,NU26&lt;&gt;""),AND(OW26&gt;=PA$42,OX26&gt;=PA$46,OW26&lt;&gt;""),AND(PY26&gt;=QC$42,PZ26&gt;=QC$46,PY26&lt;&gt;"")),"Merit",IF(OR(AND(AS26&gt;=AW$41,AT26&gt;=AW$45,AS26&lt;&gt;"",AO26=""),AND(BV26&gt;=BZ$41,BW26&gt;=BZ$45,BV26&lt;&gt;"",BR26=""),AND(CY26&gt;=DC$41,CZ26&gt;=DC$45,CY26&lt;&gt;"",CU26=""),AND(EC26&gt;=EG$41,ED26&gt;=EG$45,EC26&lt;&gt;""),AND(FE26&gt;=FI$41,FF26&gt;=FI$45,FE26&lt;&gt;""),AND(GG26&gt;=GK$41,GH26&gt;=GK$45,GG26&lt;&gt;""),AND(HI26&gt;=HM$41,HJ26&gt;=HM$45,HI26&lt;&gt;""),AND(IK26&gt;=IO$41,IL26&gt;=IO$45,IK26&lt;&gt;""),AND(JM26&gt;=JQ$41,JN26&gt;=JQ$45,JM26&lt;&gt;""),AND(KO26&gt;=KS$41,KP26&gt;=KS$45,KO26&lt;&gt;""),AND(LQ26&gt;=LU$41,LR26&gt;=LU$45,LQ26&lt;&gt;""),AND(MS26&gt;=MW$41,MT26&gt;=MW$45,MS26&lt;&gt;""),AND(NU26&gt;=NY$41,NV26&gt;=NY$45,NU26&lt;&gt;""),AND(OW26&gt;=PA$41,OX26&gt;=PA$45,OW26&lt;&gt;""),AND(PY26&gt;=QC$41,PZ26&gt;=QC$45,PY26&lt;&gt;"")),"Excellence",IF(K26="P","Worlds Team",IF(H26="P","National Team","")))))</f>
        <v/>
      </c>
      <c r="K26" s="3" t="str">
        <f>IF(OR(AND(AS26&gt;=AW$40,AT26&gt;=AW$44,AS26&lt;&gt;"",AO26=""),AND(BV26&gt;=BZ$40,BW26&gt;=BZ$44,BV26&lt;&gt;"",BR26=""),AND(CY26&gt;=DC$40,CZ26&gt;=DC$44,CY26&lt;&gt;"",CU26=""),AND(EC26&gt;=EG$40,ED26&gt;=EG$44,EC26&lt;&gt;""),AND(FE26&gt;=FI$40,FF26&gt;=FI$44,FE26&lt;&gt;""),AND(GG26&gt;=GK$40,GH26&gt;=GK$44,GG26&lt;&gt;""),AND(HI26&gt;=HM$40,HJ26&gt;=HM$44,HI26&lt;&gt;""),AND(IK26&gt;=IO$40,IL26&gt;=IO$44,IK26&lt;&gt;""),AND(JM26&gt;=JQ$40,JN26&gt;=JQ$44,JM26&lt;&gt;""),AND(KO26&gt;=KS$40,KP26&gt;=KS$44,KO26&lt;&gt;""),AND(LQ26&gt;=LU$40,LR26&gt;=LU$44,LQ26&lt;&gt;""),AND(MS26&gt;=MW$40,MT26&gt;=MW$44,MS26&lt;&gt;""),AND(NU26&gt;=NY$40,NV26&gt;=NY$44,NU26&lt;&gt;""),AND(OW26&gt;=PA$40,OX26&gt;=PA$44,OW26&lt;&gt;""),AND(PY26&gt;=QC$40,PZ26&gt;=QC$44,PY26&lt;&gt;"")),"P","")</f>
        <v/>
      </c>
      <c r="L26" s="8">
        <f>IF(COUNT(AQ26,BT26,CW26)&gt;0,LARGE((AQ26,BT26,CW26),1),0)</f>
        <v>44.5</v>
      </c>
      <c r="M26" s="8" t="str">
        <f t="shared" si="1"/>
        <v>2025 Nationals</v>
      </c>
      <c r="N26" s="8">
        <f>IF(COUNT(AQ26,BT26,CW26)&gt;1,LARGE((AQ26,BT26,CW26),2),0)</f>
        <v>0</v>
      </c>
      <c r="O26" s="8" t="str">
        <f t="shared" si="2"/>
        <v/>
      </c>
      <c r="P26" s="8">
        <f t="shared" si="3"/>
        <v>40.4</v>
      </c>
      <c r="Q26" s="8" t="str">
        <f t="shared" si="4"/>
        <v>2025 Nationals</v>
      </c>
      <c r="R26" s="8" t="str">
        <f t="shared" si="5"/>
        <v/>
      </c>
      <c r="S26" s="11" t="str">
        <f t="shared" si="6"/>
        <v/>
      </c>
      <c r="T26" s="8" t="str">
        <f t="shared" si="7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8"/>
        <v/>
      </c>
      <c r="AQ26" s="40" t="str">
        <f t="shared" si="9"/>
        <v/>
      </c>
      <c r="AR26" s="40" t="str">
        <f t="shared" si="10"/>
        <v/>
      </c>
      <c r="AS26" s="40" t="str">
        <f t="shared" si="11"/>
        <v/>
      </c>
      <c r="AT26" s="40" t="str">
        <f t="shared" si="12"/>
        <v/>
      </c>
      <c r="AU26" s="40" t="str">
        <f t="shared" si="13"/>
        <v/>
      </c>
      <c r="AV26" s="40" t="str">
        <f t="shared" si="14"/>
        <v/>
      </c>
      <c r="AW26" s="40" t="str">
        <f t="shared" si="15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16"/>
        <v/>
      </c>
      <c r="BT26" s="11" t="str">
        <f t="shared" si="17"/>
        <v/>
      </c>
      <c r="BU26" s="11" t="str">
        <f t="shared" si="18"/>
        <v/>
      </c>
      <c r="BV26" s="11" t="str">
        <f t="shared" si="19"/>
        <v/>
      </c>
      <c r="BW26" s="11" t="str">
        <f t="shared" si="20"/>
        <v/>
      </c>
      <c r="BX26" s="11" t="str">
        <f t="shared" si="21"/>
        <v/>
      </c>
      <c r="BY26" s="11" t="str">
        <f t="shared" si="22"/>
        <v/>
      </c>
      <c r="BZ26" s="11" t="str">
        <f t="shared" si="23"/>
        <v/>
      </c>
      <c r="CA26" s="19">
        <v>17.899999999999999</v>
      </c>
      <c r="CB26" s="19">
        <v>4.4000000000000004</v>
      </c>
      <c r="CC26" s="19">
        <v>0.8</v>
      </c>
      <c r="CD26" s="19">
        <v>0</v>
      </c>
      <c r="CE26" s="19">
        <v>19.5</v>
      </c>
      <c r="CF26" s="19">
        <v>3.5</v>
      </c>
      <c r="CG26" s="19">
        <v>0</v>
      </c>
      <c r="CH26" s="19">
        <v>0</v>
      </c>
      <c r="CI26" s="19"/>
      <c r="CJ26" s="19"/>
      <c r="CK26" s="19"/>
      <c r="CL26" s="19"/>
      <c r="CM26" s="19">
        <v>15.2</v>
      </c>
      <c r="CN26" s="19">
        <v>2.4</v>
      </c>
      <c r="CO26" s="19">
        <v>0</v>
      </c>
      <c r="CP26" s="19">
        <v>0</v>
      </c>
      <c r="CQ26" s="19">
        <v>19.3</v>
      </c>
      <c r="CR26" s="19">
        <v>3.5</v>
      </c>
      <c r="CS26" s="19">
        <v>0</v>
      </c>
      <c r="CT26" s="19">
        <v>0</v>
      </c>
      <c r="CU26" s="27"/>
      <c r="CV26" s="40">
        <f t="shared" si="24"/>
        <v>7.9</v>
      </c>
      <c r="CW26" s="40">
        <f t="shared" si="25"/>
        <v>44.5</v>
      </c>
      <c r="CX26" s="40" t="str">
        <f t="shared" si="26"/>
        <v/>
      </c>
      <c r="CY26" s="40">
        <f t="shared" si="27"/>
        <v>7.9</v>
      </c>
      <c r="CZ26" s="40">
        <f t="shared" si="28"/>
        <v>44.5</v>
      </c>
      <c r="DA26" s="40">
        <f t="shared" si="29"/>
        <v>5.9</v>
      </c>
      <c r="DB26" s="40">
        <f t="shared" si="30"/>
        <v>40.4</v>
      </c>
      <c r="DC26" s="40">
        <f t="shared" si="31"/>
        <v>84.9</v>
      </c>
      <c r="DD26" s="50" t="str">
        <f t="shared" si="32"/>
        <v/>
      </c>
      <c r="DE26" s="50" t="str">
        <f t="shared" si="33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4"/>
        <v/>
      </c>
      <c r="EA26" s="40" t="str">
        <f t="shared" si="35"/>
        <v/>
      </c>
      <c r="EB26" s="40" t="str">
        <f t="shared" si="36"/>
        <v/>
      </c>
      <c r="EC26" s="40" t="str">
        <f t="shared" si="37"/>
        <v/>
      </c>
      <c r="ED26" s="40" t="str">
        <f t="shared" si="38"/>
        <v/>
      </c>
      <c r="EE26" s="40" t="str">
        <f t="shared" si="39"/>
        <v/>
      </c>
      <c r="EF26" s="40" t="str">
        <f t="shared" si="40"/>
        <v/>
      </c>
      <c r="EG26" s="40" t="str">
        <f t="shared" si="41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2"/>
        <v/>
      </c>
      <c r="FC26" s="11" t="str">
        <f t="shared" si="43"/>
        <v/>
      </c>
      <c r="FD26" s="11" t="str">
        <f t="shared" si="44"/>
        <v/>
      </c>
      <c r="FE26" s="11" t="str">
        <f t="shared" si="45"/>
        <v/>
      </c>
      <c r="FF26" s="11" t="str">
        <f t="shared" si="46"/>
        <v/>
      </c>
      <c r="FG26" s="11" t="str">
        <f t="shared" si="47"/>
        <v/>
      </c>
      <c r="FH26" s="11" t="str">
        <f t="shared" si="48"/>
        <v/>
      </c>
      <c r="FI26" s="11" t="str">
        <f t="shared" si="49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0"/>
        <v/>
      </c>
      <c r="GE26" s="40" t="str">
        <f t="shared" si="51"/>
        <v/>
      </c>
      <c r="GF26" s="40" t="str">
        <f t="shared" si="52"/>
        <v/>
      </c>
      <c r="GG26" s="40" t="str">
        <f t="shared" si="53"/>
        <v/>
      </c>
      <c r="GH26" s="40" t="str">
        <f t="shared" si="54"/>
        <v/>
      </c>
      <c r="GI26" s="40" t="str">
        <f t="shared" si="55"/>
        <v/>
      </c>
      <c r="GJ26" s="40" t="str">
        <f t="shared" si="56"/>
        <v/>
      </c>
      <c r="GK26" s="40" t="str">
        <f t="shared" si="57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58"/>
        <v/>
      </c>
      <c r="HG26" s="11" t="str">
        <f t="shared" si="59"/>
        <v/>
      </c>
      <c r="HH26" s="11" t="str">
        <f t="shared" si="60"/>
        <v/>
      </c>
      <c r="HI26" s="11" t="str">
        <f t="shared" si="61"/>
        <v/>
      </c>
      <c r="HJ26" s="11" t="str">
        <f t="shared" si="62"/>
        <v/>
      </c>
      <c r="HK26" s="11" t="str">
        <f t="shared" si="63"/>
        <v/>
      </c>
      <c r="HL26" s="11" t="str">
        <f t="shared" si="64"/>
        <v/>
      </c>
      <c r="HM26" s="11" t="str">
        <f t="shared" si="65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66"/>
        <v/>
      </c>
      <c r="II26" s="40" t="str">
        <f t="shared" si="67"/>
        <v/>
      </c>
      <c r="IJ26" s="40" t="str">
        <f t="shared" si="68"/>
        <v/>
      </c>
      <c r="IK26" s="40" t="str">
        <f t="shared" si="69"/>
        <v/>
      </c>
      <c r="IL26" s="40" t="str">
        <f t="shared" si="70"/>
        <v/>
      </c>
      <c r="IM26" s="40" t="str">
        <f t="shared" si="71"/>
        <v/>
      </c>
      <c r="IN26" s="40" t="str">
        <f t="shared" si="72"/>
        <v/>
      </c>
      <c r="IO26" s="40" t="str">
        <f t="shared" si="73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4"/>
        <v/>
      </c>
      <c r="JK26" s="11" t="str">
        <f t="shared" si="75"/>
        <v/>
      </c>
      <c r="JL26" s="11" t="str">
        <f t="shared" si="76"/>
        <v/>
      </c>
      <c r="JM26" s="11" t="str">
        <f t="shared" si="77"/>
        <v/>
      </c>
      <c r="JN26" s="11" t="str">
        <f t="shared" si="78"/>
        <v/>
      </c>
      <c r="JO26" s="11" t="str">
        <f t="shared" si="79"/>
        <v/>
      </c>
      <c r="JP26" s="11" t="str">
        <f t="shared" si="80"/>
        <v/>
      </c>
      <c r="JQ26" s="11" t="str">
        <f t="shared" si="81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2"/>
        <v/>
      </c>
      <c r="KM26" s="40" t="str">
        <f t="shared" si="83"/>
        <v/>
      </c>
      <c r="KN26" s="40" t="str">
        <f t="shared" si="84"/>
        <v/>
      </c>
      <c r="KO26" s="40" t="str">
        <f t="shared" si="85"/>
        <v/>
      </c>
      <c r="KP26" s="40" t="str">
        <f t="shared" si="86"/>
        <v/>
      </c>
      <c r="KQ26" s="40" t="str">
        <f t="shared" si="87"/>
        <v/>
      </c>
      <c r="KR26" s="40" t="str">
        <f t="shared" si="88"/>
        <v/>
      </c>
      <c r="KS26" s="40" t="str">
        <f t="shared" si="89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0"/>
        <v/>
      </c>
      <c r="LO26" s="11" t="str">
        <f t="shared" si="91"/>
        <v/>
      </c>
      <c r="LP26" s="11" t="str">
        <f t="shared" si="92"/>
        <v/>
      </c>
      <c r="LQ26" s="11" t="str">
        <f t="shared" si="93"/>
        <v/>
      </c>
      <c r="LR26" s="11" t="str">
        <f t="shared" si="94"/>
        <v/>
      </c>
      <c r="LS26" s="11" t="str">
        <f t="shared" si="95"/>
        <v/>
      </c>
      <c r="LT26" s="11" t="str">
        <f t="shared" si="96"/>
        <v/>
      </c>
      <c r="LU26" s="11" t="str">
        <f t="shared" si="97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98"/>
        <v/>
      </c>
      <c r="MQ26" s="40" t="str">
        <f t="shared" si="99"/>
        <v/>
      </c>
      <c r="MR26" s="40" t="str">
        <f t="shared" si="100"/>
        <v/>
      </c>
      <c r="MS26" s="40" t="str">
        <f t="shared" si="101"/>
        <v/>
      </c>
      <c r="MT26" s="40" t="str">
        <f t="shared" si="102"/>
        <v/>
      </c>
      <c r="MU26" s="40" t="str">
        <f t="shared" si="103"/>
        <v/>
      </c>
      <c r="MV26" s="40" t="str">
        <f t="shared" si="104"/>
        <v/>
      </c>
      <c r="MW26" s="40" t="str">
        <f t="shared" si="105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06"/>
        <v/>
      </c>
      <c r="NS26" s="11" t="str">
        <f t="shared" si="107"/>
        <v/>
      </c>
      <c r="NT26" s="11" t="str">
        <f t="shared" si="108"/>
        <v/>
      </c>
      <c r="NU26" s="11" t="str">
        <f t="shared" si="109"/>
        <v/>
      </c>
      <c r="NV26" s="11" t="str">
        <f t="shared" si="110"/>
        <v/>
      </c>
      <c r="NW26" s="11" t="str">
        <f t="shared" si="111"/>
        <v/>
      </c>
      <c r="NX26" s="11" t="str">
        <f t="shared" si="112"/>
        <v/>
      </c>
      <c r="NY26" s="11" t="str">
        <f t="shared" si="113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4"/>
        <v/>
      </c>
      <c r="OU26" s="40" t="str">
        <f t="shared" si="115"/>
        <v/>
      </c>
      <c r="OV26" s="40" t="str">
        <f t="shared" si="116"/>
        <v/>
      </c>
      <c r="OW26" s="40" t="str">
        <f t="shared" si="117"/>
        <v/>
      </c>
      <c r="OX26" s="40" t="str">
        <f t="shared" si="118"/>
        <v/>
      </c>
      <c r="OY26" s="40" t="str">
        <f t="shared" si="119"/>
        <v/>
      </c>
      <c r="OZ26" s="40" t="str">
        <f t="shared" si="120"/>
        <v/>
      </c>
      <c r="PA26" s="40" t="str">
        <f t="shared" si="121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2"/>
        <v/>
      </c>
      <c r="PW26" s="11" t="str">
        <f t="shared" si="123"/>
        <v/>
      </c>
      <c r="PX26" s="11" t="str">
        <f t="shared" si="124"/>
        <v/>
      </c>
      <c r="PY26" s="11" t="str">
        <f t="shared" si="125"/>
        <v/>
      </c>
      <c r="PZ26" s="11" t="str">
        <f t="shared" si="126"/>
        <v/>
      </c>
      <c r="QA26" s="11" t="str">
        <f t="shared" si="127"/>
        <v/>
      </c>
      <c r="QB26" s="11" t="str">
        <f t="shared" si="128"/>
        <v/>
      </c>
      <c r="QC26" s="11" t="str">
        <f t="shared" si="129"/>
        <v/>
      </c>
      <c r="QD26" s="22">
        <f t="shared" si="130"/>
        <v>8.9499999999999993</v>
      </c>
      <c r="QE26" s="22">
        <f t="shared" si="131"/>
        <v>2.2000000000000002</v>
      </c>
      <c r="QF26" s="22">
        <f t="shared" si="132"/>
        <v>0.4</v>
      </c>
      <c r="QG26" s="22">
        <f t="shared" si="133"/>
        <v>0</v>
      </c>
      <c r="QH26" s="22">
        <f t="shared" si="134"/>
        <v>9.75</v>
      </c>
      <c r="QI26" s="22">
        <f t="shared" si="135"/>
        <v>1.75</v>
      </c>
      <c r="QJ26" s="22">
        <f t="shared" si="136"/>
        <v>0</v>
      </c>
      <c r="QK26" s="22">
        <f t="shared" si="137"/>
        <v>0</v>
      </c>
      <c r="QL26" s="22">
        <f t="shared" si="138"/>
        <v>0</v>
      </c>
      <c r="QM26" s="22">
        <f t="shared" si="139"/>
        <v>0</v>
      </c>
      <c r="QN26" s="22">
        <f t="shared" si="140"/>
        <v>0</v>
      </c>
      <c r="QO26" s="22">
        <f t="shared" si="141"/>
        <v>0</v>
      </c>
      <c r="QP26" s="22">
        <f t="shared" si="142"/>
        <v>7.6</v>
      </c>
      <c r="QQ26" s="22">
        <f t="shared" si="143"/>
        <v>1.2</v>
      </c>
      <c r="QR26" s="22">
        <f t="shared" si="144"/>
        <v>0</v>
      </c>
      <c r="QS26" s="22">
        <f t="shared" si="145"/>
        <v>0</v>
      </c>
      <c r="QT26" s="22">
        <f t="shared" si="146"/>
        <v>9.65</v>
      </c>
      <c r="QU26" s="22">
        <f t="shared" si="147"/>
        <v>1.75</v>
      </c>
      <c r="QV26" s="22">
        <f t="shared" si="148"/>
        <v>0</v>
      </c>
      <c r="QW26" s="22">
        <f t="shared" si="149"/>
        <v>0</v>
      </c>
      <c r="QX26" s="27" t="s">
        <v>46</v>
      </c>
      <c r="QY26" s="40">
        <f t="shared" si="150"/>
        <v>3.95</v>
      </c>
      <c r="QZ26" s="40">
        <f t="shared" si="151"/>
        <v>22.25</v>
      </c>
      <c r="RA26" s="40" t="str">
        <f t="shared" si="152"/>
        <v/>
      </c>
      <c r="RB26" s="40">
        <f t="shared" si="153"/>
        <v>3.95</v>
      </c>
      <c r="RC26" s="40">
        <f t="shared" si="154"/>
        <v>22.25</v>
      </c>
      <c r="RD26" s="40">
        <f t="shared" si="155"/>
        <v>2.95</v>
      </c>
      <c r="RE26" s="40">
        <f t="shared" si="156"/>
        <v>20.2</v>
      </c>
      <c r="RF26" s="40">
        <f t="shared" si="157"/>
        <v>42.45</v>
      </c>
    </row>
    <row r="27" spans="1:474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162</v>
      </c>
      <c r="D27" s="4" t="s">
        <v>31</v>
      </c>
      <c r="E27" s="4">
        <v>2005</v>
      </c>
      <c r="F27" s="9">
        <f t="shared" si="0"/>
        <v>77.900006690003423</v>
      </c>
      <c r="G27" s="64"/>
      <c r="H27" s="3" t="str">
        <f>IF(OR(AND(AP27&gt;=AW$39,AQ27&gt;=AW$43,AP27&lt;&gt;"",AO27=""),AND(AU27&gt;=AW$39,AV27&gt;=AW$43,AU27&lt;&gt;"",AO27=""),AND(BS27&gt;=BZ$39,BT27&gt;=BZ$43,BS27&lt;&gt;"",BR27=""),AND(BX27&gt;=BZ$39,BY27&gt;=BZ$43,BX27&lt;&gt;"",BR27=""),AND(CV27&gt;=DC$39,CW27&gt;=DC$43,CV27&lt;&gt;"",CU27=""),AND(DA27&gt;=DC$39,DB27&gt;=DC$43,DA27&lt;&gt;""),AND(DZ27&gt;=EG$39,EA27&gt;=EG$43,DZ27&lt;&gt;""),AND(EE27&gt;=EG$39,EF27&gt;=EG$43,EE27&lt;&gt;""),AND(FB27&gt;=FI$39,FC27&gt;=FI$43,FB27&lt;&gt;""),AND(FG27&gt;=FI$39,FH27&gt;=FI$43,FG27&lt;&gt;""),AND(GD27&gt;=GK$39,GE27&gt;=GK$43,GD27&lt;&gt;""),AND(GI27&gt;=GK$39,GJ27&gt;=GK$43,GI27&lt;&gt;""),AND(HF27&gt;=HM$39,HG27&gt;=HM$43,HF27&lt;&gt;""),AND(HK27&gt;=HM$39,HL27&gt;=HM$43,HK27&lt;&gt;""),AND(IH27&gt;=IO$39,II27&gt;=IO$43,IH27&lt;&gt;""),AND(IM27&gt;=IO$39,IN27&gt;=IO$43,IM27&lt;&gt;""),AND(JJ27&gt;=JQ$39,JK27&gt;=JQ$43,JJ27&lt;&gt;""),AND(JO27&gt;=JQ$39,JP27&gt;=JQ$43,JO27&lt;&gt;""),AND(KL27&gt;=KS$39,KM27&gt;=KS$43,KL27&lt;&gt;""),AND(KQ27&gt;=KS$39,KR27&gt;=KS$43,KQ27&lt;&gt;""),AND(LN27&gt;=LU$39,LO27&gt;=LU$43,LN27&lt;&gt;""),AND(LS27&gt;=LU$39,LT27&gt;=LU$43,LS27&lt;&gt;""),AND(MP27&gt;=MW$39,MQ27&gt;=MW$43,MP27&lt;&gt;""),AND(MU27&gt;=MW$39,MV27&gt;=MW$43,MU27&lt;&gt;""),AND(NR27&gt;=NY$39,NS27&gt;=NY$43,NR27&lt;&gt;""),AND(NW27&gt;=NY$39,NX27&gt;=NY$43,NW27&lt;&gt;""),AND(OT27&gt;=PA$39,OU27&gt;=PA$43,OT27&lt;&gt;""),AND(OY27&gt;=PA$39,OZ27&gt;=PA$43,OY27&lt;&gt;""),AND(PV27&gt;=QC$39,PW27&gt;=QC$43,PV27&lt;&gt;""),AND(QA27&gt;=QC$39,QB27&gt;=QC$43,QA27&lt;&gt;"")),"P","")</f>
        <v/>
      </c>
      <c r="I27" s="3" t="str">
        <f>IF(OR(AND(AQ27&gt;=AW$43,AQ27&lt;&gt;"",AO27=""),AND(AV27&gt;=AW$43,AV27&lt;&gt;"",AO27=""),AND(BT27&gt;=BZ$43,BT27&lt;&gt;"",BR27=""),AND(BY27&gt;=BZ$43,BY27&lt;&gt;"",BR27=""),AND(CW27&gt;=DC$43,CW27&lt;&gt;"",CU27=""),AND(DB27&gt;=DC$43,DB27&lt;&gt;"",CU27=""),AND(EA27&gt;=EG$43,EA27&lt;&gt;""),AND(EF27&gt;=EG$43,EF27&lt;&gt;""),AND(FC27&gt;=FI$43,FC27&lt;&gt;""),AND(FH27&gt;=FI$43,FH27&lt;&gt;""),AND(GE27&gt;=GK$43,GE27&lt;&gt;""),AND(GJ27&gt;=GK$43,GJ27&lt;&gt;""),AND(HG27&gt;=HM$43,HG27&lt;&gt;""),AND(HL27&gt;=HM$43,HL27&lt;&gt;""),AND(II27&gt;=IO$43,II27&lt;&gt;""),AND(IN27&gt;=IO$43,IN27&lt;&gt;""),AND(JK27&gt;=JQ$43,JK27&lt;&gt;""),AND(JP27&gt;=JQ$43,JP27&lt;&gt;""),AND(KM27&gt;=KS$43,KM27&lt;&gt;""),AND(KR27&gt;=KS$43,KR27&lt;&gt;""),AND(LO27&gt;=LU$43,LO27&lt;&gt;""),AND(LT27&gt;=LU$43,LT27&lt;&gt;""),AND(MQ27&gt;=MW$43,MQ27&lt;&gt;""),AND(MV27&gt;=MW$43,MV27&lt;&gt;""),AND(NS27&gt;=NY$43,NS27&lt;&gt;""),AND(NX27&gt;=NY$43,NX27&lt;&gt;""),AND(OU27&gt;=PA$43,OU27&lt;&gt;""),AND(OZ27&gt;=PA$43,OZ27&lt;&gt;""),AND(PW27&gt;=QC$43,PW27&lt;&gt;""),AND(QB27&gt;=QC$43,QB27&lt;&gt;"")),"P","")</f>
        <v/>
      </c>
      <c r="J27" s="36" t="str">
        <f>IF(AND(I27="P",H27=""),"No DD",IF(OR(AND(AS27&gt;=AW$42,AT27&gt;=AW$46,AS27&lt;&gt;"",AO27=""),AND(BV27&gt;=BZ$42,BW27&gt;=BZ$46,BV27&lt;&gt;"",BR27=""),AND(CY27&gt;=DC$42,CZ27&gt;=DC$46,CY27&lt;&gt;"",CU27=""),AND(EC27&gt;=EG$42,ED27&gt;=EG$46,EC27&lt;&gt;""),AND(FE27&gt;=FI$42,FF27&gt;=FI$46,FE27&lt;&gt;""),AND(GG27&gt;=GK$42,GH27&gt;=GK$46,GG27&lt;&gt;""),AND(HI27&gt;=HM$42,HJ27&gt;=HM$46,HI27&lt;&gt;""),AND(IK27&gt;=IO$42,IL27&gt;=IO$46,IK27&lt;&gt;""),AND(JM27&gt;=JQ$42,JN27&gt;=JQ$46,JM27&lt;&gt;""),AND(KO27&gt;=KS$42,KP27&gt;=KS$46,KO27&lt;&gt;""),AND(LQ27&gt;=LU$42,LR27&gt;=LU$46,LQ27&lt;&gt;""),AND(MS27&gt;=MW$42,MT27&gt;=MW$46,MS27&lt;&gt;""),AND(NU27&gt;=NY$42,NV27&gt;=NY$46,NU27&lt;&gt;""),AND(OW27&gt;=PA$42,OX27&gt;=PA$46,OW27&lt;&gt;""),AND(PY27&gt;=QC$42,PZ27&gt;=QC$46,PY27&lt;&gt;"")),"Merit",IF(OR(AND(AS27&gt;=AW$41,AT27&gt;=AW$45,AS27&lt;&gt;"",AO27=""),AND(BV27&gt;=BZ$41,BW27&gt;=BZ$45,BV27&lt;&gt;"",BR27=""),AND(CY27&gt;=DC$41,CZ27&gt;=DC$45,CY27&lt;&gt;"",CU27=""),AND(EC27&gt;=EG$41,ED27&gt;=EG$45,EC27&lt;&gt;""),AND(FE27&gt;=FI$41,FF27&gt;=FI$45,FE27&lt;&gt;""),AND(GG27&gt;=GK$41,GH27&gt;=GK$45,GG27&lt;&gt;""),AND(HI27&gt;=HM$41,HJ27&gt;=HM$45,HI27&lt;&gt;""),AND(IK27&gt;=IO$41,IL27&gt;=IO$45,IK27&lt;&gt;""),AND(JM27&gt;=JQ$41,JN27&gt;=JQ$45,JM27&lt;&gt;""),AND(KO27&gt;=KS$41,KP27&gt;=KS$45,KO27&lt;&gt;""),AND(LQ27&gt;=LU$41,LR27&gt;=LU$45,LQ27&lt;&gt;""),AND(MS27&gt;=MW$41,MT27&gt;=MW$45,MS27&lt;&gt;""),AND(NU27&gt;=NY$41,NV27&gt;=NY$45,NU27&lt;&gt;""),AND(OW27&gt;=PA$41,OX27&gt;=PA$45,OW27&lt;&gt;""),AND(PY27&gt;=QC$41,PZ27&gt;=QC$45,PY27&lt;&gt;"")),"Excellence",IF(K27="P","Worlds Team",IF(H27="P","National Team","")))))</f>
        <v/>
      </c>
      <c r="K27" s="3" t="str">
        <f>IF(OR(AND(AS27&gt;=AW$40,AT27&gt;=AW$44,AS27&lt;&gt;"",AO27=""),AND(BV27&gt;=BZ$40,BW27&gt;=BZ$44,BV27&lt;&gt;"",BR27=""),AND(CY27&gt;=DC$40,CZ27&gt;=DC$44,CY27&lt;&gt;"",CU27=""),AND(EC27&gt;=EG$40,ED27&gt;=EG$44,EC27&lt;&gt;""),AND(FE27&gt;=FI$40,FF27&gt;=FI$44,FE27&lt;&gt;""),AND(GG27&gt;=GK$40,GH27&gt;=GK$44,GG27&lt;&gt;""),AND(HI27&gt;=HM$40,HJ27&gt;=HM$44,HI27&lt;&gt;""),AND(IK27&gt;=IO$40,IL27&gt;=IO$44,IK27&lt;&gt;""),AND(JM27&gt;=JQ$40,JN27&gt;=JQ$44,JM27&lt;&gt;""),AND(KO27&gt;=KS$40,KP27&gt;=KS$44,KO27&lt;&gt;""),AND(LQ27&gt;=LU$40,LR27&gt;=LU$44,LQ27&lt;&gt;""),AND(MS27&gt;=MW$40,MT27&gt;=MW$44,MS27&lt;&gt;""),AND(NU27&gt;=NY$40,NV27&gt;=NY$44,NU27&lt;&gt;""),AND(OW27&gt;=PA$40,OX27&gt;=PA$44,OW27&lt;&gt;""),AND(PY27&gt;=QC$40,PZ27&gt;=QC$44,PY27&lt;&gt;"")),"P","")</f>
        <v/>
      </c>
      <c r="L27" s="8">
        <f>IF(COUNT(AQ27,BT27,CW27)&gt;0,LARGE((AQ27,BT27,CW27),1),0)</f>
        <v>34.1</v>
      </c>
      <c r="M27" s="8" t="str">
        <f t="shared" si="1"/>
        <v>2025 Nationals</v>
      </c>
      <c r="N27" s="8">
        <f>IF(COUNT(AQ27,BT27,CW27)&gt;1,LARGE((AQ27,BT27,CW27),2),0)</f>
        <v>32.800000000000004</v>
      </c>
      <c r="O27" s="8" t="str">
        <f t="shared" si="2"/>
        <v>2025 Elite Canada</v>
      </c>
      <c r="P27" s="8">
        <f t="shared" si="3"/>
        <v>0</v>
      </c>
      <c r="Q27" s="8" t="str">
        <f t="shared" si="4"/>
        <v/>
      </c>
      <c r="R27" s="8">
        <f t="shared" si="5"/>
        <v>10.999999999999993</v>
      </c>
      <c r="S27" s="11" t="str">
        <f t="shared" si="6"/>
        <v>(Q1)</v>
      </c>
      <c r="T27" s="8" t="str">
        <f t="shared" si="7"/>
        <v>2024 Coimbra Gym Fest (July 7)</v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8"/>
        <v/>
      </c>
      <c r="AQ27" s="40" t="str">
        <f t="shared" si="9"/>
        <v/>
      </c>
      <c r="AR27" s="40" t="str">
        <f t="shared" si="10"/>
        <v/>
      </c>
      <c r="AS27" s="40" t="str">
        <f t="shared" si="11"/>
        <v/>
      </c>
      <c r="AT27" s="40" t="str">
        <f t="shared" si="12"/>
        <v/>
      </c>
      <c r="AU27" s="40" t="str">
        <f t="shared" si="13"/>
        <v/>
      </c>
      <c r="AV27" s="40" t="str">
        <f t="shared" si="14"/>
        <v/>
      </c>
      <c r="AW27" s="40" t="str">
        <f t="shared" si="15"/>
        <v/>
      </c>
      <c r="AX27" s="18">
        <v>15.6</v>
      </c>
      <c r="AY27" s="18">
        <v>1.2</v>
      </c>
      <c r="AZ27" s="18">
        <v>0</v>
      </c>
      <c r="BA27" s="18">
        <v>0</v>
      </c>
      <c r="BB27" s="18">
        <v>15.3</v>
      </c>
      <c r="BC27" s="18">
        <v>0.7</v>
      </c>
      <c r="BD27" s="18">
        <v>0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 t="shared" si="16"/>
        <v>1.9</v>
      </c>
      <c r="BT27" s="11">
        <f t="shared" si="17"/>
        <v>32.800000000000004</v>
      </c>
      <c r="BU27" s="11" t="str">
        <f t="shared" si="18"/>
        <v/>
      </c>
      <c r="BV27" s="11">
        <f t="shared" si="19"/>
        <v>1.9</v>
      </c>
      <c r="BW27" s="11">
        <f t="shared" si="20"/>
        <v>32.800000000000004</v>
      </c>
      <c r="BX27" s="11" t="str">
        <f t="shared" si="21"/>
        <v/>
      </c>
      <c r="BY27" s="11" t="str">
        <f t="shared" si="22"/>
        <v/>
      </c>
      <c r="BZ27" s="11">
        <f t="shared" si="23"/>
        <v>32.800000000000004</v>
      </c>
      <c r="CA27" s="19">
        <v>15.5</v>
      </c>
      <c r="CB27" s="19">
        <v>1.2</v>
      </c>
      <c r="CC27" s="19">
        <v>0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 t="shared" si="24"/>
        <v>3.5999999999999996</v>
      </c>
      <c r="CW27" s="40">
        <f t="shared" si="25"/>
        <v>34.1</v>
      </c>
      <c r="CX27" s="40" t="str">
        <f t="shared" si="26"/>
        <v/>
      </c>
      <c r="CY27" s="40">
        <f t="shared" si="27"/>
        <v>3.5999999999999996</v>
      </c>
      <c r="CZ27" s="40">
        <f t="shared" si="28"/>
        <v>34.1</v>
      </c>
      <c r="DA27" s="40" t="str">
        <f t="shared" si="29"/>
        <v/>
      </c>
      <c r="DB27" s="40" t="str">
        <f t="shared" si="30"/>
        <v/>
      </c>
      <c r="DC27" s="40">
        <f t="shared" si="31"/>
        <v>34.1</v>
      </c>
      <c r="DD27" s="50">
        <f t="shared" si="32"/>
        <v>10.999999999999993</v>
      </c>
      <c r="DE27" s="50" t="str">
        <f t="shared" si="33"/>
        <v/>
      </c>
      <c r="DF27" s="17">
        <v>19</v>
      </c>
      <c r="DG27" s="17">
        <v>3.5</v>
      </c>
      <c r="DH27" s="17">
        <v>0</v>
      </c>
      <c r="DI27" s="17">
        <v>0</v>
      </c>
      <c r="DJ27" s="17">
        <v>18.399999999999999</v>
      </c>
      <c r="DK27" s="17">
        <v>3.1</v>
      </c>
      <c r="DL27" s="17">
        <v>0.2</v>
      </c>
      <c r="DM27" s="17">
        <v>0</v>
      </c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>
        <f t="shared" si="34"/>
        <v>6.6</v>
      </c>
      <c r="EA27" s="40">
        <f t="shared" si="35"/>
        <v>43.8</v>
      </c>
      <c r="EB27" s="40" t="str">
        <f t="shared" si="36"/>
        <v/>
      </c>
      <c r="EC27" s="40">
        <f t="shared" si="37"/>
        <v>6.6</v>
      </c>
      <c r="ED27" s="40">
        <f t="shared" si="38"/>
        <v>43.8</v>
      </c>
      <c r="EE27" s="40" t="str">
        <f t="shared" si="39"/>
        <v/>
      </c>
      <c r="EF27" s="40" t="str">
        <f t="shared" si="40"/>
        <v/>
      </c>
      <c r="EG27" s="40">
        <f t="shared" si="41"/>
        <v>43.8</v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2"/>
        <v/>
      </c>
      <c r="FC27" s="11" t="str">
        <f t="shared" si="43"/>
        <v/>
      </c>
      <c r="FD27" s="11" t="str">
        <f t="shared" si="44"/>
        <v/>
      </c>
      <c r="FE27" s="11" t="str">
        <f t="shared" si="45"/>
        <v/>
      </c>
      <c r="FF27" s="11" t="str">
        <f t="shared" si="46"/>
        <v/>
      </c>
      <c r="FG27" s="11" t="str">
        <f t="shared" si="47"/>
        <v/>
      </c>
      <c r="FH27" s="11" t="str">
        <f t="shared" si="48"/>
        <v/>
      </c>
      <c r="FI27" s="11" t="str">
        <f t="shared" si="49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0"/>
        <v/>
      </c>
      <c r="GE27" s="40" t="str">
        <f t="shared" si="51"/>
        <v/>
      </c>
      <c r="GF27" s="40" t="str">
        <f t="shared" si="52"/>
        <v/>
      </c>
      <c r="GG27" s="40" t="str">
        <f t="shared" si="53"/>
        <v/>
      </c>
      <c r="GH27" s="40" t="str">
        <f t="shared" si="54"/>
        <v/>
      </c>
      <c r="GI27" s="40" t="str">
        <f t="shared" si="55"/>
        <v/>
      </c>
      <c r="GJ27" s="40" t="str">
        <f t="shared" si="56"/>
        <v/>
      </c>
      <c r="GK27" s="40" t="str">
        <f t="shared" si="57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58"/>
        <v/>
      </c>
      <c r="HG27" s="11" t="str">
        <f t="shared" si="59"/>
        <v/>
      </c>
      <c r="HH27" s="11" t="str">
        <f t="shared" si="60"/>
        <v/>
      </c>
      <c r="HI27" s="11" t="str">
        <f t="shared" si="61"/>
        <v/>
      </c>
      <c r="HJ27" s="11" t="str">
        <f t="shared" si="62"/>
        <v/>
      </c>
      <c r="HK27" s="11" t="str">
        <f t="shared" si="63"/>
        <v/>
      </c>
      <c r="HL27" s="11" t="str">
        <f t="shared" si="64"/>
        <v/>
      </c>
      <c r="HM27" s="11" t="str">
        <f t="shared" si="65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66"/>
        <v/>
      </c>
      <c r="II27" s="40" t="str">
        <f t="shared" si="67"/>
        <v/>
      </c>
      <c r="IJ27" s="40" t="str">
        <f t="shared" si="68"/>
        <v/>
      </c>
      <c r="IK27" s="40" t="str">
        <f t="shared" si="69"/>
        <v/>
      </c>
      <c r="IL27" s="40" t="str">
        <f t="shared" si="70"/>
        <v/>
      </c>
      <c r="IM27" s="40" t="str">
        <f t="shared" si="71"/>
        <v/>
      </c>
      <c r="IN27" s="40" t="str">
        <f t="shared" si="72"/>
        <v/>
      </c>
      <c r="IO27" s="40" t="str">
        <f t="shared" si="73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4"/>
        <v/>
      </c>
      <c r="JK27" s="11" t="str">
        <f t="shared" si="75"/>
        <v/>
      </c>
      <c r="JL27" s="11" t="str">
        <f t="shared" si="76"/>
        <v/>
      </c>
      <c r="JM27" s="11" t="str">
        <f t="shared" si="77"/>
        <v/>
      </c>
      <c r="JN27" s="11" t="str">
        <f t="shared" si="78"/>
        <v/>
      </c>
      <c r="JO27" s="11" t="str">
        <f t="shared" si="79"/>
        <v/>
      </c>
      <c r="JP27" s="11" t="str">
        <f t="shared" si="80"/>
        <v/>
      </c>
      <c r="JQ27" s="11" t="str">
        <f t="shared" si="81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2"/>
        <v/>
      </c>
      <c r="KM27" s="40" t="str">
        <f t="shared" si="83"/>
        <v/>
      </c>
      <c r="KN27" s="40" t="str">
        <f t="shared" si="84"/>
        <v/>
      </c>
      <c r="KO27" s="40" t="str">
        <f t="shared" si="85"/>
        <v/>
      </c>
      <c r="KP27" s="40" t="str">
        <f t="shared" si="86"/>
        <v/>
      </c>
      <c r="KQ27" s="40" t="str">
        <f t="shared" si="87"/>
        <v/>
      </c>
      <c r="KR27" s="40" t="str">
        <f t="shared" si="88"/>
        <v/>
      </c>
      <c r="KS27" s="40" t="str">
        <f t="shared" si="89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0"/>
        <v/>
      </c>
      <c r="LO27" s="11" t="str">
        <f t="shared" si="91"/>
        <v/>
      </c>
      <c r="LP27" s="11" t="str">
        <f t="shared" si="92"/>
        <v/>
      </c>
      <c r="LQ27" s="11" t="str">
        <f t="shared" si="93"/>
        <v/>
      </c>
      <c r="LR27" s="11" t="str">
        <f t="shared" si="94"/>
        <v/>
      </c>
      <c r="LS27" s="11" t="str">
        <f t="shared" si="95"/>
        <v/>
      </c>
      <c r="LT27" s="11" t="str">
        <f t="shared" si="96"/>
        <v/>
      </c>
      <c r="LU27" s="11" t="str">
        <f t="shared" si="97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98"/>
        <v/>
      </c>
      <c r="MQ27" s="40" t="str">
        <f t="shared" si="99"/>
        <v/>
      </c>
      <c r="MR27" s="40" t="str">
        <f t="shared" si="100"/>
        <v/>
      </c>
      <c r="MS27" s="40" t="str">
        <f t="shared" si="101"/>
        <v/>
      </c>
      <c r="MT27" s="40" t="str">
        <f t="shared" si="102"/>
        <v/>
      </c>
      <c r="MU27" s="40" t="str">
        <f t="shared" si="103"/>
        <v/>
      </c>
      <c r="MV27" s="40" t="str">
        <f t="shared" si="104"/>
        <v/>
      </c>
      <c r="MW27" s="40" t="str">
        <f t="shared" si="105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06"/>
        <v/>
      </c>
      <c r="NS27" s="11" t="str">
        <f t="shared" si="107"/>
        <v/>
      </c>
      <c r="NT27" s="11" t="str">
        <f t="shared" si="108"/>
        <v/>
      </c>
      <c r="NU27" s="11" t="str">
        <f t="shared" si="109"/>
        <v/>
      </c>
      <c r="NV27" s="11" t="str">
        <f t="shared" si="110"/>
        <v/>
      </c>
      <c r="NW27" s="11" t="str">
        <f t="shared" si="111"/>
        <v/>
      </c>
      <c r="NX27" s="11" t="str">
        <f t="shared" si="112"/>
        <v/>
      </c>
      <c r="NY27" s="11" t="str">
        <f t="shared" si="113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4"/>
        <v/>
      </c>
      <c r="OU27" s="40" t="str">
        <f t="shared" si="115"/>
        <v/>
      </c>
      <c r="OV27" s="40" t="str">
        <f t="shared" si="116"/>
        <v/>
      </c>
      <c r="OW27" s="40" t="str">
        <f t="shared" si="117"/>
        <v/>
      </c>
      <c r="OX27" s="40" t="str">
        <f t="shared" si="118"/>
        <v/>
      </c>
      <c r="OY27" s="40" t="str">
        <f t="shared" si="119"/>
        <v/>
      </c>
      <c r="OZ27" s="40" t="str">
        <f t="shared" si="120"/>
        <v/>
      </c>
      <c r="PA27" s="40" t="str">
        <f t="shared" si="121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2"/>
        <v/>
      </c>
      <c r="PW27" s="11" t="str">
        <f t="shared" si="123"/>
        <v/>
      </c>
      <c r="PX27" s="11" t="str">
        <f t="shared" si="124"/>
        <v/>
      </c>
      <c r="PY27" s="11" t="str">
        <f t="shared" si="125"/>
        <v/>
      </c>
      <c r="PZ27" s="11" t="str">
        <f t="shared" si="126"/>
        <v/>
      </c>
      <c r="QA27" s="11" t="str">
        <f t="shared" si="127"/>
        <v/>
      </c>
      <c r="QB27" s="11" t="str">
        <f t="shared" si="128"/>
        <v/>
      </c>
      <c r="QC27" s="11" t="str">
        <f t="shared" si="129"/>
        <v/>
      </c>
      <c r="QD27" s="22">
        <f t="shared" si="130"/>
        <v>15.55</v>
      </c>
      <c r="QE27" s="22">
        <f t="shared" si="131"/>
        <v>1.2</v>
      </c>
      <c r="QF27" s="22">
        <f t="shared" si="132"/>
        <v>0</v>
      </c>
      <c r="QG27" s="22">
        <f t="shared" si="133"/>
        <v>0</v>
      </c>
      <c r="QH27" s="22">
        <f t="shared" si="134"/>
        <v>15.15</v>
      </c>
      <c r="QI27" s="22">
        <f t="shared" si="135"/>
        <v>1.5499999999999998</v>
      </c>
      <c r="QJ27" s="22">
        <f t="shared" si="136"/>
        <v>0</v>
      </c>
      <c r="QK27" s="22">
        <f t="shared" si="137"/>
        <v>0</v>
      </c>
      <c r="QL27" s="22">
        <f t="shared" si="138"/>
        <v>0</v>
      </c>
      <c r="QM27" s="22">
        <f t="shared" si="139"/>
        <v>0</v>
      </c>
      <c r="QN27" s="22">
        <f t="shared" si="140"/>
        <v>0</v>
      </c>
      <c r="QO27" s="22">
        <f t="shared" si="141"/>
        <v>0</v>
      </c>
      <c r="QP27" s="22">
        <f t="shared" si="142"/>
        <v>0</v>
      </c>
      <c r="QQ27" s="22">
        <f t="shared" si="143"/>
        <v>0</v>
      </c>
      <c r="QR27" s="22">
        <f t="shared" si="144"/>
        <v>0</v>
      </c>
      <c r="QS27" s="22">
        <f t="shared" si="145"/>
        <v>0</v>
      </c>
      <c r="QT27" s="22">
        <f t="shared" si="146"/>
        <v>0</v>
      </c>
      <c r="QU27" s="22">
        <f t="shared" si="147"/>
        <v>0</v>
      </c>
      <c r="QV27" s="22">
        <f t="shared" si="148"/>
        <v>0</v>
      </c>
      <c r="QW27" s="22">
        <f t="shared" si="149"/>
        <v>0</v>
      </c>
      <c r="QX27" s="27" t="s">
        <v>46</v>
      </c>
      <c r="QY27" s="40">
        <f t="shared" si="150"/>
        <v>2.75</v>
      </c>
      <c r="QZ27" s="40">
        <f t="shared" si="151"/>
        <v>33.449999999999996</v>
      </c>
      <c r="RA27" s="40" t="str">
        <f t="shared" si="152"/>
        <v/>
      </c>
      <c r="RB27" s="40">
        <f t="shared" si="153"/>
        <v>2.75</v>
      </c>
      <c r="RC27" s="40">
        <f t="shared" si="154"/>
        <v>33.449999999999996</v>
      </c>
      <c r="RD27" s="40" t="str">
        <f t="shared" si="155"/>
        <v/>
      </c>
      <c r="RE27" s="40" t="str">
        <f t="shared" si="156"/>
        <v/>
      </c>
      <c r="RF27" s="40">
        <f t="shared" si="157"/>
        <v>33.449999999999996</v>
      </c>
    </row>
    <row r="28" spans="1:474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108</v>
      </c>
      <c r="D28" s="4" t="s">
        <v>31</v>
      </c>
      <c r="E28" s="4">
        <v>2006</v>
      </c>
      <c r="F28" s="9">
        <f t="shared" si="0"/>
        <v>76.700007670004354</v>
      </c>
      <c r="G28" s="64"/>
      <c r="H28" s="3" t="str">
        <f>IF(OR(AND(AP28&gt;=AW$39,AQ28&gt;=AW$43,AP28&lt;&gt;"",AO28=""),AND(AU28&gt;=AW$39,AV28&gt;=AW$43,AU28&lt;&gt;"",AO28=""),AND(BS28&gt;=BZ$39,BT28&gt;=BZ$43,BS28&lt;&gt;"",BR28=""),AND(BX28&gt;=BZ$39,BY28&gt;=BZ$43,BX28&lt;&gt;"",BR28=""),AND(CV28&gt;=DC$39,CW28&gt;=DC$43,CV28&lt;&gt;"",CU28=""),AND(DA28&gt;=DC$39,DB28&gt;=DC$43,DA28&lt;&gt;""),AND(DZ28&gt;=EG$39,EA28&gt;=EG$43,DZ28&lt;&gt;""),AND(EE28&gt;=EG$39,EF28&gt;=EG$43,EE28&lt;&gt;""),AND(FB28&gt;=FI$39,FC28&gt;=FI$43,FB28&lt;&gt;""),AND(FG28&gt;=FI$39,FH28&gt;=FI$43,FG28&lt;&gt;""),AND(GD28&gt;=GK$39,GE28&gt;=GK$43,GD28&lt;&gt;""),AND(GI28&gt;=GK$39,GJ28&gt;=GK$43,GI28&lt;&gt;""),AND(HF28&gt;=HM$39,HG28&gt;=HM$43,HF28&lt;&gt;""),AND(HK28&gt;=HM$39,HL28&gt;=HM$43,HK28&lt;&gt;""),AND(IH28&gt;=IO$39,II28&gt;=IO$43,IH28&lt;&gt;""),AND(IM28&gt;=IO$39,IN28&gt;=IO$43,IM28&lt;&gt;""),AND(JJ28&gt;=JQ$39,JK28&gt;=JQ$43,JJ28&lt;&gt;""),AND(JO28&gt;=JQ$39,JP28&gt;=JQ$43,JO28&lt;&gt;""),AND(KL28&gt;=KS$39,KM28&gt;=KS$43,KL28&lt;&gt;""),AND(KQ28&gt;=KS$39,KR28&gt;=KS$43,KQ28&lt;&gt;""),AND(LN28&gt;=LU$39,LO28&gt;=LU$43,LN28&lt;&gt;""),AND(LS28&gt;=LU$39,LT28&gt;=LU$43,LS28&lt;&gt;""),AND(MP28&gt;=MW$39,MQ28&gt;=MW$43,MP28&lt;&gt;""),AND(MU28&gt;=MW$39,MV28&gt;=MW$43,MU28&lt;&gt;""),AND(NR28&gt;=NY$39,NS28&gt;=NY$43,NR28&lt;&gt;""),AND(NW28&gt;=NY$39,NX28&gt;=NY$43,NW28&lt;&gt;""),AND(OT28&gt;=PA$39,OU28&gt;=PA$43,OT28&lt;&gt;""),AND(OY28&gt;=PA$39,OZ28&gt;=PA$43,OY28&lt;&gt;""),AND(PV28&gt;=QC$39,PW28&gt;=QC$43,PV28&lt;&gt;""),AND(QA28&gt;=QC$39,QB28&gt;=QC$43,QA28&lt;&gt;"")),"P","")</f>
        <v/>
      </c>
      <c r="I28" s="3" t="str">
        <f>IF(OR(AND(AQ28&gt;=AW$43,AQ28&lt;&gt;"",AO28=""),AND(AV28&gt;=AW$43,AV28&lt;&gt;"",AO28=""),AND(BT28&gt;=BZ$43,BT28&lt;&gt;"",BR28=""),AND(BY28&gt;=BZ$43,BY28&lt;&gt;"",BR28=""),AND(CW28&gt;=DC$43,CW28&lt;&gt;"",CU28=""),AND(DB28&gt;=DC$43,DB28&lt;&gt;"",CU28=""),AND(EA28&gt;=EG$43,EA28&lt;&gt;""),AND(EF28&gt;=EG$43,EF28&lt;&gt;""),AND(FC28&gt;=FI$43,FC28&lt;&gt;""),AND(FH28&gt;=FI$43,FH28&lt;&gt;""),AND(GE28&gt;=GK$43,GE28&lt;&gt;""),AND(GJ28&gt;=GK$43,GJ28&lt;&gt;""),AND(HG28&gt;=HM$43,HG28&lt;&gt;""),AND(HL28&gt;=HM$43,HL28&lt;&gt;""),AND(II28&gt;=IO$43,II28&lt;&gt;""),AND(IN28&gt;=IO$43,IN28&lt;&gt;""),AND(JK28&gt;=JQ$43,JK28&lt;&gt;""),AND(JP28&gt;=JQ$43,JP28&lt;&gt;""),AND(KM28&gt;=KS$43,KM28&lt;&gt;""),AND(KR28&gt;=KS$43,KR28&lt;&gt;""),AND(LO28&gt;=LU$43,LO28&lt;&gt;""),AND(LT28&gt;=LU$43,LT28&lt;&gt;""),AND(MQ28&gt;=MW$43,MQ28&lt;&gt;""),AND(MV28&gt;=MW$43,MV28&lt;&gt;""),AND(NS28&gt;=NY$43,NS28&lt;&gt;""),AND(NX28&gt;=NY$43,NX28&lt;&gt;""),AND(OU28&gt;=PA$43,OU28&lt;&gt;""),AND(OZ28&gt;=PA$43,OZ28&lt;&gt;""),AND(PW28&gt;=QC$43,PW28&lt;&gt;""),AND(QB28&gt;=QC$43,QB28&lt;&gt;"")),"P","")</f>
        <v/>
      </c>
      <c r="J28" s="36" t="str">
        <f>IF(AND(I28="P",H28=""),"No DD",IF(OR(AND(AS28&gt;=AW$42,AT28&gt;=AW$46,AS28&lt;&gt;"",AO28=""),AND(BV28&gt;=BZ$42,BW28&gt;=BZ$46,BV28&lt;&gt;"",BR28=""),AND(CY28&gt;=DC$42,CZ28&gt;=DC$46,CY28&lt;&gt;"",CU28=""),AND(EC28&gt;=EG$42,ED28&gt;=EG$46,EC28&lt;&gt;""),AND(FE28&gt;=FI$42,FF28&gt;=FI$46,FE28&lt;&gt;""),AND(GG28&gt;=GK$42,GH28&gt;=GK$46,GG28&lt;&gt;""),AND(HI28&gt;=HM$42,HJ28&gt;=HM$46,HI28&lt;&gt;""),AND(IK28&gt;=IO$42,IL28&gt;=IO$46,IK28&lt;&gt;""),AND(JM28&gt;=JQ$42,JN28&gt;=JQ$46,JM28&lt;&gt;""),AND(KO28&gt;=KS$42,KP28&gt;=KS$46,KO28&lt;&gt;""),AND(LQ28&gt;=LU$42,LR28&gt;=LU$46,LQ28&lt;&gt;""),AND(MS28&gt;=MW$42,MT28&gt;=MW$46,MS28&lt;&gt;""),AND(NU28&gt;=NY$42,NV28&gt;=NY$46,NU28&lt;&gt;""),AND(OW28&gt;=PA$42,OX28&gt;=PA$46,OW28&lt;&gt;""),AND(PY28&gt;=QC$42,PZ28&gt;=QC$46,PY28&lt;&gt;"")),"Merit",IF(OR(AND(AS28&gt;=AW$41,AT28&gt;=AW$45,AS28&lt;&gt;"",AO28=""),AND(BV28&gt;=BZ$41,BW28&gt;=BZ$45,BV28&lt;&gt;"",BR28=""),AND(CY28&gt;=DC$41,CZ28&gt;=DC$45,CY28&lt;&gt;"",CU28=""),AND(EC28&gt;=EG$41,ED28&gt;=EG$45,EC28&lt;&gt;""),AND(FE28&gt;=FI$41,FF28&gt;=FI$45,FE28&lt;&gt;""),AND(GG28&gt;=GK$41,GH28&gt;=GK$45,GG28&lt;&gt;""),AND(HI28&gt;=HM$41,HJ28&gt;=HM$45,HI28&lt;&gt;""),AND(IK28&gt;=IO$41,IL28&gt;=IO$45,IK28&lt;&gt;""),AND(JM28&gt;=JQ$41,JN28&gt;=JQ$45,JM28&lt;&gt;""),AND(KO28&gt;=KS$41,KP28&gt;=KS$45,KO28&lt;&gt;""),AND(LQ28&gt;=LU$41,LR28&gt;=LU$45,LQ28&lt;&gt;""),AND(MS28&gt;=MW$41,MT28&gt;=MW$45,MS28&lt;&gt;""),AND(NU28&gt;=NY$41,NV28&gt;=NY$45,NU28&lt;&gt;""),AND(OW28&gt;=PA$41,OX28&gt;=PA$45,OW28&lt;&gt;""),AND(PY28&gt;=QC$41,PZ28&gt;=QC$45,PY28&lt;&gt;"")),"Excellence",IF(K28="P","Worlds Team",IF(H28="P","National Team","")))))</f>
        <v/>
      </c>
      <c r="K28" s="3" t="str">
        <f>IF(OR(AND(AS28&gt;=AW$40,AT28&gt;=AW$44,AS28&lt;&gt;"",AO28=""),AND(BV28&gt;=BZ$40,BW28&gt;=BZ$44,BV28&lt;&gt;"",BR28=""),AND(CY28&gt;=DC$40,CZ28&gt;=DC$44,CY28&lt;&gt;"",CU28=""),AND(EC28&gt;=EG$40,ED28&gt;=EG$44,EC28&lt;&gt;""),AND(FE28&gt;=FI$40,FF28&gt;=FI$44,FE28&lt;&gt;""),AND(GG28&gt;=GK$40,GH28&gt;=GK$44,GG28&lt;&gt;""),AND(HI28&gt;=HM$40,HJ28&gt;=HM$44,HI28&lt;&gt;""),AND(IK28&gt;=IO$40,IL28&gt;=IO$44,IK28&lt;&gt;""),AND(JM28&gt;=JQ$40,JN28&gt;=JQ$44,JM28&lt;&gt;""),AND(KO28&gt;=KS$40,KP28&gt;=KS$44,KO28&lt;&gt;""),AND(LQ28&gt;=LU$40,LR28&gt;=LU$44,LQ28&lt;&gt;""),AND(MS28&gt;=MW$40,MT28&gt;=MW$44,MS28&lt;&gt;""),AND(NU28&gt;=NY$40,NV28&gt;=NY$44,NU28&lt;&gt;""),AND(OW28&gt;=PA$40,OX28&gt;=PA$44,OW28&lt;&gt;""),AND(PY28&gt;=QC$40,PZ28&gt;=QC$44,PY28&lt;&gt;"")),"P","")</f>
        <v/>
      </c>
      <c r="L28" s="8">
        <f>IF(COUNT(AQ28,BT28,CW28)&gt;0,LARGE((AQ28,BT28,CW28),1),0)</f>
        <v>43.599999999999994</v>
      </c>
      <c r="M28" s="8" t="str">
        <f t="shared" si="1"/>
        <v>2025 Nationals</v>
      </c>
      <c r="N28" s="8">
        <f>IF(COUNT(AQ28,BT28,CW28)&gt;1,LARGE((AQ28,BT28,CW28),2),0)</f>
        <v>33.1</v>
      </c>
      <c r="O28" s="8" t="str">
        <f t="shared" si="2"/>
        <v>2025 Elite Canada</v>
      </c>
      <c r="P28" s="8">
        <f t="shared" si="3"/>
        <v>0</v>
      </c>
      <c r="Q28" s="8" t="str">
        <f t="shared" si="4"/>
        <v/>
      </c>
      <c r="R28" s="8" t="str">
        <f t="shared" si="5"/>
        <v/>
      </c>
      <c r="S28" s="11" t="str">
        <f t="shared" si="6"/>
        <v/>
      </c>
      <c r="T28" s="8" t="str">
        <f t="shared" si="7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8"/>
        <v/>
      </c>
      <c r="AQ28" s="40" t="str">
        <f t="shared" si="9"/>
        <v/>
      </c>
      <c r="AR28" s="40" t="str">
        <f t="shared" si="10"/>
        <v/>
      </c>
      <c r="AS28" s="40" t="str">
        <f t="shared" si="11"/>
        <v/>
      </c>
      <c r="AT28" s="40" t="str">
        <f t="shared" si="12"/>
        <v/>
      </c>
      <c r="AU28" s="40" t="str">
        <f t="shared" si="13"/>
        <v/>
      </c>
      <c r="AV28" s="40" t="str">
        <f t="shared" si="14"/>
        <v/>
      </c>
      <c r="AW28" s="40" t="str">
        <f t="shared" si="15"/>
        <v/>
      </c>
      <c r="AX28" s="18">
        <v>15.6</v>
      </c>
      <c r="AY28" s="18">
        <v>1.2</v>
      </c>
      <c r="AZ28" s="18">
        <v>0</v>
      </c>
      <c r="BA28" s="18">
        <v>0</v>
      </c>
      <c r="BB28" s="18">
        <v>15.4</v>
      </c>
      <c r="BC28" s="18">
        <v>0.9</v>
      </c>
      <c r="BD28" s="18">
        <v>0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 t="shared" si="16"/>
        <v>2.1</v>
      </c>
      <c r="BT28" s="11">
        <f t="shared" si="17"/>
        <v>33.1</v>
      </c>
      <c r="BU28" s="11" t="str">
        <f t="shared" si="18"/>
        <v/>
      </c>
      <c r="BV28" s="11">
        <f t="shared" si="19"/>
        <v>2.1</v>
      </c>
      <c r="BW28" s="11">
        <f t="shared" si="20"/>
        <v>33.1</v>
      </c>
      <c r="BX28" s="11" t="str">
        <f t="shared" si="21"/>
        <v/>
      </c>
      <c r="BY28" s="11" t="str">
        <f t="shared" si="22"/>
        <v/>
      </c>
      <c r="BZ28" s="11">
        <f t="shared" si="23"/>
        <v>33.1</v>
      </c>
      <c r="CA28" s="19">
        <v>18.600000000000001</v>
      </c>
      <c r="CB28" s="19">
        <v>3.6</v>
      </c>
      <c r="CC28" s="19">
        <v>0.2</v>
      </c>
      <c r="CD28" s="19">
        <v>0</v>
      </c>
      <c r="CE28" s="19">
        <v>18.3</v>
      </c>
      <c r="CF28" s="19">
        <v>3.9</v>
      </c>
      <c r="CG28" s="19">
        <v>0.6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 t="shared" si="24"/>
        <v>7.5</v>
      </c>
      <c r="CW28" s="40">
        <f t="shared" si="25"/>
        <v>43.599999999999994</v>
      </c>
      <c r="CX28" s="40" t="str">
        <f t="shared" si="26"/>
        <v/>
      </c>
      <c r="CY28" s="40">
        <f t="shared" si="27"/>
        <v>7.5</v>
      </c>
      <c r="CZ28" s="40">
        <f t="shared" si="28"/>
        <v>43.599999999999994</v>
      </c>
      <c r="DA28" s="40" t="str">
        <f t="shared" si="29"/>
        <v/>
      </c>
      <c r="DB28" s="40" t="str">
        <f t="shared" si="30"/>
        <v/>
      </c>
      <c r="DC28" s="40">
        <f t="shared" si="31"/>
        <v>43.599999999999994</v>
      </c>
      <c r="DD28" s="50" t="str">
        <f t="shared" si="32"/>
        <v/>
      </c>
      <c r="DE28" s="50" t="str">
        <f t="shared" si="33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4"/>
        <v/>
      </c>
      <c r="EA28" s="40" t="str">
        <f t="shared" si="35"/>
        <v/>
      </c>
      <c r="EB28" s="40" t="str">
        <f t="shared" si="36"/>
        <v/>
      </c>
      <c r="EC28" s="40" t="str">
        <f t="shared" si="37"/>
        <v/>
      </c>
      <c r="ED28" s="40" t="str">
        <f t="shared" si="38"/>
        <v/>
      </c>
      <c r="EE28" s="40" t="str">
        <f t="shared" si="39"/>
        <v/>
      </c>
      <c r="EF28" s="40" t="str">
        <f t="shared" si="40"/>
        <v/>
      </c>
      <c r="EG28" s="40" t="str">
        <f t="shared" si="41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2"/>
        <v/>
      </c>
      <c r="FC28" s="11" t="str">
        <f t="shared" si="43"/>
        <v/>
      </c>
      <c r="FD28" s="11" t="str">
        <f t="shared" si="44"/>
        <v/>
      </c>
      <c r="FE28" s="11" t="str">
        <f t="shared" si="45"/>
        <v/>
      </c>
      <c r="FF28" s="11" t="str">
        <f t="shared" si="46"/>
        <v/>
      </c>
      <c r="FG28" s="11" t="str">
        <f t="shared" si="47"/>
        <v/>
      </c>
      <c r="FH28" s="11" t="str">
        <f t="shared" si="48"/>
        <v/>
      </c>
      <c r="FI28" s="11" t="str">
        <f t="shared" si="49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0"/>
        <v/>
      </c>
      <c r="GE28" s="40" t="str">
        <f t="shared" si="51"/>
        <v/>
      </c>
      <c r="GF28" s="40" t="str">
        <f t="shared" si="52"/>
        <v/>
      </c>
      <c r="GG28" s="40" t="str">
        <f t="shared" si="53"/>
        <v/>
      </c>
      <c r="GH28" s="40" t="str">
        <f t="shared" si="54"/>
        <v/>
      </c>
      <c r="GI28" s="40" t="str">
        <f t="shared" si="55"/>
        <v/>
      </c>
      <c r="GJ28" s="40" t="str">
        <f t="shared" si="56"/>
        <v/>
      </c>
      <c r="GK28" s="40" t="str">
        <f t="shared" si="57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58"/>
        <v/>
      </c>
      <c r="HG28" s="11" t="str">
        <f t="shared" si="59"/>
        <v/>
      </c>
      <c r="HH28" s="11" t="str">
        <f t="shared" si="60"/>
        <v/>
      </c>
      <c r="HI28" s="11" t="str">
        <f t="shared" si="61"/>
        <v/>
      </c>
      <c r="HJ28" s="11" t="str">
        <f t="shared" si="62"/>
        <v/>
      </c>
      <c r="HK28" s="11" t="str">
        <f t="shared" si="63"/>
        <v/>
      </c>
      <c r="HL28" s="11" t="str">
        <f t="shared" si="64"/>
        <v/>
      </c>
      <c r="HM28" s="11" t="str">
        <f t="shared" si="65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66"/>
        <v/>
      </c>
      <c r="II28" s="40" t="str">
        <f t="shared" si="67"/>
        <v/>
      </c>
      <c r="IJ28" s="40" t="str">
        <f t="shared" si="68"/>
        <v/>
      </c>
      <c r="IK28" s="40" t="str">
        <f t="shared" si="69"/>
        <v/>
      </c>
      <c r="IL28" s="40" t="str">
        <f t="shared" si="70"/>
        <v/>
      </c>
      <c r="IM28" s="40" t="str">
        <f t="shared" si="71"/>
        <v/>
      </c>
      <c r="IN28" s="40" t="str">
        <f t="shared" si="72"/>
        <v/>
      </c>
      <c r="IO28" s="40" t="str">
        <f t="shared" si="73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4"/>
        <v/>
      </c>
      <c r="JK28" s="11" t="str">
        <f t="shared" si="75"/>
        <v/>
      </c>
      <c r="JL28" s="11" t="str">
        <f t="shared" si="76"/>
        <v/>
      </c>
      <c r="JM28" s="11" t="str">
        <f t="shared" si="77"/>
        <v/>
      </c>
      <c r="JN28" s="11" t="str">
        <f t="shared" si="78"/>
        <v/>
      </c>
      <c r="JO28" s="11" t="str">
        <f t="shared" si="79"/>
        <v/>
      </c>
      <c r="JP28" s="11" t="str">
        <f t="shared" si="80"/>
        <v/>
      </c>
      <c r="JQ28" s="11" t="str">
        <f t="shared" si="81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2"/>
        <v/>
      </c>
      <c r="KM28" s="40" t="str">
        <f t="shared" si="83"/>
        <v/>
      </c>
      <c r="KN28" s="40" t="str">
        <f t="shared" si="84"/>
        <v/>
      </c>
      <c r="KO28" s="40" t="str">
        <f t="shared" si="85"/>
        <v/>
      </c>
      <c r="KP28" s="40" t="str">
        <f t="shared" si="86"/>
        <v/>
      </c>
      <c r="KQ28" s="40" t="str">
        <f t="shared" si="87"/>
        <v/>
      </c>
      <c r="KR28" s="40" t="str">
        <f t="shared" si="88"/>
        <v/>
      </c>
      <c r="KS28" s="40" t="str">
        <f t="shared" si="89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0"/>
        <v/>
      </c>
      <c r="LO28" s="11" t="str">
        <f t="shared" si="91"/>
        <v/>
      </c>
      <c r="LP28" s="11" t="str">
        <f t="shared" si="92"/>
        <v/>
      </c>
      <c r="LQ28" s="11" t="str">
        <f t="shared" si="93"/>
        <v/>
      </c>
      <c r="LR28" s="11" t="str">
        <f t="shared" si="94"/>
        <v/>
      </c>
      <c r="LS28" s="11" t="str">
        <f t="shared" si="95"/>
        <v/>
      </c>
      <c r="LT28" s="11" t="str">
        <f t="shared" si="96"/>
        <v/>
      </c>
      <c r="LU28" s="11" t="str">
        <f t="shared" si="97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98"/>
        <v/>
      </c>
      <c r="MQ28" s="40" t="str">
        <f t="shared" si="99"/>
        <v/>
      </c>
      <c r="MR28" s="40" t="str">
        <f t="shared" si="100"/>
        <v/>
      </c>
      <c r="MS28" s="40" t="str">
        <f t="shared" si="101"/>
        <v/>
      </c>
      <c r="MT28" s="40" t="str">
        <f t="shared" si="102"/>
        <v/>
      </c>
      <c r="MU28" s="40" t="str">
        <f t="shared" si="103"/>
        <v/>
      </c>
      <c r="MV28" s="40" t="str">
        <f t="shared" si="104"/>
        <v/>
      </c>
      <c r="MW28" s="40" t="str">
        <f t="shared" si="105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06"/>
        <v/>
      </c>
      <c r="NS28" s="11" t="str">
        <f t="shared" si="107"/>
        <v/>
      </c>
      <c r="NT28" s="11" t="str">
        <f t="shared" si="108"/>
        <v/>
      </c>
      <c r="NU28" s="11" t="str">
        <f t="shared" si="109"/>
        <v/>
      </c>
      <c r="NV28" s="11" t="str">
        <f t="shared" si="110"/>
        <v/>
      </c>
      <c r="NW28" s="11" t="str">
        <f t="shared" si="111"/>
        <v/>
      </c>
      <c r="NX28" s="11" t="str">
        <f t="shared" si="112"/>
        <v/>
      </c>
      <c r="NY28" s="11" t="str">
        <f t="shared" si="113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4"/>
        <v/>
      </c>
      <c r="OU28" s="40" t="str">
        <f t="shared" si="115"/>
        <v/>
      </c>
      <c r="OV28" s="40" t="str">
        <f t="shared" si="116"/>
        <v/>
      </c>
      <c r="OW28" s="40" t="str">
        <f t="shared" si="117"/>
        <v/>
      </c>
      <c r="OX28" s="40" t="str">
        <f t="shared" si="118"/>
        <v/>
      </c>
      <c r="OY28" s="40" t="str">
        <f t="shared" si="119"/>
        <v/>
      </c>
      <c r="OZ28" s="40" t="str">
        <f t="shared" si="120"/>
        <v/>
      </c>
      <c r="PA28" s="40" t="str">
        <f t="shared" si="121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2"/>
        <v/>
      </c>
      <c r="PW28" s="11" t="str">
        <f t="shared" si="123"/>
        <v/>
      </c>
      <c r="PX28" s="11" t="str">
        <f t="shared" si="124"/>
        <v/>
      </c>
      <c r="PY28" s="11" t="str">
        <f t="shared" si="125"/>
        <v/>
      </c>
      <c r="PZ28" s="11" t="str">
        <f t="shared" si="126"/>
        <v/>
      </c>
      <c r="QA28" s="11" t="str">
        <f t="shared" si="127"/>
        <v/>
      </c>
      <c r="QB28" s="11" t="str">
        <f t="shared" si="128"/>
        <v/>
      </c>
      <c r="QC28" s="11" t="str">
        <f t="shared" si="129"/>
        <v/>
      </c>
      <c r="QD28" s="22">
        <f t="shared" si="130"/>
        <v>17.100000000000001</v>
      </c>
      <c r="QE28" s="22">
        <f t="shared" si="131"/>
        <v>2.4</v>
      </c>
      <c r="QF28" s="22">
        <f t="shared" si="132"/>
        <v>0.1</v>
      </c>
      <c r="QG28" s="22">
        <f t="shared" si="133"/>
        <v>0</v>
      </c>
      <c r="QH28" s="22">
        <f t="shared" si="134"/>
        <v>16.850000000000001</v>
      </c>
      <c r="QI28" s="22">
        <f t="shared" si="135"/>
        <v>2.4</v>
      </c>
      <c r="QJ28" s="22">
        <f t="shared" si="136"/>
        <v>0.3</v>
      </c>
      <c r="QK28" s="22">
        <f t="shared" si="137"/>
        <v>0</v>
      </c>
      <c r="QL28" s="22">
        <f t="shared" si="138"/>
        <v>0</v>
      </c>
      <c r="QM28" s="22">
        <f t="shared" si="139"/>
        <v>0</v>
      </c>
      <c r="QN28" s="22">
        <f t="shared" si="140"/>
        <v>0</v>
      </c>
      <c r="QO28" s="22">
        <f t="shared" si="141"/>
        <v>0</v>
      </c>
      <c r="QP28" s="22">
        <f t="shared" si="142"/>
        <v>0</v>
      </c>
      <c r="QQ28" s="22">
        <f t="shared" si="143"/>
        <v>0</v>
      </c>
      <c r="QR28" s="22">
        <f t="shared" si="144"/>
        <v>0</v>
      </c>
      <c r="QS28" s="22">
        <f t="shared" si="145"/>
        <v>0</v>
      </c>
      <c r="QT28" s="22">
        <f t="shared" si="146"/>
        <v>0</v>
      </c>
      <c r="QU28" s="22">
        <f t="shared" si="147"/>
        <v>0</v>
      </c>
      <c r="QV28" s="22">
        <f t="shared" si="148"/>
        <v>0</v>
      </c>
      <c r="QW28" s="22">
        <f t="shared" si="149"/>
        <v>0</v>
      </c>
      <c r="QX28" s="27" t="s">
        <v>46</v>
      </c>
      <c r="QY28" s="40">
        <f t="shared" si="150"/>
        <v>4.8</v>
      </c>
      <c r="QZ28" s="40">
        <f t="shared" si="151"/>
        <v>38.35</v>
      </c>
      <c r="RA28" s="40" t="str">
        <f t="shared" si="152"/>
        <v/>
      </c>
      <c r="RB28" s="40">
        <f t="shared" si="153"/>
        <v>4.8</v>
      </c>
      <c r="RC28" s="40">
        <f t="shared" si="154"/>
        <v>38.35</v>
      </c>
      <c r="RD28" s="40" t="str">
        <f t="shared" si="155"/>
        <v/>
      </c>
      <c r="RE28" s="40" t="str">
        <f t="shared" si="156"/>
        <v/>
      </c>
      <c r="RF28" s="40">
        <f t="shared" si="157"/>
        <v>38.35</v>
      </c>
    </row>
    <row r="29" spans="1:474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118</v>
      </c>
      <c r="D29" s="4" t="s">
        <v>31</v>
      </c>
      <c r="E29" s="4">
        <v>2006</v>
      </c>
      <c r="F29" s="9">
        <f t="shared" si="0"/>
        <v>45</v>
      </c>
      <c r="G29" s="64"/>
      <c r="H29" s="3" t="str">
        <f>IF(OR(AND(AP29&gt;=AW$39,AQ29&gt;=AW$43,AP29&lt;&gt;"",AO29=""),AND(AU29&gt;=AW$39,AV29&gt;=AW$43,AU29&lt;&gt;"",AO29=""),AND(BS29&gt;=BZ$39,BT29&gt;=BZ$43,BS29&lt;&gt;"",BR29=""),AND(BX29&gt;=BZ$39,BY29&gt;=BZ$43,BX29&lt;&gt;"",BR29=""),AND(CV29&gt;=DC$39,CW29&gt;=DC$43,CV29&lt;&gt;"",CU29=""),AND(DA29&gt;=DC$39,DB29&gt;=DC$43,DA29&lt;&gt;""),AND(DZ29&gt;=EG$39,EA29&gt;=EG$43,DZ29&lt;&gt;""),AND(EE29&gt;=EG$39,EF29&gt;=EG$43,EE29&lt;&gt;""),AND(FB29&gt;=FI$39,FC29&gt;=FI$43,FB29&lt;&gt;""),AND(FG29&gt;=FI$39,FH29&gt;=FI$43,FG29&lt;&gt;""),AND(GD29&gt;=GK$39,GE29&gt;=GK$43,GD29&lt;&gt;""),AND(GI29&gt;=GK$39,GJ29&gt;=GK$43,GI29&lt;&gt;""),AND(HF29&gt;=HM$39,HG29&gt;=HM$43,HF29&lt;&gt;""),AND(HK29&gt;=HM$39,HL29&gt;=HM$43,HK29&lt;&gt;""),AND(IH29&gt;=IO$39,II29&gt;=IO$43,IH29&lt;&gt;""),AND(IM29&gt;=IO$39,IN29&gt;=IO$43,IM29&lt;&gt;""),AND(JJ29&gt;=JQ$39,JK29&gt;=JQ$43,JJ29&lt;&gt;""),AND(JO29&gt;=JQ$39,JP29&gt;=JQ$43,JO29&lt;&gt;""),AND(KL29&gt;=KS$39,KM29&gt;=KS$43,KL29&lt;&gt;""),AND(KQ29&gt;=KS$39,KR29&gt;=KS$43,KQ29&lt;&gt;""),AND(LN29&gt;=LU$39,LO29&gt;=LU$43,LN29&lt;&gt;""),AND(LS29&gt;=LU$39,LT29&gt;=LU$43,LS29&lt;&gt;""),AND(MP29&gt;=MW$39,MQ29&gt;=MW$43,MP29&lt;&gt;""),AND(MU29&gt;=MW$39,MV29&gt;=MW$43,MU29&lt;&gt;""),AND(NR29&gt;=NY$39,NS29&gt;=NY$43,NR29&lt;&gt;""),AND(NW29&gt;=NY$39,NX29&gt;=NY$43,NW29&lt;&gt;""),AND(OT29&gt;=PA$39,OU29&gt;=PA$43,OT29&lt;&gt;""),AND(OY29&gt;=PA$39,OZ29&gt;=PA$43,OY29&lt;&gt;""),AND(PV29&gt;=QC$39,PW29&gt;=QC$43,PV29&lt;&gt;""),AND(QA29&gt;=QC$39,QB29&gt;=QC$43,QA29&lt;&gt;"")),"P","")</f>
        <v/>
      </c>
      <c r="I29" s="3" t="str">
        <f>IF(OR(AND(AQ29&gt;=AW$43,AQ29&lt;&gt;"",AO29=""),AND(AV29&gt;=AW$43,AV29&lt;&gt;"",AO29=""),AND(BT29&gt;=BZ$43,BT29&lt;&gt;"",BR29=""),AND(BY29&gt;=BZ$43,BY29&lt;&gt;"",BR29=""),AND(CW29&gt;=DC$43,CW29&lt;&gt;"",CU29=""),AND(DB29&gt;=DC$43,DB29&lt;&gt;"",CU29=""),AND(EA29&gt;=EG$43,EA29&lt;&gt;""),AND(EF29&gt;=EG$43,EF29&lt;&gt;""),AND(FC29&gt;=FI$43,FC29&lt;&gt;""),AND(FH29&gt;=FI$43,FH29&lt;&gt;""),AND(GE29&gt;=GK$43,GE29&lt;&gt;""),AND(GJ29&gt;=GK$43,GJ29&lt;&gt;""),AND(HG29&gt;=HM$43,HG29&lt;&gt;""),AND(HL29&gt;=HM$43,HL29&lt;&gt;""),AND(II29&gt;=IO$43,II29&lt;&gt;""),AND(IN29&gt;=IO$43,IN29&lt;&gt;""),AND(JK29&gt;=JQ$43,JK29&lt;&gt;""),AND(JP29&gt;=JQ$43,JP29&lt;&gt;""),AND(KM29&gt;=KS$43,KM29&lt;&gt;""),AND(KR29&gt;=KS$43,KR29&lt;&gt;""),AND(LO29&gt;=LU$43,LO29&lt;&gt;""),AND(LT29&gt;=LU$43,LT29&lt;&gt;""),AND(MQ29&gt;=MW$43,MQ29&lt;&gt;""),AND(MV29&gt;=MW$43,MV29&lt;&gt;""),AND(NS29&gt;=NY$43,NS29&lt;&gt;""),AND(NX29&gt;=NY$43,NX29&lt;&gt;""),AND(OU29&gt;=PA$43,OU29&lt;&gt;""),AND(OZ29&gt;=PA$43,OZ29&lt;&gt;""),AND(PW29&gt;=QC$43,PW29&lt;&gt;""),AND(QB29&gt;=QC$43,QB29&lt;&gt;"")),"P","")</f>
        <v/>
      </c>
      <c r="J29" s="36" t="str">
        <f>IF(AND(I29="P",H29=""),"No DD",IF(OR(AND(AS29&gt;=AW$42,AT29&gt;=AW$46,AS29&lt;&gt;"",AO29=""),AND(BV29&gt;=BZ$42,BW29&gt;=BZ$46,BV29&lt;&gt;"",BR29=""),AND(CY29&gt;=DC$42,CZ29&gt;=DC$46,CY29&lt;&gt;"",CU29=""),AND(EC29&gt;=EG$42,ED29&gt;=EG$46,EC29&lt;&gt;""),AND(FE29&gt;=FI$42,FF29&gt;=FI$46,FE29&lt;&gt;""),AND(GG29&gt;=GK$42,GH29&gt;=GK$46,GG29&lt;&gt;""),AND(HI29&gt;=HM$42,HJ29&gt;=HM$46,HI29&lt;&gt;""),AND(IK29&gt;=IO$42,IL29&gt;=IO$46,IK29&lt;&gt;""),AND(JM29&gt;=JQ$42,JN29&gt;=JQ$46,JM29&lt;&gt;""),AND(KO29&gt;=KS$42,KP29&gt;=KS$46,KO29&lt;&gt;""),AND(LQ29&gt;=LU$42,LR29&gt;=LU$46,LQ29&lt;&gt;""),AND(MS29&gt;=MW$42,MT29&gt;=MW$46,MS29&lt;&gt;""),AND(NU29&gt;=NY$42,NV29&gt;=NY$46,NU29&lt;&gt;""),AND(OW29&gt;=PA$42,OX29&gt;=PA$46,OW29&lt;&gt;""),AND(PY29&gt;=QC$42,PZ29&gt;=QC$46,PY29&lt;&gt;"")),"Merit",IF(OR(AND(AS29&gt;=AW$41,AT29&gt;=AW$45,AS29&lt;&gt;"",AO29=""),AND(BV29&gt;=BZ$41,BW29&gt;=BZ$45,BV29&lt;&gt;"",BR29=""),AND(CY29&gt;=DC$41,CZ29&gt;=DC$45,CY29&lt;&gt;"",CU29=""),AND(EC29&gt;=EG$41,ED29&gt;=EG$45,EC29&lt;&gt;""),AND(FE29&gt;=FI$41,FF29&gt;=FI$45,FE29&lt;&gt;""),AND(GG29&gt;=GK$41,GH29&gt;=GK$45,GG29&lt;&gt;""),AND(HI29&gt;=HM$41,HJ29&gt;=HM$45,HI29&lt;&gt;""),AND(IK29&gt;=IO$41,IL29&gt;=IO$45,IK29&lt;&gt;""),AND(JM29&gt;=JQ$41,JN29&gt;=JQ$45,JM29&lt;&gt;""),AND(KO29&gt;=KS$41,KP29&gt;=KS$45,KO29&lt;&gt;""),AND(LQ29&gt;=LU$41,LR29&gt;=LU$45,LQ29&lt;&gt;""),AND(MS29&gt;=MW$41,MT29&gt;=MW$45,MS29&lt;&gt;""),AND(NU29&gt;=NY$41,NV29&gt;=NY$45,NU29&lt;&gt;""),AND(OW29&gt;=PA$41,OX29&gt;=PA$45,OW29&lt;&gt;""),AND(PY29&gt;=QC$41,PZ29&gt;=QC$45,PY29&lt;&gt;"")),"Excellence",IF(K29="P","Worlds Team",IF(H29="P","National Team","")))))</f>
        <v/>
      </c>
      <c r="K29" s="3" t="str">
        <f>IF(OR(AND(AS29&gt;=AW$40,AT29&gt;=AW$44,AS29&lt;&gt;"",AO29=""),AND(BV29&gt;=BZ$40,BW29&gt;=BZ$44,BV29&lt;&gt;"",BR29=""),AND(CY29&gt;=DC$40,CZ29&gt;=DC$44,CY29&lt;&gt;"",CU29=""),AND(EC29&gt;=EG$40,ED29&gt;=EG$44,EC29&lt;&gt;""),AND(FE29&gt;=FI$40,FF29&gt;=FI$44,FE29&lt;&gt;""),AND(GG29&gt;=GK$40,GH29&gt;=GK$44,GG29&lt;&gt;""),AND(HI29&gt;=HM$40,HJ29&gt;=HM$44,HI29&lt;&gt;""),AND(IK29&gt;=IO$40,IL29&gt;=IO$44,IK29&lt;&gt;""),AND(JM29&gt;=JQ$40,JN29&gt;=JQ$44,JM29&lt;&gt;""),AND(KO29&gt;=KS$40,KP29&gt;=KS$44,KO29&lt;&gt;""),AND(LQ29&gt;=LU$40,LR29&gt;=LU$44,LQ29&lt;&gt;""),AND(MS29&gt;=MW$40,MT29&gt;=MW$44,MS29&lt;&gt;""),AND(NU29&gt;=NY$40,NV29&gt;=NY$44,NU29&lt;&gt;""),AND(OW29&gt;=PA$40,OX29&gt;=PA$44,OW29&lt;&gt;""),AND(PY29&gt;=QC$40,PZ29&gt;=QC$44,PY29&lt;&gt;"")),"P","")</f>
        <v/>
      </c>
      <c r="L29" s="8">
        <f>IF(COUNT(AQ29,BT29,CW29)&gt;0,LARGE((AQ29,BT29,CW29),1),0)</f>
        <v>0</v>
      </c>
      <c r="M29" s="8" t="str">
        <f t="shared" si="1"/>
        <v/>
      </c>
      <c r="N29" s="8">
        <f>IF(COUNT(AQ29,BT29,CW29)&gt;1,LARGE((AQ29,BT29,CW29),2),0)</f>
        <v>0</v>
      </c>
      <c r="O29" s="8" t="str">
        <f t="shared" si="2"/>
        <v/>
      </c>
      <c r="P29" s="8">
        <f t="shared" si="3"/>
        <v>0</v>
      </c>
      <c r="Q29" s="8" t="str">
        <f t="shared" si="4"/>
        <v/>
      </c>
      <c r="R29" s="8">
        <f t="shared" si="5"/>
        <v>45</v>
      </c>
      <c r="S29" s="11" t="str">
        <f t="shared" si="6"/>
        <v>(Q1)</v>
      </c>
      <c r="T29" s="8" t="str">
        <f t="shared" si="7"/>
        <v>2024 Coimbra Gym Fest (July 7)</v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8"/>
        <v/>
      </c>
      <c r="AQ29" s="40" t="str">
        <f t="shared" si="9"/>
        <v/>
      </c>
      <c r="AR29" s="40" t="str">
        <f t="shared" si="10"/>
        <v/>
      </c>
      <c r="AS29" s="40" t="str">
        <f t="shared" si="11"/>
        <v/>
      </c>
      <c r="AT29" s="40" t="str">
        <f t="shared" si="12"/>
        <v/>
      </c>
      <c r="AU29" s="40" t="str">
        <f t="shared" si="13"/>
        <v/>
      </c>
      <c r="AV29" s="40" t="str">
        <f t="shared" si="14"/>
        <v/>
      </c>
      <c r="AW29" s="40" t="str">
        <f t="shared" si="15"/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16"/>
        <v/>
      </c>
      <c r="BT29" s="11" t="str">
        <f t="shared" si="17"/>
        <v/>
      </c>
      <c r="BU29" s="11" t="str">
        <f t="shared" si="18"/>
        <v/>
      </c>
      <c r="BV29" s="11" t="str">
        <f t="shared" si="19"/>
        <v/>
      </c>
      <c r="BW29" s="11" t="str">
        <f t="shared" si="20"/>
        <v/>
      </c>
      <c r="BX29" s="11" t="str">
        <f t="shared" si="21"/>
        <v/>
      </c>
      <c r="BY29" s="11" t="str">
        <f t="shared" si="22"/>
        <v/>
      </c>
      <c r="BZ29" s="11" t="str">
        <f t="shared" si="23"/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4"/>
        <v/>
      </c>
      <c r="CW29" s="40" t="str">
        <f t="shared" si="25"/>
        <v/>
      </c>
      <c r="CX29" s="40" t="str">
        <f t="shared" si="26"/>
        <v/>
      </c>
      <c r="CY29" s="40" t="str">
        <f t="shared" si="27"/>
        <v/>
      </c>
      <c r="CZ29" s="40" t="str">
        <f t="shared" si="28"/>
        <v/>
      </c>
      <c r="DA29" s="40" t="str">
        <f t="shared" si="29"/>
        <v/>
      </c>
      <c r="DB29" s="40" t="str">
        <f t="shared" si="30"/>
        <v/>
      </c>
      <c r="DC29" s="40" t="str">
        <f t="shared" si="31"/>
        <v/>
      </c>
      <c r="DD29" s="50">
        <f t="shared" si="32"/>
        <v>45</v>
      </c>
      <c r="DE29" s="50">
        <f t="shared" si="33"/>
        <v>19.799999999999997</v>
      </c>
      <c r="DF29" s="17">
        <v>18.3</v>
      </c>
      <c r="DG29" s="17">
        <v>4.4000000000000004</v>
      </c>
      <c r="DH29" s="17">
        <v>0.2</v>
      </c>
      <c r="DI29" s="17">
        <v>0</v>
      </c>
      <c r="DJ29" s="17">
        <v>19</v>
      </c>
      <c r="DK29" s="17">
        <v>3.5</v>
      </c>
      <c r="DL29" s="17">
        <v>0</v>
      </c>
      <c r="DM29" s="17">
        <v>0</v>
      </c>
      <c r="DN29" s="17"/>
      <c r="DO29" s="17"/>
      <c r="DP29" s="17"/>
      <c r="DQ29" s="17"/>
      <c r="DR29" s="17">
        <v>17.399999999999999</v>
      </c>
      <c r="DS29" s="17">
        <v>2.4</v>
      </c>
      <c r="DT29" s="17">
        <v>0</v>
      </c>
      <c r="DU29" s="17">
        <v>0</v>
      </c>
      <c r="DV29" s="17"/>
      <c r="DW29" s="17"/>
      <c r="DX29" s="17"/>
      <c r="DY29" s="17"/>
      <c r="DZ29" s="40">
        <f t="shared" si="34"/>
        <v>7.9</v>
      </c>
      <c r="EA29" s="40">
        <f t="shared" si="35"/>
        <v>45</v>
      </c>
      <c r="EB29" s="40" t="str">
        <f t="shared" si="36"/>
        <v/>
      </c>
      <c r="EC29" s="40">
        <f t="shared" si="37"/>
        <v>7.9</v>
      </c>
      <c r="ED29" s="40">
        <f t="shared" si="38"/>
        <v>45</v>
      </c>
      <c r="EE29" s="40">
        <f t="shared" si="39"/>
        <v>2.4</v>
      </c>
      <c r="EF29" s="40">
        <f t="shared" si="40"/>
        <v>19.799999999999997</v>
      </c>
      <c r="EG29" s="40">
        <f t="shared" si="41"/>
        <v>64.8</v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2"/>
        <v/>
      </c>
      <c r="FC29" s="11" t="str">
        <f t="shared" si="43"/>
        <v/>
      </c>
      <c r="FD29" s="11" t="str">
        <f t="shared" si="44"/>
        <v/>
      </c>
      <c r="FE29" s="11" t="str">
        <f t="shared" si="45"/>
        <v/>
      </c>
      <c r="FF29" s="11" t="str">
        <f t="shared" si="46"/>
        <v/>
      </c>
      <c r="FG29" s="11" t="str">
        <f t="shared" si="47"/>
        <v/>
      </c>
      <c r="FH29" s="11" t="str">
        <f t="shared" si="48"/>
        <v/>
      </c>
      <c r="FI29" s="11" t="str">
        <f t="shared" si="49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0"/>
        <v/>
      </c>
      <c r="GE29" s="40" t="str">
        <f t="shared" si="51"/>
        <v/>
      </c>
      <c r="GF29" s="40" t="str">
        <f t="shared" si="52"/>
        <v/>
      </c>
      <c r="GG29" s="40" t="str">
        <f t="shared" si="53"/>
        <v/>
      </c>
      <c r="GH29" s="40" t="str">
        <f t="shared" si="54"/>
        <v/>
      </c>
      <c r="GI29" s="40" t="str">
        <f t="shared" si="55"/>
        <v/>
      </c>
      <c r="GJ29" s="40" t="str">
        <f t="shared" si="56"/>
        <v/>
      </c>
      <c r="GK29" s="40" t="str">
        <f t="shared" si="57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58"/>
        <v/>
      </c>
      <c r="HG29" s="11" t="str">
        <f t="shared" si="59"/>
        <v/>
      </c>
      <c r="HH29" s="11" t="str">
        <f t="shared" si="60"/>
        <v/>
      </c>
      <c r="HI29" s="11" t="str">
        <f t="shared" si="61"/>
        <v/>
      </c>
      <c r="HJ29" s="11" t="str">
        <f t="shared" si="62"/>
        <v/>
      </c>
      <c r="HK29" s="11" t="str">
        <f t="shared" si="63"/>
        <v/>
      </c>
      <c r="HL29" s="11" t="str">
        <f t="shared" si="64"/>
        <v/>
      </c>
      <c r="HM29" s="11" t="str">
        <f t="shared" si="65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66"/>
        <v/>
      </c>
      <c r="II29" s="40" t="str">
        <f t="shared" si="67"/>
        <v/>
      </c>
      <c r="IJ29" s="40" t="str">
        <f t="shared" si="68"/>
        <v/>
      </c>
      <c r="IK29" s="40" t="str">
        <f t="shared" si="69"/>
        <v/>
      </c>
      <c r="IL29" s="40" t="str">
        <f t="shared" si="70"/>
        <v/>
      </c>
      <c r="IM29" s="40" t="str">
        <f t="shared" si="71"/>
        <v/>
      </c>
      <c r="IN29" s="40" t="str">
        <f t="shared" si="72"/>
        <v/>
      </c>
      <c r="IO29" s="40" t="str">
        <f t="shared" si="73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4"/>
        <v/>
      </c>
      <c r="JK29" s="11" t="str">
        <f t="shared" si="75"/>
        <v/>
      </c>
      <c r="JL29" s="11" t="str">
        <f t="shared" si="76"/>
        <v/>
      </c>
      <c r="JM29" s="11" t="str">
        <f t="shared" si="77"/>
        <v/>
      </c>
      <c r="JN29" s="11" t="str">
        <f t="shared" si="78"/>
        <v/>
      </c>
      <c r="JO29" s="11" t="str">
        <f t="shared" si="79"/>
        <v/>
      </c>
      <c r="JP29" s="11" t="str">
        <f t="shared" si="80"/>
        <v/>
      </c>
      <c r="JQ29" s="11" t="str">
        <f t="shared" si="81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2"/>
        <v/>
      </c>
      <c r="KM29" s="40" t="str">
        <f t="shared" si="83"/>
        <v/>
      </c>
      <c r="KN29" s="40" t="str">
        <f t="shared" si="84"/>
        <v/>
      </c>
      <c r="KO29" s="40" t="str">
        <f t="shared" si="85"/>
        <v/>
      </c>
      <c r="KP29" s="40" t="str">
        <f t="shared" si="86"/>
        <v/>
      </c>
      <c r="KQ29" s="40" t="str">
        <f t="shared" si="87"/>
        <v/>
      </c>
      <c r="KR29" s="40" t="str">
        <f t="shared" si="88"/>
        <v/>
      </c>
      <c r="KS29" s="40" t="str">
        <f t="shared" si="89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0"/>
        <v/>
      </c>
      <c r="LO29" s="11" t="str">
        <f t="shared" si="91"/>
        <v/>
      </c>
      <c r="LP29" s="11" t="str">
        <f t="shared" si="92"/>
        <v/>
      </c>
      <c r="LQ29" s="11" t="str">
        <f t="shared" si="93"/>
        <v/>
      </c>
      <c r="LR29" s="11" t="str">
        <f t="shared" si="94"/>
        <v/>
      </c>
      <c r="LS29" s="11" t="str">
        <f t="shared" si="95"/>
        <v/>
      </c>
      <c r="LT29" s="11" t="str">
        <f t="shared" si="96"/>
        <v/>
      </c>
      <c r="LU29" s="11" t="str">
        <f t="shared" si="97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98"/>
        <v/>
      </c>
      <c r="MQ29" s="40" t="str">
        <f t="shared" si="99"/>
        <v/>
      </c>
      <c r="MR29" s="40" t="str">
        <f t="shared" si="100"/>
        <v/>
      </c>
      <c r="MS29" s="40" t="str">
        <f t="shared" si="101"/>
        <v/>
      </c>
      <c r="MT29" s="40" t="str">
        <f t="shared" si="102"/>
        <v/>
      </c>
      <c r="MU29" s="40" t="str">
        <f t="shared" si="103"/>
        <v/>
      </c>
      <c r="MV29" s="40" t="str">
        <f t="shared" si="104"/>
        <v/>
      </c>
      <c r="MW29" s="40" t="str">
        <f t="shared" si="105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06"/>
        <v/>
      </c>
      <c r="NS29" s="11" t="str">
        <f t="shared" si="107"/>
        <v/>
      </c>
      <c r="NT29" s="11" t="str">
        <f t="shared" si="108"/>
        <v/>
      </c>
      <c r="NU29" s="11" t="str">
        <f t="shared" si="109"/>
        <v/>
      </c>
      <c r="NV29" s="11" t="str">
        <f t="shared" si="110"/>
        <v/>
      </c>
      <c r="NW29" s="11" t="str">
        <f t="shared" si="111"/>
        <v/>
      </c>
      <c r="NX29" s="11" t="str">
        <f t="shared" si="112"/>
        <v/>
      </c>
      <c r="NY29" s="11" t="str">
        <f t="shared" si="113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4"/>
        <v/>
      </c>
      <c r="OU29" s="40" t="str">
        <f t="shared" si="115"/>
        <v/>
      </c>
      <c r="OV29" s="40" t="str">
        <f t="shared" si="116"/>
        <v/>
      </c>
      <c r="OW29" s="40" t="str">
        <f t="shared" si="117"/>
        <v/>
      </c>
      <c r="OX29" s="40" t="str">
        <f t="shared" si="118"/>
        <v/>
      </c>
      <c r="OY29" s="40" t="str">
        <f t="shared" si="119"/>
        <v/>
      </c>
      <c r="OZ29" s="40" t="str">
        <f t="shared" si="120"/>
        <v/>
      </c>
      <c r="PA29" s="40" t="str">
        <f t="shared" si="121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2"/>
        <v/>
      </c>
      <c r="PW29" s="11" t="str">
        <f t="shared" si="123"/>
        <v/>
      </c>
      <c r="PX29" s="11" t="str">
        <f t="shared" si="124"/>
        <v/>
      </c>
      <c r="PY29" s="11" t="str">
        <f t="shared" si="125"/>
        <v/>
      </c>
      <c r="PZ29" s="11" t="str">
        <f t="shared" si="126"/>
        <v/>
      </c>
      <c r="QA29" s="11" t="str">
        <f t="shared" si="127"/>
        <v/>
      </c>
      <c r="QB29" s="11" t="str">
        <f t="shared" si="128"/>
        <v/>
      </c>
      <c r="QC29" s="11" t="str">
        <f t="shared" si="129"/>
        <v/>
      </c>
      <c r="QD29" s="22">
        <f t="shared" si="130"/>
        <v>0</v>
      </c>
      <c r="QE29" s="22">
        <f t="shared" si="131"/>
        <v>0</v>
      </c>
      <c r="QF29" s="22">
        <f t="shared" si="132"/>
        <v>0</v>
      </c>
      <c r="QG29" s="22">
        <f t="shared" si="133"/>
        <v>0</v>
      </c>
      <c r="QH29" s="22">
        <f t="shared" si="134"/>
        <v>0</v>
      </c>
      <c r="QI29" s="22">
        <f t="shared" si="135"/>
        <v>0</v>
      </c>
      <c r="QJ29" s="22">
        <f t="shared" si="136"/>
        <v>0</v>
      </c>
      <c r="QK29" s="22">
        <f t="shared" si="137"/>
        <v>0</v>
      </c>
      <c r="QL29" s="22">
        <f t="shared" si="138"/>
        <v>0</v>
      </c>
      <c r="QM29" s="22">
        <f t="shared" si="139"/>
        <v>0</v>
      </c>
      <c r="QN29" s="22">
        <f t="shared" si="140"/>
        <v>0</v>
      </c>
      <c r="QO29" s="22">
        <f t="shared" si="141"/>
        <v>0</v>
      </c>
      <c r="QP29" s="22">
        <f t="shared" si="142"/>
        <v>0</v>
      </c>
      <c r="QQ29" s="22">
        <f t="shared" si="143"/>
        <v>0</v>
      </c>
      <c r="QR29" s="22">
        <f t="shared" si="144"/>
        <v>0</v>
      </c>
      <c r="QS29" s="22">
        <f t="shared" si="145"/>
        <v>0</v>
      </c>
      <c r="QT29" s="22">
        <f t="shared" si="146"/>
        <v>0</v>
      </c>
      <c r="QU29" s="22">
        <f t="shared" si="147"/>
        <v>0</v>
      </c>
      <c r="QV29" s="22">
        <f t="shared" si="148"/>
        <v>0</v>
      </c>
      <c r="QW29" s="22">
        <f t="shared" si="149"/>
        <v>0</v>
      </c>
      <c r="QX29" s="27" t="s">
        <v>46</v>
      </c>
      <c r="QY29" s="40" t="str">
        <f t="shared" si="150"/>
        <v/>
      </c>
      <c r="QZ29" s="40" t="str">
        <f t="shared" si="151"/>
        <v/>
      </c>
      <c r="RA29" s="40" t="str">
        <f t="shared" si="152"/>
        <v/>
      </c>
      <c r="RB29" s="40" t="str">
        <f t="shared" si="153"/>
        <v/>
      </c>
      <c r="RC29" s="40" t="str">
        <f t="shared" si="154"/>
        <v/>
      </c>
      <c r="RD29" s="40" t="str">
        <f t="shared" si="155"/>
        <v/>
      </c>
      <c r="RE29" s="40" t="str">
        <f t="shared" si="156"/>
        <v/>
      </c>
      <c r="RF29" s="40" t="str">
        <f t="shared" si="157"/>
        <v/>
      </c>
    </row>
    <row r="30" spans="1:474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146</v>
      </c>
      <c r="D30" s="4" t="s">
        <v>31</v>
      </c>
      <c r="E30" s="4">
        <v>2007</v>
      </c>
      <c r="F30" s="9">
        <f t="shared" si="0"/>
        <v>44.2</v>
      </c>
      <c r="G30" s="64"/>
      <c r="H30" s="3" t="str">
        <f>IF(OR(AND(AP30&gt;=AW$39,AQ30&gt;=AW$43,AP30&lt;&gt;"",AO30=""),AND(AU30&gt;=AW$39,AV30&gt;=AW$43,AU30&lt;&gt;"",AO30=""),AND(BS30&gt;=BZ$39,BT30&gt;=BZ$43,BS30&lt;&gt;"",BR30=""),AND(BX30&gt;=BZ$39,BY30&gt;=BZ$43,BX30&lt;&gt;"",BR30=""),AND(CV30&gt;=DC$39,CW30&gt;=DC$43,CV30&lt;&gt;"",CU30=""),AND(DA30&gt;=DC$39,DB30&gt;=DC$43,DA30&lt;&gt;""),AND(DZ30&gt;=EG$39,EA30&gt;=EG$43,DZ30&lt;&gt;""),AND(EE30&gt;=EG$39,EF30&gt;=EG$43,EE30&lt;&gt;""),AND(FB30&gt;=FI$39,FC30&gt;=FI$43,FB30&lt;&gt;""),AND(FG30&gt;=FI$39,FH30&gt;=FI$43,FG30&lt;&gt;""),AND(GD30&gt;=GK$39,GE30&gt;=GK$43,GD30&lt;&gt;""),AND(GI30&gt;=GK$39,GJ30&gt;=GK$43,GI30&lt;&gt;""),AND(HF30&gt;=HM$39,HG30&gt;=HM$43,HF30&lt;&gt;""),AND(HK30&gt;=HM$39,HL30&gt;=HM$43,HK30&lt;&gt;""),AND(IH30&gt;=IO$39,II30&gt;=IO$43,IH30&lt;&gt;""),AND(IM30&gt;=IO$39,IN30&gt;=IO$43,IM30&lt;&gt;""),AND(JJ30&gt;=JQ$39,JK30&gt;=JQ$43,JJ30&lt;&gt;""),AND(JO30&gt;=JQ$39,JP30&gt;=JQ$43,JO30&lt;&gt;""),AND(KL30&gt;=KS$39,KM30&gt;=KS$43,KL30&lt;&gt;""),AND(KQ30&gt;=KS$39,KR30&gt;=KS$43,KQ30&lt;&gt;""),AND(LN30&gt;=LU$39,LO30&gt;=LU$43,LN30&lt;&gt;""),AND(LS30&gt;=LU$39,LT30&gt;=LU$43,LS30&lt;&gt;""),AND(MP30&gt;=MW$39,MQ30&gt;=MW$43,MP30&lt;&gt;""),AND(MU30&gt;=MW$39,MV30&gt;=MW$43,MU30&lt;&gt;""),AND(NR30&gt;=NY$39,NS30&gt;=NY$43,NR30&lt;&gt;""),AND(NW30&gt;=NY$39,NX30&gt;=NY$43,NW30&lt;&gt;""),AND(OT30&gt;=PA$39,OU30&gt;=PA$43,OT30&lt;&gt;""),AND(OY30&gt;=PA$39,OZ30&gt;=PA$43,OY30&lt;&gt;""),AND(PV30&gt;=QC$39,PW30&gt;=QC$43,PV30&lt;&gt;""),AND(QA30&gt;=QC$39,QB30&gt;=QC$43,QA30&lt;&gt;"")),"P","")</f>
        <v/>
      </c>
      <c r="I30" s="3" t="str">
        <f>IF(OR(AND(AQ30&gt;=AW$43,AQ30&lt;&gt;"",AO30=""),AND(AV30&gt;=AW$43,AV30&lt;&gt;"",AO30=""),AND(BT30&gt;=BZ$43,BT30&lt;&gt;"",BR30=""),AND(BY30&gt;=BZ$43,BY30&lt;&gt;"",BR30=""),AND(CW30&gt;=DC$43,CW30&lt;&gt;"",CU30=""),AND(DB30&gt;=DC$43,DB30&lt;&gt;"",CU30=""),AND(EA30&gt;=EG$43,EA30&lt;&gt;""),AND(EF30&gt;=EG$43,EF30&lt;&gt;""),AND(FC30&gt;=FI$43,FC30&lt;&gt;""),AND(FH30&gt;=FI$43,FH30&lt;&gt;""),AND(GE30&gt;=GK$43,GE30&lt;&gt;""),AND(GJ30&gt;=GK$43,GJ30&lt;&gt;""),AND(HG30&gt;=HM$43,HG30&lt;&gt;""),AND(HL30&gt;=HM$43,HL30&lt;&gt;""),AND(II30&gt;=IO$43,II30&lt;&gt;""),AND(IN30&gt;=IO$43,IN30&lt;&gt;""),AND(JK30&gt;=JQ$43,JK30&lt;&gt;""),AND(JP30&gt;=JQ$43,JP30&lt;&gt;""),AND(KM30&gt;=KS$43,KM30&lt;&gt;""),AND(KR30&gt;=KS$43,KR30&lt;&gt;""),AND(LO30&gt;=LU$43,LO30&lt;&gt;""),AND(LT30&gt;=LU$43,LT30&lt;&gt;""),AND(MQ30&gt;=MW$43,MQ30&lt;&gt;""),AND(MV30&gt;=MW$43,MV30&lt;&gt;""),AND(NS30&gt;=NY$43,NS30&lt;&gt;""),AND(NX30&gt;=NY$43,NX30&lt;&gt;""),AND(OU30&gt;=PA$43,OU30&lt;&gt;""),AND(OZ30&gt;=PA$43,OZ30&lt;&gt;""),AND(PW30&gt;=QC$43,PW30&lt;&gt;""),AND(QB30&gt;=QC$43,QB30&lt;&gt;"")),"P","")</f>
        <v/>
      </c>
      <c r="J30" s="36" t="str">
        <f>IF(AND(I30="P",H30=""),"No DD",IF(OR(AND(AS30&gt;=AW$42,AT30&gt;=AW$46,AS30&lt;&gt;"",AO30=""),AND(BV30&gt;=BZ$42,BW30&gt;=BZ$46,BV30&lt;&gt;"",BR30=""),AND(CY30&gt;=DC$42,CZ30&gt;=DC$46,CY30&lt;&gt;"",CU30=""),AND(EC30&gt;=EG$42,ED30&gt;=EG$46,EC30&lt;&gt;""),AND(FE30&gt;=FI$42,FF30&gt;=FI$46,FE30&lt;&gt;""),AND(GG30&gt;=GK$42,GH30&gt;=GK$46,GG30&lt;&gt;""),AND(HI30&gt;=HM$42,HJ30&gt;=HM$46,HI30&lt;&gt;""),AND(IK30&gt;=IO$42,IL30&gt;=IO$46,IK30&lt;&gt;""),AND(JM30&gt;=JQ$42,JN30&gt;=JQ$46,JM30&lt;&gt;""),AND(KO30&gt;=KS$42,KP30&gt;=KS$46,KO30&lt;&gt;""),AND(LQ30&gt;=LU$42,LR30&gt;=LU$46,LQ30&lt;&gt;""),AND(MS30&gt;=MW$42,MT30&gt;=MW$46,MS30&lt;&gt;""),AND(NU30&gt;=NY$42,NV30&gt;=NY$46,NU30&lt;&gt;""),AND(OW30&gt;=PA$42,OX30&gt;=PA$46,OW30&lt;&gt;""),AND(PY30&gt;=QC$42,PZ30&gt;=QC$46,PY30&lt;&gt;"")),"Merit",IF(OR(AND(AS30&gt;=AW$41,AT30&gt;=AW$45,AS30&lt;&gt;"",AO30=""),AND(BV30&gt;=BZ$41,BW30&gt;=BZ$45,BV30&lt;&gt;"",BR30=""),AND(CY30&gt;=DC$41,CZ30&gt;=DC$45,CY30&lt;&gt;"",CU30=""),AND(EC30&gt;=EG$41,ED30&gt;=EG$45,EC30&lt;&gt;""),AND(FE30&gt;=FI$41,FF30&gt;=FI$45,FE30&lt;&gt;""),AND(GG30&gt;=GK$41,GH30&gt;=GK$45,GG30&lt;&gt;""),AND(HI30&gt;=HM$41,HJ30&gt;=HM$45,HI30&lt;&gt;""),AND(IK30&gt;=IO$41,IL30&gt;=IO$45,IK30&lt;&gt;""),AND(JM30&gt;=JQ$41,JN30&gt;=JQ$45,JM30&lt;&gt;""),AND(KO30&gt;=KS$41,KP30&gt;=KS$45,KO30&lt;&gt;""),AND(LQ30&gt;=LU$41,LR30&gt;=LU$45,LQ30&lt;&gt;""),AND(MS30&gt;=MW$41,MT30&gt;=MW$45,MS30&lt;&gt;""),AND(NU30&gt;=NY$41,NV30&gt;=NY$45,NU30&lt;&gt;""),AND(OW30&gt;=PA$41,OX30&gt;=PA$45,OW30&lt;&gt;""),AND(PY30&gt;=QC$41,PZ30&gt;=QC$45,PY30&lt;&gt;"")),"Excellence",IF(K30="P","Worlds Team",IF(H30="P","National Team","")))))</f>
        <v/>
      </c>
      <c r="K30" s="3" t="str">
        <f>IF(OR(AND(AS30&gt;=AW$40,AT30&gt;=AW$44,AS30&lt;&gt;"",AO30=""),AND(BV30&gt;=BZ$40,BW30&gt;=BZ$44,BV30&lt;&gt;"",BR30=""),AND(CY30&gt;=DC$40,CZ30&gt;=DC$44,CY30&lt;&gt;"",CU30=""),AND(EC30&gt;=EG$40,ED30&gt;=EG$44,EC30&lt;&gt;""),AND(FE30&gt;=FI$40,FF30&gt;=FI$44,FE30&lt;&gt;""),AND(GG30&gt;=GK$40,GH30&gt;=GK$44,GG30&lt;&gt;""),AND(HI30&gt;=HM$40,HJ30&gt;=HM$44,HI30&lt;&gt;""),AND(IK30&gt;=IO$40,IL30&gt;=IO$44,IK30&lt;&gt;""),AND(JM30&gt;=JQ$40,JN30&gt;=JQ$44,JM30&lt;&gt;""),AND(KO30&gt;=KS$40,KP30&gt;=KS$44,KO30&lt;&gt;""),AND(LQ30&gt;=LU$40,LR30&gt;=LU$44,LQ30&lt;&gt;""),AND(MS30&gt;=MW$40,MT30&gt;=MW$44,MS30&lt;&gt;""),AND(NU30&gt;=NY$40,NV30&gt;=NY$44,NU30&lt;&gt;""),AND(OW30&gt;=PA$40,OX30&gt;=PA$44,OW30&lt;&gt;""),AND(PY30&gt;=QC$40,PZ30&gt;=QC$44,PY30&lt;&gt;"")),"P","")</f>
        <v/>
      </c>
      <c r="L30" s="8">
        <f>IF(COUNT(AQ30,BT30,CW30)&gt;0,LARGE((AQ30,BT30,CW30),1),0)</f>
        <v>0</v>
      </c>
      <c r="M30" s="8" t="str">
        <f t="shared" si="1"/>
        <v/>
      </c>
      <c r="N30" s="8">
        <f>IF(COUNT(AQ30,BT30,CW30)&gt;1,LARGE((AQ30,BT30,CW30),2),0)</f>
        <v>0</v>
      </c>
      <c r="O30" s="8" t="str">
        <f t="shared" si="2"/>
        <v/>
      </c>
      <c r="P30" s="8">
        <f t="shared" si="3"/>
        <v>0</v>
      </c>
      <c r="Q30" s="8" t="str">
        <f t="shared" si="4"/>
        <v/>
      </c>
      <c r="R30" s="8">
        <f t="shared" si="5"/>
        <v>44.2</v>
      </c>
      <c r="S30" s="11" t="str">
        <f t="shared" si="6"/>
        <v>(Q1)</v>
      </c>
      <c r="T30" s="8" t="str">
        <f t="shared" si="7"/>
        <v>2024 Coimbra Gym Fest (July 7)</v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8"/>
        <v/>
      </c>
      <c r="AQ30" s="40" t="str">
        <f t="shared" si="9"/>
        <v/>
      </c>
      <c r="AR30" s="40" t="str">
        <f t="shared" si="10"/>
        <v/>
      </c>
      <c r="AS30" s="40" t="str">
        <f t="shared" si="11"/>
        <v/>
      </c>
      <c r="AT30" s="40" t="str">
        <f t="shared" si="12"/>
        <v/>
      </c>
      <c r="AU30" s="40" t="str">
        <f t="shared" si="13"/>
        <v/>
      </c>
      <c r="AV30" s="40" t="str">
        <f t="shared" si="14"/>
        <v/>
      </c>
      <c r="AW30" s="40" t="str">
        <f t="shared" si="15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16"/>
        <v/>
      </c>
      <c r="BT30" s="11" t="str">
        <f t="shared" si="17"/>
        <v/>
      </c>
      <c r="BU30" s="11" t="str">
        <f t="shared" si="18"/>
        <v/>
      </c>
      <c r="BV30" s="11" t="str">
        <f t="shared" si="19"/>
        <v/>
      </c>
      <c r="BW30" s="11" t="str">
        <f t="shared" si="20"/>
        <v/>
      </c>
      <c r="BX30" s="11" t="str">
        <f t="shared" si="21"/>
        <v/>
      </c>
      <c r="BY30" s="11" t="str">
        <f t="shared" si="22"/>
        <v/>
      </c>
      <c r="BZ30" s="11" t="str">
        <f t="shared" si="23"/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4"/>
        <v/>
      </c>
      <c r="CW30" s="40" t="str">
        <f t="shared" si="25"/>
        <v/>
      </c>
      <c r="CX30" s="40" t="str">
        <f t="shared" si="26"/>
        <v/>
      </c>
      <c r="CY30" s="40" t="str">
        <f t="shared" si="27"/>
        <v/>
      </c>
      <c r="CZ30" s="40" t="str">
        <f t="shared" si="28"/>
        <v/>
      </c>
      <c r="DA30" s="40" t="str">
        <f t="shared" si="29"/>
        <v/>
      </c>
      <c r="DB30" s="40" t="str">
        <f t="shared" si="30"/>
        <v/>
      </c>
      <c r="DC30" s="40" t="str">
        <f t="shared" si="31"/>
        <v/>
      </c>
      <c r="DD30" s="50">
        <f t="shared" si="32"/>
        <v>44.2</v>
      </c>
      <c r="DE30" s="50" t="str">
        <f t="shared" si="33"/>
        <v/>
      </c>
      <c r="DF30" s="17">
        <v>18.5</v>
      </c>
      <c r="DG30" s="17">
        <v>3.6</v>
      </c>
      <c r="DH30" s="17">
        <v>0.2</v>
      </c>
      <c r="DI30" s="17">
        <v>0</v>
      </c>
      <c r="DJ30" s="17">
        <v>18.8</v>
      </c>
      <c r="DK30" s="17">
        <v>3.5</v>
      </c>
      <c r="DL30" s="17">
        <v>0</v>
      </c>
      <c r="DM30" s="17">
        <v>0</v>
      </c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>
        <f t="shared" si="34"/>
        <v>7.1</v>
      </c>
      <c r="EA30" s="40">
        <f t="shared" si="35"/>
        <v>44.2</v>
      </c>
      <c r="EB30" s="40" t="str">
        <f t="shared" si="36"/>
        <v/>
      </c>
      <c r="EC30" s="40">
        <f t="shared" si="37"/>
        <v>7.1</v>
      </c>
      <c r="ED30" s="40">
        <f t="shared" si="38"/>
        <v>44.2</v>
      </c>
      <c r="EE30" s="40" t="str">
        <f t="shared" si="39"/>
        <v/>
      </c>
      <c r="EF30" s="40" t="str">
        <f t="shared" si="40"/>
        <v/>
      </c>
      <c r="EG30" s="40">
        <f t="shared" si="41"/>
        <v>44.2</v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2"/>
        <v/>
      </c>
      <c r="FC30" s="11" t="str">
        <f t="shared" si="43"/>
        <v/>
      </c>
      <c r="FD30" s="11" t="str">
        <f t="shared" si="44"/>
        <v/>
      </c>
      <c r="FE30" s="11" t="str">
        <f t="shared" si="45"/>
        <v/>
      </c>
      <c r="FF30" s="11" t="str">
        <f t="shared" si="46"/>
        <v/>
      </c>
      <c r="FG30" s="11" t="str">
        <f t="shared" si="47"/>
        <v/>
      </c>
      <c r="FH30" s="11" t="str">
        <f t="shared" si="48"/>
        <v/>
      </c>
      <c r="FI30" s="11" t="str">
        <f t="shared" si="49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0"/>
        <v/>
      </c>
      <c r="GE30" s="40" t="str">
        <f t="shared" si="51"/>
        <v/>
      </c>
      <c r="GF30" s="40" t="str">
        <f t="shared" si="52"/>
        <v/>
      </c>
      <c r="GG30" s="40" t="str">
        <f t="shared" si="53"/>
        <v/>
      </c>
      <c r="GH30" s="40" t="str">
        <f t="shared" si="54"/>
        <v/>
      </c>
      <c r="GI30" s="40" t="str">
        <f t="shared" si="55"/>
        <v/>
      </c>
      <c r="GJ30" s="40" t="str">
        <f t="shared" si="56"/>
        <v/>
      </c>
      <c r="GK30" s="40" t="str">
        <f t="shared" si="57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58"/>
        <v/>
      </c>
      <c r="HG30" s="11" t="str">
        <f t="shared" si="59"/>
        <v/>
      </c>
      <c r="HH30" s="11" t="str">
        <f t="shared" si="60"/>
        <v/>
      </c>
      <c r="HI30" s="11" t="str">
        <f t="shared" si="61"/>
        <v/>
      </c>
      <c r="HJ30" s="11" t="str">
        <f t="shared" si="62"/>
        <v/>
      </c>
      <c r="HK30" s="11" t="str">
        <f t="shared" si="63"/>
        <v/>
      </c>
      <c r="HL30" s="11" t="str">
        <f t="shared" si="64"/>
        <v/>
      </c>
      <c r="HM30" s="11" t="str">
        <f t="shared" si="65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66"/>
        <v/>
      </c>
      <c r="II30" s="40" t="str">
        <f t="shared" si="67"/>
        <v/>
      </c>
      <c r="IJ30" s="40" t="str">
        <f t="shared" si="68"/>
        <v/>
      </c>
      <c r="IK30" s="40" t="str">
        <f t="shared" si="69"/>
        <v/>
      </c>
      <c r="IL30" s="40" t="str">
        <f t="shared" si="70"/>
        <v/>
      </c>
      <c r="IM30" s="40" t="str">
        <f t="shared" si="71"/>
        <v/>
      </c>
      <c r="IN30" s="40" t="str">
        <f t="shared" si="72"/>
        <v/>
      </c>
      <c r="IO30" s="40" t="str">
        <f t="shared" si="73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4"/>
        <v/>
      </c>
      <c r="JK30" s="11" t="str">
        <f t="shared" si="75"/>
        <v/>
      </c>
      <c r="JL30" s="11" t="str">
        <f t="shared" si="76"/>
        <v/>
      </c>
      <c r="JM30" s="11" t="str">
        <f t="shared" si="77"/>
        <v/>
      </c>
      <c r="JN30" s="11" t="str">
        <f t="shared" si="78"/>
        <v/>
      </c>
      <c r="JO30" s="11" t="str">
        <f t="shared" si="79"/>
        <v/>
      </c>
      <c r="JP30" s="11" t="str">
        <f t="shared" si="80"/>
        <v/>
      </c>
      <c r="JQ30" s="11" t="str">
        <f t="shared" si="81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2"/>
        <v/>
      </c>
      <c r="KM30" s="40" t="str">
        <f t="shared" si="83"/>
        <v/>
      </c>
      <c r="KN30" s="40" t="str">
        <f t="shared" si="84"/>
        <v/>
      </c>
      <c r="KO30" s="40" t="str">
        <f t="shared" si="85"/>
        <v/>
      </c>
      <c r="KP30" s="40" t="str">
        <f t="shared" si="86"/>
        <v/>
      </c>
      <c r="KQ30" s="40" t="str">
        <f t="shared" si="87"/>
        <v/>
      </c>
      <c r="KR30" s="40" t="str">
        <f t="shared" si="88"/>
        <v/>
      </c>
      <c r="KS30" s="40" t="str">
        <f t="shared" si="89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0"/>
        <v/>
      </c>
      <c r="LO30" s="11" t="str">
        <f t="shared" si="91"/>
        <v/>
      </c>
      <c r="LP30" s="11" t="str">
        <f t="shared" si="92"/>
        <v/>
      </c>
      <c r="LQ30" s="11" t="str">
        <f t="shared" si="93"/>
        <v/>
      </c>
      <c r="LR30" s="11" t="str">
        <f t="shared" si="94"/>
        <v/>
      </c>
      <c r="LS30" s="11" t="str">
        <f t="shared" si="95"/>
        <v/>
      </c>
      <c r="LT30" s="11" t="str">
        <f t="shared" si="96"/>
        <v/>
      </c>
      <c r="LU30" s="11" t="str">
        <f t="shared" si="97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98"/>
        <v/>
      </c>
      <c r="MQ30" s="40" t="str">
        <f t="shared" si="99"/>
        <v/>
      </c>
      <c r="MR30" s="40" t="str">
        <f t="shared" si="100"/>
        <v/>
      </c>
      <c r="MS30" s="40" t="str">
        <f t="shared" si="101"/>
        <v/>
      </c>
      <c r="MT30" s="40" t="str">
        <f t="shared" si="102"/>
        <v/>
      </c>
      <c r="MU30" s="40" t="str">
        <f t="shared" si="103"/>
        <v/>
      </c>
      <c r="MV30" s="40" t="str">
        <f t="shared" si="104"/>
        <v/>
      </c>
      <c r="MW30" s="40" t="str">
        <f t="shared" si="105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06"/>
        <v/>
      </c>
      <c r="NS30" s="11" t="str">
        <f t="shared" si="107"/>
        <v/>
      </c>
      <c r="NT30" s="11" t="str">
        <f t="shared" si="108"/>
        <v/>
      </c>
      <c r="NU30" s="11" t="str">
        <f t="shared" si="109"/>
        <v/>
      </c>
      <c r="NV30" s="11" t="str">
        <f t="shared" si="110"/>
        <v/>
      </c>
      <c r="NW30" s="11" t="str">
        <f t="shared" si="111"/>
        <v/>
      </c>
      <c r="NX30" s="11" t="str">
        <f t="shared" si="112"/>
        <v/>
      </c>
      <c r="NY30" s="11" t="str">
        <f t="shared" si="113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4"/>
        <v/>
      </c>
      <c r="OU30" s="40" t="str">
        <f t="shared" si="115"/>
        <v/>
      </c>
      <c r="OV30" s="40" t="str">
        <f t="shared" si="116"/>
        <v/>
      </c>
      <c r="OW30" s="40" t="str">
        <f t="shared" si="117"/>
        <v/>
      </c>
      <c r="OX30" s="40" t="str">
        <f t="shared" si="118"/>
        <v/>
      </c>
      <c r="OY30" s="40" t="str">
        <f t="shared" si="119"/>
        <v/>
      </c>
      <c r="OZ30" s="40" t="str">
        <f t="shared" si="120"/>
        <v/>
      </c>
      <c r="PA30" s="40" t="str">
        <f t="shared" si="121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2"/>
        <v/>
      </c>
      <c r="PW30" s="11" t="str">
        <f t="shared" si="123"/>
        <v/>
      </c>
      <c r="PX30" s="11" t="str">
        <f t="shared" si="124"/>
        <v/>
      </c>
      <c r="PY30" s="11" t="str">
        <f t="shared" si="125"/>
        <v/>
      </c>
      <c r="PZ30" s="11" t="str">
        <f t="shared" si="126"/>
        <v/>
      </c>
      <c r="QA30" s="11" t="str">
        <f t="shared" si="127"/>
        <v/>
      </c>
      <c r="QB30" s="11" t="str">
        <f t="shared" si="128"/>
        <v/>
      </c>
      <c r="QC30" s="11" t="str">
        <f t="shared" si="129"/>
        <v/>
      </c>
      <c r="QD30" s="22">
        <f t="shared" si="130"/>
        <v>0</v>
      </c>
      <c r="QE30" s="22">
        <f t="shared" si="131"/>
        <v>0</v>
      </c>
      <c r="QF30" s="22">
        <f t="shared" si="132"/>
        <v>0</v>
      </c>
      <c r="QG30" s="22">
        <f t="shared" si="133"/>
        <v>0</v>
      </c>
      <c r="QH30" s="22">
        <f t="shared" si="134"/>
        <v>0</v>
      </c>
      <c r="QI30" s="22">
        <f t="shared" si="135"/>
        <v>0</v>
      </c>
      <c r="QJ30" s="22">
        <f t="shared" si="136"/>
        <v>0</v>
      </c>
      <c r="QK30" s="22">
        <f t="shared" si="137"/>
        <v>0</v>
      </c>
      <c r="QL30" s="22">
        <f t="shared" si="138"/>
        <v>0</v>
      </c>
      <c r="QM30" s="22">
        <f t="shared" si="139"/>
        <v>0</v>
      </c>
      <c r="QN30" s="22">
        <f t="shared" si="140"/>
        <v>0</v>
      </c>
      <c r="QO30" s="22">
        <f t="shared" si="141"/>
        <v>0</v>
      </c>
      <c r="QP30" s="22">
        <f t="shared" si="142"/>
        <v>0</v>
      </c>
      <c r="QQ30" s="22">
        <f t="shared" si="143"/>
        <v>0</v>
      </c>
      <c r="QR30" s="22">
        <f t="shared" si="144"/>
        <v>0</v>
      </c>
      <c r="QS30" s="22">
        <f t="shared" si="145"/>
        <v>0</v>
      </c>
      <c r="QT30" s="22">
        <f t="shared" si="146"/>
        <v>0</v>
      </c>
      <c r="QU30" s="22">
        <f t="shared" si="147"/>
        <v>0</v>
      </c>
      <c r="QV30" s="22">
        <f t="shared" si="148"/>
        <v>0</v>
      </c>
      <c r="QW30" s="22">
        <f t="shared" si="149"/>
        <v>0</v>
      </c>
      <c r="QX30" s="27" t="s">
        <v>46</v>
      </c>
      <c r="QY30" s="40" t="str">
        <f t="shared" si="150"/>
        <v/>
      </c>
      <c r="QZ30" s="40" t="str">
        <f t="shared" si="151"/>
        <v/>
      </c>
      <c r="RA30" s="40" t="str">
        <f t="shared" si="152"/>
        <v/>
      </c>
      <c r="RB30" s="40" t="str">
        <f t="shared" si="153"/>
        <v/>
      </c>
      <c r="RC30" s="40" t="str">
        <f t="shared" si="154"/>
        <v/>
      </c>
      <c r="RD30" s="40" t="str">
        <f t="shared" si="155"/>
        <v/>
      </c>
      <c r="RE30" s="40" t="str">
        <f t="shared" si="156"/>
        <v/>
      </c>
      <c r="RF30" s="40" t="str">
        <f t="shared" si="157"/>
        <v/>
      </c>
    </row>
    <row r="31" spans="1:474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154</v>
      </c>
      <c r="D31" s="4" t="s">
        <v>31</v>
      </c>
      <c r="E31" s="4">
        <v>2005</v>
      </c>
      <c r="F31" s="9">
        <f t="shared" si="0"/>
        <v>43.6</v>
      </c>
      <c r="G31" s="64"/>
      <c r="H31" s="3" t="str">
        <f>IF(OR(AND(AP31&gt;=AW$39,AQ31&gt;=AW$43,AP31&lt;&gt;"",AO31=""),AND(AU31&gt;=AW$39,AV31&gt;=AW$43,AU31&lt;&gt;"",AO31=""),AND(BS31&gt;=BZ$39,BT31&gt;=BZ$43,BS31&lt;&gt;"",BR31=""),AND(BX31&gt;=BZ$39,BY31&gt;=BZ$43,BX31&lt;&gt;"",BR31=""),AND(CV31&gt;=DC$39,CW31&gt;=DC$43,CV31&lt;&gt;"",CU31=""),AND(DA31&gt;=DC$39,DB31&gt;=DC$43,DA31&lt;&gt;""),AND(DZ31&gt;=EG$39,EA31&gt;=EG$43,DZ31&lt;&gt;""),AND(EE31&gt;=EG$39,EF31&gt;=EG$43,EE31&lt;&gt;""),AND(FB31&gt;=FI$39,FC31&gt;=FI$43,FB31&lt;&gt;""),AND(FG31&gt;=FI$39,FH31&gt;=FI$43,FG31&lt;&gt;""),AND(GD31&gt;=GK$39,GE31&gt;=GK$43,GD31&lt;&gt;""),AND(GI31&gt;=GK$39,GJ31&gt;=GK$43,GI31&lt;&gt;""),AND(HF31&gt;=HM$39,HG31&gt;=HM$43,HF31&lt;&gt;""),AND(HK31&gt;=HM$39,HL31&gt;=HM$43,HK31&lt;&gt;""),AND(IH31&gt;=IO$39,II31&gt;=IO$43,IH31&lt;&gt;""),AND(IM31&gt;=IO$39,IN31&gt;=IO$43,IM31&lt;&gt;""),AND(JJ31&gt;=JQ$39,JK31&gt;=JQ$43,JJ31&lt;&gt;""),AND(JO31&gt;=JQ$39,JP31&gt;=JQ$43,JO31&lt;&gt;""),AND(KL31&gt;=KS$39,KM31&gt;=KS$43,KL31&lt;&gt;""),AND(KQ31&gt;=KS$39,KR31&gt;=KS$43,KQ31&lt;&gt;""),AND(LN31&gt;=LU$39,LO31&gt;=LU$43,LN31&lt;&gt;""),AND(LS31&gt;=LU$39,LT31&gt;=LU$43,LS31&lt;&gt;""),AND(MP31&gt;=MW$39,MQ31&gt;=MW$43,MP31&lt;&gt;""),AND(MU31&gt;=MW$39,MV31&gt;=MW$43,MU31&lt;&gt;""),AND(NR31&gt;=NY$39,NS31&gt;=NY$43,NR31&lt;&gt;""),AND(NW31&gt;=NY$39,NX31&gt;=NY$43,NW31&lt;&gt;""),AND(OT31&gt;=PA$39,OU31&gt;=PA$43,OT31&lt;&gt;""),AND(OY31&gt;=PA$39,OZ31&gt;=PA$43,OY31&lt;&gt;""),AND(PV31&gt;=QC$39,PW31&gt;=QC$43,PV31&lt;&gt;""),AND(QA31&gt;=QC$39,QB31&gt;=QC$43,QA31&lt;&gt;"")),"P","")</f>
        <v/>
      </c>
      <c r="I31" s="3" t="str">
        <f>IF(OR(AND(AQ31&gt;=AW$43,AQ31&lt;&gt;"",AO31=""),AND(AV31&gt;=AW$43,AV31&lt;&gt;"",AO31=""),AND(BT31&gt;=BZ$43,BT31&lt;&gt;"",BR31=""),AND(BY31&gt;=BZ$43,BY31&lt;&gt;"",BR31=""),AND(CW31&gt;=DC$43,CW31&lt;&gt;"",CU31=""),AND(DB31&gt;=DC$43,DB31&lt;&gt;"",CU31=""),AND(EA31&gt;=EG$43,EA31&lt;&gt;""),AND(EF31&gt;=EG$43,EF31&lt;&gt;""),AND(FC31&gt;=FI$43,FC31&lt;&gt;""),AND(FH31&gt;=FI$43,FH31&lt;&gt;""),AND(GE31&gt;=GK$43,GE31&lt;&gt;""),AND(GJ31&gt;=GK$43,GJ31&lt;&gt;""),AND(HG31&gt;=HM$43,HG31&lt;&gt;""),AND(HL31&gt;=HM$43,HL31&lt;&gt;""),AND(II31&gt;=IO$43,II31&lt;&gt;""),AND(IN31&gt;=IO$43,IN31&lt;&gt;""),AND(JK31&gt;=JQ$43,JK31&lt;&gt;""),AND(JP31&gt;=JQ$43,JP31&lt;&gt;""),AND(KM31&gt;=KS$43,KM31&lt;&gt;""),AND(KR31&gt;=KS$43,KR31&lt;&gt;""),AND(LO31&gt;=LU$43,LO31&lt;&gt;""),AND(LT31&gt;=LU$43,LT31&lt;&gt;""),AND(MQ31&gt;=MW$43,MQ31&lt;&gt;""),AND(MV31&gt;=MW$43,MV31&lt;&gt;""),AND(NS31&gt;=NY$43,NS31&lt;&gt;""),AND(NX31&gt;=NY$43,NX31&lt;&gt;""),AND(OU31&gt;=PA$43,OU31&lt;&gt;""),AND(OZ31&gt;=PA$43,OZ31&lt;&gt;""),AND(PW31&gt;=QC$43,PW31&lt;&gt;""),AND(QB31&gt;=QC$43,QB31&lt;&gt;"")),"P","")</f>
        <v/>
      </c>
      <c r="J31" s="36" t="str">
        <f>IF(AND(I31="P",H31=""),"No DD",IF(OR(AND(AS31&gt;=AW$42,AT31&gt;=AW$46,AS31&lt;&gt;"",AO31=""),AND(BV31&gt;=BZ$42,BW31&gt;=BZ$46,BV31&lt;&gt;"",BR31=""),AND(CY31&gt;=DC$42,CZ31&gt;=DC$46,CY31&lt;&gt;"",CU31=""),AND(EC31&gt;=EG$42,ED31&gt;=EG$46,EC31&lt;&gt;""),AND(FE31&gt;=FI$42,FF31&gt;=FI$46,FE31&lt;&gt;""),AND(GG31&gt;=GK$42,GH31&gt;=GK$46,GG31&lt;&gt;""),AND(HI31&gt;=HM$42,HJ31&gt;=HM$46,HI31&lt;&gt;""),AND(IK31&gt;=IO$42,IL31&gt;=IO$46,IK31&lt;&gt;""),AND(JM31&gt;=JQ$42,JN31&gt;=JQ$46,JM31&lt;&gt;""),AND(KO31&gt;=KS$42,KP31&gt;=KS$46,KO31&lt;&gt;""),AND(LQ31&gt;=LU$42,LR31&gt;=LU$46,LQ31&lt;&gt;""),AND(MS31&gt;=MW$42,MT31&gt;=MW$46,MS31&lt;&gt;""),AND(NU31&gt;=NY$42,NV31&gt;=NY$46,NU31&lt;&gt;""),AND(OW31&gt;=PA$42,OX31&gt;=PA$46,OW31&lt;&gt;""),AND(PY31&gt;=QC$42,PZ31&gt;=QC$46,PY31&lt;&gt;"")),"Merit",IF(OR(AND(AS31&gt;=AW$41,AT31&gt;=AW$45,AS31&lt;&gt;"",AO31=""),AND(BV31&gt;=BZ$41,BW31&gt;=BZ$45,BV31&lt;&gt;"",BR31=""),AND(CY31&gt;=DC$41,CZ31&gt;=DC$45,CY31&lt;&gt;"",CU31=""),AND(EC31&gt;=EG$41,ED31&gt;=EG$45,EC31&lt;&gt;""),AND(FE31&gt;=FI$41,FF31&gt;=FI$45,FE31&lt;&gt;""),AND(GG31&gt;=GK$41,GH31&gt;=GK$45,GG31&lt;&gt;""),AND(HI31&gt;=HM$41,HJ31&gt;=HM$45,HI31&lt;&gt;""),AND(IK31&gt;=IO$41,IL31&gt;=IO$45,IK31&lt;&gt;""),AND(JM31&gt;=JQ$41,JN31&gt;=JQ$45,JM31&lt;&gt;""),AND(KO31&gt;=KS$41,KP31&gt;=KS$45,KO31&lt;&gt;""),AND(LQ31&gt;=LU$41,LR31&gt;=LU$45,LQ31&lt;&gt;""),AND(MS31&gt;=MW$41,MT31&gt;=MW$45,MS31&lt;&gt;""),AND(NU31&gt;=NY$41,NV31&gt;=NY$45,NU31&lt;&gt;""),AND(OW31&gt;=PA$41,OX31&gt;=PA$45,OW31&lt;&gt;""),AND(PY31&gt;=QC$41,PZ31&gt;=QC$45,PY31&lt;&gt;"")),"Excellence",IF(K31="P","Worlds Team",IF(H31="P","National Team","")))))</f>
        <v/>
      </c>
      <c r="K31" s="3" t="str">
        <f>IF(OR(AND(AS31&gt;=AW$40,AT31&gt;=AW$44,AS31&lt;&gt;"",AO31=""),AND(BV31&gt;=BZ$40,BW31&gt;=BZ$44,BV31&lt;&gt;"",BR31=""),AND(CY31&gt;=DC$40,CZ31&gt;=DC$44,CY31&lt;&gt;"",CU31=""),AND(EC31&gt;=EG$40,ED31&gt;=EG$44,EC31&lt;&gt;""),AND(FE31&gt;=FI$40,FF31&gt;=FI$44,FE31&lt;&gt;""),AND(GG31&gt;=GK$40,GH31&gt;=GK$44,GG31&lt;&gt;""),AND(HI31&gt;=HM$40,HJ31&gt;=HM$44,HI31&lt;&gt;""),AND(IK31&gt;=IO$40,IL31&gt;=IO$44,IK31&lt;&gt;""),AND(JM31&gt;=JQ$40,JN31&gt;=JQ$44,JM31&lt;&gt;""),AND(KO31&gt;=KS$40,KP31&gt;=KS$44,KO31&lt;&gt;""),AND(LQ31&gt;=LU$40,LR31&gt;=LU$44,LQ31&lt;&gt;""),AND(MS31&gt;=MW$40,MT31&gt;=MW$44,MS31&lt;&gt;""),AND(NU31&gt;=NY$40,NV31&gt;=NY$44,NU31&lt;&gt;""),AND(OW31&gt;=PA$40,OX31&gt;=PA$44,OW31&lt;&gt;""),AND(PY31&gt;=QC$40,PZ31&gt;=QC$44,PY31&lt;&gt;"")),"P","")</f>
        <v/>
      </c>
      <c r="L31" s="8">
        <f>IF(COUNT(AQ31,BT31,CW31)&gt;0,LARGE((AQ31,BT31,CW31),1),0)</f>
        <v>0</v>
      </c>
      <c r="M31" s="8" t="str">
        <f t="shared" si="1"/>
        <v/>
      </c>
      <c r="N31" s="8">
        <f>IF(COUNT(AQ31,BT31,CW31)&gt;1,LARGE((AQ31,BT31,CW31),2),0)</f>
        <v>0</v>
      </c>
      <c r="O31" s="8" t="str">
        <f t="shared" si="2"/>
        <v/>
      </c>
      <c r="P31" s="8">
        <f t="shared" si="3"/>
        <v>0</v>
      </c>
      <c r="Q31" s="8" t="str">
        <f t="shared" si="4"/>
        <v/>
      </c>
      <c r="R31" s="8">
        <f t="shared" si="5"/>
        <v>43.6</v>
      </c>
      <c r="S31" s="11" t="str">
        <f t="shared" si="6"/>
        <v>(Q1)</v>
      </c>
      <c r="T31" s="8" t="str">
        <f t="shared" si="7"/>
        <v>2024 Coimbra Gym Fest (July 7)</v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8"/>
        <v/>
      </c>
      <c r="AQ31" s="40" t="str">
        <f t="shared" si="9"/>
        <v/>
      </c>
      <c r="AR31" s="40" t="str">
        <f t="shared" si="10"/>
        <v/>
      </c>
      <c r="AS31" s="40" t="str">
        <f t="shared" si="11"/>
        <v/>
      </c>
      <c r="AT31" s="40" t="str">
        <f t="shared" si="12"/>
        <v/>
      </c>
      <c r="AU31" s="40" t="str">
        <f t="shared" si="13"/>
        <v/>
      </c>
      <c r="AV31" s="40" t="str">
        <f t="shared" si="14"/>
        <v/>
      </c>
      <c r="AW31" s="40" t="str">
        <f t="shared" si="15"/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16"/>
        <v/>
      </c>
      <c r="BT31" s="11" t="str">
        <f t="shared" si="17"/>
        <v/>
      </c>
      <c r="BU31" s="11" t="str">
        <f t="shared" si="18"/>
        <v/>
      </c>
      <c r="BV31" s="11" t="str">
        <f t="shared" si="19"/>
        <v/>
      </c>
      <c r="BW31" s="11" t="str">
        <f t="shared" si="20"/>
        <v/>
      </c>
      <c r="BX31" s="11" t="str">
        <f t="shared" si="21"/>
        <v/>
      </c>
      <c r="BY31" s="11" t="str">
        <f t="shared" si="22"/>
        <v/>
      </c>
      <c r="BZ31" s="11" t="str">
        <f t="shared" si="23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4"/>
        <v/>
      </c>
      <c r="CW31" s="40" t="str">
        <f t="shared" si="25"/>
        <v/>
      </c>
      <c r="CX31" s="40" t="str">
        <f t="shared" si="26"/>
        <v/>
      </c>
      <c r="CY31" s="40" t="str">
        <f t="shared" si="27"/>
        <v/>
      </c>
      <c r="CZ31" s="40" t="str">
        <f t="shared" si="28"/>
        <v/>
      </c>
      <c r="DA31" s="40" t="str">
        <f t="shared" si="29"/>
        <v/>
      </c>
      <c r="DB31" s="40" t="str">
        <f t="shared" si="30"/>
        <v/>
      </c>
      <c r="DC31" s="40" t="str">
        <f t="shared" si="31"/>
        <v/>
      </c>
      <c r="DD31" s="50">
        <f t="shared" si="32"/>
        <v>43.6</v>
      </c>
      <c r="DE31" s="50" t="str">
        <f t="shared" si="33"/>
        <v/>
      </c>
      <c r="DF31" s="17">
        <v>18.8</v>
      </c>
      <c r="DG31" s="17">
        <v>3.5</v>
      </c>
      <c r="DH31" s="17">
        <v>0.8</v>
      </c>
      <c r="DI31" s="17">
        <v>0</v>
      </c>
      <c r="DJ31" s="17">
        <v>18.5</v>
      </c>
      <c r="DK31" s="17">
        <v>3.6</v>
      </c>
      <c r="DL31" s="17">
        <v>0</v>
      </c>
      <c r="DM31" s="17">
        <v>0</v>
      </c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>
        <f t="shared" si="34"/>
        <v>7.1</v>
      </c>
      <c r="EA31" s="40">
        <f t="shared" si="35"/>
        <v>43.6</v>
      </c>
      <c r="EB31" s="40" t="str">
        <f t="shared" si="36"/>
        <v/>
      </c>
      <c r="EC31" s="40">
        <f t="shared" si="37"/>
        <v>7.1</v>
      </c>
      <c r="ED31" s="40">
        <f t="shared" si="38"/>
        <v>43.6</v>
      </c>
      <c r="EE31" s="40" t="str">
        <f t="shared" si="39"/>
        <v/>
      </c>
      <c r="EF31" s="40" t="str">
        <f t="shared" si="40"/>
        <v/>
      </c>
      <c r="EG31" s="40">
        <f t="shared" si="41"/>
        <v>43.6</v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2"/>
        <v/>
      </c>
      <c r="FC31" s="11" t="str">
        <f t="shared" si="43"/>
        <v/>
      </c>
      <c r="FD31" s="11" t="str">
        <f t="shared" si="44"/>
        <v/>
      </c>
      <c r="FE31" s="11" t="str">
        <f t="shared" si="45"/>
        <v/>
      </c>
      <c r="FF31" s="11" t="str">
        <f t="shared" si="46"/>
        <v/>
      </c>
      <c r="FG31" s="11" t="str">
        <f t="shared" si="47"/>
        <v/>
      </c>
      <c r="FH31" s="11" t="str">
        <f t="shared" si="48"/>
        <v/>
      </c>
      <c r="FI31" s="11" t="str">
        <f t="shared" si="49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0"/>
        <v/>
      </c>
      <c r="GE31" s="40" t="str">
        <f t="shared" si="51"/>
        <v/>
      </c>
      <c r="GF31" s="40" t="str">
        <f t="shared" si="52"/>
        <v/>
      </c>
      <c r="GG31" s="40" t="str">
        <f t="shared" si="53"/>
        <v/>
      </c>
      <c r="GH31" s="40" t="str">
        <f t="shared" si="54"/>
        <v/>
      </c>
      <c r="GI31" s="40" t="str">
        <f t="shared" si="55"/>
        <v/>
      </c>
      <c r="GJ31" s="40" t="str">
        <f t="shared" si="56"/>
        <v/>
      </c>
      <c r="GK31" s="40" t="str">
        <f t="shared" si="57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58"/>
        <v/>
      </c>
      <c r="HG31" s="11" t="str">
        <f t="shared" si="59"/>
        <v/>
      </c>
      <c r="HH31" s="11" t="str">
        <f t="shared" si="60"/>
        <v/>
      </c>
      <c r="HI31" s="11" t="str">
        <f t="shared" si="61"/>
        <v/>
      </c>
      <c r="HJ31" s="11" t="str">
        <f t="shared" si="62"/>
        <v/>
      </c>
      <c r="HK31" s="11" t="str">
        <f t="shared" si="63"/>
        <v/>
      </c>
      <c r="HL31" s="11" t="str">
        <f t="shared" si="64"/>
        <v/>
      </c>
      <c r="HM31" s="11" t="str">
        <f t="shared" si="65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66"/>
        <v/>
      </c>
      <c r="II31" s="40" t="str">
        <f t="shared" si="67"/>
        <v/>
      </c>
      <c r="IJ31" s="40" t="str">
        <f t="shared" si="68"/>
        <v/>
      </c>
      <c r="IK31" s="40" t="str">
        <f t="shared" si="69"/>
        <v/>
      </c>
      <c r="IL31" s="40" t="str">
        <f t="shared" si="70"/>
        <v/>
      </c>
      <c r="IM31" s="40" t="str">
        <f t="shared" si="71"/>
        <v/>
      </c>
      <c r="IN31" s="40" t="str">
        <f t="shared" si="72"/>
        <v/>
      </c>
      <c r="IO31" s="40" t="str">
        <f t="shared" si="73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4"/>
        <v/>
      </c>
      <c r="JK31" s="11" t="str">
        <f t="shared" si="75"/>
        <v/>
      </c>
      <c r="JL31" s="11" t="str">
        <f t="shared" si="76"/>
        <v/>
      </c>
      <c r="JM31" s="11" t="str">
        <f t="shared" si="77"/>
        <v/>
      </c>
      <c r="JN31" s="11" t="str">
        <f t="shared" si="78"/>
        <v/>
      </c>
      <c r="JO31" s="11" t="str">
        <f t="shared" si="79"/>
        <v/>
      </c>
      <c r="JP31" s="11" t="str">
        <f t="shared" si="80"/>
        <v/>
      </c>
      <c r="JQ31" s="11" t="str">
        <f t="shared" si="81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2"/>
        <v/>
      </c>
      <c r="KM31" s="40" t="str">
        <f t="shared" si="83"/>
        <v/>
      </c>
      <c r="KN31" s="40" t="str">
        <f t="shared" si="84"/>
        <v/>
      </c>
      <c r="KO31" s="40" t="str">
        <f t="shared" si="85"/>
        <v/>
      </c>
      <c r="KP31" s="40" t="str">
        <f t="shared" si="86"/>
        <v/>
      </c>
      <c r="KQ31" s="40" t="str">
        <f t="shared" si="87"/>
        <v/>
      </c>
      <c r="KR31" s="40" t="str">
        <f t="shared" si="88"/>
        <v/>
      </c>
      <c r="KS31" s="40" t="str">
        <f t="shared" si="89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0"/>
        <v/>
      </c>
      <c r="LO31" s="11" t="str">
        <f t="shared" si="91"/>
        <v/>
      </c>
      <c r="LP31" s="11" t="str">
        <f t="shared" si="92"/>
        <v/>
      </c>
      <c r="LQ31" s="11" t="str">
        <f t="shared" si="93"/>
        <v/>
      </c>
      <c r="LR31" s="11" t="str">
        <f t="shared" si="94"/>
        <v/>
      </c>
      <c r="LS31" s="11" t="str">
        <f t="shared" si="95"/>
        <v/>
      </c>
      <c r="LT31" s="11" t="str">
        <f t="shared" si="96"/>
        <v/>
      </c>
      <c r="LU31" s="11" t="str">
        <f t="shared" si="97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98"/>
        <v/>
      </c>
      <c r="MQ31" s="40" t="str">
        <f t="shared" si="99"/>
        <v/>
      </c>
      <c r="MR31" s="40" t="str">
        <f t="shared" si="100"/>
        <v/>
      </c>
      <c r="MS31" s="40" t="str">
        <f t="shared" si="101"/>
        <v/>
      </c>
      <c r="MT31" s="40" t="str">
        <f t="shared" si="102"/>
        <v/>
      </c>
      <c r="MU31" s="40" t="str">
        <f t="shared" si="103"/>
        <v/>
      </c>
      <c r="MV31" s="40" t="str">
        <f t="shared" si="104"/>
        <v/>
      </c>
      <c r="MW31" s="40" t="str">
        <f t="shared" si="105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06"/>
        <v/>
      </c>
      <c r="NS31" s="11" t="str">
        <f t="shared" si="107"/>
        <v/>
      </c>
      <c r="NT31" s="11" t="str">
        <f t="shared" si="108"/>
        <v/>
      </c>
      <c r="NU31" s="11" t="str">
        <f t="shared" si="109"/>
        <v/>
      </c>
      <c r="NV31" s="11" t="str">
        <f t="shared" si="110"/>
        <v/>
      </c>
      <c r="NW31" s="11" t="str">
        <f t="shared" si="111"/>
        <v/>
      </c>
      <c r="NX31" s="11" t="str">
        <f t="shared" si="112"/>
        <v/>
      </c>
      <c r="NY31" s="11" t="str">
        <f t="shared" si="113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4"/>
        <v/>
      </c>
      <c r="OU31" s="40" t="str">
        <f t="shared" si="115"/>
        <v/>
      </c>
      <c r="OV31" s="40" t="str">
        <f t="shared" si="116"/>
        <v/>
      </c>
      <c r="OW31" s="40" t="str">
        <f t="shared" si="117"/>
        <v/>
      </c>
      <c r="OX31" s="40" t="str">
        <f t="shared" si="118"/>
        <v/>
      </c>
      <c r="OY31" s="40" t="str">
        <f t="shared" si="119"/>
        <v/>
      </c>
      <c r="OZ31" s="40" t="str">
        <f t="shared" si="120"/>
        <v/>
      </c>
      <c r="PA31" s="40" t="str">
        <f t="shared" si="121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2"/>
        <v/>
      </c>
      <c r="PW31" s="11" t="str">
        <f t="shared" si="123"/>
        <v/>
      </c>
      <c r="PX31" s="11" t="str">
        <f t="shared" si="124"/>
        <v/>
      </c>
      <c r="PY31" s="11" t="str">
        <f t="shared" si="125"/>
        <v/>
      </c>
      <c r="PZ31" s="11" t="str">
        <f t="shared" si="126"/>
        <v/>
      </c>
      <c r="QA31" s="11" t="str">
        <f t="shared" si="127"/>
        <v/>
      </c>
      <c r="QB31" s="11" t="str">
        <f t="shared" si="128"/>
        <v/>
      </c>
      <c r="QC31" s="11" t="str">
        <f t="shared" si="129"/>
        <v/>
      </c>
      <c r="QD31" s="22">
        <f t="shared" si="130"/>
        <v>0</v>
      </c>
      <c r="QE31" s="22">
        <f t="shared" si="131"/>
        <v>0</v>
      </c>
      <c r="QF31" s="22">
        <f t="shared" si="132"/>
        <v>0</v>
      </c>
      <c r="QG31" s="22">
        <f t="shared" si="133"/>
        <v>0</v>
      </c>
      <c r="QH31" s="22">
        <f t="shared" si="134"/>
        <v>0</v>
      </c>
      <c r="QI31" s="22">
        <f t="shared" si="135"/>
        <v>0</v>
      </c>
      <c r="QJ31" s="22">
        <f t="shared" si="136"/>
        <v>0</v>
      </c>
      <c r="QK31" s="22">
        <f t="shared" si="137"/>
        <v>0</v>
      </c>
      <c r="QL31" s="22">
        <f t="shared" si="138"/>
        <v>0</v>
      </c>
      <c r="QM31" s="22">
        <f t="shared" si="139"/>
        <v>0</v>
      </c>
      <c r="QN31" s="22">
        <f t="shared" si="140"/>
        <v>0</v>
      </c>
      <c r="QO31" s="22">
        <f t="shared" si="141"/>
        <v>0</v>
      </c>
      <c r="QP31" s="22">
        <f t="shared" si="142"/>
        <v>0</v>
      </c>
      <c r="QQ31" s="22">
        <f t="shared" si="143"/>
        <v>0</v>
      </c>
      <c r="QR31" s="22">
        <f t="shared" si="144"/>
        <v>0</v>
      </c>
      <c r="QS31" s="22">
        <f t="shared" si="145"/>
        <v>0</v>
      </c>
      <c r="QT31" s="22">
        <f t="shared" si="146"/>
        <v>0</v>
      </c>
      <c r="QU31" s="22">
        <f t="shared" si="147"/>
        <v>0</v>
      </c>
      <c r="QV31" s="22">
        <f t="shared" si="148"/>
        <v>0</v>
      </c>
      <c r="QW31" s="22">
        <f t="shared" si="149"/>
        <v>0</v>
      </c>
      <c r="QX31" s="27" t="s">
        <v>46</v>
      </c>
      <c r="QY31" s="40" t="str">
        <f t="shared" si="150"/>
        <v/>
      </c>
      <c r="QZ31" s="40" t="str">
        <f t="shared" si="151"/>
        <v/>
      </c>
      <c r="RA31" s="40" t="str">
        <f t="shared" si="152"/>
        <v/>
      </c>
      <c r="RB31" s="40" t="str">
        <f t="shared" si="153"/>
        <v/>
      </c>
      <c r="RC31" s="40" t="str">
        <f t="shared" si="154"/>
        <v/>
      </c>
      <c r="RD31" s="40" t="str">
        <f t="shared" si="155"/>
        <v/>
      </c>
      <c r="RE31" s="40" t="str">
        <f t="shared" si="156"/>
        <v/>
      </c>
      <c r="RF31" s="40" t="str">
        <f t="shared" si="157"/>
        <v/>
      </c>
    </row>
    <row r="32" spans="1:474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164</v>
      </c>
      <c r="D32" s="4" t="s">
        <v>4</v>
      </c>
      <c r="E32" s="4">
        <v>2006</v>
      </c>
      <c r="F32" s="9">
        <f t="shared" si="0"/>
        <v>43.500004350004346</v>
      </c>
      <c r="G32" s="64"/>
      <c r="H32" s="3" t="str">
        <f>IF(OR(AND(AP32&gt;=AW$39,AQ32&gt;=AW$43,AP32&lt;&gt;"",AO32=""),AND(AU32&gt;=AW$39,AV32&gt;=AW$43,AU32&lt;&gt;"",AO32=""),AND(BS32&gt;=BZ$39,BT32&gt;=BZ$43,BS32&lt;&gt;"",BR32=""),AND(BX32&gt;=BZ$39,BY32&gt;=BZ$43,BX32&lt;&gt;"",BR32=""),AND(CV32&gt;=DC$39,CW32&gt;=DC$43,CV32&lt;&gt;"",CU32=""),AND(DA32&gt;=DC$39,DB32&gt;=DC$43,DA32&lt;&gt;""),AND(DZ32&gt;=EG$39,EA32&gt;=EG$43,DZ32&lt;&gt;""),AND(EE32&gt;=EG$39,EF32&gt;=EG$43,EE32&lt;&gt;""),AND(FB32&gt;=FI$39,FC32&gt;=FI$43,FB32&lt;&gt;""),AND(FG32&gt;=FI$39,FH32&gt;=FI$43,FG32&lt;&gt;""),AND(GD32&gt;=GK$39,GE32&gt;=GK$43,GD32&lt;&gt;""),AND(GI32&gt;=GK$39,GJ32&gt;=GK$43,GI32&lt;&gt;""),AND(HF32&gt;=HM$39,HG32&gt;=HM$43,HF32&lt;&gt;""),AND(HK32&gt;=HM$39,HL32&gt;=HM$43,HK32&lt;&gt;""),AND(IH32&gt;=IO$39,II32&gt;=IO$43,IH32&lt;&gt;""),AND(IM32&gt;=IO$39,IN32&gt;=IO$43,IM32&lt;&gt;""),AND(JJ32&gt;=JQ$39,JK32&gt;=JQ$43,JJ32&lt;&gt;""),AND(JO32&gt;=JQ$39,JP32&gt;=JQ$43,JO32&lt;&gt;""),AND(KL32&gt;=KS$39,KM32&gt;=KS$43,KL32&lt;&gt;""),AND(KQ32&gt;=KS$39,KR32&gt;=KS$43,KQ32&lt;&gt;""),AND(LN32&gt;=LU$39,LO32&gt;=LU$43,LN32&lt;&gt;""),AND(LS32&gt;=LU$39,LT32&gt;=LU$43,LS32&lt;&gt;""),AND(MP32&gt;=MW$39,MQ32&gt;=MW$43,MP32&lt;&gt;""),AND(MU32&gt;=MW$39,MV32&gt;=MW$43,MU32&lt;&gt;""),AND(NR32&gt;=NY$39,NS32&gt;=NY$43,NR32&lt;&gt;""),AND(NW32&gt;=NY$39,NX32&gt;=NY$43,NW32&lt;&gt;""),AND(OT32&gt;=PA$39,OU32&gt;=PA$43,OT32&lt;&gt;""),AND(OY32&gt;=PA$39,OZ32&gt;=PA$43,OY32&lt;&gt;""),AND(PV32&gt;=QC$39,PW32&gt;=QC$43,PV32&lt;&gt;""),AND(QA32&gt;=QC$39,QB32&gt;=QC$43,QA32&lt;&gt;"")),"P","")</f>
        <v/>
      </c>
      <c r="I32" s="3" t="str">
        <f>IF(OR(AND(AQ32&gt;=AW$43,AQ32&lt;&gt;"",AO32=""),AND(AV32&gt;=AW$43,AV32&lt;&gt;"",AO32=""),AND(BT32&gt;=BZ$43,BT32&lt;&gt;"",BR32=""),AND(BY32&gt;=BZ$43,BY32&lt;&gt;"",BR32=""),AND(CW32&gt;=DC$43,CW32&lt;&gt;"",CU32=""),AND(DB32&gt;=DC$43,DB32&lt;&gt;"",CU32=""),AND(EA32&gt;=EG$43,EA32&lt;&gt;""),AND(EF32&gt;=EG$43,EF32&lt;&gt;""),AND(FC32&gt;=FI$43,FC32&lt;&gt;""),AND(FH32&gt;=FI$43,FH32&lt;&gt;""),AND(GE32&gt;=GK$43,GE32&lt;&gt;""),AND(GJ32&gt;=GK$43,GJ32&lt;&gt;""),AND(HG32&gt;=HM$43,HG32&lt;&gt;""),AND(HL32&gt;=HM$43,HL32&lt;&gt;""),AND(II32&gt;=IO$43,II32&lt;&gt;""),AND(IN32&gt;=IO$43,IN32&lt;&gt;""),AND(JK32&gt;=JQ$43,JK32&lt;&gt;""),AND(JP32&gt;=JQ$43,JP32&lt;&gt;""),AND(KM32&gt;=KS$43,KM32&lt;&gt;""),AND(KR32&gt;=KS$43,KR32&lt;&gt;""),AND(LO32&gt;=LU$43,LO32&lt;&gt;""),AND(LT32&gt;=LU$43,LT32&lt;&gt;""),AND(MQ32&gt;=MW$43,MQ32&lt;&gt;""),AND(MV32&gt;=MW$43,MV32&lt;&gt;""),AND(NS32&gt;=NY$43,NS32&lt;&gt;""),AND(NX32&gt;=NY$43,NX32&lt;&gt;""),AND(OU32&gt;=PA$43,OU32&lt;&gt;""),AND(OZ32&gt;=PA$43,OZ32&lt;&gt;""),AND(PW32&gt;=QC$43,PW32&lt;&gt;""),AND(QB32&gt;=QC$43,QB32&lt;&gt;"")),"P","")</f>
        <v/>
      </c>
      <c r="J32" s="36" t="str">
        <f>IF(AND(I32="P",H32=""),"No DD",IF(OR(AND(AS32&gt;=AW$42,AT32&gt;=AW$46,AS32&lt;&gt;"",AO32=""),AND(BV32&gt;=BZ$42,BW32&gt;=BZ$46,BV32&lt;&gt;"",BR32=""),AND(CY32&gt;=DC$42,CZ32&gt;=DC$46,CY32&lt;&gt;"",CU32=""),AND(EC32&gt;=EG$42,ED32&gt;=EG$46,EC32&lt;&gt;""),AND(FE32&gt;=FI$42,FF32&gt;=FI$46,FE32&lt;&gt;""),AND(GG32&gt;=GK$42,GH32&gt;=GK$46,GG32&lt;&gt;""),AND(HI32&gt;=HM$42,HJ32&gt;=HM$46,HI32&lt;&gt;""),AND(IK32&gt;=IO$42,IL32&gt;=IO$46,IK32&lt;&gt;""),AND(JM32&gt;=JQ$42,JN32&gt;=JQ$46,JM32&lt;&gt;""),AND(KO32&gt;=KS$42,KP32&gt;=KS$46,KO32&lt;&gt;""),AND(LQ32&gt;=LU$42,LR32&gt;=LU$46,LQ32&lt;&gt;""),AND(MS32&gt;=MW$42,MT32&gt;=MW$46,MS32&lt;&gt;""),AND(NU32&gt;=NY$42,NV32&gt;=NY$46,NU32&lt;&gt;""),AND(OW32&gt;=PA$42,OX32&gt;=PA$46,OW32&lt;&gt;""),AND(PY32&gt;=QC$42,PZ32&gt;=QC$46,PY32&lt;&gt;"")),"Merit",IF(OR(AND(AS32&gt;=AW$41,AT32&gt;=AW$45,AS32&lt;&gt;"",AO32=""),AND(BV32&gt;=BZ$41,BW32&gt;=BZ$45,BV32&lt;&gt;"",BR32=""),AND(CY32&gt;=DC$41,CZ32&gt;=DC$45,CY32&lt;&gt;"",CU32=""),AND(EC32&gt;=EG$41,ED32&gt;=EG$45,EC32&lt;&gt;""),AND(FE32&gt;=FI$41,FF32&gt;=FI$45,FE32&lt;&gt;""),AND(GG32&gt;=GK$41,GH32&gt;=GK$45,GG32&lt;&gt;""),AND(HI32&gt;=HM$41,HJ32&gt;=HM$45,HI32&lt;&gt;""),AND(IK32&gt;=IO$41,IL32&gt;=IO$45,IK32&lt;&gt;""),AND(JM32&gt;=JQ$41,JN32&gt;=JQ$45,JM32&lt;&gt;""),AND(KO32&gt;=KS$41,KP32&gt;=KS$45,KO32&lt;&gt;""),AND(LQ32&gt;=LU$41,LR32&gt;=LU$45,LQ32&lt;&gt;""),AND(MS32&gt;=MW$41,MT32&gt;=MW$45,MS32&lt;&gt;""),AND(NU32&gt;=NY$41,NV32&gt;=NY$45,NU32&lt;&gt;""),AND(OW32&gt;=PA$41,OX32&gt;=PA$45,OW32&lt;&gt;""),AND(PY32&gt;=QC$41,PZ32&gt;=QC$45,PY32&lt;&gt;"")),"Excellence",IF(K32="P","Worlds Team",IF(H32="P","National Team","")))))</f>
        <v/>
      </c>
      <c r="K32" s="3" t="str">
        <f>IF(OR(AND(AS32&gt;=AW$40,AT32&gt;=AW$44,AS32&lt;&gt;"",AO32=""),AND(BV32&gt;=BZ$40,BW32&gt;=BZ$44,BV32&lt;&gt;"",BR32=""),AND(CY32&gt;=DC$40,CZ32&gt;=DC$44,CY32&lt;&gt;"",CU32=""),AND(EC32&gt;=EG$40,ED32&gt;=EG$44,EC32&lt;&gt;""),AND(FE32&gt;=FI$40,FF32&gt;=FI$44,FE32&lt;&gt;""),AND(GG32&gt;=GK$40,GH32&gt;=GK$44,GG32&lt;&gt;""),AND(HI32&gt;=HM$40,HJ32&gt;=HM$44,HI32&lt;&gt;""),AND(IK32&gt;=IO$40,IL32&gt;=IO$44,IK32&lt;&gt;""),AND(JM32&gt;=JQ$40,JN32&gt;=JQ$44,JM32&lt;&gt;""),AND(KO32&gt;=KS$40,KP32&gt;=KS$44,KO32&lt;&gt;""),AND(LQ32&gt;=LU$40,LR32&gt;=LU$44,LQ32&lt;&gt;""),AND(MS32&gt;=MW$40,MT32&gt;=MW$44,MS32&lt;&gt;""),AND(NU32&gt;=NY$40,NV32&gt;=NY$44,NU32&lt;&gt;""),AND(OW32&gt;=PA$40,OX32&gt;=PA$44,OW32&lt;&gt;""),AND(PY32&gt;=QC$40,PZ32&gt;=QC$44,PY32&lt;&gt;"")),"P","")</f>
        <v/>
      </c>
      <c r="L32" s="8">
        <f>IF(COUNT(AQ32,BT32,CW32)&gt;0,LARGE((AQ32,BT32,CW32),1),0)</f>
        <v>43.5</v>
      </c>
      <c r="M32" s="8" t="str">
        <f t="shared" si="1"/>
        <v>2025 Nationals</v>
      </c>
      <c r="N32" s="8">
        <f>IF(COUNT(AQ32,BT32,CW32)&gt;1,LARGE((AQ32,BT32,CW32),2),0)</f>
        <v>0</v>
      </c>
      <c r="O32" s="8" t="str">
        <f t="shared" si="2"/>
        <v/>
      </c>
      <c r="P32" s="8">
        <f t="shared" si="3"/>
        <v>0</v>
      </c>
      <c r="Q32" s="8" t="str">
        <f t="shared" si="4"/>
        <v/>
      </c>
      <c r="R32" s="8" t="str">
        <f t="shared" si="5"/>
        <v/>
      </c>
      <c r="S32" s="11" t="str">
        <f t="shared" si="6"/>
        <v/>
      </c>
      <c r="T32" s="8" t="str">
        <f t="shared" si="7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8"/>
        <v/>
      </c>
      <c r="AQ32" s="40" t="str">
        <f t="shared" si="9"/>
        <v/>
      </c>
      <c r="AR32" s="40" t="str">
        <f t="shared" si="10"/>
        <v/>
      </c>
      <c r="AS32" s="40" t="str">
        <f t="shared" si="11"/>
        <v/>
      </c>
      <c r="AT32" s="40" t="str">
        <f t="shared" si="12"/>
        <v/>
      </c>
      <c r="AU32" s="40" t="str">
        <f t="shared" si="13"/>
        <v/>
      </c>
      <c r="AV32" s="40" t="str">
        <f t="shared" si="14"/>
        <v/>
      </c>
      <c r="AW32" s="40" t="str">
        <f t="shared" si="15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16"/>
        <v/>
      </c>
      <c r="BT32" s="11" t="str">
        <f t="shared" si="17"/>
        <v/>
      </c>
      <c r="BU32" s="11" t="str">
        <f t="shared" si="18"/>
        <v/>
      </c>
      <c r="BV32" s="11" t="str">
        <f t="shared" si="19"/>
        <v/>
      </c>
      <c r="BW32" s="11" t="str">
        <f t="shared" si="20"/>
        <v/>
      </c>
      <c r="BX32" s="11" t="str">
        <f t="shared" si="21"/>
        <v/>
      </c>
      <c r="BY32" s="11" t="str">
        <f t="shared" si="22"/>
        <v/>
      </c>
      <c r="BZ32" s="11" t="str">
        <f t="shared" si="23"/>
        <v/>
      </c>
      <c r="CA32" s="19">
        <v>18.5</v>
      </c>
      <c r="CB32" s="19">
        <v>4.4000000000000004</v>
      </c>
      <c r="CC32" s="19">
        <v>0.8</v>
      </c>
      <c r="CD32" s="19">
        <v>0</v>
      </c>
      <c r="CE32" s="19">
        <v>18</v>
      </c>
      <c r="CF32" s="19">
        <v>3.6</v>
      </c>
      <c r="CG32" s="19">
        <v>0.2</v>
      </c>
      <c r="CH32" s="19">
        <v>0</v>
      </c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 t="shared" si="24"/>
        <v>8</v>
      </c>
      <c r="CW32" s="40">
        <f t="shared" si="25"/>
        <v>43.5</v>
      </c>
      <c r="CX32" s="40" t="str">
        <f t="shared" si="26"/>
        <v/>
      </c>
      <c r="CY32" s="40">
        <f t="shared" si="27"/>
        <v>8</v>
      </c>
      <c r="CZ32" s="40">
        <f t="shared" si="28"/>
        <v>43.5</v>
      </c>
      <c r="DA32" s="40" t="str">
        <f t="shared" si="29"/>
        <v/>
      </c>
      <c r="DB32" s="40" t="str">
        <f t="shared" si="30"/>
        <v/>
      </c>
      <c r="DC32" s="40">
        <f t="shared" si="31"/>
        <v>43.5</v>
      </c>
      <c r="DD32" s="50" t="str">
        <f t="shared" si="32"/>
        <v/>
      </c>
      <c r="DE32" s="50" t="str">
        <f t="shared" si="33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4"/>
        <v/>
      </c>
      <c r="EA32" s="40" t="str">
        <f t="shared" si="35"/>
        <v/>
      </c>
      <c r="EB32" s="40" t="str">
        <f t="shared" si="36"/>
        <v/>
      </c>
      <c r="EC32" s="40" t="str">
        <f t="shared" si="37"/>
        <v/>
      </c>
      <c r="ED32" s="40" t="str">
        <f t="shared" si="38"/>
        <v/>
      </c>
      <c r="EE32" s="40" t="str">
        <f t="shared" si="39"/>
        <v/>
      </c>
      <c r="EF32" s="40" t="str">
        <f t="shared" si="40"/>
        <v/>
      </c>
      <c r="EG32" s="40" t="str">
        <f t="shared" si="41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2"/>
        <v/>
      </c>
      <c r="FC32" s="11" t="str">
        <f t="shared" si="43"/>
        <v/>
      </c>
      <c r="FD32" s="11" t="str">
        <f t="shared" si="44"/>
        <v/>
      </c>
      <c r="FE32" s="11" t="str">
        <f t="shared" si="45"/>
        <v/>
      </c>
      <c r="FF32" s="11" t="str">
        <f t="shared" si="46"/>
        <v/>
      </c>
      <c r="FG32" s="11" t="str">
        <f t="shared" si="47"/>
        <v/>
      </c>
      <c r="FH32" s="11" t="str">
        <f t="shared" si="48"/>
        <v/>
      </c>
      <c r="FI32" s="11" t="str">
        <f t="shared" si="49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0"/>
        <v/>
      </c>
      <c r="GE32" s="40" t="str">
        <f t="shared" si="51"/>
        <v/>
      </c>
      <c r="GF32" s="40" t="str">
        <f t="shared" si="52"/>
        <v/>
      </c>
      <c r="GG32" s="40" t="str">
        <f t="shared" si="53"/>
        <v/>
      </c>
      <c r="GH32" s="40" t="str">
        <f t="shared" si="54"/>
        <v/>
      </c>
      <c r="GI32" s="40" t="str">
        <f t="shared" si="55"/>
        <v/>
      </c>
      <c r="GJ32" s="40" t="str">
        <f t="shared" si="56"/>
        <v/>
      </c>
      <c r="GK32" s="40" t="str">
        <f t="shared" si="57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58"/>
        <v/>
      </c>
      <c r="HG32" s="11" t="str">
        <f t="shared" si="59"/>
        <v/>
      </c>
      <c r="HH32" s="11" t="str">
        <f t="shared" si="60"/>
        <v/>
      </c>
      <c r="HI32" s="11" t="str">
        <f t="shared" si="61"/>
        <v/>
      </c>
      <c r="HJ32" s="11" t="str">
        <f t="shared" si="62"/>
        <v/>
      </c>
      <c r="HK32" s="11" t="str">
        <f t="shared" si="63"/>
        <v/>
      </c>
      <c r="HL32" s="11" t="str">
        <f t="shared" si="64"/>
        <v/>
      </c>
      <c r="HM32" s="11" t="str">
        <f t="shared" si="65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66"/>
        <v/>
      </c>
      <c r="II32" s="40" t="str">
        <f t="shared" si="67"/>
        <v/>
      </c>
      <c r="IJ32" s="40" t="str">
        <f t="shared" si="68"/>
        <v/>
      </c>
      <c r="IK32" s="40" t="str">
        <f t="shared" si="69"/>
        <v/>
      </c>
      <c r="IL32" s="40" t="str">
        <f t="shared" si="70"/>
        <v/>
      </c>
      <c r="IM32" s="40" t="str">
        <f t="shared" si="71"/>
        <v/>
      </c>
      <c r="IN32" s="40" t="str">
        <f t="shared" si="72"/>
        <v/>
      </c>
      <c r="IO32" s="40" t="str">
        <f t="shared" si="73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4"/>
        <v/>
      </c>
      <c r="JK32" s="11" t="str">
        <f t="shared" si="75"/>
        <v/>
      </c>
      <c r="JL32" s="11" t="str">
        <f t="shared" si="76"/>
        <v/>
      </c>
      <c r="JM32" s="11" t="str">
        <f t="shared" si="77"/>
        <v/>
      </c>
      <c r="JN32" s="11" t="str">
        <f t="shared" si="78"/>
        <v/>
      </c>
      <c r="JO32" s="11" t="str">
        <f t="shared" si="79"/>
        <v/>
      </c>
      <c r="JP32" s="11" t="str">
        <f t="shared" si="80"/>
        <v/>
      </c>
      <c r="JQ32" s="11" t="str">
        <f t="shared" si="81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2"/>
        <v/>
      </c>
      <c r="KM32" s="40" t="str">
        <f t="shared" si="83"/>
        <v/>
      </c>
      <c r="KN32" s="40" t="str">
        <f t="shared" si="84"/>
        <v/>
      </c>
      <c r="KO32" s="40" t="str">
        <f t="shared" si="85"/>
        <v/>
      </c>
      <c r="KP32" s="40" t="str">
        <f t="shared" si="86"/>
        <v/>
      </c>
      <c r="KQ32" s="40" t="str">
        <f t="shared" si="87"/>
        <v/>
      </c>
      <c r="KR32" s="40" t="str">
        <f t="shared" si="88"/>
        <v/>
      </c>
      <c r="KS32" s="40" t="str">
        <f t="shared" si="89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0"/>
        <v/>
      </c>
      <c r="LO32" s="11" t="str">
        <f t="shared" si="91"/>
        <v/>
      </c>
      <c r="LP32" s="11" t="str">
        <f t="shared" si="92"/>
        <v/>
      </c>
      <c r="LQ32" s="11" t="str">
        <f t="shared" si="93"/>
        <v/>
      </c>
      <c r="LR32" s="11" t="str">
        <f t="shared" si="94"/>
        <v/>
      </c>
      <c r="LS32" s="11" t="str">
        <f t="shared" si="95"/>
        <v/>
      </c>
      <c r="LT32" s="11" t="str">
        <f t="shared" si="96"/>
        <v/>
      </c>
      <c r="LU32" s="11" t="str">
        <f t="shared" si="97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98"/>
        <v/>
      </c>
      <c r="MQ32" s="40" t="str">
        <f t="shared" si="99"/>
        <v/>
      </c>
      <c r="MR32" s="40" t="str">
        <f t="shared" si="100"/>
        <v/>
      </c>
      <c r="MS32" s="40" t="str">
        <f t="shared" si="101"/>
        <v/>
      </c>
      <c r="MT32" s="40" t="str">
        <f t="shared" si="102"/>
        <v/>
      </c>
      <c r="MU32" s="40" t="str">
        <f t="shared" si="103"/>
        <v/>
      </c>
      <c r="MV32" s="40" t="str">
        <f t="shared" si="104"/>
        <v/>
      </c>
      <c r="MW32" s="40" t="str">
        <f t="shared" si="105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06"/>
        <v/>
      </c>
      <c r="NS32" s="11" t="str">
        <f t="shared" si="107"/>
        <v/>
      </c>
      <c r="NT32" s="11" t="str">
        <f t="shared" si="108"/>
        <v/>
      </c>
      <c r="NU32" s="11" t="str">
        <f t="shared" si="109"/>
        <v/>
      </c>
      <c r="NV32" s="11" t="str">
        <f t="shared" si="110"/>
        <v/>
      </c>
      <c r="NW32" s="11" t="str">
        <f t="shared" si="111"/>
        <v/>
      </c>
      <c r="NX32" s="11" t="str">
        <f t="shared" si="112"/>
        <v/>
      </c>
      <c r="NY32" s="11" t="str">
        <f t="shared" si="113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4"/>
        <v/>
      </c>
      <c r="OU32" s="40" t="str">
        <f t="shared" si="115"/>
        <v/>
      </c>
      <c r="OV32" s="40" t="str">
        <f t="shared" si="116"/>
        <v/>
      </c>
      <c r="OW32" s="40" t="str">
        <f t="shared" si="117"/>
        <v/>
      </c>
      <c r="OX32" s="40" t="str">
        <f t="shared" si="118"/>
        <v/>
      </c>
      <c r="OY32" s="40" t="str">
        <f t="shared" si="119"/>
        <v/>
      </c>
      <c r="OZ32" s="40" t="str">
        <f t="shared" si="120"/>
        <v/>
      </c>
      <c r="PA32" s="40" t="str">
        <f t="shared" si="121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2"/>
        <v/>
      </c>
      <c r="PW32" s="11" t="str">
        <f t="shared" si="123"/>
        <v/>
      </c>
      <c r="PX32" s="11" t="str">
        <f t="shared" si="124"/>
        <v/>
      </c>
      <c r="PY32" s="11" t="str">
        <f t="shared" si="125"/>
        <v/>
      </c>
      <c r="PZ32" s="11" t="str">
        <f t="shared" si="126"/>
        <v/>
      </c>
      <c r="QA32" s="11" t="str">
        <f t="shared" si="127"/>
        <v/>
      </c>
      <c r="QB32" s="11" t="str">
        <f t="shared" si="128"/>
        <v/>
      </c>
      <c r="QC32" s="11" t="str">
        <f t="shared" si="129"/>
        <v/>
      </c>
      <c r="QD32" s="22">
        <f t="shared" si="130"/>
        <v>9.25</v>
      </c>
      <c r="QE32" s="22">
        <f t="shared" si="131"/>
        <v>2.2000000000000002</v>
      </c>
      <c r="QF32" s="22">
        <f t="shared" si="132"/>
        <v>0.4</v>
      </c>
      <c r="QG32" s="22">
        <f t="shared" si="133"/>
        <v>0</v>
      </c>
      <c r="QH32" s="22">
        <f t="shared" si="134"/>
        <v>9</v>
      </c>
      <c r="QI32" s="22">
        <f t="shared" si="135"/>
        <v>1.8</v>
      </c>
      <c r="QJ32" s="22">
        <f t="shared" si="136"/>
        <v>0.1</v>
      </c>
      <c r="QK32" s="22">
        <f t="shared" si="137"/>
        <v>0</v>
      </c>
      <c r="QL32" s="22">
        <f t="shared" si="138"/>
        <v>0</v>
      </c>
      <c r="QM32" s="22">
        <f t="shared" si="139"/>
        <v>0</v>
      </c>
      <c r="QN32" s="22">
        <f t="shared" si="140"/>
        <v>0</v>
      </c>
      <c r="QO32" s="22">
        <f t="shared" si="141"/>
        <v>0</v>
      </c>
      <c r="QP32" s="22">
        <f t="shared" si="142"/>
        <v>0</v>
      </c>
      <c r="QQ32" s="22">
        <f t="shared" si="143"/>
        <v>0</v>
      </c>
      <c r="QR32" s="22">
        <f t="shared" si="144"/>
        <v>0</v>
      </c>
      <c r="QS32" s="22">
        <f t="shared" si="145"/>
        <v>0</v>
      </c>
      <c r="QT32" s="22">
        <f t="shared" si="146"/>
        <v>0</v>
      </c>
      <c r="QU32" s="22">
        <f t="shared" si="147"/>
        <v>0</v>
      </c>
      <c r="QV32" s="22">
        <f t="shared" si="148"/>
        <v>0</v>
      </c>
      <c r="QW32" s="22">
        <f t="shared" si="149"/>
        <v>0</v>
      </c>
      <c r="QX32" s="27" t="s">
        <v>46</v>
      </c>
      <c r="QY32" s="40">
        <f t="shared" si="150"/>
        <v>4</v>
      </c>
      <c r="QZ32" s="40">
        <f t="shared" si="151"/>
        <v>21.75</v>
      </c>
      <c r="RA32" s="40" t="str">
        <f t="shared" si="152"/>
        <v/>
      </c>
      <c r="RB32" s="40">
        <f t="shared" si="153"/>
        <v>4</v>
      </c>
      <c r="RC32" s="40">
        <f t="shared" si="154"/>
        <v>21.75</v>
      </c>
      <c r="RD32" s="40" t="str">
        <f t="shared" si="155"/>
        <v/>
      </c>
      <c r="RE32" s="40" t="str">
        <f t="shared" si="156"/>
        <v/>
      </c>
      <c r="RF32" s="40">
        <f t="shared" si="157"/>
        <v>21.75</v>
      </c>
    </row>
    <row r="33" spans="1:47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163</v>
      </c>
      <c r="D33" s="4" t="s">
        <v>3</v>
      </c>
      <c r="E33" s="4">
        <v>2006</v>
      </c>
      <c r="F33" s="9">
        <f t="shared" si="0"/>
        <v>43.300004330004334</v>
      </c>
      <c r="G33" s="64"/>
      <c r="H33" s="3" t="str">
        <f>IF(OR(AND(AP33&gt;=AW$39,AQ33&gt;=AW$43,AP33&lt;&gt;"",AO33=""),AND(AU33&gt;=AW$39,AV33&gt;=AW$43,AU33&lt;&gt;"",AO33=""),AND(BS33&gt;=BZ$39,BT33&gt;=BZ$43,BS33&lt;&gt;"",BR33=""),AND(BX33&gt;=BZ$39,BY33&gt;=BZ$43,BX33&lt;&gt;"",BR33=""),AND(CV33&gt;=DC$39,CW33&gt;=DC$43,CV33&lt;&gt;"",CU33=""),AND(DA33&gt;=DC$39,DB33&gt;=DC$43,DA33&lt;&gt;""),AND(DZ33&gt;=EG$39,EA33&gt;=EG$43,DZ33&lt;&gt;""),AND(EE33&gt;=EG$39,EF33&gt;=EG$43,EE33&lt;&gt;""),AND(FB33&gt;=FI$39,FC33&gt;=FI$43,FB33&lt;&gt;""),AND(FG33&gt;=FI$39,FH33&gt;=FI$43,FG33&lt;&gt;""),AND(GD33&gt;=GK$39,GE33&gt;=GK$43,GD33&lt;&gt;""),AND(GI33&gt;=GK$39,GJ33&gt;=GK$43,GI33&lt;&gt;""),AND(HF33&gt;=HM$39,HG33&gt;=HM$43,HF33&lt;&gt;""),AND(HK33&gt;=HM$39,HL33&gt;=HM$43,HK33&lt;&gt;""),AND(IH33&gt;=IO$39,II33&gt;=IO$43,IH33&lt;&gt;""),AND(IM33&gt;=IO$39,IN33&gt;=IO$43,IM33&lt;&gt;""),AND(JJ33&gt;=JQ$39,JK33&gt;=JQ$43,JJ33&lt;&gt;""),AND(JO33&gt;=JQ$39,JP33&gt;=JQ$43,JO33&lt;&gt;""),AND(KL33&gt;=KS$39,KM33&gt;=KS$43,KL33&lt;&gt;""),AND(KQ33&gt;=KS$39,KR33&gt;=KS$43,KQ33&lt;&gt;""),AND(LN33&gt;=LU$39,LO33&gt;=LU$43,LN33&lt;&gt;""),AND(LS33&gt;=LU$39,LT33&gt;=LU$43,LS33&lt;&gt;""),AND(MP33&gt;=MW$39,MQ33&gt;=MW$43,MP33&lt;&gt;""),AND(MU33&gt;=MW$39,MV33&gt;=MW$43,MU33&lt;&gt;""),AND(NR33&gt;=NY$39,NS33&gt;=NY$43,NR33&lt;&gt;""),AND(NW33&gt;=NY$39,NX33&gt;=NY$43,NW33&lt;&gt;""),AND(OT33&gt;=PA$39,OU33&gt;=PA$43,OT33&lt;&gt;""),AND(OY33&gt;=PA$39,OZ33&gt;=PA$43,OY33&lt;&gt;""),AND(PV33&gt;=QC$39,PW33&gt;=QC$43,PV33&lt;&gt;""),AND(QA33&gt;=QC$39,QB33&gt;=QC$43,QA33&lt;&gt;"")),"P","")</f>
        <v/>
      </c>
      <c r="I33" s="3" t="str">
        <f>IF(OR(AND(AQ33&gt;=AW$43,AQ33&lt;&gt;"",AO33=""),AND(AV33&gt;=AW$43,AV33&lt;&gt;"",AO33=""),AND(BT33&gt;=BZ$43,BT33&lt;&gt;"",BR33=""),AND(BY33&gt;=BZ$43,BY33&lt;&gt;"",BR33=""),AND(CW33&gt;=DC$43,CW33&lt;&gt;"",CU33=""),AND(DB33&gt;=DC$43,DB33&lt;&gt;"",CU33=""),AND(EA33&gt;=EG$43,EA33&lt;&gt;""),AND(EF33&gt;=EG$43,EF33&lt;&gt;""),AND(FC33&gt;=FI$43,FC33&lt;&gt;""),AND(FH33&gt;=FI$43,FH33&lt;&gt;""),AND(GE33&gt;=GK$43,GE33&lt;&gt;""),AND(GJ33&gt;=GK$43,GJ33&lt;&gt;""),AND(HG33&gt;=HM$43,HG33&lt;&gt;""),AND(HL33&gt;=HM$43,HL33&lt;&gt;""),AND(II33&gt;=IO$43,II33&lt;&gt;""),AND(IN33&gt;=IO$43,IN33&lt;&gt;""),AND(JK33&gt;=JQ$43,JK33&lt;&gt;""),AND(JP33&gt;=JQ$43,JP33&lt;&gt;""),AND(KM33&gt;=KS$43,KM33&lt;&gt;""),AND(KR33&gt;=KS$43,KR33&lt;&gt;""),AND(LO33&gt;=LU$43,LO33&lt;&gt;""),AND(LT33&gt;=LU$43,LT33&lt;&gt;""),AND(MQ33&gt;=MW$43,MQ33&lt;&gt;""),AND(MV33&gt;=MW$43,MV33&lt;&gt;""),AND(NS33&gt;=NY$43,NS33&lt;&gt;""),AND(NX33&gt;=NY$43,NX33&lt;&gt;""),AND(OU33&gt;=PA$43,OU33&lt;&gt;""),AND(OZ33&gt;=PA$43,OZ33&lt;&gt;""),AND(PW33&gt;=QC$43,PW33&lt;&gt;""),AND(QB33&gt;=QC$43,QB33&lt;&gt;"")),"P","")</f>
        <v/>
      </c>
      <c r="J33" s="36" t="str">
        <f>IF(AND(I33="P",H33=""),"No DD",IF(OR(AND(AS33&gt;=AW$42,AT33&gt;=AW$46,AS33&lt;&gt;"",AO33=""),AND(BV33&gt;=BZ$42,BW33&gt;=BZ$46,BV33&lt;&gt;"",BR33=""),AND(CY33&gt;=DC$42,CZ33&gt;=DC$46,CY33&lt;&gt;"",CU33=""),AND(EC33&gt;=EG$42,ED33&gt;=EG$46,EC33&lt;&gt;""),AND(FE33&gt;=FI$42,FF33&gt;=FI$46,FE33&lt;&gt;""),AND(GG33&gt;=GK$42,GH33&gt;=GK$46,GG33&lt;&gt;""),AND(HI33&gt;=HM$42,HJ33&gt;=HM$46,HI33&lt;&gt;""),AND(IK33&gt;=IO$42,IL33&gt;=IO$46,IK33&lt;&gt;""),AND(JM33&gt;=JQ$42,JN33&gt;=JQ$46,JM33&lt;&gt;""),AND(KO33&gt;=KS$42,KP33&gt;=KS$46,KO33&lt;&gt;""),AND(LQ33&gt;=LU$42,LR33&gt;=LU$46,LQ33&lt;&gt;""),AND(MS33&gt;=MW$42,MT33&gt;=MW$46,MS33&lt;&gt;""),AND(NU33&gt;=NY$42,NV33&gt;=NY$46,NU33&lt;&gt;""),AND(OW33&gt;=PA$42,OX33&gt;=PA$46,OW33&lt;&gt;""),AND(PY33&gt;=QC$42,PZ33&gt;=QC$46,PY33&lt;&gt;"")),"Merit",IF(OR(AND(AS33&gt;=AW$41,AT33&gt;=AW$45,AS33&lt;&gt;"",AO33=""),AND(BV33&gt;=BZ$41,BW33&gt;=BZ$45,BV33&lt;&gt;"",BR33=""),AND(CY33&gt;=DC$41,CZ33&gt;=DC$45,CY33&lt;&gt;"",CU33=""),AND(EC33&gt;=EG$41,ED33&gt;=EG$45,EC33&lt;&gt;""),AND(FE33&gt;=FI$41,FF33&gt;=FI$45,FE33&lt;&gt;""),AND(GG33&gt;=GK$41,GH33&gt;=GK$45,GG33&lt;&gt;""),AND(HI33&gt;=HM$41,HJ33&gt;=HM$45,HI33&lt;&gt;""),AND(IK33&gt;=IO$41,IL33&gt;=IO$45,IK33&lt;&gt;""),AND(JM33&gt;=JQ$41,JN33&gt;=JQ$45,JM33&lt;&gt;""),AND(KO33&gt;=KS$41,KP33&gt;=KS$45,KO33&lt;&gt;""),AND(LQ33&gt;=LU$41,LR33&gt;=LU$45,LQ33&lt;&gt;""),AND(MS33&gt;=MW$41,MT33&gt;=MW$45,MS33&lt;&gt;""),AND(NU33&gt;=NY$41,NV33&gt;=NY$45,NU33&lt;&gt;""),AND(OW33&gt;=PA$41,OX33&gt;=PA$45,OW33&lt;&gt;""),AND(PY33&gt;=QC$41,PZ33&gt;=QC$45,PY33&lt;&gt;"")),"Excellence",IF(K33="P","Worlds Team",IF(H33="P","National Team","")))))</f>
        <v/>
      </c>
      <c r="K33" s="3" t="str">
        <f>IF(OR(AND(AS33&gt;=AW$40,AT33&gt;=AW$44,AS33&lt;&gt;"",AO33=""),AND(BV33&gt;=BZ$40,BW33&gt;=BZ$44,BV33&lt;&gt;"",BR33=""),AND(CY33&gt;=DC$40,CZ33&gt;=DC$44,CY33&lt;&gt;"",CU33=""),AND(EC33&gt;=EG$40,ED33&gt;=EG$44,EC33&lt;&gt;""),AND(FE33&gt;=FI$40,FF33&gt;=FI$44,FE33&lt;&gt;""),AND(GG33&gt;=GK$40,GH33&gt;=GK$44,GG33&lt;&gt;""),AND(HI33&gt;=HM$40,HJ33&gt;=HM$44,HI33&lt;&gt;""),AND(IK33&gt;=IO$40,IL33&gt;=IO$44,IK33&lt;&gt;""),AND(JM33&gt;=JQ$40,JN33&gt;=JQ$44,JM33&lt;&gt;""),AND(KO33&gt;=KS$40,KP33&gt;=KS$44,KO33&lt;&gt;""),AND(LQ33&gt;=LU$40,LR33&gt;=LU$44,LQ33&lt;&gt;""),AND(MS33&gt;=MW$40,MT33&gt;=MW$44,MS33&lt;&gt;""),AND(NU33&gt;=NY$40,NV33&gt;=NY$44,NU33&lt;&gt;""),AND(OW33&gt;=PA$40,OX33&gt;=PA$44,OW33&lt;&gt;""),AND(PY33&gt;=QC$40,PZ33&gt;=QC$44,PY33&lt;&gt;"")),"P","")</f>
        <v/>
      </c>
      <c r="L33" s="8">
        <f>IF(COUNT(AQ33,BT33,CW33)&gt;0,LARGE((AQ33,BT33,CW33),1),0)</f>
        <v>43.300000000000004</v>
      </c>
      <c r="M33" s="8" t="str">
        <f t="shared" si="1"/>
        <v>2025 Nationals</v>
      </c>
      <c r="N33" s="8">
        <f>IF(COUNT(AQ33,BT33,CW33)&gt;1,LARGE((AQ33,BT33,CW33),2),0)</f>
        <v>0</v>
      </c>
      <c r="O33" s="8" t="str">
        <f t="shared" si="2"/>
        <v/>
      </c>
      <c r="P33" s="8">
        <f t="shared" si="3"/>
        <v>0</v>
      </c>
      <c r="Q33" s="8" t="str">
        <f t="shared" si="4"/>
        <v/>
      </c>
      <c r="R33" s="8" t="str">
        <f t="shared" si="5"/>
        <v/>
      </c>
      <c r="S33" s="11" t="str">
        <f t="shared" si="6"/>
        <v/>
      </c>
      <c r="T33" s="8" t="str">
        <f t="shared" si="7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8"/>
        <v/>
      </c>
      <c r="AQ33" s="40" t="str">
        <f t="shared" si="9"/>
        <v/>
      </c>
      <c r="AR33" s="40" t="str">
        <f t="shared" si="10"/>
        <v/>
      </c>
      <c r="AS33" s="40" t="str">
        <f t="shared" si="11"/>
        <v/>
      </c>
      <c r="AT33" s="40" t="str">
        <f t="shared" si="12"/>
        <v/>
      </c>
      <c r="AU33" s="40" t="str">
        <f t="shared" si="13"/>
        <v/>
      </c>
      <c r="AV33" s="40" t="str">
        <f t="shared" si="14"/>
        <v/>
      </c>
      <c r="AW33" s="40" t="str">
        <f t="shared" si="15"/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16"/>
        <v/>
      </c>
      <c r="BT33" s="11" t="str">
        <f t="shared" si="17"/>
        <v/>
      </c>
      <c r="BU33" s="11" t="str">
        <f t="shared" si="18"/>
        <v/>
      </c>
      <c r="BV33" s="11" t="str">
        <f t="shared" si="19"/>
        <v/>
      </c>
      <c r="BW33" s="11" t="str">
        <f t="shared" si="20"/>
        <v/>
      </c>
      <c r="BX33" s="11" t="str">
        <f t="shared" si="21"/>
        <v/>
      </c>
      <c r="BY33" s="11" t="str">
        <f t="shared" si="22"/>
        <v/>
      </c>
      <c r="BZ33" s="11" t="str">
        <f t="shared" si="23"/>
        <v/>
      </c>
      <c r="CA33" s="19">
        <v>19.100000000000001</v>
      </c>
      <c r="CB33" s="19">
        <v>3.1</v>
      </c>
      <c r="CC33" s="19">
        <v>0.6</v>
      </c>
      <c r="CD33" s="19">
        <v>0</v>
      </c>
      <c r="CE33" s="19">
        <v>18.8</v>
      </c>
      <c r="CF33" s="19">
        <v>3.2</v>
      </c>
      <c r="CG33" s="19">
        <v>0.3</v>
      </c>
      <c r="CH33" s="19">
        <v>0</v>
      </c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 t="shared" si="24"/>
        <v>6.3000000000000007</v>
      </c>
      <c r="CW33" s="40">
        <f t="shared" si="25"/>
        <v>43.300000000000004</v>
      </c>
      <c r="CX33" s="40" t="str">
        <f t="shared" si="26"/>
        <v/>
      </c>
      <c r="CY33" s="40">
        <f t="shared" si="27"/>
        <v>6.3000000000000007</v>
      </c>
      <c r="CZ33" s="40">
        <f t="shared" si="28"/>
        <v>43.300000000000004</v>
      </c>
      <c r="DA33" s="40" t="str">
        <f t="shared" si="29"/>
        <v/>
      </c>
      <c r="DB33" s="40" t="str">
        <f t="shared" si="30"/>
        <v/>
      </c>
      <c r="DC33" s="40">
        <f t="shared" si="31"/>
        <v>43.300000000000004</v>
      </c>
      <c r="DD33" s="50" t="str">
        <f t="shared" si="32"/>
        <v/>
      </c>
      <c r="DE33" s="50" t="str">
        <f t="shared" si="33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4"/>
        <v/>
      </c>
      <c r="EA33" s="40" t="str">
        <f t="shared" si="35"/>
        <v/>
      </c>
      <c r="EB33" s="40" t="str">
        <f t="shared" si="36"/>
        <v/>
      </c>
      <c r="EC33" s="40" t="str">
        <f t="shared" si="37"/>
        <v/>
      </c>
      <c r="ED33" s="40" t="str">
        <f t="shared" si="38"/>
        <v/>
      </c>
      <c r="EE33" s="40" t="str">
        <f t="shared" si="39"/>
        <v/>
      </c>
      <c r="EF33" s="40" t="str">
        <f t="shared" si="40"/>
        <v/>
      </c>
      <c r="EG33" s="40" t="str">
        <f t="shared" si="41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2"/>
        <v/>
      </c>
      <c r="FC33" s="11" t="str">
        <f t="shared" si="43"/>
        <v/>
      </c>
      <c r="FD33" s="11" t="str">
        <f t="shared" si="44"/>
        <v/>
      </c>
      <c r="FE33" s="11" t="str">
        <f t="shared" si="45"/>
        <v/>
      </c>
      <c r="FF33" s="11" t="str">
        <f t="shared" si="46"/>
        <v/>
      </c>
      <c r="FG33" s="11" t="str">
        <f t="shared" si="47"/>
        <v/>
      </c>
      <c r="FH33" s="11" t="str">
        <f t="shared" si="48"/>
        <v/>
      </c>
      <c r="FI33" s="11" t="str">
        <f t="shared" si="49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0"/>
        <v/>
      </c>
      <c r="GE33" s="40" t="str">
        <f t="shared" si="51"/>
        <v/>
      </c>
      <c r="GF33" s="40" t="str">
        <f t="shared" si="52"/>
        <v/>
      </c>
      <c r="GG33" s="40" t="str">
        <f t="shared" si="53"/>
        <v/>
      </c>
      <c r="GH33" s="40" t="str">
        <f t="shared" si="54"/>
        <v/>
      </c>
      <c r="GI33" s="40" t="str">
        <f t="shared" si="55"/>
        <v/>
      </c>
      <c r="GJ33" s="40" t="str">
        <f t="shared" si="56"/>
        <v/>
      </c>
      <c r="GK33" s="40" t="str">
        <f t="shared" si="57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58"/>
        <v/>
      </c>
      <c r="HG33" s="11" t="str">
        <f t="shared" si="59"/>
        <v/>
      </c>
      <c r="HH33" s="11" t="str">
        <f t="shared" si="60"/>
        <v/>
      </c>
      <c r="HI33" s="11" t="str">
        <f t="shared" si="61"/>
        <v/>
      </c>
      <c r="HJ33" s="11" t="str">
        <f t="shared" si="62"/>
        <v/>
      </c>
      <c r="HK33" s="11" t="str">
        <f t="shared" si="63"/>
        <v/>
      </c>
      <c r="HL33" s="11" t="str">
        <f t="shared" si="64"/>
        <v/>
      </c>
      <c r="HM33" s="11" t="str">
        <f t="shared" si="65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66"/>
        <v/>
      </c>
      <c r="II33" s="40" t="str">
        <f t="shared" si="67"/>
        <v/>
      </c>
      <c r="IJ33" s="40" t="str">
        <f t="shared" si="68"/>
        <v/>
      </c>
      <c r="IK33" s="40" t="str">
        <f t="shared" si="69"/>
        <v/>
      </c>
      <c r="IL33" s="40" t="str">
        <f t="shared" si="70"/>
        <v/>
      </c>
      <c r="IM33" s="40" t="str">
        <f t="shared" si="71"/>
        <v/>
      </c>
      <c r="IN33" s="40" t="str">
        <f t="shared" si="72"/>
        <v/>
      </c>
      <c r="IO33" s="40" t="str">
        <f t="shared" si="73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4"/>
        <v/>
      </c>
      <c r="JK33" s="11" t="str">
        <f t="shared" si="75"/>
        <v/>
      </c>
      <c r="JL33" s="11" t="str">
        <f t="shared" si="76"/>
        <v/>
      </c>
      <c r="JM33" s="11" t="str">
        <f t="shared" si="77"/>
        <v/>
      </c>
      <c r="JN33" s="11" t="str">
        <f t="shared" si="78"/>
        <v/>
      </c>
      <c r="JO33" s="11" t="str">
        <f t="shared" si="79"/>
        <v/>
      </c>
      <c r="JP33" s="11" t="str">
        <f t="shared" si="80"/>
        <v/>
      </c>
      <c r="JQ33" s="11" t="str">
        <f t="shared" si="81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2"/>
        <v/>
      </c>
      <c r="KM33" s="40" t="str">
        <f t="shared" si="83"/>
        <v/>
      </c>
      <c r="KN33" s="40" t="str">
        <f t="shared" si="84"/>
        <v/>
      </c>
      <c r="KO33" s="40" t="str">
        <f t="shared" si="85"/>
        <v/>
      </c>
      <c r="KP33" s="40" t="str">
        <f t="shared" si="86"/>
        <v/>
      </c>
      <c r="KQ33" s="40" t="str">
        <f t="shared" si="87"/>
        <v/>
      </c>
      <c r="KR33" s="40" t="str">
        <f t="shared" si="88"/>
        <v/>
      </c>
      <c r="KS33" s="40" t="str">
        <f t="shared" si="89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0"/>
        <v/>
      </c>
      <c r="LO33" s="11" t="str">
        <f t="shared" si="91"/>
        <v/>
      </c>
      <c r="LP33" s="11" t="str">
        <f t="shared" si="92"/>
        <v/>
      </c>
      <c r="LQ33" s="11" t="str">
        <f t="shared" si="93"/>
        <v/>
      </c>
      <c r="LR33" s="11" t="str">
        <f t="shared" si="94"/>
        <v/>
      </c>
      <c r="LS33" s="11" t="str">
        <f t="shared" si="95"/>
        <v/>
      </c>
      <c r="LT33" s="11" t="str">
        <f t="shared" si="96"/>
        <v/>
      </c>
      <c r="LU33" s="11" t="str">
        <f t="shared" si="97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98"/>
        <v/>
      </c>
      <c r="MQ33" s="40" t="str">
        <f t="shared" si="99"/>
        <v/>
      </c>
      <c r="MR33" s="40" t="str">
        <f t="shared" si="100"/>
        <v/>
      </c>
      <c r="MS33" s="40" t="str">
        <f t="shared" si="101"/>
        <v/>
      </c>
      <c r="MT33" s="40" t="str">
        <f t="shared" si="102"/>
        <v/>
      </c>
      <c r="MU33" s="40" t="str">
        <f t="shared" si="103"/>
        <v/>
      </c>
      <c r="MV33" s="40" t="str">
        <f t="shared" si="104"/>
        <v/>
      </c>
      <c r="MW33" s="40" t="str">
        <f t="shared" si="105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06"/>
        <v/>
      </c>
      <c r="NS33" s="11" t="str">
        <f t="shared" si="107"/>
        <v/>
      </c>
      <c r="NT33" s="11" t="str">
        <f t="shared" si="108"/>
        <v/>
      </c>
      <c r="NU33" s="11" t="str">
        <f t="shared" si="109"/>
        <v/>
      </c>
      <c r="NV33" s="11" t="str">
        <f t="shared" si="110"/>
        <v/>
      </c>
      <c r="NW33" s="11" t="str">
        <f t="shared" si="111"/>
        <v/>
      </c>
      <c r="NX33" s="11" t="str">
        <f t="shared" si="112"/>
        <v/>
      </c>
      <c r="NY33" s="11" t="str">
        <f t="shared" si="113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4"/>
        <v/>
      </c>
      <c r="OU33" s="40" t="str">
        <f t="shared" si="115"/>
        <v/>
      </c>
      <c r="OV33" s="40" t="str">
        <f t="shared" si="116"/>
        <v/>
      </c>
      <c r="OW33" s="40" t="str">
        <f t="shared" si="117"/>
        <v/>
      </c>
      <c r="OX33" s="40" t="str">
        <f t="shared" si="118"/>
        <v/>
      </c>
      <c r="OY33" s="40" t="str">
        <f t="shared" si="119"/>
        <v/>
      </c>
      <c r="OZ33" s="40" t="str">
        <f t="shared" si="120"/>
        <v/>
      </c>
      <c r="PA33" s="40" t="str">
        <f t="shared" si="121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2"/>
        <v/>
      </c>
      <c r="PW33" s="11" t="str">
        <f t="shared" si="123"/>
        <v/>
      </c>
      <c r="PX33" s="11" t="str">
        <f t="shared" si="124"/>
        <v/>
      </c>
      <c r="PY33" s="11" t="str">
        <f t="shared" si="125"/>
        <v/>
      </c>
      <c r="PZ33" s="11" t="str">
        <f t="shared" si="126"/>
        <v/>
      </c>
      <c r="QA33" s="11" t="str">
        <f t="shared" si="127"/>
        <v/>
      </c>
      <c r="QB33" s="11" t="str">
        <f t="shared" si="128"/>
        <v/>
      </c>
      <c r="QC33" s="11" t="str">
        <f t="shared" si="129"/>
        <v/>
      </c>
      <c r="QD33" s="22">
        <f t="shared" si="130"/>
        <v>9.5500000000000007</v>
      </c>
      <c r="QE33" s="22">
        <f t="shared" si="131"/>
        <v>1.55</v>
      </c>
      <c r="QF33" s="22">
        <f t="shared" si="132"/>
        <v>0.3</v>
      </c>
      <c r="QG33" s="22">
        <f t="shared" si="133"/>
        <v>0</v>
      </c>
      <c r="QH33" s="22">
        <f t="shared" si="134"/>
        <v>9.4</v>
      </c>
      <c r="QI33" s="22">
        <f t="shared" si="135"/>
        <v>1.6</v>
      </c>
      <c r="QJ33" s="22">
        <f t="shared" si="136"/>
        <v>0.15</v>
      </c>
      <c r="QK33" s="22">
        <f t="shared" si="137"/>
        <v>0</v>
      </c>
      <c r="QL33" s="22">
        <f t="shared" si="138"/>
        <v>0</v>
      </c>
      <c r="QM33" s="22">
        <f t="shared" si="139"/>
        <v>0</v>
      </c>
      <c r="QN33" s="22">
        <f t="shared" si="140"/>
        <v>0</v>
      </c>
      <c r="QO33" s="22">
        <f t="shared" si="141"/>
        <v>0</v>
      </c>
      <c r="QP33" s="22">
        <f t="shared" si="142"/>
        <v>0</v>
      </c>
      <c r="QQ33" s="22">
        <f t="shared" si="143"/>
        <v>0</v>
      </c>
      <c r="QR33" s="22">
        <f t="shared" si="144"/>
        <v>0</v>
      </c>
      <c r="QS33" s="22">
        <f t="shared" si="145"/>
        <v>0</v>
      </c>
      <c r="QT33" s="22">
        <f t="shared" si="146"/>
        <v>0</v>
      </c>
      <c r="QU33" s="22">
        <f t="shared" si="147"/>
        <v>0</v>
      </c>
      <c r="QV33" s="22">
        <f t="shared" si="148"/>
        <v>0</v>
      </c>
      <c r="QW33" s="22">
        <f t="shared" si="149"/>
        <v>0</v>
      </c>
      <c r="QX33" s="27" t="s">
        <v>46</v>
      </c>
      <c r="QY33" s="40">
        <f t="shared" si="150"/>
        <v>3.1500000000000004</v>
      </c>
      <c r="QZ33" s="40">
        <f t="shared" si="151"/>
        <v>21.650000000000002</v>
      </c>
      <c r="RA33" s="40" t="str">
        <f t="shared" si="152"/>
        <v/>
      </c>
      <c r="RB33" s="40">
        <f t="shared" si="153"/>
        <v>3.1500000000000004</v>
      </c>
      <c r="RC33" s="40">
        <f t="shared" si="154"/>
        <v>21.650000000000002</v>
      </c>
      <c r="RD33" s="40" t="str">
        <f t="shared" si="155"/>
        <v/>
      </c>
      <c r="RE33" s="40" t="str">
        <f t="shared" si="156"/>
        <v/>
      </c>
      <c r="RF33" s="40">
        <f t="shared" si="157"/>
        <v>21.650000000000002</v>
      </c>
    </row>
    <row r="34" spans="1:47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206</v>
      </c>
      <c r="D34" s="4" t="s">
        <v>4</v>
      </c>
      <c r="E34" s="4">
        <v>2006</v>
      </c>
      <c r="F34" s="9">
        <f t="shared" si="0"/>
        <v>42.700004270004271</v>
      </c>
      <c r="G34" s="64"/>
      <c r="H34" s="3" t="str">
        <f>IF(OR(AND(AP34&gt;=AW$39,AQ34&gt;=AW$43,AP34&lt;&gt;"",AO34=""),AND(AU34&gt;=AW$39,AV34&gt;=AW$43,AU34&lt;&gt;"",AO34=""),AND(BS34&gt;=BZ$39,BT34&gt;=BZ$43,BS34&lt;&gt;"",BR34=""),AND(BX34&gt;=BZ$39,BY34&gt;=BZ$43,BX34&lt;&gt;"",BR34=""),AND(CV34&gt;=DC$39,CW34&gt;=DC$43,CV34&lt;&gt;"",CU34=""),AND(DA34&gt;=DC$39,DB34&gt;=DC$43,DA34&lt;&gt;""),AND(DZ34&gt;=EG$39,EA34&gt;=EG$43,DZ34&lt;&gt;""),AND(EE34&gt;=EG$39,EF34&gt;=EG$43,EE34&lt;&gt;""),AND(FB34&gt;=FI$39,FC34&gt;=FI$43,FB34&lt;&gt;""),AND(FG34&gt;=FI$39,FH34&gt;=FI$43,FG34&lt;&gt;""),AND(GD34&gt;=GK$39,GE34&gt;=GK$43,GD34&lt;&gt;""),AND(GI34&gt;=GK$39,GJ34&gt;=GK$43,GI34&lt;&gt;""),AND(HF34&gt;=HM$39,HG34&gt;=HM$43,HF34&lt;&gt;""),AND(HK34&gt;=HM$39,HL34&gt;=HM$43,HK34&lt;&gt;""),AND(IH34&gt;=IO$39,II34&gt;=IO$43,IH34&lt;&gt;""),AND(IM34&gt;=IO$39,IN34&gt;=IO$43,IM34&lt;&gt;""),AND(JJ34&gt;=JQ$39,JK34&gt;=JQ$43,JJ34&lt;&gt;""),AND(JO34&gt;=JQ$39,JP34&gt;=JQ$43,JO34&lt;&gt;""),AND(KL34&gt;=KS$39,KM34&gt;=KS$43,KL34&lt;&gt;""),AND(KQ34&gt;=KS$39,KR34&gt;=KS$43,KQ34&lt;&gt;""),AND(LN34&gt;=LU$39,LO34&gt;=LU$43,LN34&lt;&gt;""),AND(LS34&gt;=LU$39,LT34&gt;=LU$43,LS34&lt;&gt;""),AND(MP34&gt;=MW$39,MQ34&gt;=MW$43,MP34&lt;&gt;""),AND(MU34&gt;=MW$39,MV34&gt;=MW$43,MU34&lt;&gt;""),AND(NR34&gt;=NY$39,NS34&gt;=NY$43,NR34&lt;&gt;""),AND(NW34&gt;=NY$39,NX34&gt;=NY$43,NW34&lt;&gt;""),AND(OT34&gt;=PA$39,OU34&gt;=PA$43,OT34&lt;&gt;""),AND(OY34&gt;=PA$39,OZ34&gt;=PA$43,OY34&lt;&gt;""),AND(PV34&gt;=QC$39,PW34&gt;=QC$43,PV34&lt;&gt;""),AND(QA34&gt;=QC$39,QB34&gt;=QC$43,QA34&lt;&gt;"")),"P","")</f>
        <v/>
      </c>
      <c r="I34" s="3" t="str">
        <f>IF(OR(AND(AQ34&gt;=AW$43,AQ34&lt;&gt;"",AO34=""),AND(AV34&gt;=AW$43,AV34&lt;&gt;"",AO34=""),AND(BT34&gt;=BZ$43,BT34&lt;&gt;"",BR34=""),AND(BY34&gt;=BZ$43,BY34&lt;&gt;"",BR34=""),AND(CW34&gt;=DC$43,CW34&lt;&gt;"",CU34=""),AND(DB34&gt;=DC$43,DB34&lt;&gt;"",CU34=""),AND(EA34&gt;=EG$43,EA34&lt;&gt;""),AND(EF34&gt;=EG$43,EF34&lt;&gt;""),AND(FC34&gt;=FI$43,FC34&lt;&gt;""),AND(FH34&gt;=FI$43,FH34&lt;&gt;""),AND(GE34&gt;=GK$43,GE34&lt;&gt;""),AND(GJ34&gt;=GK$43,GJ34&lt;&gt;""),AND(HG34&gt;=HM$43,HG34&lt;&gt;""),AND(HL34&gt;=HM$43,HL34&lt;&gt;""),AND(II34&gt;=IO$43,II34&lt;&gt;""),AND(IN34&gt;=IO$43,IN34&lt;&gt;""),AND(JK34&gt;=JQ$43,JK34&lt;&gt;""),AND(JP34&gt;=JQ$43,JP34&lt;&gt;""),AND(KM34&gt;=KS$43,KM34&lt;&gt;""),AND(KR34&gt;=KS$43,KR34&lt;&gt;""),AND(LO34&gt;=LU$43,LO34&lt;&gt;""),AND(LT34&gt;=LU$43,LT34&lt;&gt;""),AND(MQ34&gt;=MW$43,MQ34&lt;&gt;""),AND(MV34&gt;=MW$43,MV34&lt;&gt;""),AND(NS34&gt;=NY$43,NS34&lt;&gt;""),AND(NX34&gt;=NY$43,NX34&lt;&gt;""),AND(OU34&gt;=PA$43,OU34&lt;&gt;""),AND(OZ34&gt;=PA$43,OZ34&lt;&gt;""),AND(PW34&gt;=QC$43,PW34&lt;&gt;""),AND(QB34&gt;=QC$43,QB34&lt;&gt;"")),"P","")</f>
        <v/>
      </c>
      <c r="J34" s="36" t="str">
        <f>IF(AND(I34="P",H34=""),"No DD",IF(OR(AND(AS34&gt;=AW$42,AT34&gt;=AW$46,AS34&lt;&gt;"",AO34=""),AND(BV34&gt;=BZ$42,BW34&gt;=BZ$46,BV34&lt;&gt;"",BR34=""),AND(CY34&gt;=DC$42,CZ34&gt;=DC$46,CY34&lt;&gt;"",CU34=""),AND(EC34&gt;=EG$42,ED34&gt;=EG$46,EC34&lt;&gt;""),AND(FE34&gt;=FI$42,FF34&gt;=FI$46,FE34&lt;&gt;""),AND(GG34&gt;=GK$42,GH34&gt;=GK$46,GG34&lt;&gt;""),AND(HI34&gt;=HM$42,HJ34&gt;=HM$46,HI34&lt;&gt;""),AND(IK34&gt;=IO$42,IL34&gt;=IO$46,IK34&lt;&gt;""),AND(JM34&gt;=JQ$42,JN34&gt;=JQ$46,JM34&lt;&gt;""),AND(KO34&gt;=KS$42,KP34&gt;=KS$46,KO34&lt;&gt;""),AND(LQ34&gt;=LU$42,LR34&gt;=LU$46,LQ34&lt;&gt;""),AND(MS34&gt;=MW$42,MT34&gt;=MW$46,MS34&lt;&gt;""),AND(NU34&gt;=NY$42,NV34&gt;=NY$46,NU34&lt;&gt;""),AND(OW34&gt;=PA$42,OX34&gt;=PA$46,OW34&lt;&gt;""),AND(PY34&gt;=QC$42,PZ34&gt;=QC$46,PY34&lt;&gt;"")),"Merit",IF(OR(AND(AS34&gt;=AW$41,AT34&gt;=AW$45,AS34&lt;&gt;"",AO34=""),AND(BV34&gt;=BZ$41,BW34&gt;=BZ$45,BV34&lt;&gt;"",BR34=""),AND(CY34&gt;=DC$41,CZ34&gt;=DC$45,CY34&lt;&gt;"",CU34=""),AND(EC34&gt;=EG$41,ED34&gt;=EG$45,EC34&lt;&gt;""),AND(FE34&gt;=FI$41,FF34&gt;=FI$45,FE34&lt;&gt;""),AND(GG34&gt;=GK$41,GH34&gt;=GK$45,GG34&lt;&gt;""),AND(HI34&gt;=HM$41,HJ34&gt;=HM$45,HI34&lt;&gt;""),AND(IK34&gt;=IO$41,IL34&gt;=IO$45,IK34&lt;&gt;""),AND(JM34&gt;=JQ$41,JN34&gt;=JQ$45,JM34&lt;&gt;""),AND(KO34&gt;=KS$41,KP34&gt;=KS$45,KO34&lt;&gt;""),AND(LQ34&gt;=LU$41,LR34&gt;=LU$45,LQ34&lt;&gt;""),AND(MS34&gt;=MW$41,MT34&gt;=MW$45,MS34&lt;&gt;""),AND(NU34&gt;=NY$41,NV34&gt;=NY$45,NU34&lt;&gt;""),AND(OW34&gt;=PA$41,OX34&gt;=PA$45,OW34&lt;&gt;""),AND(PY34&gt;=QC$41,PZ34&gt;=QC$45,PY34&lt;&gt;"")),"Excellence",IF(K34="P","Worlds Team",IF(H34="P","National Team","")))))</f>
        <v/>
      </c>
      <c r="K34" s="3" t="str">
        <f>IF(OR(AND(AS34&gt;=AW$40,AT34&gt;=AW$44,AS34&lt;&gt;"",AO34=""),AND(BV34&gt;=BZ$40,BW34&gt;=BZ$44,BV34&lt;&gt;"",BR34=""),AND(CY34&gt;=DC$40,CZ34&gt;=DC$44,CY34&lt;&gt;"",CU34=""),AND(EC34&gt;=EG$40,ED34&gt;=EG$44,EC34&lt;&gt;""),AND(FE34&gt;=FI$40,FF34&gt;=FI$44,FE34&lt;&gt;""),AND(GG34&gt;=GK$40,GH34&gt;=GK$44,GG34&lt;&gt;""),AND(HI34&gt;=HM$40,HJ34&gt;=HM$44,HI34&lt;&gt;""),AND(IK34&gt;=IO$40,IL34&gt;=IO$44,IK34&lt;&gt;""),AND(JM34&gt;=JQ$40,JN34&gt;=JQ$44,JM34&lt;&gt;""),AND(KO34&gt;=KS$40,KP34&gt;=KS$44,KO34&lt;&gt;""),AND(LQ34&gt;=LU$40,LR34&gt;=LU$44,LQ34&lt;&gt;""),AND(MS34&gt;=MW$40,MT34&gt;=MW$44,MS34&lt;&gt;""),AND(NU34&gt;=NY$40,NV34&gt;=NY$44,NU34&lt;&gt;""),AND(OW34&gt;=PA$40,OX34&gt;=PA$44,OW34&lt;&gt;""),AND(PY34&gt;=QC$40,PZ34&gt;=QC$44,PY34&lt;&gt;"")),"P","")</f>
        <v/>
      </c>
      <c r="L34" s="8">
        <f>IF(COUNT(AQ34,BT34,CW34)&gt;0,LARGE((AQ34,BT34,CW34),1),0)</f>
        <v>42.7</v>
      </c>
      <c r="M34" s="8" t="str">
        <f t="shared" si="1"/>
        <v>2025 Nationals</v>
      </c>
      <c r="N34" s="8">
        <f>IF(COUNT(AQ34,BT34,CW34)&gt;1,LARGE((AQ34,BT34,CW34),2),0)</f>
        <v>0</v>
      </c>
      <c r="O34" s="8" t="str">
        <f t="shared" si="2"/>
        <v/>
      </c>
      <c r="P34" s="8">
        <f t="shared" si="3"/>
        <v>0</v>
      </c>
      <c r="Q34" s="8" t="str">
        <f t="shared" si="4"/>
        <v/>
      </c>
      <c r="R34" s="8" t="str">
        <f t="shared" si="5"/>
        <v/>
      </c>
      <c r="S34" s="11" t="str">
        <f t="shared" si="6"/>
        <v/>
      </c>
      <c r="T34" s="8" t="str">
        <f t="shared" si="7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8"/>
        <v/>
      </c>
      <c r="AQ34" s="40" t="str">
        <f t="shared" si="9"/>
        <v/>
      </c>
      <c r="AR34" s="40" t="str">
        <f t="shared" si="10"/>
        <v/>
      </c>
      <c r="AS34" s="40" t="str">
        <f t="shared" si="11"/>
        <v/>
      </c>
      <c r="AT34" s="40" t="str">
        <f t="shared" si="12"/>
        <v/>
      </c>
      <c r="AU34" s="40" t="str">
        <f t="shared" si="13"/>
        <v/>
      </c>
      <c r="AV34" s="40" t="str">
        <f t="shared" si="14"/>
        <v/>
      </c>
      <c r="AW34" s="40" t="str">
        <f t="shared" si="15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16"/>
        <v/>
      </c>
      <c r="BT34" s="11" t="str">
        <f t="shared" si="17"/>
        <v/>
      </c>
      <c r="BU34" s="11" t="str">
        <f t="shared" si="18"/>
        <v/>
      </c>
      <c r="BV34" s="11" t="str">
        <f t="shared" si="19"/>
        <v/>
      </c>
      <c r="BW34" s="11" t="str">
        <f t="shared" si="20"/>
        <v/>
      </c>
      <c r="BX34" s="11" t="str">
        <f t="shared" si="21"/>
        <v/>
      </c>
      <c r="BY34" s="11" t="str">
        <f t="shared" si="22"/>
        <v/>
      </c>
      <c r="BZ34" s="11" t="str">
        <f t="shared" si="23"/>
        <v/>
      </c>
      <c r="CA34" s="19">
        <v>17.3</v>
      </c>
      <c r="CB34" s="19">
        <v>3.5</v>
      </c>
      <c r="CC34" s="19">
        <v>0.6</v>
      </c>
      <c r="CD34" s="19">
        <v>0</v>
      </c>
      <c r="CE34" s="19">
        <v>18.899999999999999</v>
      </c>
      <c r="CF34" s="19">
        <v>3.6</v>
      </c>
      <c r="CG34" s="19">
        <v>0</v>
      </c>
      <c r="CH34" s="19">
        <v>0</v>
      </c>
      <c r="CI34" s="19"/>
      <c r="CJ34" s="19"/>
      <c r="CK34" s="19"/>
      <c r="CL34" s="19"/>
      <c r="CM34" s="19" t="s">
        <v>200</v>
      </c>
      <c r="CN34" s="19" t="s">
        <v>200</v>
      </c>
      <c r="CO34" s="19" t="s">
        <v>200</v>
      </c>
      <c r="CP34" s="19" t="s">
        <v>200</v>
      </c>
      <c r="CQ34" s="19" t="s">
        <v>200</v>
      </c>
      <c r="CR34" s="19" t="s">
        <v>200</v>
      </c>
      <c r="CS34" s="19" t="s">
        <v>200</v>
      </c>
      <c r="CT34" s="19" t="s">
        <v>200</v>
      </c>
      <c r="CU34" s="27"/>
      <c r="CV34" s="40">
        <f t="shared" si="24"/>
        <v>7.1</v>
      </c>
      <c r="CW34" s="40">
        <f t="shared" si="25"/>
        <v>42.7</v>
      </c>
      <c r="CX34" s="40" t="str">
        <f t="shared" si="26"/>
        <v/>
      </c>
      <c r="CY34" s="40">
        <f t="shared" si="27"/>
        <v>7.1</v>
      </c>
      <c r="CZ34" s="40">
        <f t="shared" si="28"/>
        <v>42.7</v>
      </c>
      <c r="DA34" s="40" t="str">
        <f t="shared" si="29"/>
        <v/>
      </c>
      <c r="DB34" s="40" t="str">
        <f t="shared" si="30"/>
        <v/>
      </c>
      <c r="DC34" s="40">
        <f t="shared" si="31"/>
        <v>42.7</v>
      </c>
      <c r="DD34" s="50" t="str">
        <f t="shared" si="32"/>
        <v/>
      </c>
      <c r="DE34" s="50" t="str">
        <f t="shared" si="33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4"/>
        <v/>
      </c>
      <c r="EA34" s="40" t="str">
        <f t="shared" si="35"/>
        <v/>
      </c>
      <c r="EB34" s="40" t="str">
        <f t="shared" si="36"/>
        <v/>
      </c>
      <c r="EC34" s="40" t="str">
        <f t="shared" si="37"/>
        <v/>
      </c>
      <c r="ED34" s="40" t="str">
        <f t="shared" si="38"/>
        <v/>
      </c>
      <c r="EE34" s="40" t="str">
        <f t="shared" si="39"/>
        <v/>
      </c>
      <c r="EF34" s="40" t="str">
        <f t="shared" si="40"/>
        <v/>
      </c>
      <c r="EG34" s="40" t="str">
        <f t="shared" si="41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2"/>
        <v/>
      </c>
      <c r="FC34" s="11" t="str">
        <f t="shared" si="43"/>
        <v/>
      </c>
      <c r="FD34" s="11" t="str">
        <f t="shared" si="44"/>
        <v/>
      </c>
      <c r="FE34" s="11" t="str">
        <f t="shared" si="45"/>
        <v/>
      </c>
      <c r="FF34" s="11" t="str">
        <f t="shared" si="46"/>
        <v/>
      </c>
      <c r="FG34" s="11" t="str">
        <f t="shared" si="47"/>
        <v/>
      </c>
      <c r="FH34" s="11" t="str">
        <f t="shared" si="48"/>
        <v/>
      </c>
      <c r="FI34" s="11" t="str">
        <f t="shared" si="49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0"/>
        <v/>
      </c>
      <c r="GE34" s="40" t="str">
        <f t="shared" si="51"/>
        <v/>
      </c>
      <c r="GF34" s="40" t="str">
        <f t="shared" si="52"/>
        <v/>
      </c>
      <c r="GG34" s="40" t="str">
        <f t="shared" si="53"/>
        <v/>
      </c>
      <c r="GH34" s="40" t="str">
        <f t="shared" si="54"/>
        <v/>
      </c>
      <c r="GI34" s="40" t="str">
        <f t="shared" si="55"/>
        <v/>
      </c>
      <c r="GJ34" s="40" t="str">
        <f t="shared" si="56"/>
        <v/>
      </c>
      <c r="GK34" s="40" t="str">
        <f t="shared" si="57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58"/>
        <v/>
      </c>
      <c r="HG34" s="11" t="str">
        <f t="shared" si="59"/>
        <v/>
      </c>
      <c r="HH34" s="11" t="str">
        <f t="shared" si="60"/>
        <v/>
      </c>
      <c r="HI34" s="11" t="str">
        <f t="shared" si="61"/>
        <v/>
      </c>
      <c r="HJ34" s="11" t="str">
        <f t="shared" si="62"/>
        <v/>
      </c>
      <c r="HK34" s="11" t="str">
        <f t="shared" si="63"/>
        <v/>
      </c>
      <c r="HL34" s="11" t="str">
        <f t="shared" si="64"/>
        <v/>
      </c>
      <c r="HM34" s="11" t="str">
        <f t="shared" si="65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66"/>
        <v/>
      </c>
      <c r="II34" s="40" t="str">
        <f t="shared" si="67"/>
        <v/>
      </c>
      <c r="IJ34" s="40" t="str">
        <f t="shared" si="68"/>
        <v/>
      </c>
      <c r="IK34" s="40" t="str">
        <f t="shared" si="69"/>
        <v/>
      </c>
      <c r="IL34" s="40" t="str">
        <f t="shared" si="70"/>
        <v/>
      </c>
      <c r="IM34" s="40" t="str">
        <f t="shared" si="71"/>
        <v/>
      </c>
      <c r="IN34" s="40" t="str">
        <f t="shared" si="72"/>
        <v/>
      </c>
      <c r="IO34" s="40" t="str">
        <f t="shared" si="73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4"/>
        <v/>
      </c>
      <c r="JK34" s="11" t="str">
        <f t="shared" si="75"/>
        <v/>
      </c>
      <c r="JL34" s="11" t="str">
        <f t="shared" si="76"/>
        <v/>
      </c>
      <c r="JM34" s="11" t="str">
        <f t="shared" si="77"/>
        <v/>
      </c>
      <c r="JN34" s="11" t="str">
        <f t="shared" si="78"/>
        <v/>
      </c>
      <c r="JO34" s="11" t="str">
        <f t="shared" si="79"/>
        <v/>
      </c>
      <c r="JP34" s="11" t="str">
        <f t="shared" si="80"/>
        <v/>
      </c>
      <c r="JQ34" s="11" t="str">
        <f t="shared" si="81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2"/>
        <v/>
      </c>
      <c r="KM34" s="40" t="str">
        <f t="shared" si="83"/>
        <v/>
      </c>
      <c r="KN34" s="40" t="str">
        <f t="shared" si="84"/>
        <v/>
      </c>
      <c r="KO34" s="40" t="str">
        <f t="shared" si="85"/>
        <v/>
      </c>
      <c r="KP34" s="40" t="str">
        <f t="shared" si="86"/>
        <v/>
      </c>
      <c r="KQ34" s="40" t="str">
        <f t="shared" si="87"/>
        <v/>
      </c>
      <c r="KR34" s="40" t="str">
        <f t="shared" si="88"/>
        <v/>
      </c>
      <c r="KS34" s="40" t="str">
        <f t="shared" si="89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0"/>
        <v/>
      </c>
      <c r="LO34" s="11" t="str">
        <f t="shared" si="91"/>
        <v/>
      </c>
      <c r="LP34" s="11" t="str">
        <f t="shared" si="92"/>
        <v/>
      </c>
      <c r="LQ34" s="11" t="str">
        <f t="shared" si="93"/>
        <v/>
      </c>
      <c r="LR34" s="11" t="str">
        <f t="shared" si="94"/>
        <v/>
      </c>
      <c r="LS34" s="11" t="str">
        <f t="shared" si="95"/>
        <v/>
      </c>
      <c r="LT34" s="11" t="str">
        <f t="shared" si="96"/>
        <v/>
      </c>
      <c r="LU34" s="11" t="str">
        <f t="shared" si="97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98"/>
        <v/>
      </c>
      <c r="MQ34" s="40" t="str">
        <f t="shared" si="99"/>
        <v/>
      </c>
      <c r="MR34" s="40" t="str">
        <f t="shared" si="100"/>
        <v/>
      </c>
      <c r="MS34" s="40" t="str">
        <f t="shared" si="101"/>
        <v/>
      </c>
      <c r="MT34" s="40" t="str">
        <f t="shared" si="102"/>
        <v/>
      </c>
      <c r="MU34" s="40" t="str">
        <f t="shared" si="103"/>
        <v/>
      </c>
      <c r="MV34" s="40" t="str">
        <f t="shared" si="104"/>
        <v/>
      </c>
      <c r="MW34" s="40" t="str">
        <f t="shared" si="105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06"/>
        <v/>
      </c>
      <c r="NS34" s="11" t="str">
        <f t="shared" si="107"/>
        <v/>
      </c>
      <c r="NT34" s="11" t="str">
        <f t="shared" si="108"/>
        <v/>
      </c>
      <c r="NU34" s="11" t="str">
        <f t="shared" si="109"/>
        <v/>
      </c>
      <c r="NV34" s="11" t="str">
        <f t="shared" si="110"/>
        <v/>
      </c>
      <c r="NW34" s="11" t="str">
        <f t="shared" si="111"/>
        <v/>
      </c>
      <c r="NX34" s="11" t="str">
        <f t="shared" si="112"/>
        <v/>
      </c>
      <c r="NY34" s="11" t="str">
        <f t="shared" si="113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4"/>
        <v/>
      </c>
      <c r="OU34" s="40" t="str">
        <f t="shared" si="115"/>
        <v/>
      </c>
      <c r="OV34" s="40" t="str">
        <f t="shared" si="116"/>
        <v/>
      </c>
      <c r="OW34" s="40" t="str">
        <f t="shared" si="117"/>
        <v/>
      </c>
      <c r="OX34" s="40" t="str">
        <f t="shared" si="118"/>
        <v/>
      </c>
      <c r="OY34" s="40" t="str">
        <f t="shared" si="119"/>
        <v/>
      </c>
      <c r="OZ34" s="40" t="str">
        <f t="shared" si="120"/>
        <v/>
      </c>
      <c r="PA34" s="40" t="str">
        <f t="shared" si="121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2"/>
        <v/>
      </c>
      <c r="PW34" s="11" t="str">
        <f t="shared" si="123"/>
        <v/>
      </c>
      <c r="PX34" s="11" t="str">
        <f t="shared" si="124"/>
        <v/>
      </c>
      <c r="PY34" s="11" t="str">
        <f t="shared" si="125"/>
        <v/>
      </c>
      <c r="PZ34" s="11" t="str">
        <f t="shared" si="126"/>
        <v/>
      </c>
      <c r="QA34" s="11" t="str">
        <f t="shared" si="127"/>
        <v/>
      </c>
      <c r="QB34" s="11" t="str">
        <f t="shared" si="128"/>
        <v/>
      </c>
      <c r="QC34" s="11" t="str">
        <f t="shared" si="129"/>
        <v/>
      </c>
      <c r="QD34" s="22">
        <f t="shared" si="130"/>
        <v>8.65</v>
      </c>
      <c r="QE34" s="22">
        <f t="shared" si="131"/>
        <v>1.75</v>
      </c>
      <c r="QF34" s="22">
        <f t="shared" si="132"/>
        <v>0.3</v>
      </c>
      <c r="QG34" s="22">
        <f t="shared" si="133"/>
        <v>0</v>
      </c>
      <c r="QH34" s="22">
        <f t="shared" si="134"/>
        <v>9.4499999999999993</v>
      </c>
      <c r="QI34" s="22">
        <f t="shared" si="135"/>
        <v>1.8</v>
      </c>
      <c r="QJ34" s="22">
        <f t="shared" si="136"/>
        <v>0</v>
      </c>
      <c r="QK34" s="22">
        <f t="shared" si="137"/>
        <v>0</v>
      </c>
      <c r="QL34" s="22">
        <f t="shared" si="138"/>
        <v>0</v>
      </c>
      <c r="QM34" s="22">
        <f t="shared" si="139"/>
        <v>0</v>
      </c>
      <c r="QN34" s="22">
        <f t="shared" si="140"/>
        <v>0</v>
      </c>
      <c r="QO34" s="22">
        <f t="shared" si="141"/>
        <v>0</v>
      </c>
      <c r="QP34" s="22" t="e">
        <f t="shared" si="142"/>
        <v>#VALUE!</v>
      </c>
      <c r="QQ34" s="22" t="e">
        <f t="shared" si="143"/>
        <v>#VALUE!</v>
      </c>
      <c r="QR34" s="22" t="e">
        <f t="shared" si="144"/>
        <v>#VALUE!</v>
      </c>
      <c r="QS34" s="22" t="e">
        <f t="shared" si="145"/>
        <v>#VALUE!</v>
      </c>
      <c r="QT34" s="22" t="e">
        <f t="shared" si="146"/>
        <v>#VALUE!</v>
      </c>
      <c r="QU34" s="22" t="e">
        <f t="shared" si="147"/>
        <v>#VALUE!</v>
      </c>
      <c r="QV34" s="22" t="e">
        <f t="shared" si="148"/>
        <v>#VALUE!</v>
      </c>
      <c r="QW34" s="22" t="e">
        <f t="shared" si="149"/>
        <v>#VALUE!</v>
      </c>
      <c r="QX34" s="27" t="s">
        <v>46</v>
      </c>
      <c r="QY34" s="40">
        <f t="shared" si="150"/>
        <v>3.55</v>
      </c>
      <c r="QZ34" s="40">
        <f t="shared" si="151"/>
        <v>21.35</v>
      </c>
      <c r="RA34" s="40" t="str">
        <f t="shared" si="152"/>
        <v/>
      </c>
      <c r="RB34" s="40">
        <f t="shared" si="153"/>
        <v>3.55</v>
      </c>
      <c r="RC34" s="40">
        <f t="shared" si="154"/>
        <v>21.35</v>
      </c>
      <c r="RD34" s="40" t="e">
        <f t="shared" si="155"/>
        <v>#VALUE!</v>
      </c>
      <c r="RE34" s="40" t="e">
        <f t="shared" si="156"/>
        <v>#VALUE!</v>
      </c>
      <c r="RF34" s="40" t="e">
        <f t="shared" si="157"/>
        <v>#VALUE!</v>
      </c>
    </row>
    <row r="35" spans="1:47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157</v>
      </c>
      <c r="D35" s="4" t="s">
        <v>5</v>
      </c>
      <c r="E35" s="4">
        <v>2005</v>
      </c>
      <c r="F35" s="9">
        <f t="shared" si="0"/>
        <v>36.300003630003637</v>
      </c>
      <c r="G35" s="64"/>
      <c r="H35" s="3" t="str">
        <f>IF(OR(AND(AP35&gt;=AW$39,AQ35&gt;=AW$43,AP35&lt;&gt;"",AO35=""),AND(AU35&gt;=AW$39,AV35&gt;=AW$43,AU35&lt;&gt;"",AO35=""),AND(BS35&gt;=BZ$39,BT35&gt;=BZ$43,BS35&lt;&gt;"",BR35=""),AND(BX35&gt;=BZ$39,BY35&gt;=BZ$43,BX35&lt;&gt;"",BR35=""),AND(CV35&gt;=DC$39,CW35&gt;=DC$43,CV35&lt;&gt;"",CU35=""),AND(DA35&gt;=DC$39,DB35&gt;=DC$43,DA35&lt;&gt;""),AND(DZ35&gt;=EG$39,EA35&gt;=EG$43,DZ35&lt;&gt;""),AND(EE35&gt;=EG$39,EF35&gt;=EG$43,EE35&lt;&gt;""),AND(FB35&gt;=FI$39,FC35&gt;=FI$43,FB35&lt;&gt;""),AND(FG35&gt;=FI$39,FH35&gt;=FI$43,FG35&lt;&gt;""),AND(GD35&gt;=GK$39,GE35&gt;=GK$43,GD35&lt;&gt;""),AND(GI35&gt;=GK$39,GJ35&gt;=GK$43,GI35&lt;&gt;""),AND(HF35&gt;=HM$39,HG35&gt;=HM$43,HF35&lt;&gt;""),AND(HK35&gt;=HM$39,HL35&gt;=HM$43,HK35&lt;&gt;""),AND(IH35&gt;=IO$39,II35&gt;=IO$43,IH35&lt;&gt;""),AND(IM35&gt;=IO$39,IN35&gt;=IO$43,IM35&lt;&gt;""),AND(JJ35&gt;=JQ$39,JK35&gt;=JQ$43,JJ35&lt;&gt;""),AND(JO35&gt;=JQ$39,JP35&gt;=JQ$43,JO35&lt;&gt;""),AND(KL35&gt;=KS$39,KM35&gt;=KS$43,KL35&lt;&gt;""),AND(KQ35&gt;=KS$39,KR35&gt;=KS$43,KQ35&lt;&gt;""),AND(LN35&gt;=LU$39,LO35&gt;=LU$43,LN35&lt;&gt;""),AND(LS35&gt;=LU$39,LT35&gt;=LU$43,LS35&lt;&gt;""),AND(MP35&gt;=MW$39,MQ35&gt;=MW$43,MP35&lt;&gt;""),AND(MU35&gt;=MW$39,MV35&gt;=MW$43,MU35&lt;&gt;""),AND(NR35&gt;=NY$39,NS35&gt;=NY$43,NR35&lt;&gt;""),AND(NW35&gt;=NY$39,NX35&gt;=NY$43,NW35&lt;&gt;""),AND(OT35&gt;=PA$39,OU35&gt;=PA$43,OT35&lt;&gt;""),AND(OY35&gt;=PA$39,OZ35&gt;=PA$43,OY35&lt;&gt;""),AND(PV35&gt;=QC$39,PW35&gt;=QC$43,PV35&lt;&gt;""),AND(QA35&gt;=QC$39,QB35&gt;=QC$43,QA35&lt;&gt;"")),"P","")</f>
        <v/>
      </c>
      <c r="I35" s="3" t="str">
        <f>IF(OR(AND(AQ35&gt;=AW$43,AQ35&lt;&gt;"",AO35=""),AND(AV35&gt;=AW$43,AV35&lt;&gt;"",AO35=""),AND(BT35&gt;=BZ$43,BT35&lt;&gt;"",BR35=""),AND(BY35&gt;=BZ$43,BY35&lt;&gt;"",BR35=""),AND(CW35&gt;=DC$43,CW35&lt;&gt;"",CU35=""),AND(DB35&gt;=DC$43,DB35&lt;&gt;"",CU35=""),AND(EA35&gt;=EG$43,EA35&lt;&gt;""),AND(EF35&gt;=EG$43,EF35&lt;&gt;""),AND(FC35&gt;=FI$43,FC35&lt;&gt;""),AND(FH35&gt;=FI$43,FH35&lt;&gt;""),AND(GE35&gt;=GK$43,GE35&lt;&gt;""),AND(GJ35&gt;=GK$43,GJ35&lt;&gt;""),AND(HG35&gt;=HM$43,HG35&lt;&gt;""),AND(HL35&gt;=HM$43,HL35&lt;&gt;""),AND(II35&gt;=IO$43,II35&lt;&gt;""),AND(IN35&gt;=IO$43,IN35&lt;&gt;""),AND(JK35&gt;=JQ$43,JK35&lt;&gt;""),AND(JP35&gt;=JQ$43,JP35&lt;&gt;""),AND(KM35&gt;=KS$43,KM35&lt;&gt;""),AND(KR35&gt;=KS$43,KR35&lt;&gt;""),AND(LO35&gt;=LU$43,LO35&lt;&gt;""),AND(LT35&gt;=LU$43,LT35&lt;&gt;""),AND(MQ35&gt;=MW$43,MQ35&lt;&gt;""),AND(MV35&gt;=MW$43,MV35&lt;&gt;""),AND(NS35&gt;=NY$43,NS35&lt;&gt;""),AND(NX35&gt;=NY$43,NX35&lt;&gt;""),AND(OU35&gt;=PA$43,OU35&lt;&gt;""),AND(OZ35&gt;=PA$43,OZ35&lt;&gt;""),AND(PW35&gt;=QC$43,PW35&lt;&gt;""),AND(QB35&gt;=QC$43,QB35&lt;&gt;"")),"P","")</f>
        <v/>
      </c>
      <c r="J35" s="36" t="str">
        <f>IF(AND(I35="P",H35=""),"No DD",IF(OR(AND(AS35&gt;=AW$42,AT35&gt;=AW$46,AS35&lt;&gt;"",AO35=""),AND(BV35&gt;=BZ$42,BW35&gt;=BZ$46,BV35&lt;&gt;"",BR35=""),AND(CY35&gt;=DC$42,CZ35&gt;=DC$46,CY35&lt;&gt;"",CU35=""),AND(EC35&gt;=EG$42,ED35&gt;=EG$46,EC35&lt;&gt;""),AND(FE35&gt;=FI$42,FF35&gt;=FI$46,FE35&lt;&gt;""),AND(GG35&gt;=GK$42,GH35&gt;=GK$46,GG35&lt;&gt;""),AND(HI35&gt;=HM$42,HJ35&gt;=HM$46,HI35&lt;&gt;""),AND(IK35&gt;=IO$42,IL35&gt;=IO$46,IK35&lt;&gt;""),AND(JM35&gt;=JQ$42,JN35&gt;=JQ$46,JM35&lt;&gt;""),AND(KO35&gt;=KS$42,KP35&gt;=KS$46,KO35&lt;&gt;""),AND(LQ35&gt;=LU$42,LR35&gt;=LU$46,LQ35&lt;&gt;""),AND(MS35&gt;=MW$42,MT35&gt;=MW$46,MS35&lt;&gt;""),AND(NU35&gt;=NY$42,NV35&gt;=NY$46,NU35&lt;&gt;""),AND(OW35&gt;=PA$42,OX35&gt;=PA$46,OW35&lt;&gt;""),AND(PY35&gt;=QC$42,PZ35&gt;=QC$46,PY35&lt;&gt;"")),"Merit",IF(OR(AND(AS35&gt;=AW$41,AT35&gt;=AW$45,AS35&lt;&gt;"",AO35=""),AND(BV35&gt;=BZ$41,BW35&gt;=BZ$45,BV35&lt;&gt;"",BR35=""),AND(CY35&gt;=DC$41,CZ35&gt;=DC$45,CY35&lt;&gt;"",CU35=""),AND(EC35&gt;=EG$41,ED35&gt;=EG$45,EC35&lt;&gt;""),AND(FE35&gt;=FI$41,FF35&gt;=FI$45,FE35&lt;&gt;""),AND(GG35&gt;=GK$41,GH35&gt;=GK$45,GG35&lt;&gt;""),AND(HI35&gt;=HM$41,HJ35&gt;=HM$45,HI35&lt;&gt;""),AND(IK35&gt;=IO$41,IL35&gt;=IO$45,IK35&lt;&gt;""),AND(JM35&gt;=JQ$41,JN35&gt;=JQ$45,JM35&lt;&gt;""),AND(KO35&gt;=KS$41,KP35&gt;=KS$45,KO35&lt;&gt;""),AND(LQ35&gt;=LU$41,LR35&gt;=LU$45,LQ35&lt;&gt;""),AND(MS35&gt;=MW$41,MT35&gt;=MW$45,MS35&lt;&gt;""),AND(NU35&gt;=NY$41,NV35&gt;=NY$45,NU35&lt;&gt;""),AND(OW35&gt;=PA$41,OX35&gt;=PA$45,OW35&lt;&gt;""),AND(PY35&gt;=QC$41,PZ35&gt;=QC$45,PY35&lt;&gt;"")),"Excellence",IF(K35="P","Worlds Team",IF(H35="P","National Team","")))))</f>
        <v/>
      </c>
      <c r="K35" s="3" t="str">
        <f>IF(OR(AND(AS35&gt;=AW$40,AT35&gt;=AW$44,AS35&lt;&gt;"",AO35=""),AND(BV35&gt;=BZ$40,BW35&gt;=BZ$44,BV35&lt;&gt;"",BR35=""),AND(CY35&gt;=DC$40,CZ35&gt;=DC$44,CY35&lt;&gt;"",CU35=""),AND(EC35&gt;=EG$40,ED35&gt;=EG$44,EC35&lt;&gt;""),AND(FE35&gt;=FI$40,FF35&gt;=FI$44,FE35&lt;&gt;""),AND(GG35&gt;=GK$40,GH35&gt;=GK$44,GG35&lt;&gt;""),AND(HI35&gt;=HM$40,HJ35&gt;=HM$44,HI35&lt;&gt;""),AND(IK35&gt;=IO$40,IL35&gt;=IO$44,IK35&lt;&gt;""),AND(JM35&gt;=JQ$40,JN35&gt;=JQ$44,JM35&lt;&gt;""),AND(KO35&gt;=KS$40,KP35&gt;=KS$44,KO35&lt;&gt;""),AND(LQ35&gt;=LU$40,LR35&gt;=LU$44,LQ35&lt;&gt;""),AND(MS35&gt;=MW$40,MT35&gt;=MW$44,MS35&lt;&gt;""),AND(NU35&gt;=NY$40,NV35&gt;=NY$44,NU35&lt;&gt;""),AND(OW35&gt;=PA$40,OX35&gt;=PA$44,OW35&lt;&gt;""),AND(PY35&gt;=QC$40,PZ35&gt;=QC$44,PY35&lt;&gt;"")),"P","")</f>
        <v/>
      </c>
      <c r="L35" s="8">
        <f>IF(COUNT(AQ35,BT35,CW35)&gt;0,LARGE((AQ35,BT35,CW35),1),0)</f>
        <v>36.300000000000004</v>
      </c>
      <c r="M35" s="8" t="str">
        <f t="shared" si="1"/>
        <v>2025 Elite Canada</v>
      </c>
      <c r="N35" s="8">
        <f>IF(COUNT(AQ35,BT35,CW35)&gt;1,LARGE((AQ35,BT35,CW35),2),0)</f>
        <v>0</v>
      </c>
      <c r="O35" s="8" t="str">
        <f t="shared" si="2"/>
        <v/>
      </c>
      <c r="P35" s="8">
        <f t="shared" si="3"/>
        <v>0</v>
      </c>
      <c r="Q35" s="8" t="str">
        <f t="shared" si="4"/>
        <v/>
      </c>
      <c r="R35" s="8" t="str">
        <f t="shared" si="5"/>
        <v/>
      </c>
      <c r="S35" s="11" t="str">
        <f t="shared" si="6"/>
        <v/>
      </c>
      <c r="T35" s="8" t="str">
        <f t="shared" si="7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8"/>
        <v/>
      </c>
      <c r="AQ35" s="40" t="str">
        <f t="shared" si="9"/>
        <v/>
      </c>
      <c r="AR35" s="40" t="str">
        <f t="shared" si="10"/>
        <v/>
      </c>
      <c r="AS35" s="40" t="str">
        <f t="shared" si="11"/>
        <v/>
      </c>
      <c r="AT35" s="40" t="str">
        <f t="shared" si="12"/>
        <v/>
      </c>
      <c r="AU35" s="40" t="str">
        <f t="shared" si="13"/>
        <v/>
      </c>
      <c r="AV35" s="40" t="str">
        <f t="shared" si="14"/>
        <v/>
      </c>
      <c r="AW35" s="40" t="str">
        <f t="shared" si="15"/>
        <v/>
      </c>
      <c r="AX35" s="18">
        <v>18</v>
      </c>
      <c r="AY35" s="18">
        <v>2.7</v>
      </c>
      <c r="AZ35" s="18">
        <v>1</v>
      </c>
      <c r="BA35" s="18">
        <v>0</v>
      </c>
      <c r="BB35" s="18">
        <v>15.4</v>
      </c>
      <c r="BC35" s="18">
        <v>1.2</v>
      </c>
      <c r="BD35" s="18">
        <v>0</v>
      </c>
      <c r="BE35" s="18">
        <v>0</v>
      </c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>
        <f t="shared" si="16"/>
        <v>3.9000000000000004</v>
      </c>
      <c r="BT35" s="11">
        <f t="shared" si="17"/>
        <v>36.300000000000004</v>
      </c>
      <c r="BU35" s="11" t="str">
        <f t="shared" si="18"/>
        <v/>
      </c>
      <c r="BV35" s="11">
        <f t="shared" si="19"/>
        <v>3.9000000000000004</v>
      </c>
      <c r="BW35" s="11">
        <f t="shared" si="20"/>
        <v>36.300000000000004</v>
      </c>
      <c r="BX35" s="11" t="str">
        <f t="shared" si="21"/>
        <v/>
      </c>
      <c r="BY35" s="11" t="str">
        <f t="shared" si="22"/>
        <v/>
      </c>
      <c r="BZ35" s="11">
        <f t="shared" si="23"/>
        <v>36.300000000000004</v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4"/>
        <v/>
      </c>
      <c r="CW35" s="40" t="str">
        <f t="shared" si="25"/>
        <v/>
      </c>
      <c r="CX35" s="40" t="str">
        <f t="shared" si="26"/>
        <v/>
      </c>
      <c r="CY35" s="40" t="str">
        <f t="shared" si="27"/>
        <v/>
      </c>
      <c r="CZ35" s="40" t="str">
        <f t="shared" si="28"/>
        <v/>
      </c>
      <c r="DA35" s="40" t="str">
        <f t="shared" si="29"/>
        <v/>
      </c>
      <c r="DB35" s="40" t="str">
        <f t="shared" si="30"/>
        <v/>
      </c>
      <c r="DC35" s="40" t="str">
        <f t="shared" si="31"/>
        <v/>
      </c>
      <c r="DD35" s="50" t="str">
        <f t="shared" si="32"/>
        <v/>
      </c>
      <c r="DE35" s="50" t="str">
        <f t="shared" si="33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4"/>
        <v/>
      </c>
      <c r="EA35" s="40" t="str">
        <f t="shared" si="35"/>
        <v/>
      </c>
      <c r="EB35" s="40" t="str">
        <f t="shared" si="36"/>
        <v/>
      </c>
      <c r="EC35" s="40" t="str">
        <f t="shared" si="37"/>
        <v/>
      </c>
      <c r="ED35" s="40" t="str">
        <f t="shared" si="38"/>
        <v/>
      </c>
      <c r="EE35" s="40" t="str">
        <f t="shared" si="39"/>
        <v/>
      </c>
      <c r="EF35" s="40" t="str">
        <f t="shared" si="40"/>
        <v/>
      </c>
      <c r="EG35" s="40" t="str">
        <f t="shared" si="41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2"/>
        <v/>
      </c>
      <c r="FC35" s="11" t="str">
        <f t="shared" si="43"/>
        <v/>
      </c>
      <c r="FD35" s="11" t="str">
        <f t="shared" si="44"/>
        <v/>
      </c>
      <c r="FE35" s="11" t="str">
        <f t="shared" si="45"/>
        <v/>
      </c>
      <c r="FF35" s="11" t="str">
        <f t="shared" si="46"/>
        <v/>
      </c>
      <c r="FG35" s="11" t="str">
        <f t="shared" si="47"/>
        <v/>
      </c>
      <c r="FH35" s="11" t="str">
        <f t="shared" si="48"/>
        <v/>
      </c>
      <c r="FI35" s="11" t="str">
        <f t="shared" si="49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0"/>
        <v/>
      </c>
      <c r="GE35" s="40" t="str">
        <f t="shared" si="51"/>
        <v/>
      </c>
      <c r="GF35" s="40" t="str">
        <f t="shared" si="52"/>
        <v/>
      </c>
      <c r="GG35" s="40" t="str">
        <f t="shared" si="53"/>
        <v/>
      </c>
      <c r="GH35" s="40" t="str">
        <f t="shared" si="54"/>
        <v/>
      </c>
      <c r="GI35" s="40" t="str">
        <f t="shared" si="55"/>
        <v/>
      </c>
      <c r="GJ35" s="40" t="str">
        <f t="shared" si="56"/>
        <v/>
      </c>
      <c r="GK35" s="40" t="str">
        <f t="shared" si="57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58"/>
        <v/>
      </c>
      <c r="HG35" s="11" t="str">
        <f t="shared" si="59"/>
        <v/>
      </c>
      <c r="HH35" s="11" t="str">
        <f t="shared" si="60"/>
        <v/>
      </c>
      <c r="HI35" s="11" t="str">
        <f t="shared" si="61"/>
        <v/>
      </c>
      <c r="HJ35" s="11" t="str">
        <f t="shared" si="62"/>
        <v/>
      </c>
      <c r="HK35" s="11" t="str">
        <f t="shared" si="63"/>
        <v/>
      </c>
      <c r="HL35" s="11" t="str">
        <f t="shared" si="64"/>
        <v/>
      </c>
      <c r="HM35" s="11" t="str">
        <f t="shared" si="65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66"/>
        <v/>
      </c>
      <c r="II35" s="40" t="str">
        <f t="shared" si="67"/>
        <v/>
      </c>
      <c r="IJ35" s="40" t="str">
        <f t="shared" si="68"/>
        <v/>
      </c>
      <c r="IK35" s="40" t="str">
        <f t="shared" si="69"/>
        <v/>
      </c>
      <c r="IL35" s="40" t="str">
        <f t="shared" si="70"/>
        <v/>
      </c>
      <c r="IM35" s="40" t="str">
        <f t="shared" si="71"/>
        <v/>
      </c>
      <c r="IN35" s="40" t="str">
        <f t="shared" si="72"/>
        <v/>
      </c>
      <c r="IO35" s="40" t="str">
        <f t="shared" si="73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4"/>
        <v/>
      </c>
      <c r="JK35" s="11" t="str">
        <f t="shared" si="75"/>
        <v/>
      </c>
      <c r="JL35" s="11" t="str">
        <f t="shared" si="76"/>
        <v/>
      </c>
      <c r="JM35" s="11" t="str">
        <f t="shared" si="77"/>
        <v/>
      </c>
      <c r="JN35" s="11" t="str">
        <f t="shared" si="78"/>
        <v/>
      </c>
      <c r="JO35" s="11" t="str">
        <f t="shared" si="79"/>
        <v/>
      </c>
      <c r="JP35" s="11" t="str">
        <f t="shared" si="80"/>
        <v/>
      </c>
      <c r="JQ35" s="11" t="str">
        <f t="shared" si="81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2"/>
        <v/>
      </c>
      <c r="KM35" s="40" t="str">
        <f t="shared" si="83"/>
        <v/>
      </c>
      <c r="KN35" s="40" t="str">
        <f t="shared" si="84"/>
        <v/>
      </c>
      <c r="KO35" s="40" t="str">
        <f t="shared" si="85"/>
        <v/>
      </c>
      <c r="KP35" s="40" t="str">
        <f t="shared" si="86"/>
        <v/>
      </c>
      <c r="KQ35" s="40" t="str">
        <f t="shared" si="87"/>
        <v/>
      </c>
      <c r="KR35" s="40" t="str">
        <f t="shared" si="88"/>
        <v/>
      </c>
      <c r="KS35" s="40" t="str">
        <f t="shared" si="89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0"/>
        <v/>
      </c>
      <c r="LO35" s="11" t="str">
        <f t="shared" si="91"/>
        <v/>
      </c>
      <c r="LP35" s="11" t="str">
        <f t="shared" si="92"/>
        <v/>
      </c>
      <c r="LQ35" s="11" t="str">
        <f t="shared" si="93"/>
        <v/>
      </c>
      <c r="LR35" s="11" t="str">
        <f t="shared" si="94"/>
        <v/>
      </c>
      <c r="LS35" s="11" t="str">
        <f t="shared" si="95"/>
        <v/>
      </c>
      <c r="LT35" s="11" t="str">
        <f t="shared" si="96"/>
        <v/>
      </c>
      <c r="LU35" s="11" t="str">
        <f t="shared" si="97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98"/>
        <v/>
      </c>
      <c r="MQ35" s="40" t="str">
        <f t="shared" si="99"/>
        <v/>
      </c>
      <c r="MR35" s="40" t="str">
        <f t="shared" si="100"/>
        <v/>
      </c>
      <c r="MS35" s="40" t="str">
        <f t="shared" si="101"/>
        <v/>
      </c>
      <c r="MT35" s="40" t="str">
        <f t="shared" si="102"/>
        <v/>
      </c>
      <c r="MU35" s="40" t="str">
        <f t="shared" si="103"/>
        <v/>
      </c>
      <c r="MV35" s="40" t="str">
        <f t="shared" si="104"/>
        <v/>
      </c>
      <c r="MW35" s="40" t="str">
        <f t="shared" si="105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06"/>
        <v/>
      </c>
      <c r="NS35" s="11" t="str">
        <f t="shared" si="107"/>
        <v/>
      </c>
      <c r="NT35" s="11" t="str">
        <f t="shared" si="108"/>
        <v/>
      </c>
      <c r="NU35" s="11" t="str">
        <f t="shared" si="109"/>
        <v/>
      </c>
      <c r="NV35" s="11" t="str">
        <f t="shared" si="110"/>
        <v/>
      </c>
      <c r="NW35" s="11" t="str">
        <f t="shared" si="111"/>
        <v/>
      </c>
      <c r="NX35" s="11" t="str">
        <f t="shared" si="112"/>
        <v/>
      </c>
      <c r="NY35" s="11" t="str">
        <f t="shared" si="113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4"/>
        <v/>
      </c>
      <c r="OU35" s="40" t="str">
        <f t="shared" si="115"/>
        <v/>
      </c>
      <c r="OV35" s="40" t="str">
        <f t="shared" si="116"/>
        <v/>
      </c>
      <c r="OW35" s="40" t="str">
        <f t="shared" si="117"/>
        <v/>
      </c>
      <c r="OX35" s="40" t="str">
        <f t="shared" si="118"/>
        <v/>
      </c>
      <c r="OY35" s="40" t="str">
        <f t="shared" si="119"/>
        <v/>
      </c>
      <c r="OZ35" s="40" t="str">
        <f t="shared" si="120"/>
        <v/>
      </c>
      <c r="PA35" s="40" t="str">
        <f t="shared" si="121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2"/>
        <v/>
      </c>
      <c r="PW35" s="11" t="str">
        <f t="shared" si="123"/>
        <v/>
      </c>
      <c r="PX35" s="11" t="str">
        <f t="shared" si="124"/>
        <v/>
      </c>
      <c r="PY35" s="11" t="str">
        <f t="shared" si="125"/>
        <v/>
      </c>
      <c r="PZ35" s="11" t="str">
        <f t="shared" si="126"/>
        <v/>
      </c>
      <c r="QA35" s="11" t="str">
        <f t="shared" si="127"/>
        <v/>
      </c>
      <c r="QB35" s="11" t="str">
        <f t="shared" si="128"/>
        <v/>
      </c>
      <c r="QC35" s="11" t="str">
        <f t="shared" si="129"/>
        <v/>
      </c>
      <c r="QD35" s="22">
        <f t="shared" si="130"/>
        <v>9</v>
      </c>
      <c r="QE35" s="22">
        <f t="shared" si="131"/>
        <v>1.35</v>
      </c>
      <c r="QF35" s="22">
        <f t="shared" si="132"/>
        <v>0.5</v>
      </c>
      <c r="QG35" s="22">
        <f t="shared" si="133"/>
        <v>0</v>
      </c>
      <c r="QH35" s="22">
        <f t="shared" si="134"/>
        <v>7.7</v>
      </c>
      <c r="QI35" s="22">
        <f t="shared" si="135"/>
        <v>0.6</v>
      </c>
      <c r="QJ35" s="22">
        <f t="shared" si="136"/>
        <v>0</v>
      </c>
      <c r="QK35" s="22">
        <f t="shared" si="137"/>
        <v>0</v>
      </c>
      <c r="QL35" s="22">
        <f t="shared" si="138"/>
        <v>0</v>
      </c>
      <c r="QM35" s="22">
        <f t="shared" si="139"/>
        <v>0</v>
      </c>
      <c r="QN35" s="22">
        <f t="shared" si="140"/>
        <v>0</v>
      </c>
      <c r="QO35" s="22">
        <f t="shared" si="141"/>
        <v>0</v>
      </c>
      <c r="QP35" s="22">
        <f t="shared" si="142"/>
        <v>0</v>
      </c>
      <c r="QQ35" s="22">
        <f t="shared" si="143"/>
        <v>0</v>
      </c>
      <c r="QR35" s="22">
        <f t="shared" si="144"/>
        <v>0</v>
      </c>
      <c r="QS35" s="22">
        <f t="shared" si="145"/>
        <v>0</v>
      </c>
      <c r="QT35" s="22">
        <f t="shared" si="146"/>
        <v>0</v>
      </c>
      <c r="QU35" s="22">
        <f t="shared" si="147"/>
        <v>0</v>
      </c>
      <c r="QV35" s="22">
        <f t="shared" si="148"/>
        <v>0</v>
      </c>
      <c r="QW35" s="22">
        <f t="shared" si="149"/>
        <v>0</v>
      </c>
      <c r="QX35" s="27" t="s">
        <v>46</v>
      </c>
      <c r="QY35" s="40">
        <f t="shared" si="150"/>
        <v>1.9500000000000002</v>
      </c>
      <c r="QZ35" s="40">
        <f t="shared" si="151"/>
        <v>18.150000000000002</v>
      </c>
      <c r="RA35" s="40" t="str">
        <f t="shared" si="152"/>
        <v/>
      </c>
      <c r="RB35" s="40">
        <f t="shared" si="153"/>
        <v>1.9500000000000002</v>
      </c>
      <c r="RC35" s="40">
        <f t="shared" si="154"/>
        <v>18.150000000000002</v>
      </c>
      <c r="RD35" s="40" t="str">
        <f t="shared" si="155"/>
        <v/>
      </c>
      <c r="RE35" s="40" t="str">
        <f t="shared" si="156"/>
        <v/>
      </c>
      <c r="RF35" s="40">
        <f t="shared" si="157"/>
        <v>18.150000000000002</v>
      </c>
    </row>
    <row r="36" spans="1:47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207</v>
      </c>
      <c r="D36" s="4" t="s">
        <v>4</v>
      </c>
      <c r="E36" s="4">
        <v>2007</v>
      </c>
      <c r="F36" s="9">
        <f t="shared" si="0"/>
        <v>32.700003270003265</v>
      </c>
      <c r="G36" s="64"/>
      <c r="H36" s="3" t="str">
        <f>IF(OR(AND(AP36&gt;=AW$39,AQ36&gt;=AW$43,AP36&lt;&gt;"",AO36=""),AND(AU36&gt;=AW$39,AV36&gt;=AW$43,AU36&lt;&gt;"",AO36=""),AND(BS36&gt;=BZ$39,BT36&gt;=BZ$43,BS36&lt;&gt;"",BR36=""),AND(BX36&gt;=BZ$39,BY36&gt;=BZ$43,BX36&lt;&gt;"",BR36=""),AND(CV36&gt;=DC$39,CW36&gt;=DC$43,CV36&lt;&gt;"",CU36=""),AND(DA36&gt;=DC$39,DB36&gt;=DC$43,DA36&lt;&gt;""),AND(DZ36&gt;=EG$39,EA36&gt;=EG$43,DZ36&lt;&gt;""),AND(EE36&gt;=EG$39,EF36&gt;=EG$43,EE36&lt;&gt;""),AND(FB36&gt;=FI$39,FC36&gt;=FI$43,FB36&lt;&gt;""),AND(FG36&gt;=FI$39,FH36&gt;=FI$43,FG36&lt;&gt;""),AND(GD36&gt;=GK$39,GE36&gt;=GK$43,GD36&lt;&gt;""),AND(GI36&gt;=GK$39,GJ36&gt;=GK$43,GI36&lt;&gt;""),AND(HF36&gt;=HM$39,HG36&gt;=HM$43,HF36&lt;&gt;""),AND(HK36&gt;=HM$39,HL36&gt;=HM$43,HK36&lt;&gt;""),AND(IH36&gt;=IO$39,II36&gt;=IO$43,IH36&lt;&gt;""),AND(IM36&gt;=IO$39,IN36&gt;=IO$43,IM36&lt;&gt;""),AND(JJ36&gt;=JQ$39,JK36&gt;=JQ$43,JJ36&lt;&gt;""),AND(JO36&gt;=JQ$39,JP36&gt;=JQ$43,JO36&lt;&gt;""),AND(KL36&gt;=KS$39,KM36&gt;=KS$43,KL36&lt;&gt;""),AND(KQ36&gt;=KS$39,KR36&gt;=KS$43,KQ36&lt;&gt;""),AND(LN36&gt;=LU$39,LO36&gt;=LU$43,LN36&lt;&gt;""),AND(LS36&gt;=LU$39,LT36&gt;=LU$43,LS36&lt;&gt;""),AND(MP36&gt;=MW$39,MQ36&gt;=MW$43,MP36&lt;&gt;""),AND(MU36&gt;=MW$39,MV36&gt;=MW$43,MU36&lt;&gt;""),AND(NR36&gt;=NY$39,NS36&gt;=NY$43,NR36&lt;&gt;""),AND(NW36&gt;=NY$39,NX36&gt;=NY$43,NW36&lt;&gt;""),AND(OT36&gt;=PA$39,OU36&gt;=PA$43,OT36&lt;&gt;""),AND(OY36&gt;=PA$39,OZ36&gt;=PA$43,OY36&lt;&gt;""),AND(PV36&gt;=QC$39,PW36&gt;=QC$43,PV36&lt;&gt;""),AND(QA36&gt;=QC$39,QB36&gt;=QC$43,QA36&lt;&gt;"")),"P","")</f>
        <v/>
      </c>
      <c r="I36" s="3" t="str">
        <f>IF(OR(AND(AQ36&gt;=AW$43,AQ36&lt;&gt;"",AO36=""),AND(AV36&gt;=AW$43,AV36&lt;&gt;"",AO36=""),AND(BT36&gt;=BZ$43,BT36&lt;&gt;"",BR36=""),AND(BY36&gt;=BZ$43,BY36&lt;&gt;"",BR36=""),AND(CW36&gt;=DC$43,CW36&lt;&gt;"",CU36=""),AND(DB36&gt;=DC$43,DB36&lt;&gt;"",CU36=""),AND(EA36&gt;=EG$43,EA36&lt;&gt;""),AND(EF36&gt;=EG$43,EF36&lt;&gt;""),AND(FC36&gt;=FI$43,FC36&lt;&gt;""),AND(FH36&gt;=FI$43,FH36&lt;&gt;""),AND(GE36&gt;=GK$43,GE36&lt;&gt;""),AND(GJ36&gt;=GK$43,GJ36&lt;&gt;""),AND(HG36&gt;=HM$43,HG36&lt;&gt;""),AND(HL36&gt;=HM$43,HL36&lt;&gt;""),AND(II36&gt;=IO$43,II36&lt;&gt;""),AND(IN36&gt;=IO$43,IN36&lt;&gt;""),AND(JK36&gt;=JQ$43,JK36&lt;&gt;""),AND(JP36&gt;=JQ$43,JP36&lt;&gt;""),AND(KM36&gt;=KS$43,KM36&lt;&gt;""),AND(KR36&gt;=KS$43,KR36&lt;&gt;""),AND(LO36&gt;=LU$43,LO36&lt;&gt;""),AND(LT36&gt;=LU$43,LT36&lt;&gt;""),AND(MQ36&gt;=MW$43,MQ36&lt;&gt;""),AND(MV36&gt;=MW$43,MV36&lt;&gt;""),AND(NS36&gt;=NY$43,NS36&lt;&gt;""),AND(NX36&gt;=NY$43,NX36&lt;&gt;""),AND(OU36&gt;=PA$43,OU36&lt;&gt;""),AND(OZ36&gt;=PA$43,OZ36&lt;&gt;""),AND(PW36&gt;=QC$43,PW36&lt;&gt;""),AND(QB36&gt;=QC$43,QB36&lt;&gt;"")),"P","")</f>
        <v/>
      </c>
      <c r="J36" s="36" t="str">
        <f>IF(AND(I36="P",H36=""),"No DD",IF(OR(AND(AS36&gt;=AW$42,AT36&gt;=AW$46,AS36&lt;&gt;"",AO36=""),AND(BV36&gt;=BZ$42,BW36&gt;=BZ$46,BV36&lt;&gt;"",BR36=""),AND(CY36&gt;=DC$42,CZ36&gt;=DC$46,CY36&lt;&gt;"",CU36=""),AND(EC36&gt;=EG$42,ED36&gt;=EG$46,EC36&lt;&gt;""),AND(FE36&gt;=FI$42,FF36&gt;=FI$46,FE36&lt;&gt;""),AND(GG36&gt;=GK$42,GH36&gt;=GK$46,GG36&lt;&gt;""),AND(HI36&gt;=HM$42,HJ36&gt;=HM$46,HI36&lt;&gt;""),AND(IK36&gt;=IO$42,IL36&gt;=IO$46,IK36&lt;&gt;""),AND(JM36&gt;=JQ$42,JN36&gt;=JQ$46,JM36&lt;&gt;""),AND(KO36&gt;=KS$42,KP36&gt;=KS$46,KO36&lt;&gt;""),AND(LQ36&gt;=LU$42,LR36&gt;=LU$46,LQ36&lt;&gt;""),AND(MS36&gt;=MW$42,MT36&gt;=MW$46,MS36&lt;&gt;""),AND(NU36&gt;=NY$42,NV36&gt;=NY$46,NU36&lt;&gt;""),AND(OW36&gt;=PA$42,OX36&gt;=PA$46,OW36&lt;&gt;""),AND(PY36&gt;=QC$42,PZ36&gt;=QC$46,PY36&lt;&gt;"")),"Merit",IF(OR(AND(AS36&gt;=AW$41,AT36&gt;=AW$45,AS36&lt;&gt;"",AO36=""),AND(BV36&gt;=BZ$41,BW36&gt;=BZ$45,BV36&lt;&gt;"",BR36=""),AND(CY36&gt;=DC$41,CZ36&gt;=DC$45,CY36&lt;&gt;"",CU36=""),AND(EC36&gt;=EG$41,ED36&gt;=EG$45,EC36&lt;&gt;""),AND(FE36&gt;=FI$41,FF36&gt;=FI$45,FE36&lt;&gt;""),AND(GG36&gt;=GK$41,GH36&gt;=GK$45,GG36&lt;&gt;""),AND(HI36&gt;=HM$41,HJ36&gt;=HM$45,HI36&lt;&gt;""),AND(IK36&gt;=IO$41,IL36&gt;=IO$45,IK36&lt;&gt;""),AND(JM36&gt;=JQ$41,JN36&gt;=JQ$45,JM36&lt;&gt;""),AND(KO36&gt;=KS$41,KP36&gt;=KS$45,KO36&lt;&gt;""),AND(LQ36&gt;=LU$41,LR36&gt;=LU$45,LQ36&lt;&gt;""),AND(MS36&gt;=MW$41,MT36&gt;=MW$45,MS36&lt;&gt;""),AND(NU36&gt;=NY$41,NV36&gt;=NY$45,NU36&lt;&gt;""),AND(OW36&gt;=PA$41,OX36&gt;=PA$45,OW36&lt;&gt;""),AND(PY36&gt;=QC$41,PZ36&gt;=QC$45,PY36&lt;&gt;"")),"Excellence",IF(K36="P","Worlds Team",IF(H36="P","National Team","")))))</f>
        <v/>
      </c>
      <c r="K36" s="3" t="str">
        <f>IF(OR(AND(AS36&gt;=AW$40,AT36&gt;=AW$44,AS36&lt;&gt;"",AO36=""),AND(BV36&gt;=BZ$40,BW36&gt;=BZ$44,BV36&lt;&gt;"",BR36=""),AND(CY36&gt;=DC$40,CZ36&gt;=DC$44,CY36&lt;&gt;"",CU36=""),AND(EC36&gt;=EG$40,ED36&gt;=EG$44,EC36&lt;&gt;""),AND(FE36&gt;=FI$40,FF36&gt;=FI$44,FE36&lt;&gt;""),AND(GG36&gt;=GK$40,GH36&gt;=GK$44,GG36&lt;&gt;""),AND(HI36&gt;=HM$40,HJ36&gt;=HM$44,HI36&lt;&gt;""),AND(IK36&gt;=IO$40,IL36&gt;=IO$44,IK36&lt;&gt;""),AND(JM36&gt;=JQ$40,JN36&gt;=JQ$44,JM36&lt;&gt;""),AND(KO36&gt;=KS$40,KP36&gt;=KS$44,KO36&lt;&gt;""),AND(LQ36&gt;=LU$40,LR36&gt;=LU$44,LQ36&lt;&gt;""),AND(MS36&gt;=MW$40,MT36&gt;=MW$44,MS36&lt;&gt;""),AND(NU36&gt;=NY$40,NV36&gt;=NY$44,NU36&lt;&gt;""),AND(OW36&gt;=PA$40,OX36&gt;=PA$44,OW36&lt;&gt;""),AND(PY36&gt;=QC$40,PZ36&gt;=QC$44,PY36&lt;&gt;"")),"P","")</f>
        <v/>
      </c>
      <c r="L36" s="8">
        <f>IF(COUNT(AQ36,BT36,CW36)&gt;0,LARGE((AQ36,BT36,CW36),1),0)</f>
        <v>32.699999999999996</v>
      </c>
      <c r="M36" s="8" t="str">
        <f t="shared" si="1"/>
        <v>2025 Nationals</v>
      </c>
      <c r="N36" s="8">
        <f>IF(COUNT(AQ36,BT36,CW36)&gt;1,LARGE((AQ36,BT36,CW36),2),0)</f>
        <v>0</v>
      </c>
      <c r="O36" s="8" t="str">
        <f t="shared" si="2"/>
        <v/>
      </c>
      <c r="P36" s="8">
        <f t="shared" si="3"/>
        <v>0</v>
      </c>
      <c r="Q36" s="8" t="str">
        <f t="shared" si="4"/>
        <v/>
      </c>
      <c r="R36" s="8" t="str">
        <f t="shared" si="5"/>
        <v/>
      </c>
      <c r="S36" s="11" t="str">
        <f t="shared" si="6"/>
        <v/>
      </c>
      <c r="T36" s="8" t="str">
        <f t="shared" si="7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8"/>
        <v/>
      </c>
      <c r="AQ36" s="40" t="str">
        <f t="shared" si="9"/>
        <v/>
      </c>
      <c r="AR36" s="40" t="str">
        <f t="shared" si="10"/>
        <v/>
      </c>
      <c r="AS36" s="40" t="str">
        <f t="shared" si="11"/>
        <v/>
      </c>
      <c r="AT36" s="40" t="str">
        <f t="shared" si="12"/>
        <v/>
      </c>
      <c r="AU36" s="40" t="str">
        <f t="shared" si="13"/>
        <v/>
      </c>
      <c r="AV36" s="40" t="str">
        <f t="shared" si="14"/>
        <v/>
      </c>
      <c r="AW36" s="40" t="str">
        <f t="shared" si="15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16"/>
        <v/>
      </c>
      <c r="BT36" s="11" t="str">
        <f t="shared" si="17"/>
        <v/>
      </c>
      <c r="BU36" s="11" t="str">
        <f t="shared" si="18"/>
        <v/>
      </c>
      <c r="BV36" s="11" t="str">
        <f t="shared" si="19"/>
        <v/>
      </c>
      <c r="BW36" s="11" t="str">
        <f t="shared" si="20"/>
        <v/>
      </c>
      <c r="BX36" s="11" t="str">
        <f t="shared" si="21"/>
        <v/>
      </c>
      <c r="BY36" s="11" t="str">
        <f t="shared" si="22"/>
        <v/>
      </c>
      <c r="BZ36" s="11" t="str">
        <f t="shared" si="23"/>
        <v/>
      </c>
      <c r="CA36" s="19">
        <v>15.3</v>
      </c>
      <c r="CB36" s="19">
        <v>2.4</v>
      </c>
      <c r="CC36" s="19">
        <v>0</v>
      </c>
      <c r="CD36" s="19">
        <v>0</v>
      </c>
      <c r="CE36" s="19">
        <v>15.2</v>
      </c>
      <c r="CF36" s="19">
        <v>0</v>
      </c>
      <c r="CG36" s="19">
        <v>0.2</v>
      </c>
      <c r="CH36" s="19">
        <v>0</v>
      </c>
      <c r="CI36" s="19"/>
      <c r="CJ36" s="19"/>
      <c r="CK36" s="19"/>
      <c r="CL36" s="19"/>
      <c r="CM36" s="19" t="s">
        <v>200</v>
      </c>
      <c r="CN36" s="19" t="s">
        <v>200</v>
      </c>
      <c r="CO36" s="19" t="s">
        <v>200</v>
      </c>
      <c r="CP36" s="19" t="s">
        <v>200</v>
      </c>
      <c r="CQ36" s="19" t="s">
        <v>200</v>
      </c>
      <c r="CR36" s="19" t="s">
        <v>200</v>
      </c>
      <c r="CS36" s="19" t="s">
        <v>200</v>
      </c>
      <c r="CT36" s="19" t="s">
        <v>200</v>
      </c>
      <c r="CU36" s="27"/>
      <c r="CV36" s="40">
        <f t="shared" si="24"/>
        <v>2.4</v>
      </c>
      <c r="CW36" s="40">
        <f t="shared" si="25"/>
        <v>32.699999999999996</v>
      </c>
      <c r="CX36" s="40" t="str">
        <f t="shared" si="26"/>
        <v/>
      </c>
      <c r="CY36" s="40">
        <f t="shared" si="27"/>
        <v>2.4</v>
      </c>
      <c r="CZ36" s="40">
        <f t="shared" si="28"/>
        <v>32.699999999999996</v>
      </c>
      <c r="DA36" s="40" t="str">
        <f t="shared" si="29"/>
        <v/>
      </c>
      <c r="DB36" s="40" t="str">
        <f t="shared" si="30"/>
        <v/>
      </c>
      <c r="DC36" s="40">
        <f t="shared" si="31"/>
        <v>32.699999999999996</v>
      </c>
      <c r="DD36" s="50" t="str">
        <f t="shared" si="32"/>
        <v/>
      </c>
      <c r="DE36" s="50" t="str">
        <f t="shared" si="33"/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 t="shared" si="34"/>
        <v/>
      </c>
      <c r="EA36" s="40" t="str">
        <f t="shared" si="35"/>
        <v/>
      </c>
      <c r="EB36" s="40" t="str">
        <f t="shared" si="36"/>
        <v/>
      </c>
      <c r="EC36" s="40" t="str">
        <f t="shared" si="37"/>
        <v/>
      </c>
      <c r="ED36" s="40" t="str">
        <f t="shared" si="38"/>
        <v/>
      </c>
      <c r="EE36" s="40" t="str">
        <f t="shared" si="39"/>
        <v/>
      </c>
      <c r="EF36" s="40" t="str">
        <f t="shared" si="40"/>
        <v/>
      </c>
      <c r="EG36" s="40" t="str">
        <f t="shared" si="41"/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2"/>
        <v/>
      </c>
      <c r="FC36" s="11" t="str">
        <f t="shared" si="43"/>
        <v/>
      </c>
      <c r="FD36" s="11" t="str">
        <f t="shared" si="44"/>
        <v/>
      </c>
      <c r="FE36" s="11" t="str">
        <f t="shared" si="45"/>
        <v/>
      </c>
      <c r="FF36" s="11" t="str">
        <f t="shared" si="46"/>
        <v/>
      </c>
      <c r="FG36" s="11" t="str">
        <f t="shared" si="47"/>
        <v/>
      </c>
      <c r="FH36" s="11" t="str">
        <f t="shared" si="48"/>
        <v/>
      </c>
      <c r="FI36" s="11" t="str">
        <f t="shared" si="49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0"/>
        <v/>
      </c>
      <c r="GE36" s="40" t="str">
        <f t="shared" si="51"/>
        <v/>
      </c>
      <c r="GF36" s="40" t="str">
        <f t="shared" si="52"/>
        <v/>
      </c>
      <c r="GG36" s="40" t="str">
        <f t="shared" si="53"/>
        <v/>
      </c>
      <c r="GH36" s="40" t="str">
        <f t="shared" si="54"/>
        <v/>
      </c>
      <c r="GI36" s="40" t="str">
        <f t="shared" si="55"/>
        <v/>
      </c>
      <c r="GJ36" s="40" t="str">
        <f t="shared" si="56"/>
        <v/>
      </c>
      <c r="GK36" s="40" t="str">
        <f t="shared" si="57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58"/>
        <v/>
      </c>
      <c r="HG36" s="11" t="str">
        <f t="shared" si="59"/>
        <v/>
      </c>
      <c r="HH36" s="11" t="str">
        <f t="shared" si="60"/>
        <v/>
      </c>
      <c r="HI36" s="11" t="str">
        <f t="shared" si="61"/>
        <v/>
      </c>
      <c r="HJ36" s="11" t="str">
        <f t="shared" si="62"/>
        <v/>
      </c>
      <c r="HK36" s="11" t="str">
        <f t="shared" si="63"/>
        <v/>
      </c>
      <c r="HL36" s="11" t="str">
        <f t="shared" si="64"/>
        <v/>
      </c>
      <c r="HM36" s="11" t="str">
        <f t="shared" si="65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66"/>
        <v/>
      </c>
      <c r="II36" s="40" t="str">
        <f t="shared" si="67"/>
        <v/>
      </c>
      <c r="IJ36" s="40" t="str">
        <f t="shared" si="68"/>
        <v/>
      </c>
      <c r="IK36" s="40" t="str">
        <f t="shared" si="69"/>
        <v/>
      </c>
      <c r="IL36" s="40" t="str">
        <f t="shared" si="70"/>
        <v/>
      </c>
      <c r="IM36" s="40" t="str">
        <f t="shared" si="71"/>
        <v/>
      </c>
      <c r="IN36" s="40" t="str">
        <f t="shared" si="72"/>
        <v/>
      </c>
      <c r="IO36" s="40" t="str">
        <f t="shared" si="73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4"/>
        <v/>
      </c>
      <c r="JK36" s="11" t="str">
        <f t="shared" si="75"/>
        <v/>
      </c>
      <c r="JL36" s="11" t="str">
        <f t="shared" si="76"/>
        <v/>
      </c>
      <c r="JM36" s="11" t="str">
        <f t="shared" si="77"/>
        <v/>
      </c>
      <c r="JN36" s="11" t="str">
        <f t="shared" si="78"/>
        <v/>
      </c>
      <c r="JO36" s="11" t="str">
        <f t="shared" si="79"/>
        <v/>
      </c>
      <c r="JP36" s="11" t="str">
        <f t="shared" si="80"/>
        <v/>
      </c>
      <c r="JQ36" s="11" t="str">
        <f t="shared" si="81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2"/>
        <v/>
      </c>
      <c r="KM36" s="40" t="str">
        <f t="shared" si="83"/>
        <v/>
      </c>
      <c r="KN36" s="40" t="str">
        <f t="shared" si="84"/>
        <v/>
      </c>
      <c r="KO36" s="40" t="str">
        <f t="shared" si="85"/>
        <v/>
      </c>
      <c r="KP36" s="40" t="str">
        <f t="shared" si="86"/>
        <v/>
      </c>
      <c r="KQ36" s="40" t="str">
        <f t="shared" si="87"/>
        <v/>
      </c>
      <c r="KR36" s="40" t="str">
        <f t="shared" si="88"/>
        <v/>
      </c>
      <c r="KS36" s="40" t="str">
        <f t="shared" si="89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0"/>
        <v/>
      </c>
      <c r="LO36" s="11" t="str">
        <f t="shared" si="91"/>
        <v/>
      </c>
      <c r="LP36" s="11" t="str">
        <f t="shared" si="92"/>
        <v/>
      </c>
      <c r="LQ36" s="11" t="str">
        <f t="shared" si="93"/>
        <v/>
      </c>
      <c r="LR36" s="11" t="str">
        <f t="shared" si="94"/>
        <v/>
      </c>
      <c r="LS36" s="11" t="str">
        <f t="shared" si="95"/>
        <v/>
      </c>
      <c r="LT36" s="11" t="str">
        <f t="shared" si="96"/>
        <v/>
      </c>
      <c r="LU36" s="11" t="str">
        <f t="shared" si="97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98"/>
        <v/>
      </c>
      <c r="MQ36" s="40" t="str">
        <f t="shared" si="99"/>
        <v/>
      </c>
      <c r="MR36" s="40" t="str">
        <f t="shared" si="100"/>
        <v/>
      </c>
      <c r="MS36" s="40" t="str">
        <f t="shared" si="101"/>
        <v/>
      </c>
      <c r="MT36" s="40" t="str">
        <f t="shared" si="102"/>
        <v/>
      </c>
      <c r="MU36" s="40" t="str">
        <f t="shared" si="103"/>
        <v/>
      </c>
      <c r="MV36" s="40" t="str">
        <f t="shared" si="104"/>
        <v/>
      </c>
      <c r="MW36" s="40" t="str">
        <f t="shared" si="105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06"/>
        <v/>
      </c>
      <c r="NS36" s="11" t="str">
        <f t="shared" si="107"/>
        <v/>
      </c>
      <c r="NT36" s="11" t="str">
        <f t="shared" si="108"/>
        <v/>
      </c>
      <c r="NU36" s="11" t="str">
        <f t="shared" si="109"/>
        <v/>
      </c>
      <c r="NV36" s="11" t="str">
        <f t="shared" si="110"/>
        <v/>
      </c>
      <c r="NW36" s="11" t="str">
        <f t="shared" si="111"/>
        <v/>
      </c>
      <c r="NX36" s="11" t="str">
        <f t="shared" si="112"/>
        <v/>
      </c>
      <c r="NY36" s="11" t="str">
        <f t="shared" si="113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4"/>
        <v/>
      </c>
      <c r="OU36" s="40" t="str">
        <f t="shared" si="115"/>
        <v/>
      </c>
      <c r="OV36" s="40" t="str">
        <f t="shared" si="116"/>
        <v/>
      </c>
      <c r="OW36" s="40" t="str">
        <f t="shared" si="117"/>
        <v/>
      </c>
      <c r="OX36" s="40" t="str">
        <f t="shared" si="118"/>
        <v/>
      </c>
      <c r="OY36" s="40" t="str">
        <f t="shared" si="119"/>
        <v/>
      </c>
      <c r="OZ36" s="40" t="str">
        <f t="shared" si="120"/>
        <v/>
      </c>
      <c r="PA36" s="40" t="str">
        <f t="shared" si="121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2"/>
        <v/>
      </c>
      <c r="PW36" s="11" t="str">
        <f t="shared" si="123"/>
        <v/>
      </c>
      <c r="PX36" s="11" t="str">
        <f t="shared" si="124"/>
        <v/>
      </c>
      <c r="PY36" s="11" t="str">
        <f t="shared" si="125"/>
        <v/>
      </c>
      <c r="PZ36" s="11" t="str">
        <f t="shared" si="126"/>
        <v/>
      </c>
      <c r="QA36" s="11" t="str">
        <f t="shared" si="127"/>
        <v/>
      </c>
      <c r="QB36" s="11" t="str">
        <f t="shared" si="128"/>
        <v/>
      </c>
      <c r="QC36" s="11" t="str">
        <f t="shared" si="129"/>
        <v/>
      </c>
      <c r="QD36" s="22">
        <f t="shared" si="130"/>
        <v>7.65</v>
      </c>
      <c r="QE36" s="22">
        <f t="shared" si="131"/>
        <v>1.2</v>
      </c>
      <c r="QF36" s="22">
        <f t="shared" si="132"/>
        <v>0</v>
      </c>
      <c r="QG36" s="22">
        <f t="shared" si="133"/>
        <v>0</v>
      </c>
      <c r="QH36" s="22">
        <f t="shared" si="134"/>
        <v>7.6</v>
      </c>
      <c r="QI36" s="22">
        <f t="shared" si="135"/>
        <v>0</v>
      </c>
      <c r="QJ36" s="22">
        <f t="shared" si="136"/>
        <v>0.1</v>
      </c>
      <c r="QK36" s="22">
        <f t="shared" si="137"/>
        <v>0</v>
      </c>
      <c r="QL36" s="22">
        <f t="shared" si="138"/>
        <v>0</v>
      </c>
      <c r="QM36" s="22">
        <f t="shared" si="139"/>
        <v>0</v>
      </c>
      <c r="QN36" s="22">
        <f t="shared" si="140"/>
        <v>0</v>
      </c>
      <c r="QO36" s="22">
        <f t="shared" si="141"/>
        <v>0</v>
      </c>
      <c r="QP36" s="22" t="e">
        <f t="shared" si="142"/>
        <v>#VALUE!</v>
      </c>
      <c r="QQ36" s="22" t="e">
        <f t="shared" si="143"/>
        <v>#VALUE!</v>
      </c>
      <c r="QR36" s="22" t="e">
        <f t="shared" si="144"/>
        <v>#VALUE!</v>
      </c>
      <c r="QS36" s="22" t="e">
        <f t="shared" si="145"/>
        <v>#VALUE!</v>
      </c>
      <c r="QT36" s="22" t="e">
        <f t="shared" si="146"/>
        <v>#VALUE!</v>
      </c>
      <c r="QU36" s="22" t="e">
        <f t="shared" si="147"/>
        <v>#VALUE!</v>
      </c>
      <c r="QV36" s="22" t="e">
        <f t="shared" si="148"/>
        <v>#VALUE!</v>
      </c>
      <c r="QW36" s="22" t="e">
        <f t="shared" si="149"/>
        <v>#VALUE!</v>
      </c>
      <c r="QX36" s="27" t="s">
        <v>46</v>
      </c>
      <c r="QY36" s="40">
        <f t="shared" si="150"/>
        <v>1.2</v>
      </c>
      <c r="QZ36" s="40">
        <f t="shared" si="151"/>
        <v>16.349999999999998</v>
      </c>
      <c r="RA36" s="40" t="str">
        <f t="shared" si="152"/>
        <v/>
      </c>
      <c r="RB36" s="40">
        <f t="shared" si="153"/>
        <v>1.2</v>
      </c>
      <c r="RC36" s="40">
        <f t="shared" si="154"/>
        <v>16.349999999999998</v>
      </c>
      <c r="RD36" s="40" t="e">
        <f t="shared" si="155"/>
        <v>#VALUE!</v>
      </c>
      <c r="RE36" s="40" t="e">
        <f t="shared" si="156"/>
        <v>#VALUE!</v>
      </c>
      <c r="RF36" s="40" t="e">
        <f t="shared" si="157"/>
        <v>#VALUE!</v>
      </c>
    </row>
    <row r="37" spans="1:474" ht="17" x14ac:dyDescent="0.2">
      <c r="G37" s="64"/>
      <c r="R37" s="10"/>
      <c r="S37" s="10"/>
      <c r="T37" s="10"/>
    </row>
    <row r="38" spans="1:474" ht="17" x14ac:dyDescent="0.2">
      <c r="G38" s="64"/>
      <c r="R38" s="10"/>
      <c r="S38" s="10"/>
      <c r="T38" s="10"/>
    </row>
    <row r="39" spans="1:474" ht="17" x14ac:dyDescent="0.2">
      <c r="C39" s="23" t="s">
        <v>44</v>
      </c>
      <c r="G39" s="64"/>
      <c r="R39" s="10"/>
      <c r="S39" s="10"/>
      <c r="T39" s="10"/>
      <c r="AP39" s="4"/>
      <c r="AW39" s="42">
        <v>9.6</v>
      </c>
      <c r="BS39" s="4"/>
      <c r="BZ39" s="42">
        <v>10.4</v>
      </c>
      <c r="CV39" s="4"/>
      <c r="DC39" s="42">
        <v>10.4</v>
      </c>
      <c r="DZ39" s="4"/>
      <c r="EG39" s="42">
        <v>9.6</v>
      </c>
      <c r="FB39" s="4"/>
      <c r="FI39" s="42">
        <v>9.6</v>
      </c>
      <c r="GD39" s="4"/>
      <c r="GK39" s="42">
        <v>10.4</v>
      </c>
      <c r="HF39" s="4"/>
      <c r="HM39" s="42">
        <v>10.4</v>
      </c>
      <c r="IH39" s="4"/>
      <c r="IO39" s="42">
        <v>10.4</v>
      </c>
      <c r="JJ39" s="4"/>
      <c r="JQ39" s="42">
        <v>10.4</v>
      </c>
      <c r="KL39" s="4"/>
      <c r="KS39" s="42">
        <v>10.4</v>
      </c>
      <c r="LN39" s="4"/>
      <c r="LU39" s="42">
        <v>10.4</v>
      </c>
      <c r="MP39" s="4"/>
      <c r="MW39" s="42">
        <v>10.4</v>
      </c>
      <c r="NR39" s="4"/>
      <c r="NY39" s="42">
        <v>10.4</v>
      </c>
      <c r="OT39" s="4"/>
      <c r="PA39" s="42">
        <v>10.4</v>
      </c>
      <c r="PV39" s="4"/>
      <c r="QC39" s="42">
        <v>10.4</v>
      </c>
    </row>
    <row r="40" spans="1:474" ht="17" hidden="1" x14ac:dyDescent="0.2">
      <c r="C40" s="30" t="s">
        <v>43</v>
      </c>
      <c r="G40" s="64"/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DZ40" s="4"/>
      <c r="EG40" s="51">
        <v>1000</v>
      </c>
      <c r="FB40" s="4"/>
      <c r="FI40" s="51">
        <v>1000</v>
      </c>
      <c r="GD40" s="4"/>
      <c r="GK40" s="51">
        <v>1000</v>
      </c>
      <c r="HF40" s="4"/>
      <c r="HM40" s="51">
        <v>1000</v>
      </c>
      <c r="IH40" s="4"/>
      <c r="IO40" s="51">
        <v>1000</v>
      </c>
      <c r="JJ40" s="4"/>
      <c r="JQ40" s="51">
        <v>1000</v>
      </c>
      <c r="KL40" s="4"/>
      <c r="KS40" s="51">
        <v>1000</v>
      </c>
      <c r="LN40" s="4"/>
      <c r="LU40" s="51">
        <v>1000</v>
      </c>
      <c r="MP40" s="4"/>
      <c r="MW40" s="51">
        <v>1000</v>
      </c>
      <c r="NR40" s="4"/>
      <c r="NY40" s="51">
        <v>1000</v>
      </c>
      <c r="OT40" s="4"/>
      <c r="PA40" s="51">
        <v>1000</v>
      </c>
      <c r="PV40" s="4"/>
      <c r="QC40" s="51">
        <v>1000</v>
      </c>
    </row>
    <row r="41" spans="1:474" ht="17" hidden="1" x14ac:dyDescent="0.2">
      <c r="A41" s="5"/>
      <c r="B41" s="5"/>
      <c r="C41" s="31" t="s">
        <v>55</v>
      </c>
      <c r="D41" s="20"/>
      <c r="G41" s="64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DZ41" s="4"/>
      <c r="EG41" s="43">
        <v>1000</v>
      </c>
      <c r="FB41" s="4"/>
      <c r="FI41" s="43">
        <v>1000</v>
      </c>
      <c r="GD41" s="4"/>
      <c r="GK41" s="43">
        <v>1000</v>
      </c>
      <c r="HF41" s="4"/>
      <c r="HM41" s="43">
        <v>1000</v>
      </c>
      <c r="IH41" s="4"/>
      <c r="IO41" s="43">
        <v>1000</v>
      </c>
      <c r="JJ41" s="4"/>
      <c r="JQ41" s="43">
        <v>1000</v>
      </c>
      <c r="KL41" s="4"/>
      <c r="KS41" s="43">
        <v>1000</v>
      </c>
      <c r="LN41" s="4"/>
      <c r="LU41" s="43">
        <v>1000</v>
      </c>
      <c r="MP41" s="4"/>
      <c r="MW41" s="43">
        <v>1000</v>
      </c>
      <c r="NR41" s="4"/>
      <c r="NY41" s="43">
        <v>1000</v>
      </c>
      <c r="OT41" s="4"/>
      <c r="PA41" s="43">
        <v>1000</v>
      </c>
      <c r="PV41" s="4"/>
      <c r="QC41" s="43">
        <v>1000</v>
      </c>
    </row>
    <row r="42" spans="1:474" ht="17" hidden="1" x14ac:dyDescent="0.2">
      <c r="A42" s="5"/>
      <c r="B42" s="5"/>
      <c r="C42" s="35" t="s">
        <v>60</v>
      </c>
      <c r="D42" s="20"/>
      <c r="G42" s="64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DZ42" s="4"/>
      <c r="EG42" s="62">
        <v>1000</v>
      </c>
      <c r="FB42" s="4"/>
      <c r="FI42" s="62">
        <v>1000</v>
      </c>
      <c r="GD42" s="4"/>
      <c r="GK42" s="62">
        <v>1000</v>
      </c>
      <c r="HF42" s="4"/>
      <c r="HM42" s="62">
        <v>1000</v>
      </c>
      <c r="IH42" s="4"/>
      <c r="IO42" s="62">
        <v>1000</v>
      </c>
      <c r="JJ42" s="4"/>
      <c r="JQ42" s="62">
        <v>1000</v>
      </c>
      <c r="KL42" s="4"/>
      <c r="KS42" s="62">
        <v>1000</v>
      </c>
      <c r="LN42" s="4"/>
      <c r="LU42" s="62">
        <v>1000</v>
      </c>
      <c r="MP42" s="4"/>
      <c r="MW42" s="62">
        <v>1000</v>
      </c>
      <c r="NR42" s="4"/>
      <c r="NY42" s="62">
        <v>1000</v>
      </c>
      <c r="OT42" s="4"/>
      <c r="PA42" s="62">
        <v>1000</v>
      </c>
      <c r="PV42" s="4"/>
      <c r="QC42" s="62">
        <v>1000</v>
      </c>
    </row>
    <row r="43" spans="1:474" ht="17" x14ac:dyDescent="0.2">
      <c r="A43" s="5"/>
      <c r="B43" s="5"/>
      <c r="C43" s="34" t="s">
        <v>41</v>
      </c>
      <c r="D43" s="20"/>
      <c r="G43" s="64"/>
      <c r="R43" s="10"/>
      <c r="S43" s="10"/>
      <c r="T43" s="10"/>
      <c r="AP43" s="4"/>
      <c r="AW43" s="63">
        <v>46.5</v>
      </c>
      <c r="BS43" s="4"/>
      <c r="BZ43" s="63">
        <v>46.8</v>
      </c>
      <c r="CV43" s="4"/>
      <c r="DC43" s="63">
        <v>46.8</v>
      </c>
      <c r="DZ43" s="4"/>
      <c r="EG43" s="63">
        <v>46.5</v>
      </c>
      <c r="FB43" s="4"/>
      <c r="FI43" s="63">
        <v>46.5</v>
      </c>
      <c r="GD43" s="4"/>
      <c r="GK43" s="63">
        <v>46.8</v>
      </c>
      <c r="HF43" s="4"/>
      <c r="HM43" s="63">
        <v>46.8</v>
      </c>
      <c r="IH43" s="4"/>
      <c r="IO43" s="63">
        <v>46.8</v>
      </c>
      <c r="JJ43" s="4"/>
      <c r="JQ43" s="63">
        <v>46.8</v>
      </c>
      <c r="KL43" s="4"/>
      <c r="KS43" s="63">
        <v>46.8</v>
      </c>
      <c r="LN43" s="4"/>
      <c r="LU43" s="63">
        <v>46.8</v>
      </c>
      <c r="MP43" s="4"/>
      <c r="MW43" s="63">
        <v>46.8</v>
      </c>
      <c r="NR43" s="4"/>
      <c r="NY43" s="63">
        <v>46.8</v>
      </c>
      <c r="OT43" s="4"/>
      <c r="PA43" s="63">
        <v>46.8</v>
      </c>
      <c r="PV43" s="4"/>
      <c r="QC43" s="63">
        <v>46.8</v>
      </c>
    </row>
    <row r="44" spans="1:474" ht="17" hidden="1" x14ac:dyDescent="0.2">
      <c r="A44" s="5"/>
      <c r="B44" s="5"/>
      <c r="C44" s="24" t="s">
        <v>42</v>
      </c>
      <c r="D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DZ44" s="4"/>
      <c r="EG44" s="46">
        <v>1000</v>
      </c>
      <c r="FB44" s="4"/>
      <c r="FI44" s="46">
        <v>1000</v>
      </c>
      <c r="GD44" s="4"/>
      <c r="GK44" s="46">
        <v>1000</v>
      </c>
      <c r="HF44" s="4"/>
      <c r="HM44" s="46">
        <v>1000</v>
      </c>
      <c r="IH44" s="4"/>
      <c r="IO44" s="46">
        <v>1000</v>
      </c>
      <c r="JJ44" s="4"/>
      <c r="JQ44" s="46">
        <v>1000</v>
      </c>
      <c r="KL44" s="4"/>
      <c r="KS44" s="46">
        <v>1000</v>
      </c>
      <c r="LN44" s="4"/>
      <c r="LU44" s="46">
        <v>1000</v>
      </c>
      <c r="MP44" s="4"/>
      <c r="MW44" s="46">
        <v>1000</v>
      </c>
      <c r="NR44" s="4"/>
      <c r="NY44" s="46">
        <v>1000</v>
      </c>
      <c r="OT44" s="4"/>
      <c r="PA44" s="46">
        <v>1000</v>
      </c>
      <c r="PV44" s="4"/>
      <c r="QC44" s="46">
        <v>1000</v>
      </c>
    </row>
    <row r="45" spans="1:474" ht="17" hidden="1" x14ac:dyDescent="0.2">
      <c r="A45" s="5"/>
      <c r="B45" s="5"/>
      <c r="C45" s="33" t="s">
        <v>54</v>
      </c>
      <c r="D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DZ45" s="4"/>
      <c r="EG45" s="47">
        <v>1000</v>
      </c>
      <c r="FB45" s="4"/>
      <c r="FI45" s="47">
        <v>1000</v>
      </c>
      <c r="GD45" s="4"/>
      <c r="GK45" s="47">
        <v>1000</v>
      </c>
      <c r="HF45" s="4"/>
      <c r="HM45" s="47">
        <v>1000</v>
      </c>
      <c r="IH45" s="4"/>
      <c r="IO45" s="47">
        <v>1000</v>
      </c>
      <c r="JJ45" s="4"/>
      <c r="JQ45" s="47">
        <v>1000</v>
      </c>
      <c r="KL45" s="4"/>
      <c r="KS45" s="47">
        <v>1000</v>
      </c>
      <c r="LN45" s="4"/>
      <c r="LU45" s="47">
        <v>1000</v>
      </c>
      <c r="MP45" s="4"/>
      <c r="MW45" s="47">
        <v>1000</v>
      </c>
      <c r="NR45" s="4"/>
      <c r="NY45" s="47">
        <v>1000</v>
      </c>
      <c r="OT45" s="4"/>
      <c r="PA45" s="47">
        <v>1000</v>
      </c>
      <c r="PV45" s="4"/>
      <c r="QC45" s="47">
        <v>1000</v>
      </c>
    </row>
    <row r="46" spans="1:474" ht="17" hidden="1" x14ac:dyDescent="0.2">
      <c r="A46" s="5"/>
      <c r="B46" s="5"/>
      <c r="C46" s="25" t="s">
        <v>27</v>
      </c>
      <c r="D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DZ46" s="4"/>
      <c r="EG46" s="48">
        <v>1000</v>
      </c>
      <c r="FB46" s="4"/>
      <c r="FI46" s="48">
        <v>1000</v>
      </c>
      <c r="GD46" s="4"/>
      <c r="GK46" s="48">
        <v>1000</v>
      </c>
      <c r="HF46" s="4"/>
      <c r="HM46" s="48">
        <v>1000</v>
      </c>
      <c r="IH46" s="4"/>
      <c r="IO46" s="48">
        <v>1000</v>
      </c>
      <c r="JJ46" s="4"/>
      <c r="JQ46" s="48">
        <v>1000</v>
      </c>
      <c r="KL46" s="4"/>
      <c r="KS46" s="48">
        <v>1000</v>
      </c>
      <c r="LN46" s="4"/>
      <c r="LU46" s="48">
        <v>1000</v>
      </c>
      <c r="MP46" s="4"/>
      <c r="MW46" s="48">
        <v>1000</v>
      </c>
      <c r="NR46" s="4"/>
      <c r="NY46" s="48">
        <v>1000</v>
      </c>
      <c r="OT46" s="4"/>
      <c r="PA46" s="48">
        <v>1000</v>
      </c>
      <c r="PV46" s="4"/>
      <c r="QC46" s="48">
        <v>1000</v>
      </c>
    </row>
    <row r="47" spans="1:474" x14ac:dyDescent="0.2">
      <c r="C47" s="29" t="s">
        <v>47</v>
      </c>
      <c r="D47" s="2"/>
    </row>
    <row r="48" spans="1:474" x14ac:dyDescent="0.2">
      <c r="A48" s="5"/>
      <c r="B48" s="5"/>
      <c r="C48" s="5"/>
      <c r="D48" s="20"/>
      <c r="G48" s="64"/>
      <c r="QE48" s="2"/>
      <c r="QF48" s="2"/>
      <c r="QG48" s="2"/>
      <c r="QH48" s="2"/>
      <c r="QI48" s="2"/>
      <c r="QJ48" s="2"/>
      <c r="QK48" s="2"/>
      <c r="QL48" s="2"/>
      <c r="QM48" s="2"/>
    </row>
    <row r="49" spans="1:8" x14ac:dyDescent="0.2">
      <c r="A49" s="5"/>
      <c r="B49" s="5"/>
      <c r="C49" s="5"/>
      <c r="D49" s="20"/>
      <c r="G49" s="64"/>
    </row>
    <row r="50" spans="1:8" x14ac:dyDescent="0.2">
      <c r="A50" s="5"/>
      <c r="B50" s="5"/>
      <c r="C50" s="5"/>
      <c r="D50" s="20"/>
    </row>
    <row r="51" spans="1:8" x14ac:dyDescent="0.2">
      <c r="A51" s="5"/>
      <c r="B51" s="5"/>
      <c r="C51" s="5"/>
      <c r="D51" s="5"/>
    </row>
    <row r="53" spans="1:8" x14ac:dyDescent="0.2">
      <c r="H53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9">
      <sortCondition descending="1" ref="H1:H40"/>
    </sortState>
  </autoFilter>
  <mergeCells count="117"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36">
    <cfRule type="expression" dxfId="29" priority="7" stopIfTrue="1">
      <formula>IF($AO4&lt;&gt;"",1,0)</formula>
    </cfRule>
  </conditionalFormatting>
  <conditionalFormatting sqref="AX4:BZ36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6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7:AT1048576 BW47:BW1048576 ED47:ED1048576 BW1:BW45 CZ1:CZ1048576 ED1:ED45 FF1:FF1048576 GH1:GH1048576 HJ1:HJ1048576 IL1:IL1048576 JN1:JN1048576 KP1:KP1048576 LR1:LR1048576 MT1:MT1048576 NV1:NV1048576 OX1:OX1048576 PZ1:PZ1048576 AT1:AT45">
    <cfRule type="cellIs" dxfId="16" priority="60354" operator="between">
      <formula>AW$46</formula>
      <formula>1000</formula>
    </cfRule>
    <cfRule type="cellIs" dxfId="15" priority="60355" operator="between">
      <formula>AW$45</formula>
      <formula>AW$46</formula>
    </cfRule>
    <cfRule type="cellIs" dxfId="14" priority="60356" operator="between">
      <formula>AW$44</formula>
      <formula>AW$45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46061" operator="between">
      <formula>AW$39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46106" operator="between">
      <formula>AW$43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46151" operator="between">
      <formula>AW$39</formula>
      <formula>AW$40</formula>
    </cfRule>
    <cfRule type="cellIs" dxfId="9" priority="246152" operator="between">
      <formula>AW$40</formula>
      <formula>AW$41</formula>
    </cfRule>
    <cfRule type="cellIs" dxfId="8" priority="246153" operator="between">
      <formula>AW$41</formula>
      <formula>AW$42</formula>
    </cfRule>
    <cfRule type="cellIs" dxfId="7" priority="246154" operator="between">
      <formula>AW$42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46331" operator="between">
      <formula>AW$43</formula>
      <formula>AW$44</formula>
    </cfRule>
    <cfRule type="cellIs" dxfId="5" priority="246332" operator="between">
      <formula>AW$44</formula>
      <formula>AW$45</formula>
    </cfRule>
    <cfRule type="cellIs" dxfId="4" priority="246333" operator="between">
      <formula>AW$45</formula>
      <formula>AW$46</formula>
    </cfRule>
    <cfRule type="cellIs" dxfId="3" priority="246334" operator="between">
      <formula>AW$46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46511" operator="between">
      <formula>AW$42</formula>
      <formula>1000</formula>
    </cfRule>
    <cfRule type="cellIs" dxfId="1" priority="246512" operator="between">
      <formula>AW$41</formula>
      <formula>AW$42</formula>
    </cfRule>
    <cfRule type="cellIs" dxfId="0" priority="246513" operator="between">
      <formula>AW$40</formula>
      <formula>AW$41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2025-05-30T01:07:19Z</dcterms:modified>
</cp:coreProperties>
</file>