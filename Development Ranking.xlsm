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F5C166AE-EECA-D04C-9D52-187AC913626C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5" i="18" l="1"/>
  <c r="AR25" i="18"/>
  <c r="AS25" i="18"/>
  <c r="AT25" i="18"/>
  <c r="AV25" i="18"/>
  <c r="AW25" i="18"/>
  <c r="BT25" i="18"/>
  <c r="BU25" i="18"/>
  <c r="BX25" i="18" s="1"/>
  <c r="BV25" i="18"/>
  <c r="BW25" i="18"/>
  <c r="BY25" i="18"/>
  <c r="BZ25" i="18"/>
  <c r="CW25" i="18"/>
  <c r="CX25" i="18"/>
  <c r="CY25" i="18"/>
  <c r="CZ25" i="18"/>
  <c r="DB25" i="18"/>
  <c r="DC25" i="18"/>
  <c r="EB25" i="18"/>
  <c r="EC25" i="18"/>
  <c r="ED25" i="18"/>
  <c r="EE25" i="18"/>
  <c r="EG25" i="18"/>
  <c r="EH25" i="18"/>
  <c r="FD25" i="18"/>
  <c r="FE25" i="18"/>
  <c r="FF25" i="18"/>
  <c r="FG25" i="18"/>
  <c r="FI25" i="18"/>
  <c r="FJ25" i="18"/>
  <c r="GF25" i="18"/>
  <c r="GG25" i="18"/>
  <c r="GJ25" i="18" s="1"/>
  <c r="GH25" i="18"/>
  <c r="GI25" i="18"/>
  <c r="GK25" i="18"/>
  <c r="GL25" i="18"/>
  <c r="HH25" i="18"/>
  <c r="HI25" i="18"/>
  <c r="HJ25" i="18"/>
  <c r="HK25" i="18"/>
  <c r="HM25" i="18"/>
  <c r="HN25" i="18"/>
  <c r="IJ25" i="18"/>
  <c r="IK25" i="18"/>
  <c r="IL25" i="18"/>
  <c r="IM25" i="18"/>
  <c r="IO25" i="18"/>
  <c r="IP25" i="18"/>
  <c r="JL25" i="18"/>
  <c r="JM25" i="18"/>
  <c r="JN25" i="18"/>
  <c r="JO25" i="18"/>
  <c r="JQ25" i="18"/>
  <c r="JR25" i="18"/>
  <c r="KN25" i="18"/>
  <c r="KO25" i="18"/>
  <c r="KP25" i="18"/>
  <c r="KQ25" i="18"/>
  <c r="KS25" i="18"/>
  <c r="KT25" i="18"/>
  <c r="LP25" i="18"/>
  <c r="LQ25" i="18"/>
  <c r="LR25" i="18"/>
  <c r="LS25" i="18"/>
  <c r="LU25" i="18"/>
  <c r="LV25" i="18"/>
  <c r="MR25" i="18"/>
  <c r="MS25" i="18"/>
  <c r="MT25" i="18"/>
  <c r="MU25" i="18"/>
  <c r="MW25" i="18"/>
  <c r="MX25" i="18"/>
  <c r="NT25" i="18"/>
  <c r="NU25" i="18"/>
  <c r="NV25" i="18"/>
  <c r="NW25" i="18"/>
  <c r="NY25" i="18"/>
  <c r="NZ25" i="18"/>
  <c r="OV25" i="18"/>
  <c r="OW25" i="18"/>
  <c r="OX25" i="18"/>
  <c r="OY25" i="18"/>
  <c r="PA25" i="18"/>
  <c r="PB25" i="18"/>
  <c r="PX25" i="18"/>
  <c r="PY25" i="18"/>
  <c r="PZ25" i="18"/>
  <c r="QA25" i="18"/>
  <c r="QC25" i="18"/>
  <c r="QD25" i="18"/>
  <c r="QF25" i="18"/>
  <c r="QG25" i="18"/>
  <c r="QH25" i="18"/>
  <c r="QI25" i="18"/>
  <c r="QJ25" i="18"/>
  <c r="QK25" i="18"/>
  <c r="QL25" i="18"/>
  <c r="QM25" i="18"/>
  <c r="QN25" i="18"/>
  <c r="QO25" i="18"/>
  <c r="QP25" i="18"/>
  <c r="QQ25" i="18"/>
  <c r="QR25" i="18"/>
  <c r="QS25" i="18"/>
  <c r="QT25" i="18"/>
  <c r="QU25" i="18"/>
  <c r="QV25" i="18"/>
  <c r="QW25" i="18"/>
  <c r="QX25" i="18"/>
  <c r="QY25" i="18"/>
  <c r="DD25" i="18" l="1"/>
  <c r="KR25" i="18"/>
  <c r="MV25" i="18"/>
  <c r="HL25" i="18"/>
  <c r="RA25" i="18"/>
  <c r="RF25" i="18"/>
  <c r="IN25" i="18"/>
  <c r="EF25" i="18"/>
  <c r="AU25" i="18"/>
  <c r="NX25" i="18"/>
  <c r="RC25" i="18"/>
  <c r="RB25" i="18"/>
  <c r="AX25" i="18"/>
  <c r="DA25" i="18"/>
  <c r="QB25" i="18"/>
  <c r="OZ25" i="18"/>
  <c r="LT25" i="18"/>
  <c r="JP25" i="18"/>
  <c r="FH25" i="18"/>
  <c r="Q25" i="18"/>
  <c r="DG25" i="18" s="1"/>
  <c r="RG25" i="18"/>
  <c r="M25" i="18"/>
  <c r="N25" i="18" s="1"/>
  <c r="CA25" i="18"/>
  <c r="F25" i="18"/>
  <c r="K25" i="18"/>
  <c r="L25" i="18" s="1"/>
  <c r="I25" i="18"/>
  <c r="J25" i="18" s="1"/>
  <c r="QE25" i="18"/>
  <c r="PC25" i="18"/>
  <c r="OA25" i="18"/>
  <c r="MY25" i="18"/>
  <c r="LW25" i="18"/>
  <c r="KU25" i="18"/>
  <c r="JS25" i="18"/>
  <c r="IQ25" i="18"/>
  <c r="HO25" i="18"/>
  <c r="GM25" i="18"/>
  <c r="FK25" i="18"/>
  <c r="EI25" i="18"/>
  <c r="O25" i="18"/>
  <c r="G25" i="18"/>
  <c r="RD25" i="18"/>
  <c r="BZ28" i="18"/>
  <c r="BY28" i="18"/>
  <c r="BW28" i="18"/>
  <c r="BV28" i="18"/>
  <c r="BU28" i="18"/>
  <c r="BT28" i="18"/>
  <c r="BZ18" i="18"/>
  <c r="BY18" i="18"/>
  <c r="BW18" i="18"/>
  <c r="BV18" i="18"/>
  <c r="BU18" i="18"/>
  <c r="BT18" i="18"/>
  <c r="BZ27" i="18"/>
  <c r="BY27" i="18"/>
  <c r="BW27" i="18"/>
  <c r="BV27" i="18"/>
  <c r="BU27" i="18"/>
  <c r="BT27" i="18"/>
  <c r="BZ26" i="18"/>
  <c r="BY26" i="18"/>
  <c r="BW26" i="18"/>
  <c r="BV26" i="18"/>
  <c r="BU26" i="18"/>
  <c r="BT26" i="18"/>
  <c r="BZ24" i="18"/>
  <c r="BY24" i="18"/>
  <c r="BW24" i="18"/>
  <c r="BV24" i="18"/>
  <c r="BU24" i="18"/>
  <c r="BT24" i="18"/>
  <c r="BZ23" i="18"/>
  <c r="BY23" i="18"/>
  <c r="BW23" i="18"/>
  <c r="BV23" i="18"/>
  <c r="BU23" i="18"/>
  <c r="BT23" i="18"/>
  <c r="BZ22" i="18"/>
  <c r="BY22" i="18"/>
  <c r="BW22" i="18"/>
  <c r="BV22" i="18"/>
  <c r="BU22" i="18"/>
  <c r="BT22" i="18"/>
  <c r="BZ21" i="18"/>
  <c r="BY21" i="18"/>
  <c r="BW21" i="18"/>
  <c r="BV21" i="18"/>
  <c r="BU21" i="18"/>
  <c r="BT21" i="18"/>
  <c r="BZ20" i="18"/>
  <c r="BY20" i="18"/>
  <c r="BW20" i="18"/>
  <c r="BV20" i="18"/>
  <c r="BU20" i="18"/>
  <c r="BT20" i="18"/>
  <c r="BZ19" i="18"/>
  <c r="BY19" i="18"/>
  <c r="BW19" i="18"/>
  <c r="BV19" i="18"/>
  <c r="BU19" i="18"/>
  <c r="BT19" i="18"/>
  <c r="BZ17" i="18"/>
  <c r="BY17" i="18"/>
  <c r="BW17" i="18"/>
  <c r="BV17" i="18"/>
  <c r="BU17" i="18"/>
  <c r="BT17" i="18"/>
  <c r="BZ16" i="18"/>
  <c r="BY16" i="18"/>
  <c r="BW16" i="18"/>
  <c r="BV16" i="18"/>
  <c r="BU16" i="18"/>
  <c r="BT16" i="18"/>
  <c r="BZ15" i="18"/>
  <c r="BY15" i="18"/>
  <c r="BW15" i="18"/>
  <c r="BV15" i="18"/>
  <c r="BU15" i="18"/>
  <c r="BT15" i="18"/>
  <c r="BZ14" i="18"/>
  <c r="BY14" i="18"/>
  <c r="BW14" i="18"/>
  <c r="BV14" i="18"/>
  <c r="BU14" i="18"/>
  <c r="BT14" i="18"/>
  <c r="BZ13" i="18"/>
  <c r="BY13" i="18"/>
  <c r="BW13" i="18"/>
  <c r="BV13" i="18"/>
  <c r="BU13" i="18"/>
  <c r="BT13" i="18"/>
  <c r="BZ12" i="18"/>
  <c r="BY12" i="18"/>
  <c r="BW12" i="18"/>
  <c r="BV12" i="18"/>
  <c r="BU12" i="18"/>
  <c r="BT12" i="18"/>
  <c r="BZ11" i="18"/>
  <c r="BY11" i="18"/>
  <c r="BW11" i="18"/>
  <c r="BV11" i="18"/>
  <c r="BU11" i="18"/>
  <c r="BT11" i="18"/>
  <c r="BZ9" i="18"/>
  <c r="BY9" i="18"/>
  <c r="BW9" i="18"/>
  <c r="BV9" i="18"/>
  <c r="BU9" i="18"/>
  <c r="BT9" i="18"/>
  <c r="BZ10" i="18"/>
  <c r="BY10" i="18"/>
  <c r="BW10" i="18"/>
  <c r="BV10" i="18"/>
  <c r="BU10" i="18"/>
  <c r="BT10" i="18"/>
  <c r="BZ8" i="18"/>
  <c r="BY8" i="18"/>
  <c r="BW8" i="18"/>
  <c r="BV8" i="18"/>
  <c r="BU8" i="18"/>
  <c r="BT8" i="18"/>
  <c r="BZ7" i="18"/>
  <c r="BY7" i="18"/>
  <c r="BW7" i="18"/>
  <c r="BV7" i="18"/>
  <c r="BU7" i="18"/>
  <c r="BT7" i="18"/>
  <c r="BZ6" i="18"/>
  <c r="BY6" i="18"/>
  <c r="BW6" i="18"/>
  <c r="BV6" i="18"/>
  <c r="BU6" i="18"/>
  <c r="BT6" i="18"/>
  <c r="BZ5" i="18"/>
  <c r="BY5" i="18"/>
  <c r="BW5" i="18"/>
  <c r="BV5" i="18"/>
  <c r="BU5" i="18"/>
  <c r="BT5" i="18"/>
  <c r="BZ4" i="18"/>
  <c r="BY4" i="18"/>
  <c r="BW4" i="18"/>
  <c r="BV4" i="18"/>
  <c r="BU4" i="18"/>
  <c r="BT4" i="18"/>
  <c r="AW28" i="18"/>
  <c r="AV28" i="18"/>
  <c r="AT28" i="18"/>
  <c r="AS28" i="18"/>
  <c r="AR28" i="18"/>
  <c r="AQ28" i="18"/>
  <c r="AW18" i="18"/>
  <c r="AV18" i="18"/>
  <c r="AT18" i="18"/>
  <c r="AS18" i="18"/>
  <c r="AR18" i="18"/>
  <c r="AQ18" i="18"/>
  <c r="AW27" i="18"/>
  <c r="AV27" i="18"/>
  <c r="AT27" i="18"/>
  <c r="AS27" i="18"/>
  <c r="AR27" i="18"/>
  <c r="AQ27" i="18"/>
  <c r="AW26" i="18"/>
  <c r="AV26" i="18"/>
  <c r="AT26" i="18"/>
  <c r="AS26" i="18"/>
  <c r="AR26" i="18"/>
  <c r="AQ26" i="18"/>
  <c r="AW24" i="18"/>
  <c r="AV24" i="18"/>
  <c r="AT24" i="18"/>
  <c r="AS24" i="18"/>
  <c r="AR24" i="18"/>
  <c r="AQ24" i="18"/>
  <c r="AW23" i="18"/>
  <c r="AV23" i="18"/>
  <c r="AT23" i="18"/>
  <c r="AS23" i="18"/>
  <c r="AR23" i="18"/>
  <c r="AQ23" i="18"/>
  <c r="AW22" i="18"/>
  <c r="AV22" i="18"/>
  <c r="AT22" i="18"/>
  <c r="AS22" i="18"/>
  <c r="AR22" i="18"/>
  <c r="AQ22" i="18"/>
  <c r="AW21" i="18"/>
  <c r="AV21" i="18"/>
  <c r="AT21" i="18"/>
  <c r="AS21" i="18"/>
  <c r="AR21" i="18"/>
  <c r="AQ21" i="18"/>
  <c r="AW20" i="18"/>
  <c r="AV20" i="18"/>
  <c r="AT20" i="18"/>
  <c r="AS20" i="18"/>
  <c r="AR20" i="18"/>
  <c r="AQ20" i="18"/>
  <c r="AW19" i="18"/>
  <c r="AV19" i="18"/>
  <c r="AT19" i="18"/>
  <c r="AS19" i="18"/>
  <c r="AR19" i="18"/>
  <c r="AQ19" i="18"/>
  <c r="AW17" i="18"/>
  <c r="AV17" i="18"/>
  <c r="AT17" i="18"/>
  <c r="AS17" i="18"/>
  <c r="AR17" i="18"/>
  <c r="AQ17" i="18"/>
  <c r="AW16" i="18"/>
  <c r="AV16" i="18"/>
  <c r="AT16" i="18"/>
  <c r="AS16" i="18"/>
  <c r="AR16" i="18"/>
  <c r="AQ16" i="18"/>
  <c r="AW15" i="18"/>
  <c r="AV15" i="18"/>
  <c r="AT15" i="18"/>
  <c r="AS15" i="18"/>
  <c r="AR15" i="18"/>
  <c r="AQ15" i="18"/>
  <c r="AW14" i="18"/>
  <c r="AV14" i="18"/>
  <c r="AT14" i="18"/>
  <c r="AS14" i="18"/>
  <c r="AR14" i="18"/>
  <c r="AQ14" i="18"/>
  <c r="AW13" i="18"/>
  <c r="AV13" i="18"/>
  <c r="AT13" i="18"/>
  <c r="AS13" i="18"/>
  <c r="AR13" i="18"/>
  <c r="AQ13" i="18"/>
  <c r="AW12" i="18"/>
  <c r="AV12" i="18"/>
  <c r="AT12" i="18"/>
  <c r="AS12" i="18"/>
  <c r="AR12" i="18"/>
  <c r="AQ12" i="18"/>
  <c r="AW11" i="18"/>
  <c r="AV11" i="18"/>
  <c r="AT11" i="18"/>
  <c r="AS11" i="18"/>
  <c r="AR11" i="18"/>
  <c r="AQ11" i="18"/>
  <c r="AW9" i="18"/>
  <c r="AV9" i="18"/>
  <c r="AT9" i="18"/>
  <c r="AS9" i="18"/>
  <c r="AR9" i="18"/>
  <c r="AQ9" i="18"/>
  <c r="AW10" i="18"/>
  <c r="AV10" i="18"/>
  <c r="AT10" i="18"/>
  <c r="AS10" i="18"/>
  <c r="AR10" i="18"/>
  <c r="AQ10" i="18"/>
  <c r="AW8" i="18"/>
  <c r="AV8" i="18"/>
  <c r="AT8" i="18"/>
  <c r="AS8" i="18"/>
  <c r="AR8" i="18"/>
  <c r="AQ8" i="18"/>
  <c r="AW7" i="18"/>
  <c r="AV7" i="18"/>
  <c r="AT7" i="18"/>
  <c r="AS7" i="18"/>
  <c r="AR7" i="18"/>
  <c r="AQ7" i="18"/>
  <c r="AW6" i="18"/>
  <c r="AV6" i="18"/>
  <c r="AT6" i="18"/>
  <c r="AS6" i="18"/>
  <c r="AR6" i="18"/>
  <c r="AQ6" i="18"/>
  <c r="AW5" i="18"/>
  <c r="AV5" i="18"/>
  <c r="AT5" i="18"/>
  <c r="AS5" i="18"/>
  <c r="AR5" i="18"/>
  <c r="AQ5" i="18"/>
  <c r="AW4" i="18"/>
  <c r="AV4" i="18"/>
  <c r="AT4" i="18"/>
  <c r="AS4" i="18"/>
  <c r="AR4" i="18"/>
  <c r="AQ4" i="18"/>
  <c r="BZ31" i="16"/>
  <c r="BY31" i="16"/>
  <c r="BW31" i="16"/>
  <c r="BV31" i="16"/>
  <c r="BU31" i="16"/>
  <c r="BT31" i="16"/>
  <c r="BZ30" i="16"/>
  <c r="BY30" i="16"/>
  <c r="BW30" i="16"/>
  <c r="BV30" i="16"/>
  <c r="BU30" i="16"/>
  <c r="BT30" i="16"/>
  <c r="BZ29" i="16"/>
  <c r="BY29" i="16"/>
  <c r="BW29" i="16"/>
  <c r="BV29" i="16"/>
  <c r="BU29" i="16"/>
  <c r="BT29" i="16"/>
  <c r="BZ23" i="16"/>
  <c r="BY23" i="16"/>
  <c r="BW23" i="16"/>
  <c r="BV23" i="16"/>
  <c r="BU23" i="16"/>
  <c r="BT23" i="16"/>
  <c r="BZ28" i="16"/>
  <c r="BY28" i="16"/>
  <c r="BW28" i="16"/>
  <c r="BV28" i="16"/>
  <c r="BU28" i="16"/>
  <c r="BT28" i="16"/>
  <c r="BZ27" i="16"/>
  <c r="BY27" i="16"/>
  <c r="BW27" i="16"/>
  <c r="BV27" i="16"/>
  <c r="BU27" i="16"/>
  <c r="BT27" i="16"/>
  <c r="BZ26" i="16"/>
  <c r="BY26" i="16"/>
  <c r="BW26" i="16"/>
  <c r="BV26" i="16"/>
  <c r="BU26" i="16"/>
  <c r="BT26" i="16"/>
  <c r="BZ25" i="16"/>
  <c r="BY25" i="16"/>
  <c r="BW25" i="16"/>
  <c r="BV25" i="16"/>
  <c r="BU25" i="16"/>
  <c r="BT25" i="16"/>
  <c r="BZ24" i="16"/>
  <c r="BY24" i="16"/>
  <c r="BW24" i="16"/>
  <c r="BV24" i="16"/>
  <c r="BU24" i="16"/>
  <c r="BT24" i="16"/>
  <c r="BZ20" i="16"/>
  <c r="BY20" i="16"/>
  <c r="BW20" i="16"/>
  <c r="BV20" i="16"/>
  <c r="BU20" i="16"/>
  <c r="BT20" i="16"/>
  <c r="BZ22" i="16"/>
  <c r="BY22" i="16"/>
  <c r="BW22" i="16"/>
  <c r="BV22" i="16"/>
  <c r="BU22" i="16"/>
  <c r="BT22" i="16"/>
  <c r="BZ21" i="16"/>
  <c r="BY21" i="16"/>
  <c r="BW21" i="16"/>
  <c r="BV21" i="16"/>
  <c r="BU21" i="16"/>
  <c r="BT21" i="16"/>
  <c r="BZ19" i="16"/>
  <c r="BY19" i="16"/>
  <c r="BW19" i="16"/>
  <c r="BV19" i="16"/>
  <c r="BU19" i="16"/>
  <c r="BT19" i="16"/>
  <c r="BZ18" i="16"/>
  <c r="BY18" i="16"/>
  <c r="BW18" i="16"/>
  <c r="BV18" i="16"/>
  <c r="BU18" i="16"/>
  <c r="BT18" i="16"/>
  <c r="BZ17" i="16"/>
  <c r="BY17" i="16"/>
  <c r="BW17" i="16"/>
  <c r="BV17" i="16"/>
  <c r="BU17" i="16"/>
  <c r="BT17" i="16"/>
  <c r="BZ16" i="16"/>
  <c r="BY16" i="16"/>
  <c r="BW16" i="16"/>
  <c r="BV16" i="16"/>
  <c r="BU16" i="16"/>
  <c r="BT16" i="16"/>
  <c r="BZ15" i="16"/>
  <c r="BY15" i="16"/>
  <c r="BW15" i="16"/>
  <c r="BV15" i="16"/>
  <c r="BU15" i="16"/>
  <c r="BT15" i="16"/>
  <c r="BZ8" i="16"/>
  <c r="BY8" i="16"/>
  <c r="BW8" i="16"/>
  <c r="BV8" i="16"/>
  <c r="BU8" i="16"/>
  <c r="BT8" i="16"/>
  <c r="BZ14" i="16"/>
  <c r="BY14" i="16"/>
  <c r="BW14" i="16"/>
  <c r="BV14" i="16"/>
  <c r="BU14" i="16"/>
  <c r="BT14" i="16"/>
  <c r="BZ7" i="16"/>
  <c r="BY7" i="16"/>
  <c r="BW7" i="16"/>
  <c r="BV7" i="16"/>
  <c r="BU7" i="16"/>
  <c r="BT7" i="16"/>
  <c r="BZ13" i="16"/>
  <c r="BY13" i="16"/>
  <c r="BW13" i="16"/>
  <c r="BV13" i="16"/>
  <c r="BU13" i="16"/>
  <c r="BT13" i="16"/>
  <c r="BZ11" i="16"/>
  <c r="BY11" i="16"/>
  <c r="BW11" i="16"/>
  <c r="BV11" i="16"/>
  <c r="BU11" i="16"/>
  <c r="BT11" i="16"/>
  <c r="BZ12" i="16"/>
  <c r="BY12" i="16"/>
  <c r="BW12" i="16"/>
  <c r="BV12" i="16"/>
  <c r="BU12" i="16"/>
  <c r="BT12" i="16"/>
  <c r="BZ10" i="16"/>
  <c r="BY10" i="16"/>
  <c r="BW10" i="16"/>
  <c r="BV10" i="16"/>
  <c r="BU10" i="16"/>
  <c r="BT10" i="16"/>
  <c r="BZ6" i="16"/>
  <c r="BY6" i="16"/>
  <c r="BW6" i="16"/>
  <c r="BV6" i="16"/>
  <c r="BU6" i="16"/>
  <c r="BT6" i="16"/>
  <c r="BZ9" i="16"/>
  <c r="BY9" i="16"/>
  <c r="BW9" i="16"/>
  <c r="BV9" i="16"/>
  <c r="BU9" i="16"/>
  <c r="BT9" i="16"/>
  <c r="BZ4" i="16"/>
  <c r="BY4" i="16"/>
  <c r="BW4" i="16"/>
  <c r="BV4" i="16"/>
  <c r="BU4" i="16"/>
  <c r="BT4" i="16"/>
  <c r="BZ5" i="16"/>
  <c r="BY5" i="16"/>
  <c r="BW5" i="16"/>
  <c r="BV5" i="16"/>
  <c r="BU5" i="16"/>
  <c r="BT5" i="16"/>
  <c r="AW31" i="16"/>
  <c r="AV31" i="16"/>
  <c r="AT31" i="16"/>
  <c r="AS31" i="16"/>
  <c r="AR31" i="16"/>
  <c r="AQ31" i="16"/>
  <c r="AW30" i="16"/>
  <c r="AV30" i="16"/>
  <c r="AT30" i="16"/>
  <c r="AS30" i="16"/>
  <c r="AR30" i="16"/>
  <c r="AQ30" i="16"/>
  <c r="AW29" i="16"/>
  <c r="AV29" i="16"/>
  <c r="AT29" i="16"/>
  <c r="AS29" i="16"/>
  <c r="AR29" i="16"/>
  <c r="AQ29" i="16"/>
  <c r="AW23" i="16"/>
  <c r="AV23" i="16"/>
  <c r="AT23" i="16"/>
  <c r="AS23" i="16"/>
  <c r="AR23" i="16"/>
  <c r="AQ23" i="16"/>
  <c r="AW28" i="16"/>
  <c r="AV28" i="16"/>
  <c r="AT28" i="16"/>
  <c r="AS28" i="16"/>
  <c r="AR28" i="16"/>
  <c r="AQ28" i="16"/>
  <c r="AW27" i="16"/>
  <c r="AV27" i="16"/>
  <c r="AT27" i="16"/>
  <c r="AS27" i="16"/>
  <c r="AR27" i="16"/>
  <c r="AQ27" i="16"/>
  <c r="AW26" i="16"/>
  <c r="AV26" i="16"/>
  <c r="AT26" i="16"/>
  <c r="AS26" i="16"/>
  <c r="AR26" i="16"/>
  <c r="AQ26" i="16"/>
  <c r="AW25" i="16"/>
  <c r="AV25" i="16"/>
  <c r="AT25" i="16"/>
  <c r="AS25" i="16"/>
  <c r="AR25" i="16"/>
  <c r="AQ25" i="16"/>
  <c r="AW24" i="16"/>
  <c r="AV24" i="16"/>
  <c r="AT24" i="16"/>
  <c r="AS24" i="16"/>
  <c r="AR24" i="16"/>
  <c r="AQ24" i="16"/>
  <c r="AW20" i="16"/>
  <c r="AV20" i="16"/>
  <c r="AT20" i="16"/>
  <c r="AS20" i="16"/>
  <c r="AR20" i="16"/>
  <c r="AQ20" i="16"/>
  <c r="AW22" i="16"/>
  <c r="AV22" i="16"/>
  <c r="AT22" i="16"/>
  <c r="AS22" i="16"/>
  <c r="AR22" i="16"/>
  <c r="AQ22" i="16"/>
  <c r="AW21" i="16"/>
  <c r="AV21" i="16"/>
  <c r="AT21" i="16"/>
  <c r="AS21" i="16"/>
  <c r="AR21" i="16"/>
  <c r="AQ21" i="16"/>
  <c r="AW19" i="16"/>
  <c r="AV19" i="16"/>
  <c r="AT19" i="16"/>
  <c r="AS19" i="16"/>
  <c r="AR19" i="16"/>
  <c r="AQ19" i="16"/>
  <c r="AW18" i="16"/>
  <c r="AV18" i="16"/>
  <c r="AT18" i="16"/>
  <c r="AS18" i="16"/>
  <c r="AR18" i="16"/>
  <c r="AQ18" i="16"/>
  <c r="AW17" i="16"/>
  <c r="AV17" i="16"/>
  <c r="AT17" i="16"/>
  <c r="AS17" i="16"/>
  <c r="AR17" i="16"/>
  <c r="AQ17" i="16"/>
  <c r="AW16" i="16"/>
  <c r="AV16" i="16"/>
  <c r="AT16" i="16"/>
  <c r="AS16" i="16"/>
  <c r="AR16" i="16"/>
  <c r="AQ16" i="16"/>
  <c r="AW15" i="16"/>
  <c r="AV15" i="16"/>
  <c r="AT15" i="16"/>
  <c r="AS15" i="16"/>
  <c r="AR15" i="16"/>
  <c r="AQ15" i="16"/>
  <c r="AW8" i="16"/>
  <c r="AV8" i="16"/>
  <c r="AT8" i="16"/>
  <c r="AS8" i="16"/>
  <c r="AR8" i="16"/>
  <c r="AQ8" i="16"/>
  <c r="AW14" i="16"/>
  <c r="AV14" i="16"/>
  <c r="AT14" i="16"/>
  <c r="AS14" i="16"/>
  <c r="AR14" i="16"/>
  <c r="AQ14" i="16"/>
  <c r="AW7" i="16"/>
  <c r="AV7" i="16"/>
  <c r="AT7" i="16"/>
  <c r="AS7" i="16"/>
  <c r="AR7" i="16"/>
  <c r="AQ7" i="16"/>
  <c r="AW13" i="16"/>
  <c r="AV13" i="16"/>
  <c r="AT13" i="16"/>
  <c r="AS13" i="16"/>
  <c r="AR13" i="16"/>
  <c r="AQ13" i="16"/>
  <c r="AW11" i="16"/>
  <c r="AV11" i="16"/>
  <c r="AT11" i="16"/>
  <c r="AS11" i="16"/>
  <c r="AR11" i="16"/>
  <c r="AQ11" i="16"/>
  <c r="AW12" i="16"/>
  <c r="AV12" i="16"/>
  <c r="AT12" i="16"/>
  <c r="AS12" i="16"/>
  <c r="AR12" i="16"/>
  <c r="AQ12" i="16"/>
  <c r="AW10" i="16"/>
  <c r="AV10" i="16"/>
  <c r="AT10" i="16"/>
  <c r="AS10" i="16"/>
  <c r="AR10" i="16"/>
  <c r="AQ10" i="16"/>
  <c r="AW6" i="16"/>
  <c r="AV6" i="16"/>
  <c r="AT6" i="16"/>
  <c r="AS6" i="16"/>
  <c r="AR6" i="16"/>
  <c r="AQ6" i="16"/>
  <c r="AW9" i="16"/>
  <c r="AV9" i="16"/>
  <c r="AT9" i="16"/>
  <c r="AS9" i="16"/>
  <c r="AR9" i="16"/>
  <c r="AQ9" i="16"/>
  <c r="AW4" i="16"/>
  <c r="AV4" i="16"/>
  <c r="AT4" i="16"/>
  <c r="AS4" i="16"/>
  <c r="AR4" i="16"/>
  <c r="AQ4" i="16"/>
  <c r="AW5" i="16"/>
  <c r="AV5" i="16"/>
  <c r="AT5" i="16"/>
  <c r="AS5" i="16"/>
  <c r="AR5" i="16"/>
  <c r="AQ5" i="16"/>
  <c r="BR23" i="17"/>
  <c r="BQ23" i="17"/>
  <c r="BP23" i="17"/>
  <c r="BO23" i="17"/>
  <c r="BN23" i="17"/>
  <c r="BR13" i="17"/>
  <c r="BQ13" i="17"/>
  <c r="BP13" i="17"/>
  <c r="BO13" i="17"/>
  <c r="BN13" i="17"/>
  <c r="BR22" i="17"/>
  <c r="BQ22" i="17"/>
  <c r="BP22" i="17"/>
  <c r="BO22" i="17"/>
  <c r="BN22" i="17"/>
  <c r="BR21" i="17"/>
  <c r="BQ21" i="17"/>
  <c r="BP21" i="17"/>
  <c r="BO21" i="17"/>
  <c r="BN21" i="17"/>
  <c r="BR20" i="17"/>
  <c r="BQ20" i="17"/>
  <c r="BP20" i="17"/>
  <c r="BO20" i="17"/>
  <c r="BN20" i="17"/>
  <c r="BR19" i="17"/>
  <c r="BQ19" i="17"/>
  <c r="BP19" i="17"/>
  <c r="BO19" i="17"/>
  <c r="BN19" i="17"/>
  <c r="BR18" i="17"/>
  <c r="BQ18" i="17"/>
  <c r="BP18" i="17"/>
  <c r="BO18" i="17"/>
  <c r="BN18" i="17"/>
  <c r="BR15" i="17"/>
  <c r="BQ15" i="17"/>
  <c r="BP15" i="17"/>
  <c r="BO15" i="17"/>
  <c r="BN15" i="17"/>
  <c r="BR17" i="17"/>
  <c r="BQ17" i="17"/>
  <c r="BP17" i="17"/>
  <c r="BO17" i="17"/>
  <c r="BN17" i="17"/>
  <c r="BR16" i="17"/>
  <c r="BQ16" i="17"/>
  <c r="BP16" i="17"/>
  <c r="BO16" i="17"/>
  <c r="BN16" i="17"/>
  <c r="BR14" i="17"/>
  <c r="BQ14" i="17"/>
  <c r="BP14" i="17"/>
  <c r="BO14" i="17"/>
  <c r="BN14" i="17"/>
  <c r="BR12" i="17"/>
  <c r="BQ12" i="17"/>
  <c r="BP12" i="17"/>
  <c r="BO12" i="17"/>
  <c r="BN12" i="17"/>
  <c r="BR11" i="17"/>
  <c r="BQ11" i="17"/>
  <c r="BP11" i="17"/>
  <c r="BO11" i="17"/>
  <c r="BN11" i="17"/>
  <c r="BR7" i="17"/>
  <c r="BQ7" i="17"/>
  <c r="BP7" i="17"/>
  <c r="BO7" i="17"/>
  <c r="BN7" i="17"/>
  <c r="BR10" i="17"/>
  <c r="BQ10" i="17"/>
  <c r="BP10" i="17"/>
  <c r="BO10" i="17"/>
  <c r="BN10" i="17"/>
  <c r="BR9" i="17"/>
  <c r="BQ9" i="17"/>
  <c r="BP9" i="17"/>
  <c r="BO9" i="17"/>
  <c r="BN9" i="17"/>
  <c r="BR8" i="17"/>
  <c r="BQ8" i="17"/>
  <c r="BP8" i="17"/>
  <c r="BO8" i="17"/>
  <c r="BN8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Q23" i="17"/>
  <c r="AP23" i="17"/>
  <c r="AO23" i="17"/>
  <c r="AN23" i="17"/>
  <c r="AM23" i="17"/>
  <c r="AQ13" i="17"/>
  <c r="AP13" i="17"/>
  <c r="AO13" i="17"/>
  <c r="AN13" i="17"/>
  <c r="AM13" i="17"/>
  <c r="AQ22" i="17"/>
  <c r="AP22" i="17"/>
  <c r="AO22" i="17"/>
  <c r="AN22" i="17"/>
  <c r="AM22" i="17"/>
  <c r="AQ21" i="17"/>
  <c r="AP21" i="17"/>
  <c r="AO21" i="17"/>
  <c r="AN21" i="17"/>
  <c r="AM21" i="17"/>
  <c r="AQ20" i="17"/>
  <c r="AP20" i="17"/>
  <c r="AO20" i="17"/>
  <c r="AN20" i="17"/>
  <c r="AM20" i="17"/>
  <c r="AQ19" i="17"/>
  <c r="AP19" i="17"/>
  <c r="AO19" i="17"/>
  <c r="AN19" i="17"/>
  <c r="AM19" i="17"/>
  <c r="AQ18" i="17"/>
  <c r="AP18" i="17"/>
  <c r="AO18" i="17"/>
  <c r="AN18" i="17"/>
  <c r="AM18" i="17"/>
  <c r="AQ15" i="17"/>
  <c r="AP15" i="17"/>
  <c r="AO15" i="17"/>
  <c r="AN15" i="17"/>
  <c r="AM15" i="17"/>
  <c r="AQ17" i="17"/>
  <c r="AP17" i="17"/>
  <c r="AO17" i="17"/>
  <c r="AN17" i="17"/>
  <c r="AM17" i="17"/>
  <c r="AQ16" i="17"/>
  <c r="AP16" i="17"/>
  <c r="AO16" i="17"/>
  <c r="AN16" i="17"/>
  <c r="AM16" i="17"/>
  <c r="AQ14" i="17"/>
  <c r="AP14" i="17"/>
  <c r="AO14" i="17"/>
  <c r="AN14" i="17"/>
  <c r="AM14" i="17"/>
  <c r="AQ12" i="17"/>
  <c r="AP12" i="17"/>
  <c r="AO12" i="17"/>
  <c r="AN12" i="17"/>
  <c r="AM12" i="17"/>
  <c r="AQ11" i="17"/>
  <c r="AP11" i="17"/>
  <c r="AO11" i="17"/>
  <c r="AN11" i="17"/>
  <c r="AM11" i="17"/>
  <c r="AQ7" i="17"/>
  <c r="AP7" i="17"/>
  <c r="AO7" i="17"/>
  <c r="AN7" i="17"/>
  <c r="AM7" i="17"/>
  <c r="AQ10" i="17"/>
  <c r="AP10" i="17"/>
  <c r="AO10" i="17"/>
  <c r="AN10" i="17"/>
  <c r="AM10" i="17"/>
  <c r="AQ9" i="17"/>
  <c r="AP9" i="17"/>
  <c r="AO9" i="17"/>
  <c r="AN9" i="17"/>
  <c r="AM9" i="17"/>
  <c r="AQ8" i="17"/>
  <c r="AP8" i="17"/>
  <c r="AO8" i="17"/>
  <c r="AN8" i="17"/>
  <c r="AM8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R15" i="15"/>
  <c r="BQ15" i="15"/>
  <c r="BP15" i="15"/>
  <c r="BO15" i="15"/>
  <c r="BN15" i="15"/>
  <c r="BR13" i="15"/>
  <c r="BQ13" i="15"/>
  <c r="BP13" i="15"/>
  <c r="BO13" i="15"/>
  <c r="BN13" i="15"/>
  <c r="BR10" i="15"/>
  <c r="BQ10" i="15"/>
  <c r="BP10" i="15"/>
  <c r="BO10" i="15"/>
  <c r="BN10" i="15"/>
  <c r="BR14" i="15"/>
  <c r="BQ14" i="15"/>
  <c r="BP14" i="15"/>
  <c r="BO14" i="15"/>
  <c r="BN14" i="15"/>
  <c r="BR12" i="15"/>
  <c r="BQ12" i="15"/>
  <c r="BP12" i="15"/>
  <c r="BO12" i="15"/>
  <c r="BN12" i="15"/>
  <c r="BR11" i="15"/>
  <c r="BQ11" i="15"/>
  <c r="BP11" i="15"/>
  <c r="BO11" i="15"/>
  <c r="BN11" i="15"/>
  <c r="BR9" i="15"/>
  <c r="BQ9" i="15"/>
  <c r="BP9" i="15"/>
  <c r="BO9" i="15"/>
  <c r="BN9" i="15"/>
  <c r="BR7" i="15"/>
  <c r="BQ7" i="15"/>
  <c r="BP7" i="15"/>
  <c r="BO7" i="15"/>
  <c r="BN7" i="15"/>
  <c r="BR5" i="15"/>
  <c r="BQ5" i="15"/>
  <c r="BP5" i="15"/>
  <c r="BO5" i="15"/>
  <c r="BN5" i="15"/>
  <c r="BR8" i="15"/>
  <c r="BQ8" i="15"/>
  <c r="BP8" i="15"/>
  <c r="BO8" i="15"/>
  <c r="BN8" i="15"/>
  <c r="BR6" i="15"/>
  <c r="BQ6" i="15"/>
  <c r="BP6" i="15"/>
  <c r="BO6" i="15"/>
  <c r="BN6" i="15"/>
  <c r="BR4" i="15"/>
  <c r="BQ4" i="15"/>
  <c r="BP4" i="15"/>
  <c r="BO4" i="15"/>
  <c r="BN4" i="15"/>
  <c r="AQ15" i="15"/>
  <c r="AP15" i="15"/>
  <c r="AO15" i="15"/>
  <c r="AN15" i="15"/>
  <c r="AM15" i="15"/>
  <c r="AQ13" i="15"/>
  <c r="AP13" i="15"/>
  <c r="AO13" i="15"/>
  <c r="AN13" i="15"/>
  <c r="AM13" i="15"/>
  <c r="AQ10" i="15"/>
  <c r="AP10" i="15"/>
  <c r="AO10" i="15"/>
  <c r="AN10" i="15"/>
  <c r="AM10" i="15"/>
  <c r="AQ14" i="15"/>
  <c r="AP14" i="15"/>
  <c r="AO14" i="15"/>
  <c r="AN14" i="15"/>
  <c r="AM14" i="15"/>
  <c r="AQ12" i="15"/>
  <c r="AP12" i="15"/>
  <c r="AO12" i="15"/>
  <c r="AN12" i="15"/>
  <c r="AM12" i="15"/>
  <c r="AQ11" i="15"/>
  <c r="AP11" i="15"/>
  <c r="AO11" i="15"/>
  <c r="AN11" i="15"/>
  <c r="AM11" i="15"/>
  <c r="AQ9" i="15"/>
  <c r="AP9" i="15"/>
  <c r="AO9" i="15"/>
  <c r="AN9" i="15"/>
  <c r="AM9" i="15"/>
  <c r="AQ7" i="15"/>
  <c r="AP7" i="15"/>
  <c r="AO7" i="15"/>
  <c r="AN7" i="15"/>
  <c r="AM7" i="15"/>
  <c r="AQ5" i="15"/>
  <c r="AP5" i="15"/>
  <c r="AO5" i="15"/>
  <c r="AN5" i="15"/>
  <c r="AM5" i="15"/>
  <c r="AQ8" i="15"/>
  <c r="AP8" i="15"/>
  <c r="AO8" i="15"/>
  <c r="AN8" i="15"/>
  <c r="AM8" i="15"/>
  <c r="AQ6" i="15"/>
  <c r="AP6" i="15"/>
  <c r="AO6" i="15"/>
  <c r="AN6" i="15"/>
  <c r="AM6" i="15"/>
  <c r="AQ4" i="15"/>
  <c r="AP4" i="15"/>
  <c r="AO4" i="15"/>
  <c r="AN4" i="15"/>
  <c r="AM4" i="15"/>
  <c r="BV30" i="14"/>
  <c r="BU30" i="14"/>
  <c r="BS30" i="14"/>
  <c r="BR30" i="14"/>
  <c r="BQ30" i="14"/>
  <c r="BP30" i="14"/>
  <c r="BO30" i="14"/>
  <c r="BV32" i="14"/>
  <c r="BU32" i="14"/>
  <c r="BS32" i="14"/>
  <c r="BR32" i="14"/>
  <c r="BQ32" i="14"/>
  <c r="BP32" i="14"/>
  <c r="BO32" i="14"/>
  <c r="BV29" i="14"/>
  <c r="BU29" i="14"/>
  <c r="BS29" i="14"/>
  <c r="BR29" i="14"/>
  <c r="BQ29" i="14"/>
  <c r="BP29" i="14"/>
  <c r="BO29" i="14"/>
  <c r="BV27" i="14"/>
  <c r="BU27" i="14"/>
  <c r="BS27" i="14"/>
  <c r="BR27" i="14"/>
  <c r="BQ27" i="14"/>
  <c r="BP27" i="14"/>
  <c r="BO27" i="14"/>
  <c r="BV26" i="14"/>
  <c r="BU26" i="14"/>
  <c r="BS26" i="14"/>
  <c r="BR26" i="14"/>
  <c r="BQ26" i="14"/>
  <c r="BP26" i="14"/>
  <c r="BO26" i="14"/>
  <c r="BV28" i="14"/>
  <c r="BU28" i="14"/>
  <c r="BS28" i="14"/>
  <c r="BR28" i="14"/>
  <c r="BQ28" i="14"/>
  <c r="BP28" i="14"/>
  <c r="BO28" i="14"/>
  <c r="BV23" i="14"/>
  <c r="BU23" i="14"/>
  <c r="BS23" i="14"/>
  <c r="BR23" i="14"/>
  <c r="BQ23" i="14"/>
  <c r="BP23" i="14"/>
  <c r="BO23" i="14"/>
  <c r="BV21" i="14"/>
  <c r="BU21" i="14"/>
  <c r="BS21" i="14"/>
  <c r="BR21" i="14"/>
  <c r="BQ21" i="14"/>
  <c r="BP21" i="14"/>
  <c r="BO21" i="14"/>
  <c r="BV22" i="14"/>
  <c r="BU22" i="14"/>
  <c r="BS22" i="14"/>
  <c r="BR22" i="14"/>
  <c r="BQ22" i="14"/>
  <c r="BP22" i="14"/>
  <c r="BO22" i="14"/>
  <c r="BV20" i="14"/>
  <c r="BU20" i="14"/>
  <c r="BS20" i="14"/>
  <c r="BR20" i="14"/>
  <c r="BQ20" i="14"/>
  <c r="BP20" i="14"/>
  <c r="BO20" i="14"/>
  <c r="BV31" i="14"/>
  <c r="BU31" i="14"/>
  <c r="BS31" i="14"/>
  <c r="BR31" i="14"/>
  <c r="BQ31" i="14"/>
  <c r="BP31" i="14"/>
  <c r="BO31" i="14"/>
  <c r="BV24" i="14"/>
  <c r="BU24" i="14"/>
  <c r="BS24" i="14"/>
  <c r="BR24" i="14"/>
  <c r="BQ24" i="14"/>
  <c r="BP24" i="14"/>
  <c r="BO24" i="14"/>
  <c r="BV19" i="14"/>
  <c r="BU19" i="14"/>
  <c r="BS19" i="14"/>
  <c r="BR19" i="14"/>
  <c r="BQ19" i="14"/>
  <c r="BP19" i="14"/>
  <c r="BO19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4" i="14"/>
  <c r="BU14" i="14"/>
  <c r="BS14" i="14"/>
  <c r="BR14" i="14"/>
  <c r="BQ14" i="14"/>
  <c r="BP14" i="14"/>
  <c r="BO14" i="14"/>
  <c r="BV16" i="14"/>
  <c r="BU16" i="14"/>
  <c r="BS16" i="14"/>
  <c r="BR16" i="14"/>
  <c r="BQ16" i="14"/>
  <c r="BP16" i="14"/>
  <c r="BO16" i="14"/>
  <c r="BV15" i="14"/>
  <c r="BU15" i="14"/>
  <c r="BS15" i="14"/>
  <c r="BR15" i="14"/>
  <c r="BQ15" i="14"/>
  <c r="BP15" i="14"/>
  <c r="BO15" i="14"/>
  <c r="BV13" i="14"/>
  <c r="BU13" i="14"/>
  <c r="BS13" i="14"/>
  <c r="BR13" i="14"/>
  <c r="BQ13" i="14"/>
  <c r="BP13" i="14"/>
  <c r="BO13" i="14"/>
  <c r="BV25" i="14"/>
  <c r="BU25" i="14"/>
  <c r="BS25" i="14"/>
  <c r="BR25" i="14"/>
  <c r="BQ25" i="14"/>
  <c r="BP25" i="14"/>
  <c r="BO25" i="14"/>
  <c r="BV11" i="14"/>
  <c r="BU11" i="14"/>
  <c r="BS11" i="14"/>
  <c r="BR11" i="14"/>
  <c r="BQ11" i="14"/>
  <c r="BP11" i="14"/>
  <c r="BO11" i="14"/>
  <c r="BV12" i="14"/>
  <c r="BU12" i="14"/>
  <c r="BS12" i="14"/>
  <c r="BR12" i="14"/>
  <c r="BQ12" i="14"/>
  <c r="BP12" i="14"/>
  <c r="BO12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8" i="14"/>
  <c r="BU8" i="14"/>
  <c r="BS8" i="14"/>
  <c r="BR8" i="14"/>
  <c r="BQ8" i="14"/>
  <c r="BP8" i="14"/>
  <c r="BO8" i="14"/>
  <c r="BV6" i="14"/>
  <c r="BU6" i="14"/>
  <c r="BS6" i="14"/>
  <c r="BR6" i="14"/>
  <c r="BQ6" i="14"/>
  <c r="BP6" i="14"/>
  <c r="BO6" i="14"/>
  <c r="BV7" i="14"/>
  <c r="BU7" i="14"/>
  <c r="BS7" i="14"/>
  <c r="BR7" i="14"/>
  <c r="BQ7" i="14"/>
  <c r="BP7" i="14"/>
  <c r="BO7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30" i="14"/>
  <c r="AQ30" i="14"/>
  <c r="AO30" i="14"/>
  <c r="AN30" i="14"/>
  <c r="AM30" i="14"/>
  <c r="AL30" i="14"/>
  <c r="AK30" i="14"/>
  <c r="AR32" i="14"/>
  <c r="AQ32" i="14"/>
  <c r="AO32" i="14"/>
  <c r="AN32" i="14"/>
  <c r="AM32" i="14"/>
  <c r="AL32" i="14"/>
  <c r="AK32" i="14"/>
  <c r="AR29" i="14"/>
  <c r="AQ29" i="14"/>
  <c r="AO29" i="14"/>
  <c r="AN29" i="14"/>
  <c r="AM29" i="14"/>
  <c r="AL29" i="14"/>
  <c r="AK29" i="14"/>
  <c r="AR27" i="14"/>
  <c r="AQ27" i="14"/>
  <c r="AO27" i="14"/>
  <c r="AN27" i="14"/>
  <c r="AM27" i="14"/>
  <c r="AL27" i="14"/>
  <c r="AK27" i="14"/>
  <c r="AR26" i="14"/>
  <c r="AQ26" i="14"/>
  <c r="AO26" i="14"/>
  <c r="AN26" i="14"/>
  <c r="AM26" i="14"/>
  <c r="AL26" i="14"/>
  <c r="AK26" i="14"/>
  <c r="AR28" i="14"/>
  <c r="AQ28" i="14"/>
  <c r="AO28" i="14"/>
  <c r="AN28" i="14"/>
  <c r="AM28" i="14"/>
  <c r="AL28" i="14"/>
  <c r="AK28" i="14"/>
  <c r="AR23" i="14"/>
  <c r="AQ23" i="14"/>
  <c r="AO23" i="14"/>
  <c r="AN23" i="14"/>
  <c r="AM23" i="14"/>
  <c r="AL23" i="14"/>
  <c r="AK23" i="14"/>
  <c r="AR21" i="14"/>
  <c r="AQ21" i="14"/>
  <c r="AO21" i="14"/>
  <c r="AN21" i="14"/>
  <c r="AM21" i="14"/>
  <c r="AL21" i="14"/>
  <c r="AK21" i="14"/>
  <c r="AR22" i="14"/>
  <c r="AQ22" i="14"/>
  <c r="AO22" i="14"/>
  <c r="AN22" i="14"/>
  <c r="AM22" i="14"/>
  <c r="AL22" i="14"/>
  <c r="AK22" i="14"/>
  <c r="AR20" i="14"/>
  <c r="AQ20" i="14"/>
  <c r="AO20" i="14"/>
  <c r="AN20" i="14"/>
  <c r="AM20" i="14"/>
  <c r="AL20" i="14"/>
  <c r="AK20" i="14"/>
  <c r="AR31" i="14"/>
  <c r="AQ31" i="14"/>
  <c r="AO31" i="14"/>
  <c r="AN31" i="14"/>
  <c r="AM31" i="14"/>
  <c r="AL31" i="14"/>
  <c r="AK31" i="14"/>
  <c r="AR24" i="14"/>
  <c r="AQ24" i="14"/>
  <c r="AO24" i="14"/>
  <c r="AN24" i="14"/>
  <c r="AM24" i="14"/>
  <c r="AL24" i="14"/>
  <c r="AK24" i="14"/>
  <c r="AR19" i="14"/>
  <c r="AQ19" i="14"/>
  <c r="AO19" i="14"/>
  <c r="AN19" i="14"/>
  <c r="AM19" i="14"/>
  <c r="AL19" i="14"/>
  <c r="AK19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4" i="14"/>
  <c r="AQ14" i="14"/>
  <c r="AO14" i="14"/>
  <c r="AN14" i="14"/>
  <c r="AM14" i="14"/>
  <c r="AL14" i="14"/>
  <c r="AK14" i="14"/>
  <c r="AR16" i="14"/>
  <c r="AQ16" i="14"/>
  <c r="AO16" i="14"/>
  <c r="AN16" i="14"/>
  <c r="AM16" i="14"/>
  <c r="AL16" i="14"/>
  <c r="AK16" i="14"/>
  <c r="AR15" i="14"/>
  <c r="AQ15" i="14"/>
  <c r="AO15" i="14"/>
  <c r="AN15" i="14"/>
  <c r="AM15" i="14"/>
  <c r="AL15" i="14"/>
  <c r="AK15" i="14"/>
  <c r="AR13" i="14"/>
  <c r="AQ13" i="14"/>
  <c r="AO13" i="14"/>
  <c r="AN13" i="14"/>
  <c r="AM13" i="14"/>
  <c r="AL13" i="14"/>
  <c r="AK13" i="14"/>
  <c r="AR25" i="14"/>
  <c r="AQ25" i="14"/>
  <c r="AO25" i="14"/>
  <c r="AN25" i="14"/>
  <c r="AM25" i="14"/>
  <c r="AL25" i="14"/>
  <c r="AK25" i="14"/>
  <c r="AR11" i="14"/>
  <c r="AQ11" i="14"/>
  <c r="AO11" i="14"/>
  <c r="AN11" i="14"/>
  <c r="AM11" i="14"/>
  <c r="AL11" i="14"/>
  <c r="AK11" i="14"/>
  <c r="AR12" i="14"/>
  <c r="AQ12" i="14"/>
  <c r="AO12" i="14"/>
  <c r="AN12" i="14"/>
  <c r="AM12" i="14"/>
  <c r="AL12" i="14"/>
  <c r="AK12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8" i="14"/>
  <c r="AQ8" i="14"/>
  <c r="AO8" i="14"/>
  <c r="AN8" i="14"/>
  <c r="AM8" i="14"/>
  <c r="AL8" i="14"/>
  <c r="AK8" i="14"/>
  <c r="AR6" i="14"/>
  <c r="AQ6" i="14"/>
  <c r="AO6" i="14"/>
  <c r="AN6" i="14"/>
  <c r="AM6" i="14"/>
  <c r="AL6" i="14"/>
  <c r="AK6" i="14"/>
  <c r="AR7" i="14"/>
  <c r="AQ7" i="14"/>
  <c r="AO7" i="14"/>
  <c r="AN7" i="14"/>
  <c r="AM7" i="14"/>
  <c r="AL7" i="14"/>
  <c r="AK7" i="14"/>
  <c r="AP7" i="14" s="1"/>
  <c r="AS7" i="14" s="1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36" i="4"/>
  <c r="BU36" i="4"/>
  <c r="BS36" i="4"/>
  <c r="BR36" i="4"/>
  <c r="BQ36" i="4"/>
  <c r="BP36" i="4"/>
  <c r="BO36" i="4"/>
  <c r="BV34" i="4"/>
  <c r="BU34" i="4"/>
  <c r="BS34" i="4"/>
  <c r="BR34" i="4"/>
  <c r="BQ34" i="4"/>
  <c r="BP34" i="4"/>
  <c r="BO34" i="4"/>
  <c r="BV15" i="4"/>
  <c r="BU15" i="4"/>
  <c r="BS15" i="4"/>
  <c r="BR15" i="4"/>
  <c r="BQ15" i="4"/>
  <c r="BP15" i="4"/>
  <c r="BO15" i="4"/>
  <c r="BV31" i="4"/>
  <c r="BU31" i="4"/>
  <c r="BS31" i="4"/>
  <c r="BR31" i="4"/>
  <c r="BQ31" i="4"/>
  <c r="BP31" i="4"/>
  <c r="BO31" i="4"/>
  <c r="BV29" i="4"/>
  <c r="BU29" i="4"/>
  <c r="BS29" i="4"/>
  <c r="BR29" i="4"/>
  <c r="BQ29" i="4"/>
  <c r="BP29" i="4"/>
  <c r="BO29" i="4"/>
  <c r="BV30" i="4"/>
  <c r="BU30" i="4"/>
  <c r="BS30" i="4"/>
  <c r="BR30" i="4"/>
  <c r="BQ30" i="4"/>
  <c r="BP30" i="4"/>
  <c r="BO30" i="4"/>
  <c r="BT30" i="4" s="1"/>
  <c r="BV28" i="4"/>
  <c r="BU28" i="4"/>
  <c r="BS28" i="4"/>
  <c r="BR28" i="4"/>
  <c r="BQ28" i="4"/>
  <c r="BP28" i="4"/>
  <c r="BO28" i="4"/>
  <c r="BT28" i="4" s="1"/>
  <c r="BV19" i="4"/>
  <c r="BU19" i="4"/>
  <c r="BS19" i="4"/>
  <c r="BR19" i="4"/>
  <c r="BQ19" i="4"/>
  <c r="BP19" i="4"/>
  <c r="BO19" i="4"/>
  <c r="BV26" i="4"/>
  <c r="BU26" i="4"/>
  <c r="BS26" i="4"/>
  <c r="BR26" i="4"/>
  <c r="BQ26" i="4"/>
  <c r="BP26" i="4"/>
  <c r="BO26" i="4"/>
  <c r="BV27" i="4"/>
  <c r="BU27" i="4"/>
  <c r="BS27" i="4"/>
  <c r="BR27" i="4"/>
  <c r="BQ27" i="4"/>
  <c r="BP27" i="4"/>
  <c r="BO27" i="4"/>
  <c r="BV25" i="4"/>
  <c r="BU25" i="4"/>
  <c r="BS25" i="4"/>
  <c r="BR25" i="4"/>
  <c r="BQ25" i="4"/>
  <c r="BP25" i="4"/>
  <c r="BO25" i="4"/>
  <c r="BV9" i="4"/>
  <c r="BU9" i="4"/>
  <c r="BS9" i="4"/>
  <c r="BR9" i="4"/>
  <c r="BQ9" i="4"/>
  <c r="BP9" i="4"/>
  <c r="BO9" i="4"/>
  <c r="BV33" i="4"/>
  <c r="BU33" i="4"/>
  <c r="BS33" i="4"/>
  <c r="BR33" i="4"/>
  <c r="BQ33" i="4"/>
  <c r="BP33" i="4"/>
  <c r="BO33" i="4"/>
  <c r="BV23" i="4"/>
  <c r="BU23" i="4"/>
  <c r="BS23" i="4"/>
  <c r="BR23" i="4"/>
  <c r="BQ23" i="4"/>
  <c r="BP23" i="4"/>
  <c r="BO23" i="4"/>
  <c r="BT23" i="4" s="1"/>
  <c r="BV22" i="4"/>
  <c r="BU22" i="4"/>
  <c r="BS22" i="4"/>
  <c r="BR22" i="4"/>
  <c r="BQ22" i="4"/>
  <c r="BP22" i="4"/>
  <c r="BO22" i="4"/>
  <c r="BT22" i="4" s="1"/>
  <c r="BV21" i="4"/>
  <c r="BU21" i="4"/>
  <c r="BS21" i="4"/>
  <c r="BR21" i="4"/>
  <c r="BQ21" i="4"/>
  <c r="BP21" i="4"/>
  <c r="BO21" i="4"/>
  <c r="BV20" i="4"/>
  <c r="BU20" i="4"/>
  <c r="BS20" i="4"/>
  <c r="BR20" i="4"/>
  <c r="BQ20" i="4"/>
  <c r="BP20" i="4"/>
  <c r="BO20" i="4"/>
  <c r="BV32" i="4"/>
  <c r="BU32" i="4"/>
  <c r="BS32" i="4"/>
  <c r="BR32" i="4"/>
  <c r="BQ32" i="4"/>
  <c r="BP32" i="4"/>
  <c r="BO32" i="4"/>
  <c r="BV24" i="4"/>
  <c r="BU24" i="4"/>
  <c r="BS24" i="4"/>
  <c r="BR24" i="4"/>
  <c r="BQ24" i="4"/>
  <c r="BP24" i="4"/>
  <c r="BO24" i="4"/>
  <c r="BV35" i="4"/>
  <c r="BU35" i="4"/>
  <c r="BS35" i="4"/>
  <c r="BR35" i="4"/>
  <c r="BQ35" i="4"/>
  <c r="BP35" i="4"/>
  <c r="BO35" i="4"/>
  <c r="BV18" i="4"/>
  <c r="BU18" i="4"/>
  <c r="BS18" i="4"/>
  <c r="BR18" i="4"/>
  <c r="BQ18" i="4"/>
  <c r="BP18" i="4"/>
  <c r="BO18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T16" i="4" s="1"/>
  <c r="BV14" i="4"/>
  <c r="BU14" i="4"/>
  <c r="BS14" i="4"/>
  <c r="BR14" i="4"/>
  <c r="BQ14" i="4"/>
  <c r="BP14" i="4"/>
  <c r="BO14" i="4"/>
  <c r="BV13" i="4"/>
  <c r="BU13" i="4"/>
  <c r="BS13" i="4"/>
  <c r="BR13" i="4"/>
  <c r="BQ13" i="4"/>
  <c r="BP13" i="4"/>
  <c r="BO13" i="4"/>
  <c r="BV12" i="4"/>
  <c r="BU12" i="4"/>
  <c r="BS12" i="4"/>
  <c r="BR12" i="4"/>
  <c r="BQ12" i="4"/>
  <c r="BP12" i="4"/>
  <c r="BO12" i="4"/>
  <c r="BV11" i="4"/>
  <c r="BU11" i="4"/>
  <c r="BS11" i="4"/>
  <c r="BR11" i="4"/>
  <c r="BQ11" i="4"/>
  <c r="BP11" i="4"/>
  <c r="BO11" i="4"/>
  <c r="BV8" i="4"/>
  <c r="BU8" i="4"/>
  <c r="BS8" i="4"/>
  <c r="BR8" i="4"/>
  <c r="BQ8" i="4"/>
  <c r="BP8" i="4"/>
  <c r="BO8" i="4"/>
  <c r="BV10" i="4"/>
  <c r="BU10" i="4"/>
  <c r="BS10" i="4"/>
  <c r="BR10" i="4"/>
  <c r="BQ10" i="4"/>
  <c r="BP10" i="4"/>
  <c r="BO10" i="4"/>
  <c r="BV6" i="4"/>
  <c r="BU6" i="4"/>
  <c r="BS6" i="4"/>
  <c r="BR6" i="4"/>
  <c r="BQ6" i="4"/>
  <c r="BP6" i="4"/>
  <c r="BO6" i="4"/>
  <c r="BV7" i="4"/>
  <c r="BU7" i="4"/>
  <c r="BS7" i="4"/>
  <c r="BR7" i="4"/>
  <c r="BQ7" i="4"/>
  <c r="BP7" i="4"/>
  <c r="BO7" i="4"/>
  <c r="BV5" i="4"/>
  <c r="BU5" i="4"/>
  <c r="BS5" i="4"/>
  <c r="BR5" i="4"/>
  <c r="BQ5" i="4"/>
  <c r="BP5" i="4"/>
  <c r="BO5" i="4"/>
  <c r="BV4" i="4"/>
  <c r="BU4" i="4"/>
  <c r="BS4" i="4"/>
  <c r="BR4" i="4"/>
  <c r="BQ4" i="4"/>
  <c r="BP4" i="4"/>
  <c r="BO4" i="4"/>
  <c r="AR36" i="4"/>
  <c r="AQ36" i="4"/>
  <c r="AO36" i="4"/>
  <c r="AN36" i="4"/>
  <c r="AM36" i="4"/>
  <c r="AL36" i="4"/>
  <c r="AK36" i="4"/>
  <c r="AR34" i="4"/>
  <c r="AQ34" i="4"/>
  <c r="AO34" i="4"/>
  <c r="AN34" i="4"/>
  <c r="AM34" i="4"/>
  <c r="AL34" i="4"/>
  <c r="AK34" i="4"/>
  <c r="AR15" i="4"/>
  <c r="AQ15" i="4"/>
  <c r="AO15" i="4"/>
  <c r="AN15" i="4"/>
  <c r="AM15" i="4"/>
  <c r="AL15" i="4"/>
  <c r="AK15" i="4"/>
  <c r="AR31" i="4"/>
  <c r="AQ31" i="4"/>
  <c r="AO31" i="4"/>
  <c r="AN31" i="4"/>
  <c r="AM31" i="4"/>
  <c r="AL31" i="4"/>
  <c r="AK31" i="4"/>
  <c r="AR29" i="4"/>
  <c r="AQ29" i="4"/>
  <c r="AO29" i="4"/>
  <c r="AN29" i="4"/>
  <c r="AM29" i="4"/>
  <c r="AL29" i="4"/>
  <c r="AK29" i="4"/>
  <c r="AR30" i="4"/>
  <c r="AQ30" i="4"/>
  <c r="AO30" i="4"/>
  <c r="AN30" i="4"/>
  <c r="AM30" i="4"/>
  <c r="AL30" i="4"/>
  <c r="AK30" i="4"/>
  <c r="AR28" i="4"/>
  <c r="AQ28" i="4"/>
  <c r="AO28" i="4"/>
  <c r="AN28" i="4"/>
  <c r="AM28" i="4"/>
  <c r="AL28" i="4"/>
  <c r="AK28" i="4"/>
  <c r="AR19" i="4"/>
  <c r="AQ19" i="4"/>
  <c r="AO19" i="4"/>
  <c r="AN19" i="4"/>
  <c r="AM19" i="4"/>
  <c r="AL19" i="4"/>
  <c r="AK19" i="4"/>
  <c r="AR26" i="4"/>
  <c r="AQ26" i="4"/>
  <c r="AO26" i="4"/>
  <c r="AN26" i="4"/>
  <c r="AM26" i="4"/>
  <c r="AL26" i="4"/>
  <c r="AK26" i="4"/>
  <c r="AR27" i="4"/>
  <c r="AQ27" i="4"/>
  <c r="AO27" i="4"/>
  <c r="AN27" i="4"/>
  <c r="AM27" i="4"/>
  <c r="AL27" i="4"/>
  <c r="AK27" i="4"/>
  <c r="AR25" i="4"/>
  <c r="AQ25" i="4"/>
  <c r="AO25" i="4"/>
  <c r="AN25" i="4"/>
  <c r="AM25" i="4"/>
  <c r="AL25" i="4"/>
  <c r="AK25" i="4"/>
  <c r="AR9" i="4"/>
  <c r="AQ9" i="4"/>
  <c r="AO9" i="4"/>
  <c r="AN9" i="4"/>
  <c r="AM9" i="4"/>
  <c r="AL9" i="4"/>
  <c r="AK9" i="4"/>
  <c r="AR33" i="4"/>
  <c r="AQ33" i="4"/>
  <c r="AO33" i="4"/>
  <c r="AN33" i="4"/>
  <c r="AM33" i="4"/>
  <c r="AL33" i="4"/>
  <c r="AK33" i="4"/>
  <c r="AR23" i="4"/>
  <c r="AQ23" i="4"/>
  <c r="AO23" i="4"/>
  <c r="AN23" i="4"/>
  <c r="AM23" i="4"/>
  <c r="AL23" i="4"/>
  <c r="AK23" i="4"/>
  <c r="AR22" i="4"/>
  <c r="AQ22" i="4"/>
  <c r="AO22" i="4"/>
  <c r="AN22" i="4"/>
  <c r="AM22" i="4"/>
  <c r="AL22" i="4"/>
  <c r="AK22" i="4"/>
  <c r="AR21" i="4"/>
  <c r="AQ21" i="4"/>
  <c r="AO21" i="4"/>
  <c r="AN21" i="4"/>
  <c r="AM21" i="4"/>
  <c r="AL21" i="4"/>
  <c r="AK21" i="4"/>
  <c r="AR20" i="4"/>
  <c r="AQ20" i="4"/>
  <c r="AO20" i="4"/>
  <c r="AN20" i="4"/>
  <c r="AM20" i="4"/>
  <c r="AL20" i="4"/>
  <c r="AK20" i="4"/>
  <c r="AR32" i="4"/>
  <c r="AQ32" i="4"/>
  <c r="AO32" i="4"/>
  <c r="AN32" i="4"/>
  <c r="AM32" i="4"/>
  <c r="AL32" i="4"/>
  <c r="AK32" i="4"/>
  <c r="AR24" i="4"/>
  <c r="AQ24" i="4"/>
  <c r="AO24" i="4"/>
  <c r="AN24" i="4"/>
  <c r="AM24" i="4"/>
  <c r="AL24" i="4"/>
  <c r="AK24" i="4"/>
  <c r="AR35" i="4"/>
  <c r="AQ35" i="4"/>
  <c r="AO35" i="4"/>
  <c r="AN35" i="4"/>
  <c r="AM35" i="4"/>
  <c r="AL35" i="4"/>
  <c r="AK35" i="4"/>
  <c r="AR18" i="4"/>
  <c r="AQ18" i="4"/>
  <c r="AO18" i="4"/>
  <c r="AN18" i="4"/>
  <c r="AM18" i="4"/>
  <c r="AL18" i="4"/>
  <c r="AK18" i="4"/>
  <c r="AP18" i="4" s="1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4" i="4"/>
  <c r="AQ14" i="4"/>
  <c r="AO14" i="4"/>
  <c r="AN14" i="4"/>
  <c r="AM14" i="4"/>
  <c r="AL14" i="4"/>
  <c r="AK14" i="4"/>
  <c r="AR13" i="4"/>
  <c r="AQ13" i="4"/>
  <c r="AO13" i="4"/>
  <c r="AN13" i="4"/>
  <c r="AM13" i="4"/>
  <c r="AL13" i="4"/>
  <c r="AK13" i="4"/>
  <c r="AR12" i="4"/>
  <c r="AQ12" i="4"/>
  <c r="AO12" i="4"/>
  <c r="AN12" i="4"/>
  <c r="AM12" i="4"/>
  <c r="AL12" i="4"/>
  <c r="AK12" i="4"/>
  <c r="AR11" i="4"/>
  <c r="AQ11" i="4"/>
  <c r="AO11" i="4"/>
  <c r="AN11" i="4"/>
  <c r="AM11" i="4"/>
  <c r="AL11" i="4"/>
  <c r="AK11" i="4"/>
  <c r="AR8" i="4"/>
  <c r="AQ8" i="4"/>
  <c r="AO8" i="4"/>
  <c r="AN8" i="4"/>
  <c r="AM8" i="4"/>
  <c r="AL8" i="4"/>
  <c r="AK8" i="4"/>
  <c r="AR10" i="4"/>
  <c r="AQ10" i="4"/>
  <c r="AO10" i="4"/>
  <c r="AN10" i="4"/>
  <c r="AM10" i="4"/>
  <c r="AL10" i="4"/>
  <c r="AK10" i="4"/>
  <c r="AR6" i="4"/>
  <c r="AQ6" i="4"/>
  <c r="AO6" i="4"/>
  <c r="AN6" i="4"/>
  <c r="AM6" i="4"/>
  <c r="AL6" i="4"/>
  <c r="AK6" i="4"/>
  <c r="AP6" i="4" s="1"/>
  <c r="AR7" i="4"/>
  <c r="AQ7" i="4"/>
  <c r="AO7" i="4"/>
  <c r="AN7" i="4"/>
  <c r="AM7" i="4"/>
  <c r="AL7" i="4"/>
  <c r="AK7" i="4"/>
  <c r="AR5" i="4"/>
  <c r="AQ5" i="4"/>
  <c r="AO5" i="4"/>
  <c r="AN5" i="4"/>
  <c r="AM5" i="4"/>
  <c r="AL5" i="4"/>
  <c r="AK5" i="4"/>
  <c r="AR4" i="4"/>
  <c r="AQ4" i="4"/>
  <c r="AO4" i="4"/>
  <c r="AN4" i="4"/>
  <c r="AM4" i="4"/>
  <c r="AL4" i="4"/>
  <c r="AK4" i="4"/>
  <c r="CW28" i="18"/>
  <c r="CX28" i="18"/>
  <c r="CY28" i="18"/>
  <c r="CZ28" i="18"/>
  <c r="DB28" i="18"/>
  <c r="DC28" i="18"/>
  <c r="EB28" i="18"/>
  <c r="EC28" i="18"/>
  <c r="ED28" i="18"/>
  <c r="EE28" i="18"/>
  <c r="EG28" i="18"/>
  <c r="EH28" i="18"/>
  <c r="FD28" i="18"/>
  <c r="FE28" i="18"/>
  <c r="FF28" i="18"/>
  <c r="FG28" i="18"/>
  <c r="FI28" i="18"/>
  <c r="FJ28" i="18"/>
  <c r="GF28" i="18"/>
  <c r="GG28" i="18"/>
  <c r="GH28" i="18"/>
  <c r="GI28" i="18"/>
  <c r="GK28" i="18"/>
  <c r="GL28" i="18"/>
  <c r="HH28" i="18"/>
  <c r="HI28" i="18"/>
  <c r="HJ28" i="18"/>
  <c r="HK28" i="18"/>
  <c r="HM28" i="18"/>
  <c r="HN28" i="18"/>
  <c r="IJ28" i="18"/>
  <c r="IK28" i="18"/>
  <c r="IL28" i="18"/>
  <c r="IM28" i="18"/>
  <c r="IO28" i="18"/>
  <c r="IP28" i="18"/>
  <c r="JL28" i="18"/>
  <c r="JM28" i="18"/>
  <c r="JN28" i="18"/>
  <c r="JO28" i="18"/>
  <c r="JQ28" i="18"/>
  <c r="JR28" i="18"/>
  <c r="KN28" i="18"/>
  <c r="KO28" i="18"/>
  <c r="KP28" i="18"/>
  <c r="KQ28" i="18"/>
  <c r="KS28" i="18"/>
  <c r="KT28" i="18"/>
  <c r="LP28" i="18"/>
  <c r="LQ28" i="18"/>
  <c r="LR28" i="18"/>
  <c r="LS28" i="18"/>
  <c r="LU28" i="18"/>
  <c r="LV28" i="18"/>
  <c r="MR28" i="18"/>
  <c r="MS28" i="18"/>
  <c r="MT28" i="18"/>
  <c r="MU28" i="18"/>
  <c r="MW28" i="18"/>
  <c r="MX28" i="18"/>
  <c r="NT28" i="18"/>
  <c r="NU28" i="18"/>
  <c r="NV28" i="18"/>
  <c r="NW28" i="18"/>
  <c r="NY28" i="18"/>
  <c r="NZ28" i="18"/>
  <c r="OV28" i="18"/>
  <c r="OW28" i="18"/>
  <c r="OX28" i="18"/>
  <c r="OY28" i="18"/>
  <c r="PA28" i="18"/>
  <c r="PB28" i="18"/>
  <c r="PX28" i="18"/>
  <c r="PY28" i="18"/>
  <c r="PZ28" i="18"/>
  <c r="QA28" i="18"/>
  <c r="QC28" i="18"/>
  <c r="QD28" i="18"/>
  <c r="QF28" i="18"/>
  <c r="QG28" i="18"/>
  <c r="QH28" i="18"/>
  <c r="QI28" i="18"/>
  <c r="QJ28" i="18"/>
  <c r="QK28" i="18"/>
  <c r="QL28" i="18"/>
  <c r="QM28" i="18"/>
  <c r="QN28" i="18"/>
  <c r="QO28" i="18"/>
  <c r="QP28" i="18"/>
  <c r="QQ28" i="18"/>
  <c r="QR28" i="18"/>
  <c r="QS28" i="18"/>
  <c r="QT28" i="18"/>
  <c r="QU28" i="18"/>
  <c r="QV28" i="18"/>
  <c r="QW28" i="18"/>
  <c r="QX28" i="18"/>
  <c r="QY28" i="18"/>
  <c r="CW18" i="18"/>
  <c r="CX18" i="18"/>
  <c r="CY18" i="18"/>
  <c r="CZ18" i="18"/>
  <c r="DB18" i="18"/>
  <c r="DC18" i="18"/>
  <c r="EB18" i="18"/>
  <c r="EC18" i="18"/>
  <c r="ED18" i="18"/>
  <c r="EE18" i="18"/>
  <c r="EG18" i="18"/>
  <c r="EH18" i="18"/>
  <c r="FD18" i="18"/>
  <c r="FE18" i="18"/>
  <c r="FF18" i="18"/>
  <c r="FG18" i="18"/>
  <c r="FI18" i="18"/>
  <c r="FJ18" i="18"/>
  <c r="GF18" i="18"/>
  <c r="GG18" i="18"/>
  <c r="GH18" i="18"/>
  <c r="GI18" i="18"/>
  <c r="GK18" i="18"/>
  <c r="GL18" i="18"/>
  <c r="HH18" i="18"/>
  <c r="HI18" i="18"/>
  <c r="HJ18" i="18"/>
  <c r="HK18" i="18"/>
  <c r="HM18" i="18"/>
  <c r="HN18" i="18"/>
  <c r="IJ18" i="18"/>
  <c r="IK18" i="18"/>
  <c r="IL18" i="18"/>
  <c r="IM18" i="18"/>
  <c r="IO18" i="18"/>
  <c r="IP18" i="18"/>
  <c r="JL18" i="18"/>
  <c r="JM18" i="18"/>
  <c r="JN18" i="18"/>
  <c r="JO18" i="18"/>
  <c r="JQ18" i="18"/>
  <c r="JR18" i="18"/>
  <c r="KN18" i="18"/>
  <c r="KO18" i="18"/>
  <c r="KP18" i="18"/>
  <c r="KQ18" i="18"/>
  <c r="KS18" i="18"/>
  <c r="KT18" i="18"/>
  <c r="LP18" i="18"/>
  <c r="LQ18" i="18"/>
  <c r="LR18" i="18"/>
  <c r="LS18" i="18"/>
  <c r="LU18" i="18"/>
  <c r="LV18" i="18"/>
  <c r="MR18" i="18"/>
  <c r="MS18" i="18"/>
  <c r="MT18" i="18"/>
  <c r="MU18" i="18"/>
  <c r="MW18" i="18"/>
  <c r="MX18" i="18"/>
  <c r="NT18" i="18"/>
  <c r="NU18" i="18"/>
  <c r="NV18" i="18"/>
  <c r="NW18" i="18"/>
  <c r="NY18" i="18"/>
  <c r="NZ18" i="18"/>
  <c r="OV18" i="18"/>
  <c r="OW18" i="18"/>
  <c r="OX18" i="18"/>
  <c r="OY18" i="18"/>
  <c r="PA18" i="18"/>
  <c r="PB18" i="18"/>
  <c r="PX18" i="18"/>
  <c r="PY18" i="18"/>
  <c r="PZ18" i="18"/>
  <c r="QA18" i="18"/>
  <c r="QC18" i="18"/>
  <c r="QD18" i="18"/>
  <c r="QF18" i="18"/>
  <c r="QG18" i="18"/>
  <c r="QH18" i="18"/>
  <c r="QI18" i="18"/>
  <c r="QJ18" i="18"/>
  <c r="QK18" i="18"/>
  <c r="QL18" i="18"/>
  <c r="QM18" i="18"/>
  <c r="QN18" i="18"/>
  <c r="QO18" i="18"/>
  <c r="QP18" i="18"/>
  <c r="QQ18" i="18"/>
  <c r="QR18" i="18"/>
  <c r="QS18" i="18"/>
  <c r="QT18" i="18"/>
  <c r="QU18" i="18"/>
  <c r="QV18" i="18"/>
  <c r="QW18" i="18"/>
  <c r="QX18" i="18"/>
  <c r="QY18" i="18"/>
  <c r="CW27" i="18"/>
  <c r="CX27" i="18"/>
  <c r="CY27" i="18"/>
  <c r="CZ27" i="18"/>
  <c r="DB27" i="18"/>
  <c r="DC27" i="18"/>
  <c r="EB27" i="18"/>
  <c r="EC27" i="18"/>
  <c r="ED27" i="18"/>
  <c r="EE27" i="18"/>
  <c r="EG27" i="18"/>
  <c r="EH27" i="18"/>
  <c r="FD27" i="18"/>
  <c r="FE27" i="18"/>
  <c r="FF27" i="18"/>
  <c r="FG27" i="18"/>
  <c r="FI27" i="18"/>
  <c r="FJ27" i="18"/>
  <c r="GF27" i="18"/>
  <c r="GG27" i="18"/>
  <c r="GH27" i="18"/>
  <c r="GI27" i="18"/>
  <c r="GK27" i="18"/>
  <c r="GL27" i="18"/>
  <c r="HH27" i="18"/>
  <c r="HI27" i="18"/>
  <c r="HJ27" i="18"/>
  <c r="HK27" i="18"/>
  <c r="HM27" i="18"/>
  <c r="HN27" i="18"/>
  <c r="IJ27" i="18"/>
  <c r="IK27" i="18"/>
  <c r="IL27" i="18"/>
  <c r="IM27" i="18"/>
  <c r="IO27" i="18"/>
  <c r="IP27" i="18"/>
  <c r="JL27" i="18"/>
  <c r="JM27" i="18"/>
  <c r="JN27" i="18"/>
  <c r="JO27" i="18"/>
  <c r="JQ27" i="18"/>
  <c r="JR27" i="18"/>
  <c r="KN27" i="18"/>
  <c r="KO27" i="18"/>
  <c r="KP27" i="18"/>
  <c r="KQ27" i="18"/>
  <c r="KS27" i="18"/>
  <c r="KT27" i="18"/>
  <c r="LP27" i="18"/>
  <c r="LQ27" i="18"/>
  <c r="LR27" i="18"/>
  <c r="LS27" i="18"/>
  <c r="LU27" i="18"/>
  <c r="LV27" i="18"/>
  <c r="MR27" i="18"/>
  <c r="MS27" i="18"/>
  <c r="MT27" i="18"/>
  <c r="MU27" i="18"/>
  <c r="MW27" i="18"/>
  <c r="MX27" i="18"/>
  <c r="NT27" i="18"/>
  <c r="NU27" i="18"/>
  <c r="NV27" i="18"/>
  <c r="NW27" i="18"/>
  <c r="NY27" i="18"/>
  <c r="NZ27" i="18"/>
  <c r="OV27" i="18"/>
  <c r="OW27" i="18"/>
  <c r="OX27" i="18"/>
  <c r="OY27" i="18"/>
  <c r="PA27" i="18"/>
  <c r="PB27" i="18"/>
  <c r="PX27" i="18"/>
  <c r="PY27" i="18"/>
  <c r="PZ27" i="18"/>
  <c r="QA27" i="18"/>
  <c r="QC27" i="18"/>
  <c r="QD27" i="18"/>
  <c r="QF27" i="18"/>
  <c r="QG27" i="18"/>
  <c r="QH27" i="18"/>
  <c r="QI27" i="18"/>
  <c r="QJ27" i="18"/>
  <c r="QK27" i="18"/>
  <c r="QL27" i="18"/>
  <c r="QM27" i="18"/>
  <c r="QN27" i="18"/>
  <c r="QO27" i="18"/>
  <c r="QP27" i="18"/>
  <c r="QQ27" i="18"/>
  <c r="QR27" i="18"/>
  <c r="QS27" i="18"/>
  <c r="QT27" i="18"/>
  <c r="QU27" i="18"/>
  <c r="QV27" i="18"/>
  <c r="QW27" i="18"/>
  <c r="QX27" i="18"/>
  <c r="QY27" i="18"/>
  <c r="CW26" i="18"/>
  <c r="CX26" i="18"/>
  <c r="CY26" i="18"/>
  <c r="CZ26" i="18"/>
  <c r="DB26" i="18"/>
  <c r="DC26" i="18"/>
  <c r="EB26" i="18"/>
  <c r="EC26" i="18"/>
  <c r="ED26" i="18"/>
  <c r="EE26" i="18"/>
  <c r="EG26" i="18"/>
  <c r="EH26" i="18"/>
  <c r="FD26" i="18"/>
  <c r="FE26" i="18"/>
  <c r="FF26" i="18"/>
  <c r="FG26" i="18"/>
  <c r="FI26" i="18"/>
  <c r="FJ26" i="18"/>
  <c r="GF26" i="18"/>
  <c r="GG26" i="18"/>
  <c r="GH26" i="18"/>
  <c r="GI26" i="18"/>
  <c r="GK26" i="18"/>
  <c r="GL26" i="18"/>
  <c r="HH26" i="18"/>
  <c r="HI26" i="18"/>
  <c r="HJ26" i="18"/>
  <c r="HK26" i="18"/>
  <c r="HM26" i="18"/>
  <c r="HN26" i="18"/>
  <c r="IJ26" i="18"/>
  <c r="IK26" i="18"/>
  <c r="IL26" i="18"/>
  <c r="IM26" i="18"/>
  <c r="IO26" i="18"/>
  <c r="IP26" i="18"/>
  <c r="JL26" i="18"/>
  <c r="JM26" i="18"/>
  <c r="JN26" i="18"/>
  <c r="JO26" i="18"/>
  <c r="JQ26" i="18"/>
  <c r="JR26" i="18"/>
  <c r="KN26" i="18"/>
  <c r="KO26" i="18"/>
  <c r="KP26" i="18"/>
  <c r="KQ26" i="18"/>
  <c r="KS26" i="18"/>
  <c r="KT26" i="18"/>
  <c r="LP26" i="18"/>
  <c r="LQ26" i="18"/>
  <c r="LR26" i="18"/>
  <c r="LS26" i="18"/>
  <c r="LU26" i="18"/>
  <c r="LV26" i="18"/>
  <c r="MR26" i="18"/>
  <c r="MS26" i="18"/>
  <c r="MT26" i="18"/>
  <c r="MU26" i="18"/>
  <c r="MW26" i="18"/>
  <c r="MX26" i="18"/>
  <c r="NT26" i="18"/>
  <c r="NU26" i="18"/>
  <c r="NV26" i="18"/>
  <c r="NW26" i="18"/>
  <c r="NY26" i="18"/>
  <c r="NZ26" i="18"/>
  <c r="OV26" i="18"/>
  <c r="OW26" i="18"/>
  <c r="OX26" i="18"/>
  <c r="OY26" i="18"/>
  <c r="PA26" i="18"/>
  <c r="PB26" i="18"/>
  <c r="PX26" i="18"/>
  <c r="PY26" i="18"/>
  <c r="PZ26" i="18"/>
  <c r="QA26" i="18"/>
  <c r="QC26" i="18"/>
  <c r="QD26" i="18"/>
  <c r="QF26" i="18"/>
  <c r="QG26" i="18"/>
  <c r="QH26" i="18"/>
  <c r="QI26" i="18"/>
  <c r="QJ26" i="18"/>
  <c r="QK26" i="18"/>
  <c r="QL26" i="18"/>
  <c r="QM26" i="18"/>
  <c r="QN26" i="18"/>
  <c r="QO26" i="18"/>
  <c r="QP26" i="18"/>
  <c r="QQ26" i="18"/>
  <c r="QR26" i="18"/>
  <c r="QS26" i="18"/>
  <c r="QT26" i="18"/>
  <c r="QU26" i="18"/>
  <c r="QV26" i="18"/>
  <c r="QW26" i="18"/>
  <c r="QX26" i="18"/>
  <c r="QY26" i="18"/>
  <c r="CW24" i="18"/>
  <c r="CX24" i="18"/>
  <c r="CY24" i="18"/>
  <c r="CZ24" i="18"/>
  <c r="DB24" i="18"/>
  <c r="DC24" i="18"/>
  <c r="EB24" i="18"/>
  <c r="EC24" i="18"/>
  <c r="ED24" i="18"/>
  <c r="EE24" i="18"/>
  <c r="EG24" i="18"/>
  <c r="EH24" i="18"/>
  <c r="FD24" i="18"/>
  <c r="FE24" i="18"/>
  <c r="FF24" i="18"/>
  <c r="FG24" i="18"/>
  <c r="FI24" i="18"/>
  <c r="FJ24" i="18"/>
  <c r="GF24" i="18"/>
  <c r="GG24" i="18"/>
  <c r="GH24" i="18"/>
  <c r="GI24" i="18"/>
  <c r="GK24" i="18"/>
  <c r="GL24" i="18"/>
  <c r="HH24" i="18"/>
  <c r="HI24" i="18"/>
  <c r="HJ24" i="18"/>
  <c r="HK24" i="18"/>
  <c r="HM24" i="18"/>
  <c r="HN24" i="18"/>
  <c r="IJ24" i="18"/>
  <c r="IK24" i="18"/>
  <c r="IL24" i="18"/>
  <c r="IM24" i="18"/>
  <c r="IO24" i="18"/>
  <c r="IP24" i="18"/>
  <c r="JL24" i="18"/>
  <c r="JM24" i="18"/>
  <c r="JN24" i="18"/>
  <c r="JO24" i="18"/>
  <c r="JQ24" i="18"/>
  <c r="JR24" i="18"/>
  <c r="KN24" i="18"/>
  <c r="KO24" i="18"/>
  <c r="KP24" i="18"/>
  <c r="KQ24" i="18"/>
  <c r="KS24" i="18"/>
  <c r="KT24" i="18"/>
  <c r="LP24" i="18"/>
  <c r="LQ24" i="18"/>
  <c r="LR24" i="18"/>
  <c r="LS24" i="18"/>
  <c r="LU24" i="18"/>
  <c r="LV24" i="18"/>
  <c r="MR24" i="18"/>
  <c r="MS24" i="18"/>
  <c r="MT24" i="18"/>
  <c r="MU24" i="18"/>
  <c r="MW24" i="18"/>
  <c r="MX24" i="18"/>
  <c r="NT24" i="18"/>
  <c r="NU24" i="18"/>
  <c r="NV24" i="18"/>
  <c r="NW24" i="18"/>
  <c r="NY24" i="18"/>
  <c r="NZ24" i="18"/>
  <c r="OV24" i="18"/>
  <c r="OW24" i="18"/>
  <c r="OX24" i="18"/>
  <c r="OY24" i="18"/>
  <c r="PA24" i="18"/>
  <c r="PB24" i="18"/>
  <c r="PX24" i="18"/>
  <c r="PY24" i="18"/>
  <c r="PZ24" i="18"/>
  <c r="QA24" i="18"/>
  <c r="QC24" i="18"/>
  <c r="QD24" i="18"/>
  <c r="QF24" i="18"/>
  <c r="QG24" i="18"/>
  <c r="QH24" i="18"/>
  <c r="QI24" i="18"/>
  <c r="QJ24" i="18"/>
  <c r="QK24" i="18"/>
  <c r="QL24" i="18"/>
  <c r="QM24" i="18"/>
  <c r="QN24" i="18"/>
  <c r="QO24" i="18"/>
  <c r="QP24" i="18"/>
  <c r="QQ24" i="18"/>
  <c r="QR24" i="18"/>
  <c r="QS24" i="18"/>
  <c r="QT24" i="18"/>
  <c r="QU24" i="18"/>
  <c r="QV24" i="18"/>
  <c r="QW24" i="18"/>
  <c r="QX24" i="18"/>
  <c r="QY24" i="18"/>
  <c r="CW23" i="18"/>
  <c r="CX23" i="18"/>
  <c r="CY23" i="18"/>
  <c r="CZ23" i="18"/>
  <c r="DB23" i="18"/>
  <c r="DC23" i="18"/>
  <c r="EB23" i="18"/>
  <c r="EC23" i="18"/>
  <c r="ED23" i="18"/>
  <c r="EE23" i="18"/>
  <c r="EG23" i="18"/>
  <c r="EH23" i="18"/>
  <c r="FD23" i="18"/>
  <c r="FE23" i="18"/>
  <c r="FF23" i="18"/>
  <c r="FG23" i="18"/>
  <c r="FI23" i="18"/>
  <c r="FJ23" i="18"/>
  <c r="GF23" i="18"/>
  <c r="GG23" i="18"/>
  <c r="GH23" i="18"/>
  <c r="GI23" i="18"/>
  <c r="GK23" i="18"/>
  <c r="GL23" i="18"/>
  <c r="HH23" i="18"/>
  <c r="HI23" i="18"/>
  <c r="HJ23" i="18"/>
  <c r="HK23" i="18"/>
  <c r="HM23" i="18"/>
  <c r="HN23" i="18"/>
  <c r="IJ23" i="18"/>
  <c r="IK23" i="18"/>
  <c r="IL23" i="18"/>
  <c r="IM23" i="18"/>
  <c r="IO23" i="18"/>
  <c r="IP23" i="18"/>
  <c r="JL23" i="18"/>
  <c r="JM23" i="18"/>
  <c r="JN23" i="18"/>
  <c r="JO23" i="18"/>
  <c r="JQ23" i="18"/>
  <c r="JR23" i="18"/>
  <c r="KN23" i="18"/>
  <c r="KO23" i="18"/>
  <c r="KP23" i="18"/>
  <c r="KQ23" i="18"/>
  <c r="KS23" i="18"/>
  <c r="KT23" i="18"/>
  <c r="LP23" i="18"/>
  <c r="LQ23" i="18"/>
  <c r="LR23" i="18"/>
  <c r="LS23" i="18"/>
  <c r="LU23" i="18"/>
  <c r="LV23" i="18"/>
  <c r="MR23" i="18"/>
  <c r="MS23" i="18"/>
  <c r="MT23" i="18"/>
  <c r="MU23" i="18"/>
  <c r="MW23" i="18"/>
  <c r="MX23" i="18"/>
  <c r="NT23" i="18"/>
  <c r="NU23" i="18"/>
  <c r="NV23" i="18"/>
  <c r="NW23" i="18"/>
  <c r="NY23" i="18"/>
  <c r="NZ23" i="18"/>
  <c r="OV23" i="18"/>
  <c r="OW23" i="18"/>
  <c r="OX23" i="18"/>
  <c r="OY23" i="18"/>
  <c r="PA23" i="18"/>
  <c r="PB23" i="18"/>
  <c r="PX23" i="18"/>
  <c r="PY23" i="18"/>
  <c r="PZ23" i="18"/>
  <c r="QA23" i="18"/>
  <c r="QC23" i="18"/>
  <c r="QD23" i="18"/>
  <c r="QF23" i="18"/>
  <c r="QG23" i="18"/>
  <c r="QH23" i="18"/>
  <c r="QI23" i="18"/>
  <c r="QJ23" i="18"/>
  <c r="QK23" i="18"/>
  <c r="QL23" i="18"/>
  <c r="QM23" i="18"/>
  <c r="QN23" i="18"/>
  <c r="QO23" i="18"/>
  <c r="QP23" i="18"/>
  <c r="QQ23" i="18"/>
  <c r="QR23" i="18"/>
  <c r="QS23" i="18"/>
  <c r="QT23" i="18"/>
  <c r="QU23" i="18"/>
  <c r="QV23" i="18"/>
  <c r="QW23" i="18"/>
  <c r="QX23" i="18"/>
  <c r="QY23" i="18"/>
  <c r="AR10" i="15" l="1"/>
  <c r="R25" i="18"/>
  <c r="BT30" i="14"/>
  <c r="BT20" i="14"/>
  <c r="AX6" i="18"/>
  <c r="AX9" i="18"/>
  <c r="AX14" i="18"/>
  <c r="AX19" i="18"/>
  <c r="AX23" i="18"/>
  <c r="AX18" i="18"/>
  <c r="CA6" i="18"/>
  <c r="CA9" i="18"/>
  <c r="CA14" i="18"/>
  <c r="CA19" i="18"/>
  <c r="CA23" i="18"/>
  <c r="CA18" i="18"/>
  <c r="RH25" i="18"/>
  <c r="AX9" i="16"/>
  <c r="AX11" i="16"/>
  <c r="AX8" i="16"/>
  <c r="AX18" i="16"/>
  <c r="AX20" i="16"/>
  <c r="AX27" i="16"/>
  <c r="AX30" i="16"/>
  <c r="CA9" i="16"/>
  <c r="CA11" i="16"/>
  <c r="CA8" i="16"/>
  <c r="CA18" i="16"/>
  <c r="CA20" i="16"/>
  <c r="CA27" i="16"/>
  <c r="CA30" i="16"/>
  <c r="AX6" i="16"/>
  <c r="AX13" i="16"/>
  <c r="AX15" i="16"/>
  <c r="AX19" i="16"/>
  <c r="AX24" i="16"/>
  <c r="AX28" i="16"/>
  <c r="AX31" i="16"/>
  <c r="CA6" i="16"/>
  <c r="CA13" i="16"/>
  <c r="CA15" i="16"/>
  <c r="CA19" i="16"/>
  <c r="CA24" i="16"/>
  <c r="CA28" i="16"/>
  <c r="CA31" i="16"/>
  <c r="AR7" i="17"/>
  <c r="AR19" i="17"/>
  <c r="BS6" i="17"/>
  <c r="BS16" i="17"/>
  <c r="AR11" i="17"/>
  <c r="AR20" i="17"/>
  <c r="BS8" i="17"/>
  <c r="BS17" i="17"/>
  <c r="BS23" i="17"/>
  <c r="AR9" i="17"/>
  <c r="AR15" i="17"/>
  <c r="BS4" i="17"/>
  <c r="BS12" i="17"/>
  <c r="BS21" i="17"/>
  <c r="AR7" i="15"/>
  <c r="BS4" i="15"/>
  <c r="BS14" i="15"/>
  <c r="AR11" i="15"/>
  <c r="BS8" i="15"/>
  <c r="BS13" i="15"/>
  <c r="AR12" i="15"/>
  <c r="BS5" i="15"/>
  <c r="BS15" i="15"/>
  <c r="AP25" i="14"/>
  <c r="AP10" i="14"/>
  <c r="AS10" i="14" s="1"/>
  <c r="AP31" i="14"/>
  <c r="AS31" i="14" s="1"/>
  <c r="AP23" i="14"/>
  <c r="AS23" i="14" s="1"/>
  <c r="BW20" i="14"/>
  <c r="BT32" i="14"/>
  <c r="BW32" i="14" s="1"/>
  <c r="AP8" i="14"/>
  <c r="AS8" i="14" s="1"/>
  <c r="BT12" i="14"/>
  <c r="BW12" i="14" s="1"/>
  <c r="BT18" i="14"/>
  <c r="BW18" i="14" s="1"/>
  <c r="BT28" i="14"/>
  <c r="BW28" i="14" s="1"/>
  <c r="AS25" i="14"/>
  <c r="AP28" i="14"/>
  <c r="AS28" i="14" s="1"/>
  <c r="BW30" i="14"/>
  <c r="AP21" i="14"/>
  <c r="AS21" i="14" s="1"/>
  <c r="BT11" i="14"/>
  <c r="BW11" i="14" s="1"/>
  <c r="BT19" i="14"/>
  <c r="BW19" i="14" s="1"/>
  <c r="BT26" i="14"/>
  <c r="BW26" i="14" s="1"/>
  <c r="AP8" i="4"/>
  <c r="AS8" i="4" s="1"/>
  <c r="BT34" i="4"/>
  <c r="BW34" i="4" s="1"/>
  <c r="AP10" i="4"/>
  <c r="AS10" i="4" s="1"/>
  <c r="BT29" i="4"/>
  <c r="BW29" i="4" s="1"/>
  <c r="AX5" i="18"/>
  <c r="AX10" i="18"/>
  <c r="AX13" i="18"/>
  <c r="AX17" i="18"/>
  <c r="AX22" i="18"/>
  <c r="AX27" i="18"/>
  <c r="CA5" i="18"/>
  <c r="CA10" i="18"/>
  <c r="CA13" i="18"/>
  <c r="CA17" i="18"/>
  <c r="CA22" i="18"/>
  <c r="CA27" i="18"/>
  <c r="RE25" i="18"/>
  <c r="OZ28" i="18"/>
  <c r="KR28" i="18"/>
  <c r="GJ28" i="18"/>
  <c r="AX4" i="16"/>
  <c r="AX12" i="16"/>
  <c r="AX14" i="16"/>
  <c r="AX17" i="16"/>
  <c r="AX22" i="16"/>
  <c r="AX26" i="16"/>
  <c r="AX29" i="16"/>
  <c r="CA4" i="16"/>
  <c r="CA12" i="16"/>
  <c r="CA14" i="16"/>
  <c r="CA17" i="16"/>
  <c r="CA22" i="16"/>
  <c r="CA26" i="16"/>
  <c r="CA29" i="16"/>
  <c r="AX5" i="16"/>
  <c r="AX10" i="16"/>
  <c r="AX7" i="16"/>
  <c r="AX16" i="16"/>
  <c r="AX21" i="16"/>
  <c r="AX25" i="16"/>
  <c r="AX23" i="16"/>
  <c r="CA5" i="16"/>
  <c r="CA10" i="16"/>
  <c r="CA7" i="16"/>
  <c r="CA16" i="16"/>
  <c r="CA21" i="16"/>
  <c r="CA25" i="16"/>
  <c r="CA23" i="16"/>
  <c r="BS13" i="17"/>
  <c r="AR10" i="17"/>
  <c r="AR18" i="17"/>
  <c r="BS5" i="17"/>
  <c r="BS14" i="17"/>
  <c r="BS22" i="17"/>
  <c r="AR6" i="17"/>
  <c r="AR16" i="17"/>
  <c r="AR13" i="17"/>
  <c r="BS7" i="17"/>
  <c r="BS19" i="17"/>
  <c r="AR8" i="17"/>
  <c r="AR17" i="17"/>
  <c r="AR23" i="17"/>
  <c r="BS11" i="17"/>
  <c r="BS20" i="17"/>
  <c r="AR4" i="17"/>
  <c r="AR5" i="17"/>
  <c r="AR12" i="17"/>
  <c r="AR14" i="17"/>
  <c r="AR21" i="17"/>
  <c r="AR22" i="17"/>
  <c r="BS9" i="17"/>
  <c r="BS10" i="17"/>
  <c r="BS15" i="17"/>
  <c r="BS18" i="17"/>
  <c r="AR9" i="15"/>
  <c r="AR8" i="15"/>
  <c r="BS6" i="15"/>
  <c r="BS10" i="15"/>
  <c r="AR13" i="15"/>
  <c r="BS11" i="15"/>
  <c r="AR5" i="15"/>
  <c r="AR4" i="15"/>
  <c r="AR6" i="15"/>
  <c r="AR14" i="15"/>
  <c r="AR15" i="15"/>
  <c r="BS12" i="15"/>
  <c r="BS7" i="15"/>
  <c r="BS9" i="15"/>
  <c r="AP4" i="14"/>
  <c r="AS4" i="14" s="1"/>
  <c r="AP9" i="14"/>
  <c r="AS9" i="14" s="1"/>
  <c r="AP19" i="14"/>
  <c r="AS19" i="14" s="1"/>
  <c r="AP6" i="14"/>
  <c r="AS6" i="14" s="1"/>
  <c r="AP22" i="14"/>
  <c r="AS22" i="14" s="1"/>
  <c r="AP13" i="14"/>
  <c r="AS13" i="14" s="1"/>
  <c r="AP16" i="14"/>
  <c r="AS16" i="14" s="1"/>
  <c r="AP17" i="14"/>
  <c r="AS17" i="14" s="1"/>
  <c r="AP20" i="14"/>
  <c r="AS20" i="14" s="1"/>
  <c r="BT4" i="14"/>
  <c r="BW4" i="14" s="1"/>
  <c r="BT7" i="14"/>
  <c r="BW7" i="14" s="1"/>
  <c r="BT10" i="14"/>
  <c r="BW10" i="14" s="1"/>
  <c r="BT17" i="14"/>
  <c r="BT23" i="14"/>
  <c r="BW23" i="14" s="1"/>
  <c r="AP29" i="14"/>
  <c r="AS29" i="14" s="1"/>
  <c r="AP30" i="14"/>
  <c r="AS30" i="14" s="1"/>
  <c r="BT9" i="14"/>
  <c r="BW9" i="14" s="1"/>
  <c r="BT14" i="14"/>
  <c r="BW14" i="14" s="1"/>
  <c r="AP11" i="14"/>
  <c r="AS11" i="14" s="1"/>
  <c r="AP27" i="14"/>
  <c r="AS27" i="14" s="1"/>
  <c r="AP12" i="14"/>
  <c r="AS12" i="14" s="1"/>
  <c r="AP26" i="14"/>
  <c r="AS26" i="14" s="1"/>
  <c r="BT5" i="14"/>
  <c r="BW5" i="14" s="1"/>
  <c r="BT13" i="14"/>
  <c r="BW13" i="14" s="1"/>
  <c r="BW17" i="14"/>
  <c r="BT25" i="14"/>
  <c r="BW25" i="14" s="1"/>
  <c r="BT31" i="14"/>
  <c r="BW31" i="14" s="1"/>
  <c r="AP5" i="14"/>
  <c r="AS5" i="14" s="1"/>
  <c r="AP24" i="14"/>
  <c r="AS24" i="14" s="1"/>
  <c r="BT24" i="14"/>
  <c r="BW24" i="14" s="1"/>
  <c r="BT21" i="14"/>
  <c r="BW21" i="14" s="1"/>
  <c r="BT29" i="14"/>
  <c r="BW29" i="14" s="1"/>
  <c r="AP18" i="14"/>
  <c r="AS18" i="14" s="1"/>
  <c r="BT8" i="14"/>
  <c r="BW8" i="14" s="1"/>
  <c r="BT27" i="14"/>
  <c r="BW27" i="14" s="1"/>
  <c r="AP14" i="14"/>
  <c r="AS14" i="14" s="1"/>
  <c r="BT6" i="14"/>
  <c r="BW6" i="14" s="1"/>
  <c r="BT16" i="14"/>
  <c r="BW16" i="14" s="1"/>
  <c r="AP15" i="14"/>
  <c r="AS15" i="14" s="1"/>
  <c r="AP32" i="14"/>
  <c r="AS32" i="14" s="1"/>
  <c r="BT15" i="14"/>
  <c r="BW15" i="14" s="1"/>
  <c r="BT22" i="14"/>
  <c r="BW22" i="14" s="1"/>
  <c r="BT11" i="4"/>
  <c r="BW11" i="4" s="1"/>
  <c r="BW16" i="4"/>
  <c r="BT18" i="4"/>
  <c r="BW18" i="4" s="1"/>
  <c r="BT24" i="4"/>
  <c r="BW24" i="4" s="1"/>
  <c r="BW22" i="4"/>
  <c r="BT33" i="4"/>
  <c r="BW33" i="4" s="1"/>
  <c r="BW23" i="4"/>
  <c r="AP15" i="4"/>
  <c r="AS15" i="4" s="1"/>
  <c r="BT5" i="4"/>
  <c r="BW5" i="4" s="1"/>
  <c r="BT8" i="4"/>
  <c r="BW8" i="4" s="1"/>
  <c r="BT14" i="4"/>
  <c r="BW14" i="4" s="1"/>
  <c r="BT21" i="4"/>
  <c r="BW21" i="4" s="1"/>
  <c r="BT19" i="4"/>
  <c r="BW19" i="4" s="1"/>
  <c r="BW30" i="4"/>
  <c r="AP9" i="4"/>
  <c r="AS9" i="4" s="1"/>
  <c r="AP19" i="4"/>
  <c r="AS19" i="4" s="1"/>
  <c r="AP31" i="4"/>
  <c r="AS31" i="4" s="1"/>
  <c r="BT10" i="4"/>
  <c r="BW10" i="4" s="1"/>
  <c r="AS18" i="4"/>
  <c r="AP20" i="4"/>
  <c r="AS20" i="4" s="1"/>
  <c r="AP33" i="4"/>
  <c r="AS33" i="4" s="1"/>
  <c r="AP26" i="4"/>
  <c r="AS26" i="4" s="1"/>
  <c r="AP29" i="4"/>
  <c r="AS29" i="4" s="1"/>
  <c r="AP36" i="4"/>
  <c r="AS36" i="4" s="1"/>
  <c r="AS6" i="4"/>
  <c r="AP12" i="4"/>
  <c r="AS12" i="4" s="1"/>
  <c r="BT35" i="4"/>
  <c r="BW35" i="4" s="1"/>
  <c r="BT25" i="4"/>
  <c r="BW25" i="4" s="1"/>
  <c r="BW28" i="4"/>
  <c r="AP7" i="4"/>
  <c r="AS7" i="4" s="1"/>
  <c r="AP32" i="4"/>
  <c r="AS32" i="4" s="1"/>
  <c r="BT4" i="4"/>
  <c r="BW4" i="4" s="1"/>
  <c r="BT9" i="4"/>
  <c r="BW9" i="4" s="1"/>
  <c r="BT15" i="4"/>
  <c r="BW15" i="4" s="1"/>
  <c r="AP5" i="4"/>
  <c r="AS5" i="4" s="1"/>
  <c r="AP17" i="4"/>
  <c r="AS17" i="4" s="1"/>
  <c r="AP27" i="4"/>
  <c r="AS27" i="4" s="1"/>
  <c r="BT13" i="4"/>
  <c r="BW13" i="4" s="1"/>
  <c r="BT31" i="4"/>
  <c r="BW31" i="4" s="1"/>
  <c r="AP11" i="4"/>
  <c r="AS11" i="4" s="1"/>
  <c r="AP16" i="4"/>
  <c r="AS16" i="4" s="1"/>
  <c r="AP23" i="4"/>
  <c r="AS23" i="4" s="1"/>
  <c r="AP34" i="4"/>
  <c r="AS34" i="4" s="1"/>
  <c r="BT12" i="4"/>
  <c r="BW12" i="4" s="1"/>
  <c r="BT20" i="4"/>
  <c r="BW20" i="4" s="1"/>
  <c r="AP4" i="4"/>
  <c r="AS4" i="4" s="1"/>
  <c r="AP14" i="4"/>
  <c r="AS14" i="4" s="1"/>
  <c r="AP24" i="4"/>
  <c r="AS24" i="4" s="1"/>
  <c r="AP22" i="4"/>
  <c r="AS22" i="4" s="1"/>
  <c r="AP30" i="4"/>
  <c r="AS30" i="4" s="1"/>
  <c r="BT6" i="4"/>
  <c r="BW6" i="4" s="1"/>
  <c r="BT32" i="4"/>
  <c r="BW32" i="4" s="1"/>
  <c r="BT26" i="4"/>
  <c r="BW26" i="4" s="1"/>
  <c r="AP13" i="4"/>
  <c r="AS13" i="4" s="1"/>
  <c r="AP35" i="4"/>
  <c r="AS35" i="4" s="1"/>
  <c r="AP21" i="4"/>
  <c r="AS21" i="4" s="1"/>
  <c r="AP25" i="4"/>
  <c r="AS25" i="4" s="1"/>
  <c r="AP28" i="4"/>
  <c r="AS28" i="4" s="1"/>
  <c r="BT7" i="4"/>
  <c r="BW7" i="4" s="1"/>
  <c r="BT17" i="4"/>
  <c r="BW17" i="4" s="1"/>
  <c r="BT27" i="4"/>
  <c r="BW27" i="4" s="1"/>
  <c r="BT36" i="4"/>
  <c r="BW36" i="4" s="1"/>
  <c r="DE25" i="18"/>
  <c r="H25" i="18"/>
  <c r="DF25" i="18"/>
  <c r="S25" i="18" s="1"/>
  <c r="P25" i="18"/>
  <c r="A25" i="18"/>
  <c r="NX18" i="18"/>
  <c r="FH18" i="18"/>
  <c r="AX4" i="18"/>
  <c r="AX8" i="18"/>
  <c r="AX12" i="18"/>
  <c r="AX16" i="18"/>
  <c r="AX21" i="18"/>
  <c r="AX26" i="18"/>
  <c r="CA4" i="18"/>
  <c r="CA8" i="18"/>
  <c r="CA12" i="18"/>
  <c r="CA16" i="18"/>
  <c r="CA21" i="18"/>
  <c r="CA26" i="18"/>
  <c r="JP18" i="18"/>
  <c r="RF28" i="18"/>
  <c r="IQ28" i="18"/>
  <c r="EI28" i="18"/>
  <c r="AX7" i="18"/>
  <c r="AX11" i="18"/>
  <c r="AX15" i="18"/>
  <c r="AX20" i="18"/>
  <c r="AX24" i="18"/>
  <c r="AX28" i="18"/>
  <c r="CA7" i="18"/>
  <c r="CA11" i="18"/>
  <c r="CA15" i="18"/>
  <c r="CA20" i="18"/>
  <c r="CA24" i="18"/>
  <c r="CA28" i="18"/>
  <c r="BX4" i="18"/>
  <c r="BX5" i="18"/>
  <c r="BX6" i="18"/>
  <c r="BX7" i="18"/>
  <c r="BX8" i="18"/>
  <c r="BX10" i="18"/>
  <c r="BX9" i="18"/>
  <c r="BX11" i="18"/>
  <c r="BX12" i="18"/>
  <c r="BX13" i="18"/>
  <c r="BX14" i="18"/>
  <c r="BX15" i="18"/>
  <c r="BX16" i="18"/>
  <c r="BX17" i="18"/>
  <c r="BX19" i="18"/>
  <c r="BX20" i="18"/>
  <c r="BX21" i="18"/>
  <c r="BX22" i="18"/>
  <c r="BX23" i="18"/>
  <c r="BX24" i="18"/>
  <c r="BX26" i="18"/>
  <c r="BX27" i="18"/>
  <c r="BX18" i="18"/>
  <c r="BX28" i="18"/>
  <c r="AU4" i="18"/>
  <c r="AU5" i="18"/>
  <c r="AU6" i="18"/>
  <c r="AU7" i="18"/>
  <c r="AU8" i="18"/>
  <c r="AU10" i="18"/>
  <c r="AU9" i="18"/>
  <c r="AU11" i="18"/>
  <c r="AU12" i="18"/>
  <c r="AU13" i="18"/>
  <c r="AU14" i="18"/>
  <c r="AU15" i="18"/>
  <c r="AU16" i="18"/>
  <c r="AU17" i="18"/>
  <c r="AU19" i="18"/>
  <c r="AU20" i="18"/>
  <c r="AU21" i="18"/>
  <c r="AU22" i="18"/>
  <c r="AU23" i="18"/>
  <c r="AU24" i="18"/>
  <c r="AU26" i="18"/>
  <c r="AU27" i="18"/>
  <c r="AU18" i="18"/>
  <c r="AU28" i="18"/>
  <c r="BX5" i="16"/>
  <c r="BX4" i="16"/>
  <c r="BX9" i="16"/>
  <c r="BX6" i="16"/>
  <c r="BX10" i="16"/>
  <c r="BX12" i="16"/>
  <c r="BX11" i="16"/>
  <c r="BX13" i="16"/>
  <c r="BX7" i="16"/>
  <c r="BX14" i="16"/>
  <c r="BX8" i="16"/>
  <c r="BX15" i="16"/>
  <c r="BX16" i="16"/>
  <c r="BX17" i="16"/>
  <c r="BX18" i="16"/>
  <c r="BX19" i="16"/>
  <c r="BX21" i="16"/>
  <c r="BX22" i="16"/>
  <c r="BX20" i="16"/>
  <c r="BX24" i="16"/>
  <c r="BX25" i="16"/>
  <c r="BX26" i="16"/>
  <c r="BX27" i="16"/>
  <c r="BX28" i="16"/>
  <c r="BX23" i="16"/>
  <c r="BX29" i="16"/>
  <c r="BX30" i="16"/>
  <c r="BX31" i="16"/>
  <c r="AU5" i="16"/>
  <c r="AU4" i="16"/>
  <c r="AU9" i="16"/>
  <c r="AU6" i="16"/>
  <c r="AU10" i="16"/>
  <c r="AU12" i="16"/>
  <c r="AU11" i="16"/>
  <c r="AU13" i="16"/>
  <c r="AU7" i="16"/>
  <c r="AU14" i="16"/>
  <c r="AU8" i="16"/>
  <c r="AU15" i="16"/>
  <c r="AU16" i="16"/>
  <c r="AU17" i="16"/>
  <c r="AU18" i="16"/>
  <c r="AU19" i="16"/>
  <c r="AU21" i="16"/>
  <c r="AU22" i="16"/>
  <c r="AU20" i="16"/>
  <c r="AU24" i="16"/>
  <c r="AU25" i="16"/>
  <c r="AU26" i="16"/>
  <c r="AU27" i="16"/>
  <c r="AU28" i="16"/>
  <c r="AU23" i="16"/>
  <c r="AU29" i="16"/>
  <c r="AU30" i="16"/>
  <c r="AU31" i="16"/>
  <c r="HL28" i="18"/>
  <c r="GJ18" i="18"/>
  <c r="QB28" i="18"/>
  <c r="LT18" i="18"/>
  <c r="HL18" i="18"/>
  <c r="MV28" i="18"/>
  <c r="OZ18" i="18"/>
  <c r="KR18" i="18"/>
  <c r="LT28" i="18"/>
  <c r="QB18" i="18"/>
  <c r="EF28" i="18"/>
  <c r="NX24" i="18"/>
  <c r="JP24" i="18"/>
  <c r="FH24" i="18"/>
  <c r="OZ26" i="18"/>
  <c r="KR26" i="18"/>
  <c r="GJ26" i="18"/>
  <c r="QB27" i="18"/>
  <c r="MV18" i="18"/>
  <c r="NX28" i="18"/>
  <c r="JP28" i="18"/>
  <c r="FH28" i="18"/>
  <c r="IN23" i="18"/>
  <c r="RF18" i="18"/>
  <c r="IQ18" i="18"/>
  <c r="JS28" i="18"/>
  <c r="FK28" i="18"/>
  <c r="DD28" i="18"/>
  <c r="Q28" i="18"/>
  <c r="R28" i="18" s="1"/>
  <c r="EI27" i="18"/>
  <c r="JS18" i="18"/>
  <c r="FK18" i="18"/>
  <c r="EI26" i="18"/>
  <c r="FK27" i="18"/>
  <c r="RF27" i="18"/>
  <c r="DD18" i="18"/>
  <c r="RF26" i="18"/>
  <c r="DD27" i="18"/>
  <c r="IN28" i="18"/>
  <c r="HO28" i="18"/>
  <c r="GM28" i="18"/>
  <c r="RG28" i="18"/>
  <c r="RC28" i="18"/>
  <c r="RA28" i="18"/>
  <c r="M28" i="18"/>
  <c r="N28" i="18" s="1"/>
  <c r="RB28" i="18"/>
  <c r="K28" i="18"/>
  <c r="L28" i="18" s="1"/>
  <c r="F28" i="18"/>
  <c r="DA28" i="18"/>
  <c r="I28" i="18"/>
  <c r="RD28" i="18"/>
  <c r="QE28" i="18"/>
  <c r="PC28" i="18"/>
  <c r="OA28" i="18"/>
  <c r="MY28" i="18"/>
  <c r="LW28" i="18"/>
  <c r="KU28" i="18"/>
  <c r="O28" i="18"/>
  <c r="G28" i="18"/>
  <c r="HL23" i="18"/>
  <c r="MV24" i="18"/>
  <c r="IN24" i="18"/>
  <c r="EF24" i="18"/>
  <c r="OZ27" i="18"/>
  <c r="KR27" i="18"/>
  <c r="GJ27" i="18"/>
  <c r="RG18" i="18"/>
  <c r="Q18" i="18"/>
  <c r="R18" i="18" s="1"/>
  <c r="LT27" i="18"/>
  <c r="HL27" i="18"/>
  <c r="RC18" i="18"/>
  <c r="RA18" i="18"/>
  <c r="MV27" i="18"/>
  <c r="IN27" i="18"/>
  <c r="EF27" i="18"/>
  <c r="OZ23" i="18"/>
  <c r="KR23" i="18"/>
  <c r="GJ23" i="18"/>
  <c r="NX27" i="18"/>
  <c r="JP27" i="18"/>
  <c r="FH27" i="18"/>
  <c r="IN18" i="18"/>
  <c r="HO18" i="18"/>
  <c r="GM18" i="18"/>
  <c r="EF18" i="18"/>
  <c r="EI18" i="18"/>
  <c r="RB18" i="18"/>
  <c r="M18" i="18"/>
  <c r="N18" i="18" s="1"/>
  <c r="F18" i="18"/>
  <c r="K18" i="18"/>
  <c r="L18" i="18" s="1"/>
  <c r="DA18" i="18"/>
  <c r="I18" i="18"/>
  <c r="RD18" i="18"/>
  <c r="QE18" i="18"/>
  <c r="PC18" i="18"/>
  <c r="OA18" i="18"/>
  <c r="MY18" i="18"/>
  <c r="LW18" i="18"/>
  <c r="KU18" i="18"/>
  <c r="O18" i="18"/>
  <c r="G18" i="18"/>
  <c r="Q27" i="18"/>
  <c r="R27" i="18" s="1"/>
  <c r="FK26" i="18"/>
  <c r="DD26" i="18"/>
  <c r="GM27" i="18"/>
  <c r="RG27" i="18"/>
  <c r="M27" i="18"/>
  <c r="N27" i="18" s="1"/>
  <c r="RC27" i="18"/>
  <c r="RB27" i="18"/>
  <c r="RA27" i="18"/>
  <c r="F27" i="18"/>
  <c r="K27" i="18"/>
  <c r="L27" i="18" s="1"/>
  <c r="DA27" i="18"/>
  <c r="I27" i="18"/>
  <c r="RD27" i="18"/>
  <c r="QE27" i="18"/>
  <c r="PC27" i="18"/>
  <c r="OA27" i="18"/>
  <c r="MY27" i="18"/>
  <c r="LW27" i="18"/>
  <c r="KU27" i="18"/>
  <c r="JS27" i="18"/>
  <c r="IQ27" i="18"/>
  <c r="HO27" i="18"/>
  <c r="O27" i="18"/>
  <c r="G27" i="18"/>
  <c r="NX23" i="18"/>
  <c r="JP23" i="18"/>
  <c r="FH23" i="18"/>
  <c r="OZ24" i="18"/>
  <c r="KR24" i="18"/>
  <c r="GJ24" i="18"/>
  <c r="LT26" i="18"/>
  <c r="HL26" i="18"/>
  <c r="RF23" i="18"/>
  <c r="IQ23" i="18"/>
  <c r="EI23" i="18"/>
  <c r="QB24" i="18"/>
  <c r="HL24" i="18"/>
  <c r="DD24" i="18"/>
  <c r="MV26" i="18"/>
  <c r="IN26" i="18"/>
  <c r="EF26" i="18"/>
  <c r="JP26" i="18"/>
  <c r="FH26" i="18"/>
  <c r="QB26" i="18"/>
  <c r="NX26" i="18"/>
  <c r="HO26" i="18"/>
  <c r="GM26" i="18"/>
  <c r="RG26" i="18"/>
  <c r="M26" i="18"/>
  <c r="N26" i="18" s="1"/>
  <c r="Q26" i="18"/>
  <c r="R26" i="18" s="1"/>
  <c r="RC26" i="18"/>
  <c r="RB26" i="18"/>
  <c r="RA26" i="18"/>
  <c r="F26" i="18"/>
  <c r="K26" i="18"/>
  <c r="L26" i="18" s="1"/>
  <c r="DA26" i="18"/>
  <c r="I26" i="18"/>
  <c r="RD26" i="18"/>
  <c r="QE26" i="18"/>
  <c r="PC26" i="18"/>
  <c r="OA26" i="18"/>
  <c r="MY26" i="18"/>
  <c r="LW26" i="18"/>
  <c r="KU26" i="18"/>
  <c r="JS26" i="18"/>
  <c r="IQ26" i="18"/>
  <c r="O26" i="18"/>
  <c r="G26" i="18"/>
  <c r="JS23" i="18"/>
  <c r="FK23" i="18"/>
  <c r="DD23" i="18"/>
  <c r="RA24" i="18"/>
  <c r="LT24" i="18"/>
  <c r="RG24" i="18"/>
  <c r="M24" i="18"/>
  <c r="N24" i="18" s="1"/>
  <c r="RF24" i="18"/>
  <c r="DA24" i="18"/>
  <c r="RC24" i="18"/>
  <c r="RB24" i="18"/>
  <c r="Q24" i="18"/>
  <c r="DG24" i="18" s="1"/>
  <c r="F24" i="18"/>
  <c r="K24" i="18"/>
  <c r="L24" i="18" s="1"/>
  <c r="I24" i="18"/>
  <c r="J24" i="18" s="1"/>
  <c r="RD24" i="18"/>
  <c r="QE24" i="18"/>
  <c r="PC24" i="18"/>
  <c r="OA24" i="18"/>
  <c r="MY24" i="18"/>
  <c r="LW24" i="18"/>
  <c r="KU24" i="18"/>
  <c r="JS24" i="18"/>
  <c r="IQ24" i="18"/>
  <c r="HO24" i="18"/>
  <c r="GM24" i="18"/>
  <c r="FK24" i="18"/>
  <c r="EI24" i="18"/>
  <c r="O24" i="18"/>
  <c r="G24" i="18"/>
  <c r="QB23" i="18"/>
  <c r="MV23" i="18"/>
  <c r="LT23" i="18"/>
  <c r="LW23" i="18"/>
  <c r="KU23" i="18"/>
  <c r="HO23" i="18"/>
  <c r="GM23" i="18"/>
  <c r="EF23" i="18"/>
  <c r="RG23" i="18"/>
  <c r="M23" i="18"/>
  <c r="N23" i="18" s="1"/>
  <c r="Q23" i="18"/>
  <c r="DG23" i="18" s="1"/>
  <c r="RC23" i="18"/>
  <c r="RB23" i="18"/>
  <c r="RA23" i="18"/>
  <c r="F23" i="18"/>
  <c r="K23" i="18"/>
  <c r="L23" i="18" s="1"/>
  <c r="DA23" i="18"/>
  <c r="I23" i="18"/>
  <c r="RD23" i="18"/>
  <c r="QE23" i="18"/>
  <c r="PC23" i="18"/>
  <c r="OA23" i="18"/>
  <c r="MY23" i="18"/>
  <c r="O23" i="18"/>
  <c r="G23" i="18"/>
  <c r="E25" i="18" l="1"/>
  <c r="T25" i="18"/>
  <c r="U25" i="18"/>
  <c r="DG18" i="18"/>
  <c r="DE26" i="18"/>
  <c r="RE28" i="18"/>
  <c r="DG28" i="18"/>
  <c r="RH18" i="18"/>
  <c r="RH28" i="18"/>
  <c r="DG26" i="18"/>
  <c r="DG27" i="18"/>
  <c r="RE18" i="18"/>
  <c r="DE28" i="18"/>
  <c r="H28" i="18"/>
  <c r="DF28" i="18"/>
  <c r="P28" i="18"/>
  <c r="J28" i="18"/>
  <c r="A28" i="18"/>
  <c r="H18" i="18"/>
  <c r="DE18" i="18"/>
  <c r="DF18" i="18"/>
  <c r="P18" i="18"/>
  <c r="J18" i="18"/>
  <c r="A18" i="18"/>
  <c r="RH26" i="18"/>
  <c r="RH27" i="18"/>
  <c r="RE27" i="18"/>
  <c r="A27" i="18"/>
  <c r="DE27" i="18"/>
  <c r="J27" i="18"/>
  <c r="H27" i="18"/>
  <c r="DF27" i="18"/>
  <c r="P27" i="18"/>
  <c r="RE24" i="18"/>
  <c r="RH23" i="18"/>
  <c r="RE26" i="18"/>
  <c r="A26" i="18"/>
  <c r="J26" i="18"/>
  <c r="H26" i="18"/>
  <c r="DF26" i="18"/>
  <c r="P26" i="18"/>
  <c r="RH24" i="18"/>
  <c r="R23" i="18"/>
  <c r="R24" i="18"/>
  <c r="DE24" i="18"/>
  <c r="H24" i="18"/>
  <c r="DF24" i="18"/>
  <c r="P24" i="18"/>
  <c r="A24" i="18"/>
  <c r="RE23" i="18"/>
  <c r="H23" i="18"/>
  <c r="DE23" i="18"/>
  <c r="A23" i="18"/>
  <c r="J23" i="18"/>
  <c r="DF23" i="18"/>
  <c r="P23" i="18"/>
  <c r="S18" i="18" l="1"/>
  <c r="U18" i="18" s="1"/>
  <c r="S26" i="18"/>
  <c r="T26" i="18" s="1"/>
  <c r="S28" i="18"/>
  <c r="S24" i="18"/>
  <c r="T24" i="18" s="1"/>
  <c r="E28" i="18"/>
  <c r="T28" i="18"/>
  <c r="U28" i="18"/>
  <c r="S27" i="18"/>
  <c r="T27" i="18" s="1"/>
  <c r="S23" i="18"/>
  <c r="T23" i="18" s="1"/>
  <c r="E24" i="18" l="1"/>
  <c r="T18" i="18"/>
  <c r="E18" i="18"/>
  <c r="U24" i="18"/>
  <c r="U26" i="18"/>
  <c r="E26" i="18"/>
  <c r="E27" i="18"/>
  <c r="U27" i="18"/>
  <c r="E23" i="18"/>
  <c r="U23" i="18"/>
  <c r="CW31" i="16" l="1"/>
  <c r="CX31" i="16"/>
  <c r="CY31" i="16"/>
  <c r="CZ31" i="16"/>
  <c r="DB31" i="16"/>
  <c r="DC31" i="16"/>
  <c r="EB31" i="16"/>
  <c r="EC31" i="16"/>
  <c r="ED31" i="16"/>
  <c r="EE31" i="16"/>
  <c r="EG31" i="16"/>
  <c r="EH31" i="16"/>
  <c r="FD31" i="16"/>
  <c r="FE31" i="16"/>
  <c r="FF31" i="16"/>
  <c r="FG31" i="16"/>
  <c r="FI31" i="16"/>
  <c r="FJ31" i="16"/>
  <c r="GF31" i="16"/>
  <c r="GG31" i="16"/>
  <c r="GH31" i="16"/>
  <c r="GI31" i="16"/>
  <c r="GK31" i="16"/>
  <c r="GL31" i="16"/>
  <c r="HH31" i="16"/>
  <c r="HI31" i="16"/>
  <c r="HJ31" i="16"/>
  <c r="HK31" i="16"/>
  <c r="HM31" i="16"/>
  <c r="HN31" i="16"/>
  <c r="IJ31" i="16"/>
  <c r="IK31" i="16"/>
  <c r="IL31" i="16"/>
  <c r="IM31" i="16"/>
  <c r="IO31" i="16"/>
  <c r="IP31" i="16"/>
  <c r="JL31" i="16"/>
  <c r="JM31" i="16"/>
  <c r="JN31" i="16"/>
  <c r="JO31" i="16"/>
  <c r="JQ31" i="16"/>
  <c r="JR31" i="16"/>
  <c r="KN31" i="16"/>
  <c r="KO31" i="16"/>
  <c r="KP31" i="16"/>
  <c r="KQ31" i="16"/>
  <c r="KS31" i="16"/>
  <c r="KT31" i="16"/>
  <c r="LP31" i="16"/>
  <c r="LQ31" i="16"/>
  <c r="LR31" i="16"/>
  <c r="LS31" i="16"/>
  <c r="LU31" i="16"/>
  <c r="LV31" i="16"/>
  <c r="MR31" i="16"/>
  <c r="MS31" i="16"/>
  <c r="MT31" i="16"/>
  <c r="MU31" i="16"/>
  <c r="MW31" i="16"/>
  <c r="MX31" i="16"/>
  <c r="NT31" i="16"/>
  <c r="NU31" i="16"/>
  <c r="NV31" i="16"/>
  <c r="NW31" i="16"/>
  <c r="NY31" i="16"/>
  <c r="NZ31" i="16"/>
  <c r="OV31" i="16"/>
  <c r="OW31" i="16"/>
  <c r="OX31" i="16"/>
  <c r="OY31" i="16"/>
  <c r="PA31" i="16"/>
  <c r="PB31" i="16"/>
  <c r="PX31" i="16"/>
  <c r="PY31" i="16"/>
  <c r="PZ31" i="16"/>
  <c r="QA31" i="16"/>
  <c r="QC31" i="16"/>
  <c r="QD31" i="16"/>
  <c r="QF31" i="16"/>
  <c r="QG31" i="16"/>
  <c r="QH31" i="16"/>
  <c r="QI31" i="16"/>
  <c r="QJ31" i="16"/>
  <c r="QK31" i="16"/>
  <c r="QL31" i="16"/>
  <c r="QM31" i="16"/>
  <c r="QN31" i="16"/>
  <c r="QO31" i="16"/>
  <c r="QP31" i="16"/>
  <c r="QQ31" i="16"/>
  <c r="QR31" i="16"/>
  <c r="QS31" i="16"/>
  <c r="QT31" i="16"/>
  <c r="QU31" i="16"/>
  <c r="QV31" i="16"/>
  <c r="QW31" i="16"/>
  <c r="QX31" i="16"/>
  <c r="QY31" i="16"/>
  <c r="CW30" i="16"/>
  <c r="CX30" i="16"/>
  <c r="CY30" i="16"/>
  <c r="CZ30" i="16"/>
  <c r="DB30" i="16"/>
  <c r="DC30" i="16"/>
  <c r="EB30" i="16"/>
  <c r="EC30" i="16"/>
  <c r="ED30" i="16"/>
  <c r="EE30" i="16"/>
  <c r="EG30" i="16"/>
  <c r="EH30" i="16"/>
  <c r="EI30" i="16" s="1"/>
  <c r="FD30" i="16"/>
  <c r="FE30" i="16"/>
  <c r="FH30" i="16" s="1"/>
  <c r="FF30" i="16"/>
  <c r="FG30" i="16"/>
  <c r="FI30" i="16"/>
  <c r="FJ30" i="16"/>
  <c r="GF30" i="16"/>
  <c r="GG30" i="16"/>
  <c r="GH30" i="16"/>
  <c r="GI30" i="16"/>
  <c r="GK30" i="16"/>
  <c r="GL30" i="16"/>
  <c r="HH30" i="16"/>
  <c r="HI30" i="16"/>
  <c r="HJ30" i="16"/>
  <c r="HK30" i="16"/>
  <c r="HM30" i="16"/>
  <c r="HN30" i="16"/>
  <c r="IJ30" i="16"/>
  <c r="IK30" i="16"/>
  <c r="IL30" i="16"/>
  <c r="IM30" i="16"/>
  <c r="IO30" i="16"/>
  <c r="IP30" i="16"/>
  <c r="IQ30" i="16" s="1"/>
  <c r="JL30" i="16"/>
  <c r="JM30" i="16"/>
  <c r="JN30" i="16"/>
  <c r="JO30" i="16"/>
  <c r="JQ30" i="16"/>
  <c r="JR30" i="16"/>
  <c r="KN30" i="16"/>
  <c r="KO30" i="16"/>
  <c r="KP30" i="16"/>
  <c r="KQ30" i="16"/>
  <c r="KS30" i="16"/>
  <c r="KT30" i="16"/>
  <c r="LP30" i="16"/>
  <c r="LQ30" i="16"/>
  <c r="LR30" i="16"/>
  <c r="LS30" i="16"/>
  <c r="LU30" i="16"/>
  <c r="LV30" i="16"/>
  <c r="MR30" i="16"/>
  <c r="MS30" i="16"/>
  <c r="MT30" i="16"/>
  <c r="MU30" i="16"/>
  <c r="MW30" i="16"/>
  <c r="MX30" i="16"/>
  <c r="NT30" i="16"/>
  <c r="NU30" i="16"/>
  <c r="NV30" i="16"/>
  <c r="NW30" i="16"/>
  <c r="NY30" i="16"/>
  <c r="NZ30" i="16"/>
  <c r="OV30" i="16"/>
  <c r="OW30" i="16"/>
  <c r="OX30" i="16"/>
  <c r="OY30" i="16"/>
  <c r="PA30" i="16"/>
  <c r="PB30" i="16"/>
  <c r="PX30" i="16"/>
  <c r="PY30" i="16"/>
  <c r="PZ30" i="16"/>
  <c r="QA30" i="16"/>
  <c r="QC30" i="16"/>
  <c r="QD30" i="16"/>
  <c r="QF30" i="16"/>
  <c r="QG30" i="16"/>
  <c r="QH30" i="16"/>
  <c r="QI30" i="16"/>
  <c r="QJ30" i="16"/>
  <c r="QK30" i="16"/>
  <c r="QL30" i="16"/>
  <c r="QM30" i="16"/>
  <c r="QN30" i="16"/>
  <c r="QO30" i="16"/>
  <c r="QP30" i="16"/>
  <c r="QQ30" i="16"/>
  <c r="QR30" i="16"/>
  <c r="QS30" i="16"/>
  <c r="RF30" i="16" s="1"/>
  <c r="QT30" i="16"/>
  <c r="QU30" i="16"/>
  <c r="QV30" i="16"/>
  <c r="QW30" i="16"/>
  <c r="QX30" i="16"/>
  <c r="QY30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CW27" i="16"/>
  <c r="CX27" i="16"/>
  <c r="CY27" i="16"/>
  <c r="CZ27" i="16"/>
  <c r="DB27" i="16"/>
  <c r="DC27" i="16"/>
  <c r="EB27" i="16"/>
  <c r="EC27" i="16"/>
  <c r="ED27" i="16"/>
  <c r="EE27" i="16"/>
  <c r="EG27" i="16"/>
  <c r="EH27" i="16"/>
  <c r="FD27" i="16"/>
  <c r="FE27" i="16"/>
  <c r="FF27" i="16"/>
  <c r="FG27" i="16"/>
  <c r="FI27" i="16"/>
  <c r="FJ27" i="16"/>
  <c r="GF27" i="16"/>
  <c r="GG27" i="16"/>
  <c r="GH27" i="16"/>
  <c r="GI27" i="16"/>
  <c r="GK27" i="16"/>
  <c r="GL27" i="16"/>
  <c r="HH27" i="16"/>
  <c r="HI27" i="16"/>
  <c r="HJ27" i="16"/>
  <c r="HK27" i="16"/>
  <c r="HM27" i="16"/>
  <c r="HN27" i="16"/>
  <c r="IJ27" i="16"/>
  <c r="IK27" i="16"/>
  <c r="IL27" i="16"/>
  <c r="IM27" i="16"/>
  <c r="IO27" i="16"/>
  <c r="IP27" i="16"/>
  <c r="JL27" i="16"/>
  <c r="JM27" i="16"/>
  <c r="JN27" i="16"/>
  <c r="JO27" i="16"/>
  <c r="JQ27" i="16"/>
  <c r="JR27" i="16"/>
  <c r="KN27" i="16"/>
  <c r="KO27" i="16"/>
  <c r="KP27" i="16"/>
  <c r="KQ27" i="16"/>
  <c r="KS27" i="16"/>
  <c r="KT27" i="16"/>
  <c r="LP27" i="16"/>
  <c r="LQ27" i="16"/>
  <c r="LR27" i="16"/>
  <c r="LS27" i="16"/>
  <c r="LU27" i="16"/>
  <c r="LV27" i="16"/>
  <c r="MR27" i="16"/>
  <c r="MS27" i="16"/>
  <c r="MT27" i="16"/>
  <c r="MU27" i="16"/>
  <c r="MW27" i="16"/>
  <c r="MX27" i="16"/>
  <c r="NT27" i="16"/>
  <c r="NU27" i="16"/>
  <c r="NV27" i="16"/>
  <c r="NW27" i="16"/>
  <c r="NY27" i="16"/>
  <c r="NZ27" i="16"/>
  <c r="OV27" i="16"/>
  <c r="OW27" i="16"/>
  <c r="OX27" i="16"/>
  <c r="OY27" i="16"/>
  <c r="PA27" i="16"/>
  <c r="PB27" i="16"/>
  <c r="PX27" i="16"/>
  <c r="PY27" i="16"/>
  <c r="PZ27" i="16"/>
  <c r="QA27" i="16"/>
  <c r="QC27" i="16"/>
  <c r="QD27" i="16"/>
  <c r="QF27" i="16"/>
  <c r="QG27" i="16"/>
  <c r="QH27" i="16"/>
  <c r="QI27" i="16"/>
  <c r="QJ27" i="16"/>
  <c r="QK27" i="16"/>
  <c r="QL27" i="16"/>
  <c r="QM27" i="16"/>
  <c r="QN27" i="16"/>
  <c r="QO27" i="16"/>
  <c r="QP27" i="16"/>
  <c r="QQ27" i="16"/>
  <c r="QR27" i="16"/>
  <c r="QS27" i="16"/>
  <c r="QT27" i="16"/>
  <c r="QU27" i="16"/>
  <c r="QV27" i="16"/>
  <c r="QW27" i="16"/>
  <c r="QX27" i="16"/>
  <c r="QY27" i="16"/>
  <c r="CW8" i="16"/>
  <c r="CX8" i="16"/>
  <c r="CY8" i="16"/>
  <c r="CZ8" i="16"/>
  <c r="DB8" i="16"/>
  <c r="DC8" i="16"/>
  <c r="EB8" i="16"/>
  <c r="EC8" i="16"/>
  <c r="ED8" i="16"/>
  <c r="EE8" i="16"/>
  <c r="EG8" i="16"/>
  <c r="EH8" i="16"/>
  <c r="FD8" i="16"/>
  <c r="FE8" i="16"/>
  <c r="FF8" i="16"/>
  <c r="FG8" i="16"/>
  <c r="FI8" i="16"/>
  <c r="FJ8" i="16"/>
  <c r="GF8" i="16"/>
  <c r="GG8" i="16"/>
  <c r="GH8" i="16"/>
  <c r="GI8" i="16"/>
  <c r="GK8" i="16"/>
  <c r="GL8" i="16"/>
  <c r="HH8" i="16"/>
  <c r="HI8" i="16"/>
  <c r="HJ8" i="16"/>
  <c r="HK8" i="16"/>
  <c r="HM8" i="16"/>
  <c r="HN8" i="16"/>
  <c r="IJ8" i="16"/>
  <c r="IK8" i="16"/>
  <c r="IL8" i="16"/>
  <c r="IM8" i="16"/>
  <c r="IO8" i="16"/>
  <c r="IP8" i="16"/>
  <c r="JL8" i="16"/>
  <c r="JM8" i="16"/>
  <c r="JN8" i="16"/>
  <c r="JO8" i="16"/>
  <c r="JQ8" i="16"/>
  <c r="JR8" i="16"/>
  <c r="KN8" i="16"/>
  <c r="KO8" i="16"/>
  <c r="KP8" i="16"/>
  <c r="KQ8" i="16"/>
  <c r="KS8" i="16"/>
  <c r="KT8" i="16"/>
  <c r="LP8" i="16"/>
  <c r="LQ8" i="16"/>
  <c r="LR8" i="16"/>
  <c r="LS8" i="16"/>
  <c r="LU8" i="16"/>
  <c r="LV8" i="16"/>
  <c r="MR8" i="16"/>
  <c r="MS8" i="16"/>
  <c r="MT8" i="16"/>
  <c r="MU8" i="16"/>
  <c r="MW8" i="16"/>
  <c r="MX8" i="16"/>
  <c r="NT8" i="16"/>
  <c r="NU8" i="16"/>
  <c r="NV8" i="16"/>
  <c r="NW8" i="16"/>
  <c r="NY8" i="16"/>
  <c r="NZ8" i="16"/>
  <c r="OV8" i="16"/>
  <c r="OW8" i="16"/>
  <c r="OX8" i="16"/>
  <c r="OY8" i="16"/>
  <c r="PA8" i="16"/>
  <c r="PB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OZ31" i="16" l="1"/>
  <c r="KR31" i="16"/>
  <c r="IQ31" i="16"/>
  <c r="EI31" i="16"/>
  <c r="GJ31" i="16"/>
  <c r="JS31" i="16"/>
  <c r="FK31" i="16"/>
  <c r="RF31" i="16"/>
  <c r="OZ30" i="16"/>
  <c r="KR30" i="16"/>
  <c r="GJ27" i="16"/>
  <c r="DD31" i="16"/>
  <c r="JP31" i="16"/>
  <c r="GJ30" i="16"/>
  <c r="QB31" i="16"/>
  <c r="OZ23" i="16"/>
  <c r="KR23" i="16"/>
  <c r="GJ23" i="16"/>
  <c r="LT30" i="16"/>
  <c r="HL30" i="16"/>
  <c r="IN31" i="16"/>
  <c r="IQ23" i="16"/>
  <c r="FK30" i="16"/>
  <c r="RF23" i="16"/>
  <c r="DD30" i="16"/>
  <c r="NX31" i="16"/>
  <c r="MV31" i="16"/>
  <c r="LT31" i="16"/>
  <c r="HL31" i="16"/>
  <c r="HO31" i="16"/>
  <c r="GM31" i="16"/>
  <c r="FH31" i="16"/>
  <c r="EF31" i="16"/>
  <c r="RG31" i="16"/>
  <c r="M31" i="16"/>
  <c r="N31" i="16" s="1"/>
  <c r="Q31" i="16"/>
  <c r="R31" i="16" s="1"/>
  <c r="RC31" i="16"/>
  <c r="RB31" i="16"/>
  <c r="RA31" i="16"/>
  <c r="F31" i="16"/>
  <c r="K31" i="16"/>
  <c r="L31" i="16" s="1"/>
  <c r="DA31" i="16"/>
  <c r="I31" i="16"/>
  <c r="RD31" i="16"/>
  <c r="QE31" i="16"/>
  <c r="PC31" i="16"/>
  <c r="OA31" i="16"/>
  <c r="MY31" i="16"/>
  <c r="LW31" i="16"/>
  <c r="KU31" i="16"/>
  <c r="O31" i="16"/>
  <c r="G31" i="16"/>
  <c r="FK23" i="16"/>
  <c r="DD23" i="16"/>
  <c r="Q23" i="16"/>
  <c r="R23" i="16" s="1"/>
  <c r="JS27" i="16"/>
  <c r="EI27" i="16"/>
  <c r="QB30" i="16"/>
  <c r="NX30" i="16"/>
  <c r="MV30" i="16"/>
  <c r="JP30" i="16"/>
  <c r="IN30" i="16"/>
  <c r="HO30" i="16"/>
  <c r="GM30" i="16"/>
  <c r="EF30" i="16"/>
  <c r="RG30" i="16"/>
  <c r="M30" i="16"/>
  <c r="N30" i="16" s="1"/>
  <c r="RC30" i="16"/>
  <c r="Q30" i="16"/>
  <c r="R30" i="16" s="1"/>
  <c r="RB30" i="16"/>
  <c r="RA30" i="16"/>
  <c r="F30" i="16"/>
  <c r="K30" i="16"/>
  <c r="L30" i="16" s="1"/>
  <c r="DA30" i="16"/>
  <c r="I30" i="16"/>
  <c r="RD30" i="16"/>
  <c r="QE30" i="16"/>
  <c r="PC30" i="16"/>
  <c r="OA30" i="16"/>
  <c r="MY30" i="16"/>
  <c r="LW30" i="16"/>
  <c r="KU30" i="16"/>
  <c r="JS30" i="16"/>
  <c r="O30" i="16"/>
  <c r="G30" i="16"/>
  <c r="HL23" i="16"/>
  <c r="RA23" i="16"/>
  <c r="EF23" i="16"/>
  <c r="RG23" i="16"/>
  <c r="RF8" i="16"/>
  <c r="JP23" i="16"/>
  <c r="QB23" i="16"/>
  <c r="NX23" i="16"/>
  <c r="MV23" i="16"/>
  <c r="LT23" i="16"/>
  <c r="IN23" i="16"/>
  <c r="HO23" i="16"/>
  <c r="GM23" i="16"/>
  <c r="FH23" i="16"/>
  <c r="EI23" i="16"/>
  <c r="M23" i="16"/>
  <c r="N23" i="16" s="1"/>
  <c r="RB23" i="16"/>
  <c r="RC23" i="16"/>
  <c r="F23" i="16"/>
  <c r="K23" i="16"/>
  <c r="L23" i="16" s="1"/>
  <c r="DA23" i="16"/>
  <c r="I23" i="16"/>
  <c r="RD23" i="16"/>
  <c r="QE23" i="16"/>
  <c r="PC23" i="16"/>
  <c r="OA23" i="16"/>
  <c r="MY23" i="16"/>
  <c r="LW23" i="16"/>
  <c r="KU23" i="16"/>
  <c r="JS23" i="16"/>
  <c r="O23" i="16"/>
  <c r="G23" i="16"/>
  <c r="HO27" i="16"/>
  <c r="FK27" i="16"/>
  <c r="DD27" i="16"/>
  <c r="Q27" i="16"/>
  <c r="R27" i="16" s="1"/>
  <c r="LW8" i="16"/>
  <c r="JS8" i="16"/>
  <c r="FK8" i="16"/>
  <c r="DD8" i="16"/>
  <c r="RA27" i="16"/>
  <c r="RC27" i="16"/>
  <c r="RB27" i="16"/>
  <c r="RG8" i="16"/>
  <c r="MY8" i="16"/>
  <c r="KU8" i="16"/>
  <c r="GM8" i="16"/>
  <c r="FH27" i="16"/>
  <c r="QB27" i="16"/>
  <c r="OZ27" i="16"/>
  <c r="NX27" i="16"/>
  <c r="MV27" i="16"/>
  <c r="LT27" i="16"/>
  <c r="KR27" i="16"/>
  <c r="JP27" i="16"/>
  <c r="IN27" i="16"/>
  <c r="IQ27" i="16"/>
  <c r="HL27" i="16"/>
  <c r="GM27" i="16"/>
  <c r="EF27" i="16"/>
  <c r="RG27" i="16"/>
  <c r="M27" i="16"/>
  <c r="N27" i="16" s="1"/>
  <c r="RF27" i="16"/>
  <c r="F27" i="16"/>
  <c r="K27" i="16"/>
  <c r="L27" i="16" s="1"/>
  <c r="DA27" i="16"/>
  <c r="I27" i="16"/>
  <c r="QE27" i="16"/>
  <c r="PC27" i="16"/>
  <c r="OA27" i="16"/>
  <c r="MY27" i="16"/>
  <c r="LW27" i="16"/>
  <c r="KU27" i="16"/>
  <c r="O27" i="16"/>
  <c r="G27" i="16"/>
  <c r="RD27" i="16"/>
  <c r="Q8" i="16"/>
  <c r="R8" i="16" s="1"/>
  <c r="IN8" i="16"/>
  <c r="KR8" i="16"/>
  <c r="GJ8" i="16"/>
  <c r="QB8" i="16"/>
  <c r="OZ8" i="16"/>
  <c r="OA8" i="16"/>
  <c r="MV8" i="16"/>
  <c r="LT8" i="16"/>
  <c r="JP8" i="16"/>
  <c r="IQ8" i="16"/>
  <c r="HL8" i="16"/>
  <c r="HO8" i="16"/>
  <c r="FH8" i="16"/>
  <c r="EF8" i="16"/>
  <c r="EI8" i="16"/>
  <c r="RD8" i="16"/>
  <c r="M8" i="16"/>
  <c r="N8" i="16" s="1"/>
  <c r="RC8" i="16"/>
  <c r="RB8" i="16"/>
  <c r="F8" i="16"/>
  <c r="K8" i="16"/>
  <c r="L8" i="16" s="1"/>
  <c r="DA8" i="16"/>
  <c r="I8" i="16"/>
  <c r="O8" i="16"/>
  <c r="G8" i="16"/>
  <c r="PC8" i="16"/>
  <c r="QE8" i="16"/>
  <c r="RA8" i="16"/>
  <c r="NX8" i="16"/>
  <c r="RH30" i="16" l="1"/>
  <c r="RH8" i="16"/>
  <c r="DG23" i="16"/>
  <c r="RH27" i="16"/>
  <c r="RE27" i="16"/>
  <c r="RH31" i="16"/>
  <c r="DE31" i="16"/>
  <c r="DG31" i="16"/>
  <c r="DG30" i="16"/>
  <c r="RE31" i="16"/>
  <c r="H31" i="16"/>
  <c r="DF31" i="16"/>
  <c r="P31" i="16"/>
  <c r="A31" i="16"/>
  <c r="J31" i="16"/>
  <c r="RH23" i="16"/>
  <c r="RE30" i="16"/>
  <c r="DE30" i="16"/>
  <c r="H30" i="16"/>
  <c r="DF30" i="16"/>
  <c r="P30" i="16"/>
  <c r="A30" i="16"/>
  <c r="J30" i="16"/>
  <c r="DG27" i="16"/>
  <c r="RE23" i="16"/>
  <c r="DE23" i="16"/>
  <c r="H23" i="16"/>
  <c r="J23" i="16"/>
  <c r="DF23" i="16"/>
  <c r="P23" i="16"/>
  <c r="A23" i="16"/>
  <c r="DE27" i="16"/>
  <c r="DG8" i="16"/>
  <c r="H27" i="16"/>
  <c r="J27" i="16"/>
  <c r="DF27" i="16"/>
  <c r="P27" i="16"/>
  <c r="A27" i="16"/>
  <c r="RE8" i="16"/>
  <c r="DE8" i="16"/>
  <c r="H8" i="16"/>
  <c r="J8" i="16"/>
  <c r="DF8" i="16"/>
  <c r="P8" i="16"/>
  <c r="S27" i="16" l="1"/>
  <c r="E27" i="16" s="1"/>
  <c r="S31" i="16"/>
  <c r="E31" i="16" s="1"/>
  <c r="S30" i="16"/>
  <c r="T30" i="16" s="1"/>
  <c r="S23" i="16"/>
  <c r="E23" i="16" s="1"/>
  <c r="S8" i="16"/>
  <c r="E8" i="16" s="1"/>
  <c r="U31" i="16" l="1"/>
  <c r="T31" i="16"/>
  <c r="E30" i="16"/>
  <c r="U27" i="16"/>
  <c r="T27" i="16"/>
  <c r="U30" i="16"/>
  <c r="U23" i="16"/>
  <c r="T23" i="16"/>
  <c r="U8" i="16"/>
  <c r="T8" i="16"/>
  <c r="CO21" i="17" l="1"/>
  <c r="CP21" i="17"/>
  <c r="CQ21" i="17"/>
  <c r="CR21" i="17"/>
  <c r="CS21" i="17"/>
  <c r="DQ21" i="17"/>
  <c r="DR21" i="17"/>
  <c r="DS21" i="17"/>
  <c r="DT21" i="17"/>
  <c r="DU21" i="17"/>
  <c r="EQ21" i="17"/>
  <c r="ER21" i="17"/>
  <c r="ES21" i="17"/>
  <c r="ET21" i="17"/>
  <c r="EU21" i="17"/>
  <c r="FQ21" i="17"/>
  <c r="FR21" i="17"/>
  <c r="FS21" i="17"/>
  <c r="FT21" i="17"/>
  <c r="FU21" i="17"/>
  <c r="GQ21" i="17"/>
  <c r="GR21" i="17"/>
  <c r="GS21" i="17"/>
  <c r="GT21" i="17"/>
  <c r="GU21" i="17"/>
  <c r="HQ21" i="17"/>
  <c r="HR21" i="17"/>
  <c r="HS21" i="17"/>
  <c r="HT21" i="17"/>
  <c r="HU21" i="17"/>
  <c r="IQ21" i="17"/>
  <c r="IR21" i="17"/>
  <c r="IS21" i="17"/>
  <c r="IT21" i="17"/>
  <c r="IU21" i="17"/>
  <c r="JQ21" i="17"/>
  <c r="JR21" i="17"/>
  <c r="JS21" i="17"/>
  <c r="JT21" i="17"/>
  <c r="JU21" i="17"/>
  <c r="KQ21" i="17"/>
  <c r="KR21" i="17"/>
  <c r="KS21" i="17"/>
  <c r="KT21" i="17"/>
  <c r="KU21" i="17"/>
  <c r="LQ21" i="17"/>
  <c r="LR21" i="17"/>
  <c r="LS21" i="17"/>
  <c r="LT21" i="17"/>
  <c r="LU21" i="17"/>
  <c r="MQ21" i="17"/>
  <c r="MR21" i="17"/>
  <c r="MS21" i="17"/>
  <c r="MT21" i="17"/>
  <c r="MU21" i="17"/>
  <c r="NQ21" i="17"/>
  <c r="NR21" i="17"/>
  <c r="NS21" i="17"/>
  <c r="NT21" i="17"/>
  <c r="NU21" i="17"/>
  <c r="OQ21" i="17"/>
  <c r="OR21" i="17"/>
  <c r="OS21" i="17"/>
  <c r="OT21" i="17"/>
  <c r="OU21" i="17"/>
  <c r="OW21" i="17"/>
  <c r="OX21" i="17"/>
  <c r="OY21" i="17"/>
  <c r="OZ21" i="17"/>
  <c r="PA21" i="17"/>
  <c r="PB21" i="17"/>
  <c r="PC21" i="17"/>
  <c r="PD21" i="17"/>
  <c r="PE21" i="17"/>
  <c r="PF21" i="17"/>
  <c r="PG21" i="17"/>
  <c r="PH21" i="17"/>
  <c r="PI21" i="17"/>
  <c r="PJ21" i="17"/>
  <c r="PK21" i="17"/>
  <c r="PL21" i="17"/>
  <c r="PM21" i="17"/>
  <c r="PN21" i="17"/>
  <c r="PO21" i="17"/>
  <c r="PP21" i="17"/>
  <c r="CO20" i="17"/>
  <c r="CP20" i="17"/>
  <c r="CQ20" i="17"/>
  <c r="CR20" i="17"/>
  <c r="CS20" i="17"/>
  <c r="DQ20" i="17"/>
  <c r="DR20" i="17"/>
  <c r="DS20" i="17"/>
  <c r="DT20" i="17"/>
  <c r="DU20" i="17"/>
  <c r="EQ20" i="17"/>
  <c r="ER20" i="17"/>
  <c r="ES20" i="17"/>
  <c r="ET20" i="17"/>
  <c r="EU20" i="17"/>
  <c r="FQ20" i="17"/>
  <c r="FR20" i="17"/>
  <c r="FS20" i="17"/>
  <c r="FT20" i="17"/>
  <c r="FU20" i="17"/>
  <c r="GQ20" i="17"/>
  <c r="GR20" i="17"/>
  <c r="GS20" i="17"/>
  <c r="GT20" i="17"/>
  <c r="GU20" i="17"/>
  <c r="HQ20" i="17"/>
  <c r="HR20" i="17"/>
  <c r="HS20" i="17"/>
  <c r="HT20" i="17"/>
  <c r="HU20" i="17"/>
  <c r="IQ20" i="17"/>
  <c r="IR20" i="17"/>
  <c r="IS20" i="17"/>
  <c r="IT20" i="17"/>
  <c r="IU20" i="17"/>
  <c r="IV20" i="17" s="1"/>
  <c r="JQ20" i="17"/>
  <c r="JR20" i="17"/>
  <c r="JS20" i="17"/>
  <c r="JT20" i="17"/>
  <c r="JU20" i="17"/>
  <c r="KQ20" i="17"/>
  <c r="KR20" i="17"/>
  <c r="KS20" i="17"/>
  <c r="KT20" i="17"/>
  <c r="KU20" i="17"/>
  <c r="LQ20" i="17"/>
  <c r="LR20" i="17"/>
  <c r="LS20" i="17"/>
  <c r="LT20" i="17"/>
  <c r="LU20" i="17"/>
  <c r="MQ20" i="17"/>
  <c r="MR20" i="17"/>
  <c r="MS20" i="17"/>
  <c r="MT20" i="17"/>
  <c r="MU20" i="17"/>
  <c r="NQ20" i="17"/>
  <c r="NR20" i="17"/>
  <c r="NS20" i="17"/>
  <c r="NT20" i="17"/>
  <c r="NU20" i="17"/>
  <c r="OQ20" i="17"/>
  <c r="OR20" i="17"/>
  <c r="OS20" i="17"/>
  <c r="OT20" i="17"/>
  <c r="OU20" i="17"/>
  <c r="OW20" i="17"/>
  <c r="OX20" i="17"/>
  <c r="OY20" i="17"/>
  <c r="OZ20" i="17"/>
  <c r="PA20" i="17"/>
  <c r="PB20" i="17"/>
  <c r="PC20" i="17"/>
  <c r="PD20" i="17"/>
  <c r="PE20" i="17"/>
  <c r="PF20" i="17"/>
  <c r="PG20" i="17"/>
  <c r="PH20" i="17"/>
  <c r="PI20" i="17"/>
  <c r="PJ20" i="17"/>
  <c r="PK20" i="17"/>
  <c r="PL20" i="17"/>
  <c r="PM20" i="17"/>
  <c r="PN20" i="17"/>
  <c r="PO20" i="17"/>
  <c r="PP20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V7" i="17" s="1"/>
  <c r="GS7" i="17"/>
  <c r="GT7" i="17"/>
  <c r="GU7" i="17"/>
  <c r="HQ7" i="17"/>
  <c r="HR7" i="17"/>
  <c r="HS7" i="17"/>
  <c r="HT7" i="17"/>
  <c r="HU7" i="17"/>
  <c r="HV7" i="17" s="1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22" i="17"/>
  <c r="CP22" i="17"/>
  <c r="CQ22" i="17"/>
  <c r="CR22" i="17"/>
  <c r="CS22" i="17"/>
  <c r="DQ22" i="17"/>
  <c r="DR22" i="17"/>
  <c r="DS22" i="17"/>
  <c r="DT22" i="17"/>
  <c r="DU22" i="17"/>
  <c r="EQ22" i="17"/>
  <c r="ER22" i="17"/>
  <c r="ES22" i="17"/>
  <c r="ET22" i="17"/>
  <c r="EU22" i="17"/>
  <c r="FQ22" i="17"/>
  <c r="FR22" i="17"/>
  <c r="FS22" i="17"/>
  <c r="FT22" i="17"/>
  <c r="FU22" i="17"/>
  <c r="GQ22" i="17"/>
  <c r="GR22" i="17"/>
  <c r="GS22" i="17"/>
  <c r="GT22" i="17"/>
  <c r="GU22" i="17"/>
  <c r="HQ22" i="17"/>
  <c r="HR22" i="17"/>
  <c r="HS22" i="17"/>
  <c r="HT22" i="17"/>
  <c r="HU22" i="17"/>
  <c r="IQ22" i="17"/>
  <c r="IR22" i="17"/>
  <c r="IS22" i="17"/>
  <c r="IT22" i="17"/>
  <c r="IU22" i="17"/>
  <c r="JQ22" i="17"/>
  <c r="JR22" i="17"/>
  <c r="JS22" i="17"/>
  <c r="JT22" i="17"/>
  <c r="JU22" i="17"/>
  <c r="KQ22" i="17"/>
  <c r="KR22" i="17"/>
  <c r="KS22" i="17"/>
  <c r="KT22" i="17"/>
  <c r="KU22" i="17"/>
  <c r="LQ22" i="17"/>
  <c r="LR22" i="17"/>
  <c r="LS22" i="17"/>
  <c r="LT22" i="17"/>
  <c r="LU22" i="17"/>
  <c r="MQ22" i="17"/>
  <c r="MR22" i="17"/>
  <c r="MS22" i="17"/>
  <c r="MT22" i="17"/>
  <c r="MU22" i="17"/>
  <c r="NQ22" i="17"/>
  <c r="NR22" i="17"/>
  <c r="NS22" i="17"/>
  <c r="NT22" i="17"/>
  <c r="NU22" i="17"/>
  <c r="OQ22" i="17"/>
  <c r="OR22" i="17"/>
  <c r="OS22" i="17"/>
  <c r="OT22" i="17"/>
  <c r="OU22" i="17"/>
  <c r="OW22" i="17"/>
  <c r="OX22" i="17"/>
  <c r="OY22" i="17"/>
  <c r="OZ22" i="17"/>
  <c r="PA22" i="17"/>
  <c r="PB22" i="17"/>
  <c r="PC22" i="17"/>
  <c r="PD22" i="17"/>
  <c r="PE22" i="17"/>
  <c r="PF22" i="17"/>
  <c r="PG22" i="17"/>
  <c r="PH22" i="17"/>
  <c r="PI22" i="17"/>
  <c r="PJ22" i="17"/>
  <c r="PK22" i="17"/>
  <c r="PL22" i="17"/>
  <c r="PM22" i="17"/>
  <c r="PN22" i="17"/>
  <c r="PO22" i="17"/>
  <c r="PP22" i="17"/>
  <c r="CO15" i="15"/>
  <c r="CP15" i="15"/>
  <c r="CQ15" i="15"/>
  <c r="CR15" i="15"/>
  <c r="CS15" i="15"/>
  <c r="DQ15" i="15"/>
  <c r="DR15" i="15"/>
  <c r="DS15" i="15"/>
  <c r="DT15" i="15"/>
  <c r="DU15" i="15"/>
  <c r="EQ15" i="15"/>
  <c r="ER15" i="15"/>
  <c r="ES15" i="15"/>
  <c r="ET15" i="15"/>
  <c r="EU15" i="15"/>
  <c r="FQ15" i="15"/>
  <c r="FR15" i="15"/>
  <c r="FS15" i="15"/>
  <c r="FT15" i="15"/>
  <c r="FU15" i="15"/>
  <c r="GQ15" i="15"/>
  <c r="GR15" i="15"/>
  <c r="GS15" i="15"/>
  <c r="GT15" i="15"/>
  <c r="GU15" i="15"/>
  <c r="HQ15" i="15"/>
  <c r="HR15" i="15"/>
  <c r="HS15" i="15"/>
  <c r="HT15" i="15"/>
  <c r="HU15" i="15"/>
  <c r="IQ15" i="15"/>
  <c r="IR15" i="15"/>
  <c r="IS15" i="15"/>
  <c r="IT15" i="15"/>
  <c r="IU15" i="15"/>
  <c r="JQ15" i="15"/>
  <c r="JR15" i="15"/>
  <c r="JS15" i="15"/>
  <c r="JT15" i="15"/>
  <c r="JU15" i="15"/>
  <c r="KQ15" i="15"/>
  <c r="KR15" i="15"/>
  <c r="KS15" i="15"/>
  <c r="KT15" i="15"/>
  <c r="KU15" i="15"/>
  <c r="LQ15" i="15"/>
  <c r="LR15" i="15"/>
  <c r="LS15" i="15"/>
  <c r="LT15" i="15"/>
  <c r="LU15" i="15"/>
  <c r="LV15" i="15" s="1"/>
  <c r="MQ15" i="15"/>
  <c r="MR15" i="15"/>
  <c r="MS15" i="15"/>
  <c r="MT15" i="15"/>
  <c r="MU15" i="15"/>
  <c r="NQ15" i="15"/>
  <c r="NR15" i="15"/>
  <c r="NS15" i="15"/>
  <c r="NT15" i="15"/>
  <c r="NU15" i="15"/>
  <c r="OQ15" i="15"/>
  <c r="OR15" i="15"/>
  <c r="OS15" i="15"/>
  <c r="OT15" i="15"/>
  <c r="OU15" i="15"/>
  <c r="OW15" i="15"/>
  <c r="OX15" i="15"/>
  <c r="OY15" i="15"/>
  <c r="OZ15" i="15"/>
  <c r="PA15" i="15"/>
  <c r="PB15" i="15"/>
  <c r="PC15" i="15"/>
  <c r="PD15" i="15"/>
  <c r="PE15" i="15"/>
  <c r="PF15" i="15"/>
  <c r="PG15" i="15"/>
  <c r="PH15" i="15"/>
  <c r="PI15" i="15"/>
  <c r="PJ15" i="15"/>
  <c r="PK15" i="15"/>
  <c r="PL15" i="15"/>
  <c r="PM15" i="15"/>
  <c r="PN15" i="15"/>
  <c r="PO15" i="15"/>
  <c r="PP15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CS30" i="14"/>
  <c r="CT30" i="14"/>
  <c r="CU30" i="14"/>
  <c r="CV30" i="14"/>
  <c r="CW30" i="14"/>
  <c r="CY30" i="14"/>
  <c r="CZ30" i="14"/>
  <c r="DS30" i="14"/>
  <c r="DT30" i="14"/>
  <c r="DU30" i="14"/>
  <c r="DW30" i="14"/>
  <c r="DX30" i="14"/>
  <c r="EO30" i="14"/>
  <c r="EP30" i="14"/>
  <c r="EQ30" i="14"/>
  <c r="ES30" i="14"/>
  <c r="ET30" i="14"/>
  <c r="FK30" i="14"/>
  <c r="FL30" i="14"/>
  <c r="FM30" i="14"/>
  <c r="FO30" i="14"/>
  <c r="FP30" i="14"/>
  <c r="GG30" i="14"/>
  <c r="GH30" i="14"/>
  <c r="GI30" i="14"/>
  <c r="GK30" i="14"/>
  <c r="GL30" i="14"/>
  <c r="HC30" i="14"/>
  <c r="HD30" i="14"/>
  <c r="HE30" i="14"/>
  <c r="HG30" i="14"/>
  <c r="HH30" i="14"/>
  <c r="HY30" i="14"/>
  <c r="HZ30" i="14"/>
  <c r="IA30" i="14"/>
  <c r="IC30" i="14"/>
  <c r="ID30" i="14"/>
  <c r="IU30" i="14"/>
  <c r="IV30" i="14"/>
  <c r="IW30" i="14"/>
  <c r="IY30" i="14"/>
  <c r="IZ30" i="14"/>
  <c r="JQ30" i="14"/>
  <c r="JR30" i="14"/>
  <c r="JS30" i="14"/>
  <c r="JU30" i="14"/>
  <c r="JV30" i="14"/>
  <c r="KM30" i="14"/>
  <c r="KN30" i="14"/>
  <c r="KO30" i="14"/>
  <c r="KQ30" i="14"/>
  <c r="KR30" i="14"/>
  <c r="LI30" i="14"/>
  <c r="LJ30" i="14"/>
  <c r="LK30" i="14"/>
  <c r="LM30" i="14"/>
  <c r="LN30" i="14"/>
  <c r="ME30" i="14"/>
  <c r="MF30" i="14"/>
  <c r="MG30" i="14"/>
  <c r="MI30" i="14"/>
  <c r="MJ30" i="14"/>
  <c r="NA30" i="14"/>
  <c r="NB30" i="14"/>
  <c r="NC30" i="14"/>
  <c r="NE30" i="14"/>
  <c r="NF30" i="14"/>
  <c r="NH30" i="14"/>
  <c r="NI30" i="14"/>
  <c r="NJ30" i="14"/>
  <c r="NK30" i="14"/>
  <c r="NL30" i="14"/>
  <c r="NM30" i="14"/>
  <c r="NN30" i="14"/>
  <c r="NO30" i="14"/>
  <c r="OD30" i="14" s="1"/>
  <c r="NP30" i="14"/>
  <c r="NQ30" i="14"/>
  <c r="NR30" i="14"/>
  <c r="NS30" i="14"/>
  <c r="NT30" i="14"/>
  <c r="OF30" i="14" s="1"/>
  <c r="NU30" i="14"/>
  <c r="NV30" i="14"/>
  <c r="NW30" i="14"/>
  <c r="NX30" i="14"/>
  <c r="NY30" i="14"/>
  <c r="OI30" i="14" s="1"/>
  <c r="NZ30" i="14"/>
  <c r="OA30" i="14"/>
  <c r="CS29" i="14"/>
  <c r="CT29" i="14"/>
  <c r="CU29" i="14"/>
  <c r="CV29" i="14"/>
  <c r="CW29" i="14"/>
  <c r="CY29" i="14"/>
  <c r="CZ29" i="14"/>
  <c r="DS29" i="14"/>
  <c r="DT29" i="14"/>
  <c r="DU29" i="14"/>
  <c r="DW29" i="14"/>
  <c r="DX29" i="14"/>
  <c r="EO29" i="14"/>
  <c r="EP29" i="14"/>
  <c r="EQ29" i="14"/>
  <c r="ES29" i="14"/>
  <c r="ET29" i="14"/>
  <c r="FK29" i="14"/>
  <c r="FL29" i="14"/>
  <c r="FM29" i="14"/>
  <c r="FO29" i="14"/>
  <c r="FP29" i="14"/>
  <c r="GG29" i="14"/>
  <c r="GH29" i="14"/>
  <c r="GI29" i="14"/>
  <c r="GK29" i="14"/>
  <c r="GL29" i="14"/>
  <c r="HC29" i="14"/>
  <c r="HD29" i="14"/>
  <c r="HE29" i="14"/>
  <c r="HG29" i="14"/>
  <c r="HH29" i="14"/>
  <c r="HY29" i="14"/>
  <c r="HZ29" i="14"/>
  <c r="IA29" i="14"/>
  <c r="IC29" i="14"/>
  <c r="ID29" i="14"/>
  <c r="IU29" i="14"/>
  <c r="IV29" i="14"/>
  <c r="IW29" i="14"/>
  <c r="IY29" i="14"/>
  <c r="IZ29" i="14"/>
  <c r="JQ29" i="14"/>
  <c r="JR29" i="14"/>
  <c r="JS29" i="14"/>
  <c r="JU29" i="14"/>
  <c r="JV29" i="14"/>
  <c r="KM29" i="14"/>
  <c r="KN29" i="14"/>
  <c r="KO29" i="14"/>
  <c r="KQ29" i="14"/>
  <c r="KR29" i="14"/>
  <c r="LI29" i="14"/>
  <c r="LJ29" i="14"/>
  <c r="LK29" i="14"/>
  <c r="LM29" i="14"/>
  <c r="LN29" i="14"/>
  <c r="ME29" i="14"/>
  <c r="MF29" i="14"/>
  <c r="MG29" i="14"/>
  <c r="MI29" i="14"/>
  <c r="MJ29" i="14"/>
  <c r="NA29" i="14"/>
  <c r="NB29" i="14"/>
  <c r="NC29" i="14"/>
  <c r="NE29" i="14"/>
  <c r="NF29" i="14"/>
  <c r="NH29" i="14"/>
  <c r="NI29" i="14"/>
  <c r="NJ29" i="14"/>
  <c r="NK29" i="14"/>
  <c r="NL29" i="14"/>
  <c r="NM29" i="14"/>
  <c r="NN29" i="14"/>
  <c r="NO29" i="14"/>
  <c r="OD29" i="14" s="1"/>
  <c r="NP29" i="14"/>
  <c r="NQ29" i="14"/>
  <c r="NR29" i="14"/>
  <c r="NS29" i="14"/>
  <c r="NT29" i="14"/>
  <c r="OF29" i="14" s="1"/>
  <c r="NU29" i="14"/>
  <c r="NV29" i="14"/>
  <c r="NW29" i="14"/>
  <c r="NX29" i="14"/>
  <c r="NY29" i="14"/>
  <c r="OI29" i="14" s="1"/>
  <c r="NZ29" i="14"/>
  <c r="OA29" i="14"/>
  <c r="CS26" i="14"/>
  <c r="CT26" i="14"/>
  <c r="CU26" i="14"/>
  <c r="CV26" i="14"/>
  <c r="CW26" i="14"/>
  <c r="CY26" i="14"/>
  <c r="CZ26" i="14"/>
  <c r="DS26" i="14"/>
  <c r="DT26" i="14"/>
  <c r="DU26" i="14"/>
  <c r="DW26" i="14"/>
  <c r="DX26" i="14"/>
  <c r="EO26" i="14"/>
  <c r="EP26" i="14"/>
  <c r="EQ26" i="14"/>
  <c r="ES26" i="14"/>
  <c r="ET26" i="14"/>
  <c r="FK26" i="14"/>
  <c r="FL26" i="14"/>
  <c r="FM26" i="14"/>
  <c r="FO26" i="14"/>
  <c r="FP26" i="14"/>
  <c r="GG26" i="14"/>
  <c r="GH26" i="14"/>
  <c r="GI26" i="14"/>
  <c r="GK26" i="14"/>
  <c r="GL26" i="14"/>
  <c r="HC26" i="14"/>
  <c r="HD26" i="14"/>
  <c r="HE26" i="14"/>
  <c r="HG26" i="14"/>
  <c r="HH26" i="14"/>
  <c r="HY26" i="14"/>
  <c r="HZ26" i="14"/>
  <c r="IA26" i="14"/>
  <c r="IC26" i="14"/>
  <c r="ID26" i="14"/>
  <c r="IU26" i="14"/>
  <c r="IV26" i="14"/>
  <c r="IW26" i="14"/>
  <c r="IY26" i="14"/>
  <c r="IZ26" i="14"/>
  <c r="JQ26" i="14"/>
  <c r="JR26" i="14"/>
  <c r="JS26" i="14"/>
  <c r="JU26" i="14"/>
  <c r="JV26" i="14"/>
  <c r="KM26" i="14"/>
  <c r="KN26" i="14"/>
  <c r="KO26" i="14"/>
  <c r="KQ26" i="14"/>
  <c r="KR26" i="14"/>
  <c r="LI26" i="14"/>
  <c r="LJ26" i="14"/>
  <c r="LK26" i="14"/>
  <c r="LM26" i="14"/>
  <c r="LN26" i="14"/>
  <c r="ME26" i="14"/>
  <c r="MF26" i="14"/>
  <c r="MG26" i="14"/>
  <c r="MI26" i="14"/>
  <c r="MJ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27" i="14"/>
  <c r="CT27" i="14"/>
  <c r="CU27" i="14"/>
  <c r="CV27" i="14"/>
  <c r="CW27" i="14"/>
  <c r="CY27" i="14"/>
  <c r="CZ27" i="14"/>
  <c r="DS27" i="14"/>
  <c r="DT27" i="14"/>
  <c r="DU27" i="14"/>
  <c r="DW27" i="14"/>
  <c r="DX27" i="14"/>
  <c r="EO27" i="14"/>
  <c r="EP27" i="14"/>
  <c r="EQ27" i="14"/>
  <c r="ES27" i="14"/>
  <c r="ET27" i="14"/>
  <c r="FK27" i="14"/>
  <c r="FL27" i="14"/>
  <c r="FM27" i="14"/>
  <c r="FO27" i="14"/>
  <c r="FP27" i="14"/>
  <c r="GG27" i="14"/>
  <c r="GH27" i="14"/>
  <c r="GI27" i="14"/>
  <c r="GK27" i="14"/>
  <c r="GL27" i="14"/>
  <c r="HC27" i="14"/>
  <c r="HD27" i="14"/>
  <c r="HE27" i="14"/>
  <c r="HG27" i="14"/>
  <c r="HH27" i="14"/>
  <c r="HY27" i="14"/>
  <c r="HZ27" i="14"/>
  <c r="IA27" i="14"/>
  <c r="IC27" i="14"/>
  <c r="ID27" i="14"/>
  <c r="IU27" i="14"/>
  <c r="IV27" i="14"/>
  <c r="IW27" i="14"/>
  <c r="IY27" i="14"/>
  <c r="IZ27" i="14"/>
  <c r="JQ27" i="14"/>
  <c r="JR27" i="14"/>
  <c r="JS27" i="14"/>
  <c r="JU27" i="14"/>
  <c r="JV27" i="14"/>
  <c r="KM27" i="14"/>
  <c r="KN27" i="14"/>
  <c r="KO27" i="14"/>
  <c r="KQ27" i="14"/>
  <c r="KR27" i="14"/>
  <c r="LI27" i="14"/>
  <c r="LJ27" i="14"/>
  <c r="LK27" i="14"/>
  <c r="LM27" i="14"/>
  <c r="LN27" i="14"/>
  <c r="ME27" i="14"/>
  <c r="MF27" i="14"/>
  <c r="MG27" i="14"/>
  <c r="MI27" i="14"/>
  <c r="MJ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OF27" i="14" s="1"/>
  <c r="NU27" i="14"/>
  <c r="NV27" i="14"/>
  <c r="NW27" i="14"/>
  <c r="NX27" i="14"/>
  <c r="NY27" i="14"/>
  <c r="OI27" i="14" s="1"/>
  <c r="NZ27" i="14"/>
  <c r="OA27" i="1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R26" i="4" s="1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L26" i="4" s="1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X18" i="4" s="1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L18" i="4" s="1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CS16" i="4"/>
  <c r="CT16" i="4"/>
  <c r="CU16" i="4"/>
  <c r="CV16" i="4"/>
  <c r="CW16" i="4"/>
  <c r="CY16" i="4"/>
  <c r="CZ16" i="4"/>
  <c r="DS16" i="4"/>
  <c r="DT16" i="4"/>
  <c r="DU16" i="4"/>
  <c r="DW16" i="4"/>
  <c r="DX16" i="4"/>
  <c r="EO16" i="4"/>
  <c r="EP16" i="4"/>
  <c r="EQ16" i="4"/>
  <c r="ES16" i="4"/>
  <c r="ET16" i="4"/>
  <c r="FK16" i="4"/>
  <c r="FL16" i="4"/>
  <c r="FM16" i="4"/>
  <c r="FO16" i="4"/>
  <c r="FP16" i="4"/>
  <c r="GG16" i="4"/>
  <c r="GH16" i="4"/>
  <c r="GI16" i="4"/>
  <c r="GK16" i="4"/>
  <c r="GL16" i="4"/>
  <c r="HC16" i="4"/>
  <c r="HD16" i="4"/>
  <c r="HE16" i="4"/>
  <c r="HG16" i="4"/>
  <c r="HH16" i="4"/>
  <c r="HY16" i="4"/>
  <c r="HZ16" i="4"/>
  <c r="IA16" i="4"/>
  <c r="IC16" i="4"/>
  <c r="ID16" i="4"/>
  <c r="IU16" i="4"/>
  <c r="IV16" i="4"/>
  <c r="IW16" i="4"/>
  <c r="IY16" i="4"/>
  <c r="IZ16" i="4"/>
  <c r="JQ16" i="4"/>
  <c r="JR16" i="4"/>
  <c r="JS16" i="4"/>
  <c r="JU16" i="4"/>
  <c r="JV16" i="4"/>
  <c r="KM16" i="4"/>
  <c r="KN16" i="4"/>
  <c r="KO16" i="4"/>
  <c r="KQ16" i="4"/>
  <c r="KR16" i="4"/>
  <c r="LI16" i="4"/>
  <c r="LJ16" i="4"/>
  <c r="LK16" i="4"/>
  <c r="LM16" i="4"/>
  <c r="LN16" i="4"/>
  <c r="ME16" i="4"/>
  <c r="MF16" i="4"/>
  <c r="MG16" i="4"/>
  <c r="MI16" i="4"/>
  <c r="MJ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DV22" i="17" l="1"/>
  <c r="OV21" i="17"/>
  <c r="JV20" i="17"/>
  <c r="LV21" i="17"/>
  <c r="DV21" i="17"/>
  <c r="NV15" i="15"/>
  <c r="DV9" i="15"/>
  <c r="IV10" i="15"/>
  <c r="DV30" i="14"/>
  <c r="DY30" i="14"/>
  <c r="JT16" i="4"/>
  <c r="JW16" i="4" s="1"/>
  <c r="CT20" i="17"/>
  <c r="PR21" i="17"/>
  <c r="PR15" i="15"/>
  <c r="DV20" i="17"/>
  <c r="HV21" i="17"/>
  <c r="ER30" i="14"/>
  <c r="EU30" i="14" s="1"/>
  <c r="MH30" i="14"/>
  <c r="MK30" i="14" s="1"/>
  <c r="ND18" i="4"/>
  <c r="IB18" i="4"/>
  <c r="KP18" i="4"/>
  <c r="MH16" i="4"/>
  <c r="MK16" i="4" s="1"/>
  <c r="CX30" i="14"/>
  <c r="DA30" i="14" s="1"/>
  <c r="GV21" i="17"/>
  <c r="LL26" i="14"/>
  <c r="LO26" i="14" s="1"/>
  <c r="DV29" i="14"/>
  <c r="DY29" i="14" s="1"/>
  <c r="ER29" i="14"/>
  <c r="EU29" i="14" s="1"/>
  <c r="JT30" i="14"/>
  <c r="JW30" i="14" s="1"/>
  <c r="FN30" i="14"/>
  <c r="FQ30" i="14" s="1"/>
  <c r="KS18" i="4"/>
  <c r="IE18" i="4"/>
  <c r="LO18" i="4"/>
  <c r="JA18" i="4"/>
  <c r="CX18" i="4"/>
  <c r="DA18" i="4" s="1"/>
  <c r="LO26" i="4"/>
  <c r="IX26" i="4"/>
  <c r="JA26" i="4" s="1"/>
  <c r="ER16" i="4"/>
  <c r="EU16" i="4" s="1"/>
  <c r="ND26" i="4"/>
  <c r="NG26" i="4" s="1"/>
  <c r="CT7" i="17"/>
  <c r="IV21" i="17"/>
  <c r="IV15" i="15"/>
  <c r="M9" i="15"/>
  <c r="CV9" i="15" s="1"/>
  <c r="MV15" i="15"/>
  <c r="LV10" i="15"/>
  <c r="DV10" i="15"/>
  <c r="CT15" i="15"/>
  <c r="JV10" i="15"/>
  <c r="MV10" i="15"/>
  <c r="KP26" i="4"/>
  <c r="KS26" i="4" s="1"/>
  <c r="CX26" i="4"/>
  <c r="DA26" i="4" s="1"/>
  <c r="OG18" i="4"/>
  <c r="MH18" i="4"/>
  <c r="MK18" i="4" s="1"/>
  <c r="IB26" i="4"/>
  <c r="IE26" i="4" s="1"/>
  <c r="KP17" i="4"/>
  <c r="KS17" i="4" s="1"/>
  <c r="JV7" i="17"/>
  <c r="IV22" i="17"/>
  <c r="LV7" i="17"/>
  <c r="JV21" i="17"/>
  <c r="CT21" i="17"/>
  <c r="MV20" i="17"/>
  <c r="EV20" i="17"/>
  <c r="MV22" i="17"/>
  <c r="EV22" i="17"/>
  <c r="PR7" i="17"/>
  <c r="IV7" i="17"/>
  <c r="LV20" i="17"/>
  <c r="LV22" i="17"/>
  <c r="HV22" i="17"/>
  <c r="EV7" i="17"/>
  <c r="HV20" i="17"/>
  <c r="DV7" i="17"/>
  <c r="EV9" i="15"/>
  <c r="KV15" i="15"/>
  <c r="DV15" i="15"/>
  <c r="LV9" i="15"/>
  <c r="HV9" i="15"/>
  <c r="HV15" i="15"/>
  <c r="MV9" i="15"/>
  <c r="JV9" i="15"/>
  <c r="IX27" i="14"/>
  <c r="JA27" i="14" s="1"/>
  <c r="IB30" i="14"/>
  <c r="IE30" i="14" s="1"/>
  <c r="MH26" i="14"/>
  <c r="MK26" i="14" s="1"/>
  <c r="KP29" i="14"/>
  <c r="KS29" i="14" s="1"/>
  <c r="IX30" i="14"/>
  <c r="JA30" i="14" s="1"/>
  <c r="ND29" i="14"/>
  <c r="NG29" i="14" s="1"/>
  <c r="IB26" i="14"/>
  <c r="IE26" i="14" s="1"/>
  <c r="LL30" i="14"/>
  <c r="LO30" i="14" s="1"/>
  <c r="ND26" i="14"/>
  <c r="NG26" i="14" s="1"/>
  <c r="KP27" i="14"/>
  <c r="KS27" i="14" s="1"/>
  <c r="MH29" i="14"/>
  <c r="MK29" i="14" s="1"/>
  <c r="FN29" i="14"/>
  <c r="FQ29" i="14" s="1"/>
  <c r="OG30" i="14"/>
  <c r="FN27" i="14"/>
  <c r="FQ27" i="14" s="1"/>
  <c r="LL27" i="14"/>
  <c r="LO27" i="14" s="1"/>
  <c r="KP30" i="14"/>
  <c r="KS30" i="14" s="1"/>
  <c r="IX16" i="4"/>
  <c r="JA16" i="4" s="1"/>
  <c r="OE18" i="4"/>
  <c r="KP16" i="4"/>
  <c r="KS16" i="4" s="1"/>
  <c r="JT26" i="4"/>
  <c r="JW26" i="4" s="1"/>
  <c r="CT22" i="17"/>
  <c r="PV21" i="17"/>
  <c r="NV21" i="17"/>
  <c r="MV21" i="17"/>
  <c r="KV21" i="17"/>
  <c r="FV21" i="17"/>
  <c r="EV21" i="17"/>
  <c r="PT21" i="17"/>
  <c r="PS21" i="17"/>
  <c r="M21" i="17"/>
  <c r="N21" i="17" s="1"/>
  <c r="PU21" i="17"/>
  <c r="G21" i="17"/>
  <c r="F21" i="17"/>
  <c r="K21" i="17"/>
  <c r="I21" i="17"/>
  <c r="NV22" i="17"/>
  <c r="PU20" i="17"/>
  <c r="PR20" i="17"/>
  <c r="GV20" i="17"/>
  <c r="OV20" i="17"/>
  <c r="NV20" i="17"/>
  <c r="KV20" i="17"/>
  <c r="FV20" i="17"/>
  <c r="PV20" i="17"/>
  <c r="PT20" i="17"/>
  <c r="PS20" i="17"/>
  <c r="M20" i="17"/>
  <c r="N20" i="17" s="1"/>
  <c r="G20" i="17"/>
  <c r="F20" i="17"/>
  <c r="K20" i="17"/>
  <c r="I20" i="17"/>
  <c r="KV22" i="17"/>
  <c r="PU22" i="17"/>
  <c r="PR22" i="17"/>
  <c r="OV7" i="17"/>
  <c r="NV7" i="17"/>
  <c r="MV7" i="17"/>
  <c r="KV7" i="17"/>
  <c r="FV7" i="17"/>
  <c r="PT7" i="17"/>
  <c r="PS7" i="17"/>
  <c r="M7" i="17"/>
  <c r="N7" i="17" s="1"/>
  <c r="PU7" i="17"/>
  <c r="PV7" i="17"/>
  <c r="G7" i="17"/>
  <c r="F7" i="17"/>
  <c r="K7" i="17"/>
  <c r="I7" i="17"/>
  <c r="FV22" i="17"/>
  <c r="PS22" i="17"/>
  <c r="OV22" i="17"/>
  <c r="JV22" i="17"/>
  <c r="GV22" i="17"/>
  <c r="M22" i="17"/>
  <c r="N22" i="17" s="1"/>
  <c r="PV22" i="17"/>
  <c r="PT22" i="17"/>
  <c r="G22" i="17"/>
  <c r="F22" i="17"/>
  <c r="K22" i="17"/>
  <c r="I22" i="17"/>
  <c r="PU15" i="15"/>
  <c r="PS15" i="15"/>
  <c r="PR10" i="15"/>
  <c r="CT10" i="15"/>
  <c r="OV15" i="15"/>
  <c r="JV15" i="15"/>
  <c r="GV15" i="15"/>
  <c r="FV15" i="15"/>
  <c r="EV15" i="15"/>
  <c r="M15" i="15"/>
  <c r="CV15" i="15" s="1"/>
  <c r="PV15" i="15"/>
  <c r="PT15" i="15"/>
  <c r="G15" i="15"/>
  <c r="F15" i="15"/>
  <c r="K15" i="15"/>
  <c r="I15" i="15"/>
  <c r="FV9" i="15"/>
  <c r="PU9" i="15"/>
  <c r="PR9" i="15"/>
  <c r="IV9" i="15"/>
  <c r="HV10" i="15"/>
  <c r="GV10" i="15"/>
  <c r="OV9" i="15"/>
  <c r="NV9" i="15"/>
  <c r="KV9" i="15"/>
  <c r="GV9" i="15"/>
  <c r="CT9" i="15"/>
  <c r="PS9" i="15"/>
  <c r="PV9" i="15"/>
  <c r="PT9" i="15"/>
  <c r="G9" i="15"/>
  <c r="F9" i="15"/>
  <c r="K9" i="15"/>
  <c r="I9" i="15"/>
  <c r="PT10" i="15"/>
  <c r="NV10" i="15"/>
  <c r="FV10" i="15"/>
  <c r="OV10" i="15"/>
  <c r="KV10" i="15"/>
  <c r="EV10" i="15"/>
  <c r="M10" i="15"/>
  <c r="CV10" i="15" s="1"/>
  <c r="PU10" i="15"/>
  <c r="PV10" i="15"/>
  <c r="PS10" i="15"/>
  <c r="G10" i="15"/>
  <c r="F10" i="15"/>
  <c r="K10" i="15"/>
  <c r="I10" i="15"/>
  <c r="CX29" i="14"/>
  <c r="DA29" i="14" s="1"/>
  <c r="CX26" i="14"/>
  <c r="DA26" i="14" s="1"/>
  <c r="ND30" i="14"/>
  <c r="NG30" i="14" s="1"/>
  <c r="HF30" i="14"/>
  <c r="HI30" i="14" s="1"/>
  <c r="GJ30" i="14"/>
  <c r="GM30" i="14" s="1"/>
  <c r="OE30" i="14"/>
  <c r="OC30" i="14"/>
  <c r="K30" i="14"/>
  <c r="DB30" i="14" s="1"/>
  <c r="F30" i="14"/>
  <c r="I30" i="14"/>
  <c r="G30" i="14"/>
  <c r="ND27" i="14"/>
  <c r="NG27" i="14" s="1"/>
  <c r="KP26" i="14"/>
  <c r="KS26" i="14" s="1"/>
  <c r="DV26" i="14"/>
  <c r="DY26" i="14" s="1"/>
  <c r="GJ29" i="14"/>
  <c r="GM29" i="14" s="1"/>
  <c r="IX29" i="14"/>
  <c r="JA29" i="14" s="1"/>
  <c r="LL29" i="14"/>
  <c r="LO29" i="14" s="1"/>
  <c r="JT27" i="14"/>
  <c r="JW27" i="14" s="1"/>
  <c r="JT29" i="14"/>
  <c r="JW29" i="14" s="1"/>
  <c r="IB29" i="14"/>
  <c r="IE29" i="14" s="1"/>
  <c r="HF29" i="14"/>
  <c r="HI29" i="14" s="1"/>
  <c r="OG29" i="14"/>
  <c r="OE29" i="14"/>
  <c r="OC29" i="14"/>
  <c r="K29" i="14"/>
  <c r="DC29" i="14" s="1"/>
  <c r="F29" i="14"/>
  <c r="I29" i="14"/>
  <c r="G29" i="14"/>
  <c r="GJ26" i="14"/>
  <c r="GM26" i="14" s="1"/>
  <c r="ER26" i="14"/>
  <c r="EU26" i="14" s="1"/>
  <c r="OJ30" i="14"/>
  <c r="JT26" i="14"/>
  <c r="JW26" i="14" s="1"/>
  <c r="FN26" i="14"/>
  <c r="FQ26" i="14" s="1"/>
  <c r="IX26" i="14"/>
  <c r="JA26" i="14" s="1"/>
  <c r="HF26" i="14"/>
  <c r="HI26" i="14" s="1"/>
  <c r="OG26" i="14"/>
  <c r="OE26" i="14"/>
  <c r="OC26" i="14"/>
  <c r="K26" i="14"/>
  <c r="DB26" i="14" s="1"/>
  <c r="F26" i="14"/>
  <c r="I26" i="14"/>
  <c r="G26" i="14"/>
  <c r="DV27" i="14"/>
  <c r="DY27" i="14" s="1"/>
  <c r="ER27" i="14"/>
  <c r="EU27" i="14" s="1"/>
  <c r="MH27" i="14"/>
  <c r="MK27" i="14" s="1"/>
  <c r="OG27" i="14"/>
  <c r="IB27" i="14"/>
  <c r="IE27" i="14" s="1"/>
  <c r="HF27" i="14"/>
  <c r="HI27" i="14" s="1"/>
  <c r="GJ27" i="14"/>
  <c r="GM27" i="14" s="1"/>
  <c r="CX27" i="14"/>
  <c r="DA27" i="14" s="1"/>
  <c r="OE27" i="14"/>
  <c r="OC27" i="14"/>
  <c r="OJ29" i="14"/>
  <c r="K27" i="14"/>
  <c r="L27" i="14" s="1"/>
  <c r="F27" i="14"/>
  <c r="I27" i="14"/>
  <c r="G27" i="14"/>
  <c r="DV26" i="4"/>
  <c r="DY26" i="4" s="1"/>
  <c r="EU26" i="4"/>
  <c r="JT18" i="4"/>
  <c r="JW18" i="4" s="1"/>
  <c r="MH26" i="4"/>
  <c r="MK26" i="4" s="1"/>
  <c r="ER17" i="4"/>
  <c r="EU17" i="4" s="1"/>
  <c r="FN26" i="4"/>
  <c r="FQ26" i="4" s="1"/>
  <c r="HF26" i="4"/>
  <c r="HI26" i="4" s="1"/>
  <c r="GJ26" i="4"/>
  <c r="GM26" i="4" s="1"/>
  <c r="OG26" i="4"/>
  <c r="OE26" i="4"/>
  <c r="OC26" i="4"/>
  <c r="K26" i="4"/>
  <c r="L26" i="4" s="1"/>
  <c r="F26" i="4"/>
  <c r="I26" i="4"/>
  <c r="G26" i="4"/>
  <c r="DV18" i="4"/>
  <c r="DY18" i="4" s="1"/>
  <c r="ER18" i="4"/>
  <c r="EU18" i="4" s="1"/>
  <c r="OG16" i="4"/>
  <c r="FN18" i="4"/>
  <c r="FQ18" i="4" s="1"/>
  <c r="CX16" i="4"/>
  <c r="DA16" i="4" s="1"/>
  <c r="NG18" i="4"/>
  <c r="HF18" i="4"/>
  <c r="HI18" i="4" s="1"/>
  <c r="GJ18" i="4"/>
  <c r="GM18" i="4" s="1"/>
  <c r="OC18" i="4"/>
  <c r="K18" i="4"/>
  <c r="DC18" i="4" s="1"/>
  <c r="F18" i="4"/>
  <c r="I18" i="4"/>
  <c r="G18" i="4"/>
  <c r="OE16" i="4"/>
  <c r="LL16" i="4"/>
  <c r="LO16" i="4" s="1"/>
  <c r="DV16" i="4"/>
  <c r="DY16" i="4" s="1"/>
  <c r="IX17" i="4"/>
  <c r="JA17" i="4" s="1"/>
  <c r="HF17" i="4"/>
  <c r="HI17" i="4" s="1"/>
  <c r="MH17" i="4"/>
  <c r="MK17" i="4" s="1"/>
  <c r="JT17" i="4"/>
  <c r="JW17" i="4" s="1"/>
  <c r="FN17" i="4"/>
  <c r="FQ17" i="4" s="1"/>
  <c r="HF16" i="4"/>
  <c r="HI16" i="4" s="1"/>
  <c r="IB17" i="4"/>
  <c r="IE17" i="4" s="1"/>
  <c r="FN16" i="4"/>
  <c r="FQ16" i="4" s="1"/>
  <c r="ND16" i="4"/>
  <c r="NG16" i="4" s="1"/>
  <c r="IB16" i="4"/>
  <c r="IE16" i="4" s="1"/>
  <c r="GJ16" i="4"/>
  <c r="GM16" i="4" s="1"/>
  <c r="OC16" i="4"/>
  <c r="K16" i="4"/>
  <c r="DC16" i="4" s="1"/>
  <c r="F16" i="4"/>
  <c r="I16" i="4"/>
  <c r="G16" i="4"/>
  <c r="ND17" i="4"/>
  <c r="NG17" i="4" s="1"/>
  <c r="DV17" i="4"/>
  <c r="DY17" i="4" s="1"/>
  <c r="CX17" i="4"/>
  <c r="DA17" i="4" s="1"/>
  <c r="OG17" i="4"/>
  <c r="LL17" i="4"/>
  <c r="LO17" i="4" s="1"/>
  <c r="OE17" i="4"/>
  <c r="GJ17" i="4"/>
  <c r="GM17" i="4" s="1"/>
  <c r="OC17" i="4"/>
  <c r="K17" i="4"/>
  <c r="DC17" i="4" s="1"/>
  <c r="F17" i="4"/>
  <c r="I17" i="4"/>
  <c r="G17" i="4"/>
  <c r="CO13" i="15"/>
  <c r="CP13" i="15"/>
  <c r="CQ13" i="15"/>
  <c r="CR13" i="15"/>
  <c r="CS13" i="15"/>
  <c r="DQ13" i="15"/>
  <c r="DR13" i="15"/>
  <c r="DS13" i="15"/>
  <c r="DT13" i="15"/>
  <c r="DU13" i="15"/>
  <c r="EQ13" i="15"/>
  <c r="ER13" i="15"/>
  <c r="ES13" i="15"/>
  <c r="ET13" i="15"/>
  <c r="EU13" i="15"/>
  <c r="FQ13" i="15"/>
  <c r="FR13" i="15"/>
  <c r="FS13" i="15"/>
  <c r="FT13" i="15"/>
  <c r="FU13" i="15"/>
  <c r="GQ13" i="15"/>
  <c r="GR13" i="15"/>
  <c r="GS13" i="15"/>
  <c r="GT13" i="15"/>
  <c r="GU13" i="15"/>
  <c r="HQ13" i="15"/>
  <c r="HR13" i="15"/>
  <c r="HS13" i="15"/>
  <c r="HT13" i="15"/>
  <c r="HU13" i="15"/>
  <c r="IQ13" i="15"/>
  <c r="IR13" i="15"/>
  <c r="IS13" i="15"/>
  <c r="IT13" i="15"/>
  <c r="IU13" i="15"/>
  <c r="JQ13" i="15"/>
  <c r="JR13" i="15"/>
  <c r="JS13" i="15"/>
  <c r="JT13" i="15"/>
  <c r="JU13" i="15"/>
  <c r="KQ13" i="15"/>
  <c r="KR13" i="15"/>
  <c r="KS13" i="15"/>
  <c r="KT13" i="15"/>
  <c r="KU13" i="15"/>
  <c r="LQ13" i="15"/>
  <c r="LR13" i="15"/>
  <c r="LS13" i="15"/>
  <c r="LT13" i="15"/>
  <c r="LU13" i="15"/>
  <c r="MQ13" i="15"/>
  <c r="MR13" i="15"/>
  <c r="MS13" i="15"/>
  <c r="MT13" i="15"/>
  <c r="MU13" i="15"/>
  <c r="NQ13" i="15"/>
  <c r="NR13" i="15"/>
  <c r="NS13" i="15"/>
  <c r="NT13" i="15"/>
  <c r="NU13" i="15"/>
  <c r="OQ13" i="15"/>
  <c r="OR13" i="15"/>
  <c r="OS13" i="15"/>
  <c r="OT13" i="15"/>
  <c r="OU13" i="15"/>
  <c r="OW13" i="15"/>
  <c r="OX13" i="15"/>
  <c r="OY13" i="15"/>
  <c r="OZ13" i="15"/>
  <c r="PA13" i="15"/>
  <c r="PB13" i="15"/>
  <c r="PC13" i="15"/>
  <c r="PD13" i="15"/>
  <c r="PE13" i="15"/>
  <c r="PF13" i="15"/>
  <c r="PG13" i="15"/>
  <c r="PH13" i="15"/>
  <c r="PI13" i="15"/>
  <c r="PJ13" i="15"/>
  <c r="PK13" i="15"/>
  <c r="PL13" i="15"/>
  <c r="PM13" i="15"/>
  <c r="PN13" i="15"/>
  <c r="PO13" i="15"/>
  <c r="PP13" i="15"/>
  <c r="CS6" i="4"/>
  <c r="CT6" i="4"/>
  <c r="CU6" i="4"/>
  <c r="CV6" i="4"/>
  <c r="CW6" i="4"/>
  <c r="CY6" i="4"/>
  <c r="CZ6" i="4"/>
  <c r="DS6" i="4"/>
  <c r="DT6" i="4"/>
  <c r="DU6" i="4"/>
  <c r="DW6" i="4"/>
  <c r="DX6" i="4"/>
  <c r="EO6" i="4"/>
  <c r="EP6" i="4"/>
  <c r="EQ6" i="4"/>
  <c r="ES6" i="4"/>
  <c r="ET6" i="4"/>
  <c r="FK6" i="4"/>
  <c r="FL6" i="4"/>
  <c r="FM6" i="4"/>
  <c r="FO6" i="4"/>
  <c r="FP6" i="4"/>
  <c r="GG6" i="4"/>
  <c r="GH6" i="4"/>
  <c r="GI6" i="4"/>
  <c r="GK6" i="4"/>
  <c r="GL6" i="4"/>
  <c r="HC6" i="4"/>
  <c r="HD6" i="4"/>
  <c r="HE6" i="4"/>
  <c r="HG6" i="4"/>
  <c r="HH6" i="4"/>
  <c r="HY6" i="4"/>
  <c r="HZ6" i="4"/>
  <c r="IA6" i="4"/>
  <c r="IC6" i="4"/>
  <c r="ID6" i="4"/>
  <c r="IU6" i="4"/>
  <c r="IV6" i="4"/>
  <c r="IW6" i="4"/>
  <c r="IY6" i="4"/>
  <c r="IZ6" i="4"/>
  <c r="JQ6" i="4"/>
  <c r="JR6" i="4"/>
  <c r="JS6" i="4"/>
  <c r="JU6" i="4"/>
  <c r="JV6" i="4"/>
  <c r="KM6" i="4"/>
  <c r="KN6" i="4"/>
  <c r="KO6" i="4"/>
  <c r="KQ6" i="4"/>
  <c r="KR6" i="4"/>
  <c r="LI6" i="4"/>
  <c r="LJ6" i="4"/>
  <c r="LK6" i="4"/>
  <c r="LM6" i="4"/>
  <c r="LN6" i="4"/>
  <c r="ME6" i="4"/>
  <c r="MF6" i="4"/>
  <c r="MG6" i="4"/>
  <c r="MI6" i="4"/>
  <c r="MJ6" i="4"/>
  <c r="NA6" i="4"/>
  <c r="NB6" i="4"/>
  <c r="NC6" i="4"/>
  <c r="NE6" i="4"/>
  <c r="NF6" i="4"/>
  <c r="NH6" i="4"/>
  <c r="NI6" i="4"/>
  <c r="NJ6" i="4"/>
  <c r="NK6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9" i="15" l="1"/>
  <c r="DV13" i="15"/>
  <c r="PW20" i="17"/>
  <c r="IV13" i="15"/>
  <c r="OH30" i="14"/>
  <c r="OH18" i="4"/>
  <c r="OH26" i="4"/>
  <c r="PW21" i="17"/>
  <c r="PW22" i="17"/>
  <c r="N15" i="15"/>
  <c r="L29" i="14"/>
  <c r="CV21" i="17"/>
  <c r="CV20" i="17"/>
  <c r="PW7" i="17"/>
  <c r="A21" i="17"/>
  <c r="H21" i="17"/>
  <c r="J21" i="17"/>
  <c r="L21" i="17"/>
  <c r="CU21" i="17"/>
  <c r="CV7" i="17"/>
  <c r="A20" i="17"/>
  <c r="H20" i="17"/>
  <c r="J20" i="17"/>
  <c r="L20" i="17"/>
  <c r="CU20" i="17"/>
  <c r="H7" i="17"/>
  <c r="J7" i="17"/>
  <c r="L7" i="17"/>
  <c r="CU7" i="17"/>
  <c r="CV22" i="17"/>
  <c r="A22" i="17"/>
  <c r="H22" i="17"/>
  <c r="J22" i="17"/>
  <c r="L22" i="17"/>
  <c r="CU22" i="17"/>
  <c r="PW15" i="15"/>
  <c r="PW9" i="15"/>
  <c r="PW10" i="15"/>
  <c r="A15" i="15"/>
  <c r="H15" i="15"/>
  <c r="J15" i="15"/>
  <c r="L15" i="15"/>
  <c r="CU15" i="15"/>
  <c r="O15" i="15" s="1"/>
  <c r="CT13" i="15"/>
  <c r="MV13" i="15"/>
  <c r="EV13" i="15"/>
  <c r="KV13" i="15"/>
  <c r="HV13" i="15"/>
  <c r="H9" i="15"/>
  <c r="J9" i="15"/>
  <c r="L9" i="15"/>
  <c r="CU9" i="15"/>
  <c r="O9" i="15" s="1"/>
  <c r="N10" i="15"/>
  <c r="NV13" i="15"/>
  <c r="A10" i="15"/>
  <c r="H10" i="15"/>
  <c r="J10" i="15"/>
  <c r="L10" i="15"/>
  <c r="CU10" i="15"/>
  <c r="O10" i="15" s="1"/>
  <c r="PR13" i="15"/>
  <c r="PU13" i="15"/>
  <c r="LV13" i="15"/>
  <c r="A30" i="14" a="1"/>
  <c r="A30" i="14" s="1"/>
  <c r="DC30" i="14"/>
  <c r="M30" i="14" s="1"/>
  <c r="L30" i="14"/>
  <c r="J30" i="14"/>
  <c r="H30" i="14"/>
  <c r="DB29" i="14"/>
  <c r="M29" i="14" s="1"/>
  <c r="OH29" i="14"/>
  <c r="A29" i="14" a="1"/>
  <c r="A29" i="14" s="1"/>
  <c r="J29" i="14"/>
  <c r="H29" i="14"/>
  <c r="DC26" i="14"/>
  <c r="M26" i="14" s="1"/>
  <c r="N26" i="14" s="1"/>
  <c r="OH26" i="14"/>
  <c r="OH27" i="14"/>
  <c r="L26" i="14"/>
  <c r="H26" i="14"/>
  <c r="J26" i="14"/>
  <c r="A26" i="14" a="1"/>
  <c r="A26" i="14" s="1"/>
  <c r="DB27" i="14"/>
  <c r="DC27" i="14"/>
  <c r="A27" i="14" a="1"/>
  <c r="A27" i="14" s="1"/>
  <c r="H27" i="14"/>
  <c r="J27" i="14"/>
  <c r="OH16" i="4"/>
  <c r="H17" i="4"/>
  <c r="DB26" i="4"/>
  <c r="A26" i="4" a="1"/>
  <c r="A26" i="4" s="1"/>
  <c r="DC26" i="4"/>
  <c r="J26" i="4"/>
  <c r="H26" i="4"/>
  <c r="L18" i="4"/>
  <c r="JT6" i="4"/>
  <c r="JW6" i="4" s="1"/>
  <c r="DB18" i="4"/>
  <c r="M18" i="4" s="1"/>
  <c r="O18" i="4" s="1"/>
  <c r="MH6" i="4"/>
  <c r="MK6" i="4" s="1"/>
  <c r="FN6" i="4"/>
  <c r="FQ6" i="4" s="1"/>
  <c r="H18" i="4"/>
  <c r="J18" i="4"/>
  <c r="A18" i="4" a="1"/>
  <c r="A18" i="4" s="1"/>
  <c r="ER6" i="4"/>
  <c r="EU6" i="4" s="1"/>
  <c r="L17" i="4"/>
  <c r="DB17" i="4"/>
  <c r="M17" i="4" s="1"/>
  <c r="L16" i="4"/>
  <c r="DB16" i="4"/>
  <c r="M16" i="4" s="1"/>
  <c r="H16" i="4"/>
  <c r="A16" i="4" a="1"/>
  <c r="A16" i="4" s="1"/>
  <c r="J16" i="4"/>
  <c r="KP6" i="4"/>
  <c r="KS6" i="4" s="1"/>
  <c r="ND6" i="4"/>
  <c r="NG6" i="4" s="1"/>
  <c r="OH17" i="4"/>
  <c r="OE6" i="4"/>
  <c r="J17" i="4"/>
  <c r="IB6" i="4"/>
  <c r="IE6" i="4" s="1"/>
  <c r="GJ6" i="4"/>
  <c r="GM6" i="4" s="1"/>
  <c r="LL6" i="4"/>
  <c r="LO6" i="4" s="1"/>
  <c r="IX6" i="4"/>
  <c r="JA6" i="4" s="1"/>
  <c r="DV6" i="4"/>
  <c r="DY6" i="4" s="1"/>
  <c r="CX6" i="4"/>
  <c r="DA6" i="4" s="1"/>
  <c r="PS13" i="15"/>
  <c r="PT13" i="15"/>
  <c r="OV13" i="15"/>
  <c r="JV13" i="15"/>
  <c r="GV13" i="15"/>
  <c r="FV13" i="15"/>
  <c r="M13" i="15"/>
  <c r="CV13" i="15" s="1"/>
  <c r="PV13" i="15"/>
  <c r="G13" i="15"/>
  <c r="F13" i="15"/>
  <c r="K13" i="15"/>
  <c r="I13" i="15"/>
  <c r="HF6" i="4"/>
  <c r="HI6" i="4" s="1"/>
  <c r="OG6" i="4"/>
  <c r="OC6" i="4"/>
  <c r="K6" i="4"/>
  <c r="DC6" i="4" s="1"/>
  <c r="F6" i="4"/>
  <c r="I6" i="4"/>
  <c r="G6" i="4"/>
  <c r="OK29" i="14" l="1"/>
  <c r="OK30" i="14"/>
  <c r="O21" i="17"/>
  <c r="E21" i="17" s="1"/>
  <c r="O20" i="17"/>
  <c r="P20" i="17" s="1"/>
  <c r="O7" i="17"/>
  <c r="P7" i="17" s="1"/>
  <c r="O22" i="17"/>
  <c r="P22" i="17" s="1"/>
  <c r="E15" i="15"/>
  <c r="P15" i="15"/>
  <c r="Q15" i="15"/>
  <c r="PW13" i="15"/>
  <c r="E9" i="15"/>
  <c r="P9" i="15"/>
  <c r="Q9" i="15"/>
  <c r="E10" i="15"/>
  <c r="P10" i="15"/>
  <c r="Q10" i="15"/>
  <c r="M27" i="14"/>
  <c r="E27" i="14" s="1"/>
  <c r="E30" i="14"/>
  <c r="N30" i="14"/>
  <c r="O30" i="14"/>
  <c r="N29" i="14"/>
  <c r="O29" i="14"/>
  <c r="E29" i="14"/>
  <c r="O26" i="14"/>
  <c r="E26" i="14"/>
  <c r="M26" i="4"/>
  <c r="E26" i="4" s="1"/>
  <c r="N18" i="4"/>
  <c r="E18" i="4"/>
  <c r="E16" i="4"/>
  <c r="N16" i="4"/>
  <c r="O16" i="4"/>
  <c r="E17" i="4"/>
  <c r="A17" i="4" s="1" a="1"/>
  <c r="A17" i="4" s="1"/>
  <c r="O17" i="4"/>
  <c r="N17" i="4"/>
  <c r="N13" i="15"/>
  <c r="H13" i="15"/>
  <c r="J13" i="15"/>
  <c r="L13" i="15"/>
  <c r="CU13" i="15"/>
  <c r="O13" i="15" s="1"/>
  <c r="OH6" i="4"/>
  <c r="DB6" i="4"/>
  <c r="M6" i="4" s="1"/>
  <c r="L6" i="4"/>
  <c r="J6" i="4"/>
  <c r="H6" i="4"/>
  <c r="E22" i="17" l="1"/>
  <c r="Q21" i="17"/>
  <c r="P21" i="17"/>
  <c r="Q20" i="17"/>
  <c r="E20" i="17"/>
  <c r="E7" i="17"/>
  <c r="Q7" i="17"/>
  <c r="Q22" i="17"/>
  <c r="O27" i="14"/>
  <c r="N27" i="14"/>
  <c r="O26" i="4"/>
  <c r="N26" i="4"/>
  <c r="E13" i="15"/>
  <c r="A13" i="15" s="1"/>
  <c r="P13" i="15"/>
  <c r="Q13" i="15"/>
  <c r="O6" i="4"/>
  <c r="N6" i="4"/>
  <c r="E6" i="4"/>
  <c r="NU13" i="17" l="1"/>
  <c r="NT13" i="17"/>
  <c r="NS13" i="17"/>
  <c r="NR13" i="17"/>
  <c r="NQ13" i="17"/>
  <c r="NU23" i="17"/>
  <c r="NT23" i="17"/>
  <c r="NS23" i="17"/>
  <c r="NR23" i="17"/>
  <c r="NQ23" i="17"/>
  <c r="NU15" i="17"/>
  <c r="NT15" i="17"/>
  <c r="NS15" i="17"/>
  <c r="NR15" i="17"/>
  <c r="NQ15" i="17"/>
  <c r="NU19" i="17"/>
  <c r="NT19" i="17"/>
  <c r="NS19" i="17"/>
  <c r="NR19" i="17"/>
  <c r="NQ19" i="17"/>
  <c r="NU16" i="17"/>
  <c r="NT16" i="17"/>
  <c r="NS16" i="17"/>
  <c r="NR16" i="17"/>
  <c r="NQ16" i="17"/>
  <c r="NU12" i="17"/>
  <c r="NT12" i="17"/>
  <c r="NS12" i="17"/>
  <c r="NR12" i="17"/>
  <c r="NQ12" i="17"/>
  <c r="NU18" i="17"/>
  <c r="NT18" i="17"/>
  <c r="NS18" i="17"/>
  <c r="NR18" i="17"/>
  <c r="NQ18" i="17"/>
  <c r="NU14" i="17"/>
  <c r="NT14" i="17"/>
  <c r="NS14" i="17"/>
  <c r="NR14" i="17"/>
  <c r="NQ14" i="17"/>
  <c r="NU17" i="17"/>
  <c r="NT17" i="17"/>
  <c r="NS17" i="17"/>
  <c r="NR17" i="17"/>
  <c r="NQ17" i="17"/>
  <c r="NU6" i="17"/>
  <c r="NT6" i="17"/>
  <c r="NS6" i="17"/>
  <c r="NR6" i="17"/>
  <c r="NQ6" i="17"/>
  <c r="NU11" i="17"/>
  <c r="NT11" i="17"/>
  <c r="NS11" i="17"/>
  <c r="NR11" i="17"/>
  <c r="NQ11" i="17"/>
  <c r="NU10" i="17"/>
  <c r="NT10" i="17"/>
  <c r="NS10" i="17"/>
  <c r="NR10" i="17"/>
  <c r="NQ10" i="17"/>
  <c r="NU5" i="17"/>
  <c r="NT5" i="17"/>
  <c r="NS5" i="17"/>
  <c r="NR5" i="17"/>
  <c r="NQ5" i="17"/>
  <c r="NU8" i="17"/>
  <c r="NT8" i="17"/>
  <c r="NS8" i="17"/>
  <c r="NR8" i="17"/>
  <c r="NQ8" i="17"/>
  <c r="NU9" i="17"/>
  <c r="NT9" i="17"/>
  <c r="NS9" i="17"/>
  <c r="NR9" i="17"/>
  <c r="NQ9" i="17"/>
  <c r="NU4" i="17"/>
  <c r="NT4" i="17"/>
  <c r="NS4" i="17"/>
  <c r="NR4" i="17"/>
  <c r="NQ4" i="17"/>
  <c r="MU13" i="17"/>
  <c r="MT13" i="17"/>
  <c r="MS13" i="17"/>
  <c r="MR13" i="17"/>
  <c r="MQ13" i="17"/>
  <c r="MU23" i="17"/>
  <c r="MT23" i="17"/>
  <c r="MS23" i="17"/>
  <c r="MR23" i="17"/>
  <c r="MQ23" i="17"/>
  <c r="MU15" i="17"/>
  <c r="MT15" i="17"/>
  <c r="MS15" i="17"/>
  <c r="MR15" i="17"/>
  <c r="MQ15" i="17"/>
  <c r="MU19" i="17"/>
  <c r="MT19" i="17"/>
  <c r="MS19" i="17"/>
  <c r="MR19" i="17"/>
  <c r="MQ19" i="17"/>
  <c r="MU16" i="17"/>
  <c r="MT16" i="17"/>
  <c r="MS16" i="17"/>
  <c r="MR16" i="17"/>
  <c r="MQ16" i="17"/>
  <c r="MU12" i="17"/>
  <c r="MT12" i="17"/>
  <c r="MS12" i="17"/>
  <c r="MR12" i="17"/>
  <c r="MQ12" i="17"/>
  <c r="MU18" i="17"/>
  <c r="MT18" i="17"/>
  <c r="MS18" i="17"/>
  <c r="MR18" i="17"/>
  <c r="MQ18" i="17"/>
  <c r="MU14" i="17"/>
  <c r="MT14" i="17"/>
  <c r="MS14" i="17"/>
  <c r="MR14" i="17"/>
  <c r="MQ14" i="17"/>
  <c r="MU17" i="17"/>
  <c r="MT17" i="17"/>
  <c r="MS17" i="17"/>
  <c r="MR17" i="17"/>
  <c r="MQ17" i="17"/>
  <c r="MU6" i="17"/>
  <c r="MT6" i="17"/>
  <c r="MS6" i="17"/>
  <c r="MR6" i="17"/>
  <c r="MQ6" i="17"/>
  <c r="MU11" i="17"/>
  <c r="MT11" i="17"/>
  <c r="MS11" i="17"/>
  <c r="MR11" i="17"/>
  <c r="MQ11" i="17"/>
  <c r="MU10" i="17"/>
  <c r="MT10" i="17"/>
  <c r="MS10" i="17"/>
  <c r="MR10" i="17"/>
  <c r="MQ10" i="17"/>
  <c r="MU5" i="17"/>
  <c r="MT5" i="17"/>
  <c r="MS5" i="17"/>
  <c r="MR5" i="17"/>
  <c r="MQ5" i="17"/>
  <c r="MU8" i="17"/>
  <c r="MT8" i="17"/>
  <c r="MS8" i="17"/>
  <c r="MR8" i="17"/>
  <c r="MQ8" i="17"/>
  <c r="MU9" i="17"/>
  <c r="MT9" i="17"/>
  <c r="MS9" i="17"/>
  <c r="MR9" i="17"/>
  <c r="MQ9" i="17"/>
  <c r="MU4" i="17"/>
  <c r="MT4" i="17"/>
  <c r="MS4" i="17"/>
  <c r="MR4" i="17"/>
  <c r="MQ4" i="17"/>
  <c r="LU13" i="17"/>
  <c r="LT13" i="17"/>
  <c r="LS13" i="17"/>
  <c r="LR13" i="17"/>
  <c r="LQ13" i="17"/>
  <c r="LU23" i="17"/>
  <c r="LT23" i="17"/>
  <c r="LS23" i="17"/>
  <c r="LR23" i="17"/>
  <c r="LQ23" i="17"/>
  <c r="LU15" i="17"/>
  <c r="LT15" i="17"/>
  <c r="LS15" i="17"/>
  <c r="LR15" i="17"/>
  <c r="LQ15" i="17"/>
  <c r="LU19" i="17"/>
  <c r="LT19" i="17"/>
  <c r="LS19" i="17"/>
  <c r="LR19" i="17"/>
  <c r="LQ19" i="17"/>
  <c r="LU16" i="17"/>
  <c r="LT16" i="17"/>
  <c r="LS16" i="17"/>
  <c r="LR16" i="17"/>
  <c r="LQ16" i="17"/>
  <c r="LU12" i="17"/>
  <c r="LT12" i="17"/>
  <c r="LS12" i="17"/>
  <c r="LR12" i="17"/>
  <c r="LQ12" i="17"/>
  <c r="LU18" i="17"/>
  <c r="LT18" i="17"/>
  <c r="LS18" i="17"/>
  <c r="LR18" i="17"/>
  <c r="LQ18" i="17"/>
  <c r="LU14" i="17"/>
  <c r="LT14" i="17"/>
  <c r="LS14" i="17"/>
  <c r="LR14" i="17"/>
  <c r="LQ14" i="17"/>
  <c r="LU17" i="17"/>
  <c r="LT17" i="17"/>
  <c r="LS17" i="17"/>
  <c r="LR17" i="17"/>
  <c r="LQ17" i="17"/>
  <c r="LU6" i="17"/>
  <c r="LT6" i="17"/>
  <c r="LS6" i="17"/>
  <c r="LR6" i="17"/>
  <c r="LQ6" i="17"/>
  <c r="LU11" i="17"/>
  <c r="LT11" i="17"/>
  <c r="LS11" i="17"/>
  <c r="LR11" i="17"/>
  <c r="LQ11" i="17"/>
  <c r="LU10" i="17"/>
  <c r="LT10" i="17"/>
  <c r="LS10" i="17"/>
  <c r="LR10" i="17"/>
  <c r="LQ10" i="17"/>
  <c r="LU5" i="17"/>
  <c r="LT5" i="17"/>
  <c r="LS5" i="17"/>
  <c r="LR5" i="17"/>
  <c r="LQ5" i="17"/>
  <c r="LU8" i="17"/>
  <c r="LT8" i="17"/>
  <c r="LS8" i="17"/>
  <c r="LR8" i="17"/>
  <c r="LQ8" i="17"/>
  <c r="LU9" i="17"/>
  <c r="LT9" i="17"/>
  <c r="LS9" i="17"/>
  <c r="LR9" i="17"/>
  <c r="LQ9" i="17"/>
  <c r="LU4" i="17"/>
  <c r="LT4" i="17"/>
  <c r="LS4" i="17"/>
  <c r="LR4" i="17"/>
  <c r="LQ4" i="17"/>
  <c r="KU13" i="17"/>
  <c r="KT13" i="17"/>
  <c r="KS13" i="17"/>
  <c r="KR13" i="17"/>
  <c r="KQ13" i="17"/>
  <c r="KU23" i="17"/>
  <c r="KT23" i="17"/>
  <c r="KS23" i="17"/>
  <c r="KR23" i="17"/>
  <c r="KQ23" i="17"/>
  <c r="KU15" i="17"/>
  <c r="KT15" i="17"/>
  <c r="KS15" i="17"/>
  <c r="KR15" i="17"/>
  <c r="KQ15" i="17"/>
  <c r="KU19" i="17"/>
  <c r="KT19" i="17"/>
  <c r="KS19" i="17"/>
  <c r="KR19" i="17"/>
  <c r="KQ19" i="17"/>
  <c r="KU16" i="17"/>
  <c r="KT16" i="17"/>
  <c r="KS16" i="17"/>
  <c r="KR16" i="17"/>
  <c r="KQ16" i="17"/>
  <c r="KU12" i="17"/>
  <c r="KT12" i="17"/>
  <c r="KS12" i="17"/>
  <c r="KR12" i="17"/>
  <c r="KQ12" i="17"/>
  <c r="KU18" i="17"/>
  <c r="KT18" i="17"/>
  <c r="KS18" i="17"/>
  <c r="KR18" i="17"/>
  <c r="KQ18" i="17"/>
  <c r="KU14" i="17"/>
  <c r="KT14" i="17"/>
  <c r="KS14" i="17"/>
  <c r="KR14" i="17"/>
  <c r="KQ14" i="17"/>
  <c r="KU17" i="17"/>
  <c r="KT17" i="17"/>
  <c r="KS17" i="17"/>
  <c r="KR17" i="17"/>
  <c r="KQ17" i="17"/>
  <c r="KU6" i="17"/>
  <c r="KT6" i="17"/>
  <c r="KS6" i="17"/>
  <c r="KR6" i="17"/>
  <c r="KQ6" i="17"/>
  <c r="KU11" i="17"/>
  <c r="KT11" i="17"/>
  <c r="KS11" i="17"/>
  <c r="KR11" i="17"/>
  <c r="KQ11" i="17"/>
  <c r="KU10" i="17"/>
  <c r="KT10" i="17"/>
  <c r="KS10" i="17"/>
  <c r="KR10" i="17"/>
  <c r="KQ10" i="17"/>
  <c r="KU5" i="17"/>
  <c r="KT5" i="17"/>
  <c r="KS5" i="17"/>
  <c r="KR5" i="17"/>
  <c r="KQ5" i="17"/>
  <c r="KU8" i="17"/>
  <c r="KT8" i="17"/>
  <c r="KS8" i="17"/>
  <c r="KR8" i="17"/>
  <c r="KQ8" i="17"/>
  <c r="KU9" i="17"/>
  <c r="KT9" i="17"/>
  <c r="KS9" i="17"/>
  <c r="KR9" i="17"/>
  <c r="KQ9" i="17"/>
  <c r="KU4" i="17"/>
  <c r="KT4" i="17"/>
  <c r="KS4" i="17"/>
  <c r="KR4" i="17"/>
  <c r="KQ4" i="17"/>
  <c r="JU13" i="17"/>
  <c r="JT13" i="17"/>
  <c r="JS13" i="17"/>
  <c r="JR13" i="17"/>
  <c r="JQ13" i="17"/>
  <c r="JU23" i="17"/>
  <c r="JT23" i="17"/>
  <c r="JS23" i="17"/>
  <c r="JR23" i="17"/>
  <c r="JQ23" i="17"/>
  <c r="JU15" i="17"/>
  <c r="JT15" i="17"/>
  <c r="JS15" i="17"/>
  <c r="JR15" i="17"/>
  <c r="JQ15" i="17"/>
  <c r="JU19" i="17"/>
  <c r="JT19" i="17"/>
  <c r="JS19" i="17"/>
  <c r="JR19" i="17"/>
  <c r="JQ19" i="17"/>
  <c r="JU16" i="17"/>
  <c r="JT16" i="17"/>
  <c r="JS16" i="17"/>
  <c r="JR16" i="17"/>
  <c r="JQ16" i="17"/>
  <c r="JU12" i="17"/>
  <c r="JT12" i="17"/>
  <c r="JS12" i="17"/>
  <c r="JR12" i="17"/>
  <c r="JQ12" i="17"/>
  <c r="JU18" i="17"/>
  <c r="JT18" i="17"/>
  <c r="JS18" i="17"/>
  <c r="JR18" i="17"/>
  <c r="JQ18" i="17"/>
  <c r="JU14" i="17"/>
  <c r="JT14" i="17"/>
  <c r="JS14" i="17"/>
  <c r="JR14" i="17"/>
  <c r="JQ14" i="17"/>
  <c r="JU17" i="17"/>
  <c r="JT17" i="17"/>
  <c r="JS17" i="17"/>
  <c r="JR17" i="17"/>
  <c r="JQ17" i="17"/>
  <c r="JU6" i="17"/>
  <c r="JT6" i="17"/>
  <c r="JS6" i="17"/>
  <c r="JR6" i="17"/>
  <c r="JQ6" i="17"/>
  <c r="JU11" i="17"/>
  <c r="JT11" i="17"/>
  <c r="JS11" i="17"/>
  <c r="JR11" i="17"/>
  <c r="JQ11" i="17"/>
  <c r="JU10" i="17"/>
  <c r="JT10" i="17"/>
  <c r="JS10" i="17"/>
  <c r="JR10" i="17"/>
  <c r="JQ10" i="17"/>
  <c r="JU5" i="17"/>
  <c r="JT5" i="17"/>
  <c r="JS5" i="17"/>
  <c r="JR5" i="17"/>
  <c r="JQ5" i="17"/>
  <c r="JU8" i="17"/>
  <c r="JT8" i="17"/>
  <c r="JS8" i="17"/>
  <c r="JR8" i="17"/>
  <c r="JQ8" i="17"/>
  <c r="JU9" i="17"/>
  <c r="JT9" i="17"/>
  <c r="JS9" i="17"/>
  <c r="JR9" i="17"/>
  <c r="JQ9" i="17"/>
  <c r="JU4" i="17"/>
  <c r="JT4" i="17"/>
  <c r="JS4" i="17"/>
  <c r="JR4" i="17"/>
  <c r="JQ4" i="17"/>
  <c r="IU13" i="17"/>
  <c r="IT13" i="17"/>
  <c r="IS13" i="17"/>
  <c r="IR13" i="17"/>
  <c r="IQ13" i="17"/>
  <c r="IU23" i="17"/>
  <c r="IT23" i="17"/>
  <c r="IS23" i="17"/>
  <c r="IR23" i="17"/>
  <c r="IQ23" i="17"/>
  <c r="IU15" i="17"/>
  <c r="IT15" i="17"/>
  <c r="IS15" i="17"/>
  <c r="IR15" i="17"/>
  <c r="IQ15" i="17"/>
  <c r="IU19" i="17"/>
  <c r="IT19" i="17"/>
  <c r="IS19" i="17"/>
  <c r="IR19" i="17"/>
  <c r="IQ19" i="17"/>
  <c r="IU16" i="17"/>
  <c r="IT16" i="17"/>
  <c r="IS16" i="17"/>
  <c r="IR16" i="17"/>
  <c r="IQ16" i="17"/>
  <c r="IU12" i="17"/>
  <c r="IT12" i="17"/>
  <c r="IS12" i="17"/>
  <c r="IR12" i="17"/>
  <c r="IQ12" i="17"/>
  <c r="IU18" i="17"/>
  <c r="IT18" i="17"/>
  <c r="IS18" i="17"/>
  <c r="IR18" i="17"/>
  <c r="IQ18" i="17"/>
  <c r="IU14" i="17"/>
  <c r="IT14" i="17"/>
  <c r="IS14" i="17"/>
  <c r="IR14" i="17"/>
  <c r="IQ14" i="17"/>
  <c r="IU17" i="17"/>
  <c r="IT17" i="17"/>
  <c r="IS17" i="17"/>
  <c r="IR17" i="17"/>
  <c r="IQ17" i="17"/>
  <c r="IU6" i="17"/>
  <c r="IT6" i="17"/>
  <c r="IS6" i="17"/>
  <c r="IR6" i="17"/>
  <c r="IQ6" i="17"/>
  <c r="IU11" i="17"/>
  <c r="IT11" i="17"/>
  <c r="IS11" i="17"/>
  <c r="IR11" i="17"/>
  <c r="IQ11" i="17"/>
  <c r="IU10" i="17"/>
  <c r="IT10" i="17"/>
  <c r="IS10" i="17"/>
  <c r="IR10" i="17"/>
  <c r="IQ10" i="17"/>
  <c r="IU5" i="17"/>
  <c r="IT5" i="17"/>
  <c r="IS5" i="17"/>
  <c r="IR5" i="17"/>
  <c r="IQ5" i="17"/>
  <c r="IU8" i="17"/>
  <c r="IT8" i="17"/>
  <c r="IS8" i="17"/>
  <c r="IR8" i="17"/>
  <c r="IQ8" i="17"/>
  <c r="IU9" i="17"/>
  <c r="IT9" i="17"/>
  <c r="IS9" i="17"/>
  <c r="IR9" i="17"/>
  <c r="IQ9" i="17"/>
  <c r="IU4" i="17"/>
  <c r="IT4" i="17"/>
  <c r="IS4" i="17"/>
  <c r="IR4" i="17"/>
  <c r="IQ4" i="17"/>
  <c r="HU13" i="17"/>
  <c r="HT13" i="17"/>
  <c r="HS13" i="17"/>
  <c r="HR13" i="17"/>
  <c r="HQ13" i="17"/>
  <c r="HU23" i="17"/>
  <c r="HT23" i="17"/>
  <c r="HS23" i="17"/>
  <c r="HR23" i="17"/>
  <c r="HQ23" i="17"/>
  <c r="HU15" i="17"/>
  <c r="HT15" i="17"/>
  <c r="HS15" i="17"/>
  <c r="HR15" i="17"/>
  <c r="HQ15" i="17"/>
  <c r="HU19" i="17"/>
  <c r="HT19" i="17"/>
  <c r="HS19" i="17"/>
  <c r="HR19" i="17"/>
  <c r="HQ19" i="17"/>
  <c r="HU16" i="17"/>
  <c r="HT16" i="17"/>
  <c r="HS16" i="17"/>
  <c r="HR16" i="17"/>
  <c r="HQ16" i="17"/>
  <c r="HU12" i="17"/>
  <c r="HT12" i="17"/>
  <c r="HS12" i="17"/>
  <c r="HR12" i="17"/>
  <c r="HQ12" i="17"/>
  <c r="HU18" i="17"/>
  <c r="HT18" i="17"/>
  <c r="HS18" i="17"/>
  <c r="HR18" i="17"/>
  <c r="HQ18" i="17"/>
  <c r="HU14" i="17"/>
  <c r="HT14" i="17"/>
  <c r="HS14" i="17"/>
  <c r="HR14" i="17"/>
  <c r="HQ14" i="17"/>
  <c r="HU17" i="17"/>
  <c r="HT17" i="17"/>
  <c r="HS17" i="17"/>
  <c r="HR17" i="17"/>
  <c r="HQ17" i="17"/>
  <c r="HU6" i="17"/>
  <c r="HT6" i="17"/>
  <c r="HS6" i="17"/>
  <c r="HR6" i="17"/>
  <c r="HQ6" i="17"/>
  <c r="HU11" i="17"/>
  <c r="HT11" i="17"/>
  <c r="HS11" i="17"/>
  <c r="HR11" i="17"/>
  <c r="HQ11" i="17"/>
  <c r="HU10" i="17"/>
  <c r="HT10" i="17"/>
  <c r="HS10" i="17"/>
  <c r="HR10" i="17"/>
  <c r="HQ10" i="17"/>
  <c r="HU5" i="17"/>
  <c r="HT5" i="17"/>
  <c r="HS5" i="17"/>
  <c r="HR5" i="17"/>
  <c r="HQ5" i="17"/>
  <c r="HU8" i="17"/>
  <c r="HT8" i="17"/>
  <c r="HS8" i="17"/>
  <c r="HR8" i="17"/>
  <c r="HQ8" i="17"/>
  <c r="HU9" i="17"/>
  <c r="HT9" i="17"/>
  <c r="HS9" i="17"/>
  <c r="HR9" i="17"/>
  <c r="HQ9" i="17"/>
  <c r="HU4" i="17"/>
  <c r="HT4" i="17"/>
  <c r="HS4" i="17"/>
  <c r="HR4" i="17"/>
  <c r="HQ4" i="17"/>
  <c r="GU13" i="17"/>
  <c r="GT13" i="17"/>
  <c r="GS13" i="17"/>
  <c r="GR13" i="17"/>
  <c r="GQ13" i="17"/>
  <c r="GU23" i="17"/>
  <c r="GT23" i="17"/>
  <c r="GS23" i="17"/>
  <c r="GR23" i="17"/>
  <c r="GQ23" i="17"/>
  <c r="GU15" i="17"/>
  <c r="GT15" i="17"/>
  <c r="GS15" i="17"/>
  <c r="GR15" i="17"/>
  <c r="GQ15" i="17"/>
  <c r="GU19" i="17"/>
  <c r="GT19" i="17"/>
  <c r="GS19" i="17"/>
  <c r="GR19" i="17"/>
  <c r="GQ19" i="17"/>
  <c r="GU16" i="17"/>
  <c r="GT16" i="17"/>
  <c r="GS16" i="17"/>
  <c r="GR16" i="17"/>
  <c r="GQ16" i="17"/>
  <c r="GU12" i="17"/>
  <c r="GT12" i="17"/>
  <c r="GS12" i="17"/>
  <c r="GR12" i="17"/>
  <c r="GQ12" i="17"/>
  <c r="GU18" i="17"/>
  <c r="GT18" i="17"/>
  <c r="GS18" i="17"/>
  <c r="GR18" i="17"/>
  <c r="GQ18" i="17"/>
  <c r="GU14" i="17"/>
  <c r="GT14" i="17"/>
  <c r="GS14" i="17"/>
  <c r="GR14" i="17"/>
  <c r="GQ14" i="17"/>
  <c r="GU17" i="17"/>
  <c r="GT17" i="17"/>
  <c r="GS17" i="17"/>
  <c r="GR17" i="17"/>
  <c r="GQ17" i="17"/>
  <c r="GU6" i="17"/>
  <c r="GT6" i="17"/>
  <c r="GS6" i="17"/>
  <c r="GR6" i="17"/>
  <c r="GQ6" i="17"/>
  <c r="GU11" i="17"/>
  <c r="GT11" i="17"/>
  <c r="GS11" i="17"/>
  <c r="GR11" i="17"/>
  <c r="GQ11" i="17"/>
  <c r="GU10" i="17"/>
  <c r="GT10" i="17"/>
  <c r="GS10" i="17"/>
  <c r="GR10" i="17"/>
  <c r="GQ10" i="17"/>
  <c r="GU5" i="17"/>
  <c r="GT5" i="17"/>
  <c r="GS5" i="17"/>
  <c r="GR5" i="17"/>
  <c r="GQ5" i="17"/>
  <c r="GU8" i="17"/>
  <c r="GT8" i="17"/>
  <c r="GS8" i="17"/>
  <c r="GR8" i="17"/>
  <c r="GQ8" i="17"/>
  <c r="GU9" i="17"/>
  <c r="GT9" i="17"/>
  <c r="GS9" i="17"/>
  <c r="GR9" i="17"/>
  <c r="GQ9" i="17"/>
  <c r="GU4" i="17"/>
  <c r="GT4" i="17"/>
  <c r="GS4" i="17"/>
  <c r="GR4" i="17"/>
  <c r="GQ4" i="17"/>
  <c r="FU13" i="17"/>
  <c r="FT13" i="17"/>
  <c r="FS13" i="17"/>
  <c r="FR13" i="17"/>
  <c r="FQ13" i="17"/>
  <c r="FU23" i="17"/>
  <c r="FT23" i="17"/>
  <c r="FS23" i="17"/>
  <c r="FR23" i="17"/>
  <c r="FQ23" i="17"/>
  <c r="FU15" i="17"/>
  <c r="FT15" i="17"/>
  <c r="FS15" i="17"/>
  <c r="FR15" i="17"/>
  <c r="FQ15" i="17"/>
  <c r="FU19" i="17"/>
  <c r="FT19" i="17"/>
  <c r="FS19" i="17"/>
  <c r="FR19" i="17"/>
  <c r="FQ19" i="17"/>
  <c r="FU16" i="17"/>
  <c r="FT16" i="17"/>
  <c r="FS16" i="17"/>
  <c r="FR16" i="17"/>
  <c r="FQ16" i="17"/>
  <c r="FU12" i="17"/>
  <c r="FT12" i="17"/>
  <c r="FS12" i="17"/>
  <c r="FR12" i="17"/>
  <c r="FQ12" i="17"/>
  <c r="FU18" i="17"/>
  <c r="FT18" i="17"/>
  <c r="FS18" i="17"/>
  <c r="FR18" i="17"/>
  <c r="FQ18" i="17"/>
  <c r="FU14" i="17"/>
  <c r="FT14" i="17"/>
  <c r="FS14" i="17"/>
  <c r="FR14" i="17"/>
  <c r="FQ14" i="17"/>
  <c r="FU17" i="17"/>
  <c r="FT17" i="17"/>
  <c r="FS17" i="17"/>
  <c r="FR17" i="17"/>
  <c r="FQ17" i="17"/>
  <c r="FU6" i="17"/>
  <c r="FT6" i="17"/>
  <c r="FS6" i="17"/>
  <c r="FR6" i="17"/>
  <c r="FQ6" i="17"/>
  <c r="FU11" i="17"/>
  <c r="FT11" i="17"/>
  <c r="FS11" i="17"/>
  <c r="FR11" i="17"/>
  <c r="FQ11" i="17"/>
  <c r="FU10" i="17"/>
  <c r="FT10" i="17"/>
  <c r="FS10" i="17"/>
  <c r="FR10" i="17"/>
  <c r="FQ10" i="17"/>
  <c r="FU5" i="17"/>
  <c r="FT5" i="17"/>
  <c r="FS5" i="17"/>
  <c r="FR5" i="17"/>
  <c r="FQ5" i="17"/>
  <c r="FU8" i="17"/>
  <c r="FT8" i="17"/>
  <c r="FS8" i="17"/>
  <c r="FR8" i="17"/>
  <c r="FQ8" i="17"/>
  <c r="FU9" i="17"/>
  <c r="FT9" i="17"/>
  <c r="FS9" i="17"/>
  <c r="FR9" i="17"/>
  <c r="FQ9" i="17"/>
  <c r="FU4" i="17"/>
  <c r="FT4" i="17"/>
  <c r="FS4" i="17"/>
  <c r="FR4" i="17"/>
  <c r="FQ4" i="17"/>
  <c r="EU13" i="17"/>
  <c r="ET13" i="17"/>
  <c r="ES13" i="17"/>
  <c r="ER13" i="17"/>
  <c r="EQ13" i="17"/>
  <c r="EU23" i="17"/>
  <c r="ET23" i="17"/>
  <c r="ES23" i="17"/>
  <c r="ER23" i="17"/>
  <c r="EQ23" i="17"/>
  <c r="EU15" i="17"/>
  <c r="ET15" i="17"/>
  <c r="ES15" i="17"/>
  <c r="ER15" i="17"/>
  <c r="EQ15" i="17"/>
  <c r="EU19" i="17"/>
  <c r="ET19" i="17"/>
  <c r="ES19" i="17"/>
  <c r="ER19" i="17"/>
  <c r="EQ19" i="17"/>
  <c r="EU16" i="17"/>
  <c r="ET16" i="17"/>
  <c r="ES16" i="17"/>
  <c r="ER16" i="17"/>
  <c r="EQ16" i="17"/>
  <c r="EU12" i="17"/>
  <c r="ET12" i="17"/>
  <c r="ES12" i="17"/>
  <c r="ER12" i="17"/>
  <c r="EQ12" i="17"/>
  <c r="EU18" i="17"/>
  <c r="ET18" i="17"/>
  <c r="ES18" i="17"/>
  <c r="ER18" i="17"/>
  <c r="EQ18" i="17"/>
  <c r="EU14" i="17"/>
  <c r="ET14" i="17"/>
  <c r="ES14" i="17"/>
  <c r="ER14" i="17"/>
  <c r="EQ14" i="17"/>
  <c r="EU17" i="17"/>
  <c r="ET17" i="17"/>
  <c r="ES17" i="17"/>
  <c r="ER17" i="17"/>
  <c r="EQ17" i="17"/>
  <c r="EU6" i="17"/>
  <c r="ET6" i="17"/>
  <c r="ES6" i="17"/>
  <c r="ER6" i="17"/>
  <c r="EQ6" i="17"/>
  <c r="EU11" i="17"/>
  <c r="ET11" i="17"/>
  <c r="ES11" i="17"/>
  <c r="ER11" i="17"/>
  <c r="EQ11" i="17"/>
  <c r="EU10" i="17"/>
  <c r="ET10" i="17"/>
  <c r="ES10" i="17"/>
  <c r="ER10" i="17"/>
  <c r="EQ10" i="17"/>
  <c r="EU5" i="17"/>
  <c r="ET5" i="17"/>
  <c r="ES5" i="17"/>
  <c r="ER5" i="17"/>
  <c r="EQ5" i="17"/>
  <c r="EU8" i="17"/>
  <c r="ET8" i="17"/>
  <c r="ES8" i="17"/>
  <c r="ER8" i="17"/>
  <c r="EQ8" i="17"/>
  <c r="EU9" i="17"/>
  <c r="ET9" i="17"/>
  <c r="ES9" i="17"/>
  <c r="ER9" i="17"/>
  <c r="EQ9" i="17"/>
  <c r="EU4" i="17"/>
  <c r="ET4" i="17"/>
  <c r="ES4" i="17"/>
  <c r="ER4" i="17"/>
  <c r="EQ4" i="17"/>
  <c r="DU13" i="17"/>
  <c r="DT13" i="17"/>
  <c r="DS13" i="17"/>
  <c r="DR13" i="17"/>
  <c r="DQ13" i="17"/>
  <c r="DU23" i="17"/>
  <c r="DT23" i="17"/>
  <c r="DS23" i="17"/>
  <c r="DR23" i="17"/>
  <c r="DQ23" i="17"/>
  <c r="DU15" i="17"/>
  <c r="DT15" i="17"/>
  <c r="DS15" i="17"/>
  <c r="DR15" i="17"/>
  <c r="DQ15" i="17"/>
  <c r="DU19" i="17"/>
  <c r="DT19" i="17"/>
  <c r="DS19" i="17"/>
  <c r="DR19" i="17"/>
  <c r="DQ19" i="17"/>
  <c r="DU16" i="17"/>
  <c r="DT16" i="17"/>
  <c r="DS16" i="17"/>
  <c r="DR16" i="17"/>
  <c r="DQ16" i="17"/>
  <c r="DU12" i="17"/>
  <c r="DT12" i="17"/>
  <c r="DS12" i="17"/>
  <c r="DR12" i="17"/>
  <c r="DQ12" i="17"/>
  <c r="DU18" i="17"/>
  <c r="DT18" i="17"/>
  <c r="DS18" i="17"/>
  <c r="DR18" i="17"/>
  <c r="DQ18" i="17"/>
  <c r="DU14" i="17"/>
  <c r="DT14" i="17"/>
  <c r="DS14" i="17"/>
  <c r="DR14" i="17"/>
  <c r="DQ14" i="17"/>
  <c r="DU17" i="17"/>
  <c r="DT17" i="17"/>
  <c r="DS17" i="17"/>
  <c r="DR17" i="17"/>
  <c r="DQ17" i="17"/>
  <c r="DU6" i="17"/>
  <c r="DT6" i="17"/>
  <c r="DS6" i="17"/>
  <c r="DR6" i="17"/>
  <c r="DQ6" i="17"/>
  <c r="DU11" i="17"/>
  <c r="DT11" i="17"/>
  <c r="DS11" i="17"/>
  <c r="DR11" i="17"/>
  <c r="DQ11" i="17"/>
  <c r="DU10" i="17"/>
  <c r="DT10" i="17"/>
  <c r="DS10" i="17"/>
  <c r="DR10" i="17"/>
  <c r="DQ10" i="17"/>
  <c r="DU5" i="17"/>
  <c r="DT5" i="17"/>
  <c r="DS5" i="17"/>
  <c r="DR5" i="17"/>
  <c r="DQ5" i="17"/>
  <c r="DU8" i="17"/>
  <c r="DT8" i="17"/>
  <c r="DS8" i="17"/>
  <c r="DR8" i="17"/>
  <c r="DQ8" i="17"/>
  <c r="DU9" i="17"/>
  <c r="DT9" i="17"/>
  <c r="DS9" i="17"/>
  <c r="DR9" i="17"/>
  <c r="DQ9" i="17"/>
  <c r="DU4" i="17"/>
  <c r="DT4" i="17"/>
  <c r="DS4" i="17"/>
  <c r="DR4" i="17"/>
  <c r="DQ4" i="17"/>
  <c r="FV6" i="17" l="1"/>
  <c r="FV23" i="17"/>
  <c r="GV11" i="17"/>
  <c r="GV15" i="17"/>
  <c r="HV10" i="17"/>
  <c r="JV8" i="17"/>
  <c r="JV12" i="17"/>
  <c r="KV9" i="17"/>
  <c r="NV23" i="17"/>
  <c r="DV11" i="17"/>
  <c r="DV18" i="17"/>
  <c r="FV17" i="17"/>
  <c r="NV17" i="17"/>
  <c r="DV12" i="17"/>
  <c r="EV18" i="17"/>
  <c r="LV12" i="17"/>
  <c r="MV9" i="17"/>
  <c r="MV18" i="17"/>
  <c r="NV4" i="17"/>
  <c r="NV14" i="17"/>
  <c r="NV13" i="17"/>
  <c r="DV6" i="17"/>
  <c r="DV17" i="17"/>
  <c r="IV8" i="17"/>
  <c r="IV12" i="17"/>
  <c r="JV9" i="17"/>
  <c r="JV18" i="17"/>
  <c r="KV4" i="17"/>
  <c r="KV14" i="17"/>
  <c r="NV11" i="17"/>
  <c r="NV15" i="17"/>
  <c r="DV19" i="17"/>
  <c r="FV8" i="17"/>
  <c r="FV12" i="17"/>
  <c r="GV9" i="17"/>
  <c r="GV18" i="17"/>
  <c r="HV4" i="17"/>
  <c r="HV14" i="17"/>
  <c r="IV23" i="17"/>
  <c r="JV11" i="17"/>
  <c r="JV15" i="17"/>
  <c r="NV9" i="17"/>
  <c r="NV18" i="17"/>
  <c r="FV13" i="17"/>
  <c r="GV6" i="17"/>
  <c r="GV23" i="17"/>
  <c r="IV19" i="17"/>
  <c r="JV5" i="17"/>
  <c r="JV16" i="17"/>
  <c r="KV8" i="17"/>
  <c r="KV12" i="17"/>
  <c r="DV8" i="17"/>
  <c r="DV15" i="17"/>
  <c r="IV11" i="17"/>
  <c r="IV15" i="17"/>
  <c r="JV10" i="17"/>
  <c r="JV19" i="17"/>
  <c r="LV8" i="17"/>
  <c r="EV6" i="17"/>
  <c r="EV23" i="17"/>
  <c r="DV10" i="17"/>
  <c r="DV13" i="17"/>
  <c r="IV5" i="17"/>
  <c r="IV16" i="17"/>
  <c r="LV5" i="17"/>
  <c r="LV16" i="17"/>
  <c r="FV5" i="17"/>
  <c r="FV16" i="17"/>
  <c r="GV8" i="17"/>
  <c r="GV12" i="17"/>
  <c r="IV14" i="17"/>
  <c r="MV17" i="17"/>
  <c r="MV13" i="17"/>
  <c r="EV4" i="17"/>
  <c r="HV15" i="17"/>
  <c r="IV10" i="17"/>
  <c r="JV6" i="17"/>
  <c r="JV17" i="17"/>
  <c r="JV23" i="17"/>
  <c r="JV13" i="17"/>
  <c r="KV11" i="17"/>
  <c r="KV6" i="17"/>
  <c r="KV15" i="17"/>
  <c r="KV23" i="17"/>
  <c r="LV10" i="17"/>
  <c r="LV19" i="17"/>
  <c r="NV8" i="17"/>
  <c r="NV5" i="17"/>
  <c r="NV12" i="17"/>
  <c r="EV11" i="17"/>
  <c r="EV15" i="17"/>
  <c r="FV19" i="17"/>
  <c r="HV5" i="17"/>
  <c r="HV12" i="17"/>
  <c r="IV9" i="17"/>
  <c r="DV4" i="17"/>
  <c r="EV5" i="17"/>
  <c r="FV9" i="17"/>
  <c r="FV18" i="17"/>
  <c r="GV4" i="17"/>
  <c r="GV14" i="17"/>
  <c r="JV4" i="17"/>
  <c r="JV14" i="17"/>
  <c r="LV6" i="17"/>
  <c r="LV23" i="17"/>
  <c r="MV11" i="17"/>
  <c r="MV15" i="17"/>
  <c r="NV10" i="17"/>
  <c r="NV19" i="17"/>
  <c r="DV5" i="17"/>
  <c r="EV17" i="17"/>
  <c r="EV13" i="17"/>
  <c r="FV11" i="17"/>
  <c r="FV15" i="17"/>
  <c r="GV10" i="17"/>
  <c r="GV19" i="17"/>
  <c r="HV23" i="17"/>
  <c r="HV13" i="17"/>
  <c r="IV13" i="17"/>
  <c r="KV10" i="17"/>
  <c r="KV19" i="17"/>
  <c r="MV5" i="17"/>
  <c r="MV16" i="17"/>
  <c r="KV18" i="17"/>
  <c r="LV4" i="17"/>
  <c r="LV14" i="17"/>
  <c r="NV6" i="17"/>
  <c r="DV14" i="17"/>
  <c r="DV16" i="17"/>
  <c r="DV23" i="17"/>
  <c r="EV14" i="17"/>
  <c r="FV4" i="17"/>
  <c r="FV14" i="17"/>
  <c r="GV17" i="17"/>
  <c r="GV13" i="17"/>
  <c r="HV11" i="17"/>
  <c r="HV6" i="17"/>
  <c r="IV4" i="17"/>
  <c r="KV17" i="17"/>
  <c r="KV13" i="17"/>
  <c r="LV11" i="17"/>
  <c r="LV15" i="17"/>
  <c r="MV10" i="17"/>
  <c r="MV19" i="17"/>
  <c r="MV8" i="17"/>
  <c r="MV12" i="17"/>
  <c r="EV16" i="17"/>
  <c r="HV16" i="17"/>
  <c r="NV16" i="17"/>
  <c r="EV9" i="17"/>
  <c r="EV8" i="17"/>
  <c r="EV10" i="17"/>
  <c r="EV19" i="17"/>
  <c r="FV10" i="17"/>
  <c r="GV5" i="17"/>
  <c r="GV16" i="17"/>
  <c r="HV9" i="17"/>
  <c r="HV8" i="17"/>
  <c r="HV18" i="17"/>
  <c r="HV19" i="17"/>
  <c r="IV6" i="17"/>
  <c r="IV17" i="17"/>
  <c r="IV18" i="17"/>
  <c r="KV5" i="17"/>
  <c r="KV16" i="17"/>
  <c r="LV9" i="17"/>
  <c r="LV18" i="17"/>
  <c r="MV4" i="17"/>
  <c r="MV14" i="17"/>
  <c r="DV9" i="17"/>
  <c r="EV12" i="17"/>
  <c r="HV17" i="17"/>
  <c r="LV17" i="17"/>
  <c r="LV13" i="17"/>
  <c r="MV6" i="17"/>
  <c r="MV23" i="17"/>
  <c r="CW16" i="16"/>
  <c r="CX16" i="16"/>
  <c r="CY16" i="16"/>
  <c r="CZ16" i="16"/>
  <c r="DB16" i="16"/>
  <c r="DC16" i="16"/>
  <c r="EB16" i="16"/>
  <c r="EC16" i="16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KR16" i="16" l="1"/>
  <c r="GJ16" i="16"/>
  <c r="DD16" i="16"/>
  <c r="LT16" i="16"/>
  <c r="HL16" i="16"/>
  <c r="RF16" i="16"/>
  <c r="QB16" i="16"/>
  <c r="RA16" i="16"/>
  <c r="Q16" i="16"/>
  <c r="IN16" i="16"/>
  <c r="O16" i="16"/>
  <c r="OZ16" i="16"/>
  <c r="NX16" i="16"/>
  <c r="MV16" i="16"/>
  <c r="JP16" i="16"/>
  <c r="FH16" i="16"/>
  <c r="EF16" i="16"/>
  <c r="DA16" i="16"/>
  <c r="RG16" i="16"/>
  <c r="RC16" i="16"/>
  <c r="RB16" i="16"/>
  <c r="M16" i="16"/>
  <c r="N16" i="16" s="1"/>
  <c r="F16" i="16"/>
  <c r="K16" i="16"/>
  <c r="I16" i="16"/>
  <c r="J16" i="16" s="1"/>
  <c r="RD16" i="16"/>
  <c r="QE16" i="16"/>
  <c r="PC16" i="16"/>
  <c r="OA16" i="16"/>
  <c r="MY16" i="16"/>
  <c r="LW16" i="16"/>
  <c r="KU16" i="16"/>
  <c r="JS16" i="16"/>
  <c r="IQ16" i="16"/>
  <c r="HO16" i="16"/>
  <c r="GM16" i="16"/>
  <c r="FK16" i="16"/>
  <c r="EI16" i="16"/>
  <c r="G16" i="16"/>
  <c r="P16" i="16" l="1"/>
  <c r="DF16" i="16"/>
  <c r="L16" i="16"/>
  <c r="DE16" i="16"/>
  <c r="R16" i="16"/>
  <c r="DG16" i="16"/>
  <c r="RH16" i="16"/>
  <c r="RE16" i="16"/>
  <c r="H16" i="16"/>
  <c r="S16" i="16" l="1"/>
  <c r="U16" i="16" s="1"/>
  <c r="T16" i="16" l="1"/>
  <c r="E16" i="16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QY22" i="18"/>
  <c r="QX22" i="18"/>
  <c r="QW22" i="18"/>
  <c r="QV22" i="18"/>
  <c r="QU22" i="18"/>
  <c r="QT22" i="18"/>
  <c r="QS22" i="18"/>
  <c r="QR22" i="18"/>
  <c r="QQ22" i="18"/>
  <c r="QP22" i="18"/>
  <c r="QO22" i="18"/>
  <c r="QN22" i="18"/>
  <c r="QM22" i="18"/>
  <c r="QL22" i="18"/>
  <c r="QK22" i="18"/>
  <c r="QJ22" i="18"/>
  <c r="QI22" i="18"/>
  <c r="QH22" i="18"/>
  <c r="QG22" i="18"/>
  <c r="QF22" i="18"/>
  <c r="QD22" i="18"/>
  <c r="QC22" i="18"/>
  <c r="QA22" i="18"/>
  <c r="PZ22" i="18"/>
  <c r="PY22" i="18"/>
  <c r="PX22" i="18"/>
  <c r="PB22" i="18"/>
  <c r="PA22" i="18"/>
  <c r="OY22" i="18"/>
  <c r="OX22" i="18"/>
  <c r="OW22" i="18"/>
  <c r="OV22" i="18"/>
  <c r="NZ22" i="18"/>
  <c r="NY22" i="18"/>
  <c r="NW22" i="18"/>
  <c r="NV22" i="18"/>
  <c r="NU22" i="18"/>
  <c r="NT22" i="18"/>
  <c r="MX22" i="18"/>
  <c r="MW22" i="18"/>
  <c r="MU22" i="18"/>
  <c r="MT22" i="18"/>
  <c r="MS22" i="18"/>
  <c r="MR22" i="18"/>
  <c r="LV22" i="18"/>
  <c r="LU22" i="18"/>
  <c r="LS22" i="18"/>
  <c r="LR22" i="18"/>
  <c r="LQ22" i="18"/>
  <c r="LP22" i="18"/>
  <c r="KT22" i="18"/>
  <c r="KS22" i="18"/>
  <c r="KQ22" i="18"/>
  <c r="KP22" i="18"/>
  <c r="KO22" i="18"/>
  <c r="KN22" i="18"/>
  <c r="JR22" i="18"/>
  <c r="JQ22" i="18"/>
  <c r="JO22" i="18"/>
  <c r="JN22" i="18"/>
  <c r="JM22" i="18"/>
  <c r="JL22" i="18"/>
  <c r="IP22" i="18"/>
  <c r="IO22" i="18"/>
  <c r="IM22" i="18"/>
  <c r="IL22" i="18"/>
  <c r="IK22" i="18"/>
  <c r="IJ22" i="18"/>
  <c r="HN22" i="18"/>
  <c r="HM22" i="18"/>
  <c r="HK22" i="18"/>
  <c r="HJ22" i="18"/>
  <c r="HI22" i="18"/>
  <c r="HH22" i="18"/>
  <c r="GL22" i="18"/>
  <c r="GK22" i="18"/>
  <c r="GI22" i="18"/>
  <c r="GH22" i="18"/>
  <c r="GG22" i="18"/>
  <c r="GF22" i="18"/>
  <c r="FJ22" i="18"/>
  <c r="FI22" i="18"/>
  <c r="FG22" i="18"/>
  <c r="FF22" i="18"/>
  <c r="FE22" i="18"/>
  <c r="FD22" i="18"/>
  <c r="EH22" i="18"/>
  <c r="EG22" i="18"/>
  <c r="EE22" i="18"/>
  <c r="ED22" i="18"/>
  <c r="EC22" i="18"/>
  <c r="EB22" i="18"/>
  <c r="DC22" i="18"/>
  <c r="DB22" i="18"/>
  <c r="CZ22" i="18"/>
  <c r="CY22" i="18"/>
  <c r="CX22" i="18"/>
  <c r="CW22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CW29" i="16"/>
  <c r="CX29" i="16"/>
  <c r="CY29" i="16"/>
  <c r="CZ29" i="16"/>
  <c r="DB29" i="16"/>
  <c r="DC29" i="16"/>
  <c r="EB29" i="16"/>
  <c r="EC29" i="16"/>
  <c r="ED29" i="16"/>
  <c r="EE29" i="16"/>
  <c r="EG29" i="16"/>
  <c r="EH29" i="16"/>
  <c r="FD29" i="16"/>
  <c r="FE29" i="16"/>
  <c r="FF29" i="16"/>
  <c r="FG29" i="16"/>
  <c r="FI29" i="16"/>
  <c r="FJ29" i="16"/>
  <c r="GF29" i="16"/>
  <c r="GG29" i="16"/>
  <c r="GH29" i="16"/>
  <c r="GI29" i="16"/>
  <c r="GK29" i="16"/>
  <c r="GL29" i="16"/>
  <c r="HH29" i="16"/>
  <c r="HI29" i="16"/>
  <c r="HJ29" i="16"/>
  <c r="HK29" i="16"/>
  <c r="HM29" i="16"/>
  <c r="HN29" i="16"/>
  <c r="IJ29" i="16"/>
  <c r="IK29" i="16"/>
  <c r="IL29" i="16"/>
  <c r="IM29" i="16"/>
  <c r="IO29" i="16"/>
  <c r="IP29" i="16"/>
  <c r="JL29" i="16"/>
  <c r="JM29" i="16"/>
  <c r="JN29" i="16"/>
  <c r="JO29" i="16"/>
  <c r="JQ29" i="16"/>
  <c r="JR29" i="16"/>
  <c r="KN29" i="16"/>
  <c r="KO29" i="16"/>
  <c r="KP29" i="16"/>
  <c r="KQ29" i="16"/>
  <c r="KS29" i="16"/>
  <c r="KT29" i="16"/>
  <c r="LP29" i="16"/>
  <c r="LQ29" i="16"/>
  <c r="LR29" i="16"/>
  <c r="LS29" i="16"/>
  <c r="LU29" i="16"/>
  <c r="LV29" i="16"/>
  <c r="MR29" i="16"/>
  <c r="MS29" i="16"/>
  <c r="MT29" i="16"/>
  <c r="MU29" i="16"/>
  <c r="MW29" i="16"/>
  <c r="MX29" i="16"/>
  <c r="NT29" i="16"/>
  <c r="NU29" i="16"/>
  <c r="NV29" i="16"/>
  <c r="NW29" i="16"/>
  <c r="NY29" i="16"/>
  <c r="NZ29" i="16"/>
  <c r="OV29" i="16"/>
  <c r="OW29" i="16"/>
  <c r="OX29" i="16"/>
  <c r="OY29" i="16"/>
  <c r="PA29" i="16"/>
  <c r="PB29" i="16"/>
  <c r="PX29" i="16"/>
  <c r="PY29" i="16"/>
  <c r="PZ29" i="16"/>
  <c r="QA29" i="16"/>
  <c r="QC29" i="16"/>
  <c r="QD29" i="16"/>
  <c r="QF29" i="16"/>
  <c r="QG29" i="16"/>
  <c r="QH29" i="16"/>
  <c r="QI29" i="16"/>
  <c r="QJ29" i="16"/>
  <c r="QK29" i="16"/>
  <c r="QL29" i="16"/>
  <c r="QM29" i="16"/>
  <c r="QN29" i="16"/>
  <c r="QO29" i="16"/>
  <c r="QP29" i="16"/>
  <c r="QQ29" i="16"/>
  <c r="QR29" i="16"/>
  <c r="QS29" i="16"/>
  <c r="QT29" i="16"/>
  <c r="QU29" i="16"/>
  <c r="QV29" i="16"/>
  <c r="QW29" i="16"/>
  <c r="QX29" i="16"/>
  <c r="QY29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CW28" i="16"/>
  <c r="CX28" i="16"/>
  <c r="CY28" i="16"/>
  <c r="CZ28" i="16"/>
  <c r="DB28" i="16"/>
  <c r="DC28" i="16"/>
  <c r="EB28" i="16"/>
  <c r="EC28" i="16"/>
  <c r="ED28" i="16"/>
  <c r="EE28" i="16"/>
  <c r="EG28" i="16"/>
  <c r="EH28" i="16"/>
  <c r="FD28" i="16"/>
  <c r="FE28" i="16"/>
  <c r="FF28" i="16"/>
  <c r="FG28" i="16"/>
  <c r="FI28" i="16"/>
  <c r="FJ28" i="16"/>
  <c r="GF28" i="16"/>
  <c r="GG28" i="16"/>
  <c r="GH28" i="16"/>
  <c r="GI28" i="16"/>
  <c r="GK28" i="16"/>
  <c r="GL28" i="16"/>
  <c r="HH28" i="16"/>
  <c r="HI28" i="16"/>
  <c r="HJ28" i="16"/>
  <c r="HK28" i="16"/>
  <c r="HM28" i="16"/>
  <c r="HN28" i="16"/>
  <c r="IJ28" i="16"/>
  <c r="IK28" i="16"/>
  <c r="IL28" i="16"/>
  <c r="IM28" i="16"/>
  <c r="IO28" i="16"/>
  <c r="IP28" i="16"/>
  <c r="JL28" i="16"/>
  <c r="JM28" i="16"/>
  <c r="JN28" i="16"/>
  <c r="JO28" i="16"/>
  <c r="JQ28" i="16"/>
  <c r="JR28" i="16"/>
  <c r="KN28" i="16"/>
  <c r="KO28" i="16"/>
  <c r="KP28" i="16"/>
  <c r="KQ28" i="16"/>
  <c r="KS28" i="16"/>
  <c r="KT28" i="16"/>
  <c r="LP28" i="16"/>
  <c r="LQ28" i="16"/>
  <c r="LR28" i="16"/>
  <c r="LS28" i="16"/>
  <c r="LU28" i="16"/>
  <c r="LV28" i="16"/>
  <c r="MR28" i="16"/>
  <c r="MS28" i="16"/>
  <c r="MT28" i="16"/>
  <c r="MU28" i="16"/>
  <c r="MW28" i="16"/>
  <c r="MX28" i="16"/>
  <c r="NT28" i="16"/>
  <c r="NU28" i="16"/>
  <c r="NV28" i="16"/>
  <c r="NW28" i="16"/>
  <c r="NY28" i="16"/>
  <c r="NZ28" i="16"/>
  <c r="OV28" i="16"/>
  <c r="OW28" i="16"/>
  <c r="OX28" i="16"/>
  <c r="OY28" i="16"/>
  <c r="PA28" i="16"/>
  <c r="PB28" i="16"/>
  <c r="PX28" i="16"/>
  <c r="PY28" i="16"/>
  <c r="PZ28" i="16"/>
  <c r="QA28" i="16"/>
  <c r="QC28" i="16"/>
  <c r="QD28" i="16"/>
  <c r="QF28" i="16"/>
  <c r="QG28" i="16"/>
  <c r="QH28" i="16"/>
  <c r="QI28" i="16"/>
  <c r="QJ28" i="16"/>
  <c r="QK28" i="16"/>
  <c r="QL28" i="16"/>
  <c r="QM28" i="16"/>
  <c r="QN28" i="16"/>
  <c r="QO28" i="16"/>
  <c r="QP28" i="16"/>
  <c r="QQ28" i="16"/>
  <c r="QR28" i="16"/>
  <c r="QS28" i="16"/>
  <c r="QT28" i="16"/>
  <c r="QU28" i="16"/>
  <c r="QV28" i="16"/>
  <c r="QW28" i="16"/>
  <c r="QX28" i="16"/>
  <c r="QY28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17" i="17"/>
  <c r="CP17" i="17"/>
  <c r="CQ17" i="17"/>
  <c r="CR17" i="17"/>
  <c r="CS17" i="17"/>
  <c r="OQ17" i="17"/>
  <c r="OR17" i="17"/>
  <c r="OS17" i="17"/>
  <c r="OT17" i="17"/>
  <c r="OU17" i="17"/>
  <c r="OW17" i="17"/>
  <c r="OX17" i="17"/>
  <c r="OY17" i="17"/>
  <c r="OZ17" i="17"/>
  <c r="PA17" i="17"/>
  <c r="PB17" i="17"/>
  <c r="PC17" i="17"/>
  <c r="PD17" i="17"/>
  <c r="PE17" i="17"/>
  <c r="PF17" i="17"/>
  <c r="PG17" i="17"/>
  <c r="PH17" i="17"/>
  <c r="PI17" i="17"/>
  <c r="PJ17" i="17"/>
  <c r="PK17" i="17"/>
  <c r="PL17" i="17"/>
  <c r="PM17" i="17"/>
  <c r="PN17" i="17"/>
  <c r="PO17" i="17"/>
  <c r="PP17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CO18" i="17"/>
  <c r="CP18" i="17"/>
  <c r="CQ18" i="17"/>
  <c r="CR18" i="17"/>
  <c r="CS18" i="17"/>
  <c r="OQ18" i="17"/>
  <c r="OR18" i="17"/>
  <c r="OS18" i="17"/>
  <c r="OT18" i="17"/>
  <c r="OU18" i="17"/>
  <c r="OW18" i="17"/>
  <c r="OX18" i="17"/>
  <c r="OY18" i="17"/>
  <c r="OZ18" i="17"/>
  <c r="PA18" i="17"/>
  <c r="PB18" i="17"/>
  <c r="PC18" i="17"/>
  <c r="PD18" i="17"/>
  <c r="PE18" i="17"/>
  <c r="PF18" i="17"/>
  <c r="PG18" i="17"/>
  <c r="PH18" i="17"/>
  <c r="PI18" i="17"/>
  <c r="PJ18" i="17"/>
  <c r="PK18" i="17"/>
  <c r="PL18" i="17"/>
  <c r="PM18" i="17"/>
  <c r="PN18" i="17"/>
  <c r="PO18" i="17"/>
  <c r="PP18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CO19" i="17"/>
  <c r="CP19" i="17"/>
  <c r="CQ19" i="17"/>
  <c r="CR19" i="17"/>
  <c r="CS19" i="17"/>
  <c r="OQ19" i="17"/>
  <c r="OR19" i="17"/>
  <c r="OS19" i="17"/>
  <c r="OT19" i="17"/>
  <c r="OU19" i="17"/>
  <c r="OW19" i="17"/>
  <c r="OX19" i="17"/>
  <c r="OY19" i="17"/>
  <c r="OZ19" i="17"/>
  <c r="PA19" i="17"/>
  <c r="PB19" i="17"/>
  <c r="PC19" i="17"/>
  <c r="PD19" i="17"/>
  <c r="PE19" i="17"/>
  <c r="PF19" i="17"/>
  <c r="PG19" i="17"/>
  <c r="PH19" i="17"/>
  <c r="PI19" i="17"/>
  <c r="PJ19" i="17"/>
  <c r="PK19" i="17"/>
  <c r="PL19" i="17"/>
  <c r="PM19" i="17"/>
  <c r="PN19" i="17"/>
  <c r="PO19" i="17"/>
  <c r="PP19" i="17"/>
  <c r="PP13" i="17"/>
  <c r="PO13" i="17"/>
  <c r="PN13" i="17"/>
  <c r="PM13" i="17"/>
  <c r="PL13" i="17"/>
  <c r="PK13" i="17"/>
  <c r="PJ13" i="17"/>
  <c r="PI13" i="17"/>
  <c r="PH13" i="17"/>
  <c r="PG13" i="17"/>
  <c r="PF13" i="17"/>
  <c r="PE13" i="17"/>
  <c r="PD13" i="17"/>
  <c r="PC13" i="17"/>
  <c r="PB13" i="17"/>
  <c r="PA13" i="17"/>
  <c r="OZ13" i="17"/>
  <c r="OY13" i="17"/>
  <c r="OX13" i="17"/>
  <c r="OW13" i="17"/>
  <c r="OU13" i="17"/>
  <c r="OT13" i="17"/>
  <c r="OS13" i="17"/>
  <c r="OR13" i="17"/>
  <c r="OQ13" i="17"/>
  <c r="CS13" i="17"/>
  <c r="CR13" i="17"/>
  <c r="CQ13" i="17"/>
  <c r="CP13" i="17"/>
  <c r="CO13" i="17"/>
  <c r="PP23" i="17"/>
  <c r="PO23" i="17"/>
  <c r="PN23" i="17"/>
  <c r="PM23" i="17"/>
  <c r="PL23" i="17"/>
  <c r="PK23" i="17"/>
  <c r="PJ23" i="17"/>
  <c r="PI23" i="17"/>
  <c r="PH23" i="17"/>
  <c r="PG23" i="17"/>
  <c r="PF23" i="17"/>
  <c r="PE23" i="17"/>
  <c r="PD23" i="17"/>
  <c r="PC23" i="17"/>
  <c r="PB23" i="17"/>
  <c r="PA23" i="17"/>
  <c r="OZ23" i="17"/>
  <c r="OY23" i="17"/>
  <c r="OX23" i="17"/>
  <c r="OW23" i="17"/>
  <c r="OU23" i="17"/>
  <c r="OT23" i="17"/>
  <c r="OS23" i="17"/>
  <c r="OR23" i="17"/>
  <c r="OQ23" i="17"/>
  <c r="CS23" i="17"/>
  <c r="CR23" i="17"/>
  <c r="CQ23" i="17"/>
  <c r="CP23" i="17"/>
  <c r="CO23" i="17"/>
  <c r="PP15" i="17"/>
  <c r="PO15" i="17"/>
  <c r="PN15" i="17"/>
  <c r="PM15" i="17"/>
  <c r="PL15" i="17"/>
  <c r="PK15" i="17"/>
  <c r="PJ15" i="17"/>
  <c r="PI15" i="17"/>
  <c r="PH15" i="17"/>
  <c r="PG15" i="17"/>
  <c r="PF15" i="17"/>
  <c r="PE15" i="17"/>
  <c r="PD15" i="17"/>
  <c r="PC15" i="17"/>
  <c r="PB15" i="17"/>
  <c r="PA15" i="17"/>
  <c r="OZ15" i="17"/>
  <c r="OY15" i="17"/>
  <c r="OX15" i="17"/>
  <c r="OW15" i="17"/>
  <c r="OU15" i="17"/>
  <c r="OT15" i="17"/>
  <c r="OS15" i="17"/>
  <c r="OR15" i="17"/>
  <c r="OQ15" i="17"/>
  <c r="CS15" i="17"/>
  <c r="CR15" i="17"/>
  <c r="CQ15" i="17"/>
  <c r="CP15" i="17"/>
  <c r="CO15" i="17"/>
  <c r="PP10" i="17"/>
  <c r="PO10" i="17"/>
  <c r="PN10" i="17"/>
  <c r="PM10" i="17"/>
  <c r="PL10" i="17"/>
  <c r="PK10" i="17"/>
  <c r="PJ10" i="17"/>
  <c r="PI10" i="17"/>
  <c r="PH10" i="17"/>
  <c r="PG10" i="17"/>
  <c r="PF10" i="17"/>
  <c r="PE10" i="17"/>
  <c r="PD10" i="17"/>
  <c r="PC10" i="17"/>
  <c r="PB10" i="17"/>
  <c r="PA10" i="17"/>
  <c r="OZ10" i="17"/>
  <c r="OY10" i="17"/>
  <c r="OX10" i="17"/>
  <c r="OW10" i="17"/>
  <c r="OU10" i="17"/>
  <c r="OT10" i="17"/>
  <c r="OS10" i="17"/>
  <c r="OR10" i="17"/>
  <c r="OQ10" i="17"/>
  <c r="CS10" i="17"/>
  <c r="CR10" i="17"/>
  <c r="CQ10" i="17"/>
  <c r="CP10" i="17"/>
  <c r="CO10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CO12" i="15"/>
  <c r="CP12" i="15"/>
  <c r="CQ12" i="15"/>
  <c r="CR12" i="15"/>
  <c r="CS12" i="15"/>
  <c r="DQ12" i="15"/>
  <c r="DR12" i="15"/>
  <c r="DS12" i="15"/>
  <c r="DT12" i="15"/>
  <c r="DU12" i="15"/>
  <c r="EQ12" i="15"/>
  <c r="ER12" i="15"/>
  <c r="ES12" i="15"/>
  <c r="ET12" i="15"/>
  <c r="EU12" i="15"/>
  <c r="FQ12" i="15"/>
  <c r="FR12" i="15"/>
  <c r="FS12" i="15"/>
  <c r="FT12" i="15"/>
  <c r="FU12" i="15"/>
  <c r="GQ12" i="15"/>
  <c r="GR12" i="15"/>
  <c r="GS12" i="15"/>
  <c r="GT12" i="15"/>
  <c r="GU12" i="15"/>
  <c r="HQ12" i="15"/>
  <c r="HR12" i="15"/>
  <c r="HS12" i="15"/>
  <c r="HT12" i="15"/>
  <c r="HU12" i="15"/>
  <c r="IQ12" i="15"/>
  <c r="IR12" i="15"/>
  <c r="IS12" i="15"/>
  <c r="IT12" i="15"/>
  <c r="IU12" i="15"/>
  <c r="JQ12" i="15"/>
  <c r="JR12" i="15"/>
  <c r="JS12" i="15"/>
  <c r="JT12" i="15"/>
  <c r="JU12" i="15"/>
  <c r="KQ12" i="15"/>
  <c r="KR12" i="15"/>
  <c r="KS12" i="15"/>
  <c r="KT12" i="15"/>
  <c r="KU12" i="15"/>
  <c r="LQ12" i="15"/>
  <c r="LR12" i="15"/>
  <c r="LS12" i="15"/>
  <c r="LT12" i="15"/>
  <c r="LU12" i="15"/>
  <c r="MQ12" i="15"/>
  <c r="MR12" i="15"/>
  <c r="MS12" i="15"/>
  <c r="MT12" i="15"/>
  <c r="MU12" i="15"/>
  <c r="NQ12" i="15"/>
  <c r="NR12" i="15"/>
  <c r="NS12" i="15"/>
  <c r="NT12" i="15"/>
  <c r="NU12" i="15"/>
  <c r="OQ12" i="15"/>
  <c r="OR12" i="15"/>
  <c r="OS12" i="15"/>
  <c r="OT12" i="15"/>
  <c r="OU12" i="15"/>
  <c r="OW12" i="15"/>
  <c r="OX12" i="15"/>
  <c r="OY12" i="15"/>
  <c r="OZ12" i="15"/>
  <c r="PA12" i="15"/>
  <c r="PB12" i="15"/>
  <c r="PC12" i="15"/>
  <c r="PD12" i="15"/>
  <c r="PE12" i="15"/>
  <c r="PF12" i="15"/>
  <c r="PG12" i="15"/>
  <c r="PH12" i="15"/>
  <c r="PI12" i="15"/>
  <c r="PJ12" i="15"/>
  <c r="PK12" i="15"/>
  <c r="PL12" i="15"/>
  <c r="PM12" i="15"/>
  <c r="PN12" i="15"/>
  <c r="PO12" i="15"/>
  <c r="PP12" i="15"/>
  <c r="CO14" i="15"/>
  <c r="CP14" i="15"/>
  <c r="CQ14" i="15"/>
  <c r="CR14" i="15"/>
  <c r="CS14" i="15"/>
  <c r="DQ14" i="15"/>
  <c r="DR14" i="15"/>
  <c r="DS14" i="15"/>
  <c r="DT14" i="15"/>
  <c r="DU14" i="15"/>
  <c r="EQ14" i="15"/>
  <c r="ER14" i="15"/>
  <c r="ES14" i="15"/>
  <c r="ET14" i="15"/>
  <c r="EU14" i="15"/>
  <c r="FQ14" i="15"/>
  <c r="FR14" i="15"/>
  <c r="FS14" i="15"/>
  <c r="FT14" i="15"/>
  <c r="FU14" i="15"/>
  <c r="GQ14" i="15"/>
  <c r="GR14" i="15"/>
  <c r="GS14" i="15"/>
  <c r="GT14" i="15"/>
  <c r="GU14" i="15"/>
  <c r="HQ14" i="15"/>
  <c r="HR14" i="15"/>
  <c r="HS14" i="15"/>
  <c r="HT14" i="15"/>
  <c r="HU14" i="15"/>
  <c r="IQ14" i="15"/>
  <c r="IR14" i="15"/>
  <c r="IS14" i="15"/>
  <c r="IT14" i="15"/>
  <c r="IU14" i="15"/>
  <c r="JQ14" i="15"/>
  <c r="JR14" i="15"/>
  <c r="JS14" i="15"/>
  <c r="JT14" i="15"/>
  <c r="JU14" i="15"/>
  <c r="KQ14" i="15"/>
  <c r="KR14" i="15"/>
  <c r="KS14" i="15"/>
  <c r="KT14" i="15"/>
  <c r="KU14" i="15"/>
  <c r="LQ14" i="15"/>
  <c r="LR14" i="15"/>
  <c r="LS14" i="15"/>
  <c r="LT14" i="15"/>
  <c r="LU14" i="15"/>
  <c r="MQ14" i="15"/>
  <c r="MR14" i="15"/>
  <c r="MS14" i="15"/>
  <c r="MT14" i="15"/>
  <c r="MU14" i="15"/>
  <c r="NQ14" i="15"/>
  <c r="NR14" i="15"/>
  <c r="NS14" i="15"/>
  <c r="NT14" i="15"/>
  <c r="NU14" i="15"/>
  <c r="OQ14" i="15"/>
  <c r="OR14" i="15"/>
  <c r="OS14" i="15"/>
  <c r="OT14" i="15"/>
  <c r="OU14" i="15"/>
  <c r="OW14" i="15"/>
  <c r="OX14" i="15"/>
  <c r="OY14" i="15"/>
  <c r="OZ14" i="15"/>
  <c r="PA14" i="15"/>
  <c r="PB14" i="15"/>
  <c r="PC14" i="15"/>
  <c r="PD14" i="15"/>
  <c r="PE14" i="15"/>
  <c r="PF14" i="15"/>
  <c r="PG14" i="15"/>
  <c r="PH14" i="15"/>
  <c r="PI14" i="15"/>
  <c r="PJ14" i="15"/>
  <c r="PK14" i="15"/>
  <c r="PL14" i="15"/>
  <c r="PM14" i="15"/>
  <c r="PN14" i="15"/>
  <c r="PO14" i="15"/>
  <c r="PP14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QY6" i="16"/>
  <c r="QX6" i="16"/>
  <c r="QW6" i="16"/>
  <c r="QV6" i="16"/>
  <c r="QU6" i="16"/>
  <c r="QT6" i="16"/>
  <c r="QS6" i="16"/>
  <c r="QR6" i="16"/>
  <c r="QQ6" i="16"/>
  <c r="QP6" i="16"/>
  <c r="QO6" i="16"/>
  <c r="QN6" i="16"/>
  <c r="QM6" i="16"/>
  <c r="QL6" i="16"/>
  <c r="QK6" i="16"/>
  <c r="QJ6" i="16"/>
  <c r="QI6" i="16"/>
  <c r="QH6" i="16"/>
  <c r="QG6" i="16"/>
  <c r="QF6" i="16"/>
  <c r="QD6" i="16"/>
  <c r="QC6" i="16"/>
  <c r="QA6" i="16"/>
  <c r="PZ6" i="16"/>
  <c r="PY6" i="16"/>
  <c r="PX6" i="16"/>
  <c r="PB6" i="16"/>
  <c r="PA6" i="16"/>
  <c r="OY6" i="16"/>
  <c r="OX6" i="16"/>
  <c r="OW6" i="16"/>
  <c r="OV6" i="16"/>
  <c r="NZ6" i="16"/>
  <c r="NY6" i="16"/>
  <c r="NW6" i="16"/>
  <c r="NV6" i="16"/>
  <c r="NU6" i="16"/>
  <c r="NT6" i="16"/>
  <c r="MX6" i="16"/>
  <c r="MW6" i="16"/>
  <c r="MU6" i="16"/>
  <c r="MT6" i="16"/>
  <c r="MS6" i="16"/>
  <c r="MR6" i="16"/>
  <c r="LV6" i="16"/>
  <c r="LU6" i="16"/>
  <c r="LS6" i="16"/>
  <c r="LR6" i="16"/>
  <c r="LQ6" i="16"/>
  <c r="LP6" i="16"/>
  <c r="KT6" i="16"/>
  <c r="KS6" i="16"/>
  <c r="KQ6" i="16"/>
  <c r="KP6" i="16"/>
  <c r="KO6" i="16"/>
  <c r="KN6" i="16"/>
  <c r="JR6" i="16"/>
  <c r="JQ6" i="16"/>
  <c r="JO6" i="16"/>
  <c r="JN6" i="16"/>
  <c r="JM6" i="16"/>
  <c r="JL6" i="16"/>
  <c r="IP6" i="16"/>
  <c r="IO6" i="16"/>
  <c r="IM6" i="16"/>
  <c r="IL6" i="16"/>
  <c r="IK6" i="16"/>
  <c r="IJ6" i="16"/>
  <c r="HN6" i="16"/>
  <c r="HM6" i="16"/>
  <c r="HK6" i="16"/>
  <c r="HJ6" i="16"/>
  <c r="HI6" i="16"/>
  <c r="HH6" i="16"/>
  <c r="GL6" i="16"/>
  <c r="GK6" i="16"/>
  <c r="GI6" i="16"/>
  <c r="GH6" i="16"/>
  <c r="GG6" i="16"/>
  <c r="GF6" i="16"/>
  <c r="FJ6" i="16"/>
  <c r="FI6" i="16"/>
  <c r="FG6" i="16"/>
  <c r="FF6" i="16"/>
  <c r="FE6" i="16"/>
  <c r="FD6" i="16"/>
  <c r="EH6" i="16"/>
  <c r="EG6" i="16"/>
  <c r="EE6" i="16"/>
  <c r="ED6" i="16"/>
  <c r="EC6" i="16"/>
  <c r="EB6" i="16"/>
  <c r="DC6" i="16"/>
  <c r="DB6" i="16"/>
  <c r="CZ6" i="16"/>
  <c r="CY6" i="16"/>
  <c r="CX6" i="16"/>
  <c r="CW6" i="16"/>
  <c r="QY10" i="16"/>
  <c r="QX10" i="16"/>
  <c r="QW10" i="16"/>
  <c r="QV10" i="16"/>
  <c r="QU10" i="16"/>
  <c r="QT10" i="16"/>
  <c r="QS10" i="16"/>
  <c r="QR10" i="16"/>
  <c r="QQ10" i="16"/>
  <c r="QP10" i="16"/>
  <c r="QO10" i="16"/>
  <c r="QN10" i="16"/>
  <c r="QM10" i="16"/>
  <c r="QL10" i="16"/>
  <c r="QK10" i="16"/>
  <c r="QJ10" i="16"/>
  <c r="QI10" i="16"/>
  <c r="QH10" i="16"/>
  <c r="QG10" i="16"/>
  <c r="QF10" i="16"/>
  <c r="QD10" i="16"/>
  <c r="QC10" i="16"/>
  <c r="QA10" i="16"/>
  <c r="PZ10" i="16"/>
  <c r="PY10" i="16"/>
  <c r="PX10" i="16"/>
  <c r="PB10" i="16"/>
  <c r="PA10" i="16"/>
  <c r="OY10" i="16"/>
  <c r="OX10" i="16"/>
  <c r="OW10" i="16"/>
  <c r="OV10" i="16"/>
  <c r="NZ10" i="16"/>
  <c r="NY10" i="16"/>
  <c r="NW10" i="16"/>
  <c r="NV10" i="16"/>
  <c r="NU10" i="16"/>
  <c r="NT10" i="16"/>
  <c r="MX10" i="16"/>
  <c r="MW10" i="16"/>
  <c r="MU10" i="16"/>
  <c r="MT10" i="16"/>
  <c r="MS10" i="16"/>
  <c r="MR10" i="16"/>
  <c r="LV10" i="16"/>
  <c r="LU10" i="16"/>
  <c r="LS10" i="16"/>
  <c r="LR10" i="16"/>
  <c r="LQ10" i="16"/>
  <c r="LP10" i="16"/>
  <c r="KT10" i="16"/>
  <c r="KS10" i="16"/>
  <c r="KQ10" i="16"/>
  <c r="KP10" i="16"/>
  <c r="KO10" i="16"/>
  <c r="KN10" i="16"/>
  <c r="JR10" i="16"/>
  <c r="JQ10" i="16"/>
  <c r="JO10" i="16"/>
  <c r="JN10" i="16"/>
  <c r="JM10" i="16"/>
  <c r="JL10" i="16"/>
  <c r="IP10" i="16"/>
  <c r="IO10" i="16"/>
  <c r="IM10" i="16"/>
  <c r="IL10" i="16"/>
  <c r="IK10" i="16"/>
  <c r="IJ10" i="16"/>
  <c r="HN10" i="16"/>
  <c r="HM10" i="16"/>
  <c r="HK10" i="16"/>
  <c r="HJ10" i="16"/>
  <c r="HI10" i="16"/>
  <c r="HH10" i="16"/>
  <c r="GL10" i="16"/>
  <c r="GK10" i="16"/>
  <c r="GI10" i="16"/>
  <c r="GH10" i="16"/>
  <c r="GG10" i="16"/>
  <c r="GF10" i="16"/>
  <c r="FJ10" i="16"/>
  <c r="FI10" i="16"/>
  <c r="FG10" i="16"/>
  <c r="FF10" i="16"/>
  <c r="FE10" i="16"/>
  <c r="FD10" i="16"/>
  <c r="EH10" i="16"/>
  <c r="EG10" i="16"/>
  <c r="EE10" i="16"/>
  <c r="ED10" i="16"/>
  <c r="EC10" i="16"/>
  <c r="EB10" i="16"/>
  <c r="DC10" i="16"/>
  <c r="DB10" i="16"/>
  <c r="CZ10" i="16"/>
  <c r="CY10" i="16"/>
  <c r="CX10" i="16"/>
  <c r="CW10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JS12" i="18" l="1"/>
  <c r="EF19" i="16"/>
  <c r="QE12" i="18"/>
  <c r="GJ15" i="18"/>
  <c r="KR15" i="18"/>
  <c r="LT11" i="16"/>
  <c r="QB11" i="16"/>
  <c r="HL11" i="16"/>
  <c r="MV18" i="16"/>
  <c r="NX26" i="16"/>
  <c r="FH26" i="16"/>
  <c r="FH15" i="18"/>
  <c r="JP15" i="18"/>
  <c r="NX15" i="18"/>
  <c r="HL8" i="18"/>
  <c r="QB8" i="18"/>
  <c r="DA15" i="18"/>
  <c r="LT15" i="18"/>
  <c r="FH21" i="18"/>
  <c r="MV11" i="16"/>
  <c r="IN11" i="16"/>
  <c r="JV6" i="15"/>
  <c r="KV6" i="15"/>
  <c r="GM17" i="18"/>
  <c r="PU11" i="17"/>
  <c r="HL5" i="18"/>
  <c r="FK29" i="16"/>
  <c r="GJ12" i="18"/>
  <c r="NX12" i="18"/>
  <c r="OA19" i="18"/>
  <c r="QB16" i="18"/>
  <c r="KR13" i="18"/>
  <c r="RC12" i="18"/>
  <c r="GJ10" i="16"/>
  <c r="KR10" i="16"/>
  <c r="DD18" i="16"/>
  <c r="JS29" i="16"/>
  <c r="LT15" i="16"/>
  <c r="HL15" i="16"/>
  <c r="KR19" i="16"/>
  <c r="GJ19" i="16"/>
  <c r="HO29" i="16"/>
  <c r="Q11" i="16"/>
  <c r="DG11" i="16" s="1"/>
  <c r="MY29" i="16"/>
  <c r="EF15" i="16"/>
  <c r="NX29" i="16"/>
  <c r="KR29" i="16"/>
  <c r="OV16" i="17"/>
  <c r="PR7" i="15"/>
  <c r="OV11" i="15"/>
  <c r="GV11" i="15"/>
  <c r="MV6" i="15"/>
  <c r="OV8" i="15"/>
  <c r="JV14" i="15"/>
  <c r="KR17" i="18"/>
  <c r="IQ14" i="18"/>
  <c r="KU14" i="18"/>
  <c r="NX10" i="18"/>
  <c r="Q15" i="18"/>
  <c r="MY15" i="18"/>
  <c r="DD17" i="18"/>
  <c r="FK17" i="18"/>
  <c r="JS17" i="18"/>
  <c r="QB10" i="18"/>
  <c r="GJ5" i="18"/>
  <c r="FH16" i="18"/>
  <c r="OA8" i="18"/>
  <c r="QE13" i="18"/>
  <c r="EI19" i="18"/>
  <c r="IQ19" i="18"/>
  <c r="OZ10" i="18"/>
  <c r="FH8" i="18"/>
  <c r="NX5" i="18"/>
  <c r="IN8" i="18"/>
  <c r="EF15" i="18"/>
  <c r="MV15" i="18"/>
  <c r="GJ21" i="18"/>
  <c r="KR21" i="18"/>
  <c r="OZ21" i="18"/>
  <c r="LT19" i="16"/>
  <c r="HL19" i="16"/>
  <c r="DA19" i="16"/>
  <c r="EF26" i="16"/>
  <c r="IN17" i="16"/>
  <c r="NX18" i="16"/>
  <c r="PC9" i="16"/>
  <c r="FK12" i="16"/>
  <c r="OZ18" i="16"/>
  <c r="MY18" i="16"/>
  <c r="MV12" i="16"/>
  <c r="NX15" i="16"/>
  <c r="JP15" i="16"/>
  <c r="GM18" i="16"/>
  <c r="LW9" i="16"/>
  <c r="KU12" i="16"/>
  <c r="GM12" i="16"/>
  <c r="QE22" i="16"/>
  <c r="OA22" i="16"/>
  <c r="JS22" i="16"/>
  <c r="FK22" i="16"/>
  <c r="DA26" i="16"/>
  <c r="JP6" i="16"/>
  <c r="DA13" i="16"/>
  <c r="OZ17" i="16"/>
  <c r="IN29" i="16"/>
  <c r="NX11" i="16"/>
  <c r="JP11" i="16"/>
  <c r="FH11" i="16"/>
  <c r="EF12" i="16"/>
  <c r="FH15" i="16"/>
  <c r="OZ29" i="16"/>
  <c r="HL17" i="16"/>
  <c r="QE24" i="16"/>
  <c r="LW24" i="16"/>
  <c r="HO24" i="16"/>
  <c r="RA22" i="16"/>
  <c r="KU22" i="16"/>
  <c r="GM22" i="16"/>
  <c r="PC14" i="16"/>
  <c r="KU14" i="16"/>
  <c r="GM14" i="16"/>
  <c r="QE17" i="16"/>
  <c r="LW17" i="16"/>
  <c r="EI21" i="16"/>
  <c r="OZ15" i="16"/>
  <c r="QB29" i="16"/>
  <c r="IQ29" i="16"/>
  <c r="LT22" i="16"/>
  <c r="HL22" i="16"/>
  <c r="NX9" i="16"/>
  <c r="JP9" i="16"/>
  <c r="IQ25" i="16"/>
  <c r="IQ26" i="16"/>
  <c r="OA15" i="16"/>
  <c r="JS15" i="16"/>
  <c r="FK15" i="16"/>
  <c r="GJ29" i="16"/>
  <c r="MV22" i="16"/>
  <c r="IN22" i="16"/>
  <c r="EF22" i="16"/>
  <c r="JP17" i="16"/>
  <c r="FH18" i="16"/>
  <c r="GJ9" i="16"/>
  <c r="M14" i="17"/>
  <c r="CV14" i="17" s="1"/>
  <c r="OV19" i="17"/>
  <c r="OV17" i="17"/>
  <c r="MV7" i="15"/>
  <c r="FV12" i="15"/>
  <c r="JV11" i="15"/>
  <c r="PU5" i="15"/>
  <c r="IV7" i="15"/>
  <c r="KV8" i="15"/>
  <c r="NV14" i="15"/>
  <c r="FV14" i="15"/>
  <c r="OV5" i="15"/>
  <c r="NV4" i="15"/>
  <c r="PT7" i="15"/>
  <c r="FV8" i="15"/>
  <c r="LV12" i="15"/>
  <c r="NV6" i="15"/>
  <c r="FV6" i="15"/>
  <c r="OZ5" i="18"/>
  <c r="JP8" i="18"/>
  <c r="GJ9" i="18"/>
  <c r="KR9" i="18"/>
  <c r="OZ9" i="18"/>
  <c r="JP14" i="18"/>
  <c r="IN16" i="18"/>
  <c r="HL13" i="18"/>
  <c r="M8" i="18"/>
  <c r="N8" i="18" s="1"/>
  <c r="I15" i="18"/>
  <c r="J15" i="18" s="1"/>
  <c r="HL16" i="18"/>
  <c r="OZ19" i="18"/>
  <c r="FH12" i="18"/>
  <c r="QE10" i="18"/>
  <c r="EI5" i="18"/>
  <c r="PC13" i="18"/>
  <c r="K15" i="18"/>
  <c r="DD15" i="18"/>
  <c r="GM4" i="18"/>
  <c r="KU4" i="18"/>
  <c r="GM10" i="18"/>
  <c r="RA5" i="18"/>
  <c r="GJ16" i="18"/>
  <c r="MV17" i="18"/>
  <c r="IQ12" i="18"/>
  <c r="MY12" i="18"/>
  <c r="GJ4" i="18"/>
  <c r="KR4" i="18"/>
  <c r="PC10" i="18"/>
  <c r="OA13" i="18"/>
  <c r="Q20" i="18"/>
  <c r="DG20" i="18" s="1"/>
  <c r="FK20" i="18"/>
  <c r="JS20" i="18"/>
  <c r="OA20" i="18"/>
  <c r="PC6" i="18"/>
  <c r="FK10" i="18"/>
  <c r="JS10" i="18"/>
  <c r="OA10" i="18"/>
  <c r="QB5" i="18"/>
  <c r="HO16" i="18"/>
  <c r="NX16" i="18"/>
  <c r="QE16" i="18"/>
  <c r="EF13" i="18"/>
  <c r="O20" i="18"/>
  <c r="OZ4" i="18"/>
  <c r="FH6" i="18"/>
  <c r="JP6" i="18"/>
  <c r="NX6" i="18"/>
  <c r="MV10" i="18"/>
  <c r="K17" i="18"/>
  <c r="DE17" i="18" s="1"/>
  <c r="O22" i="18"/>
  <c r="EF12" i="18"/>
  <c r="NX4" i="18"/>
  <c r="EF6" i="18"/>
  <c r="HL10" i="18"/>
  <c r="LT10" i="18"/>
  <c r="MY13" i="18"/>
  <c r="QB13" i="18"/>
  <c r="JP17" i="18"/>
  <c r="Q11" i="18"/>
  <c r="DG11" i="18" s="1"/>
  <c r="LW13" i="18"/>
  <c r="OZ13" i="18"/>
  <c r="IQ15" i="18"/>
  <c r="EF17" i="18"/>
  <c r="IQ17" i="18"/>
  <c r="EF21" i="18"/>
  <c r="FK6" i="18"/>
  <c r="HL6" i="18"/>
  <c r="OA6" i="18"/>
  <c r="QB6" i="18"/>
  <c r="GJ10" i="18"/>
  <c r="KR10" i="18"/>
  <c r="JS14" i="18"/>
  <c r="IQ13" i="18"/>
  <c r="KU13" i="18"/>
  <c r="NX13" i="18"/>
  <c r="EI20" i="18"/>
  <c r="IQ20" i="18"/>
  <c r="MY20" i="18"/>
  <c r="RD20" i="18"/>
  <c r="RF20" i="18"/>
  <c r="Q22" i="18"/>
  <c r="DG22" i="18" s="1"/>
  <c r="PC8" i="18"/>
  <c r="FK7" i="18"/>
  <c r="JS7" i="18"/>
  <c r="OA7" i="18"/>
  <c r="DD9" i="18"/>
  <c r="MV13" i="18"/>
  <c r="HO15" i="18"/>
  <c r="I4" i="18"/>
  <c r="J4" i="18" s="1"/>
  <c r="HO4" i="18"/>
  <c r="LW4" i="18"/>
  <c r="MY6" i="18"/>
  <c r="OZ6" i="18"/>
  <c r="JP7" i="18"/>
  <c r="NX7" i="18"/>
  <c r="KR14" i="18"/>
  <c r="OZ14" i="18"/>
  <c r="OZ16" i="18"/>
  <c r="RD16" i="18"/>
  <c r="RF16" i="18"/>
  <c r="JS13" i="18"/>
  <c r="LT13" i="18"/>
  <c r="JS19" i="18"/>
  <c r="LT17" i="18"/>
  <c r="QE17" i="18"/>
  <c r="I20" i="18"/>
  <c r="J20" i="18" s="1"/>
  <c r="OZ12" i="18"/>
  <c r="PC18" i="16"/>
  <c r="HL18" i="16"/>
  <c r="LT12" i="16"/>
  <c r="HL12" i="16"/>
  <c r="LT29" i="16"/>
  <c r="LW22" i="16"/>
  <c r="HO22" i="16"/>
  <c r="KU25" i="16"/>
  <c r="FH19" i="16"/>
  <c r="Q19" i="16"/>
  <c r="DG19" i="16" s="1"/>
  <c r="QB9" i="16"/>
  <c r="DA12" i="16"/>
  <c r="EF29" i="16"/>
  <c r="Q13" i="16"/>
  <c r="IN18" i="16"/>
  <c r="HL9" i="16"/>
  <c r="IN12" i="16"/>
  <c r="MV15" i="16"/>
  <c r="IN15" i="16"/>
  <c r="MV29" i="16"/>
  <c r="KU29" i="16"/>
  <c r="FH29" i="16"/>
  <c r="MY22" i="16"/>
  <c r="IQ22" i="16"/>
  <c r="EI22" i="16"/>
  <c r="JS25" i="16"/>
  <c r="EI18" i="16"/>
  <c r="LW26" i="16"/>
  <c r="HO26" i="16"/>
  <c r="QE15" i="16"/>
  <c r="NX22" i="16"/>
  <c r="JP22" i="16"/>
  <c r="FH22" i="16"/>
  <c r="HO18" i="16"/>
  <c r="LW21" i="16"/>
  <c r="FH21" i="16"/>
  <c r="MV26" i="16"/>
  <c r="MY9" i="16"/>
  <c r="EI9" i="16"/>
  <c r="NX12" i="16"/>
  <c r="JP12" i="16"/>
  <c r="FH12" i="16"/>
  <c r="LW15" i="16"/>
  <c r="HO15" i="16"/>
  <c r="O15" i="16"/>
  <c r="HL29" i="16"/>
  <c r="EI29" i="16"/>
  <c r="RA11" i="16"/>
  <c r="EF11" i="16"/>
  <c r="HL6" i="16"/>
  <c r="QB6" i="16"/>
  <c r="KR22" i="16"/>
  <c r="GJ22" i="16"/>
  <c r="OA14" i="16"/>
  <c r="JS14" i="16"/>
  <c r="FK14" i="16"/>
  <c r="DD14" i="16"/>
  <c r="KR17" i="16"/>
  <c r="GM17" i="16"/>
  <c r="QB18" i="16"/>
  <c r="FH9" i="16"/>
  <c r="MY12" i="16"/>
  <c r="EI12" i="16"/>
  <c r="QB15" i="16"/>
  <c r="KR15" i="16"/>
  <c r="GJ15" i="16"/>
  <c r="JP29" i="16"/>
  <c r="GM29" i="16"/>
  <c r="M24" i="16"/>
  <c r="N24" i="16" s="1"/>
  <c r="FK17" i="16"/>
  <c r="PC22" i="16"/>
  <c r="LT25" i="16"/>
  <c r="GJ25" i="16"/>
  <c r="MV20" i="16"/>
  <c r="IN20" i="16"/>
  <c r="EF20" i="16"/>
  <c r="MY17" i="16"/>
  <c r="JP18" i="16"/>
  <c r="EF18" i="16"/>
  <c r="KU9" i="16"/>
  <c r="OZ12" i="16"/>
  <c r="PC15" i="16"/>
  <c r="GM15" i="16"/>
  <c r="M15" i="16"/>
  <c r="N15" i="16" s="1"/>
  <c r="O21" i="16"/>
  <c r="MV24" i="16"/>
  <c r="IN24" i="16"/>
  <c r="EF24" i="16"/>
  <c r="MV13" i="16"/>
  <c r="NX20" i="16"/>
  <c r="JP20" i="16"/>
  <c r="FH20" i="16"/>
  <c r="Q20" i="16"/>
  <c r="DG20" i="16" s="1"/>
  <c r="OZ14" i="16"/>
  <c r="KR14" i="16"/>
  <c r="GJ14" i="16"/>
  <c r="QB17" i="16"/>
  <c r="OA17" i="16"/>
  <c r="HO17" i="16"/>
  <c r="KR18" i="16"/>
  <c r="IQ18" i="16"/>
  <c r="OZ26" i="16"/>
  <c r="GM9" i="16"/>
  <c r="KR12" i="16"/>
  <c r="GJ12" i="16"/>
  <c r="IQ15" i="16"/>
  <c r="JS26" i="16"/>
  <c r="QE12" i="16"/>
  <c r="OA12" i="16"/>
  <c r="RA15" i="16"/>
  <c r="QE29" i="16"/>
  <c r="PC29" i="16"/>
  <c r="OA29" i="16"/>
  <c r="LW29" i="16"/>
  <c r="NX24" i="16"/>
  <c r="JP24" i="16"/>
  <c r="FH24" i="16"/>
  <c r="OZ22" i="16"/>
  <c r="OZ20" i="16"/>
  <c r="HL14" i="16"/>
  <c r="PC17" i="16"/>
  <c r="LT18" i="16"/>
  <c r="GJ18" i="16"/>
  <c r="LT26" i="16"/>
  <c r="KR26" i="16"/>
  <c r="GJ26" i="16"/>
  <c r="OZ9" i="16"/>
  <c r="IN9" i="16"/>
  <c r="KU15" i="16"/>
  <c r="EI17" i="16"/>
  <c r="QE18" i="16"/>
  <c r="QE26" i="16"/>
  <c r="OZ24" i="16"/>
  <c r="MY24" i="16"/>
  <c r="KR24" i="16"/>
  <c r="IQ24" i="16"/>
  <c r="GJ24" i="16"/>
  <c r="EI24" i="16"/>
  <c r="QB22" i="16"/>
  <c r="OZ25" i="16"/>
  <c r="KR25" i="16"/>
  <c r="Q25" i="16"/>
  <c r="DG25" i="16" s="1"/>
  <c r="I25" i="16"/>
  <c r="J25" i="16" s="1"/>
  <c r="QB20" i="16"/>
  <c r="LT20" i="16"/>
  <c r="HL20" i="16"/>
  <c r="EF14" i="16"/>
  <c r="GJ17" i="16"/>
  <c r="FK18" i="16"/>
  <c r="MY15" i="16"/>
  <c r="EI15" i="16"/>
  <c r="OV13" i="17"/>
  <c r="OV6" i="17"/>
  <c r="OV8" i="17"/>
  <c r="CT18" i="17"/>
  <c r="OV12" i="17"/>
  <c r="M19" i="17"/>
  <c r="CV19" i="17" s="1"/>
  <c r="OV18" i="17"/>
  <c r="PU6" i="17"/>
  <c r="PR6" i="17"/>
  <c r="M18" i="17"/>
  <c r="CV18" i="17" s="1"/>
  <c r="DV12" i="15"/>
  <c r="GV5" i="15"/>
  <c r="IV8" i="15"/>
  <c r="LV14" i="15"/>
  <c r="M12" i="15"/>
  <c r="CV12" i="15" s="1"/>
  <c r="EV5" i="15"/>
  <c r="IV6" i="15"/>
  <c r="MV12" i="15"/>
  <c r="FV11" i="15"/>
  <c r="EV11" i="15"/>
  <c r="HV5" i="15"/>
  <c r="HV11" i="15"/>
  <c r="KV5" i="15"/>
  <c r="CT5" i="15"/>
  <c r="CT7" i="15"/>
  <c r="MV8" i="15"/>
  <c r="EV8" i="15"/>
  <c r="KV11" i="15"/>
  <c r="GV6" i="15"/>
  <c r="NV7" i="15"/>
  <c r="LV7" i="15"/>
  <c r="KV7" i="15"/>
  <c r="DV7" i="15"/>
  <c r="NV8" i="15"/>
  <c r="MV14" i="15"/>
  <c r="EV14" i="15"/>
  <c r="EV12" i="15"/>
  <c r="NV11" i="15"/>
  <c r="HV14" i="15"/>
  <c r="HV12" i="15"/>
  <c r="PR6" i="15"/>
  <c r="CT14" i="15"/>
  <c r="KV12" i="15"/>
  <c r="HV6" i="15"/>
  <c r="JV8" i="15"/>
  <c r="GV8" i="15"/>
  <c r="PR12" i="15"/>
  <c r="IV12" i="15"/>
  <c r="NV5" i="15"/>
  <c r="FV5" i="15"/>
  <c r="DV14" i="15"/>
  <c r="IV5" i="15"/>
  <c r="EV7" i="15"/>
  <c r="GV14" i="15"/>
  <c r="GV12" i="15"/>
  <c r="LV5" i="15"/>
  <c r="DV8" i="15"/>
  <c r="PU14" i="15"/>
  <c r="IV14" i="15"/>
  <c r="JV12" i="15"/>
  <c r="MV5" i="15"/>
  <c r="FV7" i="15"/>
  <c r="PS12" i="15"/>
  <c r="K12" i="15"/>
  <c r="CT11" i="15"/>
  <c r="M11" i="15"/>
  <c r="CV11" i="15" s="1"/>
  <c r="JV5" i="15"/>
  <c r="DV5" i="15"/>
  <c r="PV7" i="15"/>
  <c r="OV7" i="15"/>
  <c r="PU8" i="15"/>
  <c r="HV8" i="15"/>
  <c r="NV12" i="15"/>
  <c r="LV11" i="15"/>
  <c r="IV11" i="15"/>
  <c r="OV6" i="15"/>
  <c r="LV6" i="15"/>
  <c r="KV14" i="15"/>
  <c r="M5" i="15"/>
  <c r="JV7" i="15"/>
  <c r="HV7" i="15"/>
  <c r="GV7" i="15"/>
  <c r="LV8" i="15"/>
  <c r="DV11" i="15"/>
  <c r="EV6" i="15"/>
  <c r="DV6" i="15"/>
  <c r="OV12" i="15"/>
  <c r="MV11" i="15"/>
  <c r="OV14" i="15"/>
  <c r="PS14" i="17"/>
  <c r="M17" i="17"/>
  <c r="PR19" i="17"/>
  <c r="OV11" i="17"/>
  <c r="OV14" i="17"/>
  <c r="MV25" i="16"/>
  <c r="EF25" i="16"/>
  <c r="NX13" i="16"/>
  <c r="JP13" i="16"/>
  <c r="FH13" i="16"/>
  <c r="MV21" i="16"/>
  <c r="IN21" i="16"/>
  <c r="DA21" i="16"/>
  <c r="M26" i="16"/>
  <c r="N26" i="16" s="1"/>
  <c r="I12" i="16"/>
  <c r="J12" i="16" s="1"/>
  <c r="NX25" i="16"/>
  <c r="FH25" i="16"/>
  <c r="KR20" i="16"/>
  <c r="GJ20" i="16"/>
  <c r="NX21" i="16"/>
  <c r="LW25" i="16"/>
  <c r="OZ13" i="16"/>
  <c r="KR13" i="16"/>
  <c r="GJ13" i="16"/>
  <c r="M20" i="16"/>
  <c r="N20" i="16" s="1"/>
  <c r="QB14" i="16"/>
  <c r="LT14" i="16"/>
  <c r="JS18" i="16"/>
  <c r="OZ21" i="16"/>
  <c r="JP21" i="16"/>
  <c r="EF21" i="16"/>
  <c r="KU26" i="16"/>
  <c r="OA9" i="16"/>
  <c r="FK9" i="16"/>
  <c r="HO12" i="16"/>
  <c r="M12" i="16"/>
  <c r="N12" i="16" s="1"/>
  <c r="QB24" i="16"/>
  <c r="OA24" i="16"/>
  <c r="LT24" i="16"/>
  <c r="JS24" i="16"/>
  <c r="HL24" i="16"/>
  <c r="FK24" i="16"/>
  <c r="O22" i="16"/>
  <c r="QB25" i="16"/>
  <c r="MY25" i="16"/>
  <c r="HL25" i="16"/>
  <c r="EI25" i="16"/>
  <c r="QE14" i="16"/>
  <c r="LW14" i="16"/>
  <c r="HO14" i="16"/>
  <c r="KU18" i="16"/>
  <c r="M18" i="16"/>
  <c r="N18" i="16" s="1"/>
  <c r="MY21" i="16"/>
  <c r="I26" i="16"/>
  <c r="J26" i="16" s="1"/>
  <c r="IQ12" i="16"/>
  <c r="RD29" i="16"/>
  <c r="RA29" i="16"/>
  <c r="Q7" i="16"/>
  <c r="DG7" i="16" s="1"/>
  <c r="RF11" i="16"/>
  <c r="RD25" i="16"/>
  <c r="OA25" i="16"/>
  <c r="IN25" i="16"/>
  <c r="FK25" i="16"/>
  <c r="QB13" i="16"/>
  <c r="LT13" i="16"/>
  <c r="HL13" i="16"/>
  <c r="K13" i="16"/>
  <c r="DE13" i="16" s="1"/>
  <c r="MV14" i="16"/>
  <c r="IN14" i="16"/>
  <c r="RF17" i="16"/>
  <c r="LT17" i="16"/>
  <c r="IQ17" i="16"/>
  <c r="LW18" i="16"/>
  <c r="DA18" i="16"/>
  <c r="QB21" i="16"/>
  <c r="OA21" i="16"/>
  <c r="KR21" i="16"/>
  <c r="GJ21" i="16"/>
  <c r="Q21" i="16"/>
  <c r="Q28" i="16"/>
  <c r="QB26" i="16"/>
  <c r="MY26" i="16"/>
  <c r="HL26" i="16"/>
  <c r="EI26" i="16"/>
  <c r="QE9" i="16"/>
  <c r="KR9" i="16"/>
  <c r="HO9" i="16"/>
  <c r="QB12" i="16"/>
  <c r="JS12" i="16"/>
  <c r="RA24" i="16"/>
  <c r="PC24" i="16"/>
  <c r="KU24" i="16"/>
  <c r="GM24" i="16"/>
  <c r="PC25" i="16"/>
  <c r="JP25" i="16"/>
  <c r="GM25" i="16"/>
  <c r="MY14" i="16"/>
  <c r="IQ14" i="16"/>
  <c r="EI14" i="16"/>
  <c r="MV17" i="16"/>
  <c r="JS17" i="16"/>
  <c r="EF17" i="16"/>
  <c r="M17" i="16"/>
  <c r="N17" i="16" s="1"/>
  <c r="M21" i="16"/>
  <c r="N21" i="16" s="1"/>
  <c r="OA26" i="16"/>
  <c r="IN26" i="16"/>
  <c r="FK26" i="16"/>
  <c r="LT9" i="16"/>
  <c r="IQ9" i="16"/>
  <c r="I29" i="16"/>
  <c r="J29" i="16" s="1"/>
  <c r="RF7" i="16"/>
  <c r="QE25" i="16"/>
  <c r="HO25" i="16"/>
  <c r="IN13" i="16"/>
  <c r="EF13" i="16"/>
  <c r="NX14" i="16"/>
  <c r="JP14" i="16"/>
  <c r="FH14" i="16"/>
  <c r="NX17" i="16"/>
  <c r="KU17" i="16"/>
  <c r="FH17" i="16"/>
  <c r="OA18" i="16"/>
  <c r="Q18" i="16"/>
  <c r="DG18" i="16" s="1"/>
  <c r="RA21" i="16"/>
  <c r="LT21" i="16"/>
  <c r="JS21" i="16"/>
  <c r="HL21" i="16"/>
  <c r="FK21" i="16"/>
  <c r="PC26" i="16"/>
  <c r="JP26" i="16"/>
  <c r="GM26" i="16"/>
  <c r="MV9" i="16"/>
  <c r="JS9" i="16"/>
  <c r="EF9" i="16"/>
  <c r="M9" i="16"/>
  <c r="N9" i="16" s="1"/>
  <c r="LW12" i="16"/>
  <c r="DD12" i="16"/>
  <c r="HL4" i="18"/>
  <c r="LT4" i="18"/>
  <c r="GM16" i="18"/>
  <c r="JP16" i="18"/>
  <c r="HL19" i="18"/>
  <c r="PC19" i="18"/>
  <c r="LW15" i="18"/>
  <c r="OZ15" i="18"/>
  <c r="IN21" i="18"/>
  <c r="MV21" i="18"/>
  <c r="GJ6" i="18"/>
  <c r="GJ7" i="18"/>
  <c r="KR7" i="18"/>
  <c r="OZ7" i="18"/>
  <c r="M16" i="18"/>
  <c r="N16" i="18" s="1"/>
  <c r="M19" i="18"/>
  <c r="N19" i="18" s="1"/>
  <c r="Q9" i="18"/>
  <c r="HL9" i="18"/>
  <c r="LT9" i="18"/>
  <c r="QB9" i="18"/>
  <c r="GJ14" i="18"/>
  <c r="MV16" i="18"/>
  <c r="KR19" i="18"/>
  <c r="HL21" i="18"/>
  <c r="LT21" i="18"/>
  <c r="QB21" i="18"/>
  <c r="FK4" i="18"/>
  <c r="JS4" i="18"/>
  <c r="MY5" i="18"/>
  <c r="GM8" i="18"/>
  <c r="MY8" i="18"/>
  <c r="OZ8" i="18"/>
  <c r="O7" i="18"/>
  <c r="FH7" i="18"/>
  <c r="PC17" i="18"/>
  <c r="LW12" i="18"/>
  <c r="FH4" i="18"/>
  <c r="JP4" i="18"/>
  <c r="LW6" i="18"/>
  <c r="IQ10" i="18"/>
  <c r="M5" i="18"/>
  <c r="N5" i="18" s="1"/>
  <c r="FK8" i="18"/>
  <c r="NX8" i="18"/>
  <c r="EI7" i="18"/>
  <c r="IQ7" i="18"/>
  <c r="MY7" i="18"/>
  <c r="RF7" i="18"/>
  <c r="JS16" i="18"/>
  <c r="LT16" i="18"/>
  <c r="PC16" i="18"/>
  <c r="JP19" i="18"/>
  <c r="KU15" i="18"/>
  <c r="MV12" i="18"/>
  <c r="PC12" i="18"/>
  <c r="IQ4" i="18"/>
  <c r="FH10" i="18"/>
  <c r="LW5" i="18"/>
  <c r="LW8" i="18"/>
  <c r="O11" i="18"/>
  <c r="JS15" i="18"/>
  <c r="HO17" i="18"/>
  <c r="OA17" i="18"/>
  <c r="KU12" i="18"/>
  <c r="IN4" i="18"/>
  <c r="MV4" i="18"/>
  <c r="GM6" i="18"/>
  <c r="MV6" i="18"/>
  <c r="EF10" i="18"/>
  <c r="JP10" i="18"/>
  <c r="LT5" i="18"/>
  <c r="MV5" i="18"/>
  <c r="GJ8" i="18"/>
  <c r="DA7" i="18"/>
  <c r="QE14" i="18"/>
  <c r="EF16" i="18"/>
  <c r="IQ16" i="18"/>
  <c r="KR16" i="18"/>
  <c r="EF19" i="18"/>
  <c r="MV19" i="18"/>
  <c r="QE19" i="18"/>
  <c r="O15" i="18"/>
  <c r="OA15" i="18"/>
  <c r="QB15" i="18"/>
  <c r="IN17" i="18"/>
  <c r="JP21" i="18"/>
  <c r="NX21" i="18"/>
  <c r="QB12" i="18"/>
  <c r="K5" i="18"/>
  <c r="DA21" i="18"/>
  <c r="DA12" i="18"/>
  <c r="RD13" i="18"/>
  <c r="M15" i="18"/>
  <c r="N15" i="18" s="1"/>
  <c r="K6" i="18"/>
  <c r="K20" i="18"/>
  <c r="DD21" i="18"/>
  <c r="I7" i="18"/>
  <c r="J7" i="18" s="1"/>
  <c r="RC16" i="18"/>
  <c r="DA17" i="18"/>
  <c r="RA9" i="18"/>
  <c r="RF9" i="18"/>
  <c r="Q14" i="18"/>
  <c r="DA14" i="18"/>
  <c r="RA13" i="18"/>
  <c r="DA6" i="18"/>
  <c r="RD17" i="18"/>
  <c r="EI6" i="18"/>
  <c r="FH5" i="18"/>
  <c r="RC10" i="18"/>
  <c r="DA16" i="18"/>
  <c r="RA16" i="18"/>
  <c r="RG22" i="18"/>
  <c r="F13" i="18"/>
  <c r="G20" i="18"/>
  <c r="M6" i="18"/>
  <c r="N6" i="18" s="1"/>
  <c r="Q7" i="18"/>
  <c r="DG7" i="18" s="1"/>
  <c r="RC13" i="18"/>
  <c r="DA22" i="18"/>
  <c r="DD11" i="18"/>
  <c r="RD14" i="18"/>
  <c r="RF14" i="18"/>
  <c r="O19" i="18"/>
  <c r="RB17" i="18"/>
  <c r="RG17" i="18"/>
  <c r="RA17" i="18"/>
  <c r="RA21" i="18"/>
  <c r="M12" i="18"/>
  <c r="N12" i="18" s="1"/>
  <c r="O10" i="18"/>
  <c r="Q5" i="18"/>
  <c r="DG5" i="18" s="1"/>
  <c r="M14" i="18"/>
  <c r="N14" i="18" s="1"/>
  <c r="F15" i="18"/>
  <c r="RC15" i="18"/>
  <c r="K12" i="18"/>
  <c r="RD12" i="18"/>
  <c r="RD4" i="18"/>
  <c r="RF10" i="18"/>
  <c r="DD5" i="18"/>
  <c r="RF8" i="18"/>
  <c r="O16" i="18"/>
  <c r="O13" i="18"/>
  <c r="RC19" i="18"/>
  <c r="I21" i="18"/>
  <c r="M20" i="18"/>
  <c r="N20" i="18" s="1"/>
  <c r="DA20" i="18"/>
  <c r="RC6" i="18"/>
  <c r="Q19" i="18"/>
  <c r="DA19" i="18"/>
  <c r="RD19" i="18"/>
  <c r="O21" i="18"/>
  <c r="K22" i="18"/>
  <c r="DE22" i="18" s="1"/>
  <c r="K10" i="18"/>
  <c r="DE10" i="18" s="1"/>
  <c r="RA10" i="18"/>
  <c r="RA8" i="18"/>
  <c r="K7" i="18"/>
  <c r="DE7" i="18" s="1"/>
  <c r="F10" i="18"/>
  <c r="I5" i="18"/>
  <c r="J5" i="18" s="1"/>
  <c r="RB4" i="18"/>
  <c r="HO6" i="18"/>
  <c r="KR6" i="18"/>
  <c r="QE6" i="18"/>
  <c r="EI10" i="18"/>
  <c r="RD10" i="18"/>
  <c r="Q16" i="18"/>
  <c r="G16" i="18"/>
  <c r="I8" i="18"/>
  <c r="J8" i="18" s="1"/>
  <c r="K8" i="18"/>
  <c r="DE8" i="18" s="1"/>
  <c r="RD7" i="18"/>
  <c r="RA7" i="18"/>
  <c r="LT14" i="18"/>
  <c r="LW14" i="18"/>
  <c r="DA4" i="18"/>
  <c r="IN6" i="18"/>
  <c r="RD6" i="18"/>
  <c r="RA6" i="18"/>
  <c r="RB10" i="18"/>
  <c r="F6" i="18"/>
  <c r="KU5" i="18"/>
  <c r="KR5" i="18"/>
  <c r="HO14" i="18"/>
  <c r="QE4" i="18"/>
  <c r="PC4" i="18"/>
  <c r="KU6" i="18"/>
  <c r="Q10" i="18"/>
  <c r="DA10" i="18"/>
  <c r="DD10" i="18"/>
  <c r="HO10" i="18"/>
  <c r="F5" i="18"/>
  <c r="JS5" i="18"/>
  <c r="JP5" i="18"/>
  <c r="EI8" i="18"/>
  <c r="EF8" i="18"/>
  <c r="I11" i="18"/>
  <c r="J11" i="18" s="1"/>
  <c r="K11" i="18"/>
  <c r="DE11" i="18" s="1"/>
  <c r="I9" i="18"/>
  <c r="J9" i="18" s="1"/>
  <c r="M4" i="18"/>
  <c r="N4" i="18" s="1"/>
  <c r="OA4" i="18"/>
  <c r="RG4" i="18"/>
  <c r="RA4" i="18"/>
  <c r="JS6" i="18"/>
  <c r="M10" i="18"/>
  <c r="N10" i="18" s="1"/>
  <c r="MY10" i="18"/>
  <c r="EF5" i="18"/>
  <c r="KU8" i="18"/>
  <c r="KR8" i="18"/>
  <c r="MY4" i="18"/>
  <c r="QB4" i="18"/>
  <c r="RF4" i="18"/>
  <c r="IQ6" i="18"/>
  <c r="LT6" i="18"/>
  <c r="RB6" i="18"/>
  <c r="IN10" i="18"/>
  <c r="O5" i="18"/>
  <c r="DA5" i="18"/>
  <c r="IQ5" i="18"/>
  <c r="IN5" i="18"/>
  <c r="DA8" i="18"/>
  <c r="F8" i="18"/>
  <c r="RG8" i="18"/>
  <c r="KU16" i="18"/>
  <c r="RG16" i="18"/>
  <c r="EI13" i="18"/>
  <c r="PC15" i="18"/>
  <c r="M17" i="18"/>
  <c r="N17" i="18" s="1"/>
  <c r="DD22" i="18"/>
  <c r="RG11" i="18"/>
  <c r="EF9" i="18"/>
  <c r="IN9" i="18"/>
  <c r="MV9" i="18"/>
  <c r="FH14" i="18"/>
  <c r="NX14" i="18"/>
  <c r="RG14" i="18"/>
  <c r="GJ13" i="18"/>
  <c r="GJ19" i="18"/>
  <c r="LT19" i="18"/>
  <c r="GM21" i="18"/>
  <c r="HO21" i="18"/>
  <c r="IQ21" i="18"/>
  <c r="JS21" i="18"/>
  <c r="KU21" i="18"/>
  <c r="LW21" i="18"/>
  <c r="MY21" i="18"/>
  <c r="OA21" i="18"/>
  <c r="PC21" i="18"/>
  <c r="QE21" i="18"/>
  <c r="RB9" i="18"/>
  <c r="RC9" i="18"/>
  <c r="EF14" i="18"/>
  <c r="MV14" i="18"/>
  <c r="RB16" i="18"/>
  <c r="FH13" i="18"/>
  <c r="FH19" i="18"/>
  <c r="G15" i="18"/>
  <c r="RB22" i="18"/>
  <c r="RC22" i="18"/>
  <c r="O12" i="18"/>
  <c r="LT12" i="18"/>
  <c r="HO5" i="18"/>
  <c r="QE5" i="18"/>
  <c r="RC5" i="18"/>
  <c r="JS8" i="18"/>
  <c r="MV8" i="18"/>
  <c r="DD7" i="18"/>
  <c r="EF7" i="18"/>
  <c r="IN7" i="18"/>
  <c r="MV7" i="18"/>
  <c r="DA9" i="18"/>
  <c r="O14" i="18"/>
  <c r="G13" i="18"/>
  <c r="Q13" i="18"/>
  <c r="F19" i="18"/>
  <c r="MY19" i="18"/>
  <c r="IN15" i="18"/>
  <c r="EI17" i="18"/>
  <c r="HL17" i="18"/>
  <c r="MY17" i="18"/>
  <c r="QB17" i="18"/>
  <c r="RF17" i="18"/>
  <c r="K21" i="18"/>
  <c r="DE21" i="18" s="1"/>
  <c r="F21" i="18"/>
  <c r="FK21" i="18"/>
  <c r="RB21" i="18"/>
  <c r="RC21" i="18"/>
  <c r="DD20" i="18"/>
  <c r="RB20" i="18"/>
  <c r="RC20" i="18"/>
  <c r="RG20" i="18"/>
  <c r="HO12" i="18"/>
  <c r="KR12" i="18"/>
  <c r="RG6" i="18"/>
  <c r="LW10" i="18"/>
  <c r="GM5" i="18"/>
  <c r="PC5" i="18"/>
  <c r="O8" i="18"/>
  <c r="IQ8" i="18"/>
  <c r="LT8" i="18"/>
  <c r="RD8" i="18"/>
  <c r="F7" i="18"/>
  <c r="HO7" i="18"/>
  <c r="LW7" i="18"/>
  <c r="QE7" i="18"/>
  <c r="RG7" i="18"/>
  <c r="M11" i="18"/>
  <c r="N11" i="18" s="1"/>
  <c r="DA11" i="18"/>
  <c r="GM14" i="18"/>
  <c r="PC14" i="18"/>
  <c r="RB14" i="18"/>
  <c r="RC14" i="18"/>
  <c r="FK16" i="18"/>
  <c r="OA16" i="18"/>
  <c r="M13" i="18"/>
  <c r="N13" i="18" s="1"/>
  <c r="DD13" i="18"/>
  <c r="HO13" i="18"/>
  <c r="RF13" i="18"/>
  <c r="HO19" i="18"/>
  <c r="QB19" i="18"/>
  <c r="HL15" i="18"/>
  <c r="RF15" i="18"/>
  <c r="I17" i="18"/>
  <c r="J17" i="18" s="1"/>
  <c r="GJ17" i="18"/>
  <c r="LW17" i="18"/>
  <c r="OZ17" i="18"/>
  <c r="M21" i="18"/>
  <c r="N21" i="18" s="1"/>
  <c r="Q21" i="18"/>
  <c r="DG21" i="18" s="1"/>
  <c r="EI21" i="18"/>
  <c r="F20" i="18"/>
  <c r="HO20" i="18"/>
  <c r="LW20" i="18"/>
  <c r="QE20" i="18"/>
  <c r="I12" i="18"/>
  <c r="J12" i="18" s="1"/>
  <c r="DD12" i="18"/>
  <c r="GM12" i="18"/>
  <c r="JP12" i="18"/>
  <c r="RC4" i="18"/>
  <c r="G6" i="18"/>
  <c r="RF6" i="18"/>
  <c r="KU10" i="18"/>
  <c r="FK5" i="18"/>
  <c r="OA5" i="18"/>
  <c r="RB5" i="18"/>
  <c r="RG5" i="18"/>
  <c r="HO8" i="18"/>
  <c r="QE8" i="18"/>
  <c r="G7" i="18"/>
  <c r="HL7" i="18"/>
  <c r="LT7" i="18"/>
  <c r="QB7" i="18"/>
  <c r="F9" i="18"/>
  <c r="FK14" i="18"/>
  <c r="IN14" i="18"/>
  <c r="OA14" i="18"/>
  <c r="RA14" i="18"/>
  <c r="F16" i="18"/>
  <c r="EI16" i="18"/>
  <c r="MY16" i="18"/>
  <c r="GM13" i="18"/>
  <c r="JP13" i="18"/>
  <c r="GM19" i="18"/>
  <c r="LW19" i="18"/>
  <c r="NX19" i="18"/>
  <c r="RB15" i="18"/>
  <c r="FH17" i="18"/>
  <c r="KU17" i="18"/>
  <c r="NX17" i="18"/>
  <c r="I22" i="18"/>
  <c r="J22" i="18" s="1"/>
  <c r="FK12" i="18"/>
  <c r="IN12" i="18"/>
  <c r="OA12" i="18"/>
  <c r="RB12" i="18"/>
  <c r="RG12" i="18"/>
  <c r="RA12" i="18"/>
  <c r="RF5" i="18"/>
  <c r="DD8" i="18"/>
  <c r="GM7" i="18"/>
  <c r="KU7" i="18"/>
  <c r="PC7" i="18"/>
  <c r="FH9" i="18"/>
  <c r="JP9" i="18"/>
  <c r="NX9" i="18"/>
  <c r="RG9" i="18"/>
  <c r="K14" i="18"/>
  <c r="DE14" i="18" s="1"/>
  <c r="EI14" i="18"/>
  <c r="HL14" i="18"/>
  <c r="MY14" i="18"/>
  <c r="QB14" i="18"/>
  <c r="K16" i="18"/>
  <c r="DE16" i="18" s="1"/>
  <c r="LW16" i="18"/>
  <c r="FK13" i="18"/>
  <c r="IN13" i="18"/>
  <c r="FK19" i="18"/>
  <c r="IN19" i="18"/>
  <c r="KU19" i="18"/>
  <c r="RA19" i="18"/>
  <c r="RG19" i="18"/>
  <c r="QE15" i="18"/>
  <c r="RC17" i="18"/>
  <c r="RD21" i="18"/>
  <c r="RF21" i="18"/>
  <c r="GM20" i="18"/>
  <c r="KU20" i="18"/>
  <c r="PC20" i="18"/>
  <c r="EI12" i="18"/>
  <c r="HL12" i="18"/>
  <c r="RF12" i="18"/>
  <c r="EF11" i="18"/>
  <c r="EI11" i="18"/>
  <c r="IN11" i="18"/>
  <c r="IQ11" i="18"/>
  <c r="MV11" i="18"/>
  <c r="MY11" i="18"/>
  <c r="RA11" i="18"/>
  <c r="RD11" i="18"/>
  <c r="O4" i="18"/>
  <c r="O6" i="18"/>
  <c r="G10" i="18"/>
  <c r="G8" i="18"/>
  <c r="Q8" i="18"/>
  <c r="DG8" i="18" s="1"/>
  <c r="RB11" i="18"/>
  <c r="RC11" i="18"/>
  <c r="DD4" i="18"/>
  <c r="DD6" i="18"/>
  <c r="F11" i="18"/>
  <c r="HL11" i="18"/>
  <c r="HO11" i="18"/>
  <c r="LT11" i="18"/>
  <c r="LW11" i="18"/>
  <c r="QB11" i="18"/>
  <c r="QE11" i="18"/>
  <c r="M9" i="18"/>
  <c r="N9" i="18" s="1"/>
  <c r="O9" i="18"/>
  <c r="Q4" i="18"/>
  <c r="DG4" i="18" s="1"/>
  <c r="Q6" i="18"/>
  <c r="DG6" i="18" s="1"/>
  <c r="G11" i="18"/>
  <c r="RF11" i="18"/>
  <c r="I10" i="18"/>
  <c r="GJ11" i="18"/>
  <c r="GM11" i="18"/>
  <c r="KR11" i="18"/>
  <c r="KU11" i="18"/>
  <c r="OZ11" i="18"/>
  <c r="PC11" i="18"/>
  <c r="RG10" i="18"/>
  <c r="G5" i="18"/>
  <c r="RD5" i="18"/>
  <c r="RB8" i="18"/>
  <c r="RC8" i="18"/>
  <c r="FH11" i="18"/>
  <c r="FK11" i="18"/>
  <c r="JP11" i="18"/>
  <c r="JS11" i="18"/>
  <c r="NX11" i="18"/>
  <c r="OA11" i="18"/>
  <c r="K4" i="18"/>
  <c r="I6" i="18"/>
  <c r="RB7" i="18"/>
  <c r="RC7" i="18"/>
  <c r="G9" i="18"/>
  <c r="F14" i="18"/>
  <c r="DD14" i="18"/>
  <c r="K13" i="18"/>
  <c r="DE13" i="18" s="1"/>
  <c r="DD19" i="18"/>
  <c r="R22" i="18"/>
  <c r="FK22" i="18"/>
  <c r="FH22" i="18"/>
  <c r="JS22" i="18"/>
  <c r="JP22" i="18"/>
  <c r="OA22" i="18"/>
  <c r="NX22" i="18"/>
  <c r="EI9" i="18"/>
  <c r="FK9" i="18"/>
  <c r="GM9" i="18"/>
  <c r="HO9" i="18"/>
  <c r="IQ9" i="18"/>
  <c r="JS9" i="18"/>
  <c r="KU9" i="18"/>
  <c r="LW9" i="18"/>
  <c r="MY9" i="18"/>
  <c r="OA9" i="18"/>
  <c r="PC9" i="18"/>
  <c r="QE9" i="18"/>
  <c r="RD9" i="18"/>
  <c r="G14" i="18"/>
  <c r="DD16" i="18"/>
  <c r="F22" i="18"/>
  <c r="Q17" i="18"/>
  <c r="DG17" i="18" s="1"/>
  <c r="G17" i="18"/>
  <c r="F17" i="18"/>
  <c r="EI22" i="18"/>
  <c r="G22" i="18"/>
  <c r="EF22" i="18"/>
  <c r="IQ22" i="18"/>
  <c r="IN22" i="18"/>
  <c r="MY22" i="18"/>
  <c r="MV22" i="18"/>
  <c r="RD22" i="18"/>
  <c r="RA22" i="18"/>
  <c r="I14" i="18"/>
  <c r="G19" i="18"/>
  <c r="GM15" i="18"/>
  <c r="RG21" i="18"/>
  <c r="RH21" i="18" s="1"/>
  <c r="HO22" i="18"/>
  <c r="HL22" i="18"/>
  <c r="LW22" i="18"/>
  <c r="LT22" i="18"/>
  <c r="QE22" i="18"/>
  <c r="QB22" i="18"/>
  <c r="M7" i="18"/>
  <c r="N7" i="18" s="1"/>
  <c r="L11" i="18"/>
  <c r="K9" i="18"/>
  <c r="DE9" i="18" s="1"/>
  <c r="I16" i="18"/>
  <c r="RB13" i="18"/>
  <c r="K19" i="18"/>
  <c r="DE19" i="18" s="1"/>
  <c r="I19" i="18"/>
  <c r="RB19" i="18"/>
  <c r="FK15" i="18"/>
  <c r="RG15" i="18"/>
  <c r="RF22" i="18"/>
  <c r="I13" i="18"/>
  <c r="DA13" i="18"/>
  <c r="EI15" i="18"/>
  <c r="RA15" i="18"/>
  <c r="RD15" i="18"/>
  <c r="J21" i="18"/>
  <c r="GM22" i="18"/>
  <c r="GJ22" i="18"/>
  <c r="KU22" i="18"/>
  <c r="KR22" i="18"/>
  <c r="PC22" i="18"/>
  <c r="OZ22" i="18"/>
  <c r="RG13" i="18"/>
  <c r="Q12" i="18"/>
  <c r="DG12" i="18" s="1"/>
  <c r="G12" i="18"/>
  <c r="F12" i="18"/>
  <c r="EF20" i="18"/>
  <c r="FH20" i="18"/>
  <c r="GJ20" i="18"/>
  <c r="HL20" i="18"/>
  <c r="IN20" i="18"/>
  <c r="JP20" i="18"/>
  <c r="KR20" i="18"/>
  <c r="LT20" i="18"/>
  <c r="MV20" i="18"/>
  <c r="NX20" i="18"/>
  <c r="OZ20" i="18"/>
  <c r="QB20" i="18"/>
  <c r="RA20" i="18"/>
  <c r="RF19" i="18"/>
  <c r="O17" i="18"/>
  <c r="G21" i="18"/>
  <c r="L22" i="18"/>
  <c r="M22" i="18"/>
  <c r="N22" i="18" s="1"/>
  <c r="RD14" i="16"/>
  <c r="RC29" i="16"/>
  <c r="DA11" i="16"/>
  <c r="RC13" i="16"/>
  <c r="M14" i="16"/>
  <c r="N14" i="16" s="1"/>
  <c r="DA9" i="16"/>
  <c r="RD26" i="16"/>
  <c r="M25" i="16"/>
  <c r="N25" i="16" s="1"/>
  <c r="DA14" i="16"/>
  <c r="RG13" i="16"/>
  <c r="RF26" i="16"/>
  <c r="RF15" i="16"/>
  <c r="RF29" i="16"/>
  <c r="RF22" i="16"/>
  <c r="DD24" i="16"/>
  <c r="RF18" i="16"/>
  <c r="RF28" i="16"/>
  <c r="F24" i="16"/>
  <c r="K24" i="16"/>
  <c r="DE24" i="16" s="1"/>
  <c r="RC12" i="16"/>
  <c r="RC24" i="16"/>
  <c r="RG22" i="16"/>
  <c r="RB18" i="16"/>
  <c r="RG19" i="16"/>
  <c r="DD9" i="16"/>
  <c r="RD15" i="16"/>
  <c r="DA7" i="16"/>
  <c r="Q22" i="16"/>
  <c r="RC25" i="16"/>
  <c r="I13" i="16"/>
  <c r="J13" i="16" s="1"/>
  <c r="RG20" i="16"/>
  <c r="RC9" i="16"/>
  <c r="O9" i="16"/>
  <c r="RC15" i="16"/>
  <c r="Q15" i="16"/>
  <c r="Q24" i="16"/>
  <c r="DG24" i="16" s="1"/>
  <c r="RA25" i="16"/>
  <c r="DD20" i="16"/>
  <c r="O20" i="16"/>
  <c r="RG11" i="16"/>
  <c r="M11" i="16"/>
  <c r="N11" i="16" s="1"/>
  <c r="RD22" i="16"/>
  <c r="RC20" i="16"/>
  <c r="RB20" i="16"/>
  <c r="DD17" i="16"/>
  <c r="RD18" i="16"/>
  <c r="O18" i="16"/>
  <c r="DD28" i="16"/>
  <c r="RC19" i="16"/>
  <c r="DD19" i="16"/>
  <c r="RC22" i="16"/>
  <c r="DA25" i="16"/>
  <c r="RF20" i="16"/>
  <c r="RA20" i="16"/>
  <c r="I19" i="16"/>
  <c r="J19" i="16" s="1"/>
  <c r="I28" i="16"/>
  <c r="J28" i="16" s="1"/>
  <c r="DA24" i="16"/>
  <c r="O24" i="16"/>
  <c r="DA22" i="16"/>
  <c r="I21" i="16"/>
  <c r="J21" i="16" s="1"/>
  <c r="RG15" i="16"/>
  <c r="F13" i="16"/>
  <c r="RC17" i="16"/>
  <c r="RB17" i="16"/>
  <c r="O17" i="16"/>
  <c r="RG28" i="16"/>
  <c r="RC28" i="16"/>
  <c r="RB19" i="16"/>
  <c r="G9" i="16"/>
  <c r="O12" i="16"/>
  <c r="I7" i="16"/>
  <c r="J7" i="16" s="1"/>
  <c r="RB24" i="16"/>
  <c r="M22" i="16"/>
  <c r="N22" i="16" s="1"/>
  <c r="RB25" i="16"/>
  <c r="I20" i="16"/>
  <c r="J20" i="16" s="1"/>
  <c r="RF14" i="16"/>
  <c r="DA17" i="16"/>
  <c r="RG18" i="16"/>
  <c r="G18" i="16"/>
  <c r="RF21" i="16"/>
  <c r="RF19" i="16"/>
  <c r="K26" i="16"/>
  <c r="DE26" i="16" s="1"/>
  <c r="F9" i="16"/>
  <c r="RB12" i="16"/>
  <c r="K11" i="16"/>
  <c r="Q12" i="16"/>
  <c r="DG12" i="16" s="1"/>
  <c r="RF24" i="16"/>
  <c r="RD24" i="16"/>
  <c r="I22" i="16"/>
  <c r="J22" i="16" s="1"/>
  <c r="DA20" i="16"/>
  <c r="RA14" i="16"/>
  <c r="DA28" i="16"/>
  <c r="K28" i="16"/>
  <c r="RA26" i="16"/>
  <c r="RG26" i="16"/>
  <c r="RF9" i="16"/>
  <c r="RA9" i="16"/>
  <c r="RF12" i="16"/>
  <c r="RD12" i="16"/>
  <c r="DA29" i="16"/>
  <c r="Q29" i="16"/>
  <c r="DG29" i="16" s="1"/>
  <c r="RG24" i="16"/>
  <c r="RB22" i="16"/>
  <c r="RB13" i="16"/>
  <c r="K20" i="16"/>
  <c r="DE20" i="16" s="1"/>
  <c r="RG14" i="16"/>
  <c r="RC18" i="16"/>
  <c r="DD21" i="16"/>
  <c r="DD26" i="16"/>
  <c r="RG12" i="16"/>
  <c r="I24" i="16"/>
  <c r="J24" i="16" s="1"/>
  <c r="RF25" i="16"/>
  <c r="RF13" i="16"/>
  <c r="RA13" i="16"/>
  <c r="RC14" i="16"/>
  <c r="RB14" i="16"/>
  <c r="RA17" i="16"/>
  <c r="RG17" i="16"/>
  <c r="RG21" i="16"/>
  <c r="RC21" i="16"/>
  <c r="RB21" i="16"/>
  <c r="M19" i="16"/>
  <c r="N19" i="16" s="1"/>
  <c r="RC26" i="16"/>
  <c r="RB26" i="16"/>
  <c r="Q9" i="16"/>
  <c r="DG9" i="16" s="1"/>
  <c r="RB15" i="16"/>
  <c r="M7" i="16"/>
  <c r="N7" i="16" s="1"/>
  <c r="RC11" i="16"/>
  <c r="RB11" i="16"/>
  <c r="DD11" i="16"/>
  <c r="F22" i="16"/>
  <c r="F18" i="16"/>
  <c r="F11" i="16"/>
  <c r="K14" i="16"/>
  <c r="K19" i="16"/>
  <c r="K9" i="16"/>
  <c r="DE9" i="16" s="1"/>
  <c r="K12" i="16"/>
  <c r="DE12" i="16" s="1"/>
  <c r="F15" i="16"/>
  <c r="I9" i="16"/>
  <c r="J9" i="16" s="1"/>
  <c r="F14" i="16"/>
  <c r="I14" i="16"/>
  <c r="J14" i="16" s="1"/>
  <c r="F17" i="16"/>
  <c r="K17" i="16"/>
  <c r="DE17" i="16" s="1"/>
  <c r="I17" i="16"/>
  <c r="J17" i="16" s="1"/>
  <c r="I11" i="16"/>
  <c r="J11" i="16" s="1"/>
  <c r="G22" i="16"/>
  <c r="O25" i="16"/>
  <c r="RA18" i="16"/>
  <c r="OZ28" i="16"/>
  <c r="PC28" i="16"/>
  <c r="KR28" i="16"/>
  <c r="KU28" i="16"/>
  <c r="GJ28" i="16"/>
  <c r="GM28" i="16"/>
  <c r="M28" i="16"/>
  <c r="N28" i="16" s="1"/>
  <c r="O28" i="16"/>
  <c r="NX19" i="16"/>
  <c r="JP19" i="16"/>
  <c r="QB7" i="16"/>
  <c r="QE7" i="16"/>
  <c r="LT7" i="16"/>
  <c r="LW7" i="16"/>
  <c r="HL7" i="16"/>
  <c r="HO7" i="16"/>
  <c r="OZ11" i="16"/>
  <c r="KR11" i="16"/>
  <c r="GJ11" i="16"/>
  <c r="DA10" i="16"/>
  <c r="IQ6" i="16"/>
  <c r="KR6" i="16"/>
  <c r="RA6" i="16"/>
  <c r="RF6" i="16"/>
  <c r="DD22" i="16"/>
  <c r="G25" i="16"/>
  <c r="RD13" i="16"/>
  <c r="QE13" i="16"/>
  <c r="PC13" i="16"/>
  <c r="OA13" i="16"/>
  <c r="MY13" i="16"/>
  <c r="LW13" i="16"/>
  <c r="KU13" i="16"/>
  <c r="JS13" i="16"/>
  <c r="IQ13" i="16"/>
  <c r="HO13" i="16"/>
  <c r="GM13" i="16"/>
  <c r="FK13" i="16"/>
  <c r="EI13" i="16"/>
  <c r="O13" i="16"/>
  <c r="Q14" i="16"/>
  <c r="DG14" i="16" s="1"/>
  <c r="I18" i="16"/>
  <c r="PC21" i="16"/>
  <c r="GM21" i="16"/>
  <c r="G26" i="16"/>
  <c r="RB9" i="16"/>
  <c r="RG9" i="16"/>
  <c r="PC12" i="16"/>
  <c r="F12" i="16"/>
  <c r="DD25" i="16"/>
  <c r="F25" i="16"/>
  <c r="G13" i="16"/>
  <c r="RD20" i="16"/>
  <c r="QE20" i="16"/>
  <c r="PC20" i="16"/>
  <c r="OA20" i="16"/>
  <c r="MY20" i="16"/>
  <c r="LW20" i="16"/>
  <c r="KU20" i="16"/>
  <c r="JS20" i="16"/>
  <c r="IQ20" i="16"/>
  <c r="HO20" i="16"/>
  <c r="GM20" i="16"/>
  <c r="FK20" i="16"/>
  <c r="EI20" i="16"/>
  <c r="Q17" i="16"/>
  <c r="DG17" i="16" s="1"/>
  <c r="QE21" i="16"/>
  <c r="HO21" i="16"/>
  <c r="QB28" i="16"/>
  <c r="QE28" i="16"/>
  <c r="LT28" i="16"/>
  <c r="LW28" i="16"/>
  <c r="HL28" i="16"/>
  <c r="HO28" i="16"/>
  <c r="F28" i="16"/>
  <c r="OZ19" i="16"/>
  <c r="PC19" i="16"/>
  <c r="DA15" i="16"/>
  <c r="DD15" i="16"/>
  <c r="M29" i="16"/>
  <c r="N29" i="16" s="1"/>
  <c r="O29" i="16"/>
  <c r="RA7" i="16"/>
  <c r="RD7" i="16"/>
  <c r="MV7" i="16"/>
  <c r="MY7" i="16"/>
  <c r="IN7" i="16"/>
  <c r="IQ7" i="16"/>
  <c r="EF7" i="16"/>
  <c r="EI7" i="16"/>
  <c r="G24" i="16"/>
  <c r="K22" i="16"/>
  <c r="DE22" i="16" s="1"/>
  <c r="DD13" i="16"/>
  <c r="M13" i="16"/>
  <c r="N13" i="16" s="1"/>
  <c r="G20" i="16"/>
  <c r="O14" i="16"/>
  <c r="RD21" i="16"/>
  <c r="IQ21" i="16"/>
  <c r="K21" i="16"/>
  <c r="DE21" i="16" s="1"/>
  <c r="G21" i="16"/>
  <c r="RB28" i="16"/>
  <c r="F19" i="16"/>
  <c r="RC7" i="16"/>
  <c r="RB7" i="16"/>
  <c r="K25" i="16"/>
  <c r="DE25" i="16" s="1"/>
  <c r="F20" i="16"/>
  <c r="G14" i="16"/>
  <c r="RD17" i="16"/>
  <c r="RA28" i="16"/>
  <c r="RD28" i="16"/>
  <c r="MV28" i="16"/>
  <c r="MY28" i="16"/>
  <c r="IN28" i="16"/>
  <c r="IQ28" i="16"/>
  <c r="EF28" i="16"/>
  <c r="EI28" i="16"/>
  <c r="QB19" i="16"/>
  <c r="QE19" i="16"/>
  <c r="Q26" i="16"/>
  <c r="DG26" i="16" s="1"/>
  <c r="RD9" i="16"/>
  <c r="RB29" i="16"/>
  <c r="F29" i="16"/>
  <c r="NX7" i="16"/>
  <c r="OA7" i="16"/>
  <c r="JP7" i="16"/>
  <c r="JS7" i="16"/>
  <c r="FH7" i="16"/>
  <c r="FK7" i="16"/>
  <c r="RG25" i="16"/>
  <c r="G17" i="16"/>
  <c r="K18" i="16"/>
  <c r="DE18" i="16" s="1"/>
  <c r="KU21" i="16"/>
  <c r="F21" i="16"/>
  <c r="F26" i="16"/>
  <c r="NX28" i="16"/>
  <c r="OA28" i="16"/>
  <c r="JP28" i="16"/>
  <c r="JS28" i="16"/>
  <c r="FH28" i="16"/>
  <c r="FK28" i="16"/>
  <c r="RA19" i="16"/>
  <c r="RD19" i="16"/>
  <c r="MV19" i="16"/>
  <c r="IN19" i="16"/>
  <c r="G12" i="16"/>
  <c r="I15" i="16"/>
  <c r="K15" i="16"/>
  <c r="DE15" i="16" s="1"/>
  <c r="G15" i="16"/>
  <c r="RG29" i="16"/>
  <c r="RG7" i="16"/>
  <c r="OZ7" i="16"/>
  <c r="PC7" i="16"/>
  <c r="KR7" i="16"/>
  <c r="KU7" i="16"/>
  <c r="GJ7" i="16"/>
  <c r="GM7" i="16"/>
  <c r="RA12" i="16"/>
  <c r="G29" i="16"/>
  <c r="O7" i="16"/>
  <c r="DD29" i="16"/>
  <c r="G7" i="16"/>
  <c r="RD11" i="16"/>
  <c r="QE11" i="16"/>
  <c r="PC11" i="16"/>
  <c r="OA11" i="16"/>
  <c r="MY11" i="16"/>
  <c r="LW11" i="16"/>
  <c r="KU11" i="16"/>
  <c r="JS11" i="16"/>
  <c r="IQ11" i="16"/>
  <c r="HO11" i="16"/>
  <c r="GM11" i="16"/>
  <c r="FK11" i="16"/>
  <c r="EI11" i="16"/>
  <c r="O11" i="16"/>
  <c r="G28" i="16"/>
  <c r="OA19" i="16"/>
  <c r="MY19" i="16"/>
  <c r="LW19" i="16"/>
  <c r="KU19" i="16"/>
  <c r="JS19" i="16"/>
  <c r="IQ19" i="16"/>
  <c r="HO19" i="16"/>
  <c r="GM19" i="16"/>
  <c r="FK19" i="16"/>
  <c r="EI19" i="16"/>
  <c r="O19" i="16"/>
  <c r="DD7" i="16"/>
  <c r="F7" i="16"/>
  <c r="G11" i="16"/>
  <c r="G19" i="16"/>
  <c r="O26" i="16"/>
  <c r="K29" i="16"/>
  <c r="DE29" i="16" s="1"/>
  <c r="K7" i="16"/>
  <c r="DE7" i="16" s="1"/>
  <c r="NX5" i="16"/>
  <c r="O10" i="16"/>
  <c r="OZ6" i="16"/>
  <c r="IQ10" i="16"/>
  <c r="MY10" i="16"/>
  <c r="DA4" i="16"/>
  <c r="GM4" i="16"/>
  <c r="KU4" i="16"/>
  <c r="PC4" i="16"/>
  <c r="JS5" i="16"/>
  <c r="K4" i="16"/>
  <c r="DE4" i="16" s="1"/>
  <c r="OA10" i="16"/>
  <c r="MV5" i="16"/>
  <c r="FH5" i="16"/>
  <c r="GJ6" i="16"/>
  <c r="M10" i="16"/>
  <c r="N10" i="16" s="1"/>
  <c r="FK10" i="16"/>
  <c r="JS10" i="16"/>
  <c r="HO6" i="16"/>
  <c r="DA5" i="16"/>
  <c r="LT5" i="16"/>
  <c r="EF6" i="16"/>
  <c r="HO4" i="16"/>
  <c r="LW4" i="16"/>
  <c r="QE4" i="16"/>
  <c r="KU5" i="16"/>
  <c r="IN6" i="16"/>
  <c r="MV6" i="16"/>
  <c r="K5" i="16"/>
  <c r="I4" i="16"/>
  <c r="J4" i="16" s="1"/>
  <c r="I5" i="16"/>
  <c r="J5" i="16" s="1"/>
  <c r="FH6" i="16"/>
  <c r="Q10" i="16"/>
  <c r="DG10" i="16" s="1"/>
  <c r="DD10" i="16"/>
  <c r="GM6" i="16"/>
  <c r="NX6" i="16"/>
  <c r="DD4" i="16"/>
  <c r="IQ5" i="16"/>
  <c r="PC10" i="16"/>
  <c r="RA10" i="16"/>
  <c r="RF10" i="16"/>
  <c r="DD6" i="16"/>
  <c r="FK6" i="16"/>
  <c r="QE6" i="16"/>
  <c r="Q5" i="16"/>
  <c r="HL10" i="16"/>
  <c r="PC6" i="16"/>
  <c r="RC6" i="16"/>
  <c r="RD5" i="16"/>
  <c r="RF5" i="16"/>
  <c r="QB10" i="16"/>
  <c r="JS6" i="16"/>
  <c r="LT6" i="16"/>
  <c r="OA6" i="16"/>
  <c r="RG4" i="16"/>
  <c r="DD5" i="16"/>
  <c r="EI10" i="16"/>
  <c r="LT10" i="16"/>
  <c r="RB6" i="16"/>
  <c r="O4" i="16"/>
  <c r="HO5" i="16"/>
  <c r="KR5" i="16"/>
  <c r="QE5" i="16"/>
  <c r="RB5" i="16"/>
  <c r="RC5" i="16"/>
  <c r="RD10" i="16"/>
  <c r="RD6" i="16"/>
  <c r="JS4" i="16"/>
  <c r="OA4" i="16"/>
  <c r="GM5" i="16"/>
  <c r="JP5" i="16"/>
  <c r="PC5" i="16"/>
  <c r="F10" i="16"/>
  <c r="OZ10" i="16"/>
  <c r="O6" i="16"/>
  <c r="RB10" i="16"/>
  <c r="EI6" i="16"/>
  <c r="MY6" i="16"/>
  <c r="FK4" i="16"/>
  <c r="G5" i="16"/>
  <c r="IN5" i="16"/>
  <c r="G10" i="16"/>
  <c r="EI4" i="16"/>
  <c r="IQ4" i="16"/>
  <c r="MY4" i="16"/>
  <c r="RD4" i="16"/>
  <c r="RF4" i="16"/>
  <c r="M5" i="16"/>
  <c r="N5" i="16" s="1"/>
  <c r="HL5" i="16"/>
  <c r="MY5" i="16"/>
  <c r="QB5" i="16"/>
  <c r="I10" i="16"/>
  <c r="J10" i="16" s="1"/>
  <c r="GM10" i="16"/>
  <c r="IN10" i="16"/>
  <c r="LW6" i="16"/>
  <c r="FK5" i="16"/>
  <c r="OA5" i="16"/>
  <c r="RG5" i="16"/>
  <c r="RA5" i="16"/>
  <c r="M4" i="16"/>
  <c r="N4" i="16" s="1"/>
  <c r="Q4" i="16"/>
  <c r="DG4" i="16" s="1"/>
  <c r="RB4" i="16"/>
  <c r="RC4" i="16"/>
  <c r="EF5" i="16"/>
  <c r="GJ5" i="16"/>
  <c r="LW5" i="16"/>
  <c r="OZ5" i="16"/>
  <c r="K10" i="16"/>
  <c r="RC10" i="16"/>
  <c r="KU6" i="16"/>
  <c r="PT12" i="17"/>
  <c r="CT19" i="17"/>
  <c r="PV18" i="17"/>
  <c r="PU17" i="17"/>
  <c r="PU12" i="17"/>
  <c r="PT19" i="17"/>
  <c r="PV6" i="17"/>
  <c r="PS6" i="17"/>
  <c r="M8" i="17"/>
  <c r="CV8" i="17" s="1"/>
  <c r="PS18" i="17"/>
  <c r="PV8" i="17"/>
  <c r="CT8" i="17"/>
  <c r="F8" i="17"/>
  <c r="PT6" i="17"/>
  <c r="G6" i="17"/>
  <c r="I16" i="17"/>
  <c r="J16" i="17" s="1"/>
  <c r="PS12" i="17"/>
  <c r="CT17" i="17"/>
  <c r="CT6" i="17"/>
  <c r="PR12" i="17"/>
  <c r="CT12" i="17"/>
  <c r="PV19" i="17"/>
  <c r="PU16" i="17"/>
  <c r="PT16" i="17"/>
  <c r="PR16" i="17"/>
  <c r="PR11" i="17"/>
  <c r="F12" i="17"/>
  <c r="G17" i="17"/>
  <c r="F14" i="17"/>
  <c r="PT18" i="17"/>
  <c r="CT14" i="17"/>
  <c r="F17" i="17"/>
  <c r="PS19" i="17"/>
  <c r="PV12" i="17"/>
  <c r="K8" i="17"/>
  <c r="CU8" i="17" s="1"/>
  <c r="PU19" i="17"/>
  <c r="PT8" i="17"/>
  <c r="PS8" i="17"/>
  <c r="PT17" i="17"/>
  <c r="PS17" i="17"/>
  <c r="I17" i="17"/>
  <c r="J17" i="17" s="1"/>
  <c r="CT11" i="17"/>
  <c r="M11" i="17"/>
  <c r="PU8" i="17"/>
  <c r="PR8" i="17"/>
  <c r="PU18" i="17"/>
  <c r="PR18" i="17"/>
  <c r="PU14" i="17"/>
  <c r="PR14" i="17"/>
  <c r="PR17" i="17"/>
  <c r="PV11" i="17"/>
  <c r="K19" i="17"/>
  <c r="PS16" i="17"/>
  <c r="M16" i="17"/>
  <c r="PV14" i="17"/>
  <c r="CT16" i="17"/>
  <c r="PV17" i="17"/>
  <c r="PT11" i="17"/>
  <c r="PS11" i="17"/>
  <c r="K11" i="17"/>
  <c r="M12" i="17"/>
  <c r="CV12" i="17" s="1"/>
  <c r="G12" i="17"/>
  <c r="PT14" i="17"/>
  <c r="G14" i="17"/>
  <c r="F11" i="17"/>
  <c r="F19" i="17"/>
  <c r="F16" i="17"/>
  <c r="I8" i="17"/>
  <c r="G18" i="17"/>
  <c r="K14" i="17"/>
  <c r="CU14" i="17" s="1"/>
  <c r="M6" i="17"/>
  <c r="CV6" i="17" s="1"/>
  <c r="F6" i="17"/>
  <c r="I19" i="17"/>
  <c r="PV16" i="17"/>
  <c r="G16" i="17"/>
  <c r="K12" i="17"/>
  <c r="CU12" i="17" s="1"/>
  <c r="F18" i="17"/>
  <c r="I11" i="17"/>
  <c r="I14" i="17"/>
  <c r="K6" i="17"/>
  <c r="CU6" i="17" s="1"/>
  <c r="I12" i="17"/>
  <c r="G8" i="17"/>
  <c r="K18" i="17"/>
  <c r="CU18" i="17" s="1"/>
  <c r="G19" i="17"/>
  <c r="K16" i="17"/>
  <c r="CU16" i="17" s="1"/>
  <c r="I6" i="17"/>
  <c r="G11" i="17"/>
  <c r="CT9" i="17"/>
  <c r="PU13" i="17"/>
  <c r="I18" i="17"/>
  <c r="K17" i="17"/>
  <c r="CU17" i="17" s="1"/>
  <c r="OV4" i="17"/>
  <c r="PR5" i="17"/>
  <c r="PT4" i="17"/>
  <c r="PU15" i="17"/>
  <c r="CT13" i="17"/>
  <c r="OV10" i="17"/>
  <c r="CT10" i="17"/>
  <c r="PT10" i="17"/>
  <c r="M15" i="17"/>
  <c r="PS4" i="17"/>
  <c r="PR9" i="17"/>
  <c r="PU9" i="17"/>
  <c r="PS5" i="17"/>
  <c r="PT5" i="17"/>
  <c r="PR10" i="17"/>
  <c r="PT9" i="17"/>
  <c r="I5" i="17"/>
  <c r="J5" i="17" s="1"/>
  <c r="CT23" i="17"/>
  <c r="PR23" i="17"/>
  <c r="CT4" i="17"/>
  <c r="OV9" i="17"/>
  <c r="OV15" i="17"/>
  <c r="PT23" i="17"/>
  <c r="I23" i="17"/>
  <c r="J23" i="17" s="1"/>
  <c r="OV23" i="17"/>
  <c r="F13" i="17"/>
  <c r="PS9" i="17"/>
  <c r="I10" i="17"/>
  <c r="J10" i="17" s="1"/>
  <c r="K23" i="17"/>
  <c r="CU23" i="17" s="1"/>
  <c r="G15" i="17"/>
  <c r="I4" i="17"/>
  <c r="J4" i="17" s="1"/>
  <c r="M4" i="17"/>
  <c r="CV4" i="17" s="1"/>
  <c r="M9" i="17"/>
  <c r="PS23" i="17"/>
  <c r="PV23" i="17"/>
  <c r="PS13" i="17"/>
  <c r="OV5" i="17"/>
  <c r="PV5" i="17"/>
  <c r="PV10" i="17"/>
  <c r="PU10" i="17"/>
  <c r="PV15" i="17"/>
  <c r="PU23" i="17"/>
  <c r="PV13" i="17"/>
  <c r="PV4" i="17"/>
  <c r="CT5" i="17"/>
  <c r="PU5" i="17"/>
  <c r="K10" i="17"/>
  <c r="PS10" i="17"/>
  <c r="PR15" i="17"/>
  <c r="M23" i="17"/>
  <c r="M13" i="17"/>
  <c r="CV13" i="17" s="1"/>
  <c r="PT13" i="17"/>
  <c r="PR4" i="17"/>
  <c r="PU4" i="17"/>
  <c r="PV9" i="17"/>
  <c r="M5" i="17"/>
  <c r="PS15" i="17"/>
  <c r="PT15" i="17"/>
  <c r="PR13" i="17"/>
  <c r="F10" i="17"/>
  <c r="M10" i="17"/>
  <c r="CV10" i="17" s="1"/>
  <c r="G13" i="17"/>
  <c r="F4" i="17"/>
  <c r="K5" i="17"/>
  <c r="CU5" i="17" s="1"/>
  <c r="G10" i="17"/>
  <c r="I15" i="17"/>
  <c r="G4" i="17"/>
  <c r="I9" i="17"/>
  <c r="F23" i="17"/>
  <c r="F5" i="17"/>
  <c r="K15" i="17"/>
  <c r="CU15" i="17" s="1"/>
  <c r="CT15" i="17"/>
  <c r="G23" i="17"/>
  <c r="I13" i="17"/>
  <c r="K4" i="17"/>
  <c r="CU4" i="17" s="1"/>
  <c r="K9" i="17"/>
  <c r="CU9" i="17" s="1"/>
  <c r="G5" i="17"/>
  <c r="G9" i="17"/>
  <c r="F15" i="17"/>
  <c r="K13" i="17"/>
  <c r="CU13" i="17" s="1"/>
  <c r="F9" i="17"/>
  <c r="G7" i="15"/>
  <c r="PT11" i="15"/>
  <c r="PU12" i="15"/>
  <c r="PS5" i="15"/>
  <c r="PV11" i="15"/>
  <c r="PS11" i="15"/>
  <c r="I11" i="15"/>
  <c r="J11" i="15" s="1"/>
  <c r="G5" i="15"/>
  <c r="PV12" i="15"/>
  <c r="PU11" i="15"/>
  <c r="PR11" i="15"/>
  <c r="PR5" i="15"/>
  <c r="PT5" i="15"/>
  <c r="PV14" i="15"/>
  <c r="CT12" i="15"/>
  <c r="PS14" i="15"/>
  <c r="PR14" i="15"/>
  <c r="F7" i="15"/>
  <c r="PT12" i="15"/>
  <c r="G14" i="15"/>
  <c r="PV5" i="15"/>
  <c r="CT6" i="15"/>
  <c r="PT8" i="15"/>
  <c r="PS8" i="15"/>
  <c r="CT8" i="15"/>
  <c r="M8" i="15"/>
  <c r="CV8" i="15" s="1"/>
  <c r="F14" i="15"/>
  <c r="PV6" i="15"/>
  <c r="PV8" i="15"/>
  <c r="PR8" i="15"/>
  <c r="M6" i="15"/>
  <c r="CV6" i="15" s="1"/>
  <c r="PS7" i="15"/>
  <c r="M7" i="15"/>
  <c r="CV7" i="15" s="1"/>
  <c r="PT14" i="15"/>
  <c r="F12" i="15"/>
  <c r="F11" i="15"/>
  <c r="PT6" i="15"/>
  <c r="PS6" i="15"/>
  <c r="K6" i="15"/>
  <c r="PU7" i="15"/>
  <c r="K8" i="15"/>
  <c r="CU8" i="15" s="1"/>
  <c r="F5" i="15"/>
  <c r="PU6" i="15"/>
  <c r="F6" i="15"/>
  <c r="I8" i="15"/>
  <c r="K7" i="15"/>
  <c r="CU7" i="15" s="1"/>
  <c r="M14" i="15"/>
  <c r="CV14" i="15" s="1"/>
  <c r="I6" i="15"/>
  <c r="I12" i="15"/>
  <c r="G11" i="15"/>
  <c r="K5" i="15"/>
  <c r="CU5" i="15" s="1"/>
  <c r="I7" i="15"/>
  <c r="G8" i="15"/>
  <c r="K14" i="15"/>
  <c r="CU14" i="15" s="1"/>
  <c r="F8" i="15"/>
  <c r="I5" i="15"/>
  <c r="G6" i="15"/>
  <c r="I14" i="15"/>
  <c r="G12" i="15"/>
  <c r="K11" i="15"/>
  <c r="CU11" i="15" s="1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4" i="16"/>
  <c r="KR4" i="16"/>
  <c r="QB4" i="16"/>
  <c r="O5" i="16"/>
  <c r="EI5" i="16"/>
  <c r="EF10" i="16"/>
  <c r="MV10" i="16"/>
  <c r="RG10" i="16"/>
  <c r="K6" i="16"/>
  <c r="DE6" i="16" s="1"/>
  <c r="I6" i="16"/>
  <c r="HO10" i="16"/>
  <c r="QE10" i="16"/>
  <c r="M6" i="16"/>
  <c r="N6" i="16" s="1"/>
  <c r="JP10" i="16"/>
  <c r="RG6" i="16"/>
  <c r="EF4" i="16"/>
  <c r="IN4" i="16"/>
  <c r="MV4" i="16"/>
  <c r="Q6" i="16"/>
  <c r="DG6" i="16" s="1"/>
  <c r="HL4" i="16"/>
  <c r="LT4" i="16"/>
  <c r="OZ4" i="16"/>
  <c r="RA4" i="16"/>
  <c r="G4" i="16"/>
  <c r="F5" i="16"/>
  <c r="LW10" i="16"/>
  <c r="G6" i="16"/>
  <c r="FH4" i="16"/>
  <c r="JP4" i="16"/>
  <c r="NX4" i="16"/>
  <c r="F4" i="16"/>
  <c r="F6" i="16"/>
  <c r="FH10" i="16"/>
  <c r="KU10" i="16"/>
  <c r="NX10" i="16"/>
  <c r="DA6" i="16"/>
  <c r="K4" i="15"/>
  <c r="CU4" i="15" s="1"/>
  <c r="I4" i="15"/>
  <c r="L13" i="16" l="1"/>
  <c r="PW11" i="17"/>
  <c r="L7" i="18"/>
  <c r="R24" i="16"/>
  <c r="R20" i="16"/>
  <c r="PW7" i="15"/>
  <c r="R21" i="18"/>
  <c r="R20" i="18"/>
  <c r="RH20" i="18"/>
  <c r="R29" i="16"/>
  <c r="RH15" i="16"/>
  <c r="RH13" i="16"/>
  <c r="R25" i="16"/>
  <c r="N14" i="17"/>
  <c r="PW6" i="17"/>
  <c r="RH5" i="18"/>
  <c r="RE19" i="16"/>
  <c r="L17" i="18"/>
  <c r="L21" i="18"/>
  <c r="RH26" i="16"/>
  <c r="H15" i="16"/>
  <c r="R11" i="16"/>
  <c r="N12" i="15"/>
  <c r="R11" i="18"/>
  <c r="RE17" i="18"/>
  <c r="PW5" i="15"/>
  <c r="H11" i="16"/>
  <c r="L10" i="18"/>
  <c r="RH18" i="16"/>
  <c r="RH20" i="16"/>
  <c r="RH25" i="16"/>
  <c r="R7" i="16"/>
  <c r="RE18" i="16"/>
  <c r="N11" i="15"/>
  <c r="P17" i="18"/>
  <c r="DF17" i="18"/>
  <c r="P8" i="18"/>
  <c r="DF8" i="18"/>
  <c r="P5" i="18"/>
  <c r="DF5" i="18"/>
  <c r="P16" i="18"/>
  <c r="DF16" i="18"/>
  <c r="P7" i="18"/>
  <c r="DF7" i="18"/>
  <c r="S7" i="18" s="1"/>
  <c r="P12" i="18"/>
  <c r="DF12" i="18"/>
  <c r="R10" i="18"/>
  <c r="DG10" i="18"/>
  <c r="R19" i="18"/>
  <c r="DG19" i="18"/>
  <c r="P19" i="18"/>
  <c r="DF19" i="18"/>
  <c r="L15" i="18"/>
  <c r="DE15" i="18"/>
  <c r="P9" i="18"/>
  <c r="DF9" i="18"/>
  <c r="P11" i="18"/>
  <c r="DF11" i="18"/>
  <c r="S11" i="18" s="1"/>
  <c r="P22" i="18"/>
  <c r="DF22" i="18"/>
  <c r="P20" i="18"/>
  <c r="DF20" i="18"/>
  <c r="R13" i="18"/>
  <c r="DG13" i="18"/>
  <c r="P10" i="18"/>
  <c r="DF10" i="18"/>
  <c r="P15" i="18"/>
  <c r="DF15" i="18"/>
  <c r="R9" i="18"/>
  <c r="DG9" i="18"/>
  <c r="R15" i="18"/>
  <c r="DG15" i="18"/>
  <c r="P6" i="18"/>
  <c r="DF6" i="18"/>
  <c r="DE20" i="18"/>
  <c r="L5" i="18"/>
  <c r="DE5" i="18"/>
  <c r="P4" i="18"/>
  <c r="DF4" i="18"/>
  <c r="P14" i="18"/>
  <c r="DF14" i="18"/>
  <c r="R14" i="18"/>
  <c r="DG14" i="18"/>
  <c r="L6" i="18"/>
  <c r="DE6" i="18"/>
  <c r="P21" i="18"/>
  <c r="DF21" i="18"/>
  <c r="S21" i="18" s="1"/>
  <c r="L12" i="18"/>
  <c r="DE12" i="18"/>
  <c r="R16" i="18"/>
  <c r="DG16" i="18"/>
  <c r="P13" i="18"/>
  <c r="DF13" i="18"/>
  <c r="L5" i="16"/>
  <c r="DE5" i="16"/>
  <c r="P7" i="16"/>
  <c r="DF7" i="16"/>
  <c r="S7" i="16" s="1"/>
  <c r="P25" i="16"/>
  <c r="DF25" i="16"/>
  <c r="S25" i="16" s="1"/>
  <c r="P6" i="16"/>
  <c r="DF6" i="16"/>
  <c r="L14" i="16"/>
  <c r="DE14" i="16"/>
  <c r="P21" i="16"/>
  <c r="DF21" i="16"/>
  <c r="P10" i="16"/>
  <c r="DF10" i="16"/>
  <c r="P26" i="16"/>
  <c r="DF26" i="16"/>
  <c r="P19" i="16"/>
  <c r="DF19" i="16"/>
  <c r="P13" i="16"/>
  <c r="DF13" i="16"/>
  <c r="P12" i="16"/>
  <c r="DF12" i="16"/>
  <c r="S12" i="16" s="1"/>
  <c r="R22" i="16"/>
  <c r="DG22" i="16"/>
  <c r="P5" i="16"/>
  <c r="DF5" i="16"/>
  <c r="P4" i="16"/>
  <c r="DF4" i="16"/>
  <c r="S4" i="16" s="1"/>
  <c r="U4" i="16" s="1"/>
  <c r="R5" i="16"/>
  <c r="DG5" i="16"/>
  <c r="L28" i="16"/>
  <c r="DE28" i="16"/>
  <c r="DE11" i="16"/>
  <c r="R15" i="16"/>
  <c r="DG15" i="16"/>
  <c r="R13" i="16"/>
  <c r="DG13" i="16"/>
  <c r="R28" i="16"/>
  <c r="DG28" i="16"/>
  <c r="P15" i="16"/>
  <c r="DF15" i="16"/>
  <c r="RE14" i="16"/>
  <c r="P9" i="16"/>
  <c r="DF9" i="16"/>
  <c r="S9" i="16" s="1"/>
  <c r="T9" i="16" s="1"/>
  <c r="R21" i="16"/>
  <c r="DG21" i="16"/>
  <c r="P11" i="16"/>
  <c r="DF11" i="16"/>
  <c r="P24" i="16"/>
  <c r="DF24" i="16"/>
  <c r="S24" i="16" s="1"/>
  <c r="P22" i="16"/>
  <c r="DF22" i="16"/>
  <c r="L10" i="16"/>
  <c r="DE10" i="16"/>
  <c r="S10" i="16" s="1"/>
  <c r="U10" i="16" s="1"/>
  <c r="H14" i="16"/>
  <c r="R12" i="16"/>
  <c r="P14" i="16"/>
  <c r="DF14" i="16"/>
  <c r="P29" i="16"/>
  <c r="DF29" i="16"/>
  <c r="S29" i="16" s="1"/>
  <c r="P28" i="16"/>
  <c r="DF28" i="16"/>
  <c r="L19" i="16"/>
  <c r="DE19" i="16"/>
  <c r="P17" i="16"/>
  <c r="DF17" i="16"/>
  <c r="P18" i="16"/>
  <c r="DF18" i="16"/>
  <c r="S18" i="16" s="1"/>
  <c r="P20" i="16"/>
  <c r="DF20" i="16"/>
  <c r="S20" i="16" s="1"/>
  <c r="T20" i="16" s="1"/>
  <c r="L10" i="17"/>
  <c r="CU10" i="17"/>
  <c r="L11" i="17"/>
  <c r="CU11" i="17"/>
  <c r="L19" i="17"/>
  <c r="CU19" i="17"/>
  <c r="O19" i="17" s="1"/>
  <c r="Q19" i="17" s="1"/>
  <c r="N11" i="17"/>
  <c r="CV11" i="17"/>
  <c r="N15" i="17"/>
  <c r="CV15" i="17"/>
  <c r="N9" i="17"/>
  <c r="CV9" i="17"/>
  <c r="N17" i="17"/>
  <c r="CV17" i="17"/>
  <c r="N5" i="17"/>
  <c r="CV5" i="17"/>
  <c r="N23" i="17"/>
  <c r="CV23" i="17"/>
  <c r="O23" i="17" s="1"/>
  <c r="N16" i="17"/>
  <c r="CV16" i="17"/>
  <c r="O16" i="17" s="1"/>
  <c r="N5" i="15"/>
  <c r="CV5" i="15"/>
  <c r="L12" i="15"/>
  <c r="CU12" i="15"/>
  <c r="O12" i="15" s="1"/>
  <c r="Q12" i="15" s="1"/>
  <c r="L6" i="15"/>
  <c r="CU6" i="15"/>
  <c r="O6" i="15" s="1"/>
  <c r="Q6" i="15" s="1"/>
  <c r="RH22" i="18"/>
  <c r="RH19" i="16"/>
  <c r="RH11" i="16"/>
  <c r="RE20" i="16"/>
  <c r="PW14" i="17"/>
  <c r="N8" i="17"/>
  <c r="N19" i="17"/>
  <c r="H11" i="17"/>
  <c r="H5" i="17"/>
  <c r="RE15" i="16"/>
  <c r="RH12" i="18"/>
  <c r="RE20" i="18"/>
  <c r="RH14" i="18"/>
  <c r="RH17" i="18"/>
  <c r="R19" i="16"/>
  <c r="H12" i="16"/>
  <c r="H13" i="16"/>
  <c r="R18" i="16"/>
  <c r="PW12" i="17"/>
  <c r="H8" i="17"/>
  <c r="H10" i="17"/>
  <c r="H16" i="17"/>
  <c r="H14" i="17"/>
  <c r="H13" i="17"/>
  <c r="H19" i="17"/>
  <c r="L8" i="17"/>
  <c r="H12" i="17"/>
  <c r="PW14" i="15"/>
  <c r="PW12" i="15"/>
  <c r="H7" i="18"/>
  <c r="RE10" i="18"/>
  <c r="H11" i="18"/>
  <c r="L14" i="18"/>
  <c r="H10" i="18"/>
  <c r="RH15" i="18"/>
  <c r="H19" i="18"/>
  <c r="H6" i="18"/>
  <c r="L20" i="18"/>
  <c r="R7" i="18"/>
  <c r="H20" i="18"/>
  <c r="H22" i="18"/>
  <c r="H21" i="18"/>
  <c r="RH9" i="18"/>
  <c r="H17" i="18"/>
  <c r="H13" i="18"/>
  <c r="H15" i="18"/>
  <c r="H12" i="18"/>
  <c r="H9" i="18"/>
  <c r="H14" i="18"/>
  <c r="H5" i="18"/>
  <c r="H8" i="18"/>
  <c r="H16" i="18"/>
  <c r="H17" i="16"/>
  <c r="R9" i="16"/>
  <c r="L20" i="16"/>
  <c r="RE11" i="16"/>
  <c r="RE21" i="16"/>
  <c r="RH24" i="16"/>
  <c r="RE17" i="16"/>
  <c r="RH22" i="16"/>
  <c r="H24" i="16"/>
  <c r="H29" i="16"/>
  <c r="H6" i="16"/>
  <c r="H20" i="16"/>
  <c r="H7" i="16"/>
  <c r="H4" i="16"/>
  <c r="PW16" i="17"/>
  <c r="H9" i="17"/>
  <c r="N18" i="17"/>
  <c r="H18" i="17"/>
  <c r="H6" i="17"/>
  <c r="H15" i="17"/>
  <c r="N12" i="17"/>
  <c r="H17" i="17"/>
  <c r="H23" i="17"/>
  <c r="H4" i="17"/>
  <c r="L23" i="17"/>
  <c r="PW18" i="17"/>
  <c r="N4" i="15"/>
  <c r="PW11" i="15"/>
  <c r="H26" i="16"/>
  <c r="H14" i="15"/>
  <c r="H12" i="15"/>
  <c r="H7" i="15"/>
  <c r="H4" i="15"/>
  <c r="H5" i="15"/>
  <c r="H8" i="15"/>
  <c r="N8" i="15"/>
  <c r="N7" i="15"/>
  <c r="H6" i="15"/>
  <c r="H11" i="15"/>
  <c r="PW17" i="17"/>
  <c r="H21" i="16"/>
  <c r="H5" i="16"/>
  <c r="H28" i="16"/>
  <c r="RE13" i="16"/>
  <c r="RH21" i="16"/>
  <c r="H18" i="16"/>
  <c r="H25" i="16"/>
  <c r="RH17" i="16"/>
  <c r="H9" i="16"/>
  <c r="H22" i="16"/>
  <c r="RH12" i="16"/>
  <c r="RE25" i="16"/>
  <c r="RE24" i="16"/>
  <c r="H10" i="16"/>
  <c r="H19" i="16"/>
  <c r="RE22" i="16"/>
  <c r="RE12" i="16"/>
  <c r="RE12" i="18"/>
  <c r="R5" i="18"/>
  <c r="RE22" i="18"/>
  <c r="A13" i="18"/>
  <c r="A15" i="18"/>
  <c r="RH10" i="18"/>
  <c r="RE14" i="18"/>
  <c r="RE9" i="18"/>
  <c r="RE15" i="18"/>
  <c r="A20" i="18"/>
  <c r="S22" i="18"/>
  <c r="U22" i="18" s="1"/>
  <c r="RE21" i="18"/>
  <c r="RE6" i="18"/>
  <c r="RH4" i="18"/>
  <c r="A17" i="18"/>
  <c r="RH16" i="18"/>
  <c r="RE5" i="18"/>
  <c r="RH6" i="18"/>
  <c r="RE4" i="18"/>
  <c r="RE16" i="18"/>
  <c r="L16" i="18"/>
  <c r="L8" i="18"/>
  <c r="R12" i="18"/>
  <c r="J13" i="18"/>
  <c r="L9" i="18"/>
  <c r="A22" i="18"/>
  <c r="RE7" i="18"/>
  <c r="RH7" i="18"/>
  <c r="J6" i="18"/>
  <c r="J10" i="18"/>
  <c r="RH19" i="18"/>
  <c r="RE19" i="18"/>
  <c r="J19" i="18"/>
  <c r="RE8" i="18"/>
  <c r="RH8" i="18"/>
  <c r="RH11" i="18"/>
  <c r="RE11" i="18"/>
  <c r="J14" i="18"/>
  <c r="L4" i="18"/>
  <c r="L19" i="18"/>
  <c r="RH13" i="18"/>
  <c r="RE13" i="18"/>
  <c r="A21" i="18"/>
  <c r="R8" i="18"/>
  <c r="J16" i="18"/>
  <c r="L13" i="18"/>
  <c r="A19" i="18"/>
  <c r="R6" i="18"/>
  <c r="R17" i="18"/>
  <c r="S17" i="18"/>
  <c r="R4" i="18"/>
  <c r="RE6" i="16"/>
  <c r="RH14" i="16"/>
  <c r="RE26" i="16"/>
  <c r="L24" i="16"/>
  <c r="L11" i="16"/>
  <c r="R10" i="16"/>
  <c r="RH6" i="16"/>
  <c r="L26" i="16"/>
  <c r="L9" i="16"/>
  <c r="L17" i="16"/>
  <c r="L12" i="16"/>
  <c r="J15" i="16"/>
  <c r="L25" i="16"/>
  <c r="R17" i="16"/>
  <c r="J18" i="16"/>
  <c r="RH29" i="16"/>
  <c r="RE29" i="16"/>
  <c r="RE9" i="16"/>
  <c r="RH9" i="16"/>
  <c r="L7" i="16"/>
  <c r="RH7" i="16"/>
  <c r="RE7" i="16"/>
  <c r="R14" i="16"/>
  <c r="L18" i="16"/>
  <c r="R26" i="16"/>
  <c r="RH28" i="16"/>
  <c r="RE28" i="16"/>
  <c r="L15" i="16"/>
  <c r="L29" i="16"/>
  <c r="L21" i="16"/>
  <c r="L22" i="16"/>
  <c r="L4" i="16"/>
  <c r="RH4" i="16"/>
  <c r="RE10" i="16"/>
  <c r="RH10" i="16"/>
  <c r="RH5" i="16"/>
  <c r="RE4" i="16"/>
  <c r="R4" i="16"/>
  <c r="RE5" i="16"/>
  <c r="A15" i="17"/>
  <c r="A18" i="17"/>
  <c r="PW19" i="17"/>
  <c r="A14" i="17"/>
  <c r="A17" i="17"/>
  <c r="A12" i="17"/>
  <c r="PW8" i="17"/>
  <c r="PW23" i="17"/>
  <c r="PW4" i="17"/>
  <c r="J12" i="17"/>
  <c r="N6" i="17"/>
  <c r="L16" i="17"/>
  <c r="A16" i="17"/>
  <c r="O8" i="17"/>
  <c r="L14" i="17"/>
  <c r="O14" i="17"/>
  <c r="L6" i="17"/>
  <c r="L12" i="17"/>
  <c r="O12" i="17"/>
  <c r="J14" i="17"/>
  <c r="J8" i="17"/>
  <c r="A11" i="17"/>
  <c r="L17" i="17"/>
  <c r="J6" i="17"/>
  <c r="L18" i="17"/>
  <c r="O18" i="17"/>
  <c r="J19" i="17"/>
  <c r="A19" i="17"/>
  <c r="J18" i="17"/>
  <c r="J11" i="17"/>
  <c r="PW15" i="17"/>
  <c r="N4" i="17"/>
  <c r="PW13" i="17"/>
  <c r="PW5" i="17"/>
  <c r="N13" i="17"/>
  <c r="PW10" i="17"/>
  <c r="A13" i="17"/>
  <c r="PW9" i="17"/>
  <c r="A23" i="17"/>
  <c r="J9" i="17"/>
  <c r="O4" i="17"/>
  <c r="L4" i="17"/>
  <c r="J13" i="17"/>
  <c r="O13" i="17"/>
  <c r="L13" i="17"/>
  <c r="L5" i="17"/>
  <c r="L15" i="17"/>
  <c r="N10" i="17"/>
  <c r="L9" i="17"/>
  <c r="J15" i="17"/>
  <c r="PW6" i="15"/>
  <c r="N6" i="15"/>
  <c r="O8" i="15"/>
  <c r="P8" i="15" s="1"/>
  <c r="L8" i="15"/>
  <c r="PW8" i="15"/>
  <c r="J7" i="15"/>
  <c r="O7" i="15"/>
  <c r="L7" i="15"/>
  <c r="J5" i="15"/>
  <c r="J8" i="15"/>
  <c r="N14" i="15"/>
  <c r="L5" i="15"/>
  <c r="J12" i="15"/>
  <c r="L11" i="15"/>
  <c r="O11" i="15"/>
  <c r="J6" i="15"/>
  <c r="J14" i="15"/>
  <c r="L14" i="15"/>
  <c r="PW4" i="15"/>
  <c r="J6" i="16"/>
  <c r="L6" i="16"/>
  <c r="R6" i="16"/>
  <c r="J4" i="15"/>
  <c r="O4" i="15"/>
  <c r="L4" i="15"/>
  <c r="S13" i="16" l="1"/>
  <c r="S22" i="16"/>
  <c r="S16" i="18"/>
  <c r="E16" i="18" s="1"/>
  <c r="E21" i="18"/>
  <c r="S21" i="16"/>
  <c r="T21" i="16" s="1"/>
  <c r="O11" i="17"/>
  <c r="Q11" i="17" s="1"/>
  <c r="S12" i="18"/>
  <c r="E12" i="18" s="1"/>
  <c r="S14" i="16"/>
  <c r="U14" i="16" s="1"/>
  <c r="S14" i="18"/>
  <c r="U14" i="18" s="1"/>
  <c r="S10" i="18"/>
  <c r="T10" i="18" s="1"/>
  <c r="S28" i="16"/>
  <c r="T28" i="16" s="1"/>
  <c r="E7" i="18"/>
  <c r="S15" i="16"/>
  <c r="T15" i="16" s="1"/>
  <c r="S6" i="18"/>
  <c r="T6" i="18" s="1"/>
  <c r="S5" i="18"/>
  <c r="T5" i="18" s="1"/>
  <c r="S9" i="18"/>
  <c r="U9" i="18" s="1"/>
  <c r="S15" i="18"/>
  <c r="E15" i="18" s="1"/>
  <c r="S19" i="16"/>
  <c r="E19" i="16" s="1"/>
  <c r="S20" i="18"/>
  <c r="T20" i="18" s="1"/>
  <c r="E11" i="18"/>
  <c r="U11" i="18"/>
  <c r="T11" i="18"/>
  <c r="S11" i="16"/>
  <c r="U11" i="16" s="1"/>
  <c r="E22" i="18"/>
  <c r="T22" i="18"/>
  <c r="E16" i="17"/>
  <c r="O9" i="17"/>
  <c r="E9" i="17" s="1"/>
  <c r="O5" i="15"/>
  <c r="P5" i="15" s="1"/>
  <c r="S13" i="18"/>
  <c r="U13" i="18" s="1"/>
  <c r="S5" i="16"/>
  <c r="T5" i="16" s="1"/>
  <c r="O15" i="17"/>
  <c r="Q15" i="17" s="1"/>
  <c r="E23" i="17"/>
  <c r="O17" i="17"/>
  <c r="P17" i="17" s="1"/>
  <c r="S19" i="18"/>
  <c r="U19" i="18" s="1"/>
  <c r="T7" i="18"/>
  <c r="U7" i="18"/>
  <c r="E22" i="16"/>
  <c r="S17" i="16"/>
  <c r="E17" i="16" s="1"/>
  <c r="P19" i="17"/>
  <c r="Q8" i="15"/>
  <c r="S26" i="16"/>
  <c r="E26" i="16" s="1"/>
  <c r="P12" i="15"/>
  <c r="U9" i="16"/>
  <c r="U20" i="16"/>
  <c r="E20" i="16"/>
  <c r="T21" i="18"/>
  <c r="U21" i="18"/>
  <c r="E17" i="18"/>
  <c r="S8" i="18"/>
  <c r="E8" i="18" s="1"/>
  <c r="A14" i="18" s="1"/>
  <c r="U17" i="18"/>
  <c r="T17" i="18"/>
  <c r="T24" i="16"/>
  <c r="U24" i="16"/>
  <c r="E24" i="16"/>
  <c r="E10" i="16"/>
  <c r="T10" i="16"/>
  <c r="E25" i="16"/>
  <c r="E12" i="16"/>
  <c r="T12" i="16"/>
  <c r="U12" i="16"/>
  <c r="E7" i="16"/>
  <c r="E29" i="16"/>
  <c r="E18" i="16"/>
  <c r="E9" i="16"/>
  <c r="U18" i="16"/>
  <c r="T18" i="16"/>
  <c r="T7" i="16"/>
  <c r="U7" i="16"/>
  <c r="T25" i="16"/>
  <c r="U25" i="16"/>
  <c r="T29" i="16"/>
  <c r="U29" i="16"/>
  <c r="T13" i="16"/>
  <c r="U13" i="16"/>
  <c r="E13" i="16"/>
  <c r="T22" i="16"/>
  <c r="U22" i="16"/>
  <c r="T4" i="16"/>
  <c r="E4" i="16"/>
  <c r="E8" i="17"/>
  <c r="E19" i="17"/>
  <c r="P23" i="17"/>
  <c r="E18" i="17"/>
  <c r="O6" i="17"/>
  <c r="E6" i="17" s="1"/>
  <c r="O10" i="17"/>
  <c r="P10" i="17" s="1"/>
  <c r="E14" i="17"/>
  <c r="E12" i="17"/>
  <c r="P18" i="17"/>
  <c r="Q18" i="17"/>
  <c r="Q23" i="17"/>
  <c r="P14" i="17"/>
  <c r="Q14" i="17"/>
  <c r="P8" i="17"/>
  <c r="Q8" i="17"/>
  <c r="P12" i="17"/>
  <c r="Q12" i="17"/>
  <c r="P16" i="17"/>
  <c r="Q16" i="17"/>
  <c r="O5" i="17"/>
  <c r="P5" i="17" s="1"/>
  <c r="E4" i="17"/>
  <c r="E13" i="17"/>
  <c r="Q4" i="17"/>
  <c r="P4" i="17"/>
  <c r="Q13" i="17"/>
  <c r="P13" i="17"/>
  <c r="E8" i="15"/>
  <c r="E6" i="15"/>
  <c r="P6" i="15"/>
  <c r="E7" i="15"/>
  <c r="O14" i="15"/>
  <c r="P14" i="15" s="1"/>
  <c r="E12" i="15"/>
  <c r="Q11" i="15"/>
  <c r="P11" i="15"/>
  <c r="P7" i="15"/>
  <c r="Q7" i="15"/>
  <c r="E11" i="15"/>
  <c r="E4" i="15"/>
  <c r="S6" i="16"/>
  <c r="Q4" i="15"/>
  <c r="P4" i="15"/>
  <c r="E21" i="16" l="1"/>
  <c r="E14" i="16"/>
  <c r="T16" i="18"/>
  <c r="U16" i="18"/>
  <c r="U21" i="16"/>
  <c r="T14" i="16"/>
  <c r="U10" i="18"/>
  <c r="U12" i="18"/>
  <c r="T12" i="18"/>
  <c r="E10" i="18"/>
  <c r="E14" i="18"/>
  <c r="T14" i="18"/>
  <c r="E28" i="16"/>
  <c r="U28" i="16"/>
  <c r="P11" i="17"/>
  <c r="E11" i="17"/>
  <c r="A11" i="15"/>
  <c r="E6" i="18"/>
  <c r="U6" i="18"/>
  <c r="E5" i="18"/>
  <c r="E9" i="18"/>
  <c r="U5" i="18"/>
  <c r="E15" i="16"/>
  <c r="U15" i="16"/>
  <c r="T9" i="18"/>
  <c r="U15" i="18"/>
  <c r="E11" i="16"/>
  <c r="U20" i="18"/>
  <c r="E20" i="18"/>
  <c r="T15" i="18"/>
  <c r="T11" i="16"/>
  <c r="T19" i="16"/>
  <c r="U19" i="16"/>
  <c r="E5" i="15"/>
  <c r="E13" i="18"/>
  <c r="Q5" i="15"/>
  <c r="P9" i="17"/>
  <c r="Q9" i="17"/>
  <c r="T13" i="18"/>
  <c r="Q10" i="17"/>
  <c r="E15" i="17"/>
  <c r="T19" i="18"/>
  <c r="U5" i="16"/>
  <c r="T26" i="16"/>
  <c r="U26" i="16"/>
  <c r="E5" i="16"/>
  <c r="P15" i="17"/>
  <c r="E10" i="17"/>
  <c r="E19" i="18"/>
  <c r="U17" i="16"/>
  <c r="T17" i="16"/>
  <c r="Q17" i="17"/>
  <c r="E17" i="17"/>
  <c r="U8" i="18"/>
  <c r="T8" i="18"/>
  <c r="A16" i="18"/>
  <c r="P6" i="17"/>
  <c r="Q6" i="17"/>
  <c r="Q5" i="17"/>
  <c r="E5" i="17"/>
  <c r="E14" i="15"/>
  <c r="Q14" i="15"/>
  <c r="A12" i="15"/>
  <c r="U6" i="16"/>
  <c r="T6" i="16"/>
  <c r="E6" i="16"/>
  <c r="A28" i="16" s="1"/>
  <c r="A8" i="16" l="1"/>
  <c r="A7" i="17"/>
  <c r="A6" i="15"/>
  <c r="A9" i="17"/>
  <c r="A10" i="17"/>
  <c r="A9" i="15"/>
  <c r="A8" i="15"/>
  <c r="A7" i="15"/>
  <c r="A16" i="16"/>
  <c r="A6" i="17"/>
  <c r="A8" i="17"/>
  <c r="A4" i="17"/>
  <c r="A5" i="15"/>
  <c r="A5" i="17"/>
  <c r="A14" i="16"/>
  <c r="EB4" i="18"/>
  <c r="EE4" i="18"/>
  <c r="A4" i="15" a="1"/>
  <c r="A4" i="15" s="1"/>
  <c r="A14" i="15"/>
  <c r="A25" i="16"/>
  <c r="A20" i="16"/>
  <c r="A24" i="16"/>
  <c r="A9" i="16"/>
  <c r="A11" i="16"/>
  <c r="A7" i="16"/>
  <c r="A22" i="16"/>
  <c r="A15" i="16"/>
  <c r="A26" i="16"/>
  <c r="A17" i="16"/>
  <c r="A21" i="16"/>
  <c r="A19" i="16"/>
  <c r="A13" i="16"/>
  <c r="A29" i="16"/>
  <c r="A12" i="16"/>
  <c r="A18" i="16"/>
  <c r="A10" i="16"/>
  <c r="A4" i="16" a="1"/>
  <c r="A4" i="16" s="1"/>
  <c r="A5" i="16"/>
  <c r="A6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CS13" i="4"/>
  <c r="CT13" i="4"/>
  <c r="CU13" i="4"/>
  <c r="CV13" i="4"/>
  <c r="CW13" i="4"/>
  <c r="CY13" i="4"/>
  <c r="CZ13" i="4"/>
  <c r="DS13" i="4"/>
  <c r="DT13" i="4"/>
  <c r="DU13" i="4"/>
  <c r="DW13" i="4"/>
  <c r="DX13" i="4"/>
  <c r="EO13" i="4"/>
  <c r="EP13" i="4"/>
  <c r="EQ13" i="4"/>
  <c r="ES13" i="4"/>
  <c r="ET13" i="4"/>
  <c r="FK13" i="4"/>
  <c r="FL13" i="4"/>
  <c r="FM13" i="4"/>
  <c r="FO13" i="4"/>
  <c r="FP13" i="4"/>
  <c r="GG13" i="4"/>
  <c r="GH13" i="4"/>
  <c r="GI13" i="4"/>
  <c r="GK13" i="4"/>
  <c r="GL13" i="4"/>
  <c r="HC13" i="4"/>
  <c r="HD13" i="4"/>
  <c r="HE13" i="4"/>
  <c r="HG13" i="4"/>
  <c r="HH13" i="4"/>
  <c r="HY13" i="4"/>
  <c r="HZ13" i="4"/>
  <c r="IA13" i="4"/>
  <c r="IC13" i="4"/>
  <c r="ID13" i="4"/>
  <c r="IU13" i="4"/>
  <c r="IV13" i="4"/>
  <c r="IW13" i="4"/>
  <c r="IY13" i="4"/>
  <c r="IZ13" i="4"/>
  <c r="JQ13" i="4"/>
  <c r="JR13" i="4"/>
  <c r="JS13" i="4"/>
  <c r="JU13" i="4"/>
  <c r="JV13" i="4"/>
  <c r="KM13" i="4"/>
  <c r="KN13" i="4"/>
  <c r="KO13" i="4"/>
  <c r="KQ13" i="4"/>
  <c r="KR13" i="4"/>
  <c r="LI13" i="4"/>
  <c r="LJ13" i="4"/>
  <c r="LK13" i="4"/>
  <c r="LM13" i="4"/>
  <c r="LN13" i="4"/>
  <c r="ME13" i="4"/>
  <c r="MF13" i="4"/>
  <c r="MG13" i="4"/>
  <c r="MI13" i="4"/>
  <c r="MJ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CS4" i="4"/>
  <c r="CT4" i="4"/>
  <c r="CU4" i="4"/>
  <c r="CV4" i="4"/>
  <c r="CW4" i="4"/>
  <c r="CY4" i="4"/>
  <c r="CZ4" i="4"/>
  <c r="DS4" i="4"/>
  <c r="DT4" i="4"/>
  <c r="DU4" i="4"/>
  <c r="DW4" i="4"/>
  <c r="DX4" i="4"/>
  <c r="EO4" i="4"/>
  <c r="EP4" i="4"/>
  <c r="EQ4" i="4"/>
  <c r="ES4" i="4"/>
  <c r="ET4" i="4"/>
  <c r="FK4" i="4"/>
  <c r="FL4" i="4"/>
  <c r="FM4" i="4"/>
  <c r="FO4" i="4"/>
  <c r="FP4" i="4"/>
  <c r="GG4" i="4"/>
  <c r="GH4" i="4"/>
  <c r="GI4" i="4"/>
  <c r="GK4" i="4"/>
  <c r="GL4" i="4"/>
  <c r="HC4" i="4"/>
  <c r="HD4" i="4"/>
  <c r="HE4" i="4"/>
  <c r="HG4" i="4"/>
  <c r="HH4" i="4"/>
  <c r="HY4" i="4"/>
  <c r="HZ4" i="4"/>
  <c r="IA4" i="4"/>
  <c r="IC4" i="4"/>
  <c r="ID4" i="4"/>
  <c r="IU4" i="4"/>
  <c r="IV4" i="4"/>
  <c r="IW4" i="4"/>
  <c r="IY4" i="4"/>
  <c r="IZ4" i="4"/>
  <c r="JQ4" i="4"/>
  <c r="JR4" i="4"/>
  <c r="JS4" i="4"/>
  <c r="JU4" i="4"/>
  <c r="JV4" i="4"/>
  <c r="KM4" i="4"/>
  <c r="KN4" i="4"/>
  <c r="KO4" i="4"/>
  <c r="KQ4" i="4"/>
  <c r="KR4" i="4"/>
  <c r="LI4" i="4"/>
  <c r="LJ4" i="4"/>
  <c r="LK4" i="4"/>
  <c r="LM4" i="4"/>
  <c r="LN4" i="4"/>
  <c r="ME4" i="4"/>
  <c r="MF4" i="4"/>
  <c r="MG4" i="4"/>
  <c r="MI4" i="4"/>
  <c r="MJ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8" i="4"/>
  <c r="CT8" i="4"/>
  <c r="CU8" i="4"/>
  <c r="CV8" i="4"/>
  <c r="CW8" i="4"/>
  <c r="CY8" i="4"/>
  <c r="CZ8" i="4"/>
  <c r="DS8" i="4"/>
  <c r="DT8" i="4"/>
  <c r="DU8" i="4"/>
  <c r="DW8" i="4"/>
  <c r="DX8" i="4"/>
  <c r="EO8" i="4"/>
  <c r="EP8" i="4"/>
  <c r="EQ8" i="4"/>
  <c r="ES8" i="4"/>
  <c r="ET8" i="4"/>
  <c r="FK8" i="4"/>
  <c r="FL8" i="4"/>
  <c r="FM8" i="4"/>
  <c r="FO8" i="4"/>
  <c r="FP8" i="4"/>
  <c r="GG8" i="4"/>
  <c r="GH8" i="4"/>
  <c r="GI8" i="4"/>
  <c r="GK8" i="4"/>
  <c r="GL8" i="4"/>
  <c r="HC8" i="4"/>
  <c r="HD8" i="4"/>
  <c r="HE8" i="4"/>
  <c r="HG8" i="4"/>
  <c r="HH8" i="4"/>
  <c r="HY8" i="4"/>
  <c r="HZ8" i="4"/>
  <c r="IA8" i="4"/>
  <c r="IC8" i="4"/>
  <c r="ID8" i="4"/>
  <c r="IU8" i="4"/>
  <c r="IV8" i="4"/>
  <c r="IW8" i="4"/>
  <c r="IY8" i="4"/>
  <c r="IZ8" i="4"/>
  <c r="JQ8" i="4"/>
  <c r="JR8" i="4"/>
  <c r="JS8" i="4"/>
  <c r="JU8" i="4"/>
  <c r="JV8" i="4"/>
  <c r="KM8" i="4"/>
  <c r="KN8" i="4"/>
  <c r="KO8" i="4"/>
  <c r="KQ8" i="4"/>
  <c r="KR8" i="4"/>
  <c r="LI8" i="4"/>
  <c r="LJ8" i="4"/>
  <c r="LK8" i="4"/>
  <c r="LM8" i="4"/>
  <c r="LN8" i="4"/>
  <c r="ME8" i="4"/>
  <c r="MF8" i="4"/>
  <c r="MG8" i="4"/>
  <c r="MI8" i="4"/>
  <c r="MJ8" i="4"/>
  <c r="NA8" i="4"/>
  <c r="NB8" i="4"/>
  <c r="NC8" i="4"/>
  <c r="NE8" i="4"/>
  <c r="NF8" i="4"/>
  <c r="NH8" i="4"/>
  <c r="NI8" i="4"/>
  <c r="NJ8" i="4"/>
  <c r="NK8" i="4"/>
  <c r="NL8" i="4"/>
  <c r="NM8" i="4"/>
  <c r="NN8" i="4"/>
  <c r="NO8" i="4"/>
  <c r="OD8" i="4" s="1"/>
  <c r="NP8" i="4"/>
  <c r="NQ8" i="4"/>
  <c r="NR8" i="4"/>
  <c r="NS8" i="4"/>
  <c r="NT8" i="4"/>
  <c r="OF8" i="4" s="1"/>
  <c r="NU8" i="4"/>
  <c r="NV8" i="4"/>
  <c r="NW8" i="4"/>
  <c r="NX8" i="4"/>
  <c r="NY8" i="4"/>
  <c r="OI8" i="4" s="1"/>
  <c r="NZ8" i="4"/>
  <c r="OA8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CS12" i="4"/>
  <c r="CT12" i="4"/>
  <c r="CU12" i="4"/>
  <c r="CV12" i="4"/>
  <c r="CW12" i="4"/>
  <c r="CY12" i="4"/>
  <c r="CZ12" i="4"/>
  <c r="DS12" i="4"/>
  <c r="DT12" i="4"/>
  <c r="DU12" i="4"/>
  <c r="DW12" i="4"/>
  <c r="DX12" i="4"/>
  <c r="EO12" i="4"/>
  <c r="EP12" i="4"/>
  <c r="EQ12" i="4"/>
  <c r="ES12" i="4"/>
  <c r="ET12" i="4"/>
  <c r="FK12" i="4"/>
  <c r="FL12" i="4"/>
  <c r="FM12" i="4"/>
  <c r="FO12" i="4"/>
  <c r="FP12" i="4"/>
  <c r="GG12" i="4"/>
  <c r="GH12" i="4"/>
  <c r="GI12" i="4"/>
  <c r="GK12" i="4"/>
  <c r="GL12" i="4"/>
  <c r="HC12" i="4"/>
  <c r="HD12" i="4"/>
  <c r="HE12" i="4"/>
  <c r="HG12" i="4"/>
  <c r="HH12" i="4"/>
  <c r="HY12" i="4"/>
  <c r="HZ12" i="4"/>
  <c r="IA12" i="4"/>
  <c r="IC12" i="4"/>
  <c r="ID12" i="4"/>
  <c r="IU12" i="4"/>
  <c r="IV12" i="4"/>
  <c r="IW12" i="4"/>
  <c r="IY12" i="4"/>
  <c r="IZ12" i="4"/>
  <c r="JQ12" i="4"/>
  <c r="JR12" i="4"/>
  <c r="JS12" i="4"/>
  <c r="JU12" i="4"/>
  <c r="JV12" i="4"/>
  <c r="KM12" i="4"/>
  <c r="KN12" i="4"/>
  <c r="KO12" i="4"/>
  <c r="KQ12" i="4"/>
  <c r="KR12" i="4"/>
  <c r="LI12" i="4"/>
  <c r="LJ12" i="4"/>
  <c r="LK12" i="4"/>
  <c r="LM12" i="4"/>
  <c r="LN12" i="4"/>
  <c r="ME12" i="4"/>
  <c r="MF12" i="4"/>
  <c r="MG12" i="4"/>
  <c r="MI12" i="4"/>
  <c r="MJ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22" i="4"/>
  <c r="CT22" i="4"/>
  <c r="CU22" i="4"/>
  <c r="CV22" i="4"/>
  <c r="CW22" i="4"/>
  <c r="CY22" i="4"/>
  <c r="CZ22" i="4"/>
  <c r="DS22" i="4"/>
  <c r="DT22" i="4"/>
  <c r="DU22" i="4"/>
  <c r="DW22" i="4"/>
  <c r="DX22" i="4"/>
  <c r="EO22" i="4"/>
  <c r="EP22" i="4"/>
  <c r="EQ22" i="4"/>
  <c r="ES22" i="4"/>
  <c r="ET22" i="4"/>
  <c r="FK22" i="4"/>
  <c r="FL22" i="4"/>
  <c r="FM22" i="4"/>
  <c r="FO22" i="4"/>
  <c r="FP22" i="4"/>
  <c r="GG22" i="4"/>
  <c r="GH22" i="4"/>
  <c r="GI22" i="4"/>
  <c r="GK22" i="4"/>
  <c r="GL22" i="4"/>
  <c r="HC22" i="4"/>
  <c r="HD22" i="4"/>
  <c r="HE22" i="4"/>
  <c r="HG22" i="4"/>
  <c r="HH22" i="4"/>
  <c r="HY22" i="4"/>
  <c r="HZ22" i="4"/>
  <c r="IA22" i="4"/>
  <c r="IC22" i="4"/>
  <c r="ID22" i="4"/>
  <c r="IU22" i="4"/>
  <c r="IV22" i="4"/>
  <c r="IW22" i="4"/>
  <c r="IY22" i="4"/>
  <c r="IZ22" i="4"/>
  <c r="JQ22" i="4"/>
  <c r="JR22" i="4"/>
  <c r="JS22" i="4"/>
  <c r="JU22" i="4"/>
  <c r="JV22" i="4"/>
  <c r="KM22" i="4"/>
  <c r="KN22" i="4"/>
  <c r="KO22" i="4"/>
  <c r="KQ22" i="4"/>
  <c r="KR22" i="4"/>
  <c r="LI22" i="4"/>
  <c r="LJ22" i="4"/>
  <c r="LK22" i="4"/>
  <c r="LM22" i="4"/>
  <c r="LN22" i="4"/>
  <c r="ME22" i="4"/>
  <c r="MF22" i="4"/>
  <c r="MG22" i="4"/>
  <c r="MI22" i="4"/>
  <c r="MJ22" i="4"/>
  <c r="NA22" i="4"/>
  <c r="NB22" i="4"/>
  <c r="NC22" i="4"/>
  <c r="NE22" i="4"/>
  <c r="NF22" i="4"/>
  <c r="NH22" i="4"/>
  <c r="NI22" i="4"/>
  <c r="NJ22" i="4"/>
  <c r="NK22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CS20" i="4"/>
  <c r="CT20" i="4"/>
  <c r="CU20" i="4"/>
  <c r="CV20" i="4"/>
  <c r="CW20" i="4"/>
  <c r="CY20" i="4"/>
  <c r="CZ20" i="4"/>
  <c r="DS20" i="4"/>
  <c r="DT20" i="4"/>
  <c r="DU20" i="4"/>
  <c r="DW20" i="4"/>
  <c r="DX20" i="4"/>
  <c r="EO20" i="4"/>
  <c r="EP20" i="4"/>
  <c r="EQ20" i="4"/>
  <c r="ES20" i="4"/>
  <c r="ET20" i="4"/>
  <c r="FK20" i="4"/>
  <c r="FL20" i="4"/>
  <c r="FM20" i="4"/>
  <c r="FO20" i="4"/>
  <c r="FP20" i="4"/>
  <c r="GG20" i="4"/>
  <c r="GH20" i="4"/>
  <c r="GI20" i="4"/>
  <c r="GK20" i="4"/>
  <c r="GL20" i="4"/>
  <c r="HC20" i="4"/>
  <c r="HD20" i="4"/>
  <c r="HE20" i="4"/>
  <c r="HG20" i="4"/>
  <c r="HH20" i="4"/>
  <c r="HY20" i="4"/>
  <c r="HZ20" i="4"/>
  <c r="IA20" i="4"/>
  <c r="IC20" i="4"/>
  <c r="ID20" i="4"/>
  <c r="IU20" i="4"/>
  <c r="IV20" i="4"/>
  <c r="IW20" i="4"/>
  <c r="IY20" i="4"/>
  <c r="IZ20" i="4"/>
  <c r="JQ20" i="4"/>
  <c r="JR20" i="4"/>
  <c r="JS20" i="4"/>
  <c r="JU20" i="4"/>
  <c r="JV20" i="4"/>
  <c r="KM20" i="4"/>
  <c r="KN20" i="4"/>
  <c r="KO20" i="4"/>
  <c r="KQ20" i="4"/>
  <c r="KR20" i="4"/>
  <c r="LI20" i="4"/>
  <c r="LJ20" i="4"/>
  <c r="LK20" i="4"/>
  <c r="LM20" i="4"/>
  <c r="LN20" i="4"/>
  <c r="ME20" i="4"/>
  <c r="MF20" i="4"/>
  <c r="MG20" i="4"/>
  <c r="MI20" i="4"/>
  <c r="MJ20" i="4"/>
  <c r="NA20" i="4"/>
  <c r="NB20" i="4"/>
  <c r="NC20" i="4"/>
  <c r="NE20" i="4"/>
  <c r="NF20" i="4"/>
  <c r="NH20" i="4"/>
  <c r="NI20" i="4"/>
  <c r="NJ20" i="4"/>
  <c r="NK20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CS20" i="14"/>
  <c r="CT20" i="14"/>
  <c r="CU20" i="14"/>
  <c r="CV20" i="14"/>
  <c r="CW20" i="14"/>
  <c r="CY20" i="14"/>
  <c r="CZ20" i="14"/>
  <c r="DS20" i="14"/>
  <c r="DT20" i="14"/>
  <c r="DU20" i="14"/>
  <c r="DW20" i="14"/>
  <c r="DX20" i="14"/>
  <c r="EO20" i="14"/>
  <c r="EP20" i="14"/>
  <c r="EQ20" i="14"/>
  <c r="ES20" i="14"/>
  <c r="ET20" i="14"/>
  <c r="FK20" i="14"/>
  <c r="FL20" i="14"/>
  <c r="FM20" i="14"/>
  <c r="FO20" i="14"/>
  <c r="FP20" i="14"/>
  <c r="GG20" i="14"/>
  <c r="GH20" i="14"/>
  <c r="GI20" i="14"/>
  <c r="GK20" i="14"/>
  <c r="GL20" i="14"/>
  <c r="HC20" i="14"/>
  <c r="HD20" i="14"/>
  <c r="HE20" i="14"/>
  <c r="HG20" i="14"/>
  <c r="HH20" i="14"/>
  <c r="HY20" i="14"/>
  <c r="HZ20" i="14"/>
  <c r="IA20" i="14"/>
  <c r="IC20" i="14"/>
  <c r="ID20" i="14"/>
  <c r="IU20" i="14"/>
  <c r="IV20" i="14"/>
  <c r="IW20" i="14"/>
  <c r="IY20" i="14"/>
  <c r="IZ20" i="14"/>
  <c r="JQ20" i="14"/>
  <c r="JR20" i="14"/>
  <c r="JS20" i="14"/>
  <c r="JU20" i="14"/>
  <c r="JV20" i="14"/>
  <c r="KM20" i="14"/>
  <c r="KN20" i="14"/>
  <c r="KO20" i="14"/>
  <c r="KQ20" i="14"/>
  <c r="KR20" i="14"/>
  <c r="LI20" i="14"/>
  <c r="LJ20" i="14"/>
  <c r="LK20" i="14"/>
  <c r="LM20" i="14"/>
  <c r="LN20" i="14"/>
  <c r="ME20" i="14"/>
  <c r="MF20" i="14"/>
  <c r="MG20" i="14"/>
  <c r="MI20" i="14"/>
  <c r="MJ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13" i="14"/>
  <c r="CT13" i="14"/>
  <c r="CU13" i="14"/>
  <c r="CV13" i="14"/>
  <c r="CW13" i="14"/>
  <c r="CY13" i="14"/>
  <c r="CZ13" i="14"/>
  <c r="DS13" i="14"/>
  <c r="DT13" i="14"/>
  <c r="DU13" i="14"/>
  <c r="DW13" i="14"/>
  <c r="DX13" i="14"/>
  <c r="EO13" i="14"/>
  <c r="EP13" i="14"/>
  <c r="EQ13" i="14"/>
  <c r="ES13" i="14"/>
  <c r="ET13" i="14"/>
  <c r="FK13" i="14"/>
  <c r="FL13" i="14"/>
  <c r="FM13" i="14"/>
  <c r="FO13" i="14"/>
  <c r="FP13" i="14"/>
  <c r="GG13" i="14"/>
  <c r="GH13" i="14"/>
  <c r="GI13" i="14"/>
  <c r="GK13" i="14"/>
  <c r="GL13" i="14"/>
  <c r="HC13" i="14"/>
  <c r="HD13" i="14"/>
  <c r="HE13" i="14"/>
  <c r="HG13" i="14"/>
  <c r="HH13" i="14"/>
  <c r="HY13" i="14"/>
  <c r="HZ13" i="14"/>
  <c r="IA13" i="14"/>
  <c r="IC13" i="14"/>
  <c r="ID13" i="14"/>
  <c r="IU13" i="14"/>
  <c r="IV13" i="14"/>
  <c r="IW13" i="14"/>
  <c r="IY13" i="14"/>
  <c r="IZ13" i="14"/>
  <c r="JQ13" i="14"/>
  <c r="JR13" i="14"/>
  <c r="JS13" i="14"/>
  <c r="JU13" i="14"/>
  <c r="JV13" i="14"/>
  <c r="KM13" i="14"/>
  <c r="KN13" i="14"/>
  <c r="KO13" i="14"/>
  <c r="KQ13" i="14"/>
  <c r="KR13" i="14"/>
  <c r="LI13" i="14"/>
  <c r="LJ13" i="14"/>
  <c r="LK13" i="14"/>
  <c r="LM13" i="14"/>
  <c r="LN13" i="14"/>
  <c r="ME13" i="14"/>
  <c r="MF13" i="14"/>
  <c r="MG13" i="14"/>
  <c r="MI13" i="14"/>
  <c r="MJ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IX13" i="4" l="1"/>
  <c r="F20" i="14"/>
  <c r="F21" i="4"/>
  <c r="G4" i="4"/>
  <c r="G12" i="4"/>
  <c r="G29" i="4"/>
  <c r="G22" i="4"/>
  <c r="G8" i="4"/>
  <c r="G25" i="4"/>
  <c r="G13" i="4"/>
  <c r="G23" i="4"/>
  <c r="G31" i="4"/>
  <c r="G21" i="4"/>
  <c r="G20" i="4"/>
  <c r="G13" i="14"/>
  <c r="F13" i="14"/>
  <c r="G21" i="14"/>
  <c r="G23" i="14"/>
  <c r="F21" i="14"/>
  <c r="F23" i="14"/>
  <c r="G20" i="14"/>
  <c r="GJ21" i="14"/>
  <c r="GM21" i="14" s="1"/>
  <c r="F4" i="4"/>
  <c r="H4" i="4" s="1"/>
  <c r="F20" i="4"/>
  <c r="F12" i="4"/>
  <c r="F29" i="4"/>
  <c r="F22" i="4"/>
  <c r="F8" i="4"/>
  <c r="H8" i="4" s="1"/>
  <c r="LL13" i="4"/>
  <c r="LO13" i="4" s="1"/>
  <c r="F25" i="4"/>
  <c r="F13" i="4"/>
  <c r="F23" i="4"/>
  <c r="F31" i="4"/>
  <c r="IX4" i="4"/>
  <c r="JA4" i="4" s="1"/>
  <c r="LL4" i="4"/>
  <c r="LO4" i="4" s="1"/>
  <c r="KP23" i="14"/>
  <c r="KS23" i="14" s="1"/>
  <c r="IX23" i="14"/>
  <c r="JA23" i="14" s="1"/>
  <c r="CX13" i="4"/>
  <c r="DA13" i="4" s="1"/>
  <c r="FN13" i="4"/>
  <c r="FQ13" i="4" s="1"/>
  <c r="DV13" i="4"/>
  <c r="KP13" i="4"/>
  <c r="KS13" i="4" s="1"/>
  <c r="IX13" i="14"/>
  <c r="JA13" i="14" s="1"/>
  <c r="LL23" i="14"/>
  <c r="LO23" i="14" s="1"/>
  <c r="MH23" i="14"/>
  <c r="MK23" i="14" s="1"/>
  <c r="ER20" i="14"/>
  <c r="EU20" i="14" s="1"/>
  <c r="CX4" i="4"/>
  <c r="DA4" i="4" s="1"/>
  <c r="JA13" i="4"/>
  <c r="JT4" i="4"/>
  <c r="JW4" i="4" s="1"/>
  <c r="CX23" i="14"/>
  <c r="DA23" i="14" s="1"/>
  <c r="MH20" i="14"/>
  <c r="MK20" i="14" s="1"/>
  <c r="ND23" i="14"/>
  <c r="NG23" i="14" s="1"/>
  <c r="FN23" i="14"/>
  <c r="FQ23" i="14" s="1"/>
  <c r="FN13" i="14"/>
  <c r="FQ13" i="14" s="1"/>
  <c r="ND20" i="14"/>
  <c r="NG20" i="14" s="1"/>
  <c r="OE23" i="14"/>
  <c r="JT23" i="14"/>
  <c r="JW23" i="14" s="1"/>
  <c r="MH31" i="4"/>
  <c r="MK31" i="4" s="1"/>
  <c r="IB31" i="4"/>
  <c r="IE31" i="4" s="1"/>
  <c r="IX8" i="4"/>
  <c r="JA8" i="4" s="1"/>
  <c r="JT22" i="4"/>
  <c r="JW22" i="4" s="1"/>
  <c r="MH8" i="4"/>
  <c r="FN31" i="4"/>
  <c r="FQ31" i="4" s="1"/>
  <c r="MH12" i="4"/>
  <c r="MK12" i="4" s="1"/>
  <c r="FN12" i="4"/>
  <c r="FQ12" i="4" s="1"/>
  <c r="MH13" i="4"/>
  <c r="MK13" i="4" s="1"/>
  <c r="JT13" i="4"/>
  <c r="JW13" i="4" s="1"/>
  <c r="HF13" i="4"/>
  <c r="HI13" i="4" s="1"/>
  <c r="ER13" i="4"/>
  <c r="EU13" i="4" s="1"/>
  <c r="MK8" i="4"/>
  <c r="FN4" i="4"/>
  <c r="FQ4" i="4" s="1"/>
  <c r="ND4" i="4"/>
  <c r="NG4" i="4" s="1"/>
  <c r="IB4" i="4"/>
  <c r="IE4" i="4" s="1"/>
  <c r="GJ23" i="14"/>
  <c r="GM23" i="14" s="1"/>
  <c r="DV23" i="14"/>
  <c r="DY23" i="14" s="1"/>
  <c r="ER23" i="14"/>
  <c r="EU23" i="14" s="1"/>
  <c r="FN20" i="14"/>
  <c r="FQ20" i="14" s="1"/>
  <c r="CX20" i="14"/>
  <c r="DA20" i="14" s="1"/>
  <c r="OG23" i="14"/>
  <c r="ND13" i="4"/>
  <c r="NG13" i="4" s="1"/>
  <c r="IB13" i="4"/>
  <c r="IE13" i="4" s="1"/>
  <c r="GJ13" i="4"/>
  <c r="GM13" i="4" s="1"/>
  <c r="OC13" i="4"/>
  <c r="OG13" i="4"/>
  <c r="OE13" i="4"/>
  <c r="I13" i="4"/>
  <c r="K13" i="4"/>
  <c r="DV4" i="4"/>
  <c r="LL31" i="4"/>
  <c r="LO31" i="4" s="1"/>
  <c r="ER4" i="4"/>
  <c r="EU4" i="4" s="1"/>
  <c r="IX22" i="4"/>
  <c r="JA22" i="4" s="1"/>
  <c r="MH4" i="4"/>
  <c r="MK4" i="4" s="1"/>
  <c r="HF4" i="4"/>
  <c r="HI4" i="4" s="1"/>
  <c r="ER22" i="4"/>
  <c r="EU22" i="4" s="1"/>
  <c r="JT12" i="4"/>
  <c r="JW12" i="4" s="1"/>
  <c r="KP8" i="4"/>
  <c r="KS8" i="4" s="1"/>
  <c r="KP4" i="4"/>
  <c r="KS4" i="4" s="1"/>
  <c r="GJ4" i="4"/>
  <c r="GM4" i="4" s="1"/>
  <c r="OG4" i="4"/>
  <c r="K4" i="4"/>
  <c r="OE4" i="4"/>
  <c r="I4" i="4"/>
  <c r="OC4" i="4"/>
  <c r="DV20" i="4"/>
  <c r="IB8" i="4"/>
  <c r="IE8" i="4" s="1"/>
  <c r="CX8" i="4"/>
  <c r="DA8" i="4" s="1"/>
  <c r="GJ12" i="4"/>
  <c r="GM12" i="4" s="1"/>
  <c r="IX31" i="4"/>
  <c r="JA31" i="4" s="1"/>
  <c r="LL8" i="4"/>
  <c r="LO8" i="4" s="1"/>
  <c r="ER12" i="4"/>
  <c r="EU12" i="4" s="1"/>
  <c r="HF31" i="4"/>
  <c r="HI31" i="4" s="1"/>
  <c r="JT8" i="4"/>
  <c r="JW8" i="4" s="1"/>
  <c r="FN8" i="4"/>
  <c r="FQ8" i="4" s="1"/>
  <c r="KP31" i="4"/>
  <c r="KS31" i="4" s="1"/>
  <c r="DV31" i="4"/>
  <c r="OC8" i="4"/>
  <c r="ND8" i="4"/>
  <c r="NG8" i="4" s="1"/>
  <c r="HF8" i="4"/>
  <c r="HI8" i="4" s="1"/>
  <c r="GJ8" i="4"/>
  <c r="GM8" i="4" s="1"/>
  <c r="ER8" i="4"/>
  <c r="EU8" i="4" s="1"/>
  <c r="DV8" i="4"/>
  <c r="OG8" i="4"/>
  <c r="I8" i="4"/>
  <c r="OE8" i="4"/>
  <c r="K8" i="4"/>
  <c r="FN22" i="4"/>
  <c r="FQ22" i="4" s="1"/>
  <c r="IB12" i="4"/>
  <c r="IE12" i="4" s="1"/>
  <c r="CX12" i="4"/>
  <c r="DA12" i="4" s="1"/>
  <c r="GJ31" i="4"/>
  <c r="GM31" i="4" s="1"/>
  <c r="ER31" i="4"/>
  <c r="EU31" i="4" s="1"/>
  <c r="JT31" i="4"/>
  <c r="JW31" i="4" s="1"/>
  <c r="ND31" i="4"/>
  <c r="NG31" i="4" s="1"/>
  <c r="CX31" i="4"/>
  <c r="DA31" i="4" s="1"/>
  <c r="OE31" i="4"/>
  <c r="OG31" i="4"/>
  <c r="OC31" i="4"/>
  <c r="K31" i="4"/>
  <c r="I31" i="4"/>
  <c r="KP12" i="4"/>
  <c r="KS12" i="4" s="1"/>
  <c r="OG25" i="4"/>
  <c r="IB23" i="4"/>
  <c r="IE23" i="4" s="1"/>
  <c r="ND12" i="4"/>
  <c r="NG12" i="4" s="1"/>
  <c r="JT25" i="4"/>
  <c r="JW25" i="4" s="1"/>
  <c r="CX23" i="4"/>
  <c r="DA23" i="4" s="1"/>
  <c r="CX22" i="4"/>
  <c r="DA22" i="4" s="1"/>
  <c r="OG12" i="4"/>
  <c r="LL12" i="4"/>
  <c r="LO12" i="4" s="1"/>
  <c r="IX12" i="4"/>
  <c r="JA12" i="4" s="1"/>
  <c r="OE12" i="4"/>
  <c r="HF12" i="4"/>
  <c r="HI12" i="4" s="1"/>
  <c r="MH22" i="4"/>
  <c r="MK22" i="4" s="1"/>
  <c r="HF22" i="4"/>
  <c r="HI22" i="4" s="1"/>
  <c r="DV12" i="4"/>
  <c r="OC12" i="4"/>
  <c r="I12" i="4"/>
  <c r="K12" i="4"/>
  <c r="LL22" i="4"/>
  <c r="LO22" i="4" s="1"/>
  <c r="DV22" i="4"/>
  <c r="LL23" i="4"/>
  <c r="LO23" i="4" s="1"/>
  <c r="ER23" i="4"/>
  <c r="EU23" i="4" s="1"/>
  <c r="KP22" i="4"/>
  <c r="KS22" i="4" s="1"/>
  <c r="LL20" i="4"/>
  <c r="LO20" i="4" s="1"/>
  <c r="ER20" i="4"/>
  <c r="EU20" i="4" s="1"/>
  <c r="JT23" i="4"/>
  <c r="JW23" i="4" s="1"/>
  <c r="ND22" i="4"/>
  <c r="NG22" i="4" s="1"/>
  <c r="IB22" i="4"/>
  <c r="IE22" i="4" s="1"/>
  <c r="GJ22" i="4"/>
  <c r="GM22" i="4" s="1"/>
  <c r="OG22" i="4"/>
  <c r="OE22" i="4"/>
  <c r="OC22" i="4"/>
  <c r="I22" i="4"/>
  <c r="K22" i="4"/>
  <c r="KP23" i="4"/>
  <c r="KS23" i="4" s="1"/>
  <c r="IX21" i="4"/>
  <c r="JA21" i="4" s="1"/>
  <c r="DV23" i="4"/>
  <c r="MH25" i="4"/>
  <c r="MK25" i="4" s="1"/>
  <c r="KP20" i="4"/>
  <c r="KS20" i="4" s="1"/>
  <c r="CX20" i="4"/>
  <c r="DA20" i="4" s="1"/>
  <c r="IX23" i="4"/>
  <c r="JA23" i="4" s="1"/>
  <c r="MH20" i="4"/>
  <c r="MK20" i="4" s="1"/>
  <c r="GJ21" i="4"/>
  <c r="GM21" i="4" s="1"/>
  <c r="HF25" i="4"/>
  <c r="HI25" i="4" s="1"/>
  <c r="FN20" i="4"/>
  <c r="FQ20" i="4" s="1"/>
  <c r="LL25" i="4"/>
  <c r="LO25" i="4" s="1"/>
  <c r="ER25" i="4"/>
  <c r="EU25" i="4" s="1"/>
  <c r="JT20" i="4"/>
  <c r="JW20" i="4" s="1"/>
  <c r="MH23" i="4"/>
  <c r="MK23" i="4" s="1"/>
  <c r="FN23" i="4"/>
  <c r="FQ23" i="4" s="1"/>
  <c r="ND23" i="4"/>
  <c r="NG23" i="4" s="1"/>
  <c r="HF23" i="4"/>
  <c r="HI23" i="4" s="1"/>
  <c r="GJ23" i="4"/>
  <c r="GM23" i="4" s="1"/>
  <c r="OG23" i="4"/>
  <c r="OE23" i="4"/>
  <c r="OC23" i="4"/>
  <c r="K23" i="4"/>
  <c r="I23" i="4"/>
  <c r="IB25" i="4"/>
  <c r="IE25" i="4" s="1"/>
  <c r="IB29" i="4"/>
  <c r="IE29" i="4" s="1"/>
  <c r="ND21" i="4"/>
  <c r="NG21" i="4" s="1"/>
  <c r="CX25" i="4"/>
  <c r="DA25" i="4" s="1"/>
  <c r="CX29" i="4"/>
  <c r="DA29" i="4" s="1"/>
  <c r="HF20" i="4"/>
  <c r="HI20" i="4" s="1"/>
  <c r="ND20" i="4"/>
  <c r="NG20" i="4" s="1"/>
  <c r="IX20" i="4"/>
  <c r="JA20" i="4" s="1"/>
  <c r="IB20" i="4"/>
  <c r="IE20" i="4" s="1"/>
  <c r="GJ20" i="4"/>
  <c r="GM20" i="4" s="1"/>
  <c r="OG20" i="4"/>
  <c r="OE20" i="4"/>
  <c r="OC20" i="4"/>
  <c r="K20" i="4"/>
  <c r="I20" i="4"/>
  <c r="ND25" i="4"/>
  <c r="NG25" i="4" s="1"/>
  <c r="KP25" i="4"/>
  <c r="KS25" i="4" s="1"/>
  <c r="DV25" i="4"/>
  <c r="IX25" i="4"/>
  <c r="JA25" i="4" s="1"/>
  <c r="LL29" i="4"/>
  <c r="LO29" i="4" s="1"/>
  <c r="JT21" i="4"/>
  <c r="JW21" i="4" s="1"/>
  <c r="ER21" i="4"/>
  <c r="EU21" i="4" s="1"/>
  <c r="FN29" i="4"/>
  <c r="FQ29" i="4" s="1"/>
  <c r="KP21" i="4"/>
  <c r="KS21" i="4" s="1"/>
  <c r="FN25" i="4"/>
  <c r="FQ25" i="4" s="1"/>
  <c r="GJ25" i="4"/>
  <c r="GM25" i="4" s="1"/>
  <c r="OE25" i="4"/>
  <c r="OC25" i="4"/>
  <c r="I25" i="4"/>
  <c r="K25" i="4"/>
  <c r="HF29" i="4"/>
  <c r="HI29" i="4" s="1"/>
  <c r="FN21" i="4"/>
  <c r="FQ21" i="4" s="1"/>
  <c r="MH21" i="4"/>
  <c r="MK21" i="4" s="1"/>
  <c r="LL21" i="4"/>
  <c r="LO21" i="4" s="1"/>
  <c r="IB21" i="4"/>
  <c r="IE21" i="4" s="1"/>
  <c r="HF21" i="4"/>
  <c r="HI21" i="4" s="1"/>
  <c r="DV21" i="4"/>
  <c r="OE21" i="4"/>
  <c r="CX21" i="4"/>
  <c r="DA21" i="4" s="1"/>
  <c r="OC21" i="4"/>
  <c r="K21" i="4"/>
  <c r="OG21" i="4"/>
  <c r="I21" i="4"/>
  <c r="IX29" i="4"/>
  <c r="JA29" i="4" s="1"/>
  <c r="ER29" i="4"/>
  <c r="EU29" i="4" s="1"/>
  <c r="DV29" i="4"/>
  <c r="OC29" i="4"/>
  <c r="KP29" i="4"/>
  <c r="KS29" i="4" s="1"/>
  <c r="JT29" i="4"/>
  <c r="JW29" i="4" s="1"/>
  <c r="OG29" i="4"/>
  <c r="ND29" i="4"/>
  <c r="NG29" i="4" s="1"/>
  <c r="MH29" i="4"/>
  <c r="MK29" i="4" s="1"/>
  <c r="GJ29" i="4"/>
  <c r="GM29" i="4" s="1"/>
  <c r="OE29" i="4"/>
  <c r="OJ21" i="4"/>
  <c r="K29" i="4"/>
  <c r="I29" i="4"/>
  <c r="IB23" i="14"/>
  <c r="IE23" i="14" s="1"/>
  <c r="HF23" i="14"/>
  <c r="HI23" i="14" s="1"/>
  <c r="OC23" i="14"/>
  <c r="I23" i="14"/>
  <c r="K23" i="14"/>
  <c r="IX20" i="14"/>
  <c r="JA20" i="14" s="1"/>
  <c r="ER13" i="14"/>
  <c r="EU13" i="14" s="1"/>
  <c r="LL20" i="14"/>
  <c r="LO20" i="14" s="1"/>
  <c r="JT20" i="14"/>
  <c r="JW20" i="14" s="1"/>
  <c r="MH13" i="14"/>
  <c r="MK13" i="14" s="1"/>
  <c r="MH21" i="14"/>
  <c r="MK21" i="14" s="1"/>
  <c r="KP13" i="14"/>
  <c r="KS13" i="14" s="1"/>
  <c r="KP20" i="14"/>
  <c r="KS20" i="14" s="1"/>
  <c r="IB20" i="14"/>
  <c r="IE20" i="14" s="1"/>
  <c r="HF20" i="14"/>
  <c r="HI20" i="14" s="1"/>
  <c r="GJ20" i="14"/>
  <c r="GM20" i="14" s="1"/>
  <c r="DV20" i="14"/>
  <c r="DY20" i="14" s="1"/>
  <c r="OG20" i="14"/>
  <c r="OE20" i="14"/>
  <c r="OC20" i="14"/>
  <c r="I20" i="14"/>
  <c r="K20" i="14"/>
  <c r="GJ13" i="14"/>
  <c r="GM13" i="14" s="1"/>
  <c r="JT13" i="14"/>
  <c r="JW13" i="14" s="1"/>
  <c r="HF13" i="14"/>
  <c r="HI13" i="14" s="1"/>
  <c r="KP21" i="14"/>
  <c r="KS21" i="14" s="1"/>
  <c r="DV13" i="14"/>
  <c r="DY13" i="14" s="1"/>
  <c r="FN21" i="14"/>
  <c r="FQ21" i="14" s="1"/>
  <c r="ND13" i="14"/>
  <c r="NG13" i="14" s="1"/>
  <c r="LL13" i="14"/>
  <c r="LO13" i="14" s="1"/>
  <c r="IB13" i="14"/>
  <c r="IE13" i="14" s="1"/>
  <c r="OG13" i="14"/>
  <c r="CX13" i="14"/>
  <c r="DA13" i="14" s="1"/>
  <c r="OE13" i="14"/>
  <c r="OC13" i="14"/>
  <c r="I13" i="14"/>
  <c r="K13" i="14"/>
  <c r="IX21" i="14"/>
  <c r="JA21" i="14" s="1"/>
  <c r="JT21" i="14"/>
  <c r="JW21" i="14" s="1"/>
  <c r="ND21" i="14"/>
  <c r="NG21" i="14" s="1"/>
  <c r="DV21" i="14"/>
  <c r="DY21" i="14" s="1"/>
  <c r="OC21" i="14"/>
  <c r="LL21" i="14"/>
  <c r="LO21" i="14" s="1"/>
  <c r="IB21" i="14"/>
  <c r="IE21" i="14" s="1"/>
  <c r="HF21" i="14"/>
  <c r="HI21" i="14" s="1"/>
  <c r="ER21" i="14"/>
  <c r="EU21" i="14" s="1"/>
  <c r="CX21" i="14"/>
  <c r="DA21" i="14" s="1"/>
  <c r="OG21" i="14"/>
  <c r="OE21" i="14"/>
  <c r="I21" i="14"/>
  <c r="K21" i="14"/>
  <c r="DC21" i="14" l="1"/>
  <c r="DB21" i="14"/>
  <c r="DC13" i="14"/>
  <c r="DB13" i="14"/>
  <c r="DC20" i="14"/>
  <c r="DB20" i="14"/>
  <c r="DC23" i="14"/>
  <c r="DB23" i="14"/>
  <c r="DC13" i="4"/>
  <c r="DB13" i="4"/>
  <c r="DB20" i="4"/>
  <c r="DC20" i="4"/>
  <c r="DB4" i="4"/>
  <c r="DC4" i="4"/>
  <c r="DB25" i="4"/>
  <c r="DC25" i="4"/>
  <c r="DC29" i="4"/>
  <c r="DB29" i="4"/>
  <c r="DB12" i="4"/>
  <c r="DC12" i="4"/>
  <c r="DC23" i="4"/>
  <c r="DB23" i="4"/>
  <c r="DC8" i="4"/>
  <c r="DB8" i="4"/>
  <c r="DC21" i="4"/>
  <c r="DB21" i="4"/>
  <c r="DB22" i="4"/>
  <c r="DC22" i="4"/>
  <c r="DC31" i="4"/>
  <c r="DB31" i="4"/>
  <c r="L20" i="14"/>
  <c r="J20" i="14"/>
  <c r="L4" i="4"/>
  <c r="A20" i="14" a="1"/>
  <c r="A20" i="14" s="1"/>
  <c r="H20" i="14"/>
  <c r="A23" i="4" a="1"/>
  <c r="A23" i="4" s="1"/>
  <c r="H23" i="4"/>
  <c r="A13" i="4" a="1"/>
  <c r="A13" i="4" s="1"/>
  <c r="H13" i="4"/>
  <c r="H25" i="4"/>
  <c r="A25" i="4" a="1"/>
  <c r="A25" i="4" s="1"/>
  <c r="A22" i="4" a="1"/>
  <c r="A22" i="4" s="1"/>
  <c r="H22" i="4"/>
  <c r="H29" i="4"/>
  <c r="A29" i="4" a="1"/>
  <c r="A29" i="4" s="1"/>
  <c r="A31" i="4" a="1"/>
  <c r="A31" i="4" s="1"/>
  <c r="H31" i="4"/>
  <c r="H12" i="4"/>
  <c r="A21" i="4" a="1"/>
  <c r="A21" i="4" s="1"/>
  <c r="H21" i="4"/>
  <c r="H20" i="4"/>
  <c r="A20" i="4" a="1"/>
  <c r="A20" i="4" s="1"/>
  <c r="H23" i="14"/>
  <c r="A23" i="14" a="1"/>
  <c r="A23" i="14" s="1"/>
  <c r="H21" i="14"/>
  <c r="A21" i="14" a="1"/>
  <c r="A21" i="14" s="1"/>
  <c r="H13" i="14"/>
  <c r="A13" i="14" a="1"/>
  <c r="A13" i="14" s="1"/>
  <c r="DY21" i="4"/>
  <c r="DY23" i="4"/>
  <c r="DY13" i="4"/>
  <c r="DY22" i="4"/>
  <c r="DY20" i="4"/>
  <c r="DY8" i="4"/>
  <c r="DY31" i="4"/>
  <c r="DY4" i="4"/>
  <c r="DY12" i="4"/>
  <c r="DY29" i="4"/>
  <c r="DY25" i="4"/>
  <c r="J8" i="4"/>
  <c r="J13" i="4"/>
  <c r="J25" i="4"/>
  <c r="OH23" i="14"/>
  <c r="J23" i="14"/>
  <c r="OH13" i="4"/>
  <c r="L13" i="4"/>
  <c r="OH4" i="4"/>
  <c r="J4" i="4"/>
  <c r="J12" i="4"/>
  <c r="OH23" i="4"/>
  <c r="OH31" i="4"/>
  <c r="OH8" i="4"/>
  <c r="L8" i="4"/>
  <c r="OH12" i="4"/>
  <c r="L31" i="4"/>
  <c r="J31" i="4"/>
  <c r="OH22" i="4"/>
  <c r="L12" i="4"/>
  <c r="OH20" i="4"/>
  <c r="L22" i="4"/>
  <c r="J22" i="4"/>
  <c r="OH25" i="4"/>
  <c r="L23" i="4"/>
  <c r="J23" i="4"/>
  <c r="L20" i="4"/>
  <c r="J20" i="4"/>
  <c r="OH21" i="4"/>
  <c r="OH29" i="4"/>
  <c r="L25" i="4"/>
  <c r="L21" i="4"/>
  <c r="J21" i="4"/>
  <c r="L29" i="4"/>
  <c r="J29" i="4"/>
  <c r="L23" i="14"/>
  <c r="OH20" i="14"/>
  <c r="OH21" i="14"/>
  <c r="OH13" i="14"/>
  <c r="J13" i="14"/>
  <c r="L13" i="14"/>
  <c r="J21" i="14"/>
  <c r="L21" i="14"/>
  <c r="M23" i="14" l="1"/>
  <c r="E23" i="14" s="1"/>
  <c r="M13" i="14"/>
  <c r="E13" i="14" s="1"/>
  <c r="M21" i="4"/>
  <c r="E21" i="4" s="1"/>
  <c r="M21" i="14"/>
  <c r="E21" i="14" s="1"/>
  <c r="M22" i="4"/>
  <c r="E22" i="4" s="1"/>
  <c r="M12" i="4"/>
  <c r="M4" i="4"/>
  <c r="OK21" i="4"/>
  <c r="M20" i="14"/>
  <c r="M13" i="4"/>
  <c r="M8" i="4"/>
  <c r="M31" i="4"/>
  <c r="M23" i="4"/>
  <c r="M25" i="4"/>
  <c r="M20" i="4"/>
  <c r="M29" i="4"/>
  <c r="N21" i="4" l="1"/>
  <c r="O21" i="4"/>
  <c r="O23" i="14"/>
  <c r="N23" i="14"/>
  <c r="N13" i="14"/>
  <c r="O13" i="14"/>
  <c r="N22" i="4"/>
  <c r="O22" i="4"/>
  <c r="O21" i="14"/>
  <c r="N21" i="14"/>
  <c r="O20" i="14"/>
  <c r="N20" i="14"/>
  <c r="N31" i="4"/>
  <c r="O31" i="4"/>
  <c r="O4" i="4"/>
  <c r="N4" i="4"/>
  <c r="N8" i="4"/>
  <c r="O8" i="4"/>
  <c r="N20" i="4"/>
  <c r="O20" i="4"/>
  <c r="O13" i="4"/>
  <c r="N13" i="4"/>
  <c r="O25" i="4"/>
  <c r="N25" i="4"/>
  <c r="N12" i="4"/>
  <c r="O12" i="4"/>
  <c r="N29" i="4"/>
  <c r="O29" i="4"/>
  <c r="O23" i="4"/>
  <c r="N23" i="4"/>
  <c r="E23" i="4"/>
  <c r="E31" i="4"/>
  <c r="E29" i="4"/>
  <c r="E8" i="4"/>
  <c r="E13" i="4"/>
  <c r="E4" i="4"/>
  <c r="E25" i="4"/>
  <c r="E12" i="4"/>
  <c r="E20" i="4"/>
  <c r="E20" i="14"/>
  <c r="CS7" i="14" l="1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31" i="14"/>
  <c r="CT31" i="14"/>
  <c r="CU31" i="14"/>
  <c r="CV31" i="14"/>
  <c r="CW31" i="14"/>
  <c r="CY31" i="14"/>
  <c r="CZ31" i="14"/>
  <c r="DS31" i="14"/>
  <c r="DT31" i="14"/>
  <c r="DU31" i="14"/>
  <c r="DW31" i="14"/>
  <c r="DX31" i="14"/>
  <c r="EO31" i="14"/>
  <c r="EP31" i="14"/>
  <c r="EQ31" i="14"/>
  <c r="ES31" i="14"/>
  <c r="ET31" i="14"/>
  <c r="FK31" i="14"/>
  <c r="FL31" i="14"/>
  <c r="FM31" i="14"/>
  <c r="FO31" i="14"/>
  <c r="FP31" i="14"/>
  <c r="GG31" i="14"/>
  <c r="GH31" i="14"/>
  <c r="GI31" i="14"/>
  <c r="GK31" i="14"/>
  <c r="GL31" i="14"/>
  <c r="HC31" i="14"/>
  <c r="HD31" i="14"/>
  <c r="HE31" i="14"/>
  <c r="HG31" i="14"/>
  <c r="HH31" i="14"/>
  <c r="HY31" i="14"/>
  <c r="HZ31" i="14"/>
  <c r="IA31" i="14"/>
  <c r="IC31" i="14"/>
  <c r="ID31" i="14"/>
  <c r="IU31" i="14"/>
  <c r="IV31" i="14"/>
  <c r="IW31" i="14"/>
  <c r="IY31" i="14"/>
  <c r="IZ31" i="14"/>
  <c r="JQ31" i="14"/>
  <c r="JR31" i="14"/>
  <c r="JS31" i="14"/>
  <c r="JU31" i="14"/>
  <c r="JV31" i="14"/>
  <c r="KM31" i="14"/>
  <c r="KN31" i="14"/>
  <c r="KO31" i="14"/>
  <c r="KQ31" i="14"/>
  <c r="KR31" i="14"/>
  <c r="LI31" i="14"/>
  <c r="LJ31" i="14"/>
  <c r="LK31" i="14"/>
  <c r="LM31" i="14"/>
  <c r="LN31" i="14"/>
  <c r="ME31" i="14"/>
  <c r="MF31" i="14"/>
  <c r="MG31" i="14"/>
  <c r="MI31" i="14"/>
  <c r="MJ31" i="14"/>
  <c r="NA31" i="14"/>
  <c r="NB31" i="14"/>
  <c r="NC31" i="14"/>
  <c r="NE31" i="14"/>
  <c r="NF31" i="14"/>
  <c r="NH31" i="14"/>
  <c r="NI31" i="14"/>
  <c r="NJ31" i="14"/>
  <c r="NK31" i="14"/>
  <c r="NL31" i="14"/>
  <c r="NM31" i="14"/>
  <c r="NN31" i="14"/>
  <c r="NO31" i="14"/>
  <c r="OD31" i="14" s="1"/>
  <c r="NP31" i="14"/>
  <c r="NQ31" i="14"/>
  <c r="NR31" i="14"/>
  <c r="NS31" i="14"/>
  <c r="NT31" i="14"/>
  <c r="OF31" i="14" s="1"/>
  <c r="NU31" i="14"/>
  <c r="NV31" i="14"/>
  <c r="NW31" i="14"/>
  <c r="NX31" i="14"/>
  <c r="NY31" i="14"/>
  <c r="OI31" i="14" s="1"/>
  <c r="NZ31" i="14"/>
  <c r="OA31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33" i="4"/>
  <c r="CT33" i="4"/>
  <c r="CU33" i="4"/>
  <c r="CV33" i="4"/>
  <c r="CW33" i="4"/>
  <c r="CY33" i="4"/>
  <c r="CZ33" i="4"/>
  <c r="DS33" i="4"/>
  <c r="DT33" i="4"/>
  <c r="DU33" i="4"/>
  <c r="DW33" i="4"/>
  <c r="DX33" i="4"/>
  <c r="EO33" i="4"/>
  <c r="EP33" i="4"/>
  <c r="EQ33" i="4"/>
  <c r="ES33" i="4"/>
  <c r="ET33" i="4"/>
  <c r="FK33" i="4"/>
  <c r="FL33" i="4"/>
  <c r="FM33" i="4"/>
  <c r="FO33" i="4"/>
  <c r="FP33" i="4"/>
  <c r="GG33" i="4"/>
  <c r="GH33" i="4"/>
  <c r="GI33" i="4"/>
  <c r="GK33" i="4"/>
  <c r="GL33" i="4"/>
  <c r="HC33" i="4"/>
  <c r="HD33" i="4"/>
  <c r="HE33" i="4"/>
  <c r="HG33" i="4"/>
  <c r="HH33" i="4"/>
  <c r="HY33" i="4"/>
  <c r="HZ33" i="4"/>
  <c r="IA33" i="4"/>
  <c r="IC33" i="4"/>
  <c r="ID33" i="4"/>
  <c r="IU33" i="4"/>
  <c r="IV33" i="4"/>
  <c r="IW33" i="4"/>
  <c r="IY33" i="4"/>
  <c r="IZ33" i="4"/>
  <c r="JQ33" i="4"/>
  <c r="JR33" i="4"/>
  <c r="JS33" i="4"/>
  <c r="JU33" i="4"/>
  <c r="JV33" i="4"/>
  <c r="KM33" i="4"/>
  <c r="KN33" i="4"/>
  <c r="KO33" i="4"/>
  <c r="KQ33" i="4"/>
  <c r="KR33" i="4"/>
  <c r="LI33" i="4"/>
  <c r="LJ33" i="4"/>
  <c r="LK33" i="4"/>
  <c r="LM33" i="4"/>
  <c r="LN33" i="4"/>
  <c r="ME33" i="4"/>
  <c r="MF33" i="4"/>
  <c r="MG33" i="4"/>
  <c r="MI33" i="4"/>
  <c r="MJ33" i="4"/>
  <c r="NA33" i="4"/>
  <c r="NB33" i="4"/>
  <c r="NC33" i="4"/>
  <c r="NE33" i="4"/>
  <c r="NF33" i="4"/>
  <c r="NH33" i="4"/>
  <c r="NI33" i="4"/>
  <c r="NJ33" i="4"/>
  <c r="NK33" i="4"/>
  <c r="NL33" i="4"/>
  <c r="NM33" i="4"/>
  <c r="NN33" i="4"/>
  <c r="NO33" i="4"/>
  <c r="OD33" i="4" s="1"/>
  <c r="NP33" i="4"/>
  <c r="NQ33" i="4"/>
  <c r="NR33" i="4"/>
  <c r="NS33" i="4"/>
  <c r="NT33" i="4"/>
  <c r="OF33" i="4" s="1"/>
  <c r="NU33" i="4"/>
  <c r="NV33" i="4"/>
  <c r="NW33" i="4"/>
  <c r="NX33" i="4"/>
  <c r="NY33" i="4"/>
  <c r="OI33" i="4" s="1"/>
  <c r="NZ33" i="4"/>
  <c r="OA33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CS36" i="4"/>
  <c r="CT36" i="4"/>
  <c r="CU36" i="4"/>
  <c r="CV36" i="4"/>
  <c r="CW36" i="4"/>
  <c r="CY36" i="4"/>
  <c r="CZ36" i="4"/>
  <c r="DS36" i="4"/>
  <c r="DT36" i="4"/>
  <c r="DU36" i="4"/>
  <c r="DW36" i="4"/>
  <c r="DX36" i="4"/>
  <c r="EO36" i="4"/>
  <c r="EP36" i="4"/>
  <c r="EQ36" i="4"/>
  <c r="ES36" i="4"/>
  <c r="ET36" i="4"/>
  <c r="FK36" i="4"/>
  <c r="FL36" i="4"/>
  <c r="FM36" i="4"/>
  <c r="FO36" i="4"/>
  <c r="FP36" i="4"/>
  <c r="GG36" i="4"/>
  <c r="GH36" i="4"/>
  <c r="GI36" i="4"/>
  <c r="GK36" i="4"/>
  <c r="GL36" i="4"/>
  <c r="HC36" i="4"/>
  <c r="HD36" i="4"/>
  <c r="HE36" i="4"/>
  <c r="HG36" i="4"/>
  <c r="HH36" i="4"/>
  <c r="HY36" i="4"/>
  <c r="HZ36" i="4"/>
  <c r="IA36" i="4"/>
  <c r="IC36" i="4"/>
  <c r="ID36" i="4"/>
  <c r="IU36" i="4"/>
  <c r="IV36" i="4"/>
  <c r="IW36" i="4"/>
  <c r="IY36" i="4"/>
  <c r="IZ36" i="4"/>
  <c r="JQ36" i="4"/>
  <c r="JR36" i="4"/>
  <c r="JS36" i="4"/>
  <c r="JU36" i="4"/>
  <c r="JV36" i="4"/>
  <c r="KM36" i="4"/>
  <c r="KN36" i="4"/>
  <c r="KO36" i="4"/>
  <c r="KQ36" i="4"/>
  <c r="KR36" i="4"/>
  <c r="LI36" i="4"/>
  <c r="LJ36" i="4"/>
  <c r="LK36" i="4"/>
  <c r="LM36" i="4"/>
  <c r="LN36" i="4"/>
  <c r="ME36" i="4"/>
  <c r="MF36" i="4"/>
  <c r="MG36" i="4"/>
  <c r="MI36" i="4"/>
  <c r="MJ36" i="4"/>
  <c r="NA36" i="4"/>
  <c r="NB36" i="4"/>
  <c r="NC36" i="4"/>
  <c r="NE36" i="4"/>
  <c r="NF36" i="4"/>
  <c r="NH36" i="4"/>
  <c r="NI36" i="4"/>
  <c r="NJ36" i="4"/>
  <c r="NK36" i="4"/>
  <c r="NL36" i="4"/>
  <c r="NM36" i="4"/>
  <c r="NN36" i="4"/>
  <c r="NO36" i="4"/>
  <c r="OD36" i="4" s="1"/>
  <c r="NP36" i="4"/>
  <c r="NQ36" i="4"/>
  <c r="NR36" i="4"/>
  <c r="NS36" i="4"/>
  <c r="NT36" i="4"/>
  <c r="OF36" i="4" s="1"/>
  <c r="NU36" i="4"/>
  <c r="NV36" i="4"/>
  <c r="NW36" i="4"/>
  <c r="NX36" i="4"/>
  <c r="NY36" i="4"/>
  <c r="OI36" i="4" s="1"/>
  <c r="NZ36" i="4"/>
  <c r="OA36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OJ33" i="4" l="1"/>
  <c r="OJ31" i="4"/>
  <c r="OJ30" i="4"/>
  <c r="OJ36" i="4"/>
  <c r="G28" i="4"/>
  <c r="G33" i="4"/>
  <c r="G36" i="4"/>
  <c r="G30" i="4"/>
  <c r="F6" i="14"/>
  <c r="G24" i="14"/>
  <c r="G7" i="14"/>
  <c r="G6" i="14"/>
  <c r="F22" i="14"/>
  <c r="F18" i="14"/>
  <c r="G22" i="14"/>
  <c r="G18" i="14"/>
  <c r="F31" i="14"/>
  <c r="G31" i="14"/>
  <c r="F24" i="14"/>
  <c r="F7" i="14"/>
  <c r="F28" i="4"/>
  <c r="F33" i="4"/>
  <c r="F36" i="4"/>
  <c r="F30" i="4"/>
  <c r="OJ23" i="4"/>
  <c r="ND36" i="4"/>
  <c r="NG36" i="4" s="1"/>
  <c r="LL24" i="14"/>
  <c r="LO24" i="14" s="1"/>
  <c r="ER24" i="14"/>
  <c r="EU24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33" i="4"/>
  <c r="FQ33" i="4" s="1"/>
  <c r="ND7" i="14"/>
  <c r="NG7" i="14" s="1"/>
  <c r="OC7" i="14"/>
  <c r="OE7" i="14"/>
  <c r="I7" i="14"/>
  <c r="K7" i="14"/>
  <c r="MH24" i="14"/>
  <c r="MK24" i="14" s="1"/>
  <c r="ND6" i="14"/>
  <c r="NG6" i="14" s="1"/>
  <c r="GJ6" i="14"/>
  <c r="GM6" i="14" s="1"/>
  <c r="MH6" i="14"/>
  <c r="MK6" i="14" s="1"/>
  <c r="IX6" i="14"/>
  <c r="JA6" i="14" s="1"/>
  <c r="JT6" i="14"/>
  <c r="JW6" i="14" s="1"/>
  <c r="IB24" i="14"/>
  <c r="IE24" i="14" s="1"/>
  <c r="IB6" i="14"/>
  <c r="IE6" i="14" s="1"/>
  <c r="DV6" i="14"/>
  <c r="DY6" i="14" s="1"/>
  <c r="ND31" i="14"/>
  <c r="NG31" i="14" s="1"/>
  <c r="LL31" i="14"/>
  <c r="LO31" i="14" s="1"/>
  <c r="KP6" i="14"/>
  <c r="KS6" i="14" s="1"/>
  <c r="KP24" i="14"/>
  <c r="KS24" i="14" s="1"/>
  <c r="ER33" i="4"/>
  <c r="EU33" i="4" s="1"/>
  <c r="ER30" i="4"/>
  <c r="EU30" i="4" s="1"/>
  <c r="MH30" i="4"/>
  <c r="MK30" i="4" s="1"/>
  <c r="FN30" i="4"/>
  <c r="FQ30" i="4" s="1"/>
  <c r="CX33" i="4"/>
  <c r="DA33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I6" i="14"/>
  <c r="MH22" i="14"/>
  <c r="MK22" i="14" s="1"/>
  <c r="GJ31" i="14"/>
  <c r="GM31" i="14" s="1"/>
  <c r="JT24" i="14"/>
  <c r="JW24" i="14" s="1"/>
  <c r="FN24" i="14"/>
  <c r="FQ24" i="14" s="1"/>
  <c r="ER22" i="14"/>
  <c r="EU22" i="14" s="1"/>
  <c r="FN22" i="14"/>
  <c r="FQ22" i="14" s="1"/>
  <c r="KP22" i="14"/>
  <c r="KS22" i="14" s="1"/>
  <c r="KP31" i="14"/>
  <c r="KS31" i="14" s="1"/>
  <c r="LL18" i="14"/>
  <c r="LO18" i="14" s="1"/>
  <c r="MH18" i="14"/>
  <c r="MK18" i="14" s="1"/>
  <c r="IB31" i="14"/>
  <c r="IE31" i="14" s="1"/>
  <c r="ND22" i="14"/>
  <c r="NG22" i="14" s="1"/>
  <c r="CX24" i="14"/>
  <c r="DA24" i="14" s="1"/>
  <c r="OG22" i="14"/>
  <c r="DV22" i="14"/>
  <c r="DY22" i="14" s="1"/>
  <c r="IX24" i="14"/>
  <c r="JA24" i="14" s="1"/>
  <c r="GJ24" i="14"/>
  <c r="GM24" i="14" s="1"/>
  <c r="IX18" i="14"/>
  <c r="JA18" i="14" s="1"/>
  <c r="ND30" i="4"/>
  <c r="NG30" i="4" s="1"/>
  <c r="GJ30" i="4"/>
  <c r="GM30" i="4" s="1"/>
  <c r="IX33" i="4"/>
  <c r="JA33" i="4" s="1"/>
  <c r="HF33" i="4"/>
  <c r="HI33" i="4" s="1"/>
  <c r="JT33" i="4"/>
  <c r="JW33" i="4" s="1"/>
  <c r="OE33" i="4"/>
  <c r="KP30" i="4"/>
  <c r="KS30" i="4" s="1"/>
  <c r="IB33" i="4"/>
  <c r="IE33" i="4" s="1"/>
  <c r="CX30" i="4"/>
  <c r="DA30" i="4" s="1"/>
  <c r="OG33" i="4"/>
  <c r="GJ33" i="4"/>
  <c r="GM33" i="4" s="1"/>
  <c r="DV33" i="4"/>
  <c r="OC24" i="14"/>
  <c r="CX22" i="14"/>
  <c r="DA22" i="14" s="1"/>
  <c r="OE22" i="14"/>
  <c r="CX31" i="14"/>
  <c r="DA31" i="14" s="1"/>
  <c r="ND24" i="14"/>
  <c r="NG24" i="14" s="1"/>
  <c r="HF24" i="14"/>
  <c r="HI24" i="14" s="1"/>
  <c r="DV24" i="14"/>
  <c r="DY24" i="14" s="1"/>
  <c r="OG24" i="14"/>
  <c r="OE24" i="14"/>
  <c r="K24" i="14"/>
  <c r="I24" i="14"/>
  <c r="ER31" i="14"/>
  <c r="EU31" i="14" s="1"/>
  <c r="JT31" i="14"/>
  <c r="JW31" i="14" s="1"/>
  <c r="DV31" i="14"/>
  <c r="DY3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K22" i="14"/>
  <c r="IB18" i="14"/>
  <c r="IE18" i="14" s="1"/>
  <c r="CX18" i="14"/>
  <c r="DA18" i="14" s="1"/>
  <c r="IX31" i="14"/>
  <c r="JA31" i="14" s="1"/>
  <c r="KP18" i="14"/>
  <c r="KS18" i="14" s="1"/>
  <c r="OC31" i="14"/>
  <c r="MH31" i="14"/>
  <c r="MK31" i="14" s="1"/>
  <c r="OG31" i="14"/>
  <c r="FN31" i="14"/>
  <c r="FQ31" i="14" s="1"/>
  <c r="HF31" i="14"/>
  <c r="HI31" i="14" s="1"/>
  <c r="I31" i="14"/>
  <c r="OE31" i="14"/>
  <c r="K31" i="14"/>
  <c r="OC18" i="14"/>
  <c r="ER18" i="14"/>
  <c r="EU18" i="14" s="1"/>
  <c r="DV18" i="14"/>
  <c r="DY18" i="14" s="1"/>
  <c r="JT18" i="14"/>
  <c r="JW18" i="14" s="1"/>
  <c r="ND18" i="14"/>
  <c r="NG18" i="14" s="1"/>
  <c r="FN18" i="14"/>
  <c r="FQ18" i="14" s="1"/>
  <c r="HF18" i="14"/>
  <c r="HI18" i="14" s="1"/>
  <c r="GJ18" i="14"/>
  <c r="GM18" i="14" s="1"/>
  <c r="OG18" i="14"/>
  <c r="OE18" i="14"/>
  <c r="I18" i="14"/>
  <c r="K18" i="14"/>
  <c r="FN28" i="4"/>
  <c r="FQ28" i="4" s="1"/>
  <c r="IX30" i="4"/>
  <c r="JA30" i="4" s="1"/>
  <c r="LL33" i="4"/>
  <c r="LO33" i="4" s="1"/>
  <c r="KP36" i="4"/>
  <c r="KS36" i="4" s="1"/>
  <c r="LL30" i="4"/>
  <c r="LO30" i="4" s="1"/>
  <c r="IX36" i="4"/>
  <c r="JA36" i="4" s="1"/>
  <c r="OG30" i="4"/>
  <c r="DV28" i="4"/>
  <c r="IX28" i="4"/>
  <c r="JA28" i="4" s="1"/>
  <c r="GJ36" i="4"/>
  <c r="GM36" i="4" s="1"/>
  <c r="FN36" i="4"/>
  <c r="FQ36" i="4" s="1"/>
  <c r="ND33" i="4"/>
  <c r="NG33" i="4" s="1"/>
  <c r="OE30" i="4"/>
  <c r="CX28" i="4"/>
  <c r="DA28" i="4" s="1"/>
  <c r="MH33" i="4"/>
  <c r="MK33" i="4" s="1"/>
  <c r="KP33" i="4"/>
  <c r="KS33" i="4" s="1"/>
  <c r="OC33" i="4"/>
  <c r="K33" i="4"/>
  <c r="I33" i="4"/>
  <c r="JT36" i="4"/>
  <c r="JW36" i="4" s="1"/>
  <c r="ER36" i="4"/>
  <c r="EU36" i="4" s="1"/>
  <c r="DV30" i="4"/>
  <c r="JT30" i="4"/>
  <c r="JW30" i="4" s="1"/>
  <c r="HF30" i="4"/>
  <c r="HI30" i="4" s="1"/>
  <c r="IB30" i="4"/>
  <c r="IE30" i="4" s="1"/>
  <c r="OC30" i="4"/>
  <c r="K30" i="4"/>
  <c r="I30" i="4"/>
  <c r="LL36" i="4"/>
  <c r="LO36" i="4" s="1"/>
  <c r="DV36" i="4"/>
  <c r="MH36" i="4"/>
  <c r="MK36" i="4" s="1"/>
  <c r="OG36" i="4"/>
  <c r="IB36" i="4"/>
  <c r="IE36" i="4" s="1"/>
  <c r="HF36" i="4"/>
  <c r="HI36" i="4" s="1"/>
  <c r="CX36" i="4"/>
  <c r="DA36" i="4" s="1"/>
  <c r="I36" i="4"/>
  <c r="OE36" i="4"/>
  <c r="OC36" i="4"/>
  <c r="K36" i="4"/>
  <c r="OG28" i="4"/>
  <c r="LL28" i="4"/>
  <c r="LO28" i="4" s="1"/>
  <c r="MH28" i="4"/>
  <c r="MK28" i="4" s="1"/>
  <c r="HF28" i="4"/>
  <c r="HI28" i="4" s="1"/>
  <c r="JT28" i="4"/>
  <c r="JW28" i="4" s="1"/>
  <c r="KP28" i="4"/>
  <c r="KS28" i="4" s="1"/>
  <c r="ND28" i="4"/>
  <c r="NG28" i="4" s="1"/>
  <c r="IB28" i="4"/>
  <c r="IE28" i="4" s="1"/>
  <c r="GJ28" i="4"/>
  <c r="GM28" i="4" s="1"/>
  <c r="ER28" i="4"/>
  <c r="EU28" i="4" s="1"/>
  <c r="OC28" i="4"/>
  <c r="OE28" i="4"/>
  <c r="I28" i="4"/>
  <c r="K28" i="4"/>
  <c r="MJ11" i="14"/>
  <c r="MI11" i="14"/>
  <c r="MG11" i="14"/>
  <c r="MF11" i="14"/>
  <c r="ME11" i="14"/>
  <c r="MJ25" i="14"/>
  <c r="MI25" i="14"/>
  <c r="MG25" i="14"/>
  <c r="MF25" i="14"/>
  <c r="ME25" i="14"/>
  <c r="MJ12" i="14"/>
  <c r="MI12" i="14"/>
  <c r="MG12" i="14"/>
  <c r="MF12" i="14"/>
  <c r="ME12" i="14"/>
  <c r="MJ16" i="14"/>
  <c r="MI16" i="14"/>
  <c r="MG16" i="14"/>
  <c r="MF16" i="14"/>
  <c r="ME16" i="14"/>
  <c r="MJ19" i="14"/>
  <c r="MI19" i="14"/>
  <c r="MG19" i="14"/>
  <c r="MF19" i="14"/>
  <c r="ME19" i="14"/>
  <c r="MJ15" i="14"/>
  <c r="MI15" i="14"/>
  <c r="MG15" i="14"/>
  <c r="MF15" i="14"/>
  <c r="ME15" i="14"/>
  <c r="MJ14" i="14"/>
  <c r="MI14" i="14"/>
  <c r="MG14" i="14"/>
  <c r="MF14" i="14"/>
  <c r="ME14" i="14"/>
  <c r="MJ17" i="14"/>
  <c r="MI17" i="14"/>
  <c r="MG17" i="14"/>
  <c r="MF17" i="14"/>
  <c r="ME17" i="14"/>
  <c r="MJ28" i="14"/>
  <c r="MI28" i="14"/>
  <c r="MG28" i="14"/>
  <c r="MF28" i="14"/>
  <c r="ME28" i="14"/>
  <c r="MJ32" i="14"/>
  <c r="MI32" i="14"/>
  <c r="MG32" i="14"/>
  <c r="MF32" i="14"/>
  <c r="ME32" i="14"/>
  <c r="MJ9" i="14"/>
  <c r="MI9" i="14"/>
  <c r="MG9" i="14"/>
  <c r="MF9" i="14"/>
  <c r="ME9" i="14"/>
  <c r="MJ10" i="14"/>
  <c r="MI10" i="14"/>
  <c r="MG10" i="14"/>
  <c r="MF10" i="14"/>
  <c r="ME10" i="14"/>
  <c r="MJ8" i="14"/>
  <c r="MI8" i="14"/>
  <c r="MG8" i="14"/>
  <c r="MF8" i="14"/>
  <c r="ME8" i="14"/>
  <c r="MJ4" i="14"/>
  <c r="MI4" i="14"/>
  <c r="MG4" i="14"/>
  <c r="MF4" i="14"/>
  <c r="ME4" i="14"/>
  <c r="MJ5" i="14"/>
  <c r="MI5" i="14"/>
  <c r="MG5" i="14"/>
  <c r="MF5" i="14"/>
  <c r="ME5" i="14"/>
  <c r="LN11" i="14"/>
  <c r="LM11" i="14"/>
  <c r="LK11" i="14"/>
  <c r="LJ11" i="14"/>
  <c r="LI11" i="14"/>
  <c r="LN25" i="14"/>
  <c r="LM25" i="14"/>
  <c r="LK25" i="14"/>
  <c r="LJ25" i="14"/>
  <c r="LI25" i="14"/>
  <c r="LN12" i="14"/>
  <c r="LM12" i="14"/>
  <c r="LK12" i="14"/>
  <c r="LJ12" i="14"/>
  <c r="LI12" i="14"/>
  <c r="LN16" i="14"/>
  <c r="LM16" i="14"/>
  <c r="LK16" i="14"/>
  <c r="LJ16" i="14"/>
  <c r="LI16" i="14"/>
  <c r="LN19" i="14"/>
  <c r="LM19" i="14"/>
  <c r="LK19" i="14"/>
  <c r="LJ19" i="14"/>
  <c r="LI19" i="14"/>
  <c r="LN15" i="14"/>
  <c r="LM15" i="14"/>
  <c r="LK15" i="14"/>
  <c r="LJ15" i="14"/>
  <c r="LI15" i="14"/>
  <c r="LN14" i="14"/>
  <c r="LM14" i="14"/>
  <c r="LK14" i="14"/>
  <c r="LJ14" i="14"/>
  <c r="LI14" i="14"/>
  <c r="LN17" i="14"/>
  <c r="LM17" i="14"/>
  <c r="LK17" i="14"/>
  <c r="LJ17" i="14"/>
  <c r="LI17" i="14"/>
  <c r="LN28" i="14"/>
  <c r="LM28" i="14"/>
  <c r="LK28" i="14"/>
  <c r="LJ28" i="14"/>
  <c r="LI28" i="14"/>
  <c r="LN32" i="14"/>
  <c r="LM32" i="14"/>
  <c r="LK32" i="14"/>
  <c r="LJ32" i="14"/>
  <c r="LI32" i="14"/>
  <c r="LN9" i="14"/>
  <c r="LM9" i="14"/>
  <c r="LK9" i="14"/>
  <c r="LJ9" i="14"/>
  <c r="LI9" i="14"/>
  <c r="LN10" i="14"/>
  <c r="LM10" i="14"/>
  <c r="LK10" i="14"/>
  <c r="LJ10" i="14"/>
  <c r="LI10" i="14"/>
  <c r="LN8" i="14"/>
  <c r="LM8" i="14"/>
  <c r="LK8" i="14"/>
  <c r="LJ8" i="14"/>
  <c r="LI8" i="14"/>
  <c r="LN4" i="14"/>
  <c r="LM4" i="14"/>
  <c r="LK4" i="14"/>
  <c r="LJ4" i="14"/>
  <c r="LI4" i="14"/>
  <c r="LN5" i="14"/>
  <c r="LM5" i="14"/>
  <c r="LK5" i="14"/>
  <c r="LJ5" i="14"/>
  <c r="LI5" i="14"/>
  <c r="KR11" i="14"/>
  <c r="KQ11" i="14"/>
  <c r="KO11" i="14"/>
  <c r="KN11" i="14"/>
  <c r="KM11" i="14"/>
  <c r="KR25" i="14"/>
  <c r="KQ25" i="14"/>
  <c r="KO25" i="14"/>
  <c r="KN25" i="14"/>
  <c r="KM25" i="14"/>
  <c r="KR12" i="14"/>
  <c r="KQ12" i="14"/>
  <c r="KO12" i="14"/>
  <c r="KN12" i="14"/>
  <c r="KM12" i="14"/>
  <c r="KR16" i="14"/>
  <c r="KQ16" i="14"/>
  <c r="KO16" i="14"/>
  <c r="KN16" i="14"/>
  <c r="KM16" i="14"/>
  <c r="KR19" i="14"/>
  <c r="KQ19" i="14"/>
  <c r="KO19" i="14"/>
  <c r="KN19" i="14"/>
  <c r="KM19" i="14"/>
  <c r="KR15" i="14"/>
  <c r="KQ15" i="14"/>
  <c r="KO15" i="14"/>
  <c r="KN15" i="14"/>
  <c r="KM15" i="14"/>
  <c r="KR14" i="14"/>
  <c r="KQ14" i="14"/>
  <c r="KO14" i="14"/>
  <c r="KN14" i="14"/>
  <c r="KM14" i="14"/>
  <c r="KR17" i="14"/>
  <c r="KQ17" i="14"/>
  <c r="KO17" i="14"/>
  <c r="KN17" i="14"/>
  <c r="KM17" i="14"/>
  <c r="KR28" i="14"/>
  <c r="KQ28" i="14"/>
  <c r="KO28" i="14"/>
  <c r="KN28" i="14"/>
  <c r="KM28" i="14"/>
  <c r="KR32" i="14"/>
  <c r="KQ32" i="14"/>
  <c r="KO32" i="14"/>
  <c r="KN32" i="14"/>
  <c r="KM32" i="14"/>
  <c r="KR9" i="14"/>
  <c r="KQ9" i="14"/>
  <c r="KO9" i="14"/>
  <c r="KN9" i="14"/>
  <c r="KM9" i="14"/>
  <c r="KR10" i="14"/>
  <c r="KQ10" i="14"/>
  <c r="KO10" i="14"/>
  <c r="KN10" i="14"/>
  <c r="KM10" i="14"/>
  <c r="KR8" i="14"/>
  <c r="KQ8" i="14"/>
  <c r="KO8" i="14"/>
  <c r="KN8" i="14"/>
  <c r="KM8" i="14"/>
  <c r="KR4" i="14"/>
  <c r="KQ4" i="14"/>
  <c r="KO4" i="14"/>
  <c r="KN4" i="14"/>
  <c r="KM4" i="14"/>
  <c r="KR5" i="14"/>
  <c r="KQ5" i="14"/>
  <c r="KO5" i="14"/>
  <c r="KN5" i="14"/>
  <c r="KM5" i="14"/>
  <c r="JV11" i="14"/>
  <c r="JU11" i="14"/>
  <c r="JS11" i="14"/>
  <c r="JR11" i="14"/>
  <c r="JQ11" i="14"/>
  <c r="JV25" i="14"/>
  <c r="JU25" i="14"/>
  <c r="JS25" i="14"/>
  <c r="JR25" i="14"/>
  <c r="JQ25" i="14"/>
  <c r="JV12" i="14"/>
  <c r="JU12" i="14"/>
  <c r="JS12" i="14"/>
  <c r="JR12" i="14"/>
  <c r="JQ12" i="14"/>
  <c r="JV16" i="14"/>
  <c r="JU16" i="14"/>
  <c r="JS16" i="14"/>
  <c r="JR16" i="14"/>
  <c r="JQ16" i="14"/>
  <c r="JV19" i="14"/>
  <c r="JU19" i="14"/>
  <c r="JS19" i="14"/>
  <c r="JR19" i="14"/>
  <c r="JQ19" i="14"/>
  <c r="JV15" i="14"/>
  <c r="JU15" i="14"/>
  <c r="JS15" i="14"/>
  <c r="JR15" i="14"/>
  <c r="JQ15" i="14"/>
  <c r="JV14" i="14"/>
  <c r="JU14" i="14"/>
  <c r="JS14" i="14"/>
  <c r="JR14" i="14"/>
  <c r="JQ14" i="14"/>
  <c r="JV17" i="14"/>
  <c r="JU17" i="14"/>
  <c r="JS17" i="14"/>
  <c r="JR17" i="14"/>
  <c r="JQ17" i="14"/>
  <c r="JV28" i="14"/>
  <c r="JU28" i="14"/>
  <c r="JS28" i="14"/>
  <c r="JR28" i="14"/>
  <c r="JQ28" i="14"/>
  <c r="JV32" i="14"/>
  <c r="JU32" i="14"/>
  <c r="JS32" i="14"/>
  <c r="JR32" i="14"/>
  <c r="JQ32" i="14"/>
  <c r="JV9" i="14"/>
  <c r="JU9" i="14"/>
  <c r="JS9" i="14"/>
  <c r="JR9" i="14"/>
  <c r="JQ9" i="14"/>
  <c r="JV10" i="14"/>
  <c r="JU10" i="14"/>
  <c r="JS10" i="14"/>
  <c r="JR10" i="14"/>
  <c r="JQ10" i="14"/>
  <c r="JV8" i="14"/>
  <c r="JU8" i="14"/>
  <c r="JS8" i="14"/>
  <c r="JR8" i="14"/>
  <c r="JQ8" i="14"/>
  <c r="JV4" i="14"/>
  <c r="JU4" i="14"/>
  <c r="JS4" i="14"/>
  <c r="JR4" i="14"/>
  <c r="JQ4" i="14"/>
  <c r="JV5" i="14"/>
  <c r="JU5" i="14"/>
  <c r="JS5" i="14"/>
  <c r="JR5" i="14"/>
  <c r="JQ5" i="14"/>
  <c r="IZ11" i="14"/>
  <c r="IY11" i="14"/>
  <c r="IW11" i="14"/>
  <c r="IV11" i="14"/>
  <c r="IU11" i="14"/>
  <c r="IZ25" i="14"/>
  <c r="IY25" i="14"/>
  <c r="IW25" i="14"/>
  <c r="IV25" i="14"/>
  <c r="IU25" i="14"/>
  <c r="IZ12" i="14"/>
  <c r="IY12" i="14"/>
  <c r="IW12" i="14"/>
  <c r="IV12" i="14"/>
  <c r="IU12" i="14"/>
  <c r="IZ16" i="14"/>
  <c r="IY16" i="14"/>
  <c r="IW16" i="14"/>
  <c r="IV16" i="14"/>
  <c r="IU16" i="14"/>
  <c r="IZ19" i="14"/>
  <c r="IY19" i="14"/>
  <c r="IW19" i="14"/>
  <c r="IV19" i="14"/>
  <c r="IU19" i="14"/>
  <c r="IZ15" i="14"/>
  <c r="IY15" i="14"/>
  <c r="IW15" i="14"/>
  <c r="IV15" i="14"/>
  <c r="IU15" i="14"/>
  <c r="IZ14" i="14"/>
  <c r="IY14" i="14"/>
  <c r="IW14" i="14"/>
  <c r="IV14" i="14"/>
  <c r="IU14" i="14"/>
  <c r="IZ17" i="14"/>
  <c r="IY17" i="14"/>
  <c r="IW17" i="14"/>
  <c r="IV17" i="14"/>
  <c r="IU17" i="14"/>
  <c r="IZ28" i="14"/>
  <c r="IY28" i="14"/>
  <c r="IW28" i="14"/>
  <c r="IV28" i="14"/>
  <c r="IU28" i="14"/>
  <c r="IZ32" i="14"/>
  <c r="IY32" i="14"/>
  <c r="IW32" i="14"/>
  <c r="IV32" i="14"/>
  <c r="IU32" i="14"/>
  <c r="IZ9" i="14"/>
  <c r="IY9" i="14"/>
  <c r="IW9" i="14"/>
  <c r="IV9" i="14"/>
  <c r="IU9" i="14"/>
  <c r="IZ10" i="14"/>
  <c r="IY10" i="14"/>
  <c r="IW10" i="14"/>
  <c r="IV10" i="14"/>
  <c r="IU10" i="14"/>
  <c r="IZ8" i="14"/>
  <c r="IY8" i="14"/>
  <c r="IW8" i="14"/>
  <c r="IV8" i="14"/>
  <c r="IU8" i="14"/>
  <c r="IZ4" i="14"/>
  <c r="IY4" i="14"/>
  <c r="IW4" i="14"/>
  <c r="IV4" i="14"/>
  <c r="IU4" i="14"/>
  <c r="IZ5" i="14"/>
  <c r="IY5" i="14"/>
  <c r="IW5" i="14"/>
  <c r="IV5" i="14"/>
  <c r="IU5" i="14"/>
  <c r="ID11" i="14"/>
  <c r="IC11" i="14"/>
  <c r="IA11" i="14"/>
  <c r="HZ11" i="14"/>
  <c r="HY11" i="14"/>
  <c r="ID25" i="14"/>
  <c r="IC25" i="14"/>
  <c r="IA25" i="14"/>
  <c r="HZ25" i="14"/>
  <c r="HY25" i="14"/>
  <c r="ID12" i="14"/>
  <c r="IC12" i="14"/>
  <c r="IA12" i="14"/>
  <c r="HZ12" i="14"/>
  <c r="HY12" i="14"/>
  <c r="ID16" i="14"/>
  <c r="IC16" i="14"/>
  <c r="IA16" i="14"/>
  <c r="HZ16" i="14"/>
  <c r="HY16" i="14"/>
  <c r="ID19" i="14"/>
  <c r="IC19" i="14"/>
  <c r="IA19" i="14"/>
  <c r="HZ19" i="14"/>
  <c r="HY19" i="14"/>
  <c r="ID15" i="14"/>
  <c r="IC15" i="14"/>
  <c r="IA15" i="14"/>
  <c r="HZ15" i="14"/>
  <c r="HY15" i="14"/>
  <c r="ID14" i="14"/>
  <c r="IC14" i="14"/>
  <c r="IA14" i="14"/>
  <c r="HZ14" i="14"/>
  <c r="HY14" i="14"/>
  <c r="ID17" i="14"/>
  <c r="IC17" i="14"/>
  <c r="IA17" i="14"/>
  <c r="HZ17" i="14"/>
  <c r="HY17" i="14"/>
  <c r="ID28" i="14"/>
  <c r="IC28" i="14"/>
  <c r="IA28" i="14"/>
  <c r="HZ28" i="14"/>
  <c r="HY28" i="14"/>
  <c r="ID32" i="14"/>
  <c r="IC32" i="14"/>
  <c r="IA32" i="14"/>
  <c r="HZ32" i="14"/>
  <c r="HY32" i="14"/>
  <c r="ID9" i="14"/>
  <c r="IC9" i="14"/>
  <c r="IA9" i="14"/>
  <c r="HZ9" i="14"/>
  <c r="HY9" i="14"/>
  <c r="ID10" i="14"/>
  <c r="IC10" i="14"/>
  <c r="IA10" i="14"/>
  <c r="HZ10" i="14"/>
  <c r="HY10" i="14"/>
  <c r="ID8" i="14"/>
  <c r="IC8" i="14"/>
  <c r="IA8" i="14"/>
  <c r="HZ8" i="14"/>
  <c r="HY8" i="14"/>
  <c r="ID4" i="14"/>
  <c r="IC4" i="14"/>
  <c r="IA4" i="14"/>
  <c r="HZ4" i="14"/>
  <c r="HY4" i="14"/>
  <c r="ID5" i="14"/>
  <c r="IC5" i="14"/>
  <c r="IA5" i="14"/>
  <c r="HZ5" i="14"/>
  <c r="HY5" i="14"/>
  <c r="HH11" i="14"/>
  <c r="HG11" i="14"/>
  <c r="HE11" i="14"/>
  <c r="HD11" i="14"/>
  <c r="HC11" i="14"/>
  <c r="HH25" i="14"/>
  <c r="HG25" i="14"/>
  <c r="HE25" i="14"/>
  <c r="HD25" i="14"/>
  <c r="HC25" i="14"/>
  <c r="HH12" i="14"/>
  <c r="HG12" i="14"/>
  <c r="HE12" i="14"/>
  <c r="HD12" i="14"/>
  <c r="HC12" i="14"/>
  <c r="HH16" i="14"/>
  <c r="HG16" i="14"/>
  <c r="HE16" i="14"/>
  <c r="HD16" i="14"/>
  <c r="HC16" i="14"/>
  <c r="HH19" i="14"/>
  <c r="HG19" i="14"/>
  <c r="HE19" i="14"/>
  <c r="HD19" i="14"/>
  <c r="HC19" i="14"/>
  <c r="HH15" i="14"/>
  <c r="HG15" i="14"/>
  <c r="HE15" i="14"/>
  <c r="HD15" i="14"/>
  <c r="HC15" i="14"/>
  <c r="HH14" i="14"/>
  <c r="HG14" i="14"/>
  <c r="HE14" i="14"/>
  <c r="HD14" i="14"/>
  <c r="HC14" i="14"/>
  <c r="HH17" i="14"/>
  <c r="HG17" i="14"/>
  <c r="HE17" i="14"/>
  <c r="HD17" i="14"/>
  <c r="HC17" i="14"/>
  <c r="HH28" i="14"/>
  <c r="HG28" i="14"/>
  <c r="HE28" i="14"/>
  <c r="HD28" i="14"/>
  <c r="HC28" i="14"/>
  <c r="HH32" i="14"/>
  <c r="HG32" i="14"/>
  <c r="HE32" i="14"/>
  <c r="HD32" i="14"/>
  <c r="HC32" i="14"/>
  <c r="HH9" i="14"/>
  <c r="HG9" i="14"/>
  <c r="HE9" i="14"/>
  <c r="HD9" i="14"/>
  <c r="HC9" i="14"/>
  <c r="HH10" i="14"/>
  <c r="HG10" i="14"/>
  <c r="HE10" i="14"/>
  <c r="HD10" i="14"/>
  <c r="HC10" i="14"/>
  <c r="HH8" i="14"/>
  <c r="HG8" i="14"/>
  <c r="HE8" i="14"/>
  <c r="HD8" i="14"/>
  <c r="HC8" i="14"/>
  <c r="HH4" i="14"/>
  <c r="HG4" i="14"/>
  <c r="HE4" i="14"/>
  <c r="HD4" i="14"/>
  <c r="HC4" i="14"/>
  <c r="HH5" i="14"/>
  <c r="HG5" i="14"/>
  <c r="HE5" i="14"/>
  <c r="HD5" i="14"/>
  <c r="HC5" i="14"/>
  <c r="GL11" i="14"/>
  <c r="GK11" i="14"/>
  <c r="GI11" i="14"/>
  <c r="GH11" i="14"/>
  <c r="GG11" i="14"/>
  <c r="GL25" i="14"/>
  <c r="GK25" i="14"/>
  <c r="GI25" i="14"/>
  <c r="GH25" i="14"/>
  <c r="GG25" i="14"/>
  <c r="GL12" i="14"/>
  <c r="GK12" i="14"/>
  <c r="GI12" i="14"/>
  <c r="GH12" i="14"/>
  <c r="GG12" i="14"/>
  <c r="GL16" i="14"/>
  <c r="GK16" i="14"/>
  <c r="GI16" i="14"/>
  <c r="GH16" i="14"/>
  <c r="GG16" i="14"/>
  <c r="GL19" i="14"/>
  <c r="GK19" i="14"/>
  <c r="GI19" i="14"/>
  <c r="GH19" i="14"/>
  <c r="GG19" i="14"/>
  <c r="GL15" i="14"/>
  <c r="GK15" i="14"/>
  <c r="GI15" i="14"/>
  <c r="GH15" i="14"/>
  <c r="GG15" i="14"/>
  <c r="GL14" i="14"/>
  <c r="GK14" i="14"/>
  <c r="GI14" i="14"/>
  <c r="GH14" i="14"/>
  <c r="GG14" i="14"/>
  <c r="GL17" i="14"/>
  <c r="GK17" i="14"/>
  <c r="GI17" i="14"/>
  <c r="GH17" i="14"/>
  <c r="GG17" i="14"/>
  <c r="GL28" i="14"/>
  <c r="GK28" i="14"/>
  <c r="GI28" i="14"/>
  <c r="GH28" i="14"/>
  <c r="GG28" i="14"/>
  <c r="GL32" i="14"/>
  <c r="GK32" i="14"/>
  <c r="GI32" i="14"/>
  <c r="GH32" i="14"/>
  <c r="GG32" i="14"/>
  <c r="GL9" i="14"/>
  <c r="GK9" i="14"/>
  <c r="GI9" i="14"/>
  <c r="GH9" i="14"/>
  <c r="GG9" i="14"/>
  <c r="GL10" i="14"/>
  <c r="GK10" i="14"/>
  <c r="GI10" i="14"/>
  <c r="GH10" i="14"/>
  <c r="GG10" i="14"/>
  <c r="GL8" i="14"/>
  <c r="GK8" i="14"/>
  <c r="GI8" i="14"/>
  <c r="GH8" i="14"/>
  <c r="GG8" i="14"/>
  <c r="GL4" i="14"/>
  <c r="GK4" i="14"/>
  <c r="GI4" i="14"/>
  <c r="GH4" i="14"/>
  <c r="GG4" i="14"/>
  <c r="GL5" i="14"/>
  <c r="GK5" i="14"/>
  <c r="GI5" i="14"/>
  <c r="GH5" i="14"/>
  <c r="GG5" i="14"/>
  <c r="FP11" i="14"/>
  <c r="FO11" i="14"/>
  <c r="FM11" i="14"/>
  <c r="FL11" i="14"/>
  <c r="FK11" i="14"/>
  <c r="FP25" i="14"/>
  <c r="FO25" i="14"/>
  <c r="FM25" i="14"/>
  <c r="FL25" i="14"/>
  <c r="FK25" i="14"/>
  <c r="FP12" i="14"/>
  <c r="FO12" i="14"/>
  <c r="FM12" i="14"/>
  <c r="FL12" i="14"/>
  <c r="FK12" i="14"/>
  <c r="FP16" i="14"/>
  <c r="FO16" i="14"/>
  <c r="FM16" i="14"/>
  <c r="FL16" i="14"/>
  <c r="FK16" i="14"/>
  <c r="FP19" i="14"/>
  <c r="FO19" i="14"/>
  <c r="FM19" i="14"/>
  <c r="FL19" i="14"/>
  <c r="FK19" i="14"/>
  <c r="FP15" i="14"/>
  <c r="FO15" i="14"/>
  <c r="FM15" i="14"/>
  <c r="FL15" i="14"/>
  <c r="FK15" i="14"/>
  <c r="FP14" i="14"/>
  <c r="FO14" i="14"/>
  <c r="FM14" i="14"/>
  <c r="FL14" i="14"/>
  <c r="FK14" i="14"/>
  <c r="FP17" i="14"/>
  <c r="FO17" i="14"/>
  <c r="FM17" i="14"/>
  <c r="FL17" i="14"/>
  <c r="FK17" i="14"/>
  <c r="FP28" i="14"/>
  <c r="FO28" i="14"/>
  <c r="FM28" i="14"/>
  <c r="FL28" i="14"/>
  <c r="FK28" i="14"/>
  <c r="FP32" i="14"/>
  <c r="FO32" i="14"/>
  <c r="FM32" i="14"/>
  <c r="FL32" i="14"/>
  <c r="FK32" i="14"/>
  <c r="FP9" i="14"/>
  <c r="FO9" i="14"/>
  <c r="FM9" i="14"/>
  <c r="FL9" i="14"/>
  <c r="FK9" i="14"/>
  <c r="FP10" i="14"/>
  <c r="FO10" i="14"/>
  <c r="FM10" i="14"/>
  <c r="FL10" i="14"/>
  <c r="FK10" i="14"/>
  <c r="FP8" i="14"/>
  <c r="FO8" i="14"/>
  <c r="FM8" i="14"/>
  <c r="FL8" i="14"/>
  <c r="FK8" i="14"/>
  <c r="FP4" i="14"/>
  <c r="FO4" i="14"/>
  <c r="FM4" i="14"/>
  <c r="FL4" i="14"/>
  <c r="FK4" i="14"/>
  <c r="FP5" i="14"/>
  <c r="FO5" i="14"/>
  <c r="FM5" i="14"/>
  <c r="FL5" i="14"/>
  <c r="FK5" i="14"/>
  <c r="ET11" i="14"/>
  <c r="ES11" i="14"/>
  <c r="EQ11" i="14"/>
  <c r="EP11" i="14"/>
  <c r="EO11" i="14"/>
  <c r="ET25" i="14"/>
  <c r="ES25" i="14"/>
  <c r="EQ25" i="14"/>
  <c r="EP25" i="14"/>
  <c r="EO25" i="14"/>
  <c r="ET12" i="14"/>
  <c r="ES12" i="14"/>
  <c r="EQ12" i="14"/>
  <c r="EP12" i="14"/>
  <c r="EO12" i="14"/>
  <c r="ET16" i="14"/>
  <c r="ES16" i="14"/>
  <c r="EQ16" i="14"/>
  <c r="EP16" i="14"/>
  <c r="EO16" i="14"/>
  <c r="ET19" i="14"/>
  <c r="ES19" i="14"/>
  <c r="EQ19" i="14"/>
  <c r="EP19" i="14"/>
  <c r="EO19" i="14"/>
  <c r="ET15" i="14"/>
  <c r="ES15" i="14"/>
  <c r="EQ15" i="14"/>
  <c r="EP15" i="14"/>
  <c r="EO15" i="14"/>
  <c r="ET14" i="14"/>
  <c r="ES14" i="14"/>
  <c r="EQ14" i="14"/>
  <c r="EP14" i="14"/>
  <c r="EO14" i="14"/>
  <c r="ET17" i="14"/>
  <c r="ES17" i="14"/>
  <c r="EQ17" i="14"/>
  <c r="EP17" i="14"/>
  <c r="EO17" i="14"/>
  <c r="ET28" i="14"/>
  <c r="ES28" i="14"/>
  <c r="EQ28" i="14"/>
  <c r="EP28" i="14"/>
  <c r="EO28" i="14"/>
  <c r="ET32" i="14"/>
  <c r="ES32" i="14"/>
  <c r="EQ32" i="14"/>
  <c r="EP32" i="14"/>
  <c r="EO32" i="14"/>
  <c r="ET9" i="14"/>
  <c r="ES9" i="14"/>
  <c r="EQ9" i="14"/>
  <c r="EP9" i="14"/>
  <c r="EO9" i="14"/>
  <c r="ET10" i="14"/>
  <c r="ES10" i="14"/>
  <c r="EQ10" i="14"/>
  <c r="EP10" i="14"/>
  <c r="EO10" i="14"/>
  <c r="ET8" i="14"/>
  <c r="ES8" i="14"/>
  <c r="EQ8" i="14"/>
  <c r="EP8" i="14"/>
  <c r="EO8" i="14"/>
  <c r="ET4" i="14"/>
  <c r="ES4" i="14"/>
  <c r="EQ4" i="14"/>
  <c r="EP4" i="14"/>
  <c r="EO4" i="14"/>
  <c r="ET5" i="14"/>
  <c r="ES5" i="14"/>
  <c r="EQ5" i="14"/>
  <c r="EP5" i="14"/>
  <c r="EO5" i="14"/>
  <c r="DX11" i="14"/>
  <c r="DW11" i="14"/>
  <c r="DU11" i="14"/>
  <c r="DT11" i="14"/>
  <c r="DS11" i="14"/>
  <c r="DX25" i="14"/>
  <c r="DW25" i="14"/>
  <c r="DU25" i="14"/>
  <c r="DT25" i="14"/>
  <c r="DS25" i="14"/>
  <c r="DX12" i="14"/>
  <c r="DW12" i="14"/>
  <c r="DU12" i="14"/>
  <c r="DT12" i="14"/>
  <c r="DS12" i="14"/>
  <c r="DX16" i="14"/>
  <c r="DW16" i="14"/>
  <c r="DU16" i="14"/>
  <c r="DT16" i="14"/>
  <c r="DS16" i="14"/>
  <c r="DX19" i="14"/>
  <c r="DW19" i="14"/>
  <c r="DU19" i="14"/>
  <c r="DT19" i="14"/>
  <c r="DS19" i="14"/>
  <c r="DX15" i="14"/>
  <c r="DW15" i="14"/>
  <c r="DU15" i="14"/>
  <c r="DT15" i="14"/>
  <c r="DS15" i="14"/>
  <c r="DX14" i="14"/>
  <c r="DW14" i="14"/>
  <c r="DU14" i="14"/>
  <c r="DT14" i="14"/>
  <c r="DS14" i="14"/>
  <c r="DX17" i="14"/>
  <c r="DW17" i="14"/>
  <c r="DU17" i="14"/>
  <c r="DT17" i="14"/>
  <c r="DS17" i="14"/>
  <c r="DX28" i="14"/>
  <c r="DW28" i="14"/>
  <c r="DU28" i="14"/>
  <c r="DT28" i="14"/>
  <c r="DS28" i="14"/>
  <c r="DX32" i="14"/>
  <c r="DW32" i="14"/>
  <c r="DU32" i="14"/>
  <c r="DT32" i="14"/>
  <c r="DS32" i="14"/>
  <c r="DX9" i="14"/>
  <c r="DW9" i="14"/>
  <c r="DU9" i="14"/>
  <c r="DT9" i="14"/>
  <c r="DS9" i="14"/>
  <c r="DX10" i="14"/>
  <c r="DW10" i="14"/>
  <c r="DU10" i="14"/>
  <c r="DT10" i="14"/>
  <c r="DS10" i="14"/>
  <c r="DX8" i="14"/>
  <c r="DW8" i="14"/>
  <c r="DU8" i="14"/>
  <c r="DT8" i="14"/>
  <c r="DS8" i="14"/>
  <c r="DX4" i="14"/>
  <c r="DW4" i="14"/>
  <c r="DU4" i="14"/>
  <c r="DT4" i="14"/>
  <c r="DS4" i="14"/>
  <c r="DX5" i="14"/>
  <c r="DW5" i="14"/>
  <c r="DU5" i="14"/>
  <c r="DT5" i="14"/>
  <c r="DS5" i="14"/>
  <c r="MJ15" i="4"/>
  <c r="MI15" i="4"/>
  <c r="MG15" i="4"/>
  <c r="MF15" i="4"/>
  <c r="ME15" i="4"/>
  <c r="MJ32" i="4"/>
  <c r="MI32" i="4"/>
  <c r="MG32" i="4"/>
  <c r="MF32" i="4"/>
  <c r="ME32" i="4"/>
  <c r="MJ7" i="4"/>
  <c r="MI7" i="4"/>
  <c r="MG7" i="4"/>
  <c r="MF7" i="4"/>
  <c r="ME7" i="4"/>
  <c r="MJ14" i="4"/>
  <c r="MI14" i="4"/>
  <c r="MG14" i="4"/>
  <c r="MF14" i="4"/>
  <c r="ME14" i="4"/>
  <c r="MJ11" i="4"/>
  <c r="MI11" i="4"/>
  <c r="MG11" i="4"/>
  <c r="MF11" i="4"/>
  <c r="ME11" i="4"/>
  <c r="MJ19" i="4"/>
  <c r="MI19" i="4"/>
  <c r="MG19" i="4"/>
  <c r="MF19" i="4"/>
  <c r="ME19" i="4"/>
  <c r="MJ24" i="4"/>
  <c r="MI24" i="4"/>
  <c r="MG24" i="4"/>
  <c r="MF24" i="4"/>
  <c r="ME24" i="4"/>
  <c r="MJ34" i="4"/>
  <c r="MI34" i="4"/>
  <c r="MG34" i="4"/>
  <c r="MF34" i="4"/>
  <c r="ME34" i="4"/>
  <c r="MJ35" i="4"/>
  <c r="MI35" i="4"/>
  <c r="MG35" i="4"/>
  <c r="MF35" i="4"/>
  <c r="ME35" i="4"/>
  <c r="MJ10" i="4"/>
  <c r="MI10" i="4"/>
  <c r="MG10" i="4"/>
  <c r="MF10" i="4"/>
  <c r="ME10" i="4"/>
  <c r="MJ27" i="4"/>
  <c r="MI27" i="4"/>
  <c r="MG27" i="4"/>
  <c r="MF27" i="4"/>
  <c r="ME27" i="4"/>
  <c r="MJ9" i="4"/>
  <c r="MI9" i="4"/>
  <c r="MG9" i="4"/>
  <c r="MF9" i="4"/>
  <c r="ME9" i="4"/>
  <c r="MJ5" i="4"/>
  <c r="MI5" i="4"/>
  <c r="MG5" i="4"/>
  <c r="MF5" i="4"/>
  <c r="ME5" i="4"/>
  <c r="LN15" i="4"/>
  <c r="LM15" i="4"/>
  <c r="LK15" i="4"/>
  <c r="LJ15" i="4"/>
  <c r="LI15" i="4"/>
  <c r="LN32" i="4"/>
  <c r="LM32" i="4"/>
  <c r="LK32" i="4"/>
  <c r="LJ32" i="4"/>
  <c r="LI32" i="4"/>
  <c r="LN7" i="4"/>
  <c r="LM7" i="4"/>
  <c r="LK7" i="4"/>
  <c r="LJ7" i="4"/>
  <c r="LI7" i="4"/>
  <c r="LN14" i="4"/>
  <c r="LM14" i="4"/>
  <c r="LK14" i="4"/>
  <c r="LJ14" i="4"/>
  <c r="LI14" i="4"/>
  <c r="LN11" i="4"/>
  <c r="LM11" i="4"/>
  <c r="LK11" i="4"/>
  <c r="LJ11" i="4"/>
  <c r="LI11" i="4"/>
  <c r="LN19" i="4"/>
  <c r="LM19" i="4"/>
  <c r="LK19" i="4"/>
  <c r="LJ19" i="4"/>
  <c r="LI19" i="4"/>
  <c r="LN24" i="4"/>
  <c r="LM24" i="4"/>
  <c r="LK24" i="4"/>
  <c r="LJ24" i="4"/>
  <c r="LI24" i="4"/>
  <c r="LN34" i="4"/>
  <c r="LM34" i="4"/>
  <c r="LK34" i="4"/>
  <c r="LJ34" i="4"/>
  <c r="LI34" i="4"/>
  <c r="LN35" i="4"/>
  <c r="LM35" i="4"/>
  <c r="LK35" i="4"/>
  <c r="LJ35" i="4"/>
  <c r="LI35" i="4"/>
  <c r="LN10" i="4"/>
  <c r="LM10" i="4"/>
  <c r="LK10" i="4"/>
  <c r="LJ10" i="4"/>
  <c r="LI10" i="4"/>
  <c r="LN27" i="4"/>
  <c r="LM27" i="4"/>
  <c r="LK27" i="4"/>
  <c r="LJ27" i="4"/>
  <c r="LI27" i="4"/>
  <c r="LN9" i="4"/>
  <c r="LM9" i="4"/>
  <c r="LK9" i="4"/>
  <c r="LJ9" i="4"/>
  <c r="LI9" i="4"/>
  <c r="LN5" i="4"/>
  <c r="LM5" i="4"/>
  <c r="LK5" i="4"/>
  <c r="LJ5" i="4"/>
  <c r="LI5" i="4"/>
  <c r="KR15" i="4"/>
  <c r="KQ15" i="4"/>
  <c r="KO15" i="4"/>
  <c r="KN15" i="4"/>
  <c r="KM15" i="4"/>
  <c r="KR32" i="4"/>
  <c r="KQ32" i="4"/>
  <c r="KO32" i="4"/>
  <c r="KN32" i="4"/>
  <c r="KM32" i="4"/>
  <c r="KR7" i="4"/>
  <c r="KQ7" i="4"/>
  <c r="KO7" i="4"/>
  <c r="KN7" i="4"/>
  <c r="KM7" i="4"/>
  <c r="KR14" i="4"/>
  <c r="KQ14" i="4"/>
  <c r="KO14" i="4"/>
  <c r="KN14" i="4"/>
  <c r="KM14" i="4"/>
  <c r="KR11" i="4"/>
  <c r="KQ11" i="4"/>
  <c r="KO11" i="4"/>
  <c r="KN11" i="4"/>
  <c r="KM11" i="4"/>
  <c r="KR19" i="4"/>
  <c r="KQ19" i="4"/>
  <c r="KO19" i="4"/>
  <c r="KN19" i="4"/>
  <c r="KM19" i="4"/>
  <c r="KR24" i="4"/>
  <c r="KQ24" i="4"/>
  <c r="KO24" i="4"/>
  <c r="KN24" i="4"/>
  <c r="KM24" i="4"/>
  <c r="KR34" i="4"/>
  <c r="KQ34" i="4"/>
  <c r="KO34" i="4"/>
  <c r="KN34" i="4"/>
  <c r="KM34" i="4"/>
  <c r="KR35" i="4"/>
  <c r="KQ35" i="4"/>
  <c r="KO35" i="4"/>
  <c r="KN35" i="4"/>
  <c r="KM35" i="4"/>
  <c r="KR10" i="4"/>
  <c r="KQ10" i="4"/>
  <c r="KO10" i="4"/>
  <c r="KN10" i="4"/>
  <c r="KM10" i="4"/>
  <c r="KR27" i="4"/>
  <c r="KQ27" i="4"/>
  <c r="KO27" i="4"/>
  <c r="KN27" i="4"/>
  <c r="KM27" i="4"/>
  <c r="KR9" i="4"/>
  <c r="KQ9" i="4"/>
  <c r="KO9" i="4"/>
  <c r="KN9" i="4"/>
  <c r="KM9" i="4"/>
  <c r="KR5" i="4"/>
  <c r="KQ5" i="4"/>
  <c r="KO5" i="4"/>
  <c r="KN5" i="4"/>
  <c r="KM5" i="4"/>
  <c r="JV15" i="4"/>
  <c r="JU15" i="4"/>
  <c r="JS15" i="4"/>
  <c r="JR15" i="4"/>
  <c r="JQ15" i="4"/>
  <c r="JV32" i="4"/>
  <c r="JU32" i="4"/>
  <c r="JS32" i="4"/>
  <c r="JR32" i="4"/>
  <c r="JQ32" i="4"/>
  <c r="JV7" i="4"/>
  <c r="JU7" i="4"/>
  <c r="JS7" i="4"/>
  <c r="JR7" i="4"/>
  <c r="JQ7" i="4"/>
  <c r="JV14" i="4"/>
  <c r="JU14" i="4"/>
  <c r="JS14" i="4"/>
  <c r="JR14" i="4"/>
  <c r="JQ14" i="4"/>
  <c r="JV11" i="4"/>
  <c r="JU11" i="4"/>
  <c r="JS11" i="4"/>
  <c r="JR11" i="4"/>
  <c r="JQ11" i="4"/>
  <c r="JV19" i="4"/>
  <c r="JU19" i="4"/>
  <c r="JS19" i="4"/>
  <c r="JR19" i="4"/>
  <c r="JQ19" i="4"/>
  <c r="JV24" i="4"/>
  <c r="JU24" i="4"/>
  <c r="JS24" i="4"/>
  <c r="JR24" i="4"/>
  <c r="JQ24" i="4"/>
  <c r="JV34" i="4"/>
  <c r="JU34" i="4"/>
  <c r="JS34" i="4"/>
  <c r="JR34" i="4"/>
  <c r="JQ34" i="4"/>
  <c r="JV35" i="4"/>
  <c r="JU35" i="4"/>
  <c r="JS35" i="4"/>
  <c r="JR35" i="4"/>
  <c r="JQ35" i="4"/>
  <c r="JV10" i="4"/>
  <c r="JU10" i="4"/>
  <c r="JS10" i="4"/>
  <c r="JR10" i="4"/>
  <c r="JQ10" i="4"/>
  <c r="JV27" i="4"/>
  <c r="JU27" i="4"/>
  <c r="JS27" i="4"/>
  <c r="JR27" i="4"/>
  <c r="JQ27" i="4"/>
  <c r="JV9" i="4"/>
  <c r="JU9" i="4"/>
  <c r="JS9" i="4"/>
  <c r="JR9" i="4"/>
  <c r="JQ9" i="4"/>
  <c r="JV5" i="4"/>
  <c r="JU5" i="4"/>
  <c r="JS5" i="4"/>
  <c r="JR5" i="4"/>
  <c r="JQ5" i="4"/>
  <c r="IZ15" i="4"/>
  <c r="IY15" i="4"/>
  <c r="IW15" i="4"/>
  <c r="IV15" i="4"/>
  <c r="IU15" i="4"/>
  <c r="IZ32" i="4"/>
  <c r="IY32" i="4"/>
  <c r="IW32" i="4"/>
  <c r="IV32" i="4"/>
  <c r="IU32" i="4"/>
  <c r="IZ7" i="4"/>
  <c r="IY7" i="4"/>
  <c r="IW7" i="4"/>
  <c r="IV7" i="4"/>
  <c r="IU7" i="4"/>
  <c r="IZ14" i="4"/>
  <c r="IY14" i="4"/>
  <c r="IW14" i="4"/>
  <c r="IV14" i="4"/>
  <c r="IU14" i="4"/>
  <c r="IZ11" i="4"/>
  <c r="IY11" i="4"/>
  <c r="IW11" i="4"/>
  <c r="IV11" i="4"/>
  <c r="IU11" i="4"/>
  <c r="IZ19" i="4"/>
  <c r="IY19" i="4"/>
  <c r="IW19" i="4"/>
  <c r="IV19" i="4"/>
  <c r="IU19" i="4"/>
  <c r="IZ24" i="4"/>
  <c r="IY24" i="4"/>
  <c r="IW24" i="4"/>
  <c r="IV24" i="4"/>
  <c r="IU24" i="4"/>
  <c r="IZ34" i="4"/>
  <c r="IY34" i="4"/>
  <c r="IW34" i="4"/>
  <c r="IV34" i="4"/>
  <c r="IU34" i="4"/>
  <c r="IZ35" i="4"/>
  <c r="IY35" i="4"/>
  <c r="IW35" i="4"/>
  <c r="IV35" i="4"/>
  <c r="IU35" i="4"/>
  <c r="IZ10" i="4"/>
  <c r="IY10" i="4"/>
  <c r="IW10" i="4"/>
  <c r="IV10" i="4"/>
  <c r="IU10" i="4"/>
  <c r="IZ27" i="4"/>
  <c r="IY27" i="4"/>
  <c r="IW27" i="4"/>
  <c r="IV27" i="4"/>
  <c r="IU27" i="4"/>
  <c r="IZ9" i="4"/>
  <c r="IY9" i="4"/>
  <c r="IW9" i="4"/>
  <c r="IV9" i="4"/>
  <c r="IU9" i="4"/>
  <c r="IZ5" i="4"/>
  <c r="IY5" i="4"/>
  <c r="IW5" i="4"/>
  <c r="IV5" i="4"/>
  <c r="IU5" i="4"/>
  <c r="ID15" i="4"/>
  <c r="IC15" i="4"/>
  <c r="IA15" i="4"/>
  <c r="HZ15" i="4"/>
  <c r="HY15" i="4"/>
  <c r="ID32" i="4"/>
  <c r="IC32" i="4"/>
  <c r="IA32" i="4"/>
  <c r="HZ32" i="4"/>
  <c r="HY32" i="4"/>
  <c r="ID7" i="4"/>
  <c r="IC7" i="4"/>
  <c r="IA7" i="4"/>
  <c r="HZ7" i="4"/>
  <c r="HY7" i="4"/>
  <c r="ID14" i="4"/>
  <c r="IC14" i="4"/>
  <c r="IA14" i="4"/>
  <c r="HZ14" i="4"/>
  <c r="HY14" i="4"/>
  <c r="ID11" i="4"/>
  <c r="IC11" i="4"/>
  <c r="IA11" i="4"/>
  <c r="HZ11" i="4"/>
  <c r="HY11" i="4"/>
  <c r="ID19" i="4"/>
  <c r="IC19" i="4"/>
  <c r="IA19" i="4"/>
  <c r="HZ19" i="4"/>
  <c r="HY19" i="4"/>
  <c r="ID24" i="4"/>
  <c r="IC24" i="4"/>
  <c r="IA24" i="4"/>
  <c r="HZ24" i="4"/>
  <c r="HY24" i="4"/>
  <c r="ID34" i="4"/>
  <c r="IC34" i="4"/>
  <c r="IA34" i="4"/>
  <c r="HZ34" i="4"/>
  <c r="HY34" i="4"/>
  <c r="ID35" i="4"/>
  <c r="IC35" i="4"/>
  <c r="IA35" i="4"/>
  <c r="HZ35" i="4"/>
  <c r="HY35" i="4"/>
  <c r="ID10" i="4"/>
  <c r="IC10" i="4"/>
  <c r="IA10" i="4"/>
  <c r="HZ10" i="4"/>
  <c r="HY10" i="4"/>
  <c r="ID27" i="4"/>
  <c r="IC27" i="4"/>
  <c r="IA27" i="4"/>
  <c r="HZ27" i="4"/>
  <c r="HY27" i="4"/>
  <c r="ID9" i="4"/>
  <c r="IC9" i="4"/>
  <c r="IA9" i="4"/>
  <c r="HZ9" i="4"/>
  <c r="HY9" i="4"/>
  <c r="ID5" i="4"/>
  <c r="IC5" i="4"/>
  <c r="IA5" i="4"/>
  <c r="HZ5" i="4"/>
  <c r="HY5" i="4"/>
  <c r="HH15" i="4"/>
  <c r="HG15" i="4"/>
  <c r="HE15" i="4"/>
  <c r="HD15" i="4"/>
  <c r="HC15" i="4"/>
  <c r="HH32" i="4"/>
  <c r="HG32" i="4"/>
  <c r="HE32" i="4"/>
  <c r="HD32" i="4"/>
  <c r="HC32" i="4"/>
  <c r="HH7" i="4"/>
  <c r="HG7" i="4"/>
  <c r="HE7" i="4"/>
  <c r="HD7" i="4"/>
  <c r="HC7" i="4"/>
  <c r="HH14" i="4"/>
  <c r="HG14" i="4"/>
  <c r="HE14" i="4"/>
  <c r="HD14" i="4"/>
  <c r="HC14" i="4"/>
  <c r="HH11" i="4"/>
  <c r="HG11" i="4"/>
  <c r="HE11" i="4"/>
  <c r="HD11" i="4"/>
  <c r="HC11" i="4"/>
  <c r="HH19" i="4"/>
  <c r="HG19" i="4"/>
  <c r="HE19" i="4"/>
  <c r="HD19" i="4"/>
  <c r="HC19" i="4"/>
  <c r="HH24" i="4"/>
  <c r="HG24" i="4"/>
  <c r="HE24" i="4"/>
  <c r="HD24" i="4"/>
  <c r="HC24" i="4"/>
  <c r="HH34" i="4"/>
  <c r="HG34" i="4"/>
  <c r="HE34" i="4"/>
  <c r="HD34" i="4"/>
  <c r="HC34" i="4"/>
  <c r="HH35" i="4"/>
  <c r="HG35" i="4"/>
  <c r="HE35" i="4"/>
  <c r="HD35" i="4"/>
  <c r="HC35" i="4"/>
  <c r="HH10" i="4"/>
  <c r="HG10" i="4"/>
  <c r="HE10" i="4"/>
  <c r="HD10" i="4"/>
  <c r="HC10" i="4"/>
  <c r="HH27" i="4"/>
  <c r="HG27" i="4"/>
  <c r="HE27" i="4"/>
  <c r="HD27" i="4"/>
  <c r="HC27" i="4"/>
  <c r="HH9" i="4"/>
  <c r="HG9" i="4"/>
  <c r="HE9" i="4"/>
  <c r="HD9" i="4"/>
  <c r="HC9" i="4"/>
  <c r="HH5" i="4"/>
  <c r="HG5" i="4"/>
  <c r="HE5" i="4"/>
  <c r="HD5" i="4"/>
  <c r="HC5" i="4"/>
  <c r="GL15" i="4"/>
  <c r="GK15" i="4"/>
  <c r="GI15" i="4"/>
  <c r="GH15" i="4"/>
  <c r="GG15" i="4"/>
  <c r="GL32" i="4"/>
  <c r="GK32" i="4"/>
  <c r="GI32" i="4"/>
  <c r="GH32" i="4"/>
  <c r="GG32" i="4"/>
  <c r="GL7" i="4"/>
  <c r="GK7" i="4"/>
  <c r="GI7" i="4"/>
  <c r="GH7" i="4"/>
  <c r="GG7" i="4"/>
  <c r="GL14" i="4"/>
  <c r="GK14" i="4"/>
  <c r="GI14" i="4"/>
  <c r="GH14" i="4"/>
  <c r="GG14" i="4"/>
  <c r="GL11" i="4"/>
  <c r="GK11" i="4"/>
  <c r="GI11" i="4"/>
  <c r="GH11" i="4"/>
  <c r="GG11" i="4"/>
  <c r="GL19" i="4"/>
  <c r="GK19" i="4"/>
  <c r="GI19" i="4"/>
  <c r="GH19" i="4"/>
  <c r="GG19" i="4"/>
  <c r="GL24" i="4"/>
  <c r="GK24" i="4"/>
  <c r="GI24" i="4"/>
  <c r="GH24" i="4"/>
  <c r="GG24" i="4"/>
  <c r="GL34" i="4"/>
  <c r="GK34" i="4"/>
  <c r="GI34" i="4"/>
  <c r="GH34" i="4"/>
  <c r="GG34" i="4"/>
  <c r="GL35" i="4"/>
  <c r="GK35" i="4"/>
  <c r="GI35" i="4"/>
  <c r="GH35" i="4"/>
  <c r="GG35" i="4"/>
  <c r="GL10" i="4"/>
  <c r="GK10" i="4"/>
  <c r="GI10" i="4"/>
  <c r="GH10" i="4"/>
  <c r="GG10" i="4"/>
  <c r="GL27" i="4"/>
  <c r="GK27" i="4"/>
  <c r="GI27" i="4"/>
  <c r="GH27" i="4"/>
  <c r="GG27" i="4"/>
  <c r="GL9" i="4"/>
  <c r="GK9" i="4"/>
  <c r="GI9" i="4"/>
  <c r="GH9" i="4"/>
  <c r="GG9" i="4"/>
  <c r="GL5" i="4"/>
  <c r="GK5" i="4"/>
  <c r="GI5" i="4"/>
  <c r="GH5" i="4"/>
  <c r="GG5" i="4"/>
  <c r="FP15" i="4"/>
  <c r="FO15" i="4"/>
  <c r="FM15" i="4"/>
  <c r="FL15" i="4"/>
  <c r="FK15" i="4"/>
  <c r="FP32" i="4"/>
  <c r="FO32" i="4"/>
  <c r="FM32" i="4"/>
  <c r="FL32" i="4"/>
  <c r="FK32" i="4"/>
  <c r="FP7" i="4"/>
  <c r="FO7" i="4"/>
  <c r="FM7" i="4"/>
  <c r="FL7" i="4"/>
  <c r="FK7" i="4"/>
  <c r="FP14" i="4"/>
  <c r="FO14" i="4"/>
  <c r="FM14" i="4"/>
  <c r="FL14" i="4"/>
  <c r="FK14" i="4"/>
  <c r="FP11" i="4"/>
  <c r="FO11" i="4"/>
  <c r="FM11" i="4"/>
  <c r="FL11" i="4"/>
  <c r="FK11" i="4"/>
  <c r="FP19" i="4"/>
  <c r="FO19" i="4"/>
  <c r="FM19" i="4"/>
  <c r="FL19" i="4"/>
  <c r="FK19" i="4"/>
  <c r="FP24" i="4"/>
  <c r="FO24" i="4"/>
  <c r="FM24" i="4"/>
  <c r="FL24" i="4"/>
  <c r="FK24" i="4"/>
  <c r="FP34" i="4"/>
  <c r="FO34" i="4"/>
  <c r="FM34" i="4"/>
  <c r="FL34" i="4"/>
  <c r="FK34" i="4"/>
  <c r="FP35" i="4"/>
  <c r="FO35" i="4"/>
  <c r="FM35" i="4"/>
  <c r="FL35" i="4"/>
  <c r="FK35" i="4"/>
  <c r="FP10" i="4"/>
  <c r="FO10" i="4"/>
  <c r="FM10" i="4"/>
  <c r="FL10" i="4"/>
  <c r="FK10" i="4"/>
  <c r="FP27" i="4"/>
  <c r="FO27" i="4"/>
  <c r="FM27" i="4"/>
  <c r="FL27" i="4"/>
  <c r="FK27" i="4"/>
  <c r="FP9" i="4"/>
  <c r="FO9" i="4"/>
  <c r="FM9" i="4"/>
  <c r="FL9" i="4"/>
  <c r="FK9" i="4"/>
  <c r="FP5" i="4"/>
  <c r="FO5" i="4"/>
  <c r="FM5" i="4"/>
  <c r="FL5" i="4"/>
  <c r="FK5" i="4"/>
  <c r="ET15" i="4"/>
  <c r="ES15" i="4"/>
  <c r="EQ15" i="4"/>
  <c r="EP15" i="4"/>
  <c r="EO15" i="4"/>
  <c r="ET32" i="4"/>
  <c r="ES32" i="4"/>
  <c r="EQ32" i="4"/>
  <c r="EP32" i="4"/>
  <c r="EO32" i="4"/>
  <c r="ET7" i="4"/>
  <c r="ES7" i="4"/>
  <c r="EQ7" i="4"/>
  <c r="EP7" i="4"/>
  <c r="EO7" i="4"/>
  <c r="ET14" i="4"/>
  <c r="ES14" i="4"/>
  <c r="EQ14" i="4"/>
  <c r="EP14" i="4"/>
  <c r="EO14" i="4"/>
  <c r="ET11" i="4"/>
  <c r="ES11" i="4"/>
  <c r="EQ11" i="4"/>
  <c r="EP11" i="4"/>
  <c r="EO11" i="4"/>
  <c r="ET19" i="4"/>
  <c r="ES19" i="4"/>
  <c r="EQ19" i="4"/>
  <c r="EP19" i="4"/>
  <c r="EO19" i="4"/>
  <c r="ET24" i="4"/>
  <c r="ES24" i="4"/>
  <c r="EQ24" i="4"/>
  <c r="EP24" i="4"/>
  <c r="EO24" i="4"/>
  <c r="ET34" i="4"/>
  <c r="ES34" i="4"/>
  <c r="EQ34" i="4"/>
  <c r="EP34" i="4"/>
  <c r="EO34" i="4"/>
  <c r="ET35" i="4"/>
  <c r="ES35" i="4"/>
  <c r="EQ35" i="4"/>
  <c r="EP35" i="4"/>
  <c r="EO35" i="4"/>
  <c r="ET10" i="4"/>
  <c r="ES10" i="4"/>
  <c r="EQ10" i="4"/>
  <c r="EP10" i="4"/>
  <c r="EO10" i="4"/>
  <c r="ET27" i="4"/>
  <c r="ES27" i="4"/>
  <c r="EQ27" i="4"/>
  <c r="EP27" i="4"/>
  <c r="EO27" i="4"/>
  <c r="ET9" i="4"/>
  <c r="ES9" i="4"/>
  <c r="EQ9" i="4"/>
  <c r="EP9" i="4"/>
  <c r="EO9" i="4"/>
  <c r="ET5" i="4"/>
  <c r="ES5" i="4"/>
  <c r="EQ5" i="4"/>
  <c r="EP5" i="4"/>
  <c r="EO5" i="4"/>
  <c r="DX15" i="4"/>
  <c r="DW15" i="4"/>
  <c r="DU15" i="4"/>
  <c r="DT15" i="4"/>
  <c r="DS15" i="4"/>
  <c r="DX32" i="4"/>
  <c r="DW32" i="4"/>
  <c r="DU32" i="4"/>
  <c r="DT32" i="4"/>
  <c r="DS32" i="4"/>
  <c r="DX7" i="4"/>
  <c r="DW7" i="4"/>
  <c r="DU7" i="4"/>
  <c r="DT7" i="4"/>
  <c r="DS7" i="4"/>
  <c r="DX14" i="4"/>
  <c r="DW14" i="4"/>
  <c r="DU14" i="4"/>
  <c r="DT14" i="4"/>
  <c r="DS14" i="4"/>
  <c r="DX11" i="4"/>
  <c r="DW11" i="4"/>
  <c r="DU11" i="4"/>
  <c r="DT11" i="4"/>
  <c r="DS11" i="4"/>
  <c r="DX19" i="4"/>
  <c r="DW19" i="4"/>
  <c r="DU19" i="4"/>
  <c r="DT19" i="4"/>
  <c r="DS19" i="4"/>
  <c r="DX24" i="4"/>
  <c r="DW24" i="4"/>
  <c r="DU24" i="4"/>
  <c r="DT24" i="4"/>
  <c r="DS24" i="4"/>
  <c r="DX34" i="4"/>
  <c r="DW34" i="4"/>
  <c r="DU34" i="4"/>
  <c r="DT34" i="4"/>
  <c r="DS34" i="4"/>
  <c r="DX35" i="4"/>
  <c r="DW35" i="4"/>
  <c r="DU35" i="4"/>
  <c r="DT35" i="4"/>
  <c r="DS35" i="4"/>
  <c r="DX10" i="4"/>
  <c r="DW10" i="4"/>
  <c r="DU10" i="4"/>
  <c r="DT10" i="4"/>
  <c r="DS10" i="4"/>
  <c r="DX27" i="4"/>
  <c r="DW27" i="4"/>
  <c r="DU27" i="4"/>
  <c r="DT27" i="4"/>
  <c r="DS27" i="4"/>
  <c r="DX9" i="4"/>
  <c r="DW9" i="4"/>
  <c r="DU9" i="4"/>
  <c r="DT9" i="4"/>
  <c r="DS9" i="4"/>
  <c r="DX5" i="4"/>
  <c r="DW5" i="4"/>
  <c r="DU5" i="4"/>
  <c r="DT5" i="4"/>
  <c r="DS5" i="4"/>
  <c r="CS25" i="14"/>
  <c r="CT25" i="14"/>
  <c r="CU25" i="14"/>
  <c r="CV25" i="14"/>
  <c r="CW25" i="14"/>
  <c r="CY25" i="14"/>
  <c r="CZ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CS12" i="14"/>
  <c r="CT12" i="14"/>
  <c r="CU12" i="14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4" i="4"/>
  <c r="CT14" i="4"/>
  <c r="CU14" i="4"/>
  <c r="CV14" i="4"/>
  <c r="CW14" i="4"/>
  <c r="CY14" i="4"/>
  <c r="CZ14" i="4"/>
  <c r="NA14" i="4"/>
  <c r="NB14" i="4"/>
  <c r="NC14" i="4"/>
  <c r="NE14" i="4"/>
  <c r="NF14" i="4"/>
  <c r="NH14" i="4"/>
  <c r="NI14" i="4"/>
  <c r="NJ14" i="4"/>
  <c r="NK14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OJ25" i="14" l="1"/>
  <c r="G14" i="14"/>
  <c r="G19" i="14"/>
  <c r="DC31" i="14"/>
  <c r="DB31" i="14"/>
  <c r="DC24" i="14"/>
  <c r="DB24" i="14"/>
  <c r="DC6" i="14"/>
  <c r="DB6" i="14"/>
  <c r="DC18" i="14"/>
  <c r="DB18" i="14"/>
  <c r="DC22" i="14"/>
  <c r="DB22" i="14"/>
  <c r="DB7" i="14"/>
  <c r="DC7" i="14"/>
  <c r="DC30" i="4"/>
  <c r="DB30" i="4"/>
  <c r="DC33" i="4"/>
  <c r="DB33" i="4"/>
  <c r="DB36" i="4"/>
  <c r="DC36" i="4"/>
  <c r="DB28" i="4"/>
  <c r="DC28" i="4"/>
  <c r="G25" i="14"/>
  <c r="L31" i="14"/>
  <c r="L24" i="14"/>
  <c r="J6" i="14"/>
  <c r="L6" i="14"/>
  <c r="J31" i="14"/>
  <c r="J18" i="14"/>
  <c r="J7" i="14"/>
  <c r="J24" i="14"/>
  <c r="L30" i="4"/>
  <c r="F25" i="14"/>
  <c r="F14" i="14"/>
  <c r="H14" i="14" s="1"/>
  <c r="F19" i="14"/>
  <c r="G14" i="4"/>
  <c r="A28" i="4" a="1"/>
  <c r="A28" i="4" s="1"/>
  <c r="H28" i="4"/>
  <c r="F14" i="4"/>
  <c r="A30" i="4" a="1"/>
  <c r="A30" i="4" s="1"/>
  <c r="H30" i="4"/>
  <c r="A36" i="4" a="1"/>
  <c r="A36" i="4" s="1"/>
  <c r="H36" i="4"/>
  <c r="H33" i="4"/>
  <c r="A33" i="4" a="1"/>
  <c r="A33" i="4" s="1"/>
  <c r="G12" i="14"/>
  <c r="F12" i="14"/>
  <c r="H31" i="14"/>
  <c r="A31" i="14" a="1"/>
  <c r="A31" i="14" s="1"/>
  <c r="H18" i="14"/>
  <c r="A18" i="14" a="1"/>
  <c r="A18" i="14" s="1"/>
  <c r="H24" i="14"/>
  <c r="A24" i="14" a="1"/>
  <c r="A24" i="14" s="1"/>
  <c r="H22" i="14"/>
  <c r="A22" i="14" a="1"/>
  <c r="A22" i="14" s="1"/>
  <c r="H7" i="14"/>
  <c r="H6" i="14"/>
  <c r="DY36" i="4"/>
  <c r="DY30" i="4"/>
  <c r="DY28" i="4"/>
  <c r="DY33" i="4"/>
  <c r="J28" i="4"/>
  <c r="M33" i="4"/>
  <c r="OH7" i="14"/>
  <c r="L7" i="14"/>
  <c r="IB10" i="14"/>
  <c r="IE10" i="14" s="1"/>
  <c r="OH6" i="14"/>
  <c r="OH33" i="4"/>
  <c r="OK33" i="4" s="1"/>
  <c r="DV8" i="14"/>
  <c r="DY8" i="14" s="1"/>
  <c r="J22" i="14"/>
  <c r="OH22" i="14"/>
  <c r="OH30" i="4"/>
  <c r="OK31" i="4" s="1"/>
  <c r="OH31" i="14"/>
  <c r="OH24" i="14"/>
  <c r="HF14" i="14"/>
  <c r="HI14" i="14" s="1"/>
  <c r="IB28" i="14"/>
  <c r="IE28" i="14" s="1"/>
  <c r="JT4" i="14"/>
  <c r="JW4" i="14" s="1"/>
  <c r="L22" i="14"/>
  <c r="OH18" i="14"/>
  <c r="LL19" i="14"/>
  <c r="LO19" i="14" s="1"/>
  <c r="MH4" i="14"/>
  <c r="MK4" i="14" s="1"/>
  <c r="MH11" i="14"/>
  <c r="MK11" i="14" s="1"/>
  <c r="KP19" i="14"/>
  <c r="KS19" i="14" s="1"/>
  <c r="LL4" i="14"/>
  <c r="LO4" i="14" s="1"/>
  <c r="LL14" i="14"/>
  <c r="LO14" i="14" s="1"/>
  <c r="L18" i="14"/>
  <c r="MH28" i="14"/>
  <c r="MK28" i="14" s="1"/>
  <c r="HF12" i="14"/>
  <c r="HI12" i="14" s="1"/>
  <c r="JT32" i="14"/>
  <c r="JW32" i="14" s="1"/>
  <c r="MH7" i="4"/>
  <c r="MK7" i="4" s="1"/>
  <c r="DV7" i="4"/>
  <c r="J33" i="4"/>
  <c r="L33" i="4"/>
  <c r="OH36" i="4"/>
  <c r="OK36" i="4" s="1"/>
  <c r="OH28" i="4"/>
  <c r="OK23" i="4" s="1"/>
  <c r="IB7" i="4"/>
  <c r="IE7" i="4" s="1"/>
  <c r="IX11" i="4"/>
  <c r="JA11" i="4" s="1"/>
  <c r="JT24" i="4"/>
  <c r="JW24" i="4" s="1"/>
  <c r="J36" i="4"/>
  <c r="MH15" i="4"/>
  <c r="MK15" i="4" s="1"/>
  <c r="J30" i="4"/>
  <c r="MH32" i="4"/>
  <c r="MK32" i="4" s="1"/>
  <c r="LL19" i="4"/>
  <c r="LO19" i="4" s="1"/>
  <c r="IB32" i="4"/>
  <c r="IE32" i="4" s="1"/>
  <c r="IX14" i="4"/>
  <c r="JA14" i="4" s="1"/>
  <c r="KP34" i="4"/>
  <c r="KS34" i="4" s="1"/>
  <c r="LL5" i="4"/>
  <c r="LO5" i="4" s="1"/>
  <c r="LL32" i="4"/>
  <c r="LO32" i="4" s="1"/>
  <c r="MH10" i="4"/>
  <c r="MK10" i="4" s="1"/>
  <c r="MH14" i="4"/>
  <c r="MK14" i="4" s="1"/>
  <c r="L36" i="4"/>
  <c r="L28" i="4"/>
  <c r="ER11" i="4"/>
  <c r="EU11" i="4" s="1"/>
  <c r="DV11" i="4"/>
  <c r="IB12" i="14"/>
  <c r="IE12" i="14" s="1"/>
  <c r="ER19" i="14"/>
  <c r="EU19" i="14" s="1"/>
  <c r="GJ32" i="14"/>
  <c r="GM32" i="14" s="1"/>
  <c r="HF10" i="14"/>
  <c r="HI10" i="14" s="1"/>
  <c r="LL9" i="14"/>
  <c r="LO9" i="14" s="1"/>
  <c r="MH12" i="14"/>
  <c r="MK12" i="14" s="1"/>
  <c r="HF19" i="14"/>
  <c r="HI19" i="14" s="1"/>
  <c r="IB11" i="14"/>
  <c r="IE11" i="14" s="1"/>
  <c r="GJ4" i="14"/>
  <c r="GM4" i="14" s="1"/>
  <c r="IB15" i="14"/>
  <c r="IE15" i="14" s="1"/>
  <c r="DV4" i="14"/>
  <c r="DY4" i="14" s="1"/>
  <c r="ER12" i="14"/>
  <c r="EU12" i="14" s="1"/>
  <c r="HF5" i="14"/>
  <c r="HI5" i="14" s="1"/>
  <c r="IB16" i="14"/>
  <c r="IE16" i="14" s="1"/>
  <c r="IX28" i="14"/>
  <c r="JA28" i="14" s="1"/>
  <c r="LL32" i="14"/>
  <c r="LO32" i="14" s="1"/>
  <c r="LL10" i="14"/>
  <c r="LO10" i="14" s="1"/>
  <c r="LL17" i="14"/>
  <c r="LO17" i="14" s="1"/>
  <c r="FN7" i="4"/>
  <c r="FQ7" i="4" s="1"/>
  <c r="HF24" i="4"/>
  <c r="HI24" i="4" s="1"/>
  <c r="IX7" i="4"/>
  <c r="JA7" i="4" s="1"/>
  <c r="JT11" i="4"/>
  <c r="JW11" i="4" s="1"/>
  <c r="LL15" i="4"/>
  <c r="LO15" i="4" s="1"/>
  <c r="HF32" i="4"/>
  <c r="HI32" i="4" s="1"/>
  <c r="KP11" i="4"/>
  <c r="KS11" i="4" s="1"/>
  <c r="IB11" i="4"/>
  <c r="IE11" i="4" s="1"/>
  <c r="FN35" i="4"/>
  <c r="FQ35" i="4" s="1"/>
  <c r="FN32" i="4"/>
  <c r="FQ32" i="4" s="1"/>
  <c r="GJ10" i="4"/>
  <c r="GM10" i="4" s="1"/>
  <c r="GJ14" i="4"/>
  <c r="GM14" i="4" s="1"/>
  <c r="MH11" i="4"/>
  <c r="MK11" i="4" s="1"/>
  <c r="DV5" i="4"/>
  <c r="DV35" i="4"/>
  <c r="DV14" i="4"/>
  <c r="ER19" i="4"/>
  <c r="EU19" i="4" s="1"/>
  <c r="ER5" i="4"/>
  <c r="EU5" i="4" s="1"/>
  <c r="FN19" i="4"/>
  <c r="FQ19" i="4" s="1"/>
  <c r="GJ7" i="4"/>
  <c r="GM7" i="4" s="1"/>
  <c r="HF11" i="4"/>
  <c r="HI11" i="4" s="1"/>
  <c r="LL11" i="4"/>
  <c r="LO11" i="4" s="1"/>
  <c r="MH24" i="4"/>
  <c r="MK24" i="4" s="1"/>
  <c r="FN12" i="14"/>
  <c r="FQ12" i="14" s="1"/>
  <c r="FN10" i="14"/>
  <c r="FQ10" i="14" s="1"/>
  <c r="IB8" i="14"/>
  <c r="IE8" i="14" s="1"/>
  <c r="GJ14" i="14"/>
  <c r="GM14" i="14" s="1"/>
  <c r="GJ16" i="14"/>
  <c r="GM16" i="14" s="1"/>
  <c r="HF28" i="14"/>
  <c r="HI28" i="14" s="1"/>
  <c r="IX4" i="14"/>
  <c r="JA4" i="14" s="1"/>
  <c r="IX11" i="14"/>
  <c r="JA11" i="14" s="1"/>
  <c r="JT11" i="14"/>
  <c r="JW11" i="14" s="1"/>
  <c r="KP32" i="14"/>
  <c r="KS32" i="14" s="1"/>
  <c r="KP12" i="14"/>
  <c r="KS12" i="14" s="1"/>
  <c r="MH17" i="14"/>
  <c r="MK17" i="14" s="1"/>
  <c r="LL25" i="14"/>
  <c r="LO25" i="14" s="1"/>
  <c r="ER8" i="14"/>
  <c r="EU8" i="14" s="1"/>
  <c r="ER14" i="14"/>
  <c r="EU14" i="14" s="1"/>
  <c r="FN28" i="14"/>
  <c r="FQ28" i="14" s="1"/>
  <c r="GJ19" i="14"/>
  <c r="GM19" i="14" s="1"/>
  <c r="IX10" i="14"/>
  <c r="JA10" i="14" s="1"/>
  <c r="IX15" i="14"/>
  <c r="JA15" i="14" s="1"/>
  <c r="IX12" i="14"/>
  <c r="JA12" i="14" s="1"/>
  <c r="JT15" i="14"/>
  <c r="JW15" i="14" s="1"/>
  <c r="KP5" i="14"/>
  <c r="KS5" i="14" s="1"/>
  <c r="KP25" i="14"/>
  <c r="KS25" i="14" s="1"/>
  <c r="KP8" i="14"/>
  <c r="KS8" i="14" s="1"/>
  <c r="KP14" i="14"/>
  <c r="KS14" i="14" s="1"/>
  <c r="LL8" i="14"/>
  <c r="LO8" i="14" s="1"/>
  <c r="FN9" i="14"/>
  <c r="FQ9" i="14" s="1"/>
  <c r="HF9" i="14"/>
  <c r="HI9" i="14" s="1"/>
  <c r="IB19" i="14"/>
  <c r="IE19" i="14" s="1"/>
  <c r="IX9" i="14"/>
  <c r="JA9" i="14" s="1"/>
  <c r="KP4" i="14"/>
  <c r="KS4" i="14" s="1"/>
  <c r="LL12" i="14"/>
  <c r="LO12" i="14" s="1"/>
  <c r="MH10" i="14"/>
  <c r="MK10" i="14" s="1"/>
  <c r="MH32" i="14"/>
  <c r="MK32" i="14" s="1"/>
  <c r="MH15" i="14"/>
  <c r="MK15" i="14" s="1"/>
  <c r="DV28" i="14"/>
  <c r="DY28" i="14" s="1"/>
  <c r="DV19" i="14"/>
  <c r="DY19" i="14" s="1"/>
  <c r="ER4" i="14"/>
  <c r="EU4" i="14" s="1"/>
  <c r="ER11" i="14"/>
  <c r="EU11" i="14" s="1"/>
  <c r="FN32" i="14"/>
  <c r="FQ32" i="14" s="1"/>
  <c r="FN11" i="14"/>
  <c r="FQ11" i="14" s="1"/>
  <c r="HF32" i="14"/>
  <c r="HI32" i="14" s="1"/>
  <c r="HF11" i="14"/>
  <c r="HI11" i="14" s="1"/>
  <c r="IB32" i="14"/>
  <c r="IE32" i="14" s="1"/>
  <c r="IX32" i="14"/>
  <c r="JA32" i="14" s="1"/>
  <c r="JT12" i="14"/>
  <c r="JW12" i="14" s="1"/>
  <c r="KP15" i="14"/>
  <c r="KS15" i="14" s="1"/>
  <c r="MH25" i="14"/>
  <c r="MK25" i="14" s="1"/>
  <c r="DV32" i="14"/>
  <c r="DY32" i="14" s="1"/>
  <c r="DV12" i="14"/>
  <c r="DY12" i="14" s="1"/>
  <c r="ER10" i="14"/>
  <c r="EU10" i="14" s="1"/>
  <c r="ER32" i="14"/>
  <c r="EU32" i="14" s="1"/>
  <c r="ER15" i="14"/>
  <c r="EU15" i="14" s="1"/>
  <c r="FN17" i="14"/>
  <c r="FQ17" i="14" s="1"/>
  <c r="GJ5" i="14"/>
  <c r="GM5" i="14" s="1"/>
  <c r="GJ15" i="14"/>
  <c r="GM15" i="14" s="1"/>
  <c r="GJ12" i="14"/>
  <c r="GM12" i="14" s="1"/>
  <c r="HF15" i="14"/>
  <c r="HI15" i="14" s="1"/>
  <c r="IB5" i="14"/>
  <c r="IE5" i="14" s="1"/>
  <c r="IB17" i="14"/>
  <c r="IE17" i="14" s="1"/>
  <c r="JT5" i="14"/>
  <c r="JW5" i="14" s="1"/>
  <c r="JT17" i="14"/>
  <c r="JW17" i="14" s="1"/>
  <c r="JT25" i="14"/>
  <c r="JW25" i="14" s="1"/>
  <c r="MH8" i="14"/>
  <c r="MK8" i="14" s="1"/>
  <c r="MH14" i="14"/>
  <c r="MK14" i="14" s="1"/>
  <c r="MH16" i="14"/>
  <c r="MK16" i="14" s="1"/>
  <c r="ER5" i="14"/>
  <c r="EU5" i="14" s="1"/>
  <c r="ER25" i="14"/>
  <c r="EU25" i="14" s="1"/>
  <c r="FN25" i="14"/>
  <c r="FQ25" i="14" s="1"/>
  <c r="GJ17" i="14"/>
  <c r="GM17" i="14" s="1"/>
  <c r="DV5" i="14"/>
  <c r="DY5" i="14" s="1"/>
  <c r="DV17" i="14"/>
  <c r="DY17" i="14" s="1"/>
  <c r="FN8" i="14"/>
  <c r="FQ8" i="14" s="1"/>
  <c r="IB14" i="14"/>
  <c r="IE14" i="14" s="1"/>
  <c r="IX8" i="14"/>
  <c r="JA8" i="14" s="1"/>
  <c r="IX14" i="14"/>
  <c r="JA14" i="14" s="1"/>
  <c r="IX16" i="14"/>
  <c r="JA16" i="14" s="1"/>
  <c r="LL28" i="14"/>
  <c r="LO28" i="14" s="1"/>
  <c r="MH19" i="14"/>
  <c r="MK19" i="14" s="1"/>
  <c r="DV27" i="4"/>
  <c r="ER32" i="4"/>
  <c r="EU32" i="4" s="1"/>
  <c r="GJ34" i="4"/>
  <c r="GM34" i="4" s="1"/>
  <c r="GJ11" i="4"/>
  <c r="GM11" i="4" s="1"/>
  <c r="HF5" i="4"/>
  <c r="HI5" i="4" s="1"/>
  <c r="HF35" i="4"/>
  <c r="HI35" i="4" s="1"/>
  <c r="JT5" i="4"/>
  <c r="JW5" i="4" s="1"/>
  <c r="JT35" i="4"/>
  <c r="JW35" i="4" s="1"/>
  <c r="JT32" i="4"/>
  <c r="JW32" i="4" s="1"/>
  <c r="KP10" i="4"/>
  <c r="KS10" i="4" s="1"/>
  <c r="KP14" i="4"/>
  <c r="KS14" i="4" s="1"/>
  <c r="DV10" i="4"/>
  <c r="FN5" i="4"/>
  <c r="FQ5" i="4" s="1"/>
  <c r="IB10" i="4"/>
  <c r="IE10" i="4" s="1"/>
  <c r="IB14" i="4"/>
  <c r="IE14" i="4" s="1"/>
  <c r="KP5" i="4"/>
  <c r="KS5" i="4" s="1"/>
  <c r="KP35" i="4"/>
  <c r="KS35" i="4" s="1"/>
  <c r="KP32" i="4"/>
  <c r="KS32" i="4" s="1"/>
  <c r="LL10" i="4"/>
  <c r="LO10" i="4" s="1"/>
  <c r="LL14" i="4"/>
  <c r="LO14" i="4" s="1"/>
  <c r="IB5" i="4"/>
  <c r="IE5" i="4" s="1"/>
  <c r="IB35" i="4"/>
  <c r="IE35" i="4" s="1"/>
  <c r="LL9" i="4"/>
  <c r="LO9" i="4" s="1"/>
  <c r="LL24" i="4"/>
  <c r="LO24" i="4" s="1"/>
  <c r="CX14" i="4"/>
  <c r="DA14" i="4" s="1"/>
  <c r="ER10" i="4"/>
  <c r="EU10" i="4" s="1"/>
  <c r="ER15" i="4"/>
  <c r="EU15" i="4" s="1"/>
  <c r="FN11" i="4"/>
  <c r="FQ11" i="4" s="1"/>
  <c r="GJ9" i="4"/>
  <c r="GM9" i="4" s="1"/>
  <c r="HF19" i="4"/>
  <c r="HI19" i="4" s="1"/>
  <c r="IB34" i="4"/>
  <c r="IE34" i="4" s="1"/>
  <c r="IX24" i="4"/>
  <c r="JA24" i="4" s="1"/>
  <c r="JT19" i="4"/>
  <c r="JW19" i="4" s="1"/>
  <c r="ER9" i="4"/>
  <c r="EU9" i="4" s="1"/>
  <c r="ER24" i="4"/>
  <c r="EU24" i="4" s="1"/>
  <c r="ER14" i="4"/>
  <c r="EU14" i="4" s="1"/>
  <c r="FN34" i="4"/>
  <c r="FQ34" i="4" s="1"/>
  <c r="GJ5" i="4"/>
  <c r="GM5" i="4" s="1"/>
  <c r="GJ35" i="4"/>
  <c r="GM35" i="4" s="1"/>
  <c r="GJ32" i="4"/>
  <c r="GM32" i="4" s="1"/>
  <c r="IX5" i="4"/>
  <c r="JA5" i="4" s="1"/>
  <c r="IX32" i="4"/>
  <c r="JA32" i="4" s="1"/>
  <c r="MH5" i="4"/>
  <c r="MK5" i="4" s="1"/>
  <c r="MH35" i="4"/>
  <c r="MK35" i="4" s="1"/>
  <c r="DV24" i="4"/>
  <c r="DV15" i="4"/>
  <c r="ER34" i="4"/>
  <c r="EU34" i="4" s="1"/>
  <c r="FN27" i="4"/>
  <c r="FQ27" i="4" s="1"/>
  <c r="FN15" i="4"/>
  <c r="FQ15" i="4" s="1"/>
  <c r="HF27" i="4"/>
  <c r="HI27" i="4" s="1"/>
  <c r="HF7" i="4"/>
  <c r="HI7" i="4" s="1"/>
  <c r="IB19" i="4"/>
  <c r="IE19" i="4" s="1"/>
  <c r="IX35" i="4"/>
  <c r="JA35" i="4" s="1"/>
  <c r="JT27" i="4"/>
  <c r="JW27" i="4" s="1"/>
  <c r="JT7" i="4"/>
  <c r="JW7" i="4" s="1"/>
  <c r="KP24" i="4"/>
  <c r="KS24" i="4" s="1"/>
  <c r="KP15" i="4"/>
  <c r="KS15" i="4" s="1"/>
  <c r="LL34" i="4"/>
  <c r="LO34" i="4" s="1"/>
  <c r="MH9" i="4"/>
  <c r="MK9" i="4" s="1"/>
  <c r="MH19" i="4"/>
  <c r="MK19" i="4" s="1"/>
  <c r="ER27" i="4"/>
  <c r="EU27" i="4" s="1"/>
  <c r="ER7" i="4"/>
  <c r="EU7" i="4" s="1"/>
  <c r="FN9" i="4"/>
  <c r="FQ9" i="4" s="1"/>
  <c r="FN10" i="4"/>
  <c r="FQ10" i="4" s="1"/>
  <c r="GJ27" i="4"/>
  <c r="GM27" i="4" s="1"/>
  <c r="HF9" i="4"/>
  <c r="HI9" i="4" s="1"/>
  <c r="HF10" i="4"/>
  <c r="HI10" i="4" s="1"/>
  <c r="HF15" i="4"/>
  <c r="HI15" i="4" s="1"/>
  <c r="IB24" i="4"/>
  <c r="IE24" i="4" s="1"/>
  <c r="IB15" i="4"/>
  <c r="IE15" i="4" s="1"/>
  <c r="IX34" i="4"/>
  <c r="JA34" i="4" s="1"/>
  <c r="JT9" i="4"/>
  <c r="JW9" i="4" s="1"/>
  <c r="JT10" i="4"/>
  <c r="JW10" i="4" s="1"/>
  <c r="JT15" i="4"/>
  <c r="JW15" i="4" s="1"/>
  <c r="LL27" i="4"/>
  <c r="LO27" i="4" s="1"/>
  <c r="LL7" i="4"/>
  <c r="LO7" i="4" s="1"/>
  <c r="DV34" i="4"/>
  <c r="DV32" i="4"/>
  <c r="HF14" i="4"/>
  <c r="HI14" i="4" s="1"/>
  <c r="JT14" i="4"/>
  <c r="JW14" i="4" s="1"/>
  <c r="GJ19" i="4"/>
  <c r="GM19" i="4" s="1"/>
  <c r="IB27" i="4"/>
  <c r="IE27" i="4" s="1"/>
  <c r="IX27" i="4"/>
  <c r="JA27" i="4" s="1"/>
  <c r="KP27" i="4"/>
  <c r="KS27" i="4" s="1"/>
  <c r="IX19" i="4"/>
  <c r="JA19" i="4" s="1"/>
  <c r="OG14" i="4"/>
  <c r="DV9" i="4"/>
  <c r="DV19" i="4"/>
  <c r="ER35" i="4"/>
  <c r="EU35" i="4" s="1"/>
  <c r="FN24" i="4"/>
  <c r="FQ24" i="4" s="1"/>
  <c r="FN14" i="4"/>
  <c r="FQ14" i="4" s="1"/>
  <c r="GJ24" i="4"/>
  <c r="GM24" i="4" s="1"/>
  <c r="GJ15" i="4"/>
  <c r="GM15" i="4" s="1"/>
  <c r="HF34" i="4"/>
  <c r="HI34" i="4" s="1"/>
  <c r="IB9" i="4"/>
  <c r="IE9" i="4" s="1"/>
  <c r="IX9" i="4"/>
  <c r="JA9" i="4" s="1"/>
  <c r="IX10" i="4"/>
  <c r="JA10" i="4" s="1"/>
  <c r="IX15" i="4"/>
  <c r="JA15" i="4" s="1"/>
  <c r="JT34" i="4"/>
  <c r="JW34" i="4" s="1"/>
  <c r="KP9" i="4"/>
  <c r="KS9" i="4" s="1"/>
  <c r="KP19" i="4"/>
  <c r="KS19" i="4" s="1"/>
  <c r="KP7" i="4"/>
  <c r="KS7" i="4" s="1"/>
  <c r="LL35" i="4"/>
  <c r="LO35" i="4" s="1"/>
  <c r="MH27" i="4"/>
  <c r="MK27" i="4" s="1"/>
  <c r="MH34" i="4"/>
  <c r="MK34" i="4" s="1"/>
  <c r="ER16" i="14"/>
  <c r="EU16" i="14" s="1"/>
  <c r="IX25" i="14"/>
  <c r="JA25" i="14" s="1"/>
  <c r="LL16" i="14"/>
  <c r="LO16" i="14" s="1"/>
  <c r="OG25" i="14"/>
  <c r="DV10" i="14"/>
  <c r="DY10" i="14" s="1"/>
  <c r="ER9" i="14"/>
  <c r="EU9" i="14" s="1"/>
  <c r="ER28" i="14"/>
  <c r="EU28" i="14" s="1"/>
  <c r="FN14" i="14"/>
  <c r="FQ14" i="14" s="1"/>
  <c r="FN16" i="14"/>
  <c r="FQ16" i="14" s="1"/>
  <c r="GJ8" i="14"/>
  <c r="GM8" i="14" s="1"/>
  <c r="GJ25" i="14"/>
  <c r="GM25" i="14" s="1"/>
  <c r="IB4" i="14"/>
  <c r="IE4" i="14" s="1"/>
  <c r="IX19" i="14"/>
  <c r="JA19" i="14" s="1"/>
  <c r="JT8" i="14"/>
  <c r="JW8" i="14" s="1"/>
  <c r="KP10" i="14"/>
  <c r="KS10" i="14" s="1"/>
  <c r="KP11" i="14"/>
  <c r="KS11" i="14" s="1"/>
  <c r="MH5" i="14"/>
  <c r="MK5" i="14" s="1"/>
  <c r="DV15" i="14"/>
  <c r="DY15" i="14" s="1"/>
  <c r="DV11" i="14"/>
  <c r="DY11" i="14" s="1"/>
  <c r="FN4" i="14"/>
  <c r="FQ4" i="14" s="1"/>
  <c r="FN19" i="14"/>
  <c r="FQ19" i="14" s="1"/>
  <c r="GJ9" i="14"/>
  <c r="GM9" i="14" s="1"/>
  <c r="GJ28" i="14"/>
  <c r="GM28" i="14" s="1"/>
  <c r="HF8" i="14"/>
  <c r="HI8" i="14" s="1"/>
  <c r="HF17" i="14"/>
  <c r="HI17" i="14" s="1"/>
  <c r="IB9" i="14"/>
  <c r="IE9" i="14" s="1"/>
  <c r="IB25" i="14"/>
  <c r="IE25" i="14" s="1"/>
  <c r="IX5" i="14"/>
  <c r="JA5" i="14" s="1"/>
  <c r="JT9" i="14"/>
  <c r="JW9" i="14" s="1"/>
  <c r="JT28" i="14"/>
  <c r="JW28" i="14" s="1"/>
  <c r="JT14" i="14"/>
  <c r="JW14" i="14" s="1"/>
  <c r="JT16" i="14"/>
  <c r="JW16" i="14" s="1"/>
  <c r="KP17" i="14"/>
  <c r="KS17" i="14" s="1"/>
  <c r="LL5" i="14"/>
  <c r="LO5" i="14" s="1"/>
  <c r="LL11" i="14"/>
  <c r="LO11" i="14" s="1"/>
  <c r="MH9" i="14"/>
  <c r="MK9" i="14" s="1"/>
  <c r="HF16" i="14"/>
  <c r="HI16" i="14" s="1"/>
  <c r="IX17" i="14"/>
  <c r="JA17" i="14" s="1"/>
  <c r="JT19" i="14"/>
  <c r="JW19" i="14" s="1"/>
  <c r="KP16" i="14"/>
  <c r="KS16" i="14" s="1"/>
  <c r="DV9" i="14"/>
  <c r="DY9" i="14" s="1"/>
  <c r="DV14" i="14"/>
  <c r="DY14" i="14" s="1"/>
  <c r="DV16" i="14"/>
  <c r="DY16" i="14" s="1"/>
  <c r="DV25" i="14"/>
  <c r="DY25" i="14" s="1"/>
  <c r="ER17" i="14"/>
  <c r="EU17" i="14" s="1"/>
  <c r="FN5" i="14"/>
  <c r="FQ5" i="14" s="1"/>
  <c r="FN15" i="14"/>
  <c r="FQ15" i="14" s="1"/>
  <c r="GJ10" i="14"/>
  <c r="GM10" i="14" s="1"/>
  <c r="GJ11" i="14"/>
  <c r="GM11" i="14" s="1"/>
  <c r="HF4" i="14"/>
  <c r="HI4" i="14" s="1"/>
  <c r="HF25" i="14"/>
  <c r="HI25" i="14" s="1"/>
  <c r="JT10" i="14"/>
  <c r="JW10" i="14" s="1"/>
  <c r="KP9" i="14"/>
  <c r="KS9" i="14" s="1"/>
  <c r="KP28" i="14"/>
  <c r="KS28" i="14" s="1"/>
  <c r="LL15" i="14"/>
  <c r="LO15" i="14" s="1"/>
  <c r="ND25" i="14"/>
  <c r="NG25" i="14" s="1"/>
  <c r="CX14" i="14"/>
  <c r="DA14" i="14" s="1"/>
  <c r="ND19" i="14"/>
  <c r="NG19" i="14" s="1"/>
  <c r="CX19" i="14"/>
  <c r="DA19" i="14" s="1"/>
  <c r="CX12" i="14"/>
  <c r="DA12" i="14" s="1"/>
  <c r="CX25" i="14"/>
  <c r="DA25" i="14" s="1"/>
  <c r="OG14" i="14"/>
  <c r="ND14" i="4"/>
  <c r="NG14" i="4" s="1"/>
  <c r="OE25" i="14"/>
  <c r="OC25" i="14"/>
  <c r="I25" i="14"/>
  <c r="K25" i="14"/>
  <c r="ND12" i="14"/>
  <c r="NG12" i="14" s="1"/>
  <c r="OG12" i="14"/>
  <c r="OE12" i="14"/>
  <c r="OC12" i="14"/>
  <c r="I12" i="14"/>
  <c r="K12" i="14"/>
  <c r="OG19" i="14"/>
  <c r="OE19" i="14"/>
  <c r="OC19" i="14"/>
  <c r="I19" i="14"/>
  <c r="K19" i="14"/>
  <c r="ND14" i="14"/>
  <c r="NG14" i="14" s="1"/>
  <c r="OE14" i="14"/>
  <c r="OC14" i="14"/>
  <c r="K14" i="14"/>
  <c r="I14" i="14"/>
  <c r="OE14" i="4"/>
  <c r="OC14" i="4"/>
  <c r="I14" i="4"/>
  <c r="K14" i="4"/>
  <c r="H19" i="14" l="1"/>
  <c r="OK30" i="4"/>
  <c r="M22" i="14"/>
  <c r="N22" i="14" s="1"/>
  <c r="DC19" i="14"/>
  <c r="DB19" i="14"/>
  <c r="DC14" i="14"/>
  <c r="DB14" i="14"/>
  <c r="DC12" i="14"/>
  <c r="DB12" i="14"/>
  <c r="DC25" i="14"/>
  <c r="DB25" i="14"/>
  <c r="M36" i="4"/>
  <c r="O36" i="4" s="1"/>
  <c r="DB14" i="4"/>
  <c r="DC14" i="4"/>
  <c r="N33" i="4"/>
  <c r="O33" i="4"/>
  <c r="H25" i="14"/>
  <c r="A25" i="14" a="1"/>
  <c r="A25" i="14" s="1"/>
  <c r="H12" i="14"/>
  <c r="A14" i="14" a="1"/>
  <c r="A14" i="14" s="1"/>
  <c r="A19" i="14" a="1"/>
  <c r="A19" i="14" s="1"/>
  <c r="H14" i="4"/>
  <c r="A14" i="4" a="1"/>
  <c r="A14" i="4" s="1"/>
  <c r="DY10" i="4"/>
  <c r="DY7" i="4"/>
  <c r="DY24" i="4"/>
  <c r="DY14" i="4"/>
  <c r="DY27" i="4"/>
  <c r="DY35" i="4"/>
  <c r="DY34" i="4"/>
  <c r="DY19" i="4"/>
  <c r="DY5" i="4"/>
  <c r="DY11" i="4"/>
  <c r="DY9" i="4"/>
  <c r="DY32" i="4"/>
  <c r="DY15" i="4"/>
  <c r="E33" i="4"/>
  <c r="J14" i="4"/>
  <c r="M7" i="14"/>
  <c r="M6" i="14"/>
  <c r="M24" i="14"/>
  <c r="M31" i="14"/>
  <c r="M18" i="14"/>
  <c r="M30" i="4"/>
  <c r="M28" i="4"/>
  <c r="OH19" i="14"/>
  <c r="OH25" i="14"/>
  <c r="OK25" i="14" s="1"/>
  <c r="J25" i="14"/>
  <c r="L25" i="14"/>
  <c r="J12" i="14"/>
  <c r="OH12" i="14"/>
  <c r="L12" i="14"/>
  <c r="J19" i="14"/>
  <c r="L19" i="14"/>
  <c r="OH14" i="14"/>
  <c r="L14" i="14"/>
  <c r="J14" i="14"/>
  <c r="OH14" i="4"/>
  <c r="L14" i="4"/>
  <c r="CS35" i="4"/>
  <c r="CT35" i="4"/>
  <c r="CU35" i="4"/>
  <c r="CV35" i="4"/>
  <c r="CW35" i="4"/>
  <c r="CY35" i="4"/>
  <c r="CZ35" i="4"/>
  <c r="NA35" i="4"/>
  <c r="NB35" i="4"/>
  <c r="NC35" i="4"/>
  <c r="NE35" i="4"/>
  <c r="NF35" i="4"/>
  <c r="NH35" i="4"/>
  <c r="NI35" i="4"/>
  <c r="NJ35" i="4"/>
  <c r="NK35" i="4"/>
  <c r="NL35" i="4"/>
  <c r="NM35" i="4"/>
  <c r="NN35" i="4"/>
  <c r="NO35" i="4"/>
  <c r="OD35" i="4" s="1"/>
  <c r="NP35" i="4"/>
  <c r="NQ35" i="4"/>
  <c r="NR35" i="4"/>
  <c r="NS35" i="4"/>
  <c r="NT35" i="4"/>
  <c r="OF35" i="4" s="1"/>
  <c r="NU35" i="4"/>
  <c r="NV35" i="4"/>
  <c r="NW35" i="4"/>
  <c r="NX35" i="4"/>
  <c r="NY35" i="4"/>
  <c r="OI35" i="4" s="1"/>
  <c r="NZ35" i="4"/>
  <c r="OA35" i="4"/>
  <c r="CS9" i="4"/>
  <c r="CT9" i="4"/>
  <c r="CU9" i="4"/>
  <c r="CV9" i="4"/>
  <c r="CW9" i="4"/>
  <c r="CY9" i="4"/>
  <c r="CZ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5" i="14"/>
  <c r="CT5" i="14"/>
  <c r="CU5" i="14"/>
  <c r="CV5" i="14"/>
  <c r="CW5" i="14"/>
  <c r="CY5" i="14"/>
  <c r="CZ5" i="14"/>
  <c r="NA5" i="14"/>
  <c r="NB5" i="14"/>
  <c r="NC5" i="14"/>
  <c r="NE5" i="14"/>
  <c r="NF5" i="14"/>
  <c r="NH5" i="14"/>
  <c r="NI5" i="14"/>
  <c r="NJ5" i="14"/>
  <c r="NK5" i="14"/>
  <c r="NL5" i="14"/>
  <c r="NM5" i="14"/>
  <c r="NN5" i="14"/>
  <c r="NO5" i="14"/>
  <c r="OD5" i="14" s="1"/>
  <c r="NP5" i="14"/>
  <c r="NQ5" i="14"/>
  <c r="NR5" i="14"/>
  <c r="NS5" i="14"/>
  <c r="NT5" i="14"/>
  <c r="OF5" i="14" s="1"/>
  <c r="NU5" i="14"/>
  <c r="NV5" i="14"/>
  <c r="NW5" i="14"/>
  <c r="NX5" i="14"/>
  <c r="NY5" i="14"/>
  <c r="OI5" i="14" s="1"/>
  <c r="NZ5" i="14"/>
  <c r="OA5" i="14"/>
  <c r="OJ25" i="4" l="1"/>
  <c r="E22" i="14"/>
  <c r="O22" i="14"/>
  <c r="M12" i="14"/>
  <c r="O12" i="14" s="1"/>
  <c r="M25" i="14"/>
  <c r="O25" i="14" s="1"/>
  <c r="M19" i="14"/>
  <c r="E19" i="14" s="1"/>
  <c r="E18" i="14"/>
  <c r="O18" i="14"/>
  <c r="N18" i="14"/>
  <c r="O31" i="14"/>
  <c r="N31" i="14"/>
  <c r="E7" i="14"/>
  <c r="O7" i="14"/>
  <c r="N7" i="14"/>
  <c r="O24" i="14"/>
  <c r="N24" i="14"/>
  <c r="E6" i="14"/>
  <c r="O6" i="14"/>
  <c r="N6" i="14"/>
  <c r="E36" i="4"/>
  <c r="N36" i="4"/>
  <c r="N28" i="4"/>
  <c r="O28" i="4"/>
  <c r="N30" i="4"/>
  <c r="O30" i="4"/>
  <c r="E28" i="4"/>
  <c r="F5" i="4"/>
  <c r="F9" i="4"/>
  <c r="G5" i="4"/>
  <c r="G9" i="4"/>
  <c r="G35" i="4"/>
  <c r="F5" i="14"/>
  <c r="G5" i="14"/>
  <c r="F35" i="4"/>
  <c r="E30" i="4"/>
  <c r="E24" i="14"/>
  <c r="E31" i="14"/>
  <c r="M14" i="4"/>
  <c r="E25" i="14"/>
  <c r="E12" i="14"/>
  <c r="M14" i="14"/>
  <c r="ND35" i="4"/>
  <c r="OG35" i="4"/>
  <c r="CX35" i="4"/>
  <c r="DA35" i="4" s="1"/>
  <c r="OE35" i="4"/>
  <c r="OC35" i="4"/>
  <c r="I35" i="4"/>
  <c r="K35" i="4"/>
  <c r="ND9" i="4"/>
  <c r="CX5" i="14"/>
  <c r="DA5" i="14" s="1"/>
  <c r="CX9" i="4"/>
  <c r="DA9" i="4" s="1"/>
  <c r="OG9" i="4"/>
  <c r="K9" i="4"/>
  <c r="OE9" i="4"/>
  <c r="OC9" i="4"/>
  <c r="I9" i="4"/>
  <c r="CX5" i="4"/>
  <c r="DA5" i="4" s="1"/>
  <c r="ND5" i="4"/>
  <c r="OG5" i="4"/>
  <c r="OE5" i="4"/>
  <c r="OC5" i="4"/>
  <c r="K5" i="4"/>
  <c r="I5" i="4"/>
  <c r="ND5" i="14"/>
  <c r="NG5" i="14" s="1"/>
  <c r="OG5" i="14"/>
  <c r="OE5" i="14"/>
  <c r="OC5" i="14"/>
  <c r="K5" i="14"/>
  <c r="I5" i="14"/>
  <c r="H5" i="4" l="1"/>
  <c r="N25" i="14"/>
  <c r="N12" i="14"/>
  <c r="O19" i="14"/>
  <c r="N19" i="14"/>
  <c r="H35" i="4"/>
  <c r="DC5" i="14"/>
  <c r="DB5" i="14"/>
  <c r="E14" i="14"/>
  <c r="N14" i="14"/>
  <c r="O14" i="14"/>
  <c r="DB35" i="4"/>
  <c r="DC35" i="4"/>
  <c r="DC5" i="4"/>
  <c r="DB5" i="4"/>
  <c r="DC9" i="4"/>
  <c r="DB9" i="4"/>
  <c r="O14" i="4"/>
  <c r="N14" i="4"/>
  <c r="H9" i="4"/>
  <c r="H5" i="14"/>
  <c r="NG5" i="4"/>
  <c r="NG9" i="4"/>
  <c r="NG35" i="4"/>
  <c r="E14" i="4"/>
  <c r="J35" i="4"/>
  <c r="OH35" i="4"/>
  <c r="L35" i="4"/>
  <c r="OH9" i="4"/>
  <c r="L9" i="4"/>
  <c r="J9" i="4"/>
  <c r="OH5" i="4"/>
  <c r="L5" i="4"/>
  <c r="J5" i="4"/>
  <c r="OH5" i="14"/>
  <c r="L5" i="14"/>
  <c r="J5" i="14"/>
  <c r="OK25" i="4" l="1"/>
  <c r="M9" i="4"/>
  <c r="O9" i="4" s="1"/>
  <c r="M5" i="4"/>
  <c r="E5" i="4" s="1"/>
  <c r="M35" i="4"/>
  <c r="M5" i="14"/>
  <c r="E9" i="4" l="1"/>
  <c r="N9" i="4"/>
  <c r="N5" i="4"/>
  <c r="O5" i="4"/>
  <c r="E5" i="14"/>
  <c r="O5" i="14"/>
  <c r="N5" i="14"/>
  <c r="N35" i="4"/>
  <c r="O35" i="4"/>
  <c r="E35" i="4"/>
  <c r="CS28" i="14" l="1"/>
  <c r="CT28" i="14"/>
  <c r="CU28" i="14"/>
  <c r="CV28" i="14"/>
  <c r="CW28" i="14"/>
  <c r="CY28" i="14"/>
  <c r="CZ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CS17" i="14"/>
  <c r="CT17" i="14"/>
  <c r="CU17" i="14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NU17" i="14"/>
  <c r="NV17" i="14"/>
  <c r="NW17" i="14"/>
  <c r="NX17" i="14"/>
  <c r="NY17" i="14"/>
  <c r="OI17" i="14" s="1"/>
  <c r="NZ17" i="14"/>
  <c r="OA17" i="14"/>
  <c r="OF17" i="1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32" i="14"/>
  <c r="CT32" i="14"/>
  <c r="CU32" i="14"/>
  <c r="CV32" i="14"/>
  <c r="CW32" i="14"/>
  <c r="CY32" i="14"/>
  <c r="CZ32" i="14"/>
  <c r="NA32" i="14"/>
  <c r="NB32" i="14"/>
  <c r="NC32" i="14"/>
  <c r="NE32" i="14"/>
  <c r="NF32" i="14"/>
  <c r="NH32" i="14"/>
  <c r="NI32" i="14"/>
  <c r="NJ32" i="14"/>
  <c r="NK32" i="14"/>
  <c r="NL32" i="14"/>
  <c r="NM32" i="14"/>
  <c r="NN32" i="14"/>
  <c r="NO32" i="14"/>
  <c r="OD32" i="14" s="1"/>
  <c r="NP32" i="14"/>
  <c r="NQ32" i="14"/>
  <c r="NR32" i="14"/>
  <c r="NS32" i="14"/>
  <c r="NT32" i="14"/>
  <c r="OF32" i="14" s="1"/>
  <c r="NU32" i="14"/>
  <c r="NV32" i="14"/>
  <c r="NW32" i="14"/>
  <c r="NX32" i="14"/>
  <c r="NY32" i="14"/>
  <c r="OI32" i="14" s="1"/>
  <c r="NZ32" i="14"/>
  <c r="OA32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24" i="4"/>
  <c r="CT24" i="4"/>
  <c r="CU24" i="4"/>
  <c r="CV24" i="4"/>
  <c r="CW24" i="4"/>
  <c r="CY24" i="4"/>
  <c r="CZ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34" i="4"/>
  <c r="CT34" i="4"/>
  <c r="CU34" i="4"/>
  <c r="CV34" i="4"/>
  <c r="CW34" i="4"/>
  <c r="CY34" i="4"/>
  <c r="CZ34" i="4"/>
  <c r="NA34" i="4"/>
  <c r="NB34" i="4"/>
  <c r="NC34" i="4"/>
  <c r="NE34" i="4"/>
  <c r="NF34" i="4"/>
  <c r="NH34" i="4"/>
  <c r="NI34" i="4"/>
  <c r="NJ34" i="4"/>
  <c r="NK34" i="4"/>
  <c r="NL34" i="4"/>
  <c r="NM34" i="4"/>
  <c r="NN34" i="4"/>
  <c r="NO34" i="4"/>
  <c r="OD34" i="4" s="1"/>
  <c r="NP34" i="4"/>
  <c r="NQ34" i="4"/>
  <c r="NR34" i="4"/>
  <c r="NS34" i="4"/>
  <c r="NT34" i="4"/>
  <c r="OF34" i="4" s="1"/>
  <c r="NU34" i="4"/>
  <c r="NV34" i="4"/>
  <c r="NW34" i="4"/>
  <c r="NX34" i="4"/>
  <c r="NY34" i="4"/>
  <c r="OI34" i="4" s="1"/>
  <c r="NZ34" i="4"/>
  <c r="OA34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15" i="14"/>
  <c r="NZ15" i="14"/>
  <c r="NY15" i="14"/>
  <c r="OI15" i="14" s="1"/>
  <c r="NX15" i="14"/>
  <c r="NW15" i="14"/>
  <c r="NV15" i="14"/>
  <c r="NU15" i="14"/>
  <c r="NT15" i="14"/>
  <c r="OF15" i="14" s="1"/>
  <c r="NS15" i="14"/>
  <c r="NR15" i="14"/>
  <c r="NQ15" i="14"/>
  <c r="NP15" i="14"/>
  <c r="NO15" i="14"/>
  <c r="OD15" i="14" s="1"/>
  <c r="NN15" i="14"/>
  <c r="NM15" i="14"/>
  <c r="NL15" i="14"/>
  <c r="NK15" i="14"/>
  <c r="NJ15" i="14"/>
  <c r="NI15" i="14"/>
  <c r="NH15" i="14"/>
  <c r="NF15" i="14"/>
  <c r="NE15" i="14"/>
  <c r="NC15" i="14"/>
  <c r="NB15" i="14"/>
  <c r="NA15" i="14"/>
  <c r="CZ15" i="14"/>
  <c r="CY15" i="14"/>
  <c r="CW15" i="14"/>
  <c r="CV15" i="14"/>
  <c r="CU15" i="14"/>
  <c r="CT15" i="14"/>
  <c r="CS15" i="14"/>
  <c r="OA4" i="14"/>
  <c r="NZ4" i="14"/>
  <c r="NY4" i="14"/>
  <c r="OI4" i="14" s="1"/>
  <c r="NX4" i="14"/>
  <c r="NW4" i="14"/>
  <c r="NV4" i="14"/>
  <c r="NU4" i="14"/>
  <c r="NT4" i="14"/>
  <c r="OF4" i="14" s="1"/>
  <c r="NS4" i="14"/>
  <c r="NR4" i="14"/>
  <c r="NQ4" i="14"/>
  <c r="NP4" i="14"/>
  <c r="NO4" i="14"/>
  <c r="OD4" i="14" s="1"/>
  <c r="NN4" i="14"/>
  <c r="NM4" i="14"/>
  <c r="NL4" i="14"/>
  <c r="NK4" i="14"/>
  <c r="NJ4" i="14"/>
  <c r="NI4" i="14"/>
  <c r="NH4" i="14"/>
  <c r="NF4" i="14"/>
  <c r="NE4" i="14"/>
  <c r="NC4" i="14"/>
  <c r="NB4" i="14"/>
  <c r="NA4" i="14"/>
  <c r="CZ4" i="14"/>
  <c r="CY4" i="14"/>
  <c r="CW4" i="14"/>
  <c r="CV4" i="14"/>
  <c r="CU4" i="14"/>
  <c r="CT4" i="14"/>
  <c r="CS4" i="14"/>
  <c r="OA8" i="14"/>
  <c r="NZ8" i="14"/>
  <c r="NY8" i="14"/>
  <c r="OI8" i="14" s="1"/>
  <c r="NX8" i="14"/>
  <c r="NW8" i="14"/>
  <c r="NV8" i="14"/>
  <c r="NU8" i="14"/>
  <c r="NT8" i="14"/>
  <c r="OF8" i="14" s="1"/>
  <c r="NS8" i="14"/>
  <c r="NR8" i="14"/>
  <c r="NQ8" i="14"/>
  <c r="NP8" i="14"/>
  <c r="NO8" i="14"/>
  <c r="OD8" i="14" s="1"/>
  <c r="NN8" i="14"/>
  <c r="NM8" i="14"/>
  <c r="NL8" i="14"/>
  <c r="NK8" i="14"/>
  <c r="NJ8" i="14"/>
  <c r="NI8" i="14"/>
  <c r="NH8" i="14"/>
  <c r="NF8" i="14"/>
  <c r="NE8" i="14"/>
  <c r="NC8" i="14"/>
  <c r="NB8" i="14"/>
  <c r="NA8" i="14"/>
  <c r="CZ8" i="14"/>
  <c r="CY8" i="14"/>
  <c r="CW8" i="14"/>
  <c r="CV8" i="14"/>
  <c r="CU8" i="14"/>
  <c r="G8" i="14" s="1"/>
  <c r="CT8" i="14"/>
  <c r="CS8" i="14"/>
  <c r="NR10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NL32" i="4"/>
  <c r="NM32" i="4"/>
  <c r="NN32" i="4"/>
  <c r="NO32" i="4"/>
  <c r="OD32" i="4" s="1"/>
  <c r="NP32" i="4"/>
  <c r="NQ32" i="4"/>
  <c r="NR32" i="4"/>
  <c r="NS32" i="4"/>
  <c r="NT32" i="4"/>
  <c r="OF32" i="4" s="1"/>
  <c r="NU32" i="4"/>
  <c r="NV32" i="4"/>
  <c r="NW32" i="4"/>
  <c r="NX32" i="4"/>
  <c r="NY32" i="4"/>
  <c r="OI32" i="4" s="1"/>
  <c r="NZ32" i="4"/>
  <c r="OA32" i="4"/>
  <c r="NM10" i="4"/>
  <c r="NN10" i="4"/>
  <c r="NO10" i="4"/>
  <c r="OD10" i="4" s="1"/>
  <c r="NP10" i="4"/>
  <c r="NQ10" i="4"/>
  <c r="NS10" i="4"/>
  <c r="NT10" i="4"/>
  <c r="OF10" i="4" s="1"/>
  <c r="NU10" i="4"/>
  <c r="NV10" i="4"/>
  <c r="NW10" i="4"/>
  <c r="NX10" i="4"/>
  <c r="NY10" i="4"/>
  <c r="OI10" i="4" s="1"/>
  <c r="NZ10" i="4"/>
  <c r="OA10" i="4"/>
  <c r="CS27" i="4"/>
  <c r="CT27" i="4"/>
  <c r="CU27" i="4"/>
  <c r="CV27" i="4"/>
  <c r="CW27" i="4"/>
  <c r="CY27" i="4"/>
  <c r="CZ27" i="4"/>
  <c r="CS7" i="4"/>
  <c r="CT7" i="4"/>
  <c r="CU7" i="4"/>
  <c r="CV7" i="4"/>
  <c r="CW7" i="4"/>
  <c r="CY7" i="4"/>
  <c r="CZ7" i="4"/>
  <c r="CS15" i="4"/>
  <c r="CT15" i="4"/>
  <c r="CU15" i="4"/>
  <c r="CV15" i="4"/>
  <c r="CW15" i="4"/>
  <c r="CY15" i="4"/>
  <c r="CZ15" i="4"/>
  <c r="CS11" i="4"/>
  <c r="CT11" i="4"/>
  <c r="CU11" i="4"/>
  <c r="CV11" i="4"/>
  <c r="CW11" i="4"/>
  <c r="CY11" i="4"/>
  <c r="CZ11" i="4"/>
  <c r="CS32" i="4"/>
  <c r="CT32" i="4"/>
  <c r="CU32" i="4"/>
  <c r="CV32" i="4"/>
  <c r="CW32" i="4"/>
  <c r="CY32" i="4"/>
  <c r="CZ32" i="4"/>
  <c r="CW10" i="4"/>
  <c r="CV10" i="4"/>
  <c r="CT10" i="4"/>
  <c r="CU10" i="4"/>
  <c r="CS10" i="4"/>
  <c r="OJ28" i="14" l="1"/>
  <c r="OJ32" i="14"/>
  <c r="OJ32" i="4"/>
  <c r="OJ24" i="4"/>
  <c r="G4" i="14"/>
  <c r="G15" i="14"/>
  <c r="OJ31" i="14"/>
  <c r="OJ34" i="4"/>
  <c r="OJ27" i="4"/>
  <c r="OJ29" i="4"/>
  <c r="OJ26" i="4"/>
  <c r="OJ35" i="4"/>
  <c r="OJ28" i="4"/>
  <c r="G11" i="14"/>
  <c r="G34" i="4"/>
  <c r="G19" i="4"/>
  <c r="G24" i="4"/>
  <c r="G10" i="14"/>
  <c r="F16" i="14"/>
  <c r="F32" i="14"/>
  <c r="F9" i="14"/>
  <c r="F10" i="14"/>
  <c r="G17" i="14"/>
  <c r="G16" i="14"/>
  <c r="F17" i="14"/>
  <c r="G28" i="14"/>
  <c r="G9" i="14"/>
  <c r="F28" i="14"/>
  <c r="G32" i="14"/>
  <c r="F8" i="14"/>
  <c r="F4" i="14"/>
  <c r="F15" i="14"/>
  <c r="F11" i="14"/>
  <c r="F34" i="4"/>
  <c r="F19" i="4"/>
  <c r="F24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8" i="14"/>
  <c r="NG28" i="14" s="1"/>
  <c r="CX24" i="4"/>
  <c r="DA24" i="4" s="1"/>
  <c r="OJ13" i="4"/>
  <c r="OJ14" i="4"/>
  <c r="OJ17" i="4"/>
  <c r="ND34" i="4"/>
  <c r="ND24" i="4"/>
  <c r="CX17" i="14"/>
  <c r="DA17" i="14" s="1"/>
  <c r="CX28" i="14"/>
  <c r="DA28" i="14" s="1"/>
  <c r="CX19" i="4"/>
  <c r="DA19" i="4" s="1"/>
  <c r="ND19" i="4"/>
  <c r="OG19" i="4"/>
  <c r="CX34" i="4"/>
  <c r="DA34" i="4" s="1"/>
  <c r="OE28" i="14"/>
  <c r="OC28" i="14"/>
  <c r="OJ15" i="14"/>
  <c r="OG28" i="14"/>
  <c r="I28" i="14"/>
  <c r="K28" i="14"/>
  <c r="ND17" i="14"/>
  <c r="NG17" i="14" s="1"/>
  <c r="CX10" i="14"/>
  <c r="DA10" i="14" s="1"/>
  <c r="OG17" i="14"/>
  <c r="OE17" i="14"/>
  <c r="OC17" i="14"/>
  <c r="OJ14" i="14"/>
  <c r="I17" i="14"/>
  <c r="K17" i="14"/>
  <c r="CX9" i="14"/>
  <c r="DA9" i="14" s="1"/>
  <c r="OG10" i="14"/>
  <c r="ND10" i="14"/>
  <c r="NG10" i="14" s="1"/>
  <c r="OE10" i="14"/>
  <c r="OC10" i="14"/>
  <c r="I10" i="14"/>
  <c r="K10" i="14"/>
  <c r="OJ13" i="14"/>
  <c r="ND16" i="14"/>
  <c r="NG16" i="14" s="1"/>
  <c r="CX32" i="14"/>
  <c r="DA32" i="14" s="1"/>
  <c r="ND9" i="14"/>
  <c r="NG9" i="14" s="1"/>
  <c r="OE9" i="14"/>
  <c r="OC9" i="14"/>
  <c r="OG9" i="14"/>
  <c r="I9" i="14"/>
  <c r="K9" i="14"/>
  <c r="OJ12" i="14"/>
  <c r="ND32" i="14"/>
  <c r="NG32" i="14" s="1"/>
  <c r="CX16" i="14"/>
  <c r="DA16" i="14" s="1"/>
  <c r="OE32" i="14"/>
  <c r="OC32" i="14"/>
  <c r="OJ11" i="14"/>
  <c r="OG32" i="14"/>
  <c r="I32" i="14"/>
  <c r="K32" i="14"/>
  <c r="OE16" i="14"/>
  <c r="OC16" i="14"/>
  <c r="OJ10" i="14"/>
  <c r="OG16" i="14"/>
  <c r="I16" i="14"/>
  <c r="K16" i="14"/>
  <c r="OJ9" i="14"/>
  <c r="OJ8" i="14"/>
  <c r="K15" i="14"/>
  <c r="OC24" i="4"/>
  <c r="OE24" i="4"/>
  <c r="K24" i="4"/>
  <c r="OJ12" i="4"/>
  <c r="I24" i="4"/>
  <c r="OG24" i="4"/>
  <c r="OE19" i="4"/>
  <c r="OC19" i="4"/>
  <c r="K19" i="4"/>
  <c r="I19" i="4"/>
  <c r="OC34" i="4"/>
  <c r="OG34" i="4"/>
  <c r="OJ11" i="4"/>
  <c r="OE34" i="4"/>
  <c r="K34" i="4"/>
  <c r="I34" i="4"/>
  <c r="K8" i="14"/>
  <c r="K11" i="14"/>
  <c r="K4" i="14"/>
  <c r="CX4" i="14"/>
  <c r="DA4" i="14" s="1"/>
  <c r="OE8" i="14"/>
  <c r="ND11" i="14"/>
  <c r="NG11" i="14" s="1"/>
  <c r="CX15" i="14"/>
  <c r="DA15" i="14" s="1"/>
  <c r="ND8" i="14"/>
  <c r="NG8" i="14" s="1"/>
  <c r="ND4" i="14"/>
  <c r="NG4" i="14" s="1"/>
  <c r="CX11" i="14"/>
  <c r="DA11" i="14" s="1"/>
  <c r="OC11" i="14"/>
  <c r="OC4" i="14"/>
  <c r="OE11" i="14"/>
  <c r="OE4" i="14"/>
  <c r="OG4" i="14"/>
  <c r="I4" i="14"/>
  <c r="OJ6" i="14"/>
  <c r="OC8" i="14"/>
  <c r="OJ7" i="14"/>
  <c r="I15" i="14"/>
  <c r="OE15" i="14"/>
  <c r="OG11" i="14"/>
  <c r="OG8" i="14"/>
  <c r="OG15" i="14"/>
  <c r="OJ5" i="14"/>
  <c r="CX8" i="14"/>
  <c r="DA8" i="14" s="1"/>
  <c r="OJ4" i="14"/>
  <c r="ND15" i="14"/>
  <c r="NG15" i="14" s="1"/>
  <c r="OC15" i="14"/>
  <c r="I8" i="14"/>
  <c r="I11" i="14"/>
  <c r="OG15" i="4"/>
  <c r="OG7" i="4"/>
  <c r="OG27" i="4"/>
  <c r="OJ10" i="4"/>
  <c r="OJ9" i="4"/>
  <c r="OJ8" i="4"/>
  <c r="OJ7" i="4"/>
  <c r="OJ6" i="4"/>
  <c r="OJ5" i="4"/>
  <c r="OJ4" i="4"/>
  <c r="OG32" i="4"/>
  <c r="OE11" i="4"/>
  <c r="OE15" i="4"/>
  <c r="OE7" i="4"/>
  <c r="OE27" i="4"/>
  <c r="OE10" i="4"/>
  <c r="CX10" i="4"/>
  <c r="OG11" i="4"/>
  <c r="OE32" i="4"/>
  <c r="OG10" i="4"/>
  <c r="CX7" i="4"/>
  <c r="DA7" i="4" s="1"/>
  <c r="CX15" i="4"/>
  <c r="DA15" i="4" s="1"/>
  <c r="CX11" i="4"/>
  <c r="DA11" i="4" s="1"/>
  <c r="CX27" i="4"/>
  <c r="DA27" i="4" s="1"/>
  <c r="CX32" i="4"/>
  <c r="DA32" i="4" s="1"/>
  <c r="NH10" i="4"/>
  <c r="NI10" i="4"/>
  <c r="NJ10" i="4"/>
  <c r="NK10" i="4"/>
  <c r="NL10" i="4"/>
  <c r="NI27" i="4"/>
  <c r="NJ27" i="4"/>
  <c r="NK27" i="4"/>
  <c r="NI7" i="4"/>
  <c r="NJ7" i="4"/>
  <c r="NK7" i="4"/>
  <c r="NI15" i="4"/>
  <c r="NJ15" i="4"/>
  <c r="NK15" i="4"/>
  <c r="NI11" i="4"/>
  <c r="NJ11" i="4"/>
  <c r="NK11" i="4"/>
  <c r="NI32" i="4"/>
  <c r="NJ32" i="4"/>
  <c r="NK32" i="4"/>
  <c r="NH27" i="4"/>
  <c r="NH7" i="4"/>
  <c r="NH15" i="4"/>
  <c r="NH11" i="4"/>
  <c r="NH32" i="4"/>
  <c r="DC8" i="14" l="1"/>
  <c r="DB8" i="14"/>
  <c r="DC15" i="14"/>
  <c r="DB15" i="14"/>
  <c r="DC4" i="14"/>
  <c r="DB4" i="14"/>
  <c r="DC32" i="14"/>
  <c r="DB32" i="14"/>
  <c r="DC9" i="14"/>
  <c r="DB9" i="14"/>
  <c r="DC17" i="14"/>
  <c r="DB17" i="14"/>
  <c r="DC28" i="14"/>
  <c r="DB28" i="14"/>
  <c r="DC11" i="14"/>
  <c r="DB11" i="14"/>
  <c r="DC16" i="14"/>
  <c r="DB16" i="14"/>
  <c r="DC10" i="14"/>
  <c r="DB10" i="14"/>
  <c r="DB34" i="4"/>
  <c r="DC34" i="4"/>
  <c r="DC24" i="4"/>
  <c r="DB24" i="4"/>
  <c r="DB19" i="4"/>
  <c r="DC19" i="4"/>
  <c r="J16" i="14"/>
  <c r="L11" i="14"/>
  <c r="J32" i="14"/>
  <c r="L17" i="14"/>
  <c r="J9" i="14"/>
  <c r="J17" i="14"/>
  <c r="J28" i="14"/>
  <c r="L24" i="4"/>
  <c r="L19" i="4"/>
  <c r="L34" i="4"/>
  <c r="A24" i="4" a="1"/>
  <c r="A24" i="4" s="1"/>
  <c r="H24" i="4"/>
  <c r="A19" i="4" a="1"/>
  <c r="A19" i="4" s="1"/>
  <c r="H19" i="4"/>
  <c r="A34" i="4" a="1"/>
  <c r="A34" i="4" s="1"/>
  <c r="H34" i="4"/>
  <c r="H11" i="14"/>
  <c r="A11" i="14" a="1"/>
  <c r="A11" i="14" s="1"/>
  <c r="H17" i="14"/>
  <c r="A17" i="14" a="1"/>
  <c r="A17" i="14" s="1"/>
  <c r="H15" i="14"/>
  <c r="A15" i="14" a="1"/>
  <c r="A15" i="14" s="1"/>
  <c r="H4" i="14"/>
  <c r="H8" i="14"/>
  <c r="H10" i="14"/>
  <c r="H9" i="14"/>
  <c r="H28" i="14"/>
  <c r="A28" i="14" a="1"/>
  <c r="A28" i="14" s="1"/>
  <c r="H32" i="14"/>
  <c r="A32" i="14" a="1"/>
  <c r="A32" i="14" s="1"/>
  <c r="H16" i="14"/>
  <c r="A16" i="14" a="1"/>
  <c r="A16" i="14" s="1"/>
  <c r="NG24" i="4"/>
  <c r="NG19" i="4"/>
  <c r="NG34" i="4"/>
  <c r="J24" i="4"/>
  <c r="J34" i="4"/>
  <c r="J19" i="4"/>
  <c r="OH9" i="14"/>
  <c r="OK26" i="14" s="1"/>
  <c r="OH24" i="4"/>
  <c r="OK24" i="4" s="1"/>
  <c r="OH28" i="14"/>
  <c r="L28" i="14"/>
  <c r="OH17" i="14"/>
  <c r="OH8" i="14"/>
  <c r="J15" i="14"/>
  <c r="OH10" i="14"/>
  <c r="J10" i="14"/>
  <c r="L10" i="14"/>
  <c r="L9" i="14"/>
  <c r="OH32" i="14"/>
  <c r="L32" i="14"/>
  <c r="OH4" i="14"/>
  <c r="J4" i="14"/>
  <c r="OH16" i="14"/>
  <c r="L16" i="14"/>
  <c r="OH15" i="14"/>
  <c r="OH34" i="4"/>
  <c r="OK35" i="4" s="1"/>
  <c r="OH19" i="4"/>
  <c r="OH11" i="14"/>
  <c r="L8" i="14"/>
  <c r="L4" i="14"/>
  <c r="L15" i="14"/>
  <c r="J8" i="14"/>
  <c r="J11" i="14"/>
  <c r="OC32" i="4"/>
  <c r="OH32" i="4" s="1"/>
  <c r="OK32" i="4" s="1"/>
  <c r="OC11" i="4"/>
  <c r="OH11" i="4" s="1"/>
  <c r="OC7" i="4"/>
  <c r="OH7" i="4" s="1"/>
  <c r="OC10" i="4"/>
  <c r="OH10" i="4" s="1"/>
  <c r="OC27" i="4"/>
  <c r="OH27" i="4" s="1"/>
  <c r="OK27" i="4" s="1"/>
  <c r="OC15" i="4"/>
  <c r="OH15" i="4" s="1"/>
  <c r="OK34" i="4" s="1"/>
  <c r="CZ10" i="4"/>
  <c r="CY10" i="4"/>
  <c r="OK31" i="14" l="1"/>
  <c r="OK32" i="14"/>
  <c r="OK27" i="14"/>
  <c r="OK28" i="14"/>
  <c r="M15" i="14"/>
  <c r="E15" i="14" s="1"/>
  <c r="OK28" i="4"/>
  <c r="OK29" i="4"/>
  <c r="OK22" i="4"/>
  <c r="OK26" i="4"/>
  <c r="M10" i="14"/>
  <c r="N10" i="14" s="1"/>
  <c r="M8" i="14"/>
  <c r="O8" i="14" s="1"/>
  <c r="M4" i="14"/>
  <c r="O4" i="14" s="1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9" i="4"/>
  <c r="M9" i="14"/>
  <c r="OK6" i="14"/>
  <c r="OK14" i="14"/>
  <c r="OK15" i="14"/>
  <c r="OK16" i="14"/>
  <c r="OK13" i="4"/>
  <c r="OK11" i="4"/>
  <c r="OK17" i="4"/>
  <c r="OK12" i="4"/>
  <c r="M16" i="14"/>
  <c r="M24" i="4"/>
  <c r="M34" i="4"/>
  <c r="M28" i="14"/>
  <c r="M11" i="14"/>
  <c r="M17" i="14"/>
  <c r="M32" i="14"/>
  <c r="OK5" i="14"/>
  <c r="OK7" i="14"/>
  <c r="OK4" i="14"/>
  <c r="OK5" i="4"/>
  <c r="OK4" i="4"/>
  <c r="OK6" i="4"/>
  <c r="OK7" i="4"/>
  <c r="OK8" i="4"/>
  <c r="OK9" i="4"/>
  <c r="OK10" i="4"/>
  <c r="DA10" i="4"/>
  <c r="O15" i="14" l="1"/>
  <c r="N15" i="14"/>
  <c r="O10" i="14"/>
  <c r="E10" i="14"/>
  <c r="E8" i="14"/>
  <c r="N8" i="14"/>
  <c r="N4" i="14"/>
  <c r="E4" i="14"/>
  <c r="O9" i="14"/>
  <c r="N9" i="14"/>
  <c r="O32" i="14"/>
  <c r="N32" i="14"/>
  <c r="O11" i="14"/>
  <c r="N11" i="14"/>
  <c r="E16" i="14"/>
  <c r="O16" i="14"/>
  <c r="N16" i="14"/>
  <c r="E17" i="14"/>
  <c r="N17" i="14"/>
  <c r="O17" i="14"/>
  <c r="O28" i="14"/>
  <c r="N28" i="14"/>
  <c r="O19" i="4"/>
  <c r="N19" i="4"/>
  <c r="N24" i="4"/>
  <c r="O24" i="4"/>
  <c r="N34" i="4"/>
  <c r="O34" i="4"/>
  <c r="E24" i="4"/>
  <c r="E19" i="4"/>
  <c r="E34" i="4"/>
  <c r="E9" i="14"/>
  <c r="E11" i="14"/>
  <c r="E28" i="14"/>
  <c r="E32" i="14"/>
  <c r="A10" i="14" s="1" a="1"/>
  <c r="A10" i="14" s="1"/>
  <c r="A8" i="14" l="1" a="1"/>
  <c r="A8" i="14" s="1"/>
  <c r="A9" i="14" a="1"/>
  <c r="A9" i="14" s="1"/>
  <c r="A4" i="14" a="1"/>
  <c r="A4" i="14" s="1"/>
  <c r="A5" i="14" a="1"/>
  <c r="A5" i="14" s="1"/>
  <c r="A7" i="14" a="1"/>
  <c r="A7" i="14" s="1"/>
  <c r="A12" i="14" a="1"/>
  <c r="A12" i="14" s="1"/>
  <c r="A6" i="14" a="1"/>
  <c r="A6" i="14" s="1"/>
  <c r="C7" i="11" l="1"/>
  <c r="C9" i="11"/>
  <c r="D9" i="11"/>
  <c r="D7" i="11"/>
  <c r="D8" i="11"/>
  <c r="D6" i="11"/>
  <c r="C6" i="11"/>
  <c r="C8" i="11"/>
  <c r="NE32" i="4"/>
  <c r="NE11" i="4"/>
  <c r="NE7" i="4"/>
  <c r="NE15" i="4"/>
  <c r="NE27" i="4"/>
  <c r="NE10" i="4"/>
  <c r="NA10" i="4" l="1"/>
  <c r="NA27" i="4"/>
  <c r="NA11" i="4"/>
  <c r="NA15" i="4"/>
  <c r="NA32" i="4"/>
  <c r="NA7" i="4"/>
  <c r="K15" i="4" l="1"/>
  <c r="I15" i="4"/>
  <c r="I32" i="4"/>
  <c r="K32" i="4"/>
  <c r="K7" i="4"/>
  <c r="I7" i="4"/>
  <c r="K10" i="4"/>
  <c r="I10" i="4"/>
  <c r="K27" i="4"/>
  <c r="I27" i="4"/>
  <c r="I11" i="4"/>
  <c r="K11" i="4"/>
  <c r="L7" i="4" l="1"/>
  <c r="L32" i="4"/>
  <c r="L11" i="4"/>
  <c r="L27" i="4"/>
  <c r="L15" i="4"/>
  <c r="L10" i="4"/>
  <c r="J7" i="4"/>
  <c r="J27" i="4"/>
  <c r="J32" i="4"/>
  <c r="J10" i="4"/>
  <c r="J15" i="4"/>
  <c r="J11" i="4"/>
  <c r="NB10" i="4" l="1"/>
  <c r="NC10" i="4"/>
  <c r="NF10" i="4"/>
  <c r="DC10" i="4" s="1"/>
  <c r="DB10" i="4" l="1"/>
  <c r="M10" i="4" s="1"/>
  <c r="F10" i="4"/>
  <c r="H10" i="4" s="1"/>
  <c r="G10" i="4"/>
  <c r="ND10" i="4"/>
  <c r="N10" i="4" l="1"/>
  <c r="O10" i="4"/>
  <c r="E10" i="4"/>
  <c r="NG10" i="4"/>
  <c r="NF15" i="4" l="1"/>
  <c r="DC15" i="4" s="1"/>
  <c r="NC15" i="4"/>
  <c r="NB15" i="4"/>
  <c r="NF32" i="4"/>
  <c r="DC32" i="4" s="1"/>
  <c r="NC32" i="4"/>
  <c r="NB32" i="4"/>
  <c r="DB32" i="4" l="1"/>
  <c r="DB15" i="4"/>
  <c r="F15" i="4"/>
  <c r="G15" i="4"/>
  <c r="F32" i="4"/>
  <c r="G32" i="4"/>
  <c r="ND15" i="4"/>
  <c r="ND32" i="4"/>
  <c r="A32" i="4" l="1" a="1"/>
  <c r="A32" i="4" s="1"/>
  <c r="H32" i="4"/>
  <c r="H15" i="4"/>
  <c r="A15" i="4" a="1"/>
  <c r="A15" i="4" s="1"/>
  <c r="M15" i="4"/>
  <c r="M32" i="4"/>
  <c r="NG15" i="4"/>
  <c r="NG32" i="4"/>
  <c r="O15" i="4" l="1"/>
  <c r="N15" i="4"/>
  <c r="N32" i="4"/>
  <c r="O32" i="4"/>
  <c r="E15" i="4"/>
  <c r="E32" i="4"/>
  <c r="NB11" i="4"/>
  <c r="NC11" i="4"/>
  <c r="NF11" i="4"/>
  <c r="DC11" i="4" s="1"/>
  <c r="NB27" i="4"/>
  <c r="NC27" i="4"/>
  <c r="NF27" i="4"/>
  <c r="DC27" i="4" s="1"/>
  <c r="NB7" i="4"/>
  <c r="NC7" i="4"/>
  <c r="NF7" i="4"/>
  <c r="DC7" i="4" s="1"/>
  <c r="DB7" i="4" l="1"/>
  <c r="DB27" i="4"/>
  <c r="DB11" i="4"/>
  <c r="F11" i="4"/>
  <c r="G11" i="4"/>
  <c r="F7" i="4"/>
  <c r="G7" i="4"/>
  <c r="F27" i="4"/>
  <c r="G27" i="4"/>
  <c r="ND27" i="4"/>
  <c r="ND7" i="4"/>
  <c r="ND11" i="4"/>
  <c r="H7" i="4" l="1"/>
  <c r="A27" i="4" a="1"/>
  <c r="A27" i="4" s="1"/>
  <c r="H27" i="4"/>
  <c r="A11" i="4" a="1"/>
  <c r="A11" i="4" s="1"/>
  <c r="H11" i="4"/>
  <c r="M27" i="4"/>
  <c r="M11" i="4"/>
  <c r="M7" i="4"/>
  <c r="NG7" i="4"/>
  <c r="NG11" i="4"/>
  <c r="NG27" i="4"/>
  <c r="N27" i="4" l="1"/>
  <c r="O27" i="4"/>
  <c r="N11" i="4"/>
  <c r="O11" i="4"/>
  <c r="N7" i="4"/>
  <c r="O7" i="4"/>
  <c r="E7" i="4"/>
  <c r="A9" i="4" s="1" a="1"/>
  <c r="A9" i="4" s="1"/>
  <c r="E27" i="4"/>
  <c r="E11" i="4"/>
  <c r="A5" i="4" l="1" a="1"/>
  <c r="A5" i="4" s="1"/>
  <c r="A6" i="4" a="1"/>
  <c r="A6" i="4" s="1"/>
  <c r="A12" i="4" a="1"/>
  <c r="A12" i="4" s="1"/>
  <c r="A7" i="4" a="1"/>
  <c r="A7" i="4" s="1"/>
  <c r="A8" i="4" a="1"/>
  <c r="A8" i="4" s="1"/>
  <c r="A35" i="4" a="1"/>
  <c r="A35" i="4" s="1"/>
  <c r="A4" i="4" a="1"/>
  <c r="A4" i="4" s="1"/>
  <c r="A10" i="4" a="1"/>
  <c r="A10" i="4" s="1"/>
  <c r="EC4" i="18"/>
  <c r="G4" i="18" l="1"/>
  <c r="DE4" i="18"/>
  <c r="S4" i="18" s="1"/>
  <c r="C2" i="11"/>
  <c r="D4" i="11"/>
  <c r="D2" i="11"/>
  <c r="C5" i="11"/>
  <c r="C4" i="11"/>
  <c r="D3" i="11"/>
  <c r="C3" i="11"/>
  <c r="D5" i="11"/>
  <c r="F4" i="18"/>
  <c r="EF4" i="18"/>
  <c r="EI4" i="18"/>
  <c r="T4" i="18" l="1"/>
  <c r="E4" i="18"/>
  <c r="A11" i="18" s="1"/>
  <c r="U4" i="18"/>
  <c r="A10" i="18"/>
  <c r="A12" i="18"/>
  <c r="A9" i="18"/>
  <c r="A5" i="18"/>
  <c r="A7" i="18"/>
  <c r="A6" i="18"/>
  <c r="A4" i="18" a="1"/>
  <c r="A4" i="18" s="1"/>
  <c r="A8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<sst xmlns="http://schemas.openxmlformats.org/spreadsheetml/2006/main" count="3651" uniqueCount="206">
  <si>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</si>
  <si>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</si>
  <si>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</si>
  <si>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</si>
  <si>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</si>
  <si>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</si>
  <si>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</si>
  <si>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</si>
  <si>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</si>
  <si>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</si>
  <si>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</si>
  <si>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</si>
  <si>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</si>
  <si>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</si>
  <si>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</si>
  <si>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</si>
  <si>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</si>
  <si>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</si>
  <si>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</si>
  <si>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</si>
  <si>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</si>
  <si>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</si>
  <si>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</si>
  <si>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</si>
  <si>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</si>
  <si>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</si>
  <si>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</si>
  <si>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</si>
  <si>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</si>
  <si>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</si>
  <si>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</si>
  <si>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</si>
  <si>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</si>
  <si>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</si>
  <si>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</si>
  <si>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</si>
  <si>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</si>
  <si>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</si>
  <si>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</si>
  <si>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</si>
  <si>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</si>
  <si>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</si>
  <si>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</si>
  <si>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</si>
  <si>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</si>
  <si>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</si>
  <si>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</si>
  <si>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</si>
  <si>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</si>
  <si>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</si>
  <si>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</si>
  <si>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</si>
  <si>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</si>
  <si>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</si>
  <si>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</si>
  <si>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</si>
  <si>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</si>
  <si>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</si>
  <si>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</si>
  <si>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</si>
  <si>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</si>
  <si>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</si>
  <si>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</si>
  <si>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</si>
  <si>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</si>
  <si>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</si>
  <si>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</si>
  <si>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</si>
  <si>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</si>
  <si>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</si>
  <si>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</si>
  <si>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</si>
  <si>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</si>
  <si>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</si>
  <si>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</si>
  <si>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</si>
  <si>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</si>
  <si>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</si>
  <si>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</si>
  <si>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</si>
  <si>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</si>
  <si>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</si>
  <si>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</si>
  <si>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</si>
  <si>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</si>
  <si>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</si>
  <si>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</si>
  <si>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</si>
  <si>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</si>
  <si>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</si>
  <si>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</si>
  <si>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</si>
  <si>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</si>
  <si>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</si>
  <si>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</si>
  <si>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</si>
  <si>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</si>
  <si>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</si>
  <si>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</si>
  <si>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</si>
  <si>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</si>
  <si>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</si>
  <si>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</si>
  <si>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</si>
  <si>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</si>
  <si>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</si>
  <si>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</si>
  <si>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</si>
  <si>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</si>
  <si>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</si>
  <si>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</si>
  <si>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</si>
  <si>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</si>
  <si>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</si>
  <si>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MOORE, Riley</t>
  </si>
  <si>
    <t>SININIUC, Alexandra</t>
  </si>
  <si>
    <t>DONG, Helen</t>
  </si>
  <si>
    <t>SCHOLES, Hannah</t>
  </si>
  <si>
    <t>PROULX, Kegan</t>
  </si>
  <si>
    <t>NOGA-BARD, Kasha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</si>
  <si>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</si>
  <si>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</si>
  <si>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</si>
  <si>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</si>
  <si>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</si>
  <si>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</si>
  <si>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</si>
  <si>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</si>
  <si>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</si>
  <si>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</si>
  <si>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</si>
  <si>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</si>
  <si>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</si>
  <si>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</si>
  <si>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</si>
  <si>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</si>
  <si>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</si>
  <si>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</si>
  <si>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</si>
  <si>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</si>
  <si>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</si>
  <si>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</si>
  <si>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</si>
  <si>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</si>
  <si>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</si>
  <si>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</si>
  <si>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</si>
  <si>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</si>
  <si>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</si>
  <si>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</si>
  <si>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</si>
  <si>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</si>
  <si>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</si>
  <si>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</si>
  <si>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</si>
  <si>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</si>
  <si>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</si>
  <si>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</si>
  <si>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</si>
  <si>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</si>
  <si>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</si>
  <si>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</si>
  <si>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</si>
  <si>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</si>
  <si>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</si>
  <si>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</si>
  <si>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</si>
  <si>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</si>
  <si>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</si>
  <si>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</si>
  <si>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</si>
  <si>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</si>
  <si>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</si>
  <si>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</si>
  <si>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</si>
  <si>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</si>
  <si>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</si>
  <si>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</si>
  <si>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</si>
  <si>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</si>
  <si>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15)</t>
  </si>
  <si>
    <t>2022 World Games (July 16)</t>
  </si>
  <si>
    <t>2022 World Games (July 17)</t>
  </si>
  <si>
    <t>2022 Nationals</t>
  </si>
  <si>
    <t>STANNARD, Adam</t>
  </si>
  <si>
    <t>BIANCHET, Anthony</t>
  </si>
  <si>
    <t>GORDENKO-SADEVICH, Dennis</t>
  </si>
  <si>
    <t>FARNSWORTH, Brent</t>
  </si>
  <si>
    <t>DION, Amélia</t>
  </si>
  <si>
    <t>THACKERAY, Nyla</t>
  </si>
  <si>
    <t>BECKETT, Aleisha</t>
  </si>
  <si>
    <t>WAX, Sophie</t>
  </si>
  <si>
    <t>MACDONALD, Connor</t>
  </si>
  <si>
    <t>BISHOP, Seija</t>
  </si>
  <si>
    <t>IBACH, Sam</t>
  </si>
  <si>
    <t>TARTOUSSIEH, Salma</t>
  </si>
  <si>
    <t>PINSK, Benjamin</t>
  </si>
  <si>
    <t>LIVESEY, Ronan</t>
  </si>
  <si>
    <t>KOCHYLEMA, Jacob</t>
  </si>
  <si>
    <t>GROVES, Chelsea</t>
  </si>
  <si>
    <t>PEPPER, Emily</t>
  </si>
  <si>
    <t>CHEW, Keara</t>
  </si>
  <si>
    <t>LEBLANC, Lauren</t>
  </si>
  <si>
    <t>MOUNTAIN, Dani</t>
  </si>
  <si>
    <t>ANGST, Caelyn</t>
  </si>
  <si>
    <t>2022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</si>
</sst>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84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DODD, Gavin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EVSTIGNEEV, Gleb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BONHAM, Maja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FLYNN, Gabby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PEDERSEN, Mitchel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NEUFELD, Simon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MALEK, Philo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SCHOLES, Hannah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IBACH, Sam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LUPISH, Kieran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DODD, Gavin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ZUREK, Nolan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PEDERSEN, Mitchel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44833</v>
      </c>
      <c r="C34" s="98"/>
    </row>
    <row r="35" spans="1:4" x14ac:dyDescent="0.2">
      <c r="B35" t="s">
        <v>205</v>
      </c>
    </row>
    <row r="36" spans="1:4" x14ac:dyDescent="0.2">
      <c r="B36" s="52"/>
    </row>
    <row r="37" spans="1:4" x14ac:dyDescent="0.2">
      <c r="B37" s="52"/>
    </row>
    <row r="38" spans="1:4" x14ac:dyDescent="0.2">
      <c r="B38" s="52"/>
    </row>
    <row r="39" spans="1:4" x14ac:dyDescent="0.2">
      <c r="B39" s="52"/>
    </row>
  </sheetData>
  <sheetProtection formatCells="0" formatColumns="0" formatRows="0"/>
  <mergeCells count="1">
    <mergeCell ref="B34:C34"/>
  </mergeCells>
  <conditionalFormatting sqref="D2:D25">
    <cfRule type="containsText" dxfId="183" priority="1" operator="containsText" text="No DD">
      <formula>NOT(ISERROR(SEARCH("No DD",D2)))</formula>
    </cfRule>
    <cfRule type="containsText" dxfId="182" priority="4" operator="containsText" text="Merit">
      <formula>NOT(ISERROR(SEARCH("Merit",D2)))</formula>
    </cfRule>
    <cfRule type="containsText" dxfId="181" priority="5" operator="containsText" text="Excellence">
      <formula>NOT(ISERROR(SEARCH("Excellence",D2)))</formula>
    </cfRule>
    <cfRule type="containsText" dxfId="180" priority="6" operator="containsText" text="Worlds Team">
      <formula>NOT(ISERROR(SEARCH("Worlds Team",D2)))</formula>
    </cfRule>
    <cfRule type="containsText" dxfId="179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129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183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205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123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128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175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176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 t="s">
        <v>178</v>
      </c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IF(AND(F4="P",G4="P"),SUMPRODUCT((F$4:F$37="P")*(G$4:G$37="P")*(E$4:E$37&gt;E4))+1,IF(G4="P",SUMPRODUCT((F$4:F$37="")*(G$4:G$37="P")*(E$4:E$37&gt;E4))+1+SUMPRODUCT((F$4:F$37="P")*(G$4:G$37="P")),""))</f>
        <v>1</v>
      </c>
      <c r="B4" s="6" t="s">
        <v>156</v>
      </c>
      <c r="C4" s="7" t="s">
        <v>6</v>
      </c>
      <c r="D4" s="5">
        <v>2001</v>
      </c>
      <c r="E4" s="15">
        <f>SUM(I4:M4)+I4*0.0000001</f>
        <v>119.680005988</v>
      </c>
      <c r="F4" s="3" t="str">
        <f>IF(OR(AND(AL4&gt;=AS$39,AM4&gt;=AS$43,AL4&lt;&gt;"",AJ4=""),AND(AN4&gt;=AS$39,AO4&gt;=AS$43,AN4&lt;&gt;"",AN4=""),AND(AQ4&gt;=AS$39,AR4&gt;=AS$43,AQ4&lt;&gt;"",AJ4=""),AND(BP4&gt;=BW$39,BQ4&gt;=BW$43,BP4&lt;&gt;"",BN4=""),AND(BR4&gt;=BW$39,BS4&gt;=BW$43,BR4&lt;&gt;"",BN4=""),AND(BU4&gt;=BW$39,BV4&gt;=BW$43,BU4&lt;&gt;"",BN4=""),AND(CT4&gt;=DA$39,CU4&gt;=DA$43,CT4&lt;&gt;"",CR4=""),AND(CV4&gt;=DA$39,CW4&gt;=DA$43,CV4&lt;&gt;"",CR4=""),AND(CY4&gt;=DA$39,CZ4&gt;=DA$43,CY4&lt;&gt;"",CR4=""),AND(DS4&gt;=DY$39,DU4&gt;=DY$43,DS4&lt;&gt;""),AND(DW4&gt;=DY$39,DX4&gt;=DY$43,DW4&lt;&gt;""),AND(EO4&gt;=EU$39,EQ4&gt;=EU$43,EO4&lt;&gt;""),AND(ES4&gt;=EU$39,ET4&gt;=EU$43,ES4&lt;&gt;""),AND(FK4&gt;=FQ$39,FM4&gt;=FQ$43,FK4&lt;&gt;""),AND(FO4&gt;=FQ$39,FP4&gt;=FQ$43,FO4&lt;&gt;""),AND(GG4&gt;=GM$39,GI4&gt;=GM$43,GG4&lt;&gt;""),AND(GK4&gt;=GM$39,GL4&gt;=GM$43,GK4&lt;&gt;""),AND(HC4&gt;=HI$39,HE4&gt;=HI$43,HC4&lt;&gt;""),AND(HG4&gt;=HI$39,HH4&gt;=HI$43,HG4&lt;&gt;""),AND(HY4&gt;=IE$39,IA4&gt;=IE$43,HY4&lt;&gt;""),AND(IC4&gt;=IE$39,ID4&gt;=IE$43,IC4&lt;&gt;""),AND(IU4&gt;=JA$39,IW4&gt;=JA$43,IU4&lt;&gt;""),AND(IY4&gt;=JA$39,IZ4&gt;=JA$43,IY4&lt;&gt;""),AND(JQ4&gt;=JW$39,JS4&gt;=JW$43,JQ4&lt;&gt;""),AND(JU4&gt;=JW$39,JV4&gt;=JW$43,JU4&lt;&gt;""),AND(KM4&gt;=KS$39,KO4&gt;=KS$43,KM4&lt;&gt;""),AND(KQ4&gt;=KS$39,KR4&gt;=KS$43,KQ4&lt;&gt;""),AND(LI4&gt;=LO$39,LK4&gt;=LO$43,LI4&lt;&gt;""),AND(LM4&gt;=LO$39,LN4&gt;=LO$43,LM4&lt;&gt;""),AND(ME4&gt;=MK$39,MG4&gt;=MK$43,ME4&lt;&gt;""),AND(MI4&gt;=MK$39,MJ4&gt;=MK$43,MI4&lt;&gt;""),AND(NA4&gt;=NG$39,NC4&gt;=NG$43,NA4&lt;&gt;""),AND(NE4&gt;=NG$39,NF4&gt;=NG$43,NE4&lt;&gt;"")),"P","")</f>
        <v>P</v>
      </c>
      <c r="G4" s="3" t="str">
        <f>IF(OR(AND(AM4&gt;=AS$43,AL4&lt;&gt;"",AJ4=""),AND(AO4&gt;=AS$43,AN4&lt;&gt;"",AN4=""),AND(AR4&gt;=AS$43,AQ4&lt;&gt;"",AJ4=""),AND(BQ4&gt;=BW$43,BP4&lt;&gt;"",BN4=""),AND(BS4&gt;=BW$43,BR4&lt;&gt;"",BN4=""),AND(BV4&gt;=BW$43,BU4&lt;&gt;"",BN4=""),AND(CU4&gt;=DA$43,CT4&lt;&gt;"",CR4=""),AND(CW4&gt;=DA$43,CV4&lt;&gt;"",CR4=""),AND(CZ4&gt;=DA$43,CY4&lt;&gt;"",CR4=""),AND(DU4&gt;=DY$43,DS4&lt;&gt;""),AND(DX4&gt;=DY$43,DW4&lt;&gt;""),AND(EQ4&gt;=EU$43,EO4&lt;&gt;""),AND(ET4&gt;=EU$43,ES4&lt;&gt;""),AND(FM4&gt;=FQ$43,FK4&lt;&gt;""),AND(FP4&gt;=FQ$43,FO4&lt;&gt;""),AND(GI4&gt;=GM$43,GG4&lt;&gt;""),AND(GL4&gt;=GM$43,GK4&lt;&gt;""),AND(HE4&gt;=HI$43,HC4&lt;&gt;""),AND(HH4&gt;=HI$43,HG4&lt;&gt;""),AND(IA4&gt;=IE$43,HY4&lt;&gt;""),AND(ID4&gt;=IE$43,IC4&lt;&gt;""),AND(IW4&gt;=JA$43,IU4&lt;&gt;""),AND(IZ4&gt;=JA$43,IY4&lt;&gt;""),AND(JS4&gt;=JW$43,JQ4&lt;&gt;""),AND(JV4&gt;=JW$43,JU4&lt;&gt;""),AND(KO4&gt;=KS$43,KM4&lt;&gt;""),AND(KR4&gt;=KS$43,KQ4&lt;&gt;""),AND(LK4&gt;=LO$43,LI4&lt;&gt;""),AND(LN4&gt;=LO$43,LM4&lt;&gt;""),AND(MG4&gt;=MK$43,ME4&lt;&gt;""),AND(MJ4&gt;=MK$43,MI4&lt;&gt;""),AND(NC4&gt;=NG$43,NA4&lt;&gt;""),AND(NF4&gt;=NG$43,NE4&lt;&gt;"")),"P","")</f>
        <v>P</v>
      </c>
      <c r="H4" s="66" t="str">
        <f>IF(F4="P","National Team",IF(G4="P","No DD",""))</f>
        <v>National Team</v>
      </c>
      <c r="I4" s="14">
        <f>MAX(AM4,AO4,AR4,BQ4,BS4,BV4,CU4,CW4,CZ4)</f>
        <v>59.88000000000001</v>
      </c>
      <c r="J4" s="14" t="str">
        <f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59.8</v>
      </c>
      <c r="L4" s="14" t="str">
        <f>IF(K4=0,"",IF(OR(K4=CW4,K4=CU4,K4=CZ4),$BX$1,IF(OR(K4=BS4,K4=BQ4,K4=BV4),$AT$1,IF(OR(K4=AO4,K4=AM4,K4=AR4),$P$1,""))))</f>
        <v>2022 3rd Domestic Trial</v>
      </c>
      <c r="M4" s="14" t="str">
        <f>IF(MAX(DB4,DC4)&gt;0,MAX(DB4,DC4),"")</f>
        <v/>
      </c>
      <c r="N4" s="19" t="str">
        <f>IF(M4="","",IF(M4=DB4,"(Prelim)",IF(M4=DC4,"(Final)")))</f>
        <v/>
      </c>
      <c r="O4" s="14" t="str">
        <f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13.8</v>
      </c>
      <c r="V4" s="37">
        <v>6.6</v>
      </c>
      <c r="W4" s="37">
        <v>12.1</v>
      </c>
      <c r="X4" s="37">
        <v>13.935</v>
      </c>
      <c r="Y4" s="37">
        <v>0</v>
      </c>
      <c r="Z4" s="37">
        <v>16.899999999999999</v>
      </c>
      <c r="AA4" s="37">
        <v>8.3000000000000007</v>
      </c>
      <c r="AB4" s="37">
        <v>15.6</v>
      </c>
      <c r="AC4" s="37">
        <v>17.254999999999999</v>
      </c>
      <c r="AD4" s="37">
        <v>0</v>
      </c>
      <c r="AE4" s="37">
        <v>3.1</v>
      </c>
      <c r="AF4" s="37">
        <v>1.7</v>
      </c>
      <c r="AG4" s="37">
        <v>3.8</v>
      </c>
      <c r="AH4" s="37">
        <v>3.55</v>
      </c>
      <c r="AI4" s="37">
        <v>0</v>
      </c>
      <c r="AJ4" s="44"/>
      <c r="AK4" s="11" t="str">
        <f>IF(SUM(P4:S4)-T4&gt;0,SUM(P4:S4)-T4,"")</f>
        <v/>
      </c>
      <c r="AL4" s="11">
        <f>IF(W4&gt;0,W4,"")</f>
        <v>12.1</v>
      </c>
      <c r="AM4" s="11">
        <f>IF(SUM(U4:X4)-Y4&gt;0,SUM(U4:X4)-Y4,"")</f>
        <v>46.435000000000002</v>
      </c>
      <c r="AN4" s="11">
        <f>IF(AB4&gt;0,AB4,"")</f>
        <v>15.6</v>
      </c>
      <c r="AO4" s="11">
        <f>IF(SUM(Z4:AC4)-AD4&gt;0,SUM(Z4:AC4)-AD4,"")</f>
        <v>58.054999999999993</v>
      </c>
      <c r="AP4" s="11">
        <f>IF(AK4="",IF(MAX(AM4,AO4)&gt;0,MAX(AM4,AO4),""),MAX(AM4,AO4)+AK4)</f>
        <v>58.054999999999993</v>
      </c>
      <c r="AQ4" s="11">
        <f>IF(AG4&gt;0,AG4,"")</f>
        <v>3.8</v>
      </c>
      <c r="AR4" s="11">
        <f>IF(SUM(AE4:AH4)-AI4&gt;0,SUM(AE4:AH4)-AI4,"")</f>
        <v>12.149999999999999</v>
      </c>
      <c r="AS4" s="11">
        <f>IF(SUM(AP4,AR4)&gt;0,SUM(AP4,AR4),"")</f>
        <v>70.204999999999984</v>
      </c>
      <c r="AT4" s="41"/>
      <c r="AU4" s="41"/>
      <c r="AV4" s="41"/>
      <c r="AW4" s="41"/>
      <c r="AX4" s="41"/>
      <c r="AY4" s="41">
        <v>17.100000000000001</v>
      </c>
      <c r="AZ4" s="41">
        <v>9.6</v>
      </c>
      <c r="BA4" s="41">
        <v>16.2</v>
      </c>
      <c r="BB4" s="41">
        <v>16.98</v>
      </c>
      <c r="BC4" s="41">
        <v>0</v>
      </c>
      <c r="BD4" s="41">
        <v>5.3</v>
      </c>
      <c r="BE4" s="41">
        <v>2.7</v>
      </c>
      <c r="BF4" s="41">
        <v>5.6</v>
      </c>
      <c r="BG4" s="41">
        <v>5.39</v>
      </c>
      <c r="BH4" s="41">
        <v>0</v>
      </c>
      <c r="BI4" s="41">
        <v>16.5</v>
      </c>
      <c r="BJ4" s="41">
        <v>9</v>
      </c>
      <c r="BK4" s="41">
        <v>16.2</v>
      </c>
      <c r="BL4" s="41">
        <v>16.829999999999998</v>
      </c>
      <c r="BM4" s="41">
        <v>0</v>
      </c>
      <c r="BN4" s="45"/>
      <c r="BO4" s="14" t="str">
        <f>IF(SUM(AT4:AW4)-AX4&gt;0,SUM(AT4:AW4)-AX4,"")</f>
        <v/>
      </c>
      <c r="BP4" s="14">
        <f>IF(BA4&gt;0,BA4,"")</f>
        <v>16.2</v>
      </c>
      <c r="BQ4" s="14">
        <f>IF(SUM(AY4:BB4)-BC4&gt;0,SUM(AY4:BB4)-BC4,"")</f>
        <v>59.88000000000001</v>
      </c>
      <c r="BR4" s="14">
        <f>IF(BF4&gt;0,BF4,"")</f>
        <v>5.6</v>
      </c>
      <c r="BS4" s="14">
        <f>IF(SUM(BD4:BG4)-BH4&gt;0,SUM(BD4:BG4)-BH4,"")</f>
        <v>18.989999999999998</v>
      </c>
      <c r="BT4" s="14">
        <f>IF(BO4="",IF(MAX(BQ4,BS4)&gt;0,MAX(BQ4,BS4),""),MAX(BQ4,BS4)+BO4)</f>
        <v>59.88000000000001</v>
      </c>
      <c r="BU4" s="14">
        <f>IF(BK4&gt;0,BK4,"")</f>
        <v>16.2</v>
      </c>
      <c r="BV4" s="14">
        <f>IF(SUM(BI4:BL4)-BM4&gt;0,SUM(BI4:BL4)-BM4,"")</f>
        <v>58.53</v>
      </c>
      <c r="BW4" s="14">
        <f>IF(SUM(BT4,BV4)&gt;0,SUM(BT4,BV4),"")</f>
        <v>118.41000000000001</v>
      </c>
      <c r="BX4" s="37"/>
      <c r="BY4" s="37"/>
      <c r="BZ4" s="37"/>
      <c r="CA4" s="37"/>
      <c r="CB4" s="37"/>
      <c r="CC4" s="37">
        <v>16.399999999999999</v>
      </c>
      <c r="CD4" s="37">
        <v>9</v>
      </c>
      <c r="CE4" s="37">
        <v>17.100000000000001</v>
      </c>
      <c r="CF4" s="37">
        <v>17.3</v>
      </c>
      <c r="CG4" s="37">
        <v>0</v>
      </c>
      <c r="CH4" s="37">
        <v>6.3</v>
      </c>
      <c r="CI4" s="37">
        <v>3.4</v>
      </c>
      <c r="CJ4" s="37">
        <v>7.4</v>
      </c>
      <c r="CK4" s="37">
        <v>7.15</v>
      </c>
      <c r="CL4" s="37">
        <v>0</v>
      </c>
      <c r="CM4" s="37">
        <v>14.3</v>
      </c>
      <c r="CN4" s="37">
        <v>7.6</v>
      </c>
      <c r="CO4" s="37">
        <v>15.3</v>
      </c>
      <c r="CP4" s="37">
        <v>15.73</v>
      </c>
      <c r="CQ4" s="37">
        <v>0</v>
      </c>
      <c r="CR4" s="44"/>
      <c r="CS4" s="11" t="str">
        <f>IF(SUM(BX4:CA4)-CB4&gt;0,SUM(BX4:CA4)-CB4,"")</f>
        <v/>
      </c>
      <c r="CT4" s="11">
        <f>IF(CE4&gt;0,CE4,"")</f>
        <v>17.100000000000001</v>
      </c>
      <c r="CU4" s="11">
        <f>IF(SUM(CC4:CF4)-CG4&gt;0,SUM(CC4:CF4)-CG4,"")</f>
        <v>59.8</v>
      </c>
      <c r="CV4" s="11">
        <f>IF(CJ4&gt;0,CJ4,"")</f>
        <v>7.4</v>
      </c>
      <c r="CW4" s="11">
        <f>IF(SUM(CH4:CK4)-CL4&gt;0,SUM(CH4:CK4)-CL4,"")</f>
        <v>24.25</v>
      </c>
      <c r="CX4" s="11">
        <f>IF(CS4="",IF(MAX(CU4,CW4)&gt;0,MAX(CU4,CW4),""),MAX(CU4,CW4)+CS4)</f>
        <v>59.8</v>
      </c>
      <c r="CY4" s="11">
        <f>IF(CO4&gt;0,CO4,"")</f>
        <v>15.3</v>
      </c>
      <c r="CZ4" s="11">
        <f>IF(SUM(CM4:CP4)-CQ4&gt;0,SUM(CM4:CP4)-CQ4,"")</f>
        <v>52.930000000000007</v>
      </c>
      <c r="DA4" s="11">
        <f>IF(SUM(CX4,CZ4)&gt;0,SUM(CX4,CZ4),"")</f>
        <v>112.73</v>
      </c>
      <c r="DB4" s="18" t="str">
        <f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>IF(K4&gt;=0.001,IF(MAX(DX4,ET4,FP4,GL4,HH4,ID4,IZ4,JV4,KR4,LN4,MJ4,NF4)-IF(K4="",0,K4)&gt;0.001,MAX(DX4,ET4,FP4,GL4,HH4,ID4,IZ4,JV4,KR4,LN4,MJ4,NF4)-IF(K4="",0,K4),""),"")</f>
        <v/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>IF(DK4&gt;0,DK4,"")</f>
        <v/>
      </c>
      <c r="DT4" s="11" t="str">
        <f>IF(SUM(DD4:DG4)-DH4&gt;0,SUM(DD4:DG4)-DH4,"")</f>
        <v/>
      </c>
      <c r="DU4" s="11" t="str">
        <f>IF(SUM(DI4:DL4)-DM4&gt;0,SUM(DI4:DL4)-DM4,"")</f>
        <v/>
      </c>
      <c r="DV4" s="11" t="str">
        <f>IF(SUM(DT4:DU4)&gt;0,SUM(DT4:DU4),"")</f>
        <v/>
      </c>
      <c r="DW4" s="11" t="str">
        <f>IF(DP4&gt;0,DP4,"")</f>
        <v/>
      </c>
      <c r="DX4" s="11" t="str">
        <f>IF(SUM(DN4:DQ4)-DR4&gt;0,SUM(DN4:DQ4)-DR4,"")</f>
        <v/>
      </c>
      <c r="DY4" s="11" t="str">
        <f>IF(SUM(DV4,DX4)&gt;0,SUM(DV4,DX4),"")</f>
        <v/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>IF(EG4&gt;0,EG4,"")</f>
        <v/>
      </c>
      <c r="EP4" s="14" t="str">
        <f>IF(SUM(DZ4:EC4)-ED4&gt;0,SUM(DZ4:EC4)-ED4,"")</f>
        <v/>
      </c>
      <c r="EQ4" s="14" t="str">
        <f>IF(SUM(EE4:EH4)-EI4&gt;0,SUM(EE4:EH4)-EI4,"")</f>
        <v/>
      </c>
      <c r="ER4" s="14" t="str">
        <f>IF(SUM(EP4:EQ4)&gt;0,SUM(EP4:EQ4),"")</f>
        <v/>
      </c>
      <c r="ES4" s="14" t="str">
        <f>IF(EL4&gt;0,EL4,"")</f>
        <v/>
      </c>
      <c r="ET4" s="14" t="str">
        <f>IF(SUM(EJ4:EM4)-EN4&gt;0,SUM(EJ4:EM4)-EN4,"")</f>
        <v/>
      </c>
      <c r="EU4" s="14" t="str">
        <f>IF(SUM(ER4,ET4)&gt;0,SUM(ER4,ET4),"")</f>
        <v/>
      </c>
      <c r="EV4" s="24">
        <v>14.8</v>
      </c>
      <c r="EW4" s="24">
        <v>9.1999999999999993</v>
      </c>
      <c r="EX4" s="24">
        <v>16.2</v>
      </c>
      <c r="EY4" s="24">
        <v>16.760000000000002</v>
      </c>
      <c r="EZ4" s="24">
        <v>0</v>
      </c>
      <c r="FA4" s="24">
        <v>4.5999999999999996</v>
      </c>
      <c r="FB4" s="24">
        <v>2.7</v>
      </c>
      <c r="FC4" s="24">
        <v>5.6</v>
      </c>
      <c r="FD4" s="24">
        <v>5.32</v>
      </c>
      <c r="FE4" s="24">
        <v>0</v>
      </c>
      <c r="FF4" s="24">
        <v>7.8</v>
      </c>
      <c r="FG4" s="24">
        <v>4.5</v>
      </c>
      <c r="FH4" s="24">
        <v>8.6</v>
      </c>
      <c r="FI4" s="24">
        <v>8.66</v>
      </c>
      <c r="FJ4" s="24">
        <v>0</v>
      </c>
      <c r="FK4" s="11">
        <f>IF(FC4&gt;0,FC4,"")</f>
        <v>5.6</v>
      </c>
      <c r="FL4" s="11">
        <f>IF(SUM(EV4:EY4)-EZ4&gt;0,SUM(EV4:EY4)-EZ4,"")</f>
        <v>56.960000000000008</v>
      </c>
      <c r="FM4" s="11">
        <f>IF(SUM(FA4:FD4)-FE4&gt;0,SUM(FA4:FD4)-FE4,"")</f>
        <v>18.22</v>
      </c>
      <c r="FN4" s="11">
        <f>IF(SUM(FL4:FM4)&gt;0,SUM(FL4:FM4),"")</f>
        <v>75.180000000000007</v>
      </c>
      <c r="FO4" s="11">
        <f>IF(FH4&gt;0,FH4,"")</f>
        <v>8.6</v>
      </c>
      <c r="FP4" s="11">
        <f>IF(SUM(FF4:FI4)-FJ4&gt;0,SUM(FF4:FI4)-FJ4,"")</f>
        <v>29.56</v>
      </c>
      <c r="FQ4" s="11">
        <f>IF(SUM(FN4,FP4)&gt;0,SUM(FN4,FP4),"")</f>
        <v>104.74000000000001</v>
      </c>
      <c r="FR4" s="25">
        <v>15.9</v>
      </c>
      <c r="FS4" s="25">
        <v>9.1</v>
      </c>
      <c r="FT4" s="25">
        <v>16.2</v>
      </c>
      <c r="FU4" s="25">
        <v>16.86</v>
      </c>
      <c r="FV4" s="25">
        <v>0</v>
      </c>
      <c r="FW4" s="25">
        <v>16.2</v>
      </c>
      <c r="FX4" s="25">
        <v>9.3000000000000007</v>
      </c>
      <c r="FY4" s="25">
        <v>16.2</v>
      </c>
      <c r="FZ4" s="25">
        <v>17.23</v>
      </c>
      <c r="GA4" s="25">
        <v>0</v>
      </c>
      <c r="GB4" s="25">
        <v>16.100000000000001</v>
      </c>
      <c r="GC4" s="25">
        <v>9.1</v>
      </c>
      <c r="GD4" s="25">
        <v>16.2</v>
      </c>
      <c r="GE4" s="25">
        <v>16.95</v>
      </c>
      <c r="GF4" s="25">
        <v>0</v>
      </c>
      <c r="GG4" s="14">
        <f>IF(FY4&gt;0,FY4,"")</f>
        <v>16.2</v>
      </c>
      <c r="GH4" s="14">
        <f>IF(SUM(FR4:FU4)-FV4&gt;0,SUM(FR4:FU4)-FV4,"")</f>
        <v>58.06</v>
      </c>
      <c r="GI4" s="14">
        <f>IF(SUM(FW4:FZ4)-GA4&gt;0,SUM(FW4:FZ4)-GA4,"")</f>
        <v>58.930000000000007</v>
      </c>
      <c r="GJ4" s="14">
        <f>IF(SUM(GH4:GI4)&gt;0,SUM(GH4:GI4),"")</f>
        <v>116.99000000000001</v>
      </c>
      <c r="GK4" s="14">
        <f>IF(GD4&gt;0,GD4,"")</f>
        <v>16.2</v>
      </c>
      <c r="GL4" s="14">
        <f>IF(SUM(GB4:GE4)-GF4&gt;0,SUM(GB4:GE4)-GF4,"")</f>
        <v>58.350000000000009</v>
      </c>
      <c r="GM4" s="14">
        <f>IF(SUM(GJ4,GL4)&gt;0,SUM(GJ4,GL4),"")</f>
        <v>175.34000000000003</v>
      </c>
      <c r="GN4" s="24">
        <v>3.3</v>
      </c>
      <c r="GO4" s="24">
        <v>1.8</v>
      </c>
      <c r="GP4" s="24">
        <v>3.8</v>
      </c>
      <c r="GQ4" s="24">
        <v>3.5750000000000002</v>
      </c>
      <c r="GR4" s="24">
        <v>0</v>
      </c>
      <c r="GS4" s="24">
        <v>16.8</v>
      </c>
      <c r="GT4" s="24">
        <v>9.3000000000000007</v>
      </c>
      <c r="GU4" s="24">
        <v>16.2</v>
      </c>
      <c r="GV4" s="24">
        <v>17.215</v>
      </c>
      <c r="GW4" s="24">
        <v>0</v>
      </c>
      <c r="GX4" s="24">
        <v>14.5</v>
      </c>
      <c r="GY4" s="24">
        <v>8.6999999999999993</v>
      </c>
      <c r="GZ4" s="24">
        <v>16.2</v>
      </c>
      <c r="HA4" s="24">
        <v>17.004999999999999</v>
      </c>
      <c r="HB4" s="24">
        <v>0</v>
      </c>
      <c r="HC4" s="11">
        <f>IF(GU4&gt;0,GU4,"")</f>
        <v>16.2</v>
      </c>
      <c r="HD4" s="11">
        <f>IF(SUM(GN4:GQ4)-GR4&gt;0,SUM(GN4:GQ4)-GR4,"")</f>
        <v>12.474999999999998</v>
      </c>
      <c r="HE4" s="11">
        <f>IF(SUM(GS4:GV4)-GW4&gt;0,SUM(GS4:GV4)-GW4,"")</f>
        <v>59.515000000000001</v>
      </c>
      <c r="HF4" s="11">
        <f>IF(SUM(HD4:HE4)&gt;0,SUM(HD4:HE4),"")</f>
        <v>71.989999999999995</v>
      </c>
      <c r="HG4" s="11">
        <f>IF(GZ4&gt;0,GZ4,"")</f>
        <v>16.2</v>
      </c>
      <c r="HH4" s="11">
        <f>IF(SUM(GX4:HA4)-HB4&gt;0,SUM(GX4:HA4)-HB4,"")</f>
        <v>56.405000000000001</v>
      </c>
      <c r="HI4" s="11">
        <f>IF(SUM(HF4,HH4)&gt;0,SUM(HF4,HH4),"")</f>
        <v>128.39499999999998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7">
        <f>IF($CR4="P",BX4,(BX4+AT4)/2)</f>
        <v>0</v>
      </c>
      <c r="NI4" s="37">
        <f>IF($CR4="P",BY4,(BY4+AU4)/2)</f>
        <v>0</v>
      </c>
      <c r="NJ4" s="37">
        <f>IF($CR4="P",BZ4,(BZ4+AV4)/2)</f>
        <v>0</v>
      </c>
      <c r="NK4" s="37">
        <f>IF($CR4="P",CA4,(CA4+AW4)/2)</f>
        <v>0</v>
      </c>
      <c r="NL4" s="37">
        <f>IF($CR4="P",CB4,(CB4+AX4)/2)</f>
        <v>0</v>
      </c>
      <c r="NM4" s="37">
        <f>IF($CR4="P",CC4,(CC4+AY4)/2)</f>
        <v>16.75</v>
      </c>
      <c r="NN4" s="37">
        <f>IF($CR4="P",CD4,(CD4+AZ4)/2)</f>
        <v>9.3000000000000007</v>
      </c>
      <c r="NO4" s="37">
        <f>IF($CR4="P",CE4,(CE4+BA4)/2)</f>
        <v>16.649999999999999</v>
      </c>
      <c r="NP4" s="37">
        <f>IF($CR4="P",CF4,(CF4+BB4)/2)</f>
        <v>17.14</v>
      </c>
      <c r="NQ4" s="37">
        <f>IF($CR4="P",CG4,(CG4+BC4)/2)</f>
        <v>0</v>
      </c>
      <c r="NR4" s="37">
        <f>IF($CR4="P",CH4,(CH4+BD4)/2)</f>
        <v>5.8</v>
      </c>
      <c r="NS4" s="37">
        <f>IF($CR4="P",CI4,(CI4+BE4)/2)</f>
        <v>3.05</v>
      </c>
      <c r="NT4" s="37">
        <f>IF($CR4="P",CJ4,(CJ4+BF4)/2)</f>
        <v>6.5</v>
      </c>
      <c r="NU4" s="37">
        <f>IF($CR4="P",CK4,(CK4+BG4)/2)</f>
        <v>6.27</v>
      </c>
      <c r="NV4" s="37">
        <f>IF($CR4="P",CL4,(CL4+BH4)/2)</f>
        <v>0</v>
      </c>
      <c r="NW4" s="37">
        <f>IF($CR4="P",CM4,(CM4+BI4)/2)</f>
        <v>15.4</v>
      </c>
      <c r="NX4" s="37">
        <f>IF($CR4="P",CN4,(CN4+BJ4)/2)</f>
        <v>8.3000000000000007</v>
      </c>
      <c r="NY4" s="37">
        <f>IF($CR4="P",CO4,(CO4+BK4)/2)</f>
        <v>15.75</v>
      </c>
      <c r="NZ4" s="37">
        <f>IF($CR4="P",CP4,(CP4+BL4)/2)</f>
        <v>16.28</v>
      </c>
      <c r="OA4" s="37">
        <f>IF($CR4="P",CQ4,(CQ4+BM4)/2)</f>
        <v>0</v>
      </c>
      <c r="OB4" s="44" t="s">
        <v>46</v>
      </c>
      <c r="OC4" s="11" t="str">
        <f>IF(SUM(NH4:NK4)-NL4&gt;0,SUM(NH4:NK4)-NL4,"")</f>
        <v/>
      </c>
      <c r="OD4" s="11">
        <f>IF(NO4&gt;0,NO4,"")</f>
        <v>16.649999999999999</v>
      </c>
      <c r="OE4" s="11">
        <f>IF(SUM(NM4:NP4)-NQ4&gt;0,SUM(NM4:NP4)-NQ4,"")</f>
        <v>59.84</v>
      </c>
      <c r="OF4" s="11">
        <f>IF(NT4&gt;0,NT4,"")</f>
        <v>6.5</v>
      </c>
      <c r="OG4" s="11">
        <f>IF(SUM(NR4:NU4)-NV4&gt;0,SUM(NR4:NU4)-NV4,"")</f>
        <v>21.619999999999997</v>
      </c>
      <c r="OH4" s="11" t="e">
        <f>IF(OR(OC4&lt;&gt;"",OE4&lt;&gt;"",OG4&lt;&gt;""),OC4+MAX(OE4,OG4),"")</f>
        <v>#VALUE!</v>
      </c>
      <c r="OI4" s="11">
        <f>IF(NY4&gt;0,NY4,"")</f>
        <v>15.75</v>
      </c>
      <c r="OJ4" s="11">
        <f t="shared" ref="OJ4:OJ10" si="0">IF(SUM(NW4:NZ4)-OA4&gt;0,SUM(NW4:NZ4)-OA4,"")</f>
        <v>55.730000000000004</v>
      </c>
      <c r="OK4" s="11" t="e">
        <f>IF(SUM(OH4,OJ4)&gt;0,SUM(OH4,OJ4),"")</f>
        <v>#VALUE!</v>
      </c>
    </row>
    <row r="5" spans="1:401" x14ac:dyDescent="0.2">
      <c r="A5" s="5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6" t="s">
        <v>94</v>
      </c>
      <c r="C5" s="7" t="s">
        <v>6</v>
      </c>
      <c r="D5" s="21">
        <v>2001</v>
      </c>
      <c r="E5" s="15">
        <f>SUM(I5:M5)+I5*0.0000001</f>
        <v>116.82000585799999</v>
      </c>
      <c r="F5" s="3" t="str">
        <f>IF(OR(AND(AL5&gt;=AS$39,AM5&gt;=AS$43,AL5&lt;&gt;"",AJ5=""),AND(AN5&gt;=AS$39,AO5&gt;=AS$43,AN5&lt;&gt;"",AN5=""),AND(AQ5&gt;=AS$39,AR5&gt;=AS$43,AQ5&lt;&gt;"",AJ5=""),AND(BP5&gt;=BW$39,BQ5&gt;=BW$43,BP5&lt;&gt;"",BN5=""),AND(BR5&gt;=BW$39,BS5&gt;=BW$43,BR5&lt;&gt;"",BN5=""),AND(BU5&gt;=BW$39,BV5&gt;=BW$43,BU5&lt;&gt;"",BN5=""),AND(CT5&gt;=DA$39,CU5&gt;=DA$43,CT5&lt;&gt;"",CR5=""),AND(CV5&gt;=DA$39,CW5&gt;=DA$43,CV5&lt;&gt;"",CR5=""),AND(CY5&gt;=DA$39,CZ5&gt;=DA$43,CY5&lt;&gt;"",CR5=""),AND(DS5&gt;=DY$39,DU5&gt;=DY$43,DS5&lt;&gt;""),AND(DW5&gt;=DY$39,DX5&gt;=DY$43,DW5&lt;&gt;""),AND(EO5&gt;=EU$39,EQ5&gt;=EU$43,EO5&lt;&gt;""),AND(ES5&gt;=EU$39,ET5&gt;=EU$43,ES5&lt;&gt;""),AND(FK5&gt;=FQ$39,FM5&gt;=FQ$43,FK5&lt;&gt;""),AND(FO5&gt;=FQ$39,FP5&gt;=FQ$43,FO5&lt;&gt;""),AND(GG5&gt;=GM$39,GI5&gt;=GM$43,GG5&lt;&gt;""),AND(GK5&gt;=GM$39,GL5&gt;=GM$43,GK5&lt;&gt;""),AND(HC5&gt;=HI$39,HE5&gt;=HI$43,HC5&lt;&gt;""),AND(HG5&gt;=HI$39,HH5&gt;=HI$43,HG5&lt;&gt;""),AND(HY5&gt;=IE$39,IA5&gt;=IE$43,HY5&lt;&gt;""),AND(IC5&gt;=IE$39,ID5&gt;=IE$43,IC5&lt;&gt;""),AND(IU5&gt;=JA$39,IW5&gt;=JA$43,IU5&lt;&gt;""),AND(IY5&gt;=JA$39,IZ5&gt;=JA$43,IY5&lt;&gt;""),AND(JQ5&gt;=JW$39,JS5&gt;=JW$43,JQ5&lt;&gt;""),AND(JU5&gt;=JW$39,JV5&gt;=JW$43,JU5&lt;&gt;""),AND(KM5&gt;=KS$39,KO5&gt;=KS$43,KM5&lt;&gt;""),AND(KQ5&gt;=KS$39,KR5&gt;=KS$43,KQ5&lt;&gt;""),AND(LI5&gt;=LO$39,LK5&gt;=LO$43,LI5&lt;&gt;""),AND(LM5&gt;=LO$39,LN5&gt;=LO$43,LM5&lt;&gt;""),AND(ME5&gt;=MK$39,MG5&gt;=MK$43,ME5&lt;&gt;""),AND(MI5&gt;=MK$39,MJ5&gt;=MK$43,MI5&lt;&gt;""),AND(NA5&gt;=NG$39,NC5&gt;=NG$43,NA5&lt;&gt;""),AND(NE5&gt;=NG$39,NF5&gt;=NG$43,NE5&lt;&gt;"")),"P","")</f>
        <v>P</v>
      </c>
      <c r="G5" s="3" t="str">
        <f>IF(OR(AND(AM5&gt;=AS$43,AL5&lt;&gt;"",AJ5=""),AND(AO5&gt;=AS$43,AN5&lt;&gt;"",AN5=""),AND(AR5&gt;=AS$43,AQ5&lt;&gt;"",AJ5=""),AND(BQ5&gt;=BW$43,BP5&lt;&gt;"",BN5=""),AND(BS5&gt;=BW$43,BR5&lt;&gt;"",BN5=""),AND(BV5&gt;=BW$43,BU5&lt;&gt;"",BN5=""),AND(CU5&gt;=DA$43,CT5&lt;&gt;"",CR5=""),AND(CW5&gt;=DA$43,CV5&lt;&gt;"",CR5=""),AND(CZ5&gt;=DA$43,CY5&lt;&gt;"",CR5=""),AND(DU5&gt;=DY$43,DS5&lt;&gt;""),AND(DX5&gt;=DY$43,DW5&lt;&gt;""),AND(EQ5&gt;=EU$43,EO5&lt;&gt;""),AND(ET5&gt;=EU$43,ES5&lt;&gt;""),AND(FM5&gt;=FQ$43,FK5&lt;&gt;""),AND(FP5&gt;=FQ$43,FO5&lt;&gt;""),AND(GI5&gt;=GM$43,GG5&lt;&gt;""),AND(GL5&gt;=GM$43,GK5&lt;&gt;""),AND(HE5&gt;=HI$43,HC5&lt;&gt;""),AND(HH5&gt;=HI$43,HG5&lt;&gt;""),AND(IA5&gt;=IE$43,HY5&lt;&gt;""),AND(ID5&gt;=IE$43,IC5&lt;&gt;""),AND(IW5&gt;=JA$43,IU5&lt;&gt;""),AND(IZ5&gt;=JA$43,IY5&lt;&gt;""),AND(JS5&gt;=JW$43,JQ5&lt;&gt;""),AND(JV5&gt;=JW$43,JU5&lt;&gt;""),AND(KO5&gt;=KS$43,KM5&lt;&gt;""),AND(KR5&gt;=KS$43,KQ5&lt;&gt;""),AND(LK5&gt;=LO$43,LI5&lt;&gt;""),AND(LN5&gt;=LO$43,LM5&lt;&gt;""),AND(MG5&gt;=MK$43,ME5&lt;&gt;""),AND(MJ5&gt;=MK$43,MI5&lt;&gt;""),AND(NC5&gt;=NG$43,NA5&lt;&gt;""),AND(NF5&gt;=NG$43,NE5&lt;&gt;"")),"P","")</f>
        <v>P</v>
      </c>
      <c r="H5" s="66" t="str">
        <f>IF(F5="P","National Team",IF(G5="P","No DD",""))</f>
        <v>National Team</v>
      </c>
      <c r="I5" s="14">
        <f>MAX(AM5,AO5,AR5,BQ5,BS5,BV5,CU5,CW5,CZ5)</f>
        <v>58.58</v>
      </c>
      <c r="J5" s="14" t="str">
        <f>IF(I5=0,"",IF(OR(I5=CW5,I5=CU5,I5=CZ5),$BX$1,IF(OR(I5=BS5,I5=BQ5,I5=BV5),$AT$1,IF(OR(I5=AO5,I5=AM5,I5=AR5),$P$1,""))))</f>
        <v>2022 3rd Domestic Trial</v>
      </c>
      <c r="K5" s="14">
        <f>IF(COUNT(AM5,AO5,AR5,BQ5,BS5,BV5,CU5,CW5,CZ5)&gt;1,LARGE((AM5,AO5,AR5,BQ5,BS5,BV5,CU5,CW5,CZ5),2),0)</f>
        <v>58.239999999999995</v>
      </c>
      <c r="L5" s="14" t="str">
        <f>IF(K5=0,"",IF(OR(K5=CW5,K5=CU5,K5=CZ5),$BX$1,IF(OR(K5=BS5,K5=BQ5,K5=BV5),$AT$1,IF(OR(K5=AO5,K5=AM5,K5=AR5),$P$1,""))))</f>
        <v>2022 Nationals</v>
      </c>
      <c r="M5" s="14" t="str">
        <f>IF(MAX(DB5,DC5)&gt;0,MAX(DB5,DC5),"")</f>
        <v/>
      </c>
      <c r="N5" s="19" t="str">
        <f>IF(M5="","",IF(M5=DB5,"(Prelim)",IF(M5=DC5,"(Final)")))</f>
        <v/>
      </c>
      <c r="O5" s="14" t="str">
        <f>IF(M5="","",IF(M5=DB5,IF(M5+IF(K5="",0,K5)=NC5,$ML$1,IF(M5+IF(K5="",0,K5)=MG5,$LP$1,IF(M5+IF(K5="",0,K5)=LK5,$KT$1,IF(M5+IF(K5="",0,K5)=KO5,$JX$1,IF(M5+IF(K5="",0,K5)=JS5,$JB$1,IF(M5+IF(K5="",0,K5)=IW5,$IF$1,IF(M5+IF(K5="",0,K5)=IA5,$HJ$1,IF(M5+IF(K5="",0,K5)=HE5,$GN$1,IF(M5+IF(K5="",0,K5)=GI5,$FR$1,IF(M5+IF(K5="",0,K5)=FM5,$EV$1,IF(M5+IF(K5="",0,K5)=EQ5,$DZ$1,IF(M5+IF(K5="",0,K5)=DU5,$DD$1,IF(M5+IF(K5="",0,K5)=NB5,$ML$1,IF(M5+IF(K5="",0,K5)=MF5,$LP$1,IF(M5+IF(K5="",0,K5)=LJ5,$KT$1,IF(M5+IF(K5="",0,K5)=KN5,$JX$1,IF(M5+IF(K5="",0,K5)=JR5,$JB$1,IF(M5+IF(K5="",0,K5)=IV5,$IF$1,IF(M5+IF(K5="",0,K5)=HZ5,$HJ$1,IF(M5+IF(K5="",0,K5)=HD5,$GN$1,IF(M5+IF(K5="",0,K5)=GH5,$FR$1,IF(M5+IF(K5="",0,K5)=FL5,$EV$1,IF(M5+IF(K5="",0,K5)=EP5,$DZ$1,IF(M5+IF(K5="",0,K5)=DT5,$DD$1))))))))))))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</f>
        <v/>
      </c>
      <c r="P5" s="37"/>
      <c r="Q5" s="37"/>
      <c r="R5" s="37"/>
      <c r="S5" s="37"/>
      <c r="T5" s="37"/>
      <c r="U5" s="37">
        <v>16.100000000000001</v>
      </c>
      <c r="V5" s="37">
        <v>9</v>
      </c>
      <c r="W5" s="37">
        <v>15</v>
      </c>
      <c r="X5" s="37">
        <v>17.309999999999999</v>
      </c>
      <c r="Y5" s="37">
        <v>0</v>
      </c>
      <c r="Z5" s="37">
        <v>14.9</v>
      </c>
      <c r="AA5" s="37">
        <v>9</v>
      </c>
      <c r="AB5" s="37">
        <v>12.7</v>
      </c>
      <c r="AC5" s="37">
        <v>17.29</v>
      </c>
      <c r="AD5" s="37">
        <v>0.8</v>
      </c>
      <c r="AE5" s="37">
        <v>15.7</v>
      </c>
      <c r="AF5" s="37">
        <v>9.4</v>
      </c>
      <c r="AG5" s="37">
        <v>15.6</v>
      </c>
      <c r="AH5" s="37">
        <v>17.350000000000001</v>
      </c>
      <c r="AI5" s="37">
        <v>0</v>
      </c>
      <c r="AJ5" s="44"/>
      <c r="AK5" s="11" t="str">
        <f>IF(SUM(P5:S5)-T5&gt;0,SUM(P5:S5)-T5,"")</f>
        <v/>
      </c>
      <c r="AL5" s="11">
        <f>IF(W5&gt;0,W5,"")</f>
        <v>15</v>
      </c>
      <c r="AM5" s="11">
        <f>IF(SUM(U5:X5)-Y5&gt;0,SUM(U5:X5)-Y5,"")</f>
        <v>57.41</v>
      </c>
      <c r="AN5" s="11">
        <f>IF(AB5&gt;0,AB5,"")</f>
        <v>12.7</v>
      </c>
      <c r="AO5" s="11">
        <f>IF(SUM(Z5:AC5)-AD5&gt;0,SUM(Z5:AC5)-AD5,"")</f>
        <v>53.089999999999996</v>
      </c>
      <c r="AP5" s="11">
        <f>IF(AK5="",IF(MAX(AM5,AO5)&gt;0,MAX(AM5,AO5),""),MAX(AM5,AO5)+AK5)</f>
        <v>57.41</v>
      </c>
      <c r="AQ5" s="11">
        <f>IF(AG5&gt;0,AG5,"")</f>
        <v>15.6</v>
      </c>
      <c r="AR5" s="11">
        <f>IF(SUM(AE5:AH5)-AI5&gt;0,SUM(AE5:AH5)-AI5,"")</f>
        <v>58.050000000000004</v>
      </c>
      <c r="AS5" s="11">
        <f>IF(SUM(AP5,AR5)&gt;0,SUM(AP5,AR5),"")</f>
        <v>115.46000000000001</v>
      </c>
      <c r="AT5" s="41"/>
      <c r="AU5" s="41"/>
      <c r="AV5" s="41"/>
      <c r="AW5" s="41"/>
      <c r="AX5" s="41"/>
      <c r="AY5" s="41">
        <v>15.9</v>
      </c>
      <c r="AZ5" s="41">
        <v>9.3000000000000007</v>
      </c>
      <c r="BA5" s="41">
        <v>16.2</v>
      </c>
      <c r="BB5" s="41">
        <v>16.73</v>
      </c>
      <c r="BC5" s="41">
        <v>0</v>
      </c>
      <c r="BD5" s="41">
        <v>15.8</v>
      </c>
      <c r="BE5" s="41">
        <v>9</v>
      </c>
      <c r="BF5" s="41">
        <v>16.2</v>
      </c>
      <c r="BG5" s="41">
        <v>17.14</v>
      </c>
      <c r="BH5" s="41">
        <v>0</v>
      </c>
      <c r="BI5" s="41">
        <v>15.7</v>
      </c>
      <c r="BJ5" s="41">
        <v>9.4</v>
      </c>
      <c r="BK5" s="41">
        <v>16.2</v>
      </c>
      <c r="BL5" s="41">
        <v>16.940000000000001</v>
      </c>
      <c r="BM5" s="41">
        <v>0</v>
      </c>
      <c r="BN5" s="45"/>
      <c r="BO5" s="14" t="str">
        <f>IF(SUM(AT5:AW5)-AX5&gt;0,SUM(AT5:AW5)-AX5,"")</f>
        <v/>
      </c>
      <c r="BP5" s="14">
        <f>IF(BA5&gt;0,BA5,"")</f>
        <v>16.2</v>
      </c>
      <c r="BQ5" s="14">
        <f>IF(SUM(AY5:BB5)-BC5&gt;0,SUM(AY5:BB5)-BC5,"")</f>
        <v>58.13000000000001</v>
      </c>
      <c r="BR5" s="14">
        <f>IF(BF5&gt;0,BF5,"")</f>
        <v>16.2</v>
      </c>
      <c r="BS5" s="14">
        <f>IF(SUM(BD5:BG5)-BH5&gt;0,SUM(BD5:BG5)-BH5,"")</f>
        <v>58.14</v>
      </c>
      <c r="BT5" s="14">
        <f>IF(BO5="",IF(MAX(BQ5,BS5)&gt;0,MAX(BQ5,BS5),""),MAX(BQ5,BS5)+BO5)</f>
        <v>58.14</v>
      </c>
      <c r="BU5" s="14">
        <f>IF(BK5&gt;0,BK5,"")</f>
        <v>16.2</v>
      </c>
      <c r="BV5" s="14">
        <f>IF(SUM(BI5:BL5)-BM5&gt;0,SUM(BI5:BL5)-BM5,"")</f>
        <v>58.239999999999995</v>
      </c>
      <c r="BW5" s="14">
        <f>IF(SUM(BT5,BV5)&gt;0,SUM(BT5,BV5),"")</f>
        <v>116.38</v>
      </c>
      <c r="BX5" s="37"/>
      <c r="BY5" s="37"/>
      <c r="BZ5" s="37"/>
      <c r="CA5" s="37"/>
      <c r="CB5" s="37"/>
      <c r="CC5" s="37">
        <v>4.5</v>
      </c>
      <c r="CD5" s="37">
        <v>2.9</v>
      </c>
      <c r="CE5" s="37">
        <v>5.5</v>
      </c>
      <c r="CF5" s="37">
        <v>5.5</v>
      </c>
      <c r="CG5" s="37">
        <v>0</v>
      </c>
      <c r="CH5" s="37">
        <v>14.1</v>
      </c>
      <c r="CI5" s="37">
        <v>8.8000000000000007</v>
      </c>
      <c r="CJ5" s="37">
        <v>14.5</v>
      </c>
      <c r="CK5" s="37">
        <v>17.36</v>
      </c>
      <c r="CL5" s="37">
        <v>0</v>
      </c>
      <c r="CM5" s="37">
        <v>15.2</v>
      </c>
      <c r="CN5" s="37">
        <v>9.4</v>
      </c>
      <c r="CO5" s="37">
        <v>16.2</v>
      </c>
      <c r="CP5" s="37">
        <v>17.78</v>
      </c>
      <c r="CQ5" s="37">
        <v>0</v>
      </c>
      <c r="CR5" s="44"/>
      <c r="CS5" s="11" t="str">
        <f>IF(SUM(BX5:CA5)-CB5&gt;0,SUM(BX5:CA5)-CB5,"")</f>
        <v/>
      </c>
      <c r="CT5" s="11">
        <f>IF(CE5&gt;0,CE5,"")</f>
        <v>5.5</v>
      </c>
      <c r="CU5" s="11">
        <f>IF(SUM(CC5:CF5)-CG5&gt;0,SUM(CC5:CF5)-CG5,"")</f>
        <v>18.399999999999999</v>
      </c>
      <c r="CV5" s="11">
        <f>IF(CJ5&gt;0,CJ5,"")</f>
        <v>14.5</v>
      </c>
      <c r="CW5" s="11">
        <f>IF(SUM(CH5:CK5)-CL5&gt;0,SUM(CH5:CK5)-CL5,"")</f>
        <v>54.76</v>
      </c>
      <c r="CX5" s="11">
        <f>IF(CS5="",IF(MAX(CU5,CW5)&gt;0,MAX(CU5,CW5),""),MAX(CU5,CW5)+CS5)</f>
        <v>54.76</v>
      </c>
      <c r="CY5" s="11">
        <f>IF(CO5&gt;0,CO5,"")</f>
        <v>16.2</v>
      </c>
      <c r="CZ5" s="11">
        <f>IF(SUM(CM5:CP5)-CQ5&gt;0,SUM(CM5:CP5)-CQ5,"")</f>
        <v>58.58</v>
      </c>
      <c r="DA5" s="11">
        <f>IF(SUM(CX5,CZ5)&gt;0,SUM(CX5,CZ5),"")</f>
        <v>113.34</v>
      </c>
      <c r="DB5" s="18" t="str">
        <f>IF(K5&gt;=0.001,IF(MAX(DT5,DU5,EP5,EQ5,FL5,FM5,GH5,GI5,HD5,HE5,HZ5,IA5,IV5,IW5,JR5,JS5,KN5,KO5,LJ5,LK5,MF5,MG5,NB5,NC5)-IF(K5="",0,K5)&gt;0.001,MAX(DT5,DU5,EP5,EQ5,FL5,FM5,GH5,GI5,HD5,HE5,HZ5,IA5,IV5,IW5,JR5,JS5,KN5,KO5,LJ5,LK5,MF5,MG5,NB5,NC5)-IF(K5="",0,K5),""),"")</f>
        <v/>
      </c>
      <c r="DC5" s="18" t="str">
        <f>IF(K5&gt;=0.001,IF(MAX(DX5,ET5,FP5,GL5,HH5,ID5,IZ5,JV5,KR5,LN5,MJ5,NF5)-IF(K5="",0,K5)&gt;0.001,MAX(DX5,ET5,FP5,GL5,HH5,ID5,IZ5,JV5,KR5,LN5,MJ5,NF5)-IF(K5="",0,K5),""),"")</f>
        <v/>
      </c>
      <c r="DD5" s="24">
        <v>17.7</v>
      </c>
      <c r="DE5" s="24">
        <v>9.5</v>
      </c>
      <c r="DF5" s="24">
        <v>5</v>
      </c>
      <c r="DG5" s="24">
        <v>17.73</v>
      </c>
      <c r="DH5" s="24">
        <v>0</v>
      </c>
      <c r="DI5" s="24">
        <v>14.9</v>
      </c>
      <c r="DJ5" s="24">
        <v>9.1999999999999993</v>
      </c>
      <c r="DK5" s="24">
        <v>15.4</v>
      </c>
      <c r="DL5" s="24">
        <v>16.43</v>
      </c>
      <c r="DM5" s="24"/>
      <c r="DN5" s="24"/>
      <c r="DO5" s="24"/>
      <c r="DP5" s="24"/>
      <c r="DQ5" s="24"/>
      <c r="DR5" s="24"/>
      <c r="DS5" s="11">
        <f>IF(DK5&gt;0,DK5,"")</f>
        <v>15.4</v>
      </c>
      <c r="DT5" s="11">
        <f>IF(SUM(DD5:DG5)-DH5&gt;0,SUM(DD5:DG5)-DH5,"")</f>
        <v>49.930000000000007</v>
      </c>
      <c r="DU5" s="11">
        <f>IF(SUM(DI5:DL5)-DM5&gt;0,SUM(DI5:DL5)-DM5,"")</f>
        <v>55.93</v>
      </c>
      <c r="DV5" s="11">
        <f>IF(SUM(DT5:DU5)&gt;0,SUM(DT5:DU5),"")</f>
        <v>105.86000000000001</v>
      </c>
      <c r="DW5" s="11" t="str">
        <f>IF(DP5&gt;0,DP5,"")</f>
        <v/>
      </c>
      <c r="DX5" s="11" t="str">
        <f>IF(SUM(DN5:DQ5)-DR5&gt;0,SUM(DN5:DQ5)-DR5,"")</f>
        <v/>
      </c>
      <c r="DY5" s="11">
        <f>IF(SUM(DV5,DX5)&gt;0,SUM(DV5,DX5),"")</f>
        <v>105.86000000000001</v>
      </c>
      <c r="DZ5" s="25">
        <v>17.8</v>
      </c>
      <c r="EA5" s="25">
        <v>9</v>
      </c>
      <c r="EB5" s="25">
        <v>2.7</v>
      </c>
      <c r="EC5" s="25">
        <v>17.754999999999999</v>
      </c>
      <c r="ED5" s="25">
        <v>0</v>
      </c>
      <c r="EE5" s="25">
        <v>14.4</v>
      </c>
      <c r="EF5" s="25">
        <v>9.5</v>
      </c>
      <c r="EG5" s="25">
        <v>15.4</v>
      </c>
      <c r="EH5" s="25">
        <v>16.574999999999999</v>
      </c>
      <c r="EI5" s="25">
        <v>0</v>
      </c>
      <c r="EJ5" s="25">
        <v>3</v>
      </c>
      <c r="EK5" s="25">
        <v>1.8</v>
      </c>
      <c r="EL5" s="25">
        <v>3.2</v>
      </c>
      <c r="EM5" s="25">
        <v>3.5649999999999999</v>
      </c>
      <c r="EN5" s="25">
        <v>0</v>
      </c>
      <c r="EO5" s="14">
        <f>IF(EG5&gt;0,EG5,"")</f>
        <v>15.4</v>
      </c>
      <c r="EP5" s="14">
        <f>IF(SUM(DZ5:EC5)-ED5&gt;0,SUM(DZ5:EC5)-ED5,"")</f>
        <v>47.254999999999995</v>
      </c>
      <c r="EQ5" s="14">
        <f>IF(SUM(EE5:EH5)-EI5&gt;0,SUM(EE5:EH5)-EI5,"")</f>
        <v>55.875</v>
      </c>
      <c r="ER5" s="14">
        <f>IF(SUM(EP5:EQ5)&gt;0,SUM(EP5:EQ5),"")</f>
        <v>103.13</v>
      </c>
      <c r="ES5" s="14">
        <f>IF(EL5&gt;0,EL5,"")</f>
        <v>3.2</v>
      </c>
      <c r="ET5" s="14">
        <f>IF(SUM(EJ5:EM5)-EN5&gt;0,SUM(EJ5:EM5)-EN5,"")</f>
        <v>11.565</v>
      </c>
      <c r="EU5" s="14">
        <f>IF(SUM(ER5,ET5)&gt;0,SUM(ER5,ET5),"")</f>
        <v>114.69499999999999</v>
      </c>
      <c r="EV5" s="24">
        <v>13.2</v>
      </c>
      <c r="EW5" s="24">
        <v>8.6999999999999993</v>
      </c>
      <c r="EX5" s="24">
        <v>15</v>
      </c>
      <c r="EY5" s="24">
        <v>16.04</v>
      </c>
      <c r="EZ5" s="24">
        <v>0</v>
      </c>
      <c r="FA5" s="24">
        <v>1.4</v>
      </c>
      <c r="FB5" s="24">
        <v>1</v>
      </c>
      <c r="FC5" s="24">
        <v>2</v>
      </c>
      <c r="FD5" s="24">
        <v>1.77</v>
      </c>
      <c r="FE5" s="24">
        <v>0</v>
      </c>
      <c r="FF5" s="24"/>
      <c r="FG5" s="24"/>
      <c r="FH5" s="24"/>
      <c r="FI5" s="24"/>
      <c r="FJ5" s="24"/>
      <c r="FK5" s="11">
        <f>IF(FC5&gt;0,FC5,"")</f>
        <v>2</v>
      </c>
      <c r="FL5" s="11">
        <f>IF(SUM(EV5:EY5)-EZ5&gt;0,SUM(EV5:EY5)-EZ5,"")</f>
        <v>52.94</v>
      </c>
      <c r="FM5" s="11">
        <f>IF(SUM(FA5:FD5)-FE5&gt;0,SUM(FA5:FD5)-FE5,"")</f>
        <v>6.17</v>
      </c>
      <c r="FN5" s="11">
        <f>IF(SUM(FL5:FM5)&gt;0,SUM(FL5:FM5),"")</f>
        <v>59.11</v>
      </c>
      <c r="FO5" s="11" t="str">
        <f>IF(FH5&gt;0,FH5,"")</f>
        <v/>
      </c>
      <c r="FP5" s="11" t="str">
        <f>IF(SUM(FF5:FI5)-FJ5&gt;0,SUM(FF5:FI5)-FJ5,"")</f>
        <v/>
      </c>
      <c r="FQ5" s="11">
        <f>IF(SUM(FN5,FP5)&gt;0,SUM(FN5,FP5),"")</f>
        <v>59.11</v>
      </c>
      <c r="FR5" s="25">
        <v>4.5999999999999996</v>
      </c>
      <c r="FS5" s="25">
        <v>2.7</v>
      </c>
      <c r="FT5" s="25">
        <v>5.5</v>
      </c>
      <c r="FU5" s="25">
        <v>5.35</v>
      </c>
      <c r="FV5" s="25">
        <v>0</v>
      </c>
      <c r="FW5" s="25">
        <v>14.6</v>
      </c>
      <c r="FX5" s="25">
        <v>9.1</v>
      </c>
      <c r="FY5" s="25">
        <v>16.2</v>
      </c>
      <c r="FZ5" s="25">
        <v>16.95</v>
      </c>
      <c r="GA5" s="25">
        <v>0</v>
      </c>
      <c r="GB5" s="25"/>
      <c r="GC5" s="25"/>
      <c r="GD5" s="25"/>
      <c r="GE5" s="25"/>
      <c r="GF5" s="25"/>
      <c r="GG5" s="14">
        <f>IF(FY5&gt;0,FY5,"")</f>
        <v>16.2</v>
      </c>
      <c r="GH5" s="14">
        <f>IF(SUM(FR5:FU5)-FV5&gt;0,SUM(FR5:FU5)-FV5,"")</f>
        <v>18.149999999999999</v>
      </c>
      <c r="GI5" s="14">
        <f>IF(SUM(FW5:FZ5)-GA5&gt;0,SUM(FW5:FZ5)-GA5,"")</f>
        <v>56.849999999999994</v>
      </c>
      <c r="GJ5" s="14">
        <f>IF(SUM(GH5:GI5)&gt;0,SUM(GH5:GI5),"")</f>
        <v>75</v>
      </c>
      <c r="GK5" s="14" t="str">
        <f>IF(GD5&gt;0,GD5,"")</f>
        <v/>
      </c>
      <c r="GL5" s="14" t="str">
        <f>IF(SUM(GB5:GE5)-GF5&gt;0,SUM(GB5:GE5)-GF5,"")</f>
        <v/>
      </c>
      <c r="GM5" s="14">
        <f>IF(SUM(GJ5,GL5)&gt;0,SUM(GJ5,GL5),"")</f>
        <v>75</v>
      </c>
      <c r="GN5" s="24">
        <v>1.6</v>
      </c>
      <c r="GO5" s="24">
        <v>1</v>
      </c>
      <c r="GP5" s="24">
        <v>2</v>
      </c>
      <c r="GQ5" s="24">
        <v>1.825</v>
      </c>
      <c r="GR5" s="24">
        <v>0</v>
      </c>
      <c r="GS5" s="24">
        <v>15.1</v>
      </c>
      <c r="GT5" s="24">
        <v>8.9</v>
      </c>
      <c r="GU5" s="24">
        <v>16.2</v>
      </c>
      <c r="GV5" s="24">
        <v>16.86</v>
      </c>
      <c r="GW5" s="24">
        <v>0</v>
      </c>
      <c r="GX5" s="24"/>
      <c r="GY5" s="24"/>
      <c r="GZ5" s="24"/>
      <c r="HA5" s="24"/>
      <c r="HB5" s="24"/>
      <c r="HC5" s="11">
        <f>IF(GU5&gt;0,GU5,"")</f>
        <v>16.2</v>
      </c>
      <c r="HD5" s="11">
        <f>IF(SUM(GN5:GQ5)-GR5&gt;0,SUM(GN5:GQ5)-GR5,"")</f>
        <v>6.4249999999999998</v>
      </c>
      <c r="HE5" s="11">
        <f>IF(SUM(GS5:GV5)-GW5&gt;0,SUM(GS5:GV5)-GW5,"")</f>
        <v>57.06</v>
      </c>
      <c r="HF5" s="11">
        <f>IF(SUM(HD5:HE5)&gt;0,SUM(HD5:HE5),"")</f>
        <v>63.484999999999999</v>
      </c>
      <c r="HG5" s="11" t="str">
        <f>IF(GZ5&gt;0,GZ5,"")</f>
        <v/>
      </c>
      <c r="HH5" s="11" t="str">
        <f>IF(SUM(GX5:HA5)-HB5&gt;0,SUM(GX5:HA5)-HB5,"")</f>
        <v/>
      </c>
      <c r="HI5" s="11">
        <f>IF(SUM(HF5,HH5)&gt;0,SUM(HF5,HH5),"")</f>
        <v>63.484999999999999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7">
        <f>IF($CR5="P",BX5,(BX5+AT5)/2)</f>
        <v>0</v>
      </c>
      <c r="NI5" s="37">
        <f>IF($CR5="P",BY5,(BY5+AU5)/2)</f>
        <v>0</v>
      </c>
      <c r="NJ5" s="37">
        <f>IF($CR5="P",BZ5,(BZ5+AV5)/2)</f>
        <v>0</v>
      </c>
      <c r="NK5" s="37">
        <f>IF($CR5="P",CA5,(CA5+AW5)/2)</f>
        <v>0</v>
      </c>
      <c r="NL5" s="37">
        <f>IF($CR5="P",CB5,(CB5+AX5)/2)</f>
        <v>0</v>
      </c>
      <c r="NM5" s="37">
        <f>IF($CR5="P",CC5,(CC5+AY5)/2)</f>
        <v>10.199999999999999</v>
      </c>
      <c r="NN5" s="37">
        <f>IF($CR5="P",CD5,(CD5+AZ5)/2)</f>
        <v>6.1000000000000005</v>
      </c>
      <c r="NO5" s="37">
        <f>IF($CR5="P",CE5,(CE5+BA5)/2)</f>
        <v>10.85</v>
      </c>
      <c r="NP5" s="37">
        <f>IF($CR5="P",CF5,(CF5+BB5)/2)</f>
        <v>11.115</v>
      </c>
      <c r="NQ5" s="37">
        <f>IF($CR5="P",CG5,(CG5+BC5)/2)</f>
        <v>0</v>
      </c>
      <c r="NR5" s="37">
        <f>IF($CR5="P",CH5,(CH5+BD5)/2)</f>
        <v>14.95</v>
      </c>
      <c r="NS5" s="37">
        <f>IF($CR5="P",CI5,(CI5+BE5)/2)</f>
        <v>8.9</v>
      </c>
      <c r="NT5" s="37">
        <f>IF($CR5="P",CJ5,(CJ5+BF5)/2)</f>
        <v>15.35</v>
      </c>
      <c r="NU5" s="37">
        <f>IF($CR5="P",CK5,(CK5+BG5)/2)</f>
        <v>17.25</v>
      </c>
      <c r="NV5" s="37">
        <f>IF($CR5="P",CL5,(CL5+BH5)/2)</f>
        <v>0</v>
      </c>
      <c r="NW5" s="37">
        <f>IF($CR5="P",CM5,(CM5+BI5)/2)</f>
        <v>15.45</v>
      </c>
      <c r="NX5" s="37">
        <f>IF($CR5="P",CN5,(CN5+BJ5)/2)</f>
        <v>9.4</v>
      </c>
      <c r="NY5" s="37">
        <f>IF($CR5="P",CO5,(CO5+BK5)/2)</f>
        <v>16.2</v>
      </c>
      <c r="NZ5" s="37">
        <f>IF($CR5="P",CP5,(CP5+BL5)/2)</f>
        <v>17.36</v>
      </c>
      <c r="OA5" s="37">
        <f>IF($CR5="P",CQ5,(CQ5+BM5)/2)</f>
        <v>0</v>
      </c>
      <c r="OB5" s="44" t="s">
        <v>46</v>
      </c>
      <c r="OC5" s="11" t="str">
        <f>IF(SUM(NH5:NK5)-NL5&gt;0,SUM(NH5:NK5)-NL5,"")</f>
        <v/>
      </c>
      <c r="OD5" s="11">
        <f>IF(NO5&gt;0,NO5,"")</f>
        <v>10.85</v>
      </c>
      <c r="OE5" s="11">
        <f>IF(SUM(NM5:NP5)-NQ5&gt;0,SUM(NM5:NP5)-NQ5,"")</f>
        <v>38.265000000000001</v>
      </c>
      <c r="OF5" s="11">
        <f>IF(NT5&gt;0,NT5,"")</f>
        <v>15.35</v>
      </c>
      <c r="OG5" s="11">
        <f>IF(SUM(NR5:NU5)-NV5&gt;0,SUM(NR5:NU5)-NV5,"")</f>
        <v>56.45</v>
      </c>
      <c r="OH5" s="11" t="e">
        <f>IF(OR(OC5&lt;&gt;"",OE5&lt;&gt;"",OG5&lt;&gt;""),OC5+MAX(OE5,OG5),"")</f>
        <v>#VALUE!</v>
      </c>
      <c r="OI5" s="11">
        <f>IF(NY5&gt;0,NY5,"")</f>
        <v>16.2</v>
      </c>
      <c r="OJ5" s="11">
        <f t="shared" si="0"/>
        <v>58.41</v>
      </c>
      <c r="OK5" s="11" t="e">
        <f t="shared" ref="OK5:OK10" si="1">IF(SUM(OH5,OJ5)&gt;0,SUM(OH5,OJ5),"")</f>
        <v>#VALUE!</v>
      </c>
    </row>
    <row r="6" spans="1:401" x14ac:dyDescent="0.2">
      <c r="A6" s="5" cm="1">
        <f t="array" ref="A6">IF(AND(F6="P",G6="P"),SUMPRODUCT((F$4:F$37="P")*(G$4:G$37="P")*(E$4:E$37&gt;E6))+1,IF(G6="P",SUMPRODUCT((F$4:F$37="")*(G$4:G$37="P")*(E$4:E$37&gt;E6))+1+SUMPRODUCT((F$4:F$37="P")*(G$4:G$37="P")),""))</f>
        <v>3</v>
      </c>
      <c r="B6" s="6" t="s">
        <v>68</v>
      </c>
      <c r="C6" s="7" t="s">
        <v>5</v>
      </c>
      <c r="D6" s="5">
        <v>2003</v>
      </c>
      <c r="E6" s="15">
        <f>SUM(I6:M6)+I6*0.0000001</f>
        <v>109.610005487</v>
      </c>
      <c r="F6" s="3" t="str">
        <f>IF(OR(AND(AL6&gt;=AS$39,AM6&gt;=AS$43,AL6&lt;&gt;"",AJ6=""),AND(AN6&gt;=AS$39,AO6&gt;=AS$43,AN6&lt;&gt;"",AN6=""),AND(AQ6&gt;=AS$39,AR6&gt;=AS$43,AQ6&lt;&gt;"",AJ6=""),AND(BP6&gt;=BW$39,BQ6&gt;=BW$43,BP6&lt;&gt;"",BN6=""),AND(BR6&gt;=BW$39,BS6&gt;=BW$43,BR6&lt;&gt;"",BN6=""),AND(BU6&gt;=BW$39,BV6&gt;=BW$43,BU6&lt;&gt;"",BN6=""),AND(CT6&gt;=DA$39,CU6&gt;=DA$43,CT6&lt;&gt;"",CR6=""),AND(CV6&gt;=DA$39,CW6&gt;=DA$43,CV6&lt;&gt;"",CR6=""),AND(CY6&gt;=DA$39,CZ6&gt;=DA$43,CY6&lt;&gt;"",CR6=""),AND(DS6&gt;=DY$39,DU6&gt;=DY$43,DS6&lt;&gt;""),AND(DW6&gt;=DY$39,DX6&gt;=DY$43,DW6&lt;&gt;""),AND(EO6&gt;=EU$39,EQ6&gt;=EU$43,EO6&lt;&gt;""),AND(ES6&gt;=EU$39,ET6&gt;=EU$43,ES6&lt;&gt;""),AND(FK6&gt;=FQ$39,FM6&gt;=FQ$43,FK6&lt;&gt;""),AND(FO6&gt;=FQ$39,FP6&gt;=FQ$43,FO6&lt;&gt;""),AND(GG6&gt;=GM$39,GI6&gt;=GM$43,GG6&lt;&gt;""),AND(GK6&gt;=GM$39,GL6&gt;=GM$43,GK6&lt;&gt;""),AND(HC6&gt;=HI$39,HE6&gt;=HI$43,HC6&lt;&gt;""),AND(HG6&gt;=HI$39,HH6&gt;=HI$43,HG6&lt;&gt;""),AND(HY6&gt;=IE$39,IA6&gt;=IE$43,HY6&lt;&gt;""),AND(IC6&gt;=IE$39,ID6&gt;=IE$43,IC6&lt;&gt;""),AND(IU6&gt;=JA$39,IW6&gt;=JA$43,IU6&lt;&gt;""),AND(IY6&gt;=JA$39,IZ6&gt;=JA$43,IY6&lt;&gt;""),AND(JQ6&gt;=JW$39,JS6&gt;=JW$43,JQ6&lt;&gt;""),AND(JU6&gt;=JW$39,JV6&gt;=JW$43,JU6&lt;&gt;""),AND(KM6&gt;=KS$39,KO6&gt;=KS$43,KM6&lt;&gt;""),AND(KQ6&gt;=KS$39,KR6&gt;=KS$43,KQ6&lt;&gt;""),AND(LI6&gt;=LO$39,LK6&gt;=LO$43,LI6&lt;&gt;""),AND(LM6&gt;=LO$39,LN6&gt;=LO$43,LM6&lt;&gt;""),AND(ME6&gt;=MK$39,MG6&gt;=MK$43,ME6&lt;&gt;""),AND(MI6&gt;=MK$39,MJ6&gt;=MK$43,MI6&lt;&gt;""),AND(NA6&gt;=NG$39,NC6&gt;=NG$43,NA6&lt;&gt;""),AND(NE6&gt;=NG$39,NF6&gt;=NG$43,NE6&lt;&gt;"")),"P","")</f>
        <v>P</v>
      </c>
      <c r="G6" s="3" t="str">
        <f>IF(OR(AND(AM6&gt;=AS$43,AL6&lt;&gt;"",AJ6=""),AND(AO6&gt;=AS$43,AN6&lt;&gt;"",AN6=""),AND(AR6&gt;=AS$43,AQ6&lt;&gt;"",AJ6=""),AND(BQ6&gt;=BW$43,BP6&lt;&gt;"",BN6=""),AND(BS6&gt;=BW$43,BR6&lt;&gt;"",BN6=""),AND(BV6&gt;=BW$43,BU6&lt;&gt;"",BN6=""),AND(CU6&gt;=DA$43,CT6&lt;&gt;"",CR6=""),AND(CW6&gt;=DA$43,CV6&lt;&gt;"",CR6=""),AND(CZ6&gt;=DA$43,CY6&lt;&gt;"",CR6=""),AND(DU6&gt;=DY$43,DS6&lt;&gt;""),AND(DX6&gt;=DY$43,DW6&lt;&gt;""),AND(EQ6&gt;=EU$43,EO6&lt;&gt;""),AND(ET6&gt;=EU$43,ES6&lt;&gt;""),AND(FM6&gt;=FQ$43,FK6&lt;&gt;""),AND(FP6&gt;=FQ$43,FO6&lt;&gt;""),AND(GI6&gt;=GM$43,GG6&lt;&gt;""),AND(GL6&gt;=GM$43,GK6&lt;&gt;""),AND(HE6&gt;=HI$43,HC6&lt;&gt;""),AND(HH6&gt;=HI$43,HG6&lt;&gt;""),AND(IA6&gt;=IE$43,HY6&lt;&gt;""),AND(ID6&gt;=IE$43,IC6&lt;&gt;""),AND(IW6&gt;=JA$43,IU6&lt;&gt;""),AND(IZ6&gt;=JA$43,IY6&lt;&gt;""),AND(JS6&gt;=JW$43,JQ6&lt;&gt;""),AND(JV6&gt;=JW$43,JU6&lt;&gt;""),AND(KO6&gt;=KS$43,KM6&lt;&gt;""),AND(KR6&gt;=KS$43,KQ6&lt;&gt;""),AND(LK6&gt;=LO$43,LI6&lt;&gt;""),AND(LN6&gt;=LO$43,LM6&lt;&gt;""),AND(MG6&gt;=MK$43,ME6&lt;&gt;""),AND(MJ6&gt;=MK$43,MI6&lt;&gt;""),AND(NC6&gt;=NG$43,NA6&lt;&gt;""),AND(NF6&gt;=NG$43,NE6&lt;&gt;"")),"P","")</f>
        <v>P</v>
      </c>
      <c r="H6" s="66" t="str">
        <f>IF(F6="P","National Team",IF(G6="P","No DD",""))</f>
        <v>National Team</v>
      </c>
      <c r="I6" s="14">
        <f>MAX(AM6,AO6,AR6,BQ6,BS6,BV6,CU6,CW6,CZ6)</f>
        <v>54.870000000000005</v>
      </c>
      <c r="J6" s="14" t="str">
        <f>IF(I6=0,"",IF(OR(I6=CW6,I6=CU6,I6=CZ6),$BX$1,IF(OR(I6=BS6,I6=BQ6,I6=BV6),$AT$1,IF(OR(I6=AO6,I6=AM6,I6=AR6),$P$1,""))))</f>
        <v>2022 3rd Domestic Trial</v>
      </c>
      <c r="K6" s="14">
        <f>IF(COUNT(AM6,AO6,AR6,BQ6,BS6,BV6,CU6,CW6,CZ6)&gt;1,LARGE((AM6,AO6,AR6,BQ6,BS6,BV6,CU6,CW6,CZ6),2),0)</f>
        <v>54.739999999999995</v>
      </c>
      <c r="L6" s="14" t="str">
        <f>IF(K6=0,"",IF(OR(K6=CW6,K6=CU6,K6=CZ6),$BX$1,IF(OR(K6=BS6,K6=BQ6,K6=BV6),$AT$1,IF(OR(K6=AO6,K6=AM6,K6=AR6),$P$1,""))))</f>
        <v>2022 3rd Domestic Trial</v>
      </c>
      <c r="M6" s="14" t="str">
        <f>IF(MAX(DB6,DC6)&gt;0,MAX(DB6,DC6),"")</f>
        <v/>
      </c>
      <c r="N6" s="19" t="str">
        <f>IF(M6="","",IF(M6=DB6,"(Prelim)",IF(M6=DC6,"(Final)")))</f>
        <v/>
      </c>
      <c r="O6" s="14" t="str">
        <f>IF(M6="","",IF(M6=DB6,IF(M6+IF(K6="",0,K6)=NC6,$ML$1,IF(M6+IF(K6="",0,K6)=MG6,$LP$1,IF(M6+IF(K6="",0,K6)=LK6,$KT$1,IF(M6+IF(K6="",0,K6)=KO6,$JX$1,IF(M6+IF(K6="",0,K6)=JS6,$JB$1,IF(M6+IF(K6="",0,K6)=IW6,$IF$1,IF(M6+IF(K6="",0,K6)=IA6,$HJ$1,IF(M6+IF(K6="",0,K6)=HE6,$GN$1,IF(M6+IF(K6="",0,K6)=GI6,$FR$1,IF(M6+IF(K6="",0,K6)=FM6,$EV$1,IF(M6+IF(K6="",0,K6)=EQ6,$DZ$1,IF(M6+IF(K6="",0,K6)=DU6,$DD$1,IF(M6+IF(K6="",0,K6)=NB6,$ML$1,IF(M6+IF(K6="",0,K6)=MF6,$LP$1,IF(M6+IF(K6="",0,K6)=LJ6,$KT$1,IF(M6+IF(K6="",0,K6)=KN6,$JX$1,IF(M6+IF(K6="",0,K6)=JR6,$JB$1,IF(M6+IF(K6="",0,K6)=IV6,$IF$1,IF(M6+IF(K6="",0,K6)=HZ6,$HJ$1,IF(M6+IF(K6="",0,K6)=HD6,$GN$1,IF(M6+IF(K6="",0,K6)=GH6,$FR$1,IF(M6+IF(K6="",0,K6)=FL6,$EV$1,IF(M6+IF(K6="",0,K6)=EP6,$DZ$1,IF(M6+IF(K6="",0,K6)=DT6,$DD$1))))))))))))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</f>
        <v/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 t="str">
        <f>IF(SUM(P6:S6)-T6&gt;0,SUM(P6:S6)-T6,"")</f>
        <v/>
      </c>
      <c r="AL6" s="11" t="str">
        <f>IF(W6&gt;0,W6,"")</f>
        <v/>
      </c>
      <c r="AM6" s="11" t="str">
        <f>IF(SUM(U6:X6)-Y6&gt;0,SUM(U6:X6)-Y6,"")</f>
        <v/>
      </c>
      <c r="AN6" s="11" t="str">
        <f>IF(AB6&gt;0,AB6,"")</f>
        <v/>
      </c>
      <c r="AO6" s="11" t="str">
        <f>IF(SUM(Z6:AC6)-AD6&gt;0,SUM(Z6:AC6)-AD6,"")</f>
        <v/>
      </c>
      <c r="AP6" s="11" t="str">
        <f>IF(AK6="",IF(MAX(AM6,AO6)&gt;0,MAX(AM6,AO6),""),MAX(AM6,AO6)+AK6)</f>
        <v/>
      </c>
      <c r="AQ6" s="11" t="str">
        <f>IF(AG6&gt;0,AG6,"")</f>
        <v/>
      </c>
      <c r="AR6" s="11" t="str">
        <f>IF(SUM(AE6:AH6)-AI6&gt;0,SUM(AE6:AH6)-AI6,"")</f>
        <v/>
      </c>
      <c r="AS6" s="11" t="str">
        <f>IF(SUM(AP6,AR6)&gt;0,SUM(AP6,AR6),"")</f>
        <v/>
      </c>
      <c r="AT6" s="41"/>
      <c r="AU6" s="41"/>
      <c r="AV6" s="41"/>
      <c r="AW6" s="41"/>
      <c r="AX6" s="41"/>
      <c r="AY6" s="41">
        <v>15.2</v>
      </c>
      <c r="AZ6" s="41">
        <v>9.1999999999999993</v>
      </c>
      <c r="BA6" s="41">
        <v>13.1</v>
      </c>
      <c r="BB6" s="41">
        <v>16.38</v>
      </c>
      <c r="BC6" s="41">
        <v>0.4</v>
      </c>
      <c r="BD6" s="41">
        <v>6.4</v>
      </c>
      <c r="BE6" s="41">
        <v>3.9</v>
      </c>
      <c r="BF6" s="41">
        <v>6.9</v>
      </c>
      <c r="BG6" s="41">
        <v>6.87</v>
      </c>
      <c r="BH6" s="41">
        <v>0</v>
      </c>
      <c r="BI6" s="41">
        <v>15</v>
      </c>
      <c r="BJ6" s="41">
        <v>8.9</v>
      </c>
      <c r="BK6" s="41">
        <v>13.7</v>
      </c>
      <c r="BL6" s="41">
        <v>15.99</v>
      </c>
      <c r="BM6" s="41">
        <v>0</v>
      </c>
      <c r="BN6" s="45"/>
      <c r="BO6" s="14" t="str">
        <f>IF(SUM(AT6:AW6)-AX6&gt;0,SUM(AT6:AW6)-AX6,"")</f>
        <v/>
      </c>
      <c r="BP6" s="14">
        <f>IF(BA6&gt;0,BA6,"")</f>
        <v>13.1</v>
      </c>
      <c r="BQ6" s="14">
        <f>IF(SUM(AY6:BB6)-BC6&gt;0,SUM(AY6:BB6)-BC6,"")</f>
        <v>53.48</v>
      </c>
      <c r="BR6" s="14">
        <f>IF(BF6&gt;0,BF6,"")</f>
        <v>6.9</v>
      </c>
      <c r="BS6" s="14">
        <f>IF(SUM(BD6:BG6)-BH6&gt;0,SUM(BD6:BG6)-BH6,"")</f>
        <v>24.070000000000004</v>
      </c>
      <c r="BT6" s="14">
        <f>IF(BO6="",IF(MAX(BQ6,BS6)&gt;0,MAX(BQ6,BS6),""),MAX(BQ6,BS6)+BO6)</f>
        <v>53.48</v>
      </c>
      <c r="BU6" s="14">
        <f>IF(BK6&gt;0,BK6,"")</f>
        <v>13.7</v>
      </c>
      <c r="BV6" s="14">
        <f>IF(SUM(BI6:BL6)-BM6&gt;0,SUM(BI6:BL6)-BM6,"")</f>
        <v>53.589999999999996</v>
      </c>
      <c r="BW6" s="14">
        <f>IF(SUM(BT6,BV6)&gt;0,SUM(BT6,BV6),"")</f>
        <v>107.07</v>
      </c>
      <c r="BX6" s="37"/>
      <c r="BY6" s="37"/>
      <c r="BZ6" s="37"/>
      <c r="CA6" s="37"/>
      <c r="CB6" s="37"/>
      <c r="CC6" s="37">
        <v>14.02</v>
      </c>
      <c r="CD6" s="37">
        <v>9</v>
      </c>
      <c r="CE6" s="37">
        <v>15.8</v>
      </c>
      <c r="CF6" s="37">
        <v>16.12</v>
      </c>
      <c r="CG6" s="37">
        <v>0.2</v>
      </c>
      <c r="CH6" s="37">
        <v>6.6</v>
      </c>
      <c r="CI6" s="37">
        <v>4.8</v>
      </c>
      <c r="CJ6" s="37">
        <v>8.6</v>
      </c>
      <c r="CK6" s="37">
        <v>8.41</v>
      </c>
      <c r="CL6" s="37">
        <v>0</v>
      </c>
      <c r="CM6" s="37">
        <v>14</v>
      </c>
      <c r="CN6" s="37">
        <v>8.8000000000000007</v>
      </c>
      <c r="CO6" s="37">
        <v>15.8</v>
      </c>
      <c r="CP6" s="37">
        <v>16.27</v>
      </c>
      <c r="CQ6" s="37">
        <v>0</v>
      </c>
      <c r="CR6" s="44"/>
      <c r="CS6" s="11" t="str">
        <f>IF(SUM(BX6:CA6)-CB6&gt;0,SUM(BX6:CA6)-CB6,"")</f>
        <v/>
      </c>
      <c r="CT6" s="11">
        <f>IF(CE6&gt;0,CE6,"")</f>
        <v>15.8</v>
      </c>
      <c r="CU6" s="11">
        <f>IF(SUM(CC6:CF6)-CG6&gt;0,SUM(CC6:CF6)-CG6,"")</f>
        <v>54.739999999999995</v>
      </c>
      <c r="CV6" s="11">
        <f>IF(CJ6&gt;0,CJ6,"")</f>
        <v>8.6</v>
      </c>
      <c r="CW6" s="11">
        <f>IF(SUM(CH6:CK6)-CL6&gt;0,SUM(CH6:CK6)-CL6,"")</f>
        <v>28.41</v>
      </c>
      <c r="CX6" s="11">
        <f>IF(CS6="",IF(MAX(CU6,CW6)&gt;0,MAX(CU6,CW6),""),MAX(CU6,CW6)+CS6)</f>
        <v>54.739999999999995</v>
      </c>
      <c r="CY6" s="11">
        <f>IF(CO6&gt;0,CO6,"")</f>
        <v>15.8</v>
      </c>
      <c r="CZ6" s="11">
        <f>IF(SUM(CM6:CP6)-CQ6&gt;0,SUM(CM6:CP6)-CQ6,"")</f>
        <v>54.870000000000005</v>
      </c>
      <c r="DA6" s="11">
        <f>IF(SUM(CX6,CZ6)&gt;0,SUM(CX6,CZ6),"")</f>
        <v>109.61</v>
      </c>
      <c r="DB6" s="18" t="str">
        <f>IF(K6&gt;=0.001,IF(MAX(DT6,DU6,EP6,EQ6,FL6,FM6,GH6,GI6,HD6,HE6,HZ6,IA6,IV6,IW6,JR6,JS6,KN6,KO6,LJ6,LK6,MF6,MG6,NB6,NC6)-IF(K6="",0,K6)&gt;0.001,MAX(DT6,DU6,EP6,EQ6,FL6,FM6,GH6,GI6,HD6,HE6,HZ6,IA6,IV6,IW6,JR6,JS6,KN6,KO6,LJ6,LK6,MF6,MG6,NB6,NC6)-IF(K6="",0,K6),""),"")</f>
        <v/>
      </c>
      <c r="DC6" s="18" t="str">
        <f>IF(K6&gt;=0.001,IF(MAX(DX6,ET6,FP6,GL6,HH6,ID6,IZ6,JV6,KR6,LN6,MJ6,NF6)-IF(K6="",0,K6)&gt;0.001,MAX(DX6,ET6,FP6,GL6,HH6,ID6,IZ6,JV6,KR6,LN6,MJ6,NF6)-IF(K6="",0,K6),""),"")</f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7">
        <f>IF($CR6="P",BX6,(BX6+AT6)/2)</f>
        <v>0</v>
      </c>
      <c r="NI6" s="37">
        <f>IF($CR6="P",BY6,(BY6+AU6)/2)</f>
        <v>0</v>
      </c>
      <c r="NJ6" s="37">
        <f>IF($CR6="P",BZ6,(BZ6+AV6)/2)</f>
        <v>0</v>
      </c>
      <c r="NK6" s="37">
        <f>IF($CR6="P",CA6,(CA6+AW6)/2)</f>
        <v>0</v>
      </c>
      <c r="NL6" s="37">
        <f>IF($CR6="P",CB6,(CB6+AX6)/2)</f>
        <v>0</v>
      </c>
      <c r="NM6" s="37">
        <f>IF($CR6="P",CC6,(CC6+AY6)/2)</f>
        <v>14.61</v>
      </c>
      <c r="NN6" s="37">
        <f>IF($CR6="P",CD6,(CD6+AZ6)/2)</f>
        <v>9.1</v>
      </c>
      <c r="NO6" s="37">
        <f>IF($CR6="P",CE6,(CE6+BA6)/2)</f>
        <v>14.45</v>
      </c>
      <c r="NP6" s="37">
        <f>IF($CR6="P",CF6,(CF6+BB6)/2)</f>
        <v>16.25</v>
      </c>
      <c r="NQ6" s="37">
        <f>IF($CR6="P",CG6,(CG6+BC6)/2)</f>
        <v>0.30000000000000004</v>
      </c>
      <c r="NR6" s="37">
        <f>IF($CR6="P",CH6,(CH6+BD6)/2)</f>
        <v>6.5</v>
      </c>
      <c r="NS6" s="37">
        <f>IF($CR6="P",CI6,(CI6+BE6)/2)</f>
        <v>4.3499999999999996</v>
      </c>
      <c r="NT6" s="37">
        <f>IF($CR6="P",CJ6,(CJ6+BF6)/2)</f>
        <v>7.75</v>
      </c>
      <c r="NU6" s="37">
        <f>IF($CR6="P",CK6,(CK6+BG6)/2)</f>
        <v>7.6400000000000006</v>
      </c>
      <c r="NV6" s="37">
        <f>IF($CR6="P",CL6,(CL6+BH6)/2)</f>
        <v>0</v>
      </c>
      <c r="NW6" s="37">
        <f>IF($CR6="P",CM6,(CM6+BI6)/2)</f>
        <v>14.5</v>
      </c>
      <c r="NX6" s="37">
        <f>IF($CR6="P",CN6,(CN6+BJ6)/2)</f>
        <v>8.8500000000000014</v>
      </c>
      <c r="NY6" s="37">
        <f>IF($CR6="P",CO6,(CO6+BK6)/2)</f>
        <v>14.75</v>
      </c>
      <c r="NZ6" s="37">
        <f>IF($CR6="P",CP6,(CP6+BL6)/2)</f>
        <v>16.13</v>
      </c>
      <c r="OA6" s="37">
        <f>IF($CR6="P",CQ6,(CQ6+BM6)/2)</f>
        <v>0</v>
      </c>
      <c r="OB6" s="44" t="s">
        <v>46</v>
      </c>
      <c r="OC6" s="11" t="str">
        <f>IF(SUM(NH6:NK6)-NL6&gt;0,SUM(NH6:NK6)-NL6,"")</f>
        <v/>
      </c>
      <c r="OD6" s="11">
        <f>IF(NO6&gt;0,NO6,"")</f>
        <v>14.45</v>
      </c>
      <c r="OE6" s="11">
        <f>IF(SUM(NM6:NP6)-NQ6&gt;0,SUM(NM6:NP6)-NQ6,"")</f>
        <v>54.11</v>
      </c>
      <c r="OF6" s="11">
        <f>IF(NT6&gt;0,NT6,"")</f>
        <v>7.75</v>
      </c>
      <c r="OG6" s="11">
        <f>IF(SUM(NR6:NU6)-NV6&gt;0,SUM(NR6:NU6)-NV6,"")</f>
        <v>26.240000000000002</v>
      </c>
      <c r="OH6" s="11" t="e">
        <f>IF(OR(OC6&lt;&gt;"",OE6&lt;&gt;"",OG6&lt;&gt;""),OC6+MAX(OE6,OG6),"")</f>
        <v>#VALUE!</v>
      </c>
      <c r="OI6" s="11">
        <f>IF(NY6&gt;0,NY6,"")</f>
        <v>14.75</v>
      </c>
      <c r="OJ6" s="11">
        <f t="shared" si="0"/>
        <v>54.230000000000004</v>
      </c>
      <c r="OK6" s="11" t="e">
        <f t="shared" si="1"/>
        <v>#VALUE!</v>
      </c>
    </row>
    <row r="7" spans="1:401" x14ac:dyDescent="0.2">
      <c r="A7" s="5" cm="1">
        <f t="array" ref="A7">IF(AND(F7="P",G7="P"),SUMPRODUCT((F$4:F$37="P")*(G$4:G$37="P")*(E$4:E$37&gt;E7))+1,IF(G7="P",SUMPRODUCT((F$4:F$37="")*(G$4:G$37="P")*(E$4:E$37&gt;E7))+1+SUMPRODUCT((F$4:F$37="P")*(G$4:G$37="P")),""))</f>
        <v>4</v>
      </c>
      <c r="B7" s="6" t="s">
        <v>105</v>
      </c>
      <c r="C7" s="7" t="s">
        <v>106</v>
      </c>
      <c r="D7" s="21">
        <v>2004</v>
      </c>
      <c r="E7" s="15">
        <f>SUM(I7:M7)+I7*0.0000001</f>
        <v>107.340005367</v>
      </c>
      <c r="F7" s="3" t="str">
        <f>IF(OR(AND(AL7&gt;=AS$39,AM7&gt;=AS$43,AL7&lt;&gt;"",AJ7=""),AND(AN7&gt;=AS$39,AO7&gt;=AS$43,AN7&lt;&gt;"",AN7=""),AND(AQ7&gt;=AS$39,AR7&gt;=AS$43,AQ7&lt;&gt;"",AJ7=""),AND(BP7&gt;=BW$39,BQ7&gt;=BW$43,BP7&lt;&gt;"",BN7=""),AND(BR7&gt;=BW$39,BS7&gt;=BW$43,BR7&lt;&gt;"",BN7=""),AND(BU7&gt;=BW$39,BV7&gt;=BW$43,BU7&lt;&gt;"",BN7=""),AND(CT7&gt;=DA$39,CU7&gt;=DA$43,CT7&lt;&gt;"",CR7=""),AND(CV7&gt;=DA$39,CW7&gt;=DA$43,CV7&lt;&gt;"",CR7=""),AND(CY7&gt;=DA$39,CZ7&gt;=DA$43,CY7&lt;&gt;"",CR7=""),AND(DS7&gt;=DY$39,DU7&gt;=DY$43,DS7&lt;&gt;""),AND(DW7&gt;=DY$39,DX7&gt;=DY$43,DW7&lt;&gt;""),AND(EO7&gt;=EU$39,EQ7&gt;=EU$43,EO7&lt;&gt;""),AND(ES7&gt;=EU$39,ET7&gt;=EU$43,ES7&lt;&gt;""),AND(FK7&gt;=FQ$39,FM7&gt;=FQ$43,FK7&lt;&gt;""),AND(FO7&gt;=FQ$39,FP7&gt;=FQ$43,FO7&lt;&gt;""),AND(GG7&gt;=GM$39,GI7&gt;=GM$43,GG7&lt;&gt;""),AND(GK7&gt;=GM$39,GL7&gt;=GM$43,GK7&lt;&gt;""),AND(HC7&gt;=HI$39,HE7&gt;=HI$43,HC7&lt;&gt;""),AND(HG7&gt;=HI$39,HH7&gt;=HI$43,HG7&lt;&gt;""),AND(HY7&gt;=IE$39,IA7&gt;=IE$43,HY7&lt;&gt;""),AND(IC7&gt;=IE$39,ID7&gt;=IE$43,IC7&lt;&gt;""),AND(IU7&gt;=JA$39,IW7&gt;=JA$43,IU7&lt;&gt;""),AND(IY7&gt;=JA$39,IZ7&gt;=JA$43,IY7&lt;&gt;""),AND(JQ7&gt;=JW$39,JS7&gt;=JW$43,JQ7&lt;&gt;""),AND(JU7&gt;=JW$39,JV7&gt;=JW$43,JU7&lt;&gt;""),AND(KM7&gt;=KS$39,KO7&gt;=KS$43,KM7&lt;&gt;""),AND(KQ7&gt;=KS$39,KR7&gt;=KS$43,KQ7&lt;&gt;""),AND(LI7&gt;=LO$39,LK7&gt;=LO$43,LI7&lt;&gt;""),AND(LM7&gt;=LO$39,LN7&gt;=LO$43,LM7&lt;&gt;""),AND(ME7&gt;=MK$39,MG7&gt;=MK$43,ME7&lt;&gt;""),AND(MI7&gt;=MK$39,MJ7&gt;=MK$43,MI7&lt;&gt;""),AND(NA7&gt;=NG$39,NC7&gt;=NG$43,NA7&lt;&gt;""),AND(NE7&gt;=NG$39,NF7&gt;=NG$43,NE7&lt;&gt;"")),"P","")</f>
        <v>P</v>
      </c>
      <c r="G7" s="3" t="str">
        <f>IF(OR(AND(AM7&gt;=AS$43,AL7&lt;&gt;"",AJ7=""),AND(AO7&gt;=AS$43,AN7&lt;&gt;"",AN7=""),AND(AR7&gt;=AS$43,AQ7&lt;&gt;"",AJ7=""),AND(BQ7&gt;=BW$43,BP7&lt;&gt;"",BN7=""),AND(BS7&gt;=BW$43,BR7&lt;&gt;"",BN7=""),AND(BV7&gt;=BW$43,BU7&lt;&gt;"",BN7=""),AND(CU7&gt;=DA$43,CT7&lt;&gt;"",CR7=""),AND(CW7&gt;=DA$43,CV7&lt;&gt;"",CR7=""),AND(CZ7&gt;=DA$43,CY7&lt;&gt;"",CR7=""),AND(DU7&gt;=DY$43,DS7&lt;&gt;""),AND(DX7&gt;=DY$43,DW7&lt;&gt;""),AND(EQ7&gt;=EU$43,EO7&lt;&gt;""),AND(ET7&gt;=EU$43,ES7&lt;&gt;""),AND(FM7&gt;=FQ$43,FK7&lt;&gt;""),AND(FP7&gt;=FQ$43,FO7&lt;&gt;""),AND(GI7&gt;=GM$43,GG7&lt;&gt;""),AND(GL7&gt;=GM$43,GK7&lt;&gt;""),AND(HE7&gt;=HI$43,HC7&lt;&gt;""),AND(HH7&gt;=HI$43,HG7&lt;&gt;""),AND(IA7&gt;=IE$43,HY7&lt;&gt;""),AND(ID7&gt;=IE$43,IC7&lt;&gt;""),AND(IW7&gt;=JA$43,IU7&lt;&gt;""),AND(IZ7&gt;=JA$43,IY7&lt;&gt;""),AND(JS7&gt;=JW$43,JQ7&lt;&gt;""),AND(JV7&gt;=JW$43,JU7&lt;&gt;""),AND(KO7&gt;=KS$43,KM7&lt;&gt;""),AND(KR7&gt;=KS$43,KQ7&lt;&gt;""),AND(LK7&gt;=LO$43,LI7&lt;&gt;""),AND(LN7&gt;=LO$43,LM7&lt;&gt;""),AND(MG7&gt;=MK$43,ME7&lt;&gt;""),AND(MJ7&gt;=MK$43,MI7&lt;&gt;""),AND(NC7&gt;=NG$43,NA7&lt;&gt;""),AND(NF7&gt;=NG$43,NE7&lt;&gt;"")),"P","")</f>
        <v>P</v>
      </c>
      <c r="H7" s="66" t="str">
        <f>IF(F7="P","National Team",IF(G7="P","No DD",""))</f>
        <v>National Team</v>
      </c>
      <c r="I7" s="14">
        <f>MAX(AM7,AO7,AR7,BQ7,BS7,BV7,CU7,CW7,CZ7)</f>
        <v>53.67</v>
      </c>
      <c r="J7" s="14" t="str">
        <f>IF(I7=0,"",IF(OR(I7=CW7,I7=CU7,I7=CZ7),$BX$1,IF(OR(I7=BS7,I7=BQ7,I7=BV7),$AT$1,IF(OR(I7=AO7,I7=AM7,I7=AR7),$P$1,""))))</f>
        <v>2022 Nationals</v>
      </c>
      <c r="K7" s="14">
        <f>IF(COUNT(AM7,AO7,AR7,BQ7,BS7,BV7,CU7,CW7,CZ7)&gt;1,LARGE((AM7,AO7,AR7,BQ7,BS7,BV7,CU7,CW7,CZ7),2),0)</f>
        <v>53.67</v>
      </c>
      <c r="L7" s="14" t="str">
        <f>IF(K7=0,"",IF(OR(K7=CW7,K7=CU7,K7=CZ7),$BX$1,IF(OR(K7=BS7,K7=BQ7,K7=BV7),$AT$1,IF(OR(K7=AO7,K7=AM7,K7=AR7),$P$1,""))))</f>
        <v>2022 Nationals</v>
      </c>
      <c r="M7" s="14" t="str">
        <f>IF(MAX(DB7,DC7)&gt;0,MAX(DB7,DC7),"")</f>
        <v/>
      </c>
      <c r="N7" s="19" t="str">
        <f>IF(M7="","",IF(M7=DB7,"(Prelim)",IF(M7=DC7,"(Final)")))</f>
        <v/>
      </c>
      <c r="O7" s="14" t="str">
        <f>IF(M7="","",IF(M7=DB7,IF(M7+IF(K7="",0,K7)=NC7,$ML$1,IF(M7+IF(K7="",0,K7)=MG7,$LP$1,IF(M7+IF(K7="",0,K7)=LK7,$KT$1,IF(M7+IF(K7="",0,K7)=KO7,$JX$1,IF(M7+IF(K7="",0,K7)=JS7,$JB$1,IF(M7+IF(K7="",0,K7)=IW7,$IF$1,IF(M7+IF(K7="",0,K7)=IA7,$HJ$1,IF(M7+IF(K7="",0,K7)=HE7,$GN$1,IF(M7+IF(K7="",0,K7)=GI7,$FR$1,IF(M7+IF(K7="",0,K7)=FM7,$EV$1,IF(M7+IF(K7="",0,K7)=EQ7,$DZ$1,IF(M7+IF(K7="",0,K7)=DU7,$DD$1,IF(M7+IF(K7="",0,K7)=NB7,$ML$1,IF(M7+IF(K7="",0,K7)=MF7,$LP$1,IF(M7+IF(K7="",0,K7)=LJ7,$KT$1,IF(M7+IF(K7="",0,K7)=KN7,$JX$1,IF(M7+IF(K7="",0,K7)=JR7,$JB$1,IF(M7+IF(K7="",0,K7)=IV7,$IF$1,IF(M7+IF(K7="",0,K7)=HZ7,$HJ$1,IF(M7+IF(K7="",0,K7)=HD7,$GN$1,IF(M7+IF(K7="",0,K7)=GH7,$FR$1,IF(M7+IF(K7="",0,K7)=FL7,$EV$1,IF(M7+IF(K7="",0,K7)=EP7,$DZ$1,IF(M7+IF(K7="",0,K7)=DT7,$DD$1))))))))))))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</f>
        <v/>
      </c>
      <c r="P7" s="37">
        <v>14.8</v>
      </c>
      <c r="Q7" s="37">
        <v>9.1</v>
      </c>
      <c r="R7" s="37">
        <v>2.9</v>
      </c>
      <c r="S7" s="37">
        <v>16.86</v>
      </c>
      <c r="T7" s="37">
        <v>0</v>
      </c>
      <c r="U7" s="37">
        <v>13.9</v>
      </c>
      <c r="V7" s="37">
        <v>8.8000000000000007</v>
      </c>
      <c r="W7" s="37">
        <v>14</v>
      </c>
      <c r="X7" s="37">
        <v>15.96</v>
      </c>
      <c r="Y7" s="37">
        <v>0</v>
      </c>
      <c r="Z7" s="37"/>
      <c r="AA7" s="37"/>
      <c r="AB7" s="37"/>
      <c r="AC7" s="37"/>
      <c r="AD7" s="37"/>
      <c r="AE7" s="37">
        <v>14.5</v>
      </c>
      <c r="AF7" s="37">
        <v>9.1</v>
      </c>
      <c r="AG7" s="37">
        <v>13.8</v>
      </c>
      <c r="AH7" s="37">
        <v>16.27</v>
      </c>
      <c r="AI7" s="37">
        <v>0</v>
      </c>
      <c r="AJ7" s="44"/>
      <c r="AK7" s="11">
        <f>IF(SUM(P7:S7)-T7&gt;0,SUM(P7:S7)-T7,"")</f>
        <v>43.66</v>
      </c>
      <c r="AL7" s="11">
        <f>IF(W7&gt;0,W7,"")</f>
        <v>14</v>
      </c>
      <c r="AM7" s="11">
        <f>IF(SUM(U7:X7)-Y7&gt;0,SUM(U7:X7)-Y7,"")</f>
        <v>52.660000000000004</v>
      </c>
      <c r="AN7" s="11" t="str">
        <f>IF(AB7&gt;0,AB7,"")</f>
        <v/>
      </c>
      <c r="AO7" s="11" t="str">
        <f>IF(SUM(Z7:AC7)-AD7&gt;0,SUM(Z7:AC7)-AD7,"")</f>
        <v/>
      </c>
      <c r="AP7" s="11">
        <f>IF(AK7="",IF(MAX(AM7,AO7)&gt;0,MAX(AM7,AO7),""),MAX(AM7,AO7)+AK7)</f>
        <v>96.32</v>
      </c>
      <c r="AQ7" s="11">
        <f>IF(AG7&gt;0,AG7,"")</f>
        <v>13.8</v>
      </c>
      <c r="AR7" s="11">
        <f>IF(SUM(AE7:AH7)-AI7&gt;0,SUM(AE7:AH7)-AI7,"")</f>
        <v>53.67</v>
      </c>
      <c r="AS7" s="11">
        <f>IF(SUM(AP7,AR7)&gt;0,SUM(AP7,AR7),"")</f>
        <v>149.99</v>
      </c>
      <c r="AT7" s="41"/>
      <c r="AU7" s="41"/>
      <c r="AV7" s="41"/>
      <c r="AW7" s="41"/>
      <c r="AX7" s="41"/>
      <c r="AY7" s="41">
        <v>14.5</v>
      </c>
      <c r="AZ7" s="41">
        <v>9.1999999999999993</v>
      </c>
      <c r="BA7" s="41">
        <v>13.6</v>
      </c>
      <c r="BB7" s="41">
        <v>15.61</v>
      </c>
      <c r="BC7" s="41">
        <v>0</v>
      </c>
      <c r="BD7" s="41">
        <v>11.8</v>
      </c>
      <c r="BE7" s="41">
        <v>8.9</v>
      </c>
      <c r="BF7" s="41">
        <v>12.3</v>
      </c>
      <c r="BG7" s="41">
        <v>16.18</v>
      </c>
      <c r="BH7" s="41">
        <v>1.2</v>
      </c>
      <c r="BI7" s="41">
        <v>15</v>
      </c>
      <c r="BJ7" s="41">
        <v>9.5</v>
      </c>
      <c r="BK7" s="41">
        <v>13.6</v>
      </c>
      <c r="BL7" s="41">
        <v>15.97</v>
      </c>
      <c r="BM7" s="41">
        <v>0.4</v>
      </c>
      <c r="BN7" s="45"/>
      <c r="BO7" s="14" t="str">
        <f>IF(SUM(AT7:AW7)-AX7&gt;0,SUM(AT7:AW7)-AX7,"")</f>
        <v/>
      </c>
      <c r="BP7" s="14">
        <f>IF(BA7&gt;0,BA7,"")</f>
        <v>13.6</v>
      </c>
      <c r="BQ7" s="14">
        <f>IF(SUM(AY7:BB7)-BC7&gt;0,SUM(AY7:BB7)-BC7,"")</f>
        <v>52.91</v>
      </c>
      <c r="BR7" s="14">
        <f>IF(BF7&gt;0,BF7,"")</f>
        <v>12.3</v>
      </c>
      <c r="BS7" s="14">
        <f>IF(SUM(BD7:BG7)-BH7&gt;0,SUM(BD7:BG7)-BH7,"")</f>
        <v>47.98</v>
      </c>
      <c r="BT7" s="14">
        <f>IF(BO7="",IF(MAX(BQ7,BS7)&gt;0,MAX(BQ7,BS7),""),MAX(BQ7,BS7)+BO7)</f>
        <v>52.91</v>
      </c>
      <c r="BU7" s="14">
        <f>IF(BK7&gt;0,BK7,"")</f>
        <v>13.6</v>
      </c>
      <c r="BV7" s="14">
        <f>IF(SUM(BI7:BL7)-BM7&gt;0,SUM(BI7:BL7)-BM7,"")</f>
        <v>53.67</v>
      </c>
      <c r="BW7" s="14">
        <f>IF(SUM(BT7,BV7)&gt;0,SUM(BT7,BV7),"")</f>
        <v>106.58</v>
      </c>
      <c r="BX7" s="37"/>
      <c r="BY7" s="37"/>
      <c r="BZ7" s="37"/>
      <c r="CA7" s="37"/>
      <c r="CB7" s="37"/>
      <c r="CC7" s="37">
        <v>1.5</v>
      </c>
      <c r="CD7" s="37">
        <v>1</v>
      </c>
      <c r="CE7" s="37">
        <v>2</v>
      </c>
      <c r="CF7" s="37">
        <v>1.81</v>
      </c>
      <c r="CG7" s="37">
        <v>0</v>
      </c>
      <c r="CH7" s="37">
        <v>5.8</v>
      </c>
      <c r="CI7" s="37">
        <v>3.8</v>
      </c>
      <c r="CJ7" s="37">
        <v>5.5</v>
      </c>
      <c r="CK7" s="37">
        <v>7.01</v>
      </c>
      <c r="CL7" s="37">
        <v>0</v>
      </c>
      <c r="CM7" s="37">
        <v>0</v>
      </c>
      <c r="CN7" s="37">
        <v>0</v>
      </c>
      <c r="CO7" s="37">
        <v>0</v>
      </c>
      <c r="CP7" s="37">
        <v>0</v>
      </c>
      <c r="CQ7" s="37">
        <v>0</v>
      </c>
      <c r="CR7" s="44"/>
      <c r="CS7" s="11" t="str">
        <f>IF(SUM(BX7:CA7)-CB7&gt;0,SUM(BX7:CA7)-CB7,"")</f>
        <v/>
      </c>
      <c r="CT7" s="11">
        <f>IF(CE7&gt;0,CE7,"")</f>
        <v>2</v>
      </c>
      <c r="CU7" s="11">
        <f>IF(SUM(CC7:CF7)-CG7&gt;0,SUM(CC7:CF7)-CG7,"")</f>
        <v>6.3100000000000005</v>
      </c>
      <c r="CV7" s="11">
        <f>IF(CJ7&gt;0,CJ7,"")</f>
        <v>5.5</v>
      </c>
      <c r="CW7" s="11">
        <f>IF(SUM(CH7:CK7)-CL7&gt;0,SUM(CH7:CK7)-CL7,"")</f>
        <v>22.11</v>
      </c>
      <c r="CX7" s="11">
        <f>IF(CS7="",IF(MAX(CU7,CW7)&gt;0,MAX(CU7,CW7),""),MAX(CU7,CW7)+CS7)</f>
        <v>22.11</v>
      </c>
      <c r="CY7" s="11" t="str">
        <f>IF(CO7&gt;0,CO7,"")</f>
        <v/>
      </c>
      <c r="CZ7" s="11" t="str">
        <f>IF(SUM(CM7:CP7)-CQ7&gt;0,SUM(CM7:CP7)-CQ7,"")</f>
        <v/>
      </c>
      <c r="DA7" s="11">
        <f>IF(SUM(CX7,CZ7)&gt;0,SUM(CX7,CZ7),"")</f>
        <v>22.11</v>
      </c>
      <c r="DB7" s="18" t="str">
        <f>IF(K7&gt;=0.001,IF(MAX(DT7,DU7,EP7,EQ7,FL7,FM7,GH7,GI7,HD7,HE7,HZ7,IA7,IV7,IW7,JR7,JS7,KN7,KO7,LJ7,LK7,MF7,MG7,NB7,NC7)-IF(K7="",0,K7)&gt;0.001,MAX(DT7,DU7,EP7,EQ7,FL7,FM7,GH7,GI7,HD7,HE7,HZ7,IA7,IV7,IW7,JR7,JS7,KN7,KO7,LJ7,LK7,MF7,MG7,NB7,NC7)-IF(K7="",0,K7),""),"")</f>
        <v/>
      </c>
      <c r="DC7" s="18" t="str">
        <f>IF(K7&gt;=0.001,IF(MAX(DX7,ET7,FP7,GL7,HH7,ID7,IZ7,JV7,KR7,LN7,MJ7,NF7)-IF(K7="",0,K7)&gt;0.001,MAX(DX7,ET7,FP7,GL7,HH7,ID7,IZ7,JV7,KR7,LN7,MJ7,NF7)-IF(K7="",0,K7),""),"")</f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7">
        <f>IF($CR7="P",BX7,(BX7+AT7)/2)</f>
        <v>0</v>
      </c>
      <c r="NI7" s="37">
        <f>IF($CR7="P",BY7,(BY7+AU7)/2)</f>
        <v>0</v>
      </c>
      <c r="NJ7" s="37">
        <f>IF($CR7="P",BZ7,(BZ7+AV7)/2)</f>
        <v>0</v>
      </c>
      <c r="NK7" s="37">
        <f>IF($CR7="P",CA7,(CA7+AW7)/2)</f>
        <v>0</v>
      </c>
      <c r="NL7" s="37">
        <f>IF($CR7="P",CB7,(CB7+AX7)/2)</f>
        <v>0</v>
      </c>
      <c r="NM7" s="37">
        <f>IF($CR7="P",CC7,(CC7+AY7)/2)</f>
        <v>8</v>
      </c>
      <c r="NN7" s="37">
        <f>IF($CR7="P",CD7,(CD7+AZ7)/2)</f>
        <v>5.0999999999999996</v>
      </c>
      <c r="NO7" s="37">
        <f>IF($CR7="P",CE7,(CE7+BA7)/2)</f>
        <v>7.8</v>
      </c>
      <c r="NP7" s="37">
        <f>IF($CR7="P",CF7,(CF7+BB7)/2)</f>
        <v>8.7099999999999991</v>
      </c>
      <c r="NQ7" s="37">
        <f>IF($CR7="P",CG7,(CG7+BC7)/2)</f>
        <v>0</v>
      </c>
      <c r="NR7" s="37">
        <f>IF($CR7="P",CH7,(CH7+BD7)/2)</f>
        <v>8.8000000000000007</v>
      </c>
      <c r="NS7" s="37">
        <f>IF($CR7="P",CI7,(CI7+BE7)/2)</f>
        <v>6.35</v>
      </c>
      <c r="NT7" s="37">
        <f>IF($CR7="P",CJ7,(CJ7+BF7)/2)</f>
        <v>8.9</v>
      </c>
      <c r="NU7" s="37">
        <f>IF($CR7="P",CK7,(CK7+BG7)/2)</f>
        <v>11.594999999999999</v>
      </c>
      <c r="NV7" s="37">
        <f>IF($CR7="P",CL7,(CL7+BH7)/2)</f>
        <v>0.6</v>
      </c>
      <c r="NW7" s="37">
        <f>IF($CR7="P",CM7,(CM7+BI7)/2)</f>
        <v>7.5</v>
      </c>
      <c r="NX7" s="37">
        <f>IF($CR7="P",CN7,(CN7+BJ7)/2)</f>
        <v>4.75</v>
      </c>
      <c r="NY7" s="37">
        <f>IF($CR7="P",CO7,(CO7+BK7)/2)</f>
        <v>6.8</v>
      </c>
      <c r="NZ7" s="37">
        <f>IF($CR7="P",CP7,(CP7+BL7)/2)</f>
        <v>7.9850000000000003</v>
      </c>
      <c r="OA7" s="37">
        <f>IF($CR7="P",CQ7,(CQ7+BM7)/2)</f>
        <v>0.2</v>
      </c>
      <c r="OB7" s="44" t="s">
        <v>46</v>
      </c>
      <c r="OC7" s="11" t="str">
        <f>IF(SUM(NH7:NK7)-NL7&gt;0,SUM(NH7:NK7)-NL7,"")</f>
        <v/>
      </c>
      <c r="OD7" s="11">
        <f>IF(NO7&gt;0,NO7,"")</f>
        <v>7.8</v>
      </c>
      <c r="OE7" s="11">
        <f>IF(SUM(NM7:NP7)-NQ7&gt;0,SUM(NM7:NP7)-NQ7,"")</f>
        <v>29.61</v>
      </c>
      <c r="OF7" s="11">
        <f>IF(NT7&gt;0,NT7,"")</f>
        <v>8.9</v>
      </c>
      <c r="OG7" s="11">
        <f>IF(SUM(NR7:NU7)-NV7&gt;0,SUM(NR7:NU7)-NV7,"")</f>
        <v>35.044999999999995</v>
      </c>
      <c r="OH7" s="11" t="e">
        <f>IF(OR(OC7&lt;&gt;"",OE7&lt;&gt;"",OG7&lt;&gt;""),OC7+MAX(OE7,OG7),"")</f>
        <v>#VALUE!</v>
      </c>
      <c r="OI7" s="11">
        <f>IF(NY7&gt;0,NY7,"")</f>
        <v>6.8</v>
      </c>
      <c r="OJ7" s="11">
        <f t="shared" si="0"/>
        <v>26.835000000000001</v>
      </c>
      <c r="OK7" s="11" t="e">
        <f t="shared" si="1"/>
        <v>#VALUE!</v>
      </c>
    </row>
    <row r="8" spans="1:401" x14ac:dyDescent="0.2">
      <c r="A8" s="5" cm="1">
        <f t="array" ref="A8">IF(AND(F8="P",G8="P"),SUMPRODUCT((F$4:F$37="P")*(G$4:G$37="P")*(E$4:E$37&gt;E8))+1,IF(G8="P",SUMPRODUCT((F$4:F$37="")*(G$4:G$37="P")*(E$4:E$37&gt;E8))+1+SUMPRODUCT((F$4:F$37="P")*(G$4:G$37="P")),""))</f>
        <v>5</v>
      </c>
      <c r="B8" s="6" t="s">
        <v>146</v>
      </c>
      <c r="C8" s="7" t="s">
        <v>6</v>
      </c>
      <c r="D8" s="5">
        <v>2005</v>
      </c>
      <c r="E8" s="15">
        <f>SUM(I8:M8)+I8*0.0000001</f>
        <v>106.19500531499999</v>
      </c>
      <c r="F8" s="3" t="str">
        <f>IF(OR(AND(AL8&gt;=AS$39,AM8&gt;=AS$43,AL8&lt;&gt;"",AJ8=""),AND(AN8&gt;=AS$39,AO8&gt;=AS$43,AN8&lt;&gt;"",AN8=""),AND(AQ8&gt;=AS$39,AR8&gt;=AS$43,AQ8&lt;&gt;"",AJ8=""),AND(BP8&gt;=BW$39,BQ8&gt;=BW$43,BP8&lt;&gt;"",BN8=""),AND(BR8&gt;=BW$39,BS8&gt;=BW$43,BR8&lt;&gt;"",BN8=""),AND(BU8&gt;=BW$39,BV8&gt;=BW$43,BU8&lt;&gt;"",BN8=""),AND(CT8&gt;=DA$39,CU8&gt;=DA$43,CT8&lt;&gt;"",CR8=""),AND(CV8&gt;=DA$39,CW8&gt;=DA$43,CV8&lt;&gt;"",CR8=""),AND(CY8&gt;=DA$39,CZ8&gt;=DA$43,CY8&lt;&gt;"",CR8=""),AND(DS8&gt;=DY$39,DU8&gt;=DY$43,DS8&lt;&gt;""),AND(DW8&gt;=DY$39,DX8&gt;=DY$43,DW8&lt;&gt;""),AND(EO8&gt;=EU$39,EQ8&gt;=EU$43,EO8&lt;&gt;""),AND(ES8&gt;=EU$39,ET8&gt;=EU$43,ES8&lt;&gt;""),AND(FK8&gt;=FQ$39,FM8&gt;=FQ$43,FK8&lt;&gt;""),AND(FO8&gt;=FQ$39,FP8&gt;=FQ$43,FO8&lt;&gt;""),AND(GG8&gt;=GM$39,GI8&gt;=GM$43,GG8&lt;&gt;""),AND(GK8&gt;=GM$39,GL8&gt;=GM$43,GK8&lt;&gt;""),AND(HC8&gt;=HI$39,HE8&gt;=HI$43,HC8&lt;&gt;""),AND(HG8&gt;=HI$39,HH8&gt;=HI$43,HG8&lt;&gt;""),AND(HY8&gt;=IE$39,IA8&gt;=IE$43,HY8&lt;&gt;""),AND(IC8&gt;=IE$39,ID8&gt;=IE$43,IC8&lt;&gt;""),AND(IU8&gt;=JA$39,IW8&gt;=JA$43,IU8&lt;&gt;""),AND(IY8&gt;=JA$39,IZ8&gt;=JA$43,IY8&lt;&gt;""),AND(JQ8&gt;=JW$39,JS8&gt;=JW$43,JQ8&lt;&gt;""),AND(JU8&gt;=JW$39,JV8&gt;=JW$43,JU8&lt;&gt;""),AND(KM8&gt;=KS$39,KO8&gt;=KS$43,KM8&lt;&gt;""),AND(KQ8&gt;=KS$39,KR8&gt;=KS$43,KQ8&lt;&gt;""),AND(LI8&gt;=LO$39,LK8&gt;=LO$43,LI8&lt;&gt;""),AND(LM8&gt;=LO$39,LN8&gt;=LO$43,LM8&lt;&gt;""),AND(ME8&gt;=MK$39,MG8&gt;=MK$43,ME8&lt;&gt;""),AND(MI8&gt;=MK$39,MJ8&gt;=MK$43,MI8&lt;&gt;""),AND(NA8&gt;=NG$39,NC8&gt;=NG$43,NA8&lt;&gt;""),AND(NE8&gt;=NG$39,NF8&gt;=NG$43,NE8&lt;&gt;"")),"P","")</f>
        <v>P</v>
      </c>
      <c r="G8" s="3" t="str">
        <f>IF(OR(AND(AM8&gt;=AS$43,AL8&lt;&gt;"",AJ8=""),AND(AO8&gt;=AS$43,AN8&lt;&gt;"",AN8=""),AND(AR8&gt;=AS$43,AQ8&lt;&gt;"",AJ8=""),AND(BQ8&gt;=BW$43,BP8&lt;&gt;"",BN8=""),AND(BS8&gt;=BW$43,BR8&lt;&gt;"",BN8=""),AND(BV8&gt;=BW$43,BU8&lt;&gt;"",BN8=""),AND(CU8&gt;=DA$43,CT8&lt;&gt;"",CR8=""),AND(CW8&gt;=DA$43,CV8&lt;&gt;"",CR8=""),AND(CZ8&gt;=DA$43,CY8&lt;&gt;"",CR8=""),AND(DU8&gt;=DY$43,DS8&lt;&gt;""),AND(DX8&gt;=DY$43,DW8&lt;&gt;""),AND(EQ8&gt;=EU$43,EO8&lt;&gt;""),AND(ET8&gt;=EU$43,ES8&lt;&gt;""),AND(FM8&gt;=FQ$43,FK8&lt;&gt;""),AND(FP8&gt;=FQ$43,FO8&lt;&gt;""),AND(GI8&gt;=GM$43,GG8&lt;&gt;""),AND(GL8&gt;=GM$43,GK8&lt;&gt;""),AND(HE8&gt;=HI$43,HC8&lt;&gt;""),AND(HH8&gt;=HI$43,HG8&lt;&gt;""),AND(IA8&gt;=IE$43,HY8&lt;&gt;""),AND(ID8&gt;=IE$43,IC8&lt;&gt;""),AND(IW8&gt;=JA$43,IU8&lt;&gt;""),AND(IZ8&gt;=JA$43,IY8&lt;&gt;""),AND(JS8&gt;=JW$43,JQ8&lt;&gt;""),AND(JV8&gt;=JW$43,JU8&lt;&gt;""),AND(KO8&gt;=KS$43,KM8&lt;&gt;""),AND(KR8&gt;=KS$43,KQ8&lt;&gt;""),AND(LK8&gt;=LO$43,LI8&lt;&gt;""),AND(LN8&gt;=LO$43,LM8&lt;&gt;""),AND(MG8&gt;=MK$43,ME8&lt;&gt;""),AND(MJ8&gt;=MK$43,MI8&lt;&gt;""),AND(NC8&gt;=NG$43,NA8&lt;&gt;""),AND(NF8&gt;=NG$43,NE8&lt;&gt;"")),"P","")</f>
        <v>P</v>
      </c>
      <c r="H8" s="66" t="str">
        <f>IF(F8="P","National Team",IF(G8="P","No DD",""))</f>
        <v>National Team</v>
      </c>
      <c r="I8" s="14">
        <f>MAX(AM8,AO8,AR8,BQ8,BS8,BV8,CU8,CW8,CZ8)</f>
        <v>53.150000000000006</v>
      </c>
      <c r="J8" s="14" t="str">
        <f>IF(I8=0,"",IF(OR(I8=CW8,I8=CU8,I8=CZ8),$BX$1,IF(OR(I8=BS8,I8=BQ8,I8=BV8),$AT$1,IF(OR(I8=AO8,I8=AM8,I8=AR8),$P$1,""))))</f>
        <v>2022 3rd Domestic Trial</v>
      </c>
      <c r="K8" s="14">
        <f>IF(COUNT(AM8,AO8,AR8,BQ8,BS8,BV8,CU8,CW8,CZ8)&gt;1,LARGE((AM8,AO8,AR8,BQ8,BS8,BV8,CU8,CW8,CZ8),2),0)</f>
        <v>53.044999999999995</v>
      </c>
      <c r="L8" s="14" t="str">
        <f>IF(K8=0,"",IF(OR(K8=CW8,K8=CU8,K8=CZ8),$BX$1,IF(OR(K8=BS8,K8=BQ8,K8=BV8),$AT$1,IF(OR(K8=AO8,K8=AM8,K8=AR8),$P$1,""))))</f>
        <v>2022 Elite Canada</v>
      </c>
      <c r="M8" s="14" t="str">
        <f>IF(MAX(DB8,DC8)&gt;0,MAX(DB8,DC8),"")</f>
        <v/>
      </c>
      <c r="N8" s="19" t="str">
        <f>IF(M8="","",IF(M8=DB8,"(Prelim)",IF(M8=DC8,"(Final)")))</f>
        <v/>
      </c>
      <c r="O8" s="14" t="str">
        <f>IF(M8="","",IF(M8=DB8,IF(M8+IF(K8="",0,K8)=NC8,$ML$1,IF(M8+IF(K8="",0,K8)=MG8,$LP$1,IF(M8+IF(K8="",0,K8)=LK8,$KT$1,IF(M8+IF(K8="",0,K8)=KO8,$JX$1,IF(M8+IF(K8="",0,K8)=JS8,$JB$1,IF(M8+IF(K8="",0,K8)=IW8,$IF$1,IF(M8+IF(K8="",0,K8)=IA8,$HJ$1,IF(M8+IF(K8="",0,K8)=HE8,$GN$1,IF(M8+IF(K8="",0,K8)=GI8,$FR$1,IF(M8+IF(K8="",0,K8)=FM8,$EV$1,IF(M8+IF(K8="",0,K8)=EQ8,$DZ$1,IF(M8+IF(K8="",0,K8)=DU8,$DD$1,IF(M8+IF(K8="",0,K8)=NB8,$ML$1,IF(M8+IF(K8="",0,K8)=MF8,$LP$1,IF(M8+IF(K8="",0,K8)=LJ8,$KT$1,IF(M8+IF(K8="",0,K8)=KN8,$JX$1,IF(M8+IF(K8="",0,K8)=JR8,$JB$1,IF(M8+IF(K8="",0,K8)=IV8,$IF$1,IF(M8+IF(K8="",0,K8)=HZ8,$HJ$1,IF(M8+IF(K8="",0,K8)=HD8,$GN$1,IF(M8+IF(K8="",0,K8)=GH8,$FR$1,IF(M8+IF(K8="",0,K8)=FL8,$EV$1,IF(M8+IF(K8="",0,K8)=EP8,$DZ$1,IF(M8+IF(K8="",0,K8)=DT8,$DD$1))))))))))))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</f>
        <v/>
      </c>
      <c r="P8" s="37"/>
      <c r="Q8" s="37"/>
      <c r="R8" s="37"/>
      <c r="S8" s="37"/>
      <c r="T8" s="37"/>
      <c r="U8" s="37">
        <v>15.7</v>
      </c>
      <c r="V8" s="37">
        <v>9.3000000000000007</v>
      </c>
      <c r="W8" s="37">
        <v>13.5</v>
      </c>
      <c r="X8" s="37">
        <v>14.744999999999999</v>
      </c>
      <c r="Y8" s="37">
        <v>0.2</v>
      </c>
      <c r="Z8" s="37">
        <v>13.9</v>
      </c>
      <c r="AA8" s="37">
        <v>9.1</v>
      </c>
      <c r="AB8" s="37">
        <v>12.5</v>
      </c>
      <c r="AC8" s="37">
        <v>14.91</v>
      </c>
      <c r="AD8" s="37">
        <v>1</v>
      </c>
      <c r="AE8" s="37">
        <v>6.3</v>
      </c>
      <c r="AF8" s="37">
        <v>3.2</v>
      </c>
      <c r="AG8" s="37">
        <v>5.6</v>
      </c>
      <c r="AH8" s="37">
        <v>6.29</v>
      </c>
      <c r="AI8" s="37">
        <v>0</v>
      </c>
      <c r="AJ8" s="44"/>
      <c r="AK8" s="11" t="str">
        <f>IF(SUM(P8:S8)-T8&gt;0,SUM(P8:S8)-T8,"")</f>
        <v/>
      </c>
      <c r="AL8" s="11">
        <f>IF(W8&gt;0,W8,"")</f>
        <v>13.5</v>
      </c>
      <c r="AM8" s="11">
        <f>IF(SUM(U8:X8)-Y8&gt;0,SUM(U8:X8)-Y8,"")</f>
        <v>53.044999999999995</v>
      </c>
      <c r="AN8" s="11">
        <f>IF(AB8&gt;0,AB8,"")</f>
        <v>12.5</v>
      </c>
      <c r="AO8" s="11">
        <f>IF(SUM(Z8:AC8)-AD8&gt;0,SUM(Z8:AC8)-AD8,"")</f>
        <v>49.41</v>
      </c>
      <c r="AP8" s="11">
        <f>IF(AK8="",IF(MAX(AM8,AO8)&gt;0,MAX(AM8,AO8),""),MAX(AM8,AO8)+AK8)</f>
        <v>53.044999999999995</v>
      </c>
      <c r="AQ8" s="11">
        <f>IF(AG8&gt;0,AG8,"")</f>
        <v>5.6</v>
      </c>
      <c r="AR8" s="11">
        <f>IF(SUM(AE8:AH8)-AI8&gt;0,SUM(AE8:AH8)-AI8,"")</f>
        <v>21.39</v>
      </c>
      <c r="AS8" s="11">
        <f>IF(SUM(AP8,AR8)&gt;0,SUM(AP8,AR8),"")</f>
        <v>74.435000000000002</v>
      </c>
      <c r="AT8" s="41"/>
      <c r="AU8" s="41"/>
      <c r="AV8" s="41"/>
      <c r="AW8" s="41"/>
      <c r="AX8" s="41"/>
      <c r="AY8" s="41">
        <v>4.5</v>
      </c>
      <c r="AZ8" s="41">
        <v>2.6</v>
      </c>
      <c r="BA8" s="41">
        <v>4.4000000000000004</v>
      </c>
      <c r="BB8" s="41">
        <v>4.54</v>
      </c>
      <c r="BC8" s="41">
        <v>0.2</v>
      </c>
      <c r="BD8" s="41">
        <v>15</v>
      </c>
      <c r="BE8" s="41">
        <v>9.1</v>
      </c>
      <c r="BF8" s="41">
        <v>13.5</v>
      </c>
      <c r="BG8" s="41">
        <v>14.46</v>
      </c>
      <c r="BH8" s="41">
        <v>0.2</v>
      </c>
      <c r="BI8" s="41">
        <v>15.2</v>
      </c>
      <c r="BJ8" s="41">
        <v>9.1999999999999993</v>
      </c>
      <c r="BK8" s="41">
        <v>13.5</v>
      </c>
      <c r="BL8" s="41">
        <v>14.37</v>
      </c>
      <c r="BM8" s="41">
        <v>0.2</v>
      </c>
      <c r="BN8" s="45"/>
      <c r="BO8" s="14" t="str">
        <f>IF(SUM(AT8:AW8)-AX8&gt;0,SUM(AT8:AW8)-AX8,"")</f>
        <v/>
      </c>
      <c r="BP8" s="14">
        <f>IF(BA8&gt;0,BA8,"")</f>
        <v>4.4000000000000004</v>
      </c>
      <c r="BQ8" s="14">
        <f>IF(SUM(AY8:BB8)-BC8&gt;0,SUM(AY8:BB8)-BC8,"")</f>
        <v>15.84</v>
      </c>
      <c r="BR8" s="14">
        <f>IF(BF8&gt;0,BF8,"")</f>
        <v>13.5</v>
      </c>
      <c r="BS8" s="14">
        <f>IF(SUM(BD8:BG8)-BH8&gt;0,SUM(BD8:BG8)-BH8,"")</f>
        <v>51.86</v>
      </c>
      <c r="BT8" s="14">
        <f>IF(BO8="",IF(MAX(BQ8,BS8)&gt;0,MAX(BQ8,BS8),""),MAX(BQ8,BS8)+BO8)</f>
        <v>51.86</v>
      </c>
      <c r="BU8" s="14">
        <f>IF(BK8&gt;0,BK8,"")</f>
        <v>13.5</v>
      </c>
      <c r="BV8" s="14">
        <f>IF(SUM(BI8:BL8)-BM8&gt;0,SUM(BI8:BL8)-BM8,"")</f>
        <v>52.069999999999993</v>
      </c>
      <c r="BW8" s="14">
        <f>IF(SUM(BT8,BV8)&gt;0,SUM(BT8,BV8),"")</f>
        <v>103.92999999999999</v>
      </c>
      <c r="BX8" s="37"/>
      <c r="BY8" s="37"/>
      <c r="BZ8" s="37"/>
      <c r="CA8" s="37"/>
      <c r="CB8" s="37"/>
      <c r="CC8" s="37">
        <v>15.4</v>
      </c>
      <c r="CD8" s="37">
        <v>9.1999999999999993</v>
      </c>
      <c r="CE8" s="37">
        <v>13.5</v>
      </c>
      <c r="CF8" s="37">
        <v>15.05</v>
      </c>
      <c r="CG8" s="37">
        <v>0</v>
      </c>
      <c r="CH8" s="37">
        <v>13.7</v>
      </c>
      <c r="CI8" s="37">
        <v>9.3000000000000007</v>
      </c>
      <c r="CJ8" s="37">
        <v>12.3</v>
      </c>
      <c r="CK8" s="37">
        <v>14.56</v>
      </c>
      <c r="CL8" s="37">
        <v>1.2</v>
      </c>
      <c r="CM8" s="37">
        <v>6.1</v>
      </c>
      <c r="CN8" s="37">
        <v>3.6</v>
      </c>
      <c r="CO8" s="37">
        <v>5.8</v>
      </c>
      <c r="CP8" s="37">
        <v>6</v>
      </c>
      <c r="CQ8" s="37">
        <v>0</v>
      </c>
      <c r="CR8" s="44"/>
      <c r="CS8" s="11" t="str">
        <f>IF(SUM(BX8:CA8)-CB8&gt;0,SUM(BX8:CA8)-CB8,"")</f>
        <v/>
      </c>
      <c r="CT8" s="11">
        <f>IF(CE8&gt;0,CE8,"")</f>
        <v>13.5</v>
      </c>
      <c r="CU8" s="11">
        <f>IF(SUM(CC8:CF8)-CG8&gt;0,SUM(CC8:CF8)-CG8,"")</f>
        <v>53.150000000000006</v>
      </c>
      <c r="CV8" s="11">
        <f>IF(CJ8&gt;0,CJ8,"")</f>
        <v>12.3</v>
      </c>
      <c r="CW8" s="11">
        <f>IF(SUM(CH8:CK8)-CL8&gt;0,SUM(CH8:CK8)-CL8,"")</f>
        <v>48.66</v>
      </c>
      <c r="CX8" s="11">
        <f>IF(CS8="",IF(MAX(CU8,CW8)&gt;0,MAX(CU8,CW8),""),MAX(CU8,CW8)+CS8)</f>
        <v>53.150000000000006</v>
      </c>
      <c r="CY8" s="11">
        <f>IF(CO8&gt;0,CO8,"")</f>
        <v>5.8</v>
      </c>
      <c r="CZ8" s="11">
        <f>IF(SUM(CM8:CP8)-CQ8&gt;0,SUM(CM8:CP8)-CQ8,"")</f>
        <v>21.5</v>
      </c>
      <c r="DA8" s="11">
        <f>IF(SUM(CX8,CZ8)&gt;0,SUM(CX8,CZ8),"")</f>
        <v>74.650000000000006</v>
      </c>
      <c r="DB8" s="18" t="str">
        <f>IF(K8&gt;=0.001,IF(MAX(DT8,DU8,EP8,EQ8,FL8,FM8,GH8,GI8,HD8,HE8,HZ8,IA8,IV8,IW8,JR8,JS8,KN8,KO8,LJ8,LK8,MF8,MG8,NB8,NC8)-IF(K8="",0,K8)&gt;0.001,MAX(DT8,DU8,EP8,EQ8,FL8,FM8,GH8,GI8,HD8,HE8,HZ8,IA8,IV8,IW8,JR8,JS8,KN8,KO8,LJ8,LK8,MF8,MG8,NB8,NC8)-IF(K8="",0,K8),""),"")</f>
        <v/>
      </c>
      <c r="DC8" s="18" t="str">
        <f>IF(K8&gt;=0.001,IF(MAX(DX8,ET8,FP8,GL8,HH8,ID8,IZ8,JV8,KR8,LN8,MJ8,NF8)-IF(K8="",0,K8)&gt;0.001,MAX(DX8,ET8,FP8,GL8,HH8,ID8,IZ8,JV8,KR8,LN8,MJ8,NF8)-IF(K8="",0,K8),""),"")</f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7">
        <f>IF($CR8="P",BX8,(BX8+AT8)/2)</f>
        <v>0</v>
      </c>
      <c r="NI8" s="37">
        <f>IF($CR8="P",BY8,(BY8+AU8)/2)</f>
        <v>0</v>
      </c>
      <c r="NJ8" s="37">
        <f>IF($CR8="P",BZ8,(BZ8+AV8)/2)</f>
        <v>0</v>
      </c>
      <c r="NK8" s="37">
        <f>IF($CR8="P",CA8,(CA8+AW8)/2)</f>
        <v>0</v>
      </c>
      <c r="NL8" s="37">
        <f>IF($CR8="P",CB8,(CB8+AX8)/2)</f>
        <v>0</v>
      </c>
      <c r="NM8" s="37">
        <f>IF($CR8="P",CC8,(CC8+AY8)/2)</f>
        <v>9.9499999999999993</v>
      </c>
      <c r="NN8" s="37">
        <f>IF($CR8="P",CD8,(CD8+AZ8)/2)</f>
        <v>5.8999999999999995</v>
      </c>
      <c r="NO8" s="37">
        <f>IF($CR8="P",CE8,(CE8+BA8)/2)</f>
        <v>8.9499999999999993</v>
      </c>
      <c r="NP8" s="37">
        <f>IF($CR8="P",CF8,(CF8+BB8)/2)</f>
        <v>9.7949999999999999</v>
      </c>
      <c r="NQ8" s="37">
        <f>IF($CR8="P",CG8,(CG8+BC8)/2)</f>
        <v>0.1</v>
      </c>
      <c r="NR8" s="37">
        <f>IF($CR8="P",CH8,(CH8+BD8)/2)</f>
        <v>14.35</v>
      </c>
      <c r="NS8" s="37">
        <f>IF($CR8="P",CI8,(CI8+BE8)/2)</f>
        <v>9.1999999999999993</v>
      </c>
      <c r="NT8" s="37">
        <f>IF($CR8="P",CJ8,(CJ8+BF8)/2)</f>
        <v>12.9</v>
      </c>
      <c r="NU8" s="37">
        <f>IF($CR8="P",CK8,(CK8+BG8)/2)</f>
        <v>14.510000000000002</v>
      </c>
      <c r="NV8" s="37">
        <f>IF($CR8="P",CL8,(CL8+BH8)/2)</f>
        <v>0.7</v>
      </c>
      <c r="NW8" s="37">
        <f>IF($CR8="P",CM8,(CM8+BI8)/2)</f>
        <v>10.649999999999999</v>
      </c>
      <c r="NX8" s="37">
        <f>IF($CR8="P",CN8,(CN8+BJ8)/2)</f>
        <v>6.3999999999999995</v>
      </c>
      <c r="NY8" s="37">
        <f>IF($CR8="P",CO8,(CO8+BK8)/2)</f>
        <v>9.65</v>
      </c>
      <c r="NZ8" s="37">
        <f>IF($CR8="P",CP8,(CP8+BL8)/2)</f>
        <v>10.184999999999999</v>
      </c>
      <c r="OA8" s="37">
        <f>IF($CR8="P",CQ8,(CQ8+BM8)/2)</f>
        <v>0.1</v>
      </c>
      <c r="OB8" s="44" t="s">
        <v>46</v>
      </c>
      <c r="OC8" s="11" t="str">
        <f>IF(SUM(NH8:NK8)-NL8&gt;0,SUM(NH8:NK8)-NL8,"")</f>
        <v/>
      </c>
      <c r="OD8" s="11">
        <f>IF(NO8&gt;0,NO8,"")</f>
        <v>8.9499999999999993</v>
      </c>
      <c r="OE8" s="11">
        <f>IF(SUM(NM8:NP8)-NQ8&gt;0,SUM(NM8:NP8)-NQ8,"")</f>
        <v>34.494999999999997</v>
      </c>
      <c r="OF8" s="11">
        <f>IF(NT8&gt;0,NT8,"")</f>
        <v>12.9</v>
      </c>
      <c r="OG8" s="11">
        <f>IF(SUM(NR8:NU8)-NV8&gt;0,SUM(NR8:NU8)-NV8,"")</f>
        <v>50.259999999999991</v>
      </c>
      <c r="OH8" s="11" t="e">
        <f>IF(OR(OC8&lt;&gt;"",OE8&lt;&gt;"",OG8&lt;&gt;""),OC8+MAX(OE8,OG8),"")</f>
        <v>#VALUE!</v>
      </c>
      <c r="OI8" s="11">
        <f>IF(NY8&gt;0,NY8,"")</f>
        <v>9.65</v>
      </c>
      <c r="OJ8" s="11">
        <f t="shared" si="0"/>
        <v>36.784999999999989</v>
      </c>
      <c r="OK8" s="11" t="e">
        <f t="shared" si="1"/>
        <v>#VALUE!</v>
      </c>
    </row>
    <row r="9" spans="1:401" x14ac:dyDescent="0.2">
      <c r="A9" s="5" cm="1">
        <f t="array" ref="A9">IF(AND(F9="P",G9="P"),SUMPRODUCT((F$4:F$37="P")*(G$4:G$37="P")*(E$4:E$37&gt;E9))+1,IF(G9="P",SUMPRODUCT((F$4:F$37="")*(G$4:G$37="P")*(E$4:E$37&gt;E9))+1+SUMPRODUCT((F$4:F$37="P")*(G$4:G$37="P")),""))</f>
        <v>6</v>
      </c>
      <c r="B9" s="6" t="s">
        <v>96</v>
      </c>
      <c r="C9" s="7" t="s">
        <v>95</v>
      </c>
      <c r="D9" s="21">
        <v>2001</v>
      </c>
      <c r="E9" s="15">
        <f>SUM(I9:M9)+I9*0.0000001</f>
        <v>105.830005309</v>
      </c>
      <c r="F9" s="3" t="str">
        <f>IF(OR(AND(AL9&gt;=AS$39,AM9&gt;=AS$43,AL9&lt;&gt;"",AJ9=""),AND(AN9&gt;=AS$39,AO9&gt;=AS$43,AN9&lt;&gt;"",AN9=""),AND(AQ9&gt;=AS$39,AR9&gt;=AS$43,AQ9&lt;&gt;"",AJ9=""),AND(BP9&gt;=BW$39,BQ9&gt;=BW$43,BP9&lt;&gt;"",BN9=""),AND(BR9&gt;=BW$39,BS9&gt;=BW$43,BR9&lt;&gt;"",BN9=""),AND(BU9&gt;=BW$39,BV9&gt;=BW$43,BU9&lt;&gt;"",BN9=""),AND(CT9&gt;=DA$39,CU9&gt;=DA$43,CT9&lt;&gt;"",CR9=""),AND(CV9&gt;=DA$39,CW9&gt;=DA$43,CV9&lt;&gt;"",CR9=""),AND(CY9&gt;=DA$39,CZ9&gt;=DA$43,CY9&lt;&gt;"",CR9=""),AND(DS9&gt;=DY$39,DU9&gt;=DY$43,DS9&lt;&gt;""),AND(DW9&gt;=DY$39,DX9&gt;=DY$43,DW9&lt;&gt;""),AND(EO9&gt;=EU$39,EQ9&gt;=EU$43,EO9&lt;&gt;""),AND(ES9&gt;=EU$39,ET9&gt;=EU$43,ES9&lt;&gt;""),AND(FK9&gt;=FQ$39,FM9&gt;=FQ$43,FK9&lt;&gt;""),AND(FO9&gt;=FQ$39,FP9&gt;=FQ$43,FO9&lt;&gt;""),AND(GG9&gt;=GM$39,GI9&gt;=GM$43,GG9&lt;&gt;""),AND(GK9&gt;=GM$39,GL9&gt;=GM$43,GK9&lt;&gt;""),AND(HC9&gt;=HI$39,HE9&gt;=HI$43,HC9&lt;&gt;""),AND(HG9&gt;=HI$39,HH9&gt;=HI$43,HG9&lt;&gt;""),AND(HY9&gt;=IE$39,IA9&gt;=IE$43,HY9&lt;&gt;""),AND(IC9&gt;=IE$39,ID9&gt;=IE$43,IC9&lt;&gt;""),AND(IU9&gt;=JA$39,IW9&gt;=JA$43,IU9&lt;&gt;""),AND(IY9&gt;=JA$39,IZ9&gt;=JA$43,IY9&lt;&gt;""),AND(JQ9&gt;=JW$39,JS9&gt;=JW$43,JQ9&lt;&gt;""),AND(JU9&gt;=JW$39,JV9&gt;=JW$43,JU9&lt;&gt;""),AND(KM9&gt;=KS$39,KO9&gt;=KS$43,KM9&lt;&gt;""),AND(KQ9&gt;=KS$39,KR9&gt;=KS$43,KQ9&lt;&gt;""),AND(LI9&gt;=LO$39,LK9&gt;=LO$43,LI9&lt;&gt;""),AND(LM9&gt;=LO$39,LN9&gt;=LO$43,LM9&lt;&gt;""),AND(ME9&gt;=MK$39,MG9&gt;=MK$43,ME9&lt;&gt;""),AND(MI9&gt;=MK$39,MJ9&gt;=MK$43,MI9&lt;&gt;""),AND(NA9&gt;=NG$39,NC9&gt;=NG$43,NA9&lt;&gt;""),AND(NE9&gt;=NG$39,NF9&gt;=NG$43,NE9&lt;&gt;"")),"P","")</f>
        <v>P</v>
      </c>
      <c r="G9" s="3" t="str">
        <f>IF(OR(AND(AM9&gt;=AS$43,AL9&lt;&gt;"",AJ9=""),AND(AO9&gt;=AS$43,AN9&lt;&gt;"",AN9=""),AND(AR9&gt;=AS$43,AQ9&lt;&gt;"",AJ9=""),AND(BQ9&gt;=BW$43,BP9&lt;&gt;"",BN9=""),AND(BS9&gt;=BW$43,BR9&lt;&gt;"",BN9=""),AND(BV9&gt;=BW$43,BU9&lt;&gt;"",BN9=""),AND(CU9&gt;=DA$43,CT9&lt;&gt;"",CR9=""),AND(CW9&gt;=DA$43,CV9&lt;&gt;"",CR9=""),AND(CZ9&gt;=DA$43,CY9&lt;&gt;"",CR9=""),AND(DU9&gt;=DY$43,DS9&lt;&gt;""),AND(DX9&gt;=DY$43,DW9&lt;&gt;""),AND(EQ9&gt;=EU$43,EO9&lt;&gt;""),AND(ET9&gt;=EU$43,ES9&lt;&gt;""),AND(FM9&gt;=FQ$43,FK9&lt;&gt;""),AND(FP9&gt;=FQ$43,FO9&lt;&gt;""),AND(GI9&gt;=GM$43,GG9&lt;&gt;""),AND(GL9&gt;=GM$43,GK9&lt;&gt;""),AND(HE9&gt;=HI$43,HC9&lt;&gt;""),AND(HH9&gt;=HI$43,HG9&lt;&gt;""),AND(IA9&gt;=IE$43,HY9&lt;&gt;""),AND(ID9&gt;=IE$43,IC9&lt;&gt;""),AND(IW9&gt;=JA$43,IU9&lt;&gt;""),AND(IZ9&gt;=JA$43,IY9&lt;&gt;""),AND(JS9&gt;=JW$43,JQ9&lt;&gt;""),AND(JV9&gt;=JW$43,JU9&lt;&gt;""),AND(KO9&gt;=KS$43,KM9&lt;&gt;""),AND(KR9&gt;=KS$43,KQ9&lt;&gt;""),AND(LK9&gt;=LO$43,LI9&lt;&gt;""),AND(LN9&gt;=LO$43,LM9&lt;&gt;""),AND(MG9&gt;=MK$43,ME9&lt;&gt;""),AND(MJ9&gt;=MK$43,MI9&lt;&gt;""),AND(NC9&gt;=NG$43,NA9&lt;&gt;""),AND(NF9&gt;=NG$43,NE9&lt;&gt;"")),"P","")</f>
        <v>P</v>
      </c>
      <c r="H9" s="66" t="str">
        <f>IF(F9="P","National Team",IF(G9="P","No DD",""))</f>
        <v>National Team</v>
      </c>
      <c r="I9" s="14">
        <f>MAX(AM9,AO9,AR9,BQ9,BS9,BV9,CU9,CW9,CZ9)</f>
        <v>53.089999999999996</v>
      </c>
      <c r="J9" s="14" t="str">
        <f>IF(I9=0,"",IF(OR(I9=CW9,I9=CU9,I9=CZ9),$BX$1,IF(OR(I9=BS9,I9=BQ9,I9=BV9),$AT$1,IF(OR(I9=AO9,I9=AM9,I9=AR9),$P$1,""))))</f>
        <v>2022 3rd Domestic Trial</v>
      </c>
      <c r="K9" s="14">
        <f>IF(COUNT(AM9,AO9,AR9,BQ9,BS9,BV9,CU9,CW9,CZ9)&gt;1,LARGE((AM9,AO9,AR9,BQ9,BS9,BV9,CU9,CW9,CZ9),2),0)</f>
        <v>52.74</v>
      </c>
      <c r="L9" s="14" t="str">
        <f>IF(K9=0,"",IF(OR(K9=CW9,K9=CU9,K9=CZ9),$BX$1,IF(OR(K9=BS9,K9=BQ9,K9=BV9),$AT$1,IF(OR(K9=AO9,K9=AM9,K9=AR9),$P$1,""))))</f>
        <v>2022 3rd Domestic Trial</v>
      </c>
      <c r="M9" s="14" t="str">
        <f>IF(MAX(DB9,DC9)&gt;0,MAX(DB9,DC9),"")</f>
        <v/>
      </c>
      <c r="N9" s="19" t="str">
        <f>IF(M9="","",IF(M9=DB9,"(Prelim)",IF(M9=DC9,"(Final)")))</f>
        <v/>
      </c>
      <c r="O9" s="14" t="str">
        <f>IF(M9="","",IF(M9=DB9,IF(M9+IF(K9="",0,K9)=NC9,$ML$1,IF(M9+IF(K9="",0,K9)=MG9,$LP$1,IF(M9+IF(K9="",0,K9)=LK9,$KT$1,IF(M9+IF(K9="",0,K9)=KO9,$JX$1,IF(M9+IF(K9="",0,K9)=JS9,$JB$1,IF(M9+IF(K9="",0,K9)=IW9,$IF$1,IF(M9+IF(K9="",0,K9)=IA9,$HJ$1,IF(M9+IF(K9="",0,K9)=HE9,$GN$1,IF(M9+IF(K9="",0,K9)=GI9,$FR$1,IF(M9+IF(K9="",0,K9)=FM9,$EV$1,IF(M9+IF(K9="",0,K9)=EQ9,$DZ$1,IF(M9+IF(K9="",0,K9)=DU9,$DD$1,IF(M9+IF(K9="",0,K9)=NB9,$ML$1,IF(M9+IF(K9="",0,K9)=MF9,$LP$1,IF(M9+IF(K9="",0,K9)=LJ9,$KT$1,IF(M9+IF(K9="",0,K9)=KN9,$JX$1,IF(M9+IF(K9="",0,K9)=JR9,$JB$1,IF(M9+IF(K9="",0,K9)=IV9,$IF$1,IF(M9+IF(K9="",0,K9)=HZ9,$HJ$1,IF(M9+IF(K9="",0,K9)=HD9,$GN$1,IF(M9+IF(K9="",0,K9)=GH9,$FR$1,IF(M9+IF(K9="",0,K9)=FL9,$EV$1,IF(M9+IF(K9="",0,K9)=EP9,$DZ$1,IF(M9+IF(K9="",0,K9)=DT9,$DD$1))))))))))))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</f>
        <v/>
      </c>
      <c r="P9" s="37"/>
      <c r="Q9" s="37"/>
      <c r="R9" s="37"/>
      <c r="S9" s="37"/>
      <c r="T9" s="37"/>
      <c r="U9" s="37">
        <v>13.7</v>
      </c>
      <c r="V9" s="37">
        <v>9.1999999999999993</v>
      </c>
      <c r="W9" s="37">
        <v>12.3</v>
      </c>
      <c r="X9" s="37">
        <v>15.16</v>
      </c>
      <c r="Y9" s="37">
        <v>1.2</v>
      </c>
      <c r="Z9" s="37">
        <v>12.1</v>
      </c>
      <c r="AA9" s="37">
        <v>7.7</v>
      </c>
      <c r="AB9" s="37">
        <v>13</v>
      </c>
      <c r="AC9" s="37">
        <v>13.67</v>
      </c>
      <c r="AD9" s="37">
        <v>0</v>
      </c>
      <c r="AE9" s="37"/>
      <c r="AF9" s="37"/>
      <c r="AG9" s="37"/>
      <c r="AH9" s="37"/>
      <c r="AI9" s="37"/>
      <c r="AJ9" s="44"/>
      <c r="AK9" s="11" t="str">
        <f>IF(SUM(P9:S9)-T9&gt;0,SUM(P9:S9)-T9,"")</f>
        <v/>
      </c>
      <c r="AL9" s="11">
        <f>IF(W9&gt;0,W9,"")</f>
        <v>12.3</v>
      </c>
      <c r="AM9" s="11">
        <f>IF(SUM(U9:X9)-Y9&gt;0,SUM(U9:X9)-Y9,"")</f>
        <v>49.16</v>
      </c>
      <c r="AN9" s="11">
        <f>IF(AB9&gt;0,AB9,"")</f>
        <v>13</v>
      </c>
      <c r="AO9" s="11">
        <f>IF(SUM(Z9:AC9)-AD9&gt;0,SUM(Z9:AC9)-AD9,"")</f>
        <v>46.47</v>
      </c>
      <c r="AP9" s="11">
        <f>IF(AK9="",IF(MAX(AM9,AO9)&gt;0,MAX(AM9,AO9),""),MAX(AM9,AO9)+AK9)</f>
        <v>49.16</v>
      </c>
      <c r="AQ9" s="11" t="str">
        <f>IF(AG9&gt;0,AG9,"")</f>
        <v/>
      </c>
      <c r="AR9" s="11" t="str">
        <f>IF(SUM(AE9:AH9)-AI9&gt;0,SUM(AE9:AH9)-AI9,"")</f>
        <v/>
      </c>
      <c r="AS9" s="11">
        <f>IF(SUM(AP9,AR9)&gt;0,SUM(AP9,AR9),"")</f>
        <v>49.16</v>
      </c>
      <c r="AT9" s="41"/>
      <c r="AU9" s="41"/>
      <c r="AV9" s="41"/>
      <c r="AW9" s="41"/>
      <c r="AX9" s="41"/>
      <c r="AY9" s="41">
        <v>3</v>
      </c>
      <c r="AZ9" s="41">
        <v>1.8</v>
      </c>
      <c r="BA9" s="41">
        <v>3.2</v>
      </c>
      <c r="BB9" s="41">
        <v>3.47</v>
      </c>
      <c r="BC9" s="41">
        <v>0</v>
      </c>
      <c r="BD9" s="41">
        <v>1.4</v>
      </c>
      <c r="BE9" s="41">
        <v>0.8</v>
      </c>
      <c r="BF9" s="41">
        <v>2</v>
      </c>
      <c r="BG9" s="41">
        <v>1.62</v>
      </c>
      <c r="BH9" s="41">
        <v>0</v>
      </c>
      <c r="BI9" s="41"/>
      <c r="BJ9" s="41"/>
      <c r="BK9" s="41"/>
      <c r="BL9" s="41"/>
      <c r="BM9" s="41"/>
      <c r="BN9" s="45"/>
      <c r="BO9" s="14" t="str">
        <f>IF(SUM(AT9:AW9)-AX9&gt;0,SUM(AT9:AW9)-AX9,"")</f>
        <v/>
      </c>
      <c r="BP9" s="14">
        <f>IF(BA9&gt;0,BA9,"")</f>
        <v>3.2</v>
      </c>
      <c r="BQ9" s="14">
        <f>IF(SUM(AY9:BB9)-BC9&gt;0,SUM(AY9:BB9)-BC9,"")</f>
        <v>11.47</v>
      </c>
      <c r="BR9" s="14">
        <f>IF(BF9&gt;0,BF9,"")</f>
        <v>2</v>
      </c>
      <c r="BS9" s="14">
        <f>IF(SUM(BD9:BG9)-BH9&gt;0,SUM(BD9:BG9)-BH9,"")</f>
        <v>5.82</v>
      </c>
      <c r="BT9" s="14">
        <f>IF(BO9="",IF(MAX(BQ9,BS9)&gt;0,MAX(BQ9,BS9),""),MAX(BQ9,BS9)+BO9)</f>
        <v>11.47</v>
      </c>
      <c r="BU9" s="14" t="str">
        <f>IF(BK9&gt;0,BK9,"")</f>
        <v/>
      </c>
      <c r="BV9" s="14" t="str">
        <f>IF(SUM(BI9:BL9)-BM9&gt;0,SUM(BI9:BL9)-BM9,"")</f>
        <v/>
      </c>
      <c r="BW9" s="14">
        <f>IF(SUM(BT9,BV9)&gt;0,SUM(BT9,BV9),"")</f>
        <v>11.47</v>
      </c>
      <c r="BX9" s="37"/>
      <c r="BY9" s="37"/>
      <c r="BZ9" s="37"/>
      <c r="CA9" s="37"/>
      <c r="CB9" s="37"/>
      <c r="CC9" s="37">
        <v>13.9</v>
      </c>
      <c r="CD9" s="37">
        <v>9</v>
      </c>
      <c r="CE9" s="37">
        <v>15.2</v>
      </c>
      <c r="CF9" s="37">
        <v>14.99</v>
      </c>
      <c r="CG9" s="37">
        <v>0</v>
      </c>
      <c r="CH9" s="37">
        <v>12</v>
      </c>
      <c r="CI9" s="37">
        <v>9.5</v>
      </c>
      <c r="CJ9" s="37">
        <v>15.4</v>
      </c>
      <c r="CK9" s="37">
        <v>14.94</v>
      </c>
      <c r="CL9" s="37">
        <v>0</v>
      </c>
      <c r="CM9" s="37">
        <v>14.7</v>
      </c>
      <c r="CN9" s="37">
        <v>9.4</v>
      </c>
      <c r="CO9" s="37">
        <v>13.8</v>
      </c>
      <c r="CP9" s="37">
        <v>15.04</v>
      </c>
      <c r="CQ9" s="37">
        <v>0.2</v>
      </c>
      <c r="CR9" s="44"/>
      <c r="CS9" s="11" t="str">
        <f>IF(SUM(BX9:CA9)-CB9&gt;0,SUM(BX9:CA9)-CB9,"")</f>
        <v/>
      </c>
      <c r="CT9" s="11">
        <f>IF(CE9&gt;0,CE9,"")</f>
        <v>15.2</v>
      </c>
      <c r="CU9" s="11">
        <f>IF(SUM(CC9:CF9)-CG9&gt;0,SUM(CC9:CF9)-CG9,"")</f>
        <v>53.089999999999996</v>
      </c>
      <c r="CV9" s="11">
        <f>IF(CJ9&gt;0,CJ9,"")</f>
        <v>15.4</v>
      </c>
      <c r="CW9" s="11">
        <f>IF(SUM(CH9:CK9)-CL9&gt;0,SUM(CH9:CK9)-CL9,"")</f>
        <v>51.839999999999996</v>
      </c>
      <c r="CX9" s="11">
        <f>IF(CS9="",IF(MAX(CU9,CW9)&gt;0,MAX(CU9,CW9),""),MAX(CU9,CW9)+CS9)</f>
        <v>53.089999999999996</v>
      </c>
      <c r="CY9" s="11">
        <f>IF(CO9&gt;0,CO9,"")</f>
        <v>13.8</v>
      </c>
      <c r="CZ9" s="11">
        <f>IF(SUM(CM9:CP9)-CQ9&gt;0,SUM(CM9:CP9)-CQ9,"")</f>
        <v>52.74</v>
      </c>
      <c r="DA9" s="11">
        <f>IF(SUM(CX9,CZ9)&gt;0,SUM(CX9,CZ9),"")</f>
        <v>105.83</v>
      </c>
      <c r="DB9" s="18" t="str">
        <f>IF(K9&gt;=0.001,IF(MAX(DT9,DU9,EP9,EQ9,FL9,FM9,GH9,GI9,HD9,HE9,HZ9,IA9,IV9,IW9,JR9,JS9,KN9,KO9,LJ9,LK9,MF9,MG9,NB9,NC9)-IF(K9="",0,K9)&gt;0.001,MAX(DT9,DU9,EP9,EQ9,FL9,FM9,GH9,GI9,HD9,HE9,HZ9,IA9,IV9,IW9,JR9,JS9,KN9,KO9,LJ9,LK9,MF9,MG9,NB9,NC9)-IF(K9="",0,K9),""),"")</f>
        <v/>
      </c>
      <c r="DC9" s="18" t="str">
        <f>IF(K9&gt;=0.001,IF(MAX(DX9,ET9,FP9,GL9,HH9,ID9,IZ9,JV9,KR9,LN9,MJ9,NF9)-IF(K9="",0,K9)&gt;0.001,MAX(DX9,ET9,FP9,GL9,HH9,ID9,IZ9,JV9,KR9,LN9,MJ9,NF9)-IF(K9="",0,K9),""),"")</f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7">
        <f>IF($CR9="P",BX9,(BX9+AT9)/2)</f>
        <v>0</v>
      </c>
      <c r="NI9" s="37">
        <f>IF($CR9="P",BY9,(BY9+AU9)/2)</f>
        <v>0</v>
      </c>
      <c r="NJ9" s="37">
        <f>IF($CR9="P",BZ9,(BZ9+AV9)/2)</f>
        <v>0</v>
      </c>
      <c r="NK9" s="37">
        <f>IF($CR9="P",CA9,(CA9+AW9)/2)</f>
        <v>0</v>
      </c>
      <c r="NL9" s="37">
        <f>IF($CR9="P",CB9,(CB9+AX9)/2)</f>
        <v>0</v>
      </c>
      <c r="NM9" s="37">
        <f>IF($CR9="P",CC9,(CC9+AY9)/2)</f>
        <v>8.4499999999999993</v>
      </c>
      <c r="NN9" s="37">
        <f>IF($CR9="P",CD9,(CD9+AZ9)/2)</f>
        <v>5.4</v>
      </c>
      <c r="NO9" s="37">
        <f>IF($CR9="P",CE9,(CE9+BA9)/2)</f>
        <v>9.1999999999999993</v>
      </c>
      <c r="NP9" s="37">
        <f>IF($CR9="P",CF9,(CF9+BB9)/2)</f>
        <v>9.23</v>
      </c>
      <c r="NQ9" s="37">
        <f>IF($CR9="P",CG9,(CG9+BC9)/2)</f>
        <v>0</v>
      </c>
      <c r="NR9" s="37">
        <f>IF($CR9="P",CH9,(CH9+BD9)/2)</f>
        <v>6.7</v>
      </c>
      <c r="NS9" s="37">
        <f>IF($CR9="P",CI9,(CI9+BE9)/2)</f>
        <v>5.15</v>
      </c>
      <c r="NT9" s="37">
        <f>IF($CR9="P",CJ9,(CJ9+BF9)/2)</f>
        <v>8.6999999999999993</v>
      </c>
      <c r="NU9" s="37">
        <f>IF($CR9="P",CK9,(CK9+BG9)/2)</f>
        <v>8.2799999999999994</v>
      </c>
      <c r="NV9" s="37">
        <f>IF($CR9="P",CL9,(CL9+BH9)/2)</f>
        <v>0</v>
      </c>
      <c r="NW9" s="37">
        <f>IF($CR9="P",CM9,(CM9+BI9)/2)</f>
        <v>7.35</v>
      </c>
      <c r="NX9" s="37">
        <f>IF($CR9="P",CN9,(CN9+BJ9)/2)</f>
        <v>4.7</v>
      </c>
      <c r="NY9" s="37">
        <f>IF($CR9="P",CO9,(CO9+BK9)/2)</f>
        <v>6.9</v>
      </c>
      <c r="NZ9" s="37">
        <f>IF($CR9="P",CP9,(CP9+BL9)/2)</f>
        <v>7.52</v>
      </c>
      <c r="OA9" s="37">
        <f>IF($CR9="P",CQ9,(CQ9+BM9)/2)</f>
        <v>0.1</v>
      </c>
      <c r="OB9" s="44" t="s">
        <v>46</v>
      </c>
      <c r="OC9" s="11" t="str">
        <f>IF(SUM(NH9:NK9)-NL9&gt;0,SUM(NH9:NK9)-NL9,"")</f>
        <v/>
      </c>
      <c r="OD9" s="11">
        <f>IF(NO9&gt;0,NO9,"")</f>
        <v>9.1999999999999993</v>
      </c>
      <c r="OE9" s="11">
        <f>IF(SUM(NM9:NP9)-NQ9&gt;0,SUM(NM9:NP9)-NQ9,"")</f>
        <v>32.28</v>
      </c>
      <c r="OF9" s="11">
        <f>IF(NT9&gt;0,NT9,"")</f>
        <v>8.6999999999999993</v>
      </c>
      <c r="OG9" s="11">
        <f>IF(SUM(NR9:NU9)-NV9&gt;0,SUM(NR9:NU9)-NV9,"")</f>
        <v>28.83</v>
      </c>
      <c r="OH9" s="11" t="e">
        <f>IF(OR(OC9&lt;&gt;"",OE9&lt;&gt;"",OG9&lt;&gt;""),OC9+MAX(OE9,OG9),"")</f>
        <v>#VALUE!</v>
      </c>
      <c r="OI9" s="11">
        <f>IF(NY9&gt;0,NY9,"")</f>
        <v>6.9</v>
      </c>
      <c r="OJ9" s="11">
        <f t="shared" si="0"/>
        <v>26.37</v>
      </c>
      <c r="OK9" s="11" t="e">
        <f t="shared" si="1"/>
        <v>#VALUE!</v>
      </c>
    </row>
    <row r="10" spans="1:401" x14ac:dyDescent="0.2">
      <c r="A10" s="5" cm="1">
        <f t="array" ref="A10">IF(AND(F10="P",G10="P"),SUMPRODUCT((F$4:F$37="P")*(G$4:G$37="P")*(E$4:E$37&gt;E10))+1,IF(G10="P",SUMPRODUCT((F$4:F$37="")*(G$4:G$37="P")*(E$4:E$37&gt;E10))+1+SUMPRODUCT((F$4:F$37="P")*(G$4:G$37="P")),""))</f>
        <v>7</v>
      </c>
      <c r="B10" s="6" t="s">
        <v>67</v>
      </c>
      <c r="C10" s="7" t="s">
        <v>3</v>
      </c>
      <c r="D10" s="7">
        <v>2003</v>
      </c>
      <c r="E10" s="15">
        <f>SUM(I10:M10)+I10*0.0000001</f>
        <v>102.045005324</v>
      </c>
      <c r="F10" s="3" t="str">
        <f>IF(OR(AND(AL10&gt;=AS$39,AM10&gt;=AS$43,AL10&lt;&gt;"",AJ10=""),AND(AN10&gt;=AS$39,AO10&gt;=AS$43,AN10&lt;&gt;"",AN10=""),AND(AQ10&gt;=AS$39,AR10&gt;=AS$43,AQ10&lt;&gt;"",AJ10=""),AND(BP10&gt;=BW$39,BQ10&gt;=BW$43,BP10&lt;&gt;"",BN10=""),AND(BR10&gt;=BW$39,BS10&gt;=BW$43,BR10&lt;&gt;"",BN10=""),AND(BU10&gt;=BW$39,BV10&gt;=BW$43,BU10&lt;&gt;"",BN10=""),AND(CT10&gt;=DA$39,CU10&gt;=DA$43,CT10&lt;&gt;"",CR10=""),AND(CV10&gt;=DA$39,CW10&gt;=DA$43,CV10&lt;&gt;"",CR10=""),AND(CY10&gt;=DA$39,CZ10&gt;=DA$43,CY10&lt;&gt;"",CR10=""),AND(DS10&gt;=DY$39,DU10&gt;=DY$43,DS10&lt;&gt;""),AND(DW10&gt;=DY$39,DX10&gt;=DY$43,DW10&lt;&gt;""),AND(EO10&gt;=EU$39,EQ10&gt;=EU$43,EO10&lt;&gt;""),AND(ES10&gt;=EU$39,ET10&gt;=EU$43,ES10&lt;&gt;""),AND(FK10&gt;=FQ$39,FM10&gt;=FQ$43,FK10&lt;&gt;""),AND(FO10&gt;=FQ$39,FP10&gt;=FQ$43,FO10&lt;&gt;""),AND(GG10&gt;=GM$39,GI10&gt;=GM$43,GG10&lt;&gt;""),AND(GK10&gt;=GM$39,GL10&gt;=GM$43,GK10&lt;&gt;""),AND(HC10&gt;=HI$39,HE10&gt;=HI$43,HC10&lt;&gt;""),AND(HG10&gt;=HI$39,HH10&gt;=HI$43,HG10&lt;&gt;""),AND(HY10&gt;=IE$39,IA10&gt;=IE$43,HY10&lt;&gt;""),AND(IC10&gt;=IE$39,ID10&gt;=IE$43,IC10&lt;&gt;""),AND(IU10&gt;=JA$39,IW10&gt;=JA$43,IU10&lt;&gt;""),AND(IY10&gt;=JA$39,IZ10&gt;=JA$43,IY10&lt;&gt;""),AND(JQ10&gt;=JW$39,JS10&gt;=JW$43,JQ10&lt;&gt;""),AND(JU10&gt;=JW$39,JV10&gt;=JW$43,JU10&lt;&gt;""),AND(KM10&gt;=KS$39,KO10&gt;=KS$43,KM10&lt;&gt;""),AND(KQ10&gt;=KS$39,KR10&gt;=KS$43,KQ10&lt;&gt;""),AND(LI10&gt;=LO$39,LK10&gt;=LO$43,LI10&lt;&gt;""),AND(LM10&gt;=LO$39,LN10&gt;=LO$43,LM10&lt;&gt;""),AND(ME10&gt;=MK$39,MG10&gt;=MK$43,ME10&lt;&gt;""),AND(MI10&gt;=MK$39,MJ10&gt;=MK$43,MI10&lt;&gt;""),AND(NA10&gt;=NG$39,NC10&gt;=NG$43,NA10&lt;&gt;""),AND(NE10&gt;=NG$39,NF10&gt;=NG$43,NE10&lt;&gt;"")),"P","")</f>
        <v>P</v>
      </c>
      <c r="G10" s="3" t="str">
        <f>IF(OR(AND(AM10&gt;=AS$43,AL10&lt;&gt;"",AJ10=""),AND(AO10&gt;=AS$43,AN10&lt;&gt;"",AN10=""),AND(AR10&gt;=AS$43,AQ10&lt;&gt;"",AJ10=""),AND(BQ10&gt;=BW$43,BP10&lt;&gt;"",BN10=""),AND(BS10&gt;=BW$43,BR10&lt;&gt;"",BN10=""),AND(BV10&gt;=BW$43,BU10&lt;&gt;"",BN10=""),AND(CU10&gt;=DA$43,CT10&lt;&gt;"",CR10=""),AND(CW10&gt;=DA$43,CV10&lt;&gt;"",CR10=""),AND(CZ10&gt;=DA$43,CY10&lt;&gt;"",CR10=""),AND(DU10&gt;=DY$43,DS10&lt;&gt;""),AND(DX10&gt;=DY$43,DW10&lt;&gt;""),AND(EQ10&gt;=EU$43,EO10&lt;&gt;""),AND(ET10&gt;=EU$43,ES10&lt;&gt;""),AND(FM10&gt;=FQ$43,FK10&lt;&gt;""),AND(FP10&gt;=FQ$43,FO10&lt;&gt;""),AND(GI10&gt;=GM$43,GG10&lt;&gt;""),AND(GL10&gt;=GM$43,GK10&lt;&gt;""),AND(HE10&gt;=HI$43,HC10&lt;&gt;""),AND(HH10&gt;=HI$43,HG10&lt;&gt;""),AND(IA10&gt;=IE$43,HY10&lt;&gt;""),AND(ID10&gt;=IE$43,IC10&lt;&gt;""),AND(IW10&gt;=JA$43,IU10&lt;&gt;""),AND(IZ10&gt;=JA$43,IY10&lt;&gt;""),AND(JS10&gt;=JW$43,JQ10&lt;&gt;""),AND(JV10&gt;=JW$43,JU10&lt;&gt;""),AND(KO10&gt;=KS$43,KM10&lt;&gt;""),AND(KR10&gt;=KS$43,KQ10&lt;&gt;""),AND(LK10&gt;=LO$43,LI10&lt;&gt;""),AND(LN10&gt;=LO$43,LM10&lt;&gt;""),AND(MG10&gt;=MK$43,ME10&lt;&gt;""),AND(MJ10&gt;=MK$43,MI10&lt;&gt;""),AND(NC10&gt;=NG$43,NA10&lt;&gt;""),AND(NF10&gt;=NG$43,NE10&lt;&gt;"")),"P","")</f>
        <v>P</v>
      </c>
      <c r="H10" s="66" t="str">
        <f>IF(F10="P","National Team",IF(G10="P","No DD",""))</f>
        <v>National Team</v>
      </c>
      <c r="I10" s="14">
        <f>MAX(AM10,AO10,AR10,BQ10,BS10,BV10,CU10,CW10,CZ10)</f>
        <v>53.239999999999995</v>
      </c>
      <c r="J10" s="14" t="str">
        <f>IF(I10=0,"",IF(OR(I10=CW10,I10=CU10,I10=CZ10),$BX$1,IF(OR(I10=BS10,I10=BQ10,I10=BV10),$AT$1,IF(OR(I10=AO10,I10=AM10,I10=AR10),$P$1,""))))</f>
        <v>2022 Nationals</v>
      </c>
      <c r="K10" s="14">
        <f>IF(COUNT(AM10,AO10,AR10,BQ10,BS10,BV10,CU10,CW10,CZ10)&gt;1,LARGE((AM10,AO10,AR10,BQ10,BS10,BV10,CU10,CW10,CZ10),2),0)</f>
        <v>48.805000000000007</v>
      </c>
      <c r="L10" s="14" t="str">
        <f>IF(K10=0,"",IF(OR(K10=CW10,K10=CU10,K10=CZ10),$BX$1,IF(OR(K10=BS10,K10=BQ10,K10=BV10),$AT$1,IF(OR(K10=AO10,K10=AM10,K10=AR10),$P$1,""))))</f>
        <v>2022 Elite Canada</v>
      </c>
      <c r="M10" s="14" t="str">
        <f>IF(MAX(DB10,DC10)&gt;0,MAX(DB10,DC10),"")</f>
        <v/>
      </c>
      <c r="N10" s="19" t="str">
        <f>IF(M10="","",IF(M10=DB10,"(Prelim)",IF(M10=DC10,"(Final)")))</f>
        <v/>
      </c>
      <c r="O10" s="14" t="str">
        <f>IF(M10="","",IF(M10=DB10,IF(M10+IF(K10="",0,K10)=NC10,$ML$1,IF(M10+IF(K10="",0,K10)=MG10,$LP$1,IF(M10+IF(K10="",0,K10)=LK10,$KT$1,IF(M10+IF(K10="",0,K10)=KO10,$JX$1,IF(M10+IF(K10="",0,K10)=JS10,$JB$1,IF(M10+IF(K10="",0,K10)=IW10,$IF$1,IF(M10+IF(K10="",0,K10)=IA10,$HJ$1,IF(M10+IF(K10="",0,K10)=HE10,$GN$1,IF(M10+IF(K10="",0,K10)=GI10,$FR$1,IF(M10+IF(K10="",0,K10)=FM10,$EV$1,IF(M10+IF(K10="",0,K10)=EQ10,$DZ$1,IF(M10+IF(K10="",0,K10)=DU10,$DD$1,IF(M10+IF(K10="",0,K10)=NB10,$ML$1,IF(M10+IF(K10="",0,K10)=MF10,$LP$1,IF(M10+IF(K10="",0,K10)=LJ10,$KT$1,IF(M10+IF(K10="",0,K10)=KN10,$JX$1,IF(M10+IF(K10="",0,K10)=JR10,$JB$1,IF(M10+IF(K10="",0,K10)=IV10,$IF$1,IF(M10+IF(K10="",0,K10)=HZ10,$HJ$1,IF(M10+IF(K10="",0,K10)=HD10,$GN$1,IF(M10+IF(K10="",0,K10)=GH10,$FR$1,IF(M10+IF(K10="",0,K10)=FL10,$EV$1,IF(M10+IF(K10="",0,K10)=EP10,$DZ$1,IF(M10+IF(K10="",0,K10)=DT10,$DD$1))))))))))))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</f>
        <v/>
      </c>
      <c r="P10" s="37"/>
      <c r="Q10" s="37"/>
      <c r="R10" s="37"/>
      <c r="S10" s="37"/>
      <c r="T10" s="37"/>
      <c r="U10" s="37">
        <v>6.8</v>
      </c>
      <c r="V10" s="37">
        <v>4.5999999999999996</v>
      </c>
      <c r="W10" s="37">
        <v>8.1999999999999993</v>
      </c>
      <c r="X10" s="37">
        <v>8.0500000000000007</v>
      </c>
      <c r="Y10" s="37">
        <v>0</v>
      </c>
      <c r="Z10" s="37">
        <v>10.8</v>
      </c>
      <c r="AA10" s="37">
        <v>8.9</v>
      </c>
      <c r="AB10" s="37">
        <v>13.6</v>
      </c>
      <c r="AC10" s="37">
        <v>15.505000000000001</v>
      </c>
      <c r="AD10" s="37">
        <v>0</v>
      </c>
      <c r="AE10" s="37"/>
      <c r="AF10" s="37"/>
      <c r="AG10" s="37"/>
      <c r="AH10" s="37"/>
      <c r="AI10" s="37"/>
      <c r="AJ10" s="44"/>
      <c r="AK10" s="11" t="str">
        <f>IF(SUM(P10:S10)-T10&gt;0,SUM(P10:S10)-T10,"")</f>
        <v/>
      </c>
      <c r="AL10" s="11">
        <f>IF(W10&gt;0,W10,"")</f>
        <v>8.1999999999999993</v>
      </c>
      <c r="AM10" s="11">
        <f>IF(SUM(U10:X10)-Y10&gt;0,SUM(U10:X10)-Y10,"")</f>
        <v>27.65</v>
      </c>
      <c r="AN10" s="11">
        <f>IF(AB10&gt;0,AB10,"")</f>
        <v>13.6</v>
      </c>
      <c r="AO10" s="11">
        <f>IF(SUM(Z10:AC10)-AD10&gt;0,SUM(Z10:AC10)-AD10,"")</f>
        <v>48.805000000000007</v>
      </c>
      <c r="AP10" s="11">
        <f>IF(AK10="",IF(MAX(AM10,AO10)&gt;0,MAX(AM10,AO10),""),MAX(AM10,AO10)+AK10)</f>
        <v>48.805000000000007</v>
      </c>
      <c r="AQ10" s="11" t="str">
        <f>IF(AG10&gt;0,AG10,"")</f>
        <v/>
      </c>
      <c r="AR10" s="11" t="str">
        <f>IF(SUM(AE10:AH10)-AI10&gt;0,SUM(AE10:AH10)-AI10,"")</f>
        <v/>
      </c>
      <c r="AS10" s="11">
        <f>IF(SUM(AP10,AR10)&gt;0,SUM(AP10,AR10),"")</f>
        <v>48.805000000000007</v>
      </c>
      <c r="AT10" s="41"/>
      <c r="AU10" s="41"/>
      <c r="AV10" s="41"/>
      <c r="AW10" s="41"/>
      <c r="AX10" s="41"/>
      <c r="AY10" s="41">
        <v>14.6</v>
      </c>
      <c r="AZ10" s="41">
        <v>9.1999999999999993</v>
      </c>
      <c r="BA10" s="41">
        <v>14.4</v>
      </c>
      <c r="BB10" s="41">
        <v>15.04</v>
      </c>
      <c r="BC10" s="41">
        <v>0</v>
      </c>
      <c r="BD10" s="41">
        <v>3</v>
      </c>
      <c r="BE10" s="41">
        <v>1.7</v>
      </c>
      <c r="BF10" s="41">
        <v>3.4</v>
      </c>
      <c r="BG10" s="41">
        <v>3.32</v>
      </c>
      <c r="BH10" s="41">
        <v>0</v>
      </c>
      <c r="BI10" s="41">
        <v>3</v>
      </c>
      <c r="BJ10" s="41">
        <v>1.6</v>
      </c>
      <c r="BK10" s="41">
        <v>3.4</v>
      </c>
      <c r="BL10" s="41">
        <v>3.19</v>
      </c>
      <c r="BM10" s="41">
        <v>0</v>
      </c>
      <c r="BN10" s="45"/>
      <c r="BO10" s="14" t="str">
        <f>IF(SUM(AT10:AW10)-AX10&gt;0,SUM(AT10:AW10)-AX10,"")</f>
        <v/>
      </c>
      <c r="BP10" s="14">
        <f>IF(BA10&gt;0,BA10,"")</f>
        <v>14.4</v>
      </c>
      <c r="BQ10" s="14">
        <f>IF(SUM(AY10:BB10)-BC10&gt;0,SUM(AY10:BB10)-BC10,"")</f>
        <v>53.239999999999995</v>
      </c>
      <c r="BR10" s="14">
        <f>IF(BF10&gt;0,BF10,"")</f>
        <v>3.4</v>
      </c>
      <c r="BS10" s="14">
        <f>IF(SUM(BD10:BG10)-BH10&gt;0,SUM(BD10:BG10)-BH10,"")</f>
        <v>11.42</v>
      </c>
      <c r="BT10" s="14">
        <f>IF(BO10="",IF(MAX(BQ10,BS10)&gt;0,MAX(BQ10,BS10),""),MAX(BQ10,BS10)+BO10)</f>
        <v>53.239999999999995</v>
      </c>
      <c r="BU10" s="14">
        <f>IF(BK10&gt;0,BK10,"")</f>
        <v>3.4</v>
      </c>
      <c r="BV10" s="14">
        <f>IF(SUM(BI10:BL10)-BM10&gt;0,SUM(BI10:BL10)-BM10,"")</f>
        <v>11.19</v>
      </c>
      <c r="BW10" s="14">
        <f>IF(SUM(BT10,BV10)&gt;0,SUM(BT10,BV10),"")</f>
        <v>64.429999999999993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>IF(SUM(BX10:CA10)-CB10&gt;0,SUM(BX10:CA10)-CB10,"")</f>
        <v/>
      </c>
      <c r="CT10" s="11" t="str">
        <f>IF(CE10&gt;0,CE10,"")</f>
        <v/>
      </c>
      <c r="CU10" s="11" t="str">
        <f>IF(SUM(CC10:CF10)-CG10&gt;0,SUM(CC10:CF10)-CG10,"")</f>
        <v/>
      </c>
      <c r="CV10" s="11" t="str">
        <f>IF(CJ10&gt;0,CJ10,"")</f>
        <v/>
      </c>
      <c r="CW10" s="11" t="str">
        <f>IF(SUM(CH10:CK10)-CL10&gt;0,SUM(CH10:CK10)-CL10,"")</f>
        <v/>
      </c>
      <c r="CX10" s="11" t="str">
        <f>IF(CS10="",IF(MAX(CU10,CW10)&gt;0,MAX(CU10,CW10),""),MAX(CU10,CW10)+CS10)</f>
        <v/>
      </c>
      <c r="CY10" s="11" t="str">
        <f>IF(CO10&gt;0,CO10,"")</f>
        <v/>
      </c>
      <c r="CZ10" s="11" t="str">
        <f>IF(SUM(CM10:CP10)-CQ10&gt;0,SUM(CM10:CP10)-CQ10,"")</f>
        <v/>
      </c>
      <c r="DA10" s="11" t="str">
        <f>IF(SUM(CX10,CZ10)&gt;0,SUM(CX10,CZ10),"")</f>
        <v/>
      </c>
      <c r="DB10" s="18" t="str">
        <f>IF(K10&gt;=0.001,IF(MAX(DT10,DU10,EP10,EQ10,FL10,FM10,GH10,GI10,HD10,HE10,HZ10,IA10,IV10,IW10,JR10,JS10,KN10,KO10,LJ10,LK10,MF10,MG10,NB10,NC10)-IF(K10="",0,K10)&gt;0.001,MAX(DT10,DU10,EP10,EQ10,FL10,FM10,GH10,GI10,HD10,HE10,HZ10,IA10,IV10,IW10,JR10,JS10,KN10,KO10,LJ10,LK10,MF10,MG10,NB10,NC10)-IF(K10="",0,K10),""),"")</f>
        <v/>
      </c>
      <c r="DC10" s="18" t="str">
        <f>IF(K10&gt;=0.001,IF(MAX(DX10,ET10,FP10,GL10,HH10,ID10,IZ10,JV10,KR10,LN10,MJ10,NF10)-IF(K10="",0,K10)&gt;0.001,MAX(DX10,ET10,FP10,GL10,HH10,ID10,IZ10,JV10,KR10,LN10,MJ10,NF10)-IF(K10="",0,K10),""),"")</f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7">
        <f>IF($CR10="P",BX10,(BX10+AT10)/2)</f>
        <v>0</v>
      </c>
      <c r="NI10" s="37">
        <f>IF($CR10="P",BY10,(BY10+AU10)/2)</f>
        <v>0</v>
      </c>
      <c r="NJ10" s="37">
        <f>IF($CR10="P",BZ10,(BZ10+AV10)/2)</f>
        <v>0</v>
      </c>
      <c r="NK10" s="37">
        <f>IF($CR10="P",CA10,(CA10+AW10)/2)</f>
        <v>0</v>
      </c>
      <c r="NL10" s="37">
        <f>IF($CR10="P",CB10,(CB10+AX10)/2)</f>
        <v>0</v>
      </c>
      <c r="NM10" s="37">
        <f>IF($CR10="P",CC10,(CC10+AY10)/2)</f>
        <v>7.3</v>
      </c>
      <c r="NN10" s="37">
        <f>IF($CR10="P",CD10,(CD10+AZ10)/2)</f>
        <v>4.5999999999999996</v>
      </c>
      <c r="NO10" s="37">
        <f>IF($CR10="P",CE10,(CE10+BA10)/2)</f>
        <v>7.2</v>
      </c>
      <c r="NP10" s="37">
        <f>IF($CR10="P",CF10,(CF10+BB10)/2)</f>
        <v>7.52</v>
      </c>
      <c r="NQ10" s="37">
        <f>IF($CR10="P",CG10,(CG10+BC10)/2)</f>
        <v>0</v>
      </c>
      <c r="NR10" s="37">
        <f>IF($CR10="P",CH10,(CH10+BD10)/2)</f>
        <v>1.5</v>
      </c>
      <c r="NS10" s="37">
        <f>IF($CR10="P",CI10,(CI10+BE10)/2)</f>
        <v>0.85</v>
      </c>
      <c r="NT10" s="37">
        <f>IF($CR10="P",CJ10,(CJ10+BF10)/2)</f>
        <v>1.7</v>
      </c>
      <c r="NU10" s="37">
        <f>IF($CR10="P",CK10,(CK10+BG10)/2)</f>
        <v>1.66</v>
      </c>
      <c r="NV10" s="37">
        <f>IF($CR10="P",CL10,(CL10+BH10)/2)</f>
        <v>0</v>
      </c>
      <c r="NW10" s="37">
        <f>IF($CR10="P",CM10,(CM10+BI10)/2)</f>
        <v>1.5</v>
      </c>
      <c r="NX10" s="37">
        <f>IF($CR10="P",CN10,(CN10+BJ10)/2)</f>
        <v>0.8</v>
      </c>
      <c r="NY10" s="37">
        <f>IF($CR10="P",CO10,(CO10+BK10)/2)</f>
        <v>1.7</v>
      </c>
      <c r="NZ10" s="37">
        <f>IF($CR10="P",CP10,(CP10+BL10)/2)</f>
        <v>1.595</v>
      </c>
      <c r="OA10" s="37">
        <f>IF($CR10="P",CQ10,(CQ10+BM10)/2)</f>
        <v>0</v>
      </c>
      <c r="OB10" s="44" t="s">
        <v>46</v>
      </c>
      <c r="OC10" s="11" t="str">
        <f>IF(SUM(NH10:NK10)-NL10&gt;0,SUM(NH10:NK10)-NL10,"")</f>
        <v/>
      </c>
      <c r="OD10" s="11">
        <f>IF(NO10&gt;0,NO10,"")</f>
        <v>7.2</v>
      </c>
      <c r="OE10" s="11">
        <f>IF(SUM(NM10:NP10)-NQ10&gt;0,SUM(NM10:NP10)-NQ10,"")</f>
        <v>26.619999999999997</v>
      </c>
      <c r="OF10" s="11">
        <f>IF(NT10&gt;0,NT10,"")</f>
        <v>1.7</v>
      </c>
      <c r="OG10" s="11">
        <f>IF(SUM(NR10:NU10)-NV10&gt;0,SUM(NR10:NU10)-NV10,"")</f>
        <v>5.71</v>
      </c>
      <c r="OH10" s="11" t="e">
        <f>IF(OR(OC10&lt;&gt;"",OE10&lt;&gt;"",OG10&lt;&gt;""),OC10+MAX(OE10,OG10),"")</f>
        <v>#VALUE!</v>
      </c>
      <c r="OI10" s="11">
        <f>IF(NY10&gt;0,NY10,"")</f>
        <v>1.7</v>
      </c>
      <c r="OJ10" s="11">
        <f t="shared" si="0"/>
        <v>5.5949999999999998</v>
      </c>
      <c r="OK10" s="11" t="e">
        <f t="shared" si="1"/>
        <v>#VALUE!</v>
      </c>
    </row>
    <row r="11" spans="1:401" x14ac:dyDescent="0.2">
      <c r="A11" s="5" t="str" cm="1">
        <f t="array" ref="A11">IF(AND(F11="P",G11="P"),SUMPRODUCT((F$4:F$37="P")*(G$4:G$37="P")*(E$4:E$37&gt;E11))+1,IF(G11="P",SUMPRODUCT((F$4:F$37="")*(G$4:G$37="P")*(E$4:E$37&gt;E11))+1+SUMPRODUCT((F$4:F$37="P")*(G$4:G$37="P")),""))</f>
        <v/>
      </c>
      <c r="B11" s="8" t="s">
        <v>70</v>
      </c>
      <c r="C11" s="4" t="s">
        <v>6</v>
      </c>
      <c r="D11" s="21">
        <v>2004</v>
      </c>
      <c r="E11" s="15">
        <f>SUM(I11:M11)+I11*0.0000001</f>
        <v>104.5750052795</v>
      </c>
      <c r="F11" s="3" t="str">
        <f>IF(OR(AND(AL11&gt;=AS$39,AM11&gt;=AS$43,AL11&lt;&gt;"",AJ11=""),AND(AN11&gt;=AS$39,AO11&gt;=AS$43,AN11&lt;&gt;"",AN11=""),AND(AQ11&gt;=AS$39,AR11&gt;=AS$43,AQ11&lt;&gt;"",AJ11=""),AND(BP11&gt;=BW$39,BQ11&gt;=BW$43,BP11&lt;&gt;"",BN11=""),AND(BR11&gt;=BW$39,BS11&gt;=BW$43,BR11&lt;&gt;"",BN11=""),AND(BU11&gt;=BW$39,BV11&gt;=BW$43,BU11&lt;&gt;"",BN11=""),AND(CT11&gt;=DA$39,CU11&gt;=DA$43,CT11&lt;&gt;"",CR11=""),AND(CV11&gt;=DA$39,CW11&gt;=DA$43,CV11&lt;&gt;"",CR11=""),AND(CY11&gt;=DA$39,CZ11&gt;=DA$43,CY11&lt;&gt;"",CR11=""),AND(DS11&gt;=DY$39,DU11&gt;=DY$43,DS11&lt;&gt;""),AND(DW11&gt;=DY$39,DX11&gt;=DY$43,DW11&lt;&gt;""),AND(EO11&gt;=EU$39,EQ11&gt;=EU$43,EO11&lt;&gt;""),AND(ES11&gt;=EU$39,ET11&gt;=EU$43,ES11&lt;&gt;""),AND(FK11&gt;=FQ$39,FM11&gt;=FQ$43,FK11&lt;&gt;""),AND(FO11&gt;=FQ$39,FP11&gt;=FQ$43,FO11&lt;&gt;""),AND(GG11&gt;=GM$39,GI11&gt;=GM$43,GG11&lt;&gt;""),AND(GK11&gt;=GM$39,GL11&gt;=GM$43,GK11&lt;&gt;""),AND(HC11&gt;=HI$39,HE11&gt;=HI$43,HC11&lt;&gt;""),AND(HG11&gt;=HI$39,HH11&gt;=HI$43,HG11&lt;&gt;""),AND(HY11&gt;=IE$39,IA11&gt;=IE$43,HY11&lt;&gt;""),AND(IC11&gt;=IE$39,ID11&gt;=IE$43,IC11&lt;&gt;""),AND(IU11&gt;=JA$39,IW11&gt;=JA$43,IU11&lt;&gt;""),AND(IY11&gt;=JA$39,IZ11&gt;=JA$43,IY11&lt;&gt;""),AND(JQ11&gt;=JW$39,JS11&gt;=JW$43,JQ11&lt;&gt;""),AND(JU11&gt;=JW$39,JV11&gt;=JW$43,JU11&lt;&gt;""),AND(KM11&gt;=KS$39,KO11&gt;=KS$43,KM11&lt;&gt;""),AND(KQ11&gt;=KS$39,KR11&gt;=KS$43,KQ11&lt;&gt;""),AND(LI11&gt;=LO$39,LK11&gt;=LO$43,LI11&lt;&gt;""),AND(LM11&gt;=LO$39,LN11&gt;=LO$43,LM11&lt;&gt;""),AND(ME11&gt;=MK$39,MG11&gt;=MK$43,ME11&lt;&gt;""),AND(MI11&gt;=MK$39,MJ11&gt;=MK$43,MI11&lt;&gt;""),AND(NA11&gt;=NG$39,NC11&gt;=NG$43,NA11&lt;&gt;""),AND(NE11&gt;=NG$39,NF11&gt;=NG$43,NE11&lt;&gt;"")),"P","")</f>
        <v/>
      </c>
      <c r="G11" s="3" t="str">
        <f>IF(OR(AND(AM11&gt;=AS$43,AL11&lt;&gt;"",AJ11=""),AND(AO11&gt;=AS$43,AN11&lt;&gt;"",AN11=""),AND(AR11&gt;=AS$43,AQ11&lt;&gt;"",AJ11=""),AND(BQ11&gt;=BW$43,BP11&lt;&gt;"",BN11=""),AND(BS11&gt;=BW$43,BR11&lt;&gt;"",BN11=""),AND(BV11&gt;=BW$43,BU11&lt;&gt;"",BN11=""),AND(CU11&gt;=DA$43,CT11&lt;&gt;"",CR11=""),AND(CW11&gt;=DA$43,CV11&lt;&gt;"",CR11=""),AND(CZ11&gt;=DA$43,CY11&lt;&gt;"",CR11=""),AND(DU11&gt;=DY$43,DS11&lt;&gt;""),AND(DX11&gt;=DY$43,DW11&lt;&gt;""),AND(EQ11&gt;=EU$43,EO11&lt;&gt;""),AND(ET11&gt;=EU$43,ES11&lt;&gt;""),AND(FM11&gt;=FQ$43,FK11&lt;&gt;""),AND(FP11&gt;=FQ$43,FO11&lt;&gt;""),AND(GI11&gt;=GM$43,GG11&lt;&gt;""),AND(GL11&gt;=GM$43,GK11&lt;&gt;""),AND(HE11&gt;=HI$43,HC11&lt;&gt;""),AND(HH11&gt;=HI$43,HG11&lt;&gt;""),AND(IA11&gt;=IE$43,HY11&lt;&gt;""),AND(ID11&gt;=IE$43,IC11&lt;&gt;""),AND(IW11&gt;=JA$43,IU11&lt;&gt;""),AND(IZ11&gt;=JA$43,IY11&lt;&gt;""),AND(JS11&gt;=JW$43,JQ11&lt;&gt;""),AND(JV11&gt;=JW$43,JU11&lt;&gt;""),AND(KO11&gt;=KS$43,KM11&lt;&gt;""),AND(KR11&gt;=KS$43,KQ11&lt;&gt;""),AND(LK11&gt;=LO$43,LI11&lt;&gt;""),AND(LN11&gt;=LO$43,LM11&lt;&gt;""),AND(MG11&gt;=MK$43,ME11&lt;&gt;""),AND(MJ11&gt;=MK$43,MI11&lt;&gt;""),AND(NC11&gt;=NG$43,NA11&lt;&gt;""),AND(NF11&gt;=NG$43,NE11&lt;&gt;"")),"P","")</f>
        <v/>
      </c>
      <c r="H11" s="66" t="str">
        <f>IF(F11="P","National Team",IF(G11="P","No DD",""))</f>
        <v/>
      </c>
      <c r="I11" s="14">
        <f>MAX(AM11,AO11,AR11,BQ11,BS11,BV11,CU11,CW11,CZ11)</f>
        <v>52.795000000000002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51.78</v>
      </c>
      <c r="L11" s="14" t="str">
        <f>IF(K11=0,"",IF(OR(K11=CW11,K11=CU11,K11=CZ11),$BX$1,IF(OR(K11=BS11,K11=BQ11,K11=BV11),$AT$1,IF(OR(K11=AO11,K11=AM11,K11=AR11),$P$1,""))))</f>
        <v>2022 Nationals</v>
      </c>
      <c r="M11" s="14" t="str">
        <f>IF(MAX(DB11,DC11)&gt;0,MAX(DB11,DC11),"")</f>
        <v/>
      </c>
      <c r="N11" s="19" t="str">
        <f>IF(M11="","",IF(M11=DB11,"(Prelim)",IF(M11=DC11,"(Final)")))</f>
        <v/>
      </c>
      <c r="O11" s="14" t="str">
        <f>IF(M11="","",IF(M11=DB11,IF(M11+IF(K11="",0,K11)=NC11,$ML$1,IF(M11+IF(K11="",0,K11)=MG11,$LP$1,IF(M11+IF(K11="",0,K11)=LK11,$KT$1,IF(M11+IF(K11="",0,K11)=KO11,$JX$1,IF(M11+IF(K11="",0,K11)=JS11,$JB$1,IF(M11+IF(K11="",0,K11)=IW11,$IF$1,IF(M11+IF(K11="",0,K11)=IA11,$HJ$1,IF(M11+IF(K11="",0,K11)=HE11,$GN$1,IF(M11+IF(K11="",0,K11)=GI11,$FR$1,IF(M11+IF(K11="",0,K11)=FM11,$EV$1,IF(M11+IF(K11="",0,K11)=EQ11,$DZ$1,IF(M11+IF(K11="",0,K11)=DU11,$DD$1,IF(M11+IF(K11="",0,K11)=NB11,$ML$1,IF(M11+IF(K11="",0,K11)=MF11,$LP$1,IF(M11+IF(K11="",0,K11)=LJ11,$KT$1,IF(M11+IF(K11="",0,K11)=KN11,$JX$1,IF(M11+IF(K11="",0,K11)=JR11,$JB$1,IF(M11+IF(K11="",0,K11)=IV11,$IF$1,IF(M11+IF(K11="",0,K11)=HZ11,$HJ$1,IF(M11+IF(K11="",0,K11)=HD11,$GN$1,IF(M11+IF(K11="",0,K11)=GH11,$FR$1,IF(M11+IF(K11="",0,K11)=FL11,$EV$1,IF(M11+IF(K11="",0,K11)=EP11,$DZ$1,IF(M11+IF(K11="",0,K11)=DT11,$DD$1))))))))))))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</f>
        <v/>
      </c>
      <c r="P11" s="37"/>
      <c r="Q11" s="37"/>
      <c r="R11" s="37"/>
      <c r="S11" s="37"/>
      <c r="T11" s="37"/>
      <c r="U11" s="37">
        <v>14.5</v>
      </c>
      <c r="V11" s="37">
        <v>8.9</v>
      </c>
      <c r="W11" s="37">
        <v>12.6</v>
      </c>
      <c r="X11" s="37">
        <v>14.345000000000001</v>
      </c>
      <c r="Y11" s="37">
        <v>0.9</v>
      </c>
      <c r="Z11" s="37">
        <v>14.7</v>
      </c>
      <c r="AA11" s="37">
        <v>9.6999999999999993</v>
      </c>
      <c r="AB11" s="37">
        <v>13.5</v>
      </c>
      <c r="AC11" s="37">
        <v>14.895</v>
      </c>
      <c r="AD11" s="37">
        <v>0</v>
      </c>
      <c r="AE11" s="37">
        <v>12.9</v>
      </c>
      <c r="AF11" s="37">
        <v>9.6999999999999993</v>
      </c>
      <c r="AG11" s="37">
        <v>12.6</v>
      </c>
      <c r="AH11" s="37">
        <v>14.545</v>
      </c>
      <c r="AI11" s="37">
        <v>0.9</v>
      </c>
      <c r="AJ11" s="44"/>
      <c r="AK11" s="11" t="str">
        <f>IF(SUM(P11:S11)-T11&gt;0,SUM(P11:S11)-T11,"")</f>
        <v/>
      </c>
      <c r="AL11" s="11">
        <f>IF(W11&gt;0,W11,"")</f>
        <v>12.6</v>
      </c>
      <c r="AM11" s="11">
        <f>IF(SUM(U11:X11)-Y11&gt;0,SUM(U11:X11)-Y11,"")</f>
        <v>49.445</v>
      </c>
      <c r="AN11" s="11">
        <f>IF(AB11&gt;0,AB11,"")</f>
        <v>13.5</v>
      </c>
      <c r="AO11" s="11">
        <f>IF(SUM(Z11:AC11)-AD11&gt;0,SUM(Z11:AC11)-AD11,"")</f>
        <v>52.795000000000002</v>
      </c>
      <c r="AP11" s="11">
        <f>IF(AK11="",IF(MAX(AM11,AO11)&gt;0,MAX(AM11,AO11),""),MAX(AM11,AO11)+AK11)</f>
        <v>52.795000000000002</v>
      </c>
      <c r="AQ11" s="11">
        <f>IF(AG11&gt;0,AG11,"")</f>
        <v>12.6</v>
      </c>
      <c r="AR11" s="11">
        <f>IF(SUM(AE11:AH11)-AI11&gt;0,SUM(AE11:AH11)-AI11,"")</f>
        <v>48.845000000000006</v>
      </c>
      <c r="AS11" s="11">
        <f>IF(SUM(AP11,AR11)&gt;0,SUM(AP11,AR11),"")</f>
        <v>101.64000000000001</v>
      </c>
      <c r="AT11" s="41"/>
      <c r="AU11" s="41"/>
      <c r="AV11" s="41"/>
      <c r="AW11" s="41"/>
      <c r="AX11" s="41"/>
      <c r="AY11" s="41">
        <v>14.8</v>
      </c>
      <c r="AZ11" s="41">
        <v>9</v>
      </c>
      <c r="BA11" s="41">
        <v>13.5</v>
      </c>
      <c r="BB11" s="41">
        <v>14.2</v>
      </c>
      <c r="BC11" s="41">
        <v>0</v>
      </c>
      <c r="BD11" s="41">
        <v>14.9</v>
      </c>
      <c r="BE11" s="41">
        <v>9.1</v>
      </c>
      <c r="BF11" s="41">
        <v>13.5</v>
      </c>
      <c r="BG11" s="41">
        <v>14.28</v>
      </c>
      <c r="BH11" s="41">
        <v>0</v>
      </c>
      <c r="BI11" s="41">
        <v>12.9</v>
      </c>
      <c r="BJ11" s="41">
        <v>9</v>
      </c>
      <c r="BK11" s="41">
        <v>13.3</v>
      </c>
      <c r="BL11" s="41">
        <v>14.1</v>
      </c>
      <c r="BM11" s="41">
        <v>0</v>
      </c>
      <c r="BN11" s="45"/>
      <c r="BO11" s="14" t="str">
        <f>IF(SUM(AT11:AW11)-AX11&gt;0,SUM(AT11:AW11)-AX11,"")</f>
        <v/>
      </c>
      <c r="BP11" s="14">
        <f>IF(BA11&gt;0,BA11,"")</f>
        <v>13.5</v>
      </c>
      <c r="BQ11" s="14">
        <f>IF(SUM(AY11:BB11)-BC11&gt;0,SUM(AY11:BB11)-BC11,"")</f>
        <v>51.5</v>
      </c>
      <c r="BR11" s="14">
        <f>IF(BF11&gt;0,BF11,"")</f>
        <v>13.5</v>
      </c>
      <c r="BS11" s="14">
        <f>IF(SUM(BD11:BG11)-BH11&gt;0,SUM(BD11:BG11)-BH11,"")</f>
        <v>51.78</v>
      </c>
      <c r="BT11" s="14">
        <f>IF(BO11="",IF(MAX(BQ11,BS11)&gt;0,MAX(BQ11,BS11),""),MAX(BQ11,BS11)+BO11)</f>
        <v>51.78</v>
      </c>
      <c r="BU11" s="14">
        <f>IF(BK11&gt;0,BK11,"")</f>
        <v>13.3</v>
      </c>
      <c r="BV11" s="14">
        <f>IF(SUM(BI11:BL11)-BM11&gt;0,SUM(BI11:BL11)-BM11,"")</f>
        <v>49.300000000000004</v>
      </c>
      <c r="BW11" s="14">
        <f>IF(SUM(BT11,BV11)&gt;0,SUM(BT11,BV11),"")</f>
        <v>101.08000000000001</v>
      </c>
      <c r="BX11" s="37"/>
      <c r="BY11" s="37"/>
      <c r="BZ11" s="37"/>
      <c r="CA11" s="37"/>
      <c r="CB11" s="37"/>
      <c r="CC11" s="37">
        <v>1.4</v>
      </c>
      <c r="CD11" s="37">
        <v>0.9</v>
      </c>
      <c r="CE11" s="37">
        <v>1.7</v>
      </c>
      <c r="CF11" s="37">
        <v>1.65</v>
      </c>
      <c r="CG11" s="37">
        <v>0</v>
      </c>
      <c r="CH11" s="37">
        <v>10.9</v>
      </c>
      <c r="CI11" s="37">
        <v>7.3</v>
      </c>
      <c r="CJ11" s="37">
        <v>10.8</v>
      </c>
      <c r="CK11" s="37">
        <v>12.28</v>
      </c>
      <c r="CL11" s="37">
        <v>0</v>
      </c>
      <c r="CM11" s="37">
        <v>0</v>
      </c>
      <c r="CN11" s="37">
        <v>0</v>
      </c>
      <c r="CO11" s="37">
        <v>0</v>
      </c>
      <c r="CP11" s="37">
        <v>0</v>
      </c>
      <c r="CQ11" s="37">
        <v>0</v>
      </c>
      <c r="CR11" s="44"/>
      <c r="CS11" s="11" t="str">
        <f>IF(SUM(BX11:CA11)-CB11&gt;0,SUM(BX11:CA11)-CB11,"")</f>
        <v/>
      </c>
      <c r="CT11" s="11">
        <f>IF(CE11&gt;0,CE11,"")</f>
        <v>1.7</v>
      </c>
      <c r="CU11" s="11">
        <f>IF(SUM(CC11:CF11)-CG11&gt;0,SUM(CC11:CF11)-CG11,"")</f>
        <v>5.65</v>
      </c>
      <c r="CV11" s="11">
        <f>IF(CJ11&gt;0,CJ11,"")</f>
        <v>10.8</v>
      </c>
      <c r="CW11" s="11">
        <f>IF(SUM(CH11:CK11)-CL11&gt;0,SUM(CH11:CK11)-CL11,"")</f>
        <v>41.28</v>
      </c>
      <c r="CX11" s="11">
        <f>IF(CS11="",IF(MAX(CU11,CW11)&gt;0,MAX(CU11,CW11),""),MAX(CU11,CW11)+CS11)</f>
        <v>41.28</v>
      </c>
      <c r="CY11" s="11" t="str">
        <f>IF(CO11&gt;0,CO11,"")</f>
        <v/>
      </c>
      <c r="CZ11" s="11" t="str">
        <f>IF(SUM(CM11:CP11)-CQ11&gt;0,SUM(CM11:CP11)-CQ11,"")</f>
        <v/>
      </c>
      <c r="DA11" s="11">
        <f>IF(SUM(CX11,CZ11)&gt;0,SUM(CX11,CZ11),"")</f>
        <v>41.28</v>
      </c>
      <c r="DB11" s="18" t="str">
        <f>IF(K11&gt;=0.001,IF(MAX(DT11,DU11,EP11,EQ11,FL11,FM11,GH11,GI11,HD11,HE11,HZ11,IA11,IV11,IW11,JR11,JS11,KN11,KO11,LJ11,LK11,MF11,MG11,NB11,NC11)-IF(K11="",0,K11)&gt;0.001,MAX(DT11,DU11,EP11,EQ11,FL11,FM11,GH11,GI11,HD11,HE11,HZ11,IA11,IV11,IW11,JR11,JS11,KN11,KO11,LJ11,LK11,MF11,MG11,NB11,NC11)-IF(K11="",0,K11),""),"")</f>
        <v/>
      </c>
      <c r="DC11" s="18" t="str">
        <f>IF(K11&gt;=0.001,IF(MAX(DX11,ET11,FP11,GL11,HH11,ID11,IZ11,JV11,KR11,LN11,MJ11,NF11)-IF(K11="",0,K11)&gt;0.001,MAX(DX11,ET11,FP11,GL11,HH11,ID11,IZ11,JV11,KR11,LN11,MJ11,NF11)-IF(K11="",0,K11),""),"")</f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7">
        <f>IF($CR11="P",BX11,(BX11+AT11)/2)</f>
        <v>0</v>
      </c>
      <c r="NI11" s="37">
        <f>IF($CR11="P",BY11,(BY11+AU11)/2)</f>
        <v>0</v>
      </c>
      <c r="NJ11" s="37">
        <f>IF($CR11="P",BZ11,(BZ11+AV11)/2)</f>
        <v>0</v>
      </c>
      <c r="NK11" s="37">
        <f>IF($CR11="P",CA11,(CA11+AW11)/2)</f>
        <v>0</v>
      </c>
      <c r="NL11" s="37">
        <f>IF($CR11="P",CB11,(CB11+AX11)/2)</f>
        <v>0</v>
      </c>
      <c r="NM11" s="37">
        <f>IF($CR11="P",CC11,(CC11+AY11)/2)</f>
        <v>8.1</v>
      </c>
      <c r="NN11" s="37">
        <f>IF($CR11="P",CD11,(CD11+AZ11)/2)</f>
        <v>4.95</v>
      </c>
      <c r="NO11" s="37">
        <f>IF($CR11="P",CE11,(CE11+BA11)/2)</f>
        <v>7.6</v>
      </c>
      <c r="NP11" s="37">
        <f>IF($CR11="P",CF11,(CF11+BB11)/2)</f>
        <v>7.9249999999999998</v>
      </c>
      <c r="NQ11" s="37">
        <f>IF($CR11="P",CG11,(CG11+BC11)/2)</f>
        <v>0</v>
      </c>
      <c r="NR11" s="37">
        <f>IF($CR11="P",CH11,(CH11+BD11)/2)</f>
        <v>12.9</v>
      </c>
      <c r="NS11" s="37">
        <f>IF($CR11="P",CI11,(CI11+BE11)/2)</f>
        <v>8.1999999999999993</v>
      </c>
      <c r="NT11" s="37">
        <f>IF($CR11="P",CJ11,(CJ11+BF11)/2)</f>
        <v>12.15</v>
      </c>
      <c r="NU11" s="37">
        <f>IF($CR11="P",CK11,(CK11+BG11)/2)</f>
        <v>13.28</v>
      </c>
      <c r="NV11" s="37">
        <f>IF($CR11="P",CL11,(CL11+BH11)/2)</f>
        <v>0</v>
      </c>
      <c r="NW11" s="37">
        <f>IF($CR11="P",CM11,(CM11+BI11)/2)</f>
        <v>6.45</v>
      </c>
      <c r="NX11" s="37">
        <f>IF($CR11="P",CN11,(CN11+BJ11)/2)</f>
        <v>4.5</v>
      </c>
      <c r="NY11" s="37">
        <f>IF($CR11="P",CO11,(CO11+BK11)/2)</f>
        <v>6.65</v>
      </c>
      <c r="NZ11" s="37">
        <f>IF($CR11="P",CP11,(CP11+BL11)/2)</f>
        <v>7.05</v>
      </c>
      <c r="OA11" s="37">
        <f>IF($CR11="P",CQ11,(CQ11+BM11)/2)</f>
        <v>0</v>
      </c>
      <c r="OB11" s="44" t="s">
        <v>46</v>
      </c>
      <c r="OC11" s="11" t="str">
        <f>IF(SUM(NH11:NK11)-NL11&gt;0,SUM(NH11:NK11)-NL11,"")</f>
        <v/>
      </c>
      <c r="OD11" s="11">
        <f>IF(NO11&gt;0,NO11,"")</f>
        <v>7.6</v>
      </c>
      <c r="OE11" s="11">
        <f>IF(SUM(NM11:NP11)-NQ11&gt;0,SUM(NM11:NP11)-NQ11,"")</f>
        <v>28.574999999999999</v>
      </c>
      <c r="OF11" s="11">
        <f>IF(NT11&gt;0,NT11,"")</f>
        <v>12.15</v>
      </c>
      <c r="OG11" s="11">
        <f>IF(SUM(NR11:NU11)-NV11&gt;0,SUM(NR11:NU11)-NV11,"")</f>
        <v>46.53</v>
      </c>
      <c r="OH11" s="11" t="e">
        <f>IF(OR(OC11&lt;&gt;"",OE11&lt;&gt;"",OG11&lt;&gt;""),OC11+MAX(OE11,OG11),"")</f>
        <v>#VALUE!</v>
      </c>
      <c r="OI11" s="11">
        <f>IF(NY11&gt;0,NY11,"")</f>
        <v>6.65</v>
      </c>
      <c r="OJ11" s="11">
        <f t="shared" ref="OJ11" si="2">IF(SUM(NW11:NZ11)-OA11&gt;0,SUM(NW11:NZ11)-OA11,"")</f>
        <v>24.650000000000002</v>
      </c>
      <c r="OK11" s="11" t="e">
        <f t="shared" ref="OK11" si="3">IF(SUM(OH11,OJ11)&gt;0,SUM(OH11,OJ11),"")</f>
        <v>#VALUE!</v>
      </c>
    </row>
    <row r="12" spans="1:401" x14ac:dyDescent="0.2">
      <c r="A12" s="5" cm="1">
        <f t="array" ref="A12">IF(AND(F12="P",G12="P"),SUMPRODUCT((F$4:F$37="P")*(G$4:G$37="P")*(E$4:E$37&gt;E12))+1,IF(G12="P",SUMPRODUCT((F$4:F$37="")*(G$4:G$37="P")*(E$4:E$37&gt;E12))+1+SUMPRODUCT((F$4:F$37="P")*(G$4:G$37="P")),""))</f>
        <v>8</v>
      </c>
      <c r="B12" s="6" t="s">
        <v>152</v>
      </c>
      <c r="C12" s="7" t="s">
        <v>3</v>
      </c>
      <c r="D12" s="5">
        <v>2005</v>
      </c>
      <c r="E12" s="15">
        <f>SUM(I12:M12)+I12*0.0000001</f>
        <v>103.75000529</v>
      </c>
      <c r="F12" s="3" t="str">
        <f>IF(OR(AND(AL12&gt;=AS$39,AM12&gt;=AS$43,AL12&lt;&gt;"",AJ12=""),AND(AN12&gt;=AS$39,AO12&gt;=AS$43,AN12&lt;&gt;"",AN12=""),AND(AQ12&gt;=AS$39,AR12&gt;=AS$43,AQ12&lt;&gt;"",AJ12=""),AND(BP12&gt;=BW$39,BQ12&gt;=BW$43,BP12&lt;&gt;"",BN12=""),AND(BR12&gt;=BW$39,BS12&gt;=BW$43,BR12&lt;&gt;"",BN12=""),AND(BU12&gt;=BW$39,BV12&gt;=BW$43,BU12&lt;&gt;"",BN12=""),AND(CT12&gt;=DA$39,CU12&gt;=DA$43,CT12&lt;&gt;"",CR12=""),AND(CV12&gt;=DA$39,CW12&gt;=DA$43,CV12&lt;&gt;"",CR12=""),AND(CY12&gt;=DA$39,CZ12&gt;=DA$43,CY12&lt;&gt;"",CR12=""),AND(DS12&gt;=DY$39,DU12&gt;=DY$43,DS12&lt;&gt;""),AND(DW12&gt;=DY$39,DX12&gt;=DY$43,DW12&lt;&gt;""),AND(EO12&gt;=EU$39,EQ12&gt;=EU$43,EO12&lt;&gt;""),AND(ES12&gt;=EU$39,ET12&gt;=EU$43,ES12&lt;&gt;""),AND(FK12&gt;=FQ$39,FM12&gt;=FQ$43,FK12&lt;&gt;""),AND(FO12&gt;=FQ$39,FP12&gt;=FQ$43,FO12&lt;&gt;""),AND(GG12&gt;=GM$39,GI12&gt;=GM$43,GG12&lt;&gt;""),AND(GK12&gt;=GM$39,GL12&gt;=GM$43,GK12&lt;&gt;""),AND(HC12&gt;=HI$39,HE12&gt;=HI$43,HC12&lt;&gt;""),AND(HG12&gt;=HI$39,HH12&gt;=HI$43,HG12&lt;&gt;""),AND(HY12&gt;=IE$39,IA12&gt;=IE$43,HY12&lt;&gt;""),AND(IC12&gt;=IE$39,ID12&gt;=IE$43,IC12&lt;&gt;""),AND(IU12&gt;=JA$39,IW12&gt;=JA$43,IU12&lt;&gt;""),AND(IY12&gt;=JA$39,IZ12&gt;=JA$43,IY12&lt;&gt;""),AND(JQ12&gt;=JW$39,JS12&gt;=JW$43,JQ12&lt;&gt;""),AND(JU12&gt;=JW$39,JV12&gt;=JW$43,JU12&lt;&gt;""),AND(KM12&gt;=KS$39,KO12&gt;=KS$43,KM12&lt;&gt;""),AND(KQ12&gt;=KS$39,KR12&gt;=KS$43,KQ12&lt;&gt;""),AND(LI12&gt;=LO$39,LK12&gt;=LO$43,LI12&lt;&gt;""),AND(LM12&gt;=LO$39,LN12&gt;=LO$43,LM12&lt;&gt;""),AND(ME12&gt;=MK$39,MG12&gt;=MK$43,ME12&lt;&gt;""),AND(MI12&gt;=MK$39,MJ12&gt;=MK$43,MI12&lt;&gt;""),AND(NA12&gt;=NG$39,NC12&gt;=NG$43,NA12&lt;&gt;""),AND(NE12&gt;=NG$39,NF12&gt;=NG$43,NE12&lt;&gt;"")),"P","")</f>
        <v/>
      </c>
      <c r="G12" s="3" t="str">
        <f>IF(OR(AND(AM12&gt;=AS$43,AL12&lt;&gt;"",AJ12=""),AND(AO12&gt;=AS$43,AN12&lt;&gt;"",AN12=""),AND(AR12&gt;=AS$43,AQ12&lt;&gt;"",AJ12=""),AND(BQ12&gt;=BW$43,BP12&lt;&gt;"",BN12=""),AND(BS12&gt;=BW$43,BR12&lt;&gt;"",BN12=""),AND(BV12&gt;=BW$43,BU12&lt;&gt;"",BN12=""),AND(CU12&gt;=DA$43,CT12&lt;&gt;"",CR12=""),AND(CW12&gt;=DA$43,CV12&lt;&gt;"",CR12=""),AND(CZ12&gt;=DA$43,CY12&lt;&gt;"",CR12=""),AND(DU12&gt;=DY$43,DS12&lt;&gt;""),AND(DX12&gt;=DY$43,DW12&lt;&gt;""),AND(EQ12&gt;=EU$43,EO12&lt;&gt;""),AND(ET12&gt;=EU$43,ES12&lt;&gt;""),AND(FM12&gt;=FQ$43,FK12&lt;&gt;""),AND(FP12&gt;=FQ$43,FO12&lt;&gt;""),AND(GI12&gt;=GM$43,GG12&lt;&gt;""),AND(GL12&gt;=GM$43,GK12&lt;&gt;""),AND(HE12&gt;=HI$43,HC12&lt;&gt;""),AND(HH12&gt;=HI$43,HG12&lt;&gt;""),AND(IA12&gt;=IE$43,HY12&lt;&gt;""),AND(ID12&gt;=IE$43,IC12&lt;&gt;""),AND(IW12&gt;=JA$43,IU12&lt;&gt;""),AND(IZ12&gt;=JA$43,IY12&lt;&gt;""),AND(JS12&gt;=JW$43,JQ12&lt;&gt;""),AND(JV12&gt;=JW$43,JU12&lt;&gt;""),AND(KO12&gt;=KS$43,KM12&lt;&gt;""),AND(KR12&gt;=KS$43,KQ12&lt;&gt;""),AND(LK12&gt;=LO$43,LI12&lt;&gt;""),AND(LN12&gt;=LO$43,LM12&lt;&gt;""),AND(MG12&gt;=MK$43,ME12&lt;&gt;""),AND(MJ12&gt;=MK$43,MI12&lt;&gt;""),AND(NC12&gt;=NG$43,NA12&lt;&gt;""),AND(NF12&gt;=NG$43,NE12&lt;&gt;"")),"P","")</f>
        <v>P</v>
      </c>
      <c r="H12" s="66" t="str">
        <f>IF(F12="P","National Team",IF(G12="P","No DD",""))</f>
        <v>No DD</v>
      </c>
      <c r="I12" s="14">
        <f>MAX(AM12,AO12,AR12,BQ12,BS12,BV12,CU12,CW12,CZ12)</f>
        <v>52.9</v>
      </c>
      <c r="J12" s="14" t="str">
        <f>IF(I12=0,"",IF(OR(I12=CW12,I12=CU12,I12=CZ12),$BX$1,IF(OR(I12=BS12,I12=BQ12,I12=BV12),$AT$1,IF(OR(I12=AO12,I12=AM12,I12=AR12),$P$1,""))))</f>
        <v>2022 Nationals</v>
      </c>
      <c r="K12" s="14">
        <f>IF(COUNT(AM12,AO12,AR12,BQ12,BS12,BV12,CU12,CW12,CZ12)&gt;1,LARGE((AM12,AO12,AR12,BQ12,BS12,BV12,CU12,CW12,CZ12),2),0)</f>
        <v>50.849999999999994</v>
      </c>
      <c r="L12" s="14" t="str">
        <f>IF(K12=0,"",IF(OR(K12=CW12,K12=CU12,K12=CZ12),$BX$1,IF(OR(K12=BS12,K12=BQ12,K12=BV12),$AT$1,IF(OR(K12=AO12,K12=AM12,K12=AR12),$P$1,""))))</f>
        <v>2022 Nationals</v>
      </c>
      <c r="M12" s="14" t="str">
        <f>IF(MAX(DB12,DC12)&gt;0,MAX(DB12,DC12),"")</f>
        <v/>
      </c>
      <c r="N12" s="19" t="str">
        <f>IF(M12="","",IF(M12=DB12,"(Prelim)",IF(M12=DC12,"(Final)")))</f>
        <v/>
      </c>
      <c r="O12" s="14" t="str">
        <f>IF(M12="","",IF(M12=DB12,IF(M12+IF(K12="",0,K12)=NC12,$ML$1,IF(M12+IF(K12="",0,K12)=MG12,$LP$1,IF(M12+IF(K12="",0,K12)=LK12,$KT$1,IF(M12+IF(K12="",0,K12)=KO12,$JX$1,IF(M12+IF(K12="",0,K12)=JS12,$JB$1,IF(M12+IF(K12="",0,K12)=IW12,$IF$1,IF(M12+IF(K12="",0,K12)=IA12,$HJ$1,IF(M12+IF(K12="",0,K12)=HE12,$GN$1,IF(M12+IF(K12="",0,K12)=GI12,$FR$1,IF(M12+IF(K12="",0,K12)=FM12,$EV$1,IF(M12+IF(K12="",0,K12)=EQ12,$DZ$1,IF(M12+IF(K12="",0,K12)=DU12,$DD$1,IF(M12+IF(K12="",0,K12)=NB12,$ML$1,IF(M12+IF(K12="",0,K12)=MF12,$LP$1,IF(M12+IF(K12="",0,K12)=LJ12,$KT$1,IF(M12+IF(K12="",0,K12)=KN12,$JX$1,IF(M12+IF(K12="",0,K12)=JR12,$JB$1,IF(M12+IF(K12="",0,K12)=IV12,$IF$1,IF(M12+IF(K12="",0,K12)=HZ12,$HJ$1,IF(M12+IF(K12="",0,K12)=HD12,$GN$1,IF(M12+IF(K12="",0,K12)=GH12,$FR$1,IF(M12+IF(K12="",0,K12)=FL12,$EV$1,IF(M12+IF(K12="",0,K12)=EP12,$DZ$1,IF(M12+IF(K12="",0,K12)=DT12,$DD$1))))))))))))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</f>
        <v/>
      </c>
      <c r="P12" s="37">
        <v>16.7</v>
      </c>
      <c r="Q12" s="37">
        <v>9.4</v>
      </c>
      <c r="R12" s="37">
        <v>2.4</v>
      </c>
      <c r="S12" s="37">
        <v>15.69</v>
      </c>
      <c r="T12" s="37">
        <v>0</v>
      </c>
      <c r="U12" s="37">
        <v>2.9</v>
      </c>
      <c r="V12" s="37">
        <v>1.8</v>
      </c>
      <c r="W12" s="37">
        <v>2.7</v>
      </c>
      <c r="X12" s="37">
        <v>3.13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>IF(SUM(P12:S12)-T12&gt;0,SUM(P12:S12)-T12,"")</f>
        <v>44.19</v>
      </c>
      <c r="AL12" s="11">
        <f>IF(W12&gt;0,W12,"")</f>
        <v>2.7</v>
      </c>
      <c r="AM12" s="11">
        <f>IF(SUM(U12:X12)-Y12&gt;0,SUM(U12:X12)-Y12,"")</f>
        <v>10.530000000000001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54.72</v>
      </c>
      <c r="AQ12" s="11" t="str">
        <f>IF(AG12&gt;0,AG12,"")</f>
        <v/>
      </c>
      <c r="AR12" s="11" t="str">
        <f>IF(SUM(AE12:AH12)-AI12&gt;0,SUM(AE12:AH12)-AI12,"")</f>
        <v/>
      </c>
      <c r="AS12" s="11">
        <f>IF(SUM(AP12,AR12)&gt;0,SUM(AP12,AR12),"")</f>
        <v>54.72</v>
      </c>
      <c r="AT12" s="41">
        <v>17.399999999999999</v>
      </c>
      <c r="AU12" s="41">
        <v>9.6999999999999993</v>
      </c>
      <c r="AV12" s="41">
        <v>2.2000000000000002</v>
      </c>
      <c r="AW12" s="41">
        <v>15.5</v>
      </c>
      <c r="AX12" s="41">
        <v>0</v>
      </c>
      <c r="AY12" s="41">
        <v>16.100000000000001</v>
      </c>
      <c r="AZ12" s="41">
        <v>9.6</v>
      </c>
      <c r="BA12" s="41">
        <v>11.8</v>
      </c>
      <c r="BB12" s="41">
        <v>15.4</v>
      </c>
      <c r="BC12" s="41">
        <v>0</v>
      </c>
      <c r="BD12" s="41"/>
      <c r="BE12" s="41"/>
      <c r="BF12" s="41"/>
      <c r="BG12" s="41"/>
      <c r="BH12" s="41"/>
      <c r="BI12" s="41">
        <v>15</v>
      </c>
      <c r="BJ12" s="41">
        <v>9</v>
      </c>
      <c r="BK12" s="41">
        <v>11.8</v>
      </c>
      <c r="BL12" s="41">
        <v>15.05</v>
      </c>
      <c r="BM12" s="41">
        <v>0</v>
      </c>
      <c r="BN12" s="45"/>
      <c r="BO12" s="14">
        <f>IF(SUM(AT12:AW12)-AX12&gt;0,SUM(AT12:AW12)-AX12,"")</f>
        <v>44.8</v>
      </c>
      <c r="BP12" s="14">
        <f>IF(BA12&gt;0,BA12,"")</f>
        <v>11.8</v>
      </c>
      <c r="BQ12" s="14">
        <f>IF(SUM(AY12:BB12)-BC12&gt;0,SUM(AY12:BB12)-BC12,"")</f>
        <v>52.9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97.699999999999989</v>
      </c>
      <c r="BU12" s="14">
        <f>IF(BK12&gt;0,BK12,"")</f>
        <v>11.8</v>
      </c>
      <c r="BV12" s="14">
        <f>IF(SUM(BI12:BL12)-BM12&gt;0,SUM(BI12:BL12)-BM12,"")</f>
        <v>50.849999999999994</v>
      </c>
      <c r="BW12" s="14">
        <f>IF(SUM(BT12,BV12)&gt;0,SUM(BT12,BV12),"")</f>
        <v>148.54999999999998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8" t="str">
        <f>IF(K12&gt;=0.001,IF(MAX(DT12,DU12,EP12,EQ12,FL12,FM12,GH12,GI12,HD12,HE12,HZ12,IA12,IV12,IW12,JR12,JS12,KN12,KO12,LJ12,LK12,MF12,MG12,NB12,NC12)-IF(K12="",0,K12)&gt;0.001,MAX(DT12,DU12,EP12,EQ12,FL12,FM12,GH12,GI12,HD12,HE12,HZ12,IA12,IV12,IW12,JR12,JS12,KN12,KO12,LJ12,LK12,MF12,MG12,NB12,NC12)-IF(K12="",0,K12),""),"")</f>
        <v/>
      </c>
      <c r="DC12" s="18" t="str">
        <f>IF(K12&gt;=0.001,IF(MAX(DX12,ET12,FP12,GL12,HH12,ID12,IZ12,JV12,KR12,LN12,MJ12,NF12)-IF(K12="",0,K12)&gt;0.001,MAX(DX12,ET12,FP12,GL12,HH12,ID12,IZ12,JV12,KR12,LN12,MJ12,NF12)-IF(K12="",0,K12),""),"")</f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7">
        <f>IF($CR12="P",BX12,(BX12+AT12)/2)</f>
        <v>8.6999999999999993</v>
      </c>
      <c r="NI12" s="37">
        <f>IF($CR12="P",BY12,(BY12+AU12)/2)</f>
        <v>4.8499999999999996</v>
      </c>
      <c r="NJ12" s="37">
        <f>IF($CR12="P",BZ12,(BZ12+AV12)/2)</f>
        <v>1.1000000000000001</v>
      </c>
      <c r="NK12" s="37">
        <f>IF($CR12="P",CA12,(CA12+AW12)/2)</f>
        <v>7.75</v>
      </c>
      <c r="NL12" s="37">
        <f>IF($CR12="P",CB12,(CB12+AX12)/2)</f>
        <v>0</v>
      </c>
      <c r="NM12" s="37">
        <f>IF($CR12="P",CC12,(CC12+AY12)/2)</f>
        <v>8.0500000000000007</v>
      </c>
      <c r="NN12" s="37">
        <f>IF($CR12="P",CD12,(CD12+AZ12)/2)</f>
        <v>4.8</v>
      </c>
      <c r="NO12" s="37">
        <f>IF($CR12="P",CE12,(CE12+BA12)/2)</f>
        <v>5.9</v>
      </c>
      <c r="NP12" s="37">
        <f>IF($CR12="P",CF12,(CF12+BB12)/2)</f>
        <v>7.7</v>
      </c>
      <c r="NQ12" s="37">
        <f>IF($CR12="P",CG12,(CG12+BC12)/2)</f>
        <v>0</v>
      </c>
      <c r="NR12" s="37">
        <f>IF($CR12="P",CH12,(CH12+BD12)/2)</f>
        <v>0</v>
      </c>
      <c r="NS12" s="37">
        <f>IF($CR12="P",CI12,(CI12+BE12)/2)</f>
        <v>0</v>
      </c>
      <c r="NT12" s="37">
        <f>IF($CR12="P",CJ12,(CJ12+BF12)/2)</f>
        <v>0</v>
      </c>
      <c r="NU12" s="37">
        <f>IF($CR12="P",CK12,(CK12+BG12)/2)</f>
        <v>0</v>
      </c>
      <c r="NV12" s="37">
        <f>IF($CR12="P",CL12,(CL12+BH12)/2)</f>
        <v>0</v>
      </c>
      <c r="NW12" s="37">
        <f>IF($CR12="P",CM12,(CM12+BI12)/2)</f>
        <v>7.5</v>
      </c>
      <c r="NX12" s="37">
        <f>IF($CR12="P",CN12,(CN12+BJ12)/2)</f>
        <v>4.5</v>
      </c>
      <c r="NY12" s="37">
        <f>IF($CR12="P",CO12,(CO12+BK12)/2)</f>
        <v>5.9</v>
      </c>
      <c r="NZ12" s="37">
        <f>IF($CR12="P",CP12,(CP12+BL12)/2)</f>
        <v>7.5250000000000004</v>
      </c>
      <c r="OA12" s="37">
        <f>IF($CR12="P",CQ12,(CQ12+BM12)/2)</f>
        <v>0</v>
      </c>
      <c r="OB12" s="44" t="s">
        <v>46</v>
      </c>
      <c r="OC12" s="11">
        <f>IF(SUM(NH12:NK12)-NL12&gt;0,SUM(NH12:NK12)-NL12,"")</f>
        <v>22.4</v>
      </c>
      <c r="OD12" s="11">
        <f>IF(NO12&gt;0,NO12,"")</f>
        <v>5.9</v>
      </c>
      <c r="OE12" s="11">
        <f>IF(SUM(NM12:NP12)-NQ12&gt;0,SUM(NM12:NP12)-NQ12,"")</f>
        <v>26.45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48.849999999999994</v>
      </c>
      <c r="OI12" s="11">
        <f>IF(NY12&gt;0,NY12,"")</f>
        <v>5.9</v>
      </c>
      <c r="OJ12" s="11">
        <f t="shared" ref="OJ12" si="4">IF(SUM(NW12:NZ12)-OA12&gt;0,SUM(NW12:NZ12)-OA12,"")</f>
        <v>25.424999999999997</v>
      </c>
      <c r="OK12" s="11">
        <f t="shared" ref="OK12" si="5">IF(SUM(OH12,OJ12)&gt;0,SUM(OH12,OJ12),"")</f>
        <v>74.274999999999991</v>
      </c>
    </row>
    <row r="13" spans="1:401" x14ac:dyDescent="0.2">
      <c r="A13" s="5" t="str" cm="1">
        <f t="array" ref="A13">IF(AND(F13="P",G13="P"),SUMPRODUCT((F$4:F$37="P")*(G$4:G$37="P")*(E$4:E$37&gt;E13))+1,IF(G13="P",SUMPRODUCT((F$4:F$37="")*(G$4:G$37="P")*(E$4:E$37&gt;E13))+1+SUMPRODUCT((F$4:F$37="P")*(G$4:G$37="P")),""))</f>
        <v/>
      </c>
      <c r="B13" s="6" t="s">
        <v>61</v>
      </c>
      <c r="C13" s="7" t="s">
        <v>3</v>
      </c>
      <c r="D13" s="5">
        <v>2003</v>
      </c>
      <c r="E13" s="15">
        <f>SUM(I13:M13)+I13*0.0000001</f>
        <v>103.45500517699999</v>
      </c>
      <c r="F13" s="3" t="str">
        <f>IF(OR(AND(AL13&gt;=AS$39,AM13&gt;=AS$43,AL13&lt;&gt;"",AJ13=""),AND(AN13&gt;=AS$39,AO13&gt;=AS$43,AN13&lt;&gt;"",AN13=""),AND(AQ13&gt;=AS$39,AR13&gt;=AS$43,AQ13&lt;&gt;"",AJ13=""),AND(BP13&gt;=BW$39,BQ13&gt;=BW$43,BP13&lt;&gt;"",BN13=""),AND(BR13&gt;=BW$39,BS13&gt;=BW$43,BR13&lt;&gt;"",BN13=""),AND(BU13&gt;=BW$39,BV13&gt;=BW$43,BU13&lt;&gt;"",BN13=""),AND(CT13&gt;=DA$39,CU13&gt;=DA$43,CT13&lt;&gt;"",CR13=""),AND(CV13&gt;=DA$39,CW13&gt;=DA$43,CV13&lt;&gt;"",CR13=""),AND(CY13&gt;=DA$39,CZ13&gt;=DA$43,CY13&lt;&gt;"",CR13=""),AND(DS13&gt;=DY$39,DU13&gt;=DY$43,DS13&lt;&gt;""),AND(DW13&gt;=DY$39,DX13&gt;=DY$43,DW13&lt;&gt;""),AND(EO13&gt;=EU$39,EQ13&gt;=EU$43,EO13&lt;&gt;""),AND(ES13&gt;=EU$39,ET13&gt;=EU$43,ES13&lt;&gt;""),AND(FK13&gt;=FQ$39,FM13&gt;=FQ$43,FK13&lt;&gt;""),AND(FO13&gt;=FQ$39,FP13&gt;=FQ$43,FO13&lt;&gt;""),AND(GG13&gt;=GM$39,GI13&gt;=GM$43,GG13&lt;&gt;""),AND(GK13&gt;=GM$39,GL13&gt;=GM$43,GK13&lt;&gt;""),AND(HC13&gt;=HI$39,HE13&gt;=HI$43,HC13&lt;&gt;""),AND(HG13&gt;=HI$39,HH13&gt;=HI$43,HG13&lt;&gt;""),AND(HY13&gt;=IE$39,IA13&gt;=IE$43,HY13&lt;&gt;""),AND(IC13&gt;=IE$39,ID13&gt;=IE$43,IC13&lt;&gt;""),AND(IU13&gt;=JA$39,IW13&gt;=JA$43,IU13&lt;&gt;""),AND(IY13&gt;=JA$39,IZ13&gt;=JA$43,IY13&lt;&gt;""),AND(JQ13&gt;=JW$39,JS13&gt;=JW$43,JQ13&lt;&gt;""),AND(JU13&gt;=JW$39,JV13&gt;=JW$43,JU13&lt;&gt;""),AND(KM13&gt;=KS$39,KO13&gt;=KS$43,KM13&lt;&gt;""),AND(KQ13&gt;=KS$39,KR13&gt;=KS$43,KQ13&lt;&gt;""),AND(LI13&gt;=LO$39,LK13&gt;=LO$43,LI13&lt;&gt;""),AND(LM13&gt;=LO$39,LN13&gt;=LO$43,LM13&lt;&gt;""),AND(ME13&gt;=MK$39,MG13&gt;=MK$43,ME13&lt;&gt;""),AND(MI13&gt;=MK$39,MJ13&gt;=MK$43,MI13&lt;&gt;""),AND(NA13&gt;=NG$39,NC13&gt;=NG$43,NA13&lt;&gt;""),AND(NE13&gt;=NG$39,NF13&gt;=NG$43,NE13&lt;&gt;"")),"P","")</f>
        <v/>
      </c>
      <c r="G13" s="3" t="str">
        <f>IF(OR(AND(AM13&gt;=AS$43,AL13&lt;&gt;"",AJ13=""),AND(AO13&gt;=AS$43,AN13&lt;&gt;"",AN13=""),AND(AR13&gt;=AS$43,AQ13&lt;&gt;"",AJ13=""),AND(BQ13&gt;=BW$43,BP13&lt;&gt;"",BN13=""),AND(BS13&gt;=BW$43,BR13&lt;&gt;"",BN13=""),AND(BV13&gt;=BW$43,BU13&lt;&gt;"",BN13=""),AND(CU13&gt;=DA$43,CT13&lt;&gt;"",CR13=""),AND(CW13&gt;=DA$43,CV13&lt;&gt;"",CR13=""),AND(CZ13&gt;=DA$43,CY13&lt;&gt;"",CR13=""),AND(DU13&gt;=DY$43,DS13&lt;&gt;""),AND(DX13&gt;=DY$43,DW13&lt;&gt;""),AND(EQ13&gt;=EU$43,EO13&lt;&gt;""),AND(ET13&gt;=EU$43,ES13&lt;&gt;""),AND(FM13&gt;=FQ$43,FK13&lt;&gt;""),AND(FP13&gt;=FQ$43,FO13&lt;&gt;""),AND(GI13&gt;=GM$43,GG13&lt;&gt;""),AND(GL13&gt;=GM$43,GK13&lt;&gt;""),AND(HE13&gt;=HI$43,HC13&lt;&gt;""),AND(HH13&gt;=HI$43,HG13&lt;&gt;""),AND(IA13&gt;=IE$43,HY13&lt;&gt;""),AND(ID13&gt;=IE$43,IC13&lt;&gt;""),AND(IW13&gt;=JA$43,IU13&lt;&gt;""),AND(IZ13&gt;=JA$43,IY13&lt;&gt;""),AND(JS13&gt;=JW$43,JQ13&lt;&gt;""),AND(JV13&gt;=JW$43,JU13&lt;&gt;""),AND(KO13&gt;=KS$43,KM13&lt;&gt;""),AND(KR13&gt;=KS$43,KQ13&lt;&gt;""),AND(LK13&gt;=LO$43,LI13&lt;&gt;""),AND(LN13&gt;=LO$43,LM13&lt;&gt;""),AND(MG13&gt;=MK$43,ME13&lt;&gt;""),AND(MJ13&gt;=MK$43,MI13&lt;&gt;""),AND(NC13&gt;=NG$43,NA13&lt;&gt;""),AND(NF13&gt;=NG$43,NE13&lt;&gt;"")),"P","")</f>
        <v/>
      </c>
      <c r="H13" s="66" t="str">
        <f>IF(F13="P","National Team",IF(G13="P","No DD",""))</f>
        <v/>
      </c>
      <c r="I13" s="14">
        <f>MAX(AM13,AO13,AR13,BQ13,BS13,BV13,CU13,CW13,CZ13)</f>
        <v>51.769999999999996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51.684999999999995</v>
      </c>
      <c r="L13" s="14" t="str">
        <f>IF(K13=0,"",IF(OR(K13=CW13,K13=CU13,K13=CZ13),$BX$1,IF(OR(K13=BS13,K13=BQ13,K13=BV13),$AT$1,IF(OR(K13=AO13,K13=AM13,K13=AR13),$P$1,""))))</f>
        <v>2022 Elite Canada</v>
      </c>
      <c r="M13" s="14" t="str">
        <f>IF(MAX(DB13,DC13)&gt;0,MAX(DB13,DC13),"")</f>
        <v/>
      </c>
      <c r="N13" s="19" t="str">
        <f>IF(M13="","",IF(M13=DB13,"(Prelim)",IF(M13=DC13,"(Final)")))</f>
        <v/>
      </c>
      <c r="O13" s="14" t="str">
        <f>IF(M13="","",IF(M13=DB13,IF(M13+IF(K13="",0,K13)=NC13,$ML$1,IF(M13+IF(K13="",0,K13)=MG13,$LP$1,IF(M13+IF(K13="",0,K13)=LK13,$KT$1,IF(M13+IF(K13="",0,K13)=KO13,$JX$1,IF(M13+IF(K13="",0,K13)=JS13,$JB$1,IF(M13+IF(K13="",0,K13)=IW13,$IF$1,IF(M13+IF(K13="",0,K13)=IA13,$HJ$1,IF(M13+IF(K13="",0,K13)=HE13,$GN$1,IF(M13+IF(K13="",0,K13)=GI13,$FR$1,IF(M13+IF(K13="",0,K13)=FM13,$EV$1,IF(M13+IF(K13="",0,K13)=EQ13,$DZ$1,IF(M13+IF(K13="",0,K13)=DU13,$DD$1,IF(M13+IF(K13="",0,K13)=NB13,$ML$1,IF(M13+IF(K13="",0,K13)=MF13,$LP$1,IF(M13+IF(K13="",0,K13)=LJ13,$KT$1,IF(M13+IF(K13="",0,K13)=KN13,$JX$1,IF(M13+IF(K13="",0,K13)=JR13,$JB$1,IF(M13+IF(K13="",0,K13)=IV13,$IF$1,IF(M13+IF(K13="",0,K13)=HZ13,$HJ$1,IF(M13+IF(K13="",0,K13)=HD13,$GN$1,IF(M13+IF(K13="",0,K13)=GH13,$FR$1,IF(M13+IF(K13="",0,K13)=FL13,$EV$1,IF(M13+IF(K13="",0,K13)=EP13,$DZ$1,IF(M13+IF(K13="",0,K13)=DT13,$DD$1))))))))))))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</f>
        <v/>
      </c>
      <c r="P13" s="37"/>
      <c r="Q13" s="37"/>
      <c r="R13" s="37"/>
      <c r="S13" s="37"/>
      <c r="T13" s="37"/>
      <c r="U13" s="37">
        <v>12.7</v>
      </c>
      <c r="V13" s="37">
        <v>9.1</v>
      </c>
      <c r="W13" s="37">
        <v>14.6</v>
      </c>
      <c r="X13" s="37">
        <v>15.37</v>
      </c>
      <c r="Y13" s="37">
        <v>0</v>
      </c>
      <c r="Z13" s="37">
        <v>11.7</v>
      </c>
      <c r="AA13" s="37">
        <v>7.5</v>
      </c>
      <c r="AB13" s="37">
        <v>11.9</v>
      </c>
      <c r="AC13" s="37">
        <v>12.055</v>
      </c>
      <c r="AD13" s="37">
        <v>0</v>
      </c>
      <c r="AE13" s="37">
        <v>13.5</v>
      </c>
      <c r="AF13" s="37">
        <v>9.1</v>
      </c>
      <c r="AG13" s="37">
        <v>14.2</v>
      </c>
      <c r="AH13" s="37">
        <v>14.885</v>
      </c>
      <c r="AI13" s="37">
        <v>0</v>
      </c>
      <c r="AJ13" s="44"/>
      <c r="AK13" s="11" t="str">
        <f>IF(SUM(P13:S13)-T13&gt;0,SUM(P13:S13)-T13,"")</f>
        <v/>
      </c>
      <c r="AL13" s="11">
        <f>IF(W13&gt;0,W13,"")</f>
        <v>14.6</v>
      </c>
      <c r="AM13" s="11">
        <f>IF(SUM(U13:X13)-Y13&gt;0,SUM(U13:X13)-Y13,"")</f>
        <v>51.769999999999996</v>
      </c>
      <c r="AN13" s="11">
        <f>IF(AB13&gt;0,AB13,"")</f>
        <v>11.9</v>
      </c>
      <c r="AO13" s="11">
        <f>IF(SUM(Z13:AC13)-AD13&gt;0,SUM(Z13:AC13)-AD13,"")</f>
        <v>43.155000000000001</v>
      </c>
      <c r="AP13" s="11">
        <f>IF(AK13="",IF(MAX(AM13,AO13)&gt;0,MAX(AM13,AO13),""),MAX(AM13,AO13)+AK13)</f>
        <v>51.769999999999996</v>
      </c>
      <c r="AQ13" s="11">
        <f>IF(AG13&gt;0,AG13,"")</f>
        <v>14.2</v>
      </c>
      <c r="AR13" s="11">
        <f>IF(SUM(AE13:AH13)-AI13&gt;0,SUM(AE13:AH13)-AI13,"")</f>
        <v>51.684999999999995</v>
      </c>
      <c r="AS13" s="11">
        <f>IF(SUM(AP13,AR13)&gt;0,SUM(AP13,AR13),"")</f>
        <v>103.45499999999998</v>
      </c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5"/>
      <c r="BO13" s="14" t="str">
        <f>IF(SUM(AT13:AW13)-AX13&gt;0,SUM(AT13:AW13)-AX13,"")</f>
        <v/>
      </c>
      <c r="BP13" s="14" t="str">
        <f>IF(BA13&gt;0,BA13,"")</f>
        <v/>
      </c>
      <c r="BQ13" s="14" t="str">
        <f>IF(SUM(AY13:BB13)-BC13&gt;0,SUM(AY13:BB13)-BC13,"")</f>
        <v/>
      </c>
      <c r="BR13" s="14" t="str">
        <f>IF(BF13&gt;0,BF13,"")</f>
        <v/>
      </c>
      <c r="BS13" s="14" t="str">
        <f>IF(SUM(BD13:BG13)-BH13&gt;0,SUM(BD13:BG13)-BH13,"")</f>
        <v/>
      </c>
      <c r="BT13" s="14" t="str">
        <f>IF(BO13="",IF(MAX(BQ13,BS13)&gt;0,MAX(BQ13,BS13),""),MAX(BQ13,BS13)+BO13)</f>
        <v/>
      </c>
      <c r="BU13" s="14" t="str">
        <f>IF(BK13&gt;0,BK13,"")</f>
        <v/>
      </c>
      <c r="BV13" s="14" t="str">
        <f>IF(SUM(BI13:BL13)-BM13&gt;0,SUM(BI13:BL13)-BM13,"")</f>
        <v/>
      </c>
      <c r="BW13" s="14" t="str">
        <f>IF(SUM(BT13,BV13)&gt;0,SUM(BT13,BV13),"")</f>
        <v/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>IF(SUM(BX13:CA13)-CB13&gt;0,SUM(BX13:CA13)-CB13,"")</f>
        <v/>
      </c>
      <c r="CT13" s="11" t="str">
        <f>IF(CE13&gt;0,CE13,"")</f>
        <v/>
      </c>
      <c r="CU13" s="11" t="str">
        <f>IF(SUM(CC13:CF13)-CG13&gt;0,SUM(CC13:CF13)-CG13,"")</f>
        <v/>
      </c>
      <c r="CV13" s="11" t="str">
        <f>IF(CJ13&gt;0,CJ13,"")</f>
        <v/>
      </c>
      <c r="CW13" s="11" t="str">
        <f>IF(SUM(CH13:CK13)-CL13&gt;0,SUM(CH13:CK13)-CL13,"")</f>
        <v/>
      </c>
      <c r="CX13" s="11" t="str">
        <f>IF(CS13="",IF(MAX(CU13,CW13)&gt;0,MAX(CU13,CW13),""),MAX(CU13,CW13)+CS13)</f>
        <v/>
      </c>
      <c r="CY13" s="11" t="str">
        <f>IF(CO13&gt;0,CO13,"")</f>
        <v/>
      </c>
      <c r="CZ13" s="11" t="str">
        <f>IF(SUM(CM13:CP13)-CQ13&gt;0,SUM(CM13:CP13)-CQ13,"")</f>
        <v/>
      </c>
      <c r="DA13" s="11" t="str">
        <f>IF(SUM(CX13,CZ13)&gt;0,SUM(CX13,CZ13),"")</f>
        <v/>
      </c>
      <c r="DB13" s="18" t="str">
        <f>IF(K13&gt;=0.001,IF(MAX(DT13,DU13,EP13,EQ13,FL13,FM13,GH13,GI13,HD13,HE13,HZ13,IA13,IV13,IW13,JR13,JS13,KN13,KO13,LJ13,LK13,MF13,MG13,NB13,NC13)-IF(K13="",0,K13)&gt;0.001,MAX(DT13,DU13,EP13,EQ13,FL13,FM13,GH13,GI13,HD13,HE13,HZ13,IA13,IV13,IW13,JR13,JS13,KN13,KO13,LJ13,LK13,MF13,MG13,NB13,NC13)-IF(K13="",0,K13),""),"")</f>
        <v/>
      </c>
      <c r="DC13" s="18" t="str">
        <f>IF(K13&gt;=0.001,IF(MAX(DX13,ET13,FP13,GL13,HH13,ID13,IZ13,JV13,KR13,LN13,MJ13,NF13)-IF(K13="",0,K13)&gt;0.001,MAX(DX13,ET13,FP13,GL13,HH13,ID13,IZ13,JV13,KR13,LN13,MJ13,NF13)-IF(K13="",0,K13),""),"")</f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7">
        <f>IF($CR13="P",BX13,(BX13+AT13)/2)</f>
        <v>0</v>
      </c>
      <c r="NI13" s="37">
        <f>IF($CR13="P",BY13,(BY13+AU13)/2)</f>
        <v>0</v>
      </c>
      <c r="NJ13" s="37">
        <f>IF($CR13="P",BZ13,(BZ13+AV13)/2)</f>
        <v>0</v>
      </c>
      <c r="NK13" s="37">
        <f>IF($CR13="P",CA13,(CA13+AW13)/2)</f>
        <v>0</v>
      </c>
      <c r="NL13" s="37">
        <f>IF($CR13="P",CB13,(CB13+AX13)/2)</f>
        <v>0</v>
      </c>
      <c r="NM13" s="37">
        <f>IF($CR13="P",CC13,(CC13+AY13)/2)</f>
        <v>0</v>
      </c>
      <c r="NN13" s="37">
        <f>IF($CR13="P",CD13,(CD13+AZ13)/2)</f>
        <v>0</v>
      </c>
      <c r="NO13" s="37">
        <f>IF($CR13="P",CE13,(CE13+BA13)/2)</f>
        <v>0</v>
      </c>
      <c r="NP13" s="37">
        <f>IF($CR13="P",CF13,(CF13+BB13)/2)</f>
        <v>0</v>
      </c>
      <c r="NQ13" s="37">
        <f>IF($CR13="P",CG13,(CG13+BC13)/2)</f>
        <v>0</v>
      </c>
      <c r="NR13" s="37">
        <f>IF($CR13="P",CH13,(CH13+BD13)/2)</f>
        <v>0</v>
      </c>
      <c r="NS13" s="37">
        <f>IF($CR13="P",CI13,(CI13+BE13)/2)</f>
        <v>0</v>
      </c>
      <c r="NT13" s="37">
        <f>IF($CR13="P",CJ13,(CJ13+BF13)/2)</f>
        <v>0</v>
      </c>
      <c r="NU13" s="37">
        <f>IF($CR13="P",CK13,(CK13+BG13)/2)</f>
        <v>0</v>
      </c>
      <c r="NV13" s="37">
        <f>IF($CR13="P",CL13,(CL13+BH13)/2)</f>
        <v>0</v>
      </c>
      <c r="NW13" s="37">
        <f>IF($CR13="P",CM13,(CM13+BI13)/2)</f>
        <v>0</v>
      </c>
      <c r="NX13" s="37">
        <f>IF($CR13="P",CN13,(CN13+BJ13)/2)</f>
        <v>0</v>
      </c>
      <c r="NY13" s="37">
        <f>IF($CR13="P",CO13,(CO13+BK13)/2)</f>
        <v>0</v>
      </c>
      <c r="NZ13" s="37">
        <f>IF($CR13="P",CP13,(CP13+BL13)/2)</f>
        <v>0</v>
      </c>
      <c r="OA13" s="37">
        <f>IF($CR13="P",CQ13,(CQ13+BM13)/2)</f>
        <v>0</v>
      </c>
      <c r="OB13" s="44" t="s">
        <v>46</v>
      </c>
      <c r="OC13" s="11" t="str">
        <f>IF(SUM(NH13:NK13)-NL13&gt;0,SUM(NH13:NK13)-NL13,"")</f>
        <v/>
      </c>
      <c r="OD13" s="11" t="str">
        <f>IF(NO13&gt;0,NO13,"")</f>
        <v/>
      </c>
      <c r="OE13" s="11" t="str">
        <f>IF(SUM(NM13:NP13)-NQ13&gt;0,SUM(NM13:NP13)-NQ13,"")</f>
        <v/>
      </c>
      <c r="OF13" s="11" t="str">
        <f>IF(NT13&gt;0,NT13,"")</f>
        <v/>
      </c>
      <c r="OG13" s="11" t="str">
        <f>IF(SUM(NR13:NU13)-NV13&gt;0,SUM(NR13:NU13)-NV13,"")</f>
        <v/>
      </c>
      <c r="OH13" s="11" t="str">
        <f>IF(OR(OC13&lt;&gt;"",OE13&lt;&gt;"",OG13&lt;&gt;""),OC13+MAX(OE13,OG13),"")</f>
        <v/>
      </c>
      <c r="OI13" s="11" t="str">
        <f>IF(NY13&gt;0,NY13,"")</f>
        <v/>
      </c>
      <c r="OJ13" s="11" t="str">
        <f t="shared" ref="OJ13" si="6">IF(SUM(NW13:NZ13)-OA13&gt;0,SUM(NW13:NZ13)-OA13,"")</f>
        <v/>
      </c>
      <c r="OK13" s="11" t="str">
        <f t="shared" ref="OK13" si="7">IF(SUM(OH13,OJ13)&gt;0,SUM(OH13,OJ13),"")</f>
        <v/>
      </c>
    </row>
    <row r="14" spans="1:401" x14ac:dyDescent="0.2">
      <c r="A14" s="5" t="str" cm="1">
        <f t="array" ref="A14">IF(AND(F14="P",G14="P"),SUMPRODUCT((F$4:F$37="P")*(G$4:G$37="P")*(E$4:E$37&gt;E14))+1,IF(G14="P",SUMPRODUCT((F$4:F$37="")*(G$4:G$37="P")*(E$4:E$37&gt;E14))+1+SUMPRODUCT((F$4:F$37="P")*(G$4:G$37="P")),""))</f>
        <v/>
      </c>
      <c r="B14" s="6" t="s">
        <v>88</v>
      </c>
      <c r="C14" s="7" t="s">
        <v>4</v>
      </c>
      <c r="D14" s="21">
        <v>2004</v>
      </c>
      <c r="E14" s="15">
        <f>SUM(I14:M14)+I14*0.0000001</f>
        <v>101.940005124</v>
      </c>
      <c r="F14" s="3" t="str">
        <f>IF(OR(AND(AL14&gt;=AS$39,AM14&gt;=AS$43,AL14&lt;&gt;"",AJ14=""),AND(AN14&gt;=AS$39,AO14&gt;=AS$43,AN14&lt;&gt;"",AN14=""),AND(AQ14&gt;=AS$39,AR14&gt;=AS$43,AQ14&lt;&gt;"",AJ14=""),AND(BP14&gt;=BW$39,BQ14&gt;=BW$43,BP14&lt;&gt;"",BN14=""),AND(BR14&gt;=BW$39,BS14&gt;=BW$43,BR14&lt;&gt;"",BN14=""),AND(BU14&gt;=BW$39,BV14&gt;=BW$43,BU14&lt;&gt;"",BN14=""),AND(CT14&gt;=DA$39,CU14&gt;=DA$43,CT14&lt;&gt;"",CR14=""),AND(CV14&gt;=DA$39,CW14&gt;=DA$43,CV14&lt;&gt;"",CR14=""),AND(CY14&gt;=DA$39,CZ14&gt;=DA$43,CY14&lt;&gt;"",CR14=""),AND(DS14&gt;=DY$39,DU14&gt;=DY$43,DS14&lt;&gt;""),AND(DW14&gt;=DY$39,DX14&gt;=DY$43,DW14&lt;&gt;""),AND(EO14&gt;=EU$39,EQ14&gt;=EU$43,EO14&lt;&gt;""),AND(ES14&gt;=EU$39,ET14&gt;=EU$43,ES14&lt;&gt;""),AND(FK14&gt;=FQ$39,FM14&gt;=FQ$43,FK14&lt;&gt;""),AND(FO14&gt;=FQ$39,FP14&gt;=FQ$43,FO14&lt;&gt;""),AND(GG14&gt;=GM$39,GI14&gt;=GM$43,GG14&lt;&gt;""),AND(GK14&gt;=GM$39,GL14&gt;=GM$43,GK14&lt;&gt;""),AND(HC14&gt;=HI$39,HE14&gt;=HI$43,HC14&lt;&gt;""),AND(HG14&gt;=HI$39,HH14&gt;=HI$43,HG14&lt;&gt;""),AND(HY14&gt;=IE$39,IA14&gt;=IE$43,HY14&lt;&gt;""),AND(IC14&gt;=IE$39,ID14&gt;=IE$43,IC14&lt;&gt;""),AND(IU14&gt;=JA$39,IW14&gt;=JA$43,IU14&lt;&gt;""),AND(IY14&gt;=JA$39,IZ14&gt;=JA$43,IY14&lt;&gt;""),AND(JQ14&gt;=JW$39,JS14&gt;=JW$43,JQ14&lt;&gt;""),AND(JU14&gt;=JW$39,JV14&gt;=JW$43,JU14&lt;&gt;""),AND(KM14&gt;=KS$39,KO14&gt;=KS$43,KM14&lt;&gt;""),AND(KQ14&gt;=KS$39,KR14&gt;=KS$43,KQ14&lt;&gt;""),AND(LI14&gt;=LO$39,LK14&gt;=LO$43,LI14&lt;&gt;""),AND(LM14&gt;=LO$39,LN14&gt;=LO$43,LM14&lt;&gt;""),AND(ME14&gt;=MK$39,MG14&gt;=MK$43,ME14&lt;&gt;""),AND(MI14&gt;=MK$39,MJ14&gt;=MK$43,MI14&lt;&gt;""),AND(NA14&gt;=NG$39,NC14&gt;=NG$43,NA14&lt;&gt;""),AND(NE14&gt;=NG$39,NF14&gt;=NG$43,NE14&lt;&gt;"")),"P","")</f>
        <v/>
      </c>
      <c r="G14" s="3" t="str">
        <f>IF(OR(AND(AM14&gt;=AS$43,AL14&lt;&gt;"",AJ14=""),AND(AO14&gt;=AS$43,AN14&lt;&gt;"",AN14=""),AND(AR14&gt;=AS$43,AQ14&lt;&gt;"",AJ14=""),AND(BQ14&gt;=BW$43,BP14&lt;&gt;"",BN14=""),AND(BS14&gt;=BW$43,BR14&lt;&gt;"",BN14=""),AND(BV14&gt;=BW$43,BU14&lt;&gt;"",BN14=""),AND(CU14&gt;=DA$43,CT14&lt;&gt;"",CR14=""),AND(CW14&gt;=DA$43,CV14&lt;&gt;"",CR14=""),AND(CZ14&gt;=DA$43,CY14&lt;&gt;"",CR14=""),AND(DU14&gt;=DY$43,DS14&lt;&gt;""),AND(DX14&gt;=DY$43,DW14&lt;&gt;""),AND(EQ14&gt;=EU$43,EO14&lt;&gt;""),AND(ET14&gt;=EU$43,ES14&lt;&gt;""),AND(FM14&gt;=FQ$43,FK14&lt;&gt;""),AND(FP14&gt;=FQ$43,FO14&lt;&gt;""),AND(GI14&gt;=GM$43,GG14&lt;&gt;""),AND(GL14&gt;=GM$43,GK14&lt;&gt;""),AND(HE14&gt;=HI$43,HC14&lt;&gt;""),AND(HH14&gt;=HI$43,HG14&lt;&gt;""),AND(IA14&gt;=IE$43,HY14&lt;&gt;""),AND(ID14&gt;=IE$43,IC14&lt;&gt;""),AND(IW14&gt;=JA$43,IU14&lt;&gt;""),AND(IZ14&gt;=JA$43,IY14&lt;&gt;""),AND(JS14&gt;=JW$43,JQ14&lt;&gt;""),AND(JV14&gt;=JW$43,JU14&lt;&gt;""),AND(KO14&gt;=KS$43,KM14&lt;&gt;""),AND(KR14&gt;=KS$43,KQ14&lt;&gt;""),AND(LK14&gt;=LO$43,LI14&lt;&gt;""),AND(LN14&gt;=LO$43,LM14&lt;&gt;""),AND(MG14&gt;=MK$43,ME14&lt;&gt;""),AND(MJ14&gt;=MK$43,MI14&lt;&gt;""),AND(NC14&gt;=NG$43,NA14&lt;&gt;""),AND(NF14&gt;=NG$43,NE14&lt;&gt;"")),"P","")</f>
        <v/>
      </c>
      <c r="H14" s="66" t="str">
        <f>IF(F14="P","National Team",IF(G14="P","No DD",""))</f>
        <v/>
      </c>
      <c r="I14" s="14">
        <f>MAX(AM14,AO14,AR14,BQ14,BS14,BV14,CU14,CW14,CZ14)</f>
        <v>51.239999999999995</v>
      </c>
      <c r="J14" s="14" t="str">
        <f>IF(I14=0,"",IF(OR(I14=CW14,I14=CU14,I14=CZ14),$BX$1,IF(OR(I14=BS14,I14=BQ14,I14=BV14),$AT$1,IF(OR(I14=AO14,I14=AM14,I14=AR14),$P$1,""))))</f>
        <v>2022 Elite Canada</v>
      </c>
      <c r="K14" s="14">
        <f>IF(COUNT(AM14,AO14,AR14,BQ14,BS14,BV14,CU14,CW14,CZ14)&gt;1,LARGE((AM14,AO14,AR14,BQ14,BS14,BV14,CU14,CW14,CZ14),2),0)</f>
        <v>50.699999999999996</v>
      </c>
      <c r="L14" s="14" t="str">
        <f>IF(K14=0,"",IF(OR(K14=CW14,K14=CU14,K14=CZ14),$BX$1,IF(OR(K14=BS14,K14=BQ14,K14=BV14),$AT$1,IF(OR(K14=AO14,K14=AM14,K14=AR14),$P$1,""))))</f>
        <v>2022 Nationals</v>
      </c>
      <c r="M14" s="14" t="str">
        <f>IF(MAX(DB14,DC14)&gt;0,MAX(DB14,DC14),"")</f>
        <v/>
      </c>
      <c r="N14" s="19" t="str">
        <f>IF(M14="","",IF(M14=DB14,"(Prelim)",IF(M14=DC14,"(Final)")))</f>
        <v/>
      </c>
      <c r="O14" s="14" t="str">
        <f>IF(M14="","",IF(M14=DB14,IF(M14+IF(K14="",0,K14)=NC14,$ML$1,IF(M14+IF(K14="",0,K14)=MG14,$LP$1,IF(M14+IF(K14="",0,K14)=LK14,$KT$1,IF(M14+IF(K14="",0,K14)=KO14,$JX$1,IF(M14+IF(K14="",0,K14)=JS14,$JB$1,IF(M14+IF(K14="",0,K14)=IW14,$IF$1,IF(M14+IF(K14="",0,K14)=IA14,$HJ$1,IF(M14+IF(K14="",0,K14)=HE14,$GN$1,IF(M14+IF(K14="",0,K14)=GI14,$FR$1,IF(M14+IF(K14="",0,K14)=FM14,$EV$1,IF(M14+IF(K14="",0,K14)=EQ14,$DZ$1,IF(M14+IF(K14="",0,K14)=DU14,$DD$1,IF(M14+IF(K14="",0,K14)=NB14,$ML$1,IF(M14+IF(K14="",0,K14)=MF14,$LP$1,IF(M14+IF(K14="",0,K14)=LJ14,$KT$1,IF(M14+IF(K14="",0,K14)=KN14,$JX$1,IF(M14+IF(K14="",0,K14)=JR14,$JB$1,IF(M14+IF(K14="",0,K14)=IV14,$IF$1,IF(M14+IF(K14="",0,K14)=HZ14,$HJ$1,IF(M14+IF(K14="",0,K14)=HD14,$GN$1,IF(M14+IF(K14="",0,K14)=GH14,$FR$1,IF(M14+IF(K14="",0,K14)=FL14,$EV$1,IF(M14+IF(K14="",0,K14)=EP14,$DZ$1,IF(M14+IF(K14="",0,K14)=DT14,$DD$1))))))))))))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</f>
        <v/>
      </c>
      <c r="P14" s="37">
        <v>16.3</v>
      </c>
      <c r="Q14" s="37">
        <v>9.6</v>
      </c>
      <c r="R14" s="37">
        <v>1.3</v>
      </c>
      <c r="S14" s="37">
        <v>15.71</v>
      </c>
      <c r="T14" s="37">
        <v>0</v>
      </c>
      <c r="U14" s="37">
        <v>14.7</v>
      </c>
      <c r="V14" s="37">
        <v>8.6</v>
      </c>
      <c r="W14" s="37">
        <v>12.3</v>
      </c>
      <c r="X14" s="37">
        <v>15.64</v>
      </c>
      <c r="Y14" s="37">
        <v>0</v>
      </c>
      <c r="Z14" s="37"/>
      <c r="AA14" s="37"/>
      <c r="AB14" s="37"/>
      <c r="AC14" s="37"/>
      <c r="AD14" s="37"/>
      <c r="AE14" s="37">
        <v>14.2</v>
      </c>
      <c r="AF14" s="37">
        <v>8.6</v>
      </c>
      <c r="AG14" s="37">
        <v>12.3</v>
      </c>
      <c r="AH14" s="37">
        <v>15.47</v>
      </c>
      <c r="AI14" s="37">
        <v>0</v>
      </c>
      <c r="AJ14" s="44"/>
      <c r="AK14" s="11">
        <f>IF(SUM(P14:S14)-T14&gt;0,SUM(P14:S14)-T14,"")</f>
        <v>42.91</v>
      </c>
      <c r="AL14" s="11">
        <f>IF(W14&gt;0,W14,"")</f>
        <v>12.3</v>
      </c>
      <c r="AM14" s="11">
        <f>IF(SUM(U14:X14)-Y14&gt;0,SUM(U14:X14)-Y14,"")</f>
        <v>51.239999999999995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94.149999999999991</v>
      </c>
      <c r="AQ14" s="11">
        <f>IF(AG14&gt;0,AG14,"")</f>
        <v>12.3</v>
      </c>
      <c r="AR14" s="11">
        <f>IF(SUM(AE14:AH14)-AI14&gt;0,SUM(AE14:AH14)-AI14,"")</f>
        <v>50.569999999999993</v>
      </c>
      <c r="AS14" s="11">
        <f>IF(SUM(AP14,AR14)&gt;0,SUM(AP14,AR14),"")</f>
        <v>144.71999999999997</v>
      </c>
      <c r="AT14" s="41">
        <v>14.4</v>
      </c>
      <c r="AU14" s="41">
        <v>9.3000000000000007</v>
      </c>
      <c r="AV14" s="41">
        <v>2.2000000000000002</v>
      </c>
      <c r="AW14" s="41">
        <v>15.52</v>
      </c>
      <c r="AX14" s="41">
        <v>0</v>
      </c>
      <c r="AY14" s="41">
        <v>14.1</v>
      </c>
      <c r="AZ14" s="41">
        <v>8.9</v>
      </c>
      <c r="BA14" s="41">
        <v>12.3</v>
      </c>
      <c r="BB14" s="41">
        <v>15.4</v>
      </c>
      <c r="BC14" s="41">
        <v>0</v>
      </c>
      <c r="BD14" s="41"/>
      <c r="BE14" s="41"/>
      <c r="BF14" s="41"/>
      <c r="BG14" s="41"/>
      <c r="BH14" s="41"/>
      <c r="BI14" s="41">
        <v>13.3</v>
      </c>
      <c r="BJ14" s="41">
        <v>9.6999999999999993</v>
      </c>
      <c r="BK14" s="41">
        <v>12.3</v>
      </c>
      <c r="BL14" s="41">
        <v>14.81</v>
      </c>
      <c r="BM14" s="41">
        <v>0</v>
      </c>
      <c r="BN14" s="45"/>
      <c r="BO14" s="14">
        <f>IF(SUM(AT14:AW14)-AX14&gt;0,SUM(AT14:AW14)-AX14,"")</f>
        <v>41.42</v>
      </c>
      <c r="BP14" s="14">
        <f>IF(BA14&gt;0,BA14,"")</f>
        <v>12.3</v>
      </c>
      <c r="BQ14" s="14">
        <f>IF(SUM(AY14:BB14)-BC14&gt;0,SUM(AY14:BB14)-BC14,"")</f>
        <v>50.699999999999996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92.12</v>
      </c>
      <c r="BU14" s="14">
        <f>IF(BK14&gt;0,BK14,"")</f>
        <v>12.3</v>
      </c>
      <c r="BV14" s="14">
        <f>IF(SUM(BI14:BL14)-BM14&gt;0,SUM(BI14:BL14)-BM14,"")</f>
        <v>50.11</v>
      </c>
      <c r="BW14" s="14">
        <f>IF(SUM(BT14,BV14)&gt;0,SUM(BT14,BV14),"")</f>
        <v>142.23000000000002</v>
      </c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44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8" t="str">
        <f>IF(K14&gt;=0.001,IF(MAX(DT14,DU14,EP14,EQ14,FL14,FM14,GH14,GI14,HD14,HE14,HZ14,IA14,IV14,IW14,JR14,JS14,KN14,KO14,LJ14,LK14,MF14,MG14,NB14,NC14)-IF(K14="",0,K14)&gt;0.001,MAX(DT14,DU14,EP14,EQ14,FL14,FM14,GH14,GI14,HD14,HE14,HZ14,IA14,IV14,IW14,JR14,JS14,KN14,KO14,LJ14,LK14,MF14,MG14,NB14,NC14)-IF(K14="",0,K14),""),"")</f>
        <v/>
      </c>
      <c r="DC14" s="18" t="str">
        <f>IF(K14&gt;=0.001,IF(MAX(DX14,ET14,FP14,GL14,HH14,ID14,IZ14,JV14,KR14,LN14,MJ14,NF14)-IF(K14="",0,K14)&gt;0.001,MAX(DX14,ET14,FP14,GL14,HH14,ID14,IZ14,JV14,KR14,LN14,MJ14,NF14)-IF(K14="",0,K14),""),"")</f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7">
        <f>IF($CR14="P",BX14,(BX14+AT14)/2)</f>
        <v>7.2</v>
      </c>
      <c r="NI14" s="37">
        <f>IF($CR14="P",BY14,(BY14+AU14)/2)</f>
        <v>4.6500000000000004</v>
      </c>
      <c r="NJ14" s="37">
        <f>IF($CR14="P",BZ14,(BZ14+AV14)/2)</f>
        <v>1.1000000000000001</v>
      </c>
      <c r="NK14" s="37">
        <f>IF($CR14="P",CA14,(CA14+AW14)/2)</f>
        <v>7.76</v>
      </c>
      <c r="NL14" s="37">
        <f>IF($CR14="P",CB14,(CB14+AX14)/2)</f>
        <v>0</v>
      </c>
      <c r="NM14" s="37">
        <f>IF($CR14="P",CC14,(CC14+AY14)/2)</f>
        <v>7.05</v>
      </c>
      <c r="NN14" s="37">
        <f>IF($CR14="P",CD14,(CD14+AZ14)/2)</f>
        <v>4.45</v>
      </c>
      <c r="NO14" s="37">
        <f>IF($CR14="P",CE14,(CE14+BA14)/2)</f>
        <v>6.15</v>
      </c>
      <c r="NP14" s="37">
        <f>IF($CR14="P",CF14,(CF14+BB14)/2)</f>
        <v>7.7</v>
      </c>
      <c r="NQ14" s="37">
        <f>IF($CR14="P",CG14,(CG14+BC14)/2)</f>
        <v>0</v>
      </c>
      <c r="NR14" s="37">
        <f>IF($CR14="P",CH14,(CH14+BD14)/2)</f>
        <v>0</v>
      </c>
      <c r="NS14" s="37">
        <f>IF($CR14="P",CI14,(CI14+BE14)/2)</f>
        <v>0</v>
      </c>
      <c r="NT14" s="37">
        <f>IF($CR14="P",CJ14,(CJ14+BF14)/2)</f>
        <v>0</v>
      </c>
      <c r="NU14" s="37">
        <f>IF($CR14="P",CK14,(CK14+BG14)/2)</f>
        <v>0</v>
      </c>
      <c r="NV14" s="37">
        <f>IF($CR14="P",CL14,(CL14+BH14)/2)</f>
        <v>0</v>
      </c>
      <c r="NW14" s="37">
        <f>IF($CR14="P",CM14,(CM14+BI14)/2)</f>
        <v>6.65</v>
      </c>
      <c r="NX14" s="37">
        <f>IF($CR14="P",CN14,(CN14+BJ14)/2)</f>
        <v>4.8499999999999996</v>
      </c>
      <c r="NY14" s="37">
        <f>IF($CR14="P",CO14,(CO14+BK14)/2)</f>
        <v>6.15</v>
      </c>
      <c r="NZ14" s="37">
        <f>IF($CR14="P",CP14,(CP14+BL14)/2)</f>
        <v>7.4050000000000002</v>
      </c>
      <c r="OA14" s="37">
        <f>IF($CR14="P",CQ14,(CQ14+BM14)/2)</f>
        <v>0</v>
      </c>
      <c r="OB14" s="44" t="s">
        <v>46</v>
      </c>
      <c r="OC14" s="11">
        <f>IF(SUM(NH14:NK14)-NL14&gt;0,SUM(NH14:NK14)-NL14,"")</f>
        <v>20.71</v>
      </c>
      <c r="OD14" s="11">
        <f>IF(NO14&gt;0,NO14,"")</f>
        <v>6.15</v>
      </c>
      <c r="OE14" s="11">
        <f>IF(SUM(NM14:NP14)-NQ14&gt;0,SUM(NM14:NP14)-NQ14,"")</f>
        <v>25.349999999999998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46.06</v>
      </c>
      <c r="OI14" s="11">
        <f>IF(NY14&gt;0,NY14,"")</f>
        <v>6.15</v>
      </c>
      <c r="OJ14" s="11">
        <f t="shared" ref="OJ14" si="8">IF(SUM(NW14:NZ14)-OA14&gt;0,SUM(NW14:NZ14)-OA14,"")</f>
        <v>25.055</v>
      </c>
      <c r="OK14" s="11">
        <f t="shared" ref="OK14" si="9">IF(SUM(OH14,OJ14)&gt;0,SUM(OH14,OJ14),"")</f>
        <v>71.115000000000009</v>
      </c>
    </row>
    <row r="15" spans="1:401" x14ac:dyDescent="0.2">
      <c r="A15" s="5" t="str" cm="1">
        <f t="array" ref="A15">IF(AND(F15="P",G15="P"),SUMPRODUCT((F$4:F$37="P")*(G$4:G$37="P")*(E$4:E$37&gt;E15))+1,IF(G15="P",SUMPRODUCT((F$4:F$37="")*(G$4:G$37="P")*(E$4:E$37&gt;E15))+1+SUMPRODUCT((F$4:F$37="P")*(G$4:G$37="P")),""))</f>
        <v/>
      </c>
      <c r="B15" s="6" t="s">
        <v>69</v>
      </c>
      <c r="C15" s="7" t="s">
        <v>3</v>
      </c>
      <c r="D15" s="21">
        <v>2002</v>
      </c>
      <c r="E15" s="15">
        <f>SUM(I15:M15)+I15*0.0000001</f>
        <v>101.780005147</v>
      </c>
      <c r="F15" s="3" t="str">
        <f>IF(OR(AND(AL15&gt;=AS$39,AM15&gt;=AS$43,AL15&lt;&gt;"",AJ15=""),AND(AN15&gt;=AS$39,AO15&gt;=AS$43,AN15&lt;&gt;"",AN15=""),AND(AQ15&gt;=AS$39,AR15&gt;=AS$43,AQ15&lt;&gt;"",AJ15=""),AND(BP15&gt;=BW$39,BQ15&gt;=BW$43,BP15&lt;&gt;"",BN15=""),AND(BR15&gt;=BW$39,BS15&gt;=BW$43,BR15&lt;&gt;"",BN15=""),AND(BU15&gt;=BW$39,BV15&gt;=BW$43,BU15&lt;&gt;"",BN15=""),AND(CT15&gt;=DA$39,CU15&gt;=DA$43,CT15&lt;&gt;"",CR15=""),AND(CV15&gt;=DA$39,CW15&gt;=DA$43,CV15&lt;&gt;"",CR15=""),AND(CY15&gt;=DA$39,CZ15&gt;=DA$43,CY15&lt;&gt;"",CR15=""),AND(DS15&gt;=DY$39,DU15&gt;=DY$43,DS15&lt;&gt;""),AND(DW15&gt;=DY$39,DX15&gt;=DY$43,DW15&lt;&gt;""),AND(EO15&gt;=EU$39,EQ15&gt;=EU$43,EO15&lt;&gt;""),AND(ES15&gt;=EU$39,ET15&gt;=EU$43,ES15&lt;&gt;""),AND(FK15&gt;=FQ$39,FM15&gt;=FQ$43,FK15&lt;&gt;""),AND(FO15&gt;=FQ$39,FP15&gt;=FQ$43,FO15&lt;&gt;""),AND(GG15&gt;=GM$39,GI15&gt;=GM$43,GG15&lt;&gt;""),AND(GK15&gt;=GM$39,GL15&gt;=GM$43,GK15&lt;&gt;""),AND(HC15&gt;=HI$39,HE15&gt;=HI$43,HC15&lt;&gt;""),AND(HG15&gt;=HI$39,HH15&gt;=HI$43,HG15&lt;&gt;""),AND(HY15&gt;=IE$39,IA15&gt;=IE$43,HY15&lt;&gt;""),AND(IC15&gt;=IE$39,ID15&gt;=IE$43,IC15&lt;&gt;""),AND(IU15&gt;=JA$39,IW15&gt;=JA$43,IU15&lt;&gt;""),AND(IY15&gt;=JA$39,IZ15&gt;=JA$43,IY15&lt;&gt;""),AND(JQ15&gt;=JW$39,JS15&gt;=JW$43,JQ15&lt;&gt;""),AND(JU15&gt;=JW$39,JV15&gt;=JW$43,JU15&lt;&gt;""),AND(KM15&gt;=KS$39,KO15&gt;=KS$43,KM15&lt;&gt;""),AND(KQ15&gt;=KS$39,KR15&gt;=KS$43,KQ15&lt;&gt;""),AND(LI15&gt;=LO$39,LK15&gt;=LO$43,LI15&lt;&gt;""),AND(LM15&gt;=LO$39,LN15&gt;=LO$43,LM15&lt;&gt;""),AND(ME15&gt;=MK$39,MG15&gt;=MK$43,ME15&lt;&gt;""),AND(MI15&gt;=MK$39,MJ15&gt;=MK$43,MI15&lt;&gt;""),AND(NA15&gt;=NG$39,NC15&gt;=NG$43,NA15&lt;&gt;""),AND(NE15&gt;=NG$39,NF15&gt;=NG$43,NE15&lt;&gt;"")),"P","")</f>
        <v/>
      </c>
      <c r="G15" s="3" t="str">
        <f>IF(OR(AND(AM15&gt;=AS$43,AL15&lt;&gt;"",AJ15=""),AND(AO15&gt;=AS$43,AN15&lt;&gt;"",AN15=""),AND(AR15&gt;=AS$43,AQ15&lt;&gt;"",AJ15=""),AND(BQ15&gt;=BW$43,BP15&lt;&gt;"",BN15=""),AND(BS15&gt;=BW$43,BR15&lt;&gt;"",BN15=""),AND(BV15&gt;=BW$43,BU15&lt;&gt;"",BN15=""),AND(CU15&gt;=DA$43,CT15&lt;&gt;"",CR15=""),AND(CW15&gt;=DA$43,CV15&lt;&gt;"",CR15=""),AND(CZ15&gt;=DA$43,CY15&lt;&gt;"",CR15=""),AND(DU15&gt;=DY$43,DS15&lt;&gt;""),AND(DX15&gt;=DY$43,DW15&lt;&gt;""),AND(EQ15&gt;=EU$43,EO15&lt;&gt;""),AND(ET15&gt;=EU$43,ES15&lt;&gt;""),AND(FM15&gt;=FQ$43,FK15&lt;&gt;""),AND(FP15&gt;=FQ$43,FO15&lt;&gt;""),AND(GI15&gt;=GM$43,GG15&lt;&gt;""),AND(GL15&gt;=GM$43,GK15&lt;&gt;""),AND(HE15&gt;=HI$43,HC15&lt;&gt;""),AND(HH15&gt;=HI$43,HG15&lt;&gt;""),AND(IA15&gt;=IE$43,HY15&lt;&gt;""),AND(ID15&gt;=IE$43,IC15&lt;&gt;""),AND(IW15&gt;=JA$43,IU15&lt;&gt;""),AND(IZ15&gt;=JA$43,IY15&lt;&gt;""),AND(JS15&gt;=JW$43,JQ15&lt;&gt;""),AND(JV15&gt;=JW$43,JU15&lt;&gt;""),AND(KO15&gt;=KS$43,KM15&lt;&gt;""),AND(KR15&gt;=KS$43,KQ15&lt;&gt;""),AND(LK15&gt;=LO$43,LI15&lt;&gt;""),AND(LN15&gt;=LO$43,LM15&lt;&gt;""),AND(MG15&gt;=MK$43,ME15&lt;&gt;""),AND(MJ15&gt;=MK$43,MI15&lt;&gt;""),AND(NC15&gt;=NG$43,NA15&lt;&gt;""),AND(NF15&gt;=NG$43,NE15&lt;&gt;"")),"P","")</f>
        <v/>
      </c>
      <c r="H15" s="66" t="str">
        <f>IF(F15="P","National Team",IF(G15="P","No DD",""))</f>
        <v/>
      </c>
      <c r="I15" s="14">
        <f>MAX(AM15,AO15,AR15,BQ15,BS15,BV15,CU15,CW15,CZ15)</f>
        <v>51.47</v>
      </c>
      <c r="J15" s="14" t="str">
        <f>IF(I15=0,"",IF(OR(I15=CW15,I15=CU15,I15=CZ15),$BX$1,IF(OR(I15=BS15,I15=BQ15,I15=BV15),$AT$1,IF(OR(I15=AO15,I15=AM15,I15=AR15),$P$1,""))))</f>
        <v>2022 3rd Domestic Trial</v>
      </c>
      <c r="K15" s="14">
        <f>IF(COUNT(AM15,AO15,AR15,BQ15,BS15,BV15,CU15,CW15,CZ15)&gt;1,LARGE((AM15,AO15,AR15,BQ15,BS15,BV15,CU15,CW15,CZ15),2),0)</f>
        <v>50.309999999999995</v>
      </c>
      <c r="L15" s="14" t="str">
        <f>IF(K15=0,"",IF(OR(K15=CW15,K15=CU15,K15=CZ15),$BX$1,IF(OR(K15=BS15,K15=BQ15,K15=BV15),$AT$1,IF(OR(K15=AO15,K15=AM15,K15=AR15),$P$1,""))))</f>
        <v>2022 3rd Domestic Trial</v>
      </c>
      <c r="M15" s="14" t="str">
        <f>IF(MAX(DB15,DC15)&gt;0,MAX(DB15,DC15),"")</f>
        <v/>
      </c>
      <c r="N15" s="19" t="str">
        <f>IF(M15="","",IF(M15=DB15,"(Prelim)",IF(M15=DC15,"(Final)")))</f>
        <v/>
      </c>
      <c r="O15" s="14" t="str">
        <f>IF(M15="","",IF(M15=DB15,IF(M15+IF(K15="",0,K15)=NC15,$ML$1,IF(M15+IF(K15="",0,K15)=MG15,$LP$1,IF(M15+IF(K15="",0,K15)=LK15,$KT$1,IF(M15+IF(K15="",0,K15)=KO15,$JX$1,IF(M15+IF(K15="",0,K15)=JS15,$JB$1,IF(M15+IF(K15="",0,K15)=IW15,$IF$1,IF(M15+IF(K15="",0,K15)=IA15,$HJ$1,IF(M15+IF(K15="",0,K15)=HE15,$GN$1,IF(M15+IF(K15="",0,K15)=GI15,$FR$1,IF(M15+IF(K15="",0,K15)=FM15,$EV$1,IF(M15+IF(K15="",0,K15)=EQ15,$DZ$1,IF(M15+IF(K15="",0,K15)=DU15,$DD$1,IF(M15+IF(K15="",0,K15)=NB15,$ML$1,IF(M15+IF(K15="",0,K15)=MF15,$LP$1,IF(M15+IF(K15="",0,K15)=LJ15,$KT$1,IF(M15+IF(K15="",0,K15)=KN15,$JX$1,IF(M15+IF(K15="",0,K15)=JR15,$JB$1,IF(M15+IF(K15="",0,K15)=IV15,$IF$1,IF(M15+IF(K15="",0,K15)=HZ15,$HJ$1,IF(M15+IF(K15="",0,K15)=HD15,$GN$1,IF(M15+IF(K15="",0,K15)=GH15,$FR$1,IF(M15+IF(K15="",0,K15)=FL15,$EV$1,IF(M15+IF(K15="",0,K15)=EP15,$DZ$1,IF(M15+IF(K15="",0,K15)=DT15,$DD$1))))))))))))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</f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>IF(SUM(P15:S15)-T15&gt;0,SUM(P15:S15)-T15,"")</f>
        <v/>
      </c>
      <c r="AL15" s="11" t="str">
        <f>IF(W15&gt;0,W15,"")</f>
        <v/>
      </c>
      <c r="AM15" s="11" t="str">
        <f>IF(SUM(U15:X15)-Y15&gt;0,SUM(U15:X15)-Y15,"")</f>
        <v/>
      </c>
      <c r="AN15" s="11" t="str">
        <f>IF(AB15&gt;0,AB15,"")</f>
        <v/>
      </c>
      <c r="AO15" s="11" t="str">
        <f>IF(SUM(Z15:AC15)-AD15&gt;0,SUM(Z15:AC15)-AD15,"")</f>
        <v/>
      </c>
      <c r="AP15" s="11" t="str">
        <f>IF(AK15="",IF(MAX(AM15,AO15)&gt;0,MAX(AM15,AO15),""),MAX(AM15,AO15)+AK15)</f>
        <v/>
      </c>
      <c r="AQ15" s="11" t="str">
        <f>IF(AG15&gt;0,AG15,"")</f>
        <v/>
      </c>
      <c r="AR15" s="11" t="str">
        <f>IF(SUM(AE15:AH15)-AI15&gt;0,SUM(AE15:AH15)-AI15,"")</f>
        <v/>
      </c>
      <c r="AS15" s="11" t="str">
        <f>IF(SUM(AP15,AR15)&gt;0,SUM(AP15,AR15),"")</f>
        <v/>
      </c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 t="str">
        <f>IF(SUM(AT15:AW15)-AX15&gt;0,SUM(AT15:AW15)-AX15,"")</f>
        <v/>
      </c>
      <c r="BP15" s="14" t="str">
        <f>IF(BA15&gt;0,BA15,"")</f>
        <v/>
      </c>
      <c r="BQ15" s="14" t="str">
        <f>IF(SUM(AY15:BB15)-BC15&gt;0,SUM(AY15:BB15)-BC15,"")</f>
        <v/>
      </c>
      <c r="BR15" s="14" t="str">
        <f>IF(BF15&gt;0,BF15,"")</f>
        <v/>
      </c>
      <c r="BS15" s="14" t="str">
        <f>IF(SUM(BD15:BG15)-BH15&gt;0,SUM(BD15:BG15)-BH15,"")</f>
        <v/>
      </c>
      <c r="BT15" s="14" t="str">
        <f>IF(BO15="",IF(MAX(BQ15,BS15)&gt;0,MAX(BQ15,BS15),""),MAX(BQ15,BS15)+BO15)</f>
        <v/>
      </c>
      <c r="BU15" s="14" t="str">
        <f>IF(BK15&gt;0,BK15,"")</f>
        <v/>
      </c>
      <c r="BV15" s="14" t="str">
        <f>IF(SUM(BI15:BL15)-BM15&gt;0,SUM(BI15:BL15)-BM15,"")</f>
        <v/>
      </c>
      <c r="BW15" s="14" t="str">
        <f>IF(SUM(BT15,BV15)&gt;0,SUM(BT15,BV15),"")</f>
        <v/>
      </c>
      <c r="BX15" s="37"/>
      <c r="BY15" s="37"/>
      <c r="BZ15" s="37"/>
      <c r="CA15" s="37"/>
      <c r="CB15" s="37"/>
      <c r="CC15" s="37">
        <v>4.2</v>
      </c>
      <c r="CD15" s="37">
        <v>2.6</v>
      </c>
      <c r="CE15" s="37">
        <v>4</v>
      </c>
      <c r="CF15" s="37">
        <v>4.93</v>
      </c>
      <c r="CG15" s="37">
        <v>0</v>
      </c>
      <c r="CH15" s="37">
        <v>13.9</v>
      </c>
      <c r="CI15" s="37">
        <v>9.5</v>
      </c>
      <c r="CJ15" s="37">
        <v>13.1</v>
      </c>
      <c r="CK15" s="37">
        <v>15.37</v>
      </c>
      <c r="CL15" s="37">
        <v>0.4</v>
      </c>
      <c r="CM15" s="37">
        <v>12.8</v>
      </c>
      <c r="CN15" s="37">
        <v>8.6</v>
      </c>
      <c r="CO15" s="37">
        <v>13.9</v>
      </c>
      <c r="CP15" s="37">
        <v>15.41</v>
      </c>
      <c r="CQ15" s="37">
        <v>0.4</v>
      </c>
      <c r="CR15" s="44"/>
      <c r="CS15" s="11" t="str">
        <f>IF(SUM(BX15:CA15)-CB15&gt;0,SUM(BX15:CA15)-CB15,"")</f>
        <v/>
      </c>
      <c r="CT15" s="11">
        <f>IF(CE15&gt;0,CE15,"")</f>
        <v>4</v>
      </c>
      <c r="CU15" s="11">
        <f>IF(SUM(CC15:CF15)-CG15&gt;0,SUM(CC15:CF15)-CG15,"")</f>
        <v>15.73</v>
      </c>
      <c r="CV15" s="11">
        <f>IF(CJ15&gt;0,CJ15,"")</f>
        <v>13.1</v>
      </c>
      <c r="CW15" s="11">
        <f>IF(SUM(CH15:CK15)-CL15&gt;0,SUM(CH15:CK15)-CL15,"")</f>
        <v>51.47</v>
      </c>
      <c r="CX15" s="11">
        <f>IF(CS15="",IF(MAX(CU15,CW15)&gt;0,MAX(CU15,CW15),""),MAX(CU15,CW15)+CS15)</f>
        <v>51.47</v>
      </c>
      <c r="CY15" s="11">
        <f>IF(CO15&gt;0,CO15,"")</f>
        <v>13.9</v>
      </c>
      <c r="CZ15" s="11">
        <f>IF(SUM(CM15:CP15)-CQ15&gt;0,SUM(CM15:CP15)-CQ15,"")</f>
        <v>50.309999999999995</v>
      </c>
      <c r="DA15" s="11">
        <f>IF(SUM(CX15,CZ15)&gt;0,SUM(CX15,CZ15),"")</f>
        <v>101.78</v>
      </c>
      <c r="DB15" s="18" t="str">
        <f>IF(K15&gt;=0.001,IF(MAX(DT15,DU15,EP15,EQ15,FL15,FM15,GH15,GI15,HD15,HE15,HZ15,IA15,IV15,IW15,JR15,JS15,KN15,KO15,LJ15,LK15,MF15,MG15,NB15,NC15)-IF(K15="",0,K15)&gt;0.001,MAX(DT15,DU15,EP15,EQ15,FL15,FM15,GH15,GI15,HD15,HE15,HZ15,IA15,IV15,IW15,JR15,JS15,KN15,KO15,LJ15,LK15,MF15,MG15,NB15,NC15)-IF(K15="",0,K15),""),"")</f>
        <v/>
      </c>
      <c r="DC15" s="18" t="str">
        <f>IF(K15&gt;=0.001,IF(MAX(DX15,ET15,FP15,GL15,HH15,ID15,IZ15,JV15,KR15,LN15,MJ15,NF15)-IF(K15="",0,K15)&gt;0.001,MAX(DX15,ET15,FP15,GL15,HH15,ID15,IZ15,JV15,KR15,LN15,MJ15,NF15)-IF(K15="",0,K15),""),"")</f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7">
        <f>IF($CR15="P",BX15,(BX15+AT15)/2)</f>
        <v>0</v>
      </c>
      <c r="NI15" s="37">
        <f>IF($CR15="P",BY15,(BY15+AU15)/2)</f>
        <v>0</v>
      </c>
      <c r="NJ15" s="37">
        <f>IF($CR15="P",BZ15,(BZ15+AV15)/2)</f>
        <v>0</v>
      </c>
      <c r="NK15" s="37">
        <f>IF($CR15="P",CA15,(CA15+AW15)/2)</f>
        <v>0</v>
      </c>
      <c r="NL15" s="37">
        <f>IF($CR15="P",CB15,(CB15+AX15)/2)</f>
        <v>0</v>
      </c>
      <c r="NM15" s="37">
        <f>IF($CR15="P",CC15,(CC15+AY15)/2)</f>
        <v>2.1</v>
      </c>
      <c r="NN15" s="37">
        <f>IF($CR15="P",CD15,(CD15+AZ15)/2)</f>
        <v>1.3</v>
      </c>
      <c r="NO15" s="37">
        <f>IF($CR15="P",CE15,(CE15+BA15)/2)</f>
        <v>2</v>
      </c>
      <c r="NP15" s="37">
        <f>IF($CR15="P",CF15,(CF15+BB15)/2)</f>
        <v>2.4649999999999999</v>
      </c>
      <c r="NQ15" s="37">
        <f>IF($CR15="P",CG15,(CG15+BC15)/2)</f>
        <v>0</v>
      </c>
      <c r="NR15" s="37">
        <f>IF($CR15="P",CH15,(CH15+BD15)/2)</f>
        <v>6.95</v>
      </c>
      <c r="NS15" s="37">
        <f>IF($CR15="P",CI15,(CI15+BE15)/2)</f>
        <v>4.75</v>
      </c>
      <c r="NT15" s="37">
        <f>IF($CR15="P",CJ15,(CJ15+BF15)/2)</f>
        <v>6.55</v>
      </c>
      <c r="NU15" s="37">
        <f>IF($CR15="P",CK15,(CK15+BG15)/2)</f>
        <v>7.6849999999999996</v>
      </c>
      <c r="NV15" s="37">
        <f>IF($CR15="P",CL15,(CL15+BH15)/2)</f>
        <v>0.2</v>
      </c>
      <c r="NW15" s="37">
        <f>IF($CR15="P",CM15,(CM15+BI15)/2)</f>
        <v>6.4</v>
      </c>
      <c r="NX15" s="37">
        <f>IF($CR15="P",CN15,(CN15+BJ15)/2)</f>
        <v>4.3</v>
      </c>
      <c r="NY15" s="37">
        <f>IF($CR15="P",CO15,(CO15+BK15)/2)</f>
        <v>6.95</v>
      </c>
      <c r="NZ15" s="37">
        <f>IF($CR15="P",CP15,(CP15+BL15)/2)</f>
        <v>7.7050000000000001</v>
      </c>
      <c r="OA15" s="37">
        <f>IF($CR15="P",CQ15,(CQ15+BM15)/2)</f>
        <v>0.2</v>
      </c>
      <c r="OB15" s="44" t="s">
        <v>46</v>
      </c>
      <c r="OC15" s="11" t="str">
        <f>IF(SUM(NH15:NK15)-NL15&gt;0,SUM(NH15:NK15)-NL15,"")</f>
        <v/>
      </c>
      <c r="OD15" s="11">
        <f>IF(NO15&gt;0,NO15,"")</f>
        <v>2</v>
      </c>
      <c r="OE15" s="11">
        <f>IF(SUM(NM15:NP15)-NQ15&gt;0,SUM(NM15:NP15)-NQ15,"")</f>
        <v>7.8650000000000002</v>
      </c>
      <c r="OF15" s="11">
        <f>IF(NT15&gt;0,NT15,"")</f>
        <v>6.55</v>
      </c>
      <c r="OG15" s="11">
        <f>IF(SUM(NR15:NU15)-NV15&gt;0,SUM(NR15:NU15)-NV15,"")</f>
        <v>25.734999999999999</v>
      </c>
      <c r="OH15" s="11" t="e">
        <f>IF(OR(OC15&lt;&gt;"",OE15&lt;&gt;"",OG15&lt;&gt;""),OC15+MAX(OE15,OG15),"")</f>
        <v>#VALUE!</v>
      </c>
      <c r="OI15" s="11">
        <f>IF(NY15&gt;0,NY15,"")</f>
        <v>6.95</v>
      </c>
      <c r="OJ15" s="11">
        <f t="shared" ref="OJ15" si="10">IF(SUM(NW15:NZ15)-OA15&gt;0,SUM(NW15:NZ15)-OA15,"")</f>
        <v>25.154999999999998</v>
      </c>
      <c r="OK15" s="11" t="e">
        <f t="shared" ref="OK15" si="11">IF(SUM(OH15,OJ15)&gt;0,SUM(OH15,OJ15),"")</f>
        <v>#VALUE!</v>
      </c>
    </row>
    <row r="16" spans="1:401" x14ac:dyDescent="0.2">
      <c r="A16" s="5" t="str" cm="1">
        <f t="array" ref="A16">IF(AND(F16="P",G16="P"),SUMPRODUCT((F$4:F$37="P")*(G$4:G$37="P")*(E$4:E$37&gt;E16))+1,IF(G16="P",SUMPRODUCT((F$4:F$37="")*(G$4:G$37="P")*(E$4:E$37&gt;E16))+1+SUMPRODUCT((F$4:F$37="P")*(G$4:G$37="P")),""))</f>
        <v/>
      </c>
      <c r="B16" s="6" t="s">
        <v>145</v>
      </c>
      <c r="C16" s="7" t="s">
        <v>5</v>
      </c>
      <c r="D16" s="5">
        <v>2005</v>
      </c>
      <c r="E16" s="15">
        <f>SUM(I16:M16)+I16*0.0000001</f>
        <v>101.050005085</v>
      </c>
      <c r="F16" s="3" t="str">
        <f>IF(OR(AND(AL16&gt;=AS$39,AM16&gt;=AS$43,AL16&lt;&gt;"",AJ16=""),AND(AN16&gt;=AS$39,AO16&gt;=AS$43,AN16&lt;&gt;"",AN16=""),AND(AQ16&gt;=AS$39,AR16&gt;=AS$43,AQ16&lt;&gt;"",AJ16=""),AND(BP16&gt;=BW$39,BQ16&gt;=BW$43,BP16&lt;&gt;"",BN16=""),AND(BR16&gt;=BW$39,BS16&gt;=BW$43,BR16&lt;&gt;"",BN16=""),AND(BU16&gt;=BW$39,BV16&gt;=BW$43,BU16&lt;&gt;"",BN16=""),AND(CT16&gt;=DA$39,CU16&gt;=DA$43,CT16&lt;&gt;"",CR16=""),AND(CV16&gt;=DA$39,CW16&gt;=DA$43,CV16&lt;&gt;"",CR16=""),AND(CY16&gt;=DA$39,CZ16&gt;=DA$43,CY16&lt;&gt;"",CR16=""),AND(DS16&gt;=DY$39,DU16&gt;=DY$43,DS16&lt;&gt;""),AND(DW16&gt;=DY$39,DX16&gt;=DY$43,DW16&lt;&gt;""),AND(EO16&gt;=EU$39,EQ16&gt;=EU$43,EO16&lt;&gt;""),AND(ES16&gt;=EU$39,ET16&gt;=EU$43,ES16&lt;&gt;""),AND(FK16&gt;=FQ$39,FM16&gt;=FQ$43,FK16&lt;&gt;""),AND(FO16&gt;=FQ$39,FP16&gt;=FQ$43,FO16&lt;&gt;""),AND(GG16&gt;=GM$39,GI16&gt;=GM$43,GG16&lt;&gt;""),AND(GK16&gt;=GM$39,GL16&gt;=GM$43,GK16&lt;&gt;""),AND(HC16&gt;=HI$39,HE16&gt;=HI$43,HC16&lt;&gt;""),AND(HG16&gt;=HI$39,HH16&gt;=HI$43,HG16&lt;&gt;""),AND(HY16&gt;=IE$39,IA16&gt;=IE$43,HY16&lt;&gt;""),AND(IC16&gt;=IE$39,ID16&gt;=IE$43,IC16&lt;&gt;""),AND(IU16&gt;=JA$39,IW16&gt;=JA$43,IU16&lt;&gt;""),AND(IY16&gt;=JA$39,IZ16&gt;=JA$43,IY16&lt;&gt;""),AND(JQ16&gt;=JW$39,JS16&gt;=JW$43,JQ16&lt;&gt;""),AND(JU16&gt;=JW$39,JV16&gt;=JW$43,JU16&lt;&gt;""),AND(KM16&gt;=KS$39,KO16&gt;=KS$43,KM16&lt;&gt;""),AND(KQ16&gt;=KS$39,KR16&gt;=KS$43,KQ16&lt;&gt;""),AND(LI16&gt;=LO$39,LK16&gt;=LO$43,LI16&lt;&gt;""),AND(LM16&gt;=LO$39,LN16&gt;=LO$43,LM16&lt;&gt;""),AND(ME16&gt;=MK$39,MG16&gt;=MK$43,ME16&lt;&gt;""),AND(MI16&gt;=MK$39,MJ16&gt;=MK$43,MI16&lt;&gt;""),AND(NA16&gt;=NG$39,NC16&gt;=NG$43,NA16&lt;&gt;""),AND(NE16&gt;=NG$39,NF16&gt;=NG$43,NE16&lt;&gt;"")),"P","")</f>
        <v/>
      </c>
      <c r="G16" s="3" t="str">
        <f>IF(OR(AND(AM16&gt;=AS$43,AL16&lt;&gt;"",AJ16=""),AND(AO16&gt;=AS$43,AN16&lt;&gt;"",AN16=""),AND(AR16&gt;=AS$43,AQ16&lt;&gt;"",AJ16=""),AND(BQ16&gt;=BW$43,BP16&lt;&gt;"",BN16=""),AND(BS16&gt;=BW$43,BR16&lt;&gt;"",BN16=""),AND(BV16&gt;=BW$43,BU16&lt;&gt;"",BN16=""),AND(CU16&gt;=DA$43,CT16&lt;&gt;"",CR16=""),AND(CW16&gt;=DA$43,CV16&lt;&gt;"",CR16=""),AND(CZ16&gt;=DA$43,CY16&lt;&gt;"",CR16=""),AND(DU16&gt;=DY$43,DS16&lt;&gt;""),AND(DX16&gt;=DY$43,DW16&lt;&gt;""),AND(EQ16&gt;=EU$43,EO16&lt;&gt;""),AND(ET16&gt;=EU$43,ES16&lt;&gt;""),AND(FM16&gt;=FQ$43,FK16&lt;&gt;""),AND(FP16&gt;=FQ$43,FO16&lt;&gt;""),AND(GI16&gt;=GM$43,GG16&lt;&gt;""),AND(GL16&gt;=GM$43,GK16&lt;&gt;""),AND(HE16&gt;=HI$43,HC16&lt;&gt;""),AND(HH16&gt;=HI$43,HG16&lt;&gt;""),AND(IA16&gt;=IE$43,HY16&lt;&gt;""),AND(ID16&gt;=IE$43,IC16&lt;&gt;""),AND(IW16&gt;=JA$43,IU16&lt;&gt;""),AND(IZ16&gt;=JA$43,IY16&lt;&gt;""),AND(JS16&gt;=JW$43,JQ16&lt;&gt;""),AND(JV16&gt;=JW$43,JU16&lt;&gt;""),AND(KO16&gt;=KS$43,KM16&lt;&gt;""),AND(KR16&gt;=KS$43,KQ16&lt;&gt;""),AND(LK16&gt;=LO$43,LI16&lt;&gt;""),AND(LN16&gt;=LO$43,LM16&lt;&gt;""),AND(MG16&gt;=MK$43,ME16&lt;&gt;""),AND(MJ16&gt;=MK$43,MI16&lt;&gt;""),AND(NC16&gt;=NG$43,NA16&lt;&gt;""),AND(NF16&gt;=NG$43,NE16&lt;&gt;"")),"P","")</f>
        <v/>
      </c>
      <c r="H16" s="66" t="str">
        <f>IF(F16="P","National Team",IF(G16="P","No DD",""))</f>
        <v/>
      </c>
      <c r="I16" s="14">
        <f>MAX(AM16,AO16,AR16,BQ16,BS16,BV16,CU16,CW16,CZ16)</f>
        <v>50.849999999999994</v>
      </c>
      <c r="J16" s="14" t="str">
        <f>IF(I16=0,"",IF(OR(I16=CW16,I16=CU16,I16=CZ16),$BX$1,IF(OR(I16=BS16,I16=BQ16,I16=BV16),$AT$1,IF(OR(I16=AO16,I16=AM16,I16=AR16),$P$1,""))))</f>
        <v>2022 Nationals</v>
      </c>
      <c r="K16" s="14">
        <f>IF(COUNT(AM16,AO16,AR16,BQ16,BS16,BV16,CU16,CW16,CZ16)&gt;1,LARGE((AM16,AO16,AR16,BQ16,BS16,BV16,CU16,CW16,CZ16),2),0)</f>
        <v>50.2</v>
      </c>
      <c r="L16" s="14" t="str">
        <f>IF(K16=0,"",IF(OR(K16=CW16,K16=CU16,K16=CZ16),$BX$1,IF(OR(K16=BS16,K16=BQ16,K16=BV16),$AT$1,IF(OR(K16=AO16,K16=AM16,K16=AR16),$P$1,""))))</f>
        <v>2022 3rd Domestic Trial</v>
      </c>
      <c r="M16" s="14" t="str">
        <f>IF(MAX(DB16,DC16)&gt;0,MAX(DB16,DC16),"")</f>
        <v/>
      </c>
      <c r="N16" s="19" t="str">
        <f>IF(M16="","",IF(M16=DB16,"(Prelim)",IF(M16=DC16,"(Final)")))</f>
        <v/>
      </c>
      <c r="O16" s="14" t="str">
        <f>IF(M16="","",IF(M16=DB16,IF(M16+IF(K16="",0,K16)=NC16,$ML$1,IF(M16+IF(K16="",0,K16)=MG16,$LP$1,IF(M16+IF(K16="",0,K16)=LK16,$KT$1,IF(M16+IF(K16="",0,K16)=KO16,$JX$1,IF(M16+IF(K16="",0,K16)=JS16,$JB$1,IF(M16+IF(K16="",0,K16)=IW16,$IF$1,IF(M16+IF(K16="",0,K16)=IA16,$HJ$1,IF(M16+IF(K16="",0,K16)=HE16,$GN$1,IF(M16+IF(K16="",0,K16)=GI16,$FR$1,IF(M16+IF(K16="",0,K16)=FM16,$EV$1,IF(M16+IF(K16="",0,K16)=EQ16,$DZ$1,IF(M16+IF(K16="",0,K16)=DU16,$DD$1,IF(M16+IF(K16="",0,K16)=NB16,$ML$1,IF(M16+IF(K16="",0,K16)=MF16,$LP$1,IF(M16+IF(K16="",0,K16)=LJ16,$KT$1,IF(M16+IF(K16="",0,K16)=KN16,$JX$1,IF(M16+IF(K16="",0,K16)=JR16,$JB$1,IF(M16+IF(K16="",0,K16)=IV16,$IF$1,IF(M16+IF(K16="",0,K16)=HZ16,$HJ$1,IF(M16+IF(K16="",0,K16)=HD16,$GN$1,IF(M16+IF(K16="",0,K16)=GH16,$FR$1,IF(M16+IF(K16="",0,K16)=FL16,$EV$1,IF(M16+IF(K16="",0,K16)=EP16,$DZ$1,IF(M16+IF(K16="",0,K16)=DT16,$DD$1))))))))))))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</f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>IF(SUM(P16:S16)-T16&gt;0,SUM(P16:S16)-T16,"")</f>
        <v/>
      </c>
      <c r="AL16" s="11" t="str">
        <f>IF(W16&gt;0,W16,"")</f>
        <v/>
      </c>
      <c r="AM16" s="11" t="str">
        <f>IF(SUM(U16:X16)-Y16&gt;0,SUM(U16:X16)-Y16,"")</f>
        <v/>
      </c>
      <c r="AN16" s="11" t="str">
        <f>IF(AB16&gt;0,AB16,"")</f>
        <v/>
      </c>
      <c r="AO16" s="11" t="str">
        <f>IF(SUM(Z16:AC16)-AD16&gt;0,SUM(Z16:AC16)-AD16,"")</f>
        <v/>
      </c>
      <c r="AP16" s="11" t="str">
        <f>IF(AK16="",IF(MAX(AM16,AO16)&gt;0,MAX(AM16,AO16),""),MAX(AM16,AO16)+AK16)</f>
        <v/>
      </c>
      <c r="AQ16" s="11" t="str">
        <f>IF(AG16&gt;0,AG16,"")</f>
        <v/>
      </c>
      <c r="AR16" s="11" t="str">
        <f>IF(SUM(AE16:AH16)-AI16&gt;0,SUM(AE16:AH16)-AI16,"")</f>
        <v/>
      </c>
      <c r="AS16" s="11" t="str">
        <f>IF(SUM(AP16,AR16)&gt;0,SUM(AP16,AR16),"")</f>
        <v/>
      </c>
      <c r="AT16" s="41">
        <v>17.3</v>
      </c>
      <c r="AU16" s="41">
        <v>9.6</v>
      </c>
      <c r="AV16" s="41">
        <v>2</v>
      </c>
      <c r="AW16" s="41">
        <v>15.7</v>
      </c>
      <c r="AX16" s="41">
        <v>0</v>
      </c>
      <c r="AY16" s="41">
        <v>14.4</v>
      </c>
      <c r="AZ16" s="41">
        <v>8.4</v>
      </c>
      <c r="BA16" s="41">
        <v>12.2</v>
      </c>
      <c r="BB16" s="41">
        <v>15.2</v>
      </c>
      <c r="BC16" s="41">
        <v>0</v>
      </c>
      <c r="BD16" s="41"/>
      <c r="BE16" s="41"/>
      <c r="BF16" s="41"/>
      <c r="BG16" s="41"/>
      <c r="BH16" s="41"/>
      <c r="BI16" s="41">
        <v>15.1</v>
      </c>
      <c r="BJ16" s="41">
        <v>9</v>
      </c>
      <c r="BK16" s="41">
        <v>12.2</v>
      </c>
      <c r="BL16" s="41">
        <v>14.55</v>
      </c>
      <c r="BM16" s="41">
        <v>0</v>
      </c>
      <c r="BN16" s="45"/>
      <c r="BO16" s="14">
        <f>IF(SUM(AT16:AW16)-AX16&gt;0,SUM(AT16:AW16)-AX16,"")</f>
        <v>44.599999999999994</v>
      </c>
      <c r="BP16" s="14">
        <f>IF(BA16&gt;0,BA16,"")</f>
        <v>12.2</v>
      </c>
      <c r="BQ16" s="14">
        <f>IF(SUM(AY16:BB16)-BC16&gt;0,SUM(AY16:BB16)-BC16,"")</f>
        <v>50.2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94.8</v>
      </c>
      <c r="BU16" s="14">
        <f>IF(BK16&gt;0,BK16,"")</f>
        <v>12.2</v>
      </c>
      <c r="BV16" s="14">
        <f>IF(SUM(BI16:BL16)-BM16&gt;0,SUM(BI16:BL16)-BM16,"")</f>
        <v>50.849999999999994</v>
      </c>
      <c r="BW16" s="14">
        <f>IF(SUM(BT16,BV16)&gt;0,SUM(BT16,BV16),"")</f>
        <v>145.64999999999998</v>
      </c>
      <c r="BX16" s="37">
        <v>14.5</v>
      </c>
      <c r="BY16" s="37">
        <v>8.9</v>
      </c>
      <c r="BZ16" s="37">
        <v>2.5</v>
      </c>
      <c r="CA16" s="37">
        <v>15.39</v>
      </c>
      <c r="CB16" s="37">
        <v>0</v>
      </c>
      <c r="CC16" s="37">
        <v>12.9</v>
      </c>
      <c r="CD16" s="37">
        <v>8.3000000000000007</v>
      </c>
      <c r="CE16" s="37">
        <v>13.5</v>
      </c>
      <c r="CF16" s="37">
        <v>15.5</v>
      </c>
      <c r="CG16" s="37">
        <v>0</v>
      </c>
      <c r="CH16" s="37"/>
      <c r="CI16" s="37"/>
      <c r="CJ16" s="37"/>
      <c r="CK16" s="37"/>
      <c r="CL16" s="37"/>
      <c r="CM16" s="37">
        <v>11.7</v>
      </c>
      <c r="CN16" s="37">
        <v>7.6</v>
      </c>
      <c r="CO16" s="37">
        <v>11.9</v>
      </c>
      <c r="CP16" s="37">
        <v>13.89</v>
      </c>
      <c r="CQ16" s="37">
        <v>0</v>
      </c>
      <c r="CR16" s="44"/>
      <c r="CS16" s="11">
        <f>IF(SUM(BX16:CA16)-CB16&gt;0,SUM(BX16:CA16)-CB16,"")</f>
        <v>41.29</v>
      </c>
      <c r="CT16" s="11">
        <f>IF(CE16&gt;0,CE16,"")</f>
        <v>13.5</v>
      </c>
      <c r="CU16" s="11">
        <f>IF(SUM(CC16:CF16)-CG16&gt;0,SUM(CC16:CF16)-CG16,"")</f>
        <v>50.2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91.490000000000009</v>
      </c>
      <c r="CY16" s="11">
        <f>IF(CO16&gt;0,CO16,"")</f>
        <v>11.9</v>
      </c>
      <c r="CZ16" s="11">
        <f>IF(SUM(CM16:CP16)-CQ16&gt;0,SUM(CM16:CP16)-CQ16,"")</f>
        <v>45.089999999999996</v>
      </c>
      <c r="DA16" s="11">
        <f>IF(SUM(CX16,CZ16)&gt;0,SUM(CX16,CZ16),"")</f>
        <v>136.58000000000001</v>
      </c>
      <c r="DB16" s="18" t="str">
        <f>IF(K16&gt;=0.001,IF(MAX(DT16,DU16,EP16,EQ16,FL16,FM16,GH16,GI16,HD16,HE16,HZ16,IA16,IV16,IW16,JR16,JS16,KN16,KO16,LJ16,LK16,MF16,MG16,NB16,NC16)-IF(K16="",0,K16)&gt;0.001,MAX(DT16,DU16,EP16,EQ16,FL16,FM16,GH16,GI16,HD16,HE16,HZ16,IA16,IV16,IW16,JR16,JS16,KN16,KO16,LJ16,LK16,MF16,MG16,NB16,NC16)-IF(K16="",0,K16),""),"")</f>
        <v/>
      </c>
      <c r="DC16" s="18" t="str">
        <f>IF(K16&gt;=0.001,IF(MAX(DX16,ET16,FP16,GL16,HH16,ID16,IZ16,JV16,KR16,LN16,MJ16,NF16)-IF(K16="",0,K16)&gt;0.001,MAX(DX16,ET16,FP16,GL16,HH16,ID16,IZ16,JV16,KR16,LN16,MJ16,NF16)-IF(K16="",0,K16),""),"")</f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7">
        <f>IF($CR16="P",BX16,(BX16+AT16)/2)</f>
        <v>15.9</v>
      </c>
      <c r="NI16" s="37">
        <f>IF($CR16="P",BY16,(BY16+AU16)/2)</f>
        <v>9.25</v>
      </c>
      <c r="NJ16" s="37">
        <f>IF($CR16="P",BZ16,(BZ16+AV16)/2)</f>
        <v>2.25</v>
      </c>
      <c r="NK16" s="37">
        <f>IF($CR16="P",CA16,(CA16+AW16)/2)</f>
        <v>15.545</v>
      </c>
      <c r="NL16" s="37">
        <f>IF($CR16="P",CB16,(CB16+AX16)/2)</f>
        <v>0</v>
      </c>
      <c r="NM16" s="37">
        <f>IF($CR16="P",CC16,(CC16+AY16)/2)</f>
        <v>13.65</v>
      </c>
      <c r="NN16" s="37">
        <f>IF($CR16="P",CD16,(CD16+AZ16)/2)</f>
        <v>8.3500000000000014</v>
      </c>
      <c r="NO16" s="37">
        <f>IF($CR16="P",CE16,(CE16+BA16)/2)</f>
        <v>12.85</v>
      </c>
      <c r="NP16" s="37">
        <f>IF($CR16="P",CF16,(CF16+BB16)/2)</f>
        <v>15.35</v>
      </c>
      <c r="NQ16" s="37">
        <f>IF($CR16="P",CG16,(CG16+BC16)/2)</f>
        <v>0</v>
      </c>
      <c r="NR16" s="37">
        <f>IF($CR16="P",CH16,(CH16+BD16)/2)</f>
        <v>0</v>
      </c>
      <c r="NS16" s="37">
        <f>IF($CR16="P",CI16,(CI16+BE16)/2)</f>
        <v>0</v>
      </c>
      <c r="NT16" s="37">
        <f>IF($CR16="P",CJ16,(CJ16+BF16)/2)</f>
        <v>0</v>
      </c>
      <c r="NU16" s="37">
        <f>IF($CR16="P",CK16,(CK16+BG16)/2)</f>
        <v>0</v>
      </c>
      <c r="NV16" s="37">
        <f>IF($CR16="P",CL16,(CL16+BH16)/2)</f>
        <v>0</v>
      </c>
      <c r="NW16" s="37">
        <f>IF($CR16="P",CM16,(CM16+BI16)/2)</f>
        <v>13.399999999999999</v>
      </c>
      <c r="NX16" s="37">
        <f>IF($CR16="P",CN16,(CN16+BJ16)/2)</f>
        <v>8.3000000000000007</v>
      </c>
      <c r="NY16" s="37">
        <f>IF($CR16="P",CO16,(CO16+BK16)/2)</f>
        <v>12.05</v>
      </c>
      <c r="NZ16" s="37">
        <f>IF($CR16="P",CP16,(CP16+BL16)/2)</f>
        <v>14.22</v>
      </c>
      <c r="OA16" s="37">
        <f>IF($CR16="P",CQ16,(CQ16+BM16)/2)</f>
        <v>0</v>
      </c>
      <c r="OB16" s="44" t="s">
        <v>46</v>
      </c>
      <c r="OC16" s="11">
        <f>IF(SUM(NH16:NK16)-NL16&gt;0,SUM(NH16:NK16)-NL16,"")</f>
        <v>42.945</v>
      </c>
      <c r="OD16" s="11">
        <f>IF(NO16&gt;0,NO16,"")</f>
        <v>12.85</v>
      </c>
      <c r="OE16" s="11">
        <f>IF(SUM(NM16:NP16)-NQ16&gt;0,SUM(NM16:NP16)-NQ16,"")</f>
        <v>50.2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93.14500000000001</v>
      </c>
      <c r="OI16" s="11">
        <f>IF(NY16&gt;0,NY16,"")</f>
        <v>12.05</v>
      </c>
      <c r="OJ16" s="11">
        <f t="shared" ref="OJ16" si="12">IF(SUM(NW16:NZ16)-OA16&gt;0,SUM(NW16:NZ16)-OA16,"")</f>
        <v>47.97</v>
      </c>
      <c r="OK16" s="11">
        <f t="shared" ref="OK16" si="13">IF(SUM(OH16,OJ16)&gt;0,SUM(OH16,OJ16),"")</f>
        <v>141.11500000000001</v>
      </c>
    </row>
    <row r="17" spans="1:401" x14ac:dyDescent="0.2">
      <c r="A17" s="5" t="str" cm="1">
        <f t="array" ref="A17">IF(AND(F17="P",G17="P"),SUMPRODUCT((F$4:F$37="P")*(G$4:G$37="P")*(E$4:E$37&gt;E17))+1,IF(G17="P",SUMPRODUCT((F$4:F$37="")*(G$4:G$37="P")*(E$4:E$37&gt;E17))+1+SUMPRODUCT((F$4:F$37="P")*(G$4:G$37="P")),""))</f>
        <v/>
      </c>
      <c r="B17" s="6" t="s">
        <v>185</v>
      </c>
      <c r="C17" s="7" t="s">
        <v>3</v>
      </c>
      <c r="D17" s="5">
        <v>2002</v>
      </c>
      <c r="E17" s="15">
        <f>SUM(I17:M17)+I17*0.0000001</f>
        <v>100.75000515399999</v>
      </c>
      <c r="F17" s="3" t="str">
        <f>IF(OR(AND(AL17&gt;=AS$39,AM17&gt;=AS$43,AL17&lt;&gt;"",AJ17=""),AND(AN17&gt;=AS$39,AO17&gt;=AS$43,AN17&lt;&gt;"",AN17=""),AND(AQ17&gt;=AS$39,AR17&gt;=AS$43,AQ17&lt;&gt;"",AJ17=""),AND(BP17&gt;=BW$39,BQ17&gt;=BW$43,BP17&lt;&gt;"",BN17=""),AND(BR17&gt;=BW$39,BS17&gt;=BW$43,BR17&lt;&gt;"",BN17=""),AND(BU17&gt;=BW$39,BV17&gt;=BW$43,BU17&lt;&gt;"",BN17=""),AND(CT17&gt;=DA$39,CU17&gt;=DA$43,CT17&lt;&gt;"",CR17=""),AND(CV17&gt;=DA$39,CW17&gt;=DA$43,CV17&lt;&gt;"",CR17=""),AND(CY17&gt;=DA$39,CZ17&gt;=DA$43,CY17&lt;&gt;"",CR17=""),AND(DS17&gt;=DY$39,DU17&gt;=DY$43,DS17&lt;&gt;""),AND(DW17&gt;=DY$39,DX17&gt;=DY$43,DW17&lt;&gt;""),AND(EO17&gt;=EU$39,EQ17&gt;=EU$43,EO17&lt;&gt;""),AND(ES17&gt;=EU$39,ET17&gt;=EU$43,ES17&lt;&gt;""),AND(FK17&gt;=FQ$39,FM17&gt;=FQ$43,FK17&lt;&gt;""),AND(FO17&gt;=FQ$39,FP17&gt;=FQ$43,FO17&lt;&gt;""),AND(GG17&gt;=GM$39,GI17&gt;=GM$43,GG17&lt;&gt;""),AND(GK17&gt;=GM$39,GL17&gt;=GM$43,GK17&lt;&gt;""),AND(HC17&gt;=HI$39,HE17&gt;=HI$43,HC17&lt;&gt;""),AND(HG17&gt;=HI$39,HH17&gt;=HI$43,HG17&lt;&gt;""),AND(HY17&gt;=IE$39,IA17&gt;=IE$43,HY17&lt;&gt;""),AND(IC17&gt;=IE$39,ID17&gt;=IE$43,IC17&lt;&gt;""),AND(IU17&gt;=JA$39,IW17&gt;=JA$43,IU17&lt;&gt;""),AND(IY17&gt;=JA$39,IZ17&gt;=JA$43,IY17&lt;&gt;""),AND(JQ17&gt;=JW$39,JS17&gt;=JW$43,JQ17&lt;&gt;""),AND(JU17&gt;=JW$39,JV17&gt;=JW$43,JU17&lt;&gt;""),AND(KM17&gt;=KS$39,KO17&gt;=KS$43,KM17&lt;&gt;""),AND(KQ17&gt;=KS$39,KR17&gt;=KS$43,KQ17&lt;&gt;""),AND(LI17&gt;=LO$39,LK17&gt;=LO$43,LI17&lt;&gt;""),AND(LM17&gt;=LO$39,LN17&gt;=LO$43,LM17&lt;&gt;""),AND(ME17&gt;=MK$39,MG17&gt;=MK$43,ME17&lt;&gt;""),AND(MI17&gt;=MK$39,MJ17&gt;=MK$43,MI17&lt;&gt;""),AND(NA17&gt;=NG$39,NC17&gt;=NG$43,NA17&lt;&gt;""),AND(NE17&gt;=NG$39,NF17&gt;=NG$43,NE17&lt;&gt;"")),"P","")</f>
        <v/>
      </c>
      <c r="G17" s="3" t="str">
        <f>IF(OR(AND(AM17&gt;=AS$43,AL17&lt;&gt;"",AJ17=""),AND(AO17&gt;=AS$43,AN17&lt;&gt;"",AN17=""),AND(AR17&gt;=AS$43,AQ17&lt;&gt;"",AJ17=""),AND(BQ17&gt;=BW$43,BP17&lt;&gt;"",BN17=""),AND(BS17&gt;=BW$43,BR17&lt;&gt;"",BN17=""),AND(BV17&gt;=BW$43,BU17&lt;&gt;"",BN17=""),AND(CU17&gt;=DA$43,CT17&lt;&gt;"",CR17=""),AND(CW17&gt;=DA$43,CV17&lt;&gt;"",CR17=""),AND(CZ17&gt;=DA$43,CY17&lt;&gt;"",CR17=""),AND(DU17&gt;=DY$43,DS17&lt;&gt;""),AND(DX17&gt;=DY$43,DW17&lt;&gt;""),AND(EQ17&gt;=EU$43,EO17&lt;&gt;""),AND(ET17&gt;=EU$43,ES17&lt;&gt;""),AND(FM17&gt;=FQ$43,FK17&lt;&gt;""),AND(FP17&gt;=FQ$43,FO17&lt;&gt;""),AND(GI17&gt;=GM$43,GG17&lt;&gt;""),AND(GL17&gt;=GM$43,GK17&lt;&gt;""),AND(HE17&gt;=HI$43,HC17&lt;&gt;""),AND(HH17&gt;=HI$43,HG17&lt;&gt;""),AND(IA17&gt;=IE$43,HY17&lt;&gt;""),AND(ID17&gt;=IE$43,IC17&lt;&gt;""),AND(IW17&gt;=JA$43,IU17&lt;&gt;""),AND(IZ17&gt;=JA$43,IY17&lt;&gt;""),AND(JS17&gt;=JW$43,JQ17&lt;&gt;""),AND(JV17&gt;=JW$43,JU17&lt;&gt;""),AND(KO17&gt;=KS$43,KM17&lt;&gt;""),AND(KR17&gt;=KS$43,KQ17&lt;&gt;""),AND(LK17&gt;=LO$43,LI17&lt;&gt;""),AND(LN17&gt;=LO$43,LM17&lt;&gt;""),AND(MG17&gt;=MK$43,ME17&lt;&gt;""),AND(MJ17&gt;=MK$43,MI17&lt;&gt;""),AND(NC17&gt;=NG$43,NA17&lt;&gt;""),AND(NF17&gt;=NG$43,NE17&lt;&gt;"")),"P","")</f>
        <v/>
      </c>
      <c r="H17" s="66" t="str">
        <f>IF(F17="P","National Team",IF(G17="P","No DD",""))</f>
        <v/>
      </c>
      <c r="I17" s="14">
        <f>MAX(AM17,AO17,AR17,BQ17,BS17,BV17,CU17,CW17,CZ17)</f>
        <v>51.54</v>
      </c>
      <c r="J17" s="14" t="str">
        <f>IF(I17=0,"",IF(OR(I17=CW17,I17=CU17,I17=CZ17),$BX$1,IF(OR(I17=BS17,I17=BQ17,I17=BV17),$AT$1,IF(OR(I17=AO17,I17=AM17,I17=AR17),$P$1,""))))</f>
        <v>2022 Nationals</v>
      </c>
      <c r="K17" s="14">
        <f>IF(COUNT(AM17,AO17,AR17,BQ17,BS17,BV17,CU17,CW17,CZ17)&gt;1,LARGE((AM17,AO17,AR17,BQ17,BS17,BV17,CU17,CW17,CZ17),2),0)</f>
        <v>49.21</v>
      </c>
      <c r="L17" s="14" t="str">
        <f>IF(K17=0,"",IF(OR(K17=CW17,K17=CU17,K17=CZ17),$BX$1,IF(OR(K17=BS17,K17=BQ17,K17=BV17),$AT$1,IF(OR(K17=AO17,K17=AM17,K17=AR17),$P$1,""))))</f>
        <v>2022 Nationals</v>
      </c>
      <c r="M17" s="14" t="str">
        <f>IF(MAX(DB17,DC17)&gt;0,MAX(DB17,DC17),"")</f>
        <v/>
      </c>
      <c r="N17" s="19" t="str">
        <f>IF(M17="","",IF(M17=DB17,"(Prelim)",IF(M17=DC17,"(Final)")))</f>
        <v/>
      </c>
      <c r="O17" s="14" t="str">
        <f>IF(M17="","",IF(M17=DB17,IF(M17+IF(K17="",0,K17)=NC17,$ML$1,IF(M17+IF(K17="",0,K17)=MG17,$LP$1,IF(M17+IF(K17="",0,K17)=LK17,$KT$1,IF(M17+IF(K17="",0,K17)=KO17,$JX$1,IF(M17+IF(K17="",0,K17)=JS17,$JB$1,IF(M17+IF(K17="",0,K17)=IW17,$IF$1,IF(M17+IF(K17="",0,K17)=IA17,$HJ$1,IF(M17+IF(K17="",0,K17)=HE17,$GN$1,IF(M17+IF(K17="",0,K17)=GI17,$FR$1,IF(M17+IF(K17="",0,K17)=FM17,$EV$1,IF(M17+IF(K17="",0,K17)=EQ17,$DZ$1,IF(M17+IF(K17="",0,K17)=DU17,$DD$1,IF(M17+IF(K17="",0,K17)=NB17,$ML$1,IF(M17+IF(K17="",0,K17)=MF17,$LP$1,IF(M17+IF(K17="",0,K17)=LJ17,$KT$1,IF(M17+IF(K17="",0,K17)=KN17,$JX$1,IF(M17+IF(K17="",0,K17)=JR17,$JB$1,IF(M17+IF(K17="",0,K17)=IV17,$IF$1,IF(M17+IF(K17="",0,K17)=HZ17,$HJ$1,IF(M17+IF(K17="",0,K17)=HD17,$GN$1,IF(M17+IF(K17="",0,K17)=GH17,$FR$1,IF(M17+IF(K17="",0,K17)=FL17,$EV$1,IF(M17+IF(K17="",0,K17)=EP17,$DZ$1,IF(M17+IF(K17="",0,K17)=DT17,$DD$1))))))))))))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</f>
        <v/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44"/>
      <c r="AK17" s="11" t="str">
        <f>IF(SUM(P17:S17)-T17&gt;0,SUM(P17:S17)-T17,"")</f>
        <v/>
      </c>
      <c r="AL17" s="11" t="str">
        <f>IF(W17&gt;0,W17,"")</f>
        <v/>
      </c>
      <c r="AM17" s="11" t="str">
        <f>IF(SUM(U17:X17)-Y17&gt;0,SUM(U17:X17)-Y17,"")</f>
        <v/>
      </c>
      <c r="AN17" s="11" t="str">
        <f>IF(AB17&gt;0,AB17,"")</f>
        <v/>
      </c>
      <c r="AO17" s="11" t="str">
        <f>IF(SUM(Z17:AC17)-AD17&gt;0,SUM(Z17:AC17)-AD17,"")</f>
        <v/>
      </c>
      <c r="AP17" s="11" t="str">
        <f>IF(AK17="",IF(MAX(AM17,AO17)&gt;0,MAX(AM17,AO17),""),MAX(AM17,AO17)+AK17)</f>
        <v/>
      </c>
      <c r="AQ17" s="11" t="str">
        <f>IF(AG17&gt;0,AG17,"")</f>
        <v/>
      </c>
      <c r="AR17" s="11" t="str">
        <f>IF(SUM(AE17:AH17)-AI17&gt;0,SUM(AE17:AH17)-AI17,"")</f>
        <v/>
      </c>
      <c r="AS17" s="11" t="str">
        <f>IF(SUM(AP17,AR17)&gt;0,SUM(AP17,AR17),"")</f>
        <v/>
      </c>
      <c r="AT17" s="41">
        <v>17</v>
      </c>
      <c r="AU17" s="41">
        <v>9.4</v>
      </c>
      <c r="AV17" s="41">
        <v>2.9</v>
      </c>
      <c r="AW17" s="41">
        <v>16.04</v>
      </c>
      <c r="AX17" s="41">
        <v>0</v>
      </c>
      <c r="AY17" s="41">
        <v>15.1</v>
      </c>
      <c r="AZ17" s="41">
        <v>9.4</v>
      </c>
      <c r="BA17" s="41">
        <v>11.6</v>
      </c>
      <c r="BB17" s="41">
        <v>15.44</v>
      </c>
      <c r="BC17" s="41">
        <v>0</v>
      </c>
      <c r="BD17" s="41"/>
      <c r="BE17" s="41"/>
      <c r="BF17" s="41"/>
      <c r="BG17" s="41"/>
      <c r="BH17" s="41"/>
      <c r="BI17" s="41">
        <v>14.3</v>
      </c>
      <c r="BJ17" s="41">
        <v>8.6999999999999993</v>
      </c>
      <c r="BK17" s="41">
        <v>11.4</v>
      </c>
      <c r="BL17" s="41">
        <v>14.81</v>
      </c>
      <c r="BM17" s="41">
        <v>0</v>
      </c>
      <c r="BN17" s="45"/>
      <c r="BO17" s="14">
        <f>IF(SUM(AT17:AW17)-AX17&gt;0,SUM(AT17:AW17)-AX17,"")</f>
        <v>45.339999999999996</v>
      </c>
      <c r="BP17" s="14">
        <f>IF(BA17&gt;0,BA17,"")</f>
        <v>11.6</v>
      </c>
      <c r="BQ17" s="14">
        <f>IF(SUM(AY17:BB17)-BC17&gt;0,SUM(AY17:BB17)-BC17,"")</f>
        <v>51.54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96.88</v>
      </c>
      <c r="BU17" s="14">
        <f>IF(BK17&gt;0,BK17,"")</f>
        <v>11.4</v>
      </c>
      <c r="BV17" s="14">
        <f>IF(SUM(BI17:BL17)-BM17&gt;0,SUM(BI17:BL17)-BM17,"")</f>
        <v>49.21</v>
      </c>
      <c r="BW17" s="14">
        <f>IF(SUM(BT17,BV17)&gt;0,SUM(BT17,BV17),"")</f>
        <v>146.09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>IF(SUM(BX17:CA17)-CB17&gt;0,SUM(BX17:CA17)-CB17,"")</f>
        <v/>
      </c>
      <c r="CT17" s="11" t="str">
        <f>IF(CE17&gt;0,CE17,"")</f>
        <v/>
      </c>
      <c r="CU17" s="11" t="str">
        <f>IF(SUM(CC17:CF17)-CG17&gt;0,SUM(CC17:CF17)-CG17,"")</f>
        <v/>
      </c>
      <c r="CV17" s="11" t="str">
        <f>IF(CJ17&gt;0,CJ17,"")</f>
        <v/>
      </c>
      <c r="CW17" s="11" t="str">
        <f>IF(SUM(CH17:CK17)-CL17&gt;0,SUM(CH17:CK17)-CL17,"")</f>
        <v/>
      </c>
      <c r="CX17" s="11" t="str">
        <f>IF(CS17="",IF(MAX(CU17,CW17)&gt;0,MAX(CU17,CW17),""),MAX(CU17,CW17)+CS17)</f>
        <v/>
      </c>
      <c r="CY17" s="11" t="str">
        <f>IF(CO17&gt;0,CO17,"")</f>
        <v/>
      </c>
      <c r="CZ17" s="11" t="str">
        <f>IF(SUM(CM17:CP17)-CQ17&gt;0,SUM(CM17:CP17)-CQ17,"")</f>
        <v/>
      </c>
      <c r="DA17" s="11" t="str">
        <f>IF(SUM(CX17,CZ17)&gt;0,SUM(CX17,CZ17),"")</f>
        <v/>
      </c>
      <c r="DB17" s="18" t="str">
        <f>IF(K17&gt;=0.001,IF(MAX(DT17,DU17,EP17,EQ17,FL17,FM17,GH17,GI17,HD17,HE17,HZ17,IA17,IV17,IW17,JR17,JS17,KN17,KO17,LJ17,LK17,MF17,MG17,NB17,NC17)-IF(K17="",0,K17)&gt;0.001,MAX(DT17,DU17,EP17,EQ17,FL17,FM17,GH17,GI17,HD17,HE17,HZ17,IA17,IV17,IW17,JR17,JS17,KN17,KO17,LJ17,LK17,MF17,MG17,NB17,NC17)-IF(K17="",0,K17),""),"")</f>
        <v/>
      </c>
      <c r="DC17" s="18" t="str">
        <f>IF(K17&gt;=0.001,IF(MAX(DX17,ET17,FP17,GL17,HH17,ID17,IZ17,JV17,KR17,LN17,MJ17,NF17)-IF(K17="",0,K17)&gt;0.001,MAX(DX17,ET17,FP17,GL17,HH17,ID17,IZ17,JV17,KR17,LN17,MJ17,NF17)-IF(K17="",0,K17),""),"")</f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7">
        <f>IF($CR17="P",BX17,(BX17+AT17)/2)</f>
        <v>8.5</v>
      </c>
      <c r="NI17" s="37">
        <f>IF($CR17="P",BY17,(BY17+AU17)/2)</f>
        <v>4.7</v>
      </c>
      <c r="NJ17" s="37">
        <f>IF($CR17="P",BZ17,(BZ17+AV17)/2)</f>
        <v>1.45</v>
      </c>
      <c r="NK17" s="37">
        <f>IF($CR17="P",CA17,(CA17+AW17)/2)</f>
        <v>8.02</v>
      </c>
      <c r="NL17" s="37">
        <f>IF($CR17="P",CB17,(CB17+AX17)/2)</f>
        <v>0</v>
      </c>
      <c r="NM17" s="37">
        <f>IF($CR17="P",CC17,(CC17+AY17)/2)</f>
        <v>7.55</v>
      </c>
      <c r="NN17" s="37">
        <f>IF($CR17="P",CD17,(CD17+AZ17)/2)</f>
        <v>4.7</v>
      </c>
      <c r="NO17" s="37">
        <f>IF($CR17="P",CE17,(CE17+BA17)/2)</f>
        <v>5.8</v>
      </c>
      <c r="NP17" s="37">
        <f>IF($CR17="P",CF17,(CF17+BB17)/2)</f>
        <v>7.72</v>
      </c>
      <c r="NQ17" s="37">
        <f>IF($CR17="P",CG17,(CG17+BC17)/2)</f>
        <v>0</v>
      </c>
      <c r="NR17" s="37">
        <f>IF($CR17="P",CH17,(CH17+BD17)/2)</f>
        <v>0</v>
      </c>
      <c r="NS17" s="37">
        <f>IF($CR17="P",CI17,(CI17+BE17)/2)</f>
        <v>0</v>
      </c>
      <c r="NT17" s="37">
        <f>IF($CR17="P",CJ17,(CJ17+BF17)/2)</f>
        <v>0</v>
      </c>
      <c r="NU17" s="37">
        <f>IF($CR17="P",CK17,(CK17+BG17)/2)</f>
        <v>0</v>
      </c>
      <c r="NV17" s="37">
        <f>IF($CR17="P",CL17,(CL17+BH17)/2)</f>
        <v>0</v>
      </c>
      <c r="NW17" s="37">
        <f>IF($CR17="P",CM17,(CM17+BI17)/2)</f>
        <v>7.15</v>
      </c>
      <c r="NX17" s="37">
        <f>IF($CR17="P",CN17,(CN17+BJ17)/2)</f>
        <v>4.3499999999999996</v>
      </c>
      <c r="NY17" s="37">
        <f>IF($CR17="P",CO17,(CO17+BK17)/2)</f>
        <v>5.7</v>
      </c>
      <c r="NZ17" s="37">
        <f>IF($CR17="P",CP17,(CP17+BL17)/2)</f>
        <v>7.4050000000000002</v>
      </c>
      <c r="OA17" s="37">
        <f>IF($CR17="P",CQ17,(CQ17+BM17)/2)</f>
        <v>0</v>
      </c>
      <c r="OB17" s="44" t="s">
        <v>46</v>
      </c>
      <c r="OC17" s="11">
        <f>IF(SUM(NH17:NK17)-NL17&gt;0,SUM(NH17:NK17)-NL17,"")</f>
        <v>22.669999999999998</v>
      </c>
      <c r="OD17" s="11">
        <f>IF(NO17&gt;0,NO17,"")</f>
        <v>5.8</v>
      </c>
      <c r="OE17" s="11">
        <f>IF(SUM(NM17:NP17)-NQ17&gt;0,SUM(NM17:NP17)-NQ17,"")</f>
        <v>25.77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48.44</v>
      </c>
      <c r="OI17" s="11">
        <f>IF(NY17&gt;0,NY17,"")</f>
        <v>5.7</v>
      </c>
      <c r="OJ17" s="11">
        <f t="shared" ref="OJ17" si="14">IF(SUM(NW17:NZ17)-OA17&gt;0,SUM(NW17:NZ17)-OA17,"")</f>
        <v>24.605</v>
      </c>
      <c r="OK17" s="11">
        <f t="shared" ref="OK17" si="15">IF(SUM(OH17,OJ17)&gt;0,SUM(OH17,OJ17),"")</f>
        <v>73.045000000000002</v>
      </c>
    </row>
    <row r="18" spans="1:401" x14ac:dyDescent="0.2">
      <c r="A18" s="5" t="str" cm="1">
        <f t="array" ref="A18">IF(AND(F18="P",G18="P"),SUMPRODUCT((F$4:F$37="P")*(G$4:G$37="P")*(E$4:E$37&gt;E18))+1,IF(G18="P",SUMPRODUCT((F$4:F$37="")*(G$4:G$37="P")*(E$4:E$37&gt;E18))+1+SUMPRODUCT((F$4:F$37="P")*(G$4:G$37="P")),""))</f>
        <v/>
      </c>
      <c r="B18" s="6" t="s">
        <v>186</v>
      </c>
      <c r="C18" s="7" t="s">
        <v>3</v>
      </c>
      <c r="D18" s="5">
        <v>2004</v>
      </c>
      <c r="E18" s="15">
        <f>SUM(I18:M18)+I18*0.0000001</f>
        <v>99.780005028000005</v>
      </c>
      <c r="F18" s="3" t="str">
        <f>IF(OR(AND(AL18&gt;=AS$39,AM18&gt;=AS$43,AL18&lt;&gt;"",AJ18=""),AND(AN18&gt;=AS$39,AO18&gt;=AS$43,AN18&lt;&gt;"",AN18=""),AND(AQ18&gt;=AS$39,AR18&gt;=AS$43,AQ18&lt;&gt;"",AJ18=""),AND(BP18&gt;=BW$39,BQ18&gt;=BW$43,BP18&lt;&gt;"",BN18=""),AND(BR18&gt;=BW$39,BS18&gt;=BW$43,BR18&lt;&gt;"",BN18=""),AND(BU18&gt;=BW$39,BV18&gt;=BW$43,BU18&lt;&gt;"",BN18=""),AND(CT18&gt;=DA$39,CU18&gt;=DA$43,CT18&lt;&gt;"",CR18=""),AND(CV18&gt;=DA$39,CW18&gt;=DA$43,CV18&lt;&gt;"",CR18=""),AND(CY18&gt;=DA$39,CZ18&gt;=DA$43,CY18&lt;&gt;"",CR18=""),AND(DS18&gt;=DY$39,DU18&gt;=DY$43,DS18&lt;&gt;""),AND(DW18&gt;=DY$39,DX18&gt;=DY$43,DW18&lt;&gt;""),AND(EO18&gt;=EU$39,EQ18&gt;=EU$43,EO18&lt;&gt;""),AND(ES18&gt;=EU$39,ET18&gt;=EU$43,ES18&lt;&gt;""),AND(FK18&gt;=FQ$39,FM18&gt;=FQ$43,FK18&lt;&gt;""),AND(FO18&gt;=FQ$39,FP18&gt;=FQ$43,FO18&lt;&gt;""),AND(GG18&gt;=GM$39,GI18&gt;=GM$43,GG18&lt;&gt;""),AND(GK18&gt;=GM$39,GL18&gt;=GM$43,GK18&lt;&gt;""),AND(HC18&gt;=HI$39,HE18&gt;=HI$43,HC18&lt;&gt;""),AND(HG18&gt;=HI$39,HH18&gt;=HI$43,HG18&lt;&gt;""),AND(HY18&gt;=IE$39,IA18&gt;=IE$43,HY18&lt;&gt;""),AND(IC18&gt;=IE$39,ID18&gt;=IE$43,IC18&lt;&gt;""),AND(IU18&gt;=JA$39,IW18&gt;=JA$43,IU18&lt;&gt;""),AND(IY18&gt;=JA$39,IZ18&gt;=JA$43,IY18&lt;&gt;""),AND(JQ18&gt;=JW$39,JS18&gt;=JW$43,JQ18&lt;&gt;""),AND(JU18&gt;=JW$39,JV18&gt;=JW$43,JU18&lt;&gt;""),AND(KM18&gt;=KS$39,KO18&gt;=KS$43,KM18&lt;&gt;""),AND(KQ18&gt;=KS$39,KR18&gt;=KS$43,KQ18&lt;&gt;""),AND(LI18&gt;=LO$39,LK18&gt;=LO$43,LI18&lt;&gt;""),AND(LM18&gt;=LO$39,LN18&gt;=LO$43,LM18&lt;&gt;""),AND(ME18&gt;=MK$39,MG18&gt;=MK$43,ME18&lt;&gt;""),AND(MI18&gt;=MK$39,MJ18&gt;=MK$43,MI18&lt;&gt;""),AND(NA18&gt;=NG$39,NC18&gt;=NG$43,NA18&lt;&gt;""),AND(NE18&gt;=NG$39,NF18&gt;=NG$43,NE18&lt;&gt;"")),"P","")</f>
        <v/>
      </c>
      <c r="G18" s="3" t="str">
        <f>IF(OR(AND(AM18&gt;=AS$43,AL18&lt;&gt;"",AJ18=""),AND(AO18&gt;=AS$43,AN18&lt;&gt;"",AN18=""),AND(AR18&gt;=AS$43,AQ18&lt;&gt;"",AJ18=""),AND(BQ18&gt;=BW$43,BP18&lt;&gt;"",BN18=""),AND(BS18&gt;=BW$43,BR18&lt;&gt;"",BN18=""),AND(BV18&gt;=BW$43,BU18&lt;&gt;"",BN18=""),AND(CU18&gt;=DA$43,CT18&lt;&gt;"",CR18=""),AND(CW18&gt;=DA$43,CV18&lt;&gt;"",CR18=""),AND(CZ18&gt;=DA$43,CY18&lt;&gt;"",CR18=""),AND(DU18&gt;=DY$43,DS18&lt;&gt;""),AND(DX18&gt;=DY$43,DW18&lt;&gt;""),AND(EQ18&gt;=EU$43,EO18&lt;&gt;""),AND(ET18&gt;=EU$43,ES18&lt;&gt;""),AND(FM18&gt;=FQ$43,FK18&lt;&gt;""),AND(FP18&gt;=FQ$43,FO18&lt;&gt;""),AND(GI18&gt;=GM$43,GG18&lt;&gt;""),AND(GL18&gt;=GM$43,GK18&lt;&gt;""),AND(HE18&gt;=HI$43,HC18&lt;&gt;""),AND(HH18&gt;=HI$43,HG18&lt;&gt;""),AND(IA18&gt;=IE$43,HY18&lt;&gt;""),AND(ID18&gt;=IE$43,IC18&lt;&gt;""),AND(IW18&gt;=JA$43,IU18&lt;&gt;""),AND(IZ18&gt;=JA$43,IY18&lt;&gt;""),AND(JS18&gt;=JW$43,JQ18&lt;&gt;""),AND(JV18&gt;=JW$43,JU18&lt;&gt;""),AND(KO18&gt;=KS$43,KM18&lt;&gt;""),AND(KR18&gt;=KS$43,KQ18&lt;&gt;""),AND(LK18&gt;=LO$43,LI18&lt;&gt;""),AND(LN18&gt;=LO$43,LM18&lt;&gt;""),AND(MG18&gt;=MK$43,ME18&lt;&gt;""),AND(MJ18&gt;=MK$43,MI18&lt;&gt;""),AND(NC18&gt;=NG$43,NA18&lt;&gt;""),AND(NF18&gt;=NG$43,NE18&lt;&gt;"")),"P","")</f>
        <v/>
      </c>
      <c r="H18" s="66" t="str">
        <f>IF(F18="P","National Team",IF(G18="P","No DD",""))</f>
        <v/>
      </c>
      <c r="I18" s="14">
        <f>MAX(AM18,AO18,AR18,BQ18,BS18,BV18,CU18,CW18,CZ18)</f>
        <v>50.28</v>
      </c>
      <c r="J18" s="14" t="str">
        <f>IF(I18=0,"",IF(OR(I18=CW18,I18=CU18,I18=CZ18),$BX$1,IF(OR(I18=BS18,I18=BQ18,I18=BV18),$AT$1,IF(OR(I18=AO18,I18=AM18,I18=AR18),$P$1,""))))</f>
        <v>2022 Nationals</v>
      </c>
      <c r="K18" s="14">
        <f>IF(COUNT(AM18,AO18,AR18,BQ18,BS18,BV18,CU18,CW18,CZ18)&gt;1,LARGE((AM18,AO18,AR18,BQ18,BS18,BV18,CU18,CW18,CZ18),2),0)</f>
        <v>49.500000000000007</v>
      </c>
      <c r="L18" s="14" t="str">
        <f>IF(K18=0,"",IF(OR(K18=CW18,K18=CU18,K18=CZ18),$BX$1,IF(OR(K18=BS18,K18=BQ18,K18=BV18),$AT$1,IF(OR(K18=AO18,K18=AM18,K18=AR18),$P$1,""))))</f>
        <v>2022 Nationals</v>
      </c>
      <c r="M18" s="14" t="str">
        <f>IF(MAX(DB18,DC18)&gt;0,MAX(DB18,DC18),"")</f>
        <v/>
      </c>
      <c r="N18" s="19" t="str">
        <f>IF(M18="","",IF(M18=DB18,"(Prelim)",IF(M18=DC18,"(Final)")))</f>
        <v/>
      </c>
      <c r="O18" s="14" t="str">
        <f>IF(M18="","",IF(M18=DB18,IF(M18+IF(K18="",0,K18)=NC18,$ML$1,IF(M18+IF(K18="",0,K18)=MG18,$LP$1,IF(M18+IF(K18="",0,K18)=LK18,$KT$1,IF(M18+IF(K18="",0,K18)=KO18,$JX$1,IF(M18+IF(K18="",0,K18)=JS18,$JB$1,IF(M18+IF(K18="",0,K18)=IW18,$IF$1,IF(M18+IF(K18="",0,K18)=IA18,$HJ$1,IF(M18+IF(K18="",0,K18)=HE18,$GN$1,IF(M18+IF(K18="",0,K18)=GI18,$FR$1,IF(M18+IF(K18="",0,K18)=FM18,$EV$1,IF(M18+IF(K18="",0,K18)=EQ18,$DZ$1,IF(M18+IF(K18="",0,K18)=DU18,$DD$1,IF(M18+IF(K18="",0,K18)=NB18,$ML$1,IF(M18+IF(K18="",0,K18)=MF18,$LP$1,IF(M18+IF(K18="",0,K18)=LJ18,$KT$1,IF(M18+IF(K18="",0,K18)=KN18,$JX$1,IF(M18+IF(K18="",0,K18)=JR18,$JB$1,IF(M18+IF(K18="",0,K18)=IV18,$IF$1,IF(M18+IF(K18="",0,K18)=HZ18,$HJ$1,IF(M18+IF(K18="",0,K18)=HD18,$GN$1,IF(M18+IF(K18="",0,K18)=GH18,$FR$1,IF(M18+IF(K18="",0,K18)=FL18,$EV$1,IF(M18+IF(K18="",0,K18)=EP18,$DZ$1,IF(M18+IF(K18="",0,K18)=DT18,$DD$1))))))))))))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</f>
        <v/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 t="str">
        <f>IF(SUM(P18:S18)-T18&gt;0,SUM(P18:S18)-T18,"")</f>
        <v/>
      </c>
      <c r="AL18" s="11" t="str">
        <f>IF(W18&gt;0,W18,"")</f>
        <v/>
      </c>
      <c r="AM18" s="11" t="str">
        <f>IF(SUM(U18:X18)-Y18&gt;0,SUM(U18:X18)-Y18,"")</f>
        <v/>
      </c>
      <c r="AN18" s="11" t="str">
        <f>IF(AB18&gt;0,AB18,"")</f>
        <v/>
      </c>
      <c r="AO18" s="11" t="str">
        <f>IF(SUM(Z18:AC18)-AD18&gt;0,SUM(Z18:AC18)-AD18,"")</f>
        <v/>
      </c>
      <c r="AP18" s="11" t="str">
        <f>IF(AK18="",IF(MAX(AM18,AO18)&gt;0,MAX(AM18,AO18),""),MAX(AM18,AO18)+AK18)</f>
        <v/>
      </c>
      <c r="AQ18" s="11" t="str">
        <f>IF(AG18&gt;0,AG18,"")</f>
        <v/>
      </c>
      <c r="AR18" s="11" t="str">
        <f>IF(SUM(AE18:AH18)-AI18&gt;0,SUM(AE18:AH18)-AI18,"")</f>
        <v/>
      </c>
      <c r="AS18" s="11" t="str">
        <f>IF(SUM(AP18,AR18)&gt;0,SUM(AP18,AR18),"")</f>
        <v/>
      </c>
      <c r="AT18" s="41">
        <v>15.7</v>
      </c>
      <c r="AU18" s="41">
        <v>8.9</v>
      </c>
      <c r="AV18" s="41">
        <v>2.6</v>
      </c>
      <c r="AW18" s="41">
        <v>15.09</v>
      </c>
      <c r="AX18" s="41">
        <v>0</v>
      </c>
      <c r="AY18" s="41">
        <v>14.3</v>
      </c>
      <c r="AZ18" s="41">
        <v>9.4</v>
      </c>
      <c r="BA18" s="41">
        <v>11.2</v>
      </c>
      <c r="BB18" s="41">
        <v>14.6</v>
      </c>
      <c r="BC18" s="41">
        <v>0</v>
      </c>
      <c r="BD18" s="41"/>
      <c r="BE18" s="41"/>
      <c r="BF18" s="41"/>
      <c r="BG18" s="41"/>
      <c r="BH18" s="41"/>
      <c r="BI18" s="41">
        <v>15.1</v>
      </c>
      <c r="BJ18" s="41">
        <v>9.1</v>
      </c>
      <c r="BK18" s="41">
        <v>11.2</v>
      </c>
      <c r="BL18" s="41">
        <v>14.88</v>
      </c>
      <c r="BM18" s="41">
        <v>0</v>
      </c>
      <c r="BN18" s="45"/>
      <c r="BO18" s="14">
        <f>IF(SUM(AT18:AW18)-AX18&gt;0,SUM(AT18:AW18)-AX18,"")</f>
        <v>42.290000000000006</v>
      </c>
      <c r="BP18" s="14">
        <f>IF(BA18&gt;0,BA18,"")</f>
        <v>11.2</v>
      </c>
      <c r="BQ18" s="14">
        <f>IF(SUM(AY18:BB18)-BC18&gt;0,SUM(AY18:BB18)-BC18,"")</f>
        <v>49.500000000000007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91.79000000000002</v>
      </c>
      <c r="BU18" s="14">
        <f>IF(BK18&gt;0,BK18,"")</f>
        <v>11.2</v>
      </c>
      <c r="BV18" s="14">
        <f>IF(SUM(BI18:BL18)-BM18&gt;0,SUM(BI18:BL18)-BM18,"")</f>
        <v>50.28</v>
      </c>
      <c r="BW18" s="14">
        <f>IF(SUM(BT18,BV18)&gt;0,SUM(BT18,BV18),"")</f>
        <v>142.07000000000002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8" t="str">
        <f>IF(K18&gt;=0.001,IF(MAX(DT18,DU18,EP18,EQ18,FL18,FM18,GH18,GI18,HD18,HE18,HZ18,IA18,IV18,IW18,JR18,JS18,KN18,KO18,LJ18,LK18,MF18,MG18,NB18,NC18)-IF(K18="",0,K18)&gt;0.001,MAX(DT18,DU18,EP18,EQ18,FL18,FM18,GH18,GI18,HD18,HE18,HZ18,IA18,IV18,IW18,JR18,JS18,KN18,KO18,LJ18,LK18,MF18,MG18,NB18,NC18)-IF(K18="",0,K18),""),"")</f>
        <v/>
      </c>
      <c r="DC18" s="18" t="str">
        <f>IF(K18&gt;=0.001,IF(MAX(DX18,ET18,FP18,GL18,HH18,ID18,IZ18,JV18,KR18,LN18,MJ18,NF18)-IF(K18="",0,K18)&gt;0.001,MAX(DX18,ET18,FP18,GL18,HH18,ID18,IZ18,JV18,KR18,LN18,MJ18,NF18)-IF(K18="",0,K18),""),"")</f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7">
        <f>IF($CR18="P",BX18,(BX18+AT18)/2)</f>
        <v>7.85</v>
      </c>
      <c r="NI18" s="37">
        <f>IF($CR18="P",BY18,(BY18+AU18)/2)</f>
        <v>4.45</v>
      </c>
      <c r="NJ18" s="37">
        <f>IF($CR18="P",BZ18,(BZ18+AV18)/2)</f>
        <v>1.3</v>
      </c>
      <c r="NK18" s="37">
        <f>IF($CR18="P",CA18,(CA18+AW18)/2)</f>
        <v>7.5449999999999999</v>
      </c>
      <c r="NL18" s="37">
        <f>IF($CR18="P",CB18,(CB18+AX18)/2)</f>
        <v>0</v>
      </c>
      <c r="NM18" s="37">
        <f>IF($CR18="P",CC18,(CC18+AY18)/2)</f>
        <v>7.15</v>
      </c>
      <c r="NN18" s="37">
        <f>IF($CR18="P",CD18,(CD18+AZ18)/2)</f>
        <v>4.7</v>
      </c>
      <c r="NO18" s="37">
        <f>IF($CR18="P",CE18,(CE18+BA18)/2)</f>
        <v>5.6</v>
      </c>
      <c r="NP18" s="37">
        <f>IF($CR18="P",CF18,(CF18+BB18)/2)</f>
        <v>7.3</v>
      </c>
      <c r="NQ18" s="37">
        <f>IF($CR18="P",CG18,(CG18+BC18)/2)</f>
        <v>0</v>
      </c>
      <c r="NR18" s="37">
        <f>IF($CR18="P",CH18,(CH18+BD18)/2)</f>
        <v>0</v>
      </c>
      <c r="NS18" s="37">
        <f>IF($CR18="P",CI18,(CI18+BE18)/2)</f>
        <v>0</v>
      </c>
      <c r="NT18" s="37">
        <f>IF($CR18="P",CJ18,(CJ18+BF18)/2)</f>
        <v>0</v>
      </c>
      <c r="NU18" s="37">
        <f>IF($CR18="P",CK18,(CK18+BG18)/2)</f>
        <v>0</v>
      </c>
      <c r="NV18" s="37">
        <f>IF($CR18="P",CL18,(CL18+BH18)/2)</f>
        <v>0</v>
      </c>
      <c r="NW18" s="37">
        <f>IF($CR18="P",CM18,(CM18+BI18)/2)</f>
        <v>7.55</v>
      </c>
      <c r="NX18" s="37">
        <f>IF($CR18="P",CN18,(CN18+BJ18)/2)</f>
        <v>4.55</v>
      </c>
      <c r="NY18" s="37">
        <f>IF($CR18="P",CO18,(CO18+BK18)/2)</f>
        <v>5.6</v>
      </c>
      <c r="NZ18" s="37">
        <f>IF($CR18="P",CP18,(CP18+BL18)/2)</f>
        <v>7.44</v>
      </c>
      <c r="OA18" s="37">
        <f>IF($CR18="P",CQ18,(CQ18+BM18)/2)</f>
        <v>0</v>
      </c>
      <c r="OB18" s="44" t="s">
        <v>46</v>
      </c>
      <c r="OC18" s="11">
        <f>IF(SUM(NH18:NK18)-NL18&gt;0,SUM(NH18:NK18)-NL18,"")</f>
        <v>21.145000000000003</v>
      </c>
      <c r="OD18" s="11">
        <f>IF(NO18&gt;0,NO18,"")</f>
        <v>5.6</v>
      </c>
      <c r="OE18" s="11">
        <f>IF(SUM(NM18:NP18)-NQ18&gt;0,SUM(NM18:NP18)-NQ18,"")</f>
        <v>24.750000000000004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45.89500000000001</v>
      </c>
      <c r="OI18" s="11">
        <f>IF(NY18&gt;0,NY18,"")</f>
        <v>5.6</v>
      </c>
      <c r="OJ18" s="11">
        <f t="shared" ref="OJ18" si="16">IF(SUM(NW18:NZ18)-OA18&gt;0,SUM(NW18:NZ18)-OA18,"")</f>
        <v>25.14</v>
      </c>
      <c r="OK18" s="11">
        <f t="shared" ref="OK18" si="17">IF(SUM(OH18,OJ18)&gt;0,SUM(OH18,OJ18),"")</f>
        <v>71.035000000000011</v>
      </c>
    </row>
    <row r="19" spans="1:401" x14ac:dyDescent="0.2">
      <c r="A19" s="5" t="str" cm="1">
        <f t="array" ref="A19">IF(AND(F19="P",G19="P"),SUMPRODUCT((F$4:F$37="P")*(G$4:G$37="P")*(E$4:E$37&gt;E19))+1,IF(G19="P",SUMPRODUCT((F$4:F$37="")*(G$4:G$37="P")*(E$4:E$37&gt;E19))+1+SUMPRODUCT((F$4:F$37="P")*(G$4:G$37="P")),""))</f>
        <v/>
      </c>
      <c r="B19" s="6" t="s">
        <v>74</v>
      </c>
      <c r="C19" s="7" t="s">
        <v>4</v>
      </c>
      <c r="D19" s="21">
        <v>2003</v>
      </c>
      <c r="E19" s="15">
        <f>SUM(I19:M19)+I19*0.0000001</f>
        <v>99.750004992000001</v>
      </c>
      <c r="F19" s="3" t="str">
        <f>IF(OR(AND(AL19&gt;=AS$39,AM19&gt;=AS$43,AL19&lt;&gt;"",AJ19=""),AND(AN19&gt;=AS$39,AO19&gt;=AS$43,AN19&lt;&gt;"",AN19=""),AND(AQ19&gt;=AS$39,AR19&gt;=AS$43,AQ19&lt;&gt;"",AJ19=""),AND(BP19&gt;=BW$39,BQ19&gt;=BW$43,BP19&lt;&gt;"",BN19=""),AND(BR19&gt;=BW$39,BS19&gt;=BW$43,BR19&lt;&gt;"",BN19=""),AND(BU19&gt;=BW$39,BV19&gt;=BW$43,BU19&lt;&gt;"",BN19=""),AND(CT19&gt;=DA$39,CU19&gt;=DA$43,CT19&lt;&gt;"",CR19=""),AND(CV19&gt;=DA$39,CW19&gt;=DA$43,CV19&lt;&gt;"",CR19=""),AND(CY19&gt;=DA$39,CZ19&gt;=DA$43,CY19&lt;&gt;"",CR19=""),AND(DS19&gt;=DY$39,DU19&gt;=DY$43,DS19&lt;&gt;""),AND(DW19&gt;=DY$39,DX19&gt;=DY$43,DW19&lt;&gt;""),AND(EO19&gt;=EU$39,EQ19&gt;=EU$43,EO19&lt;&gt;""),AND(ES19&gt;=EU$39,ET19&gt;=EU$43,ES19&lt;&gt;""),AND(FK19&gt;=FQ$39,FM19&gt;=FQ$43,FK19&lt;&gt;""),AND(FO19&gt;=FQ$39,FP19&gt;=FQ$43,FO19&lt;&gt;""),AND(GG19&gt;=GM$39,GI19&gt;=GM$43,GG19&lt;&gt;""),AND(GK19&gt;=GM$39,GL19&gt;=GM$43,GK19&lt;&gt;""),AND(HC19&gt;=HI$39,HE19&gt;=HI$43,HC19&lt;&gt;""),AND(HG19&gt;=HI$39,HH19&gt;=HI$43,HG19&lt;&gt;""),AND(HY19&gt;=IE$39,IA19&gt;=IE$43,HY19&lt;&gt;""),AND(IC19&gt;=IE$39,ID19&gt;=IE$43,IC19&lt;&gt;""),AND(IU19&gt;=JA$39,IW19&gt;=JA$43,IU19&lt;&gt;""),AND(IY19&gt;=JA$39,IZ19&gt;=JA$43,IY19&lt;&gt;""),AND(JQ19&gt;=JW$39,JS19&gt;=JW$43,JQ19&lt;&gt;""),AND(JU19&gt;=JW$39,JV19&gt;=JW$43,JU19&lt;&gt;""),AND(KM19&gt;=KS$39,KO19&gt;=KS$43,KM19&lt;&gt;""),AND(KQ19&gt;=KS$39,KR19&gt;=KS$43,KQ19&lt;&gt;""),AND(LI19&gt;=LO$39,LK19&gt;=LO$43,LI19&lt;&gt;""),AND(LM19&gt;=LO$39,LN19&gt;=LO$43,LM19&lt;&gt;""),AND(ME19&gt;=MK$39,MG19&gt;=MK$43,ME19&lt;&gt;""),AND(MI19&gt;=MK$39,MJ19&gt;=MK$43,MI19&lt;&gt;""),AND(NA19&gt;=NG$39,NC19&gt;=NG$43,NA19&lt;&gt;""),AND(NE19&gt;=NG$39,NF19&gt;=NG$43,NE19&lt;&gt;"")),"P","")</f>
        <v/>
      </c>
      <c r="G19" s="3" t="str">
        <f>IF(OR(AND(AM19&gt;=AS$43,AL19&lt;&gt;"",AJ19=""),AND(AO19&gt;=AS$43,AN19&lt;&gt;"",AN19=""),AND(AR19&gt;=AS$43,AQ19&lt;&gt;"",AJ19=""),AND(BQ19&gt;=BW$43,BP19&lt;&gt;"",BN19=""),AND(BS19&gt;=BW$43,BR19&lt;&gt;"",BN19=""),AND(BV19&gt;=BW$43,BU19&lt;&gt;"",BN19=""),AND(CU19&gt;=DA$43,CT19&lt;&gt;"",CR19=""),AND(CW19&gt;=DA$43,CV19&lt;&gt;"",CR19=""),AND(CZ19&gt;=DA$43,CY19&lt;&gt;"",CR19=""),AND(DU19&gt;=DY$43,DS19&lt;&gt;""),AND(DX19&gt;=DY$43,DW19&lt;&gt;""),AND(EQ19&gt;=EU$43,EO19&lt;&gt;""),AND(ET19&gt;=EU$43,ES19&lt;&gt;""),AND(FM19&gt;=FQ$43,FK19&lt;&gt;""),AND(FP19&gt;=FQ$43,FO19&lt;&gt;""),AND(GI19&gt;=GM$43,GG19&lt;&gt;""),AND(GL19&gt;=GM$43,GK19&lt;&gt;""),AND(HE19&gt;=HI$43,HC19&lt;&gt;""),AND(HH19&gt;=HI$43,HG19&lt;&gt;""),AND(IA19&gt;=IE$43,HY19&lt;&gt;""),AND(ID19&gt;=IE$43,IC19&lt;&gt;""),AND(IW19&gt;=JA$43,IU19&lt;&gt;""),AND(IZ19&gt;=JA$43,IY19&lt;&gt;""),AND(JS19&gt;=JW$43,JQ19&lt;&gt;""),AND(JV19&gt;=JW$43,JU19&lt;&gt;""),AND(KO19&gt;=KS$43,KM19&lt;&gt;""),AND(KR19&gt;=KS$43,KQ19&lt;&gt;""),AND(LK19&gt;=LO$43,LI19&lt;&gt;""),AND(LN19&gt;=LO$43,LM19&lt;&gt;""),AND(MG19&gt;=MK$43,ME19&lt;&gt;""),AND(MJ19&gt;=MK$43,MI19&lt;&gt;""),AND(NC19&gt;=NG$43,NA19&lt;&gt;""),AND(NF19&gt;=NG$43,NE19&lt;&gt;"")),"P","")</f>
        <v/>
      </c>
      <c r="H19" s="66" t="str">
        <f>IF(F19="P","National Team",IF(G19="P","No DD",""))</f>
        <v/>
      </c>
      <c r="I19" s="14">
        <f>MAX(AM19,AO19,AR19,BQ19,BS19,BV19,CU19,CW19,CZ19)</f>
        <v>49.92</v>
      </c>
      <c r="J19" s="14" t="str">
        <f>IF(I19=0,"",IF(OR(I19=CW19,I19=CU19,I19=CZ19),$BX$1,IF(OR(I19=BS19,I19=BQ19,I19=BV19),$AT$1,IF(OR(I19=AO19,I19=AM19,I19=AR19),$P$1,""))))</f>
        <v>2022 3rd Domestic Trial</v>
      </c>
      <c r="K19" s="14">
        <f>IF(COUNT(AM19,AO19,AR19,BQ19,BS19,BV19,CU19,CW19,CZ19)&gt;1,LARGE((AM19,AO19,AR19,BQ19,BS19,BV19,CU19,CW19,CZ19),2),0)</f>
        <v>49.83</v>
      </c>
      <c r="L19" s="14" t="str">
        <f>IF(K19=0,"",IF(OR(K19=CW19,K19=CU19,K19=CZ19),$BX$1,IF(OR(K19=BS19,K19=BQ19,K19=BV19),$AT$1,IF(OR(K19=AO19,K19=AM19,K19=AR19),$P$1,""))))</f>
        <v>2022 3rd Domestic Trial</v>
      </c>
      <c r="M19" s="14" t="str">
        <f>IF(MAX(DB19,DC19)&gt;0,MAX(DB19,DC19),"")</f>
        <v/>
      </c>
      <c r="N19" s="19" t="str">
        <f>IF(M19="","",IF(M19=DB19,"(Prelim)",IF(M19=DC19,"(Final)")))</f>
        <v/>
      </c>
      <c r="O19" s="14" t="str">
        <f>IF(M19="","",IF(M19=DB19,IF(M19+IF(K19="",0,K19)=NC19,$ML$1,IF(M19+IF(K19="",0,K19)=MG19,$LP$1,IF(M19+IF(K19="",0,K19)=LK19,$KT$1,IF(M19+IF(K19="",0,K19)=KO19,$JX$1,IF(M19+IF(K19="",0,K19)=JS19,$JB$1,IF(M19+IF(K19="",0,K19)=IW19,$IF$1,IF(M19+IF(K19="",0,K19)=IA19,$HJ$1,IF(M19+IF(K19="",0,K19)=HE19,$GN$1,IF(M19+IF(K19="",0,K19)=GI19,$FR$1,IF(M19+IF(K19="",0,K19)=FM19,$EV$1,IF(M19+IF(K19="",0,K19)=EQ19,$DZ$1,IF(M19+IF(K19="",0,K19)=DU19,$DD$1,IF(M19+IF(K19="",0,K19)=NB19,$ML$1,IF(M19+IF(K19="",0,K19)=MF19,$LP$1,IF(M19+IF(K19="",0,K19)=LJ19,$KT$1,IF(M19+IF(K19="",0,K19)=KN19,$JX$1,IF(M19+IF(K19="",0,K19)=JR19,$JB$1,IF(M19+IF(K19="",0,K19)=IV19,$IF$1,IF(M19+IF(K19="",0,K19)=HZ19,$HJ$1,IF(M19+IF(K19="",0,K19)=HD19,$GN$1,IF(M19+IF(K19="",0,K19)=GH19,$FR$1,IF(M19+IF(K19="",0,K19)=FL19,$EV$1,IF(M19+IF(K19="",0,K19)=EP19,$DZ$1,IF(M19+IF(K19="",0,K19)=DT19,$DD$1))))))))))))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</f>
        <v/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 t="str">
        <f>IF(SUM(P19:S19)-T19&gt;0,SUM(P19:S19)-T19,"")</f>
        <v/>
      </c>
      <c r="AL19" s="11" t="str">
        <f>IF(W19&gt;0,W19,"")</f>
        <v/>
      </c>
      <c r="AM19" s="11" t="str">
        <f>IF(SUM(U19:X19)-Y19&gt;0,SUM(U19:X19)-Y19,"")</f>
        <v/>
      </c>
      <c r="AN19" s="11" t="str">
        <f>IF(AB19&gt;0,AB19,"")</f>
        <v/>
      </c>
      <c r="AO19" s="11" t="str">
        <f>IF(SUM(Z19:AC19)-AD19&gt;0,SUM(Z19:AC19)-AD19,"")</f>
        <v/>
      </c>
      <c r="AP19" s="11" t="str">
        <f>IF(AK19="",IF(MAX(AM19,AO19)&gt;0,MAX(AM19,AO19),""),MAX(AM19,AO19)+AK19)</f>
        <v/>
      </c>
      <c r="AQ19" s="11" t="str">
        <f>IF(AG19&gt;0,AG19,"")</f>
        <v/>
      </c>
      <c r="AR19" s="11" t="str">
        <f>IF(SUM(AE19:AH19)-AI19&gt;0,SUM(AE19:AH19)-AI19,"")</f>
        <v/>
      </c>
      <c r="AS19" s="11" t="str">
        <f>IF(SUM(AP19,AR19)&gt;0,SUM(AP19,AR19),"")</f>
        <v/>
      </c>
      <c r="AT19" s="41"/>
      <c r="AU19" s="41"/>
      <c r="AV19" s="41"/>
      <c r="AW19" s="41"/>
      <c r="AX19" s="41"/>
      <c r="AY19" s="41">
        <v>2.8</v>
      </c>
      <c r="AZ19" s="41">
        <v>2</v>
      </c>
      <c r="BA19" s="41">
        <v>2.9</v>
      </c>
      <c r="BB19" s="41">
        <v>3.15</v>
      </c>
      <c r="BC19" s="41">
        <v>0</v>
      </c>
      <c r="BD19" s="41">
        <v>11.5</v>
      </c>
      <c r="BE19" s="41">
        <v>9</v>
      </c>
      <c r="BF19" s="41">
        <v>13.7</v>
      </c>
      <c r="BG19" s="41">
        <v>14.42</v>
      </c>
      <c r="BH19" s="41">
        <v>0</v>
      </c>
      <c r="BI19" s="41"/>
      <c r="BJ19" s="41"/>
      <c r="BK19" s="41"/>
      <c r="BL19" s="41"/>
      <c r="BM19" s="41"/>
      <c r="BN19" s="45"/>
      <c r="BO19" s="14" t="str">
        <f>IF(SUM(AT19:AW19)-AX19&gt;0,SUM(AT19:AW19)-AX19,"")</f>
        <v/>
      </c>
      <c r="BP19" s="14">
        <f>IF(BA19&gt;0,BA19,"")</f>
        <v>2.9</v>
      </c>
      <c r="BQ19" s="14">
        <f>IF(SUM(AY19:BB19)-BC19&gt;0,SUM(AY19:BB19)-BC19,"")</f>
        <v>10.85</v>
      </c>
      <c r="BR19" s="14">
        <f>IF(BF19&gt;0,BF19,"")</f>
        <v>13.7</v>
      </c>
      <c r="BS19" s="14">
        <f>IF(SUM(BD19:BG19)-BH19&gt;0,SUM(BD19:BG19)-BH19,"")</f>
        <v>48.620000000000005</v>
      </c>
      <c r="BT19" s="14">
        <f>IF(BO19="",IF(MAX(BQ19,BS19)&gt;0,MAX(BQ19,BS19),""),MAX(BQ19,BS19)+BO19)</f>
        <v>48.620000000000005</v>
      </c>
      <c r="BU19" s="14" t="str">
        <f>IF(BK19&gt;0,BK19,"")</f>
        <v/>
      </c>
      <c r="BV19" s="14" t="str">
        <f>IF(SUM(BI19:BL19)-BM19&gt;0,SUM(BI19:BL19)-BM19,"")</f>
        <v/>
      </c>
      <c r="BW19" s="14">
        <f>IF(SUM(BT19,BV19)&gt;0,SUM(BT19,BV19),"")</f>
        <v>48.620000000000005</v>
      </c>
      <c r="BX19" s="37"/>
      <c r="BY19" s="37"/>
      <c r="BZ19" s="37"/>
      <c r="CA19" s="37"/>
      <c r="CB19" s="37"/>
      <c r="CC19" s="37">
        <v>12.5</v>
      </c>
      <c r="CD19" s="37">
        <v>9</v>
      </c>
      <c r="CE19" s="37">
        <v>13.9</v>
      </c>
      <c r="CF19" s="37">
        <v>14.43</v>
      </c>
      <c r="CG19" s="37">
        <v>0</v>
      </c>
      <c r="CH19" s="37">
        <v>1.2</v>
      </c>
      <c r="CI19" s="37">
        <v>1</v>
      </c>
      <c r="CJ19" s="37">
        <v>1.7</v>
      </c>
      <c r="CK19" s="37">
        <v>1.6</v>
      </c>
      <c r="CL19" s="37">
        <v>0</v>
      </c>
      <c r="CM19" s="37">
        <v>12.2</v>
      </c>
      <c r="CN19" s="37">
        <v>9.3000000000000007</v>
      </c>
      <c r="CO19" s="37">
        <v>13.7</v>
      </c>
      <c r="CP19" s="37">
        <v>14.72</v>
      </c>
      <c r="CQ19" s="37">
        <v>0</v>
      </c>
      <c r="CR19" s="44"/>
      <c r="CS19" s="11" t="str">
        <f>IF(SUM(BX19:CA19)-CB19&gt;0,SUM(BX19:CA19)-CB19,"")</f>
        <v/>
      </c>
      <c r="CT19" s="11">
        <f>IF(CE19&gt;0,CE19,"")</f>
        <v>13.9</v>
      </c>
      <c r="CU19" s="11">
        <f>IF(SUM(CC19:CF19)-CG19&gt;0,SUM(CC19:CF19)-CG19,"")</f>
        <v>49.83</v>
      </c>
      <c r="CV19" s="11">
        <f>IF(CJ19&gt;0,CJ19,"")</f>
        <v>1.7</v>
      </c>
      <c r="CW19" s="11">
        <f>IF(SUM(CH19:CK19)-CL19&gt;0,SUM(CH19:CK19)-CL19,"")</f>
        <v>5.5</v>
      </c>
      <c r="CX19" s="11">
        <f>IF(CS19="",IF(MAX(CU19,CW19)&gt;0,MAX(CU19,CW19),""),MAX(CU19,CW19)+CS19)</f>
        <v>49.83</v>
      </c>
      <c r="CY19" s="11">
        <f>IF(CO19&gt;0,CO19,"")</f>
        <v>13.7</v>
      </c>
      <c r="CZ19" s="11">
        <f>IF(SUM(CM19:CP19)-CQ19&gt;0,SUM(CM19:CP19)-CQ19,"")</f>
        <v>49.92</v>
      </c>
      <c r="DA19" s="11">
        <f>IF(SUM(CX19,CZ19)&gt;0,SUM(CX19,CZ19),"")</f>
        <v>99.75</v>
      </c>
      <c r="DB19" s="18" t="str">
        <f>IF(K19&gt;=0.001,IF(MAX(DT19,DU19,EP19,EQ19,FL19,FM19,GH19,GI19,HD19,HE19,HZ19,IA19,IV19,IW19,JR19,JS19,KN19,KO19,LJ19,LK19,MF19,MG19,NB19,NC19)-IF(K19="",0,K19)&gt;0.001,MAX(DT19,DU19,EP19,EQ19,FL19,FM19,GH19,GI19,HD19,HE19,HZ19,IA19,IV19,IW19,JR19,JS19,KN19,KO19,LJ19,LK19,MF19,MG19,NB19,NC19)-IF(K19="",0,K19),""),"")</f>
        <v/>
      </c>
      <c r="DC19" s="18" t="str">
        <f>IF(K19&gt;=0.001,IF(MAX(DX19,ET19,FP19,GL19,HH19,ID19,IZ19,JV19,KR19,LN19,MJ19,NF19)-IF(K19="",0,K19)&gt;0.001,MAX(DX19,ET19,FP19,GL19,HH19,ID19,IZ19,JV19,KR19,LN19,MJ19,NF19)-IF(K19="",0,K19),""),"")</f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7">
        <f>IF($CR19="P",BX19,(BX19+AT19)/2)</f>
        <v>0</v>
      </c>
      <c r="NI19" s="37">
        <f>IF($CR19="P",BY19,(BY19+AU19)/2)</f>
        <v>0</v>
      </c>
      <c r="NJ19" s="37">
        <f>IF($CR19="P",BZ19,(BZ19+AV19)/2)</f>
        <v>0</v>
      </c>
      <c r="NK19" s="37">
        <f>IF($CR19="P",CA19,(CA19+AW19)/2)</f>
        <v>0</v>
      </c>
      <c r="NL19" s="37">
        <f>IF($CR19="P",CB19,(CB19+AX19)/2)</f>
        <v>0</v>
      </c>
      <c r="NM19" s="37">
        <f>IF($CR19="P",CC19,(CC19+AY19)/2)</f>
        <v>7.65</v>
      </c>
      <c r="NN19" s="37">
        <f>IF($CR19="P",CD19,(CD19+AZ19)/2)</f>
        <v>5.5</v>
      </c>
      <c r="NO19" s="37">
        <f>IF($CR19="P",CE19,(CE19+BA19)/2)</f>
        <v>8.4</v>
      </c>
      <c r="NP19" s="37">
        <f>IF($CR19="P",CF19,(CF19+BB19)/2)</f>
        <v>8.7899999999999991</v>
      </c>
      <c r="NQ19" s="37">
        <f>IF($CR19="P",CG19,(CG19+BC19)/2)</f>
        <v>0</v>
      </c>
      <c r="NR19" s="37">
        <f>IF($CR19="P",CH19,(CH19+BD19)/2)</f>
        <v>6.35</v>
      </c>
      <c r="NS19" s="37">
        <f>IF($CR19="P",CI19,(CI19+BE19)/2)</f>
        <v>5</v>
      </c>
      <c r="NT19" s="37">
        <f>IF($CR19="P",CJ19,(CJ19+BF19)/2)</f>
        <v>7.6999999999999993</v>
      </c>
      <c r="NU19" s="37">
        <f>IF($CR19="P",CK19,(CK19+BG19)/2)</f>
        <v>8.01</v>
      </c>
      <c r="NV19" s="37">
        <f>IF($CR19="P",CL19,(CL19+BH19)/2)</f>
        <v>0</v>
      </c>
      <c r="NW19" s="37">
        <f>IF($CR19="P",CM19,(CM19+BI19)/2)</f>
        <v>6.1</v>
      </c>
      <c r="NX19" s="37">
        <f>IF($CR19="P",CN19,(CN19+BJ19)/2)</f>
        <v>4.6500000000000004</v>
      </c>
      <c r="NY19" s="37">
        <f>IF($CR19="P",CO19,(CO19+BK19)/2)</f>
        <v>6.85</v>
      </c>
      <c r="NZ19" s="37">
        <f>IF($CR19="P",CP19,(CP19+BL19)/2)</f>
        <v>7.36</v>
      </c>
      <c r="OA19" s="37">
        <f>IF($CR19="P",CQ19,(CQ19+BM19)/2)</f>
        <v>0</v>
      </c>
      <c r="OB19" s="44" t="s">
        <v>46</v>
      </c>
      <c r="OC19" s="11" t="str">
        <f>IF(SUM(NH19:NK19)-NL19&gt;0,SUM(NH19:NK19)-NL19,"")</f>
        <v/>
      </c>
      <c r="OD19" s="11">
        <f>IF(NO19&gt;0,NO19,"")</f>
        <v>8.4</v>
      </c>
      <c r="OE19" s="11">
        <f>IF(SUM(NM19:NP19)-NQ19&gt;0,SUM(NM19:NP19)-NQ19,"")</f>
        <v>30.34</v>
      </c>
      <c r="OF19" s="11">
        <f>IF(NT19&gt;0,NT19,"")</f>
        <v>7.6999999999999993</v>
      </c>
      <c r="OG19" s="11">
        <f>IF(SUM(NR19:NU19)-NV19&gt;0,SUM(NR19:NU19)-NV19,"")</f>
        <v>27.059999999999995</v>
      </c>
      <c r="OH19" s="11" t="e">
        <f>IF(OR(OC19&lt;&gt;"",OE19&lt;&gt;"",OG19&lt;&gt;""),OC19+MAX(OE19,OG19),"")</f>
        <v>#VALUE!</v>
      </c>
      <c r="OI19" s="11">
        <f>IF(NY19&gt;0,NY19,"")</f>
        <v>6.85</v>
      </c>
      <c r="OJ19" s="11">
        <f t="shared" ref="OJ19" si="18">IF(SUM(NW19:NZ19)-OA19&gt;0,SUM(NW19:NZ19)-OA19,"")</f>
        <v>24.96</v>
      </c>
      <c r="OK19" s="11" t="e">
        <f t="shared" ref="OK19" si="19">IF(SUM(OH19,OJ19)&gt;0,SUM(OH19,OJ19),"")</f>
        <v>#VALUE!</v>
      </c>
    </row>
    <row r="20" spans="1:401" x14ac:dyDescent="0.2">
      <c r="A20" s="5" t="str" cm="1">
        <f t="array" ref="A20">IF(AND(F20="P",G20="P"),SUMPRODUCT((F$4:F$37="P")*(G$4:G$37="P")*(E$4:E$37&gt;E20))+1,IF(G20="P",SUMPRODUCT((F$4:F$37="")*(G$4:G$37="P")*(E$4:E$37&gt;E20))+1+SUMPRODUCT((F$4:F$37="P")*(G$4:G$37="P")),""))</f>
        <v/>
      </c>
      <c r="B20" s="6" t="s">
        <v>151</v>
      </c>
      <c r="C20" s="7" t="s">
        <v>3</v>
      </c>
      <c r="D20" s="5">
        <v>2002</v>
      </c>
      <c r="E20" s="15">
        <f>SUM(I20:M20)+I20*0.0000001</f>
        <v>97.520004965000012</v>
      </c>
      <c r="F20" s="3" t="str">
        <f>IF(OR(AND(AL20&gt;=AS$39,AM20&gt;=AS$43,AL20&lt;&gt;"",AJ20=""),AND(AN20&gt;=AS$39,AO20&gt;=AS$43,AN20&lt;&gt;"",AN20=""),AND(AQ20&gt;=AS$39,AR20&gt;=AS$43,AQ20&lt;&gt;"",AJ20=""),AND(BP20&gt;=BW$39,BQ20&gt;=BW$43,BP20&lt;&gt;"",BN20=""),AND(BR20&gt;=BW$39,BS20&gt;=BW$43,BR20&lt;&gt;"",BN20=""),AND(BU20&gt;=BW$39,BV20&gt;=BW$43,BU20&lt;&gt;"",BN20=""),AND(CT20&gt;=DA$39,CU20&gt;=DA$43,CT20&lt;&gt;"",CR20=""),AND(CV20&gt;=DA$39,CW20&gt;=DA$43,CV20&lt;&gt;"",CR20=""),AND(CY20&gt;=DA$39,CZ20&gt;=DA$43,CY20&lt;&gt;"",CR20=""),AND(DS20&gt;=DY$39,DU20&gt;=DY$43,DS20&lt;&gt;""),AND(DW20&gt;=DY$39,DX20&gt;=DY$43,DW20&lt;&gt;""),AND(EO20&gt;=EU$39,EQ20&gt;=EU$43,EO20&lt;&gt;""),AND(ES20&gt;=EU$39,ET20&gt;=EU$43,ES20&lt;&gt;""),AND(FK20&gt;=FQ$39,FM20&gt;=FQ$43,FK20&lt;&gt;""),AND(FO20&gt;=FQ$39,FP20&gt;=FQ$43,FO20&lt;&gt;""),AND(GG20&gt;=GM$39,GI20&gt;=GM$43,GG20&lt;&gt;""),AND(GK20&gt;=GM$39,GL20&gt;=GM$43,GK20&lt;&gt;""),AND(HC20&gt;=HI$39,HE20&gt;=HI$43,HC20&lt;&gt;""),AND(HG20&gt;=HI$39,HH20&gt;=HI$43,HG20&lt;&gt;""),AND(HY20&gt;=IE$39,IA20&gt;=IE$43,HY20&lt;&gt;""),AND(IC20&gt;=IE$39,ID20&gt;=IE$43,IC20&lt;&gt;""),AND(IU20&gt;=JA$39,IW20&gt;=JA$43,IU20&lt;&gt;""),AND(IY20&gt;=JA$39,IZ20&gt;=JA$43,IY20&lt;&gt;""),AND(JQ20&gt;=JW$39,JS20&gt;=JW$43,JQ20&lt;&gt;""),AND(JU20&gt;=JW$39,JV20&gt;=JW$43,JU20&lt;&gt;""),AND(KM20&gt;=KS$39,KO20&gt;=KS$43,KM20&lt;&gt;""),AND(KQ20&gt;=KS$39,KR20&gt;=KS$43,KQ20&lt;&gt;""),AND(LI20&gt;=LO$39,LK20&gt;=LO$43,LI20&lt;&gt;""),AND(LM20&gt;=LO$39,LN20&gt;=LO$43,LM20&lt;&gt;""),AND(ME20&gt;=MK$39,MG20&gt;=MK$43,ME20&lt;&gt;""),AND(MI20&gt;=MK$39,MJ20&gt;=MK$43,MI20&lt;&gt;""),AND(NA20&gt;=NG$39,NC20&gt;=NG$43,NA20&lt;&gt;""),AND(NE20&gt;=NG$39,NF20&gt;=NG$43,NE20&lt;&gt;"")),"P","")</f>
        <v/>
      </c>
      <c r="G20" s="3" t="str">
        <f>IF(OR(AND(AM20&gt;=AS$43,AL20&lt;&gt;"",AJ20=""),AND(AO20&gt;=AS$43,AN20&lt;&gt;"",AN20=""),AND(AR20&gt;=AS$43,AQ20&lt;&gt;"",AJ20=""),AND(BQ20&gt;=BW$43,BP20&lt;&gt;"",BN20=""),AND(BS20&gt;=BW$43,BR20&lt;&gt;"",BN20=""),AND(BV20&gt;=BW$43,BU20&lt;&gt;"",BN20=""),AND(CU20&gt;=DA$43,CT20&lt;&gt;"",CR20=""),AND(CW20&gt;=DA$43,CV20&lt;&gt;"",CR20=""),AND(CZ20&gt;=DA$43,CY20&lt;&gt;"",CR20=""),AND(DU20&gt;=DY$43,DS20&lt;&gt;""),AND(DX20&gt;=DY$43,DW20&lt;&gt;""),AND(EQ20&gt;=EU$43,EO20&lt;&gt;""),AND(ET20&gt;=EU$43,ES20&lt;&gt;""),AND(FM20&gt;=FQ$43,FK20&lt;&gt;""),AND(FP20&gt;=FQ$43,FO20&lt;&gt;""),AND(GI20&gt;=GM$43,GG20&lt;&gt;""),AND(GL20&gt;=GM$43,GK20&lt;&gt;""),AND(HE20&gt;=HI$43,HC20&lt;&gt;""),AND(HH20&gt;=HI$43,HG20&lt;&gt;""),AND(IA20&gt;=IE$43,HY20&lt;&gt;""),AND(ID20&gt;=IE$43,IC20&lt;&gt;""),AND(IW20&gt;=JA$43,IU20&lt;&gt;""),AND(IZ20&gt;=JA$43,IY20&lt;&gt;""),AND(JS20&gt;=JW$43,JQ20&lt;&gt;""),AND(JV20&gt;=JW$43,JU20&lt;&gt;""),AND(KO20&gt;=KS$43,KM20&lt;&gt;""),AND(KR20&gt;=KS$43,KQ20&lt;&gt;""),AND(LK20&gt;=LO$43,LI20&lt;&gt;""),AND(LN20&gt;=LO$43,LM20&lt;&gt;""),AND(MG20&gt;=MK$43,ME20&lt;&gt;""),AND(MJ20&gt;=MK$43,MI20&lt;&gt;""),AND(NC20&gt;=NG$43,NA20&lt;&gt;""),AND(NF20&gt;=NG$43,NE20&lt;&gt;"")),"P","")</f>
        <v/>
      </c>
      <c r="H20" s="66" t="str">
        <f>IF(F20="P","National Team",IF(G20="P","No DD",""))</f>
        <v/>
      </c>
      <c r="I20" s="14">
        <f>MAX(AM20,AO20,AR20,BQ20,BS20,BV20,CU20,CW20,CZ20)</f>
        <v>49.65</v>
      </c>
      <c r="J20" s="14" t="str">
        <f>IF(I20=0,"",IF(OR(I20=CW20,I20=CU20,I20=CZ20),$BX$1,IF(OR(I20=BS20,I20=BQ20,I20=BV20),$AT$1,IF(OR(I20=AO20,I20=AM20,I20=AR20),$P$1,""))))</f>
        <v>2022 Nationals</v>
      </c>
      <c r="K20" s="14">
        <f>IF(COUNT(AM20,AO20,AR20,BQ20,BS20,BV20,CU20,CW20,CZ20)&gt;1,LARGE((AM20,AO20,AR20,BQ20,BS20,BV20,CU20,CW20,CZ20),2),0)</f>
        <v>47.870000000000005</v>
      </c>
      <c r="L20" s="14" t="str">
        <f>IF(K20=0,"",IF(OR(K20=CW20,K20=CU20,K20=CZ20),$BX$1,IF(OR(K20=BS20,K20=BQ20,K20=BV20),$AT$1,IF(OR(K20=AO20,K20=AM20,K20=AR20),$P$1,""))))</f>
        <v>2022 Nationals</v>
      </c>
      <c r="M20" s="14" t="str">
        <f>IF(MAX(DB20,DC20)&gt;0,MAX(DB20,DC20),"")</f>
        <v/>
      </c>
      <c r="N20" s="19" t="str">
        <f>IF(M20="","",IF(M20=DB20,"(Prelim)",IF(M20=DC20,"(Final)")))</f>
        <v/>
      </c>
      <c r="O20" s="14" t="str">
        <f>IF(M20="","",IF(M20=DB20,IF(M20+IF(K20="",0,K20)=NC20,$ML$1,IF(M20+IF(K20="",0,K20)=MG20,$LP$1,IF(M20+IF(K20="",0,K20)=LK20,$KT$1,IF(M20+IF(K20="",0,K20)=KO20,$JX$1,IF(M20+IF(K20="",0,K20)=JS20,$JB$1,IF(M20+IF(K20="",0,K20)=IW20,$IF$1,IF(M20+IF(K20="",0,K20)=IA20,$HJ$1,IF(M20+IF(K20="",0,K20)=HE20,$GN$1,IF(M20+IF(K20="",0,K20)=GI20,$FR$1,IF(M20+IF(K20="",0,K20)=FM20,$EV$1,IF(M20+IF(K20="",0,K20)=EQ20,$DZ$1,IF(M20+IF(K20="",0,K20)=DU20,$DD$1,IF(M20+IF(K20="",0,K20)=NB20,$ML$1,IF(M20+IF(K20="",0,K20)=MF20,$LP$1,IF(M20+IF(K20="",0,K20)=LJ20,$KT$1,IF(M20+IF(K20="",0,K20)=KN20,$JX$1,IF(M20+IF(K20="",0,K20)=JR20,$JB$1,IF(M20+IF(K20="",0,K20)=IV20,$IF$1,IF(M20+IF(K20="",0,K20)=HZ20,$HJ$1,IF(M20+IF(K20="",0,K20)=HD20,$GN$1,IF(M20+IF(K20="",0,K20)=GH20,$FR$1,IF(M20+IF(K20="",0,K20)=FL20,$EV$1,IF(M20+IF(K20="",0,K20)=EP20,$DZ$1,IF(M20+IF(K20="",0,K20)=DT20,$DD$1))))))))))))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</f>
        <v/>
      </c>
      <c r="P20" s="37">
        <v>15.1</v>
      </c>
      <c r="Q20" s="37">
        <v>9.5</v>
      </c>
      <c r="R20" s="37">
        <v>2.7</v>
      </c>
      <c r="S20" s="37">
        <v>15.02</v>
      </c>
      <c r="T20" s="37">
        <v>0</v>
      </c>
      <c r="U20" s="37">
        <v>12.3</v>
      </c>
      <c r="V20" s="37">
        <v>9.4</v>
      </c>
      <c r="W20" s="37">
        <v>8</v>
      </c>
      <c r="X20" s="37">
        <v>14.51</v>
      </c>
      <c r="Y20" s="37">
        <v>1.1000000000000001</v>
      </c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>
        <f>IF(SUM(P20:S20)-T20&gt;0,SUM(P20:S20)-T20,"")</f>
        <v>42.32</v>
      </c>
      <c r="AL20" s="11">
        <f>IF(W20&gt;0,W20,"")</f>
        <v>8</v>
      </c>
      <c r="AM20" s="11">
        <f>IF(SUM(U20:X20)-Y20&gt;0,SUM(U20:X20)-Y20,"")</f>
        <v>43.11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85.43</v>
      </c>
      <c r="AQ20" s="11" t="str">
        <f>IF(AG20&gt;0,AG20,"")</f>
        <v/>
      </c>
      <c r="AR20" s="11" t="str">
        <f>IF(SUM(AE20:AH20)-AI20&gt;0,SUM(AE20:AH20)-AI20,"")</f>
        <v/>
      </c>
      <c r="AS20" s="11">
        <f>IF(SUM(AP20,AR20)&gt;0,SUM(AP20,AR20),"")</f>
        <v>85.43</v>
      </c>
      <c r="AT20" s="41">
        <v>14.5</v>
      </c>
      <c r="AU20" s="41">
        <v>9.6</v>
      </c>
      <c r="AV20" s="41">
        <v>2.9</v>
      </c>
      <c r="AW20" s="41">
        <v>14.92</v>
      </c>
      <c r="AX20" s="41">
        <v>0</v>
      </c>
      <c r="AY20" s="41">
        <v>13.5</v>
      </c>
      <c r="AZ20" s="41">
        <v>9.6999999999999993</v>
      </c>
      <c r="BA20" s="41">
        <v>11.8</v>
      </c>
      <c r="BB20" s="41">
        <v>14.65</v>
      </c>
      <c r="BC20" s="41">
        <v>0</v>
      </c>
      <c r="BD20" s="41"/>
      <c r="BE20" s="41"/>
      <c r="BF20" s="41"/>
      <c r="BG20" s="41"/>
      <c r="BH20" s="41"/>
      <c r="BI20" s="41">
        <v>12.7</v>
      </c>
      <c r="BJ20" s="41">
        <v>9.3000000000000007</v>
      </c>
      <c r="BK20" s="41">
        <v>11.6</v>
      </c>
      <c r="BL20" s="41">
        <v>14.27</v>
      </c>
      <c r="BM20" s="41">
        <v>0</v>
      </c>
      <c r="BN20" s="45"/>
      <c r="BO20" s="14">
        <f>IF(SUM(AT20:AW20)-AX20&gt;0,SUM(AT20:AW20)-AX20,"")</f>
        <v>41.92</v>
      </c>
      <c r="BP20" s="14">
        <f>IF(BA20&gt;0,BA20,"")</f>
        <v>11.8</v>
      </c>
      <c r="BQ20" s="14">
        <f>IF(SUM(AY20:BB20)-BC20&gt;0,SUM(AY20:BB20)-BC20,"")</f>
        <v>49.65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91.57</v>
      </c>
      <c r="BU20" s="14">
        <f>IF(BK20&gt;0,BK20,"")</f>
        <v>11.6</v>
      </c>
      <c r="BV20" s="14">
        <f>IF(SUM(BI20:BL20)-BM20&gt;0,SUM(BI20:BL20)-BM20,"")</f>
        <v>47.870000000000005</v>
      </c>
      <c r="BW20" s="14">
        <f>IF(SUM(BT20,BV20)&gt;0,SUM(BT20,BV20),"")</f>
        <v>139.44</v>
      </c>
      <c r="BX20" s="37">
        <v>11.6</v>
      </c>
      <c r="BY20" s="37">
        <v>9.6</v>
      </c>
      <c r="BZ20" s="37">
        <v>2.9</v>
      </c>
      <c r="CA20" s="37">
        <v>14.92</v>
      </c>
      <c r="CB20" s="37">
        <v>0</v>
      </c>
      <c r="CC20" s="37">
        <v>1.2</v>
      </c>
      <c r="CD20" s="37">
        <v>0.9</v>
      </c>
      <c r="CE20" s="37">
        <v>1.7</v>
      </c>
      <c r="CF20" s="37">
        <v>1.58</v>
      </c>
      <c r="CG20" s="37">
        <v>0</v>
      </c>
      <c r="CH20" s="37"/>
      <c r="CI20" s="37"/>
      <c r="CJ20" s="37"/>
      <c r="CK20" s="37"/>
      <c r="CL20" s="37"/>
      <c r="CM20" s="37">
        <v>0</v>
      </c>
      <c r="CN20" s="37">
        <v>0</v>
      </c>
      <c r="CO20" s="37">
        <v>0</v>
      </c>
      <c r="CP20" s="37">
        <v>0</v>
      </c>
      <c r="CQ20" s="37">
        <v>0</v>
      </c>
      <c r="CR20" s="44"/>
      <c r="CS20" s="11">
        <f>IF(SUM(BX20:CA20)-CB20&gt;0,SUM(BX20:CA20)-CB20,"")</f>
        <v>39.019999999999996</v>
      </c>
      <c r="CT20" s="11">
        <f>IF(CE20&gt;0,CE20,"")</f>
        <v>1.7</v>
      </c>
      <c r="CU20" s="11">
        <f>IF(SUM(CC20:CF20)-CG20&gt;0,SUM(CC20:CF20)-CG20,"")</f>
        <v>5.38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44.4</v>
      </c>
      <c r="CY20" s="11" t="str">
        <f>IF(CO20&gt;0,CO20,"")</f>
        <v/>
      </c>
      <c r="CZ20" s="11" t="str">
        <f>IF(SUM(CM20:CP20)-CQ20&gt;0,SUM(CM20:CP20)-CQ20,"")</f>
        <v/>
      </c>
      <c r="DA20" s="11">
        <f>IF(SUM(CX20,CZ20)&gt;0,SUM(CX20,CZ20),"")</f>
        <v>44.4</v>
      </c>
      <c r="DB20" s="18" t="str">
        <f>IF(K20&gt;=0.001,IF(MAX(DT20,DU20,EP20,EQ20,FL20,FM20,GH20,GI20,HD20,HE20,HZ20,IA20,IV20,IW20,JR20,JS20,KN20,KO20,LJ20,LK20,MF20,MG20,NB20,NC20)-IF(K20="",0,K20)&gt;0.001,MAX(DT20,DU20,EP20,EQ20,FL20,FM20,GH20,GI20,HD20,HE20,HZ20,IA20,IV20,IW20,JR20,JS20,KN20,KO20,LJ20,LK20,MF20,MG20,NB20,NC20)-IF(K20="",0,K20),""),"")</f>
        <v/>
      </c>
      <c r="DC20" s="18" t="str">
        <f>IF(K20&gt;=0.001,IF(MAX(DX20,ET20,FP20,GL20,HH20,ID20,IZ20,JV20,KR20,LN20,MJ20,NF20)-IF(K20="",0,K20)&gt;0.001,MAX(DX20,ET20,FP20,GL20,HH20,ID20,IZ20,JV20,KR20,LN20,MJ20,NF20)-IF(K20="",0,K20),""),"")</f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7">
        <f>IF($CR20="P",BX20,(BX20+AT20)/2)</f>
        <v>13.05</v>
      </c>
      <c r="NI20" s="37">
        <f>IF($CR20="P",BY20,(BY20+AU20)/2)</f>
        <v>9.6</v>
      </c>
      <c r="NJ20" s="37">
        <f>IF($CR20="P",BZ20,(BZ20+AV20)/2)</f>
        <v>2.9</v>
      </c>
      <c r="NK20" s="37">
        <f>IF($CR20="P",CA20,(CA20+AW20)/2)</f>
        <v>14.92</v>
      </c>
      <c r="NL20" s="37">
        <f>IF($CR20="P",CB20,(CB20+AX20)/2)</f>
        <v>0</v>
      </c>
      <c r="NM20" s="37">
        <f>IF($CR20="P",CC20,(CC20+AY20)/2)</f>
        <v>7.35</v>
      </c>
      <c r="NN20" s="37">
        <f>IF($CR20="P",CD20,(CD20+AZ20)/2)</f>
        <v>5.3</v>
      </c>
      <c r="NO20" s="37">
        <f>IF($CR20="P",CE20,(CE20+BA20)/2)</f>
        <v>6.75</v>
      </c>
      <c r="NP20" s="37">
        <f>IF($CR20="P",CF20,(CF20+BB20)/2)</f>
        <v>8.1150000000000002</v>
      </c>
      <c r="NQ20" s="37">
        <f>IF($CR20="P",CG20,(CG20+BC20)/2)</f>
        <v>0</v>
      </c>
      <c r="NR20" s="37">
        <f>IF($CR20="P",CH20,(CH20+BD20)/2)</f>
        <v>0</v>
      </c>
      <c r="NS20" s="37">
        <f>IF($CR20="P",CI20,(CI20+BE20)/2)</f>
        <v>0</v>
      </c>
      <c r="NT20" s="37">
        <f>IF($CR20="P",CJ20,(CJ20+BF20)/2)</f>
        <v>0</v>
      </c>
      <c r="NU20" s="37">
        <f>IF($CR20="P",CK20,(CK20+BG20)/2)</f>
        <v>0</v>
      </c>
      <c r="NV20" s="37">
        <f>IF($CR20="P",CL20,(CL20+BH20)/2)</f>
        <v>0</v>
      </c>
      <c r="NW20" s="37">
        <f>IF($CR20="P",CM20,(CM20+BI20)/2)</f>
        <v>6.35</v>
      </c>
      <c r="NX20" s="37">
        <f>IF($CR20="P",CN20,(CN20+BJ20)/2)</f>
        <v>4.6500000000000004</v>
      </c>
      <c r="NY20" s="37">
        <f>IF($CR20="P",CO20,(CO20+BK20)/2)</f>
        <v>5.8</v>
      </c>
      <c r="NZ20" s="37">
        <f>IF($CR20="P",CP20,(CP20+BL20)/2)</f>
        <v>7.1349999999999998</v>
      </c>
      <c r="OA20" s="37">
        <f>IF($CR20="P",CQ20,(CQ20+BM20)/2)</f>
        <v>0</v>
      </c>
      <c r="OB20" s="44" t="s">
        <v>46</v>
      </c>
      <c r="OC20" s="11">
        <f>IF(SUM(NH20:NK20)-NL20&gt;0,SUM(NH20:NK20)-NL20,"")</f>
        <v>40.47</v>
      </c>
      <c r="OD20" s="11">
        <f>IF(NO20&gt;0,NO20,"")</f>
        <v>6.75</v>
      </c>
      <c r="OE20" s="11">
        <f>IF(SUM(NM20:NP20)-NQ20&gt;0,SUM(NM20:NP20)-NQ20,"")</f>
        <v>27.515000000000001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67.984999999999999</v>
      </c>
      <c r="OI20" s="11">
        <f>IF(NY20&gt;0,NY20,"")</f>
        <v>5.8</v>
      </c>
      <c r="OJ20" s="11">
        <f t="shared" ref="OJ20" si="20">IF(SUM(NW20:NZ20)-OA20&gt;0,SUM(NW20:NZ20)-OA20,"")</f>
        <v>23.935000000000002</v>
      </c>
      <c r="OK20" s="11">
        <f t="shared" ref="OK20" si="21">IF(SUM(OH20,OJ20)&gt;0,SUM(OH20,OJ20),"")</f>
        <v>91.92</v>
      </c>
    </row>
    <row r="21" spans="1:401" x14ac:dyDescent="0.2">
      <c r="A21" s="5" t="str" cm="1">
        <f t="array" ref="A21">IF(AND(F21="P",G21="P"),SUMPRODUCT((F$4:F$37="P")*(G$4:G$37="P")*(E$4:E$37&gt;E21))+1,IF(G21="P",SUMPRODUCT((F$4:F$37="")*(G$4:G$37="P")*(E$4:E$37&gt;E21))+1+SUMPRODUCT((F$4:F$37="P")*(G$4:G$37="P")),""))</f>
        <v/>
      </c>
      <c r="B21" s="6" t="s">
        <v>154</v>
      </c>
      <c r="C21" s="7" t="s">
        <v>6</v>
      </c>
      <c r="D21" s="5">
        <v>2003</v>
      </c>
      <c r="E21" s="15">
        <f>SUM(I21:M21)+I21*0.0000001</f>
        <v>97.330004885999998</v>
      </c>
      <c r="F21" s="3" t="str">
        <f>IF(OR(AND(AL21&gt;=AS$39,AM21&gt;=AS$43,AL21&lt;&gt;"",AJ21=""),AND(AN21&gt;=AS$39,AO21&gt;=AS$43,AN21&lt;&gt;"",AN21=""),AND(AQ21&gt;=AS$39,AR21&gt;=AS$43,AQ21&lt;&gt;"",AJ21=""),AND(BP21&gt;=BW$39,BQ21&gt;=BW$43,BP21&lt;&gt;"",BN21=""),AND(BR21&gt;=BW$39,BS21&gt;=BW$43,BR21&lt;&gt;"",BN21=""),AND(BU21&gt;=BW$39,BV21&gt;=BW$43,BU21&lt;&gt;"",BN21=""),AND(CT21&gt;=DA$39,CU21&gt;=DA$43,CT21&lt;&gt;"",CR21=""),AND(CV21&gt;=DA$39,CW21&gt;=DA$43,CV21&lt;&gt;"",CR21=""),AND(CY21&gt;=DA$39,CZ21&gt;=DA$43,CY21&lt;&gt;"",CR21=""),AND(DS21&gt;=DY$39,DU21&gt;=DY$43,DS21&lt;&gt;""),AND(DW21&gt;=DY$39,DX21&gt;=DY$43,DW21&lt;&gt;""),AND(EO21&gt;=EU$39,EQ21&gt;=EU$43,EO21&lt;&gt;""),AND(ES21&gt;=EU$39,ET21&gt;=EU$43,ES21&lt;&gt;""),AND(FK21&gt;=FQ$39,FM21&gt;=FQ$43,FK21&lt;&gt;""),AND(FO21&gt;=FQ$39,FP21&gt;=FQ$43,FO21&lt;&gt;""),AND(GG21&gt;=GM$39,GI21&gt;=GM$43,GG21&lt;&gt;""),AND(GK21&gt;=GM$39,GL21&gt;=GM$43,GK21&lt;&gt;""),AND(HC21&gt;=HI$39,HE21&gt;=HI$43,HC21&lt;&gt;""),AND(HG21&gt;=HI$39,HH21&gt;=HI$43,HG21&lt;&gt;""),AND(HY21&gt;=IE$39,IA21&gt;=IE$43,HY21&lt;&gt;""),AND(IC21&gt;=IE$39,ID21&gt;=IE$43,IC21&lt;&gt;""),AND(IU21&gt;=JA$39,IW21&gt;=JA$43,IU21&lt;&gt;""),AND(IY21&gt;=JA$39,IZ21&gt;=JA$43,IY21&lt;&gt;""),AND(JQ21&gt;=JW$39,JS21&gt;=JW$43,JQ21&lt;&gt;""),AND(JU21&gt;=JW$39,JV21&gt;=JW$43,JU21&lt;&gt;""),AND(KM21&gt;=KS$39,KO21&gt;=KS$43,KM21&lt;&gt;""),AND(KQ21&gt;=KS$39,KR21&gt;=KS$43,KQ21&lt;&gt;""),AND(LI21&gt;=LO$39,LK21&gt;=LO$43,LI21&lt;&gt;""),AND(LM21&gt;=LO$39,LN21&gt;=LO$43,LM21&lt;&gt;""),AND(ME21&gt;=MK$39,MG21&gt;=MK$43,ME21&lt;&gt;""),AND(MI21&gt;=MK$39,MJ21&gt;=MK$43,MI21&lt;&gt;""),AND(NA21&gt;=NG$39,NC21&gt;=NG$43,NA21&lt;&gt;""),AND(NE21&gt;=NG$39,NF21&gt;=NG$43,NE21&lt;&gt;"")),"P","")</f>
        <v/>
      </c>
      <c r="G21" s="3" t="str">
        <f>IF(OR(AND(AM21&gt;=AS$43,AL21&lt;&gt;"",AJ21=""),AND(AO21&gt;=AS$43,AN21&lt;&gt;"",AN21=""),AND(AR21&gt;=AS$43,AQ21&lt;&gt;"",AJ21=""),AND(BQ21&gt;=BW$43,BP21&lt;&gt;"",BN21=""),AND(BS21&gt;=BW$43,BR21&lt;&gt;"",BN21=""),AND(BV21&gt;=BW$43,BU21&lt;&gt;"",BN21=""),AND(CU21&gt;=DA$43,CT21&lt;&gt;"",CR21=""),AND(CW21&gt;=DA$43,CV21&lt;&gt;"",CR21=""),AND(CZ21&gt;=DA$43,CY21&lt;&gt;"",CR21=""),AND(DU21&gt;=DY$43,DS21&lt;&gt;""),AND(DX21&gt;=DY$43,DW21&lt;&gt;""),AND(EQ21&gt;=EU$43,EO21&lt;&gt;""),AND(ET21&gt;=EU$43,ES21&lt;&gt;""),AND(FM21&gt;=FQ$43,FK21&lt;&gt;""),AND(FP21&gt;=FQ$43,FO21&lt;&gt;""),AND(GI21&gt;=GM$43,GG21&lt;&gt;""),AND(GL21&gt;=GM$43,GK21&lt;&gt;""),AND(HE21&gt;=HI$43,HC21&lt;&gt;""),AND(HH21&gt;=HI$43,HG21&lt;&gt;""),AND(IA21&gt;=IE$43,HY21&lt;&gt;""),AND(ID21&gt;=IE$43,IC21&lt;&gt;""),AND(IW21&gt;=JA$43,IU21&lt;&gt;""),AND(IZ21&gt;=JA$43,IY21&lt;&gt;""),AND(JS21&gt;=JW$43,JQ21&lt;&gt;""),AND(JV21&gt;=JW$43,JU21&lt;&gt;""),AND(KO21&gt;=KS$43,KM21&lt;&gt;""),AND(KR21&gt;=KS$43,KQ21&lt;&gt;""),AND(LK21&gt;=LO$43,LI21&lt;&gt;""),AND(LN21&gt;=LO$43,LM21&lt;&gt;""),AND(MG21&gt;=MK$43,ME21&lt;&gt;""),AND(MJ21&gt;=MK$43,MI21&lt;&gt;""),AND(NC21&gt;=NG$43,NA21&lt;&gt;""),AND(NF21&gt;=NG$43,NE21&lt;&gt;"")),"P","")</f>
        <v/>
      </c>
      <c r="H21" s="66" t="str">
        <f>IF(F21="P","National Team",IF(G21="P","No DD",""))</f>
        <v/>
      </c>
      <c r="I21" s="14">
        <f>MAX(AM21,AO21,AR21,BQ21,BS21,BV21,CU21,CW21,CZ21)</f>
        <v>48.86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48.47</v>
      </c>
      <c r="L21" s="14" t="str">
        <f>IF(K21=0,"",IF(OR(K21=CW21,K21=CU21,K21=CZ21),$BX$1,IF(OR(K21=BS21,K21=BQ21,K21=BV21),$AT$1,IF(OR(K21=AO21,K21=AM21,K21=AR21),$P$1,""))))</f>
        <v>2022 Nationals</v>
      </c>
      <c r="M21" s="14" t="str">
        <f>IF(MAX(DB21,DC21)&gt;0,MAX(DB21,DC21),"")</f>
        <v/>
      </c>
      <c r="N21" s="19" t="str">
        <f>IF(M21="","",IF(M21=DB21,"(Prelim)",IF(M21=DC21,"(Final)")))</f>
        <v/>
      </c>
      <c r="O21" s="14" t="str">
        <f>IF(M21="","",IF(M21=DB21,IF(M21+IF(K21="",0,K21)=NC21,$ML$1,IF(M21+IF(K21="",0,K21)=MG21,$LP$1,IF(M21+IF(K21="",0,K21)=LK21,$KT$1,IF(M21+IF(K21="",0,K21)=KO21,$JX$1,IF(M21+IF(K21="",0,K21)=JS21,$JB$1,IF(M21+IF(K21="",0,K21)=IW21,$IF$1,IF(M21+IF(K21="",0,K21)=IA21,$HJ$1,IF(M21+IF(K21="",0,K21)=HE21,$GN$1,IF(M21+IF(K21="",0,K21)=GI21,$FR$1,IF(M21+IF(K21="",0,K21)=FM21,$EV$1,IF(M21+IF(K21="",0,K21)=EQ21,$DZ$1,IF(M21+IF(K21="",0,K21)=DU21,$DD$1,IF(M21+IF(K21="",0,K21)=NB21,$ML$1,IF(M21+IF(K21="",0,K21)=MF21,$LP$1,IF(M21+IF(K21="",0,K21)=LJ21,$KT$1,IF(M21+IF(K21="",0,K21)=KN21,$JX$1,IF(M21+IF(K21="",0,K21)=JR21,$JB$1,IF(M21+IF(K21="",0,K21)=IV21,$IF$1,IF(M21+IF(K21="",0,K21)=HZ21,$HJ$1,IF(M21+IF(K21="",0,K21)=HD21,$GN$1,IF(M21+IF(K21="",0,K21)=GH21,$FR$1,IF(M21+IF(K21="",0,K21)=FL21,$EV$1,IF(M21+IF(K21="",0,K21)=EP21,$DZ$1,IF(M21+IF(K21="",0,K21)=DT21,$DD$1))))))))))))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</f>
        <v/>
      </c>
      <c r="P21" s="37">
        <v>16.100000000000001</v>
      </c>
      <c r="Q21" s="37">
        <v>9.3000000000000007</v>
      </c>
      <c r="R21" s="37">
        <v>1.8</v>
      </c>
      <c r="S21" s="37">
        <v>14.63</v>
      </c>
      <c r="T21" s="37">
        <v>0</v>
      </c>
      <c r="U21" s="37">
        <v>15.5</v>
      </c>
      <c r="V21" s="37">
        <v>9.4</v>
      </c>
      <c r="W21" s="37">
        <v>9.6</v>
      </c>
      <c r="X21" s="37">
        <v>14.36</v>
      </c>
      <c r="Y21" s="37">
        <v>0</v>
      </c>
      <c r="Z21" s="37"/>
      <c r="AA21" s="37"/>
      <c r="AB21" s="37"/>
      <c r="AC21" s="37"/>
      <c r="AD21" s="37"/>
      <c r="AE21" s="37">
        <v>14.6</v>
      </c>
      <c r="AF21" s="37">
        <v>9.1999999999999993</v>
      </c>
      <c r="AG21" s="37">
        <v>9.6</v>
      </c>
      <c r="AH21" s="37">
        <v>14.42</v>
      </c>
      <c r="AI21" s="37">
        <v>0</v>
      </c>
      <c r="AJ21" s="44"/>
      <c r="AK21" s="11">
        <f>IF(SUM(P21:S21)-T21&gt;0,SUM(P21:S21)-T21,"")</f>
        <v>41.830000000000005</v>
      </c>
      <c r="AL21" s="11">
        <f>IF(W21&gt;0,W21,"")</f>
        <v>9.6</v>
      </c>
      <c r="AM21" s="11">
        <f>IF(SUM(U21:X21)-Y21&gt;0,SUM(U21:X21)-Y21,"")</f>
        <v>48.86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90.69</v>
      </c>
      <c r="AQ21" s="11">
        <f>IF(AG21&gt;0,AG21,"")</f>
        <v>9.6</v>
      </c>
      <c r="AR21" s="11">
        <f>IF(SUM(AE21:AH21)-AI21&gt;0,SUM(AE21:AH21)-AI21,"")</f>
        <v>47.82</v>
      </c>
      <c r="AS21" s="11">
        <f>IF(SUM(AP21,AR21)&gt;0,SUM(AP21,AR21),"")</f>
        <v>138.51</v>
      </c>
      <c r="AT21" s="41">
        <v>16.600000000000001</v>
      </c>
      <c r="AU21" s="41">
        <v>9.5</v>
      </c>
      <c r="AV21" s="41">
        <v>1.8</v>
      </c>
      <c r="AW21" s="41">
        <v>14.49</v>
      </c>
      <c r="AX21" s="41">
        <v>0</v>
      </c>
      <c r="AY21" s="41">
        <v>15</v>
      </c>
      <c r="AZ21" s="41">
        <v>9.1999999999999993</v>
      </c>
      <c r="BA21" s="41">
        <v>10.1</v>
      </c>
      <c r="BB21" s="41">
        <v>14.17</v>
      </c>
      <c r="BC21" s="41">
        <v>0</v>
      </c>
      <c r="BD21" s="41"/>
      <c r="BE21" s="41"/>
      <c r="BF21" s="41"/>
      <c r="BG21" s="41"/>
      <c r="BH21" s="41"/>
      <c r="BI21" s="41">
        <v>14.9</v>
      </c>
      <c r="BJ21" s="41">
        <v>9.3000000000000007</v>
      </c>
      <c r="BK21" s="41">
        <v>10.1</v>
      </c>
      <c r="BL21" s="41">
        <v>13.49</v>
      </c>
      <c r="BM21" s="41">
        <v>0</v>
      </c>
      <c r="BN21" s="45"/>
      <c r="BO21" s="14">
        <f>IF(SUM(AT21:AW21)-AX21&gt;0,SUM(AT21:AW21)-AX21,"")</f>
        <v>42.39</v>
      </c>
      <c r="BP21" s="14">
        <f>IF(BA21&gt;0,BA21,"")</f>
        <v>10.1</v>
      </c>
      <c r="BQ21" s="14">
        <f>IF(SUM(AY21:BB21)-BC21&gt;0,SUM(AY21:BB21)-BC21,"")</f>
        <v>48.47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90.86</v>
      </c>
      <c r="BU21" s="14">
        <f>IF(BK21&gt;0,BK21,"")</f>
        <v>10.1</v>
      </c>
      <c r="BV21" s="14">
        <f>IF(SUM(BI21:BL21)-BM21&gt;0,SUM(BI21:BL21)-BM21,"")</f>
        <v>47.790000000000006</v>
      </c>
      <c r="BW21" s="14">
        <f>IF(SUM(BT21,BV21)&gt;0,SUM(BT21,BV21),"")</f>
        <v>138.65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8" t="str">
        <f>IF(K21&gt;=0.001,IF(MAX(DT21,DU21,EP21,EQ21,FL21,FM21,GH21,GI21,HD21,HE21,HZ21,IA21,IV21,IW21,JR21,JS21,KN21,KO21,LJ21,LK21,MF21,MG21,NB21,NC21)-IF(K21="",0,K21)&gt;0.001,MAX(DT21,DU21,EP21,EQ21,FL21,FM21,GH21,GI21,HD21,HE21,HZ21,IA21,IV21,IW21,JR21,JS21,KN21,KO21,LJ21,LK21,MF21,MG21,NB21,NC21)-IF(K21="",0,K21),""),"")</f>
        <v/>
      </c>
      <c r="DC21" s="18" t="str">
        <f>IF(K21&gt;=0.001,IF(MAX(DX21,ET21,FP21,GL21,HH21,ID21,IZ21,JV21,KR21,LN21,MJ21,NF21)-IF(K21="",0,K21)&gt;0.001,MAX(DX21,ET21,FP21,GL21,HH21,ID21,IZ21,JV21,KR21,LN21,MJ21,NF21)-IF(K21="",0,K21),""),"")</f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7">
        <f>IF($CR21="P",BX21,(BX21+AT21)/2)</f>
        <v>8.3000000000000007</v>
      </c>
      <c r="NI21" s="37">
        <f>IF($CR21="P",BY21,(BY21+AU21)/2)</f>
        <v>4.75</v>
      </c>
      <c r="NJ21" s="37">
        <f>IF($CR21="P",BZ21,(BZ21+AV21)/2)</f>
        <v>0.9</v>
      </c>
      <c r="NK21" s="37">
        <f>IF($CR21="P",CA21,(CA21+AW21)/2)</f>
        <v>7.2450000000000001</v>
      </c>
      <c r="NL21" s="37">
        <f>IF($CR21="P",CB21,(CB21+AX21)/2)</f>
        <v>0</v>
      </c>
      <c r="NM21" s="37">
        <f>IF($CR21="P",CC21,(CC21+AY21)/2)</f>
        <v>7.5</v>
      </c>
      <c r="NN21" s="37">
        <f>IF($CR21="P",CD21,(CD21+AZ21)/2)</f>
        <v>4.5999999999999996</v>
      </c>
      <c r="NO21" s="37">
        <f>IF($CR21="P",CE21,(CE21+BA21)/2)</f>
        <v>5.05</v>
      </c>
      <c r="NP21" s="37">
        <f>IF($CR21="P",CF21,(CF21+BB21)/2)</f>
        <v>7.085</v>
      </c>
      <c r="NQ21" s="37">
        <f>IF($CR21="P",CG21,(CG21+BC21)/2)</f>
        <v>0</v>
      </c>
      <c r="NR21" s="37">
        <f>IF($CR21="P",CH21,(CH21+BD21)/2)</f>
        <v>0</v>
      </c>
      <c r="NS21" s="37">
        <f>IF($CR21="P",CI21,(CI21+BE21)/2)</f>
        <v>0</v>
      </c>
      <c r="NT21" s="37">
        <f>IF($CR21="P",CJ21,(CJ21+BF21)/2)</f>
        <v>0</v>
      </c>
      <c r="NU21" s="37">
        <f>IF($CR21="P",CK21,(CK21+BG21)/2)</f>
        <v>0</v>
      </c>
      <c r="NV21" s="37">
        <f>IF($CR21="P",CL21,(CL21+BH21)/2)</f>
        <v>0</v>
      </c>
      <c r="NW21" s="37">
        <f>IF($CR21="P",CM21,(CM21+BI21)/2)</f>
        <v>7.45</v>
      </c>
      <c r="NX21" s="37">
        <f>IF($CR21="P",CN21,(CN21+BJ21)/2)</f>
        <v>4.6500000000000004</v>
      </c>
      <c r="NY21" s="37">
        <f>IF($CR21="P",CO21,(CO21+BK21)/2)</f>
        <v>5.05</v>
      </c>
      <c r="NZ21" s="37">
        <f>IF($CR21="P",CP21,(CP21+BL21)/2)</f>
        <v>6.7450000000000001</v>
      </c>
      <c r="OA21" s="37">
        <f>IF($CR21="P",CQ21,(CQ21+BM21)/2)</f>
        <v>0</v>
      </c>
      <c r="OB21" s="44" t="s">
        <v>46</v>
      </c>
      <c r="OC21" s="11">
        <f>IF(SUM(NH21:NK21)-NL21&gt;0,SUM(NH21:NK21)-NL21,"")</f>
        <v>21.195</v>
      </c>
      <c r="OD21" s="11">
        <f>IF(NO21&gt;0,NO21,"")</f>
        <v>5.05</v>
      </c>
      <c r="OE21" s="11">
        <f>IF(SUM(NM21:NP21)-NQ21&gt;0,SUM(NM21:NP21)-NQ21,"")</f>
        <v>24.234999999999999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45.43</v>
      </c>
      <c r="OI21" s="11">
        <f>IF(NY21&gt;0,NY21,"")</f>
        <v>5.05</v>
      </c>
      <c r="OJ21" s="11">
        <f t="shared" ref="OJ21" si="22">IF(SUM(NW21:NZ21)-OA21&gt;0,SUM(NW21:NZ21)-OA21,"")</f>
        <v>23.895000000000003</v>
      </c>
      <c r="OK21" s="11">
        <f t="shared" ref="OK21" si="23">IF(SUM(OH21,OJ21)&gt;0,SUM(OH21,OJ21),"")</f>
        <v>69.325000000000003</v>
      </c>
    </row>
    <row r="22" spans="1:401" x14ac:dyDescent="0.2">
      <c r="A22" s="5" t="str" cm="1">
        <f t="array" ref="A22">IF(AND(F22="P",G22="P"),SUMPRODUCT((F$4:F$37="P")*(G$4:G$37="P")*(E$4:E$37&gt;E22))+1,IF(G22="P",SUMPRODUCT((F$4:F$37="")*(G$4:G$37="P")*(E$4:E$37&gt;E22))+1+SUMPRODUCT((F$4:F$37="P")*(G$4:G$37="P")),""))</f>
        <v/>
      </c>
      <c r="B22" s="6" t="s">
        <v>153</v>
      </c>
      <c r="C22" s="7" t="s">
        <v>6</v>
      </c>
      <c r="D22" s="5">
        <v>2001</v>
      </c>
      <c r="E22" s="15">
        <f>SUM(I22:M22)+I22*0.0000001</f>
        <v>96.710004855000008</v>
      </c>
      <c r="F22" s="3" t="str">
        <f>IF(OR(AND(AL22&gt;=AS$39,AM22&gt;=AS$43,AL22&lt;&gt;"",AJ22=""),AND(AN22&gt;=AS$39,AO22&gt;=AS$43,AN22&lt;&gt;"",AN22=""),AND(AQ22&gt;=AS$39,AR22&gt;=AS$43,AQ22&lt;&gt;"",AJ22=""),AND(BP22&gt;=BW$39,BQ22&gt;=BW$43,BP22&lt;&gt;"",BN22=""),AND(BR22&gt;=BW$39,BS22&gt;=BW$43,BR22&lt;&gt;"",BN22=""),AND(BU22&gt;=BW$39,BV22&gt;=BW$43,BU22&lt;&gt;"",BN22=""),AND(CT22&gt;=DA$39,CU22&gt;=DA$43,CT22&lt;&gt;"",CR22=""),AND(CV22&gt;=DA$39,CW22&gt;=DA$43,CV22&lt;&gt;"",CR22=""),AND(CY22&gt;=DA$39,CZ22&gt;=DA$43,CY22&lt;&gt;"",CR22=""),AND(DS22&gt;=DY$39,DU22&gt;=DY$43,DS22&lt;&gt;""),AND(DW22&gt;=DY$39,DX22&gt;=DY$43,DW22&lt;&gt;""),AND(EO22&gt;=EU$39,EQ22&gt;=EU$43,EO22&lt;&gt;""),AND(ES22&gt;=EU$39,ET22&gt;=EU$43,ES22&lt;&gt;""),AND(FK22&gt;=FQ$39,FM22&gt;=FQ$43,FK22&lt;&gt;""),AND(FO22&gt;=FQ$39,FP22&gt;=FQ$43,FO22&lt;&gt;""),AND(GG22&gt;=GM$39,GI22&gt;=GM$43,GG22&lt;&gt;""),AND(GK22&gt;=GM$39,GL22&gt;=GM$43,GK22&lt;&gt;""),AND(HC22&gt;=HI$39,HE22&gt;=HI$43,HC22&lt;&gt;""),AND(HG22&gt;=HI$39,HH22&gt;=HI$43,HG22&lt;&gt;""),AND(HY22&gt;=IE$39,IA22&gt;=IE$43,HY22&lt;&gt;""),AND(IC22&gt;=IE$39,ID22&gt;=IE$43,IC22&lt;&gt;""),AND(IU22&gt;=JA$39,IW22&gt;=JA$43,IU22&lt;&gt;""),AND(IY22&gt;=JA$39,IZ22&gt;=JA$43,IY22&lt;&gt;""),AND(JQ22&gt;=JW$39,JS22&gt;=JW$43,JQ22&lt;&gt;""),AND(JU22&gt;=JW$39,JV22&gt;=JW$43,JU22&lt;&gt;""),AND(KM22&gt;=KS$39,KO22&gt;=KS$43,KM22&lt;&gt;""),AND(KQ22&gt;=KS$39,KR22&gt;=KS$43,KQ22&lt;&gt;""),AND(LI22&gt;=LO$39,LK22&gt;=LO$43,LI22&lt;&gt;""),AND(LM22&gt;=LO$39,LN22&gt;=LO$43,LM22&lt;&gt;""),AND(ME22&gt;=MK$39,MG22&gt;=MK$43,ME22&lt;&gt;""),AND(MI22&gt;=MK$39,MJ22&gt;=MK$43,MI22&lt;&gt;""),AND(NA22&gt;=NG$39,NC22&gt;=NG$43,NA22&lt;&gt;""),AND(NE22&gt;=NG$39,NF22&gt;=NG$43,NE22&lt;&gt;"")),"P","")</f>
        <v/>
      </c>
      <c r="G22" s="3" t="str">
        <f>IF(OR(AND(AM22&gt;=AS$43,AL22&lt;&gt;"",AJ22=""),AND(AO22&gt;=AS$43,AN22&lt;&gt;"",AN22=""),AND(AR22&gt;=AS$43,AQ22&lt;&gt;"",AJ22=""),AND(BQ22&gt;=BW$43,BP22&lt;&gt;"",BN22=""),AND(BS22&gt;=BW$43,BR22&lt;&gt;"",BN22=""),AND(BV22&gt;=BW$43,BU22&lt;&gt;"",BN22=""),AND(CU22&gt;=DA$43,CT22&lt;&gt;"",CR22=""),AND(CW22&gt;=DA$43,CV22&lt;&gt;"",CR22=""),AND(CZ22&gt;=DA$43,CY22&lt;&gt;"",CR22=""),AND(DU22&gt;=DY$43,DS22&lt;&gt;""),AND(DX22&gt;=DY$43,DW22&lt;&gt;""),AND(EQ22&gt;=EU$43,EO22&lt;&gt;""),AND(ET22&gt;=EU$43,ES22&lt;&gt;""),AND(FM22&gt;=FQ$43,FK22&lt;&gt;""),AND(FP22&gt;=FQ$43,FO22&lt;&gt;""),AND(GI22&gt;=GM$43,GG22&lt;&gt;""),AND(GL22&gt;=GM$43,GK22&lt;&gt;""),AND(HE22&gt;=HI$43,HC22&lt;&gt;""),AND(HH22&gt;=HI$43,HG22&lt;&gt;""),AND(IA22&gt;=IE$43,HY22&lt;&gt;""),AND(ID22&gt;=IE$43,IC22&lt;&gt;""),AND(IW22&gt;=JA$43,IU22&lt;&gt;""),AND(IZ22&gt;=JA$43,IY22&lt;&gt;""),AND(JS22&gt;=JW$43,JQ22&lt;&gt;""),AND(JV22&gt;=JW$43,JU22&lt;&gt;""),AND(KO22&gt;=KS$43,KM22&lt;&gt;""),AND(KR22&gt;=KS$43,KQ22&lt;&gt;""),AND(LK22&gt;=LO$43,LI22&lt;&gt;""),AND(LN22&gt;=LO$43,LM22&lt;&gt;""),AND(MG22&gt;=MK$43,ME22&lt;&gt;""),AND(MJ22&gt;=MK$43,MI22&lt;&gt;""),AND(NC22&gt;=NG$43,NA22&lt;&gt;""),AND(NF22&gt;=NG$43,NE22&lt;&gt;"")),"P","")</f>
        <v/>
      </c>
      <c r="H22" s="66" t="str">
        <f>IF(F22="P","National Team",IF(G22="P","No DD",""))</f>
        <v/>
      </c>
      <c r="I22" s="14">
        <f>MAX(AM22,AO22,AR22,BQ22,BS22,BV22,CU22,CW22,CZ22)</f>
        <v>48.550000000000004</v>
      </c>
      <c r="J22" s="14" t="str">
        <f>IF(I22=0,"",IF(OR(I22=CW22,I22=CU22,I22=CZ22),$BX$1,IF(OR(I22=BS22,I22=BQ22,I22=BV22),$AT$1,IF(OR(I22=AO22,I22=AM22,I22=AR22),$P$1,""))))</f>
        <v>2022 Nationals</v>
      </c>
      <c r="K22" s="14">
        <f>IF(COUNT(AM22,AO22,AR22,BQ22,BS22,BV22,CU22,CW22,CZ22)&gt;1,LARGE((AM22,AO22,AR22,BQ22,BS22,BV22,CU22,CW22,CZ22),2),0)</f>
        <v>48.16</v>
      </c>
      <c r="L22" s="14" t="str">
        <f>IF(K22=0,"",IF(OR(K22=CW22,K22=CU22,K22=CZ22),$BX$1,IF(OR(K22=BS22,K22=BQ22,K22=BV22),$AT$1,IF(OR(K22=AO22,K22=AM22,K22=AR22),$P$1,""))))</f>
        <v>2022 Nationals</v>
      </c>
      <c r="M22" s="14" t="str">
        <f>IF(MAX(DB22,DC22)&gt;0,MAX(DB22,DC22),"")</f>
        <v/>
      </c>
      <c r="N22" s="19" t="str">
        <f>IF(M22="","",IF(M22=DB22,"(Prelim)",IF(M22=DC22,"(Final)")))</f>
        <v/>
      </c>
      <c r="O22" s="14" t="str">
        <f>IF(M22="","",IF(M22=DB22,IF(M22+IF(K22="",0,K22)=NC22,$ML$1,IF(M22+IF(K22="",0,K22)=MG22,$LP$1,IF(M22+IF(K22="",0,K22)=LK22,$KT$1,IF(M22+IF(K22="",0,K22)=KO22,$JX$1,IF(M22+IF(K22="",0,K22)=JS22,$JB$1,IF(M22+IF(K22="",0,K22)=IW22,$IF$1,IF(M22+IF(K22="",0,K22)=IA22,$HJ$1,IF(M22+IF(K22="",0,K22)=HE22,$GN$1,IF(M22+IF(K22="",0,K22)=GI22,$FR$1,IF(M22+IF(K22="",0,K22)=FM22,$EV$1,IF(M22+IF(K22="",0,K22)=EQ22,$DZ$1,IF(M22+IF(K22="",0,K22)=DU22,$DD$1,IF(M22+IF(K22="",0,K22)=NB22,$ML$1,IF(M22+IF(K22="",0,K22)=MF22,$LP$1,IF(M22+IF(K22="",0,K22)=LJ22,$KT$1,IF(M22+IF(K22="",0,K22)=KN22,$JX$1,IF(M22+IF(K22="",0,K22)=JR22,$JB$1,IF(M22+IF(K22="",0,K22)=IV22,$IF$1,IF(M22+IF(K22="",0,K22)=HZ22,$HJ$1,IF(M22+IF(K22="",0,K22)=HD22,$GN$1,IF(M22+IF(K22="",0,K22)=GH22,$FR$1,IF(M22+IF(K22="",0,K22)=FL22,$EV$1,IF(M22+IF(K22="",0,K22)=EP22,$DZ$1,IF(M22+IF(K22="",0,K22)=DT22,$DD$1))))))))))))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</f>
        <v/>
      </c>
      <c r="P22" s="37">
        <v>14.3</v>
      </c>
      <c r="Q22" s="37">
        <v>8.4</v>
      </c>
      <c r="R22" s="37">
        <v>1</v>
      </c>
      <c r="S22" s="37">
        <v>13.88</v>
      </c>
      <c r="T22" s="37">
        <v>0</v>
      </c>
      <c r="U22" s="37">
        <v>14.5</v>
      </c>
      <c r="V22" s="37">
        <v>9.1999999999999993</v>
      </c>
      <c r="W22" s="37">
        <v>9.1</v>
      </c>
      <c r="X22" s="37">
        <v>15.13</v>
      </c>
      <c r="Y22" s="37">
        <v>0</v>
      </c>
      <c r="Z22" s="37"/>
      <c r="AA22" s="37"/>
      <c r="AB22" s="37"/>
      <c r="AC22" s="37"/>
      <c r="AD22" s="37"/>
      <c r="AE22" s="37">
        <v>1.6</v>
      </c>
      <c r="AF22" s="37">
        <v>1</v>
      </c>
      <c r="AG22" s="37">
        <v>1.3</v>
      </c>
      <c r="AH22" s="37">
        <v>1.65</v>
      </c>
      <c r="AI22" s="37">
        <v>0</v>
      </c>
      <c r="AJ22" s="44"/>
      <c r="AK22" s="11">
        <f>IF(SUM(P22:S22)-T22&gt;0,SUM(P22:S22)-T22,"")</f>
        <v>37.580000000000005</v>
      </c>
      <c r="AL22" s="11">
        <f>IF(W22&gt;0,W22,"")</f>
        <v>9.1</v>
      </c>
      <c r="AM22" s="11">
        <f>IF(SUM(U22:X22)-Y22&gt;0,SUM(U22:X22)-Y22,"")</f>
        <v>47.93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85.51</v>
      </c>
      <c r="AQ22" s="11">
        <f>IF(AG22&gt;0,AG22,"")</f>
        <v>1.3</v>
      </c>
      <c r="AR22" s="11">
        <f>IF(SUM(AE22:AH22)-AI22&gt;0,SUM(AE22:AH22)-AI22,"")</f>
        <v>5.5500000000000007</v>
      </c>
      <c r="AS22" s="11">
        <f>IF(SUM(AP22,AR22)&gt;0,SUM(AP22,AR22),"")</f>
        <v>91.06</v>
      </c>
      <c r="AT22" s="41">
        <v>17.3</v>
      </c>
      <c r="AU22" s="41">
        <v>9.5</v>
      </c>
      <c r="AV22" s="41">
        <v>1.8</v>
      </c>
      <c r="AW22" s="41">
        <v>15.23</v>
      </c>
      <c r="AX22" s="41">
        <v>0</v>
      </c>
      <c r="AY22" s="41">
        <v>14.8</v>
      </c>
      <c r="AZ22" s="41">
        <v>8.9</v>
      </c>
      <c r="BA22" s="41">
        <v>10</v>
      </c>
      <c r="BB22" s="41">
        <v>14.85</v>
      </c>
      <c r="BC22" s="41">
        <v>0</v>
      </c>
      <c r="BD22" s="41"/>
      <c r="BE22" s="41"/>
      <c r="BF22" s="41"/>
      <c r="BG22" s="41"/>
      <c r="BH22" s="41"/>
      <c r="BI22" s="41">
        <v>14.5</v>
      </c>
      <c r="BJ22" s="41">
        <v>8.9</v>
      </c>
      <c r="BK22" s="41">
        <v>10</v>
      </c>
      <c r="BL22" s="41">
        <v>14.76</v>
      </c>
      <c r="BM22" s="41">
        <v>0</v>
      </c>
      <c r="BN22" s="45"/>
      <c r="BO22" s="14">
        <f>IF(SUM(AT22:AW22)-AX22&gt;0,SUM(AT22:AW22)-AX22,"")</f>
        <v>43.83</v>
      </c>
      <c r="BP22" s="14">
        <f>IF(BA22&gt;0,BA22,"")</f>
        <v>10</v>
      </c>
      <c r="BQ22" s="14">
        <f>IF(SUM(AY22:BB22)-BC22&gt;0,SUM(AY22:BB22)-BC22,"")</f>
        <v>48.550000000000004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92.38</v>
      </c>
      <c r="BU22" s="14">
        <f>IF(BK22&gt;0,BK22,"")</f>
        <v>10</v>
      </c>
      <c r="BV22" s="14">
        <f>IF(SUM(BI22:BL22)-BM22&gt;0,SUM(BI22:BL22)-BM22,"")</f>
        <v>48.16</v>
      </c>
      <c r="BW22" s="14">
        <f>IF(SUM(BT22,BV22)&gt;0,SUM(BT22,BV22),"")</f>
        <v>140.54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>IF(SUM(BX22:CA22)-CB22&gt;0,SUM(BX22:CA22)-CB22,"")</f>
        <v/>
      </c>
      <c r="CT22" s="11" t="str">
        <f>IF(CE22&gt;0,CE22,"")</f>
        <v/>
      </c>
      <c r="CU22" s="11" t="str">
        <f>IF(SUM(CC22:CF22)-CG22&gt;0,SUM(CC22:CF22)-CG22,"")</f>
        <v/>
      </c>
      <c r="CV22" s="11" t="str">
        <f>IF(CJ22&gt;0,CJ22,"")</f>
        <v/>
      </c>
      <c r="CW22" s="11" t="str">
        <f>IF(SUM(CH22:CK22)-CL22&gt;0,SUM(CH22:CK22)-CL22,"")</f>
        <v/>
      </c>
      <c r="CX22" s="11" t="str">
        <f>IF(CS22="",IF(MAX(CU22,CW22)&gt;0,MAX(CU22,CW22),""),MAX(CU22,CW22)+CS22)</f>
        <v/>
      </c>
      <c r="CY22" s="11" t="str">
        <f>IF(CO22&gt;0,CO22,"")</f>
        <v/>
      </c>
      <c r="CZ22" s="11" t="str">
        <f>IF(SUM(CM22:CP22)-CQ22&gt;0,SUM(CM22:CP22)-CQ22,"")</f>
        <v/>
      </c>
      <c r="DA22" s="11" t="str">
        <f>IF(SUM(CX22,CZ22)&gt;0,SUM(CX22,CZ22),"")</f>
        <v/>
      </c>
      <c r="DB22" s="18" t="str">
        <f>IF(K22&gt;=0.001,IF(MAX(DT22,DU22,EP22,EQ22,FL22,FM22,GH22,GI22,HD22,HE22,HZ22,IA22,IV22,IW22,JR22,JS22,KN22,KO22,LJ22,LK22,MF22,MG22,NB22,NC22)-IF(K22="",0,K22)&gt;0.001,MAX(DT22,DU22,EP22,EQ22,FL22,FM22,GH22,GI22,HD22,HE22,HZ22,IA22,IV22,IW22,JR22,JS22,KN22,KO22,LJ22,LK22,MF22,MG22,NB22,NC22)-IF(K22="",0,K22),""),"")</f>
        <v/>
      </c>
      <c r="DC22" s="18" t="str">
        <f>IF(K22&gt;=0.001,IF(MAX(DX22,ET22,FP22,GL22,HH22,ID22,IZ22,JV22,KR22,LN22,MJ22,NF22)-IF(K22="",0,K22)&gt;0.001,MAX(DX22,ET22,FP22,GL22,HH22,ID22,IZ22,JV22,KR22,LN22,MJ22,NF22)-IF(K22="",0,K22),""),"")</f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7">
        <f>IF($CR22="P",BX22,(BX22+AT22)/2)</f>
        <v>8.65</v>
      </c>
      <c r="NI22" s="37">
        <f>IF($CR22="P",BY22,(BY22+AU22)/2)</f>
        <v>4.75</v>
      </c>
      <c r="NJ22" s="37">
        <f>IF($CR22="P",BZ22,(BZ22+AV22)/2)</f>
        <v>0.9</v>
      </c>
      <c r="NK22" s="37">
        <f>IF($CR22="P",CA22,(CA22+AW22)/2)</f>
        <v>7.6150000000000002</v>
      </c>
      <c r="NL22" s="37">
        <f>IF($CR22="P",CB22,(CB22+AX22)/2)</f>
        <v>0</v>
      </c>
      <c r="NM22" s="37">
        <f>IF($CR22="P",CC22,(CC22+AY22)/2)</f>
        <v>7.4</v>
      </c>
      <c r="NN22" s="37">
        <f>IF($CR22="P",CD22,(CD22+AZ22)/2)</f>
        <v>4.45</v>
      </c>
      <c r="NO22" s="37">
        <f>IF($CR22="P",CE22,(CE22+BA22)/2)</f>
        <v>5</v>
      </c>
      <c r="NP22" s="37">
        <f>IF($CR22="P",CF22,(CF22+BB22)/2)</f>
        <v>7.4249999999999998</v>
      </c>
      <c r="NQ22" s="37">
        <f>IF($CR22="P",CG22,(CG22+BC22)/2)</f>
        <v>0</v>
      </c>
      <c r="NR22" s="37">
        <f>IF($CR22="P",CH22,(CH22+BD22)/2)</f>
        <v>0</v>
      </c>
      <c r="NS22" s="37">
        <f>IF($CR22="P",CI22,(CI22+BE22)/2)</f>
        <v>0</v>
      </c>
      <c r="NT22" s="37">
        <f>IF($CR22="P",CJ22,(CJ22+BF22)/2)</f>
        <v>0</v>
      </c>
      <c r="NU22" s="37">
        <f>IF($CR22="P",CK22,(CK22+BG22)/2)</f>
        <v>0</v>
      </c>
      <c r="NV22" s="37">
        <f>IF($CR22="P",CL22,(CL22+BH22)/2)</f>
        <v>0</v>
      </c>
      <c r="NW22" s="37">
        <f>IF($CR22="P",CM22,(CM22+BI22)/2)</f>
        <v>7.25</v>
      </c>
      <c r="NX22" s="37">
        <f>IF($CR22="P",CN22,(CN22+BJ22)/2)</f>
        <v>4.45</v>
      </c>
      <c r="NY22" s="37">
        <f>IF($CR22="P",CO22,(CO22+BK22)/2)</f>
        <v>5</v>
      </c>
      <c r="NZ22" s="37">
        <f>IF($CR22="P",CP22,(CP22+BL22)/2)</f>
        <v>7.38</v>
      </c>
      <c r="OA22" s="37">
        <f>IF($CR22="P",CQ22,(CQ22+BM22)/2)</f>
        <v>0</v>
      </c>
      <c r="OB22" s="44" t="s">
        <v>46</v>
      </c>
      <c r="OC22" s="11">
        <f>IF(SUM(NH22:NK22)-NL22&gt;0,SUM(NH22:NK22)-NL22,"")</f>
        <v>21.914999999999999</v>
      </c>
      <c r="OD22" s="11">
        <f>IF(NO22&gt;0,NO22,"")</f>
        <v>5</v>
      </c>
      <c r="OE22" s="11">
        <f>IF(SUM(NM22:NP22)-NQ22&gt;0,SUM(NM22:NP22)-NQ22,"")</f>
        <v>24.275000000000002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46.19</v>
      </c>
      <c r="OI22" s="11">
        <f>IF(NY22&gt;0,NY22,"")</f>
        <v>5</v>
      </c>
      <c r="OJ22" s="11">
        <f t="shared" ref="OJ22" si="24">IF(SUM(NW22:NZ22)-OA22&gt;0,SUM(NW22:NZ22)-OA22,"")</f>
        <v>24.08</v>
      </c>
      <c r="OK22" s="11">
        <f t="shared" ref="OK22" si="25">IF(SUM(OH22,OJ22)&gt;0,SUM(OH22,OJ22),"")</f>
        <v>70.27</v>
      </c>
    </row>
    <row r="23" spans="1:401" x14ac:dyDescent="0.2">
      <c r="A23" s="5" t="str" cm="1">
        <f t="array" ref="A23">IF(AND(F23="P",G23="P"),SUMPRODUCT((F$4:F$37="P")*(G$4:G$37="P")*(E$4:E$37&gt;E23))+1,IF(G23="P",SUMPRODUCT((F$4:F$37="")*(G$4:G$37="P")*(E$4:E$37&gt;E23))+1+SUMPRODUCT((F$4:F$37="P")*(G$4:G$37="P")),""))</f>
        <v/>
      </c>
      <c r="B23" s="6" t="s">
        <v>155</v>
      </c>
      <c r="C23" s="7" t="s">
        <v>6</v>
      </c>
      <c r="D23" s="5">
        <v>2005</v>
      </c>
      <c r="E23" s="15">
        <f>SUM(I23:M23)+I23*0.0000001</f>
        <v>96.650004903999999</v>
      </c>
      <c r="F23" s="3" t="str">
        <f>IF(OR(AND(AL23&gt;=AS$39,AM23&gt;=AS$43,AL23&lt;&gt;"",AJ23=""),AND(AN23&gt;=AS$39,AO23&gt;=AS$43,AN23&lt;&gt;"",AN23=""),AND(AQ23&gt;=AS$39,AR23&gt;=AS$43,AQ23&lt;&gt;"",AJ23=""),AND(BP23&gt;=BW$39,BQ23&gt;=BW$43,BP23&lt;&gt;"",BN23=""),AND(BR23&gt;=BW$39,BS23&gt;=BW$43,BR23&lt;&gt;"",BN23=""),AND(BU23&gt;=BW$39,BV23&gt;=BW$43,BU23&lt;&gt;"",BN23=""),AND(CT23&gt;=DA$39,CU23&gt;=DA$43,CT23&lt;&gt;"",CR23=""),AND(CV23&gt;=DA$39,CW23&gt;=DA$43,CV23&lt;&gt;"",CR23=""),AND(CY23&gt;=DA$39,CZ23&gt;=DA$43,CY23&lt;&gt;"",CR23=""),AND(DS23&gt;=DY$39,DU23&gt;=DY$43,DS23&lt;&gt;""),AND(DW23&gt;=DY$39,DX23&gt;=DY$43,DW23&lt;&gt;""),AND(EO23&gt;=EU$39,EQ23&gt;=EU$43,EO23&lt;&gt;""),AND(ES23&gt;=EU$39,ET23&gt;=EU$43,ES23&lt;&gt;""),AND(FK23&gt;=FQ$39,FM23&gt;=FQ$43,FK23&lt;&gt;""),AND(FO23&gt;=FQ$39,FP23&gt;=FQ$43,FO23&lt;&gt;""),AND(GG23&gt;=GM$39,GI23&gt;=GM$43,GG23&lt;&gt;""),AND(GK23&gt;=GM$39,GL23&gt;=GM$43,GK23&lt;&gt;""),AND(HC23&gt;=HI$39,HE23&gt;=HI$43,HC23&lt;&gt;""),AND(HG23&gt;=HI$39,HH23&gt;=HI$43,HG23&lt;&gt;""),AND(HY23&gt;=IE$39,IA23&gt;=IE$43,HY23&lt;&gt;""),AND(IC23&gt;=IE$39,ID23&gt;=IE$43,IC23&lt;&gt;""),AND(IU23&gt;=JA$39,IW23&gt;=JA$43,IU23&lt;&gt;""),AND(IY23&gt;=JA$39,IZ23&gt;=JA$43,IY23&lt;&gt;""),AND(JQ23&gt;=JW$39,JS23&gt;=JW$43,JQ23&lt;&gt;""),AND(JU23&gt;=JW$39,JV23&gt;=JW$43,JU23&lt;&gt;""),AND(KM23&gt;=KS$39,KO23&gt;=KS$43,KM23&lt;&gt;""),AND(KQ23&gt;=KS$39,KR23&gt;=KS$43,KQ23&lt;&gt;""),AND(LI23&gt;=LO$39,LK23&gt;=LO$43,LI23&lt;&gt;""),AND(LM23&gt;=LO$39,LN23&gt;=LO$43,LM23&lt;&gt;""),AND(ME23&gt;=MK$39,MG23&gt;=MK$43,ME23&lt;&gt;""),AND(MI23&gt;=MK$39,MJ23&gt;=MK$43,MI23&lt;&gt;""),AND(NA23&gt;=NG$39,NC23&gt;=NG$43,NA23&lt;&gt;""),AND(NE23&gt;=NG$39,NF23&gt;=NG$43,NE23&lt;&gt;"")),"P","")</f>
        <v/>
      </c>
      <c r="G23" s="3" t="str">
        <f>IF(OR(AND(AM23&gt;=AS$43,AL23&lt;&gt;"",AJ23=""),AND(AO23&gt;=AS$43,AN23&lt;&gt;"",AN23=""),AND(AR23&gt;=AS$43,AQ23&lt;&gt;"",AJ23=""),AND(BQ23&gt;=BW$43,BP23&lt;&gt;"",BN23=""),AND(BS23&gt;=BW$43,BR23&lt;&gt;"",BN23=""),AND(BV23&gt;=BW$43,BU23&lt;&gt;"",BN23=""),AND(CU23&gt;=DA$43,CT23&lt;&gt;"",CR23=""),AND(CW23&gt;=DA$43,CV23&lt;&gt;"",CR23=""),AND(CZ23&gt;=DA$43,CY23&lt;&gt;"",CR23=""),AND(DU23&gt;=DY$43,DS23&lt;&gt;""),AND(DX23&gt;=DY$43,DW23&lt;&gt;""),AND(EQ23&gt;=EU$43,EO23&lt;&gt;""),AND(ET23&gt;=EU$43,ES23&lt;&gt;""),AND(FM23&gt;=FQ$43,FK23&lt;&gt;""),AND(FP23&gt;=FQ$43,FO23&lt;&gt;""),AND(GI23&gt;=GM$43,GG23&lt;&gt;""),AND(GL23&gt;=GM$43,GK23&lt;&gt;""),AND(HE23&gt;=HI$43,HC23&lt;&gt;""),AND(HH23&gt;=HI$43,HG23&lt;&gt;""),AND(IA23&gt;=IE$43,HY23&lt;&gt;""),AND(ID23&gt;=IE$43,IC23&lt;&gt;""),AND(IW23&gt;=JA$43,IU23&lt;&gt;""),AND(IZ23&gt;=JA$43,IY23&lt;&gt;""),AND(JS23&gt;=JW$43,JQ23&lt;&gt;""),AND(JV23&gt;=JW$43,JU23&lt;&gt;""),AND(KO23&gt;=KS$43,KM23&lt;&gt;""),AND(KR23&gt;=KS$43,KQ23&lt;&gt;""),AND(LK23&gt;=LO$43,LI23&lt;&gt;""),AND(LN23&gt;=LO$43,LM23&lt;&gt;""),AND(MG23&gt;=MK$43,ME23&lt;&gt;""),AND(MJ23&gt;=MK$43,MI23&lt;&gt;""),AND(NC23&gt;=NG$43,NA23&lt;&gt;""),AND(NF23&gt;=NG$43,NE23&lt;&gt;"")),"P","")</f>
        <v/>
      </c>
      <c r="H23" s="66" t="str">
        <f>IF(F23="P","National Team",IF(G23="P","No DD",""))</f>
        <v/>
      </c>
      <c r="I23" s="14">
        <f>MAX(AM23,AO23,AR23,BQ23,BS23,BV23,CU23,CW23,CZ23)</f>
        <v>49.04</v>
      </c>
      <c r="J23" s="14" t="str">
        <f>IF(I23=0,"",IF(OR(I23=CW23,I23=CU23,I23=CZ23),$BX$1,IF(OR(I23=BS23,I23=BQ23,I23=BV23),$AT$1,IF(OR(I23=AO23,I23=AM23,I23=AR23),$P$1,""))))</f>
        <v>2022 Elite Canada</v>
      </c>
      <c r="K23" s="14">
        <f>IF(COUNT(AM23,AO23,AR23,BQ23,BS23,BV23,CU23,CW23,CZ23)&gt;1,LARGE((AM23,AO23,AR23,BQ23,BS23,BV23,CU23,CW23,CZ23),2),0)</f>
        <v>47.61</v>
      </c>
      <c r="L23" s="14" t="str">
        <f>IF(K23=0,"",IF(OR(K23=CW23,K23=CU23,K23=CZ23),$BX$1,IF(OR(K23=BS23,K23=BQ23,K23=BV23),$AT$1,IF(OR(K23=AO23,K23=AM23,K23=AR23),$P$1,""))))</f>
        <v>2022 Nationals</v>
      </c>
      <c r="M23" s="14" t="str">
        <f>IF(MAX(DB23,DC23)&gt;0,MAX(DB23,DC23),"")</f>
        <v/>
      </c>
      <c r="N23" s="19" t="str">
        <f>IF(M23="","",IF(M23=DB23,"(Prelim)",IF(M23=DC23,"(Final)")))</f>
        <v/>
      </c>
      <c r="O23" s="14" t="str">
        <f>IF(M23="","",IF(M23=DB23,IF(M23+IF(K23="",0,K23)=NC23,$ML$1,IF(M23+IF(K23="",0,K23)=MG23,$LP$1,IF(M23+IF(K23="",0,K23)=LK23,$KT$1,IF(M23+IF(K23="",0,K23)=KO23,$JX$1,IF(M23+IF(K23="",0,K23)=JS23,$JB$1,IF(M23+IF(K23="",0,K23)=IW23,$IF$1,IF(M23+IF(K23="",0,K23)=IA23,$HJ$1,IF(M23+IF(K23="",0,K23)=HE23,$GN$1,IF(M23+IF(K23="",0,K23)=GI23,$FR$1,IF(M23+IF(K23="",0,K23)=FM23,$EV$1,IF(M23+IF(K23="",0,K23)=EQ23,$DZ$1,IF(M23+IF(K23="",0,K23)=DU23,$DD$1,IF(M23+IF(K23="",0,K23)=NB23,$ML$1,IF(M23+IF(K23="",0,K23)=MF23,$LP$1,IF(M23+IF(K23="",0,K23)=LJ23,$KT$1,IF(M23+IF(K23="",0,K23)=KN23,$JX$1,IF(M23+IF(K23="",0,K23)=JR23,$JB$1,IF(M23+IF(K23="",0,K23)=IV23,$IF$1,IF(M23+IF(K23="",0,K23)=HZ23,$HJ$1,IF(M23+IF(K23="",0,K23)=HD23,$GN$1,IF(M23+IF(K23="",0,K23)=GH23,$FR$1,IF(M23+IF(K23="",0,K23)=FL23,$EV$1,IF(M23+IF(K23="",0,K23)=EP23,$DZ$1,IF(M23+IF(K23="",0,K23)=DT23,$DD$1))))))))))))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</f>
        <v/>
      </c>
      <c r="P23" s="37">
        <v>16.399999999999999</v>
      </c>
      <c r="Q23" s="37">
        <v>9.3000000000000007</v>
      </c>
      <c r="R23" s="37">
        <v>1.7</v>
      </c>
      <c r="S23" s="37">
        <v>14.92</v>
      </c>
      <c r="T23" s="37">
        <v>0</v>
      </c>
      <c r="U23" s="37">
        <v>15.8</v>
      </c>
      <c r="V23" s="37">
        <v>9</v>
      </c>
      <c r="W23" s="37">
        <v>9.1999999999999993</v>
      </c>
      <c r="X23" s="37">
        <v>15.04</v>
      </c>
      <c r="Y23" s="37">
        <v>0</v>
      </c>
      <c r="Z23" s="37"/>
      <c r="AA23" s="37"/>
      <c r="AB23" s="37"/>
      <c r="AC23" s="37"/>
      <c r="AD23" s="37"/>
      <c r="AE23" s="37">
        <v>9.1999999999999993</v>
      </c>
      <c r="AF23" s="37">
        <v>5</v>
      </c>
      <c r="AG23" s="37">
        <v>5.9</v>
      </c>
      <c r="AH23" s="37">
        <v>9.41</v>
      </c>
      <c r="AI23" s="37">
        <v>0</v>
      </c>
      <c r="AJ23" s="44"/>
      <c r="AK23" s="11">
        <f>IF(SUM(P23:S23)-T23&gt;0,SUM(P23:S23)-T23,"")</f>
        <v>42.32</v>
      </c>
      <c r="AL23" s="11">
        <f>IF(W23&gt;0,W23,"")</f>
        <v>9.1999999999999993</v>
      </c>
      <c r="AM23" s="11">
        <f>IF(SUM(U23:X23)-Y23&gt;0,SUM(U23:X23)-Y23,"")</f>
        <v>49.04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91.36</v>
      </c>
      <c r="AQ23" s="11">
        <f>IF(AG23&gt;0,AG23,"")</f>
        <v>5.9</v>
      </c>
      <c r="AR23" s="11">
        <f>IF(SUM(AE23:AH23)-AI23&gt;0,SUM(AE23:AH23)-AI23,"")</f>
        <v>29.51</v>
      </c>
      <c r="AS23" s="11">
        <f>IF(SUM(AP23,AR23)&gt;0,SUM(AP23,AR23),"")</f>
        <v>120.87</v>
      </c>
      <c r="AT23" s="41">
        <v>15.4</v>
      </c>
      <c r="AU23" s="41">
        <v>9.1</v>
      </c>
      <c r="AV23" s="41">
        <v>1.7</v>
      </c>
      <c r="AW23" s="41">
        <v>14.69</v>
      </c>
      <c r="AX23" s="41">
        <v>0</v>
      </c>
      <c r="AY23" s="41">
        <v>15</v>
      </c>
      <c r="AZ23" s="41">
        <v>8.5</v>
      </c>
      <c r="BA23" s="41">
        <v>9.8000000000000007</v>
      </c>
      <c r="BB23" s="41">
        <v>14.31</v>
      </c>
      <c r="BC23" s="41">
        <v>0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>IF(SUM(AT23:AW23)-AX23&gt;0,SUM(AT23:AW23)-AX23,"")</f>
        <v>40.89</v>
      </c>
      <c r="BP23" s="14">
        <f>IF(BA23&gt;0,BA23,"")</f>
        <v>9.8000000000000007</v>
      </c>
      <c r="BQ23" s="14">
        <f>IF(SUM(AY23:BB23)-BC23&gt;0,SUM(AY23:BB23)-BC23,"")</f>
        <v>47.61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88.5</v>
      </c>
      <c r="BU23" s="14" t="str">
        <f>IF(BK23&gt;0,BK23,"")</f>
        <v/>
      </c>
      <c r="BV23" s="14" t="str">
        <f>IF(SUM(BI23:BL23)-BM23&gt;0,SUM(BI23:BL23)-BM23,"")</f>
        <v/>
      </c>
      <c r="BW23" s="14">
        <f>IF(SUM(BT23,BV23)&gt;0,SUM(BT23,BV23),"")</f>
        <v>88.5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>IF(SUM(BX23:CA23)-CB23&gt;0,SUM(BX23:CA23)-CB23,"")</f>
        <v/>
      </c>
      <c r="CT23" s="11" t="str">
        <f>IF(CE23&gt;0,CE23,"")</f>
        <v/>
      </c>
      <c r="CU23" s="11" t="str">
        <f>IF(SUM(CC23:CF23)-CG23&gt;0,SUM(CC23:CF23)-CG23,"")</f>
        <v/>
      </c>
      <c r="CV23" s="11" t="str">
        <f>IF(CJ23&gt;0,CJ23,"")</f>
        <v/>
      </c>
      <c r="CW23" s="11" t="str">
        <f>IF(SUM(CH23:CK23)-CL23&gt;0,SUM(CH23:CK23)-CL23,"")</f>
        <v/>
      </c>
      <c r="CX23" s="11" t="str">
        <f>IF(CS23="",IF(MAX(CU23,CW23)&gt;0,MAX(CU23,CW23),""),MAX(CU23,CW23)+CS23)</f>
        <v/>
      </c>
      <c r="CY23" s="11" t="str">
        <f>IF(CO23&gt;0,CO23,"")</f>
        <v/>
      </c>
      <c r="CZ23" s="11" t="str">
        <f>IF(SUM(CM23:CP23)-CQ23&gt;0,SUM(CM23:CP23)-CQ23,"")</f>
        <v/>
      </c>
      <c r="DA23" s="11" t="str">
        <f>IF(SUM(CX23,CZ23)&gt;0,SUM(CX23,CZ23),"")</f>
        <v/>
      </c>
      <c r="DB23" s="18" t="str">
        <f>IF(K23&gt;=0.001,IF(MAX(DT23,DU23,EP23,EQ23,FL23,FM23,GH23,GI23,HD23,HE23,HZ23,IA23,IV23,IW23,JR23,JS23,KN23,KO23,LJ23,LK23,MF23,MG23,NB23,NC23)-IF(K23="",0,K23)&gt;0.001,MAX(DT23,DU23,EP23,EQ23,FL23,FM23,GH23,GI23,HD23,HE23,HZ23,IA23,IV23,IW23,JR23,JS23,KN23,KO23,LJ23,LK23,MF23,MG23,NB23,NC23)-IF(K23="",0,K23),""),"")</f>
        <v/>
      </c>
      <c r="DC23" s="18" t="str">
        <f>IF(K23&gt;=0.001,IF(MAX(DX23,ET23,FP23,GL23,HH23,ID23,IZ23,JV23,KR23,LN23,MJ23,NF23)-IF(K23="",0,K23)&gt;0.001,MAX(DX23,ET23,FP23,GL23,HH23,ID23,IZ23,JV23,KR23,LN23,MJ23,NF23)-IF(K23="",0,K23),""),"")</f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7">
        <f>IF($CR23="P",BX23,(BX23+AT23)/2)</f>
        <v>7.7</v>
      </c>
      <c r="NI23" s="37">
        <f>IF($CR23="P",BY23,(BY23+AU23)/2)</f>
        <v>4.55</v>
      </c>
      <c r="NJ23" s="37">
        <f>IF($CR23="P",BZ23,(BZ23+AV23)/2)</f>
        <v>0.85</v>
      </c>
      <c r="NK23" s="37">
        <f>IF($CR23="P",CA23,(CA23+AW23)/2)</f>
        <v>7.3449999999999998</v>
      </c>
      <c r="NL23" s="37">
        <f>IF($CR23="P",CB23,(CB23+AX23)/2)</f>
        <v>0</v>
      </c>
      <c r="NM23" s="37">
        <f>IF($CR23="P",CC23,(CC23+AY23)/2)</f>
        <v>7.5</v>
      </c>
      <c r="NN23" s="37">
        <f>IF($CR23="P",CD23,(CD23+AZ23)/2)</f>
        <v>4.25</v>
      </c>
      <c r="NO23" s="37">
        <f>IF($CR23="P",CE23,(CE23+BA23)/2)</f>
        <v>4.9000000000000004</v>
      </c>
      <c r="NP23" s="37">
        <f>IF($CR23="P",CF23,(CF23+BB23)/2)</f>
        <v>7.1550000000000002</v>
      </c>
      <c r="NQ23" s="37">
        <f>IF($CR23="P",CG23,(CG23+BC23)/2)</f>
        <v>0</v>
      </c>
      <c r="NR23" s="37">
        <f>IF($CR23="P",CH23,(CH23+BD23)/2)</f>
        <v>0</v>
      </c>
      <c r="NS23" s="37">
        <f>IF($CR23="P",CI23,(CI23+BE23)/2)</f>
        <v>0</v>
      </c>
      <c r="NT23" s="37">
        <f>IF($CR23="P",CJ23,(CJ23+BF23)/2)</f>
        <v>0</v>
      </c>
      <c r="NU23" s="37">
        <f>IF($CR23="P",CK23,(CK23+BG23)/2)</f>
        <v>0</v>
      </c>
      <c r="NV23" s="37">
        <f>IF($CR23="P",CL23,(CL23+BH23)/2)</f>
        <v>0</v>
      </c>
      <c r="NW23" s="37">
        <f>IF($CR23="P",CM23,(CM23+BI23)/2)</f>
        <v>0</v>
      </c>
      <c r="NX23" s="37">
        <f>IF($CR23="P",CN23,(CN23+BJ23)/2)</f>
        <v>0</v>
      </c>
      <c r="NY23" s="37">
        <f>IF($CR23="P",CO23,(CO23+BK23)/2)</f>
        <v>0</v>
      </c>
      <c r="NZ23" s="37">
        <f>IF($CR23="P",CP23,(CP23+BL23)/2)</f>
        <v>0</v>
      </c>
      <c r="OA23" s="37">
        <f>IF($CR23="P",CQ23,(CQ23+BM23)/2)</f>
        <v>0</v>
      </c>
      <c r="OB23" s="44" t="s">
        <v>46</v>
      </c>
      <c r="OC23" s="11">
        <f>IF(SUM(NH23:NK23)-NL23&gt;0,SUM(NH23:NK23)-NL23,"")</f>
        <v>20.445</v>
      </c>
      <c r="OD23" s="11">
        <f>IF(NO23&gt;0,NO23,"")</f>
        <v>4.9000000000000004</v>
      </c>
      <c r="OE23" s="11">
        <f>IF(SUM(NM23:NP23)-NQ23&gt;0,SUM(NM23:NP23)-NQ23,"")</f>
        <v>23.805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44.25</v>
      </c>
      <c r="OI23" s="11" t="str">
        <f>IF(NY23&gt;0,NY23,"")</f>
        <v/>
      </c>
      <c r="OJ23" s="11" t="str">
        <f t="shared" ref="OJ23" si="26">IF(SUM(NW23:NZ23)-OA23&gt;0,SUM(NW23:NZ23)-OA23,"")</f>
        <v/>
      </c>
      <c r="OK23" s="11">
        <f t="shared" ref="OK23" si="27">IF(SUM(OH23,OJ23)&gt;0,SUM(OH23,OJ23),"")</f>
        <v>44.25</v>
      </c>
    </row>
    <row r="24" spans="1:401" x14ac:dyDescent="0.2">
      <c r="A24" s="5" t="str" cm="1">
        <f t="array" ref="A24">IF(AND(F24="P",G24="P"),SUMPRODUCT((F$4:F$37="P")*(G$4:G$37="P")*(E$4:E$37&gt;E24))+1,IF(G24="P",SUMPRODUCT((F$4:F$37="")*(G$4:G$37="P")*(E$4:E$37&gt;E24))+1+SUMPRODUCT((F$4:F$37="P")*(G$4:G$37="P")),""))</f>
        <v/>
      </c>
      <c r="B24" s="6" t="s">
        <v>79</v>
      </c>
      <c r="C24" s="7" t="s">
        <v>5</v>
      </c>
      <c r="D24" s="21">
        <v>2002</v>
      </c>
      <c r="E24" s="15">
        <f>SUM(I24:M24)+I24*0.0000001</f>
        <v>95.100004938999987</v>
      </c>
      <c r="F24" s="3" t="str">
        <f>IF(OR(AND(AL24&gt;=AS$39,AM24&gt;=AS$43,AL24&lt;&gt;"",AJ24=""),AND(AN24&gt;=AS$39,AO24&gt;=AS$43,AN24&lt;&gt;"",AN24=""),AND(AQ24&gt;=AS$39,AR24&gt;=AS$43,AQ24&lt;&gt;"",AJ24=""),AND(BP24&gt;=BW$39,BQ24&gt;=BW$43,BP24&lt;&gt;"",BN24=""),AND(BR24&gt;=BW$39,BS24&gt;=BW$43,BR24&lt;&gt;"",BN24=""),AND(BU24&gt;=BW$39,BV24&gt;=BW$43,BU24&lt;&gt;"",BN24=""),AND(CT24&gt;=DA$39,CU24&gt;=DA$43,CT24&lt;&gt;"",CR24=""),AND(CV24&gt;=DA$39,CW24&gt;=DA$43,CV24&lt;&gt;"",CR24=""),AND(CY24&gt;=DA$39,CZ24&gt;=DA$43,CY24&lt;&gt;"",CR24=""),AND(DS24&gt;=DY$39,DU24&gt;=DY$43,DS24&lt;&gt;""),AND(DW24&gt;=DY$39,DX24&gt;=DY$43,DW24&lt;&gt;""),AND(EO24&gt;=EU$39,EQ24&gt;=EU$43,EO24&lt;&gt;""),AND(ES24&gt;=EU$39,ET24&gt;=EU$43,ES24&lt;&gt;""),AND(FK24&gt;=FQ$39,FM24&gt;=FQ$43,FK24&lt;&gt;""),AND(FO24&gt;=FQ$39,FP24&gt;=FQ$43,FO24&lt;&gt;""),AND(GG24&gt;=GM$39,GI24&gt;=GM$43,GG24&lt;&gt;""),AND(GK24&gt;=GM$39,GL24&gt;=GM$43,GK24&lt;&gt;""),AND(HC24&gt;=HI$39,HE24&gt;=HI$43,HC24&lt;&gt;""),AND(HG24&gt;=HI$39,HH24&gt;=HI$43,HG24&lt;&gt;""),AND(HY24&gt;=IE$39,IA24&gt;=IE$43,HY24&lt;&gt;""),AND(IC24&gt;=IE$39,ID24&gt;=IE$43,IC24&lt;&gt;""),AND(IU24&gt;=JA$39,IW24&gt;=JA$43,IU24&lt;&gt;""),AND(IY24&gt;=JA$39,IZ24&gt;=JA$43,IY24&lt;&gt;""),AND(JQ24&gt;=JW$39,JS24&gt;=JW$43,JQ24&lt;&gt;""),AND(JU24&gt;=JW$39,JV24&gt;=JW$43,JU24&lt;&gt;""),AND(KM24&gt;=KS$39,KO24&gt;=KS$43,KM24&lt;&gt;""),AND(KQ24&gt;=KS$39,KR24&gt;=KS$43,KQ24&lt;&gt;""),AND(LI24&gt;=LO$39,LK24&gt;=LO$43,LI24&lt;&gt;""),AND(LM24&gt;=LO$39,LN24&gt;=LO$43,LM24&lt;&gt;""),AND(ME24&gt;=MK$39,MG24&gt;=MK$43,ME24&lt;&gt;""),AND(MI24&gt;=MK$39,MJ24&gt;=MK$43,MI24&lt;&gt;""),AND(NA24&gt;=NG$39,NC24&gt;=NG$43,NA24&lt;&gt;""),AND(NE24&gt;=NG$39,NF24&gt;=NG$43,NE24&lt;&gt;"")),"P","")</f>
        <v/>
      </c>
      <c r="G24" s="3" t="str">
        <f>IF(OR(AND(AM24&gt;=AS$43,AL24&lt;&gt;"",AJ24=""),AND(AO24&gt;=AS$43,AN24&lt;&gt;"",AN24=""),AND(AR24&gt;=AS$43,AQ24&lt;&gt;"",AJ24=""),AND(BQ24&gt;=BW$43,BP24&lt;&gt;"",BN24=""),AND(BS24&gt;=BW$43,BR24&lt;&gt;"",BN24=""),AND(BV24&gt;=BW$43,BU24&lt;&gt;"",BN24=""),AND(CU24&gt;=DA$43,CT24&lt;&gt;"",CR24=""),AND(CW24&gt;=DA$43,CV24&lt;&gt;"",CR24=""),AND(CZ24&gt;=DA$43,CY24&lt;&gt;"",CR24=""),AND(DU24&gt;=DY$43,DS24&lt;&gt;""),AND(DX24&gt;=DY$43,DW24&lt;&gt;""),AND(EQ24&gt;=EU$43,EO24&lt;&gt;""),AND(ET24&gt;=EU$43,ES24&lt;&gt;""),AND(FM24&gt;=FQ$43,FK24&lt;&gt;""),AND(FP24&gt;=FQ$43,FO24&lt;&gt;""),AND(GI24&gt;=GM$43,GG24&lt;&gt;""),AND(GL24&gt;=GM$43,GK24&lt;&gt;""),AND(HE24&gt;=HI$43,HC24&lt;&gt;""),AND(HH24&gt;=HI$43,HG24&lt;&gt;""),AND(IA24&gt;=IE$43,HY24&lt;&gt;""),AND(ID24&gt;=IE$43,IC24&lt;&gt;""),AND(IW24&gt;=JA$43,IU24&lt;&gt;""),AND(IZ24&gt;=JA$43,IY24&lt;&gt;""),AND(JS24&gt;=JW$43,JQ24&lt;&gt;""),AND(JV24&gt;=JW$43,JU24&lt;&gt;""),AND(KO24&gt;=KS$43,KM24&lt;&gt;""),AND(KR24&gt;=KS$43,KQ24&lt;&gt;""),AND(LK24&gt;=LO$43,LI24&lt;&gt;""),AND(LN24&gt;=LO$43,LM24&lt;&gt;""),AND(MG24&gt;=MK$43,ME24&lt;&gt;""),AND(MJ24&gt;=MK$43,MI24&lt;&gt;""),AND(NC24&gt;=NG$43,NA24&lt;&gt;""),AND(NF24&gt;=NG$43,NE24&lt;&gt;"")),"P","")</f>
        <v/>
      </c>
      <c r="H24" s="66" t="str">
        <f>IF(F24="P","National Team",IF(G24="P","No DD",""))</f>
        <v/>
      </c>
      <c r="I24" s="14">
        <f>MAX(AM24,AO24,AR24,BQ24,BS24,BV24,CU24,CW24,CZ24)</f>
        <v>49.39</v>
      </c>
      <c r="J24" s="14" t="str">
        <f>IF(I24=0,"",IF(OR(I24=CW24,I24=CU24,I24=CZ24),$BX$1,IF(OR(I24=BS24,I24=BQ24,I24=BV24),$AT$1,IF(OR(I24=AO24,I24=AM24,I24=AR24),$P$1,""))))</f>
        <v>2022 Elite Canada</v>
      </c>
      <c r="K24" s="14">
        <f>IF(COUNT(AM24,AO24,AR24,BQ24,BS24,BV24,CU24,CW24,CZ24)&gt;1,LARGE((AM24,AO24,AR24,BQ24,BS24,BV24,CU24,CW24,CZ24),2),0)</f>
        <v>45.71</v>
      </c>
      <c r="L24" s="14" t="str">
        <f>IF(K24=0,"",IF(OR(K24=CW24,K24=CU24,K24=CZ24),$BX$1,IF(OR(K24=BS24,K24=BQ24,K24=BV24),$AT$1,IF(OR(K24=AO24,K24=AM24,K24=AR24),$P$1,""))))</f>
        <v>2022 Elite Canada</v>
      </c>
      <c r="M24" s="14" t="str">
        <f>IF(MAX(DB24,DC24)&gt;0,MAX(DB24,DC24),"")</f>
        <v/>
      </c>
      <c r="N24" s="19" t="str">
        <f>IF(M24="","",IF(M24=DB24,"(Prelim)",IF(M24=DC24,"(Final)")))</f>
        <v/>
      </c>
      <c r="O24" s="14" t="str">
        <f>IF(M24="","",IF(M24=DB24,IF(M24+IF(K24="",0,K24)=NC24,$ML$1,IF(M24+IF(K24="",0,K24)=MG24,$LP$1,IF(M24+IF(K24="",0,K24)=LK24,$KT$1,IF(M24+IF(K24="",0,K24)=KO24,$JX$1,IF(M24+IF(K24="",0,K24)=JS24,$JB$1,IF(M24+IF(K24="",0,K24)=IW24,$IF$1,IF(M24+IF(K24="",0,K24)=IA24,$HJ$1,IF(M24+IF(K24="",0,K24)=HE24,$GN$1,IF(M24+IF(K24="",0,K24)=GI24,$FR$1,IF(M24+IF(K24="",0,K24)=FM24,$EV$1,IF(M24+IF(K24="",0,K24)=EQ24,$DZ$1,IF(M24+IF(K24="",0,K24)=DU24,$DD$1,IF(M24+IF(K24="",0,K24)=NB24,$ML$1,IF(M24+IF(K24="",0,K24)=MF24,$LP$1,IF(M24+IF(K24="",0,K24)=LJ24,$KT$1,IF(M24+IF(K24="",0,K24)=KN24,$JX$1,IF(M24+IF(K24="",0,K24)=JR24,$JB$1,IF(M24+IF(K24="",0,K24)=IV24,$IF$1,IF(M24+IF(K24="",0,K24)=HZ24,$HJ$1,IF(M24+IF(K24="",0,K24)=HD24,$GN$1,IF(M24+IF(K24="",0,K24)=GH24,$FR$1,IF(M24+IF(K24="",0,K24)=FL24,$EV$1,IF(M24+IF(K24="",0,K24)=EP24,$DZ$1,IF(M24+IF(K24="",0,K24)=DT24,$DD$1))))))))))))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</f>
        <v/>
      </c>
      <c r="P24" s="37">
        <v>15</v>
      </c>
      <c r="Q24" s="37">
        <v>9.3000000000000007</v>
      </c>
      <c r="R24" s="37">
        <v>2</v>
      </c>
      <c r="S24" s="37">
        <v>15.36</v>
      </c>
      <c r="T24" s="37">
        <v>0</v>
      </c>
      <c r="U24" s="37">
        <v>14</v>
      </c>
      <c r="V24" s="37">
        <v>8.5</v>
      </c>
      <c r="W24" s="37">
        <v>11.3</v>
      </c>
      <c r="X24" s="37">
        <v>15.59</v>
      </c>
      <c r="Y24" s="37">
        <v>0</v>
      </c>
      <c r="Z24" s="37"/>
      <c r="AA24" s="37"/>
      <c r="AB24" s="37"/>
      <c r="AC24" s="37"/>
      <c r="AD24" s="37"/>
      <c r="AE24" s="37">
        <v>12.6</v>
      </c>
      <c r="AF24" s="37">
        <v>8.5</v>
      </c>
      <c r="AG24" s="37">
        <v>10.6</v>
      </c>
      <c r="AH24" s="37">
        <v>14.01</v>
      </c>
      <c r="AI24" s="37">
        <v>0</v>
      </c>
      <c r="AJ24" s="44"/>
      <c r="AK24" s="11">
        <f>IF(SUM(P24:S24)-T24&gt;0,SUM(P24:S24)-T24,"")</f>
        <v>41.66</v>
      </c>
      <c r="AL24" s="11">
        <f>IF(W24&gt;0,W24,"")</f>
        <v>11.3</v>
      </c>
      <c r="AM24" s="11">
        <f>IF(SUM(U24:X24)-Y24&gt;0,SUM(U24:X24)-Y24,"")</f>
        <v>49.39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91.05</v>
      </c>
      <c r="AQ24" s="11">
        <f>IF(AG24&gt;0,AG24,"")</f>
        <v>10.6</v>
      </c>
      <c r="AR24" s="11">
        <f>IF(SUM(AE24:AH24)-AI24&gt;0,SUM(AE24:AH24)-AI24,"")</f>
        <v>45.71</v>
      </c>
      <c r="AS24" s="11">
        <f>IF(SUM(AP24,AR24)&gt;0,SUM(AP24,AR24),"")</f>
        <v>136.76</v>
      </c>
      <c r="AT24" s="41">
        <v>15.1</v>
      </c>
      <c r="AU24" s="41">
        <v>9.1999999999999993</v>
      </c>
      <c r="AV24" s="41">
        <v>1.4</v>
      </c>
      <c r="AW24" s="41">
        <v>14.19</v>
      </c>
      <c r="AX24" s="41">
        <v>0</v>
      </c>
      <c r="AY24" s="41">
        <v>3</v>
      </c>
      <c r="AZ24" s="41">
        <v>1.8</v>
      </c>
      <c r="BA24" s="41">
        <v>2</v>
      </c>
      <c r="BB24" s="41">
        <v>2.99</v>
      </c>
      <c r="BC24" s="41">
        <v>0</v>
      </c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>
        <f>IF(SUM(AT24:AW24)-AX24&gt;0,SUM(AT24:AW24)-AX24,"")</f>
        <v>39.889999999999993</v>
      </c>
      <c r="BP24" s="14">
        <f>IF(BA24&gt;0,BA24,"")</f>
        <v>2</v>
      </c>
      <c r="BQ24" s="14">
        <f>IF(SUM(AY24:BB24)-BC24&gt;0,SUM(AY24:BB24)-BC24,"")</f>
        <v>9.7899999999999991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49.679999999999993</v>
      </c>
      <c r="BU24" s="14" t="str">
        <f>IF(BK24&gt;0,BK24,"")</f>
        <v/>
      </c>
      <c r="BV24" s="14" t="str">
        <f>IF(SUM(BI24:BL24)-BM24&gt;0,SUM(BI24:BL24)-BM24,"")</f>
        <v/>
      </c>
      <c r="BW24" s="14">
        <f>IF(SUM(BT24,BV24)&gt;0,SUM(BT24,BV24),"")</f>
        <v>49.679999999999993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>IF(SUM(BX24:CA24)-CB24&gt;0,SUM(BX24:CA24)-CB24,"")</f>
        <v/>
      </c>
      <c r="CT24" s="11" t="str">
        <f>IF(CE24&gt;0,CE24,"")</f>
        <v/>
      </c>
      <c r="CU24" s="11" t="str">
        <f>IF(SUM(CC24:CF24)-CG24&gt;0,SUM(CC24:CF24)-CG24,"")</f>
        <v/>
      </c>
      <c r="CV24" s="11" t="str">
        <f>IF(CJ24&gt;0,CJ24,"")</f>
        <v/>
      </c>
      <c r="CW24" s="11" t="str">
        <f>IF(SUM(CH24:CK24)-CL24&gt;0,SUM(CH24:CK24)-CL24,"")</f>
        <v/>
      </c>
      <c r="CX24" s="11" t="str">
        <f>IF(CS24="",IF(MAX(CU24,CW24)&gt;0,MAX(CU24,CW24),""),MAX(CU24,CW24)+CS24)</f>
        <v/>
      </c>
      <c r="CY24" s="11" t="str">
        <f>IF(CO24&gt;0,CO24,"")</f>
        <v/>
      </c>
      <c r="CZ24" s="11" t="str">
        <f>IF(SUM(CM24:CP24)-CQ24&gt;0,SUM(CM24:CP24)-CQ24,"")</f>
        <v/>
      </c>
      <c r="DA24" s="11" t="str">
        <f>IF(SUM(CX24,CZ24)&gt;0,SUM(CX24,CZ24),"")</f>
        <v/>
      </c>
      <c r="DB24" s="18" t="str">
        <f>IF(K24&gt;=0.001,IF(MAX(DT24,DU24,EP24,EQ24,FL24,FM24,GH24,GI24,HD24,HE24,HZ24,IA24,IV24,IW24,JR24,JS24,KN24,KO24,LJ24,LK24,MF24,MG24,NB24,NC24)-IF(K24="",0,K24)&gt;0.001,MAX(DT24,DU24,EP24,EQ24,FL24,FM24,GH24,GI24,HD24,HE24,HZ24,IA24,IV24,IW24,JR24,JS24,KN24,KO24,LJ24,LK24,MF24,MG24,NB24,NC24)-IF(K24="",0,K24),""),"")</f>
        <v/>
      </c>
      <c r="DC24" s="18" t="str">
        <f>IF(K24&gt;=0.001,IF(MAX(DX24,ET24,FP24,GL24,HH24,ID24,IZ24,JV24,KR24,LN24,MJ24,NF24)-IF(K24="",0,K24)&gt;0.001,MAX(DX24,ET24,FP24,GL24,HH24,ID24,IZ24,JV24,KR24,LN24,MJ24,NF24)-IF(K24="",0,K24),""),"")</f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7">
        <f>IF($CR24="P",BX24,(BX24+AT24)/2)</f>
        <v>7.55</v>
      </c>
      <c r="NI24" s="37">
        <f>IF($CR24="P",BY24,(BY24+AU24)/2)</f>
        <v>4.5999999999999996</v>
      </c>
      <c r="NJ24" s="37">
        <f>IF($CR24="P",BZ24,(BZ24+AV24)/2)</f>
        <v>0.7</v>
      </c>
      <c r="NK24" s="37">
        <f>IF($CR24="P",CA24,(CA24+AW24)/2)</f>
        <v>7.0949999999999998</v>
      </c>
      <c r="NL24" s="37">
        <f>IF($CR24="P",CB24,(CB24+AX24)/2)</f>
        <v>0</v>
      </c>
      <c r="NM24" s="37">
        <f>IF($CR24="P",CC24,(CC24+AY24)/2)</f>
        <v>1.5</v>
      </c>
      <c r="NN24" s="37">
        <f>IF($CR24="P",CD24,(CD24+AZ24)/2)</f>
        <v>0.9</v>
      </c>
      <c r="NO24" s="37">
        <f>IF($CR24="P",CE24,(CE24+BA24)/2)</f>
        <v>1</v>
      </c>
      <c r="NP24" s="37">
        <f>IF($CR24="P",CF24,(CF24+BB24)/2)</f>
        <v>1.4950000000000001</v>
      </c>
      <c r="NQ24" s="37">
        <f>IF($CR24="P",CG24,(CG24+BC24)/2)</f>
        <v>0</v>
      </c>
      <c r="NR24" s="37">
        <f>IF($CR24="P",CH24,(CH24+BD24)/2)</f>
        <v>0</v>
      </c>
      <c r="NS24" s="37">
        <f>IF($CR24="P",CI24,(CI24+BE24)/2)</f>
        <v>0</v>
      </c>
      <c r="NT24" s="37">
        <f>IF($CR24="P",CJ24,(CJ24+BF24)/2)</f>
        <v>0</v>
      </c>
      <c r="NU24" s="37">
        <f>IF($CR24="P",CK24,(CK24+BG24)/2)</f>
        <v>0</v>
      </c>
      <c r="NV24" s="37">
        <f>IF($CR24="P",CL24,(CL24+BH24)/2)</f>
        <v>0</v>
      </c>
      <c r="NW24" s="37">
        <f>IF($CR24="P",CM24,(CM24+BI24)/2)</f>
        <v>0</v>
      </c>
      <c r="NX24" s="37">
        <f>IF($CR24="P",CN24,(CN24+BJ24)/2)</f>
        <v>0</v>
      </c>
      <c r="NY24" s="37">
        <f>IF($CR24="P",CO24,(CO24+BK24)/2)</f>
        <v>0</v>
      </c>
      <c r="NZ24" s="37">
        <f>IF($CR24="P",CP24,(CP24+BL24)/2)</f>
        <v>0</v>
      </c>
      <c r="OA24" s="37">
        <f>IF($CR24="P",CQ24,(CQ24+BM24)/2)</f>
        <v>0</v>
      </c>
      <c r="OB24" s="44" t="s">
        <v>46</v>
      </c>
      <c r="OC24" s="11">
        <f>IF(SUM(NH24:NK24)-NL24&gt;0,SUM(NH24:NK24)-NL24,"")</f>
        <v>19.944999999999997</v>
      </c>
      <c r="OD24" s="11">
        <f>IF(NO24&gt;0,NO24,"")</f>
        <v>1</v>
      </c>
      <c r="OE24" s="11">
        <f>IF(SUM(NM24:NP24)-NQ24&gt;0,SUM(NM24:NP24)-NQ24,"")</f>
        <v>4.8949999999999996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24.839999999999996</v>
      </c>
      <c r="OI24" s="11" t="str">
        <f>IF(NY24&gt;0,NY24,"")</f>
        <v/>
      </c>
      <c r="OJ24" s="11" t="str">
        <f t="shared" ref="OJ24" si="28">IF(SUM(NW24:NZ24)-OA24&gt;0,SUM(NW24:NZ24)-OA24,"")</f>
        <v/>
      </c>
      <c r="OK24" s="11">
        <f t="shared" ref="OK24" si="29">IF(SUM(OH24,OJ24)&gt;0,SUM(OH24,OJ24),"")</f>
        <v>24.839999999999996</v>
      </c>
    </row>
    <row r="25" spans="1:401" x14ac:dyDescent="0.2">
      <c r="A25" s="5" t="str" cm="1">
        <f t="array" ref="A25">IF(AND(F25="P",G25="P"),SUMPRODUCT((F$4:F$37="P")*(G$4:G$37="P")*(E$4:E$37&gt;E25))+1,IF(G25="P",SUMPRODUCT((F$4:F$37="")*(G$4:G$37="P")*(E$4:E$37&gt;E25))+1+SUMPRODUCT((F$4:F$37="P")*(G$4:G$37="P")),""))</f>
        <v/>
      </c>
      <c r="B25" s="6" t="s">
        <v>143</v>
      </c>
      <c r="C25" s="7" t="s">
        <v>3</v>
      </c>
      <c r="D25" s="5">
        <v>2005</v>
      </c>
      <c r="E25" s="15">
        <f>SUM(I25:M25)+I25*0.0000001</f>
        <v>95.090004755999999</v>
      </c>
      <c r="F25" s="3" t="str">
        <f>IF(OR(AND(AL25&gt;=AS$39,AM25&gt;=AS$43,AL25&lt;&gt;"",AJ25=""),AND(AN25&gt;=AS$39,AO25&gt;=AS$43,AN25&lt;&gt;"",AN25=""),AND(AQ25&gt;=AS$39,AR25&gt;=AS$43,AQ25&lt;&gt;"",AJ25=""),AND(BP25&gt;=BW$39,BQ25&gt;=BW$43,BP25&lt;&gt;"",BN25=""),AND(BR25&gt;=BW$39,BS25&gt;=BW$43,BR25&lt;&gt;"",BN25=""),AND(BU25&gt;=BW$39,BV25&gt;=BW$43,BU25&lt;&gt;"",BN25=""),AND(CT25&gt;=DA$39,CU25&gt;=DA$43,CT25&lt;&gt;"",CR25=""),AND(CV25&gt;=DA$39,CW25&gt;=DA$43,CV25&lt;&gt;"",CR25=""),AND(CY25&gt;=DA$39,CZ25&gt;=DA$43,CY25&lt;&gt;"",CR25=""),AND(DS25&gt;=DY$39,DU25&gt;=DY$43,DS25&lt;&gt;""),AND(DW25&gt;=DY$39,DX25&gt;=DY$43,DW25&lt;&gt;""),AND(EO25&gt;=EU$39,EQ25&gt;=EU$43,EO25&lt;&gt;""),AND(ES25&gt;=EU$39,ET25&gt;=EU$43,ES25&lt;&gt;""),AND(FK25&gt;=FQ$39,FM25&gt;=FQ$43,FK25&lt;&gt;""),AND(FO25&gt;=FQ$39,FP25&gt;=FQ$43,FO25&lt;&gt;""),AND(GG25&gt;=GM$39,GI25&gt;=GM$43,GG25&lt;&gt;""),AND(GK25&gt;=GM$39,GL25&gt;=GM$43,GK25&lt;&gt;""),AND(HC25&gt;=HI$39,HE25&gt;=HI$43,HC25&lt;&gt;""),AND(HG25&gt;=HI$39,HH25&gt;=HI$43,HG25&lt;&gt;""),AND(HY25&gt;=IE$39,IA25&gt;=IE$43,HY25&lt;&gt;""),AND(IC25&gt;=IE$39,ID25&gt;=IE$43,IC25&lt;&gt;""),AND(IU25&gt;=JA$39,IW25&gt;=JA$43,IU25&lt;&gt;""),AND(IY25&gt;=JA$39,IZ25&gt;=JA$43,IY25&lt;&gt;""),AND(JQ25&gt;=JW$39,JS25&gt;=JW$43,JQ25&lt;&gt;""),AND(JU25&gt;=JW$39,JV25&gt;=JW$43,JU25&lt;&gt;""),AND(KM25&gt;=KS$39,KO25&gt;=KS$43,KM25&lt;&gt;""),AND(KQ25&gt;=KS$39,KR25&gt;=KS$43,KQ25&lt;&gt;""),AND(LI25&gt;=LO$39,LK25&gt;=LO$43,LI25&lt;&gt;""),AND(LM25&gt;=LO$39,LN25&gt;=LO$43,LM25&lt;&gt;""),AND(ME25&gt;=MK$39,MG25&gt;=MK$43,ME25&lt;&gt;""),AND(MI25&gt;=MK$39,MJ25&gt;=MK$43,MI25&lt;&gt;""),AND(NA25&gt;=NG$39,NC25&gt;=NG$43,NA25&lt;&gt;""),AND(NE25&gt;=NG$39,NF25&gt;=NG$43,NE25&lt;&gt;"")),"P","")</f>
        <v/>
      </c>
      <c r="G25" s="3" t="str">
        <f>IF(OR(AND(AM25&gt;=AS$43,AL25&lt;&gt;"",AJ25=""),AND(AO25&gt;=AS$43,AN25&lt;&gt;"",AN25=""),AND(AR25&gt;=AS$43,AQ25&lt;&gt;"",AJ25=""),AND(BQ25&gt;=BW$43,BP25&lt;&gt;"",BN25=""),AND(BS25&gt;=BW$43,BR25&lt;&gt;"",BN25=""),AND(BV25&gt;=BW$43,BU25&lt;&gt;"",BN25=""),AND(CU25&gt;=DA$43,CT25&lt;&gt;"",CR25=""),AND(CW25&gt;=DA$43,CV25&lt;&gt;"",CR25=""),AND(CZ25&gt;=DA$43,CY25&lt;&gt;"",CR25=""),AND(DU25&gt;=DY$43,DS25&lt;&gt;""),AND(DX25&gt;=DY$43,DW25&lt;&gt;""),AND(EQ25&gt;=EU$43,EO25&lt;&gt;""),AND(ET25&gt;=EU$43,ES25&lt;&gt;""),AND(FM25&gt;=FQ$43,FK25&lt;&gt;""),AND(FP25&gt;=FQ$43,FO25&lt;&gt;""),AND(GI25&gt;=GM$43,GG25&lt;&gt;""),AND(GL25&gt;=GM$43,GK25&lt;&gt;""),AND(HE25&gt;=HI$43,HC25&lt;&gt;""),AND(HH25&gt;=HI$43,HG25&lt;&gt;""),AND(IA25&gt;=IE$43,HY25&lt;&gt;""),AND(ID25&gt;=IE$43,IC25&lt;&gt;""),AND(IW25&gt;=JA$43,IU25&lt;&gt;""),AND(IZ25&gt;=JA$43,IY25&lt;&gt;""),AND(JS25&gt;=JW$43,JQ25&lt;&gt;""),AND(JV25&gt;=JW$43,JU25&lt;&gt;""),AND(KO25&gt;=KS$43,KM25&lt;&gt;""),AND(KR25&gt;=KS$43,KQ25&lt;&gt;""),AND(LK25&gt;=LO$43,LI25&lt;&gt;""),AND(LN25&gt;=LO$43,LM25&lt;&gt;""),AND(MG25&gt;=MK$43,ME25&lt;&gt;""),AND(MJ25&gt;=MK$43,MI25&lt;&gt;""),AND(NC25&gt;=NG$43,NA25&lt;&gt;""),AND(NF25&gt;=NG$43,NE25&lt;&gt;"")),"P","")</f>
        <v/>
      </c>
      <c r="H25" s="66" t="str">
        <f>IF(F25="P","National Team",IF(G25="P","No DD",""))</f>
        <v/>
      </c>
      <c r="I25" s="14">
        <f>MAX(AM25,AO25,AR25,BQ25,BS25,BV25,CU25,CW25,CZ25)</f>
        <v>47.56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47.53</v>
      </c>
      <c r="L25" s="14" t="str">
        <f>IF(K25=0,"",IF(OR(K25=CW25,K25=CU25,K25=CZ25),$BX$1,IF(OR(K25=BS25,K25=BQ25,K25=BV25),$AT$1,IF(OR(K25=AO25,K25=AM25,K25=AR25),$P$1,""))))</f>
        <v>2022 Elite Canada</v>
      </c>
      <c r="M25" s="14" t="str">
        <f>IF(MAX(DB25,DC25)&gt;0,MAX(DB25,DC25),"")</f>
        <v/>
      </c>
      <c r="N25" s="19" t="str">
        <f>IF(M25="","",IF(M25=DB25,"(Prelim)",IF(M25=DC25,"(Final)")))</f>
        <v/>
      </c>
      <c r="O25" s="14" t="str">
        <f>IF(M25="","",IF(M25=DB25,IF(M25+IF(K25="",0,K25)=NC25,$ML$1,IF(M25+IF(K25="",0,K25)=MG25,$LP$1,IF(M25+IF(K25="",0,K25)=LK25,$KT$1,IF(M25+IF(K25="",0,K25)=KO25,$JX$1,IF(M25+IF(K25="",0,K25)=JS25,$JB$1,IF(M25+IF(K25="",0,K25)=IW25,$IF$1,IF(M25+IF(K25="",0,K25)=IA25,$HJ$1,IF(M25+IF(K25="",0,K25)=HE25,$GN$1,IF(M25+IF(K25="",0,K25)=GI25,$FR$1,IF(M25+IF(K25="",0,K25)=FM25,$EV$1,IF(M25+IF(K25="",0,K25)=EQ25,$DZ$1,IF(M25+IF(K25="",0,K25)=DU25,$DD$1,IF(M25+IF(K25="",0,K25)=NB25,$ML$1,IF(M25+IF(K25="",0,K25)=MF25,$LP$1,IF(M25+IF(K25="",0,K25)=LJ25,$KT$1,IF(M25+IF(K25="",0,K25)=KN25,$JX$1,IF(M25+IF(K25="",0,K25)=JR25,$JB$1,IF(M25+IF(K25="",0,K25)=IV25,$IF$1,IF(M25+IF(K25="",0,K25)=HZ25,$HJ$1,IF(M25+IF(K25="",0,K25)=HD25,$GN$1,IF(M25+IF(K25="",0,K25)=GH25,$FR$1,IF(M25+IF(K25="",0,K25)=FL25,$EV$1,IF(M25+IF(K25="",0,K25)=EP25,$DZ$1,IF(M25+IF(K25="",0,K25)=DT25,$DD$1))))))))))))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</f>
        <v/>
      </c>
      <c r="P25" s="37">
        <v>14.6</v>
      </c>
      <c r="Q25" s="37">
        <v>9.6</v>
      </c>
      <c r="R25" s="37">
        <v>2.7</v>
      </c>
      <c r="S25" s="37">
        <v>14.7</v>
      </c>
      <c r="T25" s="37">
        <v>0</v>
      </c>
      <c r="U25" s="37">
        <v>13.9</v>
      </c>
      <c r="V25" s="37">
        <v>9.3000000000000007</v>
      </c>
      <c r="W25" s="37">
        <v>10</v>
      </c>
      <c r="X25" s="37">
        <v>14.33</v>
      </c>
      <c r="Y25" s="37">
        <v>0</v>
      </c>
      <c r="Z25" s="37"/>
      <c r="AA25" s="37"/>
      <c r="AB25" s="37"/>
      <c r="AC25" s="37"/>
      <c r="AD25" s="37"/>
      <c r="AE25" s="37">
        <v>13.8</v>
      </c>
      <c r="AF25" s="37">
        <v>9.8000000000000007</v>
      </c>
      <c r="AG25" s="37">
        <v>10</v>
      </c>
      <c r="AH25" s="37">
        <v>14.16</v>
      </c>
      <c r="AI25" s="37">
        <v>0.2</v>
      </c>
      <c r="AJ25" s="44"/>
      <c r="AK25" s="11">
        <f>IF(SUM(P25:S25)-T25&gt;0,SUM(P25:S25)-T25,"")</f>
        <v>41.599999999999994</v>
      </c>
      <c r="AL25" s="11">
        <f>IF(W25&gt;0,W25,"")</f>
        <v>10</v>
      </c>
      <c r="AM25" s="11">
        <f>IF(SUM(U25:X25)-Y25&gt;0,SUM(U25:X25)-Y25,"")</f>
        <v>47.53</v>
      </c>
      <c r="AN25" s="11" t="str">
        <f>IF(AB25&gt;0,AB25,"")</f>
        <v/>
      </c>
      <c r="AO25" s="11" t="str">
        <f>IF(SUM(Z25:AC25)-AD25&gt;0,SUM(Z25:AC25)-AD25,"")</f>
        <v/>
      </c>
      <c r="AP25" s="11">
        <f>IF(AK25="",IF(MAX(AM25,AO25)&gt;0,MAX(AM25,AO25),""),MAX(AM25,AO25)+AK25)</f>
        <v>89.13</v>
      </c>
      <c r="AQ25" s="11">
        <f>IF(AG25&gt;0,AG25,"")</f>
        <v>10</v>
      </c>
      <c r="AR25" s="11">
        <f>IF(SUM(AE25:AH25)-AI25&gt;0,SUM(AE25:AH25)-AI25,"")</f>
        <v>47.56</v>
      </c>
      <c r="AS25" s="11">
        <f>IF(SUM(AP25,AR25)&gt;0,SUM(AP25,AR25),"")</f>
        <v>136.69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>IF(SUM(BX25:CA25)-CB25&gt;0,SUM(BX25:CA25)-CB25,"")</f>
        <v/>
      </c>
      <c r="CT25" s="11" t="str">
        <f>IF(CE25&gt;0,CE25,"")</f>
        <v/>
      </c>
      <c r="CU25" s="11" t="str">
        <f>IF(SUM(CC25:CF25)-CG25&gt;0,SUM(CC25:CF25)-CG25,"")</f>
        <v/>
      </c>
      <c r="CV25" s="11" t="str">
        <f>IF(CJ25&gt;0,CJ25,"")</f>
        <v/>
      </c>
      <c r="CW25" s="11" t="str">
        <f>IF(SUM(CH25:CK25)-CL25&gt;0,SUM(CH25:CK25)-CL25,"")</f>
        <v/>
      </c>
      <c r="CX25" s="11" t="str">
        <f>IF(CS25="",IF(MAX(CU25,CW25)&gt;0,MAX(CU25,CW25),""),MAX(CU25,CW25)+CS25)</f>
        <v/>
      </c>
      <c r="CY25" s="11" t="str">
        <f>IF(CO25&gt;0,CO25,"")</f>
        <v/>
      </c>
      <c r="CZ25" s="11" t="str">
        <f>IF(SUM(CM25:CP25)-CQ25&gt;0,SUM(CM25:CP25)-CQ25,"")</f>
        <v/>
      </c>
      <c r="DA25" s="11" t="str">
        <f>IF(SUM(CX25,CZ25)&gt;0,SUM(CX25,CZ25),"")</f>
        <v/>
      </c>
      <c r="DB25" s="18" t="str">
        <f>IF(K25&gt;=0.001,IF(MAX(DT25,DU25,EP25,EQ25,FL25,FM25,GH25,GI25,HD25,HE25,HZ25,IA25,IV25,IW25,JR25,JS25,KN25,KO25,LJ25,LK25,MF25,MG25,NB25,NC25)-IF(K25="",0,K25)&gt;0.001,MAX(DT25,DU25,EP25,EQ25,FL25,FM25,GH25,GI25,HD25,HE25,HZ25,IA25,IV25,IW25,JR25,JS25,KN25,KO25,LJ25,LK25,MF25,MG25,NB25,NC25)-IF(K25="",0,K25),""),"")</f>
        <v/>
      </c>
      <c r="DC25" s="18" t="str">
        <f>IF(K25&gt;=0.001,IF(MAX(DX25,ET25,FP25,GL25,HH25,ID25,IZ25,JV25,KR25,LN25,MJ25,NF25)-IF(K25="",0,K25)&gt;0.001,MAX(DX25,ET25,FP25,GL25,HH25,ID25,IZ25,JV25,KR25,LN25,MJ25,NF25)-IF(K25="",0,K25),""),"")</f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7">
        <f>IF($CR25="P",BX25,(BX25+AT25)/2)</f>
        <v>0</v>
      </c>
      <c r="NI25" s="37">
        <f>IF($CR25="P",BY25,(BY25+AU25)/2)</f>
        <v>0</v>
      </c>
      <c r="NJ25" s="37">
        <f>IF($CR25="P",BZ25,(BZ25+AV25)/2)</f>
        <v>0</v>
      </c>
      <c r="NK25" s="37">
        <f>IF($CR25="P",CA25,(CA25+AW25)/2)</f>
        <v>0</v>
      </c>
      <c r="NL25" s="37">
        <f>IF($CR25="P",CB25,(CB25+AX25)/2)</f>
        <v>0</v>
      </c>
      <c r="NM25" s="37">
        <f>IF($CR25="P",CC25,(CC25+AY25)/2)</f>
        <v>0</v>
      </c>
      <c r="NN25" s="37">
        <f>IF($CR25="P",CD25,(CD25+AZ25)/2)</f>
        <v>0</v>
      </c>
      <c r="NO25" s="37">
        <f>IF($CR25="P",CE25,(CE25+BA25)/2)</f>
        <v>0</v>
      </c>
      <c r="NP25" s="37">
        <f>IF($CR25="P",CF25,(CF25+BB25)/2)</f>
        <v>0</v>
      </c>
      <c r="NQ25" s="37">
        <f>IF($CR25="P",CG25,(CG25+BC25)/2)</f>
        <v>0</v>
      </c>
      <c r="NR25" s="37">
        <f>IF($CR25="P",CH25,(CH25+BD25)/2)</f>
        <v>0</v>
      </c>
      <c r="NS25" s="37">
        <f>IF($CR25="P",CI25,(CI25+BE25)/2)</f>
        <v>0</v>
      </c>
      <c r="NT25" s="37">
        <f>IF($CR25="P",CJ25,(CJ25+BF25)/2)</f>
        <v>0</v>
      </c>
      <c r="NU25" s="37">
        <f>IF($CR25="P",CK25,(CK25+BG25)/2)</f>
        <v>0</v>
      </c>
      <c r="NV25" s="37">
        <f>IF($CR25="P",CL25,(CL25+BH25)/2)</f>
        <v>0</v>
      </c>
      <c r="NW25" s="37">
        <f>IF($CR25="P",CM25,(CM25+BI25)/2)</f>
        <v>0</v>
      </c>
      <c r="NX25" s="37">
        <f>IF($CR25="P",CN25,(CN25+BJ25)/2)</f>
        <v>0</v>
      </c>
      <c r="NY25" s="37">
        <f>IF($CR25="P",CO25,(CO25+BK25)/2)</f>
        <v>0</v>
      </c>
      <c r="NZ25" s="37">
        <f>IF($CR25="P",CP25,(CP25+BL25)/2)</f>
        <v>0</v>
      </c>
      <c r="OA25" s="37">
        <f>IF($CR25="P",CQ25,(CQ25+BM25)/2)</f>
        <v>0</v>
      </c>
      <c r="OB25" s="44" t="s">
        <v>46</v>
      </c>
      <c r="OC25" s="11" t="str">
        <f>IF(SUM(NH25:NK25)-NL25&gt;0,SUM(NH25:NK25)-NL25,"")</f>
        <v/>
      </c>
      <c r="OD25" s="11" t="str">
        <f>IF(NO25&gt;0,NO25,"")</f>
        <v/>
      </c>
      <c r="OE25" s="11" t="str">
        <f>IF(SUM(NM25:NP25)-NQ25&gt;0,SUM(NM25:NP25)-NQ25,"")</f>
        <v/>
      </c>
      <c r="OF25" s="11" t="str">
        <f>IF(NT25&gt;0,NT25,"")</f>
        <v/>
      </c>
      <c r="OG25" s="11" t="str">
        <f>IF(SUM(NR25:NU25)-NV25&gt;0,SUM(NR25:NU25)-NV25,"")</f>
        <v/>
      </c>
      <c r="OH25" s="11" t="str">
        <f>IF(OR(OC25&lt;&gt;"",OE25&lt;&gt;"",OG25&lt;&gt;""),OC25+MAX(OE25,OG25),"")</f>
        <v/>
      </c>
      <c r="OI25" s="11" t="str">
        <f>IF(NY25&gt;0,NY25,"")</f>
        <v/>
      </c>
      <c r="OJ25" s="11" t="str">
        <f t="shared" ref="OJ25" si="30">IF(SUM(NW25:NZ25)-OA25&gt;0,SUM(NW25:NZ25)-OA25,"")</f>
        <v/>
      </c>
      <c r="OK25" s="11" t="str">
        <f t="shared" ref="OK25" si="31">IF(SUM(OH25,OJ25)&gt;0,SUM(OH25,OJ25),"")</f>
        <v/>
      </c>
    </row>
    <row r="26" spans="1:401" x14ac:dyDescent="0.2">
      <c r="A26" s="5" t="str" cm="1">
        <f t="array" ref="A26">IF(AND(F26="P",G26="P"),SUMPRODUCT((F$4:F$37="P")*(G$4:G$37="P")*(E$4:E$37&gt;E26))+1,IF(G26="P",SUMPRODUCT((F$4:F$37="")*(G$4:G$37="P")*(E$4:E$37&gt;E26))+1+SUMPRODUCT((F$4:F$37="P")*(G$4:G$37="P")),""))</f>
        <v/>
      </c>
      <c r="B26" s="6" t="s">
        <v>187</v>
      </c>
      <c r="C26" s="7" t="s">
        <v>3</v>
      </c>
      <c r="D26" s="5">
        <v>2002</v>
      </c>
      <c r="E26" s="15">
        <f>SUM(I26:M26)+I26*0.0000001</f>
        <v>91.980004660999995</v>
      </c>
      <c r="F26" s="3" t="str">
        <f>IF(OR(AND(AL26&gt;=AS$39,AM26&gt;=AS$43,AL26&lt;&gt;"",AJ26=""),AND(AN26&gt;=AS$39,AO26&gt;=AS$43,AN26&lt;&gt;"",AN26=""),AND(AQ26&gt;=AS$39,AR26&gt;=AS$43,AQ26&lt;&gt;"",AJ26=""),AND(BP26&gt;=BW$39,BQ26&gt;=BW$43,BP26&lt;&gt;"",BN26=""),AND(BR26&gt;=BW$39,BS26&gt;=BW$43,BR26&lt;&gt;"",BN26=""),AND(BU26&gt;=BW$39,BV26&gt;=BW$43,BU26&lt;&gt;"",BN26=""),AND(CT26&gt;=DA$39,CU26&gt;=DA$43,CT26&lt;&gt;"",CR26=""),AND(CV26&gt;=DA$39,CW26&gt;=DA$43,CV26&lt;&gt;"",CR26=""),AND(CY26&gt;=DA$39,CZ26&gt;=DA$43,CY26&lt;&gt;"",CR26=""),AND(DS26&gt;=DY$39,DU26&gt;=DY$43,DS26&lt;&gt;""),AND(DW26&gt;=DY$39,DX26&gt;=DY$43,DW26&lt;&gt;""),AND(EO26&gt;=EU$39,EQ26&gt;=EU$43,EO26&lt;&gt;""),AND(ES26&gt;=EU$39,ET26&gt;=EU$43,ES26&lt;&gt;""),AND(FK26&gt;=FQ$39,FM26&gt;=FQ$43,FK26&lt;&gt;""),AND(FO26&gt;=FQ$39,FP26&gt;=FQ$43,FO26&lt;&gt;""),AND(GG26&gt;=GM$39,GI26&gt;=GM$43,GG26&lt;&gt;""),AND(GK26&gt;=GM$39,GL26&gt;=GM$43,GK26&lt;&gt;""),AND(HC26&gt;=HI$39,HE26&gt;=HI$43,HC26&lt;&gt;""),AND(HG26&gt;=HI$39,HH26&gt;=HI$43,HG26&lt;&gt;""),AND(HY26&gt;=IE$39,IA26&gt;=IE$43,HY26&lt;&gt;""),AND(IC26&gt;=IE$39,ID26&gt;=IE$43,IC26&lt;&gt;""),AND(IU26&gt;=JA$39,IW26&gt;=JA$43,IU26&lt;&gt;""),AND(IY26&gt;=JA$39,IZ26&gt;=JA$43,IY26&lt;&gt;""),AND(JQ26&gt;=JW$39,JS26&gt;=JW$43,JQ26&lt;&gt;""),AND(JU26&gt;=JW$39,JV26&gt;=JW$43,JU26&lt;&gt;""),AND(KM26&gt;=KS$39,KO26&gt;=KS$43,KM26&lt;&gt;""),AND(KQ26&gt;=KS$39,KR26&gt;=KS$43,KQ26&lt;&gt;""),AND(LI26&gt;=LO$39,LK26&gt;=LO$43,LI26&lt;&gt;""),AND(LM26&gt;=LO$39,LN26&gt;=LO$43,LM26&lt;&gt;""),AND(ME26&gt;=MK$39,MG26&gt;=MK$43,ME26&lt;&gt;""),AND(MI26&gt;=MK$39,MJ26&gt;=MK$43,MI26&lt;&gt;""),AND(NA26&gt;=NG$39,NC26&gt;=NG$43,NA26&lt;&gt;""),AND(NE26&gt;=NG$39,NF26&gt;=NG$43,NE26&lt;&gt;"")),"P","")</f>
        <v/>
      </c>
      <c r="G26" s="3" t="str">
        <f>IF(OR(AND(AM26&gt;=AS$43,AL26&lt;&gt;"",AJ26=""),AND(AO26&gt;=AS$43,AN26&lt;&gt;"",AN26=""),AND(AR26&gt;=AS$43,AQ26&lt;&gt;"",AJ26=""),AND(BQ26&gt;=BW$43,BP26&lt;&gt;"",BN26=""),AND(BS26&gt;=BW$43,BR26&lt;&gt;"",BN26=""),AND(BV26&gt;=BW$43,BU26&lt;&gt;"",BN26=""),AND(CU26&gt;=DA$43,CT26&lt;&gt;"",CR26=""),AND(CW26&gt;=DA$43,CV26&lt;&gt;"",CR26=""),AND(CZ26&gt;=DA$43,CY26&lt;&gt;"",CR26=""),AND(DU26&gt;=DY$43,DS26&lt;&gt;""),AND(DX26&gt;=DY$43,DW26&lt;&gt;""),AND(EQ26&gt;=EU$43,EO26&lt;&gt;""),AND(ET26&gt;=EU$43,ES26&lt;&gt;""),AND(FM26&gt;=FQ$43,FK26&lt;&gt;""),AND(FP26&gt;=FQ$43,FO26&lt;&gt;""),AND(GI26&gt;=GM$43,GG26&lt;&gt;""),AND(GL26&gt;=GM$43,GK26&lt;&gt;""),AND(HE26&gt;=HI$43,HC26&lt;&gt;""),AND(HH26&gt;=HI$43,HG26&lt;&gt;""),AND(IA26&gt;=IE$43,HY26&lt;&gt;""),AND(ID26&gt;=IE$43,IC26&lt;&gt;""),AND(IW26&gt;=JA$43,IU26&lt;&gt;""),AND(IZ26&gt;=JA$43,IY26&lt;&gt;""),AND(JS26&gt;=JW$43,JQ26&lt;&gt;""),AND(JV26&gt;=JW$43,JU26&lt;&gt;""),AND(KO26&gt;=KS$43,KM26&lt;&gt;""),AND(KR26&gt;=KS$43,KQ26&lt;&gt;""),AND(LK26&gt;=LO$43,LI26&lt;&gt;""),AND(LN26&gt;=LO$43,LM26&lt;&gt;""),AND(MG26&gt;=MK$43,ME26&lt;&gt;""),AND(MJ26&gt;=MK$43,MI26&lt;&gt;""),AND(NC26&gt;=NG$43,NA26&lt;&gt;""),AND(NF26&gt;=NG$43,NE26&lt;&gt;"")),"P","")</f>
        <v/>
      </c>
      <c r="H26" s="66" t="str">
        <f>IF(F26="P","National Team",IF(G26="P","No DD",""))</f>
        <v/>
      </c>
      <c r="I26" s="14">
        <f>MAX(AM26,AO26,AR26,BQ26,BS26,BV26,CU26,CW26,CZ26)</f>
        <v>46.61</v>
      </c>
      <c r="J26" s="14" t="str">
        <f>IF(I26=0,"",IF(OR(I26=CW26,I26=CU26,I26=CZ26),$BX$1,IF(OR(I26=BS26,I26=BQ26,I26=BV26),$AT$1,IF(OR(I26=AO26,I26=AM26,I26=AR26),$P$1,""))))</f>
        <v>2022 Nationals</v>
      </c>
      <c r="K26" s="14">
        <f>IF(COUNT(AM26,AO26,AR26,BQ26,BS26,BV26,CU26,CW26,CZ26)&gt;1,LARGE((AM26,AO26,AR26,BQ26,BS26,BV26,CU26,CW26,CZ26),2),0)</f>
        <v>45.37</v>
      </c>
      <c r="L26" s="14" t="str">
        <f>IF(K26=0,"",IF(OR(K26=CW26,K26=CU26,K26=CZ26),$BX$1,IF(OR(K26=BS26,K26=BQ26,K26=BV26),$AT$1,IF(OR(K26=AO26,K26=AM26,K26=AR26),$P$1,""))))</f>
        <v>2022 Nationals</v>
      </c>
      <c r="M26" s="14" t="str">
        <f>IF(MAX(DB26,DC26)&gt;0,MAX(DB26,DC26),"")</f>
        <v/>
      </c>
      <c r="N26" s="19" t="str">
        <f>IF(M26="","",IF(M26=DB26,"(Prelim)",IF(M26=DC26,"(Final)")))</f>
        <v/>
      </c>
      <c r="O26" s="14" t="str">
        <f>IF(M26="","",IF(M26=DB26,IF(M26+IF(K26="",0,K26)=NC26,$ML$1,IF(M26+IF(K26="",0,K26)=MG26,$LP$1,IF(M26+IF(K26="",0,K26)=LK26,$KT$1,IF(M26+IF(K26="",0,K26)=KO26,$JX$1,IF(M26+IF(K26="",0,K26)=JS26,$JB$1,IF(M26+IF(K26="",0,K26)=IW26,$IF$1,IF(M26+IF(K26="",0,K26)=IA26,$HJ$1,IF(M26+IF(K26="",0,K26)=HE26,$GN$1,IF(M26+IF(K26="",0,K26)=GI26,$FR$1,IF(M26+IF(K26="",0,K26)=FM26,$EV$1,IF(M26+IF(K26="",0,K26)=EQ26,$DZ$1,IF(M26+IF(K26="",0,K26)=DU26,$DD$1,IF(M26+IF(K26="",0,K26)=NB26,$ML$1,IF(M26+IF(K26="",0,K26)=MF26,$LP$1,IF(M26+IF(K26="",0,K26)=LJ26,$KT$1,IF(M26+IF(K26="",0,K26)=KN26,$JX$1,IF(M26+IF(K26="",0,K26)=JR26,$JB$1,IF(M26+IF(K26="",0,K26)=IV26,$IF$1,IF(M26+IF(K26="",0,K26)=HZ26,$HJ$1,IF(M26+IF(K26="",0,K26)=HD26,$GN$1,IF(M26+IF(K26="",0,K26)=GH26,$FR$1,IF(M26+IF(K26="",0,K26)=FL26,$EV$1,IF(M26+IF(K26="",0,K26)=EP26,$DZ$1,IF(M26+IF(K26="",0,K26)=DT26,$DD$1))))))))))))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</f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1">
        <v>14.9</v>
      </c>
      <c r="AU26" s="41">
        <v>9.5</v>
      </c>
      <c r="AV26" s="41">
        <v>2.9</v>
      </c>
      <c r="AW26" s="41">
        <v>14.75</v>
      </c>
      <c r="AX26" s="41">
        <v>0</v>
      </c>
      <c r="AY26" s="41">
        <v>12</v>
      </c>
      <c r="AZ26" s="41">
        <v>9</v>
      </c>
      <c r="BA26" s="41">
        <v>11.2</v>
      </c>
      <c r="BB26" s="41">
        <v>14.41</v>
      </c>
      <c r="BC26" s="41">
        <v>0</v>
      </c>
      <c r="BD26" s="41"/>
      <c r="BE26" s="41"/>
      <c r="BF26" s="41"/>
      <c r="BG26" s="41"/>
      <c r="BH26" s="41"/>
      <c r="BI26" s="41">
        <v>12.4</v>
      </c>
      <c r="BJ26" s="41">
        <v>9</v>
      </c>
      <c r="BK26" s="41">
        <v>9.9</v>
      </c>
      <c r="BL26" s="41">
        <v>14.07</v>
      </c>
      <c r="BM26" s="41">
        <v>0</v>
      </c>
      <c r="BN26" s="45"/>
      <c r="BO26" s="14">
        <f>IF(SUM(AT26:AW26)-AX26&gt;0,SUM(AT26:AW26)-AX26,"")</f>
        <v>42.05</v>
      </c>
      <c r="BP26" s="14">
        <f>IF(BA26&gt;0,BA26,"")</f>
        <v>11.2</v>
      </c>
      <c r="BQ26" s="14">
        <f>IF(SUM(AY26:BB26)-BC26&gt;0,SUM(AY26:BB26)-BC26,"")</f>
        <v>46.61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88.66</v>
      </c>
      <c r="BU26" s="14">
        <f>IF(BK26&gt;0,BK26,"")</f>
        <v>9.9</v>
      </c>
      <c r="BV26" s="14">
        <f>IF(SUM(BI26:BL26)-BM26&gt;0,SUM(BI26:BL26)-BM26,"")</f>
        <v>45.37</v>
      </c>
      <c r="BW26" s="14">
        <f>IF(SUM(BT26,BV26)&gt;0,SUM(BT26,BV26),"")</f>
        <v>134.03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8" t="str">
        <f>IF(K26&gt;=0.001,IF(MAX(DT26,DU26,EP26,EQ26,FL26,FM26,GH26,GI26,HD26,HE26,HZ26,IA26,IV26,IW26,JR26,JS26,KN26,KO26,LJ26,LK26,MF26,MG26,NB26,NC26)-IF(K26="",0,K26)&gt;0.001,MAX(DT26,DU26,EP26,EQ26,FL26,FM26,GH26,GI26,HD26,HE26,HZ26,IA26,IV26,IW26,JR26,JS26,KN26,KO26,LJ26,LK26,MF26,MG26,NB26,NC26)-IF(K26="",0,K26),""),"")</f>
        <v/>
      </c>
      <c r="DC26" s="18" t="str">
        <f>IF(K26&gt;=0.001,IF(MAX(DX26,ET26,FP26,GL26,HH26,ID26,IZ26,JV26,KR26,LN26,MJ26,NF26)-IF(K26="",0,K26)&gt;0.001,MAX(DX26,ET26,FP26,GL26,HH26,ID26,IZ26,JV26,KR26,LN26,MJ26,NF26)-IF(K26="",0,K26),""),"")</f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7">
        <f>IF($CR26="P",BX26,(BX26+AT26)/2)</f>
        <v>7.45</v>
      </c>
      <c r="NI26" s="37">
        <f>IF($CR26="P",BY26,(BY26+AU26)/2)</f>
        <v>4.75</v>
      </c>
      <c r="NJ26" s="37">
        <f>IF($CR26="P",BZ26,(BZ26+AV26)/2)</f>
        <v>1.45</v>
      </c>
      <c r="NK26" s="37">
        <f>IF($CR26="P",CA26,(CA26+AW26)/2)</f>
        <v>7.375</v>
      </c>
      <c r="NL26" s="37">
        <f>IF($CR26="P",CB26,(CB26+AX26)/2)</f>
        <v>0</v>
      </c>
      <c r="NM26" s="37">
        <f>IF($CR26="P",CC26,(CC26+AY26)/2)</f>
        <v>6</v>
      </c>
      <c r="NN26" s="37">
        <f>IF($CR26="P",CD26,(CD26+AZ26)/2)</f>
        <v>4.5</v>
      </c>
      <c r="NO26" s="37">
        <f>IF($CR26="P",CE26,(CE26+BA26)/2)</f>
        <v>5.6</v>
      </c>
      <c r="NP26" s="37">
        <f>IF($CR26="P",CF26,(CF26+BB26)/2)</f>
        <v>7.2050000000000001</v>
      </c>
      <c r="NQ26" s="37">
        <f>IF($CR26="P",CG26,(CG26+BC26)/2)</f>
        <v>0</v>
      </c>
      <c r="NR26" s="37">
        <f>IF($CR26="P",CH26,(CH26+BD26)/2)</f>
        <v>0</v>
      </c>
      <c r="NS26" s="37">
        <f>IF($CR26="P",CI26,(CI26+BE26)/2)</f>
        <v>0</v>
      </c>
      <c r="NT26" s="37">
        <f>IF($CR26="P",CJ26,(CJ26+BF26)/2)</f>
        <v>0</v>
      </c>
      <c r="NU26" s="37">
        <f>IF($CR26="P",CK26,(CK26+BG26)/2)</f>
        <v>0</v>
      </c>
      <c r="NV26" s="37">
        <f>IF($CR26="P",CL26,(CL26+BH26)/2)</f>
        <v>0</v>
      </c>
      <c r="NW26" s="37">
        <f>IF($CR26="P",CM26,(CM26+BI26)/2)</f>
        <v>6.2</v>
      </c>
      <c r="NX26" s="37">
        <f>IF($CR26="P",CN26,(CN26+BJ26)/2)</f>
        <v>4.5</v>
      </c>
      <c r="NY26" s="37">
        <f>IF($CR26="P",CO26,(CO26+BK26)/2)</f>
        <v>4.95</v>
      </c>
      <c r="NZ26" s="37">
        <f>IF($CR26="P",CP26,(CP26+BL26)/2)</f>
        <v>7.0350000000000001</v>
      </c>
      <c r="OA26" s="37">
        <f>IF($CR26="P",CQ26,(CQ26+BM26)/2)</f>
        <v>0</v>
      </c>
      <c r="OB26" s="44" t="s">
        <v>46</v>
      </c>
      <c r="OC26" s="11">
        <f>IF(SUM(NH26:NK26)-NL26&gt;0,SUM(NH26:NK26)-NL26,"")</f>
        <v>21.024999999999999</v>
      </c>
      <c r="OD26" s="11">
        <f>IF(NO26&gt;0,NO26,"")</f>
        <v>5.6</v>
      </c>
      <c r="OE26" s="11">
        <f>IF(SUM(NM26:NP26)-NQ26&gt;0,SUM(NM26:NP26)-NQ26,"")</f>
        <v>23.305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44.33</v>
      </c>
      <c r="OI26" s="11">
        <f>IF(NY26&gt;0,NY26,"")</f>
        <v>4.95</v>
      </c>
      <c r="OJ26" s="11">
        <f t="shared" ref="OJ26" si="32">IF(SUM(NW26:NZ26)-OA26&gt;0,SUM(NW26:NZ26)-OA26,"")</f>
        <v>22.684999999999999</v>
      </c>
      <c r="OK26" s="11">
        <f t="shared" ref="OK26" si="33">IF(SUM(OH26,OJ26)&gt;0,SUM(OH26,OJ26),"")</f>
        <v>67.015000000000001</v>
      </c>
    </row>
    <row r="27" spans="1:401" x14ac:dyDescent="0.2">
      <c r="A27" s="5" t="str" cm="1">
        <f t="array" ref="A27">IF(AND(F27="P",G27="P"),SUMPRODUCT((F$4:F$37="P")*(G$4:G$37="P")*(E$4:E$37&gt;E27))+1,IF(G27="P",SUMPRODUCT((F$4:F$37="")*(G$4:G$37="P")*(E$4:E$37&gt;E27))+1+SUMPRODUCT((F$4:F$37="P")*(G$4:G$37="P")),""))</f>
        <v/>
      </c>
      <c r="B27" s="6" t="s">
        <v>142</v>
      </c>
      <c r="C27" s="7" t="s">
        <v>5</v>
      </c>
      <c r="D27" s="5">
        <v>2005</v>
      </c>
      <c r="E27" s="15">
        <f>SUM(I27:M27)+I27*0.0000001</f>
        <v>80.400004680000009</v>
      </c>
      <c r="F27" s="3" t="str">
        <f>IF(OR(AND(AL27&gt;=AS$39,AM27&gt;=AS$43,AL27&lt;&gt;"",AJ27=""),AND(AN27&gt;=AS$39,AO27&gt;=AS$43,AN27&lt;&gt;"",AN27=""),AND(AQ27&gt;=AS$39,AR27&gt;=AS$43,AQ27&lt;&gt;"",AJ27=""),AND(BP27&gt;=BW$39,BQ27&gt;=BW$43,BP27&lt;&gt;"",BN27=""),AND(BR27&gt;=BW$39,BS27&gt;=BW$43,BR27&lt;&gt;"",BN27=""),AND(BU27&gt;=BW$39,BV27&gt;=BW$43,BU27&lt;&gt;"",BN27=""),AND(CT27&gt;=DA$39,CU27&gt;=DA$43,CT27&lt;&gt;"",CR27=""),AND(CV27&gt;=DA$39,CW27&gt;=DA$43,CV27&lt;&gt;"",CR27=""),AND(CY27&gt;=DA$39,CZ27&gt;=DA$43,CY27&lt;&gt;"",CR27=""),AND(DS27&gt;=DY$39,DU27&gt;=DY$43,DS27&lt;&gt;""),AND(DW27&gt;=DY$39,DX27&gt;=DY$43,DW27&lt;&gt;""),AND(EO27&gt;=EU$39,EQ27&gt;=EU$43,EO27&lt;&gt;""),AND(ES27&gt;=EU$39,ET27&gt;=EU$43,ES27&lt;&gt;""),AND(FK27&gt;=FQ$39,FM27&gt;=FQ$43,FK27&lt;&gt;""),AND(FO27&gt;=FQ$39,FP27&gt;=FQ$43,FO27&lt;&gt;""),AND(GG27&gt;=GM$39,GI27&gt;=GM$43,GG27&lt;&gt;""),AND(GK27&gt;=GM$39,GL27&gt;=GM$43,GK27&lt;&gt;""),AND(HC27&gt;=HI$39,HE27&gt;=HI$43,HC27&lt;&gt;""),AND(HG27&gt;=HI$39,HH27&gt;=HI$43,HG27&lt;&gt;""),AND(HY27&gt;=IE$39,IA27&gt;=IE$43,HY27&lt;&gt;""),AND(IC27&gt;=IE$39,ID27&gt;=IE$43,IC27&lt;&gt;""),AND(IU27&gt;=JA$39,IW27&gt;=JA$43,IU27&lt;&gt;""),AND(IY27&gt;=JA$39,IZ27&gt;=JA$43,IY27&lt;&gt;""),AND(JQ27&gt;=JW$39,JS27&gt;=JW$43,JQ27&lt;&gt;""),AND(JU27&gt;=JW$39,JV27&gt;=JW$43,JU27&lt;&gt;""),AND(KM27&gt;=KS$39,KO27&gt;=KS$43,KM27&lt;&gt;""),AND(KQ27&gt;=KS$39,KR27&gt;=KS$43,KQ27&lt;&gt;""),AND(LI27&gt;=LO$39,LK27&gt;=LO$43,LI27&lt;&gt;""),AND(LM27&gt;=LO$39,LN27&gt;=LO$43,LM27&lt;&gt;""),AND(ME27&gt;=MK$39,MG27&gt;=MK$43,ME27&lt;&gt;""),AND(MI27&gt;=MK$39,MJ27&gt;=MK$43,MI27&lt;&gt;""),AND(NA27&gt;=NG$39,NC27&gt;=NG$43,NA27&lt;&gt;""),AND(NE27&gt;=NG$39,NF27&gt;=NG$43,NE27&lt;&gt;"")),"P","")</f>
        <v/>
      </c>
      <c r="G27" s="3" t="str">
        <f>IF(OR(AND(AM27&gt;=AS$43,AL27&lt;&gt;"",AJ27=""),AND(AO27&gt;=AS$43,AN27&lt;&gt;"",AN27=""),AND(AR27&gt;=AS$43,AQ27&lt;&gt;"",AJ27=""),AND(BQ27&gt;=BW$43,BP27&lt;&gt;"",BN27=""),AND(BS27&gt;=BW$43,BR27&lt;&gt;"",BN27=""),AND(BV27&gt;=BW$43,BU27&lt;&gt;"",BN27=""),AND(CU27&gt;=DA$43,CT27&lt;&gt;"",CR27=""),AND(CW27&gt;=DA$43,CV27&lt;&gt;"",CR27=""),AND(CZ27&gt;=DA$43,CY27&lt;&gt;"",CR27=""),AND(DU27&gt;=DY$43,DS27&lt;&gt;""),AND(DX27&gt;=DY$43,DW27&lt;&gt;""),AND(EQ27&gt;=EU$43,EO27&lt;&gt;""),AND(ET27&gt;=EU$43,ES27&lt;&gt;""),AND(FM27&gt;=FQ$43,FK27&lt;&gt;""),AND(FP27&gt;=FQ$43,FO27&lt;&gt;""),AND(GI27&gt;=GM$43,GG27&lt;&gt;""),AND(GL27&gt;=GM$43,GK27&lt;&gt;""),AND(HE27&gt;=HI$43,HC27&lt;&gt;""),AND(HH27&gt;=HI$43,HG27&lt;&gt;""),AND(IA27&gt;=IE$43,HY27&lt;&gt;""),AND(ID27&gt;=IE$43,IC27&lt;&gt;""),AND(IW27&gt;=JA$43,IU27&lt;&gt;""),AND(IZ27&gt;=JA$43,IY27&lt;&gt;""),AND(JS27&gt;=JW$43,JQ27&lt;&gt;""),AND(JV27&gt;=JW$43,JU27&lt;&gt;""),AND(KO27&gt;=KS$43,KM27&lt;&gt;""),AND(KR27&gt;=KS$43,KQ27&lt;&gt;""),AND(LK27&gt;=LO$43,LI27&lt;&gt;""),AND(LN27&gt;=LO$43,LM27&lt;&gt;""),AND(MG27&gt;=MK$43,ME27&lt;&gt;""),AND(MJ27&gt;=MK$43,MI27&lt;&gt;""),AND(NC27&gt;=NG$43,NA27&lt;&gt;""),AND(NF27&gt;=NG$43,NE27&lt;&gt;"")),"P","")</f>
        <v/>
      </c>
      <c r="H27" s="66" t="str">
        <f>IF(F27="P","National Team",IF(G27="P","No DD",""))</f>
        <v/>
      </c>
      <c r="I27" s="14">
        <f>MAX(AM27,AO27,AR27,BQ27,BS27,BV27,CU27,CW27,CZ27)</f>
        <v>46.8</v>
      </c>
      <c r="J27" s="14" t="str">
        <f>IF(I27=0,"",IF(OR(I27=CW27,I27=CU27,I27=CZ27),$BX$1,IF(OR(I27=BS27,I27=BQ27,I27=BV27),$AT$1,IF(OR(I27=AO27,I27=AM27,I27=AR27),$P$1,""))))</f>
        <v>2022 Elite Canada</v>
      </c>
      <c r="K27" s="14">
        <f>IF(COUNT(AM27,AO27,AR27,BQ27,BS27,BV27,CU27,CW27,CZ27)&gt;1,LARGE((AM27,AO27,AR27,BQ27,BS27,BV27,CU27,CW27,CZ27),2),0)</f>
        <v>33.6</v>
      </c>
      <c r="L27" s="14" t="str">
        <f>IF(K27=0,"",IF(OR(K27=CW27,K27=CU27,K27=CZ27),$BX$1,IF(OR(K27=BS27,K27=BQ27,K27=BV27),$AT$1,IF(OR(K27=AO27,K27=AM27,K27=AR27),$P$1,""))))</f>
        <v>2022 Elite Canada</v>
      </c>
      <c r="M27" s="14" t="str">
        <f>IF(MAX(DB27,DC27)&gt;0,MAX(DB27,DC27),"")</f>
        <v/>
      </c>
      <c r="N27" s="19" t="str">
        <f>IF(M27="","",IF(M27=DB27,"(Prelim)",IF(M27=DC27,"(Final)")))</f>
        <v/>
      </c>
      <c r="O27" s="14" t="str">
        <f>IF(M27="","",IF(M27=DB27,IF(M27+IF(K27="",0,K27)=NC27,$ML$1,IF(M27+IF(K27="",0,K27)=MG27,$LP$1,IF(M27+IF(K27="",0,K27)=LK27,$KT$1,IF(M27+IF(K27="",0,K27)=KO27,$JX$1,IF(M27+IF(K27="",0,K27)=JS27,$JB$1,IF(M27+IF(K27="",0,K27)=IW27,$IF$1,IF(M27+IF(K27="",0,K27)=IA27,$HJ$1,IF(M27+IF(K27="",0,K27)=HE27,$GN$1,IF(M27+IF(K27="",0,K27)=GI27,$FR$1,IF(M27+IF(K27="",0,K27)=FM27,$EV$1,IF(M27+IF(K27="",0,K27)=EQ27,$DZ$1,IF(M27+IF(K27="",0,K27)=DU27,$DD$1,IF(M27+IF(K27="",0,K27)=NB27,$ML$1,IF(M27+IF(K27="",0,K27)=MF27,$LP$1,IF(M27+IF(K27="",0,K27)=LJ27,$KT$1,IF(M27+IF(K27="",0,K27)=KN27,$JX$1,IF(M27+IF(K27="",0,K27)=JR27,$JB$1,IF(M27+IF(K27="",0,K27)=IV27,$IF$1,IF(M27+IF(K27="",0,K27)=HZ27,$HJ$1,IF(M27+IF(K27="",0,K27)=HD27,$GN$1,IF(M27+IF(K27="",0,K27)=GH27,$FR$1,IF(M27+IF(K27="",0,K27)=FL27,$EV$1,IF(M27+IF(K27="",0,K27)=EP27,$DZ$1,IF(M27+IF(K27="",0,K27)=DT27,$DD$1))))))))))))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</f>
        <v/>
      </c>
      <c r="P27" s="37">
        <v>15.7</v>
      </c>
      <c r="Q27" s="37">
        <v>9.1</v>
      </c>
      <c r="R27" s="37">
        <v>2.9</v>
      </c>
      <c r="S27" s="37">
        <v>15.03</v>
      </c>
      <c r="T27" s="37">
        <v>0</v>
      </c>
      <c r="U27" s="37">
        <v>12.3</v>
      </c>
      <c r="V27" s="37">
        <v>9.3000000000000007</v>
      </c>
      <c r="W27" s="37">
        <v>10</v>
      </c>
      <c r="X27" s="37">
        <v>15.2</v>
      </c>
      <c r="Y27" s="37">
        <v>0</v>
      </c>
      <c r="Z27" s="37"/>
      <c r="AA27" s="37"/>
      <c r="AB27" s="37"/>
      <c r="AC27" s="37"/>
      <c r="AD27" s="37"/>
      <c r="AE27" s="37">
        <v>9.1</v>
      </c>
      <c r="AF27" s="37">
        <v>6.1</v>
      </c>
      <c r="AG27" s="37">
        <v>7.9</v>
      </c>
      <c r="AH27" s="37">
        <v>10.5</v>
      </c>
      <c r="AI27" s="37">
        <v>0</v>
      </c>
      <c r="AJ27" s="44"/>
      <c r="AK27" s="11">
        <f>IF(SUM(P27:S27)-T27&gt;0,SUM(P27:S27)-T27,"")</f>
        <v>42.73</v>
      </c>
      <c r="AL27" s="11">
        <f>IF(W27&gt;0,W27,"")</f>
        <v>10</v>
      </c>
      <c r="AM27" s="11">
        <f>IF(SUM(U27:X27)-Y27&gt;0,SUM(U27:X27)-Y27,"")</f>
        <v>46.8</v>
      </c>
      <c r="AN27" s="11" t="str">
        <f>IF(AB27&gt;0,AB27,"")</f>
        <v/>
      </c>
      <c r="AO27" s="11" t="str">
        <f>IF(SUM(Z27:AC27)-AD27&gt;0,SUM(Z27:AC27)-AD27,"")</f>
        <v/>
      </c>
      <c r="AP27" s="11">
        <f>IF(AK27="",IF(MAX(AM27,AO27)&gt;0,MAX(AM27,AO27),""),MAX(AM27,AO27)+AK27)</f>
        <v>89.53</v>
      </c>
      <c r="AQ27" s="11">
        <f>IF(AG27&gt;0,AG27,"")</f>
        <v>7.9</v>
      </c>
      <c r="AR27" s="11">
        <f>IF(SUM(AE27:AH27)-AI27&gt;0,SUM(AE27:AH27)-AI27,"")</f>
        <v>33.6</v>
      </c>
      <c r="AS27" s="11">
        <f>IF(SUM(AP27,AR27)&gt;0,SUM(AP27,AR27),"")</f>
        <v>123.13</v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>IF(SUM(AT27:AW27)-AX27&gt;0,SUM(AT27:AW27)-AX27,"")</f>
        <v/>
      </c>
      <c r="BP27" s="14" t="str">
        <f>IF(BA27&gt;0,BA27,"")</f>
        <v/>
      </c>
      <c r="BQ27" s="14" t="str">
        <f>IF(SUM(AY27:BB27)-BC27&gt;0,SUM(AY27:BB27)-BC27,"")</f>
        <v/>
      </c>
      <c r="BR27" s="14" t="str">
        <f>IF(BF27&gt;0,BF27,"")</f>
        <v/>
      </c>
      <c r="BS27" s="14" t="str">
        <f>IF(SUM(BD27:BG27)-BH27&gt;0,SUM(BD27:BG27)-BH27,"")</f>
        <v/>
      </c>
      <c r="BT27" s="14" t="str">
        <f>IF(BO27="",IF(MAX(BQ27,BS27)&gt;0,MAX(BQ27,BS27),""),MAX(BQ27,BS27)+BO27)</f>
        <v/>
      </c>
      <c r="BU27" s="14" t="str">
        <f>IF(BK27&gt;0,BK27,"")</f>
        <v/>
      </c>
      <c r="BV27" s="14" t="str">
        <f>IF(SUM(BI27:BL27)-BM27&gt;0,SUM(BI27:BL27)-BM27,"")</f>
        <v/>
      </c>
      <c r="BW27" s="14" t="str">
        <f>IF(SUM(BT27,BV27)&gt;0,SUM(BT27,BV27),"")</f>
        <v/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8" t="str">
        <f>IF(K27&gt;=0.001,IF(MAX(DT27,DU27,EP27,EQ27,FL27,FM27,GH27,GI27,HD27,HE27,HZ27,IA27,IV27,IW27,JR27,JS27,KN27,KO27,LJ27,LK27,MF27,MG27,NB27,NC27)-IF(K27="",0,K27)&gt;0.001,MAX(DT27,DU27,EP27,EQ27,FL27,FM27,GH27,GI27,HD27,HE27,HZ27,IA27,IV27,IW27,JR27,JS27,KN27,KO27,LJ27,LK27,MF27,MG27,NB27,NC27)-IF(K27="",0,K27),""),"")</f>
        <v/>
      </c>
      <c r="DC27" s="18" t="str">
        <f>IF(K27&gt;=0.001,IF(MAX(DX27,ET27,FP27,GL27,HH27,ID27,IZ27,JV27,KR27,LN27,MJ27,NF27)-IF(K27="",0,K27)&gt;0.001,MAX(DX27,ET27,FP27,GL27,HH27,ID27,IZ27,JV27,KR27,LN27,MJ27,NF27)-IF(K27="",0,K27),""),"")</f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7">
        <f>IF($CR27="P",BX27,(BX27+AT27)/2)</f>
        <v>0</v>
      </c>
      <c r="NI27" s="37">
        <f>IF($CR27="P",BY27,(BY27+AU27)/2)</f>
        <v>0</v>
      </c>
      <c r="NJ27" s="37">
        <f>IF($CR27="P",BZ27,(BZ27+AV27)/2)</f>
        <v>0</v>
      </c>
      <c r="NK27" s="37">
        <f>IF($CR27="P",CA27,(CA27+AW27)/2)</f>
        <v>0</v>
      </c>
      <c r="NL27" s="37">
        <f>IF($CR27="P",CB27,(CB27+AX27)/2)</f>
        <v>0</v>
      </c>
      <c r="NM27" s="37">
        <f>IF($CR27="P",CC27,(CC27+AY27)/2)</f>
        <v>0</v>
      </c>
      <c r="NN27" s="37">
        <f>IF($CR27="P",CD27,(CD27+AZ27)/2)</f>
        <v>0</v>
      </c>
      <c r="NO27" s="37">
        <f>IF($CR27="P",CE27,(CE27+BA27)/2)</f>
        <v>0</v>
      </c>
      <c r="NP27" s="37">
        <f>IF($CR27="P",CF27,(CF27+BB27)/2)</f>
        <v>0</v>
      </c>
      <c r="NQ27" s="37">
        <f>IF($CR27="P",CG27,(CG27+BC27)/2)</f>
        <v>0</v>
      </c>
      <c r="NR27" s="37">
        <f>IF($CR27="P",CH27,(CH27+BD27)/2)</f>
        <v>0</v>
      </c>
      <c r="NS27" s="37">
        <f>IF($CR27="P",CI27,(CI27+BE27)/2)</f>
        <v>0</v>
      </c>
      <c r="NT27" s="37">
        <f>IF($CR27="P",CJ27,(CJ27+BF27)/2)</f>
        <v>0</v>
      </c>
      <c r="NU27" s="37">
        <f>IF($CR27="P",CK27,(CK27+BG27)/2)</f>
        <v>0</v>
      </c>
      <c r="NV27" s="37">
        <f>IF($CR27="P",CL27,(CL27+BH27)/2)</f>
        <v>0</v>
      </c>
      <c r="NW27" s="37">
        <f>IF($CR27="P",CM27,(CM27+BI27)/2)</f>
        <v>0</v>
      </c>
      <c r="NX27" s="37">
        <f>IF($CR27="P",CN27,(CN27+BJ27)/2)</f>
        <v>0</v>
      </c>
      <c r="NY27" s="37">
        <f>IF($CR27="P",CO27,(CO27+BK27)/2)</f>
        <v>0</v>
      </c>
      <c r="NZ27" s="37">
        <f>IF($CR27="P",CP27,(CP27+BL27)/2)</f>
        <v>0</v>
      </c>
      <c r="OA27" s="37">
        <f>IF($CR27="P",CQ27,(CQ27+BM27)/2)</f>
        <v>0</v>
      </c>
      <c r="OB27" s="44" t="s">
        <v>46</v>
      </c>
      <c r="OC27" s="11" t="str">
        <f>IF(SUM(NH27:NK27)-NL27&gt;0,SUM(NH27:NK27)-NL27,"")</f>
        <v/>
      </c>
      <c r="OD27" s="11" t="str">
        <f>IF(NO27&gt;0,NO27,"")</f>
        <v/>
      </c>
      <c r="OE27" s="11" t="str">
        <f>IF(SUM(NM27:NP27)-NQ27&gt;0,SUM(NM27:NP27)-NQ27,"")</f>
        <v/>
      </c>
      <c r="OF27" s="11" t="str">
        <f>IF(NT27&gt;0,NT27,"")</f>
        <v/>
      </c>
      <c r="OG27" s="11" t="str">
        <f>IF(SUM(NR27:NU27)-NV27&gt;0,SUM(NR27:NU27)-NV27,"")</f>
        <v/>
      </c>
      <c r="OH27" s="11" t="str">
        <f>IF(OR(OC27&lt;&gt;"",OE27&lt;&gt;"",OG27&lt;&gt;""),OC27+MAX(OE27,OG27),"")</f>
        <v/>
      </c>
      <c r="OI27" s="11" t="str">
        <f>IF(NY27&gt;0,NY27,"")</f>
        <v/>
      </c>
      <c r="OJ27" s="11" t="str">
        <f t="shared" ref="OJ27" si="34">IF(SUM(NW27:NZ27)-OA27&gt;0,SUM(NW27:NZ27)-OA27,"")</f>
        <v/>
      </c>
      <c r="OK27" s="11" t="str">
        <f t="shared" ref="OK27" si="35">IF(SUM(OH27,OJ27)&gt;0,SUM(OH27,OJ27),"")</f>
        <v/>
      </c>
    </row>
    <row r="28" spans="1:401" x14ac:dyDescent="0.2">
      <c r="A28" s="5" t="str" cm="1">
        <f t="array" ref="A28">IF(AND(F28="P",G28="P"),SUMPRODUCT((F$4:F$37="P")*(G$4:G$37="P")*(E$4:E$37&gt;E28))+1,IF(G28="P",SUMPRODUCT((F$4:F$37="")*(G$4:G$37="P")*(E$4:E$37&gt;E28))+1+SUMPRODUCT((F$4:F$37="P")*(G$4:G$37="P")),""))</f>
        <v/>
      </c>
      <c r="B28" s="6" t="s">
        <v>108</v>
      </c>
      <c r="C28" s="7" t="s">
        <v>5</v>
      </c>
      <c r="D28" s="21">
        <v>2004</v>
      </c>
      <c r="E28" s="15">
        <f>SUM(I28:M28)+I28*0.0000001</f>
        <v>69.900004110000012</v>
      </c>
      <c r="F28" s="3" t="str">
        <f>IF(OR(AND(AL28&gt;=AS$39,AM28&gt;=AS$43,AL28&lt;&gt;"",AJ28=""),AND(AN28&gt;=AS$39,AO28&gt;=AS$43,AN28&lt;&gt;"",AN28=""),AND(AQ28&gt;=AS$39,AR28&gt;=AS$43,AQ28&lt;&gt;"",AJ28=""),AND(BP28&gt;=BW$39,BQ28&gt;=BW$43,BP28&lt;&gt;"",BN28=""),AND(BR28&gt;=BW$39,BS28&gt;=BW$43,BR28&lt;&gt;"",BN28=""),AND(BU28&gt;=BW$39,BV28&gt;=BW$43,BU28&lt;&gt;"",BN28=""),AND(CT28&gt;=DA$39,CU28&gt;=DA$43,CT28&lt;&gt;"",CR28=""),AND(CV28&gt;=DA$39,CW28&gt;=DA$43,CV28&lt;&gt;"",CR28=""),AND(CY28&gt;=DA$39,CZ28&gt;=DA$43,CY28&lt;&gt;"",CR28=""),AND(DS28&gt;=DY$39,DU28&gt;=DY$43,DS28&lt;&gt;""),AND(DW28&gt;=DY$39,DX28&gt;=DY$43,DW28&lt;&gt;""),AND(EO28&gt;=EU$39,EQ28&gt;=EU$43,EO28&lt;&gt;""),AND(ES28&gt;=EU$39,ET28&gt;=EU$43,ES28&lt;&gt;""),AND(FK28&gt;=FQ$39,FM28&gt;=FQ$43,FK28&lt;&gt;""),AND(FO28&gt;=FQ$39,FP28&gt;=FQ$43,FO28&lt;&gt;""),AND(GG28&gt;=GM$39,GI28&gt;=GM$43,GG28&lt;&gt;""),AND(GK28&gt;=GM$39,GL28&gt;=GM$43,GK28&lt;&gt;""),AND(HC28&gt;=HI$39,HE28&gt;=HI$43,HC28&lt;&gt;""),AND(HG28&gt;=HI$39,HH28&gt;=HI$43,HG28&lt;&gt;""),AND(HY28&gt;=IE$39,IA28&gt;=IE$43,HY28&lt;&gt;""),AND(IC28&gt;=IE$39,ID28&gt;=IE$43,IC28&lt;&gt;""),AND(IU28&gt;=JA$39,IW28&gt;=JA$43,IU28&lt;&gt;""),AND(IY28&gt;=JA$39,IZ28&gt;=JA$43,IY28&lt;&gt;""),AND(JQ28&gt;=JW$39,JS28&gt;=JW$43,JQ28&lt;&gt;""),AND(JU28&gt;=JW$39,JV28&gt;=JW$43,JU28&lt;&gt;""),AND(KM28&gt;=KS$39,KO28&gt;=KS$43,KM28&lt;&gt;""),AND(KQ28&gt;=KS$39,KR28&gt;=KS$43,KQ28&lt;&gt;""),AND(LI28&gt;=LO$39,LK28&gt;=LO$43,LI28&lt;&gt;""),AND(LM28&gt;=LO$39,LN28&gt;=LO$43,LM28&lt;&gt;""),AND(ME28&gt;=MK$39,MG28&gt;=MK$43,ME28&lt;&gt;""),AND(MI28&gt;=MK$39,MJ28&gt;=MK$43,MI28&lt;&gt;""),AND(NA28&gt;=NG$39,NC28&gt;=NG$43,NA28&lt;&gt;""),AND(NE28&gt;=NG$39,NF28&gt;=NG$43,NE28&lt;&gt;"")),"P","")</f>
        <v/>
      </c>
      <c r="G28" s="3" t="str">
        <f>IF(OR(AND(AM28&gt;=AS$43,AL28&lt;&gt;"",AJ28=""),AND(AO28&gt;=AS$43,AN28&lt;&gt;"",AN28=""),AND(AR28&gt;=AS$43,AQ28&lt;&gt;"",AJ28=""),AND(BQ28&gt;=BW$43,BP28&lt;&gt;"",BN28=""),AND(BS28&gt;=BW$43,BR28&lt;&gt;"",BN28=""),AND(BV28&gt;=BW$43,BU28&lt;&gt;"",BN28=""),AND(CU28&gt;=DA$43,CT28&lt;&gt;"",CR28=""),AND(CW28&gt;=DA$43,CV28&lt;&gt;"",CR28=""),AND(CZ28&gt;=DA$43,CY28&lt;&gt;"",CR28=""),AND(DU28&gt;=DY$43,DS28&lt;&gt;""),AND(DX28&gt;=DY$43,DW28&lt;&gt;""),AND(EQ28&gt;=EU$43,EO28&lt;&gt;""),AND(ET28&gt;=EU$43,ES28&lt;&gt;""),AND(FM28&gt;=FQ$43,FK28&lt;&gt;""),AND(FP28&gt;=FQ$43,FO28&lt;&gt;""),AND(GI28&gt;=GM$43,GG28&lt;&gt;""),AND(GL28&gt;=GM$43,GK28&lt;&gt;""),AND(HE28&gt;=HI$43,HC28&lt;&gt;""),AND(HH28&gt;=HI$43,HG28&lt;&gt;""),AND(IA28&gt;=IE$43,HY28&lt;&gt;""),AND(ID28&gt;=IE$43,IC28&lt;&gt;""),AND(IW28&gt;=JA$43,IU28&lt;&gt;""),AND(IZ28&gt;=JA$43,IY28&lt;&gt;""),AND(JS28&gt;=JW$43,JQ28&lt;&gt;""),AND(JV28&gt;=JW$43,JU28&lt;&gt;""),AND(KO28&gt;=KS$43,KM28&lt;&gt;""),AND(KR28&gt;=KS$43,KQ28&lt;&gt;""),AND(LK28&gt;=LO$43,LI28&lt;&gt;""),AND(LN28&gt;=LO$43,LM28&lt;&gt;""),AND(MG28&gt;=MK$43,ME28&lt;&gt;""),AND(MJ28&gt;=MK$43,MI28&lt;&gt;""),AND(NC28&gt;=NG$43,NA28&lt;&gt;""),AND(NF28&gt;=NG$43,NE28&lt;&gt;"")),"P","")</f>
        <v/>
      </c>
      <c r="H28" s="66" t="str">
        <f>IF(F28="P","National Team",IF(G28="P","No DD",""))</f>
        <v/>
      </c>
      <c r="I28" s="14">
        <f>MAX(AM28,AO28,AR28,BQ28,BS28,BV28,CU28,CW28,CZ28)</f>
        <v>41.1</v>
      </c>
      <c r="J28" s="14" t="str">
        <f>IF(I28=0,"",IF(OR(I28=CW28,I28=CU28,I28=CZ28),$BX$1,IF(OR(I28=BS28,I28=BQ28,I28=BV28),$AT$1,IF(OR(I28=AO28,I28=AM28,I28=AR28),$P$1,""))))</f>
        <v>2022 Elite Canada</v>
      </c>
      <c r="K28" s="14">
        <f>IF(COUNT(AM28,AO28,AR28,BQ28,BS28,BV28,CU28,CW28,CZ28)&gt;1,LARGE((AM28,AO28,AR28,BQ28,BS28,BV28,CU28,CW28,CZ28),2),0)</f>
        <v>28.8</v>
      </c>
      <c r="L28" s="14" t="str">
        <f>IF(K28=0,"",IF(OR(K28=CW28,K28=CU28,K28=CZ28),$BX$1,IF(OR(K28=BS28,K28=BQ28,K28=BV28),$AT$1,IF(OR(K28=AO28,K28=AM28,K28=AR28),$P$1,""))))</f>
        <v>2022 Nationals</v>
      </c>
      <c r="M28" s="14" t="str">
        <f>IF(MAX(DB28,DC28)&gt;0,MAX(DB28,DC28),"")</f>
        <v/>
      </c>
      <c r="N28" s="19" t="str">
        <f>IF(M28="","",IF(M28=DB28,"(Prelim)",IF(M28=DC28,"(Final)")))</f>
        <v/>
      </c>
      <c r="O28" s="14" t="str">
        <f>IF(M28="","",IF(M28=DB28,IF(M28+IF(K28="",0,K28)=NC28,$ML$1,IF(M28+IF(K28="",0,K28)=MG28,$LP$1,IF(M28+IF(K28="",0,K28)=LK28,$KT$1,IF(M28+IF(K28="",0,K28)=KO28,$JX$1,IF(M28+IF(K28="",0,K28)=JS28,$JB$1,IF(M28+IF(K28="",0,K28)=IW28,$IF$1,IF(M28+IF(K28="",0,K28)=IA28,$HJ$1,IF(M28+IF(K28="",0,K28)=HE28,$GN$1,IF(M28+IF(K28="",0,K28)=GI28,$FR$1,IF(M28+IF(K28="",0,K28)=FM28,$EV$1,IF(M28+IF(K28="",0,K28)=EQ28,$DZ$1,IF(M28+IF(K28="",0,K28)=DU28,$DD$1,IF(M28+IF(K28="",0,K28)=NB28,$ML$1,IF(M28+IF(K28="",0,K28)=MF28,$LP$1,IF(M28+IF(K28="",0,K28)=LJ28,$KT$1,IF(M28+IF(K28="",0,K28)=KN28,$JX$1,IF(M28+IF(K28="",0,K28)=JR28,$JB$1,IF(M28+IF(K28="",0,K28)=IV28,$IF$1,IF(M28+IF(K28="",0,K28)=HZ28,$HJ$1,IF(M28+IF(K28="",0,K28)=HD28,$GN$1,IF(M28+IF(K28="",0,K28)=GH28,$FR$1,IF(M28+IF(K28="",0,K28)=FL28,$EV$1,IF(M28+IF(K28="",0,K28)=EP28,$DZ$1,IF(M28+IF(K28="",0,K28)=DT28,$DD$1))))))))))))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</f>
        <v/>
      </c>
      <c r="P28" s="37">
        <v>14.7</v>
      </c>
      <c r="Q28" s="37">
        <v>9.4</v>
      </c>
      <c r="R28" s="37">
        <v>1.8</v>
      </c>
      <c r="S28" s="37">
        <v>14.43</v>
      </c>
      <c r="T28" s="37">
        <v>0</v>
      </c>
      <c r="U28" s="37">
        <v>10.6</v>
      </c>
      <c r="V28" s="37">
        <v>9.1999999999999993</v>
      </c>
      <c r="W28" s="37">
        <v>8.3000000000000007</v>
      </c>
      <c r="X28" s="37">
        <v>13.8</v>
      </c>
      <c r="Y28" s="37">
        <v>0.8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>
        <f>IF(SUM(P28:S28)-T28&gt;0,SUM(P28:S28)-T28,"")</f>
        <v>40.33</v>
      </c>
      <c r="AL28" s="11">
        <f>IF(W28&gt;0,W28,"")</f>
        <v>8.3000000000000007</v>
      </c>
      <c r="AM28" s="11">
        <f>IF(SUM(U28:X28)-Y28&gt;0,SUM(U28:X28)-Y28,"")</f>
        <v>41.1</v>
      </c>
      <c r="AN28" s="11" t="str">
        <f>IF(AB28&gt;0,AB28,"")</f>
        <v/>
      </c>
      <c r="AO28" s="11" t="str">
        <f>IF(SUM(Z28:AC28)-AD28&gt;0,SUM(Z28:AC28)-AD28,"")</f>
        <v/>
      </c>
      <c r="AP28" s="11">
        <f>IF(AK28="",IF(MAX(AM28,AO28)&gt;0,MAX(AM28,AO28),""),MAX(AM28,AO28)+AK28)</f>
        <v>81.430000000000007</v>
      </c>
      <c r="AQ28" s="11" t="str">
        <f>IF(AG28&gt;0,AG28,"")</f>
        <v/>
      </c>
      <c r="AR28" s="11" t="str">
        <f>IF(SUM(AE28:AH28)-AI28&gt;0,SUM(AE28:AH28)-AI28,"")</f>
        <v/>
      </c>
      <c r="AS28" s="11">
        <f>IF(SUM(AP28,AR28)&gt;0,SUM(AP28,AR28),"")</f>
        <v>81.430000000000007</v>
      </c>
      <c r="AT28" s="41">
        <v>16.2</v>
      </c>
      <c r="AU28" s="41">
        <v>9.6</v>
      </c>
      <c r="AV28" s="41">
        <v>2</v>
      </c>
      <c r="AW28" s="41">
        <v>14.49</v>
      </c>
      <c r="AX28" s="41">
        <v>0</v>
      </c>
      <c r="AY28" s="41">
        <v>8</v>
      </c>
      <c r="AZ28" s="41">
        <v>5.3</v>
      </c>
      <c r="BA28" s="41">
        <v>6.8</v>
      </c>
      <c r="BB28" s="41">
        <v>8.6999999999999993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>IF(SUM(AT28:AW28)-AX28&gt;0,SUM(AT28:AW28)-AX28,"")</f>
        <v>42.29</v>
      </c>
      <c r="BP28" s="14">
        <f>IF(BA28&gt;0,BA28,"")</f>
        <v>6.8</v>
      </c>
      <c r="BQ28" s="14">
        <f>IF(SUM(AY28:BB28)-BC28&gt;0,SUM(AY28:BB28)-BC28,"")</f>
        <v>28.8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71.09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71.09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8" t="str">
        <f>IF(K28&gt;=0.001,IF(MAX(DT28,DU28,EP28,EQ28,FL28,FM28,GH28,GI28,HD28,HE28,HZ28,IA28,IV28,IW28,JR28,JS28,KN28,KO28,LJ28,LK28,MF28,MG28,NB28,NC28)-IF(K28="",0,K28)&gt;0.001,MAX(DT28,DU28,EP28,EQ28,FL28,FM28,GH28,GI28,HD28,HE28,HZ28,IA28,IV28,IW28,JR28,JS28,KN28,KO28,LJ28,LK28,MF28,MG28,NB28,NC28)-IF(K28="",0,K28),""),"")</f>
        <v/>
      </c>
      <c r="DC28" s="18" t="str">
        <f>IF(K28&gt;=0.001,IF(MAX(DX28,ET28,FP28,GL28,HH28,ID28,IZ28,JV28,KR28,LN28,MJ28,NF28)-IF(K28="",0,K28)&gt;0.001,MAX(DX28,ET28,FP28,GL28,HH28,ID28,IZ28,JV28,KR28,LN28,MJ28,NF28)-IF(K28="",0,K28),""),"")</f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7">
        <f>IF($CR28="P",BX28,(BX28+AT28)/2)</f>
        <v>8.1</v>
      </c>
      <c r="NI28" s="37">
        <f>IF($CR28="P",BY28,(BY28+AU28)/2)</f>
        <v>4.8</v>
      </c>
      <c r="NJ28" s="37">
        <f>IF($CR28="P",BZ28,(BZ28+AV28)/2)</f>
        <v>1</v>
      </c>
      <c r="NK28" s="37">
        <f>IF($CR28="P",CA28,(CA28+AW28)/2)</f>
        <v>7.2450000000000001</v>
      </c>
      <c r="NL28" s="37">
        <f>IF($CR28="P",CB28,(CB28+AX28)/2)</f>
        <v>0</v>
      </c>
      <c r="NM28" s="37">
        <f>IF($CR28="P",CC28,(CC28+AY28)/2)</f>
        <v>4</v>
      </c>
      <c r="NN28" s="37">
        <f>IF($CR28="P",CD28,(CD28+AZ28)/2)</f>
        <v>2.65</v>
      </c>
      <c r="NO28" s="37">
        <f>IF($CR28="P",CE28,(CE28+BA28)/2)</f>
        <v>3.4</v>
      </c>
      <c r="NP28" s="37">
        <f>IF($CR28="P",CF28,(CF28+BB28)/2)</f>
        <v>4.3499999999999996</v>
      </c>
      <c r="NQ28" s="37">
        <f>IF($CR28="P",CG28,(CG28+BC28)/2)</f>
        <v>0</v>
      </c>
      <c r="NR28" s="37">
        <f>IF($CR28="P",CH28,(CH28+BD28)/2)</f>
        <v>0</v>
      </c>
      <c r="NS28" s="37">
        <f>IF($CR28="P",CI28,(CI28+BE28)/2)</f>
        <v>0</v>
      </c>
      <c r="NT28" s="37">
        <f>IF($CR28="P",CJ28,(CJ28+BF28)/2)</f>
        <v>0</v>
      </c>
      <c r="NU28" s="37">
        <f>IF($CR28="P",CK28,(CK28+BG28)/2)</f>
        <v>0</v>
      </c>
      <c r="NV28" s="37">
        <f>IF($CR28="P",CL28,(CL28+BH28)/2)</f>
        <v>0</v>
      </c>
      <c r="NW28" s="37">
        <f>IF($CR28="P",CM28,(CM28+BI28)/2)</f>
        <v>0</v>
      </c>
      <c r="NX28" s="37">
        <f>IF($CR28="P",CN28,(CN28+BJ28)/2)</f>
        <v>0</v>
      </c>
      <c r="NY28" s="37">
        <f>IF($CR28="P",CO28,(CO28+BK28)/2)</f>
        <v>0</v>
      </c>
      <c r="NZ28" s="37">
        <f>IF($CR28="P",CP28,(CP28+BL28)/2)</f>
        <v>0</v>
      </c>
      <c r="OA28" s="37">
        <f>IF($CR28="P",CQ28,(CQ28+BM28)/2)</f>
        <v>0</v>
      </c>
      <c r="OB28" s="44" t="s">
        <v>46</v>
      </c>
      <c r="OC28" s="11">
        <f>IF(SUM(NH28:NK28)-NL28&gt;0,SUM(NH28:NK28)-NL28,"")</f>
        <v>21.145</v>
      </c>
      <c r="OD28" s="11">
        <f>IF(NO28&gt;0,NO28,"")</f>
        <v>3.4</v>
      </c>
      <c r="OE28" s="11">
        <f>IF(SUM(NM28:NP28)-NQ28&gt;0,SUM(NM28:NP28)-NQ28,"")</f>
        <v>14.4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35.545000000000002</v>
      </c>
      <c r="OI28" s="11" t="str">
        <f>IF(NY28&gt;0,NY28,"")</f>
        <v/>
      </c>
      <c r="OJ28" s="11" t="str">
        <f t="shared" ref="OJ28" si="36">IF(SUM(NW28:NZ28)-OA28&gt;0,SUM(NW28:NZ28)-OA28,"")</f>
        <v/>
      </c>
      <c r="OK28" s="11">
        <f t="shared" ref="OK28" si="37">IF(SUM(OH28,OJ28)&gt;0,SUM(OH28,OJ28),"")</f>
        <v>35.545000000000002</v>
      </c>
    </row>
    <row r="29" spans="1:401" x14ac:dyDescent="0.2">
      <c r="A29" s="5" t="str" cm="1">
        <f t="array" ref="A29">IF(AND(F29="P",G29="P"),SUMPRODUCT((F$4:F$37="P")*(G$4:G$37="P")*(E$4:E$37&gt;E29))+1,IF(G29="P",SUMPRODUCT((F$4:F$37="")*(G$4:G$37="P")*(E$4:E$37&gt;E29))+1+SUMPRODUCT((F$4:F$37="P")*(G$4:G$37="P")),""))</f>
        <v/>
      </c>
      <c r="B29" s="6" t="s">
        <v>138</v>
      </c>
      <c r="C29" s="7" t="s">
        <v>3</v>
      </c>
      <c r="D29" s="5">
        <v>2005</v>
      </c>
      <c r="E29" s="15">
        <f>SUM(I29:M29)+I29*0.0000001</f>
        <v>66.760005098000008</v>
      </c>
      <c r="F29" s="3" t="str">
        <f>IF(OR(AND(AL29&gt;=AS$39,AM29&gt;=AS$43,AL29&lt;&gt;"",AJ29=""),AND(AN29&gt;=AS$39,AO29&gt;=AS$43,AN29&lt;&gt;"",AN29=""),AND(AQ29&gt;=AS$39,AR29&gt;=AS$43,AQ29&lt;&gt;"",AJ29=""),AND(BP29&gt;=BW$39,BQ29&gt;=BW$43,BP29&lt;&gt;"",BN29=""),AND(BR29&gt;=BW$39,BS29&gt;=BW$43,BR29&lt;&gt;"",BN29=""),AND(BU29&gt;=BW$39,BV29&gt;=BW$43,BU29&lt;&gt;"",BN29=""),AND(CT29&gt;=DA$39,CU29&gt;=DA$43,CT29&lt;&gt;"",CR29=""),AND(CV29&gt;=DA$39,CW29&gt;=DA$43,CV29&lt;&gt;"",CR29=""),AND(CY29&gt;=DA$39,CZ29&gt;=DA$43,CY29&lt;&gt;"",CR29=""),AND(DS29&gt;=DY$39,DU29&gt;=DY$43,DS29&lt;&gt;""),AND(DW29&gt;=DY$39,DX29&gt;=DY$43,DW29&lt;&gt;""),AND(EO29&gt;=EU$39,EQ29&gt;=EU$43,EO29&lt;&gt;""),AND(ES29&gt;=EU$39,ET29&gt;=EU$43,ES29&lt;&gt;""),AND(FK29&gt;=FQ$39,FM29&gt;=FQ$43,FK29&lt;&gt;""),AND(FO29&gt;=FQ$39,FP29&gt;=FQ$43,FO29&lt;&gt;""),AND(GG29&gt;=GM$39,GI29&gt;=GM$43,GG29&lt;&gt;""),AND(GK29&gt;=GM$39,GL29&gt;=GM$43,GK29&lt;&gt;""),AND(HC29&gt;=HI$39,HE29&gt;=HI$43,HC29&lt;&gt;""),AND(HG29&gt;=HI$39,HH29&gt;=HI$43,HG29&lt;&gt;""),AND(HY29&gt;=IE$39,IA29&gt;=IE$43,HY29&lt;&gt;""),AND(IC29&gt;=IE$39,ID29&gt;=IE$43,IC29&lt;&gt;""),AND(IU29&gt;=JA$39,IW29&gt;=JA$43,IU29&lt;&gt;""),AND(IY29&gt;=JA$39,IZ29&gt;=JA$43,IY29&lt;&gt;""),AND(JQ29&gt;=JW$39,JS29&gt;=JW$43,JQ29&lt;&gt;""),AND(JU29&gt;=JW$39,JV29&gt;=JW$43,JU29&lt;&gt;""),AND(KM29&gt;=KS$39,KO29&gt;=KS$43,KM29&lt;&gt;""),AND(KQ29&gt;=KS$39,KR29&gt;=KS$43,KQ29&lt;&gt;""),AND(LI29&gt;=LO$39,LK29&gt;=LO$43,LI29&lt;&gt;""),AND(LM29&gt;=LO$39,LN29&gt;=LO$43,LM29&lt;&gt;""),AND(ME29&gt;=MK$39,MG29&gt;=MK$43,ME29&lt;&gt;""),AND(MI29&gt;=MK$39,MJ29&gt;=MK$43,MI29&lt;&gt;""),AND(NA29&gt;=NG$39,NC29&gt;=NG$43,NA29&lt;&gt;""),AND(NE29&gt;=NG$39,NF29&gt;=NG$43,NE29&lt;&gt;"")),"P","")</f>
        <v/>
      </c>
      <c r="G29" s="3" t="str">
        <f>IF(OR(AND(AM29&gt;=AS$43,AL29&lt;&gt;"",AJ29=""),AND(AO29&gt;=AS$43,AN29&lt;&gt;"",AN29=""),AND(AR29&gt;=AS$43,AQ29&lt;&gt;"",AJ29=""),AND(BQ29&gt;=BW$43,BP29&lt;&gt;"",BN29=""),AND(BS29&gt;=BW$43,BR29&lt;&gt;"",BN29=""),AND(BV29&gt;=BW$43,BU29&lt;&gt;"",BN29=""),AND(CU29&gt;=DA$43,CT29&lt;&gt;"",CR29=""),AND(CW29&gt;=DA$43,CV29&lt;&gt;"",CR29=""),AND(CZ29&gt;=DA$43,CY29&lt;&gt;"",CR29=""),AND(DU29&gt;=DY$43,DS29&lt;&gt;""),AND(DX29&gt;=DY$43,DW29&lt;&gt;""),AND(EQ29&gt;=EU$43,EO29&lt;&gt;""),AND(ET29&gt;=EU$43,ES29&lt;&gt;""),AND(FM29&gt;=FQ$43,FK29&lt;&gt;""),AND(FP29&gt;=FQ$43,FO29&lt;&gt;""),AND(GI29&gt;=GM$43,GG29&lt;&gt;""),AND(GL29&gt;=GM$43,GK29&lt;&gt;""),AND(HE29&gt;=HI$43,HC29&lt;&gt;""),AND(HH29&gt;=HI$43,HG29&lt;&gt;""),AND(IA29&gt;=IE$43,HY29&lt;&gt;""),AND(ID29&gt;=IE$43,IC29&lt;&gt;""),AND(IW29&gt;=JA$43,IU29&lt;&gt;""),AND(IZ29&gt;=JA$43,IY29&lt;&gt;""),AND(JS29&gt;=JW$43,JQ29&lt;&gt;""),AND(JV29&gt;=JW$43,JU29&lt;&gt;""),AND(KO29&gt;=KS$43,KM29&lt;&gt;""),AND(KR29&gt;=KS$43,KQ29&lt;&gt;""),AND(LK29&gt;=LO$43,LI29&lt;&gt;""),AND(LN29&gt;=LO$43,LM29&lt;&gt;""),AND(MG29&gt;=MK$43,ME29&lt;&gt;""),AND(MJ29&gt;=MK$43,MI29&lt;&gt;""),AND(NC29&gt;=NG$43,NA29&lt;&gt;""),AND(NF29&gt;=NG$43,NE29&lt;&gt;"")),"P","")</f>
        <v/>
      </c>
      <c r="H29" s="66" t="str">
        <f>IF(F29="P","National Team",IF(G29="P","No DD",""))</f>
        <v/>
      </c>
      <c r="I29" s="14">
        <f>MAX(AM29,AO29,AR29,BQ29,BS29,BV29,CU29,CW29,CZ29)</f>
        <v>50.980000000000004</v>
      </c>
      <c r="J29" s="14" t="str">
        <f>IF(I29=0,"",IF(OR(I29=CW29,I29=CU29,I29=CZ29),$BX$1,IF(OR(I29=BS29,I29=BQ29,I29=BV29),$AT$1,IF(OR(I29=AO29,I29=AM29,I29=AR29),$P$1,""))))</f>
        <v>2022 Elite Canada</v>
      </c>
      <c r="K29" s="14">
        <f>IF(COUNT(AM29,AO29,AR29,BQ29,BS29,BV29,CU29,CW29,CZ29)&gt;1,LARGE((AM29,AO29,AR29,BQ29,BS29,BV29,CU29,CW29,CZ29),2),0)</f>
        <v>15.780000000000001</v>
      </c>
      <c r="L29" s="14" t="str">
        <f>IF(K29=0,"",IF(OR(K29=CW29,K29=CU29,K29=CZ29),$BX$1,IF(OR(K29=BS29,K29=BQ29,K29=BV29),$AT$1,IF(OR(K29=AO29,K29=AM29,K29=AR29),$P$1,""))))</f>
        <v>2022 Elite Canada</v>
      </c>
      <c r="M29" s="14" t="str">
        <f>IF(MAX(DB29,DC29)&gt;0,MAX(DB29,DC29),"")</f>
        <v/>
      </c>
      <c r="N29" s="19" t="str">
        <f>IF(M29="","",IF(M29=DB29,"(Prelim)",IF(M29=DC29,"(Final)")))</f>
        <v/>
      </c>
      <c r="O29" s="14" t="str">
        <f>IF(M29="","",IF(M29=DB29,IF(M29+IF(K29="",0,K29)=NC29,$ML$1,IF(M29+IF(K29="",0,K29)=MG29,$LP$1,IF(M29+IF(K29="",0,K29)=LK29,$KT$1,IF(M29+IF(K29="",0,K29)=KO29,$JX$1,IF(M29+IF(K29="",0,K29)=JS29,$JB$1,IF(M29+IF(K29="",0,K29)=IW29,$IF$1,IF(M29+IF(K29="",0,K29)=IA29,$HJ$1,IF(M29+IF(K29="",0,K29)=HE29,$GN$1,IF(M29+IF(K29="",0,K29)=GI29,$FR$1,IF(M29+IF(K29="",0,K29)=FM29,$EV$1,IF(M29+IF(K29="",0,K29)=EQ29,$DZ$1,IF(M29+IF(K29="",0,K29)=DU29,$DD$1,IF(M29+IF(K29="",0,K29)=NB29,$ML$1,IF(M29+IF(K29="",0,K29)=MF29,$LP$1,IF(M29+IF(K29="",0,K29)=LJ29,$KT$1,IF(M29+IF(K29="",0,K29)=KN29,$JX$1,IF(M29+IF(K29="",0,K29)=JR29,$JB$1,IF(M29+IF(K29="",0,K29)=IV29,$IF$1,IF(M29+IF(K29="",0,K29)=HZ29,$HJ$1,IF(M29+IF(K29="",0,K29)=HD29,$GN$1,IF(M29+IF(K29="",0,K29)=GH29,$FR$1,IF(M29+IF(K29="",0,K29)=FL29,$EV$1,IF(M29+IF(K29="",0,K29)=EP29,$DZ$1,IF(M29+IF(K29="",0,K29)=DT29,$DD$1))))))))))))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</f>
        <v/>
      </c>
      <c r="P29" s="37">
        <v>16.2</v>
      </c>
      <c r="Q29" s="37">
        <v>9.4</v>
      </c>
      <c r="R29" s="37">
        <v>2.7</v>
      </c>
      <c r="S29" s="37">
        <v>14.73</v>
      </c>
      <c r="T29" s="37">
        <v>0</v>
      </c>
      <c r="U29" s="37">
        <v>15.9</v>
      </c>
      <c r="V29" s="37">
        <v>9.3000000000000007</v>
      </c>
      <c r="W29" s="37">
        <v>11.2</v>
      </c>
      <c r="X29" s="37">
        <v>14.58</v>
      </c>
      <c r="Y29" s="37">
        <v>0</v>
      </c>
      <c r="Z29" s="37"/>
      <c r="AA29" s="37"/>
      <c r="AB29" s="37"/>
      <c r="AC29" s="37"/>
      <c r="AD29" s="37"/>
      <c r="AE29" s="37">
        <v>4.8</v>
      </c>
      <c r="AF29" s="37">
        <v>2.7</v>
      </c>
      <c r="AG29" s="37">
        <v>3.8</v>
      </c>
      <c r="AH29" s="37">
        <v>4.4800000000000004</v>
      </c>
      <c r="AI29" s="37">
        <v>0</v>
      </c>
      <c r="AJ29" s="44"/>
      <c r="AK29" s="11">
        <f>IF(SUM(P29:S29)-T29&gt;0,SUM(P29:S29)-T29,"")</f>
        <v>43.03</v>
      </c>
      <c r="AL29" s="11">
        <f>IF(W29&gt;0,W29,"")</f>
        <v>11.2</v>
      </c>
      <c r="AM29" s="11">
        <f>IF(SUM(U29:X29)-Y29&gt;0,SUM(U29:X29)-Y29,"")</f>
        <v>50.980000000000004</v>
      </c>
      <c r="AN29" s="11" t="str">
        <f>IF(AB29&gt;0,AB29,"")</f>
        <v/>
      </c>
      <c r="AO29" s="11" t="str">
        <f>IF(SUM(Z29:AC29)-AD29&gt;0,SUM(Z29:AC29)-AD29,"")</f>
        <v/>
      </c>
      <c r="AP29" s="11">
        <f>IF(AK29="",IF(MAX(AM29,AO29)&gt;0,MAX(AM29,AO29),""),MAX(AM29,AO29)+AK29)</f>
        <v>94.01</v>
      </c>
      <c r="AQ29" s="11">
        <f>IF(AG29&gt;0,AG29,"")</f>
        <v>3.8</v>
      </c>
      <c r="AR29" s="11">
        <f>IF(SUM(AE29:AH29)-AI29&gt;0,SUM(AE29:AH29)-AI29,"")</f>
        <v>15.780000000000001</v>
      </c>
      <c r="AS29" s="11">
        <f>IF(SUM(AP29,AR29)&gt;0,SUM(AP29,AR29),"")</f>
        <v>109.79</v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>IF(SUM(BX29:CA29)-CB29&gt;0,SUM(BX29:CA29)-CB29,"")</f>
        <v/>
      </c>
      <c r="CT29" s="11" t="str">
        <f>IF(CE29&gt;0,CE29,"")</f>
        <v/>
      </c>
      <c r="CU29" s="11" t="str">
        <f>IF(SUM(CC29:CF29)-CG29&gt;0,SUM(CC29:CF29)-CG29,"")</f>
        <v/>
      </c>
      <c r="CV29" s="11" t="str">
        <f>IF(CJ29&gt;0,CJ29,"")</f>
        <v/>
      </c>
      <c r="CW29" s="11" t="str">
        <f>IF(SUM(CH29:CK29)-CL29&gt;0,SUM(CH29:CK29)-CL29,"")</f>
        <v/>
      </c>
      <c r="CX29" s="11" t="str">
        <f>IF(CS29="",IF(MAX(CU29,CW29)&gt;0,MAX(CU29,CW29),""),MAX(CU29,CW29)+CS29)</f>
        <v/>
      </c>
      <c r="CY29" s="11" t="str">
        <f>IF(CO29&gt;0,CO29,"")</f>
        <v/>
      </c>
      <c r="CZ29" s="11" t="str">
        <f>IF(SUM(CM29:CP29)-CQ29&gt;0,SUM(CM29:CP29)-CQ29,"")</f>
        <v/>
      </c>
      <c r="DA29" s="11" t="str">
        <f>IF(SUM(CX29,CZ29)&gt;0,SUM(CX29,CZ29),"")</f>
        <v/>
      </c>
      <c r="DB29" s="18" t="str">
        <f>IF(K29&gt;=0.001,IF(MAX(DT29,DU29,EP29,EQ29,FL29,FM29,GH29,GI29,HD29,HE29,HZ29,IA29,IV29,IW29,JR29,JS29,KN29,KO29,LJ29,LK29,MF29,MG29,NB29,NC29)-IF(K29="",0,K29)&gt;0.001,MAX(DT29,DU29,EP29,EQ29,FL29,FM29,GH29,GI29,HD29,HE29,HZ29,IA29,IV29,IW29,JR29,JS29,KN29,KO29,LJ29,LK29,MF29,MG29,NB29,NC29)-IF(K29="",0,K29),""),"")</f>
        <v/>
      </c>
      <c r="DC29" s="18" t="str">
        <f>IF(K29&gt;=0.001,IF(MAX(DX29,ET29,FP29,GL29,HH29,ID29,IZ29,JV29,KR29,LN29,MJ29,NF29)-IF(K29="",0,K29)&gt;0.001,MAX(DX29,ET29,FP29,GL29,HH29,ID29,IZ29,JV29,KR29,LN29,MJ29,NF29)-IF(K29="",0,K29),""),"")</f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7">
        <f>IF($CR29="P",BX29,(BX29+AT29)/2)</f>
        <v>0</v>
      </c>
      <c r="NI29" s="37">
        <f>IF($CR29="P",BY29,(BY29+AU29)/2)</f>
        <v>0</v>
      </c>
      <c r="NJ29" s="37">
        <f>IF($CR29="P",BZ29,(BZ29+AV29)/2)</f>
        <v>0</v>
      </c>
      <c r="NK29" s="37">
        <f>IF($CR29="P",CA29,(CA29+AW29)/2)</f>
        <v>0</v>
      </c>
      <c r="NL29" s="37">
        <f>IF($CR29="P",CB29,(CB29+AX29)/2)</f>
        <v>0</v>
      </c>
      <c r="NM29" s="37">
        <f>IF($CR29="P",CC29,(CC29+AY29)/2)</f>
        <v>0</v>
      </c>
      <c r="NN29" s="37">
        <f>IF($CR29="P",CD29,(CD29+AZ29)/2)</f>
        <v>0</v>
      </c>
      <c r="NO29" s="37">
        <f>IF($CR29="P",CE29,(CE29+BA29)/2)</f>
        <v>0</v>
      </c>
      <c r="NP29" s="37">
        <f>IF($CR29="P",CF29,(CF29+BB29)/2)</f>
        <v>0</v>
      </c>
      <c r="NQ29" s="37">
        <f>IF($CR29="P",CG29,(CG29+BC29)/2)</f>
        <v>0</v>
      </c>
      <c r="NR29" s="37">
        <f>IF($CR29="P",CH29,(CH29+BD29)/2)</f>
        <v>0</v>
      </c>
      <c r="NS29" s="37">
        <f>IF($CR29="P",CI29,(CI29+BE29)/2)</f>
        <v>0</v>
      </c>
      <c r="NT29" s="37">
        <f>IF($CR29="P",CJ29,(CJ29+BF29)/2)</f>
        <v>0</v>
      </c>
      <c r="NU29" s="37">
        <f>IF($CR29="P",CK29,(CK29+BG29)/2)</f>
        <v>0</v>
      </c>
      <c r="NV29" s="37">
        <f>IF($CR29="P",CL29,(CL29+BH29)/2)</f>
        <v>0</v>
      </c>
      <c r="NW29" s="37">
        <f>IF($CR29="P",CM29,(CM29+BI29)/2)</f>
        <v>0</v>
      </c>
      <c r="NX29" s="37">
        <f>IF($CR29="P",CN29,(CN29+BJ29)/2)</f>
        <v>0</v>
      </c>
      <c r="NY29" s="37">
        <f>IF($CR29="P",CO29,(CO29+BK29)/2)</f>
        <v>0</v>
      </c>
      <c r="NZ29" s="37">
        <f>IF($CR29="P",CP29,(CP29+BL29)/2)</f>
        <v>0</v>
      </c>
      <c r="OA29" s="37">
        <f>IF($CR29="P",CQ29,(CQ29+BM29)/2)</f>
        <v>0</v>
      </c>
      <c r="OB29" s="44" t="s">
        <v>46</v>
      </c>
      <c r="OC29" s="11" t="str">
        <f>IF(SUM(NH29:NK29)-NL29&gt;0,SUM(NH29:NK29)-NL29,"")</f>
        <v/>
      </c>
      <c r="OD29" s="11" t="str">
        <f>IF(NO29&gt;0,NO29,"")</f>
        <v/>
      </c>
      <c r="OE29" s="11" t="str">
        <f>IF(SUM(NM29:NP29)-NQ29&gt;0,SUM(NM29:NP29)-NQ29,"")</f>
        <v/>
      </c>
      <c r="OF29" s="11" t="str">
        <f>IF(NT29&gt;0,NT29,"")</f>
        <v/>
      </c>
      <c r="OG29" s="11" t="str">
        <f>IF(SUM(NR29:NU29)-NV29&gt;0,SUM(NR29:NU29)-NV29,"")</f>
        <v/>
      </c>
      <c r="OH29" s="11" t="str">
        <f>IF(OR(OC29&lt;&gt;"",OE29&lt;&gt;"",OG29&lt;&gt;""),OC29+MAX(OE29,OG29),"")</f>
        <v/>
      </c>
      <c r="OI29" s="11" t="str">
        <f>IF(NY29&gt;0,NY29,"")</f>
        <v/>
      </c>
      <c r="OJ29" s="11" t="str">
        <f t="shared" ref="OJ29" si="38">IF(SUM(NW29:NZ29)-OA29&gt;0,SUM(NW29:NZ29)-OA29,"")</f>
        <v/>
      </c>
      <c r="OK29" s="11" t="str">
        <f t="shared" ref="OK29" si="39">IF(SUM(OH29,OJ29)&gt;0,SUM(OH29,OJ29),"")</f>
        <v/>
      </c>
    </row>
    <row r="30" spans="1:401" x14ac:dyDescent="0.2">
      <c r="A30" s="5" t="str" cm="1">
        <f t="array" ref="A30">IF(AND(F30="P",G30="P"),SUMPRODUCT((F$4:F$37="P")*(G$4:G$37="P")*(E$4:E$37&gt;E30))+1,IF(G30="P",SUMPRODUCT((F$4:F$37="")*(G$4:G$37="P")*(E$4:E$37&gt;E30))+1+SUMPRODUCT((F$4:F$37="P")*(G$4:G$37="P")),""))</f>
        <v/>
      </c>
      <c r="B30" s="6" t="s">
        <v>110</v>
      </c>
      <c r="C30" s="7" t="s">
        <v>5</v>
      </c>
      <c r="D30" s="21">
        <v>2003</v>
      </c>
      <c r="E30" s="15">
        <f>SUM(I30:M30)+I30*0.0000001</f>
        <v>48.510002442999998</v>
      </c>
      <c r="F30" s="3" t="str">
        <f>IF(OR(AND(AL30&gt;=AS$39,AM30&gt;=AS$43,AL30&lt;&gt;"",AJ30=""),AND(AN30&gt;=AS$39,AO30&gt;=AS$43,AN30&lt;&gt;"",AN30=""),AND(AQ30&gt;=AS$39,AR30&gt;=AS$43,AQ30&lt;&gt;"",AJ30=""),AND(BP30&gt;=BW$39,BQ30&gt;=BW$43,BP30&lt;&gt;"",BN30=""),AND(BR30&gt;=BW$39,BS30&gt;=BW$43,BR30&lt;&gt;"",BN30=""),AND(BU30&gt;=BW$39,BV30&gt;=BW$43,BU30&lt;&gt;"",BN30=""),AND(CT30&gt;=DA$39,CU30&gt;=DA$43,CT30&lt;&gt;"",CR30=""),AND(CV30&gt;=DA$39,CW30&gt;=DA$43,CV30&lt;&gt;"",CR30=""),AND(CY30&gt;=DA$39,CZ30&gt;=DA$43,CY30&lt;&gt;"",CR30=""),AND(DS30&gt;=DY$39,DU30&gt;=DY$43,DS30&lt;&gt;""),AND(DW30&gt;=DY$39,DX30&gt;=DY$43,DW30&lt;&gt;""),AND(EO30&gt;=EU$39,EQ30&gt;=EU$43,EO30&lt;&gt;""),AND(ES30&gt;=EU$39,ET30&gt;=EU$43,ES30&lt;&gt;""),AND(FK30&gt;=FQ$39,FM30&gt;=FQ$43,FK30&lt;&gt;""),AND(FO30&gt;=FQ$39,FP30&gt;=FQ$43,FO30&lt;&gt;""),AND(GG30&gt;=GM$39,GI30&gt;=GM$43,GG30&lt;&gt;""),AND(GK30&gt;=GM$39,GL30&gt;=GM$43,GK30&lt;&gt;""),AND(HC30&gt;=HI$39,HE30&gt;=HI$43,HC30&lt;&gt;""),AND(HG30&gt;=HI$39,HH30&gt;=HI$43,HG30&lt;&gt;""),AND(HY30&gt;=IE$39,IA30&gt;=IE$43,HY30&lt;&gt;""),AND(IC30&gt;=IE$39,ID30&gt;=IE$43,IC30&lt;&gt;""),AND(IU30&gt;=JA$39,IW30&gt;=JA$43,IU30&lt;&gt;""),AND(IY30&gt;=JA$39,IZ30&gt;=JA$43,IY30&lt;&gt;""),AND(JQ30&gt;=JW$39,JS30&gt;=JW$43,JQ30&lt;&gt;""),AND(JU30&gt;=JW$39,JV30&gt;=JW$43,JU30&lt;&gt;""),AND(KM30&gt;=KS$39,KO30&gt;=KS$43,KM30&lt;&gt;""),AND(KQ30&gt;=KS$39,KR30&gt;=KS$43,KQ30&lt;&gt;""),AND(LI30&gt;=LO$39,LK30&gt;=LO$43,LI30&lt;&gt;""),AND(LM30&gt;=LO$39,LN30&gt;=LO$43,LM30&lt;&gt;""),AND(ME30&gt;=MK$39,MG30&gt;=MK$43,ME30&lt;&gt;""),AND(MI30&gt;=MK$39,MJ30&gt;=MK$43,MI30&lt;&gt;""),AND(NA30&gt;=NG$39,NC30&gt;=NG$43,NA30&lt;&gt;""),AND(NE30&gt;=NG$39,NF30&gt;=NG$43,NE30&lt;&gt;"")),"P","")</f>
        <v/>
      </c>
      <c r="G30" s="3" t="str">
        <f>IF(OR(AND(AM30&gt;=AS$43,AL30&lt;&gt;"",AJ30=""),AND(AO30&gt;=AS$43,AN30&lt;&gt;"",AN30=""),AND(AR30&gt;=AS$43,AQ30&lt;&gt;"",AJ30=""),AND(BQ30&gt;=BW$43,BP30&lt;&gt;"",BN30=""),AND(BS30&gt;=BW$43,BR30&lt;&gt;"",BN30=""),AND(BV30&gt;=BW$43,BU30&lt;&gt;"",BN30=""),AND(CU30&gt;=DA$43,CT30&lt;&gt;"",CR30=""),AND(CW30&gt;=DA$43,CV30&lt;&gt;"",CR30=""),AND(CZ30&gt;=DA$43,CY30&lt;&gt;"",CR30=""),AND(DU30&gt;=DY$43,DS30&lt;&gt;""),AND(DX30&gt;=DY$43,DW30&lt;&gt;""),AND(EQ30&gt;=EU$43,EO30&lt;&gt;""),AND(ET30&gt;=EU$43,ES30&lt;&gt;""),AND(FM30&gt;=FQ$43,FK30&lt;&gt;""),AND(FP30&gt;=FQ$43,FO30&lt;&gt;""),AND(GI30&gt;=GM$43,GG30&lt;&gt;""),AND(GL30&gt;=GM$43,GK30&lt;&gt;""),AND(HE30&gt;=HI$43,HC30&lt;&gt;""),AND(HH30&gt;=HI$43,HG30&lt;&gt;""),AND(IA30&gt;=IE$43,HY30&lt;&gt;""),AND(ID30&gt;=IE$43,IC30&lt;&gt;""),AND(IW30&gt;=JA$43,IU30&lt;&gt;""),AND(IZ30&gt;=JA$43,IY30&lt;&gt;""),AND(JS30&gt;=JW$43,JQ30&lt;&gt;""),AND(JV30&gt;=JW$43,JU30&lt;&gt;""),AND(KO30&gt;=KS$43,KM30&lt;&gt;""),AND(KR30&gt;=KS$43,KQ30&lt;&gt;""),AND(LK30&gt;=LO$43,LI30&lt;&gt;""),AND(LN30&gt;=LO$43,LM30&lt;&gt;""),AND(MG30&gt;=MK$43,ME30&lt;&gt;""),AND(MJ30&gt;=MK$43,MI30&lt;&gt;""),AND(NC30&gt;=NG$43,NA30&lt;&gt;""),AND(NF30&gt;=NG$43,NE30&lt;&gt;"")),"P","")</f>
        <v/>
      </c>
      <c r="H30" s="66" t="str">
        <f>IF(F30="P","National Team",IF(G30="P","No DD",""))</f>
        <v/>
      </c>
      <c r="I30" s="14">
        <f>MAX(AM30,AO30,AR30,BQ30,BS30,BV30,CU30,CW30,CZ30)</f>
        <v>24.43</v>
      </c>
      <c r="J30" s="14" t="str">
        <f>IF(I30=0,"",IF(OR(I30=CW30,I30=CU30,I30=CZ30),$BX$1,IF(OR(I30=BS30,I30=BQ30,I30=BV30),$AT$1,IF(OR(I30=AO30,I30=AM30,I30=AR30),$P$1,""))))</f>
        <v>2022 Elite Canada</v>
      </c>
      <c r="K30" s="14">
        <f>IF(COUNT(AM30,AO30,AR30,BQ30,BS30,BV30,CU30,CW30,CZ30)&gt;1,LARGE((AM30,AO30,AR30,BQ30,BS30,BV30,CU30,CW30,CZ30),2),0)</f>
        <v>24.08</v>
      </c>
      <c r="L30" s="14" t="str">
        <f>IF(K30=0,"",IF(OR(K30=CW30,K30=CU30,K30=CZ30),$BX$1,IF(OR(K30=BS30,K30=BQ30,K30=BV30),$AT$1,IF(OR(K30=AO30,K30=AM30,K30=AR30),$P$1,""))))</f>
        <v>2022 Nationals</v>
      </c>
      <c r="M30" s="14" t="str">
        <f>IF(MAX(DB30,DC30)&gt;0,MAX(DB30,DC30),"")</f>
        <v/>
      </c>
      <c r="N30" s="19" t="str">
        <f>IF(M30="","",IF(M30=DB30,"(Prelim)",IF(M30=DC30,"(Final)")))</f>
        <v/>
      </c>
      <c r="O30" s="14" t="str">
        <f>IF(M30="","",IF(M30=DB30,IF(M30+IF(K30="",0,K30)=NC30,$ML$1,IF(M30+IF(K30="",0,K30)=MG30,$LP$1,IF(M30+IF(K30="",0,K30)=LK30,$KT$1,IF(M30+IF(K30="",0,K30)=KO30,$JX$1,IF(M30+IF(K30="",0,K30)=JS30,$JB$1,IF(M30+IF(K30="",0,K30)=IW30,$IF$1,IF(M30+IF(K30="",0,K30)=IA30,$HJ$1,IF(M30+IF(K30="",0,K30)=HE30,$GN$1,IF(M30+IF(K30="",0,K30)=GI30,$FR$1,IF(M30+IF(K30="",0,K30)=FM30,$EV$1,IF(M30+IF(K30="",0,K30)=EQ30,$DZ$1,IF(M30+IF(K30="",0,K30)=DU30,$DD$1,IF(M30+IF(K30="",0,K30)=NB30,$ML$1,IF(M30+IF(K30="",0,K30)=MF30,$LP$1,IF(M30+IF(K30="",0,K30)=LJ30,$KT$1,IF(M30+IF(K30="",0,K30)=KN30,$JX$1,IF(M30+IF(K30="",0,K30)=JR30,$JB$1,IF(M30+IF(K30="",0,K30)=IV30,$IF$1,IF(M30+IF(K30="",0,K30)=HZ30,$HJ$1,IF(M30+IF(K30="",0,K30)=HD30,$GN$1,IF(M30+IF(K30="",0,K30)=GH30,$FR$1,IF(M30+IF(K30="",0,K30)=FL30,$EV$1,IF(M30+IF(K30="",0,K30)=EP30,$DZ$1,IF(M30+IF(K30="",0,K30)=DT30,$DD$1))))))))))))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</f>
        <v/>
      </c>
      <c r="P30" s="37">
        <v>12</v>
      </c>
      <c r="Q30" s="37">
        <v>7.3</v>
      </c>
      <c r="R30" s="37">
        <v>0</v>
      </c>
      <c r="S30" s="37">
        <v>12.41</v>
      </c>
      <c r="T30" s="37">
        <v>0</v>
      </c>
      <c r="U30" s="37">
        <v>5.8</v>
      </c>
      <c r="V30" s="37">
        <v>4.2</v>
      </c>
      <c r="W30" s="37">
        <v>6.7</v>
      </c>
      <c r="X30" s="37">
        <v>7.73</v>
      </c>
      <c r="Y30" s="37">
        <v>0</v>
      </c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>
        <f>IF(SUM(P30:S30)-T30&gt;0,SUM(P30:S30)-T30,"")</f>
        <v>31.71</v>
      </c>
      <c r="AL30" s="11">
        <f>IF(W30&gt;0,W30,"")</f>
        <v>6.7</v>
      </c>
      <c r="AM30" s="11">
        <f>IF(SUM(U30:X30)-Y30&gt;0,SUM(U30:X30)-Y30,"")</f>
        <v>24.43</v>
      </c>
      <c r="AN30" s="11" t="str">
        <f>IF(AB30&gt;0,AB30,"")</f>
        <v/>
      </c>
      <c r="AO30" s="11" t="str">
        <f>IF(SUM(Z30:AC30)-AD30&gt;0,SUM(Z30:AC30)-AD30,"")</f>
        <v/>
      </c>
      <c r="AP30" s="11">
        <f>IF(AK30="",IF(MAX(AM30,AO30)&gt;0,MAX(AM30,AO30),""),MAX(AM30,AO30)+AK30)</f>
        <v>56.14</v>
      </c>
      <c r="AQ30" s="11" t="str">
        <f>IF(AG30&gt;0,AG30,"")</f>
        <v/>
      </c>
      <c r="AR30" s="11" t="str">
        <f>IF(SUM(AE30:AH30)-AI30&gt;0,SUM(AE30:AH30)-AI30,"")</f>
        <v/>
      </c>
      <c r="AS30" s="11">
        <f>IF(SUM(AP30,AR30)&gt;0,SUM(AP30,AR30),"")</f>
        <v>56.14</v>
      </c>
      <c r="AT30" s="41">
        <v>13.2</v>
      </c>
      <c r="AU30" s="41">
        <v>9.3000000000000007</v>
      </c>
      <c r="AV30" s="41">
        <v>2.5</v>
      </c>
      <c r="AW30" s="41">
        <v>15.43</v>
      </c>
      <c r="AX30" s="41">
        <v>0</v>
      </c>
      <c r="AY30" s="41">
        <v>6.7</v>
      </c>
      <c r="AZ30" s="41">
        <v>4.2</v>
      </c>
      <c r="BA30" s="41">
        <v>6</v>
      </c>
      <c r="BB30" s="41">
        <v>7.18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>IF(SUM(AT30:AW30)-AX30&gt;0,SUM(AT30:AW30)-AX30,"")</f>
        <v>40.43</v>
      </c>
      <c r="BP30" s="14">
        <f>IF(BA30&gt;0,BA30,"")</f>
        <v>6</v>
      </c>
      <c r="BQ30" s="14">
        <f>IF(SUM(AY30:BB30)-BC30&gt;0,SUM(AY30:BB30)-BC30,"")</f>
        <v>24.08</v>
      </c>
      <c r="BR30" s="14" t="str">
        <f>IF(BF30&gt;0,BF30,"")</f>
        <v/>
      </c>
      <c r="BS30" s="14" t="str">
        <f>IF(SUM(BD30:BG30)-BH30&gt;0,SUM(BD30:BG30)-BH30,"")</f>
        <v/>
      </c>
      <c r="BT30" s="14">
        <f>IF(BO30="",IF(MAX(BQ30,BS30)&gt;0,MAX(BQ30,BS30),""),MAX(BQ30,BS30)+BO30)</f>
        <v>64.509999999999991</v>
      </c>
      <c r="BU30" s="14" t="str">
        <f>IF(BK30&gt;0,BK30,"")</f>
        <v/>
      </c>
      <c r="BV30" s="14" t="str">
        <f>IF(SUM(BI30:BL30)-BM30&gt;0,SUM(BI30:BL30)-BM30,"")</f>
        <v/>
      </c>
      <c r="BW30" s="14">
        <f>IF(SUM(BT30,BV30)&gt;0,SUM(BT30,BV30),"")</f>
        <v>64.509999999999991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>IF(SUM(BX30:CA30)-CB30&gt;0,SUM(BX30:CA30)-CB30,"")</f>
        <v/>
      </c>
      <c r="CT30" s="11" t="str">
        <f>IF(CE30&gt;0,CE30,"")</f>
        <v/>
      </c>
      <c r="CU30" s="11" t="str">
        <f>IF(SUM(CC30:CF30)-CG30&gt;0,SUM(CC30:CF30)-CG30,"")</f>
        <v/>
      </c>
      <c r="CV30" s="11" t="str">
        <f>IF(CJ30&gt;0,CJ30,"")</f>
        <v/>
      </c>
      <c r="CW30" s="11" t="str">
        <f>IF(SUM(CH30:CK30)-CL30&gt;0,SUM(CH30:CK30)-CL30,"")</f>
        <v/>
      </c>
      <c r="CX30" s="11" t="str">
        <f>IF(CS30="",IF(MAX(CU30,CW30)&gt;0,MAX(CU30,CW30),""),MAX(CU30,CW30)+CS30)</f>
        <v/>
      </c>
      <c r="CY30" s="11" t="str">
        <f>IF(CO30&gt;0,CO30,"")</f>
        <v/>
      </c>
      <c r="CZ30" s="11" t="str">
        <f>IF(SUM(CM30:CP30)-CQ30&gt;0,SUM(CM30:CP30)-CQ30,"")</f>
        <v/>
      </c>
      <c r="DA30" s="11" t="str">
        <f>IF(SUM(CX30,CZ30)&gt;0,SUM(CX30,CZ30),"")</f>
        <v/>
      </c>
      <c r="DB30" s="18" t="str">
        <f>IF(K30&gt;=0.001,IF(MAX(DT30,DU30,EP30,EQ30,FL30,FM30,GH30,GI30,HD30,HE30,HZ30,IA30,IV30,IW30,JR30,JS30,KN30,KO30,LJ30,LK30,MF30,MG30,NB30,NC30)-IF(K30="",0,K30)&gt;0.001,MAX(DT30,DU30,EP30,EQ30,FL30,FM30,GH30,GI30,HD30,HE30,HZ30,IA30,IV30,IW30,JR30,JS30,KN30,KO30,LJ30,LK30,MF30,MG30,NB30,NC30)-IF(K30="",0,K30),""),"")</f>
        <v/>
      </c>
      <c r="DC30" s="18" t="str">
        <f>IF(K30&gt;=0.001,IF(MAX(DX30,ET30,FP30,GL30,HH30,ID30,IZ30,JV30,KR30,LN30,MJ30,NF30)-IF(K30="",0,K30)&gt;0.001,MAX(DX30,ET30,FP30,GL30,HH30,ID30,IZ30,JV30,KR30,LN30,MJ30,NF30)-IF(K30="",0,K30),""),"")</f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7">
        <f>IF($CR30="P",BX30,(BX30+AT30)/2)</f>
        <v>6.6</v>
      </c>
      <c r="NI30" s="37">
        <f>IF($CR30="P",BY30,(BY30+AU30)/2)</f>
        <v>4.6500000000000004</v>
      </c>
      <c r="NJ30" s="37">
        <f>IF($CR30="P",BZ30,(BZ30+AV30)/2)</f>
        <v>1.25</v>
      </c>
      <c r="NK30" s="37">
        <f>IF($CR30="P",CA30,(CA30+AW30)/2)</f>
        <v>7.7149999999999999</v>
      </c>
      <c r="NL30" s="37">
        <f>IF($CR30="P",CB30,(CB30+AX30)/2)</f>
        <v>0</v>
      </c>
      <c r="NM30" s="37">
        <f>IF($CR30="P",CC30,(CC30+AY30)/2)</f>
        <v>3.35</v>
      </c>
      <c r="NN30" s="37">
        <f>IF($CR30="P",CD30,(CD30+AZ30)/2)</f>
        <v>2.1</v>
      </c>
      <c r="NO30" s="37">
        <f>IF($CR30="P",CE30,(CE30+BA30)/2)</f>
        <v>3</v>
      </c>
      <c r="NP30" s="37">
        <f>IF($CR30="P",CF30,(CF30+BB30)/2)</f>
        <v>3.59</v>
      </c>
      <c r="NQ30" s="37">
        <f>IF($CR30="P",CG30,(CG30+BC30)/2)</f>
        <v>0</v>
      </c>
      <c r="NR30" s="37">
        <f>IF($CR30="P",CH30,(CH30+BD30)/2)</f>
        <v>0</v>
      </c>
      <c r="NS30" s="37">
        <f>IF($CR30="P",CI30,(CI30+BE30)/2)</f>
        <v>0</v>
      </c>
      <c r="NT30" s="37">
        <f>IF($CR30="P",CJ30,(CJ30+BF30)/2)</f>
        <v>0</v>
      </c>
      <c r="NU30" s="37">
        <f>IF($CR30="P",CK30,(CK30+BG30)/2)</f>
        <v>0</v>
      </c>
      <c r="NV30" s="37">
        <f>IF($CR30="P",CL30,(CL30+BH30)/2)</f>
        <v>0</v>
      </c>
      <c r="NW30" s="37">
        <f>IF($CR30="P",CM30,(CM30+BI30)/2)</f>
        <v>0</v>
      </c>
      <c r="NX30" s="37">
        <f>IF($CR30="P",CN30,(CN30+BJ30)/2)</f>
        <v>0</v>
      </c>
      <c r="NY30" s="37">
        <f>IF($CR30="P",CO30,(CO30+BK30)/2)</f>
        <v>0</v>
      </c>
      <c r="NZ30" s="37">
        <f>IF($CR30="P",CP30,(CP30+BL30)/2)</f>
        <v>0</v>
      </c>
      <c r="OA30" s="37">
        <f>IF($CR30="P",CQ30,(CQ30+BM30)/2)</f>
        <v>0</v>
      </c>
      <c r="OB30" s="44" t="s">
        <v>46</v>
      </c>
      <c r="OC30" s="11">
        <f>IF(SUM(NH30:NK30)-NL30&gt;0,SUM(NH30:NK30)-NL30,"")</f>
        <v>20.215</v>
      </c>
      <c r="OD30" s="11">
        <f>IF(NO30&gt;0,NO30,"")</f>
        <v>3</v>
      </c>
      <c r="OE30" s="11">
        <f>IF(SUM(NM30:NP30)-NQ30&gt;0,SUM(NM30:NP30)-NQ30,"")</f>
        <v>12.04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32.254999999999995</v>
      </c>
      <c r="OI30" s="11" t="str">
        <f>IF(NY30&gt;0,NY30,"")</f>
        <v/>
      </c>
      <c r="OJ30" s="11" t="str">
        <f t="shared" ref="OJ30" si="40">IF(SUM(NW30:NZ30)-OA30&gt;0,SUM(NW30:NZ30)-OA30,"")</f>
        <v/>
      </c>
      <c r="OK30" s="11">
        <f t="shared" ref="OK30" si="41">IF(SUM(OH30,OJ30)&gt;0,SUM(OH30,OJ30),"")</f>
        <v>32.254999999999995</v>
      </c>
    </row>
    <row r="31" spans="1:401" x14ac:dyDescent="0.2">
      <c r="A31" s="5" t="str" cm="1">
        <f t="array" ref="A31">IF(AND(F31="P",G31="P"),SUMPRODUCT((F$4:F$37="P")*(G$4:G$37="P")*(E$4:E$37&gt;E31))+1,IF(G31="P",SUMPRODUCT((F$4:F$37="")*(G$4:G$37="P")*(E$4:E$37&gt;E31))+1+SUMPRODUCT((F$4:F$37="P")*(G$4:G$37="P")),""))</f>
        <v/>
      </c>
      <c r="B31" s="6" t="s">
        <v>141</v>
      </c>
      <c r="C31" s="7" t="s">
        <v>5</v>
      </c>
      <c r="D31" s="5">
        <v>2005</v>
      </c>
      <c r="E31" s="15">
        <f>SUM(I31:M31)+I31*0.0000001</f>
        <v>24.090001891</v>
      </c>
      <c r="F31" s="3" t="str">
        <f>IF(OR(AND(AL31&gt;=AS$39,AM31&gt;=AS$43,AL31&lt;&gt;"",AJ31=""),AND(AN31&gt;=AS$39,AO31&gt;=AS$43,AN31&lt;&gt;"",AN31=""),AND(AQ31&gt;=AS$39,AR31&gt;=AS$43,AQ31&lt;&gt;"",AJ31=""),AND(BP31&gt;=BW$39,BQ31&gt;=BW$43,BP31&lt;&gt;"",BN31=""),AND(BR31&gt;=BW$39,BS31&gt;=BW$43,BR31&lt;&gt;"",BN31=""),AND(BU31&gt;=BW$39,BV31&gt;=BW$43,BU31&lt;&gt;"",BN31=""),AND(CT31&gt;=DA$39,CU31&gt;=DA$43,CT31&lt;&gt;"",CR31=""),AND(CV31&gt;=DA$39,CW31&gt;=DA$43,CV31&lt;&gt;"",CR31=""),AND(CY31&gt;=DA$39,CZ31&gt;=DA$43,CY31&lt;&gt;"",CR31=""),AND(DS31&gt;=DY$39,DU31&gt;=DY$43,DS31&lt;&gt;""),AND(DW31&gt;=DY$39,DX31&gt;=DY$43,DW31&lt;&gt;""),AND(EO31&gt;=EU$39,EQ31&gt;=EU$43,EO31&lt;&gt;""),AND(ES31&gt;=EU$39,ET31&gt;=EU$43,ES31&lt;&gt;""),AND(FK31&gt;=FQ$39,FM31&gt;=FQ$43,FK31&lt;&gt;""),AND(FO31&gt;=FQ$39,FP31&gt;=FQ$43,FO31&lt;&gt;""),AND(GG31&gt;=GM$39,GI31&gt;=GM$43,GG31&lt;&gt;""),AND(GK31&gt;=GM$39,GL31&gt;=GM$43,GK31&lt;&gt;""),AND(HC31&gt;=HI$39,HE31&gt;=HI$43,HC31&lt;&gt;""),AND(HG31&gt;=HI$39,HH31&gt;=HI$43,HG31&lt;&gt;""),AND(HY31&gt;=IE$39,IA31&gt;=IE$43,HY31&lt;&gt;""),AND(IC31&gt;=IE$39,ID31&gt;=IE$43,IC31&lt;&gt;""),AND(IU31&gt;=JA$39,IW31&gt;=JA$43,IU31&lt;&gt;""),AND(IY31&gt;=JA$39,IZ31&gt;=JA$43,IY31&lt;&gt;""),AND(JQ31&gt;=JW$39,JS31&gt;=JW$43,JQ31&lt;&gt;""),AND(JU31&gt;=JW$39,JV31&gt;=JW$43,JU31&lt;&gt;""),AND(KM31&gt;=KS$39,KO31&gt;=KS$43,KM31&lt;&gt;""),AND(KQ31&gt;=KS$39,KR31&gt;=KS$43,KQ31&lt;&gt;""),AND(LI31&gt;=LO$39,LK31&gt;=LO$43,LI31&lt;&gt;""),AND(LM31&gt;=LO$39,LN31&gt;=LO$43,LM31&lt;&gt;""),AND(ME31&gt;=MK$39,MG31&gt;=MK$43,ME31&lt;&gt;""),AND(MI31&gt;=MK$39,MJ31&gt;=MK$43,MI31&lt;&gt;""),AND(NA31&gt;=NG$39,NC31&gt;=NG$43,NA31&lt;&gt;""),AND(NE31&gt;=NG$39,NF31&gt;=NG$43,NE31&lt;&gt;"")),"P","")</f>
        <v/>
      </c>
      <c r="G31" s="3" t="str">
        <f>IF(OR(AND(AM31&gt;=AS$43,AL31&lt;&gt;"",AJ31=""),AND(AO31&gt;=AS$43,AN31&lt;&gt;"",AN31=""),AND(AR31&gt;=AS$43,AQ31&lt;&gt;"",AJ31=""),AND(BQ31&gt;=BW$43,BP31&lt;&gt;"",BN31=""),AND(BS31&gt;=BW$43,BR31&lt;&gt;"",BN31=""),AND(BV31&gt;=BW$43,BU31&lt;&gt;"",BN31=""),AND(CU31&gt;=DA$43,CT31&lt;&gt;"",CR31=""),AND(CW31&gt;=DA$43,CV31&lt;&gt;"",CR31=""),AND(CZ31&gt;=DA$43,CY31&lt;&gt;"",CR31=""),AND(DU31&gt;=DY$43,DS31&lt;&gt;""),AND(DX31&gt;=DY$43,DW31&lt;&gt;""),AND(EQ31&gt;=EU$43,EO31&lt;&gt;""),AND(ET31&gt;=EU$43,ES31&lt;&gt;""),AND(FM31&gt;=FQ$43,FK31&lt;&gt;""),AND(FP31&gt;=FQ$43,FO31&lt;&gt;""),AND(GI31&gt;=GM$43,GG31&lt;&gt;""),AND(GL31&gt;=GM$43,GK31&lt;&gt;""),AND(HE31&gt;=HI$43,HC31&lt;&gt;""),AND(HH31&gt;=HI$43,HG31&lt;&gt;""),AND(IA31&gt;=IE$43,HY31&lt;&gt;""),AND(ID31&gt;=IE$43,IC31&lt;&gt;""),AND(IW31&gt;=JA$43,IU31&lt;&gt;""),AND(IZ31&gt;=JA$43,IY31&lt;&gt;""),AND(JS31&gt;=JW$43,JQ31&lt;&gt;""),AND(JV31&gt;=JW$43,JU31&lt;&gt;""),AND(KO31&gt;=KS$43,KM31&lt;&gt;""),AND(KR31&gt;=KS$43,KQ31&lt;&gt;""),AND(LK31&gt;=LO$43,LI31&lt;&gt;""),AND(LN31&gt;=LO$43,LM31&lt;&gt;""),AND(MG31&gt;=MK$43,ME31&lt;&gt;""),AND(MJ31&gt;=MK$43,MI31&lt;&gt;""),AND(NC31&gt;=NG$43,NA31&lt;&gt;""),AND(NF31&gt;=NG$43,NE31&lt;&gt;"")),"P","")</f>
        <v/>
      </c>
      <c r="H31" s="66" t="str">
        <f>IF(F31="P","National Team",IF(G31="P","No DD",""))</f>
        <v/>
      </c>
      <c r="I31" s="14">
        <f>MAX(AM31,AO31,AR31,BQ31,BS31,BV31,CU31,CW31,CZ31)</f>
        <v>18.91</v>
      </c>
      <c r="J31" s="14" t="str">
        <f>IF(I31=0,"",IF(OR(I31=CW31,I31=CU31,I31=CZ31),$BX$1,IF(OR(I31=BS31,I31=BQ31,I31=BV31),$AT$1,IF(OR(I31=AO31,I31=AM31,I31=AR31),$P$1,""))))</f>
        <v>2022 Nationals</v>
      </c>
      <c r="K31" s="14">
        <f>IF(COUNT(AM31,AO31,AR31,BQ31,BS31,BV31,CU31,CW31,CZ31)&gt;1,LARGE((AM31,AO31,AR31,BQ31,BS31,BV31,CU31,CW31,CZ31),2),0)</f>
        <v>5.18</v>
      </c>
      <c r="L31" s="14" t="str">
        <f>IF(K31=0,"",IF(OR(K31=CW31,K31=CU31,K31=CZ31),$BX$1,IF(OR(K31=BS31,K31=BQ31,K31=BV31),$AT$1,IF(OR(K31=AO31,K31=AM31,K31=AR31),$P$1,""))))</f>
        <v>2022 Elite Canada</v>
      </c>
      <c r="M31" s="14" t="str">
        <f>IF(MAX(DB31,DC31)&gt;0,MAX(DB31,DC31),"")</f>
        <v/>
      </c>
      <c r="N31" s="19" t="str">
        <f>IF(M31="","",IF(M31=DB31,"(Prelim)",IF(M31=DC31,"(Final)")))</f>
        <v/>
      </c>
      <c r="O31" s="14" t="str">
        <f>IF(M31="","",IF(M31=DB31,IF(M31+IF(K31="",0,K31)=NC31,$ML$1,IF(M31+IF(K31="",0,K31)=MG31,$LP$1,IF(M31+IF(K31="",0,K31)=LK31,$KT$1,IF(M31+IF(K31="",0,K31)=KO31,$JX$1,IF(M31+IF(K31="",0,K31)=JS31,$JB$1,IF(M31+IF(K31="",0,K31)=IW31,$IF$1,IF(M31+IF(K31="",0,K31)=IA31,$HJ$1,IF(M31+IF(K31="",0,K31)=HE31,$GN$1,IF(M31+IF(K31="",0,K31)=GI31,$FR$1,IF(M31+IF(K31="",0,K31)=FM31,$EV$1,IF(M31+IF(K31="",0,K31)=EQ31,$DZ$1,IF(M31+IF(K31="",0,K31)=DU31,$DD$1,IF(M31+IF(K31="",0,K31)=NB31,$ML$1,IF(M31+IF(K31="",0,K31)=MF31,$LP$1,IF(M31+IF(K31="",0,K31)=LJ31,$KT$1,IF(M31+IF(K31="",0,K31)=KN31,$JX$1,IF(M31+IF(K31="",0,K31)=JR31,$JB$1,IF(M31+IF(K31="",0,K31)=IV31,$IF$1,IF(M31+IF(K31="",0,K31)=HZ31,$HJ$1,IF(M31+IF(K31="",0,K31)=HD31,$GN$1,IF(M31+IF(K31="",0,K31)=GH31,$FR$1,IF(M31+IF(K31="",0,K31)=FL31,$EV$1,IF(M31+IF(K31="",0,K31)=EP31,$DZ$1,IF(M31+IF(K31="",0,K31)=DT31,$DD$1))))))))))))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</f>
        <v/>
      </c>
      <c r="P31" s="37">
        <v>15.7</v>
      </c>
      <c r="Q31" s="37">
        <v>9.4</v>
      </c>
      <c r="R31" s="37">
        <v>2.2999999999999998</v>
      </c>
      <c r="S31" s="37">
        <v>14.47</v>
      </c>
      <c r="T31" s="37">
        <v>0</v>
      </c>
      <c r="U31" s="37">
        <v>1.4</v>
      </c>
      <c r="V31" s="37">
        <v>0.8</v>
      </c>
      <c r="W31" s="37">
        <v>1.5</v>
      </c>
      <c r="X31" s="37">
        <v>1.48</v>
      </c>
      <c r="Y31" s="37">
        <v>0</v>
      </c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>
        <f>IF(SUM(P31:S31)-T31&gt;0,SUM(P31:S31)-T31,"")</f>
        <v>41.870000000000005</v>
      </c>
      <c r="AL31" s="11">
        <f>IF(W31&gt;0,W31,"")</f>
        <v>1.5</v>
      </c>
      <c r="AM31" s="11">
        <f>IF(SUM(U31:X31)-Y31&gt;0,SUM(U31:X31)-Y31,"")</f>
        <v>5.18</v>
      </c>
      <c r="AN31" s="11" t="str">
        <f>IF(AB31&gt;0,AB31,"")</f>
        <v/>
      </c>
      <c r="AO31" s="11" t="str">
        <f>IF(SUM(Z31:AC31)-AD31&gt;0,SUM(Z31:AC31)-AD31,"")</f>
        <v/>
      </c>
      <c r="AP31" s="11">
        <f>IF(AK31="",IF(MAX(AM31,AO31)&gt;0,MAX(AM31,AO31),""),MAX(AM31,AO31)+AK31)</f>
        <v>47.050000000000004</v>
      </c>
      <c r="AQ31" s="11" t="str">
        <f>IF(AG31&gt;0,AG31,"")</f>
        <v/>
      </c>
      <c r="AR31" s="11" t="str">
        <f>IF(SUM(AE31:AH31)-AI31&gt;0,SUM(AE31:AH31)-AI31,"")</f>
        <v/>
      </c>
      <c r="AS31" s="11">
        <f>IF(SUM(AP31,AR31)&gt;0,SUM(AP31,AR31),"")</f>
        <v>47.050000000000004</v>
      </c>
      <c r="AT31" s="41">
        <v>15.8</v>
      </c>
      <c r="AU31" s="41">
        <v>9.8000000000000007</v>
      </c>
      <c r="AV31" s="41">
        <v>2.2999999999999998</v>
      </c>
      <c r="AW31" s="41">
        <v>14.28</v>
      </c>
      <c r="AX31" s="41">
        <v>0</v>
      </c>
      <c r="AY31" s="41">
        <v>5.2</v>
      </c>
      <c r="AZ31" s="41">
        <v>3.7</v>
      </c>
      <c r="BA31" s="41">
        <v>4.4000000000000004</v>
      </c>
      <c r="BB31" s="41">
        <v>5.61</v>
      </c>
      <c r="BC31" s="41">
        <v>0</v>
      </c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>
        <f>IF(SUM(AT31:AW31)-AX31&gt;0,SUM(AT31:AW31)-AX31,"")</f>
        <v>42.18</v>
      </c>
      <c r="BP31" s="14">
        <f>IF(BA31&gt;0,BA31,"")</f>
        <v>4.4000000000000004</v>
      </c>
      <c r="BQ31" s="14">
        <f>IF(SUM(AY31:BB31)-BC31&gt;0,SUM(AY31:BB31)-BC31,"")</f>
        <v>18.91</v>
      </c>
      <c r="BR31" s="14" t="str">
        <f>IF(BF31&gt;0,BF31,"")</f>
        <v/>
      </c>
      <c r="BS31" s="14" t="str">
        <f>IF(SUM(BD31:BG31)-BH31&gt;0,SUM(BD31:BG31)-BH31,"")</f>
        <v/>
      </c>
      <c r="BT31" s="14">
        <f>IF(BO31="",IF(MAX(BQ31,BS31)&gt;0,MAX(BQ31,BS31),""),MAX(BQ31,BS31)+BO31)</f>
        <v>61.09</v>
      </c>
      <c r="BU31" s="14" t="str">
        <f>IF(BK31&gt;0,BK31,"")</f>
        <v/>
      </c>
      <c r="BV31" s="14" t="str">
        <f>IF(SUM(BI31:BL31)-BM31&gt;0,SUM(BI31:BL31)-BM31,"")</f>
        <v/>
      </c>
      <c r="BW31" s="14">
        <f>IF(SUM(BT31,BV31)&gt;0,SUM(BT31,BV31),"")</f>
        <v>61.09</v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>IF(SUM(BX31:CA31)-CB31&gt;0,SUM(BX31:CA31)-CB31,"")</f>
        <v/>
      </c>
      <c r="CT31" s="11" t="str">
        <f>IF(CE31&gt;0,CE31,"")</f>
        <v/>
      </c>
      <c r="CU31" s="11" t="str">
        <f>IF(SUM(CC31:CF31)-CG31&gt;0,SUM(CC31:CF31)-CG31,"")</f>
        <v/>
      </c>
      <c r="CV31" s="11" t="str">
        <f>IF(CJ31&gt;0,CJ31,"")</f>
        <v/>
      </c>
      <c r="CW31" s="11" t="str">
        <f>IF(SUM(CH31:CK31)-CL31&gt;0,SUM(CH31:CK31)-CL31,"")</f>
        <v/>
      </c>
      <c r="CX31" s="11" t="str">
        <f>IF(CS31="",IF(MAX(CU31,CW31)&gt;0,MAX(CU31,CW31),""),MAX(CU31,CW31)+CS31)</f>
        <v/>
      </c>
      <c r="CY31" s="11" t="str">
        <f>IF(CO31&gt;0,CO31,"")</f>
        <v/>
      </c>
      <c r="CZ31" s="11" t="str">
        <f>IF(SUM(CM31:CP31)-CQ31&gt;0,SUM(CM31:CP31)-CQ31,"")</f>
        <v/>
      </c>
      <c r="DA31" s="11" t="str">
        <f>IF(SUM(CX31,CZ31)&gt;0,SUM(CX31,CZ31),"")</f>
        <v/>
      </c>
      <c r="DB31" s="18" t="str">
        <f>IF(K31&gt;=0.001,IF(MAX(DT31,DU31,EP31,EQ31,FL31,FM31,GH31,GI31,HD31,HE31,HZ31,IA31,IV31,IW31,JR31,JS31,KN31,KO31,LJ31,LK31,MF31,MG31,NB31,NC31)-IF(K31="",0,K31)&gt;0.001,MAX(DT31,DU31,EP31,EQ31,FL31,FM31,GH31,GI31,HD31,HE31,HZ31,IA31,IV31,IW31,JR31,JS31,KN31,KO31,LJ31,LK31,MF31,MG31,NB31,NC31)-IF(K31="",0,K31),""),"")</f>
        <v/>
      </c>
      <c r="DC31" s="18" t="str">
        <f>IF(K31&gt;=0.001,IF(MAX(DX31,ET31,FP31,GL31,HH31,ID31,IZ31,JV31,KR31,LN31,MJ31,NF31)-IF(K31="",0,K31)&gt;0.001,MAX(DX31,ET31,FP31,GL31,HH31,ID31,IZ31,JV31,KR31,LN31,MJ31,NF31)-IF(K31="",0,K31),""),"")</f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7">
        <f>IF($CR31="P",BX31,(BX31+AT31)/2)</f>
        <v>7.9</v>
      </c>
      <c r="NI31" s="37">
        <f>IF($CR31="P",BY31,(BY31+AU31)/2)</f>
        <v>4.9000000000000004</v>
      </c>
      <c r="NJ31" s="37">
        <f>IF($CR31="P",BZ31,(BZ31+AV31)/2)</f>
        <v>1.1499999999999999</v>
      </c>
      <c r="NK31" s="37">
        <f>IF($CR31="P",CA31,(CA31+AW31)/2)</f>
        <v>7.14</v>
      </c>
      <c r="NL31" s="37">
        <f>IF($CR31="P",CB31,(CB31+AX31)/2)</f>
        <v>0</v>
      </c>
      <c r="NM31" s="37">
        <f>IF($CR31="P",CC31,(CC31+AY31)/2)</f>
        <v>2.6</v>
      </c>
      <c r="NN31" s="37">
        <f>IF($CR31="P",CD31,(CD31+AZ31)/2)</f>
        <v>1.85</v>
      </c>
      <c r="NO31" s="37">
        <f>IF($CR31="P",CE31,(CE31+BA31)/2)</f>
        <v>2.2000000000000002</v>
      </c>
      <c r="NP31" s="37">
        <f>IF($CR31="P",CF31,(CF31+BB31)/2)</f>
        <v>2.8050000000000002</v>
      </c>
      <c r="NQ31" s="37">
        <f>IF($CR31="P",CG31,(CG31+BC31)/2)</f>
        <v>0</v>
      </c>
      <c r="NR31" s="37">
        <f>IF($CR31="P",CH31,(CH31+BD31)/2)</f>
        <v>0</v>
      </c>
      <c r="NS31" s="37">
        <f>IF($CR31="P",CI31,(CI31+BE31)/2)</f>
        <v>0</v>
      </c>
      <c r="NT31" s="37">
        <f>IF($CR31="P",CJ31,(CJ31+BF31)/2)</f>
        <v>0</v>
      </c>
      <c r="NU31" s="37">
        <f>IF($CR31="P",CK31,(CK31+BG31)/2)</f>
        <v>0</v>
      </c>
      <c r="NV31" s="37">
        <f>IF($CR31="P",CL31,(CL31+BH31)/2)</f>
        <v>0</v>
      </c>
      <c r="NW31" s="37">
        <f>IF($CR31="P",CM31,(CM31+BI31)/2)</f>
        <v>0</v>
      </c>
      <c r="NX31" s="37">
        <f>IF($CR31="P",CN31,(CN31+BJ31)/2)</f>
        <v>0</v>
      </c>
      <c r="NY31" s="37">
        <f>IF($CR31="P",CO31,(CO31+BK31)/2)</f>
        <v>0</v>
      </c>
      <c r="NZ31" s="37">
        <f>IF($CR31="P",CP31,(CP31+BL31)/2)</f>
        <v>0</v>
      </c>
      <c r="OA31" s="37">
        <f>IF($CR31="P",CQ31,(CQ31+BM31)/2)</f>
        <v>0</v>
      </c>
      <c r="OB31" s="44" t="s">
        <v>46</v>
      </c>
      <c r="OC31" s="11">
        <f>IF(SUM(NH31:NK31)-NL31&gt;0,SUM(NH31:NK31)-NL31,"")</f>
        <v>21.09</v>
      </c>
      <c r="OD31" s="11">
        <f>IF(NO31&gt;0,NO31,"")</f>
        <v>2.2000000000000002</v>
      </c>
      <c r="OE31" s="11">
        <f>IF(SUM(NM31:NP31)-NQ31&gt;0,SUM(NM31:NP31)-NQ31,"")</f>
        <v>9.4550000000000001</v>
      </c>
      <c r="OF31" s="11" t="str">
        <f>IF(NT31&gt;0,NT31,"")</f>
        <v/>
      </c>
      <c r="OG31" s="11" t="str">
        <f>IF(SUM(NR31:NU31)-NV31&gt;0,SUM(NR31:NU31)-NV31,"")</f>
        <v/>
      </c>
      <c r="OH31" s="11">
        <f>IF(OR(OC31&lt;&gt;"",OE31&lt;&gt;"",OG31&lt;&gt;""),OC31+MAX(OE31,OG31),"")</f>
        <v>30.545000000000002</v>
      </c>
      <c r="OI31" s="11" t="str">
        <f>IF(NY31&gt;0,NY31,"")</f>
        <v/>
      </c>
      <c r="OJ31" s="11" t="str">
        <f t="shared" ref="OJ31" si="42">IF(SUM(NW31:NZ31)-OA31&gt;0,SUM(NW31:NZ31)-OA31,"")</f>
        <v/>
      </c>
      <c r="OK31" s="11">
        <f t="shared" ref="OK31" si="43">IF(SUM(OH31,OJ31)&gt;0,SUM(OH31,OJ31),"")</f>
        <v>30.545000000000002</v>
      </c>
    </row>
    <row r="32" spans="1:401" x14ac:dyDescent="0.2">
      <c r="A32" s="5" t="str" cm="1">
        <f t="array" ref="A32">IF(AND(F32="P",G32="P"),SUMPRODUCT((F$4:F$37="P")*(G$4:G$37="P")*(E$4:E$37&gt;E32))+1,IF(G32="P",SUMPRODUCT((F$4:F$37="")*(G$4:G$37="P")*(E$4:E$37&gt;E32))+1+SUMPRODUCT((F$4:F$37="P")*(G$4:G$37="P")),""))</f>
        <v/>
      </c>
      <c r="B32" s="6" t="s">
        <v>107</v>
      </c>
      <c r="C32" s="7" t="s">
        <v>3</v>
      </c>
      <c r="D32" s="21">
        <v>2001</v>
      </c>
      <c r="E32" s="15">
        <f>SUM(I32:M32)+I32*0.0000001</f>
        <v>20.610002060999999</v>
      </c>
      <c r="F32" s="3" t="str">
        <f>IF(OR(AND(AL32&gt;=AS$39,AM32&gt;=AS$43,AL32&lt;&gt;"",AJ32=""),AND(AN32&gt;=AS$39,AO32&gt;=AS$43,AN32&lt;&gt;"",AN32=""),AND(AQ32&gt;=AS$39,AR32&gt;=AS$43,AQ32&lt;&gt;"",AJ32=""),AND(BP32&gt;=BW$39,BQ32&gt;=BW$43,BP32&lt;&gt;"",BN32=""),AND(BR32&gt;=BW$39,BS32&gt;=BW$43,BR32&lt;&gt;"",BN32=""),AND(BU32&gt;=BW$39,BV32&gt;=BW$43,BU32&lt;&gt;"",BN32=""),AND(CT32&gt;=DA$39,CU32&gt;=DA$43,CT32&lt;&gt;"",CR32=""),AND(CV32&gt;=DA$39,CW32&gt;=DA$43,CV32&lt;&gt;"",CR32=""),AND(CY32&gt;=DA$39,CZ32&gt;=DA$43,CY32&lt;&gt;"",CR32=""),AND(DS32&gt;=DY$39,DU32&gt;=DY$43,DS32&lt;&gt;""),AND(DW32&gt;=DY$39,DX32&gt;=DY$43,DW32&lt;&gt;""),AND(EO32&gt;=EU$39,EQ32&gt;=EU$43,EO32&lt;&gt;""),AND(ES32&gt;=EU$39,ET32&gt;=EU$43,ES32&lt;&gt;""),AND(FK32&gt;=FQ$39,FM32&gt;=FQ$43,FK32&lt;&gt;""),AND(FO32&gt;=FQ$39,FP32&gt;=FQ$43,FO32&lt;&gt;""),AND(GG32&gt;=GM$39,GI32&gt;=GM$43,GG32&lt;&gt;""),AND(GK32&gt;=GM$39,GL32&gt;=GM$43,GK32&lt;&gt;""),AND(HC32&gt;=HI$39,HE32&gt;=HI$43,HC32&lt;&gt;""),AND(HG32&gt;=HI$39,HH32&gt;=HI$43,HG32&lt;&gt;""),AND(HY32&gt;=IE$39,IA32&gt;=IE$43,HY32&lt;&gt;""),AND(IC32&gt;=IE$39,ID32&gt;=IE$43,IC32&lt;&gt;""),AND(IU32&gt;=JA$39,IW32&gt;=JA$43,IU32&lt;&gt;""),AND(IY32&gt;=JA$39,IZ32&gt;=JA$43,IY32&lt;&gt;""),AND(JQ32&gt;=JW$39,JS32&gt;=JW$43,JQ32&lt;&gt;""),AND(JU32&gt;=JW$39,JV32&gt;=JW$43,JU32&lt;&gt;""),AND(KM32&gt;=KS$39,KO32&gt;=KS$43,KM32&lt;&gt;""),AND(KQ32&gt;=KS$39,KR32&gt;=KS$43,KQ32&lt;&gt;""),AND(LI32&gt;=LO$39,LK32&gt;=LO$43,LI32&lt;&gt;""),AND(LM32&gt;=LO$39,LN32&gt;=LO$43,LM32&lt;&gt;""),AND(ME32&gt;=MK$39,MG32&gt;=MK$43,ME32&lt;&gt;""),AND(MI32&gt;=MK$39,MJ32&gt;=MK$43,MI32&lt;&gt;""),AND(NA32&gt;=NG$39,NC32&gt;=NG$43,NA32&lt;&gt;""),AND(NE32&gt;=NG$39,NF32&gt;=NG$43,NE32&lt;&gt;"")),"P","")</f>
        <v/>
      </c>
      <c r="G32" s="3" t="str">
        <f>IF(OR(AND(AM32&gt;=AS$43,AL32&lt;&gt;"",AJ32=""),AND(AO32&gt;=AS$43,AN32&lt;&gt;"",AN32=""),AND(AR32&gt;=AS$43,AQ32&lt;&gt;"",AJ32=""),AND(BQ32&gt;=BW$43,BP32&lt;&gt;"",BN32=""),AND(BS32&gt;=BW$43,BR32&lt;&gt;"",BN32=""),AND(BV32&gt;=BW$43,BU32&lt;&gt;"",BN32=""),AND(CU32&gt;=DA$43,CT32&lt;&gt;"",CR32=""),AND(CW32&gt;=DA$43,CV32&lt;&gt;"",CR32=""),AND(CZ32&gt;=DA$43,CY32&lt;&gt;"",CR32=""),AND(DU32&gt;=DY$43,DS32&lt;&gt;""),AND(DX32&gt;=DY$43,DW32&lt;&gt;""),AND(EQ32&gt;=EU$43,EO32&lt;&gt;""),AND(ET32&gt;=EU$43,ES32&lt;&gt;""),AND(FM32&gt;=FQ$43,FK32&lt;&gt;""),AND(FP32&gt;=FQ$43,FO32&lt;&gt;""),AND(GI32&gt;=GM$43,GG32&lt;&gt;""),AND(GL32&gt;=GM$43,GK32&lt;&gt;""),AND(HE32&gt;=HI$43,HC32&lt;&gt;""),AND(HH32&gt;=HI$43,HG32&lt;&gt;""),AND(IA32&gt;=IE$43,HY32&lt;&gt;""),AND(ID32&gt;=IE$43,IC32&lt;&gt;""),AND(IW32&gt;=JA$43,IU32&lt;&gt;""),AND(IZ32&gt;=JA$43,IY32&lt;&gt;""),AND(JS32&gt;=JW$43,JQ32&lt;&gt;""),AND(JV32&gt;=JW$43,JU32&lt;&gt;""),AND(KO32&gt;=KS$43,KM32&lt;&gt;""),AND(KR32&gt;=KS$43,KQ32&lt;&gt;""),AND(LK32&gt;=LO$43,LI32&lt;&gt;""),AND(LN32&gt;=LO$43,LM32&lt;&gt;""),AND(MG32&gt;=MK$43,ME32&lt;&gt;""),AND(MJ32&gt;=MK$43,MI32&lt;&gt;""),AND(NC32&gt;=NG$43,NA32&lt;&gt;""),AND(NF32&gt;=NG$43,NE32&lt;&gt;"")),"P","")</f>
        <v/>
      </c>
      <c r="H32" s="66" t="str">
        <f>IF(F32="P","National Team",IF(G32="P","No DD",""))</f>
        <v/>
      </c>
      <c r="I32" s="14">
        <f>MAX(AM32,AO32,AR32,BQ32,BS32,BV32,CU32,CW32,CZ32)</f>
        <v>20.61</v>
      </c>
      <c r="J32" s="14" t="str">
        <f>IF(I32=0,"",IF(OR(I32=CW32,I32=CU32,I32=CZ32),$BX$1,IF(OR(I32=BS32,I32=BQ32,I32=BV32),$AT$1,IF(OR(I32=AO32,I32=AM32,I32=AR32),$P$1,""))))</f>
        <v>2022 Nationals</v>
      </c>
      <c r="K32" s="14">
        <f>IF(COUNT(AM32,AO32,AR32,BQ32,BS32,BV32,CU32,CW32,CZ32)&gt;1,LARGE((AM32,AO32,AR32,BQ32,BS32,BV32,CU32,CW32,CZ32),2),0)</f>
        <v>0</v>
      </c>
      <c r="L32" s="14" t="str">
        <f>IF(K32=0,"",IF(OR(K32=CW32,K32=CU32,K32=CZ32),$BX$1,IF(OR(K32=BS32,K32=BQ32,K32=BV32),$AT$1,IF(OR(K32=AO32,K32=AM32,K32=AR32),$P$1,""))))</f>
        <v/>
      </c>
      <c r="M32" s="14" t="str">
        <f>IF(MAX(DB32,DC32)&gt;0,MAX(DB32,DC32),"")</f>
        <v/>
      </c>
      <c r="N32" s="19" t="str">
        <f>IF(M32="","",IF(M32=DB32,"(Prelim)",IF(M32=DC32,"(Final)")))</f>
        <v/>
      </c>
      <c r="O32" s="14" t="str">
        <f>IF(M32="","",IF(M32=DB32,IF(M32+IF(K32="",0,K32)=NC32,$ML$1,IF(M32+IF(K32="",0,K32)=MG32,$LP$1,IF(M32+IF(K32="",0,K32)=LK32,$KT$1,IF(M32+IF(K32="",0,K32)=KO32,$JX$1,IF(M32+IF(K32="",0,K32)=JS32,$JB$1,IF(M32+IF(K32="",0,K32)=IW32,$IF$1,IF(M32+IF(K32="",0,K32)=IA32,$HJ$1,IF(M32+IF(K32="",0,K32)=HE32,$GN$1,IF(M32+IF(K32="",0,K32)=GI32,$FR$1,IF(M32+IF(K32="",0,K32)=FM32,$EV$1,IF(M32+IF(K32="",0,K32)=EQ32,$DZ$1,IF(M32+IF(K32="",0,K32)=DU32,$DD$1,IF(M32+IF(K32="",0,K32)=NB32,$ML$1,IF(M32+IF(K32="",0,K32)=MF32,$LP$1,IF(M32+IF(K32="",0,K32)=LJ32,$KT$1,IF(M32+IF(K32="",0,K32)=KN32,$JX$1,IF(M32+IF(K32="",0,K32)=JR32,$JB$1,IF(M32+IF(K32="",0,K32)=IV32,$IF$1,IF(M32+IF(K32="",0,K32)=HZ32,$HJ$1,IF(M32+IF(K32="",0,K32)=HD32,$GN$1,IF(M32+IF(K32="",0,K32)=GH32,$FR$1,IF(M32+IF(K32="",0,K32)=FL32,$EV$1,IF(M32+IF(K32="",0,K32)=EP32,$DZ$1,IF(M32+IF(K32="",0,K32)=DT32,$DD$1)))))))))))))))))))))))),IF(M32=DC32,IF(M32+IF(K32="",0,K32)=NF32,$ML$1,IF(M32+IF(K32="",0,K32)=MJ32,$LP$1,IF(M32+IF(K32="",0,K32)=LN32,$KT$1,IF(M32+IF(K32="",0,K32)=KR32,$JX$1,IF(M32+IF(K32="",0,K32)=JV32,$JB$1,IF(M32+IF(K32="",0,K32)=IZ32,$IF$1,IF(M32+IF(K32="",0,K32)=ID32,$HJ$1,IF(M32+IF(K32="",0,K32)=HH32,$GN$1,IF(M32+IF(K32="",0,K32)=GL32,$FR$1,IF(M32+IF(K32="",0,K32)=FP32,$EV$1,IF(M32+IF(K32="",0,K32)=ET32,$DZ$1,IF(M32+IF(K32="",0,K32)=DX32,$DD$1)))))))))))))))</f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>IF(SUM(P32:S32)-T32&gt;0,SUM(P32:S32)-T32,"")</f>
        <v/>
      </c>
      <c r="AL32" s="11" t="str">
        <f>IF(W32&gt;0,W32,"")</f>
        <v/>
      </c>
      <c r="AM32" s="11" t="str">
        <f>IF(SUM(U32:X32)-Y32&gt;0,SUM(U32:X32)-Y32,"")</f>
        <v/>
      </c>
      <c r="AN32" s="11" t="str">
        <f>IF(AB32&gt;0,AB32,"")</f>
        <v/>
      </c>
      <c r="AO32" s="11" t="str">
        <f>IF(SUM(Z32:AC32)-AD32&gt;0,SUM(Z32:AC32)-AD32,"")</f>
        <v/>
      </c>
      <c r="AP32" s="11" t="str">
        <f>IF(AK32="",IF(MAX(AM32,AO32)&gt;0,MAX(AM32,AO32),""),MAX(AM32,AO32)+AK32)</f>
        <v/>
      </c>
      <c r="AQ32" s="11" t="str">
        <f>IF(AG32&gt;0,AG32,"")</f>
        <v/>
      </c>
      <c r="AR32" s="11" t="str">
        <f>IF(SUM(AE32:AH32)-AI32&gt;0,SUM(AE32:AH32)-AI32,"")</f>
        <v/>
      </c>
      <c r="AS32" s="11" t="str">
        <f>IF(SUM(AP32,AR32)&gt;0,SUM(AP32,AR32),"")</f>
        <v/>
      </c>
      <c r="AT32" s="41">
        <v>18.2</v>
      </c>
      <c r="AU32" s="41">
        <v>9.8000000000000007</v>
      </c>
      <c r="AV32" s="41">
        <v>1.9</v>
      </c>
      <c r="AW32" s="41">
        <v>15.55</v>
      </c>
      <c r="AX32" s="41">
        <v>0</v>
      </c>
      <c r="AY32" s="41">
        <v>5.6</v>
      </c>
      <c r="AZ32" s="41">
        <v>3.4</v>
      </c>
      <c r="BA32" s="41">
        <v>5.4</v>
      </c>
      <c r="BB32" s="41">
        <v>6.21</v>
      </c>
      <c r="BC32" s="41">
        <v>0</v>
      </c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>
        <f>IF(SUM(AT32:AW32)-AX32&gt;0,SUM(AT32:AW32)-AX32,"")</f>
        <v>45.45</v>
      </c>
      <c r="BP32" s="14">
        <f>IF(BA32&gt;0,BA32,"")</f>
        <v>5.4</v>
      </c>
      <c r="BQ32" s="14">
        <f>IF(SUM(AY32:BB32)-BC32&gt;0,SUM(AY32:BB32)-BC32,"")</f>
        <v>20.61</v>
      </c>
      <c r="BR32" s="14" t="str">
        <f>IF(BF32&gt;0,BF32,"")</f>
        <v/>
      </c>
      <c r="BS32" s="14" t="str">
        <f>IF(SUM(BD32:BG32)-BH32&gt;0,SUM(BD32:BG32)-BH32,"")</f>
        <v/>
      </c>
      <c r="BT32" s="14">
        <f>IF(BO32="",IF(MAX(BQ32,BS32)&gt;0,MAX(BQ32,BS32),""),MAX(BQ32,BS32)+BO32)</f>
        <v>66.06</v>
      </c>
      <c r="BU32" s="14" t="str">
        <f>IF(BK32&gt;0,BK32,"")</f>
        <v/>
      </c>
      <c r="BV32" s="14" t="str">
        <f>IF(SUM(BI32:BL32)-BM32&gt;0,SUM(BI32:BL32)-BM32,"")</f>
        <v/>
      </c>
      <c r="BW32" s="14">
        <f>IF(SUM(BT32,BV32)&gt;0,SUM(BT32,BV32),"")</f>
        <v>66.06</v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>IF(SUM(BX32:CA32)-CB32&gt;0,SUM(BX32:CA32)-CB32,"")</f>
        <v/>
      </c>
      <c r="CT32" s="11" t="str">
        <f>IF(CE32&gt;0,CE32,"")</f>
        <v/>
      </c>
      <c r="CU32" s="11" t="str">
        <f>IF(SUM(CC32:CF32)-CG32&gt;0,SUM(CC32:CF32)-CG32,"")</f>
        <v/>
      </c>
      <c r="CV32" s="11" t="str">
        <f>IF(CJ32&gt;0,CJ32,"")</f>
        <v/>
      </c>
      <c r="CW32" s="11" t="str">
        <f>IF(SUM(CH32:CK32)-CL32&gt;0,SUM(CH32:CK32)-CL32,"")</f>
        <v/>
      </c>
      <c r="CX32" s="11" t="str">
        <f>IF(CS32="",IF(MAX(CU32,CW32)&gt;0,MAX(CU32,CW32),""),MAX(CU32,CW32)+CS32)</f>
        <v/>
      </c>
      <c r="CY32" s="11" t="str">
        <f>IF(CO32&gt;0,CO32,"")</f>
        <v/>
      </c>
      <c r="CZ32" s="11" t="str">
        <f>IF(SUM(CM32:CP32)-CQ32&gt;0,SUM(CM32:CP32)-CQ32,"")</f>
        <v/>
      </c>
      <c r="DA32" s="11" t="str">
        <f>IF(SUM(CX32,CZ32)&gt;0,SUM(CX32,CZ32),"")</f>
        <v/>
      </c>
      <c r="DB32" s="18" t="str">
        <f>IF(K32&gt;=0.001,IF(MAX(DT32,DU32,EP32,EQ32,FL32,FM32,GH32,GI32,HD32,HE32,HZ32,IA32,IV32,IW32,JR32,JS32,KN32,KO32,LJ32,LK32,MF32,MG32,NB32,NC32)-IF(K32="",0,K32)&gt;0.001,MAX(DT32,DU32,EP32,EQ32,FL32,FM32,GH32,GI32,HD32,HE32,HZ32,IA32,IV32,IW32,JR32,JS32,KN32,KO32,LJ32,LK32,MF32,MG32,NB32,NC32)-IF(K32="",0,K32),""),"")</f>
        <v/>
      </c>
      <c r="DC32" s="18" t="str">
        <f>IF(K32&gt;=0.001,IF(MAX(DX32,ET32,FP32,GL32,HH32,ID32,IZ32,JV32,KR32,LN32,MJ32,NF32)-IF(K32="",0,K32)&gt;0.001,MAX(DX32,ET32,FP32,GL32,HH32,ID32,IZ32,JV32,KR32,LN32,MJ32,NF32)-IF(K32="",0,K32),""),"")</f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>IF(DK32&gt;0,DK32,"")</f>
        <v/>
      </c>
      <c r="DT32" s="11" t="str">
        <f>IF(SUM(DD32:DG32)-DH32&gt;0,SUM(DD32:DG32)-DH32,"")</f>
        <v/>
      </c>
      <c r="DU32" s="11" t="str">
        <f>IF(SUM(DI32:DL32)-DM32&gt;0,SUM(DI32:DL32)-DM32,"")</f>
        <v/>
      </c>
      <c r="DV32" s="11" t="str">
        <f>IF(SUM(DT32:DU32)&gt;0,SUM(DT32:DU32),"")</f>
        <v/>
      </c>
      <c r="DW32" s="11" t="str">
        <f>IF(DP32&gt;0,DP32,"")</f>
        <v/>
      </c>
      <c r="DX32" s="11" t="str">
        <f>IF(SUM(DN32:DQ32)-DR32&gt;0,SUM(DN32:DQ32)-DR32,"")</f>
        <v/>
      </c>
      <c r="DY32" s="11" t="str">
        <f>IF(SUM(DV32,DX32)&gt;0,SUM(DV32,DX32),"")</f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>IF(EG32&gt;0,EG32,"")</f>
        <v/>
      </c>
      <c r="EP32" s="14" t="str">
        <f>IF(SUM(DZ32:EC32)-ED32&gt;0,SUM(DZ32:EC32)-ED32,"")</f>
        <v/>
      </c>
      <c r="EQ32" s="14" t="str">
        <f>IF(SUM(EE32:EH32)-EI32&gt;0,SUM(EE32:EH32)-EI32,"")</f>
        <v/>
      </c>
      <c r="ER32" s="14" t="str">
        <f>IF(SUM(EP32:EQ32)&gt;0,SUM(EP32:EQ32),"")</f>
        <v/>
      </c>
      <c r="ES32" s="14" t="str">
        <f>IF(EL32&gt;0,EL32,"")</f>
        <v/>
      </c>
      <c r="ET32" s="14" t="str">
        <f>IF(SUM(EJ32:EM32)-EN32&gt;0,SUM(EJ32:EM32)-EN32,"")</f>
        <v/>
      </c>
      <c r="EU32" s="14" t="str">
        <f>IF(SUM(ER32,ET32)&gt;0,SUM(ER32,ET32),"")</f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>IF(FC32&gt;0,FC32,"")</f>
        <v/>
      </c>
      <c r="FL32" s="11" t="str">
        <f>IF(SUM(EV32:EY32)-EZ32&gt;0,SUM(EV32:EY32)-EZ32,"")</f>
        <v/>
      </c>
      <c r="FM32" s="11" t="str">
        <f>IF(SUM(FA32:FD32)-FE32&gt;0,SUM(FA32:FD32)-FE32,"")</f>
        <v/>
      </c>
      <c r="FN32" s="11" t="str">
        <f>IF(SUM(FL32:FM32)&gt;0,SUM(FL32:FM32),"")</f>
        <v/>
      </c>
      <c r="FO32" s="11" t="str">
        <f>IF(FH32&gt;0,FH32,"")</f>
        <v/>
      </c>
      <c r="FP32" s="11" t="str">
        <f>IF(SUM(FF32:FI32)-FJ32&gt;0,SUM(FF32:FI32)-FJ32,"")</f>
        <v/>
      </c>
      <c r="FQ32" s="11" t="str">
        <f>IF(SUM(FN32,FP32)&gt;0,SUM(FN32,FP32),"")</f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>IF(FY32&gt;0,FY32,"")</f>
        <v/>
      </c>
      <c r="GH32" s="14" t="str">
        <f>IF(SUM(FR32:FU32)-FV32&gt;0,SUM(FR32:FU32)-FV32,"")</f>
        <v/>
      </c>
      <c r="GI32" s="14" t="str">
        <f>IF(SUM(FW32:FZ32)-GA32&gt;0,SUM(FW32:FZ32)-GA32,"")</f>
        <v/>
      </c>
      <c r="GJ32" s="14" t="str">
        <f>IF(SUM(GH32:GI32)&gt;0,SUM(GH32:GI32),"")</f>
        <v/>
      </c>
      <c r="GK32" s="14" t="str">
        <f>IF(GD32&gt;0,GD32,"")</f>
        <v/>
      </c>
      <c r="GL32" s="14" t="str">
        <f>IF(SUM(GB32:GE32)-GF32&gt;0,SUM(GB32:GE32)-GF32,"")</f>
        <v/>
      </c>
      <c r="GM32" s="14" t="str">
        <f>IF(SUM(GJ32,GL32)&gt;0,SUM(GJ32,GL32),"")</f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>IF(GU32&gt;0,GU32,"")</f>
        <v/>
      </c>
      <c r="HD32" s="11" t="str">
        <f>IF(SUM(GN32:GQ32)-GR32&gt;0,SUM(GN32:GQ32)-GR32,"")</f>
        <v/>
      </c>
      <c r="HE32" s="11" t="str">
        <f>IF(SUM(GS32:GV32)-GW32&gt;0,SUM(GS32:GV32)-GW32,"")</f>
        <v/>
      </c>
      <c r="HF32" s="11" t="str">
        <f>IF(SUM(HD32:HE32)&gt;0,SUM(HD32:HE32),"")</f>
        <v/>
      </c>
      <c r="HG32" s="11" t="str">
        <f>IF(GZ32&gt;0,GZ32,"")</f>
        <v/>
      </c>
      <c r="HH32" s="11" t="str">
        <f>IF(SUM(GX32:HA32)-HB32&gt;0,SUM(GX32:HA32)-HB32,"")</f>
        <v/>
      </c>
      <c r="HI32" s="11" t="str">
        <f>IF(SUM(HF32,HH32)&gt;0,SUM(HF32,HH32),"")</f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>IF(HQ32&gt;0,HQ32,"")</f>
        <v/>
      </c>
      <c r="HZ32" s="14" t="str">
        <f>IF(SUM(HJ32:HM32)-HN32&gt;0,SUM(HJ32:HM32)-HN32,"")</f>
        <v/>
      </c>
      <c r="IA32" s="14" t="str">
        <f>IF(SUM(HO32:HR32)-HS32&gt;0,SUM(HO32:HR32)-HS32,"")</f>
        <v/>
      </c>
      <c r="IB32" s="14" t="str">
        <f>IF(SUM(HZ32:IA32)&gt;0,SUM(HZ32:IA32),"")</f>
        <v/>
      </c>
      <c r="IC32" s="14" t="str">
        <f>IF(HV32&gt;0,HV32,"")</f>
        <v/>
      </c>
      <c r="ID32" s="14" t="str">
        <f>IF(SUM(HT32:HW32)-HX32&gt;0,SUM(HT32:HW32)-HX32,"")</f>
        <v/>
      </c>
      <c r="IE32" s="14" t="str">
        <f>IF(SUM(IB32,ID32)&gt;0,SUM(IB32,ID32),"")</f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>IF(IM32&gt;0,IM32,"")</f>
        <v/>
      </c>
      <c r="IV32" s="11" t="str">
        <f>IF(SUM(IF32:II32)-IJ32&gt;0,SUM(IF32:II32)-IJ32,"")</f>
        <v/>
      </c>
      <c r="IW32" s="11" t="str">
        <f>IF(SUM(IK32:IN32)-IO32&gt;0,SUM(IK32:IN32)-IO32,"")</f>
        <v/>
      </c>
      <c r="IX32" s="11" t="str">
        <f>IF(SUM(IV32:IW32)&gt;0,SUM(IV32:IW32),"")</f>
        <v/>
      </c>
      <c r="IY32" s="11" t="str">
        <f>IF(IR32&gt;0,IR32,"")</f>
        <v/>
      </c>
      <c r="IZ32" s="11" t="str">
        <f>IF(SUM(IP32:IS32)-IT32&gt;0,SUM(IP32:IS32)-IT32,"")</f>
        <v/>
      </c>
      <c r="JA32" s="11" t="str">
        <f>IF(SUM(IX32,IZ32)&gt;0,SUM(IX32,IZ32),"")</f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>IF(JI32&gt;0,JI32,"")</f>
        <v/>
      </c>
      <c r="JR32" s="14" t="str">
        <f>IF(SUM(JB32:JE32)-JF32&gt;0,SUM(JB32:JE32)-JF32,"")</f>
        <v/>
      </c>
      <c r="JS32" s="14" t="str">
        <f>IF(SUM(JG32:JJ32)-JK32&gt;0,SUM(JG32:JJ32)-JK32,"")</f>
        <v/>
      </c>
      <c r="JT32" s="14" t="str">
        <f>IF(SUM(JR32:JS32)&gt;0,SUM(JR32:JS32),"")</f>
        <v/>
      </c>
      <c r="JU32" s="14" t="str">
        <f>IF(JN32&gt;0,JN32,"")</f>
        <v/>
      </c>
      <c r="JV32" s="14" t="str">
        <f>IF(SUM(JL32:JO32)-JP32&gt;0,SUM(JL32:JO32)-JP32,"")</f>
        <v/>
      </c>
      <c r="JW32" s="14" t="str">
        <f>IF(SUM(JT32,JV32)&gt;0,SUM(JT32,JV32),"")</f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>IF(KE32&gt;0,KE32,"")</f>
        <v/>
      </c>
      <c r="KN32" s="11" t="str">
        <f>IF(SUM(JX32:KA32)-KB32&gt;0,SUM(JX32:KA32)-KB32,"")</f>
        <v/>
      </c>
      <c r="KO32" s="11" t="str">
        <f>IF(SUM(KC32:KF32)-KG32&gt;0,SUM(KC32:KF32)-KG32,"")</f>
        <v/>
      </c>
      <c r="KP32" s="11" t="str">
        <f>IF(SUM(KN32:KO32)&gt;0,SUM(KN32:KO32),"")</f>
        <v/>
      </c>
      <c r="KQ32" s="11" t="str">
        <f>IF(KJ32&gt;0,KJ32,"")</f>
        <v/>
      </c>
      <c r="KR32" s="11" t="str">
        <f>IF(SUM(KH32:KK32)-KL32&gt;0,SUM(KH32:KK32)-KL32,"")</f>
        <v/>
      </c>
      <c r="KS32" s="11" t="str">
        <f>IF(SUM(KP32,KR32)&gt;0,SUM(KP32,KR32),"")</f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>IF(LA32&gt;0,LA32,"")</f>
        <v/>
      </c>
      <c r="LJ32" s="14" t="str">
        <f>IF(SUM(KT32:KW32)-KX32&gt;0,SUM(KT32:KW32)-KX32,"")</f>
        <v/>
      </c>
      <c r="LK32" s="14" t="str">
        <f>IF(SUM(KY32:LB32)-LC32&gt;0,SUM(KY32:LB32)-LC32,"")</f>
        <v/>
      </c>
      <c r="LL32" s="14" t="str">
        <f>IF(SUM(LJ32:LK32)&gt;0,SUM(LJ32:LK32),"")</f>
        <v/>
      </c>
      <c r="LM32" s="14" t="str">
        <f>IF(LF32&gt;0,LF32,"")</f>
        <v/>
      </c>
      <c r="LN32" s="14" t="str">
        <f>IF(SUM(LD32:LG32)-LH32&gt;0,SUM(LD32:LG32)-LH32,"")</f>
        <v/>
      </c>
      <c r="LO32" s="14" t="str">
        <f>IF(SUM(LL32,LN32)&gt;0,SUM(LL32,LN32),"")</f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>IF(LW32&gt;0,LW32,"")</f>
        <v/>
      </c>
      <c r="MF32" s="11" t="str">
        <f>IF(SUM(LP32:LS32)-LT32&gt;0,SUM(LP32:LS32)-LT32,"")</f>
        <v/>
      </c>
      <c r="MG32" s="11" t="str">
        <f>IF(SUM(LU32:LX32)-LY32&gt;0,SUM(LU32:LX32)-LY32,"")</f>
        <v/>
      </c>
      <c r="MH32" s="11" t="str">
        <f>IF(SUM(MF32:MG32)&gt;0,SUM(MF32:MG32),"")</f>
        <v/>
      </c>
      <c r="MI32" s="11" t="str">
        <f>IF(MB32&gt;0,MB32,"")</f>
        <v/>
      </c>
      <c r="MJ32" s="11" t="str">
        <f>IF(SUM(LZ32:MC32)-MD32&gt;0,SUM(LZ32:MC32)-MD32,"")</f>
        <v/>
      </c>
      <c r="MK32" s="11" t="str">
        <f>IF(SUM(MH32,MJ32)&gt;0,SUM(MH32,MJ32),"")</f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>IF(MS32&gt;0,MS32,"")</f>
        <v/>
      </c>
      <c r="NB32" s="14" t="str">
        <f>IF(SUM(ML32:MO32)-MP32&gt;0,SUM(ML32:MO32)-MP32,"")</f>
        <v/>
      </c>
      <c r="NC32" s="14" t="str">
        <f>IF(SUM(MQ32:MT32)-MU32&gt;0,SUM(MQ32:MT32)-MU32,"")</f>
        <v/>
      </c>
      <c r="ND32" s="14" t="str">
        <f>IF(SUM(NB32:NC32)&gt;0,SUM(NB32:NC32),"")</f>
        <v/>
      </c>
      <c r="NE32" s="14" t="str">
        <f>IF(MX32&gt;0,MX32,"")</f>
        <v/>
      </c>
      <c r="NF32" s="14" t="str">
        <f>IF(SUM(MV32:MY32)-MZ32&gt;0,SUM(MV32:MY32)-MZ32,"")</f>
        <v/>
      </c>
      <c r="NG32" s="14" t="str">
        <f>IF(SUM(ND32,NF32)&gt;0,SUM(ND32,NF32),"")</f>
        <v/>
      </c>
      <c r="NH32" s="37">
        <f>IF($CR32="P",BX32,(BX32+AT32)/2)</f>
        <v>9.1</v>
      </c>
      <c r="NI32" s="37">
        <f>IF($CR32="P",BY32,(BY32+AU32)/2)</f>
        <v>4.9000000000000004</v>
      </c>
      <c r="NJ32" s="37">
        <f>IF($CR32="P",BZ32,(BZ32+AV32)/2)</f>
        <v>0.95</v>
      </c>
      <c r="NK32" s="37">
        <f>IF($CR32="P",CA32,(CA32+AW32)/2)</f>
        <v>7.7750000000000004</v>
      </c>
      <c r="NL32" s="37">
        <f>IF($CR32="P",CB32,(CB32+AX32)/2)</f>
        <v>0</v>
      </c>
      <c r="NM32" s="37">
        <f>IF($CR32="P",CC32,(CC32+AY32)/2)</f>
        <v>2.8</v>
      </c>
      <c r="NN32" s="37">
        <f>IF($CR32="P",CD32,(CD32+AZ32)/2)</f>
        <v>1.7</v>
      </c>
      <c r="NO32" s="37">
        <f>IF($CR32="P",CE32,(CE32+BA32)/2)</f>
        <v>2.7</v>
      </c>
      <c r="NP32" s="37">
        <f>IF($CR32="P",CF32,(CF32+BB32)/2)</f>
        <v>3.105</v>
      </c>
      <c r="NQ32" s="37">
        <f>IF($CR32="P",CG32,(CG32+BC32)/2)</f>
        <v>0</v>
      </c>
      <c r="NR32" s="37">
        <f>IF($CR32="P",CH32,(CH32+BD32)/2)</f>
        <v>0</v>
      </c>
      <c r="NS32" s="37">
        <f>IF($CR32="P",CI32,(CI32+BE32)/2)</f>
        <v>0</v>
      </c>
      <c r="NT32" s="37">
        <f>IF($CR32="P",CJ32,(CJ32+BF32)/2)</f>
        <v>0</v>
      </c>
      <c r="NU32" s="37">
        <f>IF($CR32="P",CK32,(CK32+BG32)/2)</f>
        <v>0</v>
      </c>
      <c r="NV32" s="37">
        <f>IF($CR32="P",CL32,(CL32+BH32)/2)</f>
        <v>0</v>
      </c>
      <c r="NW32" s="37">
        <f>IF($CR32="P",CM32,(CM32+BI32)/2)</f>
        <v>0</v>
      </c>
      <c r="NX32" s="37">
        <f>IF($CR32="P",CN32,(CN32+BJ32)/2)</f>
        <v>0</v>
      </c>
      <c r="NY32" s="37">
        <f>IF($CR32="P",CO32,(CO32+BK32)/2)</f>
        <v>0</v>
      </c>
      <c r="NZ32" s="37">
        <f>IF($CR32="P",CP32,(CP32+BL32)/2)</f>
        <v>0</v>
      </c>
      <c r="OA32" s="37">
        <f>IF($CR32="P",CQ32,(CQ32+BM32)/2)</f>
        <v>0</v>
      </c>
      <c r="OB32" s="44" t="s">
        <v>46</v>
      </c>
      <c r="OC32" s="11">
        <f>IF(SUM(NH32:NK32)-NL32&gt;0,SUM(NH32:NK32)-NL32,"")</f>
        <v>22.725000000000001</v>
      </c>
      <c r="OD32" s="11">
        <f>IF(NO32&gt;0,NO32,"")</f>
        <v>2.7</v>
      </c>
      <c r="OE32" s="11">
        <f>IF(SUM(NM32:NP32)-NQ32&gt;0,SUM(NM32:NP32)-NQ32,"")</f>
        <v>10.305</v>
      </c>
      <c r="OF32" s="11" t="str">
        <f>IF(NT32&gt;0,NT32,"")</f>
        <v/>
      </c>
      <c r="OG32" s="11" t="str">
        <f>IF(SUM(NR32:NU32)-NV32&gt;0,SUM(NR32:NU32)-NV32,"")</f>
        <v/>
      </c>
      <c r="OH32" s="11">
        <f>IF(OR(OC32&lt;&gt;"",OE32&lt;&gt;"",OG32&lt;&gt;""),OC32+MAX(OE32,OG32),"")</f>
        <v>33.03</v>
      </c>
      <c r="OI32" s="11" t="str">
        <f>IF(NY32&gt;0,NY32,"")</f>
        <v/>
      </c>
      <c r="OJ32" s="11" t="str">
        <f t="shared" ref="OJ32" si="44">IF(SUM(NW32:NZ32)-OA32&gt;0,SUM(NW32:NZ32)-OA32,"")</f>
        <v/>
      </c>
      <c r="OK32" s="11">
        <f t="shared" ref="OK32" si="45">IF(SUM(OH32,OJ32)&gt;0,SUM(OH32,OJ32),"")</f>
        <v>33.03</v>
      </c>
    </row>
    <row r="33" spans="1:401" x14ac:dyDescent="0.2">
      <c r="A33" s="5" t="str" cm="1">
        <f t="array" ref="A33">IF(AND(F33="P",G33="P"),SUMPRODUCT((F$4:F$37="P")*(G$4:G$37="P")*(E$4:E$37&gt;E33))+1,IF(G33="P",SUMPRODUCT((F$4:F$37="")*(G$4:G$37="P")*(E$4:E$37&gt;E33))+1+SUMPRODUCT((F$4:F$37="P")*(G$4:G$37="P")),""))</f>
        <v/>
      </c>
      <c r="B33" s="6" t="s">
        <v>121</v>
      </c>
      <c r="C33" s="7" t="s">
        <v>6</v>
      </c>
      <c r="D33" s="21">
        <v>2004</v>
      </c>
      <c r="E33" s="15">
        <f>SUM(I33:M33)+I33*0.0000001</f>
        <v>10.650001065</v>
      </c>
      <c r="F33" s="3" t="str">
        <f>IF(OR(AND(AL33&gt;=AS$39,AM33&gt;=AS$43,AL33&lt;&gt;"",AJ33=""),AND(AN33&gt;=AS$39,AO33&gt;=AS$43,AN33&lt;&gt;"",AN33=""),AND(AQ33&gt;=AS$39,AR33&gt;=AS$43,AQ33&lt;&gt;"",AJ33=""),AND(BP33&gt;=BW$39,BQ33&gt;=BW$43,BP33&lt;&gt;"",BN33=""),AND(BR33&gt;=BW$39,BS33&gt;=BW$43,BR33&lt;&gt;"",BN33=""),AND(BU33&gt;=BW$39,BV33&gt;=BW$43,BU33&lt;&gt;"",BN33=""),AND(CT33&gt;=DA$39,CU33&gt;=DA$43,CT33&lt;&gt;"",CR33=""),AND(CV33&gt;=DA$39,CW33&gt;=DA$43,CV33&lt;&gt;"",CR33=""),AND(CY33&gt;=DA$39,CZ33&gt;=DA$43,CY33&lt;&gt;"",CR33=""),AND(DS33&gt;=DY$39,DU33&gt;=DY$43,DS33&lt;&gt;""),AND(DW33&gt;=DY$39,DX33&gt;=DY$43,DW33&lt;&gt;""),AND(EO33&gt;=EU$39,EQ33&gt;=EU$43,EO33&lt;&gt;""),AND(ES33&gt;=EU$39,ET33&gt;=EU$43,ES33&lt;&gt;""),AND(FK33&gt;=FQ$39,FM33&gt;=FQ$43,FK33&lt;&gt;""),AND(FO33&gt;=FQ$39,FP33&gt;=FQ$43,FO33&lt;&gt;""),AND(GG33&gt;=GM$39,GI33&gt;=GM$43,GG33&lt;&gt;""),AND(GK33&gt;=GM$39,GL33&gt;=GM$43,GK33&lt;&gt;""),AND(HC33&gt;=HI$39,HE33&gt;=HI$43,HC33&lt;&gt;""),AND(HG33&gt;=HI$39,HH33&gt;=HI$43,HG33&lt;&gt;""),AND(HY33&gt;=IE$39,IA33&gt;=IE$43,HY33&lt;&gt;""),AND(IC33&gt;=IE$39,ID33&gt;=IE$43,IC33&lt;&gt;""),AND(IU33&gt;=JA$39,IW33&gt;=JA$43,IU33&lt;&gt;""),AND(IY33&gt;=JA$39,IZ33&gt;=JA$43,IY33&lt;&gt;""),AND(JQ33&gt;=JW$39,JS33&gt;=JW$43,JQ33&lt;&gt;""),AND(JU33&gt;=JW$39,JV33&gt;=JW$43,JU33&lt;&gt;""),AND(KM33&gt;=KS$39,KO33&gt;=KS$43,KM33&lt;&gt;""),AND(KQ33&gt;=KS$39,KR33&gt;=KS$43,KQ33&lt;&gt;""),AND(LI33&gt;=LO$39,LK33&gt;=LO$43,LI33&lt;&gt;""),AND(LM33&gt;=LO$39,LN33&gt;=LO$43,LM33&lt;&gt;""),AND(ME33&gt;=MK$39,MG33&gt;=MK$43,ME33&lt;&gt;""),AND(MI33&gt;=MK$39,MJ33&gt;=MK$43,MI33&lt;&gt;""),AND(NA33&gt;=NG$39,NC33&gt;=NG$43,NA33&lt;&gt;""),AND(NE33&gt;=NG$39,NF33&gt;=NG$43,NE33&lt;&gt;"")),"P","")</f>
        <v/>
      </c>
      <c r="G33" s="3" t="str">
        <f>IF(OR(AND(AM33&gt;=AS$43,AL33&lt;&gt;"",AJ33=""),AND(AO33&gt;=AS$43,AN33&lt;&gt;"",AN33=""),AND(AR33&gt;=AS$43,AQ33&lt;&gt;"",AJ33=""),AND(BQ33&gt;=BW$43,BP33&lt;&gt;"",BN33=""),AND(BS33&gt;=BW$43,BR33&lt;&gt;"",BN33=""),AND(BV33&gt;=BW$43,BU33&lt;&gt;"",BN33=""),AND(CU33&gt;=DA$43,CT33&lt;&gt;"",CR33=""),AND(CW33&gt;=DA$43,CV33&lt;&gt;"",CR33=""),AND(CZ33&gt;=DA$43,CY33&lt;&gt;"",CR33=""),AND(DU33&gt;=DY$43,DS33&lt;&gt;""),AND(DX33&gt;=DY$43,DW33&lt;&gt;""),AND(EQ33&gt;=EU$43,EO33&lt;&gt;""),AND(ET33&gt;=EU$43,ES33&lt;&gt;""),AND(FM33&gt;=FQ$43,FK33&lt;&gt;""),AND(FP33&gt;=FQ$43,FO33&lt;&gt;""),AND(GI33&gt;=GM$43,GG33&lt;&gt;""),AND(GL33&gt;=GM$43,GK33&lt;&gt;""),AND(HE33&gt;=HI$43,HC33&lt;&gt;""),AND(HH33&gt;=HI$43,HG33&lt;&gt;""),AND(IA33&gt;=IE$43,HY33&lt;&gt;""),AND(ID33&gt;=IE$43,IC33&lt;&gt;""),AND(IW33&gt;=JA$43,IU33&lt;&gt;""),AND(IZ33&gt;=JA$43,IY33&lt;&gt;""),AND(JS33&gt;=JW$43,JQ33&lt;&gt;""),AND(JV33&gt;=JW$43,JU33&lt;&gt;""),AND(KO33&gt;=KS$43,KM33&lt;&gt;""),AND(KR33&gt;=KS$43,KQ33&lt;&gt;""),AND(LK33&gt;=LO$43,LI33&lt;&gt;""),AND(LN33&gt;=LO$43,LM33&lt;&gt;""),AND(MG33&gt;=MK$43,ME33&lt;&gt;""),AND(MJ33&gt;=MK$43,MI33&lt;&gt;""),AND(NC33&gt;=NG$43,NA33&lt;&gt;""),AND(NF33&gt;=NG$43,NE33&lt;&gt;"")),"P","")</f>
        <v/>
      </c>
      <c r="H33" s="66" t="str">
        <f>IF(F33="P","National Team",IF(G33="P","No DD",""))</f>
        <v/>
      </c>
      <c r="I33" s="14">
        <f>MAX(AM33,AO33,AR33,BQ33,BS33,BV33,CU33,CW33,CZ33)</f>
        <v>10.65</v>
      </c>
      <c r="J33" s="14" t="str">
        <f>IF(I33=0,"",IF(OR(I33=CW33,I33=CU33,I33=CZ33),$BX$1,IF(OR(I33=BS33,I33=BQ33,I33=BV33),$AT$1,IF(OR(I33=AO33,I33=AM33,I33=AR33),$P$1,""))))</f>
        <v>2022 Elite Canada</v>
      </c>
      <c r="K33" s="14">
        <f>IF(COUNT(AM33,AO33,AR33,BQ33,BS33,BV33,CU33,CW33,CZ33)&gt;1,LARGE((AM33,AO33,AR33,BQ33,BS33,BV33,CU33,CW33,CZ33),2),0)</f>
        <v>0</v>
      </c>
      <c r="L33" s="14" t="str">
        <f>IF(K33=0,"",IF(OR(K33=CW33,K33=CU33,K33=CZ33),$BX$1,IF(OR(K33=BS33,K33=BQ33,K33=BV33),$AT$1,IF(OR(K33=AO33,K33=AM33,K33=AR33),$P$1,""))))</f>
        <v/>
      </c>
      <c r="M33" s="14" t="str">
        <f>IF(MAX(DB33,DC33)&gt;0,MAX(DB33,DC33),"")</f>
        <v/>
      </c>
      <c r="N33" s="19" t="str">
        <f>IF(M33="","",IF(M33=DB33,"(Prelim)",IF(M33=DC33,"(Final)")))</f>
        <v/>
      </c>
      <c r="O33" s="14" t="str">
        <f>IF(M33="","",IF(M33=DB33,IF(M33+IF(K33="",0,K33)=NC33,$ML$1,IF(M33+IF(K33="",0,K33)=MG33,$LP$1,IF(M33+IF(K33="",0,K33)=LK33,$KT$1,IF(M33+IF(K33="",0,K33)=KO33,$JX$1,IF(M33+IF(K33="",0,K33)=JS33,$JB$1,IF(M33+IF(K33="",0,K33)=IW33,$IF$1,IF(M33+IF(K33="",0,K33)=IA33,$HJ$1,IF(M33+IF(K33="",0,K33)=HE33,$GN$1,IF(M33+IF(K33="",0,K33)=GI33,$FR$1,IF(M33+IF(K33="",0,K33)=FM33,$EV$1,IF(M33+IF(K33="",0,K33)=EQ33,$DZ$1,IF(M33+IF(K33="",0,K33)=DU33,$DD$1,IF(M33+IF(K33="",0,K33)=NB33,$ML$1,IF(M33+IF(K33="",0,K33)=MF33,$LP$1,IF(M33+IF(K33="",0,K33)=LJ33,$KT$1,IF(M33+IF(K33="",0,K33)=KN33,$JX$1,IF(M33+IF(K33="",0,K33)=JR33,$JB$1,IF(M33+IF(K33="",0,K33)=IV33,$IF$1,IF(M33+IF(K33="",0,K33)=HZ33,$HJ$1,IF(M33+IF(K33="",0,K33)=HD33,$GN$1,IF(M33+IF(K33="",0,K33)=GH33,$FR$1,IF(M33+IF(K33="",0,K33)=FL33,$EV$1,IF(M33+IF(K33="",0,K33)=EP33,$DZ$1,IF(M33+IF(K33="",0,K33)=DT33,$DD$1)))))))))))))))))))))))),IF(M33=DC33,IF(M33+IF(K33="",0,K33)=NF33,$ML$1,IF(M33+IF(K33="",0,K33)=MJ33,$LP$1,IF(M33+IF(K33="",0,K33)=LN33,$KT$1,IF(M33+IF(K33="",0,K33)=KR33,$JX$1,IF(M33+IF(K33="",0,K33)=JV33,$JB$1,IF(M33+IF(K33="",0,K33)=IZ33,$IF$1,IF(M33+IF(K33="",0,K33)=ID33,$HJ$1,IF(M33+IF(K33="",0,K33)=HH33,$GN$1,IF(M33+IF(K33="",0,K33)=GL33,$FR$1,IF(M33+IF(K33="",0,K33)=FP33,$EV$1,IF(M33+IF(K33="",0,K33)=ET33,$DZ$1,IF(M33+IF(K33="",0,K33)=DX33,$DD$1)))))))))))))))</f>
        <v/>
      </c>
      <c r="P33" s="37">
        <v>16.899999999999999</v>
      </c>
      <c r="Q33" s="37">
        <v>9.3000000000000007</v>
      </c>
      <c r="R33" s="37">
        <v>2</v>
      </c>
      <c r="S33" s="37">
        <v>15.69</v>
      </c>
      <c r="T33" s="37">
        <v>0</v>
      </c>
      <c r="U33" s="37">
        <v>3</v>
      </c>
      <c r="V33" s="37">
        <v>1.9</v>
      </c>
      <c r="W33" s="37">
        <v>2.5</v>
      </c>
      <c r="X33" s="37">
        <v>3.25</v>
      </c>
      <c r="Y33" s="37">
        <v>0</v>
      </c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44"/>
      <c r="AK33" s="11">
        <f>IF(SUM(P33:S33)-T33&gt;0,SUM(P33:S33)-T33,"")</f>
        <v>43.89</v>
      </c>
      <c r="AL33" s="11">
        <f>IF(W33&gt;0,W33,"")</f>
        <v>2.5</v>
      </c>
      <c r="AM33" s="11">
        <f>IF(SUM(U33:X33)-Y33&gt;0,SUM(U33:X33)-Y33,"")</f>
        <v>10.65</v>
      </c>
      <c r="AN33" s="11" t="str">
        <f>IF(AB33&gt;0,AB33,"")</f>
        <v/>
      </c>
      <c r="AO33" s="11" t="str">
        <f>IF(SUM(Z33:AC33)-AD33&gt;0,SUM(Z33:AC33)-AD33,"")</f>
        <v/>
      </c>
      <c r="AP33" s="11">
        <f>IF(AK33="",IF(MAX(AM33,AO33)&gt;0,MAX(AM33,AO33),""),MAX(AM33,AO33)+AK33)</f>
        <v>54.54</v>
      </c>
      <c r="AQ33" s="11" t="str">
        <f>IF(AG33&gt;0,AG33,"")</f>
        <v/>
      </c>
      <c r="AR33" s="11" t="str">
        <f>IF(SUM(AE33:AH33)-AI33&gt;0,SUM(AE33:AH33)-AI33,"")</f>
        <v/>
      </c>
      <c r="AS33" s="11">
        <f>IF(SUM(AP33,AR33)&gt;0,SUM(AP33,AR33),"")</f>
        <v>54.54</v>
      </c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5"/>
      <c r="BO33" s="14" t="str">
        <f>IF(SUM(AT33:AW33)-AX33&gt;0,SUM(AT33:AW33)-AX33,"")</f>
        <v/>
      </c>
      <c r="BP33" s="14" t="str">
        <f>IF(BA33&gt;0,BA33,"")</f>
        <v/>
      </c>
      <c r="BQ33" s="14" t="str">
        <f>IF(SUM(AY33:BB33)-BC33&gt;0,SUM(AY33:BB33)-BC33,"")</f>
        <v/>
      </c>
      <c r="BR33" s="14" t="str">
        <f>IF(BF33&gt;0,BF33,"")</f>
        <v/>
      </c>
      <c r="BS33" s="14" t="str">
        <f>IF(SUM(BD33:BG33)-BH33&gt;0,SUM(BD33:BG33)-BH33,"")</f>
        <v/>
      </c>
      <c r="BT33" s="14" t="str">
        <f>IF(BO33="",IF(MAX(BQ33,BS33)&gt;0,MAX(BQ33,BS33),""),MAX(BQ33,BS33)+BO33)</f>
        <v/>
      </c>
      <c r="BU33" s="14" t="str">
        <f>IF(BK33&gt;0,BK33,"")</f>
        <v/>
      </c>
      <c r="BV33" s="14" t="str">
        <f>IF(SUM(BI33:BL33)-BM33&gt;0,SUM(BI33:BL33)-BM33,"")</f>
        <v/>
      </c>
      <c r="BW33" s="14" t="str">
        <f>IF(SUM(BT33,BV33)&gt;0,SUM(BT33,BV33),"")</f>
        <v/>
      </c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44"/>
      <c r="CS33" s="11" t="str">
        <f>IF(SUM(BX33:CA33)-CB33&gt;0,SUM(BX33:CA33)-CB33,"")</f>
        <v/>
      </c>
      <c r="CT33" s="11" t="str">
        <f>IF(CE33&gt;0,CE33,"")</f>
        <v/>
      </c>
      <c r="CU33" s="11" t="str">
        <f>IF(SUM(CC33:CF33)-CG33&gt;0,SUM(CC33:CF33)-CG33,"")</f>
        <v/>
      </c>
      <c r="CV33" s="11" t="str">
        <f>IF(CJ33&gt;0,CJ33,"")</f>
        <v/>
      </c>
      <c r="CW33" s="11" t="str">
        <f>IF(SUM(CH33:CK33)-CL33&gt;0,SUM(CH33:CK33)-CL33,"")</f>
        <v/>
      </c>
      <c r="CX33" s="11" t="str">
        <f>IF(CS33="",IF(MAX(CU33,CW33)&gt;0,MAX(CU33,CW33),""),MAX(CU33,CW33)+CS33)</f>
        <v/>
      </c>
      <c r="CY33" s="11" t="str">
        <f>IF(CO33&gt;0,CO33,"")</f>
        <v/>
      </c>
      <c r="CZ33" s="11" t="str">
        <f>IF(SUM(CM33:CP33)-CQ33&gt;0,SUM(CM33:CP33)-CQ33,"")</f>
        <v/>
      </c>
      <c r="DA33" s="11" t="str">
        <f>IF(SUM(CX33,CZ33)&gt;0,SUM(CX33,CZ33),"")</f>
        <v/>
      </c>
      <c r="DB33" s="18" t="str">
        <f>IF(K33&gt;=0.001,IF(MAX(DT33,DU33,EP33,EQ33,FL33,FM33,GH33,GI33,HD33,HE33,HZ33,IA33,IV33,IW33,JR33,JS33,KN33,KO33,LJ33,LK33,MF33,MG33,NB33,NC33)-IF(K33="",0,K33)&gt;0.001,MAX(DT33,DU33,EP33,EQ33,FL33,FM33,GH33,GI33,HD33,HE33,HZ33,IA33,IV33,IW33,JR33,JS33,KN33,KO33,LJ33,LK33,MF33,MG33,NB33,NC33)-IF(K33="",0,K33),""),"")</f>
        <v/>
      </c>
      <c r="DC33" s="18" t="str">
        <f>IF(K33&gt;=0.001,IF(MAX(DX33,ET33,FP33,GL33,HH33,ID33,IZ33,JV33,KR33,LN33,MJ33,NF33)-IF(K33="",0,K33)&gt;0.001,MAX(DX33,ET33,FP33,GL33,HH33,ID33,IZ33,JV33,KR33,LN33,MJ33,NF33)-IF(K33="",0,K33),""),"")</f>
        <v/>
      </c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11" t="str">
        <f>IF(DK33&gt;0,DK33,"")</f>
        <v/>
      </c>
      <c r="DT33" s="11" t="str">
        <f>IF(SUM(DD33:DG33)-DH33&gt;0,SUM(DD33:DG33)-DH33,"")</f>
        <v/>
      </c>
      <c r="DU33" s="11" t="str">
        <f>IF(SUM(DI33:DL33)-DM33&gt;0,SUM(DI33:DL33)-DM33,"")</f>
        <v/>
      </c>
      <c r="DV33" s="11" t="str">
        <f>IF(SUM(DT33:DU33)&gt;0,SUM(DT33:DU33),"")</f>
        <v/>
      </c>
      <c r="DW33" s="11" t="str">
        <f>IF(DP33&gt;0,DP33,"")</f>
        <v/>
      </c>
      <c r="DX33" s="11" t="str">
        <f>IF(SUM(DN33:DQ33)-DR33&gt;0,SUM(DN33:DQ33)-DR33,"")</f>
        <v/>
      </c>
      <c r="DY33" s="11" t="str">
        <f>IF(SUM(DV33,DX33)&gt;0,SUM(DV33,DX33),"")</f>
        <v/>
      </c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14" t="str">
        <f>IF(EG33&gt;0,EG33,"")</f>
        <v/>
      </c>
      <c r="EP33" s="14" t="str">
        <f>IF(SUM(DZ33:EC33)-ED33&gt;0,SUM(DZ33:EC33)-ED33,"")</f>
        <v/>
      </c>
      <c r="EQ33" s="14" t="str">
        <f>IF(SUM(EE33:EH33)-EI33&gt;0,SUM(EE33:EH33)-EI33,"")</f>
        <v/>
      </c>
      <c r="ER33" s="14" t="str">
        <f>IF(SUM(EP33:EQ33)&gt;0,SUM(EP33:EQ33),"")</f>
        <v/>
      </c>
      <c r="ES33" s="14" t="str">
        <f>IF(EL33&gt;0,EL33,"")</f>
        <v/>
      </c>
      <c r="ET33" s="14" t="str">
        <f>IF(SUM(EJ33:EM33)-EN33&gt;0,SUM(EJ33:EM33)-EN33,"")</f>
        <v/>
      </c>
      <c r="EU33" s="14" t="str">
        <f>IF(SUM(ER33,ET33)&gt;0,SUM(ER33,ET33),"")</f>
        <v/>
      </c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11" t="str">
        <f>IF(FC33&gt;0,FC33,"")</f>
        <v/>
      </c>
      <c r="FL33" s="11" t="str">
        <f>IF(SUM(EV33:EY33)-EZ33&gt;0,SUM(EV33:EY33)-EZ33,"")</f>
        <v/>
      </c>
      <c r="FM33" s="11" t="str">
        <f>IF(SUM(FA33:FD33)-FE33&gt;0,SUM(FA33:FD33)-FE33,"")</f>
        <v/>
      </c>
      <c r="FN33" s="11" t="str">
        <f>IF(SUM(FL33:FM33)&gt;0,SUM(FL33:FM33),"")</f>
        <v/>
      </c>
      <c r="FO33" s="11" t="str">
        <f>IF(FH33&gt;0,FH33,"")</f>
        <v/>
      </c>
      <c r="FP33" s="11" t="str">
        <f>IF(SUM(FF33:FI33)-FJ33&gt;0,SUM(FF33:FI33)-FJ33,"")</f>
        <v/>
      </c>
      <c r="FQ33" s="11" t="str">
        <f>IF(SUM(FN33,FP33)&gt;0,SUM(FN33,FP33),"")</f>
        <v/>
      </c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14" t="str">
        <f>IF(FY33&gt;0,FY33,"")</f>
        <v/>
      </c>
      <c r="GH33" s="14" t="str">
        <f>IF(SUM(FR33:FU33)-FV33&gt;0,SUM(FR33:FU33)-FV33,"")</f>
        <v/>
      </c>
      <c r="GI33" s="14" t="str">
        <f>IF(SUM(FW33:FZ33)-GA33&gt;0,SUM(FW33:FZ33)-GA33,"")</f>
        <v/>
      </c>
      <c r="GJ33" s="14" t="str">
        <f>IF(SUM(GH33:GI33)&gt;0,SUM(GH33:GI33),"")</f>
        <v/>
      </c>
      <c r="GK33" s="14" t="str">
        <f>IF(GD33&gt;0,GD33,"")</f>
        <v/>
      </c>
      <c r="GL33" s="14" t="str">
        <f>IF(SUM(GB33:GE33)-GF33&gt;0,SUM(GB33:GE33)-GF33,"")</f>
        <v/>
      </c>
      <c r="GM33" s="14" t="str">
        <f>IF(SUM(GJ33,GL33)&gt;0,SUM(GJ33,GL33),"")</f>
        <v/>
      </c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11" t="str">
        <f>IF(GU33&gt;0,GU33,"")</f>
        <v/>
      </c>
      <c r="HD33" s="11" t="str">
        <f>IF(SUM(GN33:GQ33)-GR33&gt;0,SUM(GN33:GQ33)-GR33,"")</f>
        <v/>
      </c>
      <c r="HE33" s="11" t="str">
        <f>IF(SUM(GS33:GV33)-GW33&gt;0,SUM(GS33:GV33)-GW33,"")</f>
        <v/>
      </c>
      <c r="HF33" s="11" t="str">
        <f>IF(SUM(HD33:HE33)&gt;0,SUM(HD33:HE33),"")</f>
        <v/>
      </c>
      <c r="HG33" s="11" t="str">
        <f>IF(GZ33&gt;0,GZ33,"")</f>
        <v/>
      </c>
      <c r="HH33" s="11" t="str">
        <f>IF(SUM(GX33:HA33)-HB33&gt;0,SUM(GX33:HA33)-HB33,"")</f>
        <v/>
      </c>
      <c r="HI33" s="11" t="str">
        <f>IF(SUM(HF33,HH33)&gt;0,SUM(HF33,HH33),"")</f>
        <v/>
      </c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14" t="str">
        <f>IF(HQ33&gt;0,HQ33,"")</f>
        <v/>
      </c>
      <c r="HZ33" s="14" t="str">
        <f>IF(SUM(HJ33:HM33)-HN33&gt;0,SUM(HJ33:HM33)-HN33,"")</f>
        <v/>
      </c>
      <c r="IA33" s="14" t="str">
        <f>IF(SUM(HO33:HR33)-HS33&gt;0,SUM(HO33:HR33)-HS33,"")</f>
        <v/>
      </c>
      <c r="IB33" s="14" t="str">
        <f>IF(SUM(HZ33:IA33)&gt;0,SUM(HZ33:IA33),"")</f>
        <v/>
      </c>
      <c r="IC33" s="14" t="str">
        <f>IF(HV33&gt;0,HV33,"")</f>
        <v/>
      </c>
      <c r="ID33" s="14" t="str">
        <f>IF(SUM(HT33:HW33)-HX33&gt;0,SUM(HT33:HW33)-HX33,"")</f>
        <v/>
      </c>
      <c r="IE33" s="14" t="str">
        <f>IF(SUM(IB33,ID33)&gt;0,SUM(IB33,ID33),"")</f>
        <v/>
      </c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11" t="str">
        <f>IF(IM33&gt;0,IM33,"")</f>
        <v/>
      </c>
      <c r="IV33" s="11" t="str">
        <f>IF(SUM(IF33:II33)-IJ33&gt;0,SUM(IF33:II33)-IJ33,"")</f>
        <v/>
      </c>
      <c r="IW33" s="11" t="str">
        <f>IF(SUM(IK33:IN33)-IO33&gt;0,SUM(IK33:IN33)-IO33,"")</f>
        <v/>
      </c>
      <c r="IX33" s="11" t="str">
        <f>IF(SUM(IV33:IW33)&gt;0,SUM(IV33:IW33),"")</f>
        <v/>
      </c>
      <c r="IY33" s="11" t="str">
        <f>IF(IR33&gt;0,IR33,"")</f>
        <v/>
      </c>
      <c r="IZ33" s="11" t="str">
        <f>IF(SUM(IP33:IS33)-IT33&gt;0,SUM(IP33:IS33)-IT33,"")</f>
        <v/>
      </c>
      <c r="JA33" s="11" t="str">
        <f>IF(SUM(IX33,IZ33)&gt;0,SUM(IX33,IZ33),"")</f>
        <v/>
      </c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14" t="str">
        <f>IF(JI33&gt;0,JI33,"")</f>
        <v/>
      </c>
      <c r="JR33" s="14" t="str">
        <f>IF(SUM(JB33:JE33)-JF33&gt;0,SUM(JB33:JE33)-JF33,"")</f>
        <v/>
      </c>
      <c r="JS33" s="14" t="str">
        <f>IF(SUM(JG33:JJ33)-JK33&gt;0,SUM(JG33:JJ33)-JK33,"")</f>
        <v/>
      </c>
      <c r="JT33" s="14" t="str">
        <f>IF(SUM(JR33:JS33)&gt;0,SUM(JR33:JS33),"")</f>
        <v/>
      </c>
      <c r="JU33" s="14" t="str">
        <f>IF(JN33&gt;0,JN33,"")</f>
        <v/>
      </c>
      <c r="JV33" s="14" t="str">
        <f>IF(SUM(JL33:JO33)-JP33&gt;0,SUM(JL33:JO33)-JP33,"")</f>
        <v/>
      </c>
      <c r="JW33" s="14" t="str">
        <f>IF(SUM(JT33,JV33)&gt;0,SUM(JT33,JV33),"")</f>
        <v/>
      </c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11" t="str">
        <f>IF(KE33&gt;0,KE33,"")</f>
        <v/>
      </c>
      <c r="KN33" s="11" t="str">
        <f>IF(SUM(JX33:KA33)-KB33&gt;0,SUM(JX33:KA33)-KB33,"")</f>
        <v/>
      </c>
      <c r="KO33" s="11" t="str">
        <f>IF(SUM(KC33:KF33)-KG33&gt;0,SUM(KC33:KF33)-KG33,"")</f>
        <v/>
      </c>
      <c r="KP33" s="11" t="str">
        <f>IF(SUM(KN33:KO33)&gt;0,SUM(KN33:KO33),"")</f>
        <v/>
      </c>
      <c r="KQ33" s="11" t="str">
        <f>IF(KJ33&gt;0,KJ33,"")</f>
        <v/>
      </c>
      <c r="KR33" s="11" t="str">
        <f>IF(SUM(KH33:KK33)-KL33&gt;0,SUM(KH33:KK33)-KL33,"")</f>
        <v/>
      </c>
      <c r="KS33" s="11" t="str">
        <f>IF(SUM(KP33,KR33)&gt;0,SUM(KP33,KR33),"")</f>
        <v/>
      </c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14" t="str">
        <f>IF(LA33&gt;0,LA33,"")</f>
        <v/>
      </c>
      <c r="LJ33" s="14" t="str">
        <f>IF(SUM(KT33:KW33)-KX33&gt;0,SUM(KT33:KW33)-KX33,"")</f>
        <v/>
      </c>
      <c r="LK33" s="14" t="str">
        <f>IF(SUM(KY33:LB33)-LC33&gt;0,SUM(KY33:LB33)-LC33,"")</f>
        <v/>
      </c>
      <c r="LL33" s="14" t="str">
        <f>IF(SUM(LJ33:LK33)&gt;0,SUM(LJ33:LK33),"")</f>
        <v/>
      </c>
      <c r="LM33" s="14" t="str">
        <f>IF(LF33&gt;0,LF33,"")</f>
        <v/>
      </c>
      <c r="LN33" s="14" t="str">
        <f>IF(SUM(LD33:LG33)-LH33&gt;0,SUM(LD33:LG33)-LH33,"")</f>
        <v/>
      </c>
      <c r="LO33" s="14" t="str">
        <f>IF(SUM(LL33,LN33)&gt;0,SUM(LL33,LN33),"")</f>
        <v/>
      </c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11" t="str">
        <f>IF(LW33&gt;0,LW33,"")</f>
        <v/>
      </c>
      <c r="MF33" s="11" t="str">
        <f>IF(SUM(LP33:LS33)-LT33&gt;0,SUM(LP33:LS33)-LT33,"")</f>
        <v/>
      </c>
      <c r="MG33" s="11" t="str">
        <f>IF(SUM(LU33:LX33)-LY33&gt;0,SUM(LU33:LX33)-LY33,"")</f>
        <v/>
      </c>
      <c r="MH33" s="11" t="str">
        <f>IF(SUM(MF33:MG33)&gt;0,SUM(MF33:MG33),"")</f>
        <v/>
      </c>
      <c r="MI33" s="11" t="str">
        <f>IF(MB33&gt;0,MB33,"")</f>
        <v/>
      </c>
      <c r="MJ33" s="11" t="str">
        <f>IF(SUM(LZ33:MC33)-MD33&gt;0,SUM(LZ33:MC33)-MD33,"")</f>
        <v/>
      </c>
      <c r="MK33" s="11" t="str">
        <f>IF(SUM(MH33,MJ33)&gt;0,SUM(MH33,MJ33),"")</f>
        <v/>
      </c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14" t="str">
        <f>IF(MS33&gt;0,MS33,"")</f>
        <v/>
      </c>
      <c r="NB33" s="14" t="str">
        <f>IF(SUM(ML33:MO33)-MP33&gt;0,SUM(ML33:MO33)-MP33,"")</f>
        <v/>
      </c>
      <c r="NC33" s="14" t="str">
        <f>IF(SUM(MQ33:MT33)-MU33&gt;0,SUM(MQ33:MT33)-MU33,"")</f>
        <v/>
      </c>
      <c r="ND33" s="14" t="str">
        <f>IF(SUM(NB33:NC33)&gt;0,SUM(NB33:NC33),"")</f>
        <v/>
      </c>
      <c r="NE33" s="14" t="str">
        <f>IF(MX33&gt;0,MX33,"")</f>
        <v/>
      </c>
      <c r="NF33" s="14" t="str">
        <f>IF(SUM(MV33:MY33)-MZ33&gt;0,SUM(MV33:MY33)-MZ33,"")</f>
        <v/>
      </c>
      <c r="NG33" s="14" t="str">
        <f>IF(SUM(ND33,NF33)&gt;0,SUM(ND33,NF33),"")</f>
        <v/>
      </c>
      <c r="NH33" s="37">
        <f>IF($CR33="P",BX33,(BX33+AT33)/2)</f>
        <v>0</v>
      </c>
      <c r="NI33" s="37">
        <f>IF($CR33="P",BY33,(BY33+AU33)/2)</f>
        <v>0</v>
      </c>
      <c r="NJ33" s="37">
        <f>IF($CR33="P",BZ33,(BZ33+AV33)/2)</f>
        <v>0</v>
      </c>
      <c r="NK33" s="37">
        <f>IF($CR33="P",CA33,(CA33+AW33)/2)</f>
        <v>0</v>
      </c>
      <c r="NL33" s="37">
        <f>IF($CR33="P",CB33,(CB33+AX33)/2)</f>
        <v>0</v>
      </c>
      <c r="NM33" s="37">
        <f>IF($CR33="P",CC33,(CC33+AY33)/2)</f>
        <v>0</v>
      </c>
      <c r="NN33" s="37">
        <f>IF($CR33="P",CD33,(CD33+AZ33)/2)</f>
        <v>0</v>
      </c>
      <c r="NO33" s="37">
        <f>IF($CR33="P",CE33,(CE33+BA33)/2)</f>
        <v>0</v>
      </c>
      <c r="NP33" s="37">
        <f>IF($CR33="P",CF33,(CF33+BB33)/2)</f>
        <v>0</v>
      </c>
      <c r="NQ33" s="37">
        <f>IF($CR33="P",CG33,(CG33+BC33)/2)</f>
        <v>0</v>
      </c>
      <c r="NR33" s="37">
        <f>IF($CR33="P",CH33,(CH33+BD33)/2)</f>
        <v>0</v>
      </c>
      <c r="NS33" s="37">
        <f>IF($CR33="P",CI33,(CI33+BE33)/2)</f>
        <v>0</v>
      </c>
      <c r="NT33" s="37">
        <f>IF($CR33="P",CJ33,(CJ33+BF33)/2)</f>
        <v>0</v>
      </c>
      <c r="NU33" s="37">
        <f>IF($CR33="P",CK33,(CK33+BG33)/2)</f>
        <v>0</v>
      </c>
      <c r="NV33" s="37">
        <f>IF($CR33="P",CL33,(CL33+BH33)/2)</f>
        <v>0</v>
      </c>
      <c r="NW33" s="37">
        <f>IF($CR33="P",CM33,(CM33+BI33)/2)</f>
        <v>0</v>
      </c>
      <c r="NX33" s="37">
        <f>IF($CR33="P",CN33,(CN33+BJ33)/2)</f>
        <v>0</v>
      </c>
      <c r="NY33" s="37">
        <f>IF($CR33="P",CO33,(CO33+BK33)/2)</f>
        <v>0</v>
      </c>
      <c r="NZ33" s="37">
        <f>IF($CR33="P",CP33,(CP33+BL33)/2)</f>
        <v>0</v>
      </c>
      <c r="OA33" s="37">
        <f>IF($CR33="P",CQ33,(CQ33+BM33)/2)</f>
        <v>0</v>
      </c>
      <c r="OB33" s="44" t="s">
        <v>46</v>
      </c>
      <c r="OC33" s="11" t="str">
        <f>IF(SUM(NH33:NK33)-NL33&gt;0,SUM(NH33:NK33)-NL33,"")</f>
        <v/>
      </c>
      <c r="OD33" s="11" t="str">
        <f>IF(NO33&gt;0,NO33,"")</f>
        <v/>
      </c>
      <c r="OE33" s="11" t="str">
        <f>IF(SUM(NM33:NP33)-NQ33&gt;0,SUM(NM33:NP33)-NQ33,"")</f>
        <v/>
      </c>
      <c r="OF33" s="11" t="str">
        <f>IF(NT33&gt;0,NT33,"")</f>
        <v/>
      </c>
      <c r="OG33" s="11" t="str">
        <f>IF(SUM(NR33:NU33)-NV33&gt;0,SUM(NR33:NU33)-NV33,"")</f>
        <v/>
      </c>
      <c r="OH33" s="11" t="str">
        <f>IF(OR(OC33&lt;&gt;"",OE33&lt;&gt;"",OG33&lt;&gt;""),OC33+MAX(OE33,OG33),"")</f>
        <v/>
      </c>
      <c r="OI33" s="11" t="str">
        <f>IF(NY33&gt;0,NY33,"")</f>
        <v/>
      </c>
      <c r="OJ33" s="11" t="str">
        <f t="shared" ref="OJ33" si="46">IF(SUM(NW33:NZ33)-OA33&gt;0,SUM(NW33:NZ33)-OA33,"")</f>
        <v/>
      </c>
      <c r="OK33" s="11" t="str">
        <f t="shared" ref="OK33" si="47">IF(SUM(OH33,OJ33)&gt;0,SUM(OH33,OJ33),"")</f>
        <v/>
      </c>
    </row>
    <row r="34" spans="1:401" x14ac:dyDescent="0.2">
      <c r="A34" s="5" t="str" cm="1">
        <f t="array" ref="A34">IF(AND(F34="P",G34="P"),SUMPRODUCT((F$4:F$37="P")*(G$4:G$37="P")*(E$4:E$37&gt;E34))+1,IF(G34="P",SUMPRODUCT((F$4:F$37="")*(G$4:G$37="P")*(E$4:E$37&gt;E34))+1+SUMPRODUCT((F$4:F$37="P")*(G$4:G$37="P")),""))</f>
        <v/>
      </c>
      <c r="B34" s="6" t="s">
        <v>78</v>
      </c>
      <c r="C34" s="7" t="s">
        <v>4</v>
      </c>
      <c r="D34" s="21">
        <v>2002</v>
      </c>
      <c r="E34" s="15">
        <f>SUM(I34:M34)+I34*0.0000001</f>
        <v>5.6900005689999995</v>
      </c>
      <c r="F34" s="3" t="str">
        <f>IF(OR(AND(AL34&gt;=AS$39,AM34&gt;=AS$43,AL34&lt;&gt;"",AJ34=""),AND(AN34&gt;=AS$39,AO34&gt;=AS$43,AN34&lt;&gt;"",AN34=""),AND(AQ34&gt;=AS$39,AR34&gt;=AS$43,AQ34&lt;&gt;"",AJ34=""),AND(BP34&gt;=BW$39,BQ34&gt;=BW$43,BP34&lt;&gt;"",BN34=""),AND(BR34&gt;=BW$39,BS34&gt;=BW$43,BR34&lt;&gt;"",BN34=""),AND(BU34&gt;=BW$39,BV34&gt;=BW$43,BU34&lt;&gt;"",BN34=""),AND(CT34&gt;=DA$39,CU34&gt;=DA$43,CT34&lt;&gt;"",CR34=""),AND(CV34&gt;=DA$39,CW34&gt;=DA$43,CV34&lt;&gt;"",CR34=""),AND(CY34&gt;=DA$39,CZ34&gt;=DA$43,CY34&lt;&gt;"",CR34=""),AND(DS34&gt;=DY$39,DU34&gt;=DY$43,DS34&lt;&gt;""),AND(DW34&gt;=DY$39,DX34&gt;=DY$43,DW34&lt;&gt;""),AND(EO34&gt;=EU$39,EQ34&gt;=EU$43,EO34&lt;&gt;""),AND(ES34&gt;=EU$39,ET34&gt;=EU$43,ES34&lt;&gt;""),AND(FK34&gt;=FQ$39,FM34&gt;=FQ$43,FK34&lt;&gt;""),AND(FO34&gt;=FQ$39,FP34&gt;=FQ$43,FO34&lt;&gt;""),AND(GG34&gt;=GM$39,GI34&gt;=GM$43,GG34&lt;&gt;""),AND(GK34&gt;=GM$39,GL34&gt;=GM$43,GK34&lt;&gt;""),AND(HC34&gt;=HI$39,HE34&gt;=HI$43,HC34&lt;&gt;""),AND(HG34&gt;=HI$39,HH34&gt;=HI$43,HG34&lt;&gt;""),AND(HY34&gt;=IE$39,IA34&gt;=IE$43,HY34&lt;&gt;""),AND(IC34&gt;=IE$39,ID34&gt;=IE$43,IC34&lt;&gt;""),AND(IU34&gt;=JA$39,IW34&gt;=JA$43,IU34&lt;&gt;""),AND(IY34&gt;=JA$39,IZ34&gt;=JA$43,IY34&lt;&gt;""),AND(JQ34&gt;=JW$39,JS34&gt;=JW$43,JQ34&lt;&gt;""),AND(JU34&gt;=JW$39,JV34&gt;=JW$43,JU34&lt;&gt;""),AND(KM34&gt;=KS$39,KO34&gt;=KS$43,KM34&lt;&gt;""),AND(KQ34&gt;=KS$39,KR34&gt;=KS$43,KQ34&lt;&gt;""),AND(LI34&gt;=LO$39,LK34&gt;=LO$43,LI34&lt;&gt;""),AND(LM34&gt;=LO$39,LN34&gt;=LO$43,LM34&lt;&gt;""),AND(ME34&gt;=MK$39,MG34&gt;=MK$43,ME34&lt;&gt;""),AND(MI34&gt;=MK$39,MJ34&gt;=MK$43,MI34&lt;&gt;""),AND(NA34&gt;=NG$39,NC34&gt;=NG$43,NA34&lt;&gt;""),AND(NE34&gt;=NG$39,NF34&gt;=NG$43,NE34&lt;&gt;"")),"P","")</f>
        <v/>
      </c>
      <c r="G34" s="3" t="str">
        <f>IF(OR(AND(AM34&gt;=AS$43,AL34&lt;&gt;"",AJ34=""),AND(AO34&gt;=AS$43,AN34&lt;&gt;"",AN34=""),AND(AR34&gt;=AS$43,AQ34&lt;&gt;"",AJ34=""),AND(BQ34&gt;=BW$43,BP34&lt;&gt;"",BN34=""),AND(BS34&gt;=BW$43,BR34&lt;&gt;"",BN34=""),AND(BV34&gt;=BW$43,BU34&lt;&gt;"",BN34=""),AND(CU34&gt;=DA$43,CT34&lt;&gt;"",CR34=""),AND(CW34&gt;=DA$43,CV34&lt;&gt;"",CR34=""),AND(CZ34&gt;=DA$43,CY34&lt;&gt;"",CR34=""),AND(DU34&gt;=DY$43,DS34&lt;&gt;""),AND(DX34&gt;=DY$43,DW34&lt;&gt;""),AND(EQ34&gt;=EU$43,EO34&lt;&gt;""),AND(ET34&gt;=EU$43,ES34&lt;&gt;""),AND(FM34&gt;=FQ$43,FK34&lt;&gt;""),AND(FP34&gt;=FQ$43,FO34&lt;&gt;""),AND(GI34&gt;=GM$43,GG34&lt;&gt;""),AND(GL34&gt;=GM$43,GK34&lt;&gt;""),AND(HE34&gt;=HI$43,HC34&lt;&gt;""),AND(HH34&gt;=HI$43,HG34&lt;&gt;""),AND(IA34&gt;=IE$43,HY34&lt;&gt;""),AND(ID34&gt;=IE$43,IC34&lt;&gt;""),AND(IW34&gt;=JA$43,IU34&lt;&gt;""),AND(IZ34&gt;=JA$43,IY34&lt;&gt;""),AND(JS34&gt;=JW$43,JQ34&lt;&gt;""),AND(JV34&gt;=JW$43,JU34&lt;&gt;""),AND(KO34&gt;=KS$43,KM34&lt;&gt;""),AND(KR34&gt;=KS$43,KQ34&lt;&gt;""),AND(LK34&gt;=LO$43,LI34&lt;&gt;""),AND(LN34&gt;=LO$43,LM34&lt;&gt;""),AND(MG34&gt;=MK$43,ME34&lt;&gt;""),AND(MJ34&gt;=MK$43,MI34&lt;&gt;""),AND(NC34&gt;=NG$43,NA34&lt;&gt;""),AND(NF34&gt;=NG$43,NE34&lt;&gt;"")),"P","")</f>
        <v/>
      </c>
      <c r="H34" s="66" t="str">
        <f>IF(F34="P","National Team",IF(G34="P","No DD",""))</f>
        <v/>
      </c>
      <c r="I34" s="14">
        <f>MAX(AM34,AO34,AR34,BQ34,BS34,BV34,CU34,CW34,CZ34)</f>
        <v>5.6899999999999995</v>
      </c>
      <c r="J34" s="14" t="str">
        <f>IF(I34=0,"",IF(OR(I34=CW34,I34=CU34,I34=CZ34),$BX$1,IF(OR(I34=BS34,I34=BQ34,I34=BV34),$AT$1,IF(OR(I34=AO34,I34=AM34,I34=AR34),$P$1,""))))</f>
        <v>2022 Nationals</v>
      </c>
      <c r="K34" s="14">
        <f>IF(COUNT(AM34,AO34,AR34,BQ34,BS34,BV34,CU34,CW34,CZ34)&gt;1,LARGE((AM34,AO34,AR34,BQ34,BS34,BV34,CU34,CW34,CZ34),2),0)</f>
        <v>0</v>
      </c>
      <c r="L34" s="14" t="str">
        <f>IF(K34=0,"",IF(OR(K34=CW34,K34=CU34,K34=CZ34),$BX$1,IF(OR(K34=BS34,K34=BQ34,K34=BV34),$AT$1,IF(OR(K34=AO34,K34=AM34,K34=AR34),$P$1,""))))</f>
        <v/>
      </c>
      <c r="M34" s="14" t="str">
        <f>IF(MAX(DB34,DC34)&gt;0,MAX(DB34,DC34),"")</f>
        <v/>
      </c>
      <c r="N34" s="19" t="str">
        <f>IF(M34="","",IF(M34=DB34,"(Prelim)",IF(M34=DC34,"(Final)")))</f>
        <v/>
      </c>
      <c r="O34" s="14" t="str">
        <f>IF(M34="","",IF(M34=DB34,IF(M34+IF(K34="",0,K34)=NC34,$ML$1,IF(M34+IF(K34="",0,K34)=MG34,$LP$1,IF(M34+IF(K34="",0,K34)=LK34,$KT$1,IF(M34+IF(K34="",0,K34)=KO34,$JX$1,IF(M34+IF(K34="",0,K34)=JS34,$JB$1,IF(M34+IF(K34="",0,K34)=IW34,$IF$1,IF(M34+IF(K34="",0,K34)=IA34,$HJ$1,IF(M34+IF(K34="",0,K34)=HE34,$GN$1,IF(M34+IF(K34="",0,K34)=GI34,$FR$1,IF(M34+IF(K34="",0,K34)=FM34,$EV$1,IF(M34+IF(K34="",0,K34)=EQ34,$DZ$1,IF(M34+IF(K34="",0,K34)=DU34,$DD$1,IF(M34+IF(K34="",0,K34)=NB34,$ML$1,IF(M34+IF(K34="",0,K34)=MF34,$LP$1,IF(M34+IF(K34="",0,K34)=LJ34,$KT$1,IF(M34+IF(K34="",0,K34)=KN34,$JX$1,IF(M34+IF(K34="",0,K34)=JR34,$JB$1,IF(M34+IF(K34="",0,K34)=IV34,$IF$1,IF(M34+IF(K34="",0,K34)=HZ34,$HJ$1,IF(M34+IF(K34="",0,K34)=HD34,$GN$1,IF(M34+IF(K34="",0,K34)=GH34,$FR$1,IF(M34+IF(K34="",0,K34)=FL34,$EV$1,IF(M34+IF(K34="",0,K34)=EP34,$DZ$1,IF(M34+IF(K34="",0,K34)=DT34,$DD$1)))))))))))))))))))))))),IF(M34=DC34,IF(M34+IF(K34="",0,K34)=NF34,$ML$1,IF(M34+IF(K34="",0,K34)=MJ34,$LP$1,IF(M34+IF(K34="",0,K34)=LN34,$KT$1,IF(M34+IF(K34="",0,K34)=KR34,$JX$1,IF(M34+IF(K34="",0,K34)=JV34,$JB$1,IF(M34+IF(K34="",0,K34)=IZ34,$IF$1,IF(M34+IF(K34="",0,K34)=ID34,$HJ$1,IF(M34+IF(K34="",0,K34)=HH34,$GN$1,IF(M34+IF(K34="",0,K34)=GL34,$FR$1,IF(M34+IF(K34="",0,K34)=FP34,$EV$1,IF(M34+IF(K34="",0,K34)=ET34,$DZ$1,IF(M34+IF(K34="",0,K34)=DX34,$DD$1)))))))))))))))</f>
        <v/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44"/>
      <c r="AK34" s="11" t="str">
        <f>IF(SUM(P34:S34)-T34&gt;0,SUM(P34:S34)-T34,"")</f>
        <v/>
      </c>
      <c r="AL34" s="11" t="str">
        <f>IF(W34&gt;0,W34,"")</f>
        <v/>
      </c>
      <c r="AM34" s="11" t="str">
        <f>IF(SUM(U34:X34)-Y34&gt;0,SUM(U34:X34)-Y34,"")</f>
        <v/>
      </c>
      <c r="AN34" s="11" t="str">
        <f>IF(AB34&gt;0,AB34,"")</f>
        <v/>
      </c>
      <c r="AO34" s="11" t="str">
        <f>IF(SUM(Z34:AC34)-AD34&gt;0,SUM(Z34:AC34)-AD34,"")</f>
        <v/>
      </c>
      <c r="AP34" s="11" t="str">
        <f>IF(AK34="",IF(MAX(AM34,AO34)&gt;0,MAX(AM34,AO34),""),MAX(AM34,AO34)+AK34)</f>
        <v/>
      </c>
      <c r="AQ34" s="11" t="str">
        <f>IF(AG34&gt;0,AG34,"")</f>
        <v/>
      </c>
      <c r="AR34" s="11" t="str">
        <f>IF(SUM(AE34:AH34)-AI34&gt;0,SUM(AE34:AH34)-AI34,"")</f>
        <v/>
      </c>
      <c r="AS34" s="11" t="str">
        <f>IF(SUM(AP34,AR34)&gt;0,SUM(AP34,AR34),"")</f>
        <v/>
      </c>
      <c r="AT34" s="41">
        <v>14.1</v>
      </c>
      <c r="AU34" s="41">
        <v>8.1999999999999993</v>
      </c>
      <c r="AV34" s="41">
        <v>1.7</v>
      </c>
      <c r="AW34" s="41">
        <v>13.18</v>
      </c>
      <c r="AX34" s="41">
        <v>0</v>
      </c>
      <c r="AY34" s="41">
        <v>1.6</v>
      </c>
      <c r="AZ34" s="41">
        <v>1</v>
      </c>
      <c r="BA34" s="41">
        <v>1.5</v>
      </c>
      <c r="BB34" s="41">
        <v>1.59</v>
      </c>
      <c r="BC34" s="41">
        <v>0</v>
      </c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5"/>
      <c r="BO34" s="14">
        <f>IF(SUM(AT34:AW34)-AX34&gt;0,SUM(AT34:AW34)-AX34,"")</f>
        <v>37.179999999999993</v>
      </c>
      <c r="BP34" s="14">
        <f>IF(BA34&gt;0,BA34,"")</f>
        <v>1.5</v>
      </c>
      <c r="BQ34" s="14">
        <f>IF(SUM(AY34:BB34)-BC34&gt;0,SUM(AY34:BB34)-BC34,"")</f>
        <v>5.6899999999999995</v>
      </c>
      <c r="BR34" s="14" t="str">
        <f>IF(BF34&gt;0,BF34,"")</f>
        <v/>
      </c>
      <c r="BS34" s="14" t="str">
        <f>IF(SUM(BD34:BG34)-BH34&gt;0,SUM(BD34:BG34)-BH34,"")</f>
        <v/>
      </c>
      <c r="BT34" s="14">
        <f>IF(BO34="",IF(MAX(BQ34,BS34)&gt;0,MAX(BQ34,BS34),""),MAX(BQ34,BS34)+BO34)</f>
        <v>42.86999999999999</v>
      </c>
      <c r="BU34" s="14" t="str">
        <f>IF(BK34&gt;0,BK34,"")</f>
        <v/>
      </c>
      <c r="BV34" s="14" t="str">
        <f>IF(SUM(BI34:BL34)-BM34&gt;0,SUM(BI34:BL34)-BM34,"")</f>
        <v/>
      </c>
      <c r="BW34" s="14">
        <f>IF(SUM(BT34,BV34)&gt;0,SUM(BT34,BV34),"")</f>
        <v>42.86999999999999</v>
      </c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44"/>
      <c r="CS34" s="11" t="str">
        <f>IF(SUM(BX34:CA34)-CB34&gt;0,SUM(BX34:CA34)-CB34,"")</f>
        <v/>
      </c>
      <c r="CT34" s="11" t="str">
        <f>IF(CE34&gt;0,CE34,"")</f>
        <v/>
      </c>
      <c r="CU34" s="11" t="str">
        <f>IF(SUM(CC34:CF34)-CG34&gt;0,SUM(CC34:CF34)-CG34,"")</f>
        <v/>
      </c>
      <c r="CV34" s="11" t="str">
        <f>IF(CJ34&gt;0,CJ34,"")</f>
        <v/>
      </c>
      <c r="CW34" s="11" t="str">
        <f>IF(SUM(CH34:CK34)-CL34&gt;0,SUM(CH34:CK34)-CL34,"")</f>
        <v/>
      </c>
      <c r="CX34" s="11" t="str">
        <f>IF(CS34="",IF(MAX(CU34,CW34)&gt;0,MAX(CU34,CW34),""),MAX(CU34,CW34)+CS34)</f>
        <v/>
      </c>
      <c r="CY34" s="11" t="str">
        <f>IF(CO34&gt;0,CO34,"")</f>
        <v/>
      </c>
      <c r="CZ34" s="11" t="str">
        <f>IF(SUM(CM34:CP34)-CQ34&gt;0,SUM(CM34:CP34)-CQ34,"")</f>
        <v/>
      </c>
      <c r="DA34" s="11" t="str">
        <f>IF(SUM(CX34,CZ34)&gt;0,SUM(CX34,CZ34),"")</f>
        <v/>
      </c>
      <c r="DB34" s="18" t="str">
        <f>IF(K34&gt;=0.001,IF(MAX(DT34,DU34,EP34,EQ34,FL34,FM34,GH34,GI34,HD34,HE34,HZ34,IA34,IV34,IW34,JR34,JS34,KN34,KO34,LJ34,LK34,MF34,MG34,NB34,NC34)-IF(K34="",0,K34)&gt;0.001,MAX(DT34,DU34,EP34,EQ34,FL34,FM34,GH34,GI34,HD34,HE34,HZ34,IA34,IV34,IW34,JR34,JS34,KN34,KO34,LJ34,LK34,MF34,MG34,NB34,NC34)-IF(K34="",0,K34),""),"")</f>
        <v/>
      </c>
      <c r="DC34" s="18" t="str">
        <f>IF(K34&gt;=0.001,IF(MAX(DX34,ET34,FP34,GL34,HH34,ID34,IZ34,JV34,KR34,LN34,MJ34,NF34)-IF(K34="",0,K34)&gt;0.001,MAX(DX34,ET34,FP34,GL34,HH34,ID34,IZ34,JV34,KR34,LN34,MJ34,NF34)-IF(K34="",0,K34),""),"")</f>
        <v/>
      </c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11" t="str">
        <f>IF(DK34&gt;0,DK34,"")</f>
        <v/>
      </c>
      <c r="DT34" s="11" t="str">
        <f>IF(SUM(DD34:DG34)-DH34&gt;0,SUM(DD34:DG34)-DH34,"")</f>
        <v/>
      </c>
      <c r="DU34" s="11" t="str">
        <f>IF(SUM(DI34:DL34)-DM34&gt;0,SUM(DI34:DL34)-DM34,"")</f>
        <v/>
      </c>
      <c r="DV34" s="11" t="str">
        <f>IF(SUM(DT34:DU34)&gt;0,SUM(DT34:DU34),"")</f>
        <v/>
      </c>
      <c r="DW34" s="11" t="str">
        <f>IF(DP34&gt;0,DP34,"")</f>
        <v/>
      </c>
      <c r="DX34" s="11" t="str">
        <f>IF(SUM(DN34:DQ34)-DR34&gt;0,SUM(DN34:DQ34)-DR34,"")</f>
        <v/>
      </c>
      <c r="DY34" s="11" t="str">
        <f>IF(SUM(DV34,DX34)&gt;0,SUM(DV34,DX34),"")</f>
        <v/>
      </c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14" t="str">
        <f>IF(EG34&gt;0,EG34,"")</f>
        <v/>
      </c>
      <c r="EP34" s="14" t="str">
        <f>IF(SUM(DZ34:EC34)-ED34&gt;0,SUM(DZ34:EC34)-ED34,"")</f>
        <v/>
      </c>
      <c r="EQ34" s="14" t="str">
        <f>IF(SUM(EE34:EH34)-EI34&gt;0,SUM(EE34:EH34)-EI34,"")</f>
        <v/>
      </c>
      <c r="ER34" s="14" t="str">
        <f>IF(SUM(EP34:EQ34)&gt;0,SUM(EP34:EQ34),"")</f>
        <v/>
      </c>
      <c r="ES34" s="14" t="str">
        <f>IF(EL34&gt;0,EL34,"")</f>
        <v/>
      </c>
      <c r="ET34" s="14" t="str">
        <f>IF(SUM(EJ34:EM34)-EN34&gt;0,SUM(EJ34:EM34)-EN34,"")</f>
        <v/>
      </c>
      <c r="EU34" s="14" t="str">
        <f>IF(SUM(ER34,ET34)&gt;0,SUM(ER34,ET34),"")</f>
        <v/>
      </c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11" t="str">
        <f>IF(FC34&gt;0,FC34,"")</f>
        <v/>
      </c>
      <c r="FL34" s="11" t="str">
        <f>IF(SUM(EV34:EY34)-EZ34&gt;0,SUM(EV34:EY34)-EZ34,"")</f>
        <v/>
      </c>
      <c r="FM34" s="11" t="str">
        <f>IF(SUM(FA34:FD34)-FE34&gt;0,SUM(FA34:FD34)-FE34,"")</f>
        <v/>
      </c>
      <c r="FN34" s="11" t="str">
        <f>IF(SUM(FL34:FM34)&gt;0,SUM(FL34:FM34),"")</f>
        <v/>
      </c>
      <c r="FO34" s="11" t="str">
        <f>IF(FH34&gt;0,FH34,"")</f>
        <v/>
      </c>
      <c r="FP34" s="11" t="str">
        <f>IF(SUM(FF34:FI34)-FJ34&gt;0,SUM(FF34:FI34)-FJ34,"")</f>
        <v/>
      </c>
      <c r="FQ34" s="11" t="str">
        <f>IF(SUM(FN34,FP34)&gt;0,SUM(FN34,FP34),"")</f>
        <v/>
      </c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14" t="str">
        <f>IF(FY34&gt;0,FY34,"")</f>
        <v/>
      </c>
      <c r="GH34" s="14" t="str">
        <f>IF(SUM(FR34:FU34)-FV34&gt;0,SUM(FR34:FU34)-FV34,"")</f>
        <v/>
      </c>
      <c r="GI34" s="14" t="str">
        <f>IF(SUM(FW34:FZ34)-GA34&gt;0,SUM(FW34:FZ34)-GA34,"")</f>
        <v/>
      </c>
      <c r="GJ34" s="14" t="str">
        <f>IF(SUM(GH34:GI34)&gt;0,SUM(GH34:GI34),"")</f>
        <v/>
      </c>
      <c r="GK34" s="14" t="str">
        <f>IF(GD34&gt;0,GD34,"")</f>
        <v/>
      </c>
      <c r="GL34" s="14" t="str">
        <f>IF(SUM(GB34:GE34)-GF34&gt;0,SUM(GB34:GE34)-GF34,"")</f>
        <v/>
      </c>
      <c r="GM34" s="14" t="str">
        <f>IF(SUM(GJ34,GL34)&gt;0,SUM(GJ34,GL34),"")</f>
        <v/>
      </c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11" t="str">
        <f>IF(GU34&gt;0,GU34,"")</f>
        <v/>
      </c>
      <c r="HD34" s="11" t="str">
        <f>IF(SUM(GN34:GQ34)-GR34&gt;0,SUM(GN34:GQ34)-GR34,"")</f>
        <v/>
      </c>
      <c r="HE34" s="11" t="str">
        <f>IF(SUM(GS34:GV34)-GW34&gt;0,SUM(GS34:GV34)-GW34,"")</f>
        <v/>
      </c>
      <c r="HF34" s="11" t="str">
        <f>IF(SUM(HD34:HE34)&gt;0,SUM(HD34:HE34),"")</f>
        <v/>
      </c>
      <c r="HG34" s="11" t="str">
        <f>IF(GZ34&gt;0,GZ34,"")</f>
        <v/>
      </c>
      <c r="HH34" s="11" t="str">
        <f>IF(SUM(GX34:HA34)-HB34&gt;0,SUM(GX34:HA34)-HB34,"")</f>
        <v/>
      </c>
      <c r="HI34" s="11" t="str">
        <f>IF(SUM(HF34,HH34)&gt;0,SUM(HF34,HH34),"")</f>
        <v/>
      </c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14" t="str">
        <f>IF(HQ34&gt;0,HQ34,"")</f>
        <v/>
      </c>
      <c r="HZ34" s="14" t="str">
        <f>IF(SUM(HJ34:HM34)-HN34&gt;0,SUM(HJ34:HM34)-HN34,"")</f>
        <v/>
      </c>
      <c r="IA34" s="14" t="str">
        <f>IF(SUM(HO34:HR34)-HS34&gt;0,SUM(HO34:HR34)-HS34,"")</f>
        <v/>
      </c>
      <c r="IB34" s="14" t="str">
        <f>IF(SUM(HZ34:IA34)&gt;0,SUM(HZ34:IA34),"")</f>
        <v/>
      </c>
      <c r="IC34" s="14" t="str">
        <f>IF(HV34&gt;0,HV34,"")</f>
        <v/>
      </c>
      <c r="ID34" s="14" t="str">
        <f>IF(SUM(HT34:HW34)-HX34&gt;0,SUM(HT34:HW34)-HX34,"")</f>
        <v/>
      </c>
      <c r="IE34" s="14" t="str">
        <f>IF(SUM(IB34,ID34)&gt;0,SUM(IB34,ID34),"")</f>
        <v/>
      </c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11" t="str">
        <f>IF(IM34&gt;0,IM34,"")</f>
        <v/>
      </c>
      <c r="IV34" s="11" t="str">
        <f>IF(SUM(IF34:II34)-IJ34&gt;0,SUM(IF34:II34)-IJ34,"")</f>
        <v/>
      </c>
      <c r="IW34" s="11" t="str">
        <f>IF(SUM(IK34:IN34)-IO34&gt;0,SUM(IK34:IN34)-IO34,"")</f>
        <v/>
      </c>
      <c r="IX34" s="11" t="str">
        <f>IF(SUM(IV34:IW34)&gt;0,SUM(IV34:IW34),"")</f>
        <v/>
      </c>
      <c r="IY34" s="11" t="str">
        <f>IF(IR34&gt;0,IR34,"")</f>
        <v/>
      </c>
      <c r="IZ34" s="11" t="str">
        <f>IF(SUM(IP34:IS34)-IT34&gt;0,SUM(IP34:IS34)-IT34,"")</f>
        <v/>
      </c>
      <c r="JA34" s="11" t="str">
        <f>IF(SUM(IX34,IZ34)&gt;0,SUM(IX34,IZ34),"")</f>
        <v/>
      </c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14" t="str">
        <f>IF(JI34&gt;0,JI34,"")</f>
        <v/>
      </c>
      <c r="JR34" s="14" t="str">
        <f>IF(SUM(JB34:JE34)-JF34&gt;0,SUM(JB34:JE34)-JF34,"")</f>
        <v/>
      </c>
      <c r="JS34" s="14" t="str">
        <f>IF(SUM(JG34:JJ34)-JK34&gt;0,SUM(JG34:JJ34)-JK34,"")</f>
        <v/>
      </c>
      <c r="JT34" s="14" t="str">
        <f>IF(SUM(JR34:JS34)&gt;0,SUM(JR34:JS34),"")</f>
        <v/>
      </c>
      <c r="JU34" s="14" t="str">
        <f>IF(JN34&gt;0,JN34,"")</f>
        <v/>
      </c>
      <c r="JV34" s="14" t="str">
        <f>IF(SUM(JL34:JO34)-JP34&gt;0,SUM(JL34:JO34)-JP34,"")</f>
        <v/>
      </c>
      <c r="JW34" s="14" t="str">
        <f>IF(SUM(JT34,JV34)&gt;0,SUM(JT34,JV34),"")</f>
        <v/>
      </c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11" t="str">
        <f>IF(KE34&gt;0,KE34,"")</f>
        <v/>
      </c>
      <c r="KN34" s="11" t="str">
        <f>IF(SUM(JX34:KA34)-KB34&gt;0,SUM(JX34:KA34)-KB34,"")</f>
        <v/>
      </c>
      <c r="KO34" s="11" t="str">
        <f>IF(SUM(KC34:KF34)-KG34&gt;0,SUM(KC34:KF34)-KG34,"")</f>
        <v/>
      </c>
      <c r="KP34" s="11" t="str">
        <f>IF(SUM(KN34:KO34)&gt;0,SUM(KN34:KO34),"")</f>
        <v/>
      </c>
      <c r="KQ34" s="11" t="str">
        <f>IF(KJ34&gt;0,KJ34,"")</f>
        <v/>
      </c>
      <c r="KR34" s="11" t="str">
        <f>IF(SUM(KH34:KK34)-KL34&gt;0,SUM(KH34:KK34)-KL34,"")</f>
        <v/>
      </c>
      <c r="KS34" s="11" t="str">
        <f>IF(SUM(KP34,KR34)&gt;0,SUM(KP34,KR34),"")</f>
        <v/>
      </c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14" t="str">
        <f>IF(LA34&gt;0,LA34,"")</f>
        <v/>
      </c>
      <c r="LJ34" s="14" t="str">
        <f>IF(SUM(KT34:KW34)-KX34&gt;0,SUM(KT34:KW34)-KX34,"")</f>
        <v/>
      </c>
      <c r="LK34" s="14" t="str">
        <f>IF(SUM(KY34:LB34)-LC34&gt;0,SUM(KY34:LB34)-LC34,"")</f>
        <v/>
      </c>
      <c r="LL34" s="14" t="str">
        <f>IF(SUM(LJ34:LK34)&gt;0,SUM(LJ34:LK34),"")</f>
        <v/>
      </c>
      <c r="LM34" s="14" t="str">
        <f>IF(LF34&gt;0,LF34,"")</f>
        <v/>
      </c>
      <c r="LN34" s="14" t="str">
        <f>IF(SUM(LD34:LG34)-LH34&gt;0,SUM(LD34:LG34)-LH34,"")</f>
        <v/>
      </c>
      <c r="LO34" s="14" t="str">
        <f>IF(SUM(LL34,LN34)&gt;0,SUM(LL34,LN34),"")</f>
        <v/>
      </c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11" t="str">
        <f>IF(LW34&gt;0,LW34,"")</f>
        <v/>
      </c>
      <c r="MF34" s="11" t="str">
        <f>IF(SUM(LP34:LS34)-LT34&gt;0,SUM(LP34:LS34)-LT34,"")</f>
        <v/>
      </c>
      <c r="MG34" s="11" t="str">
        <f>IF(SUM(LU34:LX34)-LY34&gt;0,SUM(LU34:LX34)-LY34,"")</f>
        <v/>
      </c>
      <c r="MH34" s="11" t="str">
        <f>IF(SUM(MF34:MG34)&gt;0,SUM(MF34:MG34),"")</f>
        <v/>
      </c>
      <c r="MI34" s="11" t="str">
        <f>IF(MB34&gt;0,MB34,"")</f>
        <v/>
      </c>
      <c r="MJ34" s="11" t="str">
        <f>IF(SUM(LZ34:MC34)-MD34&gt;0,SUM(LZ34:MC34)-MD34,"")</f>
        <v/>
      </c>
      <c r="MK34" s="11" t="str">
        <f>IF(SUM(MH34,MJ34)&gt;0,SUM(MH34,MJ34),"")</f>
        <v/>
      </c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14" t="str">
        <f>IF(MS34&gt;0,MS34,"")</f>
        <v/>
      </c>
      <c r="NB34" s="14" t="str">
        <f>IF(SUM(ML34:MO34)-MP34&gt;0,SUM(ML34:MO34)-MP34,"")</f>
        <v/>
      </c>
      <c r="NC34" s="14" t="str">
        <f>IF(SUM(MQ34:MT34)-MU34&gt;0,SUM(MQ34:MT34)-MU34,"")</f>
        <v/>
      </c>
      <c r="ND34" s="14" t="str">
        <f>IF(SUM(NB34:NC34)&gt;0,SUM(NB34:NC34),"")</f>
        <v/>
      </c>
      <c r="NE34" s="14" t="str">
        <f>IF(MX34&gt;0,MX34,"")</f>
        <v/>
      </c>
      <c r="NF34" s="14" t="str">
        <f>IF(SUM(MV34:MY34)-MZ34&gt;0,SUM(MV34:MY34)-MZ34,"")</f>
        <v/>
      </c>
      <c r="NG34" s="14" t="str">
        <f>IF(SUM(ND34,NF34)&gt;0,SUM(ND34,NF34),"")</f>
        <v/>
      </c>
      <c r="NH34" s="37">
        <f>IF($CR34="P",BX34,(BX34+AT34)/2)</f>
        <v>7.05</v>
      </c>
      <c r="NI34" s="37">
        <f>IF($CR34="P",BY34,(BY34+AU34)/2)</f>
        <v>4.0999999999999996</v>
      </c>
      <c r="NJ34" s="37">
        <f>IF($CR34="P",BZ34,(BZ34+AV34)/2)</f>
        <v>0.85</v>
      </c>
      <c r="NK34" s="37">
        <f>IF($CR34="P",CA34,(CA34+AW34)/2)</f>
        <v>6.59</v>
      </c>
      <c r="NL34" s="37">
        <f>IF($CR34="P",CB34,(CB34+AX34)/2)</f>
        <v>0</v>
      </c>
      <c r="NM34" s="37">
        <f>IF($CR34="P",CC34,(CC34+AY34)/2)</f>
        <v>0.8</v>
      </c>
      <c r="NN34" s="37">
        <f>IF($CR34="P",CD34,(CD34+AZ34)/2)</f>
        <v>0.5</v>
      </c>
      <c r="NO34" s="37">
        <f>IF($CR34="P",CE34,(CE34+BA34)/2)</f>
        <v>0.75</v>
      </c>
      <c r="NP34" s="37">
        <f>IF($CR34="P",CF34,(CF34+BB34)/2)</f>
        <v>0.79500000000000004</v>
      </c>
      <c r="NQ34" s="37">
        <f>IF($CR34="P",CG34,(CG34+BC34)/2)</f>
        <v>0</v>
      </c>
      <c r="NR34" s="37">
        <f>IF($CR34="P",CH34,(CH34+BD34)/2)</f>
        <v>0</v>
      </c>
      <c r="NS34" s="37">
        <f>IF($CR34="P",CI34,(CI34+BE34)/2)</f>
        <v>0</v>
      </c>
      <c r="NT34" s="37">
        <f>IF($CR34="P",CJ34,(CJ34+BF34)/2)</f>
        <v>0</v>
      </c>
      <c r="NU34" s="37">
        <f>IF($CR34="P",CK34,(CK34+BG34)/2)</f>
        <v>0</v>
      </c>
      <c r="NV34" s="37">
        <f>IF($CR34="P",CL34,(CL34+BH34)/2)</f>
        <v>0</v>
      </c>
      <c r="NW34" s="37">
        <f>IF($CR34="P",CM34,(CM34+BI34)/2)</f>
        <v>0</v>
      </c>
      <c r="NX34" s="37">
        <f>IF($CR34="P",CN34,(CN34+BJ34)/2)</f>
        <v>0</v>
      </c>
      <c r="NY34" s="37">
        <f>IF($CR34="P",CO34,(CO34+BK34)/2)</f>
        <v>0</v>
      </c>
      <c r="NZ34" s="37">
        <f>IF($CR34="P",CP34,(CP34+BL34)/2)</f>
        <v>0</v>
      </c>
      <c r="OA34" s="37">
        <f>IF($CR34="P",CQ34,(CQ34+BM34)/2)</f>
        <v>0</v>
      </c>
      <c r="OB34" s="44" t="s">
        <v>46</v>
      </c>
      <c r="OC34" s="11">
        <f>IF(SUM(NH34:NK34)-NL34&gt;0,SUM(NH34:NK34)-NL34,"")</f>
        <v>18.589999999999996</v>
      </c>
      <c r="OD34" s="11">
        <f>IF(NO34&gt;0,NO34,"")</f>
        <v>0.75</v>
      </c>
      <c r="OE34" s="11">
        <f>IF(SUM(NM34:NP34)-NQ34&gt;0,SUM(NM34:NP34)-NQ34,"")</f>
        <v>2.8449999999999998</v>
      </c>
      <c r="OF34" s="11" t="str">
        <f>IF(NT34&gt;0,NT34,"")</f>
        <v/>
      </c>
      <c r="OG34" s="11" t="str">
        <f>IF(SUM(NR34:NU34)-NV34&gt;0,SUM(NR34:NU34)-NV34,"")</f>
        <v/>
      </c>
      <c r="OH34" s="11">
        <f>IF(OR(OC34&lt;&gt;"",OE34&lt;&gt;"",OG34&lt;&gt;""),OC34+MAX(OE34,OG34),"")</f>
        <v>21.434999999999995</v>
      </c>
      <c r="OI34" s="11" t="str">
        <f>IF(NY34&gt;0,NY34,"")</f>
        <v/>
      </c>
      <c r="OJ34" s="11" t="str">
        <f t="shared" ref="OJ34" si="48">IF(SUM(NW34:NZ34)-OA34&gt;0,SUM(NW34:NZ34)-OA34,"")</f>
        <v/>
      </c>
      <c r="OK34" s="11">
        <f t="shared" ref="OK34" si="49">IF(SUM(OH34,OJ34)&gt;0,SUM(OH34,OJ34),"")</f>
        <v>21.434999999999995</v>
      </c>
    </row>
    <row r="35" spans="1:401" x14ac:dyDescent="0.2">
      <c r="A35" s="5" t="str" cm="1">
        <f t="array" ref="A35">IF(AND(F35="P",G35="P"),SUMPRODUCT((F$4:F$37="P")*(G$4:G$37="P")*(E$4:E$37&gt;E35))+1,IF(G35="P",SUMPRODUCT((F$4:F$37="")*(G$4:G$37="P")*(E$4:E$37&gt;E35))+1+SUMPRODUCT((F$4:F$37="P")*(G$4:G$37="P")),""))</f>
        <v/>
      </c>
      <c r="B35" s="6" t="s">
        <v>99</v>
      </c>
      <c r="C35" s="7" t="s">
        <v>5</v>
      </c>
      <c r="D35" s="21">
        <v>2001</v>
      </c>
      <c r="E35" s="15">
        <f>SUM(I35:M35)+I35*0.0000001</f>
        <v>0</v>
      </c>
      <c r="F35" s="3" t="str">
        <f>IF(OR(AND(AL35&gt;=AS$39,AM35&gt;=AS$43,AL35&lt;&gt;"",AJ35=""),AND(AN35&gt;=AS$39,AO35&gt;=AS$43,AN35&lt;&gt;"",AN35=""),AND(AQ35&gt;=AS$39,AR35&gt;=AS$43,AQ35&lt;&gt;"",AJ35=""),AND(BP35&gt;=BW$39,BQ35&gt;=BW$43,BP35&lt;&gt;"",BN35=""),AND(BR35&gt;=BW$39,BS35&gt;=BW$43,BR35&lt;&gt;"",BN35=""),AND(BU35&gt;=BW$39,BV35&gt;=BW$43,BU35&lt;&gt;"",BN35=""),AND(CT35&gt;=DA$39,CU35&gt;=DA$43,CT35&lt;&gt;"",CR35=""),AND(CV35&gt;=DA$39,CW35&gt;=DA$43,CV35&lt;&gt;"",CR35=""),AND(CY35&gt;=DA$39,CZ35&gt;=DA$43,CY35&lt;&gt;"",CR35=""),AND(DS35&gt;=DY$39,DU35&gt;=DY$43,DS35&lt;&gt;""),AND(DW35&gt;=DY$39,DX35&gt;=DY$43,DW35&lt;&gt;""),AND(EO35&gt;=EU$39,EQ35&gt;=EU$43,EO35&lt;&gt;""),AND(ES35&gt;=EU$39,ET35&gt;=EU$43,ES35&lt;&gt;""),AND(FK35&gt;=FQ$39,FM35&gt;=FQ$43,FK35&lt;&gt;""),AND(FO35&gt;=FQ$39,FP35&gt;=FQ$43,FO35&lt;&gt;""),AND(GG35&gt;=GM$39,GI35&gt;=GM$43,GG35&lt;&gt;""),AND(GK35&gt;=GM$39,GL35&gt;=GM$43,GK35&lt;&gt;""),AND(HC35&gt;=HI$39,HE35&gt;=HI$43,HC35&lt;&gt;""),AND(HG35&gt;=HI$39,HH35&gt;=HI$43,HG35&lt;&gt;""),AND(HY35&gt;=IE$39,IA35&gt;=IE$43,HY35&lt;&gt;""),AND(IC35&gt;=IE$39,ID35&gt;=IE$43,IC35&lt;&gt;""),AND(IU35&gt;=JA$39,IW35&gt;=JA$43,IU35&lt;&gt;""),AND(IY35&gt;=JA$39,IZ35&gt;=JA$43,IY35&lt;&gt;""),AND(JQ35&gt;=JW$39,JS35&gt;=JW$43,JQ35&lt;&gt;""),AND(JU35&gt;=JW$39,JV35&gt;=JW$43,JU35&lt;&gt;""),AND(KM35&gt;=KS$39,KO35&gt;=KS$43,KM35&lt;&gt;""),AND(KQ35&gt;=KS$39,KR35&gt;=KS$43,KQ35&lt;&gt;""),AND(LI35&gt;=LO$39,LK35&gt;=LO$43,LI35&lt;&gt;""),AND(LM35&gt;=LO$39,LN35&gt;=LO$43,LM35&lt;&gt;""),AND(ME35&gt;=MK$39,MG35&gt;=MK$43,ME35&lt;&gt;""),AND(MI35&gt;=MK$39,MJ35&gt;=MK$43,MI35&lt;&gt;""),AND(NA35&gt;=NG$39,NC35&gt;=NG$43,NA35&lt;&gt;""),AND(NE35&gt;=NG$39,NF35&gt;=NG$43,NE35&lt;&gt;"")),"P","")</f>
        <v/>
      </c>
      <c r="G35" s="3" t="str">
        <f>IF(OR(AND(AM35&gt;=AS$43,AL35&lt;&gt;"",AJ35=""),AND(AO35&gt;=AS$43,AN35&lt;&gt;"",AN35=""),AND(AR35&gt;=AS$43,AQ35&lt;&gt;"",AJ35=""),AND(BQ35&gt;=BW$43,BP35&lt;&gt;"",BN35=""),AND(BS35&gt;=BW$43,BR35&lt;&gt;"",BN35=""),AND(BV35&gt;=BW$43,BU35&lt;&gt;"",BN35=""),AND(CU35&gt;=DA$43,CT35&lt;&gt;"",CR35=""),AND(CW35&gt;=DA$43,CV35&lt;&gt;"",CR35=""),AND(CZ35&gt;=DA$43,CY35&lt;&gt;"",CR35=""),AND(DU35&gt;=DY$43,DS35&lt;&gt;""),AND(DX35&gt;=DY$43,DW35&lt;&gt;""),AND(EQ35&gt;=EU$43,EO35&lt;&gt;""),AND(ET35&gt;=EU$43,ES35&lt;&gt;""),AND(FM35&gt;=FQ$43,FK35&lt;&gt;""),AND(FP35&gt;=FQ$43,FO35&lt;&gt;""),AND(GI35&gt;=GM$43,GG35&lt;&gt;""),AND(GL35&gt;=GM$43,GK35&lt;&gt;""),AND(HE35&gt;=HI$43,HC35&lt;&gt;""),AND(HH35&gt;=HI$43,HG35&lt;&gt;""),AND(IA35&gt;=IE$43,HY35&lt;&gt;""),AND(ID35&gt;=IE$43,IC35&lt;&gt;""),AND(IW35&gt;=JA$43,IU35&lt;&gt;""),AND(IZ35&gt;=JA$43,IY35&lt;&gt;""),AND(JS35&gt;=JW$43,JQ35&lt;&gt;""),AND(JV35&gt;=JW$43,JU35&lt;&gt;""),AND(KO35&gt;=KS$43,KM35&lt;&gt;""),AND(KR35&gt;=KS$43,KQ35&lt;&gt;""),AND(LK35&gt;=LO$43,LI35&lt;&gt;""),AND(LN35&gt;=LO$43,LM35&lt;&gt;""),AND(MG35&gt;=MK$43,ME35&lt;&gt;""),AND(MJ35&gt;=MK$43,MI35&lt;&gt;""),AND(NC35&gt;=NG$43,NA35&lt;&gt;""),AND(NF35&gt;=NG$43,NE35&lt;&gt;"")),"P","")</f>
        <v/>
      </c>
      <c r="H35" s="66" t="str">
        <f>IF(F35="P","National Team",IF(G35="P","No DD",""))</f>
        <v/>
      </c>
      <c r="I35" s="14">
        <f>MAX(AM35,AO35,AR35,BQ35,BS35,BV35,CU35,CW35,CZ35)</f>
        <v>0</v>
      </c>
      <c r="J35" s="14" t="str">
        <f>IF(I35=0,"",IF(OR(I35=CW35,I35=CU35,I35=CZ35),$BX$1,IF(OR(I35=BS35,I35=BQ35,I35=BV35),$AT$1,IF(OR(I35=AO35,I35=AM35,I35=AR35),$P$1,""))))</f>
        <v/>
      </c>
      <c r="K35" s="14">
        <f>IF(COUNT(AM35,AO35,AR35,BQ35,BS35,BV35,CU35,CW35,CZ35)&gt;1,LARGE((AM35,AO35,AR35,BQ35,BS35,BV35,CU35,CW35,CZ35),2),0)</f>
        <v>0</v>
      </c>
      <c r="L35" s="14" t="str">
        <f>IF(K35=0,"",IF(OR(K35=CW35,K35=CU35,K35=CZ35),$BX$1,IF(OR(K35=BS35,K35=BQ35,K35=BV35),$AT$1,IF(OR(K35=AO35,K35=AM35,K35=AR35),$P$1,""))))</f>
        <v/>
      </c>
      <c r="M35" s="14" t="str">
        <f>IF(MAX(DB35,DC35)&gt;0,MAX(DB35,DC35),"")</f>
        <v/>
      </c>
      <c r="N35" s="19" t="str">
        <f>IF(M35="","",IF(M35=DB35,"(Prelim)",IF(M35=DC35,"(Final)")))</f>
        <v/>
      </c>
      <c r="O35" s="14" t="str">
        <f>IF(M35="","",IF(M35=DB35,IF(M35+IF(K35="",0,K35)=NC35,$ML$1,IF(M35+IF(K35="",0,K35)=MG35,$LP$1,IF(M35+IF(K35="",0,K35)=LK35,$KT$1,IF(M35+IF(K35="",0,K35)=KO35,$JX$1,IF(M35+IF(K35="",0,K35)=JS35,$JB$1,IF(M35+IF(K35="",0,K35)=IW35,$IF$1,IF(M35+IF(K35="",0,K35)=IA35,$HJ$1,IF(M35+IF(K35="",0,K35)=HE35,$GN$1,IF(M35+IF(K35="",0,K35)=GI35,$FR$1,IF(M35+IF(K35="",0,K35)=FM35,$EV$1,IF(M35+IF(K35="",0,K35)=EQ35,$DZ$1,IF(M35+IF(K35="",0,K35)=DU35,$DD$1,IF(M35+IF(K35="",0,K35)=NB35,$ML$1,IF(M35+IF(K35="",0,K35)=MF35,$LP$1,IF(M35+IF(K35="",0,K35)=LJ35,$KT$1,IF(M35+IF(K35="",0,K35)=KN35,$JX$1,IF(M35+IF(K35="",0,K35)=JR35,$JB$1,IF(M35+IF(K35="",0,K35)=IV35,$IF$1,IF(M35+IF(K35="",0,K35)=HZ35,$HJ$1,IF(M35+IF(K35="",0,K35)=HD35,$GN$1,IF(M35+IF(K35="",0,K35)=GH35,$FR$1,IF(M35+IF(K35="",0,K35)=FL35,$EV$1,IF(M35+IF(K35="",0,K35)=EP35,$DZ$1,IF(M35+IF(K35="",0,K35)=DT35,$DD$1)))))))))))))))))))))))),IF(M35=DC35,IF(M35+IF(K35="",0,K35)=NF35,$ML$1,IF(M35+IF(K35="",0,K35)=MJ35,$LP$1,IF(M35+IF(K35="",0,K35)=LN35,$KT$1,IF(M35+IF(K35="",0,K35)=KR35,$JX$1,IF(M35+IF(K35="",0,K35)=JV35,$JB$1,IF(M35+IF(K35="",0,K35)=IZ35,$IF$1,IF(M35+IF(K35="",0,K35)=ID35,$HJ$1,IF(M35+IF(K35="",0,K35)=HH35,$GN$1,IF(M35+IF(K35="",0,K35)=GL35,$FR$1,IF(M35+IF(K35="",0,K35)=FP35,$EV$1,IF(M35+IF(K35="",0,K35)=ET35,$DZ$1,IF(M35+IF(K35="",0,K35)=DX35,$DD$1)))))))))))))))</f>
        <v/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44"/>
      <c r="AK35" s="11" t="str">
        <f>IF(SUM(P35:S35)-T35&gt;0,SUM(P35:S35)-T35,"")</f>
        <v/>
      </c>
      <c r="AL35" s="11" t="str">
        <f>IF(W35&gt;0,W35,"")</f>
        <v/>
      </c>
      <c r="AM35" s="11" t="str">
        <f>IF(SUM(U35:X35)-Y35&gt;0,SUM(U35:X35)-Y35,"")</f>
        <v/>
      </c>
      <c r="AN35" s="11" t="str">
        <f>IF(AB35&gt;0,AB35,"")</f>
        <v/>
      </c>
      <c r="AO35" s="11" t="str">
        <f>IF(SUM(Z35:AC35)-AD35&gt;0,SUM(Z35:AC35)-AD35,"")</f>
        <v/>
      </c>
      <c r="AP35" s="11" t="str">
        <f>IF(AK35="",IF(MAX(AM35,AO35)&gt;0,MAX(AM35,AO35),""),MAX(AM35,AO35)+AK35)</f>
        <v/>
      </c>
      <c r="AQ35" s="11" t="str">
        <f>IF(AG35&gt;0,AG35,"")</f>
        <v/>
      </c>
      <c r="AR35" s="11" t="str">
        <f>IF(SUM(AE35:AH35)-AI35&gt;0,SUM(AE35:AH35)-AI35,"")</f>
        <v/>
      </c>
      <c r="AS35" s="11" t="str">
        <f>IF(SUM(AP35,AR35)&gt;0,SUM(AP35,AR35),"")</f>
        <v/>
      </c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5"/>
      <c r="BO35" s="14" t="str">
        <f>IF(SUM(AT35:AW35)-AX35&gt;0,SUM(AT35:AW35)-AX35,"")</f>
        <v/>
      </c>
      <c r="BP35" s="14" t="str">
        <f>IF(BA35&gt;0,BA35,"")</f>
        <v/>
      </c>
      <c r="BQ35" s="14" t="str">
        <f>IF(SUM(AY35:BB35)-BC35&gt;0,SUM(AY35:BB35)-BC35,"")</f>
        <v/>
      </c>
      <c r="BR35" s="14" t="str">
        <f>IF(BF35&gt;0,BF35,"")</f>
        <v/>
      </c>
      <c r="BS35" s="14" t="str">
        <f>IF(SUM(BD35:BG35)-BH35&gt;0,SUM(BD35:BG35)-BH35,"")</f>
        <v/>
      </c>
      <c r="BT35" s="14" t="str">
        <f>IF(BO35="",IF(MAX(BQ35,BS35)&gt;0,MAX(BQ35,BS35),""),MAX(BQ35,BS35)+BO35)</f>
        <v/>
      </c>
      <c r="BU35" s="14" t="str">
        <f>IF(BK35&gt;0,BK35,"")</f>
        <v/>
      </c>
      <c r="BV35" s="14" t="str">
        <f>IF(SUM(BI35:BL35)-BM35&gt;0,SUM(BI35:BL35)-BM35,"")</f>
        <v/>
      </c>
      <c r="BW35" s="14" t="str">
        <f>IF(SUM(BT35,BV35)&gt;0,SUM(BT35,BV35),"")</f>
        <v/>
      </c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44"/>
      <c r="CS35" s="11" t="str">
        <f>IF(SUM(BX35:CA35)-CB35&gt;0,SUM(BX35:CA35)-CB35,"")</f>
        <v/>
      </c>
      <c r="CT35" s="11" t="str">
        <f>IF(CE35&gt;0,CE35,"")</f>
        <v/>
      </c>
      <c r="CU35" s="11" t="str">
        <f>IF(SUM(CC35:CF35)-CG35&gt;0,SUM(CC35:CF35)-CG35,"")</f>
        <v/>
      </c>
      <c r="CV35" s="11" t="str">
        <f>IF(CJ35&gt;0,CJ35,"")</f>
        <v/>
      </c>
      <c r="CW35" s="11" t="str">
        <f>IF(SUM(CH35:CK35)-CL35&gt;0,SUM(CH35:CK35)-CL35,"")</f>
        <v/>
      </c>
      <c r="CX35" s="11" t="str">
        <f>IF(CS35="",IF(MAX(CU35,CW35)&gt;0,MAX(CU35,CW35),""),MAX(CU35,CW35)+CS35)</f>
        <v/>
      </c>
      <c r="CY35" s="11" t="str">
        <f>IF(CO35&gt;0,CO35,"")</f>
        <v/>
      </c>
      <c r="CZ35" s="11" t="str">
        <f>IF(SUM(CM35:CP35)-CQ35&gt;0,SUM(CM35:CP35)-CQ35,"")</f>
        <v/>
      </c>
      <c r="DA35" s="11" t="str">
        <f>IF(SUM(CX35,CZ35)&gt;0,SUM(CX35,CZ35),"")</f>
        <v/>
      </c>
      <c r="DB35" s="18" t="str">
        <f>IF(K35&gt;=0.001,IF(MAX(DT35,DU35,EP35,EQ35,FL35,FM35,GH35,GI35,HD35,HE35,HZ35,IA35,IV35,IW35,JR35,JS35,KN35,KO35,LJ35,LK35,MF35,MG35,NB35,NC35)-IF(K35="",0,K35)&gt;0.001,MAX(DT35,DU35,EP35,EQ35,FL35,FM35,GH35,GI35,HD35,HE35,HZ35,IA35,IV35,IW35,JR35,JS35,KN35,KO35,LJ35,LK35,MF35,MG35,NB35,NC35)-IF(K35="",0,K35),""),"")</f>
        <v/>
      </c>
      <c r="DC35" s="18" t="str">
        <f>IF(K35&gt;=0.001,IF(MAX(DX35,ET35,FP35,GL35,HH35,ID35,IZ35,JV35,KR35,LN35,MJ35,NF35)-IF(K35="",0,K35)&gt;0.001,MAX(DX35,ET35,FP35,GL35,HH35,ID35,IZ35,JV35,KR35,LN35,MJ35,NF35)-IF(K35="",0,K35),""),"")</f>
        <v/>
      </c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11" t="str">
        <f>IF(DK35&gt;0,DK35,"")</f>
        <v/>
      </c>
      <c r="DT35" s="11" t="str">
        <f>IF(SUM(DD35:DG35)-DH35&gt;0,SUM(DD35:DG35)-DH35,"")</f>
        <v/>
      </c>
      <c r="DU35" s="11" t="str">
        <f>IF(SUM(DI35:DL35)-DM35&gt;0,SUM(DI35:DL35)-DM35,"")</f>
        <v/>
      </c>
      <c r="DV35" s="11" t="str">
        <f>IF(SUM(DT35:DU35)&gt;0,SUM(DT35:DU35),"")</f>
        <v/>
      </c>
      <c r="DW35" s="11" t="str">
        <f>IF(DP35&gt;0,DP35,"")</f>
        <v/>
      </c>
      <c r="DX35" s="11" t="str">
        <f>IF(SUM(DN35:DQ35)-DR35&gt;0,SUM(DN35:DQ35)-DR35,"")</f>
        <v/>
      </c>
      <c r="DY35" s="11" t="str">
        <f>IF(SUM(DV35,DX35)&gt;0,SUM(DV35,DX35),"")</f>
        <v/>
      </c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14" t="str">
        <f>IF(EG35&gt;0,EG35,"")</f>
        <v/>
      </c>
      <c r="EP35" s="14" t="str">
        <f>IF(SUM(DZ35:EC35)-ED35&gt;0,SUM(DZ35:EC35)-ED35,"")</f>
        <v/>
      </c>
      <c r="EQ35" s="14" t="str">
        <f>IF(SUM(EE35:EH35)-EI35&gt;0,SUM(EE35:EH35)-EI35,"")</f>
        <v/>
      </c>
      <c r="ER35" s="14" t="str">
        <f>IF(SUM(EP35:EQ35)&gt;0,SUM(EP35:EQ35),"")</f>
        <v/>
      </c>
      <c r="ES35" s="14" t="str">
        <f>IF(EL35&gt;0,EL35,"")</f>
        <v/>
      </c>
      <c r="ET35" s="14" t="str">
        <f>IF(SUM(EJ35:EM35)-EN35&gt;0,SUM(EJ35:EM35)-EN35,"")</f>
        <v/>
      </c>
      <c r="EU35" s="14" t="str">
        <f>IF(SUM(ER35,ET35)&gt;0,SUM(ER35,ET35),"")</f>
        <v/>
      </c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11" t="str">
        <f>IF(FC35&gt;0,FC35,"")</f>
        <v/>
      </c>
      <c r="FL35" s="11" t="str">
        <f>IF(SUM(EV35:EY35)-EZ35&gt;0,SUM(EV35:EY35)-EZ35,"")</f>
        <v/>
      </c>
      <c r="FM35" s="11" t="str">
        <f>IF(SUM(FA35:FD35)-FE35&gt;0,SUM(FA35:FD35)-FE35,"")</f>
        <v/>
      </c>
      <c r="FN35" s="11" t="str">
        <f>IF(SUM(FL35:FM35)&gt;0,SUM(FL35:FM35),"")</f>
        <v/>
      </c>
      <c r="FO35" s="11" t="str">
        <f>IF(FH35&gt;0,FH35,"")</f>
        <v/>
      </c>
      <c r="FP35" s="11" t="str">
        <f>IF(SUM(FF35:FI35)-FJ35&gt;0,SUM(FF35:FI35)-FJ35,"")</f>
        <v/>
      </c>
      <c r="FQ35" s="11" t="str">
        <f>IF(SUM(FN35,FP35)&gt;0,SUM(FN35,FP35),"")</f>
        <v/>
      </c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14" t="str">
        <f>IF(FY35&gt;0,FY35,"")</f>
        <v/>
      </c>
      <c r="GH35" s="14" t="str">
        <f>IF(SUM(FR35:FU35)-FV35&gt;0,SUM(FR35:FU35)-FV35,"")</f>
        <v/>
      </c>
      <c r="GI35" s="14" t="str">
        <f>IF(SUM(FW35:FZ35)-GA35&gt;0,SUM(FW35:FZ35)-GA35,"")</f>
        <v/>
      </c>
      <c r="GJ35" s="14" t="str">
        <f>IF(SUM(GH35:GI35)&gt;0,SUM(GH35:GI35),"")</f>
        <v/>
      </c>
      <c r="GK35" s="14" t="str">
        <f>IF(GD35&gt;0,GD35,"")</f>
        <v/>
      </c>
      <c r="GL35" s="14" t="str">
        <f>IF(SUM(GB35:GE35)-GF35&gt;0,SUM(GB35:GE35)-GF35,"")</f>
        <v/>
      </c>
      <c r="GM35" s="14" t="str">
        <f>IF(SUM(GJ35,GL35)&gt;0,SUM(GJ35,GL35),"")</f>
        <v/>
      </c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11" t="str">
        <f>IF(GU35&gt;0,GU35,"")</f>
        <v/>
      </c>
      <c r="HD35" s="11" t="str">
        <f>IF(SUM(GN35:GQ35)-GR35&gt;0,SUM(GN35:GQ35)-GR35,"")</f>
        <v/>
      </c>
      <c r="HE35" s="11" t="str">
        <f>IF(SUM(GS35:GV35)-GW35&gt;0,SUM(GS35:GV35)-GW35,"")</f>
        <v/>
      </c>
      <c r="HF35" s="11" t="str">
        <f>IF(SUM(HD35:HE35)&gt;0,SUM(HD35:HE35),"")</f>
        <v/>
      </c>
      <c r="HG35" s="11" t="str">
        <f>IF(GZ35&gt;0,GZ35,"")</f>
        <v/>
      </c>
      <c r="HH35" s="11" t="str">
        <f>IF(SUM(GX35:HA35)-HB35&gt;0,SUM(GX35:HA35)-HB35,"")</f>
        <v/>
      </c>
      <c r="HI35" s="11" t="str">
        <f>IF(SUM(HF35,HH35)&gt;0,SUM(HF35,HH35),"")</f>
        <v/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14" t="str">
        <f>IF(HQ35&gt;0,HQ35,"")</f>
        <v/>
      </c>
      <c r="HZ35" s="14" t="str">
        <f>IF(SUM(HJ35:HM35)-HN35&gt;0,SUM(HJ35:HM35)-HN35,"")</f>
        <v/>
      </c>
      <c r="IA35" s="14" t="str">
        <f>IF(SUM(HO35:HR35)-HS35&gt;0,SUM(HO35:HR35)-HS35,"")</f>
        <v/>
      </c>
      <c r="IB35" s="14" t="str">
        <f>IF(SUM(HZ35:IA35)&gt;0,SUM(HZ35:IA35),"")</f>
        <v/>
      </c>
      <c r="IC35" s="14" t="str">
        <f>IF(HV35&gt;0,HV35,"")</f>
        <v/>
      </c>
      <c r="ID35" s="14" t="str">
        <f>IF(SUM(HT35:HW35)-HX35&gt;0,SUM(HT35:HW35)-HX35,"")</f>
        <v/>
      </c>
      <c r="IE35" s="14" t="str">
        <f>IF(SUM(IB35,ID35)&gt;0,SUM(IB35,ID35),"")</f>
        <v/>
      </c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11" t="str">
        <f>IF(IM35&gt;0,IM35,"")</f>
        <v/>
      </c>
      <c r="IV35" s="11" t="str">
        <f>IF(SUM(IF35:II35)-IJ35&gt;0,SUM(IF35:II35)-IJ35,"")</f>
        <v/>
      </c>
      <c r="IW35" s="11" t="str">
        <f>IF(SUM(IK35:IN35)-IO35&gt;0,SUM(IK35:IN35)-IO35,"")</f>
        <v/>
      </c>
      <c r="IX35" s="11" t="str">
        <f>IF(SUM(IV35:IW35)&gt;0,SUM(IV35:IW35),"")</f>
        <v/>
      </c>
      <c r="IY35" s="11" t="str">
        <f>IF(IR35&gt;0,IR35,"")</f>
        <v/>
      </c>
      <c r="IZ35" s="11" t="str">
        <f>IF(SUM(IP35:IS35)-IT35&gt;0,SUM(IP35:IS35)-IT35,"")</f>
        <v/>
      </c>
      <c r="JA35" s="11" t="str">
        <f>IF(SUM(IX35,IZ35)&gt;0,SUM(IX35,IZ35),"")</f>
        <v/>
      </c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14" t="str">
        <f>IF(JI35&gt;0,JI35,"")</f>
        <v/>
      </c>
      <c r="JR35" s="14" t="str">
        <f>IF(SUM(JB35:JE35)-JF35&gt;0,SUM(JB35:JE35)-JF35,"")</f>
        <v/>
      </c>
      <c r="JS35" s="14" t="str">
        <f>IF(SUM(JG35:JJ35)-JK35&gt;0,SUM(JG35:JJ35)-JK35,"")</f>
        <v/>
      </c>
      <c r="JT35" s="14" t="str">
        <f>IF(SUM(JR35:JS35)&gt;0,SUM(JR35:JS35),"")</f>
        <v/>
      </c>
      <c r="JU35" s="14" t="str">
        <f>IF(JN35&gt;0,JN35,"")</f>
        <v/>
      </c>
      <c r="JV35" s="14" t="str">
        <f>IF(SUM(JL35:JO35)-JP35&gt;0,SUM(JL35:JO35)-JP35,"")</f>
        <v/>
      </c>
      <c r="JW35" s="14" t="str">
        <f>IF(SUM(JT35,JV35)&gt;0,SUM(JT35,JV35),"")</f>
        <v/>
      </c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11" t="str">
        <f>IF(KE35&gt;0,KE35,"")</f>
        <v/>
      </c>
      <c r="KN35" s="11" t="str">
        <f>IF(SUM(JX35:KA35)-KB35&gt;0,SUM(JX35:KA35)-KB35,"")</f>
        <v/>
      </c>
      <c r="KO35" s="11" t="str">
        <f>IF(SUM(KC35:KF35)-KG35&gt;0,SUM(KC35:KF35)-KG35,"")</f>
        <v/>
      </c>
      <c r="KP35" s="11" t="str">
        <f>IF(SUM(KN35:KO35)&gt;0,SUM(KN35:KO35),"")</f>
        <v/>
      </c>
      <c r="KQ35" s="11" t="str">
        <f>IF(KJ35&gt;0,KJ35,"")</f>
        <v/>
      </c>
      <c r="KR35" s="11" t="str">
        <f>IF(SUM(KH35:KK35)-KL35&gt;0,SUM(KH35:KK35)-KL35,"")</f>
        <v/>
      </c>
      <c r="KS35" s="11" t="str">
        <f>IF(SUM(KP35,KR35)&gt;0,SUM(KP35,KR35),"")</f>
        <v/>
      </c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14" t="str">
        <f>IF(LA35&gt;0,LA35,"")</f>
        <v/>
      </c>
      <c r="LJ35" s="14" t="str">
        <f>IF(SUM(KT35:KW35)-KX35&gt;0,SUM(KT35:KW35)-KX35,"")</f>
        <v/>
      </c>
      <c r="LK35" s="14" t="str">
        <f>IF(SUM(KY35:LB35)-LC35&gt;0,SUM(KY35:LB35)-LC35,"")</f>
        <v/>
      </c>
      <c r="LL35" s="14" t="str">
        <f>IF(SUM(LJ35:LK35)&gt;0,SUM(LJ35:LK35),"")</f>
        <v/>
      </c>
      <c r="LM35" s="14" t="str">
        <f>IF(LF35&gt;0,LF35,"")</f>
        <v/>
      </c>
      <c r="LN35" s="14" t="str">
        <f>IF(SUM(LD35:LG35)-LH35&gt;0,SUM(LD35:LG35)-LH35,"")</f>
        <v/>
      </c>
      <c r="LO35" s="14" t="str">
        <f>IF(SUM(LL35,LN35)&gt;0,SUM(LL35,LN35),"")</f>
        <v/>
      </c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11" t="str">
        <f>IF(LW35&gt;0,LW35,"")</f>
        <v/>
      </c>
      <c r="MF35" s="11" t="str">
        <f>IF(SUM(LP35:LS35)-LT35&gt;0,SUM(LP35:LS35)-LT35,"")</f>
        <v/>
      </c>
      <c r="MG35" s="11" t="str">
        <f>IF(SUM(LU35:LX35)-LY35&gt;0,SUM(LU35:LX35)-LY35,"")</f>
        <v/>
      </c>
      <c r="MH35" s="11" t="str">
        <f>IF(SUM(MF35:MG35)&gt;0,SUM(MF35:MG35),"")</f>
        <v/>
      </c>
      <c r="MI35" s="11" t="str">
        <f>IF(MB35&gt;0,MB35,"")</f>
        <v/>
      </c>
      <c r="MJ35" s="11" t="str">
        <f>IF(SUM(LZ35:MC35)-MD35&gt;0,SUM(LZ35:MC35)-MD35,"")</f>
        <v/>
      </c>
      <c r="MK35" s="11" t="str">
        <f>IF(SUM(MH35,MJ35)&gt;0,SUM(MH35,MJ35),"")</f>
        <v/>
      </c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14" t="str">
        <f>IF(MS35&gt;0,MS35,"")</f>
        <v/>
      </c>
      <c r="NB35" s="14" t="str">
        <f>IF(SUM(ML35:MO35)-MP35&gt;0,SUM(ML35:MO35)-MP35,"")</f>
        <v/>
      </c>
      <c r="NC35" s="14" t="str">
        <f>IF(SUM(MQ35:MT35)-MU35&gt;0,SUM(MQ35:MT35)-MU35,"")</f>
        <v/>
      </c>
      <c r="ND35" s="14" t="str">
        <f>IF(SUM(NB35:NC35)&gt;0,SUM(NB35:NC35),"")</f>
        <v/>
      </c>
      <c r="NE35" s="14" t="str">
        <f>IF(MX35&gt;0,MX35,"")</f>
        <v/>
      </c>
      <c r="NF35" s="14" t="str">
        <f>IF(SUM(MV35:MY35)-MZ35&gt;0,SUM(MV35:MY35)-MZ35,"")</f>
        <v/>
      </c>
      <c r="NG35" s="14" t="str">
        <f>IF(SUM(ND35,NF35)&gt;0,SUM(ND35,NF35),"")</f>
        <v/>
      </c>
      <c r="NH35" s="37">
        <f>IF($CR35="P",BX35,(BX35+AT35)/2)</f>
        <v>0</v>
      </c>
      <c r="NI35" s="37">
        <f>IF($CR35="P",BY35,(BY35+AU35)/2)</f>
        <v>0</v>
      </c>
      <c r="NJ35" s="37">
        <f>IF($CR35="P",BZ35,(BZ35+AV35)/2)</f>
        <v>0</v>
      </c>
      <c r="NK35" s="37">
        <f>IF($CR35="P",CA35,(CA35+AW35)/2)</f>
        <v>0</v>
      </c>
      <c r="NL35" s="37">
        <f>IF($CR35="P",CB35,(CB35+AX35)/2)</f>
        <v>0</v>
      </c>
      <c r="NM35" s="37">
        <f>IF($CR35="P",CC35,(CC35+AY35)/2)</f>
        <v>0</v>
      </c>
      <c r="NN35" s="37">
        <f>IF($CR35="P",CD35,(CD35+AZ35)/2)</f>
        <v>0</v>
      </c>
      <c r="NO35" s="37">
        <f>IF($CR35="P",CE35,(CE35+BA35)/2)</f>
        <v>0</v>
      </c>
      <c r="NP35" s="37">
        <f>IF($CR35="P",CF35,(CF35+BB35)/2)</f>
        <v>0</v>
      </c>
      <c r="NQ35" s="37">
        <f>IF($CR35="P",CG35,(CG35+BC35)/2)</f>
        <v>0</v>
      </c>
      <c r="NR35" s="37">
        <f>IF($CR35="P",CH35,(CH35+BD35)/2)</f>
        <v>0</v>
      </c>
      <c r="NS35" s="37">
        <f>IF($CR35="P",CI35,(CI35+BE35)/2)</f>
        <v>0</v>
      </c>
      <c r="NT35" s="37">
        <f>IF($CR35="P",CJ35,(CJ35+BF35)/2)</f>
        <v>0</v>
      </c>
      <c r="NU35" s="37">
        <f>IF($CR35="P",CK35,(CK35+BG35)/2)</f>
        <v>0</v>
      </c>
      <c r="NV35" s="37">
        <f>IF($CR35="P",CL35,(CL35+BH35)/2)</f>
        <v>0</v>
      </c>
      <c r="NW35" s="37">
        <f>IF($CR35="P",CM35,(CM35+BI35)/2)</f>
        <v>0</v>
      </c>
      <c r="NX35" s="37">
        <f>IF($CR35="P",CN35,(CN35+BJ35)/2)</f>
        <v>0</v>
      </c>
      <c r="NY35" s="37">
        <f>IF($CR35="P",CO35,(CO35+BK35)/2)</f>
        <v>0</v>
      </c>
      <c r="NZ35" s="37">
        <f>IF($CR35="P",CP35,(CP35+BL35)/2)</f>
        <v>0</v>
      </c>
      <c r="OA35" s="37">
        <f>IF($CR35="P",CQ35,(CQ35+BM35)/2)</f>
        <v>0</v>
      </c>
      <c r="OB35" s="44" t="s">
        <v>46</v>
      </c>
      <c r="OC35" s="11" t="str">
        <f>IF(SUM(NH35:NK35)-NL35&gt;0,SUM(NH35:NK35)-NL35,"")</f>
        <v/>
      </c>
      <c r="OD35" s="11" t="str">
        <f>IF(NO35&gt;0,NO35,"")</f>
        <v/>
      </c>
      <c r="OE35" s="11" t="str">
        <f>IF(SUM(NM35:NP35)-NQ35&gt;0,SUM(NM35:NP35)-NQ35,"")</f>
        <v/>
      </c>
      <c r="OF35" s="11" t="str">
        <f>IF(NT35&gt;0,NT35,"")</f>
        <v/>
      </c>
      <c r="OG35" s="11" t="str">
        <f>IF(SUM(NR35:NU35)-NV35&gt;0,SUM(NR35:NU35)-NV35,"")</f>
        <v/>
      </c>
      <c r="OH35" s="11" t="str">
        <f>IF(OR(OC35&lt;&gt;"",OE35&lt;&gt;"",OG35&lt;&gt;""),OC35+MAX(OE35,OG35),"")</f>
        <v/>
      </c>
      <c r="OI35" s="11" t="str">
        <f>IF(NY35&gt;0,NY35,"")</f>
        <v/>
      </c>
      <c r="OJ35" s="11" t="str">
        <f t="shared" ref="OJ35" si="50">IF(SUM(NW35:NZ35)-OA35&gt;0,SUM(NW35:NZ35)-OA35,"")</f>
        <v/>
      </c>
      <c r="OK35" s="11" t="str">
        <f t="shared" ref="OK35" si="51">IF(SUM(OH35,OJ35)&gt;0,SUM(OH35,OJ35),"")</f>
        <v/>
      </c>
    </row>
    <row r="36" spans="1:401" x14ac:dyDescent="0.2">
      <c r="A36" s="5" t="str" cm="1">
        <f t="array" ref="A36">IF(AND(F36="P",G36="P"),SUMPRODUCT((F$4:F$37="P")*(G$4:G$37="P")*(E$4:E$37&gt;E36))+1,IF(G36="P",SUMPRODUCT((F$4:F$37="")*(G$4:G$37="P")*(E$4:E$37&gt;E36))+1+SUMPRODUCT((F$4:F$37="P")*(G$4:G$37="P")),""))</f>
        <v/>
      </c>
      <c r="B36" s="6" t="s">
        <v>109</v>
      </c>
      <c r="C36" s="7" t="s">
        <v>4</v>
      </c>
      <c r="D36" s="21">
        <v>2001</v>
      </c>
      <c r="E36" s="15">
        <f>SUM(I36:M36)+I36*0.0000001</f>
        <v>0</v>
      </c>
      <c r="F36" s="3" t="str">
        <f>IF(OR(AND(AL36&gt;=AS$39,AM36&gt;=AS$43,AL36&lt;&gt;"",AJ36=""),AND(AN36&gt;=AS$39,AO36&gt;=AS$43,AN36&lt;&gt;"",AN36=""),AND(AQ36&gt;=AS$39,AR36&gt;=AS$43,AQ36&lt;&gt;"",AJ36=""),AND(BP36&gt;=BW$39,BQ36&gt;=BW$43,BP36&lt;&gt;"",BN36=""),AND(BR36&gt;=BW$39,BS36&gt;=BW$43,BR36&lt;&gt;"",BN36=""),AND(BU36&gt;=BW$39,BV36&gt;=BW$43,BU36&lt;&gt;"",BN36=""),AND(CT36&gt;=DA$39,CU36&gt;=DA$43,CT36&lt;&gt;"",CR36=""),AND(CV36&gt;=DA$39,CW36&gt;=DA$43,CV36&lt;&gt;"",CR36=""),AND(CY36&gt;=DA$39,CZ36&gt;=DA$43,CY36&lt;&gt;"",CR36=""),AND(DS36&gt;=DY$39,DU36&gt;=DY$43,DS36&lt;&gt;""),AND(DW36&gt;=DY$39,DX36&gt;=DY$43,DW36&lt;&gt;""),AND(EO36&gt;=EU$39,EQ36&gt;=EU$43,EO36&lt;&gt;""),AND(ES36&gt;=EU$39,ET36&gt;=EU$43,ES36&lt;&gt;""),AND(FK36&gt;=FQ$39,FM36&gt;=FQ$43,FK36&lt;&gt;""),AND(FO36&gt;=FQ$39,FP36&gt;=FQ$43,FO36&lt;&gt;""),AND(GG36&gt;=GM$39,GI36&gt;=GM$43,GG36&lt;&gt;""),AND(GK36&gt;=GM$39,GL36&gt;=GM$43,GK36&lt;&gt;""),AND(HC36&gt;=HI$39,HE36&gt;=HI$43,HC36&lt;&gt;""),AND(HG36&gt;=HI$39,HH36&gt;=HI$43,HG36&lt;&gt;""),AND(HY36&gt;=IE$39,IA36&gt;=IE$43,HY36&lt;&gt;""),AND(IC36&gt;=IE$39,ID36&gt;=IE$43,IC36&lt;&gt;""),AND(IU36&gt;=JA$39,IW36&gt;=JA$43,IU36&lt;&gt;""),AND(IY36&gt;=JA$39,IZ36&gt;=JA$43,IY36&lt;&gt;""),AND(JQ36&gt;=JW$39,JS36&gt;=JW$43,JQ36&lt;&gt;""),AND(JU36&gt;=JW$39,JV36&gt;=JW$43,JU36&lt;&gt;""),AND(KM36&gt;=KS$39,KO36&gt;=KS$43,KM36&lt;&gt;""),AND(KQ36&gt;=KS$39,KR36&gt;=KS$43,KQ36&lt;&gt;""),AND(LI36&gt;=LO$39,LK36&gt;=LO$43,LI36&lt;&gt;""),AND(LM36&gt;=LO$39,LN36&gt;=LO$43,LM36&lt;&gt;""),AND(ME36&gt;=MK$39,MG36&gt;=MK$43,ME36&lt;&gt;""),AND(MI36&gt;=MK$39,MJ36&gt;=MK$43,MI36&lt;&gt;""),AND(NA36&gt;=NG$39,NC36&gt;=NG$43,NA36&lt;&gt;""),AND(NE36&gt;=NG$39,NF36&gt;=NG$43,NE36&lt;&gt;"")),"P","")</f>
        <v/>
      </c>
      <c r="G36" s="3" t="str">
        <f>IF(OR(AND(AM36&gt;=AS$43,AL36&lt;&gt;"",AJ36=""),AND(AO36&gt;=AS$43,AN36&lt;&gt;"",AN36=""),AND(AR36&gt;=AS$43,AQ36&lt;&gt;"",AJ36=""),AND(BQ36&gt;=BW$43,BP36&lt;&gt;"",BN36=""),AND(BS36&gt;=BW$43,BR36&lt;&gt;"",BN36=""),AND(BV36&gt;=BW$43,BU36&lt;&gt;"",BN36=""),AND(CU36&gt;=DA$43,CT36&lt;&gt;"",CR36=""),AND(CW36&gt;=DA$43,CV36&lt;&gt;"",CR36=""),AND(CZ36&gt;=DA$43,CY36&lt;&gt;"",CR36=""),AND(DU36&gt;=DY$43,DS36&lt;&gt;""),AND(DX36&gt;=DY$43,DW36&lt;&gt;""),AND(EQ36&gt;=EU$43,EO36&lt;&gt;""),AND(ET36&gt;=EU$43,ES36&lt;&gt;""),AND(FM36&gt;=FQ$43,FK36&lt;&gt;""),AND(FP36&gt;=FQ$43,FO36&lt;&gt;""),AND(GI36&gt;=GM$43,GG36&lt;&gt;""),AND(GL36&gt;=GM$43,GK36&lt;&gt;""),AND(HE36&gt;=HI$43,HC36&lt;&gt;""),AND(HH36&gt;=HI$43,HG36&lt;&gt;""),AND(IA36&gt;=IE$43,HY36&lt;&gt;""),AND(ID36&gt;=IE$43,IC36&lt;&gt;""),AND(IW36&gt;=JA$43,IU36&lt;&gt;""),AND(IZ36&gt;=JA$43,IY36&lt;&gt;""),AND(JS36&gt;=JW$43,JQ36&lt;&gt;""),AND(JV36&gt;=JW$43,JU36&lt;&gt;""),AND(KO36&gt;=KS$43,KM36&lt;&gt;""),AND(KR36&gt;=KS$43,KQ36&lt;&gt;""),AND(LK36&gt;=LO$43,LI36&lt;&gt;""),AND(LN36&gt;=LO$43,LM36&lt;&gt;""),AND(MG36&gt;=MK$43,ME36&lt;&gt;""),AND(MJ36&gt;=MK$43,MI36&lt;&gt;""),AND(NC36&gt;=NG$43,NA36&lt;&gt;""),AND(NF36&gt;=NG$43,NE36&lt;&gt;"")),"P","")</f>
        <v/>
      </c>
      <c r="H36" s="66" t="str">
        <f>IF(F36="P","National Team",IF(G36="P","No DD",""))</f>
        <v/>
      </c>
      <c r="I36" s="14">
        <f>MAX(AM36,AO36,AR36,BQ36,BS36,BV36,CU36,CW36,CZ36)</f>
        <v>0</v>
      </c>
      <c r="J36" s="14" t="str">
        <f>IF(I36=0,"",IF(OR(I36=CW36,I36=CU36,I36=CZ36),$BX$1,IF(OR(I36=BS36,I36=BQ36,I36=BV36),$AT$1,IF(OR(I36=AO36,I36=AM36,I36=AR36),$P$1,""))))</f>
        <v/>
      </c>
      <c r="K36" s="14">
        <f>IF(COUNT(AM36,AO36,AR36,BQ36,BS36,BV36,CU36,CW36,CZ36)&gt;1,LARGE((AM36,AO36,AR36,BQ36,BS36,BV36,CU36,CW36,CZ36),2),0)</f>
        <v>0</v>
      </c>
      <c r="L36" s="14" t="str">
        <f>IF(K36=0,"",IF(OR(K36=CW36,K36=CU36,K36=CZ36),$BX$1,IF(OR(K36=BS36,K36=BQ36,K36=BV36),$AT$1,IF(OR(K36=AO36,K36=AM36,K36=AR36),$P$1,""))))</f>
        <v/>
      </c>
      <c r="M36" s="14" t="str">
        <f>IF(MAX(DB36,DC36)&gt;0,MAX(DB36,DC36),"")</f>
        <v/>
      </c>
      <c r="N36" s="19" t="str">
        <f>IF(M36="","",IF(M36=DB36,"(Prelim)",IF(M36=DC36,"(Final)")))</f>
        <v/>
      </c>
      <c r="O36" s="14" t="str">
        <f>IF(M36="","",IF(M36=DB36,IF(M36+IF(K36="",0,K36)=NC36,$ML$1,IF(M36+IF(K36="",0,K36)=MG36,$LP$1,IF(M36+IF(K36="",0,K36)=LK36,$KT$1,IF(M36+IF(K36="",0,K36)=KO36,$JX$1,IF(M36+IF(K36="",0,K36)=JS36,$JB$1,IF(M36+IF(K36="",0,K36)=IW36,$IF$1,IF(M36+IF(K36="",0,K36)=IA36,$HJ$1,IF(M36+IF(K36="",0,K36)=HE36,$GN$1,IF(M36+IF(K36="",0,K36)=GI36,$FR$1,IF(M36+IF(K36="",0,K36)=FM36,$EV$1,IF(M36+IF(K36="",0,K36)=EQ36,$DZ$1,IF(M36+IF(K36="",0,K36)=DU36,$DD$1,IF(M36+IF(K36="",0,K36)=NB36,$ML$1,IF(M36+IF(K36="",0,K36)=MF36,$LP$1,IF(M36+IF(K36="",0,K36)=LJ36,$KT$1,IF(M36+IF(K36="",0,K36)=KN36,$JX$1,IF(M36+IF(K36="",0,K36)=JR36,$JB$1,IF(M36+IF(K36="",0,K36)=IV36,$IF$1,IF(M36+IF(K36="",0,K36)=HZ36,$HJ$1,IF(M36+IF(K36="",0,K36)=HD36,$GN$1,IF(M36+IF(K36="",0,K36)=GH36,$FR$1,IF(M36+IF(K36="",0,K36)=FL36,$EV$1,IF(M36+IF(K36="",0,K36)=EP36,$DZ$1,IF(M36+IF(K36="",0,K36)=DT36,$DD$1)))))))))))))))))))))))),IF(M36=DC36,IF(M36+IF(K36="",0,K36)=NF36,$ML$1,IF(M36+IF(K36="",0,K36)=MJ36,$LP$1,IF(M36+IF(K36="",0,K36)=LN36,$KT$1,IF(M36+IF(K36="",0,K36)=KR36,$JX$1,IF(M36+IF(K36="",0,K36)=JV36,$JB$1,IF(M36+IF(K36="",0,K36)=IZ36,$IF$1,IF(M36+IF(K36="",0,K36)=ID36,$HJ$1,IF(M36+IF(K36="",0,K36)=HH36,$GN$1,IF(M36+IF(K36="",0,K36)=GL36,$FR$1,IF(M36+IF(K36="",0,K36)=FP36,$EV$1,IF(M36+IF(K36="",0,K36)=ET36,$DZ$1,IF(M36+IF(K36="",0,K36)=DX36,$DD$1)))))))))))))))</f>
        <v/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44"/>
      <c r="AK36" s="11" t="str">
        <f>IF(SUM(P36:S36)-T36&gt;0,SUM(P36:S36)-T36,"")</f>
        <v/>
      </c>
      <c r="AL36" s="11" t="str">
        <f>IF(W36&gt;0,W36,"")</f>
        <v/>
      </c>
      <c r="AM36" s="11" t="str">
        <f>IF(SUM(U36:X36)-Y36&gt;0,SUM(U36:X36)-Y36,"")</f>
        <v/>
      </c>
      <c r="AN36" s="11" t="str">
        <f>IF(AB36&gt;0,AB36,"")</f>
        <v/>
      </c>
      <c r="AO36" s="11" t="str">
        <f>IF(SUM(Z36:AC36)-AD36&gt;0,SUM(Z36:AC36)-AD36,"")</f>
        <v/>
      </c>
      <c r="AP36" s="11" t="str">
        <f>IF(AK36="",IF(MAX(AM36,AO36)&gt;0,MAX(AM36,AO36),""),MAX(AM36,AO36)+AK36)</f>
        <v/>
      </c>
      <c r="AQ36" s="11" t="str">
        <f>IF(AG36&gt;0,AG36,"")</f>
        <v/>
      </c>
      <c r="AR36" s="11" t="str">
        <f>IF(SUM(AE36:AH36)-AI36&gt;0,SUM(AE36:AH36)-AI36,"")</f>
        <v/>
      </c>
      <c r="AS36" s="11" t="str">
        <f>IF(SUM(AP36,AR36)&gt;0,SUM(AP36,AR36),"")</f>
        <v/>
      </c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5"/>
      <c r="BO36" s="14" t="str">
        <f>IF(SUM(AT36:AW36)-AX36&gt;0,SUM(AT36:AW36)-AX36,"")</f>
        <v/>
      </c>
      <c r="BP36" s="14" t="str">
        <f>IF(BA36&gt;0,BA36,"")</f>
        <v/>
      </c>
      <c r="BQ36" s="14" t="str">
        <f>IF(SUM(AY36:BB36)-BC36&gt;0,SUM(AY36:BB36)-BC36,"")</f>
        <v/>
      </c>
      <c r="BR36" s="14" t="str">
        <f>IF(BF36&gt;0,BF36,"")</f>
        <v/>
      </c>
      <c r="BS36" s="14" t="str">
        <f>IF(SUM(BD36:BG36)-BH36&gt;0,SUM(BD36:BG36)-BH36,"")</f>
        <v/>
      </c>
      <c r="BT36" s="14" t="str">
        <f>IF(BO36="",IF(MAX(BQ36,BS36)&gt;0,MAX(BQ36,BS36),""),MAX(BQ36,BS36)+BO36)</f>
        <v/>
      </c>
      <c r="BU36" s="14" t="str">
        <f>IF(BK36&gt;0,BK36,"")</f>
        <v/>
      </c>
      <c r="BV36" s="14" t="str">
        <f>IF(SUM(BI36:BL36)-BM36&gt;0,SUM(BI36:BL36)-BM36,"")</f>
        <v/>
      </c>
      <c r="BW36" s="14" t="str">
        <f>IF(SUM(BT36,BV36)&gt;0,SUM(BT36,BV36),"")</f>
        <v/>
      </c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44"/>
      <c r="CS36" s="11" t="str">
        <f>IF(SUM(BX36:CA36)-CB36&gt;0,SUM(BX36:CA36)-CB36,"")</f>
        <v/>
      </c>
      <c r="CT36" s="11" t="str">
        <f>IF(CE36&gt;0,CE36,"")</f>
        <v/>
      </c>
      <c r="CU36" s="11" t="str">
        <f>IF(SUM(CC36:CF36)-CG36&gt;0,SUM(CC36:CF36)-CG36,"")</f>
        <v/>
      </c>
      <c r="CV36" s="11" t="str">
        <f>IF(CJ36&gt;0,CJ36,"")</f>
        <v/>
      </c>
      <c r="CW36" s="11" t="str">
        <f>IF(SUM(CH36:CK36)-CL36&gt;0,SUM(CH36:CK36)-CL36,"")</f>
        <v/>
      </c>
      <c r="CX36" s="11" t="str">
        <f>IF(CS36="",IF(MAX(CU36,CW36)&gt;0,MAX(CU36,CW36),""),MAX(CU36,CW36)+CS36)</f>
        <v/>
      </c>
      <c r="CY36" s="11" t="str">
        <f>IF(CO36&gt;0,CO36,"")</f>
        <v/>
      </c>
      <c r="CZ36" s="11" t="str">
        <f>IF(SUM(CM36:CP36)-CQ36&gt;0,SUM(CM36:CP36)-CQ36,"")</f>
        <v/>
      </c>
      <c r="DA36" s="11" t="str">
        <f>IF(SUM(CX36,CZ36)&gt;0,SUM(CX36,CZ36),"")</f>
        <v/>
      </c>
      <c r="DB36" s="18" t="str">
        <f>IF(K36&gt;=0.001,IF(MAX(DT36,DU36,EP36,EQ36,FL36,FM36,GH36,GI36,HD36,HE36,HZ36,IA36,IV36,IW36,JR36,JS36,KN36,KO36,LJ36,LK36,MF36,MG36,NB36,NC36)-IF(K36="",0,K36)&gt;0.001,MAX(DT36,DU36,EP36,EQ36,FL36,FM36,GH36,GI36,HD36,HE36,HZ36,IA36,IV36,IW36,JR36,JS36,KN36,KO36,LJ36,LK36,MF36,MG36,NB36,NC36)-IF(K36="",0,K36),""),"")</f>
        <v/>
      </c>
      <c r="DC36" s="18" t="str">
        <f>IF(K36&gt;=0.001,IF(MAX(DX36,ET36,FP36,GL36,HH36,ID36,IZ36,JV36,KR36,LN36,MJ36,NF36)-IF(K36="",0,K36)&gt;0.001,MAX(DX36,ET36,FP36,GL36,HH36,ID36,IZ36,JV36,KR36,LN36,MJ36,NF36)-IF(K36="",0,K36),""),"")</f>
        <v/>
      </c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11" t="str">
        <f>IF(DK36&gt;0,DK36,"")</f>
        <v/>
      </c>
      <c r="DT36" s="11" t="str">
        <f>IF(SUM(DD36:DG36)-DH36&gt;0,SUM(DD36:DG36)-DH36,"")</f>
        <v/>
      </c>
      <c r="DU36" s="11" t="str">
        <f>IF(SUM(DI36:DL36)-DM36&gt;0,SUM(DI36:DL36)-DM36,"")</f>
        <v/>
      </c>
      <c r="DV36" s="11" t="str">
        <f>IF(SUM(DT36:DU36)&gt;0,SUM(DT36:DU36),"")</f>
        <v/>
      </c>
      <c r="DW36" s="11" t="str">
        <f>IF(DP36&gt;0,DP36,"")</f>
        <v/>
      </c>
      <c r="DX36" s="11" t="str">
        <f>IF(SUM(DN36:DQ36)-DR36&gt;0,SUM(DN36:DQ36)-DR36,"")</f>
        <v/>
      </c>
      <c r="DY36" s="11" t="str">
        <f>IF(SUM(DV36,DX36)&gt;0,SUM(DV36,DX36),"")</f>
        <v/>
      </c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14" t="str">
        <f>IF(EG36&gt;0,EG36,"")</f>
        <v/>
      </c>
      <c r="EP36" s="14" t="str">
        <f>IF(SUM(DZ36:EC36)-ED36&gt;0,SUM(DZ36:EC36)-ED36,"")</f>
        <v/>
      </c>
      <c r="EQ36" s="14" t="str">
        <f>IF(SUM(EE36:EH36)-EI36&gt;0,SUM(EE36:EH36)-EI36,"")</f>
        <v/>
      </c>
      <c r="ER36" s="14" t="str">
        <f>IF(SUM(EP36:EQ36)&gt;0,SUM(EP36:EQ36),"")</f>
        <v/>
      </c>
      <c r="ES36" s="14" t="str">
        <f>IF(EL36&gt;0,EL36,"")</f>
        <v/>
      </c>
      <c r="ET36" s="14" t="str">
        <f>IF(SUM(EJ36:EM36)-EN36&gt;0,SUM(EJ36:EM36)-EN36,"")</f>
        <v/>
      </c>
      <c r="EU36" s="14" t="str">
        <f>IF(SUM(ER36,ET36)&gt;0,SUM(ER36,ET36),"")</f>
        <v/>
      </c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11" t="str">
        <f>IF(FC36&gt;0,FC36,"")</f>
        <v/>
      </c>
      <c r="FL36" s="11" t="str">
        <f>IF(SUM(EV36:EY36)-EZ36&gt;0,SUM(EV36:EY36)-EZ36,"")</f>
        <v/>
      </c>
      <c r="FM36" s="11" t="str">
        <f>IF(SUM(FA36:FD36)-FE36&gt;0,SUM(FA36:FD36)-FE36,"")</f>
        <v/>
      </c>
      <c r="FN36" s="11" t="str">
        <f>IF(SUM(FL36:FM36)&gt;0,SUM(FL36:FM36),"")</f>
        <v/>
      </c>
      <c r="FO36" s="11" t="str">
        <f>IF(FH36&gt;0,FH36,"")</f>
        <v/>
      </c>
      <c r="FP36" s="11" t="str">
        <f>IF(SUM(FF36:FI36)-FJ36&gt;0,SUM(FF36:FI36)-FJ36,"")</f>
        <v/>
      </c>
      <c r="FQ36" s="11" t="str">
        <f>IF(SUM(FN36,FP36)&gt;0,SUM(FN36,FP36),"")</f>
        <v/>
      </c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14" t="str">
        <f>IF(FY36&gt;0,FY36,"")</f>
        <v/>
      </c>
      <c r="GH36" s="14" t="str">
        <f>IF(SUM(FR36:FU36)-FV36&gt;0,SUM(FR36:FU36)-FV36,"")</f>
        <v/>
      </c>
      <c r="GI36" s="14" t="str">
        <f>IF(SUM(FW36:FZ36)-GA36&gt;0,SUM(FW36:FZ36)-GA36,"")</f>
        <v/>
      </c>
      <c r="GJ36" s="14" t="str">
        <f>IF(SUM(GH36:GI36)&gt;0,SUM(GH36:GI36),"")</f>
        <v/>
      </c>
      <c r="GK36" s="14" t="str">
        <f>IF(GD36&gt;0,GD36,"")</f>
        <v/>
      </c>
      <c r="GL36" s="14" t="str">
        <f>IF(SUM(GB36:GE36)-GF36&gt;0,SUM(GB36:GE36)-GF36,"")</f>
        <v/>
      </c>
      <c r="GM36" s="14" t="str">
        <f>IF(SUM(GJ36,GL36)&gt;0,SUM(GJ36,GL36),"")</f>
        <v/>
      </c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11" t="str">
        <f>IF(GU36&gt;0,GU36,"")</f>
        <v/>
      </c>
      <c r="HD36" s="11" t="str">
        <f>IF(SUM(GN36:GQ36)-GR36&gt;0,SUM(GN36:GQ36)-GR36,"")</f>
        <v/>
      </c>
      <c r="HE36" s="11" t="str">
        <f>IF(SUM(GS36:GV36)-GW36&gt;0,SUM(GS36:GV36)-GW36,"")</f>
        <v/>
      </c>
      <c r="HF36" s="11" t="str">
        <f>IF(SUM(HD36:HE36)&gt;0,SUM(HD36:HE36),"")</f>
        <v/>
      </c>
      <c r="HG36" s="11" t="str">
        <f>IF(GZ36&gt;0,GZ36,"")</f>
        <v/>
      </c>
      <c r="HH36" s="11" t="str">
        <f>IF(SUM(GX36:HA36)-HB36&gt;0,SUM(GX36:HA36)-HB36,"")</f>
        <v/>
      </c>
      <c r="HI36" s="11" t="str">
        <f>IF(SUM(HF36,HH36)&gt;0,SUM(HF36,HH36),"")</f>
        <v/>
      </c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14" t="str">
        <f>IF(HQ36&gt;0,HQ36,"")</f>
        <v/>
      </c>
      <c r="HZ36" s="14" t="str">
        <f>IF(SUM(HJ36:HM36)-HN36&gt;0,SUM(HJ36:HM36)-HN36,"")</f>
        <v/>
      </c>
      <c r="IA36" s="14" t="str">
        <f>IF(SUM(HO36:HR36)-HS36&gt;0,SUM(HO36:HR36)-HS36,"")</f>
        <v/>
      </c>
      <c r="IB36" s="14" t="str">
        <f>IF(SUM(HZ36:IA36)&gt;0,SUM(HZ36:IA36),"")</f>
        <v/>
      </c>
      <c r="IC36" s="14" t="str">
        <f>IF(HV36&gt;0,HV36,"")</f>
        <v/>
      </c>
      <c r="ID36" s="14" t="str">
        <f>IF(SUM(HT36:HW36)-HX36&gt;0,SUM(HT36:HW36)-HX36,"")</f>
        <v/>
      </c>
      <c r="IE36" s="14" t="str">
        <f>IF(SUM(IB36,ID36)&gt;0,SUM(IB36,ID36),"")</f>
        <v/>
      </c>
      <c r="IF36" s="24"/>
      <c r="IG36" s="24"/>
      <c r="IH36" s="24"/>
      <c r="II36" s="24"/>
      <c r="IJ36" s="24"/>
      <c r="IK36" s="24"/>
      <c r="IL36" s="24"/>
      <c r="IM36" s="24"/>
      <c r="IN36" s="24"/>
      <c r="IO36" s="24"/>
      <c r="IP36" s="24"/>
      <c r="IQ36" s="24"/>
      <c r="IR36" s="24"/>
      <c r="IS36" s="24"/>
      <c r="IT36" s="24"/>
      <c r="IU36" s="11" t="str">
        <f>IF(IM36&gt;0,IM36,"")</f>
        <v/>
      </c>
      <c r="IV36" s="11" t="str">
        <f>IF(SUM(IF36:II36)-IJ36&gt;0,SUM(IF36:II36)-IJ36,"")</f>
        <v/>
      </c>
      <c r="IW36" s="11" t="str">
        <f>IF(SUM(IK36:IN36)-IO36&gt;0,SUM(IK36:IN36)-IO36,"")</f>
        <v/>
      </c>
      <c r="IX36" s="11" t="str">
        <f>IF(SUM(IV36:IW36)&gt;0,SUM(IV36:IW36),"")</f>
        <v/>
      </c>
      <c r="IY36" s="11" t="str">
        <f>IF(IR36&gt;0,IR36,"")</f>
        <v/>
      </c>
      <c r="IZ36" s="11" t="str">
        <f>IF(SUM(IP36:IS36)-IT36&gt;0,SUM(IP36:IS36)-IT36,"")</f>
        <v/>
      </c>
      <c r="JA36" s="11" t="str">
        <f>IF(SUM(IX36,IZ36)&gt;0,SUM(IX36,IZ36),"")</f>
        <v/>
      </c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14" t="str">
        <f>IF(JI36&gt;0,JI36,"")</f>
        <v/>
      </c>
      <c r="JR36" s="14" t="str">
        <f>IF(SUM(JB36:JE36)-JF36&gt;0,SUM(JB36:JE36)-JF36,"")</f>
        <v/>
      </c>
      <c r="JS36" s="14" t="str">
        <f>IF(SUM(JG36:JJ36)-JK36&gt;0,SUM(JG36:JJ36)-JK36,"")</f>
        <v/>
      </c>
      <c r="JT36" s="14" t="str">
        <f>IF(SUM(JR36:JS36)&gt;0,SUM(JR36:JS36),"")</f>
        <v/>
      </c>
      <c r="JU36" s="14" t="str">
        <f>IF(JN36&gt;0,JN36,"")</f>
        <v/>
      </c>
      <c r="JV36" s="14" t="str">
        <f>IF(SUM(JL36:JO36)-JP36&gt;0,SUM(JL36:JO36)-JP36,"")</f>
        <v/>
      </c>
      <c r="JW36" s="14" t="str">
        <f>IF(SUM(JT36,JV36)&gt;0,SUM(JT36,JV36),"")</f>
        <v/>
      </c>
      <c r="JX36" s="24"/>
      <c r="JY36" s="24"/>
      <c r="JZ36" s="24"/>
      <c r="KA36" s="24"/>
      <c r="KB36" s="24"/>
      <c r="KC36" s="24"/>
      <c r="KD36" s="24"/>
      <c r="KE36" s="24"/>
      <c r="KF36" s="24"/>
      <c r="KG36" s="24"/>
      <c r="KH36" s="24"/>
      <c r="KI36" s="24"/>
      <c r="KJ36" s="24"/>
      <c r="KK36" s="24"/>
      <c r="KL36" s="24"/>
      <c r="KM36" s="11" t="str">
        <f>IF(KE36&gt;0,KE36,"")</f>
        <v/>
      </c>
      <c r="KN36" s="11" t="str">
        <f>IF(SUM(JX36:KA36)-KB36&gt;0,SUM(JX36:KA36)-KB36,"")</f>
        <v/>
      </c>
      <c r="KO36" s="11" t="str">
        <f>IF(SUM(KC36:KF36)-KG36&gt;0,SUM(KC36:KF36)-KG36,"")</f>
        <v/>
      </c>
      <c r="KP36" s="11" t="str">
        <f>IF(SUM(KN36:KO36)&gt;0,SUM(KN36:KO36),"")</f>
        <v/>
      </c>
      <c r="KQ36" s="11" t="str">
        <f>IF(KJ36&gt;0,KJ36,"")</f>
        <v/>
      </c>
      <c r="KR36" s="11" t="str">
        <f>IF(SUM(KH36:KK36)-KL36&gt;0,SUM(KH36:KK36)-KL36,"")</f>
        <v/>
      </c>
      <c r="KS36" s="11" t="str">
        <f>IF(SUM(KP36,KR36)&gt;0,SUM(KP36,KR36),"")</f>
        <v/>
      </c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14" t="str">
        <f>IF(LA36&gt;0,LA36,"")</f>
        <v/>
      </c>
      <c r="LJ36" s="14" t="str">
        <f>IF(SUM(KT36:KW36)-KX36&gt;0,SUM(KT36:KW36)-KX36,"")</f>
        <v/>
      </c>
      <c r="LK36" s="14" t="str">
        <f>IF(SUM(KY36:LB36)-LC36&gt;0,SUM(KY36:LB36)-LC36,"")</f>
        <v/>
      </c>
      <c r="LL36" s="14" t="str">
        <f>IF(SUM(LJ36:LK36)&gt;0,SUM(LJ36:LK36),"")</f>
        <v/>
      </c>
      <c r="LM36" s="14" t="str">
        <f>IF(LF36&gt;0,LF36,"")</f>
        <v/>
      </c>
      <c r="LN36" s="14" t="str">
        <f>IF(SUM(LD36:LG36)-LH36&gt;0,SUM(LD36:LG36)-LH36,"")</f>
        <v/>
      </c>
      <c r="LO36" s="14" t="str">
        <f>IF(SUM(LL36,LN36)&gt;0,SUM(LL36,LN36),"")</f>
        <v/>
      </c>
      <c r="LP36" s="24"/>
      <c r="LQ36" s="24"/>
      <c r="LR36" s="24"/>
      <c r="LS36" s="24"/>
      <c r="LT36" s="24"/>
      <c r="LU36" s="24"/>
      <c r="LV36" s="24"/>
      <c r="LW36" s="24"/>
      <c r="LX36" s="24"/>
      <c r="LY36" s="24"/>
      <c r="LZ36" s="24"/>
      <c r="MA36" s="24"/>
      <c r="MB36" s="24"/>
      <c r="MC36" s="24"/>
      <c r="MD36" s="24"/>
      <c r="ME36" s="11" t="str">
        <f>IF(LW36&gt;0,LW36,"")</f>
        <v/>
      </c>
      <c r="MF36" s="11" t="str">
        <f>IF(SUM(LP36:LS36)-LT36&gt;0,SUM(LP36:LS36)-LT36,"")</f>
        <v/>
      </c>
      <c r="MG36" s="11" t="str">
        <f>IF(SUM(LU36:LX36)-LY36&gt;0,SUM(LU36:LX36)-LY36,"")</f>
        <v/>
      </c>
      <c r="MH36" s="11" t="str">
        <f>IF(SUM(MF36:MG36)&gt;0,SUM(MF36:MG36),"")</f>
        <v/>
      </c>
      <c r="MI36" s="11" t="str">
        <f>IF(MB36&gt;0,MB36,"")</f>
        <v/>
      </c>
      <c r="MJ36" s="11" t="str">
        <f>IF(SUM(LZ36:MC36)-MD36&gt;0,SUM(LZ36:MC36)-MD36,"")</f>
        <v/>
      </c>
      <c r="MK36" s="11" t="str">
        <f>IF(SUM(MH36,MJ36)&gt;0,SUM(MH36,MJ36),"")</f>
        <v/>
      </c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14" t="str">
        <f>IF(MS36&gt;0,MS36,"")</f>
        <v/>
      </c>
      <c r="NB36" s="14" t="str">
        <f>IF(SUM(ML36:MO36)-MP36&gt;0,SUM(ML36:MO36)-MP36,"")</f>
        <v/>
      </c>
      <c r="NC36" s="14" t="str">
        <f>IF(SUM(MQ36:MT36)-MU36&gt;0,SUM(MQ36:MT36)-MU36,"")</f>
        <v/>
      </c>
      <c r="ND36" s="14" t="str">
        <f>IF(SUM(NB36:NC36)&gt;0,SUM(NB36:NC36),"")</f>
        <v/>
      </c>
      <c r="NE36" s="14" t="str">
        <f>IF(MX36&gt;0,MX36,"")</f>
        <v/>
      </c>
      <c r="NF36" s="14" t="str">
        <f>IF(SUM(MV36:MY36)-MZ36&gt;0,SUM(MV36:MY36)-MZ36,"")</f>
        <v/>
      </c>
      <c r="NG36" s="14" t="str">
        <f>IF(SUM(ND36,NF36)&gt;0,SUM(ND36,NF36),"")</f>
        <v/>
      </c>
      <c r="NH36" s="37">
        <f>IF($CR36="P",BX36,(BX36+AT36)/2)</f>
        <v>0</v>
      </c>
      <c r="NI36" s="37">
        <f>IF($CR36="P",BY36,(BY36+AU36)/2)</f>
        <v>0</v>
      </c>
      <c r="NJ36" s="37">
        <f>IF($CR36="P",BZ36,(BZ36+AV36)/2)</f>
        <v>0</v>
      </c>
      <c r="NK36" s="37">
        <f>IF($CR36="P",CA36,(CA36+AW36)/2)</f>
        <v>0</v>
      </c>
      <c r="NL36" s="37">
        <f>IF($CR36="P",CB36,(CB36+AX36)/2)</f>
        <v>0</v>
      </c>
      <c r="NM36" s="37">
        <f>IF($CR36="P",CC36,(CC36+AY36)/2)</f>
        <v>0</v>
      </c>
      <c r="NN36" s="37">
        <f>IF($CR36="P",CD36,(CD36+AZ36)/2)</f>
        <v>0</v>
      </c>
      <c r="NO36" s="37">
        <f>IF($CR36="P",CE36,(CE36+BA36)/2)</f>
        <v>0</v>
      </c>
      <c r="NP36" s="37">
        <f>IF($CR36="P",CF36,(CF36+BB36)/2)</f>
        <v>0</v>
      </c>
      <c r="NQ36" s="37">
        <f>IF($CR36="P",CG36,(CG36+BC36)/2)</f>
        <v>0</v>
      </c>
      <c r="NR36" s="37">
        <f>IF($CR36="P",CH36,(CH36+BD36)/2)</f>
        <v>0</v>
      </c>
      <c r="NS36" s="37">
        <f>IF($CR36="P",CI36,(CI36+BE36)/2)</f>
        <v>0</v>
      </c>
      <c r="NT36" s="37">
        <f>IF($CR36="P",CJ36,(CJ36+BF36)/2)</f>
        <v>0</v>
      </c>
      <c r="NU36" s="37">
        <f>IF($CR36="P",CK36,(CK36+BG36)/2)</f>
        <v>0</v>
      </c>
      <c r="NV36" s="37">
        <f>IF($CR36="P",CL36,(CL36+BH36)/2)</f>
        <v>0</v>
      </c>
      <c r="NW36" s="37">
        <f>IF($CR36="P",CM36,(CM36+BI36)/2)</f>
        <v>0</v>
      </c>
      <c r="NX36" s="37">
        <f>IF($CR36="P",CN36,(CN36+BJ36)/2)</f>
        <v>0</v>
      </c>
      <c r="NY36" s="37">
        <f>IF($CR36="P",CO36,(CO36+BK36)/2)</f>
        <v>0</v>
      </c>
      <c r="NZ36" s="37">
        <f>IF($CR36="P",CP36,(CP36+BL36)/2)</f>
        <v>0</v>
      </c>
      <c r="OA36" s="37">
        <f>IF($CR36="P",CQ36,(CQ36+BM36)/2)</f>
        <v>0</v>
      </c>
      <c r="OB36" s="44" t="s">
        <v>46</v>
      </c>
      <c r="OC36" s="11" t="str">
        <f>IF(SUM(NH36:NK36)-NL36&gt;0,SUM(NH36:NK36)-NL36,"")</f>
        <v/>
      </c>
      <c r="OD36" s="11" t="str">
        <f>IF(NO36&gt;0,NO36,"")</f>
        <v/>
      </c>
      <c r="OE36" s="11" t="str">
        <f>IF(SUM(NM36:NP36)-NQ36&gt;0,SUM(NM36:NP36)-NQ36,"")</f>
        <v/>
      </c>
      <c r="OF36" s="11" t="str">
        <f>IF(NT36&gt;0,NT36,"")</f>
        <v/>
      </c>
      <c r="OG36" s="11" t="str">
        <f>IF(SUM(NR36:NU36)-NV36&gt;0,SUM(NR36:NU36)-NV36,"")</f>
        <v/>
      </c>
      <c r="OH36" s="11" t="str">
        <f>IF(OR(OC36&lt;&gt;"",OE36&lt;&gt;"",OG36&lt;&gt;""),OC36+MAX(OE36,OG36),"")</f>
        <v/>
      </c>
      <c r="OI36" s="11" t="str">
        <f>IF(NY36&gt;0,NY36,"")</f>
        <v/>
      </c>
      <c r="OJ36" s="11" t="str">
        <f t="shared" ref="OJ36" si="52">IF(SUM(NW36:NZ36)-OA36&gt;0,SUM(NW36:NZ36)-OA36,"")</f>
        <v/>
      </c>
      <c r="OK36" s="11" t="str">
        <f t="shared" ref="OK36" si="53">IF(SUM(OH36,OJ36)&gt;0,SUM(OH36,OJ36),"")</f>
        <v/>
      </c>
    </row>
    <row r="37" spans="1:401" x14ac:dyDescent="0.2">
      <c r="B37" s="6"/>
      <c r="D37" s="1"/>
    </row>
    <row r="39" spans="1:401" x14ac:dyDescent="0.2">
      <c r="B39" s="38" t="s">
        <v>44</v>
      </c>
      <c r="C39" s="33"/>
      <c r="AL39" s="65"/>
      <c r="AM39" s="65"/>
      <c r="AN39" s="65"/>
      <c r="AQ39" s="31"/>
      <c r="AS39" s="34">
        <v>13.5</v>
      </c>
      <c r="BP39" s="65"/>
      <c r="BQ39" s="65"/>
      <c r="BR39" s="65"/>
      <c r="BU39" s="31"/>
      <c r="BW39" s="34">
        <v>13.5</v>
      </c>
      <c r="CT39" s="65"/>
      <c r="CU39" s="65"/>
      <c r="CV39" s="65"/>
      <c r="CY39" s="31"/>
      <c r="DA39" s="34">
        <v>13.5</v>
      </c>
      <c r="DS39" s="33"/>
      <c r="DW39" s="31"/>
      <c r="DY39" s="34">
        <v>13.5</v>
      </c>
      <c r="EO39" s="33"/>
      <c r="ES39" s="31"/>
      <c r="EU39" s="34">
        <v>13.5</v>
      </c>
      <c r="FK39" s="33"/>
      <c r="FO39" s="31"/>
      <c r="FQ39" s="34">
        <v>13.5</v>
      </c>
      <c r="GG39" s="33"/>
      <c r="GK39" s="31"/>
      <c r="GM39" s="34">
        <v>13.5</v>
      </c>
      <c r="HC39" s="33"/>
      <c r="HG39" s="31"/>
      <c r="HI39" s="34">
        <v>13.5</v>
      </c>
      <c r="HY39" s="33"/>
      <c r="IC39" s="31"/>
      <c r="IE39" s="34">
        <v>13.5</v>
      </c>
      <c r="IU39" s="33"/>
      <c r="IY39" s="31"/>
      <c r="JA39" s="34">
        <v>13.5</v>
      </c>
      <c r="JQ39" s="33"/>
      <c r="JU39" s="31"/>
      <c r="JW39" s="34">
        <v>13.5</v>
      </c>
      <c r="KM39" s="33"/>
      <c r="KQ39" s="31"/>
      <c r="KS39" s="34">
        <v>13.5</v>
      </c>
      <c r="LI39" s="33"/>
      <c r="LM39" s="31"/>
      <c r="LO39" s="34">
        <v>13.5</v>
      </c>
      <c r="ME39" s="33"/>
      <c r="MI39" s="31"/>
      <c r="MK39" s="34">
        <v>13.5</v>
      </c>
      <c r="NA39" s="33"/>
      <c r="NE39" s="31"/>
      <c r="NG39" s="34">
        <v>13.5</v>
      </c>
    </row>
    <row r="40" spans="1:401" hidden="1" x14ac:dyDescent="0.2">
      <c r="B40" s="47" t="s">
        <v>43</v>
      </c>
      <c r="C40" s="33"/>
      <c r="AL40" s="65"/>
      <c r="AM40" s="65"/>
      <c r="AN40" s="65"/>
      <c r="AQ40" s="31"/>
      <c r="AS40" s="51">
        <v>1000</v>
      </c>
      <c r="BP40" s="65"/>
      <c r="BQ40" s="65"/>
      <c r="BR40" s="65"/>
      <c r="BU40" s="31"/>
      <c r="BW40" s="51">
        <v>1000</v>
      </c>
      <c r="CT40" s="65"/>
      <c r="CU40" s="65"/>
      <c r="CV40" s="65"/>
      <c r="CY40" s="31"/>
      <c r="DA40" s="51">
        <v>1000</v>
      </c>
      <c r="DS40" s="33"/>
      <c r="DW40" s="31"/>
      <c r="DY40" s="51">
        <v>1000</v>
      </c>
      <c r="EO40" s="33"/>
      <c r="ES40" s="31"/>
      <c r="EU40" s="51">
        <v>1000</v>
      </c>
      <c r="FK40" s="33"/>
      <c r="FO40" s="31"/>
      <c r="FQ40" s="51">
        <v>1000</v>
      </c>
      <c r="GG40" s="33"/>
      <c r="GK40" s="31"/>
      <c r="GM40" s="51">
        <v>1000</v>
      </c>
      <c r="HC40" s="33"/>
      <c r="HG40" s="31"/>
      <c r="HI40" s="51">
        <v>1000</v>
      </c>
      <c r="HY40" s="33"/>
      <c r="IC40" s="31"/>
      <c r="IE40" s="51">
        <v>1000</v>
      </c>
      <c r="IU40" s="33"/>
      <c r="IY40" s="31"/>
      <c r="JA40" s="51">
        <v>1000</v>
      </c>
      <c r="JQ40" s="33"/>
      <c r="JU40" s="31"/>
      <c r="JW40" s="51">
        <v>1000</v>
      </c>
      <c r="KM40" s="33"/>
      <c r="KQ40" s="31"/>
      <c r="KS40" s="51">
        <v>1000</v>
      </c>
      <c r="LI40" s="33"/>
      <c r="LM40" s="31"/>
      <c r="LO40" s="51">
        <v>1000</v>
      </c>
      <c r="ME40" s="33"/>
      <c r="MI40" s="31"/>
      <c r="MK40" s="51">
        <v>1000</v>
      </c>
      <c r="NA40" s="33"/>
      <c r="NE40" s="31"/>
      <c r="NG40" s="51">
        <v>1000</v>
      </c>
    </row>
    <row r="41" spans="1:401" hidden="1" x14ac:dyDescent="0.2">
      <c r="A41" s="33"/>
      <c r="B41" s="48" t="s">
        <v>55</v>
      </c>
      <c r="C41" s="33"/>
      <c r="AL41" s="65"/>
      <c r="AM41" s="65"/>
      <c r="AN41" s="65"/>
      <c r="AP41" s="31"/>
      <c r="AQ41" s="31"/>
      <c r="AR41" s="31"/>
      <c r="AS41" s="49">
        <v>1000</v>
      </c>
      <c r="BP41" s="65"/>
      <c r="BQ41" s="65"/>
      <c r="BR41" s="65"/>
      <c r="BU41" s="31"/>
      <c r="BW41" s="49">
        <v>1000</v>
      </c>
      <c r="CT41" s="65"/>
      <c r="CU41" s="65"/>
      <c r="CV41" s="65"/>
      <c r="CX41" s="31"/>
      <c r="CY41" s="31"/>
      <c r="CZ41" s="31"/>
      <c r="DA41" s="49">
        <v>1000</v>
      </c>
      <c r="DS41" s="33"/>
      <c r="DW41" s="31"/>
      <c r="DY41" s="49">
        <v>1000</v>
      </c>
      <c r="EO41" s="33"/>
      <c r="ES41" s="31"/>
      <c r="EU41" s="49">
        <v>1000</v>
      </c>
      <c r="FK41" s="33"/>
      <c r="FO41" s="31"/>
      <c r="FQ41" s="49">
        <v>1000</v>
      </c>
      <c r="GG41" s="33"/>
      <c r="GK41" s="31"/>
      <c r="GM41" s="49">
        <v>1000</v>
      </c>
      <c r="HC41" s="33"/>
      <c r="HG41" s="31"/>
      <c r="HI41" s="49">
        <v>1000</v>
      </c>
      <c r="HY41" s="33"/>
      <c r="IC41" s="31"/>
      <c r="IE41" s="49">
        <v>1000</v>
      </c>
      <c r="IU41" s="33"/>
      <c r="IY41" s="31"/>
      <c r="JA41" s="49">
        <v>1000</v>
      </c>
      <c r="JQ41" s="33"/>
      <c r="JU41" s="31"/>
      <c r="JW41" s="49">
        <v>1000</v>
      </c>
      <c r="KM41" s="33"/>
      <c r="KQ41" s="31"/>
      <c r="KS41" s="49">
        <v>1000</v>
      </c>
      <c r="LI41" s="33"/>
      <c r="LM41" s="31"/>
      <c r="LO41" s="49">
        <v>1000</v>
      </c>
      <c r="ME41" s="33"/>
      <c r="MI41" s="31"/>
      <c r="MK41" s="49">
        <v>1000</v>
      </c>
      <c r="NA41" s="33"/>
      <c r="NE41" s="31"/>
      <c r="NG41" s="49">
        <v>1000</v>
      </c>
    </row>
    <row r="42" spans="1:401" hidden="1" x14ac:dyDescent="0.2">
      <c r="A42" s="33"/>
      <c r="B42" s="61" t="s">
        <v>62</v>
      </c>
      <c r="C42" s="33"/>
      <c r="AL42" s="65"/>
      <c r="AM42" s="65"/>
      <c r="AN42" s="65"/>
      <c r="AP42" s="31"/>
      <c r="AQ42" s="31"/>
      <c r="AR42" s="31"/>
      <c r="AS42" s="62">
        <v>1000</v>
      </c>
      <c r="BP42" s="65"/>
      <c r="BQ42" s="65"/>
      <c r="BR42" s="65"/>
      <c r="BU42" s="31"/>
      <c r="BW42" s="62">
        <v>1000</v>
      </c>
      <c r="CT42" s="65"/>
      <c r="CU42" s="65"/>
      <c r="CV42" s="65"/>
      <c r="CX42" s="31"/>
      <c r="CY42" s="31"/>
      <c r="CZ42" s="31"/>
      <c r="DA42" s="62">
        <v>1000</v>
      </c>
      <c r="DS42" s="33"/>
      <c r="DW42" s="31"/>
      <c r="DY42" s="62">
        <v>1000</v>
      </c>
      <c r="EO42" s="33"/>
      <c r="ES42" s="31"/>
      <c r="EU42" s="62">
        <v>1000</v>
      </c>
      <c r="FK42" s="33"/>
      <c r="FO42" s="31"/>
      <c r="FQ42" s="62">
        <v>1000</v>
      </c>
      <c r="GG42" s="33"/>
      <c r="GK42" s="31"/>
      <c r="GM42" s="62">
        <v>1000</v>
      </c>
      <c r="HC42" s="33"/>
      <c r="HG42" s="31"/>
      <c r="HI42" s="62">
        <v>1000</v>
      </c>
      <c r="HY42" s="33"/>
      <c r="IC42" s="31"/>
      <c r="IE42" s="62">
        <v>1000</v>
      </c>
      <c r="IU42" s="33"/>
      <c r="IY42" s="31"/>
      <c r="JA42" s="62">
        <v>1000</v>
      </c>
      <c r="JQ42" s="33"/>
      <c r="JU42" s="31"/>
      <c r="JW42" s="62">
        <v>1000</v>
      </c>
      <c r="KM42" s="33"/>
      <c r="KQ42" s="31"/>
      <c r="KS42" s="62">
        <v>1000</v>
      </c>
      <c r="LI42" s="33"/>
      <c r="LM42" s="31"/>
      <c r="LO42" s="62">
        <v>1000</v>
      </c>
      <c r="ME42" s="33"/>
      <c r="MI42" s="31"/>
      <c r="MK42" s="62">
        <v>1000</v>
      </c>
      <c r="NA42" s="33"/>
      <c r="NE42" s="31"/>
      <c r="NG42" s="62">
        <v>1000</v>
      </c>
    </row>
    <row r="43" spans="1:401" x14ac:dyDescent="0.2">
      <c r="A43" s="33"/>
      <c r="B43" s="59" t="s">
        <v>41</v>
      </c>
      <c r="C43" s="33"/>
      <c r="I43" s="2"/>
      <c r="AL43" s="65"/>
      <c r="AM43" s="65"/>
      <c r="AN43" s="65"/>
      <c r="AP43" s="31"/>
      <c r="AQ43" s="31"/>
      <c r="AR43" s="31"/>
      <c r="AS43" s="60">
        <v>52.8</v>
      </c>
      <c r="BP43" s="65"/>
      <c r="BQ43" s="65"/>
      <c r="BR43" s="65"/>
      <c r="BU43" s="31"/>
      <c r="BW43" s="60">
        <v>52.8</v>
      </c>
      <c r="CT43" s="65"/>
      <c r="CU43" s="65"/>
      <c r="CV43" s="65"/>
      <c r="CX43" s="31"/>
      <c r="CY43" s="31"/>
      <c r="CZ43" s="31"/>
      <c r="DA43" s="60">
        <v>52.8</v>
      </c>
      <c r="DS43" s="33"/>
      <c r="DW43" s="31"/>
      <c r="DY43" s="60">
        <v>52.8</v>
      </c>
      <c r="EO43" s="33"/>
      <c r="ES43" s="31"/>
      <c r="EU43" s="60">
        <v>52.8</v>
      </c>
      <c r="FK43" s="33"/>
      <c r="FO43" s="31"/>
      <c r="FQ43" s="60">
        <v>52.8</v>
      </c>
      <c r="GG43" s="33"/>
      <c r="GK43" s="31"/>
      <c r="GM43" s="60">
        <v>52.8</v>
      </c>
      <c r="HC43" s="33"/>
      <c r="HG43" s="31"/>
      <c r="HI43" s="60">
        <v>52.8</v>
      </c>
      <c r="HY43" s="33"/>
      <c r="IC43" s="31"/>
      <c r="IE43" s="60">
        <v>52.8</v>
      </c>
      <c r="IU43" s="33"/>
      <c r="IY43" s="31"/>
      <c r="JA43" s="60">
        <v>52.8</v>
      </c>
      <c r="JQ43" s="33"/>
      <c r="JU43" s="31"/>
      <c r="JW43" s="60">
        <v>52.8</v>
      </c>
      <c r="KM43" s="33"/>
      <c r="KQ43" s="31"/>
      <c r="KS43" s="60">
        <v>52.8</v>
      </c>
      <c r="LI43" s="33"/>
      <c r="LM43" s="31"/>
      <c r="LO43" s="60">
        <v>52.8</v>
      </c>
      <c r="ME43" s="33"/>
      <c r="MI43" s="31"/>
      <c r="MK43" s="60">
        <v>52.8</v>
      </c>
      <c r="NA43" s="33"/>
      <c r="NE43" s="31"/>
      <c r="NG43" s="60">
        <v>52.8</v>
      </c>
    </row>
    <row r="44" spans="1:401" hidden="1" x14ac:dyDescent="0.2">
      <c r="A44" s="33"/>
      <c r="B44" s="39" t="s">
        <v>42</v>
      </c>
      <c r="C44" s="33"/>
      <c r="I44" s="2"/>
      <c r="AL44" s="65"/>
      <c r="AM44" s="65"/>
      <c r="AN44" s="65"/>
      <c r="AP44" s="31"/>
      <c r="AQ44" s="31"/>
      <c r="AR44" s="31"/>
      <c r="AS44" s="35">
        <v>1000</v>
      </c>
      <c r="BP44" s="65"/>
      <c r="BQ44" s="65"/>
      <c r="BR44" s="65"/>
      <c r="BU44" s="31"/>
      <c r="BW44" s="35">
        <v>1000</v>
      </c>
      <c r="CT44" s="65"/>
      <c r="CU44" s="65"/>
      <c r="CV44" s="65"/>
      <c r="CX44" s="31"/>
      <c r="CY44" s="31"/>
      <c r="CZ44" s="31"/>
      <c r="DA44" s="35">
        <v>1000</v>
      </c>
      <c r="DS44" s="33"/>
      <c r="DW44" s="31"/>
      <c r="DY44" s="35">
        <v>1000</v>
      </c>
      <c r="EO44" s="33"/>
      <c r="ES44" s="31"/>
      <c r="EU44" s="35">
        <v>1000</v>
      </c>
      <c r="FK44" s="33"/>
      <c r="FO44" s="31"/>
      <c r="FQ44" s="35">
        <v>1000</v>
      </c>
      <c r="GG44" s="33"/>
      <c r="GK44" s="31"/>
      <c r="GM44" s="35">
        <v>1000</v>
      </c>
      <c r="HC44" s="33"/>
      <c r="HG44" s="31"/>
      <c r="HI44" s="35">
        <v>1000</v>
      </c>
      <c r="HY44" s="33"/>
      <c r="IC44" s="31"/>
      <c r="IE44" s="35">
        <v>1000</v>
      </c>
      <c r="IU44" s="33"/>
      <c r="IY44" s="31"/>
      <c r="JA44" s="35">
        <v>1000</v>
      </c>
      <c r="JQ44" s="33"/>
      <c r="JU44" s="31"/>
      <c r="JW44" s="35">
        <v>1000</v>
      </c>
      <c r="KM44" s="33"/>
      <c r="KQ44" s="31"/>
      <c r="KS44" s="35">
        <v>1000</v>
      </c>
      <c r="LI44" s="33"/>
      <c r="LM44" s="31"/>
      <c r="LO44" s="35">
        <v>1000</v>
      </c>
      <c r="ME44" s="33"/>
      <c r="MI44" s="31"/>
      <c r="MK44" s="35">
        <v>1000</v>
      </c>
      <c r="NA44" s="33"/>
      <c r="NE44" s="31"/>
      <c r="NG44" s="35">
        <v>1000</v>
      </c>
    </row>
    <row r="45" spans="1:401" hidden="1" x14ac:dyDescent="0.2">
      <c r="A45" s="33"/>
      <c r="B45" s="57" t="s">
        <v>54</v>
      </c>
      <c r="C45" s="33"/>
      <c r="AL45" s="65"/>
      <c r="AM45" s="65"/>
      <c r="AN45" s="65"/>
      <c r="AP45" s="31"/>
      <c r="AQ45" s="31"/>
      <c r="AR45" s="31"/>
      <c r="AS45" s="58">
        <v>1000</v>
      </c>
      <c r="BP45" s="65"/>
      <c r="BQ45" s="65"/>
      <c r="BR45" s="65"/>
      <c r="BU45" s="31"/>
      <c r="BV45" s="67"/>
      <c r="BW45" s="58">
        <v>1000</v>
      </c>
      <c r="CT45" s="65"/>
      <c r="CU45" s="65"/>
      <c r="CV45" s="65"/>
      <c r="CX45" s="31"/>
      <c r="CY45" s="31"/>
      <c r="CZ45" s="31"/>
      <c r="DA45" s="58">
        <v>1000</v>
      </c>
      <c r="DS45" s="33"/>
      <c r="DW45" s="31"/>
      <c r="DX45" s="67"/>
      <c r="DY45" s="58">
        <v>1000</v>
      </c>
      <c r="EO45" s="33"/>
      <c r="ES45" s="31"/>
      <c r="EU45" s="58">
        <v>1000</v>
      </c>
      <c r="FK45" s="33"/>
      <c r="FO45" s="31"/>
      <c r="FQ45" s="58">
        <v>1000</v>
      </c>
      <c r="GG45" s="33"/>
      <c r="GK45" s="31"/>
      <c r="GL45" s="67"/>
      <c r="GM45" s="58">
        <v>1000</v>
      </c>
      <c r="HC45" s="33"/>
      <c r="HG45" s="31"/>
      <c r="HH45" s="67"/>
      <c r="HI45" s="58">
        <v>1000</v>
      </c>
      <c r="HY45" s="33"/>
      <c r="IC45" s="31"/>
      <c r="ID45" s="67"/>
      <c r="IE45" s="58">
        <v>1000</v>
      </c>
      <c r="IU45" s="33"/>
      <c r="IY45" s="31"/>
      <c r="JA45" s="58">
        <v>1000</v>
      </c>
      <c r="JQ45" s="33"/>
      <c r="JU45" s="31"/>
      <c r="JW45" s="58">
        <v>1000</v>
      </c>
      <c r="KM45" s="33"/>
      <c r="KQ45" s="31"/>
      <c r="KS45" s="58">
        <v>1000</v>
      </c>
      <c r="LI45" s="33"/>
      <c r="LM45" s="31"/>
      <c r="LO45" s="58">
        <v>1000</v>
      </c>
      <c r="ME45" s="33"/>
      <c r="MI45" s="31"/>
      <c r="MK45" s="58">
        <v>1000</v>
      </c>
      <c r="NA45" s="33"/>
      <c r="NE45" s="31"/>
      <c r="NG45" s="58">
        <v>1000</v>
      </c>
    </row>
    <row r="46" spans="1:401" hidden="1" x14ac:dyDescent="0.2">
      <c r="A46" s="33"/>
      <c r="B46" s="40" t="s">
        <v>28</v>
      </c>
      <c r="C46" s="33"/>
      <c r="I46" s="2"/>
      <c r="AL46" s="65"/>
      <c r="AM46" s="65"/>
      <c r="AN46" s="65"/>
      <c r="AP46" s="31"/>
      <c r="AQ46" s="31"/>
      <c r="AR46" s="31"/>
      <c r="AS46" s="36">
        <v>1000</v>
      </c>
      <c r="BP46" s="65"/>
      <c r="BQ46" s="65"/>
      <c r="BR46" s="65"/>
      <c r="BU46" s="31"/>
      <c r="BW46" s="36">
        <v>1000</v>
      </c>
      <c r="CT46" s="65"/>
      <c r="CU46" s="65"/>
      <c r="CV46" s="65"/>
      <c r="CX46" s="31"/>
      <c r="CY46" s="31"/>
      <c r="CZ46" s="31"/>
      <c r="DA46" s="36">
        <v>1000</v>
      </c>
      <c r="DS46" s="33"/>
      <c r="DW46" s="31"/>
      <c r="DY46" s="36">
        <v>1000</v>
      </c>
      <c r="EO46" s="33"/>
      <c r="ES46" s="31"/>
      <c r="EU46" s="36">
        <v>1000</v>
      </c>
      <c r="FK46" s="33"/>
      <c r="FO46" s="31"/>
      <c r="FQ46" s="36">
        <v>1000</v>
      </c>
      <c r="GG46" s="33"/>
      <c r="GK46" s="31"/>
      <c r="GM46" s="36">
        <v>1000</v>
      </c>
      <c r="HC46" s="33"/>
      <c r="HG46" s="31"/>
      <c r="HI46" s="36">
        <v>1000</v>
      </c>
      <c r="HY46" s="33"/>
      <c r="IC46" s="31"/>
      <c r="ID46" s="67"/>
      <c r="IE46" s="36">
        <v>1000</v>
      </c>
      <c r="IU46" s="33"/>
      <c r="IY46" s="31"/>
      <c r="JA46" s="36">
        <v>1000</v>
      </c>
      <c r="JQ46" s="33"/>
      <c r="JU46" s="31"/>
      <c r="JW46" s="36">
        <v>1000</v>
      </c>
      <c r="KM46" s="33"/>
      <c r="KQ46" s="31"/>
      <c r="KS46" s="36">
        <v>1000</v>
      </c>
      <c r="LI46" s="33"/>
      <c r="LM46" s="31"/>
      <c r="LO46" s="36">
        <v>1000</v>
      </c>
      <c r="ME46" s="33"/>
      <c r="MI46" s="31"/>
      <c r="MK46" s="36">
        <v>1000</v>
      </c>
      <c r="NA46" s="33"/>
      <c r="NE46" s="31"/>
      <c r="NG46" s="36">
        <v>1000</v>
      </c>
    </row>
    <row r="47" spans="1:401" x14ac:dyDescent="0.2">
      <c r="B47" s="46" t="s">
        <v>47</v>
      </c>
      <c r="C47" s="2"/>
      <c r="AO47" s="31"/>
      <c r="AP47" s="31"/>
      <c r="AR47" s="31"/>
      <c r="CW47" s="31"/>
      <c r="CX47" s="31"/>
      <c r="CZ47" s="31"/>
      <c r="EP47" s="31"/>
    </row>
    <row r="48" spans="1:401" x14ac:dyDescent="0.2">
      <c r="A48" s="33"/>
      <c r="B48" s="33"/>
      <c r="C48" s="32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:104" ht="17" x14ac:dyDescent="0.2">
      <c r="A49" s="33"/>
      <c r="B49" s="33"/>
      <c r="C49" s="32"/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:104" ht="17" x14ac:dyDescent="0.2">
      <c r="A50" s="33"/>
      <c r="B50" s="33"/>
      <c r="C50" s="32"/>
      <c r="M50" s="16"/>
      <c r="AK50" s="31"/>
      <c r="AL50" s="31"/>
      <c r="AM50" s="31"/>
      <c r="AN50" s="31"/>
      <c r="AO50" s="31"/>
      <c r="AP50" s="31"/>
      <c r="AR50" s="31"/>
      <c r="CS50" s="31"/>
      <c r="CT50" s="31"/>
      <c r="CU50" s="31"/>
      <c r="CV50" s="31"/>
      <c r="CW50" s="31"/>
      <c r="CX50" s="31"/>
      <c r="CZ50" s="31"/>
    </row>
    <row r="51" spans="1:104" ht="17" x14ac:dyDescent="0.2">
      <c r="M51" s="16"/>
      <c r="N51" s="16"/>
      <c r="AK51" s="31"/>
      <c r="AL51" s="31"/>
      <c r="AM51" s="31"/>
      <c r="AN51" s="31"/>
      <c r="AO51" s="31"/>
      <c r="AP51" s="31"/>
      <c r="AR51" s="31"/>
      <c r="CS51" s="31"/>
      <c r="CT51" s="31"/>
      <c r="CU51" s="31"/>
      <c r="CV51" s="31"/>
      <c r="CW51" s="31"/>
      <c r="CX51" s="31"/>
      <c r="CZ51" s="31"/>
    </row>
    <row r="52" spans="1:104" ht="17" x14ac:dyDescent="0.2">
      <c r="M52" s="16"/>
      <c r="N52" s="16"/>
      <c r="AK52" s="31"/>
      <c r="AL52" s="31"/>
      <c r="AM52" s="31"/>
      <c r="AN52" s="31"/>
      <c r="AO52" s="31"/>
      <c r="AP52" s="31"/>
      <c r="AR52" s="31"/>
      <c r="CS52" s="31"/>
      <c r="CT52" s="31"/>
      <c r="CU52" s="31"/>
      <c r="CV52" s="31"/>
      <c r="CW52" s="31"/>
      <c r="CX52" s="31"/>
      <c r="CZ52" s="31"/>
    </row>
    <row r="53" spans="1:104" ht="17" x14ac:dyDescent="0.2">
      <c r="M53" s="16"/>
      <c r="N53" s="16"/>
      <c r="AK53" s="31"/>
      <c r="AL53" s="31"/>
      <c r="AM53" s="31"/>
      <c r="AN53" s="31"/>
      <c r="AO53" s="31"/>
      <c r="AP53" s="31"/>
      <c r="AR53" s="31"/>
      <c r="CS53" s="31"/>
      <c r="CT53" s="31"/>
      <c r="CU53" s="31"/>
      <c r="CV53" s="31"/>
      <c r="CW53" s="31"/>
      <c r="CX53" s="31"/>
      <c r="CZ53" s="31"/>
    </row>
    <row r="54" spans="1:104" ht="17" x14ac:dyDescent="0.2">
      <c r="M54" s="16"/>
      <c r="N54" s="16"/>
      <c r="O54" s="16"/>
    </row>
    <row r="55" spans="1:104" ht="17" x14ac:dyDescent="0.2">
      <c r="M55" s="16"/>
      <c r="N55" s="16"/>
      <c r="O55" s="16"/>
    </row>
    <row r="56" spans="1:104" ht="17" x14ac:dyDescent="0.2">
      <c r="M56" s="16"/>
      <c r="N56" s="16"/>
      <c r="O56" s="16"/>
    </row>
    <row r="57" spans="1:104" ht="17" x14ac:dyDescent="0.2">
      <c r="M57" s="16"/>
      <c r="N57" s="16"/>
      <c r="O57" s="16"/>
    </row>
    <row r="58" spans="1:104" ht="17" x14ac:dyDescent="0.2">
      <c r="M58" s="16"/>
      <c r="N58" s="16"/>
      <c r="O58" s="16"/>
    </row>
    <row r="59" spans="1:104" ht="17" x14ac:dyDescent="0.2">
      <c r="M59" s="16"/>
      <c r="N59" s="16"/>
      <c r="O59" s="16"/>
    </row>
    <row r="60" spans="1:104" ht="17" x14ac:dyDescent="0.2">
      <c r="M60" s="16"/>
      <c r="N60" s="16"/>
      <c r="O60" s="16"/>
    </row>
    <row r="61" spans="1:104" ht="17" x14ac:dyDescent="0.2">
      <c r="M61" s="16"/>
      <c r="N61" s="16"/>
      <c r="O61" s="16"/>
    </row>
    <row r="62" spans="1:104" ht="17" x14ac:dyDescent="0.2">
      <c r="M62" s="16"/>
      <c r="N62" s="16"/>
      <c r="O62" s="16"/>
    </row>
    <row r="63" spans="1:104" ht="17" x14ac:dyDescent="0.2">
      <c r="M63" s="16"/>
      <c r="N63" s="16"/>
      <c r="O63" s="16"/>
    </row>
    <row r="64" spans="1:104" ht="17" x14ac:dyDescent="0.2">
      <c r="M64" s="16"/>
      <c r="N64" s="16"/>
      <c r="O64" s="16"/>
    </row>
    <row r="65" spans="13:15" ht="17" x14ac:dyDescent="0.2">
      <c r="M65" s="16"/>
      <c r="N65" s="16"/>
      <c r="O65" s="16"/>
    </row>
    <row r="66" spans="13:15" ht="17" x14ac:dyDescent="0.2">
      <c r="M66" s="16"/>
      <c r="N66" s="16"/>
      <c r="O66" s="16"/>
    </row>
    <row r="67" spans="13:15" ht="17" x14ac:dyDescent="0.2">
      <c r="M67" s="16"/>
      <c r="N67" s="16"/>
      <c r="O67" s="16"/>
    </row>
    <row r="68" spans="13:15" ht="17" x14ac:dyDescent="0.2">
      <c r="M68" s="16"/>
      <c r="N68" s="16"/>
      <c r="O68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6">
      <sortCondition descending="1" ref="F1:F37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78" priority="5" operator="containsText" text="No DD">
      <formula>NOT(ISERROR(SEARCH("No DD",H1)))</formula>
    </cfRule>
    <cfRule type="containsText" dxfId="177" priority="6" operator="containsText" text="Merit">
      <formula>NOT(ISERROR(SEARCH("Merit",H1)))</formula>
    </cfRule>
    <cfRule type="containsText" dxfId="176" priority="7" operator="containsText" text="Excellence">
      <formula>NOT(ISERROR(SEARCH("Excellence",H1)))</formula>
    </cfRule>
    <cfRule type="containsText" dxfId="175" priority="8" operator="containsText" text="Worlds Team">
      <formula>NOT(ISERROR(SEARCH("Worlds Team",H1)))</formula>
    </cfRule>
    <cfRule type="containsText" dxfId="174" priority="9" operator="containsText" text="National Team">
      <formula>NOT(ISERROR(SEARCH("National Team",H1)))</formula>
    </cfRule>
  </conditionalFormatting>
  <conditionalFormatting sqref="P4:AS36">
    <cfRule type="expression" dxfId="173" priority="1" stopIfTrue="1">
      <formula>IF($AJ4&lt;&gt;"",1,0)</formula>
    </cfRule>
  </conditionalFormatting>
  <conditionalFormatting sqref="AT4:BW36">
    <cfRule type="expression" dxfId="172" priority="3" stopIfTrue="1">
      <formula>IF($BN4&lt;&gt;"",1,0)</formula>
    </cfRule>
  </conditionalFormatting>
  <conditionalFormatting sqref="J1:J1048576 L1:L1048576">
    <cfRule type="expression" dxfId="171" priority="10">
      <formula>IF(J1=$BX$1,1,0)</formula>
    </cfRule>
    <cfRule type="expression" dxfId="170" priority="11">
      <formula>IF(J1=$AT$1,1,0)</formula>
    </cfRule>
    <cfRule type="expression" dxfId="169" priority="12">
      <formula>IF(J1=$P$1,1,0)</formula>
    </cfRule>
  </conditionalFormatting>
  <conditionalFormatting sqref="BX4:DA36">
    <cfRule type="expression" dxfId="168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67" priority="48339" operator="between">
      <formula>AS$43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66" priority="48384" operator="between">
      <formula>AS$43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65" priority="48429" operator="between">
      <formula>DY$42</formula>
      <formula>1000</formula>
    </cfRule>
    <cfRule type="cellIs" dxfId="164" priority="48430" operator="between">
      <formula>DY$41</formula>
      <formula>DY$42</formula>
    </cfRule>
    <cfRule type="cellIs" dxfId="163" priority="48431" operator="between">
      <formula>DY$40</formula>
      <formula>DY$41</formula>
    </cfRule>
    <cfRule type="cellIs" dxfId="162" priority="48432" operator="between">
      <formula>DY$39</formula>
      <formula>DY$40</formula>
    </cfRule>
  </conditionalFormatting>
  <conditionalFormatting sqref="AL1:AL1048576 BP1:BP1048576 CT1:CT1048576">
    <cfRule type="cellIs" dxfId="161" priority="48573" operator="between">
      <formula>AS$42</formula>
      <formula>1000</formula>
    </cfRule>
    <cfRule type="cellIs" dxfId="160" priority="48574" operator="between">
      <formula>AS$41</formula>
      <formula>AS$42</formula>
    </cfRule>
    <cfRule type="cellIs" dxfId="159" priority="48575" operator="between">
      <formula>AS$40</formula>
      <formula>AS$41</formula>
    </cfRule>
    <cfRule type="cellIs" dxfId="158" priority="48576" operator="between">
      <formula>AS$39</formula>
      <formula>AS$40</formula>
    </cfRule>
  </conditionalFormatting>
  <conditionalFormatting sqref="AM1:AM1048576 BQ1:BQ1048576 CU1:CU1048576">
    <cfRule type="cellIs" dxfId="157" priority="48609" operator="between">
      <formula>AS$43</formula>
      <formula>1000</formula>
    </cfRule>
  </conditionalFormatting>
  <conditionalFormatting sqref="AN1:AN1048576 BR1:BR1048576 CV1:CV1048576">
    <cfRule type="cellIs" dxfId="156" priority="48618" operator="between">
      <formula>AS$42</formula>
      <formula>1000</formula>
    </cfRule>
    <cfRule type="cellIs" dxfId="155" priority="48619" operator="between">
      <formula>AS$41</formula>
      <formula>AS$42</formula>
    </cfRule>
    <cfRule type="cellIs" dxfId="154" priority="48620" operator="between">
      <formula>AS$40</formula>
      <formula>AS$41</formula>
    </cfRule>
    <cfRule type="cellIs" dxfId="153" priority="48621" operator="between">
      <formula>AS$39</formula>
      <formula>AS$40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52" priority="48654" operator="between">
      <formula>AS$42</formula>
      <formula>1000</formula>
    </cfRule>
    <cfRule type="cellIs" dxfId="151" priority="48655" operator="between">
      <formula>AS$41</formula>
      <formula>AS$42</formula>
    </cfRule>
    <cfRule type="cellIs" dxfId="150" priority="48656" operator="between">
      <formula>AS$40</formula>
      <formula>AS$41</formula>
    </cfRule>
    <cfRule type="cellIs" dxfId="149" priority="48657" operator="between">
      <formula>AS$39</formula>
      <formula>AS$40</formula>
    </cfRule>
  </conditionalFormatting>
  <conditionalFormatting sqref="A1:A1048576">
    <cfRule type="expression" dxfId="148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129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183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205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126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128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179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177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/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IF(AND(F4="P",G4="P"),SUMPRODUCT((F$4:F$33="P")*(G$4:G$33="P")*(E$4:E$33&gt;E4))+1,IF(G4="P",SUMPRODUCT((F$4:F$33="")*(G$4:G$33="P")*(E$4:E$33&gt;E4))+1+SUMPRODUCT((F$4:F$33="P")*(G$4:G$33="P")),""))</f>
        <v>1</v>
      </c>
      <c r="B4" s="8" t="s">
        <v>72</v>
      </c>
      <c r="C4" s="4" t="s">
        <v>5</v>
      </c>
      <c r="D4" s="5">
        <v>2002</v>
      </c>
      <c r="E4" s="15">
        <f>SUM(I4:M4)</f>
        <v>102.825</v>
      </c>
      <c r="F4" s="3" t="str">
        <f>IF(OR(AND(AL4&gt;=AS$35,AM4&gt;=AS$39,AL4&lt;&gt;"",AJ4=""),AND(AN4&gt;=AS$35,AO4&gt;=AS$39,AN4&lt;&gt;"",AN4=""),AND(AQ4&gt;=AS$35,AR4&gt;=AS$39,AQ4&lt;&gt;"",AJ4=""),AND(BP4&gt;=BW$35,BQ4&gt;=BW$39,BP4&lt;&gt;"",BN4=""),AND(BR4&gt;=BW$35,BS4&gt;=BW$39,BR4&lt;&gt;"",BN4=""),AND(BU4&gt;=BW$35,BV4&gt;=BW$39,BU4&lt;&gt;"",BN4=""),AND(CT4&gt;=DA$35,CU4&gt;=DA$39,CT4&lt;&gt;"",CR4=""),AND(CV4&gt;=DA$35,CW4&gt;=DA$39,CV4&lt;&gt;"",CR4=""),AND(CY4&gt;=DA$35,CZ4&gt;=DA$39,CY4&lt;&gt;"",CR4=""),AND(DS4&gt;=DY$35,DU4&gt;=DY$39,DS4&lt;&gt;""),AND(DW4&gt;=DY$35,DX4&gt;=DY$39,DW4&lt;&gt;""),AND(EO4&gt;=EU$35,EQ4&gt;=EU$39,EO4&lt;&gt;""),AND(ES4&gt;=EU$35,ET4&gt;=EU$39,ES4&lt;&gt;""),AND(FK4&gt;=FQ$35,FM4&gt;=FQ$39,FK4&lt;&gt;""),AND(FO4&gt;=FQ$35,FP4&gt;=FQ$39,FO4&lt;&gt;""),AND(GG4&gt;=GM$35,GI4&gt;=GM$39,GG4&lt;&gt;""),AND(GK4&gt;=GM$35,GL4&gt;=GM$39,GK4&lt;&gt;""),AND(HC4&gt;=HI$35,HE4&gt;=HI$39,HC4&lt;&gt;""),AND(HG4&gt;=HI$35,HH4&gt;=HI$39,HG4&lt;&gt;""),AND(HY4&gt;=IE$35,IA4&gt;=IE$39,HY4&lt;&gt;""),AND(IC4&gt;=IE$35,ID4&gt;=IE$39,IC4&lt;&gt;""),AND(IU4&gt;=JA$35,IW4&gt;=JA$39,IU4&lt;&gt;""),AND(IY4&gt;=JA$35,IZ4&gt;=JA$39,IY4&lt;&gt;""),AND(JQ4&gt;=JW$35,JS4&gt;=JW$39,JQ4&lt;&gt;""),AND(JU4&gt;=JW$35,JV4&gt;=JW$39,JU4&lt;&gt;""),AND(KM4&gt;=KS$35,KO4&gt;=KS$39,KM4&lt;&gt;""),AND(KQ4&gt;=KS$35,KR4&gt;=KS$39,KQ4&lt;&gt;""),AND(LI4&gt;=LO$35,LK4&gt;=LO$39,LI4&lt;&gt;""),AND(LM4&gt;=LO$35,LN4&gt;=LO$39,LM4&lt;&gt;""),AND(ME4&gt;=MK$35,MG4&gt;=MK$39,ME4&lt;&gt;""),AND(MI4&gt;=MK$35,MJ4&gt;=MK$39,MI4&lt;&gt;""),AND(NA4&gt;=NG$35,NC4&gt;=NG$39,NA4&lt;&gt;""),AND(NE4&gt;=NG$35,NF4&gt;=NG$39,NE4&lt;&gt;"")),"P","")</f>
        <v>P</v>
      </c>
      <c r="G4" s="3" t="str">
        <f>IF(OR(AND(AM4&gt;=AS$39,AL4&lt;&gt;"",AJ4=""),AND(AO4&gt;=AS$39,AN4&lt;&gt;"",AN4=""),AND(AR4&gt;=AS$39,AQ4&lt;&gt;"",AJ4=""),AND(BQ4&gt;=BW$39,BP4&lt;&gt;"",BN4=""),AND(BS4&gt;=BW$39,BR4&lt;&gt;"",BN4=""),AND(BV4&gt;=BW$39,BU4&lt;&gt;"",BN4=""),AND(CU4&gt;=DA$39,CT4&lt;&gt;"",CR4=""),AND(CW4&gt;=DA$39,CV4&lt;&gt;"",CR4=""),AND(CZ4&gt;=DA$39,CY4&lt;&gt;"",CR4=""),AND(DU4&gt;=DY$39,DS4&lt;&gt;""),AND(DX4&gt;=DY$39,DW4&lt;&gt;""),AND(EQ4&gt;=EU$39,EO4&lt;&gt;""),AND(ET4&gt;=EU$39,ES4&lt;&gt;""),AND(FM4&gt;=FQ$39,FK4&lt;&gt;""),AND(FP4&gt;=FQ$39,FO4&lt;&gt;""),AND(GI4&gt;=GM$39,GG4&lt;&gt;""),AND(GL4&gt;=GM$39,GK4&lt;&gt;""),AND(HE4&gt;=HI$39,HC4&lt;&gt;""),AND(HH4&gt;=HI$39,HG4&lt;&gt;""),AND(IA4&gt;=IE$39,HY4&lt;&gt;""),AND(ID4&gt;=IE$39,IC4&lt;&gt;""),AND(IW4&gt;=JA$39,IU4&lt;&gt;""),AND(IZ4&gt;=JA$39,IY4&lt;&gt;""),AND(JS4&gt;=JW$39,JQ4&lt;&gt;""),AND(JV4&gt;=JW$39,JU4&lt;&gt;""),AND(KO4&gt;=KS$39,KM4&lt;&gt;""),AND(KR4&gt;=KS$39,KQ4&lt;&gt;""),AND(LK4&gt;=LO$39,LI4&lt;&gt;""),AND(LN4&gt;=LO$39,LM4&lt;&gt;""),AND(MG4&gt;=MK$39,ME4&lt;&gt;""),AND(MJ4&gt;=MK$39,MI4&lt;&gt;""),AND(NC4&gt;=NG$39,NA4&lt;&gt;""),AND(NF4&gt;=NG$39,NE4&lt;&gt;"")),"P","")</f>
        <v>P</v>
      </c>
      <c r="H4" s="66" t="str">
        <f>IF(F4="P","National Team",IF(G4="P","No DD",""))</f>
        <v>National Team</v>
      </c>
      <c r="I4" s="14">
        <f>MAX(AM4,AO4,AR4,BQ4,BS4,BV4,CU4,CW4,CZ4)</f>
        <v>51.75</v>
      </c>
      <c r="J4" s="14" t="str">
        <f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51.075000000000003</v>
      </c>
      <c r="L4" s="14" t="str">
        <f>IF(K4=0,"",IF(OR(K4=CW4,K4=CU4,K4=CZ4),$BX$1,IF(OR(K4=BS4,K4=BQ4,K4=BV4),$AT$1,IF(OR(K4=AO4,K4=AM4,K4=AR4),$P$1,""))))</f>
        <v>2022 Elite Canada</v>
      </c>
      <c r="M4" s="14" t="str">
        <f>IF(MAX(DB4,DC4)&gt;0,MAX(DB4,DC4),"")</f>
        <v/>
      </c>
      <c r="N4" s="19" t="str">
        <f>IF(M4="","",IF(M4=DB4,"(Prelim)",IF(M4=DC4,"(Final)")))</f>
        <v/>
      </c>
      <c r="O4" s="14" t="str">
        <f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14.1</v>
      </c>
      <c r="V4" s="37">
        <v>8.9</v>
      </c>
      <c r="W4" s="37">
        <v>12.9</v>
      </c>
      <c r="X4" s="37">
        <v>13.875</v>
      </c>
      <c r="Y4" s="37">
        <v>0</v>
      </c>
      <c r="Z4" s="37">
        <v>4.4000000000000004</v>
      </c>
      <c r="AA4" s="37">
        <v>2.8</v>
      </c>
      <c r="AB4" s="37">
        <v>4.4000000000000004</v>
      </c>
      <c r="AC4" s="37">
        <v>4.3449999999999998</v>
      </c>
      <c r="AD4" s="37">
        <v>0</v>
      </c>
      <c r="AE4" s="37">
        <v>14.9</v>
      </c>
      <c r="AF4" s="37">
        <v>9.1999999999999993</v>
      </c>
      <c r="AG4" s="37">
        <v>12.9</v>
      </c>
      <c r="AH4" s="37">
        <v>14.074999999999999</v>
      </c>
      <c r="AI4" s="37">
        <v>0</v>
      </c>
      <c r="AJ4" s="44"/>
      <c r="AK4" s="11" t="str">
        <f>IF(SUM(P4:S4)-T4&gt;0,SUM(P4:S4)-T4,"")</f>
        <v/>
      </c>
      <c r="AL4" s="11">
        <f>IF(W4&gt;0,W4,"")</f>
        <v>12.9</v>
      </c>
      <c r="AM4" s="11">
        <f>IF(SUM(U4:X4)-Y4&gt;0,SUM(U4:X4)-Y4,"")</f>
        <v>49.774999999999999</v>
      </c>
      <c r="AN4" s="11">
        <f>IF(AB4&gt;0,AB4,"")</f>
        <v>4.4000000000000004</v>
      </c>
      <c r="AO4" s="11">
        <f>IF(SUM(Z4:AC4)-AD4&gt;0,SUM(Z4:AC4)-AD4,"")</f>
        <v>15.945</v>
      </c>
      <c r="AP4" s="11">
        <f>IF(AK4="",IF(MAX(AM4,AO4)&gt;0,MAX(AM4,AO4),""),MAX(AM4,AO4)+AK4)</f>
        <v>49.774999999999999</v>
      </c>
      <c r="AQ4" s="11">
        <f>IF(AG4&gt;0,AG4,"")</f>
        <v>12.9</v>
      </c>
      <c r="AR4" s="11">
        <f>IF(SUM(AE4:AH4)-AI4&gt;0,SUM(AE4:AH4)-AI4,"")</f>
        <v>51.075000000000003</v>
      </c>
      <c r="AS4" s="11">
        <f>IF(SUM(AP4,AR4)&gt;0,SUM(AP4,AR4),"")</f>
        <v>100.85</v>
      </c>
      <c r="AT4" s="41"/>
      <c r="AU4" s="41"/>
      <c r="AV4" s="41"/>
      <c r="AW4" s="41"/>
      <c r="AX4" s="41"/>
      <c r="AY4" s="41">
        <v>14.5</v>
      </c>
      <c r="AZ4" s="41">
        <v>9.3000000000000007</v>
      </c>
      <c r="BA4" s="41">
        <v>12</v>
      </c>
      <c r="BB4" s="41">
        <v>14.51</v>
      </c>
      <c r="BC4" s="41">
        <v>0</v>
      </c>
      <c r="BD4" s="41">
        <v>15.6</v>
      </c>
      <c r="BE4" s="41">
        <v>9.3000000000000007</v>
      </c>
      <c r="BF4" s="41">
        <v>12</v>
      </c>
      <c r="BG4" s="41">
        <v>14.85</v>
      </c>
      <c r="BH4" s="41">
        <v>0</v>
      </c>
      <c r="BI4" s="41">
        <v>15.2</v>
      </c>
      <c r="BJ4" s="41">
        <v>9</v>
      </c>
      <c r="BK4" s="41">
        <v>11.3</v>
      </c>
      <c r="BL4" s="41">
        <v>14.66</v>
      </c>
      <c r="BM4" s="41">
        <v>0</v>
      </c>
      <c r="BN4" s="45"/>
      <c r="BO4" s="14" t="str">
        <f>IF(SUM(AT4:AW4)-AX4&gt;0,SUM(AT4:AW4)-AX4,"")</f>
        <v/>
      </c>
      <c r="BP4" s="14">
        <f>IF(BA4&gt;0,BA4,"")</f>
        <v>12</v>
      </c>
      <c r="BQ4" s="14">
        <f>IF(SUM(AY4:BB4)-BC4&gt;0,SUM(AY4:BB4)-BC4,"")</f>
        <v>50.309999999999995</v>
      </c>
      <c r="BR4" s="14">
        <f>IF(BF4&gt;0,BF4,"")</f>
        <v>12</v>
      </c>
      <c r="BS4" s="14">
        <f>IF(SUM(BD4:BG4)-BH4&gt;0,SUM(BD4:BG4)-BH4,"")</f>
        <v>51.75</v>
      </c>
      <c r="BT4" s="14">
        <f>IF(BO4="",IF(MAX(BQ4,BS4)&gt;0,MAX(BQ4,BS4),""),MAX(BQ4,BS4)+BO4)</f>
        <v>51.75</v>
      </c>
      <c r="BU4" s="14">
        <f>IF(BK4&gt;0,BK4,"")</f>
        <v>11.3</v>
      </c>
      <c r="BV4" s="14">
        <f>IF(SUM(BI4:BL4)-BM4&gt;0,SUM(BI4:BL4)-BM4,"")</f>
        <v>50.16</v>
      </c>
      <c r="BW4" s="14">
        <f>IF(SUM(BT4,BV4)&gt;0,SUM(BT4,BV4),"")</f>
        <v>101.91</v>
      </c>
      <c r="BX4" s="37"/>
      <c r="BY4" s="37"/>
      <c r="BZ4" s="37"/>
      <c r="CA4" s="37"/>
      <c r="CB4" s="37"/>
      <c r="CC4" s="37">
        <v>11.6</v>
      </c>
      <c r="CD4" s="37">
        <v>8.1999999999999993</v>
      </c>
      <c r="CE4" s="37">
        <v>11.7</v>
      </c>
      <c r="CF4" s="37">
        <v>12.72</v>
      </c>
      <c r="CG4" s="37">
        <v>0</v>
      </c>
      <c r="CH4" s="37">
        <v>2.2000000000000002</v>
      </c>
      <c r="CI4" s="37">
        <v>1.7</v>
      </c>
      <c r="CJ4" s="37">
        <v>2.7</v>
      </c>
      <c r="CK4" s="37">
        <v>2.89</v>
      </c>
      <c r="CL4" s="37">
        <v>0</v>
      </c>
      <c r="CM4" s="37">
        <v>7.7</v>
      </c>
      <c r="CN4" s="37">
        <v>5.6</v>
      </c>
      <c r="CO4" s="37">
        <v>8.1</v>
      </c>
      <c r="CP4" s="37">
        <v>8.7899999999999991</v>
      </c>
      <c r="CQ4" s="37">
        <v>0</v>
      </c>
      <c r="CR4" s="44"/>
      <c r="CS4" s="11" t="str">
        <f>IF(SUM(BX4:CA4)-CB4&gt;0,SUM(BX4:CA4)-CB4,"")</f>
        <v/>
      </c>
      <c r="CT4" s="11">
        <f>IF(CE4&gt;0,CE4,"")</f>
        <v>11.7</v>
      </c>
      <c r="CU4" s="11">
        <f>IF(SUM(CC4:CF4)-CG4&gt;0,SUM(CC4:CF4)-CG4,"")</f>
        <v>44.22</v>
      </c>
      <c r="CV4" s="11">
        <f>IF(CJ4&gt;0,CJ4,"")</f>
        <v>2.7</v>
      </c>
      <c r="CW4" s="11">
        <f>IF(SUM(CH4:CK4)-CL4&gt;0,SUM(CH4:CK4)-CL4,"")</f>
        <v>9.49</v>
      </c>
      <c r="CX4" s="11">
        <f>IF(CS4="",IF(MAX(CU4,CW4)&gt;0,MAX(CU4,CW4),""),MAX(CU4,CW4)+CS4)</f>
        <v>44.22</v>
      </c>
      <c r="CY4" s="11">
        <f>IF(CO4&gt;0,CO4,"")</f>
        <v>8.1</v>
      </c>
      <c r="CZ4" s="11">
        <f>IF(SUM(CM4:CP4)-CQ4&gt;0,SUM(CM4:CP4)-CQ4,"")</f>
        <v>30.189999999999998</v>
      </c>
      <c r="DA4" s="11">
        <f>IF(SUM(CX4,CZ4)&gt;0,SUM(CX4,CZ4),"")</f>
        <v>74.41</v>
      </c>
      <c r="DB4" s="18" t="str">
        <f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>IF(K4&gt;=0.001,IF(MAX(DX4,ET4,FP4,GL4,HH4,ID4,IZ4,JV4,KR4,LN4,MJ4,NF4)-IF(K4="",0,K4)&gt;0.001,MAX(DX4,ET4,FP4,GL4,HH4,ID4,IZ4,JV4,KR4,LN4,MJ4,NF4)-IF(K4="",0,K4),""),"")</f>
        <v/>
      </c>
      <c r="DD4" s="24">
        <v>16.899999999999999</v>
      </c>
      <c r="DE4" s="24">
        <v>9.1999999999999993</v>
      </c>
      <c r="DF4" s="24">
        <v>2.7</v>
      </c>
      <c r="DG4" s="24">
        <v>14.935</v>
      </c>
      <c r="DH4" s="24">
        <v>0</v>
      </c>
      <c r="DI4" s="24">
        <v>14.5</v>
      </c>
      <c r="DJ4" s="24">
        <v>8.9</v>
      </c>
      <c r="DK4" s="24">
        <v>10.7</v>
      </c>
      <c r="DL4" s="24">
        <v>13.74</v>
      </c>
      <c r="DM4" s="24">
        <v>0</v>
      </c>
      <c r="DN4" s="24"/>
      <c r="DO4" s="24"/>
      <c r="DP4" s="24"/>
      <c r="DQ4" s="24"/>
      <c r="DR4" s="24"/>
      <c r="DS4" s="11">
        <f>IF(DK4&gt;0,DK4,"")</f>
        <v>10.7</v>
      </c>
      <c r="DT4" s="11">
        <f>IF(SUM(DD4:DG4)-DH4&gt;0,SUM(DD4:DG4)-DH4,"")</f>
        <v>43.734999999999999</v>
      </c>
      <c r="DU4" s="11">
        <f>IF(SUM(DI4:DL4)-DM4&gt;0,SUM(DI4:DL4)-DM4,"")</f>
        <v>47.839999999999996</v>
      </c>
      <c r="DV4" s="11">
        <f>IF(SUM(DT4:DU4)&gt;0,SUM(DT4:DU4),"")</f>
        <v>91.574999999999989</v>
      </c>
      <c r="DW4" s="11" t="str">
        <f>IF(DP4&gt;0,DP4,"")</f>
        <v/>
      </c>
      <c r="DX4" s="11" t="str">
        <f>IF(SUM(DN4:DQ4)-DR4&gt;0,SUM(DN4:DQ4)-DR4,"")</f>
        <v/>
      </c>
      <c r="DY4" s="11">
        <f>IF(SUM(DV4,DX4)&gt;0,SUM(DV4,DX4),"")</f>
        <v>91.574999999999989</v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>IF(EG4&gt;0,EG4,"")</f>
        <v/>
      </c>
      <c r="EP4" s="14" t="str">
        <f>IF(SUM(DZ4:EC4)-ED4&gt;0,SUM(DZ4:EC4)-ED4,"")</f>
        <v/>
      </c>
      <c r="EQ4" s="14" t="str">
        <f>IF(SUM(EE4:EH4)-EI4&gt;0,SUM(EE4:EH4)-EI4,"")</f>
        <v/>
      </c>
      <c r="ER4" s="14" t="str">
        <f>IF(SUM(EP4:EQ4)&gt;0,SUM(EP4:EQ4),"")</f>
        <v/>
      </c>
      <c r="ES4" s="14" t="str">
        <f>IF(EL4&gt;0,EL4,"")</f>
        <v/>
      </c>
      <c r="ET4" s="14" t="str">
        <f>IF(SUM(EJ4:EM4)-EN4&gt;0,SUM(EJ4:EM4)-EN4,"")</f>
        <v/>
      </c>
      <c r="EU4" s="14" t="str">
        <f>IF(SUM(ER4,ET4)&gt;0,SUM(ER4,ET4),"")</f>
        <v/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5">
        <v>15.2</v>
      </c>
      <c r="FS4" s="25">
        <v>11.3</v>
      </c>
      <c r="FT4" s="25">
        <v>9.1999999999999993</v>
      </c>
      <c r="FU4" s="25">
        <v>14.305</v>
      </c>
      <c r="FV4" s="25">
        <v>0</v>
      </c>
      <c r="FW4" s="25">
        <v>9.1</v>
      </c>
      <c r="FX4" s="25">
        <v>7.2</v>
      </c>
      <c r="FY4" s="25">
        <v>5.3</v>
      </c>
      <c r="FZ4" s="25">
        <v>8.59</v>
      </c>
      <c r="GA4" s="25">
        <v>0</v>
      </c>
      <c r="GB4" s="25">
        <v>9.6999999999999993</v>
      </c>
      <c r="GC4" s="25">
        <v>6.4</v>
      </c>
      <c r="GD4" s="25">
        <v>9.4</v>
      </c>
      <c r="GE4" s="25">
        <v>9.8949999999999996</v>
      </c>
      <c r="GF4" s="25">
        <v>0</v>
      </c>
      <c r="GG4" s="14">
        <f>IF(FY4&gt;0,FY4,"")</f>
        <v>5.3</v>
      </c>
      <c r="GH4" s="14">
        <f>IF(SUM(FR4:FU4)-FV4&gt;0,SUM(FR4:FU4)-FV4,"")</f>
        <v>50.005000000000003</v>
      </c>
      <c r="GI4" s="14">
        <f>IF(SUM(FW4:FZ4)-GA4&gt;0,SUM(FW4:FZ4)-GA4,"")</f>
        <v>30.19</v>
      </c>
      <c r="GJ4" s="14">
        <f>IF(SUM(GH4:GI4)&gt;0,SUM(GH4:GI4),"")</f>
        <v>80.195000000000007</v>
      </c>
      <c r="GK4" s="14">
        <f>IF(GD4&gt;0,GD4,"")</f>
        <v>9.4</v>
      </c>
      <c r="GL4" s="14">
        <f>IF(SUM(GB4:GE4)-GF4&gt;0,SUM(GB4:GE4)-GF4,"")</f>
        <v>35.394999999999996</v>
      </c>
      <c r="GM4" s="14">
        <f>IF(SUM(GJ4,GL4)&gt;0,SUM(GJ4,GL4),"")</f>
        <v>115.59</v>
      </c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53"/>
      <c r="MA4" s="24"/>
      <c r="MB4" s="24"/>
      <c r="MC4" s="24"/>
      <c r="MD4" s="24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7">
        <f>IF($CR4="P",BX4,(BX4+AT4)/2)</f>
        <v>0</v>
      </c>
      <c r="NI4" s="37">
        <f>IF($CR4="P",BY4,(BY4+AU4)/2)</f>
        <v>0</v>
      </c>
      <c r="NJ4" s="37">
        <f>IF($CR4="P",BZ4,(BZ4+AV4)/2)</f>
        <v>0</v>
      </c>
      <c r="NK4" s="37">
        <f>IF($CR4="P",CA4,(CA4+AW4)/2)</f>
        <v>0</v>
      </c>
      <c r="NL4" s="37">
        <f>IF($CR4="P",CB4,(CB4+AX4)/2)</f>
        <v>0</v>
      </c>
      <c r="NM4" s="37">
        <f>IF($CR4="P",CC4,(CC4+AY4)/2)</f>
        <v>13.05</v>
      </c>
      <c r="NN4" s="37">
        <f>IF($CR4="P",CD4,(CD4+AZ4)/2)</f>
        <v>8.75</v>
      </c>
      <c r="NO4" s="37">
        <f>IF($CR4="P",CE4,(CE4+BA4)/2)</f>
        <v>11.85</v>
      </c>
      <c r="NP4" s="37">
        <f>IF($CR4="P",CF4,(CF4+BB4)/2)</f>
        <v>13.615</v>
      </c>
      <c r="NQ4" s="37">
        <f>IF($CR4="P",CG4,(CG4+BC4)/2)</f>
        <v>0</v>
      </c>
      <c r="NR4" s="37">
        <f>IF($CR4="P",CH4,(CH4+BD4)/2)</f>
        <v>8.9</v>
      </c>
      <c r="NS4" s="37">
        <f>IF($CR4="P",CI4,(CI4+BE4)/2)</f>
        <v>5.5</v>
      </c>
      <c r="NT4" s="37">
        <f>IF($CR4="P",CJ4,(CJ4+BF4)/2)</f>
        <v>7.35</v>
      </c>
      <c r="NU4" s="37">
        <f>IF($CR4="P",CK4,(CK4+BG4)/2)</f>
        <v>8.8699999999999992</v>
      </c>
      <c r="NV4" s="37">
        <f>IF($CR4="P",CL4,(CL4+BH4)/2)</f>
        <v>0</v>
      </c>
      <c r="NW4" s="37">
        <f>IF($CR4="P",CM4,(CM4+BI4)/2)</f>
        <v>11.45</v>
      </c>
      <c r="NX4" s="37">
        <f>IF($CR4="P",CN4,(CN4+BJ4)/2)</f>
        <v>7.3</v>
      </c>
      <c r="NY4" s="37">
        <f>IF($CR4="P",CO4,(CO4+BK4)/2)</f>
        <v>9.6999999999999993</v>
      </c>
      <c r="NZ4" s="37">
        <f>IF($CR4="P",CP4,(CP4+BL4)/2)</f>
        <v>11.725</v>
      </c>
      <c r="OA4" s="37">
        <f>IF($CR4="P",CQ4,(CQ4+BM4)/2)</f>
        <v>0</v>
      </c>
      <c r="OB4" s="44" t="s">
        <v>46</v>
      </c>
      <c r="OC4" s="11" t="str">
        <f>IF(SUM(NH4:NK4)-NL4&gt;0,SUM(NH4:NK4)-NL4,"")</f>
        <v/>
      </c>
      <c r="OD4" s="11">
        <f>IF(NO4&gt;0,NO4,"")</f>
        <v>11.85</v>
      </c>
      <c r="OE4" s="11">
        <f>IF(SUM(NM4:NP4)-NQ4&gt;0,SUM(NM4:NP4)-NQ4,"")</f>
        <v>47.265000000000001</v>
      </c>
      <c r="OF4" s="11">
        <f>IF(NT4&gt;0,NT4,"")</f>
        <v>7.35</v>
      </c>
      <c r="OG4" s="11">
        <f>IF(SUM(NR4:NU4)-NV4&gt;0,SUM(NR4:NU4)-NV4,"")</f>
        <v>30.619999999999997</v>
      </c>
      <c r="OH4" s="11" t="e">
        <f>IF(OR(OC4&lt;&gt;"",OE4&lt;&gt;"",OG4&lt;&gt;""),OC4+MAX(OE4,OG4),"")</f>
        <v>#VALUE!</v>
      </c>
      <c r="OI4" s="11">
        <f>IF(NY4&gt;0,NY4,"")</f>
        <v>9.6999999999999993</v>
      </c>
      <c r="OJ4" s="11">
        <f t="shared" ref="OJ4:OJ7" si="0">IF(SUM(NW4:NZ4)-OA4&gt;0,SUM(NW4:NZ4)-OA4,"")</f>
        <v>40.174999999999997</v>
      </c>
      <c r="OK4" s="11" t="e">
        <f t="shared" ref="OK4:OK7" si="1">IF(SUM(OH4,OJ4)&gt;0,SUM(OH4,OJ4),"")</f>
        <v>#VALUE!</v>
      </c>
    </row>
    <row r="5" spans="1:401" x14ac:dyDescent="0.2">
      <c r="A5" s="5" cm="1">
        <f t="array" ref="A5">IF(AND(F5="P",G5="P"),SUMPRODUCT((F$4:F$33="P")*(G$4:G$33="P")*(E$4:E$33&gt;E5))+1,IF(G5="P",SUMPRODUCT((F$4:F$33="")*(G$4:G$33="P")*(E$4:E$33&gt;E5))+1+SUMPRODUCT((F$4:F$33="P")*(G$4:G$33="P")),""))</f>
        <v>2</v>
      </c>
      <c r="B5" s="8" t="s">
        <v>93</v>
      </c>
      <c r="C5" s="4" t="s">
        <v>5</v>
      </c>
      <c r="D5" s="21">
        <v>2001</v>
      </c>
      <c r="E5" s="15">
        <f>SUM(I5:M5)</f>
        <v>102.50999999999999</v>
      </c>
      <c r="F5" s="3" t="str">
        <f>IF(OR(AND(AL5&gt;=AS$35,AM5&gt;=AS$39,AL5&lt;&gt;"",AJ5=""),AND(AN5&gt;=AS$35,AO5&gt;=AS$39,AN5&lt;&gt;"",AN5=""),AND(AQ5&gt;=AS$35,AR5&gt;=AS$39,AQ5&lt;&gt;"",AJ5=""),AND(BP5&gt;=BW$35,BQ5&gt;=BW$39,BP5&lt;&gt;"",BN5=""),AND(BR5&gt;=BW$35,BS5&gt;=BW$39,BR5&lt;&gt;"",BN5=""),AND(BU5&gt;=BW$35,BV5&gt;=BW$39,BU5&lt;&gt;"",BN5=""),AND(CT5&gt;=DA$35,CU5&gt;=DA$39,CT5&lt;&gt;"",CR5=""),AND(CV5&gt;=DA$35,CW5&gt;=DA$39,CV5&lt;&gt;"",CR5=""),AND(CY5&gt;=DA$35,CZ5&gt;=DA$39,CY5&lt;&gt;"",CR5=""),AND(DS5&gt;=DY$35,DU5&gt;=DY$39,DS5&lt;&gt;""),AND(DW5&gt;=DY$35,DX5&gt;=DY$39,DW5&lt;&gt;""),AND(EO5&gt;=EU$35,EQ5&gt;=EU$39,EO5&lt;&gt;""),AND(ES5&gt;=EU$35,ET5&gt;=EU$39,ES5&lt;&gt;""),AND(FK5&gt;=FQ$35,FM5&gt;=FQ$39,FK5&lt;&gt;""),AND(FO5&gt;=FQ$35,FP5&gt;=FQ$39,FO5&lt;&gt;""),AND(GG5&gt;=GM$35,GI5&gt;=GM$39,GG5&lt;&gt;""),AND(GK5&gt;=GM$35,GL5&gt;=GM$39,GK5&lt;&gt;""),AND(HC5&gt;=HI$35,HE5&gt;=HI$39,HC5&lt;&gt;""),AND(HG5&gt;=HI$35,HH5&gt;=HI$39,HG5&lt;&gt;""),AND(HY5&gt;=IE$35,IA5&gt;=IE$39,HY5&lt;&gt;""),AND(IC5&gt;=IE$35,ID5&gt;=IE$39,IC5&lt;&gt;""),AND(IU5&gt;=JA$35,IW5&gt;=JA$39,IU5&lt;&gt;""),AND(IY5&gt;=JA$35,IZ5&gt;=JA$39,IY5&lt;&gt;""),AND(JQ5&gt;=JW$35,JS5&gt;=JW$39,JQ5&lt;&gt;""),AND(JU5&gt;=JW$35,JV5&gt;=JW$39,JU5&lt;&gt;""),AND(KM5&gt;=KS$35,KO5&gt;=KS$39,KM5&lt;&gt;""),AND(KQ5&gt;=KS$35,KR5&gt;=KS$39,KQ5&lt;&gt;""),AND(LI5&gt;=LO$35,LK5&gt;=LO$39,LI5&lt;&gt;""),AND(LM5&gt;=LO$35,LN5&gt;=LO$39,LM5&lt;&gt;""),AND(ME5&gt;=MK$35,MG5&gt;=MK$39,ME5&lt;&gt;""),AND(MI5&gt;=MK$35,MJ5&gt;=MK$39,MI5&lt;&gt;""),AND(NA5&gt;=NG$35,NC5&gt;=NG$39,NA5&lt;&gt;""),AND(NE5&gt;=NG$35,NF5&gt;=NG$39,NE5&lt;&gt;"")),"P","")</f>
        <v>P</v>
      </c>
      <c r="G5" s="3" t="str">
        <f>IF(OR(AND(AM5&gt;=AS$39,AL5&lt;&gt;"",AJ5=""),AND(AO5&gt;=AS$39,AN5&lt;&gt;"",AN5=""),AND(AR5&gt;=AS$39,AQ5&lt;&gt;"",AJ5=""),AND(BQ5&gt;=BW$39,BP5&lt;&gt;"",BN5=""),AND(BS5&gt;=BW$39,BR5&lt;&gt;"",BN5=""),AND(BV5&gt;=BW$39,BU5&lt;&gt;"",BN5=""),AND(CU5&gt;=DA$39,CT5&lt;&gt;"",CR5=""),AND(CW5&gt;=DA$39,CV5&lt;&gt;"",CR5=""),AND(CZ5&gt;=DA$39,CY5&lt;&gt;"",CR5=""),AND(DU5&gt;=DY$39,DS5&lt;&gt;""),AND(DX5&gt;=DY$39,DW5&lt;&gt;""),AND(EQ5&gt;=EU$39,EO5&lt;&gt;""),AND(ET5&gt;=EU$39,ES5&lt;&gt;""),AND(FM5&gt;=FQ$39,FK5&lt;&gt;""),AND(FP5&gt;=FQ$39,FO5&lt;&gt;""),AND(GI5&gt;=GM$39,GG5&lt;&gt;""),AND(GL5&gt;=GM$39,GK5&lt;&gt;""),AND(HE5&gt;=HI$39,HC5&lt;&gt;""),AND(HH5&gt;=HI$39,HG5&lt;&gt;""),AND(IA5&gt;=IE$39,HY5&lt;&gt;""),AND(ID5&gt;=IE$39,IC5&lt;&gt;""),AND(IW5&gt;=JA$39,IU5&lt;&gt;""),AND(IZ5&gt;=JA$39,IY5&lt;&gt;""),AND(JS5&gt;=JW$39,JQ5&lt;&gt;""),AND(JV5&gt;=JW$39,JU5&lt;&gt;""),AND(KO5&gt;=KS$39,KM5&lt;&gt;""),AND(KR5&gt;=KS$39,KQ5&lt;&gt;""),AND(LK5&gt;=LO$39,LI5&lt;&gt;""),AND(LN5&gt;=LO$39,LM5&lt;&gt;""),AND(MG5&gt;=MK$39,ME5&lt;&gt;""),AND(MJ5&gt;=MK$39,MI5&lt;&gt;""),AND(NC5&gt;=NG$39,NA5&lt;&gt;""),AND(NF5&gt;=NG$39,NE5&lt;&gt;"")),"P","")</f>
        <v>P</v>
      </c>
      <c r="H5" s="66" t="str">
        <f>IF(F5="P","National Team",IF(G5="P","No DD",""))</f>
        <v>National Team</v>
      </c>
      <c r="I5" s="14">
        <f>MAX(AM5,AO5,AR5,BQ5,BS5,BV5,CU5,CW5,CZ5)</f>
        <v>51.01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50.460000000000008</v>
      </c>
      <c r="L5" s="14" t="str">
        <f>IF(K5=0,"",IF(OR(K5=CW5,K5=CU5,K5=CZ5),$BX$1,IF(OR(K5=BS5,K5=BQ5,K5=BV5),$AT$1,IF(OR(K5=AO5,K5=AM5,K5=AR5),$P$1,""))))</f>
        <v>2022 Nationals</v>
      </c>
      <c r="M5" s="14">
        <f>IF(MAX(DB5,DC5)&gt;0,MAX(DB5,DC5),"")</f>
        <v>1.039999999999992</v>
      </c>
      <c r="N5" s="19" t="str">
        <f>IF(M5="","",IF(M5=DB5,"(Prelim)",IF(M5=DC5,"(Final)")))</f>
        <v>(Prelim)</v>
      </c>
      <c r="O5" s="14" t="str">
        <f>IF(M5="","",IF(M5=DB5,IF(M5+IF(K5="",0,K5)=NC5,$ML$1,IF(M5+IF(K5="",0,K5)=MG5,$LP$1,IF(M5+IF(K5="",0,K5)=LK5,$KT$1,IF(M5+IF(K5="",0,K5)=KO5,$JX$1,IF(M5+IF(K5="",0,K5)=JS5,$JB$1,IF(M5+IF(K5="",0,K5)=IW5,$IF$1,IF(M5+IF(K5="",0,K5)=IA5,$HJ$1,IF(M5+IF(K5="",0,K5)=HE5,$GN$1,IF(M5+IF(K5="",0,K5)=GI5,$FR$1,IF(M5+IF(K5="",0,K5)=FM5,$EV$1,IF(M5+IF(K5="",0,K5)=EQ5,$DZ$1,IF(M5+IF(K5="",0,K5)=DU5,$DD$1,IF(M5+IF(K5="",0,K5)=NB5,$ML$1,IF(M5+IF(K5="",0,K5)=MF5,$LP$1,IF(M5+IF(K5="",0,K5)=LJ5,$KT$1,IF(M5+IF(K5="",0,K5)=KN5,$JX$1,IF(M5+IF(K5="",0,K5)=JR5,$JB$1,IF(M5+IF(K5="",0,K5)=IV5,$IF$1,IF(M5+IF(K5="",0,K5)=HZ5,$HJ$1,IF(M5+IF(K5="",0,K5)=HD5,$GN$1,IF(M5+IF(K5="",0,K5)=GH5,$FR$1,IF(M5+IF(K5="",0,K5)=FL5,$EV$1,IF(M5+IF(K5="",0,K5)=EP5,$DZ$1,IF(M5+IF(K5="",0,K5)=DT5,$DD$1))))))))))))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</f>
        <v>2022 Pan Am Championships (June 28)</v>
      </c>
      <c r="P5" s="37"/>
      <c r="Q5" s="37"/>
      <c r="R5" s="37"/>
      <c r="S5" s="37"/>
      <c r="T5" s="37"/>
      <c r="U5" s="37">
        <v>13.6</v>
      </c>
      <c r="V5" s="37">
        <v>9.4</v>
      </c>
      <c r="W5" s="37">
        <v>13.3</v>
      </c>
      <c r="X5" s="37">
        <v>14.71</v>
      </c>
      <c r="Y5" s="37">
        <v>0</v>
      </c>
      <c r="Z5" s="37">
        <v>12.1</v>
      </c>
      <c r="AA5" s="37">
        <v>9.1999999999999993</v>
      </c>
      <c r="AB5" s="37">
        <v>13.4</v>
      </c>
      <c r="AC5" s="37">
        <v>14.34</v>
      </c>
      <c r="AD5" s="37">
        <v>0</v>
      </c>
      <c r="AE5" s="37">
        <v>8.1999999999999993</v>
      </c>
      <c r="AF5" s="37">
        <v>5.2</v>
      </c>
      <c r="AG5" s="37">
        <v>8.1</v>
      </c>
      <c r="AH5" s="37">
        <v>8.99</v>
      </c>
      <c r="AI5" s="37">
        <v>0</v>
      </c>
      <c r="AJ5" s="44"/>
      <c r="AK5" s="11" t="str">
        <f>IF(SUM(P5:S5)-T5&gt;0,SUM(P5:S5)-T5,"")</f>
        <v/>
      </c>
      <c r="AL5" s="11">
        <f>IF(W5&gt;0,W5,"")</f>
        <v>13.3</v>
      </c>
      <c r="AM5" s="11">
        <f>IF(SUM(U5:X5)-Y5&gt;0,SUM(U5:X5)-Y5,"")</f>
        <v>51.01</v>
      </c>
      <c r="AN5" s="11">
        <f>IF(AB5&gt;0,AB5,"")</f>
        <v>13.4</v>
      </c>
      <c r="AO5" s="11">
        <f>IF(SUM(Z5:AC5)-AD5&gt;0,SUM(Z5:AC5)-AD5,"")</f>
        <v>49.039999999999992</v>
      </c>
      <c r="AP5" s="11">
        <f>IF(AK5="",IF(MAX(AM5,AO5)&gt;0,MAX(AM5,AO5),""),MAX(AM5,AO5)+AK5)</f>
        <v>51.01</v>
      </c>
      <c r="AQ5" s="11">
        <f>IF(AG5&gt;0,AG5,"")</f>
        <v>8.1</v>
      </c>
      <c r="AR5" s="11">
        <f>IF(SUM(AE5:AH5)-AI5&gt;0,SUM(AE5:AH5)-AI5,"")</f>
        <v>30.490000000000002</v>
      </c>
      <c r="AS5" s="11">
        <f>IF(SUM(AP5,AR5)&gt;0,SUM(AP5,AR5),"")</f>
        <v>81.5</v>
      </c>
      <c r="AT5" s="41"/>
      <c r="AU5" s="41"/>
      <c r="AV5" s="41"/>
      <c r="AW5" s="41"/>
      <c r="AX5" s="41"/>
      <c r="AY5" s="41">
        <v>12.7</v>
      </c>
      <c r="AZ5" s="41">
        <v>9.1</v>
      </c>
      <c r="BA5" s="41">
        <v>13.3</v>
      </c>
      <c r="BB5" s="41">
        <v>14.32</v>
      </c>
      <c r="BC5" s="41">
        <v>0</v>
      </c>
      <c r="BD5" s="41">
        <v>13.2</v>
      </c>
      <c r="BE5" s="41">
        <v>9.4</v>
      </c>
      <c r="BF5" s="41">
        <v>13.3</v>
      </c>
      <c r="BG5" s="41">
        <v>14.56</v>
      </c>
      <c r="BH5" s="41">
        <v>0</v>
      </c>
      <c r="BI5" s="41">
        <v>1.4</v>
      </c>
      <c r="BJ5" s="41">
        <v>0.8</v>
      </c>
      <c r="BK5" s="41">
        <v>1.7</v>
      </c>
      <c r="BL5" s="41">
        <v>1.67</v>
      </c>
      <c r="BM5" s="41">
        <v>0</v>
      </c>
      <c r="BN5" s="45"/>
      <c r="BO5" s="14" t="str">
        <f>IF(SUM(AT5:AW5)-AX5&gt;0,SUM(AT5:AW5)-AX5,"")</f>
        <v/>
      </c>
      <c r="BP5" s="14">
        <f>IF(BA5&gt;0,BA5,"")</f>
        <v>13.3</v>
      </c>
      <c r="BQ5" s="14">
        <f>IF(SUM(AY5:BB5)-BC5&gt;0,SUM(AY5:BB5)-BC5,"")</f>
        <v>49.419999999999995</v>
      </c>
      <c r="BR5" s="14">
        <f>IF(BF5&gt;0,BF5,"")</f>
        <v>13.3</v>
      </c>
      <c r="BS5" s="14">
        <f>IF(SUM(BD5:BG5)-BH5&gt;0,SUM(BD5:BG5)-BH5,"")</f>
        <v>50.460000000000008</v>
      </c>
      <c r="BT5" s="14">
        <f>IF(BO5="",IF(MAX(BQ5,BS5)&gt;0,MAX(BQ5,BS5),""),MAX(BQ5,BS5)+BO5)</f>
        <v>50.460000000000008</v>
      </c>
      <c r="BU5" s="14">
        <f>IF(BK5&gt;0,BK5,"")</f>
        <v>1.7</v>
      </c>
      <c r="BV5" s="14">
        <f>IF(SUM(BI5:BL5)-BM5&gt;0,SUM(BI5:BL5)-BM5,"")</f>
        <v>5.57</v>
      </c>
      <c r="BW5" s="14">
        <f>IF(SUM(BT5,BV5)&gt;0,SUM(BT5,BV5),"")</f>
        <v>56.030000000000008</v>
      </c>
      <c r="BX5" s="37"/>
      <c r="BY5" s="37"/>
      <c r="BZ5" s="37"/>
      <c r="CA5" s="37"/>
      <c r="CB5" s="37"/>
      <c r="CC5" s="37">
        <v>13.1</v>
      </c>
      <c r="CD5" s="37">
        <v>8.4</v>
      </c>
      <c r="CE5" s="37">
        <v>13.3</v>
      </c>
      <c r="CF5" s="37">
        <v>14.87</v>
      </c>
      <c r="CG5" s="37">
        <v>0</v>
      </c>
      <c r="CH5" s="37">
        <v>13.1</v>
      </c>
      <c r="CI5" s="37">
        <v>8.5</v>
      </c>
      <c r="CJ5" s="37">
        <v>13.3</v>
      </c>
      <c r="CK5" s="37">
        <v>14.86</v>
      </c>
      <c r="CL5" s="37">
        <v>0</v>
      </c>
      <c r="CM5" s="37">
        <v>5.2</v>
      </c>
      <c r="CN5" s="37">
        <v>3.4</v>
      </c>
      <c r="CO5" s="37">
        <v>5.8</v>
      </c>
      <c r="CP5" s="37">
        <v>6.06</v>
      </c>
      <c r="CQ5" s="37">
        <v>0.2</v>
      </c>
      <c r="CR5" s="44"/>
      <c r="CS5" s="11" t="str">
        <f>IF(SUM(BX5:CA5)-CB5&gt;0,SUM(BX5:CA5)-CB5,"")</f>
        <v/>
      </c>
      <c r="CT5" s="11">
        <f>IF(CE5&gt;0,CE5,"")</f>
        <v>13.3</v>
      </c>
      <c r="CU5" s="11">
        <f>IF(SUM(CC5:CF5)-CG5&gt;0,SUM(CC5:CF5)-CG5,"")</f>
        <v>49.669999999999995</v>
      </c>
      <c r="CV5" s="11">
        <f>IF(CJ5&gt;0,CJ5,"")</f>
        <v>13.3</v>
      </c>
      <c r="CW5" s="11">
        <f>IF(SUM(CH5:CK5)-CL5&gt;0,SUM(CH5:CK5)-CL5,"")</f>
        <v>49.760000000000005</v>
      </c>
      <c r="CX5" s="11">
        <f>IF(CS5="",IF(MAX(CU5,CW5)&gt;0,MAX(CU5,CW5),""),MAX(CU5,CW5)+CS5)</f>
        <v>49.760000000000005</v>
      </c>
      <c r="CY5" s="11">
        <f>IF(CO5&gt;0,CO5,"")</f>
        <v>5.8</v>
      </c>
      <c r="CZ5" s="11">
        <f>IF(SUM(CM5:CP5)-CQ5&gt;0,SUM(CM5:CP5)-CQ5,"")</f>
        <v>20.259999999999998</v>
      </c>
      <c r="DA5" s="11">
        <f>IF(SUM(CX5,CZ5)&gt;0,SUM(CX5,CZ5),"")</f>
        <v>70.02000000000001</v>
      </c>
      <c r="DB5" s="18">
        <f>IF(K5&gt;=0.001,IF(MAX(DT5,DU5,EP5,EQ5,FL5,FM5,GH5,GI5,HD5,HE5,HZ5,IA5,IV5,IW5,JR5,JS5,KN5,KO5,LJ5,LK5,MF5,MG5,NB5,NC5)-IF(K5="",0,K5)&gt;0.001,MAX(DT5,DU5,EP5,EQ5,FL5,FM5,GH5,GI5,HD5,HE5,HZ5,IA5,IV5,IW5,JR5,JS5,KN5,KO5,LJ5,LK5,MF5,MG5,NB5,NC5)-IF(K5="",0,K5),""),"")</f>
        <v>1.039999999999992</v>
      </c>
      <c r="DC5" s="18" t="str">
        <f>IF(K5&gt;=0.001,IF(MAX(DX5,ET5,FP5,GL5,HH5,ID5,IZ5,JV5,KR5,LN5,MJ5,NF5)-IF(K5="",0,K5)&gt;0.001,MAX(DX5,ET5,FP5,GL5,HH5,ID5,IZ5,JV5,KR5,LN5,MJ5,NF5)-IF(K5="",0,K5),""),"")</f>
        <v/>
      </c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11" t="str">
        <f>IF(DK5&gt;0,DK5,"")</f>
        <v/>
      </c>
      <c r="DT5" s="11" t="str">
        <f>IF(SUM(DD5:DG5)-DH5&gt;0,SUM(DD5:DG5)-DH5,"")</f>
        <v/>
      </c>
      <c r="DU5" s="11" t="str">
        <f>IF(SUM(DI5:DL5)-DM5&gt;0,SUM(DI5:DL5)-DM5,"")</f>
        <v/>
      </c>
      <c r="DV5" s="11" t="str">
        <f>IF(SUM(DT5:DU5)&gt;0,SUM(DT5:DU5),"")</f>
        <v/>
      </c>
      <c r="DW5" s="11" t="str">
        <f>IF(DP5&gt;0,DP5,"")</f>
        <v/>
      </c>
      <c r="DX5" s="11" t="str">
        <f>IF(SUM(DN5:DQ5)-DR5&gt;0,SUM(DN5:DQ5)-DR5,"")</f>
        <v/>
      </c>
      <c r="DY5" s="11" t="str">
        <f>IF(SUM(DV5,DX5)&gt;0,SUM(DV5,DX5),"")</f>
        <v/>
      </c>
      <c r="DZ5" s="25">
        <v>15</v>
      </c>
      <c r="EA5" s="25">
        <v>9.1999999999999993</v>
      </c>
      <c r="EB5" s="25">
        <v>2.7</v>
      </c>
      <c r="EC5" s="25">
        <v>15.16</v>
      </c>
      <c r="ED5" s="25">
        <v>0</v>
      </c>
      <c r="EE5" s="25">
        <v>12.8</v>
      </c>
      <c r="EF5" s="25">
        <v>8.6999999999999993</v>
      </c>
      <c r="EG5" s="25">
        <v>11.1</v>
      </c>
      <c r="EH5" s="25">
        <v>14.565</v>
      </c>
      <c r="EI5" s="25">
        <v>0</v>
      </c>
      <c r="EJ5" s="25">
        <v>3.2</v>
      </c>
      <c r="EK5" s="25">
        <v>1.8</v>
      </c>
      <c r="EL5" s="25">
        <v>2</v>
      </c>
      <c r="EM5" s="25">
        <v>3.31</v>
      </c>
      <c r="EN5" s="25">
        <v>0</v>
      </c>
      <c r="EO5" s="14">
        <f>IF(EG5&gt;0,EG5,"")</f>
        <v>11.1</v>
      </c>
      <c r="EP5" s="14">
        <f>IF(SUM(DZ5:EC5)-ED5&gt;0,SUM(DZ5:EC5)-ED5,"")</f>
        <v>42.06</v>
      </c>
      <c r="EQ5" s="14">
        <f>IF(SUM(EE5:EH5)-EI5&gt;0,SUM(EE5:EH5)-EI5,"")</f>
        <v>47.164999999999999</v>
      </c>
      <c r="ER5" s="14">
        <f>IF(SUM(EP5:EQ5)&gt;0,SUM(EP5:EQ5),"")</f>
        <v>89.224999999999994</v>
      </c>
      <c r="ES5" s="14">
        <f>IF(EL5&gt;0,EL5,"")</f>
        <v>2</v>
      </c>
      <c r="ET5" s="14">
        <f>IF(SUM(EJ5:EM5)-EN5&gt;0,SUM(EJ5:EM5)-EN5,"")</f>
        <v>10.31</v>
      </c>
      <c r="EU5" s="14">
        <f>IF(SUM(ER5,ET5)&gt;0,SUM(ER5,ET5),"")</f>
        <v>99.534999999999997</v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5">
        <v>13.3</v>
      </c>
      <c r="FS5" s="25">
        <v>8.5</v>
      </c>
      <c r="FT5" s="25">
        <v>13.3</v>
      </c>
      <c r="FU5" s="25">
        <v>14.08</v>
      </c>
      <c r="FV5" s="25">
        <v>0</v>
      </c>
      <c r="FW5" s="25">
        <v>14.2</v>
      </c>
      <c r="FX5" s="25">
        <v>9.5</v>
      </c>
      <c r="FY5" s="25">
        <v>13.3</v>
      </c>
      <c r="FZ5" s="25">
        <v>14.5</v>
      </c>
      <c r="GA5" s="25">
        <v>0</v>
      </c>
      <c r="GB5" s="25">
        <v>13.1</v>
      </c>
      <c r="GC5" s="25">
        <v>8.6999999999999993</v>
      </c>
      <c r="GD5" s="25">
        <v>13.8</v>
      </c>
      <c r="GE5" s="25">
        <v>14.47</v>
      </c>
      <c r="GF5" s="25">
        <v>0</v>
      </c>
      <c r="GG5" s="14">
        <f>IF(FY5&gt;0,FY5,"")</f>
        <v>13.3</v>
      </c>
      <c r="GH5" s="14">
        <f>IF(SUM(FR5:FU5)-FV5&gt;0,SUM(FR5:FU5)-FV5,"")</f>
        <v>49.18</v>
      </c>
      <c r="GI5" s="14">
        <f>IF(SUM(FW5:FZ5)-GA5&gt;0,SUM(FW5:FZ5)-GA5,"")</f>
        <v>51.5</v>
      </c>
      <c r="GJ5" s="14">
        <f>IF(SUM(GH5:GI5)&gt;0,SUM(GH5:GI5),"")</f>
        <v>100.68</v>
      </c>
      <c r="GK5" s="14">
        <f>IF(GD5&gt;0,GD5,"")</f>
        <v>13.8</v>
      </c>
      <c r="GL5" s="14">
        <f>IF(SUM(GB5:GE5)-GF5&gt;0,SUM(GB5:GE5)-GF5,"")</f>
        <v>50.069999999999993</v>
      </c>
      <c r="GM5" s="14">
        <f>IF(SUM(GJ5,GL5)&gt;0,SUM(GJ5,GL5),"")</f>
        <v>150.75</v>
      </c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7">
        <f>IF($CR5="P",BX5,(BX5+AT5)/2)</f>
        <v>0</v>
      </c>
      <c r="NI5" s="37">
        <f>IF($CR5="P",BY5,(BY5+AU5)/2)</f>
        <v>0</v>
      </c>
      <c r="NJ5" s="37">
        <f>IF($CR5="P",BZ5,(BZ5+AV5)/2)</f>
        <v>0</v>
      </c>
      <c r="NK5" s="37">
        <f>IF($CR5="P",CA5,(CA5+AW5)/2)</f>
        <v>0</v>
      </c>
      <c r="NL5" s="37">
        <f>IF($CR5="P",CB5,(CB5+AX5)/2)</f>
        <v>0</v>
      </c>
      <c r="NM5" s="37">
        <f>IF($CR5="P",CC5,(CC5+AY5)/2)</f>
        <v>12.899999999999999</v>
      </c>
      <c r="NN5" s="37">
        <f>IF($CR5="P",CD5,(CD5+AZ5)/2)</f>
        <v>8.75</v>
      </c>
      <c r="NO5" s="37">
        <f>IF($CR5="P",CE5,(CE5+BA5)/2)</f>
        <v>13.3</v>
      </c>
      <c r="NP5" s="37">
        <f>IF($CR5="P",CF5,(CF5+BB5)/2)</f>
        <v>14.594999999999999</v>
      </c>
      <c r="NQ5" s="37">
        <f>IF($CR5="P",CG5,(CG5+BC5)/2)</f>
        <v>0</v>
      </c>
      <c r="NR5" s="37">
        <f>IF($CR5="P",CH5,(CH5+BD5)/2)</f>
        <v>13.149999999999999</v>
      </c>
      <c r="NS5" s="37">
        <f>IF($CR5="P",CI5,(CI5+BE5)/2)</f>
        <v>8.9499999999999993</v>
      </c>
      <c r="NT5" s="37">
        <f>IF($CR5="P",CJ5,(CJ5+BF5)/2)</f>
        <v>13.3</v>
      </c>
      <c r="NU5" s="37">
        <f>IF($CR5="P",CK5,(CK5+BG5)/2)</f>
        <v>14.71</v>
      </c>
      <c r="NV5" s="37">
        <f>IF($CR5="P",CL5,(CL5+BH5)/2)</f>
        <v>0</v>
      </c>
      <c r="NW5" s="37">
        <f>IF($CR5="P",CM5,(CM5+BI5)/2)</f>
        <v>3.3</v>
      </c>
      <c r="NX5" s="37">
        <f>IF($CR5="P",CN5,(CN5+BJ5)/2)</f>
        <v>2.1</v>
      </c>
      <c r="NY5" s="37">
        <f>IF($CR5="P",CO5,(CO5+BK5)/2)</f>
        <v>3.75</v>
      </c>
      <c r="NZ5" s="37">
        <f>IF($CR5="P",CP5,(CP5+BL5)/2)</f>
        <v>3.8649999999999998</v>
      </c>
      <c r="OA5" s="37">
        <f>IF($CR5="P",CQ5,(CQ5+BM5)/2)</f>
        <v>0.1</v>
      </c>
      <c r="OB5" s="44" t="s">
        <v>46</v>
      </c>
      <c r="OC5" s="11" t="str">
        <f>IF(SUM(NH5:NK5)-NL5&gt;0,SUM(NH5:NK5)-NL5,"")</f>
        <v/>
      </c>
      <c r="OD5" s="11">
        <f>IF(NO5&gt;0,NO5,"")</f>
        <v>13.3</v>
      </c>
      <c r="OE5" s="11">
        <f>IF(SUM(NM5:NP5)-NQ5&gt;0,SUM(NM5:NP5)-NQ5,"")</f>
        <v>49.545000000000002</v>
      </c>
      <c r="OF5" s="11">
        <f>IF(NT5&gt;0,NT5,"")</f>
        <v>13.3</v>
      </c>
      <c r="OG5" s="11">
        <f>IF(SUM(NR5:NU5)-NV5&gt;0,SUM(NR5:NU5)-NV5,"")</f>
        <v>50.11</v>
      </c>
      <c r="OH5" s="11" t="e">
        <f>IF(OR(OC5&lt;&gt;"",OE5&lt;&gt;"",OG5&lt;&gt;""),OC5+MAX(OE5,OG5),"")</f>
        <v>#VALUE!</v>
      </c>
      <c r="OI5" s="11">
        <f>IF(NY5&gt;0,NY5,"")</f>
        <v>3.75</v>
      </c>
      <c r="OJ5" s="11">
        <f t="shared" si="0"/>
        <v>12.915000000000001</v>
      </c>
      <c r="OK5" s="11" t="e">
        <f t="shared" si="1"/>
        <v>#VALUE!</v>
      </c>
    </row>
    <row r="6" spans="1:401" x14ac:dyDescent="0.2">
      <c r="A6" s="5" cm="1">
        <f t="array" ref="A6">IF(AND(F6="P",G6="P"),SUMPRODUCT((F$4:F$33="P")*(G$4:G$33="P")*(E$4:E$33&gt;E6))+1,IF(G6="P",SUMPRODUCT((F$4:F$33="")*(G$4:G$33="P")*(E$4:E$33&gt;E6))+1+SUMPRODUCT((F$4:F$33="P")*(G$4:G$33="P")),""))</f>
        <v>3</v>
      </c>
      <c r="B6" s="6" t="s">
        <v>119</v>
      </c>
      <c r="C6" s="7" t="s">
        <v>3</v>
      </c>
      <c r="D6" s="21">
        <v>2001</v>
      </c>
      <c r="E6" s="15">
        <f>SUM(I6:M6)</f>
        <v>102.5</v>
      </c>
      <c r="F6" s="3" t="str">
        <f>IF(OR(AND(AL6&gt;=AS$35,AM6&gt;=AS$39,AL6&lt;&gt;"",AJ6=""),AND(AN6&gt;=AS$35,AO6&gt;=AS$39,AN6&lt;&gt;"",AN6=""),AND(AQ6&gt;=AS$35,AR6&gt;=AS$39,AQ6&lt;&gt;"",AJ6=""),AND(BP6&gt;=BW$35,BQ6&gt;=BW$39,BP6&lt;&gt;"",BN6=""),AND(BR6&gt;=BW$35,BS6&gt;=BW$39,BR6&lt;&gt;"",BN6=""),AND(BU6&gt;=BW$35,BV6&gt;=BW$39,BU6&lt;&gt;"",BN6=""),AND(CT6&gt;=DA$35,CU6&gt;=DA$39,CT6&lt;&gt;"",CR6=""),AND(CV6&gt;=DA$35,CW6&gt;=DA$39,CV6&lt;&gt;"",CR6=""),AND(CY6&gt;=DA$35,CZ6&gt;=DA$39,CY6&lt;&gt;"",CR6=""),AND(DS6&gt;=DY$35,DU6&gt;=DY$39,DS6&lt;&gt;""),AND(DW6&gt;=DY$35,DX6&gt;=DY$39,DW6&lt;&gt;""),AND(EO6&gt;=EU$35,EQ6&gt;=EU$39,EO6&lt;&gt;""),AND(ES6&gt;=EU$35,ET6&gt;=EU$39,ES6&lt;&gt;""),AND(FK6&gt;=FQ$35,FM6&gt;=FQ$39,FK6&lt;&gt;""),AND(FO6&gt;=FQ$35,FP6&gt;=FQ$39,FO6&lt;&gt;""),AND(GG6&gt;=GM$35,GI6&gt;=GM$39,GG6&lt;&gt;""),AND(GK6&gt;=GM$35,GL6&gt;=GM$39,GK6&lt;&gt;""),AND(HC6&gt;=HI$35,HE6&gt;=HI$39,HC6&lt;&gt;""),AND(HG6&gt;=HI$35,HH6&gt;=HI$39,HG6&lt;&gt;""),AND(HY6&gt;=IE$35,IA6&gt;=IE$39,HY6&lt;&gt;""),AND(IC6&gt;=IE$35,ID6&gt;=IE$39,IC6&lt;&gt;""),AND(IU6&gt;=JA$35,IW6&gt;=JA$39,IU6&lt;&gt;""),AND(IY6&gt;=JA$35,IZ6&gt;=JA$39,IY6&lt;&gt;""),AND(JQ6&gt;=JW$35,JS6&gt;=JW$39,JQ6&lt;&gt;""),AND(JU6&gt;=JW$35,JV6&gt;=JW$39,JU6&lt;&gt;""),AND(KM6&gt;=KS$35,KO6&gt;=KS$39,KM6&lt;&gt;""),AND(KQ6&gt;=KS$35,KR6&gt;=KS$39,KQ6&lt;&gt;""),AND(LI6&gt;=LO$35,LK6&gt;=LO$39,LI6&lt;&gt;""),AND(LM6&gt;=LO$35,LN6&gt;=LO$39,LM6&lt;&gt;""),AND(ME6&gt;=MK$35,MG6&gt;=MK$39,ME6&lt;&gt;""),AND(MI6&gt;=MK$35,MJ6&gt;=MK$39,MI6&lt;&gt;""),AND(NA6&gt;=NG$35,NC6&gt;=NG$39,NA6&lt;&gt;""),AND(NE6&gt;=NG$35,NF6&gt;=NG$39,NE6&lt;&gt;"")),"P","")</f>
        <v>P</v>
      </c>
      <c r="G6" s="3" t="str">
        <f>IF(OR(AND(AM6&gt;=AS$39,AL6&lt;&gt;"",AJ6=""),AND(AO6&gt;=AS$39,AN6&lt;&gt;"",AN6=""),AND(AR6&gt;=AS$39,AQ6&lt;&gt;"",AJ6=""),AND(BQ6&gt;=BW$39,BP6&lt;&gt;"",BN6=""),AND(BS6&gt;=BW$39,BR6&lt;&gt;"",BN6=""),AND(BV6&gt;=BW$39,BU6&lt;&gt;"",BN6=""),AND(CU6&gt;=DA$39,CT6&lt;&gt;"",CR6=""),AND(CW6&gt;=DA$39,CV6&lt;&gt;"",CR6=""),AND(CZ6&gt;=DA$39,CY6&lt;&gt;"",CR6=""),AND(DU6&gt;=DY$39,DS6&lt;&gt;""),AND(DX6&gt;=DY$39,DW6&lt;&gt;""),AND(EQ6&gt;=EU$39,EO6&lt;&gt;""),AND(ET6&gt;=EU$39,ES6&lt;&gt;""),AND(FM6&gt;=FQ$39,FK6&lt;&gt;""),AND(FP6&gt;=FQ$39,FO6&lt;&gt;""),AND(GI6&gt;=GM$39,GG6&lt;&gt;""),AND(GL6&gt;=GM$39,GK6&lt;&gt;""),AND(HE6&gt;=HI$39,HC6&lt;&gt;""),AND(HH6&gt;=HI$39,HG6&lt;&gt;""),AND(IA6&gt;=IE$39,HY6&lt;&gt;""),AND(ID6&gt;=IE$39,IC6&lt;&gt;""),AND(IW6&gt;=JA$39,IU6&lt;&gt;""),AND(IZ6&gt;=JA$39,IY6&lt;&gt;""),AND(JS6&gt;=JW$39,JQ6&lt;&gt;""),AND(JV6&gt;=JW$39,JU6&lt;&gt;""),AND(KO6&gt;=KS$39,KM6&lt;&gt;""),AND(KR6&gt;=KS$39,KQ6&lt;&gt;""),AND(LK6&gt;=LO$39,LI6&lt;&gt;""),AND(LN6&gt;=LO$39,LM6&lt;&gt;""),AND(MG6&gt;=MK$39,ME6&lt;&gt;""),AND(MJ6&gt;=MK$39,MI6&lt;&gt;""),AND(NC6&gt;=NG$39,NA6&lt;&gt;""),AND(NF6&gt;=NG$39,NE6&lt;&gt;"")),"P","")</f>
        <v>P</v>
      </c>
      <c r="H6" s="66" t="str">
        <f>IF(F6="P","National Team",IF(G6="P","No DD",""))</f>
        <v>National Team</v>
      </c>
      <c r="I6" s="14">
        <f>MAX(AM6,AO6,AR6,BQ6,BS6,BV6,CU6,CW6,CZ6)</f>
        <v>51.379999999999995</v>
      </c>
      <c r="J6" s="14" t="str">
        <f>IF(I6=0,"",IF(OR(I6=CW6,I6=CU6,I6=CZ6),$BX$1,IF(OR(I6=BS6,I6=BQ6,I6=BV6),$AT$1,IF(OR(I6=AO6,I6=AM6,I6=AR6),$P$1,""))))</f>
        <v>2022 3rd Domestic Trial</v>
      </c>
      <c r="K6" s="14">
        <f>IF(COUNT(AM6,AO6,AR6,BQ6,BS6,BV6,CU6,CW6,CZ6)&gt;1,LARGE((AM6,AO6,AR6,BQ6,BS6,BV6,CU6,CW6,CZ6),2),0)</f>
        <v>51.120000000000005</v>
      </c>
      <c r="L6" s="14" t="str">
        <f>IF(K6=0,"",IF(OR(K6=CW6,K6=CU6,K6=CZ6),$BX$1,IF(OR(K6=BS6,K6=BQ6,K6=BV6),$AT$1,IF(OR(K6=AO6,K6=AM6,K6=AR6),$P$1,""))))</f>
        <v>2022 Elite Canada</v>
      </c>
      <c r="M6" s="14" t="str">
        <f>IF(MAX(DB6,DC6)&gt;0,MAX(DB6,DC6),"")</f>
        <v/>
      </c>
      <c r="N6" s="19" t="str">
        <f>IF(M6="","",IF(M6=DB6,"(Prelim)",IF(M6=DC6,"(Final)")))</f>
        <v/>
      </c>
      <c r="O6" s="14" t="str">
        <f>IF(M6="","",IF(M6=DB6,IF(M6+IF(K6="",0,K6)=NC6,$ML$1,IF(M6+IF(K6="",0,K6)=MG6,$LP$1,IF(M6+IF(K6="",0,K6)=LK6,$KT$1,IF(M6+IF(K6="",0,K6)=KO6,$JX$1,IF(M6+IF(K6="",0,K6)=JS6,$JB$1,IF(M6+IF(K6="",0,K6)=IW6,$IF$1,IF(M6+IF(K6="",0,K6)=IA6,$HJ$1,IF(M6+IF(K6="",0,K6)=HE6,$GN$1,IF(M6+IF(K6="",0,K6)=GI6,$FR$1,IF(M6+IF(K6="",0,K6)=FM6,$EV$1,IF(M6+IF(K6="",0,K6)=EQ6,$DZ$1,IF(M6+IF(K6="",0,K6)=DU6,$DD$1,IF(M6+IF(K6="",0,K6)=NB6,$ML$1,IF(M6+IF(K6="",0,K6)=MF6,$LP$1,IF(M6+IF(K6="",0,K6)=LJ6,$KT$1,IF(M6+IF(K6="",0,K6)=KN6,$JX$1,IF(M6+IF(K6="",0,K6)=JR6,$JB$1,IF(M6+IF(K6="",0,K6)=IV6,$IF$1,IF(M6+IF(K6="",0,K6)=HZ6,$HJ$1,IF(M6+IF(K6="",0,K6)=HD6,$GN$1,IF(M6+IF(K6="",0,K6)=GH6,$FR$1,IF(M6+IF(K6="",0,K6)=FL6,$EV$1,IF(M6+IF(K6="",0,K6)=EP6,$DZ$1,IF(M6+IF(K6="",0,K6)=DT6,$DD$1))))))))))))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</f>
        <v/>
      </c>
      <c r="P6" s="37"/>
      <c r="Q6" s="37"/>
      <c r="R6" s="37"/>
      <c r="S6" s="37"/>
      <c r="T6" s="37"/>
      <c r="U6" s="37">
        <v>14.1</v>
      </c>
      <c r="V6" s="37">
        <v>8.3000000000000007</v>
      </c>
      <c r="W6" s="37">
        <v>10.8</v>
      </c>
      <c r="X6" s="37">
        <v>13.17</v>
      </c>
      <c r="Y6" s="37">
        <v>0</v>
      </c>
      <c r="Z6" s="37">
        <v>14.2</v>
      </c>
      <c r="AA6" s="37">
        <v>9.4</v>
      </c>
      <c r="AB6" s="37">
        <v>12.2</v>
      </c>
      <c r="AC6" s="37">
        <v>14.27</v>
      </c>
      <c r="AD6" s="37">
        <v>0</v>
      </c>
      <c r="AE6" s="37">
        <v>14.9</v>
      </c>
      <c r="AF6" s="37">
        <v>9.3000000000000007</v>
      </c>
      <c r="AG6" s="37">
        <v>12.2</v>
      </c>
      <c r="AH6" s="37">
        <v>14.72</v>
      </c>
      <c r="AI6" s="37">
        <v>0</v>
      </c>
      <c r="AJ6" s="44"/>
      <c r="AK6" s="11" t="str">
        <f>IF(SUM(P6:S6)-T6&gt;0,SUM(P6:S6)-T6,"")</f>
        <v/>
      </c>
      <c r="AL6" s="11">
        <f>IF(W6&gt;0,W6,"")</f>
        <v>10.8</v>
      </c>
      <c r="AM6" s="11">
        <f>IF(SUM(U6:X6)-Y6&gt;0,SUM(U6:X6)-Y6,"")</f>
        <v>46.370000000000005</v>
      </c>
      <c r="AN6" s="11">
        <f>IF(AB6&gt;0,AB6,"")</f>
        <v>12.2</v>
      </c>
      <c r="AO6" s="11">
        <f>IF(SUM(Z6:AC6)-AD6&gt;0,SUM(Z6:AC6)-AD6,"")</f>
        <v>50.069999999999993</v>
      </c>
      <c r="AP6" s="11">
        <f>IF(AK6="",IF(MAX(AM6,AO6)&gt;0,MAX(AM6,AO6),""),MAX(AM6,AO6)+AK6)</f>
        <v>50.069999999999993</v>
      </c>
      <c r="AQ6" s="11">
        <f>IF(AG6&gt;0,AG6,"")</f>
        <v>12.2</v>
      </c>
      <c r="AR6" s="11">
        <f>IF(SUM(AE6:AH6)-AI6&gt;0,SUM(AE6:AH6)-AI6,"")</f>
        <v>51.120000000000005</v>
      </c>
      <c r="AS6" s="11">
        <f>IF(SUM(AP6,AR6)&gt;0,SUM(AP6,AR6),"")</f>
        <v>101.19</v>
      </c>
      <c r="AT6" s="41"/>
      <c r="AU6" s="41"/>
      <c r="AV6" s="41"/>
      <c r="AW6" s="41"/>
      <c r="AX6" s="41"/>
      <c r="AY6" s="41">
        <v>5.6</v>
      </c>
      <c r="AZ6" s="41">
        <v>3.5</v>
      </c>
      <c r="BA6" s="41">
        <v>5</v>
      </c>
      <c r="BB6" s="41">
        <v>6.16</v>
      </c>
      <c r="BC6" s="41">
        <v>0</v>
      </c>
      <c r="BD6" s="41">
        <v>13.4</v>
      </c>
      <c r="BE6" s="41">
        <v>8.9</v>
      </c>
      <c r="BF6" s="41">
        <v>12.2</v>
      </c>
      <c r="BG6" s="41">
        <v>14.27</v>
      </c>
      <c r="BH6" s="41">
        <v>0</v>
      </c>
      <c r="BI6" s="41">
        <v>12.7</v>
      </c>
      <c r="BJ6" s="41">
        <v>8.3000000000000007</v>
      </c>
      <c r="BK6" s="41">
        <v>10.8</v>
      </c>
      <c r="BL6" s="41">
        <v>13.2</v>
      </c>
      <c r="BM6" s="41">
        <v>0</v>
      </c>
      <c r="BN6" s="45"/>
      <c r="BO6" s="14" t="str">
        <f>IF(SUM(AT6:AW6)-AX6&gt;0,SUM(AT6:AW6)-AX6,"")</f>
        <v/>
      </c>
      <c r="BP6" s="14">
        <f>IF(BA6&gt;0,BA6,"")</f>
        <v>5</v>
      </c>
      <c r="BQ6" s="14">
        <f>IF(SUM(AY6:BB6)-BC6&gt;0,SUM(AY6:BB6)-BC6,"")</f>
        <v>20.259999999999998</v>
      </c>
      <c r="BR6" s="14">
        <f>IF(BF6&gt;0,BF6,"")</f>
        <v>12.2</v>
      </c>
      <c r="BS6" s="14">
        <f>IF(SUM(BD6:BG6)-BH6&gt;0,SUM(BD6:BG6)-BH6,"")</f>
        <v>48.769999999999996</v>
      </c>
      <c r="BT6" s="14">
        <f>IF(BO6="",IF(MAX(BQ6,BS6)&gt;0,MAX(BQ6,BS6),""),MAX(BQ6,BS6)+BO6)</f>
        <v>48.769999999999996</v>
      </c>
      <c r="BU6" s="14">
        <f>IF(BK6&gt;0,BK6,"")</f>
        <v>10.8</v>
      </c>
      <c r="BV6" s="14">
        <f>IF(SUM(BI6:BL6)-BM6&gt;0,SUM(BI6:BL6)-BM6,"")</f>
        <v>45</v>
      </c>
      <c r="BW6" s="14">
        <f>IF(SUM(BT6,BV6)&gt;0,SUM(BT6,BV6),"")</f>
        <v>93.77</v>
      </c>
      <c r="BX6" s="37"/>
      <c r="BY6" s="37"/>
      <c r="BZ6" s="37"/>
      <c r="CA6" s="37"/>
      <c r="CB6" s="37"/>
      <c r="CC6" s="37">
        <v>12.1</v>
      </c>
      <c r="CD6" s="37">
        <v>8.3000000000000007</v>
      </c>
      <c r="CE6" s="37">
        <v>12.4</v>
      </c>
      <c r="CF6" s="37">
        <v>14.95</v>
      </c>
      <c r="CG6" s="37">
        <v>0</v>
      </c>
      <c r="CH6" s="37">
        <v>13.3</v>
      </c>
      <c r="CI6" s="37">
        <v>9.1</v>
      </c>
      <c r="CJ6" s="37">
        <v>12.2</v>
      </c>
      <c r="CK6" s="37">
        <v>14.92</v>
      </c>
      <c r="CL6" s="37">
        <v>0</v>
      </c>
      <c r="CM6" s="37">
        <v>14.7</v>
      </c>
      <c r="CN6" s="37">
        <v>9.1999999999999993</v>
      </c>
      <c r="CO6" s="37">
        <v>12.4</v>
      </c>
      <c r="CP6" s="37">
        <v>15.08</v>
      </c>
      <c r="CQ6" s="37">
        <v>0</v>
      </c>
      <c r="CR6" s="44"/>
      <c r="CS6" s="11" t="str">
        <f>IF(SUM(BX6:CA6)-CB6&gt;0,SUM(BX6:CA6)-CB6,"")</f>
        <v/>
      </c>
      <c r="CT6" s="11">
        <f>IF(CE6&gt;0,CE6,"")</f>
        <v>12.4</v>
      </c>
      <c r="CU6" s="11">
        <f>IF(SUM(CC6:CF6)-CG6&gt;0,SUM(CC6:CF6)-CG6,"")</f>
        <v>47.75</v>
      </c>
      <c r="CV6" s="11">
        <f>IF(CJ6&gt;0,CJ6,"")</f>
        <v>12.2</v>
      </c>
      <c r="CW6" s="11">
        <f>IF(SUM(CH6:CK6)-CL6&gt;0,SUM(CH6:CK6)-CL6,"")</f>
        <v>49.519999999999996</v>
      </c>
      <c r="CX6" s="11">
        <f>IF(CS6="",IF(MAX(CU6,CW6)&gt;0,MAX(CU6,CW6),""),MAX(CU6,CW6)+CS6)</f>
        <v>49.519999999999996</v>
      </c>
      <c r="CY6" s="11">
        <f>IF(CO6&gt;0,CO6,"")</f>
        <v>12.4</v>
      </c>
      <c r="CZ6" s="11">
        <f>IF(SUM(CM6:CP6)-CQ6&gt;0,SUM(CM6:CP6)-CQ6,"")</f>
        <v>51.379999999999995</v>
      </c>
      <c r="DA6" s="11">
        <f>IF(SUM(CX6,CZ6)&gt;0,SUM(CX6,CZ6),"")</f>
        <v>100.89999999999999</v>
      </c>
      <c r="DB6" s="18" t="str">
        <f>IF(K6&gt;=0.001,IF(MAX(DT6,DU6,EP6,EQ6,FL6,FM6,GH6,GI6,HD6,HE6,HZ6,IA6,IV6,IW6,JR6,JS6,KN6,KO6,LJ6,LK6,MF6,MG6,NB6,NC6)-IF(K6="",0,K6)&gt;0.001,MAX(DT6,DU6,EP6,EQ6,FL6,FM6,GH6,GI6,HD6,HE6,HZ6,IA6,IV6,IW6,JR6,JS6,KN6,KO6,LJ6,LK6,MF6,MG6,NB6,NC6)-IF(K6="",0,K6),""),"")</f>
        <v/>
      </c>
      <c r="DC6" s="18" t="str">
        <f>IF(K6&gt;=0.001,IF(MAX(DX6,ET6,FP6,GL6,HH6,ID6,IZ6,JV6,KR6,LN6,MJ6,NF6)-IF(K6="",0,K6)&gt;0.001,MAX(DX6,ET6,FP6,GL6,HH6,ID6,IZ6,JV6,KR6,LN6,MJ6,NF6)-IF(K6="",0,K6),""),"")</f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4">
        <v>13</v>
      </c>
      <c r="EW6" s="24">
        <v>8.8000000000000007</v>
      </c>
      <c r="EX6" s="24">
        <v>11.5</v>
      </c>
      <c r="EY6" s="24">
        <v>14.27</v>
      </c>
      <c r="EZ6" s="24">
        <v>0</v>
      </c>
      <c r="FA6" s="24">
        <v>14.2</v>
      </c>
      <c r="FB6" s="24">
        <v>8.8000000000000007</v>
      </c>
      <c r="FC6" s="24">
        <v>12.2</v>
      </c>
      <c r="FD6" s="24">
        <v>14.68</v>
      </c>
      <c r="FE6" s="24">
        <v>0</v>
      </c>
      <c r="FF6" s="24">
        <v>13.4</v>
      </c>
      <c r="FG6" s="24">
        <v>9.1</v>
      </c>
      <c r="FH6" s="24">
        <v>12.2</v>
      </c>
      <c r="FI6" s="24">
        <v>14.36</v>
      </c>
      <c r="FJ6" s="24">
        <v>0</v>
      </c>
      <c r="FK6" s="11">
        <f>IF(FC6&gt;0,FC6,"")</f>
        <v>12.2</v>
      </c>
      <c r="FL6" s="11">
        <f>IF(SUM(EV6:EY6)-EZ6&gt;0,SUM(EV6:EY6)-EZ6,"")</f>
        <v>47.569999999999993</v>
      </c>
      <c r="FM6" s="11">
        <f>IF(SUM(FA6:FD6)-FE6&gt;0,SUM(FA6:FD6)-FE6,"")</f>
        <v>49.88</v>
      </c>
      <c r="FN6" s="11">
        <f>IF(SUM(FL6:FM6)&gt;0,SUM(FL6:FM6),"")</f>
        <v>97.449999999999989</v>
      </c>
      <c r="FO6" s="11">
        <f>IF(FH6&gt;0,FH6,"")</f>
        <v>12.2</v>
      </c>
      <c r="FP6" s="11">
        <f>IF(SUM(FF6:FI6)-FJ6&gt;0,SUM(FF6:FI6)-FJ6,"")</f>
        <v>49.06</v>
      </c>
      <c r="FQ6" s="11">
        <f>IF(SUM(FN6,FP6)&gt;0,SUM(FN6,FP6),"")</f>
        <v>146.51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7">
        <f>IF($CR6="P",BX6,(BX6+AT6)/2)</f>
        <v>0</v>
      </c>
      <c r="NI6" s="37">
        <f>IF($CR6="P",BY6,(BY6+AU6)/2)</f>
        <v>0</v>
      </c>
      <c r="NJ6" s="37">
        <f>IF($CR6="P",BZ6,(BZ6+AV6)/2)</f>
        <v>0</v>
      </c>
      <c r="NK6" s="37">
        <f>IF($CR6="P",CA6,(CA6+AW6)/2)</f>
        <v>0</v>
      </c>
      <c r="NL6" s="37">
        <f>IF($CR6="P",CB6,(CB6+AX6)/2)</f>
        <v>0</v>
      </c>
      <c r="NM6" s="37">
        <f>IF($CR6="P",CC6,(CC6+AY6)/2)</f>
        <v>8.85</v>
      </c>
      <c r="NN6" s="37">
        <f>IF($CR6="P",CD6,(CD6+AZ6)/2)</f>
        <v>5.9</v>
      </c>
      <c r="NO6" s="37">
        <f>IF($CR6="P",CE6,(CE6+BA6)/2)</f>
        <v>8.6999999999999993</v>
      </c>
      <c r="NP6" s="37">
        <f>IF($CR6="P",CF6,(CF6+BB6)/2)</f>
        <v>10.555</v>
      </c>
      <c r="NQ6" s="37">
        <f>IF($CR6="P",CG6,(CG6+BC6)/2)</f>
        <v>0</v>
      </c>
      <c r="NR6" s="37">
        <f>IF($CR6="P",CH6,(CH6+BD6)/2)</f>
        <v>13.350000000000001</v>
      </c>
      <c r="NS6" s="37">
        <f>IF($CR6="P",CI6,(CI6+BE6)/2)</f>
        <v>9</v>
      </c>
      <c r="NT6" s="37">
        <f>IF($CR6="P",CJ6,(CJ6+BF6)/2)</f>
        <v>12.2</v>
      </c>
      <c r="NU6" s="37">
        <f>IF($CR6="P",CK6,(CK6+BG6)/2)</f>
        <v>14.594999999999999</v>
      </c>
      <c r="NV6" s="37">
        <f>IF($CR6="P",CL6,(CL6+BH6)/2)</f>
        <v>0</v>
      </c>
      <c r="NW6" s="37">
        <f>IF($CR6="P",CM6,(CM6+BI6)/2)</f>
        <v>13.7</v>
      </c>
      <c r="NX6" s="37">
        <f>IF($CR6="P",CN6,(CN6+BJ6)/2)</f>
        <v>8.75</v>
      </c>
      <c r="NY6" s="37">
        <f>IF($CR6="P",CO6,(CO6+BK6)/2)</f>
        <v>11.600000000000001</v>
      </c>
      <c r="NZ6" s="37">
        <f>IF($CR6="P",CP6,(CP6+BL6)/2)</f>
        <v>14.14</v>
      </c>
      <c r="OA6" s="37">
        <f>IF($CR6="P",CQ6,(CQ6+BM6)/2)</f>
        <v>0</v>
      </c>
      <c r="OB6" s="44" t="s">
        <v>46</v>
      </c>
      <c r="OC6" s="11" t="str">
        <f>IF(SUM(NH6:NK6)-NL6&gt;0,SUM(NH6:NK6)-NL6,"")</f>
        <v/>
      </c>
      <c r="OD6" s="11">
        <f>IF(NO6&gt;0,NO6,"")</f>
        <v>8.6999999999999993</v>
      </c>
      <c r="OE6" s="11">
        <f>IF(SUM(NM6:NP6)-NQ6&gt;0,SUM(NM6:NP6)-NQ6,"")</f>
        <v>34.004999999999995</v>
      </c>
      <c r="OF6" s="11">
        <f>IF(NT6&gt;0,NT6,"")</f>
        <v>12.2</v>
      </c>
      <c r="OG6" s="11">
        <f>IF(SUM(NR6:NU6)-NV6&gt;0,SUM(NR6:NU6)-NV6,"")</f>
        <v>49.144999999999996</v>
      </c>
      <c r="OH6" s="11" t="e">
        <f>IF(OR(OC6&lt;&gt;"",OE6&lt;&gt;"",OG6&lt;&gt;""),OC6+MAX(OE6,OG6),"")</f>
        <v>#VALUE!</v>
      </c>
      <c r="OI6" s="11">
        <f>IF(NY6&gt;0,NY6,"")</f>
        <v>11.600000000000001</v>
      </c>
      <c r="OJ6" s="11">
        <f t="shared" si="0"/>
        <v>48.19</v>
      </c>
      <c r="OK6" s="11" t="e">
        <f t="shared" si="1"/>
        <v>#VALUE!</v>
      </c>
    </row>
    <row r="7" spans="1:401" x14ac:dyDescent="0.2">
      <c r="A7" s="5" cm="1">
        <f t="array" ref="A7">IF(AND(F7="P",G7="P"),SUMPRODUCT((F$4:F$33="P")*(G$4:G$33="P")*(E$4:E$33&gt;E7))+1,IF(G7="P",SUMPRODUCT((F$4:F$33="")*(G$4:G$33="P")*(E$4:E$33&gt;E7))+1+SUMPRODUCT((F$4:F$33="P")*(G$4:G$33="P")),""))</f>
        <v>4</v>
      </c>
      <c r="B7" s="6" t="s">
        <v>120</v>
      </c>
      <c r="C7" s="7" t="s">
        <v>3</v>
      </c>
      <c r="D7" s="21">
        <v>2004</v>
      </c>
      <c r="E7" s="15">
        <f>SUM(I7:M7)</f>
        <v>101.46999999999998</v>
      </c>
      <c r="F7" s="3" t="str">
        <f>IF(OR(AND(AL7&gt;=AS$35,AM7&gt;=AS$39,AL7&lt;&gt;"",AJ7=""),AND(AN7&gt;=AS$35,AO7&gt;=AS$39,AN7&lt;&gt;"",AN7=""),AND(AQ7&gt;=AS$35,AR7&gt;=AS$39,AQ7&lt;&gt;"",AJ7=""),AND(BP7&gt;=BW$35,BQ7&gt;=BW$39,BP7&lt;&gt;"",BN7=""),AND(BR7&gt;=BW$35,BS7&gt;=BW$39,BR7&lt;&gt;"",BN7=""),AND(BU7&gt;=BW$35,BV7&gt;=BW$39,BU7&lt;&gt;"",BN7=""),AND(CT7&gt;=DA$35,CU7&gt;=DA$39,CT7&lt;&gt;"",CR7=""),AND(CV7&gt;=DA$35,CW7&gt;=DA$39,CV7&lt;&gt;"",CR7=""),AND(CY7&gt;=DA$35,CZ7&gt;=DA$39,CY7&lt;&gt;"",CR7=""),AND(DS7&gt;=DY$35,DU7&gt;=DY$39,DS7&lt;&gt;""),AND(DW7&gt;=DY$35,DX7&gt;=DY$39,DW7&lt;&gt;""),AND(EO7&gt;=EU$35,EQ7&gt;=EU$39,EO7&lt;&gt;""),AND(ES7&gt;=EU$35,ET7&gt;=EU$39,ES7&lt;&gt;""),AND(FK7&gt;=FQ$35,FM7&gt;=FQ$39,FK7&lt;&gt;""),AND(FO7&gt;=FQ$35,FP7&gt;=FQ$39,FO7&lt;&gt;""),AND(GG7&gt;=GM$35,GI7&gt;=GM$39,GG7&lt;&gt;""),AND(GK7&gt;=GM$35,GL7&gt;=GM$39,GK7&lt;&gt;""),AND(HC7&gt;=HI$35,HE7&gt;=HI$39,HC7&lt;&gt;""),AND(HG7&gt;=HI$35,HH7&gt;=HI$39,HG7&lt;&gt;""),AND(HY7&gt;=IE$35,IA7&gt;=IE$39,HY7&lt;&gt;""),AND(IC7&gt;=IE$35,ID7&gt;=IE$39,IC7&lt;&gt;""),AND(IU7&gt;=JA$35,IW7&gt;=JA$39,IU7&lt;&gt;""),AND(IY7&gt;=JA$35,IZ7&gt;=JA$39,IY7&lt;&gt;""),AND(JQ7&gt;=JW$35,JS7&gt;=JW$39,JQ7&lt;&gt;""),AND(JU7&gt;=JW$35,JV7&gt;=JW$39,JU7&lt;&gt;""),AND(KM7&gt;=KS$35,KO7&gt;=KS$39,KM7&lt;&gt;""),AND(KQ7&gt;=KS$35,KR7&gt;=KS$39,KQ7&lt;&gt;""),AND(LI7&gt;=LO$35,LK7&gt;=LO$39,LI7&lt;&gt;""),AND(LM7&gt;=LO$35,LN7&gt;=LO$39,LM7&lt;&gt;""),AND(ME7&gt;=MK$35,MG7&gt;=MK$39,ME7&lt;&gt;""),AND(MI7&gt;=MK$35,MJ7&gt;=MK$39,MI7&lt;&gt;""),AND(NA7&gt;=NG$35,NC7&gt;=NG$39,NA7&lt;&gt;""),AND(NE7&gt;=NG$35,NF7&gt;=NG$39,NE7&lt;&gt;"")),"P","")</f>
        <v>P</v>
      </c>
      <c r="G7" s="3" t="str">
        <f>IF(OR(AND(AM7&gt;=AS$39,AL7&lt;&gt;"",AJ7=""),AND(AO7&gt;=AS$39,AN7&lt;&gt;"",AN7=""),AND(AR7&gt;=AS$39,AQ7&lt;&gt;"",AJ7=""),AND(BQ7&gt;=BW$39,BP7&lt;&gt;"",BN7=""),AND(BS7&gt;=BW$39,BR7&lt;&gt;"",BN7=""),AND(BV7&gt;=BW$39,BU7&lt;&gt;"",BN7=""),AND(CU7&gt;=DA$39,CT7&lt;&gt;"",CR7=""),AND(CW7&gt;=DA$39,CV7&lt;&gt;"",CR7=""),AND(CZ7&gt;=DA$39,CY7&lt;&gt;"",CR7=""),AND(DU7&gt;=DY$39,DS7&lt;&gt;""),AND(DX7&gt;=DY$39,DW7&lt;&gt;""),AND(EQ7&gt;=EU$39,EO7&lt;&gt;""),AND(ET7&gt;=EU$39,ES7&lt;&gt;""),AND(FM7&gt;=FQ$39,FK7&lt;&gt;""),AND(FP7&gt;=FQ$39,FO7&lt;&gt;""),AND(GI7&gt;=GM$39,GG7&lt;&gt;""),AND(GL7&gt;=GM$39,GK7&lt;&gt;""),AND(HE7&gt;=HI$39,HC7&lt;&gt;""),AND(HH7&gt;=HI$39,HG7&lt;&gt;""),AND(IA7&gt;=IE$39,HY7&lt;&gt;""),AND(ID7&gt;=IE$39,IC7&lt;&gt;""),AND(IW7&gt;=JA$39,IU7&lt;&gt;""),AND(IZ7&gt;=JA$39,IY7&lt;&gt;""),AND(JS7&gt;=JW$39,JQ7&lt;&gt;""),AND(JV7&gt;=JW$39,JU7&lt;&gt;""),AND(KO7&gt;=KS$39,KM7&lt;&gt;""),AND(KR7&gt;=KS$39,KQ7&lt;&gt;""),AND(LK7&gt;=LO$39,LI7&lt;&gt;""),AND(LN7&gt;=LO$39,LM7&lt;&gt;""),AND(MG7&gt;=MK$39,ME7&lt;&gt;""),AND(MJ7&gt;=MK$39,MI7&lt;&gt;""),AND(NC7&gt;=NG$39,NA7&lt;&gt;""),AND(NF7&gt;=NG$39,NE7&lt;&gt;"")),"P","")</f>
        <v>P</v>
      </c>
      <c r="H7" s="66" t="str">
        <f>IF(F7="P","National Team",IF(G7="P","No DD",""))</f>
        <v>National Team</v>
      </c>
      <c r="I7" s="14">
        <f>MAX(AM7,AO7,AR7,BQ7,BS7,BV7,CU7,CW7,CZ7)</f>
        <v>50.72</v>
      </c>
      <c r="J7" s="14" t="str">
        <f>IF(I7=0,"",IF(OR(I7=CW7,I7=CU7,I7=CZ7),$BX$1,IF(OR(I7=BS7,I7=BQ7,I7=BV7),$AT$1,IF(OR(I7=AO7,I7=AM7,I7=AR7),$P$1,""))))</f>
        <v>2022 Nationals</v>
      </c>
      <c r="K7" s="14">
        <f>IF(COUNT(AM7,AO7,AR7,BQ7,BS7,BV7,CU7,CW7,CZ7)&gt;1,LARGE((AM7,AO7,AR7,BQ7,BS7,BV7,CU7,CW7,CZ7),2),0)</f>
        <v>50.410000000000004</v>
      </c>
      <c r="L7" s="14" t="str">
        <f>IF(K7=0,"",IF(OR(K7=CW7,K7=CU7,K7=CZ7),$BX$1,IF(OR(K7=BS7,K7=BQ7,K7=BV7),$AT$1,IF(OR(K7=AO7,K7=AM7,K7=AR7),$P$1,""))))</f>
        <v>2022 Nationals</v>
      </c>
      <c r="M7" s="14">
        <f>IF(MAX(DB7,DC7)&gt;0,MAX(DB7,DC7),"")</f>
        <v>0.3399999999999892</v>
      </c>
      <c r="N7" s="19" t="str">
        <f>IF(M7="","",IF(M7=DB7,"(Prelim)",IF(M7=DC7,"(Final)")))</f>
        <v>(Prelim)</v>
      </c>
      <c r="O7" s="14" t="str">
        <f>IF(M7="","",IF(M7=DB7,IF(M7+IF(K7="",0,K7)=NC7,$ML$1,IF(M7+IF(K7="",0,K7)=MG7,$LP$1,IF(M7+IF(K7="",0,K7)=LK7,$KT$1,IF(M7+IF(K7="",0,K7)=KO7,$JX$1,IF(M7+IF(K7="",0,K7)=JS7,$JB$1,IF(M7+IF(K7="",0,K7)=IW7,$IF$1,IF(M7+IF(K7="",0,K7)=IA7,$HJ$1,IF(M7+IF(K7="",0,K7)=HE7,$GN$1,IF(M7+IF(K7="",0,K7)=GI7,$FR$1,IF(M7+IF(K7="",0,K7)=FM7,$EV$1,IF(M7+IF(K7="",0,K7)=EQ7,$DZ$1,IF(M7+IF(K7="",0,K7)=DU7,$DD$1,IF(M7+IF(K7="",0,K7)=NB7,$ML$1,IF(M7+IF(K7="",0,K7)=MF7,$LP$1,IF(M7+IF(K7="",0,K7)=LJ7,$KT$1,IF(M7+IF(K7="",0,K7)=KN7,$JX$1,IF(M7+IF(K7="",0,K7)=JR7,$JB$1,IF(M7+IF(K7="",0,K7)=IV7,$IF$1,IF(M7+IF(K7="",0,K7)=HZ7,$HJ$1,IF(M7+IF(K7="",0,K7)=HD7,$GN$1,IF(M7+IF(K7="",0,K7)=GH7,$FR$1,IF(M7+IF(K7="",0,K7)=FL7,$EV$1,IF(M7+IF(K7="",0,K7)=EP7,$DZ$1,IF(M7+IF(K7="",0,K7)=DT7,$DD$1))))))))))))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</f>
        <v>2022 Coimbra Gym Fest (June 26)</v>
      </c>
      <c r="P7" s="37">
        <v>15.6</v>
      </c>
      <c r="Q7" s="37">
        <v>9.4</v>
      </c>
      <c r="R7" s="37">
        <v>2.2999999999999998</v>
      </c>
      <c r="S7" s="37">
        <v>15.66</v>
      </c>
      <c r="T7" s="37">
        <v>0</v>
      </c>
      <c r="U7" s="37">
        <v>13.5</v>
      </c>
      <c r="V7" s="37">
        <v>9.5</v>
      </c>
      <c r="W7" s="37">
        <v>11.8</v>
      </c>
      <c r="X7" s="37">
        <v>14.62</v>
      </c>
      <c r="Y7" s="37">
        <v>0</v>
      </c>
      <c r="Z7" s="37"/>
      <c r="AA7" s="37"/>
      <c r="AB7" s="37"/>
      <c r="AC7" s="37"/>
      <c r="AD7" s="37"/>
      <c r="AE7" s="37">
        <v>14.1</v>
      </c>
      <c r="AF7" s="37">
        <v>9.1</v>
      </c>
      <c r="AG7" s="37">
        <v>11.8</v>
      </c>
      <c r="AH7" s="37">
        <v>14.56</v>
      </c>
      <c r="AI7" s="37">
        <v>0</v>
      </c>
      <c r="AJ7" s="44"/>
      <c r="AK7" s="11">
        <f>IF(SUM(P7:S7)-T7&gt;0,SUM(P7:S7)-T7,"")</f>
        <v>42.96</v>
      </c>
      <c r="AL7" s="11">
        <f>IF(W7&gt;0,W7,"")</f>
        <v>11.8</v>
      </c>
      <c r="AM7" s="11">
        <f>IF(SUM(U7:X7)-Y7&gt;0,SUM(U7:X7)-Y7,"")</f>
        <v>49.419999999999995</v>
      </c>
      <c r="AN7" s="11" t="str">
        <f>IF(AB7&gt;0,AB7,"")</f>
        <v/>
      </c>
      <c r="AO7" s="11" t="str">
        <f>IF(SUM(Z7:AC7)-AD7&gt;0,SUM(Z7:AC7)-AD7,"")</f>
        <v/>
      </c>
      <c r="AP7" s="11">
        <f>IF(AK7="",IF(MAX(AM7,AO7)&gt;0,MAX(AM7,AO7),""),MAX(AM7,AO7)+AK7)</f>
        <v>92.38</v>
      </c>
      <c r="AQ7" s="11">
        <f>IF(AG7&gt;0,AG7,"")</f>
        <v>11.8</v>
      </c>
      <c r="AR7" s="11">
        <f>IF(SUM(AE7:AH7)-AI7&gt;0,SUM(AE7:AH7)-AI7,"")</f>
        <v>49.56</v>
      </c>
      <c r="AS7" s="11">
        <f>IF(SUM(AP7,AR7)&gt;0,SUM(AP7,AR7),"")</f>
        <v>141.94</v>
      </c>
      <c r="AT7" s="41"/>
      <c r="AU7" s="41"/>
      <c r="AV7" s="41"/>
      <c r="AW7" s="41"/>
      <c r="AX7" s="41"/>
      <c r="AY7" s="41">
        <v>14.8</v>
      </c>
      <c r="AZ7" s="41">
        <v>9.5</v>
      </c>
      <c r="BA7" s="41">
        <v>11.8</v>
      </c>
      <c r="BB7" s="41">
        <v>14.31</v>
      </c>
      <c r="BC7" s="41">
        <v>0</v>
      </c>
      <c r="BD7" s="41">
        <v>15</v>
      </c>
      <c r="BE7" s="41">
        <v>9.3000000000000007</v>
      </c>
      <c r="BF7" s="41">
        <v>11.8</v>
      </c>
      <c r="BG7" s="41">
        <v>14.62</v>
      </c>
      <c r="BH7" s="41">
        <v>0</v>
      </c>
      <c r="BI7" s="41">
        <v>15.2</v>
      </c>
      <c r="BJ7" s="41">
        <v>8.8000000000000007</v>
      </c>
      <c r="BK7" s="41">
        <v>11.8</v>
      </c>
      <c r="BL7" s="41">
        <v>14.22</v>
      </c>
      <c r="BM7" s="41">
        <v>0</v>
      </c>
      <c r="BN7" s="45"/>
      <c r="BO7" s="14" t="str">
        <f>IF(SUM(AT7:AW7)-AX7&gt;0,SUM(AT7:AW7)-AX7,"")</f>
        <v/>
      </c>
      <c r="BP7" s="14">
        <f>IF(BA7&gt;0,BA7,"")</f>
        <v>11.8</v>
      </c>
      <c r="BQ7" s="14">
        <f>IF(SUM(AY7:BB7)-BC7&gt;0,SUM(AY7:BB7)-BC7,"")</f>
        <v>50.410000000000004</v>
      </c>
      <c r="BR7" s="14">
        <f>IF(BF7&gt;0,BF7,"")</f>
        <v>11.8</v>
      </c>
      <c r="BS7" s="14">
        <f>IF(SUM(BD7:BG7)-BH7&gt;0,SUM(BD7:BG7)-BH7,"")</f>
        <v>50.72</v>
      </c>
      <c r="BT7" s="14">
        <f>IF(BO7="",IF(MAX(BQ7,BS7)&gt;0,MAX(BQ7,BS7),""),MAX(BQ7,BS7)+BO7)</f>
        <v>50.72</v>
      </c>
      <c r="BU7" s="14">
        <f>IF(BK7&gt;0,BK7,"")</f>
        <v>11.8</v>
      </c>
      <c r="BV7" s="14">
        <f>IF(SUM(BI7:BL7)-BM7&gt;0,SUM(BI7:BL7)-BM7,"")</f>
        <v>50.019999999999996</v>
      </c>
      <c r="BW7" s="14">
        <f>IF(SUM(BT7,BV7)&gt;0,SUM(BT7,BV7),"")</f>
        <v>100.74</v>
      </c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44"/>
      <c r="CS7" s="11" t="str">
        <f>IF(SUM(BX7:CA7)-CB7&gt;0,SUM(BX7:CA7)-CB7,"")</f>
        <v/>
      </c>
      <c r="CT7" s="11" t="str">
        <f>IF(CE7&gt;0,CE7,"")</f>
        <v/>
      </c>
      <c r="CU7" s="11" t="str">
        <f>IF(SUM(CC7:CF7)-CG7&gt;0,SUM(CC7:CF7)-CG7,"")</f>
        <v/>
      </c>
      <c r="CV7" s="11" t="str">
        <f>IF(CJ7&gt;0,CJ7,"")</f>
        <v/>
      </c>
      <c r="CW7" s="11" t="str">
        <f>IF(SUM(CH7:CK7)-CL7&gt;0,SUM(CH7:CK7)-CL7,"")</f>
        <v/>
      </c>
      <c r="CX7" s="11" t="str">
        <f>IF(CS7="",IF(MAX(CU7,CW7)&gt;0,MAX(CU7,CW7),""),MAX(CU7,CW7)+CS7)</f>
        <v/>
      </c>
      <c r="CY7" s="11" t="str">
        <f>IF(CO7&gt;0,CO7,"")</f>
        <v/>
      </c>
      <c r="CZ7" s="11" t="str">
        <f>IF(SUM(CM7:CP7)-CQ7&gt;0,SUM(CM7:CP7)-CQ7,"")</f>
        <v/>
      </c>
      <c r="DA7" s="11" t="str">
        <f>IF(SUM(CX7,CZ7)&gt;0,SUM(CX7,CZ7),"")</f>
        <v/>
      </c>
      <c r="DB7" s="18">
        <f>IF(K7&gt;=0.001,IF(MAX(DT7,DU7,EP7,EQ7,FL7,FM7,GH7,GI7,HD7,HE7,HZ7,IA7,IV7,IW7,JR7,JS7,KN7,KO7,LJ7,LK7,MF7,MG7,NB7,NC7)-IF(K7="",0,K7)&gt;0.001,MAX(DT7,DU7,EP7,EQ7,FL7,FM7,GH7,GI7,HD7,HE7,HZ7,IA7,IV7,IW7,JR7,JS7,KN7,KO7,LJ7,LK7,MF7,MG7,NB7,NC7)-IF(K7="",0,K7),""),"")</f>
        <v>0.3399999999999892</v>
      </c>
      <c r="DC7" s="18" t="str">
        <f>IF(K7&gt;=0.001,IF(MAX(DX7,ET7,FP7,GL7,HH7,ID7,IZ7,JV7,KR7,LN7,MJ7,NF7)-IF(K7="",0,K7)&gt;0.001,MAX(DX7,ET7,FP7,GL7,HH7,ID7,IZ7,JV7,KR7,LN7,MJ7,NF7)-IF(K7="",0,K7),""),"")</f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4">
        <v>14.6</v>
      </c>
      <c r="EW7" s="24">
        <v>9.5</v>
      </c>
      <c r="EX7" s="24">
        <v>11.8</v>
      </c>
      <c r="EY7" s="24">
        <v>14.49</v>
      </c>
      <c r="EZ7" s="24">
        <v>0</v>
      </c>
      <c r="FA7" s="24">
        <v>15.2</v>
      </c>
      <c r="FB7" s="24">
        <v>9.1</v>
      </c>
      <c r="FC7" s="24">
        <v>11.8</v>
      </c>
      <c r="FD7" s="24">
        <v>14.65</v>
      </c>
      <c r="FE7" s="24">
        <v>0</v>
      </c>
      <c r="FF7" s="24">
        <v>13.3</v>
      </c>
      <c r="FG7" s="24">
        <v>9.5</v>
      </c>
      <c r="FH7" s="24">
        <v>11.8</v>
      </c>
      <c r="FI7" s="24">
        <v>14.23</v>
      </c>
      <c r="FJ7" s="24">
        <v>0</v>
      </c>
      <c r="FK7" s="11">
        <f>IF(FC7&gt;0,FC7,"")</f>
        <v>11.8</v>
      </c>
      <c r="FL7" s="11">
        <f>IF(SUM(EV7:EY7)-EZ7&gt;0,SUM(EV7:EY7)-EZ7,"")</f>
        <v>50.390000000000008</v>
      </c>
      <c r="FM7" s="11">
        <f>IF(SUM(FA7:FD7)-FE7&gt;0,SUM(FA7:FD7)-FE7,"")</f>
        <v>50.749999999999993</v>
      </c>
      <c r="FN7" s="11">
        <f>IF(SUM(FL7:FM7)&gt;0,SUM(FL7:FM7),"")</f>
        <v>101.14</v>
      </c>
      <c r="FO7" s="11">
        <f>IF(FH7&gt;0,FH7,"")</f>
        <v>11.8</v>
      </c>
      <c r="FP7" s="11">
        <f>IF(SUM(FF7:FI7)-FJ7&gt;0,SUM(FF7:FI7)-FJ7,"")</f>
        <v>48.83</v>
      </c>
      <c r="FQ7" s="11">
        <f>IF(SUM(FN7,FP7)&gt;0,SUM(FN7,FP7),"")</f>
        <v>149.97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7">
        <f>IF($CR7="P",BX7,(BX7+AT7)/2)</f>
        <v>0</v>
      </c>
      <c r="NI7" s="37">
        <f>IF($CR7="P",BY7,(BY7+AU7)/2)</f>
        <v>0</v>
      </c>
      <c r="NJ7" s="37">
        <f>IF($CR7="P",BZ7,(BZ7+AV7)/2)</f>
        <v>0</v>
      </c>
      <c r="NK7" s="37">
        <f>IF($CR7="P",CA7,(CA7+AW7)/2)</f>
        <v>0</v>
      </c>
      <c r="NL7" s="37">
        <f>IF($CR7="P",CB7,(CB7+AX7)/2)</f>
        <v>0</v>
      </c>
      <c r="NM7" s="37">
        <f>IF($CR7="P",CC7,(CC7+AY7)/2)</f>
        <v>7.4</v>
      </c>
      <c r="NN7" s="37">
        <f>IF($CR7="P",CD7,(CD7+AZ7)/2)</f>
        <v>4.75</v>
      </c>
      <c r="NO7" s="37">
        <f>IF($CR7="P",CE7,(CE7+BA7)/2)</f>
        <v>5.9</v>
      </c>
      <c r="NP7" s="37">
        <f>IF($CR7="P",CF7,(CF7+BB7)/2)</f>
        <v>7.1550000000000002</v>
      </c>
      <c r="NQ7" s="37">
        <f>IF($CR7="P",CG7,(CG7+BC7)/2)</f>
        <v>0</v>
      </c>
      <c r="NR7" s="37">
        <f>IF($CR7="P",CH7,(CH7+BD7)/2)</f>
        <v>7.5</v>
      </c>
      <c r="NS7" s="37">
        <f>IF($CR7="P",CI7,(CI7+BE7)/2)</f>
        <v>4.6500000000000004</v>
      </c>
      <c r="NT7" s="37">
        <f>IF($CR7="P",CJ7,(CJ7+BF7)/2)</f>
        <v>5.9</v>
      </c>
      <c r="NU7" s="37">
        <f>IF($CR7="P",CK7,(CK7+BG7)/2)</f>
        <v>7.31</v>
      </c>
      <c r="NV7" s="37">
        <f>IF($CR7="P",CL7,(CL7+BH7)/2)</f>
        <v>0</v>
      </c>
      <c r="NW7" s="37">
        <f>IF($CR7="P",CM7,(CM7+BI7)/2)</f>
        <v>7.6</v>
      </c>
      <c r="NX7" s="37">
        <f>IF($CR7="P",CN7,(CN7+BJ7)/2)</f>
        <v>4.4000000000000004</v>
      </c>
      <c r="NY7" s="37">
        <f>IF($CR7="P",CO7,(CO7+BK7)/2)</f>
        <v>5.9</v>
      </c>
      <c r="NZ7" s="37">
        <f>IF($CR7="P",CP7,(CP7+BL7)/2)</f>
        <v>7.11</v>
      </c>
      <c r="OA7" s="37">
        <f>IF($CR7="P",CQ7,(CQ7+BM7)/2)</f>
        <v>0</v>
      </c>
      <c r="OB7" s="44" t="s">
        <v>46</v>
      </c>
      <c r="OC7" s="11" t="str">
        <f>IF(SUM(NH7:NK7)-NL7&gt;0,SUM(NH7:NK7)-NL7,"")</f>
        <v/>
      </c>
      <c r="OD7" s="11">
        <f>IF(NO7&gt;0,NO7,"")</f>
        <v>5.9</v>
      </c>
      <c r="OE7" s="11">
        <f>IF(SUM(NM7:NP7)-NQ7&gt;0,SUM(NM7:NP7)-NQ7,"")</f>
        <v>25.205000000000002</v>
      </c>
      <c r="OF7" s="11">
        <f>IF(NT7&gt;0,NT7,"")</f>
        <v>5.9</v>
      </c>
      <c r="OG7" s="11">
        <f>IF(SUM(NR7:NU7)-NV7&gt;0,SUM(NR7:NU7)-NV7,"")</f>
        <v>25.36</v>
      </c>
      <c r="OH7" s="11" t="e">
        <f>IF(OR(OC7&lt;&gt;"",OE7&lt;&gt;"",OG7&lt;&gt;""),OC7+MAX(OE7,OG7),"")</f>
        <v>#VALUE!</v>
      </c>
      <c r="OI7" s="11">
        <f>IF(NY7&gt;0,NY7,"")</f>
        <v>5.9</v>
      </c>
      <c r="OJ7" s="11">
        <f t="shared" si="0"/>
        <v>25.009999999999998</v>
      </c>
      <c r="OK7" s="11" t="e">
        <f t="shared" si="1"/>
        <v>#VALUE!</v>
      </c>
    </row>
    <row r="8" spans="1:401" x14ac:dyDescent="0.2">
      <c r="A8" s="5" cm="1">
        <f t="array" ref="A8">IF(AND(F8="P",G8="P"),SUMPRODUCT((F$4:F$33="P")*(G$4:G$33="P")*(E$4:E$33&gt;E8))+1,IF(G8="P",SUMPRODUCT((F$4:F$33="")*(G$4:G$33="P")*(E$4:E$33&gt;E8))+1+SUMPRODUCT((F$4:F$33="P")*(G$4:G$33="P")),""))</f>
        <v>5</v>
      </c>
      <c r="B8" s="6" t="s">
        <v>71</v>
      </c>
      <c r="C8" s="7" t="s">
        <v>3</v>
      </c>
      <c r="D8" s="7">
        <v>2002</v>
      </c>
      <c r="E8" s="15">
        <f>SUM(I8:M8)</f>
        <v>96.72999999999999</v>
      </c>
      <c r="F8" s="3" t="str">
        <f>IF(OR(AND(AL8&gt;=AS$35,AM8&gt;=AS$39,AL8&lt;&gt;"",AJ8=""),AND(AN8&gt;=AS$35,AO8&gt;=AS$39,AN8&lt;&gt;"",AN8=""),AND(AQ8&gt;=AS$35,AR8&gt;=AS$39,AQ8&lt;&gt;"",AJ8=""),AND(BP8&gt;=BW$35,BQ8&gt;=BW$39,BP8&lt;&gt;"",BN8=""),AND(BR8&gt;=BW$35,BS8&gt;=BW$39,BR8&lt;&gt;"",BN8=""),AND(BU8&gt;=BW$35,BV8&gt;=BW$39,BU8&lt;&gt;"",BN8=""),AND(CT8&gt;=DA$35,CU8&gt;=DA$39,CT8&lt;&gt;"",CR8=""),AND(CV8&gt;=DA$35,CW8&gt;=DA$39,CV8&lt;&gt;"",CR8=""),AND(CY8&gt;=DA$35,CZ8&gt;=DA$39,CY8&lt;&gt;"",CR8=""),AND(DS8&gt;=DY$35,DU8&gt;=DY$39,DS8&lt;&gt;""),AND(DW8&gt;=DY$35,DX8&gt;=DY$39,DW8&lt;&gt;""),AND(EO8&gt;=EU$35,EQ8&gt;=EU$39,EO8&lt;&gt;""),AND(ES8&gt;=EU$35,ET8&gt;=EU$39,ES8&lt;&gt;""),AND(FK8&gt;=FQ$35,FM8&gt;=FQ$39,FK8&lt;&gt;""),AND(FO8&gt;=FQ$35,FP8&gt;=FQ$39,FO8&lt;&gt;""),AND(GG8&gt;=GM$35,GI8&gt;=GM$39,GG8&lt;&gt;""),AND(GK8&gt;=GM$35,GL8&gt;=GM$39,GK8&lt;&gt;""),AND(HC8&gt;=HI$35,HE8&gt;=HI$39,HC8&lt;&gt;""),AND(HG8&gt;=HI$35,HH8&gt;=HI$39,HG8&lt;&gt;""),AND(HY8&gt;=IE$35,IA8&gt;=IE$39,HY8&lt;&gt;""),AND(IC8&gt;=IE$35,ID8&gt;=IE$39,IC8&lt;&gt;""),AND(IU8&gt;=JA$35,IW8&gt;=JA$39,IU8&lt;&gt;""),AND(IY8&gt;=JA$35,IZ8&gt;=JA$39,IY8&lt;&gt;""),AND(JQ8&gt;=JW$35,JS8&gt;=JW$39,JQ8&lt;&gt;""),AND(JU8&gt;=JW$35,JV8&gt;=JW$39,JU8&lt;&gt;""),AND(KM8&gt;=KS$35,KO8&gt;=KS$39,KM8&lt;&gt;""),AND(KQ8&gt;=KS$35,KR8&gt;=KS$39,KQ8&lt;&gt;""),AND(LI8&gt;=LO$35,LK8&gt;=LO$39,LI8&lt;&gt;""),AND(LM8&gt;=LO$35,LN8&gt;=LO$39,LM8&lt;&gt;""),AND(ME8&gt;=MK$35,MG8&gt;=MK$39,ME8&lt;&gt;""),AND(MI8&gt;=MK$35,MJ8&gt;=MK$39,MI8&lt;&gt;""),AND(NA8&gt;=NG$35,NC8&gt;=NG$39,NA8&lt;&gt;""),AND(NE8&gt;=NG$35,NF8&gt;=NG$39,NE8&lt;&gt;"")),"P","")</f>
        <v>P</v>
      </c>
      <c r="G8" s="3" t="str">
        <f>IF(OR(AND(AM8&gt;=AS$39,AL8&lt;&gt;"",AJ8=""),AND(AO8&gt;=AS$39,AN8&lt;&gt;"",AN8=""),AND(AR8&gt;=AS$39,AQ8&lt;&gt;"",AJ8=""),AND(BQ8&gt;=BW$39,BP8&lt;&gt;"",BN8=""),AND(BS8&gt;=BW$39,BR8&lt;&gt;"",BN8=""),AND(BV8&gt;=BW$39,BU8&lt;&gt;"",BN8=""),AND(CU8&gt;=DA$39,CT8&lt;&gt;"",CR8=""),AND(CW8&gt;=DA$39,CV8&lt;&gt;"",CR8=""),AND(CZ8&gt;=DA$39,CY8&lt;&gt;"",CR8=""),AND(DU8&gt;=DY$39,DS8&lt;&gt;""),AND(DX8&gt;=DY$39,DW8&lt;&gt;""),AND(EQ8&gt;=EU$39,EO8&lt;&gt;""),AND(ET8&gt;=EU$39,ES8&lt;&gt;""),AND(FM8&gt;=FQ$39,FK8&lt;&gt;""),AND(FP8&gt;=FQ$39,FO8&lt;&gt;""),AND(GI8&gt;=GM$39,GG8&lt;&gt;""),AND(GL8&gt;=GM$39,GK8&lt;&gt;""),AND(HE8&gt;=HI$39,HC8&lt;&gt;""),AND(HH8&gt;=HI$39,HG8&lt;&gt;""),AND(IA8&gt;=IE$39,HY8&lt;&gt;""),AND(ID8&gt;=IE$39,IC8&lt;&gt;""),AND(IW8&gt;=JA$39,IU8&lt;&gt;""),AND(IZ8&gt;=JA$39,IY8&lt;&gt;""),AND(JS8&gt;=JW$39,JQ8&lt;&gt;""),AND(JV8&gt;=JW$39,JU8&lt;&gt;""),AND(KO8&gt;=KS$39,KM8&lt;&gt;""),AND(KR8&gt;=KS$39,KQ8&lt;&gt;""),AND(LK8&gt;=LO$39,LI8&lt;&gt;""),AND(LN8&gt;=LO$39,LM8&lt;&gt;""),AND(MG8&gt;=MK$39,ME8&lt;&gt;""),AND(MJ8&gt;=MK$39,MI8&lt;&gt;""),AND(NC8&gt;=NG$39,NA8&lt;&gt;""),AND(NF8&gt;=NG$39,NE8&lt;&gt;"")),"P","")</f>
        <v>P</v>
      </c>
      <c r="H8" s="66" t="str">
        <f>IF(F8="P","National Team",IF(G8="P","No DD",""))</f>
        <v>National Team</v>
      </c>
      <c r="I8" s="14">
        <f>MAX(AM8,AO8,AR8,BQ8,BS8,BV8,CU8,CW8,CZ8)</f>
        <v>48.37</v>
      </c>
      <c r="J8" s="14" t="str">
        <f>IF(I8=0,"",IF(OR(I8=CW8,I8=CU8,I8=CZ8),$BX$1,IF(OR(I8=BS8,I8=BQ8,I8=BV8),$AT$1,IF(OR(I8=AO8,I8=AM8,I8=AR8),$P$1,""))))</f>
        <v>2022 Nationals</v>
      </c>
      <c r="K8" s="14">
        <f>IF(COUNT(AM8,AO8,AR8,BQ8,BS8,BV8,CU8,CW8,CZ8)&gt;1,LARGE((AM8,AO8,AR8,BQ8,BS8,BV8,CU8,CW8,CZ8),2),0)</f>
        <v>48.36</v>
      </c>
      <c r="L8" s="14" t="str">
        <f>IF(K8=0,"",IF(OR(K8=CW8,K8=CU8,K8=CZ8),$BX$1,IF(OR(K8=BS8,K8=BQ8,K8=BV8),$AT$1,IF(OR(K8=AO8,K8=AM8,K8=AR8),$P$1,""))))</f>
        <v>2022 3rd Domestic Trial</v>
      </c>
      <c r="M8" s="14" t="str">
        <f>IF(MAX(DB8,DC8)&gt;0,MAX(DB8,DC8),"")</f>
        <v/>
      </c>
      <c r="N8" s="19" t="str">
        <f>IF(M8="","",IF(M8=DB8,"(Prelim)",IF(M8=DC8,"(Final)")))</f>
        <v/>
      </c>
      <c r="O8" s="14" t="str">
        <f>IF(M8="","",IF(M8=DB8,IF(M8+IF(K8="",0,K8)=NC8,$ML$1,IF(M8+IF(K8="",0,K8)=MG8,$LP$1,IF(M8+IF(K8="",0,K8)=LK8,$KT$1,IF(M8+IF(K8="",0,K8)=KO8,$JX$1,IF(M8+IF(K8="",0,K8)=JS8,$JB$1,IF(M8+IF(K8="",0,K8)=IW8,$IF$1,IF(M8+IF(K8="",0,K8)=IA8,$HJ$1,IF(M8+IF(K8="",0,K8)=HE8,$GN$1,IF(M8+IF(K8="",0,K8)=GI8,$FR$1,IF(M8+IF(K8="",0,K8)=FM8,$EV$1,IF(M8+IF(K8="",0,K8)=EQ8,$DZ$1,IF(M8+IF(K8="",0,K8)=DU8,$DD$1,IF(M8+IF(K8="",0,K8)=NB8,$ML$1,IF(M8+IF(K8="",0,K8)=MF8,$LP$1,IF(M8+IF(K8="",0,K8)=LJ8,$KT$1,IF(M8+IF(K8="",0,K8)=KN8,$JX$1,IF(M8+IF(K8="",0,K8)=JR8,$JB$1,IF(M8+IF(K8="",0,K8)=IV8,$IF$1,IF(M8+IF(K8="",0,K8)=HZ8,$HJ$1,IF(M8+IF(K8="",0,K8)=HD8,$GN$1,IF(M8+IF(K8="",0,K8)=GH8,$FR$1,IF(M8+IF(K8="",0,K8)=FL8,$EV$1,IF(M8+IF(K8="",0,K8)=EP8,$DZ$1,IF(M8+IF(K8="",0,K8)=DT8,$DD$1))))))))))))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</f>
        <v/>
      </c>
      <c r="P8" s="37"/>
      <c r="Q8" s="37"/>
      <c r="R8" s="37"/>
      <c r="S8" s="37"/>
      <c r="T8" s="37"/>
      <c r="U8" s="37">
        <v>12.5</v>
      </c>
      <c r="V8" s="37">
        <v>9.1999999999999993</v>
      </c>
      <c r="W8" s="37">
        <v>10.6</v>
      </c>
      <c r="X8" s="37">
        <v>13.984999999999999</v>
      </c>
      <c r="Y8" s="37">
        <v>0.6</v>
      </c>
      <c r="Z8" s="37">
        <v>13.4</v>
      </c>
      <c r="AA8" s="37">
        <v>9.1</v>
      </c>
      <c r="AB8" s="37">
        <v>10.6</v>
      </c>
      <c r="AC8" s="37">
        <v>14.59</v>
      </c>
      <c r="AD8" s="37">
        <v>0.6</v>
      </c>
      <c r="AE8" s="37">
        <v>13.3</v>
      </c>
      <c r="AF8" s="37">
        <v>7.8</v>
      </c>
      <c r="AG8" s="37">
        <v>9.9</v>
      </c>
      <c r="AH8" s="37">
        <v>12.885</v>
      </c>
      <c r="AI8" s="37">
        <v>0</v>
      </c>
      <c r="AJ8" s="44"/>
      <c r="AK8" s="11" t="str">
        <f>IF(SUM(P8:S8)-T8&gt;0,SUM(P8:S8)-T8,"")</f>
        <v/>
      </c>
      <c r="AL8" s="11">
        <f>IF(W8&gt;0,W8,"")</f>
        <v>10.6</v>
      </c>
      <c r="AM8" s="11">
        <f>IF(SUM(U8:X8)-Y8&gt;0,SUM(U8:X8)-Y8,"")</f>
        <v>45.684999999999995</v>
      </c>
      <c r="AN8" s="11">
        <f>IF(AB8&gt;0,AB8,"")</f>
        <v>10.6</v>
      </c>
      <c r="AO8" s="11">
        <f>IF(SUM(Z8:AC8)-AD8&gt;0,SUM(Z8:AC8)-AD8,"")</f>
        <v>47.089999999999996</v>
      </c>
      <c r="AP8" s="11">
        <f>IF(AK8="",IF(MAX(AM8,AO8)&gt;0,MAX(AM8,AO8),""),MAX(AM8,AO8)+AK8)</f>
        <v>47.089999999999996</v>
      </c>
      <c r="AQ8" s="11">
        <f>IF(AG8&gt;0,AG8,"")</f>
        <v>9.9</v>
      </c>
      <c r="AR8" s="11">
        <f>IF(SUM(AE8:AH8)-AI8&gt;0,SUM(AE8:AH8)-AI8,"")</f>
        <v>43.884999999999998</v>
      </c>
      <c r="AS8" s="11">
        <f>IF(SUM(AP8,AR8)&gt;0,SUM(AP8,AR8),"")</f>
        <v>90.974999999999994</v>
      </c>
      <c r="AT8" s="41"/>
      <c r="AU8" s="41"/>
      <c r="AV8" s="41"/>
      <c r="AW8" s="41"/>
      <c r="AX8" s="41"/>
      <c r="AY8" s="41">
        <v>14.3</v>
      </c>
      <c r="AZ8" s="41">
        <v>8.9</v>
      </c>
      <c r="BA8" s="41">
        <v>11.3</v>
      </c>
      <c r="BB8" s="41">
        <v>13.87</v>
      </c>
      <c r="BC8" s="41">
        <v>0</v>
      </c>
      <c r="BD8" s="41">
        <v>13.3</v>
      </c>
      <c r="BE8" s="41">
        <v>9</v>
      </c>
      <c r="BF8" s="41">
        <v>10.6</v>
      </c>
      <c r="BG8" s="41">
        <v>13.73</v>
      </c>
      <c r="BH8" s="41">
        <v>0.6</v>
      </c>
      <c r="BI8" s="41"/>
      <c r="BJ8" s="41"/>
      <c r="BK8" s="41"/>
      <c r="BL8" s="41"/>
      <c r="BM8" s="41"/>
      <c r="BN8" s="45"/>
      <c r="BO8" s="14" t="str">
        <f>IF(SUM(AT8:AW8)-AX8&gt;0,SUM(AT8:AW8)-AX8,"")</f>
        <v/>
      </c>
      <c r="BP8" s="14">
        <f>IF(BA8&gt;0,BA8,"")</f>
        <v>11.3</v>
      </c>
      <c r="BQ8" s="14">
        <f>IF(SUM(AY8:BB8)-BC8&gt;0,SUM(AY8:BB8)-BC8,"")</f>
        <v>48.37</v>
      </c>
      <c r="BR8" s="14">
        <f>IF(BF8&gt;0,BF8,"")</f>
        <v>10.6</v>
      </c>
      <c r="BS8" s="14">
        <f>IF(SUM(BD8:BG8)-BH8&gt;0,SUM(BD8:BG8)-BH8,"")</f>
        <v>46.029999999999994</v>
      </c>
      <c r="BT8" s="14">
        <f>IF(BO8="",IF(MAX(BQ8,BS8)&gt;0,MAX(BQ8,BS8),""),MAX(BQ8,BS8)+BO8)</f>
        <v>48.37</v>
      </c>
      <c r="BU8" s="14" t="str">
        <f>IF(BK8&gt;0,BK8,"")</f>
        <v/>
      </c>
      <c r="BV8" s="14" t="str">
        <f>IF(SUM(BI8:BL8)-BM8&gt;0,SUM(BI8:BL8)-BM8,"")</f>
        <v/>
      </c>
      <c r="BW8" s="14">
        <f>IF(SUM(BT8,BV8)&gt;0,SUM(BT8,BV8),"")</f>
        <v>48.37</v>
      </c>
      <c r="BX8" s="37"/>
      <c r="BY8" s="37"/>
      <c r="BZ8" s="37"/>
      <c r="CA8" s="37"/>
      <c r="CB8" s="37"/>
      <c r="CC8" s="37">
        <v>13.7</v>
      </c>
      <c r="CD8" s="37">
        <v>9</v>
      </c>
      <c r="CE8" s="37">
        <v>11.3</v>
      </c>
      <c r="CF8" s="37">
        <v>14.36</v>
      </c>
      <c r="CG8" s="37">
        <v>0</v>
      </c>
      <c r="CH8" s="37">
        <v>10.8</v>
      </c>
      <c r="CI8" s="37">
        <v>7.2</v>
      </c>
      <c r="CJ8" s="37">
        <v>8.8000000000000007</v>
      </c>
      <c r="CK8" s="37">
        <v>11.63</v>
      </c>
      <c r="CL8" s="37">
        <v>0</v>
      </c>
      <c r="CM8" s="37">
        <v>3.9</v>
      </c>
      <c r="CN8" s="37">
        <v>2.8</v>
      </c>
      <c r="CO8" s="37">
        <v>3.5</v>
      </c>
      <c r="CP8" s="37">
        <v>4.5999999999999996</v>
      </c>
      <c r="CQ8" s="37">
        <v>0</v>
      </c>
      <c r="CR8" s="44"/>
      <c r="CS8" s="11" t="str">
        <f>IF(SUM(BX8:CA8)-CB8&gt;0,SUM(BX8:CA8)-CB8,"")</f>
        <v/>
      </c>
      <c r="CT8" s="11">
        <f>IF(CE8&gt;0,CE8,"")</f>
        <v>11.3</v>
      </c>
      <c r="CU8" s="11">
        <f>IF(SUM(CC8:CF8)-CG8&gt;0,SUM(CC8:CF8)-CG8,"")</f>
        <v>48.36</v>
      </c>
      <c r="CV8" s="11">
        <f>IF(CJ8&gt;0,CJ8,"")</f>
        <v>8.8000000000000007</v>
      </c>
      <c r="CW8" s="11">
        <f>IF(SUM(CH8:CK8)-CL8&gt;0,SUM(CH8:CK8)-CL8,"")</f>
        <v>38.43</v>
      </c>
      <c r="CX8" s="11">
        <f>IF(CS8="",IF(MAX(CU8,CW8)&gt;0,MAX(CU8,CW8),""),MAX(CU8,CW8)+CS8)</f>
        <v>48.36</v>
      </c>
      <c r="CY8" s="11">
        <f>IF(CO8&gt;0,CO8,"")</f>
        <v>3.5</v>
      </c>
      <c r="CZ8" s="11">
        <f>IF(SUM(CM8:CP8)-CQ8&gt;0,SUM(CM8:CP8)-CQ8,"")</f>
        <v>14.799999999999999</v>
      </c>
      <c r="DA8" s="11">
        <f>IF(SUM(CX8,CZ8)&gt;0,SUM(CX8,CZ8),"")</f>
        <v>63.16</v>
      </c>
      <c r="DB8" s="18" t="str">
        <f>IF(K8&gt;=0.001,IF(MAX(DT8,DU8,EP8,EQ8,FL8,FM8,GH8,GI8,HD8,HE8,HZ8,IA8,IV8,IW8,JR8,JS8,KN8,KO8,LJ8,LK8,MF8,MG8,NB8,NC8)-IF(K8="",0,K8)&gt;0.001,MAX(DT8,DU8,EP8,EQ8,FL8,FM8,GH8,GI8,HD8,HE8,HZ8,IA8,IV8,IW8,JR8,JS8,KN8,KO8,LJ8,LK8,MF8,MG8,NB8,NC8)-IF(K8="",0,K8),""),"")</f>
        <v/>
      </c>
      <c r="DC8" s="18" t="str">
        <f>IF(K8&gt;=0.001,IF(MAX(DX8,ET8,FP8,GL8,HH8,ID8,IZ8,JV8,KR8,LN8,MJ8,NF8)-IF(K8="",0,K8)&gt;0.001,MAX(DX8,ET8,FP8,GL8,HH8,ID8,IZ8,JV8,KR8,LN8,MJ8,NF8)-IF(K8="",0,K8),""),"")</f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7">
        <f>IF($CR8="P",BX8,(BX8+AT8)/2)</f>
        <v>0</v>
      </c>
      <c r="NI8" s="37">
        <f>IF($CR8="P",BY8,(BY8+AU8)/2)</f>
        <v>0</v>
      </c>
      <c r="NJ8" s="37">
        <f>IF($CR8="P",BZ8,(BZ8+AV8)/2)</f>
        <v>0</v>
      </c>
      <c r="NK8" s="37">
        <f>IF($CR8="P",CA8,(CA8+AW8)/2)</f>
        <v>0</v>
      </c>
      <c r="NL8" s="37">
        <f>IF($CR8="P",CB8,(CB8+AX8)/2)</f>
        <v>0</v>
      </c>
      <c r="NM8" s="37">
        <f>IF($CR8="P",CC8,(CC8+AY8)/2)</f>
        <v>14</v>
      </c>
      <c r="NN8" s="37">
        <f>IF($CR8="P",CD8,(CD8+AZ8)/2)</f>
        <v>8.9499999999999993</v>
      </c>
      <c r="NO8" s="37">
        <f>IF($CR8="P",CE8,(CE8+BA8)/2)</f>
        <v>11.3</v>
      </c>
      <c r="NP8" s="37">
        <f>IF($CR8="P",CF8,(CF8+BB8)/2)</f>
        <v>14.114999999999998</v>
      </c>
      <c r="NQ8" s="37">
        <f>IF($CR8="P",CG8,(CG8+BC8)/2)</f>
        <v>0</v>
      </c>
      <c r="NR8" s="37">
        <f>IF($CR8="P",CH8,(CH8+BD8)/2)</f>
        <v>12.05</v>
      </c>
      <c r="NS8" s="37">
        <f>IF($CR8="P",CI8,(CI8+BE8)/2)</f>
        <v>8.1</v>
      </c>
      <c r="NT8" s="37">
        <f>IF($CR8="P",CJ8,(CJ8+BF8)/2)</f>
        <v>9.6999999999999993</v>
      </c>
      <c r="NU8" s="37">
        <f>IF($CR8="P",CK8,(CK8+BG8)/2)</f>
        <v>12.68</v>
      </c>
      <c r="NV8" s="37">
        <f>IF($CR8="P",CL8,(CL8+BH8)/2)</f>
        <v>0.3</v>
      </c>
      <c r="NW8" s="37">
        <f>IF($CR8="P",CM8,(CM8+BI8)/2)</f>
        <v>1.95</v>
      </c>
      <c r="NX8" s="37">
        <f>IF($CR8="P",CN8,(CN8+BJ8)/2)</f>
        <v>1.4</v>
      </c>
      <c r="NY8" s="37">
        <f>IF($CR8="P",CO8,(CO8+BK8)/2)</f>
        <v>1.75</v>
      </c>
      <c r="NZ8" s="37">
        <f>IF($CR8="P",CP8,(CP8+BL8)/2)</f>
        <v>2.2999999999999998</v>
      </c>
      <c r="OA8" s="37">
        <f>IF($CR8="P",CQ8,(CQ8+BM8)/2)</f>
        <v>0</v>
      </c>
      <c r="OB8" s="44" t="s">
        <v>46</v>
      </c>
      <c r="OC8" s="11" t="str">
        <f>IF(SUM(NH8:NK8)-NL8&gt;0,SUM(NH8:NK8)-NL8,"")</f>
        <v/>
      </c>
      <c r="OD8" s="11">
        <f>IF(NO8&gt;0,NO8,"")</f>
        <v>11.3</v>
      </c>
      <c r="OE8" s="11">
        <f>IF(SUM(NM8:NP8)-NQ8&gt;0,SUM(NM8:NP8)-NQ8,"")</f>
        <v>48.364999999999995</v>
      </c>
      <c r="OF8" s="11">
        <f>IF(NT8&gt;0,NT8,"")</f>
        <v>9.6999999999999993</v>
      </c>
      <c r="OG8" s="11">
        <f>IF(SUM(NR8:NU8)-NV8&gt;0,SUM(NR8:NU8)-NV8,"")</f>
        <v>42.230000000000004</v>
      </c>
      <c r="OH8" s="11" t="e">
        <f>IF(OR(OC8&lt;&gt;"",OE8&lt;&gt;"",OG8&lt;&gt;""),OC8+MAX(OE8,OG8),"")</f>
        <v>#VALUE!</v>
      </c>
      <c r="OI8" s="11">
        <f>IF(NY8&gt;0,NY8,"")</f>
        <v>1.75</v>
      </c>
      <c r="OJ8" s="11">
        <f t="shared" ref="OJ8" si="2">IF(SUM(NW8:NZ8)-OA8&gt;0,SUM(NW8:NZ8)-OA8,"")</f>
        <v>7.3999999999999995</v>
      </c>
      <c r="OK8" s="11" t="e">
        <f t="shared" ref="OK8" si="3">IF(SUM(OH8,OJ8)&gt;0,SUM(OH8,OJ8),"")</f>
        <v>#VALUE!</v>
      </c>
    </row>
    <row r="9" spans="1:401" x14ac:dyDescent="0.2">
      <c r="A9" s="5" cm="1">
        <f t="array" ref="A9">IF(AND(F9="P",G9="P"),SUMPRODUCT((F$4:F$33="P")*(G$4:G$33="P")*(E$4:E$33&gt;E9))+1,IF(G9="P",SUMPRODUCT((F$4:F$33="")*(G$4:G$33="P")*(E$4:E$33&gt;E9))+1+SUMPRODUCT((F$4:F$33="P")*(G$4:G$33="P")),""))</f>
        <v>6</v>
      </c>
      <c r="B9" s="8" t="s">
        <v>83</v>
      </c>
      <c r="C9" s="4" t="s">
        <v>4</v>
      </c>
      <c r="D9" s="21">
        <v>2004</v>
      </c>
      <c r="E9" s="15">
        <f>SUM(I9:M9)</f>
        <v>92.58</v>
      </c>
      <c r="F9" s="3" t="str">
        <f>IF(OR(AND(AL9&gt;=AS$35,AM9&gt;=AS$39,AL9&lt;&gt;"",AJ9=""),AND(AN9&gt;=AS$35,AO9&gt;=AS$39,AN9&lt;&gt;"",AN9=""),AND(AQ9&gt;=AS$35,AR9&gt;=AS$39,AQ9&lt;&gt;"",AJ9=""),AND(BP9&gt;=BW$35,BQ9&gt;=BW$39,BP9&lt;&gt;"",BN9=""),AND(BR9&gt;=BW$35,BS9&gt;=BW$39,BR9&lt;&gt;"",BN9=""),AND(BU9&gt;=BW$35,BV9&gt;=BW$39,BU9&lt;&gt;"",BN9=""),AND(CT9&gt;=DA$35,CU9&gt;=DA$39,CT9&lt;&gt;"",CR9=""),AND(CV9&gt;=DA$35,CW9&gt;=DA$39,CV9&lt;&gt;"",CR9=""),AND(CY9&gt;=DA$35,CZ9&gt;=DA$39,CY9&lt;&gt;"",CR9=""),AND(DS9&gt;=DY$35,DU9&gt;=DY$39,DS9&lt;&gt;""),AND(DW9&gt;=DY$35,DX9&gt;=DY$39,DW9&lt;&gt;""),AND(EO9&gt;=EU$35,EQ9&gt;=EU$39,EO9&lt;&gt;""),AND(ES9&gt;=EU$35,ET9&gt;=EU$39,ES9&lt;&gt;""),AND(FK9&gt;=FQ$35,FM9&gt;=FQ$39,FK9&lt;&gt;""),AND(FO9&gt;=FQ$35,FP9&gt;=FQ$39,FO9&lt;&gt;""),AND(GG9&gt;=GM$35,GI9&gt;=GM$39,GG9&lt;&gt;""),AND(GK9&gt;=GM$35,GL9&gt;=GM$39,GK9&lt;&gt;""),AND(HC9&gt;=HI$35,HE9&gt;=HI$39,HC9&lt;&gt;""),AND(HG9&gt;=HI$35,HH9&gt;=HI$39,HG9&lt;&gt;""),AND(HY9&gt;=IE$35,IA9&gt;=IE$39,HY9&lt;&gt;""),AND(IC9&gt;=IE$35,ID9&gt;=IE$39,IC9&lt;&gt;""),AND(IU9&gt;=JA$35,IW9&gt;=JA$39,IU9&lt;&gt;""),AND(IY9&gt;=JA$35,IZ9&gt;=JA$39,IY9&lt;&gt;""),AND(JQ9&gt;=JW$35,JS9&gt;=JW$39,JQ9&lt;&gt;""),AND(JU9&gt;=JW$35,JV9&gt;=JW$39,JU9&lt;&gt;""),AND(KM9&gt;=KS$35,KO9&gt;=KS$39,KM9&lt;&gt;""),AND(KQ9&gt;=KS$35,KR9&gt;=KS$39,KQ9&lt;&gt;""),AND(LI9&gt;=LO$35,LK9&gt;=LO$39,LI9&lt;&gt;""),AND(LM9&gt;=LO$35,LN9&gt;=LO$39,LM9&lt;&gt;""),AND(ME9&gt;=MK$35,MG9&gt;=MK$39,ME9&lt;&gt;""),AND(MI9&gt;=MK$35,MJ9&gt;=MK$39,MI9&lt;&gt;""),AND(NA9&gt;=NG$35,NC9&gt;=NG$39,NA9&lt;&gt;""),AND(NE9&gt;=NG$35,NF9&gt;=NG$39,NE9&lt;&gt;"")),"P","")</f>
        <v>P</v>
      </c>
      <c r="G9" s="3" t="str">
        <f>IF(OR(AND(AM9&gt;=AS$39,AL9&lt;&gt;"",AJ9=""),AND(AO9&gt;=AS$39,AN9&lt;&gt;"",AN9=""),AND(AR9&gt;=AS$39,AQ9&lt;&gt;"",AJ9=""),AND(BQ9&gt;=BW$39,BP9&lt;&gt;"",BN9=""),AND(BS9&gt;=BW$39,BR9&lt;&gt;"",BN9=""),AND(BV9&gt;=BW$39,BU9&lt;&gt;"",BN9=""),AND(CU9&gt;=DA$39,CT9&lt;&gt;"",CR9=""),AND(CW9&gt;=DA$39,CV9&lt;&gt;"",CR9=""),AND(CZ9&gt;=DA$39,CY9&lt;&gt;"",CR9=""),AND(DU9&gt;=DY$39,DS9&lt;&gt;""),AND(DX9&gt;=DY$39,DW9&lt;&gt;""),AND(EQ9&gt;=EU$39,EO9&lt;&gt;""),AND(ET9&gt;=EU$39,ES9&lt;&gt;""),AND(FM9&gt;=FQ$39,FK9&lt;&gt;""),AND(FP9&gt;=FQ$39,FO9&lt;&gt;""),AND(GI9&gt;=GM$39,GG9&lt;&gt;""),AND(GL9&gt;=GM$39,GK9&lt;&gt;""),AND(HE9&gt;=HI$39,HC9&lt;&gt;""),AND(HH9&gt;=HI$39,HG9&lt;&gt;""),AND(IA9&gt;=IE$39,HY9&lt;&gt;""),AND(ID9&gt;=IE$39,IC9&lt;&gt;""),AND(IW9&gt;=JA$39,IU9&lt;&gt;""),AND(IZ9&gt;=JA$39,IY9&lt;&gt;""),AND(JS9&gt;=JW$39,JQ9&lt;&gt;""),AND(JV9&gt;=JW$39,JU9&lt;&gt;""),AND(KO9&gt;=KS$39,KM9&lt;&gt;""),AND(KR9&gt;=KS$39,KQ9&lt;&gt;""),AND(LK9&gt;=LO$39,LI9&lt;&gt;""),AND(LN9&gt;=LO$39,LM9&lt;&gt;""),AND(MG9&gt;=MK$39,ME9&lt;&gt;""),AND(MJ9&gt;=MK$39,MI9&lt;&gt;""),AND(NC9&gt;=NG$39,NA9&lt;&gt;""),AND(NF9&gt;=NG$39,NE9&lt;&gt;"")),"P","")</f>
        <v>P</v>
      </c>
      <c r="H9" s="66" t="str">
        <f>IF(F9="P","National Team",IF(G9="P","No DD",""))</f>
        <v>National Team</v>
      </c>
      <c r="I9" s="14">
        <f>MAX(AM9,AO9,AR9,BQ9,BS9,BV9,CU9,CW9,CZ9)</f>
        <v>48.730000000000004</v>
      </c>
      <c r="J9" s="14" t="str">
        <f>IF(I9=0,"",IF(OR(I9=CW9,I9=CU9,I9=CZ9),$BX$1,IF(OR(I9=BS9,I9=BQ9,I9=BV9),$AT$1,IF(OR(I9=AO9,I9=AM9,I9=AR9),$P$1,""))))</f>
        <v>2022 Nationals</v>
      </c>
      <c r="K9" s="14">
        <f>IF(COUNT(AM9,AO9,AR9,BQ9,BS9,BV9,CU9,CW9,CZ9)&gt;1,LARGE((AM9,AO9,AR9,BQ9,BS9,BV9,CU9,CW9,CZ9),2),0)</f>
        <v>43.849999999999994</v>
      </c>
      <c r="L9" s="14" t="str">
        <f>IF(K9=0,"",IF(OR(K9=CW9,K9=CU9,K9=CZ9),$BX$1,IF(OR(K9=BS9,K9=BQ9,K9=BV9),$AT$1,IF(OR(K9=AO9,K9=AM9,K9=AR9),$P$1,""))))</f>
        <v>2022 Nationals</v>
      </c>
      <c r="M9" s="14" t="str">
        <f>IF(MAX(DB9,DC9)&gt;0,MAX(DB9,DC9),"")</f>
        <v/>
      </c>
      <c r="N9" s="19" t="str">
        <f>IF(M9="","",IF(M9=DB9,"(Prelim)",IF(M9=DC9,"(Final)")))</f>
        <v/>
      </c>
      <c r="O9" s="14" t="str">
        <f>IF(M9="","",IF(M9=DB9,IF(M9+IF(K9="",0,K9)=NC9,$ML$1,IF(M9+IF(K9="",0,K9)=MG9,$LP$1,IF(M9+IF(K9="",0,K9)=LK9,$KT$1,IF(M9+IF(K9="",0,K9)=KO9,$JX$1,IF(M9+IF(K9="",0,K9)=JS9,$JB$1,IF(M9+IF(K9="",0,K9)=IW9,$IF$1,IF(M9+IF(K9="",0,K9)=IA9,$HJ$1,IF(M9+IF(K9="",0,K9)=HE9,$GN$1,IF(M9+IF(K9="",0,K9)=GI9,$FR$1,IF(M9+IF(K9="",0,K9)=FM9,$EV$1,IF(M9+IF(K9="",0,K9)=EQ9,$DZ$1,IF(M9+IF(K9="",0,K9)=DU9,$DD$1,IF(M9+IF(K9="",0,K9)=NB9,$ML$1,IF(M9+IF(K9="",0,K9)=MF9,$LP$1,IF(M9+IF(K9="",0,K9)=LJ9,$KT$1,IF(M9+IF(K9="",0,K9)=KN9,$JX$1,IF(M9+IF(K9="",0,K9)=JR9,$JB$1,IF(M9+IF(K9="",0,K9)=IV9,$IF$1,IF(M9+IF(K9="",0,K9)=HZ9,$HJ$1,IF(M9+IF(K9="",0,K9)=HD9,$GN$1,IF(M9+IF(K9="",0,K9)=GH9,$FR$1,IF(M9+IF(K9="",0,K9)=FL9,$EV$1,IF(M9+IF(K9="",0,K9)=EP9,$DZ$1,IF(M9+IF(K9="",0,K9)=DT9,$DD$1))))))))))))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</f>
        <v/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 t="str">
        <f>IF(SUM(P9:S9)-T9&gt;0,SUM(P9:S9)-T9,"")</f>
        <v/>
      </c>
      <c r="AL9" s="11" t="str">
        <f>IF(W9&gt;0,W9,"")</f>
        <v/>
      </c>
      <c r="AM9" s="11" t="str">
        <f>IF(SUM(U9:X9)-Y9&gt;0,SUM(U9:X9)-Y9,"")</f>
        <v/>
      </c>
      <c r="AN9" s="11" t="str">
        <f>IF(AB9&gt;0,AB9,"")</f>
        <v/>
      </c>
      <c r="AO9" s="11" t="str">
        <f>IF(SUM(Z9:AC9)-AD9&gt;0,SUM(Z9:AC9)-AD9,"")</f>
        <v/>
      </c>
      <c r="AP9" s="11" t="str">
        <f>IF(AK9="",IF(MAX(AM9,AO9)&gt;0,MAX(AM9,AO9),""),MAX(AM9,AO9)+AK9)</f>
        <v/>
      </c>
      <c r="AQ9" s="11" t="str">
        <f>IF(AG9&gt;0,AG9,"")</f>
        <v/>
      </c>
      <c r="AR9" s="11" t="str">
        <f>IF(SUM(AE9:AH9)-AI9&gt;0,SUM(AE9:AH9)-AI9,"")</f>
        <v/>
      </c>
      <c r="AS9" s="11" t="str">
        <f>IF(SUM(AP9,AR9)&gt;0,SUM(AP9,AR9),"")</f>
        <v/>
      </c>
      <c r="AT9" s="41"/>
      <c r="AU9" s="41"/>
      <c r="AV9" s="41"/>
      <c r="AW9" s="41"/>
      <c r="AX9" s="41"/>
      <c r="AY9" s="41">
        <v>1.4</v>
      </c>
      <c r="AZ9" s="41">
        <v>1</v>
      </c>
      <c r="BA9" s="41">
        <v>1.5</v>
      </c>
      <c r="BB9" s="41">
        <v>1.58</v>
      </c>
      <c r="BC9" s="41">
        <v>0</v>
      </c>
      <c r="BD9" s="41">
        <v>13</v>
      </c>
      <c r="BE9" s="41">
        <v>9</v>
      </c>
      <c r="BF9" s="41">
        <v>12.7</v>
      </c>
      <c r="BG9" s="41">
        <v>14.03</v>
      </c>
      <c r="BH9" s="41">
        <v>0</v>
      </c>
      <c r="BI9" s="41">
        <v>11.7</v>
      </c>
      <c r="BJ9" s="41">
        <v>8.1</v>
      </c>
      <c r="BK9" s="41">
        <v>11.3</v>
      </c>
      <c r="BL9" s="41">
        <v>12.75</v>
      </c>
      <c r="BM9" s="41">
        <v>0</v>
      </c>
      <c r="BN9" s="45"/>
      <c r="BO9" s="14" t="str">
        <f>IF(SUM(AT9:AW9)-AX9&gt;0,SUM(AT9:AW9)-AX9,"")</f>
        <v/>
      </c>
      <c r="BP9" s="14">
        <f>IF(BA9&gt;0,BA9,"")</f>
        <v>1.5</v>
      </c>
      <c r="BQ9" s="14">
        <f>IF(SUM(AY9:BB9)-BC9&gt;0,SUM(AY9:BB9)-BC9,"")</f>
        <v>5.48</v>
      </c>
      <c r="BR9" s="14">
        <f>IF(BF9&gt;0,BF9,"")</f>
        <v>12.7</v>
      </c>
      <c r="BS9" s="14">
        <f>IF(SUM(BD9:BG9)-BH9&gt;0,SUM(BD9:BG9)-BH9,"")</f>
        <v>48.730000000000004</v>
      </c>
      <c r="BT9" s="14">
        <f>IF(BO9="",IF(MAX(BQ9,BS9)&gt;0,MAX(BQ9,BS9),""),MAX(BQ9,BS9)+BO9)</f>
        <v>48.730000000000004</v>
      </c>
      <c r="BU9" s="14">
        <f>IF(BK9&gt;0,BK9,"")</f>
        <v>11.3</v>
      </c>
      <c r="BV9" s="14">
        <f>IF(SUM(BI9:BL9)-BM9&gt;0,SUM(BI9:BL9)-BM9,"")</f>
        <v>43.849999999999994</v>
      </c>
      <c r="BW9" s="14">
        <f>IF(SUM(BT9,BV9)&gt;0,SUM(BT9,BV9),"")</f>
        <v>92.58</v>
      </c>
      <c r="BX9" s="37"/>
      <c r="BY9" s="37"/>
      <c r="BZ9" s="37"/>
      <c r="CA9" s="37"/>
      <c r="CB9" s="37"/>
      <c r="CC9" s="37">
        <v>2.9</v>
      </c>
      <c r="CD9" s="37">
        <v>1.7</v>
      </c>
      <c r="CE9" s="37">
        <v>2.7</v>
      </c>
      <c r="CF9" s="37">
        <v>3.16</v>
      </c>
      <c r="CG9" s="37">
        <v>0</v>
      </c>
      <c r="CH9" s="37">
        <v>2.6</v>
      </c>
      <c r="CI9" s="37">
        <v>1.8</v>
      </c>
      <c r="CJ9" s="37">
        <v>2.7</v>
      </c>
      <c r="CK9" s="37">
        <v>3.06</v>
      </c>
      <c r="CL9" s="37">
        <v>0</v>
      </c>
      <c r="CM9" s="37">
        <v>0</v>
      </c>
      <c r="CN9" s="37">
        <v>0</v>
      </c>
      <c r="CO9" s="37">
        <v>0</v>
      </c>
      <c r="CP9" s="37">
        <v>0</v>
      </c>
      <c r="CQ9" s="37">
        <v>0</v>
      </c>
      <c r="CR9" s="44"/>
      <c r="CS9" s="11" t="str">
        <f>IF(SUM(BX9:CA9)-CB9&gt;0,SUM(BX9:CA9)-CB9,"")</f>
        <v/>
      </c>
      <c r="CT9" s="11">
        <f>IF(CE9&gt;0,CE9,"")</f>
        <v>2.7</v>
      </c>
      <c r="CU9" s="11">
        <f>IF(SUM(CC9:CF9)-CG9&gt;0,SUM(CC9:CF9)-CG9,"")</f>
        <v>10.46</v>
      </c>
      <c r="CV9" s="11">
        <f>IF(CJ9&gt;0,CJ9,"")</f>
        <v>2.7</v>
      </c>
      <c r="CW9" s="11">
        <f>IF(SUM(CH9:CK9)-CL9&gt;0,SUM(CH9:CK9)-CL9,"")</f>
        <v>10.16</v>
      </c>
      <c r="CX9" s="11">
        <f>IF(CS9="",IF(MAX(CU9,CW9)&gt;0,MAX(CU9,CW9),""),MAX(CU9,CW9)+CS9)</f>
        <v>10.46</v>
      </c>
      <c r="CY9" s="11" t="str">
        <f>IF(CO9&gt;0,CO9,"")</f>
        <v/>
      </c>
      <c r="CZ9" s="11" t="str">
        <f>IF(SUM(CM9:CP9)-CQ9&gt;0,SUM(CM9:CP9)-CQ9,"")</f>
        <v/>
      </c>
      <c r="DA9" s="11">
        <f>IF(SUM(CX9,CZ9)&gt;0,SUM(CX9,CZ9),"")</f>
        <v>10.46</v>
      </c>
      <c r="DB9" s="18" t="str">
        <f>IF(K9&gt;=0.001,IF(MAX(DT9,DU9,EP9,EQ9,FL9,FM9,GH9,GI9,HD9,HE9,HZ9,IA9,IV9,IW9,JR9,JS9,KN9,KO9,LJ9,LK9,MF9,MG9,NB9,NC9)-IF(K9="",0,K9)&gt;0.001,MAX(DT9,DU9,EP9,EQ9,FL9,FM9,GH9,GI9,HD9,HE9,HZ9,IA9,IV9,IW9,JR9,JS9,KN9,KO9,LJ9,LK9,MF9,MG9,NB9,NC9)-IF(K9="",0,K9),""),"")</f>
        <v/>
      </c>
      <c r="DC9" s="18" t="str">
        <f>IF(K9&gt;=0.001,IF(MAX(DX9,ET9,FP9,GL9,HH9,ID9,IZ9,JV9,KR9,LN9,MJ9,NF9)-IF(K9="",0,K9)&gt;0.001,MAX(DX9,ET9,FP9,GL9,HH9,ID9,IZ9,JV9,KR9,LN9,MJ9,NF9)-IF(K9="",0,K9),""),"")</f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7">
        <f>IF($CR9="P",BX9,(BX9+AT9)/2)</f>
        <v>0</v>
      </c>
      <c r="NI9" s="37">
        <f>IF($CR9="P",BY9,(BY9+AU9)/2)</f>
        <v>0</v>
      </c>
      <c r="NJ9" s="37">
        <f>IF($CR9="P",BZ9,(BZ9+AV9)/2)</f>
        <v>0</v>
      </c>
      <c r="NK9" s="37">
        <f>IF($CR9="P",CA9,(CA9+AW9)/2)</f>
        <v>0</v>
      </c>
      <c r="NL9" s="37">
        <f>IF($CR9="P",CB9,(CB9+AX9)/2)</f>
        <v>0</v>
      </c>
      <c r="NM9" s="37">
        <f>IF($CR9="P",CC9,(CC9+AY9)/2)</f>
        <v>2.15</v>
      </c>
      <c r="NN9" s="37">
        <f>IF($CR9="P",CD9,(CD9+AZ9)/2)</f>
        <v>1.35</v>
      </c>
      <c r="NO9" s="37">
        <f>IF($CR9="P",CE9,(CE9+BA9)/2)</f>
        <v>2.1</v>
      </c>
      <c r="NP9" s="37">
        <f>IF($CR9="P",CF9,(CF9+BB9)/2)</f>
        <v>2.37</v>
      </c>
      <c r="NQ9" s="37">
        <f>IF($CR9="P",CG9,(CG9+BC9)/2)</f>
        <v>0</v>
      </c>
      <c r="NR9" s="37">
        <f>IF($CR9="P",CH9,(CH9+BD9)/2)</f>
        <v>7.8</v>
      </c>
      <c r="NS9" s="37">
        <f>IF($CR9="P",CI9,(CI9+BE9)/2)</f>
        <v>5.4</v>
      </c>
      <c r="NT9" s="37">
        <f>IF($CR9="P",CJ9,(CJ9+BF9)/2)</f>
        <v>7.6999999999999993</v>
      </c>
      <c r="NU9" s="37">
        <f>IF($CR9="P",CK9,(CK9+BG9)/2)</f>
        <v>8.5449999999999999</v>
      </c>
      <c r="NV9" s="37">
        <f>IF($CR9="P",CL9,(CL9+BH9)/2)</f>
        <v>0</v>
      </c>
      <c r="NW9" s="37">
        <f>IF($CR9="P",CM9,(CM9+BI9)/2)</f>
        <v>5.85</v>
      </c>
      <c r="NX9" s="37">
        <f>IF($CR9="P",CN9,(CN9+BJ9)/2)</f>
        <v>4.05</v>
      </c>
      <c r="NY9" s="37">
        <f>IF($CR9="P",CO9,(CO9+BK9)/2)</f>
        <v>5.65</v>
      </c>
      <c r="NZ9" s="37">
        <f>IF($CR9="P",CP9,(CP9+BL9)/2)</f>
        <v>6.375</v>
      </c>
      <c r="OA9" s="37">
        <f>IF($CR9="P",CQ9,(CQ9+BM9)/2)</f>
        <v>0</v>
      </c>
      <c r="OB9" s="44" t="s">
        <v>46</v>
      </c>
      <c r="OC9" s="11" t="str">
        <f>IF(SUM(NH9:NK9)-NL9&gt;0,SUM(NH9:NK9)-NL9,"")</f>
        <v/>
      </c>
      <c r="OD9" s="11">
        <f>IF(NO9&gt;0,NO9,"")</f>
        <v>2.1</v>
      </c>
      <c r="OE9" s="11">
        <f>IF(SUM(NM9:NP9)-NQ9&gt;0,SUM(NM9:NP9)-NQ9,"")</f>
        <v>7.97</v>
      </c>
      <c r="OF9" s="11">
        <f>IF(NT9&gt;0,NT9,"")</f>
        <v>7.6999999999999993</v>
      </c>
      <c r="OG9" s="11">
        <f>IF(SUM(NR9:NU9)-NV9&gt;0,SUM(NR9:NU9)-NV9,"")</f>
        <v>29.445</v>
      </c>
      <c r="OH9" s="11" t="e">
        <f>IF(OR(OC9&lt;&gt;"",OE9&lt;&gt;"",OG9&lt;&gt;""),OC9+MAX(OE9,OG9),"")</f>
        <v>#VALUE!</v>
      </c>
      <c r="OI9" s="11">
        <f>IF(NY9&gt;0,NY9,"")</f>
        <v>5.65</v>
      </c>
      <c r="OJ9" s="11">
        <f t="shared" ref="OJ9" si="4">IF(SUM(NW9:NZ9)-OA9&gt;0,SUM(NW9:NZ9)-OA9,"")</f>
        <v>21.924999999999997</v>
      </c>
      <c r="OK9" s="11" t="e">
        <f t="shared" ref="OK9" si="5">IF(SUM(OH9,OJ9)&gt;0,SUM(OH9,OJ9),"")</f>
        <v>#VALUE!</v>
      </c>
    </row>
    <row r="10" spans="1:401" x14ac:dyDescent="0.2">
      <c r="A10" s="5" t="str" cm="1">
        <f t="array" ref="A10">IF(AND(F10="P",G10="P"),SUMPRODUCT((F$4:F$33="P")*(G$4:G$33="P")*(E$4:E$33&gt;E10))+1,IF(G10="P",SUMPRODUCT((F$4:F$33="")*(G$4:G$33="P")*(E$4:E$33&gt;E10))+1+SUMPRODUCT((F$4:F$33="P")*(G$4:G$33="P")),""))</f>
        <v/>
      </c>
      <c r="B10" s="8" t="s">
        <v>84</v>
      </c>
      <c r="C10" s="4" t="s">
        <v>5</v>
      </c>
      <c r="D10" s="21">
        <v>2003</v>
      </c>
      <c r="E10" s="15">
        <f>SUM(I10:M10)</f>
        <v>95.77</v>
      </c>
      <c r="F10" s="3" t="str">
        <f>IF(OR(AND(AL10&gt;=AS$35,AM10&gt;=AS$39,AL10&lt;&gt;"",AJ10=""),AND(AN10&gt;=AS$35,AO10&gt;=AS$39,AN10&lt;&gt;"",AN10=""),AND(AQ10&gt;=AS$35,AR10&gt;=AS$39,AQ10&lt;&gt;"",AJ10=""),AND(BP10&gt;=BW$35,BQ10&gt;=BW$39,BP10&lt;&gt;"",BN10=""),AND(BR10&gt;=BW$35,BS10&gt;=BW$39,BR10&lt;&gt;"",BN10=""),AND(BU10&gt;=BW$35,BV10&gt;=BW$39,BU10&lt;&gt;"",BN10=""),AND(CT10&gt;=DA$35,CU10&gt;=DA$39,CT10&lt;&gt;"",CR10=""),AND(CV10&gt;=DA$35,CW10&gt;=DA$39,CV10&lt;&gt;"",CR10=""),AND(CY10&gt;=DA$35,CZ10&gt;=DA$39,CY10&lt;&gt;"",CR10=""),AND(DS10&gt;=DY$35,DU10&gt;=DY$39,DS10&lt;&gt;""),AND(DW10&gt;=DY$35,DX10&gt;=DY$39,DW10&lt;&gt;""),AND(EO10&gt;=EU$35,EQ10&gt;=EU$39,EO10&lt;&gt;""),AND(ES10&gt;=EU$35,ET10&gt;=EU$39,ES10&lt;&gt;""),AND(FK10&gt;=FQ$35,FM10&gt;=FQ$39,FK10&lt;&gt;""),AND(FO10&gt;=FQ$35,FP10&gt;=FQ$39,FO10&lt;&gt;""),AND(GG10&gt;=GM$35,GI10&gt;=GM$39,GG10&lt;&gt;""),AND(GK10&gt;=GM$35,GL10&gt;=GM$39,GK10&lt;&gt;""),AND(HC10&gt;=HI$35,HE10&gt;=HI$39,HC10&lt;&gt;""),AND(HG10&gt;=HI$35,HH10&gt;=HI$39,HG10&lt;&gt;""),AND(HY10&gt;=IE$35,IA10&gt;=IE$39,HY10&lt;&gt;""),AND(IC10&gt;=IE$35,ID10&gt;=IE$39,IC10&lt;&gt;""),AND(IU10&gt;=JA$35,IW10&gt;=JA$39,IU10&lt;&gt;""),AND(IY10&gt;=JA$35,IZ10&gt;=JA$39,IY10&lt;&gt;""),AND(JQ10&gt;=JW$35,JS10&gt;=JW$39,JQ10&lt;&gt;""),AND(JU10&gt;=JW$35,JV10&gt;=JW$39,JU10&lt;&gt;""),AND(KM10&gt;=KS$35,KO10&gt;=KS$39,KM10&lt;&gt;""),AND(KQ10&gt;=KS$35,KR10&gt;=KS$39,KQ10&lt;&gt;""),AND(LI10&gt;=LO$35,LK10&gt;=LO$39,LI10&lt;&gt;""),AND(LM10&gt;=LO$35,LN10&gt;=LO$39,LM10&lt;&gt;""),AND(ME10&gt;=MK$35,MG10&gt;=MK$39,ME10&lt;&gt;""),AND(MI10&gt;=MK$35,MJ10&gt;=MK$39,MI10&lt;&gt;""),AND(NA10&gt;=NG$35,NC10&gt;=NG$39,NA10&lt;&gt;""),AND(NE10&gt;=NG$35,NF10&gt;=NG$39,NE10&lt;&gt;"")),"P","")</f>
        <v/>
      </c>
      <c r="G10" s="3" t="str">
        <f>IF(OR(AND(AM10&gt;=AS$39,AL10&lt;&gt;"",AJ10=""),AND(AO10&gt;=AS$39,AN10&lt;&gt;"",AN10=""),AND(AR10&gt;=AS$39,AQ10&lt;&gt;"",AJ10=""),AND(BQ10&gt;=BW$39,BP10&lt;&gt;"",BN10=""),AND(BS10&gt;=BW$39,BR10&lt;&gt;"",BN10=""),AND(BV10&gt;=BW$39,BU10&lt;&gt;"",BN10=""),AND(CU10&gt;=DA$39,CT10&lt;&gt;"",CR10=""),AND(CW10&gt;=DA$39,CV10&lt;&gt;"",CR10=""),AND(CZ10&gt;=DA$39,CY10&lt;&gt;"",CR10=""),AND(DU10&gt;=DY$39,DS10&lt;&gt;""),AND(DX10&gt;=DY$39,DW10&lt;&gt;""),AND(EQ10&gt;=EU$39,EO10&lt;&gt;""),AND(ET10&gt;=EU$39,ES10&lt;&gt;""),AND(FM10&gt;=FQ$39,FK10&lt;&gt;""),AND(FP10&gt;=FQ$39,FO10&lt;&gt;""),AND(GI10&gt;=GM$39,GG10&lt;&gt;""),AND(GL10&gt;=GM$39,GK10&lt;&gt;""),AND(HE10&gt;=HI$39,HC10&lt;&gt;""),AND(HH10&gt;=HI$39,HG10&lt;&gt;""),AND(IA10&gt;=IE$39,HY10&lt;&gt;""),AND(ID10&gt;=IE$39,IC10&lt;&gt;""),AND(IW10&gt;=JA$39,IU10&lt;&gt;""),AND(IZ10&gt;=JA$39,IY10&lt;&gt;""),AND(JS10&gt;=JW$39,JQ10&lt;&gt;""),AND(JV10&gt;=JW$39,JU10&lt;&gt;""),AND(KO10&gt;=KS$39,KM10&lt;&gt;""),AND(KR10&gt;=KS$39,KQ10&lt;&gt;""),AND(LK10&gt;=LO$39,LI10&lt;&gt;""),AND(LN10&gt;=LO$39,LM10&lt;&gt;""),AND(MG10&gt;=MK$39,ME10&lt;&gt;""),AND(MJ10&gt;=MK$39,MI10&lt;&gt;""),AND(NC10&gt;=NG$39,NA10&lt;&gt;""),AND(NF10&gt;=NG$39,NE10&lt;&gt;"")),"P","")</f>
        <v/>
      </c>
      <c r="H10" s="66" t="str">
        <f>IF(F10="P","National Team",IF(G10="P","No DD",""))</f>
        <v/>
      </c>
      <c r="I10" s="14">
        <f>MAX(AM10,AO10,AR10,BQ10,BS10,BV10,CU10,CW10,CZ10)</f>
        <v>48.29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47.48</v>
      </c>
      <c r="L10" s="14" t="str">
        <f>IF(K10=0,"",IF(OR(K10=CW10,K10=CU10,K10=CZ10),$BX$1,IF(OR(K10=BS10,K10=BQ10,K10=BV10),$AT$1,IF(OR(K10=AO10,K10=AM10,K10=AR10),$P$1,""))))</f>
        <v>2022 Elite Canada</v>
      </c>
      <c r="M10" s="14" t="str">
        <f>IF(MAX(DB10,DC10)&gt;0,MAX(DB10,DC10),"")</f>
        <v/>
      </c>
      <c r="N10" s="19" t="str">
        <f>IF(M10="","",IF(M10=DB10,"(Prelim)",IF(M10=DC10,"(Final)")))</f>
        <v/>
      </c>
      <c r="O10" s="14" t="str">
        <f>IF(M10="","",IF(M10=DB10,IF(M10+IF(K10="",0,K10)=NC10,$ML$1,IF(M10+IF(K10="",0,K10)=MG10,$LP$1,IF(M10+IF(K10="",0,K10)=LK10,$KT$1,IF(M10+IF(K10="",0,K10)=KO10,$JX$1,IF(M10+IF(K10="",0,K10)=JS10,$JB$1,IF(M10+IF(K10="",0,K10)=IW10,$IF$1,IF(M10+IF(K10="",0,K10)=IA10,$HJ$1,IF(M10+IF(K10="",0,K10)=HE10,$GN$1,IF(M10+IF(K10="",0,K10)=GI10,$FR$1,IF(M10+IF(K10="",0,K10)=FM10,$EV$1,IF(M10+IF(K10="",0,K10)=EQ10,$DZ$1,IF(M10+IF(K10="",0,K10)=DU10,$DD$1,IF(M10+IF(K10="",0,K10)=NB10,$ML$1,IF(M10+IF(K10="",0,K10)=MF10,$LP$1,IF(M10+IF(K10="",0,K10)=LJ10,$KT$1,IF(M10+IF(K10="",0,K10)=KN10,$JX$1,IF(M10+IF(K10="",0,K10)=JR10,$JB$1,IF(M10+IF(K10="",0,K10)=IV10,$IF$1,IF(M10+IF(K10="",0,K10)=HZ10,$HJ$1,IF(M10+IF(K10="",0,K10)=HD10,$GN$1,IF(M10+IF(K10="",0,K10)=GH10,$FR$1,IF(M10+IF(K10="",0,K10)=FL10,$EV$1,IF(M10+IF(K10="",0,K10)=EP10,$DZ$1,IF(M10+IF(K10="",0,K10)=DT10,$DD$1))))))))))))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</f>
        <v/>
      </c>
      <c r="P10" s="37">
        <v>16.34</v>
      </c>
      <c r="Q10" s="37">
        <v>9.5</v>
      </c>
      <c r="R10" s="37">
        <v>2.1</v>
      </c>
      <c r="S10" s="37">
        <v>14.64</v>
      </c>
      <c r="T10" s="37">
        <v>0</v>
      </c>
      <c r="U10" s="37">
        <v>15.3</v>
      </c>
      <c r="V10" s="37">
        <v>9.5</v>
      </c>
      <c r="W10" s="37">
        <v>8.6</v>
      </c>
      <c r="X10" s="37">
        <v>14.28</v>
      </c>
      <c r="Y10" s="37">
        <v>0.2</v>
      </c>
      <c r="Z10" s="37"/>
      <c r="AA10" s="37"/>
      <c r="AB10" s="37"/>
      <c r="AC10" s="37"/>
      <c r="AD10" s="37"/>
      <c r="AE10" s="37">
        <v>14.8</v>
      </c>
      <c r="AF10" s="37">
        <v>9.1</v>
      </c>
      <c r="AG10" s="37">
        <v>10.5</v>
      </c>
      <c r="AH10" s="37">
        <v>13.89</v>
      </c>
      <c r="AI10" s="37">
        <v>0</v>
      </c>
      <c r="AJ10" s="44"/>
      <c r="AK10" s="11">
        <f>IF(SUM(P10:S10)-T10&gt;0,SUM(P10:S10)-T10,"")</f>
        <v>42.58</v>
      </c>
      <c r="AL10" s="11">
        <f>IF(W10&gt;0,W10,"")</f>
        <v>8.6</v>
      </c>
      <c r="AM10" s="11">
        <f>IF(SUM(U10:X10)-Y10&gt;0,SUM(U10:X10)-Y10,"")</f>
        <v>47.48</v>
      </c>
      <c r="AN10" s="11" t="str">
        <f>IF(AB10&gt;0,AB10,"")</f>
        <v/>
      </c>
      <c r="AO10" s="11" t="str">
        <f>IF(SUM(Z10:AC10)-AD10&gt;0,SUM(Z10:AC10)-AD10,"")</f>
        <v/>
      </c>
      <c r="AP10" s="11">
        <f>IF(AK10="",IF(MAX(AM10,AO10)&gt;0,MAX(AM10,AO10),""),MAX(AM10,AO10)+AK10)</f>
        <v>90.06</v>
      </c>
      <c r="AQ10" s="11">
        <f>IF(AG10&gt;0,AG10,"")</f>
        <v>10.5</v>
      </c>
      <c r="AR10" s="11">
        <f>IF(SUM(AE10:AH10)-AI10&gt;0,SUM(AE10:AH10)-AI10,"")</f>
        <v>48.29</v>
      </c>
      <c r="AS10" s="11">
        <f>IF(SUM(AP10,AR10)&gt;0,SUM(AP10,AR10),"")</f>
        <v>138.35</v>
      </c>
      <c r="AT10" s="41">
        <v>16.3</v>
      </c>
      <c r="AU10" s="41">
        <v>8.6999999999999993</v>
      </c>
      <c r="AV10" s="41">
        <v>2.1</v>
      </c>
      <c r="AW10" s="41">
        <v>13.99</v>
      </c>
      <c r="AX10" s="41">
        <v>0</v>
      </c>
      <c r="AY10" s="41">
        <v>7.8</v>
      </c>
      <c r="AZ10" s="41">
        <v>4.4000000000000004</v>
      </c>
      <c r="BA10" s="41">
        <v>5.2</v>
      </c>
      <c r="BB10" s="41">
        <v>7.13</v>
      </c>
      <c r="BC10" s="41">
        <v>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5"/>
      <c r="BO10" s="14">
        <f>IF(SUM(AT10:AW10)-AX10&gt;0,SUM(AT10:AW10)-AX10,"")</f>
        <v>41.09</v>
      </c>
      <c r="BP10" s="14">
        <f>IF(BA10&gt;0,BA10,"")</f>
        <v>5.2</v>
      </c>
      <c r="BQ10" s="14">
        <f>IF(SUM(AY10:BB10)-BC10&gt;0,SUM(AY10:BB10)-BC10,"")</f>
        <v>24.529999999999998</v>
      </c>
      <c r="BR10" s="14" t="str">
        <f>IF(BF10&gt;0,BF10,"")</f>
        <v/>
      </c>
      <c r="BS10" s="14" t="str">
        <f>IF(SUM(BD10:BG10)-BH10&gt;0,SUM(BD10:BG10)-BH10,"")</f>
        <v/>
      </c>
      <c r="BT10" s="14">
        <f>IF(BO10="",IF(MAX(BQ10,BS10)&gt;0,MAX(BQ10,BS10),""),MAX(BQ10,BS10)+BO10)</f>
        <v>65.62</v>
      </c>
      <c r="BU10" s="14" t="str">
        <f>IF(BK10&gt;0,BK10,"")</f>
        <v/>
      </c>
      <c r="BV10" s="14" t="str">
        <f>IF(SUM(BI10:BL10)-BM10&gt;0,SUM(BI10:BL10)-BM10,"")</f>
        <v/>
      </c>
      <c r="BW10" s="14">
        <f>IF(SUM(BT10,BV10)&gt;0,SUM(BT10,BV10),"")</f>
        <v>65.62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>IF(SUM(BX10:CA10)-CB10&gt;0,SUM(BX10:CA10)-CB10,"")</f>
        <v/>
      </c>
      <c r="CT10" s="11" t="str">
        <f>IF(CE10&gt;0,CE10,"")</f>
        <v/>
      </c>
      <c r="CU10" s="11" t="str">
        <f>IF(SUM(CC10:CF10)-CG10&gt;0,SUM(CC10:CF10)-CG10,"")</f>
        <v/>
      </c>
      <c r="CV10" s="11" t="str">
        <f>IF(CJ10&gt;0,CJ10,"")</f>
        <v/>
      </c>
      <c r="CW10" s="11" t="str">
        <f>IF(SUM(CH10:CK10)-CL10&gt;0,SUM(CH10:CK10)-CL10,"")</f>
        <v/>
      </c>
      <c r="CX10" s="11" t="str">
        <f>IF(CS10="",IF(MAX(CU10,CW10)&gt;0,MAX(CU10,CW10),""),MAX(CU10,CW10)+CS10)</f>
        <v/>
      </c>
      <c r="CY10" s="11" t="str">
        <f>IF(CO10&gt;0,CO10,"")</f>
        <v/>
      </c>
      <c r="CZ10" s="11" t="str">
        <f>IF(SUM(CM10:CP10)-CQ10&gt;0,SUM(CM10:CP10)-CQ10,"")</f>
        <v/>
      </c>
      <c r="DA10" s="11" t="str">
        <f>IF(SUM(CX10,CZ10)&gt;0,SUM(CX10,CZ10),"")</f>
        <v/>
      </c>
      <c r="DB10" s="18" t="str">
        <f>IF(K10&gt;=0.001,IF(MAX(DT10,DU10,EP10,EQ10,FL10,FM10,GH10,GI10,HD10,HE10,HZ10,IA10,IV10,IW10,JR10,JS10,KN10,KO10,LJ10,LK10,MF10,MG10,NB10,NC10)-IF(K10="",0,K10)&gt;0.001,MAX(DT10,DU10,EP10,EQ10,FL10,FM10,GH10,GI10,HD10,HE10,HZ10,IA10,IV10,IW10,JR10,JS10,KN10,KO10,LJ10,LK10,MF10,MG10,NB10,NC10)-IF(K10="",0,K10),""),"")</f>
        <v/>
      </c>
      <c r="DC10" s="18" t="str">
        <f>IF(K10&gt;=0.001,IF(MAX(DX10,ET10,FP10,GL10,HH10,ID10,IZ10,JV10,KR10,LN10,MJ10,NF10)-IF(K10="",0,K10)&gt;0.001,MAX(DX10,ET10,FP10,GL10,HH10,ID10,IZ10,JV10,KR10,LN10,MJ10,NF10)-IF(K10="",0,K10),""),"")</f>
        <v/>
      </c>
      <c r="DD10" s="24">
        <v>1.4</v>
      </c>
      <c r="DE10" s="24">
        <v>1</v>
      </c>
      <c r="DF10" s="24">
        <v>1.3</v>
      </c>
      <c r="DG10" s="24">
        <v>1.47</v>
      </c>
      <c r="DH10" s="24">
        <v>0</v>
      </c>
      <c r="DI10" s="24">
        <v>13.3</v>
      </c>
      <c r="DJ10" s="24">
        <v>8.9</v>
      </c>
      <c r="DK10" s="24">
        <v>10.6</v>
      </c>
      <c r="DL10" s="24">
        <v>13.425000000000001</v>
      </c>
      <c r="DM10" s="24">
        <v>0</v>
      </c>
      <c r="DN10" s="24"/>
      <c r="DO10" s="24"/>
      <c r="DP10" s="24"/>
      <c r="DQ10" s="24"/>
      <c r="DR10" s="24"/>
      <c r="DS10" s="11">
        <f>IF(DK10&gt;0,DK10,"")</f>
        <v>10.6</v>
      </c>
      <c r="DT10" s="11">
        <f>IF(SUM(DD10:DG10)-DH10&gt;0,SUM(DD10:DG10)-DH10,"")</f>
        <v>5.17</v>
      </c>
      <c r="DU10" s="11">
        <f>IF(SUM(DI10:DL10)-DM10&gt;0,SUM(DI10:DL10)-DM10,"")</f>
        <v>46.225000000000009</v>
      </c>
      <c r="DV10" s="11">
        <f>IF(SUM(DT10:DU10)&gt;0,SUM(DT10:DU10),"")</f>
        <v>51.39500000000001</v>
      </c>
      <c r="DW10" s="11" t="str">
        <f>IF(DP10&gt;0,DP10,"")</f>
        <v/>
      </c>
      <c r="DX10" s="11" t="str">
        <f>IF(SUM(DN10:DQ10)-DR10&gt;0,SUM(DN10:DQ10)-DR10,"")</f>
        <v/>
      </c>
      <c r="DY10" s="11">
        <f>IF(SUM(DV10,DX10)&gt;0,SUM(DV10,DX10),"")</f>
        <v>51.39500000000001</v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4">
        <v>1.4</v>
      </c>
      <c r="EW10" s="24">
        <v>1</v>
      </c>
      <c r="EX10" s="24">
        <v>1.5</v>
      </c>
      <c r="EY10" s="24">
        <v>1.53</v>
      </c>
      <c r="EZ10" s="24">
        <v>0</v>
      </c>
      <c r="FA10" s="24">
        <v>1.4</v>
      </c>
      <c r="FB10" s="24">
        <v>0.8</v>
      </c>
      <c r="FC10" s="24">
        <v>1.5</v>
      </c>
      <c r="FD10" s="24">
        <v>1.52</v>
      </c>
      <c r="FE10" s="24">
        <v>0</v>
      </c>
      <c r="FF10" s="24"/>
      <c r="FG10" s="24"/>
      <c r="FH10" s="24"/>
      <c r="FI10" s="24"/>
      <c r="FJ10" s="24"/>
      <c r="FK10" s="11">
        <f>IF(FC10&gt;0,FC10,"")</f>
        <v>1.5</v>
      </c>
      <c r="FL10" s="11">
        <f>IF(SUM(EV10:EY10)-EZ10&gt;0,SUM(EV10:EY10)-EZ10,"")</f>
        <v>5.43</v>
      </c>
      <c r="FM10" s="11">
        <f>IF(SUM(FA10:FD10)-FE10&gt;0,SUM(FA10:FD10)-FE10,"")</f>
        <v>5.2200000000000006</v>
      </c>
      <c r="FN10" s="11">
        <f>IF(SUM(FL10:FM10)&gt;0,SUM(FL10:FM10),"")</f>
        <v>10.65</v>
      </c>
      <c r="FO10" s="11" t="str">
        <f>IF(FH10&gt;0,FH10,"")</f>
        <v/>
      </c>
      <c r="FP10" s="11" t="str">
        <f>IF(SUM(FF10:FI10)-FJ10&gt;0,SUM(FF10:FI10)-FJ10,"")</f>
        <v/>
      </c>
      <c r="FQ10" s="11">
        <f>IF(SUM(FN10,FP10)&gt;0,SUM(FN10,FP10),"")</f>
        <v>10.65</v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7">
        <f>IF($CR10="P",BX10,(BX10+AT10)/2)</f>
        <v>8.15</v>
      </c>
      <c r="NI10" s="37">
        <f>IF($CR10="P",BY10,(BY10+AU10)/2)</f>
        <v>4.3499999999999996</v>
      </c>
      <c r="NJ10" s="37">
        <f>IF($CR10="P",BZ10,(BZ10+AV10)/2)</f>
        <v>1.05</v>
      </c>
      <c r="NK10" s="37">
        <f>IF($CR10="P",CA10,(CA10+AW10)/2)</f>
        <v>6.9950000000000001</v>
      </c>
      <c r="NL10" s="37">
        <f>IF($CR10="P",CB10,(CB10+AX10)/2)</f>
        <v>0</v>
      </c>
      <c r="NM10" s="37">
        <f>IF($CR10="P",CC10,(CC10+AY10)/2)</f>
        <v>3.9</v>
      </c>
      <c r="NN10" s="37">
        <f>IF($CR10="P",CD10,(CD10+AZ10)/2)</f>
        <v>2.2000000000000002</v>
      </c>
      <c r="NO10" s="37">
        <f>IF($CR10="P",CE10,(CE10+BA10)/2)</f>
        <v>2.6</v>
      </c>
      <c r="NP10" s="37">
        <f>IF($CR10="P",CF10,(CF10+BB10)/2)</f>
        <v>3.5649999999999999</v>
      </c>
      <c r="NQ10" s="37">
        <f>IF($CR10="P",CG10,(CG10+BC10)/2)</f>
        <v>0</v>
      </c>
      <c r="NR10" s="37">
        <f>IF($CR10="P",CH10,(CH10+BD10)/2)</f>
        <v>0</v>
      </c>
      <c r="NS10" s="37">
        <f>IF($CR10="P",CI10,(CI10+BE10)/2)</f>
        <v>0</v>
      </c>
      <c r="NT10" s="37">
        <f>IF($CR10="P",CJ10,(CJ10+BF10)/2)</f>
        <v>0</v>
      </c>
      <c r="NU10" s="37">
        <f>IF($CR10="P",CK10,(CK10+BG10)/2)</f>
        <v>0</v>
      </c>
      <c r="NV10" s="37">
        <f>IF($CR10="P",CL10,(CL10+BH10)/2)</f>
        <v>0</v>
      </c>
      <c r="NW10" s="37">
        <f>IF($CR10="P",CM10,(CM10+BI10)/2)</f>
        <v>0</v>
      </c>
      <c r="NX10" s="37">
        <f>IF($CR10="P",CN10,(CN10+BJ10)/2)</f>
        <v>0</v>
      </c>
      <c r="NY10" s="37">
        <f>IF($CR10="P",CO10,(CO10+BK10)/2)</f>
        <v>0</v>
      </c>
      <c r="NZ10" s="37">
        <f>IF($CR10="P",CP10,(CP10+BL10)/2)</f>
        <v>0</v>
      </c>
      <c r="OA10" s="37">
        <f>IF($CR10="P",CQ10,(CQ10+BM10)/2)</f>
        <v>0</v>
      </c>
      <c r="OB10" s="44" t="s">
        <v>46</v>
      </c>
      <c r="OC10" s="11">
        <f>IF(SUM(NH10:NK10)-NL10&gt;0,SUM(NH10:NK10)-NL10,"")</f>
        <v>20.545000000000002</v>
      </c>
      <c r="OD10" s="11">
        <f>IF(NO10&gt;0,NO10,"")</f>
        <v>2.6</v>
      </c>
      <c r="OE10" s="11">
        <f>IF(SUM(NM10:NP10)-NQ10&gt;0,SUM(NM10:NP10)-NQ10,"")</f>
        <v>12.264999999999999</v>
      </c>
      <c r="OF10" s="11" t="str">
        <f>IF(NT10&gt;0,NT10,"")</f>
        <v/>
      </c>
      <c r="OG10" s="11" t="str">
        <f>IF(SUM(NR10:NU10)-NV10&gt;0,SUM(NR10:NU10)-NV10,"")</f>
        <v/>
      </c>
      <c r="OH10" s="11">
        <f>IF(OR(OC10&lt;&gt;"",OE10&lt;&gt;"",OG10&lt;&gt;""),OC10+MAX(OE10,OG10),"")</f>
        <v>32.81</v>
      </c>
      <c r="OI10" s="11" t="str">
        <f>IF(NY10&gt;0,NY10,"")</f>
        <v/>
      </c>
      <c r="OJ10" s="11" t="str">
        <f t="shared" ref="OJ10" si="6">IF(SUM(NW10:NZ10)-OA10&gt;0,SUM(NW10:NZ10)-OA10,"")</f>
        <v/>
      </c>
      <c r="OK10" s="11">
        <f t="shared" ref="OK10" si="7">IF(SUM(OH10,OJ10)&gt;0,SUM(OH10,OJ10),"")</f>
        <v>32.81</v>
      </c>
    </row>
    <row r="11" spans="1:401" x14ac:dyDescent="0.2">
      <c r="A11" s="5" t="str" cm="1">
        <f t="array" ref="A11">IF(AND(F11="P",G11="P"),SUMPRODUCT((F$4:F$33="P")*(G$4:G$33="P")*(E$4:E$33&gt;E11))+1,IF(G11="P",SUMPRODUCT((F$4:F$33="")*(G$4:G$33="P")*(E$4:E$33&gt;E11))+1+SUMPRODUCT((F$4:F$33="P")*(G$4:G$33="P")),""))</f>
        <v/>
      </c>
      <c r="B11" s="6" t="s">
        <v>102</v>
      </c>
      <c r="C11" s="7" t="s">
        <v>5</v>
      </c>
      <c r="D11" s="21">
        <v>2001</v>
      </c>
      <c r="E11" s="15">
        <f>SUM(I11:M11)</f>
        <v>94.85</v>
      </c>
      <c r="F11" s="3" t="str">
        <f>IF(OR(AND(AL11&gt;=AS$35,AM11&gt;=AS$39,AL11&lt;&gt;"",AJ11=""),AND(AN11&gt;=AS$35,AO11&gt;=AS$39,AN11&lt;&gt;"",AN11=""),AND(AQ11&gt;=AS$35,AR11&gt;=AS$39,AQ11&lt;&gt;"",AJ11=""),AND(BP11&gt;=BW$35,BQ11&gt;=BW$39,BP11&lt;&gt;"",BN11=""),AND(BR11&gt;=BW$35,BS11&gt;=BW$39,BR11&lt;&gt;"",BN11=""),AND(BU11&gt;=BW$35,BV11&gt;=BW$39,BU11&lt;&gt;"",BN11=""),AND(CT11&gt;=DA$35,CU11&gt;=DA$39,CT11&lt;&gt;"",CR11=""),AND(CV11&gt;=DA$35,CW11&gt;=DA$39,CV11&lt;&gt;"",CR11=""),AND(CY11&gt;=DA$35,CZ11&gt;=DA$39,CY11&lt;&gt;"",CR11=""),AND(DS11&gt;=DY$35,DU11&gt;=DY$39,DS11&lt;&gt;""),AND(DW11&gt;=DY$35,DX11&gt;=DY$39,DW11&lt;&gt;""),AND(EO11&gt;=EU$35,EQ11&gt;=EU$39,EO11&lt;&gt;""),AND(ES11&gt;=EU$35,ET11&gt;=EU$39,ES11&lt;&gt;""),AND(FK11&gt;=FQ$35,FM11&gt;=FQ$39,FK11&lt;&gt;""),AND(FO11&gt;=FQ$35,FP11&gt;=FQ$39,FO11&lt;&gt;""),AND(GG11&gt;=GM$35,GI11&gt;=GM$39,GG11&lt;&gt;""),AND(GK11&gt;=GM$35,GL11&gt;=GM$39,GK11&lt;&gt;""),AND(HC11&gt;=HI$35,HE11&gt;=HI$39,HC11&lt;&gt;""),AND(HG11&gt;=HI$35,HH11&gt;=HI$39,HG11&lt;&gt;""),AND(HY11&gt;=IE$35,IA11&gt;=IE$39,HY11&lt;&gt;""),AND(IC11&gt;=IE$35,ID11&gt;=IE$39,IC11&lt;&gt;""),AND(IU11&gt;=JA$35,IW11&gt;=JA$39,IU11&lt;&gt;""),AND(IY11&gt;=JA$35,IZ11&gt;=JA$39,IY11&lt;&gt;""),AND(JQ11&gt;=JW$35,JS11&gt;=JW$39,JQ11&lt;&gt;""),AND(JU11&gt;=JW$35,JV11&gt;=JW$39,JU11&lt;&gt;""),AND(KM11&gt;=KS$35,KO11&gt;=KS$39,KM11&lt;&gt;""),AND(KQ11&gt;=KS$35,KR11&gt;=KS$39,KQ11&lt;&gt;""),AND(LI11&gt;=LO$35,LK11&gt;=LO$39,LI11&lt;&gt;""),AND(LM11&gt;=LO$35,LN11&gt;=LO$39,LM11&lt;&gt;""),AND(ME11&gt;=MK$35,MG11&gt;=MK$39,ME11&lt;&gt;""),AND(MI11&gt;=MK$35,MJ11&gt;=MK$39,MI11&lt;&gt;""),AND(NA11&gt;=NG$35,NC11&gt;=NG$39,NA11&lt;&gt;""),AND(NE11&gt;=NG$35,NF11&gt;=NG$39,NE11&lt;&gt;"")),"P","")</f>
        <v/>
      </c>
      <c r="G11" s="3" t="str">
        <f>IF(OR(AND(AM11&gt;=AS$39,AL11&lt;&gt;"",AJ11=""),AND(AO11&gt;=AS$39,AN11&lt;&gt;"",AN11=""),AND(AR11&gt;=AS$39,AQ11&lt;&gt;"",AJ11=""),AND(BQ11&gt;=BW$39,BP11&lt;&gt;"",BN11=""),AND(BS11&gt;=BW$39,BR11&lt;&gt;"",BN11=""),AND(BV11&gt;=BW$39,BU11&lt;&gt;"",BN11=""),AND(CU11&gt;=DA$39,CT11&lt;&gt;"",CR11=""),AND(CW11&gt;=DA$39,CV11&lt;&gt;"",CR11=""),AND(CZ11&gt;=DA$39,CY11&lt;&gt;"",CR11=""),AND(DU11&gt;=DY$39,DS11&lt;&gt;""),AND(DX11&gt;=DY$39,DW11&lt;&gt;""),AND(EQ11&gt;=EU$39,EO11&lt;&gt;""),AND(ET11&gt;=EU$39,ES11&lt;&gt;""),AND(FM11&gt;=FQ$39,FK11&lt;&gt;""),AND(FP11&gt;=FQ$39,FO11&lt;&gt;""),AND(GI11&gt;=GM$39,GG11&lt;&gt;""),AND(GL11&gt;=GM$39,GK11&lt;&gt;""),AND(HE11&gt;=HI$39,HC11&lt;&gt;""),AND(HH11&gt;=HI$39,HG11&lt;&gt;""),AND(IA11&gt;=IE$39,HY11&lt;&gt;""),AND(ID11&gt;=IE$39,IC11&lt;&gt;""),AND(IW11&gt;=JA$39,IU11&lt;&gt;""),AND(IZ11&gt;=JA$39,IY11&lt;&gt;""),AND(JS11&gt;=JW$39,JQ11&lt;&gt;""),AND(JV11&gt;=JW$39,JU11&lt;&gt;""),AND(KO11&gt;=KS$39,KM11&lt;&gt;""),AND(KR11&gt;=KS$39,KQ11&lt;&gt;""),AND(LK11&gt;=LO$39,LI11&lt;&gt;""),AND(LN11&gt;=LO$39,LM11&lt;&gt;""),AND(MG11&gt;=MK$39,ME11&lt;&gt;""),AND(MJ11&gt;=MK$39,MI11&lt;&gt;""),AND(NC11&gt;=NG$39,NA11&lt;&gt;""),AND(NF11&gt;=NG$39,NE11&lt;&gt;"")),"P","")</f>
        <v/>
      </c>
      <c r="H11" s="66" t="str">
        <f>IF(F11="P","National Team",IF(G11="P","No DD",""))</f>
        <v/>
      </c>
      <c r="I11" s="14">
        <f>MAX(AM11,AO11,AR11,BQ11,BS11,BV11,CU11,CW11,CZ11)</f>
        <v>47.47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45.97</v>
      </c>
      <c r="L11" s="14" t="str">
        <f>IF(K11=0,"",IF(OR(K11=CW11,K11=CU11,K11=CZ11),$BX$1,IF(OR(K11=BS11,K11=BQ11,K11=BV11),$AT$1,IF(OR(K11=AO11,K11=AM11,K11=AR11),$P$1,""))))</f>
        <v>2022 Elite Canada</v>
      </c>
      <c r="M11" s="14">
        <f>IF(MAX(DB11,DC11)&gt;0,MAX(DB11,DC11),"")</f>
        <v>1.4100000000000037</v>
      </c>
      <c r="N11" s="19" t="str">
        <f>IF(M11="","",IF(M11=DB11,"(Prelim)",IF(M11=DC11,"(Final)")))</f>
        <v>(Prelim)</v>
      </c>
      <c r="O11" s="14" t="str">
        <f>IF(M11="","",IF(M11=DB11,IF(M11+IF(K11="",0,K11)=NC11,$ML$1,IF(M11+IF(K11="",0,K11)=MG11,$LP$1,IF(M11+IF(K11="",0,K11)=LK11,$KT$1,IF(M11+IF(K11="",0,K11)=KO11,$JX$1,IF(M11+IF(K11="",0,K11)=JS11,$JB$1,IF(M11+IF(K11="",0,K11)=IW11,$IF$1,IF(M11+IF(K11="",0,K11)=IA11,$HJ$1,IF(M11+IF(K11="",0,K11)=HE11,$GN$1,IF(M11+IF(K11="",0,K11)=GI11,$FR$1,IF(M11+IF(K11="",0,K11)=FM11,$EV$1,IF(M11+IF(K11="",0,K11)=EQ11,$DZ$1,IF(M11+IF(K11="",0,K11)=DU11,$DD$1,IF(M11+IF(K11="",0,K11)=NB11,$ML$1,IF(M11+IF(K11="",0,K11)=MF11,$LP$1,IF(M11+IF(K11="",0,K11)=LJ11,$KT$1,IF(M11+IF(K11="",0,K11)=KN11,$JX$1,IF(M11+IF(K11="",0,K11)=JR11,$JB$1,IF(M11+IF(K11="",0,K11)=IV11,$IF$1,IF(M11+IF(K11="",0,K11)=HZ11,$HJ$1,IF(M11+IF(K11="",0,K11)=HD11,$GN$1,IF(M11+IF(K11="",0,K11)=GH11,$FR$1,IF(M11+IF(K11="",0,K11)=FL11,$EV$1,IF(M11+IF(K11="",0,K11)=EP11,$DZ$1,IF(M11+IF(K11="",0,K11)=DT11,$DD$1))))))))))))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</f>
        <v>2022 Coimbra Gym Fest (June 26)</v>
      </c>
      <c r="P11" s="37">
        <v>14.7</v>
      </c>
      <c r="Q11" s="37">
        <v>9.1999999999999993</v>
      </c>
      <c r="R11" s="37">
        <v>2</v>
      </c>
      <c r="S11" s="37">
        <v>14.27</v>
      </c>
      <c r="T11" s="37">
        <v>0</v>
      </c>
      <c r="U11" s="37">
        <v>13.1</v>
      </c>
      <c r="V11" s="37">
        <v>9.1</v>
      </c>
      <c r="W11" s="37">
        <v>10.3</v>
      </c>
      <c r="X11" s="37">
        <v>13.47</v>
      </c>
      <c r="Y11" s="37">
        <v>0</v>
      </c>
      <c r="Z11" s="37"/>
      <c r="AA11" s="37"/>
      <c r="AB11" s="37"/>
      <c r="AC11" s="37"/>
      <c r="AD11" s="37"/>
      <c r="AE11" s="37">
        <v>14</v>
      </c>
      <c r="AF11" s="37">
        <v>9.4</v>
      </c>
      <c r="AG11" s="37">
        <v>10.3</v>
      </c>
      <c r="AH11" s="37">
        <v>13.77</v>
      </c>
      <c r="AI11" s="37">
        <v>0</v>
      </c>
      <c r="AJ11" s="44"/>
      <c r="AK11" s="11">
        <f>IF(SUM(P11:S11)-T11&gt;0,SUM(P11:S11)-T11,"")</f>
        <v>40.17</v>
      </c>
      <c r="AL11" s="11">
        <f>IF(W11&gt;0,W11,"")</f>
        <v>10.3</v>
      </c>
      <c r="AM11" s="11">
        <f>IF(SUM(U11:X11)-Y11&gt;0,SUM(U11:X11)-Y11,"")</f>
        <v>45.97</v>
      </c>
      <c r="AN11" s="11" t="str">
        <f>IF(AB11&gt;0,AB11,"")</f>
        <v/>
      </c>
      <c r="AO11" s="11" t="str">
        <f>IF(SUM(Z11:AC11)-AD11&gt;0,SUM(Z11:AC11)-AD11,"")</f>
        <v/>
      </c>
      <c r="AP11" s="11">
        <f>IF(AK11="",IF(MAX(AM11,AO11)&gt;0,MAX(AM11,AO11),""),MAX(AM11,AO11)+AK11)</f>
        <v>86.14</v>
      </c>
      <c r="AQ11" s="11">
        <f>IF(AG11&gt;0,AG11,"")</f>
        <v>10.3</v>
      </c>
      <c r="AR11" s="11">
        <f>IF(SUM(AE11:AH11)-AI11&gt;0,SUM(AE11:AH11)-AI11,"")</f>
        <v>47.47</v>
      </c>
      <c r="AS11" s="11">
        <f>IF(SUM(AP11,AR11)&gt;0,SUM(AP11,AR11),"")</f>
        <v>133.61000000000001</v>
      </c>
      <c r="AT11" s="41">
        <v>16.899999999999999</v>
      </c>
      <c r="AU11" s="41">
        <v>9.1</v>
      </c>
      <c r="AV11" s="41">
        <v>2</v>
      </c>
      <c r="AW11" s="41">
        <v>14.38</v>
      </c>
      <c r="AX11" s="41">
        <v>0</v>
      </c>
      <c r="AY11" s="41">
        <v>2.7</v>
      </c>
      <c r="AZ11" s="41">
        <v>1.9</v>
      </c>
      <c r="BA11" s="41">
        <v>2.5</v>
      </c>
      <c r="BB11" s="41">
        <v>2.97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>IF(SUM(AT11:AW11)-AX11&gt;0,SUM(AT11:AW11)-AX11,"")</f>
        <v>42.38</v>
      </c>
      <c r="BP11" s="14">
        <f>IF(BA11&gt;0,BA11,"")</f>
        <v>2.5</v>
      </c>
      <c r="BQ11" s="14">
        <f>IF(SUM(AY11:BB11)-BC11&gt;0,SUM(AY11:BB11)-BC11,"")</f>
        <v>10.07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52.45</v>
      </c>
      <c r="BU11" s="14" t="str">
        <f>IF(BK11&gt;0,BK11,"")</f>
        <v/>
      </c>
      <c r="BV11" s="14" t="str">
        <f>IF(SUM(BI11:BL11)-BM11&gt;0,SUM(BI11:BL11)-BM11,"")</f>
        <v/>
      </c>
      <c r="BW11" s="14">
        <f>IF(SUM(BT11,BV11)&gt;0,SUM(BT11,BV11),"")</f>
        <v>52.45</v>
      </c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44"/>
      <c r="CS11" s="11" t="str">
        <f>IF(SUM(BX11:CA11)-CB11&gt;0,SUM(BX11:CA11)-CB11,"")</f>
        <v/>
      </c>
      <c r="CT11" s="11" t="str">
        <f>IF(CE11&gt;0,CE11,"")</f>
        <v/>
      </c>
      <c r="CU11" s="11" t="str">
        <f>IF(SUM(CC11:CF11)-CG11&gt;0,SUM(CC11:CF11)-CG11,"")</f>
        <v/>
      </c>
      <c r="CV11" s="11" t="str">
        <f>IF(CJ11&gt;0,CJ11,"")</f>
        <v/>
      </c>
      <c r="CW11" s="11" t="str">
        <f>IF(SUM(CH11:CK11)-CL11&gt;0,SUM(CH11:CK11)-CL11,"")</f>
        <v/>
      </c>
      <c r="CX11" s="11" t="str">
        <f>IF(CS11="",IF(MAX(CU11,CW11)&gt;0,MAX(CU11,CW11),""),MAX(CU11,CW11)+CS11)</f>
        <v/>
      </c>
      <c r="CY11" s="11" t="str">
        <f>IF(CO11&gt;0,CO11,"")</f>
        <v/>
      </c>
      <c r="CZ11" s="11" t="str">
        <f>IF(SUM(CM11:CP11)-CQ11&gt;0,SUM(CM11:CP11)-CQ11,"")</f>
        <v/>
      </c>
      <c r="DA11" s="11" t="str">
        <f>IF(SUM(CX11,CZ11)&gt;0,SUM(CX11,CZ11),"")</f>
        <v/>
      </c>
      <c r="DB11" s="18">
        <f>IF(K11&gt;=0.001,IF(MAX(DT11,DU11,EP11,EQ11,FL11,FM11,GH11,GI11,HD11,HE11,HZ11,IA11,IV11,IW11,JR11,JS11,KN11,KO11,LJ11,LK11,MF11,MG11,NB11,NC11)-IF(K11="",0,K11)&gt;0.001,MAX(DT11,DU11,EP11,EQ11,FL11,FM11,GH11,GI11,HD11,HE11,HZ11,IA11,IV11,IW11,JR11,JS11,KN11,KO11,LJ11,LK11,MF11,MG11,NB11,NC11)-IF(K11="",0,K11),""),"")</f>
        <v>1.4100000000000037</v>
      </c>
      <c r="DC11" s="18" t="str">
        <f>IF(K11&gt;=0.001,IF(MAX(DX11,ET11,FP11,GL11,HH11,ID11,IZ11,JV11,KR11,LN11,MJ11,NF11)-IF(K11="",0,K11)&gt;0.001,MAX(DX11,ET11,FP11,GL11,HH11,ID11,IZ11,JV11,KR11,LN11,MJ11,NF11)-IF(K11="",0,K11),""),"")</f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4">
        <v>13.7</v>
      </c>
      <c r="EW11" s="24">
        <v>9.5</v>
      </c>
      <c r="EX11" s="24">
        <v>10.5</v>
      </c>
      <c r="EY11" s="24">
        <v>13.68</v>
      </c>
      <c r="EZ11" s="24">
        <v>0</v>
      </c>
      <c r="FA11" s="24">
        <v>6.3</v>
      </c>
      <c r="FB11" s="24">
        <v>4.4000000000000004</v>
      </c>
      <c r="FC11" s="24">
        <v>6.1</v>
      </c>
      <c r="FD11" s="24">
        <v>6.83</v>
      </c>
      <c r="FE11" s="24">
        <v>0</v>
      </c>
      <c r="FF11" s="24"/>
      <c r="FG11" s="24"/>
      <c r="FH11" s="24"/>
      <c r="FI11" s="24"/>
      <c r="FJ11" s="24"/>
      <c r="FK11" s="11">
        <f>IF(FC11&gt;0,FC11,"")</f>
        <v>6.1</v>
      </c>
      <c r="FL11" s="11">
        <f>IF(SUM(EV11:EY11)-EZ11&gt;0,SUM(EV11:EY11)-EZ11,"")</f>
        <v>47.38</v>
      </c>
      <c r="FM11" s="11">
        <f>IF(SUM(FA11:FD11)-FE11&gt;0,SUM(FA11:FD11)-FE11,"")</f>
        <v>23.629999999999995</v>
      </c>
      <c r="FN11" s="11">
        <f>IF(SUM(FL11:FM11)&gt;0,SUM(FL11:FM11),"")</f>
        <v>71.009999999999991</v>
      </c>
      <c r="FO11" s="11" t="str">
        <f>IF(FH11&gt;0,FH11,"")</f>
        <v/>
      </c>
      <c r="FP11" s="11" t="str">
        <f>IF(SUM(FF11:FI11)-FJ11&gt;0,SUM(FF11:FI11)-FJ11,"")</f>
        <v/>
      </c>
      <c r="FQ11" s="11">
        <f>IF(SUM(FN11,FP11)&gt;0,SUM(FN11,FP11),"")</f>
        <v>71.009999999999991</v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7">
        <f>IF($CR11="P",BX11,(BX11+AT11)/2)</f>
        <v>8.4499999999999993</v>
      </c>
      <c r="NI11" s="37">
        <f>IF($CR11="P",BY11,(BY11+AU11)/2)</f>
        <v>4.55</v>
      </c>
      <c r="NJ11" s="37">
        <f>IF($CR11="P",BZ11,(BZ11+AV11)/2)</f>
        <v>1</v>
      </c>
      <c r="NK11" s="37">
        <f>IF($CR11="P",CA11,(CA11+AW11)/2)</f>
        <v>7.19</v>
      </c>
      <c r="NL11" s="37">
        <f>IF($CR11="P",CB11,(CB11+AX11)/2)</f>
        <v>0</v>
      </c>
      <c r="NM11" s="37">
        <f>IF($CR11="P",CC11,(CC11+AY11)/2)</f>
        <v>1.35</v>
      </c>
      <c r="NN11" s="37">
        <f>IF($CR11="P",CD11,(CD11+AZ11)/2)</f>
        <v>0.95</v>
      </c>
      <c r="NO11" s="37">
        <f>IF($CR11="P",CE11,(CE11+BA11)/2)</f>
        <v>1.25</v>
      </c>
      <c r="NP11" s="37">
        <f>IF($CR11="P",CF11,(CF11+BB11)/2)</f>
        <v>1.4850000000000001</v>
      </c>
      <c r="NQ11" s="37">
        <f>IF($CR11="P",CG11,(CG11+BC11)/2)</f>
        <v>0</v>
      </c>
      <c r="NR11" s="37">
        <f>IF($CR11="P",CH11,(CH11+BD11)/2)</f>
        <v>0</v>
      </c>
      <c r="NS11" s="37">
        <f>IF($CR11="P",CI11,(CI11+BE11)/2)</f>
        <v>0</v>
      </c>
      <c r="NT11" s="37">
        <f>IF($CR11="P",CJ11,(CJ11+BF11)/2)</f>
        <v>0</v>
      </c>
      <c r="NU11" s="37">
        <f>IF($CR11="P",CK11,(CK11+BG11)/2)</f>
        <v>0</v>
      </c>
      <c r="NV11" s="37">
        <f>IF($CR11="P",CL11,(CL11+BH11)/2)</f>
        <v>0</v>
      </c>
      <c r="NW11" s="37">
        <f>IF($CR11="P",CM11,(CM11+BI11)/2)</f>
        <v>0</v>
      </c>
      <c r="NX11" s="37">
        <f>IF($CR11="P",CN11,(CN11+BJ11)/2)</f>
        <v>0</v>
      </c>
      <c r="NY11" s="37">
        <f>IF($CR11="P",CO11,(CO11+BK11)/2)</f>
        <v>0</v>
      </c>
      <c r="NZ11" s="37">
        <f>IF($CR11="P",CP11,(CP11+BL11)/2)</f>
        <v>0</v>
      </c>
      <c r="OA11" s="37">
        <f>IF($CR11="P",CQ11,(CQ11+BM11)/2)</f>
        <v>0</v>
      </c>
      <c r="OB11" s="44" t="s">
        <v>46</v>
      </c>
      <c r="OC11" s="11">
        <f>IF(SUM(NH11:NK11)-NL11&gt;0,SUM(NH11:NK11)-NL11,"")</f>
        <v>21.19</v>
      </c>
      <c r="OD11" s="11">
        <f>IF(NO11&gt;0,NO11,"")</f>
        <v>1.25</v>
      </c>
      <c r="OE11" s="11">
        <f>IF(SUM(NM11:NP11)-NQ11&gt;0,SUM(NM11:NP11)-NQ11,"")</f>
        <v>5.0350000000000001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26.225000000000001</v>
      </c>
      <c r="OI11" s="11" t="str">
        <f>IF(NY11&gt;0,NY11,"")</f>
        <v/>
      </c>
      <c r="OJ11" s="11" t="str">
        <f t="shared" ref="OJ11" si="8">IF(SUM(NW11:NZ11)-OA11&gt;0,SUM(NW11:NZ11)-OA11,"")</f>
        <v/>
      </c>
      <c r="OK11" s="11">
        <f t="shared" ref="OK11" si="9">IF(SUM(OH11,OJ11)&gt;0,SUM(OH11,OJ11),"")</f>
        <v>26.225000000000001</v>
      </c>
    </row>
    <row r="12" spans="1:401" x14ac:dyDescent="0.2">
      <c r="A12" s="5" t="str" cm="1">
        <f t="array" ref="A12">IF(AND(F12="P",G12="P"),SUMPRODUCT((F$4:F$33="P")*(G$4:G$33="P")*(E$4:E$33&gt;E12))+1,IF(G12="P",SUMPRODUCT((F$4:F$33="")*(G$4:G$33="P")*(E$4:E$33&gt;E12))+1+SUMPRODUCT((F$4:F$33="P")*(G$4:G$33="P")),""))</f>
        <v/>
      </c>
      <c r="B12" s="8" t="s">
        <v>103</v>
      </c>
      <c r="C12" s="4" t="s">
        <v>6</v>
      </c>
      <c r="D12" s="21">
        <v>2004</v>
      </c>
      <c r="E12" s="15">
        <f>SUM(I12:M12)</f>
        <v>94.4</v>
      </c>
      <c r="F12" s="3" t="str">
        <f>IF(OR(AND(AL12&gt;=AS$35,AM12&gt;=AS$39,AL12&lt;&gt;"",AJ12=""),AND(AN12&gt;=AS$35,AO12&gt;=AS$39,AN12&lt;&gt;"",AN12=""),AND(AQ12&gt;=AS$35,AR12&gt;=AS$39,AQ12&lt;&gt;"",AJ12=""),AND(BP12&gt;=BW$35,BQ12&gt;=BW$39,BP12&lt;&gt;"",BN12=""),AND(BR12&gt;=BW$35,BS12&gt;=BW$39,BR12&lt;&gt;"",BN12=""),AND(BU12&gt;=BW$35,BV12&gt;=BW$39,BU12&lt;&gt;"",BN12=""),AND(CT12&gt;=DA$35,CU12&gt;=DA$39,CT12&lt;&gt;"",CR12=""),AND(CV12&gt;=DA$35,CW12&gt;=DA$39,CV12&lt;&gt;"",CR12=""),AND(CY12&gt;=DA$35,CZ12&gt;=DA$39,CY12&lt;&gt;"",CR12=""),AND(DS12&gt;=DY$35,DU12&gt;=DY$39,DS12&lt;&gt;""),AND(DW12&gt;=DY$35,DX12&gt;=DY$39,DW12&lt;&gt;""),AND(EO12&gt;=EU$35,EQ12&gt;=EU$39,EO12&lt;&gt;""),AND(ES12&gt;=EU$35,ET12&gt;=EU$39,ES12&lt;&gt;""),AND(FK12&gt;=FQ$35,FM12&gt;=FQ$39,FK12&lt;&gt;""),AND(FO12&gt;=FQ$35,FP12&gt;=FQ$39,FO12&lt;&gt;""),AND(GG12&gt;=GM$35,GI12&gt;=GM$39,GG12&lt;&gt;""),AND(GK12&gt;=GM$35,GL12&gt;=GM$39,GK12&lt;&gt;""),AND(HC12&gt;=HI$35,HE12&gt;=HI$39,HC12&lt;&gt;""),AND(HG12&gt;=HI$35,HH12&gt;=HI$39,HG12&lt;&gt;""),AND(HY12&gt;=IE$35,IA12&gt;=IE$39,HY12&lt;&gt;""),AND(IC12&gt;=IE$35,ID12&gt;=IE$39,IC12&lt;&gt;""),AND(IU12&gt;=JA$35,IW12&gt;=JA$39,IU12&lt;&gt;""),AND(IY12&gt;=JA$35,IZ12&gt;=JA$39,IY12&lt;&gt;""),AND(JQ12&gt;=JW$35,JS12&gt;=JW$39,JQ12&lt;&gt;""),AND(JU12&gt;=JW$35,JV12&gt;=JW$39,JU12&lt;&gt;""),AND(KM12&gt;=KS$35,KO12&gt;=KS$39,KM12&lt;&gt;""),AND(KQ12&gt;=KS$35,KR12&gt;=KS$39,KQ12&lt;&gt;""),AND(LI12&gt;=LO$35,LK12&gt;=LO$39,LI12&lt;&gt;""),AND(LM12&gt;=LO$35,LN12&gt;=LO$39,LM12&lt;&gt;""),AND(ME12&gt;=MK$35,MG12&gt;=MK$39,ME12&lt;&gt;""),AND(MI12&gt;=MK$35,MJ12&gt;=MK$39,MI12&lt;&gt;""),AND(NA12&gt;=NG$35,NC12&gt;=NG$39,NA12&lt;&gt;""),AND(NE12&gt;=NG$35,NF12&gt;=NG$39,NE12&lt;&gt;"")),"P","")</f>
        <v/>
      </c>
      <c r="G12" s="3" t="str">
        <f>IF(OR(AND(AM12&gt;=AS$39,AL12&lt;&gt;"",AJ12=""),AND(AO12&gt;=AS$39,AN12&lt;&gt;"",AN12=""),AND(AR12&gt;=AS$39,AQ12&lt;&gt;"",AJ12=""),AND(BQ12&gt;=BW$39,BP12&lt;&gt;"",BN12=""),AND(BS12&gt;=BW$39,BR12&lt;&gt;"",BN12=""),AND(BV12&gt;=BW$39,BU12&lt;&gt;"",BN12=""),AND(CU12&gt;=DA$39,CT12&lt;&gt;"",CR12=""),AND(CW12&gt;=DA$39,CV12&lt;&gt;"",CR12=""),AND(CZ12&gt;=DA$39,CY12&lt;&gt;"",CR12=""),AND(DU12&gt;=DY$39,DS12&lt;&gt;""),AND(DX12&gt;=DY$39,DW12&lt;&gt;""),AND(EQ12&gt;=EU$39,EO12&lt;&gt;""),AND(ET12&gt;=EU$39,ES12&lt;&gt;""),AND(FM12&gt;=FQ$39,FK12&lt;&gt;""),AND(FP12&gt;=FQ$39,FO12&lt;&gt;""),AND(GI12&gt;=GM$39,GG12&lt;&gt;""),AND(GL12&gt;=GM$39,GK12&lt;&gt;""),AND(HE12&gt;=HI$39,HC12&lt;&gt;""),AND(HH12&gt;=HI$39,HG12&lt;&gt;""),AND(IA12&gt;=IE$39,HY12&lt;&gt;""),AND(ID12&gt;=IE$39,IC12&lt;&gt;""),AND(IW12&gt;=JA$39,IU12&lt;&gt;""),AND(IZ12&gt;=JA$39,IY12&lt;&gt;""),AND(JS12&gt;=JW$39,JQ12&lt;&gt;""),AND(JV12&gt;=JW$39,JU12&lt;&gt;""),AND(KO12&gt;=KS$39,KM12&lt;&gt;""),AND(KR12&gt;=KS$39,KQ12&lt;&gt;""),AND(LK12&gt;=LO$39,LI12&lt;&gt;""),AND(LN12&gt;=LO$39,LM12&lt;&gt;""),AND(MG12&gt;=MK$39,ME12&lt;&gt;""),AND(MJ12&gt;=MK$39,MI12&lt;&gt;""),AND(NC12&gt;=NG$39,NA12&lt;&gt;""),AND(NF12&gt;=NG$39,NE12&lt;&gt;"")),"P","")</f>
        <v/>
      </c>
      <c r="H12" s="66" t="str">
        <f>IF(F12="P","National Team",IF(G12="P","No DD",""))</f>
        <v/>
      </c>
      <c r="I12" s="14">
        <f>MAX(AM12,AO12,AR12,BQ12,BS12,BV12,CU12,CW12,CZ12)</f>
        <v>47.86</v>
      </c>
      <c r="J12" s="14" t="str">
        <f>IF(I12=0,"",IF(OR(I12=CW12,I12=CU12,I12=CZ12),$BX$1,IF(OR(I12=BS12,I12=BQ12,I12=BV12),$AT$1,IF(OR(I12=AO12,I12=AM12,I12=AR12),$P$1,""))))</f>
        <v>2022 Nationals</v>
      </c>
      <c r="K12" s="14">
        <f>IF(COUNT(AM12,AO12,AR12,BQ12,BS12,BV12,CU12,CW12,CZ12)&gt;1,LARGE((AM12,AO12,AR12,BQ12,BS12,BV12,CU12,CW12,CZ12),2),0)</f>
        <v>46.54</v>
      </c>
      <c r="L12" s="14" t="str">
        <f>IF(K12=0,"",IF(OR(K12=CW12,K12=CU12,K12=CZ12),$BX$1,IF(OR(K12=BS12,K12=BQ12,K12=BV12),$AT$1,IF(OR(K12=AO12,K12=AM12,K12=AR12),$P$1,""))))</f>
        <v>2022 Nationals</v>
      </c>
      <c r="M12" s="14" t="str">
        <f>IF(MAX(DB12,DC12)&gt;0,MAX(DB12,DC12),"")</f>
        <v/>
      </c>
      <c r="N12" s="19" t="str">
        <f>IF(M12="","",IF(M12=DB12,"(Prelim)",IF(M12=DC12,"(Final)")))</f>
        <v/>
      </c>
      <c r="O12" s="14" t="str">
        <f>IF(M12="","",IF(M12=DB12,IF(M12+IF(K12="",0,K12)=NC12,$ML$1,IF(M12+IF(K12="",0,K12)=MG12,$LP$1,IF(M12+IF(K12="",0,K12)=LK12,$KT$1,IF(M12+IF(K12="",0,K12)=KO12,$JX$1,IF(M12+IF(K12="",0,K12)=JS12,$JB$1,IF(M12+IF(K12="",0,K12)=IW12,$IF$1,IF(M12+IF(K12="",0,K12)=IA12,$HJ$1,IF(M12+IF(K12="",0,K12)=HE12,$GN$1,IF(M12+IF(K12="",0,K12)=GI12,$FR$1,IF(M12+IF(K12="",0,K12)=FM12,$EV$1,IF(M12+IF(K12="",0,K12)=EQ12,$DZ$1,IF(M12+IF(K12="",0,K12)=DU12,$DD$1,IF(M12+IF(K12="",0,K12)=NB12,$ML$1,IF(M12+IF(K12="",0,K12)=MF12,$LP$1,IF(M12+IF(K12="",0,K12)=LJ12,$KT$1,IF(M12+IF(K12="",0,K12)=KN12,$JX$1,IF(M12+IF(K12="",0,K12)=JR12,$JB$1,IF(M12+IF(K12="",0,K12)=IV12,$IF$1,IF(M12+IF(K12="",0,K12)=HZ12,$HJ$1,IF(M12+IF(K12="",0,K12)=HD12,$GN$1,IF(M12+IF(K12="",0,K12)=GH12,$FR$1,IF(M12+IF(K12="",0,K12)=FL12,$EV$1,IF(M12+IF(K12="",0,K12)=EP12,$DZ$1,IF(M12+IF(K12="",0,K12)=DT12,$DD$1))))))))))))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</f>
        <v/>
      </c>
      <c r="P12" s="37">
        <v>14.8</v>
      </c>
      <c r="Q12" s="37">
        <v>9.1999999999999993</v>
      </c>
      <c r="R12" s="37">
        <v>2.9</v>
      </c>
      <c r="S12" s="37">
        <v>13.97</v>
      </c>
      <c r="T12" s="37">
        <v>2</v>
      </c>
      <c r="U12" s="37">
        <v>13.6</v>
      </c>
      <c r="V12" s="37">
        <v>9.1999999999999993</v>
      </c>
      <c r="W12" s="37">
        <v>9.8000000000000007</v>
      </c>
      <c r="X12" s="37">
        <v>13.69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>IF(SUM(P12:S12)-T12&gt;0,SUM(P12:S12)-T12,"")</f>
        <v>38.869999999999997</v>
      </c>
      <c r="AL12" s="11">
        <f>IF(W12&gt;0,W12,"")</f>
        <v>9.8000000000000007</v>
      </c>
      <c r="AM12" s="11">
        <f>IF(SUM(U12:X12)-Y12&gt;0,SUM(U12:X12)-Y12,"")</f>
        <v>46.289999999999992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85.16</v>
      </c>
      <c r="AQ12" s="11" t="str">
        <f>IF(AG12&gt;0,AG12,"")</f>
        <v/>
      </c>
      <c r="AR12" s="11" t="str">
        <f>IF(SUM(AE12:AH12)-AI12&gt;0,SUM(AE12:AH12)-AI12,"")</f>
        <v/>
      </c>
      <c r="AS12" s="11">
        <f>IF(SUM(AP12,AR12)&gt;0,SUM(AP12,AR12),"")</f>
        <v>85.16</v>
      </c>
      <c r="AT12" s="41">
        <v>16.8</v>
      </c>
      <c r="AU12" s="41">
        <v>9.4</v>
      </c>
      <c r="AV12" s="41">
        <v>2.2000000000000002</v>
      </c>
      <c r="AW12" s="41">
        <v>13.79</v>
      </c>
      <c r="AX12" s="41">
        <v>0</v>
      </c>
      <c r="AY12" s="41">
        <v>14.4</v>
      </c>
      <c r="AZ12" s="41">
        <v>9.1999999999999993</v>
      </c>
      <c r="BA12" s="41">
        <v>10</v>
      </c>
      <c r="BB12" s="41">
        <v>12.94</v>
      </c>
      <c r="BC12" s="41">
        <v>0</v>
      </c>
      <c r="BD12" s="41"/>
      <c r="BE12" s="41"/>
      <c r="BF12" s="41"/>
      <c r="BG12" s="41"/>
      <c r="BH12" s="41"/>
      <c r="BI12" s="41">
        <v>15.4</v>
      </c>
      <c r="BJ12" s="41">
        <v>9.3000000000000007</v>
      </c>
      <c r="BK12" s="41">
        <v>10</v>
      </c>
      <c r="BL12" s="41">
        <v>13.16</v>
      </c>
      <c r="BM12" s="41">
        <v>0</v>
      </c>
      <c r="BN12" s="45"/>
      <c r="BO12" s="14">
        <f>IF(SUM(AT12:AW12)-AX12&gt;0,SUM(AT12:AW12)-AX12,"")</f>
        <v>42.19</v>
      </c>
      <c r="BP12" s="14">
        <f>IF(BA12&gt;0,BA12,"")</f>
        <v>10</v>
      </c>
      <c r="BQ12" s="14">
        <f>IF(SUM(AY12:BB12)-BC12&gt;0,SUM(AY12:BB12)-BC12,"")</f>
        <v>46.54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88.72999999999999</v>
      </c>
      <c r="BU12" s="14">
        <f>IF(BK12&gt;0,BK12,"")</f>
        <v>10</v>
      </c>
      <c r="BV12" s="14">
        <f>IF(SUM(BI12:BL12)-BM12&gt;0,SUM(BI12:BL12)-BM12,"")</f>
        <v>47.86</v>
      </c>
      <c r="BW12" s="14">
        <f>IF(SUM(BT12,BV12)&gt;0,SUM(BT12,BV12),"")</f>
        <v>136.58999999999997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8" t="str">
        <f>IF(K12&gt;=0.001,IF(MAX(DT12,DU12,EP12,EQ12,FL12,FM12,GH12,GI12,HD12,HE12,HZ12,IA12,IV12,IW12,JR12,JS12,KN12,KO12,LJ12,LK12,MF12,MG12,NB12,NC12)-IF(K12="",0,K12)&gt;0.001,MAX(DT12,DU12,EP12,EQ12,FL12,FM12,GH12,GI12,HD12,HE12,HZ12,IA12,IV12,IW12,JR12,JS12,KN12,KO12,LJ12,LK12,MF12,MG12,NB12,NC12)-IF(K12="",0,K12),""),"")</f>
        <v/>
      </c>
      <c r="DC12" s="18" t="str">
        <f>IF(K12&gt;=0.001,IF(MAX(DX12,ET12,FP12,GL12,HH12,ID12,IZ12,JV12,KR12,LN12,MJ12,NF12)-IF(K12="",0,K12)&gt;0.001,MAX(DX12,ET12,FP12,GL12,HH12,ID12,IZ12,JV12,KR12,LN12,MJ12,NF12)-IF(K12="",0,K12),""),"")</f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7">
        <f>IF($CR12="P",BX12,(BX12+AT12)/2)</f>
        <v>8.4</v>
      </c>
      <c r="NI12" s="37">
        <f>IF($CR12="P",BY12,(BY12+AU12)/2)</f>
        <v>4.7</v>
      </c>
      <c r="NJ12" s="37">
        <f>IF($CR12="P",BZ12,(BZ12+AV12)/2)</f>
        <v>1.1000000000000001</v>
      </c>
      <c r="NK12" s="37">
        <f>IF($CR12="P",CA12,(CA12+AW12)/2)</f>
        <v>6.8949999999999996</v>
      </c>
      <c r="NL12" s="37">
        <f>IF($CR12="P",CB12,(CB12+AX12)/2)</f>
        <v>0</v>
      </c>
      <c r="NM12" s="37">
        <f>IF($CR12="P",CC12,(CC12+AY12)/2)</f>
        <v>7.2</v>
      </c>
      <c r="NN12" s="37">
        <f>IF($CR12="P",CD12,(CD12+AZ12)/2)</f>
        <v>4.5999999999999996</v>
      </c>
      <c r="NO12" s="37">
        <f>IF($CR12="P",CE12,(CE12+BA12)/2)</f>
        <v>5</v>
      </c>
      <c r="NP12" s="37">
        <f>IF($CR12="P",CF12,(CF12+BB12)/2)</f>
        <v>6.47</v>
      </c>
      <c r="NQ12" s="37">
        <f>IF($CR12="P",CG12,(CG12+BC12)/2)</f>
        <v>0</v>
      </c>
      <c r="NR12" s="37">
        <f>IF($CR12="P",CH12,(CH12+BD12)/2)</f>
        <v>0</v>
      </c>
      <c r="NS12" s="37">
        <f>IF($CR12="P",CI12,(CI12+BE12)/2)</f>
        <v>0</v>
      </c>
      <c r="NT12" s="37">
        <f>IF($CR12="P",CJ12,(CJ12+BF12)/2)</f>
        <v>0</v>
      </c>
      <c r="NU12" s="37">
        <f>IF($CR12="P",CK12,(CK12+BG12)/2)</f>
        <v>0</v>
      </c>
      <c r="NV12" s="37">
        <f>IF($CR12="P",CL12,(CL12+BH12)/2)</f>
        <v>0</v>
      </c>
      <c r="NW12" s="37">
        <f>IF($CR12="P",CM12,(CM12+BI12)/2)</f>
        <v>7.7</v>
      </c>
      <c r="NX12" s="37">
        <f>IF($CR12="P",CN12,(CN12+BJ12)/2)</f>
        <v>4.6500000000000004</v>
      </c>
      <c r="NY12" s="37">
        <f>IF($CR12="P",CO12,(CO12+BK12)/2)</f>
        <v>5</v>
      </c>
      <c r="NZ12" s="37">
        <f>IF($CR12="P",CP12,(CP12+BL12)/2)</f>
        <v>6.58</v>
      </c>
      <c r="OA12" s="37">
        <f>IF($CR12="P",CQ12,(CQ12+BM12)/2)</f>
        <v>0</v>
      </c>
      <c r="OB12" s="44" t="s">
        <v>46</v>
      </c>
      <c r="OC12" s="11">
        <f>IF(SUM(NH12:NK12)-NL12&gt;0,SUM(NH12:NK12)-NL12,"")</f>
        <v>21.094999999999999</v>
      </c>
      <c r="OD12" s="11">
        <f>IF(NO12&gt;0,NO12,"")</f>
        <v>5</v>
      </c>
      <c r="OE12" s="11">
        <f>IF(SUM(NM12:NP12)-NQ12&gt;0,SUM(NM12:NP12)-NQ12,"")</f>
        <v>23.27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44.364999999999995</v>
      </c>
      <c r="OI12" s="11">
        <f>IF(NY12&gt;0,NY12,"")</f>
        <v>5</v>
      </c>
      <c r="OJ12" s="11">
        <f t="shared" ref="OJ12" si="10">IF(SUM(NW12:NZ12)-OA12&gt;0,SUM(NW12:NZ12)-OA12,"")</f>
        <v>23.93</v>
      </c>
      <c r="OK12" s="11">
        <f t="shared" ref="OK12" si="11">IF(SUM(OH12,OJ12)&gt;0,SUM(OH12,OJ12),"")</f>
        <v>68.294999999999987</v>
      </c>
    </row>
    <row r="13" spans="1:401" x14ac:dyDescent="0.2">
      <c r="A13" s="5" t="str" cm="1">
        <f t="array" ref="A13">IF(AND(F13="P",G13="P"),SUMPRODUCT((F$4:F$33="P")*(G$4:G$33="P")*(E$4:E$33&gt;E13))+1,IF(G13="P",SUMPRODUCT((F$4:F$33="")*(G$4:G$33="P")*(E$4:E$33&gt;E13))+1+SUMPRODUCT((F$4:F$33="P")*(G$4:G$33="P")),""))</f>
        <v/>
      </c>
      <c r="B13" s="8" t="s">
        <v>150</v>
      </c>
      <c r="C13" s="4" t="s">
        <v>3</v>
      </c>
      <c r="D13" s="21">
        <v>2004</v>
      </c>
      <c r="E13" s="15">
        <f>SUM(I13:M13)</f>
        <v>94.06</v>
      </c>
      <c r="F13" s="3" t="str">
        <f>IF(OR(AND(AL13&gt;=AS$35,AM13&gt;=AS$39,AL13&lt;&gt;"",AJ13=""),AND(AN13&gt;=AS$35,AO13&gt;=AS$39,AN13&lt;&gt;"",AN13=""),AND(AQ13&gt;=AS$35,AR13&gt;=AS$39,AQ13&lt;&gt;"",AJ13=""),AND(BP13&gt;=BW$35,BQ13&gt;=BW$39,BP13&lt;&gt;"",BN13=""),AND(BR13&gt;=BW$35,BS13&gt;=BW$39,BR13&lt;&gt;"",BN13=""),AND(BU13&gt;=BW$35,BV13&gt;=BW$39,BU13&lt;&gt;"",BN13=""),AND(CT13&gt;=DA$35,CU13&gt;=DA$39,CT13&lt;&gt;"",CR13=""),AND(CV13&gt;=DA$35,CW13&gt;=DA$39,CV13&lt;&gt;"",CR13=""),AND(CY13&gt;=DA$35,CZ13&gt;=DA$39,CY13&lt;&gt;"",CR13=""),AND(DS13&gt;=DY$35,DU13&gt;=DY$39,DS13&lt;&gt;""),AND(DW13&gt;=DY$35,DX13&gt;=DY$39,DW13&lt;&gt;""),AND(EO13&gt;=EU$35,EQ13&gt;=EU$39,EO13&lt;&gt;""),AND(ES13&gt;=EU$35,ET13&gt;=EU$39,ES13&lt;&gt;""),AND(FK13&gt;=FQ$35,FM13&gt;=FQ$39,FK13&lt;&gt;""),AND(FO13&gt;=FQ$35,FP13&gt;=FQ$39,FO13&lt;&gt;""),AND(GG13&gt;=GM$35,GI13&gt;=GM$39,GG13&lt;&gt;""),AND(GK13&gt;=GM$35,GL13&gt;=GM$39,GK13&lt;&gt;""),AND(HC13&gt;=HI$35,HE13&gt;=HI$39,HC13&lt;&gt;""),AND(HG13&gt;=HI$35,HH13&gt;=HI$39,HG13&lt;&gt;""),AND(HY13&gt;=IE$35,IA13&gt;=IE$39,HY13&lt;&gt;""),AND(IC13&gt;=IE$35,ID13&gt;=IE$39,IC13&lt;&gt;""),AND(IU13&gt;=JA$35,IW13&gt;=JA$39,IU13&lt;&gt;""),AND(IY13&gt;=JA$35,IZ13&gt;=JA$39,IY13&lt;&gt;""),AND(JQ13&gt;=JW$35,JS13&gt;=JW$39,JQ13&lt;&gt;""),AND(JU13&gt;=JW$35,JV13&gt;=JW$39,JU13&lt;&gt;""),AND(KM13&gt;=KS$35,KO13&gt;=KS$39,KM13&lt;&gt;""),AND(KQ13&gt;=KS$35,KR13&gt;=KS$39,KQ13&lt;&gt;""),AND(LI13&gt;=LO$35,LK13&gt;=LO$39,LI13&lt;&gt;""),AND(LM13&gt;=LO$35,LN13&gt;=LO$39,LM13&lt;&gt;""),AND(ME13&gt;=MK$35,MG13&gt;=MK$39,ME13&lt;&gt;""),AND(MI13&gt;=MK$35,MJ13&gt;=MK$39,MI13&lt;&gt;""),AND(NA13&gt;=NG$35,NC13&gt;=NG$39,NA13&lt;&gt;""),AND(NE13&gt;=NG$35,NF13&gt;=NG$39,NE13&lt;&gt;"")),"P","")</f>
        <v/>
      </c>
      <c r="G13" s="3" t="str">
        <f>IF(OR(AND(AM13&gt;=AS$39,AL13&lt;&gt;"",AJ13=""),AND(AO13&gt;=AS$39,AN13&lt;&gt;"",AN13=""),AND(AR13&gt;=AS$39,AQ13&lt;&gt;"",AJ13=""),AND(BQ13&gt;=BW$39,BP13&lt;&gt;"",BN13=""),AND(BS13&gt;=BW$39,BR13&lt;&gt;"",BN13=""),AND(BV13&gt;=BW$39,BU13&lt;&gt;"",BN13=""),AND(CU13&gt;=DA$39,CT13&lt;&gt;"",CR13=""),AND(CW13&gt;=DA$39,CV13&lt;&gt;"",CR13=""),AND(CZ13&gt;=DA$39,CY13&lt;&gt;"",CR13=""),AND(DU13&gt;=DY$39,DS13&lt;&gt;""),AND(DX13&gt;=DY$39,DW13&lt;&gt;""),AND(EQ13&gt;=EU$39,EO13&lt;&gt;""),AND(ET13&gt;=EU$39,ES13&lt;&gt;""),AND(FM13&gt;=FQ$39,FK13&lt;&gt;""),AND(FP13&gt;=FQ$39,FO13&lt;&gt;""),AND(GI13&gt;=GM$39,GG13&lt;&gt;""),AND(GL13&gt;=GM$39,GK13&lt;&gt;""),AND(HE13&gt;=HI$39,HC13&lt;&gt;""),AND(HH13&gt;=HI$39,HG13&lt;&gt;""),AND(IA13&gt;=IE$39,HY13&lt;&gt;""),AND(ID13&gt;=IE$39,IC13&lt;&gt;""),AND(IW13&gt;=JA$39,IU13&lt;&gt;""),AND(IZ13&gt;=JA$39,IY13&lt;&gt;""),AND(JS13&gt;=JW$39,JQ13&lt;&gt;""),AND(JV13&gt;=JW$39,JU13&lt;&gt;""),AND(KO13&gt;=KS$39,KM13&lt;&gt;""),AND(KR13&gt;=KS$39,KQ13&lt;&gt;""),AND(LK13&gt;=LO$39,LI13&lt;&gt;""),AND(LN13&gt;=LO$39,LM13&lt;&gt;""),AND(MG13&gt;=MK$39,ME13&lt;&gt;""),AND(MJ13&gt;=MK$39,MI13&lt;&gt;""),AND(NC13&gt;=NG$39,NA13&lt;&gt;""),AND(NF13&gt;=NG$39,NE13&lt;&gt;"")),"P","")</f>
        <v/>
      </c>
      <c r="H13" s="66" t="str">
        <f>IF(F13="P","National Team",IF(G13="P","No DD",""))</f>
        <v/>
      </c>
      <c r="I13" s="14">
        <f>MAX(AM13,AO13,AR13,BQ13,BS13,BV13,CU13,CW13,CZ13)</f>
        <v>47.39</v>
      </c>
      <c r="J13" s="14" t="str">
        <f>IF(I13=0,"",IF(OR(I13=CW13,I13=CU13,I13=CZ13),$BX$1,IF(OR(I13=BS13,I13=BQ13,I13=BV13),$AT$1,IF(OR(I13=AO13,I13=AM13,I13=AR13),$P$1,""))))</f>
        <v>2022 Nationals</v>
      </c>
      <c r="K13" s="14">
        <f>IF(COUNT(AM13,AO13,AR13,BQ13,BS13,BV13,CU13,CW13,CZ13)&gt;1,LARGE((AM13,AO13,AR13,BQ13,BS13,BV13,CU13,CW13,CZ13),2),0)</f>
        <v>46.67</v>
      </c>
      <c r="L13" s="14" t="str">
        <f>IF(K13=0,"",IF(OR(K13=CW13,K13=CU13,K13=CZ13),$BX$1,IF(OR(K13=BS13,K13=BQ13,K13=BV13),$AT$1,IF(OR(K13=AO13,K13=AM13,K13=AR13),$P$1,""))))</f>
        <v>2022 Nationals</v>
      </c>
      <c r="M13" s="14" t="str">
        <f>IF(MAX(DB13,DC13)&gt;0,MAX(DB13,DC13),"")</f>
        <v/>
      </c>
      <c r="N13" s="19" t="str">
        <f>IF(M13="","",IF(M13=DB13,"(Prelim)",IF(M13=DC13,"(Final)")))</f>
        <v/>
      </c>
      <c r="O13" s="14" t="str">
        <f>IF(M13="","",IF(M13=DB13,IF(M13+IF(K13="",0,K13)=NC13,$ML$1,IF(M13+IF(K13="",0,K13)=MG13,$LP$1,IF(M13+IF(K13="",0,K13)=LK13,$KT$1,IF(M13+IF(K13="",0,K13)=KO13,$JX$1,IF(M13+IF(K13="",0,K13)=JS13,$JB$1,IF(M13+IF(K13="",0,K13)=IW13,$IF$1,IF(M13+IF(K13="",0,K13)=IA13,$HJ$1,IF(M13+IF(K13="",0,K13)=HE13,$GN$1,IF(M13+IF(K13="",0,K13)=GI13,$FR$1,IF(M13+IF(K13="",0,K13)=FM13,$EV$1,IF(M13+IF(K13="",0,K13)=EQ13,$DZ$1,IF(M13+IF(K13="",0,K13)=DU13,$DD$1,IF(M13+IF(K13="",0,K13)=NB13,$ML$1,IF(M13+IF(K13="",0,K13)=MF13,$LP$1,IF(M13+IF(K13="",0,K13)=LJ13,$KT$1,IF(M13+IF(K13="",0,K13)=KN13,$JX$1,IF(M13+IF(K13="",0,K13)=JR13,$JB$1,IF(M13+IF(K13="",0,K13)=IV13,$IF$1,IF(M13+IF(K13="",0,K13)=HZ13,$HJ$1,IF(M13+IF(K13="",0,K13)=HD13,$GN$1,IF(M13+IF(K13="",0,K13)=GH13,$FR$1,IF(M13+IF(K13="",0,K13)=FL13,$EV$1,IF(M13+IF(K13="",0,K13)=EP13,$DZ$1,IF(M13+IF(K13="",0,K13)=DT13,$DD$1))))))))))))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</f>
        <v/>
      </c>
      <c r="P13" s="37">
        <v>16.3</v>
      </c>
      <c r="Q13" s="37">
        <v>9.6</v>
      </c>
      <c r="R13" s="37">
        <v>1.5</v>
      </c>
      <c r="S13" s="37">
        <v>14.6</v>
      </c>
      <c r="T13" s="37">
        <v>0</v>
      </c>
      <c r="U13" s="37">
        <v>13</v>
      </c>
      <c r="V13" s="37">
        <v>8</v>
      </c>
      <c r="W13" s="37">
        <v>8.3000000000000007</v>
      </c>
      <c r="X13" s="37">
        <v>12.98</v>
      </c>
      <c r="Y13" s="37">
        <v>0.5</v>
      </c>
      <c r="Z13" s="37"/>
      <c r="AA13" s="37"/>
      <c r="AB13" s="37"/>
      <c r="AC13" s="37"/>
      <c r="AD13" s="37"/>
      <c r="AE13" s="37">
        <v>0</v>
      </c>
      <c r="AF13" s="37">
        <v>0</v>
      </c>
      <c r="AG13" s="37">
        <v>0</v>
      </c>
      <c r="AH13" s="37">
        <v>0</v>
      </c>
      <c r="AI13" s="37">
        <v>0</v>
      </c>
      <c r="AJ13" s="44"/>
      <c r="AK13" s="11">
        <f>IF(SUM(P13:S13)-T13&gt;0,SUM(P13:S13)-T13,"")</f>
        <v>42</v>
      </c>
      <c r="AL13" s="11">
        <f>IF(W13&gt;0,W13,"")</f>
        <v>8.3000000000000007</v>
      </c>
      <c r="AM13" s="11">
        <f>IF(SUM(U13:X13)-Y13&gt;0,SUM(U13:X13)-Y13,"")</f>
        <v>41.78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83.78</v>
      </c>
      <c r="AQ13" s="11" t="str">
        <f>IF(AG13&gt;0,AG13,"")</f>
        <v/>
      </c>
      <c r="AR13" s="11" t="str">
        <f>IF(SUM(AE13:AH13)-AI13&gt;0,SUM(AE13:AH13)-AI13,"")</f>
        <v/>
      </c>
      <c r="AS13" s="11">
        <f>IF(SUM(AP13,AR13)&gt;0,SUM(AP13,AR13),"")</f>
        <v>83.78</v>
      </c>
      <c r="AT13" s="41">
        <v>16.100000000000001</v>
      </c>
      <c r="AU13" s="41">
        <v>9.5</v>
      </c>
      <c r="AV13" s="41">
        <v>1.5</v>
      </c>
      <c r="AW13" s="41">
        <v>13.75</v>
      </c>
      <c r="AX13" s="41">
        <v>0</v>
      </c>
      <c r="AY13" s="41">
        <v>14.3</v>
      </c>
      <c r="AZ13" s="41">
        <v>9.1999999999999993</v>
      </c>
      <c r="BA13" s="41">
        <v>9.4</v>
      </c>
      <c r="BB13" s="41">
        <v>13.77</v>
      </c>
      <c r="BC13" s="41">
        <v>0</v>
      </c>
      <c r="BD13" s="41"/>
      <c r="BE13" s="41"/>
      <c r="BF13" s="41"/>
      <c r="BG13" s="41"/>
      <c r="BH13" s="41"/>
      <c r="BI13" s="41">
        <v>14.8</v>
      </c>
      <c r="BJ13" s="41">
        <v>9.5</v>
      </c>
      <c r="BK13" s="41">
        <v>9.4</v>
      </c>
      <c r="BL13" s="41">
        <v>13.69</v>
      </c>
      <c r="BM13" s="41">
        <v>0</v>
      </c>
      <c r="BN13" s="45"/>
      <c r="BO13" s="14">
        <f>IF(SUM(AT13:AW13)-AX13&gt;0,SUM(AT13:AW13)-AX13,"")</f>
        <v>40.85</v>
      </c>
      <c r="BP13" s="14">
        <f>IF(BA13&gt;0,BA13,"")</f>
        <v>9.4</v>
      </c>
      <c r="BQ13" s="14">
        <f>IF(SUM(AY13:BB13)-BC13&gt;0,SUM(AY13:BB13)-BC13,"")</f>
        <v>46.67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87.52000000000001</v>
      </c>
      <c r="BU13" s="14">
        <f>IF(BK13&gt;0,BK13,"")</f>
        <v>9.4</v>
      </c>
      <c r="BV13" s="14">
        <f>IF(SUM(BI13:BL13)-BM13&gt;0,SUM(BI13:BL13)-BM13,"")</f>
        <v>47.39</v>
      </c>
      <c r="BW13" s="14">
        <f>IF(SUM(BT13,BV13)&gt;0,SUM(BT13,BV13),"")</f>
        <v>134.91000000000003</v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>IF(SUM(BX13:CA13)-CB13&gt;0,SUM(BX13:CA13)-CB13,"")</f>
        <v/>
      </c>
      <c r="CT13" s="11" t="str">
        <f>IF(CE13&gt;0,CE13,"")</f>
        <v/>
      </c>
      <c r="CU13" s="11" t="str">
        <f>IF(SUM(CC13:CF13)-CG13&gt;0,SUM(CC13:CF13)-CG13,"")</f>
        <v/>
      </c>
      <c r="CV13" s="11" t="str">
        <f>IF(CJ13&gt;0,CJ13,"")</f>
        <v/>
      </c>
      <c r="CW13" s="11" t="str">
        <f>IF(SUM(CH13:CK13)-CL13&gt;0,SUM(CH13:CK13)-CL13,"")</f>
        <v/>
      </c>
      <c r="CX13" s="11" t="str">
        <f>IF(CS13="",IF(MAX(CU13,CW13)&gt;0,MAX(CU13,CW13),""),MAX(CU13,CW13)+CS13)</f>
        <v/>
      </c>
      <c r="CY13" s="11" t="str">
        <f>IF(CO13&gt;0,CO13,"")</f>
        <v/>
      </c>
      <c r="CZ13" s="11" t="str">
        <f>IF(SUM(CM13:CP13)-CQ13&gt;0,SUM(CM13:CP13)-CQ13,"")</f>
        <v/>
      </c>
      <c r="DA13" s="11" t="str">
        <f>IF(SUM(CX13,CZ13)&gt;0,SUM(CX13,CZ13),"")</f>
        <v/>
      </c>
      <c r="DB13" s="18" t="str">
        <f>IF(K13&gt;=0.001,IF(MAX(DT13,DU13,EP13,EQ13,FL13,FM13,GH13,GI13,HD13,HE13,HZ13,IA13,IV13,IW13,JR13,JS13,KN13,KO13,LJ13,LK13,MF13,MG13,NB13,NC13)-IF(K13="",0,K13)&gt;0.001,MAX(DT13,DU13,EP13,EQ13,FL13,FM13,GH13,GI13,HD13,HE13,HZ13,IA13,IV13,IW13,JR13,JS13,KN13,KO13,LJ13,LK13,MF13,MG13,NB13,NC13)-IF(K13="",0,K13),""),"")</f>
        <v/>
      </c>
      <c r="DC13" s="18" t="str">
        <f>IF(K13&gt;=0.001,IF(MAX(DX13,ET13,FP13,GL13,HH13,ID13,IZ13,JV13,KR13,LN13,MJ13,NF13)-IF(K13="",0,K13)&gt;0.001,MAX(DX13,ET13,FP13,GL13,HH13,ID13,IZ13,JV13,KR13,LN13,MJ13,NF13)-IF(K13="",0,K13),""),"")</f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7">
        <f>IF($CR13="P",BX13,(BX13+AT13)/2)</f>
        <v>8.0500000000000007</v>
      </c>
      <c r="NI13" s="37">
        <f>IF($CR13="P",BY13,(BY13+AU13)/2)</f>
        <v>4.75</v>
      </c>
      <c r="NJ13" s="37">
        <f>IF($CR13="P",BZ13,(BZ13+AV13)/2)</f>
        <v>0.75</v>
      </c>
      <c r="NK13" s="37">
        <f>IF($CR13="P",CA13,(CA13+AW13)/2)</f>
        <v>6.875</v>
      </c>
      <c r="NL13" s="37">
        <f>IF($CR13="P",CB13,(CB13+AX13)/2)</f>
        <v>0</v>
      </c>
      <c r="NM13" s="37">
        <f>IF($CR13="P",CC13,(CC13+AY13)/2)</f>
        <v>7.15</v>
      </c>
      <c r="NN13" s="37">
        <f>IF($CR13="P",CD13,(CD13+AZ13)/2)</f>
        <v>4.5999999999999996</v>
      </c>
      <c r="NO13" s="37">
        <f>IF($CR13="P",CE13,(CE13+BA13)/2)</f>
        <v>4.7</v>
      </c>
      <c r="NP13" s="37">
        <f>IF($CR13="P",CF13,(CF13+BB13)/2)</f>
        <v>6.8849999999999998</v>
      </c>
      <c r="NQ13" s="37">
        <f>IF($CR13="P",CG13,(CG13+BC13)/2)</f>
        <v>0</v>
      </c>
      <c r="NR13" s="37">
        <f>IF($CR13="P",CH13,(CH13+BD13)/2)</f>
        <v>0</v>
      </c>
      <c r="NS13" s="37">
        <f>IF($CR13="P",CI13,(CI13+BE13)/2)</f>
        <v>0</v>
      </c>
      <c r="NT13" s="37">
        <f>IF($CR13="P",CJ13,(CJ13+BF13)/2)</f>
        <v>0</v>
      </c>
      <c r="NU13" s="37">
        <f>IF($CR13="P",CK13,(CK13+BG13)/2)</f>
        <v>0</v>
      </c>
      <c r="NV13" s="37">
        <f>IF($CR13="P",CL13,(CL13+BH13)/2)</f>
        <v>0</v>
      </c>
      <c r="NW13" s="37">
        <f>IF($CR13="P",CM13,(CM13+BI13)/2)</f>
        <v>7.4</v>
      </c>
      <c r="NX13" s="37">
        <f>IF($CR13="P",CN13,(CN13+BJ13)/2)</f>
        <v>4.75</v>
      </c>
      <c r="NY13" s="37">
        <f>IF($CR13="P",CO13,(CO13+BK13)/2)</f>
        <v>4.7</v>
      </c>
      <c r="NZ13" s="37">
        <f>IF($CR13="P",CP13,(CP13+BL13)/2)</f>
        <v>6.8449999999999998</v>
      </c>
      <c r="OA13" s="37">
        <f>IF($CR13="P",CQ13,(CQ13+BM13)/2)</f>
        <v>0</v>
      </c>
      <c r="OB13" s="44" t="s">
        <v>46</v>
      </c>
      <c r="OC13" s="11">
        <f>IF(SUM(NH13:NK13)-NL13&gt;0,SUM(NH13:NK13)-NL13,"")</f>
        <v>20.425000000000001</v>
      </c>
      <c r="OD13" s="11">
        <f>IF(NO13&gt;0,NO13,"")</f>
        <v>4.7</v>
      </c>
      <c r="OE13" s="11">
        <f>IF(SUM(NM13:NP13)-NQ13&gt;0,SUM(NM13:NP13)-NQ13,"")</f>
        <v>23.335000000000001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43.760000000000005</v>
      </c>
      <c r="OI13" s="11">
        <f>IF(NY13&gt;0,NY13,"")</f>
        <v>4.7</v>
      </c>
      <c r="OJ13" s="11">
        <f t="shared" ref="OJ13" si="12">IF(SUM(NW13:NZ13)-OA13&gt;0,SUM(NW13:NZ13)-OA13,"")</f>
        <v>23.695</v>
      </c>
      <c r="OK13" s="11">
        <f t="shared" ref="OK13" si="13">IF(SUM(OH13,OJ13)&gt;0,SUM(OH13,OJ13),"")</f>
        <v>67.455000000000013</v>
      </c>
    </row>
    <row r="14" spans="1:401" x14ac:dyDescent="0.2">
      <c r="A14" s="5" t="str" cm="1">
        <f t="array" ref="A14">IF(AND(F14="P",G14="P"),SUMPRODUCT((F$4:F$33="P")*(G$4:G$33="P")*(E$4:E$33&gt;E14))+1,IF(G14="P",SUMPRODUCT((F$4:F$33="")*(G$4:G$33="P")*(E$4:E$33&gt;E14))+1+SUMPRODUCT((F$4:F$33="P")*(G$4:G$33="P")),""))</f>
        <v/>
      </c>
      <c r="B14" s="8" t="s">
        <v>132</v>
      </c>
      <c r="C14" s="4" t="s">
        <v>4</v>
      </c>
      <c r="D14" s="21">
        <v>2005</v>
      </c>
      <c r="E14" s="15">
        <f>SUM(I14:M14)</f>
        <v>93.66</v>
      </c>
      <c r="F14" s="3" t="str">
        <f>IF(OR(AND(AL14&gt;=AS$35,AM14&gt;=AS$39,AL14&lt;&gt;"",AJ14=""),AND(AN14&gt;=AS$35,AO14&gt;=AS$39,AN14&lt;&gt;"",AN14=""),AND(AQ14&gt;=AS$35,AR14&gt;=AS$39,AQ14&lt;&gt;"",AJ14=""),AND(BP14&gt;=BW$35,BQ14&gt;=BW$39,BP14&lt;&gt;"",BN14=""),AND(BR14&gt;=BW$35,BS14&gt;=BW$39,BR14&lt;&gt;"",BN14=""),AND(BU14&gt;=BW$35,BV14&gt;=BW$39,BU14&lt;&gt;"",BN14=""),AND(CT14&gt;=DA$35,CU14&gt;=DA$39,CT14&lt;&gt;"",CR14=""),AND(CV14&gt;=DA$35,CW14&gt;=DA$39,CV14&lt;&gt;"",CR14=""),AND(CY14&gt;=DA$35,CZ14&gt;=DA$39,CY14&lt;&gt;"",CR14=""),AND(DS14&gt;=DY$35,DU14&gt;=DY$39,DS14&lt;&gt;""),AND(DW14&gt;=DY$35,DX14&gt;=DY$39,DW14&lt;&gt;""),AND(EO14&gt;=EU$35,EQ14&gt;=EU$39,EO14&lt;&gt;""),AND(ES14&gt;=EU$35,ET14&gt;=EU$39,ES14&lt;&gt;""),AND(FK14&gt;=FQ$35,FM14&gt;=FQ$39,FK14&lt;&gt;""),AND(FO14&gt;=FQ$35,FP14&gt;=FQ$39,FO14&lt;&gt;""),AND(GG14&gt;=GM$35,GI14&gt;=GM$39,GG14&lt;&gt;""),AND(GK14&gt;=GM$35,GL14&gt;=GM$39,GK14&lt;&gt;""),AND(HC14&gt;=HI$35,HE14&gt;=HI$39,HC14&lt;&gt;""),AND(HG14&gt;=HI$35,HH14&gt;=HI$39,HG14&lt;&gt;""),AND(HY14&gt;=IE$35,IA14&gt;=IE$39,HY14&lt;&gt;""),AND(IC14&gt;=IE$35,ID14&gt;=IE$39,IC14&lt;&gt;""),AND(IU14&gt;=JA$35,IW14&gt;=JA$39,IU14&lt;&gt;""),AND(IY14&gt;=JA$35,IZ14&gt;=JA$39,IY14&lt;&gt;""),AND(JQ14&gt;=JW$35,JS14&gt;=JW$39,JQ14&lt;&gt;""),AND(JU14&gt;=JW$35,JV14&gt;=JW$39,JU14&lt;&gt;""),AND(KM14&gt;=KS$35,KO14&gt;=KS$39,KM14&lt;&gt;""),AND(KQ14&gt;=KS$35,KR14&gt;=KS$39,KQ14&lt;&gt;""),AND(LI14&gt;=LO$35,LK14&gt;=LO$39,LI14&lt;&gt;""),AND(LM14&gt;=LO$35,LN14&gt;=LO$39,LM14&lt;&gt;""),AND(ME14&gt;=MK$35,MG14&gt;=MK$39,ME14&lt;&gt;""),AND(MI14&gt;=MK$35,MJ14&gt;=MK$39,MI14&lt;&gt;""),AND(NA14&gt;=NG$35,NC14&gt;=NG$39,NA14&lt;&gt;""),AND(NE14&gt;=NG$35,NF14&gt;=NG$39,NE14&lt;&gt;"")),"P","")</f>
        <v/>
      </c>
      <c r="G14" s="3" t="str">
        <f>IF(OR(AND(AM14&gt;=AS$39,AL14&lt;&gt;"",AJ14=""),AND(AO14&gt;=AS$39,AN14&lt;&gt;"",AN14=""),AND(AR14&gt;=AS$39,AQ14&lt;&gt;"",AJ14=""),AND(BQ14&gt;=BW$39,BP14&lt;&gt;"",BN14=""),AND(BS14&gt;=BW$39,BR14&lt;&gt;"",BN14=""),AND(BV14&gt;=BW$39,BU14&lt;&gt;"",BN14=""),AND(CU14&gt;=DA$39,CT14&lt;&gt;"",CR14=""),AND(CW14&gt;=DA$39,CV14&lt;&gt;"",CR14=""),AND(CZ14&gt;=DA$39,CY14&lt;&gt;"",CR14=""),AND(DU14&gt;=DY$39,DS14&lt;&gt;""),AND(DX14&gt;=DY$39,DW14&lt;&gt;""),AND(EQ14&gt;=EU$39,EO14&lt;&gt;""),AND(ET14&gt;=EU$39,ES14&lt;&gt;""),AND(FM14&gt;=FQ$39,FK14&lt;&gt;""),AND(FP14&gt;=FQ$39,FO14&lt;&gt;""),AND(GI14&gt;=GM$39,GG14&lt;&gt;""),AND(GL14&gt;=GM$39,GK14&lt;&gt;""),AND(HE14&gt;=HI$39,HC14&lt;&gt;""),AND(HH14&gt;=HI$39,HG14&lt;&gt;""),AND(IA14&gt;=IE$39,HY14&lt;&gt;""),AND(ID14&gt;=IE$39,IC14&lt;&gt;""),AND(IW14&gt;=JA$39,IU14&lt;&gt;""),AND(IZ14&gt;=JA$39,IY14&lt;&gt;""),AND(JS14&gt;=JW$39,JQ14&lt;&gt;""),AND(JV14&gt;=JW$39,JU14&lt;&gt;""),AND(KO14&gt;=KS$39,KM14&lt;&gt;""),AND(KR14&gt;=KS$39,KQ14&lt;&gt;""),AND(LK14&gt;=LO$39,LI14&lt;&gt;""),AND(LN14&gt;=LO$39,LM14&lt;&gt;""),AND(MG14&gt;=MK$39,ME14&lt;&gt;""),AND(MJ14&gt;=MK$39,MI14&lt;&gt;""),AND(NC14&gt;=NG$39,NA14&lt;&gt;""),AND(NF14&gt;=NG$39,NE14&lt;&gt;"")),"P","")</f>
        <v/>
      </c>
      <c r="H14" s="66" t="str">
        <f>IF(F14="P","National Team",IF(G14="P","No DD",""))</f>
        <v/>
      </c>
      <c r="I14" s="14">
        <f>MAX(AM14,AO14,AR14,BQ14,BS14,BV14,CU14,CW14,CZ14)</f>
        <v>46.97</v>
      </c>
      <c r="J14" s="14" t="str">
        <f>IF(I14=0,"",IF(OR(I14=CW14,I14=CU14,I14=CZ14),$BX$1,IF(OR(I14=BS14,I14=BQ14,I14=BV14),$AT$1,IF(OR(I14=AO14,I14=AM14,I14=AR14),$P$1,""))))</f>
        <v>2022 Elite Canada</v>
      </c>
      <c r="K14" s="14">
        <f>IF(COUNT(AM14,AO14,AR14,BQ14,BS14,BV14,CU14,CW14,CZ14)&gt;1,LARGE((AM14,AO14,AR14,BQ14,BS14,BV14,CU14,CW14,CZ14),2),0)</f>
        <v>46.69</v>
      </c>
      <c r="L14" s="14" t="str">
        <f>IF(K14=0,"",IF(OR(K14=CW14,K14=CU14,K14=CZ14),$BX$1,IF(OR(K14=BS14,K14=BQ14,K14=BV14),$AT$1,IF(OR(K14=AO14,K14=AM14,K14=AR14),$P$1,""))))</f>
        <v>2022 3rd Domestic Trial</v>
      </c>
      <c r="M14" s="14" t="str">
        <f>IF(MAX(DB14,DC14)&gt;0,MAX(DB14,DC14),"")</f>
        <v/>
      </c>
      <c r="N14" s="19" t="str">
        <f>IF(M14="","",IF(M14=DB14,"(Prelim)",IF(M14=DC14,"(Final)")))</f>
        <v/>
      </c>
      <c r="O14" s="14" t="str">
        <f>IF(M14="","",IF(M14=DB14,IF(M14+IF(K14="",0,K14)=NC14,$ML$1,IF(M14+IF(K14="",0,K14)=MG14,$LP$1,IF(M14+IF(K14="",0,K14)=LK14,$KT$1,IF(M14+IF(K14="",0,K14)=KO14,$JX$1,IF(M14+IF(K14="",0,K14)=JS14,$JB$1,IF(M14+IF(K14="",0,K14)=IW14,$IF$1,IF(M14+IF(K14="",0,K14)=IA14,$HJ$1,IF(M14+IF(K14="",0,K14)=HE14,$GN$1,IF(M14+IF(K14="",0,K14)=GI14,$FR$1,IF(M14+IF(K14="",0,K14)=FM14,$EV$1,IF(M14+IF(K14="",0,K14)=EQ14,$DZ$1,IF(M14+IF(K14="",0,K14)=DU14,$DD$1,IF(M14+IF(K14="",0,K14)=NB14,$ML$1,IF(M14+IF(K14="",0,K14)=MF14,$LP$1,IF(M14+IF(K14="",0,K14)=LJ14,$KT$1,IF(M14+IF(K14="",0,K14)=KN14,$JX$1,IF(M14+IF(K14="",0,K14)=JR14,$JB$1,IF(M14+IF(K14="",0,K14)=IV14,$IF$1,IF(M14+IF(K14="",0,K14)=HZ14,$HJ$1,IF(M14+IF(K14="",0,K14)=HD14,$GN$1,IF(M14+IF(K14="",0,K14)=GH14,$FR$1,IF(M14+IF(K14="",0,K14)=FL14,$EV$1,IF(M14+IF(K14="",0,K14)=EP14,$DZ$1,IF(M14+IF(K14="",0,K14)=DT14,$DD$1))))))))))))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</f>
        <v/>
      </c>
      <c r="P14" s="37">
        <v>15.2</v>
      </c>
      <c r="Q14" s="37">
        <v>9.9</v>
      </c>
      <c r="R14" s="37">
        <v>1.5</v>
      </c>
      <c r="S14" s="37">
        <v>14.62</v>
      </c>
      <c r="T14" s="37">
        <v>0</v>
      </c>
      <c r="U14" s="37">
        <v>13.6</v>
      </c>
      <c r="V14" s="37">
        <v>9.5</v>
      </c>
      <c r="W14" s="37">
        <v>9.6999999999999993</v>
      </c>
      <c r="X14" s="37">
        <v>14.17</v>
      </c>
      <c r="Y14" s="37">
        <v>0</v>
      </c>
      <c r="Z14" s="37"/>
      <c r="AA14" s="37"/>
      <c r="AB14" s="37"/>
      <c r="AC14" s="37"/>
      <c r="AD14" s="37"/>
      <c r="AE14" s="37">
        <v>12.7</v>
      </c>
      <c r="AF14" s="37">
        <v>8.6</v>
      </c>
      <c r="AG14" s="37">
        <v>8.4</v>
      </c>
      <c r="AH14" s="37">
        <v>13.65</v>
      </c>
      <c r="AI14" s="37">
        <v>0.4</v>
      </c>
      <c r="AJ14" s="44"/>
      <c r="AK14" s="11">
        <f>IF(SUM(P14:S14)-T14&gt;0,SUM(P14:S14)-T14,"")</f>
        <v>41.22</v>
      </c>
      <c r="AL14" s="11">
        <f>IF(W14&gt;0,W14,"")</f>
        <v>9.6999999999999993</v>
      </c>
      <c r="AM14" s="11">
        <f>IF(SUM(U14:X14)-Y14&gt;0,SUM(U14:X14)-Y14,"")</f>
        <v>46.97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88.19</v>
      </c>
      <c r="AQ14" s="11">
        <f>IF(AG14&gt;0,AG14,"")</f>
        <v>8.4</v>
      </c>
      <c r="AR14" s="11">
        <f>IF(SUM(AE14:AH14)-AI14&gt;0,SUM(AE14:AH14)-AI14,"")</f>
        <v>42.949999999999996</v>
      </c>
      <c r="AS14" s="11">
        <f>IF(SUM(AP14,AR14)&gt;0,SUM(AP14,AR14),"")</f>
        <v>131.13999999999999</v>
      </c>
      <c r="AT14" s="41">
        <v>13.1</v>
      </c>
      <c r="AU14" s="41">
        <v>8.3000000000000007</v>
      </c>
      <c r="AV14" s="41">
        <v>0.8</v>
      </c>
      <c r="AW14" s="41">
        <v>12.97</v>
      </c>
      <c r="AX14" s="41">
        <v>0</v>
      </c>
      <c r="AY14" s="41">
        <v>13.3</v>
      </c>
      <c r="AZ14" s="41">
        <v>9.1999999999999993</v>
      </c>
      <c r="BA14" s="41">
        <v>9.6999999999999993</v>
      </c>
      <c r="BB14" s="41">
        <v>14.21</v>
      </c>
      <c r="BC14" s="41">
        <v>0</v>
      </c>
      <c r="BD14" s="41"/>
      <c r="BE14" s="41"/>
      <c r="BF14" s="41"/>
      <c r="BG14" s="41"/>
      <c r="BH14" s="41"/>
      <c r="BI14" s="41">
        <v>1.4</v>
      </c>
      <c r="BJ14" s="41">
        <v>0.8</v>
      </c>
      <c r="BK14" s="41">
        <v>1.5</v>
      </c>
      <c r="BL14" s="41">
        <v>1.48</v>
      </c>
      <c r="BM14" s="41">
        <v>0</v>
      </c>
      <c r="BN14" s="45"/>
      <c r="BO14" s="14">
        <f>IF(SUM(AT14:AW14)-AX14&gt;0,SUM(AT14:AW14)-AX14,"")</f>
        <v>35.17</v>
      </c>
      <c r="BP14" s="14">
        <f>IF(BA14&gt;0,BA14,"")</f>
        <v>9.6999999999999993</v>
      </c>
      <c r="BQ14" s="14">
        <f>IF(SUM(AY14:BB14)-BC14&gt;0,SUM(AY14:BB14)-BC14,"")</f>
        <v>46.410000000000004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81.580000000000013</v>
      </c>
      <c r="BU14" s="14">
        <f>IF(BK14&gt;0,BK14,"")</f>
        <v>1.5</v>
      </c>
      <c r="BV14" s="14">
        <f>IF(SUM(BI14:BL14)-BM14&gt;0,SUM(BI14:BL14)-BM14,"")</f>
        <v>5.18</v>
      </c>
      <c r="BW14" s="14">
        <f>IF(SUM(BT14,BV14)&gt;0,SUM(BT14,BV14),"")</f>
        <v>86.760000000000019</v>
      </c>
      <c r="BX14" s="37">
        <v>11.94</v>
      </c>
      <c r="BY14" s="37">
        <v>9.5</v>
      </c>
      <c r="BZ14" s="37">
        <v>2</v>
      </c>
      <c r="CA14" s="37">
        <v>14.37</v>
      </c>
      <c r="CB14" s="37">
        <v>0</v>
      </c>
      <c r="CC14" s="37">
        <v>13.3</v>
      </c>
      <c r="CD14" s="37">
        <v>9.6</v>
      </c>
      <c r="CE14" s="37">
        <v>9.6999999999999993</v>
      </c>
      <c r="CF14" s="37">
        <v>14.09</v>
      </c>
      <c r="CG14" s="37">
        <v>0</v>
      </c>
      <c r="CH14" s="37"/>
      <c r="CI14" s="37"/>
      <c r="CJ14" s="37"/>
      <c r="CK14" s="37"/>
      <c r="CL14" s="37"/>
      <c r="CM14" s="37">
        <v>6.28</v>
      </c>
      <c r="CN14" s="37">
        <v>4.5</v>
      </c>
      <c r="CO14" s="37">
        <v>4.8</v>
      </c>
      <c r="CP14" s="37">
        <v>6.87</v>
      </c>
      <c r="CQ14" s="37">
        <v>0</v>
      </c>
      <c r="CR14" s="44"/>
      <c r="CS14" s="11">
        <f>IF(SUM(BX14:CA14)-CB14&gt;0,SUM(BX14:CA14)-CB14,"")</f>
        <v>37.809999999999995</v>
      </c>
      <c r="CT14" s="11">
        <f>IF(CE14&gt;0,CE14,"")</f>
        <v>9.6999999999999993</v>
      </c>
      <c r="CU14" s="11">
        <f>IF(SUM(CC14:CF14)-CG14&gt;0,SUM(CC14:CF14)-CG14,"")</f>
        <v>46.69</v>
      </c>
      <c r="CV14" s="11" t="str">
        <f>IF(CJ14&gt;0,CJ14,"")</f>
        <v/>
      </c>
      <c r="CW14" s="11" t="str">
        <f>IF(SUM(CH14:CK14)-CL14&gt;0,SUM(CH14:CK14)-CL14,"")</f>
        <v/>
      </c>
      <c r="CX14" s="11">
        <f>IF(CS14="",IF(MAX(CU14,CW14)&gt;0,MAX(CU14,CW14),""),MAX(CU14,CW14)+CS14)</f>
        <v>84.5</v>
      </c>
      <c r="CY14" s="11">
        <f>IF(CO14&gt;0,CO14,"")</f>
        <v>4.8</v>
      </c>
      <c r="CZ14" s="11">
        <f>IF(SUM(CM14:CP14)-CQ14&gt;0,SUM(CM14:CP14)-CQ14,"")</f>
        <v>22.450000000000003</v>
      </c>
      <c r="DA14" s="11">
        <f>IF(SUM(CX14,CZ14)&gt;0,SUM(CX14,CZ14),"")</f>
        <v>106.95</v>
      </c>
      <c r="DB14" s="18" t="str">
        <f>IF(K14&gt;=0.001,IF(MAX(DT14,DU14,EP14,EQ14,FL14,FM14,GH14,GI14,HD14,HE14,HZ14,IA14,IV14,IW14,JR14,JS14,KN14,KO14,LJ14,LK14,MF14,MG14,NB14,NC14)-IF(K14="",0,K14)&gt;0.001,MAX(DT14,DU14,EP14,EQ14,FL14,FM14,GH14,GI14,HD14,HE14,HZ14,IA14,IV14,IW14,JR14,JS14,KN14,KO14,LJ14,LK14,MF14,MG14,NB14,NC14)-IF(K14="",0,K14),""),"")</f>
        <v/>
      </c>
      <c r="DC14" s="18" t="str">
        <f>IF(K14&gt;=0.001,IF(MAX(DX14,ET14,FP14,GL14,HH14,ID14,IZ14,JV14,KR14,LN14,MJ14,NF14)-IF(K14="",0,K14)&gt;0.001,MAX(DX14,ET14,FP14,GL14,HH14,ID14,IZ14,JV14,KR14,LN14,MJ14,NF14)-IF(K14="",0,K14),""),"")</f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4">
        <v>7.8</v>
      </c>
      <c r="EW14" s="24">
        <v>5.6</v>
      </c>
      <c r="EX14" s="24">
        <v>6.2</v>
      </c>
      <c r="EY14" s="24">
        <v>8.6999999999999993</v>
      </c>
      <c r="EZ14" s="24">
        <v>0</v>
      </c>
      <c r="FA14" s="24">
        <v>12</v>
      </c>
      <c r="FB14" s="24">
        <v>8.5</v>
      </c>
      <c r="FC14" s="24">
        <v>8.5</v>
      </c>
      <c r="FD14" s="24">
        <v>12.95</v>
      </c>
      <c r="FE14" s="24">
        <v>0</v>
      </c>
      <c r="FF14" s="24"/>
      <c r="FG14" s="24"/>
      <c r="FH14" s="24"/>
      <c r="FI14" s="24"/>
      <c r="FJ14" s="24"/>
      <c r="FK14" s="11">
        <f>IF(FC14&gt;0,FC14,"")</f>
        <v>8.5</v>
      </c>
      <c r="FL14" s="11">
        <f>IF(SUM(EV14:EY14)-EZ14&gt;0,SUM(EV14:EY14)-EZ14,"")</f>
        <v>28.299999999999997</v>
      </c>
      <c r="FM14" s="11">
        <f>IF(SUM(FA14:FD14)-FE14&gt;0,SUM(FA14:FD14)-FE14,"")</f>
        <v>41.95</v>
      </c>
      <c r="FN14" s="11">
        <f>IF(SUM(FL14:FM14)&gt;0,SUM(FL14:FM14),"")</f>
        <v>70.25</v>
      </c>
      <c r="FO14" s="11" t="str">
        <f>IF(FH14&gt;0,FH14,"")</f>
        <v/>
      </c>
      <c r="FP14" s="11" t="str">
        <f>IF(SUM(FF14:FI14)-FJ14&gt;0,SUM(FF14:FI14)-FJ14,"")</f>
        <v/>
      </c>
      <c r="FQ14" s="11">
        <f>IF(SUM(FN14,FP14)&gt;0,SUM(FN14,FP14),"")</f>
        <v>70.25</v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7">
        <f>IF($CR14="P",BX14,(BX14+AT14)/2)</f>
        <v>12.52</v>
      </c>
      <c r="NI14" s="37">
        <f>IF($CR14="P",BY14,(BY14+AU14)/2)</f>
        <v>8.9</v>
      </c>
      <c r="NJ14" s="37">
        <f>IF($CR14="P",BZ14,(BZ14+AV14)/2)</f>
        <v>1.4</v>
      </c>
      <c r="NK14" s="37">
        <f>IF($CR14="P",CA14,(CA14+AW14)/2)</f>
        <v>13.67</v>
      </c>
      <c r="NL14" s="37">
        <f>IF($CR14="P",CB14,(CB14+AX14)/2)</f>
        <v>0</v>
      </c>
      <c r="NM14" s="37">
        <f>IF($CR14="P",CC14,(CC14+AY14)/2)</f>
        <v>13.3</v>
      </c>
      <c r="NN14" s="37">
        <f>IF($CR14="P",CD14,(CD14+AZ14)/2)</f>
        <v>9.3999999999999986</v>
      </c>
      <c r="NO14" s="37">
        <f>IF($CR14="P",CE14,(CE14+BA14)/2)</f>
        <v>9.6999999999999993</v>
      </c>
      <c r="NP14" s="37">
        <f>IF($CR14="P",CF14,(CF14+BB14)/2)</f>
        <v>14.15</v>
      </c>
      <c r="NQ14" s="37">
        <f>IF($CR14="P",CG14,(CG14+BC14)/2)</f>
        <v>0</v>
      </c>
      <c r="NR14" s="37">
        <f>IF($CR14="P",CH14,(CH14+BD14)/2)</f>
        <v>0</v>
      </c>
      <c r="NS14" s="37">
        <f>IF($CR14="P",CI14,(CI14+BE14)/2)</f>
        <v>0</v>
      </c>
      <c r="NT14" s="37">
        <f>IF($CR14="P",CJ14,(CJ14+BF14)/2)</f>
        <v>0</v>
      </c>
      <c r="NU14" s="37">
        <f>IF($CR14="P",CK14,(CK14+BG14)/2)</f>
        <v>0</v>
      </c>
      <c r="NV14" s="37">
        <f>IF($CR14="P",CL14,(CL14+BH14)/2)</f>
        <v>0</v>
      </c>
      <c r="NW14" s="37">
        <f>IF($CR14="P",CM14,(CM14+BI14)/2)</f>
        <v>3.84</v>
      </c>
      <c r="NX14" s="37">
        <f>IF($CR14="P",CN14,(CN14+BJ14)/2)</f>
        <v>2.65</v>
      </c>
      <c r="NY14" s="37">
        <f>IF($CR14="P",CO14,(CO14+BK14)/2)</f>
        <v>3.15</v>
      </c>
      <c r="NZ14" s="37">
        <f>IF($CR14="P",CP14,(CP14+BL14)/2)</f>
        <v>4.1749999999999998</v>
      </c>
      <c r="OA14" s="37">
        <f>IF($CR14="P",CQ14,(CQ14+BM14)/2)</f>
        <v>0</v>
      </c>
      <c r="OB14" s="44" t="s">
        <v>46</v>
      </c>
      <c r="OC14" s="11">
        <f>IF(SUM(NH14:NK14)-NL14&gt;0,SUM(NH14:NK14)-NL14,"")</f>
        <v>36.49</v>
      </c>
      <c r="OD14" s="11">
        <f>IF(NO14&gt;0,NO14,"")</f>
        <v>9.6999999999999993</v>
      </c>
      <c r="OE14" s="11">
        <f>IF(SUM(NM14:NP14)-NQ14&gt;0,SUM(NM14:NP14)-NQ14,"")</f>
        <v>46.55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83.039999999999992</v>
      </c>
      <c r="OI14" s="11">
        <f>IF(NY14&gt;0,NY14,"")</f>
        <v>3.15</v>
      </c>
      <c r="OJ14" s="11">
        <f t="shared" ref="OJ14" si="14">IF(SUM(NW14:NZ14)-OA14&gt;0,SUM(NW14:NZ14)-OA14,"")</f>
        <v>13.815000000000001</v>
      </c>
      <c r="OK14" s="11">
        <f t="shared" ref="OK14" si="15">IF(SUM(OH14,OJ14)&gt;0,SUM(OH14,OJ14),"")</f>
        <v>96.85499999999999</v>
      </c>
    </row>
    <row r="15" spans="1:401" x14ac:dyDescent="0.2">
      <c r="A15" s="5" t="str" cm="1">
        <f t="array" ref="A15">IF(AND(F15="P",G15="P"),SUMPRODUCT((F$4:F$33="P")*(G$4:G$33="P")*(E$4:E$33&gt;E15))+1,IF(G15="P",SUMPRODUCT((F$4:F$33="")*(G$4:G$33="P")*(E$4:E$33&gt;E15))+1+SUMPRODUCT((F$4:F$33="P")*(G$4:G$33="P")),""))</f>
        <v/>
      </c>
      <c r="B15" s="6" t="s">
        <v>90</v>
      </c>
      <c r="C15" s="7" t="s">
        <v>5</v>
      </c>
      <c r="D15" s="5">
        <v>2004</v>
      </c>
      <c r="E15" s="15">
        <f>SUM(I15:M15)</f>
        <v>93.580000000000013</v>
      </c>
      <c r="F15" s="3" t="str">
        <f>IF(OR(AND(AL15&gt;=AS$35,AM15&gt;=AS$39,AL15&lt;&gt;"",AJ15=""),AND(AN15&gt;=AS$35,AO15&gt;=AS$39,AN15&lt;&gt;"",AN15=""),AND(AQ15&gt;=AS$35,AR15&gt;=AS$39,AQ15&lt;&gt;"",AJ15=""),AND(BP15&gt;=BW$35,BQ15&gt;=BW$39,BP15&lt;&gt;"",BN15=""),AND(BR15&gt;=BW$35,BS15&gt;=BW$39,BR15&lt;&gt;"",BN15=""),AND(BU15&gt;=BW$35,BV15&gt;=BW$39,BU15&lt;&gt;"",BN15=""),AND(CT15&gt;=DA$35,CU15&gt;=DA$39,CT15&lt;&gt;"",CR15=""),AND(CV15&gt;=DA$35,CW15&gt;=DA$39,CV15&lt;&gt;"",CR15=""),AND(CY15&gt;=DA$35,CZ15&gt;=DA$39,CY15&lt;&gt;"",CR15=""),AND(DS15&gt;=DY$35,DU15&gt;=DY$39,DS15&lt;&gt;""),AND(DW15&gt;=DY$35,DX15&gt;=DY$39,DW15&lt;&gt;""),AND(EO15&gt;=EU$35,EQ15&gt;=EU$39,EO15&lt;&gt;""),AND(ES15&gt;=EU$35,ET15&gt;=EU$39,ES15&lt;&gt;""),AND(FK15&gt;=FQ$35,FM15&gt;=FQ$39,FK15&lt;&gt;""),AND(FO15&gt;=FQ$35,FP15&gt;=FQ$39,FO15&lt;&gt;""),AND(GG15&gt;=GM$35,GI15&gt;=GM$39,GG15&lt;&gt;""),AND(GK15&gt;=GM$35,GL15&gt;=GM$39,GK15&lt;&gt;""),AND(HC15&gt;=HI$35,HE15&gt;=HI$39,HC15&lt;&gt;""),AND(HG15&gt;=HI$35,HH15&gt;=HI$39,HG15&lt;&gt;""),AND(HY15&gt;=IE$35,IA15&gt;=IE$39,HY15&lt;&gt;""),AND(IC15&gt;=IE$35,ID15&gt;=IE$39,IC15&lt;&gt;""),AND(IU15&gt;=JA$35,IW15&gt;=JA$39,IU15&lt;&gt;""),AND(IY15&gt;=JA$35,IZ15&gt;=JA$39,IY15&lt;&gt;""),AND(JQ15&gt;=JW$35,JS15&gt;=JW$39,JQ15&lt;&gt;""),AND(JU15&gt;=JW$35,JV15&gt;=JW$39,JU15&lt;&gt;""),AND(KM15&gt;=KS$35,KO15&gt;=KS$39,KM15&lt;&gt;""),AND(KQ15&gt;=KS$35,KR15&gt;=KS$39,KQ15&lt;&gt;""),AND(LI15&gt;=LO$35,LK15&gt;=LO$39,LI15&lt;&gt;""),AND(LM15&gt;=LO$35,LN15&gt;=LO$39,LM15&lt;&gt;""),AND(ME15&gt;=MK$35,MG15&gt;=MK$39,ME15&lt;&gt;""),AND(MI15&gt;=MK$35,MJ15&gt;=MK$39,MI15&lt;&gt;""),AND(NA15&gt;=NG$35,NC15&gt;=NG$39,NA15&lt;&gt;""),AND(NE15&gt;=NG$35,NF15&gt;=NG$39,NE15&lt;&gt;"")),"P","")</f>
        <v/>
      </c>
      <c r="G15" s="3" t="str">
        <f>IF(OR(AND(AM15&gt;=AS$39,AL15&lt;&gt;"",AJ15=""),AND(AO15&gt;=AS$39,AN15&lt;&gt;"",AN15=""),AND(AR15&gt;=AS$39,AQ15&lt;&gt;"",AJ15=""),AND(BQ15&gt;=BW$39,BP15&lt;&gt;"",BN15=""),AND(BS15&gt;=BW$39,BR15&lt;&gt;"",BN15=""),AND(BV15&gt;=BW$39,BU15&lt;&gt;"",BN15=""),AND(CU15&gt;=DA$39,CT15&lt;&gt;"",CR15=""),AND(CW15&gt;=DA$39,CV15&lt;&gt;"",CR15=""),AND(CZ15&gt;=DA$39,CY15&lt;&gt;"",CR15=""),AND(DU15&gt;=DY$39,DS15&lt;&gt;""),AND(DX15&gt;=DY$39,DW15&lt;&gt;""),AND(EQ15&gt;=EU$39,EO15&lt;&gt;""),AND(ET15&gt;=EU$39,ES15&lt;&gt;""),AND(FM15&gt;=FQ$39,FK15&lt;&gt;""),AND(FP15&gt;=FQ$39,FO15&lt;&gt;""),AND(GI15&gt;=GM$39,GG15&lt;&gt;""),AND(GL15&gt;=GM$39,GK15&lt;&gt;""),AND(HE15&gt;=HI$39,HC15&lt;&gt;""),AND(HH15&gt;=HI$39,HG15&lt;&gt;""),AND(IA15&gt;=IE$39,HY15&lt;&gt;""),AND(ID15&gt;=IE$39,IC15&lt;&gt;""),AND(IW15&gt;=JA$39,IU15&lt;&gt;""),AND(IZ15&gt;=JA$39,IY15&lt;&gt;""),AND(JS15&gt;=JW$39,JQ15&lt;&gt;""),AND(JV15&gt;=JW$39,JU15&lt;&gt;""),AND(KO15&gt;=KS$39,KM15&lt;&gt;""),AND(KR15&gt;=KS$39,KQ15&lt;&gt;""),AND(LK15&gt;=LO$39,LI15&lt;&gt;""),AND(LN15&gt;=LO$39,LM15&lt;&gt;""),AND(MG15&gt;=MK$39,ME15&lt;&gt;""),AND(MJ15&gt;=MK$39,MI15&lt;&gt;""),AND(NC15&gt;=NG$39,NA15&lt;&gt;""),AND(NF15&gt;=NG$39,NE15&lt;&gt;"")),"P","")</f>
        <v/>
      </c>
      <c r="H15" s="66" t="str">
        <f>IF(F15="P","National Team",IF(G15="P","No DD",""))</f>
        <v/>
      </c>
      <c r="I15" s="14">
        <f>MAX(AM15,AO15,AR15,BQ15,BS15,BV15,CU15,CW15,CZ15)</f>
        <v>46.85</v>
      </c>
      <c r="J15" s="14" t="str">
        <f>IF(I15=0,"",IF(OR(I15=CW15,I15=CU15,I15=CZ15),$BX$1,IF(OR(I15=BS15,I15=BQ15,I15=BV15),$AT$1,IF(OR(I15=AO15,I15=AM15,I15=AR15),$P$1,""))))</f>
        <v>2022 Nationals</v>
      </c>
      <c r="K15" s="14">
        <f>IF(COUNT(AM15,AO15,AR15,BQ15,BS15,BV15,CU15,CW15,CZ15)&gt;1,LARGE((AM15,AO15,AR15,BQ15,BS15,BV15,CU15,CW15,CZ15),2),0)</f>
        <v>46.730000000000004</v>
      </c>
      <c r="L15" s="14" t="str">
        <f>IF(K15=0,"",IF(OR(K15=CW15,K15=CU15,K15=CZ15),$BX$1,IF(OR(K15=BS15,K15=BQ15,K15=BV15),$AT$1,IF(OR(K15=AO15,K15=AM15,K15=AR15),$P$1,""))))</f>
        <v>2022 Nationals</v>
      </c>
      <c r="M15" s="14" t="str">
        <f>IF(MAX(DB15,DC15)&gt;0,MAX(DB15,DC15),"")</f>
        <v/>
      </c>
      <c r="N15" s="19" t="str">
        <f>IF(M15="","",IF(M15=DB15,"(Prelim)",IF(M15=DC15,"(Final)")))</f>
        <v/>
      </c>
      <c r="O15" s="14" t="str">
        <f>IF(M15="","",IF(M15=DB15,IF(M15+IF(K15="",0,K15)=NC15,$ML$1,IF(M15+IF(K15="",0,K15)=MG15,$LP$1,IF(M15+IF(K15="",0,K15)=LK15,$KT$1,IF(M15+IF(K15="",0,K15)=KO15,$JX$1,IF(M15+IF(K15="",0,K15)=JS15,$JB$1,IF(M15+IF(K15="",0,K15)=IW15,$IF$1,IF(M15+IF(K15="",0,K15)=IA15,$HJ$1,IF(M15+IF(K15="",0,K15)=HE15,$GN$1,IF(M15+IF(K15="",0,K15)=GI15,$FR$1,IF(M15+IF(K15="",0,K15)=FM15,$EV$1,IF(M15+IF(K15="",0,K15)=EQ15,$DZ$1,IF(M15+IF(K15="",0,K15)=DU15,$DD$1,IF(M15+IF(K15="",0,K15)=NB15,$ML$1,IF(M15+IF(K15="",0,K15)=MF15,$LP$1,IF(M15+IF(K15="",0,K15)=LJ15,$KT$1,IF(M15+IF(K15="",0,K15)=KN15,$JX$1,IF(M15+IF(K15="",0,K15)=JR15,$JB$1,IF(M15+IF(K15="",0,K15)=IV15,$IF$1,IF(M15+IF(K15="",0,K15)=HZ15,$HJ$1,IF(M15+IF(K15="",0,K15)=HD15,$GN$1,IF(M15+IF(K15="",0,K15)=GH15,$FR$1,IF(M15+IF(K15="",0,K15)=FL15,$EV$1,IF(M15+IF(K15="",0,K15)=EP15,$DZ$1,IF(M15+IF(K15="",0,K15)=DT15,$DD$1))))))))))))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</f>
        <v/>
      </c>
      <c r="P15" s="37">
        <v>15.5</v>
      </c>
      <c r="Q15" s="37">
        <v>9.6999999999999993</v>
      </c>
      <c r="R15" s="37">
        <v>2</v>
      </c>
      <c r="S15" s="37">
        <v>13.37</v>
      </c>
      <c r="T15" s="37">
        <v>0</v>
      </c>
      <c r="U15" s="37">
        <v>7.8</v>
      </c>
      <c r="V15" s="37">
        <v>5.6</v>
      </c>
      <c r="W15" s="37">
        <v>4.5</v>
      </c>
      <c r="X15" s="37">
        <v>8.18</v>
      </c>
      <c r="Y15" s="37">
        <v>0</v>
      </c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>
        <f>IF(SUM(P15:S15)-T15&gt;0,SUM(P15:S15)-T15,"")</f>
        <v>40.57</v>
      </c>
      <c r="AL15" s="11">
        <f>IF(W15&gt;0,W15,"")</f>
        <v>4.5</v>
      </c>
      <c r="AM15" s="11">
        <f>IF(SUM(U15:X15)-Y15&gt;0,SUM(U15:X15)-Y15,"")</f>
        <v>26.08</v>
      </c>
      <c r="AN15" s="11" t="str">
        <f>IF(AB15&gt;0,AB15,"")</f>
        <v/>
      </c>
      <c r="AO15" s="11" t="str">
        <f>IF(SUM(Z15:AC15)-AD15&gt;0,SUM(Z15:AC15)-AD15,"")</f>
        <v/>
      </c>
      <c r="AP15" s="11">
        <f>IF(AK15="",IF(MAX(AM15,AO15)&gt;0,MAX(AM15,AO15),""),MAX(AM15,AO15)+AK15)</f>
        <v>66.650000000000006</v>
      </c>
      <c r="AQ15" s="11" t="str">
        <f>IF(AG15&gt;0,AG15,"")</f>
        <v/>
      </c>
      <c r="AR15" s="11" t="str">
        <f>IF(SUM(AE15:AH15)-AI15&gt;0,SUM(AE15:AH15)-AI15,"")</f>
        <v/>
      </c>
      <c r="AS15" s="11">
        <f>IF(SUM(AP15,AR15)&gt;0,SUM(AP15,AR15),"")</f>
        <v>66.650000000000006</v>
      </c>
      <c r="AT15" s="41">
        <v>13.2</v>
      </c>
      <c r="AU15" s="41">
        <v>8.3000000000000007</v>
      </c>
      <c r="AV15" s="41">
        <v>1.5</v>
      </c>
      <c r="AW15" s="41">
        <v>13.08</v>
      </c>
      <c r="AX15" s="41">
        <v>4</v>
      </c>
      <c r="AY15" s="41">
        <v>14.9</v>
      </c>
      <c r="AZ15" s="41">
        <v>9.4</v>
      </c>
      <c r="BA15" s="41">
        <v>8.9</v>
      </c>
      <c r="BB15" s="41">
        <v>13.53</v>
      </c>
      <c r="BC15" s="41">
        <v>0</v>
      </c>
      <c r="BD15" s="41"/>
      <c r="BE15" s="41"/>
      <c r="BF15" s="41"/>
      <c r="BG15" s="41"/>
      <c r="BH15" s="41"/>
      <c r="BI15" s="41">
        <v>15.3</v>
      </c>
      <c r="BJ15" s="41">
        <v>9.1</v>
      </c>
      <c r="BK15" s="41">
        <v>9.1</v>
      </c>
      <c r="BL15" s="41">
        <v>13.35</v>
      </c>
      <c r="BM15" s="41">
        <v>0</v>
      </c>
      <c r="BN15" s="45"/>
      <c r="BO15" s="14">
        <f>IF(SUM(AT15:AW15)-AX15&gt;0,SUM(AT15:AW15)-AX15,"")</f>
        <v>32.08</v>
      </c>
      <c r="BP15" s="14">
        <f>IF(BA15&gt;0,BA15,"")</f>
        <v>8.9</v>
      </c>
      <c r="BQ15" s="14">
        <f>IF(SUM(AY15:BB15)-BC15&gt;0,SUM(AY15:BB15)-BC15,"")</f>
        <v>46.730000000000004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78.81</v>
      </c>
      <c r="BU15" s="14">
        <f>IF(BK15&gt;0,BK15,"")</f>
        <v>9.1</v>
      </c>
      <c r="BV15" s="14">
        <f>IF(SUM(BI15:BL15)-BM15&gt;0,SUM(BI15:BL15)-BM15,"")</f>
        <v>46.85</v>
      </c>
      <c r="BW15" s="14">
        <f>IF(SUM(BT15,BV15)&gt;0,SUM(BT15,BV15),"")</f>
        <v>125.66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44"/>
      <c r="CS15" s="11" t="str">
        <f>IF(SUM(BX15:CA15)-CB15&gt;0,SUM(BX15:CA15)-CB15,"")</f>
        <v/>
      </c>
      <c r="CT15" s="11" t="str">
        <f>IF(CE15&gt;0,CE15,"")</f>
        <v/>
      </c>
      <c r="CU15" s="11" t="str">
        <f>IF(SUM(CC15:CF15)-CG15&gt;0,SUM(CC15:CF15)-CG15,"")</f>
        <v/>
      </c>
      <c r="CV15" s="11" t="str">
        <f>IF(CJ15&gt;0,CJ15,"")</f>
        <v/>
      </c>
      <c r="CW15" s="11" t="str">
        <f>IF(SUM(CH15:CK15)-CL15&gt;0,SUM(CH15:CK15)-CL15,"")</f>
        <v/>
      </c>
      <c r="CX15" s="11" t="str">
        <f>IF(CS15="",IF(MAX(CU15,CW15)&gt;0,MAX(CU15,CW15),""),MAX(CU15,CW15)+CS15)</f>
        <v/>
      </c>
      <c r="CY15" s="11" t="str">
        <f>IF(CO15&gt;0,CO15,"")</f>
        <v/>
      </c>
      <c r="CZ15" s="11" t="str">
        <f>IF(SUM(CM15:CP15)-CQ15&gt;0,SUM(CM15:CP15)-CQ15,"")</f>
        <v/>
      </c>
      <c r="DA15" s="11" t="str">
        <f>IF(SUM(CX15,CZ15)&gt;0,SUM(CX15,CZ15),"")</f>
        <v/>
      </c>
      <c r="DB15" s="18" t="str">
        <f>IF(K15&gt;=0.001,IF(MAX(DT15,DU15,EP15,EQ15,FL15,FM15,GH15,GI15,HD15,HE15,HZ15,IA15,IV15,IW15,JR15,JS15,KN15,KO15,LJ15,LK15,MF15,MG15,NB15,NC15)-IF(K15="",0,K15)&gt;0.001,MAX(DT15,DU15,EP15,EQ15,FL15,FM15,GH15,GI15,HD15,HE15,HZ15,IA15,IV15,IW15,JR15,JS15,KN15,KO15,LJ15,LK15,MF15,MG15,NB15,NC15)-IF(K15="",0,K15),""),"")</f>
        <v/>
      </c>
      <c r="DC15" s="18" t="str">
        <f>IF(K15&gt;=0.001,IF(MAX(DX15,ET15,FP15,GL15,HH15,ID15,IZ15,JV15,KR15,LN15,MJ15,NF15)-IF(K15="",0,K15)&gt;0.001,MAX(DX15,ET15,FP15,GL15,HH15,ID15,IZ15,JV15,KR15,LN15,MJ15,NF15)-IF(K15="",0,K15),""),"")</f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4">
        <v>14.2</v>
      </c>
      <c r="EW15" s="24">
        <v>8.6999999999999993</v>
      </c>
      <c r="EX15" s="24">
        <v>9.1</v>
      </c>
      <c r="EY15" s="24">
        <v>13.35</v>
      </c>
      <c r="EZ15" s="24">
        <v>0</v>
      </c>
      <c r="FA15" s="24">
        <v>12.2</v>
      </c>
      <c r="FB15" s="24">
        <v>8.4</v>
      </c>
      <c r="FC15" s="24">
        <v>7.2</v>
      </c>
      <c r="FD15" s="24">
        <v>1.2</v>
      </c>
      <c r="FE15" s="24">
        <v>0</v>
      </c>
      <c r="FF15" s="24"/>
      <c r="FG15" s="24"/>
      <c r="FH15" s="24"/>
      <c r="FI15" s="24"/>
      <c r="FJ15" s="24"/>
      <c r="FK15" s="11">
        <f>IF(FC15&gt;0,FC15,"")</f>
        <v>7.2</v>
      </c>
      <c r="FL15" s="11">
        <f>IF(SUM(EV15:EY15)-EZ15&gt;0,SUM(EV15:EY15)-EZ15,"")</f>
        <v>45.35</v>
      </c>
      <c r="FM15" s="11">
        <f>IF(SUM(FA15:FD15)-FE15&gt;0,SUM(FA15:FD15)-FE15,"")</f>
        <v>29</v>
      </c>
      <c r="FN15" s="11">
        <f>IF(SUM(FL15:FM15)&gt;0,SUM(FL15:FM15),"")</f>
        <v>74.349999999999994</v>
      </c>
      <c r="FO15" s="11" t="str">
        <f>IF(FH15&gt;0,FH15,"")</f>
        <v/>
      </c>
      <c r="FP15" s="11" t="str">
        <f>IF(SUM(FF15:FI15)-FJ15&gt;0,SUM(FF15:FI15)-FJ15,"")</f>
        <v/>
      </c>
      <c r="FQ15" s="11">
        <f>IF(SUM(FN15,FP15)&gt;0,SUM(FN15,FP15),"")</f>
        <v>74.349999999999994</v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7">
        <f>IF($CR15="P",BX15,(BX15+AT15)/2)</f>
        <v>6.6</v>
      </c>
      <c r="NI15" s="37">
        <f>IF($CR15="P",BY15,(BY15+AU15)/2)</f>
        <v>4.1500000000000004</v>
      </c>
      <c r="NJ15" s="37">
        <f>IF($CR15="P",BZ15,(BZ15+AV15)/2)</f>
        <v>0.75</v>
      </c>
      <c r="NK15" s="37">
        <f>IF($CR15="P",CA15,(CA15+AW15)/2)</f>
        <v>6.54</v>
      </c>
      <c r="NL15" s="37">
        <f>IF($CR15="P",CB15,(CB15+AX15)/2)</f>
        <v>2</v>
      </c>
      <c r="NM15" s="37">
        <f>IF($CR15="P",CC15,(CC15+AY15)/2)</f>
        <v>7.45</v>
      </c>
      <c r="NN15" s="37">
        <f>IF($CR15="P",CD15,(CD15+AZ15)/2)</f>
        <v>4.7</v>
      </c>
      <c r="NO15" s="37">
        <f>IF($CR15="P",CE15,(CE15+BA15)/2)</f>
        <v>4.45</v>
      </c>
      <c r="NP15" s="37">
        <f>IF($CR15="P",CF15,(CF15+BB15)/2)</f>
        <v>6.7649999999999997</v>
      </c>
      <c r="NQ15" s="37">
        <f>IF($CR15="P",CG15,(CG15+BC15)/2)</f>
        <v>0</v>
      </c>
      <c r="NR15" s="37">
        <f>IF($CR15="P",CH15,(CH15+BD15)/2)</f>
        <v>0</v>
      </c>
      <c r="NS15" s="37">
        <f>IF($CR15="P",CI15,(CI15+BE15)/2)</f>
        <v>0</v>
      </c>
      <c r="NT15" s="37">
        <f>IF($CR15="P",CJ15,(CJ15+BF15)/2)</f>
        <v>0</v>
      </c>
      <c r="NU15" s="37">
        <f>IF($CR15="P",CK15,(CK15+BG15)/2)</f>
        <v>0</v>
      </c>
      <c r="NV15" s="37">
        <f>IF($CR15="P",CL15,(CL15+BH15)/2)</f>
        <v>0</v>
      </c>
      <c r="NW15" s="37">
        <f>IF($CR15="P",CM15,(CM15+BI15)/2)</f>
        <v>7.65</v>
      </c>
      <c r="NX15" s="37">
        <f>IF($CR15="P",CN15,(CN15+BJ15)/2)</f>
        <v>4.55</v>
      </c>
      <c r="NY15" s="37">
        <f>IF($CR15="P",CO15,(CO15+BK15)/2)</f>
        <v>4.55</v>
      </c>
      <c r="NZ15" s="37">
        <f>IF($CR15="P",CP15,(CP15+BL15)/2)</f>
        <v>6.6749999999999998</v>
      </c>
      <c r="OA15" s="37">
        <f>IF($CR15="P",CQ15,(CQ15+BM15)/2)</f>
        <v>0</v>
      </c>
      <c r="OB15" s="44" t="s">
        <v>46</v>
      </c>
      <c r="OC15" s="11">
        <f>IF(SUM(NH15:NK15)-NL15&gt;0,SUM(NH15:NK15)-NL15,"")</f>
        <v>16.04</v>
      </c>
      <c r="OD15" s="11">
        <f>IF(NO15&gt;0,NO15,"")</f>
        <v>4.45</v>
      </c>
      <c r="OE15" s="11">
        <f>IF(SUM(NM15:NP15)-NQ15&gt;0,SUM(NM15:NP15)-NQ15,"")</f>
        <v>23.365000000000002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39.405000000000001</v>
      </c>
      <c r="OI15" s="11">
        <f>IF(NY15&gt;0,NY15,"")</f>
        <v>4.55</v>
      </c>
      <c r="OJ15" s="11">
        <f t="shared" ref="OJ15" si="16">IF(SUM(NW15:NZ15)-OA15&gt;0,SUM(NW15:NZ15)-OA15,"")</f>
        <v>23.425000000000001</v>
      </c>
      <c r="OK15" s="11">
        <f t="shared" ref="OK15" si="17">IF(SUM(OH15,OJ15)&gt;0,SUM(OH15,OJ15),"")</f>
        <v>62.83</v>
      </c>
    </row>
    <row r="16" spans="1:401" x14ac:dyDescent="0.2">
      <c r="A16" s="5" t="str" cm="1">
        <f t="array" ref="A16">IF(AND(F16="P",G16="P"),SUMPRODUCT((F$4:F$33="P")*(G$4:G$33="P")*(E$4:E$33&gt;E16))+1,IF(G16="P",SUMPRODUCT((F$4:F$33="")*(G$4:G$33="P")*(E$4:E$33&gt;E16))+1+SUMPRODUCT((F$4:F$33="P")*(G$4:G$33="P")),""))</f>
        <v/>
      </c>
      <c r="B16" s="8" t="s">
        <v>148</v>
      </c>
      <c r="C16" s="4" t="s">
        <v>4</v>
      </c>
      <c r="D16" s="21">
        <v>2004</v>
      </c>
      <c r="E16" s="15">
        <f>SUM(I16:M16)</f>
        <v>93.550000000000011</v>
      </c>
      <c r="F16" s="3" t="str">
        <f>IF(OR(AND(AL16&gt;=AS$35,AM16&gt;=AS$39,AL16&lt;&gt;"",AJ16=""),AND(AN16&gt;=AS$35,AO16&gt;=AS$39,AN16&lt;&gt;"",AN16=""),AND(AQ16&gt;=AS$35,AR16&gt;=AS$39,AQ16&lt;&gt;"",AJ16=""),AND(BP16&gt;=BW$35,BQ16&gt;=BW$39,BP16&lt;&gt;"",BN16=""),AND(BR16&gt;=BW$35,BS16&gt;=BW$39,BR16&lt;&gt;"",BN16=""),AND(BU16&gt;=BW$35,BV16&gt;=BW$39,BU16&lt;&gt;"",BN16=""),AND(CT16&gt;=DA$35,CU16&gt;=DA$39,CT16&lt;&gt;"",CR16=""),AND(CV16&gt;=DA$35,CW16&gt;=DA$39,CV16&lt;&gt;"",CR16=""),AND(CY16&gt;=DA$35,CZ16&gt;=DA$39,CY16&lt;&gt;"",CR16=""),AND(DS16&gt;=DY$35,DU16&gt;=DY$39,DS16&lt;&gt;""),AND(DW16&gt;=DY$35,DX16&gt;=DY$39,DW16&lt;&gt;""),AND(EO16&gt;=EU$35,EQ16&gt;=EU$39,EO16&lt;&gt;""),AND(ES16&gt;=EU$35,ET16&gt;=EU$39,ES16&lt;&gt;""),AND(FK16&gt;=FQ$35,FM16&gt;=FQ$39,FK16&lt;&gt;""),AND(FO16&gt;=FQ$35,FP16&gt;=FQ$39,FO16&lt;&gt;""),AND(GG16&gt;=GM$35,GI16&gt;=GM$39,GG16&lt;&gt;""),AND(GK16&gt;=GM$35,GL16&gt;=GM$39,GK16&lt;&gt;""),AND(HC16&gt;=HI$35,HE16&gt;=HI$39,HC16&lt;&gt;""),AND(HG16&gt;=HI$35,HH16&gt;=HI$39,HG16&lt;&gt;""),AND(HY16&gt;=IE$35,IA16&gt;=IE$39,HY16&lt;&gt;""),AND(IC16&gt;=IE$35,ID16&gt;=IE$39,IC16&lt;&gt;""),AND(IU16&gt;=JA$35,IW16&gt;=JA$39,IU16&lt;&gt;""),AND(IY16&gt;=JA$35,IZ16&gt;=JA$39,IY16&lt;&gt;""),AND(JQ16&gt;=JW$35,JS16&gt;=JW$39,JQ16&lt;&gt;""),AND(JU16&gt;=JW$35,JV16&gt;=JW$39,JU16&lt;&gt;""),AND(KM16&gt;=KS$35,KO16&gt;=KS$39,KM16&lt;&gt;""),AND(KQ16&gt;=KS$35,KR16&gt;=KS$39,KQ16&lt;&gt;""),AND(LI16&gt;=LO$35,LK16&gt;=LO$39,LI16&lt;&gt;""),AND(LM16&gt;=LO$35,LN16&gt;=LO$39,LM16&lt;&gt;""),AND(ME16&gt;=MK$35,MG16&gt;=MK$39,ME16&lt;&gt;""),AND(MI16&gt;=MK$35,MJ16&gt;=MK$39,MI16&lt;&gt;""),AND(NA16&gt;=NG$35,NC16&gt;=NG$39,NA16&lt;&gt;""),AND(NE16&gt;=NG$35,NF16&gt;=NG$39,NE16&lt;&gt;"")),"P","")</f>
        <v/>
      </c>
      <c r="G16" s="3" t="str">
        <f>IF(OR(AND(AM16&gt;=AS$39,AL16&lt;&gt;"",AJ16=""),AND(AO16&gt;=AS$39,AN16&lt;&gt;"",AN16=""),AND(AR16&gt;=AS$39,AQ16&lt;&gt;"",AJ16=""),AND(BQ16&gt;=BW$39,BP16&lt;&gt;"",BN16=""),AND(BS16&gt;=BW$39,BR16&lt;&gt;"",BN16=""),AND(BV16&gt;=BW$39,BU16&lt;&gt;"",BN16=""),AND(CU16&gt;=DA$39,CT16&lt;&gt;"",CR16=""),AND(CW16&gt;=DA$39,CV16&lt;&gt;"",CR16=""),AND(CZ16&gt;=DA$39,CY16&lt;&gt;"",CR16=""),AND(DU16&gt;=DY$39,DS16&lt;&gt;""),AND(DX16&gt;=DY$39,DW16&lt;&gt;""),AND(EQ16&gt;=EU$39,EO16&lt;&gt;""),AND(ET16&gt;=EU$39,ES16&lt;&gt;""),AND(FM16&gt;=FQ$39,FK16&lt;&gt;""),AND(FP16&gt;=FQ$39,FO16&lt;&gt;""),AND(GI16&gt;=GM$39,GG16&lt;&gt;""),AND(GL16&gt;=GM$39,GK16&lt;&gt;""),AND(HE16&gt;=HI$39,HC16&lt;&gt;""),AND(HH16&gt;=HI$39,HG16&lt;&gt;""),AND(IA16&gt;=IE$39,HY16&lt;&gt;""),AND(ID16&gt;=IE$39,IC16&lt;&gt;""),AND(IW16&gt;=JA$39,IU16&lt;&gt;""),AND(IZ16&gt;=JA$39,IY16&lt;&gt;""),AND(JS16&gt;=JW$39,JQ16&lt;&gt;""),AND(JV16&gt;=JW$39,JU16&lt;&gt;""),AND(KO16&gt;=KS$39,KM16&lt;&gt;""),AND(KR16&gt;=KS$39,KQ16&lt;&gt;""),AND(LK16&gt;=LO$39,LI16&lt;&gt;""),AND(LN16&gt;=LO$39,LM16&lt;&gt;""),AND(MG16&gt;=MK$39,ME16&lt;&gt;""),AND(MJ16&gt;=MK$39,MI16&lt;&gt;""),AND(NC16&gt;=NG$39,NA16&lt;&gt;""),AND(NF16&gt;=NG$39,NE16&lt;&gt;"")),"P","")</f>
        <v/>
      </c>
      <c r="H16" s="66" t="str">
        <f>IF(F16="P","National Team",IF(G16="P","No DD",""))</f>
        <v/>
      </c>
      <c r="I16" s="14">
        <f>MAX(AM16,AO16,AR16,BQ16,BS16,BV16,CU16,CW16,CZ16)</f>
        <v>46.910000000000004</v>
      </c>
      <c r="J16" s="14" t="str">
        <f>IF(I16=0,"",IF(OR(I16=CW16,I16=CU16,I16=CZ16),$BX$1,IF(OR(I16=BS16,I16=BQ16,I16=BV16),$AT$1,IF(OR(I16=AO16,I16=AM16,I16=AR16),$P$1,""))))</f>
        <v>2022 Nationals</v>
      </c>
      <c r="K16" s="14">
        <f>IF(COUNT(AM16,AO16,AR16,BQ16,BS16,BV16,CU16,CW16,CZ16)&gt;1,LARGE((AM16,AO16,AR16,BQ16,BS16,BV16,CU16,CW16,CZ16),2),0)</f>
        <v>46.64</v>
      </c>
      <c r="L16" s="14" t="str">
        <f>IF(K16=0,"",IF(OR(K16=CW16,K16=CU16,K16=CZ16),$BX$1,IF(OR(K16=BS16,K16=BQ16,K16=BV16),$AT$1,IF(OR(K16=AO16,K16=AM16,K16=AR16),$P$1,""))))</f>
        <v>2022 Elite Canada</v>
      </c>
      <c r="M16" s="14" t="str">
        <f>IF(MAX(DB16,DC16)&gt;0,MAX(DB16,DC16),"")</f>
        <v/>
      </c>
      <c r="N16" s="19" t="str">
        <f>IF(M16="","",IF(M16=DB16,"(Prelim)",IF(M16=DC16,"(Final)")))</f>
        <v/>
      </c>
      <c r="O16" s="14" t="str">
        <f>IF(M16="","",IF(M16=DB16,IF(M16+IF(K16="",0,K16)=NC16,$ML$1,IF(M16+IF(K16="",0,K16)=MG16,$LP$1,IF(M16+IF(K16="",0,K16)=LK16,$KT$1,IF(M16+IF(K16="",0,K16)=KO16,$JX$1,IF(M16+IF(K16="",0,K16)=JS16,$JB$1,IF(M16+IF(K16="",0,K16)=IW16,$IF$1,IF(M16+IF(K16="",0,K16)=IA16,$HJ$1,IF(M16+IF(K16="",0,K16)=HE16,$GN$1,IF(M16+IF(K16="",0,K16)=GI16,$FR$1,IF(M16+IF(K16="",0,K16)=FM16,$EV$1,IF(M16+IF(K16="",0,K16)=EQ16,$DZ$1,IF(M16+IF(K16="",0,K16)=DU16,$DD$1,IF(M16+IF(K16="",0,K16)=NB16,$ML$1,IF(M16+IF(K16="",0,K16)=MF16,$LP$1,IF(M16+IF(K16="",0,K16)=LJ16,$KT$1,IF(M16+IF(K16="",0,K16)=KN16,$JX$1,IF(M16+IF(K16="",0,K16)=JR16,$JB$1,IF(M16+IF(K16="",0,K16)=IV16,$IF$1,IF(M16+IF(K16="",0,K16)=HZ16,$HJ$1,IF(M16+IF(K16="",0,K16)=HD16,$GN$1,IF(M16+IF(K16="",0,K16)=GH16,$FR$1,IF(M16+IF(K16="",0,K16)=FL16,$EV$1,IF(M16+IF(K16="",0,K16)=EP16,$DZ$1,IF(M16+IF(K16="",0,K16)=DT16,$DD$1))))))))))))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</f>
        <v/>
      </c>
      <c r="P16" s="37">
        <v>16.399999999999999</v>
      </c>
      <c r="Q16" s="37">
        <v>9.6</v>
      </c>
      <c r="R16" s="37">
        <v>1.5</v>
      </c>
      <c r="S16" s="37">
        <v>13.7</v>
      </c>
      <c r="T16" s="37">
        <v>0</v>
      </c>
      <c r="U16" s="37">
        <v>15.3</v>
      </c>
      <c r="V16" s="37">
        <v>9.3000000000000007</v>
      </c>
      <c r="W16" s="37">
        <v>8.5</v>
      </c>
      <c r="X16" s="37">
        <v>13.84</v>
      </c>
      <c r="Y16" s="37">
        <v>0.3</v>
      </c>
      <c r="Z16" s="37"/>
      <c r="AA16" s="37"/>
      <c r="AB16" s="37"/>
      <c r="AC16" s="37"/>
      <c r="AD16" s="37"/>
      <c r="AE16" s="37">
        <v>12.2</v>
      </c>
      <c r="AF16" s="37">
        <v>9.3000000000000007</v>
      </c>
      <c r="AG16" s="37">
        <v>7.9</v>
      </c>
      <c r="AH16" s="37">
        <v>13.58</v>
      </c>
      <c r="AI16" s="37">
        <v>0.9</v>
      </c>
      <c r="AJ16" s="44"/>
      <c r="AK16" s="11">
        <f>IF(SUM(P16:S16)-T16&gt;0,SUM(P16:S16)-T16,"")</f>
        <v>41.2</v>
      </c>
      <c r="AL16" s="11">
        <f>IF(W16&gt;0,W16,"")</f>
        <v>8.5</v>
      </c>
      <c r="AM16" s="11">
        <f>IF(SUM(U16:X16)-Y16&gt;0,SUM(U16:X16)-Y16,"")</f>
        <v>46.64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87.84</v>
      </c>
      <c r="AQ16" s="11">
        <f>IF(AG16&gt;0,AG16,"")</f>
        <v>7.9</v>
      </c>
      <c r="AR16" s="11">
        <f>IF(SUM(AE16:AH16)-AI16&gt;0,SUM(AE16:AH16)-AI16,"")</f>
        <v>42.08</v>
      </c>
      <c r="AS16" s="11">
        <f>IF(SUM(AP16,AR16)&gt;0,SUM(AP16,AR16),"")</f>
        <v>129.92000000000002</v>
      </c>
      <c r="AT16" s="41">
        <v>16.100000000000001</v>
      </c>
      <c r="AU16" s="41">
        <v>9.5</v>
      </c>
      <c r="AV16" s="41">
        <v>1.5</v>
      </c>
      <c r="AW16" s="41">
        <v>13.96</v>
      </c>
      <c r="AX16" s="41">
        <v>0</v>
      </c>
      <c r="AY16" s="41">
        <v>13.1</v>
      </c>
      <c r="AZ16" s="41">
        <v>9.3000000000000007</v>
      </c>
      <c r="BA16" s="41">
        <v>8.5</v>
      </c>
      <c r="BB16" s="41">
        <v>14.05</v>
      </c>
      <c r="BC16" s="41">
        <v>0.3</v>
      </c>
      <c r="BD16" s="41"/>
      <c r="BE16" s="41"/>
      <c r="BF16" s="41"/>
      <c r="BG16" s="41"/>
      <c r="BH16" s="41"/>
      <c r="BI16" s="41">
        <v>15.4</v>
      </c>
      <c r="BJ16" s="41">
        <v>9.3000000000000007</v>
      </c>
      <c r="BK16" s="41">
        <v>8.5</v>
      </c>
      <c r="BL16" s="41">
        <v>13.71</v>
      </c>
      <c r="BM16" s="41">
        <v>0</v>
      </c>
      <c r="BN16" s="45"/>
      <c r="BO16" s="14">
        <f>IF(SUM(AT16:AW16)-AX16&gt;0,SUM(AT16:AW16)-AX16,"")</f>
        <v>41.06</v>
      </c>
      <c r="BP16" s="14">
        <f>IF(BA16&gt;0,BA16,"")</f>
        <v>8.5</v>
      </c>
      <c r="BQ16" s="14">
        <f>IF(SUM(AY16:BB16)-BC16&gt;0,SUM(AY16:BB16)-BC16,"")</f>
        <v>44.650000000000006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85.710000000000008</v>
      </c>
      <c r="BU16" s="14">
        <f>IF(BK16&gt;0,BK16,"")</f>
        <v>8.5</v>
      </c>
      <c r="BV16" s="14">
        <f>IF(SUM(BI16:BL16)-BM16&gt;0,SUM(BI16:BL16)-BM16,"")</f>
        <v>46.910000000000004</v>
      </c>
      <c r="BW16" s="14">
        <f>IF(SUM(BT16,BV16)&gt;0,SUM(BT16,BV16),"")</f>
        <v>132.62</v>
      </c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44"/>
      <c r="CS16" s="11" t="str">
        <f>IF(SUM(BX16:CA16)-CB16&gt;0,SUM(BX16:CA16)-CB16,"")</f>
        <v/>
      </c>
      <c r="CT16" s="11" t="str">
        <f>IF(CE16&gt;0,CE16,"")</f>
        <v/>
      </c>
      <c r="CU16" s="11" t="str">
        <f>IF(SUM(CC16:CF16)-CG16&gt;0,SUM(CC16:CF16)-CG16,"")</f>
        <v/>
      </c>
      <c r="CV16" s="11" t="str">
        <f>IF(CJ16&gt;0,CJ16,"")</f>
        <v/>
      </c>
      <c r="CW16" s="11" t="str">
        <f>IF(SUM(CH16:CK16)-CL16&gt;0,SUM(CH16:CK16)-CL16,"")</f>
        <v/>
      </c>
      <c r="CX16" s="11" t="str">
        <f>IF(CS16="",IF(MAX(CU16,CW16)&gt;0,MAX(CU16,CW16),""),MAX(CU16,CW16)+CS16)</f>
        <v/>
      </c>
      <c r="CY16" s="11" t="str">
        <f>IF(CO16&gt;0,CO16,"")</f>
        <v/>
      </c>
      <c r="CZ16" s="11" t="str">
        <f>IF(SUM(CM16:CP16)-CQ16&gt;0,SUM(CM16:CP16)-CQ16,"")</f>
        <v/>
      </c>
      <c r="DA16" s="11" t="str">
        <f>IF(SUM(CX16,CZ16)&gt;0,SUM(CX16,CZ16),"")</f>
        <v/>
      </c>
      <c r="DB16" s="18" t="str">
        <f>IF(K16&gt;=0.001,IF(MAX(DT16,DU16,EP16,EQ16,FL16,FM16,GH16,GI16,HD16,HE16,HZ16,IA16,IV16,IW16,JR16,JS16,KN16,KO16,LJ16,LK16,MF16,MG16,NB16,NC16)-IF(K16="",0,K16)&gt;0.001,MAX(DT16,DU16,EP16,EQ16,FL16,FM16,GH16,GI16,HD16,HE16,HZ16,IA16,IV16,IW16,JR16,JS16,KN16,KO16,LJ16,LK16,MF16,MG16,NB16,NC16)-IF(K16="",0,K16),""),"")</f>
        <v/>
      </c>
      <c r="DC16" s="18" t="str">
        <f>IF(K16&gt;=0.001,IF(MAX(DX16,ET16,FP16,GL16,HH16,ID16,IZ16,JV16,KR16,LN16,MJ16,NF16)-IF(K16="",0,K16)&gt;0.001,MAX(DX16,ET16,FP16,GL16,HH16,ID16,IZ16,JV16,KR16,LN16,MJ16,NF16)-IF(K16="",0,K16),""),"")</f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4">
        <v>14.2</v>
      </c>
      <c r="EW16" s="24">
        <v>9.4</v>
      </c>
      <c r="EX16" s="24">
        <v>8.5</v>
      </c>
      <c r="EY16" s="24">
        <v>13.98</v>
      </c>
      <c r="EZ16" s="24">
        <v>0</v>
      </c>
      <c r="FA16" s="24">
        <v>15</v>
      </c>
      <c r="FB16" s="24">
        <v>9.5</v>
      </c>
      <c r="FC16" s="24">
        <v>8.5</v>
      </c>
      <c r="FD16" s="24">
        <v>13.62</v>
      </c>
      <c r="FE16" s="24">
        <v>0</v>
      </c>
      <c r="FF16" s="24"/>
      <c r="FG16" s="24"/>
      <c r="FH16" s="24"/>
      <c r="FI16" s="24"/>
      <c r="FJ16" s="24"/>
      <c r="FK16" s="11">
        <f>IF(FC16&gt;0,FC16,"")</f>
        <v>8.5</v>
      </c>
      <c r="FL16" s="11">
        <f>IF(SUM(EV16:EY16)-EZ16&gt;0,SUM(EV16:EY16)-EZ16,"")</f>
        <v>46.08</v>
      </c>
      <c r="FM16" s="11">
        <f>IF(SUM(FA16:FD16)-FE16&gt;0,SUM(FA16:FD16)-FE16,"")</f>
        <v>46.62</v>
      </c>
      <c r="FN16" s="11">
        <f>IF(SUM(FL16:FM16)&gt;0,SUM(FL16:FM16),"")</f>
        <v>92.699999999999989</v>
      </c>
      <c r="FO16" s="11" t="str">
        <f>IF(FH16&gt;0,FH16,"")</f>
        <v/>
      </c>
      <c r="FP16" s="11" t="str">
        <f>IF(SUM(FF16:FI16)-FJ16&gt;0,SUM(FF16:FI16)-FJ16,"")</f>
        <v/>
      </c>
      <c r="FQ16" s="11">
        <f>IF(SUM(FN16,FP16)&gt;0,SUM(FN16,FP16),"")</f>
        <v>92.699999999999989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7">
        <f>IF($CR16="P",BX16,(BX16+AT16)/2)</f>
        <v>8.0500000000000007</v>
      </c>
      <c r="NI16" s="37">
        <f>IF($CR16="P",BY16,(BY16+AU16)/2)</f>
        <v>4.75</v>
      </c>
      <c r="NJ16" s="37">
        <f>IF($CR16="P",BZ16,(BZ16+AV16)/2)</f>
        <v>0.75</v>
      </c>
      <c r="NK16" s="37">
        <f>IF($CR16="P",CA16,(CA16+AW16)/2)</f>
        <v>6.98</v>
      </c>
      <c r="NL16" s="37">
        <f>IF($CR16="P",CB16,(CB16+AX16)/2)</f>
        <v>0</v>
      </c>
      <c r="NM16" s="37">
        <f>IF($CR16="P",CC16,(CC16+AY16)/2)</f>
        <v>6.55</v>
      </c>
      <c r="NN16" s="37">
        <f>IF($CR16="P",CD16,(CD16+AZ16)/2)</f>
        <v>4.6500000000000004</v>
      </c>
      <c r="NO16" s="37">
        <f>IF($CR16="P",CE16,(CE16+BA16)/2)</f>
        <v>4.25</v>
      </c>
      <c r="NP16" s="37">
        <f>IF($CR16="P",CF16,(CF16+BB16)/2)</f>
        <v>7.0250000000000004</v>
      </c>
      <c r="NQ16" s="37">
        <f>IF($CR16="P",CG16,(CG16+BC16)/2)</f>
        <v>0.15</v>
      </c>
      <c r="NR16" s="37">
        <f>IF($CR16="P",CH16,(CH16+BD16)/2)</f>
        <v>0</v>
      </c>
      <c r="NS16" s="37">
        <f>IF($CR16="P",CI16,(CI16+BE16)/2)</f>
        <v>0</v>
      </c>
      <c r="NT16" s="37">
        <f>IF($CR16="P",CJ16,(CJ16+BF16)/2)</f>
        <v>0</v>
      </c>
      <c r="NU16" s="37">
        <f>IF($CR16="P",CK16,(CK16+BG16)/2)</f>
        <v>0</v>
      </c>
      <c r="NV16" s="37">
        <f>IF($CR16="P",CL16,(CL16+BH16)/2)</f>
        <v>0</v>
      </c>
      <c r="NW16" s="37">
        <f>IF($CR16="P",CM16,(CM16+BI16)/2)</f>
        <v>7.7</v>
      </c>
      <c r="NX16" s="37">
        <f>IF($CR16="P",CN16,(CN16+BJ16)/2)</f>
        <v>4.6500000000000004</v>
      </c>
      <c r="NY16" s="37">
        <f>IF($CR16="P",CO16,(CO16+BK16)/2)</f>
        <v>4.25</v>
      </c>
      <c r="NZ16" s="37">
        <f>IF($CR16="P",CP16,(CP16+BL16)/2)</f>
        <v>6.8550000000000004</v>
      </c>
      <c r="OA16" s="37">
        <f>IF($CR16="P",CQ16,(CQ16+BM16)/2)</f>
        <v>0</v>
      </c>
      <c r="OB16" s="44" t="s">
        <v>46</v>
      </c>
      <c r="OC16" s="11">
        <f>IF(SUM(NH16:NK16)-NL16&gt;0,SUM(NH16:NK16)-NL16,"")</f>
        <v>20.53</v>
      </c>
      <c r="OD16" s="11">
        <f>IF(NO16&gt;0,NO16,"")</f>
        <v>4.25</v>
      </c>
      <c r="OE16" s="11">
        <f>IF(SUM(NM16:NP16)-NQ16&gt;0,SUM(NM16:NP16)-NQ16,"")</f>
        <v>22.325000000000003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42.855000000000004</v>
      </c>
      <c r="OI16" s="11">
        <f>IF(NY16&gt;0,NY16,"")</f>
        <v>4.25</v>
      </c>
      <c r="OJ16" s="11">
        <f t="shared" ref="OJ16" si="18">IF(SUM(NW16:NZ16)-OA16&gt;0,SUM(NW16:NZ16)-OA16,"")</f>
        <v>23.455000000000002</v>
      </c>
      <c r="OK16" s="11">
        <f t="shared" ref="OK16" si="19">IF(SUM(OH16,OJ16)&gt;0,SUM(OH16,OJ16),"")</f>
        <v>66.31</v>
      </c>
    </row>
    <row r="17" spans="1:401" x14ac:dyDescent="0.2">
      <c r="A17" s="5" t="str" cm="1">
        <f t="array" ref="A17">IF(AND(F17="P",G17="P"),SUMPRODUCT((F$4:F$33="P")*(G$4:G$33="P")*(E$4:E$33&gt;E17))+1,IF(G17="P",SUMPRODUCT((F$4:F$33="")*(G$4:G$33="P")*(E$4:E$33&gt;E17))+1+SUMPRODUCT((F$4:F$33="P")*(G$4:G$33="P")),""))</f>
        <v/>
      </c>
      <c r="B17" s="8" t="s">
        <v>98</v>
      </c>
      <c r="C17" s="4" t="s">
        <v>5</v>
      </c>
      <c r="D17" s="21">
        <v>2003</v>
      </c>
      <c r="E17" s="15">
        <f>SUM(I17:M17)</f>
        <v>92.58</v>
      </c>
      <c r="F17" s="3" t="str">
        <f>IF(OR(AND(AL17&gt;=AS$35,AM17&gt;=AS$39,AL17&lt;&gt;"",AJ17=""),AND(AN17&gt;=AS$35,AO17&gt;=AS$39,AN17&lt;&gt;"",AN17=""),AND(AQ17&gt;=AS$35,AR17&gt;=AS$39,AQ17&lt;&gt;"",AJ17=""),AND(BP17&gt;=BW$35,BQ17&gt;=BW$39,BP17&lt;&gt;"",BN17=""),AND(BR17&gt;=BW$35,BS17&gt;=BW$39,BR17&lt;&gt;"",BN17=""),AND(BU17&gt;=BW$35,BV17&gt;=BW$39,BU17&lt;&gt;"",BN17=""),AND(CT17&gt;=DA$35,CU17&gt;=DA$39,CT17&lt;&gt;"",CR17=""),AND(CV17&gt;=DA$35,CW17&gt;=DA$39,CV17&lt;&gt;"",CR17=""),AND(CY17&gt;=DA$35,CZ17&gt;=DA$39,CY17&lt;&gt;"",CR17=""),AND(DS17&gt;=DY$35,DU17&gt;=DY$39,DS17&lt;&gt;""),AND(DW17&gt;=DY$35,DX17&gt;=DY$39,DW17&lt;&gt;""),AND(EO17&gt;=EU$35,EQ17&gt;=EU$39,EO17&lt;&gt;""),AND(ES17&gt;=EU$35,ET17&gt;=EU$39,ES17&lt;&gt;""),AND(FK17&gt;=FQ$35,FM17&gt;=FQ$39,FK17&lt;&gt;""),AND(FO17&gt;=FQ$35,FP17&gt;=FQ$39,FO17&lt;&gt;""),AND(GG17&gt;=GM$35,GI17&gt;=GM$39,GG17&lt;&gt;""),AND(GK17&gt;=GM$35,GL17&gt;=GM$39,GK17&lt;&gt;""),AND(HC17&gt;=HI$35,HE17&gt;=HI$39,HC17&lt;&gt;""),AND(HG17&gt;=HI$35,HH17&gt;=HI$39,HG17&lt;&gt;""),AND(HY17&gt;=IE$35,IA17&gt;=IE$39,HY17&lt;&gt;""),AND(IC17&gt;=IE$35,ID17&gt;=IE$39,IC17&lt;&gt;""),AND(IU17&gt;=JA$35,IW17&gt;=JA$39,IU17&lt;&gt;""),AND(IY17&gt;=JA$35,IZ17&gt;=JA$39,IY17&lt;&gt;""),AND(JQ17&gt;=JW$35,JS17&gt;=JW$39,JQ17&lt;&gt;""),AND(JU17&gt;=JW$35,JV17&gt;=JW$39,JU17&lt;&gt;""),AND(KM17&gt;=KS$35,KO17&gt;=KS$39,KM17&lt;&gt;""),AND(KQ17&gt;=KS$35,KR17&gt;=KS$39,KQ17&lt;&gt;""),AND(LI17&gt;=LO$35,LK17&gt;=LO$39,LI17&lt;&gt;""),AND(LM17&gt;=LO$35,LN17&gt;=LO$39,LM17&lt;&gt;""),AND(ME17&gt;=MK$35,MG17&gt;=MK$39,ME17&lt;&gt;""),AND(MI17&gt;=MK$35,MJ17&gt;=MK$39,MI17&lt;&gt;""),AND(NA17&gt;=NG$35,NC17&gt;=NG$39,NA17&lt;&gt;""),AND(NE17&gt;=NG$35,NF17&gt;=NG$39,NE17&lt;&gt;"")),"P","")</f>
        <v/>
      </c>
      <c r="G17" s="3" t="str">
        <f>IF(OR(AND(AM17&gt;=AS$39,AL17&lt;&gt;"",AJ17=""),AND(AO17&gt;=AS$39,AN17&lt;&gt;"",AN17=""),AND(AR17&gt;=AS$39,AQ17&lt;&gt;"",AJ17=""),AND(BQ17&gt;=BW$39,BP17&lt;&gt;"",BN17=""),AND(BS17&gt;=BW$39,BR17&lt;&gt;"",BN17=""),AND(BV17&gt;=BW$39,BU17&lt;&gt;"",BN17=""),AND(CU17&gt;=DA$39,CT17&lt;&gt;"",CR17=""),AND(CW17&gt;=DA$39,CV17&lt;&gt;"",CR17=""),AND(CZ17&gt;=DA$39,CY17&lt;&gt;"",CR17=""),AND(DU17&gt;=DY$39,DS17&lt;&gt;""),AND(DX17&gt;=DY$39,DW17&lt;&gt;""),AND(EQ17&gt;=EU$39,EO17&lt;&gt;""),AND(ET17&gt;=EU$39,ES17&lt;&gt;""),AND(FM17&gt;=FQ$39,FK17&lt;&gt;""),AND(FP17&gt;=FQ$39,FO17&lt;&gt;""),AND(GI17&gt;=GM$39,GG17&lt;&gt;""),AND(GL17&gt;=GM$39,GK17&lt;&gt;""),AND(HE17&gt;=HI$39,HC17&lt;&gt;""),AND(HH17&gt;=HI$39,HG17&lt;&gt;""),AND(IA17&gt;=IE$39,HY17&lt;&gt;""),AND(ID17&gt;=IE$39,IC17&lt;&gt;""),AND(IW17&gt;=JA$39,IU17&lt;&gt;""),AND(IZ17&gt;=JA$39,IY17&lt;&gt;""),AND(JS17&gt;=JW$39,JQ17&lt;&gt;""),AND(JV17&gt;=JW$39,JU17&lt;&gt;""),AND(KO17&gt;=KS$39,KM17&lt;&gt;""),AND(KR17&gt;=KS$39,KQ17&lt;&gt;""),AND(LK17&gt;=LO$39,LI17&lt;&gt;""),AND(LN17&gt;=LO$39,LM17&lt;&gt;""),AND(MG17&gt;=MK$39,ME17&lt;&gt;""),AND(MJ17&gt;=MK$39,MI17&lt;&gt;""),AND(NC17&gt;=NG$39,NA17&lt;&gt;""),AND(NF17&gt;=NG$39,NE17&lt;&gt;"")),"P","")</f>
        <v/>
      </c>
      <c r="H17" s="66" t="str">
        <f>IF(F17="P","National Team",IF(G17="P","No DD",""))</f>
        <v/>
      </c>
      <c r="I17" s="14">
        <f>MAX(AM17,AO17,AR17,BQ17,BS17,BV17,CU17,CW17,CZ17)</f>
        <v>46.68</v>
      </c>
      <c r="J17" s="14" t="str">
        <f>IF(I17=0,"",IF(OR(I17=CW17,I17=CU17,I17=CZ17),$BX$1,IF(OR(I17=BS17,I17=BQ17,I17=BV17),$AT$1,IF(OR(I17=AO17,I17=AM17,I17=AR17),$P$1,""))))</f>
        <v>2022 Elite Canada</v>
      </c>
      <c r="K17" s="14">
        <f>IF(COUNT(AM17,AO17,AR17,BQ17,BS17,BV17,CU17,CW17,CZ17)&gt;1,LARGE((AM17,AO17,AR17,BQ17,BS17,BV17,CU17,CW17,CZ17),2),0)</f>
        <v>45.9</v>
      </c>
      <c r="L17" s="14" t="str">
        <f>IF(K17=0,"",IF(OR(K17=CW17,K17=CU17,K17=CZ17),$BX$1,IF(OR(K17=BS17,K17=BQ17,K17=BV17),$AT$1,IF(OR(K17=AO17,K17=AM17,K17=AR17),$P$1,""))))</f>
        <v>2022 Nationals</v>
      </c>
      <c r="M17" s="14" t="str">
        <f>IF(MAX(DB17,DC17)&gt;0,MAX(DB17,DC17),"")</f>
        <v/>
      </c>
      <c r="N17" s="19" t="str">
        <f>IF(M17="","",IF(M17=DB17,"(Prelim)",IF(M17=DC17,"(Final)")))</f>
        <v/>
      </c>
      <c r="O17" s="14" t="str">
        <f>IF(M17="","",IF(M17=DB17,IF(M17+IF(K17="",0,K17)=NC17,$ML$1,IF(M17+IF(K17="",0,K17)=MG17,$LP$1,IF(M17+IF(K17="",0,K17)=LK17,$KT$1,IF(M17+IF(K17="",0,K17)=KO17,$JX$1,IF(M17+IF(K17="",0,K17)=JS17,$JB$1,IF(M17+IF(K17="",0,K17)=IW17,$IF$1,IF(M17+IF(K17="",0,K17)=IA17,$HJ$1,IF(M17+IF(K17="",0,K17)=HE17,$GN$1,IF(M17+IF(K17="",0,K17)=GI17,$FR$1,IF(M17+IF(K17="",0,K17)=FM17,$EV$1,IF(M17+IF(K17="",0,K17)=EQ17,$DZ$1,IF(M17+IF(K17="",0,K17)=DU17,$DD$1,IF(M17+IF(K17="",0,K17)=NB17,$ML$1,IF(M17+IF(K17="",0,K17)=MF17,$LP$1,IF(M17+IF(K17="",0,K17)=LJ17,$KT$1,IF(M17+IF(K17="",0,K17)=KN17,$JX$1,IF(M17+IF(K17="",0,K17)=JR17,$JB$1,IF(M17+IF(K17="",0,K17)=IV17,$IF$1,IF(M17+IF(K17="",0,K17)=HZ17,$HJ$1,IF(M17+IF(K17="",0,K17)=HD17,$GN$1,IF(M17+IF(K17="",0,K17)=GH17,$FR$1,IF(M17+IF(K17="",0,K17)=FL17,$EV$1,IF(M17+IF(K17="",0,K17)=EP17,$DZ$1,IF(M17+IF(K17="",0,K17)=DT17,$DD$1))))))))))))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</f>
        <v/>
      </c>
      <c r="P17" s="37">
        <v>15.8</v>
      </c>
      <c r="Q17" s="37">
        <v>9.5</v>
      </c>
      <c r="R17" s="37">
        <v>2.2000000000000002</v>
      </c>
      <c r="S17" s="37">
        <v>13.75</v>
      </c>
      <c r="T17" s="37">
        <v>0</v>
      </c>
      <c r="U17" s="37">
        <v>13.4</v>
      </c>
      <c r="V17" s="37">
        <v>9.1999999999999993</v>
      </c>
      <c r="W17" s="37">
        <v>9.9</v>
      </c>
      <c r="X17" s="37">
        <v>12.9</v>
      </c>
      <c r="Y17" s="37">
        <v>0</v>
      </c>
      <c r="Z17" s="37"/>
      <c r="AA17" s="37"/>
      <c r="AB17" s="37"/>
      <c r="AC17" s="37"/>
      <c r="AD17" s="37"/>
      <c r="AE17" s="37">
        <v>14</v>
      </c>
      <c r="AF17" s="37">
        <v>9.4</v>
      </c>
      <c r="AG17" s="37">
        <v>10.1</v>
      </c>
      <c r="AH17" s="37">
        <v>13.18</v>
      </c>
      <c r="AI17" s="37">
        <v>0</v>
      </c>
      <c r="AJ17" s="44"/>
      <c r="AK17" s="11">
        <f>IF(SUM(P17:S17)-T17&gt;0,SUM(P17:S17)-T17,"")</f>
        <v>41.25</v>
      </c>
      <c r="AL17" s="11">
        <f>IF(W17&gt;0,W17,"")</f>
        <v>9.9</v>
      </c>
      <c r="AM17" s="11">
        <f>IF(SUM(U17:X17)-Y17&gt;0,SUM(U17:X17)-Y17,"")</f>
        <v>45.4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86.65</v>
      </c>
      <c r="AQ17" s="11">
        <f>IF(AG17&gt;0,AG17,"")</f>
        <v>10.1</v>
      </c>
      <c r="AR17" s="11">
        <f>IF(SUM(AE17:AH17)-AI17&gt;0,SUM(AE17:AH17)-AI17,"")</f>
        <v>46.68</v>
      </c>
      <c r="AS17" s="11">
        <f>IF(SUM(AP17,AR17)&gt;0,SUM(AP17,AR17),"")</f>
        <v>133.33000000000001</v>
      </c>
      <c r="AT17" s="41">
        <v>15.2</v>
      </c>
      <c r="AU17" s="41">
        <v>9.4</v>
      </c>
      <c r="AV17" s="41">
        <v>2.2000000000000002</v>
      </c>
      <c r="AW17" s="41">
        <v>13.46</v>
      </c>
      <c r="AX17" s="41">
        <v>0</v>
      </c>
      <c r="AY17" s="41">
        <v>13.7</v>
      </c>
      <c r="AZ17" s="41">
        <v>9.3000000000000007</v>
      </c>
      <c r="BA17" s="41">
        <v>9.9</v>
      </c>
      <c r="BB17" s="41">
        <v>13</v>
      </c>
      <c r="BC17" s="41">
        <v>0</v>
      </c>
      <c r="BD17" s="41"/>
      <c r="BE17" s="41"/>
      <c r="BF17" s="41"/>
      <c r="BG17" s="41"/>
      <c r="BH17" s="41"/>
      <c r="BI17" s="41">
        <v>4.4000000000000004</v>
      </c>
      <c r="BJ17" s="41">
        <v>2.5</v>
      </c>
      <c r="BK17" s="41">
        <v>3.1</v>
      </c>
      <c r="BL17" s="41">
        <v>4.08</v>
      </c>
      <c r="BM17" s="41">
        <v>0</v>
      </c>
      <c r="BN17" s="45"/>
      <c r="BO17" s="14">
        <f>IF(SUM(AT17:AW17)-AX17&gt;0,SUM(AT17:AW17)-AX17,"")</f>
        <v>40.260000000000005</v>
      </c>
      <c r="BP17" s="14">
        <f>IF(BA17&gt;0,BA17,"")</f>
        <v>9.9</v>
      </c>
      <c r="BQ17" s="14">
        <f>IF(SUM(AY17:BB17)-BC17&gt;0,SUM(AY17:BB17)-BC17,"")</f>
        <v>45.9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86.16</v>
      </c>
      <c r="BU17" s="14">
        <f>IF(BK17&gt;0,BK17,"")</f>
        <v>3.1</v>
      </c>
      <c r="BV17" s="14">
        <f>IF(SUM(BI17:BL17)-BM17&gt;0,SUM(BI17:BL17)-BM17,"")</f>
        <v>14.08</v>
      </c>
      <c r="BW17" s="14">
        <f>IF(SUM(BT17,BV17)&gt;0,SUM(BT17,BV17),"")</f>
        <v>100.24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>IF(SUM(BX17:CA17)-CB17&gt;0,SUM(BX17:CA17)-CB17,"")</f>
        <v/>
      </c>
      <c r="CT17" s="11" t="str">
        <f>IF(CE17&gt;0,CE17,"")</f>
        <v/>
      </c>
      <c r="CU17" s="11" t="str">
        <f>IF(SUM(CC17:CF17)-CG17&gt;0,SUM(CC17:CF17)-CG17,"")</f>
        <v/>
      </c>
      <c r="CV17" s="11" t="str">
        <f>IF(CJ17&gt;0,CJ17,"")</f>
        <v/>
      </c>
      <c r="CW17" s="11" t="str">
        <f>IF(SUM(CH17:CK17)-CL17&gt;0,SUM(CH17:CK17)-CL17,"")</f>
        <v/>
      </c>
      <c r="CX17" s="11" t="str">
        <f>IF(CS17="",IF(MAX(CU17,CW17)&gt;0,MAX(CU17,CW17),""),MAX(CU17,CW17)+CS17)</f>
        <v/>
      </c>
      <c r="CY17" s="11" t="str">
        <f>IF(CO17&gt;0,CO17,"")</f>
        <v/>
      </c>
      <c r="CZ17" s="11" t="str">
        <f>IF(SUM(CM17:CP17)-CQ17&gt;0,SUM(CM17:CP17)-CQ17,"")</f>
        <v/>
      </c>
      <c r="DA17" s="11" t="str">
        <f>IF(SUM(CX17,CZ17)&gt;0,SUM(CX17,CZ17),"")</f>
        <v/>
      </c>
      <c r="DB17" s="18" t="str">
        <f>IF(K17&gt;=0.001,IF(MAX(DT17,DU17,EP17,EQ17,FL17,FM17,GH17,GI17,HD17,HE17,HZ17,IA17,IV17,IW17,JR17,JS17,KN17,KO17,LJ17,LK17,MF17,MG17,NB17,NC17)-IF(K17="",0,K17)&gt;0.001,MAX(DT17,DU17,EP17,EQ17,FL17,FM17,GH17,GI17,HD17,HE17,HZ17,IA17,IV17,IW17,JR17,JS17,KN17,KO17,LJ17,LK17,MF17,MG17,NB17,NC17)-IF(K17="",0,K17),""),"")</f>
        <v/>
      </c>
      <c r="DC17" s="18" t="str">
        <f>IF(K17&gt;=0.001,IF(MAX(DX17,ET17,FP17,GL17,HH17,ID17,IZ17,JV17,KR17,LN17,MJ17,NF17)-IF(K17="",0,K17)&gt;0.001,MAX(DX17,ET17,FP17,GL17,HH17,ID17,IZ17,JV17,KR17,LN17,MJ17,NF17)-IF(K17="",0,K17),""),"")</f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4">
        <v>8.8000000000000007</v>
      </c>
      <c r="EW17" s="24">
        <v>6.2</v>
      </c>
      <c r="EX17" s="24">
        <v>4.9000000000000004</v>
      </c>
      <c r="EY17" s="24">
        <v>8.7799999999999994</v>
      </c>
      <c r="EZ17" s="24">
        <v>0</v>
      </c>
      <c r="FA17" s="24">
        <v>1.3</v>
      </c>
      <c r="FB17" s="24">
        <v>1</v>
      </c>
      <c r="FC17" s="24">
        <v>1.3</v>
      </c>
      <c r="FD17" s="24">
        <v>1.39</v>
      </c>
      <c r="FE17" s="24">
        <v>0</v>
      </c>
      <c r="FF17" s="24"/>
      <c r="FG17" s="24"/>
      <c r="FH17" s="24"/>
      <c r="FI17" s="24"/>
      <c r="FJ17" s="24"/>
      <c r="FK17" s="11">
        <f>IF(FC17&gt;0,FC17,"")</f>
        <v>1.3</v>
      </c>
      <c r="FL17" s="11">
        <f>IF(SUM(EV17:EY17)-EZ17&gt;0,SUM(EV17:EY17)-EZ17,"")</f>
        <v>28.68</v>
      </c>
      <c r="FM17" s="11">
        <f>IF(SUM(FA17:FD17)-FE17&gt;0,SUM(FA17:FD17)-FE17,"")</f>
        <v>4.9899999999999993</v>
      </c>
      <c r="FN17" s="11">
        <f>IF(SUM(FL17:FM17)&gt;0,SUM(FL17:FM17),"")</f>
        <v>33.67</v>
      </c>
      <c r="FO17" s="11" t="str">
        <f>IF(FH17&gt;0,FH17,"")</f>
        <v/>
      </c>
      <c r="FP17" s="11" t="str">
        <f>IF(SUM(FF17:FI17)-FJ17&gt;0,SUM(FF17:FI17)-FJ17,"")</f>
        <v/>
      </c>
      <c r="FQ17" s="11">
        <f>IF(SUM(FN17,FP17)&gt;0,SUM(FN17,FP17),"")</f>
        <v>33.67</v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7">
        <f>IF($CR17="P",BX17,(BX17+AT17)/2)</f>
        <v>7.6</v>
      </c>
      <c r="NI17" s="37">
        <f>IF($CR17="P",BY17,(BY17+AU17)/2)</f>
        <v>4.7</v>
      </c>
      <c r="NJ17" s="37">
        <f>IF($CR17="P",BZ17,(BZ17+AV17)/2)</f>
        <v>1.1000000000000001</v>
      </c>
      <c r="NK17" s="37">
        <f>IF($CR17="P",CA17,(CA17+AW17)/2)</f>
        <v>6.73</v>
      </c>
      <c r="NL17" s="37">
        <f>IF($CR17="P",CB17,(CB17+AX17)/2)</f>
        <v>0</v>
      </c>
      <c r="NM17" s="37">
        <f>IF($CR17="P",CC17,(CC17+AY17)/2)</f>
        <v>6.85</v>
      </c>
      <c r="NN17" s="37">
        <f>IF($CR17="P",CD17,(CD17+AZ17)/2)</f>
        <v>4.6500000000000004</v>
      </c>
      <c r="NO17" s="37">
        <f>IF($CR17="P",CE17,(CE17+BA17)/2)</f>
        <v>4.95</v>
      </c>
      <c r="NP17" s="37">
        <f>IF($CR17="P",CF17,(CF17+BB17)/2)</f>
        <v>6.5</v>
      </c>
      <c r="NQ17" s="37">
        <f>IF($CR17="P",CG17,(CG17+BC17)/2)</f>
        <v>0</v>
      </c>
      <c r="NR17" s="37">
        <f>IF($CR17="P",CH17,(CH17+BD17)/2)</f>
        <v>0</v>
      </c>
      <c r="NS17" s="37">
        <f>IF($CR17="P",CI17,(CI17+BE17)/2)</f>
        <v>0</v>
      </c>
      <c r="NT17" s="37">
        <f>IF($CR17="P",CJ17,(CJ17+BF17)/2)</f>
        <v>0</v>
      </c>
      <c r="NU17" s="37">
        <f>IF($CR17="P",CK17,(CK17+BG17)/2)</f>
        <v>0</v>
      </c>
      <c r="NV17" s="37">
        <f>IF($CR17="P",CL17,(CL17+BH17)/2)</f>
        <v>0</v>
      </c>
      <c r="NW17" s="37">
        <f>IF($CR17="P",CM17,(CM17+BI17)/2)</f>
        <v>2.2000000000000002</v>
      </c>
      <c r="NX17" s="37">
        <f>IF($CR17="P",CN17,(CN17+BJ17)/2)</f>
        <v>1.25</v>
      </c>
      <c r="NY17" s="37">
        <f>IF($CR17="P",CO17,(CO17+BK17)/2)</f>
        <v>1.55</v>
      </c>
      <c r="NZ17" s="37">
        <f>IF($CR17="P",CP17,(CP17+BL17)/2)</f>
        <v>2.04</v>
      </c>
      <c r="OA17" s="37">
        <f>IF($CR17="P",CQ17,(CQ17+BM17)/2)</f>
        <v>0</v>
      </c>
      <c r="OB17" s="44" t="s">
        <v>46</v>
      </c>
      <c r="OC17" s="11">
        <f>IF(SUM(NH17:NK17)-NL17&gt;0,SUM(NH17:NK17)-NL17,"")</f>
        <v>20.130000000000003</v>
      </c>
      <c r="OD17" s="11">
        <f>IF(NO17&gt;0,NO17,"")</f>
        <v>4.95</v>
      </c>
      <c r="OE17" s="11">
        <f>IF(SUM(NM17:NP17)-NQ17&gt;0,SUM(NM17:NP17)-NQ17,"")</f>
        <v>22.95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43.08</v>
      </c>
      <c r="OI17" s="11">
        <f>IF(NY17&gt;0,NY17,"")</f>
        <v>1.55</v>
      </c>
      <c r="OJ17" s="11">
        <f t="shared" ref="OJ17" si="20">IF(SUM(NW17:NZ17)-OA17&gt;0,SUM(NW17:NZ17)-OA17,"")</f>
        <v>7.04</v>
      </c>
      <c r="OK17" s="11">
        <f t="shared" ref="OK17" si="21">IF(SUM(OH17,OJ17)&gt;0,SUM(OH17,OJ17),"")</f>
        <v>50.12</v>
      </c>
    </row>
    <row r="18" spans="1:401" x14ac:dyDescent="0.2">
      <c r="A18" s="5" t="str" cm="1">
        <f t="array" ref="A18">IF(AND(F18="P",G18="P"),SUMPRODUCT((F$4:F$33="P")*(G$4:G$33="P")*(E$4:E$33&gt;E18))+1,IF(G18="P",SUMPRODUCT((F$4:F$33="")*(G$4:G$33="P")*(E$4:E$33&gt;E18))+1+SUMPRODUCT((F$4:F$33="P")*(G$4:G$33="P")),""))</f>
        <v/>
      </c>
      <c r="B18" s="6" t="s">
        <v>111</v>
      </c>
      <c r="C18" s="7" t="s">
        <v>6</v>
      </c>
      <c r="D18" s="21">
        <v>2003</v>
      </c>
      <c r="E18" s="15">
        <f>SUM(I18:M18)</f>
        <v>91.68</v>
      </c>
      <c r="F18" s="3" t="str">
        <f>IF(OR(AND(AL18&gt;=AS$35,AM18&gt;=AS$39,AL18&lt;&gt;"",AJ18=""),AND(AN18&gt;=AS$35,AO18&gt;=AS$39,AN18&lt;&gt;"",AN18=""),AND(AQ18&gt;=AS$35,AR18&gt;=AS$39,AQ18&lt;&gt;"",AJ18=""),AND(BP18&gt;=BW$35,BQ18&gt;=BW$39,BP18&lt;&gt;"",BN18=""),AND(BR18&gt;=BW$35,BS18&gt;=BW$39,BR18&lt;&gt;"",BN18=""),AND(BU18&gt;=BW$35,BV18&gt;=BW$39,BU18&lt;&gt;"",BN18=""),AND(CT18&gt;=DA$35,CU18&gt;=DA$39,CT18&lt;&gt;"",CR18=""),AND(CV18&gt;=DA$35,CW18&gt;=DA$39,CV18&lt;&gt;"",CR18=""),AND(CY18&gt;=DA$35,CZ18&gt;=DA$39,CY18&lt;&gt;"",CR18=""),AND(DS18&gt;=DY$35,DU18&gt;=DY$39,DS18&lt;&gt;""),AND(DW18&gt;=DY$35,DX18&gt;=DY$39,DW18&lt;&gt;""),AND(EO18&gt;=EU$35,EQ18&gt;=EU$39,EO18&lt;&gt;""),AND(ES18&gt;=EU$35,ET18&gt;=EU$39,ES18&lt;&gt;""),AND(FK18&gt;=FQ$35,FM18&gt;=FQ$39,FK18&lt;&gt;""),AND(FO18&gt;=FQ$35,FP18&gt;=FQ$39,FO18&lt;&gt;""),AND(GG18&gt;=GM$35,GI18&gt;=GM$39,GG18&lt;&gt;""),AND(GK18&gt;=GM$35,GL18&gt;=GM$39,GK18&lt;&gt;""),AND(HC18&gt;=HI$35,HE18&gt;=HI$39,HC18&lt;&gt;""),AND(HG18&gt;=HI$35,HH18&gt;=HI$39,HG18&lt;&gt;""),AND(HY18&gt;=IE$35,IA18&gt;=IE$39,HY18&lt;&gt;""),AND(IC18&gt;=IE$35,ID18&gt;=IE$39,IC18&lt;&gt;""),AND(IU18&gt;=JA$35,IW18&gt;=JA$39,IU18&lt;&gt;""),AND(IY18&gt;=JA$35,IZ18&gt;=JA$39,IY18&lt;&gt;""),AND(JQ18&gt;=JW$35,JS18&gt;=JW$39,JQ18&lt;&gt;""),AND(JU18&gt;=JW$35,JV18&gt;=JW$39,JU18&lt;&gt;""),AND(KM18&gt;=KS$35,KO18&gt;=KS$39,KM18&lt;&gt;""),AND(KQ18&gt;=KS$35,KR18&gt;=KS$39,KQ18&lt;&gt;""),AND(LI18&gt;=LO$35,LK18&gt;=LO$39,LI18&lt;&gt;""),AND(LM18&gt;=LO$35,LN18&gt;=LO$39,LM18&lt;&gt;""),AND(ME18&gt;=MK$35,MG18&gt;=MK$39,ME18&lt;&gt;""),AND(MI18&gt;=MK$35,MJ18&gt;=MK$39,MI18&lt;&gt;""),AND(NA18&gt;=NG$35,NC18&gt;=NG$39,NA18&lt;&gt;""),AND(NE18&gt;=NG$35,NF18&gt;=NG$39,NE18&lt;&gt;"")),"P","")</f>
        <v/>
      </c>
      <c r="G18" s="3" t="str">
        <f>IF(OR(AND(AM18&gt;=AS$39,AL18&lt;&gt;"",AJ18=""),AND(AO18&gt;=AS$39,AN18&lt;&gt;"",AN18=""),AND(AR18&gt;=AS$39,AQ18&lt;&gt;"",AJ18=""),AND(BQ18&gt;=BW$39,BP18&lt;&gt;"",BN18=""),AND(BS18&gt;=BW$39,BR18&lt;&gt;"",BN18=""),AND(BV18&gt;=BW$39,BU18&lt;&gt;"",BN18=""),AND(CU18&gt;=DA$39,CT18&lt;&gt;"",CR18=""),AND(CW18&gt;=DA$39,CV18&lt;&gt;"",CR18=""),AND(CZ18&gt;=DA$39,CY18&lt;&gt;"",CR18=""),AND(DU18&gt;=DY$39,DS18&lt;&gt;""),AND(DX18&gt;=DY$39,DW18&lt;&gt;""),AND(EQ18&gt;=EU$39,EO18&lt;&gt;""),AND(ET18&gt;=EU$39,ES18&lt;&gt;""),AND(FM18&gt;=FQ$39,FK18&lt;&gt;""),AND(FP18&gt;=FQ$39,FO18&lt;&gt;""),AND(GI18&gt;=GM$39,GG18&lt;&gt;""),AND(GL18&gt;=GM$39,GK18&lt;&gt;""),AND(HE18&gt;=HI$39,HC18&lt;&gt;""),AND(HH18&gt;=HI$39,HG18&lt;&gt;""),AND(IA18&gt;=IE$39,HY18&lt;&gt;""),AND(ID18&gt;=IE$39,IC18&lt;&gt;""),AND(IW18&gt;=JA$39,IU18&lt;&gt;""),AND(IZ18&gt;=JA$39,IY18&lt;&gt;""),AND(JS18&gt;=JW$39,JQ18&lt;&gt;""),AND(JV18&gt;=JW$39,JU18&lt;&gt;""),AND(KO18&gt;=KS$39,KM18&lt;&gt;""),AND(KR18&gt;=KS$39,KQ18&lt;&gt;""),AND(LK18&gt;=LO$39,LI18&lt;&gt;""),AND(LN18&gt;=LO$39,LM18&lt;&gt;""),AND(MG18&gt;=MK$39,ME18&lt;&gt;""),AND(MJ18&gt;=MK$39,MI18&lt;&gt;""),AND(NC18&gt;=NG$39,NA18&lt;&gt;""),AND(NF18&gt;=NG$39,NE18&lt;&gt;"")),"P","")</f>
        <v/>
      </c>
      <c r="H18" s="66" t="str">
        <f>IF(F18="P","National Team",IF(G18="P","No DD",""))</f>
        <v/>
      </c>
      <c r="I18" s="14">
        <f>MAX(AM18,AO18,AR18,BQ18,BS18,BV18,CU18,CW18,CZ18)</f>
        <v>46.17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45.51</v>
      </c>
      <c r="L18" s="14" t="str">
        <f>IF(K18=0,"",IF(OR(K18=CW18,K18=CU18,K18=CZ18),$BX$1,IF(OR(K18=BS18,K18=BQ18,K18=BV18),$AT$1,IF(OR(K18=AO18,K18=AM18,K18=AR18),$P$1,""))))</f>
        <v>2022 Elite Canada</v>
      </c>
      <c r="M18" s="14" t="str">
        <f>IF(MAX(DB18,DC18)&gt;0,MAX(DB18,DC18),"")</f>
        <v/>
      </c>
      <c r="N18" s="19" t="str">
        <f>IF(M18="","",IF(M18=DB18,"(Prelim)",IF(M18=DC18,"(Final)")))</f>
        <v/>
      </c>
      <c r="O18" s="14" t="str">
        <f>IF(M18="","",IF(M18=DB18,IF(M18+IF(K18="",0,K18)=NC18,$ML$1,IF(M18+IF(K18="",0,K18)=MG18,$LP$1,IF(M18+IF(K18="",0,K18)=LK18,$KT$1,IF(M18+IF(K18="",0,K18)=KO18,$JX$1,IF(M18+IF(K18="",0,K18)=JS18,$JB$1,IF(M18+IF(K18="",0,K18)=IW18,$IF$1,IF(M18+IF(K18="",0,K18)=IA18,$HJ$1,IF(M18+IF(K18="",0,K18)=HE18,$GN$1,IF(M18+IF(K18="",0,K18)=GI18,$FR$1,IF(M18+IF(K18="",0,K18)=FM18,$EV$1,IF(M18+IF(K18="",0,K18)=EQ18,$DZ$1,IF(M18+IF(K18="",0,K18)=DU18,$DD$1,IF(M18+IF(K18="",0,K18)=NB18,$ML$1,IF(M18+IF(K18="",0,K18)=MF18,$LP$1,IF(M18+IF(K18="",0,K18)=LJ18,$KT$1,IF(M18+IF(K18="",0,K18)=KN18,$JX$1,IF(M18+IF(K18="",0,K18)=JR18,$JB$1,IF(M18+IF(K18="",0,K18)=IV18,$IF$1,IF(M18+IF(K18="",0,K18)=HZ18,$HJ$1,IF(M18+IF(K18="",0,K18)=HD18,$GN$1,IF(M18+IF(K18="",0,K18)=GH18,$FR$1,IF(M18+IF(K18="",0,K18)=FL18,$EV$1,IF(M18+IF(K18="",0,K18)=EP18,$DZ$1,IF(M18+IF(K18="",0,K18)=DT18,$DD$1))))))))))))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</f>
        <v/>
      </c>
      <c r="P18" s="37">
        <v>15.8</v>
      </c>
      <c r="Q18" s="37">
        <v>9.5</v>
      </c>
      <c r="R18" s="37">
        <v>2.2000000000000002</v>
      </c>
      <c r="S18" s="37">
        <v>14.05</v>
      </c>
      <c r="T18" s="37">
        <v>0</v>
      </c>
      <c r="U18" s="37">
        <v>14.4</v>
      </c>
      <c r="V18" s="37">
        <v>9.1</v>
      </c>
      <c r="W18" s="37">
        <v>8.8000000000000007</v>
      </c>
      <c r="X18" s="37">
        <v>13.21</v>
      </c>
      <c r="Y18" s="37">
        <v>0</v>
      </c>
      <c r="Z18" s="37"/>
      <c r="AA18" s="37"/>
      <c r="AB18" s="37"/>
      <c r="AC18" s="37"/>
      <c r="AD18" s="37"/>
      <c r="AE18" s="37">
        <v>14.5</v>
      </c>
      <c r="AF18" s="37">
        <v>9.1999999999999993</v>
      </c>
      <c r="AG18" s="37">
        <v>8.8000000000000007</v>
      </c>
      <c r="AH18" s="37">
        <v>13.67</v>
      </c>
      <c r="AI18" s="37">
        <v>0</v>
      </c>
      <c r="AJ18" s="44"/>
      <c r="AK18" s="11">
        <f>IF(SUM(P18:S18)-T18&gt;0,SUM(P18:S18)-T18,"")</f>
        <v>41.55</v>
      </c>
      <c r="AL18" s="11">
        <f>IF(W18&gt;0,W18,"")</f>
        <v>8.8000000000000007</v>
      </c>
      <c r="AM18" s="11">
        <f>IF(SUM(U18:X18)-Y18&gt;0,SUM(U18:X18)-Y18,"")</f>
        <v>45.51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87.06</v>
      </c>
      <c r="AQ18" s="11">
        <f>IF(AG18&gt;0,AG18,"")</f>
        <v>8.8000000000000007</v>
      </c>
      <c r="AR18" s="11">
        <f>IF(SUM(AE18:AH18)-AI18&gt;0,SUM(AE18:AH18)-AI18,"")</f>
        <v>46.17</v>
      </c>
      <c r="AS18" s="11">
        <f>IF(SUM(AP18,AR18)&gt;0,SUM(AP18,AR18),"")</f>
        <v>133.23000000000002</v>
      </c>
      <c r="AT18" s="41">
        <v>9.1999999999999993</v>
      </c>
      <c r="AU18" s="41">
        <v>5.5</v>
      </c>
      <c r="AV18" s="41">
        <v>0.8</v>
      </c>
      <c r="AW18" s="41">
        <v>8.49</v>
      </c>
      <c r="AX18" s="41">
        <v>0</v>
      </c>
      <c r="AY18" s="41">
        <v>13.2</v>
      </c>
      <c r="AZ18" s="41">
        <v>9.1999999999999993</v>
      </c>
      <c r="BA18" s="41">
        <v>9.3000000000000007</v>
      </c>
      <c r="BB18" s="41">
        <v>12.99</v>
      </c>
      <c r="BC18" s="41">
        <v>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5"/>
      <c r="BO18" s="14">
        <f>IF(SUM(AT18:AW18)-AX18&gt;0,SUM(AT18:AW18)-AX18,"")</f>
        <v>23.990000000000002</v>
      </c>
      <c r="BP18" s="14">
        <f>IF(BA18&gt;0,BA18,"")</f>
        <v>9.3000000000000007</v>
      </c>
      <c r="BQ18" s="14">
        <f>IF(SUM(AY18:BB18)-BC18&gt;0,SUM(AY18:BB18)-BC18,"")</f>
        <v>44.69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68.680000000000007</v>
      </c>
      <c r="BU18" s="14" t="str">
        <f>IF(BK18&gt;0,BK18,"")</f>
        <v/>
      </c>
      <c r="BV18" s="14" t="str">
        <f>IF(SUM(BI18:BL18)-BM18&gt;0,SUM(BI18:BL18)-BM18,"")</f>
        <v/>
      </c>
      <c r="BW18" s="14">
        <f>IF(SUM(BT18,BV18)&gt;0,SUM(BT18,BV18),"")</f>
        <v>68.680000000000007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8" t="str">
        <f>IF(K18&gt;=0.001,IF(MAX(DT18,DU18,EP18,EQ18,FL18,FM18,GH18,GI18,HD18,HE18,HZ18,IA18,IV18,IW18,JR18,JS18,KN18,KO18,LJ18,LK18,MF18,MG18,NB18,NC18)-IF(K18="",0,K18)&gt;0.001,MAX(DT18,DU18,EP18,EQ18,FL18,FM18,GH18,GI18,HD18,HE18,HZ18,IA18,IV18,IW18,JR18,JS18,KN18,KO18,LJ18,LK18,MF18,MG18,NB18,NC18)-IF(K18="",0,K18),""),"")</f>
        <v/>
      </c>
      <c r="DC18" s="18" t="str">
        <f>IF(K18&gt;=0.001,IF(MAX(DX18,ET18,FP18,GL18,HH18,ID18,IZ18,JV18,KR18,LN18,MJ18,NF18)-IF(K18="",0,K18)&gt;0.001,MAX(DX18,ET18,FP18,GL18,HH18,ID18,IZ18,JV18,KR18,LN18,MJ18,NF18)-IF(K18="",0,K18),""),"")</f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7">
        <f>IF($CR18="P",BX18,(BX18+AT18)/2)</f>
        <v>4.5999999999999996</v>
      </c>
      <c r="NI18" s="37">
        <f>IF($CR18="P",BY18,(BY18+AU18)/2)</f>
        <v>2.75</v>
      </c>
      <c r="NJ18" s="37">
        <f>IF($CR18="P",BZ18,(BZ18+AV18)/2)</f>
        <v>0.4</v>
      </c>
      <c r="NK18" s="37">
        <f>IF($CR18="P",CA18,(CA18+AW18)/2)</f>
        <v>4.2450000000000001</v>
      </c>
      <c r="NL18" s="37">
        <f>IF($CR18="P",CB18,(CB18+AX18)/2)</f>
        <v>0</v>
      </c>
      <c r="NM18" s="37">
        <f>IF($CR18="P",CC18,(CC18+AY18)/2)</f>
        <v>6.6</v>
      </c>
      <c r="NN18" s="37">
        <f>IF($CR18="P",CD18,(CD18+AZ18)/2)</f>
        <v>4.5999999999999996</v>
      </c>
      <c r="NO18" s="37">
        <f>IF($CR18="P",CE18,(CE18+BA18)/2)</f>
        <v>4.6500000000000004</v>
      </c>
      <c r="NP18" s="37">
        <f>IF($CR18="P",CF18,(CF18+BB18)/2)</f>
        <v>6.4950000000000001</v>
      </c>
      <c r="NQ18" s="37">
        <f>IF($CR18="P",CG18,(CG18+BC18)/2)</f>
        <v>0</v>
      </c>
      <c r="NR18" s="37">
        <f>IF($CR18="P",CH18,(CH18+BD18)/2)</f>
        <v>0</v>
      </c>
      <c r="NS18" s="37">
        <f>IF($CR18="P",CI18,(CI18+BE18)/2)</f>
        <v>0</v>
      </c>
      <c r="NT18" s="37">
        <f>IF($CR18="P",CJ18,(CJ18+BF18)/2)</f>
        <v>0</v>
      </c>
      <c r="NU18" s="37">
        <f>IF($CR18="P",CK18,(CK18+BG18)/2)</f>
        <v>0</v>
      </c>
      <c r="NV18" s="37">
        <f>IF($CR18="P",CL18,(CL18+BH18)/2)</f>
        <v>0</v>
      </c>
      <c r="NW18" s="37">
        <f>IF($CR18="P",CM18,(CM18+BI18)/2)</f>
        <v>0</v>
      </c>
      <c r="NX18" s="37">
        <f>IF($CR18="P",CN18,(CN18+BJ18)/2)</f>
        <v>0</v>
      </c>
      <c r="NY18" s="37">
        <f>IF($CR18="P",CO18,(CO18+BK18)/2)</f>
        <v>0</v>
      </c>
      <c r="NZ18" s="37">
        <f>IF($CR18="P",CP18,(CP18+BL18)/2)</f>
        <v>0</v>
      </c>
      <c r="OA18" s="37">
        <f>IF($CR18="P",CQ18,(CQ18+BM18)/2)</f>
        <v>0</v>
      </c>
      <c r="OB18" s="44" t="s">
        <v>46</v>
      </c>
      <c r="OC18" s="11">
        <f>IF(SUM(NH18:NK18)-NL18&gt;0,SUM(NH18:NK18)-NL18,"")</f>
        <v>11.995000000000001</v>
      </c>
      <c r="OD18" s="11">
        <f>IF(NO18&gt;0,NO18,"")</f>
        <v>4.6500000000000004</v>
      </c>
      <c r="OE18" s="11">
        <f>IF(SUM(NM18:NP18)-NQ18&gt;0,SUM(NM18:NP18)-NQ18,"")</f>
        <v>22.344999999999999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34.340000000000003</v>
      </c>
      <c r="OI18" s="11" t="str">
        <f>IF(NY18&gt;0,NY18,"")</f>
        <v/>
      </c>
      <c r="OJ18" s="11" t="str">
        <f t="shared" ref="OJ18" si="22">IF(SUM(NW18:NZ18)-OA18&gt;0,SUM(NW18:NZ18)-OA18,"")</f>
        <v/>
      </c>
      <c r="OK18" s="11">
        <f t="shared" ref="OK18" si="23">IF(SUM(OH18,OJ18)&gt;0,SUM(OH18,OJ18),"")</f>
        <v>34.340000000000003</v>
      </c>
    </row>
    <row r="19" spans="1:401" x14ac:dyDescent="0.2">
      <c r="A19" s="5" t="str" cm="1">
        <f t="array" ref="A19">IF(AND(F19="P",G19="P"),SUMPRODUCT((F$4:F$33="P")*(G$4:G$33="P")*(E$4:E$33&gt;E19))+1,IF(G19="P",SUMPRODUCT((F$4:F$33="")*(G$4:G$33="P")*(E$4:E$33&gt;E19))+1+SUMPRODUCT((F$4:F$33="P")*(G$4:G$33="P")),""))</f>
        <v/>
      </c>
      <c r="B19" s="8" t="s">
        <v>80</v>
      </c>
      <c r="C19" s="4" t="s">
        <v>4</v>
      </c>
      <c r="D19" s="21">
        <v>2004</v>
      </c>
      <c r="E19" s="15">
        <f>SUM(I19:M19)</f>
        <v>89.59</v>
      </c>
      <c r="F19" s="3" t="str">
        <f>IF(OR(AND(AL19&gt;=AS$35,AM19&gt;=AS$39,AL19&lt;&gt;"",AJ19=""),AND(AN19&gt;=AS$35,AO19&gt;=AS$39,AN19&lt;&gt;"",AN19=""),AND(AQ19&gt;=AS$35,AR19&gt;=AS$39,AQ19&lt;&gt;"",AJ19=""),AND(BP19&gt;=BW$35,BQ19&gt;=BW$39,BP19&lt;&gt;"",BN19=""),AND(BR19&gt;=BW$35,BS19&gt;=BW$39,BR19&lt;&gt;"",BN19=""),AND(BU19&gt;=BW$35,BV19&gt;=BW$39,BU19&lt;&gt;"",BN19=""),AND(CT19&gt;=DA$35,CU19&gt;=DA$39,CT19&lt;&gt;"",CR19=""),AND(CV19&gt;=DA$35,CW19&gt;=DA$39,CV19&lt;&gt;"",CR19=""),AND(CY19&gt;=DA$35,CZ19&gt;=DA$39,CY19&lt;&gt;"",CR19=""),AND(DS19&gt;=DY$35,DU19&gt;=DY$39,DS19&lt;&gt;""),AND(DW19&gt;=DY$35,DX19&gt;=DY$39,DW19&lt;&gt;""),AND(EO19&gt;=EU$35,EQ19&gt;=EU$39,EO19&lt;&gt;""),AND(ES19&gt;=EU$35,ET19&gt;=EU$39,ES19&lt;&gt;""),AND(FK19&gt;=FQ$35,FM19&gt;=FQ$39,FK19&lt;&gt;""),AND(FO19&gt;=FQ$35,FP19&gt;=FQ$39,FO19&lt;&gt;""),AND(GG19&gt;=GM$35,GI19&gt;=GM$39,GG19&lt;&gt;""),AND(GK19&gt;=GM$35,GL19&gt;=GM$39,GK19&lt;&gt;""),AND(HC19&gt;=HI$35,HE19&gt;=HI$39,HC19&lt;&gt;""),AND(HG19&gt;=HI$35,HH19&gt;=HI$39,HG19&lt;&gt;""),AND(HY19&gt;=IE$35,IA19&gt;=IE$39,HY19&lt;&gt;""),AND(IC19&gt;=IE$35,ID19&gt;=IE$39,IC19&lt;&gt;""),AND(IU19&gt;=JA$35,IW19&gt;=JA$39,IU19&lt;&gt;""),AND(IY19&gt;=JA$35,IZ19&gt;=JA$39,IY19&lt;&gt;""),AND(JQ19&gt;=JW$35,JS19&gt;=JW$39,JQ19&lt;&gt;""),AND(JU19&gt;=JW$35,JV19&gt;=JW$39,JU19&lt;&gt;""),AND(KM19&gt;=KS$35,KO19&gt;=KS$39,KM19&lt;&gt;""),AND(KQ19&gt;=KS$35,KR19&gt;=KS$39,KQ19&lt;&gt;""),AND(LI19&gt;=LO$35,LK19&gt;=LO$39,LI19&lt;&gt;""),AND(LM19&gt;=LO$35,LN19&gt;=LO$39,LM19&lt;&gt;""),AND(ME19&gt;=MK$35,MG19&gt;=MK$39,ME19&lt;&gt;""),AND(MI19&gt;=MK$35,MJ19&gt;=MK$39,MI19&lt;&gt;""),AND(NA19&gt;=NG$35,NC19&gt;=NG$39,NA19&lt;&gt;""),AND(NE19&gt;=NG$35,NF19&gt;=NG$39,NE19&lt;&gt;"")),"P","")</f>
        <v/>
      </c>
      <c r="G19" s="3" t="str">
        <f>IF(OR(AND(AM19&gt;=AS$39,AL19&lt;&gt;"",AJ19=""),AND(AO19&gt;=AS$39,AN19&lt;&gt;"",AN19=""),AND(AR19&gt;=AS$39,AQ19&lt;&gt;"",AJ19=""),AND(BQ19&gt;=BW$39,BP19&lt;&gt;"",BN19=""),AND(BS19&gt;=BW$39,BR19&lt;&gt;"",BN19=""),AND(BV19&gt;=BW$39,BU19&lt;&gt;"",BN19=""),AND(CU19&gt;=DA$39,CT19&lt;&gt;"",CR19=""),AND(CW19&gt;=DA$39,CV19&lt;&gt;"",CR19=""),AND(CZ19&gt;=DA$39,CY19&lt;&gt;"",CR19=""),AND(DU19&gt;=DY$39,DS19&lt;&gt;""),AND(DX19&gt;=DY$39,DW19&lt;&gt;""),AND(EQ19&gt;=EU$39,EO19&lt;&gt;""),AND(ET19&gt;=EU$39,ES19&lt;&gt;""),AND(FM19&gt;=FQ$39,FK19&lt;&gt;""),AND(FP19&gt;=FQ$39,FO19&lt;&gt;""),AND(GI19&gt;=GM$39,GG19&lt;&gt;""),AND(GL19&gt;=GM$39,GK19&lt;&gt;""),AND(HE19&gt;=HI$39,HC19&lt;&gt;""),AND(HH19&gt;=HI$39,HG19&lt;&gt;""),AND(IA19&gt;=IE$39,HY19&lt;&gt;""),AND(ID19&gt;=IE$39,IC19&lt;&gt;""),AND(IW19&gt;=JA$39,IU19&lt;&gt;""),AND(IZ19&gt;=JA$39,IY19&lt;&gt;""),AND(JS19&gt;=JW$39,JQ19&lt;&gt;""),AND(JV19&gt;=JW$39,JU19&lt;&gt;""),AND(KO19&gt;=KS$39,KM19&lt;&gt;""),AND(KR19&gt;=KS$39,KQ19&lt;&gt;""),AND(LK19&gt;=LO$39,LI19&lt;&gt;""),AND(LN19&gt;=LO$39,LM19&lt;&gt;""),AND(MG19&gt;=MK$39,ME19&lt;&gt;""),AND(MJ19&gt;=MK$39,MI19&lt;&gt;""),AND(NC19&gt;=NG$39,NA19&lt;&gt;""),AND(NF19&gt;=NG$39,NE19&lt;&gt;"")),"P","")</f>
        <v/>
      </c>
      <c r="H19" s="66" t="str">
        <f>IF(F19="P","National Team",IF(G19="P","No DD",""))</f>
        <v/>
      </c>
      <c r="I19" s="14">
        <f>MAX(AM19,AO19,AR19,BQ19,BS19,BV19,CU19,CW19,CZ19)</f>
        <v>45.129999999999995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44.46</v>
      </c>
      <c r="L19" s="14" t="str">
        <f>IF(K19=0,"",IF(OR(K19=CW19,K19=CU19,K19=CZ19),$BX$1,IF(OR(K19=BS19,K19=BQ19,K19=BV19),$AT$1,IF(OR(K19=AO19,K19=AM19,K19=AR19),$P$1,""))))</f>
        <v>2022 Nationals</v>
      </c>
      <c r="M19" s="14" t="str">
        <f>IF(MAX(DB19,DC19)&gt;0,MAX(DB19,DC19),"")</f>
        <v/>
      </c>
      <c r="N19" s="19" t="str">
        <f>IF(M19="","",IF(M19=DB19,"(Prelim)",IF(M19=DC19,"(Final)")))</f>
        <v/>
      </c>
      <c r="O19" s="14" t="str">
        <f>IF(M19="","",IF(M19=DB19,IF(M19+IF(K19="",0,K19)=NC19,$ML$1,IF(M19+IF(K19="",0,K19)=MG19,$LP$1,IF(M19+IF(K19="",0,K19)=LK19,$KT$1,IF(M19+IF(K19="",0,K19)=KO19,$JX$1,IF(M19+IF(K19="",0,K19)=JS19,$JB$1,IF(M19+IF(K19="",0,K19)=IW19,$IF$1,IF(M19+IF(K19="",0,K19)=IA19,$HJ$1,IF(M19+IF(K19="",0,K19)=HE19,$GN$1,IF(M19+IF(K19="",0,K19)=GI19,$FR$1,IF(M19+IF(K19="",0,K19)=FM19,$EV$1,IF(M19+IF(K19="",0,K19)=EQ19,$DZ$1,IF(M19+IF(K19="",0,K19)=DU19,$DD$1,IF(M19+IF(K19="",0,K19)=NB19,$ML$1,IF(M19+IF(K19="",0,K19)=MF19,$LP$1,IF(M19+IF(K19="",0,K19)=LJ19,$KT$1,IF(M19+IF(K19="",0,K19)=KN19,$JX$1,IF(M19+IF(K19="",0,K19)=JR19,$JB$1,IF(M19+IF(K19="",0,K19)=IV19,$IF$1,IF(M19+IF(K19="",0,K19)=HZ19,$HJ$1,IF(M19+IF(K19="",0,K19)=HD19,$GN$1,IF(M19+IF(K19="",0,K19)=GH19,$FR$1,IF(M19+IF(K19="",0,K19)=FL19,$EV$1,IF(M19+IF(K19="",0,K19)=EP19,$DZ$1,IF(M19+IF(K19="",0,K19)=DT19,$DD$1))))))))))))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</f>
        <v/>
      </c>
      <c r="P19" s="37">
        <v>14.1</v>
      </c>
      <c r="Q19" s="37">
        <v>9.6</v>
      </c>
      <c r="R19" s="37">
        <v>1.4</v>
      </c>
      <c r="S19" s="37">
        <v>13.97</v>
      </c>
      <c r="T19" s="37">
        <v>4</v>
      </c>
      <c r="U19" s="37">
        <v>13.9</v>
      </c>
      <c r="V19" s="37">
        <v>9</v>
      </c>
      <c r="W19" s="37">
        <v>9</v>
      </c>
      <c r="X19" s="37">
        <v>13.23</v>
      </c>
      <c r="Y19" s="37">
        <v>0</v>
      </c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>
        <f>IF(SUM(P19:S19)-T19&gt;0,SUM(P19:S19)-T19,"")</f>
        <v>35.07</v>
      </c>
      <c r="AL19" s="11">
        <f>IF(W19&gt;0,W19,"")</f>
        <v>9</v>
      </c>
      <c r="AM19" s="11">
        <f>IF(SUM(U19:X19)-Y19&gt;0,SUM(U19:X19)-Y19,"")</f>
        <v>45.129999999999995</v>
      </c>
      <c r="AN19" s="11" t="str">
        <f>IF(AB19&gt;0,AB19,"")</f>
        <v/>
      </c>
      <c r="AO19" s="11" t="str">
        <f>IF(SUM(Z19:AC19)-AD19&gt;0,SUM(Z19:AC19)-AD19,"")</f>
        <v/>
      </c>
      <c r="AP19" s="11">
        <f>IF(AK19="",IF(MAX(AM19,AO19)&gt;0,MAX(AM19,AO19),""),MAX(AM19,AO19)+AK19)</f>
        <v>80.199999999999989</v>
      </c>
      <c r="AQ19" s="11" t="str">
        <f>IF(AG19&gt;0,AG19,"")</f>
        <v/>
      </c>
      <c r="AR19" s="11" t="str">
        <f>IF(SUM(AE19:AH19)-AI19&gt;0,SUM(AE19:AH19)-AI19,"")</f>
        <v/>
      </c>
      <c r="AS19" s="11">
        <f>IF(SUM(AP19,AR19)&gt;0,SUM(AP19,AR19),"")</f>
        <v>80.199999999999989</v>
      </c>
      <c r="AT19" s="41">
        <v>14.4</v>
      </c>
      <c r="AU19" s="41">
        <v>8.3000000000000007</v>
      </c>
      <c r="AV19" s="41">
        <v>0.6</v>
      </c>
      <c r="AW19" s="41">
        <v>12.49</v>
      </c>
      <c r="AX19" s="41">
        <v>0</v>
      </c>
      <c r="AY19" s="41">
        <v>12.7</v>
      </c>
      <c r="AZ19" s="41">
        <v>9.6</v>
      </c>
      <c r="BA19" s="41">
        <v>8.3000000000000007</v>
      </c>
      <c r="BB19" s="41">
        <v>12.78</v>
      </c>
      <c r="BC19" s="41">
        <v>0.5</v>
      </c>
      <c r="BD19" s="41"/>
      <c r="BE19" s="41"/>
      <c r="BF19" s="41"/>
      <c r="BG19" s="41"/>
      <c r="BH19" s="41"/>
      <c r="BI19" s="41">
        <v>14.2</v>
      </c>
      <c r="BJ19" s="41">
        <v>9.3000000000000007</v>
      </c>
      <c r="BK19" s="41">
        <v>8.3000000000000007</v>
      </c>
      <c r="BL19" s="41">
        <v>13.16</v>
      </c>
      <c r="BM19" s="41">
        <v>0.5</v>
      </c>
      <c r="BN19" s="45"/>
      <c r="BO19" s="14">
        <f>IF(SUM(AT19:AW19)-AX19&gt;0,SUM(AT19:AW19)-AX19,"")</f>
        <v>35.790000000000006</v>
      </c>
      <c r="BP19" s="14">
        <f>IF(BA19&gt;0,BA19,"")</f>
        <v>8.3000000000000007</v>
      </c>
      <c r="BQ19" s="14">
        <f>IF(SUM(AY19:BB19)-BC19&gt;0,SUM(AY19:BB19)-BC19,"")</f>
        <v>42.879999999999995</v>
      </c>
      <c r="BR19" s="14" t="str">
        <f>IF(BF19&gt;0,BF19,"")</f>
        <v/>
      </c>
      <c r="BS19" s="14" t="str">
        <f>IF(SUM(BD19:BG19)-BH19&gt;0,SUM(BD19:BG19)-BH19,"")</f>
        <v/>
      </c>
      <c r="BT19" s="14">
        <f>IF(BO19="",IF(MAX(BQ19,BS19)&gt;0,MAX(BQ19,BS19),""),MAX(BQ19,BS19)+BO19)</f>
        <v>78.67</v>
      </c>
      <c r="BU19" s="14">
        <f>IF(BK19&gt;0,BK19,"")</f>
        <v>8.3000000000000007</v>
      </c>
      <c r="BV19" s="14">
        <f>IF(SUM(BI19:BL19)-BM19&gt;0,SUM(BI19:BL19)-BM19,"")</f>
        <v>44.46</v>
      </c>
      <c r="BW19" s="14">
        <f>IF(SUM(BT19,BV19)&gt;0,SUM(BT19,BV19),"")</f>
        <v>123.13</v>
      </c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 t="str">
        <f>IF(SUM(BX19:CA19)-CB19&gt;0,SUM(BX19:CA19)-CB19,"")</f>
        <v/>
      </c>
      <c r="CT19" s="11" t="str">
        <f>IF(CE19&gt;0,CE19,"")</f>
        <v/>
      </c>
      <c r="CU19" s="11" t="str">
        <f>IF(SUM(CC19:CF19)-CG19&gt;0,SUM(CC19:CF19)-CG19,"")</f>
        <v/>
      </c>
      <c r="CV19" s="11" t="str">
        <f>IF(CJ19&gt;0,CJ19,"")</f>
        <v/>
      </c>
      <c r="CW19" s="11" t="str">
        <f>IF(SUM(CH19:CK19)-CL19&gt;0,SUM(CH19:CK19)-CL19,"")</f>
        <v/>
      </c>
      <c r="CX19" s="11" t="str">
        <f>IF(CS19="",IF(MAX(CU19,CW19)&gt;0,MAX(CU19,CW19),""),MAX(CU19,CW19)+CS19)</f>
        <v/>
      </c>
      <c r="CY19" s="11" t="str">
        <f>IF(CO19&gt;0,CO19,"")</f>
        <v/>
      </c>
      <c r="CZ19" s="11" t="str">
        <f>IF(SUM(CM19:CP19)-CQ19&gt;0,SUM(CM19:CP19)-CQ19,"")</f>
        <v/>
      </c>
      <c r="DA19" s="11" t="str">
        <f>IF(SUM(CX19,CZ19)&gt;0,SUM(CX19,CZ19),"")</f>
        <v/>
      </c>
      <c r="DB19" s="18" t="str">
        <f>IF(K19&gt;=0.001,IF(MAX(DT19,DU19,EP19,EQ19,FL19,FM19,GH19,GI19,HD19,HE19,HZ19,IA19,IV19,IW19,JR19,JS19,KN19,KO19,LJ19,LK19,MF19,MG19,NB19,NC19)-IF(K19="",0,K19)&gt;0.001,MAX(DT19,DU19,EP19,EQ19,FL19,FM19,GH19,GI19,HD19,HE19,HZ19,IA19,IV19,IW19,JR19,JS19,KN19,KO19,LJ19,LK19,MF19,MG19,NB19,NC19)-IF(K19="",0,K19),""),"")</f>
        <v/>
      </c>
      <c r="DC19" s="18" t="str">
        <f>IF(K19&gt;=0.001,IF(MAX(DX19,ET19,FP19,GL19,HH19,ID19,IZ19,JV19,KR19,LN19,MJ19,NF19)-IF(K19="",0,K19)&gt;0.001,MAX(DX19,ET19,FP19,GL19,HH19,ID19,IZ19,JV19,KR19,LN19,MJ19,NF19)-IF(K19="",0,K19),""),"")</f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7">
        <f>IF($CR19="P",BX19,(BX19+AT19)/2)</f>
        <v>7.2</v>
      </c>
      <c r="NI19" s="37">
        <f>IF($CR19="P",BY19,(BY19+AU19)/2)</f>
        <v>4.1500000000000004</v>
      </c>
      <c r="NJ19" s="37">
        <f>IF($CR19="P",BZ19,(BZ19+AV19)/2)</f>
        <v>0.3</v>
      </c>
      <c r="NK19" s="37">
        <f>IF($CR19="P",CA19,(CA19+AW19)/2)</f>
        <v>6.2450000000000001</v>
      </c>
      <c r="NL19" s="37">
        <f>IF($CR19="P",CB19,(CB19+AX19)/2)</f>
        <v>0</v>
      </c>
      <c r="NM19" s="37">
        <f>IF($CR19="P",CC19,(CC19+AY19)/2)</f>
        <v>6.35</v>
      </c>
      <c r="NN19" s="37">
        <f>IF($CR19="P",CD19,(CD19+AZ19)/2)</f>
        <v>4.8</v>
      </c>
      <c r="NO19" s="37">
        <f>IF($CR19="P",CE19,(CE19+BA19)/2)</f>
        <v>4.1500000000000004</v>
      </c>
      <c r="NP19" s="37">
        <f>IF($CR19="P",CF19,(CF19+BB19)/2)</f>
        <v>6.39</v>
      </c>
      <c r="NQ19" s="37">
        <f>IF($CR19="P",CG19,(CG19+BC19)/2)</f>
        <v>0.25</v>
      </c>
      <c r="NR19" s="37">
        <f>IF($CR19="P",CH19,(CH19+BD19)/2)</f>
        <v>0</v>
      </c>
      <c r="NS19" s="37">
        <f>IF($CR19="P",CI19,(CI19+BE19)/2)</f>
        <v>0</v>
      </c>
      <c r="NT19" s="37">
        <f>IF($CR19="P",CJ19,(CJ19+BF19)/2)</f>
        <v>0</v>
      </c>
      <c r="NU19" s="37">
        <f>IF($CR19="P",CK19,(CK19+BG19)/2)</f>
        <v>0</v>
      </c>
      <c r="NV19" s="37">
        <f>IF($CR19="P",CL19,(CL19+BH19)/2)</f>
        <v>0</v>
      </c>
      <c r="NW19" s="37">
        <f>IF($CR19="P",CM19,(CM19+BI19)/2)</f>
        <v>7.1</v>
      </c>
      <c r="NX19" s="37">
        <f>IF($CR19="P",CN19,(CN19+BJ19)/2)</f>
        <v>4.6500000000000004</v>
      </c>
      <c r="NY19" s="37">
        <f>IF($CR19="P",CO19,(CO19+BK19)/2)</f>
        <v>4.1500000000000004</v>
      </c>
      <c r="NZ19" s="37">
        <f>IF($CR19="P",CP19,(CP19+BL19)/2)</f>
        <v>6.58</v>
      </c>
      <c r="OA19" s="37">
        <f>IF($CR19="P",CQ19,(CQ19+BM19)/2)</f>
        <v>0.25</v>
      </c>
      <c r="OB19" s="44" t="s">
        <v>46</v>
      </c>
      <c r="OC19" s="11">
        <f>IF(SUM(NH19:NK19)-NL19&gt;0,SUM(NH19:NK19)-NL19,"")</f>
        <v>17.895000000000003</v>
      </c>
      <c r="OD19" s="11">
        <f>IF(NO19&gt;0,NO19,"")</f>
        <v>4.1500000000000004</v>
      </c>
      <c r="OE19" s="11">
        <f>IF(SUM(NM19:NP19)-NQ19&gt;0,SUM(NM19:NP19)-NQ19,"")</f>
        <v>21.439999999999998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39.335000000000001</v>
      </c>
      <c r="OI19" s="11">
        <f>IF(NY19&gt;0,NY19,"")</f>
        <v>4.1500000000000004</v>
      </c>
      <c r="OJ19" s="11">
        <f t="shared" ref="OJ19" si="24">IF(SUM(NW19:NZ19)-OA19&gt;0,SUM(NW19:NZ19)-OA19,"")</f>
        <v>22.23</v>
      </c>
      <c r="OK19" s="11">
        <f t="shared" ref="OK19" si="25">IF(SUM(OH19,OJ19)&gt;0,SUM(OH19,OJ19),"")</f>
        <v>61.564999999999998</v>
      </c>
    </row>
    <row r="20" spans="1:401" x14ac:dyDescent="0.2">
      <c r="A20" s="5" t="str" cm="1">
        <f t="array" ref="A20">IF(AND(F20="P",G20="P"),SUMPRODUCT((F$4:F$33="P")*(G$4:G$33="P")*(E$4:E$33&gt;E20))+1,IF(G20="P",SUMPRODUCT((F$4:F$33="")*(G$4:G$33="P")*(E$4:E$33&gt;E20))+1+SUMPRODUCT((F$4:F$33="P")*(G$4:G$33="P")),""))</f>
        <v/>
      </c>
      <c r="B20" s="8" t="s">
        <v>149</v>
      </c>
      <c r="C20" s="4" t="s">
        <v>3</v>
      </c>
      <c r="D20" s="21">
        <v>2005</v>
      </c>
      <c r="E20" s="15">
        <f>SUM(I20:M20)</f>
        <v>83.82</v>
      </c>
      <c r="F20" s="3" t="str">
        <f>IF(OR(AND(AL20&gt;=AS$35,AM20&gt;=AS$39,AL20&lt;&gt;"",AJ20=""),AND(AN20&gt;=AS$35,AO20&gt;=AS$39,AN20&lt;&gt;"",AN20=""),AND(AQ20&gt;=AS$35,AR20&gt;=AS$39,AQ20&lt;&gt;"",AJ20=""),AND(BP20&gt;=BW$35,BQ20&gt;=BW$39,BP20&lt;&gt;"",BN20=""),AND(BR20&gt;=BW$35,BS20&gt;=BW$39,BR20&lt;&gt;"",BN20=""),AND(BU20&gt;=BW$35,BV20&gt;=BW$39,BU20&lt;&gt;"",BN20=""),AND(CT20&gt;=DA$35,CU20&gt;=DA$39,CT20&lt;&gt;"",CR20=""),AND(CV20&gt;=DA$35,CW20&gt;=DA$39,CV20&lt;&gt;"",CR20=""),AND(CY20&gt;=DA$35,CZ20&gt;=DA$39,CY20&lt;&gt;"",CR20=""),AND(DS20&gt;=DY$35,DU20&gt;=DY$39,DS20&lt;&gt;""),AND(DW20&gt;=DY$35,DX20&gt;=DY$39,DW20&lt;&gt;""),AND(EO20&gt;=EU$35,EQ20&gt;=EU$39,EO20&lt;&gt;""),AND(ES20&gt;=EU$35,ET20&gt;=EU$39,ES20&lt;&gt;""),AND(FK20&gt;=FQ$35,FM20&gt;=FQ$39,FK20&lt;&gt;""),AND(FO20&gt;=FQ$35,FP20&gt;=FQ$39,FO20&lt;&gt;""),AND(GG20&gt;=GM$35,GI20&gt;=GM$39,GG20&lt;&gt;""),AND(GK20&gt;=GM$35,GL20&gt;=GM$39,GK20&lt;&gt;""),AND(HC20&gt;=HI$35,HE20&gt;=HI$39,HC20&lt;&gt;""),AND(HG20&gt;=HI$35,HH20&gt;=HI$39,HG20&lt;&gt;""),AND(HY20&gt;=IE$35,IA20&gt;=IE$39,HY20&lt;&gt;""),AND(IC20&gt;=IE$35,ID20&gt;=IE$39,IC20&lt;&gt;""),AND(IU20&gt;=JA$35,IW20&gt;=JA$39,IU20&lt;&gt;""),AND(IY20&gt;=JA$35,IZ20&gt;=JA$39,IY20&lt;&gt;""),AND(JQ20&gt;=JW$35,JS20&gt;=JW$39,JQ20&lt;&gt;""),AND(JU20&gt;=JW$35,JV20&gt;=JW$39,JU20&lt;&gt;""),AND(KM20&gt;=KS$35,KO20&gt;=KS$39,KM20&lt;&gt;""),AND(KQ20&gt;=KS$35,KR20&gt;=KS$39,KQ20&lt;&gt;""),AND(LI20&gt;=LO$35,LK20&gt;=LO$39,LI20&lt;&gt;""),AND(LM20&gt;=LO$35,LN20&gt;=LO$39,LM20&lt;&gt;""),AND(ME20&gt;=MK$35,MG20&gt;=MK$39,ME20&lt;&gt;""),AND(MI20&gt;=MK$35,MJ20&gt;=MK$39,MI20&lt;&gt;""),AND(NA20&gt;=NG$35,NC20&gt;=NG$39,NA20&lt;&gt;""),AND(NE20&gt;=NG$35,NF20&gt;=NG$39,NE20&lt;&gt;"")),"P","")</f>
        <v/>
      </c>
      <c r="G20" s="3" t="str">
        <f>IF(OR(AND(AM20&gt;=AS$39,AL20&lt;&gt;"",AJ20=""),AND(AO20&gt;=AS$39,AN20&lt;&gt;"",AN20=""),AND(AR20&gt;=AS$39,AQ20&lt;&gt;"",AJ20=""),AND(BQ20&gt;=BW$39,BP20&lt;&gt;"",BN20=""),AND(BS20&gt;=BW$39,BR20&lt;&gt;"",BN20=""),AND(BV20&gt;=BW$39,BU20&lt;&gt;"",BN20=""),AND(CU20&gt;=DA$39,CT20&lt;&gt;"",CR20=""),AND(CW20&gt;=DA$39,CV20&lt;&gt;"",CR20=""),AND(CZ20&gt;=DA$39,CY20&lt;&gt;"",CR20=""),AND(DU20&gt;=DY$39,DS20&lt;&gt;""),AND(DX20&gt;=DY$39,DW20&lt;&gt;""),AND(EQ20&gt;=EU$39,EO20&lt;&gt;""),AND(ET20&gt;=EU$39,ES20&lt;&gt;""),AND(FM20&gt;=FQ$39,FK20&lt;&gt;""),AND(FP20&gt;=FQ$39,FO20&lt;&gt;""),AND(GI20&gt;=GM$39,GG20&lt;&gt;""),AND(GL20&gt;=GM$39,GK20&lt;&gt;""),AND(HE20&gt;=HI$39,HC20&lt;&gt;""),AND(HH20&gt;=HI$39,HG20&lt;&gt;""),AND(IA20&gt;=IE$39,HY20&lt;&gt;""),AND(ID20&gt;=IE$39,IC20&lt;&gt;""),AND(IW20&gt;=JA$39,IU20&lt;&gt;""),AND(IZ20&gt;=JA$39,IY20&lt;&gt;""),AND(JS20&gt;=JW$39,JQ20&lt;&gt;""),AND(JV20&gt;=JW$39,JU20&lt;&gt;""),AND(KO20&gt;=KS$39,KM20&lt;&gt;""),AND(KR20&gt;=KS$39,KQ20&lt;&gt;""),AND(LK20&gt;=LO$39,LI20&lt;&gt;""),AND(LN20&gt;=LO$39,LM20&lt;&gt;""),AND(MG20&gt;=MK$39,ME20&lt;&gt;""),AND(MJ20&gt;=MK$39,MI20&lt;&gt;""),AND(NC20&gt;=NG$39,NA20&lt;&gt;""),AND(NF20&gt;=NG$39,NE20&lt;&gt;"")),"P","")</f>
        <v/>
      </c>
      <c r="H20" s="66" t="str">
        <f>IF(F20="P","National Team",IF(G20="P","No DD",""))</f>
        <v/>
      </c>
      <c r="I20" s="14">
        <f>MAX(AM20,AO20,AR20,BQ20,BS20,BV20,CU20,CW20,CZ20)</f>
        <v>42.72</v>
      </c>
      <c r="J20" s="14" t="str">
        <f>IF(I20=0,"",IF(OR(I20=CW20,I20=CU20,I20=CZ20),$BX$1,IF(OR(I20=BS20,I20=BQ20,I20=BV20),$AT$1,IF(OR(I20=AO20,I20=AM20,I20=AR20),$P$1,""))))</f>
        <v>2022 Nationals</v>
      </c>
      <c r="K20" s="14">
        <f>IF(COUNT(AM20,AO20,AR20,BQ20,BS20,BV20,CU20,CW20,CZ20)&gt;1,LARGE((AM20,AO20,AR20,BQ20,BS20,BV20,CU20,CW20,CZ20),2),0)</f>
        <v>41.1</v>
      </c>
      <c r="L20" s="14" t="str">
        <f>IF(K20=0,"",IF(OR(K20=CW20,K20=CU20,K20=CZ20),$BX$1,IF(OR(K20=BS20,K20=BQ20,K20=BV20),$AT$1,IF(OR(K20=AO20,K20=AM20,K20=AR20),$P$1,""))))</f>
        <v>2022 Elite Canada</v>
      </c>
      <c r="M20" s="14" t="str">
        <f>IF(MAX(DB20,DC20)&gt;0,MAX(DB20,DC20),"")</f>
        <v/>
      </c>
      <c r="N20" s="19" t="str">
        <f>IF(M20="","",IF(M20=DB20,"(Prelim)",IF(M20=DC20,"(Final)")))</f>
        <v/>
      </c>
      <c r="O20" s="14" t="str">
        <f>IF(M20="","",IF(M20=DB20,IF(M20+IF(K20="",0,K20)=NC20,$ML$1,IF(M20+IF(K20="",0,K20)=MG20,$LP$1,IF(M20+IF(K20="",0,K20)=LK20,$KT$1,IF(M20+IF(K20="",0,K20)=KO20,$JX$1,IF(M20+IF(K20="",0,K20)=JS20,$JB$1,IF(M20+IF(K20="",0,K20)=IW20,$IF$1,IF(M20+IF(K20="",0,K20)=IA20,$HJ$1,IF(M20+IF(K20="",0,K20)=HE20,$GN$1,IF(M20+IF(K20="",0,K20)=GI20,$FR$1,IF(M20+IF(K20="",0,K20)=FM20,$EV$1,IF(M20+IF(K20="",0,K20)=EQ20,$DZ$1,IF(M20+IF(K20="",0,K20)=DU20,$DD$1,IF(M20+IF(K20="",0,K20)=NB20,$ML$1,IF(M20+IF(K20="",0,K20)=MF20,$LP$1,IF(M20+IF(K20="",0,K20)=LJ20,$KT$1,IF(M20+IF(K20="",0,K20)=KN20,$JX$1,IF(M20+IF(K20="",0,K20)=JR20,$JB$1,IF(M20+IF(K20="",0,K20)=IV20,$IF$1,IF(M20+IF(K20="",0,K20)=HZ20,$HJ$1,IF(M20+IF(K20="",0,K20)=HD20,$GN$1,IF(M20+IF(K20="",0,K20)=GH20,$FR$1,IF(M20+IF(K20="",0,K20)=FL20,$EV$1,IF(M20+IF(K20="",0,K20)=EP20,$DZ$1,IF(M20+IF(K20="",0,K20)=DT20,$DD$1))))))))))))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</f>
        <v/>
      </c>
      <c r="P20" s="37">
        <v>13.7</v>
      </c>
      <c r="Q20" s="37">
        <v>9.3000000000000007</v>
      </c>
      <c r="R20" s="37">
        <v>2.2999999999999998</v>
      </c>
      <c r="S20" s="37">
        <v>13.36</v>
      </c>
      <c r="T20" s="37">
        <v>0</v>
      </c>
      <c r="U20" s="37">
        <v>11.8</v>
      </c>
      <c r="V20" s="37">
        <v>9.1999999999999993</v>
      </c>
      <c r="W20" s="37">
        <v>8</v>
      </c>
      <c r="X20" s="37">
        <v>12.9</v>
      </c>
      <c r="Y20" s="37">
        <v>0.8</v>
      </c>
      <c r="Z20" s="37"/>
      <c r="AA20" s="37"/>
      <c r="AB20" s="37"/>
      <c r="AC20" s="37"/>
      <c r="AD20" s="37"/>
      <c r="AE20" s="37">
        <v>0</v>
      </c>
      <c r="AF20" s="37">
        <v>0</v>
      </c>
      <c r="AG20" s="37">
        <v>0</v>
      </c>
      <c r="AH20" s="37">
        <v>0</v>
      </c>
      <c r="AI20" s="37">
        <v>0</v>
      </c>
      <c r="AJ20" s="44"/>
      <c r="AK20" s="11">
        <f>IF(SUM(P20:S20)-T20&gt;0,SUM(P20:S20)-T20,"")</f>
        <v>38.659999999999997</v>
      </c>
      <c r="AL20" s="11">
        <f>IF(W20&gt;0,W20,"")</f>
        <v>8</v>
      </c>
      <c r="AM20" s="11">
        <f>IF(SUM(U20:X20)-Y20&gt;0,SUM(U20:X20)-Y20,"")</f>
        <v>41.1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79.759999999999991</v>
      </c>
      <c r="AQ20" s="11" t="str">
        <f>IF(AG20&gt;0,AG20,"")</f>
        <v/>
      </c>
      <c r="AR20" s="11" t="str">
        <f>IF(SUM(AE20:AH20)-AI20&gt;0,SUM(AE20:AH20)-AI20,"")</f>
        <v/>
      </c>
      <c r="AS20" s="11">
        <f>IF(SUM(AP20,AR20)&gt;0,SUM(AP20,AR20),"")</f>
        <v>79.759999999999991</v>
      </c>
      <c r="AT20" s="41">
        <v>13</v>
      </c>
      <c r="AU20" s="41">
        <v>8.6</v>
      </c>
      <c r="AV20" s="41">
        <v>2.5</v>
      </c>
      <c r="AW20" s="41">
        <v>12.76</v>
      </c>
      <c r="AX20" s="41">
        <v>2</v>
      </c>
      <c r="AY20" s="41">
        <v>13.3</v>
      </c>
      <c r="AZ20" s="41">
        <v>9</v>
      </c>
      <c r="BA20" s="41">
        <v>8.3000000000000007</v>
      </c>
      <c r="BB20" s="41">
        <v>12.62</v>
      </c>
      <c r="BC20" s="41">
        <v>0.5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>IF(SUM(AT20:AW20)-AX20&gt;0,SUM(AT20:AW20)-AX20,"")</f>
        <v>34.86</v>
      </c>
      <c r="BP20" s="14">
        <f>IF(BA20&gt;0,BA20,"")</f>
        <v>8.3000000000000007</v>
      </c>
      <c r="BQ20" s="14">
        <f>IF(SUM(AY20:BB20)-BC20&gt;0,SUM(AY20:BB20)-BC20,"")</f>
        <v>42.72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77.58</v>
      </c>
      <c r="BU20" s="14" t="str">
        <f>IF(BK20&gt;0,BK20,"")</f>
        <v/>
      </c>
      <c r="BV20" s="14" t="str">
        <f>IF(SUM(BI20:BL20)-BM20&gt;0,SUM(BI20:BL20)-BM20,"")</f>
        <v/>
      </c>
      <c r="BW20" s="14">
        <f>IF(SUM(BT20,BV20)&gt;0,SUM(BT20,BV20),"")</f>
        <v>77.58</v>
      </c>
      <c r="BX20" s="37">
        <v>13.6</v>
      </c>
      <c r="BY20" s="37">
        <v>9.1999999999999993</v>
      </c>
      <c r="BZ20" s="37">
        <v>2.5</v>
      </c>
      <c r="CA20" s="37">
        <v>12.84</v>
      </c>
      <c r="CB20" s="37">
        <v>0</v>
      </c>
      <c r="CC20" s="37">
        <v>11.6</v>
      </c>
      <c r="CD20" s="37">
        <v>8.5</v>
      </c>
      <c r="CE20" s="37">
        <v>7.1</v>
      </c>
      <c r="CF20" s="37">
        <v>12.65</v>
      </c>
      <c r="CG20" s="37">
        <v>1.7</v>
      </c>
      <c r="CH20" s="37"/>
      <c r="CI20" s="37"/>
      <c r="CJ20" s="37"/>
      <c r="CK20" s="37"/>
      <c r="CL20" s="37"/>
      <c r="CM20" s="37">
        <v>12.2</v>
      </c>
      <c r="CN20" s="37">
        <v>8.9</v>
      </c>
      <c r="CO20" s="37">
        <v>7</v>
      </c>
      <c r="CP20" s="37">
        <v>12.69</v>
      </c>
      <c r="CQ20" s="37">
        <v>1.8</v>
      </c>
      <c r="CR20" s="44"/>
      <c r="CS20" s="11">
        <f>IF(SUM(BX20:CA20)-CB20&gt;0,SUM(BX20:CA20)-CB20,"")</f>
        <v>38.14</v>
      </c>
      <c r="CT20" s="11">
        <f>IF(CE20&gt;0,CE20,"")</f>
        <v>7.1</v>
      </c>
      <c r="CU20" s="11">
        <f>IF(SUM(CC20:CF20)-CG20&gt;0,SUM(CC20:CF20)-CG20,"")</f>
        <v>38.15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76.289999999999992</v>
      </c>
      <c r="CY20" s="11">
        <f>IF(CO20&gt;0,CO20,"")</f>
        <v>7</v>
      </c>
      <c r="CZ20" s="11">
        <f>IF(SUM(CM20:CP20)-CQ20&gt;0,SUM(CM20:CP20)-CQ20,"")</f>
        <v>38.99</v>
      </c>
      <c r="DA20" s="11">
        <f>IF(SUM(CX20,CZ20)&gt;0,SUM(CX20,CZ20),"")</f>
        <v>115.28</v>
      </c>
      <c r="DB20" s="18" t="str">
        <f>IF(K20&gt;=0.001,IF(MAX(DT20,DU20,EP20,EQ20,FL20,FM20,GH20,GI20,HD20,HE20,HZ20,IA20,IV20,IW20,JR20,JS20,KN20,KO20,LJ20,LK20,MF20,MG20,NB20,NC20)-IF(K20="",0,K20)&gt;0.001,MAX(DT20,DU20,EP20,EQ20,FL20,FM20,GH20,GI20,HD20,HE20,HZ20,IA20,IV20,IW20,JR20,JS20,KN20,KO20,LJ20,LK20,MF20,MG20,NB20,NC20)-IF(K20="",0,K20),""),"")</f>
        <v/>
      </c>
      <c r="DC20" s="18" t="str">
        <f>IF(K20&gt;=0.001,IF(MAX(DX20,ET20,FP20,GL20,HH20,ID20,IZ20,JV20,KR20,LN20,MJ20,NF20)-IF(K20="",0,K20)&gt;0.001,MAX(DX20,ET20,FP20,GL20,HH20,ID20,IZ20,JV20,KR20,LN20,MJ20,NF20)-IF(K20="",0,K20),""),"")</f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7">
        <f>IF($CR20="P",BX20,(BX20+AT20)/2)</f>
        <v>13.3</v>
      </c>
      <c r="NI20" s="37">
        <f>IF($CR20="P",BY20,(BY20+AU20)/2)</f>
        <v>8.8999999999999986</v>
      </c>
      <c r="NJ20" s="37">
        <f>IF($CR20="P",BZ20,(BZ20+AV20)/2)</f>
        <v>2.5</v>
      </c>
      <c r="NK20" s="37">
        <f>IF($CR20="P",CA20,(CA20+AW20)/2)</f>
        <v>12.8</v>
      </c>
      <c r="NL20" s="37">
        <f>IF($CR20="P",CB20,(CB20+AX20)/2)</f>
        <v>1</v>
      </c>
      <c r="NM20" s="37">
        <f>IF($CR20="P",CC20,(CC20+AY20)/2)</f>
        <v>12.45</v>
      </c>
      <c r="NN20" s="37">
        <f>IF($CR20="P",CD20,(CD20+AZ20)/2)</f>
        <v>8.75</v>
      </c>
      <c r="NO20" s="37">
        <f>IF($CR20="P",CE20,(CE20+BA20)/2)</f>
        <v>7.7</v>
      </c>
      <c r="NP20" s="37">
        <f>IF($CR20="P",CF20,(CF20+BB20)/2)</f>
        <v>12.635</v>
      </c>
      <c r="NQ20" s="37">
        <f>IF($CR20="P",CG20,(CG20+BC20)/2)</f>
        <v>1.1000000000000001</v>
      </c>
      <c r="NR20" s="37">
        <f>IF($CR20="P",CH20,(CH20+BD20)/2)</f>
        <v>0</v>
      </c>
      <c r="NS20" s="37">
        <f>IF($CR20="P",CI20,(CI20+BE20)/2)</f>
        <v>0</v>
      </c>
      <c r="NT20" s="37">
        <f>IF($CR20="P",CJ20,(CJ20+BF20)/2)</f>
        <v>0</v>
      </c>
      <c r="NU20" s="37">
        <f>IF($CR20="P",CK20,(CK20+BG20)/2)</f>
        <v>0</v>
      </c>
      <c r="NV20" s="37">
        <f>IF($CR20="P",CL20,(CL20+BH20)/2)</f>
        <v>0</v>
      </c>
      <c r="NW20" s="37">
        <f>IF($CR20="P",CM20,(CM20+BI20)/2)</f>
        <v>6.1</v>
      </c>
      <c r="NX20" s="37">
        <f>IF($CR20="P",CN20,(CN20+BJ20)/2)</f>
        <v>4.45</v>
      </c>
      <c r="NY20" s="37">
        <f>IF($CR20="P",CO20,(CO20+BK20)/2)</f>
        <v>3.5</v>
      </c>
      <c r="NZ20" s="37">
        <f>IF($CR20="P",CP20,(CP20+BL20)/2)</f>
        <v>6.3449999999999998</v>
      </c>
      <c r="OA20" s="37">
        <f>IF($CR20="P",CQ20,(CQ20+BM20)/2)</f>
        <v>0.9</v>
      </c>
      <c r="OB20" s="44" t="s">
        <v>46</v>
      </c>
      <c r="OC20" s="11">
        <f>IF(SUM(NH20:NK20)-NL20&gt;0,SUM(NH20:NK20)-NL20,"")</f>
        <v>36.5</v>
      </c>
      <c r="OD20" s="11">
        <f>IF(NO20&gt;0,NO20,"")</f>
        <v>7.7</v>
      </c>
      <c r="OE20" s="11">
        <f>IF(SUM(NM20:NP20)-NQ20&gt;0,SUM(NM20:NP20)-NQ20,"")</f>
        <v>40.434999999999995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76.935000000000002</v>
      </c>
      <c r="OI20" s="11">
        <f>IF(NY20&gt;0,NY20,"")</f>
        <v>3.5</v>
      </c>
      <c r="OJ20" s="11">
        <f t="shared" ref="OJ20" si="26">IF(SUM(NW20:NZ20)-OA20&gt;0,SUM(NW20:NZ20)-OA20,"")</f>
        <v>19.495000000000001</v>
      </c>
      <c r="OK20" s="11">
        <f t="shared" ref="OK20" si="27">IF(SUM(OH20,OJ20)&gt;0,SUM(OH20,OJ20),"")</f>
        <v>96.43</v>
      </c>
    </row>
    <row r="21" spans="1:401" x14ac:dyDescent="0.2">
      <c r="A21" s="5" t="str" cm="1">
        <f t="array" ref="A21">IF(AND(F21="P",G21="P"),SUMPRODUCT((F$4:F$33="P")*(G$4:G$33="P")*(E$4:E$33&gt;E21))+1,IF(G21="P",SUMPRODUCT((F$4:F$33="")*(G$4:G$33="P")*(E$4:E$33&gt;E21))+1+SUMPRODUCT((F$4:F$33="P")*(G$4:G$33="P")),""))</f>
        <v/>
      </c>
      <c r="B21" s="8" t="s">
        <v>85</v>
      </c>
      <c r="C21" s="4" t="s">
        <v>5</v>
      </c>
      <c r="D21" s="21">
        <v>2004</v>
      </c>
      <c r="E21" s="15">
        <f>SUM(I21:M21)</f>
        <v>73.709999999999994</v>
      </c>
      <c r="F21" s="3" t="str">
        <f>IF(OR(AND(AL21&gt;=AS$35,AM21&gt;=AS$39,AL21&lt;&gt;"",AJ21=""),AND(AN21&gt;=AS$35,AO21&gt;=AS$39,AN21&lt;&gt;"",AN21=""),AND(AQ21&gt;=AS$35,AR21&gt;=AS$39,AQ21&lt;&gt;"",AJ21=""),AND(BP21&gt;=BW$35,BQ21&gt;=BW$39,BP21&lt;&gt;"",BN21=""),AND(BR21&gt;=BW$35,BS21&gt;=BW$39,BR21&lt;&gt;"",BN21=""),AND(BU21&gt;=BW$35,BV21&gt;=BW$39,BU21&lt;&gt;"",BN21=""),AND(CT21&gt;=DA$35,CU21&gt;=DA$39,CT21&lt;&gt;"",CR21=""),AND(CV21&gt;=DA$35,CW21&gt;=DA$39,CV21&lt;&gt;"",CR21=""),AND(CY21&gt;=DA$35,CZ21&gt;=DA$39,CY21&lt;&gt;"",CR21=""),AND(DS21&gt;=DY$35,DU21&gt;=DY$39,DS21&lt;&gt;""),AND(DW21&gt;=DY$35,DX21&gt;=DY$39,DW21&lt;&gt;""),AND(EO21&gt;=EU$35,EQ21&gt;=EU$39,EO21&lt;&gt;""),AND(ES21&gt;=EU$35,ET21&gt;=EU$39,ES21&lt;&gt;""),AND(FK21&gt;=FQ$35,FM21&gt;=FQ$39,FK21&lt;&gt;""),AND(FO21&gt;=FQ$35,FP21&gt;=FQ$39,FO21&lt;&gt;""),AND(GG21&gt;=GM$35,GI21&gt;=GM$39,GG21&lt;&gt;""),AND(GK21&gt;=GM$35,GL21&gt;=GM$39,GK21&lt;&gt;""),AND(HC21&gt;=HI$35,HE21&gt;=HI$39,HC21&lt;&gt;""),AND(HG21&gt;=HI$35,HH21&gt;=HI$39,HG21&lt;&gt;""),AND(HY21&gt;=IE$35,IA21&gt;=IE$39,HY21&lt;&gt;""),AND(IC21&gt;=IE$35,ID21&gt;=IE$39,IC21&lt;&gt;""),AND(IU21&gt;=JA$35,IW21&gt;=JA$39,IU21&lt;&gt;""),AND(IY21&gt;=JA$35,IZ21&gt;=JA$39,IY21&lt;&gt;""),AND(JQ21&gt;=JW$35,JS21&gt;=JW$39,JQ21&lt;&gt;""),AND(JU21&gt;=JW$35,JV21&gt;=JW$39,JU21&lt;&gt;""),AND(KM21&gt;=KS$35,KO21&gt;=KS$39,KM21&lt;&gt;""),AND(KQ21&gt;=KS$35,KR21&gt;=KS$39,KQ21&lt;&gt;""),AND(LI21&gt;=LO$35,LK21&gt;=LO$39,LI21&lt;&gt;""),AND(LM21&gt;=LO$35,LN21&gt;=LO$39,LM21&lt;&gt;""),AND(ME21&gt;=MK$35,MG21&gt;=MK$39,ME21&lt;&gt;""),AND(MI21&gt;=MK$35,MJ21&gt;=MK$39,MI21&lt;&gt;""),AND(NA21&gt;=NG$35,NC21&gt;=NG$39,NA21&lt;&gt;""),AND(NE21&gt;=NG$35,NF21&gt;=NG$39,NE21&lt;&gt;"")),"P","")</f>
        <v/>
      </c>
      <c r="G21" s="3" t="str">
        <f>IF(OR(AND(AM21&gt;=AS$39,AL21&lt;&gt;"",AJ21=""),AND(AO21&gt;=AS$39,AN21&lt;&gt;"",AN21=""),AND(AR21&gt;=AS$39,AQ21&lt;&gt;"",AJ21=""),AND(BQ21&gt;=BW$39,BP21&lt;&gt;"",BN21=""),AND(BS21&gt;=BW$39,BR21&lt;&gt;"",BN21=""),AND(BV21&gt;=BW$39,BU21&lt;&gt;"",BN21=""),AND(CU21&gt;=DA$39,CT21&lt;&gt;"",CR21=""),AND(CW21&gt;=DA$39,CV21&lt;&gt;"",CR21=""),AND(CZ21&gt;=DA$39,CY21&lt;&gt;"",CR21=""),AND(DU21&gt;=DY$39,DS21&lt;&gt;""),AND(DX21&gt;=DY$39,DW21&lt;&gt;""),AND(EQ21&gt;=EU$39,EO21&lt;&gt;""),AND(ET21&gt;=EU$39,ES21&lt;&gt;""),AND(FM21&gt;=FQ$39,FK21&lt;&gt;""),AND(FP21&gt;=FQ$39,FO21&lt;&gt;""),AND(GI21&gt;=GM$39,GG21&lt;&gt;""),AND(GL21&gt;=GM$39,GK21&lt;&gt;""),AND(HE21&gt;=HI$39,HC21&lt;&gt;""),AND(HH21&gt;=HI$39,HG21&lt;&gt;""),AND(IA21&gt;=IE$39,HY21&lt;&gt;""),AND(ID21&gt;=IE$39,IC21&lt;&gt;""),AND(IW21&gt;=JA$39,IU21&lt;&gt;""),AND(IZ21&gt;=JA$39,IY21&lt;&gt;""),AND(JS21&gt;=JW$39,JQ21&lt;&gt;""),AND(JV21&gt;=JW$39,JU21&lt;&gt;""),AND(KO21&gt;=KS$39,KM21&lt;&gt;""),AND(KR21&gt;=KS$39,KQ21&lt;&gt;""),AND(LK21&gt;=LO$39,LI21&lt;&gt;""),AND(LN21&gt;=LO$39,LM21&lt;&gt;""),AND(MG21&gt;=MK$39,ME21&lt;&gt;""),AND(MJ21&gt;=MK$39,MI21&lt;&gt;""),AND(NC21&gt;=NG$39,NA21&lt;&gt;""),AND(NF21&gt;=NG$39,NE21&lt;&gt;"")),"P","")</f>
        <v/>
      </c>
      <c r="H21" s="66" t="str">
        <f>IF(F21="P","National Team",IF(G21="P","No DD",""))</f>
        <v/>
      </c>
      <c r="I21" s="14">
        <f>MAX(AM21,AO21,AR21,BQ21,BS21,BV21,CU21,CW21,CZ21)</f>
        <v>45.389999999999993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28.32</v>
      </c>
      <c r="L21" s="14" t="str">
        <f>IF(K21=0,"",IF(OR(K21=CW21,K21=CU21,K21=CZ21),$BX$1,IF(OR(K21=BS21,K21=BQ21,K21=BV21),$AT$1,IF(OR(K21=AO21,K21=AM21,K21=AR21),$P$1,""))))</f>
        <v>2022 Nationals</v>
      </c>
      <c r="M21" s="14" t="str">
        <f>IF(MAX(DB21,DC21)&gt;0,MAX(DB21,DC21),"")</f>
        <v/>
      </c>
      <c r="N21" s="19" t="str">
        <f>IF(M21="","",IF(M21=DB21,"(Prelim)",IF(M21=DC21,"(Final)")))</f>
        <v/>
      </c>
      <c r="O21" s="14" t="str">
        <f>IF(M21="","",IF(M21=DB21,IF(M21+IF(K21="",0,K21)=NC21,$ML$1,IF(M21+IF(K21="",0,K21)=MG21,$LP$1,IF(M21+IF(K21="",0,K21)=LK21,$KT$1,IF(M21+IF(K21="",0,K21)=KO21,$JX$1,IF(M21+IF(K21="",0,K21)=JS21,$JB$1,IF(M21+IF(K21="",0,K21)=IW21,$IF$1,IF(M21+IF(K21="",0,K21)=IA21,$HJ$1,IF(M21+IF(K21="",0,K21)=HE21,$GN$1,IF(M21+IF(K21="",0,K21)=GI21,$FR$1,IF(M21+IF(K21="",0,K21)=FM21,$EV$1,IF(M21+IF(K21="",0,K21)=EQ21,$DZ$1,IF(M21+IF(K21="",0,K21)=DU21,$DD$1,IF(M21+IF(K21="",0,K21)=NB21,$ML$1,IF(M21+IF(K21="",0,K21)=MF21,$LP$1,IF(M21+IF(K21="",0,K21)=LJ21,$KT$1,IF(M21+IF(K21="",0,K21)=KN21,$JX$1,IF(M21+IF(K21="",0,K21)=JR21,$JB$1,IF(M21+IF(K21="",0,K21)=IV21,$IF$1,IF(M21+IF(K21="",0,K21)=HZ21,$HJ$1,IF(M21+IF(K21="",0,K21)=HD21,$GN$1,IF(M21+IF(K21="",0,K21)=GH21,$FR$1,IF(M21+IF(K21="",0,K21)=FL21,$EV$1,IF(M21+IF(K21="",0,K21)=EP21,$DZ$1,IF(M21+IF(K21="",0,K21)=DT21,$DD$1))))))))))))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</f>
        <v/>
      </c>
      <c r="P21" s="37">
        <v>16.899999999999999</v>
      </c>
      <c r="Q21" s="37">
        <v>9.6999999999999993</v>
      </c>
      <c r="R21" s="37">
        <v>1.4</v>
      </c>
      <c r="S21" s="37">
        <v>13.63</v>
      </c>
      <c r="T21" s="37">
        <v>0</v>
      </c>
      <c r="U21" s="37">
        <v>14.9</v>
      </c>
      <c r="V21" s="37">
        <v>9.1999999999999993</v>
      </c>
      <c r="W21" s="37">
        <v>8.1999999999999993</v>
      </c>
      <c r="X21" s="37">
        <v>13.69</v>
      </c>
      <c r="Y21" s="37">
        <v>0.6</v>
      </c>
      <c r="Z21" s="37"/>
      <c r="AA21" s="37"/>
      <c r="AB21" s="37"/>
      <c r="AC21" s="37"/>
      <c r="AD21" s="37"/>
      <c r="AE21" s="37">
        <v>3.2</v>
      </c>
      <c r="AF21" s="37">
        <v>1.9</v>
      </c>
      <c r="AG21" s="37">
        <v>1.8</v>
      </c>
      <c r="AH21" s="37">
        <v>2.86</v>
      </c>
      <c r="AI21" s="37">
        <v>0</v>
      </c>
      <c r="AJ21" s="44"/>
      <c r="AK21" s="11">
        <f>IF(SUM(P21:S21)-T21&gt;0,SUM(P21:S21)-T21,"")</f>
        <v>41.629999999999995</v>
      </c>
      <c r="AL21" s="11">
        <f>IF(W21&gt;0,W21,"")</f>
        <v>8.1999999999999993</v>
      </c>
      <c r="AM21" s="11">
        <f>IF(SUM(U21:X21)-Y21&gt;0,SUM(U21:X21)-Y21,"")</f>
        <v>45.389999999999993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87.019999999999982</v>
      </c>
      <c r="AQ21" s="11">
        <f>IF(AG21&gt;0,AG21,"")</f>
        <v>1.8</v>
      </c>
      <c r="AR21" s="11">
        <f>IF(SUM(AE21:AH21)-AI21&gt;0,SUM(AE21:AH21)-AI21,"")</f>
        <v>9.76</v>
      </c>
      <c r="AS21" s="11">
        <f>IF(SUM(AP21,AR21)&gt;0,SUM(AP21,AR21),"")</f>
        <v>96.779999999999987</v>
      </c>
      <c r="AT21" s="41">
        <v>16</v>
      </c>
      <c r="AU21" s="41">
        <v>9.5</v>
      </c>
      <c r="AV21" s="41">
        <v>1.4</v>
      </c>
      <c r="AW21" s="41">
        <v>12.24</v>
      </c>
      <c r="AX21" s="41">
        <v>0</v>
      </c>
      <c r="AY21" s="41">
        <v>9.1</v>
      </c>
      <c r="AZ21" s="41">
        <v>5.5</v>
      </c>
      <c r="BA21" s="41">
        <v>5.9</v>
      </c>
      <c r="BB21" s="41">
        <v>7.82</v>
      </c>
      <c r="BC21" s="41">
        <v>0</v>
      </c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>
        <f>IF(SUM(AT21:AW21)-AX21&gt;0,SUM(AT21:AW21)-AX21,"")</f>
        <v>39.14</v>
      </c>
      <c r="BP21" s="14">
        <f>IF(BA21&gt;0,BA21,"")</f>
        <v>5.9</v>
      </c>
      <c r="BQ21" s="14">
        <f>IF(SUM(AY21:BB21)-BC21&gt;0,SUM(AY21:BB21)-BC21,"")</f>
        <v>28.32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67.460000000000008</v>
      </c>
      <c r="BU21" s="14" t="str">
        <f>IF(BK21&gt;0,BK21,"")</f>
        <v/>
      </c>
      <c r="BV21" s="14" t="str">
        <f>IF(SUM(BI21:BL21)-BM21&gt;0,SUM(BI21:BL21)-BM21,"")</f>
        <v/>
      </c>
      <c r="BW21" s="14">
        <f>IF(SUM(BT21,BV21)&gt;0,SUM(BT21,BV21),"")</f>
        <v>67.460000000000008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8" t="str">
        <f>IF(K21&gt;=0.001,IF(MAX(DT21,DU21,EP21,EQ21,FL21,FM21,GH21,GI21,HD21,HE21,HZ21,IA21,IV21,IW21,JR21,JS21,KN21,KO21,LJ21,LK21,MF21,MG21,NB21,NC21)-IF(K21="",0,K21)&gt;0.001,MAX(DT21,DU21,EP21,EQ21,FL21,FM21,GH21,GI21,HD21,HE21,HZ21,IA21,IV21,IW21,JR21,JS21,KN21,KO21,LJ21,LK21,MF21,MG21,NB21,NC21)-IF(K21="",0,K21),""),"")</f>
        <v/>
      </c>
      <c r="DC21" s="18" t="str">
        <f>IF(K21&gt;=0.001,IF(MAX(DX21,ET21,FP21,GL21,HH21,ID21,IZ21,JV21,KR21,LN21,MJ21,NF21)-IF(K21="",0,K21)&gt;0.001,MAX(DX21,ET21,FP21,GL21,HH21,ID21,IZ21,JV21,KR21,LN21,MJ21,NF21)-IF(K21="",0,K21),""),"")</f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7">
        <f>IF($CR21="P",BX21,(BX21+AT21)/2)</f>
        <v>8</v>
      </c>
      <c r="NI21" s="37">
        <f>IF($CR21="P",BY21,(BY21+AU21)/2)</f>
        <v>4.75</v>
      </c>
      <c r="NJ21" s="37">
        <f>IF($CR21="P",BZ21,(BZ21+AV21)/2)</f>
        <v>0.7</v>
      </c>
      <c r="NK21" s="37">
        <f>IF($CR21="P",CA21,(CA21+AW21)/2)</f>
        <v>6.12</v>
      </c>
      <c r="NL21" s="37">
        <f>IF($CR21="P",CB21,(CB21+AX21)/2)</f>
        <v>0</v>
      </c>
      <c r="NM21" s="37">
        <f>IF($CR21="P",CC21,(CC21+AY21)/2)</f>
        <v>4.55</v>
      </c>
      <c r="NN21" s="37">
        <f>IF($CR21="P",CD21,(CD21+AZ21)/2)</f>
        <v>2.75</v>
      </c>
      <c r="NO21" s="37">
        <f>IF($CR21="P",CE21,(CE21+BA21)/2)</f>
        <v>2.95</v>
      </c>
      <c r="NP21" s="37">
        <f>IF($CR21="P",CF21,(CF21+BB21)/2)</f>
        <v>3.91</v>
      </c>
      <c r="NQ21" s="37">
        <f>IF($CR21="P",CG21,(CG21+BC21)/2)</f>
        <v>0</v>
      </c>
      <c r="NR21" s="37">
        <f>IF($CR21="P",CH21,(CH21+BD21)/2)</f>
        <v>0</v>
      </c>
      <c r="NS21" s="37">
        <f>IF($CR21="P",CI21,(CI21+BE21)/2)</f>
        <v>0</v>
      </c>
      <c r="NT21" s="37">
        <f>IF($CR21="P",CJ21,(CJ21+BF21)/2)</f>
        <v>0</v>
      </c>
      <c r="NU21" s="37">
        <f>IF($CR21="P",CK21,(CK21+BG21)/2)</f>
        <v>0</v>
      </c>
      <c r="NV21" s="37">
        <f>IF($CR21="P",CL21,(CL21+BH21)/2)</f>
        <v>0</v>
      </c>
      <c r="NW21" s="37">
        <f>IF($CR21="P",CM21,(CM21+BI21)/2)</f>
        <v>0</v>
      </c>
      <c r="NX21" s="37">
        <f>IF($CR21="P",CN21,(CN21+BJ21)/2)</f>
        <v>0</v>
      </c>
      <c r="NY21" s="37">
        <f>IF($CR21="P",CO21,(CO21+BK21)/2)</f>
        <v>0</v>
      </c>
      <c r="NZ21" s="37">
        <f>IF($CR21="P",CP21,(CP21+BL21)/2)</f>
        <v>0</v>
      </c>
      <c r="OA21" s="37">
        <f>IF($CR21="P",CQ21,(CQ21+BM21)/2)</f>
        <v>0</v>
      </c>
      <c r="OB21" s="44" t="s">
        <v>46</v>
      </c>
      <c r="OC21" s="11">
        <f>IF(SUM(NH21:NK21)-NL21&gt;0,SUM(NH21:NK21)-NL21,"")</f>
        <v>19.57</v>
      </c>
      <c r="OD21" s="11">
        <f>IF(NO21&gt;0,NO21,"")</f>
        <v>2.95</v>
      </c>
      <c r="OE21" s="11">
        <f>IF(SUM(NM21:NP21)-NQ21&gt;0,SUM(NM21:NP21)-NQ21,"")</f>
        <v>14.16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33.730000000000004</v>
      </c>
      <c r="OI21" s="11" t="str">
        <f>IF(NY21&gt;0,NY21,"")</f>
        <v/>
      </c>
      <c r="OJ21" s="11" t="str">
        <f t="shared" ref="OJ21" si="28">IF(SUM(NW21:NZ21)-OA21&gt;0,SUM(NW21:NZ21)-OA21,"")</f>
        <v/>
      </c>
      <c r="OK21" s="11">
        <f t="shared" ref="OK21" si="29">IF(SUM(OH21,OJ21)&gt;0,SUM(OH21,OJ21),"")</f>
        <v>33.730000000000004</v>
      </c>
    </row>
    <row r="22" spans="1:401" x14ac:dyDescent="0.2">
      <c r="A22" s="5" t="str" cm="1">
        <f t="array" ref="A22">IF(AND(F22="P",G22="P"),SUMPRODUCT((F$4:F$33="P")*(G$4:G$33="P")*(E$4:E$33&gt;E22))+1,IF(G22="P",SUMPRODUCT((F$4:F$33="")*(G$4:G$33="P")*(E$4:E$33&gt;E22))+1+SUMPRODUCT((F$4:F$33="P")*(G$4:G$33="P")),""))</f>
        <v/>
      </c>
      <c r="B22" s="6" t="s">
        <v>113</v>
      </c>
      <c r="C22" s="7" t="s">
        <v>5</v>
      </c>
      <c r="D22" s="21">
        <v>2001</v>
      </c>
      <c r="E22" s="15">
        <f>SUM(I22:M22)</f>
        <v>65.34</v>
      </c>
      <c r="F22" s="3" t="str">
        <f>IF(OR(AND(AL22&gt;=AS$35,AM22&gt;=AS$39,AL22&lt;&gt;"",AJ22=""),AND(AN22&gt;=AS$35,AO22&gt;=AS$39,AN22&lt;&gt;"",AN22=""),AND(AQ22&gt;=AS$35,AR22&gt;=AS$39,AQ22&lt;&gt;"",AJ22=""),AND(BP22&gt;=BW$35,BQ22&gt;=BW$39,BP22&lt;&gt;"",BN22=""),AND(BR22&gt;=BW$35,BS22&gt;=BW$39,BR22&lt;&gt;"",BN22=""),AND(BU22&gt;=BW$35,BV22&gt;=BW$39,BU22&lt;&gt;"",BN22=""),AND(CT22&gt;=DA$35,CU22&gt;=DA$39,CT22&lt;&gt;"",CR22=""),AND(CV22&gt;=DA$35,CW22&gt;=DA$39,CV22&lt;&gt;"",CR22=""),AND(CY22&gt;=DA$35,CZ22&gt;=DA$39,CY22&lt;&gt;"",CR22=""),AND(DS22&gt;=DY$35,DU22&gt;=DY$39,DS22&lt;&gt;""),AND(DW22&gt;=DY$35,DX22&gt;=DY$39,DW22&lt;&gt;""),AND(EO22&gt;=EU$35,EQ22&gt;=EU$39,EO22&lt;&gt;""),AND(ES22&gt;=EU$35,ET22&gt;=EU$39,ES22&lt;&gt;""),AND(FK22&gt;=FQ$35,FM22&gt;=FQ$39,FK22&lt;&gt;""),AND(FO22&gt;=FQ$35,FP22&gt;=FQ$39,FO22&lt;&gt;""),AND(GG22&gt;=GM$35,GI22&gt;=GM$39,GG22&lt;&gt;""),AND(GK22&gt;=GM$35,GL22&gt;=GM$39,GK22&lt;&gt;""),AND(HC22&gt;=HI$35,HE22&gt;=HI$39,HC22&lt;&gt;""),AND(HG22&gt;=HI$35,HH22&gt;=HI$39,HG22&lt;&gt;""),AND(HY22&gt;=IE$35,IA22&gt;=IE$39,HY22&lt;&gt;""),AND(IC22&gt;=IE$35,ID22&gt;=IE$39,IC22&lt;&gt;""),AND(IU22&gt;=JA$35,IW22&gt;=JA$39,IU22&lt;&gt;""),AND(IY22&gt;=JA$35,IZ22&gt;=JA$39,IY22&lt;&gt;""),AND(JQ22&gt;=JW$35,JS22&gt;=JW$39,JQ22&lt;&gt;""),AND(JU22&gt;=JW$35,JV22&gt;=JW$39,JU22&lt;&gt;""),AND(KM22&gt;=KS$35,KO22&gt;=KS$39,KM22&lt;&gt;""),AND(KQ22&gt;=KS$35,KR22&gt;=KS$39,KQ22&lt;&gt;""),AND(LI22&gt;=LO$35,LK22&gt;=LO$39,LI22&lt;&gt;""),AND(LM22&gt;=LO$35,LN22&gt;=LO$39,LM22&lt;&gt;""),AND(ME22&gt;=MK$35,MG22&gt;=MK$39,ME22&lt;&gt;""),AND(MI22&gt;=MK$35,MJ22&gt;=MK$39,MI22&lt;&gt;""),AND(NA22&gt;=NG$35,NC22&gt;=NG$39,NA22&lt;&gt;""),AND(NE22&gt;=NG$35,NF22&gt;=NG$39,NE22&lt;&gt;"")),"P","")</f>
        <v/>
      </c>
      <c r="G22" s="3" t="str">
        <f>IF(OR(AND(AM22&gt;=AS$39,AL22&lt;&gt;"",AJ22=""),AND(AO22&gt;=AS$39,AN22&lt;&gt;"",AN22=""),AND(AR22&gt;=AS$39,AQ22&lt;&gt;"",AJ22=""),AND(BQ22&gt;=BW$39,BP22&lt;&gt;"",BN22=""),AND(BS22&gt;=BW$39,BR22&lt;&gt;"",BN22=""),AND(BV22&gt;=BW$39,BU22&lt;&gt;"",BN22=""),AND(CU22&gt;=DA$39,CT22&lt;&gt;"",CR22=""),AND(CW22&gt;=DA$39,CV22&lt;&gt;"",CR22=""),AND(CZ22&gt;=DA$39,CY22&lt;&gt;"",CR22=""),AND(DU22&gt;=DY$39,DS22&lt;&gt;""),AND(DX22&gt;=DY$39,DW22&lt;&gt;""),AND(EQ22&gt;=EU$39,EO22&lt;&gt;""),AND(ET22&gt;=EU$39,ES22&lt;&gt;""),AND(FM22&gt;=FQ$39,FK22&lt;&gt;""),AND(FP22&gt;=FQ$39,FO22&lt;&gt;""),AND(GI22&gt;=GM$39,GG22&lt;&gt;""),AND(GL22&gt;=GM$39,GK22&lt;&gt;""),AND(HE22&gt;=HI$39,HC22&lt;&gt;""),AND(HH22&gt;=HI$39,HG22&lt;&gt;""),AND(IA22&gt;=IE$39,HY22&lt;&gt;""),AND(ID22&gt;=IE$39,IC22&lt;&gt;""),AND(IW22&gt;=JA$39,IU22&lt;&gt;""),AND(IZ22&gt;=JA$39,IY22&lt;&gt;""),AND(JS22&gt;=JW$39,JQ22&lt;&gt;""),AND(JV22&gt;=JW$39,JU22&lt;&gt;""),AND(KO22&gt;=KS$39,KM22&lt;&gt;""),AND(KR22&gt;=KS$39,KQ22&lt;&gt;""),AND(LK22&gt;=LO$39,LI22&lt;&gt;""),AND(LN22&gt;=LO$39,LM22&lt;&gt;""),AND(MG22&gt;=MK$39,ME22&lt;&gt;""),AND(MJ22&gt;=MK$39,MI22&lt;&gt;""),AND(NC22&gt;=NG$39,NA22&lt;&gt;""),AND(NF22&gt;=NG$39,NE22&lt;&gt;"")),"P","")</f>
        <v/>
      </c>
      <c r="H22" s="66" t="str">
        <f>IF(F22="P","National Team",IF(G22="P","No DD",""))</f>
        <v/>
      </c>
      <c r="I22" s="14">
        <f>MAX(AM22,AO22,AR22,BQ22,BS22,BV22,CU22,CW22,CZ22)</f>
        <v>46.25</v>
      </c>
      <c r="J22" s="14" t="str">
        <f>IF(I22=0,"",IF(OR(I22=CW22,I22=CU22,I22=CZ22),$BX$1,IF(OR(I22=BS22,I22=BQ22,I22=BV22),$AT$1,IF(OR(I22=AO22,I22=AM22,I22=AR22),$P$1,""))))</f>
        <v>2022 Elite Canada</v>
      </c>
      <c r="K22" s="14">
        <f>IF(COUNT(AM22,AO22,AR22,BQ22,BS22,BV22,CU22,CW22,CZ22)&gt;1,LARGE((AM22,AO22,AR22,BQ22,BS22,BV22,CU22,CW22,CZ22),2),0)</f>
        <v>19.09</v>
      </c>
      <c r="L22" s="14" t="str">
        <f>IF(K22=0,"",IF(OR(K22=CW22,K22=CU22,K22=CZ22),$BX$1,IF(OR(K22=BS22,K22=BQ22,K22=BV22),$AT$1,IF(OR(K22=AO22,K22=AM22,K22=AR22),$P$1,""))))</f>
        <v>2022 Nationals</v>
      </c>
      <c r="M22" s="14" t="str">
        <f>IF(MAX(DB22,DC22)&gt;0,MAX(DB22,DC22),"")</f>
        <v/>
      </c>
      <c r="N22" s="19" t="str">
        <f>IF(M22="","",IF(M22=DB22,"(Prelim)",IF(M22=DC22,"(Final)")))</f>
        <v/>
      </c>
      <c r="O22" s="14" t="str">
        <f>IF(M22="","",IF(M22=DB22,IF(M22+IF(K22="",0,K22)=NC22,$ML$1,IF(M22+IF(K22="",0,K22)=MG22,$LP$1,IF(M22+IF(K22="",0,K22)=LK22,$KT$1,IF(M22+IF(K22="",0,K22)=KO22,$JX$1,IF(M22+IF(K22="",0,K22)=JS22,$JB$1,IF(M22+IF(K22="",0,K22)=IW22,$IF$1,IF(M22+IF(K22="",0,K22)=IA22,$HJ$1,IF(M22+IF(K22="",0,K22)=HE22,$GN$1,IF(M22+IF(K22="",0,K22)=GI22,$FR$1,IF(M22+IF(K22="",0,K22)=FM22,$EV$1,IF(M22+IF(K22="",0,K22)=EQ22,$DZ$1,IF(M22+IF(K22="",0,K22)=DU22,$DD$1,IF(M22+IF(K22="",0,K22)=NB22,$ML$1,IF(M22+IF(K22="",0,K22)=MF22,$LP$1,IF(M22+IF(K22="",0,K22)=LJ22,$KT$1,IF(M22+IF(K22="",0,K22)=KN22,$JX$1,IF(M22+IF(K22="",0,K22)=JR22,$JB$1,IF(M22+IF(K22="",0,K22)=IV22,$IF$1,IF(M22+IF(K22="",0,K22)=HZ22,$HJ$1,IF(M22+IF(K22="",0,K22)=HD22,$GN$1,IF(M22+IF(K22="",0,K22)=GH22,$FR$1,IF(M22+IF(K22="",0,K22)=FL22,$EV$1,IF(M22+IF(K22="",0,K22)=EP22,$DZ$1,IF(M22+IF(K22="",0,K22)=DT22,$DD$1))))))))))))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</f>
        <v/>
      </c>
      <c r="P22" s="37">
        <v>15.6</v>
      </c>
      <c r="Q22" s="37">
        <v>9.8000000000000007</v>
      </c>
      <c r="R22" s="37">
        <v>2.1</v>
      </c>
      <c r="S22" s="37">
        <v>13.28</v>
      </c>
      <c r="T22" s="37">
        <v>0</v>
      </c>
      <c r="U22" s="37">
        <v>13.9</v>
      </c>
      <c r="V22" s="37">
        <v>9.5</v>
      </c>
      <c r="W22" s="37">
        <v>9.6</v>
      </c>
      <c r="X22" s="37">
        <v>13.25</v>
      </c>
      <c r="Y22" s="37">
        <v>0</v>
      </c>
      <c r="Z22" s="37"/>
      <c r="AA22" s="37"/>
      <c r="AB22" s="37"/>
      <c r="AC22" s="37"/>
      <c r="AD22" s="37"/>
      <c r="AE22" s="37">
        <v>3.8</v>
      </c>
      <c r="AF22" s="37">
        <v>2.5</v>
      </c>
      <c r="AG22" s="37">
        <v>3.3</v>
      </c>
      <c r="AH22" s="37">
        <v>3.9</v>
      </c>
      <c r="AI22" s="37">
        <v>0</v>
      </c>
      <c r="AJ22" s="44"/>
      <c r="AK22" s="11">
        <f>IF(SUM(P22:S22)-T22&gt;0,SUM(P22:S22)-T22,"")</f>
        <v>40.78</v>
      </c>
      <c r="AL22" s="11">
        <f>IF(W22&gt;0,W22,"")</f>
        <v>9.6</v>
      </c>
      <c r="AM22" s="11">
        <f>IF(SUM(U22:X22)-Y22&gt;0,SUM(U22:X22)-Y22,"")</f>
        <v>46.25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87.03</v>
      </c>
      <c r="AQ22" s="11">
        <f>IF(AG22&gt;0,AG22,"")</f>
        <v>3.3</v>
      </c>
      <c r="AR22" s="11">
        <f>IF(SUM(AE22:AH22)-AI22&gt;0,SUM(AE22:AH22)-AI22,"")</f>
        <v>13.5</v>
      </c>
      <c r="AS22" s="11">
        <f>IF(SUM(AP22,AR22)&gt;0,SUM(AP22,AR22),"")</f>
        <v>100.53</v>
      </c>
      <c r="AT22" s="41">
        <v>15.7</v>
      </c>
      <c r="AU22" s="41">
        <v>9.4</v>
      </c>
      <c r="AV22" s="41">
        <v>2.1</v>
      </c>
      <c r="AW22" s="41">
        <v>13.29</v>
      </c>
      <c r="AX22" s="41">
        <v>0</v>
      </c>
      <c r="AY22" s="41">
        <v>5.4</v>
      </c>
      <c r="AZ22" s="41">
        <v>3.9</v>
      </c>
      <c r="BA22" s="41">
        <v>4.5</v>
      </c>
      <c r="BB22" s="41">
        <v>5.29</v>
      </c>
      <c r="BC22" s="41">
        <v>0</v>
      </c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>
        <f>IF(SUM(AT22:AW22)-AX22&gt;0,SUM(AT22:AW22)-AX22,"")</f>
        <v>40.49</v>
      </c>
      <c r="BP22" s="14">
        <f>IF(BA22&gt;0,BA22,"")</f>
        <v>4.5</v>
      </c>
      <c r="BQ22" s="14">
        <f>IF(SUM(AY22:BB22)-BC22&gt;0,SUM(AY22:BB22)-BC22,"")</f>
        <v>19.09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59.58</v>
      </c>
      <c r="BU22" s="14" t="str">
        <f>IF(BK22&gt;0,BK22,"")</f>
        <v/>
      </c>
      <c r="BV22" s="14" t="str">
        <f>IF(SUM(BI22:BL22)-BM22&gt;0,SUM(BI22:BL22)-BM22,"")</f>
        <v/>
      </c>
      <c r="BW22" s="14">
        <f>IF(SUM(BT22,BV22)&gt;0,SUM(BT22,BV22),"")</f>
        <v>59.58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>IF(SUM(BX22:CA22)-CB22&gt;0,SUM(BX22:CA22)-CB22,"")</f>
        <v/>
      </c>
      <c r="CT22" s="11" t="str">
        <f>IF(CE22&gt;0,CE22,"")</f>
        <v/>
      </c>
      <c r="CU22" s="11" t="str">
        <f>IF(SUM(CC22:CF22)-CG22&gt;0,SUM(CC22:CF22)-CG22,"")</f>
        <v/>
      </c>
      <c r="CV22" s="11" t="str">
        <f>IF(CJ22&gt;0,CJ22,"")</f>
        <v/>
      </c>
      <c r="CW22" s="11" t="str">
        <f>IF(SUM(CH22:CK22)-CL22&gt;0,SUM(CH22:CK22)-CL22,"")</f>
        <v/>
      </c>
      <c r="CX22" s="11" t="str">
        <f>IF(CS22="",IF(MAX(CU22,CW22)&gt;0,MAX(CU22,CW22),""),MAX(CU22,CW22)+CS22)</f>
        <v/>
      </c>
      <c r="CY22" s="11" t="str">
        <f>IF(CO22&gt;0,CO22,"")</f>
        <v/>
      </c>
      <c r="CZ22" s="11" t="str">
        <f>IF(SUM(CM22:CP22)-CQ22&gt;0,SUM(CM22:CP22)-CQ22,"")</f>
        <v/>
      </c>
      <c r="DA22" s="11" t="str">
        <f>IF(SUM(CX22,CZ22)&gt;0,SUM(CX22,CZ22),"")</f>
        <v/>
      </c>
      <c r="DB22" s="18" t="str">
        <f>IF(K22&gt;=0.001,IF(MAX(DT22,DU22,EP22,EQ22,FL22,FM22,GH22,GI22,HD22,HE22,HZ22,IA22,IV22,IW22,JR22,JS22,KN22,KO22,LJ22,LK22,MF22,MG22,NB22,NC22)-IF(K22="",0,K22)&gt;0.001,MAX(DT22,DU22,EP22,EQ22,FL22,FM22,GH22,GI22,HD22,HE22,HZ22,IA22,IV22,IW22,JR22,JS22,KN22,KO22,LJ22,LK22,MF22,MG22,NB22,NC22)-IF(K22="",0,K22),""),"")</f>
        <v/>
      </c>
      <c r="DC22" s="18" t="str">
        <f>IF(K22&gt;=0.001,IF(MAX(DX22,ET22,FP22,GL22,HH22,ID22,IZ22,JV22,KR22,LN22,MJ22,NF22)-IF(K22="",0,K22)&gt;0.001,MAX(DX22,ET22,FP22,GL22,HH22,ID22,IZ22,JV22,KR22,LN22,MJ22,NF22)-IF(K22="",0,K22),""),"")</f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7">
        <f>IF($CR22="P",BX22,(BX22+AT22)/2)</f>
        <v>7.85</v>
      </c>
      <c r="NI22" s="37">
        <f>IF($CR22="P",BY22,(BY22+AU22)/2)</f>
        <v>4.7</v>
      </c>
      <c r="NJ22" s="37">
        <f>IF($CR22="P",BZ22,(BZ22+AV22)/2)</f>
        <v>1.05</v>
      </c>
      <c r="NK22" s="37">
        <f>IF($CR22="P",CA22,(CA22+AW22)/2)</f>
        <v>6.6449999999999996</v>
      </c>
      <c r="NL22" s="37">
        <f>IF($CR22="P",CB22,(CB22+AX22)/2)</f>
        <v>0</v>
      </c>
      <c r="NM22" s="37">
        <f>IF($CR22="P",CC22,(CC22+AY22)/2)</f>
        <v>2.7</v>
      </c>
      <c r="NN22" s="37">
        <f>IF($CR22="P",CD22,(CD22+AZ22)/2)</f>
        <v>1.95</v>
      </c>
      <c r="NO22" s="37">
        <f>IF($CR22="P",CE22,(CE22+BA22)/2)</f>
        <v>2.25</v>
      </c>
      <c r="NP22" s="37">
        <f>IF($CR22="P",CF22,(CF22+BB22)/2)</f>
        <v>2.645</v>
      </c>
      <c r="NQ22" s="37">
        <f>IF($CR22="P",CG22,(CG22+BC22)/2)</f>
        <v>0</v>
      </c>
      <c r="NR22" s="37">
        <f>IF($CR22="P",CH22,(CH22+BD22)/2)</f>
        <v>0</v>
      </c>
      <c r="NS22" s="37">
        <f>IF($CR22="P",CI22,(CI22+BE22)/2)</f>
        <v>0</v>
      </c>
      <c r="NT22" s="37">
        <f>IF($CR22="P",CJ22,(CJ22+BF22)/2)</f>
        <v>0</v>
      </c>
      <c r="NU22" s="37">
        <f>IF($CR22="P",CK22,(CK22+BG22)/2)</f>
        <v>0</v>
      </c>
      <c r="NV22" s="37">
        <f>IF($CR22="P",CL22,(CL22+BH22)/2)</f>
        <v>0</v>
      </c>
      <c r="NW22" s="37">
        <f>IF($CR22="P",CM22,(CM22+BI22)/2)</f>
        <v>0</v>
      </c>
      <c r="NX22" s="37">
        <f>IF($CR22="P",CN22,(CN22+BJ22)/2)</f>
        <v>0</v>
      </c>
      <c r="NY22" s="37">
        <f>IF($CR22="P",CO22,(CO22+BK22)/2)</f>
        <v>0</v>
      </c>
      <c r="NZ22" s="37">
        <f>IF($CR22="P",CP22,(CP22+BL22)/2)</f>
        <v>0</v>
      </c>
      <c r="OA22" s="37">
        <f>IF($CR22="P",CQ22,(CQ22+BM22)/2)</f>
        <v>0</v>
      </c>
      <c r="OB22" s="44" t="s">
        <v>46</v>
      </c>
      <c r="OC22" s="11">
        <f>IF(SUM(NH22:NK22)-NL22&gt;0,SUM(NH22:NK22)-NL22,"")</f>
        <v>20.245000000000001</v>
      </c>
      <c r="OD22" s="11">
        <f>IF(NO22&gt;0,NO22,"")</f>
        <v>2.25</v>
      </c>
      <c r="OE22" s="11">
        <f>IF(SUM(NM22:NP22)-NQ22&gt;0,SUM(NM22:NP22)-NQ22,"")</f>
        <v>9.5449999999999999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29.79</v>
      </c>
      <c r="OI22" s="11" t="str">
        <f>IF(NY22&gt;0,NY22,"")</f>
        <v/>
      </c>
      <c r="OJ22" s="11" t="str">
        <f t="shared" ref="OJ22" si="30">IF(SUM(NW22:NZ22)-OA22&gt;0,SUM(NW22:NZ22)-OA22,"")</f>
        <v/>
      </c>
      <c r="OK22" s="11">
        <f t="shared" ref="OK22" si="31">IF(SUM(OH22,OJ22)&gt;0,SUM(OH22,OJ22),"")</f>
        <v>29.79</v>
      </c>
    </row>
    <row r="23" spans="1:401" x14ac:dyDescent="0.2">
      <c r="A23" s="5" t="str" cm="1">
        <f t="array" ref="A23">IF(AND(F23="P",G23="P"),SUMPRODUCT((F$4:F$33="P")*(G$4:G$33="P")*(E$4:E$33&gt;E23))+1,IF(G23="P",SUMPRODUCT((F$4:F$33="")*(G$4:G$33="P")*(E$4:E$33&gt;E23))+1+SUMPRODUCT((F$4:F$33="P")*(G$4:G$33="P")),""))</f>
        <v/>
      </c>
      <c r="B23" s="8" t="s">
        <v>92</v>
      </c>
      <c r="C23" s="4" t="s">
        <v>5</v>
      </c>
      <c r="D23" s="21">
        <v>2001</v>
      </c>
      <c r="E23" s="15">
        <f>SUM(I23:M23)</f>
        <v>64.240000000000009</v>
      </c>
      <c r="F23" s="3" t="str">
        <f>IF(OR(AND(AL23&gt;=AS$35,AM23&gt;=AS$39,AL23&lt;&gt;"",AJ23=""),AND(AN23&gt;=AS$35,AO23&gt;=AS$39,AN23&lt;&gt;"",AN23=""),AND(AQ23&gt;=AS$35,AR23&gt;=AS$39,AQ23&lt;&gt;"",AJ23=""),AND(BP23&gt;=BW$35,BQ23&gt;=BW$39,BP23&lt;&gt;"",BN23=""),AND(BR23&gt;=BW$35,BS23&gt;=BW$39,BR23&lt;&gt;"",BN23=""),AND(BU23&gt;=BW$35,BV23&gt;=BW$39,BU23&lt;&gt;"",BN23=""),AND(CT23&gt;=DA$35,CU23&gt;=DA$39,CT23&lt;&gt;"",CR23=""),AND(CV23&gt;=DA$35,CW23&gt;=DA$39,CV23&lt;&gt;"",CR23=""),AND(CY23&gt;=DA$35,CZ23&gt;=DA$39,CY23&lt;&gt;"",CR23=""),AND(DS23&gt;=DY$35,DU23&gt;=DY$39,DS23&lt;&gt;""),AND(DW23&gt;=DY$35,DX23&gt;=DY$39,DW23&lt;&gt;""),AND(EO23&gt;=EU$35,EQ23&gt;=EU$39,EO23&lt;&gt;""),AND(ES23&gt;=EU$35,ET23&gt;=EU$39,ES23&lt;&gt;""),AND(FK23&gt;=FQ$35,FM23&gt;=FQ$39,FK23&lt;&gt;""),AND(FO23&gt;=FQ$35,FP23&gt;=FQ$39,FO23&lt;&gt;""),AND(GG23&gt;=GM$35,GI23&gt;=GM$39,GG23&lt;&gt;""),AND(GK23&gt;=GM$35,GL23&gt;=GM$39,GK23&lt;&gt;""),AND(HC23&gt;=HI$35,HE23&gt;=HI$39,HC23&lt;&gt;""),AND(HG23&gt;=HI$35,HH23&gt;=HI$39,HG23&lt;&gt;""),AND(HY23&gt;=IE$35,IA23&gt;=IE$39,HY23&lt;&gt;""),AND(IC23&gt;=IE$35,ID23&gt;=IE$39,IC23&lt;&gt;""),AND(IU23&gt;=JA$35,IW23&gt;=JA$39,IU23&lt;&gt;""),AND(IY23&gt;=JA$35,IZ23&gt;=JA$39,IY23&lt;&gt;""),AND(JQ23&gt;=JW$35,JS23&gt;=JW$39,JQ23&lt;&gt;""),AND(JU23&gt;=JW$35,JV23&gt;=JW$39,JU23&lt;&gt;""),AND(KM23&gt;=KS$35,KO23&gt;=KS$39,KM23&lt;&gt;""),AND(KQ23&gt;=KS$35,KR23&gt;=KS$39,KQ23&lt;&gt;""),AND(LI23&gt;=LO$35,LK23&gt;=LO$39,LI23&lt;&gt;""),AND(LM23&gt;=LO$35,LN23&gt;=LO$39,LM23&lt;&gt;""),AND(ME23&gt;=MK$35,MG23&gt;=MK$39,ME23&lt;&gt;""),AND(MI23&gt;=MK$35,MJ23&gt;=MK$39,MI23&lt;&gt;""),AND(NA23&gt;=NG$35,NC23&gt;=NG$39,NA23&lt;&gt;""),AND(NE23&gt;=NG$35,NF23&gt;=NG$39,NE23&lt;&gt;"")),"P","")</f>
        <v/>
      </c>
      <c r="G23" s="3" t="str">
        <f>IF(OR(AND(AM23&gt;=AS$39,AL23&lt;&gt;"",AJ23=""),AND(AO23&gt;=AS$39,AN23&lt;&gt;"",AN23=""),AND(AR23&gt;=AS$39,AQ23&lt;&gt;"",AJ23=""),AND(BQ23&gt;=BW$39,BP23&lt;&gt;"",BN23=""),AND(BS23&gt;=BW$39,BR23&lt;&gt;"",BN23=""),AND(BV23&gt;=BW$39,BU23&lt;&gt;"",BN23=""),AND(CU23&gt;=DA$39,CT23&lt;&gt;"",CR23=""),AND(CW23&gt;=DA$39,CV23&lt;&gt;"",CR23=""),AND(CZ23&gt;=DA$39,CY23&lt;&gt;"",CR23=""),AND(DU23&gt;=DY$39,DS23&lt;&gt;""),AND(DX23&gt;=DY$39,DW23&lt;&gt;""),AND(EQ23&gt;=EU$39,EO23&lt;&gt;""),AND(ET23&gt;=EU$39,ES23&lt;&gt;""),AND(FM23&gt;=FQ$39,FK23&lt;&gt;""),AND(FP23&gt;=FQ$39,FO23&lt;&gt;""),AND(GI23&gt;=GM$39,GG23&lt;&gt;""),AND(GL23&gt;=GM$39,GK23&lt;&gt;""),AND(HE23&gt;=HI$39,HC23&lt;&gt;""),AND(HH23&gt;=HI$39,HG23&lt;&gt;""),AND(IA23&gt;=IE$39,HY23&lt;&gt;""),AND(ID23&gt;=IE$39,IC23&lt;&gt;""),AND(IW23&gt;=JA$39,IU23&lt;&gt;""),AND(IZ23&gt;=JA$39,IY23&lt;&gt;""),AND(JS23&gt;=JW$39,JQ23&lt;&gt;""),AND(JV23&gt;=JW$39,JU23&lt;&gt;""),AND(KO23&gt;=KS$39,KM23&lt;&gt;""),AND(KR23&gt;=KS$39,KQ23&lt;&gt;""),AND(LK23&gt;=LO$39,LI23&lt;&gt;""),AND(LN23&gt;=LO$39,LM23&lt;&gt;""),AND(MG23&gt;=MK$39,ME23&lt;&gt;""),AND(MJ23&gt;=MK$39,MI23&lt;&gt;""),AND(NC23&gt;=NG$39,NA23&lt;&gt;""),AND(NF23&gt;=NG$39,NE23&lt;&gt;"")),"P","")</f>
        <v/>
      </c>
      <c r="H23" s="66" t="str">
        <f>IF(F23="P","National Team",IF(G23="P","No DD",""))</f>
        <v/>
      </c>
      <c r="I23" s="14">
        <f>MAX(AM23,AO23,AR23,BQ23,BS23,BV23,CU23,CW23,CZ23)</f>
        <v>43.1</v>
      </c>
      <c r="J23" s="14" t="str">
        <f>IF(I23=0,"",IF(OR(I23=CW23,I23=CU23,I23=CZ23),$BX$1,IF(OR(I23=BS23,I23=BQ23,I23=BV23),$AT$1,IF(OR(I23=AO23,I23=AM23,I23=AR23),$P$1,""))))</f>
        <v>2022 Nationals</v>
      </c>
      <c r="K23" s="14">
        <f>IF(COUNT(AM23,AO23,AR23,BQ23,BS23,BV23,CU23,CW23,CZ23)&gt;1,LARGE((AM23,AO23,AR23,BQ23,BS23,BV23,CU23,CW23,CZ23),2),0)</f>
        <v>21.14</v>
      </c>
      <c r="L23" s="14" t="str">
        <f>IF(K23=0,"",IF(OR(K23=CW23,K23=CU23,K23=CZ23),$BX$1,IF(OR(K23=BS23,K23=BQ23,K23=BV23),$AT$1,IF(OR(K23=AO23,K23=AM23,K23=AR23),$P$1,""))))</f>
        <v>2022 Elite Canada</v>
      </c>
      <c r="M23" s="14" t="str">
        <f>IF(MAX(DB23,DC23)&gt;0,MAX(DB23,DC23),"")</f>
        <v/>
      </c>
      <c r="N23" s="19" t="str">
        <f>IF(M23="","",IF(M23=DB23,"(Prelim)",IF(M23=DC23,"(Final)")))</f>
        <v/>
      </c>
      <c r="O23" s="14" t="str">
        <f>IF(M23="","",IF(M23=DB23,IF(M23+IF(K23="",0,K23)=NC23,$ML$1,IF(M23+IF(K23="",0,K23)=MG23,$LP$1,IF(M23+IF(K23="",0,K23)=LK23,$KT$1,IF(M23+IF(K23="",0,K23)=KO23,$JX$1,IF(M23+IF(K23="",0,K23)=JS23,$JB$1,IF(M23+IF(K23="",0,K23)=IW23,$IF$1,IF(M23+IF(K23="",0,K23)=IA23,$HJ$1,IF(M23+IF(K23="",0,K23)=HE23,$GN$1,IF(M23+IF(K23="",0,K23)=GI23,$FR$1,IF(M23+IF(K23="",0,K23)=FM23,$EV$1,IF(M23+IF(K23="",0,K23)=EQ23,$DZ$1,IF(M23+IF(K23="",0,K23)=DU23,$DD$1,IF(M23+IF(K23="",0,K23)=NB23,$ML$1,IF(M23+IF(K23="",0,K23)=MF23,$LP$1,IF(M23+IF(K23="",0,K23)=LJ23,$KT$1,IF(M23+IF(K23="",0,K23)=KN23,$JX$1,IF(M23+IF(K23="",0,K23)=JR23,$JB$1,IF(M23+IF(K23="",0,K23)=IV23,$IF$1,IF(M23+IF(K23="",0,K23)=HZ23,$HJ$1,IF(M23+IF(K23="",0,K23)=HD23,$GN$1,IF(M23+IF(K23="",0,K23)=GH23,$FR$1,IF(M23+IF(K23="",0,K23)=FL23,$EV$1,IF(M23+IF(K23="",0,K23)=EP23,$DZ$1,IF(M23+IF(K23="",0,K23)=DT23,$DD$1))))))))))))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</f>
        <v/>
      </c>
      <c r="P23" s="37">
        <v>14.6</v>
      </c>
      <c r="Q23" s="37">
        <v>9.6999999999999993</v>
      </c>
      <c r="R23" s="37">
        <v>1.4</v>
      </c>
      <c r="S23" s="37">
        <v>12.62</v>
      </c>
      <c r="T23" s="37">
        <v>0</v>
      </c>
      <c r="U23" s="37">
        <v>6.7</v>
      </c>
      <c r="V23" s="37">
        <v>4.5</v>
      </c>
      <c r="W23" s="37">
        <v>3.4</v>
      </c>
      <c r="X23" s="37">
        <v>6.54</v>
      </c>
      <c r="Y23" s="37">
        <v>0</v>
      </c>
      <c r="Z23" s="37"/>
      <c r="AA23" s="37"/>
      <c r="AB23" s="37"/>
      <c r="AC23" s="37"/>
      <c r="AD23" s="37"/>
      <c r="AE23" s="37">
        <v>0</v>
      </c>
      <c r="AF23" s="37">
        <v>0</v>
      </c>
      <c r="AG23" s="37">
        <v>0</v>
      </c>
      <c r="AH23" s="37">
        <v>0</v>
      </c>
      <c r="AI23" s="37">
        <v>0</v>
      </c>
      <c r="AJ23" s="44"/>
      <c r="AK23" s="11">
        <f>IF(SUM(P23:S23)-T23&gt;0,SUM(P23:S23)-T23,"")</f>
        <v>38.319999999999993</v>
      </c>
      <c r="AL23" s="11">
        <f>IF(W23&gt;0,W23,"")</f>
        <v>3.4</v>
      </c>
      <c r="AM23" s="11">
        <f>IF(SUM(U23:X23)-Y23&gt;0,SUM(U23:X23)-Y23,"")</f>
        <v>21.14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59.459999999999994</v>
      </c>
      <c r="AQ23" s="11" t="str">
        <f>IF(AG23&gt;0,AG23,"")</f>
        <v/>
      </c>
      <c r="AR23" s="11" t="str">
        <f>IF(SUM(AE23:AH23)-AI23&gt;0,SUM(AE23:AH23)-AI23,"")</f>
        <v/>
      </c>
      <c r="AS23" s="11">
        <f>IF(SUM(AP23,AR23)&gt;0,SUM(AP23,AR23),"")</f>
        <v>59.459999999999994</v>
      </c>
      <c r="AT23" s="41">
        <v>13.4</v>
      </c>
      <c r="AU23" s="41">
        <v>8.3000000000000007</v>
      </c>
      <c r="AV23" s="41">
        <v>1.4</v>
      </c>
      <c r="AW23" s="41">
        <v>11.65</v>
      </c>
      <c r="AX23" s="41">
        <v>0</v>
      </c>
      <c r="AY23" s="41">
        <v>13.2</v>
      </c>
      <c r="AZ23" s="41">
        <v>9.3000000000000007</v>
      </c>
      <c r="BA23" s="41">
        <v>8.1999999999999993</v>
      </c>
      <c r="BB23" s="41">
        <v>13</v>
      </c>
      <c r="BC23" s="41">
        <v>0.6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>IF(SUM(AT23:AW23)-AX23&gt;0,SUM(AT23:AW23)-AX23,"")</f>
        <v>34.75</v>
      </c>
      <c r="BP23" s="14">
        <f>IF(BA23&gt;0,BA23,"")</f>
        <v>8.1999999999999993</v>
      </c>
      <c r="BQ23" s="14">
        <f>IF(SUM(AY23:BB23)-BC23&gt;0,SUM(AY23:BB23)-BC23,"")</f>
        <v>43.1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77.849999999999994</v>
      </c>
      <c r="BU23" s="14" t="str">
        <f>IF(BK23&gt;0,BK23,"")</f>
        <v/>
      </c>
      <c r="BV23" s="14" t="str">
        <f>IF(SUM(BI23:BL23)-BM23&gt;0,SUM(BI23:BL23)-BM23,"")</f>
        <v/>
      </c>
      <c r="BW23" s="14">
        <f>IF(SUM(BT23,BV23)&gt;0,SUM(BT23,BV23),"")</f>
        <v>77.849999999999994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>IF(SUM(BX23:CA23)-CB23&gt;0,SUM(BX23:CA23)-CB23,"")</f>
        <v/>
      </c>
      <c r="CT23" s="11" t="str">
        <f>IF(CE23&gt;0,CE23,"")</f>
        <v/>
      </c>
      <c r="CU23" s="11" t="str">
        <f>IF(SUM(CC23:CF23)-CG23&gt;0,SUM(CC23:CF23)-CG23,"")</f>
        <v/>
      </c>
      <c r="CV23" s="11" t="str">
        <f>IF(CJ23&gt;0,CJ23,"")</f>
        <v/>
      </c>
      <c r="CW23" s="11" t="str">
        <f>IF(SUM(CH23:CK23)-CL23&gt;0,SUM(CH23:CK23)-CL23,"")</f>
        <v/>
      </c>
      <c r="CX23" s="11" t="str">
        <f>IF(CS23="",IF(MAX(CU23,CW23)&gt;0,MAX(CU23,CW23),""),MAX(CU23,CW23)+CS23)</f>
        <v/>
      </c>
      <c r="CY23" s="11" t="str">
        <f>IF(CO23&gt;0,CO23,"")</f>
        <v/>
      </c>
      <c r="CZ23" s="11" t="str">
        <f>IF(SUM(CM23:CP23)-CQ23&gt;0,SUM(CM23:CP23)-CQ23,"")</f>
        <v/>
      </c>
      <c r="DA23" s="11" t="str">
        <f>IF(SUM(CX23,CZ23)&gt;0,SUM(CX23,CZ23),"")</f>
        <v/>
      </c>
      <c r="DB23" s="18" t="str">
        <f>IF(K23&gt;=0.001,IF(MAX(DT23,DU23,EP23,EQ23,FL23,FM23,GH23,GI23,HD23,HE23,HZ23,IA23,IV23,IW23,JR23,JS23,KN23,KO23,LJ23,LK23,MF23,MG23,NB23,NC23)-IF(K23="",0,K23)&gt;0.001,MAX(DT23,DU23,EP23,EQ23,FL23,FM23,GH23,GI23,HD23,HE23,HZ23,IA23,IV23,IW23,JR23,JS23,KN23,KO23,LJ23,LK23,MF23,MG23,NB23,NC23)-IF(K23="",0,K23),""),"")</f>
        <v/>
      </c>
      <c r="DC23" s="18" t="str">
        <f>IF(K23&gt;=0.001,IF(MAX(DX23,ET23,FP23,GL23,HH23,ID23,IZ23,JV23,KR23,LN23,MJ23,NF23)-IF(K23="",0,K23)&gt;0.001,MAX(DX23,ET23,FP23,GL23,HH23,ID23,IZ23,JV23,KR23,LN23,MJ23,NF23)-IF(K23="",0,K23),""),"")</f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7">
        <f>IF($CR23="P",BX23,(BX23+AT23)/2)</f>
        <v>6.7</v>
      </c>
      <c r="NI23" s="37">
        <f>IF($CR23="P",BY23,(BY23+AU23)/2)</f>
        <v>4.1500000000000004</v>
      </c>
      <c r="NJ23" s="37">
        <f>IF($CR23="P",BZ23,(BZ23+AV23)/2)</f>
        <v>0.7</v>
      </c>
      <c r="NK23" s="37">
        <f>IF($CR23="P",CA23,(CA23+AW23)/2)</f>
        <v>5.8250000000000002</v>
      </c>
      <c r="NL23" s="37">
        <f>IF($CR23="P",CB23,(CB23+AX23)/2)</f>
        <v>0</v>
      </c>
      <c r="NM23" s="37">
        <f>IF($CR23="P",CC23,(CC23+AY23)/2)</f>
        <v>6.6</v>
      </c>
      <c r="NN23" s="37">
        <f>IF($CR23="P",CD23,(CD23+AZ23)/2)</f>
        <v>4.6500000000000004</v>
      </c>
      <c r="NO23" s="37">
        <f>IF($CR23="P",CE23,(CE23+BA23)/2)</f>
        <v>4.0999999999999996</v>
      </c>
      <c r="NP23" s="37">
        <f>IF($CR23="P",CF23,(CF23+BB23)/2)</f>
        <v>6.5</v>
      </c>
      <c r="NQ23" s="37">
        <f>IF($CR23="P",CG23,(CG23+BC23)/2)</f>
        <v>0.3</v>
      </c>
      <c r="NR23" s="37">
        <f>IF($CR23="P",CH23,(CH23+BD23)/2)</f>
        <v>0</v>
      </c>
      <c r="NS23" s="37">
        <f>IF($CR23="P",CI23,(CI23+BE23)/2)</f>
        <v>0</v>
      </c>
      <c r="NT23" s="37">
        <f>IF($CR23="P",CJ23,(CJ23+BF23)/2)</f>
        <v>0</v>
      </c>
      <c r="NU23" s="37">
        <f>IF($CR23="P",CK23,(CK23+BG23)/2)</f>
        <v>0</v>
      </c>
      <c r="NV23" s="37">
        <f>IF($CR23="P",CL23,(CL23+BH23)/2)</f>
        <v>0</v>
      </c>
      <c r="NW23" s="37">
        <f>IF($CR23="P",CM23,(CM23+BI23)/2)</f>
        <v>0</v>
      </c>
      <c r="NX23" s="37">
        <f>IF($CR23="P",CN23,(CN23+BJ23)/2)</f>
        <v>0</v>
      </c>
      <c r="NY23" s="37">
        <f>IF($CR23="P",CO23,(CO23+BK23)/2)</f>
        <v>0</v>
      </c>
      <c r="NZ23" s="37">
        <f>IF($CR23="P",CP23,(CP23+BL23)/2)</f>
        <v>0</v>
      </c>
      <c r="OA23" s="37">
        <f>IF($CR23="P",CQ23,(CQ23+BM23)/2)</f>
        <v>0</v>
      </c>
      <c r="OB23" s="44" t="s">
        <v>46</v>
      </c>
      <c r="OC23" s="11">
        <f>IF(SUM(NH23:NK23)-NL23&gt;0,SUM(NH23:NK23)-NL23,"")</f>
        <v>17.375</v>
      </c>
      <c r="OD23" s="11">
        <f>IF(NO23&gt;0,NO23,"")</f>
        <v>4.0999999999999996</v>
      </c>
      <c r="OE23" s="11">
        <f>IF(SUM(NM23:NP23)-NQ23&gt;0,SUM(NM23:NP23)-NQ23,"")</f>
        <v>21.55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38.924999999999997</v>
      </c>
      <c r="OI23" s="11" t="str">
        <f>IF(NY23&gt;0,NY23,"")</f>
        <v/>
      </c>
      <c r="OJ23" s="11" t="str">
        <f t="shared" ref="OJ23" si="32">IF(SUM(NW23:NZ23)-OA23&gt;0,SUM(NW23:NZ23)-OA23,"")</f>
        <v/>
      </c>
      <c r="OK23" s="11">
        <f t="shared" ref="OK23" si="33">IF(SUM(OH23,OJ23)&gt;0,SUM(OH23,OJ23),"")</f>
        <v>38.924999999999997</v>
      </c>
    </row>
    <row r="24" spans="1:401" x14ac:dyDescent="0.2">
      <c r="A24" s="5" t="str" cm="1">
        <f t="array" ref="A24">IF(AND(F24="P",G24="P"),SUMPRODUCT((F$4:F$33="P")*(G$4:G$33="P")*(E$4:E$33&gt;E24))+1,IF(G24="P",SUMPRODUCT((F$4:F$33="")*(G$4:G$33="P")*(E$4:E$33&gt;E24))+1+SUMPRODUCT((F$4:F$33="P")*(G$4:G$33="P")),""))</f>
        <v/>
      </c>
      <c r="B24" s="6" t="s">
        <v>188</v>
      </c>
      <c r="C24" s="7" t="s">
        <v>6</v>
      </c>
      <c r="D24" s="21">
        <v>2002</v>
      </c>
      <c r="E24" s="15">
        <f>SUM(I24:M24)</f>
        <v>53.800000000000004</v>
      </c>
      <c r="F24" s="3" t="str">
        <f>IF(OR(AND(AL24&gt;=AS$35,AM24&gt;=AS$39,AL24&lt;&gt;"",AJ24=""),AND(AN24&gt;=AS$35,AO24&gt;=AS$39,AN24&lt;&gt;"",AN24=""),AND(AQ24&gt;=AS$35,AR24&gt;=AS$39,AQ24&lt;&gt;"",AJ24=""),AND(BP24&gt;=BW$35,BQ24&gt;=BW$39,BP24&lt;&gt;"",BN24=""),AND(BR24&gt;=BW$35,BS24&gt;=BW$39,BR24&lt;&gt;"",BN24=""),AND(BU24&gt;=BW$35,BV24&gt;=BW$39,BU24&lt;&gt;"",BN24=""),AND(CT24&gt;=DA$35,CU24&gt;=DA$39,CT24&lt;&gt;"",CR24=""),AND(CV24&gt;=DA$35,CW24&gt;=DA$39,CV24&lt;&gt;"",CR24=""),AND(CY24&gt;=DA$35,CZ24&gt;=DA$39,CY24&lt;&gt;"",CR24=""),AND(DS24&gt;=DY$35,DU24&gt;=DY$39,DS24&lt;&gt;""),AND(DW24&gt;=DY$35,DX24&gt;=DY$39,DW24&lt;&gt;""),AND(EO24&gt;=EU$35,EQ24&gt;=EU$39,EO24&lt;&gt;""),AND(ES24&gt;=EU$35,ET24&gt;=EU$39,ES24&lt;&gt;""),AND(FK24&gt;=FQ$35,FM24&gt;=FQ$39,FK24&lt;&gt;""),AND(FO24&gt;=FQ$35,FP24&gt;=FQ$39,FO24&lt;&gt;""),AND(GG24&gt;=GM$35,GI24&gt;=GM$39,GG24&lt;&gt;""),AND(GK24&gt;=GM$35,GL24&gt;=GM$39,GK24&lt;&gt;""),AND(HC24&gt;=HI$35,HE24&gt;=HI$39,HC24&lt;&gt;""),AND(HG24&gt;=HI$35,HH24&gt;=HI$39,HG24&lt;&gt;""),AND(HY24&gt;=IE$35,IA24&gt;=IE$39,HY24&lt;&gt;""),AND(IC24&gt;=IE$35,ID24&gt;=IE$39,IC24&lt;&gt;""),AND(IU24&gt;=JA$35,IW24&gt;=JA$39,IU24&lt;&gt;""),AND(IY24&gt;=JA$35,IZ24&gt;=JA$39,IY24&lt;&gt;""),AND(JQ24&gt;=JW$35,JS24&gt;=JW$39,JQ24&lt;&gt;""),AND(JU24&gt;=JW$35,JV24&gt;=JW$39,JU24&lt;&gt;""),AND(KM24&gt;=KS$35,KO24&gt;=KS$39,KM24&lt;&gt;""),AND(KQ24&gt;=KS$35,KR24&gt;=KS$39,KQ24&lt;&gt;""),AND(LI24&gt;=LO$35,LK24&gt;=LO$39,LI24&lt;&gt;""),AND(LM24&gt;=LO$35,LN24&gt;=LO$39,LM24&lt;&gt;""),AND(ME24&gt;=MK$35,MG24&gt;=MK$39,ME24&lt;&gt;""),AND(MI24&gt;=MK$35,MJ24&gt;=MK$39,MI24&lt;&gt;""),AND(NA24&gt;=NG$35,NC24&gt;=NG$39,NA24&lt;&gt;""),AND(NE24&gt;=NG$35,NF24&gt;=NG$39,NE24&lt;&gt;"")),"P","")</f>
        <v/>
      </c>
      <c r="G24" s="3" t="str">
        <f>IF(OR(AND(AM24&gt;=AS$39,AL24&lt;&gt;"",AJ24=""),AND(AO24&gt;=AS$39,AN24&lt;&gt;"",AN24=""),AND(AR24&gt;=AS$39,AQ24&lt;&gt;"",AJ24=""),AND(BQ24&gt;=BW$39,BP24&lt;&gt;"",BN24=""),AND(BS24&gt;=BW$39,BR24&lt;&gt;"",BN24=""),AND(BV24&gt;=BW$39,BU24&lt;&gt;"",BN24=""),AND(CU24&gt;=DA$39,CT24&lt;&gt;"",CR24=""),AND(CW24&gt;=DA$39,CV24&lt;&gt;"",CR24=""),AND(CZ24&gt;=DA$39,CY24&lt;&gt;"",CR24=""),AND(DU24&gt;=DY$39,DS24&lt;&gt;""),AND(DX24&gt;=DY$39,DW24&lt;&gt;""),AND(EQ24&gt;=EU$39,EO24&lt;&gt;""),AND(ET24&gt;=EU$39,ES24&lt;&gt;""),AND(FM24&gt;=FQ$39,FK24&lt;&gt;""),AND(FP24&gt;=FQ$39,FO24&lt;&gt;""),AND(GI24&gt;=GM$39,GG24&lt;&gt;""),AND(GL24&gt;=GM$39,GK24&lt;&gt;""),AND(HE24&gt;=HI$39,HC24&lt;&gt;""),AND(HH24&gt;=HI$39,HG24&lt;&gt;""),AND(IA24&gt;=IE$39,HY24&lt;&gt;""),AND(ID24&gt;=IE$39,IC24&lt;&gt;""),AND(IW24&gt;=JA$39,IU24&lt;&gt;""),AND(IZ24&gt;=JA$39,IY24&lt;&gt;""),AND(JS24&gt;=JW$39,JQ24&lt;&gt;""),AND(JV24&gt;=JW$39,JU24&lt;&gt;""),AND(KO24&gt;=KS$39,KM24&lt;&gt;""),AND(KR24&gt;=KS$39,KQ24&lt;&gt;""),AND(LK24&gt;=LO$39,LI24&lt;&gt;""),AND(LN24&gt;=LO$39,LM24&lt;&gt;""),AND(MG24&gt;=MK$39,ME24&lt;&gt;""),AND(MJ24&gt;=MK$39,MI24&lt;&gt;""),AND(NC24&gt;=NG$39,NA24&lt;&gt;""),AND(NF24&gt;=NG$39,NE24&lt;&gt;"")),"P","")</f>
        <v/>
      </c>
      <c r="H24" s="66" t="str">
        <f>IF(F24="P","National Team",IF(G24="P","No DD",""))</f>
        <v/>
      </c>
      <c r="I24" s="14">
        <f>MAX(AM24,AO24,AR24,BQ24,BS24,BV24,CU24,CW24,CZ24)</f>
        <v>43.56</v>
      </c>
      <c r="J24" s="14" t="str">
        <f>IF(I24=0,"",IF(OR(I24=CW24,I24=CU24,I24=CZ24),$BX$1,IF(OR(I24=BS24,I24=BQ24,I24=BV24),$AT$1,IF(OR(I24=AO24,I24=AM24,I24=AR24),$P$1,""))))</f>
        <v>2022 Nationals</v>
      </c>
      <c r="K24" s="14">
        <f>IF(COUNT(AM24,AO24,AR24,BQ24,BS24,BV24,CU24,CW24,CZ24)&gt;1,LARGE((AM24,AO24,AR24,BQ24,BS24,BV24,CU24,CW24,CZ24),2),0)</f>
        <v>10.24</v>
      </c>
      <c r="L24" s="14" t="str">
        <f>IF(K24=0,"",IF(OR(K24=CW24,K24=CU24,K24=CZ24),$BX$1,IF(OR(K24=BS24,K24=BQ24,K24=BV24),$AT$1,IF(OR(K24=AO24,K24=AM24,K24=AR24),$P$1,""))))</f>
        <v>2022 Nationals</v>
      </c>
      <c r="M24" s="14" t="str">
        <f>IF(MAX(DB24,DC24)&gt;0,MAX(DB24,DC24),"")</f>
        <v/>
      </c>
      <c r="N24" s="19" t="str">
        <f>IF(M24="","",IF(M24=DB24,"(Prelim)",IF(M24=DC24,"(Final)")))</f>
        <v/>
      </c>
      <c r="O24" s="14" t="str">
        <f>IF(M24="","",IF(M24=DB24,IF(M24+IF(K24="",0,K24)=NC24,$ML$1,IF(M24+IF(K24="",0,K24)=MG24,$LP$1,IF(M24+IF(K24="",0,K24)=LK24,$KT$1,IF(M24+IF(K24="",0,K24)=KO24,$JX$1,IF(M24+IF(K24="",0,K24)=JS24,$JB$1,IF(M24+IF(K24="",0,K24)=IW24,$IF$1,IF(M24+IF(K24="",0,K24)=IA24,$HJ$1,IF(M24+IF(K24="",0,K24)=HE24,$GN$1,IF(M24+IF(K24="",0,K24)=GI24,$FR$1,IF(M24+IF(K24="",0,K24)=FM24,$EV$1,IF(M24+IF(K24="",0,K24)=EQ24,$DZ$1,IF(M24+IF(K24="",0,K24)=DU24,$DD$1,IF(M24+IF(K24="",0,K24)=NB24,$ML$1,IF(M24+IF(K24="",0,K24)=MF24,$LP$1,IF(M24+IF(K24="",0,K24)=LJ24,$KT$1,IF(M24+IF(K24="",0,K24)=KN24,$JX$1,IF(M24+IF(K24="",0,K24)=JR24,$JB$1,IF(M24+IF(K24="",0,K24)=IV24,$IF$1,IF(M24+IF(K24="",0,K24)=HZ24,$HJ$1,IF(M24+IF(K24="",0,K24)=HD24,$GN$1,IF(M24+IF(K24="",0,K24)=GH24,$FR$1,IF(M24+IF(K24="",0,K24)=FL24,$EV$1,IF(M24+IF(K24="",0,K24)=EP24,$DZ$1,IF(M24+IF(K24="",0,K24)=DT24,$DD$1))))))))))))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</f>
        <v/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 t="str">
        <f>IF(SUM(P24:S24)-T24&gt;0,SUM(P24:S24)-T24,"")</f>
        <v/>
      </c>
      <c r="AL24" s="11" t="str">
        <f>IF(W24&gt;0,W24,"")</f>
        <v/>
      </c>
      <c r="AM24" s="11" t="str">
        <f>IF(SUM(U24:X24)-Y24&gt;0,SUM(U24:X24)-Y24,"")</f>
        <v/>
      </c>
      <c r="AN24" s="11" t="str">
        <f>IF(AB24&gt;0,AB24,"")</f>
        <v/>
      </c>
      <c r="AO24" s="11" t="str">
        <f>IF(SUM(Z24:AC24)-AD24&gt;0,SUM(Z24:AC24)-AD24,"")</f>
        <v/>
      </c>
      <c r="AP24" s="11" t="str">
        <f>IF(AK24="",IF(MAX(AM24,AO24)&gt;0,MAX(AM24,AO24),""),MAX(AM24,AO24)+AK24)</f>
        <v/>
      </c>
      <c r="AQ24" s="11" t="str">
        <f>IF(AG24&gt;0,AG24,"")</f>
        <v/>
      </c>
      <c r="AR24" s="11" t="str">
        <f>IF(SUM(AE24:AH24)-AI24&gt;0,SUM(AE24:AH24)-AI24,"")</f>
        <v/>
      </c>
      <c r="AS24" s="11" t="str">
        <f>IF(SUM(AP24,AR24)&gt;0,SUM(AP24,AR24),"")</f>
        <v/>
      </c>
      <c r="AT24" s="41">
        <v>15.3</v>
      </c>
      <c r="AU24" s="41">
        <v>9.5</v>
      </c>
      <c r="AV24" s="41">
        <v>2.2000000000000002</v>
      </c>
      <c r="AW24" s="41">
        <v>14.57</v>
      </c>
      <c r="AX24" s="41">
        <v>0</v>
      </c>
      <c r="AY24" s="41">
        <v>13</v>
      </c>
      <c r="AZ24" s="41">
        <v>8.9</v>
      </c>
      <c r="BA24" s="41">
        <v>8.3000000000000007</v>
      </c>
      <c r="BB24" s="41">
        <v>13.86</v>
      </c>
      <c r="BC24" s="41">
        <v>0.5</v>
      </c>
      <c r="BD24" s="41"/>
      <c r="BE24" s="41"/>
      <c r="BF24" s="41"/>
      <c r="BG24" s="41"/>
      <c r="BH24" s="41"/>
      <c r="BI24" s="41">
        <v>3</v>
      </c>
      <c r="BJ24" s="41">
        <v>1.8</v>
      </c>
      <c r="BK24" s="41">
        <v>2.5</v>
      </c>
      <c r="BL24" s="41">
        <v>2.94</v>
      </c>
      <c r="BM24" s="41">
        <v>0</v>
      </c>
      <c r="BN24" s="45"/>
      <c r="BO24" s="14">
        <f>IF(SUM(AT24:AW24)-AX24&gt;0,SUM(AT24:AW24)-AX24,"")</f>
        <v>41.57</v>
      </c>
      <c r="BP24" s="14">
        <f>IF(BA24&gt;0,BA24,"")</f>
        <v>8.3000000000000007</v>
      </c>
      <c r="BQ24" s="14">
        <f>IF(SUM(AY24:BB24)-BC24&gt;0,SUM(AY24:BB24)-BC24,"")</f>
        <v>43.56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85.13</v>
      </c>
      <c r="BU24" s="14">
        <f>IF(BK24&gt;0,BK24,"")</f>
        <v>2.5</v>
      </c>
      <c r="BV24" s="14">
        <f>IF(SUM(BI24:BL24)-BM24&gt;0,SUM(BI24:BL24)-BM24,"")</f>
        <v>10.24</v>
      </c>
      <c r="BW24" s="14">
        <f>IF(SUM(BT24,BV24)&gt;0,SUM(BT24,BV24),"")</f>
        <v>95.36999999999999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>IF(SUM(BX24:CA24)-CB24&gt;0,SUM(BX24:CA24)-CB24,"")</f>
        <v/>
      </c>
      <c r="CT24" s="11" t="str">
        <f>IF(CE24&gt;0,CE24,"")</f>
        <v/>
      </c>
      <c r="CU24" s="11" t="str">
        <f>IF(SUM(CC24:CF24)-CG24&gt;0,SUM(CC24:CF24)-CG24,"")</f>
        <v/>
      </c>
      <c r="CV24" s="11" t="str">
        <f>IF(CJ24&gt;0,CJ24,"")</f>
        <v/>
      </c>
      <c r="CW24" s="11" t="str">
        <f>IF(SUM(CH24:CK24)-CL24&gt;0,SUM(CH24:CK24)-CL24,"")</f>
        <v/>
      </c>
      <c r="CX24" s="11" t="str">
        <f>IF(CS24="",IF(MAX(CU24,CW24)&gt;0,MAX(CU24,CW24),""),MAX(CU24,CW24)+CS24)</f>
        <v/>
      </c>
      <c r="CY24" s="11" t="str">
        <f>IF(CO24&gt;0,CO24,"")</f>
        <v/>
      </c>
      <c r="CZ24" s="11" t="str">
        <f>IF(SUM(CM24:CP24)-CQ24&gt;0,SUM(CM24:CP24)-CQ24,"")</f>
        <v/>
      </c>
      <c r="DA24" s="11" t="str">
        <f>IF(SUM(CX24,CZ24)&gt;0,SUM(CX24,CZ24),"")</f>
        <v/>
      </c>
      <c r="DB24" s="18" t="str">
        <f>IF(K24&gt;=0.001,IF(MAX(DT24,DU24,EP24,EQ24,FL24,FM24,GH24,GI24,HD24,HE24,HZ24,IA24,IV24,IW24,JR24,JS24,KN24,KO24,LJ24,LK24,MF24,MG24,NB24,NC24)-IF(K24="",0,K24)&gt;0.001,MAX(DT24,DU24,EP24,EQ24,FL24,FM24,GH24,GI24,HD24,HE24,HZ24,IA24,IV24,IW24,JR24,JS24,KN24,KO24,LJ24,LK24,MF24,MG24,NB24,NC24)-IF(K24="",0,K24),""),"")</f>
        <v/>
      </c>
      <c r="DC24" s="18" t="str">
        <f>IF(K24&gt;=0.001,IF(MAX(DX24,ET24,FP24,GL24,HH24,ID24,IZ24,JV24,KR24,LN24,MJ24,NF24)-IF(K24="",0,K24)&gt;0.001,MAX(DX24,ET24,FP24,GL24,HH24,ID24,IZ24,JV24,KR24,LN24,MJ24,NF24)-IF(K24="",0,K24),""),"")</f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7">
        <f>IF($CR24="P",BX24,(BX24+AT24)/2)</f>
        <v>7.65</v>
      </c>
      <c r="NI24" s="37">
        <f>IF($CR24="P",BY24,(BY24+AU24)/2)</f>
        <v>4.75</v>
      </c>
      <c r="NJ24" s="37">
        <f>IF($CR24="P",BZ24,(BZ24+AV24)/2)</f>
        <v>1.1000000000000001</v>
      </c>
      <c r="NK24" s="37">
        <f>IF($CR24="P",CA24,(CA24+AW24)/2)</f>
        <v>7.2850000000000001</v>
      </c>
      <c r="NL24" s="37">
        <f>IF($CR24="P",CB24,(CB24+AX24)/2)</f>
        <v>0</v>
      </c>
      <c r="NM24" s="37">
        <f>IF($CR24="P",CC24,(CC24+AY24)/2)</f>
        <v>6.5</v>
      </c>
      <c r="NN24" s="37">
        <f>IF($CR24="P",CD24,(CD24+AZ24)/2)</f>
        <v>4.45</v>
      </c>
      <c r="NO24" s="37">
        <f>IF($CR24="P",CE24,(CE24+BA24)/2)</f>
        <v>4.1500000000000004</v>
      </c>
      <c r="NP24" s="37">
        <f>IF($CR24="P",CF24,(CF24+BB24)/2)</f>
        <v>6.93</v>
      </c>
      <c r="NQ24" s="37">
        <f>IF($CR24="P",CG24,(CG24+BC24)/2)</f>
        <v>0.25</v>
      </c>
      <c r="NR24" s="37">
        <f>IF($CR24="P",CH24,(CH24+BD24)/2)</f>
        <v>0</v>
      </c>
      <c r="NS24" s="37">
        <f>IF($CR24="P",CI24,(CI24+BE24)/2)</f>
        <v>0</v>
      </c>
      <c r="NT24" s="37">
        <f>IF($CR24="P",CJ24,(CJ24+BF24)/2)</f>
        <v>0</v>
      </c>
      <c r="NU24" s="37">
        <f>IF($CR24="P",CK24,(CK24+BG24)/2)</f>
        <v>0</v>
      </c>
      <c r="NV24" s="37">
        <f>IF($CR24="P",CL24,(CL24+BH24)/2)</f>
        <v>0</v>
      </c>
      <c r="NW24" s="37">
        <f>IF($CR24="P",CM24,(CM24+BI24)/2)</f>
        <v>1.5</v>
      </c>
      <c r="NX24" s="37">
        <f>IF($CR24="P",CN24,(CN24+BJ24)/2)</f>
        <v>0.9</v>
      </c>
      <c r="NY24" s="37">
        <f>IF($CR24="P",CO24,(CO24+BK24)/2)</f>
        <v>1.25</v>
      </c>
      <c r="NZ24" s="37">
        <f>IF($CR24="P",CP24,(CP24+BL24)/2)</f>
        <v>1.47</v>
      </c>
      <c r="OA24" s="37">
        <f>IF($CR24="P",CQ24,(CQ24+BM24)/2)</f>
        <v>0</v>
      </c>
      <c r="OB24" s="44" t="s">
        <v>46</v>
      </c>
      <c r="OC24" s="11">
        <f>IF(SUM(NH24:NK24)-NL24&gt;0,SUM(NH24:NK24)-NL24,"")</f>
        <v>20.785</v>
      </c>
      <c r="OD24" s="11">
        <f>IF(NO24&gt;0,NO24,"")</f>
        <v>4.1500000000000004</v>
      </c>
      <c r="OE24" s="11">
        <f>IF(SUM(NM24:NP24)-NQ24&gt;0,SUM(NM24:NP24)-NQ24,"")</f>
        <v>21.78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42.564999999999998</v>
      </c>
      <c r="OI24" s="11">
        <f>IF(NY24&gt;0,NY24,"")</f>
        <v>1.25</v>
      </c>
      <c r="OJ24" s="11">
        <f t="shared" ref="OJ24" si="34">IF(SUM(NW24:NZ24)-OA24&gt;0,SUM(NW24:NZ24)-OA24,"")</f>
        <v>5.12</v>
      </c>
      <c r="OK24" s="11">
        <f t="shared" ref="OK24" si="35">IF(SUM(OH24,OJ24)&gt;0,SUM(OH24,OJ24),"")</f>
        <v>47.684999999999995</v>
      </c>
    </row>
    <row r="25" spans="1:401" x14ac:dyDescent="0.2">
      <c r="A25" s="5" t="str" cm="1">
        <f t="array" ref="A25">IF(AND(F25="P",G25="P"),SUMPRODUCT((F$4:F$33="P")*(G$4:G$33="P")*(E$4:E$33&gt;E25))+1,IF(G25="P",SUMPRODUCT((F$4:F$33="")*(G$4:G$33="P")*(E$4:E$33&gt;E25))+1+SUMPRODUCT((F$4:F$33="P")*(G$4:G$33="P")),""))</f>
        <v/>
      </c>
      <c r="B25" s="8" t="s">
        <v>75</v>
      </c>
      <c r="C25" s="4" t="s">
        <v>4</v>
      </c>
      <c r="D25" s="21">
        <v>2003</v>
      </c>
      <c r="E25" s="15">
        <f>SUM(I25:M25)</f>
        <v>46.1</v>
      </c>
      <c r="F25" s="3" t="str">
        <f>IF(OR(AND(AL25&gt;=AS$35,AM25&gt;=AS$39,AL25&lt;&gt;"",AJ25=""),AND(AN25&gt;=AS$35,AO25&gt;=AS$39,AN25&lt;&gt;"",AN25=""),AND(AQ25&gt;=AS$35,AR25&gt;=AS$39,AQ25&lt;&gt;"",AJ25=""),AND(BP25&gt;=BW$35,BQ25&gt;=BW$39,BP25&lt;&gt;"",BN25=""),AND(BR25&gt;=BW$35,BS25&gt;=BW$39,BR25&lt;&gt;"",BN25=""),AND(BU25&gt;=BW$35,BV25&gt;=BW$39,BU25&lt;&gt;"",BN25=""),AND(CT25&gt;=DA$35,CU25&gt;=DA$39,CT25&lt;&gt;"",CR25=""),AND(CV25&gt;=DA$35,CW25&gt;=DA$39,CV25&lt;&gt;"",CR25=""),AND(CY25&gt;=DA$35,CZ25&gt;=DA$39,CY25&lt;&gt;"",CR25=""),AND(DS25&gt;=DY$35,DU25&gt;=DY$39,DS25&lt;&gt;""),AND(DW25&gt;=DY$35,DX25&gt;=DY$39,DW25&lt;&gt;""),AND(EO25&gt;=EU$35,EQ25&gt;=EU$39,EO25&lt;&gt;""),AND(ES25&gt;=EU$35,ET25&gt;=EU$39,ES25&lt;&gt;""),AND(FK25&gt;=FQ$35,FM25&gt;=FQ$39,FK25&lt;&gt;""),AND(FO25&gt;=FQ$35,FP25&gt;=FQ$39,FO25&lt;&gt;""),AND(GG25&gt;=GM$35,GI25&gt;=GM$39,GG25&lt;&gt;""),AND(GK25&gt;=GM$35,GL25&gt;=GM$39,GK25&lt;&gt;""),AND(HC25&gt;=HI$35,HE25&gt;=HI$39,HC25&lt;&gt;""),AND(HG25&gt;=HI$35,HH25&gt;=HI$39,HG25&lt;&gt;""),AND(HY25&gt;=IE$35,IA25&gt;=IE$39,HY25&lt;&gt;""),AND(IC25&gt;=IE$35,ID25&gt;=IE$39,IC25&lt;&gt;""),AND(IU25&gt;=JA$35,IW25&gt;=JA$39,IU25&lt;&gt;""),AND(IY25&gt;=JA$35,IZ25&gt;=JA$39,IY25&lt;&gt;""),AND(JQ25&gt;=JW$35,JS25&gt;=JW$39,JQ25&lt;&gt;""),AND(JU25&gt;=JW$35,JV25&gt;=JW$39,JU25&lt;&gt;""),AND(KM25&gt;=KS$35,KO25&gt;=KS$39,KM25&lt;&gt;""),AND(KQ25&gt;=KS$35,KR25&gt;=KS$39,KQ25&lt;&gt;""),AND(LI25&gt;=LO$35,LK25&gt;=LO$39,LI25&lt;&gt;""),AND(LM25&gt;=LO$35,LN25&gt;=LO$39,LM25&lt;&gt;""),AND(ME25&gt;=MK$35,MG25&gt;=MK$39,ME25&lt;&gt;""),AND(MI25&gt;=MK$35,MJ25&gt;=MK$39,MI25&lt;&gt;""),AND(NA25&gt;=NG$35,NC25&gt;=NG$39,NA25&lt;&gt;""),AND(NE25&gt;=NG$35,NF25&gt;=NG$39,NE25&lt;&gt;"")),"P","")</f>
        <v/>
      </c>
      <c r="G25" s="3" t="str">
        <f>IF(OR(AND(AM25&gt;=AS$39,AL25&lt;&gt;"",AJ25=""),AND(AO25&gt;=AS$39,AN25&lt;&gt;"",AN25=""),AND(AR25&gt;=AS$39,AQ25&lt;&gt;"",AJ25=""),AND(BQ25&gt;=BW$39,BP25&lt;&gt;"",BN25=""),AND(BS25&gt;=BW$39,BR25&lt;&gt;"",BN25=""),AND(BV25&gt;=BW$39,BU25&lt;&gt;"",BN25=""),AND(CU25&gt;=DA$39,CT25&lt;&gt;"",CR25=""),AND(CW25&gt;=DA$39,CV25&lt;&gt;"",CR25=""),AND(CZ25&gt;=DA$39,CY25&lt;&gt;"",CR25=""),AND(DU25&gt;=DY$39,DS25&lt;&gt;""),AND(DX25&gt;=DY$39,DW25&lt;&gt;""),AND(EQ25&gt;=EU$39,EO25&lt;&gt;""),AND(ET25&gt;=EU$39,ES25&lt;&gt;""),AND(FM25&gt;=FQ$39,FK25&lt;&gt;""),AND(FP25&gt;=FQ$39,FO25&lt;&gt;""),AND(GI25&gt;=GM$39,GG25&lt;&gt;""),AND(GL25&gt;=GM$39,GK25&lt;&gt;""),AND(HE25&gt;=HI$39,HC25&lt;&gt;""),AND(HH25&gt;=HI$39,HG25&lt;&gt;""),AND(IA25&gt;=IE$39,HY25&lt;&gt;""),AND(ID25&gt;=IE$39,IC25&lt;&gt;""),AND(IW25&gt;=JA$39,IU25&lt;&gt;""),AND(IZ25&gt;=JA$39,IY25&lt;&gt;""),AND(JS25&gt;=JW$39,JQ25&lt;&gt;""),AND(JV25&gt;=JW$39,JU25&lt;&gt;""),AND(KO25&gt;=KS$39,KM25&lt;&gt;""),AND(KR25&gt;=KS$39,KQ25&lt;&gt;""),AND(LK25&gt;=LO$39,LI25&lt;&gt;""),AND(LN25&gt;=LO$39,LM25&lt;&gt;""),AND(MG25&gt;=MK$39,ME25&lt;&gt;""),AND(MJ25&gt;=MK$39,MI25&lt;&gt;""),AND(NC25&gt;=NG$39,NA25&lt;&gt;""),AND(NF25&gt;=NG$39,NE25&lt;&gt;"")),"P","")</f>
        <v/>
      </c>
      <c r="H25" s="66" t="str">
        <f>IF(F25="P","National Team",IF(G25="P","No DD",""))</f>
        <v/>
      </c>
      <c r="I25" s="14">
        <f>MAX(AM25,AO25,AR25,BQ25,BS25,BV25,CU25,CW25,CZ25)</f>
        <v>46.1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0</v>
      </c>
      <c r="L25" s="14" t="str">
        <f>IF(K25=0,"",IF(OR(K25=CW25,K25=CU25,K25=CZ25),$BX$1,IF(OR(K25=BS25,K25=BQ25,K25=BV25),$AT$1,IF(OR(K25=AO25,K25=AM25,K25=AR25),$P$1,""))))</f>
        <v/>
      </c>
      <c r="M25" s="14" t="str">
        <f>IF(MAX(DB25,DC25)&gt;0,MAX(DB25,DC25),"")</f>
        <v/>
      </c>
      <c r="N25" s="19" t="str">
        <f>IF(M25="","",IF(M25=DB25,"(Prelim)",IF(M25=DC25,"(Final)")))</f>
        <v/>
      </c>
      <c r="O25" s="14" t="str">
        <f>IF(M25="","",IF(M25=DB25,IF(M25+IF(K25="",0,K25)=NC25,$ML$1,IF(M25+IF(K25="",0,K25)=MG25,$LP$1,IF(M25+IF(K25="",0,K25)=LK25,$KT$1,IF(M25+IF(K25="",0,K25)=KO25,$JX$1,IF(M25+IF(K25="",0,K25)=JS25,$JB$1,IF(M25+IF(K25="",0,K25)=IW25,$IF$1,IF(M25+IF(K25="",0,K25)=IA25,$HJ$1,IF(M25+IF(K25="",0,K25)=HE25,$GN$1,IF(M25+IF(K25="",0,K25)=GI25,$FR$1,IF(M25+IF(K25="",0,K25)=FM25,$EV$1,IF(M25+IF(K25="",0,K25)=EQ25,$DZ$1,IF(M25+IF(K25="",0,K25)=DU25,$DD$1,IF(M25+IF(K25="",0,K25)=NB25,$ML$1,IF(M25+IF(K25="",0,K25)=MF25,$LP$1,IF(M25+IF(K25="",0,K25)=LJ25,$KT$1,IF(M25+IF(K25="",0,K25)=KN25,$JX$1,IF(M25+IF(K25="",0,K25)=JR25,$JB$1,IF(M25+IF(K25="",0,K25)=IV25,$IF$1,IF(M25+IF(K25="",0,K25)=HZ25,$HJ$1,IF(M25+IF(K25="",0,K25)=HD25,$GN$1,IF(M25+IF(K25="",0,K25)=GH25,$FR$1,IF(M25+IF(K25="",0,K25)=FL25,$EV$1,IF(M25+IF(K25="",0,K25)=EP25,$DZ$1,IF(M25+IF(K25="",0,K25)=DT25,$DD$1))))))))))))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</f>
        <v/>
      </c>
      <c r="P25" s="37">
        <v>13.8</v>
      </c>
      <c r="Q25" s="37">
        <v>8.6999999999999993</v>
      </c>
      <c r="R25" s="37">
        <v>0.8</v>
      </c>
      <c r="S25" s="37">
        <v>13.29</v>
      </c>
      <c r="T25" s="37">
        <v>4</v>
      </c>
      <c r="U25" s="37">
        <v>13.9</v>
      </c>
      <c r="V25" s="37">
        <v>9.1</v>
      </c>
      <c r="W25" s="37">
        <v>9.6999999999999993</v>
      </c>
      <c r="X25" s="37">
        <v>13.4</v>
      </c>
      <c r="Y25" s="37">
        <v>0</v>
      </c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>
        <f>IF(SUM(P25:S25)-T25&gt;0,SUM(P25:S25)-T25,"")</f>
        <v>32.590000000000003</v>
      </c>
      <c r="AL25" s="11">
        <f>IF(W25&gt;0,W25,"")</f>
        <v>9.6999999999999993</v>
      </c>
      <c r="AM25" s="11">
        <f>IF(SUM(U25:X25)-Y25&gt;0,SUM(U25:X25)-Y25,"")</f>
        <v>46.1</v>
      </c>
      <c r="AN25" s="11" t="str">
        <f>IF(AB25&gt;0,AB25,"")</f>
        <v/>
      </c>
      <c r="AO25" s="11" t="str">
        <f>IF(SUM(Z25:AC25)-AD25&gt;0,SUM(Z25:AC25)-AD25,"")</f>
        <v/>
      </c>
      <c r="AP25" s="11">
        <f>IF(AK25="",IF(MAX(AM25,AO25)&gt;0,MAX(AM25,AO25),""),MAX(AM25,AO25)+AK25)</f>
        <v>78.69</v>
      </c>
      <c r="AQ25" s="11" t="str">
        <f>IF(AG25&gt;0,AG25,"")</f>
        <v/>
      </c>
      <c r="AR25" s="11" t="str">
        <f>IF(SUM(AE25:AH25)-AI25&gt;0,SUM(AE25:AH25)-AI25,"")</f>
        <v/>
      </c>
      <c r="AS25" s="11">
        <f>IF(SUM(AP25,AR25)&gt;0,SUM(AP25,AR25),"")</f>
        <v>78.69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>IF(SUM(BX25:CA25)-CB25&gt;0,SUM(BX25:CA25)-CB25,"")</f>
        <v/>
      </c>
      <c r="CT25" s="11" t="str">
        <f>IF(CE25&gt;0,CE25,"")</f>
        <v/>
      </c>
      <c r="CU25" s="11" t="str">
        <f>IF(SUM(CC25:CF25)-CG25&gt;0,SUM(CC25:CF25)-CG25,"")</f>
        <v/>
      </c>
      <c r="CV25" s="11" t="str">
        <f>IF(CJ25&gt;0,CJ25,"")</f>
        <v/>
      </c>
      <c r="CW25" s="11" t="str">
        <f>IF(SUM(CH25:CK25)-CL25&gt;0,SUM(CH25:CK25)-CL25,"")</f>
        <v/>
      </c>
      <c r="CX25" s="11" t="str">
        <f>IF(CS25="",IF(MAX(CU25,CW25)&gt;0,MAX(CU25,CW25),""),MAX(CU25,CW25)+CS25)</f>
        <v/>
      </c>
      <c r="CY25" s="11" t="str">
        <f>IF(CO25&gt;0,CO25,"")</f>
        <v/>
      </c>
      <c r="CZ25" s="11" t="str">
        <f>IF(SUM(CM25:CP25)-CQ25&gt;0,SUM(CM25:CP25)-CQ25,"")</f>
        <v/>
      </c>
      <c r="DA25" s="11" t="str">
        <f>IF(SUM(CX25,CZ25)&gt;0,SUM(CX25,CZ25),"")</f>
        <v/>
      </c>
      <c r="DB25" s="18" t="str">
        <f>IF(K25&gt;=0.001,IF(MAX(DT25,DU25,EP25,EQ25,FL25,FM25,GH25,GI25,HD25,HE25,HZ25,IA25,IV25,IW25,JR25,JS25,KN25,KO25,LJ25,LK25,MF25,MG25,NB25,NC25)-IF(K25="",0,K25)&gt;0.001,MAX(DT25,DU25,EP25,EQ25,FL25,FM25,GH25,GI25,HD25,HE25,HZ25,IA25,IV25,IW25,JR25,JS25,KN25,KO25,LJ25,LK25,MF25,MG25,NB25,NC25)-IF(K25="",0,K25),""),"")</f>
        <v/>
      </c>
      <c r="DC25" s="18" t="str">
        <f>IF(K25&gt;=0.001,IF(MAX(DX25,ET25,FP25,GL25,HH25,ID25,IZ25,JV25,KR25,LN25,MJ25,NF25)-IF(K25="",0,K25)&gt;0.001,MAX(DX25,ET25,FP25,GL25,HH25,ID25,IZ25,JV25,KR25,LN25,MJ25,NF25)-IF(K25="",0,K25),""),"")</f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7">
        <f>IF($CR25="P",BX25,(BX25+AT25)/2)</f>
        <v>0</v>
      </c>
      <c r="NI25" s="37">
        <f>IF($CR25="P",BY25,(BY25+AU25)/2)</f>
        <v>0</v>
      </c>
      <c r="NJ25" s="37">
        <f>IF($CR25="P",BZ25,(BZ25+AV25)/2)</f>
        <v>0</v>
      </c>
      <c r="NK25" s="37">
        <f>IF($CR25="P",CA25,(CA25+AW25)/2)</f>
        <v>0</v>
      </c>
      <c r="NL25" s="37">
        <f>IF($CR25="P",CB25,(CB25+AX25)/2)</f>
        <v>0</v>
      </c>
      <c r="NM25" s="37">
        <f>IF($CR25="P",CC25,(CC25+AY25)/2)</f>
        <v>0</v>
      </c>
      <c r="NN25" s="37">
        <f>IF($CR25="P",CD25,(CD25+AZ25)/2)</f>
        <v>0</v>
      </c>
      <c r="NO25" s="37">
        <f>IF($CR25="P",CE25,(CE25+BA25)/2)</f>
        <v>0</v>
      </c>
      <c r="NP25" s="37">
        <f>IF($CR25="P",CF25,(CF25+BB25)/2)</f>
        <v>0</v>
      </c>
      <c r="NQ25" s="37">
        <f>IF($CR25="P",CG25,(CG25+BC25)/2)</f>
        <v>0</v>
      </c>
      <c r="NR25" s="37">
        <f>IF($CR25="P",CH25,(CH25+BD25)/2)</f>
        <v>0</v>
      </c>
      <c r="NS25" s="37">
        <f>IF($CR25="P",CI25,(CI25+BE25)/2)</f>
        <v>0</v>
      </c>
      <c r="NT25" s="37">
        <f>IF($CR25="P",CJ25,(CJ25+BF25)/2)</f>
        <v>0</v>
      </c>
      <c r="NU25" s="37">
        <f>IF($CR25="P",CK25,(CK25+BG25)/2)</f>
        <v>0</v>
      </c>
      <c r="NV25" s="37">
        <f>IF($CR25="P",CL25,(CL25+BH25)/2)</f>
        <v>0</v>
      </c>
      <c r="NW25" s="37">
        <f>IF($CR25="P",CM25,(CM25+BI25)/2)</f>
        <v>0</v>
      </c>
      <c r="NX25" s="37">
        <f>IF($CR25="P",CN25,(CN25+BJ25)/2)</f>
        <v>0</v>
      </c>
      <c r="NY25" s="37">
        <f>IF($CR25="P",CO25,(CO25+BK25)/2)</f>
        <v>0</v>
      </c>
      <c r="NZ25" s="37">
        <f>IF($CR25="P",CP25,(CP25+BL25)/2)</f>
        <v>0</v>
      </c>
      <c r="OA25" s="37">
        <f>IF($CR25="P",CQ25,(CQ25+BM25)/2)</f>
        <v>0</v>
      </c>
      <c r="OB25" s="44" t="s">
        <v>46</v>
      </c>
      <c r="OC25" s="11" t="str">
        <f>IF(SUM(NH25:NK25)-NL25&gt;0,SUM(NH25:NK25)-NL25,"")</f>
        <v/>
      </c>
      <c r="OD25" s="11" t="str">
        <f>IF(NO25&gt;0,NO25,"")</f>
        <v/>
      </c>
      <c r="OE25" s="11" t="str">
        <f>IF(SUM(NM25:NP25)-NQ25&gt;0,SUM(NM25:NP25)-NQ25,"")</f>
        <v/>
      </c>
      <c r="OF25" s="11" t="str">
        <f>IF(NT25&gt;0,NT25,"")</f>
        <v/>
      </c>
      <c r="OG25" s="11" t="str">
        <f>IF(SUM(NR25:NU25)-NV25&gt;0,SUM(NR25:NU25)-NV25,"")</f>
        <v/>
      </c>
      <c r="OH25" s="11" t="str">
        <f>IF(OR(OC25&lt;&gt;"",OE25&lt;&gt;"",OG25&lt;&gt;""),OC25+MAX(OE25,OG25),"")</f>
        <v/>
      </c>
      <c r="OI25" s="11" t="str">
        <f>IF(NY25&gt;0,NY25,"")</f>
        <v/>
      </c>
      <c r="OJ25" s="11" t="str">
        <f t="shared" ref="OJ25" si="36">IF(SUM(NW25:NZ25)-OA25&gt;0,SUM(NW25:NZ25)-OA25,"")</f>
        <v/>
      </c>
      <c r="OK25" s="11" t="str">
        <f t="shared" ref="OK25" si="37">IF(SUM(OH25,OJ25)&gt;0,SUM(OH25,OJ25),"")</f>
        <v/>
      </c>
    </row>
    <row r="26" spans="1:401" x14ac:dyDescent="0.2">
      <c r="A26" s="5" t="str" cm="1">
        <f t="array" ref="A26">IF(AND(F26="P",G26="P"),SUMPRODUCT((F$4:F$33="P")*(G$4:G$33="P")*(E$4:E$33&gt;E26))+1,IF(G26="P",SUMPRODUCT((F$4:F$33="")*(G$4:G$33="P")*(E$4:E$33&gt;E26))+1+SUMPRODUCT((F$4:F$33="P")*(G$4:G$33="P")),""))</f>
        <v/>
      </c>
      <c r="B26" s="8" t="s">
        <v>137</v>
      </c>
      <c r="C26" s="4" t="s">
        <v>81</v>
      </c>
      <c r="D26" s="21">
        <v>2003</v>
      </c>
      <c r="E26" s="15">
        <f>SUM(I26:M26)</f>
        <v>41.24</v>
      </c>
      <c r="F26" s="3" t="str">
        <f>IF(OR(AND(AL26&gt;=AS$35,AM26&gt;=AS$39,AL26&lt;&gt;"",AJ26=""),AND(AN26&gt;=AS$35,AO26&gt;=AS$39,AN26&lt;&gt;"",AN26=""),AND(AQ26&gt;=AS$35,AR26&gt;=AS$39,AQ26&lt;&gt;"",AJ26=""),AND(BP26&gt;=BW$35,BQ26&gt;=BW$39,BP26&lt;&gt;"",BN26=""),AND(BR26&gt;=BW$35,BS26&gt;=BW$39,BR26&lt;&gt;"",BN26=""),AND(BU26&gt;=BW$35,BV26&gt;=BW$39,BU26&lt;&gt;"",BN26=""),AND(CT26&gt;=DA$35,CU26&gt;=DA$39,CT26&lt;&gt;"",CR26=""),AND(CV26&gt;=DA$35,CW26&gt;=DA$39,CV26&lt;&gt;"",CR26=""),AND(CY26&gt;=DA$35,CZ26&gt;=DA$39,CY26&lt;&gt;"",CR26=""),AND(DS26&gt;=DY$35,DU26&gt;=DY$39,DS26&lt;&gt;""),AND(DW26&gt;=DY$35,DX26&gt;=DY$39,DW26&lt;&gt;""),AND(EO26&gt;=EU$35,EQ26&gt;=EU$39,EO26&lt;&gt;""),AND(ES26&gt;=EU$35,ET26&gt;=EU$39,ES26&lt;&gt;""),AND(FK26&gt;=FQ$35,FM26&gt;=FQ$39,FK26&lt;&gt;""),AND(FO26&gt;=FQ$35,FP26&gt;=FQ$39,FO26&lt;&gt;""),AND(GG26&gt;=GM$35,GI26&gt;=GM$39,GG26&lt;&gt;""),AND(GK26&gt;=GM$35,GL26&gt;=GM$39,GK26&lt;&gt;""),AND(HC26&gt;=HI$35,HE26&gt;=HI$39,HC26&lt;&gt;""),AND(HG26&gt;=HI$35,HH26&gt;=HI$39,HG26&lt;&gt;""),AND(HY26&gt;=IE$35,IA26&gt;=IE$39,HY26&lt;&gt;""),AND(IC26&gt;=IE$35,ID26&gt;=IE$39,IC26&lt;&gt;""),AND(IU26&gt;=JA$35,IW26&gt;=JA$39,IU26&lt;&gt;""),AND(IY26&gt;=JA$35,IZ26&gt;=JA$39,IY26&lt;&gt;""),AND(JQ26&gt;=JW$35,JS26&gt;=JW$39,JQ26&lt;&gt;""),AND(JU26&gt;=JW$35,JV26&gt;=JW$39,JU26&lt;&gt;""),AND(KM26&gt;=KS$35,KO26&gt;=KS$39,KM26&lt;&gt;""),AND(KQ26&gt;=KS$35,KR26&gt;=KS$39,KQ26&lt;&gt;""),AND(LI26&gt;=LO$35,LK26&gt;=LO$39,LI26&lt;&gt;""),AND(LM26&gt;=LO$35,LN26&gt;=LO$39,LM26&lt;&gt;""),AND(ME26&gt;=MK$35,MG26&gt;=MK$39,ME26&lt;&gt;""),AND(MI26&gt;=MK$35,MJ26&gt;=MK$39,MI26&lt;&gt;""),AND(NA26&gt;=NG$35,NC26&gt;=NG$39,NA26&lt;&gt;""),AND(NE26&gt;=NG$35,NF26&gt;=NG$39,NE26&lt;&gt;"")),"P","")</f>
        <v/>
      </c>
      <c r="G26" s="3" t="str">
        <f>IF(OR(AND(AM26&gt;=AS$39,AL26&lt;&gt;"",AJ26=""),AND(AO26&gt;=AS$39,AN26&lt;&gt;"",AN26=""),AND(AR26&gt;=AS$39,AQ26&lt;&gt;"",AJ26=""),AND(BQ26&gt;=BW$39,BP26&lt;&gt;"",BN26=""),AND(BS26&gt;=BW$39,BR26&lt;&gt;"",BN26=""),AND(BV26&gt;=BW$39,BU26&lt;&gt;"",BN26=""),AND(CU26&gt;=DA$39,CT26&lt;&gt;"",CR26=""),AND(CW26&gt;=DA$39,CV26&lt;&gt;"",CR26=""),AND(CZ26&gt;=DA$39,CY26&lt;&gt;"",CR26=""),AND(DU26&gt;=DY$39,DS26&lt;&gt;""),AND(DX26&gt;=DY$39,DW26&lt;&gt;""),AND(EQ26&gt;=EU$39,EO26&lt;&gt;""),AND(ET26&gt;=EU$39,ES26&lt;&gt;""),AND(FM26&gt;=FQ$39,FK26&lt;&gt;""),AND(FP26&gt;=FQ$39,FO26&lt;&gt;""),AND(GI26&gt;=GM$39,GG26&lt;&gt;""),AND(GL26&gt;=GM$39,GK26&lt;&gt;""),AND(HE26&gt;=HI$39,HC26&lt;&gt;""),AND(HH26&gt;=HI$39,HG26&lt;&gt;""),AND(IA26&gt;=IE$39,HY26&lt;&gt;""),AND(ID26&gt;=IE$39,IC26&lt;&gt;""),AND(IW26&gt;=JA$39,IU26&lt;&gt;""),AND(IZ26&gt;=JA$39,IY26&lt;&gt;""),AND(JS26&gt;=JW$39,JQ26&lt;&gt;""),AND(JV26&gt;=JW$39,JU26&lt;&gt;""),AND(KO26&gt;=KS$39,KM26&lt;&gt;""),AND(KR26&gt;=KS$39,KQ26&lt;&gt;""),AND(LK26&gt;=LO$39,LI26&lt;&gt;""),AND(LN26&gt;=LO$39,LM26&lt;&gt;""),AND(MG26&gt;=MK$39,ME26&lt;&gt;""),AND(MJ26&gt;=MK$39,MI26&lt;&gt;""),AND(NC26&gt;=NG$39,NA26&lt;&gt;""),AND(NF26&gt;=NG$39,NE26&lt;&gt;"")),"P","")</f>
        <v/>
      </c>
      <c r="H26" s="66" t="str">
        <f>IF(F26="P","National Team",IF(G26="P","No DD",""))</f>
        <v/>
      </c>
      <c r="I26" s="14">
        <f>MAX(AM26,AO26,AR26,BQ26,BS26,BV26,CU26,CW26,CZ26)</f>
        <v>41.24</v>
      </c>
      <c r="J26" s="14" t="str">
        <f>IF(I26=0,"",IF(OR(I26=CW26,I26=CU26,I26=CZ26),$BX$1,IF(OR(I26=BS26,I26=BQ26,I26=BV26),$AT$1,IF(OR(I26=AO26,I26=AM26,I26=AR26),$P$1,""))))</f>
        <v>2022 Nationals</v>
      </c>
      <c r="K26" s="14">
        <f>IF(COUNT(AM26,AO26,AR26,BQ26,BS26,BV26,CU26,CW26,CZ26)&gt;1,LARGE((AM26,AO26,AR26,BQ26,BS26,BV26,CU26,CW26,CZ26),2),0)</f>
        <v>0</v>
      </c>
      <c r="L26" s="14" t="str">
        <f>IF(K26=0,"",IF(OR(K26=CW26,K26=CU26,K26=CZ26),$BX$1,IF(OR(K26=BS26,K26=BQ26,K26=BV26),$AT$1,IF(OR(K26=AO26,K26=AM26,K26=AR26),$P$1,""))))</f>
        <v/>
      </c>
      <c r="M26" s="14" t="str">
        <f>IF(MAX(DB26,DC26)&gt;0,MAX(DB26,DC26),"")</f>
        <v/>
      </c>
      <c r="N26" s="19" t="str">
        <f>IF(M26="","",IF(M26=DB26,"(Prelim)",IF(M26=DC26,"(Final)")))</f>
        <v/>
      </c>
      <c r="O26" s="14" t="str">
        <f>IF(M26="","",IF(M26=DB26,IF(M26+IF(K26="",0,K26)=NC26,$ML$1,IF(M26+IF(K26="",0,K26)=MG26,$LP$1,IF(M26+IF(K26="",0,K26)=LK26,$KT$1,IF(M26+IF(K26="",0,K26)=KO26,$JX$1,IF(M26+IF(K26="",0,K26)=JS26,$JB$1,IF(M26+IF(K26="",0,K26)=IW26,$IF$1,IF(M26+IF(K26="",0,K26)=IA26,$HJ$1,IF(M26+IF(K26="",0,K26)=HE26,$GN$1,IF(M26+IF(K26="",0,K26)=GI26,$FR$1,IF(M26+IF(K26="",0,K26)=FM26,$EV$1,IF(M26+IF(K26="",0,K26)=EQ26,$DZ$1,IF(M26+IF(K26="",0,K26)=DU26,$DD$1,IF(M26+IF(K26="",0,K26)=NB26,$ML$1,IF(M26+IF(K26="",0,K26)=MF26,$LP$1,IF(M26+IF(K26="",0,K26)=LJ26,$KT$1,IF(M26+IF(K26="",0,K26)=KN26,$JX$1,IF(M26+IF(K26="",0,K26)=JR26,$JB$1,IF(M26+IF(K26="",0,K26)=IV26,$IF$1,IF(M26+IF(K26="",0,K26)=HZ26,$HJ$1,IF(M26+IF(K26="",0,K26)=HD26,$GN$1,IF(M26+IF(K26="",0,K26)=GH26,$FR$1,IF(M26+IF(K26="",0,K26)=FL26,$EV$1,IF(M26+IF(K26="",0,K26)=EP26,$DZ$1,IF(M26+IF(K26="",0,K26)=DT26,$DD$1))))))))))))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</f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1">
        <v>8.1999999999999993</v>
      </c>
      <c r="AU26" s="41">
        <v>5.6</v>
      </c>
      <c r="AV26" s="41">
        <v>0.7</v>
      </c>
      <c r="AW26" s="41">
        <v>7.59</v>
      </c>
      <c r="AX26" s="41">
        <v>0</v>
      </c>
      <c r="AY26" s="41">
        <v>10.7</v>
      </c>
      <c r="AZ26" s="41">
        <v>8.9</v>
      </c>
      <c r="BA26" s="41">
        <v>8.9</v>
      </c>
      <c r="BB26" s="41">
        <v>12.74</v>
      </c>
      <c r="BC26" s="41">
        <v>0</v>
      </c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5"/>
      <c r="BO26" s="14">
        <f>IF(SUM(AT26:AW26)-AX26&gt;0,SUM(AT26:AW26)-AX26,"")</f>
        <v>22.089999999999996</v>
      </c>
      <c r="BP26" s="14">
        <f>IF(BA26&gt;0,BA26,"")</f>
        <v>8.9</v>
      </c>
      <c r="BQ26" s="14">
        <f>IF(SUM(AY26:BB26)-BC26&gt;0,SUM(AY26:BB26)-BC26,"")</f>
        <v>41.24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63.33</v>
      </c>
      <c r="BU26" s="14" t="str">
        <f>IF(BK26&gt;0,BK26,"")</f>
        <v/>
      </c>
      <c r="BV26" s="14" t="str">
        <f>IF(SUM(BI26:BL26)-BM26&gt;0,SUM(BI26:BL26)-BM26,"")</f>
        <v/>
      </c>
      <c r="BW26" s="14">
        <f>IF(SUM(BT26,BV26)&gt;0,SUM(BT26,BV26),"")</f>
        <v>63.33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8" t="str">
        <f>IF(K26&gt;=0.001,IF(MAX(DT26,DU26,EP26,EQ26,FL26,FM26,GH26,GI26,HD26,HE26,HZ26,IA26,IV26,IW26,JR26,JS26,KN26,KO26,LJ26,LK26,MF26,MG26,NB26,NC26)-IF(K26="",0,K26)&gt;0.001,MAX(DT26,DU26,EP26,EQ26,FL26,FM26,GH26,GI26,HD26,HE26,HZ26,IA26,IV26,IW26,JR26,JS26,KN26,KO26,LJ26,LK26,MF26,MG26,NB26,NC26)-IF(K26="",0,K26),""),"")</f>
        <v/>
      </c>
      <c r="DC26" s="18" t="str">
        <f>IF(K26&gt;=0.001,IF(MAX(DX26,ET26,FP26,GL26,HH26,ID26,IZ26,JV26,KR26,LN26,MJ26,NF26)-IF(K26="",0,K26)&gt;0.001,MAX(DX26,ET26,FP26,GL26,HH26,ID26,IZ26,JV26,KR26,LN26,MJ26,NF26)-IF(K26="",0,K26),""),"")</f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7">
        <f>IF($CR26="P",BX26,(BX26+AT26)/2)</f>
        <v>4.0999999999999996</v>
      </c>
      <c r="NI26" s="37">
        <f>IF($CR26="P",BY26,(BY26+AU26)/2)</f>
        <v>2.8</v>
      </c>
      <c r="NJ26" s="37">
        <f>IF($CR26="P",BZ26,(BZ26+AV26)/2)</f>
        <v>0.35</v>
      </c>
      <c r="NK26" s="37">
        <f>IF($CR26="P",CA26,(CA26+AW26)/2)</f>
        <v>3.7949999999999999</v>
      </c>
      <c r="NL26" s="37">
        <f>IF($CR26="P",CB26,(CB26+AX26)/2)</f>
        <v>0</v>
      </c>
      <c r="NM26" s="37">
        <f>IF($CR26="P",CC26,(CC26+AY26)/2)</f>
        <v>5.35</v>
      </c>
      <c r="NN26" s="37">
        <f>IF($CR26="P",CD26,(CD26+AZ26)/2)</f>
        <v>4.45</v>
      </c>
      <c r="NO26" s="37">
        <f>IF($CR26="P",CE26,(CE26+BA26)/2)</f>
        <v>4.45</v>
      </c>
      <c r="NP26" s="37">
        <f>IF($CR26="P",CF26,(CF26+BB26)/2)</f>
        <v>6.37</v>
      </c>
      <c r="NQ26" s="37">
        <f>IF($CR26="P",CG26,(CG26+BC26)/2)</f>
        <v>0</v>
      </c>
      <c r="NR26" s="37">
        <f>IF($CR26="P",CH26,(CH26+BD26)/2)</f>
        <v>0</v>
      </c>
      <c r="NS26" s="37">
        <f>IF($CR26="P",CI26,(CI26+BE26)/2)</f>
        <v>0</v>
      </c>
      <c r="NT26" s="37">
        <f>IF($CR26="P",CJ26,(CJ26+BF26)/2)</f>
        <v>0</v>
      </c>
      <c r="NU26" s="37">
        <f>IF($CR26="P",CK26,(CK26+BG26)/2)</f>
        <v>0</v>
      </c>
      <c r="NV26" s="37">
        <f>IF($CR26="P",CL26,(CL26+BH26)/2)</f>
        <v>0</v>
      </c>
      <c r="NW26" s="37">
        <f>IF($CR26="P",CM26,(CM26+BI26)/2)</f>
        <v>0</v>
      </c>
      <c r="NX26" s="37">
        <f>IF($CR26="P",CN26,(CN26+BJ26)/2)</f>
        <v>0</v>
      </c>
      <c r="NY26" s="37">
        <f>IF($CR26="P",CO26,(CO26+BK26)/2)</f>
        <v>0</v>
      </c>
      <c r="NZ26" s="37">
        <f>IF($CR26="P",CP26,(CP26+BL26)/2)</f>
        <v>0</v>
      </c>
      <c r="OA26" s="37">
        <f>IF($CR26="P",CQ26,(CQ26+BM26)/2)</f>
        <v>0</v>
      </c>
      <c r="OB26" s="44" t="s">
        <v>46</v>
      </c>
      <c r="OC26" s="11">
        <f>IF(SUM(NH26:NK26)-NL26&gt;0,SUM(NH26:NK26)-NL26,"")</f>
        <v>11.044999999999998</v>
      </c>
      <c r="OD26" s="11">
        <f>IF(NO26&gt;0,NO26,"")</f>
        <v>4.45</v>
      </c>
      <c r="OE26" s="11">
        <f>IF(SUM(NM26:NP26)-NQ26&gt;0,SUM(NM26:NP26)-NQ26,"")</f>
        <v>20.62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31.664999999999999</v>
      </c>
      <c r="OI26" s="11" t="str">
        <f>IF(NY26&gt;0,NY26,"")</f>
        <v/>
      </c>
      <c r="OJ26" s="11" t="str">
        <f t="shared" ref="OJ26" si="38">IF(SUM(NW26:NZ26)-OA26&gt;0,SUM(NW26:NZ26)-OA26,"")</f>
        <v/>
      </c>
      <c r="OK26" s="11">
        <f t="shared" ref="OK26" si="39">IF(SUM(OH26,OJ26)&gt;0,SUM(OH26,OJ26),"")</f>
        <v>31.664999999999999</v>
      </c>
    </row>
    <row r="27" spans="1:401" x14ac:dyDescent="0.2">
      <c r="A27" s="5" t="str" cm="1">
        <f t="array" ref="A27">IF(AND(F27="P",G27="P"),SUMPRODUCT((F$4:F$33="P")*(G$4:G$33="P")*(E$4:E$33&gt;E27))+1,IF(G27="P",SUMPRODUCT((F$4:F$33="")*(G$4:G$33="P")*(E$4:E$33&gt;E27))+1+SUMPRODUCT((F$4:F$33="P")*(G$4:G$33="P")),""))</f>
        <v/>
      </c>
      <c r="B27" s="8" t="s">
        <v>189</v>
      </c>
      <c r="C27" s="4" t="s">
        <v>81</v>
      </c>
      <c r="D27" s="21">
        <v>2003</v>
      </c>
      <c r="E27" s="15">
        <f>SUM(I27:M27)</f>
        <v>29.97</v>
      </c>
      <c r="F27" s="3" t="str">
        <f>IF(OR(AND(AL27&gt;=AS$35,AM27&gt;=AS$39,AL27&lt;&gt;"",AJ27=""),AND(AN27&gt;=AS$35,AO27&gt;=AS$39,AN27&lt;&gt;"",AN27=""),AND(AQ27&gt;=AS$35,AR27&gt;=AS$39,AQ27&lt;&gt;"",AJ27=""),AND(BP27&gt;=BW$35,BQ27&gt;=BW$39,BP27&lt;&gt;"",BN27=""),AND(BR27&gt;=BW$35,BS27&gt;=BW$39,BR27&lt;&gt;"",BN27=""),AND(BU27&gt;=BW$35,BV27&gt;=BW$39,BU27&lt;&gt;"",BN27=""),AND(CT27&gt;=DA$35,CU27&gt;=DA$39,CT27&lt;&gt;"",CR27=""),AND(CV27&gt;=DA$35,CW27&gt;=DA$39,CV27&lt;&gt;"",CR27=""),AND(CY27&gt;=DA$35,CZ27&gt;=DA$39,CY27&lt;&gt;"",CR27=""),AND(DS27&gt;=DY$35,DU27&gt;=DY$39,DS27&lt;&gt;""),AND(DW27&gt;=DY$35,DX27&gt;=DY$39,DW27&lt;&gt;""),AND(EO27&gt;=EU$35,EQ27&gt;=EU$39,EO27&lt;&gt;""),AND(ES27&gt;=EU$35,ET27&gt;=EU$39,ES27&lt;&gt;""),AND(FK27&gt;=FQ$35,FM27&gt;=FQ$39,FK27&lt;&gt;""),AND(FO27&gt;=FQ$35,FP27&gt;=FQ$39,FO27&lt;&gt;""),AND(GG27&gt;=GM$35,GI27&gt;=GM$39,GG27&lt;&gt;""),AND(GK27&gt;=GM$35,GL27&gt;=GM$39,GK27&lt;&gt;""),AND(HC27&gt;=HI$35,HE27&gt;=HI$39,HC27&lt;&gt;""),AND(HG27&gt;=HI$35,HH27&gt;=HI$39,HG27&lt;&gt;""),AND(HY27&gt;=IE$35,IA27&gt;=IE$39,HY27&lt;&gt;""),AND(IC27&gt;=IE$35,ID27&gt;=IE$39,IC27&lt;&gt;""),AND(IU27&gt;=JA$35,IW27&gt;=JA$39,IU27&lt;&gt;""),AND(IY27&gt;=JA$35,IZ27&gt;=JA$39,IY27&lt;&gt;""),AND(JQ27&gt;=JW$35,JS27&gt;=JW$39,JQ27&lt;&gt;""),AND(JU27&gt;=JW$35,JV27&gt;=JW$39,JU27&lt;&gt;""),AND(KM27&gt;=KS$35,KO27&gt;=KS$39,KM27&lt;&gt;""),AND(KQ27&gt;=KS$35,KR27&gt;=KS$39,KQ27&lt;&gt;""),AND(LI27&gt;=LO$35,LK27&gt;=LO$39,LI27&lt;&gt;""),AND(LM27&gt;=LO$35,LN27&gt;=LO$39,LM27&lt;&gt;""),AND(ME27&gt;=MK$35,MG27&gt;=MK$39,ME27&lt;&gt;""),AND(MI27&gt;=MK$35,MJ27&gt;=MK$39,MI27&lt;&gt;""),AND(NA27&gt;=NG$35,NC27&gt;=NG$39,NA27&lt;&gt;""),AND(NE27&gt;=NG$35,NF27&gt;=NG$39,NE27&lt;&gt;"")),"P","")</f>
        <v/>
      </c>
      <c r="G27" s="3" t="str">
        <f>IF(OR(AND(AM27&gt;=AS$39,AL27&lt;&gt;"",AJ27=""),AND(AO27&gt;=AS$39,AN27&lt;&gt;"",AN27=""),AND(AR27&gt;=AS$39,AQ27&lt;&gt;"",AJ27=""),AND(BQ27&gt;=BW$39,BP27&lt;&gt;"",BN27=""),AND(BS27&gt;=BW$39,BR27&lt;&gt;"",BN27=""),AND(BV27&gt;=BW$39,BU27&lt;&gt;"",BN27=""),AND(CU27&gt;=DA$39,CT27&lt;&gt;"",CR27=""),AND(CW27&gt;=DA$39,CV27&lt;&gt;"",CR27=""),AND(CZ27&gt;=DA$39,CY27&lt;&gt;"",CR27=""),AND(DU27&gt;=DY$39,DS27&lt;&gt;""),AND(DX27&gt;=DY$39,DW27&lt;&gt;""),AND(EQ27&gt;=EU$39,EO27&lt;&gt;""),AND(ET27&gt;=EU$39,ES27&lt;&gt;""),AND(FM27&gt;=FQ$39,FK27&lt;&gt;""),AND(FP27&gt;=FQ$39,FO27&lt;&gt;""),AND(GI27&gt;=GM$39,GG27&lt;&gt;""),AND(GL27&gt;=GM$39,GK27&lt;&gt;""),AND(HE27&gt;=HI$39,HC27&lt;&gt;""),AND(HH27&gt;=HI$39,HG27&lt;&gt;""),AND(IA27&gt;=IE$39,HY27&lt;&gt;""),AND(ID27&gt;=IE$39,IC27&lt;&gt;""),AND(IW27&gt;=JA$39,IU27&lt;&gt;""),AND(IZ27&gt;=JA$39,IY27&lt;&gt;""),AND(JS27&gt;=JW$39,JQ27&lt;&gt;""),AND(JV27&gt;=JW$39,JU27&lt;&gt;""),AND(KO27&gt;=KS$39,KM27&lt;&gt;""),AND(KR27&gt;=KS$39,KQ27&lt;&gt;""),AND(LK27&gt;=LO$39,LI27&lt;&gt;""),AND(LN27&gt;=LO$39,LM27&lt;&gt;""),AND(MG27&gt;=MK$39,ME27&lt;&gt;""),AND(MJ27&gt;=MK$39,MI27&lt;&gt;""),AND(NC27&gt;=NG$39,NA27&lt;&gt;""),AND(NF27&gt;=NG$39,NE27&lt;&gt;"")),"P","")</f>
        <v/>
      </c>
      <c r="H27" s="66" t="str">
        <f>IF(F27="P","National Team",IF(G27="P","No DD",""))</f>
        <v/>
      </c>
      <c r="I27" s="14">
        <f>MAX(AM27,AO27,AR27,BQ27,BS27,BV27,CU27,CW27,CZ27)</f>
        <v>29.97</v>
      </c>
      <c r="J27" s="14" t="str">
        <f>IF(I27=0,"",IF(OR(I27=CW27,I27=CU27,I27=CZ27),$BX$1,IF(OR(I27=BS27,I27=BQ27,I27=BV27),$AT$1,IF(OR(I27=AO27,I27=AM27,I27=AR27),$P$1,""))))</f>
        <v>2022 Nationals</v>
      </c>
      <c r="K27" s="14">
        <f>IF(COUNT(AM27,AO27,AR27,BQ27,BS27,BV27,CU27,CW27,CZ27)&gt;1,LARGE((AM27,AO27,AR27,BQ27,BS27,BV27,CU27,CW27,CZ27),2),0)</f>
        <v>0</v>
      </c>
      <c r="L27" s="14" t="str">
        <f>IF(K27=0,"",IF(OR(K27=CW27,K27=CU27,K27=CZ27),$BX$1,IF(OR(K27=BS27,K27=BQ27,K27=BV27),$AT$1,IF(OR(K27=AO27,K27=AM27,K27=AR27),$P$1,""))))</f>
        <v/>
      </c>
      <c r="M27" s="14" t="str">
        <f>IF(MAX(DB27,DC27)&gt;0,MAX(DB27,DC27),"")</f>
        <v/>
      </c>
      <c r="N27" s="19" t="str">
        <f>IF(M27="","",IF(M27=DB27,"(Prelim)",IF(M27=DC27,"(Final)")))</f>
        <v/>
      </c>
      <c r="O27" s="14" t="str">
        <f>IF(M27="","",IF(M27=DB27,IF(M27+IF(K27="",0,K27)=NC27,$ML$1,IF(M27+IF(K27="",0,K27)=MG27,$LP$1,IF(M27+IF(K27="",0,K27)=LK27,$KT$1,IF(M27+IF(K27="",0,K27)=KO27,$JX$1,IF(M27+IF(K27="",0,K27)=JS27,$JB$1,IF(M27+IF(K27="",0,K27)=IW27,$IF$1,IF(M27+IF(K27="",0,K27)=IA27,$HJ$1,IF(M27+IF(K27="",0,K27)=HE27,$GN$1,IF(M27+IF(K27="",0,K27)=GI27,$FR$1,IF(M27+IF(K27="",0,K27)=FM27,$EV$1,IF(M27+IF(K27="",0,K27)=EQ27,$DZ$1,IF(M27+IF(K27="",0,K27)=DU27,$DD$1,IF(M27+IF(K27="",0,K27)=NB27,$ML$1,IF(M27+IF(K27="",0,K27)=MF27,$LP$1,IF(M27+IF(K27="",0,K27)=LJ27,$KT$1,IF(M27+IF(K27="",0,K27)=KN27,$JX$1,IF(M27+IF(K27="",0,K27)=JR27,$JB$1,IF(M27+IF(K27="",0,K27)=IV27,$IF$1,IF(M27+IF(K27="",0,K27)=HZ27,$HJ$1,IF(M27+IF(K27="",0,K27)=HD27,$GN$1,IF(M27+IF(K27="",0,K27)=GH27,$FR$1,IF(M27+IF(K27="",0,K27)=FL27,$EV$1,IF(M27+IF(K27="",0,K27)=EP27,$DZ$1,IF(M27+IF(K27="",0,K27)=DT27,$DD$1))))))))))))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</f>
        <v/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1">
        <v>16.100000000000001</v>
      </c>
      <c r="AU27" s="41">
        <v>9.5</v>
      </c>
      <c r="AV27" s="41">
        <v>1.7</v>
      </c>
      <c r="AW27" s="41">
        <v>13.68</v>
      </c>
      <c r="AX27" s="41">
        <v>0</v>
      </c>
      <c r="AY27" s="41">
        <v>8.1</v>
      </c>
      <c r="AZ27" s="41">
        <v>7.3</v>
      </c>
      <c r="BA27" s="41">
        <v>6.7</v>
      </c>
      <c r="BB27" s="41">
        <v>7.87</v>
      </c>
      <c r="BC27" s="41">
        <v>0</v>
      </c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>
        <f>IF(SUM(AT27:AW27)-AX27&gt;0,SUM(AT27:AW27)-AX27,"")</f>
        <v>40.980000000000004</v>
      </c>
      <c r="BP27" s="14">
        <f>IF(BA27&gt;0,BA27,"")</f>
        <v>6.7</v>
      </c>
      <c r="BQ27" s="14">
        <f>IF(SUM(AY27:BB27)-BC27&gt;0,SUM(AY27:BB27)-BC27,"")</f>
        <v>29.97</v>
      </c>
      <c r="BR27" s="14" t="str">
        <f>IF(BF27&gt;0,BF27,"")</f>
        <v/>
      </c>
      <c r="BS27" s="14" t="str">
        <f>IF(SUM(BD27:BG27)-BH27&gt;0,SUM(BD27:BG27)-BH27,"")</f>
        <v/>
      </c>
      <c r="BT27" s="14">
        <f>IF(BO27="",IF(MAX(BQ27,BS27)&gt;0,MAX(BQ27,BS27),""),MAX(BQ27,BS27)+BO27)</f>
        <v>70.95</v>
      </c>
      <c r="BU27" s="14" t="str">
        <f>IF(BK27&gt;0,BK27,"")</f>
        <v/>
      </c>
      <c r="BV27" s="14" t="str">
        <f>IF(SUM(BI27:BL27)-BM27&gt;0,SUM(BI27:BL27)-BM27,"")</f>
        <v/>
      </c>
      <c r="BW27" s="14">
        <f>IF(SUM(BT27,BV27)&gt;0,SUM(BT27,BV27),"")</f>
        <v>70.95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8" t="str">
        <f>IF(K27&gt;=0.001,IF(MAX(DT27,DU27,EP27,EQ27,FL27,FM27,GH27,GI27,HD27,HE27,HZ27,IA27,IV27,IW27,JR27,JS27,KN27,KO27,LJ27,LK27,MF27,MG27,NB27,NC27)-IF(K27="",0,K27)&gt;0.001,MAX(DT27,DU27,EP27,EQ27,FL27,FM27,GH27,GI27,HD27,HE27,HZ27,IA27,IV27,IW27,JR27,JS27,KN27,KO27,LJ27,LK27,MF27,MG27,NB27,NC27)-IF(K27="",0,K27),""),"")</f>
        <v/>
      </c>
      <c r="DC27" s="18" t="str">
        <f>IF(K27&gt;=0.001,IF(MAX(DX27,ET27,FP27,GL27,HH27,ID27,IZ27,JV27,KR27,LN27,MJ27,NF27)-IF(K27="",0,K27)&gt;0.001,MAX(DX27,ET27,FP27,GL27,HH27,ID27,IZ27,JV27,KR27,LN27,MJ27,NF27)-IF(K27="",0,K27),""),"")</f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7">
        <f>IF($CR27="P",BX27,(BX27+AT27)/2)</f>
        <v>8.0500000000000007</v>
      </c>
      <c r="NI27" s="37">
        <f>IF($CR27="P",BY27,(BY27+AU27)/2)</f>
        <v>4.75</v>
      </c>
      <c r="NJ27" s="37">
        <f>IF($CR27="P",BZ27,(BZ27+AV27)/2)</f>
        <v>0.85</v>
      </c>
      <c r="NK27" s="37">
        <f>IF($CR27="P",CA27,(CA27+AW27)/2)</f>
        <v>6.84</v>
      </c>
      <c r="NL27" s="37">
        <f>IF($CR27="P",CB27,(CB27+AX27)/2)</f>
        <v>0</v>
      </c>
      <c r="NM27" s="37">
        <f>IF($CR27="P",CC27,(CC27+AY27)/2)</f>
        <v>4.05</v>
      </c>
      <c r="NN27" s="37">
        <f>IF($CR27="P",CD27,(CD27+AZ27)/2)</f>
        <v>3.65</v>
      </c>
      <c r="NO27" s="37">
        <f>IF($CR27="P",CE27,(CE27+BA27)/2)</f>
        <v>3.35</v>
      </c>
      <c r="NP27" s="37">
        <f>IF($CR27="P",CF27,(CF27+BB27)/2)</f>
        <v>3.9350000000000001</v>
      </c>
      <c r="NQ27" s="37">
        <f>IF($CR27="P",CG27,(CG27+BC27)/2)</f>
        <v>0</v>
      </c>
      <c r="NR27" s="37">
        <f>IF($CR27="P",CH27,(CH27+BD27)/2)</f>
        <v>0</v>
      </c>
      <c r="NS27" s="37">
        <f>IF($CR27="P",CI27,(CI27+BE27)/2)</f>
        <v>0</v>
      </c>
      <c r="NT27" s="37">
        <f>IF($CR27="P",CJ27,(CJ27+BF27)/2)</f>
        <v>0</v>
      </c>
      <c r="NU27" s="37">
        <f>IF($CR27="P",CK27,(CK27+BG27)/2)</f>
        <v>0</v>
      </c>
      <c r="NV27" s="37">
        <f>IF($CR27="P",CL27,(CL27+BH27)/2)</f>
        <v>0</v>
      </c>
      <c r="NW27" s="37">
        <f>IF($CR27="P",CM27,(CM27+BI27)/2)</f>
        <v>0</v>
      </c>
      <c r="NX27" s="37">
        <f>IF($CR27="P",CN27,(CN27+BJ27)/2)</f>
        <v>0</v>
      </c>
      <c r="NY27" s="37">
        <f>IF($CR27="P",CO27,(CO27+BK27)/2)</f>
        <v>0</v>
      </c>
      <c r="NZ27" s="37">
        <f>IF($CR27="P",CP27,(CP27+BL27)/2)</f>
        <v>0</v>
      </c>
      <c r="OA27" s="37">
        <f>IF($CR27="P",CQ27,(CQ27+BM27)/2)</f>
        <v>0</v>
      </c>
      <c r="OB27" s="44" t="s">
        <v>46</v>
      </c>
      <c r="OC27" s="11">
        <f>IF(SUM(NH27:NK27)-NL27&gt;0,SUM(NH27:NK27)-NL27,"")</f>
        <v>20.490000000000002</v>
      </c>
      <c r="OD27" s="11">
        <f>IF(NO27&gt;0,NO27,"")</f>
        <v>3.35</v>
      </c>
      <c r="OE27" s="11">
        <f>IF(SUM(NM27:NP27)-NQ27&gt;0,SUM(NM27:NP27)-NQ27,"")</f>
        <v>14.984999999999999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35.475000000000001</v>
      </c>
      <c r="OI27" s="11" t="str">
        <f>IF(NY27&gt;0,NY27,"")</f>
        <v/>
      </c>
      <c r="OJ27" s="11" t="str">
        <f t="shared" ref="OJ27" si="40">IF(SUM(NW27:NZ27)-OA27&gt;0,SUM(NW27:NZ27)-OA27,"")</f>
        <v/>
      </c>
      <c r="OK27" s="11">
        <f t="shared" ref="OK27" si="41">IF(SUM(OH27,OJ27)&gt;0,SUM(OH27,OJ27),"")</f>
        <v>35.475000000000001</v>
      </c>
    </row>
    <row r="28" spans="1:401" x14ac:dyDescent="0.2">
      <c r="A28" s="5" t="str" cm="1">
        <f t="array" ref="A28">IF(AND(F28="P",G28="P"),SUMPRODUCT((F$4:F$33="P")*(G$4:G$33="P")*(E$4:E$33&gt;E28))+1,IF(G28="P",SUMPRODUCT((F$4:F$33="")*(G$4:G$33="P")*(E$4:E$33&gt;E28))+1+SUMPRODUCT((F$4:F$33="P")*(G$4:G$33="P")),""))</f>
        <v/>
      </c>
      <c r="B28" s="8" t="s">
        <v>86</v>
      </c>
      <c r="C28" s="4" t="s">
        <v>5</v>
      </c>
      <c r="D28" s="21">
        <v>2003</v>
      </c>
      <c r="E28" s="15">
        <f>SUM(I28:M28)</f>
        <v>22.880000000000003</v>
      </c>
      <c r="F28" s="3" t="str">
        <f>IF(OR(AND(AL28&gt;=AS$35,AM28&gt;=AS$39,AL28&lt;&gt;"",AJ28=""),AND(AN28&gt;=AS$35,AO28&gt;=AS$39,AN28&lt;&gt;"",AN28=""),AND(AQ28&gt;=AS$35,AR28&gt;=AS$39,AQ28&lt;&gt;"",AJ28=""),AND(BP28&gt;=BW$35,BQ28&gt;=BW$39,BP28&lt;&gt;"",BN28=""),AND(BR28&gt;=BW$35,BS28&gt;=BW$39,BR28&lt;&gt;"",BN28=""),AND(BU28&gt;=BW$35,BV28&gt;=BW$39,BU28&lt;&gt;"",BN28=""),AND(CT28&gt;=DA$35,CU28&gt;=DA$39,CT28&lt;&gt;"",CR28=""),AND(CV28&gt;=DA$35,CW28&gt;=DA$39,CV28&lt;&gt;"",CR28=""),AND(CY28&gt;=DA$35,CZ28&gt;=DA$39,CY28&lt;&gt;"",CR28=""),AND(DS28&gt;=DY$35,DU28&gt;=DY$39,DS28&lt;&gt;""),AND(DW28&gt;=DY$35,DX28&gt;=DY$39,DW28&lt;&gt;""),AND(EO28&gt;=EU$35,EQ28&gt;=EU$39,EO28&lt;&gt;""),AND(ES28&gt;=EU$35,ET28&gt;=EU$39,ES28&lt;&gt;""),AND(FK28&gt;=FQ$35,FM28&gt;=FQ$39,FK28&lt;&gt;""),AND(FO28&gt;=FQ$35,FP28&gt;=FQ$39,FO28&lt;&gt;""),AND(GG28&gt;=GM$35,GI28&gt;=GM$39,GG28&lt;&gt;""),AND(GK28&gt;=GM$35,GL28&gt;=GM$39,GK28&lt;&gt;""),AND(HC28&gt;=HI$35,HE28&gt;=HI$39,HC28&lt;&gt;""),AND(HG28&gt;=HI$35,HH28&gt;=HI$39,HG28&lt;&gt;""),AND(HY28&gt;=IE$35,IA28&gt;=IE$39,HY28&lt;&gt;""),AND(IC28&gt;=IE$35,ID28&gt;=IE$39,IC28&lt;&gt;""),AND(IU28&gt;=JA$35,IW28&gt;=JA$39,IU28&lt;&gt;""),AND(IY28&gt;=JA$35,IZ28&gt;=JA$39,IY28&lt;&gt;""),AND(JQ28&gt;=JW$35,JS28&gt;=JW$39,JQ28&lt;&gt;""),AND(JU28&gt;=JW$35,JV28&gt;=JW$39,JU28&lt;&gt;""),AND(KM28&gt;=KS$35,KO28&gt;=KS$39,KM28&lt;&gt;""),AND(KQ28&gt;=KS$35,KR28&gt;=KS$39,KQ28&lt;&gt;""),AND(LI28&gt;=LO$35,LK28&gt;=LO$39,LI28&lt;&gt;""),AND(LM28&gt;=LO$35,LN28&gt;=LO$39,LM28&lt;&gt;""),AND(ME28&gt;=MK$35,MG28&gt;=MK$39,ME28&lt;&gt;""),AND(MI28&gt;=MK$35,MJ28&gt;=MK$39,MI28&lt;&gt;""),AND(NA28&gt;=NG$35,NC28&gt;=NG$39,NA28&lt;&gt;""),AND(NE28&gt;=NG$35,NF28&gt;=NG$39,NE28&lt;&gt;"")),"P","")</f>
        <v/>
      </c>
      <c r="G28" s="3" t="str">
        <f>IF(OR(AND(AM28&gt;=AS$39,AL28&lt;&gt;"",AJ28=""),AND(AO28&gt;=AS$39,AN28&lt;&gt;"",AN28=""),AND(AR28&gt;=AS$39,AQ28&lt;&gt;"",AJ28=""),AND(BQ28&gt;=BW$39,BP28&lt;&gt;"",BN28=""),AND(BS28&gt;=BW$39,BR28&lt;&gt;"",BN28=""),AND(BV28&gt;=BW$39,BU28&lt;&gt;"",BN28=""),AND(CU28&gt;=DA$39,CT28&lt;&gt;"",CR28=""),AND(CW28&gt;=DA$39,CV28&lt;&gt;"",CR28=""),AND(CZ28&gt;=DA$39,CY28&lt;&gt;"",CR28=""),AND(DU28&gt;=DY$39,DS28&lt;&gt;""),AND(DX28&gt;=DY$39,DW28&lt;&gt;""),AND(EQ28&gt;=EU$39,EO28&lt;&gt;""),AND(ET28&gt;=EU$39,ES28&lt;&gt;""),AND(FM28&gt;=FQ$39,FK28&lt;&gt;""),AND(FP28&gt;=FQ$39,FO28&lt;&gt;""),AND(GI28&gt;=GM$39,GG28&lt;&gt;""),AND(GL28&gt;=GM$39,GK28&lt;&gt;""),AND(HE28&gt;=HI$39,HC28&lt;&gt;""),AND(HH28&gt;=HI$39,HG28&lt;&gt;""),AND(IA28&gt;=IE$39,HY28&lt;&gt;""),AND(ID28&gt;=IE$39,IC28&lt;&gt;""),AND(IW28&gt;=JA$39,IU28&lt;&gt;""),AND(IZ28&gt;=JA$39,IY28&lt;&gt;""),AND(JS28&gt;=JW$39,JQ28&lt;&gt;""),AND(JV28&gt;=JW$39,JU28&lt;&gt;""),AND(KO28&gt;=KS$39,KM28&lt;&gt;""),AND(KR28&gt;=KS$39,KQ28&lt;&gt;""),AND(LK28&gt;=LO$39,LI28&lt;&gt;""),AND(LN28&gt;=LO$39,LM28&lt;&gt;""),AND(MG28&gt;=MK$39,ME28&lt;&gt;""),AND(MJ28&gt;=MK$39,MI28&lt;&gt;""),AND(NC28&gt;=NG$39,NA28&lt;&gt;""),AND(NF28&gt;=NG$39,NE28&lt;&gt;"")),"P","")</f>
        <v/>
      </c>
      <c r="H28" s="66" t="str">
        <f>IF(F28="P","National Team",IF(G28="P","No DD",""))</f>
        <v/>
      </c>
      <c r="I28" s="14">
        <f>MAX(AM28,AO28,AR28,BQ28,BS28,BV28,CU28,CW28,CZ28)</f>
        <v>22.880000000000003</v>
      </c>
      <c r="J28" s="14" t="str">
        <f>IF(I28=0,"",IF(OR(I28=CW28,I28=CU28,I28=CZ28),$BX$1,IF(OR(I28=BS28,I28=BQ28,I28=BV28),$AT$1,IF(OR(I28=AO28,I28=AM28,I28=AR28),$P$1,""))))</f>
        <v>2022 Nationals</v>
      </c>
      <c r="K28" s="14">
        <f>IF(COUNT(AM28,AO28,AR28,BQ28,BS28,BV28,CU28,CW28,CZ28)&gt;1,LARGE((AM28,AO28,AR28,BQ28,BS28,BV28,CU28,CW28,CZ28),2),0)</f>
        <v>0</v>
      </c>
      <c r="L28" s="14" t="str">
        <f>IF(K28=0,"",IF(OR(K28=CW28,K28=CU28,K28=CZ28),$BX$1,IF(OR(K28=BS28,K28=BQ28,K28=BV28),$AT$1,IF(OR(K28=AO28,K28=AM28,K28=AR28),$P$1,""))))</f>
        <v/>
      </c>
      <c r="M28" s="14" t="str">
        <f>IF(MAX(DB28,DC28)&gt;0,MAX(DB28,DC28),"")</f>
        <v/>
      </c>
      <c r="N28" s="19" t="str">
        <f>IF(M28="","",IF(M28=DB28,"(Prelim)",IF(M28=DC28,"(Final)")))</f>
        <v/>
      </c>
      <c r="O28" s="14" t="str">
        <f>IF(M28="","",IF(M28=DB28,IF(M28+IF(K28="",0,K28)=NC28,$ML$1,IF(M28+IF(K28="",0,K28)=MG28,$LP$1,IF(M28+IF(K28="",0,K28)=LK28,$KT$1,IF(M28+IF(K28="",0,K28)=KO28,$JX$1,IF(M28+IF(K28="",0,K28)=JS28,$JB$1,IF(M28+IF(K28="",0,K28)=IW28,$IF$1,IF(M28+IF(K28="",0,K28)=IA28,$HJ$1,IF(M28+IF(K28="",0,K28)=HE28,$GN$1,IF(M28+IF(K28="",0,K28)=GI28,$FR$1,IF(M28+IF(K28="",0,K28)=FM28,$EV$1,IF(M28+IF(K28="",0,K28)=EQ28,$DZ$1,IF(M28+IF(K28="",0,K28)=DU28,$DD$1,IF(M28+IF(K28="",0,K28)=NB28,$ML$1,IF(M28+IF(K28="",0,K28)=MF28,$LP$1,IF(M28+IF(K28="",0,K28)=LJ28,$KT$1,IF(M28+IF(K28="",0,K28)=KN28,$JX$1,IF(M28+IF(K28="",0,K28)=JR28,$JB$1,IF(M28+IF(K28="",0,K28)=IV28,$IF$1,IF(M28+IF(K28="",0,K28)=HZ28,$HJ$1,IF(M28+IF(K28="",0,K28)=HD28,$GN$1,IF(M28+IF(K28="",0,K28)=GH28,$FR$1,IF(M28+IF(K28="",0,K28)=FL28,$EV$1,IF(M28+IF(K28="",0,K28)=EP28,$DZ$1,IF(M28+IF(K28="",0,K28)=DT28,$DD$1))))))))))))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</f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1">
        <v>15.9</v>
      </c>
      <c r="AU28" s="41">
        <v>9.6999999999999993</v>
      </c>
      <c r="AV28" s="41">
        <v>2</v>
      </c>
      <c r="AW28" s="41">
        <v>12.74</v>
      </c>
      <c r="AX28" s="41">
        <v>0</v>
      </c>
      <c r="AY28" s="41">
        <v>6.4</v>
      </c>
      <c r="AZ28" s="41">
        <v>4.9000000000000004</v>
      </c>
      <c r="BA28" s="41">
        <v>5.4</v>
      </c>
      <c r="BB28" s="41">
        <v>6.18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>IF(SUM(AT28:AW28)-AX28&gt;0,SUM(AT28:AW28)-AX28,"")</f>
        <v>40.340000000000003</v>
      </c>
      <c r="BP28" s="14">
        <f>IF(BA28&gt;0,BA28,"")</f>
        <v>5.4</v>
      </c>
      <c r="BQ28" s="14">
        <f>IF(SUM(AY28:BB28)-BC28&gt;0,SUM(AY28:BB28)-BC28,"")</f>
        <v>22.880000000000003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63.220000000000006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63.220000000000006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8" t="str">
        <f>IF(K28&gt;=0.001,IF(MAX(DT28,DU28,EP28,EQ28,FL28,FM28,GH28,GI28,HD28,HE28,HZ28,IA28,IV28,IW28,JR28,JS28,KN28,KO28,LJ28,LK28,MF28,MG28,NB28,NC28)-IF(K28="",0,K28)&gt;0.001,MAX(DT28,DU28,EP28,EQ28,FL28,FM28,GH28,GI28,HD28,HE28,HZ28,IA28,IV28,IW28,JR28,JS28,KN28,KO28,LJ28,LK28,MF28,MG28,NB28,NC28)-IF(K28="",0,K28),""),"")</f>
        <v/>
      </c>
      <c r="DC28" s="18" t="str">
        <f>IF(K28&gt;=0.001,IF(MAX(DX28,ET28,FP28,GL28,HH28,ID28,IZ28,JV28,KR28,LN28,MJ28,NF28)-IF(K28="",0,K28)&gt;0.001,MAX(DX28,ET28,FP28,GL28,HH28,ID28,IZ28,JV28,KR28,LN28,MJ28,NF28)-IF(K28="",0,K28),""),"")</f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7">
        <f>IF($CR28="P",BX28,(BX28+AT28)/2)</f>
        <v>7.95</v>
      </c>
      <c r="NI28" s="37">
        <f>IF($CR28="P",BY28,(BY28+AU28)/2)</f>
        <v>4.8499999999999996</v>
      </c>
      <c r="NJ28" s="37">
        <f>IF($CR28="P",BZ28,(BZ28+AV28)/2)</f>
        <v>1</v>
      </c>
      <c r="NK28" s="37">
        <f>IF($CR28="P",CA28,(CA28+AW28)/2)</f>
        <v>6.37</v>
      </c>
      <c r="NL28" s="37">
        <f>IF($CR28="P",CB28,(CB28+AX28)/2)</f>
        <v>0</v>
      </c>
      <c r="NM28" s="37">
        <f>IF($CR28="P",CC28,(CC28+AY28)/2)</f>
        <v>3.2</v>
      </c>
      <c r="NN28" s="37">
        <f>IF($CR28="P",CD28,(CD28+AZ28)/2)</f>
        <v>2.4500000000000002</v>
      </c>
      <c r="NO28" s="37">
        <f>IF($CR28="P",CE28,(CE28+BA28)/2)</f>
        <v>2.7</v>
      </c>
      <c r="NP28" s="37">
        <f>IF($CR28="P",CF28,(CF28+BB28)/2)</f>
        <v>3.09</v>
      </c>
      <c r="NQ28" s="37">
        <f>IF($CR28="P",CG28,(CG28+BC28)/2)</f>
        <v>0</v>
      </c>
      <c r="NR28" s="37">
        <f>IF($CR28="P",CH28,(CH28+BD28)/2)</f>
        <v>0</v>
      </c>
      <c r="NS28" s="37">
        <f>IF($CR28="P",CI28,(CI28+BE28)/2)</f>
        <v>0</v>
      </c>
      <c r="NT28" s="37">
        <f>IF($CR28="P",CJ28,(CJ28+BF28)/2)</f>
        <v>0</v>
      </c>
      <c r="NU28" s="37">
        <f>IF($CR28="P",CK28,(CK28+BG28)/2)</f>
        <v>0</v>
      </c>
      <c r="NV28" s="37">
        <f>IF($CR28="P",CL28,(CL28+BH28)/2)</f>
        <v>0</v>
      </c>
      <c r="NW28" s="37">
        <f>IF($CR28="P",CM28,(CM28+BI28)/2)</f>
        <v>0</v>
      </c>
      <c r="NX28" s="37">
        <f>IF($CR28="P",CN28,(CN28+BJ28)/2)</f>
        <v>0</v>
      </c>
      <c r="NY28" s="37">
        <f>IF($CR28="P",CO28,(CO28+BK28)/2)</f>
        <v>0</v>
      </c>
      <c r="NZ28" s="37">
        <f>IF($CR28="P",CP28,(CP28+BL28)/2)</f>
        <v>0</v>
      </c>
      <c r="OA28" s="37">
        <f>IF($CR28="P",CQ28,(CQ28+BM28)/2)</f>
        <v>0</v>
      </c>
      <c r="OB28" s="44" t="s">
        <v>46</v>
      </c>
      <c r="OC28" s="11">
        <f>IF(SUM(NH28:NK28)-NL28&gt;0,SUM(NH28:NK28)-NL28,"")</f>
        <v>20.170000000000002</v>
      </c>
      <c r="OD28" s="11">
        <f>IF(NO28&gt;0,NO28,"")</f>
        <v>2.7</v>
      </c>
      <c r="OE28" s="11">
        <f>IF(SUM(NM28:NP28)-NQ28&gt;0,SUM(NM28:NP28)-NQ28,"")</f>
        <v>11.440000000000001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31.610000000000003</v>
      </c>
      <c r="OI28" s="11" t="str">
        <f>IF(NY28&gt;0,NY28,"")</f>
        <v/>
      </c>
      <c r="OJ28" s="11" t="str">
        <f t="shared" ref="OJ28" si="42">IF(SUM(NW28:NZ28)-OA28&gt;0,SUM(NW28:NZ28)-OA28,"")</f>
        <v/>
      </c>
      <c r="OK28" s="11">
        <f t="shared" ref="OK28" si="43">IF(SUM(OH28,OJ28)&gt;0,SUM(OH28,OJ28),"")</f>
        <v>31.610000000000003</v>
      </c>
    </row>
    <row r="29" spans="1:401" x14ac:dyDescent="0.2">
      <c r="A29" s="5" t="str" cm="1">
        <f t="array" ref="A29">IF(AND(F29="P",G29="P"),SUMPRODUCT((F$4:F$33="P")*(G$4:G$33="P")*(E$4:E$33&gt;E29))+1,IF(G29="P",SUMPRODUCT((F$4:F$33="")*(G$4:G$33="P")*(E$4:E$33&gt;E29))+1+SUMPRODUCT((F$4:F$33="P")*(G$4:G$33="P")),""))</f>
        <v/>
      </c>
      <c r="B29" s="8" t="s">
        <v>190</v>
      </c>
      <c r="C29" s="4" t="s">
        <v>4</v>
      </c>
      <c r="D29" s="21">
        <v>2004</v>
      </c>
      <c r="E29" s="15">
        <f>SUM(I29:M29)</f>
        <v>9.41</v>
      </c>
      <c r="F29" s="3" t="str">
        <f>IF(OR(AND(AL29&gt;=AS$35,AM29&gt;=AS$39,AL29&lt;&gt;"",AJ29=""),AND(AN29&gt;=AS$35,AO29&gt;=AS$39,AN29&lt;&gt;"",AN29=""),AND(AQ29&gt;=AS$35,AR29&gt;=AS$39,AQ29&lt;&gt;"",AJ29=""),AND(BP29&gt;=BW$35,BQ29&gt;=BW$39,BP29&lt;&gt;"",BN29=""),AND(BR29&gt;=BW$35,BS29&gt;=BW$39,BR29&lt;&gt;"",BN29=""),AND(BU29&gt;=BW$35,BV29&gt;=BW$39,BU29&lt;&gt;"",BN29=""),AND(CT29&gt;=DA$35,CU29&gt;=DA$39,CT29&lt;&gt;"",CR29=""),AND(CV29&gt;=DA$35,CW29&gt;=DA$39,CV29&lt;&gt;"",CR29=""),AND(CY29&gt;=DA$35,CZ29&gt;=DA$39,CY29&lt;&gt;"",CR29=""),AND(DS29&gt;=DY$35,DU29&gt;=DY$39,DS29&lt;&gt;""),AND(DW29&gt;=DY$35,DX29&gt;=DY$39,DW29&lt;&gt;""),AND(EO29&gt;=EU$35,EQ29&gt;=EU$39,EO29&lt;&gt;""),AND(ES29&gt;=EU$35,ET29&gt;=EU$39,ES29&lt;&gt;""),AND(FK29&gt;=FQ$35,FM29&gt;=FQ$39,FK29&lt;&gt;""),AND(FO29&gt;=FQ$35,FP29&gt;=FQ$39,FO29&lt;&gt;""),AND(GG29&gt;=GM$35,GI29&gt;=GM$39,GG29&lt;&gt;""),AND(GK29&gt;=GM$35,GL29&gt;=GM$39,GK29&lt;&gt;""),AND(HC29&gt;=HI$35,HE29&gt;=HI$39,HC29&lt;&gt;""),AND(HG29&gt;=HI$35,HH29&gt;=HI$39,HG29&lt;&gt;""),AND(HY29&gt;=IE$35,IA29&gt;=IE$39,HY29&lt;&gt;""),AND(IC29&gt;=IE$35,ID29&gt;=IE$39,IC29&lt;&gt;""),AND(IU29&gt;=JA$35,IW29&gt;=JA$39,IU29&lt;&gt;""),AND(IY29&gt;=JA$35,IZ29&gt;=JA$39,IY29&lt;&gt;""),AND(JQ29&gt;=JW$35,JS29&gt;=JW$39,JQ29&lt;&gt;""),AND(JU29&gt;=JW$35,JV29&gt;=JW$39,JU29&lt;&gt;""),AND(KM29&gt;=KS$35,KO29&gt;=KS$39,KM29&lt;&gt;""),AND(KQ29&gt;=KS$35,KR29&gt;=KS$39,KQ29&lt;&gt;""),AND(LI29&gt;=LO$35,LK29&gt;=LO$39,LI29&lt;&gt;""),AND(LM29&gt;=LO$35,LN29&gt;=LO$39,LM29&lt;&gt;""),AND(ME29&gt;=MK$35,MG29&gt;=MK$39,ME29&lt;&gt;""),AND(MI29&gt;=MK$35,MJ29&gt;=MK$39,MI29&lt;&gt;""),AND(NA29&gt;=NG$35,NC29&gt;=NG$39,NA29&lt;&gt;""),AND(NE29&gt;=NG$35,NF29&gt;=NG$39,NE29&lt;&gt;"")),"P","")</f>
        <v/>
      </c>
      <c r="G29" s="3" t="str">
        <f>IF(OR(AND(AM29&gt;=AS$39,AL29&lt;&gt;"",AJ29=""),AND(AO29&gt;=AS$39,AN29&lt;&gt;"",AN29=""),AND(AR29&gt;=AS$39,AQ29&lt;&gt;"",AJ29=""),AND(BQ29&gt;=BW$39,BP29&lt;&gt;"",BN29=""),AND(BS29&gt;=BW$39,BR29&lt;&gt;"",BN29=""),AND(BV29&gt;=BW$39,BU29&lt;&gt;"",BN29=""),AND(CU29&gt;=DA$39,CT29&lt;&gt;"",CR29=""),AND(CW29&gt;=DA$39,CV29&lt;&gt;"",CR29=""),AND(CZ29&gt;=DA$39,CY29&lt;&gt;"",CR29=""),AND(DU29&gt;=DY$39,DS29&lt;&gt;""),AND(DX29&gt;=DY$39,DW29&lt;&gt;""),AND(EQ29&gt;=EU$39,EO29&lt;&gt;""),AND(ET29&gt;=EU$39,ES29&lt;&gt;""),AND(FM29&gt;=FQ$39,FK29&lt;&gt;""),AND(FP29&gt;=FQ$39,FO29&lt;&gt;""),AND(GI29&gt;=GM$39,GG29&lt;&gt;""),AND(GL29&gt;=GM$39,GK29&lt;&gt;""),AND(HE29&gt;=HI$39,HC29&lt;&gt;""),AND(HH29&gt;=HI$39,HG29&lt;&gt;""),AND(IA29&gt;=IE$39,HY29&lt;&gt;""),AND(ID29&gt;=IE$39,IC29&lt;&gt;""),AND(IW29&gt;=JA$39,IU29&lt;&gt;""),AND(IZ29&gt;=JA$39,IY29&lt;&gt;""),AND(JS29&gt;=JW$39,JQ29&lt;&gt;""),AND(JV29&gt;=JW$39,JU29&lt;&gt;""),AND(KO29&gt;=KS$39,KM29&lt;&gt;""),AND(KR29&gt;=KS$39,KQ29&lt;&gt;""),AND(LK29&gt;=LO$39,LI29&lt;&gt;""),AND(LN29&gt;=LO$39,LM29&lt;&gt;""),AND(MG29&gt;=MK$39,ME29&lt;&gt;""),AND(MJ29&gt;=MK$39,MI29&lt;&gt;""),AND(NC29&gt;=NG$39,NA29&lt;&gt;""),AND(NF29&gt;=NG$39,NE29&lt;&gt;"")),"P","")</f>
        <v/>
      </c>
      <c r="H29" s="66" t="str">
        <f>IF(F29="P","National Team",IF(G29="P","No DD",""))</f>
        <v/>
      </c>
      <c r="I29" s="14">
        <f>MAX(AM29,AO29,AR29,BQ29,BS29,BV29,CU29,CW29,CZ29)</f>
        <v>9.41</v>
      </c>
      <c r="J29" s="14" t="str">
        <f>IF(I29=0,"",IF(OR(I29=CW29,I29=CU29,I29=CZ29),$BX$1,IF(OR(I29=BS29,I29=BQ29,I29=BV29),$AT$1,IF(OR(I29=AO29,I29=AM29,I29=AR29),$P$1,""))))</f>
        <v>2022 Nationals</v>
      </c>
      <c r="K29" s="14">
        <f>IF(COUNT(AM29,AO29,AR29,BQ29,BS29,BV29,CU29,CW29,CZ29)&gt;1,LARGE((AM29,AO29,AR29,BQ29,BS29,BV29,CU29,CW29,CZ29),2),0)</f>
        <v>0</v>
      </c>
      <c r="L29" s="14" t="str">
        <f>IF(K29=0,"",IF(OR(K29=CW29,K29=CU29,K29=CZ29),$BX$1,IF(OR(K29=BS29,K29=BQ29,K29=BV29),$AT$1,IF(OR(K29=AO29,K29=AM29,K29=AR29),$P$1,""))))</f>
        <v/>
      </c>
      <c r="M29" s="14" t="str">
        <f>IF(MAX(DB29,DC29)&gt;0,MAX(DB29,DC29),"")</f>
        <v/>
      </c>
      <c r="N29" s="19" t="str">
        <f>IF(M29="","",IF(M29=DB29,"(Prelim)",IF(M29=DC29,"(Final)")))</f>
        <v/>
      </c>
      <c r="O29" s="14" t="str">
        <f>IF(M29="","",IF(M29=DB29,IF(M29+IF(K29="",0,K29)=NC29,$ML$1,IF(M29+IF(K29="",0,K29)=MG29,$LP$1,IF(M29+IF(K29="",0,K29)=LK29,$KT$1,IF(M29+IF(K29="",0,K29)=KO29,$JX$1,IF(M29+IF(K29="",0,K29)=JS29,$JB$1,IF(M29+IF(K29="",0,K29)=IW29,$IF$1,IF(M29+IF(K29="",0,K29)=IA29,$HJ$1,IF(M29+IF(K29="",0,K29)=HE29,$GN$1,IF(M29+IF(K29="",0,K29)=GI29,$FR$1,IF(M29+IF(K29="",0,K29)=FM29,$EV$1,IF(M29+IF(K29="",0,K29)=EQ29,$DZ$1,IF(M29+IF(K29="",0,K29)=DU29,$DD$1,IF(M29+IF(K29="",0,K29)=NB29,$ML$1,IF(M29+IF(K29="",0,K29)=MF29,$LP$1,IF(M29+IF(K29="",0,K29)=LJ29,$KT$1,IF(M29+IF(K29="",0,K29)=KN29,$JX$1,IF(M29+IF(K29="",0,K29)=JR29,$JB$1,IF(M29+IF(K29="",0,K29)=IV29,$IF$1,IF(M29+IF(K29="",0,K29)=HZ29,$HJ$1,IF(M29+IF(K29="",0,K29)=HD29,$GN$1,IF(M29+IF(K29="",0,K29)=GH29,$FR$1,IF(M29+IF(K29="",0,K29)=FL29,$EV$1,IF(M29+IF(K29="",0,K29)=EP29,$DZ$1,IF(M29+IF(K29="",0,K29)=DT29,$DD$1))))))))))))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</f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>IF(SUM(P29:S29)-T29&gt;0,SUM(P29:S29)-T29,"")</f>
        <v/>
      </c>
      <c r="AL29" s="11" t="str">
        <f>IF(W29&gt;0,W29,"")</f>
        <v/>
      </c>
      <c r="AM29" s="11" t="str">
        <f>IF(SUM(U29:X29)-Y29&gt;0,SUM(U29:X29)-Y29,"")</f>
        <v/>
      </c>
      <c r="AN29" s="11" t="str">
        <f>IF(AB29&gt;0,AB29,"")</f>
        <v/>
      </c>
      <c r="AO29" s="11" t="str">
        <f>IF(SUM(Z29:AC29)-AD29&gt;0,SUM(Z29:AC29)-AD29,"")</f>
        <v/>
      </c>
      <c r="AP29" s="11" t="str">
        <f>IF(AK29="",IF(MAX(AM29,AO29)&gt;0,MAX(AM29,AO29),""),MAX(AM29,AO29)+AK29)</f>
        <v/>
      </c>
      <c r="AQ29" s="11" t="str">
        <f>IF(AG29&gt;0,AG29,"")</f>
        <v/>
      </c>
      <c r="AR29" s="11" t="str">
        <f>IF(SUM(AE29:AH29)-AI29&gt;0,SUM(AE29:AH29)-AI29,"")</f>
        <v/>
      </c>
      <c r="AS29" s="11" t="str">
        <f>IF(SUM(AP29,AR29)&gt;0,SUM(AP29,AR29),"")</f>
        <v/>
      </c>
      <c r="AT29" s="41">
        <v>14.2</v>
      </c>
      <c r="AU29" s="41">
        <v>9.4</v>
      </c>
      <c r="AV29" s="41">
        <v>1.1000000000000001</v>
      </c>
      <c r="AW29" s="41">
        <v>13.61</v>
      </c>
      <c r="AX29" s="41">
        <v>0</v>
      </c>
      <c r="AY29" s="41">
        <v>2.5</v>
      </c>
      <c r="AZ29" s="41">
        <v>1.8</v>
      </c>
      <c r="BA29" s="41">
        <v>2.2999999999999998</v>
      </c>
      <c r="BB29" s="41">
        <v>2.81</v>
      </c>
      <c r="BC29" s="41">
        <v>0</v>
      </c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>
        <f>IF(SUM(AT29:AW29)-AX29&gt;0,SUM(AT29:AW29)-AX29,"")</f>
        <v>38.31</v>
      </c>
      <c r="BP29" s="14">
        <f>IF(BA29&gt;0,BA29,"")</f>
        <v>2.2999999999999998</v>
      </c>
      <c r="BQ29" s="14">
        <f>IF(SUM(AY29:BB29)-BC29&gt;0,SUM(AY29:BB29)-BC29,"")</f>
        <v>9.41</v>
      </c>
      <c r="BR29" s="14" t="str">
        <f>IF(BF29&gt;0,BF29,"")</f>
        <v/>
      </c>
      <c r="BS29" s="14" t="str">
        <f>IF(SUM(BD29:BG29)-BH29&gt;0,SUM(BD29:BG29)-BH29,"")</f>
        <v/>
      </c>
      <c r="BT29" s="14">
        <f>IF(BO29="",IF(MAX(BQ29,BS29)&gt;0,MAX(BQ29,BS29),""),MAX(BQ29,BS29)+BO29)</f>
        <v>47.72</v>
      </c>
      <c r="BU29" s="14" t="str">
        <f>IF(BK29&gt;0,BK29,"")</f>
        <v/>
      </c>
      <c r="BV29" s="14" t="str">
        <f>IF(SUM(BI29:BL29)-BM29&gt;0,SUM(BI29:BL29)-BM29,"")</f>
        <v/>
      </c>
      <c r="BW29" s="14">
        <f>IF(SUM(BT29,BV29)&gt;0,SUM(BT29,BV29),"")</f>
        <v>47.72</v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>IF(SUM(BX29:CA29)-CB29&gt;0,SUM(BX29:CA29)-CB29,"")</f>
        <v/>
      </c>
      <c r="CT29" s="11" t="str">
        <f>IF(CE29&gt;0,CE29,"")</f>
        <v/>
      </c>
      <c r="CU29" s="11" t="str">
        <f>IF(SUM(CC29:CF29)-CG29&gt;0,SUM(CC29:CF29)-CG29,"")</f>
        <v/>
      </c>
      <c r="CV29" s="11" t="str">
        <f>IF(CJ29&gt;0,CJ29,"")</f>
        <v/>
      </c>
      <c r="CW29" s="11" t="str">
        <f>IF(SUM(CH29:CK29)-CL29&gt;0,SUM(CH29:CK29)-CL29,"")</f>
        <v/>
      </c>
      <c r="CX29" s="11" t="str">
        <f>IF(CS29="",IF(MAX(CU29,CW29)&gt;0,MAX(CU29,CW29),""),MAX(CU29,CW29)+CS29)</f>
        <v/>
      </c>
      <c r="CY29" s="11" t="str">
        <f>IF(CO29&gt;0,CO29,"")</f>
        <v/>
      </c>
      <c r="CZ29" s="11" t="str">
        <f>IF(SUM(CM29:CP29)-CQ29&gt;0,SUM(CM29:CP29)-CQ29,"")</f>
        <v/>
      </c>
      <c r="DA29" s="11" t="str">
        <f>IF(SUM(CX29,CZ29)&gt;0,SUM(CX29,CZ29),"")</f>
        <v/>
      </c>
      <c r="DB29" s="18" t="str">
        <f>IF(K29&gt;=0.001,IF(MAX(DT29,DU29,EP29,EQ29,FL29,FM29,GH29,GI29,HD29,HE29,HZ29,IA29,IV29,IW29,JR29,JS29,KN29,KO29,LJ29,LK29,MF29,MG29,NB29,NC29)-IF(K29="",0,K29)&gt;0.001,MAX(DT29,DU29,EP29,EQ29,FL29,FM29,GH29,GI29,HD29,HE29,HZ29,IA29,IV29,IW29,JR29,JS29,KN29,KO29,LJ29,LK29,MF29,MG29,NB29,NC29)-IF(K29="",0,K29),""),"")</f>
        <v/>
      </c>
      <c r="DC29" s="18" t="str">
        <f>IF(K29&gt;=0.001,IF(MAX(DX29,ET29,FP29,GL29,HH29,ID29,IZ29,JV29,KR29,LN29,MJ29,NF29)-IF(K29="",0,K29)&gt;0.001,MAX(DX29,ET29,FP29,GL29,HH29,ID29,IZ29,JV29,KR29,LN29,MJ29,NF29)-IF(K29="",0,K29),""),"")</f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7">
        <f>IF($CR29="P",BX29,(BX29+AT29)/2)</f>
        <v>7.1</v>
      </c>
      <c r="NI29" s="37">
        <f>IF($CR29="P",BY29,(BY29+AU29)/2)</f>
        <v>4.7</v>
      </c>
      <c r="NJ29" s="37">
        <f>IF($CR29="P",BZ29,(BZ29+AV29)/2)</f>
        <v>0.55000000000000004</v>
      </c>
      <c r="NK29" s="37">
        <f>IF($CR29="P",CA29,(CA29+AW29)/2)</f>
        <v>6.8049999999999997</v>
      </c>
      <c r="NL29" s="37">
        <f>IF($CR29="P",CB29,(CB29+AX29)/2)</f>
        <v>0</v>
      </c>
      <c r="NM29" s="37">
        <f>IF($CR29="P",CC29,(CC29+AY29)/2)</f>
        <v>1.25</v>
      </c>
      <c r="NN29" s="37">
        <f>IF($CR29="P",CD29,(CD29+AZ29)/2)</f>
        <v>0.9</v>
      </c>
      <c r="NO29" s="37">
        <f>IF($CR29="P",CE29,(CE29+BA29)/2)</f>
        <v>1.1499999999999999</v>
      </c>
      <c r="NP29" s="37">
        <f>IF($CR29="P",CF29,(CF29+BB29)/2)</f>
        <v>1.405</v>
      </c>
      <c r="NQ29" s="37">
        <f>IF($CR29="P",CG29,(CG29+BC29)/2)</f>
        <v>0</v>
      </c>
      <c r="NR29" s="37">
        <f>IF($CR29="P",CH29,(CH29+BD29)/2)</f>
        <v>0</v>
      </c>
      <c r="NS29" s="37">
        <f>IF($CR29="P",CI29,(CI29+BE29)/2)</f>
        <v>0</v>
      </c>
      <c r="NT29" s="37">
        <f>IF($CR29="P",CJ29,(CJ29+BF29)/2)</f>
        <v>0</v>
      </c>
      <c r="NU29" s="37">
        <f>IF($CR29="P",CK29,(CK29+BG29)/2)</f>
        <v>0</v>
      </c>
      <c r="NV29" s="37">
        <f>IF($CR29="P",CL29,(CL29+BH29)/2)</f>
        <v>0</v>
      </c>
      <c r="NW29" s="37">
        <f>IF($CR29="P",CM29,(CM29+BI29)/2)</f>
        <v>0</v>
      </c>
      <c r="NX29" s="37">
        <f>IF($CR29="P",CN29,(CN29+BJ29)/2)</f>
        <v>0</v>
      </c>
      <c r="NY29" s="37">
        <f>IF($CR29="P",CO29,(CO29+BK29)/2)</f>
        <v>0</v>
      </c>
      <c r="NZ29" s="37">
        <f>IF($CR29="P",CP29,(CP29+BL29)/2)</f>
        <v>0</v>
      </c>
      <c r="OA29" s="37">
        <f>IF($CR29="P",CQ29,(CQ29+BM29)/2)</f>
        <v>0</v>
      </c>
      <c r="OB29" s="44" t="s">
        <v>46</v>
      </c>
      <c r="OC29" s="11">
        <f>IF(SUM(NH29:NK29)-NL29&gt;0,SUM(NH29:NK29)-NL29,"")</f>
        <v>19.155000000000001</v>
      </c>
      <c r="OD29" s="11">
        <f>IF(NO29&gt;0,NO29,"")</f>
        <v>1.1499999999999999</v>
      </c>
      <c r="OE29" s="11">
        <f>IF(SUM(NM29:NP29)-NQ29&gt;0,SUM(NM29:NP29)-NQ29,"")</f>
        <v>4.7050000000000001</v>
      </c>
      <c r="OF29" s="11" t="str">
        <f>IF(NT29&gt;0,NT29,"")</f>
        <v/>
      </c>
      <c r="OG29" s="11" t="str">
        <f>IF(SUM(NR29:NU29)-NV29&gt;0,SUM(NR29:NU29)-NV29,"")</f>
        <v/>
      </c>
      <c r="OH29" s="11">
        <f>IF(OR(OC29&lt;&gt;"",OE29&lt;&gt;"",OG29&lt;&gt;""),OC29+MAX(OE29,OG29),"")</f>
        <v>23.86</v>
      </c>
      <c r="OI29" s="11" t="str">
        <f>IF(NY29&gt;0,NY29,"")</f>
        <v/>
      </c>
      <c r="OJ29" s="11" t="str">
        <f t="shared" ref="OJ29" si="44">IF(SUM(NW29:NZ29)-OA29&gt;0,SUM(NW29:NZ29)-OA29,"")</f>
        <v/>
      </c>
      <c r="OK29" s="11">
        <f t="shared" ref="OK29" si="45">IF(SUM(OH29,OJ29)&gt;0,SUM(OH29,OJ29),"")</f>
        <v>23.86</v>
      </c>
    </row>
    <row r="30" spans="1:401" x14ac:dyDescent="0.2">
      <c r="A30" s="5" t="str" cm="1">
        <f t="array" ref="A30">IF(AND(F30="P",G30="P"),SUMPRODUCT((F$4:F$33="P")*(G$4:G$33="P")*(E$4:E$33&gt;E30))+1,IF(G30="P",SUMPRODUCT((F$4:F$33="")*(G$4:G$33="P")*(E$4:E$33&gt;E30))+1+SUMPRODUCT((F$4:F$33="P")*(G$4:G$33="P")),""))</f>
        <v/>
      </c>
      <c r="B30" s="8" t="s">
        <v>191</v>
      </c>
      <c r="C30" s="4" t="s">
        <v>3</v>
      </c>
      <c r="D30" s="21">
        <v>2002</v>
      </c>
      <c r="E30" s="15">
        <f>SUM(I30:M30)</f>
        <v>8.74</v>
      </c>
      <c r="F30" s="3" t="str">
        <f>IF(OR(AND(AL30&gt;=AS$35,AM30&gt;=AS$39,AL30&lt;&gt;"",AJ30=""),AND(AN30&gt;=AS$35,AO30&gt;=AS$39,AN30&lt;&gt;"",AN30=""),AND(AQ30&gt;=AS$35,AR30&gt;=AS$39,AQ30&lt;&gt;"",AJ30=""),AND(BP30&gt;=BW$35,BQ30&gt;=BW$39,BP30&lt;&gt;"",BN30=""),AND(BR30&gt;=BW$35,BS30&gt;=BW$39,BR30&lt;&gt;"",BN30=""),AND(BU30&gt;=BW$35,BV30&gt;=BW$39,BU30&lt;&gt;"",BN30=""),AND(CT30&gt;=DA$35,CU30&gt;=DA$39,CT30&lt;&gt;"",CR30=""),AND(CV30&gt;=DA$35,CW30&gt;=DA$39,CV30&lt;&gt;"",CR30=""),AND(CY30&gt;=DA$35,CZ30&gt;=DA$39,CY30&lt;&gt;"",CR30=""),AND(DS30&gt;=DY$35,DU30&gt;=DY$39,DS30&lt;&gt;""),AND(DW30&gt;=DY$35,DX30&gt;=DY$39,DW30&lt;&gt;""),AND(EO30&gt;=EU$35,EQ30&gt;=EU$39,EO30&lt;&gt;""),AND(ES30&gt;=EU$35,ET30&gt;=EU$39,ES30&lt;&gt;""),AND(FK30&gt;=FQ$35,FM30&gt;=FQ$39,FK30&lt;&gt;""),AND(FO30&gt;=FQ$35,FP30&gt;=FQ$39,FO30&lt;&gt;""),AND(GG30&gt;=GM$35,GI30&gt;=GM$39,GG30&lt;&gt;""),AND(GK30&gt;=GM$35,GL30&gt;=GM$39,GK30&lt;&gt;""),AND(HC30&gt;=HI$35,HE30&gt;=HI$39,HC30&lt;&gt;""),AND(HG30&gt;=HI$35,HH30&gt;=HI$39,HG30&lt;&gt;""),AND(HY30&gt;=IE$35,IA30&gt;=IE$39,HY30&lt;&gt;""),AND(IC30&gt;=IE$35,ID30&gt;=IE$39,IC30&lt;&gt;""),AND(IU30&gt;=JA$35,IW30&gt;=JA$39,IU30&lt;&gt;""),AND(IY30&gt;=JA$35,IZ30&gt;=JA$39,IY30&lt;&gt;""),AND(JQ30&gt;=JW$35,JS30&gt;=JW$39,JQ30&lt;&gt;""),AND(JU30&gt;=JW$35,JV30&gt;=JW$39,JU30&lt;&gt;""),AND(KM30&gt;=KS$35,KO30&gt;=KS$39,KM30&lt;&gt;""),AND(KQ30&gt;=KS$35,KR30&gt;=KS$39,KQ30&lt;&gt;""),AND(LI30&gt;=LO$35,LK30&gt;=LO$39,LI30&lt;&gt;""),AND(LM30&gt;=LO$35,LN30&gt;=LO$39,LM30&lt;&gt;""),AND(ME30&gt;=MK$35,MG30&gt;=MK$39,ME30&lt;&gt;""),AND(MI30&gt;=MK$35,MJ30&gt;=MK$39,MI30&lt;&gt;""),AND(NA30&gt;=NG$35,NC30&gt;=NG$39,NA30&lt;&gt;""),AND(NE30&gt;=NG$35,NF30&gt;=NG$39,NE30&lt;&gt;"")),"P","")</f>
        <v/>
      </c>
      <c r="G30" s="3" t="str">
        <f>IF(OR(AND(AM30&gt;=AS$39,AL30&lt;&gt;"",AJ30=""),AND(AO30&gt;=AS$39,AN30&lt;&gt;"",AN30=""),AND(AR30&gt;=AS$39,AQ30&lt;&gt;"",AJ30=""),AND(BQ30&gt;=BW$39,BP30&lt;&gt;"",BN30=""),AND(BS30&gt;=BW$39,BR30&lt;&gt;"",BN30=""),AND(BV30&gt;=BW$39,BU30&lt;&gt;"",BN30=""),AND(CU30&gt;=DA$39,CT30&lt;&gt;"",CR30=""),AND(CW30&gt;=DA$39,CV30&lt;&gt;"",CR30=""),AND(CZ30&gt;=DA$39,CY30&lt;&gt;"",CR30=""),AND(DU30&gt;=DY$39,DS30&lt;&gt;""),AND(DX30&gt;=DY$39,DW30&lt;&gt;""),AND(EQ30&gt;=EU$39,EO30&lt;&gt;""),AND(ET30&gt;=EU$39,ES30&lt;&gt;""),AND(FM30&gt;=FQ$39,FK30&lt;&gt;""),AND(FP30&gt;=FQ$39,FO30&lt;&gt;""),AND(GI30&gt;=GM$39,GG30&lt;&gt;""),AND(GL30&gt;=GM$39,GK30&lt;&gt;""),AND(HE30&gt;=HI$39,HC30&lt;&gt;""),AND(HH30&gt;=HI$39,HG30&lt;&gt;""),AND(IA30&gt;=IE$39,HY30&lt;&gt;""),AND(ID30&gt;=IE$39,IC30&lt;&gt;""),AND(IW30&gt;=JA$39,IU30&lt;&gt;""),AND(IZ30&gt;=JA$39,IY30&lt;&gt;""),AND(JS30&gt;=JW$39,JQ30&lt;&gt;""),AND(JV30&gt;=JW$39,JU30&lt;&gt;""),AND(KO30&gt;=KS$39,KM30&lt;&gt;""),AND(KR30&gt;=KS$39,KQ30&lt;&gt;""),AND(LK30&gt;=LO$39,LI30&lt;&gt;""),AND(LN30&gt;=LO$39,LM30&lt;&gt;""),AND(MG30&gt;=MK$39,ME30&lt;&gt;""),AND(MJ30&gt;=MK$39,MI30&lt;&gt;""),AND(NC30&gt;=NG$39,NA30&lt;&gt;""),AND(NF30&gt;=NG$39,NE30&lt;&gt;"")),"P","")</f>
        <v/>
      </c>
      <c r="H30" s="66" t="str">
        <f>IF(F30="P","National Team",IF(G30="P","No DD",""))</f>
        <v/>
      </c>
      <c r="I30" s="14">
        <f>MAX(AM30,AO30,AR30,BQ30,BS30,BV30,CU30,CW30,CZ30)</f>
        <v>8.74</v>
      </c>
      <c r="J30" s="14" t="str">
        <f>IF(I30=0,"",IF(OR(I30=CW30,I30=CU30,I30=CZ30),$BX$1,IF(OR(I30=BS30,I30=BQ30,I30=BV30),$AT$1,IF(OR(I30=AO30,I30=AM30,I30=AR30),$P$1,""))))</f>
        <v>2022 Nationals</v>
      </c>
      <c r="K30" s="14">
        <f>IF(COUNT(AM30,AO30,AR30,BQ30,BS30,BV30,CU30,CW30,CZ30)&gt;1,LARGE((AM30,AO30,AR30,BQ30,BS30,BV30,CU30,CW30,CZ30),2),0)</f>
        <v>0</v>
      </c>
      <c r="L30" s="14" t="str">
        <f>IF(K30=0,"",IF(OR(K30=CW30,K30=CU30,K30=CZ30),$BX$1,IF(OR(K30=BS30,K30=BQ30,K30=BV30),$AT$1,IF(OR(K30=AO30,K30=AM30,K30=AR30),$P$1,""))))</f>
        <v/>
      </c>
      <c r="M30" s="14" t="str">
        <f>IF(MAX(DB30,DC30)&gt;0,MAX(DB30,DC30),"")</f>
        <v/>
      </c>
      <c r="N30" s="19" t="str">
        <f>IF(M30="","",IF(M30=DB30,"(Prelim)",IF(M30=DC30,"(Final)")))</f>
        <v/>
      </c>
      <c r="O30" s="14" t="str">
        <f>IF(M30="","",IF(M30=DB30,IF(M30+IF(K30="",0,K30)=NC30,$ML$1,IF(M30+IF(K30="",0,K30)=MG30,$LP$1,IF(M30+IF(K30="",0,K30)=LK30,$KT$1,IF(M30+IF(K30="",0,K30)=KO30,$JX$1,IF(M30+IF(K30="",0,K30)=JS30,$JB$1,IF(M30+IF(K30="",0,K30)=IW30,$IF$1,IF(M30+IF(K30="",0,K30)=IA30,$HJ$1,IF(M30+IF(K30="",0,K30)=HE30,$GN$1,IF(M30+IF(K30="",0,K30)=GI30,$FR$1,IF(M30+IF(K30="",0,K30)=FM30,$EV$1,IF(M30+IF(K30="",0,K30)=EQ30,$DZ$1,IF(M30+IF(K30="",0,K30)=DU30,$DD$1,IF(M30+IF(K30="",0,K30)=NB30,$ML$1,IF(M30+IF(K30="",0,K30)=MF30,$LP$1,IF(M30+IF(K30="",0,K30)=LJ30,$KT$1,IF(M30+IF(K30="",0,K30)=KN30,$JX$1,IF(M30+IF(K30="",0,K30)=JR30,$JB$1,IF(M30+IF(K30="",0,K30)=IV30,$IF$1,IF(M30+IF(K30="",0,K30)=HZ30,$HJ$1,IF(M30+IF(K30="",0,K30)=HD30,$GN$1,IF(M30+IF(K30="",0,K30)=GH30,$FR$1,IF(M30+IF(K30="",0,K30)=FL30,$EV$1,IF(M30+IF(K30="",0,K30)=EP30,$DZ$1,IF(M30+IF(K30="",0,K30)=DT30,$DD$1))))))))))))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</f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>IF(SUM(P30:S30)-T30&gt;0,SUM(P30:S30)-T30,"")</f>
        <v/>
      </c>
      <c r="AL30" s="11" t="str">
        <f>IF(W30&gt;0,W30,"")</f>
        <v/>
      </c>
      <c r="AM30" s="11" t="str">
        <f>IF(SUM(U30:X30)-Y30&gt;0,SUM(U30:X30)-Y30,"")</f>
        <v/>
      </c>
      <c r="AN30" s="11" t="str">
        <f>IF(AB30&gt;0,AB30,"")</f>
        <v/>
      </c>
      <c r="AO30" s="11" t="str">
        <f>IF(SUM(Z30:AC30)-AD30&gt;0,SUM(Z30:AC30)-AD30,"")</f>
        <v/>
      </c>
      <c r="AP30" s="11" t="str">
        <f>IF(AK30="",IF(MAX(AM30,AO30)&gt;0,MAX(AM30,AO30),""),MAX(AM30,AO30)+AK30)</f>
        <v/>
      </c>
      <c r="AQ30" s="11" t="str">
        <f>IF(AG30&gt;0,AG30,"")</f>
        <v/>
      </c>
      <c r="AR30" s="11" t="str">
        <f>IF(SUM(AE30:AH30)-AI30&gt;0,SUM(AE30:AH30)-AI30,"")</f>
        <v/>
      </c>
      <c r="AS30" s="11" t="str">
        <f>IF(SUM(AP30,AR30)&gt;0,SUM(AP30,AR30),"")</f>
        <v/>
      </c>
      <c r="AT30" s="41">
        <v>13.9</v>
      </c>
      <c r="AU30" s="41">
        <v>9.5</v>
      </c>
      <c r="AV30" s="41">
        <v>1.5</v>
      </c>
      <c r="AW30" s="41">
        <v>13.58</v>
      </c>
      <c r="AX30" s="41">
        <v>0</v>
      </c>
      <c r="AY30" s="41">
        <v>2.2000000000000002</v>
      </c>
      <c r="AZ30" s="41">
        <v>1.7</v>
      </c>
      <c r="BA30" s="41">
        <v>2</v>
      </c>
      <c r="BB30" s="41">
        <v>2.84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>IF(SUM(AT30:AW30)-AX30&gt;0,SUM(AT30:AW30)-AX30,"")</f>
        <v>38.479999999999997</v>
      </c>
      <c r="BP30" s="14">
        <f>IF(BA30&gt;0,BA30,"")</f>
        <v>2</v>
      </c>
      <c r="BQ30" s="14">
        <f>IF(SUM(AY30:BB30)-BC30&gt;0,SUM(AY30:BB30)-BC30,"")</f>
        <v>8.74</v>
      </c>
      <c r="BR30" s="14" t="str">
        <f>IF(BF30&gt;0,BF30,"")</f>
        <v/>
      </c>
      <c r="BS30" s="14" t="str">
        <f>IF(SUM(BD30:BG30)-BH30&gt;0,SUM(BD30:BG30)-BH30,"")</f>
        <v/>
      </c>
      <c r="BT30" s="14">
        <f>IF(BO30="",IF(MAX(BQ30,BS30)&gt;0,MAX(BQ30,BS30),""),MAX(BQ30,BS30)+BO30)</f>
        <v>47.22</v>
      </c>
      <c r="BU30" s="14" t="str">
        <f>IF(BK30&gt;0,BK30,"")</f>
        <v/>
      </c>
      <c r="BV30" s="14" t="str">
        <f>IF(SUM(BI30:BL30)-BM30&gt;0,SUM(BI30:BL30)-BM30,"")</f>
        <v/>
      </c>
      <c r="BW30" s="14">
        <f>IF(SUM(BT30,BV30)&gt;0,SUM(BT30,BV30),"")</f>
        <v>47.22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>IF(SUM(BX30:CA30)-CB30&gt;0,SUM(BX30:CA30)-CB30,"")</f>
        <v/>
      </c>
      <c r="CT30" s="11" t="str">
        <f>IF(CE30&gt;0,CE30,"")</f>
        <v/>
      </c>
      <c r="CU30" s="11" t="str">
        <f>IF(SUM(CC30:CF30)-CG30&gt;0,SUM(CC30:CF30)-CG30,"")</f>
        <v/>
      </c>
      <c r="CV30" s="11" t="str">
        <f>IF(CJ30&gt;0,CJ30,"")</f>
        <v/>
      </c>
      <c r="CW30" s="11" t="str">
        <f>IF(SUM(CH30:CK30)-CL30&gt;0,SUM(CH30:CK30)-CL30,"")</f>
        <v/>
      </c>
      <c r="CX30" s="11" t="str">
        <f>IF(CS30="",IF(MAX(CU30,CW30)&gt;0,MAX(CU30,CW30),""),MAX(CU30,CW30)+CS30)</f>
        <v/>
      </c>
      <c r="CY30" s="11" t="str">
        <f>IF(CO30&gt;0,CO30,"")</f>
        <v/>
      </c>
      <c r="CZ30" s="11" t="str">
        <f>IF(SUM(CM30:CP30)-CQ30&gt;0,SUM(CM30:CP30)-CQ30,"")</f>
        <v/>
      </c>
      <c r="DA30" s="11" t="str">
        <f>IF(SUM(CX30,CZ30)&gt;0,SUM(CX30,CZ30),"")</f>
        <v/>
      </c>
      <c r="DB30" s="18" t="str">
        <f>IF(K30&gt;=0.001,IF(MAX(DT30,DU30,EP30,EQ30,FL30,FM30,GH30,GI30,HD30,HE30,HZ30,IA30,IV30,IW30,JR30,JS30,KN30,KO30,LJ30,LK30,MF30,MG30,NB30,NC30)-IF(K30="",0,K30)&gt;0.001,MAX(DT30,DU30,EP30,EQ30,FL30,FM30,GH30,GI30,HD30,HE30,HZ30,IA30,IV30,IW30,JR30,JS30,KN30,KO30,LJ30,LK30,MF30,MG30,NB30,NC30)-IF(K30="",0,K30),""),"")</f>
        <v/>
      </c>
      <c r="DC30" s="18" t="str">
        <f>IF(K30&gt;=0.001,IF(MAX(DX30,ET30,FP30,GL30,HH30,ID30,IZ30,JV30,KR30,LN30,MJ30,NF30)-IF(K30="",0,K30)&gt;0.001,MAX(DX30,ET30,FP30,GL30,HH30,ID30,IZ30,JV30,KR30,LN30,MJ30,NF30)-IF(K30="",0,K30),""),"")</f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7">
        <f>IF($CR30="P",BX30,(BX30+AT30)/2)</f>
        <v>6.95</v>
      </c>
      <c r="NI30" s="37">
        <f>IF($CR30="P",BY30,(BY30+AU30)/2)</f>
        <v>4.75</v>
      </c>
      <c r="NJ30" s="37">
        <f>IF($CR30="P",BZ30,(BZ30+AV30)/2)</f>
        <v>0.75</v>
      </c>
      <c r="NK30" s="37">
        <f>IF($CR30="P",CA30,(CA30+AW30)/2)</f>
        <v>6.79</v>
      </c>
      <c r="NL30" s="37">
        <f>IF($CR30="P",CB30,(CB30+AX30)/2)</f>
        <v>0</v>
      </c>
      <c r="NM30" s="37">
        <f>IF($CR30="P",CC30,(CC30+AY30)/2)</f>
        <v>1.1000000000000001</v>
      </c>
      <c r="NN30" s="37">
        <f>IF($CR30="P",CD30,(CD30+AZ30)/2)</f>
        <v>0.85</v>
      </c>
      <c r="NO30" s="37">
        <f>IF($CR30="P",CE30,(CE30+BA30)/2)</f>
        <v>1</v>
      </c>
      <c r="NP30" s="37">
        <f>IF($CR30="P",CF30,(CF30+BB30)/2)</f>
        <v>1.42</v>
      </c>
      <c r="NQ30" s="37">
        <f>IF($CR30="P",CG30,(CG30+BC30)/2)</f>
        <v>0</v>
      </c>
      <c r="NR30" s="37">
        <f>IF($CR30="P",CH30,(CH30+BD30)/2)</f>
        <v>0</v>
      </c>
      <c r="NS30" s="37">
        <f>IF($CR30="P",CI30,(CI30+BE30)/2)</f>
        <v>0</v>
      </c>
      <c r="NT30" s="37">
        <f>IF($CR30="P",CJ30,(CJ30+BF30)/2)</f>
        <v>0</v>
      </c>
      <c r="NU30" s="37">
        <f>IF($CR30="P",CK30,(CK30+BG30)/2)</f>
        <v>0</v>
      </c>
      <c r="NV30" s="37">
        <f>IF($CR30="P",CL30,(CL30+BH30)/2)</f>
        <v>0</v>
      </c>
      <c r="NW30" s="37">
        <f>IF($CR30="P",CM30,(CM30+BI30)/2)</f>
        <v>0</v>
      </c>
      <c r="NX30" s="37">
        <f>IF($CR30="P",CN30,(CN30+BJ30)/2)</f>
        <v>0</v>
      </c>
      <c r="NY30" s="37">
        <f>IF($CR30="P",CO30,(CO30+BK30)/2)</f>
        <v>0</v>
      </c>
      <c r="NZ30" s="37">
        <f>IF($CR30="P",CP30,(CP30+BL30)/2)</f>
        <v>0</v>
      </c>
      <c r="OA30" s="37">
        <f>IF($CR30="P",CQ30,(CQ30+BM30)/2)</f>
        <v>0</v>
      </c>
      <c r="OB30" s="44" t="s">
        <v>46</v>
      </c>
      <c r="OC30" s="11">
        <f>IF(SUM(NH30:NK30)-NL30&gt;0,SUM(NH30:NK30)-NL30,"")</f>
        <v>19.239999999999998</v>
      </c>
      <c r="OD30" s="11">
        <f>IF(NO30&gt;0,NO30,"")</f>
        <v>1</v>
      </c>
      <c r="OE30" s="11">
        <f>IF(SUM(NM30:NP30)-NQ30&gt;0,SUM(NM30:NP30)-NQ30,"")</f>
        <v>4.37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23.61</v>
      </c>
      <c r="OI30" s="11" t="str">
        <f>IF(NY30&gt;0,NY30,"")</f>
        <v/>
      </c>
      <c r="OJ30" s="11" t="str">
        <f t="shared" ref="OJ30" si="46">IF(SUM(NW30:NZ30)-OA30&gt;0,SUM(NW30:NZ30)-OA30,"")</f>
        <v/>
      </c>
      <c r="OK30" s="11">
        <f t="shared" ref="OK30" si="47">IF(SUM(OH30,OJ30)&gt;0,SUM(OH30,OJ30),"")</f>
        <v>23.61</v>
      </c>
    </row>
    <row r="31" spans="1:401" x14ac:dyDescent="0.2">
      <c r="A31" s="5" t="str" cm="1">
        <f t="array" ref="A31">IF(AND(F31="P",G31="P"),SUMPRODUCT((F$4:F$33="P")*(G$4:G$33="P")*(E$4:E$33&gt;E31))+1,IF(G31="P",SUMPRODUCT((F$4:F$33="")*(G$4:G$33="P")*(E$4:E$33&gt;E31))+1+SUMPRODUCT((F$4:F$33="P")*(G$4:G$33="P")),""))</f>
        <v/>
      </c>
      <c r="B31" s="6" t="s">
        <v>112</v>
      </c>
      <c r="C31" s="7" t="s">
        <v>4</v>
      </c>
      <c r="D31" s="21">
        <v>2002</v>
      </c>
      <c r="E31" s="15">
        <f>SUM(I31:M31)</f>
        <v>0</v>
      </c>
      <c r="F31" s="3" t="str">
        <f>IF(OR(AND(AL31&gt;=AS$35,AM31&gt;=AS$39,AL31&lt;&gt;"",AJ31=""),AND(AN31&gt;=AS$35,AO31&gt;=AS$39,AN31&lt;&gt;"",AN31=""),AND(AQ31&gt;=AS$35,AR31&gt;=AS$39,AQ31&lt;&gt;"",AJ31=""),AND(BP31&gt;=BW$35,BQ31&gt;=BW$39,BP31&lt;&gt;"",BN31=""),AND(BR31&gt;=BW$35,BS31&gt;=BW$39,BR31&lt;&gt;"",BN31=""),AND(BU31&gt;=BW$35,BV31&gt;=BW$39,BU31&lt;&gt;"",BN31=""),AND(CT31&gt;=DA$35,CU31&gt;=DA$39,CT31&lt;&gt;"",CR31=""),AND(CV31&gt;=DA$35,CW31&gt;=DA$39,CV31&lt;&gt;"",CR31=""),AND(CY31&gt;=DA$35,CZ31&gt;=DA$39,CY31&lt;&gt;"",CR31=""),AND(DS31&gt;=DY$35,DU31&gt;=DY$39,DS31&lt;&gt;""),AND(DW31&gt;=DY$35,DX31&gt;=DY$39,DW31&lt;&gt;""),AND(EO31&gt;=EU$35,EQ31&gt;=EU$39,EO31&lt;&gt;""),AND(ES31&gt;=EU$35,ET31&gt;=EU$39,ES31&lt;&gt;""),AND(FK31&gt;=FQ$35,FM31&gt;=FQ$39,FK31&lt;&gt;""),AND(FO31&gt;=FQ$35,FP31&gt;=FQ$39,FO31&lt;&gt;""),AND(GG31&gt;=GM$35,GI31&gt;=GM$39,GG31&lt;&gt;""),AND(GK31&gt;=GM$35,GL31&gt;=GM$39,GK31&lt;&gt;""),AND(HC31&gt;=HI$35,HE31&gt;=HI$39,HC31&lt;&gt;""),AND(HG31&gt;=HI$35,HH31&gt;=HI$39,HG31&lt;&gt;""),AND(HY31&gt;=IE$35,IA31&gt;=IE$39,HY31&lt;&gt;""),AND(IC31&gt;=IE$35,ID31&gt;=IE$39,IC31&lt;&gt;""),AND(IU31&gt;=JA$35,IW31&gt;=JA$39,IU31&lt;&gt;""),AND(IY31&gt;=JA$35,IZ31&gt;=JA$39,IY31&lt;&gt;""),AND(JQ31&gt;=JW$35,JS31&gt;=JW$39,JQ31&lt;&gt;""),AND(JU31&gt;=JW$35,JV31&gt;=JW$39,JU31&lt;&gt;""),AND(KM31&gt;=KS$35,KO31&gt;=KS$39,KM31&lt;&gt;""),AND(KQ31&gt;=KS$35,KR31&gt;=KS$39,KQ31&lt;&gt;""),AND(LI31&gt;=LO$35,LK31&gt;=LO$39,LI31&lt;&gt;""),AND(LM31&gt;=LO$35,LN31&gt;=LO$39,LM31&lt;&gt;""),AND(ME31&gt;=MK$35,MG31&gt;=MK$39,ME31&lt;&gt;""),AND(MI31&gt;=MK$35,MJ31&gt;=MK$39,MI31&lt;&gt;""),AND(NA31&gt;=NG$35,NC31&gt;=NG$39,NA31&lt;&gt;""),AND(NE31&gt;=NG$35,NF31&gt;=NG$39,NE31&lt;&gt;"")),"P","")</f>
        <v/>
      </c>
      <c r="G31" s="3" t="str">
        <f>IF(OR(AND(AM31&gt;=AS$39,AL31&lt;&gt;"",AJ31=""),AND(AO31&gt;=AS$39,AN31&lt;&gt;"",AN31=""),AND(AR31&gt;=AS$39,AQ31&lt;&gt;"",AJ31=""),AND(BQ31&gt;=BW$39,BP31&lt;&gt;"",BN31=""),AND(BS31&gt;=BW$39,BR31&lt;&gt;"",BN31=""),AND(BV31&gt;=BW$39,BU31&lt;&gt;"",BN31=""),AND(CU31&gt;=DA$39,CT31&lt;&gt;"",CR31=""),AND(CW31&gt;=DA$39,CV31&lt;&gt;"",CR31=""),AND(CZ31&gt;=DA$39,CY31&lt;&gt;"",CR31=""),AND(DU31&gt;=DY$39,DS31&lt;&gt;""),AND(DX31&gt;=DY$39,DW31&lt;&gt;""),AND(EQ31&gt;=EU$39,EO31&lt;&gt;""),AND(ET31&gt;=EU$39,ES31&lt;&gt;""),AND(FM31&gt;=FQ$39,FK31&lt;&gt;""),AND(FP31&gt;=FQ$39,FO31&lt;&gt;""),AND(GI31&gt;=GM$39,GG31&lt;&gt;""),AND(GL31&gt;=GM$39,GK31&lt;&gt;""),AND(HE31&gt;=HI$39,HC31&lt;&gt;""),AND(HH31&gt;=HI$39,HG31&lt;&gt;""),AND(IA31&gt;=IE$39,HY31&lt;&gt;""),AND(ID31&gt;=IE$39,IC31&lt;&gt;""),AND(IW31&gt;=JA$39,IU31&lt;&gt;""),AND(IZ31&gt;=JA$39,IY31&lt;&gt;""),AND(JS31&gt;=JW$39,JQ31&lt;&gt;""),AND(JV31&gt;=JW$39,JU31&lt;&gt;""),AND(KO31&gt;=KS$39,KM31&lt;&gt;""),AND(KR31&gt;=KS$39,KQ31&lt;&gt;""),AND(LK31&gt;=LO$39,LI31&lt;&gt;""),AND(LN31&gt;=LO$39,LM31&lt;&gt;""),AND(MG31&gt;=MK$39,ME31&lt;&gt;""),AND(MJ31&gt;=MK$39,MI31&lt;&gt;""),AND(NC31&gt;=NG$39,NA31&lt;&gt;""),AND(NF31&gt;=NG$39,NE31&lt;&gt;"")),"P","")</f>
        <v/>
      </c>
      <c r="H31" s="66" t="str">
        <f>IF(F31="P","National Team",IF(G31="P","No DD",""))</f>
        <v/>
      </c>
      <c r="I31" s="14">
        <f>MAX(AM31,AO31,AR31,BQ31,BS31,BV31,CU31,CW31,CZ31)</f>
        <v>0</v>
      </c>
      <c r="J31" s="14" t="str">
        <f>IF(I31=0,"",IF(OR(I31=CW31,I31=CU31,I31=CZ31),$BX$1,IF(OR(I31=BS31,I31=BQ31,I31=BV31),$AT$1,IF(OR(I31=AO31,I31=AM31,I31=AR31),$P$1,""))))</f>
        <v/>
      </c>
      <c r="K31" s="14">
        <f>IF(COUNT(AM31,AO31,AR31,BQ31,BS31,BV31,CU31,CW31,CZ31)&gt;1,LARGE((AM31,AO31,AR31,BQ31,BS31,BV31,CU31,CW31,CZ31),2),0)</f>
        <v>0</v>
      </c>
      <c r="L31" s="14" t="str">
        <f>IF(K31=0,"",IF(OR(K31=CW31,K31=CU31,K31=CZ31),$BX$1,IF(OR(K31=BS31,K31=BQ31,K31=BV31),$AT$1,IF(OR(K31=AO31,K31=AM31,K31=AR31),$P$1,""))))</f>
        <v/>
      </c>
      <c r="M31" s="14" t="str">
        <f>IF(MAX(DB31,DC31)&gt;0,MAX(DB31,DC31),"")</f>
        <v/>
      </c>
      <c r="N31" s="19" t="str">
        <f>IF(M31="","",IF(M31=DB31,"(Prelim)",IF(M31=DC31,"(Final)")))</f>
        <v/>
      </c>
      <c r="O31" s="14" t="str">
        <f>IF(M31="","",IF(M31=DB31,IF(M31+IF(K31="",0,K31)=NC31,$ML$1,IF(M31+IF(K31="",0,K31)=MG31,$LP$1,IF(M31+IF(K31="",0,K31)=LK31,$KT$1,IF(M31+IF(K31="",0,K31)=KO31,$JX$1,IF(M31+IF(K31="",0,K31)=JS31,$JB$1,IF(M31+IF(K31="",0,K31)=IW31,$IF$1,IF(M31+IF(K31="",0,K31)=IA31,$HJ$1,IF(M31+IF(K31="",0,K31)=HE31,$GN$1,IF(M31+IF(K31="",0,K31)=GI31,$FR$1,IF(M31+IF(K31="",0,K31)=FM31,$EV$1,IF(M31+IF(K31="",0,K31)=EQ31,$DZ$1,IF(M31+IF(K31="",0,K31)=DU31,$DD$1,IF(M31+IF(K31="",0,K31)=NB31,$ML$1,IF(M31+IF(K31="",0,K31)=MF31,$LP$1,IF(M31+IF(K31="",0,K31)=LJ31,$KT$1,IF(M31+IF(K31="",0,K31)=KN31,$JX$1,IF(M31+IF(K31="",0,K31)=JR31,$JB$1,IF(M31+IF(K31="",0,K31)=IV31,$IF$1,IF(M31+IF(K31="",0,K31)=HZ31,$HJ$1,IF(M31+IF(K31="",0,K31)=HD31,$GN$1,IF(M31+IF(K31="",0,K31)=GH31,$FR$1,IF(M31+IF(K31="",0,K31)=FL31,$EV$1,IF(M31+IF(K31="",0,K31)=EP31,$DZ$1,IF(M31+IF(K31="",0,K31)=DT31,$DD$1))))))))))))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</f>
        <v/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 t="str">
        <f>IF(SUM(P31:S31)-T31&gt;0,SUM(P31:S31)-T31,"")</f>
        <v/>
      </c>
      <c r="AL31" s="11" t="str">
        <f>IF(W31&gt;0,W31,"")</f>
        <v/>
      </c>
      <c r="AM31" s="11" t="str">
        <f>IF(SUM(U31:X31)-Y31&gt;0,SUM(U31:X31)-Y31,"")</f>
        <v/>
      </c>
      <c r="AN31" s="11" t="str">
        <f>IF(AB31&gt;0,AB31,"")</f>
        <v/>
      </c>
      <c r="AO31" s="11" t="str">
        <f>IF(SUM(Z31:AC31)-AD31&gt;0,SUM(Z31:AC31)-AD31,"")</f>
        <v/>
      </c>
      <c r="AP31" s="11" t="str">
        <f>IF(AK31="",IF(MAX(AM31,AO31)&gt;0,MAX(AM31,AO31),""),MAX(AM31,AO31)+AK31)</f>
        <v/>
      </c>
      <c r="AQ31" s="11" t="str">
        <f>IF(AG31&gt;0,AG31,"")</f>
        <v/>
      </c>
      <c r="AR31" s="11" t="str">
        <f>IF(SUM(AE31:AH31)-AI31&gt;0,SUM(AE31:AH31)-AI31,"")</f>
        <v/>
      </c>
      <c r="AS31" s="11" t="str">
        <f>IF(SUM(AP31,AR31)&gt;0,SUM(AP31,AR31),"")</f>
        <v/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>IF(SUM(AT31:AW31)-AX31&gt;0,SUM(AT31:AW31)-AX31,"")</f>
        <v/>
      </c>
      <c r="BP31" s="14" t="str">
        <f>IF(BA31&gt;0,BA31,"")</f>
        <v/>
      </c>
      <c r="BQ31" s="14" t="str">
        <f>IF(SUM(AY31:BB31)-BC31&gt;0,SUM(AY31:BB31)-BC31,"")</f>
        <v/>
      </c>
      <c r="BR31" s="14" t="str">
        <f>IF(BF31&gt;0,BF31,"")</f>
        <v/>
      </c>
      <c r="BS31" s="14" t="str">
        <f>IF(SUM(BD31:BG31)-BH31&gt;0,SUM(BD31:BG31)-BH31,"")</f>
        <v/>
      </c>
      <c r="BT31" s="14" t="str">
        <f>IF(BO31="",IF(MAX(BQ31,BS31)&gt;0,MAX(BQ31,BS31),""),MAX(BQ31,BS31)+BO31)</f>
        <v/>
      </c>
      <c r="BU31" s="14" t="str">
        <f>IF(BK31&gt;0,BK31,"")</f>
        <v/>
      </c>
      <c r="BV31" s="14" t="str">
        <f>IF(SUM(BI31:BL31)-BM31&gt;0,SUM(BI31:BL31)-BM31,"")</f>
        <v/>
      </c>
      <c r="BW31" s="14" t="str">
        <f>IF(SUM(BT31,BV31)&gt;0,SUM(BT31,BV31),"")</f>
        <v/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>IF(SUM(BX31:CA31)-CB31&gt;0,SUM(BX31:CA31)-CB31,"")</f>
        <v/>
      </c>
      <c r="CT31" s="11" t="str">
        <f>IF(CE31&gt;0,CE31,"")</f>
        <v/>
      </c>
      <c r="CU31" s="11" t="str">
        <f>IF(SUM(CC31:CF31)-CG31&gt;0,SUM(CC31:CF31)-CG31,"")</f>
        <v/>
      </c>
      <c r="CV31" s="11" t="str">
        <f>IF(CJ31&gt;0,CJ31,"")</f>
        <v/>
      </c>
      <c r="CW31" s="11" t="str">
        <f>IF(SUM(CH31:CK31)-CL31&gt;0,SUM(CH31:CK31)-CL31,"")</f>
        <v/>
      </c>
      <c r="CX31" s="11" t="str">
        <f>IF(CS31="",IF(MAX(CU31,CW31)&gt;0,MAX(CU31,CW31),""),MAX(CU31,CW31)+CS31)</f>
        <v/>
      </c>
      <c r="CY31" s="11" t="str">
        <f>IF(CO31&gt;0,CO31,"")</f>
        <v/>
      </c>
      <c r="CZ31" s="11" t="str">
        <f>IF(SUM(CM31:CP31)-CQ31&gt;0,SUM(CM31:CP31)-CQ31,"")</f>
        <v/>
      </c>
      <c r="DA31" s="11" t="str">
        <f>IF(SUM(CX31,CZ31)&gt;0,SUM(CX31,CZ31),"")</f>
        <v/>
      </c>
      <c r="DB31" s="18" t="str">
        <f>IF(K31&gt;=0.001,IF(MAX(DT31,DU31,EP31,EQ31,FL31,FM31,GH31,GI31,HD31,HE31,HZ31,IA31,IV31,IW31,JR31,JS31,KN31,KO31,LJ31,LK31,MF31,MG31,NB31,NC31)-IF(K31="",0,K31)&gt;0.001,MAX(DT31,DU31,EP31,EQ31,FL31,FM31,GH31,GI31,HD31,HE31,HZ31,IA31,IV31,IW31,JR31,JS31,KN31,KO31,LJ31,LK31,MF31,MG31,NB31,NC31)-IF(K31="",0,K31),""),"")</f>
        <v/>
      </c>
      <c r="DC31" s="18" t="str">
        <f>IF(K31&gt;=0.001,IF(MAX(DX31,ET31,FP31,GL31,HH31,ID31,IZ31,JV31,KR31,LN31,MJ31,NF31)-IF(K31="",0,K31)&gt;0.001,MAX(DX31,ET31,FP31,GL31,HH31,ID31,IZ31,JV31,KR31,LN31,MJ31,NF31)-IF(K31="",0,K31),""),"")</f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7">
        <f>IF($CR31="P",BX31,(BX31+AT31)/2)</f>
        <v>0</v>
      </c>
      <c r="NI31" s="37">
        <f>IF($CR31="P",BY31,(BY31+AU31)/2)</f>
        <v>0</v>
      </c>
      <c r="NJ31" s="37">
        <f>IF($CR31="P",BZ31,(BZ31+AV31)/2)</f>
        <v>0</v>
      </c>
      <c r="NK31" s="37">
        <f>IF($CR31="P",CA31,(CA31+AW31)/2)</f>
        <v>0</v>
      </c>
      <c r="NL31" s="37">
        <f>IF($CR31="P",CB31,(CB31+AX31)/2)</f>
        <v>0</v>
      </c>
      <c r="NM31" s="37">
        <f>IF($CR31="P",CC31,(CC31+AY31)/2)</f>
        <v>0</v>
      </c>
      <c r="NN31" s="37">
        <f>IF($CR31="P",CD31,(CD31+AZ31)/2)</f>
        <v>0</v>
      </c>
      <c r="NO31" s="37">
        <f>IF($CR31="P",CE31,(CE31+BA31)/2)</f>
        <v>0</v>
      </c>
      <c r="NP31" s="37">
        <f>IF($CR31="P",CF31,(CF31+BB31)/2)</f>
        <v>0</v>
      </c>
      <c r="NQ31" s="37">
        <f>IF($CR31="P",CG31,(CG31+BC31)/2)</f>
        <v>0</v>
      </c>
      <c r="NR31" s="37">
        <f>IF($CR31="P",CH31,(CH31+BD31)/2)</f>
        <v>0</v>
      </c>
      <c r="NS31" s="37">
        <f>IF($CR31="P",CI31,(CI31+BE31)/2)</f>
        <v>0</v>
      </c>
      <c r="NT31" s="37">
        <f>IF($CR31="P",CJ31,(CJ31+BF31)/2)</f>
        <v>0</v>
      </c>
      <c r="NU31" s="37">
        <f>IF($CR31="P",CK31,(CK31+BG31)/2)</f>
        <v>0</v>
      </c>
      <c r="NV31" s="37">
        <f>IF($CR31="P",CL31,(CL31+BH31)/2)</f>
        <v>0</v>
      </c>
      <c r="NW31" s="37">
        <f>IF($CR31="P",CM31,(CM31+BI31)/2)</f>
        <v>0</v>
      </c>
      <c r="NX31" s="37">
        <f>IF($CR31="P",CN31,(CN31+BJ31)/2)</f>
        <v>0</v>
      </c>
      <c r="NY31" s="37">
        <f>IF($CR31="P",CO31,(CO31+BK31)/2)</f>
        <v>0</v>
      </c>
      <c r="NZ31" s="37">
        <f>IF($CR31="P",CP31,(CP31+BL31)/2)</f>
        <v>0</v>
      </c>
      <c r="OA31" s="37">
        <f>IF($CR31="P",CQ31,(CQ31+BM31)/2)</f>
        <v>0</v>
      </c>
      <c r="OB31" s="44" t="s">
        <v>46</v>
      </c>
      <c r="OC31" s="11" t="str">
        <f>IF(SUM(NH31:NK31)-NL31&gt;0,SUM(NH31:NK31)-NL31,"")</f>
        <v/>
      </c>
      <c r="OD31" s="11" t="str">
        <f>IF(NO31&gt;0,NO31,"")</f>
        <v/>
      </c>
      <c r="OE31" s="11" t="str">
        <f>IF(SUM(NM31:NP31)-NQ31&gt;0,SUM(NM31:NP31)-NQ31,"")</f>
        <v/>
      </c>
      <c r="OF31" s="11" t="str">
        <f>IF(NT31&gt;0,NT31,"")</f>
        <v/>
      </c>
      <c r="OG31" s="11" t="str">
        <f>IF(SUM(NR31:NU31)-NV31&gt;0,SUM(NR31:NU31)-NV31,"")</f>
        <v/>
      </c>
      <c r="OH31" s="11" t="str">
        <f>IF(OR(OC31&lt;&gt;"",OE31&lt;&gt;"",OG31&lt;&gt;""),OC31+MAX(OE31,OG31),"")</f>
        <v/>
      </c>
      <c r="OI31" s="11" t="str">
        <f>IF(NY31&gt;0,NY31,"")</f>
        <v/>
      </c>
      <c r="OJ31" s="11" t="str">
        <f t="shared" ref="OJ31" si="48">IF(SUM(NW31:NZ31)-OA31&gt;0,SUM(NW31:NZ31)-OA31,"")</f>
        <v/>
      </c>
      <c r="OK31" s="11" t="str">
        <f t="shared" ref="OK31" si="49">IF(SUM(OH31,OJ31)&gt;0,SUM(OH31,OJ31),"")</f>
        <v/>
      </c>
    </row>
    <row r="32" spans="1:401" x14ac:dyDescent="0.2">
      <c r="A32" s="5" t="str" cm="1">
        <f t="array" ref="A32">IF(AND(F32="P",G32="P"),SUMPRODUCT((F$4:F$33="P")*(G$4:G$33="P")*(E$4:E$33&gt;E32))+1,IF(G32="P",SUMPRODUCT((F$4:F$33="")*(G$4:G$33="P")*(E$4:E$33&gt;E32))+1+SUMPRODUCT((F$4:F$33="P")*(G$4:G$33="P")),""))</f>
        <v/>
      </c>
      <c r="B32" s="8" t="s">
        <v>82</v>
      </c>
      <c r="C32" s="4" t="s">
        <v>81</v>
      </c>
      <c r="D32" s="21">
        <v>2002</v>
      </c>
      <c r="E32" s="15">
        <f>SUM(I32:M32)</f>
        <v>0</v>
      </c>
      <c r="F32" s="3" t="str">
        <f>IF(OR(AND(AL32&gt;=AS$35,AM32&gt;=AS$39,AL32&lt;&gt;"",AJ32=""),AND(AN32&gt;=AS$35,AO32&gt;=AS$39,AN32&lt;&gt;"",AN32=""),AND(AQ32&gt;=AS$35,AR32&gt;=AS$39,AQ32&lt;&gt;"",AJ32=""),AND(BP32&gt;=BW$35,BQ32&gt;=BW$39,BP32&lt;&gt;"",BN32=""),AND(BR32&gt;=BW$35,BS32&gt;=BW$39,BR32&lt;&gt;"",BN32=""),AND(BU32&gt;=BW$35,BV32&gt;=BW$39,BU32&lt;&gt;"",BN32=""),AND(CT32&gt;=DA$35,CU32&gt;=DA$39,CT32&lt;&gt;"",CR32=""),AND(CV32&gt;=DA$35,CW32&gt;=DA$39,CV32&lt;&gt;"",CR32=""),AND(CY32&gt;=DA$35,CZ32&gt;=DA$39,CY32&lt;&gt;"",CR32=""),AND(DS32&gt;=DY$35,DU32&gt;=DY$39,DS32&lt;&gt;""),AND(DW32&gt;=DY$35,DX32&gt;=DY$39,DW32&lt;&gt;""),AND(EO32&gt;=EU$35,EQ32&gt;=EU$39,EO32&lt;&gt;""),AND(ES32&gt;=EU$35,ET32&gt;=EU$39,ES32&lt;&gt;""),AND(FK32&gt;=FQ$35,FM32&gt;=FQ$39,FK32&lt;&gt;""),AND(FO32&gt;=FQ$35,FP32&gt;=FQ$39,FO32&lt;&gt;""),AND(GG32&gt;=GM$35,GI32&gt;=GM$39,GG32&lt;&gt;""),AND(GK32&gt;=GM$35,GL32&gt;=GM$39,GK32&lt;&gt;""),AND(HC32&gt;=HI$35,HE32&gt;=HI$39,HC32&lt;&gt;""),AND(HG32&gt;=HI$35,HH32&gt;=HI$39,HG32&lt;&gt;""),AND(HY32&gt;=IE$35,IA32&gt;=IE$39,HY32&lt;&gt;""),AND(IC32&gt;=IE$35,ID32&gt;=IE$39,IC32&lt;&gt;""),AND(IU32&gt;=JA$35,IW32&gt;=JA$39,IU32&lt;&gt;""),AND(IY32&gt;=JA$35,IZ32&gt;=JA$39,IY32&lt;&gt;""),AND(JQ32&gt;=JW$35,JS32&gt;=JW$39,JQ32&lt;&gt;""),AND(JU32&gt;=JW$35,JV32&gt;=JW$39,JU32&lt;&gt;""),AND(KM32&gt;=KS$35,KO32&gt;=KS$39,KM32&lt;&gt;""),AND(KQ32&gt;=KS$35,KR32&gt;=KS$39,KQ32&lt;&gt;""),AND(LI32&gt;=LO$35,LK32&gt;=LO$39,LI32&lt;&gt;""),AND(LM32&gt;=LO$35,LN32&gt;=LO$39,LM32&lt;&gt;""),AND(ME32&gt;=MK$35,MG32&gt;=MK$39,ME32&lt;&gt;""),AND(MI32&gt;=MK$35,MJ32&gt;=MK$39,MI32&lt;&gt;""),AND(NA32&gt;=NG$35,NC32&gt;=NG$39,NA32&lt;&gt;""),AND(NE32&gt;=NG$35,NF32&gt;=NG$39,NE32&lt;&gt;"")),"P","")</f>
        <v/>
      </c>
      <c r="G32" s="3" t="str">
        <f>IF(OR(AND(AM32&gt;=AS$39,AL32&lt;&gt;"",AJ32=""),AND(AO32&gt;=AS$39,AN32&lt;&gt;"",AN32=""),AND(AR32&gt;=AS$39,AQ32&lt;&gt;"",AJ32=""),AND(BQ32&gt;=BW$39,BP32&lt;&gt;"",BN32=""),AND(BS32&gt;=BW$39,BR32&lt;&gt;"",BN32=""),AND(BV32&gt;=BW$39,BU32&lt;&gt;"",BN32=""),AND(CU32&gt;=DA$39,CT32&lt;&gt;"",CR32=""),AND(CW32&gt;=DA$39,CV32&lt;&gt;"",CR32=""),AND(CZ32&gt;=DA$39,CY32&lt;&gt;"",CR32=""),AND(DU32&gt;=DY$39,DS32&lt;&gt;""),AND(DX32&gt;=DY$39,DW32&lt;&gt;""),AND(EQ32&gt;=EU$39,EO32&lt;&gt;""),AND(ET32&gt;=EU$39,ES32&lt;&gt;""),AND(FM32&gt;=FQ$39,FK32&lt;&gt;""),AND(FP32&gt;=FQ$39,FO32&lt;&gt;""),AND(GI32&gt;=GM$39,GG32&lt;&gt;""),AND(GL32&gt;=GM$39,GK32&lt;&gt;""),AND(HE32&gt;=HI$39,HC32&lt;&gt;""),AND(HH32&gt;=HI$39,HG32&lt;&gt;""),AND(IA32&gt;=IE$39,HY32&lt;&gt;""),AND(ID32&gt;=IE$39,IC32&lt;&gt;""),AND(IW32&gt;=JA$39,IU32&lt;&gt;""),AND(IZ32&gt;=JA$39,IY32&lt;&gt;""),AND(JS32&gt;=JW$39,JQ32&lt;&gt;""),AND(JV32&gt;=JW$39,JU32&lt;&gt;""),AND(KO32&gt;=KS$39,KM32&lt;&gt;""),AND(KR32&gt;=KS$39,KQ32&lt;&gt;""),AND(LK32&gt;=LO$39,LI32&lt;&gt;""),AND(LN32&gt;=LO$39,LM32&lt;&gt;""),AND(MG32&gt;=MK$39,ME32&lt;&gt;""),AND(MJ32&gt;=MK$39,MI32&lt;&gt;""),AND(NC32&gt;=NG$39,NA32&lt;&gt;""),AND(NF32&gt;=NG$39,NE32&lt;&gt;"")),"P","")</f>
        <v/>
      </c>
      <c r="H32" s="66" t="str">
        <f>IF(F32="P","National Team",IF(G32="P","No DD",""))</f>
        <v/>
      </c>
      <c r="I32" s="14">
        <f>MAX(AM32,AO32,AR32,BQ32,BS32,BV32,CU32,CW32,CZ32)</f>
        <v>0</v>
      </c>
      <c r="J32" s="14" t="str">
        <f>IF(I32=0,"",IF(OR(I32=CW32,I32=CU32,I32=CZ32),$BX$1,IF(OR(I32=BS32,I32=BQ32,I32=BV32),$AT$1,IF(OR(I32=AO32,I32=AM32,I32=AR32),$P$1,""))))</f>
        <v/>
      </c>
      <c r="K32" s="14">
        <f>IF(COUNT(AM32,AO32,AR32,BQ32,BS32,BV32,CU32,CW32,CZ32)&gt;1,LARGE((AM32,AO32,AR32,BQ32,BS32,BV32,CU32,CW32,CZ32),2),0)</f>
        <v>0</v>
      </c>
      <c r="L32" s="14" t="str">
        <f>IF(K32=0,"",IF(OR(K32=CW32,K32=CU32,K32=CZ32),$BX$1,IF(OR(K32=BS32,K32=BQ32,K32=BV32),$AT$1,IF(OR(K32=AO32,K32=AM32,K32=AR32),$P$1,""))))</f>
        <v/>
      </c>
      <c r="M32" s="14" t="str">
        <f>IF(MAX(DB32,DC32)&gt;0,MAX(DB32,DC32),"")</f>
        <v/>
      </c>
      <c r="N32" s="19" t="str">
        <f>IF(M32="","",IF(M32=DB32,"(Prelim)",IF(M32=DC32,"(Final)")))</f>
        <v/>
      </c>
      <c r="O32" s="14" t="str">
        <f>IF(M32="","",IF(M32=DB32,IF(M32+IF(K32="",0,K32)=NC32,$ML$1,IF(M32+IF(K32="",0,K32)=MG32,$LP$1,IF(M32+IF(K32="",0,K32)=LK32,$KT$1,IF(M32+IF(K32="",0,K32)=KO32,$JX$1,IF(M32+IF(K32="",0,K32)=JS32,$JB$1,IF(M32+IF(K32="",0,K32)=IW32,$IF$1,IF(M32+IF(K32="",0,K32)=IA32,$HJ$1,IF(M32+IF(K32="",0,K32)=HE32,$GN$1,IF(M32+IF(K32="",0,K32)=GI32,$FR$1,IF(M32+IF(K32="",0,K32)=FM32,$EV$1,IF(M32+IF(K32="",0,K32)=EQ32,$DZ$1,IF(M32+IF(K32="",0,K32)=DU32,$DD$1,IF(M32+IF(K32="",0,K32)=NB32,$ML$1,IF(M32+IF(K32="",0,K32)=MF32,$LP$1,IF(M32+IF(K32="",0,K32)=LJ32,$KT$1,IF(M32+IF(K32="",0,K32)=KN32,$JX$1,IF(M32+IF(K32="",0,K32)=JR32,$JB$1,IF(M32+IF(K32="",0,K32)=IV32,$IF$1,IF(M32+IF(K32="",0,K32)=HZ32,$HJ$1,IF(M32+IF(K32="",0,K32)=HD32,$GN$1,IF(M32+IF(K32="",0,K32)=GH32,$FR$1,IF(M32+IF(K32="",0,K32)=FL32,$EV$1,IF(M32+IF(K32="",0,K32)=EP32,$DZ$1,IF(M32+IF(K32="",0,K32)=DT32,$DD$1)))))))))))))))))))))))),IF(M32=DC32,IF(M32+IF(K32="",0,K32)=NF32,$ML$1,IF(M32+IF(K32="",0,K32)=MJ32,$LP$1,IF(M32+IF(K32="",0,K32)=LN32,$KT$1,IF(M32+IF(K32="",0,K32)=KR32,$JX$1,IF(M32+IF(K32="",0,K32)=JV32,$JB$1,IF(M32+IF(K32="",0,K32)=IZ32,$IF$1,IF(M32+IF(K32="",0,K32)=ID32,$HJ$1,IF(M32+IF(K32="",0,K32)=HH32,$GN$1,IF(M32+IF(K32="",0,K32)=GL32,$FR$1,IF(M32+IF(K32="",0,K32)=FP32,$EV$1,IF(M32+IF(K32="",0,K32)=ET32,$DZ$1,IF(M32+IF(K32="",0,K32)=DX32,$DD$1)))))))))))))))</f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>IF(SUM(P32:S32)-T32&gt;0,SUM(P32:S32)-T32,"")</f>
        <v/>
      </c>
      <c r="AL32" s="11" t="str">
        <f>IF(W32&gt;0,W32,"")</f>
        <v/>
      </c>
      <c r="AM32" s="11" t="str">
        <f>IF(SUM(U32:X32)-Y32&gt;0,SUM(U32:X32)-Y32,"")</f>
        <v/>
      </c>
      <c r="AN32" s="11" t="str">
        <f>IF(AB32&gt;0,AB32,"")</f>
        <v/>
      </c>
      <c r="AO32" s="11" t="str">
        <f>IF(SUM(Z32:AC32)-AD32&gt;0,SUM(Z32:AC32)-AD32,"")</f>
        <v/>
      </c>
      <c r="AP32" s="11" t="str">
        <f>IF(AK32="",IF(MAX(AM32,AO32)&gt;0,MAX(AM32,AO32),""),MAX(AM32,AO32)+AK32)</f>
        <v/>
      </c>
      <c r="AQ32" s="11" t="str">
        <f>IF(AG32&gt;0,AG32,"")</f>
        <v/>
      </c>
      <c r="AR32" s="11" t="str">
        <f>IF(SUM(AE32:AH32)-AI32&gt;0,SUM(AE32:AH32)-AI32,"")</f>
        <v/>
      </c>
      <c r="AS32" s="11" t="str">
        <f>IF(SUM(AP32,AR32)&gt;0,SUM(AP32,AR32),"")</f>
        <v/>
      </c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 t="str">
        <f>IF(SUM(AT32:AW32)-AX32&gt;0,SUM(AT32:AW32)-AX32,"")</f>
        <v/>
      </c>
      <c r="BP32" s="14" t="str">
        <f>IF(BA32&gt;0,BA32,"")</f>
        <v/>
      </c>
      <c r="BQ32" s="14" t="str">
        <f>IF(SUM(AY32:BB32)-BC32&gt;0,SUM(AY32:BB32)-BC32,"")</f>
        <v/>
      </c>
      <c r="BR32" s="14" t="str">
        <f>IF(BF32&gt;0,BF32,"")</f>
        <v/>
      </c>
      <c r="BS32" s="14" t="str">
        <f>IF(SUM(BD32:BG32)-BH32&gt;0,SUM(BD32:BG32)-BH32,"")</f>
        <v/>
      </c>
      <c r="BT32" s="14" t="str">
        <f>IF(BO32="",IF(MAX(BQ32,BS32)&gt;0,MAX(BQ32,BS32),""),MAX(BQ32,BS32)+BO32)</f>
        <v/>
      </c>
      <c r="BU32" s="14" t="str">
        <f>IF(BK32&gt;0,BK32,"")</f>
        <v/>
      </c>
      <c r="BV32" s="14" t="str">
        <f>IF(SUM(BI32:BL32)-BM32&gt;0,SUM(BI32:BL32)-BM32,"")</f>
        <v/>
      </c>
      <c r="BW32" s="14" t="str">
        <f>IF(SUM(BT32,BV32)&gt;0,SUM(BT32,BV32),"")</f>
        <v/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>IF(SUM(BX32:CA32)-CB32&gt;0,SUM(BX32:CA32)-CB32,"")</f>
        <v/>
      </c>
      <c r="CT32" s="11" t="str">
        <f>IF(CE32&gt;0,CE32,"")</f>
        <v/>
      </c>
      <c r="CU32" s="11" t="str">
        <f>IF(SUM(CC32:CF32)-CG32&gt;0,SUM(CC32:CF32)-CG32,"")</f>
        <v/>
      </c>
      <c r="CV32" s="11" t="str">
        <f>IF(CJ32&gt;0,CJ32,"")</f>
        <v/>
      </c>
      <c r="CW32" s="11" t="str">
        <f>IF(SUM(CH32:CK32)-CL32&gt;0,SUM(CH32:CK32)-CL32,"")</f>
        <v/>
      </c>
      <c r="CX32" s="11" t="str">
        <f>IF(CS32="",IF(MAX(CU32,CW32)&gt;0,MAX(CU32,CW32),""),MAX(CU32,CW32)+CS32)</f>
        <v/>
      </c>
      <c r="CY32" s="11" t="str">
        <f>IF(CO32&gt;0,CO32,"")</f>
        <v/>
      </c>
      <c r="CZ32" s="11" t="str">
        <f>IF(SUM(CM32:CP32)-CQ32&gt;0,SUM(CM32:CP32)-CQ32,"")</f>
        <v/>
      </c>
      <c r="DA32" s="11" t="str">
        <f>IF(SUM(CX32,CZ32)&gt;0,SUM(CX32,CZ32),"")</f>
        <v/>
      </c>
      <c r="DB32" s="18" t="str">
        <f>IF(K32&gt;=0.001,IF(MAX(DT32,DU32,EP32,EQ32,FL32,FM32,GH32,GI32,HD32,HE32,HZ32,IA32,IV32,IW32,JR32,JS32,KN32,KO32,LJ32,LK32,MF32,MG32,NB32,NC32)-IF(K32="",0,K32)&gt;0.001,MAX(DT32,DU32,EP32,EQ32,FL32,FM32,GH32,GI32,HD32,HE32,HZ32,IA32,IV32,IW32,JR32,JS32,KN32,KO32,LJ32,LK32,MF32,MG32,NB32,NC32)-IF(K32="",0,K32),""),"")</f>
        <v/>
      </c>
      <c r="DC32" s="18" t="str">
        <f>IF(K32&gt;=0.001,IF(MAX(DX32,ET32,FP32,GL32,HH32,ID32,IZ32,JV32,KR32,LN32,MJ32,NF32)-IF(K32="",0,K32)&gt;0.001,MAX(DX32,ET32,FP32,GL32,HH32,ID32,IZ32,JV32,KR32,LN32,MJ32,NF32)-IF(K32="",0,K32),""),"")</f>
        <v/>
      </c>
      <c r="DD32" s="24">
        <v>14.1</v>
      </c>
      <c r="DE32" s="24">
        <v>9.4</v>
      </c>
      <c r="DF32" s="24">
        <v>1.8</v>
      </c>
      <c r="DG32" s="24">
        <v>13.734999999999999</v>
      </c>
      <c r="DH32" s="24">
        <v>0</v>
      </c>
      <c r="DI32" s="24">
        <v>12.2</v>
      </c>
      <c r="DJ32" s="24">
        <v>9.1999999999999993</v>
      </c>
      <c r="DK32" s="24">
        <v>9.6999999999999993</v>
      </c>
      <c r="DL32" s="24">
        <v>12.965</v>
      </c>
      <c r="DM32" s="24">
        <v>0</v>
      </c>
      <c r="DN32" s="24"/>
      <c r="DO32" s="24"/>
      <c r="DP32" s="24"/>
      <c r="DQ32" s="24"/>
      <c r="DR32" s="24"/>
      <c r="DS32" s="11">
        <f>IF(DK32&gt;0,DK32,"")</f>
        <v>9.6999999999999993</v>
      </c>
      <c r="DT32" s="11">
        <f>IF(SUM(DD32:DG32)-DH32&gt;0,SUM(DD32:DG32)-DH32,"")</f>
        <v>39.034999999999997</v>
      </c>
      <c r="DU32" s="11">
        <f>IF(SUM(DI32:DL32)-DM32&gt;0,SUM(DI32:DL32)-DM32,"")</f>
        <v>44.064999999999998</v>
      </c>
      <c r="DV32" s="11">
        <f>IF(SUM(DT32:DU32)&gt;0,SUM(DT32:DU32),"")</f>
        <v>83.1</v>
      </c>
      <c r="DW32" s="11" t="str">
        <f>IF(DP32&gt;0,DP32,"")</f>
        <v/>
      </c>
      <c r="DX32" s="11" t="str">
        <f>IF(SUM(DN32:DQ32)-DR32&gt;0,SUM(DN32:DQ32)-DR32,"")</f>
        <v/>
      </c>
      <c r="DY32" s="11">
        <f>IF(SUM(DV32,DX32)&gt;0,SUM(DV32,DX32),"")</f>
        <v>83.1</v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>IF(EG32&gt;0,EG32,"")</f>
        <v/>
      </c>
      <c r="EP32" s="14" t="str">
        <f>IF(SUM(DZ32:EC32)-ED32&gt;0,SUM(DZ32:EC32)-ED32,"")</f>
        <v/>
      </c>
      <c r="EQ32" s="14" t="str">
        <f>IF(SUM(EE32:EH32)-EI32&gt;0,SUM(EE32:EH32)-EI32,"")</f>
        <v/>
      </c>
      <c r="ER32" s="14" t="str">
        <f>IF(SUM(EP32:EQ32)&gt;0,SUM(EP32:EQ32),"")</f>
        <v/>
      </c>
      <c r="ES32" s="14" t="str">
        <f>IF(EL32&gt;0,EL32,"")</f>
        <v/>
      </c>
      <c r="ET32" s="14" t="str">
        <f>IF(SUM(EJ32:EM32)-EN32&gt;0,SUM(EJ32:EM32)-EN32,"")</f>
        <v/>
      </c>
      <c r="EU32" s="14" t="str">
        <f>IF(SUM(ER32,ET32)&gt;0,SUM(ER32,ET32),"")</f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>IF(FC32&gt;0,FC32,"")</f>
        <v/>
      </c>
      <c r="FL32" s="11" t="str">
        <f>IF(SUM(EV32:EY32)-EZ32&gt;0,SUM(EV32:EY32)-EZ32,"")</f>
        <v/>
      </c>
      <c r="FM32" s="11" t="str">
        <f>IF(SUM(FA32:FD32)-FE32&gt;0,SUM(FA32:FD32)-FE32,"")</f>
        <v/>
      </c>
      <c r="FN32" s="11" t="str">
        <f>IF(SUM(FL32:FM32)&gt;0,SUM(FL32:FM32),"")</f>
        <v/>
      </c>
      <c r="FO32" s="11" t="str">
        <f>IF(FH32&gt;0,FH32,"")</f>
        <v/>
      </c>
      <c r="FP32" s="11" t="str">
        <f>IF(SUM(FF32:FI32)-FJ32&gt;0,SUM(FF32:FI32)-FJ32,"")</f>
        <v/>
      </c>
      <c r="FQ32" s="11" t="str">
        <f>IF(SUM(FN32,FP32)&gt;0,SUM(FN32,FP32),"")</f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>IF(FY32&gt;0,FY32,"")</f>
        <v/>
      </c>
      <c r="GH32" s="14" t="str">
        <f>IF(SUM(FR32:FU32)-FV32&gt;0,SUM(FR32:FU32)-FV32,"")</f>
        <v/>
      </c>
      <c r="GI32" s="14" t="str">
        <f>IF(SUM(FW32:FZ32)-GA32&gt;0,SUM(FW32:FZ32)-GA32,"")</f>
        <v/>
      </c>
      <c r="GJ32" s="14" t="str">
        <f>IF(SUM(GH32:GI32)&gt;0,SUM(GH32:GI32),"")</f>
        <v/>
      </c>
      <c r="GK32" s="14" t="str">
        <f>IF(GD32&gt;0,GD32,"")</f>
        <v/>
      </c>
      <c r="GL32" s="14" t="str">
        <f>IF(SUM(GB32:GE32)-GF32&gt;0,SUM(GB32:GE32)-GF32,"")</f>
        <v/>
      </c>
      <c r="GM32" s="14" t="str">
        <f>IF(SUM(GJ32,GL32)&gt;0,SUM(GJ32,GL32),"")</f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>IF(GU32&gt;0,GU32,"")</f>
        <v/>
      </c>
      <c r="HD32" s="11" t="str">
        <f>IF(SUM(GN32:GQ32)-GR32&gt;0,SUM(GN32:GQ32)-GR32,"")</f>
        <v/>
      </c>
      <c r="HE32" s="11" t="str">
        <f>IF(SUM(GS32:GV32)-GW32&gt;0,SUM(GS32:GV32)-GW32,"")</f>
        <v/>
      </c>
      <c r="HF32" s="11" t="str">
        <f>IF(SUM(HD32:HE32)&gt;0,SUM(HD32:HE32),"")</f>
        <v/>
      </c>
      <c r="HG32" s="11" t="str">
        <f>IF(GZ32&gt;0,GZ32,"")</f>
        <v/>
      </c>
      <c r="HH32" s="11" t="str">
        <f>IF(SUM(GX32:HA32)-HB32&gt;0,SUM(GX32:HA32)-HB32,"")</f>
        <v/>
      </c>
      <c r="HI32" s="11" t="str">
        <f>IF(SUM(HF32,HH32)&gt;0,SUM(HF32,HH32),"")</f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>IF(HQ32&gt;0,HQ32,"")</f>
        <v/>
      </c>
      <c r="HZ32" s="14" t="str">
        <f>IF(SUM(HJ32:HM32)-HN32&gt;0,SUM(HJ32:HM32)-HN32,"")</f>
        <v/>
      </c>
      <c r="IA32" s="14" t="str">
        <f>IF(SUM(HO32:HR32)-HS32&gt;0,SUM(HO32:HR32)-HS32,"")</f>
        <v/>
      </c>
      <c r="IB32" s="14" t="str">
        <f>IF(SUM(HZ32:IA32)&gt;0,SUM(HZ32:IA32),"")</f>
        <v/>
      </c>
      <c r="IC32" s="14" t="str">
        <f>IF(HV32&gt;0,HV32,"")</f>
        <v/>
      </c>
      <c r="ID32" s="14" t="str">
        <f>IF(SUM(HT32:HW32)-HX32&gt;0,SUM(HT32:HW32)-HX32,"")</f>
        <v/>
      </c>
      <c r="IE32" s="14" t="str">
        <f>IF(SUM(IB32,ID32)&gt;0,SUM(IB32,ID32),"")</f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>IF(IM32&gt;0,IM32,"")</f>
        <v/>
      </c>
      <c r="IV32" s="11" t="str">
        <f>IF(SUM(IF32:II32)-IJ32&gt;0,SUM(IF32:II32)-IJ32,"")</f>
        <v/>
      </c>
      <c r="IW32" s="11" t="str">
        <f>IF(SUM(IK32:IN32)-IO32&gt;0,SUM(IK32:IN32)-IO32,"")</f>
        <v/>
      </c>
      <c r="IX32" s="11" t="str">
        <f>IF(SUM(IV32:IW32)&gt;0,SUM(IV32:IW32),"")</f>
        <v/>
      </c>
      <c r="IY32" s="11" t="str">
        <f>IF(IR32&gt;0,IR32,"")</f>
        <v/>
      </c>
      <c r="IZ32" s="11" t="str">
        <f>IF(SUM(IP32:IS32)-IT32&gt;0,SUM(IP32:IS32)-IT32,"")</f>
        <v/>
      </c>
      <c r="JA32" s="11" t="str">
        <f>IF(SUM(IX32,IZ32)&gt;0,SUM(IX32,IZ32),"")</f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>IF(JI32&gt;0,JI32,"")</f>
        <v/>
      </c>
      <c r="JR32" s="14" t="str">
        <f>IF(SUM(JB32:JE32)-JF32&gt;0,SUM(JB32:JE32)-JF32,"")</f>
        <v/>
      </c>
      <c r="JS32" s="14" t="str">
        <f>IF(SUM(JG32:JJ32)-JK32&gt;0,SUM(JG32:JJ32)-JK32,"")</f>
        <v/>
      </c>
      <c r="JT32" s="14" t="str">
        <f>IF(SUM(JR32:JS32)&gt;0,SUM(JR32:JS32),"")</f>
        <v/>
      </c>
      <c r="JU32" s="14" t="str">
        <f>IF(JN32&gt;0,JN32,"")</f>
        <v/>
      </c>
      <c r="JV32" s="14" t="str">
        <f>IF(SUM(JL32:JO32)-JP32&gt;0,SUM(JL32:JO32)-JP32,"")</f>
        <v/>
      </c>
      <c r="JW32" s="14" t="str">
        <f>IF(SUM(JT32,JV32)&gt;0,SUM(JT32,JV32),"")</f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>IF(KE32&gt;0,KE32,"")</f>
        <v/>
      </c>
      <c r="KN32" s="11" t="str">
        <f>IF(SUM(JX32:KA32)-KB32&gt;0,SUM(JX32:KA32)-KB32,"")</f>
        <v/>
      </c>
      <c r="KO32" s="11" t="str">
        <f>IF(SUM(KC32:KF32)-KG32&gt;0,SUM(KC32:KF32)-KG32,"")</f>
        <v/>
      </c>
      <c r="KP32" s="11" t="str">
        <f>IF(SUM(KN32:KO32)&gt;0,SUM(KN32:KO32),"")</f>
        <v/>
      </c>
      <c r="KQ32" s="11" t="str">
        <f>IF(KJ32&gt;0,KJ32,"")</f>
        <v/>
      </c>
      <c r="KR32" s="11" t="str">
        <f>IF(SUM(KH32:KK32)-KL32&gt;0,SUM(KH32:KK32)-KL32,"")</f>
        <v/>
      </c>
      <c r="KS32" s="11" t="str">
        <f>IF(SUM(KP32,KR32)&gt;0,SUM(KP32,KR32),"")</f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>IF(LA32&gt;0,LA32,"")</f>
        <v/>
      </c>
      <c r="LJ32" s="14" t="str">
        <f>IF(SUM(KT32:KW32)-KX32&gt;0,SUM(KT32:KW32)-KX32,"")</f>
        <v/>
      </c>
      <c r="LK32" s="14" t="str">
        <f>IF(SUM(KY32:LB32)-LC32&gt;0,SUM(KY32:LB32)-LC32,"")</f>
        <v/>
      </c>
      <c r="LL32" s="14" t="str">
        <f>IF(SUM(LJ32:LK32)&gt;0,SUM(LJ32:LK32),"")</f>
        <v/>
      </c>
      <c r="LM32" s="14" t="str">
        <f>IF(LF32&gt;0,LF32,"")</f>
        <v/>
      </c>
      <c r="LN32" s="14" t="str">
        <f>IF(SUM(LD32:LG32)-LH32&gt;0,SUM(LD32:LG32)-LH32,"")</f>
        <v/>
      </c>
      <c r="LO32" s="14" t="str">
        <f>IF(SUM(LL32,LN32)&gt;0,SUM(LL32,LN32),"")</f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>IF(LW32&gt;0,LW32,"")</f>
        <v/>
      </c>
      <c r="MF32" s="11" t="str">
        <f>IF(SUM(LP32:LS32)-LT32&gt;0,SUM(LP32:LS32)-LT32,"")</f>
        <v/>
      </c>
      <c r="MG32" s="11" t="str">
        <f>IF(SUM(LU32:LX32)-LY32&gt;0,SUM(LU32:LX32)-LY32,"")</f>
        <v/>
      </c>
      <c r="MH32" s="11" t="str">
        <f>IF(SUM(MF32:MG32)&gt;0,SUM(MF32:MG32),"")</f>
        <v/>
      </c>
      <c r="MI32" s="11" t="str">
        <f>IF(MB32&gt;0,MB32,"")</f>
        <v/>
      </c>
      <c r="MJ32" s="11" t="str">
        <f>IF(SUM(LZ32:MC32)-MD32&gt;0,SUM(LZ32:MC32)-MD32,"")</f>
        <v/>
      </c>
      <c r="MK32" s="11" t="str">
        <f>IF(SUM(MH32,MJ32)&gt;0,SUM(MH32,MJ32),"")</f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>IF(MS32&gt;0,MS32,"")</f>
        <v/>
      </c>
      <c r="NB32" s="14" t="str">
        <f>IF(SUM(ML32:MO32)-MP32&gt;0,SUM(ML32:MO32)-MP32,"")</f>
        <v/>
      </c>
      <c r="NC32" s="14" t="str">
        <f>IF(SUM(MQ32:MT32)-MU32&gt;0,SUM(MQ32:MT32)-MU32,"")</f>
        <v/>
      </c>
      <c r="ND32" s="14" t="str">
        <f>IF(SUM(NB32:NC32)&gt;0,SUM(NB32:NC32),"")</f>
        <v/>
      </c>
      <c r="NE32" s="14" t="str">
        <f>IF(MX32&gt;0,MX32,"")</f>
        <v/>
      </c>
      <c r="NF32" s="14" t="str">
        <f>IF(SUM(MV32:MY32)-MZ32&gt;0,SUM(MV32:MY32)-MZ32,"")</f>
        <v/>
      </c>
      <c r="NG32" s="14" t="str">
        <f>IF(SUM(ND32,NF32)&gt;0,SUM(ND32,NF32),"")</f>
        <v/>
      </c>
      <c r="NH32" s="37">
        <f>IF($CR32="P",BX32,(BX32+AT32)/2)</f>
        <v>0</v>
      </c>
      <c r="NI32" s="37">
        <f>IF($CR32="P",BY32,(BY32+AU32)/2)</f>
        <v>0</v>
      </c>
      <c r="NJ32" s="37">
        <f>IF($CR32="P",BZ32,(BZ32+AV32)/2)</f>
        <v>0</v>
      </c>
      <c r="NK32" s="37">
        <f>IF($CR32="P",CA32,(CA32+AW32)/2)</f>
        <v>0</v>
      </c>
      <c r="NL32" s="37">
        <f>IF($CR32="P",CB32,(CB32+AX32)/2)</f>
        <v>0</v>
      </c>
      <c r="NM32" s="37">
        <f>IF($CR32="P",CC32,(CC32+AY32)/2)</f>
        <v>0</v>
      </c>
      <c r="NN32" s="37">
        <f>IF($CR32="P",CD32,(CD32+AZ32)/2)</f>
        <v>0</v>
      </c>
      <c r="NO32" s="37">
        <f>IF($CR32="P",CE32,(CE32+BA32)/2)</f>
        <v>0</v>
      </c>
      <c r="NP32" s="37">
        <f>IF($CR32="P",CF32,(CF32+BB32)/2)</f>
        <v>0</v>
      </c>
      <c r="NQ32" s="37">
        <f>IF($CR32="P",CG32,(CG32+BC32)/2)</f>
        <v>0</v>
      </c>
      <c r="NR32" s="37">
        <f>IF($CR32="P",CH32,(CH32+BD32)/2)</f>
        <v>0</v>
      </c>
      <c r="NS32" s="37">
        <f>IF($CR32="P",CI32,(CI32+BE32)/2)</f>
        <v>0</v>
      </c>
      <c r="NT32" s="37">
        <f>IF($CR32="P",CJ32,(CJ32+BF32)/2)</f>
        <v>0</v>
      </c>
      <c r="NU32" s="37">
        <f>IF($CR32="P",CK32,(CK32+BG32)/2)</f>
        <v>0</v>
      </c>
      <c r="NV32" s="37">
        <f>IF($CR32="P",CL32,(CL32+BH32)/2)</f>
        <v>0</v>
      </c>
      <c r="NW32" s="37">
        <f>IF($CR32="P",CM32,(CM32+BI32)/2)</f>
        <v>0</v>
      </c>
      <c r="NX32" s="37">
        <f>IF($CR32="P",CN32,(CN32+BJ32)/2)</f>
        <v>0</v>
      </c>
      <c r="NY32" s="37">
        <f>IF($CR32="P",CO32,(CO32+BK32)/2)</f>
        <v>0</v>
      </c>
      <c r="NZ32" s="37">
        <f>IF($CR32="P",CP32,(CP32+BL32)/2)</f>
        <v>0</v>
      </c>
      <c r="OA32" s="37">
        <f>IF($CR32="P",CQ32,(CQ32+BM32)/2)</f>
        <v>0</v>
      </c>
      <c r="OB32" s="44" t="s">
        <v>46</v>
      </c>
      <c r="OC32" s="11" t="str">
        <f>IF(SUM(NH32:NK32)-NL32&gt;0,SUM(NH32:NK32)-NL32,"")</f>
        <v/>
      </c>
      <c r="OD32" s="11" t="str">
        <f>IF(NO32&gt;0,NO32,"")</f>
        <v/>
      </c>
      <c r="OE32" s="11" t="str">
        <f>IF(SUM(NM32:NP32)-NQ32&gt;0,SUM(NM32:NP32)-NQ32,"")</f>
        <v/>
      </c>
      <c r="OF32" s="11" t="str">
        <f>IF(NT32&gt;0,NT32,"")</f>
        <v/>
      </c>
      <c r="OG32" s="11" t="str">
        <f>IF(SUM(NR32:NU32)-NV32&gt;0,SUM(NR32:NU32)-NV32,"")</f>
        <v/>
      </c>
      <c r="OH32" s="11" t="str">
        <f>IF(OR(OC32&lt;&gt;"",OE32&lt;&gt;"",OG32&lt;&gt;""),OC32+MAX(OE32,OG32),"")</f>
        <v/>
      </c>
      <c r="OI32" s="11" t="str">
        <f>IF(NY32&gt;0,NY32,"")</f>
        <v/>
      </c>
      <c r="OJ32" s="11" t="str">
        <f t="shared" ref="OJ32" si="50">IF(SUM(NW32:NZ32)-OA32&gt;0,SUM(NW32:NZ32)-OA32,"")</f>
        <v/>
      </c>
      <c r="OK32" s="11" t="str">
        <f t="shared" ref="OK32" si="51">IF(SUM(OH32,OJ32)&gt;0,SUM(OH32,OJ32),"")</f>
        <v/>
      </c>
    </row>
    <row r="33" spans="1:371" x14ac:dyDescent="0.2">
      <c r="B33" s="6"/>
      <c r="D33" s="1"/>
    </row>
    <row r="35" spans="1:371" x14ac:dyDescent="0.2">
      <c r="B35" s="38" t="s">
        <v>44</v>
      </c>
      <c r="C35" s="33"/>
      <c r="AL35" s="65"/>
      <c r="AM35" s="65"/>
      <c r="AN35" s="65"/>
      <c r="AQ35" s="31"/>
      <c r="AS35" s="34">
        <v>11.2</v>
      </c>
      <c r="BP35" s="65"/>
      <c r="BQ35" s="65"/>
      <c r="BR35" s="65"/>
      <c r="BU35" s="31"/>
      <c r="BW35" s="34">
        <v>11.2</v>
      </c>
      <c r="CT35" s="65"/>
      <c r="CU35" s="65"/>
      <c r="CV35" s="65"/>
      <c r="CY35" s="31"/>
      <c r="DA35" s="34">
        <v>11.2</v>
      </c>
      <c r="DS35" s="33"/>
      <c r="DW35" s="31"/>
      <c r="DY35" s="34">
        <v>11.2</v>
      </c>
      <c r="EO35" s="33"/>
      <c r="ES35" s="31"/>
      <c r="EU35" s="34">
        <v>11.2</v>
      </c>
      <c r="FK35" s="33"/>
      <c r="FO35" s="31"/>
      <c r="FQ35" s="34">
        <v>11.2</v>
      </c>
      <c r="GG35" s="33"/>
      <c r="GK35" s="31"/>
      <c r="GM35" s="34">
        <v>11.2</v>
      </c>
      <c r="HC35" s="33"/>
      <c r="HG35" s="31"/>
      <c r="HI35" s="34">
        <v>11.2</v>
      </c>
      <c r="HY35" s="33"/>
      <c r="IC35" s="31"/>
      <c r="IE35" s="34">
        <v>11.2</v>
      </c>
      <c r="IU35" s="33"/>
      <c r="IY35" s="31"/>
      <c r="JA35" s="34">
        <v>11.2</v>
      </c>
      <c r="JQ35" s="33"/>
      <c r="JU35" s="31"/>
      <c r="JW35" s="34">
        <v>11.2</v>
      </c>
      <c r="KM35" s="33"/>
      <c r="KQ35" s="31"/>
      <c r="KS35" s="34">
        <v>11.2</v>
      </c>
      <c r="LI35" s="33"/>
      <c r="LM35" s="31"/>
      <c r="LO35" s="34">
        <v>11.2</v>
      </c>
      <c r="ME35" s="33"/>
      <c r="MI35" s="31"/>
      <c r="MK35" s="34">
        <v>11.2</v>
      </c>
      <c r="NA35" s="33"/>
      <c r="NE35" s="31"/>
      <c r="NG35" s="34">
        <v>11.2</v>
      </c>
    </row>
    <row r="36" spans="1:371" hidden="1" x14ac:dyDescent="0.2">
      <c r="B36" s="47" t="s">
        <v>43</v>
      </c>
      <c r="C36" s="33"/>
      <c r="AL36" s="65"/>
      <c r="AM36" s="65"/>
      <c r="AN36" s="65"/>
      <c r="AQ36" s="31"/>
      <c r="AS36" s="51">
        <v>1000</v>
      </c>
      <c r="BP36" s="65"/>
      <c r="BQ36" s="65"/>
      <c r="BR36" s="65"/>
      <c r="BU36" s="31"/>
      <c r="BW36" s="51">
        <v>1000</v>
      </c>
      <c r="CT36" s="65"/>
      <c r="CU36" s="65"/>
      <c r="CV36" s="65"/>
      <c r="CY36" s="31"/>
      <c r="DA36" s="51">
        <v>1000</v>
      </c>
      <c r="DS36" s="33"/>
      <c r="DW36" s="31"/>
      <c r="DY36" s="51">
        <v>1000</v>
      </c>
      <c r="EO36" s="33"/>
      <c r="ES36" s="31"/>
      <c r="EU36" s="51">
        <v>1000</v>
      </c>
      <c r="FK36" s="33"/>
      <c r="FO36" s="31"/>
      <c r="FQ36" s="51">
        <v>1000</v>
      </c>
      <c r="GG36" s="33"/>
      <c r="GK36" s="31"/>
      <c r="GM36" s="51">
        <v>1000</v>
      </c>
      <c r="HC36" s="33"/>
      <c r="HG36" s="31"/>
      <c r="HI36" s="51">
        <v>1000</v>
      </c>
      <c r="HY36" s="33"/>
      <c r="IC36" s="31"/>
      <c r="IE36" s="51">
        <v>1000</v>
      </c>
      <c r="IU36" s="33"/>
      <c r="IY36" s="31"/>
      <c r="JA36" s="51">
        <v>1000</v>
      </c>
      <c r="JQ36" s="33"/>
      <c r="JU36" s="31"/>
      <c r="JW36" s="51">
        <v>1000</v>
      </c>
      <c r="KM36" s="33"/>
      <c r="KQ36" s="31"/>
      <c r="KS36" s="51">
        <v>1000</v>
      </c>
      <c r="LI36" s="33"/>
      <c r="LM36" s="31"/>
      <c r="LO36" s="51">
        <v>1000</v>
      </c>
      <c r="ME36" s="33"/>
      <c r="MI36" s="31"/>
      <c r="MK36" s="51">
        <v>1000</v>
      </c>
      <c r="NA36" s="33"/>
      <c r="NE36" s="31"/>
      <c r="NG36" s="51">
        <v>1000</v>
      </c>
    </row>
    <row r="37" spans="1:371" hidden="1" x14ac:dyDescent="0.2">
      <c r="A37" s="33"/>
      <c r="B37" s="48" t="s">
        <v>55</v>
      </c>
      <c r="C37" s="33"/>
      <c r="AL37" s="65"/>
      <c r="AM37" s="65"/>
      <c r="AN37" s="65"/>
      <c r="AP37" s="31"/>
      <c r="AQ37" s="31"/>
      <c r="AR37" s="31"/>
      <c r="AS37" s="49">
        <v>1000</v>
      </c>
      <c r="BP37" s="65"/>
      <c r="BQ37" s="65"/>
      <c r="BR37" s="65"/>
      <c r="BU37" s="31"/>
      <c r="BW37" s="49">
        <v>1000</v>
      </c>
      <c r="CT37" s="65"/>
      <c r="CU37" s="65"/>
      <c r="CV37" s="65"/>
      <c r="CX37" s="31"/>
      <c r="CY37" s="31"/>
      <c r="CZ37" s="31"/>
      <c r="DA37" s="49">
        <v>1000</v>
      </c>
      <c r="DS37" s="33"/>
      <c r="DW37" s="31"/>
      <c r="DY37" s="49">
        <v>1000</v>
      </c>
      <c r="EO37" s="33"/>
      <c r="ES37" s="31"/>
      <c r="EU37" s="49">
        <v>1000</v>
      </c>
      <c r="FK37" s="33"/>
      <c r="FO37" s="31"/>
      <c r="FQ37" s="49">
        <v>1000</v>
      </c>
      <c r="GG37" s="33"/>
      <c r="GK37" s="31"/>
      <c r="GM37" s="49">
        <v>1000</v>
      </c>
      <c r="HC37" s="33"/>
      <c r="HG37" s="31"/>
      <c r="HI37" s="49">
        <v>1000</v>
      </c>
      <c r="HY37" s="33"/>
      <c r="IC37" s="31"/>
      <c r="IE37" s="49">
        <v>1000</v>
      </c>
      <c r="IU37" s="33"/>
      <c r="IY37" s="31"/>
      <c r="JA37" s="49">
        <v>1000</v>
      </c>
      <c r="JQ37" s="33"/>
      <c r="JU37" s="31"/>
      <c r="JW37" s="49">
        <v>1000</v>
      </c>
      <c r="KM37" s="33"/>
      <c r="KQ37" s="31"/>
      <c r="KS37" s="49">
        <v>1000</v>
      </c>
      <c r="LI37" s="33"/>
      <c r="LM37" s="31"/>
      <c r="LO37" s="49">
        <v>1000</v>
      </c>
      <c r="ME37" s="33"/>
      <c r="MI37" s="31"/>
      <c r="MK37" s="49">
        <v>1000</v>
      </c>
      <c r="NA37" s="33"/>
      <c r="NE37" s="31"/>
      <c r="NG37" s="49">
        <v>1000</v>
      </c>
    </row>
    <row r="38" spans="1:371" hidden="1" x14ac:dyDescent="0.2">
      <c r="A38" s="33"/>
      <c r="B38" s="61" t="s">
        <v>62</v>
      </c>
      <c r="C38" s="33"/>
      <c r="AL38" s="65"/>
      <c r="AM38" s="65"/>
      <c r="AN38" s="65"/>
      <c r="AP38" s="31"/>
      <c r="AQ38" s="31"/>
      <c r="AR38" s="31"/>
      <c r="AS38" s="62">
        <v>1000</v>
      </c>
      <c r="BP38" s="65"/>
      <c r="BQ38" s="65"/>
      <c r="BR38" s="65"/>
      <c r="BU38" s="31"/>
      <c r="BW38" s="62">
        <v>1000</v>
      </c>
      <c r="CT38" s="65"/>
      <c r="CU38" s="65"/>
      <c r="CV38" s="65"/>
      <c r="CX38" s="31"/>
      <c r="CY38" s="31"/>
      <c r="CZ38" s="31"/>
      <c r="DA38" s="62">
        <v>1000</v>
      </c>
      <c r="DS38" s="33"/>
      <c r="DW38" s="31"/>
      <c r="DY38" s="62">
        <v>1000</v>
      </c>
      <c r="EO38" s="33"/>
      <c r="ES38" s="31"/>
      <c r="EU38" s="62">
        <v>1000</v>
      </c>
      <c r="FK38" s="33"/>
      <c r="FO38" s="31"/>
      <c r="FQ38" s="62">
        <v>1000</v>
      </c>
      <c r="GG38" s="33"/>
      <c r="GK38" s="31"/>
      <c r="GM38" s="62">
        <v>1000</v>
      </c>
      <c r="HC38" s="33"/>
      <c r="HG38" s="31"/>
      <c r="HI38" s="62">
        <v>1000</v>
      </c>
      <c r="HY38" s="33"/>
      <c r="IC38" s="31"/>
      <c r="IE38" s="62">
        <v>1000</v>
      </c>
      <c r="IU38" s="33"/>
      <c r="IY38" s="31"/>
      <c r="JA38" s="62">
        <v>1000</v>
      </c>
      <c r="JQ38" s="33"/>
      <c r="JU38" s="31"/>
      <c r="JW38" s="62">
        <v>1000</v>
      </c>
      <c r="KM38" s="33"/>
      <c r="KQ38" s="31"/>
      <c r="KS38" s="62">
        <v>1000</v>
      </c>
      <c r="LI38" s="33"/>
      <c r="LM38" s="31"/>
      <c r="LO38" s="62">
        <v>1000</v>
      </c>
      <c r="ME38" s="33"/>
      <c r="MI38" s="31"/>
      <c r="MK38" s="62">
        <v>1000</v>
      </c>
      <c r="NA38" s="33"/>
      <c r="NE38" s="31"/>
      <c r="NG38" s="62">
        <v>1000</v>
      </c>
    </row>
    <row r="39" spans="1:371" x14ac:dyDescent="0.2">
      <c r="A39" s="33"/>
      <c r="B39" s="59" t="s">
        <v>41</v>
      </c>
      <c r="C39" s="33"/>
      <c r="I39" s="2"/>
      <c r="AL39" s="65"/>
      <c r="AM39" s="65"/>
      <c r="AN39" s="65"/>
      <c r="AP39" s="31"/>
      <c r="AQ39" s="31"/>
      <c r="AR39" s="31"/>
      <c r="AS39" s="60">
        <v>48.3</v>
      </c>
      <c r="BP39" s="65"/>
      <c r="BQ39" s="65"/>
      <c r="BR39" s="65"/>
      <c r="BU39" s="31"/>
      <c r="BW39" s="60">
        <v>48.3</v>
      </c>
      <c r="CT39" s="65"/>
      <c r="CU39" s="65"/>
      <c r="CV39" s="65"/>
      <c r="CX39" s="31"/>
      <c r="CY39" s="31"/>
      <c r="CZ39" s="31"/>
      <c r="DA39" s="60">
        <v>48.3</v>
      </c>
      <c r="DS39" s="33"/>
      <c r="DW39" s="31"/>
      <c r="DY39" s="60">
        <v>48.3</v>
      </c>
      <c r="EO39" s="33"/>
      <c r="ES39" s="31"/>
      <c r="EU39" s="60">
        <v>48.3</v>
      </c>
      <c r="FK39" s="33"/>
      <c r="FO39" s="31"/>
      <c r="FQ39" s="60">
        <v>48.3</v>
      </c>
      <c r="GG39" s="33"/>
      <c r="GK39" s="31"/>
      <c r="GM39" s="60">
        <v>48.3</v>
      </c>
      <c r="HC39" s="33"/>
      <c r="HG39" s="31"/>
      <c r="HI39" s="60">
        <v>48.3</v>
      </c>
      <c r="HY39" s="33"/>
      <c r="IC39" s="31"/>
      <c r="IE39" s="60">
        <v>48.3</v>
      </c>
      <c r="IU39" s="33"/>
      <c r="IY39" s="31"/>
      <c r="JA39" s="60">
        <v>48.3</v>
      </c>
      <c r="JQ39" s="33"/>
      <c r="JU39" s="31"/>
      <c r="JW39" s="60">
        <v>48.3</v>
      </c>
      <c r="KM39" s="33"/>
      <c r="KQ39" s="31"/>
      <c r="KS39" s="60">
        <v>48.3</v>
      </c>
      <c r="LI39" s="33"/>
      <c r="LM39" s="31"/>
      <c r="LO39" s="60">
        <v>48.3</v>
      </c>
      <c r="ME39" s="33"/>
      <c r="MI39" s="31"/>
      <c r="MK39" s="60">
        <v>48.3</v>
      </c>
      <c r="NA39" s="33"/>
      <c r="NE39" s="31"/>
      <c r="NG39" s="60">
        <v>48.3</v>
      </c>
    </row>
    <row r="40" spans="1:371" hidden="1" x14ac:dyDescent="0.2">
      <c r="A40" s="33"/>
      <c r="B40" s="39" t="s">
        <v>42</v>
      </c>
      <c r="C40" s="33"/>
      <c r="I40" s="2"/>
      <c r="AL40" s="65"/>
      <c r="AM40" s="65"/>
      <c r="AN40" s="65"/>
      <c r="AP40" s="31"/>
      <c r="AQ40" s="31"/>
      <c r="AR40" s="31"/>
      <c r="AS40" s="35">
        <v>1000</v>
      </c>
      <c r="BP40" s="65"/>
      <c r="BQ40" s="65"/>
      <c r="BR40" s="65"/>
      <c r="BU40" s="31"/>
      <c r="BW40" s="35">
        <v>1000</v>
      </c>
      <c r="CT40" s="65"/>
      <c r="CU40" s="65"/>
      <c r="CV40" s="65"/>
      <c r="CX40" s="31"/>
      <c r="CY40" s="31"/>
      <c r="CZ40" s="31"/>
      <c r="DA40" s="35">
        <v>1000</v>
      </c>
      <c r="DS40" s="33"/>
      <c r="DW40" s="31"/>
      <c r="DY40" s="35">
        <v>1000</v>
      </c>
      <c r="EO40" s="33"/>
      <c r="ES40" s="31"/>
      <c r="EU40" s="35">
        <v>1000</v>
      </c>
      <c r="FK40" s="33"/>
      <c r="FO40" s="31"/>
      <c r="FQ40" s="35">
        <v>1000</v>
      </c>
      <c r="GG40" s="33"/>
      <c r="GK40" s="31"/>
      <c r="GM40" s="35">
        <v>1000</v>
      </c>
      <c r="HC40" s="33"/>
      <c r="HG40" s="31"/>
      <c r="HI40" s="35">
        <v>1000</v>
      </c>
      <c r="HY40" s="33"/>
      <c r="IC40" s="31"/>
      <c r="IE40" s="35">
        <v>1000</v>
      </c>
      <c r="IU40" s="33"/>
      <c r="IY40" s="31"/>
      <c r="JA40" s="35">
        <v>1000</v>
      </c>
      <c r="JQ40" s="33"/>
      <c r="JU40" s="31"/>
      <c r="JW40" s="35">
        <v>1000</v>
      </c>
      <c r="KM40" s="33"/>
      <c r="KQ40" s="31"/>
      <c r="KS40" s="35">
        <v>1000</v>
      </c>
      <c r="LI40" s="33"/>
      <c r="LM40" s="31"/>
      <c r="LO40" s="35">
        <v>1000</v>
      </c>
      <c r="ME40" s="33"/>
      <c r="MI40" s="31"/>
      <c r="MK40" s="35">
        <v>1000</v>
      </c>
      <c r="NA40" s="33"/>
      <c r="NE40" s="31"/>
      <c r="NG40" s="35">
        <v>1000</v>
      </c>
    </row>
    <row r="41" spans="1:371" hidden="1" x14ac:dyDescent="0.2">
      <c r="A41" s="33"/>
      <c r="B41" s="57" t="s">
        <v>54</v>
      </c>
      <c r="C41" s="33"/>
      <c r="AL41" s="65"/>
      <c r="AM41" s="65"/>
      <c r="AN41" s="65"/>
      <c r="AP41" s="31"/>
      <c r="AQ41" s="31"/>
      <c r="AR41" s="31"/>
      <c r="AS41" s="58">
        <v>1000</v>
      </c>
      <c r="BP41" s="65"/>
      <c r="BQ41" s="65"/>
      <c r="BR41" s="65"/>
      <c r="BU41" s="31"/>
      <c r="BV41" s="67"/>
      <c r="BW41" s="58">
        <v>1000</v>
      </c>
      <c r="CT41" s="65"/>
      <c r="CU41" s="65"/>
      <c r="CV41" s="65"/>
      <c r="CX41" s="31"/>
      <c r="CY41" s="31"/>
      <c r="CZ41" s="31"/>
      <c r="DA41" s="58">
        <v>1000</v>
      </c>
      <c r="DS41" s="33"/>
      <c r="DW41" s="31"/>
      <c r="DX41" s="67"/>
      <c r="DY41" s="58">
        <v>1000</v>
      </c>
      <c r="EO41" s="33"/>
      <c r="ES41" s="31"/>
      <c r="EU41" s="58">
        <v>1000</v>
      </c>
      <c r="FK41" s="33"/>
      <c r="FO41" s="31"/>
      <c r="FQ41" s="58">
        <v>1000</v>
      </c>
      <c r="GG41" s="33"/>
      <c r="GK41" s="31"/>
      <c r="GL41" s="67"/>
      <c r="GM41" s="58">
        <v>1000</v>
      </c>
      <c r="HC41" s="33"/>
      <c r="HG41" s="31"/>
      <c r="HH41" s="67"/>
      <c r="HI41" s="58">
        <v>1000</v>
      </c>
      <c r="HY41" s="33"/>
      <c r="IC41" s="31"/>
      <c r="ID41" s="67"/>
      <c r="IE41" s="58">
        <v>1000</v>
      </c>
      <c r="IU41" s="33"/>
      <c r="IY41" s="31"/>
      <c r="JA41" s="58">
        <v>1000</v>
      </c>
      <c r="JQ41" s="33"/>
      <c r="JU41" s="31"/>
      <c r="JW41" s="58">
        <v>1000</v>
      </c>
      <c r="KM41" s="33"/>
      <c r="KQ41" s="31"/>
      <c r="KS41" s="58">
        <v>1000</v>
      </c>
      <c r="LI41" s="33"/>
      <c r="LM41" s="31"/>
      <c r="LO41" s="58">
        <v>1000</v>
      </c>
      <c r="ME41" s="33"/>
      <c r="MI41" s="31"/>
      <c r="MK41" s="58">
        <v>1000</v>
      </c>
      <c r="NA41" s="33"/>
      <c r="NE41" s="31"/>
      <c r="NG41" s="58">
        <v>1000</v>
      </c>
    </row>
    <row r="42" spans="1:371" hidden="1" x14ac:dyDescent="0.2">
      <c r="A42" s="33"/>
      <c r="B42" s="40" t="s">
        <v>28</v>
      </c>
      <c r="C42" s="33"/>
      <c r="I42" s="2"/>
      <c r="AL42" s="65"/>
      <c r="AM42" s="65"/>
      <c r="AN42" s="65"/>
      <c r="AP42" s="31"/>
      <c r="AQ42" s="31"/>
      <c r="AR42" s="31"/>
      <c r="AS42" s="36">
        <v>1000</v>
      </c>
      <c r="BP42" s="65"/>
      <c r="BQ42" s="65"/>
      <c r="BR42" s="65"/>
      <c r="BU42" s="31"/>
      <c r="BW42" s="36">
        <v>1000</v>
      </c>
      <c r="CT42" s="65"/>
      <c r="CU42" s="65"/>
      <c r="CV42" s="65"/>
      <c r="CX42" s="31"/>
      <c r="CY42" s="31"/>
      <c r="CZ42" s="31"/>
      <c r="DA42" s="36">
        <v>1000</v>
      </c>
      <c r="DS42" s="33"/>
      <c r="DW42" s="31"/>
      <c r="DY42" s="36">
        <v>1000</v>
      </c>
      <c r="EO42" s="33"/>
      <c r="ES42" s="31"/>
      <c r="EU42" s="36">
        <v>1000</v>
      </c>
      <c r="FK42" s="33"/>
      <c r="FO42" s="31"/>
      <c r="FQ42" s="36">
        <v>1000</v>
      </c>
      <c r="GG42" s="33"/>
      <c r="GK42" s="31"/>
      <c r="GM42" s="36">
        <v>1000</v>
      </c>
      <c r="HC42" s="33"/>
      <c r="HG42" s="31"/>
      <c r="HI42" s="36">
        <v>1000</v>
      </c>
      <c r="HY42" s="33"/>
      <c r="IC42" s="31"/>
      <c r="ID42" s="67"/>
      <c r="IE42" s="36">
        <v>1000</v>
      </c>
      <c r="IU42" s="33"/>
      <c r="IY42" s="31"/>
      <c r="JA42" s="36">
        <v>1000</v>
      </c>
      <c r="JQ42" s="33"/>
      <c r="JU42" s="31"/>
      <c r="JW42" s="36">
        <v>1000</v>
      </c>
      <c r="KM42" s="33"/>
      <c r="KQ42" s="31"/>
      <c r="KS42" s="36">
        <v>1000</v>
      </c>
      <c r="LI42" s="33"/>
      <c r="LM42" s="31"/>
      <c r="LO42" s="36">
        <v>1000</v>
      </c>
      <c r="ME42" s="33"/>
      <c r="MI42" s="31"/>
      <c r="MK42" s="36">
        <v>1000</v>
      </c>
      <c r="NA42" s="33"/>
      <c r="NE42" s="31"/>
      <c r="NG42" s="36">
        <v>1000</v>
      </c>
    </row>
    <row r="43" spans="1:371" x14ac:dyDescent="0.2">
      <c r="B43" s="46" t="s">
        <v>47</v>
      </c>
      <c r="C43" s="2"/>
      <c r="AO43" s="31"/>
      <c r="AP43" s="31"/>
      <c r="AR43" s="31"/>
      <c r="CW43" s="31"/>
      <c r="CX43" s="31"/>
      <c r="CZ43" s="31"/>
      <c r="EP43" s="31"/>
    </row>
    <row r="44" spans="1:371" x14ac:dyDescent="0.2">
      <c r="A44" s="33"/>
      <c r="B44" s="33"/>
      <c r="C44" s="32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A46" s="33"/>
      <c r="B46" s="33"/>
      <c r="C46" s="32"/>
      <c r="M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04" ht="17" x14ac:dyDescent="0.2"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3:104" ht="17" x14ac:dyDescent="0.2">
      <c r="M50" s="16"/>
      <c r="N50" s="16"/>
      <c r="O50" s="16"/>
    </row>
    <row r="51" spans="13:104" ht="17" x14ac:dyDescent="0.2">
      <c r="M51" s="16"/>
      <c r="N51" s="16"/>
      <c r="O51" s="16"/>
    </row>
    <row r="52" spans="13:104" ht="17" x14ac:dyDescent="0.2">
      <c r="M52" s="16"/>
      <c r="N52" s="16"/>
      <c r="O52" s="16"/>
    </row>
    <row r="53" spans="13:104" ht="17" x14ac:dyDescent="0.2">
      <c r="M53" s="16"/>
      <c r="N53" s="16"/>
      <c r="O53" s="16"/>
    </row>
    <row r="54" spans="13:104" ht="17" x14ac:dyDescent="0.2">
      <c r="M54" s="16"/>
      <c r="N54" s="16"/>
      <c r="O54" s="16"/>
    </row>
    <row r="55" spans="13:104" ht="17" x14ac:dyDescent="0.2">
      <c r="M55" s="16"/>
      <c r="N55" s="16"/>
      <c r="O55" s="16"/>
    </row>
    <row r="56" spans="13:104" ht="17" x14ac:dyDescent="0.2">
      <c r="M56" s="16"/>
      <c r="N56" s="16"/>
      <c r="O56" s="16"/>
    </row>
    <row r="57" spans="13:104" ht="17" x14ac:dyDescent="0.2">
      <c r="M57" s="16"/>
      <c r="N57" s="16"/>
      <c r="O57" s="16"/>
    </row>
    <row r="58" spans="13:104" ht="17" x14ac:dyDescent="0.2">
      <c r="M58" s="16"/>
      <c r="N58" s="16"/>
      <c r="O58" s="16"/>
    </row>
    <row r="59" spans="13:104" ht="17" x14ac:dyDescent="0.2">
      <c r="M59" s="16"/>
      <c r="N59" s="16"/>
      <c r="O59" s="16"/>
    </row>
    <row r="60" spans="13:104" ht="17" x14ac:dyDescent="0.2">
      <c r="M60" s="16"/>
      <c r="N60" s="16"/>
      <c r="O60" s="16"/>
    </row>
    <row r="61" spans="13:104" ht="17" x14ac:dyDescent="0.2">
      <c r="M61" s="16"/>
      <c r="N61" s="16"/>
      <c r="O61" s="16"/>
    </row>
    <row r="62" spans="13:104" ht="17" x14ac:dyDescent="0.2">
      <c r="M62" s="16"/>
      <c r="N62" s="16"/>
      <c r="O62" s="16"/>
    </row>
    <row r="63" spans="13:104" ht="17" x14ac:dyDescent="0.2">
      <c r="M63" s="16"/>
      <c r="N63" s="16"/>
      <c r="O63" s="16"/>
    </row>
    <row r="64" spans="13:104" ht="17" x14ac:dyDescent="0.2">
      <c r="M64" s="16"/>
      <c r="N64" s="16"/>
      <c r="O64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2">
      <sortCondition descending="1" ref="F1:F33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47" priority="9" operator="containsText" text="No DD">
      <formula>NOT(ISERROR(SEARCH("No DD",H4)))</formula>
    </cfRule>
    <cfRule type="containsText" dxfId="146" priority="10" operator="containsText" text="Merit">
      <formula>NOT(ISERROR(SEARCH("Merit",H4)))</formula>
    </cfRule>
    <cfRule type="containsText" dxfId="145" priority="11" operator="containsText" text="Excellence">
      <formula>NOT(ISERROR(SEARCH("Excellence",H4)))</formula>
    </cfRule>
    <cfRule type="containsText" dxfId="144" priority="12" operator="containsText" text="Worlds Team">
      <formula>NOT(ISERROR(SEARCH("Worlds Team",H4)))</formula>
    </cfRule>
    <cfRule type="containsText" dxfId="143" priority="13" operator="containsText" text="National Team">
      <formula>NOT(ISERROR(SEARCH("National Team",H4)))</formula>
    </cfRule>
  </conditionalFormatting>
  <conditionalFormatting sqref="P4:AS32">
    <cfRule type="expression" dxfId="142" priority="6" stopIfTrue="1">
      <formula>IF($AJ4&lt;&gt;"",1,0)</formula>
    </cfRule>
  </conditionalFormatting>
  <conditionalFormatting sqref="AT4:BW32">
    <cfRule type="expression" dxfId="141" priority="7" stopIfTrue="1">
      <formula>IF($BN4&lt;&gt;"",1,0)</formula>
    </cfRule>
  </conditionalFormatting>
  <conditionalFormatting sqref="J1:J1048576 L1:L1048576">
    <cfRule type="expression" dxfId="140" priority="14">
      <formula>IF(J1=$BX$1,1,0)</formula>
    </cfRule>
    <cfRule type="expression" dxfId="139" priority="15">
      <formula>IF(J1=$AT$1,1,0)</formula>
    </cfRule>
    <cfRule type="expression" dxfId="138" priority="16">
      <formula>IF(J1=$P$1,1,0)</formula>
    </cfRule>
  </conditionalFormatting>
  <conditionalFormatting sqref="BX4:DA32">
    <cfRule type="expression" dxfId="137" priority="8" stopIfTrue="1">
      <formula>IF($CR4&lt;&gt;"",1,0)</formula>
    </cfRule>
  </conditionalFormatting>
  <conditionalFormatting sqref="A1:A1048576">
    <cfRule type="expression" dxfId="136" priority="50443">
      <formula>AND(G1&lt;&gt;"",F1="")</formula>
    </cfRule>
  </conditionalFormatting>
  <conditionalFormatting sqref="H1:H3">
    <cfRule type="containsText" dxfId="135" priority="1" operator="containsText" text="No DD">
      <formula>NOT(ISERROR(SEARCH("No DD",H1)))</formula>
    </cfRule>
    <cfRule type="containsText" dxfId="134" priority="2" operator="containsText" text="Merit">
      <formula>NOT(ISERROR(SEARCH("Merit",H1)))</formula>
    </cfRule>
    <cfRule type="containsText" dxfId="133" priority="3" operator="containsText" text="Excellence">
      <formula>NOT(ISERROR(SEARCH("Excellence",H1)))</formula>
    </cfRule>
    <cfRule type="containsText" dxfId="132" priority="4" operator="containsText" text="Worlds Team">
      <formula>NOT(ISERROR(SEARCH("Worlds Team",H1)))</formula>
    </cfRule>
    <cfRule type="containsText" dxfId="131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0" priority="50483" operator="between">
      <formula>AS$39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29" priority="50528" operator="between">
      <formula>AS$39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28" priority="50573" operator="between">
      <formula>DY$38</formula>
      <formula>1000</formula>
    </cfRule>
    <cfRule type="cellIs" dxfId="127" priority="50574" operator="between">
      <formula>DY$37</formula>
      <formula>DY$38</formula>
    </cfRule>
    <cfRule type="cellIs" dxfId="126" priority="50575" operator="between">
      <formula>DY$36</formula>
      <formula>DY$37</formula>
    </cfRule>
    <cfRule type="cellIs" dxfId="125" priority="50576" operator="between">
      <formula>DY$35</formula>
      <formula>DY$36</formula>
    </cfRule>
  </conditionalFormatting>
  <conditionalFormatting sqref="AL1:AL1048576 BP1:BP1048576 CT1:CT1048576">
    <cfRule type="cellIs" dxfId="124" priority="50717" operator="between">
      <formula>AS$38</formula>
      <formula>1000</formula>
    </cfRule>
    <cfRule type="cellIs" dxfId="123" priority="50718" operator="between">
      <formula>AS$37</formula>
      <formula>AS$38</formula>
    </cfRule>
    <cfRule type="cellIs" dxfId="122" priority="50719" operator="between">
      <formula>AS$36</formula>
      <formula>AS$37</formula>
    </cfRule>
    <cfRule type="cellIs" dxfId="121" priority="50720" operator="between">
      <formula>AS$35</formula>
      <formula>AS$36</formula>
    </cfRule>
  </conditionalFormatting>
  <conditionalFormatting sqref="AM1:AM1048576 BQ1:BQ1048576 CU1:CU1048576">
    <cfRule type="cellIs" dxfId="120" priority="50753" operator="between">
      <formula>AS$39</formula>
      <formula>1000</formula>
    </cfRule>
  </conditionalFormatting>
  <conditionalFormatting sqref="AN1:AN1048576 BR1:BR1048576 CV1:CV1048576">
    <cfRule type="cellIs" dxfId="119" priority="50762" operator="between">
      <formula>AS$38</formula>
      <formula>1000</formula>
    </cfRule>
    <cfRule type="cellIs" dxfId="118" priority="50763" operator="between">
      <formula>AS$37</formula>
      <formula>AS$38</formula>
    </cfRule>
    <cfRule type="cellIs" dxfId="117" priority="50764" operator="between">
      <formula>AS$36</formula>
      <formula>AS$37</formula>
    </cfRule>
    <cfRule type="cellIs" dxfId="116" priority="50765" operator="between">
      <formula>AS$35</formula>
      <formula>AS$36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15" priority="50798" operator="between">
      <formula>AS$38</formula>
      <formula>1000</formula>
    </cfRule>
    <cfRule type="cellIs" dxfId="114" priority="50799" operator="between">
      <formula>AS$37</formula>
      <formula>AS$38</formula>
    </cfRule>
    <cfRule type="cellIs" dxfId="113" priority="50800" operator="between">
      <formula>AS$36</formula>
      <formula>AS$37</formula>
    </cfRule>
    <cfRule type="cellIs" dxfId="112" priority="50801" operator="between">
      <formula>AS$35</formula>
      <formula>AS$36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129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183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205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159</v>
      </c>
      <c r="CV1" s="101"/>
      <c r="CW1" s="99" t="s">
        <v>124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125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170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174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 t="s">
        <v>175</v>
      </c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 t="s">
        <v>176</v>
      </c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 t="s">
        <v>179</v>
      </c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 t="s">
        <v>182</v>
      </c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160</v>
      </c>
      <c r="S2" s="100"/>
      <c r="T2" s="100"/>
      <c r="U2" s="100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10" t="s">
        <v>164</v>
      </c>
      <c r="AI2" s="110"/>
      <c r="AJ2" s="110"/>
      <c r="AK2" s="110"/>
      <c r="AL2" s="71"/>
      <c r="AM2" s="71" t="s">
        <v>165</v>
      </c>
      <c r="AN2" s="71" t="s">
        <v>166</v>
      </c>
      <c r="AO2" s="71" t="s">
        <v>162</v>
      </c>
      <c r="AP2" s="71" t="s">
        <v>57</v>
      </c>
      <c r="AQ2" s="71" t="s">
        <v>167</v>
      </c>
      <c r="AR2" s="71" t="s">
        <v>15</v>
      </c>
      <c r="AS2" s="102" t="s">
        <v>160</v>
      </c>
      <c r="AT2" s="102"/>
      <c r="AU2" s="102"/>
      <c r="AV2" s="102"/>
      <c r="AW2" s="102" t="s">
        <v>161</v>
      </c>
      <c r="AX2" s="102"/>
      <c r="AY2" s="102"/>
      <c r="AZ2" s="102"/>
      <c r="BA2" s="102" t="s">
        <v>162</v>
      </c>
      <c r="BB2" s="102"/>
      <c r="BC2" s="102"/>
      <c r="BD2" s="102"/>
      <c r="BE2" s="102" t="s">
        <v>163</v>
      </c>
      <c r="BF2" s="102"/>
      <c r="BG2" s="102"/>
      <c r="BH2" s="102"/>
      <c r="BI2" s="111" t="s">
        <v>164</v>
      </c>
      <c r="BJ2" s="111"/>
      <c r="BK2" s="111"/>
      <c r="BL2" s="111"/>
      <c r="BM2" s="70"/>
      <c r="BN2" s="70" t="s">
        <v>165</v>
      </c>
      <c r="BO2" s="70" t="s">
        <v>166</v>
      </c>
      <c r="BP2" s="70" t="s">
        <v>162</v>
      </c>
      <c r="BQ2" s="70" t="s">
        <v>57</v>
      </c>
      <c r="BR2" s="70" t="s">
        <v>167</v>
      </c>
      <c r="BS2" s="70" t="s">
        <v>15</v>
      </c>
      <c r="BT2" s="100" t="s">
        <v>160</v>
      </c>
      <c r="BU2" s="100"/>
      <c r="BV2" s="100"/>
      <c r="BW2" s="100"/>
      <c r="BX2" s="100" t="s">
        <v>161</v>
      </c>
      <c r="BY2" s="100"/>
      <c r="BZ2" s="100"/>
      <c r="CA2" s="100"/>
      <c r="CB2" s="100" t="s">
        <v>162</v>
      </c>
      <c r="CC2" s="100"/>
      <c r="CD2" s="100"/>
      <c r="CE2" s="100"/>
      <c r="CF2" s="100" t="s">
        <v>163</v>
      </c>
      <c r="CG2" s="100"/>
      <c r="CH2" s="100"/>
      <c r="CI2" s="100"/>
      <c r="CJ2" s="110" t="s">
        <v>164</v>
      </c>
      <c r="CK2" s="110"/>
      <c r="CL2" s="110"/>
      <c r="CM2" s="110"/>
      <c r="CN2" s="71"/>
      <c r="CO2" s="71" t="s">
        <v>165</v>
      </c>
      <c r="CP2" s="71" t="s">
        <v>166</v>
      </c>
      <c r="CQ2" s="71" t="s">
        <v>162</v>
      </c>
      <c r="CR2" s="71" t="s">
        <v>57</v>
      </c>
      <c r="CS2" s="71" t="s">
        <v>167</v>
      </c>
      <c r="CT2" s="71" t="s">
        <v>15</v>
      </c>
      <c r="CU2" s="76" t="s">
        <v>166</v>
      </c>
      <c r="CV2" s="76" t="s">
        <v>20</v>
      </c>
      <c r="CW2" s="100" t="s">
        <v>160</v>
      </c>
      <c r="CX2" s="100"/>
      <c r="CY2" s="100"/>
      <c r="CZ2" s="100"/>
      <c r="DA2" s="100" t="s">
        <v>161</v>
      </c>
      <c r="DB2" s="100"/>
      <c r="DC2" s="100"/>
      <c r="DD2" s="100"/>
      <c r="DE2" s="100" t="s">
        <v>162</v>
      </c>
      <c r="DF2" s="100"/>
      <c r="DG2" s="100"/>
      <c r="DH2" s="100"/>
      <c r="DI2" s="100" t="s">
        <v>163</v>
      </c>
      <c r="DJ2" s="100"/>
      <c r="DK2" s="100"/>
      <c r="DL2" s="100"/>
      <c r="DM2" s="109" t="s">
        <v>164</v>
      </c>
      <c r="DN2" s="109"/>
      <c r="DO2" s="109"/>
      <c r="DP2" s="109"/>
      <c r="DQ2" s="71" t="s">
        <v>165</v>
      </c>
      <c r="DR2" s="71" t="s">
        <v>166</v>
      </c>
      <c r="DS2" s="71" t="s">
        <v>162</v>
      </c>
      <c r="DT2" s="71" t="s">
        <v>57</v>
      </c>
      <c r="DU2" s="71" t="s">
        <v>167</v>
      </c>
      <c r="DV2" s="71" t="s">
        <v>15</v>
      </c>
      <c r="DW2" s="102" t="s">
        <v>160</v>
      </c>
      <c r="DX2" s="102"/>
      <c r="DY2" s="102"/>
      <c r="DZ2" s="102"/>
      <c r="EA2" s="102" t="s">
        <v>161</v>
      </c>
      <c r="EB2" s="102"/>
      <c r="EC2" s="102"/>
      <c r="ED2" s="102"/>
      <c r="EE2" s="102" t="s">
        <v>162</v>
      </c>
      <c r="EF2" s="102"/>
      <c r="EG2" s="102"/>
      <c r="EH2" s="102"/>
      <c r="EI2" s="102" t="s">
        <v>163</v>
      </c>
      <c r="EJ2" s="102"/>
      <c r="EK2" s="102"/>
      <c r="EL2" s="102"/>
      <c r="EM2" s="111" t="s">
        <v>164</v>
      </c>
      <c r="EN2" s="111"/>
      <c r="EO2" s="111"/>
      <c r="EP2" s="111"/>
      <c r="EQ2" s="70" t="s">
        <v>165</v>
      </c>
      <c r="ER2" s="70" t="s">
        <v>166</v>
      </c>
      <c r="ES2" s="70" t="s">
        <v>162</v>
      </c>
      <c r="ET2" s="70" t="s">
        <v>57</v>
      </c>
      <c r="EU2" s="70" t="s">
        <v>167</v>
      </c>
      <c r="EV2" s="70" t="s">
        <v>15</v>
      </c>
      <c r="EW2" s="100" t="s">
        <v>160</v>
      </c>
      <c r="EX2" s="100"/>
      <c r="EY2" s="100"/>
      <c r="EZ2" s="100"/>
      <c r="FA2" s="100" t="s">
        <v>161</v>
      </c>
      <c r="FB2" s="100"/>
      <c r="FC2" s="100"/>
      <c r="FD2" s="100"/>
      <c r="FE2" s="100" t="s">
        <v>162</v>
      </c>
      <c r="FF2" s="100"/>
      <c r="FG2" s="100"/>
      <c r="FH2" s="100"/>
      <c r="FI2" s="100" t="s">
        <v>163</v>
      </c>
      <c r="FJ2" s="100"/>
      <c r="FK2" s="100"/>
      <c r="FL2" s="100"/>
      <c r="FM2" s="109" t="s">
        <v>164</v>
      </c>
      <c r="FN2" s="109"/>
      <c r="FO2" s="109"/>
      <c r="FP2" s="109"/>
      <c r="FQ2" s="71" t="s">
        <v>165</v>
      </c>
      <c r="FR2" s="71" t="s">
        <v>166</v>
      </c>
      <c r="FS2" s="71" t="s">
        <v>162</v>
      </c>
      <c r="FT2" s="71" t="s">
        <v>57</v>
      </c>
      <c r="FU2" s="71" t="s">
        <v>167</v>
      </c>
      <c r="FV2" s="71" t="s">
        <v>15</v>
      </c>
      <c r="FW2" s="102" t="s">
        <v>160</v>
      </c>
      <c r="FX2" s="102"/>
      <c r="FY2" s="102"/>
      <c r="FZ2" s="102"/>
      <c r="GA2" s="102" t="s">
        <v>161</v>
      </c>
      <c r="GB2" s="102"/>
      <c r="GC2" s="102"/>
      <c r="GD2" s="102"/>
      <c r="GE2" s="102" t="s">
        <v>162</v>
      </c>
      <c r="GF2" s="102"/>
      <c r="GG2" s="102"/>
      <c r="GH2" s="102"/>
      <c r="GI2" s="102" t="s">
        <v>163</v>
      </c>
      <c r="GJ2" s="102"/>
      <c r="GK2" s="102"/>
      <c r="GL2" s="102"/>
      <c r="GM2" s="111" t="s">
        <v>164</v>
      </c>
      <c r="GN2" s="111"/>
      <c r="GO2" s="111"/>
      <c r="GP2" s="111"/>
      <c r="GQ2" s="70" t="s">
        <v>165</v>
      </c>
      <c r="GR2" s="70" t="s">
        <v>166</v>
      </c>
      <c r="GS2" s="70" t="s">
        <v>162</v>
      </c>
      <c r="GT2" s="70" t="s">
        <v>57</v>
      </c>
      <c r="GU2" s="70" t="s">
        <v>167</v>
      </c>
      <c r="GV2" s="70" t="s">
        <v>15</v>
      </c>
      <c r="GW2" s="100" t="s">
        <v>160</v>
      </c>
      <c r="GX2" s="100"/>
      <c r="GY2" s="100"/>
      <c r="GZ2" s="100"/>
      <c r="HA2" s="100" t="s">
        <v>161</v>
      </c>
      <c r="HB2" s="100"/>
      <c r="HC2" s="100"/>
      <c r="HD2" s="100"/>
      <c r="HE2" s="100" t="s">
        <v>162</v>
      </c>
      <c r="HF2" s="100"/>
      <c r="HG2" s="100"/>
      <c r="HH2" s="100"/>
      <c r="HI2" s="100" t="s">
        <v>163</v>
      </c>
      <c r="HJ2" s="100"/>
      <c r="HK2" s="100"/>
      <c r="HL2" s="100"/>
      <c r="HM2" s="109" t="s">
        <v>164</v>
      </c>
      <c r="HN2" s="109"/>
      <c r="HO2" s="109"/>
      <c r="HP2" s="109"/>
      <c r="HQ2" s="71" t="s">
        <v>165</v>
      </c>
      <c r="HR2" s="71" t="s">
        <v>166</v>
      </c>
      <c r="HS2" s="71" t="s">
        <v>162</v>
      </c>
      <c r="HT2" s="71" t="s">
        <v>57</v>
      </c>
      <c r="HU2" s="71" t="s">
        <v>167</v>
      </c>
      <c r="HV2" s="71" t="s">
        <v>15</v>
      </c>
      <c r="HW2" s="102" t="s">
        <v>160</v>
      </c>
      <c r="HX2" s="102"/>
      <c r="HY2" s="102"/>
      <c r="HZ2" s="102"/>
      <c r="IA2" s="102" t="s">
        <v>161</v>
      </c>
      <c r="IB2" s="102"/>
      <c r="IC2" s="102"/>
      <c r="ID2" s="102"/>
      <c r="IE2" s="102" t="s">
        <v>162</v>
      </c>
      <c r="IF2" s="102"/>
      <c r="IG2" s="102"/>
      <c r="IH2" s="102"/>
      <c r="II2" s="102" t="s">
        <v>163</v>
      </c>
      <c r="IJ2" s="102"/>
      <c r="IK2" s="102"/>
      <c r="IL2" s="102"/>
      <c r="IM2" s="111" t="s">
        <v>164</v>
      </c>
      <c r="IN2" s="111"/>
      <c r="IO2" s="111"/>
      <c r="IP2" s="111"/>
      <c r="IQ2" s="70" t="s">
        <v>165</v>
      </c>
      <c r="IR2" s="70" t="s">
        <v>166</v>
      </c>
      <c r="IS2" s="70" t="s">
        <v>162</v>
      </c>
      <c r="IT2" s="70" t="s">
        <v>57</v>
      </c>
      <c r="IU2" s="70" t="s">
        <v>167</v>
      </c>
      <c r="IV2" s="70" t="s">
        <v>15</v>
      </c>
      <c r="IW2" s="100" t="s">
        <v>160</v>
      </c>
      <c r="IX2" s="100"/>
      <c r="IY2" s="100"/>
      <c r="IZ2" s="100"/>
      <c r="JA2" s="100" t="s">
        <v>161</v>
      </c>
      <c r="JB2" s="100"/>
      <c r="JC2" s="100"/>
      <c r="JD2" s="100"/>
      <c r="JE2" s="100" t="s">
        <v>162</v>
      </c>
      <c r="JF2" s="100"/>
      <c r="JG2" s="100"/>
      <c r="JH2" s="100"/>
      <c r="JI2" s="100" t="s">
        <v>163</v>
      </c>
      <c r="JJ2" s="100"/>
      <c r="JK2" s="100"/>
      <c r="JL2" s="100"/>
      <c r="JM2" s="109" t="s">
        <v>164</v>
      </c>
      <c r="JN2" s="109"/>
      <c r="JO2" s="109"/>
      <c r="JP2" s="109"/>
      <c r="JQ2" s="71" t="s">
        <v>165</v>
      </c>
      <c r="JR2" s="71" t="s">
        <v>166</v>
      </c>
      <c r="JS2" s="71" t="s">
        <v>162</v>
      </c>
      <c r="JT2" s="71" t="s">
        <v>57</v>
      </c>
      <c r="JU2" s="71" t="s">
        <v>167</v>
      </c>
      <c r="JV2" s="71" t="s">
        <v>15</v>
      </c>
      <c r="JW2" s="102" t="s">
        <v>160</v>
      </c>
      <c r="JX2" s="102"/>
      <c r="JY2" s="102"/>
      <c r="JZ2" s="102"/>
      <c r="KA2" s="102" t="s">
        <v>161</v>
      </c>
      <c r="KB2" s="102"/>
      <c r="KC2" s="102"/>
      <c r="KD2" s="102"/>
      <c r="KE2" s="102" t="s">
        <v>162</v>
      </c>
      <c r="KF2" s="102"/>
      <c r="KG2" s="102"/>
      <c r="KH2" s="102"/>
      <c r="KI2" s="102" t="s">
        <v>163</v>
      </c>
      <c r="KJ2" s="102"/>
      <c r="KK2" s="102"/>
      <c r="KL2" s="102"/>
      <c r="KM2" s="111" t="s">
        <v>164</v>
      </c>
      <c r="KN2" s="111"/>
      <c r="KO2" s="111"/>
      <c r="KP2" s="111"/>
      <c r="KQ2" s="70" t="s">
        <v>165</v>
      </c>
      <c r="KR2" s="70" t="s">
        <v>166</v>
      </c>
      <c r="KS2" s="70" t="s">
        <v>162</v>
      </c>
      <c r="KT2" s="70" t="s">
        <v>57</v>
      </c>
      <c r="KU2" s="70" t="s">
        <v>167</v>
      </c>
      <c r="KV2" s="70" t="s">
        <v>15</v>
      </c>
      <c r="KW2" s="100" t="s">
        <v>160</v>
      </c>
      <c r="KX2" s="100"/>
      <c r="KY2" s="100"/>
      <c r="KZ2" s="100"/>
      <c r="LA2" s="100" t="s">
        <v>161</v>
      </c>
      <c r="LB2" s="100"/>
      <c r="LC2" s="100"/>
      <c r="LD2" s="100"/>
      <c r="LE2" s="100" t="s">
        <v>162</v>
      </c>
      <c r="LF2" s="100"/>
      <c r="LG2" s="100"/>
      <c r="LH2" s="100"/>
      <c r="LI2" s="100" t="s">
        <v>163</v>
      </c>
      <c r="LJ2" s="100"/>
      <c r="LK2" s="100"/>
      <c r="LL2" s="100"/>
      <c r="LM2" s="109" t="s">
        <v>164</v>
      </c>
      <c r="LN2" s="109"/>
      <c r="LO2" s="109"/>
      <c r="LP2" s="109"/>
      <c r="LQ2" s="71" t="s">
        <v>165</v>
      </c>
      <c r="LR2" s="71" t="s">
        <v>166</v>
      </c>
      <c r="LS2" s="71" t="s">
        <v>162</v>
      </c>
      <c r="LT2" s="71" t="s">
        <v>57</v>
      </c>
      <c r="LU2" s="71" t="s">
        <v>167</v>
      </c>
      <c r="LV2" s="71" t="s">
        <v>15</v>
      </c>
      <c r="LW2" s="102" t="s">
        <v>160</v>
      </c>
      <c r="LX2" s="102"/>
      <c r="LY2" s="102"/>
      <c r="LZ2" s="102"/>
      <c r="MA2" s="102" t="s">
        <v>161</v>
      </c>
      <c r="MB2" s="102"/>
      <c r="MC2" s="102"/>
      <c r="MD2" s="102"/>
      <c r="ME2" s="102" t="s">
        <v>162</v>
      </c>
      <c r="MF2" s="102"/>
      <c r="MG2" s="102"/>
      <c r="MH2" s="102"/>
      <c r="MI2" s="102" t="s">
        <v>163</v>
      </c>
      <c r="MJ2" s="102"/>
      <c r="MK2" s="102"/>
      <c r="ML2" s="102"/>
      <c r="MM2" s="111" t="s">
        <v>164</v>
      </c>
      <c r="MN2" s="111"/>
      <c r="MO2" s="111"/>
      <c r="MP2" s="111"/>
      <c r="MQ2" s="70" t="s">
        <v>165</v>
      </c>
      <c r="MR2" s="70" t="s">
        <v>166</v>
      </c>
      <c r="MS2" s="70" t="s">
        <v>162</v>
      </c>
      <c r="MT2" s="70" t="s">
        <v>57</v>
      </c>
      <c r="MU2" s="70" t="s">
        <v>167</v>
      </c>
      <c r="MV2" s="70" t="s">
        <v>15</v>
      </c>
      <c r="MW2" s="100" t="s">
        <v>160</v>
      </c>
      <c r="MX2" s="100"/>
      <c r="MY2" s="100"/>
      <c r="MZ2" s="100"/>
      <c r="NA2" s="100" t="s">
        <v>161</v>
      </c>
      <c r="NB2" s="100"/>
      <c r="NC2" s="100"/>
      <c r="ND2" s="100"/>
      <c r="NE2" s="100" t="s">
        <v>162</v>
      </c>
      <c r="NF2" s="100"/>
      <c r="NG2" s="100"/>
      <c r="NH2" s="100"/>
      <c r="NI2" s="100" t="s">
        <v>163</v>
      </c>
      <c r="NJ2" s="100"/>
      <c r="NK2" s="100"/>
      <c r="NL2" s="100"/>
      <c r="NM2" s="109" t="s">
        <v>164</v>
      </c>
      <c r="NN2" s="109"/>
      <c r="NO2" s="109"/>
      <c r="NP2" s="109"/>
      <c r="NQ2" s="71" t="s">
        <v>165</v>
      </c>
      <c r="NR2" s="71" t="s">
        <v>166</v>
      </c>
      <c r="NS2" s="71" t="s">
        <v>162</v>
      </c>
      <c r="NT2" s="71" t="s">
        <v>57</v>
      </c>
      <c r="NU2" s="71" t="s">
        <v>167</v>
      </c>
      <c r="NV2" s="71" t="s">
        <v>15</v>
      </c>
      <c r="NW2" s="102" t="s">
        <v>160</v>
      </c>
      <c r="NX2" s="102"/>
      <c r="NY2" s="102"/>
      <c r="NZ2" s="102"/>
      <c r="OA2" s="102" t="s">
        <v>161</v>
      </c>
      <c r="OB2" s="102"/>
      <c r="OC2" s="102"/>
      <c r="OD2" s="102"/>
      <c r="OE2" s="102" t="s">
        <v>162</v>
      </c>
      <c r="OF2" s="102"/>
      <c r="OG2" s="102"/>
      <c r="OH2" s="102"/>
      <c r="OI2" s="102" t="s">
        <v>163</v>
      </c>
      <c r="OJ2" s="102"/>
      <c r="OK2" s="102"/>
      <c r="OL2" s="102"/>
      <c r="OM2" s="111" t="s">
        <v>164</v>
      </c>
      <c r="ON2" s="111"/>
      <c r="OO2" s="111"/>
      <c r="OP2" s="111"/>
      <c r="OQ2" s="70" t="s">
        <v>165</v>
      </c>
      <c r="OR2" s="70" t="s">
        <v>166</v>
      </c>
      <c r="OS2" s="70" t="s">
        <v>162</v>
      </c>
      <c r="OT2" s="70" t="s">
        <v>57</v>
      </c>
      <c r="OU2" s="70" t="s">
        <v>167</v>
      </c>
      <c r="OV2" s="70" t="s">
        <v>15</v>
      </c>
      <c r="OW2" s="100" t="s">
        <v>160</v>
      </c>
      <c r="OX2" s="100"/>
      <c r="OY2" s="100"/>
      <c r="OZ2" s="100"/>
      <c r="PA2" s="100" t="s">
        <v>161</v>
      </c>
      <c r="PB2" s="100"/>
      <c r="PC2" s="100"/>
      <c r="PD2" s="100"/>
      <c r="PE2" s="100" t="s">
        <v>162</v>
      </c>
      <c r="PF2" s="100"/>
      <c r="PG2" s="100"/>
      <c r="PH2" s="100"/>
      <c r="PI2" s="100" t="s">
        <v>163</v>
      </c>
      <c r="PJ2" s="100"/>
      <c r="PK2" s="100"/>
      <c r="PL2" s="100"/>
      <c r="PM2" s="110" t="s">
        <v>164</v>
      </c>
      <c r="PN2" s="110"/>
      <c r="PO2" s="110"/>
      <c r="PP2" s="110"/>
      <c r="PQ2" s="71"/>
      <c r="PR2" s="71" t="s">
        <v>165</v>
      </c>
      <c r="PS2" s="71" t="s">
        <v>166</v>
      </c>
      <c r="PT2" s="71" t="s">
        <v>162</v>
      </c>
      <c r="PU2" s="71" t="s">
        <v>57</v>
      </c>
      <c r="PV2" s="71" t="s">
        <v>167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IF(AND(F4="P",G4="P"),SUMPRODUCT((F$4:F$16="P")*(G$4:G$16="P")*(E$4:E$16&gt;E4))+1,IF(G4="P",SUMPRODUCT((F$4:F$16="")*(G$4:G$16="P")*(E$4:E$16&gt;E4))+1+SUMPRODUCT((F$4:F$16="P")*(G$4:G$16="P")),""))</f>
        <v>1</v>
      </c>
      <c r="B4" s="77" t="s">
        <v>147</v>
      </c>
      <c r="C4" s="5" t="s">
        <v>3</v>
      </c>
      <c r="D4" s="5">
        <v>2003</v>
      </c>
      <c r="E4" s="15">
        <f>SUM(I4:O4)+SUM(I4:M4)*0.0000001+SUM(I4)*0.0000000000001</f>
        <v>148.66001470200493</v>
      </c>
      <c r="F4" s="3" t="str">
        <f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66" t="str">
        <f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14">
        <f>IF(COUNT(AN4,BO4,CP4)&gt;0,LARGE((AN4,BO4,CP4),1),0)</f>
        <v>49.300000000000004</v>
      </c>
      <c r="J4" s="14" t="str">
        <f>IF(I4=0,"",IF(I4=CP4,$BT$1,IF(I4=BO4,$AS$1,IF(I4=AN4,$R$1,""))))</f>
        <v>2022 3rd Domestic Trial</v>
      </c>
      <c r="K4" s="14">
        <f>IF(COUNT(AN4,BO4,CP4)&gt;1,LARGE((AN4,BO4,CP4),2),0)</f>
        <v>48.26</v>
      </c>
      <c r="L4" s="14" t="str">
        <f>IF(K4=0,"",IF(K4=CP4,$BT$1,IF(K4=BO4,$AS$1,IF(K4=AN4,$R$1,""))))</f>
        <v>2022 Elite Canada</v>
      </c>
      <c r="M4" s="14">
        <f>IF(MAX(AQ4,BR4,CS4)&gt;0,MAX(AQ4,BR4,CS4),0)</f>
        <v>49.46</v>
      </c>
      <c r="N4" s="14" t="str">
        <f>IF(M4=0,"",IF(M4=CS4,$BT$1,IF(M4=BR4,$AS$1,IF(M4=AQ4,$R$1,""))))</f>
        <v>2022 3rd Domestic Trial</v>
      </c>
      <c r="O4" s="14">
        <f>IF(MAX(CU4:CV4)&gt;0,MAX(CU4:CV4),"")</f>
        <v>1.6400000000000006</v>
      </c>
      <c r="P4" s="19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Cup ITA (May 28)</v>
      </c>
      <c r="R4" s="26">
        <v>17.5</v>
      </c>
      <c r="S4" s="26">
        <v>6.5</v>
      </c>
      <c r="T4" s="26">
        <v>0</v>
      </c>
      <c r="U4" s="26">
        <v>0</v>
      </c>
      <c r="V4" s="26">
        <v>18.36</v>
      </c>
      <c r="W4" s="26">
        <v>5.9</v>
      </c>
      <c r="X4" s="26">
        <v>0</v>
      </c>
      <c r="Y4" s="26">
        <v>0</v>
      </c>
      <c r="Z4" s="26"/>
      <c r="AA4" s="26"/>
      <c r="AB4" s="26"/>
      <c r="AC4" s="26"/>
      <c r="AD4" s="26">
        <v>18.100000000000001</v>
      </c>
      <c r="AE4" s="26">
        <v>6.5</v>
      </c>
      <c r="AF4" s="26">
        <v>0</v>
      </c>
      <c r="AG4" s="26">
        <v>0</v>
      </c>
      <c r="AH4" s="26">
        <v>18.2</v>
      </c>
      <c r="AI4" s="26">
        <v>5.9</v>
      </c>
      <c r="AJ4" s="26">
        <v>0</v>
      </c>
      <c r="AK4" s="26">
        <v>0</v>
      </c>
      <c r="AL4" s="44"/>
      <c r="AM4" s="78">
        <f>IF(SUM(S4,W4)&gt;0,SUM(S4,W4),"")</f>
        <v>12.4</v>
      </c>
      <c r="AN4" s="78">
        <f>IF(SUM(R4:S4,U4:W4,Y4)-T4-X4&gt;0,SUM(R4:S4,U4:W4,Y4)-T4-X4,"")</f>
        <v>48.26</v>
      </c>
      <c r="AO4" s="78" t="str">
        <f>IF(SUM(Z4:AA4,AC4)-AB4&gt;0,SUM(Z4:AA4,AC4)-AB4,"")</f>
        <v/>
      </c>
      <c r="AP4" s="78">
        <f>IF(SUM(AE4,AI4)&gt;0,SUM(AE4,AI4),"")</f>
        <v>12.4</v>
      </c>
      <c r="AQ4" s="78">
        <f>IF(SUM(AD4:AE4,AG4:AI4,AK4)-SUM(AF4,AJ4)&gt;0,SUM(AD4:AE4,AG4:AI4,AK4)-SUM(AF4,AJ4),"")</f>
        <v>48.699999999999996</v>
      </c>
      <c r="AR4" s="78">
        <f>IF(SUM(AN4,AQ4)&gt;0,SUM(AN4,AQ4),"")</f>
        <v>96.96</v>
      </c>
      <c r="AS4" s="25">
        <v>8.75</v>
      </c>
      <c r="AT4" s="25">
        <v>3.25</v>
      </c>
      <c r="AU4" s="25">
        <v>0</v>
      </c>
      <c r="AV4" s="25">
        <v>0</v>
      </c>
      <c r="AW4" s="25">
        <v>9.18</v>
      </c>
      <c r="AX4" s="25">
        <v>2.95</v>
      </c>
      <c r="AY4" s="25">
        <v>0</v>
      </c>
      <c r="AZ4" s="25">
        <v>0</v>
      </c>
      <c r="BA4" s="25"/>
      <c r="BB4" s="25"/>
      <c r="BC4" s="25"/>
      <c r="BD4" s="25"/>
      <c r="BE4" s="25">
        <v>9.0500000000000007</v>
      </c>
      <c r="BF4" s="25">
        <v>3.25</v>
      </c>
      <c r="BG4" s="25">
        <v>0</v>
      </c>
      <c r="BH4" s="25">
        <v>0</v>
      </c>
      <c r="BI4" s="25">
        <v>9.1</v>
      </c>
      <c r="BJ4" s="25">
        <v>2.95</v>
      </c>
      <c r="BK4" s="25">
        <v>0</v>
      </c>
      <c r="BL4" s="25">
        <v>0</v>
      </c>
      <c r="BM4" s="45" t="s">
        <v>46</v>
      </c>
      <c r="BN4" s="19">
        <f>IF(SUM(AT4,AX4)&gt;0,SUM(AT4,AX4),"")</f>
        <v>6.2</v>
      </c>
      <c r="BO4" s="19">
        <f>IF(SUM(AS4:AT4,AV4:AX4,AZ4)-AU4-AY4&gt;0,SUM(AS4:AT4,AV4:AX4,AZ4)-AU4-AY4,"")</f>
        <v>24.13</v>
      </c>
      <c r="BP4" s="19" t="str">
        <f>IF(SUM(BA4:BB4,BD4)-BC4&gt;0,SUM(BA4:BB4,BD4)-BC4,"")</f>
        <v/>
      </c>
      <c r="BQ4" s="19">
        <f>IF(SUM(BF4,BJ4)&gt;0,SUM(BF4,BJ4),"")</f>
        <v>6.2</v>
      </c>
      <c r="BR4" s="19">
        <f>IF(SUM(BE4:BF4,BH4:BJ4,BL4)-SUM(BG4,BK4)&gt;0,SUM(BE4:BF4,BH4:BJ4,BL4)-SUM(BG4,BK4),"")</f>
        <v>24.349999999999998</v>
      </c>
      <c r="BS4" s="19">
        <f>IF(SUM(BO4,BR4)&gt;0,SUM(BO4,BR4),"")</f>
        <v>48.48</v>
      </c>
      <c r="BT4" s="26">
        <v>17.8</v>
      </c>
      <c r="BU4" s="26">
        <v>6.9</v>
      </c>
      <c r="BV4" s="26">
        <v>0</v>
      </c>
      <c r="BW4" s="26">
        <v>0</v>
      </c>
      <c r="BX4" s="26">
        <v>17.7</v>
      </c>
      <c r="BY4" s="26">
        <v>6.9</v>
      </c>
      <c r="BZ4" s="26">
        <v>0</v>
      </c>
      <c r="CA4" s="26">
        <v>0</v>
      </c>
      <c r="CB4" s="26"/>
      <c r="CC4" s="26"/>
      <c r="CD4" s="26"/>
      <c r="CE4" s="26"/>
      <c r="CF4" s="26">
        <v>17.96</v>
      </c>
      <c r="CG4" s="26">
        <v>6.9</v>
      </c>
      <c r="CH4" s="26">
        <v>0</v>
      </c>
      <c r="CI4" s="26">
        <v>0</v>
      </c>
      <c r="CJ4" s="26">
        <v>17.7</v>
      </c>
      <c r="CK4" s="26">
        <v>6.9</v>
      </c>
      <c r="CL4" s="26">
        <v>0</v>
      </c>
      <c r="CM4" s="26">
        <v>0</v>
      </c>
      <c r="CN4" s="44"/>
      <c r="CO4" s="78">
        <f>IF(SUM(BU4,BY4)&gt;0,SUM(BU4,BY4),"")</f>
        <v>13.8</v>
      </c>
      <c r="CP4" s="78">
        <f>IF(SUM(BT4:BU4,BW4:BY4,CA4)-BV4-BZ4&gt;0,SUM(BT4:BU4,BW4:BY4,CA4)-BV4-BZ4,"")</f>
        <v>49.300000000000004</v>
      </c>
      <c r="CQ4" s="78" t="str">
        <f>IF(SUM(CB4:CC4,CE4)-CD4&gt;0,SUM(CB4:CC4,CE4)-CD4,"")</f>
        <v/>
      </c>
      <c r="CR4" s="78">
        <f>IF(SUM(CG4,CK4)&gt;0,SUM(CG4,CK4),"")</f>
        <v>13.8</v>
      </c>
      <c r="CS4" s="78">
        <f>IF(SUM(CF4:CG4,CI4:CK4,CM4)-SUM(CH4,CL4)&gt;0,SUM(CF4:CG4,CI4:CK4,CM4)-SUM(CH4,CL4),"")</f>
        <v>49.46</v>
      </c>
      <c r="CT4" s="78">
        <f>IF(SUM(CP4,CS4)&gt;0,SUM(CP4,CS4),"")</f>
        <v>98.76</v>
      </c>
      <c r="CU4" s="79">
        <f>IF(K4&gt;=0.001,IF(MAX(DR4,ER4,FR4,GR4,HR4,IR4,JR4,KR4,LR4,MR4,NR4,OR4)-IF(K4="",0,K4)&gt;0.001,MAX(DR4,ER4,FR4,GR4,HR4,IR4,JR4,KR4,LR4,MR4,NR4,OR4)-IF(K4="",0,K4),""),"")</f>
        <v>1.6400000000000006</v>
      </c>
      <c r="CV4" s="79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>IF(SUM(CX4,DB4)&gt;0,SUM(CX4,DB4),"")</f>
        <v/>
      </c>
      <c r="DR4" s="78" t="str">
        <f>IF(SUM(CW4:CX4,CZ4:DB4,DD4)-CY4-DC4&gt;0,SUM(CW4:CX4,CZ4:DB4,DD4)-CY4-DC4,"")</f>
        <v/>
      </c>
      <c r="DS4" s="78" t="str">
        <f>IF(SUM(DE4:DF4,DH4)-DG4&gt;0,SUM(DE4:DF4,DH4)-DG4,"")</f>
        <v/>
      </c>
      <c r="DT4" s="78" t="str">
        <f>IF(SUM(DJ4,DN4)&gt;0,SUM(DJ4,DN4),"")</f>
        <v/>
      </c>
      <c r="DU4" s="78" t="str">
        <f>IF(SUM(DI4:DJ4,DL4:DN4,DP4)-SUM(DK4,DO4)&gt;0,SUM(DI4:DJ4,DL4:DN4,DP4)-SUM(DK4,DO4),"")</f>
        <v/>
      </c>
      <c r="DV4" s="78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19" t="str">
        <f>IF(SUM(DX4,EB4)&gt;0,SUM(DX4,EB4),"")</f>
        <v/>
      </c>
      <c r="ER4" s="19" t="str">
        <f>IF(SUM(DW4:DX4,DZ4:EB4,ED4)-DY4-EC4&gt;0,SUM(DW4:DX4,DZ4:EB4,ED4)-DY4-EC4,"")</f>
        <v/>
      </c>
      <c r="ES4" s="19" t="str">
        <f>IF(SUM(EE4:EF4,EH4)-EG4&gt;0,SUM(EE4:EF4,EH4)-EG4,"")</f>
        <v/>
      </c>
      <c r="ET4" s="19" t="str">
        <f>IF(SUM(EJ4,EN4)&gt;0,SUM(EJ4,EN4),"")</f>
        <v/>
      </c>
      <c r="EU4" s="19" t="str">
        <f>IF(SUM(EI4:EJ4,EL4:EN4,EP4)-SUM(EK4,EO4)&gt;0,SUM(EI4:EJ4,EL4:EN4,EP4)-SUM(EK4,EO4),"")</f>
        <v/>
      </c>
      <c r="EV4" s="19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>IF(SUM(EX4,FB4)&gt;0,SUM(EX4,FB4),"")</f>
        <v/>
      </c>
      <c r="FR4" s="78" t="str">
        <f>IF(SUM(EW4:EX4,EZ4:FB4,FD4)-EY4-FC4&gt;0,SUM(EW4:EX4,EZ4:FB4,FD4)-EY4-FC4,"")</f>
        <v/>
      </c>
      <c r="FS4" s="78" t="str">
        <f>IF(SUM(FE4:FF4,FH4)-FG4&gt;0,SUM(FE4:FF4,FH4)-FG4,"")</f>
        <v/>
      </c>
      <c r="FT4" s="78" t="str">
        <f>IF(SUM(FJ4,FN4)&gt;0,SUM(FJ4,FN4),"")</f>
        <v/>
      </c>
      <c r="FU4" s="78" t="str">
        <f>IF(SUM(FI4:FJ4,FL4:FN4,FP4)-SUM(FK4,FO4)&gt;0,SUM(FI4:FJ4,FL4:FN4,FP4)-SUM(FK4,FO4),"")</f>
        <v/>
      </c>
      <c r="FV4" s="78" t="str">
        <f>IF(SUM(FR4,FU4)&gt;0,SUM(FR4,FU4),"")</f>
        <v/>
      </c>
      <c r="FW4" s="25">
        <v>17.8</v>
      </c>
      <c r="FX4" s="25">
        <v>6.9</v>
      </c>
      <c r="FY4" s="25">
        <v>0</v>
      </c>
      <c r="FZ4" s="25">
        <v>0</v>
      </c>
      <c r="GA4" s="25">
        <v>17.3</v>
      </c>
      <c r="GB4" s="25">
        <v>5.7</v>
      </c>
      <c r="GC4" s="25">
        <v>0</v>
      </c>
      <c r="GD4" s="25">
        <v>0</v>
      </c>
      <c r="GE4" s="25"/>
      <c r="GF4" s="25"/>
      <c r="GG4" s="25"/>
      <c r="GH4" s="25"/>
      <c r="GI4" s="25">
        <v>17.5</v>
      </c>
      <c r="GJ4" s="25">
        <v>6.5</v>
      </c>
      <c r="GK4" s="25">
        <v>0</v>
      </c>
      <c r="GL4" s="25">
        <v>0</v>
      </c>
      <c r="GM4" s="25">
        <v>16.2</v>
      </c>
      <c r="GN4" s="25">
        <v>3.7</v>
      </c>
      <c r="GO4" s="25">
        <v>0</v>
      </c>
      <c r="GP4" s="25">
        <v>0</v>
      </c>
      <c r="GQ4" s="19">
        <f>IF(SUM(FX4,GB4)&gt;0,SUM(FX4,GB4),"")</f>
        <v>12.600000000000001</v>
      </c>
      <c r="GR4" s="19">
        <f>IF(SUM(FW4:FX4,FZ4:GB4,GD4)-FY4-GC4&gt;0,SUM(FW4:FX4,FZ4:GB4,GD4)-FY4-GC4,"")</f>
        <v>47.7</v>
      </c>
      <c r="GS4" s="19" t="str">
        <f>IF(SUM(GE4:GF4,GH4)-GG4&gt;0,SUM(GE4:GF4,GH4)-GG4,"")</f>
        <v/>
      </c>
      <c r="GT4" s="19">
        <f>IF(SUM(GJ4,GN4)&gt;0,SUM(GJ4,GN4),"")</f>
        <v>10.199999999999999</v>
      </c>
      <c r="GU4" s="19">
        <f>IF(SUM(GI4:GJ4,GL4:GN4,GP4)-SUM(GK4,GO4)&gt;0,SUM(GI4:GJ4,GL4:GN4,GP4)-SUM(GK4,GO4),"")</f>
        <v>43.900000000000006</v>
      </c>
      <c r="GV4" s="19">
        <f>IF(SUM(GR4,GU4)&gt;0,SUM(GR4,GU4),"")</f>
        <v>91.600000000000009</v>
      </c>
      <c r="GW4" s="24">
        <v>17.7</v>
      </c>
      <c r="GX4" s="24">
        <v>7.7</v>
      </c>
      <c r="GY4" s="24">
        <v>0</v>
      </c>
      <c r="GZ4" s="24">
        <v>0</v>
      </c>
      <c r="HA4" s="24">
        <v>17.600000000000001</v>
      </c>
      <c r="HB4" s="24">
        <v>6.9</v>
      </c>
      <c r="HC4" s="24">
        <v>0</v>
      </c>
      <c r="HD4" s="24">
        <v>0</v>
      </c>
      <c r="HE4" s="24"/>
      <c r="HF4" s="24"/>
      <c r="HG4" s="24"/>
      <c r="HH4" s="24"/>
      <c r="HI4" s="24">
        <v>18</v>
      </c>
      <c r="HJ4" s="24">
        <v>7.7</v>
      </c>
      <c r="HK4" s="24">
        <v>0</v>
      </c>
      <c r="HL4" s="24">
        <v>0</v>
      </c>
      <c r="HM4" s="24"/>
      <c r="HN4" s="24"/>
      <c r="HO4" s="24"/>
      <c r="HP4" s="24"/>
      <c r="HQ4" s="78">
        <f>IF(SUM(GX4,HB4)&gt;0,SUM(GX4,HB4),"")</f>
        <v>14.600000000000001</v>
      </c>
      <c r="HR4" s="78">
        <f>IF(SUM(GW4:GX4,GZ4:HB4,HD4)-GY4-HC4&gt;0,SUM(GW4:GX4,GZ4:HB4,HD4)-GY4-HC4,"")</f>
        <v>49.9</v>
      </c>
      <c r="HS4" s="78" t="str">
        <f>IF(SUM(HE4:HF4,HH4)-HG4&gt;0,SUM(HE4:HF4,HH4)-HG4,"")</f>
        <v/>
      </c>
      <c r="HT4" s="78">
        <f>IF(SUM(HJ4,HN4)&gt;0,SUM(HJ4,HN4),"")</f>
        <v>7.7</v>
      </c>
      <c r="HU4" s="78">
        <f>IF(SUM(HI4:HJ4,HL4:HN4,HP4)-SUM(HK4,HO4)&gt;0,SUM(HI4:HJ4,HL4:HN4,HP4)-SUM(HK4,HO4),"")</f>
        <v>25.7</v>
      </c>
      <c r="HV4" s="78">
        <f>IF(SUM(HR4,HU4)&gt;0,SUM(HR4,HU4),"")</f>
        <v>75.599999999999994</v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>IF(SUM(HX4,IB4)&gt;0,SUM(HX4,IB4),"")</f>
        <v/>
      </c>
      <c r="IR4" s="19" t="str">
        <f>IF(SUM(HW4:HX4,HZ4:IB4,ID4)-HY4-IC4&gt;0,SUM(HW4:HX4,HZ4:IB4,ID4)-HY4-IC4,"")</f>
        <v/>
      </c>
      <c r="IS4" s="19" t="str">
        <f>IF(SUM(IE4:IF4,IH4)-IG4&gt;0,SUM(IE4:IF4,IH4)-IG4,"")</f>
        <v/>
      </c>
      <c r="IT4" s="19" t="str">
        <f>IF(SUM(IJ4,IN4)&gt;0,SUM(IJ4,IN4),"")</f>
        <v/>
      </c>
      <c r="IU4" s="19" t="str">
        <f>IF(SUM(II4:IJ4,IL4:IN4,IP4)-SUM(IK4,IO4)&gt;0,SUM(II4:IJ4,IL4:IN4,IP4)-SUM(IK4,IO4),"")</f>
        <v/>
      </c>
      <c r="IV4" s="19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>IF(SUM(IX4,JB4)&gt;0,SUM(IX4,JB4),"")</f>
        <v/>
      </c>
      <c r="JR4" s="78" t="str">
        <f>IF(SUM(IW4:IX4,IZ4:JB4,JD4)-IY4-JC4&gt;0,SUM(IW4:IX4,IZ4:JB4,JD4)-IY4-JC4,"")</f>
        <v/>
      </c>
      <c r="JS4" s="78" t="str">
        <f>IF(SUM(JE4:JF4,JH4)-JG4&gt;0,SUM(JE4:JF4,JH4)-JG4,"")</f>
        <v/>
      </c>
      <c r="JT4" s="78" t="str">
        <f>IF(SUM(JJ4,JN4)&gt;0,SUM(JJ4,JN4),"")</f>
        <v/>
      </c>
      <c r="JU4" s="78" t="str">
        <f>IF(SUM(JI4:JJ4,JL4:JN4,JP4)-SUM(JK4,JO4)&gt;0,SUM(JI4:JJ4,JL4:JN4,JP4)-SUM(JK4,JO4),"")</f>
        <v/>
      </c>
      <c r="JV4" s="78" t="str">
        <f>IF(SUM(JR4,JU4)&gt;0,SUM(JR4,JU4),"")</f>
        <v/>
      </c>
      <c r="JW4" s="25">
        <v>16.8</v>
      </c>
      <c r="JX4" s="25">
        <v>7.3</v>
      </c>
      <c r="JY4" s="25">
        <v>0</v>
      </c>
      <c r="JZ4" s="25">
        <v>0</v>
      </c>
      <c r="KA4" s="25">
        <v>16.399999999999999</v>
      </c>
      <c r="KB4" s="25">
        <v>3.7</v>
      </c>
      <c r="KC4" s="25">
        <v>0</v>
      </c>
      <c r="KD4" s="25">
        <v>0</v>
      </c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>
        <f>IF(SUM(JX4,KB4)&gt;0,SUM(JX4,KB4),"")</f>
        <v>11</v>
      </c>
      <c r="KR4" s="19">
        <f>IF(SUM(JW4:JX4,JZ4:KB4,KD4)-JY4-KC4&gt;0,SUM(JW4:JX4,JZ4:KB4,KD4)-JY4-KC4,"")</f>
        <v>44.2</v>
      </c>
      <c r="KS4" s="19" t="str">
        <f>IF(SUM(KE4:KF4,KH4)-KG4&gt;0,SUM(KE4:KF4,KH4)-KG4,"")</f>
        <v/>
      </c>
      <c r="KT4" s="19" t="str">
        <f>IF(SUM(KJ4,KN4)&gt;0,SUM(KJ4,KN4),"")</f>
        <v/>
      </c>
      <c r="KU4" s="19" t="str">
        <f>IF(SUM(KI4:KJ4,KL4:KN4,KP4)-SUM(KK4,KO4)&gt;0,SUM(KI4:KJ4,KL4:KN4,KP4)-SUM(KK4,KO4),"")</f>
        <v/>
      </c>
      <c r="KV4" s="19">
        <f>IF(SUM(KR4,KU4)&gt;0,SUM(KR4,KU4),"")</f>
        <v>44.2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>IF(SUM(KX4,LB4)&gt;0,SUM(KX4,LB4),"")</f>
        <v/>
      </c>
      <c r="LR4" s="78" t="str">
        <f>IF(SUM(KW4:KX4,KZ4:LB4,LD4)-KY4-LC4&gt;0,SUM(KW4:KX4,KZ4:LB4,LD4)-KY4-LC4,"")</f>
        <v/>
      </c>
      <c r="LS4" s="78" t="str">
        <f>IF(SUM(LE4:LF4,LH4)-LG4&gt;0,SUM(LE4:LF4,LH4)-LG4,"")</f>
        <v/>
      </c>
      <c r="LT4" s="78" t="str">
        <f>IF(SUM(LJ4,LN4)&gt;0,SUM(LJ4,LN4),"")</f>
        <v/>
      </c>
      <c r="LU4" s="78" t="str">
        <f>IF(SUM(LI4:LJ4,LL4:LN4,LP4)-SUM(LK4,LO4)&gt;0,SUM(LI4:LJ4,LL4:LN4,LP4)-SUM(LK4,LO4),"")</f>
        <v/>
      </c>
      <c r="LV4" s="78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>IF(SUM(LX4,MB4)&gt;0,SUM(LX4,MB4),"")</f>
        <v/>
      </c>
      <c r="MR4" s="19" t="str">
        <f>IF(SUM(LW4:LX4,LZ4:MB4,MD4)-LY4-MC4&gt;0,SUM(LW4:LX4,LZ4:MB4,MD4)-LY4-MC4,"")</f>
        <v/>
      </c>
      <c r="MS4" s="19" t="str">
        <f>IF(SUM(ME4:MF4,MH4)-MG4&gt;0,SUM(ME4:MF4,MH4)-MG4,"")</f>
        <v/>
      </c>
      <c r="MT4" s="19" t="str">
        <f>IF(SUM(MJ4,MN4)&gt;0,SUM(MJ4,MN4),"")</f>
        <v/>
      </c>
      <c r="MU4" s="19" t="str">
        <f>IF(SUM(MI4:MJ4,ML4:MN4,MP4)-SUM(MK4,MO4)&gt;0,SUM(MI4:MJ4,ML4:MN4,MP4)-SUM(MK4,MO4),"")</f>
        <v/>
      </c>
      <c r="MV4" s="19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>IF(SUM(MX4,NB4)&gt;0,SUM(MX4,NB4),"")</f>
        <v/>
      </c>
      <c r="NR4" s="78" t="str">
        <f>IF(SUM(MW4:MX4,MZ4:NB4,ND4)-MY4-NC4&gt;0,SUM(MW4:MX4,MZ4:NB4,ND4)-MY4-NC4,"")</f>
        <v/>
      </c>
      <c r="NS4" s="78" t="str">
        <f>IF(SUM(NE4:NF4,NH4)-NG4&gt;0,SUM(NE4:NF4,NH4)-NG4,"")</f>
        <v/>
      </c>
      <c r="NT4" s="78" t="str">
        <f>IF(SUM(NJ4,NN4)&gt;0,SUM(NJ4,NN4),"")</f>
        <v/>
      </c>
      <c r="NU4" s="78" t="str">
        <f>IF(SUM(NI4:NJ4,NL4:NN4,NP4)-SUM(NK4,NO4)&gt;0,SUM(NI4:NJ4,NL4:NN4,NP4)-SUM(NK4,NO4),"")</f>
        <v/>
      </c>
      <c r="NV4" s="78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>IF(SUM(NX4,OB4)&gt;0,SUM(NX4,OB4),"")</f>
        <v/>
      </c>
      <c r="OR4" s="19" t="str">
        <f>IF(SUM(NW4:NX4,NZ4:OB4,OD4)-NY4-OC4&gt;0,SUM(NW4:NX4,NZ4:OB4,OD4)-NY4-OC4,"")</f>
        <v/>
      </c>
      <c r="OS4" s="19" t="str">
        <f>IF(SUM(OE4:OF4,OH4)-OG4&gt;0,SUM(OE4:OF4,OH4)-OG4,"")</f>
        <v/>
      </c>
      <c r="OT4" s="19" t="str">
        <f>IF(SUM(OJ4,ON4)&gt;0,SUM(OJ4,ON4),"")</f>
        <v/>
      </c>
      <c r="OU4" s="19" t="str">
        <f>IF(SUM(OI4:OJ4,OL4:ON4,OP4)-SUM(OK4,OO4)&gt;0,SUM(OI4:OJ4,OL4:ON4,OP4)-SUM(OK4,OO4),"")</f>
        <v/>
      </c>
      <c r="OV4" s="19" t="str">
        <f>IF(SUM(OR4,OU4)&gt;0,SUM(OR4,OU4),"")</f>
        <v/>
      </c>
      <c r="OW4" s="37">
        <f>IF($CN4="P",BT4,(BT4+AS4)/2)</f>
        <v>13.275</v>
      </c>
      <c r="OX4" s="37">
        <f>IF($CN4="P",BU4,(BU4+AT4)/2)</f>
        <v>5.0750000000000002</v>
      </c>
      <c r="OY4" s="37">
        <f>IF($CN4="P",BV4,(BV4+AU4)/2)</f>
        <v>0</v>
      </c>
      <c r="OZ4" s="37">
        <f>IF($CN4="P",BW4,(BW4+AV4)/2)</f>
        <v>0</v>
      </c>
      <c r="PA4" s="37">
        <f>IF($CN4="P",BX4,(BX4+AW4)/2)</f>
        <v>13.44</v>
      </c>
      <c r="PB4" s="37">
        <f>IF($CN4="P",BY4,(BY4+AX4)/2)</f>
        <v>4.9250000000000007</v>
      </c>
      <c r="PC4" s="37">
        <f>IF($CN4="P",BZ4,(BZ4+AY4)/2)</f>
        <v>0</v>
      </c>
      <c r="PD4" s="37">
        <f>IF($CN4="P",CA4,(CA4+AZ4)/2)</f>
        <v>0</v>
      </c>
      <c r="PE4" s="37">
        <f>IF($CN4="P",CB4,(CB4+BA4)/2)</f>
        <v>0</v>
      </c>
      <c r="PF4" s="37">
        <f>IF($CN4="P",CC4,(CC4+BB4)/2)</f>
        <v>0</v>
      </c>
      <c r="PG4" s="37">
        <f>IF($CN4="P",CD4,(CD4+BC4)/2)</f>
        <v>0</v>
      </c>
      <c r="PH4" s="37">
        <f>IF($CN4="P",CE4,(CE4+BD4)/2)</f>
        <v>0</v>
      </c>
      <c r="PI4" s="37">
        <f>IF($CN4="P",CF4,(CF4+BE4)/2)</f>
        <v>13.505000000000001</v>
      </c>
      <c r="PJ4" s="37">
        <f>IF($CN4="P",CG4,(CG4+BF4)/2)</f>
        <v>5.0750000000000002</v>
      </c>
      <c r="PK4" s="37">
        <f>IF($CN4="P",CH4,(CH4+BG4)/2)</f>
        <v>0</v>
      </c>
      <c r="PL4" s="37">
        <f>IF($CN4="P",CI4,(CI4+BH4)/2)</f>
        <v>0</v>
      </c>
      <c r="PM4" s="37">
        <f>IF($CN4="P",CJ4,(CJ4+BI4)/2)</f>
        <v>13.399999999999999</v>
      </c>
      <c r="PN4" s="37">
        <f>IF($CN4="P",CK4,(CK4+BJ4)/2)</f>
        <v>4.9250000000000007</v>
      </c>
      <c r="PO4" s="37">
        <f>IF($CN4="P",CL4,(CL4+BK4)/2)</f>
        <v>0</v>
      </c>
      <c r="PP4" s="37">
        <f>IF($CN4="P",CM4,(CM4+BL4)/2)</f>
        <v>0</v>
      </c>
      <c r="PQ4" s="44" t="s">
        <v>46</v>
      </c>
      <c r="PR4" s="78">
        <f>IF(SUM(OX4,PB4)&gt;0,SUM(OX4,PB4),"")</f>
        <v>10</v>
      </c>
      <c r="PS4" s="78">
        <f>IF(SUM(OW4:OX4,OZ4:PB4,PD4)-OY4-PC4&gt;0,SUM(OW4:OX4,OZ4:PB4,PD4)-OY4-PC4,"")</f>
        <v>36.715000000000003</v>
      </c>
      <c r="PT4" s="78" t="str">
        <f>IF(SUM(PE4:PF4,PH4)-PG4&gt;0,SUM(PE4:PF4,PH4)-PG4,"")</f>
        <v/>
      </c>
      <c r="PU4" s="78">
        <f>IF(SUM(PJ4,PN4)&gt;0,SUM(PJ4,PN4),"")</f>
        <v>10</v>
      </c>
      <c r="PV4" s="78">
        <f>IF(SUM(PI4:PJ4,PL4:PN4,PP4)-SUM(PK4,PO4)&gt;0,SUM(PI4:PJ4,PL4:PN4,PP4)-SUM(PK4,PO4),"")</f>
        <v>36.905000000000001</v>
      </c>
      <c r="PW4" s="78">
        <f>IF(SUM(PS4,PV4)&gt;0,SUM(PS4,PV4),"")</f>
        <v>73.62</v>
      </c>
    </row>
    <row r="5" spans="1:439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77" t="s">
        <v>73</v>
      </c>
      <c r="C5" s="5" t="s">
        <v>4</v>
      </c>
      <c r="D5" s="5">
        <v>2002</v>
      </c>
      <c r="E5" s="15">
        <f>SUM(I5:O5)+SUM(I5:M5)*0.0000001+SUM(I5)*0.0000000000001</f>
        <v>136.40001317000426</v>
      </c>
      <c r="F5" s="3" t="str">
        <f>IF(OR(AND(AM5&gt;=AR$18,AN5&gt;=AR$22,AM5&lt;&gt;"",AL5=""),AND(AP5&gt;=AR$18,AQ5&gt;=AR$22,AP5&lt;&gt;"",AL5=""),AND(BN5&gt;=BS$18,BO5&gt;=BS$22,BN5&lt;&gt;"",BM5=""),AND(BQ5&gt;=BS$18,BR5&gt;=BS$22,BQ5&lt;&gt;"",BM5=""),AND(CO5&gt;=CT$18,CP5&gt;=CT$22,CO5&lt;&gt;"",CN5=""),AND(CR5&gt;=CT$18,CS5&gt;=CT$22,CR5&lt;&gt;""),AND(DQ5&gt;=DV$18,DR5&gt;=DV$22,DQ5&lt;&gt;""),AND(DT5&gt;=DV$18,DU5&gt;=DV$22,DT5&lt;&gt;""),AND(EQ5&gt;=EV$18,ER5&gt;=EV$22,EQ5&lt;&gt;""),AND(ET5&gt;=EV$18,EU5&gt;=EV$22,ET5&lt;&gt;""),AND(FQ5&gt;=FV$18,FR5&gt;=FV$22,FQ5&lt;&gt;""),AND(FT5&gt;=FV$18,FU5&gt;=FV$22,FT5&lt;&gt;""),AND(GQ5&gt;=GV$18,GR5&gt;=GV$22,GQ5&lt;&gt;""),AND(GT5&gt;=GV$18,GU5&gt;=GV$22,GT5&lt;&gt;""),AND(HQ5&gt;=HV$18,HR5&gt;=HV$22,HQ5&lt;&gt;""),AND(HT5&gt;=HV$18,HU5&gt;=HV$22,HT5&lt;&gt;""),AND(IQ5&gt;=IV$18,IR5&gt;=IV$22,IQ5&lt;&gt;""),AND(IT5&gt;=IV$18,IU5&gt;=IV$22,IT5&lt;&gt;""),AND(JQ5&gt;=JV$18,JR5&gt;=JV$22,JQ5&lt;&gt;""),AND(JT5&gt;=JV$18,JU5&gt;=JV$22,JT5&lt;&gt;""),AND(KQ5&gt;=KV$18,KR5&gt;=KV$22,KQ5&lt;&gt;""),AND(KT5&gt;=KV$18,KU5&gt;=KV$22,KT5&lt;&gt;""),AND(LQ5&gt;=LV$18,LR5&gt;=LV$22,LQ5&lt;&gt;""),AND(LT5&gt;=LV$18,LU5&gt;=LV$22,LT5&lt;&gt;""),AND(MQ5&gt;=MV$18,MR5&gt;=MV$22,MQ5&lt;&gt;""),AND(MT5&gt;=MV$18,MU5&gt;=MV$22,MT5&lt;&gt;""),AND(NQ5&gt;=NV$18,NR5&gt;=NV$22,NQ5&lt;&gt;""),AND(NT5&gt;=NV$18,NU5&gt;=NV$22,NT5&lt;&gt;""),AND(OQ5&gt;=OV$18,OR5&gt;=OV$22,OQ5&lt;&gt;""),AND(OT5&gt;=OV$18,OU5&gt;=OV$22,OT5&lt;&gt;"")),"P","")</f>
        <v>P</v>
      </c>
      <c r="G5" s="3" t="str">
        <f>IF(OR(AND(AN5&gt;=AR$22,AN5&lt;&gt;"",AL5=""),AND(AQ5&gt;=AR$22,AQ5&lt;&gt;"",AL5=""),AND(BO5&gt;=BS$22,BO5&lt;&gt;"",BM5=""),AND(BR5&gt;=BS$22,BR5&lt;&gt;"",BM5=""),AND(CP5&gt;=CT$22,CP5&lt;&gt;"",CN5=""),AND(CS5&gt;=CT$22,CS5&lt;&gt;"",CN5=""),AND(DR5&gt;=DV$22,DR5&lt;&gt;""),AND(DU5&gt;=DV$22,DU5&lt;&gt;""),AND(ER5&gt;=EV$22,ER5&lt;&gt;""),AND(EU5&gt;=EV$22,EU5&lt;&gt;""),AND(FR5&gt;=FV$22,FR5&lt;&gt;""),AND(FU5&gt;=FV$22,FU5&lt;&gt;""),AND(GR5&gt;=GV$22,GR5&lt;&gt;""),AND(GU5&gt;=GV$22,GU5&lt;&gt;""),AND(HR5&gt;=HV$22,HR5&lt;&gt;""),AND(HU5&gt;=HV$22,HU5&lt;&gt;""),AND(IR5&gt;=IV$22,IR5&lt;&gt;""),AND(IU5&gt;=IV$22,IU5&lt;&gt;""),AND(JR5&gt;=JV$22,JR5&lt;&gt;""),AND(JU5&gt;=JV$22,JU5&lt;&gt;""),AND(KR5&gt;=KV$22,KR5&lt;&gt;""),AND(KU5&gt;=KV$22,KU5&lt;&gt;""),AND(LR5&gt;=LV$22,LR5&lt;&gt;""),AND(LU5&gt;=LV$22,LU5&lt;&gt;""),AND(MR5&gt;=MV$22,MR5&lt;&gt;""),AND(MU5&gt;=MV$22,MU5&lt;&gt;""),AND(NR5&gt;=NV$22,NR5&lt;&gt;""),AND(NU5&gt;=NV$22,NU5&lt;&gt;""),AND(OR5&gt;=OV$22,OR5&lt;&gt;""),AND(OU5&gt;=OV$22,OU5&lt;&gt;"")),"P","")</f>
        <v>P</v>
      </c>
      <c r="H5" s="66" t="str">
        <f>IF(AND(G5="P",F5=""),"No DD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Merit",IF(OR(AND(AM5&gt;=AR$20,AN5&gt;=AR$24,AM5&lt;&gt;"",AL5=""),AND(AP5&gt;=AR$20,AQ5&gt;=AR$24,AP5&lt;&gt;"",AL5=""),AND(BN5&gt;=BS$20,BO5&gt;=BS$24,BN5&lt;&gt;"",BM5=""),AND(BQ5&gt;=BS$20,BR5&gt;=BS$24,BQ5&lt;&gt;"",BM5=""),AND(CO5&gt;=CT$20,CP5&gt;=CT$24,CO5&lt;&gt;"",CN5=""),AND(CR5&gt;=CT$20,CS5&gt;=CT$24,CR5&lt;&gt;""),AND(DQ5&gt;=DV$20,DR5&gt;=DV$24,DQ5&lt;&gt;""),AND(DT5&gt;=DV$20,DU5&gt;=DV$24,DT5&lt;&gt;""),AND(EQ5&gt;=EV$20,ER5&gt;=EV$24,EQ5&lt;&gt;""),AND(ET5&gt;=EV$20,EU5&gt;=EV$24,ET5&lt;&gt;""),AND(FQ5&gt;=FV$20,FR5&gt;=FV$24,FQ5&lt;&gt;""),AND(FT5&gt;=FV$20,FU5&gt;=FV$24,FT5&lt;&gt;""),AND(GQ5&gt;=GV$20,GR5&gt;=GV$24,GQ5&lt;&gt;""),AND(GT5&gt;=GV$20,GU5&gt;=GV$24,GT5&lt;&gt;""),AND(HQ5&gt;=HV$20,HR5&gt;=HV$24,HQ5&lt;&gt;""),AND(HT5&gt;=HV$20,HU5&gt;=HV$24,HT5&lt;&gt;""),AND(IQ5&gt;=IV$20,IR5&gt;=IV$24,IQ5&lt;&gt;""),AND(IT5&gt;=IV$20,IU5&gt;=IV$24,IT5&lt;&gt;""),AND(JQ5&gt;=JV$20,JR5&gt;=JV$24,JQ5&lt;&gt;""),AND(JT5&gt;=JV$20,JU5&gt;=JV$24,JT5&lt;&gt;""),AND(KQ5&gt;=KV$20,KR5&gt;=KV$24,KQ5&lt;&gt;""),AND(KT5&gt;=KV$20,KU5&gt;=KV$24,KT5&lt;&gt;""),AND(LQ5&gt;=LV$20,LR5&gt;=LV$24,LQ5&lt;&gt;""),AND(LT5&gt;=LV$20,LU5&gt;=LV$24,LT5&lt;&gt;""),AND(MQ5&gt;=MV$20,MR5&gt;=MV$24,MQ5&lt;&gt;""),AND(MT5&gt;=MV$20,MU5&gt;=MV$24,MT5&lt;&gt;""),AND(NQ5&gt;=NV$20,NR5&gt;=NV$24,NQ5&lt;&gt;""),AND(NT5&gt;=NV$20,NU5&gt;=NV$24,NT5&lt;&gt;""),AND(OQ5&gt;=OV$20,OR5&gt;=OV$24,OQ5&lt;&gt;""),AND(OT5&gt;=OV$20,OU5&gt;=OV$24,OT5&lt;&gt;"")),"Excellence",IF(F5="P","National Team",""))))</f>
        <v>National Team</v>
      </c>
      <c r="I5" s="14">
        <f>IF(COUNT(AN5,BO5,CP5)&gt;0,LARGE((AN5,BO5,CP5),1),0)</f>
        <v>42.7</v>
      </c>
      <c r="J5" s="14" t="str">
        <f>IF(I5=0,"",IF(I5=CP5,$BT$1,IF(I5=BO5,$AS$1,IF(I5=AN5,$R$1,""))))</f>
        <v>2022 Nationals</v>
      </c>
      <c r="K5" s="14">
        <f>IF(COUNT(AN5,BO5,CP5)&gt;1,LARGE((AN5,BO5,CP5),2),0)</f>
        <v>42.100000000000009</v>
      </c>
      <c r="L5" s="14" t="str">
        <f>IF(K5=0,"",IF(K5=CP5,$BT$1,IF(K5=BO5,$AS$1,IF(K5=AN5,$R$1,""))))</f>
        <v>2022 3rd Domestic Trial</v>
      </c>
      <c r="M5" s="14">
        <f>IF(MAX(AQ5,BR5,CS5)&gt;0,MAX(AQ5,BR5,CS5),0)</f>
        <v>46.9</v>
      </c>
      <c r="N5" s="14" t="str">
        <f>IF(M5=0,"",IF(M5=CS5,$BT$1,IF(M5=BR5,$AS$1,IF(M5=AQ5,$R$1,""))))</f>
        <v>2022 Nationals</v>
      </c>
      <c r="O5" s="14">
        <f>IF(MAX(CU5:CV5)&gt;0,MAX(CU5:CV5),"")</f>
        <v>4.6999999999999957</v>
      </c>
      <c r="P5" s="19" t="str">
        <f>IF(O5="","",IF(O5=CU5,"("&amp;CU$2&amp;")",IF(O5=CV5,"("&amp;CV$2&amp;")")))</f>
        <v>(Q1)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World Cup POR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>IF(SUM(S5,W5)&gt;0,SUM(S5,W5),"")</f>
        <v/>
      </c>
      <c r="AN5" s="78" t="str">
        <f>IF(SUM(R5:S5,U5:W5,Y5)-T5-X5&gt;0,SUM(R5:S5,U5:W5,Y5)-T5-X5,"")</f>
        <v/>
      </c>
      <c r="AO5" s="78" t="str">
        <f>IF(SUM(Z5:AA5,AC5)-AB5&gt;0,SUM(Z5:AA5,AC5)-AB5,"")</f>
        <v/>
      </c>
      <c r="AP5" s="78" t="str">
        <f>IF(SUM(AE5,AI5)&gt;0,SUM(AE5,AI5),"")</f>
        <v/>
      </c>
      <c r="AQ5" s="78" t="str">
        <f>IF(SUM(AD5:AE5,AG5:AI5,AK5)-SUM(AF5,AJ5)&gt;0,SUM(AD5:AE5,AG5:AI5,AK5)-SUM(AF5,AJ5),"")</f>
        <v/>
      </c>
      <c r="AR5" s="78" t="str">
        <f>IF(SUM(AN5,AQ5)&gt;0,SUM(AN5,AQ5),"")</f>
        <v/>
      </c>
      <c r="AS5" s="25">
        <v>16.3</v>
      </c>
      <c r="AT5" s="25">
        <v>3.4</v>
      </c>
      <c r="AU5" s="25">
        <v>0</v>
      </c>
      <c r="AV5" s="25">
        <v>0</v>
      </c>
      <c r="AW5" s="25">
        <v>17.3</v>
      </c>
      <c r="AX5" s="25">
        <v>5.7</v>
      </c>
      <c r="AY5" s="25">
        <v>0</v>
      </c>
      <c r="AZ5" s="25">
        <v>0</v>
      </c>
      <c r="BA5" s="25"/>
      <c r="BB5" s="25"/>
      <c r="BC5" s="25"/>
      <c r="BD5" s="25"/>
      <c r="BE5" s="25">
        <v>17.600000000000001</v>
      </c>
      <c r="BF5" s="25">
        <v>6.1</v>
      </c>
      <c r="BG5" s="25">
        <v>0.2</v>
      </c>
      <c r="BH5" s="25">
        <v>0</v>
      </c>
      <c r="BI5" s="25">
        <v>17.5</v>
      </c>
      <c r="BJ5" s="25">
        <v>5.9</v>
      </c>
      <c r="BK5" s="25">
        <v>0</v>
      </c>
      <c r="BL5" s="25">
        <v>0</v>
      </c>
      <c r="BM5" s="45"/>
      <c r="BN5" s="19">
        <f>IF(SUM(AT5,AX5)&gt;0,SUM(AT5,AX5),"")</f>
        <v>9.1</v>
      </c>
      <c r="BO5" s="19">
        <f>IF(SUM(AS5:AT5,AV5:AX5,AZ5)-AU5-AY5&gt;0,SUM(AS5:AT5,AV5:AX5,AZ5)-AU5-AY5,"")</f>
        <v>42.7</v>
      </c>
      <c r="BP5" s="19" t="str">
        <f>IF(SUM(BA5:BB5,BD5)-BC5&gt;0,SUM(BA5:BB5,BD5)-BC5,"")</f>
        <v/>
      </c>
      <c r="BQ5" s="19">
        <f>IF(SUM(BF5,BJ5)&gt;0,SUM(BF5,BJ5),"")</f>
        <v>12</v>
      </c>
      <c r="BR5" s="19">
        <f>IF(SUM(BE5:BF5,BH5:BJ5,BL5)-SUM(BG5,BK5)&gt;0,SUM(BE5:BF5,BH5:BJ5,BL5)-SUM(BG5,BK5),"")</f>
        <v>46.9</v>
      </c>
      <c r="BS5" s="19">
        <f>IF(SUM(BO5,BR5)&gt;0,SUM(BO5,BR5),"")</f>
        <v>89.6</v>
      </c>
      <c r="BT5" s="26">
        <v>17.100000000000001</v>
      </c>
      <c r="BU5" s="26">
        <v>6.1</v>
      </c>
      <c r="BV5" s="26">
        <v>0</v>
      </c>
      <c r="BW5" s="26">
        <v>0</v>
      </c>
      <c r="BX5" s="26">
        <v>15.2</v>
      </c>
      <c r="BY5" s="26">
        <v>3.7</v>
      </c>
      <c r="BZ5" s="26">
        <v>0</v>
      </c>
      <c r="CA5" s="26">
        <v>0</v>
      </c>
      <c r="CB5" s="26"/>
      <c r="CC5" s="26"/>
      <c r="CD5" s="26"/>
      <c r="CE5" s="26"/>
      <c r="CF5" s="26">
        <v>16.5</v>
      </c>
      <c r="CG5" s="26">
        <v>5.3</v>
      </c>
      <c r="CH5" s="26">
        <v>0.2</v>
      </c>
      <c r="CI5" s="26">
        <v>0</v>
      </c>
      <c r="CJ5" s="26">
        <v>16.2</v>
      </c>
      <c r="CK5" s="26">
        <v>6.1</v>
      </c>
      <c r="CL5" s="26">
        <v>0</v>
      </c>
      <c r="CM5" s="26">
        <v>0</v>
      </c>
      <c r="CN5" s="44"/>
      <c r="CO5" s="78">
        <f>IF(SUM(BU5,BY5)&gt;0,SUM(BU5,BY5),"")</f>
        <v>9.8000000000000007</v>
      </c>
      <c r="CP5" s="78">
        <f>IF(SUM(BT5:BU5,BW5:BY5,CA5)-BV5-BZ5&gt;0,SUM(BT5:BU5,BW5:BY5,CA5)-BV5-BZ5,"")</f>
        <v>42.100000000000009</v>
      </c>
      <c r="CQ5" s="78" t="str">
        <f>IF(SUM(CB5:CC5,CE5)-CD5&gt;0,SUM(CB5:CC5,CE5)-CD5,"")</f>
        <v/>
      </c>
      <c r="CR5" s="78">
        <f>IF(SUM(CG5,CK5)&gt;0,SUM(CG5,CK5),"")</f>
        <v>11.399999999999999</v>
      </c>
      <c r="CS5" s="78">
        <f>IF(SUM(CF5:CG5,CI5:CK5,CM5)-SUM(CH5,CL5)&gt;0,SUM(CF5:CG5,CI5:CK5,CM5)-SUM(CH5,CL5),"")</f>
        <v>43.9</v>
      </c>
      <c r="CT5" s="78">
        <f>IF(SUM(CP5,CS5)&gt;0,SUM(CP5,CS5),"")</f>
        <v>86</v>
      </c>
      <c r="CU5" s="79">
        <f>IF(K5&gt;=0.001,IF(MAX(DR5,ER5,FR5,GR5,HR5,IR5,JR5,KR5,LR5,MR5,NR5,OR5)-IF(K5="",0,K5)&gt;0.001,MAX(DR5,ER5,FR5,GR5,HR5,IR5,JR5,KR5,LR5,MR5,NR5,OR5)-IF(K5="",0,K5),""),"")</f>
        <v>4.6999999999999957</v>
      </c>
      <c r="CV5" s="79" t="str">
        <f>IF(M5&gt;=0.001,IF(MAX(DU5,EU5,FU5,GU5,HU5,IU5,JU5,KU5,LU5,MU5,NU5,OU5)-IF(M5="",0,M5)&gt;0.001,MAX(DU5,EU5,FU5,GU5,HU5,IU5,JU5,KU5,LU5,MU5,NU5,OU5)-IF(M5="",0,M5),""),"")</f>
        <v/>
      </c>
      <c r="CW5" s="24"/>
      <c r="CX5" s="24">
        <v>1E-4</v>
      </c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>
        <f>IF(SUM(CX5,DB5)&gt;0,SUM(CX5,DB5),"")</f>
        <v>1E-4</v>
      </c>
      <c r="DR5" s="78">
        <f>IF(SUM(CW5:CX5,CZ5:DB5,DD5)-CY5-DC5&gt;0,SUM(CW5:CX5,CZ5:DB5,DD5)-CY5-DC5,"")</f>
        <v>1E-4</v>
      </c>
      <c r="DS5" s="78" t="str">
        <f>IF(SUM(DE5:DF5,DH5)-DG5&gt;0,SUM(DE5:DF5,DH5)-DG5,"")</f>
        <v/>
      </c>
      <c r="DT5" s="78" t="str">
        <f>IF(SUM(DJ5,DN5)&gt;0,SUM(DJ5,DN5),"")</f>
        <v/>
      </c>
      <c r="DU5" s="78" t="str">
        <f>IF(SUM(DI5:DJ5,DL5:DN5,DP5)-SUM(DK5,DO5)&gt;0,SUM(DI5:DJ5,DL5:DN5,DP5)-SUM(DK5,DO5),"")</f>
        <v/>
      </c>
      <c r="DV5" s="78">
        <f>IF(SUM(DR5,DU5)&gt;0,SUM(DR5,DU5),"")</f>
        <v>1E-4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19" t="str">
        <f>IF(SUM(DX5,EB5)&gt;0,SUM(DX5,EB5),"")</f>
        <v/>
      </c>
      <c r="ER5" s="19" t="str">
        <f>IF(SUM(DW5:DX5,DZ5:EB5,ED5)-DY5-EC5&gt;0,SUM(DW5:DX5,DZ5:EB5,ED5)-DY5-EC5,"")</f>
        <v/>
      </c>
      <c r="ES5" s="19" t="str">
        <f>IF(SUM(EE5:EF5,EH5)-EG5&gt;0,SUM(EE5:EF5,EH5)-EG5,"")</f>
        <v/>
      </c>
      <c r="ET5" s="19" t="str">
        <f>IF(SUM(EJ5,EN5)&gt;0,SUM(EJ5,EN5),"")</f>
        <v/>
      </c>
      <c r="EU5" s="19" t="str">
        <f>IF(SUM(EI5:EJ5,EL5:EN5,EP5)-SUM(EK5,EO5)&gt;0,SUM(EI5:EJ5,EL5:EN5,EP5)-SUM(EK5,EO5),"")</f>
        <v/>
      </c>
      <c r="EV5" s="19" t="str">
        <f>IF(SUM(ER5,EU5)&gt;0,SUM(ER5,EU5),"")</f>
        <v/>
      </c>
      <c r="EW5" s="24">
        <v>17.2</v>
      </c>
      <c r="EX5" s="24">
        <v>5.5</v>
      </c>
      <c r="EY5" s="24">
        <v>0</v>
      </c>
      <c r="EZ5" s="24">
        <v>0</v>
      </c>
      <c r="FA5" s="24">
        <v>16.899999999999999</v>
      </c>
      <c r="FB5" s="24">
        <v>5.3</v>
      </c>
      <c r="FC5" s="24">
        <v>0</v>
      </c>
      <c r="FD5" s="24">
        <v>0</v>
      </c>
      <c r="FE5" s="24"/>
      <c r="FF5" s="24"/>
      <c r="FG5" s="24"/>
      <c r="FH5" s="24"/>
      <c r="FI5" s="24">
        <v>17.2</v>
      </c>
      <c r="FJ5" s="24">
        <v>5.5</v>
      </c>
      <c r="FK5" s="24">
        <v>0</v>
      </c>
      <c r="FL5" s="24">
        <v>0</v>
      </c>
      <c r="FM5" s="24">
        <v>16.899999999999999</v>
      </c>
      <c r="FN5" s="24">
        <v>5.3</v>
      </c>
      <c r="FO5" s="24">
        <v>0</v>
      </c>
      <c r="FP5" s="24">
        <v>0</v>
      </c>
      <c r="FQ5" s="78">
        <f>IF(SUM(EX5,FB5)&gt;0,SUM(EX5,FB5),"")</f>
        <v>10.8</v>
      </c>
      <c r="FR5" s="78">
        <f>IF(SUM(EW5:EX5,EZ5:FB5,FD5)-EY5-FC5&gt;0,SUM(EW5:EX5,EZ5:FB5,FD5)-EY5-FC5,"")</f>
        <v>44.899999999999991</v>
      </c>
      <c r="FS5" s="78" t="str">
        <f>IF(SUM(FE5:FF5,FH5)-FG5&gt;0,SUM(FE5:FF5,FH5)-FG5,"")</f>
        <v/>
      </c>
      <c r="FT5" s="78">
        <f>IF(SUM(FJ5,FN5)&gt;0,SUM(FJ5,FN5),"")</f>
        <v>10.8</v>
      </c>
      <c r="FU5" s="78">
        <f>IF(SUM(FI5:FJ5,FL5:FN5,FP5)-SUM(FK5,FO5)&gt;0,SUM(FI5:FJ5,FL5:FN5,FP5)-SUM(FK5,FO5),"")</f>
        <v>44.899999999999991</v>
      </c>
      <c r="FV5" s="78">
        <f>IF(SUM(FR5,FU5)&gt;0,SUM(FR5,FU5),"")</f>
        <v>89.799999999999983</v>
      </c>
      <c r="FW5" s="25">
        <v>16.8</v>
      </c>
      <c r="FX5" s="25">
        <v>5.9</v>
      </c>
      <c r="FY5" s="25">
        <v>0</v>
      </c>
      <c r="FZ5" s="25">
        <v>0</v>
      </c>
      <c r="GA5" s="25">
        <v>17.2</v>
      </c>
      <c r="GB5" s="25">
        <v>6.1</v>
      </c>
      <c r="GC5" s="25">
        <v>0</v>
      </c>
      <c r="GD5" s="25">
        <v>0</v>
      </c>
      <c r="GE5" s="25"/>
      <c r="GF5" s="25"/>
      <c r="GG5" s="25"/>
      <c r="GH5" s="25"/>
      <c r="GI5" s="25">
        <v>17.3</v>
      </c>
      <c r="GJ5" s="25">
        <v>6.1</v>
      </c>
      <c r="GK5" s="25">
        <v>0</v>
      </c>
      <c r="GL5" s="25">
        <v>0</v>
      </c>
      <c r="GM5" s="25">
        <v>17.3</v>
      </c>
      <c r="GN5" s="25">
        <v>5.9</v>
      </c>
      <c r="GO5" s="25">
        <v>0</v>
      </c>
      <c r="GP5" s="25">
        <v>0</v>
      </c>
      <c r="GQ5" s="19">
        <f>IF(SUM(FX5,GB5)&gt;0,SUM(FX5,GB5),"")</f>
        <v>12</v>
      </c>
      <c r="GR5" s="19">
        <f>IF(SUM(FW5:FX5,FZ5:GB5,GD5)-FY5-GC5&gt;0,SUM(FW5:FX5,FZ5:GB5,GD5)-FY5-GC5,"")</f>
        <v>46.000000000000007</v>
      </c>
      <c r="GS5" s="19" t="str">
        <f>IF(SUM(GE5:GF5,GH5)-GG5&gt;0,SUM(GE5:GF5,GH5)-GG5,"")</f>
        <v/>
      </c>
      <c r="GT5" s="19">
        <f>IF(SUM(GJ5,GN5)&gt;0,SUM(GJ5,GN5),"")</f>
        <v>12</v>
      </c>
      <c r="GU5" s="19">
        <f>IF(SUM(GI5:GJ5,GL5:GN5,GP5)-SUM(GK5,GO5)&gt;0,SUM(GI5:GJ5,GL5:GN5,GP5)-SUM(GK5,GO5),"")</f>
        <v>46.6</v>
      </c>
      <c r="GV5" s="19">
        <f>IF(SUM(GR5,GU5)&gt;0,SUM(GR5,GU5),"")</f>
        <v>92.600000000000009</v>
      </c>
      <c r="GW5" s="24">
        <v>16.899999999999999</v>
      </c>
      <c r="GX5" s="24">
        <v>6.1</v>
      </c>
      <c r="GY5" s="24">
        <v>0</v>
      </c>
      <c r="GZ5" s="24">
        <v>0</v>
      </c>
      <c r="HA5" s="24">
        <v>16.2</v>
      </c>
      <c r="HB5" s="24">
        <v>4</v>
      </c>
      <c r="HC5" s="24">
        <v>2</v>
      </c>
      <c r="HD5" s="24">
        <v>0</v>
      </c>
      <c r="HE5" s="24"/>
      <c r="HF5" s="24"/>
      <c r="HG5" s="24"/>
      <c r="HH5" s="24"/>
      <c r="HI5" s="24">
        <v>17.2</v>
      </c>
      <c r="HJ5" s="24">
        <v>6.5</v>
      </c>
      <c r="HK5" s="24">
        <v>0</v>
      </c>
      <c r="HL5" s="24">
        <v>0</v>
      </c>
      <c r="HM5" s="24"/>
      <c r="HN5" s="24"/>
      <c r="HO5" s="24"/>
      <c r="HP5" s="24"/>
      <c r="HQ5" s="78">
        <f>IF(SUM(GX5,HB5)&gt;0,SUM(GX5,HB5),"")</f>
        <v>10.1</v>
      </c>
      <c r="HR5" s="78">
        <f>IF(SUM(GW5:GX5,GZ5:HB5,HD5)-GY5-HC5&gt;0,SUM(GW5:GX5,GZ5:HB5,HD5)-GY5-HC5,"")</f>
        <v>41.2</v>
      </c>
      <c r="HS5" s="78" t="str">
        <f>IF(SUM(HE5:HF5,HH5)-HG5&gt;0,SUM(HE5:HF5,HH5)-HG5,"")</f>
        <v/>
      </c>
      <c r="HT5" s="78">
        <f>IF(SUM(HJ5,HN5)&gt;0,SUM(HJ5,HN5),"")</f>
        <v>6.5</v>
      </c>
      <c r="HU5" s="78">
        <f>IF(SUM(HI5:HJ5,HL5:HN5,HP5)-SUM(HK5,HO5)&gt;0,SUM(HI5:HJ5,HL5:HN5,HP5)-SUM(HK5,HO5),"")</f>
        <v>23.7</v>
      </c>
      <c r="HV5" s="78">
        <f>IF(SUM(HR5,HU5)&gt;0,SUM(HR5,HU5),"")</f>
        <v>64.900000000000006</v>
      </c>
      <c r="HW5" s="25">
        <v>17.600000000000001</v>
      </c>
      <c r="HX5" s="25">
        <v>6.1</v>
      </c>
      <c r="HY5" s="25">
        <v>0</v>
      </c>
      <c r="HZ5" s="25">
        <v>0</v>
      </c>
      <c r="IA5" s="25">
        <v>17.2</v>
      </c>
      <c r="IB5" s="25">
        <v>5.9</v>
      </c>
      <c r="IC5" s="25">
        <v>0</v>
      </c>
      <c r="ID5" s="25">
        <v>0</v>
      </c>
      <c r="IE5" s="25"/>
      <c r="IF5" s="25"/>
      <c r="IG5" s="25"/>
      <c r="IH5" s="25"/>
      <c r="II5" s="25">
        <v>13.2</v>
      </c>
      <c r="IJ5" s="25">
        <v>3.6</v>
      </c>
      <c r="IK5" s="25">
        <v>0</v>
      </c>
      <c r="IL5" s="25">
        <v>0</v>
      </c>
      <c r="IM5" s="25"/>
      <c r="IN5" s="25"/>
      <c r="IO5" s="25"/>
      <c r="IP5" s="25"/>
      <c r="IQ5" s="19">
        <f>IF(SUM(HX5,IB5)&gt;0,SUM(HX5,IB5),"")</f>
        <v>12</v>
      </c>
      <c r="IR5" s="19">
        <f>IF(SUM(HW5:HX5,HZ5:IB5,ID5)-HY5-IC5&gt;0,SUM(HW5:HX5,HZ5:IB5,ID5)-HY5-IC5,"")</f>
        <v>46.800000000000004</v>
      </c>
      <c r="IS5" s="19" t="str">
        <f>IF(SUM(IE5:IF5,IH5)-IG5&gt;0,SUM(IE5:IF5,IH5)-IG5,"")</f>
        <v/>
      </c>
      <c r="IT5" s="19">
        <f>IF(SUM(IJ5,IN5)&gt;0,SUM(IJ5,IN5),"")</f>
        <v>3.6</v>
      </c>
      <c r="IU5" s="19">
        <f>IF(SUM(II5:IJ5,IL5:IN5,IP5)-SUM(IK5,IO5)&gt;0,SUM(II5:IJ5,IL5:IN5,IP5)-SUM(IK5,IO5),"")</f>
        <v>16.8</v>
      </c>
      <c r="IV5" s="19">
        <f>IF(SUM(IR5,IU5)&gt;0,SUM(IR5,IU5),"")</f>
        <v>63.600000000000009</v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>IF(SUM(IX5,JB5)&gt;0,SUM(IX5,JB5),"")</f>
        <v/>
      </c>
      <c r="JR5" s="78" t="str">
        <f>IF(SUM(IW5:IX5,IZ5:JB5,JD5)-IY5-JC5&gt;0,SUM(IW5:IX5,IZ5:JB5,JD5)-IY5-JC5,"")</f>
        <v/>
      </c>
      <c r="JS5" s="78" t="str">
        <f>IF(SUM(JE5:JF5,JH5)-JG5&gt;0,SUM(JE5:JF5,JH5)-JG5,"")</f>
        <v/>
      </c>
      <c r="JT5" s="78" t="str">
        <f>IF(SUM(JJ5,JN5)&gt;0,SUM(JJ5,JN5),"")</f>
        <v/>
      </c>
      <c r="JU5" s="78" t="str">
        <f>IF(SUM(JI5:JJ5,JL5:JN5,JP5)-SUM(JK5,JO5)&gt;0,SUM(JI5:JJ5,JL5:JN5,JP5)-SUM(JK5,JO5),"")</f>
        <v/>
      </c>
      <c r="JV5" s="78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>IF(SUM(JX5,KB5)&gt;0,SUM(JX5,KB5),"")</f>
        <v/>
      </c>
      <c r="KR5" s="19" t="str">
        <f>IF(SUM(JW5:JX5,JZ5:KB5,KD5)-JY5-KC5&gt;0,SUM(JW5:JX5,JZ5:KB5,KD5)-JY5-KC5,"")</f>
        <v/>
      </c>
      <c r="KS5" s="19" t="str">
        <f>IF(SUM(KE5:KF5,KH5)-KG5&gt;0,SUM(KE5:KF5,KH5)-KG5,"")</f>
        <v/>
      </c>
      <c r="KT5" s="19" t="str">
        <f>IF(SUM(KJ5,KN5)&gt;0,SUM(KJ5,KN5),"")</f>
        <v/>
      </c>
      <c r="KU5" s="19" t="str">
        <f>IF(SUM(KI5:KJ5,KL5:KN5,KP5)-SUM(KK5,KO5)&gt;0,SUM(KI5:KJ5,KL5:KN5,KP5)-SUM(KK5,KO5),"")</f>
        <v/>
      </c>
      <c r="KV5" s="19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>IF(SUM(KX5,LB5)&gt;0,SUM(KX5,LB5),"")</f>
        <v/>
      </c>
      <c r="LR5" s="78" t="str">
        <f>IF(SUM(KW5:KX5,KZ5:LB5,LD5)-KY5-LC5&gt;0,SUM(KW5:KX5,KZ5:LB5,LD5)-KY5-LC5,"")</f>
        <v/>
      </c>
      <c r="LS5" s="78" t="str">
        <f>IF(SUM(LE5:LF5,LH5)-LG5&gt;0,SUM(LE5:LF5,LH5)-LG5,"")</f>
        <v/>
      </c>
      <c r="LT5" s="78" t="str">
        <f>IF(SUM(LJ5,LN5)&gt;0,SUM(LJ5,LN5),"")</f>
        <v/>
      </c>
      <c r="LU5" s="78" t="str">
        <f>IF(SUM(LI5:LJ5,LL5:LN5,LP5)-SUM(LK5,LO5)&gt;0,SUM(LI5:LJ5,LL5:LN5,LP5)-SUM(LK5,LO5),"")</f>
        <v/>
      </c>
      <c r="LV5" s="78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>IF(SUM(LX5,MB5)&gt;0,SUM(LX5,MB5),"")</f>
        <v/>
      </c>
      <c r="MR5" s="19" t="str">
        <f>IF(SUM(LW5:LX5,LZ5:MB5,MD5)-LY5-MC5&gt;0,SUM(LW5:LX5,LZ5:MB5,MD5)-LY5-MC5,"")</f>
        <v/>
      </c>
      <c r="MS5" s="19" t="str">
        <f>IF(SUM(ME5:MF5,MH5)-MG5&gt;0,SUM(ME5:MF5,MH5)-MG5,"")</f>
        <v/>
      </c>
      <c r="MT5" s="19" t="str">
        <f>IF(SUM(MJ5,MN5)&gt;0,SUM(MJ5,MN5),"")</f>
        <v/>
      </c>
      <c r="MU5" s="19" t="str">
        <f>IF(SUM(MI5:MJ5,ML5:MN5,MP5)-SUM(MK5,MO5)&gt;0,SUM(MI5:MJ5,ML5:MN5,MP5)-SUM(MK5,MO5),"")</f>
        <v/>
      </c>
      <c r="MV5" s="19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>IF(SUM(MX5,NB5)&gt;0,SUM(MX5,NB5),"")</f>
        <v/>
      </c>
      <c r="NR5" s="78" t="str">
        <f>IF(SUM(MW5:MX5,MZ5:NB5,ND5)-MY5-NC5&gt;0,SUM(MW5:MX5,MZ5:NB5,ND5)-MY5-NC5,"")</f>
        <v/>
      </c>
      <c r="NS5" s="78" t="str">
        <f>IF(SUM(NE5:NF5,NH5)-NG5&gt;0,SUM(NE5:NF5,NH5)-NG5,"")</f>
        <v/>
      </c>
      <c r="NT5" s="78" t="str">
        <f>IF(SUM(NJ5,NN5)&gt;0,SUM(NJ5,NN5),"")</f>
        <v/>
      </c>
      <c r="NU5" s="78" t="str">
        <f>IF(SUM(NI5:NJ5,NL5:NN5,NP5)-SUM(NK5,NO5)&gt;0,SUM(NI5:NJ5,NL5:NN5,NP5)-SUM(NK5,NO5),"")</f>
        <v/>
      </c>
      <c r="NV5" s="78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>IF(SUM(NX5,OB5)&gt;0,SUM(NX5,OB5),"")</f>
        <v/>
      </c>
      <c r="OR5" s="19" t="str">
        <f>IF(SUM(NW5:NX5,NZ5:OB5,OD5)-NY5-OC5&gt;0,SUM(NW5:NX5,NZ5:OB5,OD5)-NY5-OC5,"")</f>
        <v/>
      </c>
      <c r="OS5" s="19" t="str">
        <f>IF(SUM(OE5:OF5,OH5)-OG5&gt;0,SUM(OE5:OF5,OH5)-OG5,"")</f>
        <v/>
      </c>
      <c r="OT5" s="19" t="str">
        <f>IF(SUM(OJ5,ON5)&gt;0,SUM(OJ5,ON5),"")</f>
        <v/>
      </c>
      <c r="OU5" s="19" t="str">
        <f>IF(SUM(OI5:OJ5,OL5:ON5,OP5)-SUM(OK5,OO5)&gt;0,SUM(OI5:OJ5,OL5:ON5,OP5)-SUM(OK5,OO5),"")</f>
        <v/>
      </c>
      <c r="OV5" s="19" t="str">
        <f>IF(SUM(OR5,OU5)&gt;0,SUM(OR5,OU5),"")</f>
        <v/>
      </c>
      <c r="OW5" s="37">
        <f>IF($CN5="P",BT5,(BT5+AS5)/2)</f>
        <v>16.700000000000003</v>
      </c>
      <c r="OX5" s="37">
        <f>IF($CN5="P",BU5,(BU5+AT5)/2)</f>
        <v>4.75</v>
      </c>
      <c r="OY5" s="37">
        <f>IF($CN5="P",BV5,(BV5+AU5)/2)</f>
        <v>0</v>
      </c>
      <c r="OZ5" s="37">
        <f>IF($CN5="P",BW5,(BW5+AV5)/2)</f>
        <v>0</v>
      </c>
      <c r="PA5" s="37">
        <f>IF($CN5="P",BX5,(BX5+AW5)/2)</f>
        <v>16.25</v>
      </c>
      <c r="PB5" s="37">
        <f>IF($CN5="P",BY5,(BY5+AX5)/2)</f>
        <v>4.7</v>
      </c>
      <c r="PC5" s="37">
        <f>IF($CN5="P",BZ5,(BZ5+AY5)/2)</f>
        <v>0</v>
      </c>
      <c r="PD5" s="37">
        <f>IF($CN5="P",CA5,(CA5+AZ5)/2)</f>
        <v>0</v>
      </c>
      <c r="PE5" s="37">
        <f>IF($CN5="P",CB5,(CB5+BA5)/2)</f>
        <v>0</v>
      </c>
      <c r="PF5" s="37">
        <f>IF($CN5="P",CC5,(CC5+BB5)/2)</f>
        <v>0</v>
      </c>
      <c r="PG5" s="37">
        <f>IF($CN5="P",CD5,(CD5+BC5)/2)</f>
        <v>0</v>
      </c>
      <c r="PH5" s="37">
        <f>IF($CN5="P",CE5,(CE5+BD5)/2)</f>
        <v>0</v>
      </c>
      <c r="PI5" s="37">
        <f>IF($CN5="P",CF5,(CF5+BE5)/2)</f>
        <v>17.05</v>
      </c>
      <c r="PJ5" s="37">
        <f>IF($CN5="P",CG5,(CG5+BF5)/2)</f>
        <v>5.6999999999999993</v>
      </c>
      <c r="PK5" s="37">
        <f>IF($CN5="P",CH5,(CH5+BG5)/2)</f>
        <v>0.2</v>
      </c>
      <c r="PL5" s="37">
        <f>IF($CN5="P",CI5,(CI5+BH5)/2)</f>
        <v>0</v>
      </c>
      <c r="PM5" s="37">
        <f>IF($CN5="P",CJ5,(CJ5+BI5)/2)</f>
        <v>16.850000000000001</v>
      </c>
      <c r="PN5" s="37">
        <f>IF($CN5="P",CK5,(CK5+BJ5)/2)</f>
        <v>6</v>
      </c>
      <c r="PO5" s="37">
        <f>IF($CN5="P",CL5,(CL5+BK5)/2)</f>
        <v>0</v>
      </c>
      <c r="PP5" s="37">
        <f>IF($CN5="P",CM5,(CM5+BL5)/2)</f>
        <v>0</v>
      </c>
      <c r="PQ5" s="44" t="s">
        <v>46</v>
      </c>
      <c r="PR5" s="78">
        <f>IF(SUM(OX5,PB5)&gt;0,SUM(OX5,PB5),"")</f>
        <v>9.4499999999999993</v>
      </c>
      <c r="PS5" s="78">
        <f>IF(SUM(OW5:OX5,OZ5:PB5,PD5)-OY5-PC5&gt;0,SUM(OW5:OX5,OZ5:PB5,PD5)-OY5-PC5,"")</f>
        <v>42.400000000000006</v>
      </c>
      <c r="PT5" s="78" t="str">
        <f>IF(SUM(PE5:PF5,PH5)-PG5&gt;0,SUM(PE5:PF5,PH5)-PG5,"")</f>
        <v/>
      </c>
      <c r="PU5" s="78">
        <f>IF(SUM(PJ5,PN5)&gt;0,SUM(PJ5,PN5),"")</f>
        <v>11.7</v>
      </c>
      <c r="PV5" s="78">
        <f>IF(SUM(PI5:PJ5,PL5:PN5,PP5)-SUM(PK5,PO5)&gt;0,SUM(PI5:PJ5,PL5:PN5,PP5)-SUM(PK5,PO5),"")</f>
        <v>45.4</v>
      </c>
      <c r="PW5" s="78">
        <f>IF(SUM(PS5,PV5)&gt;0,SUM(PS5,PV5),"")</f>
        <v>87.800000000000011</v>
      </c>
    </row>
    <row r="6" spans="1:439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77" t="s">
        <v>100</v>
      </c>
      <c r="C6" s="5" t="s">
        <v>4</v>
      </c>
      <c r="D6" s="5">
        <v>2004</v>
      </c>
      <c r="E6" s="15">
        <f>SUM(I6:O6)+SUM(I6:M6)*0.0000001+SUM(I6)*0.0000000000001</f>
        <v>132.70001324000438</v>
      </c>
      <c r="F6" s="3" t="str">
        <f>IF(OR(AND(AM6&gt;=AR$18,AN6&gt;=AR$22,AM6&lt;&gt;"",AL6=""),AND(AP6&gt;=AR$18,AQ6&gt;=AR$22,AP6&lt;&gt;"",AL6=""),AND(BN6&gt;=BS$18,BO6&gt;=BS$22,BN6&lt;&gt;"",BM6=""),AND(BQ6&gt;=BS$18,BR6&gt;=BS$22,BQ6&lt;&gt;"",BM6=""),AND(CO6&gt;=CT$18,CP6&gt;=CT$22,CO6&lt;&gt;"",CN6=""),AND(CR6&gt;=CT$18,CS6&gt;=CT$22,CR6&lt;&gt;""),AND(DQ6&gt;=DV$18,DR6&gt;=DV$22,DQ6&lt;&gt;""),AND(DT6&gt;=DV$18,DU6&gt;=DV$22,DT6&lt;&gt;""),AND(EQ6&gt;=EV$18,ER6&gt;=EV$22,EQ6&lt;&gt;""),AND(ET6&gt;=EV$18,EU6&gt;=EV$22,ET6&lt;&gt;""),AND(FQ6&gt;=FV$18,FR6&gt;=FV$22,FQ6&lt;&gt;""),AND(FT6&gt;=FV$18,FU6&gt;=FV$22,FT6&lt;&gt;""),AND(GQ6&gt;=GV$18,GR6&gt;=GV$22,GQ6&lt;&gt;""),AND(GT6&gt;=GV$18,GU6&gt;=GV$22,GT6&lt;&gt;""),AND(HQ6&gt;=HV$18,HR6&gt;=HV$22,HQ6&lt;&gt;""),AND(HT6&gt;=HV$18,HU6&gt;=HV$22,HT6&lt;&gt;""),AND(IQ6&gt;=IV$18,IR6&gt;=IV$22,IQ6&lt;&gt;""),AND(IT6&gt;=IV$18,IU6&gt;=IV$22,IT6&lt;&gt;""),AND(JQ6&gt;=JV$18,JR6&gt;=JV$22,JQ6&lt;&gt;""),AND(JT6&gt;=JV$18,JU6&gt;=JV$22,JT6&lt;&gt;""),AND(KQ6&gt;=KV$18,KR6&gt;=KV$22,KQ6&lt;&gt;""),AND(KT6&gt;=KV$18,KU6&gt;=KV$22,KT6&lt;&gt;""),AND(LQ6&gt;=LV$18,LR6&gt;=LV$22,LQ6&lt;&gt;""),AND(LT6&gt;=LV$18,LU6&gt;=LV$22,LT6&lt;&gt;""),AND(MQ6&gt;=MV$18,MR6&gt;=MV$22,MQ6&lt;&gt;""),AND(MT6&gt;=MV$18,MU6&gt;=MV$22,MT6&lt;&gt;""),AND(NQ6&gt;=NV$18,NR6&gt;=NV$22,NQ6&lt;&gt;""),AND(NT6&gt;=NV$18,NU6&gt;=NV$22,NT6&lt;&gt;""),AND(OQ6&gt;=OV$18,OR6&gt;=OV$22,OQ6&lt;&gt;""),AND(OT6&gt;=OV$18,OU6&gt;=OV$22,OT6&lt;&gt;"")),"P","")</f>
        <v>P</v>
      </c>
      <c r="G6" s="3" t="str">
        <f>IF(OR(AND(AN6&gt;=AR$22,AN6&lt;&gt;"",AL6=""),AND(AQ6&gt;=AR$22,AQ6&lt;&gt;"",AL6=""),AND(BO6&gt;=BS$22,BO6&lt;&gt;"",BM6=""),AND(BR6&gt;=BS$22,BR6&lt;&gt;"",BM6=""),AND(CP6&gt;=CT$22,CP6&lt;&gt;"",CN6=""),AND(CS6&gt;=CT$22,CS6&lt;&gt;"",CN6=""),AND(DR6&gt;=DV$22,DR6&lt;&gt;""),AND(DU6&gt;=DV$22,DU6&lt;&gt;""),AND(ER6&gt;=EV$22,ER6&lt;&gt;""),AND(EU6&gt;=EV$22,EU6&lt;&gt;""),AND(FR6&gt;=FV$22,FR6&lt;&gt;""),AND(FU6&gt;=FV$22,FU6&lt;&gt;""),AND(GR6&gt;=GV$22,GR6&lt;&gt;""),AND(GU6&gt;=GV$22,GU6&lt;&gt;""),AND(HR6&gt;=HV$22,HR6&lt;&gt;""),AND(HU6&gt;=HV$22,HU6&lt;&gt;""),AND(IR6&gt;=IV$22,IR6&lt;&gt;""),AND(IU6&gt;=IV$22,IU6&lt;&gt;""),AND(JR6&gt;=JV$22,JR6&lt;&gt;""),AND(JU6&gt;=JV$22,JU6&lt;&gt;""),AND(KR6&gt;=KV$22,KR6&lt;&gt;""),AND(KU6&gt;=KV$22,KU6&lt;&gt;""),AND(LR6&gt;=LV$22,LR6&lt;&gt;""),AND(LU6&gt;=LV$22,LU6&lt;&gt;""),AND(MR6&gt;=MV$22,MR6&lt;&gt;""),AND(MU6&gt;=MV$22,MU6&lt;&gt;""),AND(NR6&gt;=NV$22,NR6&lt;&gt;""),AND(NU6&gt;=NV$22,NU6&lt;&gt;""),AND(OR6&gt;=OV$22,OR6&lt;&gt;""),AND(OU6&gt;=OV$22,OU6&lt;&gt;"")),"P","")</f>
        <v>P</v>
      </c>
      <c r="H6" s="66" t="str">
        <f>IF(AND(G6="P",F6=""),"No DD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Merit",IF(OR(AND(AM6&gt;=AR$20,AN6&gt;=AR$24,AM6&lt;&gt;"",AL6=""),AND(AP6&gt;=AR$20,AQ6&gt;=AR$24,AP6&lt;&gt;"",AL6=""),AND(BN6&gt;=BS$20,BO6&gt;=BS$24,BN6&lt;&gt;"",BM6=""),AND(BQ6&gt;=BS$20,BR6&gt;=BS$24,BQ6&lt;&gt;"",BM6=""),AND(CO6&gt;=CT$20,CP6&gt;=CT$24,CO6&lt;&gt;"",CN6=""),AND(CR6&gt;=CT$20,CS6&gt;=CT$24,CR6&lt;&gt;""),AND(DQ6&gt;=DV$20,DR6&gt;=DV$24,DQ6&lt;&gt;""),AND(DT6&gt;=DV$20,DU6&gt;=DV$24,DT6&lt;&gt;""),AND(EQ6&gt;=EV$20,ER6&gt;=EV$24,EQ6&lt;&gt;""),AND(ET6&gt;=EV$20,EU6&gt;=EV$24,ET6&lt;&gt;""),AND(FQ6&gt;=FV$20,FR6&gt;=FV$24,FQ6&lt;&gt;""),AND(FT6&gt;=FV$20,FU6&gt;=FV$24,FT6&lt;&gt;""),AND(GQ6&gt;=GV$20,GR6&gt;=GV$24,GQ6&lt;&gt;""),AND(GT6&gt;=GV$20,GU6&gt;=GV$24,GT6&lt;&gt;""),AND(HQ6&gt;=HV$20,HR6&gt;=HV$24,HQ6&lt;&gt;""),AND(HT6&gt;=HV$20,HU6&gt;=HV$24,HT6&lt;&gt;""),AND(IQ6&gt;=IV$20,IR6&gt;=IV$24,IQ6&lt;&gt;""),AND(IT6&gt;=IV$20,IU6&gt;=IV$24,IT6&lt;&gt;""),AND(JQ6&gt;=JV$20,JR6&gt;=JV$24,JQ6&lt;&gt;""),AND(JT6&gt;=JV$20,JU6&gt;=JV$24,JT6&lt;&gt;""),AND(KQ6&gt;=KV$20,KR6&gt;=KV$24,KQ6&lt;&gt;""),AND(KT6&gt;=KV$20,KU6&gt;=KV$24,KT6&lt;&gt;""),AND(LQ6&gt;=LV$20,LR6&gt;=LV$24,LQ6&lt;&gt;""),AND(LT6&gt;=LV$20,LU6&gt;=LV$24,LT6&lt;&gt;""),AND(MQ6&gt;=MV$20,MR6&gt;=MV$24,MQ6&lt;&gt;""),AND(MT6&gt;=MV$20,MU6&gt;=MV$24,MT6&lt;&gt;""),AND(NQ6&gt;=NV$20,NR6&gt;=NV$24,NQ6&lt;&gt;""),AND(NT6&gt;=NV$20,NU6&gt;=NV$24,NT6&lt;&gt;""),AND(OQ6&gt;=OV$20,OR6&gt;=OV$24,OQ6&lt;&gt;""),AND(OT6&gt;=OV$20,OU6&gt;=OV$24,OT6&lt;&gt;"")),"Excellence",IF(F6="P","National Team",""))))</f>
        <v>National Team</v>
      </c>
      <c r="I6" s="14">
        <f>IF(COUNT(AN6,BO6,CP6)&gt;0,LARGE((AN6,BO6,CP6),1),0)</f>
        <v>44.1</v>
      </c>
      <c r="J6" s="14" t="str">
        <f>IF(I6=0,"",IF(I6=CP6,$BT$1,IF(I6=BO6,$AS$1,IF(I6=AN6,$R$1,""))))</f>
        <v>2022 Elite Canada</v>
      </c>
      <c r="K6" s="14">
        <f>IF(COUNT(AN6,BO6,CP6)&gt;1,LARGE((AN6,BO6,CP6),2),0)</f>
        <v>43.699999999999996</v>
      </c>
      <c r="L6" s="14" t="str">
        <f>IF(K6=0,"",IF(K6=CP6,$BT$1,IF(K6=BO6,$AS$1,IF(K6=AN6,$R$1,""))))</f>
        <v>2022 Nationals</v>
      </c>
      <c r="M6" s="14">
        <f>IF(MAX(AQ6,BR6,CS6)&gt;0,MAX(AQ6,BR6,CS6),0)</f>
        <v>44.6</v>
      </c>
      <c r="N6" s="14" t="str">
        <f>IF(M6=0,"",IF(M6=CS6,$BT$1,IF(M6=BR6,$AS$1,IF(M6=AQ6,$R$1,""))))</f>
        <v>2022 Elite Canada</v>
      </c>
      <c r="O6" s="14">
        <f>IF(MAX(CU6:CV6)&gt;0,MAX(CU6:CV6),"")</f>
        <v>0.29999999999999716</v>
      </c>
      <c r="P6" s="19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Coimbra Gym Fest (June 26)</v>
      </c>
      <c r="R6" s="26">
        <v>16.5</v>
      </c>
      <c r="S6" s="26">
        <v>4.7</v>
      </c>
      <c r="T6" s="26">
        <v>0</v>
      </c>
      <c r="U6" s="26">
        <v>0.3</v>
      </c>
      <c r="V6" s="26">
        <v>17</v>
      </c>
      <c r="W6" s="26">
        <v>5</v>
      </c>
      <c r="X6" s="26">
        <v>0</v>
      </c>
      <c r="Y6" s="26">
        <v>0.6</v>
      </c>
      <c r="Z6" s="26"/>
      <c r="AA6" s="26"/>
      <c r="AB6" s="26"/>
      <c r="AC6" s="26"/>
      <c r="AD6" s="26">
        <v>17.399999999999999</v>
      </c>
      <c r="AE6" s="26">
        <v>4.7</v>
      </c>
      <c r="AF6" s="26">
        <v>0</v>
      </c>
      <c r="AG6" s="26">
        <v>0.3</v>
      </c>
      <c r="AH6" s="26">
        <v>16.8</v>
      </c>
      <c r="AI6" s="26">
        <v>4.8</v>
      </c>
      <c r="AJ6" s="26">
        <v>0</v>
      </c>
      <c r="AK6" s="26">
        <v>0.6</v>
      </c>
      <c r="AL6" s="44"/>
      <c r="AM6" s="78">
        <f>IF(SUM(S6,W6)&gt;0,SUM(S6,W6),"")</f>
        <v>9.6999999999999993</v>
      </c>
      <c r="AN6" s="78">
        <f>IF(SUM(R6:S6,U6:W6,Y6)-T6-X6&gt;0,SUM(R6:S6,U6:W6,Y6)-T6-X6,"")</f>
        <v>44.1</v>
      </c>
      <c r="AO6" s="78" t="str">
        <f>IF(SUM(Z6:AA6,AC6)-AB6&gt;0,SUM(Z6:AA6,AC6)-AB6,"")</f>
        <v/>
      </c>
      <c r="AP6" s="78">
        <f>IF(SUM(AE6,AI6)&gt;0,SUM(AE6,AI6),"")</f>
        <v>9.5</v>
      </c>
      <c r="AQ6" s="78">
        <f>IF(SUM(AD6:AE6,AG6:AI6,AK6)-SUM(AF6,AJ6)&gt;0,SUM(AD6:AE6,AG6:AI6,AK6)-SUM(AF6,AJ6),"")</f>
        <v>44.6</v>
      </c>
      <c r="AR6" s="78">
        <f>IF(SUM(AN6,AQ6)&gt;0,SUM(AN6,AQ6),"")</f>
        <v>88.7</v>
      </c>
      <c r="AS6" s="25">
        <v>17.600000000000001</v>
      </c>
      <c r="AT6" s="25">
        <v>4.8</v>
      </c>
      <c r="AU6" s="25">
        <v>0.9</v>
      </c>
      <c r="AV6" s="25">
        <v>0</v>
      </c>
      <c r="AW6" s="25">
        <v>16.399999999999999</v>
      </c>
      <c r="AX6" s="25">
        <v>5.8</v>
      </c>
      <c r="AY6" s="25">
        <v>0</v>
      </c>
      <c r="AZ6" s="25">
        <v>0</v>
      </c>
      <c r="BA6" s="25"/>
      <c r="BB6" s="25"/>
      <c r="BC6" s="25"/>
      <c r="BD6" s="25"/>
      <c r="BE6" s="25">
        <v>15.5</v>
      </c>
      <c r="BF6" s="25">
        <v>4.4000000000000004</v>
      </c>
      <c r="BG6" s="25">
        <v>0.6</v>
      </c>
      <c r="BH6" s="25">
        <v>0</v>
      </c>
      <c r="BI6" s="25">
        <v>15.6</v>
      </c>
      <c r="BJ6" s="25">
        <v>3</v>
      </c>
      <c r="BK6" s="25">
        <v>0</v>
      </c>
      <c r="BL6" s="25">
        <v>0</v>
      </c>
      <c r="BM6" s="45"/>
      <c r="BN6" s="19">
        <f>IF(SUM(AT6,AX6)&gt;0,SUM(AT6,AX6),"")</f>
        <v>10.6</v>
      </c>
      <c r="BO6" s="19">
        <f>IF(SUM(AS6:AT6,AV6:AX6,AZ6)-AU6-AY6&gt;0,SUM(AS6:AT6,AV6:AX6,AZ6)-AU6-AY6,"")</f>
        <v>43.699999999999996</v>
      </c>
      <c r="BP6" s="19" t="str">
        <f>IF(SUM(BA6:BB6,BD6)-BC6&gt;0,SUM(BA6:BB6,BD6)-BC6,"")</f>
        <v/>
      </c>
      <c r="BQ6" s="19">
        <f>IF(SUM(BF6,BJ6)&gt;0,SUM(BF6,BJ6),"")</f>
        <v>7.4</v>
      </c>
      <c r="BR6" s="19">
        <f>IF(SUM(BE6:BF6,BH6:BJ6,BL6)-SUM(BG6,BK6)&gt;0,SUM(BE6:BF6,BH6:BJ6,BL6)-SUM(BG6,BK6),"")</f>
        <v>37.9</v>
      </c>
      <c r="BS6" s="19">
        <f>IF(SUM(BO6,BR6)&gt;0,SUM(BO6,BR6),"")</f>
        <v>81.599999999999994</v>
      </c>
      <c r="BT6" s="26">
        <v>15.3</v>
      </c>
      <c r="BU6" s="26">
        <v>5.5</v>
      </c>
      <c r="BV6" s="26">
        <v>0</v>
      </c>
      <c r="BW6" s="26">
        <v>0</v>
      </c>
      <c r="BX6" s="26">
        <v>16.8</v>
      </c>
      <c r="BY6" s="26">
        <v>5.5</v>
      </c>
      <c r="BZ6" s="26">
        <v>0</v>
      </c>
      <c r="CA6" s="26">
        <v>0</v>
      </c>
      <c r="CB6" s="26"/>
      <c r="CC6" s="26"/>
      <c r="CD6" s="26"/>
      <c r="CE6" s="26"/>
      <c r="CF6" s="26">
        <v>16.54</v>
      </c>
      <c r="CG6" s="26">
        <v>5.7</v>
      </c>
      <c r="CH6" s="26">
        <v>0</v>
      </c>
      <c r="CI6" s="26">
        <v>0</v>
      </c>
      <c r="CJ6" s="26">
        <v>16.399999999999999</v>
      </c>
      <c r="CK6" s="26">
        <v>5.0999999999999996</v>
      </c>
      <c r="CL6" s="26">
        <v>0</v>
      </c>
      <c r="CM6" s="26">
        <v>0</v>
      </c>
      <c r="CN6" s="44"/>
      <c r="CO6" s="78">
        <f>IF(SUM(BU6,BY6)&gt;0,SUM(BU6,BY6),"")</f>
        <v>11</v>
      </c>
      <c r="CP6" s="78">
        <f>IF(SUM(BT6:BU6,BW6:BY6,CA6)-BV6-BZ6&gt;0,SUM(BT6:BU6,BW6:BY6,CA6)-BV6-BZ6,"")</f>
        <v>43.1</v>
      </c>
      <c r="CQ6" s="78" t="str">
        <f>IF(SUM(CB6:CC6,CE6)-CD6&gt;0,SUM(CB6:CC6,CE6)-CD6,"")</f>
        <v/>
      </c>
      <c r="CR6" s="78">
        <f>IF(SUM(CG6,CK6)&gt;0,SUM(CG6,CK6),"")</f>
        <v>10.8</v>
      </c>
      <c r="CS6" s="78">
        <f>IF(SUM(CF6:CG6,CI6:CK6,CM6)-SUM(CH6,CL6)&gt;0,SUM(CF6:CG6,CI6:CK6,CM6)-SUM(CH6,CL6),"")</f>
        <v>43.74</v>
      </c>
      <c r="CT6" s="78">
        <f>IF(SUM(CP6,CS6)&gt;0,SUM(CP6,CS6),"")</f>
        <v>86.84</v>
      </c>
      <c r="CU6" s="79" t="str">
        <f>IF(K6&gt;=0.001,IF(MAX(DR6,ER6,FR6,GR6,HR6,IR6,JR6,KR6,LR6,MR6,NR6,OR6)-IF(K6="",0,K6)&gt;0.001,MAX(DR6,ER6,FR6,GR6,HR6,IR6,JR6,KR6,LR6,MR6,NR6,OR6)-IF(K6="",0,K6),""),"")</f>
        <v/>
      </c>
      <c r="CV6" s="79">
        <f>IF(M6&gt;=0.001,IF(MAX(DU6,EU6,FU6,GU6,HU6,IU6,JU6,KU6,LU6,MU6,NU6,OU6)-IF(M6="",0,M6)&gt;0.001,MAX(DU6,EU6,FU6,GU6,HU6,IU6,JU6,KU6,LU6,MU6,NU6,OU6)-IF(M6="",0,M6),""),"")</f>
        <v>0.29999999999999716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>IF(SUM(CX6,DB6)&gt;0,SUM(CX6,DB6),"")</f>
        <v/>
      </c>
      <c r="DR6" s="78" t="str">
        <f>IF(SUM(CW6:CX6,CZ6:DB6,DD6)-CY6-DC6&gt;0,SUM(CW6:CX6,CZ6:DB6,DD6)-CY6-DC6,"")</f>
        <v/>
      </c>
      <c r="DS6" s="78" t="str">
        <f>IF(SUM(DE6:DF6,DH6)-DG6&gt;0,SUM(DE6:DF6,DH6)-DG6,"")</f>
        <v/>
      </c>
      <c r="DT6" s="78" t="str">
        <f>IF(SUM(DJ6,DN6)&gt;0,SUM(DJ6,DN6),"")</f>
        <v/>
      </c>
      <c r="DU6" s="78" t="str">
        <f>IF(SUM(DI6:DJ6,DL6:DN6,DP6)-SUM(DK6,DO6)&gt;0,SUM(DI6:DJ6,DL6:DN6,DP6)-SUM(DK6,DO6),"")</f>
        <v/>
      </c>
      <c r="DV6" s="78" t="str">
        <f>IF(SUM(DR6,DU6)&gt;0,SUM(DR6,DU6),"")</f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>IF(SUM(DX6,EB6)&gt;0,SUM(DX6,EB6),"")</f>
        <v/>
      </c>
      <c r="ER6" s="19" t="str">
        <f>IF(SUM(DW6:DX6,DZ6:EB6,ED6)-DY6-EC6&gt;0,SUM(DW6:DX6,DZ6:EB6,ED6)-DY6-EC6,"")</f>
        <v/>
      </c>
      <c r="ES6" s="19" t="str">
        <f>IF(SUM(EE6:EF6,EH6)-EG6&gt;0,SUM(EE6:EF6,EH6)-EG6,"")</f>
        <v/>
      </c>
      <c r="ET6" s="19" t="str">
        <f>IF(SUM(EJ6,EN6)&gt;0,SUM(EJ6,EN6),"")</f>
        <v/>
      </c>
      <c r="EU6" s="19" t="str">
        <f>IF(SUM(EI6:EJ6,EL6:EN6,EP6)-SUM(EK6,EO6)&gt;0,SUM(EI6:EJ6,EL6:EN6,EP6)-SUM(EK6,EO6),"")</f>
        <v/>
      </c>
      <c r="EV6" s="19" t="str">
        <f>IF(SUM(ER6,EU6)&gt;0,SUM(ER6,EU6),"")</f>
        <v/>
      </c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78" t="str">
        <f>IF(SUM(EX6,FB6)&gt;0,SUM(EX6,FB6),"")</f>
        <v/>
      </c>
      <c r="FR6" s="78" t="str">
        <f>IF(SUM(EW6:EX6,EZ6:FB6,FD6)-EY6-FC6&gt;0,SUM(EW6:EX6,EZ6:FB6,FD6)-EY6-FC6,"")</f>
        <v/>
      </c>
      <c r="FS6" s="78" t="str">
        <f>IF(SUM(FE6:FF6,FH6)-FG6&gt;0,SUM(FE6:FF6,FH6)-FG6,"")</f>
        <v/>
      </c>
      <c r="FT6" s="78" t="str">
        <f>IF(SUM(FJ6,FN6)&gt;0,SUM(FJ6,FN6),"")</f>
        <v/>
      </c>
      <c r="FU6" s="78" t="str">
        <f>IF(SUM(FI6:FJ6,FL6:FN6,FP6)-SUM(FK6,FO6)&gt;0,SUM(FI6:FJ6,FL6:FN6,FP6)-SUM(FK6,FO6),"")</f>
        <v/>
      </c>
      <c r="FV6" s="78" t="str">
        <f>IF(SUM(FR6,FU6)&gt;0,SUM(FR6,FU6),"")</f>
        <v/>
      </c>
      <c r="FW6" s="25">
        <v>15.3</v>
      </c>
      <c r="FX6" s="25">
        <v>2.9</v>
      </c>
      <c r="FY6" s="25">
        <v>0</v>
      </c>
      <c r="FZ6" s="25">
        <v>0</v>
      </c>
      <c r="GA6" s="25">
        <v>17</v>
      </c>
      <c r="GB6" s="25">
        <v>4.8</v>
      </c>
      <c r="GC6" s="25">
        <v>0</v>
      </c>
      <c r="GD6" s="25">
        <v>0</v>
      </c>
      <c r="GE6" s="25"/>
      <c r="GF6" s="25"/>
      <c r="GG6" s="25"/>
      <c r="GH6" s="25"/>
      <c r="GI6" s="25">
        <v>16.600000000000001</v>
      </c>
      <c r="GJ6" s="25">
        <v>5.3</v>
      </c>
      <c r="GK6" s="25">
        <v>0.2</v>
      </c>
      <c r="GL6" s="25">
        <v>0</v>
      </c>
      <c r="GM6" s="25">
        <v>16.899999999999999</v>
      </c>
      <c r="GN6" s="25">
        <v>4.4000000000000004</v>
      </c>
      <c r="GO6" s="25">
        <v>0.4</v>
      </c>
      <c r="GP6" s="25">
        <v>0</v>
      </c>
      <c r="GQ6" s="19">
        <f>IF(SUM(FX6,GB6)&gt;0,SUM(FX6,GB6),"")</f>
        <v>7.6999999999999993</v>
      </c>
      <c r="GR6" s="19">
        <f>IF(SUM(FW6:FX6,FZ6:GB6,GD6)-FY6-GC6&gt;0,SUM(FW6:FX6,FZ6:GB6,GD6)-FY6-GC6,"")</f>
        <v>40</v>
      </c>
      <c r="GS6" s="19" t="str">
        <f>IF(SUM(GE6:GF6,GH6)-GG6&gt;0,SUM(GE6:GF6,GH6)-GG6,"")</f>
        <v/>
      </c>
      <c r="GT6" s="19">
        <f>IF(SUM(GJ6,GN6)&gt;0,SUM(GJ6,GN6),"")</f>
        <v>9.6999999999999993</v>
      </c>
      <c r="GU6" s="19">
        <f>IF(SUM(GI6:GJ6,GL6:GN6,GP6)-SUM(GK6,GO6)&gt;0,SUM(GI6:GJ6,GL6:GN6,GP6)-SUM(GK6,GO6),"")</f>
        <v>42.599999999999994</v>
      </c>
      <c r="GV6" s="19">
        <f>IF(SUM(GR6,GU6)&gt;0,SUM(GR6,GU6),"")</f>
        <v>82.6</v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>IF(SUM(GX6,HB6)&gt;0,SUM(GX6,HB6),"")</f>
        <v/>
      </c>
      <c r="HR6" s="78" t="str">
        <f>IF(SUM(GW6:GX6,GZ6:HB6,HD6)-GY6-HC6&gt;0,SUM(GW6:GX6,GZ6:HB6,HD6)-GY6-HC6,"")</f>
        <v/>
      </c>
      <c r="HS6" s="78" t="str">
        <f>IF(SUM(HE6:HF6,HH6)-HG6&gt;0,SUM(HE6:HF6,HH6)-HG6,"")</f>
        <v/>
      </c>
      <c r="HT6" s="78" t="str">
        <f>IF(SUM(HJ6,HN6)&gt;0,SUM(HJ6,HN6),"")</f>
        <v/>
      </c>
      <c r="HU6" s="78" t="str">
        <f>IF(SUM(HI6:HJ6,HL6:HN6,HP6)-SUM(HK6,HO6)&gt;0,SUM(HI6:HJ6,HL6:HN6,HP6)-SUM(HK6,HO6),"")</f>
        <v/>
      </c>
      <c r="HV6" s="78" t="str">
        <f>IF(SUM(HR6,HU6)&gt;0,SUM(HR6,HU6),"")</f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>IF(SUM(HX6,IB6)&gt;0,SUM(HX6,IB6),"")</f>
        <v/>
      </c>
      <c r="IR6" s="19" t="str">
        <f>IF(SUM(HW6:HX6,HZ6:IB6,ID6)-HY6-IC6&gt;0,SUM(HW6:HX6,HZ6:IB6,ID6)-HY6-IC6,"")</f>
        <v/>
      </c>
      <c r="IS6" s="19" t="str">
        <f>IF(SUM(IE6:IF6,IH6)-IG6&gt;0,SUM(IE6:IF6,IH6)-IG6,"")</f>
        <v/>
      </c>
      <c r="IT6" s="19" t="str">
        <f>IF(SUM(IJ6,IN6)&gt;0,SUM(IJ6,IN6),"")</f>
        <v/>
      </c>
      <c r="IU6" s="19" t="str">
        <f>IF(SUM(II6:IJ6,IL6:IN6,IP6)-SUM(IK6,IO6)&gt;0,SUM(II6:IJ6,IL6:IN6,IP6)-SUM(IK6,IO6),"")</f>
        <v/>
      </c>
      <c r="IV6" s="19" t="str">
        <f>IF(SUM(IR6,IU6)&gt;0,SUM(IR6,IU6),"")</f>
        <v/>
      </c>
      <c r="IW6" s="24">
        <v>15.3</v>
      </c>
      <c r="IX6" s="24">
        <v>5.3</v>
      </c>
      <c r="IY6" s="24">
        <v>0</v>
      </c>
      <c r="IZ6" s="24">
        <v>0</v>
      </c>
      <c r="JA6" s="24">
        <v>16.5</v>
      </c>
      <c r="JB6" s="24">
        <v>4.8</v>
      </c>
      <c r="JC6" s="24">
        <v>0.2</v>
      </c>
      <c r="JD6" s="24">
        <v>0</v>
      </c>
      <c r="JE6" s="24"/>
      <c r="JF6" s="24"/>
      <c r="JG6" s="24"/>
      <c r="JH6" s="24"/>
      <c r="JI6" s="24">
        <v>17.399999999999999</v>
      </c>
      <c r="JJ6" s="24">
        <v>4.8</v>
      </c>
      <c r="JK6" s="24">
        <v>0</v>
      </c>
      <c r="JL6" s="24">
        <v>0</v>
      </c>
      <c r="JM6" s="24">
        <v>17.2</v>
      </c>
      <c r="JN6" s="24">
        <v>5.7</v>
      </c>
      <c r="JO6" s="24">
        <v>0.2</v>
      </c>
      <c r="JP6" s="24">
        <v>0</v>
      </c>
      <c r="JQ6" s="78">
        <f>IF(SUM(IX6,JB6)&gt;0,SUM(IX6,JB6),"")</f>
        <v>10.1</v>
      </c>
      <c r="JR6" s="78">
        <f>IF(SUM(IW6:IX6,IZ6:JB6,JD6)-IY6-JC6&gt;0,SUM(IW6:IX6,IZ6:JB6,JD6)-IY6-JC6,"")</f>
        <v>41.699999999999996</v>
      </c>
      <c r="JS6" s="78" t="str">
        <f>IF(SUM(JE6:JF6,JH6)-JG6&gt;0,SUM(JE6:JF6,JH6)-JG6,"")</f>
        <v/>
      </c>
      <c r="JT6" s="78">
        <f>IF(SUM(JJ6,JN6)&gt;0,SUM(JJ6,JN6),"")</f>
        <v>10.5</v>
      </c>
      <c r="JU6" s="78">
        <f>IF(SUM(JI6:JJ6,JL6:JN6,JP6)-SUM(JK6,JO6)&gt;0,SUM(JI6:JJ6,JL6:JN6,JP6)-SUM(JK6,JO6),"")</f>
        <v>44.9</v>
      </c>
      <c r="JV6" s="78">
        <f>IF(SUM(JR6,JU6)&gt;0,SUM(JR6,JU6),"")</f>
        <v>86.6</v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>IF(SUM(JX6,KB6)&gt;0,SUM(JX6,KB6),"")</f>
        <v/>
      </c>
      <c r="KR6" s="19" t="str">
        <f>IF(SUM(JW6:JX6,JZ6:KB6,KD6)-JY6-KC6&gt;0,SUM(JW6:JX6,JZ6:KB6,KD6)-JY6-KC6,"")</f>
        <v/>
      </c>
      <c r="KS6" s="19" t="str">
        <f>IF(SUM(KE6:KF6,KH6)-KG6&gt;0,SUM(KE6:KF6,KH6)-KG6,"")</f>
        <v/>
      </c>
      <c r="KT6" s="19" t="str">
        <f>IF(SUM(KJ6,KN6)&gt;0,SUM(KJ6,KN6),"")</f>
        <v/>
      </c>
      <c r="KU6" s="19" t="str">
        <f>IF(SUM(KI6:KJ6,KL6:KN6,KP6)-SUM(KK6,KO6)&gt;0,SUM(KI6:KJ6,KL6:KN6,KP6)-SUM(KK6,KO6),"")</f>
        <v/>
      </c>
      <c r="KV6" s="19" t="str">
        <f>IF(SUM(KR6,KU6)&gt;0,SUM(KR6,KU6),"")</f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>IF(SUM(KX6,LB6)&gt;0,SUM(KX6,LB6),"")</f>
        <v/>
      </c>
      <c r="LR6" s="78" t="str">
        <f>IF(SUM(KW6:KX6,KZ6:LB6,LD6)-KY6-LC6&gt;0,SUM(KW6:KX6,KZ6:LB6,LD6)-KY6-LC6,"")</f>
        <v/>
      </c>
      <c r="LS6" s="78" t="str">
        <f>IF(SUM(LE6:LF6,LH6)-LG6&gt;0,SUM(LE6:LF6,LH6)-LG6,"")</f>
        <v/>
      </c>
      <c r="LT6" s="78" t="str">
        <f>IF(SUM(LJ6,LN6)&gt;0,SUM(LJ6,LN6),"")</f>
        <v/>
      </c>
      <c r="LU6" s="78" t="str">
        <f>IF(SUM(LI6:LJ6,LL6:LN6,LP6)-SUM(LK6,LO6)&gt;0,SUM(LI6:LJ6,LL6:LN6,LP6)-SUM(LK6,LO6),"")</f>
        <v/>
      </c>
      <c r="LV6" s="78" t="str">
        <f>IF(SUM(LR6,LU6)&gt;0,SUM(LR6,LU6),"")</f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>IF(SUM(LX6,MB6)&gt;0,SUM(LX6,MB6),"")</f>
        <v/>
      </c>
      <c r="MR6" s="19" t="str">
        <f>IF(SUM(LW6:LX6,LZ6:MB6,MD6)-LY6-MC6&gt;0,SUM(LW6:LX6,LZ6:MB6,MD6)-LY6-MC6,"")</f>
        <v/>
      </c>
      <c r="MS6" s="19" t="str">
        <f>IF(SUM(ME6:MF6,MH6)-MG6&gt;0,SUM(ME6:MF6,MH6)-MG6,"")</f>
        <v/>
      </c>
      <c r="MT6" s="19" t="str">
        <f>IF(SUM(MJ6,MN6)&gt;0,SUM(MJ6,MN6),"")</f>
        <v/>
      </c>
      <c r="MU6" s="19" t="str">
        <f>IF(SUM(MI6:MJ6,ML6:MN6,MP6)-SUM(MK6,MO6)&gt;0,SUM(MI6:MJ6,ML6:MN6,MP6)-SUM(MK6,MO6),"")</f>
        <v/>
      </c>
      <c r="MV6" s="19" t="str">
        <f>IF(SUM(MR6,MU6)&gt;0,SUM(MR6,MU6),"")</f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>IF(SUM(MX6,NB6)&gt;0,SUM(MX6,NB6),"")</f>
        <v/>
      </c>
      <c r="NR6" s="78" t="str">
        <f>IF(SUM(MW6:MX6,MZ6:NB6,ND6)-MY6-NC6&gt;0,SUM(MW6:MX6,MZ6:NB6,ND6)-MY6-NC6,"")</f>
        <v/>
      </c>
      <c r="NS6" s="78" t="str">
        <f>IF(SUM(NE6:NF6,NH6)-NG6&gt;0,SUM(NE6:NF6,NH6)-NG6,"")</f>
        <v/>
      </c>
      <c r="NT6" s="78" t="str">
        <f>IF(SUM(NJ6,NN6)&gt;0,SUM(NJ6,NN6),"")</f>
        <v/>
      </c>
      <c r="NU6" s="78" t="str">
        <f>IF(SUM(NI6:NJ6,NL6:NN6,NP6)-SUM(NK6,NO6)&gt;0,SUM(NI6:NJ6,NL6:NN6,NP6)-SUM(NK6,NO6),"")</f>
        <v/>
      </c>
      <c r="NV6" s="78" t="str">
        <f>IF(SUM(NR6,NU6)&gt;0,SUM(NR6,NU6),"")</f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>IF(SUM(NX6,OB6)&gt;0,SUM(NX6,OB6),"")</f>
        <v/>
      </c>
      <c r="OR6" s="19" t="str">
        <f>IF(SUM(NW6:NX6,NZ6:OB6,OD6)-NY6-OC6&gt;0,SUM(NW6:NX6,NZ6:OB6,OD6)-NY6-OC6,"")</f>
        <v/>
      </c>
      <c r="OS6" s="19" t="str">
        <f>IF(SUM(OE6:OF6,OH6)-OG6&gt;0,SUM(OE6:OF6,OH6)-OG6,"")</f>
        <v/>
      </c>
      <c r="OT6" s="19" t="str">
        <f>IF(SUM(OJ6,ON6)&gt;0,SUM(OJ6,ON6),"")</f>
        <v/>
      </c>
      <c r="OU6" s="19" t="str">
        <f>IF(SUM(OI6:OJ6,OL6:ON6,OP6)-SUM(OK6,OO6)&gt;0,SUM(OI6:OJ6,OL6:ON6,OP6)-SUM(OK6,OO6),"")</f>
        <v/>
      </c>
      <c r="OV6" s="19" t="str">
        <f>IF(SUM(OR6,OU6)&gt;0,SUM(OR6,OU6),"")</f>
        <v/>
      </c>
      <c r="OW6" s="37">
        <f>IF($CN6="P",BT6,(BT6+AS6)/2)</f>
        <v>16.450000000000003</v>
      </c>
      <c r="OX6" s="37">
        <f>IF($CN6="P",BU6,(BU6+AT6)/2)</f>
        <v>5.15</v>
      </c>
      <c r="OY6" s="37">
        <f>IF($CN6="P",BV6,(BV6+AU6)/2)</f>
        <v>0.45</v>
      </c>
      <c r="OZ6" s="37">
        <f>IF($CN6="P",BW6,(BW6+AV6)/2)</f>
        <v>0</v>
      </c>
      <c r="PA6" s="37">
        <f>IF($CN6="P",BX6,(BX6+AW6)/2)</f>
        <v>16.600000000000001</v>
      </c>
      <c r="PB6" s="37">
        <f>IF($CN6="P",BY6,(BY6+AX6)/2)</f>
        <v>5.65</v>
      </c>
      <c r="PC6" s="37">
        <f>IF($CN6="P",BZ6,(BZ6+AY6)/2)</f>
        <v>0</v>
      </c>
      <c r="PD6" s="37">
        <f>IF($CN6="P",CA6,(CA6+AZ6)/2)</f>
        <v>0</v>
      </c>
      <c r="PE6" s="37">
        <f>IF($CN6="P",CB6,(CB6+BA6)/2)</f>
        <v>0</v>
      </c>
      <c r="PF6" s="37">
        <f>IF($CN6="P",CC6,(CC6+BB6)/2)</f>
        <v>0</v>
      </c>
      <c r="PG6" s="37">
        <f>IF($CN6="P",CD6,(CD6+BC6)/2)</f>
        <v>0</v>
      </c>
      <c r="PH6" s="37">
        <f>IF($CN6="P",CE6,(CE6+BD6)/2)</f>
        <v>0</v>
      </c>
      <c r="PI6" s="37">
        <f>IF($CN6="P",CF6,(CF6+BE6)/2)</f>
        <v>16.02</v>
      </c>
      <c r="PJ6" s="37">
        <f>IF($CN6="P",CG6,(CG6+BF6)/2)</f>
        <v>5.0500000000000007</v>
      </c>
      <c r="PK6" s="37">
        <f>IF($CN6="P",CH6,(CH6+BG6)/2)</f>
        <v>0.3</v>
      </c>
      <c r="PL6" s="37">
        <f>IF($CN6="P",CI6,(CI6+BH6)/2)</f>
        <v>0</v>
      </c>
      <c r="PM6" s="37">
        <f>IF($CN6="P",CJ6,(CJ6+BI6)/2)</f>
        <v>16</v>
      </c>
      <c r="PN6" s="37">
        <f>IF($CN6="P",CK6,(CK6+BJ6)/2)</f>
        <v>4.05</v>
      </c>
      <c r="PO6" s="37">
        <f>IF($CN6="P",CL6,(CL6+BK6)/2)</f>
        <v>0</v>
      </c>
      <c r="PP6" s="37">
        <f>IF($CN6="P",CM6,(CM6+BL6)/2)</f>
        <v>0</v>
      </c>
      <c r="PQ6" s="44" t="s">
        <v>46</v>
      </c>
      <c r="PR6" s="78">
        <f>IF(SUM(OX6,PB6)&gt;0,SUM(OX6,PB6),"")</f>
        <v>10.8</v>
      </c>
      <c r="PS6" s="78">
        <f>IF(SUM(OW6:OX6,OZ6:PB6,PD6)-OY6-PC6&gt;0,SUM(OW6:OX6,OZ6:PB6,PD6)-OY6-PC6,"")</f>
        <v>43.4</v>
      </c>
      <c r="PT6" s="78" t="str">
        <f>IF(SUM(PE6:PF6,PH6)-PG6&gt;0,SUM(PE6:PF6,PH6)-PG6,"")</f>
        <v/>
      </c>
      <c r="PU6" s="78">
        <f>IF(SUM(PJ6,PN6)&gt;0,SUM(PJ6,PN6),"")</f>
        <v>9.1000000000000014</v>
      </c>
      <c r="PV6" s="78">
        <f>IF(SUM(PI6:PJ6,PL6:PN6,PP6)-SUM(PK6,PO6)&gt;0,SUM(PI6:PJ6,PL6:PN6,PP6)-SUM(PK6,PO6),"")</f>
        <v>40.82</v>
      </c>
      <c r="PW6" s="78">
        <f>IF(SUM(PS6,PV6)&gt;0,SUM(PS6,PV6),"")</f>
        <v>84.22</v>
      </c>
    </row>
    <row r="7" spans="1:439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77" t="s">
        <v>104</v>
      </c>
      <c r="C7" s="5" t="s">
        <v>3</v>
      </c>
      <c r="D7" s="5">
        <v>2003</v>
      </c>
      <c r="E7" s="15">
        <f>SUM(I7:O7)+SUM(I7:M7)*0.0000001+SUM(I7)*0.0000000000001</f>
        <v>127.50001247000398</v>
      </c>
      <c r="F7" s="3" t="str">
        <f>IF(OR(AND(AM7&gt;=AR$18,AN7&gt;=AR$22,AM7&lt;&gt;"",AL7=""),AND(AP7&gt;=AR$18,AQ7&gt;=AR$22,AP7&lt;&gt;"",AL7=""),AND(BN7&gt;=BS$18,BO7&gt;=BS$22,BN7&lt;&gt;"",BM7=""),AND(BQ7&gt;=BS$18,BR7&gt;=BS$22,BQ7&lt;&gt;"",BM7=""),AND(CO7&gt;=CT$18,CP7&gt;=CT$22,CO7&lt;&gt;"",CN7=""),AND(CR7&gt;=CT$18,CS7&gt;=CT$22,CR7&lt;&gt;""),AND(DQ7&gt;=DV$18,DR7&gt;=DV$22,DQ7&lt;&gt;""),AND(DT7&gt;=DV$18,DU7&gt;=DV$22,DT7&lt;&gt;""),AND(EQ7&gt;=EV$18,ER7&gt;=EV$22,EQ7&lt;&gt;""),AND(ET7&gt;=EV$18,EU7&gt;=EV$22,ET7&lt;&gt;""),AND(FQ7&gt;=FV$18,FR7&gt;=FV$22,FQ7&lt;&gt;""),AND(FT7&gt;=FV$18,FU7&gt;=FV$22,FT7&lt;&gt;""),AND(GQ7&gt;=GV$18,GR7&gt;=GV$22,GQ7&lt;&gt;""),AND(GT7&gt;=GV$18,GU7&gt;=GV$22,GT7&lt;&gt;""),AND(HQ7&gt;=HV$18,HR7&gt;=HV$22,HQ7&lt;&gt;""),AND(HT7&gt;=HV$18,HU7&gt;=HV$22,HT7&lt;&gt;""),AND(IQ7&gt;=IV$18,IR7&gt;=IV$22,IQ7&lt;&gt;""),AND(IT7&gt;=IV$18,IU7&gt;=IV$22,IT7&lt;&gt;""),AND(JQ7&gt;=JV$18,JR7&gt;=JV$22,JQ7&lt;&gt;""),AND(JT7&gt;=JV$18,JU7&gt;=JV$22,JT7&lt;&gt;""),AND(KQ7&gt;=KV$18,KR7&gt;=KV$22,KQ7&lt;&gt;""),AND(KT7&gt;=KV$18,KU7&gt;=KV$22,KT7&lt;&gt;""),AND(LQ7&gt;=LV$18,LR7&gt;=LV$22,LQ7&lt;&gt;""),AND(LT7&gt;=LV$18,LU7&gt;=LV$22,LT7&lt;&gt;""),AND(MQ7&gt;=MV$18,MR7&gt;=MV$22,MQ7&lt;&gt;""),AND(MT7&gt;=MV$18,MU7&gt;=MV$22,MT7&lt;&gt;""),AND(NQ7&gt;=NV$18,NR7&gt;=NV$22,NQ7&lt;&gt;""),AND(NT7&gt;=NV$18,NU7&gt;=NV$22,NT7&lt;&gt;""),AND(OQ7&gt;=OV$18,OR7&gt;=OV$22,OQ7&lt;&gt;""),AND(OT7&gt;=OV$18,OU7&gt;=OV$22,OT7&lt;&gt;"")),"P","")</f>
        <v>P</v>
      </c>
      <c r="G7" s="3" t="str">
        <f>IF(OR(AND(AN7&gt;=AR$22,AN7&lt;&gt;"",AL7=""),AND(AQ7&gt;=AR$22,AQ7&lt;&gt;"",AL7=""),AND(BO7&gt;=BS$22,BO7&lt;&gt;"",BM7=""),AND(BR7&gt;=BS$22,BR7&lt;&gt;"",BM7=""),AND(CP7&gt;=CT$22,CP7&lt;&gt;"",CN7=""),AND(CS7&gt;=CT$22,CS7&lt;&gt;"",CN7=""),AND(DR7&gt;=DV$22,DR7&lt;&gt;""),AND(DU7&gt;=DV$22,DU7&lt;&gt;""),AND(ER7&gt;=EV$22,ER7&lt;&gt;""),AND(EU7&gt;=EV$22,EU7&lt;&gt;""),AND(FR7&gt;=FV$22,FR7&lt;&gt;""),AND(FU7&gt;=FV$22,FU7&lt;&gt;""),AND(GR7&gt;=GV$22,GR7&lt;&gt;""),AND(GU7&gt;=GV$22,GU7&lt;&gt;""),AND(HR7&gt;=HV$22,HR7&lt;&gt;""),AND(HU7&gt;=HV$22,HU7&lt;&gt;""),AND(IR7&gt;=IV$22,IR7&lt;&gt;""),AND(IU7&gt;=IV$22,IU7&lt;&gt;""),AND(JR7&gt;=JV$22,JR7&lt;&gt;""),AND(JU7&gt;=JV$22,JU7&lt;&gt;""),AND(KR7&gt;=KV$22,KR7&lt;&gt;""),AND(KU7&gt;=KV$22,KU7&lt;&gt;""),AND(LR7&gt;=LV$22,LR7&lt;&gt;""),AND(LU7&gt;=LV$22,LU7&lt;&gt;""),AND(MR7&gt;=MV$22,MR7&lt;&gt;""),AND(MU7&gt;=MV$22,MU7&lt;&gt;""),AND(NR7&gt;=NV$22,NR7&lt;&gt;""),AND(NU7&gt;=NV$22,NU7&lt;&gt;""),AND(OR7&gt;=OV$22,OR7&lt;&gt;""),AND(OU7&gt;=OV$22,OU7&lt;&gt;"")),"P","")</f>
        <v>P</v>
      </c>
      <c r="H7" s="66" t="str">
        <f>IF(AND(G7="P",F7=""),"No DD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Merit",IF(OR(AND(AM7&gt;=AR$20,AN7&gt;=AR$24,AM7&lt;&gt;"",AL7=""),AND(AP7&gt;=AR$20,AQ7&gt;=AR$24,AP7&lt;&gt;"",AL7=""),AND(BN7&gt;=BS$20,BO7&gt;=BS$24,BN7&lt;&gt;"",BM7=""),AND(BQ7&gt;=BS$20,BR7&gt;=BS$24,BQ7&lt;&gt;"",BM7=""),AND(CO7&gt;=CT$20,CP7&gt;=CT$24,CO7&lt;&gt;"",CN7=""),AND(CR7&gt;=CT$20,CS7&gt;=CT$24,CR7&lt;&gt;""),AND(DQ7&gt;=DV$20,DR7&gt;=DV$24,DQ7&lt;&gt;""),AND(DT7&gt;=DV$20,DU7&gt;=DV$24,DT7&lt;&gt;""),AND(EQ7&gt;=EV$20,ER7&gt;=EV$24,EQ7&lt;&gt;""),AND(ET7&gt;=EV$20,EU7&gt;=EV$24,ET7&lt;&gt;""),AND(FQ7&gt;=FV$20,FR7&gt;=FV$24,FQ7&lt;&gt;""),AND(FT7&gt;=FV$20,FU7&gt;=FV$24,FT7&lt;&gt;""),AND(GQ7&gt;=GV$20,GR7&gt;=GV$24,GQ7&lt;&gt;""),AND(GT7&gt;=GV$20,GU7&gt;=GV$24,GT7&lt;&gt;""),AND(HQ7&gt;=HV$20,HR7&gt;=HV$24,HQ7&lt;&gt;""),AND(HT7&gt;=HV$20,HU7&gt;=HV$24,HT7&lt;&gt;""),AND(IQ7&gt;=IV$20,IR7&gt;=IV$24,IQ7&lt;&gt;""),AND(IT7&gt;=IV$20,IU7&gt;=IV$24,IT7&lt;&gt;""),AND(JQ7&gt;=JV$20,JR7&gt;=JV$24,JQ7&lt;&gt;""),AND(JT7&gt;=JV$20,JU7&gt;=JV$24,JT7&lt;&gt;""),AND(KQ7&gt;=KV$20,KR7&gt;=KV$24,KQ7&lt;&gt;""),AND(KT7&gt;=KV$20,KU7&gt;=KV$24,KT7&lt;&gt;""),AND(LQ7&gt;=LV$20,LR7&gt;=LV$24,LQ7&lt;&gt;""),AND(LT7&gt;=LV$20,LU7&gt;=LV$24,LT7&lt;&gt;""),AND(MQ7&gt;=MV$20,MR7&gt;=MV$24,MQ7&lt;&gt;""),AND(MT7&gt;=MV$20,MU7&gt;=MV$24,MT7&lt;&gt;""),AND(NQ7&gt;=NV$20,NR7&gt;=NV$24,NQ7&lt;&gt;""),AND(NT7&gt;=NV$20,NU7&gt;=NV$24,NT7&lt;&gt;""),AND(OQ7&gt;=OV$20,OR7&gt;=OV$24,OQ7&lt;&gt;""),AND(OT7&gt;=OV$20,OU7&gt;=OV$24,OT7&lt;&gt;"")),"Excellence",IF(F7="P","National Team",""))))</f>
        <v>National Team</v>
      </c>
      <c r="I7" s="14">
        <f>IF(COUNT(AN7,BO7,CP7)&gt;0,LARGE((AN7,BO7,CP7),1),0)</f>
        <v>39.800000000000004</v>
      </c>
      <c r="J7" s="14" t="str">
        <f>IF(I7=0,"",IF(I7=CP7,$BT$1,IF(I7=BO7,$AS$1,IF(I7=AN7,$R$1,""))))</f>
        <v>2022 Nationals</v>
      </c>
      <c r="K7" s="14">
        <f>IF(COUNT(AN7,BO7,CP7)&gt;1,LARGE((AN7,BO7,CP7),2),0)</f>
        <v>39.299999999999997</v>
      </c>
      <c r="L7" s="14" t="str">
        <f>IF(K7=0,"",IF(K7=CP7,$BT$1,IF(K7=BO7,$AS$1,IF(K7=AN7,$R$1,""))))</f>
        <v>2022 3rd Domestic Trial</v>
      </c>
      <c r="M7" s="14">
        <f>IF(MAX(AQ7,BR7,CS7)&gt;0,MAX(AQ7,BR7,CS7),0)</f>
        <v>45.6</v>
      </c>
      <c r="N7" s="14" t="str">
        <f>IF(M7=0,"",IF(M7=CS7,$BT$1,IF(M7=BR7,$AS$1,IF(M7=AQ7,$R$1,""))))</f>
        <v>2022 Nationals</v>
      </c>
      <c r="O7" s="14">
        <f>IF(MAX(CU7:CV7)&gt;0,MAX(CU7:CV7),"")</f>
        <v>2.8000000000000114</v>
      </c>
      <c r="P7" s="19" t="str">
        <f>IF(O7="","",IF(O7=CU7,"("&amp;CU$2&amp;")",IF(O7=CV7,"("&amp;CV$2&amp;")")))</f>
        <v>(Q1)</v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2022 Coimbra Gym Fest (June 26)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>IF(SUM(S7,W7)&gt;0,SUM(S7,W7),"")</f>
        <v/>
      </c>
      <c r="AN7" s="78" t="str">
        <f>IF(SUM(R7:S7,U7:W7,Y7)-T7-X7&gt;0,SUM(R7:S7,U7:W7,Y7)-T7-X7,"")</f>
        <v/>
      </c>
      <c r="AO7" s="78" t="str">
        <f>IF(SUM(Z7:AA7,AC7)-AB7&gt;0,SUM(Z7:AA7,AC7)-AB7,"")</f>
        <v/>
      </c>
      <c r="AP7" s="78" t="str">
        <f>IF(SUM(AE7,AI7)&gt;0,SUM(AE7,AI7),"")</f>
        <v/>
      </c>
      <c r="AQ7" s="78" t="str">
        <f>IF(SUM(AD7:AE7,AG7:AI7,AK7)-SUM(AF7,AJ7)&gt;0,SUM(AD7:AE7,AG7:AI7,AK7)-SUM(AF7,AJ7),"")</f>
        <v/>
      </c>
      <c r="AR7" s="78" t="str">
        <f>IF(SUM(AN7,AQ7)&gt;0,SUM(AN7,AQ7),"")</f>
        <v/>
      </c>
      <c r="AS7" s="25">
        <v>18.100000000000001</v>
      </c>
      <c r="AT7" s="25">
        <v>5.3</v>
      </c>
      <c r="AU7" s="25">
        <v>0.2</v>
      </c>
      <c r="AV7" s="25">
        <v>0</v>
      </c>
      <c r="AW7" s="25">
        <v>16</v>
      </c>
      <c r="AX7" s="25">
        <v>2.6</v>
      </c>
      <c r="AY7" s="25">
        <v>2</v>
      </c>
      <c r="AZ7" s="25">
        <v>0</v>
      </c>
      <c r="BA7" s="25"/>
      <c r="BB7" s="25"/>
      <c r="BC7" s="25"/>
      <c r="BD7" s="25"/>
      <c r="BE7" s="25">
        <v>17.5</v>
      </c>
      <c r="BF7" s="25">
        <v>5.3</v>
      </c>
      <c r="BG7" s="25">
        <v>0</v>
      </c>
      <c r="BH7" s="25">
        <v>0</v>
      </c>
      <c r="BI7" s="25">
        <v>17.8</v>
      </c>
      <c r="BJ7" s="25">
        <v>5</v>
      </c>
      <c r="BK7" s="25">
        <v>0</v>
      </c>
      <c r="BL7" s="25">
        <v>0</v>
      </c>
      <c r="BM7" s="45"/>
      <c r="BN7" s="19">
        <f>IF(SUM(AT7,AX7)&gt;0,SUM(AT7,AX7),"")</f>
        <v>7.9</v>
      </c>
      <c r="BO7" s="19">
        <f>IF(SUM(AS7:AT7,AV7:AX7,AZ7)-AU7-AY7&gt;0,SUM(AS7:AT7,AV7:AX7,AZ7)-AU7-AY7,"")</f>
        <v>39.800000000000004</v>
      </c>
      <c r="BP7" s="19" t="str">
        <f>IF(SUM(BA7:BB7,BD7)-BC7&gt;0,SUM(BA7:BB7,BD7)-BC7,"")</f>
        <v/>
      </c>
      <c r="BQ7" s="19">
        <f>IF(SUM(BF7,BJ7)&gt;0,SUM(BF7,BJ7),"")</f>
        <v>10.3</v>
      </c>
      <c r="BR7" s="19">
        <f>IF(SUM(BE7:BF7,BH7:BJ7,BL7)-SUM(BG7,BK7)&gt;0,SUM(BE7:BF7,BH7:BJ7,BL7)-SUM(BG7,BK7),"")</f>
        <v>45.6</v>
      </c>
      <c r="BS7" s="19">
        <f>IF(SUM(BO7,BR7)&gt;0,SUM(BO7,BR7),"")</f>
        <v>85.4</v>
      </c>
      <c r="BT7" s="26">
        <v>16.3</v>
      </c>
      <c r="BU7" s="26">
        <v>5.3</v>
      </c>
      <c r="BV7" s="26">
        <v>0.2</v>
      </c>
      <c r="BW7" s="26">
        <v>0</v>
      </c>
      <c r="BX7" s="26">
        <v>16</v>
      </c>
      <c r="BY7" s="26">
        <v>1.9</v>
      </c>
      <c r="BZ7" s="26">
        <v>0</v>
      </c>
      <c r="CA7" s="26">
        <v>0</v>
      </c>
      <c r="CB7" s="26"/>
      <c r="CC7" s="26"/>
      <c r="CD7" s="26"/>
      <c r="CE7" s="26"/>
      <c r="CF7" s="26">
        <v>0</v>
      </c>
      <c r="CG7" s="26">
        <v>0</v>
      </c>
      <c r="CH7" s="26">
        <v>0</v>
      </c>
      <c r="CI7" s="26">
        <v>0</v>
      </c>
      <c r="CJ7" s="26">
        <v>0</v>
      </c>
      <c r="CK7" s="26">
        <v>0</v>
      </c>
      <c r="CL7" s="26">
        <v>0</v>
      </c>
      <c r="CM7" s="26">
        <v>0</v>
      </c>
      <c r="CN7" s="44"/>
      <c r="CO7" s="78">
        <f>IF(SUM(BU7,BY7)&gt;0,SUM(BU7,BY7),"")</f>
        <v>7.1999999999999993</v>
      </c>
      <c r="CP7" s="78">
        <f>IF(SUM(BT7:BU7,BW7:BY7,CA7)-BV7-BZ7&gt;0,SUM(BT7:BU7,BW7:BY7,CA7)-BV7-BZ7,"")</f>
        <v>39.299999999999997</v>
      </c>
      <c r="CQ7" s="78" t="str">
        <f>IF(SUM(CB7:CC7,CE7)-CD7&gt;0,SUM(CB7:CC7,CE7)-CD7,"")</f>
        <v/>
      </c>
      <c r="CR7" s="78" t="str">
        <f>IF(SUM(CG7,CK7)&gt;0,SUM(CG7,CK7),"")</f>
        <v/>
      </c>
      <c r="CS7" s="78" t="str">
        <f>IF(SUM(CF7:CG7,CI7:CK7,CM7)-SUM(CH7,CL7)&gt;0,SUM(CF7:CG7,CI7:CK7,CM7)-SUM(CH7,CL7),"")</f>
        <v/>
      </c>
      <c r="CT7" s="78">
        <f>IF(SUM(CP7,CS7)&gt;0,SUM(CP7,CS7),"")</f>
        <v>39.299999999999997</v>
      </c>
      <c r="CU7" s="79">
        <f>IF(K7&gt;=0.001,IF(MAX(DR7,ER7,FR7,GR7,HR7,IR7,JR7,KR7,LR7,MR7,NR7,OR7)-IF(K7="",0,K7)&gt;0.001,MAX(DR7,ER7,FR7,GR7,HR7,IR7,JR7,KR7,LR7,MR7,NR7,OR7)-IF(K7="",0,K7),""),"")</f>
        <v>2.8000000000000114</v>
      </c>
      <c r="CV7" s="79">
        <f>IF(M7&gt;=0.001,IF(MAX(DU7,EU7,FU7,GU7,HU7,IU7,JU7,KU7,LU7,MU7,NU7,OU7)-IF(M7="",0,M7)&gt;0.001,MAX(DU7,EU7,FU7,GU7,HU7,IU7,JU7,KU7,LU7,MU7,NU7,OU7)-IF(M7="",0,M7),""),"")</f>
        <v>1.9999999999999929</v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>IF(SUM(CX7,DB7)&gt;0,SUM(CX7,DB7),"")</f>
        <v/>
      </c>
      <c r="DR7" s="78" t="str">
        <f>IF(SUM(CW7:CX7,CZ7:DB7,DD7)-CY7-DC7&gt;0,SUM(CW7:CX7,CZ7:DB7,DD7)-CY7-DC7,"")</f>
        <v/>
      </c>
      <c r="DS7" s="78" t="str">
        <f>IF(SUM(DE7:DF7,DH7)-DG7&gt;0,SUM(DE7:DF7,DH7)-DG7,"")</f>
        <v/>
      </c>
      <c r="DT7" s="78" t="str">
        <f>IF(SUM(DJ7,DN7)&gt;0,SUM(DJ7,DN7),"")</f>
        <v/>
      </c>
      <c r="DU7" s="78" t="str">
        <f>IF(SUM(DI7:DJ7,DL7:DN7,DP7)-SUM(DK7,DO7)&gt;0,SUM(DI7:DJ7,DL7:DN7,DP7)-SUM(DK7,DO7),"")</f>
        <v/>
      </c>
      <c r="DV7" s="78" t="str">
        <f>IF(SUM(DR7,DU7)&gt;0,SUM(DR7,DU7),"")</f>
        <v/>
      </c>
      <c r="DW7" s="25"/>
      <c r="DX7" s="25">
        <v>1E-4</v>
      </c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>
        <f>IF(SUM(DX7,EB7)&gt;0,SUM(DX7,EB7),"")</f>
        <v>1E-4</v>
      </c>
      <c r="ER7" s="19">
        <f>IF(SUM(DW7:DX7,DZ7:EB7,ED7)-DY7-EC7&gt;0,SUM(DW7:DX7,DZ7:EB7,ED7)-DY7-EC7,"")</f>
        <v>1E-4</v>
      </c>
      <c r="ES7" s="19" t="str">
        <f>IF(SUM(EE7:EF7,EH7)-EG7&gt;0,SUM(EE7:EF7,EH7)-EG7,"")</f>
        <v/>
      </c>
      <c r="ET7" s="19" t="str">
        <f>IF(SUM(EJ7,EN7)&gt;0,SUM(EJ7,EN7),"")</f>
        <v/>
      </c>
      <c r="EU7" s="19" t="str">
        <f>IF(SUM(EI7:EJ7,EL7:EN7,EP7)-SUM(EK7,EO7)&gt;0,SUM(EI7:EJ7,EL7:EN7,EP7)-SUM(EK7,EO7),"")</f>
        <v/>
      </c>
      <c r="EV7" s="19">
        <f>IF(SUM(ER7,EU7)&gt;0,SUM(ER7,EU7),"")</f>
        <v>1E-4</v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>IF(SUM(EX7,FB7)&gt;0,SUM(EX7,FB7),"")</f>
        <v/>
      </c>
      <c r="FR7" s="78" t="str">
        <f>IF(SUM(EW7:EX7,EZ7:FB7,FD7)-EY7-FC7&gt;0,SUM(EW7:EX7,EZ7:FB7,FD7)-EY7-FC7,"")</f>
        <v/>
      </c>
      <c r="FS7" s="78" t="str">
        <f>IF(SUM(FE7:FF7,FH7)-FG7&gt;0,SUM(FE7:FF7,FH7)-FG7,"")</f>
        <v/>
      </c>
      <c r="FT7" s="78" t="str">
        <f>IF(SUM(FJ7,FN7)&gt;0,SUM(FJ7,FN7),"")</f>
        <v/>
      </c>
      <c r="FU7" s="78" t="str">
        <f>IF(SUM(FI7:FJ7,FL7:FN7,FP7)-SUM(FK7,FO7)&gt;0,SUM(FI7:FJ7,FL7:FN7,FP7)-SUM(FK7,FO7),"")</f>
        <v/>
      </c>
      <c r="FV7" s="78" t="str">
        <f>IF(SUM(FR7,FU7)&gt;0,SUM(FR7,FU7),"")</f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>IF(SUM(FX7,GB7)&gt;0,SUM(FX7,GB7),"")</f>
        <v/>
      </c>
      <c r="GR7" s="19" t="str">
        <f>IF(SUM(FW7:FX7,FZ7:GB7,GD7)-FY7-GC7&gt;0,SUM(FW7:FX7,FZ7:GB7,GD7)-FY7-GC7,"")</f>
        <v/>
      </c>
      <c r="GS7" s="19" t="str">
        <f>IF(SUM(GE7:GF7,GH7)-GG7&gt;0,SUM(GE7:GF7,GH7)-GG7,"")</f>
        <v/>
      </c>
      <c r="GT7" s="19" t="str">
        <f>IF(SUM(GJ7,GN7)&gt;0,SUM(GJ7,GN7),"")</f>
        <v/>
      </c>
      <c r="GU7" s="19" t="str">
        <f>IF(SUM(GI7:GJ7,GL7:GN7,GP7)-SUM(GK7,GO7)&gt;0,SUM(GI7:GJ7,GL7:GN7,GP7)-SUM(GK7,GO7),"")</f>
        <v/>
      </c>
      <c r="GV7" s="19" t="str">
        <f>IF(SUM(GR7,GU7)&gt;0,SUM(GR7,GU7),"")</f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>IF(SUM(GX7,HB7)&gt;0,SUM(GX7,HB7),"")</f>
        <v/>
      </c>
      <c r="HR7" s="78" t="str">
        <f>IF(SUM(GW7:GX7,GZ7:HB7,HD7)-GY7-HC7&gt;0,SUM(GW7:GX7,GZ7:HB7,HD7)-GY7-HC7,"")</f>
        <v/>
      </c>
      <c r="HS7" s="78" t="str">
        <f>IF(SUM(HE7:HF7,HH7)-HG7&gt;0,SUM(HE7:HF7,HH7)-HG7,"")</f>
        <v/>
      </c>
      <c r="HT7" s="78" t="str">
        <f>IF(SUM(HJ7,HN7)&gt;0,SUM(HJ7,HN7),"")</f>
        <v/>
      </c>
      <c r="HU7" s="78" t="str">
        <f>IF(SUM(HI7:HJ7,HL7:HN7,HP7)-SUM(HK7,HO7)&gt;0,SUM(HI7:HJ7,HL7:HN7,HP7)-SUM(HK7,HO7),"")</f>
        <v/>
      </c>
      <c r="HV7" s="78" t="str">
        <f>IF(SUM(HR7,HU7)&gt;0,SUM(HR7,HU7),"")</f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>IF(SUM(HX7,IB7)&gt;0,SUM(HX7,IB7),"")</f>
        <v/>
      </c>
      <c r="IR7" s="19" t="str">
        <f>IF(SUM(HW7:HX7,HZ7:IB7,ID7)-HY7-IC7&gt;0,SUM(HW7:HX7,HZ7:IB7,ID7)-HY7-IC7,"")</f>
        <v/>
      </c>
      <c r="IS7" s="19" t="str">
        <f>IF(SUM(IE7:IF7,IH7)-IG7&gt;0,SUM(IE7:IF7,IH7)-IG7,"")</f>
        <v/>
      </c>
      <c r="IT7" s="19" t="str">
        <f>IF(SUM(IJ7,IN7)&gt;0,SUM(IJ7,IN7),"")</f>
        <v/>
      </c>
      <c r="IU7" s="19" t="str">
        <f>IF(SUM(II7:IJ7,IL7:IN7,IP7)-SUM(IK7,IO7)&gt;0,SUM(II7:IJ7,IL7:IN7,IP7)-SUM(IK7,IO7),"")</f>
        <v/>
      </c>
      <c r="IV7" s="19" t="str">
        <f>IF(SUM(IR7,IU7)&gt;0,SUM(IR7,IU7),"")</f>
        <v/>
      </c>
      <c r="IW7" s="24">
        <v>17.3</v>
      </c>
      <c r="IX7" s="24">
        <v>5.3</v>
      </c>
      <c r="IY7" s="24">
        <v>0</v>
      </c>
      <c r="IZ7" s="24">
        <v>0</v>
      </c>
      <c r="JA7" s="24">
        <v>15.8</v>
      </c>
      <c r="JB7" s="24">
        <v>3.7</v>
      </c>
      <c r="JC7" s="24">
        <v>0</v>
      </c>
      <c r="JD7" s="24">
        <v>0</v>
      </c>
      <c r="JE7" s="24"/>
      <c r="JF7" s="24"/>
      <c r="JG7" s="24"/>
      <c r="JH7" s="24"/>
      <c r="JI7" s="24">
        <v>18.3</v>
      </c>
      <c r="JJ7" s="24">
        <v>5.7</v>
      </c>
      <c r="JK7" s="24">
        <v>0</v>
      </c>
      <c r="JL7" s="24">
        <v>0</v>
      </c>
      <c r="JM7" s="24">
        <v>18</v>
      </c>
      <c r="JN7" s="24">
        <v>5.8</v>
      </c>
      <c r="JO7" s="24">
        <v>0.2</v>
      </c>
      <c r="JP7" s="24">
        <v>0</v>
      </c>
      <c r="JQ7" s="78">
        <f>IF(SUM(IX7,JB7)&gt;0,SUM(IX7,JB7),"")</f>
        <v>9</v>
      </c>
      <c r="JR7" s="78">
        <f>IF(SUM(IW7:IX7,IZ7:JB7,JD7)-IY7-JC7&gt;0,SUM(IW7:IX7,IZ7:JB7,JD7)-IY7-JC7,"")</f>
        <v>42.100000000000009</v>
      </c>
      <c r="JS7" s="78" t="str">
        <f>IF(SUM(JE7:JF7,JH7)-JG7&gt;0,SUM(JE7:JF7,JH7)-JG7,"")</f>
        <v/>
      </c>
      <c r="JT7" s="78">
        <f>IF(SUM(JJ7,JN7)&gt;0,SUM(JJ7,JN7),"")</f>
        <v>11.5</v>
      </c>
      <c r="JU7" s="78">
        <f>IF(SUM(JI7:JJ7,JL7:JN7,JP7)-SUM(JK7,JO7)&gt;0,SUM(JI7:JJ7,JL7:JN7,JP7)-SUM(JK7,JO7),"")</f>
        <v>47.599999999999994</v>
      </c>
      <c r="JV7" s="78">
        <f>IF(SUM(JR7,JU7)&gt;0,SUM(JR7,JU7),"")</f>
        <v>89.7</v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>IF(SUM(JX7,KB7)&gt;0,SUM(JX7,KB7),"")</f>
        <v/>
      </c>
      <c r="KR7" s="19" t="str">
        <f>IF(SUM(JW7:JX7,JZ7:KB7,KD7)-JY7-KC7&gt;0,SUM(JW7:JX7,JZ7:KB7,KD7)-JY7-KC7,"")</f>
        <v/>
      </c>
      <c r="KS7" s="19" t="str">
        <f>IF(SUM(KE7:KF7,KH7)-KG7&gt;0,SUM(KE7:KF7,KH7)-KG7,"")</f>
        <v/>
      </c>
      <c r="KT7" s="19" t="str">
        <f>IF(SUM(KJ7,KN7)&gt;0,SUM(KJ7,KN7),"")</f>
        <v/>
      </c>
      <c r="KU7" s="19" t="str">
        <f>IF(SUM(KI7:KJ7,KL7:KN7,KP7)-SUM(KK7,KO7)&gt;0,SUM(KI7:KJ7,KL7:KN7,KP7)-SUM(KK7,KO7),"")</f>
        <v/>
      </c>
      <c r="KV7" s="19" t="str">
        <f>IF(SUM(KR7,KU7)&gt;0,SUM(KR7,KU7),"")</f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>IF(SUM(KX7,LB7)&gt;0,SUM(KX7,LB7),"")</f>
        <v/>
      </c>
      <c r="LR7" s="78" t="str">
        <f>IF(SUM(KW7:KX7,KZ7:LB7,LD7)-KY7-LC7&gt;0,SUM(KW7:KX7,KZ7:LB7,LD7)-KY7-LC7,"")</f>
        <v/>
      </c>
      <c r="LS7" s="78" t="str">
        <f>IF(SUM(LE7:LF7,LH7)-LG7&gt;0,SUM(LE7:LF7,LH7)-LG7,"")</f>
        <v/>
      </c>
      <c r="LT7" s="78" t="str">
        <f>IF(SUM(LJ7,LN7)&gt;0,SUM(LJ7,LN7),"")</f>
        <v/>
      </c>
      <c r="LU7" s="78" t="str">
        <f>IF(SUM(LI7:LJ7,LL7:LN7,LP7)-SUM(LK7,LO7)&gt;0,SUM(LI7:LJ7,LL7:LN7,LP7)-SUM(LK7,LO7),"")</f>
        <v/>
      </c>
      <c r="LV7" s="78" t="str">
        <f>IF(SUM(LR7,LU7)&gt;0,SUM(LR7,LU7),"")</f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>IF(SUM(LX7,MB7)&gt;0,SUM(LX7,MB7),"")</f>
        <v/>
      </c>
      <c r="MR7" s="19" t="str">
        <f>IF(SUM(LW7:LX7,LZ7:MB7,MD7)-LY7-MC7&gt;0,SUM(LW7:LX7,LZ7:MB7,MD7)-LY7-MC7,"")</f>
        <v/>
      </c>
      <c r="MS7" s="19" t="str">
        <f>IF(SUM(ME7:MF7,MH7)-MG7&gt;0,SUM(ME7:MF7,MH7)-MG7,"")</f>
        <v/>
      </c>
      <c r="MT7" s="19" t="str">
        <f>IF(SUM(MJ7,MN7)&gt;0,SUM(MJ7,MN7),"")</f>
        <v/>
      </c>
      <c r="MU7" s="19" t="str">
        <f>IF(SUM(MI7:MJ7,ML7:MN7,MP7)-SUM(MK7,MO7)&gt;0,SUM(MI7:MJ7,ML7:MN7,MP7)-SUM(MK7,MO7),"")</f>
        <v/>
      </c>
      <c r="MV7" s="19" t="str">
        <f>IF(SUM(MR7,MU7)&gt;0,SUM(MR7,MU7),"")</f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>IF(SUM(MX7,NB7)&gt;0,SUM(MX7,NB7),"")</f>
        <v/>
      </c>
      <c r="NR7" s="78" t="str">
        <f>IF(SUM(MW7:MX7,MZ7:NB7,ND7)-MY7-NC7&gt;0,SUM(MW7:MX7,MZ7:NB7,ND7)-MY7-NC7,"")</f>
        <v/>
      </c>
      <c r="NS7" s="78" t="str">
        <f>IF(SUM(NE7:NF7,NH7)-NG7&gt;0,SUM(NE7:NF7,NH7)-NG7,"")</f>
        <v/>
      </c>
      <c r="NT7" s="78" t="str">
        <f>IF(SUM(NJ7,NN7)&gt;0,SUM(NJ7,NN7),"")</f>
        <v/>
      </c>
      <c r="NU7" s="78" t="str">
        <f>IF(SUM(NI7:NJ7,NL7:NN7,NP7)-SUM(NK7,NO7)&gt;0,SUM(NI7:NJ7,NL7:NN7,NP7)-SUM(NK7,NO7),"")</f>
        <v/>
      </c>
      <c r="NV7" s="78" t="str">
        <f>IF(SUM(NR7,NU7)&gt;0,SUM(NR7,NU7),"")</f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>IF(SUM(NX7,OB7)&gt;0,SUM(NX7,OB7),"")</f>
        <v/>
      </c>
      <c r="OR7" s="19" t="str">
        <f>IF(SUM(NW7:NX7,NZ7:OB7,OD7)-NY7-OC7&gt;0,SUM(NW7:NX7,NZ7:OB7,OD7)-NY7-OC7,"")</f>
        <v/>
      </c>
      <c r="OS7" s="19" t="str">
        <f>IF(SUM(OE7:OF7,OH7)-OG7&gt;0,SUM(OE7:OF7,OH7)-OG7,"")</f>
        <v/>
      </c>
      <c r="OT7" s="19" t="str">
        <f>IF(SUM(OJ7,ON7)&gt;0,SUM(OJ7,ON7),"")</f>
        <v/>
      </c>
      <c r="OU7" s="19" t="str">
        <f>IF(SUM(OI7:OJ7,OL7:ON7,OP7)-SUM(OK7,OO7)&gt;0,SUM(OI7:OJ7,OL7:ON7,OP7)-SUM(OK7,OO7),"")</f>
        <v/>
      </c>
      <c r="OV7" s="19" t="str">
        <f>IF(SUM(OR7,OU7)&gt;0,SUM(OR7,OU7),"")</f>
        <v/>
      </c>
      <c r="OW7" s="37">
        <f>IF($CN7="P",BT7,(BT7+AS7)/2)</f>
        <v>17.200000000000003</v>
      </c>
      <c r="OX7" s="37">
        <f>IF($CN7="P",BU7,(BU7+AT7)/2)</f>
        <v>5.3</v>
      </c>
      <c r="OY7" s="37">
        <f>IF($CN7="P",BV7,(BV7+AU7)/2)</f>
        <v>0.2</v>
      </c>
      <c r="OZ7" s="37">
        <f>IF($CN7="P",BW7,(BW7+AV7)/2)</f>
        <v>0</v>
      </c>
      <c r="PA7" s="37">
        <f>IF($CN7="P",BX7,(BX7+AW7)/2)</f>
        <v>16</v>
      </c>
      <c r="PB7" s="37">
        <f>IF($CN7="P",BY7,(BY7+AX7)/2)</f>
        <v>2.25</v>
      </c>
      <c r="PC7" s="37">
        <f>IF($CN7="P",BZ7,(BZ7+AY7)/2)</f>
        <v>1</v>
      </c>
      <c r="PD7" s="37">
        <f>IF($CN7="P",CA7,(CA7+AZ7)/2)</f>
        <v>0</v>
      </c>
      <c r="PE7" s="37">
        <f>IF($CN7="P",CB7,(CB7+BA7)/2)</f>
        <v>0</v>
      </c>
      <c r="PF7" s="37">
        <f>IF($CN7="P",CC7,(CC7+BB7)/2)</f>
        <v>0</v>
      </c>
      <c r="PG7" s="37">
        <f>IF($CN7="P",CD7,(CD7+BC7)/2)</f>
        <v>0</v>
      </c>
      <c r="PH7" s="37">
        <f>IF($CN7="P",CE7,(CE7+BD7)/2)</f>
        <v>0</v>
      </c>
      <c r="PI7" s="37">
        <f>IF($CN7="P",CF7,(CF7+BE7)/2)</f>
        <v>8.75</v>
      </c>
      <c r="PJ7" s="37">
        <f>IF($CN7="P",CG7,(CG7+BF7)/2)</f>
        <v>2.65</v>
      </c>
      <c r="PK7" s="37">
        <f>IF($CN7="P",CH7,(CH7+BG7)/2)</f>
        <v>0</v>
      </c>
      <c r="PL7" s="37">
        <f>IF($CN7="P",CI7,(CI7+BH7)/2)</f>
        <v>0</v>
      </c>
      <c r="PM7" s="37">
        <f>IF($CN7="P",CJ7,(CJ7+BI7)/2)</f>
        <v>8.9</v>
      </c>
      <c r="PN7" s="37">
        <f>IF($CN7="P",CK7,(CK7+BJ7)/2)</f>
        <v>2.5</v>
      </c>
      <c r="PO7" s="37">
        <f>IF($CN7="P",CL7,(CL7+BK7)/2)</f>
        <v>0</v>
      </c>
      <c r="PP7" s="37">
        <f>IF($CN7="P",CM7,(CM7+BL7)/2)</f>
        <v>0</v>
      </c>
      <c r="PQ7" s="44" t="s">
        <v>46</v>
      </c>
      <c r="PR7" s="78">
        <f>IF(SUM(OX7,PB7)&gt;0,SUM(OX7,PB7),"")</f>
        <v>7.55</v>
      </c>
      <c r="PS7" s="78">
        <f>IF(SUM(OW7:OX7,OZ7:PB7,PD7)-OY7-PC7&gt;0,SUM(OW7:OX7,OZ7:PB7,PD7)-OY7-PC7,"")</f>
        <v>39.549999999999997</v>
      </c>
      <c r="PT7" s="78" t="str">
        <f>IF(SUM(PE7:PF7,PH7)-PG7&gt;0,SUM(PE7:PF7,PH7)-PG7,"")</f>
        <v/>
      </c>
      <c r="PU7" s="78">
        <f>IF(SUM(PJ7,PN7)&gt;0,SUM(PJ7,PN7),"")</f>
        <v>5.15</v>
      </c>
      <c r="PV7" s="78">
        <f>IF(SUM(PI7:PJ7,PL7:PN7,PP7)-SUM(PK7,PO7)&gt;0,SUM(PI7:PJ7,PL7:PN7,PP7)-SUM(PK7,PO7),"")</f>
        <v>22.8</v>
      </c>
      <c r="PW7" s="78">
        <f>IF(SUM(PS7,PV7)&gt;0,SUM(PS7,PV7),"")</f>
        <v>62.349999999999994</v>
      </c>
    </row>
    <row r="8" spans="1:439" x14ac:dyDescent="0.2">
      <c r="A8" s="5">
        <f>IF(AND(F8="P",G8="P"),SUMPRODUCT((F$4:F$16="P")*(G$4:G$16="P")*(E$4:E$16&gt;E8))+1,IF(G8="P",SUMPRODUCT((F$4:F$16="")*(G$4:G$16="P")*(E$4:E$16&gt;E8))+1+SUMPRODUCT((F$4:F$16="P")*(G$4:G$16="P")),""))</f>
        <v>5</v>
      </c>
      <c r="B8" s="77" t="s">
        <v>87</v>
      </c>
      <c r="C8" s="5" t="s">
        <v>4</v>
      </c>
      <c r="D8" s="5">
        <v>2004</v>
      </c>
      <c r="E8" s="15">
        <f>SUM(I8:O8)+SUM(I8:M8)*0.0000001+SUM(I8)*0.0000000000001</f>
        <v>125.5000125500044</v>
      </c>
      <c r="F8" s="3" t="str">
        <f>IF(OR(AND(AM8&gt;=AR$18,AN8&gt;=AR$22,AM8&lt;&gt;"",AL8=""),AND(AP8&gt;=AR$18,AQ8&gt;=AR$22,AP8&lt;&gt;"",AL8=""),AND(BN8&gt;=BS$18,BO8&gt;=BS$22,BN8&lt;&gt;"",BM8=""),AND(BQ8&gt;=BS$18,BR8&gt;=BS$22,BQ8&lt;&gt;"",BM8=""),AND(CO8&gt;=CT$18,CP8&gt;=CT$22,CO8&lt;&gt;"",CN8=""),AND(CR8&gt;=CT$18,CS8&gt;=CT$22,CR8&lt;&gt;""),AND(DQ8&gt;=DV$18,DR8&gt;=DV$22,DQ8&lt;&gt;""),AND(DT8&gt;=DV$18,DU8&gt;=DV$22,DT8&lt;&gt;""),AND(EQ8&gt;=EV$18,ER8&gt;=EV$22,EQ8&lt;&gt;""),AND(ET8&gt;=EV$18,EU8&gt;=EV$22,ET8&lt;&gt;""),AND(FQ8&gt;=FV$18,FR8&gt;=FV$22,FQ8&lt;&gt;""),AND(FT8&gt;=FV$18,FU8&gt;=FV$22,FT8&lt;&gt;""),AND(GQ8&gt;=GV$18,GR8&gt;=GV$22,GQ8&lt;&gt;""),AND(GT8&gt;=GV$18,GU8&gt;=GV$22,GT8&lt;&gt;""),AND(HQ8&gt;=HV$18,HR8&gt;=HV$22,HQ8&lt;&gt;""),AND(HT8&gt;=HV$18,HU8&gt;=HV$22,HT8&lt;&gt;""),AND(IQ8&gt;=IV$18,IR8&gt;=IV$22,IQ8&lt;&gt;""),AND(IT8&gt;=IV$18,IU8&gt;=IV$22,IT8&lt;&gt;""),AND(JQ8&gt;=JV$18,JR8&gt;=JV$22,JQ8&lt;&gt;""),AND(JT8&gt;=JV$18,JU8&gt;=JV$22,JT8&lt;&gt;""),AND(KQ8&gt;=KV$18,KR8&gt;=KV$22,KQ8&lt;&gt;""),AND(KT8&gt;=KV$18,KU8&gt;=KV$22,KT8&lt;&gt;""),AND(LQ8&gt;=LV$18,LR8&gt;=LV$22,LQ8&lt;&gt;""),AND(LT8&gt;=LV$18,LU8&gt;=LV$22,LT8&lt;&gt;""),AND(MQ8&gt;=MV$18,MR8&gt;=MV$22,MQ8&lt;&gt;""),AND(MT8&gt;=MV$18,MU8&gt;=MV$22,MT8&lt;&gt;""),AND(NQ8&gt;=NV$18,NR8&gt;=NV$22,NQ8&lt;&gt;""),AND(NT8&gt;=NV$18,NU8&gt;=NV$22,NT8&lt;&gt;""),AND(OQ8&gt;=OV$18,OR8&gt;=OV$22,OQ8&lt;&gt;""),AND(OT8&gt;=OV$18,OU8&gt;=OV$22,OT8&lt;&gt;"")),"P","")</f>
        <v>P</v>
      </c>
      <c r="G8" s="3" t="str">
        <f>IF(OR(AND(AN8&gt;=AR$22,AN8&lt;&gt;"",AL8=""),AND(AQ8&gt;=AR$22,AQ8&lt;&gt;"",AL8=""),AND(BO8&gt;=BS$22,BO8&lt;&gt;"",BM8=""),AND(BR8&gt;=BS$22,BR8&lt;&gt;"",BM8=""),AND(CP8&gt;=CT$22,CP8&lt;&gt;"",CN8=""),AND(CS8&gt;=CT$22,CS8&lt;&gt;"",CN8=""),AND(DR8&gt;=DV$22,DR8&lt;&gt;""),AND(DU8&gt;=DV$22,DU8&lt;&gt;""),AND(ER8&gt;=EV$22,ER8&lt;&gt;""),AND(EU8&gt;=EV$22,EU8&lt;&gt;""),AND(FR8&gt;=FV$22,FR8&lt;&gt;""),AND(FU8&gt;=FV$22,FU8&lt;&gt;""),AND(GR8&gt;=GV$22,GR8&lt;&gt;""),AND(GU8&gt;=GV$22,GU8&lt;&gt;""),AND(HR8&gt;=HV$22,HR8&lt;&gt;""),AND(HU8&gt;=HV$22,HU8&lt;&gt;""),AND(IR8&gt;=IV$22,IR8&lt;&gt;""),AND(IU8&gt;=IV$22,IU8&lt;&gt;""),AND(JR8&gt;=JV$22,JR8&lt;&gt;""),AND(JU8&gt;=JV$22,JU8&lt;&gt;""),AND(KR8&gt;=KV$22,KR8&lt;&gt;""),AND(KU8&gt;=KV$22,KU8&lt;&gt;""),AND(LR8&gt;=LV$22,LR8&lt;&gt;""),AND(LU8&gt;=LV$22,LU8&lt;&gt;""),AND(MR8&gt;=MV$22,MR8&lt;&gt;""),AND(MU8&gt;=MV$22,MU8&lt;&gt;""),AND(NR8&gt;=NV$22,NR8&lt;&gt;""),AND(NU8&gt;=NV$22,NU8&lt;&gt;""),AND(OR8&gt;=OV$22,OR8&lt;&gt;""),AND(OU8&gt;=OV$22,OU8&lt;&gt;"")),"P","")</f>
        <v>P</v>
      </c>
      <c r="H8" s="66" t="str">
        <f>IF(AND(G8="P",F8=""),"No DD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Merit",IF(OR(AND(AM8&gt;=AR$20,AN8&gt;=AR$24,AM8&lt;&gt;"",AL8=""),AND(AP8&gt;=AR$20,AQ8&gt;=AR$24,AP8&lt;&gt;"",AL8=""),AND(BN8&gt;=BS$20,BO8&gt;=BS$24,BN8&lt;&gt;"",BM8=""),AND(BQ8&gt;=BS$20,BR8&gt;=BS$24,BQ8&lt;&gt;"",BM8=""),AND(CO8&gt;=CT$20,CP8&gt;=CT$24,CO8&lt;&gt;"",CN8=""),AND(CR8&gt;=CT$20,CS8&gt;=CT$24,CR8&lt;&gt;""),AND(DQ8&gt;=DV$20,DR8&gt;=DV$24,DQ8&lt;&gt;""),AND(DT8&gt;=DV$20,DU8&gt;=DV$24,DT8&lt;&gt;""),AND(EQ8&gt;=EV$20,ER8&gt;=EV$24,EQ8&lt;&gt;""),AND(ET8&gt;=EV$20,EU8&gt;=EV$24,ET8&lt;&gt;""),AND(FQ8&gt;=FV$20,FR8&gt;=FV$24,FQ8&lt;&gt;""),AND(FT8&gt;=FV$20,FU8&gt;=FV$24,FT8&lt;&gt;""),AND(GQ8&gt;=GV$20,GR8&gt;=GV$24,GQ8&lt;&gt;""),AND(GT8&gt;=GV$20,GU8&gt;=GV$24,GT8&lt;&gt;""),AND(HQ8&gt;=HV$20,HR8&gt;=HV$24,HQ8&lt;&gt;""),AND(HT8&gt;=HV$20,HU8&gt;=HV$24,HT8&lt;&gt;""),AND(IQ8&gt;=IV$20,IR8&gt;=IV$24,IQ8&lt;&gt;""),AND(IT8&gt;=IV$20,IU8&gt;=IV$24,IT8&lt;&gt;""),AND(JQ8&gt;=JV$20,JR8&gt;=JV$24,JQ8&lt;&gt;""),AND(JT8&gt;=JV$20,JU8&gt;=JV$24,JT8&lt;&gt;""),AND(KQ8&gt;=KV$20,KR8&gt;=KV$24,KQ8&lt;&gt;""),AND(KT8&gt;=KV$20,KU8&gt;=KV$24,KT8&lt;&gt;""),AND(LQ8&gt;=LV$20,LR8&gt;=LV$24,LQ8&lt;&gt;""),AND(LT8&gt;=LV$20,LU8&gt;=LV$24,LT8&lt;&gt;""),AND(MQ8&gt;=MV$20,MR8&gt;=MV$24,MQ8&lt;&gt;""),AND(MT8&gt;=MV$20,MU8&gt;=MV$24,MT8&lt;&gt;""),AND(NQ8&gt;=NV$20,NR8&gt;=NV$24,NQ8&lt;&gt;""),AND(NT8&gt;=NV$20,NU8&gt;=NV$24,NT8&lt;&gt;""),AND(OQ8&gt;=OV$20,OR8&gt;=OV$24,OQ8&lt;&gt;""),AND(OT8&gt;=OV$20,OU8&gt;=OV$24,OT8&lt;&gt;"")),"Excellence",IF(F8="P","National Team",""))))</f>
        <v>National Team</v>
      </c>
      <c r="I8" s="14">
        <f>IF(COUNT(AN8,BO8,CP8)&gt;0,LARGE((AN8,BO8,CP8),1),0)</f>
        <v>44</v>
      </c>
      <c r="J8" s="14" t="str">
        <f>IF(I8=0,"",IF(I8=CP8,$BT$1,IF(I8=BO8,$AS$1,IF(I8=AN8,$R$1,""))))</f>
        <v>2022 Nationals</v>
      </c>
      <c r="K8" s="14">
        <f>IF(COUNT(AN8,BO8,CP8)&gt;1,LARGE((AN8,BO8,CP8),2),0)</f>
        <v>35.299999999999997</v>
      </c>
      <c r="L8" s="14" t="str">
        <f>IF(K8=0,"",IF(K8=CP8,$BT$1,IF(K8=BO8,$AS$1,IF(K8=AN8,$R$1,""))))</f>
        <v>2022 Elite Canada</v>
      </c>
      <c r="M8" s="14">
        <f>IF(MAX(AQ8,BR8,CS8)&gt;0,MAX(AQ8,BR8,CS8),0)</f>
        <v>46.199999999999996</v>
      </c>
      <c r="N8" s="14" t="str">
        <f>IF(M8=0,"",IF(M8=CS8,$BT$1,IF(M8=BR8,$AS$1,IF(M8=AQ8,$R$1,""))))</f>
        <v>2022 Nationals</v>
      </c>
      <c r="O8" s="14" t="str">
        <f>IF(MAX(CU8:CV8)&gt;0,MAX(CU8:CV8),"")</f>
        <v/>
      </c>
      <c r="P8" s="19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6">
        <v>16.600000000000001</v>
      </c>
      <c r="S8" s="26">
        <v>1.2</v>
      </c>
      <c r="T8" s="26">
        <v>0.2</v>
      </c>
      <c r="U8" s="26">
        <v>0</v>
      </c>
      <c r="V8" s="26">
        <v>16.7</v>
      </c>
      <c r="W8" s="26">
        <v>1.2</v>
      </c>
      <c r="X8" s="26">
        <v>0.2</v>
      </c>
      <c r="Y8" s="26">
        <v>0</v>
      </c>
      <c r="Z8" s="26"/>
      <c r="AA8" s="26"/>
      <c r="AB8" s="26"/>
      <c r="AC8" s="26"/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44"/>
      <c r="AM8" s="78">
        <f>IF(SUM(S8,W8)&gt;0,SUM(S8,W8),"")</f>
        <v>2.4</v>
      </c>
      <c r="AN8" s="78">
        <f>IF(SUM(R8:S8,U8:W8,Y8)-T8-X8&gt;0,SUM(R8:S8,U8:W8,Y8)-T8-X8,"")</f>
        <v>35.299999999999997</v>
      </c>
      <c r="AO8" s="78" t="str">
        <f>IF(SUM(Z8:AA8,AC8)-AB8&gt;0,SUM(Z8:AA8,AC8)-AB8,"")</f>
        <v/>
      </c>
      <c r="AP8" s="78" t="str">
        <f>IF(SUM(AE8,AI8)&gt;0,SUM(AE8,AI8),"")</f>
        <v/>
      </c>
      <c r="AQ8" s="78" t="str">
        <f>IF(SUM(AD8:AE8,AG8:AI8,AK8)-SUM(AF8,AJ8)&gt;0,SUM(AD8:AE8,AG8:AI8,AK8)-SUM(AF8,AJ8),"")</f>
        <v/>
      </c>
      <c r="AR8" s="78">
        <f>IF(SUM(AN8,AQ8)&gt;0,SUM(AN8,AQ8),"")</f>
        <v>35.299999999999997</v>
      </c>
      <c r="AS8" s="25">
        <v>18.3</v>
      </c>
      <c r="AT8" s="25">
        <v>4.3</v>
      </c>
      <c r="AU8" s="25">
        <v>0</v>
      </c>
      <c r="AV8" s="25">
        <v>0.3</v>
      </c>
      <c r="AW8" s="25">
        <v>16.100000000000001</v>
      </c>
      <c r="AX8" s="25">
        <v>5.0999999999999996</v>
      </c>
      <c r="AY8" s="25">
        <v>0.4</v>
      </c>
      <c r="AZ8" s="25">
        <v>0.3</v>
      </c>
      <c r="BA8" s="25"/>
      <c r="BB8" s="25"/>
      <c r="BC8" s="25"/>
      <c r="BD8" s="25"/>
      <c r="BE8" s="25">
        <v>17.7</v>
      </c>
      <c r="BF8" s="25">
        <v>5</v>
      </c>
      <c r="BG8" s="25">
        <v>0</v>
      </c>
      <c r="BH8" s="25">
        <v>0.6</v>
      </c>
      <c r="BI8" s="25">
        <v>17.5</v>
      </c>
      <c r="BJ8" s="25">
        <v>5.0999999999999996</v>
      </c>
      <c r="BK8" s="25">
        <v>0</v>
      </c>
      <c r="BL8" s="25">
        <v>0.3</v>
      </c>
      <c r="BM8" s="45"/>
      <c r="BN8" s="19">
        <f>IF(SUM(AT8,AX8)&gt;0,SUM(AT8,AX8),"")</f>
        <v>9.3999999999999986</v>
      </c>
      <c r="BO8" s="19">
        <f>IF(SUM(AS8:AT8,AV8:AX8,AZ8)-AU8-AY8&gt;0,SUM(AS8:AT8,AV8:AX8,AZ8)-AU8-AY8,"")</f>
        <v>44</v>
      </c>
      <c r="BP8" s="19" t="str">
        <f>IF(SUM(BA8:BB8,BD8)-BC8&gt;0,SUM(BA8:BB8,BD8)-BC8,"")</f>
        <v/>
      </c>
      <c r="BQ8" s="19">
        <f>IF(SUM(BF8,BJ8)&gt;0,SUM(BF8,BJ8),"")</f>
        <v>10.1</v>
      </c>
      <c r="BR8" s="19">
        <f>IF(SUM(BE8:BF8,BH8:BJ8,BL8)-SUM(BG8,BK8)&gt;0,SUM(BE8:BF8,BH8:BJ8,BL8)-SUM(BG8,BK8),"")</f>
        <v>46.199999999999996</v>
      </c>
      <c r="BS8" s="19">
        <f>IF(SUM(BO8,BR8)&gt;0,SUM(BO8,BR8),"")</f>
        <v>90.199999999999989</v>
      </c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 t="str">
        <f>IF(SUM(BU8,BY8)&gt;0,SUM(BU8,BY8),"")</f>
        <v/>
      </c>
      <c r="CP8" s="78" t="str">
        <f>IF(SUM(BT8:BU8,BW8:BY8,CA8)-BV8-BZ8&gt;0,SUM(BT8:BU8,BW8:BY8,CA8)-BV8-BZ8,"")</f>
        <v/>
      </c>
      <c r="CQ8" s="78" t="str">
        <f>IF(SUM(CB8:CC8,CE8)-CD8&gt;0,SUM(CB8:CC8,CE8)-CD8,"")</f>
        <v/>
      </c>
      <c r="CR8" s="78" t="str">
        <f>IF(SUM(CG8,CK8)&gt;0,SUM(CG8,CK8),"")</f>
        <v/>
      </c>
      <c r="CS8" s="78" t="str">
        <f>IF(SUM(CF8:CG8,CI8:CK8,CM8)-SUM(CH8,CL8)&gt;0,SUM(CF8:CG8,CI8:CK8,CM8)-SUM(CH8,CL8),"")</f>
        <v/>
      </c>
      <c r="CT8" s="78" t="str">
        <f>IF(SUM(CP8,CS8)&gt;0,SUM(CP8,CS8),"")</f>
        <v/>
      </c>
      <c r="CU8" s="79" t="str">
        <f>IF(K8&gt;=0.001,IF(MAX(DR8,ER8,FR8,GR8,HR8,IR8,JR8,KR8,LR8,MR8,NR8,OR8)-IF(K8="",0,K8)&gt;0.001,MAX(DR8,ER8,FR8,GR8,HR8,IR8,JR8,KR8,LR8,MR8,NR8,OR8)-IF(K8="",0,K8),""),"")</f>
        <v/>
      </c>
      <c r="CV8" s="79" t="str">
        <f>IF(M8&gt;=0.001,IF(MAX(DU8,EU8,FU8,GU8,HU8,IU8,JU8,KU8,LU8,MU8,NU8,OU8)-IF(M8="",0,M8)&gt;0.001,MAX(DU8,EU8,FU8,GU8,HU8,IU8,JU8,KU8,LU8,MU8,NU8,OU8)-IF(M8="",0,M8),""),"")</f>
        <v/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>IF(SUM(CX8,DB8)&gt;0,SUM(CX8,DB8),"")</f>
        <v/>
      </c>
      <c r="DR8" s="78" t="str">
        <f>IF(SUM(CW8:CX8,CZ8:DB8,DD8)-CY8-DC8&gt;0,SUM(CW8:CX8,CZ8:DB8,DD8)-CY8-DC8,"")</f>
        <v/>
      </c>
      <c r="DS8" s="78" t="str">
        <f>IF(SUM(DE8:DF8,DH8)-DG8&gt;0,SUM(DE8:DF8,DH8)-DG8,"")</f>
        <v/>
      </c>
      <c r="DT8" s="78" t="str">
        <f>IF(SUM(DJ8,DN8)&gt;0,SUM(DJ8,DN8),"")</f>
        <v/>
      </c>
      <c r="DU8" s="78" t="str">
        <f>IF(SUM(DI8:DJ8,DL8:DN8,DP8)-SUM(DK8,DO8)&gt;0,SUM(DI8:DJ8,DL8:DN8,DP8)-SUM(DK8,DO8),"")</f>
        <v/>
      </c>
      <c r="DV8" s="78" t="str">
        <f>IF(SUM(DR8,DU8)&gt;0,SUM(DR8,DU8),"")</f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>IF(SUM(DX8,EB8)&gt;0,SUM(DX8,EB8),"")</f>
        <v/>
      </c>
      <c r="ER8" s="19" t="str">
        <f>IF(SUM(DW8:DX8,DZ8:EB8,ED8)-DY8-EC8&gt;0,SUM(DW8:DX8,DZ8:EB8,ED8)-DY8-EC8,"")</f>
        <v/>
      </c>
      <c r="ES8" s="19" t="str">
        <f>IF(SUM(EE8:EF8,EH8)-EG8&gt;0,SUM(EE8:EF8,EH8)-EG8,"")</f>
        <v/>
      </c>
      <c r="ET8" s="19" t="str">
        <f>IF(SUM(EJ8,EN8)&gt;0,SUM(EJ8,EN8),"")</f>
        <v/>
      </c>
      <c r="EU8" s="19" t="str">
        <f>IF(SUM(EI8:EJ8,EL8:EN8,EP8)-SUM(EK8,EO8)&gt;0,SUM(EI8:EJ8,EL8:EN8,EP8)-SUM(EK8,EO8),"")</f>
        <v/>
      </c>
      <c r="EV8" s="19" t="str">
        <f>IF(SUM(ER8,EU8)&gt;0,SUM(ER8,EU8),"")</f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>IF(SUM(EX8,FB8)&gt;0,SUM(EX8,FB8),"")</f>
        <v/>
      </c>
      <c r="FR8" s="78" t="str">
        <f>IF(SUM(EW8:EX8,EZ8:FB8,FD8)-EY8-FC8&gt;0,SUM(EW8:EX8,EZ8:FB8,FD8)-EY8-FC8,"")</f>
        <v/>
      </c>
      <c r="FS8" s="78" t="str">
        <f>IF(SUM(FE8:FF8,FH8)-FG8&gt;0,SUM(FE8:FF8,FH8)-FG8,"")</f>
        <v/>
      </c>
      <c r="FT8" s="78" t="str">
        <f>IF(SUM(FJ8,FN8)&gt;0,SUM(FJ8,FN8),"")</f>
        <v/>
      </c>
      <c r="FU8" s="78" t="str">
        <f>IF(SUM(FI8:FJ8,FL8:FN8,FP8)-SUM(FK8,FO8)&gt;0,SUM(FI8:FJ8,FL8:FN8,FP8)-SUM(FK8,FO8),"")</f>
        <v/>
      </c>
      <c r="FV8" s="78" t="str">
        <f>IF(SUM(FR8,FU8)&gt;0,SUM(FR8,FU8),"")</f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>IF(SUM(FX8,GB8)&gt;0,SUM(FX8,GB8),"")</f>
        <v/>
      </c>
      <c r="GR8" s="19" t="str">
        <f>IF(SUM(FW8:FX8,FZ8:GB8,GD8)-FY8-GC8&gt;0,SUM(FW8:FX8,FZ8:GB8,GD8)-FY8-GC8,"")</f>
        <v/>
      </c>
      <c r="GS8" s="19" t="str">
        <f>IF(SUM(GE8:GF8,GH8)-GG8&gt;0,SUM(GE8:GF8,GH8)-GG8,"")</f>
        <v/>
      </c>
      <c r="GT8" s="19" t="str">
        <f>IF(SUM(GJ8,GN8)&gt;0,SUM(GJ8,GN8),"")</f>
        <v/>
      </c>
      <c r="GU8" s="19" t="str">
        <f>IF(SUM(GI8:GJ8,GL8:GN8,GP8)-SUM(GK8,GO8)&gt;0,SUM(GI8:GJ8,GL8:GN8,GP8)-SUM(GK8,GO8),"")</f>
        <v/>
      </c>
      <c r="GV8" s="19" t="str">
        <f>IF(SUM(GR8,GU8)&gt;0,SUM(GR8,GU8),"")</f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>IF(SUM(GX8,HB8)&gt;0,SUM(GX8,HB8),"")</f>
        <v/>
      </c>
      <c r="HR8" s="78" t="str">
        <f>IF(SUM(GW8:GX8,GZ8:HB8,HD8)-GY8-HC8&gt;0,SUM(GW8:GX8,GZ8:HB8,HD8)-GY8-HC8,"")</f>
        <v/>
      </c>
      <c r="HS8" s="78" t="str">
        <f>IF(SUM(HE8:HF8,HH8)-HG8&gt;0,SUM(HE8:HF8,HH8)-HG8,"")</f>
        <v/>
      </c>
      <c r="HT8" s="78" t="str">
        <f>IF(SUM(HJ8,HN8)&gt;0,SUM(HJ8,HN8),"")</f>
        <v/>
      </c>
      <c r="HU8" s="78" t="str">
        <f>IF(SUM(HI8:HJ8,HL8:HN8,HP8)-SUM(HK8,HO8)&gt;0,SUM(HI8:HJ8,HL8:HN8,HP8)-SUM(HK8,HO8),"")</f>
        <v/>
      </c>
      <c r="HV8" s="78" t="str">
        <f>IF(SUM(HR8,HU8)&gt;0,SUM(HR8,HU8),"")</f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>IF(SUM(HX8,IB8)&gt;0,SUM(HX8,IB8),"")</f>
        <v/>
      </c>
      <c r="IR8" s="19" t="str">
        <f>IF(SUM(HW8:HX8,HZ8:IB8,ID8)-HY8-IC8&gt;0,SUM(HW8:HX8,HZ8:IB8,ID8)-HY8-IC8,"")</f>
        <v/>
      </c>
      <c r="IS8" s="19" t="str">
        <f>IF(SUM(IE8:IF8,IH8)-IG8&gt;0,SUM(IE8:IF8,IH8)-IG8,"")</f>
        <v/>
      </c>
      <c r="IT8" s="19" t="str">
        <f>IF(SUM(IJ8,IN8)&gt;0,SUM(IJ8,IN8),"")</f>
        <v/>
      </c>
      <c r="IU8" s="19" t="str">
        <f>IF(SUM(II8:IJ8,IL8:IN8,IP8)-SUM(IK8,IO8)&gt;0,SUM(II8:IJ8,IL8:IN8,IP8)-SUM(IK8,IO8),"")</f>
        <v/>
      </c>
      <c r="IV8" s="19" t="str">
        <f>IF(SUM(IR8,IU8)&gt;0,SUM(IR8,IU8),"")</f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>IF(SUM(IX8,JB8)&gt;0,SUM(IX8,JB8),"")</f>
        <v/>
      </c>
      <c r="JR8" s="78" t="str">
        <f>IF(SUM(IW8:IX8,IZ8:JB8,JD8)-IY8-JC8&gt;0,SUM(IW8:IX8,IZ8:JB8,JD8)-IY8-JC8,"")</f>
        <v/>
      </c>
      <c r="JS8" s="78" t="str">
        <f>IF(SUM(JE8:JF8,JH8)-JG8&gt;0,SUM(JE8:JF8,JH8)-JG8,"")</f>
        <v/>
      </c>
      <c r="JT8" s="78" t="str">
        <f>IF(SUM(JJ8,JN8)&gt;0,SUM(JJ8,JN8),"")</f>
        <v/>
      </c>
      <c r="JU8" s="78" t="str">
        <f>IF(SUM(JI8:JJ8,JL8:JN8,JP8)-SUM(JK8,JO8)&gt;0,SUM(JI8:JJ8,JL8:JN8,JP8)-SUM(JK8,JO8),"")</f>
        <v/>
      </c>
      <c r="JV8" s="78" t="str">
        <f>IF(SUM(JR8,JU8)&gt;0,SUM(JR8,JU8),"")</f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>IF(SUM(JX8,KB8)&gt;0,SUM(JX8,KB8),"")</f>
        <v/>
      </c>
      <c r="KR8" s="19" t="str">
        <f>IF(SUM(JW8:JX8,JZ8:KB8,KD8)-JY8-KC8&gt;0,SUM(JW8:JX8,JZ8:KB8,KD8)-JY8-KC8,"")</f>
        <v/>
      </c>
      <c r="KS8" s="19" t="str">
        <f>IF(SUM(KE8:KF8,KH8)-KG8&gt;0,SUM(KE8:KF8,KH8)-KG8,"")</f>
        <v/>
      </c>
      <c r="KT8" s="19" t="str">
        <f>IF(SUM(KJ8,KN8)&gt;0,SUM(KJ8,KN8),"")</f>
        <v/>
      </c>
      <c r="KU8" s="19" t="str">
        <f>IF(SUM(KI8:KJ8,KL8:KN8,KP8)-SUM(KK8,KO8)&gt;0,SUM(KI8:KJ8,KL8:KN8,KP8)-SUM(KK8,KO8),"")</f>
        <v/>
      </c>
      <c r="KV8" s="19" t="str">
        <f>IF(SUM(KR8,KU8)&gt;0,SUM(KR8,KU8),"")</f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>IF(SUM(KX8,LB8)&gt;0,SUM(KX8,LB8),"")</f>
        <v/>
      </c>
      <c r="LR8" s="78" t="str">
        <f>IF(SUM(KW8:KX8,KZ8:LB8,LD8)-KY8-LC8&gt;0,SUM(KW8:KX8,KZ8:LB8,LD8)-KY8-LC8,"")</f>
        <v/>
      </c>
      <c r="LS8" s="78" t="str">
        <f>IF(SUM(LE8:LF8,LH8)-LG8&gt;0,SUM(LE8:LF8,LH8)-LG8,"")</f>
        <v/>
      </c>
      <c r="LT8" s="78" t="str">
        <f>IF(SUM(LJ8,LN8)&gt;0,SUM(LJ8,LN8),"")</f>
        <v/>
      </c>
      <c r="LU8" s="78" t="str">
        <f>IF(SUM(LI8:LJ8,LL8:LN8,LP8)-SUM(LK8,LO8)&gt;0,SUM(LI8:LJ8,LL8:LN8,LP8)-SUM(LK8,LO8),"")</f>
        <v/>
      </c>
      <c r="LV8" s="78" t="str">
        <f>IF(SUM(LR8,LU8)&gt;0,SUM(LR8,LU8),"")</f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>IF(SUM(LX8,MB8)&gt;0,SUM(LX8,MB8),"")</f>
        <v/>
      </c>
      <c r="MR8" s="19" t="str">
        <f>IF(SUM(LW8:LX8,LZ8:MB8,MD8)-LY8-MC8&gt;0,SUM(LW8:LX8,LZ8:MB8,MD8)-LY8-MC8,"")</f>
        <v/>
      </c>
      <c r="MS8" s="19" t="str">
        <f>IF(SUM(ME8:MF8,MH8)-MG8&gt;0,SUM(ME8:MF8,MH8)-MG8,"")</f>
        <v/>
      </c>
      <c r="MT8" s="19" t="str">
        <f>IF(SUM(MJ8,MN8)&gt;0,SUM(MJ8,MN8),"")</f>
        <v/>
      </c>
      <c r="MU8" s="19" t="str">
        <f>IF(SUM(MI8:MJ8,ML8:MN8,MP8)-SUM(MK8,MO8)&gt;0,SUM(MI8:MJ8,ML8:MN8,MP8)-SUM(MK8,MO8),"")</f>
        <v/>
      </c>
      <c r="MV8" s="19" t="str">
        <f>IF(SUM(MR8,MU8)&gt;0,SUM(MR8,MU8),"")</f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>IF(SUM(MX8,NB8)&gt;0,SUM(MX8,NB8),"")</f>
        <v/>
      </c>
      <c r="NR8" s="78" t="str">
        <f>IF(SUM(MW8:MX8,MZ8:NB8,ND8)-MY8-NC8&gt;0,SUM(MW8:MX8,MZ8:NB8,ND8)-MY8-NC8,"")</f>
        <v/>
      </c>
      <c r="NS8" s="78" t="str">
        <f>IF(SUM(NE8:NF8,NH8)-NG8&gt;0,SUM(NE8:NF8,NH8)-NG8,"")</f>
        <v/>
      </c>
      <c r="NT8" s="78" t="str">
        <f>IF(SUM(NJ8,NN8)&gt;0,SUM(NJ8,NN8),"")</f>
        <v/>
      </c>
      <c r="NU8" s="78" t="str">
        <f>IF(SUM(NI8:NJ8,NL8:NN8,NP8)-SUM(NK8,NO8)&gt;0,SUM(NI8:NJ8,NL8:NN8,NP8)-SUM(NK8,NO8),"")</f>
        <v/>
      </c>
      <c r="NV8" s="78" t="str">
        <f>IF(SUM(NR8,NU8)&gt;0,SUM(NR8,NU8),"")</f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>IF(SUM(NX8,OB8)&gt;0,SUM(NX8,OB8),"")</f>
        <v/>
      </c>
      <c r="OR8" s="19" t="str">
        <f>IF(SUM(NW8:NX8,NZ8:OB8,OD8)-NY8-OC8&gt;0,SUM(NW8:NX8,NZ8:OB8,OD8)-NY8-OC8,"")</f>
        <v/>
      </c>
      <c r="OS8" s="19" t="str">
        <f>IF(SUM(OE8:OF8,OH8)-OG8&gt;0,SUM(OE8:OF8,OH8)-OG8,"")</f>
        <v/>
      </c>
      <c r="OT8" s="19" t="str">
        <f>IF(SUM(OJ8,ON8)&gt;0,SUM(OJ8,ON8),"")</f>
        <v/>
      </c>
      <c r="OU8" s="19" t="str">
        <f>IF(SUM(OI8:OJ8,OL8:ON8,OP8)-SUM(OK8,OO8)&gt;0,SUM(OI8:OJ8,OL8:ON8,OP8)-SUM(OK8,OO8),"")</f>
        <v/>
      </c>
      <c r="OV8" s="19" t="str">
        <f>IF(SUM(OR8,OU8)&gt;0,SUM(OR8,OU8),"")</f>
        <v/>
      </c>
      <c r="OW8" s="37">
        <f>IF($CN8="P",BT8,(BT8+AS8)/2)</f>
        <v>9.15</v>
      </c>
      <c r="OX8" s="37">
        <f>IF($CN8="P",BU8,(BU8+AT8)/2)</f>
        <v>2.15</v>
      </c>
      <c r="OY8" s="37">
        <f>IF($CN8="P",BV8,(BV8+AU8)/2)</f>
        <v>0</v>
      </c>
      <c r="OZ8" s="37">
        <f>IF($CN8="P",BW8,(BW8+AV8)/2)</f>
        <v>0.15</v>
      </c>
      <c r="PA8" s="37">
        <f>IF($CN8="P",BX8,(BX8+AW8)/2)</f>
        <v>8.0500000000000007</v>
      </c>
      <c r="PB8" s="37">
        <f>IF($CN8="P",BY8,(BY8+AX8)/2)</f>
        <v>2.5499999999999998</v>
      </c>
      <c r="PC8" s="37">
        <f>IF($CN8="P",BZ8,(BZ8+AY8)/2)</f>
        <v>0.2</v>
      </c>
      <c r="PD8" s="37">
        <f>IF($CN8="P",CA8,(CA8+AZ8)/2)</f>
        <v>0.15</v>
      </c>
      <c r="PE8" s="37">
        <f>IF($CN8="P",CB8,(CB8+BA8)/2)</f>
        <v>0</v>
      </c>
      <c r="PF8" s="37">
        <f>IF($CN8="P",CC8,(CC8+BB8)/2)</f>
        <v>0</v>
      </c>
      <c r="PG8" s="37">
        <f>IF($CN8="P",CD8,(CD8+BC8)/2)</f>
        <v>0</v>
      </c>
      <c r="PH8" s="37">
        <f>IF($CN8="P",CE8,(CE8+BD8)/2)</f>
        <v>0</v>
      </c>
      <c r="PI8" s="37">
        <f>IF($CN8="P",CF8,(CF8+BE8)/2)</f>
        <v>8.85</v>
      </c>
      <c r="PJ8" s="37">
        <f>IF($CN8="P",CG8,(CG8+BF8)/2)</f>
        <v>2.5</v>
      </c>
      <c r="PK8" s="37">
        <f>IF($CN8="P",CH8,(CH8+BG8)/2)</f>
        <v>0</v>
      </c>
      <c r="PL8" s="37">
        <f>IF($CN8="P",CI8,(CI8+BH8)/2)</f>
        <v>0.3</v>
      </c>
      <c r="PM8" s="37">
        <f>IF($CN8="P",CJ8,(CJ8+BI8)/2)</f>
        <v>8.75</v>
      </c>
      <c r="PN8" s="37">
        <f>IF($CN8="P",CK8,(CK8+BJ8)/2)</f>
        <v>2.5499999999999998</v>
      </c>
      <c r="PO8" s="37">
        <f>IF($CN8="P",CL8,(CL8+BK8)/2)</f>
        <v>0</v>
      </c>
      <c r="PP8" s="37">
        <f>IF($CN8="P",CM8,(CM8+BL8)/2)</f>
        <v>0.15</v>
      </c>
      <c r="PQ8" s="44" t="s">
        <v>46</v>
      </c>
      <c r="PR8" s="78">
        <f>IF(SUM(OX8,PB8)&gt;0,SUM(OX8,PB8),"")</f>
        <v>4.6999999999999993</v>
      </c>
      <c r="PS8" s="78">
        <f>IF(SUM(OW8:OX8,OZ8:PB8,PD8)-OY8-PC8&gt;0,SUM(OW8:OX8,OZ8:PB8,PD8)-OY8-PC8,"")</f>
        <v>22</v>
      </c>
      <c r="PT8" s="78" t="str">
        <f>IF(SUM(PE8:PF8,PH8)-PG8&gt;0,SUM(PE8:PF8,PH8)-PG8,"")</f>
        <v/>
      </c>
      <c r="PU8" s="78">
        <f>IF(SUM(PJ8,PN8)&gt;0,SUM(PJ8,PN8),"")</f>
        <v>5.05</v>
      </c>
      <c r="PV8" s="78">
        <f>IF(SUM(PI8:PJ8,PL8:PN8,PP8)-SUM(PK8,PO8)&gt;0,SUM(PI8:PJ8,PL8:PN8,PP8)-SUM(PK8,PO8),"")</f>
        <v>23.099999999999998</v>
      </c>
      <c r="PW8" s="78">
        <f>IF(SUM(PS8,PV8)&gt;0,SUM(PS8,PV8),"")</f>
        <v>45.099999999999994</v>
      </c>
    </row>
    <row r="9" spans="1:439" x14ac:dyDescent="0.2">
      <c r="A9" s="5">
        <f>IF(AND(F9="P",G9="P"),SUMPRODUCT((F$4:F$16="P")*(G$4:G$16="P")*(E$4:E$16&gt;E9))+1,IF(G9="P",SUMPRODUCT((F$4:F$16="")*(G$4:G$16="P")*(E$4:E$16&gt;E9))+1+SUMPRODUCT((F$4:F$16="P")*(G$4:G$16="P")),""))</f>
        <v>6</v>
      </c>
      <c r="B9" s="77" t="s">
        <v>139</v>
      </c>
      <c r="C9" s="5" t="s">
        <v>140</v>
      </c>
      <c r="D9" s="5">
        <v>2002</v>
      </c>
      <c r="E9" s="15">
        <f>SUM(I9:O9)+SUM(I9:M9)*0.0000001+SUM(I9)*0.0000000000001</f>
        <v>84.70000847000442</v>
      </c>
      <c r="F9" s="3" t="str">
        <f>IF(OR(AND(AM9&gt;=AR$18,AN9&gt;=AR$22,AM9&lt;&gt;"",AL9=""),AND(AP9&gt;=AR$18,AQ9&gt;=AR$22,AP9&lt;&gt;"",AL9=""),AND(BN9&gt;=BS$18,BO9&gt;=BS$22,BN9&lt;&gt;"",BM9=""),AND(BQ9&gt;=BS$18,BR9&gt;=BS$22,BQ9&lt;&gt;"",BM9=""),AND(CO9&gt;=CT$18,CP9&gt;=CT$22,CO9&lt;&gt;"",CN9=""),AND(CR9&gt;=CT$18,CS9&gt;=CT$22,CR9&lt;&gt;""),AND(DQ9&gt;=DV$18,DR9&gt;=DV$22,DQ9&lt;&gt;""),AND(DT9&gt;=DV$18,DU9&gt;=DV$22,DT9&lt;&gt;""),AND(EQ9&gt;=EV$18,ER9&gt;=EV$22,EQ9&lt;&gt;""),AND(ET9&gt;=EV$18,EU9&gt;=EV$22,ET9&lt;&gt;""),AND(FQ9&gt;=FV$18,FR9&gt;=FV$22,FQ9&lt;&gt;""),AND(FT9&gt;=FV$18,FU9&gt;=FV$22,FT9&lt;&gt;""),AND(GQ9&gt;=GV$18,GR9&gt;=GV$22,GQ9&lt;&gt;""),AND(GT9&gt;=GV$18,GU9&gt;=GV$22,GT9&lt;&gt;""),AND(HQ9&gt;=HV$18,HR9&gt;=HV$22,HQ9&lt;&gt;""),AND(HT9&gt;=HV$18,HU9&gt;=HV$22,HT9&lt;&gt;""),AND(IQ9&gt;=IV$18,IR9&gt;=IV$22,IQ9&lt;&gt;""),AND(IT9&gt;=IV$18,IU9&gt;=IV$22,IT9&lt;&gt;""),AND(JQ9&gt;=JV$18,JR9&gt;=JV$22,JQ9&lt;&gt;""),AND(JT9&gt;=JV$18,JU9&gt;=JV$22,JT9&lt;&gt;""),AND(KQ9&gt;=KV$18,KR9&gt;=KV$22,KQ9&lt;&gt;""),AND(KT9&gt;=KV$18,KU9&gt;=KV$22,KT9&lt;&gt;""),AND(LQ9&gt;=LV$18,LR9&gt;=LV$22,LQ9&lt;&gt;""),AND(LT9&gt;=LV$18,LU9&gt;=LV$22,LT9&lt;&gt;""),AND(MQ9&gt;=MV$18,MR9&gt;=MV$22,MQ9&lt;&gt;""),AND(MT9&gt;=MV$18,MU9&gt;=MV$22,MT9&lt;&gt;""),AND(NQ9&gt;=NV$18,NR9&gt;=NV$22,NQ9&lt;&gt;""),AND(NT9&gt;=NV$18,NU9&gt;=NV$22,NT9&lt;&gt;""),AND(OQ9&gt;=OV$18,OR9&gt;=OV$22,OQ9&lt;&gt;""),AND(OT9&gt;=OV$18,OU9&gt;=OV$22,OT9&lt;&gt;"")),"P","")</f>
        <v>P</v>
      </c>
      <c r="G9" s="3" t="str">
        <f>IF(OR(AND(AN9&gt;=AR$22,AN9&lt;&gt;"",AL9=""),AND(AQ9&gt;=AR$22,AQ9&lt;&gt;"",AL9=""),AND(BO9&gt;=BS$22,BO9&lt;&gt;"",BM9=""),AND(BR9&gt;=BS$22,BR9&lt;&gt;"",BM9=""),AND(CP9&gt;=CT$22,CP9&lt;&gt;"",CN9=""),AND(CS9&gt;=CT$22,CS9&lt;&gt;"",CN9=""),AND(DR9&gt;=DV$22,DR9&lt;&gt;""),AND(DU9&gt;=DV$22,DU9&lt;&gt;""),AND(ER9&gt;=EV$22,ER9&lt;&gt;""),AND(EU9&gt;=EV$22,EU9&lt;&gt;""),AND(FR9&gt;=FV$22,FR9&lt;&gt;""),AND(FU9&gt;=FV$22,FU9&lt;&gt;""),AND(GR9&gt;=GV$22,GR9&lt;&gt;""),AND(GU9&gt;=GV$22,GU9&lt;&gt;""),AND(HR9&gt;=HV$22,HR9&lt;&gt;""),AND(HU9&gt;=HV$22,HU9&lt;&gt;""),AND(IR9&gt;=IV$22,IR9&lt;&gt;""),AND(IU9&gt;=IV$22,IU9&lt;&gt;""),AND(JR9&gt;=JV$22,JR9&lt;&gt;""),AND(JU9&gt;=JV$22,JU9&lt;&gt;""),AND(KR9&gt;=KV$22,KR9&lt;&gt;""),AND(KU9&gt;=KV$22,KU9&lt;&gt;""),AND(LR9&gt;=LV$22,LR9&lt;&gt;""),AND(LU9&gt;=LV$22,LU9&lt;&gt;""),AND(MR9&gt;=MV$22,MR9&lt;&gt;""),AND(MU9&gt;=MV$22,MU9&lt;&gt;""),AND(NR9&gt;=NV$22,NR9&lt;&gt;""),AND(NU9&gt;=NV$22,NU9&lt;&gt;""),AND(OR9&gt;=OV$22,OR9&lt;&gt;""),AND(OU9&gt;=OV$22,OU9&lt;&gt;"")),"P","")</f>
        <v>P</v>
      </c>
      <c r="H9" s="66" t="str">
        <f>IF(AND(G9="P",F9=""),"No DD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Merit",IF(OR(AND(AM9&gt;=AR$20,AN9&gt;=AR$24,AM9&lt;&gt;"",AL9=""),AND(AP9&gt;=AR$20,AQ9&gt;=AR$24,AP9&lt;&gt;"",AL9=""),AND(BN9&gt;=BS$20,BO9&gt;=BS$24,BN9&lt;&gt;"",BM9=""),AND(BQ9&gt;=BS$20,BR9&gt;=BS$24,BQ9&lt;&gt;"",BM9=""),AND(CO9&gt;=CT$20,CP9&gt;=CT$24,CO9&lt;&gt;"",CN9=""),AND(CR9&gt;=CT$20,CS9&gt;=CT$24,CR9&lt;&gt;""),AND(DQ9&gt;=DV$20,DR9&gt;=DV$24,DQ9&lt;&gt;""),AND(DT9&gt;=DV$20,DU9&gt;=DV$24,DT9&lt;&gt;""),AND(EQ9&gt;=EV$20,ER9&gt;=EV$24,EQ9&lt;&gt;""),AND(ET9&gt;=EV$20,EU9&gt;=EV$24,ET9&lt;&gt;""),AND(FQ9&gt;=FV$20,FR9&gt;=FV$24,FQ9&lt;&gt;""),AND(FT9&gt;=FV$20,FU9&gt;=FV$24,FT9&lt;&gt;""),AND(GQ9&gt;=GV$20,GR9&gt;=GV$24,GQ9&lt;&gt;""),AND(GT9&gt;=GV$20,GU9&gt;=GV$24,GT9&lt;&gt;""),AND(HQ9&gt;=HV$20,HR9&gt;=HV$24,HQ9&lt;&gt;""),AND(HT9&gt;=HV$20,HU9&gt;=HV$24,HT9&lt;&gt;""),AND(IQ9&gt;=IV$20,IR9&gt;=IV$24,IQ9&lt;&gt;""),AND(IT9&gt;=IV$20,IU9&gt;=IV$24,IT9&lt;&gt;""),AND(JQ9&gt;=JV$20,JR9&gt;=JV$24,JQ9&lt;&gt;""),AND(JT9&gt;=JV$20,JU9&gt;=JV$24,JT9&lt;&gt;""),AND(KQ9&gt;=KV$20,KR9&gt;=KV$24,KQ9&lt;&gt;""),AND(KT9&gt;=KV$20,KU9&gt;=KV$24,KT9&lt;&gt;""),AND(LQ9&gt;=LV$20,LR9&gt;=LV$24,LQ9&lt;&gt;""),AND(LT9&gt;=LV$20,LU9&gt;=LV$24,LT9&lt;&gt;""),AND(MQ9&gt;=MV$20,MR9&gt;=MV$24,MQ9&lt;&gt;""),AND(MT9&gt;=MV$20,MU9&gt;=MV$24,MT9&lt;&gt;""),AND(NQ9&gt;=NV$20,NR9&gt;=NV$24,NQ9&lt;&gt;""),AND(NT9&gt;=NV$20,NU9&gt;=NV$24,NT9&lt;&gt;""),AND(OQ9&gt;=OV$20,OR9&gt;=OV$24,OQ9&lt;&gt;""),AND(OT9&gt;=OV$20,OU9&gt;=OV$24,OT9&lt;&gt;"")),"Excellence",IF(F9="P","National Team",""))))</f>
        <v>National Team</v>
      </c>
      <c r="I9" s="14">
        <f>IF(COUNT(AN9,BO9,CP9)&gt;0,LARGE((AN9,BO9,CP9),1),0)</f>
        <v>44.3</v>
      </c>
      <c r="J9" s="14" t="str">
        <f>IF(I9=0,"",IF(I9=CP9,$BT$1,IF(I9=BO9,$AS$1,IF(I9=AN9,$R$1,""))))</f>
        <v>2022 Nationals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40.4</v>
      </c>
      <c r="N9" s="14" t="str">
        <f>IF(M9=0,"",IF(M9=CS9,$BT$1,IF(M9=BR9,$AS$1,IF(M9=AQ9,$R$1,""))))</f>
        <v>2022 Nationals</v>
      </c>
      <c r="O9" s="14" t="str">
        <f>IF(MAX(CU9:CV9)&gt;0,MAX(CU9:CV9),"")</f>
        <v/>
      </c>
      <c r="P9" s="19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>IF(SUM(S9,W9)&gt;0,SUM(S9,W9),"")</f>
        <v/>
      </c>
      <c r="AN9" s="78" t="str">
        <f>IF(SUM(R9:S9,U9:W9,Y9)-T9-X9&gt;0,SUM(R9:S9,U9:W9,Y9)-T9-X9,"")</f>
        <v/>
      </c>
      <c r="AO9" s="78" t="str">
        <f>IF(SUM(Z9:AA9,AC9)-AB9&gt;0,SUM(Z9:AA9,AC9)-AB9,"")</f>
        <v/>
      </c>
      <c r="AP9" s="78" t="str">
        <f>IF(SUM(AE9,AI9)&gt;0,SUM(AE9,AI9),"")</f>
        <v/>
      </c>
      <c r="AQ9" s="78" t="str">
        <f>IF(SUM(AD9:AE9,AG9:AI9,AK9)-SUM(AF9,AJ9)&gt;0,SUM(AD9:AE9,AG9:AI9,AK9)-SUM(AF9,AJ9),"")</f>
        <v/>
      </c>
      <c r="AR9" s="78" t="str">
        <f>IF(SUM(AN9,AQ9)&gt;0,SUM(AN9,AQ9),"")</f>
        <v/>
      </c>
      <c r="AS9" s="25">
        <v>17.600000000000001</v>
      </c>
      <c r="AT9" s="25">
        <v>4.3</v>
      </c>
      <c r="AU9" s="25">
        <v>0</v>
      </c>
      <c r="AV9" s="25">
        <v>0.3</v>
      </c>
      <c r="AW9" s="25">
        <v>16.399999999999999</v>
      </c>
      <c r="AX9" s="25">
        <v>5.4</v>
      </c>
      <c r="AY9" s="25">
        <v>0</v>
      </c>
      <c r="AZ9" s="25">
        <v>0.3</v>
      </c>
      <c r="BA9" s="25"/>
      <c r="BB9" s="25"/>
      <c r="BC9" s="25"/>
      <c r="BD9" s="25"/>
      <c r="BE9" s="25">
        <v>16.100000000000001</v>
      </c>
      <c r="BF9" s="25">
        <v>1.9</v>
      </c>
      <c r="BG9" s="25">
        <v>0</v>
      </c>
      <c r="BH9" s="25">
        <v>0.3</v>
      </c>
      <c r="BI9" s="25">
        <v>17.3</v>
      </c>
      <c r="BJ9" s="25">
        <v>4.8</v>
      </c>
      <c r="BK9" s="25">
        <v>0</v>
      </c>
      <c r="BL9" s="25">
        <v>0</v>
      </c>
      <c r="BM9" s="45"/>
      <c r="BN9" s="19">
        <f>IF(SUM(AT9,AX9)&gt;0,SUM(AT9,AX9),"")</f>
        <v>9.6999999999999993</v>
      </c>
      <c r="BO9" s="19">
        <f>IF(SUM(AS9:AT9,AV9:AX9,AZ9)-AU9-AY9&gt;0,SUM(AS9:AT9,AV9:AX9,AZ9)-AU9-AY9,"")</f>
        <v>44.3</v>
      </c>
      <c r="BP9" s="19" t="str">
        <f>IF(SUM(BA9:BB9,BD9)-BC9&gt;0,SUM(BA9:BB9,BD9)-BC9,"")</f>
        <v/>
      </c>
      <c r="BQ9" s="19">
        <f>IF(SUM(BF9,BJ9)&gt;0,SUM(BF9,BJ9),"")</f>
        <v>6.6999999999999993</v>
      </c>
      <c r="BR9" s="19">
        <f>IF(SUM(BE9:BF9,BH9:BJ9,BL9)-SUM(BG9,BK9)&gt;0,SUM(BE9:BF9,BH9:BJ9,BL9)-SUM(BG9,BK9),"")</f>
        <v>40.4</v>
      </c>
      <c r="BS9" s="19">
        <f>IF(SUM(BO9,BR9)&gt;0,SUM(BO9,BR9),"")</f>
        <v>84.699999999999989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>IF(SUM(BU9,BY9)&gt;0,SUM(BU9,BY9),"")</f>
        <v/>
      </c>
      <c r="CP9" s="78" t="str">
        <f>IF(SUM(BT9:BU9,BW9:BY9,CA9)-BV9-BZ9&gt;0,SUM(BT9:BU9,BW9:BY9,CA9)-BV9-BZ9,"")</f>
        <v/>
      </c>
      <c r="CQ9" s="78" t="str">
        <f>IF(SUM(CB9:CC9,CE9)-CD9&gt;0,SUM(CB9:CC9,CE9)-CD9,"")</f>
        <v/>
      </c>
      <c r="CR9" s="78" t="str">
        <f>IF(SUM(CG9,CK9)&gt;0,SUM(CG9,CK9),"")</f>
        <v/>
      </c>
      <c r="CS9" s="78" t="str">
        <f>IF(SUM(CF9:CG9,CI9:CK9,CM9)-SUM(CH9,CL9)&gt;0,SUM(CF9:CG9,CI9:CK9,CM9)-SUM(CH9,CL9),"")</f>
        <v/>
      </c>
      <c r="CT9" s="78" t="str">
        <f>IF(SUM(CP9,CS9)&gt;0,SUM(CP9,CS9),"")</f>
        <v/>
      </c>
      <c r="CU9" s="79" t="str">
        <f>IF(K9&gt;=0.001,IF(MAX(DR9,ER9,FR9,GR9,HR9,IR9,JR9,KR9,LR9,MR9,NR9,OR9)-IF(K9="",0,K9)&gt;0.001,MAX(DR9,ER9,FR9,GR9,HR9,IR9,JR9,KR9,LR9,MR9,NR9,OR9)-IF(K9="",0,K9),""),"")</f>
        <v/>
      </c>
      <c r="CV9" s="79" t="str">
        <f>IF(M9&gt;=0.001,IF(MAX(DU9,EU9,FU9,GU9,HU9,IU9,JU9,KU9,LU9,MU9,NU9,OU9)-IF(M9="",0,M9)&gt;0.001,MAX(DU9,EU9,FU9,GU9,HU9,IU9,JU9,KU9,LU9,MU9,NU9,OU9)-IF(M9="",0,M9),""),"")</f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>IF(SUM(CX9,DB9)&gt;0,SUM(CX9,DB9),"")</f>
        <v/>
      </c>
      <c r="DR9" s="78" t="str">
        <f>IF(SUM(CW9:CX9,CZ9:DB9,DD9)-CY9-DC9&gt;0,SUM(CW9:CX9,CZ9:DB9,DD9)-CY9-DC9,"")</f>
        <v/>
      </c>
      <c r="DS9" s="78" t="str">
        <f>IF(SUM(DE9:DF9,DH9)-DG9&gt;0,SUM(DE9:DF9,DH9)-DG9,"")</f>
        <v/>
      </c>
      <c r="DT9" s="78" t="str">
        <f>IF(SUM(DJ9,DN9)&gt;0,SUM(DJ9,DN9),"")</f>
        <v/>
      </c>
      <c r="DU9" s="78" t="str">
        <f>IF(SUM(DI9:DJ9,DL9:DN9,DP9)-SUM(DK9,DO9)&gt;0,SUM(DI9:DJ9,DL9:DN9,DP9)-SUM(DK9,DO9),"")</f>
        <v/>
      </c>
      <c r="DV9" s="78" t="str">
        <f>IF(SUM(DR9,DU9)&gt;0,SUM(DR9,DU9),"")</f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>IF(SUM(DX9,EB9)&gt;0,SUM(DX9,EB9),"")</f>
        <v/>
      </c>
      <c r="ER9" s="19" t="str">
        <f>IF(SUM(DW9:DX9,DZ9:EB9,ED9)-DY9-EC9&gt;0,SUM(DW9:DX9,DZ9:EB9,ED9)-DY9-EC9,"")</f>
        <v/>
      </c>
      <c r="ES9" s="19" t="str">
        <f>IF(SUM(EE9:EF9,EH9)-EG9&gt;0,SUM(EE9:EF9,EH9)-EG9,"")</f>
        <v/>
      </c>
      <c r="ET9" s="19" t="str">
        <f>IF(SUM(EJ9,EN9)&gt;0,SUM(EJ9,EN9),"")</f>
        <v/>
      </c>
      <c r="EU9" s="19" t="str">
        <f>IF(SUM(EI9:EJ9,EL9:EN9,EP9)-SUM(EK9,EO9)&gt;0,SUM(EI9:EJ9,EL9:EN9,EP9)-SUM(EK9,EO9),"")</f>
        <v/>
      </c>
      <c r="EV9" s="19" t="str">
        <f>IF(SUM(ER9,EU9)&gt;0,SUM(ER9,EU9),"")</f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>IF(SUM(EX9,FB9)&gt;0,SUM(EX9,FB9),"")</f>
        <v/>
      </c>
      <c r="FR9" s="78" t="str">
        <f>IF(SUM(EW9:EX9,EZ9:FB9,FD9)-EY9-FC9&gt;0,SUM(EW9:EX9,EZ9:FB9,FD9)-EY9-FC9,"")</f>
        <v/>
      </c>
      <c r="FS9" s="78" t="str">
        <f>IF(SUM(FE9:FF9,FH9)-FG9&gt;0,SUM(FE9:FF9,FH9)-FG9,"")</f>
        <v/>
      </c>
      <c r="FT9" s="78" t="str">
        <f>IF(SUM(FJ9,FN9)&gt;0,SUM(FJ9,FN9),"")</f>
        <v/>
      </c>
      <c r="FU9" s="78" t="str">
        <f>IF(SUM(FI9:FJ9,FL9:FN9,FP9)-SUM(FK9,FO9)&gt;0,SUM(FI9:FJ9,FL9:FN9,FP9)-SUM(FK9,FO9),"")</f>
        <v/>
      </c>
      <c r="FV9" s="78" t="str">
        <f>IF(SUM(FR9,FU9)&gt;0,SUM(FR9,FU9),"")</f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>IF(SUM(FX9,GB9)&gt;0,SUM(FX9,GB9),"")</f>
        <v/>
      </c>
      <c r="GR9" s="19" t="str">
        <f>IF(SUM(FW9:FX9,FZ9:GB9,GD9)-FY9-GC9&gt;0,SUM(FW9:FX9,FZ9:GB9,GD9)-FY9-GC9,"")</f>
        <v/>
      </c>
      <c r="GS9" s="19" t="str">
        <f>IF(SUM(GE9:GF9,GH9)-GG9&gt;0,SUM(GE9:GF9,GH9)-GG9,"")</f>
        <v/>
      </c>
      <c r="GT9" s="19" t="str">
        <f>IF(SUM(GJ9,GN9)&gt;0,SUM(GJ9,GN9),"")</f>
        <v/>
      </c>
      <c r="GU9" s="19" t="str">
        <f>IF(SUM(GI9:GJ9,GL9:GN9,GP9)-SUM(GK9,GO9)&gt;0,SUM(GI9:GJ9,GL9:GN9,GP9)-SUM(GK9,GO9),"")</f>
        <v/>
      </c>
      <c r="GV9" s="19" t="str">
        <f>IF(SUM(GR9,GU9)&gt;0,SUM(GR9,GU9),"")</f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>IF(SUM(GX9,HB9)&gt;0,SUM(GX9,HB9),"")</f>
        <v/>
      </c>
      <c r="HR9" s="78" t="str">
        <f>IF(SUM(GW9:GX9,GZ9:HB9,HD9)-GY9-HC9&gt;0,SUM(GW9:GX9,GZ9:HB9,HD9)-GY9-HC9,"")</f>
        <v/>
      </c>
      <c r="HS9" s="78" t="str">
        <f>IF(SUM(HE9:HF9,HH9)-HG9&gt;0,SUM(HE9:HF9,HH9)-HG9,"")</f>
        <v/>
      </c>
      <c r="HT9" s="78" t="str">
        <f>IF(SUM(HJ9,HN9)&gt;0,SUM(HJ9,HN9),"")</f>
        <v/>
      </c>
      <c r="HU9" s="78" t="str">
        <f>IF(SUM(HI9:HJ9,HL9:HN9,HP9)-SUM(HK9,HO9)&gt;0,SUM(HI9:HJ9,HL9:HN9,HP9)-SUM(HK9,HO9),"")</f>
        <v/>
      </c>
      <c r="HV9" s="78" t="str">
        <f>IF(SUM(HR9,HU9)&gt;0,SUM(HR9,HU9),"")</f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>IF(SUM(HX9,IB9)&gt;0,SUM(HX9,IB9),"")</f>
        <v/>
      </c>
      <c r="IR9" s="19" t="str">
        <f>IF(SUM(HW9:HX9,HZ9:IB9,ID9)-HY9-IC9&gt;0,SUM(HW9:HX9,HZ9:IB9,ID9)-HY9-IC9,"")</f>
        <v/>
      </c>
      <c r="IS9" s="19" t="str">
        <f>IF(SUM(IE9:IF9,IH9)-IG9&gt;0,SUM(IE9:IF9,IH9)-IG9,"")</f>
        <v/>
      </c>
      <c r="IT9" s="19" t="str">
        <f>IF(SUM(IJ9,IN9)&gt;0,SUM(IJ9,IN9),"")</f>
        <v/>
      </c>
      <c r="IU9" s="19" t="str">
        <f>IF(SUM(II9:IJ9,IL9:IN9,IP9)-SUM(IK9,IO9)&gt;0,SUM(II9:IJ9,IL9:IN9,IP9)-SUM(IK9,IO9),"")</f>
        <v/>
      </c>
      <c r="IV9" s="19" t="str">
        <f>IF(SUM(IR9,IU9)&gt;0,SUM(IR9,IU9),"")</f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>IF(SUM(IX9,JB9)&gt;0,SUM(IX9,JB9),"")</f>
        <v/>
      </c>
      <c r="JR9" s="78" t="str">
        <f>IF(SUM(IW9:IX9,IZ9:JB9,JD9)-IY9-JC9&gt;0,SUM(IW9:IX9,IZ9:JB9,JD9)-IY9-JC9,"")</f>
        <v/>
      </c>
      <c r="JS9" s="78" t="str">
        <f>IF(SUM(JE9:JF9,JH9)-JG9&gt;0,SUM(JE9:JF9,JH9)-JG9,"")</f>
        <v/>
      </c>
      <c r="JT9" s="78" t="str">
        <f>IF(SUM(JJ9,JN9)&gt;0,SUM(JJ9,JN9),"")</f>
        <v/>
      </c>
      <c r="JU9" s="78" t="str">
        <f>IF(SUM(JI9:JJ9,JL9:JN9,JP9)-SUM(JK9,JO9)&gt;0,SUM(JI9:JJ9,JL9:JN9,JP9)-SUM(JK9,JO9),"")</f>
        <v/>
      </c>
      <c r="JV9" s="78" t="str">
        <f>IF(SUM(JR9,JU9)&gt;0,SUM(JR9,JU9),"")</f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>IF(SUM(JX9,KB9)&gt;0,SUM(JX9,KB9),"")</f>
        <v/>
      </c>
      <c r="KR9" s="19" t="str">
        <f>IF(SUM(JW9:JX9,JZ9:KB9,KD9)-JY9-KC9&gt;0,SUM(JW9:JX9,JZ9:KB9,KD9)-JY9-KC9,"")</f>
        <v/>
      </c>
      <c r="KS9" s="19" t="str">
        <f>IF(SUM(KE9:KF9,KH9)-KG9&gt;0,SUM(KE9:KF9,KH9)-KG9,"")</f>
        <v/>
      </c>
      <c r="KT9" s="19" t="str">
        <f>IF(SUM(KJ9,KN9)&gt;0,SUM(KJ9,KN9),"")</f>
        <v/>
      </c>
      <c r="KU9" s="19" t="str">
        <f>IF(SUM(KI9:KJ9,KL9:KN9,KP9)-SUM(KK9,KO9)&gt;0,SUM(KI9:KJ9,KL9:KN9,KP9)-SUM(KK9,KO9),"")</f>
        <v/>
      </c>
      <c r="KV9" s="19" t="str">
        <f>IF(SUM(KR9,KU9)&gt;0,SUM(KR9,KU9),"")</f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>IF(SUM(KX9,LB9)&gt;0,SUM(KX9,LB9),"")</f>
        <v/>
      </c>
      <c r="LR9" s="78" t="str">
        <f>IF(SUM(KW9:KX9,KZ9:LB9,LD9)-KY9-LC9&gt;0,SUM(KW9:KX9,KZ9:LB9,LD9)-KY9-LC9,"")</f>
        <v/>
      </c>
      <c r="LS9" s="78" t="str">
        <f>IF(SUM(LE9:LF9,LH9)-LG9&gt;0,SUM(LE9:LF9,LH9)-LG9,"")</f>
        <v/>
      </c>
      <c r="LT9" s="78" t="str">
        <f>IF(SUM(LJ9,LN9)&gt;0,SUM(LJ9,LN9),"")</f>
        <v/>
      </c>
      <c r="LU9" s="78" t="str">
        <f>IF(SUM(LI9:LJ9,LL9:LN9,LP9)-SUM(LK9,LO9)&gt;0,SUM(LI9:LJ9,LL9:LN9,LP9)-SUM(LK9,LO9),"")</f>
        <v/>
      </c>
      <c r="LV9" s="78" t="str">
        <f>IF(SUM(LR9,LU9)&gt;0,SUM(LR9,LU9),"")</f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>IF(SUM(LX9,MB9)&gt;0,SUM(LX9,MB9),"")</f>
        <v/>
      </c>
      <c r="MR9" s="19" t="str">
        <f>IF(SUM(LW9:LX9,LZ9:MB9,MD9)-LY9-MC9&gt;0,SUM(LW9:LX9,LZ9:MB9,MD9)-LY9-MC9,"")</f>
        <v/>
      </c>
      <c r="MS9" s="19" t="str">
        <f>IF(SUM(ME9:MF9,MH9)-MG9&gt;0,SUM(ME9:MF9,MH9)-MG9,"")</f>
        <v/>
      </c>
      <c r="MT9" s="19" t="str">
        <f>IF(SUM(MJ9,MN9)&gt;0,SUM(MJ9,MN9),"")</f>
        <v/>
      </c>
      <c r="MU9" s="19" t="str">
        <f>IF(SUM(MI9:MJ9,ML9:MN9,MP9)-SUM(MK9,MO9)&gt;0,SUM(MI9:MJ9,ML9:MN9,MP9)-SUM(MK9,MO9),"")</f>
        <v/>
      </c>
      <c r="MV9" s="19" t="str">
        <f>IF(SUM(MR9,MU9)&gt;0,SUM(MR9,MU9),"")</f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>IF(SUM(MX9,NB9)&gt;0,SUM(MX9,NB9),"")</f>
        <v/>
      </c>
      <c r="NR9" s="78" t="str">
        <f>IF(SUM(MW9:MX9,MZ9:NB9,ND9)-MY9-NC9&gt;0,SUM(MW9:MX9,MZ9:NB9,ND9)-MY9-NC9,"")</f>
        <v/>
      </c>
      <c r="NS9" s="78" t="str">
        <f>IF(SUM(NE9:NF9,NH9)-NG9&gt;0,SUM(NE9:NF9,NH9)-NG9,"")</f>
        <v/>
      </c>
      <c r="NT9" s="78" t="str">
        <f>IF(SUM(NJ9,NN9)&gt;0,SUM(NJ9,NN9),"")</f>
        <v/>
      </c>
      <c r="NU9" s="78" t="str">
        <f>IF(SUM(NI9:NJ9,NL9:NN9,NP9)-SUM(NK9,NO9)&gt;0,SUM(NI9:NJ9,NL9:NN9,NP9)-SUM(NK9,NO9),"")</f>
        <v/>
      </c>
      <c r="NV9" s="78" t="str">
        <f>IF(SUM(NR9,NU9)&gt;0,SUM(NR9,NU9),"")</f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>IF(SUM(NX9,OB9)&gt;0,SUM(NX9,OB9),"")</f>
        <v/>
      </c>
      <c r="OR9" s="19" t="str">
        <f>IF(SUM(NW9:NX9,NZ9:OB9,OD9)-NY9-OC9&gt;0,SUM(NW9:NX9,NZ9:OB9,OD9)-NY9-OC9,"")</f>
        <v/>
      </c>
      <c r="OS9" s="19" t="str">
        <f>IF(SUM(OE9:OF9,OH9)-OG9&gt;0,SUM(OE9:OF9,OH9)-OG9,"")</f>
        <v/>
      </c>
      <c r="OT9" s="19" t="str">
        <f>IF(SUM(OJ9,ON9)&gt;0,SUM(OJ9,ON9),"")</f>
        <v/>
      </c>
      <c r="OU9" s="19" t="str">
        <f>IF(SUM(OI9:OJ9,OL9:ON9,OP9)-SUM(OK9,OO9)&gt;0,SUM(OI9:OJ9,OL9:ON9,OP9)-SUM(OK9,OO9),"")</f>
        <v/>
      </c>
      <c r="OV9" s="19" t="str">
        <f>IF(SUM(OR9,OU9)&gt;0,SUM(OR9,OU9),"")</f>
        <v/>
      </c>
      <c r="OW9" s="37">
        <f>IF($CN9="P",BT9,(BT9+AS9)/2)</f>
        <v>8.8000000000000007</v>
      </c>
      <c r="OX9" s="37">
        <f>IF($CN9="P",BU9,(BU9+AT9)/2)</f>
        <v>2.15</v>
      </c>
      <c r="OY9" s="37">
        <f>IF($CN9="P",BV9,(BV9+AU9)/2)</f>
        <v>0</v>
      </c>
      <c r="OZ9" s="37">
        <f>IF($CN9="P",BW9,(BW9+AV9)/2)</f>
        <v>0.15</v>
      </c>
      <c r="PA9" s="37">
        <f>IF($CN9="P",BX9,(BX9+AW9)/2)</f>
        <v>8.1999999999999993</v>
      </c>
      <c r="PB9" s="37">
        <f>IF($CN9="P",BY9,(BY9+AX9)/2)</f>
        <v>2.7</v>
      </c>
      <c r="PC9" s="37">
        <f>IF($CN9="P",BZ9,(BZ9+AY9)/2)</f>
        <v>0</v>
      </c>
      <c r="PD9" s="37">
        <f>IF($CN9="P",CA9,(CA9+AZ9)/2)</f>
        <v>0.15</v>
      </c>
      <c r="PE9" s="37">
        <f>IF($CN9="P",CB9,(CB9+BA9)/2)</f>
        <v>0</v>
      </c>
      <c r="PF9" s="37">
        <f>IF($CN9="P",CC9,(CC9+BB9)/2)</f>
        <v>0</v>
      </c>
      <c r="PG9" s="37">
        <f>IF($CN9="P",CD9,(CD9+BC9)/2)</f>
        <v>0</v>
      </c>
      <c r="PH9" s="37">
        <f>IF($CN9="P",CE9,(CE9+BD9)/2)</f>
        <v>0</v>
      </c>
      <c r="PI9" s="37">
        <f>IF($CN9="P",CF9,(CF9+BE9)/2)</f>
        <v>8.0500000000000007</v>
      </c>
      <c r="PJ9" s="37">
        <f>IF($CN9="P",CG9,(CG9+BF9)/2)</f>
        <v>0.95</v>
      </c>
      <c r="PK9" s="37">
        <f>IF($CN9="P",CH9,(CH9+BG9)/2)</f>
        <v>0</v>
      </c>
      <c r="PL9" s="37">
        <f>IF($CN9="P",CI9,(CI9+BH9)/2)</f>
        <v>0.15</v>
      </c>
      <c r="PM9" s="37">
        <f>IF($CN9="P",CJ9,(CJ9+BI9)/2)</f>
        <v>8.65</v>
      </c>
      <c r="PN9" s="37">
        <f>IF($CN9="P",CK9,(CK9+BJ9)/2)</f>
        <v>2.4</v>
      </c>
      <c r="PO9" s="37">
        <f>IF($CN9="P",CL9,(CL9+BK9)/2)</f>
        <v>0</v>
      </c>
      <c r="PP9" s="37">
        <f>IF($CN9="P",CM9,(CM9+BL9)/2)</f>
        <v>0</v>
      </c>
      <c r="PQ9" s="44" t="s">
        <v>46</v>
      </c>
      <c r="PR9" s="78">
        <f>IF(SUM(OX9,PB9)&gt;0,SUM(OX9,PB9),"")</f>
        <v>4.8499999999999996</v>
      </c>
      <c r="PS9" s="78">
        <f>IF(SUM(OW9:OX9,OZ9:PB9,PD9)-OY9-PC9&gt;0,SUM(OW9:OX9,OZ9:PB9,PD9)-OY9-PC9,"")</f>
        <v>22.15</v>
      </c>
      <c r="PT9" s="78" t="str">
        <f>IF(SUM(PE9:PF9,PH9)-PG9&gt;0,SUM(PE9:PF9,PH9)-PG9,"")</f>
        <v/>
      </c>
      <c r="PU9" s="78">
        <f>IF(SUM(PJ9,PN9)&gt;0,SUM(PJ9,PN9),"")</f>
        <v>3.3499999999999996</v>
      </c>
      <c r="PV9" s="78">
        <f>IF(SUM(PI9:PJ9,PL9:PN9,PP9)-SUM(PK9,PO9)&gt;0,SUM(PI9:PJ9,PL9:PN9,PP9)-SUM(PK9,PO9),"")</f>
        <v>20.2</v>
      </c>
      <c r="PW9" s="78">
        <f>IF(SUM(PS9,PV9)&gt;0,SUM(PS9,PV9),"")</f>
        <v>42.349999999999994</v>
      </c>
    </row>
    <row r="10" spans="1:439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77" t="s">
        <v>192</v>
      </c>
      <c r="C10" s="5" t="s">
        <v>3</v>
      </c>
      <c r="D10" s="5">
        <v>2004</v>
      </c>
      <c r="E10" s="15">
        <f>SUM(I10:O10)+SUM(I10:M10)*0.0000001+SUM(I10)*0.0000000000001</f>
        <v>127.70001277000432</v>
      </c>
      <c r="F10" s="3" t="str">
        <f>IF(OR(AND(AM10&gt;=AR$18,AN10&gt;=AR$22,AM10&lt;&gt;"",AL10=""),AND(AP10&gt;=AR$18,AQ10&gt;=AR$22,AP10&lt;&gt;"",AL10=""),AND(BN10&gt;=BS$18,BO10&gt;=BS$22,BN10&lt;&gt;"",BM10=""),AND(BQ10&gt;=BS$18,BR10&gt;=BS$22,BQ10&lt;&gt;"",BM10=""),AND(CO10&gt;=CT$18,CP10&gt;=CT$22,CO10&lt;&gt;"",CN10=""),AND(CR10&gt;=CT$18,CS10&gt;=CT$22,CR10&lt;&gt;""),AND(DQ10&gt;=DV$18,DR10&gt;=DV$22,DQ10&lt;&gt;""),AND(DT10&gt;=DV$18,DU10&gt;=DV$22,DT10&lt;&gt;""),AND(EQ10&gt;=EV$18,ER10&gt;=EV$22,EQ10&lt;&gt;""),AND(ET10&gt;=EV$18,EU10&gt;=EV$22,ET10&lt;&gt;""),AND(FQ10&gt;=FV$18,FR10&gt;=FV$22,FQ10&lt;&gt;""),AND(FT10&gt;=FV$18,FU10&gt;=FV$22,FT10&lt;&gt;""),AND(GQ10&gt;=GV$18,GR10&gt;=GV$22,GQ10&lt;&gt;""),AND(GT10&gt;=GV$18,GU10&gt;=GV$22,GT10&lt;&gt;""),AND(HQ10&gt;=HV$18,HR10&gt;=HV$22,HQ10&lt;&gt;""),AND(HT10&gt;=HV$18,HU10&gt;=HV$22,HT10&lt;&gt;""),AND(IQ10&gt;=IV$18,IR10&gt;=IV$22,IQ10&lt;&gt;""),AND(IT10&gt;=IV$18,IU10&gt;=IV$22,IT10&lt;&gt;""),AND(JQ10&gt;=JV$18,JR10&gt;=JV$22,JQ10&lt;&gt;""),AND(JT10&gt;=JV$18,JU10&gt;=JV$22,JT10&lt;&gt;""),AND(KQ10&gt;=KV$18,KR10&gt;=KV$22,KQ10&lt;&gt;""),AND(KT10&gt;=KV$18,KU10&gt;=KV$22,KT10&lt;&gt;""),AND(LQ10&gt;=LV$18,LR10&gt;=LV$22,LQ10&lt;&gt;""),AND(LT10&gt;=LV$18,LU10&gt;=LV$22,LT10&lt;&gt;""),AND(MQ10&gt;=MV$18,MR10&gt;=MV$22,MQ10&lt;&gt;""),AND(MT10&gt;=MV$18,MU10&gt;=MV$22,MT10&lt;&gt;""),AND(NQ10&gt;=NV$18,NR10&gt;=NV$22,NQ10&lt;&gt;""),AND(NT10&gt;=NV$18,NU10&gt;=NV$22,NT10&lt;&gt;""),AND(OQ10&gt;=OV$18,OR10&gt;=OV$22,OQ10&lt;&gt;""),AND(OT10&gt;=OV$18,OU10&gt;=OV$22,OT10&lt;&gt;"")),"P","")</f>
        <v/>
      </c>
      <c r="G10" s="3" t="str">
        <f>IF(OR(AND(AN10&gt;=AR$22,AN10&lt;&gt;"",AL10=""),AND(AQ10&gt;=AR$22,AQ10&lt;&gt;"",AL10=""),AND(BO10&gt;=BS$22,BO10&lt;&gt;"",BM10=""),AND(BR10&gt;=BS$22,BR10&lt;&gt;"",BM10=""),AND(CP10&gt;=CT$22,CP10&lt;&gt;"",CN10=""),AND(CS10&gt;=CT$22,CS10&lt;&gt;"",CN10=""),AND(DR10&gt;=DV$22,DR10&lt;&gt;""),AND(DU10&gt;=DV$22,DU10&lt;&gt;""),AND(ER10&gt;=EV$22,ER10&lt;&gt;""),AND(EU10&gt;=EV$22,EU10&lt;&gt;""),AND(FR10&gt;=FV$22,FR10&lt;&gt;""),AND(FU10&gt;=FV$22,FU10&lt;&gt;""),AND(GR10&gt;=GV$22,GR10&lt;&gt;""),AND(GU10&gt;=GV$22,GU10&lt;&gt;""),AND(HR10&gt;=HV$22,HR10&lt;&gt;""),AND(HU10&gt;=HV$22,HU10&lt;&gt;""),AND(IR10&gt;=IV$22,IR10&lt;&gt;""),AND(IU10&gt;=IV$22,IU10&lt;&gt;""),AND(JR10&gt;=JV$22,JR10&lt;&gt;""),AND(JU10&gt;=JV$22,JU10&lt;&gt;""),AND(KR10&gt;=KV$22,KR10&lt;&gt;""),AND(KU10&gt;=KV$22,KU10&lt;&gt;""),AND(LR10&gt;=LV$22,LR10&lt;&gt;""),AND(LU10&gt;=LV$22,LU10&lt;&gt;""),AND(MR10&gt;=MV$22,MR10&lt;&gt;""),AND(MU10&gt;=MV$22,MU10&lt;&gt;""),AND(NR10&gt;=NV$22,NR10&lt;&gt;""),AND(NU10&gt;=NV$22,NU10&lt;&gt;""),AND(OR10&gt;=OV$22,OR10&lt;&gt;""),AND(OU10&gt;=OV$22,OU10&lt;&gt;"")),"P","")</f>
        <v/>
      </c>
      <c r="H10" s="66" t="str">
        <f>IF(AND(G10="P",F10=""),"No DD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Merit",IF(OR(AND(AM10&gt;=AR$20,AN10&gt;=AR$24,AM10&lt;&gt;"",AL10=""),AND(AP10&gt;=AR$20,AQ10&gt;=AR$24,AP10&lt;&gt;"",AL10=""),AND(BN10&gt;=BS$20,BO10&gt;=BS$24,BN10&lt;&gt;"",BM10=""),AND(BQ10&gt;=BS$20,BR10&gt;=BS$24,BQ10&lt;&gt;"",BM10=""),AND(CO10&gt;=CT$20,CP10&gt;=CT$24,CO10&lt;&gt;"",CN10=""),AND(CR10&gt;=CT$20,CS10&gt;=CT$24,CR10&lt;&gt;""),AND(DQ10&gt;=DV$20,DR10&gt;=DV$24,DQ10&lt;&gt;""),AND(DT10&gt;=DV$20,DU10&gt;=DV$24,DT10&lt;&gt;""),AND(EQ10&gt;=EV$20,ER10&gt;=EV$24,EQ10&lt;&gt;""),AND(ET10&gt;=EV$20,EU10&gt;=EV$24,ET10&lt;&gt;""),AND(FQ10&gt;=FV$20,FR10&gt;=FV$24,FQ10&lt;&gt;""),AND(FT10&gt;=FV$20,FU10&gt;=FV$24,FT10&lt;&gt;""),AND(GQ10&gt;=GV$20,GR10&gt;=GV$24,GQ10&lt;&gt;""),AND(GT10&gt;=GV$20,GU10&gt;=GV$24,GT10&lt;&gt;""),AND(HQ10&gt;=HV$20,HR10&gt;=HV$24,HQ10&lt;&gt;""),AND(HT10&gt;=HV$20,HU10&gt;=HV$24,HT10&lt;&gt;""),AND(IQ10&gt;=IV$20,IR10&gt;=IV$24,IQ10&lt;&gt;""),AND(IT10&gt;=IV$20,IU10&gt;=IV$24,IT10&lt;&gt;""),AND(JQ10&gt;=JV$20,JR10&gt;=JV$24,JQ10&lt;&gt;""),AND(JT10&gt;=JV$20,JU10&gt;=JV$24,JT10&lt;&gt;""),AND(KQ10&gt;=KV$20,KR10&gt;=KV$24,KQ10&lt;&gt;""),AND(KT10&gt;=KV$20,KU10&gt;=KV$24,KT10&lt;&gt;""),AND(LQ10&gt;=LV$20,LR10&gt;=LV$24,LQ10&lt;&gt;""),AND(LT10&gt;=LV$20,LU10&gt;=LV$24,LT10&lt;&gt;""),AND(MQ10&gt;=MV$20,MR10&gt;=MV$24,MQ10&lt;&gt;""),AND(MT10&gt;=MV$20,MU10&gt;=MV$24,MT10&lt;&gt;""),AND(NQ10&gt;=NV$20,NR10&gt;=NV$24,NQ10&lt;&gt;""),AND(NT10&gt;=NV$20,NU10&gt;=NV$24,NT10&lt;&gt;""),AND(OQ10&gt;=OV$20,OR10&gt;=OV$24,OQ10&lt;&gt;""),AND(OT10&gt;=OV$20,OU10&gt;=OV$24,OT10&lt;&gt;"")),"Excellence",IF(F10="P","National Team",""))))</f>
        <v/>
      </c>
      <c r="I10" s="14">
        <f>IF(COUNT(AN10,BO10,CP10)&gt;0,LARGE((AN10,BO10,CP10),1),0)</f>
        <v>43</v>
      </c>
      <c r="J10" s="14" t="str">
        <f>IF(I10=0,"",IF(I10=CP10,$BT$1,IF(I10=BO10,$AS$1,IF(I10=AN10,$R$1,""))))</f>
        <v>2022 Nationals</v>
      </c>
      <c r="K10" s="14">
        <f>IF(COUNT(AN10,BO10,CP10)&gt;1,LARGE((AN10,BO10,CP10),2),0)</f>
        <v>41.300000000000004</v>
      </c>
      <c r="L10" s="14" t="str">
        <f>IF(K10=0,"",IF(K10=CP10,$BT$1,IF(K10=BO10,$AS$1,IF(K10=AN10,$R$1,""))))</f>
        <v>2022 3rd Domestic Trial</v>
      </c>
      <c r="M10" s="14">
        <f>IF(MAX(AQ10,BR10,CS10)&gt;0,MAX(AQ10,BR10,CS10),0)</f>
        <v>43.400000000000006</v>
      </c>
      <c r="N10" s="14" t="str">
        <f>IF(M10=0,"",IF(M10=CS10,$BT$1,IF(M10=BR10,$AS$1,IF(M10=AQ10,$R$1,""))))</f>
        <v>2022 3rd Domestic Trial</v>
      </c>
      <c r="O10" s="14" t="str">
        <f>IF(MAX(CU10:CV10)&gt;0,MAX(CU10:CV10),"")</f>
        <v/>
      </c>
      <c r="P10" s="19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>IF(SUM(S10,W10)&gt;0,SUM(S10,W10),"")</f>
        <v/>
      </c>
      <c r="AN10" s="78" t="str">
        <f>IF(SUM(R10:S10,U10:W10,Y10)-T10-X10&gt;0,SUM(R10:S10,U10:W10,Y10)-T10-X10,"")</f>
        <v/>
      </c>
      <c r="AO10" s="78" t="str">
        <f>IF(SUM(Z10:AA10,AC10)-AB10&gt;0,SUM(Z10:AA10,AC10)-AB10,"")</f>
        <v/>
      </c>
      <c r="AP10" s="78" t="str">
        <f>IF(SUM(AE10,AI10)&gt;0,SUM(AE10,AI10),"")</f>
        <v/>
      </c>
      <c r="AQ10" s="78" t="str">
        <f>IF(SUM(AD10:AE10,AG10:AI10,AK10)-SUM(AF10,AJ10)&gt;0,SUM(AD10:AE10,AG10:AI10,AK10)-SUM(AF10,AJ10),"")</f>
        <v/>
      </c>
      <c r="AR10" s="78" t="str">
        <f>IF(SUM(AN10,AQ10)&gt;0,SUM(AN10,AQ10),"")</f>
        <v/>
      </c>
      <c r="AS10" s="25">
        <v>16.5</v>
      </c>
      <c r="AT10" s="25">
        <v>4.5999999999999996</v>
      </c>
      <c r="AU10" s="25">
        <v>0.2</v>
      </c>
      <c r="AV10" s="25">
        <v>0.6</v>
      </c>
      <c r="AW10" s="25">
        <v>16.5</v>
      </c>
      <c r="AX10" s="25">
        <v>4.8</v>
      </c>
      <c r="AY10" s="25">
        <v>0.4</v>
      </c>
      <c r="AZ10" s="25">
        <v>0.6</v>
      </c>
      <c r="BA10" s="25"/>
      <c r="BB10" s="25"/>
      <c r="BC10" s="25"/>
      <c r="BD10" s="25"/>
      <c r="BE10" s="25">
        <v>15.9</v>
      </c>
      <c r="BF10" s="25">
        <v>5.2</v>
      </c>
      <c r="BG10" s="25">
        <v>0.2</v>
      </c>
      <c r="BH10" s="25">
        <v>0.6</v>
      </c>
      <c r="BI10" s="25">
        <v>16.100000000000001</v>
      </c>
      <c r="BJ10" s="25">
        <v>5</v>
      </c>
      <c r="BK10" s="25">
        <v>0</v>
      </c>
      <c r="BL10" s="25">
        <v>0.6</v>
      </c>
      <c r="BM10" s="45"/>
      <c r="BN10" s="19">
        <f>IF(SUM(AT10,AX10)&gt;0,SUM(AT10,AX10),"")</f>
        <v>9.3999999999999986</v>
      </c>
      <c r="BO10" s="19">
        <f>IF(SUM(AS10:AT10,AV10:AX10,AZ10)-AU10-AY10&gt;0,SUM(AS10:AT10,AV10:AX10,AZ10)-AU10-AY10,"")</f>
        <v>43</v>
      </c>
      <c r="BP10" s="19" t="str">
        <f>IF(SUM(BA10:BB10,BD10)-BC10&gt;0,SUM(BA10:BB10,BD10)-BC10,"")</f>
        <v/>
      </c>
      <c r="BQ10" s="19">
        <f>IF(SUM(BF10,BJ10)&gt;0,SUM(BF10,BJ10),"")</f>
        <v>10.199999999999999</v>
      </c>
      <c r="BR10" s="19">
        <f>IF(SUM(BE10:BF10,BH10:BJ10,BL10)-SUM(BG10,BK10)&gt;0,SUM(BE10:BF10,BH10:BJ10,BL10)-SUM(BG10,BK10),"")</f>
        <v>43.2</v>
      </c>
      <c r="BS10" s="19">
        <f>IF(SUM(BO10,BR10)&gt;0,SUM(BO10,BR10),"")</f>
        <v>86.2</v>
      </c>
      <c r="BT10" s="26">
        <v>14.3</v>
      </c>
      <c r="BU10" s="26">
        <v>5.5</v>
      </c>
      <c r="BV10" s="26">
        <v>0.2</v>
      </c>
      <c r="BW10" s="26">
        <v>0.6</v>
      </c>
      <c r="BX10" s="26">
        <v>15.7</v>
      </c>
      <c r="BY10" s="26">
        <v>5.2</v>
      </c>
      <c r="BZ10" s="26">
        <v>0.4</v>
      </c>
      <c r="CA10" s="26">
        <v>0.6</v>
      </c>
      <c r="CB10" s="26"/>
      <c r="CC10" s="26"/>
      <c r="CD10" s="26"/>
      <c r="CE10" s="26"/>
      <c r="CF10" s="26">
        <v>15.2</v>
      </c>
      <c r="CG10" s="26">
        <v>5.7</v>
      </c>
      <c r="CH10" s="26">
        <v>0.2</v>
      </c>
      <c r="CI10" s="26">
        <v>0.6</v>
      </c>
      <c r="CJ10" s="26">
        <v>16.5</v>
      </c>
      <c r="CK10" s="26">
        <v>5.2</v>
      </c>
      <c r="CL10" s="26">
        <v>0.2</v>
      </c>
      <c r="CM10" s="26">
        <v>0.6</v>
      </c>
      <c r="CN10" s="44"/>
      <c r="CO10" s="78">
        <f>IF(SUM(BU10,BY10)&gt;0,SUM(BU10,BY10),"")</f>
        <v>10.7</v>
      </c>
      <c r="CP10" s="78">
        <f>IF(SUM(BT10:BU10,BW10:BY10,CA10)-BV10-BZ10&gt;0,SUM(BT10:BU10,BW10:BY10,CA10)-BV10-BZ10,"")</f>
        <v>41.300000000000004</v>
      </c>
      <c r="CQ10" s="78" t="str">
        <f>IF(SUM(CB10:CC10,CE10)-CD10&gt;0,SUM(CB10:CC10,CE10)-CD10,"")</f>
        <v/>
      </c>
      <c r="CR10" s="78">
        <f>IF(SUM(CG10,CK10)&gt;0,SUM(CG10,CK10),"")</f>
        <v>10.9</v>
      </c>
      <c r="CS10" s="78">
        <f>IF(SUM(CF10:CG10,CI10:CK10,CM10)-SUM(CH10,CL10)&gt;0,SUM(CF10:CG10,CI10:CK10,CM10)-SUM(CH10,CL10),"")</f>
        <v>43.400000000000006</v>
      </c>
      <c r="CT10" s="78">
        <f>IF(SUM(CP10,CS10)&gt;0,SUM(CP10,CS10),"")</f>
        <v>84.700000000000017</v>
      </c>
      <c r="CU10" s="79" t="str">
        <f>IF(K10&gt;=0.001,IF(MAX(DR10,ER10,FR10,GR10,HR10,IR10,JR10,KR10,LR10,MR10,NR10,OR10)-IF(K10="",0,K10)&gt;0.001,MAX(DR10,ER10,FR10,GR10,HR10,IR10,JR10,KR10,LR10,MR10,NR10,OR10)-IF(K10="",0,K10),""),"")</f>
        <v/>
      </c>
      <c r="CV10" s="79" t="str">
        <f>IF(M10&gt;=0.001,IF(MAX(DU10,EU10,FU10,GU10,HU10,IU10,JU10,KU10,LU10,MU10,NU10,OU10)-IF(M10="",0,M10)&gt;0.001,MAX(DU10,EU10,FU10,GU10,HU10,IU10,JU10,KU10,LU10,MU10,NU10,OU10)-IF(M10="",0,M10),""),"")</f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>IF(SUM(CX10,DB10)&gt;0,SUM(CX10,DB10),"")</f>
        <v/>
      </c>
      <c r="DR10" s="78" t="str">
        <f>IF(SUM(CW10:CX10,CZ10:DB10,DD10)-CY10-DC10&gt;0,SUM(CW10:CX10,CZ10:DB10,DD10)-CY10-DC10,"")</f>
        <v/>
      </c>
      <c r="DS10" s="78" t="str">
        <f>IF(SUM(DE10:DF10,DH10)-DG10&gt;0,SUM(DE10:DF10,DH10)-DG10,"")</f>
        <v/>
      </c>
      <c r="DT10" s="78" t="str">
        <f>IF(SUM(DJ10,DN10)&gt;0,SUM(DJ10,DN10),"")</f>
        <v/>
      </c>
      <c r="DU10" s="78" t="str">
        <f>IF(SUM(DI10:DJ10,DL10:DN10,DP10)-SUM(DK10,DO10)&gt;0,SUM(DI10:DJ10,DL10:DN10,DP10)-SUM(DK10,DO10),"")</f>
        <v/>
      </c>
      <c r="DV10" s="78" t="str">
        <f>IF(SUM(DR10,DU10)&gt;0,SUM(DR10,DU10),"")</f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>IF(SUM(DX10,EB10)&gt;0,SUM(DX10,EB10),"")</f>
        <v/>
      </c>
      <c r="ER10" s="19" t="str">
        <f>IF(SUM(DW10:DX10,DZ10:EB10,ED10)-DY10-EC10&gt;0,SUM(DW10:DX10,DZ10:EB10,ED10)-DY10-EC10,"")</f>
        <v/>
      </c>
      <c r="ES10" s="19" t="str">
        <f>IF(SUM(EE10:EF10,EH10)-EG10&gt;0,SUM(EE10:EF10,EH10)-EG10,"")</f>
        <v/>
      </c>
      <c r="ET10" s="19" t="str">
        <f>IF(SUM(EJ10,EN10)&gt;0,SUM(EJ10,EN10),"")</f>
        <v/>
      </c>
      <c r="EU10" s="19" t="str">
        <f>IF(SUM(EI10:EJ10,EL10:EN10,EP10)-SUM(EK10,EO10)&gt;0,SUM(EI10:EJ10,EL10:EN10,EP10)-SUM(EK10,EO10),"")</f>
        <v/>
      </c>
      <c r="EV10" s="19" t="str">
        <f>IF(SUM(ER10,EU10)&gt;0,SUM(ER10,EU10),"")</f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>IF(SUM(EX10,FB10)&gt;0,SUM(EX10,FB10),"")</f>
        <v/>
      </c>
      <c r="FR10" s="78" t="str">
        <f>IF(SUM(EW10:EX10,EZ10:FB10,FD10)-EY10-FC10&gt;0,SUM(EW10:EX10,EZ10:FB10,FD10)-EY10-FC10,"")</f>
        <v/>
      </c>
      <c r="FS10" s="78" t="str">
        <f>IF(SUM(FE10:FF10,FH10)-FG10&gt;0,SUM(FE10:FF10,FH10)-FG10,"")</f>
        <v/>
      </c>
      <c r="FT10" s="78" t="str">
        <f>IF(SUM(FJ10,FN10)&gt;0,SUM(FJ10,FN10),"")</f>
        <v/>
      </c>
      <c r="FU10" s="78" t="str">
        <f>IF(SUM(FI10:FJ10,FL10:FN10,FP10)-SUM(FK10,FO10)&gt;0,SUM(FI10:FJ10,FL10:FN10,FP10)-SUM(FK10,FO10),"")</f>
        <v/>
      </c>
      <c r="FV10" s="78" t="str">
        <f>IF(SUM(FR10,FU10)&gt;0,SUM(FR10,FU10),"")</f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>IF(SUM(FX10,GB10)&gt;0,SUM(FX10,GB10),"")</f>
        <v/>
      </c>
      <c r="GR10" s="19" t="str">
        <f>IF(SUM(FW10:FX10,FZ10:GB10,GD10)-FY10-GC10&gt;0,SUM(FW10:FX10,FZ10:GB10,GD10)-FY10-GC10,"")</f>
        <v/>
      </c>
      <c r="GS10" s="19" t="str">
        <f>IF(SUM(GE10:GF10,GH10)-GG10&gt;0,SUM(GE10:GF10,GH10)-GG10,"")</f>
        <v/>
      </c>
      <c r="GT10" s="19" t="str">
        <f>IF(SUM(GJ10,GN10)&gt;0,SUM(GJ10,GN10),"")</f>
        <v/>
      </c>
      <c r="GU10" s="19" t="str">
        <f>IF(SUM(GI10:GJ10,GL10:GN10,GP10)-SUM(GK10,GO10)&gt;0,SUM(GI10:GJ10,GL10:GN10,GP10)-SUM(GK10,GO10),"")</f>
        <v/>
      </c>
      <c r="GV10" s="19" t="str">
        <f>IF(SUM(GR10,GU10)&gt;0,SUM(GR10,GU10),"")</f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>IF(SUM(GX10,HB10)&gt;0,SUM(GX10,HB10),"")</f>
        <v/>
      </c>
      <c r="HR10" s="78" t="str">
        <f>IF(SUM(GW10:GX10,GZ10:HB10,HD10)-GY10-HC10&gt;0,SUM(GW10:GX10,GZ10:HB10,HD10)-GY10-HC10,"")</f>
        <v/>
      </c>
      <c r="HS10" s="78" t="str">
        <f>IF(SUM(HE10:HF10,HH10)-HG10&gt;0,SUM(HE10:HF10,HH10)-HG10,"")</f>
        <v/>
      </c>
      <c r="HT10" s="78" t="str">
        <f>IF(SUM(HJ10,HN10)&gt;0,SUM(HJ10,HN10),"")</f>
        <v/>
      </c>
      <c r="HU10" s="78" t="str">
        <f>IF(SUM(HI10:HJ10,HL10:HN10,HP10)-SUM(HK10,HO10)&gt;0,SUM(HI10:HJ10,HL10:HN10,HP10)-SUM(HK10,HO10),"")</f>
        <v/>
      </c>
      <c r="HV10" s="78" t="str">
        <f>IF(SUM(HR10,HU10)&gt;0,SUM(HR10,HU10),"")</f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>IF(SUM(HX10,IB10)&gt;0,SUM(HX10,IB10),"")</f>
        <v/>
      </c>
      <c r="IR10" s="19" t="str">
        <f>IF(SUM(HW10:HX10,HZ10:IB10,ID10)-HY10-IC10&gt;0,SUM(HW10:HX10,HZ10:IB10,ID10)-HY10-IC10,"")</f>
        <v/>
      </c>
      <c r="IS10" s="19" t="str">
        <f>IF(SUM(IE10:IF10,IH10)-IG10&gt;0,SUM(IE10:IF10,IH10)-IG10,"")</f>
        <v/>
      </c>
      <c r="IT10" s="19" t="str">
        <f>IF(SUM(IJ10,IN10)&gt;0,SUM(IJ10,IN10),"")</f>
        <v/>
      </c>
      <c r="IU10" s="19" t="str">
        <f>IF(SUM(II10:IJ10,IL10:IN10,IP10)-SUM(IK10,IO10)&gt;0,SUM(II10:IJ10,IL10:IN10,IP10)-SUM(IK10,IO10),"")</f>
        <v/>
      </c>
      <c r="IV10" s="19" t="str">
        <f>IF(SUM(IR10,IU10)&gt;0,SUM(IR10,IU10),"")</f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>IF(SUM(IX10,JB10)&gt;0,SUM(IX10,JB10),"")</f>
        <v/>
      </c>
      <c r="JR10" s="78" t="str">
        <f>IF(SUM(IW10:IX10,IZ10:JB10,JD10)-IY10-JC10&gt;0,SUM(IW10:IX10,IZ10:JB10,JD10)-IY10-JC10,"")</f>
        <v/>
      </c>
      <c r="JS10" s="78" t="str">
        <f>IF(SUM(JE10:JF10,JH10)-JG10&gt;0,SUM(JE10:JF10,JH10)-JG10,"")</f>
        <v/>
      </c>
      <c r="JT10" s="78" t="str">
        <f>IF(SUM(JJ10,JN10)&gt;0,SUM(JJ10,JN10),"")</f>
        <v/>
      </c>
      <c r="JU10" s="78" t="str">
        <f>IF(SUM(JI10:JJ10,JL10:JN10,JP10)-SUM(JK10,JO10)&gt;0,SUM(JI10:JJ10,JL10:JN10,JP10)-SUM(JK10,JO10),"")</f>
        <v/>
      </c>
      <c r="JV10" s="78" t="str">
        <f>IF(SUM(JR10,JU10)&gt;0,SUM(JR10,JU10),"")</f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>IF(SUM(JX10,KB10)&gt;0,SUM(JX10,KB10),"")</f>
        <v/>
      </c>
      <c r="KR10" s="19" t="str">
        <f>IF(SUM(JW10:JX10,JZ10:KB10,KD10)-JY10-KC10&gt;0,SUM(JW10:JX10,JZ10:KB10,KD10)-JY10-KC10,"")</f>
        <v/>
      </c>
      <c r="KS10" s="19" t="str">
        <f>IF(SUM(KE10:KF10,KH10)-KG10&gt;0,SUM(KE10:KF10,KH10)-KG10,"")</f>
        <v/>
      </c>
      <c r="KT10" s="19" t="str">
        <f>IF(SUM(KJ10,KN10)&gt;0,SUM(KJ10,KN10),"")</f>
        <v/>
      </c>
      <c r="KU10" s="19" t="str">
        <f>IF(SUM(KI10:KJ10,KL10:KN10,KP10)-SUM(KK10,KO10)&gt;0,SUM(KI10:KJ10,KL10:KN10,KP10)-SUM(KK10,KO10),"")</f>
        <v/>
      </c>
      <c r="KV10" s="19" t="str">
        <f>IF(SUM(KR10,KU10)&gt;0,SUM(KR10,KU10),"")</f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>IF(SUM(KX10,LB10)&gt;0,SUM(KX10,LB10),"")</f>
        <v/>
      </c>
      <c r="LR10" s="78" t="str">
        <f>IF(SUM(KW10:KX10,KZ10:LB10,LD10)-KY10-LC10&gt;0,SUM(KW10:KX10,KZ10:LB10,LD10)-KY10-LC10,"")</f>
        <v/>
      </c>
      <c r="LS10" s="78" t="str">
        <f>IF(SUM(LE10:LF10,LH10)-LG10&gt;0,SUM(LE10:LF10,LH10)-LG10,"")</f>
        <v/>
      </c>
      <c r="LT10" s="78" t="str">
        <f>IF(SUM(LJ10,LN10)&gt;0,SUM(LJ10,LN10),"")</f>
        <v/>
      </c>
      <c r="LU10" s="78" t="str">
        <f>IF(SUM(LI10:LJ10,LL10:LN10,LP10)-SUM(LK10,LO10)&gt;0,SUM(LI10:LJ10,LL10:LN10,LP10)-SUM(LK10,LO10),"")</f>
        <v/>
      </c>
      <c r="LV10" s="78" t="str">
        <f>IF(SUM(LR10,LU10)&gt;0,SUM(LR10,LU10),"")</f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>IF(SUM(LX10,MB10)&gt;0,SUM(LX10,MB10),"")</f>
        <v/>
      </c>
      <c r="MR10" s="19" t="str">
        <f>IF(SUM(LW10:LX10,LZ10:MB10,MD10)-LY10-MC10&gt;0,SUM(LW10:LX10,LZ10:MB10,MD10)-LY10-MC10,"")</f>
        <v/>
      </c>
      <c r="MS10" s="19" t="str">
        <f>IF(SUM(ME10:MF10,MH10)-MG10&gt;0,SUM(ME10:MF10,MH10)-MG10,"")</f>
        <v/>
      </c>
      <c r="MT10" s="19" t="str">
        <f>IF(SUM(MJ10,MN10)&gt;0,SUM(MJ10,MN10),"")</f>
        <v/>
      </c>
      <c r="MU10" s="19" t="str">
        <f>IF(SUM(MI10:MJ10,ML10:MN10,MP10)-SUM(MK10,MO10)&gt;0,SUM(MI10:MJ10,ML10:MN10,MP10)-SUM(MK10,MO10),"")</f>
        <v/>
      </c>
      <c r="MV10" s="19" t="str">
        <f>IF(SUM(MR10,MU10)&gt;0,SUM(MR10,MU10),"")</f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>IF(SUM(MX10,NB10)&gt;0,SUM(MX10,NB10),"")</f>
        <v/>
      </c>
      <c r="NR10" s="78" t="str">
        <f>IF(SUM(MW10:MX10,MZ10:NB10,ND10)-MY10-NC10&gt;0,SUM(MW10:MX10,MZ10:NB10,ND10)-MY10-NC10,"")</f>
        <v/>
      </c>
      <c r="NS10" s="78" t="str">
        <f>IF(SUM(NE10:NF10,NH10)-NG10&gt;0,SUM(NE10:NF10,NH10)-NG10,"")</f>
        <v/>
      </c>
      <c r="NT10" s="78" t="str">
        <f>IF(SUM(NJ10,NN10)&gt;0,SUM(NJ10,NN10),"")</f>
        <v/>
      </c>
      <c r="NU10" s="78" t="str">
        <f>IF(SUM(NI10:NJ10,NL10:NN10,NP10)-SUM(NK10,NO10)&gt;0,SUM(NI10:NJ10,NL10:NN10,NP10)-SUM(NK10,NO10),"")</f>
        <v/>
      </c>
      <c r="NV10" s="78" t="str">
        <f>IF(SUM(NR10,NU10)&gt;0,SUM(NR10,NU10),"")</f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>IF(SUM(NX10,OB10)&gt;0,SUM(NX10,OB10),"")</f>
        <v/>
      </c>
      <c r="OR10" s="19" t="str">
        <f>IF(SUM(NW10:NX10,NZ10:OB10,OD10)-NY10-OC10&gt;0,SUM(NW10:NX10,NZ10:OB10,OD10)-NY10-OC10,"")</f>
        <v/>
      </c>
      <c r="OS10" s="19" t="str">
        <f>IF(SUM(OE10:OF10,OH10)-OG10&gt;0,SUM(OE10:OF10,OH10)-OG10,"")</f>
        <v/>
      </c>
      <c r="OT10" s="19" t="str">
        <f>IF(SUM(OJ10,ON10)&gt;0,SUM(OJ10,ON10),"")</f>
        <v/>
      </c>
      <c r="OU10" s="19" t="str">
        <f>IF(SUM(OI10:OJ10,OL10:ON10,OP10)-SUM(OK10,OO10)&gt;0,SUM(OI10:OJ10,OL10:ON10,OP10)-SUM(OK10,OO10),"")</f>
        <v/>
      </c>
      <c r="OV10" s="19" t="str">
        <f>IF(SUM(OR10,OU10)&gt;0,SUM(OR10,OU10),"")</f>
        <v/>
      </c>
      <c r="OW10" s="37">
        <f>IF($CN10="P",BT10,(BT10+AS10)/2)</f>
        <v>15.4</v>
      </c>
      <c r="OX10" s="37">
        <f>IF($CN10="P",BU10,(BU10+AT10)/2)</f>
        <v>5.05</v>
      </c>
      <c r="OY10" s="37">
        <f>IF($CN10="P",BV10,(BV10+AU10)/2)</f>
        <v>0.2</v>
      </c>
      <c r="OZ10" s="37">
        <f>IF($CN10="P",BW10,(BW10+AV10)/2)</f>
        <v>0.6</v>
      </c>
      <c r="PA10" s="37">
        <f>IF($CN10="P",BX10,(BX10+AW10)/2)</f>
        <v>16.100000000000001</v>
      </c>
      <c r="PB10" s="37">
        <f>IF($CN10="P",BY10,(BY10+AX10)/2)</f>
        <v>5</v>
      </c>
      <c r="PC10" s="37">
        <f>IF($CN10="P",BZ10,(BZ10+AY10)/2)</f>
        <v>0.4</v>
      </c>
      <c r="PD10" s="37">
        <f>IF($CN10="P",CA10,(CA10+AZ10)/2)</f>
        <v>0.6</v>
      </c>
      <c r="PE10" s="37">
        <f>IF($CN10="P",CB10,(CB10+BA10)/2)</f>
        <v>0</v>
      </c>
      <c r="PF10" s="37">
        <f>IF($CN10="P",CC10,(CC10+BB10)/2)</f>
        <v>0</v>
      </c>
      <c r="PG10" s="37">
        <f>IF($CN10="P",CD10,(CD10+BC10)/2)</f>
        <v>0</v>
      </c>
      <c r="PH10" s="37">
        <f>IF($CN10="P",CE10,(CE10+BD10)/2)</f>
        <v>0</v>
      </c>
      <c r="PI10" s="37">
        <f>IF($CN10="P",CF10,(CF10+BE10)/2)</f>
        <v>15.55</v>
      </c>
      <c r="PJ10" s="37">
        <f>IF($CN10="P",CG10,(CG10+BF10)/2)</f>
        <v>5.45</v>
      </c>
      <c r="PK10" s="37">
        <f>IF($CN10="P",CH10,(CH10+BG10)/2)</f>
        <v>0.2</v>
      </c>
      <c r="PL10" s="37">
        <f>IF($CN10="P",CI10,(CI10+BH10)/2)</f>
        <v>0.6</v>
      </c>
      <c r="PM10" s="37">
        <f>IF($CN10="P",CJ10,(CJ10+BI10)/2)</f>
        <v>16.3</v>
      </c>
      <c r="PN10" s="37">
        <f>IF($CN10="P",CK10,(CK10+BJ10)/2)</f>
        <v>5.0999999999999996</v>
      </c>
      <c r="PO10" s="37">
        <f>IF($CN10="P",CL10,(CL10+BK10)/2)</f>
        <v>0.1</v>
      </c>
      <c r="PP10" s="37">
        <f>IF($CN10="P",CM10,(CM10+BL10)/2)</f>
        <v>0.6</v>
      </c>
      <c r="PQ10" s="44" t="s">
        <v>46</v>
      </c>
      <c r="PR10" s="78">
        <f>IF(SUM(OX10,PB10)&gt;0,SUM(OX10,PB10),"")</f>
        <v>10.050000000000001</v>
      </c>
      <c r="PS10" s="78">
        <f>IF(SUM(OW10:OX10,OZ10:PB10,PD10)-OY10-PC10&gt;0,SUM(OW10:OX10,OZ10:PB10,PD10)-OY10-PC10,"")</f>
        <v>42.150000000000006</v>
      </c>
      <c r="PT10" s="78" t="str">
        <f>IF(SUM(PE10:PF10,PH10)-PG10&gt;0,SUM(PE10:PF10,PH10)-PG10,"")</f>
        <v/>
      </c>
      <c r="PU10" s="78">
        <f>IF(SUM(PJ10,PN10)&gt;0,SUM(PJ10,PN10),"")</f>
        <v>10.55</v>
      </c>
      <c r="PV10" s="78">
        <f>IF(SUM(PI10:PJ10,PL10:PN10,PP10)-SUM(PK10,PO10)&gt;0,SUM(PI10:PJ10,PL10:PN10,PP10)-SUM(PK10,PO10),"")</f>
        <v>43.300000000000011</v>
      </c>
      <c r="PW10" s="78">
        <f>IF(SUM(PS10,PV10)&gt;0,SUM(PS10,PV10),"")</f>
        <v>85.450000000000017</v>
      </c>
    </row>
    <row r="11" spans="1:439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77" t="s">
        <v>74</v>
      </c>
      <c r="C11" s="5" t="s">
        <v>4</v>
      </c>
      <c r="D11" s="5">
        <v>2003</v>
      </c>
      <c r="E11" s="15">
        <f>SUM(I11:O11)+SUM(I11:M11)*0.0000001+SUM(I11)*0.0000000000001</f>
        <v>126.10001261000419</v>
      </c>
      <c r="F11" s="3" t="str">
        <f>IF(OR(AND(AM11&gt;=AR$18,AN11&gt;=AR$22,AM11&lt;&gt;"",AL11=""),AND(AP11&gt;=AR$18,AQ11&gt;=AR$22,AP11&lt;&gt;"",AL11=""),AND(BN11&gt;=BS$18,BO11&gt;=BS$22,BN11&lt;&gt;"",BM11=""),AND(BQ11&gt;=BS$18,BR11&gt;=BS$22,BQ11&lt;&gt;"",BM11=""),AND(CO11&gt;=CT$18,CP11&gt;=CT$22,CO11&lt;&gt;"",CN11=""),AND(CR11&gt;=CT$18,CS11&gt;=CT$22,CR11&lt;&gt;""),AND(DQ11&gt;=DV$18,DR11&gt;=DV$22,DQ11&lt;&gt;""),AND(DT11&gt;=DV$18,DU11&gt;=DV$22,DT11&lt;&gt;""),AND(EQ11&gt;=EV$18,ER11&gt;=EV$22,EQ11&lt;&gt;""),AND(ET11&gt;=EV$18,EU11&gt;=EV$22,ET11&lt;&gt;""),AND(FQ11&gt;=FV$18,FR11&gt;=FV$22,FQ11&lt;&gt;""),AND(FT11&gt;=FV$18,FU11&gt;=FV$22,FT11&lt;&gt;""),AND(GQ11&gt;=GV$18,GR11&gt;=GV$22,GQ11&lt;&gt;""),AND(GT11&gt;=GV$18,GU11&gt;=GV$22,GT11&lt;&gt;""),AND(HQ11&gt;=HV$18,HR11&gt;=HV$22,HQ11&lt;&gt;""),AND(HT11&gt;=HV$18,HU11&gt;=HV$22,HT11&lt;&gt;""),AND(IQ11&gt;=IV$18,IR11&gt;=IV$22,IQ11&lt;&gt;""),AND(IT11&gt;=IV$18,IU11&gt;=IV$22,IT11&lt;&gt;""),AND(JQ11&gt;=JV$18,JR11&gt;=JV$22,JQ11&lt;&gt;""),AND(JT11&gt;=JV$18,JU11&gt;=JV$22,JT11&lt;&gt;""),AND(KQ11&gt;=KV$18,KR11&gt;=KV$22,KQ11&lt;&gt;""),AND(KT11&gt;=KV$18,KU11&gt;=KV$22,KT11&lt;&gt;""),AND(LQ11&gt;=LV$18,LR11&gt;=LV$22,LQ11&lt;&gt;""),AND(LT11&gt;=LV$18,LU11&gt;=LV$22,LT11&lt;&gt;""),AND(MQ11&gt;=MV$18,MR11&gt;=MV$22,MQ11&lt;&gt;""),AND(MT11&gt;=MV$18,MU11&gt;=MV$22,MT11&lt;&gt;""),AND(NQ11&gt;=NV$18,NR11&gt;=NV$22,NQ11&lt;&gt;""),AND(NT11&gt;=NV$18,NU11&gt;=NV$22,NT11&lt;&gt;""),AND(OQ11&gt;=OV$18,OR11&gt;=OV$22,OQ11&lt;&gt;""),AND(OT11&gt;=OV$18,OU11&gt;=OV$22,OT11&lt;&gt;"")),"P","")</f>
        <v/>
      </c>
      <c r="G11" s="3" t="str">
        <f>IF(OR(AND(AN11&gt;=AR$22,AN11&lt;&gt;"",AL11=""),AND(AQ11&gt;=AR$22,AQ11&lt;&gt;"",AL11=""),AND(BO11&gt;=BS$22,BO11&lt;&gt;"",BM11=""),AND(BR11&gt;=BS$22,BR11&lt;&gt;"",BM11=""),AND(CP11&gt;=CT$22,CP11&lt;&gt;"",CN11=""),AND(CS11&gt;=CT$22,CS11&lt;&gt;"",CN11=""),AND(DR11&gt;=DV$22,DR11&lt;&gt;""),AND(DU11&gt;=DV$22,DU11&lt;&gt;""),AND(ER11&gt;=EV$22,ER11&lt;&gt;""),AND(EU11&gt;=EV$22,EU11&lt;&gt;""),AND(FR11&gt;=FV$22,FR11&lt;&gt;""),AND(FU11&gt;=FV$22,FU11&lt;&gt;""),AND(GR11&gt;=GV$22,GR11&lt;&gt;""),AND(GU11&gt;=GV$22,GU11&lt;&gt;""),AND(HR11&gt;=HV$22,HR11&lt;&gt;""),AND(HU11&gt;=HV$22,HU11&lt;&gt;""),AND(IR11&gt;=IV$22,IR11&lt;&gt;""),AND(IU11&gt;=IV$22,IU11&lt;&gt;""),AND(JR11&gt;=JV$22,JR11&lt;&gt;""),AND(JU11&gt;=JV$22,JU11&lt;&gt;""),AND(KR11&gt;=KV$22,KR11&lt;&gt;""),AND(KU11&gt;=KV$22,KU11&lt;&gt;""),AND(LR11&gt;=LV$22,LR11&lt;&gt;""),AND(LU11&gt;=LV$22,LU11&lt;&gt;""),AND(MR11&gt;=MV$22,MR11&lt;&gt;""),AND(MU11&gt;=MV$22,MU11&lt;&gt;""),AND(NR11&gt;=NV$22,NR11&lt;&gt;""),AND(NU11&gt;=NV$22,NU11&lt;&gt;""),AND(OR11&gt;=OV$22,OR11&lt;&gt;""),AND(OU11&gt;=OV$22,OU11&lt;&gt;"")),"P","")</f>
        <v/>
      </c>
      <c r="H11" s="66" t="str">
        <f>IF(AND(G11="P",F11=""),"No DD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Merit",IF(OR(AND(AM11&gt;=AR$20,AN11&gt;=AR$24,AM11&lt;&gt;"",AL11=""),AND(AP11&gt;=AR$20,AQ11&gt;=AR$24,AP11&lt;&gt;"",AL11=""),AND(BN11&gt;=BS$20,BO11&gt;=BS$24,BN11&lt;&gt;"",BM11=""),AND(BQ11&gt;=BS$20,BR11&gt;=BS$24,BQ11&lt;&gt;"",BM11=""),AND(CO11&gt;=CT$20,CP11&gt;=CT$24,CO11&lt;&gt;"",CN11=""),AND(CR11&gt;=CT$20,CS11&gt;=CT$24,CR11&lt;&gt;""),AND(DQ11&gt;=DV$20,DR11&gt;=DV$24,DQ11&lt;&gt;""),AND(DT11&gt;=DV$20,DU11&gt;=DV$24,DT11&lt;&gt;""),AND(EQ11&gt;=EV$20,ER11&gt;=EV$24,EQ11&lt;&gt;""),AND(ET11&gt;=EV$20,EU11&gt;=EV$24,ET11&lt;&gt;""),AND(FQ11&gt;=FV$20,FR11&gt;=FV$24,FQ11&lt;&gt;""),AND(FT11&gt;=FV$20,FU11&gt;=FV$24,FT11&lt;&gt;""),AND(GQ11&gt;=GV$20,GR11&gt;=GV$24,GQ11&lt;&gt;""),AND(GT11&gt;=GV$20,GU11&gt;=GV$24,GT11&lt;&gt;""),AND(HQ11&gt;=HV$20,HR11&gt;=HV$24,HQ11&lt;&gt;""),AND(HT11&gt;=HV$20,HU11&gt;=HV$24,HT11&lt;&gt;""),AND(IQ11&gt;=IV$20,IR11&gt;=IV$24,IQ11&lt;&gt;""),AND(IT11&gt;=IV$20,IU11&gt;=IV$24,IT11&lt;&gt;""),AND(JQ11&gt;=JV$20,JR11&gt;=JV$24,JQ11&lt;&gt;""),AND(JT11&gt;=JV$20,JU11&gt;=JV$24,JT11&lt;&gt;""),AND(KQ11&gt;=KV$20,KR11&gt;=KV$24,KQ11&lt;&gt;""),AND(KT11&gt;=KV$20,KU11&gt;=KV$24,KT11&lt;&gt;""),AND(LQ11&gt;=LV$20,LR11&gt;=LV$24,LQ11&lt;&gt;""),AND(LT11&gt;=LV$20,LU11&gt;=LV$24,LT11&lt;&gt;""),AND(MQ11&gt;=MV$20,MR11&gt;=MV$24,MQ11&lt;&gt;""),AND(MT11&gt;=MV$20,MU11&gt;=MV$24,MT11&lt;&gt;""),AND(NQ11&gt;=NV$20,NR11&gt;=NV$24,NQ11&lt;&gt;""),AND(NT11&gt;=NV$20,NU11&gt;=NV$24,NT11&lt;&gt;""),AND(OQ11&gt;=OV$20,OR11&gt;=OV$24,OQ11&lt;&gt;""),AND(OT11&gt;=OV$20,OU11&gt;=OV$24,OT11&lt;&gt;"")),"Excellence",IF(F11="P","National Team",""))))</f>
        <v/>
      </c>
      <c r="I11" s="14">
        <f>IF(COUNT(AN11,BO11,CP11)&gt;0,LARGE((AN11,BO11,CP11),1),0)</f>
        <v>41.6</v>
      </c>
      <c r="J11" s="14" t="str">
        <f>IF(I11=0,"",IF(I11=CP11,$BT$1,IF(I11=BO11,$AS$1,IF(I11=AN11,$R$1,""))))</f>
        <v>2022 Elite Canada</v>
      </c>
      <c r="K11" s="14">
        <f>IF(COUNT(AN11,BO11,CP11)&gt;1,LARGE((AN11,BO11,CP11),2),0)</f>
        <v>40.800000000000004</v>
      </c>
      <c r="L11" s="14" t="str">
        <f>IF(K11=0,"",IF(K11=CP11,$BT$1,IF(K11=BO11,$AS$1,IF(K11=AN11,$R$1,""))))</f>
        <v>2022 Nationals</v>
      </c>
      <c r="M11" s="14">
        <f>IF(MAX(AQ11,BR11,CS11)&gt;0,MAX(AQ11,BR11,CS11),0)</f>
        <v>43.70000000000001</v>
      </c>
      <c r="N11" s="14" t="str">
        <f>IF(M11=0,"",IF(M11=CS11,$BT$1,IF(M11=BR11,$AS$1,IF(M11=AQ11,$R$1,""))))</f>
        <v>2022 Nationals</v>
      </c>
      <c r="O11" s="14" t="str">
        <f>IF(MAX(CU11:CV11)&gt;0,MAX(CU11:CV11),"")</f>
        <v/>
      </c>
      <c r="P11" s="19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6">
        <v>15.4</v>
      </c>
      <c r="S11" s="26">
        <v>5.0999999999999996</v>
      </c>
      <c r="T11" s="26">
        <v>0</v>
      </c>
      <c r="U11" s="26">
        <v>0.3</v>
      </c>
      <c r="V11" s="26">
        <v>15.2</v>
      </c>
      <c r="W11" s="26">
        <v>5</v>
      </c>
      <c r="X11" s="26">
        <v>0</v>
      </c>
      <c r="Y11" s="26">
        <v>0.6</v>
      </c>
      <c r="Z11" s="26"/>
      <c r="AA11" s="26"/>
      <c r="AB11" s="26"/>
      <c r="AC11" s="26"/>
      <c r="AD11" s="26">
        <v>15.7</v>
      </c>
      <c r="AE11" s="26">
        <v>4.2</v>
      </c>
      <c r="AF11" s="26">
        <v>0.4</v>
      </c>
      <c r="AG11" s="26">
        <v>0.3</v>
      </c>
      <c r="AH11" s="26">
        <v>16.7</v>
      </c>
      <c r="AI11" s="26">
        <v>3.6</v>
      </c>
      <c r="AJ11" s="26">
        <v>0</v>
      </c>
      <c r="AK11" s="26">
        <v>0</v>
      </c>
      <c r="AL11" s="44"/>
      <c r="AM11" s="78">
        <f>IF(SUM(S11,W11)&gt;0,SUM(S11,W11),"")</f>
        <v>10.1</v>
      </c>
      <c r="AN11" s="78">
        <f>IF(SUM(R11:S11,U11:W11,Y11)-T11-X11&gt;0,SUM(R11:S11,U11:W11,Y11)-T11-X11,"")</f>
        <v>41.6</v>
      </c>
      <c r="AO11" s="78" t="str">
        <f>IF(SUM(Z11:AA11,AC11)-AB11&gt;0,SUM(Z11:AA11,AC11)-AB11,"")</f>
        <v/>
      </c>
      <c r="AP11" s="78">
        <f>IF(SUM(AE11,AI11)&gt;0,SUM(AE11,AI11),"")</f>
        <v>7.8000000000000007</v>
      </c>
      <c r="AQ11" s="78">
        <f>IF(SUM(AD11:AE11,AG11:AI11,AK11)-SUM(AF11,AJ11)&gt;0,SUM(AD11:AE11,AG11:AI11,AK11)-SUM(AF11,AJ11),"")</f>
        <v>40.1</v>
      </c>
      <c r="AR11" s="78">
        <f>IF(SUM(AN11,AQ11)&gt;0,SUM(AN11,AQ11),"")</f>
        <v>81.7</v>
      </c>
      <c r="AS11" s="25">
        <v>16.600000000000001</v>
      </c>
      <c r="AT11" s="25">
        <v>5.0999999999999996</v>
      </c>
      <c r="AU11" s="25">
        <v>0</v>
      </c>
      <c r="AV11" s="25">
        <v>0.3</v>
      </c>
      <c r="AW11" s="25">
        <v>14.9</v>
      </c>
      <c r="AX11" s="25">
        <v>3.3</v>
      </c>
      <c r="AY11" s="25">
        <v>0</v>
      </c>
      <c r="AZ11" s="25">
        <v>0.6</v>
      </c>
      <c r="BA11" s="25"/>
      <c r="BB11" s="25"/>
      <c r="BC11" s="25"/>
      <c r="BD11" s="25"/>
      <c r="BE11" s="25">
        <v>16.600000000000001</v>
      </c>
      <c r="BF11" s="25">
        <v>5.0999999999999996</v>
      </c>
      <c r="BG11" s="25">
        <v>0</v>
      </c>
      <c r="BH11" s="25">
        <v>0.3</v>
      </c>
      <c r="BI11" s="25">
        <v>16.100000000000001</v>
      </c>
      <c r="BJ11" s="25">
        <v>5</v>
      </c>
      <c r="BK11" s="25">
        <v>0</v>
      </c>
      <c r="BL11" s="25">
        <v>0.6</v>
      </c>
      <c r="BM11" s="45"/>
      <c r="BN11" s="19">
        <f>IF(SUM(AT11,AX11)&gt;0,SUM(AT11,AX11),"")</f>
        <v>8.3999999999999986</v>
      </c>
      <c r="BO11" s="19">
        <f>IF(SUM(AS11:AT11,AV11:AX11,AZ11)-AU11-AY11&gt;0,SUM(AS11:AT11,AV11:AX11,AZ11)-AU11-AY11,"")</f>
        <v>40.800000000000004</v>
      </c>
      <c r="BP11" s="19" t="str">
        <f>IF(SUM(BA11:BB11,BD11)-BC11&gt;0,SUM(BA11:BB11,BD11)-BC11,"")</f>
        <v/>
      </c>
      <c r="BQ11" s="19">
        <f>IF(SUM(BF11,BJ11)&gt;0,SUM(BF11,BJ11),"")</f>
        <v>10.1</v>
      </c>
      <c r="BR11" s="19">
        <f>IF(SUM(BE11:BF11,BH11:BJ11,BL11)-SUM(BG11,BK11)&gt;0,SUM(BE11:BF11,BH11:BJ11,BL11)-SUM(BG11,BK11),"")</f>
        <v>43.70000000000001</v>
      </c>
      <c r="BS11" s="19">
        <f>IF(SUM(BO11,BR11)&gt;0,SUM(BO11,BR11),"")</f>
        <v>84.500000000000014</v>
      </c>
      <c r="BT11" s="26">
        <v>15.3</v>
      </c>
      <c r="BU11" s="26">
        <v>5.7</v>
      </c>
      <c r="BV11" s="26">
        <v>0</v>
      </c>
      <c r="BW11" s="26">
        <v>0.6</v>
      </c>
      <c r="BX11" s="26">
        <v>14.5</v>
      </c>
      <c r="BY11" s="26">
        <v>2.9</v>
      </c>
      <c r="BZ11" s="26">
        <v>0</v>
      </c>
      <c r="CA11" s="26">
        <v>0.3</v>
      </c>
      <c r="CB11" s="26"/>
      <c r="CC11" s="26"/>
      <c r="CD11" s="26"/>
      <c r="CE11" s="26"/>
      <c r="CF11" s="26">
        <v>14.8</v>
      </c>
      <c r="CG11" s="26">
        <v>2.9</v>
      </c>
      <c r="CH11" s="26">
        <v>0</v>
      </c>
      <c r="CI11" s="26">
        <v>0.3</v>
      </c>
      <c r="CJ11" s="26">
        <v>15.5</v>
      </c>
      <c r="CK11" s="26">
        <v>5</v>
      </c>
      <c r="CL11" s="26">
        <v>0</v>
      </c>
      <c r="CM11" s="26">
        <v>0.6</v>
      </c>
      <c r="CN11" s="44"/>
      <c r="CO11" s="78">
        <f>IF(SUM(BU11,BY11)&gt;0,SUM(BU11,BY11),"")</f>
        <v>8.6</v>
      </c>
      <c r="CP11" s="78">
        <f>IF(SUM(BT11:BU11,BW11:BY11,CA11)-BV11-BZ11&gt;0,SUM(BT11:BU11,BW11:BY11,CA11)-BV11-BZ11,"")</f>
        <v>39.299999999999997</v>
      </c>
      <c r="CQ11" s="78" t="str">
        <f>IF(SUM(CB11:CC11,CE11)-CD11&gt;0,SUM(CB11:CC11,CE11)-CD11,"")</f>
        <v/>
      </c>
      <c r="CR11" s="78">
        <f>IF(SUM(CG11,CK11)&gt;0,SUM(CG11,CK11),"")</f>
        <v>7.9</v>
      </c>
      <c r="CS11" s="78">
        <f>IF(SUM(CF11:CG11,CI11:CK11,CM11)-SUM(CH11,CL11)&gt;0,SUM(CF11:CG11,CI11:CK11,CM11)-SUM(CH11,CL11),"")</f>
        <v>39.1</v>
      </c>
      <c r="CT11" s="78">
        <f>IF(SUM(CP11,CS11)&gt;0,SUM(CP11,CS11),"")</f>
        <v>78.400000000000006</v>
      </c>
      <c r="CU11" s="79" t="str">
        <f>IF(K11&gt;=0.001,IF(MAX(DR11,ER11,FR11,GR11,HR11,IR11,JR11,KR11,LR11,MR11,NR11,OR11)-IF(K11="",0,K11)&gt;0.001,MAX(DR11,ER11,FR11,GR11,HR11,IR11,JR11,KR11,LR11,MR11,NR11,OR11)-IF(K11="",0,K11),""),"")</f>
        <v/>
      </c>
      <c r="CV11" s="79" t="str">
        <f>IF(M11&gt;=0.001,IF(MAX(DU11,EU11,FU11,GU11,HU11,IU11,JU11,KU11,LU11,MU11,NU11,OU11)-IF(M11="",0,M11)&gt;0.001,MAX(DU11,EU11,FU11,GU11,HU11,IU11,JU11,KU11,LU11,MU11,NU11,OU11)-IF(M11="",0,M11),""),"")</f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>IF(SUM(CX11,DB11)&gt;0,SUM(CX11,DB11),"")</f>
        <v/>
      </c>
      <c r="DR11" s="78" t="str">
        <f>IF(SUM(CW11:CX11,CZ11:DB11,DD11)-CY11-DC11&gt;0,SUM(CW11:CX11,CZ11:DB11,DD11)-CY11-DC11,"")</f>
        <v/>
      </c>
      <c r="DS11" s="78" t="str">
        <f>IF(SUM(DE11:DF11,DH11)-DG11&gt;0,SUM(DE11:DF11,DH11)-DG11,"")</f>
        <v/>
      </c>
      <c r="DT11" s="78" t="str">
        <f>IF(SUM(DJ11,DN11)&gt;0,SUM(DJ11,DN11),"")</f>
        <v/>
      </c>
      <c r="DU11" s="78" t="str">
        <f>IF(SUM(DI11:DJ11,DL11:DN11,DP11)-SUM(DK11,DO11)&gt;0,SUM(DI11:DJ11,DL11:DN11,DP11)-SUM(DK11,DO11),"")</f>
        <v/>
      </c>
      <c r="DV11" s="78" t="str">
        <f>IF(SUM(DR11,DU11)&gt;0,SUM(DR11,DU11),"")</f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>IF(SUM(DX11,EB11)&gt;0,SUM(DX11,EB11),"")</f>
        <v/>
      </c>
      <c r="ER11" s="19" t="str">
        <f>IF(SUM(DW11:DX11,DZ11:EB11,ED11)-DY11-EC11&gt;0,SUM(DW11:DX11,DZ11:EB11,ED11)-DY11-EC11,"")</f>
        <v/>
      </c>
      <c r="ES11" s="19" t="str">
        <f>IF(SUM(EE11:EF11,EH11)-EG11&gt;0,SUM(EE11:EF11,EH11)-EG11,"")</f>
        <v/>
      </c>
      <c r="ET11" s="19" t="str">
        <f>IF(SUM(EJ11,EN11)&gt;0,SUM(EJ11,EN11),"")</f>
        <v/>
      </c>
      <c r="EU11" s="19" t="str">
        <f>IF(SUM(EI11:EJ11,EL11:EN11,EP11)-SUM(EK11,EO11)&gt;0,SUM(EI11:EJ11,EL11:EN11,EP11)-SUM(EK11,EO11),"")</f>
        <v/>
      </c>
      <c r="EV11" s="19" t="str">
        <f>IF(SUM(ER11,EU11)&gt;0,SUM(ER11,EU11),"")</f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>IF(SUM(EX11,FB11)&gt;0,SUM(EX11,FB11),"")</f>
        <v/>
      </c>
      <c r="FR11" s="78" t="str">
        <f>IF(SUM(EW11:EX11,EZ11:FB11,FD11)-EY11-FC11&gt;0,SUM(EW11:EX11,EZ11:FB11,FD11)-EY11-FC11,"")</f>
        <v/>
      </c>
      <c r="FS11" s="78" t="str">
        <f>IF(SUM(FE11:FF11,FH11)-FG11&gt;0,SUM(FE11:FF11,FH11)-FG11,"")</f>
        <v/>
      </c>
      <c r="FT11" s="78" t="str">
        <f>IF(SUM(FJ11,FN11)&gt;0,SUM(FJ11,FN11),"")</f>
        <v/>
      </c>
      <c r="FU11" s="78" t="str">
        <f>IF(SUM(FI11:FJ11,FL11:FN11,FP11)-SUM(FK11,FO11)&gt;0,SUM(FI11:FJ11,FL11:FN11,FP11)-SUM(FK11,FO11),"")</f>
        <v/>
      </c>
      <c r="FV11" s="78" t="str">
        <f>IF(SUM(FR11,FU11)&gt;0,SUM(FR11,FU11),"")</f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>IF(SUM(FX11,GB11)&gt;0,SUM(FX11,GB11),"")</f>
        <v/>
      </c>
      <c r="GR11" s="19" t="str">
        <f>IF(SUM(FW11:FX11,FZ11:GB11,GD11)-FY11-GC11&gt;0,SUM(FW11:FX11,FZ11:GB11,GD11)-FY11-GC11,"")</f>
        <v/>
      </c>
      <c r="GS11" s="19" t="str">
        <f>IF(SUM(GE11:GF11,GH11)-GG11&gt;0,SUM(GE11:GF11,GH11)-GG11,"")</f>
        <v/>
      </c>
      <c r="GT11" s="19" t="str">
        <f>IF(SUM(GJ11,GN11)&gt;0,SUM(GJ11,GN11),"")</f>
        <v/>
      </c>
      <c r="GU11" s="19" t="str">
        <f>IF(SUM(GI11:GJ11,GL11:GN11,GP11)-SUM(GK11,GO11)&gt;0,SUM(GI11:GJ11,GL11:GN11,GP11)-SUM(GK11,GO11),"")</f>
        <v/>
      </c>
      <c r="GV11" s="19" t="str">
        <f>IF(SUM(GR11,GU11)&gt;0,SUM(GR11,GU11),"")</f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>IF(SUM(GX11,HB11)&gt;0,SUM(GX11,HB11),"")</f>
        <v/>
      </c>
      <c r="HR11" s="78" t="str">
        <f>IF(SUM(GW11:GX11,GZ11:HB11,HD11)-GY11-HC11&gt;0,SUM(GW11:GX11,GZ11:HB11,HD11)-GY11-HC11,"")</f>
        <v/>
      </c>
      <c r="HS11" s="78" t="str">
        <f>IF(SUM(HE11:HF11,HH11)-HG11&gt;0,SUM(HE11:HF11,HH11)-HG11,"")</f>
        <v/>
      </c>
      <c r="HT11" s="78" t="str">
        <f>IF(SUM(HJ11,HN11)&gt;0,SUM(HJ11,HN11),"")</f>
        <v/>
      </c>
      <c r="HU11" s="78" t="str">
        <f>IF(SUM(HI11:HJ11,HL11:HN11,HP11)-SUM(HK11,HO11)&gt;0,SUM(HI11:HJ11,HL11:HN11,HP11)-SUM(HK11,HO11),"")</f>
        <v/>
      </c>
      <c r="HV11" s="78" t="str">
        <f>IF(SUM(HR11,HU11)&gt;0,SUM(HR11,HU11),"")</f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>IF(SUM(HX11,IB11)&gt;0,SUM(HX11,IB11),"")</f>
        <v/>
      </c>
      <c r="IR11" s="19" t="str">
        <f>IF(SUM(HW11:HX11,HZ11:IB11,ID11)-HY11-IC11&gt;0,SUM(HW11:HX11,HZ11:IB11,ID11)-HY11-IC11,"")</f>
        <v/>
      </c>
      <c r="IS11" s="19" t="str">
        <f>IF(SUM(IE11:IF11,IH11)-IG11&gt;0,SUM(IE11:IF11,IH11)-IG11,"")</f>
        <v/>
      </c>
      <c r="IT11" s="19" t="str">
        <f>IF(SUM(IJ11,IN11)&gt;0,SUM(IJ11,IN11),"")</f>
        <v/>
      </c>
      <c r="IU11" s="19" t="str">
        <f>IF(SUM(II11:IJ11,IL11:IN11,IP11)-SUM(IK11,IO11)&gt;0,SUM(II11:IJ11,IL11:IN11,IP11)-SUM(IK11,IO11),"")</f>
        <v/>
      </c>
      <c r="IV11" s="19" t="str">
        <f>IF(SUM(IR11,IU11)&gt;0,SUM(IR11,IU11),"")</f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>IF(SUM(IX11,JB11)&gt;0,SUM(IX11,JB11),"")</f>
        <v/>
      </c>
      <c r="JR11" s="78" t="str">
        <f>IF(SUM(IW11:IX11,IZ11:JB11,JD11)-IY11-JC11&gt;0,SUM(IW11:IX11,IZ11:JB11,JD11)-IY11-JC11,"")</f>
        <v/>
      </c>
      <c r="JS11" s="78" t="str">
        <f>IF(SUM(JE11:JF11,JH11)-JG11&gt;0,SUM(JE11:JF11,JH11)-JG11,"")</f>
        <v/>
      </c>
      <c r="JT11" s="78" t="str">
        <f>IF(SUM(JJ11,JN11)&gt;0,SUM(JJ11,JN11),"")</f>
        <v/>
      </c>
      <c r="JU11" s="78" t="str">
        <f>IF(SUM(JI11:JJ11,JL11:JN11,JP11)-SUM(JK11,JO11)&gt;0,SUM(JI11:JJ11,JL11:JN11,JP11)-SUM(JK11,JO11),"")</f>
        <v/>
      </c>
      <c r="JV11" s="78" t="str">
        <f>IF(SUM(JR11,JU11)&gt;0,SUM(JR11,JU11),"")</f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>IF(SUM(JX11,KB11)&gt;0,SUM(JX11,KB11),"")</f>
        <v/>
      </c>
      <c r="KR11" s="19" t="str">
        <f>IF(SUM(JW11:JX11,JZ11:KB11,KD11)-JY11-KC11&gt;0,SUM(JW11:JX11,JZ11:KB11,KD11)-JY11-KC11,"")</f>
        <v/>
      </c>
      <c r="KS11" s="19" t="str">
        <f>IF(SUM(KE11:KF11,KH11)-KG11&gt;0,SUM(KE11:KF11,KH11)-KG11,"")</f>
        <v/>
      </c>
      <c r="KT11" s="19" t="str">
        <f>IF(SUM(KJ11,KN11)&gt;0,SUM(KJ11,KN11),"")</f>
        <v/>
      </c>
      <c r="KU11" s="19" t="str">
        <f>IF(SUM(KI11:KJ11,KL11:KN11,KP11)-SUM(KK11,KO11)&gt;0,SUM(KI11:KJ11,KL11:KN11,KP11)-SUM(KK11,KO11),"")</f>
        <v/>
      </c>
      <c r="KV11" s="19" t="str">
        <f>IF(SUM(KR11,KU11)&gt;0,SUM(KR11,KU11),"")</f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>IF(SUM(KX11,LB11)&gt;0,SUM(KX11,LB11),"")</f>
        <v/>
      </c>
      <c r="LR11" s="78" t="str">
        <f>IF(SUM(KW11:KX11,KZ11:LB11,LD11)-KY11-LC11&gt;0,SUM(KW11:KX11,KZ11:LB11,LD11)-KY11-LC11,"")</f>
        <v/>
      </c>
      <c r="LS11" s="78" t="str">
        <f>IF(SUM(LE11:LF11,LH11)-LG11&gt;0,SUM(LE11:LF11,LH11)-LG11,"")</f>
        <v/>
      </c>
      <c r="LT11" s="78" t="str">
        <f>IF(SUM(LJ11,LN11)&gt;0,SUM(LJ11,LN11),"")</f>
        <v/>
      </c>
      <c r="LU11" s="78" t="str">
        <f>IF(SUM(LI11:LJ11,LL11:LN11,LP11)-SUM(LK11,LO11)&gt;0,SUM(LI11:LJ11,LL11:LN11,LP11)-SUM(LK11,LO11),"")</f>
        <v/>
      </c>
      <c r="LV11" s="78" t="str">
        <f>IF(SUM(LR11,LU11)&gt;0,SUM(LR11,LU11),"")</f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>IF(SUM(LX11,MB11)&gt;0,SUM(LX11,MB11),"")</f>
        <v/>
      </c>
      <c r="MR11" s="19" t="str">
        <f>IF(SUM(LW11:LX11,LZ11:MB11,MD11)-LY11-MC11&gt;0,SUM(LW11:LX11,LZ11:MB11,MD11)-LY11-MC11,"")</f>
        <v/>
      </c>
      <c r="MS11" s="19" t="str">
        <f>IF(SUM(ME11:MF11,MH11)-MG11&gt;0,SUM(ME11:MF11,MH11)-MG11,"")</f>
        <v/>
      </c>
      <c r="MT11" s="19" t="str">
        <f>IF(SUM(MJ11,MN11)&gt;0,SUM(MJ11,MN11),"")</f>
        <v/>
      </c>
      <c r="MU11" s="19" t="str">
        <f>IF(SUM(MI11:MJ11,ML11:MN11,MP11)-SUM(MK11,MO11)&gt;0,SUM(MI11:MJ11,ML11:MN11,MP11)-SUM(MK11,MO11),"")</f>
        <v/>
      </c>
      <c r="MV11" s="19" t="str">
        <f>IF(SUM(MR11,MU11)&gt;0,SUM(MR11,MU11),"")</f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>IF(SUM(MX11,NB11)&gt;0,SUM(MX11,NB11),"")</f>
        <v/>
      </c>
      <c r="NR11" s="78" t="str">
        <f>IF(SUM(MW11:MX11,MZ11:NB11,ND11)-MY11-NC11&gt;0,SUM(MW11:MX11,MZ11:NB11,ND11)-MY11-NC11,"")</f>
        <v/>
      </c>
      <c r="NS11" s="78" t="str">
        <f>IF(SUM(NE11:NF11,NH11)-NG11&gt;0,SUM(NE11:NF11,NH11)-NG11,"")</f>
        <v/>
      </c>
      <c r="NT11" s="78" t="str">
        <f>IF(SUM(NJ11,NN11)&gt;0,SUM(NJ11,NN11),"")</f>
        <v/>
      </c>
      <c r="NU11" s="78" t="str">
        <f>IF(SUM(NI11:NJ11,NL11:NN11,NP11)-SUM(NK11,NO11)&gt;0,SUM(NI11:NJ11,NL11:NN11,NP11)-SUM(NK11,NO11),"")</f>
        <v/>
      </c>
      <c r="NV11" s="78" t="str">
        <f>IF(SUM(NR11,NU11)&gt;0,SUM(NR11,NU11),"")</f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>IF(SUM(NX11,OB11)&gt;0,SUM(NX11,OB11),"")</f>
        <v/>
      </c>
      <c r="OR11" s="19" t="str">
        <f>IF(SUM(NW11:NX11,NZ11:OB11,OD11)-NY11-OC11&gt;0,SUM(NW11:NX11,NZ11:OB11,OD11)-NY11-OC11,"")</f>
        <v/>
      </c>
      <c r="OS11" s="19" t="str">
        <f>IF(SUM(OE11:OF11,OH11)-OG11&gt;0,SUM(OE11:OF11,OH11)-OG11,"")</f>
        <v/>
      </c>
      <c r="OT11" s="19" t="str">
        <f>IF(SUM(OJ11,ON11)&gt;0,SUM(OJ11,ON11),"")</f>
        <v/>
      </c>
      <c r="OU11" s="19" t="str">
        <f>IF(SUM(OI11:OJ11,OL11:ON11,OP11)-SUM(OK11,OO11)&gt;0,SUM(OI11:OJ11,OL11:ON11,OP11)-SUM(OK11,OO11),"")</f>
        <v/>
      </c>
      <c r="OV11" s="19" t="str">
        <f>IF(SUM(OR11,OU11)&gt;0,SUM(OR11,OU11),"")</f>
        <v/>
      </c>
      <c r="OW11" s="37">
        <f>IF($CN11="P",BT11,(BT11+AS11)/2)</f>
        <v>15.950000000000001</v>
      </c>
      <c r="OX11" s="37">
        <f>IF($CN11="P",BU11,(BU11+AT11)/2)</f>
        <v>5.4</v>
      </c>
      <c r="OY11" s="37">
        <f>IF($CN11="P",BV11,(BV11+AU11)/2)</f>
        <v>0</v>
      </c>
      <c r="OZ11" s="37">
        <f>IF($CN11="P",BW11,(BW11+AV11)/2)</f>
        <v>0.44999999999999996</v>
      </c>
      <c r="PA11" s="37">
        <f>IF($CN11="P",BX11,(BX11+AW11)/2)</f>
        <v>14.7</v>
      </c>
      <c r="PB11" s="37">
        <f>IF($CN11="P",BY11,(BY11+AX11)/2)</f>
        <v>3.0999999999999996</v>
      </c>
      <c r="PC11" s="37">
        <f>IF($CN11="P",BZ11,(BZ11+AY11)/2)</f>
        <v>0</v>
      </c>
      <c r="PD11" s="37">
        <f>IF($CN11="P",CA11,(CA11+AZ11)/2)</f>
        <v>0.44999999999999996</v>
      </c>
      <c r="PE11" s="37">
        <f>IF($CN11="P",CB11,(CB11+BA11)/2)</f>
        <v>0</v>
      </c>
      <c r="PF11" s="37">
        <f>IF($CN11="P",CC11,(CC11+BB11)/2)</f>
        <v>0</v>
      </c>
      <c r="PG11" s="37">
        <f>IF($CN11="P",CD11,(CD11+BC11)/2)</f>
        <v>0</v>
      </c>
      <c r="PH11" s="37">
        <f>IF($CN11="P",CE11,(CE11+BD11)/2)</f>
        <v>0</v>
      </c>
      <c r="PI11" s="37">
        <f>IF($CN11="P",CF11,(CF11+BE11)/2)</f>
        <v>15.700000000000001</v>
      </c>
      <c r="PJ11" s="37">
        <f>IF($CN11="P",CG11,(CG11+BF11)/2)</f>
        <v>4</v>
      </c>
      <c r="PK11" s="37">
        <f>IF($CN11="P",CH11,(CH11+BG11)/2)</f>
        <v>0</v>
      </c>
      <c r="PL11" s="37">
        <f>IF($CN11="P",CI11,(CI11+BH11)/2)</f>
        <v>0.3</v>
      </c>
      <c r="PM11" s="37">
        <f>IF($CN11="P",CJ11,(CJ11+BI11)/2)</f>
        <v>15.8</v>
      </c>
      <c r="PN11" s="37">
        <f>IF($CN11="P",CK11,(CK11+BJ11)/2)</f>
        <v>5</v>
      </c>
      <c r="PO11" s="37">
        <f>IF($CN11="P",CL11,(CL11+BK11)/2)</f>
        <v>0</v>
      </c>
      <c r="PP11" s="37">
        <f>IF($CN11="P",CM11,(CM11+BL11)/2)</f>
        <v>0.6</v>
      </c>
      <c r="PQ11" s="44" t="s">
        <v>46</v>
      </c>
      <c r="PR11" s="78">
        <f>IF(SUM(OX11,PB11)&gt;0,SUM(OX11,PB11),"")</f>
        <v>8.5</v>
      </c>
      <c r="PS11" s="78">
        <f>IF(SUM(OW11:OX11,OZ11:PB11,PD11)-OY11-PC11&gt;0,SUM(OW11:OX11,OZ11:PB11,PD11)-OY11-PC11,"")</f>
        <v>40.050000000000004</v>
      </c>
      <c r="PT11" s="78" t="str">
        <f>IF(SUM(PE11:PF11,PH11)-PG11&gt;0,SUM(PE11:PF11,PH11)-PG11,"")</f>
        <v/>
      </c>
      <c r="PU11" s="78">
        <f>IF(SUM(PJ11,PN11)&gt;0,SUM(PJ11,PN11),"")</f>
        <v>9</v>
      </c>
      <c r="PV11" s="78">
        <f>IF(SUM(PI11:PJ11,PL11:PN11,PP11)-SUM(PK11,PO11)&gt;0,SUM(PI11:PJ11,PL11:PN11,PP11)-SUM(PK11,PO11),"")</f>
        <v>41.400000000000006</v>
      </c>
      <c r="PW11" s="78">
        <f>IF(SUM(PS11,PV11)&gt;0,SUM(PS11,PV11),"")</f>
        <v>81.450000000000017</v>
      </c>
    </row>
    <row r="12" spans="1:439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77" t="s">
        <v>114</v>
      </c>
      <c r="C12" s="5" t="s">
        <v>4</v>
      </c>
      <c r="D12" s="5">
        <v>2004</v>
      </c>
      <c r="E12" s="15">
        <f>SUM(I12:O12)+SUM(I12:M12)*0.0000001+SUM(I12)*0.0000000000001</f>
        <v>124.2000124200043</v>
      </c>
      <c r="F12" s="3" t="str">
        <f>IF(OR(AND(AM12&gt;=AR$18,AN12&gt;=AR$22,AM12&lt;&gt;"",AL12=""),AND(AP12&gt;=AR$18,AQ12&gt;=AR$22,AP12&lt;&gt;"",AL12=""),AND(BN12&gt;=BS$18,BO12&gt;=BS$22,BN12&lt;&gt;"",BM12=""),AND(BQ12&gt;=BS$18,BR12&gt;=BS$22,BQ12&lt;&gt;"",BM12=""),AND(CO12&gt;=CT$18,CP12&gt;=CT$22,CO12&lt;&gt;"",CN12=""),AND(CR12&gt;=CT$18,CS12&gt;=CT$22,CR12&lt;&gt;""),AND(DQ12&gt;=DV$18,DR12&gt;=DV$22,DQ12&lt;&gt;""),AND(DT12&gt;=DV$18,DU12&gt;=DV$22,DT12&lt;&gt;""),AND(EQ12&gt;=EV$18,ER12&gt;=EV$22,EQ12&lt;&gt;""),AND(ET12&gt;=EV$18,EU12&gt;=EV$22,ET12&lt;&gt;""),AND(FQ12&gt;=FV$18,FR12&gt;=FV$22,FQ12&lt;&gt;""),AND(FT12&gt;=FV$18,FU12&gt;=FV$22,FT12&lt;&gt;""),AND(GQ12&gt;=GV$18,GR12&gt;=GV$22,GQ12&lt;&gt;""),AND(GT12&gt;=GV$18,GU12&gt;=GV$22,GT12&lt;&gt;""),AND(HQ12&gt;=HV$18,HR12&gt;=HV$22,HQ12&lt;&gt;""),AND(HT12&gt;=HV$18,HU12&gt;=HV$22,HT12&lt;&gt;""),AND(IQ12&gt;=IV$18,IR12&gt;=IV$22,IQ12&lt;&gt;""),AND(IT12&gt;=IV$18,IU12&gt;=IV$22,IT12&lt;&gt;""),AND(JQ12&gt;=JV$18,JR12&gt;=JV$22,JQ12&lt;&gt;""),AND(JT12&gt;=JV$18,JU12&gt;=JV$22,JT12&lt;&gt;""),AND(KQ12&gt;=KV$18,KR12&gt;=KV$22,KQ12&lt;&gt;""),AND(KT12&gt;=KV$18,KU12&gt;=KV$22,KT12&lt;&gt;""),AND(LQ12&gt;=LV$18,LR12&gt;=LV$22,LQ12&lt;&gt;""),AND(LT12&gt;=LV$18,LU12&gt;=LV$22,LT12&lt;&gt;""),AND(MQ12&gt;=MV$18,MR12&gt;=MV$22,MQ12&lt;&gt;""),AND(MT12&gt;=MV$18,MU12&gt;=MV$22,MT12&lt;&gt;""),AND(NQ12&gt;=NV$18,NR12&gt;=NV$22,NQ12&lt;&gt;""),AND(NT12&gt;=NV$18,NU12&gt;=NV$22,NT12&lt;&gt;""),AND(OQ12&gt;=OV$18,OR12&gt;=OV$22,OQ12&lt;&gt;""),AND(OT12&gt;=OV$18,OU12&gt;=OV$22,OT12&lt;&gt;"")),"P","")</f>
        <v/>
      </c>
      <c r="G12" s="3" t="str">
        <f>IF(OR(AND(AN12&gt;=AR$22,AN12&lt;&gt;"",AL12=""),AND(AQ12&gt;=AR$22,AQ12&lt;&gt;"",AL12=""),AND(BO12&gt;=BS$22,BO12&lt;&gt;"",BM12=""),AND(BR12&gt;=BS$22,BR12&lt;&gt;"",BM12=""),AND(CP12&gt;=CT$22,CP12&lt;&gt;"",CN12=""),AND(CS12&gt;=CT$22,CS12&lt;&gt;"",CN12=""),AND(DR12&gt;=DV$22,DR12&lt;&gt;""),AND(DU12&gt;=DV$22,DU12&lt;&gt;""),AND(ER12&gt;=EV$22,ER12&lt;&gt;""),AND(EU12&gt;=EV$22,EU12&lt;&gt;""),AND(FR12&gt;=FV$22,FR12&lt;&gt;""),AND(FU12&gt;=FV$22,FU12&lt;&gt;""),AND(GR12&gt;=GV$22,GR12&lt;&gt;""),AND(GU12&gt;=GV$22,GU12&lt;&gt;""),AND(HR12&gt;=HV$22,HR12&lt;&gt;""),AND(HU12&gt;=HV$22,HU12&lt;&gt;""),AND(IR12&gt;=IV$22,IR12&lt;&gt;""),AND(IU12&gt;=IV$22,IU12&lt;&gt;""),AND(JR12&gt;=JV$22,JR12&lt;&gt;""),AND(JU12&gt;=JV$22,JU12&lt;&gt;""),AND(KR12&gt;=KV$22,KR12&lt;&gt;""),AND(KU12&gt;=KV$22,KU12&lt;&gt;""),AND(LR12&gt;=LV$22,LR12&lt;&gt;""),AND(LU12&gt;=LV$22,LU12&lt;&gt;""),AND(MR12&gt;=MV$22,MR12&lt;&gt;""),AND(MU12&gt;=MV$22,MU12&lt;&gt;""),AND(NR12&gt;=NV$22,NR12&lt;&gt;""),AND(NU12&gt;=NV$22,NU12&lt;&gt;""),AND(OR12&gt;=OV$22,OR12&lt;&gt;""),AND(OU12&gt;=OV$22,OU12&lt;&gt;"")),"P","")</f>
        <v/>
      </c>
      <c r="H12" s="66" t="str">
        <f>IF(AND(G12="P",F12=""),"No DD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Merit",IF(OR(AND(AM12&gt;=AR$20,AN12&gt;=AR$24,AM12&lt;&gt;"",AL12=""),AND(AP12&gt;=AR$20,AQ12&gt;=AR$24,AP12&lt;&gt;"",AL12=""),AND(BN12&gt;=BS$20,BO12&gt;=BS$24,BN12&lt;&gt;"",BM12=""),AND(BQ12&gt;=BS$20,BR12&gt;=BS$24,BQ12&lt;&gt;"",BM12=""),AND(CO12&gt;=CT$20,CP12&gt;=CT$24,CO12&lt;&gt;"",CN12=""),AND(CR12&gt;=CT$20,CS12&gt;=CT$24,CR12&lt;&gt;""),AND(DQ12&gt;=DV$20,DR12&gt;=DV$24,DQ12&lt;&gt;""),AND(DT12&gt;=DV$20,DU12&gt;=DV$24,DT12&lt;&gt;""),AND(EQ12&gt;=EV$20,ER12&gt;=EV$24,EQ12&lt;&gt;""),AND(ET12&gt;=EV$20,EU12&gt;=EV$24,ET12&lt;&gt;""),AND(FQ12&gt;=FV$20,FR12&gt;=FV$24,FQ12&lt;&gt;""),AND(FT12&gt;=FV$20,FU12&gt;=FV$24,FT12&lt;&gt;""),AND(GQ12&gt;=GV$20,GR12&gt;=GV$24,GQ12&lt;&gt;""),AND(GT12&gt;=GV$20,GU12&gt;=GV$24,GT12&lt;&gt;""),AND(HQ12&gt;=HV$20,HR12&gt;=HV$24,HQ12&lt;&gt;""),AND(HT12&gt;=HV$20,HU12&gt;=HV$24,HT12&lt;&gt;""),AND(IQ12&gt;=IV$20,IR12&gt;=IV$24,IQ12&lt;&gt;""),AND(IT12&gt;=IV$20,IU12&gt;=IV$24,IT12&lt;&gt;""),AND(JQ12&gt;=JV$20,JR12&gt;=JV$24,JQ12&lt;&gt;""),AND(JT12&gt;=JV$20,JU12&gt;=JV$24,JT12&lt;&gt;""),AND(KQ12&gt;=KV$20,KR12&gt;=KV$24,KQ12&lt;&gt;""),AND(KT12&gt;=KV$20,KU12&gt;=KV$24,KT12&lt;&gt;""),AND(LQ12&gt;=LV$20,LR12&gt;=LV$24,LQ12&lt;&gt;""),AND(LT12&gt;=LV$20,LU12&gt;=LV$24,LT12&lt;&gt;""),AND(MQ12&gt;=MV$20,MR12&gt;=MV$24,MQ12&lt;&gt;""),AND(MT12&gt;=MV$20,MU12&gt;=MV$24,MT12&lt;&gt;""),AND(NQ12&gt;=NV$20,NR12&gt;=NV$24,NQ12&lt;&gt;""),AND(NT12&gt;=NV$20,NU12&gt;=NV$24,NT12&lt;&gt;""),AND(OQ12&gt;=OV$20,OR12&gt;=OV$24,OQ12&lt;&gt;""),AND(OT12&gt;=OV$20,OU12&gt;=OV$24,OT12&lt;&gt;"")),"Excellence",IF(F12="P","National Team",""))))</f>
        <v/>
      </c>
      <c r="I12" s="14">
        <f>IF(COUNT(AN12,BO12,CP12)&gt;0,LARGE((AN12,BO12,CP12),1),0)</f>
        <v>42.800000000000004</v>
      </c>
      <c r="J12" s="14" t="str">
        <f>IF(I12=0,"",IF(I12=CP12,$BT$1,IF(I12=BO12,$AS$1,IF(I12=AN12,$R$1,""))))</f>
        <v>2022 3rd Domestic Trial</v>
      </c>
      <c r="K12" s="14">
        <f>IF(COUNT(AN12,BO12,CP12)&gt;1,LARGE((AN12,BO12,CP12),2),0)</f>
        <v>42.400000000000006</v>
      </c>
      <c r="L12" s="14" t="str">
        <f>IF(K12=0,"",IF(K12=CP12,$BT$1,IF(K12=BO12,$AS$1,IF(K12=AN12,$R$1,""))))</f>
        <v>2022 Nationals</v>
      </c>
      <c r="M12" s="14">
        <f>IF(MAX(AQ12,BR12,CS12)&gt;0,MAX(AQ12,BR12,CS12),0)</f>
        <v>38.999999999999993</v>
      </c>
      <c r="N12" s="14" t="str">
        <f>IF(M12=0,"",IF(M12=CS12,$BT$1,IF(M12=BR12,$AS$1,IF(M12=AQ12,$R$1,""))))</f>
        <v>2022 Elite Canada</v>
      </c>
      <c r="O12" s="14" t="str">
        <f>IF(MAX(CU12:CV12)&gt;0,MAX(CU12:CV12),"")</f>
        <v/>
      </c>
      <c r="P12" s="19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6">
        <v>15.9</v>
      </c>
      <c r="S12" s="26">
        <v>4.5999999999999996</v>
      </c>
      <c r="T12" s="26">
        <v>0</v>
      </c>
      <c r="U12" s="26">
        <v>0.3</v>
      </c>
      <c r="V12" s="26">
        <v>15</v>
      </c>
      <c r="W12" s="26">
        <v>4.0999999999999996</v>
      </c>
      <c r="X12" s="26">
        <v>0</v>
      </c>
      <c r="Y12" s="26">
        <v>0.3</v>
      </c>
      <c r="Z12" s="26"/>
      <c r="AA12" s="26"/>
      <c r="AB12" s="26"/>
      <c r="AC12" s="26"/>
      <c r="AD12" s="26">
        <v>15.5</v>
      </c>
      <c r="AE12" s="26">
        <v>3.2</v>
      </c>
      <c r="AF12" s="26">
        <v>0.2</v>
      </c>
      <c r="AG12" s="26">
        <v>0</v>
      </c>
      <c r="AH12" s="26">
        <v>16.100000000000001</v>
      </c>
      <c r="AI12" s="26">
        <v>4.0999999999999996</v>
      </c>
      <c r="AJ12" s="26">
        <v>0</v>
      </c>
      <c r="AK12" s="26">
        <v>0.3</v>
      </c>
      <c r="AL12" s="44"/>
      <c r="AM12" s="78">
        <f>IF(SUM(S12,W12)&gt;0,SUM(S12,W12),"")</f>
        <v>8.6999999999999993</v>
      </c>
      <c r="AN12" s="78">
        <f>IF(SUM(R12:S12,U12:W12,Y12)-T12-X12&gt;0,SUM(R12:S12,U12:W12,Y12)-T12-X12,"")</f>
        <v>40.199999999999996</v>
      </c>
      <c r="AO12" s="78" t="str">
        <f>IF(SUM(Z12:AA12,AC12)-AB12&gt;0,SUM(Z12:AA12,AC12)-AB12,"")</f>
        <v/>
      </c>
      <c r="AP12" s="78">
        <f>IF(SUM(AE12,AI12)&gt;0,SUM(AE12,AI12),"")</f>
        <v>7.3</v>
      </c>
      <c r="AQ12" s="78">
        <f>IF(SUM(AD12:AE12,AG12:AI12,AK12)-SUM(AF12,AJ12)&gt;0,SUM(AD12:AE12,AG12:AI12,AK12)-SUM(AF12,AJ12),"")</f>
        <v>38.999999999999993</v>
      </c>
      <c r="AR12" s="78">
        <f>IF(SUM(AN12,AQ12)&gt;0,SUM(AN12,AQ12),"")</f>
        <v>79.199999999999989</v>
      </c>
      <c r="AS12" s="25">
        <v>16.3</v>
      </c>
      <c r="AT12" s="25">
        <v>5</v>
      </c>
      <c r="AU12" s="25">
        <v>0</v>
      </c>
      <c r="AV12" s="25">
        <v>0.6</v>
      </c>
      <c r="AW12" s="25">
        <v>15.5</v>
      </c>
      <c r="AX12" s="25">
        <v>5.0999999999999996</v>
      </c>
      <c r="AY12" s="25">
        <v>0.4</v>
      </c>
      <c r="AZ12" s="25">
        <v>0.3</v>
      </c>
      <c r="BA12" s="25"/>
      <c r="BB12" s="25"/>
      <c r="BC12" s="25"/>
      <c r="BD12" s="25"/>
      <c r="BE12" s="25">
        <v>14.6</v>
      </c>
      <c r="BF12" s="25">
        <v>4.5999999999999996</v>
      </c>
      <c r="BG12" s="25">
        <v>0</v>
      </c>
      <c r="BH12" s="25">
        <v>0.3</v>
      </c>
      <c r="BI12" s="25">
        <v>14.7</v>
      </c>
      <c r="BJ12" s="25">
        <v>2.9</v>
      </c>
      <c r="BK12" s="25">
        <v>0</v>
      </c>
      <c r="BL12" s="25">
        <v>0.3</v>
      </c>
      <c r="BM12" s="45"/>
      <c r="BN12" s="19">
        <f>IF(SUM(AT12,AX12)&gt;0,SUM(AT12,AX12),"")</f>
        <v>10.1</v>
      </c>
      <c r="BO12" s="19">
        <f>IF(SUM(AS12:AT12,AV12:AX12,AZ12)-AU12-AY12&gt;0,SUM(AS12:AT12,AV12:AX12,AZ12)-AU12-AY12,"")</f>
        <v>42.400000000000006</v>
      </c>
      <c r="BP12" s="19" t="str">
        <f>IF(SUM(BA12:BB12,BD12)-BC12&gt;0,SUM(BA12:BB12,BD12)-BC12,"")</f>
        <v/>
      </c>
      <c r="BQ12" s="19">
        <f>IF(SUM(BF12,BJ12)&gt;0,SUM(BF12,BJ12),"")</f>
        <v>7.5</v>
      </c>
      <c r="BR12" s="19">
        <f>IF(SUM(BE12:BF12,BH12:BJ12,BL12)-SUM(BG12,BK12)&gt;0,SUM(BE12:BF12,BH12:BJ12,BL12)-SUM(BG12,BK12),"")</f>
        <v>37.4</v>
      </c>
      <c r="BS12" s="19">
        <f>IF(SUM(BO12,BR12)&gt;0,SUM(BO12,BR12),"")</f>
        <v>79.800000000000011</v>
      </c>
      <c r="BT12" s="26">
        <v>16.3</v>
      </c>
      <c r="BU12" s="26">
        <v>5</v>
      </c>
      <c r="BV12" s="26">
        <v>0</v>
      </c>
      <c r="BW12" s="26">
        <v>0.6</v>
      </c>
      <c r="BX12" s="26">
        <v>15.5</v>
      </c>
      <c r="BY12" s="26">
        <v>5.0999999999999996</v>
      </c>
      <c r="BZ12" s="26">
        <v>0</v>
      </c>
      <c r="CA12" s="26">
        <v>0.3</v>
      </c>
      <c r="CB12" s="26"/>
      <c r="CC12" s="26"/>
      <c r="CD12" s="26"/>
      <c r="CE12" s="26"/>
      <c r="CF12" s="26">
        <v>13.68</v>
      </c>
      <c r="CG12" s="26">
        <v>4.0999999999999996</v>
      </c>
      <c r="CH12" s="26">
        <v>0.4</v>
      </c>
      <c r="CI12" s="26">
        <v>0.3</v>
      </c>
      <c r="CJ12" s="26">
        <v>15.1</v>
      </c>
      <c r="CK12" s="26">
        <v>2.9</v>
      </c>
      <c r="CL12" s="26">
        <v>0</v>
      </c>
      <c r="CM12" s="26">
        <v>0.3</v>
      </c>
      <c r="CN12" s="44"/>
      <c r="CO12" s="78">
        <f>IF(SUM(BU12,BY12)&gt;0,SUM(BU12,BY12),"")</f>
        <v>10.1</v>
      </c>
      <c r="CP12" s="78">
        <f>IF(SUM(BT12:BU12,BW12:BY12,CA12)-BV12-BZ12&gt;0,SUM(BT12:BU12,BW12:BY12,CA12)-BV12-BZ12,"")</f>
        <v>42.800000000000004</v>
      </c>
      <c r="CQ12" s="78" t="str">
        <f>IF(SUM(CB12:CC12,CE12)-CD12&gt;0,SUM(CB12:CC12,CE12)-CD12,"")</f>
        <v/>
      </c>
      <c r="CR12" s="78">
        <f>IF(SUM(CG12,CK12)&gt;0,SUM(CG12,CK12),"")</f>
        <v>7</v>
      </c>
      <c r="CS12" s="78">
        <f>IF(SUM(CF12:CG12,CI12:CK12,CM12)-SUM(CH12,CL12)&gt;0,SUM(CF12:CG12,CI12:CK12,CM12)-SUM(CH12,CL12),"")</f>
        <v>35.979999999999997</v>
      </c>
      <c r="CT12" s="78">
        <f>IF(SUM(CP12,CS12)&gt;0,SUM(CP12,CS12),"")</f>
        <v>78.78</v>
      </c>
      <c r="CU12" s="79" t="str">
        <f>IF(K12&gt;=0.001,IF(MAX(DR12,ER12,FR12,GR12,HR12,IR12,JR12,KR12,LR12,MR12,NR12,OR12)-IF(K12="",0,K12)&gt;0.001,MAX(DR12,ER12,FR12,GR12,HR12,IR12,JR12,KR12,LR12,MR12,NR12,OR12)-IF(K12="",0,K12),""),"")</f>
        <v/>
      </c>
      <c r="CV12" s="79" t="str">
        <f>IF(M12&gt;=0.001,IF(MAX(DU12,EU12,FU12,GU12,HU12,IU12,JU12,KU12,LU12,MU12,NU12,OU12)-IF(M12="",0,M12)&gt;0.001,MAX(DU12,EU12,FU12,GU12,HU12,IU12,JU12,KU12,LU12,MU12,NU12,OU12)-IF(M12="",0,M12),""),"")</f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>IF(SUM(CX12,DB12)&gt;0,SUM(CX12,DB12),"")</f>
        <v/>
      </c>
      <c r="DR12" s="78" t="str">
        <f>IF(SUM(CW12:CX12,CZ12:DB12,DD12)-CY12-DC12&gt;0,SUM(CW12:CX12,CZ12:DB12,DD12)-CY12-DC12,"")</f>
        <v/>
      </c>
      <c r="DS12" s="78" t="str">
        <f>IF(SUM(DE12:DF12,DH12)-DG12&gt;0,SUM(DE12:DF12,DH12)-DG12,"")</f>
        <v/>
      </c>
      <c r="DT12" s="78" t="str">
        <f>IF(SUM(DJ12,DN12)&gt;0,SUM(DJ12,DN12),"")</f>
        <v/>
      </c>
      <c r="DU12" s="78" t="str">
        <f>IF(SUM(DI12:DJ12,DL12:DN12,DP12)-SUM(DK12,DO12)&gt;0,SUM(DI12:DJ12,DL12:DN12,DP12)-SUM(DK12,DO12),"")</f>
        <v/>
      </c>
      <c r="DV12" s="78" t="str">
        <f>IF(SUM(DR12,DU12)&gt;0,SUM(DR12,DU12),"")</f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>IF(SUM(DX12,EB12)&gt;0,SUM(DX12,EB12),"")</f>
        <v/>
      </c>
      <c r="ER12" s="19" t="str">
        <f>IF(SUM(DW12:DX12,DZ12:EB12,ED12)-DY12-EC12&gt;0,SUM(DW12:DX12,DZ12:EB12,ED12)-DY12-EC12,"")</f>
        <v/>
      </c>
      <c r="ES12" s="19" t="str">
        <f>IF(SUM(EE12:EF12,EH12)-EG12&gt;0,SUM(EE12:EF12,EH12)-EG12,"")</f>
        <v/>
      </c>
      <c r="ET12" s="19" t="str">
        <f>IF(SUM(EJ12,EN12)&gt;0,SUM(EJ12,EN12),"")</f>
        <v/>
      </c>
      <c r="EU12" s="19" t="str">
        <f>IF(SUM(EI12:EJ12,EL12:EN12,EP12)-SUM(EK12,EO12)&gt;0,SUM(EI12:EJ12,EL12:EN12,EP12)-SUM(EK12,EO12),"")</f>
        <v/>
      </c>
      <c r="EV12" s="19" t="str">
        <f>IF(SUM(ER12,EU12)&gt;0,SUM(ER12,EU12),"")</f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>IF(SUM(EX12,FB12)&gt;0,SUM(EX12,FB12),"")</f>
        <v/>
      </c>
      <c r="FR12" s="78" t="str">
        <f>IF(SUM(EW12:EX12,EZ12:FB12,FD12)-EY12-FC12&gt;0,SUM(EW12:EX12,EZ12:FB12,FD12)-EY12-FC12,"")</f>
        <v/>
      </c>
      <c r="FS12" s="78" t="str">
        <f>IF(SUM(FE12:FF12,FH12)-FG12&gt;0,SUM(FE12:FF12,FH12)-FG12,"")</f>
        <v/>
      </c>
      <c r="FT12" s="78" t="str">
        <f>IF(SUM(FJ12,FN12)&gt;0,SUM(FJ12,FN12),"")</f>
        <v/>
      </c>
      <c r="FU12" s="78" t="str">
        <f>IF(SUM(FI12:FJ12,FL12:FN12,FP12)-SUM(FK12,FO12)&gt;0,SUM(FI12:FJ12,FL12:FN12,FP12)-SUM(FK12,FO12),"")</f>
        <v/>
      </c>
      <c r="FV12" s="78" t="str">
        <f>IF(SUM(FR12,FU12)&gt;0,SUM(FR12,FU12),"")</f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>IF(SUM(FX12,GB12)&gt;0,SUM(FX12,GB12),"")</f>
        <v/>
      </c>
      <c r="GR12" s="19" t="str">
        <f>IF(SUM(FW12:FX12,FZ12:GB12,GD12)-FY12-GC12&gt;0,SUM(FW12:FX12,FZ12:GB12,GD12)-FY12-GC12,"")</f>
        <v/>
      </c>
      <c r="GS12" s="19" t="str">
        <f>IF(SUM(GE12:GF12,GH12)-GG12&gt;0,SUM(GE12:GF12,GH12)-GG12,"")</f>
        <v/>
      </c>
      <c r="GT12" s="19" t="str">
        <f>IF(SUM(GJ12,GN12)&gt;0,SUM(GJ12,GN12),"")</f>
        <v/>
      </c>
      <c r="GU12" s="19" t="str">
        <f>IF(SUM(GI12:GJ12,GL12:GN12,GP12)-SUM(GK12,GO12)&gt;0,SUM(GI12:GJ12,GL12:GN12,GP12)-SUM(GK12,GO12),"")</f>
        <v/>
      </c>
      <c r="GV12" s="19" t="str">
        <f>IF(SUM(GR12,GU12)&gt;0,SUM(GR12,GU12),"")</f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>IF(SUM(GX12,HB12)&gt;0,SUM(GX12,HB12),"")</f>
        <v/>
      </c>
      <c r="HR12" s="78" t="str">
        <f>IF(SUM(GW12:GX12,GZ12:HB12,HD12)-GY12-HC12&gt;0,SUM(GW12:GX12,GZ12:HB12,HD12)-GY12-HC12,"")</f>
        <v/>
      </c>
      <c r="HS12" s="78" t="str">
        <f>IF(SUM(HE12:HF12,HH12)-HG12&gt;0,SUM(HE12:HF12,HH12)-HG12,"")</f>
        <v/>
      </c>
      <c r="HT12" s="78" t="str">
        <f>IF(SUM(HJ12,HN12)&gt;0,SUM(HJ12,HN12),"")</f>
        <v/>
      </c>
      <c r="HU12" s="78" t="str">
        <f>IF(SUM(HI12:HJ12,HL12:HN12,HP12)-SUM(HK12,HO12)&gt;0,SUM(HI12:HJ12,HL12:HN12,HP12)-SUM(HK12,HO12),"")</f>
        <v/>
      </c>
      <c r="HV12" s="78" t="str">
        <f>IF(SUM(HR12,HU12)&gt;0,SUM(HR12,HU12),"")</f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>IF(SUM(HX12,IB12)&gt;0,SUM(HX12,IB12),"")</f>
        <v/>
      </c>
      <c r="IR12" s="19" t="str">
        <f>IF(SUM(HW12:HX12,HZ12:IB12,ID12)-HY12-IC12&gt;0,SUM(HW12:HX12,HZ12:IB12,ID12)-HY12-IC12,"")</f>
        <v/>
      </c>
      <c r="IS12" s="19" t="str">
        <f>IF(SUM(IE12:IF12,IH12)-IG12&gt;0,SUM(IE12:IF12,IH12)-IG12,"")</f>
        <v/>
      </c>
      <c r="IT12" s="19" t="str">
        <f>IF(SUM(IJ12,IN12)&gt;0,SUM(IJ12,IN12),"")</f>
        <v/>
      </c>
      <c r="IU12" s="19" t="str">
        <f>IF(SUM(II12:IJ12,IL12:IN12,IP12)-SUM(IK12,IO12)&gt;0,SUM(II12:IJ12,IL12:IN12,IP12)-SUM(IK12,IO12),"")</f>
        <v/>
      </c>
      <c r="IV12" s="19" t="str">
        <f>IF(SUM(IR12,IU12)&gt;0,SUM(IR12,IU12),"")</f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>IF(SUM(IX12,JB12)&gt;0,SUM(IX12,JB12),"")</f>
        <v/>
      </c>
      <c r="JR12" s="78" t="str">
        <f>IF(SUM(IW12:IX12,IZ12:JB12,JD12)-IY12-JC12&gt;0,SUM(IW12:IX12,IZ12:JB12,JD12)-IY12-JC12,"")</f>
        <v/>
      </c>
      <c r="JS12" s="78" t="str">
        <f>IF(SUM(JE12:JF12,JH12)-JG12&gt;0,SUM(JE12:JF12,JH12)-JG12,"")</f>
        <v/>
      </c>
      <c r="JT12" s="78" t="str">
        <f>IF(SUM(JJ12,JN12)&gt;0,SUM(JJ12,JN12),"")</f>
        <v/>
      </c>
      <c r="JU12" s="78" t="str">
        <f>IF(SUM(JI12:JJ12,JL12:JN12,JP12)-SUM(JK12,JO12)&gt;0,SUM(JI12:JJ12,JL12:JN12,JP12)-SUM(JK12,JO12),"")</f>
        <v/>
      </c>
      <c r="JV12" s="78" t="str">
        <f>IF(SUM(JR12,JU12)&gt;0,SUM(JR12,JU12),"")</f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>IF(SUM(JX12,KB12)&gt;0,SUM(JX12,KB12),"")</f>
        <v/>
      </c>
      <c r="KR12" s="19" t="str">
        <f>IF(SUM(JW12:JX12,JZ12:KB12,KD12)-JY12-KC12&gt;0,SUM(JW12:JX12,JZ12:KB12,KD12)-JY12-KC12,"")</f>
        <v/>
      </c>
      <c r="KS12" s="19" t="str">
        <f>IF(SUM(KE12:KF12,KH12)-KG12&gt;0,SUM(KE12:KF12,KH12)-KG12,"")</f>
        <v/>
      </c>
      <c r="KT12" s="19" t="str">
        <f>IF(SUM(KJ12,KN12)&gt;0,SUM(KJ12,KN12),"")</f>
        <v/>
      </c>
      <c r="KU12" s="19" t="str">
        <f>IF(SUM(KI12:KJ12,KL12:KN12,KP12)-SUM(KK12,KO12)&gt;0,SUM(KI12:KJ12,KL12:KN12,KP12)-SUM(KK12,KO12),"")</f>
        <v/>
      </c>
      <c r="KV12" s="19" t="str">
        <f>IF(SUM(KR12,KU12)&gt;0,SUM(KR12,KU12),"")</f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>IF(SUM(KX12,LB12)&gt;0,SUM(KX12,LB12),"")</f>
        <v/>
      </c>
      <c r="LR12" s="78" t="str">
        <f>IF(SUM(KW12:KX12,KZ12:LB12,LD12)-KY12-LC12&gt;0,SUM(KW12:KX12,KZ12:LB12,LD12)-KY12-LC12,"")</f>
        <v/>
      </c>
      <c r="LS12" s="78" t="str">
        <f>IF(SUM(LE12:LF12,LH12)-LG12&gt;0,SUM(LE12:LF12,LH12)-LG12,"")</f>
        <v/>
      </c>
      <c r="LT12" s="78" t="str">
        <f>IF(SUM(LJ12,LN12)&gt;0,SUM(LJ12,LN12),"")</f>
        <v/>
      </c>
      <c r="LU12" s="78" t="str">
        <f>IF(SUM(LI12:LJ12,LL12:LN12,LP12)-SUM(LK12,LO12)&gt;0,SUM(LI12:LJ12,LL12:LN12,LP12)-SUM(LK12,LO12),"")</f>
        <v/>
      </c>
      <c r="LV12" s="78" t="str">
        <f>IF(SUM(LR12,LU12)&gt;0,SUM(LR12,LU12),"")</f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>IF(SUM(LX12,MB12)&gt;0,SUM(LX12,MB12),"")</f>
        <v/>
      </c>
      <c r="MR12" s="19" t="str">
        <f>IF(SUM(LW12:LX12,LZ12:MB12,MD12)-LY12-MC12&gt;0,SUM(LW12:LX12,LZ12:MB12,MD12)-LY12-MC12,"")</f>
        <v/>
      </c>
      <c r="MS12" s="19" t="str">
        <f>IF(SUM(ME12:MF12,MH12)-MG12&gt;0,SUM(ME12:MF12,MH12)-MG12,"")</f>
        <v/>
      </c>
      <c r="MT12" s="19" t="str">
        <f>IF(SUM(MJ12,MN12)&gt;0,SUM(MJ12,MN12),"")</f>
        <v/>
      </c>
      <c r="MU12" s="19" t="str">
        <f>IF(SUM(MI12:MJ12,ML12:MN12,MP12)-SUM(MK12,MO12)&gt;0,SUM(MI12:MJ12,ML12:MN12,MP12)-SUM(MK12,MO12),"")</f>
        <v/>
      </c>
      <c r="MV12" s="19" t="str">
        <f>IF(SUM(MR12,MU12)&gt;0,SUM(MR12,MU12),"")</f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>IF(SUM(MX12,NB12)&gt;0,SUM(MX12,NB12),"")</f>
        <v/>
      </c>
      <c r="NR12" s="78" t="str">
        <f>IF(SUM(MW12:MX12,MZ12:NB12,ND12)-MY12-NC12&gt;0,SUM(MW12:MX12,MZ12:NB12,ND12)-MY12-NC12,"")</f>
        <v/>
      </c>
      <c r="NS12" s="78" t="str">
        <f>IF(SUM(NE12:NF12,NH12)-NG12&gt;0,SUM(NE12:NF12,NH12)-NG12,"")</f>
        <v/>
      </c>
      <c r="NT12" s="78" t="str">
        <f>IF(SUM(NJ12,NN12)&gt;0,SUM(NJ12,NN12),"")</f>
        <v/>
      </c>
      <c r="NU12" s="78" t="str">
        <f>IF(SUM(NI12:NJ12,NL12:NN12,NP12)-SUM(NK12,NO12)&gt;0,SUM(NI12:NJ12,NL12:NN12,NP12)-SUM(NK12,NO12),"")</f>
        <v/>
      </c>
      <c r="NV12" s="78" t="str">
        <f>IF(SUM(NR12,NU12)&gt;0,SUM(NR12,NU12),"")</f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>IF(SUM(NX12,OB12)&gt;0,SUM(NX12,OB12),"")</f>
        <v/>
      </c>
      <c r="OR12" s="19" t="str">
        <f>IF(SUM(NW12:NX12,NZ12:OB12,OD12)-NY12-OC12&gt;0,SUM(NW12:NX12,NZ12:OB12,OD12)-NY12-OC12,"")</f>
        <v/>
      </c>
      <c r="OS12" s="19" t="str">
        <f>IF(SUM(OE12:OF12,OH12)-OG12&gt;0,SUM(OE12:OF12,OH12)-OG12,"")</f>
        <v/>
      </c>
      <c r="OT12" s="19" t="str">
        <f>IF(SUM(OJ12,ON12)&gt;0,SUM(OJ12,ON12),"")</f>
        <v/>
      </c>
      <c r="OU12" s="19" t="str">
        <f>IF(SUM(OI12:OJ12,OL12:ON12,OP12)-SUM(OK12,OO12)&gt;0,SUM(OI12:OJ12,OL12:ON12,OP12)-SUM(OK12,OO12),"")</f>
        <v/>
      </c>
      <c r="OV12" s="19" t="str">
        <f>IF(SUM(OR12,OU12)&gt;0,SUM(OR12,OU12),"")</f>
        <v/>
      </c>
      <c r="OW12" s="37">
        <f>IF($CN12="P",BT12,(BT12+AS12)/2)</f>
        <v>16.3</v>
      </c>
      <c r="OX12" s="37">
        <f>IF($CN12="P",BU12,(BU12+AT12)/2)</f>
        <v>5</v>
      </c>
      <c r="OY12" s="37">
        <f>IF($CN12="P",BV12,(BV12+AU12)/2)</f>
        <v>0</v>
      </c>
      <c r="OZ12" s="37">
        <f>IF($CN12="P",BW12,(BW12+AV12)/2)</f>
        <v>0.6</v>
      </c>
      <c r="PA12" s="37">
        <f>IF($CN12="P",BX12,(BX12+AW12)/2)</f>
        <v>15.5</v>
      </c>
      <c r="PB12" s="37">
        <f>IF($CN12="P",BY12,(BY12+AX12)/2)</f>
        <v>5.0999999999999996</v>
      </c>
      <c r="PC12" s="37">
        <f>IF($CN12="P",BZ12,(BZ12+AY12)/2)</f>
        <v>0.2</v>
      </c>
      <c r="PD12" s="37">
        <f>IF($CN12="P",CA12,(CA12+AZ12)/2)</f>
        <v>0.3</v>
      </c>
      <c r="PE12" s="37">
        <f>IF($CN12="P",CB12,(CB12+BA12)/2)</f>
        <v>0</v>
      </c>
      <c r="PF12" s="37">
        <f>IF($CN12="P",CC12,(CC12+BB12)/2)</f>
        <v>0</v>
      </c>
      <c r="PG12" s="37">
        <f>IF($CN12="P",CD12,(CD12+BC12)/2)</f>
        <v>0</v>
      </c>
      <c r="PH12" s="37">
        <f>IF($CN12="P",CE12,(CE12+BD12)/2)</f>
        <v>0</v>
      </c>
      <c r="PI12" s="37">
        <f>IF($CN12="P",CF12,(CF12+BE12)/2)</f>
        <v>14.14</v>
      </c>
      <c r="PJ12" s="37">
        <f>IF($CN12="P",CG12,(CG12+BF12)/2)</f>
        <v>4.3499999999999996</v>
      </c>
      <c r="PK12" s="37">
        <f>IF($CN12="P",CH12,(CH12+BG12)/2)</f>
        <v>0.2</v>
      </c>
      <c r="PL12" s="37">
        <f>IF($CN12="P",CI12,(CI12+BH12)/2)</f>
        <v>0.3</v>
      </c>
      <c r="PM12" s="37">
        <f>IF($CN12="P",CJ12,(CJ12+BI12)/2)</f>
        <v>14.899999999999999</v>
      </c>
      <c r="PN12" s="37">
        <f>IF($CN12="P",CK12,(CK12+BJ12)/2)</f>
        <v>2.9</v>
      </c>
      <c r="PO12" s="37">
        <f>IF($CN12="P",CL12,(CL12+BK12)/2)</f>
        <v>0</v>
      </c>
      <c r="PP12" s="37">
        <f>IF($CN12="P",CM12,(CM12+BL12)/2)</f>
        <v>0.3</v>
      </c>
      <c r="PQ12" s="44" t="s">
        <v>46</v>
      </c>
      <c r="PR12" s="78">
        <f>IF(SUM(OX12,PB12)&gt;0,SUM(OX12,PB12),"")</f>
        <v>10.1</v>
      </c>
      <c r="PS12" s="78">
        <f>IF(SUM(OW12:OX12,OZ12:PB12,PD12)-OY12-PC12&gt;0,SUM(OW12:OX12,OZ12:PB12,PD12)-OY12-PC12,"")</f>
        <v>42.6</v>
      </c>
      <c r="PT12" s="78" t="str">
        <f>IF(SUM(PE12:PF12,PH12)-PG12&gt;0,SUM(PE12:PF12,PH12)-PG12,"")</f>
        <v/>
      </c>
      <c r="PU12" s="78">
        <f>IF(SUM(PJ12,PN12)&gt;0,SUM(PJ12,PN12),"")</f>
        <v>7.25</v>
      </c>
      <c r="PV12" s="78">
        <f>IF(SUM(PI12:PJ12,PL12:PN12,PP12)-SUM(PK12,PO12)&gt;0,SUM(PI12:PJ12,PL12:PN12,PP12)-SUM(PK12,PO12),"")</f>
        <v>36.689999999999991</v>
      </c>
      <c r="PW12" s="78">
        <f>IF(SUM(PS12,PV12)&gt;0,SUM(PS12,PV12),"")</f>
        <v>79.289999999999992</v>
      </c>
    </row>
    <row r="13" spans="1:439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77" t="s">
        <v>184</v>
      </c>
      <c r="C13" s="5" t="s">
        <v>4</v>
      </c>
      <c r="D13" s="5">
        <v>2003</v>
      </c>
      <c r="E13" s="15">
        <f>SUM(I13:O13)+SUM(I13:M13)*0.0000001+SUM(I13)*0.0000000000001</f>
        <v>122.30001223000434</v>
      </c>
      <c r="F13" s="3" t="str">
        <f>IF(OR(AND(AM13&gt;=AR$18,AN13&gt;=AR$22,AM13&lt;&gt;"",AL13=""),AND(AP13&gt;=AR$18,AQ13&gt;=AR$22,AP13&lt;&gt;"",AL13=""),AND(BN13&gt;=BS$18,BO13&gt;=BS$22,BN13&lt;&gt;"",BM13=""),AND(BQ13&gt;=BS$18,BR13&gt;=BS$22,BQ13&lt;&gt;"",BM13=""),AND(CO13&gt;=CT$18,CP13&gt;=CT$22,CO13&lt;&gt;"",CN13=""),AND(CR13&gt;=CT$18,CS13&gt;=CT$22,CR13&lt;&gt;""),AND(DQ13&gt;=DV$18,DR13&gt;=DV$22,DQ13&lt;&gt;""),AND(DT13&gt;=DV$18,DU13&gt;=DV$22,DT13&lt;&gt;""),AND(EQ13&gt;=EV$18,ER13&gt;=EV$22,EQ13&lt;&gt;""),AND(ET13&gt;=EV$18,EU13&gt;=EV$22,ET13&lt;&gt;""),AND(FQ13&gt;=FV$18,FR13&gt;=FV$22,FQ13&lt;&gt;""),AND(FT13&gt;=FV$18,FU13&gt;=FV$22,FT13&lt;&gt;""),AND(GQ13&gt;=GV$18,GR13&gt;=GV$22,GQ13&lt;&gt;""),AND(GT13&gt;=GV$18,GU13&gt;=GV$22,GT13&lt;&gt;""),AND(HQ13&gt;=HV$18,HR13&gt;=HV$22,HQ13&lt;&gt;""),AND(HT13&gt;=HV$18,HU13&gt;=HV$22,HT13&lt;&gt;""),AND(IQ13&gt;=IV$18,IR13&gt;=IV$22,IQ13&lt;&gt;""),AND(IT13&gt;=IV$18,IU13&gt;=IV$22,IT13&lt;&gt;""),AND(JQ13&gt;=JV$18,JR13&gt;=JV$22,JQ13&lt;&gt;""),AND(JT13&gt;=JV$18,JU13&gt;=JV$22,JT13&lt;&gt;""),AND(KQ13&gt;=KV$18,KR13&gt;=KV$22,KQ13&lt;&gt;""),AND(KT13&gt;=KV$18,KU13&gt;=KV$22,KT13&lt;&gt;""),AND(LQ13&gt;=LV$18,LR13&gt;=LV$22,LQ13&lt;&gt;""),AND(LT13&gt;=LV$18,LU13&gt;=LV$22,LT13&lt;&gt;""),AND(MQ13&gt;=MV$18,MR13&gt;=MV$22,MQ13&lt;&gt;""),AND(MT13&gt;=MV$18,MU13&gt;=MV$22,MT13&lt;&gt;""),AND(NQ13&gt;=NV$18,NR13&gt;=NV$22,NQ13&lt;&gt;""),AND(NT13&gt;=NV$18,NU13&gt;=NV$22,NT13&lt;&gt;""),AND(OQ13&gt;=OV$18,OR13&gt;=OV$22,OQ13&lt;&gt;""),AND(OT13&gt;=OV$18,OU13&gt;=OV$22,OT13&lt;&gt;"")),"P","")</f>
        <v/>
      </c>
      <c r="G13" s="3" t="str">
        <f>IF(OR(AND(AN13&gt;=AR$22,AN13&lt;&gt;"",AL13=""),AND(AQ13&gt;=AR$22,AQ13&lt;&gt;"",AL13=""),AND(BO13&gt;=BS$22,BO13&lt;&gt;"",BM13=""),AND(BR13&gt;=BS$22,BR13&lt;&gt;"",BM13=""),AND(CP13&gt;=CT$22,CP13&lt;&gt;"",CN13=""),AND(CS13&gt;=CT$22,CS13&lt;&gt;"",CN13=""),AND(DR13&gt;=DV$22,DR13&lt;&gt;""),AND(DU13&gt;=DV$22,DU13&lt;&gt;""),AND(ER13&gt;=EV$22,ER13&lt;&gt;""),AND(EU13&gt;=EV$22,EU13&lt;&gt;""),AND(FR13&gt;=FV$22,FR13&lt;&gt;""),AND(FU13&gt;=FV$22,FU13&lt;&gt;""),AND(GR13&gt;=GV$22,GR13&lt;&gt;""),AND(GU13&gt;=GV$22,GU13&lt;&gt;""),AND(HR13&gt;=HV$22,HR13&lt;&gt;""),AND(HU13&gt;=HV$22,HU13&lt;&gt;""),AND(IR13&gt;=IV$22,IR13&lt;&gt;""),AND(IU13&gt;=IV$22,IU13&lt;&gt;""),AND(JR13&gt;=JV$22,JR13&lt;&gt;""),AND(JU13&gt;=JV$22,JU13&lt;&gt;""),AND(KR13&gt;=KV$22,KR13&lt;&gt;""),AND(KU13&gt;=KV$22,KU13&lt;&gt;""),AND(LR13&gt;=LV$22,LR13&lt;&gt;""),AND(LU13&gt;=LV$22,LU13&lt;&gt;""),AND(MR13&gt;=MV$22,MR13&lt;&gt;""),AND(MU13&gt;=MV$22,MU13&lt;&gt;""),AND(NR13&gt;=NV$22,NR13&lt;&gt;""),AND(NU13&gt;=NV$22,NU13&lt;&gt;""),AND(OR13&gt;=OV$22,OR13&lt;&gt;""),AND(OU13&gt;=OV$22,OU13&lt;&gt;"")),"P","")</f>
        <v/>
      </c>
      <c r="H13" s="66" t="str">
        <f>IF(AND(G13="P",F13=""),"No DD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Merit",IF(OR(AND(AM13&gt;=AR$20,AN13&gt;=AR$24,AM13&lt;&gt;"",AL13=""),AND(AP13&gt;=AR$20,AQ13&gt;=AR$24,AP13&lt;&gt;"",AL13=""),AND(BN13&gt;=BS$20,BO13&gt;=BS$24,BN13&lt;&gt;"",BM13=""),AND(BQ13&gt;=BS$20,BR13&gt;=BS$24,BQ13&lt;&gt;"",BM13=""),AND(CO13&gt;=CT$20,CP13&gt;=CT$24,CO13&lt;&gt;"",CN13=""),AND(CR13&gt;=CT$20,CS13&gt;=CT$24,CR13&lt;&gt;""),AND(DQ13&gt;=DV$20,DR13&gt;=DV$24,DQ13&lt;&gt;""),AND(DT13&gt;=DV$20,DU13&gt;=DV$24,DT13&lt;&gt;""),AND(EQ13&gt;=EV$20,ER13&gt;=EV$24,EQ13&lt;&gt;""),AND(ET13&gt;=EV$20,EU13&gt;=EV$24,ET13&lt;&gt;""),AND(FQ13&gt;=FV$20,FR13&gt;=FV$24,FQ13&lt;&gt;""),AND(FT13&gt;=FV$20,FU13&gt;=FV$24,FT13&lt;&gt;""),AND(GQ13&gt;=GV$20,GR13&gt;=GV$24,GQ13&lt;&gt;""),AND(GT13&gt;=GV$20,GU13&gt;=GV$24,GT13&lt;&gt;""),AND(HQ13&gt;=HV$20,HR13&gt;=HV$24,HQ13&lt;&gt;""),AND(HT13&gt;=HV$20,HU13&gt;=HV$24,HT13&lt;&gt;""),AND(IQ13&gt;=IV$20,IR13&gt;=IV$24,IQ13&lt;&gt;""),AND(IT13&gt;=IV$20,IU13&gt;=IV$24,IT13&lt;&gt;""),AND(JQ13&gt;=JV$20,JR13&gt;=JV$24,JQ13&lt;&gt;""),AND(JT13&gt;=JV$20,JU13&gt;=JV$24,JT13&lt;&gt;""),AND(KQ13&gt;=KV$20,KR13&gt;=KV$24,KQ13&lt;&gt;""),AND(KT13&gt;=KV$20,KU13&gt;=KV$24,KT13&lt;&gt;""),AND(LQ13&gt;=LV$20,LR13&gt;=LV$24,LQ13&lt;&gt;""),AND(LT13&gt;=LV$20,LU13&gt;=LV$24,LT13&lt;&gt;""),AND(MQ13&gt;=MV$20,MR13&gt;=MV$24,MQ13&lt;&gt;""),AND(MT13&gt;=MV$20,MU13&gt;=MV$24,MT13&lt;&gt;""),AND(NQ13&gt;=NV$20,NR13&gt;=NV$24,NQ13&lt;&gt;""),AND(NT13&gt;=NV$20,NU13&gt;=NV$24,NT13&lt;&gt;""),AND(OQ13&gt;=OV$20,OR13&gt;=OV$24,OQ13&lt;&gt;""),AND(OT13&gt;=OV$20,OU13&gt;=OV$24,OT13&lt;&gt;"")),"Excellence",IF(F13="P","National Team",""))))</f>
        <v/>
      </c>
      <c r="I13" s="14">
        <f>IF(COUNT(AN13,BO13,CP13)&gt;0,LARGE((AN13,BO13,CP13),1),0)</f>
        <v>43.5</v>
      </c>
      <c r="J13" s="14" t="str">
        <f>IF(I13=0,"",IF(I13=CP13,$BT$1,IF(I13=BO13,$AS$1,IF(I13=AN13,$R$1,""))))</f>
        <v>2022 Nationals</v>
      </c>
      <c r="K13" s="14">
        <f>IF(COUNT(AN13,BO13,CP13)&gt;1,LARGE((AN13,BO13,CP13),2),0)</f>
        <v>36.199999999999996</v>
      </c>
      <c r="L13" s="14" t="str">
        <f>IF(K13=0,"",IF(K13=CP13,$BT$1,IF(K13=BO13,$AS$1,IF(K13=AN13,$R$1,""))))</f>
        <v>2022 3rd Domestic Trial</v>
      </c>
      <c r="M13" s="14">
        <f>IF(MAX(AQ13,BR13,CS13)&gt;0,MAX(AQ13,BR13,CS13),0)</f>
        <v>42.600000000000009</v>
      </c>
      <c r="N13" s="14" t="str">
        <f>IF(M13=0,"",IF(M13=CS13,$BT$1,IF(M13=BR13,$AS$1,IF(M13=AQ13,$R$1,""))))</f>
        <v>2022 Nationals</v>
      </c>
      <c r="O13" s="14" t="str">
        <f>IF(MAX(CU13:CV13)&gt;0,MAX(CU13:CV13),"")</f>
        <v/>
      </c>
      <c r="P13" s="19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>IF(SUM(S13,W13)&gt;0,SUM(S13,W13),"")</f>
        <v/>
      </c>
      <c r="AN13" s="78" t="str">
        <f>IF(SUM(R13:S13,U13:W13,Y13)-T13-X13&gt;0,SUM(R13:S13,U13:W13,Y13)-T13-X13,"")</f>
        <v/>
      </c>
      <c r="AO13" s="78" t="str">
        <f>IF(SUM(Z13:AA13,AC13)-AB13&gt;0,SUM(Z13:AA13,AC13)-AB13,"")</f>
        <v/>
      </c>
      <c r="AP13" s="78" t="str">
        <f>IF(SUM(AE13,AI13)&gt;0,SUM(AE13,AI13),"")</f>
        <v/>
      </c>
      <c r="AQ13" s="78" t="str">
        <f>IF(SUM(AD13:AE13,AG13:AI13,AK13)-SUM(AF13,AJ13)&gt;0,SUM(AD13:AE13,AG13:AI13,AK13)-SUM(AF13,AJ13),"")</f>
        <v/>
      </c>
      <c r="AR13" s="78" t="str">
        <f>IF(SUM(AN13,AQ13)&gt;0,SUM(AN13,AQ13),"")</f>
        <v/>
      </c>
      <c r="AS13" s="25">
        <v>16.399999999999999</v>
      </c>
      <c r="AT13" s="25">
        <v>5.5</v>
      </c>
      <c r="AU13" s="25">
        <v>0.2</v>
      </c>
      <c r="AV13" s="25">
        <v>0</v>
      </c>
      <c r="AW13" s="25">
        <v>16.3</v>
      </c>
      <c r="AX13" s="25">
        <v>5.5</v>
      </c>
      <c r="AY13" s="25">
        <v>0</v>
      </c>
      <c r="AZ13" s="25">
        <v>0</v>
      </c>
      <c r="BA13" s="25"/>
      <c r="BB13" s="25"/>
      <c r="BC13" s="25"/>
      <c r="BD13" s="25"/>
      <c r="BE13" s="25">
        <v>17</v>
      </c>
      <c r="BF13" s="25">
        <v>5.3</v>
      </c>
      <c r="BG13" s="25">
        <v>0</v>
      </c>
      <c r="BH13" s="25">
        <v>0</v>
      </c>
      <c r="BI13" s="25">
        <v>16.100000000000001</v>
      </c>
      <c r="BJ13" s="25">
        <v>4.7</v>
      </c>
      <c r="BK13" s="25">
        <v>0.5</v>
      </c>
      <c r="BL13" s="25">
        <v>0</v>
      </c>
      <c r="BM13" s="45"/>
      <c r="BN13" s="19">
        <f>IF(SUM(AT13,AX13)&gt;0,SUM(AT13,AX13),"")</f>
        <v>11</v>
      </c>
      <c r="BO13" s="19">
        <f>IF(SUM(AS13:AT13,AV13:AX13,AZ13)-AU13-AY13&gt;0,SUM(AS13:AT13,AV13:AX13,AZ13)-AU13-AY13,"")</f>
        <v>43.5</v>
      </c>
      <c r="BP13" s="19" t="str">
        <f>IF(SUM(BA13:BB13,BD13)-BC13&gt;0,SUM(BA13:BB13,BD13)-BC13,"")</f>
        <v/>
      </c>
      <c r="BQ13" s="19">
        <f>IF(SUM(BF13,BJ13)&gt;0,SUM(BF13,BJ13),"")</f>
        <v>10</v>
      </c>
      <c r="BR13" s="19">
        <f>IF(SUM(BE13:BF13,BH13:BJ13,BL13)-SUM(BG13,BK13)&gt;0,SUM(BE13:BF13,BH13:BJ13,BL13)-SUM(BG13,BK13),"")</f>
        <v>42.600000000000009</v>
      </c>
      <c r="BS13" s="19">
        <f>IF(SUM(BO13,BR13)&gt;0,SUM(BO13,BR13),"")</f>
        <v>86.100000000000009</v>
      </c>
      <c r="BT13" s="26">
        <v>15.8</v>
      </c>
      <c r="BU13" s="26">
        <v>2.9</v>
      </c>
      <c r="BV13" s="26">
        <v>0</v>
      </c>
      <c r="BW13" s="26">
        <v>0</v>
      </c>
      <c r="BX13" s="26">
        <v>14.1</v>
      </c>
      <c r="BY13" s="26">
        <v>4.3</v>
      </c>
      <c r="BZ13" s="26">
        <v>0.9</v>
      </c>
      <c r="CA13" s="26">
        <v>0</v>
      </c>
      <c r="CB13" s="26"/>
      <c r="CC13" s="26"/>
      <c r="CD13" s="26"/>
      <c r="CE13" s="26"/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44"/>
      <c r="CO13" s="78">
        <f>IF(SUM(BU13,BY13)&gt;0,SUM(BU13,BY13),"")</f>
        <v>7.1999999999999993</v>
      </c>
      <c r="CP13" s="78">
        <f>IF(SUM(BT13:BU13,BW13:BY13,CA13)-BV13-BZ13&gt;0,SUM(BT13:BU13,BW13:BY13,CA13)-BV13-BZ13,"")</f>
        <v>36.199999999999996</v>
      </c>
      <c r="CQ13" s="78" t="str">
        <f>IF(SUM(CB13:CC13,CE13)-CD13&gt;0,SUM(CB13:CC13,CE13)-CD13,"")</f>
        <v/>
      </c>
      <c r="CR13" s="78" t="str">
        <f>IF(SUM(CG13,CK13)&gt;0,SUM(CG13,CK13),"")</f>
        <v/>
      </c>
      <c r="CS13" s="78" t="str">
        <f>IF(SUM(CF13:CG13,CI13:CK13,CM13)-SUM(CH13,CL13)&gt;0,SUM(CF13:CG13,CI13:CK13,CM13)-SUM(CH13,CL13),"")</f>
        <v/>
      </c>
      <c r="CT13" s="78">
        <f>IF(SUM(CP13,CS13)&gt;0,SUM(CP13,CS13),"")</f>
        <v>36.199999999999996</v>
      </c>
      <c r="CU13" s="79" t="str">
        <f>IF(K13&gt;=0.001,IF(MAX(DR13,ER13,FR13,GR13,HR13,IR13,JR13,KR13,LR13,MR13,NR13,OR13)-IF(K13="",0,K13)&gt;0.001,MAX(DR13,ER13,FR13,GR13,HR13,IR13,JR13,KR13,LR13,MR13,NR13,OR13)-IF(K13="",0,K13),""),"")</f>
        <v/>
      </c>
      <c r="CV13" s="79" t="str">
        <f>IF(M13&gt;=0.001,IF(MAX(DU13,EU13,FU13,GU13,HU13,IU13,JU13,KU13,LU13,MU13,NU13,OU13)-IF(M13="",0,M13)&gt;0.001,MAX(DU13,EU13,FU13,GU13,HU13,IU13,JU13,KU13,LU13,MU13,NU13,OU13)-IF(M13="",0,M13),""),"")</f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>IF(SUM(CX13,DB13)&gt;0,SUM(CX13,DB13),"")</f>
        <v/>
      </c>
      <c r="DR13" s="78" t="str">
        <f>IF(SUM(CW13:CX13,CZ13:DB13,DD13)-CY13-DC13&gt;0,SUM(CW13:CX13,CZ13:DB13,DD13)-CY13-DC13,"")</f>
        <v/>
      </c>
      <c r="DS13" s="78" t="str">
        <f>IF(SUM(DE13:DF13,DH13)-DG13&gt;0,SUM(DE13:DF13,DH13)-DG13,"")</f>
        <v/>
      </c>
      <c r="DT13" s="78" t="str">
        <f>IF(SUM(DJ13,DN13)&gt;0,SUM(DJ13,DN13),"")</f>
        <v/>
      </c>
      <c r="DU13" s="78" t="str">
        <f>IF(SUM(DI13:DJ13,DL13:DN13,DP13)-SUM(DK13,DO13)&gt;0,SUM(DI13:DJ13,DL13:DN13,DP13)-SUM(DK13,DO13),"")</f>
        <v/>
      </c>
      <c r="DV13" s="78" t="str">
        <f>IF(SUM(DR13,DU13)&gt;0,SUM(DR13,DU13),"")</f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>IF(SUM(DX13,EB13)&gt;0,SUM(DX13,EB13),"")</f>
        <v/>
      </c>
      <c r="ER13" s="19" t="str">
        <f>IF(SUM(DW13:DX13,DZ13:EB13,ED13)-DY13-EC13&gt;0,SUM(DW13:DX13,DZ13:EB13,ED13)-DY13-EC13,"")</f>
        <v/>
      </c>
      <c r="ES13" s="19" t="str">
        <f>IF(SUM(EE13:EF13,EH13)-EG13&gt;0,SUM(EE13:EF13,EH13)-EG13,"")</f>
        <v/>
      </c>
      <c r="ET13" s="19" t="str">
        <f>IF(SUM(EJ13,EN13)&gt;0,SUM(EJ13,EN13),"")</f>
        <v/>
      </c>
      <c r="EU13" s="19" t="str">
        <f>IF(SUM(EI13:EJ13,EL13:EN13,EP13)-SUM(EK13,EO13)&gt;0,SUM(EI13:EJ13,EL13:EN13,EP13)-SUM(EK13,EO13),"")</f>
        <v/>
      </c>
      <c r="EV13" s="19" t="str">
        <f>IF(SUM(ER13,EU13)&gt;0,SUM(ER13,EU13),"")</f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>IF(SUM(EX13,FB13)&gt;0,SUM(EX13,FB13),"")</f>
        <v/>
      </c>
      <c r="FR13" s="78" t="str">
        <f>IF(SUM(EW13:EX13,EZ13:FB13,FD13)-EY13-FC13&gt;0,SUM(EW13:EX13,EZ13:FB13,FD13)-EY13-FC13,"")</f>
        <v/>
      </c>
      <c r="FS13" s="78" t="str">
        <f>IF(SUM(FE13:FF13,FH13)-FG13&gt;0,SUM(FE13:FF13,FH13)-FG13,"")</f>
        <v/>
      </c>
      <c r="FT13" s="78" t="str">
        <f>IF(SUM(FJ13,FN13)&gt;0,SUM(FJ13,FN13),"")</f>
        <v/>
      </c>
      <c r="FU13" s="78" t="str">
        <f>IF(SUM(FI13:FJ13,FL13:FN13,FP13)-SUM(FK13,FO13)&gt;0,SUM(FI13:FJ13,FL13:FN13,FP13)-SUM(FK13,FO13),"")</f>
        <v/>
      </c>
      <c r="FV13" s="78" t="str">
        <f>IF(SUM(FR13,FU13)&gt;0,SUM(FR13,FU13),"")</f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>IF(SUM(FX13,GB13)&gt;0,SUM(FX13,GB13),"")</f>
        <v/>
      </c>
      <c r="GR13" s="19" t="str">
        <f>IF(SUM(FW13:FX13,FZ13:GB13,GD13)-FY13-GC13&gt;0,SUM(FW13:FX13,FZ13:GB13,GD13)-FY13-GC13,"")</f>
        <v/>
      </c>
      <c r="GS13" s="19" t="str">
        <f>IF(SUM(GE13:GF13,GH13)-GG13&gt;0,SUM(GE13:GF13,GH13)-GG13,"")</f>
        <v/>
      </c>
      <c r="GT13" s="19" t="str">
        <f>IF(SUM(GJ13,GN13)&gt;0,SUM(GJ13,GN13),"")</f>
        <v/>
      </c>
      <c r="GU13" s="19" t="str">
        <f>IF(SUM(GI13:GJ13,GL13:GN13,GP13)-SUM(GK13,GO13)&gt;0,SUM(GI13:GJ13,GL13:GN13,GP13)-SUM(GK13,GO13),"")</f>
        <v/>
      </c>
      <c r="GV13" s="19" t="str">
        <f>IF(SUM(GR13,GU13)&gt;0,SUM(GR13,GU13),"")</f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>IF(SUM(GX13,HB13)&gt;0,SUM(GX13,HB13),"")</f>
        <v/>
      </c>
      <c r="HR13" s="78" t="str">
        <f>IF(SUM(GW13:GX13,GZ13:HB13,HD13)-GY13-HC13&gt;0,SUM(GW13:GX13,GZ13:HB13,HD13)-GY13-HC13,"")</f>
        <v/>
      </c>
      <c r="HS13" s="78" t="str">
        <f>IF(SUM(HE13:HF13,HH13)-HG13&gt;0,SUM(HE13:HF13,HH13)-HG13,"")</f>
        <v/>
      </c>
      <c r="HT13" s="78" t="str">
        <f>IF(SUM(HJ13,HN13)&gt;0,SUM(HJ13,HN13),"")</f>
        <v/>
      </c>
      <c r="HU13" s="78" t="str">
        <f>IF(SUM(HI13:HJ13,HL13:HN13,HP13)-SUM(HK13,HO13)&gt;0,SUM(HI13:HJ13,HL13:HN13,HP13)-SUM(HK13,HO13),"")</f>
        <v/>
      </c>
      <c r="HV13" s="78" t="str">
        <f>IF(SUM(HR13,HU13)&gt;0,SUM(HR13,HU13),"")</f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>IF(SUM(HX13,IB13)&gt;0,SUM(HX13,IB13),"")</f>
        <v/>
      </c>
      <c r="IR13" s="19" t="str">
        <f>IF(SUM(HW13:HX13,HZ13:IB13,ID13)-HY13-IC13&gt;0,SUM(HW13:HX13,HZ13:IB13,ID13)-HY13-IC13,"")</f>
        <v/>
      </c>
      <c r="IS13" s="19" t="str">
        <f>IF(SUM(IE13:IF13,IH13)-IG13&gt;0,SUM(IE13:IF13,IH13)-IG13,"")</f>
        <v/>
      </c>
      <c r="IT13" s="19" t="str">
        <f>IF(SUM(IJ13,IN13)&gt;0,SUM(IJ13,IN13),"")</f>
        <v/>
      </c>
      <c r="IU13" s="19" t="str">
        <f>IF(SUM(II13:IJ13,IL13:IN13,IP13)-SUM(IK13,IO13)&gt;0,SUM(II13:IJ13,IL13:IN13,IP13)-SUM(IK13,IO13),"")</f>
        <v/>
      </c>
      <c r="IV13" s="19" t="str">
        <f>IF(SUM(IR13,IU13)&gt;0,SUM(IR13,IU13),"")</f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>IF(SUM(IX13,JB13)&gt;0,SUM(IX13,JB13),"")</f>
        <v/>
      </c>
      <c r="JR13" s="78" t="str">
        <f>IF(SUM(IW13:IX13,IZ13:JB13,JD13)-IY13-JC13&gt;0,SUM(IW13:IX13,IZ13:JB13,JD13)-IY13-JC13,"")</f>
        <v/>
      </c>
      <c r="JS13" s="78" t="str">
        <f>IF(SUM(JE13:JF13,JH13)-JG13&gt;0,SUM(JE13:JF13,JH13)-JG13,"")</f>
        <v/>
      </c>
      <c r="JT13" s="78" t="str">
        <f>IF(SUM(JJ13,JN13)&gt;0,SUM(JJ13,JN13),"")</f>
        <v/>
      </c>
      <c r="JU13" s="78" t="str">
        <f>IF(SUM(JI13:JJ13,JL13:JN13,JP13)-SUM(JK13,JO13)&gt;0,SUM(JI13:JJ13,JL13:JN13,JP13)-SUM(JK13,JO13),"")</f>
        <v/>
      </c>
      <c r="JV13" s="78" t="str">
        <f>IF(SUM(JR13,JU13)&gt;0,SUM(JR13,JU13),"")</f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>IF(SUM(JX13,KB13)&gt;0,SUM(JX13,KB13),"")</f>
        <v/>
      </c>
      <c r="KR13" s="19" t="str">
        <f>IF(SUM(JW13:JX13,JZ13:KB13,KD13)-JY13-KC13&gt;0,SUM(JW13:JX13,JZ13:KB13,KD13)-JY13-KC13,"")</f>
        <v/>
      </c>
      <c r="KS13" s="19" t="str">
        <f>IF(SUM(KE13:KF13,KH13)-KG13&gt;0,SUM(KE13:KF13,KH13)-KG13,"")</f>
        <v/>
      </c>
      <c r="KT13" s="19" t="str">
        <f>IF(SUM(KJ13,KN13)&gt;0,SUM(KJ13,KN13),"")</f>
        <v/>
      </c>
      <c r="KU13" s="19" t="str">
        <f>IF(SUM(KI13:KJ13,KL13:KN13,KP13)-SUM(KK13,KO13)&gt;0,SUM(KI13:KJ13,KL13:KN13,KP13)-SUM(KK13,KO13),"")</f>
        <v/>
      </c>
      <c r="KV13" s="19" t="str">
        <f>IF(SUM(KR13,KU13)&gt;0,SUM(KR13,KU13),"")</f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>IF(SUM(KX13,LB13)&gt;0,SUM(KX13,LB13),"")</f>
        <v/>
      </c>
      <c r="LR13" s="78" t="str">
        <f>IF(SUM(KW13:KX13,KZ13:LB13,LD13)-KY13-LC13&gt;0,SUM(KW13:KX13,KZ13:LB13,LD13)-KY13-LC13,"")</f>
        <v/>
      </c>
      <c r="LS13" s="78" t="str">
        <f>IF(SUM(LE13:LF13,LH13)-LG13&gt;0,SUM(LE13:LF13,LH13)-LG13,"")</f>
        <v/>
      </c>
      <c r="LT13" s="78" t="str">
        <f>IF(SUM(LJ13,LN13)&gt;0,SUM(LJ13,LN13),"")</f>
        <v/>
      </c>
      <c r="LU13" s="78" t="str">
        <f>IF(SUM(LI13:LJ13,LL13:LN13,LP13)-SUM(LK13,LO13)&gt;0,SUM(LI13:LJ13,LL13:LN13,LP13)-SUM(LK13,LO13),"")</f>
        <v/>
      </c>
      <c r="LV13" s="78" t="str">
        <f>IF(SUM(LR13,LU13)&gt;0,SUM(LR13,LU13),"")</f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>IF(SUM(LX13,MB13)&gt;0,SUM(LX13,MB13),"")</f>
        <v/>
      </c>
      <c r="MR13" s="19" t="str">
        <f>IF(SUM(LW13:LX13,LZ13:MB13,MD13)-LY13-MC13&gt;0,SUM(LW13:LX13,LZ13:MB13,MD13)-LY13-MC13,"")</f>
        <v/>
      </c>
      <c r="MS13" s="19" t="str">
        <f>IF(SUM(ME13:MF13,MH13)-MG13&gt;0,SUM(ME13:MF13,MH13)-MG13,"")</f>
        <v/>
      </c>
      <c r="MT13" s="19" t="str">
        <f>IF(SUM(MJ13,MN13)&gt;0,SUM(MJ13,MN13),"")</f>
        <v/>
      </c>
      <c r="MU13" s="19" t="str">
        <f>IF(SUM(MI13:MJ13,ML13:MN13,MP13)-SUM(MK13,MO13)&gt;0,SUM(MI13:MJ13,ML13:MN13,MP13)-SUM(MK13,MO13),"")</f>
        <v/>
      </c>
      <c r="MV13" s="19" t="str">
        <f>IF(SUM(MR13,MU13)&gt;0,SUM(MR13,MU13),"")</f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>IF(SUM(MX13,NB13)&gt;0,SUM(MX13,NB13),"")</f>
        <v/>
      </c>
      <c r="NR13" s="78" t="str">
        <f>IF(SUM(MW13:MX13,MZ13:NB13,ND13)-MY13-NC13&gt;0,SUM(MW13:MX13,MZ13:NB13,ND13)-MY13-NC13,"")</f>
        <v/>
      </c>
      <c r="NS13" s="78" t="str">
        <f>IF(SUM(NE13:NF13,NH13)-NG13&gt;0,SUM(NE13:NF13,NH13)-NG13,"")</f>
        <v/>
      </c>
      <c r="NT13" s="78" t="str">
        <f>IF(SUM(NJ13,NN13)&gt;0,SUM(NJ13,NN13),"")</f>
        <v/>
      </c>
      <c r="NU13" s="78" t="str">
        <f>IF(SUM(NI13:NJ13,NL13:NN13,NP13)-SUM(NK13,NO13)&gt;0,SUM(NI13:NJ13,NL13:NN13,NP13)-SUM(NK13,NO13),"")</f>
        <v/>
      </c>
      <c r="NV13" s="78" t="str">
        <f>IF(SUM(NR13,NU13)&gt;0,SUM(NR13,NU13),"")</f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>IF(SUM(NX13,OB13)&gt;0,SUM(NX13,OB13),"")</f>
        <v/>
      </c>
      <c r="OR13" s="19" t="str">
        <f>IF(SUM(NW13:NX13,NZ13:OB13,OD13)-NY13-OC13&gt;0,SUM(NW13:NX13,NZ13:OB13,OD13)-NY13-OC13,"")</f>
        <v/>
      </c>
      <c r="OS13" s="19" t="str">
        <f>IF(SUM(OE13:OF13,OH13)-OG13&gt;0,SUM(OE13:OF13,OH13)-OG13,"")</f>
        <v/>
      </c>
      <c r="OT13" s="19" t="str">
        <f>IF(SUM(OJ13,ON13)&gt;0,SUM(OJ13,ON13),"")</f>
        <v/>
      </c>
      <c r="OU13" s="19" t="str">
        <f>IF(SUM(OI13:OJ13,OL13:ON13,OP13)-SUM(OK13,OO13)&gt;0,SUM(OI13:OJ13,OL13:ON13,OP13)-SUM(OK13,OO13),"")</f>
        <v/>
      </c>
      <c r="OV13" s="19" t="str">
        <f>IF(SUM(OR13,OU13)&gt;0,SUM(OR13,OU13),"")</f>
        <v/>
      </c>
      <c r="OW13" s="37">
        <f>IF($CN13="P",BT13,(BT13+AS13)/2)</f>
        <v>16.100000000000001</v>
      </c>
      <c r="OX13" s="37">
        <f>IF($CN13="P",BU13,(BU13+AT13)/2)</f>
        <v>4.2</v>
      </c>
      <c r="OY13" s="37">
        <f>IF($CN13="P",BV13,(BV13+AU13)/2)</f>
        <v>0.1</v>
      </c>
      <c r="OZ13" s="37">
        <f>IF($CN13="P",BW13,(BW13+AV13)/2)</f>
        <v>0</v>
      </c>
      <c r="PA13" s="37">
        <f>IF($CN13="P",BX13,(BX13+AW13)/2)</f>
        <v>15.2</v>
      </c>
      <c r="PB13" s="37">
        <f>IF($CN13="P",BY13,(BY13+AX13)/2)</f>
        <v>4.9000000000000004</v>
      </c>
      <c r="PC13" s="37">
        <f>IF($CN13="P",BZ13,(BZ13+AY13)/2)</f>
        <v>0.45</v>
      </c>
      <c r="PD13" s="37">
        <f>IF($CN13="P",CA13,(CA13+AZ13)/2)</f>
        <v>0</v>
      </c>
      <c r="PE13" s="37">
        <f>IF($CN13="P",CB13,(CB13+BA13)/2)</f>
        <v>0</v>
      </c>
      <c r="PF13" s="37">
        <f>IF($CN13="P",CC13,(CC13+BB13)/2)</f>
        <v>0</v>
      </c>
      <c r="PG13" s="37">
        <f>IF($CN13="P",CD13,(CD13+BC13)/2)</f>
        <v>0</v>
      </c>
      <c r="PH13" s="37">
        <f>IF($CN13="P",CE13,(CE13+BD13)/2)</f>
        <v>0</v>
      </c>
      <c r="PI13" s="37">
        <f>IF($CN13="P",CF13,(CF13+BE13)/2)</f>
        <v>8.5</v>
      </c>
      <c r="PJ13" s="37">
        <f>IF($CN13="P",CG13,(CG13+BF13)/2)</f>
        <v>2.65</v>
      </c>
      <c r="PK13" s="37">
        <f>IF($CN13="P",CH13,(CH13+BG13)/2)</f>
        <v>0</v>
      </c>
      <c r="PL13" s="37">
        <f>IF($CN13="P",CI13,(CI13+BH13)/2)</f>
        <v>0</v>
      </c>
      <c r="PM13" s="37">
        <f>IF($CN13="P",CJ13,(CJ13+BI13)/2)</f>
        <v>8.0500000000000007</v>
      </c>
      <c r="PN13" s="37">
        <f>IF($CN13="P",CK13,(CK13+BJ13)/2)</f>
        <v>2.35</v>
      </c>
      <c r="PO13" s="37">
        <f>IF($CN13="P",CL13,(CL13+BK13)/2)</f>
        <v>0.25</v>
      </c>
      <c r="PP13" s="37">
        <f>IF($CN13="P",CM13,(CM13+BL13)/2)</f>
        <v>0</v>
      </c>
      <c r="PQ13" s="44" t="s">
        <v>46</v>
      </c>
      <c r="PR13" s="78">
        <f>IF(SUM(OX13,PB13)&gt;0,SUM(OX13,PB13),"")</f>
        <v>9.1000000000000014</v>
      </c>
      <c r="PS13" s="78">
        <f>IF(SUM(OW13:OX13,OZ13:PB13,PD13)-OY13-PC13&gt;0,SUM(OW13:OX13,OZ13:PB13,PD13)-OY13-PC13,"")</f>
        <v>39.849999999999994</v>
      </c>
      <c r="PT13" s="78" t="str">
        <f>IF(SUM(PE13:PF13,PH13)-PG13&gt;0,SUM(PE13:PF13,PH13)-PG13,"")</f>
        <v/>
      </c>
      <c r="PU13" s="78">
        <f>IF(SUM(PJ13,PN13)&gt;0,SUM(PJ13,PN13),"")</f>
        <v>5</v>
      </c>
      <c r="PV13" s="78">
        <f>IF(SUM(PI13:PJ13,PL13:PN13,PP13)-SUM(PK13,PO13)&gt;0,SUM(PI13:PJ13,PL13:PN13,PP13)-SUM(PK13,PO13),"")</f>
        <v>21.300000000000004</v>
      </c>
      <c r="PW13" s="78">
        <f>IF(SUM(PS13,PV13)&gt;0,SUM(PS13,PV13),"")</f>
        <v>61.15</v>
      </c>
    </row>
    <row r="14" spans="1:439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77" t="s">
        <v>130</v>
      </c>
      <c r="C14" s="5" t="s">
        <v>4</v>
      </c>
      <c r="D14" s="5">
        <v>2005</v>
      </c>
      <c r="E14" s="15">
        <f>SUM(I14:O14)+SUM(I14:M14)*0.0000001+SUM(I14)*0.0000000000001</f>
        <v>116.50001165000403</v>
      </c>
      <c r="F14" s="3" t="str">
        <f>IF(OR(AND(AM14&gt;=AR$18,AN14&gt;=AR$22,AM14&lt;&gt;"",AL14=""),AND(AP14&gt;=AR$18,AQ14&gt;=AR$22,AP14&lt;&gt;"",AL14=""),AND(BN14&gt;=BS$18,BO14&gt;=BS$22,BN14&lt;&gt;"",BM14=""),AND(BQ14&gt;=BS$18,BR14&gt;=BS$22,BQ14&lt;&gt;"",BM14=""),AND(CO14&gt;=CT$18,CP14&gt;=CT$22,CO14&lt;&gt;"",CN14=""),AND(CR14&gt;=CT$18,CS14&gt;=CT$22,CR14&lt;&gt;""),AND(DQ14&gt;=DV$18,DR14&gt;=DV$22,DQ14&lt;&gt;""),AND(DT14&gt;=DV$18,DU14&gt;=DV$22,DT14&lt;&gt;""),AND(EQ14&gt;=EV$18,ER14&gt;=EV$22,EQ14&lt;&gt;""),AND(ET14&gt;=EV$18,EU14&gt;=EV$22,ET14&lt;&gt;""),AND(FQ14&gt;=FV$18,FR14&gt;=FV$22,FQ14&lt;&gt;""),AND(FT14&gt;=FV$18,FU14&gt;=FV$22,FT14&lt;&gt;""),AND(GQ14&gt;=GV$18,GR14&gt;=GV$22,GQ14&lt;&gt;""),AND(GT14&gt;=GV$18,GU14&gt;=GV$22,GT14&lt;&gt;""),AND(HQ14&gt;=HV$18,HR14&gt;=HV$22,HQ14&lt;&gt;""),AND(HT14&gt;=HV$18,HU14&gt;=HV$22,HT14&lt;&gt;""),AND(IQ14&gt;=IV$18,IR14&gt;=IV$22,IQ14&lt;&gt;""),AND(IT14&gt;=IV$18,IU14&gt;=IV$22,IT14&lt;&gt;""),AND(JQ14&gt;=JV$18,JR14&gt;=JV$22,JQ14&lt;&gt;""),AND(JT14&gt;=JV$18,JU14&gt;=JV$22,JT14&lt;&gt;""),AND(KQ14&gt;=KV$18,KR14&gt;=KV$22,KQ14&lt;&gt;""),AND(KT14&gt;=KV$18,KU14&gt;=KV$22,KT14&lt;&gt;""),AND(LQ14&gt;=LV$18,LR14&gt;=LV$22,LQ14&lt;&gt;""),AND(LT14&gt;=LV$18,LU14&gt;=LV$22,LT14&lt;&gt;""),AND(MQ14&gt;=MV$18,MR14&gt;=MV$22,MQ14&lt;&gt;""),AND(MT14&gt;=MV$18,MU14&gt;=MV$22,MT14&lt;&gt;""),AND(NQ14&gt;=NV$18,NR14&gt;=NV$22,NQ14&lt;&gt;""),AND(NT14&gt;=NV$18,NU14&gt;=NV$22,NT14&lt;&gt;""),AND(OQ14&gt;=OV$18,OR14&gt;=OV$22,OQ14&lt;&gt;""),AND(OT14&gt;=OV$18,OU14&gt;=OV$22,OT14&lt;&gt;"")),"P","")</f>
        <v/>
      </c>
      <c r="G14" s="3" t="str">
        <f>IF(OR(AND(AN14&gt;=AR$22,AN14&lt;&gt;"",AL14=""),AND(AQ14&gt;=AR$22,AQ14&lt;&gt;"",AL14=""),AND(BO14&gt;=BS$22,BO14&lt;&gt;"",BM14=""),AND(BR14&gt;=BS$22,BR14&lt;&gt;"",BM14=""),AND(CP14&gt;=CT$22,CP14&lt;&gt;"",CN14=""),AND(CS14&gt;=CT$22,CS14&lt;&gt;"",CN14=""),AND(DR14&gt;=DV$22,DR14&lt;&gt;""),AND(DU14&gt;=DV$22,DU14&lt;&gt;""),AND(ER14&gt;=EV$22,ER14&lt;&gt;""),AND(EU14&gt;=EV$22,EU14&lt;&gt;""),AND(FR14&gt;=FV$22,FR14&lt;&gt;""),AND(FU14&gt;=FV$22,FU14&lt;&gt;""),AND(GR14&gt;=GV$22,GR14&lt;&gt;""),AND(GU14&gt;=GV$22,GU14&lt;&gt;""),AND(HR14&gt;=HV$22,HR14&lt;&gt;""),AND(HU14&gt;=HV$22,HU14&lt;&gt;""),AND(IR14&gt;=IV$22,IR14&lt;&gt;""),AND(IU14&gt;=IV$22,IU14&lt;&gt;""),AND(JR14&gt;=JV$22,JR14&lt;&gt;""),AND(JU14&gt;=JV$22,JU14&lt;&gt;""),AND(KR14&gt;=KV$22,KR14&lt;&gt;""),AND(KU14&gt;=KV$22,KU14&lt;&gt;""),AND(LR14&gt;=LV$22,LR14&lt;&gt;""),AND(LU14&gt;=LV$22,LU14&lt;&gt;""),AND(MR14&gt;=MV$22,MR14&lt;&gt;""),AND(MU14&gt;=MV$22,MU14&lt;&gt;""),AND(NR14&gt;=NV$22,NR14&lt;&gt;""),AND(NU14&gt;=NV$22,NU14&lt;&gt;""),AND(OR14&gt;=OV$22,OR14&lt;&gt;""),AND(OU14&gt;=OV$22,OU14&lt;&gt;"")),"P","")</f>
        <v/>
      </c>
      <c r="H14" s="66" t="str">
        <f>IF(AND(G14="P",F14=""),"No DD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Merit",IF(OR(AND(AM14&gt;=AR$20,AN14&gt;=AR$24,AM14&lt;&gt;"",AL14=""),AND(AP14&gt;=AR$20,AQ14&gt;=AR$24,AP14&lt;&gt;"",AL14=""),AND(BN14&gt;=BS$20,BO14&gt;=BS$24,BN14&lt;&gt;"",BM14=""),AND(BQ14&gt;=BS$20,BR14&gt;=BS$24,BQ14&lt;&gt;"",BM14=""),AND(CO14&gt;=CT$20,CP14&gt;=CT$24,CO14&lt;&gt;"",CN14=""),AND(CR14&gt;=CT$20,CS14&gt;=CT$24,CR14&lt;&gt;""),AND(DQ14&gt;=DV$20,DR14&gt;=DV$24,DQ14&lt;&gt;""),AND(DT14&gt;=DV$20,DU14&gt;=DV$24,DT14&lt;&gt;""),AND(EQ14&gt;=EV$20,ER14&gt;=EV$24,EQ14&lt;&gt;""),AND(ET14&gt;=EV$20,EU14&gt;=EV$24,ET14&lt;&gt;""),AND(FQ14&gt;=FV$20,FR14&gt;=FV$24,FQ14&lt;&gt;""),AND(FT14&gt;=FV$20,FU14&gt;=FV$24,FT14&lt;&gt;""),AND(GQ14&gt;=GV$20,GR14&gt;=GV$24,GQ14&lt;&gt;""),AND(GT14&gt;=GV$20,GU14&gt;=GV$24,GT14&lt;&gt;""),AND(HQ14&gt;=HV$20,HR14&gt;=HV$24,HQ14&lt;&gt;""),AND(HT14&gt;=HV$20,HU14&gt;=HV$24,HT14&lt;&gt;""),AND(IQ14&gt;=IV$20,IR14&gt;=IV$24,IQ14&lt;&gt;""),AND(IT14&gt;=IV$20,IU14&gt;=IV$24,IT14&lt;&gt;""),AND(JQ14&gt;=JV$20,JR14&gt;=JV$24,JQ14&lt;&gt;""),AND(JT14&gt;=JV$20,JU14&gt;=JV$24,JT14&lt;&gt;""),AND(KQ14&gt;=KV$20,KR14&gt;=KV$24,KQ14&lt;&gt;""),AND(KT14&gt;=KV$20,KU14&gt;=KV$24,KT14&lt;&gt;""),AND(LQ14&gt;=LV$20,LR14&gt;=LV$24,LQ14&lt;&gt;""),AND(LT14&gt;=LV$20,LU14&gt;=LV$24,LT14&lt;&gt;""),AND(MQ14&gt;=MV$20,MR14&gt;=MV$24,MQ14&lt;&gt;""),AND(MT14&gt;=MV$20,MU14&gt;=MV$24,MT14&lt;&gt;""),AND(NQ14&gt;=NV$20,NR14&gt;=NV$24,NQ14&lt;&gt;""),AND(NT14&gt;=NV$20,NU14&gt;=NV$24,NT14&lt;&gt;""),AND(OQ14&gt;=OV$20,OR14&gt;=OV$24,OQ14&lt;&gt;""),AND(OT14&gt;=OV$20,OU14&gt;=OV$24,OT14&lt;&gt;"")),"Excellence",IF(F14="P","National Team",""))))</f>
        <v/>
      </c>
      <c r="I14" s="14">
        <f>IF(COUNT(AN14,BO14,CP14)&gt;0,LARGE((AN14,BO14,CP14),1),0)</f>
        <v>40.29999999999999</v>
      </c>
      <c r="J14" s="14" t="str">
        <f>IF(I14=0,"",IF(I14=CP14,$BT$1,IF(I14=BO14,$AS$1,IF(I14=AN14,$R$1,""))))</f>
        <v>2022 Nationals</v>
      </c>
      <c r="K14" s="14">
        <f>IF(COUNT(AN14,BO14,CP14)&gt;1,LARGE((AN14,BO14,CP14),2),0)</f>
        <v>38.6</v>
      </c>
      <c r="L14" s="14" t="str">
        <f>IF(K14=0,"",IF(K14=CP14,$BT$1,IF(K14=BO14,$AS$1,IF(K14=AN14,$R$1,""))))</f>
        <v>2022 Elite Canada</v>
      </c>
      <c r="M14" s="14">
        <f>IF(MAX(AQ14,BR14,CS14)&gt;0,MAX(AQ14,BR14,CS14),0)</f>
        <v>37.599999999999994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19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6">
        <v>15.6</v>
      </c>
      <c r="S14" s="26">
        <v>3.2</v>
      </c>
      <c r="T14" s="26">
        <v>0</v>
      </c>
      <c r="U14" s="26">
        <v>0</v>
      </c>
      <c r="V14" s="26">
        <v>15.4</v>
      </c>
      <c r="W14" s="26">
        <v>4.0999999999999996</v>
      </c>
      <c r="X14" s="26">
        <v>0</v>
      </c>
      <c r="Y14" s="26">
        <v>0.3</v>
      </c>
      <c r="Z14" s="26"/>
      <c r="AA14" s="26"/>
      <c r="AB14" s="26"/>
      <c r="AC14" s="26"/>
      <c r="AD14" s="26">
        <v>14.8</v>
      </c>
      <c r="AE14" s="26">
        <v>3.4</v>
      </c>
      <c r="AF14" s="26">
        <v>0</v>
      </c>
      <c r="AG14" s="26">
        <v>0</v>
      </c>
      <c r="AH14" s="26">
        <v>15.2</v>
      </c>
      <c r="AI14" s="26">
        <v>3.9</v>
      </c>
      <c r="AJ14" s="26">
        <v>0</v>
      </c>
      <c r="AK14" s="26">
        <v>0.3</v>
      </c>
      <c r="AL14" s="44"/>
      <c r="AM14" s="78">
        <f>IF(SUM(S14,W14)&gt;0,SUM(S14,W14),"")</f>
        <v>7.3</v>
      </c>
      <c r="AN14" s="78">
        <f>IF(SUM(R14:S14,U14:W14,Y14)-T14-X14&gt;0,SUM(R14:S14,U14:W14,Y14)-T14-X14,"")</f>
        <v>38.6</v>
      </c>
      <c r="AO14" s="78" t="str">
        <f>IF(SUM(Z14:AA14,AC14)-AB14&gt;0,SUM(Z14:AA14,AC14)-AB14,"")</f>
        <v/>
      </c>
      <c r="AP14" s="78">
        <f>IF(SUM(AE14,AI14)&gt;0,SUM(AE14,AI14),"")</f>
        <v>7.3</v>
      </c>
      <c r="AQ14" s="78">
        <f>IF(SUM(AD14:AE14,AG14:AI14,AK14)-SUM(AF14,AJ14)&gt;0,SUM(AD14:AE14,AG14:AI14,AK14)-SUM(AF14,AJ14),"")</f>
        <v>37.599999999999994</v>
      </c>
      <c r="AR14" s="78">
        <f>IF(SUM(AN14,AQ14)&gt;0,SUM(AN14,AQ14),"")</f>
        <v>76.199999999999989</v>
      </c>
      <c r="AS14" s="25">
        <v>16.7</v>
      </c>
      <c r="AT14" s="25">
        <v>3.4</v>
      </c>
      <c r="AU14" s="25">
        <v>0</v>
      </c>
      <c r="AV14" s="25">
        <v>0</v>
      </c>
      <c r="AW14" s="25">
        <v>16</v>
      </c>
      <c r="AX14" s="25">
        <v>3.9</v>
      </c>
      <c r="AY14" s="25">
        <v>0</v>
      </c>
      <c r="AZ14" s="25">
        <v>0.3</v>
      </c>
      <c r="BA14" s="25"/>
      <c r="BB14" s="25"/>
      <c r="BC14" s="25"/>
      <c r="BD14" s="25"/>
      <c r="BE14" s="25">
        <v>14.9</v>
      </c>
      <c r="BF14" s="25">
        <v>1.2</v>
      </c>
      <c r="BG14" s="25">
        <v>0</v>
      </c>
      <c r="BH14" s="25">
        <v>0</v>
      </c>
      <c r="BI14" s="25">
        <v>15.2</v>
      </c>
      <c r="BJ14" s="25">
        <v>3.9</v>
      </c>
      <c r="BK14" s="25">
        <v>0</v>
      </c>
      <c r="BL14" s="25">
        <v>0.3</v>
      </c>
      <c r="BM14" s="45"/>
      <c r="BN14" s="19">
        <f>IF(SUM(AT14,AX14)&gt;0,SUM(AT14,AX14),"")</f>
        <v>7.3</v>
      </c>
      <c r="BO14" s="19">
        <f>IF(SUM(AS14:AT14,AV14:AX14,AZ14)-AU14-AY14&gt;0,SUM(AS14:AT14,AV14:AX14,AZ14)-AU14-AY14,"")</f>
        <v>40.29999999999999</v>
      </c>
      <c r="BP14" s="19" t="str">
        <f>IF(SUM(BA14:BB14,BD14)-BC14&gt;0,SUM(BA14:BB14,BD14)-BC14,"")</f>
        <v/>
      </c>
      <c r="BQ14" s="19">
        <f>IF(SUM(BF14,BJ14)&gt;0,SUM(BF14,BJ14),"")</f>
        <v>5.0999999999999996</v>
      </c>
      <c r="BR14" s="19">
        <f>IF(SUM(BE14:BF14,BH14:BJ14,BL14)-SUM(BG14,BK14)&gt;0,SUM(BE14:BF14,BH14:BJ14,BL14)-SUM(BG14,BK14),"")</f>
        <v>35.5</v>
      </c>
      <c r="BS14" s="19">
        <f>IF(SUM(BO14,BR14)&gt;0,SUM(BO14,BR14),"")</f>
        <v>75.799999999999983</v>
      </c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44"/>
      <c r="CO14" s="78" t="str">
        <f>IF(SUM(BU14,BY14)&gt;0,SUM(BU14,BY14),"")</f>
        <v/>
      </c>
      <c r="CP14" s="78" t="str">
        <f>IF(SUM(BT14:BU14,BW14:BY14,CA14)-BV14-BZ14&gt;0,SUM(BT14:BU14,BW14:BY14,CA14)-BV14-BZ14,"")</f>
        <v/>
      </c>
      <c r="CQ14" s="78" t="str">
        <f>IF(SUM(CB14:CC14,CE14)-CD14&gt;0,SUM(CB14:CC14,CE14)-CD14,"")</f>
        <v/>
      </c>
      <c r="CR14" s="78" t="str">
        <f>IF(SUM(CG14,CK14)&gt;0,SUM(CG14,CK14),"")</f>
        <v/>
      </c>
      <c r="CS14" s="78" t="str">
        <f>IF(SUM(CF14:CG14,CI14:CK14,CM14)-SUM(CH14,CL14)&gt;0,SUM(CF14:CG14,CI14:CK14,CM14)-SUM(CH14,CL14),"")</f>
        <v/>
      </c>
      <c r="CT14" s="78" t="str">
        <f>IF(SUM(CP14,CS14)&gt;0,SUM(CP14,CS14),"")</f>
        <v/>
      </c>
      <c r="CU14" s="79" t="str">
        <f>IF(K14&gt;=0.001,IF(MAX(DR14,ER14,FR14,GR14,HR14,IR14,JR14,KR14,LR14,MR14,NR14,OR14)-IF(K14="",0,K14)&gt;0.001,MAX(DR14,ER14,FR14,GR14,HR14,IR14,JR14,KR14,LR14,MR14,NR14,OR14)-IF(K14="",0,K14),""),"")</f>
        <v/>
      </c>
      <c r="CV14" s="79" t="str">
        <f>IF(M14&gt;=0.001,IF(MAX(DU14,EU14,FU14,GU14,HU14,IU14,JU14,KU14,LU14,MU14,NU14,OU14)-IF(M14="",0,M14)&gt;0.001,MAX(DU14,EU14,FU14,GU14,HU14,IU14,JU14,KU14,LU14,MU14,NU14,OU14)-IF(M14="",0,M14),""),"")</f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>IF(SUM(CX14,DB14)&gt;0,SUM(CX14,DB14),"")</f>
        <v/>
      </c>
      <c r="DR14" s="78" t="str">
        <f>IF(SUM(CW14:CX14,CZ14:DB14,DD14)-CY14-DC14&gt;0,SUM(CW14:CX14,CZ14:DB14,DD14)-CY14-DC14,"")</f>
        <v/>
      </c>
      <c r="DS14" s="78" t="str">
        <f>IF(SUM(DE14:DF14,DH14)-DG14&gt;0,SUM(DE14:DF14,DH14)-DG14,"")</f>
        <v/>
      </c>
      <c r="DT14" s="78" t="str">
        <f>IF(SUM(DJ14,DN14)&gt;0,SUM(DJ14,DN14),"")</f>
        <v/>
      </c>
      <c r="DU14" s="78" t="str">
        <f>IF(SUM(DI14:DJ14,DL14:DN14,DP14)-SUM(DK14,DO14)&gt;0,SUM(DI14:DJ14,DL14:DN14,DP14)-SUM(DK14,DO14),"")</f>
        <v/>
      </c>
      <c r="DV14" s="78" t="str">
        <f>IF(SUM(DR14,DU14)&gt;0,SUM(DR14,DU14),"")</f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>IF(SUM(DX14,EB14)&gt;0,SUM(DX14,EB14),"")</f>
        <v/>
      </c>
      <c r="ER14" s="19" t="str">
        <f>IF(SUM(DW14:DX14,DZ14:EB14,ED14)-DY14-EC14&gt;0,SUM(DW14:DX14,DZ14:EB14,ED14)-DY14-EC14,"")</f>
        <v/>
      </c>
      <c r="ES14" s="19" t="str">
        <f>IF(SUM(EE14:EF14,EH14)-EG14&gt;0,SUM(EE14:EF14,EH14)-EG14,"")</f>
        <v/>
      </c>
      <c r="ET14" s="19" t="str">
        <f>IF(SUM(EJ14,EN14)&gt;0,SUM(EJ14,EN14),"")</f>
        <v/>
      </c>
      <c r="EU14" s="19" t="str">
        <f>IF(SUM(EI14:EJ14,EL14:EN14,EP14)-SUM(EK14,EO14)&gt;0,SUM(EI14:EJ14,EL14:EN14,EP14)-SUM(EK14,EO14),"")</f>
        <v/>
      </c>
      <c r="EV14" s="19" t="str">
        <f>IF(SUM(ER14,EU14)&gt;0,SUM(ER14,EU14),"")</f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>IF(SUM(EX14,FB14)&gt;0,SUM(EX14,FB14),"")</f>
        <v/>
      </c>
      <c r="FR14" s="78" t="str">
        <f>IF(SUM(EW14:EX14,EZ14:FB14,FD14)-EY14-FC14&gt;0,SUM(EW14:EX14,EZ14:FB14,FD14)-EY14-FC14,"")</f>
        <v/>
      </c>
      <c r="FS14" s="78" t="str">
        <f>IF(SUM(FE14:FF14,FH14)-FG14&gt;0,SUM(FE14:FF14,FH14)-FG14,"")</f>
        <v/>
      </c>
      <c r="FT14" s="78" t="str">
        <f>IF(SUM(FJ14,FN14)&gt;0,SUM(FJ14,FN14),"")</f>
        <v/>
      </c>
      <c r="FU14" s="78" t="str">
        <f>IF(SUM(FI14:FJ14,FL14:FN14,FP14)-SUM(FK14,FO14)&gt;0,SUM(FI14:FJ14,FL14:FN14,FP14)-SUM(FK14,FO14),"")</f>
        <v/>
      </c>
      <c r="FV14" s="78" t="str">
        <f>IF(SUM(FR14,FU14)&gt;0,SUM(FR14,FU14),"")</f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>IF(SUM(FX14,GB14)&gt;0,SUM(FX14,GB14),"")</f>
        <v/>
      </c>
      <c r="GR14" s="19" t="str">
        <f>IF(SUM(FW14:FX14,FZ14:GB14,GD14)-FY14-GC14&gt;0,SUM(FW14:FX14,FZ14:GB14,GD14)-FY14-GC14,"")</f>
        <v/>
      </c>
      <c r="GS14" s="19" t="str">
        <f>IF(SUM(GE14:GF14,GH14)-GG14&gt;0,SUM(GE14:GF14,GH14)-GG14,"")</f>
        <v/>
      </c>
      <c r="GT14" s="19" t="str">
        <f>IF(SUM(GJ14,GN14)&gt;0,SUM(GJ14,GN14),"")</f>
        <v/>
      </c>
      <c r="GU14" s="19" t="str">
        <f>IF(SUM(GI14:GJ14,GL14:GN14,GP14)-SUM(GK14,GO14)&gt;0,SUM(GI14:GJ14,GL14:GN14,GP14)-SUM(GK14,GO14),"")</f>
        <v/>
      </c>
      <c r="GV14" s="19" t="str">
        <f>IF(SUM(GR14,GU14)&gt;0,SUM(GR14,GU14),"")</f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>IF(SUM(GX14,HB14)&gt;0,SUM(GX14,HB14),"")</f>
        <v/>
      </c>
      <c r="HR14" s="78" t="str">
        <f>IF(SUM(GW14:GX14,GZ14:HB14,HD14)-GY14-HC14&gt;0,SUM(GW14:GX14,GZ14:HB14,HD14)-GY14-HC14,"")</f>
        <v/>
      </c>
      <c r="HS14" s="78" t="str">
        <f>IF(SUM(HE14:HF14,HH14)-HG14&gt;0,SUM(HE14:HF14,HH14)-HG14,"")</f>
        <v/>
      </c>
      <c r="HT14" s="78" t="str">
        <f>IF(SUM(HJ14,HN14)&gt;0,SUM(HJ14,HN14),"")</f>
        <v/>
      </c>
      <c r="HU14" s="78" t="str">
        <f>IF(SUM(HI14:HJ14,HL14:HN14,HP14)-SUM(HK14,HO14)&gt;0,SUM(HI14:HJ14,HL14:HN14,HP14)-SUM(HK14,HO14),"")</f>
        <v/>
      </c>
      <c r="HV14" s="78" t="str">
        <f>IF(SUM(HR14,HU14)&gt;0,SUM(HR14,HU14),"")</f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>IF(SUM(HX14,IB14)&gt;0,SUM(HX14,IB14),"")</f>
        <v/>
      </c>
      <c r="IR14" s="19" t="str">
        <f>IF(SUM(HW14:HX14,HZ14:IB14,ID14)-HY14-IC14&gt;0,SUM(HW14:HX14,HZ14:IB14,ID14)-HY14-IC14,"")</f>
        <v/>
      </c>
      <c r="IS14" s="19" t="str">
        <f>IF(SUM(IE14:IF14,IH14)-IG14&gt;0,SUM(IE14:IF14,IH14)-IG14,"")</f>
        <v/>
      </c>
      <c r="IT14" s="19" t="str">
        <f>IF(SUM(IJ14,IN14)&gt;0,SUM(IJ14,IN14),"")</f>
        <v/>
      </c>
      <c r="IU14" s="19" t="str">
        <f>IF(SUM(II14:IJ14,IL14:IN14,IP14)-SUM(IK14,IO14)&gt;0,SUM(II14:IJ14,IL14:IN14,IP14)-SUM(IK14,IO14),"")</f>
        <v/>
      </c>
      <c r="IV14" s="19" t="str">
        <f>IF(SUM(IR14,IU14)&gt;0,SUM(IR14,IU14),"")</f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>IF(SUM(IX14,JB14)&gt;0,SUM(IX14,JB14),"")</f>
        <v/>
      </c>
      <c r="JR14" s="78" t="str">
        <f>IF(SUM(IW14:IX14,IZ14:JB14,JD14)-IY14-JC14&gt;0,SUM(IW14:IX14,IZ14:JB14,JD14)-IY14-JC14,"")</f>
        <v/>
      </c>
      <c r="JS14" s="78" t="str">
        <f>IF(SUM(JE14:JF14,JH14)-JG14&gt;0,SUM(JE14:JF14,JH14)-JG14,"")</f>
        <v/>
      </c>
      <c r="JT14" s="78" t="str">
        <f>IF(SUM(JJ14,JN14)&gt;0,SUM(JJ14,JN14),"")</f>
        <v/>
      </c>
      <c r="JU14" s="78" t="str">
        <f>IF(SUM(JI14:JJ14,JL14:JN14,JP14)-SUM(JK14,JO14)&gt;0,SUM(JI14:JJ14,JL14:JN14,JP14)-SUM(JK14,JO14),"")</f>
        <v/>
      </c>
      <c r="JV14" s="78" t="str">
        <f>IF(SUM(JR14,JU14)&gt;0,SUM(JR14,JU14),"")</f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>IF(SUM(JX14,KB14)&gt;0,SUM(JX14,KB14),"")</f>
        <v/>
      </c>
      <c r="KR14" s="19" t="str">
        <f>IF(SUM(JW14:JX14,JZ14:KB14,KD14)-JY14-KC14&gt;0,SUM(JW14:JX14,JZ14:KB14,KD14)-JY14-KC14,"")</f>
        <v/>
      </c>
      <c r="KS14" s="19" t="str">
        <f>IF(SUM(KE14:KF14,KH14)-KG14&gt;0,SUM(KE14:KF14,KH14)-KG14,"")</f>
        <v/>
      </c>
      <c r="KT14" s="19" t="str">
        <f>IF(SUM(KJ14,KN14)&gt;0,SUM(KJ14,KN14),"")</f>
        <v/>
      </c>
      <c r="KU14" s="19" t="str">
        <f>IF(SUM(KI14:KJ14,KL14:KN14,KP14)-SUM(KK14,KO14)&gt;0,SUM(KI14:KJ14,KL14:KN14,KP14)-SUM(KK14,KO14),"")</f>
        <v/>
      </c>
      <c r="KV14" s="19" t="str">
        <f>IF(SUM(KR14,KU14)&gt;0,SUM(KR14,KU14),"")</f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>IF(SUM(KX14,LB14)&gt;0,SUM(KX14,LB14),"")</f>
        <v/>
      </c>
      <c r="LR14" s="78" t="str">
        <f>IF(SUM(KW14:KX14,KZ14:LB14,LD14)-KY14-LC14&gt;0,SUM(KW14:KX14,KZ14:LB14,LD14)-KY14-LC14,"")</f>
        <v/>
      </c>
      <c r="LS14" s="78" t="str">
        <f>IF(SUM(LE14:LF14,LH14)-LG14&gt;0,SUM(LE14:LF14,LH14)-LG14,"")</f>
        <v/>
      </c>
      <c r="LT14" s="78" t="str">
        <f>IF(SUM(LJ14,LN14)&gt;0,SUM(LJ14,LN14),"")</f>
        <v/>
      </c>
      <c r="LU14" s="78" t="str">
        <f>IF(SUM(LI14:LJ14,LL14:LN14,LP14)-SUM(LK14,LO14)&gt;0,SUM(LI14:LJ14,LL14:LN14,LP14)-SUM(LK14,LO14),"")</f>
        <v/>
      </c>
      <c r="LV14" s="78" t="str">
        <f>IF(SUM(LR14,LU14)&gt;0,SUM(LR14,LU14),"")</f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>IF(SUM(LX14,MB14)&gt;0,SUM(LX14,MB14),"")</f>
        <v/>
      </c>
      <c r="MR14" s="19" t="str">
        <f>IF(SUM(LW14:LX14,LZ14:MB14,MD14)-LY14-MC14&gt;0,SUM(LW14:LX14,LZ14:MB14,MD14)-LY14-MC14,"")</f>
        <v/>
      </c>
      <c r="MS14" s="19" t="str">
        <f>IF(SUM(ME14:MF14,MH14)-MG14&gt;0,SUM(ME14:MF14,MH14)-MG14,"")</f>
        <v/>
      </c>
      <c r="MT14" s="19" t="str">
        <f>IF(SUM(MJ14,MN14)&gt;0,SUM(MJ14,MN14),"")</f>
        <v/>
      </c>
      <c r="MU14" s="19" t="str">
        <f>IF(SUM(MI14:MJ14,ML14:MN14,MP14)-SUM(MK14,MO14)&gt;0,SUM(MI14:MJ14,ML14:MN14,MP14)-SUM(MK14,MO14),"")</f>
        <v/>
      </c>
      <c r="MV14" s="19" t="str">
        <f>IF(SUM(MR14,MU14)&gt;0,SUM(MR14,MU14),"")</f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>IF(SUM(MX14,NB14)&gt;0,SUM(MX14,NB14),"")</f>
        <v/>
      </c>
      <c r="NR14" s="78" t="str">
        <f>IF(SUM(MW14:MX14,MZ14:NB14,ND14)-MY14-NC14&gt;0,SUM(MW14:MX14,MZ14:NB14,ND14)-MY14-NC14,"")</f>
        <v/>
      </c>
      <c r="NS14" s="78" t="str">
        <f>IF(SUM(NE14:NF14,NH14)-NG14&gt;0,SUM(NE14:NF14,NH14)-NG14,"")</f>
        <v/>
      </c>
      <c r="NT14" s="78" t="str">
        <f>IF(SUM(NJ14,NN14)&gt;0,SUM(NJ14,NN14),"")</f>
        <v/>
      </c>
      <c r="NU14" s="78" t="str">
        <f>IF(SUM(NI14:NJ14,NL14:NN14,NP14)-SUM(NK14,NO14)&gt;0,SUM(NI14:NJ14,NL14:NN14,NP14)-SUM(NK14,NO14),"")</f>
        <v/>
      </c>
      <c r="NV14" s="78" t="str">
        <f>IF(SUM(NR14,NU14)&gt;0,SUM(NR14,NU14),"")</f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>IF(SUM(NX14,OB14)&gt;0,SUM(NX14,OB14),"")</f>
        <v/>
      </c>
      <c r="OR14" s="19" t="str">
        <f>IF(SUM(NW14:NX14,NZ14:OB14,OD14)-NY14-OC14&gt;0,SUM(NW14:NX14,NZ14:OB14,OD14)-NY14-OC14,"")</f>
        <v/>
      </c>
      <c r="OS14" s="19" t="str">
        <f>IF(SUM(OE14:OF14,OH14)-OG14&gt;0,SUM(OE14:OF14,OH14)-OG14,"")</f>
        <v/>
      </c>
      <c r="OT14" s="19" t="str">
        <f>IF(SUM(OJ14,ON14)&gt;0,SUM(OJ14,ON14),"")</f>
        <v/>
      </c>
      <c r="OU14" s="19" t="str">
        <f>IF(SUM(OI14:OJ14,OL14:ON14,OP14)-SUM(OK14,OO14)&gt;0,SUM(OI14:OJ14,OL14:ON14,OP14)-SUM(OK14,OO14),"")</f>
        <v/>
      </c>
      <c r="OV14" s="19" t="str">
        <f>IF(SUM(OR14,OU14)&gt;0,SUM(OR14,OU14),"")</f>
        <v/>
      </c>
      <c r="OW14" s="37">
        <f>IF($CN14="P",BT14,(BT14+AS14)/2)</f>
        <v>8.35</v>
      </c>
      <c r="OX14" s="37">
        <f>IF($CN14="P",BU14,(BU14+AT14)/2)</f>
        <v>1.7</v>
      </c>
      <c r="OY14" s="37">
        <f>IF($CN14="P",BV14,(BV14+AU14)/2)</f>
        <v>0</v>
      </c>
      <c r="OZ14" s="37">
        <f>IF($CN14="P",BW14,(BW14+AV14)/2)</f>
        <v>0</v>
      </c>
      <c r="PA14" s="37">
        <f>IF($CN14="P",BX14,(BX14+AW14)/2)</f>
        <v>8</v>
      </c>
      <c r="PB14" s="37">
        <f>IF($CN14="P",BY14,(BY14+AX14)/2)</f>
        <v>1.95</v>
      </c>
      <c r="PC14" s="37">
        <f>IF($CN14="P",BZ14,(BZ14+AY14)/2)</f>
        <v>0</v>
      </c>
      <c r="PD14" s="37">
        <f>IF($CN14="P",CA14,(CA14+AZ14)/2)</f>
        <v>0.15</v>
      </c>
      <c r="PE14" s="37">
        <f>IF($CN14="P",CB14,(CB14+BA14)/2)</f>
        <v>0</v>
      </c>
      <c r="PF14" s="37">
        <f>IF($CN14="P",CC14,(CC14+BB14)/2)</f>
        <v>0</v>
      </c>
      <c r="PG14" s="37">
        <f>IF($CN14="P",CD14,(CD14+BC14)/2)</f>
        <v>0</v>
      </c>
      <c r="PH14" s="37">
        <f>IF($CN14="P",CE14,(CE14+BD14)/2)</f>
        <v>0</v>
      </c>
      <c r="PI14" s="37">
        <f>IF($CN14="P",CF14,(CF14+BE14)/2)</f>
        <v>7.45</v>
      </c>
      <c r="PJ14" s="37">
        <f>IF($CN14="P",CG14,(CG14+BF14)/2)</f>
        <v>0.6</v>
      </c>
      <c r="PK14" s="37">
        <f>IF($CN14="P",CH14,(CH14+BG14)/2)</f>
        <v>0</v>
      </c>
      <c r="PL14" s="37">
        <f>IF($CN14="P",CI14,(CI14+BH14)/2)</f>
        <v>0</v>
      </c>
      <c r="PM14" s="37">
        <f>IF($CN14="P",CJ14,(CJ14+BI14)/2)</f>
        <v>7.6</v>
      </c>
      <c r="PN14" s="37">
        <f>IF($CN14="P",CK14,(CK14+BJ14)/2)</f>
        <v>1.95</v>
      </c>
      <c r="PO14" s="37">
        <f>IF($CN14="P",CL14,(CL14+BK14)/2)</f>
        <v>0</v>
      </c>
      <c r="PP14" s="37">
        <f>IF($CN14="P",CM14,(CM14+BL14)/2)</f>
        <v>0.15</v>
      </c>
      <c r="PQ14" s="44" t="s">
        <v>46</v>
      </c>
      <c r="PR14" s="78">
        <f>IF(SUM(OX14,PB14)&gt;0,SUM(OX14,PB14),"")</f>
        <v>3.65</v>
      </c>
      <c r="PS14" s="78">
        <f>IF(SUM(OW14:OX14,OZ14:PB14,PD14)-OY14-PC14&gt;0,SUM(OW14:OX14,OZ14:PB14,PD14)-OY14-PC14,"")</f>
        <v>20.149999999999995</v>
      </c>
      <c r="PT14" s="78" t="str">
        <f>IF(SUM(PE14:PF14,PH14)-PG14&gt;0,SUM(PE14:PF14,PH14)-PG14,"")</f>
        <v/>
      </c>
      <c r="PU14" s="78">
        <f>IF(SUM(PJ14,PN14)&gt;0,SUM(PJ14,PN14),"")</f>
        <v>2.5499999999999998</v>
      </c>
      <c r="PV14" s="78">
        <f>IF(SUM(PI14:PJ14,PL14:PN14,PP14)-SUM(PK14,PO14)&gt;0,SUM(PI14:PJ14,PL14:PN14,PP14)-SUM(PK14,PO14),"")</f>
        <v>17.75</v>
      </c>
      <c r="PW14" s="78">
        <f>IF(SUM(PS14,PV14)&gt;0,SUM(PS14,PV14),"")</f>
        <v>37.899999999999991</v>
      </c>
    </row>
    <row r="15" spans="1:439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77" t="s">
        <v>171</v>
      </c>
      <c r="C15" s="5" t="s">
        <v>5</v>
      </c>
      <c r="D15" s="5">
        <v>2001</v>
      </c>
      <c r="E15" s="15">
        <f>SUM(I15:O15)+SUM(I15:M15)*0.0000001+SUM(I15)*0.0000000000001</f>
        <v>80.800008080003792</v>
      </c>
      <c r="F15" s="3" t="str">
        <f>IF(OR(AND(AM15&gt;=AR$18,AN15&gt;=AR$22,AM15&lt;&gt;"",AL15=""),AND(AP15&gt;=AR$18,AQ15&gt;=AR$22,AP15&lt;&gt;"",AL15=""),AND(BN15&gt;=BS$18,BO15&gt;=BS$22,BN15&lt;&gt;"",BM15=""),AND(BQ15&gt;=BS$18,BR15&gt;=BS$22,BQ15&lt;&gt;"",BM15=""),AND(CO15&gt;=CT$18,CP15&gt;=CT$22,CO15&lt;&gt;"",CN15=""),AND(CR15&gt;=CT$18,CS15&gt;=CT$22,CR15&lt;&gt;""),AND(DQ15&gt;=DV$18,DR15&gt;=DV$22,DQ15&lt;&gt;""),AND(DT15&gt;=DV$18,DU15&gt;=DV$22,DT15&lt;&gt;""),AND(EQ15&gt;=EV$18,ER15&gt;=EV$22,EQ15&lt;&gt;""),AND(ET15&gt;=EV$18,EU15&gt;=EV$22,ET15&lt;&gt;""),AND(FQ15&gt;=FV$18,FR15&gt;=FV$22,FQ15&lt;&gt;""),AND(FT15&gt;=FV$18,FU15&gt;=FV$22,FT15&lt;&gt;""),AND(GQ15&gt;=GV$18,GR15&gt;=GV$22,GQ15&lt;&gt;""),AND(GT15&gt;=GV$18,GU15&gt;=GV$22,GT15&lt;&gt;""),AND(HQ15&gt;=HV$18,HR15&gt;=HV$22,HQ15&lt;&gt;""),AND(HT15&gt;=HV$18,HU15&gt;=HV$22,HT15&lt;&gt;""),AND(IQ15&gt;=IV$18,IR15&gt;=IV$22,IQ15&lt;&gt;""),AND(IT15&gt;=IV$18,IU15&gt;=IV$22,IT15&lt;&gt;""),AND(JQ15&gt;=JV$18,JR15&gt;=JV$22,JQ15&lt;&gt;""),AND(JT15&gt;=JV$18,JU15&gt;=JV$22,JT15&lt;&gt;""),AND(KQ15&gt;=KV$18,KR15&gt;=KV$22,KQ15&lt;&gt;""),AND(KT15&gt;=KV$18,KU15&gt;=KV$22,KT15&lt;&gt;""),AND(LQ15&gt;=LV$18,LR15&gt;=LV$22,LQ15&lt;&gt;""),AND(LT15&gt;=LV$18,LU15&gt;=LV$22,LT15&lt;&gt;""),AND(MQ15&gt;=MV$18,MR15&gt;=MV$22,MQ15&lt;&gt;""),AND(MT15&gt;=MV$18,MU15&gt;=MV$22,MT15&lt;&gt;""),AND(NQ15&gt;=NV$18,NR15&gt;=NV$22,NQ15&lt;&gt;""),AND(NT15&gt;=NV$18,NU15&gt;=NV$22,NT15&lt;&gt;""),AND(OQ15&gt;=OV$18,OR15&gt;=OV$22,OQ15&lt;&gt;""),AND(OT15&gt;=OV$18,OU15&gt;=OV$22,OT15&lt;&gt;"")),"P","")</f>
        <v/>
      </c>
      <c r="G15" s="3" t="str">
        <f>IF(OR(AND(AN15&gt;=AR$22,AN15&lt;&gt;"",AL15=""),AND(AQ15&gt;=AR$22,AQ15&lt;&gt;"",AL15=""),AND(BO15&gt;=BS$22,BO15&lt;&gt;"",BM15=""),AND(BR15&gt;=BS$22,BR15&lt;&gt;"",BM15=""),AND(CP15&gt;=CT$22,CP15&lt;&gt;"",CN15=""),AND(CS15&gt;=CT$22,CS15&lt;&gt;"",CN15=""),AND(DR15&gt;=DV$22,DR15&lt;&gt;""),AND(DU15&gt;=DV$22,DU15&lt;&gt;""),AND(ER15&gt;=EV$22,ER15&lt;&gt;""),AND(EU15&gt;=EV$22,EU15&lt;&gt;""),AND(FR15&gt;=FV$22,FR15&lt;&gt;""),AND(FU15&gt;=FV$22,FU15&lt;&gt;""),AND(GR15&gt;=GV$22,GR15&lt;&gt;""),AND(GU15&gt;=GV$22,GU15&lt;&gt;""),AND(HR15&gt;=HV$22,HR15&lt;&gt;""),AND(HU15&gt;=HV$22,HU15&lt;&gt;""),AND(IR15&gt;=IV$22,IR15&lt;&gt;""),AND(IU15&gt;=IV$22,IU15&lt;&gt;""),AND(JR15&gt;=JV$22,JR15&lt;&gt;""),AND(JU15&gt;=JV$22,JU15&lt;&gt;""),AND(KR15&gt;=KV$22,KR15&lt;&gt;""),AND(KU15&gt;=KV$22,KU15&lt;&gt;""),AND(LR15&gt;=LV$22,LR15&lt;&gt;""),AND(LU15&gt;=LV$22,LU15&lt;&gt;""),AND(MR15&gt;=MV$22,MR15&lt;&gt;""),AND(MU15&gt;=MV$22,MU15&lt;&gt;""),AND(NR15&gt;=NV$22,NR15&lt;&gt;""),AND(NU15&gt;=NV$22,NU15&lt;&gt;""),AND(OR15&gt;=OV$22,OR15&lt;&gt;""),AND(OU15&gt;=OV$22,OU15&lt;&gt;"")),"P","")</f>
        <v/>
      </c>
      <c r="H15" s="66" t="str">
        <f>IF(AND(G15="P",F15=""),"No DD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Merit",IF(OR(AND(AM15&gt;=AR$20,AN15&gt;=AR$24,AM15&lt;&gt;"",AL15=""),AND(AP15&gt;=AR$20,AQ15&gt;=AR$24,AP15&lt;&gt;"",AL15=""),AND(BN15&gt;=BS$20,BO15&gt;=BS$24,BN15&lt;&gt;"",BM15=""),AND(BQ15&gt;=BS$20,BR15&gt;=BS$24,BQ15&lt;&gt;"",BM15=""),AND(CO15&gt;=CT$20,CP15&gt;=CT$24,CO15&lt;&gt;"",CN15=""),AND(CR15&gt;=CT$20,CS15&gt;=CT$24,CR15&lt;&gt;""),AND(DQ15&gt;=DV$20,DR15&gt;=DV$24,DQ15&lt;&gt;""),AND(DT15&gt;=DV$20,DU15&gt;=DV$24,DT15&lt;&gt;""),AND(EQ15&gt;=EV$20,ER15&gt;=EV$24,EQ15&lt;&gt;""),AND(ET15&gt;=EV$20,EU15&gt;=EV$24,ET15&lt;&gt;""),AND(FQ15&gt;=FV$20,FR15&gt;=FV$24,FQ15&lt;&gt;""),AND(FT15&gt;=FV$20,FU15&gt;=FV$24,FT15&lt;&gt;""),AND(GQ15&gt;=GV$20,GR15&gt;=GV$24,GQ15&lt;&gt;""),AND(GT15&gt;=GV$20,GU15&gt;=GV$24,GT15&lt;&gt;""),AND(HQ15&gt;=HV$20,HR15&gt;=HV$24,HQ15&lt;&gt;""),AND(HT15&gt;=HV$20,HU15&gt;=HV$24,HT15&lt;&gt;""),AND(IQ15&gt;=IV$20,IR15&gt;=IV$24,IQ15&lt;&gt;""),AND(IT15&gt;=IV$20,IU15&gt;=IV$24,IT15&lt;&gt;""),AND(JQ15&gt;=JV$20,JR15&gt;=JV$24,JQ15&lt;&gt;""),AND(JT15&gt;=JV$20,JU15&gt;=JV$24,JT15&lt;&gt;""),AND(KQ15&gt;=KV$20,KR15&gt;=KV$24,KQ15&lt;&gt;""),AND(KT15&gt;=KV$20,KU15&gt;=KV$24,KT15&lt;&gt;""),AND(LQ15&gt;=LV$20,LR15&gt;=LV$24,LQ15&lt;&gt;""),AND(LT15&gt;=LV$20,LU15&gt;=LV$24,LT15&lt;&gt;""),AND(MQ15&gt;=MV$20,MR15&gt;=MV$24,MQ15&lt;&gt;""),AND(MT15&gt;=MV$20,MU15&gt;=MV$24,MT15&lt;&gt;""),AND(NQ15&gt;=NV$20,NR15&gt;=NV$24,NQ15&lt;&gt;""),AND(NT15&gt;=NV$20,NU15&gt;=NV$24,NT15&lt;&gt;""),AND(OQ15&gt;=OV$20,OR15&gt;=OV$24,OQ15&lt;&gt;""),AND(OT15&gt;=OV$20,OU15&gt;=OV$24,OT15&lt;&gt;"")),"Excellence",IF(F15="P","National Team",""))))</f>
        <v/>
      </c>
      <c r="I15" s="14">
        <f>IF(COUNT(AN15,BO15,CP15)&gt;0,LARGE((AN15,BO15,CP15),1),0)</f>
        <v>37.9</v>
      </c>
      <c r="J15" s="14" t="str">
        <f>IF(I15=0,"",IF(I15=CP15,$BT$1,IF(I15=BO15,$AS$1,IF(I15=AN15,$R$1,""))))</f>
        <v>2022 Nationals</v>
      </c>
      <c r="K15" s="14">
        <f>IF(COUNT(AN15,BO15,CP15)&gt;1,LARGE((AN15,BO15,CP15),2),0)</f>
        <v>0</v>
      </c>
      <c r="L15" s="14" t="str">
        <f>IF(K15=0,"",IF(K15=CP15,$BT$1,IF(K15=BO15,$AS$1,IF(K15=AN15,$R$1,""))))</f>
        <v/>
      </c>
      <c r="M15" s="14">
        <f>IF(MAX(AQ15,BR15,CS15)&gt;0,MAX(AQ15,BR15,CS15),0)</f>
        <v>42.9</v>
      </c>
      <c r="N15" s="14" t="str">
        <f>IF(M15=0,"",IF(M15=CS15,$BT$1,IF(M15=BR15,$AS$1,IF(M15=AQ15,$R$1,""))))</f>
        <v>2022 Nationals</v>
      </c>
      <c r="O15" s="14" t="str">
        <f>IF(MAX(CU15:CV15)&gt;0,MAX(CU15:CV15),"")</f>
        <v/>
      </c>
      <c r="P15" s="19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>IF(SUM(S15,W15)&gt;0,SUM(S15,W15),"")</f>
        <v/>
      </c>
      <c r="AN15" s="78" t="str">
        <f>IF(SUM(R15:S15,U15:W15,Y15)-T15-X15&gt;0,SUM(R15:S15,U15:W15,Y15)-T15-X15,"")</f>
        <v/>
      </c>
      <c r="AO15" s="78" t="str">
        <f>IF(SUM(Z15:AA15,AC15)-AB15&gt;0,SUM(Z15:AA15,AC15)-AB15,"")</f>
        <v/>
      </c>
      <c r="AP15" s="78" t="str">
        <f>IF(SUM(AE15,AI15)&gt;0,SUM(AE15,AI15),"")</f>
        <v/>
      </c>
      <c r="AQ15" s="78" t="str">
        <f>IF(SUM(AD15:AE15,AG15:AI15,AK15)-SUM(AF15,AJ15)&gt;0,SUM(AD15:AE15,AG15:AI15,AK15)-SUM(AF15,AJ15),"")</f>
        <v/>
      </c>
      <c r="AR15" s="78" t="str">
        <f>IF(SUM(AN15,AQ15)&gt;0,SUM(AN15,AQ15),"")</f>
        <v/>
      </c>
      <c r="AS15" s="25">
        <v>17.2</v>
      </c>
      <c r="AT15" s="25">
        <v>1.9</v>
      </c>
      <c r="AU15" s="25">
        <v>3.5</v>
      </c>
      <c r="AV15" s="25">
        <v>0</v>
      </c>
      <c r="AW15" s="25">
        <v>17.899999999999999</v>
      </c>
      <c r="AX15" s="25">
        <v>4.4000000000000004</v>
      </c>
      <c r="AY15" s="25">
        <v>0</v>
      </c>
      <c r="AZ15" s="25">
        <v>0</v>
      </c>
      <c r="BA15" s="25"/>
      <c r="BB15" s="25"/>
      <c r="BC15" s="25"/>
      <c r="BD15" s="25"/>
      <c r="BE15" s="25">
        <v>17.399999999999999</v>
      </c>
      <c r="BF15" s="25">
        <v>4</v>
      </c>
      <c r="BG15" s="25">
        <v>0.2</v>
      </c>
      <c r="BH15" s="25">
        <v>0</v>
      </c>
      <c r="BI15" s="25">
        <v>17.3</v>
      </c>
      <c r="BJ15" s="25">
        <v>4.4000000000000004</v>
      </c>
      <c r="BK15" s="25">
        <v>0</v>
      </c>
      <c r="BL15" s="25">
        <v>0</v>
      </c>
      <c r="BM15" s="45"/>
      <c r="BN15" s="19">
        <f>IF(SUM(AT15,AX15)&gt;0,SUM(AT15,AX15),"")</f>
        <v>6.3000000000000007</v>
      </c>
      <c r="BO15" s="19">
        <f>IF(SUM(AS15:AT15,AV15:AX15,AZ15)-AU15-AY15&gt;0,SUM(AS15:AT15,AV15:AX15,AZ15)-AU15-AY15,"")</f>
        <v>37.9</v>
      </c>
      <c r="BP15" s="19" t="str">
        <f>IF(SUM(BA15:BB15,BD15)-BC15&gt;0,SUM(BA15:BB15,BD15)-BC15,"")</f>
        <v/>
      </c>
      <c r="BQ15" s="19">
        <f>IF(SUM(BF15,BJ15)&gt;0,SUM(BF15,BJ15),"")</f>
        <v>8.4</v>
      </c>
      <c r="BR15" s="19">
        <f>IF(SUM(BE15:BF15,BH15:BJ15,BL15)-SUM(BG15,BK15)&gt;0,SUM(BE15:BF15,BH15:BJ15,BL15)-SUM(BG15,BK15),"")</f>
        <v>42.9</v>
      </c>
      <c r="BS15" s="19">
        <f>IF(SUM(BO15,BR15)&gt;0,SUM(BO15,BR15),"")</f>
        <v>80.8</v>
      </c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44"/>
      <c r="CO15" s="78" t="str">
        <f>IF(SUM(BU15,BY15)&gt;0,SUM(BU15,BY15),"")</f>
        <v/>
      </c>
      <c r="CP15" s="78" t="str">
        <f>IF(SUM(BT15:BU15,BW15:BY15,CA15)-BV15-BZ15&gt;0,SUM(BT15:BU15,BW15:BY15,CA15)-BV15-BZ15,"")</f>
        <v/>
      </c>
      <c r="CQ15" s="78" t="str">
        <f>IF(SUM(CB15:CC15,CE15)-CD15&gt;0,SUM(CB15:CC15,CE15)-CD15,"")</f>
        <v/>
      </c>
      <c r="CR15" s="78" t="str">
        <f>IF(SUM(CG15,CK15)&gt;0,SUM(CG15,CK15),"")</f>
        <v/>
      </c>
      <c r="CS15" s="78" t="str">
        <f>IF(SUM(CF15:CG15,CI15:CK15,CM15)-SUM(CH15,CL15)&gt;0,SUM(CF15:CG15,CI15:CK15,CM15)-SUM(CH15,CL15),"")</f>
        <v/>
      </c>
      <c r="CT15" s="78" t="str">
        <f>IF(SUM(CP15,CS15)&gt;0,SUM(CP15,CS15),"")</f>
        <v/>
      </c>
      <c r="CU15" s="79" t="str">
        <f>IF(K15&gt;=0.001,IF(MAX(DR15,ER15,FR15,GR15,HR15,IR15,JR15,KR15,LR15,MR15,NR15,OR15)-IF(K15="",0,K15)&gt;0.001,MAX(DR15,ER15,FR15,GR15,HR15,IR15,JR15,KR15,LR15,MR15,NR15,OR15)-IF(K15="",0,K15),""),"")</f>
        <v/>
      </c>
      <c r="CV15" s="79" t="str">
        <f>IF(M15&gt;=0.001,IF(MAX(DU15,EU15,FU15,GU15,HU15,IU15,JU15,KU15,LU15,MU15,NU15,OU15)-IF(M15="",0,M15)&gt;0.001,MAX(DU15,EU15,FU15,GU15,HU15,IU15,JU15,KU15,LU15,MU15,NU15,OU15)-IF(M15="",0,M15),""),"")</f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>IF(SUM(CX15,DB15)&gt;0,SUM(CX15,DB15),"")</f>
        <v/>
      </c>
      <c r="DR15" s="78" t="str">
        <f>IF(SUM(CW15:CX15,CZ15:DB15,DD15)-CY15-DC15&gt;0,SUM(CW15:CX15,CZ15:DB15,DD15)-CY15-DC15,"")</f>
        <v/>
      </c>
      <c r="DS15" s="78" t="str">
        <f>IF(SUM(DE15:DF15,DH15)-DG15&gt;0,SUM(DE15:DF15,DH15)-DG15,"")</f>
        <v/>
      </c>
      <c r="DT15" s="78" t="str">
        <f>IF(SUM(DJ15,DN15)&gt;0,SUM(DJ15,DN15),"")</f>
        <v/>
      </c>
      <c r="DU15" s="78" t="str">
        <f>IF(SUM(DI15:DJ15,DL15:DN15,DP15)-SUM(DK15,DO15)&gt;0,SUM(DI15:DJ15,DL15:DN15,DP15)-SUM(DK15,DO15),"")</f>
        <v/>
      </c>
      <c r="DV15" s="78" t="str">
        <f>IF(SUM(DR15,DU15)&gt;0,SUM(DR15,DU15),"")</f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>IF(SUM(DX15,EB15)&gt;0,SUM(DX15,EB15),"")</f>
        <v/>
      </c>
      <c r="ER15" s="19" t="str">
        <f>IF(SUM(DW15:DX15,DZ15:EB15,ED15)-DY15-EC15&gt;0,SUM(DW15:DX15,DZ15:EB15,ED15)-DY15-EC15,"")</f>
        <v/>
      </c>
      <c r="ES15" s="19" t="str">
        <f>IF(SUM(EE15:EF15,EH15)-EG15&gt;0,SUM(EE15:EF15,EH15)-EG15,"")</f>
        <v/>
      </c>
      <c r="ET15" s="19" t="str">
        <f>IF(SUM(EJ15,EN15)&gt;0,SUM(EJ15,EN15),"")</f>
        <v/>
      </c>
      <c r="EU15" s="19" t="str">
        <f>IF(SUM(EI15:EJ15,EL15:EN15,EP15)-SUM(EK15,EO15)&gt;0,SUM(EI15:EJ15,EL15:EN15,EP15)-SUM(EK15,EO15),"")</f>
        <v/>
      </c>
      <c r="EV15" s="19" t="str">
        <f>IF(SUM(ER15,EU15)&gt;0,SUM(ER15,EU15),"")</f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>IF(SUM(EX15,FB15)&gt;0,SUM(EX15,FB15),"")</f>
        <v/>
      </c>
      <c r="FR15" s="78" t="str">
        <f>IF(SUM(EW15:EX15,EZ15:FB15,FD15)-EY15-FC15&gt;0,SUM(EW15:EX15,EZ15:FB15,FD15)-EY15-FC15,"")</f>
        <v/>
      </c>
      <c r="FS15" s="78" t="str">
        <f>IF(SUM(FE15:FF15,FH15)-FG15&gt;0,SUM(FE15:FF15,FH15)-FG15,"")</f>
        <v/>
      </c>
      <c r="FT15" s="78" t="str">
        <f>IF(SUM(FJ15,FN15)&gt;0,SUM(FJ15,FN15),"")</f>
        <v/>
      </c>
      <c r="FU15" s="78" t="str">
        <f>IF(SUM(FI15:FJ15,FL15:FN15,FP15)-SUM(FK15,FO15)&gt;0,SUM(FI15:FJ15,FL15:FN15,FP15)-SUM(FK15,FO15),"")</f>
        <v/>
      </c>
      <c r="FV15" s="78" t="str">
        <f>IF(SUM(FR15,FU15)&gt;0,SUM(FR15,FU15),"")</f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>IF(SUM(FX15,GB15)&gt;0,SUM(FX15,GB15),"")</f>
        <v/>
      </c>
      <c r="GR15" s="19" t="str">
        <f>IF(SUM(FW15:FX15,FZ15:GB15,GD15)-FY15-GC15&gt;0,SUM(FW15:FX15,FZ15:GB15,GD15)-FY15-GC15,"")</f>
        <v/>
      </c>
      <c r="GS15" s="19" t="str">
        <f>IF(SUM(GE15:GF15,GH15)-GG15&gt;0,SUM(GE15:GF15,GH15)-GG15,"")</f>
        <v/>
      </c>
      <c r="GT15" s="19" t="str">
        <f>IF(SUM(GJ15,GN15)&gt;0,SUM(GJ15,GN15),"")</f>
        <v/>
      </c>
      <c r="GU15" s="19" t="str">
        <f>IF(SUM(GI15:GJ15,GL15:GN15,GP15)-SUM(GK15,GO15)&gt;0,SUM(GI15:GJ15,GL15:GN15,GP15)-SUM(GK15,GO15),"")</f>
        <v/>
      </c>
      <c r="GV15" s="19" t="str">
        <f>IF(SUM(GR15,GU15)&gt;0,SUM(GR15,GU15),"")</f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>IF(SUM(GX15,HB15)&gt;0,SUM(GX15,HB15),"")</f>
        <v/>
      </c>
      <c r="HR15" s="78" t="str">
        <f>IF(SUM(GW15:GX15,GZ15:HB15,HD15)-GY15-HC15&gt;0,SUM(GW15:GX15,GZ15:HB15,HD15)-GY15-HC15,"")</f>
        <v/>
      </c>
      <c r="HS15" s="78" t="str">
        <f>IF(SUM(HE15:HF15,HH15)-HG15&gt;0,SUM(HE15:HF15,HH15)-HG15,"")</f>
        <v/>
      </c>
      <c r="HT15" s="78" t="str">
        <f>IF(SUM(HJ15,HN15)&gt;0,SUM(HJ15,HN15),"")</f>
        <v/>
      </c>
      <c r="HU15" s="78" t="str">
        <f>IF(SUM(HI15:HJ15,HL15:HN15,HP15)-SUM(HK15,HO15)&gt;0,SUM(HI15:HJ15,HL15:HN15,HP15)-SUM(HK15,HO15),"")</f>
        <v/>
      </c>
      <c r="HV15" s="78" t="str">
        <f>IF(SUM(HR15,HU15)&gt;0,SUM(HR15,HU15),"")</f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>IF(SUM(HX15,IB15)&gt;0,SUM(HX15,IB15),"")</f>
        <v/>
      </c>
      <c r="IR15" s="19" t="str">
        <f>IF(SUM(HW15:HX15,HZ15:IB15,ID15)-HY15-IC15&gt;0,SUM(HW15:HX15,HZ15:IB15,ID15)-HY15-IC15,"")</f>
        <v/>
      </c>
      <c r="IS15" s="19" t="str">
        <f>IF(SUM(IE15:IF15,IH15)-IG15&gt;0,SUM(IE15:IF15,IH15)-IG15,"")</f>
        <v/>
      </c>
      <c r="IT15" s="19" t="str">
        <f>IF(SUM(IJ15,IN15)&gt;0,SUM(IJ15,IN15),"")</f>
        <v/>
      </c>
      <c r="IU15" s="19" t="str">
        <f>IF(SUM(II15:IJ15,IL15:IN15,IP15)-SUM(IK15,IO15)&gt;0,SUM(II15:IJ15,IL15:IN15,IP15)-SUM(IK15,IO15),"")</f>
        <v/>
      </c>
      <c r="IV15" s="19" t="str">
        <f>IF(SUM(IR15,IU15)&gt;0,SUM(IR15,IU15),"")</f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>IF(SUM(IX15,JB15)&gt;0,SUM(IX15,JB15),"")</f>
        <v/>
      </c>
      <c r="JR15" s="78" t="str">
        <f>IF(SUM(IW15:IX15,IZ15:JB15,JD15)-IY15-JC15&gt;0,SUM(IW15:IX15,IZ15:JB15,JD15)-IY15-JC15,"")</f>
        <v/>
      </c>
      <c r="JS15" s="78" t="str">
        <f>IF(SUM(JE15:JF15,JH15)-JG15&gt;0,SUM(JE15:JF15,JH15)-JG15,"")</f>
        <v/>
      </c>
      <c r="JT15" s="78" t="str">
        <f>IF(SUM(JJ15,JN15)&gt;0,SUM(JJ15,JN15),"")</f>
        <v/>
      </c>
      <c r="JU15" s="78" t="str">
        <f>IF(SUM(JI15:JJ15,JL15:JN15,JP15)-SUM(JK15,JO15)&gt;0,SUM(JI15:JJ15,JL15:JN15,JP15)-SUM(JK15,JO15),"")</f>
        <v/>
      </c>
      <c r="JV15" s="78" t="str">
        <f>IF(SUM(JR15,JU15)&gt;0,SUM(JR15,JU15),"")</f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>IF(SUM(JX15,KB15)&gt;0,SUM(JX15,KB15),"")</f>
        <v/>
      </c>
      <c r="KR15" s="19" t="str">
        <f>IF(SUM(JW15:JX15,JZ15:KB15,KD15)-JY15-KC15&gt;0,SUM(JW15:JX15,JZ15:KB15,KD15)-JY15-KC15,"")</f>
        <v/>
      </c>
      <c r="KS15" s="19" t="str">
        <f>IF(SUM(KE15:KF15,KH15)-KG15&gt;0,SUM(KE15:KF15,KH15)-KG15,"")</f>
        <v/>
      </c>
      <c r="KT15" s="19" t="str">
        <f>IF(SUM(KJ15,KN15)&gt;0,SUM(KJ15,KN15),"")</f>
        <v/>
      </c>
      <c r="KU15" s="19" t="str">
        <f>IF(SUM(KI15:KJ15,KL15:KN15,KP15)-SUM(KK15,KO15)&gt;0,SUM(KI15:KJ15,KL15:KN15,KP15)-SUM(KK15,KO15),"")</f>
        <v/>
      </c>
      <c r="KV15" s="19" t="str">
        <f>IF(SUM(KR15,KU15)&gt;0,SUM(KR15,KU15),"")</f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>IF(SUM(KX15,LB15)&gt;0,SUM(KX15,LB15),"")</f>
        <v/>
      </c>
      <c r="LR15" s="78" t="str">
        <f>IF(SUM(KW15:KX15,KZ15:LB15,LD15)-KY15-LC15&gt;0,SUM(KW15:KX15,KZ15:LB15,LD15)-KY15-LC15,"")</f>
        <v/>
      </c>
      <c r="LS15" s="78" t="str">
        <f>IF(SUM(LE15:LF15,LH15)-LG15&gt;0,SUM(LE15:LF15,LH15)-LG15,"")</f>
        <v/>
      </c>
      <c r="LT15" s="78" t="str">
        <f>IF(SUM(LJ15,LN15)&gt;0,SUM(LJ15,LN15),"")</f>
        <v/>
      </c>
      <c r="LU15" s="78" t="str">
        <f>IF(SUM(LI15:LJ15,LL15:LN15,LP15)-SUM(LK15,LO15)&gt;0,SUM(LI15:LJ15,LL15:LN15,LP15)-SUM(LK15,LO15),"")</f>
        <v/>
      </c>
      <c r="LV15" s="78" t="str">
        <f>IF(SUM(LR15,LU15)&gt;0,SUM(LR15,LU15),"")</f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>IF(SUM(LX15,MB15)&gt;0,SUM(LX15,MB15),"")</f>
        <v/>
      </c>
      <c r="MR15" s="19" t="str">
        <f>IF(SUM(LW15:LX15,LZ15:MB15,MD15)-LY15-MC15&gt;0,SUM(LW15:LX15,LZ15:MB15,MD15)-LY15-MC15,"")</f>
        <v/>
      </c>
      <c r="MS15" s="19" t="str">
        <f>IF(SUM(ME15:MF15,MH15)-MG15&gt;0,SUM(ME15:MF15,MH15)-MG15,"")</f>
        <v/>
      </c>
      <c r="MT15" s="19" t="str">
        <f>IF(SUM(MJ15,MN15)&gt;0,SUM(MJ15,MN15),"")</f>
        <v/>
      </c>
      <c r="MU15" s="19" t="str">
        <f>IF(SUM(MI15:MJ15,ML15:MN15,MP15)-SUM(MK15,MO15)&gt;0,SUM(MI15:MJ15,ML15:MN15,MP15)-SUM(MK15,MO15),"")</f>
        <v/>
      </c>
      <c r="MV15" s="19" t="str">
        <f>IF(SUM(MR15,MU15)&gt;0,SUM(MR15,MU15),"")</f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>IF(SUM(MX15,NB15)&gt;0,SUM(MX15,NB15),"")</f>
        <v/>
      </c>
      <c r="NR15" s="78" t="str">
        <f>IF(SUM(MW15:MX15,MZ15:NB15,ND15)-MY15-NC15&gt;0,SUM(MW15:MX15,MZ15:NB15,ND15)-MY15-NC15,"")</f>
        <v/>
      </c>
      <c r="NS15" s="78" t="str">
        <f>IF(SUM(NE15:NF15,NH15)-NG15&gt;0,SUM(NE15:NF15,NH15)-NG15,"")</f>
        <v/>
      </c>
      <c r="NT15" s="78" t="str">
        <f>IF(SUM(NJ15,NN15)&gt;0,SUM(NJ15,NN15),"")</f>
        <v/>
      </c>
      <c r="NU15" s="78" t="str">
        <f>IF(SUM(NI15:NJ15,NL15:NN15,NP15)-SUM(NK15,NO15)&gt;0,SUM(NI15:NJ15,NL15:NN15,NP15)-SUM(NK15,NO15),"")</f>
        <v/>
      </c>
      <c r="NV15" s="78" t="str">
        <f>IF(SUM(NR15,NU15)&gt;0,SUM(NR15,NU15),"")</f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>IF(SUM(NX15,OB15)&gt;0,SUM(NX15,OB15),"")</f>
        <v/>
      </c>
      <c r="OR15" s="19" t="str">
        <f>IF(SUM(NW15:NX15,NZ15:OB15,OD15)-NY15-OC15&gt;0,SUM(NW15:NX15,NZ15:OB15,OD15)-NY15-OC15,"")</f>
        <v/>
      </c>
      <c r="OS15" s="19" t="str">
        <f>IF(SUM(OE15:OF15,OH15)-OG15&gt;0,SUM(OE15:OF15,OH15)-OG15,"")</f>
        <v/>
      </c>
      <c r="OT15" s="19" t="str">
        <f>IF(SUM(OJ15,ON15)&gt;0,SUM(OJ15,ON15),"")</f>
        <v/>
      </c>
      <c r="OU15" s="19" t="str">
        <f>IF(SUM(OI15:OJ15,OL15:ON15,OP15)-SUM(OK15,OO15)&gt;0,SUM(OI15:OJ15,OL15:ON15,OP15)-SUM(OK15,OO15),"")</f>
        <v/>
      </c>
      <c r="OV15" s="19" t="str">
        <f>IF(SUM(OR15,OU15)&gt;0,SUM(OR15,OU15),"")</f>
        <v/>
      </c>
      <c r="OW15" s="37">
        <f>IF($CN15="P",BT15,(BT15+AS15)/2)</f>
        <v>8.6</v>
      </c>
      <c r="OX15" s="37">
        <f>IF($CN15="P",BU15,(BU15+AT15)/2)</f>
        <v>0.95</v>
      </c>
      <c r="OY15" s="37">
        <f>IF($CN15="P",BV15,(BV15+AU15)/2)</f>
        <v>1.75</v>
      </c>
      <c r="OZ15" s="37">
        <f>IF($CN15="P",BW15,(BW15+AV15)/2)</f>
        <v>0</v>
      </c>
      <c r="PA15" s="37">
        <f>IF($CN15="P",BX15,(BX15+AW15)/2)</f>
        <v>8.9499999999999993</v>
      </c>
      <c r="PB15" s="37">
        <f>IF($CN15="P",BY15,(BY15+AX15)/2)</f>
        <v>2.2000000000000002</v>
      </c>
      <c r="PC15" s="37">
        <f>IF($CN15="P",BZ15,(BZ15+AY15)/2)</f>
        <v>0</v>
      </c>
      <c r="PD15" s="37">
        <f>IF($CN15="P",CA15,(CA15+AZ15)/2)</f>
        <v>0</v>
      </c>
      <c r="PE15" s="37">
        <f>IF($CN15="P",CB15,(CB15+BA15)/2)</f>
        <v>0</v>
      </c>
      <c r="PF15" s="37">
        <f>IF($CN15="P",CC15,(CC15+BB15)/2)</f>
        <v>0</v>
      </c>
      <c r="PG15" s="37">
        <f>IF($CN15="P",CD15,(CD15+BC15)/2)</f>
        <v>0</v>
      </c>
      <c r="PH15" s="37">
        <f>IF($CN15="P",CE15,(CE15+BD15)/2)</f>
        <v>0</v>
      </c>
      <c r="PI15" s="37">
        <f>IF($CN15="P",CF15,(CF15+BE15)/2)</f>
        <v>8.6999999999999993</v>
      </c>
      <c r="PJ15" s="37">
        <f>IF($CN15="P",CG15,(CG15+BF15)/2)</f>
        <v>2</v>
      </c>
      <c r="PK15" s="37">
        <f>IF($CN15="P",CH15,(CH15+BG15)/2)</f>
        <v>0.1</v>
      </c>
      <c r="PL15" s="37">
        <f>IF($CN15="P",CI15,(CI15+BH15)/2)</f>
        <v>0</v>
      </c>
      <c r="PM15" s="37">
        <f>IF($CN15="P",CJ15,(CJ15+BI15)/2)</f>
        <v>8.65</v>
      </c>
      <c r="PN15" s="37">
        <f>IF($CN15="P",CK15,(CK15+BJ15)/2)</f>
        <v>2.2000000000000002</v>
      </c>
      <c r="PO15" s="37">
        <f>IF($CN15="P",CL15,(CL15+BK15)/2)</f>
        <v>0</v>
      </c>
      <c r="PP15" s="37">
        <f>IF($CN15="P",CM15,(CM15+BL15)/2)</f>
        <v>0</v>
      </c>
      <c r="PQ15" s="44" t="s">
        <v>46</v>
      </c>
      <c r="PR15" s="78">
        <f>IF(SUM(OX15,PB15)&gt;0,SUM(OX15,PB15),"")</f>
        <v>3.1500000000000004</v>
      </c>
      <c r="PS15" s="78">
        <f>IF(SUM(OW15:OX15,OZ15:PB15,PD15)-OY15-PC15&gt;0,SUM(OW15:OX15,OZ15:PB15,PD15)-OY15-PC15,"")</f>
        <v>18.95</v>
      </c>
      <c r="PT15" s="78" t="str">
        <f>IF(SUM(PE15:PF15,PH15)-PG15&gt;0,SUM(PE15:PF15,PH15)-PG15,"")</f>
        <v/>
      </c>
      <c r="PU15" s="78">
        <f>IF(SUM(PJ15,PN15)&gt;0,SUM(PJ15,PN15),"")</f>
        <v>4.2</v>
      </c>
      <c r="PV15" s="78">
        <f>IF(SUM(PI15:PJ15,PL15:PN15,PP15)-SUM(PK15,PO15)&gt;0,SUM(PI15:PJ15,PL15:PN15,PP15)-SUM(PK15,PO15),"")</f>
        <v>21.45</v>
      </c>
      <c r="PW15" s="78">
        <f>IF(SUM(PS15,PV15)&gt;0,SUM(PS15,PV15),"")</f>
        <v>40.4</v>
      </c>
    </row>
    <row r="16" spans="1:439" ht="17" x14ac:dyDescent="0.2">
      <c r="O16" s="16"/>
      <c r="P16" s="16"/>
      <c r="Q16" s="16"/>
    </row>
    <row r="17" spans="1:412" ht="17" x14ac:dyDescent="0.2">
      <c r="O17" s="16"/>
      <c r="P17" s="16"/>
      <c r="Q17" s="16"/>
    </row>
    <row r="18" spans="1:412" ht="17" x14ac:dyDescent="0.2">
      <c r="B18" s="80" t="s">
        <v>44</v>
      </c>
      <c r="O18" s="16"/>
      <c r="P18" s="16"/>
      <c r="Q18" s="16"/>
      <c r="AM18" s="5"/>
      <c r="AR18" s="81">
        <v>9.1</v>
      </c>
      <c r="BN18" s="5"/>
      <c r="BS18" s="81">
        <v>9.1</v>
      </c>
      <c r="CO18" s="5"/>
      <c r="CT18" s="81">
        <v>9.1</v>
      </c>
      <c r="DQ18" s="5"/>
      <c r="DV18" s="81">
        <v>1E-4</v>
      </c>
      <c r="EQ18" s="5"/>
      <c r="EV18" s="81">
        <v>1E-4</v>
      </c>
      <c r="FQ18" s="5"/>
      <c r="FV18" s="81">
        <v>9.1</v>
      </c>
      <c r="GQ18" s="5"/>
      <c r="GV18" s="81">
        <v>9.1</v>
      </c>
      <c r="HQ18" s="5"/>
      <c r="HV18" s="81">
        <v>9.1</v>
      </c>
      <c r="IQ18" s="5"/>
      <c r="IV18" s="81">
        <v>9.1</v>
      </c>
      <c r="JQ18" s="5"/>
      <c r="JV18" s="81">
        <v>9.1</v>
      </c>
      <c r="KQ18" s="5"/>
      <c r="KV18" s="81">
        <v>9.1</v>
      </c>
      <c r="LQ18" s="5"/>
      <c r="LV18" s="81">
        <v>9.1</v>
      </c>
      <c r="MQ18" s="5"/>
      <c r="MV18" s="81">
        <v>9.1</v>
      </c>
      <c r="NQ18" s="5"/>
      <c r="NV18" s="81">
        <v>9.1</v>
      </c>
      <c r="OQ18" s="5"/>
      <c r="OV18" s="81">
        <v>9.1</v>
      </c>
    </row>
    <row r="19" spans="1:412" ht="17" hidden="1" x14ac:dyDescent="0.2">
      <c r="B19" s="82" t="s">
        <v>43</v>
      </c>
      <c r="O19" s="16"/>
      <c r="P19" s="16"/>
      <c r="Q19" s="16"/>
      <c r="AM19" s="5"/>
      <c r="AR19" s="83">
        <v>1000</v>
      </c>
      <c r="BN19" s="5"/>
      <c r="BS19" s="83">
        <v>1000</v>
      </c>
      <c r="CO19" s="5"/>
      <c r="CT19" s="83">
        <v>1000</v>
      </c>
      <c r="DQ19" s="5"/>
      <c r="DV19" s="83">
        <v>1000</v>
      </c>
      <c r="EQ19" s="5"/>
      <c r="EV19" s="83">
        <v>1000</v>
      </c>
      <c r="FQ19" s="5"/>
      <c r="FV19" s="83">
        <v>1000</v>
      </c>
      <c r="GQ19" s="5"/>
      <c r="GV19" s="83">
        <v>1000</v>
      </c>
      <c r="HQ19" s="5"/>
      <c r="HV19" s="83">
        <v>1000</v>
      </c>
      <c r="IQ19" s="5"/>
      <c r="IV19" s="83">
        <v>1000</v>
      </c>
      <c r="JQ19" s="5"/>
      <c r="JV19" s="83">
        <v>1000</v>
      </c>
      <c r="KQ19" s="5"/>
      <c r="KV19" s="83">
        <v>1000</v>
      </c>
      <c r="LQ19" s="5"/>
      <c r="LV19" s="83">
        <v>1000</v>
      </c>
      <c r="MQ19" s="5"/>
      <c r="MV19" s="83">
        <v>1000</v>
      </c>
      <c r="NQ19" s="5"/>
      <c r="NV19" s="83">
        <v>1000</v>
      </c>
      <c r="OQ19" s="5"/>
      <c r="OV19" s="83">
        <v>1000</v>
      </c>
    </row>
    <row r="20" spans="1:412" ht="17" hidden="1" x14ac:dyDescent="0.2">
      <c r="A20" s="77"/>
      <c r="B20" s="75" t="s">
        <v>55</v>
      </c>
      <c r="C20" s="84"/>
      <c r="O20" s="16"/>
      <c r="P20" s="16"/>
      <c r="Q20" s="16"/>
      <c r="AM20" s="5"/>
      <c r="AR20" s="85">
        <v>1000</v>
      </c>
      <c r="BN20" s="5"/>
      <c r="BS20" s="85">
        <v>1000</v>
      </c>
      <c r="CO20" s="5"/>
      <c r="CT20" s="85">
        <v>1000</v>
      </c>
      <c r="DQ20" s="5"/>
      <c r="DV20" s="85">
        <v>1000</v>
      </c>
      <c r="EQ20" s="5"/>
      <c r="EV20" s="85">
        <v>1000</v>
      </c>
      <c r="FQ20" s="5"/>
      <c r="FV20" s="85">
        <v>1000</v>
      </c>
      <c r="GQ20" s="5"/>
      <c r="GV20" s="85">
        <v>1000</v>
      </c>
      <c r="HQ20" s="5"/>
      <c r="HV20" s="85">
        <v>1000</v>
      </c>
      <c r="IQ20" s="5"/>
      <c r="IV20" s="85">
        <v>1000</v>
      </c>
      <c r="JQ20" s="5"/>
      <c r="JV20" s="85">
        <v>1000</v>
      </c>
      <c r="KQ20" s="5"/>
      <c r="KV20" s="85">
        <v>1000</v>
      </c>
      <c r="LQ20" s="5"/>
      <c r="LV20" s="85">
        <v>1000</v>
      </c>
      <c r="MQ20" s="5"/>
      <c r="MV20" s="85">
        <v>1000</v>
      </c>
      <c r="NQ20" s="5"/>
      <c r="NV20" s="85">
        <v>1000</v>
      </c>
      <c r="OQ20" s="5"/>
      <c r="OV20" s="85">
        <v>1000</v>
      </c>
    </row>
    <row r="21" spans="1:412" ht="17" hidden="1" x14ac:dyDescent="0.2">
      <c r="A21" s="77"/>
      <c r="B21" s="86" t="s">
        <v>62</v>
      </c>
      <c r="C21" s="84"/>
      <c r="O21" s="16"/>
      <c r="P21" s="16"/>
      <c r="Q21" s="16"/>
      <c r="AM21" s="5"/>
      <c r="AR21" s="87">
        <v>1000</v>
      </c>
      <c r="BN21" s="5"/>
      <c r="BS21" s="87">
        <v>1000</v>
      </c>
      <c r="CO21" s="5"/>
      <c r="CT21" s="87">
        <v>1000</v>
      </c>
      <c r="DQ21" s="5"/>
      <c r="DV21" s="87">
        <v>1000</v>
      </c>
      <c r="EQ21" s="5"/>
      <c r="EV21" s="87">
        <v>1000</v>
      </c>
      <c r="FQ21" s="5"/>
      <c r="FV21" s="87">
        <v>1000</v>
      </c>
      <c r="GQ21" s="5"/>
      <c r="GV21" s="87">
        <v>1000</v>
      </c>
      <c r="HQ21" s="5"/>
      <c r="HV21" s="87">
        <v>1000</v>
      </c>
      <c r="IQ21" s="5"/>
      <c r="IV21" s="87">
        <v>1000</v>
      </c>
      <c r="JQ21" s="5"/>
      <c r="JV21" s="87">
        <v>1000</v>
      </c>
      <c r="KQ21" s="5"/>
      <c r="KV21" s="87">
        <v>1000</v>
      </c>
      <c r="LQ21" s="5"/>
      <c r="LV21" s="87">
        <v>1000</v>
      </c>
      <c r="MQ21" s="5"/>
      <c r="MV21" s="87">
        <v>1000</v>
      </c>
      <c r="NQ21" s="5"/>
      <c r="NV21" s="87">
        <v>1000</v>
      </c>
      <c r="OQ21" s="5"/>
      <c r="OV21" s="87">
        <v>1000</v>
      </c>
    </row>
    <row r="22" spans="1:412" ht="17" x14ac:dyDescent="0.2">
      <c r="A22" s="77"/>
      <c r="B22" s="88" t="s">
        <v>41</v>
      </c>
      <c r="C22" s="84"/>
      <c r="O22" s="16"/>
      <c r="P22" s="16"/>
      <c r="Q22" s="16"/>
      <c r="AM22" s="5"/>
      <c r="AR22" s="89">
        <v>44.1</v>
      </c>
      <c r="BN22" s="5"/>
      <c r="BS22" s="89">
        <v>44.1</v>
      </c>
      <c r="CO22" s="5"/>
      <c r="CT22" s="89">
        <v>44.1</v>
      </c>
      <c r="DQ22" s="5"/>
      <c r="DS22" s="66" t="s">
        <v>173</v>
      </c>
      <c r="DV22" s="89">
        <v>2.0000000000000001E-4</v>
      </c>
      <c r="EQ22" s="5"/>
      <c r="ES22" s="66" t="s">
        <v>173</v>
      </c>
      <c r="EV22" s="89">
        <v>2.0000000000000001E-4</v>
      </c>
      <c r="FQ22" s="5"/>
      <c r="FV22" s="89">
        <v>44.1</v>
      </c>
      <c r="GQ22" s="5"/>
      <c r="GV22" s="89">
        <v>44.1</v>
      </c>
      <c r="HQ22" s="5"/>
      <c r="HV22" s="89">
        <v>44.1</v>
      </c>
      <c r="IQ22" s="5"/>
      <c r="IV22" s="89">
        <v>44.1</v>
      </c>
      <c r="JQ22" s="5"/>
      <c r="JV22" s="89">
        <v>44.1</v>
      </c>
      <c r="KQ22" s="5"/>
      <c r="KV22" s="89">
        <v>44.1</v>
      </c>
      <c r="LQ22" s="5"/>
      <c r="LV22" s="89">
        <v>44.1</v>
      </c>
      <c r="MQ22" s="5"/>
      <c r="MV22" s="89">
        <v>44.1</v>
      </c>
      <c r="NQ22" s="5"/>
      <c r="NV22" s="89">
        <v>44.1</v>
      </c>
      <c r="OQ22" s="5"/>
      <c r="OV22" s="89">
        <v>44.1</v>
      </c>
    </row>
    <row r="23" spans="1:412" ht="17" hidden="1" x14ac:dyDescent="0.2">
      <c r="A23" s="77"/>
      <c r="B23" s="90" t="s">
        <v>42</v>
      </c>
      <c r="C23" s="84"/>
      <c r="O23" s="16"/>
      <c r="P23" s="16"/>
      <c r="Q23" s="16"/>
      <c r="AM23" s="5"/>
      <c r="AR23" s="91">
        <v>1000</v>
      </c>
      <c r="BN23" s="5"/>
      <c r="BS23" s="91">
        <v>1000</v>
      </c>
      <c r="CO23" s="5"/>
      <c r="CT23" s="91">
        <v>1000</v>
      </c>
      <c r="DQ23" s="5"/>
      <c r="DV23" s="91">
        <v>1000</v>
      </c>
      <c r="EQ23" s="5"/>
      <c r="EV23" s="91">
        <v>1000</v>
      </c>
      <c r="FQ23" s="5"/>
      <c r="FV23" s="91">
        <v>1000</v>
      </c>
      <c r="GQ23" s="5"/>
      <c r="GV23" s="91">
        <v>1000</v>
      </c>
      <c r="HQ23" s="5"/>
      <c r="HV23" s="91">
        <v>1000</v>
      </c>
      <c r="IQ23" s="5"/>
      <c r="IV23" s="91">
        <v>1000</v>
      </c>
      <c r="JQ23" s="5"/>
      <c r="JV23" s="91">
        <v>1000</v>
      </c>
      <c r="KQ23" s="5"/>
      <c r="KV23" s="91">
        <v>1000</v>
      </c>
      <c r="LQ23" s="5"/>
      <c r="LV23" s="91">
        <v>1000</v>
      </c>
      <c r="MQ23" s="5"/>
      <c r="MV23" s="91">
        <v>1000</v>
      </c>
      <c r="NQ23" s="5"/>
      <c r="NV23" s="91">
        <v>1000</v>
      </c>
      <c r="OQ23" s="5"/>
      <c r="OV23" s="91">
        <v>1000</v>
      </c>
    </row>
    <row r="24" spans="1:412" ht="17" hidden="1" x14ac:dyDescent="0.2">
      <c r="A24" s="77"/>
      <c r="B24" s="92" t="s">
        <v>54</v>
      </c>
      <c r="C24" s="84"/>
      <c r="O24" s="16"/>
      <c r="P24" s="16"/>
      <c r="Q24" s="16"/>
      <c r="AM24" s="5"/>
      <c r="AR24" s="93">
        <v>1000</v>
      </c>
      <c r="BN24" s="5"/>
      <c r="BS24" s="93">
        <v>1000</v>
      </c>
      <c r="CO24" s="5"/>
      <c r="CT24" s="93">
        <v>1000</v>
      </c>
      <c r="DQ24" s="5"/>
      <c r="DV24" s="93">
        <v>1000</v>
      </c>
      <c r="EQ24" s="5"/>
      <c r="EV24" s="93">
        <v>1000</v>
      </c>
      <c r="FQ24" s="5"/>
      <c r="FV24" s="93">
        <v>1000</v>
      </c>
      <c r="GQ24" s="5"/>
      <c r="GV24" s="93">
        <v>1000</v>
      </c>
      <c r="HQ24" s="5"/>
      <c r="HV24" s="93">
        <v>1000</v>
      </c>
      <c r="IQ24" s="5"/>
      <c r="IV24" s="93">
        <v>1000</v>
      </c>
      <c r="JQ24" s="5"/>
      <c r="JV24" s="93">
        <v>1000</v>
      </c>
      <c r="KQ24" s="5"/>
      <c r="KV24" s="93">
        <v>1000</v>
      </c>
      <c r="LQ24" s="5"/>
      <c r="LV24" s="93">
        <v>1000</v>
      </c>
      <c r="MQ24" s="5"/>
      <c r="MV24" s="93">
        <v>1000</v>
      </c>
      <c r="NQ24" s="5"/>
      <c r="NV24" s="93">
        <v>1000</v>
      </c>
      <c r="OQ24" s="5"/>
      <c r="OV24" s="93">
        <v>1000</v>
      </c>
    </row>
    <row r="25" spans="1:412" ht="17" hidden="1" x14ac:dyDescent="0.2">
      <c r="A25" s="77"/>
      <c r="B25" s="94" t="s">
        <v>28</v>
      </c>
      <c r="C25" s="84"/>
      <c r="O25" s="16"/>
      <c r="P25" s="16"/>
      <c r="Q25" s="16"/>
      <c r="AM25" s="5"/>
      <c r="AR25" s="95">
        <v>1000</v>
      </c>
      <c r="BN25" s="5"/>
      <c r="BS25" s="95">
        <v>1000</v>
      </c>
      <c r="CO25" s="5"/>
      <c r="CT25" s="95">
        <v>1000</v>
      </c>
      <c r="DQ25" s="5"/>
      <c r="DV25" s="95">
        <v>1000</v>
      </c>
      <c r="EQ25" s="5"/>
      <c r="EV25" s="95">
        <v>1000</v>
      </c>
      <c r="FQ25" s="5"/>
      <c r="FV25" s="95">
        <v>1000</v>
      </c>
      <c r="GQ25" s="5"/>
      <c r="GV25" s="95">
        <v>1000</v>
      </c>
      <c r="HQ25" s="5"/>
      <c r="HV25" s="95">
        <v>1000</v>
      </c>
      <c r="IQ25" s="5"/>
      <c r="IV25" s="95">
        <v>1000</v>
      </c>
      <c r="JQ25" s="5"/>
      <c r="JV25" s="95">
        <v>1000</v>
      </c>
      <c r="KQ25" s="5"/>
      <c r="KV25" s="95">
        <v>1000</v>
      </c>
      <c r="LQ25" s="5"/>
      <c r="LV25" s="95">
        <v>1000</v>
      </c>
      <c r="MQ25" s="5"/>
      <c r="MV25" s="95">
        <v>1000</v>
      </c>
      <c r="NQ25" s="5"/>
      <c r="NV25" s="95">
        <v>1000</v>
      </c>
      <c r="OQ25" s="5"/>
      <c r="OV25" s="95">
        <v>1000</v>
      </c>
    </row>
    <row r="26" spans="1:412" x14ac:dyDescent="0.2">
      <c r="B26" s="46" t="s">
        <v>47</v>
      </c>
      <c r="C26" s="2"/>
    </row>
    <row r="27" spans="1:412" x14ac:dyDescent="0.2">
      <c r="A27" s="77"/>
      <c r="B27" s="77"/>
      <c r="C27" s="84"/>
    </row>
    <row r="28" spans="1:412" x14ac:dyDescent="0.2">
      <c r="A28" s="77"/>
      <c r="B28" s="77"/>
      <c r="C28" s="84"/>
    </row>
    <row r="29" spans="1:412" x14ac:dyDescent="0.2">
      <c r="A29" s="77"/>
      <c r="B29" s="77"/>
      <c r="C29" s="84"/>
    </row>
    <row r="30" spans="1:412" x14ac:dyDescent="0.2">
      <c r="A30" s="77"/>
      <c r="B30" s="77"/>
      <c r="C30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5">
      <sortCondition descending="1" ref="F1:F1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5">
    <cfRule type="expression" dxfId="111" priority="5" stopIfTrue="1">
      <formula>IF($AL4&lt;&gt;"",1,0)</formula>
    </cfRule>
  </conditionalFormatting>
  <conditionalFormatting sqref="AS4:BS15">
    <cfRule type="expression" dxfId="110" priority="10" stopIfTrue="1">
      <formula>IF($BM4&lt;&gt;"",1,0)</formula>
    </cfRule>
  </conditionalFormatting>
  <conditionalFormatting sqref="J1:J1048576 L1:L1048576 N1:N1048576">
    <cfRule type="expression" dxfId="109" priority="17">
      <formula>IF(J1=$BT$1,1,0)</formula>
    </cfRule>
    <cfRule type="expression" dxfId="108" priority="18">
      <formula>IF(J1=$AS$1,1,0)</formula>
    </cfRule>
    <cfRule type="expression" dxfId="107" priority="19">
      <formula>IF(J1=$R$1,1,0)</formula>
    </cfRule>
  </conditionalFormatting>
  <conditionalFormatting sqref="BT4:CT15">
    <cfRule type="expression" dxfId="106" priority="11" stopIfTrue="1">
      <formula>IF($CN4&lt;&gt;"",1,0)</formula>
    </cfRule>
  </conditionalFormatting>
  <conditionalFormatting sqref="A1:A1048576">
    <cfRule type="expression" dxfId="105" priority="20">
      <formula>AND(G1="P",F1="")</formula>
    </cfRule>
  </conditionalFormatting>
  <conditionalFormatting sqref="H1:H1048576">
    <cfRule type="containsText" dxfId="104" priority="12" operator="containsText" text="No DD">
      <formula>NOT(ISERROR(SEARCH("No DD",H1)))</formula>
    </cfRule>
    <cfRule type="containsText" dxfId="103" priority="13" operator="containsText" text="Merit">
      <formula>NOT(ISERROR(SEARCH("Merit",H1)))</formula>
    </cfRule>
    <cfRule type="containsText" dxfId="102" priority="14" operator="containsText" text="Excellence">
      <formula>NOT(ISERROR(SEARCH("Excellence",H1)))</formula>
    </cfRule>
    <cfRule type="containsText" dxfId="101" priority="15" operator="containsText" text="Worlds Team">
      <formula>NOT(ISERROR(SEARCH("Worlds Team",H1)))</formula>
    </cfRule>
    <cfRule type="containsText" dxfId="10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99" priority="50850" operator="between">
      <formula>AR$21</formula>
      <formula>1000</formula>
    </cfRule>
    <cfRule type="cellIs" dxfId="98" priority="50851" operator="between">
      <formula>AR$20</formula>
      <formula>AR$21</formula>
    </cfRule>
    <cfRule type="cellIs" dxfId="97" priority="50852" operator="between">
      <formula>AR$19</formula>
      <formula>AR$20</formula>
    </cfRule>
    <cfRule type="cellIs" dxfId="96" priority="50853" operator="between">
      <formula>AR$18</formula>
      <formula>AR$19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95" priority="51030" operator="between">
      <formula>AR$25</formula>
      <formula>1000</formula>
    </cfRule>
    <cfRule type="cellIs" dxfId="94" priority="51031" operator="between">
      <formula>AR$24</formula>
      <formula>AR$25</formula>
    </cfRule>
    <cfRule type="cellIs" dxfId="93" priority="51032" operator="between">
      <formula>AR$23</formula>
      <formula>AR$24</formula>
    </cfRule>
    <cfRule type="cellIs" dxfId="92" priority="51033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51210" operator="between">
      <formula>AR$18</formula>
      <formula>AR$19</formula>
    </cfRule>
    <cfRule type="cellIs" dxfId="90" priority="51211" operator="between">
      <formula>AR$19</formula>
      <formula>AR$20</formula>
    </cfRule>
    <cfRule type="cellIs" dxfId="89" priority="51212" operator="between">
      <formula>AR$20</formula>
      <formula>AR$21</formula>
    </cfRule>
    <cfRule type="cellIs" dxfId="88" priority="51213" operator="between">
      <formula>AR$21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51390" operator="between">
      <formula>AR$22</formula>
      <formula>AR$23</formula>
    </cfRule>
    <cfRule type="cellIs" dxfId="86" priority="51391" operator="between">
      <formula>AR$23</formula>
      <formula>AR$24</formula>
    </cfRule>
    <cfRule type="cellIs" dxfId="85" priority="51392" operator="between">
      <formula>AR$24</formula>
      <formula>AR$25</formula>
    </cfRule>
    <cfRule type="cellIs" dxfId="84" priority="51393" operator="between">
      <formula>AR$25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hidden="1" customWidth="1"/>
    <col min="231" max="250" width="10.83203125" hidden="1" customWidth="1"/>
    <col min="251" max="256" width="10.83203125" style="66" hidden="1" customWidth="1"/>
    <col min="257" max="276" width="10.83203125" hidden="1" customWidth="1"/>
    <col min="277" max="282" width="10.83203125" style="66" hidden="1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129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183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205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159</v>
      </c>
      <c r="CV1" s="101"/>
      <c r="CW1" s="99" t="s">
        <v>170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174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179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181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/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/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160</v>
      </c>
      <c r="S2" s="100"/>
      <c r="T2" s="100"/>
      <c r="U2" s="100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10" t="s">
        <v>164</v>
      </c>
      <c r="AI2" s="110"/>
      <c r="AJ2" s="110"/>
      <c r="AK2" s="110"/>
      <c r="AL2" s="71"/>
      <c r="AM2" s="71" t="s">
        <v>165</v>
      </c>
      <c r="AN2" s="71" t="s">
        <v>166</v>
      </c>
      <c r="AO2" s="71" t="s">
        <v>162</v>
      </c>
      <c r="AP2" s="71" t="s">
        <v>57</v>
      </c>
      <c r="AQ2" s="71" t="s">
        <v>167</v>
      </c>
      <c r="AR2" s="71" t="s">
        <v>15</v>
      </c>
      <c r="AS2" s="102" t="s">
        <v>160</v>
      </c>
      <c r="AT2" s="102"/>
      <c r="AU2" s="102"/>
      <c r="AV2" s="102"/>
      <c r="AW2" s="102" t="s">
        <v>161</v>
      </c>
      <c r="AX2" s="102"/>
      <c r="AY2" s="102"/>
      <c r="AZ2" s="102"/>
      <c r="BA2" s="102" t="s">
        <v>162</v>
      </c>
      <c r="BB2" s="102"/>
      <c r="BC2" s="102"/>
      <c r="BD2" s="102"/>
      <c r="BE2" s="102" t="s">
        <v>163</v>
      </c>
      <c r="BF2" s="102"/>
      <c r="BG2" s="102"/>
      <c r="BH2" s="102"/>
      <c r="BI2" s="111" t="s">
        <v>164</v>
      </c>
      <c r="BJ2" s="111"/>
      <c r="BK2" s="111"/>
      <c r="BL2" s="111"/>
      <c r="BM2" s="70"/>
      <c r="BN2" s="70" t="s">
        <v>165</v>
      </c>
      <c r="BO2" s="70" t="s">
        <v>166</v>
      </c>
      <c r="BP2" s="70" t="s">
        <v>162</v>
      </c>
      <c r="BQ2" s="70" t="s">
        <v>57</v>
      </c>
      <c r="BR2" s="70" t="s">
        <v>167</v>
      </c>
      <c r="BS2" s="70" t="s">
        <v>15</v>
      </c>
      <c r="BT2" s="100" t="s">
        <v>160</v>
      </c>
      <c r="BU2" s="100"/>
      <c r="BV2" s="100"/>
      <c r="BW2" s="100"/>
      <c r="BX2" s="100" t="s">
        <v>161</v>
      </c>
      <c r="BY2" s="100"/>
      <c r="BZ2" s="100"/>
      <c r="CA2" s="100"/>
      <c r="CB2" s="100" t="s">
        <v>162</v>
      </c>
      <c r="CC2" s="100"/>
      <c r="CD2" s="100"/>
      <c r="CE2" s="100"/>
      <c r="CF2" s="100" t="s">
        <v>163</v>
      </c>
      <c r="CG2" s="100"/>
      <c r="CH2" s="100"/>
      <c r="CI2" s="100"/>
      <c r="CJ2" s="110" t="s">
        <v>164</v>
      </c>
      <c r="CK2" s="110"/>
      <c r="CL2" s="110"/>
      <c r="CM2" s="110"/>
      <c r="CN2" s="71"/>
      <c r="CO2" s="71" t="s">
        <v>165</v>
      </c>
      <c r="CP2" s="71" t="s">
        <v>166</v>
      </c>
      <c r="CQ2" s="71" t="s">
        <v>162</v>
      </c>
      <c r="CR2" s="71" t="s">
        <v>57</v>
      </c>
      <c r="CS2" s="71" t="s">
        <v>167</v>
      </c>
      <c r="CT2" s="71" t="s">
        <v>15</v>
      </c>
      <c r="CU2" s="76" t="s">
        <v>166</v>
      </c>
      <c r="CV2" s="76" t="s">
        <v>20</v>
      </c>
      <c r="CW2" s="100" t="s">
        <v>160</v>
      </c>
      <c r="CX2" s="100"/>
      <c r="CY2" s="100"/>
      <c r="CZ2" s="100"/>
      <c r="DA2" s="100" t="s">
        <v>161</v>
      </c>
      <c r="DB2" s="100"/>
      <c r="DC2" s="100"/>
      <c r="DD2" s="100"/>
      <c r="DE2" s="100" t="s">
        <v>162</v>
      </c>
      <c r="DF2" s="100"/>
      <c r="DG2" s="100"/>
      <c r="DH2" s="100"/>
      <c r="DI2" s="100" t="s">
        <v>163</v>
      </c>
      <c r="DJ2" s="100"/>
      <c r="DK2" s="100"/>
      <c r="DL2" s="100"/>
      <c r="DM2" s="109" t="s">
        <v>164</v>
      </c>
      <c r="DN2" s="109"/>
      <c r="DO2" s="109"/>
      <c r="DP2" s="109"/>
      <c r="DQ2" s="71" t="s">
        <v>165</v>
      </c>
      <c r="DR2" s="71" t="s">
        <v>166</v>
      </c>
      <c r="DS2" s="71" t="s">
        <v>162</v>
      </c>
      <c r="DT2" s="71" t="s">
        <v>57</v>
      </c>
      <c r="DU2" s="71" t="s">
        <v>167</v>
      </c>
      <c r="DV2" s="71" t="s">
        <v>15</v>
      </c>
      <c r="DW2" s="102" t="s">
        <v>160</v>
      </c>
      <c r="DX2" s="102"/>
      <c r="DY2" s="102"/>
      <c r="DZ2" s="102"/>
      <c r="EA2" s="102" t="s">
        <v>161</v>
      </c>
      <c r="EB2" s="102"/>
      <c r="EC2" s="102"/>
      <c r="ED2" s="102"/>
      <c r="EE2" s="102" t="s">
        <v>162</v>
      </c>
      <c r="EF2" s="102"/>
      <c r="EG2" s="102"/>
      <c r="EH2" s="102"/>
      <c r="EI2" s="102" t="s">
        <v>163</v>
      </c>
      <c r="EJ2" s="102"/>
      <c r="EK2" s="102"/>
      <c r="EL2" s="102"/>
      <c r="EM2" s="111" t="s">
        <v>164</v>
      </c>
      <c r="EN2" s="111"/>
      <c r="EO2" s="111"/>
      <c r="EP2" s="111"/>
      <c r="EQ2" s="70" t="s">
        <v>165</v>
      </c>
      <c r="ER2" s="70" t="s">
        <v>166</v>
      </c>
      <c r="ES2" s="70" t="s">
        <v>162</v>
      </c>
      <c r="ET2" s="70" t="s">
        <v>57</v>
      </c>
      <c r="EU2" s="70" t="s">
        <v>167</v>
      </c>
      <c r="EV2" s="70" t="s">
        <v>15</v>
      </c>
      <c r="EW2" s="100" t="s">
        <v>160</v>
      </c>
      <c r="EX2" s="100"/>
      <c r="EY2" s="100"/>
      <c r="EZ2" s="100"/>
      <c r="FA2" s="100" t="s">
        <v>161</v>
      </c>
      <c r="FB2" s="100"/>
      <c r="FC2" s="100"/>
      <c r="FD2" s="100"/>
      <c r="FE2" s="100" t="s">
        <v>162</v>
      </c>
      <c r="FF2" s="100"/>
      <c r="FG2" s="100"/>
      <c r="FH2" s="100"/>
      <c r="FI2" s="100" t="s">
        <v>163</v>
      </c>
      <c r="FJ2" s="100"/>
      <c r="FK2" s="100"/>
      <c r="FL2" s="100"/>
      <c r="FM2" s="109" t="s">
        <v>164</v>
      </c>
      <c r="FN2" s="109"/>
      <c r="FO2" s="109"/>
      <c r="FP2" s="109"/>
      <c r="FQ2" s="71" t="s">
        <v>165</v>
      </c>
      <c r="FR2" s="71" t="s">
        <v>166</v>
      </c>
      <c r="FS2" s="71" t="s">
        <v>162</v>
      </c>
      <c r="FT2" s="71" t="s">
        <v>57</v>
      </c>
      <c r="FU2" s="71" t="s">
        <v>167</v>
      </c>
      <c r="FV2" s="71" t="s">
        <v>15</v>
      </c>
      <c r="FW2" s="102" t="s">
        <v>160</v>
      </c>
      <c r="FX2" s="102"/>
      <c r="FY2" s="102"/>
      <c r="FZ2" s="102"/>
      <c r="GA2" s="102" t="s">
        <v>161</v>
      </c>
      <c r="GB2" s="102"/>
      <c r="GC2" s="102"/>
      <c r="GD2" s="102"/>
      <c r="GE2" s="102" t="s">
        <v>162</v>
      </c>
      <c r="GF2" s="102"/>
      <c r="GG2" s="102"/>
      <c r="GH2" s="102"/>
      <c r="GI2" s="102" t="s">
        <v>163</v>
      </c>
      <c r="GJ2" s="102"/>
      <c r="GK2" s="102"/>
      <c r="GL2" s="102"/>
      <c r="GM2" s="111" t="s">
        <v>164</v>
      </c>
      <c r="GN2" s="111"/>
      <c r="GO2" s="111"/>
      <c r="GP2" s="111"/>
      <c r="GQ2" s="70" t="s">
        <v>165</v>
      </c>
      <c r="GR2" s="70" t="s">
        <v>166</v>
      </c>
      <c r="GS2" s="70" t="s">
        <v>162</v>
      </c>
      <c r="GT2" s="70" t="s">
        <v>57</v>
      </c>
      <c r="GU2" s="70" t="s">
        <v>167</v>
      </c>
      <c r="GV2" s="70" t="s">
        <v>15</v>
      </c>
      <c r="GW2" s="100" t="s">
        <v>160</v>
      </c>
      <c r="GX2" s="100"/>
      <c r="GY2" s="100"/>
      <c r="GZ2" s="100"/>
      <c r="HA2" s="100" t="s">
        <v>161</v>
      </c>
      <c r="HB2" s="100"/>
      <c r="HC2" s="100"/>
      <c r="HD2" s="100"/>
      <c r="HE2" s="100" t="s">
        <v>162</v>
      </c>
      <c r="HF2" s="100"/>
      <c r="HG2" s="100"/>
      <c r="HH2" s="100"/>
      <c r="HI2" s="100" t="s">
        <v>163</v>
      </c>
      <c r="HJ2" s="100"/>
      <c r="HK2" s="100"/>
      <c r="HL2" s="100"/>
      <c r="HM2" s="109" t="s">
        <v>164</v>
      </c>
      <c r="HN2" s="109"/>
      <c r="HO2" s="109"/>
      <c r="HP2" s="109"/>
      <c r="HQ2" s="71" t="s">
        <v>165</v>
      </c>
      <c r="HR2" s="71" t="s">
        <v>166</v>
      </c>
      <c r="HS2" s="71" t="s">
        <v>162</v>
      </c>
      <c r="HT2" s="71" t="s">
        <v>57</v>
      </c>
      <c r="HU2" s="71" t="s">
        <v>167</v>
      </c>
      <c r="HV2" s="71" t="s">
        <v>15</v>
      </c>
      <c r="HW2" s="102" t="s">
        <v>160</v>
      </c>
      <c r="HX2" s="102"/>
      <c r="HY2" s="102"/>
      <c r="HZ2" s="102"/>
      <c r="IA2" s="102" t="s">
        <v>161</v>
      </c>
      <c r="IB2" s="102"/>
      <c r="IC2" s="102"/>
      <c r="ID2" s="102"/>
      <c r="IE2" s="102" t="s">
        <v>162</v>
      </c>
      <c r="IF2" s="102"/>
      <c r="IG2" s="102"/>
      <c r="IH2" s="102"/>
      <c r="II2" s="102" t="s">
        <v>163</v>
      </c>
      <c r="IJ2" s="102"/>
      <c r="IK2" s="102"/>
      <c r="IL2" s="102"/>
      <c r="IM2" s="111" t="s">
        <v>164</v>
      </c>
      <c r="IN2" s="111"/>
      <c r="IO2" s="111"/>
      <c r="IP2" s="111"/>
      <c r="IQ2" s="70" t="s">
        <v>165</v>
      </c>
      <c r="IR2" s="70" t="s">
        <v>166</v>
      </c>
      <c r="IS2" s="70" t="s">
        <v>162</v>
      </c>
      <c r="IT2" s="70" t="s">
        <v>57</v>
      </c>
      <c r="IU2" s="70" t="s">
        <v>167</v>
      </c>
      <c r="IV2" s="70" t="s">
        <v>15</v>
      </c>
      <c r="IW2" s="100" t="s">
        <v>160</v>
      </c>
      <c r="IX2" s="100"/>
      <c r="IY2" s="100"/>
      <c r="IZ2" s="100"/>
      <c r="JA2" s="100" t="s">
        <v>161</v>
      </c>
      <c r="JB2" s="100"/>
      <c r="JC2" s="100"/>
      <c r="JD2" s="100"/>
      <c r="JE2" s="100" t="s">
        <v>162</v>
      </c>
      <c r="JF2" s="100"/>
      <c r="JG2" s="100"/>
      <c r="JH2" s="100"/>
      <c r="JI2" s="100" t="s">
        <v>163</v>
      </c>
      <c r="JJ2" s="100"/>
      <c r="JK2" s="100"/>
      <c r="JL2" s="100"/>
      <c r="JM2" s="109" t="s">
        <v>164</v>
      </c>
      <c r="JN2" s="109"/>
      <c r="JO2" s="109"/>
      <c r="JP2" s="109"/>
      <c r="JQ2" s="71" t="s">
        <v>165</v>
      </c>
      <c r="JR2" s="71" t="s">
        <v>166</v>
      </c>
      <c r="JS2" s="71" t="s">
        <v>162</v>
      </c>
      <c r="JT2" s="71" t="s">
        <v>57</v>
      </c>
      <c r="JU2" s="71" t="s">
        <v>167</v>
      </c>
      <c r="JV2" s="71" t="s">
        <v>15</v>
      </c>
      <c r="JW2" s="102" t="s">
        <v>160</v>
      </c>
      <c r="JX2" s="102"/>
      <c r="JY2" s="102"/>
      <c r="JZ2" s="102"/>
      <c r="KA2" s="102" t="s">
        <v>161</v>
      </c>
      <c r="KB2" s="102"/>
      <c r="KC2" s="102"/>
      <c r="KD2" s="102"/>
      <c r="KE2" s="102" t="s">
        <v>162</v>
      </c>
      <c r="KF2" s="102"/>
      <c r="KG2" s="102"/>
      <c r="KH2" s="102"/>
      <c r="KI2" s="102" t="s">
        <v>163</v>
      </c>
      <c r="KJ2" s="102"/>
      <c r="KK2" s="102"/>
      <c r="KL2" s="102"/>
      <c r="KM2" s="111" t="s">
        <v>164</v>
      </c>
      <c r="KN2" s="111"/>
      <c r="KO2" s="111"/>
      <c r="KP2" s="111"/>
      <c r="KQ2" s="70" t="s">
        <v>165</v>
      </c>
      <c r="KR2" s="70" t="s">
        <v>166</v>
      </c>
      <c r="KS2" s="70" t="s">
        <v>162</v>
      </c>
      <c r="KT2" s="70" t="s">
        <v>57</v>
      </c>
      <c r="KU2" s="70" t="s">
        <v>167</v>
      </c>
      <c r="KV2" s="70" t="s">
        <v>15</v>
      </c>
      <c r="KW2" s="100" t="s">
        <v>160</v>
      </c>
      <c r="KX2" s="100"/>
      <c r="KY2" s="100"/>
      <c r="KZ2" s="100"/>
      <c r="LA2" s="100" t="s">
        <v>161</v>
      </c>
      <c r="LB2" s="100"/>
      <c r="LC2" s="100"/>
      <c r="LD2" s="100"/>
      <c r="LE2" s="100" t="s">
        <v>162</v>
      </c>
      <c r="LF2" s="100"/>
      <c r="LG2" s="100"/>
      <c r="LH2" s="100"/>
      <c r="LI2" s="100" t="s">
        <v>163</v>
      </c>
      <c r="LJ2" s="100"/>
      <c r="LK2" s="100"/>
      <c r="LL2" s="100"/>
      <c r="LM2" s="109" t="s">
        <v>164</v>
      </c>
      <c r="LN2" s="109"/>
      <c r="LO2" s="109"/>
      <c r="LP2" s="109"/>
      <c r="LQ2" s="71" t="s">
        <v>165</v>
      </c>
      <c r="LR2" s="71" t="s">
        <v>166</v>
      </c>
      <c r="LS2" s="71" t="s">
        <v>162</v>
      </c>
      <c r="LT2" s="71" t="s">
        <v>57</v>
      </c>
      <c r="LU2" s="71" t="s">
        <v>167</v>
      </c>
      <c r="LV2" s="71" t="s">
        <v>15</v>
      </c>
      <c r="LW2" s="102" t="s">
        <v>160</v>
      </c>
      <c r="LX2" s="102"/>
      <c r="LY2" s="102"/>
      <c r="LZ2" s="102"/>
      <c r="MA2" s="102" t="s">
        <v>161</v>
      </c>
      <c r="MB2" s="102"/>
      <c r="MC2" s="102"/>
      <c r="MD2" s="102"/>
      <c r="ME2" s="102" t="s">
        <v>162</v>
      </c>
      <c r="MF2" s="102"/>
      <c r="MG2" s="102"/>
      <c r="MH2" s="102"/>
      <c r="MI2" s="102" t="s">
        <v>163</v>
      </c>
      <c r="MJ2" s="102"/>
      <c r="MK2" s="102"/>
      <c r="ML2" s="102"/>
      <c r="MM2" s="111" t="s">
        <v>164</v>
      </c>
      <c r="MN2" s="111"/>
      <c r="MO2" s="111"/>
      <c r="MP2" s="111"/>
      <c r="MQ2" s="70" t="s">
        <v>165</v>
      </c>
      <c r="MR2" s="70" t="s">
        <v>166</v>
      </c>
      <c r="MS2" s="70" t="s">
        <v>162</v>
      </c>
      <c r="MT2" s="70" t="s">
        <v>57</v>
      </c>
      <c r="MU2" s="70" t="s">
        <v>167</v>
      </c>
      <c r="MV2" s="70" t="s">
        <v>15</v>
      </c>
      <c r="MW2" s="100" t="s">
        <v>160</v>
      </c>
      <c r="MX2" s="100"/>
      <c r="MY2" s="100"/>
      <c r="MZ2" s="100"/>
      <c r="NA2" s="100" t="s">
        <v>161</v>
      </c>
      <c r="NB2" s="100"/>
      <c r="NC2" s="100"/>
      <c r="ND2" s="100"/>
      <c r="NE2" s="100" t="s">
        <v>162</v>
      </c>
      <c r="NF2" s="100"/>
      <c r="NG2" s="100"/>
      <c r="NH2" s="100"/>
      <c r="NI2" s="100" t="s">
        <v>163</v>
      </c>
      <c r="NJ2" s="100"/>
      <c r="NK2" s="100"/>
      <c r="NL2" s="100"/>
      <c r="NM2" s="109" t="s">
        <v>164</v>
      </c>
      <c r="NN2" s="109"/>
      <c r="NO2" s="109"/>
      <c r="NP2" s="109"/>
      <c r="NQ2" s="71" t="s">
        <v>165</v>
      </c>
      <c r="NR2" s="71" t="s">
        <v>166</v>
      </c>
      <c r="NS2" s="71" t="s">
        <v>162</v>
      </c>
      <c r="NT2" s="71" t="s">
        <v>57</v>
      </c>
      <c r="NU2" s="71" t="s">
        <v>167</v>
      </c>
      <c r="NV2" s="71" t="s">
        <v>15</v>
      </c>
      <c r="NW2" s="102" t="s">
        <v>160</v>
      </c>
      <c r="NX2" s="102"/>
      <c r="NY2" s="102"/>
      <c r="NZ2" s="102"/>
      <c r="OA2" s="102" t="s">
        <v>161</v>
      </c>
      <c r="OB2" s="102"/>
      <c r="OC2" s="102"/>
      <c r="OD2" s="102"/>
      <c r="OE2" s="102" t="s">
        <v>162</v>
      </c>
      <c r="OF2" s="102"/>
      <c r="OG2" s="102"/>
      <c r="OH2" s="102"/>
      <c r="OI2" s="102" t="s">
        <v>163</v>
      </c>
      <c r="OJ2" s="102"/>
      <c r="OK2" s="102"/>
      <c r="OL2" s="102"/>
      <c r="OM2" s="111" t="s">
        <v>164</v>
      </c>
      <c r="ON2" s="111"/>
      <c r="OO2" s="111"/>
      <c r="OP2" s="111"/>
      <c r="OQ2" s="70" t="s">
        <v>165</v>
      </c>
      <c r="OR2" s="70" t="s">
        <v>166</v>
      </c>
      <c r="OS2" s="70" t="s">
        <v>162</v>
      </c>
      <c r="OT2" s="70" t="s">
        <v>57</v>
      </c>
      <c r="OU2" s="70" t="s">
        <v>167</v>
      </c>
      <c r="OV2" s="70" t="s">
        <v>15</v>
      </c>
      <c r="OW2" s="100" t="s">
        <v>160</v>
      </c>
      <c r="OX2" s="100"/>
      <c r="OY2" s="100"/>
      <c r="OZ2" s="100"/>
      <c r="PA2" s="100" t="s">
        <v>161</v>
      </c>
      <c r="PB2" s="100"/>
      <c r="PC2" s="100"/>
      <c r="PD2" s="100"/>
      <c r="PE2" s="100" t="s">
        <v>162</v>
      </c>
      <c r="PF2" s="100"/>
      <c r="PG2" s="100"/>
      <c r="PH2" s="100"/>
      <c r="PI2" s="100" t="s">
        <v>163</v>
      </c>
      <c r="PJ2" s="100"/>
      <c r="PK2" s="100"/>
      <c r="PL2" s="100"/>
      <c r="PM2" s="110" t="s">
        <v>164</v>
      </c>
      <c r="PN2" s="110"/>
      <c r="PO2" s="110"/>
      <c r="PP2" s="110"/>
      <c r="PQ2" s="71"/>
      <c r="PR2" s="71" t="s">
        <v>165</v>
      </c>
      <c r="PS2" s="71" t="s">
        <v>166</v>
      </c>
      <c r="PT2" s="71" t="s">
        <v>162</v>
      </c>
      <c r="PU2" s="71" t="s">
        <v>57</v>
      </c>
      <c r="PV2" s="71" t="s">
        <v>167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77" t="s">
        <v>115</v>
      </c>
      <c r="C4" s="5" t="s">
        <v>3</v>
      </c>
      <c r="D4" s="5">
        <v>2004</v>
      </c>
      <c r="E4" s="15">
        <f>SUM(I4:O4)+SUM(I4:M4)*0.0000001+SUM(I4)*0.0000000000001</f>
        <v>131.34001258955999</v>
      </c>
      <c r="F4" s="3" t="str">
        <f>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P","")</f>
        <v>P</v>
      </c>
      <c r="G4" s="3" t="str">
        <f>IF(OR(AND(AN4&gt;=AR$30,AN4&lt;&gt;"",AL4=""),AND(AQ4&gt;=AR$30,AQ4&lt;&gt;"",AL4=""),AND(BO4&gt;=BS$30,BO4&lt;&gt;"",BM4=""),AND(BR4&gt;=BS$30,BR4&lt;&gt;"",BM4=""),AND(CP4&gt;=CT$30,CP4&lt;&gt;"",CN4=""),AND(CS4&gt;=CT$30,CS4&lt;&gt;"",CN4=""),AND(DR4&gt;=DV$30,DR4&lt;&gt;""),AND(DU4&gt;=DV$30,DU4&lt;&gt;""),AND(ER4&gt;=EV$30,ER4&lt;&gt;""),AND(EU4&gt;=EV$30,EU4&lt;&gt;""),AND(FR4&gt;=FV$30,FR4&lt;&gt;""),AND(FU4&gt;=FV$30,FU4&lt;&gt;""),AND(GR4&gt;=GV$30,GR4&lt;&gt;""),AND(GU4&gt;=GV$30,GU4&lt;&gt;""),AND(HR4&gt;=HV$30,HR4&lt;&gt;""),AND(HU4&gt;=HV$30,HU4&lt;&gt;""),AND(IR4&gt;=IV$30,IR4&lt;&gt;""),AND(IU4&gt;=IV$30,IU4&lt;&gt;""),AND(JR4&gt;=JV$30,JR4&lt;&gt;""),AND(JU4&gt;=JV$30,JU4&lt;&gt;""),AND(KR4&gt;=KV$30,KR4&lt;&gt;""),AND(KU4&gt;=KV$30,KU4&lt;&gt;""),AND(LR4&gt;=LV$30,LR4&lt;&gt;""),AND(LU4&gt;=LV$30,LU4&lt;&gt;""),AND(MR4&gt;=MV$30,MR4&lt;&gt;""),AND(MU4&gt;=MV$30,MU4&lt;&gt;""),AND(NR4&gt;=NV$30,NR4&lt;&gt;""),AND(NU4&gt;=NV$30,NU4&lt;&gt;""),AND(OR4&gt;=OV$30,OR4&lt;&gt;""),AND(OU4&gt;=OV$30,OU4&lt;&gt;"")),"P","")</f>
        <v>P</v>
      </c>
      <c r="H4" s="66" t="str">
        <f>IF(AND(G4="P",F4=""),"No DD",IF(OR(AND(AM4&gt;=AR$29,AN4&gt;=AR$33,AM4&lt;&gt;"",AL4=""),AND(AP4&gt;=AR$29,AQ4&gt;=AR$33,AP4&lt;&gt;"",AL4=""),AND(BN4&gt;=BS$29,BO4&gt;=BS$33,BN4&lt;&gt;"",BM4=""),AND(BQ4&gt;=BS$29,BR4&gt;=BS$33,BQ4&lt;&gt;"",BM4=""),AND(CO4&gt;=CT$29,CP4&gt;=CT$33,CO4&lt;&gt;"",CN4=""),AND(CR4&gt;=CT$29,CS4&gt;=CT$33,CR4&lt;&gt;""),AND(DQ4&gt;=DV$29,DR4&gt;=DV$33,DQ4&lt;&gt;""),AND(DT4&gt;=DV$29,DU4&gt;=DV$33,DT4&lt;&gt;""),AND(EQ4&gt;=EV$29,ER4&gt;=EV$33,EQ4&lt;&gt;""),AND(ET4&gt;=EV$29,EU4&gt;=EV$33,ET4&lt;&gt;""),AND(FQ4&gt;=FV$29,FR4&gt;=FV$33,FQ4&lt;&gt;""),AND(FT4&gt;=FV$29,FU4&gt;=FV$33,FT4&lt;&gt;""),AND(GQ4&gt;=GV$29,GR4&gt;=GV$33,GQ4&lt;&gt;""),AND(GT4&gt;=GV$29,GU4&gt;=GV$33,GT4&lt;&gt;""),AND(HQ4&gt;=HV$29,HR4&gt;=HV$33,HQ4&lt;&gt;""),AND(HT4&gt;=HV$29,HU4&gt;=HV$33,HT4&lt;&gt;""),AND(IQ4&gt;=IV$29,IR4&gt;=IV$33,IQ4&lt;&gt;""),AND(IT4&gt;=IV$29,IU4&gt;=IV$33,IT4&lt;&gt;""),AND(JQ4&gt;=JV$29,JR4&gt;=JV$33,JQ4&lt;&gt;""),AND(JT4&gt;=JV$29,JU4&gt;=JV$33,JT4&lt;&gt;""),AND(KQ4&gt;=KV$29,KR4&gt;=KV$33,KQ4&lt;&gt;""),AND(KT4&gt;=KV$29,KU4&gt;=KV$33,KT4&lt;&gt;""),AND(LQ4&gt;=LV$29,LR4&gt;=LV$33,LQ4&lt;&gt;""),AND(LT4&gt;=LV$29,LU4&gt;=LV$33,LT4&lt;&gt;""),AND(MQ4&gt;=MV$29,MR4&gt;=MV$33,MQ4&lt;&gt;""),AND(MT4&gt;=MV$29,MU4&gt;=MV$33,MT4&lt;&gt;""),AND(NQ4&gt;=NV$29,NR4&gt;=NV$33,NQ4&lt;&gt;""),AND(NT4&gt;=NV$29,NU4&gt;=NV$33,NT4&lt;&gt;""),AND(OQ4&gt;=OV$29,OR4&gt;=OV$33,OQ4&lt;&gt;""),AND(OT4&gt;=OV$29,OU4&gt;=OV$33,OT4&lt;&gt;"")),"Merit",IF(OR(AND(AM4&gt;=AR$28,AN4&gt;=AR$32,AM4&lt;&gt;"",AL4=""),AND(AP4&gt;=AR$28,AQ4&gt;=AR$32,AP4&lt;&gt;"",AL4=""),AND(BN4&gt;=BS$28,BO4&gt;=BS$32,BN4&lt;&gt;"",BM4=""),AND(BQ4&gt;=BS$28,BR4&gt;=BS$32,BQ4&lt;&gt;"",BM4=""),AND(CO4&gt;=CT$28,CP4&gt;=CT$32,CO4&lt;&gt;"",CN4=""),AND(CR4&gt;=CT$28,CS4&gt;=CT$32,CR4&lt;&gt;""),AND(DQ4&gt;=DV$28,DR4&gt;=DV$32,DQ4&lt;&gt;""),AND(DT4&gt;=DV$28,DU4&gt;=DV$32,DT4&lt;&gt;""),AND(EQ4&gt;=EV$28,ER4&gt;=EV$32,EQ4&lt;&gt;""),AND(ET4&gt;=EV$28,EU4&gt;=EV$32,ET4&lt;&gt;""),AND(FQ4&gt;=FV$28,FR4&gt;=FV$32,FQ4&lt;&gt;""),AND(FT4&gt;=FV$28,FU4&gt;=FV$32,FT4&lt;&gt;""),AND(GQ4&gt;=GV$28,GR4&gt;=GV$32,GQ4&lt;&gt;""),AND(GT4&gt;=GV$28,GU4&gt;=GV$32,GT4&lt;&gt;""),AND(HQ4&gt;=HV$28,HR4&gt;=HV$32,HQ4&lt;&gt;""),AND(HT4&gt;=HV$28,HU4&gt;=HV$32,HT4&lt;&gt;""),AND(IQ4&gt;=IV$28,IR4&gt;=IV$32,IQ4&lt;&gt;""),AND(IT4&gt;=IV$28,IU4&gt;=IV$32,IT4&lt;&gt;""),AND(JQ4&gt;=JV$28,JR4&gt;=JV$32,JQ4&lt;&gt;""),AND(JT4&gt;=JV$28,JU4&gt;=JV$32,JT4&lt;&gt;""),AND(KQ4&gt;=KV$28,KR4&gt;=KV$32,KQ4&lt;&gt;""),AND(KT4&gt;=KV$28,KU4&gt;=KV$32,KT4&lt;&gt;""),AND(LQ4&gt;=LV$28,LR4&gt;=LV$32,LQ4&lt;&gt;""),AND(LT4&gt;=LV$28,LU4&gt;=LV$32,LT4&lt;&gt;""),AND(MQ4&gt;=MV$28,MR4&gt;=MV$32,MQ4&lt;&gt;""),AND(MT4&gt;=MV$28,MU4&gt;=MV$32,MT4&lt;&gt;""),AND(NQ4&gt;=NV$28,NR4&gt;=NV$32,NQ4&lt;&gt;""),AND(NT4&gt;=NV$28,NU4&gt;=NV$32,NT4&lt;&gt;""),AND(OQ4&gt;=OV$28,OR4&gt;=OV$32,OQ4&lt;&gt;""),AND(OT4&gt;=OV$28,OU4&gt;=OV$32,OT4&lt;&gt;"")),"Excellence",IF(F4="P","National Team",""))))</f>
        <v>National Team</v>
      </c>
      <c r="I4" s="14">
        <f>IF(COUNT(AN4,BO4,CP4)&gt;0,LARGE((AN4,BO4,CP4),1),0)</f>
        <v>44.2</v>
      </c>
      <c r="J4" s="14" t="str">
        <f>IF(I4=0,"",IF(I4=CP4,$BT$1,IF(I4=BO4,$AS$1,IF(I4=AN4,$R$1,""))))</f>
        <v>2022 Elite Canada</v>
      </c>
      <c r="K4" s="14">
        <f>IF(COUNT(AN4,BO4,CP4)&gt;1,LARGE((AN4,BO4,CP4),2),0)</f>
        <v>37.955555555555549</v>
      </c>
      <c r="L4" s="14" t="str">
        <f>IF(K4=0,"",IF(K4=CP4,$BT$1,IF(K4=BO4,$AS$1,IF(K4=AN4,$R$1,""))))</f>
        <v>2022 Nationals</v>
      </c>
      <c r="M4" s="14">
        <f>IF(MAX(AQ4,BR4,CS4)&gt;0,MAX(AQ4,BR4,CS4),0)</f>
        <v>43.739999999999995</v>
      </c>
      <c r="N4" s="14" t="str">
        <f>IF(M4=0,"",IF(M4=CS4,$BT$1,IF(M4=BR4,$AS$1,IF(M4=AQ4,$R$1,""))))</f>
        <v>2022 Elite Canada</v>
      </c>
      <c r="O4" s="14">
        <f>IF(MAX(CU4:CV4)&gt;0,MAX(CU4:CV4),"")</f>
        <v>5.44444444444445</v>
      </c>
      <c r="P4" s="19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>
        <v>18.2</v>
      </c>
      <c r="S4" s="26">
        <v>3.6</v>
      </c>
      <c r="T4" s="26">
        <v>0</v>
      </c>
      <c r="U4" s="26">
        <v>0</v>
      </c>
      <c r="V4" s="26">
        <v>17.600000000000001</v>
      </c>
      <c r="W4" s="26">
        <v>4.5</v>
      </c>
      <c r="X4" s="26">
        <v>0</v>
      </c>
      <c r="Y4" s="26">
        <v>0.3</v>
      </c>
      <c r="Z4" s="26"/>
      <c r="AA4" s="26"/>
      <c r="AB4" s="26"/>
      <c r="AC4" s="26"/>
      <c r="AD4" s="26">
        <v>17.940000000000001</v>
      </c>
      <c r="AE4" s="26">
        <v>3.6</v>
      </c>
      <c r="AF4" s="26">
        <v>0</v>
      </c>
      <c r="AG4" s="26">
        <v>0</v>
      </c>
      <c r="AH4" s="26">
        <v>17.399999999999999</v>
      </c>
      <c r="AI4" s="26">
        <v>4.5</v>
      </c>
      <c r="AJ4" s="26">
        <v>0</v>
      </c>
      <c r="AK4" s="26">
        <v>0.3</v>
      </c>
      <c r="AL4" s="44"/>
      <c r="AM4" s="78">
        <f>IF(SUM(S4,W4)&gt;0,SUM(S4,W4),"")</f>
        <v>8.1</v>
      </c>
      <c r="AN4" s="78">
        <f>IF(SUM(R4:S4,U4:W4,Y4)-T4-X4&gt;0,SUM(R4:S4,U4:W4,Y4)-T4-X4,"")</f>
        <v>44.2</v>
      </c>
      <c r="AO4" s="78" t="str">
        <f>IF(SUM(Z4:AA4,AC4)-AB4&gt;0,SUM(Z4:AA4,AC4)-AB4,"")</f>
        <v/>
      </c>
      <c r="AP4" s="78">
        <f>IF(SUM(AE4,AI4)&gt;0,SUM(AE4,AI4),"")</f>
        <v>8.1</v>
      </c>
      <c r="AQ4" s="78">
        <f>IF(SUM(AD4:AE4,AG4:AI4,AK4)-SUM(AF4,AJ4)&gt;0,SUM(AD4:AE4,AG4:AI4,AK4)-SUM(AF4,AJ4),"")</f>
        <v>43.739999999999995</v>
      </c>
      <c r="AR4" s="78">
        <f>IF(SUM(AN4,AQ4)&gt;0,SUM(AN4,AQ4),"")</f>
        <v>87.94</v>
      </c>
      <c r="AS4" s="25">
        <v>14.833333333333332</v>
      </c>
      <c r="AT4" s="25">
        <v>3.75</v>
      </c>
      <c r="AU4" s="25">
        <v>0</v>
      </c>
      <c r="AV4" s="25">
        <v>0.15</v>
      </c>
      <c r="AW4" s="25">
        <v>14.622222222222224</v>
      </c>
      <c r="AX4" s="25">
        <v>4.3</v>
      </c>
      <c r="AY4" s="25">
        <v>0</v>
      </c>
      <c r="AZ4" s="25">
        <v>0.3</v>
      </c>
      <c r="BA4" s="25"/>
      <c r="BB4" s="25"/>
      <c r="BC4" s="25"/>
      <c r="BD4" s="25"/>
      <c r="BE4" s="25">
        <v>14.636666666666667</v>
      </c>
      <c r="BF4" s="25">
        <v>3.75</v>
      </c>
      <c r="BG4" s="25">
        <v>0.1</v>
      </c>
      <c r="BH4" s="25">
        <v>0.15</v>
      </c>
      <c r="BI4" s="25">
        <v>14.544444444444444</v>
      </c>
      <c r="BJ4" s="25">
        <v>4.3</v>
      </c>
      <c r="BK4" s="25">
        <v>0.1</v>
      </c>
      <c r="BL4" s="25">
        <v>0.3</v>
      </c>
      <c r="BM4" s="45" t="s">
        <v>46</v>
      </c>
      <c r="BN4" s="19">
        <f>IF(SUM(AT4,AX4)&gt;0,SUM(AT4,AX4),"")</f>
        <v>8.0500000000000007</v>
      </c>
      <c r="BO4" s="19">
        <f>IF(SUM(AS4:AT4,AV4:AX4,AZ4)-AU4-AY4&gt;0,SUM(AS4:AT4,AV4:AX4,AZ4)-AU4-AY4,"")</f>
        <v>37.955555555555549</v>
      </c>
      <c r="BP4" s="19" t="str">
        <f>IF(SUM(BA4:BB4,BD4)-BC4&gt;0,SUM(BA4:BB4,BD4)-BC4,"")</f>
        <v/>
      </c>
      <c r="BQ4" s="19">
        <f>IF(SUM(BF4,BJ4)&gt;0,SUM(BF4,BJ4),"")</f>
        <v>8.0500000000000007</v>
      </c>
      <c r="BR4" s="19">
        <f>IF(SUM(BE4:BF4,BH4:BJ4,BL4)-SUM(BG4,BK4)&gt;0,SUM(BE4:BF4,BH4:BJ4,BL4)-SUM(BG4,BK4),"")</f>
        <v>37.481111111111105</v>
      </c>
      <c r="BS4" s="19">
        <f>IF(SUM(BO4,BR4)&gt;0,SUM(BO4,BR4),"")</f>
        <v>75.436666666666653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4"/>
      <c r="CO4" s="78" t="str">
        <f>IF(SUM(BU4,BY4)&gt;0,SUM(BU4,BY4),"")</f>
        <v/>
      </c>
      <c r="CP4" s="78" t="str">
        <f>IF(SUM(BT4:BU4,BW4:BY4,CA4)-BV4-BZ4&gt;0,SUM(BT4:BU4,BW4:BY4,CA4)-BV4-BZ4,"")</f>
        <v/>
      </c>
      <c r="CQ4" s="78" t="str">
        <f>IF(SUM(CB4:CC4,CE4)-CD4&gt;0,SUM(CB4:CC4,CE4)-CD4,"")</f>
        <v/>
      </c>
      <c r="CR4" s="78" t="str">
        <f>IF(SUM(CG4,CK4)&gt;0,SUM(CG4,CK4),"")</f>
        <v/>
      </c>
      <c r="CS4" s="78" t="str">
        <f>IF(SUM(CF4:CG4,CI4:CK4,CM4)-SUM(CH4,CL4)&gt;0,SUM(CF4:CG4,CI4:CK4,CM4)-SUM(CH4,CL4),"")</f>
        <v/>
      </c>
      <c r="CT4" s="78" t="str">
        <f>IF(SUM(CP4,CS4)&gt;0,SUM(CP4,CS4),"")</f>
        <v/>
      </c>
      <c r="CU4" s="79">
        <f>IF(K4&gt;=0.001,IF(MAX(DR4,ER4,FR4,GR4,HR4,IR4,JR4,KR4,LR4,MR4,NR4,OR4)-IF(K4="",0,K4)&gt;0.001,MAX(DR4,ER4,FR4,GR4,HR4,IR4,JR4,KR4,LR4,MR4,NR4,OR4)-IF(K4="",0,K4),""),"")</f>
        <v>5.44444444444445</v>
      </c>
      <c r="CV4" s="79">
        <f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>IF(SUM(CX4,DB4)&gt;0,SUM(CX4,DB4),"")</f>
        <v>8.1</v>
      </c>
      <c r="DR4" s="78">
        <f>IF(SUM(CW4:CX4,CZ4:DB4,DD4)-CY4-DC4&gt;0,SUM(CW4:CX4,CZ4:DB4,DD4)-CY4-DC4,"")</f>
        <v>43.4</v>
      </c>
      <c r="DS4" s="78" t="str">
        <f>IF(SUM(DE4:DF4,DH4)-DG4&gt;0,SUM(DE4:DF4,DH4)-DG4,"")</f>
        <v/>
      </c>
      <c r="DT4" s="78">
        <f>IF(SUM(DJ4,DN4)&gt;0,SUM(DJ4,DN4),"")</f>
        <v>8.1</v>
      </c>
      <c r="DU4" s="78">
        <f>IF(SUM(DI4:DJ4,DL4:DN4,DP4)-SUM(DK4,DO4)&gt;0,SUM(DI4:DJ4,DL4:DN4,DP4)-SUM(DK4,DO4),"")</f>
        <v>43.9</v>
      </c>
      <c r="DV4" s="78">
        <f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>IF(SUM(DX4,EB4)&gt;0,SUM(DX4,EB4),"")</f>
        <v>8.8000000000000007</v>
      </c>
      <c r="ER4" s="19">
        <f>IF(SUM(DW4:DX4,DZ4:EB4,ED4)-DY4-EC4&gt;0,SUM(DW4:DX4,DZ4:EB4,ED4)-DY4-EC4,"")</f>
        <v>43.199999999999996</v>
      </c>
      <c r="ES4" s="19" t="str">
        <f>IF(SUM(EE4:EF4,EH4)-EG4&gt;0,SUM(EE4:EF4,EH4)-EG4,"")</f>
        <v/>
      </c>
      <c r="ET4" s="19">
        <f>IF(SUM(EJ4,EN4)&gt;0,SUM(EJ4,EN4),"")</f>
        <v>8.8000000000000007</v>
      </c>
      <c r="EU4" s="19">
        <f>IF(SUM(EI4:EJ4,EL4:EN4,EP4)-SUM(EK4,EO4)&gt;0,SUM(EI4:EJ4,EL4:EN4,EP4)-SUM(EK4,EO4),"")</f>
        <v>43.099999999999994</v>
      </c>
      <c r="EV4" s="19">
        <f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>IF(SUM(EX4,FB4)&gt;0,SUM(EX4,FB4),"")</f>
        <v/>
      </c>
      <c r="FR4" s="78" t="str">
        <f>IF(SUM(EW4:EX4,EZ4:FB4,FD4)-EY4-FC4&gt;0,SUM(EW4:EX4,EZ4:FB4,FD4)-EY4-FC4,"")</f>
        <v/>
      </c>
      <c r="FS4" s="78" t="str">
        <f>IF(SUM(FE4:FF4,FH4)-FG4&gt;0,SUM(FE4:FF4,FH4)-FG4,"")</f>
        <v/>
      </c>
      <c r="FT4" s="78" t="str">
        <f>IF(SUM(FJ4,FN4)&gt;0,SUM(FJ4,FN4),"")</f>
        <v/>
      </c>
      <c r="FU4" s="78" t="str">
        <f>IF(SUM(FI4:FJ4,FL4:FN4,FP4)-SUM(FK4,FO4)&gt;0,SUM(FI4:FJ4,FL4:FN4,FP4)-SUM(FK4,FO4),"")</f>
        <v/>
      </c>
      <c r="FV4" s="78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>IF(SUM(FX4,GB4)&gt;0,SUM(FX4,GB4),"")</f>
        <v/>
      </c>
      <c r="GR4" s="19" t="str">
        <f>IF(SUM(FW4:FX4,FZ4:GB4,GD4)-FY4-GC4&gt;0,SUM(FW4:FX4,FZ4:GB4,GD4)-FY4-GC4,"")</f>
        <v/>
      </c>
      <c r="GS4" s="19" t="str">
        <f>IF(SUM(GE4:GF4,GH4)-GG4&gt;0,SUM(GE4:GF4,GH4)-GG4,"")</f>
        <v/>
      </c>
      <c r="GT4" s="19" t="str">
        <f>IF(SUM(GJ4,GN4)&gt;0,SUM(GJ4,GN4),"")</f>
        <v/>
      </c>
      <c r="GU4" s="19" t="str">
        <f>IF(SUM(GI4:GJ4,GL4:GN4,GP4)-SUM(GK4,GO4)&gt;0,SUM(GI4:GJ4,GL4:GN4,GP4)-SUM(GK4,GO4),"")</f>
        <v/>
      </c>
      <c r="GV4" s="19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>IF(SUM(GX4,HB4)&gt;0,SUM(GX4,HB4),"")</f>
        <v/>
      </c>
      <c r="HR4" s="78" t="str">
        <f>IF(SUM(GW4:GX4,GZ4:HB4,HD4)-GY4-HC4&gt;0,SUM(GW4:GX4,GZ4:HB4,HD4)-GY4-HC4,"")</f>
        <v/>
      </c>
      <c r="HS4" s="78" t="str">
        <f>IF(SUM(HE4:HF4,HH4)-HG4&gt;0,SUM(HE4:HF4,HH4)-HG4,"")</f>
        <v/>
      </c>
      <c r="HT4" s="78" t="str">
        <f>IF(SUM(HJ4,HN4)&gt;0,SUM(HJ4,HN4),"")</f>
        <v/>
      </c>
      <c r="HU4" s="78" t="str">
        <f>IF(SUM(HI4:HJ4,HL4:HN4,HP4)-SUM(HK4,HO4)&gt;0,SUM(HI4:HJ4,HL4:HN4,HP4)-SUM(HK4,HO4),"")</f>
        <v/>
      </c>
      <c r="HV4" s="78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>IF(SUM(HX4,IB4)&gt;0,SUM(HX4,IB4),"")</f>
        <v/>
      </c>
      <c r="IR4" s="19" t="str">
        <f>IF(SUM(HW4:HX4,HZ4:IB4,ID4)-HY4-IC4&gt;0,SUM(HW4:HX4,HZ4:IB4,ID4)-HY4-IC4,"")</f>
        <v/>
      </c>
      <c r="IS4" s="19" t="str">
        <f>IF(SUM(IE4:IF4,IH4)-IG4&gt;0,SUM(IE4:IF4,IH4)-IG4,"")</f>
        <v/>
      </c>
      <c r="IT4" s="19" t="str">
        <f>IF(SUM(IJ4,IN4)&gt;0,SUM(IJ4,IN4),"")</f>
        <v/>
      </c>
      <c r="IU4" s="19" t="str">
        <f>IF(SUM(II4:IJ4,IL4:IN4,IP4)-SUM(IK4,IO4)&gt;0,SUM(II4:IJ4,IL4:IN4,IP4)-SUM(IK4,IO4),"")</f>
        <v/>
      </c>
      <c r="IV4" s="19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>IF(SUM(IX4,JB4)&gt;0,SUM(IX4,JB4),"")</f>
        <v/>
      </c>
      <c r="JR4" s="78" t="str">
        <f>IF(SUM(IW4:IX4,IZ4:JB4,JD4)-IY4-JC4&gt;0,SUM(IW4:IX4,IZ4:JB4,JD4)-IY4-JC4,"")</f>
        <v/>
      </c>
      <c r="JS4" s="78" t="str">
        <f>IF(SUM(JE4:JF4,JH4)-JG4&gt;0,SUM(JE4:JF4,JH4)-JG4,"")</f>
        <v/>
      </c>
      <c r="JT4" s="78" t="str">
        <f>IF(SUM(JJ4,JN4)&gt;0,SUM(JJ4,JN4),"")</f>
        <v/>
      </c>
      <c r="JU4" s="78" t="str">
        <f>IF(SUM(JI4:JJ4,JL4:JN4,JP4)-SUM(JK4,JO4)&gt;0,SUM(JI4:JJ4,JL4:JN4,JP4)-SUM(JK4,JO4),"")</f>
        <v/>
      </c>
      <c r="JV4" s="78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>IF(SUM(JX4,KB4)&gt;0,SUM(JX4,KB4),"")</f>
        <v/>
      </c>
      <c r="KR4" s="19" t="str">
        <f>IF(SUM(JW4:JX4,JZ4:KB4,KD4)-JY4-KC4&gt;0,SUM(JW4:JX4,JZ4:KB4,KD4)-JY4-KC4,"")</f>
        <v/>
      </c>
      <c r="KS4" s="19" t="str">
        <f>IF(SUM(KE4:KF4,KH4)-KG4&gt;0,SUM(KE4:KF4,KH4)-KG4,"")</f>
        <v/>
      </c>
      <c r="KT4" s="19" t="str">
        <f>IF(SUM(KJ4,KN4)&gt;0,SUM(KJ4,KN4),"")</f>
        <v/>
      </c>
      <c r="KU4" s="19" t="str">
        <f>IF(SUM(KI4:KJ4,KL4:KN4,KP4)-SUM(KK4,KO4)&gt;0,SUM(KI4:KJ4,KL4:KN4,KP4)-SUM(KK4,KO4),"")</f>
        <v/>
      </c>
      <c r="KV4" s="19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>IF(SUM(KX4,LB4)&gt;0,SUM(KX4,LB4),"")</f>
        <v/>
      </c>
      <c r="LR4" s="78" t="str">
        <f>IF(SUM(KW4:KX4,KZ4:LB4,LD4)-KY4-LC4&gt;0,SUM(KW4:KX4,KZ4:LB4,LD4)-KY4-LC4,"")</f>
        <v/>
      </c>
      <c r="LS4" s="78" t="str">
        <f>IF(SUM(LE4:LF4,LH4)-LG4&gt;0,SUM(LE4:LF4,LH4)-LG4,"")</f>
        <v/>
      </c>
      <c r="LT4" s="78" t="str">
        <f>IF(SUM(LJ4,LN4)&gt;0,SUM(LJ4,LN4),"")</f>
        <v/>
      </c>
      <c r="LU4" s="78" t="str">
        <f>IF(SUM(LI4:LJ4,LL4:LN4,LP4)-SUM(LK4,LO4)&gt;0,SUM(LI4:LJ4,LL4:LN4,LP4)-SUM(LK4,LO4),"")</f>
        <v/>
      </c>
      <c r="LV4" s="78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>IF(SUM(LX4,MB4)&gt;0,SUM(LX4,MB4),"")</f>
        <v/>
      </c>
      <c r="MR4" s="19" t="str">
        <f>IF(SUM(LW4:LX4,LZ4:MB4,MD4)-LY4-MC4&gt;0,SUM(LW4:LX4,LZ4:MB4,MD4)-LY4-MC4,"")</f>
        <v/>
      </c>
      <c r="MS4" s="19" t="str">
        <f>IF(SUM(ME4:MF4,MH4)-MG4&gt;0,SUM(ME4:MF4,MH4)-MG4,"")</f>
        <v/>
      </c>
      <c r="MT4" s="19" t="str">
        <f>IF(SUM(MJ4,MN4)&gt;0,SUM(MJ4,MN4),"")</f>
        <v/>
      </c>
      <c r="MU4" s="19" t="str">
        <f>IF(SUM(MI4:MJ4,ML4:MN4,MP4)-SUM(MK4,MO4)&gt;0,SUM(MI4:MJ4,ML4:MN4,MP4)-SUM(MK4,MO4),"")</f>
        <v/>
      </c>
      <c r="MV4" s="19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>IF(SUM(MX4,NB4)&gt;0,SUM(MX4,NB4),"")</f>
        <v/>
      </c>
      <c r="NR4" s="78" t="str">
        <f>IF(SUM(MW4:MX4,MZ4:NB4,ND4)-MY4-NC4&gt;0,SUM(MW4:MX4,MZ4:NB4,ND4)-MY4-NC4,"")</f>
        <v/>
      </c>
      <c r="NS4" s="78" t="str">
        <f>IF(SUM(NE4:NF4,NH4)-NG4&gt;0,SUM(NE4:NF4,NH4)-NG4,"")</f>
        <v/>
      </c>
      <c r="NT4" s="78" t="str">
        <f>IF(SUM(NJ4,NN4)&gt;0,SUM(NJ4,NN4),"")</f>
        <v/>
      </c>
      <c r="NU4" s="78" t="str">
        <f>IF(SUM(NI4:NJ4,NL4:NN4,NP4)-SUM(NK4,NO4)&gt;0,SUM(NI4:NJ4,NL4:NN4,NP4)-SUM(NK4,NO4),"")</f>
        <v/>
      </c>
      <c r="NV4" s="78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>IF(SUM(NX4,OB4)&gt;0,SUM(NX4,OB4),"")</f>
        <v/>
      </c>
      <c r="OR4" s="19" t="str">
        <f>IF(SUM(NW4:NX4,NZ4:OB4,OD4)-NY4-OC4&gt;0,SUM(NW4:NX4,NZ4:OB4,OD4)-NY4-OC4,"")</f>
        <v/>
      </c>
      <c r="OS4" s="19" t="str">
        <f>IF(SUM(OE4:OF4,OH4)-OG4&gt;0,SUM(OE4:OF4,OH4)-OG4,"")</f>
        <v/>
      </c>
      <c r="OT4" s="19" t="str">
        <f>IF(SUM(OJ4,ON4)&gt;0,SUM(OJ4,ON4),"")</f>
        <v/>
      </c>
      <c r="OU4" s="19" t="str">
        <f>IF(SUM(OI4:OJ4,OL4:ON4,OP4)-SUM(OK4,OO4)&gt;0,SUM(OI4:OJ4,OL4:ON4,OP4)-SUM(OK4,OO4),"")</f>
        <v/>
      </c>
      <c r="OV4" s="19" t="str">
        <f>IF(SUM(OR4,OU4)&gt;0,SUM(OR4,OU4),"")</f>
        <v/>
      </c>
      <c r="OW4" s="37">
        <f>IF($CN4="P",BT4,(BT4+AS4)/2)</f>
        <v>7.4166666666666661</v>
      </c>
      <c r="OX4" s="37">
        <f>IF($CN4="P",BU4,(BU4+AT4)/2)</f>
        <v>1.875</v>
      </c>
      <c r="OY4" s="37">
        <f>IF($CN4="P",BV4,(BV4+AU4)/2)</f>
        <v>0</v>
      </c>
      <c r="OZ4" s="37">
        <f>IF($CN4="P",BW4,(BW4+AV4)/2)</f>
        <v>7.4999999999999997E-2</v>
      </c>
      <c r="PA4" s="37">
        <f>IF($CN4="P",BX4,(BX4+AW4)/2)</f>
        <v>7.3111111111111118</v>
      </c>
      <c r="PB4" s="37">
        <f>IF($CN4="P",BY4,(BY4+AX4)/2)</f>
        <v>2.15</v>
      </c>
      <c r="PC4" s="37">
        <f>IF($CN4="P",BZ4,(BZ4+AY4)/2)</f>
        <v>0</v>
      </c>
      <c r="PD4" s="37">
        <f>IF($CN4="P",CA4,(CA4+AZ4)/2)</f>
        <v>0.15</v>
      </c>
      <c r="PE4" s="37">
        <f>IF($CN4="P",CB4,(CB4+BA4)/2)</f>
        <v>0</v>
      </c>
      <c r="PF4" s="37">
        <f>IF($CN4="P",CC4,(CC4+BB4)/2)</f>
        <v>0</v>
      </c>
      <c r="PG4" s="37">
        <f>IF($CN4="P",CD4,(CD4+BC4)/2)</f>
        <v>0</v>
      </c>
      <c r="PH4" s="37">
        <f>IF($CN4="P",CE4,(CE4+BD4)/2)</f>
        <v>0</v>
      </c>
      <c r="PI4" s="37">
        <f>IF($CN4="P",CF4,(CF4+BE4)/2)</f>
        <v>7.3183333333333334</v>
      </c>
      <c r="PJ4" s="37">
        <f>IF($CN4="P",CG4,(CG4+BF4)/2)</f>
        <v>1.875</v>
      </c>
      <c r="PK4" s="37">
        <f>IF($CN4="P",CH4,(CH4+BG4)/2)</f>
        <v>0.05</v>
      </c>
      <c r="PL4" s="37">
        <f>IF($CN4="P",CI4,(CI4+BH4)/2)</f>
        <v>7.4999999999999997E-2</v>
      </c>
      <c r="PM4" s="37">
        <f>IF($CN4="P",CJ4,(CJ4+BI4)/2)</f>
        <v>7.2722222222222221</v>
      </c>
      <c r="PN4" s="37">
        <f>IF($CN4="P",CK4,(CK4+BJ4)/2)</f>
        <v>2.15</v>
      </c>
      <c r="PO4" s="37">
        <f>IF($CN4="P",CL4,(CL4+BK4)/2)</f>
        <v>0.05</v>
      </c>
      <c r="PP4" s="37">
        <f>IF($CN4="P",CM4,(CM4+BL4)/2)</f>
        <v>0.15</v>
      </c>
      <c r="PQ4" s="44" t="s">
        <v>46</v>
      </c>
      <c r="PR4" s="78">
        <f>IF(SUM(OX4,PB4)&gt;0,SUM(OX4,PB4),"")</f>
        <v>4.0250000000000004</v>
      </c>
      <c r="PS4" s="78">
        <f>IF(SUM(OW4:OX4,OZ4:PB4,PD4)-OY4-PC4&gt;0,SUM(OW4:OX4,OZ4:PB4,PD4)-OY4-PC4,"")</f>
        <v>18.977777777777774</v>
      </c>
      <c r="PT4" s="78" t="str">
        <f>IF(SUM(PE4:PF4,PH4)-PG4&gt;0,SUM(PE4:PF4,PH4)-PG4,"")</f>
        <v/>
      </c>
      <c r="PU4" s="78">
        <f>IF(SUM(PJ4,PN4)&gt;0,SUM(PJ4,PN4),"")</f>
        <v>4.0250000000000004</v>
      </c>
      <c r="PV4" s="78">
        <f>IF(SUM(PI4:PJ4,PL4:PN4,PP4)-SUM(PK4,PO4)&gt;0,SUM(PI4:PJ4,PL4:PN4,PP4)-SUM(PK4,PO4),"")</f>
        <v>18.740555555555552</v>
      </c>
      <c r="PW4" s="78">
        <f>IF(SUM(PS4,PV4)&gt;0,SUM(PS4,PV4),"")</f>
        <v>37.718333333333327</v>
      </c>
    </row>
    <row r="5" spans="1:439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77" t="s">
        <v>91</v>
      </c>
      <c r="C5" s="5" t="s">
        <v>4</v>
      </c>
      <c r="D5" s="5">
        <v>2003</v>
      </c>
      <c r="E5" s="15">
        <f>SUM(I5:O5)+SUM(I5:M5)*0.0000001+SUM(I5)*0.0000000000001</f>
        <v>130.1000127640043</v>
      </c>
      <c r="F5" s="3" t="str">
        <f>IF(OR(AND(AM5&gt;=AR$26,AN5&gt;=AR$30,AM5&lt;&gt;"",AL5=""),AND(AP5&gt;=AR$26,AQ5&gt;=AR$30,AP5&lt;&gt;"",AL5=""),AND(BN5&gt;=BS$26,BO5&gt;=BS$30,BN5&lt;&gt;"",BM5=""),AND(BQ5&gt;=BS$26,BR5&gt;=BS$30,BQ5&lt;&gt;"",BM5=""),AND(CO5&gt;=CT$26,CP5&gt;=CT$30,CO5&lt;&gt;"",CN5=""),AND(CR5&gt;=CT$26,CS5&gt;=CT$30,CR5&lt;&gt;""),AND(DQ5&gt;=DV$26,DR5&gt;=DV$30,DQ5&lt;&gt;""),AND(DT5&gt;=DV$26,DU5&gt;=DV$30,DT5&lt;&gt;""),AND(EQ5&gt;=EV$26,ER5&gt;=EV$30,EQ5&lt;&gt;""),AND(ET5&gt;=EV$26,EU5&gt;=EV$30,ET5&lt;&gt;""),AND(FQ5&gt;=FV$26,FR5&gt;=FV$30,FQ5&lt;&gt;""),AND(FT5&gt;=FV$26,FU5&gt;=FV$30,FT5&lt;&gt;""),AND(GQ5&gt;=GV$26,GR5&gt;=GV$30,GQ5&lt;&gt;""),AND(GT5&gt;=GV$26,GU5&gt;=GV$30,GT5&lt;&gt;""),AND(HQ5&gt;=HV$26,HR5&gt;=HV$30,HQ5&lt;&gt;""),AND(HT5&gt;=HV$26,HU5&gt;=HV$30,HT5&lt;&gt;""),AND(IQ5&gt;=IV$26,IR5&gt;=IV$30,IQ5&lt;&gt;""),AND(IT5&gt;=IV$26,IU5&gt;=IV$30,IT5&lt;&gt;""),AND(JQ5&gt;=JV$26,JR5&gt;=JV$30,JQ5&lt;&gt;""),AND(JT5&gt;=JV$26,JU5&gt;=JV$30,JT5&lt;&gt;""),AND(KQ5&gt;=KV$26,KR5&gt;=KV$30,KQ5&lt;&gt;""),AND(KT5&gt;=KV$26,KU5&gt;=KV$30,KT5&lt;&gt;""),AND(LQ5&gt;=LV$26,LR5&gt;=LV$30,LQ5&lt;&gt;""),AND(LT5&gt;=LV$26,LU5&gt;=LV$30,LT5&lt;&gt;""),AND(MQ5&gt;=MV$26,MR5&gt;=MV$30,MQ5&lt;&gt;""),AND(MT5&gt;=MV$26,MU5&gt;=MV$30,MT5&lt;&gt;""),AND(NQ5&gt;=NV$26,NR5&gt;=NV$30,NQ5&lt;&gt;""),AND(NT5&gt;=NV$26,NU5&gt;=NV$30,NT5&lt;&gt;""),AND(OQ5&gt;=OV$26,OR5&gt;=OV$30,OQ5&lt;&gt;""),AND(OT5&gt;=OV$26,OU5&gt;=OV$30,OT5&lt;&gt;"")),"P","")</f>
        <v>P</v>
      </c>
      <c r="G5" s="3" t="str">
        <f>IF(OR(AND(AN5&gt;=AR$30,AN5&lt;&gt;"",AL5=""),AND(AQ5&gt;=AR$30,AQ5&lt;&gt;"",AL5=""),AND(BO5&gt;=BS$30,BO5&lt;&gt;"",BM5=""),AND(BR5&gt;=BS$30,BR5&lt;&gt;"",BM5=""),AND(CP5&gt;=CT$30,CP5&lt;&gt;"",CN5=""),AND(CS5&gt;=CT$30,CS5&lt;&gt;"",CN5=""),AND(DR5&gt;=DV$30,DR5&lt;&gt;""),AND(DU5&gt;=DV$30,DU5&lt;&gt;""),AND(ER5&gt;=EV$30,ER5&lt;&gt;""),AND(EU5&gt;=EV$30,EU5&lt;&gt;""),AND(FR5&gt;=FV$30,FR5&lt;&gt;""),AND(FU5&gt;=FV$30,FU5&lt;&gt;""),AND(GR5&gt;=GV$30,GR5&lt;&gt;""),AND(GU5&gt;=GV$30,GU5&lt;&gt;""),AND(HR5&gt;=HV$30,HR5&lt;&gt;""),AND(HU5&gt;=HV$30,HU5&lt;&gt;""),AND(IR5&gt;=IV$30,IR5&lt;&gt;""),AND(IU5&gt;=IV$30,IU5&lt;&gt;""),AND(JR5&gt;=JV$30,JR5&lt;&gt;""),AND(JU5&gt;=JV$30,JU5&lt;&gt;""),AND(KR5&gt;=KV$30,KR5&lt;&gt;""),AND(KU5&gt;=KV$30,KU5&lt;&gt;""),AND(LR5&gt;=LV$30,LR5&lt;&gt;""),AND(LU5&gt;=LV$30,LU5&lt;&gt;""),AND(MR5&gt;=MV$30,MR5&lt;&gt;""),AND(MU5&gt;=MV$30,MU5&lt;&gt;""),AND(NR5&gt;=NV$30,NR5&lt;&gt;""),AND(NU5&gt;=NV$30,NU5&lt;&gt;""),AND(OR5&gt;=OV$30,OR5&lt;&gt;""),AND(OU5&gt;=OV$30,OU5&lt;&gt;"")),"P","")</f>
        <v>P</v>
      </c>
      <c r="H5" s="66" t="str">
        <f>IF(AND(G5="P",F5=""),"No DD",IF(OR(AND(AM5&gt;=AR$29,AN5&gt;=AR$33,AM5&lt;&gt;"",AL5=""),AND(AP5&gt;=AR$29,AQ5&gt;=AR$33,AP5&lt;&gt;"",AL5=""),AND(BN5&gt;=BS$29,BO5&gt;=BS$33,BN5&lt;&gt;"",BM5=""),AND(BQ5&gt;=BS$29,BR5&gt;=BS$33,BQ5&lt;&gt;"",BM5=""),AND(CO5&gt;=CT$29,CP5&gt;=CT$33,CO5&lt;&gt;"",CN5=""),AND(CR5&gt;=CT$29,CS5&gt;=CT$33,CR5&lt;&gt;""),AND(DQ5&gt;=DV$29,DR5&gt;=DV$33,DQ5&lt;&gt;""),AND(DT5&gt;=DV$29,DU5&gt;=DV$33,DT5&lt;&gt;""),AND(EQ5&gt;=EV$29,ER5&gt;=EV$33,EQ5&lt;&gt;""),AND(ET5&gt;=EV$29,EU5&gt;=EV$33,ET5&lt;&gt;""),AND(FQ5&gt;=FV$29,FR5&gt;=FV$33,FQ5&lt;&gt;""),AND(FT5&gt;=FV$29,FU5&gt;=FV$33,FT5&lt;&gt;""),AND(GQ5&gt;=GV$29,GR5&gt;=GV$33,GQ5&lt;&gt;""),AND(GT5&gt;=GV$29,GU5&gt;=GV$33,GT5&lt;&gt;""),AND(HQ5&gt;=HV$29,HR5&gt;=HV$33,HQ5&lt;&gt;""),AND(HT5&gt;=HV$29,HU5&gt;=HV$33,HT5&lt;&gt;""),AND(IQ5&gt;=IV$29,IR5&gt;=IV$33,IQ5&lt;&gt;""),AND(IT5&gt;=IV$29,IU5&gt;=IV$33,IT5&lt;&gt;""),AND(JQ5&gt;=JV$29,JR5&gt;=JV$33,JQ5&lt;&gt;""),AND(JT5&gt;=JV$29,JU5&gt;=JV$33,JT5&lt;&gt;""),AND(KQ5&gt;=KV$29,KR5&gt;=KV$33,KQ5&lt;&gt;""),AND(KT5&gt;=KV$29,KU5&gt;=KV$33,KT5&lt;&gt;""),AND(LQ5&gt;=LV$29,LR5&gt;=LV$33,LQ5&lt;&gt;""),AND(LT5&gt;=LV$29,LU5&gt;=LV$33,LT5&lt;&gt;""),AND(MQ5&gt;=MV$29,MR5&gt;=MV$33,MQ5&lt;&gt;""),AND(MT5&gt;=MV$29,MU5&gt;=MV$33,MT5&lt;&gt;""),AND(NQ5&gt;=NV$29,NR5&gt;=NV$33,NQ5&lt;&gt;""),AND(NT5&gt;=NV$29,NU5&gt;=NV$33,NT5&lt;&gt;""),AND(OQ5&gt;=OV$29,OR5&gt;=OV$33,OQ5&lt;&gt;""),AND(OT5&gt;=OV$29,OU5&gt;=OV$33,OT5&lt;&gt;"")),"Merit",IF(OR(AND(AM5&gt;=AR$28,AN5&gt;=AR$32,AM5&lt;&gt;"",AL5=""),AND(AP5&gt;=AR$28,AQ5&gt;=AR$32,AP5&lt;&gt;"",AL5=""),AND(BN5&gt;=BS$28,BO5&gt;=BS$32,BN5&lt;&gt;"",BM5=""),AND(BQ5&gt;=BS$28,BR5&gt;=BS$32,BQ5&lt;&gt;"",BM5=""),AND(CO5&gt;=CT$28,CP5&gt;=CT$32,CO5&lt;&gt;"",CN5=""),AND(CR5&gt;=CT$28,CS5&gt;=CT$32,CR5&lt;&gt;""),AND(DQ5&gt;=DV$28,DR5&gt;=DV$32,DQ5&lt;&gt;""),AND(DT5&gt;=DV$28,DU5&gt;=DV$32,DT5&lt;&gt;""),AND(EQ5&gt;=EV$28,ER5&gt;=EV$32,EQ5&lt;&gt;""),AND(ET5&gt;=EV$28,EU5&gt;=EV$32,ET5&lt;&gt;""),AND(FQ5&gt;=FV$28,FR5&gt;=FV$32,FQ5&lt;&gt;""),AND(FT5&gt;=FV$28,FU5&gt;=FV$32,FT5&lt;&gt;""),AND(GQ5&gt;=GV$28,GR5&gt;=GV$32,GQ5&lt;&gt;""),AND(GT5&gt;=GV$28,GU5&gt;=GV$32,GT5&lt;&gt;""),AND(HQ5&gt;=HV$28,HR5&gt;=HV$32,HQ5&lt;&gt;""),AND(HT5&gt;=HV$28,HU5&gt;=HV$32,HT5&lt;&gt;""),AND(IQ5&gt;=IV$28,IR5&gt;=IV$32,IQ5&lt;&gt;""),AND(IT5&gt;=IV$28,IU5&gt;=IV$32,IT5&lt;&gt;""),AND(JQ5&gt;=JV$28,JR5&gt;=JV$32,JQ5&lt;&gt;""),AND(JT5&gt;=JV$28,JU5&gt;=JV$32,JT5&lt;&gt;""),AND(KQ5&gt;=KV$28,KR5&gt;=KV$32,KQ5&lt;&gt;""),AND(KT5&gt;=KV$28,KU5&gt;=KV$32,KT5&lt;&gt;""),AND(LQ5&gt;=LV$28,LR5&gt;=LV$32,LQ5&lt;&gt;""),AND(LT5&gt;=LV$28,LU5&gt;=LV$32,LT5&lt;&gt;""),AND(MQ5&gt;=MV$28,MR5&gt;=MV$32,MQ5&lt;&gt;""),AND(MT5&gt;=MV$28,MU5&gt;=MV$32,MT5&lt;&gt;""),AND(NQ5&gt;=NV$28,NR5&gt;=NV$32,NQ5&lt;&gt;""),AND(NT5&gt;=NV$28,NU5&gt;=NV$32,NT5&lt;&gt;""),AND(OQ5&gt;=OV$28,OR5&gt;=OV$32,OQ5&lt;&gt;""),AND(OT5&gt;=OV$28,OU5&gt;=OV$32,OT5&lt;&gt;"")),"Excellence",IF(F5="P","National Team",""))))</f>
        <v>National Team</v>
      </c>
      <c r="I5" s="14">
        <f>IF(COUNT(AN5,BO5,CP5)&gt;0,LARGE((AN5,BO5,CP5),1),0)</f>
        <v>43.199999999999989</v>
      </c>
      <c r="J5" s="14" t="str">
        <f>IF(I5=0,"",IF(I5=CP5,$BT$1,IF(I5=BO5,$AS$1,IF(I5=AN5,$R$1,""))))</f>
        <v>2022 Nationals</v>
      </c>
      <c r="K5" s="14">
        <f>IF(COUNT(AN5,BO5,CP5)&gt;1,LARGE((AN5,BO5,CP5),2),0)</f>
        <v>42.1</v>
      </c>
      <c r="L5" s="14" t="str">
        <f>IF(K5=0,"",IF(K5=CP5,$BT$1,IF(K5=BO5,$AS$1,IF(K5=AN5,$R$1,""))))</f>
        <v>2022 Elite Canada</v>
      </c>
      <c r="M5" s="14">
        <f>IF(MAX(AQ5,BR5,CS5)&gt;0,MAX(AQ5,BR5,CS5),0)</f>
        <v>42.339999999999996</v>
      </c>
      <c r="N5" s="14" t="str">
        <f>IF(M5=0,"",IF(M5=CS5,$BT$1,IF(M5=BR5,$AS$1,IF(M5=AQ5,$R$1,""))))</f>
        <v>2022 Elite Canada</v>
      </c>
      <c r="O5" s="14">
        <f>IF(MAX(CU5:CV5)&gt;0,MAX(CU5:CV5),"")</f>
        <v>2.4600000000000009</v>
      </c>
      <c r="P5" s="19" t="str">
        <f>IF(O5="","",IF(O5=CU5,"("&amp;CU$2&amp;")",IF(O5=CV5,"("&amp;CV$2&amp;")")))</f>
        <v>(Final)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>
        <v>16.7</v>
      </c>
      <c r="S5" s="26">
        <v>3.9</v>
      </c>
      <c r="T5" s="26">
        <v>0</v>
      </c>
      <c r="U5" s="26">
        <v>0.3</v>
      </c>
      <c r="V5" s="26">
        <v>16.8</v>
      </c>
      <c r="W5" s="26">
        <v>4.0999999999999996</v>
      </c>
      <c r="X5" s="26">
        <v>0</v>
      </c>
      <c r="Y5" s="26">
        <v>0.3</v>
      </c>
      <c r="Z5" s="26"/>
      <c r="AA5" s="26"/>
      <c r="AB5" s="26"/>
      <c r="AC5" s="26"/>
      <c r="AD5" s="26">
        <v>17.079999999999998</v>
      </c>
      <c r="AE5" s="26">
        <v>3.9</v>
      </c>
      <c r="AF5" s="26">
        <v>0</v>
      </c>
      <c r="AG5" s="26">
        <v>0.3</v>
      </c>
      <c r="AH5" s="26">
        <v>16.66</v>
      </c>
      <c r="AI5" s="26">
        <v>4.0999999999999996</v>
      </c>
      <c r="AJ5" s="26">
        <v>0</v>
      </c>
      <c r="AK5" s="26">
        <v>0.3</v>
      </c>
      <c r="AL5" s="44"/>
      <c r="AM5" s="78">
        <f>IF(SUM(S5,W5)&gt;0,SUM(S5,W5),"")</f>
        <v>8</v>
      </c>
      <c r="AN5" s="78">
        <f>IF(SUM(R5:S5,U5:W5,Y5)-T5-X5&gt;0,SUM(R5:S5,U5:W5,Y5)-T5-X5,"")</f>
        <v>42.1</v>
      </c>
      <c r="AO5" s="78" t="str">
        <f>IF(SUM(Z5:AA5,AC5)-AB5&gt;0,SUM(Z5:AA5,AC5)-AB5,"")</f>
        <v/>
      </c>
      <c r="AP5" s="78">
        <f>IF(SUM(AE5,AI5)&gt;0,SUM(AE5,AI5),"")</f>
        <v>8</v>
      </c>
      <c r="AQ5" s="78">
        <f>IF(SUM(AD5:AE5,AG5:AI5,AK5)-SUM(AF5,AJ5)&gt;0,SUM(AD5:AE5,AG5:AI5,AK5)-SUM(AF5,AJ5),"")</f>
        <v>42.339999999999996</v>
      </c>
      <c r="AR5" s="78">
        <f>IF(SUM(AN5,AQ5)&gt;0,SUM(AN5,AQ5),"")</f>
        <v>84.44</v>
      </c>
      <c r="AS5" s="25">
        <v>17.2</v>
      </c>
      <c r="AT5" s="25">
        <v>4.0999999999999996</v>
      </c>
      <c r="AU5" s="25">
        <v>0.2</v>
      </c>
      <c r="AV5" s="25">
        <v>0.3</v>
      </c>
      <c r="AW5" s="25">
        <v>17.399999999999999</v>
      </c>
      <c r="AX5" s="25">
        <v>4.3</v>
      </c>
      <c r="AY5" s="25">
        <v>0.2</v>
      </c>
      <c r="AZ5" s="25">
        <v>0.3</v>
      </c>
      <c r="BA5" s="25"/>
      <c r="BB5" s="25"/>
      <c r="BC5" s="25"/>
      <c r="BD5" s="25"/>
      <c r="BE5" s="25">
        <v>16.5</v>
      </c>
      <c r="BF5" s="25">
        <v>2.8</v>
      </c>
      <c r="BG5" s="25">
        <v>1.2</v>
      </c>
      <c r="BH5" s="25">
        <v>0.3</v>
      </c>
      <c r="BI5" s="25">
        <v>16.8</v>
      </c>
      <c r="BJ5" s="25">
        <v>4.5999999999999996</v>
      </c>
      <c r="BK5" s="25">
        <v>0</v>
      </c>
      <c r="BL5" s="25">
        <v>0.6</v>
      </c>
      <c r="BM5" s="45"/>
      <c r="BN5" s="19">
        <f>IF(SUM(AT5,AX5)&gt;0,SUM(AT5,AX5),"")</f>
        <v>8.3999999999999986</v>
      </c>
      <c r="BO5" s="19">
        <f>IF(SUM(AS5:AT5,AV5:AX5,AZ5)-AU5-AY5&gt;0,SUM(AS5:AT5,AV5:AX5,AZ5)-AU5-AY5,"")</f>
        <v>43.199999999999989</v>
      </c>
      <c r="BP5" s="19" t="str">
        <f>IF(SUM(BA5:BB5,BD5)-BC5&gt;0,SUM(BA5:BB5,BD5)-BC5,"")</f>
        <v/>
      </c>
      <c r="BQ5" s="19">
        <f>IF(SUM(BF5,BJ5)&gt;0,SUM(BF5,BJ5),"")</f>
        <v>7.3999999999999995</v>
      </c>
      <c r="BR5" s="19">
        <f>IF(SUM(BE5:BF5,BH5:BJ5,BL5)-SUM(BG5,BK5)&gt;0,SUM(BE5:BF5,BH5:BJ5,BL5)-SUM(BG5,BK5),"")</f>
        <v>40.400000000000006</v>
      </c>
      <c r="BS5" s="19">
        <f>IF(SUM(BO5,BR5)&gt;0,SUM(BO5,BR5),"")</f>
        <v>83.6</v>
      </c>
      <c r="BT5" s="26">
        <v>14.7</v>
      </c>
      <c r="BU5" s="26">
        <v>3.9</v>
      </c>
      <c r="BV5" s="26">
        <v>0.4</v>
      </c>
      <c r="BW5" s="26">
        <v>0.3</v>
      </c>
      <c r="BX5" s="26">
        <v>15.9</v>
      </c>
      <c r="BY5" s="26">
        <v>2.4</v>
      </c>
      <c r="BZ5" s="26">
        <v>5.4</v>
      </c>
      <c r="CA5" s="26">
        <v>0.3</v>
      </c>
      <c r="CB5" s="26"/>
      <c r="CC5" s="26"/>
      <c r="CD5" s="26"/>
      <c r="CE5" s="26"/>
      <c r="CF5" s="26">
        <v>0</v>
      </c>
      <c r="CG5" s="26">
        <v>0</v>
      </c>
      <c r="CH5" s="26">
        <v>0</v>
      </c>
      <c r="CI5" s="26">
        <v>0</v>
      </c>
      <c r="CJ5" s="26">
        <v>0</v>
      </c>
      <c r="CK5" s="26">
        <v>0</v>
      </c>
      <c r="CL5" s="26">
        <v>0</v>
      </c>
      <c r="CM5" s="26">
        <v>0</v>
      </c>
      <c r="CN5" s="44"/>
      <c r="CO5" s="78">
        <f>IF(SUM(BU5,BY5)&gt;0,SUM(BU5,BY5),"")</f>
        <v>6.3</v>
      </c>
      <c r="CP5" s="78">
        <f>IF(SUM(BT5:BU5,BW5:BY5,CA5)-BV5-BZ5&gt;0,SUM(BT5:BU5,BW5:BY5,CA5)-BV5-BZ5,"")</f>
        <v>31.699999999999996</v>
      </c>
      <c r="CQ5" s="78" t="str">
        <f>IF(SUM(CB5:CC5,CE5)-CD5&gt;0,SUM(CB5:CC5,CE5)-CD5,"")</f>
        <v/>
      </c>
      <c r="CR5" s="78" t="str">
        <f>IF(SUM(CG5,CK5)&gt;0,SUM(CG5,CK5),"")</f>
        <v/>
      </c>
      <c r="CS5" s="78" t="str">
        <f>IF(SUM(CF5:CG5,CI5:CK5,CM5)-SUM(CH5,CL5)&gt;0,SUM(CF5:CG5,CI5:CK5,CM5)-SUM(CH5,CL5),"")</f>
        <v/>
      </c>
      <c r="CT5" s="78">
        <f>IF(SUM(CP5,CS5)&gt;0,SUM(CP5,CS5),"")</f>
        <v>31.699999999999996</v>
      </c>
      <c r="CU5" s="79">
        <f>IF(K5&gt;=0.001,IF(MAX(DR5,ER5,FR5,GR5,HR5,IR5,JR5,KR5,LR5,MR5,NR5,OR5)-IF(K5="",0,K5)&gt;0.001,MAX(DR5,ER5,FR5,GR5,HR5,IR5,JR5,KR5,LR5,MR5,NR5,OR5)-IF(K5="",0,K5),""),"")</f>
        <v>1.6999999999999957</v>
      </c>
      <c r="CV5" s="79">
        <f>IF(M5&gt;=0.001,IF(MAX(DU5,EU5,FU5,GU5,HU5,IU5,JU5,KU5,LU5,MU5,NU5,OU5)-IF(M5="",0,M5)&gt;0.001,MAX(DU5,EU5,FU5,GU5,HU5,IU5,JU5,KU5,LU5,MU5,NU5,OU5)-IF(M5="",0,M5),""),"")</f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>IF(SUM(CX5,DB5)&gt;0,SUM(CX5,DB5),"")</f>
        <v/>
      </c>
      <c r="DR5" s="78" t="str">
        <f>IF(SUM(CW5:CX5,CZ5:DB5,DD5)-CY5-DC5&gt;0,SUM(CW5:CX5,CZ5:DB5,DD5)-CY5-DC5,"")</f>
        <v/>
      </c>
      <c r="DS5" s="78" t="str">
        <f>IF(SUM(DE5:DF5,DH5)-DG5&gt;0,SUM(DE5:DF5,DH5)-DG5,"")</f>
        <v/>
      </c>
      <c r="DT5" s="78" t="str">
        <f>IF(SUM(DJ5,DN5)&gt;0,SUM(DJ5,DN5),"")</f>
        <v/>
      </c>
      <c r="DU5" s="78" t="str">
        <f>IF(SUM(DI5:DJ5,DL5:DN5,DP5)-SUM(DK5,DO5)&gt;0,SUM(DI5:DJ5,DL5:DN5,DP5)-SUM(DK5,DO5),"")</f>
        <v/>
      </c>
      <c r="DV5" s="78" t="str">
        <f>IF(SUM(DR5,DU5)&gt;0,SUM(DR5,DU5),"")</f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>IF(SUM(DX5,EB5)&gt;0,SUM(DX5,EB5),"")</f>
        <v>8.8999999999999986</v>
      </c>
      <c r="ER5" s="19">
        <f>IF(SUM(DW5:DX5,DZ5:EB5,ED5)-DY5-EC5&gt;0,SUM(DW5:DX5,DZ5:EB5,ED5)-DY5-EC5,"")</f>
        <v>43.400000000000006</v>
      </c>
      <c r="ES5" s="19" t="str">
        <f>IF(SUM(EE5:EF5,EH5)-EG5&gt;0,SUM(EE5:EF5,EH5)-EG5,"")</f>
        <v/>
      </c>
      <c r="ET5" s="19">
        <f>IF(SUM(EJ5,EN5)&gt;0,SUM(EJ5,EN5),"")</f>
        <v>6</v>
      </c>
      <c r="EU5" s="19">
        <f>IF(SUM(EI5:EJ5,EL5:EN5,EP5)-SUM(EK5,EO5)&gt;0,SUM(EI5:EJ5,EL5:EN5,EP5)-SUM(EK5,EO5),"")</f>
        <v>37.9</v>
      </c>
      <c r="EV5" s="19">
        <f>IF(SUM(ER5,EU5)&gt;0,SUM(ER5,EU5),"")</f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>IF(SUM(EX5,FB5)&gt;0,SUM(EX5,FB5),"")</f>
        <v>8.1999999999999993</v>
      </c>
      <c r="FR5" s="78">
        <f>IF(SUM(EW5:EX5,EZ5:FB5,FD5)-EY5-FC5&gt;0,SUM(EW5:EX5,EZ5:FB5,FD5)-EY5-FC5,"")</f>
        <v>43.8</v>
      </c>
      <c r="FS5" s="78" t="str">
        <f>IF(SUM(FE5:FF5,FH5)-FG5&gt;0,SUM(FE5:FF5,FH5)-FG5,"")</f>
        <v/>
      </c>
      <c r="FT5" s="78">
        <f>IF(SUM(FJ5,FN5)&gt;0,SUM(FJ5,FN5),"")</f>
        <v>8.8999999999999986</v>
      </c>
      <c r="FU5" s="78">
        <f>IF(SUM(FI5:FJ5,FL5:FN5,FP5)-SUM(FK5,FO5)&gt;0,SUM(FI5:FJ5,FL5:FN5,FP5)-SUM(FK5,FO5),"")</f>
        <v>44.8</v>
      </c>
      <c r="FV5" s="78">
        <f>IF(SUM(FR5,FU5)&gt;0,SUM(FR5,FU5),"")</f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>IF(SUM(FX5,GB5)&gt;0,SUM(FX5,GB5),"")</f>
        <v/>
      </c>
      <c r="GR5" s="19" t="str">
        <f>IF(SUM(FW5:FX5,FZ5:GB5,GD5)-FY5-GC5&gt;0,SUM(FW5:FX5,FZ5:GB5,GD5)-FY5-GC5,"")</f>
        <v/>
      </c>
      <c r="GS5" s="19" t="str">
        <f>IF(SUM(GE5:GF5,GH5)-GG5&gt;0,SUM(GE5:GF5,GH5)-GG5,"")</f>
        <v/>
      </c>
      <c r="GT5" s="19" t="str">
        <f>IF(SUM(GJ5,GN5)&gt;0,SUM(GJ5,GN5),"")</f>
        <v/>
      </c>
      <c r="GU5" s="19" t="str">
        <f>IF(SUM(GI5:GJ5,GL5:GN5,GP5)-SUM(GK5,GO5)&gt;0,SUM(GI5:GJ5,GL5:GN5,GP5)-SUM(GK5,GO5),"")</f>
        <v/>
      </c>
      <c r="GV5" s="19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>IF(SUM(GX5,HB5)&gt;0,SUM(GX5,HB5),"")</f>
        <v/>
      </c>
      <c r="HR5" s="78" t="str">
        <f>IF(SUM(GW5:GX5,GZ5:HB5,HD5)-GY5-HC5&gt;0,SUM(GW5:GX5,GZ5:HB5,HD5)-GY5-HC5,"")</f>
        <v/>
      </c>
      <c r="HS5" s="78" t="str">
        <f>IF(SUM(HE5:HF5,HH5)-HG5&gt;0,SUM(HE5:HF5,HH5)-HG5,"")</f>
        <v/>
      </c>
      <c r="HT5" s="78" t="str">
        <f>IF(SUM(HJ5,HN5)&gt;0,SUM(HJ5,HN5),"")</f>
        <v/>
      </c>
      <c r="HU5" s="78" t="str">
        <f>IF(SUM(HI5:HJ5,HL5:HN5,HP5)-SUM(HK5,HO5)&gt;0,SUM(HI5:HJ5,HL5:HN5,HP5)-SUM(HK5,HO5),"")</f>
        <v/>
      </c>
      <c r="HV5" s="78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>IF(SUM(HX5,IB5)&gt;0,SUM(HX5,IB5),"")</f>
        <v/>
      </c>
      <c r="IR5" s="19" t="str">
        <f>IF(SUM(HW5:HX5,HZ5:IB5,ID5)-HY5-IC5&gt;0,SUM(HW5:HX5,HZ5:IB5,ID5)-HY5-IC5,"")</f>
        <v/>
      </c>
      <c r="IS5" s="19" t="str">
        <f>IF(SUM(IE5:IF5,IH5)-IG5&gt;0,SUM(IE5:IF5,IH5)-IG5,"")</f>
        <v/>
      </c>
      <c r="IT5" s="19" t="str">
        <f>IF(SUM(IJ5,IN5)&gt;0,SUM(IJ5,IN5),"")</f>
        <v/>
      </c>
      <c r="IU5" s="19" t="str">
        <f>IF(SUM(II5:IJ5,IL5:IN5,IP5)-SUM(IK5,IO5)&gt;0,SUM(II5:IJ5,IL5:IN5,IP5)-SUM(IK5,IO5),"")</f>
        <v/>
      </c>
      <c r="IV5" s="19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>IF(SUM(IX5,JB5)&gt;0,SUM(IX5,JB5),"")</f>
        <v/>
      </c>
      <c r="JR5" s="78" t="str">
        <f>IF(SUM(IW5:IX5,IZ5:JB5,JD5)-IY5-JC5&gt;0,SUM(IW5:IX5,IZ5:JB5,JD5)-IY5-JC5,"")</f>
        <v/>
      </c>
      <c r="JS5" s="78" t="str">
        <f>IF(SUM(JE5:JF5,JH5)-JG5&gt;0,SUM(JE5:JF5,JH5)-JG5,"")</f>
        <v/>
      </c>
      <c r="JT5" s="78" t="str">
        <f>IF(SUM(JJ5,JN5)&gt;0,SUM(JJ5,JN5),"")</f>
        <v/>
      </c>
      <c r="JU5" s="78" t="str">
        <f>IF(SUM(JI5:JJ5,JL5:JN5,JP5)-SUM(JK5,JO5)&gt;0,SUM(JI5:JJ5,JL5:JN5,JP5)-SUM(JK5,JO5),"")</f>
        <v/>
      </c>
      <c r="JV5" s="78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>IF(SUM(JX5,KB5)&gt;0,SUM(JX5,KB5),"")</f>
        <v/>
      </c>
      <c r="KR5" s="19" t="str">
        <f>IF(SUM(JW5:JX5,JZ5:KB5,KD5)-JY5-KC5&gt;0,SUM(JW5:JX5,JZ5:KB5,KD5)-JY5-KC5,"")</f>
        <v/>
      </c>
      <c r="KS5" s="19" t="str">
        <f>IF(SUM(KE5:KF5,KH5)-KG5&gt;0,SUM(KE5:KF5,KH5)-KG5,"")</f>
        <v/>
      </c>
      <c r="KT5" s="19" t="str">
        <f>IF(SUM(KJ5,KN5)&gt;0,SUM(KJ5,KN5),"")</f>
        <v/>
      </c>
      <c r="KU5" s="19" t="str">
        <f>IF(SUM(KI5:KJ5,KL5:KN5,KP5)-SUM(KK5,KO5)&gt;0,SUM(KI5:KJ5,KL5:KN5,KP5)-SUM(KK5,KO5),"")</f>
        <v/>
      </c>
      <c r="KV5" s="19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>IF(SUM(KX5,LB5)&gt;0,SUM(KX5,LB5),"")</f>
        <v/>
      </c>
      <c r="LR5" s="78" t="str">
        <f>IF(SUM(KW5:KX5,KZ5:LB5,LD5)-KY5-LC5&gt;0,SUM(KW5:KX5,KZ5:LB5,LD5)-KY5-LC5,"")</f>
        <v/>
      </c>
      <c r="LS5" s="78" t="str">
        <f>IF(SUM(LE5:LF5,LH5)-LG5&gt;0,SUM(LE5:LF5,LH5)-LG5,"")</f>
        <v/>
      </c>
      <c r="LT5" s="78" t="str">
        <f>IF(SUM(LJ5,LN5)&gt;0,SUM(LJ5,LN5),"")</f>
        <v/>
      </c>
      <c r="LU5" s="78" t="str">
        <f>IF(SUM(LI5:LJ5,LL5:LN5,LP5)-SUM(LK5,LO5)&gt;0,SUM(LI5:LJ5,LL5:LN5,LP5)-SUM(LK5,LO5),"")</f>
        <v/>
      </c>
      <c r="LV5" s="78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>IF(SUM(LX5,MB5)&gt;0,SUM(LX5,MB5),"")</f>
        <v/>
      </c>
      <c r="MR5" s="19" t="str">
        <f>IF(SUM(LW5:LX5,LZ5:MB5,MD5)-LY5-MC5&gt;0,SUM(LW5:LX5,LZ5:MB5,MD5)-LY5-MC5,"")</f>
        <v/>
      </c>
      <c r="MS5" s="19" t="str">
        <f>IF(SUM(ME5:MF5,MH5)-MG5&gt;0,SUM(ME5:MF5,MH5)-MG5,"")</f>
        <v/>
      </c>
      <c r="MT5" s="19" t="str">
        <f>IF(SUM(MJ5,MN5)&gt;0,SUM(MJ5,MN5),"")</f>
        <v/>
      </c>
      <c r="MU5" s="19" t="str">
        <f>IF(SUM(MI5:MJ5,ML5:MN5,MP5)-SUM(MK5,MO5)&gt;0,SUM(MI5:MJ5,ML5:MN5,MP5)-SUM(MK5,MO5),"")</f>
        <v/>
      </c>
      <c r="MV5" s="19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>IF(SUM(MX5,NB5)&gt;0,SUM(MX5,NB5),"")</f>
        <v/>
      </c>
      <c r="NR5" s="78" t="str">
        <f>IF(SUM(MW5:MX5,MZ5:NB5,ND5)-MY5-NC5&gt;0,SUM(MW5:MX5,MZ5:NB5,ND5)-MY5-NC5,"")</f>
        <v/>
      </c>
      <c r="NS5" s="78" t="str">
        <f>IF(SUM(NE5:NF5,NH5)-NG5&gt;0,SUM(NE5:NF5,NH5)-NG5,"")</f>
        <v/>
      </c>
      <c r="NT5" s="78" t="str">
        <f>IF(SUM(NJ5,NN5)&gt;0,SUM(NJ5,NN5),"")</f>
        <v/>
      </c>
      <c r="NU5" s="78" t="str">
        <f>IF(SUM(NI5:NJ5,NL5:NN5,NP5)-SUM(NK5,NO5)&gt;0,SUM(NI5:NJ5,NL5:NN5,NP5)-SUM(NK5,NO5),"")</f>
        <v/>
      </c>
      <c r="NV5" s="78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>IF(SUM(NX5,OB5)&gt;0,SUM(NX5,OB5),"")</f>
        <v/>
      </c>
      <c r="OR5" s="19" t="str">
        <f>IF(SUM(NW5:NX5,NZ5:OB5,OD5)-NY5-OC5&gt;0,SUM(NW5:NX5,NZ5:OB5,OD5)-NY5-OC5,"")</f>
        <v/>
      </c>
      <c r="OS5" s="19" t="str">
        <f>IF(SUM(OE5:OF5,OH5)-OG5&gt;0,SUM(OE5:OF5,OH5)-OG5,"")</f>
        <v/>
      </c>
      <c r="OT5" s="19" t="str">
        <f>IF(SUM(OJ5,ON5)&gt;0,SUM(OJ5,ON5),"")</f>
        <v/>
      </c>
      <c r="OU5" s="19" t="str">
        <f>IF(SUM(OI5:OJ5,OL5:ON5,OP5)-SUM(OK5,OO5)&gt;0,SUM(OI5:OJ5,OL5:ON5,OP5)-SUM(OK5,OO5),"")</f>
        <v/>
      </c>
      <c r="OV5" s="19" t="str">
        <f>IF(SUM(OR5,OU5)&gt;0,SUM(OR5,OU5),"")</f>
        <v/>
      </c>
      <c r="OW5" s="37">
        <f>IF($CN5="P",BT5,(BT5+AS5)/2)</f>
        <v>15.95</v>
      </c>
      <c r="OX5" s="37">
        <f>IF($CN5="P",BU5,(BU5+AT5)/2)</f>
        <v>4</v>
      </c>
      <c r="OY5" s="37">
        <f>IF($CN5="P",BV5,(BV5+AU5)/2)</f>
        <v>0.30000000000000004</v>
      </c>
      <c r="OZ5" s="37">
        <f>IF($CN5="P",BW5,(BW5+AV5)/2)</f>
        <v>0.3</v>
      </c>
      <c r="PA5" s="37">
        <f>IF($CN5="P",BX5,(BX5+AW5)/2)</f>
        <v>16.649999999999999</v>
      </c>
      <c r="PB5" s="37">
        <f>IF($CN5="P",BY5,(BY5+AX5)/2)</f>
        <v>3.3499999999999996</v>
      </c>
      <c r="PC5" s="37">
        <f>IF($CN5="P",BZ5,(BZ5+AY5)/2)</f>
        <v>2.8000000000000003</v>
      </c>
      <c r="PD5" s="37">
        <f>IF($CN5="P",CA5,(CA5+AZ5)/2)</f>
        <v>0.3</v>
      </c>
      <c r="PE5" s="37">
        <f>IF($CN5="P",CB5,(CB5+BA5)/2)</f>
        <v>0</v>
      </c>
      <c r="PF5" s="37">
        <f>IF($CN5="P",CC5,(CC5+BB5)/2)</f>
        <v>0</v>
      </c>
      <c r="PG5" s="37">
        <f>IF($CN5="P",CD5,(CD5+BC5)/2)</f>
        <v>0</v>
      </c>
      <c r="PH5" s="37">
        <f>IF($CN5="P",CE5,(CE5+BD5)/2)</f>
        <v>0</v>
      </c>
      <c r="PI5" s="37">
        <f>IF($CN5="P",CF5,(CF5+BE5)/2)</f>
        <v>8.25</v>
      </c>
      <c r="PJ5" s="37">
        <f>IF($CN5="P",CG5,(CG5+BF5)/2)</f>
        <v>1.4</v>
      </c>
      <c r="PK5" s="37">
        <f>IF($CN5="P",CH5,(CH5+BG5)/2)</f>
        <v>0.6</v>
      </c>
      <c r="PL5" s="37">
        <f>IF($CN5="P",CI5,(CI5+BH5)/2)</f>
        <v>0.15</v>
      </c>
      <c r="PM5" s="37">
        <f>IF($CN5="P",CJ5,(CJ5+BI5)/2)</f>
        <v>8.4</v>
      </c>
      <c r="PN5" s="37">
        <f>IF($CN5="P",CK5,(CK5+BJ5)/2)</f>
        <v>2.2999999999999998</v>
      </c>
      <c r="PO5" s="37">
        <f>IF($CN5="P",CL5,(CL5+BK5)/2)</f>
        <v>0</v>
      </c>
      <c r="PP5" s="37">
        <f>IF($CN5="P",CM5,(CM5+BL5)/2)</f>
        <v>0.3</v>
      </c>
      <c r="PQ5" s="44" t="s">
        <v>46</v>
      </c>
      <c r="PR5" s="78">
        <f>IF(SUM(OX5,PB5)&gt;0,SUM(OX5,PB5),"")</f>
        <v>7.35</v>
      </c>
      <c r="PS5" s="78">
        <f>IF(SUM(OW5:OX5,OZ5:PB5,PD5)-OY5-PC5&gt;0,SUM(OW5:OX5,OZ5:PB5,PD5)-OY5-PC5,"")</f>
        <v>37.450000000000003</v>
      </c>
      <c r="PT5" s="78" t="str">
        <f>IF(SUM(PE5:PF5,PH5)-PG5&gt;0,SUM(PE5:PF5,PH5)-PG5,"")</f>
        <v/>
      </c>
      <c r="PU5" s="78">
        <f>IF(SUM(PJ5,PN5)&gt;0,SUM(PJ5,PN5),"")</f>
        <v>3.6999999999999997</v>
      </c>
      <c r="PV5" s="78">
        <f>IF(SUM(PI5:PJ5,PL5:PN5,PP5)-SUM(PK5,PO5)&gt;0,SUM(PI5:PJ5,PL5:PN5,PP5)-SUM(PK5,PO5),"")</f>
        <v>20.200000000000003</v>
      </c>
      <c r="PW5" s="78">
        <f>IF(SUM(PS5,PV5)&gt;0,SUM(PS5,PV5),"")</f>
        <v>57.650000000000006</v>
      </c>
    </row>
    <row r="6" spans="1:439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77" t="s">
        <v>117</v>
      </c>
      <c r="C6" s="5" t="s">
        <v>3</v>
      </c>
      <c r="D6" s="5">
        <v>2004</v>
      </c>
      <c r="E6" s="15">
        <f>SUM(I6:O6)+SUM(I6:M6)*0.0000001+SUM(I6)*0.0000000000001</f>
        <v>129.25001278500432</v>
      </c>
      <c r="F6" s="3" t="str">
        <f>IF(OR(AND(AM6&gt;=AR$26,AN6&gt;=AR$30,AM6&lt;&gt;"",AL6=""),AND(AP6&gt;=AR$26,AQ6&gt;=AR$30,AP6&lt;&gt;"",AL6=""),AND(BN6&gt;=BS$26,BO6&gt;=BS$30,BN6&lt;&gt;"",BM6=""),AND(BQ6&gt;=BS$26,BR6&gt;=BS$30,BQ6&lt;&gt;"",BM6=""),AND(CO6&gt;=CT$26,CP6&gt;=CT$30,CO6&lt;&gt;"",CN6=""),AND(CR6&gt;=CT$26,CS6&gt;=CT$30,CR6&lt;&gt;""),AND(DQ6&gt;=DV$26,DR6&gt;=DV$30,DQ6&lt;&gt;""),AND(DT6&gt;=DV$26,DU6&gt;=DV$30,DT6&lt;&gt;""),AND(EQ6&gt;=EV$26,ER6&gt;=EV$30,EQ6&lt;&gt;""),AND(ET6&gt;=EV$26,EU6&gt;=EV$30,ET6&lt;&gt;""),AND(FQ6&gt;=FV$26,FR6&gt;=FV$30,FQ6&lt;&gt;""),AND(FT6&gt;=FV$26,FU6&gt;=FV$30,FT6&lt;&gt;""),AND(GQ6&gt;=GV$26,GR6&gt;=GV$30,GQ6&lt;&gt;""),AND(GT6&gt;=GV$26,GU6&gt;=GV$30,GT6&lt;&gt;""),AND(HQ6&gt;=HV$26,HR6&gt;=HV$30,HQ6&lt;&gt;""),AND(HT6&gt;=HV$26,HU6&gt;=HV$30,HT6&lt;&gt;""),AND(IQ6&gt;=IV$26,IR6&gt;=IV$30,IQ6&lt;&gt;""),AND(IT6&gt;=IV$26,IU6&gt;=IV$30,IT6&lt;&gt;""),AND(JQ6&gt;=JV$26,JR6&gt;=JV$30,JQ6&lt;&gt;""),AND(JT6&gt;=JV$26,JU6&gt;=JV$30,JT6&lt;&gt;""),AND(KQ6&gt;=KV$26,KR6&gt;=KV$30,KQ6&lt;&gt;""),AND(KT6&gt;=KV$26,KU6&gt;=KV$30,KT6&lt;&gt;""),AND(LQ6&gt;=LV$26,LR6&gt;=LV$30,LQ6&lt;&gt;""),AND(LT6&gt;=LV$26,LU6&gt;=LV$30,LT6&lt;&gt;""),AND(MQ6&gt;=MV$26,MR6&gt;=MV$30,MQ6&lt;&gt;""),AND(MT6&gt;=MV$26,MU6&gt;=MV$30,MT6&lt;&gt;""),AND(NQ6&gt;=NV$26,NR6&gt;=NV$30,NQ6&lt;&gt;""),AND(NT6&gt;=NV$26,NU6&gt;=NV$30,NT6&lt;&gt;""),AND(OQ6&gt;=OV$26,OR6&gt;=OV$30,OQ6&lt;&gt;""),AND(OT6&gt;=OV$26,OU6&gt;=OV$30,OT6&lt;&gt;"")),"P","")</f>
        <v>P</v>
      </c>
      <c r="G6" s="3" t="str">
        <f>IF(OR(AND(AN6&gt;=AR$30,AN6&lt;&gt;"",AL6=""),AND(AQ6&gt;=AR$30,AQ6&lt;&gt;"",AL6=""),AND(BO6&gt;=BS$30,BO6&lt;&gt;"",BM6=""),AND(BR6&gt;=BS$30,BR6&lt;&gt;"",BM6=""),AND(CP6&gt;=CT$30,CP6&lt;&gt;"",CN6=""),AND(CS6&gt;=CT$30,CS6&lt;&gt;"",CN6=""),AND(DR6&gt;=DV$30,DR6&lt;&gt;""),AND(DU6&gt;=DV$30,DU6&lt;&gt;""),AND(ER6&gt;=EV$30,ER6&lt;&gt;""),AND(EU6&gt;=EV$30,EU6&lt;&gt;""),AND(FR6&gt;=FV$30,FR6&lt;&gt;""),AND(FU6&gt;=FV$30,FU6&lt;&gt;""),AND(GR6&gt;=GV$30,GR6&lt;&gt;""),AND(GU6&gt;=GV$30,GU6&lt;&gt;""),AND(HR6&gt;=HV$30,HR6&lt;&gt;""),AND(HU6&gt;=HV$30,HU6&lt;&gt;""),AND(IR6&gt;=IV$30,IR6&lt;&gt;""),AND(IU6&gt;=IV$30,IU6&lt;&gt;""),AND(JR6&gt;=JV$30,JR6&lt;&gt;""),AND(JU6&gt;=JV$30,JU6&lt;&gt;""),AND(KR6&gt;=KV$30,KR6&lt;&gt;""),AND(KU6&gt;=KV$30,KU6&lt;&gt;""),AND(LR6&gt;=LV$30,LR6&lt;&gt;""),AND(LU6&gt;=LV$30,LU6&lt;&gt;""),AND(MR6&gt;=MV$30,MR6&lt;&gt;""),AND(MU6&gt;=MV$30,MU6&lt;&gt;""),AND(NR6&gt;=NV$30,NR6&lt;&gt;""),AND(NU6&gt;=NV$30,NU6&lt;&gt;""),AND(OR6&gt;=OV$30,OR6&lt;&gt;""),AND(OU6&gt;=OV$30,OU6&lt;&gt;"")),"P","")</f>
        <v>P</v>
      </c>
      <c r="H6" s="66" t="str">
        <f>IF(AND(G6="P",F6=""),"No DD",IF(OR(AND(AM6&gt;=AR$29,AN6&gt;=AR$33,AM6&lt;&gt;"",AL6=""),AND(AP6&gt;=AR$29,AQ6&gt;=AR$33,AP6&lt;&gt;"",AL6=""),AND(BN6&gt;=BS$29,BO6&gt;=BS$33,BN6&lt;&gt;"",BM6=""),AND(BQ6&gt;=BS$29,BR6&gt;=BS$33,BQ6&lt;&gt;"",BM6=""),AND(CO6&gt;=CT$29,CP6&gt;=CT$33,CO6&lt;&gt;"",CN6=""),AND(CR6&gt;=CT$29,CS6&gt;=CT$33,CR6&lt;&gt;""),AND(DQ6&gt;=DV$29,DR6&gt;=DV$33,DQ6&lt;&gt;""),AND(DT6&gt;=DV$29,DU6&gt;=DV$33,DT6&lt;&gt;""),AND(EQ6&gt;=EV$29,ER6&gt;=EV$33,EQ6&lt;&gt;""),AND(ET6&gt;=EV$29,EU6&gt;=EV$33,ET6&lt;&gt;""),AND(FQ6&gt;=FV$29,FR6&gt;=FV$33,FQ6&lt;&gt;""),AND(FT6&gt;=FV$29,FU6&gt;=FV$33,FT6&lt;&gt;""),AND(GQ6&gt;=GV$29,GR6&gt;=GV$33,GQ6&lt;&gt;""),AND(GT6&gt;=GV$29,GU6&gt;=GV$33,GT6&lt;&gt;""),AND(HQ6&gt;=HV$29,HR6&gt;=HV$33,HQ6&lt;&gt;""),AND(HT6&gt;=HV$29,HU6&gt;=HV$33,HT6&lt;&gt;""),AND(IQ6&gt;=IV$29,IR6&gt;=IV$33,IQ6&lt;&gt;""),AND(IT6&gt;=IV$29,IU6&gt;=IV$33,IT6&lt;&gt;""),AND(JQ6&gt;=JV$29,JR6&gt;=JV$33,JQ6&lt;&gt;""),AND(JT6&gt;=JV$29,JU6&gt;=JV$33,JT6&lt;&gt;""),AND(KQ6&gt;=KV$29,KR6&gt;=KV$33,KQ6&lt;&gt;""),AND(KT6&gt;=KV$29,KU6&gt;=KV$33,KT6&lt;&gt;""),AND(LQ6&gt;=LV$29,LR6&gt;=LV$33,LQ6&lt;&gt;""),AND(LT6&gt;=LV$29,LU6&gt;=LV$33,LT6&lt;&gt;""),AND(MQ6&gt;=MV$29,MR6&gt;=MV$33,MQ6&lt;&gt;""),AND(MT6&gt;=MV$29,MU6&gt;=MV$33,MT6&lt;&gt;""),AND(NQ6&gt;=NV$29,NR6&gt;=NV$33,NQ6&lt;&gt;""),AND(NT6&gt;=NV$29,NU6&gt;=NV$33,NT6&lt;&gt;""),AND(OQ6&gt;=OV$29,OR6&gt;=OV$33,OQ6&lt;&gt;""),AND(OT6&gt;=OV$29,OU6&gt;=OV$33,OT6&lt;&gt;"")),"Merit",IF(OR(AND(AM6&gt;=AR$28,AN6&gt;=AR$32,AM6&lt;&gt;"",AL6=""),AND(AP6&gt;=AR$28,AQ6&gt;=AR$32,AP6&lt;&gt;"",AL6=""),AND(BN6&gt;=BS$28,BO6&gt;=BS$32,BN6&lt;&gt;"",BM6=""),AND(BQ6&gt;=BS$28,BR6&gt;=BS$32,BQ6&lt;&gt;"",BM6=""),AND(CO6&gt;=CT$28,CP6&gt;=CT$32,CO6&lt;&gt;"",CN6=""),AND(CR6&gt;=CT$28,CS6&gt;=CT$32,CR6&lt;&gt;""),AND(DQ6&gt;=DV$28,DR6&gt;=DV$32,DQ6&lt;&gt;""),AND(DT6&gt;=DV$28,DU6&gt;=DV$32,DT6&lt;&gt;""),AND(EQ6&gt;=EV$28,ER6&gt;=EV$32,EQ6&lt;&gt;""),AND(ET6&gt;=EV$28,EU6&gt;=EV$32,ET6&lt;&gt;""),AND(FQ6&gt;=FV$28,FR6&gt;=FV$32,FQ6&lt;&gt;""),AND(FT6&gt;=FV$28,FU6&gt;=FV$32,FT6&lt;&gt;""),AND(GQ6&gt;=GV$28,GR6&gt;=GV$32,GQ6&lt;&gt;""),AND(GT6&gt;=GV$28,GU6&gt;=GV$32,GT6&lt;&gt;""),AND(HQ6&gt;=HV$28,HR6&gt;=HV$32,HQ6&lt;&gt;""),AND(HT6&gt;=HV$28,HU6&gt;=HV$32,HT6&lt;&gt;""),AND(IQ6&gt;=IV$28,IR6&gt;=IV$32,IQ6&lt;&gt;""),AND(IT6&gt;=IV$28,IU6&gt;=IV$32,IT6&lt;&gt;""),AND(JQ6&gt;=JV$28,JR6&gt;=JV$32,JQ6&lt;&gt;""),AND(JT6&gt;=JV$28,JU6&gt;=JV$32,JT6&lt;&gt;""),AND(KQ6&gt;=KV$28,KR6&gt;=KV$32,KQ6&lt;&gt;""),AND(KT6&gt;=KV$28,KU6&gt;=KV$32,KT6&lt;&gt;""),AND(LQ6&gt;=LV$28,LR6&gt;=LV$32,LQ6&lt;&gt;""),AND(LT6&gt;=LV$28,LU6&gt;=LV$32,LT6&lt;&gt;""),AND(MQ6&gt;=MV$28,MR6&gt;=MV$32,MQ6&lt;&gt;""),AND(MT6&gt;=MV$28,MU6&gt;=MV$32,MT6&lt;&gt;""),AND(NQ6&gt;=NV$28,NR6&gt;=NV$32,NQ6&lt;&gt;""),AND(NT6&gt;=NV$28,NU6&gt;=NV$32,NT6&lt;&gt;""),AND(OQ6&gt;=OV$28,OR6&gt;=OV$32,OQ6&lt;&gt;""),AND(OT6&gt;=OV$28,OU6&gt;=OV$32,OT6&lt;&gt;"")),"Excellence",IF(F6="P","National Team",""))))</f>
        <v>National Team</v>
      </c>
      <c r="I6" s="14">
        <f>IF(COUNT(AN6,BO6,CP6)&gt;0,LARGE((AN6,BO6,CP6),1),0)</f>
        <v>43.1</v>
      </c>
      <c r="J6" s="14" t="str">
        <f>IF(I6=0,"",IF(I6=CP6,$BT$1,IF(I6=BO6,$AS$1,IF(I6=AN6,$R$1,""))))</f>
        <v>2022 Nationals</v>
      </c>
      <c r="K6" s="14">
        <f>IF(COUNT(AN6,BO6,CP6)&gt;1,LARGE((AN6,BO6,CP6),2),0)</f>
        <v>42.349999999999994</v>
      </c>
      <c r="L6" s="14" t="str">
        <f>IF(K6=0,"",IF(K6=CP6,$BT$1,IF(K6=BO6,$AS$1,IF(K6=AN6,$R$1,""))))</f>
        <v>2022 3rd Domestic Trial</v>
      </c>
      <c r="M6" s="14">
        <f>IF(MAX(AQ6,BR6,CS6)&gt;0,MAX(AQ6,BR6,CS6),0)</f>
        <v>42.399999999999991</v>
      </c>
      <c r="N6" s="14" t="str">
        <f>IF(M6=0,"",IF(M6=CS6,$BT$1,IF(M6=BR6,$AS$1,IF(M6=AQ6,$R$1,""))))</f>
        <v>2022 Nationals</v>
      </c>
      <c r="O6" s="14">
        <f>IF(MAX(CU6:CV6)&gt;0,MAX(CU6:CV6),"")</f>
        <v>1.4000000000000057</v>
      </c>
      <c r="P6" s="19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Coimbra Gym Fest (June 26)</v>
      </c>
      <c r="R6" s="26">
        <v>16.5</v>
      </c>
      <c r="S6" s="26">
        <v>4.0999999999999996</v>
      </c>
      <c r="T6" s="26">
        <v>0</v>
      </c>
      <c r="U6" s="26">
        <v>0.3</v>
      </c>
      <c r="V6" s="26">
        <v>16.5</v>
      </c>
      <c r="W6" s="26">
        <v>3.9</v>
      </c>
      <c r="X6" s="26">
        <v>0</v>
      </c>
      <c r="Y6" s="26">
        <v>0.3</v>
      </c>
      <c r="Z6" s="26"/>
      <c r="AA6" s="26"/>
      <c r="AB6" s="26"/>
      <c r="AC6" s="26"/>
      <c r="AD6" s="26">
        <v>16.7</v>
      </c>
      <c r="AE6" s="26">
        <v>4.0999999999999996</v>
      </c>
      <c r="AF6" s="26">
        <v>0</v>
      </c>
      <c r="AG6" s="26">
        <v>0.3</v>
      </c>
      <c r="AH6" s="26">
        <v>16.86</v>
      </c>
      <c r="AI6" s="26">
        <v>3.9</v>
      </c>
      <c r="AJ6" s="26">
        <v>0</v>
      </c>
      <c r="AK6" s="26">
        <v>0.3</v>
      </c>
      <c r="AL6" s="44"/>
      <c r="AM6" s="78">
        <f>IF(SUM(S6,W6)&gt;0,SUM(S6,W6),"")</f>
        <v>8</v>
      </c>
      <c r="AN6" s="78">
        <f>IF(SUM(R6:S6,U6:W6,Y6)-T6-X6&gt;0,SUM(R6:S6,U6:W6,Y6)-T6-X6,"")</f>
        <v>41.6</v>
      </c>
      <c r="AO6" s="78" t="str">
        <f>IF(SUM(Z6:AA6,AC6)-AB6&gt;0,SUM(Z6:AA6,AC6)-AB6,"")</f>
        <v/>
      </c>
      <c r="AP6" s="78">
        <f>IF(SUM(AE6,AI6)&gt;0,SUM(AE6,AI6),"")</f>
        <v>8</v>
      </c>
      <c r="AQ6" s="78">
        <f>IF(SUM(AD6:AE6,AG6:AI6,AK6)-SUM(AF6,AJ6)&gt;0,SUM(AD6:AE6,AG6:AI6,AK6)-SUM(AF6,AJ6),"")</f>
        <v>42.159999999999989</v>
      </c>
      <c r="AR6" s="78">
        <f>IF(SUM(AN6,AQ6)&gt;0,SUM(AN6,AQ6),"")</f>
        <v>83.759999999999991</v>
      </c>
      <c r="AS6" s="25">
        <v>17.2</v>
      </c>
      <c r="AT6" s="25">
        <v>4.3</v>
      </c>
      <c r="AU6" s="25">
        <v>0</v>
      </c>
      <c r="AV6" s="25">
        <v>0.3</v>
      </c>
      <c r="AW6" s="25">
        <v>16.899999999999999</v>
      </c>
      <c r="AX6" s="25">
        <v>4.0999999999999996</v>
      </c>
      <c r="AY6" s="25">
        <v>0</v>
      </c>
      <c r="AZ6" s="25">
        <v>0.3</v>
      </c>
      <c r="BA6" s="25"/>
      <c r="BB6" s="25"/>
      <c r="BC6" s="25"/>
      <c r="BD6" s="25"/>
      <c r="BE6" s="25">
        <v>16.3</v>
      </c>
      <c r="BF6" s="25">
        <v>4.0999999999999996</v>
      </c>
      <c r="BG6" s="25">
        <v>0</v>
      </c>
      <c r="BH6" s="25">
        <v>0.3</v>
      </c>
      <c r="BI6" s="25">
        <v>17.100000000000001</v>
      </c>
      <c r="BJ6" s="25">
        <v>4.3</v>
      </c>
      <c r="BK6" s="25">
        <v>0</v>
      </c>
      <c r="BL6" s="25">
        <v>0.3</v>
      </c>
      <c r="BM6" s="45"/>
      <c r="BN6" s="19">
        <f>IF(SUM(AT6,AX6)&gt;0,SUM(AT6,AX6),"")</f>
        <v>8.3999999999999986</v>
      </c>
      <c r="BO6" s="19">
        <f>IF(SUM(AS6:AT6,AV6:AX6,AZ6)-AU6-AY6&gt;0,SUM(AS6:AT6,AV6:AX6,AZ6)-AU6-AY6,"")</f>
        <v>43.1</v>
      </c>
      <c r="BP6" s="19" t="str">
        <f>IF(SUM(BA6:BB6,BD6)-BC6&gt;0,SUM(BA6:BB6,BD6)-BC6,"")</f>
        <v/>
      </c>
      <c r="BQ6" s="19">
        <f>IF(SUM(BF6,BJ6)&gt;0,SUM(BF6,BJ6),"")</f>
        <v>8.3999999999999986</v>
      </c>
      <c r="BR6" s="19">
        <f>IF(SUM(BE6:BF6,BH6:BJ6,BL6)-SUM(BG6,BK6)&gt;0,SUM(BE6:BF6,BH6:BJ6,BL6)-SUM(BG6,BK6),"")</f>
        <v>42.399999999999991</v>
      </c>
      <c r="BS6" s="19">
        <f>IF(SUM(BO6,BR6)&gt;0,SUM(BO6,BR6),"")</f>
        <v>85.5</v>
      </c>
      <c r="BT6" s="26">
        <v>16.850000000000001</v>
      </c>
      <c r="BU6" s="26">
        <v>4.1999999999999993</v>
      </c>
      <c r="BV6" s="26">
        <v>0</v>
      </c>
      <c r="BW6" s="26">
        <v>0.3</v>
      </c>
      <c r="BX6" s="26">
        <v>16.7</v>
      </c>
      <c r="BY6" s="26">
        <v>4</v>
      </c>
      <c r="BZ6" s="26">
        <v>0</v>
      </c>
      <c r="CA6" s="26">
        <v>0.3</v>
      </c>
      <c r="CB6" s="26">
        <v>0</v>
      </c>
      <c r="CC6" s="26">
        <v>0</v>
      </c>
      <c r="CD6" s="26">
        <v>0</v>
      </c>
      <c r="CE6" s="26">
        <v>0</v>
      </c>
      <c r="CF6" s="26">
        <v>16.5</v>
      </c>
      <c r="CG6" s="26">
        <v>4.0999999999999996</v>
      </c>
      <c r="CH6" s="26">
        <v>0</v>
      </c>
      <c r="CI6" s="26">
        <v>0.3</v>
      </c>
      <c r="CJ6" s="26">
        <v>16.98</v>
      </c>
      <c r="CK6" s="26">
        <v>4.0999999999999996</v>
      </c>
      <c r="CL6" s="26">
        <v>0</v>
      </c>
      <c r="CM6" s="26">
        <v>0.3</v>
      </c>
      <c r="CN6" s="44" t="s">
        <v>46</v>
      </c>
      <c r="CO6" s="78">
        <f>IF(SUM(BU6,BY6)&gt;0,SUM(BU6,BY6),"")</f>
        <v>8.1999999999999993</v>
      </c>
      <c r="CP6" s="78">
        <f>IF(SUM(BT6:BU6,BW6:BY6,CA6)-BV6-BZ6&gt;0,SUM(BT6:BU6,BW6:BY6,CA6)-BV6-BZ6,"")</f>
        <v>42.349999999999994</v>
      </c>
      <c r="CQ6" s="78" t="str">
        <f>IF(SUM(CB6:CC6,CE6)-CD6&gt;0,SUM(CB6:CC6,CE6)-CD6,"")</f>
        <v/>
      </c>
      <c r="CR6" s="78">
        <f>IF(SUM(CG6,CK6)&gt;0,SUM(CG6,CK6),"")</f>
        <v>8.1999999999999993</v>
      </c>
      <c r="CS6" s="78">
        <f>IF(SUM(CF6:CG6,CI6:CK6,CM6)-SUM(CH6,CL6)&gt;0,SUM(CF6:CG6,CI6:CK6,CM6)-SUM(CH6,CL6),"")</f>
        <v>42.28</v>
      </c>
      <c r="CT6" s="78">
        <f>IF(SUM(CP6,CS6)&gt;0,SUM(CP6,CS6),"")</f>
        <v>84.63</v>
      </c>
      <c r="CU6" s="79" t="str">
        <f>IF(K6&gt;=0.001,IF(MAX(DR6,ER6,FR6,GR6,HR6,IR6,JR6,KR6,LR6,MR6,NR6,OR6)-IF(K6="",0,K6)&gt;0.001,MAX(DR6,ER6,FR6,GR6,HR6,IR6,JR6,KR6,LR6,MR6,NR6,OR6)-IF(K6="",0,K6),""),"")</f>
        <v/>
      </c>
      <c r="CV6" s="79">
        <f>IF(M6&gt;=0.001,IF(MAX(DU6,EU6,FU6,GU6,HU6,IU6,JU6,KU6,LU6,MU6,NU6,OU6)-IF(M6="",0,M6)&gt;0.001,MAX(DU6,EU6,FU6,GU6,HU6,IU6,JU6,KU6,LU6,MU6,NU6,OU6)-IF(M6="",0,M6),""),"")</f>
        <v>1.4000000000000057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>IF(SUM(CX6,DB6)&gt;0,SUM(CX6,DB6),"")</f>
        <v/>
      </c>
      <c r="DR6" s="78" t="str">
        <f>IF(SUM(CW6:CX6,CZ6:DB6,DD6)-CY6-DC6&gt;0,SUM(CW6:CX6,CZ6:DB6,DD6)-CY6-DC6,"")</f>
        <v/>
      </c>
      <c r="DS6" s="78" t="str">
        <f>IF(SUM(DE6:DF6,DH6)-DG6&gt;0,SUM(DE6:DF6,DH6)-DG6,"")</f>
        <v/>
      </c>
      <c r="DT6" s="78" t="str">
        <f>IF(SUM(DJ6,DN6)&gt;0,SUM(DJ6,DN6),"")</f>
        <v/>
      </c>
      <c r="DU6" s="78" t="str">
        <f>IF(SUM(DI6:DJ6,DL6:DN6,DP6)-SUM(DK6,DO6)&gt;0,SUM(DI6:DJ6,DL6:DN6,DP6)-SUM(DK6,DO6),"")</f>
        <v/>
      </c>
      <c r="DV6" s="78" t="str">
        <f>IF(SUM(DR6,DU6)&gt;0,SUM(DR6,DU6),"")</f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>IF(SUM(DX6,EB6)&gt;0,SUM(DX6,EB6),"")</f>
        <v/>
      </c>
      <c r="ER6" s="19" t="str">
        <f>IF(SUM(DW6:DX6,DZ6:EB6,ED6)-DY6-EC6&gt;0,SUM(DW6:DX6,DZ6:EB6,ED6)-DY6-EC6,"")</f>
        <v/>
      </c>
      <c r="ES6" s="19" t="str">
        <f>IF(SUM(EE6:EF6,EH6)-EG6&gt;0,SUM(EE6:EF6,EH6)-EG6,"")</f>
        <v/>
      </c>
      <c r="ET6" s="19" t="str">
        <f>IF(SUM(EJ6,EN6)&gt;0,SUM(EJ6,EN6),"")</f>
        <v/>
      </c>
      <c r="EU6" s="19" t="str">
        <f>IF(SUM(EI6:EJ6,EL6:EN6,EP6)-SUM(EK6,EO6)&gt;0,SUM(EI6:EJ6,EL6:EN6,EP6)-SUM(EK6,EO6),"")</f>
        <v/>
      </c>
      <c r="EV6" s="19" t="str">
        <f>IF(SUM(ER6,EU6)&gt;0,SUM(ER6,EU6),"")</f>
        <v/>
      </c>
      <c r="EW6" s="24">
        <v>16.899999999999999</v>
      </c>
      <c r="EX6" s="24">
        <v>4.2</v>
      </c>
      <c r="EY6" s="24">
        <v>0.2</v>
      </c>
      <c r="EZ6" s="24">
        <v>0</v>
      </c>
      <c r="FA6" s="24">
        <v>16.2</v>
      </c>
      <c r="FB6" s="24">
        <v>3.9</v>
      </c>
      <c r="FC6" s="24">
        <v>0</v>
      </c>
      <c r="FD6" s="24">
        <v>0</v>
      </c>
      <c r="FE6" s="24"/>
      <c r="FF6" s="24"/>
      <c r="FG6" s="24"/>
      <c r="FH6" s="24"/>
      <c r="FI6" s="24">
        <v>17.8</v>
      </c>
      <c r="FJ6" s="24">
        <v>4.0999999999999996</v>
      </c>
      <c r="FK6" s="24">
        <v>0</v>
      </c>
      <c r="FL6" s="24">
        <v>0</v>
      </c>
      <c r="FM6" s="24">
        <v>18</v>
      </c>
      <c r="FN6" s="24">
        <v>3.9</v>
      </c>
      <c r="FO6" s="24">
        <v>0</v>
      </c>
      <c r="FP6" s="24">
        <v>0</v>
      </c>
      <c r="FQ6" s="78">
        <f>IF(SUM(EX6,FB6)&gt;0,SUM(EX6,FB6),"")</f>
        <v>8.1</v>
      </c>
      <c r="FR6" s="78">
        <f>IF(SUM(EW6:EX6,EZ6:FB6,FD6)-EY6-FC6&gt;0,SUM(EW6:EX6,EZ6:FB6,FD6)-EY6-FC6,"")</f>
        <v>40.999999999999993</v>
      </c>
      <c r="FS6" s="78" t="str">
        <f>IF(SUM(FE6:FF6,FH6)-FG6&gt;0,SUM(FE6:FF6,FH6)-FG6,"")</f>
        <v/>
      </c>
      <c r="FT6" s="78">
        <f>IF(SUM(FJ6,FN6)&gt;0,SUM(FJ6,FN6),"")</f>
        <v>8</v>
      </c>
      <c r="FU6" s="78">
        <f>IF(SUM(FI6:FJ6,FL6:FN6,FP6)-SUM(FK6,FO6)&gt;0,SUM(FI6:FJ6,FL6:FN6,FP6)-SUM(FK6,FO6),"")</f>
        <v>43.8</v>
      </c>
      <c r="FV6" s="78">
        <f>IF(SUM(FR6,FU6)&gt;0,SUM(FR6,FU6),"")</f>
        <v>84.799999999999983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>IF(SUM(FX6,GB6)&gt;0,SUM(FX6,GB6),"")</f>
        <v/>
      </c>
      <c r="GR6" s="19" t="str">
        <f>IF(SUM(FW6:FX6,FZ6:GB6,GD6)-FY6-GC6&gt;0,SUM(FW6:FX6,FZ6:GB6,GD6)-FY6-GC6,"")</f>
        <v/>
      </c>
      <c r="GS6" s="19" t="str">
        <f>IF(SUM(GE6:GF6,GH6)-GG6&gt;0,SUM(GE6:GF6,GH6)-GG6,"")</f>
        <v/>
      </c>
      <c r="GT6" s="19" t="str">
        <f>IF(SUM(GJ6,GN6)&gt;0,SUM(GJ6,GN6),"")</f>
        <v/>
      </c>
      <c r="GU6" s="19" t="str">
        <f>IF(SUM(GI6:GJ6,GL6:GN6,GP6)-SUM(GK6,GO6)&gt;0,SUM(GI6:GJ6,GL6:GN6,GP6)-SUM(GK6,GO6),"")</f>
        <v/>
      </c>
      <c r="GV6" s="19" t="str">
        <f>IF(SUM(GR6,GU6)&gt;0,SUM(GR6,GU6),"")</f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>IF(SUM(GX6,HB6)&gt;0,SUM(GX6,HB6),"")</f>
        <v/>
      </c>
      <c r="HR6" s="78" t="str">
        <f>IF(SUM(GW6:GX6,GZ6:HB6,HD6)-GY6-HC6&gt;0,SUM(GW6:GX6,GZ6:HB6,HD6)-GY6-HC6,"")</f>
        <v/>
      </c>
      <c r="HS6" s="78" t="str">
        <f>IF(SUM(HE6:HF6,HH6)-HG6&gt;0,SUM(HE6:HF6,HH6)-HG6,"")</f>
        <v/>
      </c>
      <c r="HT6" s="78" t="str">
        <f>IF(SUM(HJ6,HN6)&gt;0,SUM(HJ6,HN6),"")</f>
        <v/>
      </c>
      <c r="HU6" s="78" t="str">
        <f>IF(SUM(HI6:HJ6,HL6:HN6,HP6)-SUM(HK6,HO6)&gt;0,SUM(HI6:HJ6,HL6:HN6,HP6)-SUM(HK6,HO6),"")</f>
        <v/>
      </c>
      <c r="HV6" s="78" t="str">
        <f>IF(SUM(HR6,HU6)&gt;0,SUM(HR6,HU6),"")</f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>IF(SUM(HX6,IB6)&gt;0,SUM(HX6,IB6),"")</f>
        <v/>
      </c>
      <c r="IR6" s="19" t="str">
        <f>IF(SUM(HW6:HX6,HZ6:IB6,ID6)-HY6-IC6&gt;0,SUM(HW6:HX6,HZ6:IB6,ID6)-HY6-IC6,"")</f>
        <v/>
      </c>
      <c r="IS6" s="19" t="str">
        <f>IF(SUM(IE6:IF6,IH6)-IG6&gt;0,SUM(IE6:IF6,IH6)-IG6,"")</f>
        <v/>
      </c>
      <c r="IT6" s="19" t="str">
        <f>IF(SUM(IJ6,IN6)&gt;0,SUM(IJ6,IN6),"")</f>
        <v/>
      </c>
      <c r="IU6" s="19" t="str">
        <f>IF(SUM(II6:IJ6,IL6:IN6,IP6)-SUM(IK6,IO6)&gt;0,SUM(II6:IJ6,IL6:IN6,IP6)-SUM(IK6,IO6),"")</f>
        <v/>
      </c>
      <c r="IV6" s="19" t="str">
        <f>IF(SUM(IR6,IU6)&gt;0,SUM(IR6,IU6),"")</f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>IF(SUM(IX6,JB6)&gt;0,SUM(IX6,JB6),"")</f>
        <v/>
      </c>
      <c r="JR6" s="78" t="str">
        <f>IF(SUM(IW6:IX6,IZ6:JB6,JD6)-IY6-JC6&gt;0,SUM(IW6:IX6,IZ6:JB6,JD6)-IY6-JC6,"")</f>
        <v/>
      </c>
      <c r="JS6" s="78" t="str">
        <f>IF(SUM(JE6:JF6,JH6)-JG6&gt;0,SUM(JE6:JF6,JH6)-JG6,"")</f>
        <v/>
      </c>
      <c r="JT6" s="78" t="str">
        <f>IF(SUM(JJ6,JN6)&gt;0,SUM(JJ6,JN6),"")</f>
        <v/>
      </c>
      <c r="JU6" s="78" t="str">
        <f>IF(SUM(JI6:JJ6,JL6:JN6,JP6)-SUM(JK6,JO6)&gt;0,SUM(JI6:JJ6,JL6:JN6,JP6)-SUM(JK6,JO6),"")</f>
        <v/>
      </c>
      <c r="JV6" s="78" t="str">
        <f>IF(SUM(JR6,JU6)&gt;0,SUM(JR6,JU6),"")</f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>IF(SUM(JX6,KB6)&gt;0,SUM(JX6,KB6),"")</f>
        <v/>
      </c>
      <c r="KR6" s="19" t="str">
        <f>IF(SUM(JW6:JX6,JZ6:KB6,KD6)-JY6-KC6&gt;0,SUM(JW6:JX6,JZ6:KB6,KD6)-JY6-KC6,"")</f>
        <v/>
      </c>
      <c r="KS6" s="19" t="str">
        <f>IF(SUM(KE6:KF6,KH6)-KG6&gt;0,SUM(KE6:KF6,KH6)-KG6,"")</f>
        <v/>
      </c>
      <c r="KT6" s="19" t="str">
        <f>IF(SUM(KJ6,KN6)&gt;0,SUM(KJ6,KN6),"")</f>
        <v/>
      </c>
      <c r="KU6" s="19" t="str">
        <f>IF(SUM(KI6:KJ6,KL6:KN6,KP6)-SUM(KK6,KO6)&gt;0,SUM(KI6:KJ6,KL6:KN6,KP6)-SUM(KK6,KO6),"")</f>
        <v/>
      </c>
      <c r="KV6" s="19" t="str">
        <f>IF(SUM(KR6,KU6)&gt;0,SUM(KR6,KU6),"")</f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>IF(SUM(KX6,LB6)&gt;0,SUM(KX6,LB6),"")</f>
        <v/>
      </c>
      <c r="LR6" s="78" t="str">
        <f>IF(SUM(KW6:KX6,KZ6:LB6,LD6)-KY6-LC6&gt;0,SUM(KW6:KX6,KZ6:LB6,LD6)-KY6-LC6,"")</f>
        <v/>
      </c>
      <c r="LS6" s="78" t="str">
        <f>IF(SUM(LE6:LF6,LH6)-LG6&gt;0,SUM(LE6:LF6,LH6)-LG6,"")</f>
        <v/>
      </c>
      <c r="LT6" s="78" t="str">
        <f>IF(SUM(LJ6,LN6)&gt;0,SUM(LJ6,LN6),"")</f>
        <v/>
      </c>
      <c r="LU6" s="78" t="str">
        <f>IF(SUM(LI6:LJ6,LL6:LN6,LP6)-SUM(LK6,LO6)&gt;0,SUM(LI6:LJ6,LL6:LN6,LP6)-SUM(LK6,LO6),"")</f>
        <v/>
      </c>
      <c r="LV6" s="78" t="str">
        <f>IF(SUM(LR6,LU6)&gt;0,SUM(LR6,LU6),"")</f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>IF(SUM(LX6,MB6)&gt;0,SUM(LX6,MB6),"")</f>
        <v/>
      </c>
      <c r="MR6" s="19" t="str">
        <f>IF(SUM(LW6:LX6,LZ6:MB6,MD6)-LY6-MC6&gt;0,SUM(LW6:LX6,LZ6:MB6,MD6)-LY6-MC6,"")</f>
        <v/>
      </c>
      <c r="MS6" s="19" t="str">
        <f>IF(SUM(ME6:MF6,MH6)-MG6&gt;0,SUM(ME6:MF6,MH6)-MG6,"")</f>
        <v/>
      </c>
      <c r="MT6" s="19" t="str">
        <f>IF(SUM(MJ6,MN6)&gt;0,SUM(MJ6,MN6),"")</f>
        <v/>
      </c>
      <c r="MU6" s="19" t="str">
        <f>IF(SUM(MI6:MJ6,ML6:MN6,MP6)-SUM(MK6,MO6)&gt;0,SUM(MI6:MJ6,ML6:MN6,MP6)-SUM(MK6,MO6),"")</f>
        <v/>
      </c>
      <c r="MV6" s="19" t="str">
        <f>IF(SUM(MR6,MU6)&gt;0,SUM(MR6,MU6),"")</f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>IF(SUM(MX6,NB6)&gt;0,SUM(MX6,NB6),"")</f>
        <v/>
      </c>
      <c r="NR6" s="78" t="str">
        <f>IF(SUM(MW6:MX6,MZ6:NB6,ND6)-MY6-NC6&gt;0,SUM(MW6:MX6,MZ6:NB6,ND6)-MY6-NC6,"")</f>
        <v/>
      </c>
      <c r="NS6" s="78" t="str">
        <f>IF(SUM(NE6:NF6,NH6)-NG6&gt;0,SUM(NE6:NF6,NH6)-NG6,"")</f>
        <v/>
      </c>
      <c r="NT6" s="78" t="str">
        <f>IF(SUM(NJ6,NN6)&gt;0,SUM(NJ6,NN6),"")</f>
        <v/>
      </c>
      <c r="NU6" s="78" t="str">
        <f>IF(SUM(NI6:NJ6,NL6:NN6,NP6)-SUM(NK6,NO6)&gt;0,SUM(NI6:NJ6,NL6:NN6,NP6)-SUM(NK6,NO6),"")</f>
        <v/>
      </c>
      <c r="NV6" s="78" t="str">
        <f>IF(SUM(NR6,NU6)&gt;0,SUM(NR6,NU6),"")</f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>IF(SUM(NX6,OB6)&gt;0,SUM(NX6,OB6),"")</f>
        <v/>
      </c>
      <c r="OR6" s="19" t="str">
        <f>IF(SUM(NW6:NX6,NZ6:OB6,OD6)-NY6-OC6&gt;0,SUM(NW6:NX6,NZ6:OB6,OD6)-NY6-OC6,"")</f>
        <v/>
      </c>
      <c r="OS6" s="19" t="str">
        <f>IF(SUM(OE6:OF6,OH6)-OG6&gt;0,SUM(OE6:OF6,OH6)-OG6,"")</f>
        <v/>
      </c>
      <c r="OT6" s="19" t="str">
        <f>IF(SUM(OJ6,ON6)&gt;0,SUM(OJ6,ON6),"")</f>
        <v/>
      </c>
      <c r="OU6" s="19" t="str">
        <f>IF(SUM(OI6:OJ6,OL6:ON6,OP6)-SUM(OK6,OO6)&gt;0,SUM(OI6:OJ6,OL6:ON6,OP6)-SUM(OK6,OO6),"")</f>
        <v/>
      </c>
      <c r="OV6" s="19" t="str">
        <f>IF(SUM(OR6,OU6)&gt;0,SUM(OR6,OU6),"")</f>
        <v/>
      </c>
      <c r="OW6" s="37">
        <f>IF($CN6="P",BT6,(BT6+AS6)/2)</f>
        <v>16.850000000000001</v>
      </c>
      <c r="OX6" s="37">
        <f>IF($CN6="P",BU6,(BU6+AT6)/2)</f>
        <v>4.1999999999999993</v>
      </c>
      <c r="OY6" s="37">
        <f>IF($CN6="P",BV6,(BV6+AU6)/2)</f>
        <v>0</v>
      </c>
      <c r="OZ6" s="37">
        <f>IF($CN6="P",BW6,(BW6+AV6)/2)</f>
        <v>0.3</v>
      </c>
      <c r="PA6" s="37">
        <f>IF($CN6="P",BX6,(BX6+AW6)/2)</f>
        <v>16.7</v>
      </c>
      <c r="PB6" s="37">
        <f>IF($CN6="P",BY6,(BY6+AX6)/2)</f>
        <v>4</v>
      </c>
      <c r="PC6" s="37">
        <f>IF($CN6="P",BZ6,(BZ6+AY6)/2)</f>
        <v>0</v>
      </c>
      <c r="PD6" s="37">
        <f>IF($CN6="P",CA6,(CA6+AZ6)/2)</f>
        <v>0.3</v>
      </c>
      <c r="PE6" s="37">
        <f>IF($CN6="P",CB6,(CB6+BA6)/2)</f>
        <v>0</v>
      </c>
      <c r="PF6" s="37">
        <f>IF($CN6="P",CC6,(CC6+BB6)/2)</f>
        <v>0</v>
      </c>
      <c r="PG6" s="37">
        <f>IF($CN6="P",CD6,(CD6+BC6)/2)</f>
        <v>0</v>
      </c>
      <c r="PH6" s="37">
        <f>IF($CN6="P",CE6,(CE6+BD6)/2)</f>
        <v>0</v>
      </c>
      <c r="PI6" s="37">
        <f>IF($CN6="P",CF6,(CF6+BE6)/2)</f>
        <v>16.5</v>
      </c>
      <c r="PJ6" s="37">
        <f>IF($CN6="P",CG6,(CG6+BF6)/2)</f>
        <v>4.0999999999999996</v>
      </c>
      <c r="PK6" s="37">
        <f>IF($CN6="P",CH6,(CH6+BG6)/2)</f>
        <v>0</v>
      </c>
      <c r="PL6" s="37">
        <f>IF($CN6="P",CI6,(CI6+BH6)/2)</f>
        <v>0.3</v>
      </c>
      <c r="PM6" s="37">
        <f>IF($CN6="P",CJ6,(CJ6+BI6)/2)</f>
        <v>16.98</v>
      </c>
      <c r="PN6" s="37">
        <f>IF($CN6="P",CK6,(CK6+BJ6)/2)</f>
        <v>4.0999999999999996</v>
      </c>
      <c r="PO6" s="37">
        <f>IF($CN6="P",CL6,(CL6+BK6)/2)</f>
        <v>0</v>
      </c>
      <c r="PP6" s="37">
        <f>IF($CN6="P",CM6,(CM6+BL6)/2)</f>
        <v>0.3</v>
      </c>
      <c r="PQ6" s="44" t="s">
        <v>46</v>
      </c>
      <c r="PR6" s="78">
        <f>IF(SUM(OX6,PB6)&gt;0,SUM(OX6,PB6),"")</f>
        <v>8.1999999999999993</v>
      </c>
      <c r="PS6" s="78">
        <f>IF(SUM(OW6:OX6,OZ6:PB6,PD6)-OY6-PC6&gt;0,SUM(OW6:OX6,OZ6:PB6,PD6)-OY6-PC6,"")</f>
        <v>42.349999999999994</v>
      </c>
      <c r="PT6" s="78" t="str">
        <f>IF(SUM(PE6:PF6,PH6)-PG6&gt;0,SUM(PE6:PF6,PH6)-PG6,"")</f>
        <v/>
      </c>
      <c r="PU6" s="78">
        <f>IF(SUM(PJ6,PN6)&gt;0,SUM(PJ6,PN6),"")</f>
        <v>8.1999999999999993</v>
      </c>
      <c r="PV6" s="78">
        <f>IF(SUM(PI6:PJ6,PL6:PN6,PP6)-SUM(PK6,PO6)&gt;0,SUM(PI6:PJ6,PL6:PN6,PP6)-SUM(PK6,PO6),"")</f>
        <v>42.28</v>
      </c>
      <c r="PW6" s="78">
        <f>IF(SUM(PS6,PV6)&gt;0,SUM(PS6,PV6),"")</f>
        <v>84.63</v>
      </c>
    </row>
    <row r="7" spans="1:439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77" t="s">
        <v>194</v>
      </c>
      <c r="C7" s="5" t="s">
        <v>4</v>
      </c>
      <c r="D7" s="5">
        <v>2003</v>
      </c>
      <c r="E7" s="15">
        <f>SUM(I7:O7)+SUM(I7:M7)*0.0000001+SUM(I7)*0.0000000000001</f>
        <v>125.40001254000431</v>
      </c>
      <c r="F7" s="3" t="str">
        <f>IF(OR(AND(AM7&gt;=AR$26,AN7&gt;=AR$30,AM7&lt;&gt;"",AL7=""),AND(AP7&gt;=AR$26,AQ7&gt;=AR$30,AP7&lt;&gt;"",AL7=""),AND(BN7&gt;=BS$26,BO7&gt;=BS$30,BN7&lt;&gt;"",BM7=""),AND(BQ7&gt;=BS$26,BR7&gt;=BS$30,BQ7&lt;&gt;"",BM7=""),AND(CO7&gt;=CT$26,CP7&gt;=CT$30,CO7&lt;&gt;"",CN7=""),AND(CR7&gt;=CT$26,CS7&gt;=CT$30,CR7&lt;&gt;""),AND(DQ7&gt;=DV$26,DR7&gt;=DV$30,DQ7&lt;&gt;""),AND(DT7&gt;=DV$26,DU7&gt;=DV$30,DT7&lt;&gt;""),AND(EQ7&gt;=EV$26,ER7&gt;=EV$30,EQ7&lt;&gt;""),AND(ET7&gt;=EV$26,EU7&gt;=EV$30,ET7&lt;&gt;""),AND(FQ7&gt;=FV$26,FR7&gt;=FV$30,FQ7&lt;&gt;""),AND(FT7&gt;=FV$26,FU7&gt;=FV$30,FT7&lt;&gt;""),AND(GQ7&gt;=GV$26,GR7&gt;=GV$30,GQ7&lt;&gt;""),AND(GT7&gt;=GV$26,GU7&gt;=GV$30,GT7&lt;&gt;""),AND(HQ7&gt;=HV$26,HR7&gt;=HV$30,HQ7&lt;&gt;""),AND(HT7&gt;=HV$26,HU7&gt;=HV$30,HT7&lt;&gt;""),AND(IQ7&gt;=IV$26,IR7&gt;=IV$30,IQ7&lt;&gt;""),AND(IT7&gt;=IV$26,IU7&gt;=IV$30,IT7&lt;&gt;""),AND(JQ7&gt;=JV$26,JR7&gt;=JV$30,JQ7&lt;&gt;""),AND(JT7&gt;=JV$26,JU7&gt;=JV$30,JT7&lt;&gt;""),AND(KQ7&gt;=KV$26,KR7&gt;=KV$30,KQ7&lt;&gt;""),AND(KT7&gt;=KV$26,KU7&gt;=KV$30,KT7&lt;&gt;""),AND(LQ7&gt;=LV$26,LR7&gt;=LV$30,LQ7&lt;&gt;""),AND(LT7&gt;=LV$26,LU7&gt;=LV$30,LT7&lt;&gt;""),AND(MQ7&gt;=MV$26,MR7&gt;=MV$30,MQ7&lt;&gt;""),AND(MT7&gt;=MV$26,MU7&gt;=MV$30,MT7&lt;&gt;""),AND(NQ7&gt;=NV$26,NR7&gt;=NV$30,NQ7&lt;&gt;""),AND(NT7&gt;=NV$26,NU7&gt;=NV$30,NT7&lt;&gt;""),AND(OQ7&gt;=OV$26,OR7&gt;=OV$30,OQ7&lt;&gt;""),AND(OT7&gt;=OV$26,OU7&gt;=OV$30,OT7&lt;&gt;"")),"P","")</f>
        <v>P</v>
      </c>
      <c r="G7" s="3" t="str">
        <f>IF(OR(AND(AN7&gt;=AR$30,AN7&lt;&gt;"",AL7=""),AND(AQ7&gt;=AR$30,AQ7&lt;&gt;"",AL7=""),AND(BO7&gt;=BS$30,BO7&lt;&gt;"",BM7=""),AND(BR7&gt;=BS$30,BR7&lt;&gt;"",BM7=""),AND(CP7&gt;=CT$30,CP7&lt;&gt;"",CN7=""),AND(CS7&gt;=CT$30,CS7&lt;&gt;"",CN7=""),AND(DR7&gt;=DV$30,DR7&lt;&gt;""),AND(DU7&gt;=DV$30,DU7&lt;&gt;""),AND(ER7&gt;=EV$30,ER7&lt;&gt;""),AND(EU7&gt;=EV$30,EU7&lt;&gt;""),AND(FR7&gt;=FV$30,FR7&lt;&gt;""),AND(FU7&gt;=FV$30,FU7&lt;&gt;""),AND(GR7&gt;=GV$30,GR7&lt;&gt;""),AND(GU7&gt;=GV$30,GU7&lt;&gt;""),AND(HR7&gt;=HV$30,HR7&lt;&gt;""),AND(HU7&gt;=HV$30,HU7&lt;&gt;""),AND(IR7&gt;=IV$30,IR7&lt;&gt;""),AND(IU7&gt;=IV$30,IU7&lt;&gt;""),AND(JR7&gt;=JV$30,JR7&lt;&gt;""),AND(JU7&gt;=JV$30,JU7&lt;&gt;""),AND(KR7&gt;=KV$30,KR7&lt;&gt;""),AND(KU7&gt;=KV$30,KU7&lt;&gt;""),AND(LR7&gt;=LV$30,LR7&lt;&gt;""),AND(LU7&gt;=LV$30,LU7&lt;&gt;""),AND(MR7&gt;=MV$30,MR7&lt;&gt;""),AND(MU7&gt;=MV$30,MU7&lt;&gt;""),AND(NR7&gt;=NV$30,NR7&lt;&gt;""),AND(NU7&gt;=NV$30,NU7&lt;&gt;""),AND(OR7&gt;=OV$30,OR7&lt;&gt;""),AND(OU7&gt;=OV$30,OU7&lt;&gt;"")),"P","")</f>
        <v>P</v>
      </c>
      <c r="H7" s="66" t="str">
        <f>IF(AND(G7="P",F7=""),"No DD",IF(OR(AND(AM7&gt;=AR$29,AN7&gt;=AR$33,AM7&lt;&gt;"",AL7=""),AND(AP7&gt;=AR$29,AQ7&gt;=AR$33,AP7&lt;&gt;"",AL7=""),AND(BN7&gt;=BS$29,BO7&gt;=BS$33,BN7&lt;&gt;"",BM7=""),AND(BQ7&gt;=BS$29,BR7&gt;=BS$33,BQ7&lt;&gt;"",BM7=""),AND(CO7&gt;=CT$29,CP7&gt;=CT$33,CO7&lt;&gt;"",CN7=""),AND(CR7&gt;=CT$29,CS7&gt;=CT$33,CR7&lt;&gt;""),AND(DQ7&gt;=DV$29,DR7&gt;=DV$33,DQ7&lt;&gt;""),AND(DT7&gt;=DV$29,DU7&gt;=DV$33,DT7&lt;&gt;""),AND(EQ7&gt;=EV$29,ER7&gt;=EV$33,EQ7&lt;&gt;""),AND(ET7&gt;=EV$29,EU7&gt;=EV$33,ET7&lt;&gt;""),AND(FQ7&gt;=FV$29,FR7&gt;=FV$33,FQ7&lt;&gt;""),AND(FT7&gt;=FV$29,FU7&gt;=FV$33,FT7&lt;&gt;""),AND(GQ7&gt;=GV$29,GR7&gt;=GV$33,GQ7&lt;&gt;""),AND(GT7&gt;=GV$29,GU7&gt;=GV$33,GT7&lt;&gt;""),AND(HQ7&gt;=HV$29,HR7&gt;=HV$33,HQ7&lt;&gt;""),AND(HT7&gt;=HV$29,HU7&gt;=HV$33,HT7&lt;&gt;""),AND(IQ7&gt;=IV$29,IR7&gt;=IV$33,IQ7&lt;&gt;""),AND(IT7&gt;=IV$29,IU7&gt;=IV$33,IT7&lt;&gt;""),AND(JQ7&gt;=JV$29,JR7&gt;=JV$33,JQ7&lt;&gt;""),AND(JT7&gt;=JV$29,JU7&gt;=JV$33,JT7&lt;&gt;""),AND(KQ7&gt;=KV$29,KR7&gt;=KV$33,KQ7&lt;&gt;""),AND(KT7&gt;=KV$29,KU7&gt;=KV$33,KT7&lt;&gt;""),AND(LQ7&gt;=LV$29,LR7&gt;=LV$33,LQ7&lt;&gt;""),AND(LT7&gt;=LV$29,LU7&gt;=LV$33,LT7&lt;&gt;""),AND(MQ7&gt;=MV$29,MR7&gt;=MV$33,MQ7&lt;&gt;""),AND(MT7&gt;=MV$29,MU7&gt;=MV$33,MT7&lt;&gt;""),AND(NQ7&gt;=NV$29,NR7&gt;=NV$33,NQ7&lt;&gt;""),AND(NT7&gt;=NV$29,NU7&gt;=NV$33,NT7&lt;&gt;""),AND(OQ7&gt;=OV$29,OR7&gt;=OV$33,OQ7&lt;&gt;""),AND(OT7&gt;=OV$29,OU7&gt;=OV$33,OT7&lt;&gt;"")),"Merit",IF(OR(AND(AM7&gt;=AR$28,AN7&gt;=AR$32,AM7&lt;&gt;"",AL7=""),AND(AP7&gt;=AR$28,AQ7&gt;=AR$32,AP7&lt;&gt;"",AL7=""),AND(BN7&gt;=BS$28,BO7&gt;=BS$32,BN7&lt;&gt;"",BM7=""),AND(BQ7&gt;=BS$28,BR7&gt;=BS$32,BQ7&lt;&gt;"",BM7=""),AND(CO7&gt;=CT$28,CP7&gt;=CT$32,CO7&lt;&gt;"",CN7=""),AND(CR7&gt;=CT$28,CS7&gt;=CT$32,CR7&lt;&gt;""),AND(DQ7&gt;=DV$28,DR7&gt;=DV$32,DQ7&lt;&gt;""),AND(DT7&gt;=DV$28,DU7&gt;=DV$32,DT7&lt;&gt;""),AND(EQ7&gt;=EV$28,ER7&gt;=EV$32,EQ7&lt;&gt;""),AND(ET7&gt;=EV$28,EU7&gt;=EV$32,ET7&lt;&gt;""),AND(FQ7&gt;=FV$28,FR7&gt;=FV$32,FQ7&lt;&gt;""),AND(FT7&gt;=FV$28,FU7&gt;=FV$32,FT7&lt;&gt;""),AND(GQ7&gt;=GV$28,GR7&gt;=GV$32,GQ7&lt;&gt;""),AND(GT7&gt;=GV$28,GU7&gt;=GV$32,GT7&lt;&gt;""),AND(HQ7&gt;=HV$28,HR7&gt;=HV$32,HQ7&lt;&gt;""),AND(HT7&gt;=HV$28,HU7&gt;=HV$32,HT7&lt;&gt;""),AND(IQ7&gt;=IV$28,IR7&gt;=IV$32,IQ7&lt;&gt;""),AND(IT7&gt;=IV$28,IU7&gt;=IV$32,IT7&lt;&gt;""),AND(JQ7&gt;=JV$28,JR7&gt;=JV$32,JQ7&lt;&gt;""),AND(JT7&gt;=JV$28,JU7&gt;=JV$32,JT7&lt;&gt;""),AND(KQ7&gt;=KV$28,KR7&gt;=KV$32,KQ7&lt;&gt;""),AND(KT7&gt;=KV$28,KU7&gt;=KV$32,KT7&lt;&gt;""),AND(LQ7&gt;=LV$28,LR7&gt;=LV$32,LQ7&lt;&gt;""),AND(LT7&gt;=LV$28,LU7&gt;=LV$32,LT7&lt;&gt;""),AND(MQ7&gt;=MV$28,MR7&gt;=MV$32,MQ7&lt;&gt;""),AND(MT7&gt;=MV$28,MU7&gt;=MV$32,MT7&lt;&gt;""),AND(NQ7&gt;=NV$28,NR7&gt;=NV$32,NQ7&lt;&gt;""),AND(NT7&gt;=NV$28,NU7&gt;=NV$32,NT7&lt;&gt;""),AND(OQ7&gt;=OV$28,OR7&gt;=OV$32,OQ7&lt;&gt;""),AND(OT7&gt;=OV$28,OU7&gt;=OV$32,OT7&lt;&gt;"")),"Excellence",IF(F7="P","National Team",""))))</f>
        <v>National Team</v>
      </c>
      <c r="I7" s="14">
        <f>IF(COUNT(AN7,BO7,CP7)&gt;0,LARGE((AN7,BO7,CP7),1),0)</f>
        <v>43.1</v>
      </c>
      <c r="J7" s="14" t="str">
        <f>IF(I7=0,"",IF(I7=CP7,$BT$1,IF(I7=BO7,$AS$1,IF(I7=AN7,$R$1,""))))</f>
        <v>2022 Nationals</v>
      </c>
      <c r="K7" s="14">
        <f>IF(COUNT(AN7,BO7,CP7)&gt;1,LARGE((AN7,BO7,CP7),2),0)</f>
        <v>42.6</v>
      </c>
      <c r="L7" s="14" t="str">
        <f>IF(K7=0,"",IF(K7=CP7,$BT$1,IF(K7=BO7,$AS$1,IF(K7=AN7,$R$1,""))))</f>
        <v>2022 3rd Domestic Trial</v>
      </c>
      <c r="M7" s="14">
        <f>IF(MAX(AQ7,BR7,CS7)&gt;0,MAX(AQ7,BR7,CS7),0)</f>
        <v>39.699999999999996</v>
      </c>
      <c r="N7" s="14" t="str">
        <f>IF(M7=0,"",IF(M7=CS7,$BT$1,IF(M7=BR7,$AS$1,IF(M7=AQ7,$R$1,""))))</f>
        <v>2022 Nationals</v>
      </c>
      <c r="O7" s="14" t="str">
        <f>IF(MAX(CU7:CV7)&gt;0,MAX(CU7:CV7),"")</f>
        <v/>
      </c>
      <c r="P7" s="19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>IF(SUM(S7,W7)&gt;0,SUM(S7,W7),"")</f>
        <v/>
      </c>
      <c r="AN7" s="78" t="str">
        <f>IF(SUM(R7:S7,U7:W7,Y7)-T7-X7&gt;0,SUM(R7:S7,U7:W7,Y7)-T7-X7,"")</f>
        <v/>
      </c>
      <c r="AO7" s="78" t="str">
        <f>IF(SUM(Z7:AA7,AC7)-AB7&gt;0,SUM(Z7:AA7,AC7)-AB7,"")</f>
        <v/>
      </c>
      <c r="AP7" s="78" t="str">
        <f>IF(SUM(AE7,AI7)&gt;0,SUM(AE7,AI7),"")</f>
        <v/>
      </c>
      <c r="AQ7" s="78" t="str">
        <f>IF(SUM(AD7:AE7,AG7:AI7,AK7)-SUM(AF7,AJ7)&gt;0,SUM(AD7:AE7,AG7:AI7,AK7)-SUM(AF7,AJ7),"")</f>
        <v/>
      </c>
      <c r="AR7" s="78" t="str">
        <f>IF(SUM(AN7,AQ7)&gt;0,SUM(AN7,AQ7),"")</f>
        <v/>
      </c>
      <c r="AS7" s="25">
        <v>17.2</v>
      </c>
      <c r="AT7" s="25">
        <v>3.9</v>
      </c>
      <c r="AU7" s="25">
        <v>0</v>
      </c>
      <c r="AV7" s="25">
        <v>0.3</v>
      </c>
      <c r="AW7" s="25">
        <v>17.3</v>
      </c>
      <c r="AX7" s="25">
        <v>4.0999999999999996</v>
      </c>
      <c r="AY7" s="25">
        <v>0</v>
      </c>
      <c r="AZ7" s="25">
        <v>0.3</v>
      </c>
      <c r="BA7" s="25"/>
      <c r="BB7" s="25"/>
      <c r="BC7" s="25"/>
      <c r="BD7" s="25"/>
      <c r="BE7" s="25">
        <v>17.100000000000001</v>
      </c>
      <c r="BF7" s="25">
        <v>3.9</v>
      </c>
      <c r="BG7" s="25">
        <v>0</v>
      </c>
      <c r="BH7" s="25">
        <v>0.3</v>
      </c>
      <c r="BI7" s="25">
        <v>16.2</v>
      </c>
      <c r="BJ7" s="25">
        <v>1.9</v>
      </c>
      <c r="BK7" s="25">
        <v>0</v>
      </c>
      <c r="BL7" s="25">
        <v>0.3</v>
      </c>
      <c r="BM7" s="45"/>
      <c r="BN7" s="19">
        <f>IF(SUM(AT7,AX7)&gt;0,SUM(AT7,AX7),"")</f>
        <v>8</v>
      </c>
      <c r="BO7" s="19">
        <f>IF(SUM(AS7:AT7,AV7:AX7,AZ7)-AU7-AY7&gt;0,SUM(AS7:AT7,AV7:AX7,AZ7)-AU7-AY7,"")</f>
        <v>43.1</v>
      </c>
      <c r="BP7" s="19" t="str">
        <f>IF(SUM(BA7:BB7,BD7)-BC7&gt;0,SUM(BA7:BB7,BD7)-BC7,"")</f>
        <v/>
      </c>
      <c r="BQ7" s="19">
        <f>IF(SUM(BF7,BJ7)&gt;0,SUM(BF7,BJ7),"")</f>
        <v>5.8</v>
      </c>
      <c r="BR7" s="19">
        <f>IF(SUM(BE7:BF7,BH7:BJ7,BL7)-SUM(BG7,BK7)&gt;0,SUM(BE7:BF7,BH7:BJ7,BL7)-SUM(BG7,BK7),"")</f>
        <v>39.699999999999996</v>
      </c>
      <c r="BS7" s="19">
        <f>IF(SUM(BO7,BR7)&gt;0,SUM(BO7,BR7),"")</f>
        <v>82.8</v>
      </c>
      <c r="BT7" s="26">
        <v>16.600000000000001</v>
      </c>
      <c r="BU7" s="26">
        <v>4.3</v>
      </c>
      <c r="BV7" s="26">
        <v>0</v>
      </c>
      <c r="BW7" s="26">
        <v>0.3</v>
      </c>
      <c r="BX7" s="26">
        <v>16</v>
      </c>
      <c r="BY7" s="26">
        <v>4.8</v>
      </c>
      <c r="BZ7" s="26">
        <v>0</v>
      </c>
      <c r="CA7" s="26">
        <v>0.6</v>
      </c>
      <c r="CB7" s="26"/>
      <c r="CC7" s="26"/>
      <c r="CD7" s="26"/>
      <c r="CE7" s="26"/>
      <c r="CF7" s="26">
        <v>15.3</v>
      </c>
      <c r="CG7" s="26">
        <v>1.9</v>
      </c>
      <c r="CH7" s="26">
        <v>0</v>
      </c>
      <c r="CI7" s="26">
        <v>0.3</v>
      </c>
      <c r="CJ7" s="26">
        <v>15.6</v>
      </c>
      <c r="CK7" s="26">
        <v>1.9</v>
      </c>
      <c r="CL7" s="26">
        <v>0</v>
      </c>
      <c r="CM7" s="26">
        <v>0.3</v>
      </c>
      <c r="CN7" s="44"/>
      <c r="CO7" s="78">
        <f>IF(SUM(BU7,BY7)&gt;0,SUM(BU7,BY7),"")</f>
        <v>9.1</v>
      </c>
      <c r="CP7" s="78">
        <f>IF(SUM(BT7:BU7,BW7:BY7,CA7)-BV7-BZ7&gt;0,SUM(BT7:BU7,BW7:BY7,CA7)-BV7-BZ7,"")</f>
        <v>42.6</v>
      </c>
      <c r="CQ7" s="78" t="str">
        <f>IF(SUM(CB7:CC7,CE7)-CD7&gt;0,SUM(CB7:CC7,CE7)-CD7,"")</f>
        <v/>
      </c>
      <c r="CR7" s="78">
        <f>IF(SUM(CG7,CK7)&gt;0,SUM(CG7,CK7),"")</f>
        <v>3.8</v>
      </c>
      <c r="CS7" s="78">
        <f>IF(SUM(CF7:CG7,CI7:CK7,CM7)-SUM(CH7,CL7)&gt;0,SUM(CF7:CG7,CI7:CK7,CM7)-SUM(CH7,CL7),"")</f>
        <v>35.299999999999997</v>
      </c>
      <c r="CT7" s="78">
        <f>IF(SUM(CP7,CS7)&gt;0,SUM(CP7,CS7),"")</f>
        <v>77.900000000000006</v>
      </c>
      <c r="CU7" s="79" t="str">
        <f>IF(K7&gt;=0.001,IF(MAX(DR7,ER7,FR7,GR7,HR7,IR7,JR7,KR7,LR7,MR7,NR7,OR7)-IF(K7="",0,K7)&gt;0.001,MAX(DR7,ER7,FR7,GR7,HR7,IR7,JR7,KR7,LR7,MR7,NR7,OR7)-IF(K7="",0,K7),""),"")</f>
        <v/>
      </c>
      <c r="CV7" s="79" t="str">
        <f>IF(M7&gt;=0.001,IF(MAX(DU7,EU7,FU7,GU7,HU7,IU7,JU7,KU7,LU7,MU7,NU7,OU7)-IF(M7="",0,M7)&gt;0.001,MAX(DU7,EU7,FU7,GU7,HU7,IU7,JU7,KU7,LU7,MU7,NU7,OU7)-IF(M7="",0,M7),""),"")</f>
        <v/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>IF(SUM(CX7,DB7)&gt;0,SUM(CX7,DB7),"")</f>
        <v/>
      </c>
      <c r="DR7" s="78" t="str">
        <f>IF(SUM(CW7:CX7,CZ7:DB7,DD7)-CY7-DC7&gt;0,SUM(CW7:CX7,CZ7:DB7,DD7)-CY7-DC7,"")</f>
        <v/>
      </c>
      <c r="DS7" s="78" t="str">
        <f>IF(SUM(DE7:DF7,DH7)-DG7&gt;0,SUM(DE7:DF7,DH7)-DG7,"")</f>
        <v/>
      </c>
      <c r="DT7" s="78" t="str">
        <f>IF(SUM(DJ7,DN7)&gt;0,SUM(DJ7,DN7),"")</f>
        <v/>
      </c>
      <c r="DU7" s="78" t="str">
        <f>IF(SUM(DI7:DJ7,DL7:DN7,DP7)-SUM(DK7,DO7)&gt;0,SUM(DI7:DJ7,DL7:DN7,DP7)-SUM(DK7,DO7),"")</f>
        <v/>
      </c>
      <c r="DV7" s="78" t="str">
        <f>IF(SUM(DR7,DU7)&gt;0,SUM(DR7,DU7),"")</f>
        <v/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>IF(SUM(DX7,EB7)&gt;0,SUM(DX7,EB7),"")</f>
        <v/>
      </c>
      <c r="ER7" s="19" t="str">
        <f>IF(SUM(DW7:DX7,DZ7:EB7,ED7)-DY7-EC7&gt;0,SUM(DW7:DX7,DZ7:EB7,ED7)-DY7-EC7,"")</f>
        <v/>
      </c>
      <c r="ES7" s="19" t="str">
        <f>IF(SUM(EE7:EF7,EH7)-EG7&gt;0,SUM(EE7:EF7,EH7)-EG7,"")</f>
        <v/>
      </c>
      <c r="ET7" s="19" t="str">
        <f>IF(SUM(EJ7,EN7)&gt;0,SUM(EJ7,EN7),"")</f>
        <v/>
      </c>
      <c r="EU7" s="19" t="str">
        <f>IF(SUM(EI7:EJ7,EL7:EN7,EP7)-SUM(EK7,EO7)&gt;0,SUM(EI7:EJ7,EL7:EN7,EP7)-SUM(EK7,EO7),"")</f>
        <v/>
      </c>
      <c r="EV7" s="19" t="str">
        <f>IF(SUM(ER7,EU7)&gt;0,SUM(ER7,EU7),"")</f>
        <v/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>IF(SUM(EX7,FB7)&gt;0,SUM(EX7,FB7),"")</f>
        <v/>
      </c>
      <c r="FR7" s="78" t="str">
        <f>IF(SUM(EW7:EX7,EZ7:FB7,FD7)-EY7-FC7&gt;0,SUM(EW7:EX7,EZ7:FB7,FD7)-EY7-FC7,"")</f>
        <v/>
      </c>
      <c r="FS7" s="78" t="str">
        <f>IF(SUM(FE7:FF7,FH7)-FG7&gt;0,SUM(FE7:FF7,FH7)-FG7,"")</f>
        <v/>
      </c>
      <c r="FT7" s="78" t="str">
        <f>IF(SUM(FJ7,FN7)&gt;0,SUM(FJ7,FN7),"")</f>
        <v/>
      </c>
      <c r="FU7" s="78" t="str">
        <f>IF(SUM(FI7:FJ7,FL7:FN7,FP7)-SUM(FK7,FO7)&gt;0,SUM(FI7:FJ7,FL7:FN7,FP7)-SUM(FK7,FO7),"")</f>
        <v/>
      </c>
      <c r="FV7" s="78" t="str">
        <f>IF(SUM(FR7,FU7)&gt;0,SUM(FR7,FU7),"")</f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>IF(SUM(FX7,GB7)&gt;0,SUM(FX7,GB7),"")</f>
        <v/>
      </c>
      <c r="GR7" s="19" t="str">
        <f>IF(SUM(FW7:FX7,FZ7:GB7,GD7)-FY7-GC7&gt;0,SUM(FW7:FX7,FZ7:GB7,GD7)-FY7-GC7,"")</f>
        <v/>
      </c>
      <c r="GS7" s="19" t="str">
        <f>IF(SUM(GE7:GF7,GH7)-GG7&gt;0,SUM(GE7:GF7,GH7)-GG7,"")</f>
        <v/>
      </c>
      <c r="GT7" s="19" t="str">
        <f>IF(SUM(GJ7,GN7)&gt;0,SUM(GJ7,GN7),"")</f>
        <v/>
      </c>
      <c r="GU7" s="19" t="str">
        <f>IF(SUM(GI7:GJ7,GL7:GN7,GP7)-SUM(GK7,GO7)&gt;0,SUM(GI7:GJ7,GL7:GN7,GP7)-SUM(GK7,GO7),"")</f>
        <v/>
      </c>
      <c r="GV7" s="19" t="str">
        <f>IF(SUM(GR7,GU7)&gt;0,SUM(GR7,GU7),"")</f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>IF(SUM(GX7,HB7)&gt;0,SUM(GX7,HB7),"")</f>
        <v/>
      </c>
      <c r="HR7" s="78" t="str">
        <f>IF(SUM(GW7:GX7,GZ7:HB7,HD7)-GY7-HC7&gt;0,SUM(GW7:GX7,GZ7:HB7,HD7)-GY7-HC7,"")</f>
        <v/>
      </c>
      <c r="HS7" s="78" t="str">
        <f>IF(SUM(HE7:HF7,HH7)-HG7&gt;0,SUM(HE7:HF7,HH7)-HG7,"")</f>
        <v/>
      </c>
      <c r="HT7" s="78" t="str">
        <f>IF(SUM(HJ7,HN7)&gt;0,SUM(HJ7,HN7),"")</f>
        <v/>
      </c>
      <c r="HU7" s="78" t="str">
        <f>IF(SUM(HI7:HJ7,HL7:HN7,HP7)-SUM(HK7,HO7)&gt;0,SUM(HI7:HJ7,HL7:HN7,HP7)-SUM(HK7,HO7),"")</f>
        <v/>
      </c>
      <c r="HV7" s="78" t="str">
        <f>IF(SUM(HR7,HU7)&gt;0,SUM(HR7,HU7),"")</f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>IF(SUM(HX7,IB7)&gt;0,SUM(HX7,IB7),"")</f>
        <v/>
      </c>
      <c r="IR7" s="19" t="str">
        <f>IF(SUM(HW7:HX7,HZ7:IB7,ID7)-HY7-IC7&gt;0,SUM(HW7:HX7,HZ7:IB7,ID7)-HY7-IC7,"")</f>
        <v/>
      </c>
      <c r="IS7" s="19" t="str">
        <f>IF(SUM(IE7:IF7,IH7)-IG7&gt;0,SUM(IE7:IF7,IH7)-IG7,"")</f>
        <v/>
      </c>
      <c r="IT7" s="19" t="str">
        <f>IF(SUM(IJ7,IN7)&gt;0,SUM(IJ7,IN7),"")</f>
        <v/>
      </c>
      <c r="IU7" s="19" t="str">
        <f>IF(SUM(II7:IJ7,IL7:IN7,IP7)-SUM(IK7,IO7)&gt;0,SUM(II7:IJ7,IL7:IN7,IP7)-SUM(IK7,IO7),"")</f>
        <v/>
      </c>
      <c r="IV7" s="19" t="str">
        <f>IF(SUM(IR7,IU7)&gt;0,SUM(IR7,IU7),"")</f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>IF(SUM(IX7,JB7)&gt;0,SUM(IX7,JB7),"")</f>
        <v/>
      </c>
      <c r="JR7" s="78" t="str">
        <f>IF(SUM(IW7:IX7,IZ7:JB7,JD7)-IY7-JC7&gt;0,SUM(IW7:IX7,IZ7:JB7,JD7)-IY7-JC7,"")</f>
        <v/>
      </c>
      <c r="JS7" s="78" t="str">
        <f>IF(SUM(JE7:JF7,JH7)-JG7&gt;0,SUM(JE7:JF7,JH7)-JG7,"")</f>
        <v/>
      </c>
      <c r="JT7" s="78" t="str">
        <f>IF(SUM(JJ7,JN7)&gt;0,SUM(JJ7,JN7),"")</f>
        <v/>
      </c>
      <c r="JU7" s="78" t="str">
        <f>IF(SUM(JI7:JJ7,JL7:JN7,JP7)-SUM(JK7,JO7)&gt;0,SUM(JI7:JJ7,JL7:JN7,JP7)-SUM(JK7,JO7),"")</f>
        <v/>
      </c>
      <c r="JV7" s="78" t="str">
        <f>IF(SUM(JR7,JU7)&gt;0,SUM(JR7,JU7),"")</f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>IF(SUM(JX7,KB7)&gt;0,SUM(JX7,KB7),"")</f>
        <v/>
      </c>
      <c r="KR7" s="19" t="str">
        <f>IF(SUM(JW7:JX7,JZ7:KB7,KD7)-JY7-KC7&gt;0,SUM(JW7:JX7,JZ7:KB7,KD7)-JY7-KC7,"")</f>
        <v/>
      </c>
      <c r="KS7" s="19" t="str">
        <f>IF(SUM(KE7:KF7,KH7)-KG7&gt;0,SUM(KE7:KF7,KH7)-KG7,"")</f>
        <v/>
      </c>
      <c r="KT7" s="19" t="str">
        <f>IF(SUM(KJ7,KN7)&gt;0,SUM(KJ7,KN7),"")</f>
        <v/>
      </c>
      <c r="KU7" s="19" t="str">
        <f>IF(SUM(KI7:KJ7,KL7:KN7,KP7)-SUM(KK7,KO7)&gt;0,SUM(KI7:KJ7,KL7:KN7,KP7)-SUM(KK7,KO7),"")</f>
        <v/>
      </c>
      <c r="KV7" s="19" t="str">
        <f>IF(SUM(KR7,KU7)&gt;0,SUM(KR7,KU7),"")</f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>IF(SUM(KX7,LB7)&gt;0,SUM(KX7,LB7),"")</f>
        <v/>
      </c>
      <c r="LR7" s="78" t="str">
        <f>IF(SUM(KW7:KX7,KZ7:LB7,LD7)-KY7-LC7&gt;0,SUM(KW7:KX7,KZ7:LB7,LD7)-KY7-LC7,"")</f>
        <v/>
      </c>
      <c r="LS7" s="78" t="str">
        <f>IF(SUM(LE7:LF7,LH7)-LG7&gt;0,SUM(LE7:LF7,LH7)-LG7,"")</f>
        <v/>
      </c>
      <c r="LT7" s="78" t="str">
        <f>IF(SUM(LJ7,LN7)&gt;0,SUM(LJ7,LN7),"")</f>
        <v/>
      </c>
      <c r="LU7" s="78" t="str">
        <f>IF(SUM(LI7:LJ7,LL7:LN7,LP7)-SUM(LK7,LO7)&gt;0,SUM(LI7:LJ7,LL7:LN7,LP7)-SUM(LK7,LO7),"")</f>
        <v/>
      </c>
      <c r="LV7" s="78" t="str">
        <f>IF(SUM(LR7,LU7)&gt;0,SUM(LR7,LU7),"")</f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>IF(SUM(LX7,MB7)&gt;0,SUM(LX7,MB7),"")</f>
        <v/>
      </c>
      <c r="MR7" s="19" t="str">
        <f>IF(SUM(LW7:LX7,LZ7:MB7,MD7)-LY7-MC7&gt;0,SUM(LW7:LX7,LZ7:MB7,MD7)-LY7-MC7,"")</f>
        <v/>
      </c>
      <c r="MS7" s="19" t="str">
        <f>IF(SUM(ME7:MF7,MH7)-MG7&gt;0,SUM(ME7:MF7,MH7)-MG7,"")</f>
        <v/>
      </c>
      <c r="MT7" s="19" t="str">
        <f>IF(SUM(MJ7,MN7)&gt;0,SUM(MJ7,MN7),"")</f>
        <v/>
      </c>
      <c r="MU7" s="19" t="str">
        <f>IF(SUM(MI7:MJ7,ML7:MN7,MP7)-SUM(MK7,MO7)&gt;0,SUM(MI7:MJ7,ML7:MN7,MP7)-SUM(MK7,MO7),"")</f>
        <v/>
      </c>
      <c r="MV7" s="19" t="str">
        <f>IF(SUM(MR7,MU7)&gt;0,SUM(MR7,MU7),"")</f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>IF(SUM(MX7,NB7)&gt;0,SUM(MX7,NB7),"")</f>
        <v/>
      </c>
      <c r="NR7" s="78" t="str">
        <f>IF(SUM(MW7:MX7,MZ7:NB7,ND7)-MY7-NC7&gt;0,SUM(MW7:MX7,MZ7:NB7,ND7)-MY7-NC7,"")</f>
        <v/>
      </c>
      <c r="NS7" s="78" t="str">
        <f>IF(SUM(NE7:NF7,NH7)-NG7&gt;0,SUM(NE7:NF7,NH7)-NG7,"")</f>
        <v/>
      </c>
      <c r="NT7" s="78" t="str">
        <f>IF(SUM(NJ7,NN7)&gt;0,SUM(NJ7,NN7),"")</f>
        <v/>
      </c>
      <c r="NU7" s="78" t="str">
        <f>IF(SUM(NI7:NJ7,NL7:NN7,NP7)-SUM(NK7,NO7)&gt;0,SUM(NI7:NJ7,NL7:NN7,NP7)-SUM(NK7,NO7),"")</f>
        <v/>
      </c>
      <c r="NV7" s="78" t="str">
        <f>IF(SUM(NR7,NU7)&gt;0,SUM(NR7,NU7),"")</f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>IF(SUM(NX7,OB7)&gt;0,SUM(NX7,OB7),"")</f>
        <v/>
      </c>
      <c r="OR7" s="19" t="str">
        <f>IF(SUM(NW7:NX7,NZ7:OB7,OD7)-NY7-OC7&gt;0,SUM(NW7:NX7,NZ7:OB7,OD7)-NY7-OC7,"")</f>
        <v/>
      </c>
      <c r="OS7" s="19" t="str">
        <f>IF(SUM(OE7:OF7,OH7)-OG7&gt;0,SUM(OE7:OF7,OH7)-OG7,"")</f>
        <v/>
      </c>
      <c r="OT7" s="19" t="str">
        <f>IF(SUM(OJ7,ON7)&gt;0,SUM(OJ7,ON7),"")</f>
        <v/>
      </c>
      <c r="OU7" s="19" t="str">
        <f>IF(SUM(OI7:OJ7,OL7:ON7,OP7)-SUM(OK7,OO7)&gt;0,SUM(OI7:OJ7,OL7:ON7,OP7)-SUM(OK7,OO7),"")</f>
        <v/>
      </c>
      <c r="OV7" s="19" t="str">
        <f>IF(SUM(OR7,OU7)&gt;0,SUM(OR7,OU7),"")</f>
        <v/>
      </c>
      <c r="OW7" s="37">
        <f>IF($CN7="P",BT7,(BT7+AS7)/2)</f>
        <v>16.899999999999999</v>
      </c>
      <c r="OX7" s="37">
        <f>IF($CN7="P",BU7,(BU7+AT7)/2)</f>
        <v>4.0999999999999996</v>
      </c>
      <c r="OY7" s="37">
        <f>IF($CN7="P",BV7,(BV7+AU7)/2)</f>
        <v>0</v>
      </c>
      <c r="OZ7" s="37">
        <f>IF($CN7="P",BW7,(BW7+AV7)/2)</f>
        <v>0.3</v>
      </c>
      <c r="PA7" s="37">
        <f>IF($CN7="P",BX7,(BX7+AW7)/2)</f>
        <v>16.649999999999999</v>
      </c>
      <c r="PB7" s="37">
        <f>IF($CN7="P",BY7,(BY7+AX7)/2)</f>
        <v>4.4499999999999993</v>
      </c>
      <c r="PC7" s="37">
        <f>IF($CN7="P",BZ7,(BZ7+AY7)/2)</f>
        <v>0</v>
      </c>
      <c r="PD7" s="37">
        <f>IF($CN7="P",CA7,(CA7+AZ7)/2)</f>
        <v>0.44999999999999996</v>
      </c>
      <c r="PE7" s="37">
        <f>IF($CN7="P",CB7,(CB7+BA7)/2)</f>
        <v>0</v>
      </c>
      <c r="PF7" s="37">
        <f>IF($CN7="P",CC7,(CC7+BB7)/2)</f>
        <v>0</v>
      </c>
      <c r="PG7" s="37">
        <f>IF($CN7="P",CD7,(CD7+BC7)/2)</f>
        <v>0</v>
      </c>
      <c r="PH7" s="37">
        <f>IF($CN7="P",CE7,(CE7+BD7)/2)</f>
        <v>0</v>
      </c>
      <c r="PI7" s="37">
        <f>IF($CN7="P",CF7,(CF7+BE7)/2)</f>
        <v>16.200000000000003</v>
      </c>
      <c r="PJ7" s="37">
        <f>IF($CN7="P",CG7,(CG7+BF7)/2)</f>
        <v>2.9</v>
      </c>
      <c r="PK7" s="37">
        <f>IF($CN7="P",CH7,(CH7+BG7)/2)</f>
        <v>0</v>
      </c>
      <c r="PL7" s="37">
        <f>IF($CN7="P",CI7,(CI7+BH7)/2)</f>
        <v>0.3</v>
      </c>
      <c r="PM7" s="37">
        <f>IF($CN7="P",CJ7,(CJ7+BI7)/2)</f>
        <v>15.899999999999999</v>
      </c>
      <c r="PN7" s="37">
        <f>IF($CN7="P",CK7,(CK7+BJ7)/2)</f>
        <v>1.9</v>
      </c>
      <c r="PO7" s="37">
        <f>IF($CN7="P",CL7,(CL7+BK7)/2)</f>
        <v>0</v>
      </c>
      <c r="PP7" s="37">
        <f>IF($CN7="P",CM7,(CM7+BL7)/2)</f>
        <v>0.3</v>
      </c>
      <c r="PQ7" s="44" t="s">
        <v>46</v>
      </c>
      <c r="PR7" s="78">
        <f>IF(SUM(OX7,PB7)&gt;0,SUM(OX7,PB7),"")</f>
        <v>8.5499999999999989</v>
      </c>
      <c r="PS7" s="78">
        <f>IF(SUM(OW7:OX7,OZ7:PB7,PD7)-OY7-PC7&gt;0,SUM(OW7:OX7,OZ7:PB7,PD7)-OY7-PC7,"")</f>
        <v>42.850000000000009</v>
      </c>
      <c r="PT7" s="78" t="str">
        <f>IF(SUM(PE7:PF7,PH7)-PG7&gt;0,SUM(PE7:PF7,PH7)-PG7,"")</f>
        <v/>
      </c>
      <c r="PU7" s="78">
        <f>IF(SUM(PJ7,PN7)&gt;0,SUM(PJ7,PN7),"")</f>
        <v>4.8</v>
      </c>
      <c r="PV7" s="78">
        <f>IF(SUM(PI7:PJ7,PL7:PN7,PP7)-SUM(PK7,PO7)&gt;0,SUM(PI7:PJ7,PL7:PN7,PP7)-SUM(PK7,PO7),"")</f>
        <v>37.499999999999993</v>
      </c>
      <c r="PW7" s="78">
        <f>IF(SUM(PS7,PV7)&gt;0,SUM(PS7,PV7),"")</f>
        <v>80.349999999999994</v>
      </c>
    </row>
    <row r="8" spans="1:439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77" t="s">
        <v>60</v>
      </c>
      <c r="C8" s="5" t="s">
        <v>3</v>
      </c>
      <c r="D8" s="5">
        <v>2003</v>
      </c>
      <c r="E8" s="15">
        <f>SUM(I8:O8)+SUM(I8:M8)*0.0000001+SUM(I8)*0.0000000000001</f>
        <v>124.00001229000397</v>
      </c>
      <c r="F8" s="3" t="str">
        <f>IF(OR(AND(AM8&gt;=AR$26,AN8&gt;=AR$30,AM8&lt;&gt;"",AL8=""),AND(AP8&gt;=AR$26,AQ8&gt;=AR$30,AP8&lt;&gt;"",AL8=""),AND(BN8&gt;=BS$26,BO8&gt;=BS$30,BN8&lt;&gt;"",BM8=""),AND(BQ8&gt;=BS$26,BR8&gt;=BS$30,BQ8&lt;&gt;"",BM8=""),AND(CO8&gt;=CT$26,CP8&gt;=CT$30,CO8&lt;&gt;"",CN8=""),AND(CR8&gt;=CT$26,CS8&gt;=CT$30,CR8&lt;&gt;""),AND(DQ8&gt;=DV$26,DR8&gt;=DV$30,DQ8&lt;&gt;""),AND(DT8&gt;=DV$26,DU8&gt;=DV$30,DT8&lt;&gt;""),AND(EQ8&gt;=EV$26,ER8&gt;=EV$30,EQ8&lt;&gt;""),AND(ET8&gt;=EV$26,EU8&gt;=EV$30,ET8&lt;&gt;""),AND(FQ8&gt;=FV$26,FR8&gt;=FV$30,FQ8&lt;&gt;""),AND(FT8&gt;=FV$26,FU8&gt;=FV$30,FT8&lt;&gt;""),AND(GQ8&gt;=GV$26,GR8&gt;=GV$30,GQ8&lt;&gt;""),AND(GT8&gt;=GV$26,GU8&gt;=GV$30,GT8&lt;&gt;""),AND(HQ8&gt;=HV$26,HR8&gt;=HV$30,HQ8&lt;&gt;""),AND(HT8&gt;=HV$26,HU8&gt;=HV$30,HT8&lt;&gt;""),AND(IQ8&gt;=IV$26,IR8&gt;=IV$30,IQ8&lt;&gt;""),AND(IT8&gt;=IV$26,IU8&gt;=IV$30,IT8&lt;&gt;""),AND(JQ8&gt;=JV$26,JR8&gt;=JV$30,JQ8&lt;&gt;""),AND(JT8&gt;=JV$26,JU8&gt;=JV$30,JT8&lt;&gt;""),AND(KQ8&gt;=KV$26,KR8&gt;=KV$30,KQ8&lt;&gt;""),AND(KT8&gt;=KV$26,KU8&gt;=KV$30,KT8&lt;&gt;""),AND(LQ8&gt;=LV$26,LR8&gt;=LV$30,LQ8&lt;&gt;""),AND(LT8&gt;=LV$26,LU8&gt;=LV$30,LT8&lt;&gt;""),AND(MQ8&gt;=MV$26,MR8&gt;=MV$30,MQ8&lt;&gt;""),AND(MT8&gt;=MV$26,MU8&gt;=MV$30,MT8&lt;&gt;""),AND(NQ8&gt;=NV$26,NR8&gt;=NV$30,NQ8&lt;&gt;""),AND(NT8&gt;=NV$26,NU8&gt;=NV$30,NT8&lt;&gt;""),AND(OQ8&gt;=OV$26,OR8&gt;=OV$30,OQ8&lt;&gt;""),AND(OT8&gt;=OV$26,OU8&gt;=OV$30,OT8&lt;&gt;"")),"P","")</f>
        <v>P</v>
      </c>
      <c r="G8" s="3" t="str">
        <f>IF(OR(AND(AN8&gt;=AR$30,AN8&lt;&gt;"",AL8=""),AND(AQ8&gt;=AR$30,AQ8&lt;&gt;"",AL8=""),AND(BO8&gt;=BS$30,BO8&lt;&gt;"",BM8=""),AND(BR8&gt;=BS$30,BR8&lt;&gt;"",BM8=""),AND(CP8&gt;=CT$30,CP8&lt;&gt;"",CN8=""),AND(CS8&gt;=CT$30,CS8&lt;&gt;"",CN8=""),AND(DR8&gt;=DV$30,DR8&lt;&gt;""),AND(DU8&gt;=DV$30,DU8&lt;&gt;""),AND(ER8&gt;=EV$30,ER8&lt;&gt;""),AND(EU8&gt;=EV$30,EU8&lt;&gt;""),AND(FR8&gt;=FV$30,FR8&lt;&gt;""),AND(FU8&gt;=FV$30,FU8&lt;&gt;""),AND(GR8&gt;=GV$30,GR8&lt;&gt;""),AND(GU8&gt;=GV$30,GU8&lt;&gt;""),AND(HR8&gt;=HV$30,HR8&lt;&gt;""),AND(HU8&gt;=HV$30,HU8&lt;&gt;""),AND(IR8&gt;=IV$30,IR8&lt;&gt;""),AND(IU8&gt;=IV$30,IU8&lt;&gt;""),AND(JR8&gt;=JV$30,JR8&lt;&gt;""),AND(JU8&gt;=JV$30,JU8&lt;&gt;""),AND(KR8&gt;=KV$30,KR8&lt;&gt;""),AND(KU8&gt;=KV$30,KU8&lt;&gt;""),AND(LR8&gt;=LV$30,LR8&lt;&gt;""),AND(LU8&gt;=LV$30,LU8&lt;&gt;""),AND(MR8&gt;=MV$30,MR8&lt;&gt;""),AND(MU8&gt;=MV$30,MU8&lt;&gt;""),AND(NR8&gt;=NV$30,NR8&lt;&gt;""),AND(NU8&gt;=NV$30,NU8&lt;&gt;""),AND(OR8&gt;=OV$30,OR8&lt;&gt;""),AND(OU8&gt;=OV$30,OU8&lt;&gt;"")),"P","")</f>
        <v>P</v>
      </c>
      <c r="H8" s="66" t="str">
        <f>IF(AND(G8="P",F8=""),"No DD",IF(OR(AND(AM8&gt;=AR$29,AN8&gt;=AR$33,AM8&lt;&gt;"",AL8=""),AND(AP8&gt;=AR$29,AQ8&gt;=AR$33,AP8&lt;&gt;"",AL8=""),AND(BN8&gt;=BS$29,BO8&gt;=BS$33,BN8&lt;&gt;"",BM8=""),AND(BQ8&gt;=BS$29,BR8&gt;=BS$33,BQ8&lt;&gt;"",BM8=""),AND(CO8&gt;=CT$29,CP8&gt;=CT$33,CO8&lt;&gt;"",CN8=""),AND(CR8&gt;=CT$29,CS8&gt;=CT$33,CR8&lt;&gt;""),AND(DQ8&gt;=DV$29,DR8&gt;=DV$33,DQ8&lt;&gt;""),AND(DT8&gt;=DV$29,DU8&gt;=DV$33,DT8&lt;&gt;""),AND(EQ8&gt;=EV$29,ER8&gt;=EV$33,EQ8&lt;&gt;""),AND(ET8&gt;=EV$29,EU8&gt;=EV$33,ET8&lt;&gt;""),AND(FQ8&gt;=FV$29,FR8&gt;=FV$33,FQ8&lt;&gt;""),AND(FT8&gt;=FV$29,FU8&gt;=FV$33,FT8&lt;&gt;""),AND(GQ8&gt;=GV$29,GR8&gt;=GV$33,GQ8&lt;&gt;""),AND(GT8&gt;=GV$29,GU8&gt;=GV$33,GT8&lt;&gt;""),AND(HQ8&gt;=HV$29,HR8&gt;=HV$33,HQ8&lt;&gt;""),AND(HT8&gt;=HV$29,HU8&gt;=HV$33,HT8&lt;&gt;""),AND(IQ8&gt;=IV$29,IR8&gt;=IV$33,IQ8&lt;&gt;""),AND(IT8&gt;=IV$29,IU8&gt;=IV$33,IT8&lt;&gt;""),AND(JQ8&gt;=JV$29,JR8&gt;=JV$33,JQ8&lt;&gt;""),AND(JT8&gt;=JV$29,JU8&gt;=JV$33,JT8&lt;&gt;""),AND(KQ8&gt;=KV$29,KR8&gt;=KV$33,KQ8&lt;&gt;""),AND(KT8&gt;=KV$29,KU8&gt;=KV$33,KT8&lt;&gt;""),AND(LQ8&gt;=LV$29,LR8&gt;=LV$33,LQ8&lt;&gt;""),AND(LT8&gt;=LV$29,LU8&gt;=LV$33,LT8&lt;&gt;""),AND(MQ8&gt;=MV$29,MR8&gt;=MV$33,MQ8&lt;&gt;""),AND(MT8&gt;=MV$29,MU8&gt;=MV$33,MT8&lt;&gt;""),AND(NQ8&gt;=NV$29,NR8&gt;=NV$33,NQ8&lt;&gt;""),AND(NT8&gt;=NV$29,NU8&gt;=NV$33,NT8&lt;&gt;""),AND(OQ8&gt;=OV$29,OR8&gt;=OV$33,OQ8&lt;&gt;""),AND(OT8&gt;=OV$29,OU8&gt;=OV$33,OT8&lt;&gt;"")),"Merit",IF(OR(AND(AM8&gt;=AR$28,AN8&gt;=AR$32,AM8&lt;&gt;"",AL8=""),AND(AP8&gt;=AR$28,AQ8&gt;=AR$32,AP8&lt;&gt;"",AL8=""),AND(BN8&gt;=BS$28,BO8&gt;=BS$32,BN8&lt;&gt;"",BM8=""),AND(BQ8&gt;=BS$28,BR8&gt;=BS$32,BQ8&lt;&gt;"",BM8=""),AND(CO8&gt;=CT$28,CP8&gt;=CT$32,CO8&lt;&gt;"",CN8=""),AND(CR8&gt;=CT$28,CS8&gt;=CT$32,CR8&lt;&gt;""),AND(DQ8&gt;=DV$28,DR8&gt;=DV$32,DQ8&lt;&gt;""),AND(DT8&gt;=DV$28,DU8&gt;=DV$32,DT8&lt;&gt;""),AND(EQ8&gt;=EV$28,ER8&gt;=EV$32,EQ8&lt;&gt;""),AND(ET8&gt;=EV$28,EU8&gt;=EV$32,ET8&lt;&gt;""),AND(FQ8&gt;=FV$28,FR8&gt;=FV$32,FQ8&lt;&gt;""),AND(FT8&gt;=FV$28,FU8&gt;=FV$32,FT8&lt;&gt;""),AND(GQ8&gt;=GV$28,GR8&gt;=GV$32,GQ8&lt;&gt;""),AND(GT8&gt;=GV$28,GU8&gt;=GV$32,GT8&lt;&gt;""),AND(HQ8&gt;=HV$28,HR8&gt;=HV$32,HQ8&lt;&gt;""),AND(HT8&gt;=HV$28,HU8&gt;=HV$32,HT8&lt;&gt;""),AND(IQ8&gt;=IV$28,IR8&gt;=IV$32,IQ8&lt;&gt;""),AND(IT8&gt;=IV$28,IU8&gt;=IV$32,IT8&lt;&gt;""),AND(JQ8&gt;=JV$28,JR8&gt;=JV$32,JQ8&lt;&gt;""),AND(JT8&gt;=JV$28,JU8&gt;=JV$32,JT8&lt;&gt;""),AND(KQ8&gt;=KV$28,KR8&gt;=KV$32,KQ8&lt;&gt;""),AND(KT8&gt;=KV$28,KU8&gt;=KV$32,KT8&lt;&gt;""),AND(LQ8&gt;=LV$28,LR8&gt;=LV$32,LQ8&lt;&gt;""),AND(LT8&gt;=LV$28,LU8&gt;=LV$32,LT8&lt;&gt;""),AND(MQ8&gt;=MV$28,MR8&gt;=MV$32,MQ8&lt;&gt;""),AND(MT8&gt;=MV$28,MU8&gt;=MV$32,MT8&lt;&gt;""),AND(NQ8&gt;=NV$28,NR8&gt;=NV$32,NQ8&lt;&gt;""),AND(NT8&gt;=NV$28,NU8&gt;=NV$32,NT8&lt;&gt;""),AND(OQ8&gt;=OV$28,OR8&gt;=OV$32,OQ8&lt;&gt;""),AND(OT8&gt;=OV$28,OU8&gt;=OV$32,OT8&lt;&gt;"")),"Excellence",IF(F8="P","National Team",""))))</f>
        <v>National Team</v>
      </c>
      <c r="I8" s="14">
        <f>IF(COUNT(AN8,BO8,CP8)&gt;0,LARGE((AN8,BO8,CP8),1),0)</f>
        <v>39.599999999999994</v>
      </c>
      <c r="J8" s="14" t="str">
        <f>IF(I8=0,"",IF(I8=CP8,$BT$1,IF(I8=BO8,$AS$1,IF(I8=AN8,$R$1,""))))</f>
        <v>2022 Nationals</v>
      </c>
      <c r="K8" s="14">
        <f>IF(COUNT(AN8,BO8,CP8)&gt;1,LARGE((AN8,BO8,CP8),2),0)</f>
        <v>38.9</v>
      </c>
      <c r="L8" s="14" t="str">
        <f>IF(K8=0,"",IF(K8=CP8,$BT$1,IF(K8=BO8,$AS$1,IF(K8=AN8,$R$1,""))))</f>
        <v>2022 Elite Canada</v>
      </c>
      <c r="M8" s="14">
        <f>IF(MAX(AQ8,BR8,CS8)&gt;0,MAX(AQ8,BR8,CS8),0)</f>
        <v>44.4</v>
      </c>
      <c r="N8" s="14" t="str">
        <f>IF(M8=0,"",IF(M8=CS8,$BT$1,IF(M8=BR8,$AS$1,IF(M8=AQ8,$R$1,""))))</f>
        <v>2022 Nationals</v>
      </c>
      <c r="O8" s="14">
        <f>IF(MAX(CU8:CV8)&gt;0,MAX(CU8:CV8),"")</f>
        <v>1.1000000000000014</v>
      </c>
      <c r="P8" s="19" t="str">
        <f>IF(O8="","",IF(O8=CU8,"("&amp;CU$2&amp;")",IF(O8=CV8,"("&amp;CV$2&amp;")")))</f>
        <v>(Q1)</v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>2022 World Games (July 16)</v>
      </c>
      <c r="R8" s="26">
        <v>16.600000000000001</v>
      </c>
      <c r="S8" s="26">
        <v>3.9</v>
      </c>
      <c r="T8" s="26">
        <v>0</v>
      </c>
      <c r="U8" s="26">
        <v>0.3</v>
      </c>
      <c r="V8" s="26">
        <v>15.9</v>
      </c>
      <c r="W8" s="26">
        <v>1.9</v>
      </c>
      <c r="X8" s="26">
        <v>0</v>
      </c>
      <c r="Y8" s="26">
        <v>0.3</v>
      </c>
      <c r="Z8" s="26"/>
      <c r="AA8" s="26"/>
      <c r="AB8" s="26"/>
      <c r="AC8" s="26"/>
      <c r="AD8" s="26">
        <v>15.1</v>
      </c>
      <c r="AE8" s="26">
        <v>4.0999999999999996</v>
      </c>
      <c r="AF8" s="26">
        <v>0.2</v>
      </c>
      <c r="AG8" s="26">
        <v>0.3</v>
      </c>
      <c r="AH8" s="26">
        <v>16.46</v>
      </c>
      <c r="AI8" s="26">
        <v>4.5</v>
      </c>
      <c r="AJ8" s="26">
        <v>0</v>
      </c>
      <c r="AK8" s="26">
        <v>0.3</v>
      </c>
      <c r="AL8" s="44"/>
      <c r="AM8" s="78">
        <f>IF(SUM(S8,W8)&gt;0,SUM(S8,W8),"")</f>
        <v>5.8</v>
      </c>
      <c r="AN8" s="78">
        <f>IF(SUM(R8:S8,U8:W8,Y8)-T8-X8&gt;0,SUM(R8:S8,U8:W8,Y8)-T8-X8,"")</f>
        <v>38.9</v>
      </c>
      <c r="AO8" s="78" t="str">
        <f>IF(SUM(Z8:AA8,AC8)-AB8&gt;0,SUM(Z8:AA8,AC8)-AB8,"")</f>
        <v/>
      </c>
      <c r="AP8" s="78">
        <f>IF(SUM(AE8,AI8)&gt;0,SUM(AE8,AI8),"")</f>
        <v>8.6</v>
      </c>
      <c r="AQ8" s="78">
        <f>IF(SUM(AD8:AE8,AG8:AI8,AK8)-SUM(AF8,AJ8)&gt;0,SUM(AD8:AE8,AG8:AI8,AK8)-SUM(AF8,AJ8),"")</f>
        <v>40.559999999999995</v>
      </c>
      <c r="AR8" s="78">
        <f>IF(SUM(AN8,AQ8)&gt;0,SUM(AN8,AQ8),"")</f>
        <v>79.459999999999994</v>
      </c>
      <c r="AS8" s="25">
        <v>16.8</v>
      </c>
      <c r="AT8" s="25">
        <v>3.9</v>
      </c>
      <c r="AU8" s="25">
        <v>0</v>
      </c>
      <c r="AV8" s="25">
        <v>0.3</v>
      </c>
      <c r="AW8" s="25">
        <v>16.399999999999999</v>
      </c>
      <c r="AX8" s="25">
        <v>1.9</v>
      </c>
      <c r="AY8" s="25">
        <v>0</v>
      </c>
      <c r="AZ8" s="25">
        <v>0.3</v>
      </c>
      <c r="BA8" s="25"/>
      <c r="BB8" s="25"/>
      <c r="BC8" s="25"/>
      <c r="BD8" s="25"/>
      <c r="BE8" s="25">
        <v>17.399999999999999</v>
      </c>
      <c r="BF8" s="25">
        <v>4.3</v>
      </c>
      <c r="BG8" s="25">
        <v>0.2</v>
      </c>
      <c r="BH8" s="25">
        <v>0.3</v>
      </c>
      <c r="BI8" s="25">
        <v>17</v>
      </c>
      <c r="BJ8" s="25">
        <v>5</v>
      </c>
      <c r="BK8" s="25">
        <v>0</v>
      </c>
      <c r="BL8" s="25">
        <v>0.6</v>
      </c>
      <c r="BM8" s="45"/>
      <c r="BN8" s="19">
        <f>IF(SUM(AT8,AX8)&gt;0,SUM(AT8,AX8),"")</f>
        <v>5.8</v>
      </c>
      <c r="BO8" s="19">
        <f>IF(SUM(AS8:AT8,AV8:AX8,AZ8)-AU8-AY8&gt;0,SUM(AS8:AT8,AV8:AX8,AZ8)-AU8-AY8,"")</f>
        <v>39.599999999999994</v>
      </c>
      <c r="BP8" s="19" t="str">
        <f>IF(SUM(BA8:BB8,BD8)-BC8&gt;0,SUM(BA8:BB8,BD8)-BC8,"")</f>
        <v/>
      </c>
      <c r="BQ8" s="19">
        <f>IF(SUM(BF8,BJ8)&gt;0,SUM(BF8,BJ8),"")</f>
        <v>9.3000000000000007</v>
      </c>
      <c r="BR8" s="19">
        <f>IF(SUM(BE8:BF8,BH8:BJ8,BL8)-SUM(BG8,BK8)&gt;0,SUM(BE8:BF8,BH8:BJ8,BL8)-SUM(BG8,BK8),"")</f>
        <v>44.4</v>
      </c>
      <c r="BS8" s="19">
        <f>IF(SUM(BO8,BR8)&gt;0,SUM(BO8,BR8),"")</f>
        <v>84</v>
      </c>
      <c r="BT8" s="26">
        <v>16.8</v>
      </c>
      <c r="BU8" s="26">
        <v>4.0999999999999996</v>
      </c>
      <c r="BV8" s="26">
        <v>0</v>
      </c>
      <c r="BW8" s="26">
        <v>0.3</v>
      </c>
      <c r="BX8" s="26">
        <v>16.100000000000001</v>
      </c>
      <c r="BY8" s="26">
        <v>3.1</v>
      </c>
      <c r="BZ8" s="26">
        <v>4.7</v>
      </c>
      <c r="CA8" s="26">
        <v>0.6</v>
      </c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>
        <f>IF(SUM(BU8,BY8)&gt;0,SUM(BU8,BY8),"")</f>
        <v>7.1999999999999993</v>
      </c>
      <c r="CP8" s="78">
        <f>IF(SUM(BT8:BU8,BW8:BY8,CA8)-BV8-BZ8&gt;0,SUM(BT8:BU8,BW8:BY8,CA8)-BV8-BZ8,"")</f>
        <v>36.299999999999997</v>
      </c>
      <c r="CQ8" s="78" t="str">
        <f>IF(SUM(CB8:CC8,CE8)-CD8&gt;0,SUM(CB8:CC8,CE8)-CD8,"")</f>
        <v/>
      </c>
      <c r="CR8" s="78" t="str">
        <f>IF(SUM(CG8,CK8)&gt;0,SUM(CG8,CK8),"")</f>
        <v/>
      </c>
      <c r="CS8" s="78" t="str">
        <f>IF(SUM(CF8:CG8,CI8:CK8,CM8)-SUM(CH8,CL8)&gt;0,SUM(CF8:CG8,CI8:CK8,CM8)-SUM(CH8,CL8),"")</f>
        <v/>
      </c>
      <c r="CT8" s="78">
        <f>IF(SUM(CP8,CS8)&gt;0,SUM(CP8,CS8),"")</f>
        <v>36.299999999999997</v>
      </c>
      <c r="CU8" s="79">
        <f>IF(K8&gt;=0.001,IF(MAX(DR8,ER8,FR8,GR8,HR8,IR8,JR8,KR8,LR8,MR8,NR8,OR8)-IF(K8="",0,K8)&gt;0.001,MAX(DR8,ER8,FR8,GR8,HR8,IR8,JR8,KR8,LR8,MR8,NR8,OR8)-IF(K8="",0,K8),""),"")</f>
        <v>1.1000000000000014</v>
      </c>
      <c r="CV8" s="79" t="str">
        <f>IF(M8&gt;=0.001,IF(MAX(DU8,EU8,FU8,GU8,HU8,IU8,JU8,KU8,LU8,MU8,NU8,OU8)-IF(M8="",0,M8)&gt;0.001,MAX(DU8,EU8,FU8,GU8,HU8,IU8,JU8,KU8,LU8,MU8,NU8,OU8)-IF(M8="",0,M8),""),"")</f>
        <v/>
      </c>
      <c r="CW8" s="24">
        <v>9.8000000000000007</v>
      </c>
      <c r="CX8" s="24">
        <v>1.4</v>
      </c>
      <c r="CY8" s="24">
        <v>0</v>
      </c>
      <c r="CZ8" s="24">
        <v>0.3</v>
      </c>
      <c r="DA8" s="24">
        <v>15.4</v>
      </c>
      <c r="DB8" s="24">
        <v>1.9</v>
      </c>
      <c r="DC8" s="24">
        <v>0</v>
      </c>
      <c r="DD8" s="24">
        <v>0.3</v>
      </c>
      <c r="DE8" s="24"/>
      <c r="DF8" s="24"/>
      <c r="DG8" s="24"/>
      <c r="DH8" s="24"/>
      <c r="DI8" s="24">
        <v>16.2</v>
      </c>
      <c r="DJ8" s="24">
        <v>1.7</v>
      </c>
      <c r="DK8" s="24">
        <v>1.9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78">
        <f>IF(SUM(CX8,DB8)&gt;0,SUM(CX8,DB8),"")</f>
        <v>3.3</v>
      </c>
      <c r="DR8" s="78">
        <f>IF(SUM(CW8:CX8,CZ8:DB8,DD8)-CY8-DC8&gt;0,SUM(CW8:CX8,CZ8:DB8,DD8)-CY8-DC8,"")</f>
        <v>29.1</v>
      </c>
      <c r="DS8" s="78" t="str">
        <f>IF(SUM(DE8:DF8,DH8)-DG8&gt;0,SUM(DE8:DF8,DH8)-DG8,"")</f>
        <v/>
      </c>
      <c r="DT8" s="78">
        <f>IF(SUM(DJ8,DN8)&gt;0,SUM(DJ8,DN8),"")</f>
        <v>1.7</v>
      </c>
      <c r="DU8" s="78">
        <f>IF(SUM(DI8:DJ8,DL8:DN8,DP8)-SUM(DK8,DO8)&gt;0,SUM(DI8:DJ8,DL8:DN8,DP8)-SUM(DK8,DO8),"")</f>
        <v>15.999999999999998</v>
      </c>
      <c r="DV8" s="78">
        <f>IF(SUM(DR8,DU8)&gt;0,SUM(DR8,DU8),"")</f>
        <v>45.1</v>
      </c>
      <c r="DW8" s="25">
        <v>16.2</v>
      </c>
      <c r="DX8" s="25">
        <v>1.2</v>
      </c>
      <c r="DY8" s="25">
        <v>0</v>
      </c>
      <c r="DZ8" s="25">
        <v>0</v>
      </c>
      <c r="EA8" s="25">
        <v>16.3</v>
      </c>
      <c r="EB8" s="25">
        <v>3.9</v>
      </c>
      <c r="EC8" s="25">
        <v>0.2</v>
      </c>
      <c r="ED8" s="25">
        <v>0.3</v>
      </c>
      <c r="EE8" s="25"/>
      <c r="EF8" s="25"/>
      <c r="EG8" s="25"/>
      <c r="EH8" s="25"/>
      <c r="EI8" s="25">
        <v>17.5</v>
      </c>
      <c r="EJ8" s="25">
        <v>3.6</v>
      </c>
      <c r="EK8" s="25">
        <v>0</v>
      </c>
      <c r="EL8" s="25">
        <v>0</v>
      </c>
      <c r="EM8" s="25">
        <v>17</v>
      </c>
      <c r="EN8" s="25">
        <v>4.3</v>
      </c>
      <c r="EO8" s="25">
        <v>0</v>
      </c>
      <c r="EP8" s="25">
        <v>0.3</v>
      </c>
      <c r="EQ8" s="19">
        <f>IF(SUM(DX8,EB8)&gt;0,SUM(DX8,EB8),"")</f>
        <v>5.0999999999999996</v>
      </c>
      <c r="ER8" s="19">
        <f>IF(SUM(DW8:DX8,DZ8:EB8,ED8)-DY8-EC8&gt;0,SUM(DW8:DX8,DZ8:EB8,ED8)-DY8-EC8,"")</f>
        <v>37.699999999999996</v>
      </c>
      <c r="ES8" s="19" t="str">
        <f>IF(SUM(EE8:EF8,EH8)-EG8&gt;0,SUM(EE8:EF8,EH8)-EG8,"")</f>
        <v/>
      </c>
      <c r="ET8" s="19">
        <f>IF(SUM(EJ8,EN8)&gt;0,SUM(EJ8,EN8),"")</f>
        <v>7.9</v>
      </c>
      <c r="EU8" s="19">
        <f>IF(SUM(EI8:EJ8,EL8:EN8,EP8)-SUM(EK8,EO8)&gt;0,SUM(EI8:EJ8,EL8:EN8,EP8)-SUM(EK8,EO8),"")</f>
        <v>42.699999999999996</v>
      </c>
      <c r="EV8" s="19">
        <f>IF(SUM(ER8,EU8)&gt;0,SUM(ER8,EU8),"")</f>
        <v>80.399999999999991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>IF(SUM(EX8,FB8)&gt;0,SUM(EX8,FB8),"")</f>
        <v/>
      </c>
      <c r="FR8" s="78" t="str">
        <f>IF(SUM(EW8:EX8,EZ8:FB8,FD8)-EY8-FC8&gt;0,SUM(EW8:EX8,EZ8:FB8,FD8)-EY8-FC8,"")</f>
        <v/>
      </c>
      <c r="FS8" s="78" t="str">
        <f>IF(SUM(FE8:FF8,FH8)-FG8&gt;0,SUM(FE8:FF8,FH8)-FG8,"")</f>
        <v/>
      </c>
      <c r="FT8" s="78" t="str">
        <f>IF(SUM(FJ8,FN8)&gt;0,SUM(FJ8,FN8),"")</f>
        <v/>
      </c>
      <c r="FU8" s="78" t="str">
        <f>IF(SUM(FI8:FJ8,FL8:FN8,FP8)-SUM(FK8,FO8)&gt;0,SUM(FI8:FJ8,FL8:FN8,FP8)-SUM(FK8,FO8),"")</f>
        <v/>
      </c>
      <c r="FV8" s="78" t="str">
        <f>IF(SUM(FR8,FU8)&gt;0,SUM(FR8,FU8),"")</f>
        <v/>
      </c>
      <c r="FW8" s="25">
        <v>17.5</v>
      </c>
      <c r="FX8" s="25">
        <v>4.3</v>
      </c>
      <c r="FY8" s="25">
        <v>0</v>
      </c>
      <c r="FZ8" s="25">
        <v>0</v>
      </c>
      <c r="GA8" s="25">
        <v>15.6</v>
      </c>
      <c r="GB8" s="25">
        <v>2.6</v>
      </c>
      <c r="GC8" s="25">
        <v>0</v>
      </c>
      <c r="GD8" s="25">
        <v>0</v>
      </c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>
        <f>IF(SUM(FX8,GB8)&gt;0,SUM(FX8,GB8),"")</f>
        <v>6.9</v>
      </c>
      <c r="GR8" s="19">
        <f>IF(SUM(FW8:FX8,FZ8:GB8,GD8)-FY8-GC8&gt;0,SUM(FW8:FX8,FZ8:GB8,GD8)-FY8-GC8,"")</f>
        <v>40</v>
      </c>
      <c r="GS8" s="19" t="str">
        <f>IF(SUM(GE8:GF8,GH8)-GG8&gt;0,SUM(GE8:GF8,GH8)-GG8,"")</f>
        <v/>
      </c>
      <c r="GT8" s="19" t="str">
        <f>IF(SUM(GJ8,GN8)&gt;0,SUM(GJ8,GN8),"")</f>
        <v/>
      </c>
      <c r="GU8" s="19" t="str">
        <f>IF(SUM(GI8:GJ8,GL8:GN8,GP8)-SUM(GK8,GO8)&gt;0,SUM(GI8:GJ8,GL8:GN8,GP8)-SUM(GK8,GO8),"")</f>
        <v/>
      </c>
      <c r="GV8" s="19">
        <f>IF(SUM(GR8,GU8)&gt;0,SUM(GR8,GU8),"")</f>
        <v>40</v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>IF(SUM(GX8,HB8)&gt;0,SUM(GX8,HB8),"")</f>
        <v/>
      </c>
      <c r="HR8" s="78" t="str">
        <f>IF(SUM(GW8:GX8,GZ8:HB8,HD8)-GY8-HC8&gt;0,SUM(GW8:GX8,GZ8:HB8,HD8)-GY8-HC8,"")</f>
        <v/>
      </c>
      <c r="HS8" s="78" t="str">
        <f>IF(SUM(HE8:HF8,HH8)-HG8&gt;0,SUM(HE8:HF8,HH8)-HG8,"")</f>
        <v/>
      </c>
      <c r="HT8" s="78" t="str">
        <f>IF(SUM(HJ8,HN8)&gt;0,SUM(HJ8,HN8),"")</f>
        <v/>
      </c>
      <c r="HU8" s="78" t="str">
        <f>IF(SUM(HI8:HJ8,HL8:HN8,HP8)-SUM(HK8,HO8)&gt;0,SUM(HI8:HJ8,HL8:HN8,HP8)-SUM(HK8,HO8),"")</f>
        <v/>
      </c>
      <c r="HV8" s="78" t="str">
        <f>IF(SUM(HR8,HU8)&gt;0,SUM(HR8,HU8),"")</f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>IF(SUM(HX8,IB8)&gt;0,SUM(HX8,IB8),"")</f>
        <v/>
      </c>
      <c r="IR8" s="19" t="str">
        <f>IF(SUM(HW8:HX8,HZ8:IB8,ID8)-HY8-IC8&gt;0,SUM(HW8:HX8,HZ8:IB8,ID8)-HY8-IC8,"")</f>
        <v/>
      </c>
      <c r="IS8" s="19" t="str">
        <f>IF(SUM(IE8:IF8,IH8)-IG8&gt;0,SUM(IE8:IF8,IH8)-IG8,"")</f>
        <v/>
      </c>
      <c r="IT8" s="19" t="str">
        <f>IF(SUM(IJ8,IN8)&gt;0,SUM(IJ8,IN8),"")</f>
        <v/>
      </c>
      <c r="IU8" s="19" t="str">
        <f>IF(SUM(II8:IJ8,IL8:IN8,IP8)-SUM(IK8,IO8)&gt;0,SUM(II8:IJ8,IL8:IN8,IP8)-SUM(IK8,IO8),"")</f>
        <v/>
      </c>
      <c r="IV8" s="19" t="str">
        <f>IF(SUM(IR8,IU8)&gt;0,SUM(IR8,IU8),"")</f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>IF(SUM(IX8,JB8)&gt;0,SUM(IX8,JB8),"")</f>
        <v/>
      </c>
      <c r="JR8" s="78" t="str">
        <f>IF(SUM(IW8:IX8,IZ8:JB8,JD8)-IY8-JC8&gt;0,SUM(IW8:IX8,IZ8:JB8,JD8)-IY8-JC8,"")</f>
        <v/>
      </c>
      <c r="JS8" s="78" t="str">
        <f>IF(SUM(JE8:JF8,JH8)-JG8&gt;0,SUM(JE8:JF8,JH8)-JG8,"")</f>
        <v/>
      </c>
      <c r="JT8" s="78" t="str">
        <f>IF(SUM(JJ8,JN8)&gt;0,SUM(JJ8,JN8),"")</f>
        <v/>
      </c>
      <c r="JU8" s="78" t="str">
        <f>IF(SUM(JI8:JJ8,JL8:JN8,JP8)-SUM(JK8,JO8)&gt;0,SUM(JI8:JJ8,JL8:JN8,JP8)-SUM(JK8,JO8),"")</f>
        <v/>
      </c>
      <c r="JV8" s="78" t="str">
        <f>IF(SUM(JR8,JU8)&gt;0,SUM(JR8,JU8),"")</f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>IF(SUM(JX8,KB8)&gt;0,SUM(JX8,KB8),"")</f>
        <v/>
      </c>
      <c r="KR8" s="19" t="str">
        <f>IF(SUM(JW8:JX8,JZ8:KB8,KD8)-JY8-KC8&gt;0,SUM(JW8:JX8,JZ8:KB8,KD8)-JY8-KC8,"")</f>
        <v/>
      </c>
      <c r="KS8" s="19" t="str">
        <f>IF(SUM(KE8:KF8,KH8)-KG8&gt;0,SUM(KE8:KF8,KH8)-KG8,"")</f>
        <v/>
      </c>
      <c r="KT8" s="19" t="str">
        <f>IF(SUM(KJ8,KN8)&gt;0,SUM(KJ8,KN8),"")</f>
        <v/>
      </c>
      <c r="KU8" s="19" t="str">
        <f>IF(SUM(KI8:KJ8,KL8:KN8,KP8)-SUM(KK8,KO8)&gt;0,SUM(KI8:KJ8,KL8:KN8,KP8)-SUM(KK8,KO8),"")</f>
        <v/>
      </c>
      <c r="KV8" s="19" t="str">
        <f>IF(SUM(KR8,KU8)&gt;0,SUM(KR8,KU8),"")</f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>IF(SUM(KX8,LB8)&gt;0,SUM(KX8,LB8),"")</f>
        <v/>
      </c>
      <c r="LR8" s="78" t="str">
        <f>IF(SUM(KW8:KX8,KZ8:LB8,LD8)-KY8-LC8&gt;0,SUM(KW8:KX8,KZ8:LB8,LD8)-KY8-LC8,"")</f>
        <v/>
      </c>
      <c r="LS8" s="78" t="str">
        <f>IF(SUM(LE8:LF8,LH8)-LG8&gt;0,SUM(LE8:LF8,LH8)-LG8,"")</f>
        <v/>
      </c>
      <c r="LT8" s="78" t="str">
        <f>IF(SUM(LJ8,LN8)&gt;0,SUM(LJ8,LN8),"")</f>
        <v/>
      </c>
      <c r="LU8" s="78" t="str">
        <f>IF(SUM(LI8:LJ8,LL8:LN8,LP8)-SUM(LK8,LO8)&gt;0,SUM(LI8:LJ8,LL8:LN8,LP8)-SUM(LK8,LO8),"")</f>
        <v/>
      </c>
      <c r="LV8" s="78" t="str">
        <f>IF(SUM(LR8,LU8)&gt;0,SUM(LR8,LU8),"")</f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>IF(SUM(LX8,MB8)&gt;0,SUM(LX8,MB8),"")</f>
        <v/>
      </c>
      <c r="MR8" s="19" t="str">
        <f>IF(SUM(LW8:LX8,LZ8:MB8,MD8)-LY8-MC8&gt;0,SUM(LW8:LX8,LZ8:MB8,MD8)-LY8-MC8,"")</f>
        <v/>
      </c>
      <c r="MS8" s="19" t="str">
        <f>IF(SUM(ME8:MF8,MH8)-MG8&gt;0,SUM(ME8:MF8,MH8)-MG8,"")</f>
        <v/>
      </c>
      <c r="MT8" s="19" t="str">
        <f>IF(SUM(MJ8,MN8)&gt;0,SUM(MJ8,MN8),"")</f>
        <v/>
      </c>
      <c r="MU8" s="19" t="str">
        <f>IF(SUM(MI8:MJ8,ML8:MN8,MP8)-SUM(MK8,MO8)&gt;0,SUM(MI8:MJ8,ML8:MN8,MP8)-SUM(MK8,MO8),"")</f>
        <v/>
      </c>
      <c r="MV8" s="19" t="str">
        <f>IF(SUM(MR8,MU8)&gt;0,SUM(MR8,MU8),"")</f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>IF(SUM(MX8,NB8)&gt;0,SUM(MX8,NB8),"")</f>
        <v/>
      </c>
      <c r="NR8" s="78" t="str">
        <f>IF(SUM(MW8:MX8,MZ8:NB8,ND8)-MY8-NC8&gt;0,SUM(MW8:MX8,MZ8:NB8,ND8)-MY8-NC8,"")</f>
        <v/>
      </c>
      <c r="NS8" s="78" t="str">
        <f>IF(SUM(NE8:NF8,NH8)-NG8&gt;0,SUM(NE8:NF8,NH8)-NG8,"")</f>
        <v/>
      </c>
      <c r="NT8" s="78" t="str">
        <f>IF(SUM(NJ8,NN8)&gt;0,SUM(NJ8,NN8),"")</f>
        <v/>
      </c>
      <c r="NU8" s="78" t="str">
        <f>IF(SUM(NI8:NJ8,NL8:NN8,NP8)-SUM(NK8,NO8)&gt;0,SUM(NI8:NJ8,NL8:NN8,NP8)-SUM(NK8,NO8),"")</f>
        <v/>
      </c>
      <c r="NV8" s="78" t="str">
        <f>IF(SUM(NR8,NU8)&gt;0,SUM(NR8,NU8),"")</f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>IF(SUM(NX8,OB8)&gt;0,SUM(NX8,OB8),"")</f>
        <v/>
      </c>
      <c r="OR8" s="19" t="str">
        <f>IF(SUM(NW8:NX8,NZ8:OB8,OD8)-NY8-OC8&gt;0,SUM(NW8:NX8,NZ8:OB8,OD8)-NY8-OC8,"")</f>
        <v/>
      </c>
      <c r="OS8" s="19" t="str">
        <f>IF(SUM(OE8:OF8,OH8)-OG8&gt;0,SUM(OE8:OF8,OH8)-OG8,"")</f>
        <v/>
      </c>
      <c r="OT8" s="19" t="str">
        <f>IF(SUM(OJ8,ON8)&gt;0,SUM(OJ8,ON8),"")</f>
        <v/>
      </c>
      <c r="OU8" s="19" t="str">
        <f>IF(SUM(OI8:OJ8,OL8:ON8,OP8)-SUM(OK8,OO8)&gt;0,SUM(OI8:OJ8,OL8:ON8,OP8)-SUM(OK8,OO8),"")</f>
        <v/>
      </c>
      <c r="OV8" s="19" t="str">
        <f>IF(SUM(OR8,OU8)&gt;0,SUM(OR8,OU8),"")</f>
        <v/>
      </c>
      <c r="OW8" s="37">
        <f>IF($CN8="P",BT8,(BT8+AS8)/2)</f>
        <v>16.8</v>
      </c>
      <c r="OX8" s="37">
        <f>IF($CN8="P",BU8,(BU8+AT8)/2)</f>
        <v>4</v>
      </c>
      <c r="OY8" s="37">
        <f>IF($CN8="P",BV8,(BV8+AU8)/2)</f>
        <v>0</v>
      </c>
      <c r="OZ8" s="37">
        <f>IF($CN8="P",BW8,(BW8+AV8)/2)</f>
        <v>0.3</v>
      </c>
      <c r="PA8" s="37">
        <f>IF($CN8="P",BX8,(BX8+AW8)/2)</f>
        <v>16.25</v>
      </c>
      <c r="PB8" s="37">
        <f>IF($CN8="P",BY8,(BY8+AX8)/2)</f>
        <v>2.5</v>
      </c>
      <c r="PC8" s="37">
        <f>IF($CN8="P",BZ8,(BZ8+AY8)/2)</f>
        <v>2.35</v>
      </c>
      <c r="PD8" s="37">
        <f>IF($CN8="P",CA8,(CA8+AZ8)/2)</f>
        <v>0.44999999999999996</v>
      </c>
      <c r="PE8" s="37">
        <f>IF($CN8="P",CB8,(CB8+BA8)/2)</f>
        <v>0</v>
      </c>
      <c r="PF8" s="37">
        <f>IF($CN8="P",CC8,(CC8+BB8)/2)</f>
        <v>0</v>
      </c>
      <c r="PG8" s="37">
        <f>IF($CN8="P",CD8,(CD8+BC8)/2)</f>
        <v>0</v>
      </c>
      <c r="PH8" s="37">
        <f>IF($CN8="P",CE8,(CE8+BD8)/2)</f>
        <v>0</v>
      </c>
      <c r="PI8" s="37">
        <f>IF($CN8="P",CF8,(CF8+BE8)/2)</f>
        <v>8.6999999999999993</v>
      </c>
      <c r="PJ8" s="37">
        <f>IF($CN8="P",CG8,(CG8+BF8)/2)</f>
        <v>2.15</v>
      </c>
      <c r="PK8" s="37">
        <f>IF($CN8="P",CH8,(CH8+BG8)/2)</f>
        <v>0.1</v>
      </c>
      <c r="PL8" s="37">
        <f>IF($CN8="P",CI8,(CI8+BH8)/2)</f>
        <v>0.15</v>
      </c>
      <c r="PM8" s="37">
        <f>IF($CN8="P",CJ8,(CJ8+BI8)/2)</f>
        <v>8.5</v>
      </c>
      <c r="PN8" s="37">
        <f>IF($CN8="P",CK8,(CK8+BJ8)/2)</f>
        <v>2.5</v>
      </c>
      <c r="PO8" s="37">
        <f>IF($CN8="P",CL8,(CL8+BK8)/2)</f>
        <v>0</v>
      </c>
      <c r="PP8" s="37">
        <f>IF($CN8="P",CM8,(CM8+BL8)/2)</f>
        <v>0.3</v>
      </c>
      <c r="PQ8" s="44" t="s">
        <v>46</v>
      </c>
      <c r="PR8" s="78">
        <f>IF(SUM(OX8,PB8)&gt;0,SUM(OX8,PB8),"")</f>
        <v>6.5</v>
      </c>
      <c r="PS8" s="78">
        <f>IF(SUM(OW8:OX8,OZ8:PB8,PD8)-OY8-PC8&gt;0,SUM(OW8:OX8,OZ8:PB8,PD8)-OY8-PC8,"")</f>
        <v>37.950000000000003</v>
      </c>
      <c r="PT8" s="78" t="str">
        <f>IF(SUM(PE8:PF8,PH8)-PG8&gt;0,SUM(PE8:PF8,PH8)-PG8,"")</f>
        <v/>
      </c>
      <c r="PU8" s="78">
        <f>IF(SUM(PJ8,PN8)&gt;0,SUM(PJ8,PN8),"")</f>
        <v>4.6500000000000004</v>
      </c>
      <c r="PV8" s="78">
        <f>IF(SUM(PI8:PJ8,PL8:PN8,PP8)-SUM(PK8,PO8)&gt;0,SUM(PI8:PJ8,PL8:PN8,PP8)-SUM(PK8,PO8),"")</f>
        <v>22.2</v>
      </c>
      <c r="PW8" s="78">
        <f>IF(SUM(PS8,PV8)&gt;0,SUM(PS8,PV8),"")</f>
        <v>60.150000000000006</v>
      </c>
    </row>
    <row r="9" spans="1:439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77" t="s">
        <v>116</v>
      </c>
      <c r="C9" s="5" t="s">
        <v>3</v>
      </c>
      <c r="D9" s="5">
        <v>2003</v>
      </c>
      <c r="E9" s="15">
        <f>SUM(I9:O9)+SUM(I9:M9)*0.0000001+SUM(I9)*0.0000000000001</f>
        <v>109.60001096000437</v>
      </c>
      <c r="F9" s="3" t="str">
        <f>IF(OR(AND(AM9&gt;=AR$26,AN9&gt;=AR$30,AM9&lt;&gt;"",AL9=""),AND(AP9&gt;=AR$26,AQ9&gt;=AR$30,AP9&lt;&gt;"",AL9=""),AND(BN9&gt;=BS$26,BO9&gt;=BS$30,BN9&lt;&gt;"",BM9=""),AND(BQ9&gt;=BS$26,BR9&gt;=BS$30,BQ9&lt;&gt;"",BM9=""),AND(CO9&gt;=CT$26,CP9&gt;=CT$30,CO9&lt;&gt;"",CN9=""),AND(CR9&gt;=CT$26,CS9&gt;=CT$30,CR9&lt;&gt;""),AND(DQ9&gt;=DV$26,DR9&gt;=DV$30,DQ9&lt;&gt;""),AND(DT9&gt;=DV$26,DU9&gt;=DV$30,DT9&lt;&gt;""),AND(EQ9&gt;=EV$26,ER9&gt;=EV$30,EQ9&lt;&gt;""),AND(ET9&gt;=EV$26,EU9&gt;=EV$30,ET9&lt;&gt;""),AND(FQ9&gt;=FV$26,FR9&gt;=FV$30,FQ9&lt;&gt;""),AND(FT9&gt;=FV$26,FU9&gt;=FV$30,FT9&lt;&gt;""),AND(GQ9&gt;=GV$26,GR9&gt;=GV$30,GQ9&lt;&gt;""),AND(GT9&gt;=GV$26,GU9&gt;=GV$30,GT9&lt;&gt;""),AND(HQ9&gt;=HV$26,HR9&gt;=HV$30,HQ9&lt;&gt;""),AND(HT9&gt;=HV$26,HU9&gt;=HV$30,HT9&lt;&gt;""),AND(IQ9&gt;=IV$26,IR9&gt;=IV$30,IQ9&lt;&gt;""),AND(IT9&gt;=IV$26,IU9&gt;=IV$30,IT9&lt;&gt;""),AND(JQ9&gt;=JV$26,JR9&gt;=JV$30,JQ9&lt;&gt;""),AND(JT9&gt;=JV$26,JU9&gt;=JV$30,JT9&lt;&gt;""),AND(KQ9&gt;=KV$26,KR9&gt;=KV$30,KQ9&lt;&gt;""),AND(KT9&gt;=KV$26,KU9&gt;=KV$30,KT9&lt;&gt;""),AND(LQ9&gt;=LV$26,LR9&gt;=LV$30,LQ9&lt;&gt;""),AND(LT9&gt;=LV$26,LU9&gt;=LV$30,LT9&lt;&gt;""),AND(MQ9&gt;=MV$26,MR9&gt;=MV$30,MQ9&lt;&gt;""),AND(MT9&gt;=MV$26,MU9&gt;=MV$30,MT9&lt;&gt;""),AND(NQ9&gt;=NV$26,NR9&gt;=NV$30,NQ9&lt;&gt;""),AND(NT9&gt;=NV$26,NU9&gt;=NV$30,NT9&lt;&gt;""),AND(OQ9&gt;=OV$26,OR9&gt;=OV$30,OQ9&lt;&gt;""),AND(OT9&gt;=OV$26,OU9&gt;=OV$30,OT9&lt;&gt;"")),"P","")</f>
        <v>P</v>
      </c>
      <c r="G9" s="3" t="str">
        <f>IF(OR(AND(AN9&gt;=AR$30,AN9&lt;&gt;"",AL9=""),AND(AQ9&gt;=AR$30,AQ9&lt;&gt;"",AL9=""),AND(BO9&gt;=BS$30,BO9&lt;&gt;"",BM9=""),AND(BR9&gt;=BS$30,BR9&lt;&gt;"",BM9=""),AND(CP9&gt;=CT$30,CP9&lt;&gt;"",CN9=""),AND(CS9&gt;=CT$30,CS9&lt;&gt;"",CN9=""),AND(DR9&gt;=DV$30,DR9&lt;&gt;""),AND(DU9&gt;=DV$30,DU9&lt;&gt;""),AND(ER9&gt;=EV$30,ER9&lt;&gt;""),AND(EU9&gt;=EV$30,EU9&lt;&gt;""),AND(FR9&gt;=FV$30,FR9&lt;&gt;""),AND(FU9&gt;=FV$30,FU9&lt;&gt;""),AND(GR9&gt;=GV$30,GR9&lt;&gt;""),AND(GU9&gt;=GV$30,GU9&lt;&gt;""),AND(HR9&gt;=HV$30,HR9&lt;&gt;""),AND(HU9&gt;=HV$30,HU9&lt;&gt;""),AND(IR9&gt;=IV$30,IR9&lt;&gt;""),AND(IU9&gt;=IV$30,IU9&lt;&gt;""),AND(JR9&gt;=JV$30,JR9&lt;&gt;""),AND(JU9&gt;=JV$30,JU9&lt;&gt;""),AND(KR9&gt;=KV$30,KR9&lt;&gt;""),AND(KU9&gt;=KV$30,KU9&lt;&gt;""),AND(LR9&gt;=LV$30,LR9&lt;&gt;""),AND(LU9&gt;=LV$30,LU9&lt;&gt;""),AND(MR9&gt;=MV$30,MR9&lt;&gt;""),AND(MU9&gt;=MV$30,MU9&lt;&gt;""),AND(NR9&gt;=NV$30,NR9&lt;&gt;""),AND(NU9&gt;=NV$30,NU9&lt;&gt;""),AND(OR9&gt;=OV$30,OR9&lt;&gt;""),AND(OU9&gt;=OV$30,OU9&lt;&gt;"")),"P","")</f>
        <v>P</v>
      </c>
      <c r="H9" s="66" t="str">
        <f>IF(AND(G9="P",F9=""),"No DD",IF(OR(AND(AM9&gt;=AR$29,AN9&gt;=AR$33,AM9&lt;&gt;"",AL9=""),AND(AP9&gt;=AR$29,AQ9&gt;=AR$33,AP9&lt;&gt;"",AL9=""),AND(BN9&gt;=BS$29,BO9&gt;=BS$33,BN9&lt;&gt;"",BM9=""),AND(BQ9&gt;=BS$29,BR9&gt;=BS$33,BQ9&lt;&gt;"",BM9=""),AND(CO9&gt;=CT$29,CP9&gt;=CT$33,CO9&lt;&gt;"",CN9=""),AND(CR9&gt;=CT$29,CS9&gt;=CT$33,CR9&lt;&gt;""),AND(DQ9&gt;=DV$29,DR9&gt;=DV$33,DQ9&lt;&gt;""),AND(DT9&gt;=DV$29,DU9&gt;=DV$33,DT9&lt;&gt;""),AND(EQ9&gt;=EV$29,ER9&gt;=EV$33,EQ9&lt;&gt;""),AND(ET9&gt;=EV$29,EU9&gt;=EV$33,ET9&lt;&gt;""),AND(FQ9&gt;=FV$29,FR9&gt;=FV$33,FQ9&lt;&gt;""),AND(FT9&gt;=FV$29,FU9&gt;=FV$33,FT9&lt;&gt;""),AND(GQ9&gt;=GV$29,GR9&gt;=GV$33,GQ9&lt;&gt;""),AND(GT9&gt;=GV$29,GU9&gt;=GV$33,GT9&lt;&gt;""),AND(HQ9&gt;=HV$29,HR9&gt;=HV$33,HQ9&lt;&gt;""),AND(HT9&gt;=HV$29,HU9&gt;=HV$33,HT9&lt;&gt;""),AND(IQ9&gt;=IV$29,IR9&gt;=IV$33,IQ9&lt;&gt;""),AND(IT9&gt;=IV$29,IU9&gt;=IV$33,IT9&lt;&gt;""),AND(JQ9&gt;=JV$29,JR9&gt;=JV$33,JQ9&lt;&gt;""),AND(JT9&gt;=JV$29,JU9&gt;=JV$33,JT9&lt;&gt;""),AND(KQ9&gt;=KV$29,KR9&gt;=KV$33,KQ9&lt;&gt;""),AND(KT9&gt;=KV$29,KU9&gt;=KV$33,KT9&lt;&gt;""),AND(LQ9&gt;=LV$29,LR9&gt;=LV$33,LQ9&lt;&gt;""),AND(LT9&gt;=LV$29,LU9&gt;=LV$33,LT9&lt;&gt;""),AND(MQ9&gt;=MV$29,MR9&gt;=MV$33,MQ9&lt;&gt;""),AND(MT9&gt;=MV$29,MU9&gt;=MV$33,MT9&lt;&gt;""),AND(NQ9&gt;=NV$29,NR9&gt;=NV$33,NQ9&lt;&gt;""),AND(NT9&gt;=NV$29,NU9&gt;=NV$33,NT9&lt;&gt;""),AND(OQ9&gt;=OV$29,OR9&gt;=OV$33,OQ9&lt;&gt;""),AND(OT9&gt;=OV$29,OU9&gt;=OV$33,OT9&lt;&gt;"")),"Merit",IF(OR(AND(AM9&gt;=AR$28,AN9&gt;=AR$32,AM9&lt;&gt;"",AL9=""),AND(AP9&gt;=AR$28,AQ9&gt;=AR$32,AP9&lt;&gt;"",AL9=""),AND(BN9&gt;=BS$28,BO9&gt;=BS$32,BN9&lt;&gt;"",BM9=""),AND(BQ9&gt;=BS$28,BR9&gt;=BS$32,BQ9&lt;&gt;"",BM9=""),AND(CO9&gt;=CT$28,CP9&gt;=CT$32,CO9&lt;&gt;"",CN9=""),AND(CR9&gt;=CT$28,CS9&gt;=CT$32,CR9&lt;&gt;""),AND(DQ9&gt;=DV$28,DR9&gt;=DV$32,DQ9&lt;&gt;""),AND(DT9&gt;=DV$28,DU9&gt;=DV$32,DT9&lt;&gt;""),AND(EQ9&gt;=EV$28,ER9&gt;=EV$32,EQ9&lt;&gt;""),AND(ET9&gt;=EV$28,EU9&gt;=EV$32,ET9&lt;&gt;""),AND(FQ9&gt;=FV$28,FR9&gt;=FV$32,FQ9&lt;&gt;""),AND(FT9&gt;=FV$28,FU9&gt;=FV$32,FT9&lt;&gt;""),AND(GQ9&gt;=GV$28,GR9&gt;=GV$32,GQ9&lt;&gt;""),AND(GT9&gt;=GV$28,GU9&gt;=GV$32,GT9&lt;&gt;""),AND(HQ9&gt;=HV$28,HR9&gt;=HV$32,HQ9&lt;&gt;""),AND(HT9&gt;=HV$28,HU9&gt;=HV$32,HT9&lt;&gt;""),AND(IQ9&gt;=IV$28,IR9&gt;=IV$32,IQ9&lt;&gt;""),AND(IT9&gt;=IV$28,IU9&gt;=IV$32,IT9&lt;&gt;""),AND(JQ9&gt;=JV$28,JR9&gt;=JV$32,JQ9&lt;&gt;""),AND(JT9&gt;=JV$28,JU9&gt;=JV$32,JT9&lt;&gt;""),AND(KQ9&gt;=KV$28,KR9&gt;=KV$32,KQ9&lt;&gt;""),AND(KT9&gt;=KV$28,KU9&gt;=KV$32,KT9&lt;&gt;""),AND(LQ9&gt;=LV$28,LR9&gt;=LV$32,LQ9&lt;&gt;""),AND(LT9&gt;=LV$28,LU9&gt;=LV$32,LT9&lt;&gt;""),AND(MQ9&gt;=MV$28,MR9&gt;=MV$32,MQ9&lt;&gt;""),AND(MT9&gt;=MV$28,MU9&gt;=MV$32,MT9&lt;&gt;""),AND(NQ9&gt;=NV$28,NR9&gt;=NV$32,NQ9&lt;&gt;""),AND(NT9&gt;=NV$28,NU9&gt;=NV$32,NT9&lt;&gt;""),AND(OQ9&gt;=OV$28,OR9&gt;=OV$32,OQ9&lt;&gt;""),AND(OT9&gt;=OV$28,OU9&gt;=OV$32,OT9&lt;&gt;"")),"Excellence",IF(F9="P","National Team",""))))</f>
        <v>National Team</v>
      </c>
      <c r="I9" s="14">
        <f>IF(COUNT(AN9,BO9,CP9)&gt;0,LARGE((AN9,BO9,CP9),1),0)</f>
        <v>43.6</v>
      </c>
      <c r="J9" s="14" t="str">
        <f>IF(I9=0,"",IF(I9=CP9,$BT$1,IF(I9=BO9,$AS$1,IF(I9=AN9,$R$1,""))))</f>
        <v>2022 Nationals</v>
      </c>
      <c r="K9" s="14">
        <f>IF(COUNT(AN9,BO9,CP9)&gt;1,LARGE((AN9,BO9,CP9),2),0)</f>
        <v>21.8</v>
      </c>
      <c r="L9" s="14" t="str">
        <f>IF(K9=0,"",IF(K9=CP9,$BT$1,IF(K9=BO9,$AS$1,IF(K9=AN9,$R$1,""))))</f>
        <v>2022 3rd Domestic Trial</v>
      </c>
      <c r="M9" s="14">
        <f>IF(MAX(AQ9,BR9,CS9)&gt;0,MAX(AQ9,BR9,CS9),0)</f>
        <v>44.2</v>
      </c>
      <c r="N9" s="14" t="str">
        <f>IF(M9=0,"",IF(M9=CS9,$BT$1,IF(M9=BR9,$AS$1,IF(M9=AQ9,$R$1,""))))</f>
        <v>2022 Nationals</v>
      </c>
      <c r="O9" s="14" t="str">
        <f>IF(MAX(CU9:CV9)&gt;0,MAX(CU9:CV9),"")</f>
        <v/>
      </c>
      <c r="P9" s="19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>IF(SUM(S9,W9)&gt;0,SUM(S9,W9),"")</f>
        <v/>
      </c>
      <c r="AN9" s="78" t="str">
        <f>IF(SUM(R9:S9,U9:W9,Y9)-T9-X9&gt;0,SUM(R9:S9,U9:W9,Y9)-T9-X9,"")</f>
        <v/>
      </c>
      <c r="AO9" s="78" t="str">
        <f>IF(SUM(Z9:AA9,AC9)-AB9&gt;0,SUM(Z9:AA9,AC9)-AB9,"")</f>
        <v/>
      </c>
      <c r="AP9" s="78" t="str">
        <f>IF(SUM(AE9,AI9)&gt;0,SUM(AE9,AI9),"")</f>
        <v/>
      </c>
      <c r="AQ9" s="78" t="str">
        <f>IF(SUM(AD9:AE9,AG9:AI9,AK9)-SUM(AF9,AJ9)&gt;0,SUM(AD9:AE9,AG9:AI9,AK9)-SUM(AF9,AJ9),"")</f>
        <v/>
      </c>
      <c r="AR9" s="78" t="str">
        <f>IF(SUM(AN9,AQ9)&gt;0,SUM(AN9,AQ9),"")</f>
        <v/>
      </c>
      <c r="AS9" s="25">
        <v>17.2</v>
      </c>
      <c r="AT9" s="25">
        <v>4.3</v>
      </c>
      <c r="AU9" s="25">
        <v>0</v>
      </c>
      <c r="AV9" s="25">
        <v>0.3</v>
      </c>
      <c r="AW9" s="25">
        <v>17.399999999999999</v>
      </c>
      <c r="AX9" s="25">
        <v>4.0999999999999996</v>
      </c>
      <c r="AY9" s="25">
        <v>0</v>
      </c>
      <c r="AZ9" s="25">
        <v>0.3</v>
      </c>
      <c r="BA9" s="25"/>
      <c r="BB9" s="25"/>
      <c r="BC9" s="25"/>
      <c r="BD9" s="25"/>
      <c r="BE9" s="25">
        <v>17.600000000000001</v>
      </c>
      <c r="BF9" s="25">
        <v>4.3</v>
      </c>
      <c r="BG9" s="25">
        <v>0</v>
      </c>
      <c r="BH9" s="25">
        <v>0.3</v>
      </c>
      <c r="BI9" s="25">
        <v>17.600000000000001</v>
      </c>
      <c r="BJ9" s="25">
        <v>4.0999999999999996</v>
      </c>
      <c r="BK9" s="25">
        <v>0</v>
      </c>
      <c r="BL9" s="25">
        <v>0.3</v>
      </c>
      <c r="BM9" s="45"/>
      <c r="BN9" s="19">
        <f>IF(SUM(AT9,AX9)&gt;0,SUM(AT9,AX9),"")</f>
        <v>8.3999999999999986</v>
      </c>
      <c r="BO9" s="19">
        <f>IF(SUM(AS9:AT9,AV9:AX9,AZ9)-AU9-AY9&gt;0,SUM(AS9:AT9,AV9:AX9,AZ9)-AU9-AY9,"")</f>
        <v>43.6</v>
      </c>
      <c r="BP9" s="19" t="str">
        <f>IF(SUM(BA9:BB9,BD9)-BC9&gt;0,SUM(BA9:BB9,BD9)-BC9,"")</f>
        <v/>
      </c>
      <c r="BQ9" s="19">
        <f>IF(SUM(BF9,BJ9)&gt;0,SUM(BF9,BJ9),"")</f>
        <v>8.3999999999999986</v>
      </c>
      <c r="BR9" s="19">
        <f>IF(SUM(BE9:BF9,BH9:BJ9,BL9)-SUM(BG9,BK9)&gt;0,SUM(BE9:BF9,BH9:BJ9,BL9)-SUM(BG9,BK9),"")</f>
        <v>44.2</v>
      </c>
      <c r="BS9" s="19">
        <f>IF(SUM(BO9,BR9)&gt;0,SUM(BO9,BR9),"")</f>
        <v>87.800000000000011</v>
      </c>
      <c r="BT9" s="26">
        <v>8.6</v>
      </c>
      <c r="BU9" s="26">
        <v>2.15</v>
      </c>
      <c r="BV9" s="26">
        <v>0</v>
      </c>
      <c r="BW9" s="26">
        <v>0.15</v>
      </c>
      <c r="BX9" s="26">
        <v>8.6999999999999993</v>
      </c>
      <c r="BY9" s="26">
        <v>2.0499999999999998</v>
      </c>
      <c r="BZ9" s="26">
        <v>0</v>
      </c>
      <c r="CA9" s="26">
        <v>0.15</v>
      </c>
      <c r="CB9" s="26">
        <v>0</v>
      </c>
      <c r="CC9" s="26">
        <v>0</v>
      </c>
      <c r="CD9" s="26">
        <v>0</v>
      </c>
      <c r="CE9" s="26">
        <v>0</v>
      </c>
      <c r="CF9" s="26">
        <v>8.8000000000000007</v>
      </c>
      <c r="CG9" s="26">
        <v>2.15</v>
      </c>
      <c r="CH9" s="26">
        <v>0</v>
      </c>
      <c r="CI9" s="26">
        <v>0.15</v>
      </c>
      <c r="CJ9" s="26">
        <v>8.8000000000000007</v>
      </c>
      <c r="CK9" s="26">
        <v>2.0499999999999998</v>
      </c>
      <c r="CL9" s="26">
        <v>0</v>
      </c>
      <c r="CM9" s="26">
        <v>0.15</v>
      </c>
      <c r="CN9" s="44" t="s">
        <v>46</v>
      </c>
      <c r="CO9" s="78">
        <f>IF(SUM(BU9,BY9)&gt;0,SUM(BU9,BY9),"")</f>
        <v>4.1999999999999993</v>
      </c>
      <c r="CP9" s="78">
        <f>IF(SUM(BT9:BU9,BW9:BY9,CA9)-BV9-BZ9&gt;0,SUM(BT9:BU9,BW9:BY9,CA9)-BV9-BZ9,"")</f>
        <v>21.8</v>
      </c>
      <c r="CQ9" s="78" t="str">
        <f>IF(SUM(CB9:CC9,CE9)-CD9&gt;0,SUM(CB9:CC9,CE9)-CD9,"")</f>
        <v/>
      </c>
      <c r="CR9" s="78">
        <f>IF(SUM(CG9,CK9)&gt;0,SUM(CG9,CK9),"")</f>
        <v>4.1999999999999993</v>
      </c>
      <c r="CS9" s="78">
        <f>IF(SUM(CF9:CG9,CI9:CK9,CM9)-SUM(CH9,CL9)&gt;0,SUM(CF9:CG9,CI9:CK9,CM9)-SUM(CH9,CL9),"")</f>
        <v>22.1</v>
      </c>
      <c r="CT9" s="78">
        <f>IF(SUM(CP9,CS9)&gt;0,SUM(CP9,CS9),"")</f>
        <v>43.900000000000006</v>
      </c>
      <c r="CU9" s="79" t="str">
        <f>IF(K9&gt;=0.001,IF(MAX(DR9,ER9,FR9,GR9,HR9,IR9,JR9,KR9,LR9,MR9,NR9,OR9)-IF(K9="",0,K9)&gt;0.001,MAX(DR9,ER9,FR9,GR9,HR9,IR9,JR9,KR9,LR9,MR9,NR9,OR9)-IF(K9="",0,K9),""),"")</f>
        <v/>
      </c>
      <c r="CV9" s="79" t="str">
        <f>IF(M9&gt;=0.001,IF(MAX(DU9,EU9,FU9,GU9,HU9,IU9,JU9,KU9,LU9,MU9,NU9,OU9)-IF(M9="",0,M9)&gt;0.001,MAX(DU9,EU9,FU9,GU9,HU9,IU9,JU9,KU9,LU9,MU9,NU9,OU9)-IF(M9="",0,M9),""),"")</f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>IF(SUM(CX9,DB9)&gt;0,SUM(CX9,DB9),"")</f>
        <v/>
      </c>
      <c r="DR9" s="78" t="str">
        <f>IF(SUM(CW9:CX9,CZ9:DB9,DD9)-CY9-DC9&gt;0,SUM(CW9:CX9,CZ9:DB9,DD9)-CY9-DC9,"")</f>
        <v/>
      </c>
      <c r="DS9" s="78" t="str">
        <f>IF(SUM(DE9:DF9,DH9)-DG9&gt;0,SUM(DE9:DF9,DH9)-DG9,"")</f>
        <v/>
      </c>
      <c r="DT9" s="78" t="str">
        <f>IF(SUM(DJ9,DN9)&gt;0,SUM(DJ9,DN9),"")</f>
        <v/>
      </c>
      <c r="DU9" s="78" t="str">
        <f>IF(SUM(DI9:DJ9,DL9:DN9,DP9)-SUM(DK9,DO9)&gt;0,SUM(DI9:DJ9,DL9:DN9,DP9)-SUM(DK9,DO9),"")</f>
        <v/>
      </c>
      <c r="DV9" s="78" t="str">
        <f>IF(SUM(DR9,DU9)&gt;0,SUM(DR9,DU9),"")</f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>IF(SUM(DX9,EB9)&gt;0,SUM(DX9,EB9),"")</f>
        <v/>
      </c>
      <c r="ER9" s="19" t="str">
        <f>IF(SUM(DW9:DX9,DZ9:EB9,ED9)-DY9-EC9&gt;0,SUM(DW9:DX9,DZ9:EB9,ED9)-DY9-EC9,"")</f>
        <v/>
      </c>
      <c r="ES9" s="19" t="str">
        <f>IF(SUM(EE9:EF9,EH9)-EG9&gt;0,SUM(EE9:EF9,EH9)-EG9,"")</f>
        <v/>
      </c>
      <c r="ET9" s="19" t="str">
        <f>IF(SUM(EJ9,EN9)&gt;0,SUM(EJ9,EN9),"")</f>
        <v/>
      </c>
      <c r="EU9" s="19" t="str">
        <f>IF(SUM(EI9:EJ9,EL9:EN9,EP9)-SUM(EK9,EO9)&gt;0,SUM(EI9:EJ9,EL9:EN9,EP9)-SUM(EK9,EO9),"")</f>
        <v/>
      </c>
      <c r="EV9" s="19" t="str">
        <f>IF(SUM(ER9,EU9)&gt;0,SUM(ER9,EU9),"")</f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>IF(SUM(EX9,FB9)&gt;0,SUM(EX9,FB9),"")</f>
        <v/>
      </c>
      <c r="FR9" s="78" t="str">
        <f>IF(SUM(EW9:EX9,EZ9:FB9,FD9)-EY9-FC9&gt;0,SUM(EW9:EX9,EZ9:FB9,FD9)-EY9-FC9,"")</f>
        <v/>
      </c>
      <c r="FS9" s="78" t="str">
        <f>IF(SUM(FE9:FF9,FH9)-FG9&gt;0,SUM(FE9:FF9,FH9)-FG9,"")</f>
        <v/>
      </c>
      <c r="FT9" s="78" t="str">
        <f>IF(SUM(FJ9,FN9)&gt;0,SUM(FJ9,FN9),"")</f>
        <v/>
      </c>
      <c r="FU9" s="78" t="str">
        <f>IF(SUM(FI9:FJ9,FL9:FN9,FP9)-SUM(FK9,FO9)&gt;0,SUM(FI9:FJ9,FL9:FN9,FP9)-SUM(FK9,FO9),"")</f>
        <v/>
      </c>
      <c r="FV9" s="78" t="str">
        <f>IF(SUM(FR9,FU9)&gt;0,SUM(FR9,FU9),"")</f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>IF(SUM(FX9,GB9)&gt;0,SUM(FX9,GB9),"")</f>
        <v/>
      </c>
      <c r="GR9" s="19" t="str">
        <f>IF(SUM(FW9:FX9,FZ9:GB9,GD9)-FY9-GC9&gt;0,SUM(FW9:FX9,FZ9:GB9,GD9)-FY9-GC9,"")</f>
        <v/>
      </c>
      <c r="GS9" s="19" t="str">
        <f>IF(SUM(GE9:GF9,GH9)-GG9&gt;0,SUM(GE9:GF9,GH9)-GG9,"")</f>
        <v/>
      </c>
      <c r="GT9" s="19" t="str">
        <f>IF(SUM(GJ9,GN9)&gt;0,SUM(GJ9,GN9),"")</f>
        <v/>
      </c>
      <c r="GU9" s="19" t="str">
        <f>IF(SUM(GI9:GJ9,GL9:GN9,GP9)-SUM(GK9,GO9)&gt;0,SUM(GI9:GJ9,GL9:GN9,GP9)-SUM(GK9,GO9),"")</f>
        <v/>
      </c>
      <c r="GV9" s="19" t="str">
        <f>IF(SUM(GR9,GU9)&gt;0,SUM(GR9,GU9),"")</f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>IF(SUM(GX9,HB9)&gt;0,SUM(GX9,HB9),"")</f>
        <v/>
      </c>
      <c r="HR9" s="78" t="str">
        <f>IF(SUM(GW9:GX9,GZ9:HB9,HD9)-GY9-HC9&gt;0,SUM(GW9:GX9,GZ9:HB9,HD9)-GY9-HC9,"")</f>
        <v/>
      </c>
      <c r="HS9" s="78" t="str">
        <f>IF(SUM(HE9:HF9,HH9)-HG9&gt;0,SUM(HE9:HF9,HH9)-HG9,"")</f>
        <v/>
      </c>
      <c r="HT9" s="78" t="str">
        <f>IF(SUM(HJ9,HN9)&gt;0,SUM(HJ9,HN9),"")</f>
        <v/>
      </c>
      <c r="HU9" s="78" t="str">
        <f>IF(SUM(HI9:HJ9,HL9:HN9,HP9)-SUM(HK9,HO9)&gt;0,SUM(HI9:HJ9,HL9:HN9,HP9)-SUM(HK9,HO9),"")</f>
        <v/>
      </c>
      <c r="HV9" s="78" t="str">
        <f>IF(SUM(HR9,HU9)&gt;0,SUM(HR9,HU9),"")</f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>IF(SUM(HX9,IB9)&gt;0,SUM(HX9,IB9),"")</f>
        <v/>
      </c>
      <c r="IR9" s="19" t="str">
        <f>IF(SUM(HW9:HX9,HZ9:IB9,ID9)-HY9-IC9&gt;0,SUM(HW9:HX9,HZ9:IB9,ID9)-HY9-IC9,"")</f>
        <v/>
      </c>
      <c r="IS9" s="19" t="str">
        <f>IF(SUM(IE9:IF9,IH9)-IG9&gt;0,SUM(IE9:IF9,IH9)-IG9,"")</f>
        <v/>
      </c>
      <c r="IT9" s="19" t="str">
        <f>IF(SUM(IJ9,IN9)&gt;0,SUM(IJ9,IN9),"")</f>
        <v/>
      </c>
      <c r="IU9" s="19" t="str">
        <f>IF(SUM(II9:IJ9,IL9:IN9,IP9)-SUM(IK9,IO9)&gt;0,SUM(II9:IJ9,IL9:IN9,IP9)-SUM(IK9,IO9),"")</f>
        <v/>
      </c>
      <c r="IV9" s="19" t="str">
        <f>IF(SUM(IR9,IU9)&gt;0,SUM(IR9,IU9),"")</f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>IF(SUM(IX9,JB9)&gt;0,SUM(IX9,JB9),"")</f>
        <v/>
      </c>
      <c r="JR9" s="78" t="str">
        <f>IF(SUM(IW9:IX9,IZ9:JB9,JD9)-IY9-JC9&gt;0,SUM(IW9:IX9,IZ9:JB9,JD9)-IY9-JC9,"")</f>
        <v/>
      </c>
      <c r="JS9" s="78" t="str">
        <f>IF(SUM(JE9:JF9,JH9)-JG9&gt;0,SUM(JE9:JF9,JH9)-JG9,"")</f>
        <v/>
      </c>
      <c r="JT9" s="78" t="str">
        <f>IF(SUM(JJ9,JN9)&gt;0,SUM(JJ9,JN9),"")</f>
        <v/>
      </c>
      <c r="JU9" s="78" t="str">
        <f>IF(SUM(JI9:JJ9,JL9:JN9,JP9)-SUM(JK9,JO9)&gt;0,SUM(JI9:JJ9,JL9:JN9,JP9)-SUM(JK9,JO9),"")</f>
        <v/>
      </c>
      <c r="JV9" s="78" t="str">
        <f>IF(SUM(JR9,JU9)&gt;0,SUM(JR9,JU9),"")</f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>IF(SUM(JX9,KB9)&gt;0,SUM(JX9,KB9),"")</f>
        <v/>
      </c>
      <c r="KR9" s="19" t="str">
        <f>IF(SUM(JW9:JX9,JZ9:KB9,KD9)-JY9-KC9&gt;0,SUM(JW9:JX9,JZ9:KB9,KD9)-JY9-KC9,"")</f>
        <v/>
      </c>
      <c r="KS9" s="19" t="str">
        <f>IF(SUM(KE9:KF9,KH9)-KG9&gt;0,SUM(KE9:KF9,KH9)-KG9,"")</f>
        <v/>
      </c>
      <c r="KT9" s="19" t="str">
        <f>IF(SUM(KJ9,KN9)&gt;0,SUM(KJ9,KN9),"")</f>
        <v/>
      </c>
      <c r="KU9" s="19" t="str">
        <f>IF(SUM(KI9:KJ9,KL9:KN9,KP9)-SUM(KK9,KO9)&gt;0,SUM(KI9:KJ9,KL9:KN9,KP9)-SUM(KK9,KO9),"")</f>
        <v/>
      </c>
      <c r="KV9" s="19" t="str">
        <f>IF(SUM(KR9,KU9)&gt;0,SUM(KR9,KU9),"")</f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>IF(SUM(KX9,LB9)&gt;0,SUM(KX9,LB9),"")</f>
        <v/>
      </c>
      <c r="LR9" s="78" t="str">
        <f>IF(SUM(KW9:KX9,KZ9:LB9,LD9)-KY9-LC9&gt;0,SUM(KW9:KX9,KZ9:LB9,LD9)-KY9-LC9,"")</f>
        <v/>
      </c>
      <c r="LS9" s="78" t="str">
        <f>IF(SUM(LE9:LF9,LH9)-LG9&gt;0,SUM(LE9:LF9,LH9)-LG9,"")</f>
        <v/>
      </c>
      <c r="LT9" s="78" t="str">
        <f>IF(SUM(LJ9,LN9)&gt;0,SUM(LJ9,LN9),"")</f>
        <v/>
      </c>
      <c r="LU9" s="78" t="str">
        <f>IF(SUM(LI9:LJ9,LL9:LN9,LP9)-SUM(LK9,LO9)&gt;0,SUM(LI9:LJ9,LL9:LN9,LP9)-SUM(LK9,LO9),"")</f>
        <v/>
      </c>
      <c r="LV9" s="78" t="str">
        <f>IF(SUM(LR9,LU9)&gt;0,SUM(LR9,LU9),"")</f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>IF(SUM(LX9,MB9)&gt;0,SUM(LX9,MB9),"")</f>
        <v/>
      </c>
      <c r="MR9" s="19" t="str">
        <f>IF(SUM(LW9:LX9,LZ9:MB9,MD9)-LY9-MC9&gt;0,SUM(LW9:LX9,LZ9:MB9,MD9)-LY9-MC9,"")</f>
        <v/>
      </c>
      <c r="MS9" s="19" t="str">
        <f>IF(SUM(ME9:MF9,MH9)-MG9&gt;0,SUM(ME9:MF9,MH9)-MG9,"")</f>
        <v/>
      </c>
      <c r="MT9" s="19" t="str">
        <f>IF(SUM(MJ9,MN9)&gt;0,SUM(MJ9,MN9),"")</f>
        <v/>
      </c>
      <c r="MU9" s="19" t="str">
        <f>IF(SUM(MI9:MJ9,ML9:MN9,MP9)-SUM(MK9,MO9)&gt;0,SUM(MI9:MJ9,ML9:MN9,MP9)-SUM(MK9,MO9),"")</f>
        <v/>
      </c>
      <c r="MV9" s="19" t="str">
        <f>IF(SUM(MR9,MU9)&gt;0,SUM(MR9,MU9),"")</f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>IF(SUM(MX9,NB9)&gt;0,SUM(MX9,NB9),"")</f>
        <v/>
      </c>
      <c r="NR9" s="78" t="str">
        <f>IF(SUM(MW9:MX9,MZ9:NB9,ND9)-MY9-NC9&gt;0,SUM(MW9:MX9,MZ9:NB9,ND9)-MY9-NC9,"")</f>
        <v/>
      </c>
      <c r="NS9" s="78" t="str">
        <f>IF(SUM(NE9:NF9,NH9)-NG9&gt;0,SUM(NE9:NF9,NH9)-NG9,"")</f>
        <v/>
      </c>
      <c r="NT9" s="78" t="str">
        <f>IF(SUM(NJ9,NN9)&gt;0,SUM(NJ9,NN9),"")</f>
        <v/>
      </c>
      <c r="NU9" s="78" t="str">
        <f>IF(SUM(NI9:NJ9,NL9:NN9,NP9)-SUM(NK9,NO9)&gt;0,SUM(NI9:NJ9,NL9:NN9,NP9)-SUM(NK9,NO9),"")</f>
        <v/>
      </c>
      <c r="NV9" s="78" t="str">
        <f>IF(SUM(NR9,NU9)&gt;0,SUM(NR9,NU9),"")</f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>IF(SUM(NX9,OB9)&gt;0,SUM(NX9,OB9),"")</f>
        <v/>
      </c>
      <c r="OR9" s="19" t="str">
        <f>IF(SUM(NW9:NX9,NZ9:OB9,OD9)-NY9-OC9&gt;0,SUM(NW9:NX9,NZ9:OB9,OD9)-NY9-OC9,"")</f>
        <v/>
      </c>
      <c r="OS9" s="19" t="str">
        <f>IF(SUM(OE9:OF9,OH9)-OG9&gt;0,SUM(OE9:OF9,OH9)-OG9,"")</f>
        <v/>
      </c>
      <c r="OT9" s="19" t="str">
        <f>IF(SUM(OJ9,ON9)&gt;0,SUM(OJ9,ON9),"")</f>
        <v/>
      </c>
      <c r="OU9" s="19" t="str">
        <f>IF(SUM(OI9:OJ9,OL9:ON9,OP9)-SUM(OK9,OO9)&gt;0,SUM(OI9:OJ9,OL9:ON9,OP9)-SUM(OK9,OO9),"")</f>
        <v/>
      </c>
      <c r="OV9" s="19" t="str">
        <f>IF(SUM(OR9,OU9)&gt;0,SUM(OR9,OU9),"")</f>
        <v/>
      </c>
      <c r="OW9" s="37">
        <f>IF($CN9="P",BT9,(BT9+AS9)/2)</f>
        <v>8.6</v>
      </c>
      <c r="OX9" s="37">
        <f>IF($CN9="P",BU9,(BU9+AT9)/2)</f>
        <v>2.15</v>
      </c>
      <c r="OY9" s="37">
        <f>IF($CN9="P",BV9,(BV9+AU9)/2)</f>
        <v>0</v>
      </c>
      <c r="OZ9" s="37">
        <f>IF($CN9="P",BW9,(BW9+AV9)/2)</f>
        <v>0.15</v>
      </c>
      <c r="PA9" s="37">
        <f>IF($CN9="P",BX9,(BX9+AW9)/2)</f>
        <v>8.6999999999999993</v>
      </c>
      <c r="PB9" s="37">
        <f>IF($CN9="P",BY9,(BY9+AX9)/2)</f>
        <v>2.0499999999999998</v>
      </c>
      <c r="PC9" s="37">
        <f>IF($CN9="P",BZ9,(BZ9+AY9)/2)</f>
        <v>0</v>
      </c>
      <c r="PD9" s="37">
        <f>IF($CN9="P",CA9,(CA9+AZ9)/2)</f>
        <v>0.15</v>
      </c>
      <c r="PE9" s="37">
        <f>IF($CN9="P",CB9,(CB9+BA9)/2)</f>
        <v>0</v>
      </c>
      <c r="PF9" s="37">
        <f>IF($CN9="P",CC9,(CC9+BB9)/2)</f>
        <v>0</v>
      </c>
      <c r="PG9" s="37">
        <f>IF($CN9="P",CD9,(CD9+BC9)/2)</f>
        <v>0</v>
      </c>
      <c r="PH9" s="37">
        <f>IF($CN9="P",CE9,(CE9+BD9)/2)</f>
        <v>0</v>
      </c>
      <c r="PI9" s="37">
        <f>IF($CN9="P",CF9,(CF9+BE9)/2)</f>
        <v>8.8000000000000007</v>
      </c>
      <c r="PJ9" s="37">
        <f>IF($CN9="P",CG9,(CG9+BF9)/2)</f>
        <v>2.15</v>
      </c>
      <c r="PK9" s="37">
        <f>IF($CN9="P",CH9,(CH9+BG9)/2)</f>
        <v>0</v>
      </c>
      <c r="PL9" s="37">
        <f>IF($CN9="P",CI9,(CI9+BH9)/2)</f>
        <v>0.15</v>
      </c>
      <c r="PM9" s="37">
        <f>IF($CN9="P",CJ9,(CJ9+BI9)/2)</f>
        <v>8.8000000000000007</v>
      </c>
      <c r="PN9" s="37">
        <f>IF($CN9="P",CK9,(CK9+BJ9)/2)</f>
        <v>2.0499999999999998</v>
      </c>
      <c r="PO9" s="37">
        <f>IF($CN9="P",CL9,(CL9+BK9)/2)</f>
        <v>0</v>
      </c>
      <c r="PP9" s="37">
        <f>IF($CN9="P",CM9,(CM9+BL9)/2)</f>
        <v>0.15</v>
      </c>
      <c r="PQ9" s="44" t="s">
        <v>46</v>
      </c>
      <c r="PR9" s="78">
        <f>IF(SUM(OX9,PB9)&gt;0,SUM(OX9,PB9),"")</f>
        <v>4.1999999999999993</v>
      </c>
      <c r="PS9" s="78">
        <f>IF(SUM(OW9:OX9,OZ9:PB9,PD9)-OY9-PC9&gt;0,SUM(OW9:OX9,OZ9:PB9,PD9)-OY9-PC9,"")</f>
        <v>21.8</v>
      </c>
      <c r="PT9" s="78" t="str">
        <f>IF(SUM(PE9:PF9,PH9)-PG9&gt;0,SUM(PE9:PF9,PH9)-PG9,"")</f>
        <v/>
      </c>
      <c r="PU9" s="78">
        <f>IF(SUM(PJ9,PN9)&gt;0,SUM(PJ9,PN9),"")</f>
        <v>4.1999999999999993</v>
      </c>
      <c r="PV9" s="78">
        <f>IF(SUM(PI9:PJ9,PL9:PN9,PP9)-SUM(PK9,PO9)&gt;0,SUM(PI9:PJ9,PL9:PN9,PP9)-SUM(PK9,PO9),"")</f>
        <v>22.1</v>
      </c>
      <c r="PW9" s="78">
        <f>IF(SUM(PS9,PV9)&gt;0,SUM(PS9,PV9),"")</f>
        <v>43.900000000000006</v>
      </c>
    </row>
    <row r="10" spans="1:439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77" t="s">
        <v>131</v>
      </c>
      <c r="C10" s="5" t="s">
        <v>3</v>
      </c>
      <c r="D10" s="5">
        <v>2005</v>
      </c>
      <c r="E10" s="15">
        <f>SUM(I10:O10)+SUM(I10:M10)*0.0000001+SUM(I10)*0.0000000000001</f>
        <v>86.320008408004213</v>
      </c>
      <c r="F10" s="3" t="str">
        <f>IF(OR(AND(AM10&gt;=AR$26,AN10&gt;=AR$30,AM10&lt;&gt;"",AL10=""),AND(AP10&gt;=AR$26,AQ10&gt;=AR$30,AP10&lt;&gt;"",AL10=""),AND(BN10&gt;=BS$26,BO10&gt;=BS$30,BN10&lt;&gt;"",BM10=""),AND(BQ10&gt;=BS$26,BR10&gt;=BS$30,BQ10&lt;&gt;"",BM10=""),AND(CO10&gt;=CT$26,CP10&gt;=CT$30,CO10&lt;&gt;"",CN10=""),AND(CR10&gt;=CT$26,CS10&gt;=CT$30,CR10&lt;&gt;""),AND(DQ10&gt;=DV$26,DR10&gt;=DV$30,DQ10&lt;&gt;""),AND(DT10&gt;=DV$26,DU10&gt;=DV$30,DT10&lt;&gt;""),AND(EQ10&gt;=EV$26,ER10&gt;=EV$30,EQ10&lt;&gt;""),AND(ET10&gt;=EV$26,EU10&gt;=EV$30,ET10&lt;&gt;""),AND(FQ10&gt;=FV$26,FR10&gt;=FV$30,FQ10&lt;&gt;""),AND(FT10&gt;=FV$26,FU10&gt;=FV$30,FT10&lt;&gt;""),AND(GQ10&gt;=GV$26,GR10&gt;=GV$30,GQ10&lt;&gt;""),AND(GT10&gt;=GV$26,GU10&gt;=GV$30,GT10&lt;&gt;""),AND(HQ10&gt;=HV$26,HR10&gt;=HV$30,HQ10&lt;&gt;""),AND(HT10&gt;=HV$26,HU10&gt;=HV$30,HT10&lt;&gt;""),AND(IQ10&gt;=IV$26,IR10&gt;=IV$30,IQ10&lt;&gt;""),AND(IT10&gt;=IV$26,IU10&gt;=IV$30,IT10&lt;&gt;""),AND(JQ10&gt;=JV$26,JR10&gt;=JV$30,JQ10&lt;&gt;""),AND(JT10&gt;=JV$26,JU10&gt;=JV$30,JT10&lt;&gt;""),AND(KQ10&gt;=KV$26,KR10&gt;=KV$30,KQ10&lt;&gt;""),AND(KT10&gt;=KV$26,KU10&gt;=KV$30,KT10&lt;&gt;""),AND(LQ10&gt;=LV$26,LR10&gt;=LV$30,LQ10&lt;&gt;""),AND(LT10&gt;=LV$26,LU10&gt;=LV$30,LT10&lt;&gt;""),AND(MQ10&gt;=MV$26,MR10&gt;=MV$30,MQ10&lt;&gt;""),AND(MT10&gt;=MV$26,MU10&gt;=MV$30,MT10&lt;&gt;""),AND(NQ10&gt;=NV$26,NR10&gt;=NV$30,NQ10&lt;&gt;""),AND(NT10&gt;=NV$26,NU10&gt;=NV$30,NT10&lt;&gt;""),AND(OQ10&gt;=OV$26,OR10&gt;=OV$30,OQ10&lt;&gt;""),AND(OT10&gt;=OV$26,OU10&gt;=OV$30,OT10&lt;&gt;"")),"P","")</f>
        <v>P</v>
      </c>
      <c r="G10" s="3" t="str">
        <f>IF(OR(AND(AN10&gt;=AR$30,AN10&lt;&gt;"",AL10=""),AND(AQ10&gt;=AR$30,AQ10&lt;&gt;"",AL10=""),AND(BO10&gt;=BS$30,BO10&lt;&gt;"",BM10=""),AND(BR10&gt;=BS$30,BR10&lt;&gt;"",BM10=""),AND(CP10&gt;=CT$30,CP10&lt;&gt;"",CN10=""),AND(CS10&gt;=CT$30,CS10&lt;&gt;"",CN10=""),AND(DR10&gt;=DV$30,DR10&lt;&gt;""),AND(DU10&gt;=DV$30,DU10&lt;&gt;""),AND(ER10&gt;=EV$30,ER10&lt;&gt;""),AND(EU10&gt;=EV$30,EU10&lt;&gt;""),AND(FR10&gt;=FV$30,FR10&lt;&gt;""),AND(FU10&gt;=FV$30,FU10&lt;&gt;""),AND(GR10&gt;=GV$30,GR10&lt;&gt;""),AND(GU10&gt;=GV$30,GU10&lt;&gt;""),AND(HR10&gt;=HV$30,HR10&lt;&gt;""),AND(HU10&gt;=HV$30,HU10&lt;&gt;""),AND(IR10&gt;=IV$30,IR10&lt;&gt;""),AND(IU10&gt;=IV$30,IU10&lt;&gt;""),AND(JR10&gt;=JV$30,JR10&lt;&gt;""),AND(JU10&gt;=JV$30,JU10&lt;&gt;""),AND(KR10&gt;=KV$30,KR10&lt;&gt;""),AND(KU10&gt;=KV$30,KU10&lt;&gt;""),AND(LR10&gt;=LV$30,LR10&lt;&gt;""),AND(LU10&gt;=LV$30,LU10&lt;&gt;""),AND(MR10&gt;=MV$30,MR10&lt;&gt;""),AND(MU10&gt;=MV$30,MU10&lt;&gt;""),AND(NR10&gt;=NV$30,NR10&lt;&gt;""),AND(NU10&gt;=NV$30,NU10&lt;&gt;""),AND(OR10&gt;=OV$30,OR10&lt;&gt;""),AND(OU10&gt;=OV$30,OU10&lt;&gt;"")),"P","")</f>
        <v>P</v>
      </c>
      <c r="H10" s="66" t="str">
        <f>IF(AND(G10="P",F10=""),"No DD",IF(OR(AND(AM10&gt;=AR$29,AN10&gt;=AR$33,AM10&lt;&gt;"",AL10=""),AND(AP10&gt;=AR$29,AQ10&gt;=AR$33,AP10&lt;&gt;"",AL10=""),AND(BN10&gt;=BS$29,BO10&gt;=BS$33,BN10&lt;&gt;"",BM10=""),AND(BQ10&gt;=BS$29,BR10&gt;=BS$33,BQ10&lt;&gt;"",BM10=""),AND(CO10&gt;=CT$29,CP10&gt;=CT$33,CO10&lt;&gt;"",CN10=""),AND(CR10&gt;=CT$29,CS10&gt;=CT$33,CR10&lt;&gt;""),AND(DQ10&gt;=DV$29,DR10&gt;=DV$33,DQ10&lt;&gt;""),AND(DT10&gt;=DV$29,DU10&gt;=DV$33,DT10&lt;&gt;""),AND(EQ10&gt;=EV$29,ER10&gt;=EV$33,EQ10&lt;&gt;""),AND(ET10&gt;=EV$29,EU10&gt;=EV$33,ET10&lt;&gt;""),AND(FQ10&gt;=FV$29,FR10&gt;=FV$33,FQ10&lt;&gt;""),AND(FT10&gt;=FV$29,FU10&gt;=FV$33,FT10&lt;&gt;""),AND(GQ10&gt;=GV$29,GR10&gt;=GV$33,GQ10&lt;&gt;""),AND(GT10&gt;=GV$29,GU10&gt;=GV$33,GT10&lt;&gt;""),AND(HQ10&gt;=HV$29,HR10&gt;=HV$33,HQ10&lt;&gt;""),AND(HT10&gt;=HV$29,HU10&gt;=HV$33,HT10&lt;&gt;""),AND(IQ10&gt;=IV$29,IR10&gt;=IV$33,IQ10&lt;&gt;""),AND(IT10&gt;=IV$29,IU10&gt;=IV$33,IT10&lt;&gt;""),AND(JQ10&gt;=JV$29,JR10&gt;=JV$33,JQ10&lt;&gt;""),AND(JT10&gt;=JV$29,JU10&gt;=JV$33,JT10&lt;&gt;""),AND(KQ10&gt;=KV$29,KR10&gt;=KV$33,KQ10&lt;&gt;""),AND(KT10&gt;=KV$29,KU10&gt;=KV$33,KT10&lt;&gt;""),AND(LQ10&gt;=LV$29,LR10&gt;=LV$33,LQ10&lt;&gt;""),AND(LT10&gt;=LV$29,LU10&gt;=LV$33,LT10&lt;&gt;""),AND(MQ10&gt;=MV$29,MR10&gt;=MV$33,MQ10&lt;&gt;""),AND(MT10&gt;=MV$29,MU10&gt;=MV$33,MT10&lt;&gt;""),AND(NQ10&gt;=NV$29,NR10&gt;=NV$33,NQ10&lt;&gt;""),AND(NT10&gt;=NV$29,NU10&gt;=NV$33,NT10&lt;&gt;""),AND(OQ10&gt;=OV$29,OR10&gt;=OV$33,OQ10&lt;&gt;""),AND(OT10&gt;=OV$29,OU10&gt;=OV$33,OT10&lt;&gt;"")),"Merit",IF(OR(AND(AM10&gt;=AR$28,AN10&gt;=AR$32,AM10&lt;&gt;"",AL10=""),AND(AP10&gt;=AR$28,AQ10&gt;=AR$32,AP10&lt;&gt;"",AL10=""),AND(BN10&gt;=BS$28,BO10&gt;=BS$32,BN10&lt;&gt;"",BM10=""),AND(BQ10&gt;=BS$28,BR10&gt;=BS$32,BQ10&lt;&gt;"",BM10=""),AND(CO10&gt;=CT$28,CP10&gt;=CT$32,CO10&lt;&gt;"",CN10=""),AND(CR10&gt;=CT$28,CS10&gt;=CT$32,CR10&lt;&gt;""),AND(DQ10&gt;=DV$28,DR10&gt;=DV$32,DQ10&lt;&gt;""),AND(DT10&gt;=DV$28,DU10&gt;=DV$32,DT10&lt;&gt;""),AND(EQ10&gt;=EV$28,ER10&gt;=EV$32,EQ10&lt;&gt;""),AND(ET10&gt;=EV$28,EU10&gt;=EV$32,ET10&lt;&gt;""),AND(FQ10&gt;=FV$28,FR10&gt;=FV$32,FQ10&lt;&gt;""),AND(FT10&gt;=FV$28,FU10&gt;=FV$32,FT10&lt;&gt;""),AND(GQ10&gt;=GV$28,GR10&gt;=GV$32,GQ10&lt;&gt;""),AND(GT10&gt;=GV$28,GU10&gt;=GV$32,GT10&lt;&gt;""),AND(HQ10&gt;=HV$28,HR10&gt;=HV$32,HQ10&lt;&gt;""),AND(HT10&gt;=HV$28,HU10&gt;=HV$32,HT10&lt;&gt;""),AND(IQ10&gt;=IV$28,IR10&gt;=IV$32,IQ10&lt;&gt;""),AND(IT10&gt;=IV$28,IU10&gt;=IV$32,IT10&lt;&gt;""),AND(JQ10&gt;=JV$28,JR10&gt;=JV$32,JQ10&lt;&gt;""),AND(JT10&gt;=JV$28,JU10&gt;=JV$32,JT10&lt;&gt;""),AND(KQ10&gt;=KV$28,KR10&gt;=KV$32,KQ10&lt;&gt;""),AND(KT10&gt;=KV$28,KU10&gt;=KV$32,KT10&lt;&gt;""),AND(LQ10&gt;=LV$28,LR10&gt;=LV$32,LQ10&lt;&gt;""),AND(LT10&gt;=LV$28,LU10&gt;=LV$32,LT10&lt;&gt;""),AND(MQ10&gt;=MV$28,MR10&gt;=MV$32,MQ10&lt;&gt;""),AND(MT10&gt;=MV$28,MU10&gt;=MV$32,MT10&lt;&gt;""),AND(NQ10&gt;=NV$28,NR10&gt;=NV$32,NQ10&lt;&gt;""),AND(NT10&gt;=NV$28,NU10&gt;=NV$32,NT10&lt;&gt;""),AND(OQ10&gt;=OV$28,OR10&gt;=OV$32,OQ10&lt;&gt;""),AND(OT10&gt;=OV$28,OU10&gt;=OV$32,OT10&lt;&gt;"")),"Excellence",IF(F10="P","National Team",""))))</f>
        <v>National Team</v>
      </c>
      <c r="I10" s="14">
        <f>IF(COUNT(AN10,BO10,CP10)&gt;0,LARGE((AN10,BO10,CP10),1),0)</f>
        <v>42.22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0</v>
      </c>
      <c r="L10" s="14" t="str">
        <f>IF(K10=0,"",IF(K10=CP10,$BT$1,IF(K10=BO10,$AS$1,IF(K10=AN10,$R$1,""))))</f>
        <v/>
      </c>
      <c r="M10" s="14">
        <f>IF(MAX(AQ10,BR10,CS10)&gt;0,MAX(AQ10,BR10,CS10),0)</f>
        <v>41.859999999999992</v>
      </c>
      <c r="N10" s="14" t="str">
        <f>IF(M10=0,"",IF(M10=CS10,$BT$1,IF(M10=BR10,$AS$1,IF(M10=AQ10,$R$1,""))))</f>
        <v>2022 Elite Canada</v>
      </c>
      <c r="O10" s="14">
        <f>IF(MAX(CU10:CV10)&gt;0,MAX(CU10:CV10),"")</f>
        <v>2.2400000000000091</v>
      </c>
      <c r="P10" s="19" t="str">
        <f>IF(O10="","",IF(O10=CU10,"("&amp;CU$2&amp;")",IF(O10=CV10,"("&amp;CV$2&amp;")")))</f>
        <v>(Final)</v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>2022 Coimbra Gym Fest (June 26)</v>
      </c>
      <c r="R10" s="26">
        <v>17.100000000000001</v>
      </c>
      <c r="S10" s="26">
        <v>3.9</v>
      </c>
      <c r="T10" s="26">
        <v>0</v>
      </c>
      <c r="U10" s="26">
        <v>0.3</v>
      </c>
      <c r="V10" s="26">
        <v>16.52</v>
      </c>
      <c r="W10" s="26">
        <v>4.0999999999999996</v>
      </c>
      <c r="X10" s="26">
        <v>0</v>
      </c>
      <c r="Y10" s="26">
        <v>0.3</v>
      </c>
      <c r="Z10" s="26"/>
      <c r="AA10" s="26"/>
      <c r="AB10" s="26"/>
      <c r="AC10" s="26"/>
      <c r="AD10" s="26">
        <v>16.899999999999999</v>
      </c>
      <c r="AE10" s="26">
        <v>3.9</v>
      </c>
      <c r="AF10" s="26">
        <v>0</v>
      </c>
      <c r="AG10" s="26">
        <v>0.3</v>
      </c>
      <c r="AH10" s="26">
        <v>16.36</v>
      </c>
      <c r="AI10" s="26">
        <v>4.0999999999999996</v>
      </c>
      <c r="AJ10" s="26">
        <v>0</v>
      </c>
      <c r="AK10" s="26">
        <v>0.3</v>
      </c>
      <c r="AL10" s="44"/>
      <c r="AM10" s="78">
        <f>IF(SUM(S10,W10)&gt;0,SUM(S10,W10),"")</f>
        <v>8</v>
      </c>
      <c r="AN10" s="78">
        <f>IF(SUM(R10:S10,U10:W10,Y10)-T10-X10&gt;0,SUM(R10:S10,U10:W10,Y10)-T10-X10,"")</f>
        <v>42.22</v>
      </c>
      <c r="AO10" s="78" t="str">
        <f>IF(SUM(Z10:AA10,AC10)-AB10&gt;0,SUM(Z10:AA10,AC10)-AB10,"")</f>
        <v/>
      </c>
      <c r="AP10" s="78">
        <f>IF(SUM(AE10,AI10)&gt;0,SUM(AE10,AI10),"")</f>
        <v>8</v>
      </c>
      <c r="AQ10" s="78">
        <f>IF(SUM(AD10:AE10,AG10:AI10,AK10)-SUM(AF10,AJ10)&gt;0,SUM(AD10:AE10,AG10:AI10,AK10)-SUM(AF10,AJ10),"")</f>
        <v>41.859999999999992</v>
      </c>
      <c r="AR10" s="78">
        <f>IF(SUM(AN10,AQ10)&gt;0,SUM(AN10,AQ10),"")</f>
        <v>84.079999999999984</v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>IF(SUM(AT10,AX10)&gt;0,SUM(AT10,AX10),"")</f>
        <v/>
      </c>
      <c r="BO10" s="19" t="str">
        <f>IF(SUM(AS10:AT10,AV10:AX10,AZ10)-AU10-AY10&gt;0,SUM(AS10:AT10,AV10:AX10,AZ10)-AU10-AY10,"")</f>
        <v/>
      </c>
      <c r="BP10" s="19" t="str">
        <f>IF(SUM(BA10:BB10,BD10)-BC10&gt;0,SUM(BA10:BB10,BD10)-BC10,"")</f>
        <v/>
      </c>
      <c r="BQ10" s="19" t="str">
        <f>IF(SUM(BF10,BJ10)&gt;0,SUM(BF10,BJ10),"")</f>
        <v/>
      </c>
      <c r="BR10" s="19" t="str">
        <f>IF(SUM(BE10:BF10,BH10:BJ10,BL10)-SUM(BG10,BK10)&gt;0,SUM(BE10:BF10,BH10:BJ10,BL10)-SUM(BG10,BK10),"")</f>
        <v/>
      </c>
      <c r="BS10" s="19" t="str">
        <f>IF(SUM(BO10,BR10)&gt;0,SUM(BO10,BR10),"")</f>
        <v/>
      </c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44"/>
      <c r="CO10" s="78" t="str">
        <f>IF(SUM(BU10,BY10)&gt;0,SUM(BU10,BY10),"")</f>
        <v/>
      </c>
      <c r="CP10" s="78" t="str">
        <f>IF(SUM(BT10:BU10,BW10:BY10,CA10)-BV10-BZ10&gt;0,SUM(BT10:BU10,BW10:BY10,CA10)-BV10-BZ10,"")</f>
        <v/>
      </c>
      <c r="CQ10" s="78" t="str">
        <f>IF(SUM(CB10:CC10,CE10)-CD10&gt;0,SUM(CB10:CC10,CE10)-CD10,"")</f>
        <v/>
      </c>
      <c r="CR10" s="78" t="str">
        <f>IF(SUM(CG10,CK10)&gt;0,SUM(CG10,CK10),"")</f>
        <v/>
      </c>
      <c r="CS10" s="78" t="str">
        <f>IF(SUM(CF10:CG10,CI10:CK10,CM10)-SUM(CH10,CL10)&gt;0,SUM(CF10:CG10,CI10:CK10,CM10)-SUM(CH10,CL10),"")</f>
        <v/>
      </c>
      <c r="CT10" s="78" t="str">
        <f>IF(SUM(CP10,CS10)&gt;0,SUM(CP10,CS10),"")</f>
        <v/>
      </c>
      <c r="CU10" s="79" t="str">
        <f>IF(K10&gt;=0.001,IF(MAX(DR10,ER10,FR10,GR10,HR10,IR10,JR10,KR10,LR10,MR10,NR10,OR10)-IF(K10="",0,K10)&gt;0.001,MAX(DR10,ER10,FR10,GR10,HR10,IR10,JR10,KR10,LR10,MR10,NR10,OR10)-IF(K10="",0,K10),""),"")</f>
        <v/>
      </c>
      <c r="CV10" s="79">
        <f>IF(M10&gt;=0.001,IF(MAX(DU10,EU10,FU10,GU10,HU10,IU10,JU10,KU10,LU10,MU10,NU10,OU10)-IF(M10="",0,M10)&gt;0.001,MAX(DU10,EU10,FU10,GU10,HU10,IU10,JU10,KU10,LU10,MU10,NU10,OU10)-IF(M10="",0,M10),""),"")</f>
        <v>2.2400000000000091</v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>IF(SUM(CX10,DB10)&gt;0,SUM(CX10,DB10),"")</f>
        <v/>
      </c>
      <c r="DR10" s="78" t="str">
        <f>IF(SUM(CW10:CX10,CZ10:DB10,DD10)-CY10-DC10&gt;0,SUM(CW10:CX10,CZ10:DB10,DD10)-CY10-DC10,"")</f>
        <v/>
      </c>
      <c r="DS10" s="78" t="str">
        <f>IF(SUM(DE10:DF10,DH10)-DG10&gt;0,SUM(DE10:DF10,DH10)-DG10,"")</f>
        <v/>
      </c>
      <c r="DT10" s="78" t="str">
        <f>IF(SUM(DJ10,DN10)&gt;0,SUM(DJ10,DN10),"")</f>
        <v/>
      </c>
      <c r="DU10" s="78" t="str">
        <f>IF(SUM(DI10:DJ10,DL10:DN10,DP10)-SUM(DK10,DO10)&gt;0,SUM(DI10:DJ10,DL10:DN10,DP10)-SUM(DK10,DO10),"")</f>
        <v/>
      </c>
      <c r="DV10" s="78" t="str">
        <f>IF(SUM(DR10,DU10)&gt;0,SUM(DR10,DU10),"")</f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>IF(SUM(DX10,EB10)&gt;0,SUM(DX10,EB10),"")</f>
        <v/>
      </c>
      <c r="ER10" s="19" t="str">
        <f>IF(SUM(DW10:DX10,DZ10:EB10,ED10)-DY10-EC10&gt;0,SUM(DW10:DX10,DZ10:EB10,ED10)-DY10-EC10,"")</f>
        <v/>
      </c>
      <c r="ES10" s="19" t="str">
        <f>IF(SUM(EE10:EF10,EH10)-EG10&gt;0,SUM(EE10:EF10,EH10)-EG10,"")</f>
        <v/>
      </c>
      <c r="ET10" s="19" t="str">
        <f>IF(SUM(EJ10,EN10)&gt;0,SUM(EJ10,EN10),"")</f>
        <v/>
      </c>
      <c r="EU10" s="19" t="str">
        <f>IF(SUM(EI10:EJ10,EL10:EN10,EP10)-SUM(EK10,EO10)&gt;0,SUM(EI10:EJ10,EL10:EN10,EP10)-SUM(EK10,EO10),"")</f>
        <v/>
      </c>
      <c r="EV10" s="19" t="str">
        <f>IF(SUM(ER10,EU10)&gt;0,SUM(ER10,EU10),"")</f>
        <v/>
      </c>
      <c r="EW10" s="24">
        <v>16</v>
      </c>
      <c r="EX10" s="24">
        <v>1.9</v>
      </c>
      <c r="EY10" s="24">
        <v>0</v>
      </c>
      <c r="EZ10" s="24">
        <v>0</v>
      </c>
      <c r="FA10" s="24">
        <v>16.2</v>
      </c>
      <c r="FB10" s="24">
        <v>4.0999999999999996</v>
      </c>
      <c r="FC10" s="24">
        <v>0.2</v>
      </c>
      <c r="FD10" s="24">
        <v>0</v>
      </c>
      <c r="FE10" s="24"/>
      <c r="FF10" s="24"/>
      <c r="FG10" s="24"/>
      <c r="FH10" s="24"/>
      <c r="FI10" s="24">
        <v>17.899999999999999</v>
      </c>
      <c r="FJ10" s="24">
        <v>4.0999999999999996</v>
      </c>
      <c r="FK10" s="24">
        <v>0</v>
      </c>
      <c r="FL10" s="24">
        <v>0</v>
      </c>
      <c r="FM10" s="24">
        <v>18.2</v>
      </c>
      <c r="FN10" s="24">
        <v>3.9</v>
      </c>
      <c r="FO10" s="24">
        <v>0</v>
      </c>
      <c r="FP10" s="24">
        <v>0</v>
      </c>
      <c r="FQ10" s="78">
        <f>IF(SUM(EX10,FB10)&gt;0,SUM(EX10,FB10),"")</f>
        <v>6</v>
      </c>
      <c r="FR10" s="78">
        <f>IF(SUM(EW10:EX10,EZ10:FB10,FD10)-EY10-FC10&gt;0,SUM(EW10:EX10,EZ10:FB10,FD10)-EY10-FC10,"")</f>
        <v>37.999999999999993</v>
      </c>
      <c r="FS10" s="78" t="str">
        <f>IF(SUM(FE10:FF10,FH10)-FG10&gt;0,SUM(FE10:FF10,FH10)-FG10,"")</f>
        <v/>
      </c>
      <c r="FT10" s="78">
        <f>IF(SUM(FJ10,FN10)&gt;0,SUM(FJ10,FN10),"")</f>
        <v>8</v>
      </c>
      <c r="FU10" s="78">
        <f>IF(SUM(FI10:FJ10,FL10:FN10,FP10)-SUM(FK10,FO10)&gt;0,SUM(FI10:FJ10,FL10:FN10,FP10)-SUM(FK10,FO10),"")</f>
        <v>44.1</v>
      </c>
      <c r="FV10" s="78">
        <f>IF(SUM(FR10,FU10)&gt;0,SUM(FR10,FU10),"")</f>
        <v>82.1</v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>IF(SUM(FX10,GB10)&gt;0,SUM(FX10,GB10),"")</f>
        <v/>
      </c>
      <c r="GR10" s="19" t="str">
        <f>IF(SUM(FW10:FX10,FZ10:GB10,GD10)-FY10-GC10&gt;0,SUM(FW10:FX10,FZ10:GB10,GD10)-FY10-GC10,"")</f>
        <v/>
      </c>
      <c r="GS10" s="19" t="str">
        <f>IF(SUM(GE10:GF10,GH10)-GG10&gt;0,SUM(GE10:GF10,GH10)-GG10,"")</f>
        <v/>
      </c>
      <c r="GT10" s="19" t="str">
        <f>IF(SUM(GJ10,GN10)&gt;0,SUM(GJ10,GN10),"")</f>
        <v/>
      </c>
      <c r="GU10" s="19" t="str">
        <f>IF(SUM(GI10:GJ10,GL10:GN10,GP10)-SUM(GK10,GO10)&gt;0,SUM(GI10:GJ10,GL10:GN10,GP10)-SUM(GK10,GO10),"")</f>
        <v/>
      </c>
      <c r="GV10" s="19" t="str">
        <f>IF(SUM(GR10,GU10)&gt;0,SUM(GR10,GU10),"")</f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>IF(SUM(GX10,HB10)&gt;0,SUM(GX10,HB10),"")</f>
        <v/>
      </c>
      <c r="HR10" s="78" t="str">
        <f>IF(SUM(GW10:GX10,GZ10:HB10,HD10)-GY10-HC10&gt;0,SUM(GW10:GX10,GZ10:HB10,HD10)-GY10-HC10,"")</f>
        <v/>
      </c>
      <c r="HS10" s="78" t="str">
        <f>IF(SUM(HE10:HF10,HH10)-HG10&gt;0,SUM(HE10:HF10,HH10)-HG10,"")</f>
        <v/>
      </c>
      <c r="HT10" s="78" t="str">
        <f>IF(SUM(HJ10,HN10)&gt;0,SUM(HJ10,HN10),"")</f>
        <v/>
      </c>
      <c r="HU10" s="78" t="str">
        <f>IF(SUM(HI10:HJ10,HL10:HN10,HP10)-SUM(HK10,HO10)&gt;0,SUM(HI10:HJ10,HL10:HN10,HP10)-SUM(HK10,HO10),"")</f>
        <v/>
      </c>
      <c r="HV10" s="78" t="str">
        <f>IF(SUM(HR10,HU10)&gt;0,SUM(HR10,HU10),"")</f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>IF(SUM(HX10,IB10)&gt;0,SUM(HX10,IB10),"")</f>
        <v/>
      </c>
      <c r="IR10" s="19" t="str">
        <f>IF(SUM(HW10:HX10,HZ10:IB10,ID10)-HY10-IC10&gt;0,SUM(HW10:HX10,HZ10:IB10,ID10)-HY10-IC10,"")</f>
        <v/>
      </c>
      <c r="IS10" s="19" t="str">
        <f>IF(SUM(IE10:IF10,IH10)-IG10&gt;0,SUM(IE10:IF10,IH10)-IG10,"")</f>
        <v/>
      </c>
      <c r="IT10" s="19" t="str">
        <f>IF(SUM(IJ10,IN10)&gt;0,SUM(IJ10,IN10),"")</f>
        <v/>
      </c>
      <c r="IU10" s="19" t="str">
        <f>IF(SUM(II10:IJ10,IL10:IN10,IP10)-SUM(IK10,IO10)&gt;0,SUM(II10:IJ10,IL10:IN10,IP10)-SUM(IK10,IO10),"")</f>
        <v/>
      </c>
      <c r="IV10" s="19" t="str">
        <f>IF(SUM(IR10,IU10)&gt;0,SUM(IR10,IU10),"")</f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>IF(SUM(IX10,JB10)&gt;0,SUM(IX10,JB10),"")</f>
        <v/>
      </c>
      <c r="JR10" s="78" t="str">
        <f>IF(SUM(IW10:IX10,IZ10:JB10,JD10)-IY10-JC10&gt;0,SUM(IW10:IX10,IZ10:JB10,JD10)-IY10-JC10,"")</f>
        <v/>
      </c>
      <c r="JS10" s="78" t="str">
        <f>IF(SUM(JE10:JF10,JH10)-JG10&gt;0,SUM(JE10:JF10,JH10)-JG10,"")</f>
        <v/>
      </c>
      <c r="JT10" s="78" t="str">
        <f>IF(SUM(JJ10,JN10)&gt;0,SUM(JJ10,JN10),"")</f>
        <v/>
      </c>
      <c r="JU10" s="78" t="str">
        <f>IF(SUM(JI10:JJ10,JL10:JN10,JP10)-SUM(JK10,JO10)&gt;0,SUM(JI10:JJ10,JL10:JN10,JP10)-SUM(JK10,JO10),"")</f>
        <v/>
      </c>
      <c r="JV10" s="78" t="str">
        <f>IF(SUM(JR10,JU10)&gt;0,SUM(JR10,JU10),"")</f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>IF(SUM(JX10,KB10)&gt;0,SUM(JX10,KB10),"")</f>
        <v/>
      </c>
      <c r="KR10" s="19" t="str">
        <f>IF(SUM(JW10:JX10,JZ10:KB10,KD10)-JY10-KC10&gt;0,SUM(JW10:JX10,JZ10:KB10,KD10)-JY10-KC10,"")</f>
        <v/>
      </c>
      <c r="KS10" s="19" t="str">
        <f>IF(SUM(KE10:KF10,KH10)-KG10&gt;0,SUM(KE10:KF10,KH10)-KG10,"")</f>
        <v/>
      </c>
      <c r="KT10" s="19" t="str">
        <f>IF(SUM(KJ10,KN10)&gt;0,SUM(KJ10,KN10),"")</f>
        <v/>
      </c>
      <c r="KU10" s="19" t="str">
        <f>IF(SUM(KI10:KJ10,KL10:KN10,KP10)-SUM(KK10,KO10)&gt;0,SUM(KI10:KJ10,KL10:KN10,KP10)-SUM(KK10,KO10),"")</f>
        <v/>
      </c>
      <c r="KV10" s="19" t="str">
        <f>IF(SUM(KR10,KU10)&gt;0,SUM(KR10,KU10),"")</f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>IF(SUM(KX10,LB10)&gt;0,SUM(KX10,LB10),"")</f>
        <v/>
      </c>
      <c r="LR10" s="78" t="str">
        <f>IF(SUM(KW10:KX10,KZ10:LB10,LD10)-KY10-LC10&gt;0,SUM(KW10:KX10,KZ10:LB10,LD10)-KY10-LC10,"")</f>
        <v/>
      </c>
      <c r="LS10" s="78" t="str">
        <f>IF(SUM(LE10:LF10,LH10)-LG10&gt;0,SUM(LE10:LF10,LH10)-LG10,"")</f>
        <v/>
      </c>
      <c r="LT10" s="78" t="str">
        <f>IF(SUM(LJ10,LN10)&gt;0,SUM(LJ10,LN10),"")</f>
        <v/>
      </c>
      <c r="LU10" s="78" t="str">
        <f>IF(SUM(LI10:LJ10,LL10:LN10,LP10)-SUM(LK10,LO10)&gt;0,SUM(LI10:LJ10,LL10:LN10,LP10)-SUM(LK10,LO10),"")</f>
        <v/>
      </c>
      <c r="LV10" s="78" t="str">
        <f>IF(SUM(LR10,LU10)&gt;0,SUM(LR10,LU10),"")</f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>IF(SUM(LX10,MB10)&gt;0,SUM(LX10,MB10),"")</f>
        <v/>
      </c>
      <c r="MR10" s="19" t="str">
        <f>IF(SUM(LW10:LX10,LZ10:MB10,MD10)-LY10-MC10&gt;0,SUM(LW10:LX10,LZ10:MB10,MD10)-LY10-MC10,"")</f>
        <v/>
      </c>
      <c r="MS10" s="19" t="str">
        <f>IF(SUM(ME10:MF10,MH10)-MG10&gt;0,SUM(ME10:MF10,MH10)-MG10,"")</f>
        <v/>
      </c>
      <c r="MT10" s="19" t="str">
        <f>IF(SUM(MJ10,MN10)&gt;0,SUM(MJ10,MN10),"")</f>
        <v/>
      </c>
      <c r="MU10" s="19" t="str">
        <f>IF(SUM(MI10:MJ10,ML10:MN10,MP10)-SUM(MK10,MO10)&gt;0,SUM(MI10:MJ10,ML10:MN10,MP10)-SUM(MK10,MO10),"")</f>
        <v/>
      </c>
      <c r="MV10" s="19" t="str">
        <f>IF(SUM(MR10,MU10)&gt;0,SUM(MR10,MU10),"")</f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>IF(SUM(MX10,NB10)&gt;0,SUM(MX10,NB10),"")</f>
        <v/>
      </c>
      <c r="NR10" s="78" t="str">
        <f>IF(SUM(MW10:MX10,MZ10:NB10,ND10)-MY10-NC10&gt;0,SUM(MW10:MX10,MZ10:NB10,ND10)-MY10-NC10,"")</f>
        <v/>
      </c>
      <c r="NS10" s="78" t="str">
        <f>IF(SUM(NE10:NF10,NH10)-NG10&gt;0,SUM(NE10:NF10,NH10)-NG10,"")</f>
        <v/>
      </c>
      <c r="NT10" s="78" t="str">
        <f>IF(SUM(NJ10,NN10)&gt;0,SUM(NJ10,NN10),"")</f>
        <v/>
      </c>
      <c r="NU10" s="78" t="str">
        <f>IF(SUM(NI10:NJ10,NL10:NN10,NP10)-SUM(NK10,NO10)&gt;0,SUM(NI10:NJ10,NL10:NN10,NP10)-SUM(NK10,NO10),"")</f>
        <v/>
      </c>
      <c r="NV10" s="78" t="str">
        <f>IF(SUM(NR10,NU10)&gt;0,SUM(NR10,NU10),"")</f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>IF(SUM(NX10,OB10)&gt;0,SUM(NX10,OB10),"")</f>
        <v/>
      </c>
      <c r="OR10" s="19" t="str">
        <f>IF(SUM(NW10:NX10,NZ10:OB10,OD10)-NY10-OC10&gt;0,SUM(NW10:NX10,NZ10:OB10,OD10)-NY10-OC10,"")</f>
        <v/>
      </c>
      <c r="OS10" s="19" t="str">
        <f>IF(SUM(OE10:OF10,OH10)-OG10&gt;0,SUM(OE10:OF10,OH10)-OG10,"")</f>
        <v/>
      </c>
      <c r="OT10" s="19" t="str">
        <f>IF(SUM(OJ10,ON10)&gt;0,SUM(OJ10,ON10),"")</f>
        <v/>
      </c>
      <c r="OU10" s="19" t="str">
        <f>IF(SUM(OI10:OJ10,OL10:ON10,OP10)-SUM(OK10,OO10)&gt;0,SUM(OI10:OJ10,OL10:ON10,OP10)-SUM(OK10,OO10),"")</f>
        <v/>
      </c>
      <c r="OV10" s="19" t="str">
        <f>IF(SUM(OR10,OU10)&gt;0,SUM(OR10,OU10),"")</f>
        <v/>
      </c>
      <c r="OW10" s="37">
        <f>IF($CN10="P",BT10,(BT10+AS10)/2)</f>
        <v>0</v>
      </c>
      <c r="OX10" s="37">
        <f>IF($CN10="P",BU10,(BU10+AT10)/2)</f>
        <v>0</v>
      </c>
      <c r="OY10" s="37">
        <f>IF($CN10="P",BV10,(BV10+AU10)/2)</f>
        <v>0</v>
      </c>
      <c r="OZ10" s="37">
        <f>IF($CN10="P",BW10,(BW10+AV10)/2)</f>
        <v>0</v>
      </c>
      <c r="PA10" s="37">
        <f>IF($CN10="P",BX10,(BX10+AW10)/2)</f>
        <v>0</v>
      </c>
      <c r="PB10" s="37">
        <f>IF($CN10="P",BY10,(BY10+AX10)/2)</f>
        <v>0</v>
      </c>
      <c r="PC10" s="37">
        <f>IF($CN10="P",BZ10,(BZ10+AY10)/2)</f>
        <v>0</v>
      </c>
      <c r="PD10" s="37">
        <f>IF($CN10="P",CA10,(CA10+AZ10)/2)</f>
        <v>0</v>
      </c>
      <c r="PE10" s="37">
        <f>IF($CN10="P",CB10,(CB10+BA10)/2)</f>
        <v>0</v>
      </c>
      <c r="PF10" s="37">
        <f>IF($CN10="P",CC10,(CC10+BB10)/2)</f>
        <v>0</v>
      </c>
      <c r="PG10" s="37">
        <f>IF($CN10="P",CD10,(CD10+BC10)/2)</f>
        <v>0</v>
      </c>
      <c r="PH10" s="37">
        <f>IF($CN10="P",CE10,(CE10+BD10)/2)</f>
        <v>0</v>
      </c>
      <c r="PI10" s="37">
        <f>IF($CN10="P",CF10,(CF10+BE10)/2)</f>
        <v>0</v>
      </c>
      <c r="PJ10" s="37">
        <f>IF($CN10="P",CG10,(CG10+BF10)/2)</f>
        <v>0</v>
      </c>
      <c r="PK10" s="37">
        <f>IF($CN10="P",CH10,(CH10+BG10)/2)</f>
        <v>0</v>
      </c>
      <c r="PL10" s="37">
        <f>IF($CN10="P",CI10,(CI10+BH10)/2)</f>
        <v>0</v>
      </c>
      <c r="PM10" s="37">
        <f>IF($CN10="P",CJ10,(CJ10+BI10)/2)</f>
        <v>0</v>
      </c>
      <c r="PN10" s="37">
        <f>IF($CN10="P",CK10,(CK10+BJ10)/2)</f>
        <v>0</v>
      </c>
      <c r="PO10" s="37">
        <f>IF($CN10="P",CL10,(CL10+BK10)/2)</f>
        <v>0</v>
      </c>
      <c r="PP10" s="37">
        <f>IF($CN10="P",CM10,(CM10+BL10)/2)</f>
        <v>0</v>
      </c>
      <c r="PQ10" s="44" t="s">
        <v>46</v>
      </c>
      <c r="PR10" s="78" t="str">
        <f>IF(SUM(OX10,PB10)&gt;0,SUM(OX10,PB10),"")</f>
        <v/>
      </c>
      <c r="PS10" s="78" t="str">
        <f>IF(SUM(OW10:OX10,OZ10:PB10,PD10)-OY10-PC10&gt;0,SUM(OW10:OX10,OZ10:PB10,PD10)-OY10-PC10,"")</f>
        <v/>
      </c>
      <c r="PT10" s="78" t="str">
        <f>IF(SUM(PE10:PF10,PH10)-PG10&gt;0,SUM(PE10:PF10,PH10)-PG10,"")</f>
        <v/>
      </c>
      <c r="PU10" s="78" t="str">
        <f>IF(SUM(PJ10,PN10)&gt;0,SUM(PJ10,PN10),"")</f>
        <v/>
      </c>
      <c r="PV10" s="78" t="str">
        <f>IF(SUM(PI10:PJ10,PL10:PN10,PP10)-SUM(PK10,PO10)&gt;0,SUM(PI10:PJ10,PL10:PN10,PP10)-SUM(PK10,PO10),"")</f>
        <v/>
      </c>
      <c r="PW10" s="78" t="str">
        <f>IF(SUM(PS10,PV10)&gt;0,SUM(PS10,PV10),"")</f>
        <v/>
      </c>
    </row>
    <row r="11" spans="1:439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77" t="s">
        <v>101</v>
      </c>
      <c r="C11" s="5" t="s">
        <v>4</v>
      </c>
      <c r="D11" s="5">
        <v>2001</v>
      </c>
      <c r="E11" s="15">
        <f>SUM(I11:O11)+SUM(I11:M11)*0.0000001+SUM(I11)*0.0000000000001</f>
        <v>125.58001255800419</v>
      </c>
      <c r="F11" s="3" t="str">
        <f>IF(OR(AND(AM11&gt;=AR$26,AN11&gt;=AR$30,AM11&lt;&gt;"",AL11=""),AND(AP11&gt;=AR$26,AQ11&gt;=AR$30,AP11&lt;&gt;"",AL11=""),AND(BN11&gt;=BS$26,BO11&gt;=BS$30,BN11&lt;&gt;"",BM11=""),AND(BQ11&gt;=BS$26,BR11&gt;=BS$30,BQ11&lt;&gt;"",BM11=""),AND(CO11&gt;=CT$26,CP11&gt;=CT$30,CO11&lt;&gt;"",CN11=""),AND(CR11&gt;=CT$26,CS11&gt;=CT$30,CR11&lt;&gt;""),AND(DQ11&gt;=DV$26,DR11&gt;=DV$30,DQ11&lt;&gt;""),AND(DT11&gt;=DV$26,DU11&gt;=DV$30,DT11&lt;&gt;""),AND(EQ11&gt;=EV$26,ER11&gt;=EV$30,EQ11&lt;&gt;""),AND(ET11&gt;=EV$26,EU11&gt;=EV$30,ET11&lt;&gt;""),AND(FQ11&gt;=FV$26,FR11&gt;=FV$30,FQ11&lt;&gt;""),AND(FT11&gt;=FV$26,FU11&gt;=FV$30,FT11&lt;&gt;""),AND(GQ11&gt;=GV$26,GR11&gt;=GV$30,GQ11&lt;&gt;""),AND(GT11&gt;=GV$26,GU11&gt;=GV$30,GT11&lt;&gt;""),AND(HQ11&gt;=HV$26,HR11&gt;=HV$30,HQ11&lt;&gt;""),AND(HT11&gt;=HV$26,HU11&gt;=HV$30,HT11&lt;&gt;""),AND(IQ11&gt;=IV$26,IR11&gt;=IV$30,IQ11&lt;&gt;""),AND(IT11&gt;=IV$26,IU11&gt;=IV$30,IT11&lt;&gt;""),AND(JQ11&gt;=JV$26,JR11&gt;=JV$30,JQ11&lt;&gt;""),AND(JT11&gt;=JV$26,JU11&gt;=JV$30,JT11&lt;&gt;""),AND(KQ11&gt;=KV$26,KR11&gt;=KV$30,KQ11&lt;&gt;""),AND(KT11&gt;=KV$26,KU11&gt;=KV$30,KT11&lt;&gt;""),AND(LQ11&gt;=LV$26,LR11&gt;=LV$30,LQ11&lt;&gt;""),AND(LT11&gt;=LV$26,LU11&gt;=LV$30,LT11&lt;&gt;""),AND(MQ11&gt;=MV$26,MR11&gt;=MV$30,MQ11&lt;&gt;""),AND(MT11&gt;=MV$26,MU11&gt;=MV$30,MT11&lt;&gt;""),AND(NQ11&gt;=NV$26,NR11&gt;=NV$30,NQ11&lt;&gt;""),AND(NT11&gt;=NV$26,NU11&gt;=NV$30,NT11&lt;&gt;""),AND(OQ11&gt;=OV$26,OR11&gt;=OV$30,OQ11&lt;&gt;""),AND(OT11&gt;=OV$26,OU11&gt;=OV$30,OT11&lt;&gt;"")),"P","")</f>
        <v/>
      </c>
      <c r="G11" s="3" t="str">
        <f>IF(OR(AND(AN11&gt;=AR$30,AN11&lt;&gt;"",AL11=""),AND(AQ11&gt;=AR$30,AQ11&lt;&gt;"",AL11=""),AND(BO11&gt;=BS$30,BO11&lt;&gt;"",BM11=""),AND(BR11&gt;=BS$30,BR11&lt;&gt;"",BM11=""),AND(CP11&gt;=CT$30,CP11&lt;&gt;"",CN11=""),AND(CS11&gt;=CT$30,CS11&lt;&gt;"",CN11=""),AND(DR11&gt;=DV$30,DR11&lt;&gt;""),AND(DU11&gt;=DV$30,DU11&lt;&gt;""),AND(ER11&gt;=EV$30,ER11&lt;&gt;""),AND(EU11&gt;=EV$30,EU11&lt;&gt;""),AND(FR11&gt;=FV$30,FR11&lt;&gt;""),AND(FU11&gt;=FV$30,FU11&lt;&gt;""),AND(GR11&gt;=GV$30,GR11&lt;&gt;""),AND(GU11&gt;=GV$30,GU11&lt;&gt;""),AND(HR11&gt;=HV$30,HR11&lt;&gt;""),AND(HU11&gt;=HV$30,HU11&lt;&gt;""),AND(IR11&gt;=IV$30,IR11&lt;&gt;""),AND(IU11&gt;=IV$30,IU11&lt;&gt;""),AND(JR11&gt;=JV$30,JR11&lt;&gt;""),AND(JU11&gt;=JV$30,JU11&lt;&gt;""),AND(KR11&gt;=KV$30,KR11&lt;&gt;""),AND(KU11&gt;=KV$30,KU11&lt;&gt;""),AND(LR11&gt;=LV$30,LR11&lt;&gt;""),AND(LU11&gt;=LV$30,LU11&lt;&gt;""),AND(MR11&gt;=MV$30,MR11&lt;&gt;""),AND(MU11&gt;=MV$30,MU11&lt;&gt;""),AND(NR11&gt;=NV$30,NR11&lt;&gt;""),AND(NU11&gt;=NV$30,NU11&lt;&gt;""),AND(OR11&gt;=OV$30,OR11&lt;&gt;""),AND(OU11&gt;=OV$30,OU11&lt;&gt;"")),"P","")</f>
        <v/>
      </c>
      <c r="H11" s="66" t="str">
        <f>IF(AND(G11="P",F11=""),"No DD",IF(OR(AND(AM11&gt;=AR$29,AN11&gt;=AR$33,AM11&lt;&gt;"",AL11=""),AND(AP11&gt;=AR$29,AQ11&gt;=AR$33,AP11&lt;&gt;"",AL11=""),AND(BN11&gt;=BS$29,BO11&gt;=BS$33,BN11&lt;&gt;"",BM11=""),AND(BQ11&gt;=BS$29,BR11&gt;=BS$33,BQ11&lt;&gt;"",BM11=""),AND(CO11&gt;=CT$29,CP11&gt;=CT$33,CO11&lt;&gt;"",CN11=""),AND(CR11&gt;=CT$29,CS11&gt;=CT$33,CR11&lt;&gt;""),AND(DQ11&gt;=DV$29,DR11&gt;=DV$33,DQ11&lt;&gt;""),AND(DT11&gt;=DV$29,DU11&gt;=DV$33,DT11&lt;&gt;""),AND(EQ11&gt;=EV$29,ER11&gt;=EV$33,EQ11&lt;&gt;""),AND(ET11&gt;=EV$29,EU11&gt;=EV$33,ET11&lt;&gt;""),AND(FQ11&gt;=FV$29,FR11&gt;=FV$33,FQ11&lt;&gt;""),AND(FT11&gt;=FV$29,FU11&gt;=FV$33,FT11&lt;&gt;""),AND(GQ11&gt;=GV$29,GR11&gt;=GV$33,GQ11&lt;&gt;""),AND(GT11&gt;=GV$29,GU11&gt;=GV$33,GT11&lt;&gt;""),AND(HQ11&gt;=HV$29,HR11&gt;=HV$33,HQ11&lt;&gt;""),AND(HT11&gt;=HV$29,HU11&gt;=HV$33,HT11&lt;&gt;""),AND(IQ11&gt;=IV$29,IR11&gt;=IV$33,IQ11&lt;&gt;""),AND(IT11&gt;=IV$29,IU11&gt;=IV$33,IT11&lt;&gt;""),AND(JQ11&gt;=JV$29,JR11&gt;=JV$33,JQ11&lt;&gt;""),AND(JT11&gt;=JV$29,JU11&gt;=JV$33,JT11&lt;&gt;""),AND(KQ11&gt;=KV$29,KR11&gt;=KV$33,KQ11&lt;&gt;""),AND(KT11&gt;=KV$29,KU11&gt;=KV$33,KT11&lt;&gt;""),AND(LQ11&gt;=LV$29,LR11&gt;=LV$33,LQ11&lt;&gt;""),AND(LT11&gt;=LV$29,LU11&gt;=LV$33,LT11&lt;&gt;""),AND(MQ11&gt;=MV$29,MR11&gt;=MV$33,MQ11&lt;&gt;""),AND(MT11&gt;=MV$29,MU11&gt;=MV$33,MT11&lt;&gt;""),AND(NQ11&gt;=NV$29,NR11&gt;=NV$33,NQ11&lt;&gt;""),AND(NT11&gt;=NV$29,NU11&gt;=NV$33,NT11&lt;&gt;""),AND(OQ11&gt;=OV$29,OR11&gt;=OV$33,OQ11&lt;&gt;""),AND(OT11&gt;=OV$29,OU11&gt;=OV$33,OT11&lt;&gt;"")),"Merit",IF(OR(AND(AM11&gt;=AR$28,AN11&gt;=AR$32,AM11&lt;&gt;"",AL11=""),AND(AP11&gt;=AR$28,AQ11&gt;=AR$32,AP11&lt;&gt;"",AL11=""),AND(BN11&gt;=BS$28,BO11&gt;=BS$32,BN11&lt;&gt;"",BM11=""),AND(BQ11&gt;=BS$28,BR11&gt;=BS$32,BQ11&lt;&gt;"",BM11=""),AND(CO11&gt;=CT$28,CP11&gt;=CT$32,CO11&lt;&gt;"",CN11=""),AND(CR11&gt;=CT$28,CS11&gt;=CT$32,CR11&lt;&gt;""),AND(DQ11&gt;=DV$28,DR11&gt;=DV$32,DQ11&lt;&gt;""),AND(DT11&gt;=DV$28,DU11&gt;=DV$32,DT11&lt;&gt;""),AND(EQ11&gt;=EV$28,ER11&gt;=EV$32,EQ11&lt;&gt;""),AND(ET11&gt;=EV$28,EU11&gt;=EV$32,ET11&lt;&gt;""),AND(FQ11&gt;=FV$28,FR11&gt;=FV$32,FQ11&lt;&gt;""),AND(FT11&gt;=FV$28,FU11&gt;=FV$32,FT11&lt;&gt;""),AND(GQ11&gt;=GV$28,GR11&gt;=GV$32,GQ11&lt;&gt;""),AND(GT11&gt;=GV$28,GU11&gt;=GV$32,GT11&lt;&gt;""),AND(HQ11&gt;=HV$28,HR11&gt;=HV$32,HQ11&lt;&gt;""),AND(HT11&gt;=HV$28,HU11&gt;=HV$32,HT11&lt;&gt;""),AND(IQ11&gt;=IV$28,IR11&gt;=IV$32,IQ11&lt;&gt;""),AND(IT11&gt;=IV$28,IU11&gt;=IV$32,IT11&lt;&gt;""),AND(JQ11&gt;=JV$28,JR11&gt;=JV$32,JQ11&lt;&gt;""),AND(JT11&gt;=JV$28,JU11&gt;=JV$32,JT11&lt;&gt;""),AND(KQ11&gt;=KV$28,KR11&gt;=KV$32,KQ11&lt;&gt;""),AND(KT11&gt;=KV$28,KU11&gt;=KV$32,KT11&lt;&gt;""),AND(LQ11&gt;=LV$28,LR11&gt;=LV$32,LQ11&lt;&gt;""),AND(LT11&gt;=LV$28,LU11&gt;=LV$32,LT11&lt;&gt;""),AND(MQ11&gt;=MV$28,MR11&gt;=MV$32,MQ11&lt;&gt;""),AND(MT11&gt;=MV$28,MU11&gt;=MV$32,MT11&lt;&gt;""),AND(NQ11&gt;=NV$28,NR11&gt;=NV$32,NQ11&lt;&gt;""),AND(NT11&gt;=NV$28,NU11&gt;=NV$32,NT11&lt;&gt;""),AND(OQ11&gt;=OV$28,OR11&gt;=OV$32,OQ11&lt;&gt;""),AND(OT11&gt;=OV$28,OU11&gt;=OV$32,OT11&lt;&gt;"")),"Excellence",IF(F11="P","National Team",""))))</f>
        <v/>
      </c>
      <c r="I11" s="14">
        <f>IF(COUNT(AN11,BO11,CP11)&gt;0,LARGE((AN11,BO11,CP11),1),0)</f>
        <v>41.800000000000004</v>
      </c>
      <c r="J11" s="14" t="str">
        <f>IF(I11=0,"",IF(I11=CP11,$BT$1,IF(I11=BO11,$AS$1,IF(I11=AN11,$R$1,""))))</f>
        <v>2022 Nationals</v>
      </c>
      <c r="K11" s="14">
        <f>IF(COUNT(AN11,BO11,CP11)&gt;1,LARGE((AN11,BO11,CP11),2),0)</f>
        <v>41.580000000000005</v>
      </c>
      <c r="L11" s="14" t="str">
        <f>IF(K11=0,"",IF(K11=CP11,$BT$1,IF(K11=BO11,$AS$1,IF(K11=AN11,$R$1,""))))</f>
        <v>2022 Elite Canada</v>
      </c>
      <c r="M11" s="14">
        <f>IF(MAX(AQ11,BR11,CS11)&gt;0,MAX(AQ11,BR11,CS11),0)</f>
        <v>42.2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19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6">
        <v>16.54</v>
      </c>
      <c r="S11" s="26">
        <v>4.0999999999999996</v>
      </c>
      <c r="T11" s="26">
        <v>0</v>
      </c>
      <c r="U11" s="26">
        <v>0.3</v>
      </c>
      <c r="V11" s="26">
        <v>16.54</v>
      </c>
      <c r="W11" s="26">
        <v>3.5</v>
      </c>
      <c r="X11" s="26">
        <v>0</v>
      </c>
      <c r="Y11" s="26">
        <v>0.6</v>
      </c>
      <c r="Z11" s="26"/>
      <c r="AA11" s="26"/>
      <c r="AB11" s="26"/>
      <c r="AC11" s="26"/>
      <c r="AD11" s="26">
        <v>16.899999999999999</v>
      </c>
      <c r="AE11" s="26">
        <v>4.0999999999999996</v>
      </c>
      <c r="AF11" s="26">
        <v>0</v>
      </c>
      <c r="AG11" s="26">
        <v>0.3</v>
      </c>
      <c r="AH11" s="26">
        <v>16.399999999999999</v>
      </c>
      <c r="AI11" s="26">
        <v>3.9</v>
      </c>
      <c r="AJ11" s="26">
        <v>0</v>
      </c>
      <c r="AK11" s="26">
        <v>0.6</v>
      </c>
      <c r="AL11" s="44"/>
      <c r="AM11" s="78">
        <f>IF(SUM(S11,W11)&gt;0,SUM(S11,W11),"")</f>
        <v>7.6</v>
      </c>
      <c r="AN11" s="78">
        <f>IF(SUM(R11:S11,U11:W11,Y11)-T11-X11&gt;0,SUM(R11:S11,U11:W11,Y11)-T11-X11,"")</f>
        <v>41.580000000000005</v>
      </c>
      <c r="AO11" s="78" t="str">
        <f>IF(SUM(Z11:AA11,AC11)-AB11&gt;0,SUM(Z11:AA11,AC11)-AB11,"")</f>
        <v/>
      </c>
      <c r="AP11" s="78">
        <f>IF(SUM(AE11,AI11)&gt;0,SUM(AE11,AI11),"")</f>
        <v>8</v>
      </c>
      <c r="AQ11" s="78">
        <f>IF(SUM(AD11:AE11,AG11:AI11,AK11)-SUM(AF11,AJ11)&gt;0,SUM(AD11:AE11,AG11:AI11,AK11)-SUM(AF11,AJ11),"")</f>
        <v>42.2</v>
      </c>
      <c r="AR11" s="78">
        <f>IF(SUM(AN11,AQ11)&gt;0,SUM(AN11,AQ11),"")</f>
        <v>83.78</v>
      </c>
      <c r="AS11" s="25">
        <v>16.600000000000001</v>
      </c>
      <c r="AT11" s="25">
        <v>3.9</v>
      </c>
      <c r="AU11" s="25">
        <v>0</v>
      </c>
      <c r="AV11" s="25">
        <v>0.3</v>
      </c>
      <c r="AW11" s="25">
        <v>16.600000000000001</v>
      </c>
      <c r="AX11" s="25">
        <v>4.0999999999999996</v>
      </c>
      <c r="AY11" s="25">
        <v>0</v>
      </c>
      <c r="AZ11" s="25">
        <v>0.3</v>
      </c>
      <c r="BA11" s="25"/>
      <c r="BB11" s="25"/>
      <c r="BC11" s="25"/>
      <c r="BD11" s="25"/>
      <c r="BE11" s="25">
        <v>15.4</v>
      </c>
      <c r="BF11" s="25">
        <v>1.9</v>
      </c>
      <c r="BG11" s="25">
        <v>0</v>
      </c>
      <c r="BH11" s="25">
        <v>0.3</v>
      </c>
      <c r="BI11" s="25">
        <v>16</v>
      </c>
      <c r="BJ11" s="25">
        <v>3.9</v>
      </c>
      <c r="BK11" s="25">
        <v>0</v>
      </c>
      <c r="BL11" s="25">
        <v>0.3</v>
      </c>
      <c r="BM11" s="45"/>
      <c r="BN11" s="19">
        <f>IF(SUM(AT11,AX11)&gt;0,SUM(AT11,AX11),"")</f>
        <v>8</v>
      </c>
      <c r="BO11" s="19">
        <f>IF(SUM(AS11:AT11,AV11:AX11,AZ11)-AU11-AY11&gt;0,SUM(AS11:AT11,AV11:AX11,AZ11)-AU11-AY11,"")</f>
        <v>41.800000000000004</v>
      </c>
      <c r="BP11" s="19" t="str">
        <f>IF(SUM(BA11:BB11,BD11)-BC11&gt;0,SUM(BA11:BB11,BD11)-BC11,"")</f>
        <v/>
      </c>
      <c r="BQ11" s="19">
        <f>IF(SUM(BF11,BJ11)&gt;0,SUM(BF11,BJ11),"")</f>
        <v>5.8</v>
      </c>
      <c r="BR11" s="19">
        <f>IF(SUM(BE11:BF11,BH11:BJ11,BL11)-SUM(BG11,BK11)&gt;0,SUM(BE11:BF11,BH11:BJ11,BL11)-SUM(BG11,BK11),"")</f>
        <v>37.799999999999997</v>
      </c>
      <c r="BS11" s="19">
        <f>IF(SUM(BO11,BR11)&gt;0,SUM(BO11,BR11),"")</f>
        <v>79.599999999999994</v>
      </c>
      <c r="BT11" s="26">
        <v>16</v>
      </c>
      <c r="BU11" s="26">
        <v>3.9</v>
      </c>
      <c r="BV11" s="26">
        <v>0</v>
      </c>
      <c r="BW11" s="26">
        <v>0.3</v>
      </c>
      <c r="BX11" s="26">
        <v>14.4</v>
      </c>
      <c r="BY11" s="26">
        <v>4.0999999999999996</v>
      </c>
      <c r="BZ11" s="26">
        <v>0.2</v>
      </c>
      <c r="CA11" s="26">
        <v>0.3</v>
      </c>
      <c r="CB11" s="26"/>
      <c r="CC11" s="26"/>
      <c r="CD11" s="26"/>
      <c r="CE11" s="26"/>
      <c r="CF11" s="26">
        <v>16.3</v>
      </c>
      <c r="CG11" s="26">
        <v>4.0999999999999996</v>
      </c>
      <c r="CH11" s="26">
        <v>0</v>
      </c>
      <c r="CI11" s="26">
        <v>0.3</v>
      </c>
      <c r="CJ11" s="26">
        <v>15.9</v>
      </c>
      <c r="CK11" s="26">
        <v>3.9</v>
      </c>
      <c r="CL11" s="26">
        <v>0</v>
      </c>
      <c r="CM11" s="26">
        <v>0.3</v>
      </c>
      <c r="CN11" s="44"/>
      <c r="CO11" s="78">
        <f>IF(SUM(BU11,BY11)&gt;0,SUM(BU11,BY11),"")</f>
        <v>8</v>
      </c>
      <c r="CP11" s="78">
        <f>IF(SUM(BT11:BU11,BW11:BY11,CA11)-BV11-BZ11&gt;0,SUM(BT11:BU11,BW11:BY11,CA11)-BV11-BZ11,"")</f>
        <v>38.799999999999997</v>
      </c>
      <c r="CQ11" s="78" t="str">
        <f>IF(SUM(CB11:CC11,CE11)-CD11&gt;0,SUM(CB11:CC11,CE11)-CD11,"")</f>
        <v/>
      </c>
      <c r="CR11" s="78">
        <f>IF(SUM(CG11,CK11)&gt;0,SUM(CG11,CK11),"")</f>
        <v>8</v>
      </c>
      <c r="CS11" s="78">
        <f>IF(SUM(CF11:CG11,CI11:CK11,CM11)-SUM(CH11,CL11)&gt;0,SUM(CF11:CG11,CI11:CK11,CM11)-SUM(CH11,CL11),"")</f>
        <v>40.799999999999997</v>
      </c>
      <c r="CT11" s="78">
        <f>IF(SUM(CP11,CS11)&gt;0,SUM(CP11,CS11),"")</f>
        <v>79.599999999999994</v>
      </c>
      <c r="CU11" s="79" t="str">
        <f>IF(K11&gt;=0.001,IF(MAX(DR11,ER11,FR11,GR11,HR11,IR11,JR11,KR11,LR11,MR11,NR11,OR11)-IF(K11="",0,K11)&gt;0.001,MAX(DR11,ER11,FR11,GR11,HR11,IR11,JR11,KR11,LR11,MR11,NR11,OR11)-IF(K11="",0,K11),""),"")</f>
        <v/>
      </c>
      <c r="CV11" s="79" t="str">
        <f>IF(M11&gt;=0.001,IF(MAX(DU11,EU11,FU11,GU11,HU11,IU11,JU11,KU11,LU11,MU11,NU11,OU11)-IF(M11="",0,M11)&gt;0.001,MAX(DU11,EU11,FU11,GU11,HU11,IU11,JU11,KU11,LU11,MU11,NU11,OU11)-IF(M11="",0,M11),""),"")</f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>IF(SUM(CX11,DB11)&gt;0,SUM(CX11,DB11),"")</f>
        <v/>
      </c>
      <c r="DR11" s="78" t="str">
        <f>IF(SUM(CW11:CX11,CZ11:DB11,DD11)-CY11-DC11&gt;0,SUM(CW11:CX11,CZ11:DB11,DD11)-CY11-DC11,"")</f>
        <v/>
      </c>
      <c r="DS11" s="78" t="str">
        <f>IF(SUM(DE11:DF11,DH11)-DG11&gt;0,SUM(DE11:DF11,DH11)-DG11,"")</f>
        <v/>
      </c>
      <c r="DT11" s="78" t="str">
        <f>IF(SUM(DJ11,DN11)&gt;0,SUM(DJ11,DN11),"")</f>
        <v/>
      </c>
      <c r="DU11" s="78" t="str">
        <f>IF(SUM(DI11:DJ11,DL11:DN11,DP11)-SUM(DK11,DO11)&gt;0,SUM(DI11:DJ11,DL11:DN11,DP11)-SUM(DK11,DO11),"")</f>
        <v/>
      </c>
      <c r="DV11" s="78" t="str">
        <f>IF(SUM(DR11,DU11)&gt;0,SUM(DR11,DU11),"")</f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>IF(SUM(DX11,EB11)&gt;0,SUM(DX11,EB11),"")</f>
        <v/>
      </c>
      <c r="ER11" s="19" t="str">
        <f>IF(SUM(DW11:DX11,DZ11:EB11,ED11)-DY11-EC11&gt;0,SUM(DW11:DX11,DZ11:EB11,ED11)-DY11-EC11,"")</f>
        <v/>
      </c>
      <c r="ES11" s="19" t="str">
        <f>IF(SUM(EE11:EF11,EH11)-EG11&gt;0,SUM(EE11:EF11,EH11)-EG11,"")</f>
        <v/>
      </c>
      <c r="ET11" s="19" t="str">
        <f>IF(SUM(EJ11,EN11)&gt;0,SUM(EJ11,EN11),"")</f>
        <v/>
      </c>
      <c r="EU11" s="19" t="str">
        <f>IF(SUM(EI11:EJ11,EL11:EN11,EP11)-SUM(EK11,EO11)&gt;0,SUM(EI11:EJ11,EL11:EN11,EP11)-SUM(EK11,EO11),"")</f>
        <v/>
      </c>
      <c r="EV11" s="19" t="str">
        <f>IF(SUM(ER11,EU11)&gt;0,SUM(ER11,EU11),"")</f>
        <v/>
      </c>
      <c r="EW11" s="24">
        <v>14.8</v>
      </c>
      <c r="EX11" s="24">
        <v>1.9</v>
      </c>
      <c r="EY11" s="24">
        <v>0</v>
      </c>
      <c r="EZ11" s="24">
        <v>0</v>
      </c>
      <c r="FA11" s="24">
        <v>16.100000000000001</v>
      </c>
      <c r="FB11" s="24">
        <v>3.5</v>
      </c>
      <c r="FC11" s="24">
        <v>0.4</v>
      </c>
      <c r="FD11" s="24">
        <v>0</v>
      </c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>
        <f>IF(SUM(EX11,FB11)&gt;0,SUM(EX11,FB11),"")</f>
        <v>5.4</v>
      </c>
      <c r="FR11" s="78">
        <f>IF(SUM(EW11:EX11,EZ11:FB11,FD11)-EY11-FC11&gt;0,SUM(EW11:EX11,EZ11:FB11,FD11)-EY11-FC11,"")</f>
        <v>35.9</v>
      </c>
      <c r="FS11" s="78" t="str">
        <f>IF(SUM(FE11:FF11,FH11)-FG11&gt;0,SUM(FE11:FF11,FH11)-FG11,"")</f>
        <v/>
      </c>
      <c r="FT11" s="78" t="str">
        <f>IF(SUM(FJ11,FN11)&gt;0,SUM(FJ11,FN11),"")</f>
        <v/>
      </c>
      <c r="FU11" s="78" t="str">
        <f>IF(SUM(FI11:FJ11,FL11:FN11,FP11)-SUM(FK11,FO11)&gt;0,SUM(FI11:FJ11,FL11:FN11,FP11)-SUM(FK11,FO11),"")</f>
        <v/>
      </c>
      <c r="FV11" s="78">
        <f>IF(SUM(FR11,FU11)&gt;0,SUM(FR11,FU11),"")</f>
        <v>35.9</v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>IF(SUM(FX11,GB11)&gt;0,SUM(FX11,GB11),"")</f>
        <v/>
      </c>
      <c r="GR11" s="19" t="str">
        <f>IF(SUM(FW11:FX11,FZ11:GB11,GD11)-FY11-GC11&gt;0,SUM(FW11:FX11,FZ11:GB11,GD11)-FY11-GC11,"")</f>
        <v/>
      </c>
      <c r="GS11" s="19" t="str">
        <f>IF(SUM(GE11:GF11,GH11)-GG11&gt;0,SUM(GE11:GF11,GH11)-GG11,"")</f>
        <v/>
      </c>
      <c r="GT11" s="19" t="str">
        <f>IF(SUM(GJ11,GN11)&gt;0,SUM(GJ11,GN11),"")</f>
        <v/>
      </c>
      <c r="GU11" s="19" t="str">
        <f>IF(SUM(GI11:GJ11,GL11:GN11,GP11)-SUM(GK11,GO11)&gt;0,SUM(GI11:GJ11,GL11:GN11,GP11)-SUM(GK11,GO11),"")</f>
        <v/>
      </c>
      <c r="GV11" s="19" t="str">
        <f>IF(SUM(GR11,GU11)&gt;0,SUM(GR11,GU11),"")</f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>IF(SUM(GX11,HB11)&gt;0,SUM(GX11,HB11),"")</f>
        <v/>
      </c>
      <c r="HR11" s="78" t="str">
        <f>IF(SUM(GW11:GX11,GZ11:HB11,HD11)-GY11-HC11&gt;0,SUM(GW11:GX11,GZ11:HB11,HD11)-GY11-HC11,"")</f>
        <v/>
      </c>
      <c r="HS11" s="78" t="str">
        <f>IF(SUM(HE11:HF11,HH11)-HG11&gt;0,SUM(HE11:HF11,HH11)-HG11,"")</f>
        <v/>
      </c>
      <c r="HT11" s="78" t="str">
        <f>IF(SUM(HJ11,HN11)&gt;0,SUM(HJ11,HN11),"")</f>
        <v/>
      </c>
      <c r="HU11" s="78" t="str">
        <f>IF(SUM(HI11:HJ11,HL11:HN11,HP11)-SUM(HK11,HO11)&gt;0,SUM(HI11:HJ11,HL11:HN11,HP11)-SUM(HK11,HO11),"")</f>
        <v/>
      </c>
      <c r="HV11" s="78" t="str">
        <f>IF(SUM(HR11,HU11)&gt;0,SUM(HR11,HU11),"")</f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>IF(SUM(HX11,IB11)&gt;0,SUM(HX11,IB11),"")</f>
        <v/>
      </c>
      <c r="IR11" s="19" t="str">
        <f>IF(SUM(HW11:HX11,HZ11:IB11,ID11)-HY11-IC11&gt;0,SUM(HW11:HX11,HZ11:IB11,ID11)-HY11-IC11,"")</f>
        <v/>
      </c>
      <c r="IS11" s="19" t="str">
        <f>IF(SUM(IE11:IF11,IH11)-IG11&gt;0,SUM(IE11:IF11,IH11)-IG11,"")</f>
        <v/>
      </c>
      <c r="IT11" s="19" t="str">
        <f>IF(SUM(IJ11,IN11)&gt;0,SUM(IJ11,IN11),"")</f>
        <v/>
      </c>
      <c r="IU11" s="19" t="str">
        <f>IF(SUM(II11:IJ11,IL11:IN11,IP11)-SUM(IK11,IO11)&gt;0,SUM(II11:IJ11,IL11:IN11,IP11)-SUM(IK11,IO11),"")</f>
        <v/>
      </c>
      <c r="IV11" s="19" t="str">
        <f>IF(SUM(IR11,IU11)&gt;0,SUM(IR11,IU11),"")</f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>IF(SUM(IX11,JB11)&gt;0,SUM(IX11,JB11),"")</f>
        <v/>
      </c>
      <c r="JR11" s="78" t="str">
        <f>IF(SUM(IW11:IX11,IZ11:JB11,JD11)-IY11-JC11&gt;0,SUM(IW11:IX11,IZ11:JB11,JD11)-IY11-JC11,"")</f>
        <v/>
      </c>
      <c r="JS11" s="78" t="str">
        <f>IF(SUM(JE11:JF11,JH11)-JG11&gt;0,SUM(JE11:JF11,JH11)-JG11,"")</f>
        <v/>
      </c>
      <c r="JT11" s="78" t="str">
        <f>IF(SUM(JJ11,JN11)&gt;0,SUM(JJ11,JN11),"")</f>
        <v/>
      </c>
      <c r="JU11" s="78" t="str">
        <f>IF(SUM(JI11:JJ11,JL11:JN11,JP11)-SUM(JK11,JO11)&gt;0,SUM(JI11:JJ11,JL11:JN11,JP11)-SUM(JK11,JO11),"")</f>
        <v/>
      </c>
      <c r="JV11" s="78" t="str">
        <f>IF(SUM(JR11,JU11)&gt;0,SUM(JR11,JU11),"")</f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>IF(SUM(JX11,KB11)&gt;0,SUM(JX11,KB11),"")</f>
        <v/>
      </c>
      <c r="KR11" s="19" t="str">
        <f>IF(SUM(JW11:JX11,JZ11:KB11,KD11)-JY11-KC11&gt;0,SUM(JW11:JX11,JZ11:KB11,KD11)-JY11-KC11,"")</f>
        <v/>
      </c>
      <c r="KS11" s="19" t="str">
        <f>IF(SUM(KE11:KF11,KH11)-KG11&gt;0,SUM(KE11:KF11,KH11)-KG11,"")</f>
        <v/>
      </c>
      <c r="KT11" s="19" t="str">
        <f>IF(SUM(KJ11,KN11)&gt;0,SUM(KJ11,KN11),"")</f>
        <v/>
      </c>
      <c r="KU11" s="19" t="str">
        <f>IF(SUM(KI11:KJ11,KL11:KN11,KP11)-SUM(KK11,KO11)&gt;0,SUM(KI11:KJ11,KL11:KN11,KP11)-SUM(KK11,KO11),"")</f>
        <v/>
      </c>
      <c r="KV11" s="19" t="str">
        <f>IF(SUM(KR11,KU11)&gt;0,SUM(KR11,KU11),"")</f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>IF(SUM(KX11,LB11)&gt;0,SUM(KX11,LB11),"")</f>
        <v/>
      </c>
      <c r="LR11" s="78" t="str">
        <f>IF(SUM(KW11:KX11,KZ11:LB11,LD11)-KY11-LC11&gt;0,SUM(KW11:KX11,KZ11:LB11,LD11)-KY11-LC11,"")</f>
        <v/>
      </c>
      <c r="LS11" s="78" t="str">
        <f>IF(SUM(LE11:LF11,LH11)-LG11&gt;0,SUM(LE11:LF11,LH11)-LG11,"")</f>
        <v/>
      </c>
      <c r="LT11" s="78" t="str">
        <f>IF(SUM(LJ11,LN11)&gt;0,SUM(LJ11,LN11),"")</f>
        <v/>
      </c>
      <c r="LU11" s="78" t="str">
        <f>IF(SUM(LI11:LJ11,LL11:LN11,LP11)-SUM(LK11,LO11)&gt;0,SUM(LI11:LJ11,LL11:LN11,LP11)-SUM(LK11,LO11),"")</f>
        <v/>
      </c>
      <c r="LV11" s="78" t="str">
        <f>IF(SUM(LR11,LU11)&gt;0,SUM(LR11,LU11),"")</f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>IF(SUM(LX11,MB11)&gt;0,SUM(LX11,MB11),"")</f>
        <v/>
      </c>
      <c r="MR11" s="19" t="str">
        <f>IF(SUM(LW11:LX11,LZ11:MB11,MD11)-LY11-MC11&gt;0,SUM(LW11:LX11,LZ11:MB11,MD11)-LY11-MC11,"")</f>
        <v/>
      </c>
      <c r="MS11" s="19" t="str">
        <f>IF(SUM(ME11:MF11,MH11)-MG11&gt;0,SUM(ME11:MF11,MH11)-MG11,"")</f>
        <v/>
      </c>
      <c r="MT11" s="19" t="str">
        <f>IF(SUM(MJ11,MN11)&gt;0,SUM(MJ11,MN11),"")</f>
        <v/>
      </c>
      <c r="MU11" s="19" t="str">
        <f>IF(SUM(MI11:MJ11,ML11:MN11,MP11)-SUM(MK11,MO11)&gt;0,SUM(MI11:MJ11,ML11:MN11,MP11)-SUM(MK11,MO11),"")</f>
        <v/>
      </c>
      <c r="MV11" s="19" t="str">
        <f>IF(SUM(MR11,MU11)&gt;0,SUM(MR11,MU11),"")</f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>IF(SUM(MX11,NB11)&gt;0,SUM(MX11,NB11),"")</f>
        <v/>
      </c>
      <c r="NR11" s="78" t="str">
        <f>IF(SUM(MW11:MX11,MZ11:NB11,ND11)-MY11-NC11&gt;0,SUM(MW11:MX11,MZ11:NB11,ND11)-MY11-NC11,"")</f>
        <v/>
      </c>
      <c r="NS11" s="78" t="str">
        <f>IF(SUM(NE11:NF11,NH11)-NG11&gt;0,SUM(NE11:NF11,NH11)-NG11,"")</f>
        <v/>
      </c>
      <c r="NT11" s="78" t="str">
        <f>IF(SUM(NJ11,NN11)&gt;0,SUM(NJ11,NN11),"")</f>
        <v/>
      </c>
      <c r="NU11" s="78" t="str">
        <f>IF(SUM(NI11:NJ11,NL11:NN11,NP11)-SUM(NK11,NO11)&gt;0,SUM(NI11:NJ11,NL11:NN11,NP11)-SUM(NK11,NO11),"")</f>
        <v/>
      </c>
      <c r="NV11" s="78" t="str">
        <f>IF(SUM(NR11,NU11)&gt;0,SUM(NR11,NU11),"")</f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>IF(SUM(NX11,OB11)&gt;0,SUM(NX11,OB11),"")</f>
        <v/>
      </c>
      <c r="OR11" s="19" t="str">
        <f>IF(SUM(NW11:NX11,NZ11:OB11,OD11)-NY11-OC11&gt;0,SUM(NW11:NX11,NZ11:OB11,OD11)-NY11-OC11,"")</f>
        <v/>
      </c>
      <c r="OS11" s="19" t="str">
        <f>IF(SUM(OE11:OF11,OH11)-OG11&gt;0,SUM(OE11:OF11,OH11)-OG11,"")</f>
        <v/>
      </c>
      <c r="OT11" s="19" t="str">
        <f>IF(SUM(OJ11,ON11)&gt;0,SUM(OJ11,ON11),"")</f>
        <v/>
      </c>
      <c r="OU11" s="19" t="str">
        <f>IF(SUM(OI11:OJ11,OL11:ON11,OP11)-SUM(OK11,OO11)&gt;0,SUM(OI11:OJ11,OL11:ON11,OP11)-SUM(OK11,OO11),"")</f>
        <v/>
      </c>
      <c r="OV11" s="19" t="str">
        <f>IF(SUM(OR11,OU11)&gt;0,SUM(OR11,OU11),"")</f>
        <v/>
      </c>
      <c r="OW11" s="37">
        <f>IF($CN11="P",BT11,(BT11+AS11)/2)</f>
        <v>16.3</v>
      </c>
      <c r="OX11" s="37">
        <f>IF($CN11="P",BU11,(BU11+AT11)/2)</f>
        <v>3.9</v>
      </c>
      <c r="OY11" s="37">
        <f>IF($CN11="P",BV11,(BV11+AU11)/2)</f>
        <v>0</v>
      </c>
      <c r="OZ11" s="37">
        <f>IF($CN11="P",BW11,(BW11+AV11)/2)</f>
        <v>0.3</v>
      </c>
      <c r="PA11" s="37">
        <f>IF($CN11="P",BX11,(BX11+AW11)/2)</f>
        <v>15.5</v>
      </c>
      <c r="PB11" s="37">
        <f>IF($CN11="P",BY11,(BY11+AX11)/2)</f>
        <v>4.0999999999999996</v>
      </c>
      <c r="PC11" s="37">
        <f>IF($CN11="P",BZ11,(BZ11+AY11)/2)</f>
        <v>0.1</v>
      </c>
      <c r="PD11" s="37">
        <f>IF($CN11="P",CA11,(CA11+AZ11)/2)</f>
        <v>0.3</v>
      </c>
      <c r="PE11" s="37">
        <f>IF($CN11="P",CB11,(CB11+BA11)/2)</f>
        <v>0</v>
      </c>
      <c r="PF11" s="37">
        <f>IF($CN11="P",CC11,(CC11+BB11)/2)</f>
        <v>0</v>
      </c>
      <c r="PG11" s="37">
        <f>IF($CN11="P",CD11,(CD11+BC11)/2)</f>
        <v>0</v>
      </c>
      <c r="PH11" s="37">
        <f>IF($CN11="P",CE11,(CE11+BD11)/2)</f>
        <v>0</v>
      </c>
      <c r="PI11" s="37">
        <f>IF($CN11="P",CF11,(CF11+BE11)/2)</f>
        <v>15.850000000000001</v>
      </c>
      <c r="PJ11" s="37">
        <f>IF($CN11="P",CG11,(CG11+BF11)/2)</f>
        <v>3</v>
      </c>
      <c r="PK11" s="37">
        <f>IF($CN11="P",CH11,(CH11+BG11)/2)</f>
        <v>0</v>
      </c>
      <c r="PL11" s="37">
        <f>IF($CN11="P",CI11,(CI11+BH11)/2)</f>
        <v>0.3</v>
      </c>
      <c r="PM11" s="37">
        <f>IF($CN11="P",CJ11,(CJ11+BI11)/2)</f>
        <v>15.95</v>
      </c>
      <c r="PN11" s="37">
        <f>IF($CN11="P",CK11,(CK11+BJ11)/2)</f>
        <v>3.9</v>
      </c>
      <c r="PO11" s="37">
        <f>IF($CN11="P",CL11,(CL11+BK11)/2)</f>
        <v>0</v>
      </c>
      <c r="PP11" s="37">
        <f>IF($CN11="P",CM11,(CM11+BL11)/2)</f>
        <v>0.3</v>
      </c>
      <c r="PQ11" s="44" t="s">
        <v>46</v>
      </c>
      <c r="PR11" s="78">
        <f>IF(SUM(OX11,PB11)&gt;0,SUM(OX11,PB11),"")</f>
        <v>8</v>
      </c>
      <c r="PS11" s="78">
        <f>IF(SUM(OW11:OX11,OZ11:PB11,PD11)-OY11-PC11&gt;0,SUM(OW11:OX11,OZ11:PB11,PD11)-OY11-PC11,"")</f>
        <v>40.299999999999997</v>
      </c>
      <c r="PT11" s="78" t="str">
        <f>IF(SUM(PE11:PF11,PH11)-PG11&gt;0,SUM(PE11:PF11,PH11)-PG11,"")</f>
        <v/>
      </c>
      <c r="PU11" s="78">
        <f>IF(SUM(PJ11,PN11)&gt;0,SUM(PJ11,PN11),"")</f>
        <v>6.9</v>
      </c>
      <c r="PV11" s="78">
        <f>IF(SUM(PI11:PJ11,PL11:PN11,PP11)-SUM(PK11,PO11)&gt;0,SUM(PI11:PJ11,PL11:PN11,PP11)-SUM(PK11,PO11),"")</f>
        <v>39.299999999999997</v>
      </c>
      <c r="PW11" s="78">
        <f>IF(SUM(PS11,PV11)&gt;0,SUM(PS11,PV11),"")</f>
        <v>79.599999999999994</v>
      </c>
    </row>
    <row r="12" spans="1:439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77" t="s">
        <v>133</v>
      </c>
      <c r="C12" s="5" t="s">
        <v>81</v>
      </c>
      <c r="D12" s="5">
        <v>2005</v>
      </c>
      <c r="E12" s="15">
        <f>SUM(I12:O12)+SUM(I12:M12)*0.0000001+SUM(I12)*0.0000000000001</f>
        <v>121.2600121260041</v>
      </c>
      <c r="F12" s="3" t="str">
        <f>IF(OR(AND(AM12&gt;=AR$26,AN12&gt;=AR$30,AM12&lt;&gt;"",AL12=""),AND(AP12&gt;=AR$26,AQ12&gt;=AR$30,AP12&lt;&gt;"",AL12=""),AND(BN12&gt;=BS$26,BO12&gt;=BS$30,BN12&lt;&gt;"",BM12=""),AND(BQ12&gt;=BS$26,BR12&gt;=BS$30,BQ12&lt;&gt;"",BM12=""),AND(CO12&gt;=CT$26,CP12&gt;=CT$30,CO12&lt;&gt;"",CN12=""),AND(CR12&gt;=CT$26,CS12&gt;=CT$30,CR12&lt;&gt;""),AND(DQ12&gt;=DV$26,DR12&gt;=DV$30,DQ12&lt;&gt;""),AND(DT12&gt;=DV$26,DU12&gt;=DV$30,DT12&lt;&gt;""),AND(EQ12&gt;=EV$26,ER12&gt;=EV$30,EQ12&lt;&gt;""),AND(ET12&gt;=EV$26,EU12&gt;=EV$30,ET12&lt;&gt;""),AND(FQ12&gt;=FV$26,FR12&gt;=FV$30,FQ12&lt;&gt;""),AND(FT12&gt;=FV$26,FU12&gt;=FV$30,FT12&lt;&gt;""),AND(GQ12&gt;=GV$26,GR12&gt;=GV$30,GQ12&lt;&gt;""),AND(GT12&gt;=GV$26,GU12&gt;=GV$30,GT12&lt;&gt;""),AND(HQ12&gt;=HV$26,HR12&gt;=HV$30,HQ12&lt;&gt;""),AND(HT12&gt;=HV$26,HU12&gt;=HV$30,HT12&lt;&gt;""),AND(IQ12&gt;=IV$26,IR12&gt;=IV$30,IQ12&lt;&gt;""),AND(IT12&gt;=IV$26,IU12&gt;=IV$30,IT12&lt;&gt;""),AND(JQ12&gt;=JV$26,JR12&gt;=JV$30,JQ12&lt;&gt;""),AND(JT12&gt;=JV$26,JU12&gt;=JV$30,JT12&lt;&gt;""),AND(KQ12&gt;=KV$26,KR12&gt;=KV$30,KQ12&lt;&gt;""),AND(KT12&gt;=KV$26,KU12&gt;=KV$30,KT12&lt;&gt;""),AND(LQ12&gt;=LV$26,LR12&gt;=LV$30,LQ12&lt;&gt;""),AND(LT12&gt;=LV$26,LU12&gt;=LV$30,LT12&lt;&gt;""),AND(MQ12&gt;=MV$26,MR12&gt;=MV$30,MQ12&lt;&gt;""),AND(MT12&gt;=MV$26,MU12&gt;=MV$30,MT12&lt;&gt;""),AND(NQ12&gt;=NV$26,NR12&gt;=NV$30,NQ12&lt;&gt;""),AND(NT12&gt;=NV$26,NU12&gt;=NV$30,NT12&lt;&gt;""),AND(OQ12&gt;=OV$26,OR12&gt;=OV$30,OQ12&lt;&gt;""),AND(OT12&gt;=OV$26,OU12&gt;=OV$30,OT12&lt;&gt;"")),"P","")</f>
        <v/>
      </c>
      <c r="G12" s="3" t="str">
        <f>IF(OR(AND(AN12&gt;=AR$30,AN12&lt;&gt;"",AL12=""),AND(AQ12&gt;=AR$30,AQ12&lt;&gt;"",AL12=""),AND(BO12&gt;=BS$30,BO12&lt;&gt;"",BM12=""),AND(BR12&gt;=BS$30,BR12&lt;&gt;"",BM12=""),AND(CP12&gt;=CT$30,CP12&lt;&gt;"",CN12=""),AND(CS12&gt;=CT$30,CS12&lt;&gt;"",CN12=""),AND(DR12&gt;=DV$30,DR12&lt;&gt;""),AND(DU12&gt;=DV$30,DU12&lt;&gt;""),AND(ER12&gt;=EV$30,ER12&lt;&gt;""),AND(EU12&gt;=EV$30,EU12&lt;&gt;""),AND(FR12&gt;=FV$30,FR12&lt;&gt;""),AND(FU12&gt;=FV$30,FU12&lt;&gt;""),AND(GR12&gt;=GV$30,GR12&lt;&gt;""),AND(GU12&gt;=GV$30,GU12&lt;&gt;""),AND(HR12&gt;=HV$30,HR12&lt;&gt;""),AND(HU12&gt;=HV$30,HU12&lt;&gt;""),AND(IR12&gt;=IV$30,IR12&lt;&gt;""),AND(IU12&gt;=IV$30,IU12&lt;&gt;""),AND(JR12&gt;=JV$30,JR12&lt;&gt;""),AND(JU12&gt;=JV$30,JU12&lt;&gt;""),AND(KR12&gt;=KV$30,KR12&lt;&gt;""),AND(KU12&gt;=KV$30,KU12&lt;&gt;""),AND(LR12&gt;=LV$30,LR12&lt;&gt;""),AND(LU12&gt;=LV$30,LU12&lt;&gt;""),AND(MR12&gt;=MV$30,MR12&lt;&gt;""),AND(MU12&gt;=MV$30,MU12&lt;&gt;""),AND(NR12&gt;=NV$30,NR12&lt;&gt;""),AND(NU12&gt;=NV$30,NU12&lt;&gt;""),AND(OR12&gt;=OV$30,OR12&lt;&gt;""),AND(OU12&gt;=OV$30,OU12&lt;&gt;"")),"P","")</f>
        <v/>
      </c>
      <c r="H12" s="66" t="str">
        <f>IF(AND(G12="P",F12=""),"No DD",IF(OR(AND(AM12&gt;=AR$29,AN12&gt;=AR$33,AM12&lt;&gt;"",AL12=""),AND(AP12&gt;=AR$29,AQ12&gt;=AR$33,AP12&lt;&gt;"",AL12=""),AND(BN12&gt;=BS$29,BO12&gt;=BS$33,BN12&lt;&gt;"",BM12=""),AND(BQ12&gt;=BS$29,BR12&gt;=BS$33,BQ12&lt;&gt;"",BM12=""),AND(CO12&gt;=CT$29,CP12&gt;=CT$33,CO12&lt;&gt;"",CN12=""),AND(CR12&gt;=CT$29,CS12&gt;=CT$33,CR12&lt;&gt;""),AND(DQ12&gt;=DV$29,DR12&gt;=DV$33,DQ12&lt;&gt;""),AND(DT12&gt;=DV$29,DU12&gt;=DV$33,DT12&lt;&gt;""),AND(EQ12&gt;=EV$29,ER12&gt;=EV$33,EQ12&lt;&gt;""),AND(ET12&gt;=EV$29,EU12&gt;=EV$33,ET12&lt;&gt;""),AND(FQ12&gt;=FV$29,FR12&gt;=FV$33,FQ12&lt;&gt;""),AND(FT12&gt;=FV$29,FU12&gt;=FV$33,FT12&lt;&gt;""),AND(GQ12&gt;=GV$29,GR12&gt;=GV$33,GQ12&lt;&gt;""),AND(GT12&gt;=GV$29,GU12&gt;=GV$33,GT12&lt;&gt;""),AND(HQ12&gt;=HV$29,HR12&gt;=HV$33,HQ12&lt;&gt;""),AND(HT12&gt;=HV$29,HU12&gt;=HV$33,HT12&lt;&gt;""),AND(IQ12&gt;=IV$29,IR12&gt;=IV$33,IQ12&lt;&gt;""),AND(IT12&gt;=IV$29,IU12&gt;=IV$33,IT12&lt;&gt;""),AND(JQ12&gt;=JV$29,JR12&gt;=JV$33,JQ12&lt;&gt;""),AND(JT12&gt;=JV$29,JU12&gt;=JV$33,JT12&lt;&gt;""),AND(KQ12&gt;=KV$29,KR12&gt;=KV$33,KQ12&lt;&gt;""),AND(KT12&gt;=KV$29,KU12&gt;=KV$33,KT12&lt;&gt;""),AND(LQ12&gt;=LV$29,LR12&gt;=LV$33,LQ12&lt;&gt;""),AND(LT12&gt;=LV$29,LU12&gt;=LV$33,LT12&lt;&gt;""),AND(MQ12&gt;=MV$29,MR12&gt;=MV$33,MQ12&lt;&gt;""),AND(MT12&gt;=MV$29,MU12&gt;=MV$33,MT12&lt;&gt;""),AND(NQ12&gt;=NV$29,NR12&gt;=NV$33,NQ12&lt;&gt;""),AND(NT12&gt;=NV$29,NU12&gt;=NV$33,NT12&lt;&gt;""),AND(OQ12&gt;=OV$29,OR12&gt;=OV$33,OQ12&lt;&gt;""),AND(OT12&gt;=OV$29,OU12&gt;=OV$33,OT12&lt;&gt;"")),"Merit",IF(OR(AND(AM12&gt;=AR$28,AN12&gt;=AR$32,AM12&lt;&gt;"",AL12=""),AND(AP12&gt;=AR$28,AQ12&gt;=AR$32,AP12&lt;&gt;"",AL12=""),AND(BN12&gt;=BS$28,BO12&gt;=BS$32,BN12&lt;&gt;"",BM12=""),AND(BQ12&gt;=BS$28,BR12&gt;=BS$32,BQ12&lt;&gt;"",BM12=""),AND(CO12&gt;=CT$28,CP12&gt;=CT$32,CO12&lt;&gt;"",CN12=""),AND(CR12&gt;=CT$28,CS12&gt;=CT$32,CR12&lt;&gt;""),AND(DQ12&gt;=DV$28,DR12&gt;=DV$32,DQ12&lt;&gt;""),AND(DT12&gt;=DV$28,DU12&gt;=DV$32,DT12&lt;&gt;""),AND(EQ12&gt;=EV$28,ER12&gt;=EV$32,EQ12&lt;&gt;""),AND(ET12&gt;=EV$28,EU12&gt;=EV$32,ET12&lt;&gt;""),AND(FQ12&gt;=FV$28,FR12&gt;=FV$32,FQ12&lt;&gt;""),AND(FT12&gt;=FV$28,FU12&gt;=FV$32,FT12&lt;&gt;""),AND(GQ12&gt;=GV$28,GR12&gt;=GV$32,GQ12&lt;&gt;""),AND(GT12&gt;=GV$28,GU12&gt;=GV$32,GT12&lt;&gt;""),AND(HQ12&gt;=HV$28,HR12&gt;=HV$32,HQ12&lt;&gt;""),AND(HT12&gt;=HV$28,HU12&gt;=HV$32,HT12&lt;&gt;""),AND(IQ12&gt;=IV$28,IR12&gt;=IV$32,IQ12&lt;&gt;""),AND(IT12&gt;=IV$28,IU12&gt;=IV$32,IT12&lt;&gt;""),AND(JQ12&gt;=JV$28,JR12&gt;=JV$32,JQ12&lt;&gt;""),AND(JT12&gt;=JV$28,JU12&gt;=JV$32,JT12&lt;&gt;""),AND(KQ12&gt;=KV$28,KR12&gt;=KV$32,KQ12&lt;&gt;""),AND(KT12&gt;=KV$28,KU12&gt;=KV$32,KT12&lt;&gt;""),AND(LQ12&gt;=LV$28,LR12&gt;=LV$32,LQ12&lt;&gt;""),AND(LT12&gt;=LV$28,LU12&gt;=LV$32,LT12&lt;&gt;""),AND(MQ12&gt;=MV$28,MR12&gt;=MV$32,MQ12&lt;&gt;""),AND(MT12&gt;=MV$28,MU12&gt;=MV$32,MT12&lt;&gt;""),AND(NQ12&gt;=NV$28,NR12&gt;=NV$32,NQ12&lt;&gt;""),AND(NT12&gt;=NV$28,NU12&gt;=NV$32,NT12&lt;&gt;""),AND(OQ12&gt;=OV$28,OR12&gt;=OV$32,OQ12&lt;&gt;""),AND(OT12&gt;=OV$28,OU12&gt;=OV$32,OT12&lt;&gt;"")),"Excellence",IF(F12="P","National Team",""))))</f>
        <v/>
      </c>
      <c r="I12" s="14">
        <f>IF(COUNT(AN12,BO12,CP12)&gt;0,LARGE((AN12,BO12,CP12),1),0)</f>
        <v>41.099999999999994</v>
      </c>
      <c r="J12" s="14" t="str">
        <f>IF(I12=0,"",IF(I12=CP12,$BT$1,IF(I12=BO12,$AS$1,IF(I12=AN12,$R$1,""))))</f>
        <v>2022 Nationals</v>
      </c>
      <c r="K12" s="14">
        <f>IF(COUNT(AN12,BO12,CP12)&gt;1,LARGE((AN12,BO12,CP12),2),0)</f>
        <v>38.76</v>
      </c>
      <c r="L12" s="14" t="str">
        <f>IF(K12=0,"",IF(K12=CP12,$BT$1,IF(K12=BO12,$AS$1,IF(K12=AN12,$R$1,""))))</f>
        <v>2022 Elite Canada</v>
      </c>
      <c r="M12" s="14">
        <f>IF(MAX(AQ12,BR12,CS12)&gt;0,MAX(AQ12,BR12,CS12),0)</f>
        <v>41.4</v>
      </c>
      <c r="N12" s="14" t="str">
        <f>IF(M12=0,"",IF(M12=CS12,$BT$1,IF(M12=BR12,$AS$1,IF(M12=AQ12,$R$1,""))))</f>
        <v>2022 Nationals</v>
      </c>
      <c r="O12" s="14" t="str">
        <f>IF(MAX(CU12:CV12)&gt;0,MAX(CU12:CV12),"")</f>
        <v/>
      </c>
      <c r="P12" s="19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6">
        <v>16.559999999999999</v>
      </c>
      <c r="S12" s="26">
        <v>3.1</v>
      </c>
      <c r="T12" s="26">
        <v>0</v>
      </c>
      <c r="U12" s="26">
        <v>0</v>
      </c>
      <c r="V12" s="26">
        <v>15.8</v>
      </c>
      <c r="W12" s="26">
        <v>3</v>
      </c>
      <c r="X12" s="26">
        <v>0</v>
      </c>
      <c r="Y12" s="26">
        <v>0.3</v>
      </c>
      <c r="Z12" s="26"/>
      <c r="AA12" s="26"/>
      <c r="AB12" s="26"/>
      <c r="AC12" s="26"/>
      <c r="AD12" s="26">
        <v>16.5</v>
      </c>
      <c r="AE12" s="26">
        <v>3.1</v>
      </c>
      <c r="AF12" s="26">
        <v>0</v>
      </c>
      <c r="AG12" s="26">
        <v>0</v>
      </c>
      <c r="AH12" s="26">
        <v>16.399999999999999</v>
      </c>
      <c r="AI12" s="26">
        <v>3</v>
      </c>
      <c r="AJ12" s="26">
        <v>0</v>
      </c>
      <c r="AK12" s="26">
        <v>0.3</v>
      </c>
      <c r="AL12" s="44"/>
      <c r="AM12" s="78">
        <f>IF(SUM(S12,W12)&gt;0,SUM(S12,W12),"")</f>
        <v>6.1</v>
      </c>
      <c r="AN12" s="78">
        <f>IF(SUM(R12:S12,U12:W12,Y12)-T12-X12&gt;0,SUM(R12:S12,U12:W12,Y12)-T12-X12,"")</f>
        <v>38.76</v>
      </c>
      <c r="AO12" s="78" t="str">
        <f>IF(SUM(Z12:AA12,AC12)-AB12&gt;0,SUM(Z12:AA12,AC12)-AB12,"")</f>
        <v/>
      </c>
      <c r="AP12" s="78">
        <f>IF(SUM(AE12,AI12)&gt;0,SUM(AE12,AI12),"")</f>
        <v>6.1</v>
      </c>
      <c r="AQ12" s="78">
        <f>IF(SUM(AD12:AE12,AG12:AI12,AK12)-SUM(AF12,AJ12)&gt;0,SUM(AD12:AE12,AG12:AI12,AK12)-SUM(AF12,AJ12),"")</f>
        <v>39.299999999999997</v>
      </c>
      <c r="AR12" s="78">
        <f>IF(SUM(AN12,AQ12)&gt;0,SUM(AN12,AQ12),"")</f>
        <v>78.06</v>
      </c>
      <c r="AS12" s="25">
        <v>17.7</v>
      </c>
      <c r="AT12" s="25">
        <v>3.3</v>
      </c>
      <c r="AU12" s="25">
        <v>0</v>
      </c>
      <c r="AV12" s="25">
        <v>0</v>
      </c>
      <c r="AW12" s="25">
        <v>16.8</v>
      </c>
      <c r="AX12" s="25">
        <v>3</v>
      </c>
      <c r="AY12" s="25">
        <v>0</v>
      </c>
      <c r="AZ12" s="25">
        <v>0.3</v>
      </c>
      <c r="BA12" s="25"/>
      <c r="BB12" s="25"/>
      <c r="BC12" s="25"/>
      <c r="BD12" s="25"/>
      <c r="BE12" s="25">
        <v>17.399999999999999</v>
      </c>
      <c r="BF12" s="25">
        <v>3.3</v>
      </c>
      <c r="BG12" s="25">
        <v>0</v>
      </c>
      <c r="BH12" s="25">
        <v>0</v>
      </c>
      <c r="BI12" s="25">
        <v>16.5</v>
      </c>
      <c r="BJ12" s="25">
        <v>3.9</v>
      </c>
      <c r="BK12" s="25">
        <v>0</v>
      </c>
      <c r="BL12" s="25">
        <v>0.3</v>
      </c>
      <c r="BM12" s="45"/>
      <c r="BN12" s="19">
        <f>IF(SUM(AT12,AX12)&gt;0,SUM(AT12,AX12),"")</f>
        <v>6.3</v>
      </c>
      <c r="BO12" s="19">
        <f>IF(SUM(AS12:AT12,AV12:AX12,AZ12)-AU12-AY12&gt;0,SUM(AS12:AT12,AV12:AX12,AZ12)-AU12-AY12,"")</f>
        <v>41.099999999999994</v>
      </c>
      <c r="BP12" s="19" t="str">
        <f>IF(SUM(BA12:BB12,BD12)-BC12&gt;0,SUM(BA12:BB12,BD12)-BC12,"")</f>
        <v/>
      </c>
      <c r="BQ12" s="19">
        <f>IF(SUM(BF12,BJ12)&gt;0,SUM(BF12,BJ12),"")</f>
        <v>7.1999999999999993</v>
      </c>
      <c r="BR12" s="19">
        <f>IF(SUM(BE12:BF12,BH12:BJ12,BL12)-SUM(BG12,BK12)&gt;0,SUM(BE12:BF12,BH12:BJ12,BL12)-SUM(BG12,BK12),"")</f>
        <v>41.4</v>
      </c>
      <c r="BS12" s="19">
        <f>IF(SUM(BO12,BR12)&gt;0,SUM(BO12,BR12),"")</f>
        <v>82.5</v>
      </c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44"/>
      <c r="CO12" s="78" t="str">
        <f>IF(SUM(BU12,BY12)&gt;0,SUM(BU12,BY12),"")</f>
        <v/>
      </c>
      <c r="CP12" s="78" t="str">
        <f>IF(SUM(BT12:BU12,BW12:BY12,CA12)-BV12-BZ12&gt;0,SUM(BT12:BU12,BW12:BY12,CA12)-BV12-BZ12,"")</f>
        <v/>
      </c>
      <c r="CQ12" s="78" t="str">
        <f>IF(SUM(CB12:CC12,CE12)-CD12&gt;0,SUM(CB12:CC12,CE12)-CD12,"")</f>
        <v/>
      </c>
      <c r="CR12" s="78" t="str">
        <f>IF(SUM(CG12,CK12)&gt;0,SUM(CG12,CK12),"")</f>
        <v/>
      </c>
      <c r="CS12" s="78" t="str">
        <f>IF(SUM(CF12:CG12,CI12:CK12,CM12)-SUM(CH12,CL12)&gt;0,SUM(CF12:CG12,CI12:CK12,CM12)-SUM(CH12,CL12),"")</f>
        <v/>
      </c>
      <c r="CT12" s="78" t="str">
        <f>IF(SUM(CP12,CS12)&gt;0,SUM(CP12,CS12),"")</f>
        <v/>
      </c>
      <c r="CU12" s="79" t="str">
        <f>IF(K12&gt;=0.001,IF(MAX(DR12,ER12,FR12,GR12,HR12,IR12,JR12,KR12,LR12,MR12,NR12,OR12)-IF(K12="",0,K12)&gt;0.001,MAX(DR12,ER12,FR12,GR12,HR12,IR12,JR12,KR12,LR12,MR12,NR12,OR12)-IF(K12="",0,K12),""),"")</f>
        <v/>
      </c>
      <c r="CV12" s="79" t="str">
        <f>IF(M12&gt;=0.001,IF(MAX(DU12,EU12,FU12,GU12,HU12,IU12,JU12,KU12,LU12,MU12,NU12,OU12)-IF(M12="",0,M12)&gt;0.001,MAX(DU12,EU12,FU12,GU12,HU12,IU12,JU12,KU12,LU12,MU12,NU12,OU12)-IF(M12="",0,M12),""),"")</f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>IF(SUM(CX12,DB12)&gt;0,SUM(CX12,DB12),"")</f>
        <v/>
      </c>
      <c r="DR12" s="78" t="str">
        <f>IF(SUM(CW12:CX12,CZ12:DB12,DD12)-CY12-DC12&gt;0,SUM(CW12:CX12,CZ12:DB12,DD12)-CY12-DC12,"")</f>
        <v/>
      </c>
      <c r="DS12" s="78" t="str">
        <f>IF(SUM(DE12:DF12,DH12)-DG12&gt;0,SUM(DE12:DF12,DH12)-DG12,"")</f>
        <v/>
      </c>
      <c r="DT12" s="78" t="str">
        <f>IF(SUM(DJ12,DN12)&gt;0,SUM(DJ12,DN12),"")</f>
        <v/>
      </c>
      <c r="DU12" s="78" t="str">
        <f>IF(SUM(DI12:DJ12,DL12:DN12,DP12)-SUM(DK12,DO12)&gt;0,SUM(DI12:DJ12,DL12:DN12,DP12)-SUM(DK12,DO12),"")</f>
        <v/>
      </c>
      <c r="DV12" s="78" t="str">
        <f>IF(SUM(DR12,DU12)&gt;0,SUM(DR12,DU12),"")</f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>IF(SUM(DX12,EB12)&gt;0,SUM(DX12,EB12),"")</f>
        <v/>
      </c>
      <c r="ER12" s="19" t="str">
        <f>IF(SUM(DW12:DX12,DZ12:EB12,ED12)-DY12-EC12&gt;0,SUM(DW12:DX12,DZ12:EB12,ED12)-DY12-EC12,"")</f>
        <v/>
      </c>
      <c r="ES12" s="19" t="str">
        <f>IF(SUM(EE12:EF12,EH12)-EG12&gt;0,SUM(EE12:EF12,EH12)-EG12,"")</f>
        <v/>
      </c>
      <c r="ET12" s="19" t="str">
        <f>IF(SUM(EJ12,EN12)&gt;0,SUM(EJ12,EN12),"")</f>
        <v/>
      </c>
      <c r="EU12" s="19" t="str">
        <f>IF(SUM(EI12:EJ12,EL12:EN12,EP12)-SUM(EK12,EO12)&gt;0,SUM(EI12:EJ12,EL12:EN12,EP12)-SUM(EK12,EO12),"")</f>
        <v/>
      </c>
      <c r="EV12" s="19" t="str">
        <f>IF(SUM(ER12,EU12)&gt;0,SUM(ER12,EU12),"")</f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>IF(SUM(EX12,FB12)&gt;0,SUM(EX12,FB12),"")</f>
        <v/>
      </c>
      <c r="FR12" s="78" t="str">
        <f>IF(SUM(EW12:EX12,EZ12:FB12,FD12)-EY12-FC12&gt;0,SUM(EW12:EX12,EZ12:FB12,FD12)-EY12-FC12,"")</f>
        <v/>
      </c>
      <c r="FS12" s="78" t="str">
        <f>IF(SUM(FE12:FF12,FH12)-FG12&gt;0,SUM(FE12:FF12,FH12)-FG12,"")</f>
        <v/>
      </c>
      <c r="FT12" s="78" t="str">
        <f>IF(SUM(FJ12,FN12)&gt;0,SUM(FJ12,FN12),"")</f>
        <v/>
      </c>
      <c r="FU12" s="78" t="str">
        <f>IF(SUM(FI12:FJ12,FL12:FN12,FP12)-SUM(FK12,FO12)&gt;0,SUM(FI12:FJ12,FL12:FN12,FP12)-SUM(FK12,FO12),"")</f>
        <v/>
      </c>
      <c r="FV12" s="78" t="str">
        <f>IF(SUM(FR12,FU12)&gt;0,SUM(FR12,FU12),"")</f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>IF(SUM(FX12,GB12)&gt;0,SUM(FX12,GB12),"")</f>
        <v/>
      </c>
      <c r="GR12" s="19" t="str">
        <f>IF(SUM(FW12:FX12,FZ12:GB12,GD12)-FY12-GC12&gt;0,SUM(FW12:FX12,FZ12:GB12,GD12)-FY12-GC12,"")</f>
        <v/>
      </c>
      <c r="GS12" s="19" t="str">
        <f>IF(SUM(GE12:GF12,GH12)-GG12&gt;0,SUM(GE12:GF12,GH12)-GG12,"")</f>
        <v/>
      </c>
      <c r="GT12" s="19" t="str">
        <f>IF(SUM(GJ12,GN12)&gt;0,SUM(GJ12,GN12),"")</f>
        <v/>
      </c>
      <c r="GU12" s="19" t="str">
        <f>IF(SUM(GI12:GJ12,GL12:GN12,GP12)-SUM(GK12,GO12)&gt;0,SUM(GI12:GJ12,GL12:GN12,GP12)-SUM(GK12,GO12),"")</f>
        <v/>
      </c>
      <c r="GV12" s="19" t="str">
        <f>IF(SUM(GR12,GU12)&gt;0,SUM(GR12,GU12),"")</f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>IF(SUM(GX12,HB12)&gt;0,SUM(GX12,HB12),"")</f>
        <v/>
      </c>
      <c r="HR12" s="78" t="str">
        <f>IF(SUM(GW12:GX12,GZ12:HB12,HD12)-GY12-HC12&gt;0,SUM(GW12:GX12,GZ12:HB12,HD12)-GY12-HC12,"")</f>
        <v/>
      </c>
      <c r="HS12" s="78" t="str">
        <f>IF(SUM(HE12:HF12,HH12)-HG12&gt;0,SUM(HE12:HF12,HH12)-HG12,"")</f>
        <v/>
      </c>
      <c r="HT12" s="78" t="str">
        <f>IF(SUM(HJ12,HN12)&gt;0,SUM(HJ12,HN12),"")</f>
        <v/>
      </c>
      <c r="HU12" s="78" t="str">
        <f>IF(SUM(HI12:HJ12,HL12:HN12,HP12)-SUM(HK12,HO12)&gt;0,SUM(HI12:HJ12,HL12:HN12,HP12)-SUM(HK12,HO12),"")</f>
        <v/>
      </c>
      <c r="HV12" s="78" t="str">
        <f>IF(SUM(HR12,HU12)&gt;0,SUM(HR12,HU12),"")</f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>IF(SUM(HX12,IB12)&gt;0,SUM(HX12,IB12),"")</f>
        <v/>
      </c>
      <c r="IR12" s="19" t="str">
        <f>IF(SUM(HW12:HX12,HZ12:IB12,ID12)-HY12-IC12&gt;0,SUM(HW12:HX12,HZ12:IB12,ID12)-HY12-IC12,"")</f>
        <v/>
      </c>
      <c r="IS12" s="19" t="str">
        <f>IF(SUM(IE12:IF12,IH12)-IG12&gt;0,SUM(IE12:IF12,IH12)-IG12,"")</f>
        <v/>
      </c>
      <c r="IT12" s="19" t="str">
        <f>IF(SUM(IJ12,IN12)&gt;0,SUM(IJ12,IN12),"")</f>
        <v/>
      </c>
      <c r="IU12" s="19" t="str">
        <f>IF(SUM(II12:IJ12,IL12:IN12,IP12)-SUM(IK12,IO12)&gt;0,SUM(II12:IJ12,IL12:IN12,IP12)-SUM(IK12,IO12),"")</f>
        <v/>
      </c>
      <c r="IV12" s="19" t="str">
        <f>IF(SUM(IR12,IU12)&gt;0,SUM(IR12,IU12),"")</f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>IF(SUM(IX12,JB12)&gt;0,SUM(IX12,JB12),"")</f>
        <v/>
      </c>
      <c r="JR12" s="78" t="str">
        <f>IF(SUM(IW12:IX12,IZ12:JB12,JD12)-IY12-JC12&gt;0,SUM(IW12:IX12,IZ12:JB12,JD12)-IY12-JC12,"")</f>
        <v/>
      </c>
      <c r="JS12" s="78" t="str">
        <f>IF(SUM(JE12:JF12,JH12)-JG12&gt;0,SUM(JE12:JF12,JH12)-JG12,"")</f>
        <v/>
      </c>
      <c r="JT12" s="78" t="str">
        <f>IF(SUM(JJ12,JN12)&gt;0,SUM(JJ12,JN12),"")</f>
        <v/>
      </c>
      <c r="JU12" s="78" t="str">
        <f>IF(SUM(JI12:JJ12,JL12:JN12,JP12)-SUM(JK12,JO12)&gt;0,SUM(JI12:JJ12,JL12:JN12,JP12)-SUM(JK12,JO12),"")</f>
        <v/>
      </c>
      <c r="JV12" s="78" t="str">
        <f>IF(SUM(JR12,JU12)&gt;0,SUM(JR12,JU12),"")</f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>IF(SUM(JX12,KB12)&gt;0,SUM(JX12,KB12),"")</f>
        <v/>
      </c>
      <c r="KR12" s="19" t="str">
        <f>IF(SUM(JW12:JX12,JZ12:KB12,KD12)-JY12-KC12&gt;0,SUM(JW12:JX12,JZ12:KB12,KD12)-JY12-KC12,"")</f>
        <v/>
      </c>
      <c r="KS12" s="19" t="str">
        <f>IF(SUM(KE12:KF12,KH12)-KG12&gt;0,SUM(KE12:KF12,KH12)-KG12,"")</f>
        <v/>
      </c>
      <c r="KT12" s="19" t="str">
        <f>IF(SUM(KJ12,KN12)&gt;0,SUM(KJ12,KN12),"")</f>
        <v/>
      </c>
      <c r="KU12" s="19" t="str">
        <f>IF(SUM(KI12:KJ12,KL12:KN12,KP12)-SUM(KK12,KO12)&gt;0,SUM(KI12:KJ12,KL12:KN12,KP12)-SUM(KK12,KO12),"")</f>
        <v/>
      </c>
      <c r="KV12" s="19" t="str">
        <f>IF(SUM(KR12,KU12)&gt;0,SUM(KR12,KU12),"")</f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>IF(SUM(KX12,LB12)&gt;0,SUM(KX12,LB12),"")</f>
        <v/>
      </c>
      <c r="LR12" s="78" t="str">
        <f>IF(SUM(KW12:KX12,KZ12:LB12,LD12)-KY12-LC12&gt;0,SUM(KW12:KX12,KZ12:LB12,LD12)-KY12-LC12,"")</f>
        <v/>
      </c>
      <c r="LS12" s="78" t="str">
        <f>IF(SUM(LE12:LF12,LH12)-LG12&gt;0,SUM(LE12:LF12,LH12)-LG12,"")</f>
        <v/>
      </c>
      <c r="LT12" s="78" t="str">
        <f>IF(SUM(LJ12,LN12)&gt;0,SUM(LJ12,LN12),"")</f>
        <v/>
      </c>
      <c r="LU12" s="78" t="str">
        <f>IF(SUM(LI12:LJ12,LL12:LN12,LP12)-SUM(LK12,LO12)&gt;0,SUM(LI12:LJ12,LL12:LN12,LP12)-SUM(LK12,LO12),"")</f>
        <v/>
      </c>
      <c r="LV12" s="78" t="str">
        <f>IF(SUM(LR12,LU12)&gt;0,SUM(LR12,LU12),"")</f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>IF(SUM(LX12,MB12)&gt;0,SUM(LX12,MB12),"")</f>
        <v/>
      </c>
      <c r="MR12" s="19" t="str">
        <f>IF(SUM(LW12:LX12,LZ12:MB12,MD12)-LY12-MC12&gt;0,SUM(LW12:LX12,LZ12:MB12,MD12)-LY12-MC12,"")</f>
        <v/>
      </c>
      <c r="MS12" s="19" t="str">
        <f>IF(SUM(ME12:MF12,MH12)-MG12&gt;0,SUM(ME12:MF12,MH12)-MG12,"")</f>
        <v/>
      </c>
      <c r="MT12" s="19" t="str">
        <f>IF(SUM(MJ12,MN12)&gt;0,SUM(MJ12,MN12),"")</f>
        <v/>
      </c>
      <c r="MU12" s="19" t="str">
        <f>IF(SUM(MI12:MJ12,ML12:MN12,MP12)-SUM(MK12,MO12)&gt;0,SUM(MI12:MJ12,ML12:MN12,MP12)-SUM(MK12,MO12),"")</f>
        <v/>
      </c>
      <c r="MV12" s="19" t="str">
        <f>IF(SUM(MR12,MU12)&gt;0,SUM(MR12,MU12),"")</f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>IF(SUM(MX12,NB12)&gt;0,SUM(MX12,NB12),"")</f>
        <v/>
      </c>
      <c r="NR12" s="78" t="str">
        <f>IF(SUM(MW12:MX12,MZ12:NB12,ND12)-MY12-NC12&gt;0,SUM(MW12:MX12,MZ12:NB12,ND12)-MY12-NC12,"")</f>
        <v/>
      </c>
      <c r="NS12" s="78" t="str">
        <f>IF(SUM(NE12:NF12,NH12)-NG12&gt;0,SUM(NE12:NF12,NH12)-NG12,"")</f>
        <v/>
      </c>
      <c r="NT12" s="78" t="str">
        <f>IF(SUM(NJ12,NN12)&gt;0,SUM(NJ12,NN12),"")</f>
        <v/>
      </c>
      <c r="NU12" s="78" t="str">
        <f>IF(SUM(NI12:NJ12,NL12:NN12,NP12)-SUM(NK12,NO12)&gt;0,SUM(NI12:NJ12,NL12:NN12,NP12)-SUM(NK12,NO12),"")</f>
        <v/>
      </c>
      <c r="NV12" s="78" t="str">
        <f>IF(SUM(NR12,NU12)&gt;0,SUM(NR12,NU12),"")</f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>IF(SUM(NX12,OB12)&gt;0,SUM(NX12,OB12),"")</f>
        <v/>
      </c>
      <c r="OR12" s="19" t="str">
        <f>IF(SUM(NW12:NX12,NZ12:OB12,OD12)-NY12-OC12&gt;0,SUM(NW12:NX12,NZ12:OB12,OD12)-NY12-OC12,"")</f>
        <v/>
      </c>
      <c r="OS12" s="19" t="str">
        <f>IF(SUM(OE12:OF12,OH12)-OG12&gt;0,SUM(OE12:OF12,OH12)-OG12,"")</f>
        <v/>
      </c>
      <c r="OT12" s="19" t="str">
        <f>IF(SUM(OJ12,ON12)&gt;0,SUM(OJ12,ON12),"")</f>
        <v/>
      </c>
      <c r="OU12" s="19" t="str">
        <f>IF(SUM(OI12:OJ12,OL12:ON12,OP12)-SUM(OK12,OO12)&gt;0,SUM(OI12:OJ12,OL12:ON12,OP12)-SUM(OK12,OO12),"")</f>
        <v/>
      </c>
      <c r="OV12" s="19" t="str">
        <f>IF(SUM(OR12,OU12)&gt;0,SUM(OR12,OU12),"")</f>
        <v/>
      </c>
      <c r="OW12" s="37">
        <f>IF($CN12="P",BT12,(BT12+AS12)/2)</f>
        <v>8.85</v>
      </c>
      <c r="OX12" s="37">
        <f>IF($CN12="P",BU12,(BU12+AT12)/2)</f>
        <v>1.65</v>
      </c>
      <c r="OY12" s="37">
        <f>IF($CN12="P",BV12,(BV12+AU12)/2)</f>
        <v>0</v>
      </c>
      <c r="OZ12" s="37">
        <f>IF($CN12="P",BW12,(BW12+AV12)/2)</f>
        <v>0</v>
      </c>
      <c r="PA12" s="37">
        <f>IF($CN12="P",BX12,(BX12+AW12)/2)</f>
        <v>8.4</v>
      </c>
      <c r="PB12" s="37">
        <f>IF($CN12="P",BY12,(BY12+AX12)/2)</f>
        <v>1.5</v>
      </c>
      <c r="PC12" s="37">
        <f>IF($CN12="P",BZ12,(BZ12+AY12)/2)</f>
        <v>0</v>
      </c>
      <c r="PD12" s="37">
        <f>IF($CN12="P",CA12,(CA12+AZ12)/2)</f>
        <v>0.15</v>
      </c>
      <c r="PE12" s="37">
        <f>IF($CN12="P",CB12,(CB12+BA12)/2)</f>
        <v>0</v>
      </c>
      <c r="PF12" s="37">
        <f>IF($CN12="P",CC12,(CC12+BB12)/2)</f>
        <v>0</v>
      </c>
      <c r="PG12" s="37">
        <f>IF($CN12="P",CD12,(CD12+BC12)/2)</f>
        <v>0</v>
      </c>
      <c r="PH12" s="37">
        <f>IF($CN12="P",CE12,(CE12+BD12)/2)</f>
        <v>0</v>
      </c>
      <c r="PI12" s="37">
        <f>IF($CN12="P",CF12,(CF12+BE12)/2)</f>
        <v>8.6999999999999993</v>
      </c>
      <c r="PJ12" s="37">
        <f>IF($CN12="P",CG12,(CG12+BF12)/2)</f>
        <v>1.65</v>
      </c>
      <c r="PK12" s="37">
        <f>IF($CN12="P",CH12,(CH12+BG12)/2)</f>
        <v>0</v>
      </c>
      <c r="PL12" s="37">
        <f>IF($CN12="P",CI12,(CI12+BH12)/2)</f>
        <v>0</v>
      </c>
      <c r="PM12" s="37">
        <f>IF($CN12="P",CJ12,(CJ12+BI12)/2)</f>
        <v>8.25</v>
      </c>
      <c r="PN12" s="37">
        <f>IF($CN12="P",CK12,(CK12+BJ12)/2)</f>
        <v>1.95</v>
      </c>
      <c r="PO12" s="37">
        <f>IF($CN12="P",CL12,(CL12+BK12)/2)</f>
        <v>0</v>
      </c>
      <c r="PP12" s="37">
        <f>IF($CN12="P",CM12,(CM12+BL12)/2)</f>
        <v>0.15</v>
      </c>
      <c r="PQ12" s="44" t="s">
        <v>46</v>
      </c>
      <c r="PR12" s="78">
        <f>IF(SUM(OX12,PB12)&gt;0,SUM(OX12,PB12),"")</f>
        <v>3.15</v>
      </c>
      <c r="PS12" s="78">
        <f>IF(SUM(OW12:OX12,OZ12:PB12,PD12)-OY12-PC12&gt;0,SUM(OW12:OX12,OZ12:PB12,PD12)-OY12-PC12,"")</f>
        <v>20.549999999999997</v>
      </c>
      <c r="PT12" s="78" t="str">
        <f>IF(SUM(PE12:PF12,PH12)-PG12&gt;0,SUM(PE12:PF12,PH12)-PG12,"")</f>
        <v/>
      </c>
      <c r="PU12" s="78">
        <f>IF(SUM(PJ12,PN12)&gt;0,SUM(PJ12,PN12),"")</f>
        <v>3.5999999999999996</v>
      </c>
      <c r="PV12" s="78">
        <f>IF(SUM(PI12:PJ12,PL12:PN12,PP12)-SUM(PK12,PO12)&gt;0,SUM(PI12:PJ12,PL12:PN12,PP12)-SUM(PK12,PO12),"")</f>
        <v>20.7</v>
      </c>
      <c r="PW12" s="78">
        <f>IF(SUM(PS12,PV12)&gt;0,SUM(PS12,PV12),"")</f>
        <v>41.25</v>
      </c>
    </row>
    <row r="13" spans="1:439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77" t="s">
        <v>90</v>
      </c>
      <c r="C13" s="5" t="s">
        <v>5</v>
      </c>
      <c r="D13" s="5">
        <v>2004</v>
      </c>
      <c r="E13" s="15">
        <f>SUM(I13:O13)+SUM(I13:M13)*0.0000001+SUM(I13)*0.0000000000001</f>
        <v>118.60001155000391</v>
      </c>
      <c r="F13" s="3" t="str">
        <f>IF(OR(AND(AM13&gt;=AR$26,AN13&gt;=AR$30,AM13&lt;&gt;"",AL13=""),AND(AP13&gt;=AR$26,AQ13&gt;=AR$30,AP13&lt;&gt;"",AL13=""),AND(BN13&gt;=BS$26,BO13&gt;=BS$30,BN13&lt;&gt;"",BM13=""),AND(BQ13&gt;=BS$26,BR13&gt;=BS$30,BQ13&lt;&gt;"",BM13=""),AND(CO13&gt;=CT$26,CP13&gt;=CT$30,CO13&lt;&gt;"",CN13=""),AND(CR13&gt;=CT$26,CS13&gt;=CT$30,CR13&lt;&gt;""),AND(DQ13&gt;=DV$26,DR13&gt;=DV$30,DQ13&lt;&gt;""),AND(DT13&gt;=DV$26,DU13&gt;=DV$30,DT13&lt;&gt;""),AND(EQ13&gt;=EV$26,ER13&gt;=EV$30,EQ13&lt;&gt;""),AND(ET13&gt;=EV$26,EU13&gt;=EV$30,ET13&lt;&gt;""),AND(FQ13&gt;=FV$26,FR13&gt;=FV$30,FQ13&lt;&gt;""),AND(FT13&gt;=FV$26,FU13&gt;=FV$30,FT13&lt;&gt;""),AND(GQ13&gt;=GV$26,GR13&gt;=GV$30,GQ13&lt;&gt;""),AND(GT13&gt;=GV$26,GU13&gt;=GV$30,GT13&lt;&gt;""),AND(HQ13&gt;=HV$26,HR13&gt;=HV$30,HQ13&lt;&gt;""),AND(HT13&gt;=HV$26,HU13&gt;=HV$30,HT13&lt;&gt;""),AND(IQ13&gt;=IV$26,IR13&gt;=IV$30,IQ13&lt;&gt;""),AND(IT13&gt;=IV$26,IU13&gt;=IV$30,IT13&lt;&gt;""),AND(JQ13&gt;=JV$26,JR13&gt;=JV$30,JQ13&lt;&gt;""),AND(JT13&gt;=JV$26,JU13&gt;=JV$30,JT13&lt;&gt;""),AND(KQ13&gt;=KV$26,KR13&gt;=KV$30,KQ13&lt;&gt;""),AND(KT13&gt;=KV$26,KU13&gt;=KV$30,KT13&lt;&gt;""),AND(LQ13&gt;=LV$26,LR13&gt;=LV$30,LQ13&lt;&gt;""),AND(LT13&gt;=LV$26,LU13&gt;=LV$30,LT13&lt;&gt;""),AND(MQ13&gt;=MV$26,MR13&gt;=MV$30,MQ13&lt;&gt;""),AND(MT13&gt;=MV$26,MU13&gt;=MV$30,MT13&lt;&gt;""),AND(NQ13&gt;=NV$26,NR13&gt;=NV$30,NQ13&lt;&gt;""),AND(NT13&gt;=NV$26,NU13&gt;=NV$30,NT13&lt;&gt;""),AND(OQ13&gt;=OV$26,OR13&gt;=OV$30,OQ13&lt;&gt;""),AND(OT13&gt;=OV$26,OU13&gt;=OV$30,OT13&lt;&gt;"")),"P","")</f>
        <v/>
      </c>
      <c r="G13" s="3" t="str">
        <f>IF(OR(AND(AN13&gt;=AR$30,AN13&lt;&gt;"",AL13=""),AND(AQ13&gt;=AR$30,AQ13&lt;&gt;"",AL13=""),AND(BO13&gt;=BS$30,BO13&lt;&gt;"",BM13=""),AND(BR13&gt;=BS$30,BR13&lt;&gt;"",BM13=""),AND(CP13&gt;=CT$30,CP13&lt;&gt;"",CN13=""),AND(CS13&gt;=CT$30,CS13&lt;&gt;"",CN13=""),AND(DR13&gt;=DV$30,DR13&lt;&gt;""),AND(DU13&gt;=DV$30,DU13&lt;&gt;""),AND(ER13&gt;=EV$30,ER13&lt;&gt;""),AND(EU13&gt;=EV$30,EU13&lt;&gt;""),AND(FR13&gt;=FV$30,FR13&lt;&gt;""),AND(FU13&gt;=FV$30,FU13&lt;&gt;""),AND(GR13&gt;=GV$30,GR13&lt;&gt;""),AND(GU13&gt;=GV$30,GU13&lt;&gt;""),AND(HR13&gt;=HV$30,HR13&lt;&gt;""),AND(HU13&gt;=HV$30,HU13&lt;&gt;""),AND(IR13&gt;=IV$30,IR13&lt;&gt;""),AND(IU13&gt;=IV$30,IU13&lt;&gt;""),AND(JR13&gt;=JV$30,JR13&lt;&gt;""),AND(JU13&gt;=JV$30,JU13&lt;&gt;""),AND(KR13&gt;=KV$30,KR13&lt;&gt;""),AND(KU13&gt;=KV$30,KU13&lt;&gt;""),AND(LR13&gt;=LV$30,LR13&lt;&gt;""),AND(LU13&gt;=LV$30,LU13&lt;&gt;""),AND(MR13&gt;=MV$30,MR13&lt;&gt;""),AND(MU13&gt;=MV$30,MU13&lt;&gt;""),AND(NR13&gt;=NV$30,NR13&lt;&gt;""),AND(NU13&gt;=NV$30,NU13&lt;&gt;""),AND(OR13&gt;=OV$30,OR13&lt;&gt;""),AND(OU13&gt;=OV$30,OU13&lt;&gt;"")),"P","")</f>
        <v/>
      </c>
      <c r="H13" s="66" t="str">
        <f>IF(AND(G13="P",F13=""),"No DD",IF(OR(AND(AM13&gt;=AR$29,AN13&gt;=AR$33,AM13&lt;&gt;"",AL13=""),AND(AP13&gt;=AR$29,AQ13&gt;=AR$33,AP13&lt;&gt;"",AL13=""),AND(BN13&gt;=BS$29,BO13&gt;=BS$33,BN13&lt;&gt;"",BM13=""),AND(BQ13&gt;=BS$29,BR13&gt;=BS$33,BQ13&lt;&gt;"",BM13=""),AND(CO13&gt;=CT$29,CP13&gt;=CT$33,CO13&lt;&gt;"",CN13=""),AND(CR13&gt;=CT$29,CS13&gt;=CT$33,CR13&lt;&gt;""),AND(DQ13&gt;=DV$29,DR13&gt;=DV$33,DQ13&lt;&gt;""),AND(DT13&gt;=DV$29,DU13&gt;=DV$33,DT13&lt;&gt;""),AND(EQ13&gt;=EV$29,ER13&gt;=EV$33,EQ13&lt;&gt;""),AND(ET13&gt;=EV$29,EU13&gt;=EV$33,ET13&lt;&gt;""),AND(FQ13&gt;=FV$29,FR13&gt;=FV$33,FQ13&lt;&gt;""),AND(FT13&gt;=FV$29,FU13&gt;=FV$33,FT13&lt;&gt;""),AND(GQ13&gt;=GV$29,GR13&gt;=GV$33,GQ13&lt;&gt;""),AND(GT13&gt;=GV$29,GU13&gt;=GV$33,GT13&lt;&gt;""),AND(HQ13&gt;=HV$29,HR13&gt;=HV$33,HQ13&lt;&gt;""),AND(HT13&gt;=HV$29,HU13&gt;=HV$33,HT13&lt;&gt;""),AND(IQ13&gt;=IV$29,IR13&gt;=IV$33,IQ13&lt;&gt;""),AND(IT13&gt;=IV$29,IU13&gt;=IV$33,IT13&lt;&gt;""),AND(JQ13&gt;=JV$29,JR13&gt;=JV$33,JQ13&lt;&gt;""),AND(JT13&gt;=JV$29,JU13&gt;=JV$33,JT13&lt;&gt;""),AND(KQ13&gt;=KV$29,KR13&gt;=KV$33,KQ13&lt;&gt;""),AND(KT13&gt;=KV$29,KU13&gt;=KV$33,KT13&lt;&gt;""),AND(LQ13&gt;=LV$29,LR13&gt;=LV$33,LQ13&lt;&gt;""),AND(LT13&gt;=LV$29,LU13&gt;=LV$33,LT13&lt;&gt;""),AND(MQ13&gt;=MV$29,MR13&gt;=MV$33,MQ13&lt;&gt;""),AND(MT13&gt;=MV$29,MU13&gt;=MV$33,MT13&lt;&gt;""),AND(NQ13&gt;=NV$29,NR13&gt;=NV$33,NQ13&lt;&gt;""),AND(NT13&gt;=NV$29,NU13&gt;=NV$33,NT13&lt;&gt;""),AND(OQ13&gt;=OV$29,OR13&gt;=OV$33,OQ13&lt;&gt;""),AND(OT13&gt;=OV$29,OU13&gt;=OV$33,OT13&lt;&gt;"")),"Merit",IF(OR(AND(AM13&gt;=AR$28,AN13&gt;=AR$32,AM13&lt;&gt;"",AL13=""),AND(AP13&gt;=AR$28,AQ13&gt;=AR$32,AP13&lt;&gt;"",AL13=""),AND(BN13&gt;=BS$28,BO13&gt;=BS$32,BN13&lt;&gt;"",BM13=""),AND(BQ13&gt;=BS$28,BR13&gt;=BS$32,BQ13&lt;&gt;"",BM13=""),AND(CO13&gt;=CT$28,CP13&gt;=CT$32,CO13&lt;&gt;"",CN13=""),AND(CR13&gt;=CT$28,CS13&gt;=CT$32,CR13&lt;&gt;""),AND(DQ13&gt;=DV$28,DR13&gt;=DV$32,DQ13&lt;&gt;""),AND(DT13&gt;=DV$28,DU13&gt;=DV$32,DT13&lt;&gt;""),AND(EQ13&gt;=EV$28,ER13&gt;=EV$32,EQ13&lt;&gt;""),AND(ET13&gt;=EV$28,EU13&gt;=EV$32,ET13&lt;&gt;""),AND(FQ13&gt;=FV$28,FR13&gt;=FV$32,FQ13&lt;&gt;""),AND(FT13&gt;=FV$28,FU13&gt;=FV$32,FT13&lt;&gt;""),AND(GQ13&gt;=GV$28,GR13&gt;=GV$32,GQ13&lt;&gt;""),AND(GT13&gt;=GV$28,GU13&gt;=GV$32,GT13&lt;&gt;""),AND(HQ13&gt;=HV$28,HR13&gt;=HV$32,HQ13&lt;&gt;""),AND(HT13&gt;=HV$28,HU13&gt;=HV$32,HT13&lt;&gt;""),AND(IQ13&gt;=IV$28,IR13&gt;=IV$32,IQ13&lt;&gt;""),AND(IT13&gt;=IV$28,IU13&gt;=IV$32,IT13&lt;&gt;""),AND(JQ13&gt;=JV$28,JR13&gt;=JV$32,JQ13&lt;&gt;""),AND(JT13&gt;=JV$28,JU13&gt;=JV$32,JT13&lt;&gt;""),AND(KQ13&gt;=KV$28,KR13&gt;=KV$32,KQ13&lt;&gt;""),AND(KT13&gt;=KV$28,KU13&gt;=KV$32,KT13&lt;&gt;""),AND(LQ13&gt;=LV$28,LR13&gt;=LV$32,LQ13&lt;&gt;""),AND(LT13&gt;=LV$28,LU13&gt;=LV$32,LT13&lt;&gt;""),AND(MQ13&gt;=MV$28,MR13&gt;=MV$32,MQ13&lt;&gt;""),AND(MT13&gt;=MV$28,MU13&gt;=MV$32,MT13&lt;&gt;""),AND(NQ13&gt;=NV$28,NR13&gt;=NV$32,NQ13&lt;&gt;""),AND(NT13&gt;=NV$28,NU13&gt;=NV$32,NT13&lt;&gt;""),AND(OQ13&gt;=OV$28,OR13&gt;=OV$32,OQ13&lt;&gt;""),AND(OT13&gt;=OV$28,OU13&gt;=OV$32,OT13&lt;&gt;"")),"Excellence",IF(F13="P","National Team",""))))</f>
        <v/>
      </c>
      <c r="I13" s="14">
        <f>IF(COUNT(AN13,BO13,CP13)&gt;0,LARGE((AN13,BO13,CP13),1),0)</f>
        <v>39.1</v>
      </c>
      <c r="J13" s="14" t="str">
        <f>IF(I13=0,"",IF(I13=CP13,$BT$1,IF(I13=BO13,$AS$1,IF(I13=AN13,$R$1,""))))</f>
        <v>2022 3rd Domestic Trial</v>
      </c>
      <c r="K13" s="14">
        <f>IF(COUNT(AN13,BO13,CP13)&gt;1,LARGE((AN13,BO13,CP13),2),0)</f>
        <v>35.5</v>
      </c>
      <c r="L13" s="14" t="str">
        <f>IF(K13=0,"",IF(K13=CP13,$BT$1,IF(K13=BO13,$AS$1,IF(K13=AN13,$R$1,""))))</f>
        <v>2022 Nationals</v>
      </c>
      <c r="M13" s="14">
        <f>IF(MAX(AQ13,BR13,CS13)&gt;0,MAX(AQ13,BR13,CS13),0)</f>
        <v>40.900000000000006</v>
      </c>
      <c r="N13" s="14" t="str">
        <f>IF(M13=0,"",IF(M13=CS13,$BT$1,IF(M13=BR13,$AS$1,IF(M13=AQ13,$R$1,""))))</f>
        <v>2022 3rd Domestic Trial</v>
      </c>
      <c r="O13" s="14">
        <f>IF(MAX(CU13:CV13)&gt;0,MAX(CU13:CV13),"")</f>
        <v>3.1000000000000085</v>
      </c>
      <c r="P13" s="19" t="str">
        <f>IF(O13="","",IF(O13=CU13,"("&amp;CU$2&amp;")",IF(O13=CV13,"("&amp;CV$2&amp;")")))</f>
        <v>(Q1)</v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>2022 Coimbra Gym Fest (June 26)</v>
      </c>
      <c r="R13" s="26">
        <v>17</v>
      </c>
      <c r="S13" s="26">
        <v>1.8</v>
      </c>
      <c r="T13" s="26">
        <v>1.2</v>
      </c>
      <c r="U13" s="26">
        <v>0</v>
      </c>
      <c r="V13" s="26">
        <v>15.2</v>
      </c>
      <c r="W13" s="26">
        <v>3.1</v>
      </c>
      <c r="X13" s="26">
        <v>2.4</v>
      </c>
      <c r="Y13" s="26">
        <v>0.3</v>
      </c>
      <c r="Z13" s="26"/>
      <c r="AA13" s="26"/>
      <c r="AB13" s="26"/>
      <c r="AC13" s="26"/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44"/>
      <c r="AM13" s="78">
        <f>IF(SUM(S13,W13)&gt;0,SUM(S13,W13),"")</f>
        <v>4.9000000000000004</v>
      </c>
      <c r="AN13" s="78">
        <f>IF(SUM(R13:S13,U13:W13,Y13)-T13-X13&gt;0,SUM(R13:S13,U13:W13,Y13)-T13-X13,"")</f>
        <v>33.799999999999997</v>
      </c>
      <c r="AO13" s="78" t="str">
        <f>IF(SUM(Z13:AA13,AC13)-AB13&gt;0,SUM(Z13:AA13,AC13)-AB13,"")</f>
        <v/>
      </c>
      <c r="AP13" s="78" t="str">
        <f>IF(SUM(AE13,AI13)&gt;0,SUM(AE13,AI13),"")</f>
        <v/>
      </c>
      <c r="AQ13" s="78" t="str">
        <f>IF(SUM(AD13:AE13,AG13:AI13,AK13)-SUM(AF13,AJ13)&gt;0,SUM(AD13:AE13,AG13:AI13,AK13)-SUM(AF13,AJ13),"")</f>
        <v/>
      </c>
      <c r="AR13" s="78">
        <f>IF(SUM(AN13,AQ13)&gt;0,SUM(AN13,AQ13),"")</f>
        <v>33.799999999999997</v>
      </c>
      <c r="AS13" s="25">
        <v>14.9</v>
      </c>
      <c r="AT13" s="25">
        <v>3.2</v>
      </c>
      <c r="AU13" s="25">
        <v>0.2</v>
      </c>
      <c r="AV13" s="25">
        <v>0.3</v>
      </c>
      <c r="AW13" s="25">
        <v>15.6</v>
      </c>
      <c r="AX13" s="25">
        <v>3.5</v>
      </c>
      <c r="AY13" s="25">
        <v>2.4</v>
      </c>
      <c r="AZ13" s="25">
        <v>0.6</v>
      </c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>
        <f>IF(SUM(AT13,AX13)&gt;0,SUM(AT13,AX13),"")</f>
        <v>6.7</v>
      </c>
      <c r="BO13" s="19">
        <f>IF(SUM(AS13:AT13,AV13:AX13,AZ13)-AU13-AY13&gt;0,SUM(AS13:AT13,AV13:AX13,AZ13)-AU13-AY13,"")</f>
        <v>35.5</v>
      </c>
      <c r="BP13" s="19" t="str">
        <f>IF(SUM(BA13:BB13,BD13)-BC13&gt;0,SUM(BA13:BB13,BD13)-BC13,"")</f>
        <v/>
      </c>
      <c r="BQ13" s="19" t="str">
        <f>IF(SUM(BF13,BJ13)&gt;0,SUM(BF13,BJ13),"")</f>
        <v/>
      </c>
      <c r="BR13" s="19" t="str">
        <f>IF(SUM(BE13:BF13,BH13:BJ13,BL13)-SUM(BG13,BK13)&gt;0,SUM(BE13:BF13,BH13:BJ13,BL13)-SUM(BG13,BK13),"")</f>
        <v/>
      </c>
      <c r="BS13" s="19">
        <f>IF(SUM(BO13,BR13)&gt;0,SUM(BO13,BR13),"")</f>
        <v>35.5</v>
      </c>
      <c r="BT13" s="26">
        <v>16.399999999999999</v>
      </c>
      <c r="BU13" s="26">
        <v>3.4</v>
      </c>
      <c r="BV13" s="26">
        <v>0</v>
      </c>
      <c r="BW13" s="26">
        <v>0</v>
      </c>
      <c r="BX13" s="26">
        <v>15.6</v>
      </c>
      <c r="BY13" s="26">
        <v>3.5</v>
      </c>
      <c r="BZ13" s="26">
        <v>0.4</v>
      </c>
      <c r="CA13" s="26">
        <v>0.6</v>
      </c>
      <c r="CB13" s="26"/>
      <c r="CC13" s="26"/>
      <c r="CD13" s="26"/>
      <c r="CE13" s="26"/>
      <c r="CF13" s="26">
        <v>16.2</v>
      </c>
      <c r="CG13" s="26">
        <v>3.4</v>
      </c>
      <c r="CH13" s="26">
        <v>0</v>
      </c>
      <c r="CI13" s="26">
        <v>0</v>
      </c>
      <c r="CJ13" s="26">
        <v>16.100000000000001</v>
      </c>
      <c r="CK13" s="26">
        <v>4.5999999999999996</v>
      </c>
      <c r="CL13" s="26">
        <v>0</v>
      </c>
      <c r="CM13" s="26">
        <v>0.6</v>
      </c>
      <c r="CN13" s="44"/>
      <c r="CO13" s="78">
        <f>IF(SUM(BU13,BY13)&gt;0,SUM(BU13,BY13),"")</f>
        <v>6.9</v>
      </c>
      <c r="CP13" s="78">
        <f>IF(SUM(BT13:BU13,BW13:BY13,CA13)-BV13-BZ13&gt;0,SUM(BT13:BU13,BW13:BY13,CA13)-BV13-BZ13,"")</f>
        <v>39.1</v>
      </c>
      <c r="CQ13" s="78" t="str">
        <f>IF(SUM(CB13:CC13,CE13)-CD13&gt;0,SUM(CB13:CC13,CE13)-CD13,"")</f>
        <v/>
      </c>
      <c r="CR13" s="78">
        <f>IF(SUM(CG13,CK13)&gt;0,SUM(CG13,CK13),"")</f>
        <v>8</v>
      </c>
      <c r="CS13" s="78">
        <f>IF(SUM(CF13:CG13,CI13:CK13,CM13)-SUM(CH13,CL13)&gt;0,SUM(CF13:CG13,CI13:CK13,CM13)-SUM(CH13,CL13),"")</f>
        <v>40.900000000000006</v>
      </c>
      <c r="CT13" s="78">
        <f>IF(SUM(CP13,CS13)&gt;0,SUM(CP13,CS13),"")</f>
        <v>80</v>
      </c>
      <c r="CU13" s="79">
        <f>IF(K13&gt;=0.001,IF(MAX(DR13,ER13,FR13,GR13,HR13,IR13,JR13,KR13,LR13,MR13,NR13,OR13)-IF(K13="",0,K13)&gt;0.001,MAX(DR13,ER13,FR13,GR13,HR13,IR13,JR13,KR13,LR13,MR13,NR13,OR13)-IF(K13="",0,K13),""),"")</f>
        <v>3.1000000000000085</v>
      </c>
      <c r="CV13" s="79" t="str">
        <f>IF(M13&gt;=0.001,IF(MAX(DU13,EU13,FU13,GU13,HU13,IU13,JU13,KU13,LU13,MU13,NU13,OU13)-IF(M13="",0,M13)&gt;0.001,MAX(DU13,EU13,FU13,GU13,HU13,IU13,JU13,KU13,LU13,MU13,NU13,OU13)-IF(M13="",0,M13),""),"")</f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>IF(SUM(CX13,DB13)&gt;0,SUM(CX13,DB13),"")</f>
        <v/>
      </c>
      <c r="DR13" s="78" t="str">
        <f>IF(SUM(CW13:CX13,CZ13:DB13,DD13)-CY13-DC13&gt;0,SUM(CW13:CX13,CZ13:DB13,DD13)-CY13-DC13,"")</f>
        <v/>
      </c>
      <c r="DS13" s="78" t="str">
        <f>IF(SUM(DE13:DF13,DH13)-DG13&gt;0,SUM(DE13:DF13,DH13)-DG13,"")</f>
        <v/>
      </c>
      <c r="DT13" s="78" t="str">
        <f>IF(SUM(DJ13,DN13)&gt;0,SUM(DJ13,DN13),"")</f>
        <v/>
      </c>
      <c r="DU13" s="78" t="str">
        <f>IF(SUM(DI13:DJ13,DL13:DN13,DP13)-SUM(DK13,DO13)&gt;0,SUM(DI13:DJ13,DL13:DN13,DP13)-SUM(DK13,DO13),"")</f>
        <v/>
      </c>
      <c r="DV13" s="78" t="str">
        <f>IF(SUM(DR13,DU13)&gt;0,SUM(DR13,DU13),"")</f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>IF(SUM(DX13,EB13)&gt;0,SUM(DX13,EB13),"")</f>
        <v/>
      </c>
      <c r="ER13" s="19" t="str">
        <f>IF(SUM(DW13:DX13,DZ13:EB13,ED13)-DY13-EC13&gt;0,SUM(DW13:DX13,DZ13:EB13,ED13)-DY13-EC13,"")</f>
        <v/>
      </c>
      <c r="ES13" s="19" t="str">
        <f>IF(SUM(EE13:EF13,EH13)-EG13&gt;0,SUM(EE13:EF13,EH13)-EG13,"")</f>
        <v/>
      </c>
      <c r="ET13" s="19" t="str">
        <f>IF(SUM(EJ13,EN13)&gt;0,SUM(EJ13,EN13),"")</f>
        <v/>
      </c>
      <c r="EU13" s="19" t="str">
        <f>IF(SUM(EI13:EJ13,EL13:EN13,EP13)-SUM(EK13,EO13)&gt;0,SUM(EI13:EJ13,EL13:EN13,EP13)-SUM(EK13,EO13),"")</f>
        <v/>
      </c>
      <c r="EV13" s="19" t="str">
        <f>IF(SUM(ER13,EU13)&gt;0,SUM(ER13,EU13),"")</f>
        <v/>
      </c>
      <c r="EW13" s="24">
        <v>16.600000000000001</v>
      </c>
      <c r="EX13" s="24">
        <v>2.1</v>
      </c>
      <c r="EY13" s="24">
        <v>0</v>
      </c>
      <c r="EZ13" s="24">
        <v>0</v>
      </c>
      <c r="FA13" s="24">
        <v>15.7</v>
      </c>
      <c r="FB13" s="24">
        <v>4.5999999999999996</v>
      </c>
      <c r="FC13" s="24">
        <v>0.4</v>
      </c>
      <c r="FD13" s="24">
        <v>0</v>
      </c>
      <c r="FE13" s="24"/>
      <c r="FF13" s="24"/>
      <c r="FG13" s="24"/>
      <c r="FH13" s="24"/>
      <c r="FI13" s="24">
        <v>17.7</v>
      </c>
      <c r="FJ13" s="24">
        <v>4.0999999999999996</v>
      </c>
      <c r="FK13" s="24">
        <v>0</v>
      </c>
      <c r="FL13" s="24">
        <v>0</v>
      </c>
      <c r="FM13" s="24"/>
      <c r="FN13" s="24"/>
      <c r="FO13" s="24"/>
      <c r="FP13" s="24"/>
      <c r="FQ13" s="78">
        <f>IF(SUM(EX13,FB13)&gt;0,SUM(EX13,FB13),"")</f>
        <v>6.6999999999999993</v>
      </c>
      <c r="FR13" s="78">
        <f>IF(SUM(EW13:EX13,EZ13:FB13,FD13)-EY13-FC13&gt;0,SUM(EW13:EX13,EZ13:FB13,FD13)-EY13-FC13,"")</f>
        <v>38.600000000000009</v>
      </c>
      <c r="FS13" s="78" t="str">
        <f>IF(SUM(FE13:FF13,FH13)-FG13&gt;0,SUM(FE13:FF13,FH13)-FG13,"")</f>
        <v/>
      </c>
      <c r="FT13" s="78">
        <f>IF(SUM(FJ13,FN13)&gt;0,SUM(FJ13,FN13),"")</f>
        <v>4.0999999999999996</v>
      </c>
      <c r="FU13" s="78">
        <f>IF(SUM(FI13:FJ13,FL13:FN13,FP13)-SUM(FK13,FO13)&gt;0,SUM(FI13:FJ13,FL13:FN13,FP13)-SUM(FK13,FO13),"")</f>
        <v>21.799999999999997</v>
      </c>
      <c r="FV13" s="78">
        <f>IF(SUM(FR13,FU13)&gt;0,SUM(FR13,FU13),"")</f>
        <v>60.400000000000006</v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>IF(SUM(FX13,GB13)&gt;0,SUM(FX13,GB13),"")</f>
        <v/>
      </c>
      <c r="GR13" s="19" t="str">
        <f>IF(SUM(FW13:FX13,FZ13:GB13,GD13)-FY13-GC13&gt;0,SUM(FW13:FX13,FZ13:GB13,GD13)-FY13-GC13,"")</f>
        <v/>
      </c>
      <c r="GS13" s="19" t="str">
        <f>IF(SUM(GE13:GF13,GH13)-GG13&gt;0,SUM(GE13:GF13,GH13)-GG13,"")</f>
        <v/>
      </c>
      <c r="GT13" s="19" t="str">
        <f>IF(SUM(GJ13,GN13)&gt;0,SUM(GJ13,GN13),"")</f>
        <v/>
      </c>
      <c r="GU13" s="19" t="str">
        <f>IF(SUM(GI13:GJ13,GL13:GN13,GP13)-SUM(GK13,GO13)&gt;0,SUM(GI13:GJ13,GL13:GN13,GP13)-SUM(GK13,GO13),"")</f>
        <v/>
      </c>
      <c r="GV13" s="19" t="str">
        <f>IF(SUM(GR13,GU13)&gt;0,SUM(GR13,GU13),"")</f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>IF(SUM(GX13,HB13)&gt;0,SUM(GX13,HB13),"")</f>
        <v/>
      </c>
      <c r="HR13" s="78" t="str">
        <f>IF(SUM(GW13:GX13,GZ13:HB13,HD13)-GY13-HC13&gt;0,SUM(GW13:GX13,GZ13:HB13,HD13)-GY13-HC13,"")</f>
        <v/>
      </c>
      <c r="HS13" s="78" t="str">
        <f>IF(SUM(HE13:HF13,HH13)-HG13&gt;0,SUM(HE13:HF13,HH13)-HG13,"")</f>
        <v/>
      </c>
      <c r="HT13" s="78" t="str">
        <f>IF(SUM(HJ13,HN13)&gt;0,SUM(HJ13,HN13),"")</f>
        <v/>
      </c>
      <c r="HU13" s="78" t="str">
        <f>IF(SUM(HI13:HJ13,HL13:HN13,HP13)-SUM(HK13,HO13)&gt;0,SUM(HI13:HJ13,HL13:HN13,HP13)-SUM(HK13,HO13),"")</f>
        <v/>
      </c>
      <c r="HV13" s="78" t="str">
        <f>IF(SUM(HR13,HU13)&gt;0,SUM(HR13,HU13),"")</f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>IF(SUM(HX13,IB13)&gt;0,SUM(HX13,IB13),"")</f>
        <v/>
      </c>
      <c r="IR13" s="19" t="str">
        <f>IF(SUM(HW13:HX13,HZ13:IB13,ID13)-HY13-IC13&gt;0,SUM(HW13:HX13,HZ13:IB13,ID13)-HY13-IC13,"")</f>
        <v/>
      </c>
      <c r="IS13" s="19" t="str">
        <f>IF(SUM(IE13:IF13,IH13)-IG13&gt;0,SUM(IE13:IF13,IH13)-IG13,"")</f>
        <v/>
      </c>
      <c r="IT13" s="19" t="str">
        <f>IF(SUM(IJ13,IN13)&gt;0,SUM(IJ13,IN13),"")</f>
        <v/>
      </c>
      <c r="IU13" s="19" t="str">
        <f>IF(SUM(II13:IJ13,IL13:IN13,IP13)-SUM(IK13,IO13)&gt;0,SUM(II13:IJ13,IL13:IN13,IP13)-SUM(IK13,IO13),"")</f>
        <v/>
      </c>
      <c r="IV13" s="19" t="str">
        <f>IF(SUM(IR13,IU13)&gt;0,SUM(IR13,IU13),"")</f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>IF(SUM(IX13,JB13)&gt;0,SUM(IX13,JB13),"")</f>
        <v/>
      </c>
      <c r="JR13" s="78" t="str">
        <f>IF(SUM(IW13:IX13,IZ13:JB13,JD13)-IY13-JC13&gt;0,SUM(IW13:IX13,IZ13:JB13,JD13)-IY13-JC13,"")</f>
        <v/>
      </c>
      <c r="JS13" s="78" t="str">
        <f>IF(SUM(JE13:JF13,JH13)-JG13&gt;0,SUM(JE13:JF13,JH13)-JG13,"")</f>
        <v/>
      </c>
      <c r="JT13" s="78" t="str">
        <f>IF(SUM(JJ13,JN13)&gt;0,SUM(JJ13,JN13),"")</f>
        <v/>
      </c>
      <c r="JU13" s="78" t="str">
        <f>IF(SUM(JI13:JJ13,JL13:JN13,JP13)-SUM(JK13,JO13)&gt;0,SUM(JI13:JJ13,JL13:JN13,JP13)-SUM(JK13,JO13),"")</f>
        <v/>
      </c>
      <c r="JV13" s="78" t="str">
        <f>IF(SUM(JR13,JU13)&gt;0,SUM(JR13,JU13),"")</f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>IF(SUM(JX13,KB13)&gt;0,SUM(JX13,KB13),"")</f>
        <v/>
      </c>
      <c r="KR13" s="19" t="str">
        <f>IF(SUM(JW13:JX13,JZ13:KB13,KD13)-JY13-KC13&gt;0,SUM(JW13:JX13,JZ13:KB13,KD13)-JY13-KC13,"")</f>
        <v/>
      </c>
      <c r="KS13" s="19" t="str">
        <f>IF(SUM(KE13:KF13,KH13)-KG13&gt;0,SUM(KE13:KF13,KH13)-KG13,"")</f>
        <v/>
      </c>
      <c r="KT13" s="19" t="str">
        <f>IF(SUM(KJ13,KN13)&gt;0,SUM(KJ13,KN13),"")</f>
        <v/>
      </c>
      <c r="KU13" s="19" t="str">
        <f>IF(SUM(KI13:KJ13,KL13:KN13,KP13)-SUM(KK13,KO13)&gt;0,SUM(KI13:KJ13,KL13:KN13,KP13)-SUM(KK13,KO13),"")</f>
        <v/>
      </c>
      <c r="KV13" s="19" t="str">
        <f>IF(SUM(KR13,KU13)&gt;0,SUM(KR13,KU13),"")</f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>IF(SUM(KX13,LB13)&gt;0,SUM(KX13,LB13),"")</f>
        <v/>
      </c>
      <c r="LR13" s="78" t="str">
        <f>IF(SUM(KW13:KX13,KZ13:LB13,LD13)-KY13-LC13&gt;0,SUM(KW13:KX13,KZ13:LB13,LD13)-KY13-LC13,"")</f>
        <v/>
      </c>
      <c r="LS13" s="78" t="str">
        <f>IF(SUM(LE13:LF13,LH13)-LG13&gt;0,SUM(LE13:LF13,LH13)-LG13,"")</f>
        <v/>
      </c>
      <c r="LT13" s="78" t="str">
        <f>IF(SUM(LJ13,LN13)&gt;0,SUM(LJ13,LN13),"")</f>
        <v/>
      </c>
      <c r="LU13" s="78" t="str">
        <f>IF(SUM(LI13:LJ13,LL13:LN13,LP13)-SUM(LK13,LO13)&gt;0,SUM(LI13:LJ13,LL13:LN13,LP13)-SUM(LK13,LO13),"")</f>
        <v/>
      </c>
      <c r="LV13" s="78" t="str">
        <f>IF(SUM(LR13,LU13)&gt;0,SUM(LR13,LU13),"")</f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>IF(SUM(LX13,MB13)&gt;0,SUM(LX13,MB13),"")</f>
        <v/>
      </c>
      <c r="MR13" s="19" t="str">
        <f>IF(SUM(LW13:LX13,LZ13:MB13,MD13)-LY13-MC13&gt;0,SUM(LW13:LX13,LZ13:MB13,MD13)-LY13-MC13,"")</f>
        <v/>
      </c>
      <c r="MS13" s="19" t="str">
        <f>IF(SUM(ME13:MF13,MH13)-MG13&gt;0,SUM(ME13:MF13,MH13)-MG13,"")</f>
        <v/>
      </c>
      <c r="MT13" s="19" t="str">
        <f>IF(SUM(MJ13,MN13)&gt;0,SUM(MJ13,MN13),"")</f>
        <v/>
      </c>
      <c r="MU13" s="19" t="str">
        <f>IF(SUM(MI13:MJ13,ML13:MN13,MP13)-SUM(MK13,MO13)&gt;0,SUM(MI13:MJ13,ML13:MN13,MP13)-SUM(MK13,MO13),"")</f>
        <v/>
      </c>
      <c r="MV13" s="19" t="str">
        <f>IF(SUM(MR13,MU13)&gt;0,SUM(MR13,MU13),"")</f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>IF(SUM(MX13,NB13)&gt;0,SUM(MX13,NB13),"")</f>
        <v/>
      </c>
      <c r="NR13" s="78" t="str">
        <f>IF(SUM(MW13:MX13,MZ13:NB13,ND13)-MY13-NC13&gt;0,SUM(MW13:MX13,MZ13:NB13,ND13)-MY13-NC13,"")</f>
        <v/>
      </c>
      <c r="NS13" s="78" t="str">
        <f>IF(SUM(NE13:NF13,NH13)-NG13&gt;0,SUM(NE13:NF13,NH13)-NG13,"")</f>
        <v/>
      </c>
      <c r="NT13" s="78" t="str">
        <f>IF(SUM(NJ13,NN13)&gt;0,SUM(NJ13,NN13),"")</f>
        <v/>
      </c>
      <c r="NU13" s="78" t="str">
        <f>IF(SUM(NI13:NJ13,NL13:NN13,NP13)-SUM(NK13,NO13)&gt;0,SUM(NI13:NJ13,NL13:NN13,NP13)-SUM(NK13,NO13),"")</f>
        <v/>
      </c>
      <c r="NV13" s="78" t="str">
        <f>IF(SUM(NR13,NU13)&gt;0,SUM(NR13,NU13),"")</f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>IF(SUM(NX13,OB13)&gt;0,SUM(NX13,OB13),"")</f>
        <v/>
      </c>
      <c r="OR13" s="19" t="str">
        <f>IF(SUM(NW13:NX13,NZ13:OB13,OD13)-NY13-OC13&gt;0,SUM(NW13:NX13,NZ13:OB13,OD13)-NY13-OC13,"")</f>
        <v/>
      </c>
      <c r="OS13" s="19" t="str">
        <f>IF(SUM(OE13:OF13,OH13)-OG13&gt;0,SUM(OE13:OF13,OH13)-OG13,"")</f>
        <v/>
      </c>
      <c r="OT13" s="19" t="str">
        <f>IF(SUM(OJ13,ON13)&gt;0,SUM(OJ13,ON13),"")</f>
        <v/>
      </c>
      <c r="OU13" s="19" t="str">
        <f>IF(SUM(OI13:OJ13,OL13:ON13,OP13)-SUM(OK13,OO13)&gt;0,SUM(OI13:OJ13,OL13:ON13,OP13)-SUM(OK13,OO13),"")</f>
        <v/>
      </c>
      <c r="OV13" s="19" t="str">
        <f>IF(SUM(OR13,OU13)&gt;0,SUM(OR13,OU13),"")</f>
        <v/>
      </c>
      <c r="OW13" s="37">
        <f>IF($CN13="P",BT13,(BT13+AS13)/2)</f>
        <v>15.649999999999999</v>
      </c>
      <c r="OX13" s="37">
        <f>IF($CN13="P",BU13,(BU13+AT13)/2)</f>
        <v>3.3</v>
      </c>
      <c r="OY13" s="37">
        <f>IF($CN13="P",BV13,(BV13+AU13)/2)</f>
        <v>0.1</v>
      </c>
      <c r="OZ13" s="37">
        <f>IF($CN13="P",BW13,(BW13+AV13)/2)</f>
        <v>0.15</v>
      </c>
      <c r="PA13" s="37">
        <f>IF($CN13="P",BX13,(BX13+AW13)/2)</f>
        <v>15.6</v>
      </c>
      <c r="PB13" s="37">
        <f>IF($CN13="P",BY13,(BY13+AX13)/2)</f>
        <v>3.5</v>
      </c>
      <c r="PC13" s="37">
        <f>IF($CN13="P",BZ13,(BZ13+AY13)/2)</f>
        <v>1.4</v>
      </c>
      <c r="PD13" s="37">
        <f>IF($CN13="P",CA13,(CA13+AZ13)/2)</f>
        <v>0.6</v>
      </c>
      <c r="PE13" s="37">
        <f>IF($CN13="P",CB13,(CB13+BA13)/2)</f>
        <v>0</v>
      </c>
      <c r="PF13" s="37">
        <f>IF($CN13="P",CC13,(CC13+BB13)/2)</f>
        <v>0</v>
      </c>
      <c r="PG13" s="37">
        <f>IF($CN13="P",CD13,(CD13+BC13)/2)</f>
        <v>0</v>
      </c>
      <c r="PH13" s="37">
        <f>IF($CN13="P",CE13,(CE13+BD13)/2)</f>
        <v>0</v>
      </c>
      <c r="PI13" s="37">
        <f>IF($CN13="P",CF13,(CF13+BE13)/2)</f>
        <v>8.1</v>
      </c>
      <c r="PJ13" s="37">
        <f>IF($CN13="P",CG13,(CG13+BF13)/2)</f>
        <v>1.7</v>
      </c>
      <c r="PK13" s="37">
        <f>IF($CN13="P",CH13,(CH13+BG13)/2)</f>
        <v>0</v>
      </c>
      <c r="PL13" s="37">
        <f>IF($CN13="P",CI13,(CI13+BH13)/2)</f>
        <v>0</v>
      </c>
      <c r="PM13" s="37">
        <f>IF($CN13="P",CJ13,(CJ13+BI13)/2)</f>
        <v>8.0500000000000007</v>
      </c>
      <c r="PN13" s="37">
        <f>IF($CN13="P",CK13,(CK13+BJ13)/2)</f>
        <v>2.2999999999999998</v>
      </c>
      <c r="PO13" s="37">
        <f>IF($CN13="P",CL13,(CL13+BK13)/2)</f>
        <v>0</v>
      </c>
      <c r="PP13" s="37">
        <f>IF($CN13="P",CM13,(CM13+BL13)/2)</f>
        <v>0.3</v>
      </c>
      <c r="PQ13" s="44" t="s">
        <v>46</v>
      </c>
      <c r="PR13" s="78">
        <f>IF(SUM(OX13,PB13)&gt;0,SUM(OX13,PB13),"")</f>
        <v>6.8</v>
      </c>
      <c r="PS13" s="78">
        <f>IF(SUM(OW13:OX13,OZ13:PB13,PD13)-OY13-PC13&gt;0,SUM(OW13:OX13,OZ13:PB13,PD13)-OY13-PC13,"")</f>
        <v>37.299999999999997</v>
      </c>
      <c r="PT13" s="78" t="str">
        <f>IF(SUM(PE13:PF13,PH13)-PG13&gt;0,SUM(PE13:PF13,PH13)-PG13,"")</f>
        <v/>
      </c>
      <c r="PU13" s="78">
        <f>IF(SUM(PJ13,PN13)&gt;0,SUM(PJ13,PN13),"")</f>
        <v>4</v>
      </c>
      <c r="PV13" s="78">
        <f>IF(SUM(PI13:PJ13,PL13:PN13,PP13)-SUM(PK13,PO13)&gt;0,SUM(PI13:PJ13,PL13:PN13,PP13)-SUM(PK13,PO13),"")</f>
        <v>20.450000000000003</v>
      </c>
      <c r="PW13" s="78">
        <f>IF(SUM(PS13,PV13)&gt;0,SUM(PS13,PV13),"")</f>
        <v>57.75</v>
      </c>
    </row>
    <row r="14" spans="1:439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77" t="s">
        <v>132</v>
      </c>
      <c r="C14" s="5" t="s">
        <v>4</v>
      </c>
      <c r="D14" s="5">
        <v>2005</v>
      </c>
      <c r="E14" s="15">
        <f>SUM(I14:O14)+SUM(I14:M14)*0.0000001+SUM(I14)*0.0000000000001</f>
        <v>118.20001182000409</v>
      </c>
      <c r="F14" s="3" t="str">
        <f>IF(OR(AND(AM14&gt;=AR$26,AN14&gt;=AR$30,AM14&lt;&gt;"",AL14=""),AND(AP14&gt;=AR$26,AQ14&gt;=AR$30,AP14&lt;&gt;"",AL14=""),AND(BN14&gt;=BS$26,BO14&gt;=BS$30,BN14&lt;&gt;"",BM14=""),AND(BQ14&gt;=BS$26,BR14&gt;=BS$30,BQ14&lt;&gt;"",BM14=""),AND(CO14&gt;=CT$26,CP14&gt;=CT$30,CO14&lt;&gt;"",CN14=""),AND(CR14&gt;=CT$26,CS14&gt;=CT$30,CR14&lt;&gt;""),AND(DQ14&gt;=DV$26,DR14&gt;=DV$30,DQ14&lt;&gt;""),AND(DT14&gt;=DV$26,DU14&gt;=DV$30,DT14&lt;&gt;""),AND(EQ14&gt;=EV$26,ER14&gt;=EV$30,EQ14&lt;&gt;""),AND(ET14&gt;=EV$26,EU14&gt;=EV$30,ET14&lt;&gt;""),AND(FQ14&gt;=FV$26,FR14&gt;=FV$30,FQ14&lt;&gt;""),AND(FT14&gt;=FV$26,FU14&gt;=FV$30,FT14&lt;&gt;""),AND(GQ14&gt;=GV$26,GR14&gt;=GV$30,GQ14&lt;&gt;""),AND(GT14&gt;=GV$26,GU14&gt;=GV$30,GT14&lt;&gt;""),AND(HQ14&gt;=HV$26,HR14&gt;=HV$30,HQ14&lt;&gt;""),AND(HT14&gt;=HV$26,HU14&gt;=HV$30,HT14&lt;&gt;""),AND(IQ14&gt;=IV$26,IR14&gt;=IV$30,IQ14&lt;&gt;""),AND(IT14&gt;=IV$26,IU14&gt;=IV$30,IT14&lt;&gt;""),AND(JQ14&gt;=JV$26,JR14&gt;=JV$30,JQ14&lt;&gt;""),AND(JT14&gt;=JV$26,JU14&gt;=JV$30,JT14&lt;&gt;""),AND(KQ14&gt;=KV$26,KR14&gt;=KV$30,KQ14&lt;&gt;""),AND(KT14&gt;=KV$26,KU14&gt;=KV$30,KT14&lt;&gt;""),AND(LQ14&gt;=LV$26,LR14&gt;=LV$30,LQ14&lt;&gt;""),AND(LT14&gt;=LV$26,LU14&gt;=LV$30,LT14&lt;&gt;""),AND(MQ14&gt;=MV$26,MR14&gt;=MV$30,MQ14&lt;&gt;""),AND(MT14&gt;=MV$26,MU14&gt;=MV$30,MT14&lt;&gt;""),AND(NQ14&gt;=NV$26,NR14&gt;=NV$30,NQ14&lt;&gt;""),AND(NT14&gt;=NV$26,NU14&gt;=NV$30,NT14&lt;&gt;""),AND(OQ14&gt;=OV$26,OR14&gt;=OV$30,OQ14&lt;&gt;""),AND(OT14&gt;=OV$26,OU14&gt;=OV$30,OT14&lt;&gt;"")),"P","")</f>
        <v/>
      </c>
      <c r="G14" s="3" t="str">
        <f>IF(OR(AND(AN14&gt;=AR$30,AN14&lt;&gt;"",AL14=""),AND(AQ14&gt;=AR$30,AQ14&lt;&gt;"",AL14=""),AND(BO14&gt;=BS$30,BO14&lt;&gt;"",BM14=""),AND(BR14&gt;=BS$30,BR14&lt;&gt;"",BM14=""),AND(CP14&gt;=CT$30,CP14&lt;&gt;"",CN14=""),AND(CS14&gt;=CT$30,CS14&lt;&gt;"",CN14=""),AND(DR14&gt;=DV$30,DR14&lt;&gt;""),AND(DU14&gt;=DV$30,DU14&lt;&gt;""),AND(ER14&gt;=EV$30,ER14&lt;&gt;""),AND(EU14&gt;=EV$30,EU14&lt;&gt;""),AND(FR14&gt;=FV$30,FR14&lt;&gt;""),AND(FU14&gt;=FV$30,FU14&lt;&gt;""),AND(GR14&gt;=GV$30,GR14&lt;&gt;""),AND(GU14&gt;=GV$30,GU14&lt;&gt;""),AND(HR14&gt;=HV$30,HR14&lt;&gt;""),AND(HU14&gt;=HV$30,HU14&lt;&gt;""),AND(IR14&gt;=IV$30,IR14&lt;&gt;""),AND(IU14&gt;=IV$30,IU14&lt;&gt;""),AND(JR14&gt;=JV$30,JR14&lt;&gt;""),AND(JU14&gt;=JV$30,JU14&lt;&gt;""),AND(KR14&gt;=KV$30,KR14&lt;&gt;""),AND(KU14&gt;=KV$30,KU14&lt;&gt;""),AND(LR14&gt;=LV$30,LR14&lt;&gt;""),AND(LU14&gt;=LV$30,LU14&lt;&gt;""),AND(MR14&gt;=MV$30,MR14&lt;&gt;""),AND(MU14&gt;=MV$30,MU14&lt;&gt;""),AND(NR14&gt;=NV$30,NR14&lt;&gt;""),AND(NU14&gt;=NV$30,NU14&lt;&gt;""),AND(OR14&gt;=OV$30,OR14&lt;&gt;""),AND(OU14&gt;=OV$30,OU14&lt;&gt;"")),"P","")</f>
        <v/>
      </c>
      <c r="H14" s="66" t="str">
        <f>IF(AND(G14="P",F14=""),"No DD",IF(OR(AND(AM14&gt;=AR$29,AN14&gt;=AR$33,AM14&lt;&gt;"",AL14=""),AND(AP14&gt;=AR$29,AQ14&gt;=AR$33,AP14&lt;&gt;"",AL14=""),AND(BN14&gt;=BS$29,BO14&gt;=BS$33,BN14&lt;&gt;"",BM14=""),AND(BQ14&gt;=BS$29,BR14&gt;=BS$33,BQ14&lt;&gt;"",BM14=""),AND(CO14&gt;=CT$29,CP14&gt;=CT$33,CO14&lt;&gt;"",CN14=""),AND(CR14&gt;=CT$29,CS14&gt;=CT$33,CR14&lt;&gt;""),AND(DQ14&gt;=DV$29,DR14&gt;=DV$33,DQ14&lt;&gt;""),AND(DT14&gt;=DV$29,DU14&gt;=DV$33,DT14&lt;&gt;""),AND(EQ14&gt;=EV$29,ER14&gt;=EV$33,EQ14&lt;&gt;""),AND(ET14&gt;=EV$29,EU14&gt;=EV$33,ET14&lt;&gt;""),AND(FQ14&gt;=FV$29,FR14&gt;=FV$33,FQ14&lt;&gt;""),AND(FT14&gt;=FV$29,FU14&gt;=FV$33,FT14&lt;&gt;""),AND(GQ14&gt;=GV$29,GR14&gt;=GV$33,GQ14&lt;&gt;""),AND(GT14&gt;=GV$29,GU14&gt;=GV$33,GT14&lt;&gt;""),AND(HQ14&gt;=HV$29,HR14&gt;=HV$33,HQ14&lt;&gt;""),AND(HT14&gt;=HV$29,HU14&gt;=HV$33,HT14&lt;&gt;""),AND(IQ14&gt;=IV$29,IR14&gt;=IV$33,IQ14&lt;&gt;""),AND(IT14&gt;=IV$29,IU14&gt;=IV$33,IT14&lt;&gt;""),AND(JQ14&gt;=JV$29,JR14&gt;=JV$33,JQ14&lt;&gt;""),AND(JT14&gt;=JV$29,JU14&gt;=JV$33,JT14&lt;&gt;""),AND(KQ14&gt;=KV$29,KR14&gt;=KV$33,KQ14&lt;&gt;""),AND(KT14&gt;=KV$29,KU14&gt;=KV$33,KT14&lt;&gt;""),AND(LQ14&gt;=LV$29,LR14&gt;=LV$33,LQ14&lt;&gt;""),AND(LT14&gt;=LV$29,LU14&gt;=LV$33,LT14&lt;&gt;""),AND(MQ14&gt;=MV$29,MR14&gt;=MV$33,MQ14&lt;&gt;""),AND(MT14&gt;=MV$29,MU14&gt;=MV$33,MT14&lt;&gt;""),AND(NQ14&gt;=NV$29,NR14&gt;=NV$33,NQ14&lt;&gt;""),AND(NT14&gt;=NV$29,NU14&gt;=NV$33,NT14&lt;&gt;""),AND(OQ14&gt;=OV$29,OR14&gt;=OV$33,OQ14&lt;&gt;""),AND(OT14&gt;=OV$29,OU14&gt;=OV$33,OT14&lt;&gt;"")),"Merit",IF(OR(AND(AM14&gt;=AR$28,AN14&gt;=AR$32,AM14&lt;&gt;"",AL14=""),AND(AP14&gt;=AR$28,AQ14&gt;=AR$32,AP14&lt;&gt;"",AL14=""),AND(BN14&gt;=BS$28,BO14&gt;=BS$32,BN14&lt;&gt;"",BM14=""),AND(BQ14&gt;=BS$28,BR14&gt;=BS$32,BQ14&lt;&gt;"",BM14=""),AND(CO14&gt;=CT$28,CP14&gt;=CT$32,CO14&lt;&gt;"",CN14=""),AND(CR14&gt;=CT$28,CS14&gt;=CT$32,CR14&lt;&gt;""),AND(DQ14&gt;=DV$28,DR14&gt;=DV$32,DQ14&lt;&gt;""),AND(DT14&gt;=DV$28,DU14&gt;=DV$32,DT14&lt;&gt;""),AND(EQ14&gt;=EV$28,ER14&gt;=EV$32,EQ14&lt;&gt;""),AND(ET14&gt;=EV$28,EU14&gt;=EV$32,ET14&lt;&gt;""),AND(FQ14&gt;=FV$28,FR14&gt;=FV$32,FQ14&lt;&gt;""),AND(FT14&gt;=FV$28,FU14&gt;=FV$32,FT14&lt;&gt;""),AND(GQ14&gt;=GV$28,GR14&gt;=GV$32,GQ14&lt;&gt;""),AND(GT14&gt;=GV$28,GU14&gt;=GV$32,GT14&lt;&gt;""),AND(HQ14&gt;=HV$28,HR14&gt;=HV$32,HQ14&lt;&gt;""),AND(HT14&gt;=HV$28,HU14&gt;=HV$32,HT14&lt;&gt;""),AND(IQ14&gt;=IV$28,IR14&gt;=IV$32,IQ14&lt;&gt;""),AND(IT14&gt;=IV$28,IU14&gt;=IV$32,IT14&lt;&gt;""),AND(JQ14&gt;=JV$28,JR14&gt;=JV$32,JQ14&lt;&gt;""),AND(JT14&gt;=JV$28,JU14&gt;=JV$32,JT14&lt;&gt;""),AND(KQ14&gt;=KV$28,KR14&gt;=KV$32,KQ14&lt;&gt;""),AND(KT14&gt;=KV$28,KU14&gt;=KV$32,KT14&lt;&gt;""),AND(LQ14&gt;=LV$28,LR14&gt;=LV$32,LQ14&lt;&gt;""),AND(LT14&gt;=LV$28,LU14&gt;=LV$32,LT14&lt;&gt;""),AND(MQ14&gt;=MV$28,MR14&gt;=MV$32,MQ14&lt;&gt;""),AND(MT14&gt;=MV$28,MU14&gt;=MV$32,MT14&lt;&gt;""),AND(NQ14&gt;=NV$28,NR14&gt;=NV$32,NQ14&lt;&gt;""),AND(NT14&gt;=NV$28,NU14&gt;=NV$32,NT14&lt;&gt;""),AND(OQ14&gt;=OV$28,OR14&gt;=OV$32,OQ14&lt;&gt;""),AND(OT14&gt;=OV$28,OU14&gt;=OV$32,OT14&lt;&gt;"")),"Excellence",IF(F14="P","National Team",""))))</f>
        <v/>
      </c>
      <c r="I14" s="14">
        <f>IF(COUNT(AN14,BO14,CP14)&gt;0,LARGE((AN14,BO14,CP14),1),0)</f>
        <v>40.800000000000004</v>
      </c>
      <c r="J14" s="14" t="str">
        <f>IF(I14=0,"",IF(I14=CP14,$BT$1,IF(I14=BO14,$AS$1,IF(I14=AN14,$R$1,""))))</f>
        <v>2022 Elite Canada</v>
      </c>
      <c r="K14" s="14">
        <f>IF(COUNT(AN14,BO14,CP14)&gt;1,LARGE((AN14,BO14,CP14),2),0)</f>
        <v>37.900000000000006</v>
      </c>
      <c r="L14" s="14" t="str">
        <f>IF(K14=0,"",IF(K14=CP14,$BT$1,IF(K14=BO14,$AS$1,IF(K14=AN14,$R$1,""))))</f>
        <v>2022 Nationals</v>
      </c>
      <c r="M14" s="14">
        <f>IF(MAX(AQ14,BR14,CS14)&gt;0,MAX(AQ14,BR14,CS14),0)</f>
        <v>39.5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19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6">
        <v>16.8</v>
      </c>
      <c r="S14" s="26">
        <v>3.4</v>
      </c>
      <c r="T14" s="26">
        <v>0</v>
      </c>
      <c r="U14" s="26">
        <v>0</v>
      </c>
      <c r="V14" s="26">
        <v>16.5</v>
      </c>
      <c r="W14" s="26">
        <v>3.5</v>
      </c>
      <c r="X14" s="26">
        <v>0</v>
      </c>
      <c r="Y14" s="26">
        <v>0.6</v>
      </c>
      <c r="Z14" s="26"/>
      <c r="AA14" s="26"/>
      <c r="AB14" s="26"/>
      <c r="AC14" s="26"/>
      <c r="AD14" s="26">
        <v>16.7</v>
      </c>
      <c r="AE14" s="26">
        <v>3.4</v>
      </c>
      <c r="AF14" s="26">
        <v>0</v>
      </c>
      <c r="AG14" s="26">
        <v>0</v>
      </c>
      <c r="AH14" s="26">
        <v>15.7</v>
      </c>
      <c r="AI14" s="26">
        <v>3.1</v>
      </c>
      <c r="AJ14" s="26">
        <v>0</v>
      </c>
      <c r="AK14" s="26">
        <v>0.6</v>
      </c>
      <c r="AL14" s="44"/>
      <c r="AM14" s="78">
        <f>IF(SUM(S14,W14)&gt;0,SUM(S14,W14),"")</f>
        <v>6.9</v>
      </c>
      <c r="AN14" s="78">
        <f>IF(SUM(R14:S14,U14:W14,Y14)-T14-X14&gt;0,SUM(R14:S14,U14:W14,Y14)-T14-X14,"")</f>
        <v>40.800000000000004</v>
      </c>
      <c r="AO14" s="78" t="str">
        <f>IF(SUM(Z14:AA14,AC14)-AB14&gt;0,SUM(Z14:AA14,AC14)-AB14,"")</f>
        <v/>
      </c>
      <c r="AP14" s="78">
        <f>IF(SUM(AE14,AI14)&gt;0,SUM(AE14,AI14),"")</f>
        <v>6.5</v>
      </c>
      <c r="AQ14" s="78">
        <f>IF(SUM(AD14:AE14,AG14:AI14,AK14)-SUM(AF14,AJ14)&gt;0,SUM(AD14:AE14,AG14:AI14,AK14)-SUM(AF14,AJ14),"")</f>
        <v>39.5</v>
      </c>
      <c r="AR14" s="78">
        <f>IF(SUM(AN14,AQ14)&gt;0,SUM(AN14,AQ14),"")</f>
        <v>80.300000000000011</v>
      </c>
      <c r="AS14" s="25">
        <v>15.8</v>
      </c>
      <c r="AT14" s="25">
        <v>1.2</v>
      </c>
      <c r="AU14" s="25">
        <v>0</v>
      </c>
      <c r="AV14" s="25">
        <v>0</v>
      </c>
      <c r="AW14" s="25">
        <v>16.600000000000001</v>
      </c>
      <c r="AX14" s="25">
        <v>3.7</v>
      </c>
      <c r="AY14" s="25">
        <v>0</v>
      </c>
      <c r="AZ14" s="25">
        <v>0.6</v>
      </c>
      <c r="BA14" s="25"/>
      <c r="BB14" s="25"/>
      <c r="BC14" s="25"/>
      <c r="BD14" s="25"/>
      <c r="BE14" s="25">
        <v>16.399999999999999</v>
      </c>
      <c r="BF14" s="25">
        <v>2.5</v>
      </c>
      <c r="BG14" s="25">
        <v>0.9</v>
      </c>
      <c r="BH14" s="25">
        <v>0</v>
      </c>
      <c r="BI14" s="25">
        <v>16.2</v>
      </c>
      <c r="BJ14" s="25">
        <v>3.5</v>
      </c>
      <c r="BK14" s="25">
        <v>0.4</v>
      </c>
      <c r="BL14" s="25">
        <v>0.6</v>
      </c>
      <c r="BM14" s="45"/>
      <c r="BN14" s="19">
        <f>IF(SUM(AT14,AX14)&gt;0,SUM(AT14,AX14),"")</f>
        <v>4.9000000000000004</v>
      </c>
      <c r="BO14" s="19">
        <f>IF(SUM(AS14:AT14,AV14:AX14,AZ14)-AU14-AY14&gt;0,SUM(AS14:AT14,AV14:AX14,AZ14)-AU14-AY14,"")</f>
        <v>37.900000000000006</v>
      </c>
      <c r="BP14" s="19" t="str">
        <f>IF(SUM(BA14:BB14,BD14)-BC14&gt;0,SUM(BA14:BB14,BD14)-BC14,"")</f>
        <v/>
      </c>
      <c r="BQ14" s="19">
        <f>IF(SUM(BF14,BJ14)&gt;0,SUM(BF14,BJ14),"")</f>
        <v>6</v>
      </c>
      <c r="BR14" s="19">
        <f>IF(SUM(BE14:BF14,BH14:BJ14,BL14)-SUM(BG14,BK14)&gt;0,SUM(BE14:BF14,BH14:BJ14,BL14)-SUM(BG14,BK14),"")</f>
        <v>37.9</v>
      </c>
      <c r="BS14" s="19">
        <f>IF(SUM(BO14,BR14)&gt;0,SUM(BO14,BR14),"")</f>
        <v>75.800000000000011</v>
      </c>
      <c r="BT14" s="26">
        <v>16.399999999999999</v>
      </c>
      <c r="BU14" s="26">
        <v>3.4</v>
      </c>
      <c r="BV14" s="26">
        <v>0</v>
      </c>
      <c r="BW14" s="26">
        <v>0</v>
      </c>
      <c r="BX14" s="26">
        <v>14.1</v>
      </c>
      <c r="BY14" s="26">
        <v>2.6</v>
      </c>
      <c r="BZ14" s="26">
        <v>0</v>
      </c>
      <c r="CA14" s="26">
        <v>0.6</v>
      </c>
      <c r="CB14" s="26"/>
      <c r="CC14" s="26"/>
      <c r="CD14" s="26"/>
      <c r="CE14" s="26"/>
      <c r="CF14" s="26">
        <v>15.4</v>
      </c>
      <c r="CG14" s="26">
        <v>1.2</v>
      </c>
      <c r="CH14" s="26">
        <v>0</v>
      </c>
      <c r="CI14" s="26">
        <v>0</v>
      </c>
      <c r="CJ14" s="26">
        <v>15.3</v>
      </c>
      <c r="CK14" s="26">
        <v>2.8</v>
      </c>
      <c r="CL14" s="26">
        <v>0.6</v>
      </c>
      <c r="CM14" s="26">
        <v>0.3</v>
      </c>
      <c r="CN14" s="44"/>
      <c r="CO14" s="78">
        <f>IF(SUM(BU14,BY14)&gt;0,SUM(BU14,BY14),"")</f>
        <v>6</v>
      </c>
      <c r="CP14" s="78">
        <f>IF(SUM(BT14:BU14,BW14:BY14,CA14)-BV14-BZ14&gt;0,SUM(BT14:BU14,BW14:BY14,CA14)-BV14-BZ14,"")</f>
        <v>37.1</v>
      </c>
      <c r="CQ14" s="78" t="str">
        <f>IF(SUM(CB14:CC14,CE14)-CD14&gt;0,SUM(CB14:CC14,CE14)-CD14,"")</f>
        <v/>
      </c>
      <c r="CR14" s="78">
        <f>IF(SUM(CG14,CK14)&gt;0,SUM(CG14,CK14),"")</f>
        <v>4</v>
      </c>
      <c r="CS14" s="78">
        <f>IF(SUM(CF14:CG14,CI14:CK14,CM14)-SUM(CH14,CL14)&gt;0,SUM(CF14:CG14,CI14:CK14,CM14)-SUM(CH14,CL14),"")</f>
        <v>34.4</v>
      </c>
      <c r="CT14" s="78">
        <f>IF(SUM(CP14,CS14)&gt;0,SUM(CP14,CS14),"")</f>
        <v>71.5</v>
      </c>
      <c r="CU14" s="79" t="str">
        <f>IF(K14&gt;=0.001,IF(MAX(DR14,ER14,FR14,GR14,HR14,IR14,JR14,KR14,LR14,MR14,NR14,OR14)-IF(K14="",0,K14)&gt;0.001,MAX(DR14,ER14,FR14,GR14,HR14,IR14,JR14,KR14,LR14,MR14,NR14,OR14)-IF(K14="",0,K14),""),"")</f>
        <v/>
      </c>
      <c r="CV14" s="79" t="str">
        <f>IF(M14&gt;=0.001,IF(MAX(DU14,EU14,FU14,GU14,HU14,IU14,JU14,KU14,LU14,MU14,NU14,OU14)-IF(M14="",0,M14)&gt;0.001,MAX(DU14,EU14,FU14,GU14,HU14,IU14,JU14,KU14,LU14,MU14,NU14,OU14)-IF(M14="",0,M14),""),"")</f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>IF(SUM(CX14,DB14)&gt;0,SUM(CX14,DB14),"")</f>
        <v/>
      </c>
      <c r="DR14" s="78" t="str">
        <f>IF(SUM(CW14:CX14,CZ14:DB14,DD14)-CY14-DC14&gt;0,SUM(CW14:CX14,CZ14:DB14,DD14)-CY14-DC14,"")</f>
        <v/>
      </c>
      <c r="DS14" s="78" t="str">
        <f>IF(SUM(DE14:DF14,DH14)-DG14&gt;0,SUM(DE14:DF14,DH14)-DG14,"")</f>
        <v/>
      </c>
      <c r="DT14" s="78" t="str">
        <f>IF(SUM(DJ14,DN14)&gt;0,SUM(DJ14,DN14),"")</f>
        <v/>
      </c>
      <c r="DU14" s="78" t="str">
        <f>IF(SUM(DI14:DJ14,DL14:DN14,DP14)-SUM(DK14,DO14)&gt;0,SUM(DI14:DJ14,DL14:DN14,DP14)-SUM(DK14,DO14),"")</f>
        <v/>
      </c>
      <c r="DV14" s="78" t="str">
        <f>IF(SUM(DR14,DU14)&gt;0,SUM(DR14,DU14),"")</f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>IF(SUM(DX14,EB14)&gt;0,SUM(DX14,EB14),"")</f>
        <v/>
      </c>
      <c r="ER14" s="19" t="str">
        <f>IF(SUM(DW14:DX14,DZ14:EB14,ED14)-DY14-EC14&gt;0,SUM(DW14:DX14,DZ14:EB14,ED14)-DY14-EC14,"")</f>
        <v/>
      </c>
      <c r="ES14" s="19" t="str">
        <f>IF(SUM(EE14:EF14,EH14)-EG14&gt;0,SUM(EE14:EF14,EH14)-EG14,"")</f>
        <v/>
      </c>
      <c r="ET14" s="19" t="str">
        <f>IF(SUM(EJ14,EN14)&gt;0,SUM(EJ14,EN14),"")</f>
        <v/>
      </c>
      <c r="EU14" s="19" t="str">
        <f>IF(SUM(EI14:EJ14,EL14:EN14,EP14)-SUM(EK14,EO14)&gt;0,SUM(EI14:EJ14,EL14:EN14,EP14)-SUM(EK14,EO14),"")</f>
        <v/>
      </c>
      <c r="EV14" s="19" t="str">
        <f>IF(SUM(ER14,EU14)&gt;0,SUM(ER14,EU14),"")</f>
        <v/>
      </c>
      <c r="EW14" s="24">
        <v>16.399999999999999</v>
      </c>
      <c r="EX14" s="24">
        <v>1.2</v>
      </c>
      <c r="EY14" s="24">
        <v>0</v>
      </c>
      <c r="EZ14" s="24">
        <v>0</v>
      </c>
      <c r="FA14" s="24">
        <v>16.2</v>
      </c>
      <c r="FB14" s="24">
        <v>3.5</v>
      </c>
      <c r="FC14" s="24">
        <v>0</v>
      </c>
      <c r="FD14" s="24">
        <v>0</v>
      </c>
      <c r="FE14" s="24"/>
      <c r="FF14" s="24"/>
      <c r="FG14" s="24"/>
      <c r="FH14" s="24"/>
      <c r="FI14" s="24">
        <v>16.600000000000001</v>
      </c>
      <c r="FJ14" s="24">
        <v>3.4</v>
      </c>
      <c r="FK14" s="24">
        <v>0.4</v>
      </c>
      <c r="FL14" s="24">
        <v>0</v>
      </c>
      <c r="FM14" s="24"/>
      <c r="FN14" s="24"/>
      <c r="FO14" s="24"/>
      <c r="FP14" s="24"/>
      <c r="FQ14" s="78">
        <f>IF(SUM(EX14,FB14)&gt;0,SUM(EX14,FB14),"")</f>
        <v>4.7</v>
      </c>
      <c r="FR14" s="78">
        <f>IF(SUM(EW14:EX14,EZ14:FB14,FD14)-EY14-FC14&gt;0,SUM(EW14:EX14,EZ14:FB14,FD14)-EY14-FC14,"")</f>
        <v>37.299999999999997</v>
      </c>
      <c r="FS14" s="78" t="str">
        <f>IF(SUM(FE14:FF14,FH14)-FG14&gt;0,SUM(FE14:FF14,FH14)-FG14,"")</f>
        <v/>
      </c>
      <c r="FT14" s="78">
        <f>IF(SUM(FJ14,FN14)&gt;0,SUM(FJ14,FN14),"")</f>
        <v>3.4</v>
      </c>
      <c r="FU14" s="78">
        <f>IF(SUM(FI14:FJ14,FL14:FN14,FP14)-SUM(FK14,FO14)&gt;0,SUM(FI14:FJ14,FL14:FN14,FP14)-SUM(FK14,FO14),"")</f>
        <v>19.600000000000001</v>
      </c>
      <c r="FV14" s="78">
        <f>IF(SUM(FR14,FU14)&gt;0,SUM(FR14,FU14),"")</f>
        <v>56.9</v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>IF(SUM(FX14,GB14)&gt;0,SUM(FX14,GB14),"")</f>
        <v/>
      </c>
      <c r="GR14" s="19" t="str">
        <f>IF(SUM(FW14:FX14,FZ14:GB14,GD14)-FY14-GC14&gt;0,SUM(FW14:FX14,FZ14:GB14,GD14)-FY14-GC14,"")</f>
        <v/>
      </c>
      <c r="GS14" s="19" t="str">
        <f>IF(SUM(GE14:GF14,GH14)-GG14&gt;0,SUM(GE14:GF14,GH14)-GG14,"")</f>
        <v/>
      </c>
      <c r="GT14" s="19" t="str">
        <f>IF(SUM(GJ14,GN14)&gt;0,SUM(GJ14,GN14),"")</f>
        <v/>
      </c>
      <c r="GU14" s="19" t="str">
        <f>IF(SUM(GI14:GJ14,GL14:GN14,GP14)-SUM(GK14,GO14)&gt;0,SUM(GI14:GJ14,GL14:GN14,GP14)-SUM(GK14,GO14),"")</f>
        <v/>
      </c>
      <c r="GV14" s="19" t="str">
        <f>IF(SUM(GR14,GU14)&gt;0,SUM(GR14,GU14),"")</f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>IF(SUM(GX14,HB14)&gt;0,SUM(GX14,HB14),"")</f>
        <v/>
      </c>
      <c r="HR14" s="78" t="str">
        <f>IF(SUM(GW14:GX14,GZ14:HB14,HD14)-GY14-HC14&gt;0,SUM(GW14:GX14,GZ14:HB14,HD14)-GY14-HC14,"")</f>
        <v/>
      </c>
      <c r="HS14" s="78" t="str">
        <f>IF(SUM(HE14:HF14,HH14)-HG14&gt;0,SUM(HE14:HF14,HH14)-HG14,"")</f>
        <v/>
      </c>
      <c r="HT14" s="78" t="str">
        <f>IF(SUM(HJ14,HN14)&gt;0,SUM(HJ14,HN14),"")</f>
        <v/>
      </c>
      <c r="HU14" s="78" t="str">
        <f>IF(SUM(HI14:HJ14,HL14:HN14,HP14)-SUM(HK14,HO14)&gt;0,SUM(HI14:HJ14,HL14:HN14,HP14)-SUM(HK14,HO14),"")</f>
        <v/>
      </c>
      <c r="HV14" s="78" t="str">
        <f>IF(SUM(HR14,HU14)&gt;0,SUM(HR14,HU14),"")</f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>IF(SUM(HX14,IB14)&gt;0,SUM(HX14,IB14),"")</f>
        <v/>
      </c>
      <c r="IR14" s="19" t="str">
        <f>IF(SUM(HW14:HX14,HZ14:IB14,ID14)-HY14-IC14&gt;0,SUM(HW14:HX14,HZ14:IB14,ID14)-HY14-IC14,"")</f>
        <v/>
      </c>
      <c r="IS14" s="19" t="str">
        <f>IF(SUM(IE14:IF14,IH14)-IG14&gt;0,SUM(IE14:IF14,IH14)-IG14,"")</f>
        <v/>
      </c>
      <c r="IT14" s="19" t="str">
        <f>IF(SUM(IJ14,IN14)&gt;0,SUM(IJ14,IN14),"")</f>
        <v/>
      </c>
      <c r="IU14" s="19" t="str">
        <f>IF(SUM(II14:IJ14,IL14:IN14,IP14)-SUM(IK14,IO14)&gt;0,SUM(II14:IJ14,IL14:IN14,IP14)-SUM(IK14,IO14),"")</f>
        <v/>
      </c>
      <c r="IV14" s="19" t="str">
        <f>IF(SUM(IR14,IU14)&gt;0,SUM(IR14,IU14),"")</f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>IF(SUM(IX14,JB14)&gt;0,SUM(IX14,JB14),"")</f>
        <v/>
      </c>
      <c r="JR14" s="78" t="str">
        <f>IF(SUM(IW14:IX14,IZ14:JB14,JD14)-IY14-JC14&gt;0,SUM(IW14:IX14,IZ14:JB14,JD14)-IY14-JC14,"")</f>
        <v/>
      </c>
      <c r="JS14" s="78" t="str">
        <f>IF(SUM(JE14:JF14,JH14)-JG14&gt;0,SUM(JE14:JF14,JH14)-JG14,"")</f>
        <v/>
      </c>
      <c r="JT14" s="78" t="str">
        <f>IF(SUM(JJ14,JN14)&gt;0,SUM(JJ14,JN14),"")</f>
        <v/>
      </c>
      <c r="JU14" s="78" t="str">
        <f>IF(SUM(JI14:JJ14,JL14:JN14,JP14)-SUM(JK14,JO14)&gt;0,SUM(JI14:JJ14,JL14:JN14,JP14)-SUM(JK14,JO14),"")</f>
        <v/>
      </c>
      <c r="JV14" s="78" t="str">
        <f>IF(SUM(JR14,JU14)&gt;0,SUM(JR14,JU14),"")</f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>IF(SUM(JX14,KB14)&gt;0,SUM(JX14,KB14),"")</f>
        <v/>
      </c>
      <c r="KR14" s="19" t="str">
        <f>IF(SUM(JW14:JX14,JZ14:KB14,KD14)-JY14-KC14&gt;0,SUM(JW14:JX14,JZ14:KB14,KD14)-JY14-KC14,"")</f>
        <v/>
      </c>
      <c r="KS14" s="19" t="str">
        <f>IF(SUM(KE14:KF14,KH14)-KG14&gt;0,SUM(KE14:KF14,KH14)-KG14,"")</f>
        <v/>
      </c>
      <c r="KT14" s="19" t="str">
        <f>IF(SUM(KJ14,KN14)&gt;0,SUM(KJ14,KN14),"")</f>
        <v/>
      </c>
      <c r="KU14" s="19" t="str">
        <f>IF(SUM(KI14:KJ14,KL14:KN14,KP14)-SUM(KK14,KO14)&gt;0,SUM(KI14:KJ14,KL14:KN14,KP14)-SUM(KK14,KO14),"")</f>
        <v/>
      </c>
      <c r="KV14" s="19" t="str">
        <f>IF(SUM(KR14,KU14)&gt;0,SUM(KR14,KU14),"")</f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>IF(SUM(KX14,LB14)&gt;0,SUM(KX14,LB14),"")</f>
        <v/>
      </c>
      <c r="LR14" s="78" t="str">
        <f>IF(SUM(KW14:KX14,KZ14:LB14,LD14)-KY14-LC14&gt;0,SUM(KW14:KX14,KZ14:LB14,LD14)-KY14-LC14,"")</f>
        <v/>
      </c>
      <c r="LS14" s="78" t="str">
        <f>IF(SUM(LE14:LF14,LH14)-LG14&gt;0,SUM(LE14:LF14,LH14)-LG14,"")</f>
        <v/>
      </c>
      <c r="LT14" s="78" t="str">
        <f>IF(SUM(LJ14,LN14)&gt;0,SUM(LJ14,LN14),"")</f>
        <v/>
      </c>
      <c r="LU14" s="78" t="str">
        <f>IF(SUM(LI14:LJ14,LL14:LN14,LP14)-SUM(LK14,LO14)&gt;0,SUM(LI14:LJ14,LL14:LN14,LP14)-SUM(LK14,LO14),"")</f>
        <v/>
      </c>
      <c r="LV14" s="78" t="str">
        <f>IF(SUM(LR14,LU14)&gt;0,SUM(LR14,LU14),"")</f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>IF(SUM(LX14,MB14)&gt;0,SUM(LX14,MB14),"")</f>
        <v/>
      </c>
      <c r="MR14" s="19" t="str">
        <f>IF(SUM(LW14:LX14,LZ14:MB14,MD14)-LY14-MC14&gt;0,SUM(LW14:LX14,LZ14:MB14,MD14)-LY14-MC14,"")</f>
        <v/>
      </c>
      <c r="MS14" s="19" t="str">
        <f>IF(SUM(ME14:MF14,MH14)-MG14&gt;0,SUM(ME14:MF14,MH14)-MG14,"")</f>
        <v/>
      </c>
      <c r="MT14" s="19" t="str">
        <f>IF(SUM(MJ14,MN14)&gt;0,SUM(MJ14,MN14),"")</f>
        <v/>
      </c>
      <c r="MU14" s="19" t="str">
        <f>IF(SUM(MI14:MJ14,ML14:MN14,MP14)-SUM(MK14,MO14)&gt;0,SUM(MI14:MJ14,ML14:MN14,MP14)-SUM(MK14,MO14),"")</f>
        <v/>
      </c>
      <c r="MV14" s="19" t="str">
        <f>IF(SUM(MR14,MU14)&gt;0,SUM(MR14,MU14),"")</f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>IF(SUM(MX14,NB14)&gt;0,SUM(MX14,NB14),"")</f>
        <v/>
      </c>
      <c r="NR14" s="78" t="str">
        <f>IF(SUM(MW14:MX14,MZ14:NB14,ND14)-MY14-NC14&gt;0,SUM(MW14:MX14,MZ14:NB14,ND14)-MY14-NC14,"")</f>
        <v/>
      </c>
      <c r="NS14" s="78" t="str">
        <f>IF(SUM(NE14:NF14,NH14)-NG14&gt;0,SUM(NE14:NF14,NH14)-NG14,"")</f>
        <v/>
      </c>
      <c r="NT14" s="78" t="str">
        <f>IF(SUM(NJ14,NN14)&gt;0,SUM(NJ14,NN14),"")</f>
        <v/>
      </c>
      <c r="NU14" s="78" t="str">
        <f>IF(SUM(NI14:NJ14,NL14:NN14,NP14)-SUM(NK14,NO14)&gt;0,SUM(NI14:NJ14,NL14:NN14,NP14)-SUM(NK14,NO14),"")</f>
        <v/>
      </c>
      <c r="NV14" s="78" t="str">
        <f>IF(SUM(NR14,NU14)&gt;0,SUM(NR14,NU14),"")</f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>IF(SUM(NX14,OB14)&gt;0,SUM(NX14,OB14),"")</f>
        <v/>
      </c>
      <c r="OR14" s="19" t="str">
        <f>IF(SUM(NW14:NX14,NZ14:OB14,OD14)-NY14-OC14&gt;0,SUM(NW14:NX14,NZ14:OB14,OD14)-NY14-OC14,"")</f>
        <v/>
      </c>
      <c r="OS14" s="19" t="str">
        <f>IF(SUM(OE14:OF14,OH14)-OG14&gt;0,SUM(OE14:OF14,OH14)-OG14,"")</f>
        <v/>
      </c>
      <c r="OT14" s="19" t="str">
        <f>IF(SUM(OJ14,ON14)&gt;0,SUM(OJ14,ON14),"")</f>
        <v/>
      </c>
      <c r="OU14" s="19" t="str">
        <f>IF(SUM(OI14:OJ14,OL14:ON14,OP14)-SUM(OK14,OO14)&gt;0,SUM(OI14:OJ14,OL14:ON14,OP14)-SUM(OK14,OO14),"")</f>
        <v/>
      </c>
      <c r="OV14" s="19" t="str">
        <f>IF(SUM(OR14,OU14)&gt;0,SUM(OR14,OU14),"")</f>
        <v/>
      </c>
      <c r="OW14" s="37">
        <f>IF($CN14="P",BT14,(BT14+AS14)/2)</f>
        <v>16.100000000000001</v>
      </c>
      <c r="OX14" s="37">
        <f>IF($CN14="P",BU14,(BU14+AT14)/2)</f>
        <v>2.2999999999999998</v>
      </c>
      <c r="OY14" s="37">
        <f>IF($CN14="P",BV14,(BV14+AU14)/2)</f>
        <v>0</v>
      </c>
      <c r="OZ14" s="37">
        <f>IF($CN14="P",BW14,(BW14+AV14)/2)</f>
        <v>0</v>
      </c>
      <c r="PA14" s="37">
        <f>IF($CN14="P",BX14,(BX14+AW14)/2)</f>
        <v>15.350000000000001</v>
      </c>
      <c r="PB14" s="37">
        <f>IF($CN14="P",BY14,(BY14+AX14)/2)</f>
        <v>3.1500000000000004</v>
      </c>
      <c r="PC14" s="37">
        <f>IF($CN14="P",BZ14,(BZ14+AY14)/2)</f>
        <v>0</v>
      </c>
      <c r="PD14" s="37">
        <f>IF($CN14="P",CA14,(CA14+AZ14)/2)</f>
        <v>0.6</v>
      </c>
      <c r="PE14" s="37">
        <f>IF($CN14="P",CB14,(CB14+BA14)/2)</f>
        <v>0</v>
      </c>
      <c r="PF14" s="37">
        <f>IF($CN14="P",CC14,(CC14+BB14)/2)</f>
        <v>0</v>
      </c>
      <c r="PG14" s="37">
        <f>IF($CN14="P",CD14,(CD14+BC14)/2)</f>
        <v>0</v>
      </c>
      <c r="PH14" s="37">
        <f>IF($CN14="P",CE14,(CE14+BD14)/2)</f>
        <v>0</v>
      </c>
      <c r="PI14" s="37">
        <f>IF($CN14="P",CF14,(CF14+BE14)/2)</f>
        <v>15.899999999999999</v>
      </c>
      <c r="PJ14" s="37">
        <f>IF($CN14="P",CG14,(CG14+BF14)/2)</f>
        <v>1.85</v>
      </c>
      <c r="PK14" s="37">
        <f>IF($CN14="P",CH14,(CH14+BG14)/2)</f>
        <v>0.45</v>
      </c>
      <c r="PL14" s="37">
        <f>IF($CN14="P",CI14,(CI14+BH14)/2)</f>
        <v>0</v>
      </c>
      <c r="PM14" s="37">
        <f>IF($CN14="P",CJ14,(CJ14+BI14)/2)</f>
        <v>15.75</v>
      </c>
      <c r="PN14" s="37">
        <f>IF($CN14="P",CK14,(CK14+BJ14)/2)</f>
        <v>3.15</v>
      </c>
      <c r="PO14" s="37">
        <f>IF($CN14="P",CL14,(CL14+BK14)/2)</f>
        <v>0.5</v>
      </c>
      <c r="PP14" s="37">
        <f>IF($CN14="P",CM14,(CM14+BL14)/2)</f>
        <v>0.44999999999999996</v>
      </c>
      <c r="PQ14" s="44" t="s">
        <v>46</v>
      </c>
      <c r="PR14" s="78">
        <f>IF(SUM(OX14,PB14)&gt;0,SUM(OX14,PB14),"")</f>
        <v>5.45</v>
      </c>
      <c r="PS14" s="78">
        <f>IF(SUM(OW14:OX14,OZ14:PB14,PD14)-OY14-PC14&gt;0,SUM(OW14:OX14,OZ14:PB14,PD14)-OY14-PC14,"")</f>
        <v>37.5</v>
      </c>
      <c r="PT14" s="78" t="str">
        <f>IF(SUM(PE14:PF14,PH14)-PG14&gt;0,SUM(PE14:PF14,PH14)-PG14,"")</f>
        <v/>
      </c>
      <c r="PU14" s="78">
        <f>IF(SUM(PJ14,PN14)&gt;0,SUM(PJ14,PN14),"")</f>
        <v>5</v>
      </c>
      <c r="PV14" s="78">
        <f>IF(SUM(PI14:PJ14,PL14:PN14,PP14)-SUM(PK14,PO14)&gt;0,SUM(PI14:PJ14,PL14:PN14,PP14)-SUM(PK14,PO14),"")</f>
        <v>36.15</v>
      </c>
      <c r="PW14" s="78">
        <f>IF(SUM(PS14,PV14)&gt;0,SUM(PS14,PV14),"")</f>
        <v>73.650000000000006</v>
      </c>
    </row>
    <row r="15" spans="1:439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77" t="s">
        <v>135</v>
      </c>
      <c r="C15" s="5" t="s">
        <v>3</v>
      </c>
      <c r="D15" s="5">
        <v>2004</v>
      </c>
      <c r="E15" s="15">
        <f>SUM(I15:O15)+SUM(I15:M15)*0.0000001+SUM(I15)*0.0000000000001</f>
        <v>118.00001180000403</v>
      </c>
      <c r="F15" s="3" t="str">
        <f>IF(OR(AND(AM15&gt;=AR$26,AN15&gt;=AR$30,AM15&lt;&gt;"",AL15=""),AND(AP15&gt;=AR$26,AQ15&gt;=AR$30,AP15&lt;&gt;"",AL15=""),AND(BN15&gt;=BS$26,BO15&gt;=BS$30,BN15&lt;&gt;"",BM15=""),AND(BQ15&gt;=BS$26,BR15&gt;=BS$30,BQ15&lt;&gt;"",BM15=""),AND(CO15&gt;=CT$26,CP15&gt;=CT$30,CO15&lt;&gt;"",CN15=""),AND(CR15&gt;=CT$26,CS15&gt;=CT$30,CR15&lt;&gt;""),AND(DQ15&gt;=DV$26,DR15&gt;=DV$30,DQ15&lt;&gt;""),AND(DT15&gt;=DV$26,DU15&gt;=DV$30,DT15&lt;&gt;""),AND(EQ15&gt;=EV$26,ER15&gt;=EV$30,EQ15&lt;&gt;""),AND(ET15&gt;=EV$26,EU15&gt;=EV$30,ET15&lt;&gt;""),AND(FQ15&gt;=FV$26,FR15&gt;=FV$30,FQ15&lt;&gt;""),AND(FT15&gt;=FV$26,FU15&gt;=FV$30,FT15&lt;&gt;""),AND(GQ15&gt;=GV$26,GR15&gt;=GV$30,GQ15&lt;&gt;""),AND(GT15&gt;=GV$26,GU15&gt;=GV$30,GT15&lt;&gt;""),AND(HQ15&gt;=HV$26,HR15&gt;=HV$30,HQ15&lt;&gt;""),AND(HT15&gt;=HV$26,HU15&gt;=HV$30,HT15&lt;&gt;""),AND(IQ15&gt;=IV$26,IR15&gt;=IV$30,IQ15&lt;&gt;""),AND(IT15&gt;=IV$26,IU15&gt;=IV$30,IT15&lt;&gt;""),AND(JQ15&gt;=JV$26,JR15&gt;=JV$30,JQ15&lt;&gt;""),AND(JT15&gt;=JV$26,JU15&gt;=JV$30,JT15&lt;&gt;""),AND(KQ15&gt;=KV$26,KR15&gt;=KV$30,KQ15&lt;&gt;""),AND(KT15&gt;=KV$26,KU15&gt;=KV$30,KT15&lt;&gt;""),AND(LQ15&gt;=LV$26,LR15&gt;=LV$30,LQ15&lt;&gt;""),AND(LT15&gt;=LV$26,LU15&gt;=LV$30,LT15&lt;&gt;""),AND(MQ15&gt;=MV$26,MR15&gt;=MV$30,MQ15&lt;&gt;""),AND(MT15&gt;=MV$26,MU15&gt;=MV$30,MT15&lt;&gt;""),AND(NQ15&gt;=NV$26,NR15&gt;=NV$30,NQ15&lt;&gt;""),AND(NT15&gt;=NV$26,NU15&gt;=NV$30,NT15&lt;&gt;""),AND(OQ15&gt;=OV$26,OR15&gt;=OV$30,OQ15&lt;&gt;""),AND(OT15&gt;=OV$26,OU15&gt;=OV$30,OT15&lt;&gt;"")),"P","")</f>
        <v/>
      </c>
      <c r="G15" s="3" t="str">
        <f>IF(OR(AND(AN15&gt;=AR$30,AN15&lt;&gt;"",AL15=""),AND(AQ15&gt;=AR$30,AQ15&lt;&gt;"",AL15=""),AND(BO15&gt;=BS$30,BO15&lt;&gt;"",BM15=""),AND(BR15&gt;=BS$30,BR15&lt;&gt;"",BM15=""),AND(CP15&gt;=CT$30,CP15&lt;&gt;"",CN15=""),AND(CS15&gt;=CT$30,CS15&lt;&gt;"",CN15=""),AND(DR15&gt;=DV$30,DR15&lt;&gt;""),AND(DU15&gt;=DV$30,DU15&lt;&gt;""),AND(ER15&gt;=EV$30,ER15&lt;&gt;""),AND(EU15&gt;=EV$30,EU15&lt;&gt;""),AND(FR15&gt;=FV$30,FR15&lt;&gt;""),AND(FU15&gt;=FV$30,FU15&lt;&gt;""),AND(GR15&gt;=GV$30,GR15&lt;&gt;""),AND(GU15&gt;=GV$30,GU15&lt;&gt;""),AND(HR15&gt;=HV$30,HR15&lt;&gt;""),AND(HU15&gt;=HV$30,HU15&lt;&gt;""),AND(IR15&gt;=IV$30,IR15&lt;&gt;""),AND(IU15&gt;=IV$30,IU15&lt;&gt;""),AND(JR15&gt;=JV$30,JR15&lt;&gt;""),AND(JU15&gt;=JV$30,JU15&lt;&gt;""),AND(KR15&gt;=KV$30,KR15&lt;&gt;""),AND(KU15&gt;=KV$30,KU15&lt;&gt;""),AND(LR15&gt;=LV$30,LR15&lt;&gt;""),AND(LU15&gt;=LV$30,LU15&lt;&gt;""),AND(MR15&gt;=MV$30,MR15&lt;&gt;""),AND(MU15&gt;=MV$30,MU15&lt;&gt;""),AND(NR15&gt;=NV$30,NR15&lt;&gt;""),AND(NU15&gt;=NV$30,NU15&lt;&gt;""),AND(OR15&gt;=OV$30,OR15&lt;&gt;""),AND(OU15&gt;=OV$30,OU15&lt;&gt;"")),"P","")</f>
        <v/>
      </c>
      <c r="H15" s="66" t="str">
        <f>IF(AND(G15="P",F15=""),"No DD",IF(OR(AND(AM15&gt;=AR$29,AN15&gt;=AR$33,AM15&lt;&gt;"",AL15=""),AND(AP15&gt;=AR$29,AQ15&gt;=AR$33,AP15&lt;&gt;"",AL15=""),AND(BN15&gt;=BS$29,BO15&gt;=BS$33,BN15&lt;&gt;"",BM15=""),AND(BQ15&gt;=BS$29,BR15&gt;=BS$33,BQ15&lt;&gt;"",BM15=""),AND(CO15&gt;=CT$29,CP15&gt;=CT$33,CO15&lt;&gt;"",CN15=""),AND(CR15&gt;=CT$29,CS15&gt;=CT$33,CR15&lt;&gt;""),AND(DQ15&gt;=DV$29,DR15&gt;=DV$33,DQ15&lt;&gt;""),AND(DT15&gt;=DV$29,DU15&gt;=DV$33,DT15&lt;&gt;""),AND(EQ15&gt;=EV$29,ER15&gt;=EV$33,EQ15&lt;&gt;""),AND(ET15&gt;=EV$29,EU15&gt;=EV$33,ET15&lt;&gt;""),AND(FQ15&gt;=FV$29,FR15&gt;=FV$33,FQ15&lt;&gt;""),AND(FT15&gt;=FV$29,FU15&gt;=FV$33,FT15&lt;&gt;""),AND(GQ15&gt;=GV$29,GR15&gt;=GV$33,GQ15&lt;&gt;""),AND(GT15&gt;=GV$29,GU15&gt;=GV$33,GT15&lt;&gt;""),AND(HQ15&gt;=HV$29,HR15&gt;=HV$33,HQ15&lt;&gt;""),AND(HT15&gt;=HV$29,HU15&gt;=HV$33,HT15&lt;&gt;""),AND(IQ15&gt;=IV$29,IR15&gt;=IV$33,IQ15&lt;&gt;""),AND(IT15&gt;=IV$29,IU15&gt;=IV$33,IT15&lt;&gt;""),AND(JQ15&gt;=JV$29,JR15&gt;=JV$33,JQ15&lt;&gt;""),AND(JT15&gt;=JV$29,JU15&gt;=JV$33,JT15&lt;&gt;""),AND(KQ15&gt;=KV$29,KR15&gt;=KV$33,KQ15&lt;&gt;""),AND(KT15&gt;=KV$29,KU15&gt;=KV$33,KT15&lt;&gt;""),AND(LQ15&gt;=LV$29,LR15&gt;=LV$33,LQ15&lt;&gt;""),AND(LT15&gt;=LV$29,LU15&gt;=LV$33,LT15&lt;&gt;""),AND(MQ15&gt;=MV$29,MR15&gt;=MV$33,MQ15&lt;&gt;""),AND(MT15&gt;=MV$29,MU15&gt;=MV$33,MT15&lt;&gt;""),AND(NQ15&gt;=NV$29,NR15&gt;=NV$33,NQ15&lt;&gt;""),AND(NT15&gt;=NV$29,NU15&gt;=NV$33,NT15&lt;&gt;""),AND(OQ15&gt;=OV$29,OR15&gt;=OV$33,OQ15&lt;&gt;""),AND(OT15&gt;=OV$29,OU15&gt;=OV$33,OT15&lt;&gt;"")),"Merit",IF(OR(AND(AM15&gt;=AR$28,AN15&gt;=AR$32,AM15&lt;&gt;"",AL15=""),AND(AP15&gt;=AR$28,AQ15&gt;=AR$32,AP15&lt;&gt;"",AL15=""),AND(BN15&gt;=BS$28,BO15&gt;=BS$32,BN15&lt;&gt;"",BM15=""),AND(BQ15&gt;=BS$28,BR15&gt;=BS$32,BQ15&lt;&gt;"",BM15=""),AND(CO15&gt;=CT$28,CP15&gt;=CT$32,CO15&lt;&gt;"",CN15=""),AND(CR15&gt;=CT$28,CS15&gt;=CT$32,CR15&lt;&gt;""),AND(DQ15&gt;=DV$28,DR15&gt;=DV$32,DQ15&lt;&gt;""),AND(DT15&gt;=DV$28,DU15&gt;=DV$32,DT15&lt;&gt;""),AND(EQ15&gt;=EV$28,ER15&gt;=EV$32,EQ15&lt;&gt;""),AND(ET15&gt;=EV$28,EU15&gt;=EV$32,ET15&lt;&gt;""),AND(FQ15&gt;=FV$28,FR15&gt;=FV$32,FQ15&lt;&gt;""),AND(FT15&gt;=FV$28,FU15&gt;=FV$32,FT15&lt;&gt;""),AND(GQ15&gt;=GV$28,GR15&gt;=GV$32,GQ15&lt;&gt;""),AND(GT15&gt;=GV$28,GU15&gt;=GV$32,GT15&lt;&gt;""),AND(HQ15&gt;=HV$28,HR15&gt;=HV$32,HQ15&lt;&gt;""),AND(HT15&gt;=HV$28,HU15&gt;=HV$32,HT15&lt;&gt;""),AND(IQ15&gt;=IV$28,IR15&gt;=IV$32,IQ15&lt;&gt;""),AND(IT15&gt;=IV$28,IU15&gt;=IV$32,IT15&lt;&gt;""),AND(JQ15&gt;=JV$28,JR15&gt;=JV$32,JQ15&lt;&gt;""),AND(JT15&gt;=JV$28,JU15&gt;=JV$32,JT15&lt;&gt;""),AND(KQ15&gt;=KV$28,KR15&gt;=KV$32,KQ15&lt;&gt;""),AND(KT15&gt;=KV$28,KU15&gt;=KV$32,KT15&lt;&gt;""),AND(LQ15&gt;=LV$28,LR15&gt;=LV$32,LQ15&lt;&gt;""),AND(LT15&gt;=LV$28,LU15&gt;=LV$32,LT15&lt;&gt;""),AND(MQ15&gt;=MV$28,MR15&gt;=MV$32,MQ15&lt;&gt;""),AND(MT15&gt;=MV$28,MU15&gt;=MV$32,MT15&lt;&gt;""),AND(NQ15&gt;=NV$28,NR15&gt;=NV$32,NQ15&lt;&gt;""),AND(NT15&gt;=NV$28,NU15&gt;=NV$32,NT15&lt;&gt;""),AND(OQ15&gt;=OV$28,OR15&gt;=OV$32,OQ15&lt;&gt;""),AND(OT15&gt;=OV$28,OU15&gt;=OV$32,OT15&lt;&gt;"")),"Excellence",IF(F15="P","National Team",""))))</f>
        <v/>
      </c>
      <c r="I15" s="14">
        <f>IF(COUNT(AN15,BO15,CP15)&gt;0,LARGE((AN15,BO15,CP15),1),0)</f>
        <v>40.300000000000004</v>
      </c>
      <c r="J15" s="14" t="str">
        <f>IF(I15=0,"",IF(I15=CP15,$BT$1,IF(I15=BO15,$AS$1,IF(I15=AN15,$R$1,""))))</f>
        <v>2022 3rd Domestic Trial</v>
      </c>
      <c r="K15" s="14">
        <f>IF(COUNT(AN15,BO15,CP15)&gt;1,LARGE((AN15,BO15,CP15),2),0)</f>
        <v>37.099999999999994</v>
      </c>
      <c r="L15" s="14" t="str">
        <f>IF(K15=0,"",IF(K15=CP15,$BT$1,IF(K15=BO15,$AS$1,IF(K15=AN15,$R$1,""))))</f>
        <v>2022 Elite Canada</v>
      </c>
      <c r="M15" s="14">
        <f>IF(MAX(AQ15,BR15,CS15)&gt;0,MAX(AQ15,BR15,CS15),0)</f>
        <v>40.599999999999994</v>
      </c>
      <c r="N15" s="14" t="str">
        <f>IF(M15=0,"",IF(M15=CS15,$BT$1,IF(M15=BR15,$AS$1,IF(M15=AQ15,$R$1,""))))</f>
        <v>2022 Nationals</v>
      </c>
      <c r="O15" s="14" t="str">
        <f>IF(MAX(CU15:CV15)&gt;0,MAX(CU15:CV15),"")</f>
        <v/>
      </c>
      <c r="P15" s="19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6">
        <v>15.8</v>
      </c>
      <c r="S15" s="26">
        <v>3.2</v>
      </c>
      <c r="T15" s="26">
        <v>0.2</v>
      </c>
      <c r="U15" s="26">
        <v>0</v>
      </c>
      <c r="V15" s="26">
        <v>15</v>
      </c>
      <c r="W15" s="26">
        <v>3.2</v>
      </c>
      <c r="X15" s="26">
        <v>0.2</v>
      </c>
      <c r="Y15" s="26">
        <v>0.3</v>
      </c>
      <c r="Z15" s="26"/>
      <c r="AA15" s="26"/>
      <c r="AB15" s="26"/>
      <c r="AC15" s="26"/>
      <c r="AD15" s="26">
        <v>0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6">
        <v>0</v>
      </c>
      <c r="AK15" s="26">
        <v>0</v>
      </c>
      <c r="AL15" s="44"/>
      <c r="AM15" s="78">
        <f>IF(SUM(S15,W15)&gt;0,SUM(S15,W15),"")</f>
        <v>6.4</v>
      </c>
      <c r="AN15" s="78">
        <f>IF(SUM(R15:S15,U15:W15,Y15)-T15-X15&gt;0,SUM(R15:S15,U15:W15,Y15)-T15-X15,"")</f>
        <v>37.099999999999994</v>
      </c>
      <c r="AO15" s="78" t="str">
        <f>IF(SUM(Z15:AA15,AC15)-AB15&gt;0,SUM(Z15:AA15,AC15)-AB15,"")</f>
        <v/>
      </c>
      <c r="AP15" s="78" t="str">
        <f>IF(SUM(AE15,AI15)&gt;0,SUM(AE15,AI15),"")</f>
        <v/>
      </c>
      <c r="AQ15" s="78" t="str">
        <f>IF(SUM(AD15:AE15,AG15:AI15,AK15)-SUM(AF15,AJ15)&gt;0,SUM(AD15:AE15,AG15:AI15,AK15)-SUM(AF15,AJ15),"")</f>
        <v/>
      </c>
      <c r="AR15" s="78">
        <f>IF(SUM(AN15,AQ15)&gt;0,SUM(AN15,AQ15),"")</f>
        <v>37.099999999999994</v>
      </c>
      <c r="AS15" s="25">
        <v>16.5</v>
      </c>
      <c r="AT15" s="25">
        <v>2.5</v>
      </c>
      <c r="AU15" s="25">
        <v>0.7</v>
      </c>
      <c r="AV15" s="25">
        <v>0.3</v>
      </c>
      <c r="AW15" s="25">
        <v>15.8</v>
      </c>
      <c r="AX15" s="25">
        <v>1.9</v>
      </c>
      <c r="AY15" s="25">
        <v>0</v>
      </c>
      <c r="AZ15" s="25">
        <v>0.3</v>
      </c>
      <c r="BA15" s="25"/>
      <c r="BB15" s="25"/>
      <c r="BC15" s="25"/>
      <c r="BD15" s="25"/>
      <c r="BE15" s="25">
        <v>16.600000000000001</v>
      </c>
      <c r="BF15" s="25">
        <v>3.2</v>
      </c>
      <c r="BG15" s="25">
        <v>0</v>
      </c>
      <c r="BH15" s="25">
        <v>0.3</v>
      </c>
      <c r="BI15" s="25">
        <v>17.2</v>
      </c>
      <c r="BJ15" s="25">
        <v>3</v>
      </c>
      <c r="BK15" s="25">
        <v>0</v>
      </c>
      <c r="BL15" s="25">
        <v>0.3</v>
      </c>
      <c r="BM15" s="45"/>
      <c r="BN15" s="19">
        <f>IF(SUM(AT15,AX15)&gt;0,SUM(AT15,AX15),"")</f>
        <v>4.4000000000000004</v>
      </c>
      <c r="BO15" s="19">
        <f>IF(SUM(AS15:AT15,AV15:AX15,AZ15)-AU15-AY15&gt;0,SUM(AS15:AT15,AV15:AX15,AZ15)-AU15-AY15,"")</f>
        <v>36.599999999999994</v>
      </c>
      <c r="BP15" s="19" t="str">
        <f>IF(SUM(BA15:BB15,BD15)-BC15&gt;0,SUM(BA15:BB15,BD15)-BC15,"")</f>
        <v/>
      </c>
      <c r="BQ15" s="19">
        <f>IF(SUM(BF15,BJ15)&gt;0,SUM(BF15,BJ15),"")</f>
        <v>6.2</v>
      </c>
      <c r="BR15" s="19">
        <f>IF(SUM(BE15:BF15,BH15:BJ15,BL15)-SUM(BG15,BK15)&gt;0,SUM(BE15:BF15,BH15:BJ15,BL15)-SUM(BG15,BK15),"")</f>
        <v>40.599999999999994</v>
      </c>
      <c r="BS15" s="19">
        <f>IF(SUM(BO15,BR15)&gt;0,SUM(BO15,BR15),"")</f>
        <v>77.199999999999989</v>
      </c>
      <c r="BT15" s="26">
        <v>16.5</v>
      </c>
      <c r="BU15" s="26">
        <v>3.9</v>
      </c>
      <c r="BV15" s="26">
        <v>0</v>
      </c>
      <c r="BW15" s="26">
        <v>0.3</v>
      </c>
      <c r="BX15" s="26">
        <v>15.3</v>
      </c>
      <c r="BY15" s="26">
        <v>3.7</v>
      </c>
      <c r="BZ15" s="26">
        <v>0</v>
      </c>
      <c r="CA15" s="26">
        <v>0.6</v>
      </c>
      <c r="CB15" s="26"/>
      <c r="CC15" s="26"/>
      <c r="CD15" s="26"/>
      <c r="CE15" s="26"/>
      <c r="CF15" s="26">
        <v>15.5</v>
      </c>
      <c r="CG15" s="26">
        <v>1.9</v>
      </c>
      <c r="CH15" s="26">
        <v>0</v>
      </c>
      <c r="CI15" s="26">
        <v>0.3</v>
      </c>
      <c r="CJ15" s="26">
        <v>16</v>
      </c>
      <c r="CK15" s="26">
        <v>3.9</v>
      </c>
      <c r="CL15" s="26">
        <v>0</v>
      </c>
      <c r="CM15" s="26">
        <v>0.6</v>
      </c>
      <c r="CN15" s="44"/>
      <c r="CO15" s="78">
        <f>IF(SUM(BU15,BY15)&gt;0,SUM(BU15,BY15),"")</f>
        <v>7.6</v>
      </c>
      <c r="CP15" s="78">
        <f>IF(SUM(BT15:BU15,BW15:BY15,CA15)-BV15-BZ15&gt;0,SUM(BT15:BU15,BW15:BY15,CA15)-BV15-BZ15,"")</f>
        <v>40.300000000000004</v>
      </c>
      <c r="CQ15" s="78" t="str">
        <f>IF(SUM(CB15:CC15,CE15)-CD15&gt;0,SUM(CB15:CC15,CE15)-CD15,"")</f>
        <v/>
      </c>
      <c r="CR15" s="78">
        <f>IF(SUM(CG15,CK15)&gt;0,SUM(CG15,CK15),"")</f>
        <v>5.8</v>
      </c>
      <c r="CS15" s="78">
        <f>IF(SUM(CF15:CG15,CI15:CK15,CM15)-SUM(CH15,CL15)&gt;0,SUM(CF15:CG15,CI15:CK15,CM15)-SUM(CH15,CL15),"")</f>
        <v>38.200000000000003</v>
      </c>
      <c r="CT15" s="78">
        <f>IF(SUM(CP15,CS15)&gt;0,SUM(CP15,CS15),"")</f>
        <v>78.5</v>
      </c>
      <c r="CU15" s="79" t="str">
        <f>IF(K15&gt;=0.001,IF(MAX(DR15,ER15,FR15,GR15,HR15,IR15,JR15,KR15,LR15,MR15,NR15,OR15)-IF(K15="",0,K15)&gt;0.001,MAX(DR15,ER15,FR15,GR15,HR15,IR15,JR15,KR15,LR15,MR15,NR15,OR15)-IF(K15="",0,K15),""),"")</f>
        <v/>
      </c>
      <c r="CV15" s="79" t="str">
        <f>IF(M15&gt;=0.001,IF(MAX(DU15,EU15,FU15,GU15,HU15,IU15,JU15,KU15,LU15,MU15,NU15,OU15)-IF(M15="",0,M15)&gt;0.001,MAX(DU15,EU15,FU15,GU15,HU15,IU15,JU15,KU15,LU15,MU15,NU15,OU15)-IF(M15="",0,M15),""),"")</f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>IF(SUM(CX15,DB15)&gt;0,SUM(CX15,DB15),"")</f>
        <v/>
      </c>
      <c r="DR15" s="78" t="str">
        <f>IF(SUM(CW15:CX15,CZ15:DB15,DD15)-CY15-DC15&gt;0,SUM(CW15:CX15,CZ15:DB15,DD15)-CY15-DC15,"")</f>
        <v/>
      </c>
      <c r="DS15" s="78" t="str">
        <f>IF(SUM(DE15:DF15,DH15)-DG15&gt;0,SUM(DE15:DF15,DH15)-DG15,"")</f>
        <v/>
      </c>
      <c r="DT15" s="78" t="str">
        <f>IF(SUM(DJ15,DN15)&gt;0,SUM(DJ15,DN15),"")</f>
        <v/>
      </c>
      <c r="DU15" s="78" t="str">
        <f>IF(SUM(DI15:DJ15,DL15:DN15,DP15)-SUM(DK15,DO15)&gt;0,SUM(DI15:DJ15,DL15:DN15,DP15)-SUM(DK15,DO15),"")</f>
        <v/>
      </c>
      <c r="DV15" s="78" t="str">
        <f>IF(SUM(DR15,DU15)&gt;0,SUM(DR15,DU15),"")</f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>IF(SUM(DX15,EB15)&gt;0,SUM(DX15,EB15),"")</f>
        <v/>
      </c>
      <c r="ER15" s="19" t="str">
        <f>IF(SUM(DW15:DX15,DZ15:EB15,ED15)-DY15-EC15&gt;0,SUM(DW15:DX15,DZ15:EB15,ED15)-DY15-EC15,"")</f>
        <v/>
      </c>
      <c r="ES15" s="19" t="str">
        <f>IF(SUM(EE15:EF15,EH15)-EG15&gt;0,SUM(EE15:EF15,EH15)-EG15,"")</f>
        <v/>
      </c>
      <c r="ET15" s="19" t="str">
        <f>IF(SUM(EJ15,EN15)&gt;0,SUM(EJ15,EN15),"")</f>
        <v/>
      </c>
      <c r="EU15" s="19" t="str">
        <f>IF(SUM(EI15:EJ15,EL15:EN15,EP15)-SUM(EK15,EO15)&gt;0,SUM(EI15:EJ15,EL15:EN15,EP15)-SUM(EK15,EO15),"")</f>
        <v/>
      </c>
      <c r="EV15" s="19" t="str">
        <f>IF(SUM(ER15,EU15)&gt;0,SUM(ER15,EU15),"")</f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>IF(SUM(EX15,FB15)&gt;0,SUM(EX15,FB15),"")</f>
        <v/>
      </c>
      <c r="FR15" s="78" t="str">
        <f>IF(SUM(EW15:EX15,EZ15:FB15,FD15)-EY15-FC15&gt;0,SUM(EW15:EX15,EZ15:FB15,FD15)-EY15-FC15,"")</f>
        <v/>
      </c>
      <c r="FS15" s="78" t="str">
        <f>IF(SUM(FE15:FF15,FH15)-FG15&gt;0,SUM(FE15:FF15,FH15)-FG15,"")</f>
        <v/>
      </c>
      <c r="FT15" s="78" t="str">
        <f>IF(SUM(FJ15,FN15)&gt;0,SUM(FJ15,FN15),"")</f>
        <v/>
      </c>
      <c r="FU15" s="78" t="str">
        <f>IF(SUM(FI15:FJ15,FL15:FN15,FP15)-SUM(FK15,FO15)&gt;0,SUM(FI15:FJ15,FL15:FN15,FP15)-SUM(FK15,FO15),"")</f>
        <v/>
      </c>
      <c r="FV15" s="78" t="str">
        <f>IF(SUM(FR15,FU15)&gt;0,SUM(FR15,FU15),"")</f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>IF(SUM(FX15,GB15)&gt;0,SUM(FX15,GB15),"")</f>
        <v/>
      </c>
      <c r="GR15" s="19" t="str">
        <f>IF(SUM(FW15:FX15,FZ15:GB15,GD15)-FY15-GC15&gt;0,SUM(FW15:FX15,FZ15:GB15,GD15)-FY15-GC15,"")</f>
        <v/>
      </c>
      <c r="GS15" s="19" t="str">
        <f>IF(SUM(GE15:GF15,GH15)-GG15&gt;0,SUM(GE15:GF15,GH15)-GG15,"")</f>
        <v/>
      </c>
      <c r="GT15" s="19" t="str">
        <f>IF(SUM(GJ15,GN15)&gt;0,SUM(GJ15,GN15),"")</f>
        <v/>
      </c>
      <c r="GU15" s="19" t="str">
        <f>IF(SUM(GI15:GJ15,GL15:GN15,GP15)-SUM(GK15,GO15)&gt;0,SUM(GI15:GJ15,GL15:GN15,GP15)-SUM(GK15,GO15),"")</f>
        <v/>
      </c>
      <c r="GV15" s="19" t="str">
        <f>IF(SUM(GR15,GU15)&gt;0,SUM(GR15,GU15),"")</f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>IF(SUM(GX15,HB15)&gt;0,SUM(GX15,HB15),"")</f>
        <v/>
      </c>
      <c r="HR15" s="78" t="str">
        <f>IF(SUM(GW15:GX15,GZ15:HB15,HD15)-GY15-HC15&gt;0,SUM(GW15:GX15,GZ15:HB15,HD15)-GY15-HC15,"")</f>
        <v/>
      </c>
      <c r="HS15" s="78" t="str">
        <f>IF(SUM(HE15:HF15,HH15)-HG15&gt;0,SUM(HE15:HF15,HH15)-HG15,"")</f>
        <v/>
      </c>
      <c r="HT15" s="78" t="str">
        <f>IF(SUM(HJ15,HN15)&gt;0,SUM(HJ15,HN15),"")</f>
        <v/>
      </c>
      <c r="HU15" s="78" t="str">
        <f>IF(SUM(HI15:HJ15,HL15:HN15,HP15)-SUM(HK15,HO15)&gt;0,SUM(HI15:HJ15,HL15:HN15,HP15)-SUM(HK15,HO15),"")</f>
        <v/>
      </c>
      <c r="HV15" s="78" t="str">
        <f>IF(SUM(HR15,HU15)&gt;0,SUM(HR15,HU15),"")</f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>IF(SUM(HX15,IB15)&gt;0,SUM(HX15,IB15),"")</f>
        <v/>
      </c>
      <c r="IR15" s="19" t="str">
        <f>IF(SUM(HW15:HX15,HZ15:IB15,ID15)-HY15-IC15&gt;0,SUM(HW15:HX15,HZ15:IB15,ID15)-HY15-IC15,"")</f>
        <v/>
      </c>
      <c r="IS15" s="19" t="str">
        <f>IF(SUM(IE15:IF15,IH15)-IG15&gt;0,SUM(IE15:IF15,IH15)-IG15,"")</f>
        <v/>
      </c>
      <c r="IT15" s="19" t="str">
        <f>IF(SUM(IJ15,IN15)&gt;0,SUM(IJ15,IN15),"")</f>
        <v/>
      </c>
      <c r="IU15" s="19" t="str">
        <f>IF(SUM(II15:IJ15,IL15:IN15,IP15)-SUM(IK15,IO15)&gt;0,SUM(II15:IJ15,IL15:IN15,IP15)-SUM(IK15,IO15),"")</f>
        <v/>
      </c>
      <c r="IV15" s="19" t="str">
        <f>IF(SUM(IR15,IU15)&gt;0,SUM(IR15,IU15),"")</f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>IF(SUM(IX15,JB15)&gt;0,SUM(IX15,JB15),"")</f>
        <v/>
      </c>
      <c r="JR15" s="78" t="str">
        <f>IF(SUM(IW15:IX15,IZ15:JB15,JD15)-IY15-JC15&gt;0,SUM(IW15:IX15,IZ15:JB15,JD15)-IY15-JC15,"")</f>
        <v/>
      </c>
      <c r="JS15" s="78" t="str">
        <f>IF(SUM(JE15:JF15,JH15)-JG15&gt;0,SUM(JE15:JF15,JH15)-JG15,"")</f>
        <v/>
      </c>
      <c r="JT15" s="78" t="str">
        <f>IF(SUM(JJ15,JN15)&gt;0,SUM(JJ15,JN15),"")</f>
        <v/>
      </c>
      <c r="JU15" s="78" t="str">
        <f>IF(SUM(JI15:JJ15,JL15:JN15,JP15)-SUM(JK15,JO15)&gt;0,SUM(JI15:JJ15,JL15:JN15,JP15)-SUM(JK15,JO15),"")</f>
        <v/>
      </c>
      <c r="JV15" s="78" t="str">
        <f>IF(SUM(JR15,JU15)&gt;0,SUM(JR15,JU15),"")</f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>IF(SUM(JX15,KB15)&gt;0,SUM(JX15,KB15),"")</f>
        <v/>
      </c>
      <c r="KR15" s="19" t="str">
        <f>IF(SUM(JW15:JX15,JZ15:KB15,KD15)-JY15-KC15&gt;0,SUM(JW15:JX15,JZ15:KB15,KD15)-JY15-KC15,"")</f>
        <v/>
      </c>
      <c r="KS15" s="19" t="str">
        <f>IF(SUM(KE15:KF15,KH15)-KG15&gt;0,SUM(KE15:KF15,KH15)-KG15,"")</f>
        <v/>
      </c>
      <c r="KT15" s="19" t="str">
        <f>IF(SUM(KJ15,KN15)&gt;0,SUM(KJ15,KN15),"")</f>
        <v/>
      </c>
      <c r="KU15" s="19" t="str">
        <f>IF(SUM(KI15:KJ15,KL15:KN15,KP15)-SUM(KK15,KO15)&gt;0,SUM(KI15:KJ15,KL15:KN15,KP15)-SUM(KK15,KO15),"")</f>
        <v/>
      </c>
      <c r="KV15" s="19" t="str">
        <f>IF(SUM(KR15,KU15)&gt;0,SUM(KR15,KU15),"")</f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>IF(SUM(KX15,LB15)&gt;0,SUM(KX15,LB15),"")</f>
        <v/>
      </c>
      <c r="LR15" s="78" t="str">
        <f>IF(SUM(KW15:KX15,KZ15:LB15,LD15)-KY15-LC15&gt;0,SUM(KW15:KX15,KZ15:LB15,LD15)-KY15-LC15,"")</f>
        <v/>
      </c>
      <c r="LS15" s="78" t="str">
        <f>IF(SUM(LE15:LF15,LH15)-LG15&gt;0,SUM(LE15:LF15,LH15)-LG15,"")</f>
        <v/>
      </c>
      <c r="LT15" s="78" t="str">
        <f>IF(SUM(LJ15,LN15)&gt;0,SUM(LJ15,LN15),"")</f>
        <v/>
      </c>
      <c r="LU15" s="78" t="str">
        <f>IF(SUM(LI15:LJ15,LL15:LN15,LP15)-SUM(LK15,LO15)&gt;0,SUM(LI15:LJ15,LL15:LN15,LP15)-SUM(LK15,LO15),"")</f>
        <v/>
      </c>
      <c r="LV15" s="78" t="str">
        <f>IF(SUM(LR15,LU15)&gt;0,SUM(LR15,LU15),"")</f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>IF(SUM(LX15,MB15)&gt;0,SUM(LX15,MB15),"")</f>
        <v/>
      </c>
      <c r="MR15" s="19" t="str">
        <f>IF(SUM(LW15:LX15,LZ15:MB15,MD15)-LY15-MC15&gt;0,SUM(LW15:LX15,LZ15:MB15,MD15)-LY15-MC15,"")</f>
        <v/>
      </c>
      <c r="MS15" s="19" t="str">
        <f>IF(SUM(ME15:MF15,MH15)-MG15&gt;0,SUM(ME15:MF15,MH15)-MG15,"")</f>
        <v/>
      </c>
      <c r="MT15" s="19" t="str">
        <f>IF(SUM(MJ15,MN15)&gt;0,SUM(MJ15,MN15),"")</f>
        <v/>
      </c>
      <c r="MU15" s="19" t="str">
        <f>IF(SUM(MI15:MJ15,ML15:MN15,MP15)-SUM(MK15,MO15)&gt;0,SUM(MI15:MJ15,ML15:MN15,MP15)-SUM(MK15,MO15),"")</f>
        <v/>
      </c>
      <c r="MV15" s="19" t="str">
        <f>IF(SUM(MR15,MU15)&gt;0,SUM(MR15,MU15),"")</f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>IF(SUM(MX15,NB15)&gt;0,SUM(MX15,NB15),"")</f>
        <v/>
      </c>
      <c r="NR15" s="78" t="str">
        <f>IF(SUM(MW15:MX15,MZ15:NB15,ND15)-MY15-NC15&gt;0,SUM(MW15:MX15,MZ15:NB15,ND15)-MY15-NC15,"")</f>
        <v/>
      </c>
      <c r="NS15" s="78" t="str">
        <f>IF(SUM(NE15:NF15,NH15)-NG15&gt;0,SUM(NE15:NF15,NH15)-NG15,"")</f>
        <v/>
      </c>
      <c r="NT15" s="78" t="str">
        <f>IF(SUM(NJ15,NN15)&gt;0,SUM(NJ15,NN15),"")</f>
        <v/>
      </c>
      <c r="NU15" s="78" t="str">
        <f>IF(SUM(NI15:NJ15,NL15:NN15,NP15)-SUM(NK15,NO15)&gt;0,SUM(NI15:NJ15,NL15:NN15,NP15)-SUM(NK15,NO15),"")</f>
        <v/>
      </c>
      <c r="NV15" s="78" t="str">
        <f>IF(SUM(NR15,NU15)&gt;0,SUM(NR15,NU15),"")</f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>IF(SUM(NX15,OB15)&gt;0,SUM(NX15,OB15),"")</f>
        <v/>
      </c>
      <c r="OR15" s="19" t="str">
        <f>IF(SUM(NW15:NX15,NZ15:OB15,OD15)-NY15-OC15&gt;0,SUM(NW15:NX15,NZ15:OB15,OD15)-NY15-OC15,"")</f>
        <v/>
      </c>
      <c r="OS15" s="19" t="str">
        <f>IF(SUM(OE15:OF15,OH15)-OG15&gt;0,SUM(OE15:OF15,OH15)-OG15,"")</f>
        <v/>
      </c>
      <c r="OT15" s="19" t="str">
        <f>IF(SUM(OJ15,ON15)&gt;0,SUM(OJ15,ON15),"")</f>
        <v/>
      </c>
      <c r="OU15" s="19" t="str">
        <f>IF(SUM(OI15:OJ15,OL15:ON15,OP15)-SUM(OK15,OO15)&gt;0,SUM(OI15:OJ15,OL15:ON15,OP15)-SUM(OK15,OO15),"")</f>
        <v/>
      </c>
      <c r="OV15" s="19" t="str">
        <f>IF(SUM(OR15,OU15)&gt;0,SUM(OR15,OU15),"")</f>
        <v/>
      </c>
      <c r="OW15" s="37">
        <f>IF($CN15="P",BT15,(BT15+AS15)/2)</f>
        <v>16.5</v>
      </c>
      <c r="OX15" s="37">
        <f>IF($CN15="P",BU15,(BU15+AT15)/2)</f>
        <v>3.2</v>
      </c>
      <c r="OY15" s="37">
        <f>IF($CN15="P",BV15,(BV15+AU15)/2)</f>
        <v>0.35</v>
      </c>
      <c r="OZ15" s="37">
        <f>IF($CN15="P",BW15,(BW15+AV15)/2)</f>
        <v>0.3</v>
      </c>
      <c r="PA15" s="37">
        <f>IF($CN15="P",BX15,(BX15+AW15)/2)</f>
        <v>15.55</v>
      </c>
      <c r="PB15" s="37">
        <f>IF($CN15="P",BY15,(BY15+AX15)/2)</f>
        <v>2.8</v>
      </c>
      <c r="PC15" s="37">
        <f>IF($CN15="P",BZ15,(BZ15+AY15)/2)</f>
        <v>0</v>
      </c>
      <c r="PD15" s="37">
        <f>IF($CN15="P",CA15,(CA15+AZ15)/2)</f>
        <v>0.44999999999999996</v>
      </c>
      <c r="PE15" s="37">
        <f>IF($CN15="P",CB15,(CB15+BA15)/2)</f>
        <v>0</v>
      </c>
      <c r="PF15" s="37">
        <f>IF($CN15="P",CC15,(CC15+BB15)/2)</f>
        <v>0</v>
      </c>
      <c r="PG15" s="37">
        <f>IF($CN15="P",CD15,(CD15+BC15)/2)</f>
        <v>0</v>
      </c>
      <c r="PH15" s="37">
        <f>IF($CN15="P",CE15,(CE15+BD15)/2)</f>
        <v>0</v>
      </c>
      <c r="PI15" s="37">
        <f>IF($CN15="P",CF15,(CF15+BE15)/2)</f>
        <v>16.05</v>
      </c>
      <c r="PJ15" s="37">
        <f>IF($CN15="P",CG15,(CG15+BF15)/2)</f>
        <v>2.5499999999999998</v>
      </c>
      <c r="PK15" s="37">
        <f>IF($CN15="P",CH15,(CH15+BG15)/2)</f>
        <v>0</v>
      </c>
      <c r="PL15" s="37">
        <f>IF($CN15="P",CI15,(CI15+BH15)/2)</f>
        <v>0.3</v>
      </c>
      <c r="PM15" s="37">
        <f>IF($CN15="P",CJ15,(CJ15+BI15)/2)</f>
        <v>16.600000000000001</v>
      </c>
      <c r="PN15" s="37">
        <f>IF($CN15="P",CK15,(CK15+BJ15)/2)</f>
        <v>3.45</v>
      </c>
      <c r="PO15" s="37">
        <f>IF($CN15="P",CL15,(CL15+BK15)/2)</f>
        <v>0</v>
      </c>
      <c r="PP15" s="37">
        <f>IF($CN15="P",CM15,(CM15+BL15)/2)</f>
        <v>0.44999999999999996</v>
      </c>
      <c r="PQ15" s="44" t="s">
        <v>46</v>
      </c>
      <c r="PR15" s="78">
        <f>IF(SUM(OX15,PB15)&gt;0,SUM(OX15,PB15),"")</f>
        <v>6</v>
      </c>
      <c r="PS15" s="78">
        <f>IF(SUM(OW15:OX15,OZ15:PB15,PD15)-OY15-PC15&gt;0,SUM(OW15:OX15,OZ15:PB15,PD15)-OY15-PC15,"")</f>
        <v>38.449999999999996</v>
      </c>
      <c r="PT15" s="78" t="str">
        <f>IF(SUM(PE15:PF15,PH15)-PG15&gt;0,SUM(PE15:PF15,PH15)-PG15,"")</f>
        <v/>
      </c>
      <c r="PU15" s="78">
        <f>IF(SUM(PJ15,PN15)&gt;0,SUM(PJ15,PN15),"")</f>
        <v>6</v>
      </c>
      <c r="PV15" s="78">
        <f>IF(SUM(PI15:PJ15,PL15:PN15,PP15)-SUM(PK15,PO15)&gt;0,SUM(PI15:PJ15,PL15:PN15,PP15)-SUM(PK15,PO15),"")</f>
        <v>39.400000000000006</v>
      </c>
      <c r="PW15" s="78">
        <f>IF(SUM(PS15,PV15)&gt;0,SUM(PS15,PV15),"")</f>
        <v>77.849999999999994</v>
      </c>
    </row>
    <row r="16" spans="1:439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77" t="s">
        <v>134</v>
      </c>
      <c r="C16" s="5" t="s">
        <v>6</v>
      </c>
      <c r="D16" s="5">
        <v>2005</v>
      </c>
      <c r="E16" s="15">
        <f>SUM(I16:O16)+SUM(I16:M16)*0.0000001+SUM(I16)*0.0000000000001</f>
        <v>116.04001160400382</v>
      </c>
      <c r="F16" s="3" t="str">
        <f>IF(OR(AND(AM16&gt;=AR$26,AN16&gt;=AR$30,AM16&lt;&gt;"",AL16=""),AND(AP16&gt;=AR$26,AQ16&gt;=AR$30,AP16&lt;&gt;"",AL16=""),AND(BN16&gt;=BS$26,BO16&gt;=BS$30,BN16&lt;&gt;"",BM16=""),AND(BQ16&gt;=BS$26,BR16&gt;=BS$30,BQ16&lt;&gt;"",BM16=""),AND(CO16&gt;=CT$26,CP16&gt;=CT$30,CO16&lt;&gt;"",CN16=""),AND(CR16&gt;=CT$26,CS16&gt;=CT$30,CR16&lt;&gt;""),AND(DQ16&gt;=DV$26,DR16&gt;=DV$30,DQ16&lt;&gt;""),AND(DT16&gt;=DV$26,DU16&gt;=DV$30,DT16&lt;&gt;""),AND(EQ16&gt;=EV$26,ER16&gt;=EV$30,EQ16&lt;&gt;""),AND(ET16&gt;=EV$26,EU16&gt;=EV$30,ET16&lt;&gt;""),AND(FQ16&gt;=FV$26,FR16&gt;=FV$30,FQ16&lt;&gt;""),AND(FT16&gt;=FV$26,FU16&gt;=FV$30,FT16&lt;&gt;""),AND(GQ16&gt;=GV$26,GR16&gt;=GV$30,GQ16&lt;&gt;""),AND(GT16&gt;=GV$26,GU16&gt;=GV$30,GT16&lt;&gt;""),AND(HQ16&gt;=HV$26,HR16&gt;=HV$30,HQ16&lt;&gt;""),AND(HT16&gt;=HV$26,HU16&gt;=HV$30,HT16&lt;&gt;""),AND(IQ16&gt;=IV$26,IR16&gt;=IV$30,IQ16&lt;&gt;""),AND(IT16&gt;=IV$26,IU16&gt;=IV$30,IT16&lt;&gt;""),AND(JQ16&gt;=JV$26,JR16&gt;=JV$30,JQ16&lt;&gt;""),AND(JT16&gt;=JV$26,JU16&gt;=JV$30,JT16&lt;&gt;""),AND(KQ16&gt;=KV$26,KR16&gt;=KV$30,KQ16&lt;&gt;""),AND(KT16&gt;=KV$26,KU16&gt;=KV$30,KT16&lt;&gt;""),AND(LQ16&gt;=LV$26,LR16&gt;=LV$30,LQ16&lt;&gt;""),AND(LT16&gt;=LV$26,LU16&gt;=LV$30,LT16&lt;&gt;""),AND(MQ16&gt;=MV$26,MR16&gt;=MV$30,MQ16&lt;&gt;""),AND(MT16&gt;=MV$26,MU16&gt;=MV$30,MT16&lt;&gt;""),AND(NQ16&gt;=NV$26,NR16&gt;=NV$30,NQ16&lt;&gt;""),AND(NT16&gt;=NV$26,NU16&gt;=NV$30,NT16&lt;&gt;""),AND(OQ16&gt;=OV$26,OR16&gt;=OV$30,OQ16&lt;&gt;""),AND(OT16&gt;=OV$26,OU16&gt;=OV$30,OT16&lt;&gt;"")),"P","")</f>
        <v/>
      </c>
      <c r="G16" s="3" t="str">
        <f>IF(OR(AND(AN16&gt;=AR$30,AN16&lt;&gt;"",AL16=""),AND(AQ16&gt;=AR$30,AQ16&lt;&gt;"",AL16=""),AND(BO16&gt;=BS$30,BO16&lt;&gt;"",BM16=""),AND(BR16&gt;=BS$30,BR16&lt;&gt;"",BM16=""),AND(CP16&gt;=CT$30,CP16&lt;&gt;"",CN16=""),AND(CS16&gt;=CT$30,CS16&lt;&gt;"",CN16=""),AND(DR16&gt;=DV$30,DR16&lt;&gt;""),AND(DU16&gt;=DV$30,DU16&lt;&gt;""),AND(ER16&gt;=EV$30,ER16&lt;&gt;""),AND(EU16&gt;=EV$30,EU16&lt;&gt;""),AND(FR16&gt;=FV$30,FR16&lt;&gt;""),AND(FU16&gt;=FV$30,FU16&lt;&gt;""),AND(GR16&gt;=GV$30,GR16&lt;&gt;""),AND(GU16&gt;=GV$30,GU16&lt;&gt;""),AND(HR16&gt;=HV$30,HR16&lt;&gt;""),AND(HU16&gt;=HV$30,HU16&lt;&gt;""),AND(IR16&gt;=IV$30,IR16&lt;&gt;""),AND(IU16&gt;=IV$30,IU16&lt;&gt;""),AND(JR16&gt;=JV$30,JR16&lt;&gt;""),AND(JU16&gt;=JV$30,JU16&lt;&gt;""),AND(KR16&gt;=KV$30,KR16&lt;&gt;""),AND(KU16&gt;=KV$30,KU16&lt;&gt;""),AND(LR16&gt;=LV$30,LR16&lt;&gt;""),AND(LU16&gt;=LV$30,LU16&lt;&gt;""),AND(MR16&gt;=MV$30,MR16&lt;&gt;""),AND(MU16&gt;=MV$30,MU16&lt;&gt;""),AND(NR16&gt;=NV$30,NR16&lt;&gt;""),AND(NU16&gt;=NV$30,NU16&lt;&gt;""),AND(OR16&gt;=OV$30,OR16&lt;&gt;""),AND(OU16&gt;=OV$30,OU16&lt;&gt;"")),"P","")</f>
        <v/>
      </c>
      <c r="H16" s="66" t="str">
        <f>IF(AND(G16="P",F16=""),"No DD",IF(OR(AND(AM16&gt;=AR$29,AN16&gt;=AR$33,AM16&lt;&gt;"",AL16=""),AND(AP16&gt;=AR$29,AQ16&gt;=AR$33,AP16&lt;&gt;"",AL16=""),AND(BN16&gt;=BS$29,BO16&gt;=BS$33,BN16&lt;&gt;"",BM16=""),AND(BQ16&gt;=BS$29,BR16&gt;=BS$33,BQ16&lt;&gt;"",BM16=""),AND(CO16&gt;=CT$29,CP16&gt;=CT$33,CO16&lt;&gt;"",CN16=""),AND(CR16&gt;=CT$29,CS16&gt;=CT$33,CR16&lt;&gt;""),AND(DQ16&gt;=DV$29,DR16&gt;=DV$33,DQ16&lt;&gt;""),AND(DT16&gt;=DV$29,DU16&gt;=DV$33,DT16&lt;&gt;""),AND(EQ16&gt;=EV$29,ER16&gt;=EV$33,EQ16&lt;&gt;""),AND(ET16&gt;=EV$29,EU16&gt;=EV$33,ET16&lt;&gt;""),AND(FQ16&gt;=FV$29,FR16&gt;=FV$33,FQ16&lt;&gt;""),AND(FT16&gt;=FV$29,FU16&gt;=FV$33,FT16&lt;&gt;""),AND(GQ16&gt;=GV$29,GR16&gt;=GV$33,GQ16&lt;&gt;""),AND(GT16&gt;=GV$29,GU16&gt;=GV$33,GT16&lt;&gt;""),AND(HQ16&gt;=HV$29,HR16&gt;=HV$33,HQ16&lt;&gt;""),AND(HT16&gt;=HV$29,HU16&gt;=HV$33,HT16&lt;&gt;""),AND(IQ16&gt;=IV$29,IR16&gt;=IV$33,IQ16&lt;&gt;""),AND(IT16&gt;=IV$29,IU16&gt;=IV$33,IT16&lt;&gt;""),AND(JQ16&gt;=JV$29,JR16&gt;=JV$33,JQ16&lt;&gt;""),AND(JT16&gt;=JV$29,JU16&gt;=JV$33,JT16&lt;&gt;""),AND(KQ16&gt;=KV$29,KR16&gt;=KV$33,KQ16&lt;&gt;""),AND(KT16&gt;=KV$29,KU16&gt;=KV$33,KT16&lt;&gt;""),AND(LQ16&gt;=LV$29,LR16&gt;=LV$33,LQ16&lt;&gt;""),AND(LT16&gt;=LV$29,LU16&gt;=LV$33,LT16&lt;&gt;""),AND(MQ16&gt;=MV$29,MR16&gt;=MV$33,MQ16&lt;&gt;""),AND(MT16&gt;=MV$29,MU16&gt;=MV$33,MT16&lt;&gt;""),AND(NQ16&gt;=NV$29,NR16&gt;=NV$33,NQ16&lt;&gt;""),AND(NT16&gt;=NV$29,NU16&gt;=NV$33,NT16&lt;&gt;""),AND(OQ16&gt;=OV$29,OR16&gt;=OV$33,OQ16&lt;&gt;""),AND(OT16&gt;=OV$29,OU16&gt;=OV$33,OT16&lt;&gt;"")),"Merit",IF(OR(AND(AM16&gt;=AR$28,AN16&gt;=AR$32,AM16&lt;&gt;"",AL16=""),AND(AP16&gt;=AR$28,AQ16&gt;=AR$32,AP16&lt;&gt;"",AL16=""),AND(BN16&gt;=BS$28,BO16&gt;=BS$32,BN16&lt;&gt;"",BM16=""),AND(BQ16&gt;=BS$28,BR16&gt;=BS$32,BQ16&lt;&gt;"",BM16=""),AND(CO16&gt;=CT$28,CP16&gt;=CT$32,CO16&lt;&gt;"",CN16=""),AND(CR16&gt;=CT$28,CS16&gt;=CT$32,CR16&lt;&gt;""),AND(DQ16&gt;=DV$28,DR16&gt;=DV$32,DQ16&lt;&gt;""),AND(DT16&gt;=DV$28,DU16&gt;=DV$32,DT16&lt;&gt;""),AND(EQ16&gt;=EV$28,ER16&gt;=EV$32,EQ16&lt;&gt;""),AND(ET16&gt;=EV$28,EU16&gt;=EV$32,ET16&lt;&gt;""),AND(FQ16&gt;=FV$28,FR16&gt;=FV$32,FQ16&lt;&gt;""),AND(FT16&gt;=FV$28,FU16&gt;=FV$32,FT16&lt;&gt;""),AND(GQ16&gt;=GV$28,GR16&gt;=GV$32,GQ16&lt;&gt;""),AND(GT16&gt;=GV$28,GU16&gt;=GV$32,GT16&lt;&gt;""),AND(HQ16&gt;=HV$28,HR16&gt;=HV$32,HQ16&lt;&gt;""),AND(HT16&gt;=HV$28,HU16&gt;=HV$32,HT16&lt;&gt;""),AND(IQ16&gt;=IV$28,IR16&gt;=IV$32,IQ16&lt;&gt;""),AND(IT16&gt;=IV$28,IU16&gt;=IV$32,IT16&lt;&gt;""),AND(JQ16&gt;=JV$28,JR16&gt;=JV$32,JQ16&lt;&gt;""),AND(JT16&gt;=JV$28,JU16&gt;=JV$32,JT16&lt;&gt;""),AND(KQ16&gt;=KV$28,KR16&gt;=KV$32,KQ16&lt;&gt;""),AND(KT16&gt;=KV$28,KU16&gt;=KV$32,KT16&lt;&gt;""),AND(LQ16&gt;=LV$28,LR16&gt;=LV$32,LQ16&lt;&gt;""),AND(LT16&gt;=LV$28,LU16&gt;=LV$32,LT16&lt;&gt;""),AND(MQ16&gt;=MV$28,MR16&gt;=MV$32,MQ16&lt;&gt;""),AND(MT16&gt;=MV$28,MU16&gt;=MV$32,MT16&lt;&gt;""),AND(NQ16&gt;=NV$28,NR16&gt;=NV$32,NQ16&lt;&gt;""),AND(NT16&gt;=NV$28,NU16&gt;=NV$32,NT16&lt;&gt;""),AND(OQ16&gt;=OV$28,OR16&gt;=OV$32,OQ16&lt;&gt;""),AND(OT16&gt;=OV$28,OU16&gt;=OV$32,OT16&lt;&gt;"")),"Excellence",IF(F16="P","National Team",""))))</f>
        <v/>
      </c>
      <c r="I16" s="14">
        <f>IF(COUNT(AN16,BO16,CP16)&gt;0,LARGE((AN16,BO16,CP16),1),0)</f>
        <v>38.299999999999997</v>
      </c>
      <c r="J16" s="14" t="str">
        <f>IF(I16=0,"",IF(I16=CP16,$BT$1,IF(I16=BO16,$AS$1,IF(I16=AN16,$R$1,""))))</f>
        <v>2022 Nationals</v>
      </c>
      <c r="K16" s="14">
        <f>IF(COUNT(AN16,BO16,CP16)&gt;1,LARGE((AN16,BO16,CP16),2),0)</f>
        <v>37.959999999999994</v>
      </c>
      <c r="L16" s="14" t="str">
        <f>IF(K16=0,"",IF(K16=CP16,$BT$1,IF(K16=BO16,$AS$1,IF(K16=AN16,$R$1,""))))</f>
        <v>2022 Elite Canada</v>
      </c>
      <c r="M16" s="14">
        <f>IF(MAX(AQ16,BR16,CS16)&gt;0,MAX(AQ16,BR16,CS16),0)</f>
        <v>39.78</v>
      </c>
      <c r="N16" s="14" t="str">
        <f>IF(M16=0,"",IF(M16=CS16,$BT$1,IF(M16=BR16,$AS$1,IF(M16=AQ16,$R$1,""))))</f>
        <v>2022 Elite Canada</v>
      </c>
      <c r="O16" s="14" t="str">
        <f>IF(MAX(CU16:CV16)&gt;0,MAX(CU16:CV16),"")</f>
        <v/>
      </c>
      <c r="P16" s="19" t="str">
        <f>IF(O16="","",IF(O16=CU16,"("&amp;CU$2&amp;")",IF(O16=CV16,"("&amp;CV$2&amp;")")))</f>
        <v/>
      </c>
      <c r="Q16" s="14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6">
        <v>16.559999999999999</v>
      </c>
      <c r="S16" s="26">
        <v>2.8</v>
      </c>
      <c r="T16" s="26">
        <v>0.2</v>
      </c>
      <c r="U16" s="26">
        <v>0.3</v>
      </c>
      <c r="V16" s="26">
        <v>17</v>
      </c>
      <c r="W16" s="26">
        <v>3.2</v>
      </c>
      <c r="X16" s="26">
        <v>2</v>
      </c>
      <c r="Y16" s="26">
        <v>0.3</v>
      </c>
      <c r="Z16" s="26"/>
      <c r="AA16" s="26"/>
      <c r="AB16" s="26"/>
      <c r="AC16" s="26"/>
      <c r="AD16" s="26">
        <v>16.579999999999998</v>
      </c>
      <c r="AE16" s="26">
        <v>2.8</v>
      </c>
      <c r="AF16" s="26">
        <v>0.2</v>
      </c>
      <c r="AG16" s="26">
        <v>0.3</v>
      </c>
      <c r="AH16" s="26">
        <v>16.8</v>
      </c>
      <c r="AI16" s="26">
        <v>3.2</v>
      </c>
      <c r="AJ16" s="26">
        <v>0</v>
      </c>
      <c r="AK16" s="26">
        <v>0.3</v>
      </c>
      <c r="AL16" s="44"/>
      <c r="AM16" s="78">
        <f>IF(SUM(S16,W16)&gt;0,SUM(S16,W16),"")</f>
        <v>6</v>
      </c>
      <c r="AN16" s="78">
        <f>IF(SUM(R16:S16,U16:W16,Y16)-T16-X16&gt;0,SUM(R16:S16,U16:W16,Y16)-T16-X16,"")</f>
        <v>37.959999999999994</v>
      </c>
      <c r="AO16" s="78" t="str">
        <f>IF(SUM(Z16:AA16,AC16)-AB16&gt;0,SUM(Z16:AA16,AC16)-AB16,"")</f>
        <v/>
      </c>
      <c r="AP16" s="78">
        <f>IF(SUM(AE16,AI16)&gt;0,SUM(AE16,AI16),"")</f>
        <v>6</v>
      </c>
      <c r="AQ16" s="78">
        <f>IF(SUM(AD16:AE16,AG16:AI16,AK16)-SUM(AF16,AJ16)&gt;0,SUM(AD16:AE16,AG16:AI16,AK16)-SUM(AF16,AJ16),"")</f>
        <v>39.78</v>
      </c>
      <c r="AR16" s="78">
        <f>IF(SUM(AN16,AQ16)&gt;0,SUM(AN16,AQ16),"")</f>
        <v>77.739999999999995</v>
      </c>
      <c r="AS16" s="25">
        <v>16.7</v>
      </c>
      <c r="AT16" s="25">
        <v>1.2</v>
      </c>
      <c r="AU16" s="25">
        <v>0</v>
      </c>
      <c r="AV16" s="25">
        <v>0</v>
      </c>
      <c r="AW16" s="25">
        <v>16.899999999999999</v>
      </c>
      <c r="AX16" s="25">
        <v>3.2</v>
      </c>
      <c r="AY16" s="25">
        <v>0</v>
      </c>
      <c r="AZ16" s="25">
        <v>0.3</v>
      </c>
      <c r="BA16" s="25"/>
      <c r="BB16" s="25"/>
      <c r="BC16" s="25"/>
      <c r="BD16" s="25"/>
      <c r="BE16" s="25">
        <v>15.7</v>
      </c>
      <c r="BF16" s="25">
        <v>3.2</v>
      </c>
      <c r="BG16" s="25">
        <v>0</v>
      </c>
      <c r="BH16" s="25">
        <v>0</v>
      </c>
      <c r="BI16" s="25">
        <v>16.600000000000001</v>
      </c>
      <c r="BJ16" s="25">
        <v>3.2</v>
      </c>
      <c r="BK16" s="25">
        <v>0</v>
      </c>
      <c r="BL16" s="25">
        <v>0.3</v>
      </c>
      <c r="BM16" s="45"/>
      <c r="BN16" s="19">
        <f>IF(SUM(AT16,AX16)&gt;0,SUM(AT16,AX16),"")</f>
        <v>4.4000000000000004</v>
      </c>
      <c r="BO16" s="19">
        <f>IF(SUM(AS16:AT16,AV16:AX16,AZ16)-AU16-AY16&gt;0,SUM(AS16:AT16,AV16:AX16,AZ16)-AU16-AY16,"")</f>
        <v>38.299999999999997</v>
      </c>
      <c r="BP16" s="19" t="str">
        <f>IF(SUM(BA16:BB16,BD16)-BC16&gt;0,SUM(BA16:BB16,BD16)-BC16,"")</f>
        <v/>
      </c>
      <c r="BQ16" s="19">
        <f>IF(SUM(BF16,BJ16)&gt;0,SUM(BF16,BJ16),"")</f>
        <v>6.4</v>
      </c>
      <c r="BR16" s="19">
        <f>IF(SUM(BE16:BF16,BH16:BJ16,BL16)-SUM(BG16,BK16)&gt;0,SUM(BE16:BF16,BH16:BJ16,BL16)-SUM(BG16,BK16),"")</f>
        <v>39</v>
      </c>
      <c r="BS16" s="19">
        <f>IF(SUM(BO16,BR16)&gt;0,SUM(BO16,BR16),"")</f>
        <v>77.3</v>
      </c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44"/>
      <c r="CO16" s="78" t="str">
        <f>IF(SUM(BU16,BY16)&gt;0,SUM(BU16,BY16),"")</f>
        <v/>
      </c>
      <c r="CP16" s="78" t="str">
        <f>IF(SUM(BT16:BU16,BW16:BY16,CA16)-BV16-BZ16&gt;0,SUM(BT16:BU16,BW16:BY16,CA16)-BV16-BZ16,"")</f>
        <v/>
      </c>
      <c r="CQ16" s="78" t="str">
        <f>IF(SUM(CB16:CC16,CE16)-CD16&gt;0,SUM(CB16:CC16,CE16)-CD16,"")</f>
        <v/>
      </c>
      <c r="CR16" s="78" t="str">
        <f>IF(SUM(CG16,CK16)&gt;0,SUM(CG16,CK16),"")</f>
        <v/>
      </c>
      <c r="CS16" s="78" t="str">
        <f>IF(SUM(CF16:CG16,CI16:CK16,CM16)-SUM(CH16,CL16)&gt;0,SUM(CF16:CG16,CI16:CK16,CM16)-SUM(CH16,CL16),"")</f>
        <v/>
      </c>
      <c r="CT16" s="78" t="str">
        <f>IF(SUM(CP16,CS16)&gt;0,SUM(CP16,CS16),"")</f>
        <v/>
      </c>
      <c r="CU16" s="79" t="str">
        <f>IF(K16&gt;=0.001,IF(MAX(DR16,ER16,FR16,GR16,HR16,IR16,JR16,KR16,LR16,MR16,NR16,OR16)-IF(K16="",0,K16)&gt;0.001,MAX(DR16,ER16,FR16,GR16,HR16,IR16,JR16,KR16,LR16,MR16,NR16,OR16)-IF(K16="",0,K16),""),"")</f>
        <v/>
      </c>
      <c r="CV16" s="79" t="str">
        <f>IF(M16&gt;=0.001,IF(MAX(DU16,EU16,FU16,GU16,HU16,IU16,JU16,KU16,LU16,MU16,NU16,OU16)-IF(M16="",0,M16)&gt;0.001,MAX(DU16,EU16,FU16,GU16,HU16,IU16,JU16,KU16,LU16,MU16,NU16,OU16)-IF(M16="",0,M16),""),"")</f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>IF(SUM(CX16,DB16)&gt;0,SUM(CX16,DB16),"")</f>
        <v/>
      </c>
      <c r="DR16" s="78" t="str">
        <f>IF(SUM(CW16:CX16,CZ16:DB16,DD16)-CY16-DC16&gt;0,SUM(CW16:CX16,CZ16:DB16,DD16)-CY16-DC16,"")</f>
        <v/>
      </c>
      <c r="DS16" s="78" t="str">
        <f>IF(SUM(DE16:DF16,DH16)-DG16&gt;0,SUM(DE16:DF16,DH16)-DG16,"")</f>
        <v/>
      </c>
      <c r="DT16" s="78" t="str">
        <f>IF(SUM(DJ16,DN16)&gt;0,SUM(DJ16,DN16),"")</f>
        <v/>
      </c>
      <c r="DU16" s="78" t="str">
        <f>IF(SUM(DI16:DJ16,DL16:DN16,DP16)-SUM(DK16,DO16)&gt;0,SUM(DI16:DJ16,DL16:DN16,DP16)-SUM(DK16,DO16),"")</f>
        <v/>
      </c>
      <c r="DV16" s="78" t="str">
        <f>IF(SUM(DR16,DU16)&gt;0,SUM(DR16,DU16),"")</f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>IF(SUM(DX16,EB16)&gt;0,SUM(DX16,EB16),"")</f>
        <v/>
      </c>
      <c r="ER16" s="19" t="str">
        <f>IF(SUM(DW16:DX16,DZ16:EB16,ED16)-DY16-EC16&gt;0,SUM(DW16:DX16,DZ16:EB16,ED16)-DY16-EC16,"")</f>
        <v/>
      </c>
      <c r="ES16" s="19" t="str">
        <f>IF(SUM(EE16:EF16,EH16)-EG16&gt;0,SUM(EE16:EF16,EH16)-EG16,"")</f>
        <v/>
      </c>
      <c r="ET16" s="19" t="str">
        <f>IF(SUM(EJ16,EN16)&gt;0,SUM(EJ16,EN16),"")</f>
        <v/>
      </c>
      <c r="EU16" s="19" t="str">
        <f>IF(SUM(EI16:EJ16,EL16:EN16,EP16)-SUM(EK16,EO16)&gt;0,SUM(EI16:EJ16,EL16:EN16,EP16)-SUM(EK16,EO16),"")</f>
        <v/>
      </c>
      <c r="EV16" s="19" t="str">
        <f>IF(SUM(ER16,EU16)&gt;0,SUM(ER16,EU16),"")</f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>IF(SUM(EX16,FB16)&gt;0,SUM(EX16,FB16),"")</f>
        <v/>
      </c>
      <c r="FR16" s="78" t="str">
        <f>IF(SUM(EW16:EX16,EZ16:FB16,FD16)-EY16-FC16&gt;0,SUM(EW16:EX16,EZ16:FB16,FD16)-EY16-FC16,"")</f>
        <v/>
      </c>
      <c r="FS16" s="78" t="str">
        <f>IF(SUM(FE16:FF16,FH16)-FG16&gt;0,SUM(FE16:FF16,FH16)-FG16,"")</f>
        <v/>
      </c>
      <c r="FT16" s="78" t="str">
        <f>IF(SUM(FJ16,FN16)&gt;0,SUM(FJ16,FN16),"")</f>
        <v/>
      </c>
      <c r="FU16" s="78" t="str">
        <f>IF(SUM(FI16:FJ16,FL16:FN16,FP16)-SUM(FK16,FO16)&gt;0,SUM(FI16:FJ16,FL16:FN16,FP16)-SUM(FK16,FO16),"")</f>
        <v/>
      </c>
      <c r="FV16" s="78" t="str">
        <f>IF(SUM(FR16,FU16)&gt;0,SUM(FR16,FU16),"")</f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>IF(SUM(FX16,GB16)&gt;0,SUM(FX16,GB16),"")</f>
        <v/>
      </c>
      <c r="GR16" s="19" t="str">
        <f>IF(SUM(FW16:FX16,FZ16:GB16,GD16)-FY16-GC16&gt;0,SUM(FW16:FX16,FZ16:GB16,GD16)-FY16-GC16,"")</f>
        <v/>
      </c>
      <c r="GS16" s="19" t="str">
        <f>IF(SUM(GE16:GF16,GH16)-GG16&gt;0,SUM(GE16:GF16,GH16)-GG16,"")</f>
        <v/>
      </c>
      <c r="GT16" s="19" t="str">
        <f>IF(SUM(GJ16,GN16)&gt;0,SUM(GJ16,GN16),"")</f>
        <v/>
      </c>
      <c r="GU16" s="19" t="str">
        <f>IF(SUM(GI16:GJ16,GL16:GN16,GP16)-SUM(GK16,GO16)&gt;0,SUM(GI16:GJ16,GL16:GN16,GP16)-SUM(GK16,GO16),"")</f>
        <v/>
      </c>
      <c r="GV16" s="19" t="str">
        <f>IF(SUM(GR16,GU16)&gt;0,SUM(GR16,GU16),"")</f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>IF(SUM(GX16,HB16)&gt;0,SUM(GX16,HB16),"")</f>
        <v/>
      </c>
      <c r="HR16" s="78" t="str">
        <f>IF(SUM(GW16:GX16,GZ16:HB16,HD16)-GY16-HC16&gt;0,SUM(GW16:GX16,GZ16:HB16,HD16)-GY16-HC16,"")</f>
        <v/>
      </c>
      <c r="HS16" s="78" t="str">
        <f>IF(SUM(HE16:HF16,HH16)-HG16&gt;0,SUM(HE16:HF16,HH16)-HG16,"")</f>
        <v/>
      </c>
      <c r="HT16" s="78" t="str">
        <f>IF(SUM(HJ16,HN16)&gt;0,SUM(HJ16,HN16),"")</f>
        <v/>
      </c>
      <c r="HU16" s="78" t="str">
        <f>IF(SUM(HI16:HJ16,HL16:HN16,HP16)-SUM(HK16,HO16)&gt;0,SUM(HI16:HJ16,HL16:HN16,HP16)-SUM(HK16,HO16),"")</f>
        <v/>
      </c>
      <c r="HV16" s="78" t="str">
        <f>IF(SUM(HR16,HU16)&gt;0,SUM(HR16,HU16),"")</f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>IF(SUM(HX16,IB16)&gt;0,SUM(HX16,IB16),"")</f>
        <v/>
      </c>
      <c r="IR16" s="19" t="str">
        <f>IF(SUM(HW16:HX16,HZ16:IB16,ID16)-HY16-IC16&gt;0,SUM(HW16:HX16,HZ16:IB16,ID16)-HY16-IC16,"")</f>
        <v/>
      </c>
      <c r="IS16" s="19" t="str">
        <f>IF(SUM(IE16:IF16,IH16)-IG16&gt;0,SUM(IE16:IF16,IH16)-IG16,"")</f>
        <v/>
      </c>
      <c r="IT16" s="19" t="str">
        <f>IF(SUM(IJ16,IN16)&gt;0,SUM(IJ16,IN16),"")</f>
        <v/>
      </c>
      <c r="IU16" s="19" t="str">
        <f>IF(SUM(II16:IJ16,IL16:IN16,IP16)-SUM(IK16,IO16)&gt;0,SUM(II16:IJ16,IL16:IN16,IP16)-SUM(IK16,IO16),"")</f>
        <v/>
      </c>
      <c r="IV16" s="19" t="str">
        <f>IF(SUM(IR16,IU16)&gt;0,SUM(IR16,IU16),"")</f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>IF(SUM(IX16,JB16)&gt;0,SUM(IX16,JB16),"")</f>
        <v/>
      </c>
      <c r="JR16" s="78" t="str">
        <f>IF(SUM(IW16:IX16,IZ16:JB16,JD16)-IY16-JC16&gt;0,SUM(IW16:IX16,IZ16:JB16,JD16)-IY16-JC16,"")</f>
        <v/>
      </c>
      <c r="JS16" s="78" t="str">
        <f>IF(SUM(JE16:JF16,JH16)-JG16&gt;0,SUM(JE16:JF16,JH16)-JG16,"")</f>
        <v/>
      </c>
      <c r="JT16" s="78" t="str">
        <f>IF(SUM(JJ16,JN16)&gt;0,SUM(JJ16,JN16),"")</f>
        <v/>
      </c>
      <c r="JU16" s="78" t="str">
        <f>IF(SUM(JI16:JJ16,JL16:JN16,JP16)-SUM(JK16,JO16)&gt;0,SUM(JI16:JJ16,JL16:JN16,JP16)-SUM(JK16,JO16),"")</f>
        <v/>
      </c>
      <c r="JV16" s="78" t="str">
        <f>IF(SUM(JR16,JU16)&gt;0,SUM(JR16,JU16),"")</f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>IF(SUM(JX16,KB16)&gt;0,SUM(JX16,KB16),"")</f>
        <v/>
      </c>
      <c r="KR16" s="19" t="str">
        <f>IF(SUM(JW16:JX16,JZ16:KB16,KD16)-JY16-KC16&gt;0,SUM(JW16:JX16,JZ16:KB16,KD16)-JY16-KC16,"")</f>
        <v/>
      </c>
      <c r="KS16" s="19" t="str">
        <f>IF(SUM(KE16:KF16,KH16)-KG16&gt;0,SUM(KE16:KF16,KH16)-KG16,"")</f>
        <v/>
      </c>
      <c r="KT16" s="19" t="str">
        <f>IF(SUM(KJ16,KN16)&gt;0,SUM(KJ16,KN16),"")</f>
        <v/>
      </c>
      <c r="KU16" s="19" t="str">
        <f>IF(SUM(KI16:KJ16,KL16:KN16,KP16)-SUM(KK16,KO16)&gt;0,SUM(KI16:KJ16,KL16:KN16,KP16)-SUM(KK16,KO16),"")</f>
        <v/>
      </c>
      <c r="KV16" s="19" t="str">
        <f>IF(SUM(KR16,KU16)&gt;0,SUM(KR16,KU16),"")</f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>IF(SUM(KX16,LB16)&gt;0,SUM(KX16,LB16),"")</f>
        <v/>
      </c>
      <c r="LR16" s="78" t="str">
        <f>IF(SUM(KW16:KX16,KZ16:LB16,LD16)-KY16-LC16&gt;0,SUM(KW16:KX16,KZ16:LB16,LD16)-KY16-LC16,"")</f>
        <v/>
      </c>
      <c r="LS16" s="78" t="str">
        <f>IF(SUM(LE16:LF16,LH16)-LG16&gt;0,SUM(LE16:LF16,LH16)-LG16,"")</f>
        <v/>
      </c>
      <c r="LT16" s="78" t="str">
        <f>IF(SUM(LJ16,LN16)&gt;0,SUM(LJ16,LN16),"")</f>
        <v/>
      </c>
      <c r="LU16" s="78" t="str">
        <f>IF(SUM(LI16:LJ16,LL16:LN16,LP16)-SUM(LK16,LO16)&gt;0,SUM(LI16:LJ16,LL16:LN16,LP16)-SUM(LK16,LO16),"")</f>
        <v/>
      </c>
      <c r="LV16" s="78" t="str">
        <f>IF(SUM(LR16,LU16)&gt;0,SUM(LR16,LU16),"")</f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>IF(SUM(LX16,MB16)&gt;0,SUM(LX16,MB16),"")</f>
        <v/>
      </c>
      <c r="MR16" s="19" t="str">
        <f>IF(SUM(LW16:LX16,LZ16:MB16,MD16)-LY16-MC16&gt;0,SUM(LW16:LX16,LZ16:MB16,MD16)-LY16-MC16,"")</f>
        <v/>
      </c>
      <c r="MS16" s="19" t="str">
        <f>IF(SUM(ME16:MF16,MH16)-MG16&gt;0,SUM(ME16:MF16,MH16)-MG16,"")</f>
        <v/>
      </c>
      <c r="MT16" s="19" t="str">
        <f>IF(SUM(MJ16,MN16)&gt;0,SUM(MJ16,MN16),"")</f>
        <v/>
      </c>
      <c r="MU16" s="19" t="str">
        <f>IF(SUM(MI16:MJ16,ML16:MN16,MP16)-SUM(MK16,MO16)&gt;0,SUM(MI16:MJ16,ML16:MN16,MP16)-SUM(MK16,MO16),"")</f>
        <v/>
      </c>
      <c r="MV16" s="19" t="str">
        <f>IF(SUM(MR16,MU16)&gt;0,SUM(MR16,MU16),"")</f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>IF(SUM(MX16,NB16)&gt;0,SUM(MX16,NB16),"")</f>
        <v/>
      </c>
      <c r="NR16" s="78" t="str">
        <f>IF(SUM(MW16:MX16,MZ16:NB16,ND16)-MY16-NC16&gt;0,SUM(MW16:MX16,MZ16:NB16,ND16)-MY16-NC16,"")</f>
        <v/>
      </c>
      <c r="NS16" s="78" t="str">
        <f>IF(SUM(NE16:NF16,NH16)-NG16&gt;0,SUM(NE16:NF16,NH16)-NG16,"")</f>
        <v/>
      </c>
      <c r="NT16" s="78" t="str">
        <f>IF(SUM(NJ16,NN16)&gt;0,SUM(NJ16,NN16),"")</f>
        <v/>
      </c>
      <c r="NU16" s="78" t="str">
        <f>IF(SUM(NI16:NJ16,NL16:NN16,NP16)-SUM(NK16,NO16)&gt;0,SUM(NI16:NJ16,NL16:NN16,NP16)-SUM(NK16,NO16),"")</f>
        <v/>
      </c>
      <c r="NV16" s="78" t="str">
        <f>IF(SUM(NR16,NU16)&gt;0,SUM(NR16,NU16),"")</f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>IF(SUM(NX16,OB16)&gt;0,SUM(NX16,OB16),"")</f>
        <v/>
      </c>
      <c r="OR16" s="19" t="str">
        <f>IF(SUM(NW16:NX16,NZ16:OB16,OD16)-NY16-OC16&gt;0,SUM(NW16:NX16,NZ16:OB16,OD16)-NY16-OC16,"")</f>
        <v/>
      </c>
      <c r="OS16" s="19" t="str">
        <f>IF(SUM(OE16:OF16,OH16)-OG16&gt;0,SUM(OE16:OF16,OH16)-OG16,"")</f>
        <v/>
      </c>
      <c r="OT16" s="19" t="str">
        <f>IF(SUM(OJ16,ON16)&gt;0,SUM(OJ16,ON16),"")</f>
        <v/>
      </c>
      <c r="OU16" s="19" t="str">
        <f>IF(SUM(OI16:OJ16,OL16:ON16,OP16)-SUM(OK16,OO16)&gt;0,SUM(OI16:OJ16,OL16:ON16,OP16)-SUM(OK16,OO16),"")</f>
        <v/>
      </c>
      <c r="OV16" s="19" t="str">
        <f>IF(SUM(OR16,OU16)&gt;0,SUM(OR16,OU16),"")</f>
        <v/>
      </c>
      <c r="OW16" s="37">
        <f>IF($CN16="P",BT16,(BT16+AS16)/2)</f>
        <v>8.35</v>
      </c>
      <c r="OX16" s="37">
        <f>IF($CN16="P",BU16,(BU16+AT16)/2)</f>
        <v>0.6</v>
      </c>
      <c r="OY16" s="37">
        <f>IF($CN16="P",BV16,(BV16+AU16)/2)</f>
        <v>0</v>
      </c>
      <c r="OZ16" s="37">
        <f>IF($CN16="P",BW16,(BW16+AV16)/2)</f>
        <v>0</v>
      </c>
      <c r="PA16" s="37">
        <f>IF($CN16="P",BX16,(BX16+AW16)/2)</f>
        <v>8.4499999999999993</v>
      </c>
      <c r="PB16" s="37">
        <f>IF($CN16="P",BY16,(BY16+AX16)/2)</f>
        <v>1.6</v>
      </c>
      <c r="PC16" s="37">
        <f>IF($CN16="P",BZ16,(BZ16+AY16)/2)</f>
        <v>0</v>
      </c>
      <c r="PD16" s="37">
        <f>IF($CN16="P",CA16,(CA16+AZ16)/2)</f>
        <v>0.15</v>
      </c>
      <c r="PE16" s="37">
        <f>IF($CN16="P",CB16,(CB16+BA16)/2)</f>
        <v>0</v>
      </c>
      <c r="PF16" s="37">
        <f>IF($CN16="P",CC16,(CC16+BB16)/2)</f>
        <v>0</v>
      </c>
      <c r="PG16" s="37">
        <f>IF($CN16="P",CD16,(CD16+BC16)/2)</f>
        <v>0</v>
      </c>
      <c r="PH16" s="37">
        <f>IF($CN16="P",CE16,(CE16+BD16)/2)</f>
        <v>0</v>
      </c>
      <c r="PI16" s="37">
        <f>IF($CN16="P",CF16,(CF16+BE16)/2)</f>
        <v>7.85</v>
      </c>
      <c r="PJ16" s="37">
        <f>IF($CN16="P",CG16,(CG16+BF16)/2)</f>
        <v>1.6</v>
      </c>
      <c r="PK16" s="37">
        <f>IF($CN16="P",CH16,(CH16+BG16)/2)</f>
        <v>0</v>
      </c>
      <c r="PL16" s="37">
        <f>IF($CN16="P",CI16,(CI16+BH16)/2)</f>
        <v>0</v>
      </c>
      <c r="PM16" s="37">
        <f>IF($CN16="P",CJ16,(CJ16+BI16)/2)</f>
        <v>8.3000000000000007</v>
      </c>
      <c r="PN16" s="37">
        <f>IF($CN16="P",CK16,(CK16+BJ16)/2)</f>
        <v>1.6</v>
      </c>
      <c r="PO16" s="37">
        <f>IF($CN16="P",CL16,(CL16+BK16)/2)</f>
        <v>0</v>
      </c>
      <c r="PP16" s="37">
        <f>IF($CN16="P",CM16,(CM16+BL16)/2)</f>
        <v>0.15</v>
      </c>
      <c r="PQ16" s="44" t="s">
        <v>46</v>
      </c>
      <c r="PR16" s="78">
        <f>IF(SUM(OX16,PB16)&gt;0,SUM(OX16,PB16),"")</f>
        <v>2.2000000000000002</v>
      </c>
      <c r="PS16" s="78">
        <f>IF(SUM(OW16:OX16,OZ16:PB16,PD16)-OY16-PC16&gt;0,SUM(OW16:OX16,OZ16:PB16,PD16)-OY16-PC16,"")</f>
        <v>19.149999999999999</v>
      </c>
      <c r="PT16" s="78" t="str">
        <f>IF(SUM(PE16:PF16,PH16)-PG16&gt;0,SUM(PE16:PF16,PH16)-PG16,"")</f>
        <v/>
      </c>
      <c r="PU16" s="78">
        <f>IF(SUM(PJ16,PN16)&gt;0,SUM(PJ16,PN16),"")</f>
        <v>3.2</v>
      </c>
      <c r="PV16" s="78">
        <f>IF(SUM(PI16:PJ16,PL16:PN16,PP16)-SUM(PK16,PO16)&gt;0,SUM(PI16:PJ16,PL16:PN16,PP16)-SUM(PK16,PO16),"")</f>
        <v>19.5</v>
      </c>
      <c r="PW16" s="78">
        <f>IF(SUM(PS16,PV16)&gt;0,SUM(PS16,PV16),"")</f>
        <v>38.65</v>
      </c>
    </row>
    <row r="17" spans="1:439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77" t="s">
        <v>97</v>
      </c>
      <c r="C17" s="5" t="s">
        <v>5</v>
      </c>
      <c r="D17" s="5">
        <v>2001</v>
      </c>
      <c r="E17" s="15">
        <f>SUM(I17:O17)+SUM(I17:M17)*0.0000001+SUM(I17)*0.0000000000001</f>
        <v>115.72001157200395</v>
      </c>
      <c r="F17" s="3" t="str">
        <f>IF(OR(AND(AM17&gt;=AR$26,AN17&gt;=AR$30,AM17&lt;&gt;"",AL17=""),AND(AP17&gt;=AR$26,AQ17&gt;=AR$30,AP17&lt;&gt;"",AL17=""),AND(BN17&gt;=BS$26,BO17&gt;=BS$30,BN17&lt;&gt;"",BM17=""),AND(BQ17&gt;=BS$26,BR17&gt;=BS$30,BQ17&lt;&gt;"",BM17=""),AND(CO17&gt;=CT$26,CP17&gt;=CT$30,CO17&lt;&gt;"",CN17=""),AND(CR17&gt;=CT$26,CS17&gt;=CT$30,CR17&lt;&gt;""),AND(DQ17&gt;=DV$26,DR17&gt;=DV$30,DQ17&lt;&gt;""),AND(DT17&gt;=DV$26,DU17&gt;=DV$30,DT17&lt;&gt;""),AND(EQ17&gt;=EV$26,ER17&gt;=EV$30,EQ17&lt;&gt;""),AND(ET17&gt;=EV$26,EU17&gt;=EV$30,ET17&lt;&gt;""),AND(FQ17&gt;=FV$26,FR17&gt;=FV$30,FQ17&lt;&gt;""),AND(FT17&gt;=FV$26,FU17&gt;=FV$30,FT17&lt;&gt;""),AND(GQ17&gt;=GV$26,GR17&gt;=GV$30,GQ17&lt;&gt;""),AND(GT17&gt;=GV$26,GU17&gt;=GV$30,GT17&lt;&gt;""),AND(HQ17&gt;=HV$26,HR17&gt;=HV$30,HQ17&lt;&gt;""),AND(HT17&gt;=HV$26,HU17&gt;=HV$30,HT17&lt;&gt;""),AND(IQ17&gt;=IV$26,IR17&gt;=IV$30,IQ17&lt;&gt;""),AND(IT17&gt;=IV$26,IU17&gt;=IV$30,IT17&lt;&gt;""),AND(JQ17&gt;=JV$26,JR17&gt;=JV$30,JQ17&lt;&gt;""),AND(JT17&gt;=JV$26,JU17&gt;=JV$30,JT17&lt;&gt;""),AND(KQ17&gt;=KV$26,KR17&gt;=KV$30,KQ17&lt;&gt;""),AND(KT17&gt;=KV$26,KU17&gt;=KV$30,KT17&lt;&gt;""),AND(LQ17&gt;=LV$26,LR17&gt;=LV$30,LQ17&lt;&gt;""),AND(LT17&gt;=LV$26,LU17&gt;=LV$30,LT17&lt;&gt;""),AND(MQ17&gt;=MV$26,MR17&gt;=MV$30,MQ17&lt;&gt;""),AND(MT17&gt;=MV$26,MU17&gt;=MV$30,MT17&lt;&gt;""),AND(NQ17&gt;=NV$26,NR17&gt;=NV$30,NQ17&lt;&gt;""),AND(NT17&gt;=NV$26,NU17&gt;=NV$30,NT17&lt;&gt;""),AND(OQ17&gt;=OV$26,OR17&gt;=OV$30,OQ17&lt;&gt;""),AND(OT17&gt;=OV$26,OU17&gt;=OV$30,OT17&lt;&gt;"")),"P","")</f>
        <v/>
      </c>
      <c r="G17" s="3" t="str">
        <f>IF(OR(AND(AN17&gt;=AR$30,AN17&lt;&gt;"",AL17=""),AND(AQ17&gt;=AR$30,AQ17&lt;&gt;"",AL17=""),AND(BO17&gt;=BS$30,BO17&lt;&gt;"",BM17=""),AND(BR17&gt;=BS$30,BR17&lt;&gt;"",BM17=""),AND(CP17&gt;=CT$30,CP17&lt;&gt;"",CN17=""),AND(CS17&gt;=CT$30,CS17&lt;&gt;"",CN17=""),AND(DR17&gt;=DV$30,DR17&lt;&gt;""),AND(DU17&gt;=DV$30,DU17&lt;&gt;""),AND(ER17&gt;=EV$30,ER17&lt;&gt;""),AND(EU17&gt;=EV$30,EU17&lt;&gt;""),AND(FR17&gt;=FV$30,FR17&lt;&gt;""),AND(FU17&gt;=FV$30,FU17&lt;&gt;""),AND(GR17&gt;=GV$30,GR17&lt;&gt;""),AND(GU17&gt;=GV$30,GU17&lt;&gt;""),AND(HR17&gt;=HV$30,HR17&lt;&gt;""),AND(HU17&gt;=HV$30,HU17&lt;&gt;""),AND(IR17&gt;=IV$30,IR17&lt;&gt;""),AND(IU17&gt;=IV$30,IU17&lt;&gt;""),AND(JR17&gt;=JV$30,JR17&lt;&gt;""),AND(JU17&gt;=JV$30,JU17&lt;&gt;""),AND(KR17&gt;=KV$30,KR17&lt;&gt;""),AND(KU17&gt;=KV$30,KU17&lt;&gt;""),AND(LR17&gt;=LV$30,LR17&lt;&gt;""),AND(LU17&gt;=LV$30,LU17&lt;&gt;""),AND(MR17&gt;=MV$30,MR17&lt;&gt;""),AND(MU17&gt;=MV$30,MU17&lt;&gt;""),AND(NR17&gt;=NV$30,NR17&lt;&gt;""),AND(NU17&gt;=NV$30,NU17&lt;&gt;""),AND(OR17&gt;=OV$30,OR17&lt;&gt;""),AND(OU17&gt;=OV$30,OU17&lt;&gt;"")),"P","")</f>
        <v/>
      </c>
      <c r="H17" s="66" t="str">
        <f>IF(AND(G17="P",F17=""),"No DD",IF(OR(AND(AM17&gt;=AR$29,AN17&gt;=AR$33,AM17&lt;&gt;"",AL17=""),AND(AP17&gt;=AR$29,AQ17&gt;=AR$33,AP17&lt;&gt;"",AL17=""),AND(BN17&gt;=BS$29,BO17&gt;=BS$33,BN17&lt;&gt;"",BM17=""),AND(BQ17&gt;=BS$29,BR17&gt;=BS$33,BQ17&lt;&gt;"",BM17=""),AND(CO17&gt;=CT$29,CP17&gt;=CT$33,CO17&lt;&gt;"",CN17=""),AND(CR17&gt;=CT$29,CS17&gt;=CT$33,CR17&lt;&gt;""),AND(DQ17&gt;=DV$29,DR17&gt;=DV$33,DQ17&lt;&gt;""),AND(DT17&gt;=DV$29,DU17&gt;=DV$33,DT17&lt;&gt;""),AND(EQ17&gt;=EV$29,ER17&gt;=EV$33,EQ17&lt;&gt;""),AND(ET17&gt;=EV$29,EU17&gt;=EV$33,ET17&lt;&gt;""),AND(FQ17&gt;=FV$29,FR17&gt;=FV$33,FQ17&lt;&gt;""),AND(FT17&gt;=FV$29,FU17&gt;=FV$33,FT17&lt;&gt;""),AND(GQ17&gt;=GV$29,GR17&gt;=GV$33,GQ17&lt;&gt;""),AND(GT17&gt;=GV$29,GU17&gt;=GV$33,GT17&lt;&gt;""),AND(HQ17&gt;=HV$29,HR17&gt;=HV$33,HQ17&lt;&gt;""),AND(HT17&gt;=HV$29,HU17&gt;=HV$33,HT17&lt;&gt;""),AND(IQ17&gt;=IV$29,IR17&gt;=IV$33,IQ17&lt;&gt;""),AND(IT17&gt;=IV$29,IU17&gt;=IV$33,IT17&lt;&gt;""),AND(JQ17&gt;=JV$29,JR17&gt;=JV$33,JQ17&lt;&gt;""),AND(JT17&gt;=JV$29,JU17&gt;=JV$33,JT17&lt;&gt;""),AND(KQ17&gt;=KV$29,KR17&gt;=KV$33,KQ17&lt;&gt;""),AND(KT17&gt;=KV$29,KU17&gt;=KV$33,KT17&lt;&gt;""),AND(LQ17&gt;=LV$29,LR17&gt;=LV$33,LQ17&lt;&gt;""),AND(LT17&gt;=LV$29,LU17&gt;=LV$33,LT17&lt;&gt;""),AND(MQ17&gt;=MV$29,MR17&gt;=MV$33,MQ17&lt;&gt;""),AND(MT17&gt;=MV$29,MU17&gt;=MV$33,MT17&lt;&gt;""),AND(NQ17&gt;=NV$29,NR17&gt;=NV$33,NQ17&lt;&gt;""),AND(NT17&gt;=NV$29,NU17&gt;=NV$33,NT17&lt;&gt;""),AND(OQ17&gt;=OV$29,OR17&gt;=OV$33,OQ17&lt;&gt;""),AND(OT17&gt;=OV$29,OU17&gt;=OV$33,OT17&lt;&gt;"")),"Merit",IF(OR(AND(AM17&gt;=AR$28,AN17&gt;=AR$32,AM17&lt;&gt;"",AL17=""),AND(AP17&gt;=AR$28,AQ17&gt;=AR$32,AP17&lt;&gt;"",AL17=""),AND(BN17&gt;=BS$28,BO17&gt;=BS$32,BN17&lt;&gt;"",BM17=""),AND(BQ17&gt;=BS$28,BR17&gt;=BS$32,BQ17&lt;&gt;"",BM17=""),AND(CO17&gt;=CT$28,CP17&gt;=CT$32,CO17&lt;&gt;"",CN17=""),AND(CR17&gt;=CT$28,CS17&gt;=CT$32,CR17&lt;&gt;""),AND(DQ17&gt;=DV$28,DR17&gt;=DV$32,DQ17&lt;&gt;""),AND(DT17&gt;=DV$28,DU17&gt;=DV$32,DT17&lt;&gt;""),AND(EQ17&gt;=EV$28,ER17&gt;=EV$32,EQ17&lt;&gt;""),AND(ET17&gt;=EV$28,EU17&gt;=EV$32,ET17&lt;&gt;""),AND(FQ17&gt;=FV$28,FR17&gt;=FV$32,FQ17&lt;&gt;""),AND(FT17&gt;=FV$28,FU17&gt;=FV$32,FT17&lt;&gt;""),AND(GQ17&gt;=GV$28,GR17&gt;=GV$32,GQ17&lt;&gt;""),AND(GT17&gt;=GV$28,GU17&gt;=GV$32,GT17&lt;&gt;""),AND(HQ17&gt;=HV$28,HR17&gt;=HV$32,HQ17&lt;&gt;""),AND(HT17&gt;=HV$28,HU17&gt;=HV$32,HT17&lt;&gt;""),AND(IQ17&gt;=IV$28,IR17&gt;=IV$32,IQ17&lt;&gt;""),AND(IT17&gt;=IV$28,IU17&gt;=IV$32,IT17&lt;&gt;""),AND(JQ17&gt;=JV$28,JR17&gt;=JV$32,JQ17&lt;&gt;""),AND(JT17&gt;=JV$28,JU17&gt;=JV$32,JT17&lt;&gt;""),AND(KQ17&gt;=KV$28,KR17&gt;=KV$32,KQ17&lt;&gt;""),AND(KT17&gt;=KV$28,KU17&gt;=KV$32,KT17&lt;&gt;""),AND(LQ17&gt;=LV$28,LR17&gt;=LV$32,LQ17&lt;&gt;""),AND(LT17&gt;=LV$28,LU17&gt;=LV$32,LT17&lt;&gt;""),AND(MQ17&gt;=MV$28,MR17&gt;=MV$32,MQ17&lt;&gt;""),AND(MT17&gt;=MV$28,MU17&gt;=MV$32,MT17&lt;&gt;""),AND(NQ17&gt;=NV$28,NR17&gt;=NV$32,NQ17&lt;&gt;""),AND(NT17&gt;=NV$28,NU17&gt;=NV$32,NT17&lt;&gt;""),AND(OQ17&gt;=OV$28,OR17&gt;=OV$32,OQ17&lt;&gt;""),AND(OT17&gt;=OV$28,OU17&gt;=OV$32,OT17&lt;&gt;"")),"Excellence",IF(F17="P","National Team",""))))</f>
        <v/>
      </c>
      <c r="I17" s="14">
        <f>IF(COUNT(AN17,BO17,CP17)&gt;0,LARGE((AN17,BO17,CP17),1),0)</f>
        <v>39.699999999999996</v>
      </c>
      <c r="J17" s="14" t="str">
        <f>IF(I17=0,"",IF(I17=CP17,$BT$1,IF(I17=BO17,$AS$1,IF(I17=AN17,$R$1,""))))</f>
        <v>2022 Elite Canada</v>
      </c>
      <c r="K17" s="14">
        <f>IF(COUNT(AN17,BO17,CP17)&gt;1,LARGE((AN17,BO17,CP17),2),0)</f>
        <v>34.499999999999993</v>
      </c>
      <c r="L17" s="14" t="str">
        <f>IF(K17=0,"",IF(K17=CP17,$BT$1,IF(K17=BO17,$AS$1,IF(K17=AN17,$R$1,""))))</f>
        <v>2022 Nationals</v>
      </c>
      <c r="M17" s="14">
        <f>IF(MAX(AQ17,BR17,CS17)&gt;0,MAX(AQ17,BR17,CS17),0)</f>
        <v>41.519999999999996</v>
      </c>
      <c r="N17" s="14" t="str">
        <f>IF(M17=0,"",IF(M17=CS17,$BT$1,IF(M17=BR17,$AS$1,IF(M17=AQ17,$R$1,""))))</f>
        <v>2022 Elite Canada</v>
      </c>
      <c r="O17" s="14" t="str">
        <f>IF(MAX(CU17:CV17)&gt;0,MAX(CU17:CV17),"")</f>
        <v/>
      </c>
      <c r="P17" s="19" t="str">
        <f>IF(O17="","",IF(O17=CU17,"("&amp;CU$2&amp;")",IF(O17=CV17,"("&amp;CV$2&amp;")")))</f>
        <v/>
      </c>
      <c r="Q17" s="14" t="str">
        <f>IF(O17="","",IF(O17=CU17,IF(O17+IF(K17="",0,K17)=OR17,$NW$1,IF(O17+IF(K17="",0,K17)=NR17,$MW$1,IF(O17+IF(K17="",0,K17)=MR17,$LW$1,IF(O17+IF(K17="",0,K17)=LR17,$KW$1,IF(O17+IF(K17="",0,K17)=KR17,$JW$1,IF(O17+IF(K17="",0,K17)=JR17,$IW$1,IF(O17+IF(K17="",0,K17)=IR17,$HW$1,IF(O17+IF(K17="",0,K17)=HR17,$GW$1,IF(O17+IF(K17="",0,K17)=GR17,$FW$1,IF(O17+IF(K17="",0,K17)=FR17,$EW$1,IF(O17+IF(K17="",0,K17)=ER17,$DW$1,IF(O17+IF(K17="",0,K17)=DR17,$CW$1)))))))))))),IF(O17=CV17,IF(O17+IF(M17="",0,M17)=OU17,$NW$1,IF(O17+IF(M17="",0,M17)=NU17,$MW$1,IF(O17+IF(M17="",0,M17)=MU17,$LW$1,IF(O17+IF(M17="",0,M17)=LU17,$KW$1,IF(O17+IF(M17="",0,M17)=KU17,$JW$1,IF(O17+IF(M17="",0,M17)=JU17,$IW$1,IF(O17+IF(M17="",0,M17)=IU17,$HW$1,IF(O17+IF(M17="",0,M17)=HU17,$GW$1,IF(O17+IF(M17="",0,M17)=GU17,$FW$1,IF(O17+IF(M17="",0,M17)=FU17,$EW$1,IF(O17+IF(M17="",0,M17)=EU17,$DW$1,IF(O17+IF(M17="",0,M17)=DU17,$CW$1)))))))))))))))</f>
        <v/>
      </c>
      <c r="R17" s="26">
        <v>14.8</v>
      </c>
      <c r="S17" s="26">
        <v>4.0999999999999996</v>
      </c>
      <c r="T17" s="26">
        <v>0</v>
      </c>
      <c r="U17" s="26">
        <v>0.3</v>
      </c>
      <c r="V17" s="26">
        <v>16.3</v>
      </c>
      <c r="W17" s="26">
        <v>3.9</v>
      </c>
      <c r="X17" s="26">
        <v>0</v>
      </c>
      <c r="Y17" s="26">
        <v>0.3</v>
      </c>
      <c r="Z17" s="26"/>
      <c r="AA17" s="26"/>
      <c r="AB17" s="26"/>
      <c r="AC17" s="26"/>
      <c r="AD17" s="26">
        <v>16.5</v>
      </c>
      <c r="AE17" s="26">
        <v>4.0999999999999996</v>
      </c>
      <c r="AF17" s="26">
        <v>0</v>
      </c>
      <c r="AG17" s="26">
        <v>0.3</v>
      </c>
      <c r="AH17" s="26">
        <v>16.62</v>
      </c>
      <c r="AI17" s="26">
        <v>3.9</v>
      </c>
      <c r="AJ17" s="26">
        <v>0.2</v>
      </c>
      <c r="AK17" s="26">
        <v>0.3</v>
      </c>
      <c r="AL17" s="44"/>
      <c r="AM17" s="78">
        <f>IF(SUM(S17,W17)&gt;0,SUM(S17,W17),"")</f>
        <v>8</v>
      </c>
      <c r="AN17" s="78">
        <f>IF(SUM(R17:S17,U17:W17,Y17)-T17-X17&gt;0,SUM(R17:S17,U17:W17,Y17)-T17-X17,"")</f>
        <v>39.699999999999996</v>
      </c>
      <c r="AO17" s="78" t="str">
        <f>IF(SUM(Z17:AA17,AC17)-AB17&gt;0,SUM(Z17:AA17,AC17)-AB17,"")</f>
        <v/>
      </c>
      <c r="AP17" s="78">
        <f>IF(SUM(AE17,AI17)&gt;0,SUM(AE17,AI17),"")</f>
        <v>8</v>
      </c>
      <c r="AQ17" s="78">
        <f>IF(SUM(AD17:AE17,AG17:AI17,AK17)-SUM(AF17,AJ17)&gt;0,SUM(AD17:AE17,AG17:AI17,AK17)-SUM(AF17,AJ17),"")</f>
        <v>41.519999999999996</v>
      </c>
      <c r="AR17" s="78">
        <f>IF(SUM(AN17,AQ17)&gt;0,SUM(AN17,AQ17),"")</f>
        <v>81.22</v>
      </c>
      <c r="AS17" s="25">
        <v>15.6</v>
      </c>
      <c r="AT17" s="25">
        <v>1.2</v>
      </c>
      <c r="AU17" s="25">
        <v>0</v>
      </c>
      <c r="AV17" s="25">
        <v>0</v>
      </c>
      <c r="AW17" s="25">
        <v>15.5</v>
      </c>
      <c r="AX17" s="25">
        <v>1.9</v>
      </c>
      <c r="AY17" s="25">
        <v>0</v>
      </c>
      <c r="AZ17" s="25">
        <v>0.3</v>
      </c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45"/>
      <c r="BN17" s="19">
        <f>IF(SUM(AT17,AX17)&gt;0,SUM(AT17,AX17),"")</f>
        <v>3.0999999999999996</v>
      </c>
      <c r="BO17" s="19">
        <f>IF(SUM(AS17:AT17,AV17:AX17,AZ17)-AU17-AY17&gt;0,SUM(AS17:AT17,AV17:AX17,AZ17)-AU17-AY17,"")</f>
        <v>34.499999999999993</v>
      </c>
      <c r="BP17" s="19" t="str">
        <f>IF(SUM(BA17:BB17,BD17)-BC17&gt;0,SUM(BA17:BB17,BD17)-BC17,"")</f>
        <v/>
      </c>
      <c r="BQ17" s="19" t="str">
        <f>IF(SUM(BF17,BJ17)&gt;0,SUM(BF17,BJ17),"")</f>
        <v/>
      </c>
      <c r="BR17" s="19" t="str">
        <f>IF(SUM(BE17:BF17,BH17:BJ17,BL17)-SUM(BG17,BK17)&gt;0,SUM(BE17:BF17,BH17:BJ17,BL17)-SUM(BG17,BK17),"")</f>
        <v/>
      </c>
      <c r="BS17" s="19">
        <f>IF(SUM(BO17,BR17)&gt;0,SUM(BO17,BR17),"")</f>
        <v>34.499999999999993</v>
      </c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44"/>
      <c r="CO17" s="78" t="str">
        <f>IF(SUM(BU17,BY17)&gt;0,SUM(BU17,BY17),"")</f>
        <v/>
      </c>
      <c r="CP17" s="78" t="str">
        <f>IF(SUM(BT17:BU17,BW17:BY17,CA17)-BV17-BZ17&gt;0,SUM(BT17:BU17,BW17:BY17,CA17)-BV17-BZ17,"")</f>
        <v/>
      </c>
      <c r="CQ17" s="78" t="str">
        <f>IF(SUM(CB17:CC17,CE17)-CD17&gt;0,SUM(CB17:CC17,CE17)-CD17,"")</f>
        <v/>
      </c>
      <c r="CR17" s="78" t="str">
        <f>IF(SUM(CG17,CK17)&gt;0,SUM(CG17,CK17),"")</f>
        <v/>
      </c>
      <c r="CS17" s="78" t="str">
        <f>IF(SUM(CF17:CG17,CI17:CK17,CM17)-SUM(CH17,CL17)&gt;0,SUM(CF17:CG17,CI17:CK17,CM17)-SUM(CH17,CL17),"")</f>
        <v/>
      </c>
      <c r="CT17" s="78" t="str">
        <f>IF(SUM(CP17,CS17)&gt;0,SUM(CP17,CS17),"")</f>
        <v/>
      </c>
      <c r="CU17" s="79" t="str">
        <f>IF(K17&gt;=0.001,IF(MAX(DR17,ER17,FR17,GR17,HR17,IR17,JR17,KR17,LR17,MR17,NR17,OR17)-IF(K17="",0,K17)&gt;0.001,MAX(DR17,ER17,FR17,GR17,HR17,IR17,JR17,KR17,LR17,MR17,NR17,OR17)-IF(K17="",0,K17),""),"")</f>
        <v/>
      </c>
      <c r="CV17" s="79" t="str">
        <f>IF(M17&gt;=0.001,IF(MAX(DU17,EU17,FU17,GU17,HU17,IU17,JU17,KU17,LU17,MU17,NU17,OU17)-IF(M17="",0,M17)&gt;0.001,MAX(DU17,EU17,FU17,GU17,HU17,IU17,JU17,KU17,LU17,MU17,NU17,OU17)-IF(M17="",0,M17),""),"")</f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>IF(SUM(CX17,DB17)&gt;0,SUM(CX17,DB17),"")</f>
        <v/>
      </c>
      <c r="DR17" s="78" t="str">
        <f>IF(SUM(CW17:CX17,CZ17:DB17,DD17)-CY17-DC17&gt;0,SUM(CW17:CX17,CZ17:DB17,DD17)-CY17-DC17,"")</f>
        <v/>
      </c>
      <c r="DS17" s="78" t="str">
        <f>IF(SUM(DE17:DF17,DH17)-DG17&gt;0,SUM(DE17:DF17,DH17)-DG17,"")</f>
        <v/>
      </c>
      <c r="DT17" s="78" t="str">
        <f>IF(SUM(DJ17,DN17)&gt;0,SUM(DJ17,DN17),"")</f>
        <v/>
      </c>
      <c r="DU17" s="78" t="str">
        <f>IF(SUM(DI17:DJ17,DL17:DN17,DP17)-SUM(DK17,DO17)&gt;0,SUM(DI17:DJ17,DL17:DN17,DP17)-SUM(DK17,DO17),"")</f>
        <v/>
      </c>
      <c r="DV17" s="78" t="str">
        <f>IF(SUM(DR17,DU17)&gt;0,SUM(DR17,DU17),"")</f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>IF(SUM(DX17,EB17)&gt;0,SUM(DX17,EB17),"")</f>
        <v/>
      </c>
      <c r="ER17" s="19" t="str">
        <f>IF(SUM(DW17:DX17,DZ17:EB17,ED17)-DY17-EC17&gt;0,SUM(DW17:DX17,DZ17:EB17,ED17)-DY17-EC17,"")</f>
        <v/>
      </c>
      <c r="ES17" s="19" t="str">
        <f>IF(SUM(EE17:EF17,EH17)-EG17&gt;0,SUM(EE17:EF17,EH17)-EG17,"")</f>
        <v/>
      </c>
      <c r="ET17" s="19" t="str">
        <f>IF(SUM(EJ17,EN17)&gt;0,SUM(EJ17,EN17),"")</f>
        <v/>
      </c>
      <c r="EU17" s="19" t="str">
        <f>IF(SUM(EI17:EJ17,EL17:EN17,EP17)-SUM(EK17,EO17)&gt;0,SUM(EI17:EJ17,EL17:EN17,EP17)-SUM(EK17,EO17),"")</f>
        <v/>
      </c>
      <c r="EV17" s="19" t="str">
        <f>IF(SUM(ER17,EU17)&gt;0,SUM(ER17,EU17),"")</f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>IF(SUM(EX17,FB17)&gt;0,SUM(EX17,FB17),"")</f>
        <v/>
      </c>
      <c r="FR17" s="78" t="str">
        <f>IF(SUM(EW17:EX17,EZ17:FB17,FD17)-EY17-FC17&gt;0,SUM(EW17:EX17,EZ17:FB17,FD17)-EY17-FC17,"")</f>
        <v/>
      </c>
      <c r="FS17" s="78" t="str">
        <f>IF(SUM(FE17:FF17,FH17)-FG17&gt;0,SUM(FE17:FF17,FH17)-FG17,"")</f>
        <v/>
      </c>
      <c r="FT17" s="78" t="str">
        <f>IF(SUM(FJ17,FN17)&gt;0,SUM(FJ17,FN17),"")</f>
        <v/>
      </c>
      <c r="FU17" s="78" t="str">
        <f>IF(SUM(FI17:FJ17,FL17:FN17,FP17)-SUM(FK17,FO17)&gt;0,SUM(FI17:FJ17,FL17:FN17,FP17)-SUM(FK17,FO17),"")</f>
        <v/>
      </c>
      <c r="FV17" s="78" t="str">
        <f>IF(SUM(FR17,FU17)&gt;0,SUM(FR17,FU17),"")</f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>IF(SUM(FX17,GB17)&gt;0,SUM(FX17,GB17),"")</f>
        <v/>
      </c>
      <c r="GR17" s="19" t="str">
        <f>IF(SUM(FW17:FX17,FZ17:GB17,GD17)-FY17-GC17&gt;0,SUM(FW17:FX17,FZ17:GB17,GD17)-FY17-GC17,"")</f>
        <v/>
      </c>
      <c r="GS17" s="19" t="str">
        <f>IF(SUM(GE17:GF17,GH17)-GG17&gt;0,SUM(GE17:GF17,GH17)-GG17,"")</f>
        <v/>
      </c>
      <c r="GT17" s="19" t="str">
        <f>IF(SUM(GJ17,GN17)&gt;0,SUM(GJ17,GN17),"")</f>
        <v/>
      </c>
      <c r="GU17" s="19" t="str">
        <f>IF(SUM(GI17:GJ17,GL17:GN17,GP17)-SUM(GK17,GO17)&gt;0,SUM(GI17:GJ17,GL17:GN17,GP17)-SUM(GK17,GO17),"")</f>
        <v/>
      </c>
      <c r="GV17" s="19" t="str">
        <f>IF(SUM(GR17,GU17)&gt;0,SUM(GR17,GU17),"")</f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>IF(SUM(GX17,HB17)&gt;0,SUM(GX17,HB17),"")</f>
        <v/>
      </c>
      <c r="HR17" s="78" t="str">
        <f>IF(SUM(GW17:GX17,GZ17:HB17,HD17)-GY17-HC17&gt;0,SUM(GW17:GX17,GZ17:HB17,HD17)-GY17-HC17,"")</f>
        <v/>
      </c>
      <c r="HS17" s="78" t="str">
        <f>IF(SUM(HE17:HF17,HH17)-HG17&gt;0,SUM(HE17:HF17,HH17)-HG17,"")</f>
        <v/>
      </c>
      <c r="HT17" s="78" t="str">
        <f>IF(SUM(HJ17,HN17)&gt;0,SUM(HJ17,HN17),"")</f>
        <v/>
      </c>
      <c r="HU17" s="78" t="str">
        <f>IF(SUM(HI17:HJ17,HL17:HN17,HP17)-SUM(HK17,HO17)&gt;0,SUM(HI17:HJ17,HL17:HN17,HP17)-SUM(HK17,HO17),"")</f>
        <v/>
      </c>
      <c r="HV17" s="78" t="str">
        <f>IF(SUM(HR17,HU17)&gt;0,SUM(HR17,HU17),"")</f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>IF(SUM(HX17,IB17)&gt;0,SUM(HX17,IB17),"")</f>
        <v/>
      </c>
      <c r="IR17" s="19" t="str">
        <f>IF(SUM(HW17:HX17,HZ17:IB17,ID17)-HY17-IC17&gt;0,SUM(HW17:HX17,HZ17:IB17,ID17)-HY17-IC17,"")</f>
        <v/>
      </c>
      <c r="IS17" s="19" t="str">
        <f>IF(SUM(IE17:IF17,IH17)-IG17&gt;0,SUM(IE17:IF17,IH17)-IG17,"")</f>
        <v/>
      </c>
      <c r="IT17" s="19" t="str">
        <f>IF(SUM(IJ17,IN17)&gt;0,SUM(IJ17,IN17),"")</f>
        <v/>
      </c>
      <c r="IU17" s="19" t="str">
        <f>IF(SUM(II17:IJ17,IL17:IN17,IP17)-SUM(IK17,IO17)&gt;0,SUM(II17:IJ17,IL17:IN17,IP17)-SUM(IK17,IO17),"")</f>
        <v/>
      </c>
      <c r="IV17" s="19" t="str">
        <f>IF(SUM(IR17,IU17)&gt;0,SUM(IR17,IU17),"")</f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>IF(SUM(IX17,JB17)&gt;0,SUM(IX17,JB17),"")</f>
        <v/>
      </c>
      <c r="JR17" s="78" t="str">
        <f>IF(SUM(IW17:IX17,IZ17:JB17,JD17)-IY17-JC17&gt;0,SUM(IW17:IX17,IZ17:JB17,JD17)-IY17-JC17,"")</f>
        <v/>
      </c>
      <c r="JS17" s="78" t="str">
        <f>IF(SUM(JE17:JF17,JH17)-JG17&gt;0,SUM(JE17:JF17,JH17)-JG17,"")</f>
        <v/>
      </c>
      <c r="JT17" s="78" t="str">
        <f>IF(SUM(JJ17,JN17)&gt;0,SUM(JJ17,JN17),"")</f>
        <v/>
      </c>
      <c r="JU17" s="78" t="str">
        <f>IF(SUM(JI17:JJ17,JL17:JN17,JP17)-SUM(JK17,JO17)&gt;0,SUM(JI17:JJ17,JL17:JN17,JP17)-SUM(JK17,JO17),"")</f>
        <v/>
      </c>
      <c r="JV17" s="78" t="str">
        <f>IF(SUM(JR17,JU17)&gt;0,SUM(JR17,JU17),"")</f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>IF(SUM(JX17,KB17)&gt;0,SUM(JX17,KB17),"")</f>
        <v/>
      </c>
      <c r="KR17" s="19" t="str">
        <f>IF(SUM(JW17:JX17,JZ17:KB17,KD17)-JY17-KC17&gt;0,SUM(JW17:JX17,JZ17:KB17,KD17)-JY17-KC17,"")</f>
        <v/>
      </c>
      <c r="KS17" s="19" t="str">
        <f>IF(SUM(KE17:KF17,KH17)-KG17&gt;0,SUM(KE17:KF17,KH17)-KG17,"")</f>
        <v/>
      </c>
      <c r="KT17" s="19" t="str">
        <f>IF(SUM(KJ17,KN17)&gt;0,SUM(KJ17,KN17),"")</f>
        <v/>
      </c>
      <c r="KU17" s="19" t="str">
        <f>IF(SUM(KI17:KJ17,KL17:KN17,KP17)-SUM(KK17,KO17)&gt;0,SUM(KI17:KJ17,KL17:KN17,KP17)-SUM(KK17,KO17),"")</f>
        <v/>
      </c>
      <c r="KV17" s="19" t="str">
        <f>IF(SUM(KR17,KU17)&gt;0,SUM(KR17,KU17),"")</f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>IF(SUM(KX17,LB17)&gt;0,SUM(KX17,LB17),"")</f>
        <v/>
      </c>
      <c r="LR17" s="78" t="str">
        <f>IF(SUM(KW17:KX17,KZ17:LB17,LD17)-KY17-LC17&gt;0,SUM(KW17:KX17,KZ17:LB17,LD17)-KY17-LC17,"")</f>
        <v/>
      </c>
      <c r="LS17" s="78" t="str">
        <f>IF(SUM(LE17:LF17,LH17)-LG17&gt;0,SUM(LE17:LF17,LH17)-LG17,"")</f>
        <v/>
      </c>
      <c r="LT17" s="78" t="str">
        <f>IF(SUM(LJ17,LN17)&gt;0,SUM(LJ17,LN17),"")</f>
        <v/>
      </c>
      <c r="LU17" s="78" t="str">
        <f>IF(SUM(LI17:LJ17,LL17:LN17,LP17)-SUM(LK17,LO17)&gt;0,SUM(LI17:LJ17,LL17:LN17,LP17)-SUM(LK17,LO17),"")</f>
        <v/>
      </c>
      <c r="LV17" s="78" t="str">
        <f>IF(SUM(LR17,LU17)&gt;0,SUM(LR17,LU17),"")</f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>IF(SUM(LX17,MB17)&gt;0,SUM(LX17,MB17),"")</f>
        <v/>
      </c>
      <c r="MR17" s="19" t="str">
        <f>IF(SUM(LW17:LX17,LZ17:MB17,MD17)-LY17-MC17&gt;0,SUM(LW17:LX17,LZ17:MB17,MD17)-LY17-MC17,"")</f>
        <v/>
      </c>
      <c r="MS17" s="19" t="str">
        <f>IF(SUM(ME17:MF17,MH17)-MG17&gt;0,SUM(ME17:MF17,MH17)-MG17,"")</f>
        <v/>
      </c>
      <c r="MT17" s="19" t="str">
        <f>IF(SUM(MJ17,MN17)&gt;0,SUM(MJ17,MN17),"")</f>
        <v/>
      </c>
      <c r="MU17" s="19" t="str">
        <f>IF(SUM(MI17:MJ17,ML17:MN17,MP17)-SUM(MK17,MO17)&gt;0,SUM(MI17:MJ17,ML17:MN17,MP17)-SUM(MK17,MO17),"")</f>
        <v/>
      </c>
      <c r="MV17" s="19" t="str">
        <f>IF(SUM(MR17,MU17)&gt;0,SUM(MR17,MU17),"")</f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>IF(SUM(MX17,NB17)&gt;0,SUM(MX17,NB17),"")</f>
        <v/>
      </c>
      <c r="NR17" s="78" t="str">
        <f>IF(SUM(MW17:MX17,MZ17:NB17,ND17)-MY17-NC17&gt;0,SUM(MW17:MX17,MZ17:NB17,ND17)-MY17-NC17,"")</f>
        <v/>
      </c>
      <c r="NS17" s="78" t="str">
        <f>IF(SUM(NE17:NF17,NH17)-NG17&gt;0,SUM(NE17:NF17,NH17)-NG17,"")</f>
        <v/>
      </c>
      <c r="NT17" s="78" t="str">
        <f>IF(SUM(NJ17,NN17)&gt;0,SUM(NJ17,NN17),"")</f>
        <v/>
      </c>
      <c r="NU17" s="78" t="str">
        <f>IF(SUM(NI17:NJ17,NL17:NN17,NP17)-SUM(NK17,NO17)&gt;0,SUM(NI17:NJ17,NL17:NN17,NP17)-SUM(NK17,NO17),"")</f>
        <v/>
      </c>
      <c r="NV17" s="78" t="str">
        <f>IF(SUM(NR17,NU17)&gt;0,SUM(NR17,NU17),"")</f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>IF(SUM(NX17,OB17)&gt;0,SUM(NX17,OB17),"")</f>
        <v/>
      </c>
      <c r="OR17" s="19" t="str">
        <f>IF(SUM(NW17:NX17,NZ17:OB17,OD17)-NY17-OC17&gt;0,SUM(NW17:NX17,NZ17:OB17,OD17)-NY17-OC17,"")</f>
        <v/>
      </c>
      <c r="OS17" s="19" t="str">
        <f>IF(SUM(OE17:OF17,OH17)-OG17&gt;0,SUM(OE17:OF17,OH17)-OG17,"")</f>
        <v/>
      </c>
      <c r="OT17" s="19" t="str">
        <f>IF(SUM(OJ17,ON17)&gt;0,SUM(OJ17,ON17),"")</f>
        <v/>
      </c>
      <c r="OU17" s="19" t="str">
        <f>IF(SUM(OI17:OJ17,OL17:ON17,OP17)-SUM(OK17,OO17)&gt;0,SUM(OI17:OJ17,OL17:ON17,OP17)-SUM(OK17,OO17),"")</f>
        <v/>
      </c>
      <c r="OV17" s="19" t="str">
        <f>IF(SUM(OR17,OU17)&gt;0,SUM(OR17,OU17),"")</f>
        <v/>
      </c>
      <c r="OW17" s="37">
        <f>IF($CN17="P",BT17,(BT17+AS17)/2)</f>
        <v>7.8</v>
      </c>
      <c r="OX17" s="37">
        <f>IF($CN17="P",BU17,(BU17+AT17)/2)</f>
        <v>0.6</v>
      </c>
      <c r="OY17" s="37">
        <f>IF($CN17="P",BV17,(BV17+AU17)/2)</f>
        <v>0</v>
      </c>
      <c r="OZ17" s="37">
        <f>IF($CN17="P",BW17,(BW17+AV17)/2)</f>
        <v>0</v>
      </c>
      <c r="PA17" s="37">
        <f>IF($CN17="P",BX17,(BX17+AW17)/2)</f>
        <v>7.75</v>
      </c>
      <c r="PB17" s="37">
        <f>IF($CN17="P",BY17,(BY17+AX17)/2)</f>
        <v>0.95</v>
      </c>
      <c r="PC17" s="37">
        <f>IF($CN17="P",BZ17,(BZ17+AY17)/2)</f>
        <v>0</v>
      </c>
      <c r="PD17" s="37">
        <f>IF($CN17="P",CA17,(CA17+AZ17)/2)</f>
        <v>0.15</v>
      </c>
      <c r="PE17" s="37">
        <f>IF($CN17="P",CB17,(CB17+BA17)/2)</f>
        <v>0</v>
      </c>
      <c r="PF17" s="37">
        <f>IF($CN17="P",CC17,(CC17+BB17)/2)</f>
        <v>0</v>
      </c>
      <c r="PG17" s="37">
        <f>IF($CN17="P",CD17,(CD17+BC17)/2)</f>
        <v>0</v>
      </c>
      <c r="PH17" s="37">
        <f>IF($CN17="P",CE17,(CE17+BD17)/2)</f>
        <v>0</v>
      </c>
      <c r="PI17" s="37">
        <f>IF($CN17="P",CF17,(CF17+BE17)/2)</f>
        <v>0</v>
      </c>
      <c r="PJ17" s="37">
        <f>IF($CN17="P",CG17,(CG17+BF17)/2)</f>
        <v>0</v>
      </c>
      <c r="PK17" s="37">
        <f>IF($CN17="P",CH17,(CH17+BG17)/2)</f>
        <v>0</v>
      </c>
      <c r="PL17" s="37">
        <f>IF($CN17="P",CI17,(CI17+BH17)/2)</f>
        <v>0</v>
      </c>
      <c r="PM17" s="37">
        <f>IF($CN17="P",CJ17,(CJ17+BI17)/2)</f>
        <v>0</v>
      </c>
      <c r="PN17" s="37">
        <f>IF($CN17="P",CK17,(CK17+BJ17)/2)</f>
        <v>0</v>
      </c>
      <c r="PO17" s="37">
        <f>IF($CN17="P",CL17,(CL17+BK17)/2)</f>
        <v>0</v>
      </c>
      <c r="PP17" s="37">
        <f>IF($CN17="P",CM17,(CM17+BL17)/2)</f>
        <v>0</v>
      </c>
      <c r="PQ17" s="44" t="s">
        <v>46</v>
      </c>
      <c r="PR17" s="78">
        <f>IF(SUM(OX17,PB17)&gt;0,SUM(OX17,PB17),"")</f>
        <v>1.5499999999999998</v>
      </c>
      <c r="PS17" s="78">
        <f>IF(SUM(OW17:OX17,OZ17:PB17,PD17)-OY17-PC17&gt;0,SUM(OW17:OX17,OZ17:PB17,PD17)-OY17-PC17,"")</f>
        <v>17.249999999999996</v>
      </c>
      <c r="PT17" s="78" t="str">
        <f>IF(SUM(PE17:PF17,PH17)-PG17&gt;0,SUM(PE17:PF17,PH17)-PG17,"")</f>
        <v/>
      </c>
      <c r="PU17" s="78" t="str">
        <f>IF(SUM(PJ17,PN17)&gt;0,SUM(PJ17,PN17),"")</f>
        <v/>
      </c>
      <c r="PV17" s="78" t="str">
        <f>IF(SUM(PI17:PJ17,PL17:PN17,PP17)-SUM(PK17,PO17)&gt;0,SUM(PI17:PJ17,PL17:PN17,PP17)-SUM(PK17,PO17),"")</f>
        <v/>
      </c>
      <c r="PW17" s="78">
        <f>IF(SUM(PS17,PV17)&gt;0,SUM(PS17,PV17),"")</f>
        <v>17.249999999999996</v>
      </c>
    </row>
    <row r="18" spans="1:439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77" t="s">
        <v>136</v>
      </c>
      <c r="C18" s="5" t="s">
        <v>3</v>
      </c>
      <c r="D18" s="5">
        <v>2004</v>
      </c>
      <c r="E18" s="15">
        <f>SUM(I18:O18)+SUM(I18:M18)*0.0000001+SUM(I18)*0.0000000000001</f>
        <v>113.2000113200039</v>
      </c>
      <c r="F18" s="3" t="str">
        <f>IF(OR(AND(AM18&gt;=AR$26,AN18&gt;=AR$30,AM18&lt;&gt;"",AL18=""),AND(AP18&gt;=AR$26,AQ18&gt;=AR$30,AP18&lt;&gt;"",AL18=""),AND(BN18&gt;=BS$26,BO18&gt;=BS$30,BN18&lt;&gt;"",BM18=""),AND(BQ18&gt;=BS$26,BR18&gt;=BS$30,BQ18&lt;&gt;"",BM18=""),AND(CO18&gt;=CT$26,CP18&gt;=CT$30,CO18&lt;&gt;"",CN18=""),AND(CR18&gt;=CT$26,CS18&gt;=CT$30,CR18&lt;&gt;""),AND(DQ18&gt;=DV$26,DR18&gt;=DV$30,DQ18&lt;&gt;""),AND(DT18&gt;=DV$26,DU18&gt;=DV$30,DT18&lt;&gt;""),AND(EQ18&gt;=EV$26,ER18&gt;=EV$30,EQ18&lt;&gt;""),AND(ET18&gt;=EV$26,EU18&gt;=EV$30,ET18&lt;&gt;""),AND(FQ18&gt;=FV$26,FR18&gt;=FV$30,FQ18&lt;&gt;""),AND(FT18&gt;=FV$26,FU18&gt;=FV$30,FT18&lt;&gt;""),AND(GQ18&gt;=GV$26,GR18&gt;=GV$30,GQ18&lt;&gt;""),AND(GT18&gt;=GV$26,GU18&gt;=GV$30,GT18&lt;&gt;""),AND(HQ18&gt;=HV$26,HR18&gt;=HV$30,HQ18&lt;&gt;""),AND(HT18&gt;=HV$26,HU18&gt;=HV$30,HT18&lt;&gt;""),AND(IQ18&gt;=IV$26,IR18&gt;=IV$30,IQ18&lt;&gt;""),AND(IT18&gt;=IV$26,IU18&gt;=IV$30,IT18&lt;&gt;""),AND(JQ18&gt;=JV$26,JR18&gt;=JV$30,JQ18&lt;&gt;""),AND(JT18&gt;=JV$26,JU18&gt;=JV$30,JT18&lt;&gt;""),AND(KQ18&gt;=KV$26,KR18&gt;=KV$30,KQ18&lt;&gt;""),AND(KT18&gt;=KV$26,KU18&gt;=KV$30,KT18&lt;&gt;""),AND(LQ18&gt;=LV$26,LR18&gt;=LV$30,LQ18&lt;&gt;""),AND(LT18&gt;=LV$26,LU18&gt;=LV$30,LT18&lt;&gt;""),AND(MQ18&gt;=MV$26,MR18&gt;=MV$30,MQ18&lt;&gt;""),AND(MT18&gt;=MV$26,MU18&gt;=MV$30,MT18&lt;&gt;""),AND(NQ18&gt;=NV$26,NR18&gt;=NV$30,NQ18&lt;&gt;""),AND(NT18&gt;=NV$26,NU18&gt;=NV$30,NT18&lt;&gt;""),AND(OQ18&gt;=OV$26,OR18&gt;=OV$30,OQ18&lt;&gt;""),AND(OT18&gt;=OV$26,OU18&gt;=OV$30,OT18&lt;&gt;"")),"P","")</f>
        <v/>
      </c>
      <c r="G18" s="3" t="str">
        <f>IF(OR(AND(AN18&gt;=AR$30,AN18&lt;&gt;"",AL18=""),AND(AQ18&gt;=AR$30,AQ18&lt;&gt;"",AL18=""),AND(BO18&gt;=BS$30,BO18&lt;&gt;"",BM18=""),AND(BR18&gt;=BS$30,BR18&lt;&gt;"",BM18=""),AND(CP18&gt;=CT$30,CP18&lt;&gt;"",CN18=""),AND(CS18&gt;=CT$30,CS18&lt;&gt;"",CN18=""),AND(DR18&gt;=DV$30,DR18&lt;&gt;""),AND(DU18&gt;=DV$30,DU18&lt;&gt;""),AND(ER18&gt;=EV$30,ER18&lt;&gt;""),AND(EU18&gt;=EV$30,EU18&lt;&gt;""),AND(FR18&gt;=FV$30,FR18&lt;&gt;""),AND(FU18&gt;=FV$30,FU18&lt;&gt;""),AND(GR18&gt;=GV$30,GR18&lt;&gt;""),AND(GU18&gt;=GV$30,GU18&lt;&gt;""),AND(HR18&gt;=HV$30,HR18&lt;&gt;""),AND(HU18&gt;=HV$30,HU18&lt;&gt;""),AND(IR18&gt;=IV$30,IR18&lt;&gt;""),AND(IU18&gt;=IV$30,IU18&lt;&gt;""),AND(JR18&gt;=JV$30,JR18&lt;&gt;""),AND(JU18&gt;=JV$30,JU18&lt;&gt;""),AND(KR18&gt;=KV$30,KR18&lt;&gt;""),AND(KU18&gt;=KV$30,KU18&lt;&gt;""),AND(LR18&gt;=LV$30,LR18&lt;&gt;""),AND(LU18&gt;=LV$30,LU18&lt;&gt;""),AND(MR18&gt;=MV$30,MR18&lt;&gt;""),AND(MU18&gt;=MV$30,MU18&lt;&gt;""),AND(NR18&gt;=NV$30,NR18&lt;&gt;""),AND(NU18&gt;=NV$30,NU18&lt;&gt;""),AND(OR18&gt;=OV$30,OR18&lt;&gt;""),AND(OU18&gt;=OV$30,OU18&lt;&gt;"")),"P","")</f>
        <v/>
      </c>
      <c r="H18" s="66" t="str">
        <f>IF(AND(G18="P",F18=""),"No DD",IF(OR(AND(AM18&gt;=AR$29,AN18&gt;=AR$33,AM18&lt;&gt;"",AL18=""),AND(AP18&gt;=AR$29,AQ18&gt;=AR$33,AP18&lt;&gt;"",AL18=""),AND(BN18&gt;=BS$29,BO18&gt;=BS$33,BN18&lt;&gt;"",BM18=""),AND(BQ18&gt;=BS$29,BR18&gt;=BS$33,BQ18&lt;&gt;"",BM18=""),AND(CO18&gt;=CT$29,CP18&gt;=CT$33,CO18&lt;&gt;"",CN18=""),AND(CR18&gt;=CT$29,CS18&gt;=CT$33,CR18&lt;&gt;""),AND(DQ18&gt;=DV$29,DR18&gt;=DV$33,DQ18&lt;&gt;""),AND(DT18&gt;=DV$29,DU18&gt;=DV$33,DT18&lt;&gt;""),AND(EQ18&gt;=EV$29,ER18&gt;=EV$33,EQ18&lt;&gt;""),AND(ET18&gt;=EV$29,EU18&gt;=EV$33,ET18&lt;&gt;""),AND(FQ18&gt;=FV$29,FR18&gt;=FV$33,FQ18&lt;&gt;""),AND(FT18&gt;=FV$29,FU18&gt;=FV$33,FT18&lt;&gt;""),AND(GQ18&gt;=GV$29,GR18&gt;=GV$33,GQ18&lt;&gt;""),AND(GT18&gt;=GV$29,GU18&gt;=GV$33,GT18&lt;&gt;""),AND(HQ18&gt;=HV$29,HR18&gt;=HV$33,HQ18&lt;&gt;""),AND(HT18&gt;=HV$29,HU18&gt;=HV$33,HT18&lt;&gt;""),AND(IQ18&gt;=IV$29,IR18&gt;=IV$33,IQ18&lt;&gt;""),AND(IT18&gt;=IV$29,IU18&gt;=IV$33,IT18&lt;&gt;""),AND(JQ18&gt;=JV$29,JR18&gt;=JV$33,JQ18&lt;&gt;""),AND(JT18&gt;=JV$29,JU18&gt;=JV$33,JT18&lt;&gt;""),AND(KQ18&gt;=KV$29,KR18&gt;=KV$33,KQ18&lt;&gt;""),AND(KT18&gt;=KV$29,KU18&gt;=KV$33,KT18&lt;&gt;""),AND(LQ18&gt;=LV$29,LR18&gt;=LV$33,LQ18&lt;&gt;""),AND(LT18&gt;=LV$29,LU18&gt;=LV$33,LT18&lt;&gt;""),AND(MQ18&gt;=MV$29,MR18&gt;=MV$33,MQ18&lt;&gt;""),AND(MT18&gt;=MV$29,MU18&gt;=MV$33,MT18&lt;&gt;""),AND(NQ18&gt;=NV$29,NR18&gt;=NV$33,NQ18&lt;&gt;""),AND(NT18&gt;=NV$29,NU18&gt;=NV$33,NT18&lt;&gt;""),AND(OQ18&gt;=OV$29,OR18&gt;=OV$33,OQ18&lt;&gt;""),AND(OT18&gt;=OV$29,OU18&gt;=OV$33,OT18&lt;&gt;"")),"Merit",IF(OR(AND(AM18&gt;=AR$28,AN18&gt;=AR$32,AM18&lt;&gt;"",AL18=""),AND(AP18&gt;=AR$28,AQ18&gt;=AR$32,AP18&lt;&gt;"",AL18=""),AND(BN18&gt;=BS$28,BO18&gt;=BS$32,BN18&lt;&gt;"",BM18=""),AND(BQ18&gt;=BS$28,BR18&gt;=BS$32,BQ18&lt;&gt;"",BM18=""),AND(CO18&gt;=CT$28,CP18&gt;=CT$32,CO18&lt;&gt;"",CN18=""),AND(CR18&gt;=CT$28,CS18&gt;=CT$32,CR18&lt;&gt;""),AND(DQ18&gt;=DV$28,DR18&gt;=DV$32,DQ18&lt;&gt;""),AND(DT18&gt;=DV$28,DU18&gt;=DV$32,DT18&lt;&gt;""),AND(EQ18&gt;=EV$28,ER18&gt;=EV$32,EQ18&lt;&gt;""),AND(ET18&gt;=EV$28,EU18&gt;=EV$32,ET18&lt;&gt;""),AND(FQ18&gt;=FV$28,FR18&gt;=FV$32,FQ18&lt;&gt;""),AND(FT18&gt;=FV$28,FU18&gt;=FV$32,FT18&lt;&gt;""),AND(GQ18&gt;=GV$28,GR18&gt;=GV$32,GQ18&lt;&gt;""),AND(GT18&gt;=GV$28,GU18&gt;=GV$32,GT18&lt;&gt;""),AND(HQ18&gt;=HV$28,HR18&gt;=HV$32,HQ18&lt;&gt;""),AND(HT18&gt;=HV$28,HU18&gt;=HV$32,HT18&lt;&gt;""),AND(IQ18&gt;=IV$28,IR18&gt;=IV$32,IQ18&lt;&gt;""),AND(IT18&gt;=IV$28,IU18&gt;=IV$32,IT18&lt;&gt;""),AND(JQ18&gt;=JV$28,JR18&gt;=JV$32,JQ18&lt;&gt;""),AND(JT18&gt;=JV$28,JU18&gt;=JV$32,JT18&lt;&gt;""),AND(KQ18&gt;=KV$28,KR18&gt;=KV$32,KQ18&lt;&gt;""),AND(KT18&gt;=KV$28,KU18&gt;=KV$32,KT18&lt;&gt;""),AND(LQ18&gt;=LV$28,LR18&gt;=LV$32,LQ18&lt;&gt;""),AND(LT18&gt;=LV$28,LU18&gt;=LV$32,LT18&lt;&gt;""),AND(MQ18&gt;=MV$28,MR18&gt;=MV$32,MQ18&lt;&gt;""),AND(MT18&gt;=MV$28,MU18&gt;=MV$32,MT18&lt;&gt;""),AND(NQ18&gt;=NV$28,NR18&gt;=NV$32,NQ18&lt;&gt;""),AND(NT18&gt;=NV$28,NU18&gt;=NV$32,NT18&lt;&gt;""),AND(OQ18&gt;=OV$28,OR18&gt;=OV$32,OQ18&lt;&gt;""),AND(OT18&gt;=OV$28,OU18&gt;=OV$32,OT18&lt;&gt;"")),"Excellence",IF(F18="P","National Team",""))))</f>
        <v/>
      </c>
      <c r="I18" s="14">
        <f>IF(COUNT(AN18,BO18,CP18)&gt;0,LARGE((AN18,BO18,CP18),1),0)</f>
        <v>39.099999999999994</v>
      </c>
      <c r="J18" s="14" t="str">
        <f>IF(I18=0,"",IF(I18=CP18,$BT$1,IF(I18=BO18,$AS$1,IF(I18=AN18,$R$1,""))))</f>
        <v>2022 Elite Canada</v>
      </c>
      <c r="K18" s="14">
        <f>IF(COUNT(AN18,BO18,CP18)&gt;1,LARGE((AN18,BO18,CP18),2),0)</f>
        <v>33.199999999999996</v>
      </c>
      <c r="L18" s="14" t="str">
        <f>IF(K18=0,"",IF(K18=CP18,$BT$1,IF(K18=BO18,$AS$1,IF(K18=AN18,$R$1,""))))</f>
        <v>2022 Nationals</v>
      </c>
      <c r="M18" s="14">
        <f>IF(MAX(AQ18,BR18,CS18)&gt;0,MAX(AQ18,BR18,CS18),0)</f>
        <v>40.9</v>
      </c>
      <c r="N18" s="14" t="str">
        <f>IF(M18=0,"",IF(M18=CS18,$BT$1,IF(M18=BR18,$AS$1,IF(M18=AQ18,$R$1,""))))</f>
        <v>2022 Elite Canada</v>
      </c>
      <c r="O18" s="14" t="str">
        <f>IF(MAX(CU18:CV18)&gt;0,MAX(CU18:CV18),"")</f>
        <v/>
      </c>
      <c r="P18" s="19" t="str">
        <f>IF(O18="","",IF(O18=CU18,"("&amp;CU$2&amp;")",IF(O18=CV18,"("&amp;CV$2&amp;")")))</f>
        <v/>
      </c>
      <c r="Q18" s="14" t="str">
        <f>IF(O18="","",IF(O18=CU18,IF(O18+IF(K18="",0,K18)=OR18,$NW$1,IF(O18+IF(K18="",0,K18)=NR18,$MW$1,IF(O18+IF(K18="",0,K18)=MR18,$LW$1,IF(O18+IF(K18="",0,K18)=LR18,$KW$1,IF(O18+IF(K18="",0,K18)=KR18,$JW$1,IF(O18+IF(K18="",0,K18)=JR18,$IW$1,IF(O18+IF(K18="",0,K18)=IR18,$HW$1,IF(O18+IF(K18="",0,K18)=HR18,$GW$1,IF(O18+IF(K18="",0,K18)=GR18,$FW$1,IF(O18+IF(K18="",0,K18)=FR18,$EW$1,IF(O18+IF(K18="",0,K18)=ER18,$DW$1,IF(O18+IF(K18="",0,K18)=DR18,$CW$1)))))))))))),IF(O18=CV18,IF(O18+IF(M18="",0,M18)=OU18,$NW$1,IF(O18+IF(M18="",0,M18)=NU18,$MW$1,IF(O18+IF(M18="",0,M18)=MU18,$LW$1,IF(O18+IF(M18="",0,M18)=LU18,$KW$1,IF(O18+IF(M18="",0,M18)=KU18,$JW$1,IF(O18+IF(M18="",0,M18)=JU18,$IW$1,IF(O18+IF(M18="",0,M18)=IU18,$HW$1,IF(O18+IF(M18="",0,M18)=HU18,$GW$1,IF(O18+IF(M18="",0,M18)=GU18,$FW$1,IF(O18+IF(M18="",0,M18)=FU18,$EW$1,IF(O18+IF(M18="",0,M18)=EU18,$DW$1,IF(O18+IF(M18="",0,M18)=DU18,$CW$1)))))))))))))))</f>
        <v/>
      </c>
      <c r="R18" s="26">
        <v>16.7</v>
      </c>
      <c r="S18" s="26">
        <v>3.4</v>
      </c>
      <c r="T18" s="26">
        <v>0</v>
      </c>
      <c r="U18" s="26">
        <v>0</v>
      </c>
      <c r="V18" s="26">
        <v>14.8</v>
      </c>
      <c r="W18" s="26">
        <v>3.9</v>
      </c>
      <c r="X18" s="26">
        <v>0</v>
      </c>
      <c r="Y18" s="26">
        <v>0.3</v>
      </c>
      <c r="Z18" s="26"/>
      <c r="AA18" s="26"/>
      <c r="AB18" s="26"/>
      <c r="AC18" s="26"/>
      <c r="AD18" s="26">
        <v>16.600000000000001</v>
      </c>
      <c r="AE18" s="26">
        <v>3.4</v>
      </c>
      <c r="AF18" s="26">
        <v>0</v>
      </c>
      <c r="AG18" s="26">
        <v>0</v>
      </c>
      <c r="AH18" s="26">
        <v>16.7</v>
      </c>
      <c r="AI18" s="26">
        <v>3.9</v>
      </c>
      <c r="AJ18" s="26">
        <v>0</v>
      </c>
      <c r="AK18" s="26">
        <v>0.3</v>
      </c>
      <c r="AL18" s="44"/>
      <c r="AM18" s="78">
        <f>IF(SUM(S18,W18)&gt;0,SUM(S18,W18),"")</f>
        <v>7.3</v>
      </c>
      <c r="AN18" s="78">
        <f>IF(SUM(R18:S18,U18:W18,Y18)-T18-X18&gt;0,SUM(R18:S18,U18:W18,Y18)-T18-X18,"")</f>
        <v>39.099999999999994</v>
      </c>
      <c r="AO18" s="78" t="str">
        <f>IF(SUM(Z18:AA18,AC18)-AB18&gt;0,SUM(Z18:AA18,AC18)-AB18,"")</f>
        <v/>
      </c>
      <c r="AP18" s="78">
        <f>IF(SUM(AE18,AI18)&gt;0,SUM(AE18,AI18),"")</f>
        <v>7.3</v>
      </c>
      <c r="AQ18" s="78">
        <f>IF(SUM(AD18:AE18,AG18:AI18,AK18)-SUM(AF18,AJ18)&gt;0,SUM(AD18:AE18,AG18:AI18,AK18)-SUM(AF18,AJ18),"")</f>
        <v>40.9</v>
      </c>
      <c r="AR18" s="78">
        <f>IF(SUM(AN18,AQ18)&gt;0,SUM(AN18,AQ18),"")</f>
        <v>80</v>
      </c>
      <c r="AS18" s="25">
        <v>16.7</v>
      </c>
      <c r="AT18" s="25">
        <v>1.8</v>
      </c>
      <c r="AU18" s="25">
        <v>1.2</v>
      </c>
      <c r="AV18" s="25">
        <v>0</v>
      </c>
      <c r="AW18" s="25">
        <v>16.899999999999999</v>
      </c>
      <c r="AX18" s="25">
        <v>2</v>
      </c>
      <c r="AY18" s="25">
        <v>3</v>
      </c>
      <c r="AZ18" s="25">
        <v>0</v>
      </c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45"/>
      <c r="BN18" s="19">
        <f>IF(SUM(AT18,AX18)&gt;0,SUM(AT18,AX18),"")</f>
        <v>3.8</v>
      </c>
      <c r="BO18" s="19">
        <f>IF(SUM(AS18:AT18,AV18:AX18,AZ18)-AU18-AY18&gt;0,SUM(AS18:AT18,AV18:AX18,AZ18)-AU18-AY18,"")</f>
        <v>33.199999999999996</v>
      </c>
      <c r="BP18" s="19" t="str">
        <f>IF(SUM(BA18:BB18,BD18)-BC18&gt;0,SUM(BA18:BB18,BD18)-BC18,"")</f>
        <v/>
      </c>
      <c r="BQ18" s="19" t="str">
        <f>IF(SUM(BF18,BJ18)&gt;0,SUM(BF18,BJ18),"")</f>
        <v/>
      </c>
      <c r="BR18" s="19" t="str">
        <f>IF(SUM(BE18:BF18,BH18:BJ18,BL18)-SUM(BG18,BK18)&gt;0,SUM(BE18:BF18,BH18:BJ18,BL18)-SUM(BG18,BK18),"")</f>
        <v/>
      </c>
      <c r="BS18" s="19">
        <f>IF(SUM(BO18,BR18)&gt;0,SUM(BO18,BR18),"")</f>
        <v>33.199999999999996</v>
      </c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44"/>
      <c r="CO18" s="78" t="str">
        <f>IF(SUM(BU18,BY18)&gt;0,SUM(BU18,BY18),"")</f>
        <v/>
      </c>
      <c r="CP18" s="78" t="str">
        <f>IF(SUM(BT18:BU18,BW18:BY18,CA18)-BV18-BZ18&gt;0,SUM(BT18:BU18,BW18:BY18,CA18)-BV18-BZ18,"")</f>
        <v/>
      </c>
      <c r="CQ18" s="78" t="str">
        <f>IF(SUM(CB18:CC18,CE18)-CD18&gt;0,SUM(CB18:CC18,CE18)-CD18,"")</f>
        <v/>
      </c>
      <c r="CR18" s="78" t="str">
        <f>IF(SUM(CG18,CK18)&gt;0,SUM(CG18,CK18),"")</f>
        <v/>
      </c>
      <c r="CS18" s="78" t="str">
        <f>IF(SUM(CF18:CG18,CI18:CK18,CM18)-SUM(CH18,CL18)&gt;0,SUM(CF18:CG18,CI18:CK18,CM18)-SUM(CH18,CL18),"")</f>
        <v/>
      </c>
      <c r="CT18" s="78" t="str">
        <f>IF(SUM(CP18,CS18)&gt;0,SUM(CP18,CS18),"")</f>
        <v/>
      </c>
      <c r="CU18" s="79" t="str">
        <f>IF(K18&gt;=0.001,IF(MAX(DR18,ER18,FR18,GR18,HR18,IR18,JR18,KR18,LR18,MR18,NR18,OR18)-IF(K18="",0,K18)&gt;0.001,MAX(DR18,ER18,FR18,GR18,HR18,IR18,JR18,KR18,LR18,MR18,NR18,OR18)-IF(K18="",0,K18),""),"")</f>
        <v/>
      </c>
      <c r="CV18" s="79" t="str">
        <f>IF(M18&gt;=0.001,IF(MAX(DU18,EU18,FU18,GU18,HU18,IU18,JU18,KU18,LU18,MU18,NU18,OU18)-IF(M18="",0,M18)&gt;0.001,MAX(DU18,EU18,FU18,GU18,HU18,IU18,JU18,KU18,LU18,MU18,NU18,OU18)-IF(M18="",0,M18),""),"")</f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>IF(SUM(CX18,DB18)&gt;0,SUM(CX18,DB18),"")</f>
        <v/>
      </c>
      <c r="DR18" s="78" t="str">
        <f>IF(SUM(CW18:CX18,CZ18:DB18,DD18)-CY18-DC18&gt;0,SUM(CW18:CX18,CZ18:DB18,DD18)-CY18-DC18,"")</f>
        <v/>
      </c>
      <c r="DS18" s="78" t="str">
        <f>IF(SUM(DE18:DF18,DH18)-DG18&gt;0,SUM(DE18:DF18,DH18)-DG18,"")</f>
        <v/>
      </c>
      <c r="DT18" s="78" t="str">
        <f>IF(SUM(DJ18,DN18)&gt;0,SUM(DJ18,DN18),"")</f>
        <v/>
      </c>
      <c r="DU18" s="78" t="str">
        <f>IF(SUM(DI18:DJ18,DL18:DN18,DP18)-SUM(DK18,DO18)&gt;0,SUM(DI18:DJ18,DL18:DN18,DP18)-SUM(DK18,DO18),"")</f>
        <v/>
      </c>
      <c r="DV18" s="78" t="str">
        <f>IF(SUM(DR18,DU18)&gt;0,SUM(DR18,DU18),"")</f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>IF(SUM(DX18,EB18)&gt;0,SUM(DX18,EB18),"")</f>
        <v/>
      </c>
      <c r="ER18" s="19" t="str">
        <f>IF(SUM(DW18:DX18,DZ18:EB18,ED18)-DY18-EC18&gt;0,SUM(DW18:DX18,DZ18:EB18,ED18)-DY18-EC18,"")</f>
        <v/>
      </c>
      <c r="ES18" s="19" t="str">
        <f>IF(SUM(EE18:EF18,EH18)-EG18&gt;0,SUM(EE18:EF18,EH18)-EG18,"")</f>
        <v/>
      </c>
      <c r="ET18" s="19" t="str">
        <f>IF(SUM(EJ18,EN18)&gt;0,SUM(EJ18,EN18),"")</f>
        <v/>
      </c>
      <c r="EU18" s="19" t="str">
        <f>IF(SUM(EI18:EJ18,EL18:EN18,EP18)-SUM(EK18,EO18)&gt;0,SUM(EI18:EJ18,EL18:EN18,EP18)-SUM(EK18,EO18),"")</f>
        <v/>
      </c>
      <c r="EV18" s="19" t="str">
        <f>IF(SUM(ER18,EU18)&gt;0,SUM(ER18,EU18),"")</f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>IF(SUM(EX18,FB18)&gt;0,SUM(EX18,FB18),"")</f>
        <v/>
      </c>
      <c r="FR18" s="78" t="str">
        <f>IF(SUM(EW18:EX18,EZ18:FB18,FD18)-EY18-FC18&gt;0,SUM(EW18:EX18,EZ18:FB18,FD18)-EY18-FC18,"")</f>
        <v/>
      </c>
      <c r="FS18" s="78" t="str">
        <f>IF(SUM(FE18:FF18,FH18)-FG18&gt;0,SUM(FE18:FF18,FH18)-FG18,"")</f>
        <v/>
      </c>
      <c r="FT18" s="78" t="str">
        <f>IF(SUM(FJ18,FN18)&gt;0,SUM(FJ18,FN18),"")</f>
        <v/>
      </c>
      <c r="FU18" s="78" t="str">
        <f>IF(SUM(FI18:FJ18,FL18:FN18,FP18)-SUM(FK18,FO18)&gt;0,SUM(FI18:FJ18,FL18:FN18,FP18)-SUM(FK18,FO18),"")</f>
        <v/>
      </c>
      <c r="FV18" s="78" t="str">
        <f>IF(SUM(FR18,FU18)&gt;0,SUM(FR18,FU18),"")</f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>IF(SUM(FX18,GB18)&gt;0,SUM(FX18,GB18),"")</f>
        <v/>
      </c>
      <c r="GR18" s="19" t="str">
        <f>IF(SUM(FW18:FX18,FZ18:GB18,GD18)-FY18-GC18&gt;0,SUM(FW18:FX18,FZ18:GB18,GD18)-FY18-GC18,"")</f>
        <v/>
      </c>
      <c r="GS18" s="19" t="str">
        <f>IF(SUM(GE18:GF18,GH18)-GG18&gt;0,SUM(GE18:GF18,GH18)-GG18,"")</f>
        <v/>
      </c>
      <c r="GT18" s="19" t="str">
        <f>IF(SUM(GJ18,GN18)&gt;0,SUM(GJ18,GN18),"")</f>
        <v/>
      </c>
      <c r="GU18" s="19" t="str">
        <f>IF(SUM(GI18:GJ18,GL18:GN18,GP18)-SUM(GK18,GO18)&gt;0,SUM(GI18:GJ18,GL18:GN18,GP18)-SUM(GK18,GO18),"")</f>
        <v/>
      </c>
      <c r="GV18" s="19" t="str">
        <f>IF(SUM(GR18,GU18)&gt;0,SUM(GR18,GU18),"")</f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>IF(SUM(GX18,HB18)&gt;0,SUM(GX18,HB18),"")</f>
        <v/>
      </c>
      <c r="HR18" s="78" t="str">
        <f>IF(SUM(GW18:GX18,GZ18:HB18,HD18)-GY18-HC18&gt;0,SUM(GW18:GX18,GZ18:HB18,HD18)-GY18-HC18,"")</f>
        <v/>
      </c>
      <c r="HS18" s="78" t="str">
        <f>IF(SUM(HE18:HF18,HH18)-HG18&gt;0,SUM(HE18:HF18,HH18)-HG18,"")</f>
        <v/>
      </c>
      <c r="HT18" s="78" t="str">
        <f>IF(SUM(HJ18,HN18)&gt;0,SUM(HJ18,HN18),"")</f>
        <v/>
      </c>
      <c r="HU18" s="78" t="str">
        <f>IF(SUM(HI18:HJ18,HL18:HN18,HP18)-SUM(HK18,HO18)&gt;0,SUM(HI18:HJ18,HL18:HN18,HP18)-SUM(HK18,HO18),"")</f>
        <v/>
      </c>
      <c r="HV18" s="78" t="str">
        <f>IF(SUM(HR18,HU18)&gt;0,SUM(HR18,HU18),"")</f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>IF(SUM(HX18,IB18)&gt;0,SUM(HX18,IB18),"")</f>
        <v/>
      </c>
      <c r="IR18" s="19" t="str">
        <f>IF(SUM(HW18:HX18,HZ18:IB18,ID18)-HY18-IC18&gt;0,SUM(HW18:HX18,HZ18:IB18,ID18)-HY18-IC18,"")</f>
        <v/>
      </c>
      <c r="IS18" s="19" t="str">
        <f>IF(SUM(IE18:IF18,IH18)-IG18&gt;0,SUM(IE18:IF18,IH18)-IG18,"")</f>
        <v/>
      </c>
      <c r="IT18" s="19" t="str">
        <f>IF(SUM(IJ18,IN18)&gt;0,SUM(IJ18,IN18),"")</f>
        <v/>
      </c>
      <c r="IU18" s="19" t="str">
        <f>IF(SUM(II18:IJ18,IL18:IN18,IP18)-SUM(IK18,IO18)&gt;0,SUM(II18:IJ18,IL18:IN18,IP18)-SUM(IK18,IO18),"")</f>
        <v/>
      </c>
      <c r="IV18" s="19" t="str">
        <f>IF(SUM(IR18,IU18)&gt;0,SUM(IR18,IU18),"")</f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>IF(SUM(IX18,JB18)&gt;0,SUM(IX18,JB18),"")</f>
        <v/>
      </c>
      <c r="JR18" s="78" t="str">
        <f>IF(SUM(IW18:IX18,IZ18:JB18,JD18)-IY18-JC18&gt;0,SUM(IW18:IX18,IZ18:JB18,JD18)-IY18-JC18,"")</f>
        <v/>
      </c>
      <c r="JS18" s="78" t="str">
        <f>IF(SUM(JE18:JF18,JH18)-JG18&gt;0,SUM(JE18:JF18,JH18)-JG18,"")</f>
        <v/>
      </c>
      <c r="JT18" s="78" t="str">
        <f>IF(SUM(JJ18,JN18)&gt;0,SUM(JJ18,JN18),"")</f>
        <v/>
      </c>
      <c r="JU18" s="78" t="str">
        <f>IF(SUM(JI18:JJ18,JL18:JN18,JP18)-SUM(JK18,JO18)&gt;0,SUM(JI18:JJ18,JL18:JN18,JP18)-SUM(JK18,JO18),"")</f>
        <v/>
      </c>
      <c r="JV18" s="78" t="str">
        <f>IF(SUM(JR18,JU18)&gt;0,SUM(JR18,JU18),"")</f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>IF(SUM(JX18,KB18)&gt;0,SUM(JX18,KB18),"")</f>
        <v/>
      </c>
      <c r="KR18" s="19" t="str">
        <f>IF(SUM(JW18:JX18,JZ18:KB18,KD18)-JY18-KC18&gt;0,SUM(JW18:JX18,JZ18:KB18,KD18)-JY18-KC18,"")</f>
        <v/>
      </c>
      <c r="KS18" s="19" t="str">
        <f>IF(SUM(KE18:KF18,KH18)-KG18&gt;0,SUM(KE18:KF18,KH18)-KG18,"")</f>
        <v/>
      </c>
      <c r="KT18" s="19" t="str">
        <f>IF(SUM(KJ18,KN18)&gt;0,SUM(KJ18,KN18),"")</f>
        <v/>
      </c>
      <c r="KU18" s="19" t="str">
        <f>IF(SUM(KI18:KJ18,KL18:KN18,KP18)-SUM(KK18,KO18)&gt;0,SUM(KI18:KJ18,KL18:KN18,KP18)-SUM(KK18,KO18),"")</f>
        <v/>
      </c>
      <c r="KV18" s="19" t="str">
        <f>IF(SUM(KR18,KU18)&gt;0,SUM(KR18,KU18),"")</f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>IF(SUM(KX18,LB18)&gt;0,SUM(KX18,LB18),"")</f>
        <v/>
      </c>
      <c r="LR18" s="78" t="str">
        <f>IF(SUM(KW18:KX18,KZ18:LB18,LD18)-KY18-LC18&gt;0,SUM(KW18:KX18,KZ18:LB18,LD18)-KY18-LC18,"")</f>
        <v/>
      </c>
      <c r="LS18" s="78" t="str">
        <f>IF(SUM(LE18:LF18,LH18)-LG18&gt;0,SUM(LE18:LF18,LH18)-LG18,"")</f>
        <v/>
      </c>
      <c r="LT18" s="78" t="str">
        <f>IF(SUM(LJ18,LN18)&gt;0,SUM(LJ18,LN18),"")</f>
        <v/>
      </c>
      <c r="LU18" s="78" t="str">
        <f>IF(SUM(LI18:LJ18,LL18:LN18,LP18)-SUM(LK18,LO18)&gt;0,SUM(LI18:LJ18,LL18:LN18,LP18)-SUM(LK18,LO18),"")</f>
        <v/>
      </c>
      <c r="LV18" s="78" t="str">
        <f>IF(SUM(LR18,LU18)&gt;0,SUM(LR18,LU18),"")</f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>IF(SUM(LX18,MB18)&gt;0,SUM(LX18,MB18),"")</f>
        <v/>
      </c>
      <c r="MR18" s="19" t="str">
        <f>IF(SUM(LW18:LX18,LZ18:MB18,MD18)-LY18-MC18&gt;0,SUM(LW18:LX18,LZ18:MB18,MD18)-LY18-MC18,"")</f>
        <v/>
      </c>
      <c r="MS18" s="19" t="str">
        <f>IF(SUM(ME18:MF18,MH18)-MG18&gt;0,SUM(ME18:MF18,MH18)-MG18,"")</f>
        <v/>
      </c>
      <c r="MT18" s="19" t="str">
        <f>IF(SUM(MJ18,MN18)&gt;0,SUM(MJ18,MN18),"")</f>
        <v/>
      </c>
      <c r="MU18" s="19" t="str">
        <f>IF(SUM(MI18:MJ18,ML18:MN18,MP18)-SUM(MK18,MO18)&gt;0,SUM(MI18:MJ18,ML18:MN18,MP18)-SUM(MK18,MO18),"")</f>
        <v/>
      </c>
      <c r="MV18" s="19" t="str">
        <f>IF(SUM(MR18,MU18)&gt;0,SUM(MR18,MU18),"")</f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>IF(SUM(MX18,NB18)&gt;0,SUM(MX18,NB18),"")</f>
        <v/>
      </c>
      <c r="NR18" s="78" t="str">
        <f>IF(SUM(MW18:MX18,MZ18:NB18,ND18)-MY18-NC18&gt;0,SUM(MW18:MX18,MZ18:NB18,ND18)-MY18-NC18,"")</f>
        <v/>
      </c>
      <c r="NS18" s="78" t="str">
        <f>IF(SUM(NE18:NF18,NH18)-NG18&gt;0,SUM(NE18:NF18,NH18)-NG18,"")</f>
        <v/>
      </c>
      <c r="NT18" s="78" t="str">
        <f>IF(SUM(NJ18,NN18)&gt;0,SUM(NJ18,NN18),"")</f>
        <v/>
      </c>
      <c r="NU18" s="78" t="str">
        <f>IF(SUM(NI18:NJ18,NL18:NN18,NP18)-SUM(NK18,NO18)&gt;0,SUM(NI18:NJ18,NL18:NN18,NP18)-SUM(NK18,NO18),"")</f>
        <v/>
      </c>
      <c r="NV18" s="78" t="str">
        <f>IF(SUM(NR18,NU18)&gt;0,SUM(NR18,NU18),"")</f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>IF(SUM(NX18,OB18)&gt;0,SUM(NX18,OB18),"")</f>
        <v/>
      </c>
      <c r="OR18" s="19" t="str">
        <f>IF(SUM(NW18:NX18,NZ18:OB18,OD18)-NY18-OC18&gt;0,SUM(NW18:NX18,NZ18:OB18,OD18)-NY18-OC18,"")</f>
        <v/>
      </c>
      <c r="OS18" s="19" t="str">
        <f>IF(SUM(OE18:OF18,OH18)-OG18&gt;0,SUM(OE18:OF18,OH18)-OG18,"")</f>
        <v/>
      </c>
      <c r="OT18" s="19" t="str">
        <f>IF(SUM(OJ18,ON18)&gt;0,SUM(OJ18,ON18),"")</f>
        <v/>
      </c>
      <c r="OU18" s="19" t="str">
        <f>IF(SUM(OI18:OJ18,OL18:ON18,OP18)-SUM(OK18,OO18)&gt;0,SUM(OI18:OJ18,OL18:ON18,OP18)-SUM(OK18,OO18),"")</f>
        <v/>
      </c>
      <c r="OV18" s="19" t="str">
        <f>IF(SUM(OR18,OU18)&gt;0,SUM(OR18,OU18),"")</f>
        <v/>
      </c>
      <c r="OW18" s="37">
        <f>IF($CN18="P",BT18,(BT18+AS18)/2)</f>
        <v>8.35</v>
      </c>
      <c r="OX18" s="37">
        <f>IF($CN18="P",BU18,(BU18+AT18)/2)</f>
        <v>0.9</v>
      </c>
      <c r="OY18" s="37">
        <f>IF($CN18="P",BV18,(BV18+AU18)/2)</f>
        <v>0.6</v>
      </c>
      <c r="OZ18" s="37">
        <f>IF($CN18="P",BW18,(BW18+AV18)/2)</f>
        <v>0</v>
      </c>
      <c r="PA18" s="37">
        <f>IF($CN18="P",BX18,(BX18+AW18)/2)</f>
        <v>8.4499999999999993</v>
      </c>
      <c r="PB18" s="37">
        <f>IF($CN18="P",BY18,(BY18+AX18)/2)</f>
        <v>1</v>
      </c>
      <c r="PC18" s="37">
        <f>IF($CN18="P",BZ18,(BZ18+AY18)/2)</f>
        <v>1.5</v>
      </c>
      <c r="PD18" s="37">
        <f>IF($CN18="P",CA18,(CA18+AZ18)/2)</f>
        <v>0</v>
      </c>
      <c r="PE18" s="37">
        <f>IF($CN18="P",CB18,(CB18+BA18)/2)</f>
        <v>0</v>
      </c>
      <c r="PF18" s="37">
        <f>IF($CN18="P",CC18,(CC18+BB18)/2)</f>
        <v>0</v>
      </c>
      <c r="PG18" s="37">
        <f>IF($CN18="P",CD18,(CD18+BC18)/2)</f>
        <v>0</v>
      </c>
      <c r="PH18" s="37">
        <f>IF($CN18="P",CE18,(CE18+BD18)/2)</f>
        <v>0</v>
      </c>
      <c r="PI18" s="37">
        <f>IF($CN18="P",CF18,(CF18+BE18)/2)</f>
        <v>0</v>
      </c>
      <c r="PJ18" s="37">
        <f>IF($CN18="P",CG18,(CG18+BF18)/2)</f>
        <v>0</v>
      </c>
      <c r="PK18" s="37">
        <f>IF($CN18="P",CH18,(CH18+BG18)/2)</f>
        <v>0</v>
      </c>
      <c r="PL18" s="37">
        <f>IF($CN18="P",CI18,(CI18+BH18)/2)</f>
        <v>0</v>
      </c>
      <c r="PM18" s="37">
        <f>IF($CN18="P",CJ18,(CJ18+BI18)/2)</f>
        <v>0</v>
      </c>
      <c r="PN18" s="37">
        <f>IF($CN18="P",CK18,(CK18+BJ18)/2)</f>
        <v>0</v>
      </c>
      <c r="PO18" s="37">
        <f>IF($CN18="P",CL18,(CL18+BK18)/2)</f>
        <v>0</v>
      </c>
      <c r="PP18" s="37">
        <f>IF($CN18="P",CM18,(CM18+BL18)/2)</f>
        <v>0</v>
      </c>
      <c r="PQ18" s="44" t="s">
        <v>46</v>
      </c>
      <c r="PR18" s="78">
        <f>IF(SUM(OX18,PB18)&gt;0,SUM(OX18,PB18),"")</f>
        <v>1.9</v>
      </c>
      <c r="PS18" s="78">
        <f>IF(SUM(OW18:OX18,OZ18:PB18,PD18)-OY18-PC18&gt;0,SUM(OW18:OX18,OZ18:PB18,PD18)-OY18-PC18,"")</f>
        <v>16.599999999999998</v>
      </c>
      <c r="PT18" s="78" t="str">
        <f>IF(SUM(PE18:PF18,PH18)-PG18&gt;0,SUM(PE18:PF18,PH18)-PG18,"")</f>
        <v/>
      </c>
      <c r="PU18" s="78" t="str">
        <f>IF(SUM(PJ18,PN18)&gt;0,SUM(PJ18,PN18),"")</f>
        <v/>
      </c>
      <c r="PV18" s="78" t="str">
        <f>IF(SUM(PI18:PJ18,PL18:PN18,PP18)-SUM(PK18,PO18)&gt;0,SUM(PI18:PJ18,PL18:PN18,PP18)-SUM(PK18,PO18),"")</f>
        <v/>
      </c>
      <c r="PW18" s="78">
        <f>IF(SUM(PS18,PV18)&gt;0,SUM(PS18,PV18),"")</f>
        <v>16.599999999999998</v>
      </c>
    </row>
    <row r="19" spans="1:439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77" t="s">
        <v>122</v>
      </c>
      <c r="C19" s="5" t="s">
        <v>3</v>
      </c>
      <c r="D19" s="5">
        <v>2004</v>
      </c>
      <c r="E19" s="15">
        <f>SUM(I19:O19)+SUM(I19:M19)*0.0000001+SUM(I19)*0.0000000000001</f>
        <v>111.00001110000389</v>
      </c>
      <c r="F19" s="3" t="str">
        <f>IF(OR(AND(AM19&gt;=AR$26,AN19&gt;=AR$30,AM19&lt;&gt;"",AL19=""),AND(AP19&gt;=AR$26,AQ19&gt;=AR$30,AP19&lt;&gt;"",AL19=""),AND(BN19&gt;=BS$26,BO19&gt;=BS$30,BN19&lt;&gt;"",BM19=""),AND(BQ19&gt;=BS$26,BR19&gt;=BS$30,BQ19&lt;&gt;"",BM19=""),AND(CO19&gt;=CT$26,CP19&gt;=CT$30,CO19&lt;&gt;"",CN19=""),AND(CR19&gt;=CT$26,CS19&gt;=CT$30,CR19&lt;&gt;""),AND(DQ19&gt;=DV$26,DR19&gt;=DV$30,DQ19&lt;&gt;""),AND(DT19&gt;=DV$26,DU19&gt;=DV$30,DT19&lt;&gt;""),AND(EQ19&gt;=EV$26,ER19&gt;=EV$30,EQ19&lt;&gt;""),AND(ET19&gt;=EV$26,EU19&gt;=EV$30,ET19&lt;&gt;""),AND(FQ19&gt;=FV$26,FR19&gt;=FV$30,FQ19&lt;&gt;""),AND(FT19&gt;=FV$26,FU19&gt;=FV$30,FT19&lt;&gt;""),AND(GQ19&gt;=GV$26,GR19&gt;=GV$30,GQ19&lt;&gt;""),AND(GT19&gt;=GV$26,GU19&gt;=GV$30,GT19&lt;&gt;""),AND(HQ19&gt;=HV$26,HR19&gt;=HV$30,HQ19&lt;&gt;""),AND(HT19&gt;=HV$26,HU19&gt;=HV$30,HT19&lt;&gt;""),AND(IQ19&gt;=IV$26,IR19&gt;=IV$30,IQ19&lt;&gt;""),AND(IT19&gt;=IV$26,IU19&gt;=IV$30,IT19&lt;&gt;""),AND(JQ19&gt;=JV$26,JR19&gt;=JV$30,JQ19&lt;&gt;""),AND(JT19&gt;=JV$26,JU19&gt;=JV$30,JT19&lt;&gt;""),AND(KQ19&gt;=KV$26,KR19&gt;=KV$30,KQ19&lt;&gt;""),AND(KT19&gt;=KV$26,KU19&gt;=KV$30,KT19&lt;&gt;""),AND(LQ19&gt;=LV$26,LR19&gt;=LV$30,LQ19&lt;&gt;""),AND(LT19&gt;=LV$26,LU19&gt;=LV$30,LT19&lt;&gt;""),AND(MQ19&gt;=MV$26,MR19&gt;=MV$30,MQ19&lt;&gt;""),AND(MT19&gt;=MV$26,MU19&gt;=MV$30,MT19&lt;&gt;""),AND(NQ19&gt;=NV$26,NR19&gt;=NV$30,NQ19&lt;&gt;""),AND(NT19&gt;=NV$26,NU19&gt;=NV$30,NT19&lt;&gt;""),AND(OQ19&gt;=OV$26,OR19&gt;=OV$30,OQ19&lt;&gt;""),AND(OT19&gt;=OV$26,OU19&gt;=OV$30,OT19&lt;&gt;"")),"P","")</f>
        <v/>
      </c>
      <c r="G19" s="3" t="str">
        <f>IF(OR(AND(AN19&gt;=AR$30,AN19&lt;&gt;"",AL19=""),AND(AQ19&gt;=AR$30,AQ19&lt;&gt;"",AL19=""),AND(BO19&gt;=BS$30,BO19&lt;&gt;"",BM19=""),AND(BR19&gt;=BS$30,BR19&lt;&gt;"",BM19=""),AND(CP19&gt;=CT$30,CP19&lt;&gt;"",CN19=""),AND(CS19&gt;=CT$30,CS19&lt;&gt;"",CN19=""),AND(DR19&gt;=DV$30,DR19&lt;&gt;""),AND(DU19&gt;=DV$30,DU19&lt;&gt;""),AND(ER19&gt;=EV$30,ER19&lt;&gt;""),AND(EU19&gt;=EV$30,EU19&lt;&gt;""),AND(FR19&gt;=FV$30,FR19&lt;&gt;""),AND(FU19&gt;=FV$30,FU19&lt;&gt;""),AND(GR19&gt;=GV$30,GR19&lt;&gt;""),AND(GU19&gt;=GV$30,GU19&lt;&gt;""),AND(HR19&gt;=HV$30,HR19&lt;&gt;""),AND(HU19&gt;=HV$30,HU19&lt;&gt;""),AND(IR19&gt;=IV$30,IR19&lt;&gt;""),AND(IU19&gt;=IV$30,IU19&lt;&gt;""),AND(JR19&gt;=JV$30,JR19&lt;&gt;""),AND(JU19&gt;=JV$30,JU19&lt;&gt;""),AND(KR19&gt;=KV$30,KR19&lt;&gt;""),AND(KU19&gt;=KV$30,KU19&lt;&gt;""),AND(LR19&gt;=LV$30,LR19&lt;&gt;""),AND(LU19&gt;=LV$30,LU19&lt;&gt;""),AND(MR19&gt;=MV$30,MR19&lt;&gt;""),AND(MU19&gt;=MV$30,MU19&lt;&gt;""),AND(NR19&gt;=NV$30,NR19&lt;&gt;""),AND(NU19&gt;=NV$30,NU19&lt;&gt;""),AND(OR19&gt;=OV$30,OR19&lt;&gt;""),AND(OU19&gt;=OV$30,OU19&lt;&gt;"")),"P","")</f>
        <v/>
      </c>
      <c r="H19" s="66" t="str">
        <f>IF(AND(G19="P",F19=""),"No DD",IF(OR(AND(AM19&gt;=AR$29,AN19&gt;=AR$33,AM19&lt;&gt;"",AL19=""),AND(AP19&gt;=AR$29,AQ19&gt;=AR$33,AP19&lt;&gt;"",AL19=""),AND(BN19&gt;=BS$29,BO19&gt;=BS$33,BN19&lt;&gt;"",BM19=""),AND(BQ19&gt;=BS$29,BR19&gt;=BS$33,BQ19&lt;&gt;"",BM19=""),AND(CO19&gt;=CT$29,CP19&gt;=CT$33,CO19&lt;&gt;"",CN19=""),AND(CR19&gt;=CT$29,CS19&gt;=CT$33,CR19&lt;&gt;""),AND(DQ19&gt;=DV$29,DR19&gt;=DV$33,DQ19&lt;&gt;""),AND(DT19&gt;=DV$29,DU19&gt;=DV$33,DT19&lt;&gt;""),AND(EQ19&gt;=EV$29,ER19&gt;=EV$33,EQ19&lt;&gt;""),AND(ET19&gt;=EV$29,EU19&gt;=EV$33,ET19&lt;&gt;""),AND(FQ19&gt;=FV$29,FR19&gt;=FV$33,FQ19&lt;&gt;""),AND(FT19&gt;=FV$29,FU19&gt;=FV$33,FT19&lt;&gt;""),AND(GQ19&gt;=GV$29,GR19&gt;=GV$33,GQ19&lt;&gt;""),AND(GT19&gt;=GV$29,GU19&gt;=GV$33,GT19&lt;&gt;""),AND(HQ19&gt;=HV$29,HR19&gt;=HV$33,HQ19&lt;&gt;""),AND(HT19&gt;=HV$29,HU19&gt;=HV$33,HT19&lt;&gt;""),AND(IQ19&gt;=IV$29,IR19&gt;=IV$33,IQ19&lt;&gt;""),AND(IT19&gt;=IV$29,IU19&gt;=IV$33,IT19&lt;&gt;""),AND(JQ19&gt;=JV$29,JR19&gt;=JV$33,JQ19&lt;&gt;""),AND(JT19&gt;=JV$29,JU19&gt;=JV$33,JT19&lt;&gt;""),AND(KQ19&gt;=KV$29,KR19&gt;=KV$33,KQ19&lt;&gt;""),AND(KT19&gt;=KV$29,KU19&gt;=KV$33,KT19&lt;&gt;""),AND(LQ19&gt;=LV$29,LR19&gt;=LV$33,LQ19&lt;&gt;""),AND(LT19&gt;=LV$29,LU19&gt;=LV$33,LT19&lt;&gt;""),AND(MQ19&gt;=MV$29,MR19&gt;=MV$33,MQ19&lt;&gt;""),AND(MT19&gt;=MV$29,MU19&gt;=MV$33,MT19&lt;&gt;""),AND(NQ19&gt;=NV$29,NR19&gt;=NV$33,NQ19&lt;&gt;""),AND(NT19&gt;=NV$29,NU19&gt;=NV$33,NT19&lt;&gt;""),AND(OQ19&gt;=OV$29,OR19&gt;=OV$33,OQ19&lt;&gt;""),AND(OT19&gt;=OV$29,OU19&gt;=OV$33,OT19&lt;&gt;"")),"Merit",IF(OR(AND(AM19&gt;=AR$28,AN19&gt;=AR$32,AM19&lt;&gt;"",AL19=""),AND(AP19&gt;=AR$28,AQ19&gt;=AR$32,AP19&lt;&gt;"",AL19=""),AND(BN19&gt;=BS$28,BO19&gt;=BS$32,BN19&lt;&gt;"",BM19=""),AND(BQ19&gt;=BS$28,BR19&gt;=BS$32,BQ19&lt;&gt;"",BM19=""),AND(CO19&gt;=CT$28,CP19&gt;=CT$32,CO19&lt;&gt;"",CN19=""),AND(CR19&gt;=CT$28,CS19&gt;=CT$32,CR19&lt;&gt;""),AND(DQ19&gt;=DV$28,DR19&gt;=DV$32,DQ19&lt;&gt;""),AND(DT19&gt;=DV$28,DU19&gt;=DV$32,DT19&lt;&gt;""),AND(EQ19&gt;=EV$28,ER19&gt;=EV$32,EQ19&lt;&gt;""),AND(ET19&gt;=EV$28,EU19&gt;=EV$32,ET19&lt;&gt;""),AND(FQ19&gt;=FV$28,FR19&gt;=FV$32,FQ19&lt;&gt;""),AND(FT19&gt;=FV$28,FU19&gt;=FV$32,FT19&lt;&gt;""),AND(GQ19&gt;=GV$28,GR19&gt;=GV$32,GQ19&lt;&gt;""),AND(GT19&gt;=GV$28,GU19&gt;=GV$32,GT19&lt;&gt;""),AND(HQ19&gt;=HV$28,HR19&gt;=HV$32,HQ19&lt;&gt;""),AND(HT19&gt;=HV$28,HU19&gt;=HV$32,HT19&lt;&gt;""),AND(IQ19&gt;=IV$28,IR19&gt;=IV$32,IQ19&lt;&gt;""),AND(IT19&gt;=IV$28,IU19&gt;=IV$32,IT19&lt;&gt;""),AND(JQ19&gt;=JV$28,JR19&gt;=JV$32,JQ19&lt;&gt;""),AND(JT19&gt;=JV$28,JU19&gt;=JV$32,JT19&lt;&gt;""),AND(KQ19&gt;=KV$28,KR19&gt;=KV$32,KQ19&lt;&gt;""),AND(KT19&gt;=KV$28,KU19&gt;=KV$32,KT19&lt;&gt;""),AND(LQ19&gt;=LV$28,LR19&gt;=LV$32,LQ19&lt;&gt;""),AND(LT19&gt;=LV$28,LU19&gt;=LV$32,LT19&lt;&gt;""),AND(MQ19&gt;=MV$28,MR19&gt;=MV$32,MQ19&lt;&gt;""),AND(MT19&gt;=MV$28,MU19&gt;=MV$32,MT19&lt;&gt;""),AND(NQ19&gt;=NV$28,NR19&gt;=NV$32,NQ19&lt;&gt;""),AND(NT19&gt;=NV$28,NU19&gt;=NV$32,NT19&lt;&gt;""),AND(OQ19&gt;=OV$28,OR19&gt;=OV$32,OQ19&lt;&gt;""),AND(OT19&gt;=OV$28,OU19&gt;=OV$32,OT19&lt;&gt;"")),"Excellence",IF(F19="P","National Team",""))))</f>
        <v/>
      </c>
      <c r="I19" s="14">
        <f>IF(COUNT(AN19,BO19,CP19)&gt;0,LARGE((AN19,BO19,CP19),1),0)</f>
        <v>38.999999999999993</v>
      </c>
      <c r="J19" s="14" t="str">
        <f>IF(I19=0,"",IF(I19=CP19,$BT$1,IF(I19=BO19,$AS$1,IF(I19=AN19,$R$1,""))))</f>
        <v>2022 Elite Canada</v>
      </c>
      <c r="K19" s="14">
        <f>IF(COUNT(AN19,BO19,CP19)&gt;1,LARGE((AN19,BO19,CP19),2),0)</f>
        <v>35.800000000000004</v>
      </c>
      <c r="L19" s="14" t="str">
        <f>IF(K19=0,"",IF(K19=CP19,$BT$1,IF(K19=BO19,$AS$1,IF(K19=AN19,$R$1,""))))</f>
        <v>2022 Nationals</v>
      </c>
      <c r="M19" s="14">
        <f>IF(MAX(AQ19,BR19,CS19)&gt;0,MAX(AQ19,BR19,CS19),0)</f>
        <v>36.199999999999996</v>
      </c>
      <c r="N19" s="14" t="str">
        <f>IF(M19=0,"",IF(M19=CS19,$BT$1,IF(M19=BR19,$AS$1,IF(M19=AQ19,$R$1,""))))</f>
        <v>2022 Elite Canada</v>
      </c>
      <c r="O19" s="14" t="str">
        <f>IF(MAX(CU19:CV19)&gt;0,MAX(CU19:CV19),"")</f>
        <v/>
      </c>
      <c r="P19" s="19" t="str">
        <f>IF(O19="","",IF(O19=CU19,"("&amp;CU$2&amp;")",IF(O19=CV19,"("&amp;CV$2&amp;")")))</f>
        <v/>
      </c>
      <c r="Q19" s="14" t="str">
        <f>IF(O19="","",IF(O19=CU19,IF(O19+IF(K19="",0,K19)=OR19,$NW$1,IF(O19+IF(K19="",0,K19)=NR19,$MW$1,IF(O19+IF(K19="",0,K19)=MR19,$LW$1,IF(O19+IF(K19="",0,K19)=LR19,$KW$1,IF(O19+IF(K19="",0,K19)=KR19,$JW$1,IF(O19+IF(K19="",0,K19)=JR19,$IW$1,IF(O19+IF(K19="",0,K19)=IR19,$HW$1,IF(O19+IF(K19="",0,K19)=HR19,$GW$1,IF(O19+IF(K19="",0,K19)=GR19,$FW$1,IF(O19+IF(K19="",0,K19)=FR19,$EW$1,IF(O19+IF(K19="",0,K19)=ER19,$DW$1,IF(O19+IF(K19="",0,K19)=DR19,$CW$1)))))))))))),IF(O19=CV19,IF(O19+IF(M19="",0,M19)=OU19,$NW$1,IF(O19+IF(M19="",0,M19)=NU19,$MW$1,IF(O19+IF(M19="",0,M19)=MU19,$LW$1,IF(O19+IF(M19="",0,M19)=LU19,$KW$1,IF(O19+IF(M19="",0,M19)=KU19,$JW$1,IF(O19+IF(M19="",0,M19)=JU19,$IW$1,IF(O19+IF(M19="",0,M19)=IU19,$HW$1,IF(O19+IF(M19="",0,M19)=HU19,$GW$1,IF(O19+IF(M19="",0,M19)=GU19,$FW$1,IF(O19+IF(M19="",0,M19)=FU19,$EW$1,IF(O19+IF(M19="",0,M19)=EU19,$DW$1,IF(O19+IF(M19="",0,M19)=DU19,$CW$1)))))))))))))))</f>
        <v/>
      </c>
      <c r="R19" s="26">
        <v>16.7</v>
      </c>
      <c r="S19" s="26">
        <v>3.4</v>
      </c>
      <c r="T19" s="26">
        <v>0</v>
      </c>
      <c r="U19" s="26">
        <v>0</v>
      </c>
      <c r="V19" s="26">
        <v>14.9</v>
      </c>
      <c r="W19" s="26">
        <v>3.9</v>
      </c>
      <c r="X19" s="26">
        <v>0.2</v>
      </c>
      <c r="Y19" s="26">
        <v>0.3</v>
      </c>
      <c r="Z19" s="26"/>
      <c r="AA19" s="26"/>
      <c r="AB19" s="26"/>
      <c r="AC19" s="26"/>
      <c r="AD19" s="26">
        <v>15.1</v>
      </c>
      <c r="AE19" s="26">
        <v>3.2</v>
      </c>
      <c r="AF19" s="26">
        <v>0</v>
      </c>
      <c r="AG19" s="26">
        <v>0</v>
      </c>
      <c r="AH19" s="26">
        <v>15.7</v>
      </c>
      <c r="AI19" s="26">
        <v>1.9</v>
      </c>
      <c r="AJ19" s="26">
        <v>0</v>
      </c>
      <c r="AK19" s="26">
        <v>0.3</v>
      </c>
      <c r="AL19" s="44"/>
      <c r="AM19" s="78">
        <f>IF(SUM(S19,W19)&gt;0,SUM(S19,W19),"")</f>
        <v>7.3</v>
      </c>
      <c r="AN19" s="78">
        <f>IF(SUM(R19:S19,U19:W19,Y19)-T19-X19&gt;0,SUM(R19:S19,U19:W19,Y19)-T19-X19,"")</f>
        <v>38.999999999999993</v>
      </c>
      <c r="AO19" s="78" t="str">
        <f>IF(SUM(Z19:AA19,AC19)-AB19&gt;0,SUM(Z19:AA19,AC19)-AB19,"")</f>
        <v/>
      </c>
      <c r="AP19" s="78">
        <f>IF(SUM(AE19,AI19)&gt;0,SUM(AE19,AI19),"")</f>
        <v>5.0999999999999996</v>
      </c>
      <c r="AQ19" s="78">
        <f>IF(SUM(AD19:AE19,AG19:AI19,AK19)-SUM(AF19,AJ19)&gt;0,SUM(AD19:AE19,AG19:AI19,AK19)-SUM(AF19,AJ19),"")</f>
        <v>36.199999999999996</v>
      </c>
      <c r="AR19" s="78">
        <f>IF(SUM(AN19,AQ19)&gt;0,SUM(AN19,AQ19),"")</f>
        <v>75.199999999999989</v>
      </c>
      <c r="AS19" s="25">
        <v>15.3</v>
      </c>
      <c r="AT19" s="25">
        <v>3.4</v>
      </c>
      <c r="AU19" s="25">
        <v>0.4</v>
      </c>
      <c r="AV19" s="25">
        <v>0</v>
      </c>
      <c r="AW19" s="25">
        <v>16.3</v>
      </c>
      <c r="AX19" s="25">
        <v>1.2</v>
      </c>
      <c r="AY19" s="25">
        <v>0</v>
      </c>
      <c r="AZ19" s="25">
        <v>0</v>
      </c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>
        <f>IF(SUM(AT19,AX19)&gt;0,SUM(AT19,AX19),"")</f>
        <v>4.5999999999999996</v>
      </c>
      <c r="BO19" s="19">
        <f>IF(SUM(AS19:AT19,AV19:AX19,AZ19)-AU19-AY19&gt;0,SUM(AS19:AT19,AV19:AX19,AZ19)-AU19-AY19,"")</f>
        <v>35.800000000000004</v>
      </c>
      <c r="BP19" s="19" t="str">
        <f>IF(SUM(BA19:BB19,BD19)-BC19&gt;0,SUM(BA19:BB19,BD19)-BC19,"")</f>
        <v/>
      </c>
      <c r="BQ19" s="19" t="str">
        <f>IF(SUM(BF19,BJ19)&gt;0,SUM(BF19,BJ19),"")</f>
        <v/>
      </c>
      <c r="BR19" s="19" t="str">
        <f>IF(SUM(BE19:BF19,BH19:BJ19,BL19)-SUM(BG19,BK19)&gt;0,SUM(BE19:BF19,BH19:BJ19,BL19)-SUM(BG19,BK19),"")</f>
        <v/>
      </c>
      <c r="BS19" s="19">
        <f>IF(SUM(BO19,BR19)&gt;0,SUM(BO19,BR19),"")</f>
        <v>35.800000000000004</v>
      </c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44"/>
      <c r="CO19" s="78" t="str">
        <f>IF(SUM(BU19,BY19)&gt;0,SUM(BU19,BY19),"")</f>
        <v/>
      </c>
      <c r="CP19" s="78" t="str">
        <f>IF(SUM(BT19:BU19,BW19:BY19,CA19)-BV19-BZ19&gt;0,SUM(BT19:BU19,BW19:BY19,CA19)-BV19-BZ19,"")</f>
        <v/>
      </c>
      <c r="CQ19" s="78" t="str">
        <f>IF(SUM(CB19:CC19,CE19)-CD19&gt;0,SUM(CB19:CC19,CE19)-CD19,"")</f>
        <v/>
      </c>
      <c r="CR19" s="78" t="str">
        <f>IF(SUM(CG19,CK19)&gt;0,SUM(CG19,CK19),"")</f>
        <v/>
      </c>
      <c r="CS19" s="78" t="str">
        <f>IF(SUM(CF19:CG19,CI19:CK19,CM19)-SUM(CH19,CL19)&gt;0,SUM(CF19:CG19,CI19:CK19,CM19)-SUM(CH19,CL19),"")</f>
        <v/>
      </c>
      <c r="CT19" s="78" t="str">
        <f>IF(SUM(CP19,CS19)&gt;0,SUM(CP19,CS19),"")</f>
        <v/>
      </c>
      <c r="CU19" s="79" t="str">
        <f>IF(K19&gt;=0.001,IF(MAX(DR19,ER19,FR19,GR19,HR19,IR19,JR19,KR19,LR19,MR19,NR19,OR19)-IF(K19="",0,K19)&gt;0.001,MAX(DR19,ER19,FR19,GR19,HR19,IR19,JR19,KR19,LR19,MR19,NR19,OR19)-IF(K19="",0,K19),""),"")</f>
        <v/>
      </c>
      <c r="CV19" s="79" t="str">
        <f>IF(M19&gt;=0.001,IF(MAX(DU19,EU19,FU19,GU19,HU19,IU19,JU19,KU19,LU19,MU19,NU19,OU19)-IF(M19="",0,M19)&gt;0.001,MAX(DU19,EU19,FU19,GU19,HU19,IU19,JU19,KU19,LU19,MU19,NU19,OU19)-IF(M19="",0,M19),""),"")</f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>IF(SUM(CX19,DB19)&gt;0,SUM(CX19,DB19),"")</f>
        <v/>
      </c>
      <c r="DR19" s="78" t="str">
        <f>IF(SUM(CW19:CX19,CZ19:DB19,DD19)-CY19-DC19&gt;0,SUM(CW19:CX19,CZ19:DB19,DD19)-CY19-DC19,"")</f>
        <v/>
      </c>
      <c r="DS19" s="78" t="str">
        <f>IF(SUM(DE19:DF19,DH19)-DG19&gt;0,SUM(DE19:DF19,DH19)-DG19,"")</f>
        <v/>
      </c>
      <c r="DT19" s="78" t="str">
        <f>IF(SUM(DJ19,DN19)&gt;0,SUM(DJ19,DN19),"")</f>
        <v/>
      </c>
      <c r="DU19" s="78" t="str">
        <f>IF(SUM(DI19:DJ19,DL19:DN19,DP19)-SUM(DK19,DO19)&gt;0,SUM(DI19:DJ19,DL19:DN19,DP19)-SUM(DK19,DO19),"")</f>
        <v/>
      </c>
      <c r="DV19" s="78" t="str">
        <f>IF(SUM(DR19,DU19)&gt;0,SUM(DR19,DU19),"")</f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>IF(SUM(DX19,EB19)&gt;0,SUM(DX19,EB19),"")</f>
        <v/>
      </c>
      <c r="ER19" s="19" t="str">
        <f>IF(SUM(DW19:DX19,DZ19:EB19,ED19)-DY19-EC19&gt;0,SUM(DW19:DX19,DZ19:EB19,ED19)-DY19-EC19,"")</f>
        <v/>
      </c>
      <c r="ES19" s="19" t="str">
        <f>IF(SUM(EE19:EF19,EH19)-EG19&gt;0,SUM(EE19:EF19,EH19)-EG19,"")</f>
        <v/>
      </c>
      <c r="ET19" s="19" t="str">
        <f>IF(SUM(EJ19,EN19)&gt;0,SUM(EJ19,EN19),"")</f>
        <v/>
      </c>
      <c r="EU19" s="19" t="str">
        <f>IF(SUM(EI19:EJ19,EL19:EN19,EP19)-SUM(EK19,EO19)&gt;0,SUM(EI19:EJ19,EL19:EN19,EP19)-SUM(EK19,EO19),"")</f>
        <v/>
      </c>
      <c r="EV19" s="19" t="str">
        <f>IF(SUM(ER19,EU19)&gt;0,SUM(ER19,EU19),"")</f>
        <v/>
      </c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78" t="str">
        <f>IF(SUM(EX19,FB19)&gt;0,SUM(EX19,FB19),"")</f>
        <v/>
      </c>
      <c r="FR19" s="78" t="str">
        <f>IF(SUM(EW19:EX19,EZ19:FB19,FD19)-EY19-FC19&gt;0,SUM(EW19:EX19,EZ19:FB19,FD19)-EY19-FC19,"")</f>
        <v/>
      </c>
      <c r="FS19" s="78" t="str">
        <f>IF(SUM(FE19:FF19,FH19)-FG19&gt;0,SUM(FE19:FF19,FH19)-FG19,"")</f>
        <v/>
      </c>
      <c r="FT19" s="78" t="str">
        <f>IF(SUM(FJ19,FN19)&gt;0,SUM(FJ19,FN19),"")</f>
        <v/>
      </c>
      <c r="FU19" s="78" t="str">
        <f>IF(SUM(FI19:FJ19,FL19:FN19,FP19)-SUM(FK19,FO19)&gt;0,SUM(FI19:FJ19,FL19:FN19,FP19)-SUM(FK19,FO19),"")</f>
        <v/>
      </c>
      <c r="FV19" s="78" t="str">
        <f>IF(SUM(FR19,FU19)&gt;0,SUM(FR19,FU19),"")</f>
        <v/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>IF(SUM(FX19,GB19)&gt;0,SUM(FX19,GB19),"")</f>
        <v/>
      </c>
      <c r="GR19" s="19" t="str">
        <f>IF(SUM(FW19:FX19,FZ19:GB19,GD19)-FY19-GC19&gt;0,SUM(FW19:FX19,FZ19:GB19,GD19)-FY19-GC19,"")</f>
        <v/>
      </c>
      <c r="GS19" s="19" t="str">
        <f>IF(SUM(GE19:GF19,GH19)-GG19&gt;0,SUM(GE19:GF19,GH19)-GG19,"")</f>
        <v/>
      </c>
      <c r="GT19" s="19" t="str">
        <f>IF(SUM(GJ19,GN19)&gt;0,SUM(GJ19,GN19),"")</f>
        <v/>
      </c>
      <c r="GU19" s="19" t="str">
        <f>IF(SUM(GI19:GJ19,GL19:GN19,GP19)-SUM(GK19,GO19)&gt;0,SUM(GI19:GJ19,GL19:GN19,GP19)-SUM(GK19,GO19),"")</f>
        <v/>
      </c>
      <c r="GV19" s="19" t="str">
        <f>IF(SUM(GR19,GU19)&gt;0,SUM(GR19,GU19),"")</f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>IF(SUM(GX19,HB19)&gt;0,SUM(GX19,HB19),"")</f>
        <v/>
      </c>
      <c r="HR19" s="78" t="str">
        <f>IF(SUM(GW19:GX19,GZ19:HB19,HD19)-GY19-HC19&gt;0,SUM(GW19:GX19,GZ19:HB19,HD19)-GY19-HC19,"")</f>
        <v/>
      </c>
      <c r="HS19" s="78" t="str">
        <f>IF(SUM(HE19:HF19,HH19)-HG19&gt;0,SUM(HE19:HF19,HH19)-HG19,"")</f>
        <v/>
      </c>
      <c r="HT19" s="78" t="str">
        <f>IF(SUM(HJ19,HN19)&gt;0,SUM(HJ19,HN19),"")</f>
        <v/>
      </c>
      <c r="HU19" s="78" t="str">
        <f>IF(SUM(HI19:HJ19,HL19:HN19,HP19)-SUM(HK19,HO19)&gt;0,SUM(HI19:HJ19,HL19:HN19,HP19)-SUM(HK19,HO19),"")</f>
        <v/>
      </c>
      <c r="HV19" s="78" t="str">
        <f>IF(SUM(HR19,HU19)&gt;0,SUM(HR19,HU19),"")</f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>IF(SUM(HX19,IB19)&gt;0,SUM(HX19,IB19),"")</f>
        <v/>
      </c>
      <c r="IR19" s="19" t="str">
        <f>IF(SUM(HW19:HX19,HZ19:IB19,ID19)-HY19-IC19&gt;0,SUM(HW19:HX19,HZ19:IB19,ID19)-HY19-IC19,"")</f>
        <v/>
      </c>
      <c r="IS19" s="19" t="str">
        <f>IF(SUM(IE19:IF19,IH19)-IG19&gt;0,SUM(IE19:IF19,IH19)-IG19,"")</f>
        <v/>
      </c>
      <c r="IT19" s="19" t="str">
        <f>IF(SUM(IJ19,IN19)&gt;0,SUM(IJ19,IN19),"")</f>
        <v/>
      </c>
      <c r="IU19" s="19" t="str">
        <f>IF(SUM(II19:IJ19,IL19:IN19,IP19)-SUM(IK19,IO19)&gt;0,SUM(II19:IJ19,IL19:IN19,IP19)-SUM(IK19,IO19),"")</f>
        <v/>
      </c>
      <c r="IV19" s="19" t="str">
        <f>IF(SUM(IR19,IU19)&gt;0,SUM(IR19,IU19),"")</f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>IF(SUM(IX19,JB19)&gt;0,SUM(IX19,JB19),"")</f>
        <v/>
      </c>
      <c r="JR19" s="78" t="str">
        <f>IF(SUM(IW19:IX19,IZ19:JB19,JD19)-IY19-JC19&gt;0,SUM(IW19:IX19,IZ19:JB19,JD19)-IY19-JC19,"")</f>
        <v/>
      </c>
      <c r="JS19" s="78" t="str">
        <f>IF(SUM(JE19:JF19,JH19)-JG19&gt;0,SUM(JE19:JF19,JH19)-JG19,"")</f>
        <v/>
      </c>
      <c r="JT19" s="78" t="str">
        <f>IF(SUM(JJ19,JN19)&gt;0,SUM(JJ19,JN19),"")</f>
        <v/>
      </c>
      <c r="JU19" s="78" t="str">
        <f>IF(SUM(JI19:JJ19,JL19:JN19,JP19)-SUM(JK19,JO19)&gt;0,SUM(JI19:JJ19,JL19:JN19,JP19)-SUM(JK19,JO19),"")</f>
        <v/>
      </c>
      <c r="JV19" s="78" t="str">
        <f>IF(SUM(JR19,JU19)&gt;0,SUM(JR19,JU19),"")</f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>IF(SUM(JX19,KB19)&gt;0,SUM(JX19,KB19),"")</f>
        <v/>
      </c>
      <c r="KR19" s="19" t="str">
        <f>IF(SUM(JW19:JX19,JZ19:KB19,KD19)-JY19-KC19&gt;0,SUM(JW19:JX19,JZ19:KB19,KD19)-JY19-KC19,"")</f>
        <v/>
      </c>
      <c r="KS19" s="19" t="str">
        <f>IF(SUM(KE19:KF19,KH19)-KG19&gt;0,SUM(KE19:KF19,KH19)-KG19,"")</f>
        <v/>
      </c>
      <c r="KT19" s="19" t="str">
        <f>IF(SUM(KJ19,KN19)&gt;0,SUM(KJ19,KN19),"")</f>
        <v/>
      </c>
      <c r="KU19" s="19" t="str">
        <f>IF(SUM(KI19:KJ19,KL19:KN19,KP19)-SUM(KK19,KO19)&gt;0,SUM(KI19:KJ19,KL19:KN19,KP19)-SUM(KK19,KO19),"")</f>
        <v/>
      </c>
      <c r="KV19" s="19" t="str">
        <f>IF(SUM(KR19,KU19)&gt;0,SUM(KR19,KU19),"")</f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>IF(SUM(KX19,LB19)&gt;0,SUM(KX19,LB19),"")</f>
        <v/>
      </c>
      <c r="LR19" s="78" t="str">
        <f>IF(SUM(KW19:KX19,KZ19:LB19,LD19)-KY19-LC19&gt;0,SUM(KW19:KX19,KZ19:LB19,LD19)-KY19-LC19,"")</f>
        <v/>
      </c>
      <c r="LS19" s="78" t="str">
        <f>IF(SUM(LE19:LF19,LH19)-LG19&gt;0,SUM(LE19:LF19,LH19)-LG19,"")</f>
        <v/>
      </c>
      <c r="LT19" s="78" t="str">
        <f>IF(SUM(LJ19,LN19)&gt;0,SUM(LJ19,LN19),"")</f>
        <v/>
      </c>
      <c r="LU19" s="78" t="str">
        <f>IF(SUM(LI19:LJ19,LL19:LN19,LP19)-SUM(LK19,LO19)&gt;0,SUM(LI19:LJ19,LL19:LN19,LP19)-SUM(LK19,LO19),"")</f>
        <v/>
      </c>
      <c r="LV19" s="78" t="str">
        <f>IF(SUM(LR19,LU19)&gt;0,SUM(LR19,LU19),"")</f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>IF(SUM(LX19,MB19)&gt;0,SUM(LX19,MB19),"")</f>
        <v/>
      </c>
      <c r="MR19" s="19" t="str">
        <f>IF(SUM(LW19:LX19,LZ19:MB19,MD19)-LY19-MC19&gt;0,SUM(LW19:LX19,LZ19:MB19,MD19)-LY19-MC19,"")</f>
        <v/>
      </c>
      <c r="MS19" s="19" t="str">
        <f>IF(SUM(ME19:MF19,MH19)-MG19&gt;0,SUM(ME19:MF19,MH19)-MG19,"")</f>
        <v/>
      </c>
      <c r="MT19" s="19" t="str">
        <f>IF(SUM(MJ19,MN19)&gt;0,SUM(MJ19,MN19),"")</f>
        <v/>
      </c>
      <c r="MU19" s="19" t="str">
        <f>IF(SUM(MI19:MJ19,ML19:MN19,MP19)-SUM(MK19,MO19)&gt;0,SUM(MI19:MJ19,ML19:MN19,MP19)-SUM(MK19,MO19),"")</f>
        <v/>
      </c>
      <c r="MV19" s="19" t="str">
        <f>IF(SUM(MR19,MU19)&gt;0,SUM(MR19,MU19),"")</f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>IF(SUM(MX19,NB19)&gt;0,SUM(MX19,NB19),"")</f>
        <v/>
      </c>
      <c r="NR19" s="78" t="str">
        <f>IF(SUM(MW19:MX19,MZ19:NB19,ND19)-MY19-NC19&gt;0,SUM(MW19:MX19,MZ19:NB19,ND19)-MY19-NC19,"")</f>
        <v/>
      </c>
      <c r="NS19" s="78" t="str">
        <f>IF(SUM(NE19:NF19,NH19)-NG19&gt;0,SUM(NE19:NF19,NH19)-NG19,"")</f>
        <v/>
      </c>
      <c r="NT19" s="78" t="str">
        <f>IF(SUM(NJ19,NN19)&gt;0,SUM(NJ19,NN19),"")</f>
        <v/>
      </c>
      <c r="NU19" s="78" t="str">
        <f>IF(SUM(NI19:NJ19,NL19:NN19,NP19)-SUM(NK19,NO19)&gt;0,SUM(NI19:NJ19,NL19:NN19,NP19)-SUM(NK19,NO19),"")</f>
        <v/>
      </c>
      <c r="NV19" s="78" t="str">
        <f>IF(SUM(NR19,NU19)&gt;0,SUM(NR19,NU19),"")</f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>IF(SUM(NX19,OB19)&gt;0,SUM(NX19,OB19),"")</f>
        <v/>
      </c>
      <c r="OR19" s="19" t="str">
        <f>IF(SUM(NW19:NX19,NZ19:OB19,OD19)-NY19-OC19&gt;0,SUM(NW19:NX19,NZ19:OB19,OD19)-NY19-OC19,"")</f>
        <v/>
      </c>
      <c r="OS19" s="19" t="str">
        <f>IF(SUM(OE19:OF19,OH19)-OG19&gt;0,SUM(OE19:OF19,OH19)-OG19,"")</f>
        <v/>
      </c>
      <c r="OT19" s="19" t="str">
        <f>IF(SUM(OJ19,ON19)&gt;0,SUM(OJ19,ON19),"")</f>
        <v/>
      </c>
      <c r="OU19" s="19" t="str">
        <f>IF(SUM(OI19:OJ19,OL19:ON19,OP19)-SUM(OK19,OO19)&gt;0,SUM(OI19:OJ19,OL19:ON19,OP19)-SUM(OK19,OO19),"")</f>
        <v/>
      </c>
      <c r="OV19" s="19" t="str">
        <f>IF(SUM(OR19,OU19)&gt;0,SUM(OR19,OU19),"")</f>
        <v/>
      </c>
      <c r="OW19" s="37">
        <f>IF($CN19="P",BT19,(BT19+AS19)/2)</f>
        <v>7.65</v>
      </c>
      <c r="OX19" s="37">
        <f>IF($CN19="P",BU19,(BU19+AT19)/2)</f>
        <v>1.7</v>
      </c>
      <c r="OY19" s="37">
        <f>IF($CN19="P",BV19,(BV19+AU19)/2)</f>
        <v>0.2</v>
      </c>
      <c r="OZ19" s="37">
        <f>IF($CN19="P",BW19,(BW19+AV19)/2)</f>
        <v>0</v>
      </c>
      <c r="PA19" s="37">
        <f>IF($CN19="P",BX19,(BX19+AW19)/2)</f>
        <v>8.15</v>
      </c>
      <c r="PB19" s="37">
        <f>IF($CN19="P",BY19,(BY19+AX19)/2)</f>
        <v>0.6</v>
      </c>
      <c r="PC19" s="37">
        <f>IF($CN19="P",BZ19,(BZ19+AY19)/2)</f>
        <v>0</v>
      </c>
      <c r="PD19" s="37">
        <f>IF($CN19="P",CA19,(CA19+AZ19)/2)</f>
        <v>0</v>
      </c>
      <c r="PE19" s="37">
        <f>IF($CN19="P",CB19,(CB19+BA19)/2)</f>
        <v>0</v>
      </c>
      <c r="PF19" s="37">
        <f>IF($CN19="P",CC19,(CC19+BB19)/2)</f>
        <v>0</v>
      </c>
      <c r="PG19" s="37">
        <f>IF($CN19="P",CD19,(CD19+BC19)/2)</f>
        <v>0</v>
      </c>
      <c r="PH19" s="37">
        <f>IF($CN19="P",CE19,(CE19+BD19)/2)</f>
        <v>0</v>
      </c>
      <c r="PI19" s="37">
        <f>IF($CN19="P",CF19,(CF19+BE19)/2)</f>
        <v>0</v>
      </c>
      <c r="PJ19" s="37">
        <f>IF($CN19="P",CG19,(CG19+BF19)/2)</f>
        <v>0</v>
      </c>
      <c r="PK19" s="37">
        <f>IF($CN19="P",CH19,(CH19+BG19)/2)</f>
        <v>0</v>
      </c>
      <c r="PL19" s="37">
        <f>IF($CN19="P",CI19,(CI19+BH19)/2)</f>
        <v>0</v>
      </c>
      <c r="PM19" s="37">
        <f>IF($CN19="P",CJ19,(CJ19+BI19)/2)</f>
        <v>0</v>
      </c>
      <c r="PN19" s="37">
        <f>IF($CN19="P",CK19,(CK19+BJ19)/2)</f>
        <v>0</v>
      </c>
      <c r="PO19" s="37">
        <f>IF($CN19="P",CL19,(CL19+BK19)/2)</f>
        <v>0</v>
      </c>
      <c r="PP19" s="37">
        <f>IF($CN19="P",CM19,(CM19+BL19)/2)</f>
        <v>0</v>
      </c>
      <c r="PQ19" s="44" t="s">
        <v>46</v>
      </c>
      <c r="PR19" s="78">
        <f>IF(SUM(OX19,PB19)&gt;0,SUM(OX19,PB19),"")</f>
        <v>2.2999999999999998</v>
      </c>
      <c r="PS19" s="78">
        <f>IF(SUM(OW19:OX19,OZ19:PB19,PD19)-OY19-PC19&gt;0,SUM(OW19:OX19,OZ19:PB19,PD19)-OY19-PC19,"")</f>
        <v>17.900000000000002</v>
      </c>
      <c r="PT19" s="78" t="str">
        <f>IF(SUM(PE19:PF19,PH19)-PG19&gt;0,SUM(PE19:PF19,PH19)-PG19,"")</f>
        <v/>
      </c>
      <c r="PU19" s="78" t="str">
        <f>IF(SUM(PJ19,PN19)&gt;0,SUM(PJ19,PN19),"")</f>
        <v/>
      </c>
      <c r="PV19" s="78" t="str">
        <f>IF(SUM(PI19:PJ19,PL19:PN19,PP19)-SUM(PK19,PO19)&gt;0,SUM(PI19:PJ19,PL19:PN19,PP19)-SUM(PK19,PO19),"")</f>
        <v/>
      </c>
      <c r="PW19" s="78">
        <f>IF(SUM(PS19,PV19)&gt;0,SUM(PS19,PV19),"")</f>
        <v>17.900000000000002</v>
      </c>
    </row>
    <row r="20" spans="1:439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77" t="s">
        <v>195</v>
      </c>
      <c r="C20" s="5" t="s">
        <v>3</v>
      </c>
      <c r="D20" s="5">
        <v>2004</v>
      </c>
      <c r="E20" s="15">
        <f>SUM(I20:O20)+SUM(I20:M20)*0.0000001+SUM(I20)*0.0000000000001</f>
        <v>80.800008080004048</v>
      </c>
      <c r="F20" s="3" t="str">
        <f>IF(OR(AND(AM20&gt;=AR$26,AN20&gt;=AR$30,AM20&lt;&gt;"",AL20=""),AND(AP20&gt;=AR$26,AQ20&gt;=AR$30,AP20&lt;&gt;"",AL20=""),AND(BN20&gt;=BS$26,BO20&gt;=BS$30,BN20&lt;&gt;"",BM20=""),AND(BQ20&gt;=BS$26,BR20&gt;=BS$30,BQ20&lt;&gt;"",BM20=""),AND(CO20&gt;=CT$26,CP20&gt;=CT$30,CO20&lt;&gt;"",CN20=""),AND(CR20&gt;=CT$26,CS20&gt;=CT$30,CR20&lt;&gt;""),AND(DQ20&gt;=DV$26,DR20&gt;=DV$30,DQ20&lt;&gt;""),AND(DT20&gt;=DV$26,DU20&gt;=DV$30,DT20&lt;&gt;""),AND(EQ20&gt;=EV$26,ER20&gt;=EV$30,EQ20&lt;&gt;""),AND(ET20&gt;=EV$26,EU20&gt;=EV$30,ET20&lt;&gt;""),AND(FQ20&gt;=FV$26,FR20&gt;=FV$30,FQ20&lt;&gt;""),AND(FT20&gt;=FV$26,FU20&gt;=FV$30,FT20&lt;&gt;""),AND(GQ20&gt;=GV$26,GR20&gt;=GV$30,GQ20&lt;&gt;""),AND(GT20&gt;=GV$26,GU20&gt;=GV$30,GT20&lt;&gt;""),AND(HQ20&gt;=HV$26,HR20&gt;=HV$30,HQ20&lt;&gt;""),AND(HT20&gt;=HV$26,HU20&gt;=HV$30,HT20&lt;&gt;""),AND(IQ20&gt;=IV$26,IR20&gt;=IV$30,IQ20&lt;&gt;""),AND(IT20&gt;=IV$26,IU20&gt;=IV$30,IT20&lt;&gt;""),AND(JQ20&gt;=JV$26,JR20&gt;=JV$30,JQ20&lt;&gt;""),AND(JT20&gt;=JV$26,JU20&gt;=JV$30,JT20&lt;&gt;""),AND(KQ20&gt;=KV$26,KR20&gt;=KV$30,KQ20&lt;&gt;""),AND(KT20&gt;=KV$26,KU20&gt;=KV$30,KT20&lt;&gt;""),AND(LQ20&gt;=LV$26,LR20&gt;=LV$30,LQ20&lt;&gt;""),AND(LT20&gt;=LV$26,LU20&gt;=LV$30,LT20&lt;&gt;""),AND(MQ20&gt;=MV$26,MR20&gt;=MV$30,MQ20&lt;&gt;""),AND(MT20&gt;=MV$26,MU20&gt;=MV$30,MT20&lt;&gt;""),AND(NQ20&gt;=NV$26,NR20&gt;=NV$30,NQ20&lt;&gt;""),AND(NT20&gt;=NV$26,NU20&gt;=NV$30,NT20&lt;&gt;""),AND(OQ20&gt;=OV$26,OR20&gt;=OV$30,OQ20&lt;&gt;""),AND(OT20&gt;=OV$26,OU20&gt;=OV$30,OT20&lt;&gt;"")),"P","")</f>
        <v/>
      </c>
      <c r="G20" s="3" t="str">
        <f>IF(OR(AND(AN20&gt;=AR$30,AN20&lt;&gt;"",AL20=""),AND(AQ20&gt;=AR$30,AQ20&lt;&gt;"",AL20=""),AND(BO20&gt;=BS$30,BO20&lt;&gt;"",BM20=""),AND(BR20&gt;=BS$30,BR20&lt;&gt;"",BM20=""),AND(CP20&gt;=CT$30,CP20&lt;&gt;"",CN20=""),AND(CS20&gt;=CT$30,CS20&lt;&gt;"",CN20=""),AND(DR20&gt;=DV$30,DR20&lt;&gt;""),AND(DU20&gt;=DV$30,DU20&lt;&gt;""),AND(ER20&gt;=EV$30,ER20&lt;&gt;""),AND(EU20&gt;=EV$30,EU20&lt;&gt;""),AND(FR20&gt;=FV$30,FR20&lt;&gt;""),AND(FU20&gt;=FV$30,FU20&lt;&gt;""),AND(GR20&gt;=GV$30,GR20&lt;&gt;""),AND(GU20&gt;=GV$30,GU20&lt;&gt;""),AND(HR20&gt;=HV$30,HR20&lt;&gt;""),AND(HU20&gt;=HV$30,HU20&lt;&gt;""),AND(IR20&gt;=IV$30,IR20&lt;&gt;""),AND(IU20&gt;=IV$30,IU20&lt;&gt;""),AND(JR20&gt;=JV$30,JR20&lt;&gt;""),AND(JU20&gt;=JV$30,JU20&lt;&gt;""),AND(KR20&gt;=KV$30,KR20&lt;&gt;""),AND(KU20&gt;=KV$30,KU20&lt;&gt;""),AND(LR20&gt;=LV$30,LR20&lt;&gt;""),AND(LU20&gt;=LV$30,LU20&lt;&gt;""),AND(MR20&gt;=MV$30,MR20&lt;&gt;""),AND(MU20&gt;=MV$30,MU20&lt;&gt;""),AND(NR20&gt;=NV$30,NR20&lt;&gt;""),AND(NU20&gt;=NV$30,NU20&lt;&gt;""),AND(OR20&gt;=OV$30,OR20&lt;&gt;""),AND(OU20&gt;=OV$30,OU20&lt;&gt;"")),"P","")</f>
        <v/>
      </c>
      <c r="H20" s="66" t="str">
        <f>IF(AND(G20="P",F20=""),"No DD",IF(OR(AND(AM20&gt;=AR$29,AN20&gt;=AR$33,AM20&lt;&gt;"",AL20=""),AND(AP20&gt;=AR$29,AQ20&gt;=AR$33,AP20&lt;&gt;"",AL20=""),AND(BN20&gt;=BS$29,BO20&gt;=BS$33,BN20&lt;&gt;"",BM20=""),AND(BQ20&gt;=BS$29,BR20&gt;=BS$33,BQ20&lt;&gt;"",BM20=""),AND(CO20&gt;=CT$29,CP20&gt;=CT$33,CO20&lt;&gt;"",CN20=""),AND(CR20&gt;=CT$29,CS20&gt;=CT$33,CR20&lt;&gt;""),AND(DQ20&gt;=DV$29,DR20&gt;=DV$33,DQ20&lt;&gt;""),AND(DT20&gt;=DV$29,DU20&gt;=DV$33,DT20&lt;&gt;""),AND(EQ20&gt;=EV$29,ER20&gt;=EV$33,EQ20&lt;&gt;""),AND(ET20&gt;=EV$29,EU20&gt;=EV$33,ET20&lt;&gt;""),AND(FQ20&gt;=FV$29,FR20&gt;=FV$33,FQ20&lt;&gt;""),AND(FT20&gt;=FV$29,FU20&gt;=FV$33,FT20&lt;&gt;""),AND(GQ20&gt;=GV$29,GR20&gt;=GV$33,GQ20&lt;&gt;""),AND(GT20&gt;=GV$29,GU20&gt;=GV$33,GT20&lt;&gt;""),AND(HQ20&gt;=HV$29,HR20&gt;=HV$33,HQ20&lt;&gt;""),AND(HT20&gt;=HV$29,HU20&gt;=HV$33,HT20&lt;&gt;""),AND(IQ20&gt;=IV$29,IR20&gt;=IV$33,IQ20&lt;&gt;""),AND(IT20&gt;=IV$29,IU20&gt;=IV$33,IT20&lt;&gt;""),AND(JQ20&gt;=JV$29,JR20&gt;=JV$33,JQ20&lt;&gt;""),AND(JT20&gt;=JV$29,JU20&gt;=JV$33,JT20&lt;&gt;""),AND(KQ20&gt;=KV$29,KR20&gt;=KV$33,KQ20&lt;&gt;""),AND(KT20&gt;=KV$29,KU20&gt;=KV$33,KT20&lt;&gt;""),AND(LQ20&gt;=LV$29,LR20&gt;=LV$33,LQ20&lt;&gt;""),AND(LT20&gt;=LV$29,LU20&gt;=LV$33,LT20&lt;&gt;""),AND(MQ20&gt;=MV$29,MR20&gt;=MV$33,MQ20&lt;&gt;""),AND(MT20&gt;=MV$29,MU20&gt;=MV$33,MT20&lt;&gt;""),AND(NQ20&gt;=NV$29,NR20&gt;=NV$33,NQ20&lt;&gt;""),AND(NT20&gt;=NV$29,NU20&gt;=NV$33,NT20&lt;&gt;""),AND(OQ20&gt;=OV$29,OR20&gt;=OV$33,OQ20&lt;&gt;""),AND(OT20&gt;=OV$29,OU20&gt;=OV$33,OT20&lt;&gt;"")),"Merit",IF(OR(AND(AM20&gt;=AR$28,AN20&gt;=AR$32,AM20&lt;&gt;"",AL20=""),AND(AP20&gt;=AR$28,AQ20&gt;=AR$32,AP20&lt;&gt;"",AL20=""),AND(BN20&gt;=BS$28,BO20&gt;=BS$32,BN20&lt;&gt;"",BM20=""),AND(BQ20&gt;=BS$28,BR20&gt;=BS$32,BQ20&lt;&gt;"",BM20=""),AND(CO20&gt;=CT$28,CP20&gt;=CT$32,CO20&lt;&gt;"",CN20=""),AND(CR20&gt;=CT$28,CS20&gt;=CT$32,CR20&lt;&gt;""),AND(DQ20&gt;=DV$28,DR20&gt;=DV$32,DQ20&lt;&gt;""),AND(DT20&gt;=DV$28,DU20&gt;=DV$32,DT20&lt;&gt;""),AND(EQ20&gt;=EV$28,ER20&gt;=EV$32,EQ20&lt;&gt;""),AND(ET20&gt;=EV$28,EU20&gt;=EV$32,ET20&lt;&gt;""),AND(FQ20&gt;=FV$28,FR20&gt;=FV$32,FQ20&lt;&gt;""),AND(FT20&gt;=FV$28,FU20&gt;=FV$32,FT20&lt;&gt;""),AND(GQ20&gt;=GV$28,GR20&gt;=GV$32,GQ20&lt;&gt;""),AND(GT20&gt;=GV$28,GU20&gt;=GV$32,GT20&lt;&gt;""),AND(HQ20&gt;=HV$28,HR20&gt;=HV$32,HQ20&lt;&gt;""),AND(HT20&gt;=HV$28,HU20&gt;=HV$32,HT20&lt;&gt;""),AND(IQ20&gt;=IV$28,IR20&gt;=IV$32,IQ20&lt;&gt;""),AND(IT20&gt;=IV$28,IU20&gt;=IV$32,IT20&lt;&gt;""),AND(JQ20&gt;=JV$28,JR20&gt;=JV$32,JQ20&lt;&gt;""),AND(JT20&gt;=JV$28,JU20&gt;=JV$32,JT20&lt;&gt;""),AND(KQ20&gt;=KV$28,KR20&gt;=KV$32,KQ20&lt;&gt;""),AND(KT20&gt;=KV$28,KU20&gt;=KV$32,KT20&lt;&gt;""),AND(LQ20&gt;=LV$28,LR20&gt;=LV$32,LQ20&lt;&gt;""),AND(LT20&gt;=LV$28,LU20&gt;=LV$32,LT20&lt;&gt;""),AND(MQ20&gt;=MV$28,MR20&gt;=MV$32,MQ20&lt;&gt;""),AND(MT20&gt;=MV$28,MU20&gt;=MV$32,MT20&lt;&gt;""),AND(NQ20&gt;=NV$28,NR20&gt;=NV$32,NQ20&lt;&gt;""),AND(NT20&gt;=NV$28,NU20&gt;=NV$32,NT20&lt;&gt;""),AND(OQ20&gt;=OV$28,OR20&gt;=OV$32,OQ20&lt;&gt;""),AND(OT20&gt;=OV$28,OU20&gt;=OV$32,OT20&lt;&gt;"")),"Excellence",IF(F20="P","National Team",""))))</f>
        <v/>
      </c>
      <c r="I20" s="14">
        <f>IF(COUNT(AN20,BO20,CP20)&gt;0,LARGE((AN20,BO20,CP20),1),0)</f>
        <v>40.699999999999996</v>
      </c>
      <c r="J20" s="14" t="str">
        <f>IF(I20=0,"",IF(I20=CP20,$BT$1,IF(I20=BO20,$AS$1,IF(I20=AN20,$R$1,""))))</f>
        <v>2022 Nationals</v>
      </c>
      <c r="K20" s="14">
        <f>IF(COUNT(AN20,BO20,CP20)&gt;1,LARGE((AN20,BO20,CP20),2),0)</f>
        <v>0</v>
      </c>
      <c r="L20" s="14" t="str">
        <f>IF(K20=0,"",IF(K20=CP20,$BT$1,IF(K20=BO20,$AS$1,IF(K20=AN20,$R$1,""))))</f>
        <v/>
      </c>
      <c r="M20" s="14">
        <f>IF(MAX(AQ20,BR20,CS20)&gt;0,MAX(AQ20,BR20,CS20),0)</f>
        <v>40.099999999999994</v>
      </c>
      <c r="N20" s="14" t="str">
        <f>IF(M20=0,"",IF(M20=CS20,$BT$1,IF(M20=BR20,$AS$1,IF(M20=AQ20,$R$1,""))))</f>
        <v>2022 Nationals</v>
      </c>
      <c r="O20" s="14" t="str">
        <f>IF(MAX(CU20:CV20)&gt;0,MAX(CU20:CV20),"")</f>
        <v/>
      </c>
      <c r="P20" s="19" t="str">
        <f>IF(O20="","",IF(O20=CU20,"("&amp;CU$2&amp;")",IF(O20=CV20,"("&amp;CV$2&amp;")")))</f>
        <v/>
      </c>
      <c r="Q20" s="14" t="str">
        <f>IF(O20="","",IF(O20=CU20,IF(O20+IF(K20="",0,K20)=OR20,$NW$1,IF(O20+IF(K20="",0,K20)=NR20,$MW$1,IF(O20+IF(K20="",0,K20)=MR20,$LW$1,IF(O20+IF(K20="",0,K20)=LR20,$KW$1,IF(O20+IF(K20="",0,K20)=KR20,$JW$1,IF(O20+IF(K20="",0,K20)=JR20,$IW$1,IF(O20+IF(K20="",0,K20)=IR20,$HW$1,IF(O20+IF(K20="",0,K20)=HR20,$GW$1,IF(O20+IF(K20="",0,K20)=GR20,$FW$1,IF(O20+IF(K20="",0,K20)=FR20,$EW$1,IF(O20+IF(K20="",0,K20)=ER20,$DW$1,IF(O20+IF(K20="",0,K20)=DR20,$CW$1)))))))))))),IF(O20=CV20,IF(O20+IF(M20="",0,M20)=OU20,$NW$1,IF(O20+IF(M20="",0,M20)=NU20,$MW$1,IF(O20+IF(M20="",0,M20)=MU20,$LW$1,IF(O20+IF(M20="",0,M20)=LU20,$KW$1,IF(O20+IF(M20="",0,M20)=KU20,$JW$1,IF(O20+IF(M20="",0,M20)=JU20,$IW$1,IF(O20+IF(M20="",0,M20)=IU20,$HW$1,IF(O20+IF(M20="",0,M20)=HU20,$GW$1,IF(O20+IF(M20="",0,M20)=GU20,$FW$1,IF(O20+IF(M20="",0,M20)=FU20,$EW$1,IF(O20+IF(M20="",0,M20)=EU20,$DW$1,IF(O20+IF(M20="",0,M20)=DU20,$CW$1)))))))))))))))</f>
        <v/>
      </c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 t="str">
        <f>IF(SUM(S20,W20)&gt;0,SUM(S20,W20),"")</f>
        <v/>
      </c>
      <c r="AN20" s="78" t="str">
        <f>IF(SUM(R20:S20,U20:W20,Y20)-T20-X20&gt;0,SUM(R20:S20,U20:W20,Y20)-T20-X20,"")</f>
        <v/>
      </c>
      <c r="AO20" s="78" t="str">
        <f>IF(SUM(Z20:AA20,AC20)-AB20&gt;0,SUM(Z20:AA20,AC20)-AB20,"")</f>
        <v/>
      </c>
      <c r="AP20" s="78" t="str">
        <f>IF(SUM(AE20,AI20)&gt;0,SUM(AE20,AI20),"")</f>
        <v/>
      </c>
      <c r="AQ20" s="78" t="str">
        <f>IF(SUM(AD20:AE20,AG20:AI20,AK20)-SUM(AF20,AJ20)&gt;0,SUM(AD20:AE20,AG20:AI20,AK20)-SUM(AF20,AJ20),"")</f>
        <v/>
      </c>
      <c r="AR20" s="78" t="str">
        <f>IF(SUM(AN20,AQ20)&gt;0,SUM(AN20,AQ20),"")</f>
        <v/>
      </c>
      <c r="AS20" s="25">
        <v>17.2</v>
      </c>
      <c r="AT20" s="25">
        <v>3.4</v>
      </c>
      <c r="AU20" s="25">
        <v>0</v>
      </c>
      <c r="AV20" s="25">
        <v>0</v>
      </c>
      <c r="AW20" s="25">
        <v>15.9</v>
      </c>
      <c r="AX20" s="25">
        <v>3.9</v>
      </c>
      <c r="AY20" s="25">
        <v>0</v>
      </c>
      <c r="AZ20" s="25">
        <v>0.3</v>
      </c>
      <c r="BA20" s="25"/>
      <c r="BB20" s="25"/>
      <c r="BC20" s="25"/>
      <c r="BD20" s="25"/>
      <c r="BE20" s="25">
        <v>16.8</v>
      </c>
      <c r="BF20" s="25">
        <v>3.4</v>
      </c>
      <c r="BG20" s="25">
        <v>0</v>
      </c>
      <c r="BH20" s="25">
        <v>0</v>
      </c>
      <c r="BI20" s="25">
        <v>15.7</v>
      </c>
      <c r="BJ20" s="25">
        <v>3.9</v>
      </c>
      <c r="BK20" s="25">
        <v>0</v>
      </c>
      <c r="BL20" s="25">
        <v>0.3</v>
      </c>
      <c r="BM20" s="45"/>
      <c r="BN20" s="19">
        <f>IF(SUM(AT20,AX20)&gt;0,SUM(AT20,AX20),"")</f>
        <v>7.3</v>
      </c>
      <c r="BO20" s="19">
        <f>IF(SUM(AS20:AT20,AV20:AX20,AZ20)-AU20-AY20&gt;0,SUM(AS20:AT20,AV20:AX20,AZ20)-AU20-AY20,"")</f>
        <v>40.699999999999996</v>
      </c>
      <c r="BP20" s="19" t="str">
        <f>IF(SUM(BA20:BB20,BD20)-BC20&gt;0,SUM(BA20:BB20,BD20)-BC20,"")</f>
        <v/>
      </c>
      <c r="BQ20" s="19">
        <f>IF(SUM(BF20,BJ20)&gt;0,SUM(BF20,BJ20),"")</f>
        <v>7.3</v>
      </c>
      <c r="BR20" s="19">
        <f>IF(SUM(BE20:BF20,BH20:BJ20,BL20)-SUM(BG20,BK20)&gt;0,SUM(BE20:BF20,BH20:BJ20,BL20)-SUM(BG20,BK20),"")</f>
        <v>40.099999999999994</v>
      </c>
      <c r="BS20" s="19">
        <f>IF(SUM(BO20,BR20)&gt;0,SUM(BO20,BR20),"")</f>
        <v>80.799999999999983</v>
      </c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44"/>
      <c r="CO20" s="78" t="str">
        <f>IF(SUM(BU20,BY20)&gt;0,SUM(BU20,BY20),"")</f>
        <v/>
      </c>
      <c r="CP20" s="78" t="str">
        <f>IF(SUM(BT20:BU20,BW20:BY20,CA20)-BV20-BZ20&gt;0,SUM(BT20:BU20,BW20:BY20,CA20)-BV20-BZ20,"")</f>
        <v/>
      </c>
      <c r="CQ20" s="78" t="str">
        <f>IF(SUM(CB20:CC20,CE20)-CD20&gt;0,SUM(CB20:CC20,CE20)-CD20,"")</f>
        <v/>
      </c>
      <c r="CR20" s="78" t="str">
        <f>IF(SUM(CG20,CK20)&gt;0,SUM(CG20,CK20),"")</f>
        <v/>
      </c>
      <c r="CS20" s="78" t="str">
        <f>IF(SUM(CF20:CG20,CI20:CK20,CM20)-SUM(CH20,CL20)&gt;0,SUM(CF20:CG20,CI20:CK20,CM20)-SUM(CH20,CL20),"")</f>
        <v/>
      </c>
      <c r="CT20" s="78" t="str">
        <f>IF(SUM(CP20,CS20)&gt;0,SUM(CP20,CS20),"")</f>
        <v/>
      </c>
      <c r="CU20" s="79" t="str">
        <f>IF(K20&gt;=0.001,IF(MAX(DR20,ER20,FR20,GR20,HR20,IR20,JR20,KR20,LR20,MR20,NR20,OR20)-IF(K20="",0,K20)&gt;0.001,MAX(DR20,ER20,FR20,GR20,HR20,IR20,JR20,KR20,LR20,MR20,NR20,OR20)-IF(K20="",0,K20),""),"")</f>
        <v/>
      </c>
      <c r="CV20" s="79" t="str">
        <f>IF(M20&gt;=0.001,IF(MAX(DU20,EU20,FU20,GU20,HU20,IU20,JU20,KU20,LU20,MU20,NU20,OU20)-IF(M20="",0,M20)&gt;0.001,MAX(DU20,EU20,FU20,GU20,HU20,IU20,JU20,KU20,LU20,MU20,NU20,OU20)-IF(M20="",0,M20),""),"")</f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>IF(SUM(CX20,DB20)&gt;0,SUM(CX20,DB20),"")</f>
        <v/>
      </c>
      <c r="DR20" s="78" t="str">
        <f>IF(SUM(CW20:CX20,CZ20:DB20,DD20)-CY20-DC20&gt;0,SUM(CW20:CX20,CZ20:DB20,DD20)-CY20-DC20,"")</f>
        <v/>
      </c>
      <c r="DS20" s="78" t="str">
        <f>IF(SUM(DE20:DF20,DH20)-DG20&gt;0,SUM(DE20:DF20,DH20)-DG20,"")</f>
        <v/>
      </c>
      <c r="DT20" s="78" t="str">
        <f>IF(SUM(DJ20,DN20)&gt;0,SUM(DJ20,DN20),"")</f>
        <v/>
      </c>
      <c r="DU20" s="78" t="str">
        <f>IF(SUM(DI20:DJ20,DL20:DN20,DP20)-SUM(DK20,DO20)&gt;0,SUM(DI20:DJ20,DL20:DN20,DP20)-SUM(DK20,DO20),"")</f>
        <v/>
      </c>
      <c r="DV20" s="78" t="str">
        <f>IF(SUM(DR20,DU20)&gt;0,SUM(DR20,DU20),"")</f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>IF(SUM(DX20,EB20)&gt;0,SUM(DX20,EB20),"")</f>
        <v/>
      </c>
      <c r="ER20" s="19" t="str">
        <f>IF(SUM(DW20:DX20,DZ20:EB20,ED20)-DY20-EC20&gt;0,SUM(DW20:DX20,DZ20:EB20,ED20)-DY20-EC20,"")</f>
        <v/>
      </c>
      <c r="ES20" s="19" t="str">
        <f>IF(SUM(EE20:EF20,EH20)-EG20&gt;0,SUM(EE20:EF20,EH20)-EG20,"")</f>
        <v/>
      </c>
      <c r="ET20" s="19" t="str">
        <f>IF(SUM(EJ20,EN20)&gt;0,SUM(EJ20,EN20),"")</f>
        <v/>
      </c>
      <c r="EU20" s="19" t="str">
        <f>IF(SUM(EI20:EJ20,EL20:EN20,EP20)-SUM(EK20,EO20)&gt;0,SUM(EI20:EJ20,EL20:EN20,EP20)-SUM(EK20,EO20),"")</f>
        <v/>
      </c>
      <c r="EV20" s="19" t="str">
        <f>IF(SUM(ER20,EU20)&gt;0,SUM(ER20,EU20),"")</f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>IF(SUM(EX20,FB20)&gt;0,SUM(EX20,FB20),"")</f>
        <v/>
      </c>
      <c r="FR20" s="78" t="str">
        <f>IF(SUM(EW20:EX20,EZ20:FB20,FD20)-EY20-FC20&gt;0,SUM(EW20:EX20,EZ20:FB20,FD20)-EY20-FC20,"")</f>
        <v/>
      </c>
      <c r="FS20" s="78" t="str">
        <f>IF(SUM(FE20:FF20,FH20)-FG20&gt;0,SUM(FE20:FF20,FH20)-FG20,"")</f>
        <v/>
      </c>
      <c r="FT20" s="78" t="str">
        <f>IF(SUM(FJ20,FN20)&gt;0,SUM(FJ20,FN20),"")</f>
        <v/>
      </c>
      <c r="FU20" s="78" t="str">
        <f>IF(SUM(FI20:FJ20,FL20:FN20,FP20)-SUM(FK20,FO20)&gt;0,SUM(FI20:FJ20,FL20:FN20,FP20)-SUM(FK20,FO20),"")</f>
        <v/>
      </c>
      <c r="FV20" s="78" t="str">
        <f>IF(SUM(FR20,FU20)&gt;0,SUM(FR20,FU20),"")</f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>IF(SUM(FX20,GB20)&gt;0,SUM(FX20,GB20),"")</f>
        <v/>
      </c>
      <c r="GR20" s="19" t="str">
        <f>IF(SUM(FW20:FX20,FZ20:GB20,GD20)-FY20-GC20&gt;0,SUM(FW20:FX20,FZ20:GB20,GD20)-FY20-GC20,"")</f>
        <v/>
      </c>
      <c r="GS20" s="19" t="str">
        <f>IF(SUM(GE20:GF20,GH20)-GG20&gt;0,SUM(GE20:GF20,GH20)-GG20,"")</f>
        <v/>
      </c>
      <c r="GT20" s="19" t="str">
        <f>IF(SUM(GJ20,GN20)&gt;0,SUM(GJ20,GN20),"")</f>
        <v/>
      </c>
      <c r="GU20" s="19" t="str">
        <f>IF(SUM(GI20:GJ20,GL20:GN20,GP20)-SUM(GK20,GO20)&gt;0,SUM(GI20:GJ20,GL20:GN20,GP20)-SUM(GK20,GO20),"")</f>
        <v/>
      </c>
      <c r="GV20" s="19" t="str">
        <f>IF(SUM(GR20,GU20)&gt;0,SUM(GR20,GU20),"")</f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>IF(SUM(GX20,HB20)&gt;0,SUM(GX20,HB20),"")</f>
        <v/>
      </c>
      <c r="HR20" s="78" t="str">
        <f>IF(SUM(GW20:GX20,GZ20:HB20,HD20)-GY20-HC20&gt;0,SUM(GW20:GX20,GZ20:HB20,HD20)-GY20-HC20,"")</f>
        <v/>
      </c>
      <c r="HS20" s="78" t="str">
        <f>IF(SUM(HE20:HF20,HH20)-HG20&gt;0,SUM(HE20:HF20,HH20)-HG20,"")</f>
        <v/>
      </c>
      <c r="HT20" s="78" t="str">
        <f>IF(SUM(HJ20,HN20)&gt;0,SUM(HJ20,HN20),"")</f>
        <v/>
      </c>
      <c r="HU20" s="78" t="str">
        <f>IF(SUM(HI20:HJ20,HL20:HN20,HP20)-SUM(HK20,HO20)&gt;0,SUM(HI20:HJ20,HL20:HN20,HP20)-SUM(HK20,HO20),"")</f>
        <v/>
      </c>
      <c r="HV20" s="78" t="str">
        <f>IF(SUM(HR20,HU20)&gt;0,SUM(HR20,HU20),"")</f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>IF(SUM(HX20,IB20)&gt;0,SUM(HX20,IB20),"")</f>
        <v/>
      </c>
      <c r="IR20" s="19" t="str">
        <f>IF(SUM(HW20:HX20,HZ20:IB20,ID20)-HY20-IC20&gt;0,SUM(HW20:HX20,HZ20:IB20,ID20)-HY20-IC20,"")</f>
        <v/>
      </c>
      <c r="IS20" s="19" t="str">
        <f>IF(SUM(IE20:IF20,IH20)-IG20&gt;0,SUM(IE20:IF20,IH20)-IG20,"")</f>
        <v/>
      </c>
      <c r="IT20" s="19" t="str">
        <f>IF(SUM(IJ20,IN20)&gt;0,SUM(IJ20,IN20),"")</f>
        <v/>
      </c>
      <c r="IU20" s="19" t="str">
        <f>IF(SUM(II20:IJ20,IL20:IN20,IP20)-SUM(IK20,IO20)&gt;0,SUM(II20:IJ20,IL20:IN20,IP20)-SUM(IK20,IO20),"")</f>
        <v/>
      </c>
      <c r="IV20" s="19" t="str">
        <f>IF(SUM(IR20,IU20)&gt;0,SUM(IR20,IU20),"")</f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>IF(SUM(IX20,JB20)&gt;0,SUM(IX20,JB20),"")</f>
        <v/>
      </c>
      <c r="JR20" s="78" t="str">
        <f>IF(SUM(IW20:IX20,IZ20:JB20,JD20)-IY20-JC20&gt;0,SUM(IW20:IX20,IZ20:JB20,JD20)-IY20-JC20,"")</f>
        <v/>
      </c>
      <c r="JS20" s="78" t="str">
        <f>IF(SUM(JE20:JF20,JH20)-JG20&gt;0,SUM(JE20:JF20,JH20)-JG20,"")</f>
        <v/>
      </c>
      <c r="JT20" s="78" t="str">
        <f>IF(SUM(JJ20,JN20)&gt;0,SUM(JJ20,JN20),"")</f>
        <v/>
      </c>
      <c r="JU20" s="78" t="str">
        <f>IF(SUM(JI20:JJ20,JL20:JN20,JP20)-SUM(JK20,JO20)&gt;0,SUM(JI20:JJ20,JL20:JN20,JP20)-SUM(JK20,JO20),"")</f>
        <v/>
      </c>
      <c r="JV20" s="78" t="str">
        <f>IF(SUM(JR20,JU20)&gt;0,SUM(JR20,JU20),"")</f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>IF(SUM(JX20,KB20)&gt;0,SUM(JX20,KB20),"")</f>
        <v/>
      </c>
      <c r="KR20" s="19" t="str">
        <f>IF(SUM(JW20:JX20,JZ20:KB20,KD20)-JY20-KC20&gt;0,SUM(JW20:JX20,JZ20:KB20,KD20)-JY20-KC20,"")</f>
        <v/>
      </c>
      <c r="KS20" s="19" t="str">
        <f>IF(SUM(KE20:KF20,KH20)-KG20&gt;0,SUM(KE20:KF20,KH20)-KG20,"")</f>
        <v/>
      </c>
      <c r="KT20" s="19" t="str">
        <f>IF(SUM(KJ20,KN20)&gt;0,SUM(KJ20,KN20),"")</f>
        <v/>
      </c>
      <c r="KU20" s="19" t="str">
        <f>IF(SUM(KI20:KJ20,KL20:KN20,KP20)-SUM(KK20,KO20)&gt;0,SUM(KI20:KJ20,KL20:KN20,KP20)-SUM(KK20,KO20),"")</f>
        <v/>
      </c>
      <c r="KV20" s="19" t="str">
        <f>IF(SUM(KR20,KU20)&gt;0,SUM(KR20,KU20),"")</f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>IF(SUM(KX20,LB20)&gt;0,SUM(KX20,LB20),"")</f>
        <v/>
      </c>
      <c r="LR20" s="78" t="str">
        <f>IF(SUM(KW20:KX20,KZ20:LB20,LD20)-KY20-LC20&gt;0,SUM(KW20:KX20,KZ20:LB20,LD20)-KY20-LC20,"")</f>
        <v/>
      </c>
      <c r="LS20" s="78" t="str">
        <f>IF(SUM(LE20:LF20,LH20)-LG20&gt;0,SUM(LE20:LF20,LH20)-LG20,"")</f>
        <v/>
      </c>
      <c r="LT20" s="78" t="str">
        <f>IF(SUM(LJ20,LN20)&gt;0,SUM(LJ20,LN20),"")</f>
        <v/>
      </c>
      <c r="LU20" s="78" t="str">
        <f>IF(SUM(LI20:LJ20,LL20:LN20,LP20)-SUM(LK20,LO20)&gt;0,SUM(LI20:LJ20,LL20:LN20,LP20)-SUM(LK20,LO20),"")</f>
        <v/>
      </c>
      <c r="LV20" s="78" t="str">
        <f>IF(SUM(LR20,LU20)&gt;0,SUM(LR20,LU20),"")</f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>IF(SUM(LX20,MB20)&gt;0,SUM(LX20,MB20),"")</f>
        <v/>
      </c>
      <c r="MR20" s="19" t="str">
        <f>IF(SUM(LW20:LX20,LZ20:MB20,MD20)-LY20-MC20&gt;0,SUM(LW20:LX20,LZ20:MB20,MD20)-LY20-MC20,"")</f>
        <v/>
      </c>
      <c r="MS20" s="19" t="str">
        <f>IF(SUM(ME20:MF20,MH20)-MG20&gt;0,SUM(ME20:MF20,MH20)-MG20,"")</f>
        <v/>
      </c>
      <c r="MT20" s="19" t="str">
        <f>IF(SUM(MJ20,MN20)&gt;0,SUM(MJ20,MN20),"")</f>
        <v/>
      </c>
      <c r="MU20" s="19" t="str">
        <f>IF(SUM(MI20:MJ20,ML20:MN20,MP20)-SUM(MK20,MO20)&gt;0,SUM(MI20:MJ20,ML20:MN20,MP20)-SUM(MK20,MO20),"")</f>
        <v/>
      </c>
      <c r="MV20" s="19" t="str">
        <f>IF(SUM(MR20,MU20)&gt;0,SUM(MR20,MU20),"")</f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>IF(SUM(MX20,NB20)&gt;0,SUM(MX20,NB20),"")</f>
        <v/>
      </c>
      <c r="NR20" s="78" t="str">
        <f>IF(SUM(MW20:MX20,MZ20:NB20,ND20)-MY20-NC20&gt;0,SUM(MW20:MX20,MZ20:NB20,ND20)-MY20-NC20,"")</f>
        <v/>
      </c>
      <c r="NS20" s="78" t="str">
        <f>IF(SUM(NE20:NF20,NH20)-NG20&gt;0,SUM(NE20:NF20,NH20)-NG20,"")</f>
        <v/>
      </c>
      <c r="NT20" s="78" t="str">
        <f>IF(SUM(NJ20,NN20)&gt;0,SUM(NJ20,NN20),"")</f>
        <v/>
      </c>
      <c r="NU20" s="78" t="str">
        <f>IF(SUM(NI20:NJ20,NL20:NN20,NP20)-SUM(NK20,NO20)&gt;0,SUM(NI20:NJ20,NL20:NN20,NP20)-SUM(NK20,NO20),"")</f>
        <v/>
      </c>
      <c r="NV20" s="78" t="str">
        <f>IF(SUM(NR20,NU20)&gt;0,SUM(NR20,NU20),"")</f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>IF(SUM(NX20,OB20)&gt;0,SUM(NX20,OB20),"")</f>
        <v/>
      </c>
      <c r="OR20" s="19" t="str">
        <f>IF(SUM(NW20:NX20,NZ20:OB20,OD20)-NY20-OC20&gt;0,SUM(NW20:NX20,NZ20:OB20,OD20)-NY20-OC20,"")</f>
        <v/>
      </c>
      <c r="OS20" s="19" t="str">
        <f>IF(SUM(OE20:OF20,OH20)-OG20&gt;0,SUM(OE20:OF20,OH20)-OG20,"")</f>
        <v/>
      </c>
      <c r="OT20" s="19" t="str">
        <f>IF(SUM(OJ20,ON20)&gt;0,SUM(OJ20,ON20),"")</f>
        <v/>
      </c>
      <c r="OU20" s="19" t="str">
        <f>IF(SUM(OI20:OJ20,OL20:ON20,OP20)-SUM(OK20,OO20)&gt;0,SUM(OI20:OJ20,OL20:ON20,OP20)-SUM(OK20,OO20),"")</f>
        <v/>
      </c>
      <c r="OV20" s="19" t="str">
        <f>IF(SUM(OR20,OU20)&gt;0,SUM(OR20,OU20),"")</f>
        <v/>
      </c>
      <c r="OW20" s="37">
        <f>IF($CN20="P",BT20,(BT20+AS20)/2)</f>
        <v>8.6</v>
      </c>
      <c r="OX20" s="37">
        <f>IF($CN20="P",BU20,(BU20+AT20)/2)</f>
        <v>1.7</v>
      </c>
      <c r="OY20" s="37">
        <f>IF($CN20="P",BV20,(BV20+AU20)/2)</f>
        <v>0</v>
      </c>
      <c r="OZ20" s="37">
        <f>IF($CN20="P",BW20,(BW20+AV20)/2)</f>
        <v>0</v>
      </c>
      <c r="PA20" s="37">
        <f>IF($CN20="P",BX20,(BX20+AW20)/2)</f>
        <v>7.95</v>
      </c>
      <c r="PB20" s="37">
        <f>IF($CN20="P",BY20,(BY20+AX20)/2)</f>
        <v>1.95</v>
      </c>
      <c r="PC20" s="37">
        <f>IF($CN20="P",BZ20,(BZ20+AY20)/2)</f>
        <v>0</v>
      </c>
      <c r="PD20" s="37">
        <f>IF($CN20="P",CA20,(CA20+AZ20)/2)</f>
        <v>0.15</v>
      </c>
      <c r="PE20" s="37">
        <f>IF($CN20="P",CB20,(CB20+BA20)/2)</f>
        <v>0</v>
      </c>
      <c r="PF20" s="37">
        <f>IF($CN20="P",CC20,(CC20+BB20)/2)</f>
        <v>0</v>
      </c>
      <c r="PG20" s="37">
        <f>IF($CN20="P",CD20,(CD20+BC20)/2)</f>
        <v>0</v>
      </c>
      <c r="PH20" s="37">
        <f>IF($CN20="P",CE20,(CE20+BD20)/2)</f>
        <v>0</v>
      </c>
      <c r="PI20" s="37">
        <f>IF($CN20="P",CF20,(CF20+BE20)/2)</f>
        <v>8.4</v>
      </c>
      <c r="PJ20" s="37">
        <f>IF($CN20="P",CG20,(CG20+BF20)/2)</f>
        <v>1.7</v>
      </c>
      <c r="PK20" s="37">
        <f>IF($CN20="P",CH20,(CH20+BG20)/2)</f>
        <v>0</v>
      </c>
      <c r="PL20" s="37">
        <f>IF($CN20="P",CI20,(CI20+BH20)/2)</f>
        <v>0</v>
      </c>
      <c r="PM20" s="37">
        <f>IF($CN20="P",CJ20,(CJ20+BI20)/2)</f>
        <v>7.85</v>
      </c>
      <c r="PN20" s="37">
        <f>IF($CN20="P",CK20,(CK20+BJ20)/2)</f>
        <v>1.95</v>
      </c>
      <c r="PO20" s="37">
        <f>IF($CN20="P",CL20,(CL20+BK20)/2)</f>
        <v>0</v>
      </c>
      <c r="PP20" s="37">
        <f>IF($CN20="P",CM20,(CM20+BL20)/2)</f>
        <v>0.15</v>
      </c>
      <c r="PQ20" s="44" t="s">
        <v>46</v>
      </c>
      <c r="PR20" s="78">
        <f>IF(SUM(OX20,PB20)&gt;0,SUM(OX20,PB20),"")</f>
        <v>3.65</v>
      </c>
      <c r="PS20" s="78">
        <f>IF(SUM(OW20:OX20,OZ20:PB20,PD20)-OY20-PC20&gt;0,SUM(OW20:OX20,OZ20:PB20,PD20)-OY20-PC20,"")</f>
        <v>20.349999999999998</v>
      </c>
      <c r="PT20" s="78" t="str">
        <f>IF(SUM(PE20:PF20,PH20)-PG20&gt;0,SUM(PE20:PF20,PH20)-PG20,"")</f>
        <v/>
      </c>
      <c r="PU20" s="78">
        <f>IF(SUM(PJ20,PN20)&gt;0,SUM(PJ20,PN20),"")</f>
        <v>3.65</v>
      </c>
      <c r="PV20" s="78">
        <f>IF(SUM(PI20:PJ20,PL20:PN20,PP20)-SUM(PK20,PO20)&gt;0,SUM(PI20:PJ20,PL20:PN20,PP20)-SUM(PK20,PO20),"")</f>
        <v>20.049999999999997</v>
      </c>
      <c r="PW20" s="78">
        <f>IF(SUM(PS20,PV20)&gt;0,SUM(PS20,PV20),"")</f>
        <v>40.399999999999991</v>
      </c>
    </row>
    <row r="21" spans="1:439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77" t="s">
        <v>98</v>
      </c>
      <c r="C21" s="5" t="s">
        <v>5</v>
      </c>
      <c r="D21" s="5">
        <v>2003</v>
      </c>
      <c r="E21" s="15">
        <f>SUM(I21:O21)+SUM(I21:M21)*0.0000001+SUM(I21)*0.0000000000001</f>
        <v>80.600008060004058</v>
      </c>
      <c r="F21" s="3" t="str">
        <f>IF(OR(AND(AM21&gt;=AR$26,AN21&gt;=AR$30,AM21&lt;&gt;"",AL21=""),AND(AP21&gt;=AR$26,AQ21&gt;=AR$30,AP21&lt;&gt;"",AL21=""),AND(BN21&gt;=BS$26,BO21&gt;=BS$30,BN21&lt;&gt;"",BM21=""),AND(BQ21&gt;=BS$26,BR21&gt;=BS$30,BQ21&lt;&gt;"",BM21=""),AND(CO21&gt;=CT$26,CP21&gt;=CT$30,CO21&lt;&gt;"",CN21=""),AND(CR21&gt;=CT$26,CS21&gt;=CT$30,CR21&lt;&gt;""),AND(DQ21&gt;=DV$26,DR21&gt;=DV$30,DQ21&lt;&gt;""),AND(DT21&gt;=DV$26,DU21&gt;=DV$30,DT21&lt;&gt;""),AND(EQ21&gt;=EV$26,ER21&gt;=EV$30,EQ21&lt;&gt;""),AND(ET21&gt;=EV$26,EU21&gt;=EV$30,ET21&lt;&gt;""),AND(FQ21&gt;=FV$26,FR21&gt;=FV$30,FQ21&lt;&gt;""),AND(FT21&gt;=FV$26,FU21&gt;=FV$30,FT21&lt;&gt;""),AND(GQ21&gt;=GV$26,GR21&gt;=GV$30,GQ21&lt;&gt;""),AND(GT21&gt;=GV$26,GU21&gt;=GV$30,GT21&lt;&gt;""),AND(HQ21&gt;=HV$26,HR21&gt;=HV$30,HQ21&lt;&gt;""),AND(HT21&gt;=HV$26,HU21&gt;=HV$30,HT21&lt;&gt;""),AND(IQ21&gt;=IV$26,IR21&gt;=IV$30,IQ21&lt;&gt;""),AND(IT21&gt;=IV$26,IU21&gt;=IV$30,IT21&lt;&gt;""),AND(JQ21&gt;=JV$26,JR21&gt;=JV$30,JQ21&lt;&gt;""),AND(JT21&gt;=JV$26,JU21&gt;=JV$30,JT21&lt;&gt;""),AND(KQ21&gt;=KV$26,KR21&gt;=KV$30,KQ21&lt;&gt;""),AND(KT21&gt;=KV$26,KU21&gt;=KV$30,KT21&lt;&gt;""),AND(LQ21&gt;=LV$26,LR21&gt;=LV$30,LQ21&lt;&gt;""),AND(LT21&gt;=LV$26,LU21&gt;=LV$30,LT21&lt;&gt;""),AND(MQ21&gt;=MV$26,MR21&gt;=MV$30,MQ21&lt;&gt;""),AND(MT21&gt;=MV$26,MU21&gt;=MV$30,MT21&lt;&gt;""),AND(NQ21&gt;=NV$26,NR21&gt;=NV$30,NQ21&lt;&gt;""),AND(NT21&gt;=NV$26,NU21&gt;=NV$30,NT21&lt;&gt;""),AND(OQ21&gt;=OV$26,OR21&gt;=OV$30,OQ21&lt;&gt;""),AND(OT21&gt;=OV$26,OU21&gt;=OV$30,OT21&lt;&gt;"")),"P","")</f>
        <v/>
      </c>
      <c r="G21" s="3" t="str">
        <f>IF(OR(AND(AN21&gt;=AR$30,AN21&lt;&gt;"",AL21=""),AND(AQ21&gt;=AR$30,AQ21&lt;&gt;"",AL21=""),AND(BO21&gt;=BS$30,BO21&lt;&gt;"",BM21=""),AND(BR21&gt;=BS$30,BR21&lt;&gt;"",BM21=""),AND(CP21&gt;=CT$30,CP21&lt;&gt;"",CN21=""),AND(CS21&gt;=CT$30,CS21&lt;&gt;"",CN21=""),AND(DR21&gt;=DV$30,DR21&lt;&gt;""),AND(DU21&gt;=DV$30,DU21&lt;&gt;""),AND(ER21&gt;=EV$30,ER21&lt;&gt;""),AND(EU21&gt;=EV$30,EU21&lt;&gt;""),AND(FR21&gt;=FV$30,FR21&lt;&gt;""),AND(FU21&gt;=FV$30,FU21&lt;&gt;""),AND(GR21&gt;=GV$30,GR21&lt;&gt;""),AND(GU21&gt;=GV$30,GU21&lt;&gt;""),AND(HR21&gt;=HV$30,HR21&lt;&gt;""),AND(HU21&gt;=HV$30,HU21&lt;&gt;""),AND(IR21&gt;=IV$30,IR21&lt;&gt;""),AND(IU21&gt;=IV$30,IU21&lt;&gt;""),AND(JR21&gt;=JV$30,JR21&lt;&gt;""),AND(JU21&gt;=JV$30,JU21&lt;&gt;""),AND(KR21&gt;=KV$30,KR21&lt;&gt;""),AND(KU21&gt;=KV$30,KU21&lt;&gt;""),AND(LR21&gt;=LV$30,LR21&lt;&gt;""),AND(LU21&gt;=LV$30,LU21&lt;&gt;""),AND(MR21&gt;=MV$30,MR21&lt;&gt;""),AND(MU21&gt;=MV$30,MU21&lt;&gt;""),AND(NR21&gt;=NV$30,NR21&lt;&gt;""),AND(NU21&gt;=NV$30,NU21&lt;&gt;""),AND(OR21&gt;=OV$30,OR21&lt;&gt;""),AND(OU21&gt;=OV$30,OU21&lt;&gt;"")),"P","")</f>
        <v/>
      </c>
      <c r="H21" s="66" t="str">
        <f>IF(AND(G21="P",F21=""),"No DD",IF(OR(AND(AM21&gt;=AR$29,AN21&gt;=AR$33,AM21&lt;&gt;"",AL21=""),AND(AP21&gt;=AR$29,AQ21&gt;=AR$33,AP21&lt;&gt;"",AL21=""),AND(BN21&gt;=BS$29,BO21&gt;=BS$33,BN21&lt;&gt;"",BM21=""),AND(BQ21&gt;=BS$29,BR21&gt;=BS$33,BQ21&lt;&gt;"",BM21=""),AND(CO21&gt;=CT$29,CP21&gt;=CT$33,CO21&lt;&gt;"",CN21=""),AND(CR21&gt;=CT$29,CS21&gt;=CT$33,CR21&lt;&gt;""),AND(DQ21&gt;=DV$29,DR21&gt;=DV$33,DQ21&lt;&gt;""),AND(DT21&gt;=DV$29,DU21&gt;=DV$33,DT21&lt;&gt;""),AND(EQ21&gt;=EV$29,ER21&gt;=EV$33,EQ21&lt;&gt;""),AND(ET21&gt;=EV$29,EU21&gt;=EV$33,ET21&lt;&gt;""),AND(FQ21&gt;=FV$29,FR21&gt;=FV$33,FQ21&lt;&gt;""),AND(FT21&gt;=FV$29,FU21&gt;=FV$33,FT21&lt;&gt;""),AND(GQ21&gt;=GV$29,GR21&gt;=GV$33,GQ21&lt;&gt;""),AND(GT21&gt;=GV$29,GU21&gt;=GV$33,GT21&lt;&gt;""),AND(HQ21&gt;=HV$29,HR21&gt;=HV$33,HQ21&lt;&gt;""),AND(HT21&gt;=HV$29,HU21&gt;=HV$33,HT21&lt;&gt;""),AND(IQ21&gt;=IV$29,IR21&gt;=IV$33,IQ21&lt;&gt;""),AND(IT21&gt;=IV$29,IU21&gt;=IV$33,IT21&lt;&gt;""),AND(JQ21&gt;=JV$29,JR21&gt;=JV$33,JQ21&lt;&gt;""),AND(JT21&gt;=JV$29,JU21&gt;=JV$33,JT21&lt;&gt;""),AND(KQ21&gt;=KV$29,KR21&gt;=KV$33,KQ21&lt;&gt;""),AND(KT21&gt;=KV$29,KU21&gt;=KV$33,KT21&lt;&gt;""),AND(LQ21&gt;=LV$29,LR21&gt;=LV$33,LQ21&lt;&gt;""),AND(LT21&gt;=LV$29,LU21&gt;=LV$33,LT21&lt;&gt;""),AND(MQ21&gt;=MV$29,MR21&gt;=MV$33,MQ21&lt;&gt;""),AND(MT21&gt;=MV$29,MU21&gt;=MV$33,MT21&lt;&gt;""),AND(NQ21&gt;=NV$29,NR21&gt;=NV$33,NQ21&lt;&gt;""),AND(NT21&gt;=NV$29,NU21&gt;=NV$33,NT21&lt;&gt;""),AND(OQ21&gt;=OV$29,OR21&gt;=OV$33,OQ21&lt;&gt;""),AND(OT21&gt;=OV$29,OU21&gt;=OV$33,OT21&lt;&gt;"")),"Merit",IF(OR(AND(AM21&gt;=AR$28,AN21&gt;=AR$32,AM21&lt;&gt;"",AL21=""),AND(AP21&gt;=AR$28,AQ21&gt;=AR$32,AP21&lt;&gt;"",AL21=""),AND(BN21&gt;=BS$28,BO21&gt;=BS$32,BN21&lt;&gt;"",BM21=""),AND(BQ21&gt;=BS$28,BR21&gt;=BS$32,BQ21&lt;&gt;"",BM21=""),AND(CO21&gt;=CT$28,CP21&gt;=CT$32,CO21&lt;&gt;"",CN21=""),AND(CR21&gt;=CT$28,CS21&gt;=CT$32,CR21&lt;&gt;""),AND(DQ21&gt;=DV$28,DR21&gt;=DV$32,DQ21&lt;&gt;""),AND(DT21&gt;=DV$28,DU21&gt;=DV$32,DT21&lt;&gt;""),AND(EQ21&gt;=EV$28,ER21&gt;=EV$32,EQ21&lt;&gt;""),AND(ET21&gt;=EV$28,EU21&gt;=EV$32,ET21&lt;&gt;""),AND(FQ21&gt;=FV$28,FR21&gt;=FV$32,FQ21&lt;&gt;""),AND(FT21&gt;=FV$28,FU21&gt;=FV$32,FT21&lt;&gt;""),AND(GQ21&gt;=GV$28,GR21&gt;=GV$32,GQ21&lt;&gt;""),AND(GT21&gt;=GV$28,GU21&gt;=GV$32,GT21&lt;&gt;""),AND(HQ21&gt;=HV$28,HR21&gt;=HV$32,HQ21&lt;&gt;""),AND(HT21&gt;=HV$28,HU21&gt;=HV$32,HT21&lt;&gt;""),AND(IQ21&gt;=IV$28,IR21&gt;=IV$32,IQ21&lt;&gt;""),AND(IT21&gt;=IV$28,IU21&gt;=IV$32,IT21&lt;&gt;""),AND(JQ21&gt;=JV$28,JR21&gt;=JV$32,JQ21&lt;&gt;""),AND(JT21&gt;=JV$28,JU21&gt;=JV$32,JT21&lt;&gt;""),AND(KQ21&gt;=KV$28,KR21&gt;=KV$32,KQ21&lt;&gt;""),AND(KT21&gt;=KV$28,KU21&gt;=KV$32,KT21&lt;&gt;""),AND(LQ21&gt;=LV$28,LR21&gt;=LV$32,LQ21&lt;&gt;""),AND(LT21&gt;=LV$28,LU21&gt;=LV$32,LT21&lt;&gt;""),AND(MQ21&gt;=MV$28,MR21&gt;=MV$32,MQ21&lt;&gt;""),AND(MT21&gt;=MV$28,MU21&gt;=MV$32,MT21&lt;&gt;""),AND(NQ21&gt;=NV$28,NR21&gt;=NV$32,NQ21&lt;&gt;""),AND(NT21&gt;=NV$28,NU21&gt;=NV$32,NT21&lt;&gt;""),AND(OQ21&gt;=OV$28,OR21&gt;=OV$32,OQ21&lt;&gt;""),AND(OT21&gt;=OV$28,OU21&gt;=OV$32,OT21&lt;&gt;"")),"Excellence",IF(F21="P","National Team",""))))</f>
        <v/>
      </c>
      <c r="I21" s="14">
        <f>IF(COUNT(AN21,BO21,CP21)&gt;0,LARGE((AN21,BO21,CP21),1),0)</f>
        <v>40.699999999999996</v>
      </c>
      <c r="J21" s="14" t="str">
        <f>IF(I21=0,"",IF(I21=CP21,$BT$1,IF(I21=BO21,$AS$1,IF(I21=AN21,$R$1,""))))</f>
        <v>2022 Nationals</v>
      </c>
      <c r="K21" s="14">
        <f>IF(COUNT(AN21,BO21,CP21)&gt;1,LARGE((AN21,BO21,CP21),2),0)</f>
        <v>0</v>
      </c>
      <c r="L21" s="14" t="str">
        <f>IF(K21=0,"",IF(K21=CP21,$BT$1,IF(K21=BO21,$AS$1,IF(K21=AN21,$R$1,""))))</f>
        <v/>
      </c>
      <c r="M21" s="14">
        <f>IF(MAX(AQ21,BR21,CS21)&gt;0,MAX(AQ21,BR21,CS21),0)</f>
        <v>39.9</v>
      </c>
      <c r="N21" s="14" t="str">
        <f>IF(M21=0,"",IF(M21=CS21,$BT$1,IF(M21=BR21,$AS$1,IF(M21=AQ21,$R$1,""))))</f>
        <v>2022 Nationals</v>
      </c>
      <c r="O21" s="14" t="str">
        <f>IF(MAX(CU21:CV21)&gt;0,MAX(CU21:CV21),"")</f>
        <v/>
      </c>
      <c r="P21" s="19" t="str">
        <f>IF(O21="","",IF(O21=CU21,"("&amp;CU$2&amp;")",IF(O21=CV21,"("&amp;CV$2&amp;")")))</f>
        <v/>
      </c>
      <c r="Q21" s="14" t="str">
        <f>IF(O21="","",IF(O21=CU21,IF(O21+IF(K21="",0,K21)=OR21,$NW$1,IF(O21+IF(K21="",0,K21)=NR21,$MW$1,IF(O21+IF(K21="",0,K21)=MR21,$LW$1,IF(O21+IF(K21="",0,K21)=LR21,$KW$1,IF(O21+IF(K21="",0,K21)=KR21,$JW$1,IF(O21+IF(K21="",0,K21)=JR21,$IW$1,IF(O21+IF(K21="",0,K21)=IR21,$HW$1,IF(O21+IF(K21="",0,K21)=HR21,$GW$1,IF(O21+IF(K21="",0,K21)=GR21,$FW$1,IF(O21+IF(K21="",0,K21)=FR21,$EW$1,IF(O21+IF(K21="",0,K21)=ER21,$DW$1,IF(O21+IF(K21="",0,K21)=DR21,$CW$1)))))))))))),IF(O21=CV21,IF(O21+IF(M21="",0,M21)=OU21,$NW$1,IF(O21+IF(M21="",0,M21)=NU21,$MW$1,IF(O21+IF(M21="",0,M21)=MU21,$LW$1,IF(O21+IF(M21="",0,M21)=LU21,$KW$1,IF(O21+IF(M21="",0,M21)=KU21,$JW$1,IF(O21+IF(M21="",0,M21)=JU21,$IW$1,IF(O21+IF(M21="",0,M21)=IU21,$HW$1,IF(O21+IF(M21="",0,M21)=HU21,$GW$1,IF(O21+IF(M21="",0,M21)=GU21,$FW$1,IF(O21+IF(M21="",0,M21)=FU21,$EW$1,IF(O21+IF(M21="",0,M21)=EU21,$DW$1,IF(O21+IF(M21="",0,M21)=DU21,$CW$1)))))))))))))))</f>
        <v/>
      </c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44"/>
      <c r="AM21" s="78" t="str">
        <f>IF(SUM(S21,W21)&gt;0,SUM(S21,W21),"")</f>
        <v/>
      </c>
      <c r="AN21" s="78" t="str">
        <f>IF(SUM(R21:S21,U21:W21,Y21)-T21-X21&gt;0,SUM(R21:S21,U21:W21,Y21)-T21-X21,"")</f>
        <v/>
      </c>
      <c r="AO21" s="78" t="str">
        <f>IF(SUM(Z21:AA21,AC21)-AB21&gt;0,SUM(Z21:AA21,AC21)-AB21,"")</f>
        <v/>
      </c>
      <c r="AP21" s="78" t="str">
        <f>IF(SUM(AE21,AI21)&gt;0,SUM(AE21,AI21),"")</f>
        <v/>
      </c>
      <c r="AQ21" s="78" t="str">
        <f>IF(SUM(AD21:AE21,AG21:AI21,AK21)-SUM(AF21,AJ21)&gt;0,SUM(AD21:AE21,AG21:AI21,AK21)-SUM(AF21,AJ21),"")</f>
        <v/>
      </c>
      <c r="AR21" s="78" t="str">
        <f>IF(SUM(AN21,AQ21)&gt;0,SUM(AN21,AQ21),"")</f>
        <v/>
      </c>
      <c r="AS21" s="25">
        <v>17.5</v>
      </c>
      <c r="AT21" s="25">
        <v>3.4</v>
      </c>
      <c r="AU21" s="25">
        <v>0</v>
      </c>
      <c r="AV21" s="25">
        <v>0</v>
      </c>
      <c r="AW21" s="25">
        <v>16.399999999999999</v>
      </c>
      <c r="AX21" s="25">
        <v>3.1</v>
      </c>
      <c r="AY21" s="25">
        <v>0</v>
      </c>
      <c r="AZ21" s="25">
        <v>0.3</v>
      </c>
      <c r="BA21" s="25"/>
      <c r="BB21" s="25"/>
      <c r="BC21" s="25"/>
      <c r="BD21" s="25"/>
      <c r="BE21" s="25">
        <v>16.899999999999999</v>
      </c>
      <c r="BF21" s="25">
        <v>3.4</v>
      </c>
      <c r="BG21" s="25">
        <v>0</v>
      </c>
      <c r="BH21" s="25">
        <v>0</v>
      </c>
      <c r="BI21" s="25">
        <v>16.2</v>
      </c>
      <c r="BJ21" s="25">
        <v>3.1</v>
      </c>
      <c r="BK21" s="25">
        <v>0</v>
      </c>
      <c r="BL21" s="25">
        <v>0.3</v>
      </c>
      <c r="BM21" s="45"/>
      <c r="BN21" s="19">
        <f>IF(SUM(AT21,AX21)&gt;0,SUM(AT21,AX21),"")</f>
        <v>6.5</v>
      </c>
      <c r="BO21" s="19">
        <f>IF(SUM(AS21:AT21,AV21:AX21,AZ21)-AU21-AY21&gt;0,SUM(AS21:AT21,AV21:AX21,AZ21)-AU21-AY21,"")</f>
        <v>40.699999999999996</v>
      </c>
      <c r="BP21" s="19" t="str">
        <f>IF(SUM(BA21:BB21,BD21)-BC21&gt;0,SUM(BA21:BB21,BD21)-BC21,"")</f>
        <v/>
      </c>
      <c r="BQ21" s="19">
        <f>IF(SUM(BF21,BJ21)&gt;0,SUM(BF21,BJ21),"")</f>
        <v>6.5</v>
      </c>
      <c r="BR21" s="19">
        <f>IF(SUM(BE21:BF21,BH21:BJ21,BL21)-SUM(BG21,BK21)&gt;0,SUM(BE21:BF21,BH21:BJ21,BL21)-SUM(BG21,BK21),"")</f>
        <v>39.9</v>
      </c>
      <c r="BS21" s="19">
        <f>IF(SUM(BO21,BR21)&gt;0,SUM(BO21,BR21),"")</f>
        <v>80.599999999999994</v>
      </c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44"/>
      <c r="CO21" s="78" t="str">
        <f>IF(SUM(BU21,BY21)&gt;0,SUM(BU21,BY21),"")</f>
        <v/>
      </c>
      <c r="CP21" s="78" t="str">
        <f>IF(SUM(BT21:BU21,BW21:BY21,CA21)-BV21-BZ21&gt;0,SUM(BT21:BU21,BW21:BY21,CA21)-BV21-BZ21,"")</f>
        <v/>
      </c>
      <c r="CQ21" s="78" t="str">
        <f>IF(SUM(CB21:CC21,CE21)-CD21&gt;0,SUM(CB21:CC21,CE21)-CD21,"")</f>
        <v/>
      </c>
      <c r="CR21" s="78" t="str">
        <f>IF(SUM(CG21,CK21)&gt;0,SUM(CG21,CK21),"")</f>
        <v/>
      </c>
      <c r="CS21" s="78" t="str">
        <f>IF(SUM(CF21:CG21,CI21:CK21,CM21)-SUM(CH21,CL21)&gt;0,SUM(CF21:CG21,CI21:CK21,CM21)-SUM(CH21,CL21),"")</f>
        <v/>
      </c>
      <c r="CT21" s="78" t="str">
        <f>IF(SUM(CP21,CS21)&gt;0,SUM(CP21,CS21),"")</f>
        <v/>
      </c>
      <c r="CU21" s="79" t="str">
        <f>IF(K21&gt;=0.001,IF(MAX(DR21,ER21,FR21,GR21,HR21,IR21,JR21,KR21,LR21,MR21,NR21,OR21)-IF(K21="",0,K21)&gt;0.001,MAX(DR21,ER21,FR21,GR21,HR21,IR21,JR21,KR21,LR21,MR21,NR21,OR21)-IF(K21="",0,K21),""),"")</f>
        <v/>
      </c>
      <c r="CV21" s="79" t="str">
        <f>IF(M21&gt;=0.001,IF(MAX(DU21,EU21,FU21,GU21,HU21,IU21,JU21,KU21,LU21,MU21,NU21,OU21)-IF(M21="",0,M21)&gt;0.001,MAX(DU21,EU21,FU21,GU21,HU21,IU21,JU21,KU21,LU21,MU21,NU21,OU21)-IF(M21="",0,M21),""),"")</f>
        <v/>
      </c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78" t="str">
        <f>IF(SUM(CX21,DB21)&gt;0,SUM(CX21,DB21),"")</f>
        <v/>
      </c>
      <c r="DR21" s="78" t="str">
        <f>IF(SUM(CW21:CX21,CZ21:DB21,DD21)-CY21-DC21&gt;0,SUM(CW21:CX21,CZ21:DB21,DD21)-CY21-DC21,"")</f>
        <v/>
      </c>
      <c r="DS21" s="78" t="str">
        <f>IF(SUM(DE21:DF21,DH21)-DG21&gt;0,SUM(DE21:DF21,DH21)-DG21,"")</f>
        <v/>
      </c>
      <c r="DT21" s="78" t="str">
        <f>IF(SUM(DJ21,DN21)&gt;0,SUM(DJ21,DN21),"")</f>
        <v/>
      </c>
      <c r="DU21" s="78" t="str">
        <f>IF(SUM(DI21:DJ21,DL21:DN21,DP21)-SUM(DK21,DO21)&gt;0,SUM(DI21:DJ21,DL21:DN21,DP21)-SUM(DK21,DO21),"")</f>
        <v/>
      </c>
      <c r="DV21" s="78" t="str">
        <f>IF(SUM(DR21,DU21)&gt;0,SUM(DR21,DU21),"")</f>
        <v/>
      </c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19" t="str">
        <f>IF(SUM(DX21,EB21)&gt;0,SUM(DX21,EB21),"")</f>
        <v/>
      </c>
      <c r="ER21" s="19" t="str">
        <f>IF(SUM(DW21:DX21,DZ21:EB21,ED21)-DY21-EC21&gt;0,SUM(DW21:DX21,DZ21:EB21,ED21)-DY21-EC21,"")</f>
        <v/>
      </c>
      <c r="ES21" s="19" t="str">
        <f>IF(SUM(EE21:EF21,EH21)-EG21&gt;0,SUM(EE21:EF21,EH21)-EG21,"")</f>
        <v/>
      </c>
      <c r="ET21" s="19" t="str">
        <f>IF(SUM(EJ21,EN21)&gt;0,SUM(EJ21,EN21),"")</f>
        <v/>
      </c>
      <c r="EU21" s="19" t="str">
        <f>IF(SUM(EI21:EJ21,EL21:EN21,EP21)-SUM(EK21,EO21)&gt;0,SUM(EI21:EJ21,EL21:EN21,EP21)-SUM(EK21,EO21),"")</f>
        <v/>
      </c>
      <c r="EV21" s="19" t="str">
        <f>IF(SUM(ER21,EU21)&gt;0,SUM(ER21,EU21),"")</f>
        <v/>
      </c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78" t="str">
        <f>IF(SUM(EX21,FB21)&gt;0,SUM(EX21,FB21),"")</f>
        <v/>
      </c>
      <c r="FR21" s="78" t="str">
        <f>IF(SUM(EW21:EX21,EZ21:FB21,FD21)-EY21-FC21&gt;0,SUM(EW21:EX21,EZ21:FB21,FD21)-EY21-FC21,"")</f>
        <v/>
      </c>
      <c r="FS21" s="78" t="str">
        <f>IF(SUM(FE21:FF21,FH21)-FG21&gt;0,SUM(FE21:FF21,FH21)-FG21,"")</f>
        <v/>
      </c>
      <c r="FT21" s="78" t="str">
        <f>IF(SUM(FJ21,FN21)&gt;0,SUM(FJ21,FN21),"")</f>
        <v/>
      </c>
      <c r="FU21" s="78" t="str">
        <f>IF(SUM(FI21:FJ21,FL21:FN21,FP21)-SUM(FK21,FO21)&gt;0,SUM(FI21:FJ21,FL21:FN21,FP21)-SUM(FK21,FO21),"")</f>
        <v/>
      </c>
      <c r="FV21" s="78" t="str">
        <f>IF(SUM(FR21,FU21)&gt;0,SUM(FR21,FU21),"")</f>
        <v/>
      </c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19" t="str">
        <f>IF(SUM(FX21,GB21)&gt;0,SUM(FX21,GB21),"")</f>
        <v/>
      </c>
      <c r="GR21" s="19" t="str">
        <f>IF(SUM(FW21:FX21,FZ21:GB21,GD21)-FY21-GC21&gt;0,SUM(FW21:FX21,FZ21:GB21,GD21)-FY21-GC21,"")</f>
        <v/>
      </c>
      <c r="GS21" s="19" t="str">
        <f>IF(SUM(GE21:GF21,GH21)-GG21&gt;0,SUM(GE21:GF21,GH21)-GG21,"")</f>
        <v/>
      </c>
      <c r="GT21" s="19" t="str">
        <f>IF(SUM(GJ21,GN21)&gt;0,SUM(GJ21,GN21),"")</f>
        <v/>
      </c>
      <c r="GU21" s="19" t="str">
        <f>IF(SUM(GI21:GJ21,GL21:GN21,GP21)-SUM(GK21,GO21)&gt;0,SUM(GI21:GJ21,GL21:GN21,GP21)-SUM(GK21,GO21),"")</f>
        <v/>
      </c>
      <c r="GV21" s="19" t="str">
        <f>IF(SUM(GR21,GU21)&gt;0,SUM(GR21,GU21),"")</f>
        <v/>
      </c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78" t="str">
        <f>IF(SUM(GX21,HB21)&gt;0,SUM(GX21,HB21),"")</f>
        <v/>
      </c>
      <c r="HR21" s="78" t="str">
        <f>IF(SUM(GW21:GX21,GZ21:HB21,HD21)-GY21-HC21&gt;0,SUM(GW21:GX21,GZ21:HB21,HD21)-GY21-HC21,"")</f>
        <v/>
      </c>
      <c r="HS21" s="78" t="str">
        <f>IF(SUM(HE21:HF21,HH21)-HG21&gt;0,SUM(HE21:HF21,HH21)-HG21,"")</f>
        <v/>
      </c>
      <c r="HT21" s="78" t="str">
        <f>IF(SUM(HJ21,HN21)&gt;0,SUM(HJ21,HN21),"")</f>
        <v/>
      </c>
      <c r="HU21" s="78" t="str">
        <f>IF(SUM(HI21:HJ21,HL21:HN21,HP21)-SUM(HK21,HO21)&gt;0,SUM(HI21:HJ21,HL21:HN21,HP21)-SUM(HK21,HO21),"")</f>
        <v/>
      </c>
      <c r="HV21" s="78" t="str">
        <f>IF(SUM(HR21,HU21)&gt;0,SUM(HR21,HU21),"")</f>
        <v/>
      </c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19" t="str">
        <f>IF(SUM(HX21,IB21)&gt;0,SUM(HX21,IB21),"")</f>
        <v/>
      </c>
      <c r="IR21" s="19" t="str">
        <f>IF(SUM(HW21:HX21,HZ21:IB21,ID21)-HY21-IC21&gt;0,SUM(HW21:HX21,HZ21:IB21,ID21)-HY21-IC21,"")</f>
        <v/>
      </c>
      <c r="IS21" s="19" t="str">
        <f>IF(SUM(IE21:IF21,IH21)-IG21&gt;0,SUM(IE21:IF21,IH21)-IG21,"")</f>
        <v/>
      </c>
      <c r="IT21" s="19" t="str">
        <f>IF(SUM(IJ21,IN21)&gt;0,SUM(IJ21,IN21),"")</f>
        <v/>
      </c>
      <c r="IU21" s="19" t="str">
        <f>IF(SUM(II21:IJ21,IL21:IN21,IP21)-SUM(IK21,IO21)&gt;0,SUM(II21:IJ21,IL21:IN21,IP21)-SUM(IK21,IO21),"")</f>
        <v/>
      </c>
      <c r="IV21" s="19" t="str">
        <f>IF(SUM(IR21,IU21)&gt;0,SUM(IR21,IU21),"")</f>
        <v/>
      </c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78" t="str">
        <f>IF(SUM(IX21,JB21)&gt;0,SUM(IX21,JB21),"")</f>
        <v/>
      </c>
      <c r="JR21" s="78" t="str">
        <f>IF(SUM(IW21:IX21,IZ21:JB21,JD21)-IY21-JC21&gt;0,SUM(IW21:IX21,IZ21:JB21,JD21)-IY21-JC21,"")</f>
        <v/>
      </c>
      <c r="JS21" s="78" t="str">
        <f>IF(SUM(JE21:JF21,JH21)-JG21&gt;0,SUM(JE21:JF21,JH21)-JG21,"")</f>
        <v/>
      </c>
      <c r="JT21" s="78" t="str">
        <f>IF(SUM(JJ21,JN21)&gt;0,SUM(JJ21,JN21),"")</f>
        <v/>
      </c>
      <c r="JU21" s="78" t="str">
        <f>IF(SUM(JI21:JJ21,JL21:JN21,JP21)-SUM(JK21,JO21)&gt;0,SUM(JI21:JJ21,JL21:JN21,JP21)-SUM(JK21,JO21),"")</f>
        <v/>
      </c>
      <c r="JV21" s="78" t="str">
        <f>IF(SUM(JR21,JU21)&gt;0,SUM(JR21,JU21),"")</f>
        <v/>
      </c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19" t="str">
        <f>IF(SUM(JX21,KB21)&gt;0,SUM(JX21,KB21),"")</f>
        <v/>
      </c>
      <c r="KR21" s="19" t="str">
        <f>IF(SUM(JW21:JX21,JZ21:KB21,KD21)-JY21-KC21&gt;0,SUM(JW21:JX21,JZ21:KB21,KD21)-JY21-KC21,"")</f>
        <v/>
      </c>
      <c r="KS21" s="19" t="str">
        <f>IF(SUM(KE21:KF21,KH21)-KG21&gt;0,SUM(KE21:KF21,KH21)-KG21,"")</f>
        <v/>
      </c>
      <c r="KT21" s="19" t="str">
        <f>IF(SUM(KJ21,KN21)&gt;0,SUM(KJ21,KN21),"")</f>
        <v/>
      </c>
      <c r="KU21" s="19" t="str">
        <f>IF(SUM(KI21:KJ21,KL21:KN21,KP21)-SUM(KK21,KO21)&gt;0,SUM(KI21:KJ21,KL21:KN21,KP21)-SUM(KK21,KO21),"")</f>
        <v/>
      </c>
      <c r="KV21" s="19" t="str">
        <f>IF(SUM(KR21,KU21)&gt;0,SUM(KR21,KU21),"")</f>
        <v/>
      </c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78" t="str">
        <f>IF(SUM(KX21,LB21)&gt;0,SUM(KX21,LB21),"")</f>
        <v/>
      </c>
      <c r="LR21" s="78" t="str">
        <f>IF(SUM(KW21:KX21,KZ21:LB21,LD21)-KY21-LC21&gt;0,SUM(KW21:KX21,KZ21:LB21,LD21)-KY21-LC21,"")</f>
        <v/>
      </c>
      <c r="LS21" s="78" t="str">
        <f>IF(SUM(LE21:LF21,LH21)-LG21&gt;0,SUM(LE21:LF21,LH21)-LG21,"")</f>
        <v/>
      </c>
      <c r="LT21" s="78" t="str">
        <f>IF(SUM(LJ21,LN21)&gt;0,SUM(LJ21,LN21),"")</f>
        <v/>
      </c>
      <c r="LU21" s="78" t="str">
        <f>IF(SUM(LI21:LJ21,LL21:LN21,LP21)-SUM(LK21,LO21)&gt;0,SUM(LI21:LJ21,LL21:LN21,LP21)-SUM(LK21,LO21),"")</f>
        <v/>
      </c>
      <c r="LV21" s="78" t="str">
        <f>IF(SUM(LR21,LU21)&gt;0,SUM(LR21,LU21),"")</f>
        <v/>
      </c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19" t="str">
        <f>IF(SUM(LX21,MB21)&gt;0,SUM(LX21,MB21),"")</f>
        <v/>
      </c>
      <c r="MR21" s="19" t="str">
        <f>IF(SUM(LW21:LX21,LZ21:MB21,MD21)-LY21-MC21&gt;0,SUM(LW21:LX21,LZ21:MB21,MD21)-LY21-MC21,"")</f>
        <v/>
      </c>
      <c r="MS21" s="19" t="str">
        <f>IF(SUM(ME21:MF21,MH21)-MG21&gt;0,SUM(ME21:MF21,MH21)-MG21,"")</f>
        <v/>
      </c>
      <c r="MT21" s="19" t="str">
        <f>IF(SUM(MJ21,MN21)&gt;0,SUM(MJ21,MN21),"")</f>
        <v/>
      </c>
      <c r="MU21" s="19" t="str">
        <f>IF(SUM(MI21:MJ21,ML21:MN21,MP21)-SUM(MK21,MO21)&gt;0,SUM(MI21:MJ21,ML21:MN21,MP21)-SUM(MK21,MO21),"")</f>
        <v/>
      </c>
      <c r="MV21" s="19" t="str">
        <f>IF(SUM(MR21,MU21)&gt;0,SUM(MR21,MU21),"")</f>
        <v/>
      </c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/>
      <c r="NP21" s="24"/>
      <c r="NQ21" s="78" t="str">
        <f>IF(SUM(MX21,NB21)&gt;0,SUM(MX21,NB21),"")</f>
        <v/>
      </c>
      <c r="NR21" s="78" t="str">
        <f>IF(SUM(MW21:MX21,MZ21:NB21,ND21)-MY21-NC21&gt;0,SUM(MW21:MX21,MZ21:NB21,ND21)-MY21-NC21,"")</f>
        <v/>
      </c>
      <c r="NS21" s="78" t="str">
        <f>IF(SUM(NE21:NF21,NH21)-NG21&gt;0,SUM(NE21:NF21,NH21)-NG21,"")</f>
        <v/>
      </c>
      <c r="NT21" s="78" t="str">
        <f>IF(SUM(NJ21,NN21)&gt;0,SUM(NJ21,NN21),"")</f>
        <v/>
      </c>
      <c r="NU21" s="78" t="str">
        <f>IF(SUM(NI21:NJ21,NL21:NN21,NP21)-SUM(NK21,NO21)&gt;0,SUM(NI21:NJ21,NL21:NN21,NP21)-SUM(NK21,NO21),"")</f>
        <v/>
      </c>
      <c r="NV21" s="78" t="str">
        <f>IF(SUM(NR21,NU21)&gt;0,SUM(NR21,NU21),"")</f>
        <v/>
      </c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19" t="str">
        <f>IF(SUM(NX21,OB21)&gt;0,SUM(NX21,OB21),"")</f>
        <v/>
      </c>
      <c r="OR21" s="19" t="str">
        <f>IF(SUM(NW21:NX21,NZ21:OB21,OD21)-NY21-OC21&gt;0,SUM(NW21:NX21,NZ21:OB21,OD21)-NY21-OC21,"")</f>
        <v/>
      </c>
      <c r="OS21" s="19" t="str">
        <f>IF(SUM(OE21:OF21,OH21)-OG21&gt;0,SUM(OE21:OF21,OH21)-OG21,"")</f>
        <v/>
      </c>
      <c r="OT21" s="19" t="str">
        <f>IF(SUM(OJ21,ON21)&gt;0,SUM(OJ21,ON21),"")</f>
        <v/>
      </c>
      <c r="OU21" s="19" t="str">
        <f>IF(SUM(OI21:OJ21,OL21:ON21,OP21)-SUM(OK21,OO21)&gt;0,SUM(OI21:OJ21,OL21:ON21,OP21)-SUM(OK21,OO21),"")</f>
        <v/>
      </c>
      <c r="OV21" s="19" t="str">
        <f>IF(SUM(OR21,OU21)&gt;0,SUM(OR21,OU21),"")</f>
        <v/>
      </c>
      <c r="OW21" s="37">
        <f>IF($CN21="P",BT21,(BT21+AS21)/2)</f>
        <v>8.75</v>
      </c>
      <c r="OX21" s="37">
        <f>IF($CN21="P",BU21,(BU21+AT21)/2)</f>
        <v>1.7</v>
      </c>
      <c r="OY21" s="37">
        <f>IF($CN21="P",BV21,(BV21+AU21)/2)</f>
        <v>0</v>
      </c>
      <c r="OZ21" s="37">
        <f>IF($CN21="P",BW21,(BW21+AV21)/2)</f>
        <v>0</v>
      </c>
      <c r="PA21" s="37">
        <f>IF($CN21="P",BX21,(BX21+AW21)/2)</f>
        <v>8.1999999999999993</v>
      </c>
      <c r="PB21" s="37">
        <f>IF($CN21="P",BY21,(BY21+AX21)/2)</f>
        <v>1.55</v>
      </c>
      <c r="PC21" s="37">
        <f>IF($CN21="P",BZ21,(BZ21+AY21)/2)</f>
        <v>0</v>
      </c>
      <c r="PD21" s="37">
        <f>IF($CN21="P",CA21,(CA21+AZ21)/2)</f>
        <v>0.15</v>
      </c>
      <c r="PE21" s="37">
        <f>IF($CN21="P",CB21,(CB21+BA21)/2)</f>
        <v>0</v>
      </c>
      <c r="PF21" s="37">
        <f>IF($CN21="P",CC21,(CC21+BB21)/2)</f>
        <v>0</v>
      </c>
      <c r="PG21" s="37">
        <f>IF($CN21="P",CD21,(CD21+BC21)/2)</f>
        <v>0</v>
      </c>
      <c r="PH21" s="37">
        <f>IF($CN21="P",CE21,(CE21+BD21)/2)</f>
        <v>0</v>
      </c>
      <c r="PI21" s="37">
        <f>IF($CN21="P",CF21,(CF21+BE21)/2)</f>
        <v>8.4499999999999993</v>
      </c>
      <c r="PJ21" s="37">
        <f>IF($CN21="P",CG21,(CG21+BF21)/2)</f>
        <v>1.7</v>
      </c>
      <c r="PK21" s="37">
        <f>IF($CN21="P",CH21,(CH21+BG21)/2)</f>
        <v>0</v>
      </c>
      <c r="PL21" s="37">
        <f>IF($CN21="P",CI21,(CI21+BH21)/2)</f>
        <v>0</v>
      </c>
      <c r="PM21" s="37">
        <f>IF($CN21="P",CJ21,(CJ21+BI21)/2)</f>
        <v>8.1</v>
      </c>
      <c r="PN21" s="37">
        <f>IF($CN21="P",CK21,(CK21+BJ21)/2)</f>
        <v>1.55</v>
      </c>
      <c r="PO21" s="37">
        <f>IF($CN21="P",CL21,(CL21+BK21)/2)</f>
        <v>0</v>
      </c>
      <c r="PP21" s="37">
        <f>IF($CN21="P",CM21,(CM21+BL21)/2)</f>
        <v>0.15</v>
      </c>
      <c r="PQ21" s="44" t="s">
        <v>46</v>
      </c>
      <c r="PR21" s="78">
        <f>IF(SUM(OX21,PB21)&gt;0,SUM(OX21,PB21),"")</f>
        <v>3.25</v>
      </c>
      <c r="PS21" s="78">
        <f>IF(SUM(OW21:OX21,OZ21:PB21,PD21)-OY21-PC21&gt;0,SUM(OW21:OX21,OZ21:PB21,PD21)-OY21-PC21,"")</f>
        <v>20.349999999999998</v>
      </c>
      <c r="PT21" s="78" t="str">
        <f>IF(SUM(PE21:PF21,PH21)-PG21&gt;0,SUM(PE21:PF21,PH21)-PG21,"")</f>
        <v/>
      </c>
      <c r="PU21" s="78">
        <f>IF(SUM(PJ21,PN21)&gt;0,SUM(PJ21,PN21),"")</f>
        <v>3.25</v>
      </c>
      <c r="PV21" s="78">
        <f>IF(SUM(PI21:PJ21,PL21:PN21,PP21)-SUM(PK21,PO21)&gt;0,SUM(PI21:PJ21,PL21:PN21,PP21)-SUM(PK21,PO21),"")</f>
        <v>19.95</v>
      </c>
      <c r="PW21" s="78">
        <f>IF(SUM(PS21,PV21)&gt;0,SUM(PS21,PV21),"")</f>
        <v>40.299999999999997</v>
      </c>
    </row>
    <row r="22" spans="1:439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77" t="s">
        <v>193</v>
      </c>
      <c r="C22" s="5" t="s">
        <v>5</v>
      </c>
      <c r="D22" s="5">
        <v>2005</v>
      </c>
      <c r="E22" s="15">
        <f>SUM(I22:O22)+SUM(I22:M22)*0.0000001+SUM(I22)*0.0000000000001</f>
        <v>74.800007480003728</v>
      </c>
      <c r="F22" s="3" t="str">
        <f>IF(OR(AND(AM22&gt;=AR$26,AN22&gt;=AR$30,AM22&lt;&gt;"",AL22=""),AND(AP22&gt;=AR$26,AQ22&gt;=AR$30,AP22&lt;&gt;"",AL22=""),AND(BN22&gt;=BS$26,BO22&gt;=BS$30,BN22&lt;&gt;"",BM22=""),AND(BQ22&gt;=BS$26,BR22&gt;=BS$30,BQ22&lt;&gt;"",BM22=""),AND(CO22&gt;=CT$26,CP22&gt;=CT$30,CO22&lt;&gt;"",CN22=""),AND(CR22&gt;=CT$26,CS22&gt;=CT$30,CR22&lt;&gt;""),AND(DQ22&gt;=DV$26,DR22&gt;=DV$30,DQ22&lt;&gt;""),AND(DT22&gt;=DV$26,DU22&gt;=DV$30,DT22&lt;&gt;""),AND(EQ22&gt;=EV$26,ER22&gt;=EV$30,EQ22&lt;&gt;""),AND(ET22&gt;=EV$26,EU22&gt;=EV$30,ET22&lt;&gt;""),AND(FQ22&gt;=FV$26,FR22&gt;=FV$30,FQ22&lt;&gt;""),AND(FT22&gt;=FV$26,FU22&gt;=FV$30,FT22&lt;&gt;""),AND(GQ22&gt;=GV$26,GR22&gt;=GV$30,GQ22&lt;&gt;""),AND(GT22&gt;=GV$26,GU22&gt;=GV$30,GT22&lt;&gt;""),AND(HQ22&gt;=HV$26,HR22&gt;=HV$30,HQ22&lt;&gt;""),AND(HT22&gt;=HV$26,HU22&gt;=HV$30,HT22&lt;&gt;""),AND(IQ22&gt;=IV$26,IR22&gt;=IV$30,IQ22&lt;&gt;""),AND(IT22&gt;=IV$26,IU22&gt;=IV$30,IT22&lt;&gt;""),AND(JQ22&gt;=JV$26,JR22&gt;=JV$30,JQ22&lt;&gt;""),AND(JT22&gt;=JV$26,JU22&gt;=JV$30,JT22&lt;&gt;""),AND(KQ22&gt;=KV$26,KR22&gt;=KV$30,KQ22&lt;&gt;""),AND(KT22&gt;=KV$26,KU22&gt;=KV$30,KT22&lt;&gt;""),AND(LQ22&gt;=LV$26,LR22&gt;=LV$30,LQ22&lt;&gt;""),AND(LT22&gt;=LV$26,LU22&gt;=LV$30,LT22&lt;&gt;""),AND(MQ22&gt;=MV$26,MR22&gt;=MV$30,MQ22&lt;&gt;""),AND(MT22&gt;=MV$26,MU22&gt;=MV$30,MT22&lt;&gt;""),AND(NQ22&gt;=NV$26,NR22&gt;=NV$30,NQ22&lt;&gt;""),AND(NT22&gt;=NV$26,NU22&gt;=NV$30,NT22&lt;&gt;""),AND(OQ22&gt;=OV$26,OR22&gt;=OV$30,OQ22&lt;&gt;""),AND(OT22&gt;=OV$26,OU22&gt;=OV$30,OT22&lt;&gt;"")),"P","")</f>
        <v/>
      </c>
      <c r="G22" s="3" t="str">
        <f>IF(OR(AND(AN22&gt;=AR$30,AN22&lt;&gt;"",AL22=""),AND(AQ22&gt;=AR$30,AQ22&lt;&gt;"",AL22=""),AND(BO22&gt;=BS$30,BO22&lt;&gt;"",BM22=""),AND(BR22&gt;=BS$30,BR22&lt;&gt;"",BM22=""),AND(CP22&gt;=CT$30,CP22&lt;&gt;"",CN22=""),AND(CS22&gt;=CT$30,CS22&lt;&gt;"",CN22=""),AND(DR22&gt;=DV$30,DR22&lt;&gt;""),AND(DU22&gt;=DV$30,DU22&lt;&gt;""),AND(ER22&gt;=EV$30,ER22&lt;&gt;""),AND(EU22&gt;=EV$30,EU22&lt;&gt;""),AND(FR22&gt;=FV$30,FR22&lt;&gt;""),AND(FU22&gt;=FV$30,FU22&lt;&gt;""),AND(GR22&gt;=GV$30,GR22&lt;&gt;""),AND(GU22&gt;=GV$30,GU22&lt;&gt;""),AND(HR22&gt;=HV$30,HR22&lt;&gt;""),AND(HU22&gt;=HV$30,HU22&lt;&gt;""),AND(IR22&gt;=IV$30,IR22&lt;&gt;""),AND(IU22&gt;=IV$30,IU22&lt;&gt;""),AND(JR22&gt;=JV$30,JR22&lt;&gt;""),AND(JU22&gt;=JV$30,JU22&lt;&gt;""),AND(KR22&gt;=KV$30,KR22&lt;&gt;""),AND(KU22&gt;=KV$30,KU22&lt;&gt;""),AND(LR22&gt;=LV$30,LR22&lt;&gt;""),AND(LU22&gt;=LV$30,LU22&lt;&gt;""),AND(MR22&gt;=MV$30,MR22&lt;&gt;""),AND(MU22&gt;=MV$30,MU22&lt;&gt;""),AND(NR22&gt;=NV$30,NR22&lt;&gt;""),AND(NU22&gt;=NV$30,NU22&lt;&gt;""),AND(OR22&gt;=OV$30,OR22&lt;&gt;""),AND(OU22&gt;=OV$30,OU22&lt;&gt;"")),"P","")</f>
        <v/>
      </c>
      <c r="H22" s="66" t="str">
        <f>IF(AND(G22="P",F22=""),"No DD",IF(OR(AND(AM22&gt;=AR$29,AN22&gt;=AR$33,AM22&lt;&gt;"",AL22=""),AND(AP22&gt;=AR$29,AQ22&gt;=AR$33,AP22&lt;&gt;"",AL22=""),AND(BN22&gt;=BS$29,BO22&gt;=BS$33,BN22&lt;&gt;"",BM22=""),AND(BQ22&gt;=BS$29,BR22&gt;=BS$33,BQ22&lt;&gt;"",BM22=""),AND(CO22&gt;=CT$29,CP22&gt;=CT$33,CO22&lt;&gt;"",CN22=""),AND(CR22&gt;=CT$29,CS22&gt;=CT$33,CR22&lt;&gt;""),AND(DQ22&gt;=DV$29,DR22&gt;=DV$33,DQ22&lt;&gt;""),AND(DT22&gt;=DV$29,DU22&gt;=DV$33,DT22&lt;&gt;""),AND(EQ22&gt;=EV$29,ER22&gt;=EV$33,EQ22&lt;&gt;""),AND(ET22&gt;=EV$29,EU22&gt;=EV$33,ET22&lt;&gt;""),AND(FQ22&gt;=FV$29,FR22&gt;=FV$33,FQ22&lt;&gt;""),AND(FT22&gt;=FV$29,FU22&gt;=FV$33,FT22&lt;&gt;""),AND(GQ22&gt;=GV$29,GR22&gt;=GV$33,GQ22&lt;&gt;""),AND(GT22&gt;=GV$29,GU22&gt;=GV$33,GT22&lt;&gt;""),AND(HQ22&gt;=HV$29,HR22&gt;=HV$33,HQ22&lt;&gt;""),AND(HT22&gt;=HV$29,HU22&gt;=HV$33,HT22&lt;&gt;""),AND(IQ22&gt;=IV$29,IR22&gt;=IV$33,IQ22&lt;&gt;""),AND(IT22&gt;=IV$29,IU22&gt;=IV$33,IT22&lt;&gt;""),AND(JQ22&gt;=JV$29,JR22&gt;=JV$33,JQ22&lt;&gt;""),AND(JT22&gt;=JV$29,JU22&gt;=JV$33,JT22&lt;&gt;""),AND(KQ22&gt;=KV$29,KR22&gt;=KV$33,KQ22&lt;&gt;""),AND(KT22&gt;=KV$29,KU22&gt;=KV$33,KT22&lt;&gt;""),AND(LQ22&gt;=LV$29,LR22&gt;=LV$33,LQ22&lt;&gt;""),AND(LT22&gt;=LV$29,LU22&gt;=LV$33,LT22&lt;&gt;""),AND(MQ22&gt;=MV$29,MR22&gt;=MV$33,MQ22&lt;&gt;""),AND(MT22&gt;=MV$29,MU22&gt;=MV$33,MT22&lt;&gt;""),AND(NQ22&gt;=NV$29,NR22&gt;=NV$33,NQ22&lt;&gt;""),AND(NT22&gt;=NV$29,NU22&gt;=NV$33,NT22&lt;&gt;""),AND(OQ22&gt;=OV$29,OR22&gt;=OV$33,OQ22&lt;&gt;""),AND(OT22&gt;=OV$29,OU22&gt;=OV$33,OT22&lt;&gt;"")),"Merit",IF(OR(AND(AM22&gt;=AR$28,AN22&gt;=AR$32,AM22&lt;&gt;"",AL22=""),AND(AP22&gt;=AR$28,AQ22&gt;=AR$32,AP22&lt;&gt;"",AL22=""),AND(BN22&gt;=BS$28,BO22&gt;=BS$32,BN22&lt;&gt;"",BM22=""),AND(BQ22&gt;=BS$28,BR22&gt;=BS$32,BQ22&lt;&gt;"",BM22=""),AND(CO22&gt;=CT$28,CP22&gt;=CT$32,CO22&lt;&gt;"",CN22=""),AND(CR22&gt;=CT$28,CS22&gt;=CT$32,CR22&lt;&gt;""),AND(DQ22&gt;=DV$28,DR22&gt;=DV$32,DQ22&lt;&gt;""),AND(DT22&gt;=DV$28,DU22&gt;=DV$32,DT22&lt;&gt;""),AND(EQ22&gt;=EV$28,ER22&gt;=EV$32,EQ22&lt;&gt;""),AND(ET22&gt;=EV$28,EU22&gt;=EV$32,ET22&lt;&gt;""),AND(FQ22&gt;=FV$28,FR22&gt;=FV$32,FQ22&lt;&gt;""),AND(FT22&gt;=FV$28,FU22&gt;=FV$32,FT22&lt;&gt;""),AND(GQ22&gt;=GV$28,GR22&gt;=GV$32,GQ22&lt;&gt;""),AND(GT22&gt;=GV$28,GU22&gt;=GV$32,GT22&lt;&gt;""),AND(HQ22&gt;=HV$28,HR22&gt;=HV$32,HQ22&lt;&gt;""),AND(HT22&gt;=HV$28,HU22&gt;=HV$32,HT22&lt;&gt;""),AND(IQ22&gt;=IV$28,IR22&gt;=IV$32,IQ22&lt;&gt;""),AND(IT22&gt;=IV$28,IU22&gt;=IV$32,IT22&lt;&gt;""),AND(JQ22&gt;=JV$28,JR22&gt;=JV$32,JQ22&lt;&gt;""),AND(JT22&gt;=JV$28,JU22&gt;=JV$32,JT22&lt;&gt;""),AND(KQ22&gt;=KV$28,KR22&gt;=KV$32,KQ22&lt;&gt;""),AND(KT22&gt;=KV$28,KU22&gt;=KV$32,KT22&lt;&gt;""),AND(LQ22&gt;=LV$28,LR22&gt;=LV$32,LQ22&lt;&gt;""),AND(LT22&gt;=LV$28,LU22&gt;=LV$32,LT22&lt;&gt;""),AND(MQ22&gt;=MV$28,MR22&gt;=MV$32,MQ22&lt;&gt;""),AND(MT22&gt;=MV$28,MU22&gt;=MV$32,MT22&lt;&gt;""),AND(NQ22&gt;=NV$28,NR22&gt;=NV$32,NQ22&lt;&gt;""),AND(NT22&gt;=NV$28,NU22&gt;=NV$32,NT22&lt;&gt;""),AND(OQ22&gt;=OV$28,OR22&gt;=OV$32,OQ22&lt;&gt;""),AND(OT22&gt;=OV$28,OU22&gt;=OV$32,OT22&lt;&gt;"")),"Excellence",IF(F22="P","National Team",""))))</f>
        <v/>
      </c>
      <c r="I22" s="14">
        <f>IF(COUNT(AN22,BO22,CP22)&gt;0,LARGE((AN22,BO22,CP22),1),0)</f>
        <v>37.499999999999993</v>
      </c>
      <c r="J22" s="14" t="str">
        <f>IF(I22=0,"",IF(I22=CP22,$BT$1,IF(I22=BO22,$AS$1,IF(I22=AN22,$R$1,""))))</f>
        <v>2022 Nationals</v>
      </c>
      <c r="K22" s="14">
        <f>IF(COUNT(AN22,BO22,CP22)&gt;1,LARGE((AN22,BO22,CP22),2),0)</f>
        <v>0</v>
      </c>
      <c r="L22" s="14" t="str">
        <f>IF(K22=0,"",IF(K22=CP22,$BT$1,IF(K22=BO22,$AS$1,IF(K22=AN22,$R$1,""))))</f>
        <v/>
      </c>
      <c r="M22" s="14">
        <f>IF(MAX(AQ22,BR22,CS22)&gt;0,MAX(AQ22,BR22,CS22),0)</f>
        <v>37.29999999999999</v>
      </c>
      <c r="N22" s="14" t="str">
        <f>IF(M22=0,"",IF(M22=CS22,$BT$1,IF(M22=BR22,$AS$1,IF(M22=AQ22,$R$1,""))))</f>
        <v>2022 Nationals</v>
      </c>
      <c r="O22" s="14" t="str">
        <f>IF(MAX(CU22:CV22)&gt;0,MAX(CU22:CV22),"")</f>
        <v/>
      </c>
      <c r="P22" s="19" t="str">
        <f>IF(O22="","",IF(O22=CU22,"("&amp;CU$2&amp;")",IF(O22=CV22,"("&amp;CV$2&amp;")")))</f>
        <v/>
      </c>
      <c r="Q22" s="14" t="str">
        <f>IF(O22="","",IF(O22=CU22,IF(O22+IF(K22="",0,K22)=OR22,$NW$1,IF(O22+IF(K22="",0,K22)=NR22,$MW$1,IF(O22+IF(K22="",0,K22)=MR22,$LW$1,IF(O22+IF(K22="",0,K22)=LR22,$KW$1,IF(O22+IF(K22="",0,K22)=KR22,$JW$1,IF(O22+IF(K22="",0,K22)=JR22,$IW$1,IF(O22+IF(K22="",0,K22)=IR22,$HW$1,IF(O22+IF(K22="",0,K22)=HR22,$GW$1,IF(O22+IF(K22="",0,K22)=GR22,$FW$1,IF(O22+IF(K22="",0,K22)=FR22,$EW$1,IF(O22+IF(K22="",0,K22)=ER22,$DW$1,IF(O22+IF(K22="",0,K22)=DR22,$CW$1)))))))))))),IF(O22=CV22,IF(O22+IF(M22="",0,M22)=OU22,$NW$1,IF(O22+IF(M22="",0,M22)=NU22,$MW$1,IF(O22+IF(M22="",0,M22)=MU22,$LW$1,IF(O22+IF(M22="",0,M22)=LU22,$KW$1,IF(O22+IF(M22="",0,M22)=KU22,$JW$1,IF(O22+IF(M22="",0,M22)=JU22,$IW$1,IF(O22+IF(M22="",0,M22)=IU22,$HW$1,IF(O22+IF(M22="",0,M22)=HU22,$GW$1,IF(O22+IF(M22="",0,M22)=GU22,$FW$1,IF(O22+IF(M22="",0,M22)=FU22,$EW$1,IF(O22+IF(M22="",0,M22)=EU22,$DW$1,IF(O22+IF(M22="",0,M22)=DU22,$CW$1)))))))))))))))</f>
        <v/>
      </c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44"/>
      <c r="AM22" s="78" t="str">
        <f>IF(SUM(S22,W22)&gt;0,SUM(S22,W22),"")</f>
        <v/>
      </c>
      <c r="AN22" s="78" t="str">
        <f>IF(SUM(R22:S22,U22:W22,Y22)-T22-X22&gt;0,SUM(R22:S22,U22:W22,Y22)-T22-X22,"")</f>
        <v/>
      </c>
      <c r="AO22" s="78" t="str">
        <f>IF(SUM(Z22:AA22,AC22)-AB22&gt;0,SUM(Z22:AA22,AC22)-AB22,"")</f>
        <v/>
      </c>
      <c r="AP22" s="78" t="str">
        <f>IF(SUM(AE22,AI22)&gt;0,SUM(AE22,AI22),"")</f>
        <v/>
      </c>
      <c r="AQ22" s="78" t="str">
        <f>IF(SUM(AD22:AE22,AG22:AI22,AK22)-SUM(AF22,AJ22)&gt;0,SUM(AD22:AE22,AG22:AI22,AK22)-SUM(AF22,AJ22),"")</f>
        <v/>
      </c>
      <c r="AR22" s="78" t="str">
        <f>IF(SUM(AN22,AQ22)&gt;0,SUM(AN22,AQ22),"")</f>
        <v/>
      </c>
      <c r="AS22" s="25">
        <v>16.399999999999999</v>
      </c>
      <c r="AT22" s="25">
        <v>3.3</v>
      </c>
      <c r="AU22" s="25">
        <v>0</v>
      </c>
      <c r="AV22" s="25">
        <v>0</v>
      </c>
      <c r="AW22" s="25">
        <v>16.7</v>
      </c>
      <c r="AX22" s="25">
        <v>2.8</v>
      </c>
      <c r="AY22" s="25">
        <v>2</v>
      </c>
      <c r="AZ22" s="25">
        <v>0.3</v>
      </c>
      <c r="BA22" s="25"/>
      <c r="BB22" s="25"/>
      <c r="BC22" s="25"/>
      <c r="BD22" s="25"/>
      <c r="BE22" s="25">
        <v>14.6</v>
      </c>
      <c r="BF22" s="25">
        <v>3.3</v>
      </c>
      <c r="BG22" s="25">
        <v>0</v>
      </c>
      <c r="BH22" s="25">
        <v>0</v>
      </c>
      <c r="BI22" s="25">
        <v>16.5</v>
      </c>
      <c r="BJ22" s="25">
        <v>2.8</v>
      </c>
      <c r="BK22" s="25">
        <v>0.2</v>
      </c>
      <c r="BL22" s="25">
        <v>0.3</v>
      </c>
      <c r="BM22" s="45"/>
      <c r="BN22" s="19">
        <f>IF(SUM(AT22,AX22)&gt;0,SUM(AT22,AX22),"")</f>
        <v>6.1</v>
      </c>
      <c r="BO22" s="19">
        <f>IF(SUM(AS22:AT22,AV22:AX22,AZ22)-AU22-AY22&gt;0,SUM(AS22:AT22,AV22:AX22,AZ22)-AU22-AY22,"")</f>
        <v>37.499999999999993</v>
      </c>
      <c r="BP22" s="19" t="str">
        <f>IF(SUM(BA22:BB22,BD22)-BC22&gt;0,SUM(BA22:BB22,BD22)-BC22,"")</f>
        <v/>
      </c>
      <c r="BQ22" s="19">
        <f>IF(SUM(BF22,BJ22)&gt;0,SUM(BF22,BJ22),"")</f>
        <v>6.1</v>
      </c>
      <c r="BR22" s="19">
        <f>IF(SUM(BE22:BF22,BH22:BJ22,BL22)-SUM(BG22,BK22)&gt;0,SUM(BE22:BF22,BH22:BJ22,BL22)-SUM(BG22,BK22),"")</f>
        <v>37.29999999999999</v>
      </c>
      <c r="BS22" s="19">
        <f>IF(SUM(BO22,BR22)&gt;0,SUM(BO22,BR22),"")</f>
        <v>74.799999999999983</v>
      </c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44"/>
      <c r="CO22" s="78" t="str">
        <f>IF(SUM(BU22,BY22)&gt;0,SUM(BU22,BY22),"")</f>
        <v/>
      </c>
      <c r="CP22" s="78" t="str">
        <f>IF(SUM(BT22:BU22,BW22:BY22,CA22)-BV22-BZ22&gt;0,SUM(BT22:BU22,BW22:BY22,CA22)-BV22-BZ22,"")</f>
        <v/>
      </c>
      <c r="CQ22" s="78" t="str">
        <f>IF(SUM(CB22:CC22,CE22)-CD22&gt;0,SUM(CB22:CC22,CE22)-CD22,"")</f>
        <v/>
      </c>
      <c r="CR22" s="78" t="str">
        <f>IF(SUM(CG22,CK22)&gt;0,SUM(CG22,CK22),"")</f>
        <v/>
      </c>
      <c r="CS22" s="78" t="str">
        <f>IF(SUM(CF22:CG22,CI22:CK22,CM22)-SUM(CH22,CL22)&gt;0,SUM(CF22:CG22,CI22:CK22,CM22)-SUM(CH22,CL22),"")</f>
        <v/>
      </c>
      <c r="CT22" s="78" t="str">
        <f>IF(SUM(CP22,CS22)&gt;0,SUM(CP22,CS22),"")</f>
        <v/>
      </c>
      <c r="CU22" s="79" t="str">
        <f>IF(K22&gt;=0.001,IF(MAX(DR22,ER22,FR22,GR22,HR22,IR22,JR22,KR22,LR22,MR22,NR22,OR22)-IF(K22="",0,K22)&gt;0.001,MAX(DR22,ER22,FR22,GR22,HR22,IR22,JR22,KR22,LR22,MR22,NR22,OR22)-IF(K22="",0,K22),""),"")</f>
        <v/>
      </c>
      <c r="CV22" s="79" t="str">
        <f>IF(M22&gt;=0.001,IF(MAX(DU22,EU22,FU22,GU22,HU22,IU22,JU22,KU22,LU22,MU22,NU22,OU22)-IF(M22="",0,M22)&gt;0.001,MAX(DU22,EU22,FU22,GU22,HU22,IU22,JU22,KU22,LU22,MU22,NU22,OU22)-IF(M22="",0,M22),""),"")</f>
        <v/>
      </c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78" t="str">
        <f>IF(SUM(CX22,DB22)&gt;0,SUM(CX22,DB22),"")</f>
        <v/>
      </c>
      <c r="DR22" s="78" t="str">
        <f>IF(SUM(CW22:CX22,CZ22:DB22,DD22)-CY22-DC22&gt;0,SUM(CW22:CX22,CZ22:DB22,DD22)-CY22-DC22,"")</f>
        <v/>
      </c>
      <c r="DS22" s="78" t="str">
        <f>IF(SUM(DE22:DF22,DH22)-DG22&gt;0,SUM(DE22:DF22,DH22)-DG22,"")</f>
        <v/>
      </c>
      <c r="DT22" s="78" t="str">
        <f>IF(SUM(DJ22,DN22)&gt;0,SUM(DJ22,DN22),"")</f>
        <v/>
      </c>
      <c r="DU22" s="78" t="str">
        <f>IF(SUM(DI22:DJ22,DL22:DN22,DP22)-SUM(DK22,DO22)&gt;0,SUM(DI22:DJ22,DL22:DN22,DP22)-SUM(DK22,DO22),"")</f>
        <v/>
      </c>
      <c r="DV22" s="78" t="str">
        <f>IF(SUM(DR22,DU22)&gt;0,SUM(DR22,DU22),"")</f>
        <v/>
      </c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19" t="str">
        <f>IF(SUM(DX22,EB22)&gt;0,SUM(DX22,EB22),"")</f>
        <v/>
      </c>
      <c r="ER22" s="19" t="str">
        <f>IF(SUM(DW22:DX22,DZ22:EB22,ED22)-DY22-EC22&gt;0,SUM(DW22:DX22,DZ22:EB22,ED22)-DY22-EC22,"")</f>
        <v/>
      </c>
      <c r="ES22" s="19" t="str">
        <f>IF(SUM(EE22:EF22,EH22)-EG22&gt;0,SUM(EE22:EF22,EH22)-EG22,"")</f>
        <v/>
      </c>
      <c r="ET22" s="19" t="str">
        <f>IF(SUM(EJ22,EN22)&gt;0,SUM(EJ22,EN22),"")</f>
        <v/>
      </c>
      <c r="EU22" s="19" t="str">
        <f>IF(SUM(EI22:EJ22,EL22:EN22,EP22)-SUM(EK22,EO22)&gt;0,SUM(EI22:EJ22,EL22:EN22,EP22)-SUM(EK22,EO22),"")</f>
        <v/>
      </c>
      <c r="EV22" s="19" t="str">
        <f>IF(SUM(ER22,EU22)&gt;0,SUM(ER22,EU22),"")</f>
        <v/>
      </c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78" t="str">
        <f>IF(SUM(EX22,FB22)&gt;0,SUM(EX22,FB22),"")</f>
        <v/>
      </c>
      <c r="FR22" s="78" t="str">
        <f>IF(SUM(EW22:EX22,EZ22:FB22,FD22)-EY22-FC22&gt;0,SUM(EW22:EX22,EZ22:FB22,FD22)-EY22-FC22,"")</f>
        <v/>
      </c>
      <c r="FS22" s="78" t="str">
        <f>IF(SUM(FE22:FF22,FH22)-FG22&gt;0,SUM(FE22:FF22,FH22)-FG22,"")</f>
        <v/>
      </c>
      <c r="FT22" s="78" t="str">
        <f>IF(SUM(FJ22,FN22)&gt;0,SUM(FJ22,FN22),"")</f>
        <v/>
      </c>
      <c r="FU22" s="78" t="str">
        <f>IF(SUM(FI22:FJ22,FL22:FN22,FP22)-SUM(FK22,FO22)&gt;0,SUM(FI22:FJ22,FL22:FN22,FP22)-SUM(FK22,FO22),"")</f>
        <v/>
      </c>
      <c r="FV22" s="78" t="str">
        <f>IF(SUM(FR22,FU22)&gt;0,SUM(FR22,FU22),"")</f>
        <v/>
      </c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19" t="str">
        <f>IF(SUM(FX22,GB22)&gt;0,SUM(FX22,GB22),"")</f>
        <v/>
      </c>
      <c r="GR22" s="19" t="str">
        <f>IF(SUM(FW22:FX22,FZ22:GB22,GD22)-FY22-GC22&gt;0,SUM(FW22:FX22,FZ22:GB22,GD22)-FY22-GC22,"")</f>
        <v/>
      </c>
      <c r="GS22" s="19" t="str">
        <f>IF(SUM(GE22:GF22,GH22)-GG22&gt;0,SUM(GE22:GF22,GH22)-GG22,"")</f>
        <v/>
      </c>
      <c r="GT22" s="19" t="str">
        <f>IF(SUM(GJ22,GN22)&gt;0,SUM(GJ22,GN22),"")</f>
        <v/>
      </c>
      <c r="GU22" s="19" t="str">
        <f>IF(SUM(GI22:GJ22,GL22:GN22,GP22)-SUM(GK22,GO22)&gt;0,SUM(GI22:GJ22,GL22:GN22,GP22)-SUM(GK22,GO22),"")</f>
        <v/>
      </c>
      <c r="GV22" s="19" t="str">
        <f>IF(SUM(GR22,GU22)&gt;0,SUM(GR22,GU22),"")</f>
        <v/>
      </c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78" t="str">
        <f>IF(SUM(GX22,HB22)&gt;0,SUM(GX22,HB22),"")</f>
        <v/>
      </c>
      <c r="HR22" s="78" t="str">
        <f>IF(SUM(GW22:GX22,GZ22:HB22,HD22)-GY22-HC22&gt;0,SUM(GW22:GX22,GZ22:HB22,HD22)-GY22-HC22,"")</f>
        <v/>
      </c>
      <c r="HS22" s="78" t="str">
        <f>IF(SUM(HE22:HF22,HH22)-HG22&gt;0,SUM(HE22:HF22,HH22)-HG22,"")</f>
        <v/>
      </c>
      <c r="HT22" s="78" t="str">
        <f>IF(SUM(HJ22,HN22)&gt;0,SUM(HJ22,HN22),"")</f>
        <v/>
      </c>
      <c r="HU22" s="78" t="str">
        <f>IF(SUM(HI22:HJ22,HL22:HN22,HP22)-SUM(HK22,HO22)&gt;0,SUM(HI22:HJ22,HL22:HN22,HP22)-SUM(HK22,HO22),"")</f>
        <v/>
      </c>
      <c r="HV22" s="78" t="str">
        <f>IF(SUM(HR22,HU22)&gt;0,SUM(HR22,HU22),"")</f>
        <v/>
      </c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19" t="str">
        <f>IF(SUM(HX22,IB22)&gt;0,SUM(HX22,IB22),"")</f>
        <v/>
      </c>
      <c r="IR22" s="19" t="str">
        <f>IF(SUM(HW22:HX22,HZ22:IB22,ID22)-HY22-IC22&gt;0,SUM(HW22:HX22,HZ22:IB22,ID22)-HY22-IC22,"")</f>
        <v/>
      </c>
      <c r="IS22" s="19" t="str">
        <f>IF(SUM(IE22:IF22,IH22)-IG22&gt;0,SUM(IE22:IF22,IH22)-IG22,"")</f>
        <v/>
      </c>
      <c r="IT22" s="19" t="str">
        <f>IF(SUM(IJ22,IN22)&gt;0,SUM(IJ22,IN22),"")</f>
        <v/>
      </c>
      <c r="IU22" s="19" t="str">
        <f>IF(SUM(II22:IJ22,IL22:IN22,IP22)-SUM(IK22,IO22)&gt;0,SUM(II22:IJ22,IL22:IN22,IP22)-SUM(IK22,IO22),"")</f>
        <v/>
      </c>
      <c r="IV22" s="19" t="str">
        <f>IF(SUM(IR22,IU22)&gt;0,SUM(IR22,IU22),"")</f>
        <v/>
      </c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78" t="str">
        <f>IF(SUM(IX22,JB22)&gt;0,SUM(IX22,JB22),"")</f>
        <v/>
      </c>
      <c r="JR22" s="78" t="str">
        <f>IF(SUM(IW22:IX22,IZ22:JB22,JD22)-IY22-JC22&gt;0,SUM(IW22:IX22,IZ22:JB22,JD22)-IY22-JC22,"")</f>
        <v/>
      </c>
      <c r="JS22" s="78" t="str">
        <f>IF(SUM(JE22:JF22,JH22)-JG22&gt;0,SUM(JE22:JF22,JH22)-JG22,"")</f>
        <v/>
      </c>
      <c r="JT22" s="78" t="str">
        <f>IF(SUM(JJ22,JN22)&gt;0,SUM(JJ22,JN22),"")</f>
        <v/>
      </c>
      <c r="JU22" s="78" t="str">
        <f>IF(SUM(JI22:JJ22,JL22:JN22,JP22)-SUM(JK22,JO22)&gt;0,SUM(JI22:JJ22,JL22:JN22,JP22)-SUM(JK22,JO22),"")</f>
        <v/>
      </c>
      <c r="JV22" s="78" t="str">
        <f>IF(SUM(JR22,JU22)&gt;0,SUM(JR22,JU22),"")</f>
        <v/>
      </c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19" t="str">
        <f>IF(SUM(JX22,KB22)&gt;0,SUM(JX22,KB22),"")</f>
        <v/>
      </c>
      <c r="KR22" s="19" t="str">
        <f>IF(SUM(JW22:JX22,JZ22:KB22,KD22)-JY22-KC22&gt;0,SUM(JW22:JX22,JZ22:KB22,KD22)-JY22-KC22,"")</f>
        <v/>
      </c>
      <c r="KS22" s="19" t="str">
        <f>IF(SUM(KE22:KF22,KH22)-KG22&gt;0,SUM(KE22:KF22,KH22)-KG22,"")</f>
        <v/>
      </c>
      <c r="KT22" s="19" t="str">
        <f>IF(SUM(KJ22,KN22)&gt;0,SUM(KJ22,KN22),"")</f>
        <v/>
      </c>
      <c r="KU22" s="19" t="str">
        <f>IF(SUM(KI22:KJ22,KL22:KN22,KP22)-SUM(KK22,KO22)&gt;0,SUM(KI22:KJ22,KL22:KN22,KP22)-SUM(KK22,KO22),"")</f>
        <v/>
      </c>
      <c r="KV22" s="19" t="str">
        <f>IF(SUM(KR22,KU22)&gt;0,SUM(KR22,KU22),"")</f>
        <v/>
      </c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78" t="str">
        <f>IF(SUM(KX22,LB22)&gt;0,SUM(KX22,LB22),"")</f>
        <v/>
      </c>
      <c r="LR22" s="78" t="str">
        <f>IF(SUM(KW22:KX22,KZ22:LB22,LD22)-KY22-LC22&gt;0,SUM(KW22:KX22,KZ22:LB22,LD22)-KY22-LC22,"")</f>
        <v/>
      </c>
      <c r="LS22" s="78" t="str">
        <f>IF(SUM(LE22:LF22,LH22)-LG22&gt;0,SUM(LE22:LF22,LH22)-LG22,"")</f>
        <v/>
      </c>
      <c r="LT22" s="78" t="str">
        <f>IF(SUM(LJ22,LN22)&gt;0,SUM(LJ22,LN22),"")</f>
        <v/>
      </c>
      <c r="LU22" s="78" t="str">
        <f>IF(SUM(LI22:LJ22,LL22:LN22,LP22)-SUM(LK22,LO22)&gt;0,SUM(LI22:LJ22,LL22:LN22,LP22)-SUM(LK22,LO22),"")</f>
        <v/>
      </c>
      <c r="LV22" s="78" t="str">
        <f>IF(SUM(LR22,LU22)&gt;0,SUM(LR22,LU22),"")</f>
        <v/>
      </c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19" t="str">
        <f>IF(SUM(LX22,MB22)&gt;0,SUM(LX22,MB22),"")</f>
        <v/>
      </c>
      <c r="MR22" s="19" t="str">
        <f>IF(SUM(LW22:LX22,LZ22:MB22,MD22)-LY22-MC22&gt;0,SUM(LW22:LX22,LZ22:MB22,MD22)-LY22-MC22,"")</f>
        <v/>
      </c>
      <c r="MS22" s="19" t="str">
        <f>IF(SUM(ME22:MF22,MH22)-MG22&gt;0,SUM(ME22:MF22,MH22)-MG22,"")</f>
        <v/>
      </c>
      <c r="MT22" s="19" t="str">
        <f>IF(SUM(MJ22,MN22)&gt;0,SUM(MJ22,MN22),"")</f>
        <v/>
      </c>
      <c r="MU22" s="19" t="str">
        <f>IF(SUM(MI22:MJ22,ML22:MN22,MP22)-SUM(MK22,MO22)&gt;0,SUM(MI22:MJ22,ML22:MN22,MP22)-SUM(MK22,MO22),"")</f>
        <v/>
      </c>
      <c r="MV22" s="19" t="str">
        <f>IF(SUM(MR22,MU22)&gt;0,SUM(MR22,MU22),"")</f>
        <v/>
      </c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/>
      <c r="NP22" s="24"/>
      <c r="NQ22" s="78" t="str">
        <f>IF(SUM(MX22,NB22)&gt;0,SUM(MX22,NB22),"")</f>
        <v/>
      </c>
      <c r="NR22" s="78" t="str">
        <f>IF(SUM(MW22:MX22,MZ22:NB22,ND22)-MY22-NC22&gt;0,SUM(MW22:MX22,MZ22:NB22,ND22)-MY22-NC22,"")</f>
        <v/>
      </c>
      <c r="NS22" s="78" t="str">
        <f>IF(SUM(NE22:NF22,NH22)-NG22&gt;0,SUM(NE22:NF22,NH22)-NG22,"")</f>
        <v/>
      </c>
      <c r="NT22" s="78" t="str">
        <f>IF(SUM(NJ22,NN22)&gt;0,SUM(NJ22,NN22),"")</f>
        <v/>
      </c>
      <c r="NU22" s="78" t="str">
        <f>IF(SUM(NI22:NJ22,NL22:NN22,NP22)-SUM(NK22,NO22)&gt;0,SUM(NI22:NJ22,NL22:NN22,NP22)-SUM(NK22,NO22),"")</f>
        <v/>
      </c>
      <c r="NV22" s="78" t="str">
        <f>IF(SUM(NR22,NU22)&gt;0,SUM(NR22,NU22),"")</f>
        <v/>
      </c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19" t="str">
        <f>IF(SUM(NX22,OB22)&gt;0,SUM(NX22,OB22),"")</f>
        <v/>
      </c>
      <c r="OR22" s="19" t="str">
        <f>IF(SUM(NW22:NX22,NZ22:OB22,OD22)-NY22-OC22&gt;0,SUM(NW22:NX22,NZ22:OB22,OD22)-NY22-OC22,"")</f>
        <v/>
      </c>
      <c r="OS22" s="19" t="str">
        <f>IF(SUM(OE22:OF22,OH22)-OG22&gt;0,SUM(OE22:OF22,OH22)-OG22,"")</f>
        <v/>
      </c>
      <c r="OT22" s="19" t="str">
        <f>IF(SUM(OJ22,ON22)&gt;0,SUM(OJ22,ON22),"")</f>
        <v/>
      </c>
      <c r="OU22" s="19" t="str">
        <f>IF(SUM(OI22:OJ22,OL22:ON22,OP22)-SUM(OK22,OO22)&gt;0,SUM(OI22:OJ22,OL22:ON22,OP22)-SUM(OK22,OO22),"")</f>
        <v/>
      </c>
      <c r="OV22" s="19" t="str">
        <f>IF(SUM(OR22,OU22)&gt;0,SUM(OR22,OU22),"")</f>
        <v/>
      </c>
      <c r="OW22" s="37">
        <f>IF($CN22="P",BT22,(BT22+AS22)/2)</f>
        <v>8.1999999999999993</v>
      </c>
      <c r="OX22" s="37">
        <f>IF($CN22="P",BU22,(BU22+AT22)/2)</f>
        <v>1.65</v>
      </c>
      <c r="OY22" s="37">
        <f>IF($CN22="P",BV22,(BV22+AU22)/2)</f>
        <v>0</v>
      </c>
      <c r="OZ22" s="37">
        <f>IF($CN22="P",BW22,(BW22+AV22)/2)</f>
        <v>0</v>
      </c>
      <c r="PA22" s="37">
        <f>IF($CN22="P",BX22,(BX22+AW22)/2)</f>
        <v>8.35</v>
      </c>
      <c r="PB22" s="37">
        <f>IF($CN22="P",BY22,(BY22+AX22)/2)</f>
        <v>1.4</v>
      </c>
      <c r="PC22" s="37">
        <f>IF($CN22="P",BZ22,(BZ22+AY22)/2)</f>
        <v>1</v>
      </c>
      <c r="PD22" s="37">
        <f>IF($CN22="P",CA22,(CA22+AZ22)/2)</f>
        <v>0.15</v>
      </c>
      <c r="PE22" s="37">
        <f>IF($CN22="P",CB22,(CB22+BA22)/2)</f>
        <v>0</v>
      </c>
      <c r="PF22" s="37">
        <f>IF($CN22="P",CC22,(CC22+BB22)/2)</f>
        <v>0</v>
      </c>
      <c r="PG22" s="37">
        <f>IF($CN22="P",CD22,(CD22+BC22)/2)</f>
        <v>0</v>
      </c>
      <c r="PH22" s="37">
        <f>IF($CN22="P",CE22,(CE22+BD22)/2)</f>
        <v>0</v>
      </c>
      <c r="PI22" s="37">
        <f>IF($CN22="P",CF22,(CF22+BE22)/2)</f>
        <v>7.3</v>
      </c>
      <c r="PJ22" s="37">
        <f>IF($CN22="P",CG22,(CG22+BF22)/2)</f>
        <v>1.65</v>
      </c>
      <c r="PK22" s="37">
        <f>IF($CN22="P",CH22,(CH22+BG22)/2)</f>
        <v>0</v>
      </c>
      <c r="PL22" s="37">
        <f>IF($CN22="P",CI22,(CI22+BH22)/2)</f>
        <v>0</v>
      </c>
      <c r="PM22" s="37">
        <f>IF($CN22="P",CJ22,(CJ22+BI22)/2)</f>
        <v>8.25</v>
      </c>
      <c r="PN22" s="37">
        <f>IF($CN22="P",CK22,(CK22+BJ22)/2)</f>
        <v>1.4</v>
      </c>
      <c r="PO22" s="37">
        <f>IF($CN22="P",CL22,(CL22+BK22)/2)</f>
        <v>0.1</v>
      </c>
      <c r="PP22" s="37">
        <f>IF($CN22="P",CM22,(CM22+BL22)/2)</f>
        <v>0.15</v>
      </c>
      <c r="PQ22" s="44" t="s">
        <v>46</v>
      </c>
      <c r="PR22" s="78">
        <f>IF(SUM(OX22,PB22)&gt;0,SUM(OX22,PB22),"")</f>
        <v>3.05</v>
      </c>
      <c r="PS22" s="78">
        <f>IF(SUM(OW22:OX22,OZ22:PB22,PD22)-OY22-PC22&gt;0,SUM(OW22:OX22,OZ22:PB22,PD22)-OY22-PC22,"")</f>
        <v>18.749999999999996</v>
      </c>
      <c r="PT22" s="78" t="str">
        <f>IF(SUM(PE22:PF22,PH22)-PG22&gt;0,SUM(PE22:PF22,PH22)-PG22,"")</f>
        <v/>
      </c>
      <c r="PU22" s="78">
        <f>IF(SUM(PJ22,PN22)&gt;0,SUM(PJ22,PN22),"")</f>
        <v>3.05</v>
      </c>
      <c r="PV22" s="78">
        <f>IF(SUM(PI22:PJ22,PL22:PN22,PP22)-SUM(PK22,PO22)&gt;0,SUM(PI22:PJ22,PL22:PN22,PP22)-SUM(PK22,PO22),"")</f>
        <v>18.649999999999995</v>
      </c>
      <c r="PW22" s="78">
        <f>IF(SUM(PS22,PV22)&gt;0,SUM(PS22,PV22),"")</f>
        <v>37.399999999999991</v>
      </c>
    </row>
    <row r="23" spans="1:439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77" t="s">
        <v>112</v>
      </c>
      <c r="C23" s="5" t="s">
        <v>4</v>
      </c>
      <c r="D23" s="5">
        <v>2002</v>
      </c>
      <c r="E23" s="15">
        <f>SUM(I23:O23)+SUM(I23:M23)*0.0000001+SUM(I23)*0.0000000000001</f>
        <v>35.70000357000356</v>
      </c>
      <c r="F23" s="3" t="str">
        <f>IF(OR(AND(AM23&gt;=AR$26,AN23&gt;=AR$30,AM23&lt;&gt;"",AL23=""),AND(AP23&gt;=AR$26,AQ23&gt;=AR$30,AP23&lt;&gt;"",AL23=""),AND(BN23&gt;=BS$26,BO23&gt;=BS$30,BN23&lt;&gt;"",BM23=""),AND(BQ23&gt;=BS$26,BR23&gt;=BS$30,BQ23&lt;&gt;"",BM23=""),AND(CO23&gt;=CT$26,CP23&gt;=CT$30,CO23&lt;&gt;"",CN23=""),AND(CR23&gt;=CT$26,CS23&gt;=CT$30,CR23&lt;&gt;""),AND(DQ23&gt;=DV$26,DR23&gt;=DV$30,DQ23&lt;&gt;""),AND(DT23&gt;=DV$26,DU23&gt;=DV$30,DT23&lt;&gt;""),AND(EQ23&gt;=EV$26,ER23&gt;=EV$30,EQ23&lt;&gt;""),AND(ET23&gt;=EV$26,EU23&gt;=EV$30,ET23&lt;&gt;""),AND(FQ23&gt;=FV$26,FR23&gt;=FV$30,FQ23&lt;&gt;""),AND(FT23&gt;=FV$26,FU23&gt;=FV$30,FT23&lt;&gt;""),AND(GQ23&gt;=GV$26,GR23&gt;=GV$30,GQ23&lt;&gt;""),AND(GT23&gt;=GV$26,GU23&gt;=GV$30,GT23&lt;&gt;""),AND(HQ23&gt;=HV$26,HR23&gt;=HV$30,HQ23&lt;&gt;""),AND(HT23&gt;=HV$26,HU23&gt;=HV$30,HT23&lt;&gt;""),AND(IQ23&gt;=IV$26,IR23&gt;=IV$30,IQ23&lt;&gt;""),AND(IT23&gt;=IV$26,IU23&gt;=IV$30,IT23&lt;&gt;""),AND(JQ23&gt;=JV$26,JR23&gt;=JV$30,JQ23&lt;&gt;""),AND(JT23&gt;=JV$26,JU23&gt;=JV$30,JT23&lt;&gt;""),AND(KQ23&gt;=KV$26,KR23&gt;=KV$30,KQ23&lt;&gt;""),AND(KT23&gt;=KV$26,KU23&gt;=KV$30,KT23&lt;&gt;""),AND(LQ23&gt;=LV$26,LR23&gt;=LV$30,LQ23&lt;&gt;""),AND(LT23&gt;=LV$26,LU23&gt;=LV$30,LT23&lt;&gt;""),AND(MQ23&gt;=MV$26,MR23&gt;=MV$30,MQ23&lt;&gt;""),AND(MT23&gt;=MV$26,MU23&gt;=MV$30,MT23&lt;&gt;""),AND(NQ23&gt;=NV$26,NR23&gt;=NV$30,NQ23&lt;&gt;""),AND(NT23&gt;=NV$26,NU23&gt;=NV$30,NT23&lt;&gt;""),AND(OQ23&gt;=OV$26,OR23&gt;=OV$30,OQ23&lt;&gt;""),AND(OT23&gt;=OV$26,OU23&gt;=OV$30,OT23&lt;&gt;"")),"P","")</f>
        <v/>
      </c>
      <c r="G23" s="3" t="str">
        <f>IF(OR(AND(AN23&gt;=AR$30,AN23&lt;&gt;"",AL23=""),AND(AQ23&gt;=AR$30,AQ23&lt;&gt;"",AL23=""),AND(BO23&gt;=BS$30,BO23&lt;&gt;"",BM23=""),AND(BR23&gt;=BS$30,BR23&lt;&gt;"",BM23=""),AND(CP23&gt;=CT$30,CP23&lt;&gt;"",CN23=""),AND(CS23&gt;=CT$30,CS23&lt;&gt;"",CN23=""),AND(DR23&gt;=DV$30,DR23&lt;&gt;""),AND(DU23&gt;=DV$30,DU23&lt;&gt;""),AND(ER23&gt;=EV$30,ER23&lt;&gt;""),AND(EU23&gt;=EV$30,EU23&lt;&gt;""),AND(FR23&gt;=FV$30,FR23&lt;&gt;""),AND(FU23&gt;=FV$30,FU23&lt;&gt;""),AND(GR23&gt;=GV$30,GR23&lt;&gt;""),AND(GU23&gt;=GV$30,GU23&lt;&gt;""),AND(HR23&gt;=HV$30,HR23&lt;&gt;""),AND(HU23&gt;=HV$30,HU23&lt;&gt;""),AND(IR23&gt;=IV$30,IR23&lt;&gt;""),AND(IU23&gt;=IV$30,IU23&lt;&gt;""),AND(JR23&gt;=JV$30,JR23&lt;&gt;""),AND(JU23&gt;=JV$30,JU23&lt;&gt;""),AND(KR23&gt;=KV$30,KR23&lt;&gt;""),AND(KU23&gt;=KV$30,KU23&lt;&gt;""),AND(LR23&gt;=LV$30,LR23&lt;&gt;""),AND(LU23&gt;=LV$30,LU23&lt;&gt;""),AND(MR23&gt;=MV$30,MR23&lt;&gt;""),AND(MU23&gt;=MV$30,MU23&lt;&gt;""),AND(NR23&gt;=NV$30,NR23&lt;&gt;""),AND(NU23&gt;=NV$30,NU23&lt;&gt;""),AND(OR23&gt;=OV$30,OR23&lt;&gt;""),AND(OU23&gt;=OV$30,OU23&lt;&gt;"")),"P","")</f>
        <v/>
      </c>
      <c r="H23" s="66" t="str">
        <f>IF(AND(G23="P",F23=""),"No DD",IF(OR(AND(AM23&gt;=AR$29,AN23&gt;=AR$33,AM23&lt;&gt;"",AL23=""),AND(AP23&gt;=AR$29,AQ23&gt;=AR$33,AP23&lt;&gt;"",AL23=""),AND(BN23&gt;=BS$29,BO23&gt;=BS$33,BN23&lt;&gt;"",BM23=""),AND(BQ23&gt;=BS$29,BR23&gt;=BS$33,BQ23&lt;&gt;"",BM23=""),AND(CO23&gt;=CT$29,CP23&gt;=CT$33,CO23&lt;&gt;"",CN23=""),AND(CR23&gt;=CT$29,CS23&gt;=CT$33,CR23&lt;&gt;""),AND(DQ23&gt;=DV$29,DR23&gt;=DV$33,DQ23&lt;&gt;""),AND(DT23&gt;=DV$29,DU23&gt;=DV$33,DT23&lt;&gt;""),AND(EQ23&gt;=EV$29,ER23&gt;=EV$33,EQ23&lt;&gt;""),AND(ET23&gt;=EV$29,EU23&gt;=EV$33,ET23&lt;&gt;""),AND(FQ23&gt;=FV$29,FR23&gt;=FV$33,FQ23&lt;&gt;""),AND(FT23&gt;=FV$29,FU23&gt;=FV$33,FT23&lt;&gt;""),AND(GQ23&gt;=GV$29,GR23&gt;=GV$33,GQ23&lt;&gt;""),AND(GT23&gt;=GV$29,GU23&gt;=GV$33,GT23&lt;&gt;""),AND(HQ23&gt;=HV$29,HR23&gt;=HV$33,HQ23&lt;&gt;""),AND(HT23&gt;=HV$29,HU23&gt;=HV$33,HT23&lt;&gt;""),AND(IQ23&gt;=IV$29,IR23&gt;=IV$33,IQ23&lt;&gt;""),AND(IT23&gt;=IV$29,IU23&gt;=IV$33,IT23&lt;&gt;""),AND(JQ23&gt;=JV$29,JR23&gt;=JV$33,JQ23&lt;&gt;""),AND(JT23&gt;=JV$29,JU23&gt;=JV$33,JT23&lt;&gt;""),AND(KQ23&gt;=KV$29,KR23&gt;=KV$33,KQ23&lt;&gt;""),AND(KT23&gt;=KV$29,KU23&gt;=KV$33,KT23&lt;&gt;""),AND(LQ23&gt;=LV$29,LR23&gt;=LV$33,LQ23&lt;&gt;""),AND(LT23&gt;=LV$29,LU23&gt;=LV$33,LT23&lt;&gt;""),AND(MQ23&gt;=MV$29,MR23&gt;=MV$33,MQ23&lt;&gt;""),AND(MT23&gt;=MV$29,MU23&gt;=MV$33,MT23&lt;&gt;""),AND(NQ23&gt;=NV$29,NR23&gt;=NV$33,NQ23&lt;&gt;""),AND(NT23&gt;=NV$29,NU23&gt;=NV$33,NT23&lt;&gt;""),AND(OQ23&gt;=OV$29,OR23&gt;=OV$33,OQ23&lt;&gt;""),AND(OT23&gt;=OV$29,OU23&gt;=OV$33,OT23&lt;&gt;"")),"Merit",IF(OR(AND(AM23&gt;=AR$28,AN23&gt;=AR$32,AM23&lt;&gt;"",AL23=""),AND(AP23&gt;=AR$28,AQ23&gt;=AR$32,AP23&lt;&gt;"",AL23=""),AND(BN23&gt;=BS$28,BO23&gt;=BS$32,BN23&lt;&gt;"",BM23=""),AND(BQ23&gt;=BS$28,BR23&gt;=BS$32,BQ23&lt;&gt;"",BM23=""),AND(CO23&gt;=CT$28,CP23&gt;=CT$32,CO23&lt;&gt;"",CN23=""),AND(CR23&gt;=CT$28,CS23&gt;=CT$32,CR23&lt;&gt;""),AND(DQ23&gt;=DV$28,DR23&gt;=DV$32,DQ23&lt;&gt;""),AND(DT23&gt;=DV$28,DU23&gt;=DV$32,DT23&lt;&gt;""),AND(EQ23&gt;=EV$28,ER23&gt;=EV$32,EQ23&lt;&gt;""),AND(ET23&gt;=EV$28,EU23&gt;=EV$32,ET23&lt;&gt;""),AND(FQ23&gt;=FV$28,FR23&gt;=FV$32,FQ23&lt;&gt;""),AND(FT23&gt;=FV$28,FU23&gt;=FV$32,FT23&lt;&gt;""),AND(GQ23&gt;=GV$28,GR23&gt;=GV$32,GQ23&lt;&gt;""),AND(GT23&gt;=GV$28,GU23&gt;=GV$32,GT23&lt;&gt;""),AND(HQ23&gt;=HV$28,HR23&gt;=HV$32,HQ23&lt;&gt;""),AND(HT23&gt;=HV$28,HU23&gt;=HV$32,HT23&lt;&gt;""),AND(IQ23&gt;=IV$28,IR23&gt;=IV$32,IQ23&lt;&gt;""),AND(IT23&gt;=IV$28,IU23&gt;=IV$32,IT23&lt;&gt;""),AND(JQ23&gt;=JV$28,JR23&gt;=JV$32,JQ23&lt;&gt;""),AND(JT23&gt;=JV$28,JU23&gt;=JV$32,JT23&lt;&gt;""),AND(KQ23&gt;=KV$28,KR23&gt;=KV$32,KQ23&lt;&gt;""),AND(KT23&gt;=KV$28,KU23&gt;=KV$32,KT23&lt;&gt;""),AND(LQ23&gt;=LV$28,LR23&gt;=LV$32,LQ23&lt;&gt;""),AND(LT23&gt;=LV$28,LU23&gt;=LV$32,LT23&lt;&gt;""),AND(MQ23&gt;=MV$28,MR23&gt;=MV$32,MQ23&lt;&gt;""),AND(MT23&gt;=MV$28,MU23&gt;=MV$32,MT23&lt;&gt;""),AND(NQ23&gt;=NV$28,NR23&gt;=NV$32,NQ23&lt;&gt;""),AND(NT23&gt;=NV$28,NU23&gt;=NV$32,NT23&lt;&gt;""),AND(OQ23&gt;=OV$28,OR23&gt;=OV$32,OQ23&lt;&gt;""),AND(OT23&gt;=OV$28,OU23&gt;=OV$32,OT23&lt;&gt;"")),"Excellence",IF(F23="P","National Team",""))))</f>
        <v/>
      </c>
      <c r="I23" s="14">
        <f>IF(COUNT(AN23,BO23,CP23)&gt;0,LARGE((AN23,BO23,CP23),1),0)</f>
        <v>35.699999999999996</v>
      </c>
      <c r="J23" s="14" t="str">
        <f>IF(I23=0,"",IF(I23=CP23,$BT$1,IF(I23=BO23,$AS$1,IF(I23=AN23,$R$1,""))))</f>
        <v>2022 Elite Canada</v>
      </c>
      <c r="K23" s="14">
        <f>IF(COUNT(AN23,BO23,CP23)&gt;1,LARGE((AN23,BO23,CP23),2),0)</f>
        <v>0</v>
      </c>
      <c r="L23" s="14" t="str">
        <f>IF(K23=0,"",IF(K23=CP23,$BT$1,IF(K23=BO23,$AS$1,IF(K23=AN23,$R$1,""))))</f>
        <v/>
      </c>
      <c r="M23" s="14">
        <f>IF(MAX(AQ23,BR23,CS23)&gt;0,MAX(AQ23,BR23,CS23),0)</f>
        <v>0</v>
      </c>
      <c r="N23" s="14" t="str">
        <f>IF(M23=0,"",IF(M23=CS23,$BT$1,IF(M23=BR23,$AS$1,IF(M23=AQ23,$R$1,""))))</f>
        <v/>
      </c>
      <c r="O23" s="14" t="str">
        <f>IF(MAX(CU23:CV23)&gt;0,MAX(CU23:CV23),"")</f>
        <v/>
      </c>
      <c r="P23" s="19" t="str">
        <f>IF(O23="","",IF(O23=CU23,"("&amp;CU$2&amp;")",IF(O23=CV23,"("&amp;CV$2&amp;")")))</f>
        <v/>
      </c>
      <c r="Q23" s="14" t="str">
        <f>IF(O23="","",IF(O23=CU23,IF(O23+IF(K23="",0,K23)=OR23,$NW$1,IF(O23+IF(K23="",0,K23)=NR23,$MW$1,IF(O23+IF(K23="",0,K23)=MR23,$LW$1,IF(O23+IF(K23="",0,K23)=LR23,$KW$1,IF(O23+IF(K23="",0,K23)=KR23,$JW$1,IF(O23+IF(K23="",0,K23)=JR23,$IW$1,IF(O23+IF(K23="",0,K23)=IR23,$HW$1,IF(O23+IF(K23="",0,K23)=HR23,$GW$1,IF(O23+IF(K23="",0,K23)=GR23,$FW$1,IF(O23+IF(K23="",0,K23)=FR23,$EW$1,IF(O23+IF(K23="",0,K23)=ER23,$DW$1,IF(O23+IF(K23="",0,K23)=DR23,$CW$1)))))))))))),IF(O23=CV23,IF(O23+IF(M23="",0,M23)=OU23,$NW$1,IF(O23+IF(M23="",0,M23)=NU23,$MW$1,IF(O23+IF(M23="",0,M23)=MU23,$LW$1,IF(O23+IF(M23="",0,M23)=LU23,$KW$1,IF(O23+IF(M23="",0,M23)=KU23,$JW$1,IF(O23+IF(M23="",0,M23)=JU23,$IW$1,IF(O23+IF(M23="",0,M23)=IU23,$HW$1,IF(O23+IF(M23="",0,M23)=HU23,$GW$1,IF(O23+IF(M23="",0,M23)=GU23,$FW$1,IF(O23+IF(M23="",0,M23)=FU23,$EW$1,IF(O23+IF(M23="",0,M23)=EU23,$DW$1,IF(O23+IF(M23="",0,M23)=DU23,$CW$1)))))))))))))))</f>
        <v/>
      </c>
      <c r="R23" s="26">
        <v>14</v>
      </c>
      <c r="S23" s="26">
        <v>2.2999999999999998</v>
      </c>
      <c r="T23" s="26">
        <v>0.2</v>
      </c>
      <c r="U23" s="26">
        <v>0.6</v>
      </c>
      <c r="V23" s="26">
        <v>16.100000000000001</v>
      </c>
      <c r="W23" s="26">
        <v>2.9</v>
      </c>
      <c r="X23" s="26">
        <v>0.3</v>
      </c>
      <c r="Y23" s="26">
        <v>0.3</v>
      </c>
      <c r="Z23" s="26"/>
      <c r="AA23" s="26"/>
      <c r="AB23" s="26"/>
      <c r="AC23" s="26"/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44"/>
      <c r="AM23" s="78">
        <f>IF(SUM(S23,W23)&gt;0,SUM(S23,W23),"")</f>
        <v>5.1999999999999993</v>
      </c>
      <c r="AN23" s="78">
        <f>IF(SUM(R23:S23,U23:W23,Y23)-T23-X23&gt;0,SUM(R23:S23,U23:W23,Y23)-T23-X23,"")</f>
        <v>35.699999999999996</v>
      </c>
      <c r="AO23" s="78" t="str">
        <f>IF(SUM(Z23:AA23,AC23)-AB23&gt;0,SUM(Z23:AA23,AC23)-AB23,"")</f>
        <v/>
      </c>
      <c r="AP23" s="78" t="str">
        <f>IF(SUM(AE23,AI23)&gt;0,SUM(AE23,AI23),"")</f>
        <v/>
      </c>
      <c r="AQ23" s="78" t="str">
        <f>IF(SUM(AD23:AE23,AG23:AI23,AK23)-SUM(AF23,AJ23)&gt;0,SUM(AD23:AE23,AG23:AI23,AK23)-SUM(AF23,AJ23),"")</f>
        <v/>
      </c>
      <c r="AR23" s="78">
        <f>IF(SUM(AN23,AQ23)&gt;0,SUM(AN23,AQ23),"")</f>
        <v>35.699999999999996</v>
      </c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45"/>
      <c r="BN23" s="19" t="str">
        <f>IF(SUM(AT23,AX23)&gt;0,SUM(AT23,AX23),"")</f>
        <v/>
      </c>
      <c r="BO23" s="19" t="str">
        <f>IF(SUM(AS23:AT23,AV23:AX23,AZ23)-AU23-AY23&gt;0,SUM(AS23:AT23,AV23:AX23,AZ23)-AU23-AY23,"")</f>
        <v/>
      </c>
      <c r="BP23" s="19" t="str">
        <f>IF(SUM(BA23:BB23,BD23)-BC23&gt;0,SUM(BA23:BB23,BD23)-BC23,"")</f>
        <v/>
      </c>
      <c r="BQ23" s="19" t="str">
        <f>IF(SUM(BF23,BJ23)&gt;0,SUM(BF23,BJ23),"")</f>
        <v/>
      </c>
      <c r="BR23" s="19" t="str">
        <f>IF(SUM(BE23:BF23,BH23:BJ23,BL23)-SUM(BG23,BK23)&gt;0,SUM(BE23:BF23,BH23:BJ23,BL23)-SUM(BG23,BK23),"")</f>
        <v/>
      </c>
      <c r="BS23" s="19" t="str">
        <f>IF(SUM(BO23,BR23)&gt;0,SUM(BO23,BR23),"")</f>
        <v/>
      </c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44"/>
      <c r="CO23" s="78" t="str">
        <f>IF(SUM(BU23,BY23)&gt;0,SUM(BU23,BY23),"")</f>
        <v/>
      </c>
      <c r="CP23" s="78" t="str">
        <f>IF(SUM(BT23:BU23,BW23:BY23,CA23)-BV23-BZ23&gt;0,SUM(BT23:BU23,BW23:BY23,CA23)-BV23-BZ23,"")</f>
        <v/>
      </c>
      <c r="CQ23" s="78" t="str">
        <f>IF(SUM(CB23:CC23,CE23)-CD23&gt;0,SUM(CB23:CC23,CE23)-CD23,"")</f>
        <v/>
      </c>
      <c r="CR23" s="78" t="str">
        <f>IF(SUM(CG23,CK23)&gt;0,SUM(CG23,CK23),"")</f>
        <v/>
      </c>
      <c r="CS23" s="78" t="str">
        <f>IF(SUM(CF23:CG23,CI23:CK23,CM23)-SUM(CH23,CL23)&gt;0,SUM(CF23:CG23,CI23:CK23,CM23)-SUM(CH23,CL23),"")</f>
        <v/>
      </c>
      <c r="CT23" s="78" t="str">
        <f>IF(SUM(CP23,CS23)&gt;0,SUM(CP23,CS23),"")</f>
        <v/>
      </c>
      <c r="CU23" s="79" t="str">
        <f>IF(K23&gt;=0.001,IF(MAX(DR23,ER23,FR23,GR23,HR23,IR23,JR23,KR23,LR23,MR23,NR23,OR23)-IF(K23="",0,K23)&gt;0.001,MAX(DR23,ER23,FR23,GR23,HR23,IR23,JR23,KR23,LR23,MR23,NR23,OR23)-IF(K23="",0,K23),""),"")</f>
        <v/>
      </c>
      <c r="CV23" s="79" t="str">
        <f>IF(M23&gt;=0.001,IF(MAX(DU23,EU23,FU23,GU23,HU23,IU23,JU23,KU23,LU23,MU23,NU23,OU23)-IF(M23="",0,M23)&gt;0.001,MAX(DU23,EU23,FU23,GU23,HU23,IU23,JU23,KU23,LU23,MU23,NU23,OU23)-IF(M23="",0,M23),""),"")</f>
        <v/>
      </c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78" t="str">
        <f>IF(SUM(CX23,DB23)&gt;0,SUM(CX23,DB23),"")</f>
        <v/>
      </c>
      <c r="DR23" s="78" t="str">
        <f>IF(SUM(CW23:CX23,CZ23:DB23,DD23)-CY23-DC23&gt;0,SUM(CW23:CX23,CZ23:DB23,DD23)-CY23-DC23,"")</f>
        <v/>
      </c>
      <c r="DS23" s="78" t="str">
        <f>IF(SUM(DE23:DF23,DH23)-DG23&gt;0,SUM(DE23:DF23,DH23)-DG23,"")</f>
        <v/>
      </c>
      <c r="DT23" s="78" t="str">
        <f>IF(SUM(DJ23,DN23)&gt;0,SUM(DJ23,DN23),"")</f>
        <v/>
      </c>
      <c r="DU23" s="78" t="str">
        <f>IF(SUM(DI23:DJ23,DL23:DN23,DP23)-SUM(DK23,DO23)&gt;0,SUM(DI23:DJ23,DL23:DN23,DP23)-SUM(DK23,DO23),"")</f>
        <v/>
      </c>
      <c r="DV23" s="78" t="str">
        <f>IF(SUM(DR23,DU23)&gt;0,SUM(DR23,DU23),"")</f>
        <v/>
      </c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19" t="str">
        <f>IF(SUM(DX23,EB23)&gt;0,SUM(DX23,EB23),"")</f>
        <v/>
      </c>
      <c r="ER23" s="19" t="str">
        <f>IF(SUM(DW23:DX23,DZ23:EB23,ED23)-DY23-EC23&gt;0,SUM(DW23:DX23,DZ23:EB23,ED23)-DY23-EC23,"")</f>
        <v/>
      </c>
      <c r="ES23" s="19" t="str">
        <f>IF(SUM(EE23:EF23,EH23)-EG23&gt;0,SUM(EE23:EF23,EH23)-EG23,"")</f>
        <v/>
      </c>
      <c r="ET23" s="19" t="str">
        <f>IF(SUM(EJ23,EN23)&gt;0,SUM(EJ23,EN23),"")</f>
        <v/>
      </c>
      <c r="EU23" s="19" t="str">
        <f>IF(SUM(EI23:EJ23,EL23:EN23,EP23)-SUM(EK23,EO23)&gt;0,SUM(EI23:EJ23,EL23:EN23,EP23)-SUM(EK23,EO23),"")</f>
        <v/>
      </c>
      <c r="EV23" s="19" t="str">
        <f>IF(SUM(ER23,EU23)&gt;0,SUM(ER23,EU23),"")</f>
        <v/>
      </c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78" t="str">
        <f>IF(SUM(EX23,FB23)&gt;0,SUM(EX23,FB23),"")</f>
        <v/>
      </c>
      <c r="FR23" s="78" t="str">
        <f>IF(SUM(EW23:EX23,EZ23:FB23,FD23)-EY23-FC23&gt;0,SUM(EW23:EX23,EZ23:FB23,FD23)-EY23-FC23,"")</f>
        <v/>
      </c>
      <c r="FS23" s="78" t="str">
        <f>IF(SUM(FE23:FF23,FH23)-FG23&gt;0,SUM(FE23:FF23,FH23)-FG23,"")</f>
        <v/>
      </c>
      <c r="FT23" s="78" t="str">
        <f>IF(SUM(FJ23,FN23)&gt;0,SUM(FJ23,FN23),"")</f>
        <v/>
      </c>
      <c r="FU23" s="78" t="str">
        <f>IF(SUM(FI23:FJ23,FL23:FN23,FP23)-SUM(FK23,FO23)&gt;0,SUM(FI23:FJ23,FL23:FN23,FP23)-SUM(FK23,FO23),"")</f>
        <v/>
      </c>
      <c r="FV23" s="78" t="str">
        <f>IF(SUM(FR23,FU23)&gt;0,SUM(FR23,FU23),"")</f>
        <v/>
      </c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19" t="str">
        <f>IF(SUM(FX23,GB23)&gt;0,SUM(FX23,GB23),"")</f>
        <v/>
      </c>
      <c r="GR23" s="19" t="str">
        <f>IF(SUM(FW23:FX23,FZ23:GB23,GD23)-FY23-GC23&gt;0,SUM(FW23:FX23,FZ23:GB23,GD23)-FY23-GC23,"")</f>
        <v/>
      </c>
      <c r="GS23" s="19" t="str">
        <f>IF(SUM(GE23:GF23,GH23)-GG23&gt;0,SUM(GE23:GF23,GH23)-GG23,"")</f>
        <v/>
      </c>
      <c r="GT23" s="19" t="str">
        <f>IF(SUM(GJ23,GN23)&gt;0,SUM(GJ23,GN23),"")</f>
        <v/>
      </c>
      <c r="GU23" s="19" t="str">
        <f>IF(SUM(GI23:GJ23,GL23:GN23,GP23)-SUM(GK23,GO23)&gt;0,SUM(GI23:GJ23,GL23:GN23,GP23)-SUM(GK23,GO23),"")</f>
        <v/>
      </c>
      <c r="GV23" s="19" t="str">
        <f>IF(SUM(GR23,GU23)&gt;0,SUM(GR23,GU23),"")</f>
        <v/>
      </c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78" t="str">
        <f>IF(SUM(GX23,HB23)&gt;0,SUM(GX23,HB23),"")</f>
        <v/>
      </c>
      <c r="HR23" s="78" t="str">
        <f>IF(SUM(GW23:GX23,GZ23:HB23,HD23)-GY23-HC23&gt;0,SUM(GW23:GX23,GZ23:HB23,HD23)-GY23-HC23,"")</f>
        <v/>
      </c>
      <c r="HS23" s="78" t="str">
        <f>IF(SUM(HE23:HF23,HH23)-HG23&gt;0,SUM(HE23:HF23,HH23)-HG23,"")</f>
        <v/>
      </c>
      <c r="HT23" s="78" t="str">
        <f>IF(SUM(HJ23,HN23)&gt;0,SUM(HJ23,HN23),"")</f>
        <v/>
      </c>
      <c r="HU23" s="78" t="str">
        <f>IF(SUM(HI23:HJ23,HL23:HN23,HP23)-SUM(HK23,HO23)&gt;0,SUM(HI23:HJ23,HL23:HN23,HP23)-SUM(HK23,HO23),"")</f>
        <v/>
      </c>
      <c r="HV23" s="78" t="str">
        <f>IF(SUM(HR23,HU23)&gt;0,SUM(HR23,HU23),"")</f>
        <v/>
      </c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19" t="str">
        <f>IF(SUM(HX23,IB23)&gt;0,SUM(HX23,IB23),"")</f>
        <v/>
      </c>
      <c r="IR23" s="19" t="str">
        <f>IF(SUM(HW23:HX23,HZ23:IB23,ID23)-HY23-IC23&gt;0,SUM(HW23:HX23,HZ23:IB23,ID23)-HY23-IC23,"")</f>
        <v/>
      </c>
      <c r="IS23" s="19" t="str">
        <f>IF(SUM(IE23:IF23,IH23)-IG23&gt;0,SUM(IE23:IF23,IH23)-IG23,"")</f>
        <v/>
      </c>
      <c r="IT23" s="19" t="str">
        <f>IF(SUM(IJ23,IN23)&gt;0,SUM(IJ23,IN23),"")</f>
        <v/>
      </c>
      <c r="IU23" s="19" t="str">
        <f>IF(SUM(II23:IJ23,IL23:IN23,IP23)-SUM(IK23,IO23)&gt;0,SUM(II23:IJ23,IL23:IN23,IP23)-SUM(IK23,IO23),"")</f>
        <v/>
      </c>
      <c r="IV23" s="19" t="str">
        <f>IF(SUM(IR23,IU23)&gt;0,SUM(IR23,IU23),"")</f>
        <v/>
      </c>
      <c r="IW23" s="24"/>
      <c r="IX23" s="24"/>
      <c r="IY23" s="24"/>
      <c r="IZ23" s="24"/>
      <c r="JA23" s="24"/>
      <c r="JB23" s="24"/>
      <c r="JC23" s="24"/>
      <c r="JD23" s="24"/>
      <c r="JE23" s="24"/>
      <c r="JF23" s="24"/>
      <c r="JG23" s="24"/>
      <c r="JH23" s="24"/>
      <c r="JI23" s="24"/>
      <c r="JJ23" s="24"/>
      <c r="JK23" s="24"/>
      <c r="JL23" s="24"/>
      <c r="JM23" s="24"/>
      <c r="JN23" s="24"/>
      <c r="JO23" s="24"/>
      <c r="JP23" s="24"/>
      <c r="JQ23" s="78" t="str">
        <f>IF(SUM(IX23,JB23)&gt;0,SUM(IX23,JB23),"")</f>
        <v/>
      </c>
      <c r="JR23" s="78" t="str">
        <f>IF(SUM(IW23:IX23,IZ23:JB23,JD23)-IY23-JC23&gt;0,SUM(IW23:IX23,IZ23:JB23,JD23)-IY23-JC23,"")</f>
        <v/>
      </c>
      <c r="JS23" s="78" t="str">
        <f>IF(SUM(JE23:JF23,JH23)-JG23&gt;0,SUM(JE23:JF23,JH23)-JG23,"")</f>
        <v/>
      </c>
      <c r="JT23" s="78" t="str">
        <f>IF(SUM(JJ23,JN23)&gt;0,SUM(JJ23,JN23),"")</f>
        <v/>
      </c>
      <c r="JU23" s="78" t="str">
        <f>IF(SUM(JI23:JJ23,JL23:JN23,JP23)-SUM(JK23,JO23)&gt;0,SUM(JI23:JJ23,JL23:JN23,JP23)-SUM(JK23,JO23),"")</f>
        <v/>
      </c>
      <c r="JV23" s="78" t="str">
        <f>IF(SUM(JR23,JU23)&gt;0,SUM(JR23,JU23),"")</f>
        <v/>
      </c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19" t="str">
        <f>IF(SUM(JX23,KB23)&gt;0,SUM(JX23,KB23),"")</f>
        <v/>
      </c>
      <c r="KR23" s="19" t="str">
        <f>IF(SUM(JW23:JX23,JZ23:KB23,KD23)-JY23-KC23&gt;0,SUM(JW23:JX23,JZ23:KB23,KD23)-JY23-KC23,"")</f>
        <v/>
      </c>
      <c r="KS23" s="19" t="str">
        <f>IF(SUM(KE23:KF23,KH23)-KG23&gt;0,SUM(KE23:KF23,KH23)-KG23,"")</f>
        <v/>
      </c>
      <c r="KT23" s="19" t="str">
        <f>IF(SUM(KJ23,KN23)&gt;0,SUM(KJ23,KN23),"")</f>
        <v/>
      </c>
      <c r="KU23" s="19" t="str">
        <f>IF(SUM(KI23:KJ23,KL23:KN23,KP23)-SUM(KK23,KO23)&gt;0,SUM(KI23:KJ23,KL23:KN23,KP23)-SUM(KK23,KO23),"")</f>
        <v/>
      </c>
      <c r="KV23" s="19" t="str">
        <f>IF(SUM(KR23,KU23)&gt;0,SUM(KR23,KU23),"")</f>
        <v/>
      </c>
      <c r="KW23" s="24"/>
      <c r="KX23" s="24"/>
      <c r="KY23" s="24"/>
      <c r="KZ23" s="24"/>
      <c r="LA23" s="24"/>
      <c r="LB23" s="24"/>
      <c r="LC23" s="24"/>
      <c r="LD23" s="24"/>
      <c r="LE23" s="24"/>
      <c r="LF23" s="24"/>
      <c r="LG23" s="24"/>
      <c r="LH23" s="24"/>
      <c r="LI23" s="24"/>
      <c r="LJ23" s="24"/>
      <c r="LK23" s="24"/>
      <c r="LL23" s="24"/>
      <c r="LM23" s="24"/>
      <c r="LN23" s="24"/>
      <c r="LO23" s="24"/>
      <c r="LP23" s="24"/>
      <c r="LQ23" s="78" t="str">
        <f>IF(SUM(KX23,LB23)&gt;0,SUM(KX23,LB23),"")</f>
        <v/>
      </c>
      <c r="LR23" s="78" t="str">
        <f>IF(SUM(KW23:KX23,KZ23:LB23,LD23)-KY23-LC23&gt;0,SUM(KW23:KX23,KZ23:LB23,LD23)-KY23-LC23,"")</f>
        <v/>
      </c>
      <c r="LS23" s="78" t="str">
        <f>IF(SUM(LE23:LF23,LH23)-LG23&gt;0,SUM(LE23:LF23,LH23)-LG23,"")</f>
        <v/>
      </c>
      <c r="LT23" s="78" t="str">
        <f>IF(SUM(LJ23,LN23)&gt;0,SUM(LJ23,LN23),"")</f>
        <v/>
      </c>
      <c r="LU23" s="78" t="str">
        <f>IF(SUM(LI23:LJ23,LL23:LN23,LP23)-SUM(LK23,LO23)&gt;0,SUM(LI23:LJ23,LL23:LN23,LP23)-SUM(LK23,LO23),"")</f>
        <v/>
      </c>
      <c r="LV23" s="78" t="str">
        <f>IF(SUM(LR23,LU23)&gt;0,SUM(LR23,LU23),"")</f>
        <v/>
      </c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19" t="str">
        <f>IF(SUM(LX23,MB23)&gt;0,SUM(LX23,MB23),"")</f>
        <v/>
      </c>
      <c r="MR23" s="19" t="str">
        <f>IF(SUM(LW23:LX23,LZ23:MB23,MD23)-LY23-MC23&gt;0,SUM(LW23:LX23,LZ23:MB23,MD23)-LY23-MC23,"")</f>
        <v/>
      </c>
      <c r="MS23" s="19" t="str">
        <f>IF(SUM(ME23:MF23,MH23)-MG23&gt;0,SUM(ME23:MF23,MH23)-MG23,"")</f>
        <v/>
      </c>
      <c r="MT23" s="19" t="str">
        <f>IF(SUM(MJ23,MN23)&gt;0,SUM(MJ23,MN23),"")</f>
        <v/>
      </c>
      <c r="MU23" s="19" t="str">
        <f>IF(SUM(MI23:MJ23,ML23:MN23,MP23)-SUM(MK23,MO23)&gt;0,SUM(MI23:MJ23,ML23:MN23,MP23)-SUM(MK23,MO23),"")</f>
        <v/>
      </c>
      <c r="MV23" s="19" t="str">
        <f>IF(SUM(MR23,MU23)&gt;0,SUM(MR23,MU23),"")</f>
        <v/>
      </c>
      <c r="MW23" s="24"/>
      <c r="MX23" s="24"/>
      <c r="MY23" s="24"/>
      <c r="MZ23" s="24"/>
      <c r="NA23" s="24"/>
      <c r="NB23" s="24"/>
      <c r="NC23" s="24"/>
      <c r="ND23" s="24"/>
      <c r="NE23" s="24"/>
      <c r="NF23" s="24"/>
      <c r="NG23" s="24"/>
      <c r="NH23" s="24"/>
      <c r="NI23" s="24"/>
      <c r="NJ23" s="24"/>
      <c r="NK23" s="24"/>
      <c r="NL23" s="24"/>
      <c r="NM23" s="24"/>
      <c r="NN23" s="24"/>
      <c r="NO23" s="24"/>
      <c r="NP23" s="24"/>
      <c r="NQ23" s="78" t="str">
        <f>IF(SUM(MX23,NB23)&gt;0,SUM(MX23,NB23),"")</f>
        <v/>
      </c>
      <c r="NR23" s="78" t="str">
        <f>IF(SUM(MW23:MX23,MZ23:NB23,ND23)-MY23-NC23&gt;0,SUM(MW23:MX23,MZ23:NB23,ND23)-MY23-NC23,"")</f>
        <v/>
      </c>
      <c r="NS23" s="78" t="str">
        <f>IF(SUM(NE23:NF23,NH23)-NG23&gt;0,SUM(NE23:NF23,NH23)-NG23,"")</f>
        <v/>
      </c>
      <c r="NT23" s="78" t="str">
        <f>IF(SUM(NJ23,NN23)&gt;0,SUM(NJ23,NN23),"")</f>
        <v/>
      </c>
      <c r="NU23" s="78" t="str">
        <f>IF(SUM(NI23:NJ23,NL23:NN23,NP23)-SUM(NK23,NO23)&gt;0,SUM(NI23:NJ23,NL23:NN23,NP23)-SUM(NK23,NO23),"")</f>
        <v/>
      </c>
      <c r="NV23" s="78" t="str">
        <f>IF(SUM(NR23,NU23)&gt;0,SUM(NR23,NU23),"")</f>
        <v/>
      </c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19" t="str">
        <f>IF(SUM(NX23,OB23)&gt;0,SUM(NX23,OB23),"")</f>
        <v/>
      </c>
      <c r="OR23" s="19" t="str">
        <f>IF(SUM(NW23:NX23,NZ23:OB23,OD23)-NY23-OC23&gt;0,SUM(NW23:NX23,NZ23:OB23,OD23)-NY23-OC23,"")</f>
        <v/>
      </c>
      <c r="OS23" s="19" t="str">
        <f>IF(SUM(OE23:OF23,OH23)-OG23&gt;0,SUM(OE23:OF23,OH23)-OG23,"")</f>
        <v/>
      </c>
      <c r="OT23" s="19" t="str">
        <f>IF(SUM(OJ23,ON23)&gt;0,SUM(OJ23,ON23),"")</f>
        <v/>
      </c>
      <c r="OU23" s="19" t="str">
        <f>IF(SUM(OI23:OJ23,OL23:ON23,OP23)-SUM(OK23,OO23)&gt;0,SUM(OI23:OJ23,OL23:ON23,OP23)-SUM(OK23,OO23),"")</f>
        <v/>
      </c>
      <c r="OV23" s="19" t="str">
        <f>IF(SUM(OR23,OU23)&gt;0,SUM(OR23,OU23),"")</f>
        <v/>
      </c>
      <c r="OW23" s="37">
        <f>IF($CN23="P",BT23,(BT23+AS23)/2)</f>
        <v>0</v>
      </c>
      <c r="OX23" s="37">
        <f>IF($CN23="P",BU23,(BU23+AT23)/2)</f>
        <v>0</v>
      </c>
      <c r="OY23" s="37">
        <f>IF($CN23="P",BV23,(BV23+AU23)/2)</f>
        <v>0</v>
      </c>
      <c r="OZ23" s="37">
        <f>IF($CN23="P",BW23,(BW23+AV23)/2)</f>
        <v>0</v>
      </c>
      <c r="PA23" s="37">
        <f>IF($CN23="P",BX23,(BX23+AW23)/2)</f>
        <v>0</v>
      </c>
      <c r="PB23" s="37">
        <f>IF($CN23="P",BY23,(BY23+AX23)/2)</f>
        <v>0</v>
      </c>
      <c r="PC23" s="37">
        <f>IF($CN23="P",BZ23,(BZ23+AY23)/2)</f>
        <v>0</v>
      </c>
      <c r="PD23" s="37">
        <f>IF($CN23="P",CA23,(CA23+AZ23)/2)</f>
        <v>0</v>
      </c>
      <c r="PE23" s="37">
        <f>IF($CN23="P",CB23,(CB23+BA23)/2)</f>
        <v>0</v>
      </c>
      <c r="PF23" s="37">
        <f>IF($CN23="P",CC23,(CC23+BB23)/2)</f>
        <v>0</v>
      </c>
      <c r="PG23" s="37">
        <f>IF($CN23="P",CD23,(CD23+BC23)/2)</f>
        <v>0</v>
      </c>
      <c r="PH23" s="37">
        <f>IF($CN23="P",CE23,(CE23+BD23)/2)</f>
        <v>0</v>
      </c>
      <c r="PI23" s="37">
        <f>IF($CN23="P",CF23,(CF23+BE23)/2)</f>
        <v>0</v>
      </c>
      <c r="PJ23" s="37">
        <f>IF($CN23="P",CG23,(CG23+BF23)/2)</f>
        <v>0</v>
      </c>
      <c r="PK23" s="37">
        <f>IF($CN23="P",CH23,(CH23+BG23)/2)</f>
        <v>0</v>
      </c>
      <c r="PL23" s="37">
        <f>IF($CN23="P",CI23,(CI23+BH23)/2)</f>
        <v>0</v>
      </c>
      <c r="PM23" s="37">
        <f>IF($CN23="P",CJ23,(CJ23+BI23)/2)</f>
        <v>0</v>
      </c>
      <c r="PN23" s="37">
        <f>IF($CN23="P",CK23,(CK23+BJ23)/2)</f>
        <v>0</v>
      </c>
      <c r="PO23" s="37">
        <f>IF($CN23="P",CL23,(CL23+BK23)/2)</f>
        <v>0</v>
      </c>
      <c r="PP23" s="37">
        <f>IF($CN23="P",CM23,(CM23+BL23)/2)</f>
        <v>0</v>
      </c>
      <c r="PQ23" s="44" t="s">
        <v>46</v>
      </c>
      <c r="PR23" s="78" t="str">
        <f>IF(SUM(OX23,PB23)&gt;0,SUM(OX23,PB23),"")</f>
        <v/>
      </c>
      <c r="PS23" s="78" t="str">
        <f>IF(SUM(OW23:OX23,OZ23:PB23,PD23)-OY23-PC23&gt;0,SUM(OW23:OX23,OZ23:PB23,PD23)-OY23-PC23,"")</f>
        <v/>
      </c>
      <c r="PT23" s="78" t="str">
        <f>IF(SUM(PE23:PF23,PH23)-PG23&gt;0,SUM(PE23:PF23,PH23)-PG23,"")</f>
        <v/>
      </c>
      <c r="PU23" s="78" t="str">
        <f>IF(SUM(PJ23,PN23)&gt;0,SUM(PJ23,PN23),"")</f>
        <v/>
      </c>
      <c r="PV23" s="78" t="str">
        <f>IF(SUM(PI23:PJ23,PL23:PN23,PP23)-SUM(PK23,PO23)&gt;0,SUM(PI23:PJ23,PL23:PN23,PP23)-SUM(PK23,PO23),"")</f>
        <v/>
      </c>
      <c r="PW23" s="78" t="str">
        <f>IF(SUM(PS23,PV23)&gt;0,SUM(PS23,PV23),"")</f>
        <v/>
      </c>
    </row>
    <row r="24" spans="1:439" ht="17" x14ac:dyDescent="0.2">
      <c r="O24" s="16"/>
      <c r="P24" s="16"/>
      <c r="Q24" s="16"/>
    </row>
    <row r="25" spans="1:439" ht="17" x14ac:dyDescent="0.2">
      <c r="O25" s="16"/>
      <c r="P25" s="16"/>
      <c r="Q25" s="16"/>
    </row>
    <row r="26" spans="1:439" ht="17" x14ac:dyDescent="0.2">
      <c r="B26" s="80" t="s">
        <v>44</v>
      </c>
      <c r="O26" s="16"/>
      <c r="P26" s="16"/>
      <c r="Q26" s="16"/>
      <c r="AM26" s="5"/>
      <c r="AR26" s="81">
        <v>7.2</v>
      </c>
      <c r="BN26" s="5"/>
      <c r="BS26" s="81">
        <v>7.2</v>
      </c>
      <c r="CO26" s="5"/>
      <c r="CT26" s="81">
        <v>7.2</v>
      </c>
      <c r="DQ26" s="5"/>
      <c r="DV26" s="81">
        <v>7.2</v>
      </c>
      <c r="EQ26" s="5"/>
      <c r="EV26" s="81">
        <v>7.2</v>
      </c>
      <c r="FQ26" s="5"/>
      <c r="FV26" s="81">
        <v>7.2</v>
      </c>
      <c r="GQ26" s="5"/>
      <c r="GV26" s="81">
        <v>7.2</v>
      </c>
      <c r="HQ26" s="5"/>
      <c r="HV26" s="81">
        <v>7.2</v>
      </c>
      <c r="IQ26" s="5"/>
      <c r="IV26" s="81">
        <v>7.2</v>
      </c>
      <c r="JQ26" s="5"/>
      <c r="JV26" s="81">
        <v>7.2</v>
      </c>
      <c r="KQ26" s="5"/>
      <c r="KV26" s="81">
        <v>7.2</v>
      </c>
      <c r="LQ26" s="5"/>
      <c r="LV26" s="81">
        <v>7.2</v>
      </c>
      <c r="MQ26" s="5"/>
      <c r="MV26" s="81">
        <v>7.2</v>
      </c>
      <c r="NQ26" s="5"/>
      <c r="NV26" s="81">
        <v>7.2</v>
      </c>
      <c r="OQ26" s="5"/>
      <c r="OV26" s="81">
        <v>7.2</v>
      </c>
    </row>
    <row r="27" spans="1:439" ht="17" hidden="1" x14ac:dyDescent="0.2">
      <c r="B27" s="82" t="s">
        <v>43</v>
      </c>
      <c r="O27" s="16"/>
      <c r="P27" s="16"/>
      <c r="Q27" s="16"/>
      <c r="AM27" s="5"/>
      <c r="AR27" s="83">
        <v>1000</v>
      </c>
      <c r="BN27" s="5"/>
      <c r="BS27" s="83">
        <v>1000</v>
      </c>
      <c r="CO27" s="5"/>
      <c r="CT27" s="83">
        <v>1000</v>
      </c>
      <c r="DQ27" s="5"/>
      <c r="DV27" s="83">
        <v>1000</v>
      </c>
      <c r="EQ27" s="5"/>
      <c r="EV27" s="83">
        <v>1000</v>
      </c>
      <c r="FQ27" s="5"/>
      <c r="FV27" s="83">
        <v>1000</v>
      </c>
      <c r="GQ27" s="5"/>
      <c r="GV27" s="83">
        <v>1000</v>
      </c>
      <c r="HQ27" s="5"/>
      <c r="HV27" s="83">
        <v>1000</v>
      </c>
      <c r="IQ27" s="5"/>
      <c r="IV27" s="83">
        <v>1000</v>
      </c>
      <c r="JQ27" s="5"/>
      <c r="JV27" s="83">
        <v>1000</v>
      </c>
      <c r="KQ27" s="5"/>
      <c r="KV27" s="83">
        <v>1000</v>
      </c>
      <c r="LQ27" s="5"/>
      <c r="LV27" s="83">
        <v>1000</v>
      </c>
      <c r="MQ27" s="5"/>
      <c r="MV27" s="83">
        <v>1000</v>
      </c>
      <c r="NQ27" s="5"/>
      <c r="NV27" s="83">
        <v>1000</v>
      </c>
      <c r="OQ27" s="5"/>
      <c r="OV27" s="83">
        <v>1000</v>
      </c>
    </row>
    <row r="28" spans="1:439" ht="17" hidden="1" x14ac:dyDescent="0.2">
      <c r="A28" s="77"/>
      <c r="B28" s="75" t="s">
        <v>55</v>
      </c>
      <c r="C28" s="84"/>
      <c r="O28" s="16"/>
      <c r="P28" s="16"/>
      <c r="Q28" s="16"/>
      <c r="AM28" s="5"/>
      <c r="AR28" s="85">
        <v>1000</v>
      </c>
      <c r="BN28" s="5"/>
      <c r="BS28" s="85">
        <v>1000</v>
      </c>
      <c r="CO28" s="5"/>
      <c r="CT28" s="85">
        <v>1000</v>
      </c>
      <c r="DQ28" s="5"/>
      <c r="DV28" s="85">
        <v>1000</v>
      </c>
      <c r="EQ28" s="5"/>
      <c r="EV28" s="85">
        <v>1000</v>
      </c>
      <c r="FQ28" s="5"/>
      <c r="FV28" s="85">
        <v>1000</v>
      </c>
      <c r="GQ28" s="5"/>
      <c r="GV28" s="85">
        <v>1000</v>
      </c>
      <c r="HQ28" s="5"/>
      <c r="HV28" s="85">
        <v>1000</v>
      </c>
      <c r="IQ28" s="5"/>
      <c r="IV28" s="85">
        <v>1000</v>
      </c>
      <c r="JQ28" s="5"/>
      <c r="JV28" s="85">
        <v>1000</v>
      </c>
      <c r="KQ28" s="5"/>
      <c r="KV28" s="85">
        <v>1000</v>
      </c>
      <c r="LQ28" s="5"/>
      <c r="LV28" s="85">
        <v>1000</v>
      </c>
      <c r="MQ28" s="5"/>
      <c r="MV28" s="85">
        <v>1000</v>
      </c>
      <c r="NQ28" s="5"/>
      <c r="NV28" s="85">
        <v>1000</v>
      </c>
      <c r="OQ28" s="5"/>
      <c r="OV28" s="85">
        <v>1000</v>
      </c>
    </row>
    <row r="29" spans="1:439" ht="17" hidden="1" x14ac:dyDescent="0.2">
      <c r="A29" s="77"/>
      <c r="B29" s="86" t="s">
        <v>62</v>
      </c>
      <c r="C29" s="84"/>
      <c r="O29" s="16"/>
      <c r="P29" s="16"/>
      <c r="Q29" s="16"/>
      <c r="AM29" s="5"/>
      <c r="AR29" s="87">
        <v>1000</v>
      </c>
      <c r="BN29" s="5"/>
      <c r="BS29" s="87">
        <v>1000</v>
      </c>
      <c r="CO29" s="5"/>
      <c r="CT29" s="87">
        <v>1000</v>
      </c>
      <c r="DQ29" s="5"/>
      <c r="DV29" s="87">
        <v>1000</v>
      </c>
      <c r="EQ29" s="5"/>
      <c r="EV29" s="87">
        <v>1000</v>
      </c>
      <c r="FQ29" s="5"/>
      <c r="FV29" s="87">
        <v>1000</v>
      </c>
      <c r="GQ29" s="5"/>
      <c r="GV29" s="87">
        <v>1000</v>
      </c>
      <c r="HQ29" s="5"/>
      <c r="HV29" s="87">
        <v>1000</v>
      </c>
      <c r="IQ29" s="5"/>
      <c r="IV29" s="87">
        <v>1000</v>
      </c>
      <c r="JQ29" s="5"/>
      <c r="JV29" s="87">
        <v>1000</v>
      </c>
      <c r="KQ29" s="5"/>
      <c r="KV29" s="87">
        <v>1000</v>
      </c>
      <c r="LQ29" s="5"/>
      <c r="LV29" s="87">
        <v>1000</v>
      </c>
      <c r="MQ29" s="5"/>
      <c r="MV29" s="87">
        <v>1000</v>
      </c>
      <c r="NQ29" s="5"/>
      <c r="NV29" s="87">
        <v>1000</v>
      </c>
      <c r="OQ29" s="5"/>
      <c r="OV29" s="87">
        <v>1000</v>
      </c>
    </row>
    <row r="30" spans="1:439" ht="17" x14ac:dyDescent="0.2">
      <c r="A30" s="77"/>
      <c r="B30" s="88" t="s">
        <v>41</v>
      </c>
      <c r="C30" s="84"/>
      <c r="O30" s="16"/>
      <c r="P30" s="16"/>
      <c r="Q30" s="16"/>
      <c r="AM30" s="5"/>
      <c r="AR30" s="89">
        <v>42.4</v>
      </c>
      <c r="BN30" s="5"/>
      <c r="BS30" s="89">
        <v>42.4</v>
      </c>
      <c r="CO30" s="5"/>
      <c r="CT30" s="89">
        <v>42.4</v>
      </c>
      <c r="DQ30" s="5"/>
      <c r="DV30" s="89">
        <v>42.4</v>
      </c>
      <c r="EQ30" s="5"/>
      <c r="EV30" s="89">
        <v>42.4</v>
      </c>
      <c r="FQ30" s="5"/>
      <c r="FV30" s="89">
        <v>42.4</v>
      </c>
      <c r="GQ30" s="5"/>
      <c r="GV30" s="89">
        <v>42.4</v>
      </c>
      <c r="HQ30" s="5"/>
      <c r="HV30" s="89">
        <v>42.4</v>
      </c>
      <c r="IQ30" s="5"/>
      <c r="IV30" s="89">
        <v>42.4</v>
      </c>
      <c r="JQ30" s="5"/>
      <c r="JV30" s="89">
        <v>42.4</v>
      </c>
      <c r="KQ30" s="5"/>
      <c r="KV30" s="89">
        <v>42.4</v>
      </c>
      <c r="LQ30" s="5"/>
      <c r="LV30" s="89">
        <v>42.4</v>
      </c>
      <c r="MQ30" s="5"/>
      <c r="MV30" s="89">
        <v>42.4</v>
      </c>
      <c r="NQ30" s="5"/>
      <c r="NV30" s="89">
        <v>42.4</v>
      </c>
      <c r="OQ30" s="5"/>
      <c r="OV30" s="89">
        <v>42.4</v>
      </c>
    </row>
    <row r="31" spans="1:439" ht="17" hidden="1" x14ac:dyDescent="0.2">
      <c r="A31" s="77"/>
      <c r="B31" s="90" t="s">
        <v>42</v>
      </c>
      <c r="C31" s="84"/>
      <c r="O31" s="16"/>
      <c r="P31" s="16"/>
      <c r="Q31" s="16"/>
      <c r="AM31" s="5"/>
      <c r="AR31" s="91">
        <v>1000</v>
      </c>
      <c r="BN31" s="5"/>
      <c r="BS31" s="91">
        <v>1000</v>
      </c>
      <c r="CO31" s="5"/>
      <c r="CT31" s="91">
        <v>1000</v>
      </c>
      <c r="DQ31" s="5"/>
      <c r="DV31" s="91">
        <v>1000</v>
      </c>
      <c r="EQ31" s="5"/>
      <c r="EV31" s="91">
        <v>1000</v>
      </c>
      <c r="FQ31" s="5"/>
      <c r="FV31" s="91">
        <v>1000</v>
      </c>
      <c r="GQ31" s="5"/>
      <c r="GV31" s="91">
        <v>1000</v>
      </c>
      <c r="HQ31" s="5"/>
      <c r="HV31" s="91">
        <v>1000</v>
      </c>
      <c r="IQ31" s="5"/>
      <c r="IV31" s="91">
        <v>1000</v>
      </c>
      <c r="JQ31" s="5"/>
      <c r="JV31" s="91">
        <v>1000</v>
      </c>
      <c r="KQ31" s="5"/>
      <c r="KV31" s="91">
        <v>1000</v>
      </c>
      <c r="LQ31" s="5"/>
      <c r="LV31" s="91">
        <v>1000</v>
      </c>
      <c r="MQ31" s="5"/>
      <c r="MV31" s="91">
        <v>1000</v>
      </c>
      <c r="NQ31" s="5"/>
      <c r="NV31" s="91">
        <v>1000</v>
      </c>
      <c r="OQ31" s="5"/>
      <c r="OV31" s="91">
        <v>1000</v>
      </c>
    </row>
    <row r="32" spans="1:439" ht="17" hidden="1" x14ac:dyDescent="0.2">
      <c r="A32" s="77"/>
      <c r="B32" s="92" t="s">
        <v>54</v>
      </c>
      <c r="C32" s="84"/>
      <c r="O32" s="16"/>
      <c r="P32" s="16"/>
      <c r="Q32" s="16"/>
      <c r="AM32" s="5"/>
      <c r="AR32" s="93">
        <v>1000</v>
      </c>
      <c r="BN32" s="5"/>
      <c r="BS32" s="93">
        <v>1000</v>
      </c>
      <c r="CO32" s="5"/>
      <c r="CT32" s="93">
        <v>1000</v>
      </c>
      <c r="DQ32" s="5"/>
      <c r="DV32" s="93">
        <v>1000</v>
      </c>
      <c r="EQ32" s="5"/>
      <c r="EV32" s="93">
        <v>1000</v>
      </c>
      <c r="FQ32" s="5"/>
      <c r="FV32" s="93">
        <v>1000</v>
      </c>
      <c r="GQ32" s="5"/>
      <c r="GV32" s="93">
        <v>1000</v>
      </c>
      <c r="HQ32" s="5"/>
      <c r="HV32" s="93">
        <v>1000</v>
      </c>
      <c r="IQ32" s="5"/>
      <c r="IV32" s="93">
        <v>1000</v>
      </c>
      <c r="JQ32" s="5"/>
      <c r="JV32" s="93">
        <v>1000</v>
      </c>
      <c r="KQ32" s="5"/>
      <c r="KV32" s="93">
        <v>1000</v>
      </c>
      <c r="LQ32" s="5"/>
      <c r="LV32" s="93">
        <v>1000</v>
      </c>
      <c r="MQ32" s="5"/>
      <c r="MV32" s="93">
        <v>1000</v>
      </c>
      <c r="NQ32" s="5"/>
      <c r="NV32" s="93">
        <v>1000</v>
      </c>
      <c r="OQ32" s="5"/>
      <c r="OV32" s="93">
        <v>1000</v>
      </c>
    </row>
    <row r="33" spans="1:412" ht="17" hidden="1" x14ac:dyDescent="0.2">
      <c r="A33" s="77"/>
      <c r="B33" s="94" t="s">
        <v>28</v>
      </c>
      <c r="C33" s="84"/>
      <c r="O33" s="16"/>
      <c r="P33" s="16"/>
      <c r="Q33" s="16"/>
      <c r="AM33" s="5"/>
      <c r="AR33" s="95">
        <v>1000</v>
      </c>
      <c r="BN33" s="5"/>
      <c r="BS33" s="95">
        <v>1000</v>
      </c>
      <c r="CO33" s="5"/>
      <c r="CT33" s="95">
        <v>1000</v>
      </c>
      <c r="DQ33" s="5"/>
      <c r="DV33" s="95">
        <v>1000</v>
      </c>
      <c r="EQ33" s="5"/>
      <c r="EV33" s="95">
        <v>1000</v>
      </c>
      <c r="FQ33" s="5"/>
      <c r="FV33" s="95">
        <v>1000</v>
      </c>
      <c r="GQ33" s="5"/>
      <c r="GV33" s="95">
        <v>1000</v>
      </c>
      <c r="HQ33" s="5"/>
      <c r="HV33" s="95">
        <v>1000</v>
      </c>
      <c r="IQ33" s="5"/>
      <c r="IV33" s="95">
        <v>1000</v>
      </c>
      <c r="JQ33" s="5"/>
      <c r="JV33" s="95">
        <v>1000</v>
      </c>
      <c r="KQ33" s="5"/>
      <c r="KV33" s="95">
        <v>1000</v>
      </c>
      <c r="LQ33" s="5"/>
      <c r="LV33" s="95">
        <v>1000</v>
      </c>
      <c r="MQ33" s="5"/>
      <c r="MV33" s="95">
        <v>1000</v>
      </c>
      <c r="NQ33" s="5"/>
      <c r="NV33" s="95">
        <v>1000</v>
      </c>
      <c r="OQ33" s="5"/>
      <c r="OV33" s="95">
        <v>1000</v>
      </c>
    </row>
    <row r="34" spans="1:412" x14ac:dyDescent="0.2">
      <c r="B34" s="46" t="s">
        <v>47</v>
      </c>
      <c r="C34" s="2"/>
    </row>
    <row r="35" spans="1:412" x14ac:dyDescent="0.2">
      <c r="A35" s="77"/>
      <c r="B35" s="77"/>
      <c r="C35" s="84"/>
    </row>
    <row r="36" spans="1:412" x14ac:dyDescent="0.2">
      <c r="A36" s="77"/>
      <c r="B36" s="77"/>
      <c r="C36" s="84"/>
    </row>
    <row r="37" spans="1:412" x14ac:dyDescent="0.2">
      <c r="A37" s="77"/>
      <c r="B37" s="77"/>
      <c r="C37" s="84"/>
    </row>
    <row r="38" spans="1:412" x14ac:dyDescent="0.2">
      <c r="A38" s="77"/>
      <c r="B38" s="77"/>
      <c r="C38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23">
      <sortCondition descending="1" ref="F1:F24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3">
    <cfRule type="expression" dxfId="83" priority="5" stopIfTrue="1">
      <formula>IF($AL4&lt;&gt;"",1,0)</formula>
    </cfRule>
  </conditionalFormatting>
  <conditionalFormatting sqref="AS4:BS23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23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71" priority="53303" operator="between">
      <formula>AR$29</formula>
      <formula>1000</formula>
    </cfRule>
    <cfRule type="cellIs" dxfId="70" priority="53304" operator="between">
      <formula>AR$28</formula>
      <formula>AR$29</formula>
    </cfRule>
    <cfRule type="cellIs" dxfId="69" priority="53305" operator="between">
      <formula>AR$27</formula>
      <formula>AR$28</formula>
    </cfRule>
    <cfRule type="cellIs" dxfId="68" priority="53306" operator="between">
      <formula>AR$26</formula>
      <formula>AR$27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67" priority="53483" operator="between">
      <formula>AR$33</formula>
      <formula>1000</formula>
    </cfRule>
    <cfRule type="cellIs" dxfId="66" priority="53484" operator="between">
      <formula>AR$32</formula>
      <formula>AR$33</formula>
    </cfRule>
    <cfRule type="cellIs" dxfId="65" priority="53485" operator="between">
      <formula>AR$31</formula>
      <formula>AR$32</formula>
    </cfRule>
    <cfRule type="cellIs" dxfId="64" priority="53486" operator="between">
      <formula>AR$30</formula>
      <formula>AR$31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3663" operator="between">
      <formula>AR$26</formula>
      <formula>AR$27</formula>
    </cfRule>
    <cfRule type="cellIs" dxfId="62" priority="53664" operator="between">
      <formula>AR$27</formula>
      <formula>AR$28</formula>
    </cfRule>
    <cfRule type="cellIs" dxfId="61" priority="53665" operator="between">
      <formula>AR$28</formula>
      <formula>AR$29</formula>
    </cfRule>
    <cfRule type="cellIs" dxfId="60" priority="53666" operator="between">
      <formula>AR$29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3843" operator="between">
      <formula>AR$30</formula>
      <formula>AR$31</formula>
    </cfRule>
    <cfRule type="cellIs" dxfId="58" priority="53844" operator="between">
      <formula>AR$31</formula>
      <formula>AR$32</formula>
    </cfRule>
    <cfRule type="cellIs" dxfId="57" priority="53845" operator="between">
      <formula>AR$32</formula>
      <formula>AR$33</formula>
    </cfRule>
    <cfRule type="cellIs" dxfId="56" priority="53846" operator="between">
      <formula>AR$33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hidden="1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6" t="s">
        <v>168</v>
      </c>
      <c r="N1" s="107" t="s">
        <v>26</v>
      </c>
      <c r="O1" s="106" t="s">
        <v>169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129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183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205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159</v>
      </c>
      <c r="DF1" s="101"/>
      <c r="DG1" s="101"/>
      <c r="DH1" s="99" t="s">
        <v>123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170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174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175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176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179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180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160</v>
      </c>
      <c r="W2" s="100"/>
      <c r="X2" s="100"/>
      <c r="Y2" s="100"/>
      <c r="Z2" s="100" t="s">
        <v>161</v>
      </c>
      <c r="AA2" s="100"/>
      <c r="AB2" s="100"/>
      <c r="AC2" s="100"/>
      <c r="AD2" s="100" t="s">
        <v>162</v>
      </c>
      <c r="AE2" s="100"/>
      <c r="AF2" s="100"/>
      <c r="AG2" s="100"/>
      <c r="AH2" s="100" t="s">
        <v>163</v>
      </c>
      <c r="AI2" s="100"/>
      <c r="AJ2" s="100"/>
      <c r="AK2" s="100"/>
      <c r="AL2" s="110" t="s">
        <v>164</v>
      </c>
      <c r="AM2" s="110"/>
      <c r="AN2" s="110"/>
      <c r="AO2" s="110"/>
      <c r="AP2" s="71"/>
      <c r="AQ2" s="71" t="s">
        <v>165</v>
      </c>
      <c r="AR2" s="71" t="s">
        <v>166</v>
      </c>
      <c r="AS2" s="71" t="s">
        <v>162</v>
      </c>
      <c r="AT2" s="71" t="s">
        <v>22</v>
      </c>
      <c r="AU2" s="71" t="s">
        <v>21</v>
      </c>
      <c r="AV2" s="71" t="s">
        <v>57</v>
      </c>
      <c r="AW2" s="71" t="s">
        <v>167</v>
      </c>
      <c r="AX2" s="71" t="s">
        <v>15</v>
      </c>
      <c r="AY2" s="102" t="s">
        <v>160</v>
      </c>
      <c r="AZ2" s="102"/>
      <c r="BA2" s="102"/>
      <c r="BB2" s="102"/>
      <c r="BC2" s="102" t="s">
        <v>161</v>
      </c>
      <c r="BD2" s="102"/>
      <c r="BE2" s="102"/>
      <c r="BF2" s="102"/>
      <c r="BG2" s="102" t="s">
        <v>162</v>
      </c>
      <c r="BH2" s="102"/>
      <c r="BI2" s="102"/>
      <c r="BJ2" s="102"/>
      <c r="BK2" s="102" t="s">
        <v>163</v>
      </c>
      <c r="BL2" s="102"/>
      <c r="BM2" s="102"/>
      <c r="BN2" s="102"/>
      <c r="BO2" s="111" t="s">
        <v>164</v>
      </c>
      <c r="BP2" s="111"/>
      <c r="BQ2" s="111"/>
      <c r="BR2" s="111"/>
      <c r="BS2" s="70"/>
      <c r="BT2" s="70" t="s">
        <v>165</v>
      </c>
      <c r="BU2" s="70" t="s">
        <v>166</v>
      </c>
      <c r="BV2" s="70" t="s">
        <v>162</v>
      </c>
      <c r="BW2" s="70" t="s">
        <v>22</v>
      </c>
      <c r="BX2" s="70" t="s">
        <v>21</v>
      </c>
      <c r="BY2" s="70" t="s">
        <v>57</v>
      </c>
      <c r="BZ2" s="70" t="s">
        <v>167</v>
      </c>
      <c r="CA2" s="70" t="s">
        <v>15</v>
      </c>
      <c r="CB2" s="100" t="s">
        <v>160</v>
      </c>
      <c r="CC2" s="100"/>
      <c r="CD2" s="100"/>
      <c r="CE2" s="100"/>
      <c r="CF2" s="100" t="s">
        <v>161</v>
      </c>
      <c r="CG2" s="100"/>
      <c r="CH2" s="100"/>
      <c r="CI2" s="100"/>
      <c r="CJ2" s="100" t="s">
        <v>162</v>
      </c>
      <c r="CK2" s="100"/>
      <c r="CL2" s="100"/>
      <c r="CM2" s="100"/>
      <c r="CN2" s="100" t="s">
        <v>163</v>
      </c>
      <c r="CO2" s="100"/>
      <c r="CP2" s="100"/>
      <c r="CQ2" s="100"/>
      <c r="CR2" s="110" t="s">
        <v>164</v>
      </c>
      <c r="CS2" s="110"/>
      <c r="CT2" s="110"/>
      <c r="CU2" s="110"/>
      <c r="CV2" s="71"/>
      <c r="CW2" s="71" t="s">
        <v>165</v>
      </c>
      <c r="CX2" s="71" t="s">
        <v>166</v>
      </c>
      <c r="CY2" s="71" t="s">
        <v>162</v>
      </c>
      <c r="CZ2" s="71" t="s">
        <v>22</v>
      </c>
      <c r="DA2" s="71" t="s">
        <v>21</v>
      </c>
      <c r="DB2" s="71" t="s">
        <v>57</v>
      </c>
      <c r="DC2" s="71" t="s">
        <v>167</v>
      </c>
      <c r="DD2" s="71" t="s">
        <v>15</v>
      </c>
      <c r="DE2" s="76" t="s">
        <v>166</v>
      </c>
      <c r="DF2" s="76" t="s">
        <v>162</v>
      </c>
      <c r="DG2" s="76" t="s">
        <v>20</v>
      </c>
      <c r="DH2" s="100" t="s">
        <v>160</v>
      </c>
      <c r="DI2" s="100"/>
      <c r="DJ2" s="100"/>
      <c r="DK2" s="100"/>
      <c r="DL2" s="100" t="s">
        <v>161</v>
      </c>
      <c r="DM2" s="100"/>
      <c r="DN2" s="100"/>
      <c r="DO2" s="100"/>
      <c r="DP2" s="100" t="s">
        <v>162</v>
      </c>
      <c r="DQ2" s="100"/>
      <c r="DR2" s="100"/>
      <c r="DS2" s="100"/>
      <c r="DT2" s="100" t="s">
        <v>163</v>
      </c>
      <c r="DU2" s="100"/>
      <c r="DV2" s="100"/>
      <c r="DW2" s="100"/>
      <c r="DX2" s="109" t="s">
        <v>164</v>
      </c>
      <c r="DY2" s="109"/>
      <c r="DZ2" s="109"/>
      <c r="EA2" s="109"/>
      <c r="EB2" s="71" t="s">
        <v>165</v>
      </c>
      <c r="EC2" s="71" t="s">
        <v>166</v>
      </c>
      <c r="ED2" s="71" t="s">
        <v>162</v>
      </c>
      <c r="EE2" s="71" t="s">
        <v>22</v>
      </c>
      <c r="EF2" s="71" t="s">
        <v>21</v>
      </c>
      <c r="EG2" s="71" t="s">
        <v>57</v>
      </c>
      <c r="EH2" s="71" t="s">
        <v>167</v>
      </c>
      <c r="EI2" s="71" t="s">
        <v>15</v>
      </c>
      <c r="EJ2" s="102" t="s">
        <v>160</v>
      </c>
      <c r="EK2" s="102"/>
      <c r="EL2" s="102"/>
      <c r="EM2" s="102"/>
      <c r="EN2" s="102" t="s">
        <v>161</v>
      </c>
      <c r="EO2" s="102"/>
      <c r="EP2" s="102"/>
      <c r="EQ2" s="102"/>
      <c r="ER2" s="102" t="s">
        <v>162</v>
      </c>
      <c r="ES2" s="102"/>
      <c r="ET2" s="102"/>
      <c r="EU2" s="102"/>
      <c r="EV2" s="102" t="s">
        <v>163</v>
      </c>
      <c r="EW2" s="102"/>
      <c r="EX2" s="102"/>
      <c r="EY2" s="102"/>
      <c r="EZ2" s="111" t="s">
        <v>164</v>
      </c>
      <c r="FA2" s="111"/>
      <c r="FB2" s="111"/>
      <c r="FC2" s="111"/>
      <c r="FD2" s="70" t="s">
        <v>165</v>
      </c>
      <c r="FE2" s="70" t="s">
        <v>166</v>
      </c>
      <c r="FF2" s="70" t="s">
        <v>162</v>
      </c>
      <c r="FG2" s="70" t="s">
        <v>22</v>
      </c>
      <c r="FH2" s="70" t="s">
        <v>21</v>
      </c>
      <c r="FI2" s="70" t="s">
        <v>57</v>
      </c>
      <c r="FJ2" s="70" t="s">
        <v>167</v>
      </c>
      <c r="FK2" s="70" t="s">
        <v>15</v>
      </c>
      <c r="FL2" s="100" t="s">
        <v>160</v>
      </c>
      <c r="FM2" s="100"/>
      <c r="FN2" s="100"/>
      <c r="FO2" s="100"/>
      <c r="FP2" s="100" t="s">
        <v>161</v>
      </c>
      <c r="FQ2" s="100"/>
      <c r="FR2" s="100"/>
      <c r="FS2" s="100"/>
      <c r="FT2" s="100" t="s">
        <v>162</v>
      </c>
      <c r="FU2" s="100"/>
      <c r="FV2" s="100"/>
      <c r="FW2" s="100"/>
      <c r="FX2" s="100" t="s">
        <v>163</v>
      </c>
      <c r="FY2" s="100"/>
      <c r="FZ2" s="100"/>
      <c r="GA2" s="100"/>
      <c r="GB2" s="109" t="s">
        <v>164</v>
      </c>
      <c r="GC2" s="109"/>
      <c r="GD2" s="109"/>
      <c r="GE2" s="109"/>
      <c r="GF2" s="71" t="s">
        <v>165</v>
      </c>
      <c r="GG2" s="71" t="s">
        <v>166</v>
      </c>
      <c r="GH2" s="71" t="s">
        <v>162</v>
      </c>
      <c r="GI2" s="71" t="s">
        <v>22</v>
      </c>
      <c r="GJ2" s="71" t="s">
        <v>21</v>
      </c>
      <c r="GK2" s="71" t="s">
        <v>57</v>
      </c>
      <c r="GL2" s="71" t="s">
        <v>167</v>
      </c>
      <c r="GM2" s="71" t="s">
        <v>15</v>
      </c>
      <c r="GN2" s="102" t="s">
        <v>160</v>
      </c>
      <c r="GO2" s="102"/>
      <c r="GP2" s="102"/>
      <c r="GQ2" s="102"/>
      <c r="GR2" s="102" t="s">
        <v>161</v>
      </c>
      <c r="GS2" s="102"/>
      <c r="GT2" s="102"/>
      <c r="GU2" s="102"/>
      <c r="GV2" s="102" t="s">
        <v>162</v>
      </c>
      <c r="GW2" s="102"/>
      <c r="GX2" s="102"/>
      <c r="GY2" s="102"/>
      <c r="GZ2" s="102" t="s">
        <v>163</v>
      </c>
      <c r="HA2" s="102"/>
      <c r="HB2" s="102"/>
      <c r="HC2" s="102"/>
      <c r="HD2" s="111" t="s">
        <v>164</v>
      </c>
      <c r="HE2" s="111"/>
      <c r="HF2" s="111"/>
      <c r="HG2" s="111"/>
      <c r="HH2" s="70" t="s">
        <v>165</v>
      </c>
      <c r="HI2" s="70" t="s">
        <v>166</v>
      </c>
      <c r="HJ2" s="70" t="s">
        <v>162</v>
      </c>
      <c r="HK2" s="70" t="s">
        <v>22</v>
      </c>
      <c r="HL2" s="70" t="s">
        <v>21</v>
      </c>
      <c r="HM2" s="70" t="s">
        <v>57</v>
      </c>
      <c r="HN2" s="70" t="s">
        <v>167</v>
      </c>
      <c r="HO2" s="70" t="s">
        <v>15</v>
      </c>
      <c r="HP2" s="100" t="s">
        <v>160</v>
      </c>
      <c r="HQ2" s="100"/>
      <c r="HR2" s="100"/>
      <c r="HS2" s="100"/>
      <c r="HT2" s="100" t="s">
        <v>161</v>
      </c>
      <c r="HU2" s="100"/>
      <c r="HV2" s="100"/>
      <c r="HW2" s="100"/>
      <c r="HX2" s="100" t="s">
        <v>162</v>
      </c>
      <c r="HY2" s="100"/>
      <c r="HZ2" s="100"/>
      <c r="IA2" s="100"/>
      <c r="IB2" s="100" t="s">
        <v>163</v>
      </c>
      <c r="IC2" s="100"/>
      <c r="ID2" s="100"/>
      <c r="IE2" s="100"/>
      <c r="IF2" s="109" t="s">
        <v>164</v>
      </c>
      <c r="IG2" s="109"/>
      <c r="IH2" s="109"/>
      <c r="II2" s="109"/>
      <c r="IJ2" s="71" t="s">
        <v>165</v>
      </c>
      <c r="IK2" s="71" t="s">
        <v>166</v>
      </c>
      <c r="IL2" s="71" t="s">
        <v>162</v>
      </c>
      <c r="IM2" s="71" t="s">
        <v>22</v>
      </c>
      <c r="IN2" s="71" t="s">
        <v>21</v>
      </c>
      <c r="IO2" s="71" t="s">
        <v>57</v>
      </c>
      <c r="IP2" s="71" t="s">
        <v>167</v>
      </c>
      <c r="IQ2" s="71" t="s">
        <v>15</v>
      </c>
      <c r="IR2" s="102" t="s">
        <v>160</v>
      </c>
      <c r="IS2" s="102"/>
      <c r="IT2" s="102"/>
      <c r="IU2" s="102"/>
      <c r="IV2" s="102" t="s">
        <v>161</v>
      </c>
      <c r="IW2" s="102"/>
      <c r="IX2" s="102"/>
      <c r="IY2" s="102"/>
      <c r="IZ2" s="102" t="s">
        <v>162</v>
      </c>
      <c r="JA2" s="102"/>
      <c r="JB2" s="102"/>
      <c r="JC2" s="102"/>
      <c r="JD2" s="102" t="s">
        <v>163</v>
      </c>
      <c r="JE2" s="102"/>
      <c r="JF2" s="102"/>
      <c r="JG2" s="102"/>
      <c r="JH2" s="111" t="s">
        <v>164</v>
      </c>
      <c r="JI2" s="111"/>
      <c r="JJ2" s="111"/>
      <c r="JK2" s="111"/>
      <c r="JL2" s="70" t="s">
        <v>165</v>
      </c>
      <c r="JM2" s="70" t="s">
        <v>166</v>
      </c>
      <c r="JN2" s="70" t="s">
        <v>162</v>
      </c>
      <c r="JO2" s="70" t="s">
        <v>22</v>
      </c>
      <c r="JP2" s="70" t="s">
        <v>21</v>
      </c>
      <c r="JQ2" s="70" t="s">
        <v>57</v>
      </c>
      <c r="JR2" s="70" t="s">
        <v>167</v>
      </c>
      <c r="JS2" s="70" t="s">
        <v>15</v>
      </c>
      <c r="JT2" s="100" t="s">
        <v>160</v>
      </c>
      <c r="JU2" s="100"/>
      <c r="JV2" s="100"/>
      <c r="JW2" s="100"/>
      <c r="JX2" s="100" t="s">
        <v>161</v>
      </c>
      <c r="JY2" s="100"/>
      <c r="JZ2" s="100"/>
      <c r="KA2" s="100"/>
      <c r="KB2" s="100" t="s">
        <v>162</v>
      </c>
      <c r="KC2" s="100"/>
      <c r="KD2" s="100"/>
      <c r="KE2" s="100"/>
      <c r="KF2" s="100" t="s">
        <v>163</v>
      </c>
      <c r="KG2" s="100"/>
      <c r="KH2" s="100"/>
      <c r="KI2" s="100"/>
      <c r="KJ2" s="109" t="s">
        <v>164</v>
      </c>
      <c r="KK2" s="109"/>
      <c r="KL2" s="109"/>
      <c r="KM2" s="109"/>
      <c r="KN2" s="71" t="s">
        <v>165</v>
      </c>
      <c r="KO2" s="71" t="s">
        <v>166</v>
      </c>
      <c r="KP2" s="71" t="s">
        <v>162</v>
      </c>
      <c r="KQ2" s="71" t="s">
        <v>22</v>
      </c>
      <c r="KR2" s="71" t="s">
        <v>21</v>
      </c>
      <c r="KS2" s="71" t="s">
        <v>57</v>
      </c>
      <c r="KT2" s="71" t="s">
        <v>167</v>
      </c>
      <c r="KU2" s="71" t="s">
        <v>15</v>
      </c>
      <c r="KV2" s="102" t="s">
        <v>160</v>
      </c>
      <c r="KW2" s="102"/>
      <c r="KX2" s="102"/>
      <c r="KY2" s="102"/>
      <c r="KZ2" s="102" t="s">
        <v>161</v>
      </c>
      <c r="LA2" s="102"/>
      <c r="LB2" s="102"/>
      <c r="LC2" s="102"/>
      <c r="LD2" s="102" t="s">
        <v>162</v>
      </c>
      <c r="LE2" s="102"/>
      <c r="LF2" s="102"/>
      <c r="LG2" s="102"/>
      <c r="LH2" s="102" t="s">
        <v>163</v>
      </c>
      <c r="LI2" s="102"/>
      <c r="LJ2" s="102"/>
      <c r="LK2" s="102"/>
      <c r="LL2" s="111" t="s">
        <v>164</v>
      </c>
      <c r="LM2" s="111"/>
      <c r="LN2" s="111"/>
      <c r="LO2" s="111"/>
      <c r="LP2" s="70" t="s">
        <v>165</v>
      </c>
      <c r="LQ2" s="70" t="s">
        <v>166</v>
      </c>
      <c r="LR2" s="70" t="s">
        <v>162</v>
      </c>
      <c r="LS2" s="70" t="s">
        <v>22</v>
      </c>
      <c r="LT2" s="70" t="s">
        <v>21</v>
      </c>
      <c r="LU2" s="70" t="s">
        <v>57</v>
      </c>
      <c r="LV2" s="70" t="s">
        <v>167</v>
      </c>
      <c r="LW2" s="70" t="s">
        <v>15</v>
      </c>
      <c r="LX2" s="100" t="s">
        <v>160</v>
      </c>
      <c r="LY2" s="100"/>
      <c r="LZ2" s="100"/>
      <c r="MA2" s="100"/>
      <c r="MB2" s="100" t="s">
        <v>161</v>
      </c>
      <c r="MC2" s="100"/>
      <c r="MD2" s="100"/>
      <c r="ME2" s="100"/>
      <c r="MF2" s="100" t="s">
        <v>162</v>
      </c>
      <c r="MG2" s="100"/>
      <c r="MH2" s="100"/>
      <c r="MI2" s="100"/>
      <c r="MJ2" s="100" t="s">
        <v>163</v>
      </c>
      <c r="MK2" s="100"/>
      <c r="ML2" s="100"/>
      <c r="MM2" s="100"/>
      <c r="MN2" s="109" t="s">
        <v>164</v>
      </c>
      <c r="MO2" s="109"/>
      <c r="MP2" s="109"/>
      <c r="MQ2" s="109"/>
      <c r="MR2" s="71" t="s">
        <v>165</v>
      </c>
      <c r="MS2" s="71" t="s">
        <v>166</v>
      </c>
      <c r="MT2" s="71" t="s">
        <v>162</v>
      </c>
      <c r="MU2" s="71" t="s">
        <v>22</v>
      </c>
      <c r="MV2" s="71" t="s">
        <v>21</v>
      </c>
      <c r="MW2" s="71" t="s">
        <v>57</v>
      </c>
      <c r="MX2" s="71" t="s">
        <v>167</v>
      </c>
      <c r="MY2" s="71" t="s">
        <v>15</v>
      </c>
      <c r="MZ2" s="102" t="s">
        <v>160</v>
      </c>
      <c r="NA2" s="102"/>
      <c r="NB2" s="102"/>
      <c r="NC2" s="102"/>
      <c r="ND2" s="102" t="s">
        <v>161</v>
      </c>
      <c r="NE2" s="102"/>
      <c r="NF2" s="102"/>
      <c r="NG2" s="102"/>
      <c r="NH2" s="102" t="s">
        <v>162</v>
      </c>
      <c r="NI2" s="102"/>
      <c r="NJ2" s="102"/>
      <c r="NK2" s="102"/>
      <c r="NL2" s="102" t="s">
        <v>163</v>
      </c>
      <c r="NM2" s="102"/>
      <c r="NN2" s="102"/>
      <c r="NO2" s="102"/>
      <c r="NP2" s="111" t="s">
        <v>164</v>
      </c>
      <c r="NQ2" s="111"/>
      <c r="NR2" s="111"/>
      <c r="NS2" s="111"/>
      <c r="NT2" s="70" t="s">
        <v>165</v>
      </c>
      <c r="NU2" s="70" t="s">
        <v>166</v>
      </c>
      <c r="NV2" s="70" t="s">
        <v>162</v>
      </c>
      <c r="NW2" s="70" t="s">
        <v>22</v>
      </c>
      <c r="NX2" s="70" t="s">
        <v>21</v>
      </c>
      <c r="NY2" s="70" t="s">
        <v>57</v>
      </c>
      <c r="NZ2" s="70" t="s">
        <v>167</v>
      </c>
      <c r="OA2" s="70" t="s">
        <v>15</v>
      </c>
      <c r="OB2" s="100" t="s">
        <v>160</v>
      </c>
      <c r="OC2" s="100"/>
      <c r="OD2" s="100"/>
      <c r="OE2" s="100"/>
      <c r="OF2" s="100" t="s">
        <v>161</v>
      </c>
      <c r="OG2" s="100"/>
      <c r="OH2" s="100"/>
      <c r="OI2" s="100"/>
      <c r="OJ2" s="100" t="s">
        <v>162</v>
      </c>
      <c r="OK2" s="100"/>
      <c r="OL2" s="100"/>
      <c r="OM2" s="100"/>
      <c r="ON2" s="100" t="s">
        <v>163</v>
      </c>
      <c r="OO2" s="100"/>
      <c r="OP2" s="100"/>
      <c r="OQ2" s="100"/>
      <c r="OR2" s="109" t="s">
        <v>164</v>
      </c>
      <c r="OS2" s="109"/>
      <c r="OT2" s="109"/>
      <c r="OU2" s="109"/>
      <c r="OV2" s="71" t="s">
        <v>165</v>
      </c>
      <c r="OW2" s="71" t="s">
        <v>166</v>
      </c>
      <c r="OX2" s="71" t="s">
        <v>162</v>
      </c>
      <c r="OY2" s="71" t="s">
        <v>22</v>
      </c>
      <c r="OZ2" s="71" t="s">
        <v>21</v>
      </c>
      <c r="PA2" s="71" t="s">
        <v>57</v>
      </c>
      <c r="PB2" s="71" t="s">
        <v>167</v>
      </c>
      <c r="PC2" s="71" t="s">
        <v>15</v>
      </c>
      <c r="PD2" s="102" t="s">
        <v>160</v>
      </c>
      <c r="PE2" s="102"/>
      <c r="PF2" s="102"/>
      <c r="PG2" s="102"/>
      <c r="PH2" s="102" t="s">
        <v>161</v>
      </c>
      <c r="PI2" s="102"/>
      <c r="PJ2" s="102"/>
      <c r="PK2" s="102"/>
      <c r="PL2" s="102" t="s">
        <v>162</v>
      </c>
      <c r="PM2" s="102"/>
      <c r="PN2" s="102"/>
      <c r="PO2" s="102"/>
      <c r="PP2" s="102" t="s">
        <v>163</v>
      </c>
      <c r="PQ2" s="102"/>
      <c r="PR2" s="102"/>
      <c r="PS2" s="102"/>
      <c r="PT2" s="111" t="s">
        <v>164</v>
      </c>
      <c r="PU2" s="111"/>
      <c r="PV2" s="111"/>
      <c r="PW2" s="111"/>
      <c r="PX2" s="70" t="s">
        <v>165</v>
      </c>
      <c r="PY2" s="70" t="s">
        <v>166</v>
      </c>
      <c r="PZ2" s="70" t="s">
        <v>162</v>
      </c>
      <c r="QA2" s="70" t="s">
        <v>22</v>
      </c>
      <c r="QB2" s="70" t="s">
        <v>21</v>
      </c>
      <c r="QC2" s="70" t="s">
        <v>57</v>
      </c>
      <c r="QD2" s="70" t="s">
        <v>167</v>
      </c>
      <c r="QE2" s="70" t="s">
        <v>15</v>
      </c>
      <c r="QF2" s="100" t="s">
        <v>160</v>
      </c>
      <c r="QG2" s="100"/>
      <c r="QH2" s="100"/>
      <c r="QI2" s="100"/>
      <c r="QJ2" s="100" t="s">
        <v>161</v>
      </c>
      <c r="QK2" s="100"/>
      <c r="QL2" s="100"/>
      <c r="QM2" s="100"/>
      <c r="QN2" s="100" t="s">
        <v>162</v>
      </c>
      <c r="QO2" s="100"/>
      <c r="QP2" s="100"/>
      <c r="QQ2" s="100"/>
      <c r="QR2" s="100" t="s">
        <v>163</v>
      </c>
      <c r="QS2" s="100"/>
      <c r="QT2" s="100"/>
      <c r="QU2" s="100"/>
      <c r="QV2" s="110" t="s">
        <v>164</v>
      </c>
      <c r="QW2" s="110"/>
      <c r="QX2" s="110"/>
      <c r="QY2" s="110"/>
      <c r="QZ2" s="71"/>
      <c r="RA2" s="71" t="s">
        <v>165</v>
      </c>
      <c r="RB2" s="71" t="s">
        <v>166</v>
      </c>
      <c r="RC2" s="71" t="s">
        <v>162</v>
      </c>
      <c r="RD2" s="71" t="s">
        <v>22</v>
      </c>
      <c r="RE2" s="71" t="s">
        <v>21</v>
      </c>
      <c r="RF2" s="71" t="s">
        <v>57</v>
      </c>
      <c r="RG2" s="71" t="s">
        <v>167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77" t="s">
        <v>61</v>
      </c>
      <c r="C4" s="5" t="s">
        <v>3</v>
      </c>
      <c r="D4" s="5">
        <v>2003</v>
      </c>
      <c r="E4" s="15">
        <f>SUM(I4:S4)+SUM(I4:O4)*0.0000001+SUM(I4)*0.0000000000001</f>
        <v>225.25001651500557</v>
      </c>
      <c r="F4" s="3" t="str">
        <f>IF(OR(AND(AQ4&gt;=AX$34,AR4&gt;=AX$38,AQ4&lt;&gt;"",AP4=""),AND(AV4&gt;=AX$34,AW4&gt;=AX$38,AV4&lt;&gt;"",AP4=""),AND(BT4&gt;=CA$34,BU4&gt;=CA$38,BT4&lt;&gt;"",BS4=""),AND(BY4&gt;=CA$34,BZ4&gt;=CA$38,BY4&lt;&gt;"",BS4=""),AND(CW4&gt;=DD$34,CX4&gt;=DD$38,CW4&lt;&gt;"",CV4=""),AND(DB4&gt;=DD$34,DC4&gt;=DD$38,DB4&lt;&gt;""),AND(EB4&gt;=EI$34,EC4&gt;=EI$38,EB4&lt;&gt;""),AND(EG4&gt;=EI$34,EH4&gt;=EI$38,EG4&lt;&gt;""),AND(FD4&gt;=FK$34,FE4&gt;=FK$38,FD4&lt;&gt;""),AND(FI4&gt;=FK$34,FJ4&gt;=FK$38,FI4&lt;&gt;""),AND(GF4&gt;=GM$34,GG4&gt;=GM$38,GF4&lt;&gt;""),AND(GK4&gt;=GM$34,GL4&gt;=GM$38,GK4&lt;&gt;""),AND(HH4&gt;=HO$34,HI4&gt;=HO$38,HH4&lt;&gt;""),AND(HM4&gt;=HO$34,HN4&gt;=HO$38,HM4&lt;&gt;""),AND(IJ4&gt;=IQ$34,IK4&gt;=IQ$38,IJ4&lt;&gt;""),AND(IO4&gt;=IQ$34,IP4&gt;=IQ$38,IO4&lt;&gt;""),AND(JL4&gt;=JS$34,JM4&gt;=JS$38,JL4&lt;&gt;""),AND(JQ4&gt;=JS$34,JR4&gt;=JS$38,JQ4&lt;&gt;""),AND(KN4&gt;=KU$34,KO4&gt;=KU$38,KN4&lt;&gt;""),AND(KS4&gt;=KU$34,KT4&gt;=KU$38,KS4&lt;&gt;""),AND(LP4&gt;=LW$34,LQ4&gt;=LW$38,LP4&lt;&gt;""),AND(LU4&gt;=LW$34,LV4&gt;=LW$38,LU4&lt;&gt;""),AND(MR4&gt;=MY$34,MS4&gt;=MY$38,MR4&lt;&gt;""),AND(MW4&gt;=MY$34,MX4&gt;=MY$38,MW4&lt;&gt;""),AND(NT4&gt;=OA$34,NU4&gt;=OA$38,NT4&lt;&gt;""),AND(NY4&gt;=OA$34,NZ4&gt;=OA$38,NY4&lt;&gt;""),AND(OV4&gt;=PC$34,OW4&gt;=PC$38,OV4&lt;&gt;""),AND(PA4&gt;=PC$34,PB4&gt;=PC$38,PA4&lt;&gt;""),AND(PX4&gt;=QE$34,PY4&gt;=QE$38,PX4&lt;&gt;""),AND(QC4&gt;=QE$34,QD4&gt;=QE$38,QC4&lt;&gt;"")),"P","")</f>
        <v>P</v>
      </c>
      <c r="G4" s="3" t="str">
        <f>IF(OR(AND(AR4&gt;=AX$38,AR4&lt;&gt;"",AP4=""),AND(AW4&gt;=AX$38,AW4&lt;&gt;"",AP4=""),AND(BU4&gt;=CA$38,BU4&lt;&gt;"",BS4=""),AND(BZ4&gt;=CA$38,BZ4&lt;&gt;"",BS4=""),AND(CX4&gt;=DD$38,CX4&lt;&gt;"",CV4=""),AND(DC4&gt;=DD$38,DC4&lt;&gt;"",CV4=""),AND(EC4&gt;=EI$38,EC4&lt;&gt;""),AND(EH4&gt;=EI$38,EH4&lt;&gt;""),AND(FE4&gt;=FK$38,FE4&lt;&gt;""),AND(FJ4&gt;=FK$38,FJ4&lt;&gt;""),AND(GG4&gt;=GM$38,GG4&lt;&gt;""),AND(GL4&gt;=GM$38,GL4&lt;&gt;""),AND(HI4&gt;=HO$38,HI4&lt;&gt;""),AND(HN4&gt;=HO$38,HN4&lt;&gt;""),AND(IK4&gt;=IQ$38,IK4&lt;&gt;""),AND(IP4&gt;=IQ$38,IP4&lt;&gt;""),AND(JM4&gt;=JS$38,JM4&lt;&gt;""),AND(JR4&gt;=JS$38,JR4&lt;&gt;""),AND(KO4&gt;=KU$38,KO4&lt;&gt;""),AND(KT4&gt;=KU$38,KT4&lt;&gt;""),AND(LQ4&gt;=LW$38,LQ4&lt;&gt;""),AND(LV4&gt;=LW$38,LV4&lt;&gt;""),AND(MS4&gt;=MY$38,MS4&lt;&gt;""),AND(MX4&gt;=MY$38,MX4&lt;&gt;""),AND(NU4&gt;=OA$38,NU4&lt;&gt;""),AND(NZ4&gt;=OA$38,NZ4&lt;&gt;""),AND(OW4&gt;=PC$38,OW4&lt;&gt;""),AND(PB4&gt;=PC$38,PB4&lt;&gt;""),AND(PY4&gt;=QE$38,PY4&lt;&gt;""),AND(QD4&gt;=QE$38,QD4&lt;&gt;"")),"P","")</f>
        <v>P</v>
      </c>
      <c r="H4" s="66" t="str">
        <f>IF(AND(G4="P",F4=""),"No DD",IF(OR(AND(AT4&gt;=AX$37,AU4&gt;=AX$41,AT4&lt;&gt;"",AP4=""),AND(BW4&gt;=CA$37,BX4&gt;=CA$41,BW4&lt;&gt;"",BS4=""),AND(CZ4&gt;=DD$37,DA4&gt;=DD$41,CZ4&lt;&gt;"",CV4=""),AND(EE4&gt;=EI$37,EF4&gt;=EI$41,EE4&lt;&gt;""),AND(FG4&gt;=FK$37,FH4&gt;=FK$41,FG4&lt;&gt;""),AND(GI4&gt;=GM$37,GJ4&gt;=GM$41,GI4&lt;&gt;""),AND(HK4&gt;=HO$37,HL4&gt;=HO$41,HK4&lt;&gt;""),AND(IM4&gt;=IQ$37,IN4&gt;=IQ$41,IM4&lt;&gt;""),AND(JO4&gt;=JS$37,JP4&gt;=JS$41,JO4&lt;&gt;""),AND(KQ4&gt;=KU$37,KR4&gt;=KU$41,KQ4&lt;&gt;""),AND(LS4&gt;=LW$37,LT4&gt;=LW$41,LS4&lt;&gt;""),AND(MU4&gt;=MY$37,MV4&gt;=MY$41,MU4&lt;&gt;""),AND(NW4&gt;=OA$37,NX4&gt;=OA$41,NW4&lt;&gt;""),AND(OY4&gt;=PC$37,OZ4&gt;=PC$41,OY4&lt;&gt;""),AND(QA4&gt;=QE$37,QB4&gt;=QE$41,QA4&lt;&gt;"")),"Merit",IF(OR(AND(AT4&gt;=AX$36,AU4&gt;=AX$40,AT4&lt;&gt;"",AP4=""),AND(BW4&gt;=CA$36,BX4&gt;=CA$40,BW4&lt;&gt;"",BS4=""),AND(CZ4&gt;=DD$36,DA4&gt;=DD$40,CZ4&lt;&gt;"",CV4=""),AND(EE4&gt;=EI$36,EF4&gt;=EI$40,EE4&lt;&gt;""),AND(FG4&gt;=FK$36,FH4&gt;=FK$40,FG4&lt;&gt;""),AND(GI4&gt;=GM$36,GJ4&gt;=GM$40,GI4&lt;&gt;""),AND(HK4&gt;=HO$36,HL4&gt;=HO$40,HK4&lt;&gt;""),AND(IM4&gt;=IQ$36,IN4&gt;=IQ$40,IM4&lt;&gt;""),AND(JO4&gt;=JS$36,JP4&gt;=JS$40,JO4&lt;&gt;""),AND(KQ4&gt;=KU$36,KR4&gt;=KU$40,KQ4&lt;&gt;""),AND(LS4&gt;=LW$36,LT4&gt;=LW$40,LS4&lt;&gt;""),AND(MU4&gt;=MY$36,MV4&gt;=MY$40,MU4&lt;&gt;""),AND(NW4&gt;=OA$36,NX4&gt;=OA$40,NW4&lt;&gt;""),AND(OY4&gt;=PC$36,OZ4&gt;=PC$40,OY4&lt;&gt;""),AND(QA4&gt;=QE$36,QB4&gt;=QE$40,QA4&lt;&gt;"")),"Excellence",IF(F4="P","National Team",""))))</f>
        <v>National Team</v>
      </c>
      <c r="I4" s="14">
        <f>IF(COUNT(AR4,BU4,CX4)&gt;0,LARGE((AR4,BU4,CX4),1),0)</f>
        <v>55.999999999999993</v>
      </c>
      <c r="J4" s="14" t="str">
        <f>IF(I4=0,"",IF(I4=CX4,$CB$1,IF(I4=BU4,$AY$1,IF(I4=AR4,$V$1,""))))</f>
        <v>2022 Elite Canada</v>
      </c>
      <c r="K4" s="14">
        <f>IF(COUNT(AR4,BU4,CX4)&gt;1,LARGE((AR4,BU4,CX4),2),0)</f>
        <v>55.199999999999996</v>
      </c>
      <c r="L4" s="14" t="str">
        <f>IF(K4=0,"",IF(K4=CX4,$CB$1,IF(K4=BU4,$AY$1,IF(K4=AR4,$V$1,""))))</f>
        <v>2022 3rd Domestic Trial</v>
      </c>
      <c r="M4" s="14">
        <f>IF(COUNT(AS4,BV4,CY4)&gt;0,LARGE((AS4,BV4,CY4),1),0)</f>
        <v>29.1</v>
      </c>
      <c r="N4" s="14" t="str">
        <f>IF(M4=0,"",IF(M4=CY4,$CB$1,IF(M4=BV4,$AY$1,IF(M4=AS4,$V$1,""))))</f>
        <v>2022 Nationals</v>
      </c>
      <c r="O4" s="14">
        <f>IF(COUNT(AS4,BV4,CY4)&gt;1,LARGE((AS4,BV4,CY4),2),0)</f>
        <v>24.85</v>
      </c>
      <c r="P4" s="14" t="str">
        <f>IF(O4=0,"",IF(O4=CY4,$CB$1,IF(O4=BV4,$AY$1,IF(O4=AS4,$V$1,""))))</f>
        <v>2022 3rd Domestic Trial</v>
      </c>
      <c r="Q4" s="14">
        <f>IF(MAX(AW4,BZ4,DC4)&gt;0,MAX(AW4,BZ4,DC4),0)</f>
        <v>58.2</v>
      </c>
      <c r="R4" s="14" t="str">
        <f>IF(Q4=0,"",IF(Q4=DC4,$CB$1,IF(Q4=BZ4,$AY$1,IF(Q4=AW4,$V$1,""))))</f>
        <v>2022 Nationals</v>
      </c>
      <c r="S4" s="14">
        <f>IF(MAX(DE4:DG4)&gt;0,MAX(DE4:DG4),"")</f>
        <v>1.9000000000000057</v>
      </c>
      <c r="T4" s="19" t="str">
        <f>IF(S4="","",IF(S4=DE4,"("&amp;DE$2&amp;")",IF(S4=DG4,"("&amp;DG$2&amp;")")))</f>
        <v>(Q1)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#2 (May 15)</v>
      </c>
      <c r="V4" s="26">
        <v>18.8</v>
      </c>
      <c r="W4" s="26">
        <v>9.1999999999999993</v>
      </c>
      <c r="X4" s="26">
        <v>0.6</v>
      </c>
      <c r="Y4" s="26">
        <v>0.3</v>
      </c>
      <c r="Z4" s="26">
        <v>19</v>
      </c>
      <c r="AA4" s="26">
        <v>9.1999999999999993</v>
      </c>
      <c r="AB4" s="26">
        <v>0.2</v>
      </c>
      <c r="AC4" s="26">
        <v>0.3</v>
      </c>
      <c r="AD4" s="26">
        <v>17.8</v>
      </c>
      <c r="AE4" s="26">
        <v>2.8</v>
      </c>
      <c r="AF4" s="26">
        <v>0</v>
      </c>
      <c r="AG4" s="26">
        <v>0</v>
      </c>
      <c r="AH4" s="26">
        <v>19</v>
      </c>
      <c r="AI4" s="26">
        <v>8.5</v>
      </c>
      <c r="AJ4" s="26">
        <v>0</v>
      </c>
      <c r="AK4" s="26">
        <v>0.3</v>
      </c>
      <c r="AL4" s="26">
        <v>18.7</v>
      </c>
      <c r="AM4" s="26">
        <v>8.4</v>
      </c>
      <c r="AN4" s="26">
        <v>0.6</v>
      </c>
      <c r="AO4" s="26">
        <v>0.3</v>
      </c>
      <c r="AP4" s="44"/>
      <c r="AQ4" s="78">
        <f>IF(SUM(W4,AA4)&gt;0,SUM(W4,AA4),"")</f>
        <v>18.399999999999999</v>
      </c>
      <c r="AR4" s="78">
        <f>IF(SUM(V4:W4,Y4:AA4,AC4)-X4-AB4&gt;0,SUM(V4:W4,Y4:AA4,AC4)-X4-AB4,"")</f>
        <v>55.999999999999993</v>
      </c>
      <c r="AS4" s="78">
        <f>IF(SUM(AD4:AE4,AG4)-AF4&gt;0,SUM(AD4:AE4,AG4)-AF4,"")</f>
        <v>20.6</v>
      </c>
      <c r="AT4" s="78">
        <f>IF(SUM(W4,AA4,AE4)&gt;0,SUM(W4,AA4,AE4),"")</f>
        <v>21.2</v>
      </c>
      <c r="AU4" s="78">
        <f>IF(SUM(AR4,AS4)&gt;0,SUM(AR4,AS4),"")</f>
        <v>76.599999999999994</v>
      </c>
      <c r="AV4" s="78">
        <f>IF(SUM(AI4,AM4)&gt;0,SUM(AI4,AM4),"")</f>
        <v>16.899999999999999</v>
      </c>
      <c r="AW4" s="78">
        <f>IF(SUM(AH4:AI4,AK4:AM4,AO4)-SUM(AJ4,AN4)&gt;0,SUM(AH4:AI4,AK4:AM4,AO4)-SUM(AJ4,AN4),"")</f>
        <v>54.599999999999994</v>
      </c>
      <c r="AX4" s="78">
        <f>IF(SUM(AR4,AW4)&gt;0,SUM(AR4,AW4),"")</f>
        <v>110.6</v>
      </c>
      <c r="AY4" s="25">
        <v>19.2</v>
      </c>
      <c r="AZ4" s="25">
        <v>9.1999999999999993</v>
      </c>
      <c r="BA4" s="25">
        <v>0</v>
      </c>
      <c r="BB4" s="25">
        <v>0.3</v>
      </c>
      <c r="BC4" s="25">
        <v>16.600000000000001</v>
      </c>
      <c r="BD4" s="25">
        <v>9.6</v>
      </c>
      <c r="BE4" s="25">
        <v>0.8</v>
      </c>
      <c r="BF4" s="25">
        <v>0.3</v>
      </c>
      <c r="BG4" s="25">
        <v>19.600000000000001</v>
      </c>
      <c r="BH4" s="25">
        <v>9.1999999999999993</v>
      </c>
      <c r="BI4" s="25">
        <v>0</v>
      </c>
      <c r="BJ4" s="25">
        <v>0.3</v>
      </c>
      <c r="BK4" s="25">
        <v>19</v>
      </c>
      <c r="BL4" s="25">
        <v>10</v>
      </c>
      <c r="BM4" s="25">
        <v>0</v>
      </c>
      <c r="BN4" s="25">
        <v>0.6</v>
      </c>
      <c r="BO4" s="25">
        <v>17.8</v>
      </c>
      <c r="BP4" s="25">
        <v>10.4</v>
      </c>
      <c r="BQ4" s="25">
        <v>0.2</v>
      </c>
      <c r="BR4" s="25">
        <v>0.6</v>
      </c>
      <c r="BS4" s="45"/>
      <c r="BT4" s="19">
        <f>IF(SUM(AZ4,BD4)&gt;0,SUM(AZ4,BD4),"")</f>
        <v>18.799999999999997</v>
      </c>
      <c r="BU4" s="19">
        <f>IF(SUM(AY4:AZ4,BB4:BD4,BF4)-BA4-BE4&gt;0,SUM(AY4:AZ4,BB4:BD4,BF4)-BA4-BE4,"")</f>
        <v>54.4</v>
      </c>
      <c r="BV4" s="19">
        <f>IF(SUM(BG4:BH4,BJ4)-BI4&gt;0,SUM(BG4:BH4,BJ4)-BI4,"")</f>
        <v>29.1</v>
      </c>
      <c r="BW4" s="19">
        <f>IF(SUM(AZ4,BD4,BH4)&gt;0,SUM(AZ4,BD4,BH4),"")</f>
        <v>27.999999999999996</v>
      </c>
      <c r="BX4" s="19">
        <f>IF(SUM(BU4,BV4)&gt;0,SUM(BU4,BV4),"")</f>
        <v>83.5</v>
      </c>
      <c r="BY4" s="19">
        <f>IF(SUM(BL4,BP4)&gt;0,SUM(BL4,BP4),"")</f>
        <v>20.399999999999999</v>
      </c>
      <c r="BZ4" s="19">
        <f>IF(SUM(BK4:BL4,BN4:BP4,BR4)-SUM(BM4,BQ4)&gt;0,SUM(BK4:BL4,BN4:BP4,BR4)-SUM(BM4,BQ4),"")</f>
        <v>58.2</v>
      </c>
      <c r="CA4" s="19">
        <f>IF(SUM(BU4,BZ4)&gt;0,SUM(BU4,BZ4),"")</f>
        <v>112.6</v>
      </c>
      <c r="CB4" s="26">
        <v>19</v>
      </c>
      <c r="CC4" s="26">
        <v>9.1999999999999993</v>
      </c>
      <c r="CD4" s="26">
        <v>0.3</v>
      </c>
      <c r="CE4" s="26">
        <v>0.3</v>
      </c>
      <c r="CF4" s="26">
        <v>17.8</v>
      </c>
      <c r="CG4" s="26">
        <v>9.3999999999999986</v>
      </c>
      <c r="CH4" s="26">
        <v>0.5</v>
      </c>
      <c r="CI4" s="26">
        <v>0.3</v>
      </c>
      <c r="CJ4" s="26">
        <v>18.700000000000003</v>
      </c>
      <c r="CK4" s="26">
        <v>6</v>
      </c>
      <c r="CL4" s="26">
        <v>0</v>
      </c>
      <c r="CM4" s="26">
        <v>0.15</v>
      </c>
      <c r="CN4" s="26">
        <v>19</v>
      </c>
      <c r="CO4" s="26">
        <v>9.25</v>
      </c>
      <c r="CP4" s="26">
        <v>0</v>
      </c>
      <c r="CQ4" s="26">
        <v>0.44999999999999996</v>
      </c>
      <c r="CR4" s="26">
        <v>18.25</v>
      </c>
      <c r="CS4" s="26">
        <v>9.4</v>
      </c>
      <c r="CT4" s="26">
        <v>0.4</v>
      </c>
      <c r="CU4" s="26">
        <v>0.44999999999999996</v>
      </c>
      <c r="CV4" s="44" t="s">
        <v>46</v>
      </c>
      <c r="CW4" s="78">
        <f>IF(SUM(CC4,CG4)&gt;0,SUM(CC4,CG4),"")</f>
        <v>18.599999999999998</v>
      </c>
      <c r="CX4" s="78">
        <f>IF(SUM(CB4:CC4,CE4:CG4,CI4)-CD4-CH4&gt;0,SUM(CB4:CC4,CE4:CG4,CI4)-CD4-CH4,"")</f>
        <v>55.199999999999996</v>
      </c>
      <c r="CY4" s="78">
        <f>IF(SUM(CJ4:CK4,CM4)-CL4&gt;0,SUM(CJ4:CK4,CM4)-CL4,"")</f>
        <v>24.85</v>
      </c>
      <c r="CZ4" s="78">
        <f>IF(SUM(CC4,CG4,CK4)&gt;0,SUM(CC4,CG4,CK4),"")</f>
        <v>24.599999999999998</v>
      </c>
      <c r="DA4" s="78">
        <f>IF(SUM(CX4,CY4)&gt;0,SUM(CX4,CY4),"")</f>
        <v>80.05</v>
      </c>
      <c r="DB4" s="78">
        <f>IF(SUM(CO4,CS4)&gt;0,SUM(CO4,CS4),"")</f>
        <v>18.649999999999999</v>
      </c>
      <c r="DC4" s="78">
        <f>IF(SUM(CN4:CO4,CQ4:CS4,CU4)-SUM(CP4,CT4)&gt;0,SUM(CN4:CO4,CQ4:CS4,CU4)-SUM(CP4,CT4),"")</f>
        <v>56.400000000000006</v>
      </c>
      <c r="DD4" s="78">
        <f>IF(SUM(CX4,DC4)&gt;0,SUM(CX4,DC4),"")</f>
        <v>111.6</v>
      </c>
      <c r="DE4" s="79">
        <f>IF(K4&gt;=0.001,IF(MAX(EC4,FE4,GG4,HI4,IK4,JM4,KO4,LQ4,MS4,NU4,OW4,PY4)-IF(K4="",0,K4)&gt;0.001,MAX(EC4,FE4,GG4,HI4,IK4,JM4,KO4,LQ4,MS4,NU4,OW4,PY4)-IF(K4="",0,K4),""),"")</f>
        <v>1.9000000000000057</v>
      </c>
      <c r="DF4" s="79" t="str">
        <f>IF(O4&gt;=0.001,IF(MAX(ED4,FF4,GH4,HJ4,IL4,JN4,KP4,LR4,MT4,NV4,OX4,PZ4)-IF(O4="",0,O4)&gt;0.001,MAX(ED4,FF4,GH4,HJ4,IL4,JN4,KP4,LR4,MT4,NV4,OX4,PZ4)-IF(O4="",0,O4),""),"")</f>
        <v/>
      </c>
      <c r="DG4" s="79" t="str">
        <f>IF(Q4&gt;=0.001,IF(MAX(EH4,FJ4,GL4,HN4,IP4,JR4,KT4,LV4,MX4,NZ4,PB4,QD4)-IF(Q4="",0,Q4)&gt;0.001,MAX(EH4,FJ4,GL4,HN4,IP4,JR4,KT4,LV4,MX4,NZ4,PB4,QD4)-IF(Q4="",0,Q4),""),"")</f>
        <v/>
      </c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 t="str">
        <f>IF(SUM(DI4,DM4)&gt;0,SUM(DI4,DM4),"")</f>
        <v/>
      </c>
      <c r="EC4" s="78" t="str">
        <f>IF(SUM(DH4:DI4,DK4:DM4,DO4)-DJ4-DN4&gt;0,SUM(DH4:DI4,DK4:DM4,DO4)-DJ4-DN4,"")</f>
        <v/>
      </c>
      <c r="ED4" s="78" t="str">
        <f>IF(SUM(DP4:DQ4,DS4)-DR4&gt;0,SUM(DP4:DQ4,DS4)-DR4,"")</f>
        <v/>
      </c>
      <c r="EE4" s="78" t="str">
        <f>IF(SUM(DI4,DM4,DQ4)&gt;0,SUM(DI4,DM4,DQ4),"")</f>
        <v/>
      </c>
      <c r="EF4" s="78" t="str">
        <f>IF(SUM(EC4,ED4)&gt;0,SUM(EC4,ED4),"")</f>
        <v/>
      </c>
      <c r="EG4" s="78" t="str">
        <f>IF(SUM(DU4,DY4)&gt;0,SUM(DU4,DY4),"")</f>
        <v/>
      </c>
      <c r="EH4" s="78" t="str">
        <f>IF(SUM(DT4:DU4,DW4:DY4,EA4)-SUM(DV4,DZ4)&gt;0,SUM(DT4:DU4,DW4:DY4,EA4)-SUM(DV4,DZ4),"")</f>
        <v/>
      </c>
      <c r="EI4" s="78" t="str">
        <f>IF(SUM(EC4,EH4)&gt;0,SUM(EC4,EH4),"")</f>
        <v/>
      </c>
      <c r="EJ4" s="25">
        <v>19.100000000000001</v>
      </c>
      <c r="EK4" s="25">
        <v>8.4</v>
      </c>
      <c r="EL4" s="25">
        <v>0.6</v>
      </c>
      <c r="EM4" s="25">
        <v>0</v>
      </c>
      <c r="EN4" s="25">
        <v>18.8</v>
      </c>
      <c r="EO4" s="25">
        <v>10</v>
      </c>
      <c r="EP4" s="25">
        <v>0.2</v>
      </c>
      <c r="EQ4" s="25">
        <v>0.6</v>
      </c>
      <c r="ER4" s="25"/>
      <c r="ES4" s="25"/>
      <c r="ET4" s="25"/>
      <c r="EU4" s="25"/>
      <c r="EV4" s="25">
        <v>19.2</v>
      </c>
      <c r="EW4" s="25">
        <v>9.1999999999999993</v>
      </c>
      <c r="EX4" s="25">
        <v>0</v>
      </c>
      <c r="EY4" s="25">
        <v>0.3</v>
      </c>
      <c r="EZ4" s="25">
        <v>19</v>
      </c>
      <c r="FA4" s="25">
        <v>9.1999999999999993</v>
      </c>
      <c r="FB4" s="25">
        <v>0.6</v>
      </c>
      <c r="FC4" s="25">
        <v>0.3</v>
      </c>
      <c r="FD4" s="19">
        <f>IF(SUM(EK4,EO4)&gt;0,SUM(EK4,EO4),"")</f>
        <v>18.399999999999999</v>
      </c>
      <c r="FE4" s="19">
        <f>IF(SUM(EJ4:EK4,EM4:EO4,EQ4)-EL4-EP4&gt;0,SUM(EJ4:EK4,EM4:EO4,EQ4)-EL4-EP4,"")</f>
        <v>56.099999999999994</v>
      </c>
      <c r="FF4" s="19" t="str">
        <f>IF(SUM(ER4:ES4,EU4)-ET4&gt;0,SUM(ER4:ES4,EU4)-ET4,"")</f>
        <v/>
      </c>
      <c r="FG4" s="19">
        <f>IF(SUM(EK4,EO4,ES4)&gt;0,SUM(EK4,EO4,ES4),"")</f>
        <v>18.399999999999999</v>
      </c>
      <c r="FH4" s="19">
        <f>IF(SUM(FE4,FF4)&gt;0,SUM(FE4,FF4),"")</f>
        <v>56.099999999999994</v>
      </c>
      <c r="FI4" s="19">
        <f>IF(SUM(EW4,FA4)&gt;0,SUM(EW4,FA4),"")</f>
        <v>18.399999999999999</v>
      </c>
      <c r="FJ4" s="19">
        <f>IF(SUM(EV4:EW4,EY4:FA4,FC4)-SUM(EX4,FB4)&gt;0,SUM(EV4:EW4,EY4:FA4,FC4)-SUM(EX4,FB4),"")</f>
        <v>56.6</v>
      </c>
      <c r="FK4" s="19">
        <f>IF(SUM(FE4,FJ4)&gt;0,SUM(FE4,FJ4),"")</f>
        <v>112.69999999999999</v>
      </c>
      <c r="FL4" s="24">
        <v>18.600000000000001</v>
      </c>
      <c r="FM4" s="24">
        <v>9.3000000000000007</v>
      </c>
      <c r="FN4" s="24">
        <v>0.2</v>
      </c>
      <c r="FO4" s="24">
        <v>0.3</v>
      </c>
      <c r="FP4" s="24">
        <v>18.7</v>
      </c>
      <c r="FQ4" s="24">
        <v>10</v>
      </c>
      <c r="FR4" s="24">
        <v>0.2</v>
      </c>
      <c r="FS4" s="24">
        <v>0.6</v>
      </c>
      <c r="FT4" s="24"/>
      <c r="FU4" s="24"/>
      <c r="FV4" s="24"/>
      <c r="FW4" s="24"/>
      <c r="FX4" s="24">
        <v>18.8</v>
      </c>
      <c r="FY4" s="24">
        <v>9.3000000000000007</v>
      </c>
      <c r="FZ4" s="24">
        <v>0.8</v>
      </c>
      <c r="GA4" s="24">
        <v>0.3</v>
      </c>
      <c r="GB4" s="24">
        <v>17.399999999999999</v>
      </c>
      <c r="GC4" s="24">
        <v>5.0999999999999996</v>
      </c>
      <c r="GD4" s="24">
        <v>0</v>
      </c>
      <c r="GE4" s="24">
        <v>0.3</v>
      </c>
      <c r="GF4" s="78">
        <f>IF(SUM(FM4,FQ4)&gt;0,SUM(FM4,FQ4),"")</f>
        <v>19.3</v>
      </c>
      <c r="GG4" s="78">
        <f>IF(SUM(FL4:FM4,FO4:FQ4,FS4)-FN4-FR4&gt;0,SUM(FL4:FM4,FO4:FQ4,FS4)-FN4-FR4,"")</f>
        <v>57.1</v>
      </c>
      <c r="GH4" s="78" t="str">
        <f>IF(SUM(FT4:FU4,FW4)-FV4&gt;0,SUM(FT4:FU4,FW4)-FV4,"")</f>
        <v/>
      </c>
      <c r="GI4" s="78">
        <f>IF(SUM(FM4,FQ4,FU4)&gt;0,SUM(FM4,FQ4,FU4),"")</f>
        <v>19.3</v>
      </c>
      <c r="GJ4" s="78">
        <f>IF(SUM(GG4,GH4)&gt;0,SUM(GG4,GH4),"")</f>
        <v>57.1</v>
      </c>
      <c r="GK4" s="78">
        <f>IF(SUM(FY4,GC4)&gt;0,SUM(FY4,GC4),"")</f>
        <v>14.4</v>
      </c>
      <c r="GL4" s="78">
        <f>IF(SUM(FX4:FY4,GA4:GC4,GE4)-SUM(FZ4,GD4)&gt;0,SUM(FX4:FY4,GA4:GC4,GE4)-SUM(FZ4,GD4),"")</f>
        <v>50.4</v>
      </c>
      <c r="GM4" s="78">
        <f>IF(SUM(GG4,GL4)&gt;0,SUM(GG4,GL4),"")</f>
        <v>107.5</v>
      </c>
      <c r="GN4" s="25">
        <v>17.399999999999999</v>
      </c>
      <c r="GO4" s="25">
        <v>3.2</v>
      </c>
      <c r="GP4" s="25">
        <v>0</v>
      </c>
      <c r="GQ4" s="25">
        <v>0</v>
      </c>
      <c r="GR4" s="25">
        <v>17.399999999999999</v>
      </c>
      <c r="GS4" s="25">
        <v>4.8</v>
      </c>
      <c r="GT4" s="25">
        <v>0</v>
      </c>
      <c r="GU4" s="25">
        <v>0</v>
      </c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19">
        <f>IF(SUM(GO4,GS4)&gt;0,SUM(GO4,GS4),"")</f>
        <v>8</v>
      </c>
      <c r="HI4" s="19">
        <f>IF(SUM(GN4:GO4,GQ4:GS4,GU4)-GP4-GT4&gt;0,SUM(GN4:GO4,GQ4:GS4,GU4)-GP4-GT4,"")</f>
        <v>42.8</v>
      </c>
      <c r="HJ4" s="19" t="str">
        <f>IF(SUM(GV4:GW4,GY4)-GX4&gt;0,SUM(GV4:GW4,GY4)-GX4,"")</f>
        <v/>
      </c>
      <c r="HK4" s="19">
        <f>IF(SUM(GO4,GS4,GW4)&gt;0,SUM(GO4,GS4,GW4),"")</f>
        <v>8</v>
      </c>
      <c r="HL4" s="19">
        <f>IF(SUM(HI4,HJ4)&gt;0,SUM(HI4,HJ4),"")</f>
        <v>42.8</v>
      </c>
      <c r="HM4" s="19" t="str">
        <f>IF(SUM(HA4,HE4)&gt;0,SUM(HA4,HE4),"")</f>
        <v/>
      </c>
      <c r="HN4" s="19" t="str">
        <f>IF(SUM(GZ4:HA4,HC4:HE4,HG4)-SUM(HB4,HF4)&gt;0,SUM(GZ4:HA4,HC4:HE4,HG4)-SUM(HB4,HF4),"")</f>
        <v/>
      </c>
      <c r="HO4" s="19">
        <f>IF(SUM(HI4,HN4)&gt;0,SUM(HI4,HN4),"")</f>
        <v>42.8</v>
      </c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78" t="str">
        <f>IF(SUM(HQ4,HU4)&gt;0,SUM(HQ4,HU4),"")</f>
        <v/>
      </c>
      <c r="IK4" s="78" t="str">
        <f>IF(SUM(HP4:HQ4,HS4:HU4,HW4)-HR4-HV4&gt;0,SUM(HP4:HQ4,HS4:HU4,HW4)-HR4-HV4,"")</f>
        <v/>
      </c>
      <c r="IL4" s="78" t="str">
        <f>IF(SUM(HX4:HY4,IA4)-HZ4&gt;0,SUM(HX4:HY4,IA4)-HZ4,"")</f>
        <v/>
      </c>
      <c r="IM4" s="78" t="str">
        <f>IF(SUM(HQ4,HU4,HY4)&gt;0,SUM(HQ4,HU4,HY4),"")</f>
        <v/>
      </c>
      <c r="IN4" s="78" t="str">
        <f>IF(SUM(IK4,IL4)&gt;0,SUM(IK4,IL4),"")</f>
        <v/>
      </c>
      <c r="IO4" s="78" t="str">
        <f>IF(SUM(IC4,IG4)&gt;0,SUM(IC4,IG4),"")</f>
        <v/>
      </c>
      <c r="IP4" s="78" t="str">
        <f>IF(SUM(IB4:IC4,IE4:IG4,II4)-SUM(ID4,IH4)&gt;0,SUM(IB4:IC4,IE4:IG4,II4)-SUM(ID4,IH4),"")</f>
        <v/>
      </c>
      <c r="IQ4" s="78" t="str">
        <f>IF(SUM(IK4,IP4)&gt;0,SUM(IK4,IP4),"")</f>
        <v/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>IF(SUM(IS4,IW4)&gt;0,SUM(IS4,IW4),"")</f>
        <v/>
      </c>
      <c r="JM4" s="19" t="str">
        <f>IF(SUM(IR4:IS4,IU4:IW4,IY4)-IT4-IX4&gt;0,SUM(IR4:IS4,IU4:IW4,IY4)-IT4-IX4,"")</f>
        <v/>
      </c>
      <c r="JN4" s="19" t="str">
        <f>IF(SUM(IZ4:JA4,JC4)-JB4&gt;0,SUM(IZ4:JA4,JC4)-JB4,"")</f>
        <v/>
      </c>
      <c r="JO4" s="19" t="str">
        <f>IF(SUM(IS4,IW4,JA4)&gt;0,SUM(IS4,IW4,JA4),"")</f>
        <v/>
      </c>
      <c r="JP4" s="19" t="str">
        <f>IF(SUM(JM4,JN4)&gt;0,SUM(JM4,JN4),"")</f>
        <v/>
      </c>
      <c r="JQ4" s="19" t="str">
        <f>IF(SUM(JE4,JI4)&gt;0,SUM(JE4,JI4),"")</f>
        <v/>
      </c>
      <c r="JR4" s="19" t="str">
        <f>IF(SUM(JD4:JE4,JG4:JI4,JK4)-SUM(JF4,JJ4)&gt;0,SUM(JD4:JE4,JG4:JI4,JK4)-SUM(JF4,JJ4),"")</f>
        <v/>
      </c>
      <c r="JS4" s="19" t="str">
        <f>IF(SUM(JM4,JR4)&gt;0,SUM(JM4,JR4),"")</f>
        <v/>
      </c>
      <c r="JT4" s="24">
        <v>18.600000000000001</v>
      </c>
      <c r="JU4" s="24">
        <v>9.1999999999999993</v>
      </c>
      <c r="JV4" s="24">
        <v>0</v>
      </c>
      <c r="JW4" s="24">
        <v>0</v>
      </c>
      <c r="JX4" s="24">
        <v>17.5</v>
      </c>
      <c r="JY4" s="24">
        <v>4.8</v>
      </c>
      <c r="JZ4" s="24">
        <v>0</v>
      </c>
      <c r="KA4" s="24">
        <v>0</v>
      </c>
      <c r="KB4" s="24"/>
      <c r="KC4" s="24"/>
      <c r="KD4" s="24"/>
      <c r="KE4" s="24"/>
      <c r="KF4" s="24">
        <v>18.399999999999999</v>
      </c>
      <c r="KG4" s="24">
        <v>7.6</v>
      </c>
      <c r="KH4" s="24">
        <v>0.2</v>
      </c>
      <c r="KI4" s="24">
        <v>0</v>
      </c>
      <c r="KJ4" s="24"/>
      <c r="KK4" s="24"/>
      <c r="KL4" s="24"/>
      <c r="KM4" s="24"/>
      <c r="KN4" s="78">
        <f>IF(SUM(JU4,JY4)&gt;0,SUM(JU4,JY4),"")</f>
        <v>14</v>
      </c>
      <c r="KO4" s="78">
        <f>IF(SUM(JT4:JU4,JW4:JY4,KA4)-JV4-JZ4&gt;0,SUM(JT4:JU4,JW4:JY4,KA4)-JV4-JZ4,"")</f>
        <v>50.099999999999994</v>
      </c>
      <c r="KP4" s="78" t="str">
        <f>IF(SUM(KB4:KC4,KE4)-KD4&gt;0,SUM(KB4:KC4,KE4)-KD4,"")</f>
        <v/>
      </c>
      <c r="KQ4" s="78">
        <f>IF(SUM(JU4,JY4,KC4)&gt;0,SUM(JU4,JY4,KC4),"")</f>
        <v>14</v>
      </c>
      <c r="KR4" s="78">
        <f>IF(SUM(KO4,KP4)&gt;0,SUM(KO4,KP4),"")</f>
        <v>50.099999999999994</v>
      </c>
      <c r="KS4" s="78">
        <f>IF(SUM(KG4,KK4)&gt;0,SUM(KG4,KK4),"")</f>
        <v>7.6</v>
      </c>
      <c r="KT4" s="78">
        <f>IF(SUM(KF4:KG4,KI4:KK4,KM4)-SUM(KH4,KL4)&gt;0,SUM(KF4:KG4,KI4:KK4,KM4)-SUM(KH4,KL4),"")</f>
        <v>25.8</v>
      </c>
      <c r="KU4" s="78">
        <f>IF(SUM(KO4,KT4)&gt;0,SUM(KO4,KT4),"")</f>
        <v>75.899999999999991</v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19" t="str">
        <f>IF(SUM(KW4,LA4)&gt;0,SUM(KW4,LA4),"")</f>
        <v/>
      </c>
      <c r="LQ4" s="19" t="str">
        <f>IF(SUM(KV4:KW4,KY4:LA4,LC4)-KX4-LB4&gt;0,SUM(KV4:KW4,KY4:LA4,LC4)-KX4-LB4,"")</f>
        <v/>
      </c>
      <c r="LR4" s="19" t="str">
        <f>IF(SUM(LD4:LE4,LG4)-LF4&gt;0,SUM(LD4:LE4,LG4)-LF4,"")</f>
        <v/>
      </c>
      <c r="LS4" s="19" t="str">
        <f>IF(SUM(KW4,LA4,LE4)&gt;0,SUM(KW4,LA4,LE4),"")</f>
        <v/>
      </c>
      <c r="LT4" s="19" t="str">
        <f>IF(SUM(LQ4,LR4)&gt;0,SUM(LQ4,LR4),"")</f>
        <v/>
      </c>
      <c r="LU4" s="19" t="str">
        <f>IF(SUM(LI4,LM4)&gt;0,SUM(LI4,LM4),"")</f>
        <v/>
      </c>
      <c r="LV4" s="19" t="str">
        <f>IF(SUM(LH4:LI4,LK4:LM4,LO4)-SUM(LJ4,LN4)&gt;0,SUM(LH4:LI4,LK4:LM4,LO4)-SUM(LJ4,LN4),"")</f>
        <v/>
      </c>
      <c r="LW4" s="19" t="str">
        <f>IF(SUM(LQ4,LV4)&gt;0,SUM(LQ4,LV4),"")</f>
        <v/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>IF(SUM(LY4,MC4)&gt;0,SUM(LY4,MC4),"")</f>
        <v/>
      </c>
      <c r="MS4" s="78" t="str">
        <f>IF(SUM(LX4:LY4,MA4:MC4,ME4)-LZ4-MD4&gt;0,SUM(LX4:LY4,MA4:MC4,ME4)-LZ4-MD4,"")</f>
        <v/>
      </c>
      <c r="MT4" s="78" t="str">
        <f>IF(SUM(MF4:MG4,MI4)-MH4&gt;0,SUM(MF4:MG4,MI4)-MH4,"")</f>
        <v/>
      </c>
      <c r="MU4" s="78" t="str">
        <f>IF(SUM(LY4,MC4,MG4)&gt;0,SUM(LY4,MC4,MG4),"")</f>
        <v/>
      </c>
      <c r="MV4" s="78" t="str">
        <f>IF(SUM(MS4,MT4)&gt;0,SUM(MS4,MT4),"")</f>
        <v/>
      </c>
      <c r="MW4" s="78" t="str">
        <f>IF(SUM(MK4,MO4)&gt;0,SUM(MK4,MO4),"")</f>
        <v/>
      </c>
      <c r="MX4" s="78" t="str">
        <f>IF(SUM(MJ4:MK4,MM4:MO4,MQ4)-SUM(ML4,MP4)&gt;0,SUM(MJ4:MK4,MM4:MO4,MQ4)-SUM(ML4,MP4),"")</f>
        <v/>
      </c>
      <c r="MY4" s="78" t="str">
        <f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>IF(SUM(NA4,NE4)&gt;0,SUM(NA4,NE4),"")</f>
        <v/>
      </c>
      <c r="NU4" s="19" t="str">
        <f>IF(SUM(MZ4:NA4,NC4:NE4,NG4)-NB4-NF4&gt;0,SUM(MZ4:NA4,NC4:NE4,NG4)-NB4-NF4,"")</f>
        <v/>
      </c>
      <c r="NV4" s="19" t="str">
        <f>IF(SUM(NH4:NI4,NK4)-NJ4&gt;0,SUM(NH4:NI4,NK4)-NJ4,"")</f>
        <v/>
      </c>
      <c r="NW4" s="19" t="str">
        <f>IF(SUM(NA4,NE4,NI4)&gt;0,SUM(NA4,NE4,NI4),"")</f>
        <v/>
      </c>
      <c r="NX4" s="19" t="str">
        <f>IF(SUM(NU4,NV4)&gt;0,SUM(NU4,NV4),"")</f>
        <v/>
      </c>
      <c r="NY4" s="19" t="str">
        <f>IF(SUM(NM4,NQ4)&gt;0,SUM(NM4,NQ4),"")</f>
        <v/>
      </c>
      <c r="NZ4" s="19" t="str">
        <f>IF(SUM(NL4:NM4,NO4:NQ4,NS4)-SUM(NN4,NR4)&gt;0,SUM(NL4:NM4,NO4:NQ4,NS4)-SUM(NN4,NR4),"")</f>
        <v/>
      </c>
      <c r="OA4" s="19" t="str">
        <f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>IF(SUM(OC4,OG4)&gt;0,SUM(OC4,OG4),"")</f>
        <v/>
      </c>
      <c r="OW4" s="78" t="str">
        <f>IF(SUM(OB4:OC4,OE4:OG4,OI4)-OD4-OH4&gt;0,SUM(OB4:OC4,OE4:OG4,OI4)-OD4-OH4,"")</f>
        <v/>
      </c>
      <c r="OX4" s="78" t="str">
        <f>IF(SUM(OJ4:OK4,OM4)-OL4&gt;0,SUM(OJ4:OK4,OM4)-OL4,"")</f>
        <v/>
      </c>
      <c r="OY4" s="78" t="str">
        <f>IF(SUM(OC4,OG4,OK4)&gt;0,SUM(OC4,OG4,OK4),"")</f>
        <v/>
      </c>
      <c r="OZ4" s="78" t="str">
        <f>IF(SUM(OW4,OX4)&gt;0,SUM(OW4,OX4),"")</f>
        <v/>
      </c>
      <c r="PA4" s="78" t="str">
        <f>IF(SUM(OO4,OS4)&gt;0,SUM(OO4,OS4),"")</f>
        <v/>
      </c>
      <c r="PB4" s="78" t="str">
        <f>IF(SUM(ON4:OO4,OQ4:OS4,OU4)-SUM(OP4,OT4)&gt;0,SUM(ON4:OO4,OQ4:OS4,OU4)-SUM(OP4,OT4),"")</f>
        <v/>
      </c>
      <c r="PC4" s="78" t="str">
        <f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>IF(SUM(PE4,PI4)&gt;0,SUM(PE4,PI4),"")</f>
        <v/>
      </c>
      <c r="PY4" s="19" t="str">
        <f>IF(SUM(PD4:PE4,PG4:PI4,PK4)-PF4-PJ4&gt;0,SUM(PD4:PE4,PG4:PI4,PK4)-PF4-PJ4,"")</f>
        <v/>
      </c>
      <c r="PZ4" s="19" t="str">
        <f>IF(SUM(PL4:PM4,PO4)-PN4&gt;0,SUM(PL4:PM4,PO4)-PN4,"")</f>
        <v/>
      </c>
      <c r="QA4" s="19" t="str">
        <f>IF(SUM(PE4,PI4,PM4)&gt;0,SUM(PE4,PI4,PM4),"")</f>
        <v/>
      </c>
      <c r="QB4" s="19" t="str">
        <f>IF(SUM(PY4,PZ4)&gt;0,SUM(PY4,PZ4),"")</f>
        <v/>
      </c>
      <c r="QC4" s="19" t="str">
        <f>IF(SUM(PQ4,PU4)&gt;0,SUM(PQ4,PU4),"")</f>
        <v/>
      </c>
      <c r="QD4" s="19" t="str">
        <f>IF(SUM(PP4:PQ4,PS4:PU4,PW4)-SUM(PR4,PV4)&gt;0,SUM(PP4:PQ4,PS4:PU4,PW4)-SUM(PR4,PV4),"")</f>
        <v/>
      </c>
      <c r="QE4" s="19" t="str">
        <f>IF(SUM(PY4,QD4)&gt;0,SUM(PY4,QD4),"")</f>
        <v/>
      </c>
      <c r="QF4" s="37">
        <f>IF($CV4="P",CB4,(CB4+AY4)/2)</f>
        <v>19</v>
      </c>
      <c r="QG4" s="37">
        <f>IF($CV4="P",CC4,(CC4+AZ4)/2)</f>
        <v>9.1999999999999993</v>
      </c>
      <c r="QH4" s="37">
        <f>IF($CV4="P",CD4,(CD4+BA4)/2)</f>
        <v>0.3</v>
      </c>
      <c r="QI4" s="37">
        <f>IF($CV4="P",CE4,(CE4+BB4)/2)</f>
        <v>0.3</v>
      </c>
      <c r="QJ4" s="37">
        <f>IF($CV4="P",CF4,(CF4+BC4)/2)</f>
        <v>17.8</v>
      </c>
      <c r="QK4" s="37">
        <f>IF($CV4="P",CG4,(CG4+BD4)/2)</f>
        <v>9.3999999999999986</v>
      </c>
      <c r="QL4" s="37">
        <f>IF($CV4="P",CH4,(CH4+BE4)/2)</f>
        <v>0.5</v>
      </c>
      <c r="QM4" s="37">
        <f>IF($CV4="P",CI4,(CI4+BF4)/2)</f>
        <v>0.3</v>
      </c>
      <c r="QN4" s="37">
        <f>IF($CV4="P",CJ4,(CJ4+BG4)/2)</f>
        <v>18.700000000000003</v>
      </c>
      <c r="QO4" s="37">
        <f>IF($CV4="P",CK4,(CK4+BH4)/2)</f>
        <v>6</v>
      </c>
      <c r="QP4" s="37">
        <f>IF($CV4="P",CL4,(CL4+BI4)/2)</f>
        <v>0</v>
      </c>
      <c r="QQ4" s="37">
        <f>IF($CV4="P",CM4,(CM4+BJ4)/2)</f>
        <v>0.15</v>
      </c>
      <c r="QR4" s="37">
        <f>IF($CV4="P",CN4,(CN4+BK4)/2)</f>
        <v>19</v>
      </c>
      <c r="QS4" s="37">
        <f>IF($CV4="P",CO4,(CO4+BL4)/2)</f>
        <v>9.25</v>
      </c>
      <c r="QT4" s="37">
        <f>IF($CV4="P",CP4,(CP4+BM4)/2)</f>
        <v>0</v>
      </c>
      <c r="QU4" s="37">
        <f>IF($CV4="P",CQ4,(CQ4+BN4)/2)</f>
        <v>0.44999999999999996</v>
      </c>
      <c r="QV4" s="37">
        <f>IF($CV4="P",CR4,(CR4+BO4)/2)</f>
        <v>18.25</v>
      </c>
      <c r="QW4" s="37">
        <f>IF($CV4="P",CS4,(CS4+BP4)/2)</f>
        <v>9.4</v>
      </c>
      <c r="QX4" s="37">
        <f>IF($CV4="P",CT4,(CT4+BQ4)/2)</f>
        <v>0.4</v>
      </c>
      <c r="QY4" s="37">
        <f>IF($CV4="P",CU4,(CU4+BR4)/2)</f>
        <v>0.44999999999999996</v>
      </c>
      <c r="QZ4" s="44" t="s">
        <v>46</v>
      </c>
      <c r="RA4" s="78">
        <f>IF(SUM(QG4,QK4)&gt;0,SUM(QG4,QK4),"")</f>
        <v>18.599999999999998</v>
      </c>
      <c r="RB4" s="78">
        <f>IF(SUM(QF4:QG4,QI4:QK4,QM4)-QH4-QL4&gt;0,SUM(QF4:QG4,QI4:QK4,QM4)-QH4-QL4,"")</f>
        <v>55.199999999999996</v>
      </c>
      <c r="RC4" s="78">
        <f>IF(SUM(QN4:QO4,QQ4)-QP4&gt;0,SUM(QN4:QO4,QQ4)-QP4,"")</f>
        <v>24.85</v>
      </c>
      <c r="RD4" s="78">
        <f>IF(SUM(QG4,QK4,QO4)&gt;0,SUM(QG4,QK4,QO4),"")</f>
        <v>24.599999999999998</v>
      </c>
      <c r="RE4" s="78">
        <f>IF(SUM(RB4,RC4)&gt;0,SUM(RB4,RC4),"")</f>
        <v>80.05</v>
      </c>
      <c r="RF4" s="78">
        <f>IF(SUM(QS4,QW4)&gt;0,SUM(QS4,QW4),"")</f>
        <v>18.649999999999999</v>
      </c>
      <c r="RG4" s="78">
        <f>IF(SUM(QR4:QS4,QU4:QW4,QY4)-SUM(QT4,QX4)&gt;0,SUM(QR4:QS4,QU4:QW4,QY4)-SUM(QT4,QX4),"")</f>
        <v>56.400000000000006</v>
      </c>
      <c r="RH4" s="78">
        <f>IF(SUM(RB4,RG4)&gt;0,SUM(RB4,RG4),"")</f>
        <v>111.6</v>
      </c>
    </row>
    <row r="5" spans="1:476" x14ac:dyDescent="0.2">
      <c r="A5" s="5">
        <f>IF(AND(F5="P",G5="P"),SUMPRODUCT((F$4:F$32="P")*(G$4:G$32="P")*(E$4:E$32&gt;E5))+1,IF(G5="P",SUMPRODUCT((F$4:F$32="")*(G$4:G$32="P")*(E$4:E$32&gt;E5))+1+SUMPRODUCT((F$4:F$32="P")*(G$4:G$32="P")),""))</f>
        <v>2</v>
      </c>
      <c r="B5" s="77" t="s">
        <v>68</v>
      </c>
      <c r="C5" s="5" t="s">
        <v>5</v>
      </c>
      <c r="D5" s="5">
        <v>2003</v>
      </c>
      <c r="E5" s="15">
        <f>SUM(I5:S5)+SUM(I5:O5)*0.0000001+SUM(I5)*0.0000000000001</f>
        <v>224.4600165760057</v>
      </c>
      <c r="F5" s="3" t="str">
        <f>IF(OR(AND(AQ5&gt;=AX$34,AR5&gt;=AX$38,AQ5&lt;&gt;"",AP5=""),AND(AV5&gt;=AX$34,AW5&gt;=AX$38,AV5&lt;&gt;"",AP5=""),AND(BT5&gt;=CA$34,BU5&gt;=CA$38,BT5&lt;&gt;"",BS5=""),AND(BY5&gt;=CA$34,BZ5&gt;=CA$38,BY5&lt;&gt;"",BS5=""),AND(CW5&gt;=DD$34,CX5&gt;=DD$38,CW5&lt;&gt;"",CV5=""),AND(DB5&gt;=DD$34,DC5&gt;=DD$38,DB5&lt;&gt;""),AND(EB5&gt;=EI$34,EC5&gt;=EI$38,EB5&lt;&gt;""),AND(EG5&gt;=EI$34,EH5&gt;=EI$38,EG5&lt;&gt;""),AND(FD5&gt;=FK$34,FE5&gt;=FK$38,FD5&lt;&gt;""),AND(FI5&gt;=FK$34,FJ5&gt;=FK$38,FI5&lt;&gt;""),AND(GF5&gt;=GM$34,GG5&gt;=GM$38,GF5&lt;&gt;""),AND(GK5&gt;=GM$34,GL5&gt;=GM$38,GK5&lt;&gt;""),AND(HH5&gt;=HO$34,HI5&gt;=HO$38,HH5&lt;&gt;""),AND(HM5&gt;=HO$34,HN5&gt;=HO$38,HM5&lt;&gt;""),AND(IJ5&gt;=IQ$34,IK5&gt;=IQ$38,IJ5&lt;&gt;""),AND(IO5&gt;=IQ$34,IP5&gt;=IQ$38,IO5&lt;&gt;""),AND(JL5&gt;=JS$34,JM5&gt;=JS$38,JL5&lt;&gt;""),AND(JQ5&gt;=JS$34,JR5&gt;=JS$38,JQ5&lt;&gt;""),AND(KN5&gt;=KU$34,KO5&gt;=KU$38,KN5&lt;&gt;""),AND(KS5&gt;=KU$34,KT5&gt;=KU$38,KS5&lt;&gt;""),AND(LP5&gt;=LW$34,LQ5&gt;=LW$38,LP5&lt;&gt;""),AND(LU5&gt;=LW$34,LV5&gt;=LW$38,LU5&lt;&gt;""),AND(MR5&gt;=MY$34,MS5&gt;=MY$38,MR5&lt;&gt;""),AND(MW5&gt;=MY$34,MX5&gt;=MY$38,MW5&lt;&gt;""),AND(NT5&gt;=OA$34,NU5&gt;=OA$38,NT5&lt;&gt;""),AND(NY5&gt;=OA$34,NZ5&gt;=OA$38,NY5&lt;&gt;""),AND(OV5&gt;=PC$34,OW5&gt;=PC$38,OV5&lt;&gt;""),AND(PA5&gt;=PC$34,PB5&gt;=PC$38,PA5&lt;&gt;""),AND(PX5&gt;=QE$34,PY5&gt;=QE$38,PX5&lt;&gt;""),AND(QC5&gt;=QE$34,QD5&gt;=QE$38,QC5&lt;&gt;"")),"P","")</f>
        <v>P</v>
      </c>
      <c r="G5" s="3" t="str">
        <f>IF(OR(AND(AR5&gt;=AX$38,AR5&lt;&gt;"",AP5=""),AND(AW5&gt;=AX$38,AW5&lt;&gt;"",AP5=""),AND(BU5&gt;=CA$38,BU5&lt;&gt;"",BS5=""),AND(BZ5&gt;=CA$38,BZ5&lt;&gt;"",BS5=""),AND(CX5&gt;=DD$38,CX5&lt;&gt;"",CV5=""),AND(DC5&gt;=DD$38,DC5&lt;&gt;"",CV5=""),AND(EC5&gt;=EI$38,EC5&lt;&gt;""),AND(EH5&gt;=EI$38,EH5&lt;&gt;""),AND(FE5&gt;=FK$38,FE5&lt;&gt;""),AND(FJ5&gt;=FK$38,FJ5&lt;&gt;""),AND(GG5&gt;=GM$38,GG5&lt;&gt;""),AND(GL5&gt;=GM$38,GL5&lt;&gt;""),AND(HI5&gt;=HO$38,HI5&lt;&gt;""),AND(HN5&gt;=HO$38,HN5&lt;&gt;""),AND(IK5&gt;=IQ$38,IK5&lt;&gt;""),AND(IP5&gt;=IQ$38,IP5&lt;&gt;""),AND(JM5&gt;=JS$38,JM5&lt;&gt;""),AND(JR5&gt;=JS$38,JR5&lt;&gt;""),AND(KO5&gt;=KU$38,KO5&lt;&gt;""),AND(KT5&gt;=KU$38,KT5&lt;&gt;""),AND(LQ5&gt;=LW$38,LQ5&lt;&gt;""),AND(LV5&gt;=LW$38,LV5&lt;&gt;""),AND(MS5&gt;=MY$38,MS5&lt;&gt;""),AND(MX5&gt;=MY$38,MX5&lt;&gt;""),AND(NU5&gt;=OA$38,NU5&lt;&gt;""),AND(NZ5&gt;=OA$38,NZ5&lt;&gt;""),AND(OW5&gt;=PC$38,OW5&lt;&gt;""),AND(PB5&gt;=PC$38,PB5&lt;&gt;""),AND(PY5&gt;=QE$38,PY5&lt;&gt;""),AND(QD5&gt;=QE$38,QD5&lt;&gt;"")),"P","")</f>
        <v>P</v>
      </c>
      <c r="H5" s="66" t="str">
        <f>IF(AND(G5="P",F5=""),"No DD",IF(OR(AND(AT5&gt;=AX$37,AU5&gt;=AX$41,AT5&lt;&gt;"",AP5=""),AND(BW5&gt;=CA$37,BX5&gt;=CA$41,BW5&lt;&gt;"",BS5=""),AND(CZ5&gt;=DD$37,DA5&gt;=DD$41,CZ5&lt;&gt;"",CV5=""),AND(EE5&gt;=EI$37,EF5&gt;=EI$41,EE5&lt;&gt;""),AND(FG5&gt;=FK$37,FH5&gt;=FK$41,FG5&lt;&gt;""),AND(GI5&gt;=GM$37,GJ5&gt;=GM$41,GI5&lt;&gt;""),AND(HK5&gt;=HO$37,HL5&gt;=HO$41,HK5&lt;&gt;""),AND(IM5&gt;=IQ$37,IN5&gt;=IQ$41,IM5&lt;&gt;""),AND(JO5&gt;=JS$37,JP5&gt;=JS$41,JO5&lt;&gt;""),AND(KQ5&gt;=KU$37,KR5&gt;=KU$41,KQ5&lt;&gt;""),AND(LS5&gt;=LW$37,LT5&gt;=LW$41,LS5&lt;&gt;""),AND(MU5&gt;=MY$37,MV5&gt;=MY$41,MU5&lt;&gt;""),AND(NW5&gt;=OA$37,NX5&gt;=OA$41,NW5&lt;&gt;""),AND(OY5&gt;=PC$37,OZ5&gt;=PC$41,OY5&lt;&gt;""),AND(QA5&gt;=QE$37,QB5&gt;=QE$41,QA5&lt;&gt;"")),"Merit",IF(OR(AND(AT5&gt;=AX$36,AU5&gt;=AX$40,AT5&lt;&gt;"",AP5=""),AND(BW5&gt;=CA$36,BX5&gt;=CA$40,BW5&lt;&gt;"",BS5=""),AND(CZ5&gt;=DD$36,DA5&gt;=DD$40,CZ5&lt;&gt;"",CV5=""),AND(EE5&gt;=EI$36,EF5&gt;=EI$40,EE5&lt;&gt;""),AND(FG5&gt;=FK$36,FH5&gt;=FK$40,FG5&lt;&gt;""),AND(GI5&gt;=GM$36,GJ5&gt;=GM$40,GI5&lt;&gt;""),AND(HK5&gt;=HO$36,HL5&gt;=HO$40,HK5&lt;&gt;""),AND(IM5&gt;=IQ$36,IN5&gt;=IQ$40,IM5&lt;&gt;""),AND(JO5&gt;=JS$36,JP5&gt;=JS$40,JO5&lt;&gt;""),AND(KQ5&gt;=KU$36,KR5&gt;=KU$40,KQ5&lt;&gt;""),AND(LS5&gt;=LW$36,LT5&gt;=LW$40,LS5&lt;&gt;""),AND(MU5&gt;=MY$36,MV5&gt;=MY$40,MU5&lt;&gt;""),AND(NW5&gt;=OA$36,NX5&gt;=OA$40,NW5&lt;&gt;""),AND(OY5&gt;=PC$36,OZ5&gt;=PC$40,OY5&lt;&gt;""),AND(QA5&gt;=QE$36,QB5&gt;=QE$40,QA5&lt;&gt;"")),"Excellence",IF(F5="P","National Team",""))))</f>
        <v>National Team</v>
      </c>
      <c r="I5" s="14">
        <f>IF(COUNT(AR5,BU5,CX5)&gt;0,LARGE((AR5,BU5,CX5),1),0)</f>
        <v>56.760000000000005</v>
      </c>
      <c r="J5" s="14" t="str">
        <f>IF(I5=0,"",IF(I5=CX5,$CB$1,IF(I5=BU5,$AY$1,IF(I5=AR5,$V$1,""))))</f>
        <v>2022 3rd Domestic Trial</v>
      </c>
      <c r="K5" s="14">
        <f>IF(COUNT(AR5,BU5,CX5)&gt;1,LARGE((AR5,BU5,CX5),2),0)</f>
        <v>54.9</v>
      </c>
      <c r="L5" s="14" t="str">
        <f>IF(K5=0,"",IF(K5=CX5,$CB$1,IF(K5=BU5,$AY$1,IF(K5=AR5,$V$1,""))))</f>
        <v>2022 Nationals</v>
      </c>
      <c r="M5" s="14">
        <f>IF(COUNT(AS5,BV5,CY5)&gt;0,LARGE((AS5,BV5,CY5),1),0)</f>
        <v>28.3</v>
      </c>
      <c r="N5" s="14" t="str">
        <f>IF(M5=0,"",IF(M5=CY5,$CB$1,IF(M5=BV5,$AY$1,IF(M5=AS5,$V$1,""))))</f>
        <v>2022 Nationals</v>
      </c>
      <c r="O5" s="14">
        <f>IF(COUNT(AS5,BV5,CY5)&gt;1,LARGE((AS5,BV5,CY5),2),0)</f>
        <v>25.8</v>
      </c>
      <c r="P5" s="14" t="str">
        <f>IF(O5=0,"",IF(O5=CY5,$CB$1,IF(O5=BV5,$AY$1,IF(O5=AS5,$V$1,""))))</f>
        <v>2022 Elite Canada</v>
      </c>
      <c r="Q5" s="14">
        <f>IF(MAX(AW5,BZ5,DC5)&gt;0,MAX(AW5,BZ5,DC5),0)</f>
        <v>58.699999999999996</v>
      </c>
      <c r="R5" s="14" t="str">
        <f>IF(Q5=0,"",IF(Q5=DC5,$CB$1,IF(Q5=BZ5,$AY$1,IF(Q5=AW5,$V$1,""))))</f>
        <v>2022 Nationals</v>
      </c>
      <c r="S5" s="14" t="str">
        <f>IF(MAX(DE5:DG5)&gt;0,MAX(DE5:DG5),"")</f>
        <v/>
      </c>
      <c r="T5" s="19" t="str">
        <f>IF(S5="","",IF(S5=DE5,"("&amp;DE$2&amp;")",IF(S5=DG5,"("&amp;DG$2&amp;")")))</f>
        <v/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/>
      </c>
      <c r="V5" s="26">
        <v>18.34</v>
      </c>
      <c r="W5" s="26">
        <v>7.2</v>
      </c>
      <c r="X5" s="26">
        <v>0</v>
      </c>
      <c r="Y5" s="26">
        <v>0</v>
      </c>
      <c r="Z5" s="26">
        <v>18.600000000000001</v>
      </c>
      <c r="AA5" s="26">
        <v>8.8000000000000007</v>
      </c>
      <c r="AB5" s="26">
        <v>0</v>
      </c>
      <c r="AC5" s="26">
        <v>0.3</v>
      </c>
      <c r="AD5" s="26">
        <v>18.399999999999999</v>
      </c>
      <c r="AE5" s="26">
        <v>7.1</v>
      </c>
      <c r="AF5" s="26">
        <v>0</v>
      </c>
      <c r="AG5" s="26">
        <v>0.3</v>
      </c>
      <c r="AH5" s="26">
        <v>18.3</v>
      </c>
      <c r="AI5" s="26">
        <v>6.4</v>
      </c>
      <c r="AJ5" s="26">
        <v>0.6</v>
      </c>
      <c r="AK5" s="26">
        <v>0</v>
      </c>
      <c r="AL5" s="26">
        <v>18.8</v>
      </c>
      <c r="AM5" s="26">
        <v>8.8000000000000007</v>
      </c>
      <c r="AN5" s="26">
        <v>0</v>
      </c>
      <c r="AO5" s="26">
        <v>0.3</v>
      </c>
      <c r="AP5" s="44"/>
      <c r="AQ5" s="78">
        <f>IF(SUM(W5,AA5)&gt;0,SUM(W5,AA5),"")</f>
        <v>16</v>
      </c>
      <c r="AR5" s="78">
        <f>IF(SUM(V5:W5,Y5:AA5,AC5)-X5-AB5&gt;0,SUM(V5:W5,Y5:AA5,AC5)-X5-AB5,"")</f>
        <v>53.239999999999995</v>
      </c>
      <c r="AS5" s="78">
        <f>IF(SUM(AD5:AE5,AG5)-AF5&gt;0,SUM(AD5:AE5,AG5)-AF5,"")</f>
        <v>25.8</v>
      </c>
      <c r="AT5" s="78">
        <f>IF(SUM(W5,AA5,AE5)&gt;0,SUM(W5,AA5,AE5),"")</f>
        <v>23.1</v>
      </c>
      <c r="AU5" s="78">
        <f>IF(SUM(AR5,AS5)&gt;0,SUM(AR5,AS5),"")</f>
        <v>79.039999999999992</v>
      </c>
      <c r="AV5" s="78">
        <f>IF(SUM(AI5,AM5)&gt;0,SUM(AI5,AM5),"")</f>
        <v>15.200000000000001</v>
      </c>
      <c r="AW5" s="78">
        <f>IF(SUM(AH5:AI5,AK5:AM5,AO5)-SUM(AJ5,AN5)&gt;0,SUM(AH5:AI5,AK5:AM5,AO5)-SUM(AJ5,AN5),"")</f>
        <v>51.999999999999993</v>
      </c>
      <c r="AX5" s="78">
        <f>IF(SUM(AR5,AW5)&gt;0,SUM(AR5,AW5),"")</f>
        <v>105.23999999999998</v>
      </c>
      <c r="AY5" s="25">
        <v>18.7</v>
      </c>
      <c r="AZ5" s="25">
        <v>9.1999999999999993</v>
      </c>
      <c r="BA5" s="25">
        <v>0.8</v>
      </c>
      <c r="BB5" s="25">
        <v>0.3</v>
      </c>
      <c r="BC5" s="25">
        <v>18.2</v>
      </c>
      <c r="BD5" s="25">
        <v>9.6</v>
      </c>
      <c r="BE5" s="25">
        <v>0.6</v>
      </c>
      <c r="BF5" s="25">
        <v>0.3</v>
      </c>
      <c r="BG5" s="25">
        <v>19.2</v>
      </c>
      <c r="BH5" s="25">
        <v>8.8000000000000007</v>
      </c>
      <c r="BI5" s="25">
        <v>0</v>
      </c>
      <c r="BJ5" s="25">
        <v>0.3</v>
      </c>
      <c r="BK5" s="25">
        <v>17.899999999999999</v>
      </c>
      <c r="BL5" s="25">
        <v>10.8</v>
      </c>
      <c r="BM5" s="25">
        <v>0.2</v>
      </c>
      <c r="BN5" s="25">
        <v>0.6</v>
      </c>
      <c r="BO5" s="25">
        <v>19</v>
      </c>
      <c r="BP5" s="25">
        <v>10</v>
      </c>
      <c r="BQ5" s="25">
        <v>0</v>
      </c>
      <c r="BR5" s="25">
        <v>0.6</v>
      </c>
      <c r="BS5" s="45"/>
      <c r="BT5" s="19">
        <f>IF(SUM(AZ5,BD5)&gt;0,SUM(AZ5,BD5),"")</f>
        <v>18.799999999999997</v>
      </c>
      <c r="BU5" s="19">
        <f>IF(SUM(AY5:AZ5,BB5:BD5,BF5)-BA5-BE5&gt;0,SUM(AY5:AZ5,BB5:BD5,BF5)-BA5-BE5,"")</f>
        <v>54.9</v>
      </c>
      <c r="BV5" s="19">
        <f>IF(SUM(BG5:BH5,BJ5)-BI5&gt;0,SUM(BG5:BH5,BJ5)-BI5,"")</f>
        <v>28.3</v>
      </c>
      <c r="BW5" s="19">
        <f>IF(SUM(AZ5,BD5,BH5)&gt;0,SUM(AZ5,BD5,BH5),"")</f>
        <v>27.599999999999998</v>
      </c>
      <c r="BX5" s="19">
        <f>IF(SUM(BU5,BV5)&gt;0,SUM(BU5,BV5),"")</f>
        <v>83.2</v>
      </c>
      <c r="BY5" s="19">
        <f>IF(SUM(BL5,BP5)&gt;0,SUM(BL5,BP5),"")</f>
        <v>20.8</v>
      </c>
      <c r="BZ5" s="19">
        <f>IF(SUM(BK5:BL5,BN5:BP5,BR5)-SUM(BM5,BQ5)&gt;0,SUM(BK5:BL5,BN5:BP5,BR5)-SUM(BM5,BQ5),"")</f>
        <v>58.699999999999996</v>
      </c>
      <c r="CA5" s="19">
        <f>IF(SUM(BU5,BZ5)&gt;0,SUM(BU5,BZ5),"")</f>
        <v>113.6</v>
      </c>
      <c r="CB5" s="26">
        <v>18.600000000000001</v>
      </c>
      <c r="CC5" s="26">
        <v>9.3000000000000007</v>
      </c>
      <c r="CD5" s="26">
        <v>0.6</v>
      </c>
      <c r="CE5" s="26">
        <v>0.3</v>
      </c>
      <c r="CF5" s="26">
        <v>17.96</v>
      </c>
      <c r="CG5" s="26">
        <v>10.8</v>
      </c>
      <c r="CH5" s="26">
        <v>0.2</v>
      </c>
      <c r="CI5" s="26">
        <v>0.6</v>
      </c>
      <c r="CJ5" s="26">
        <v>17.600000000000001</v>
      </c>
      <c r="CK5" s="26">
        <v>3.6</v>
      </c>
      <c r="CL5" s="26">
        <v>0</v>
      </c>
      <c r="CM5" s="26">
        <v>0</v>
      </c>
      <c r="CN5" s="26">
        <v>17.600000000000001</v>
      </c>
      <c r="CO5" s="26">
        <v>4.8</v>
      </c>
      <c r="CP5" s="26">
        <v>0</v>
      </c>
      <c r="CQ5" s="26">
        <v>0.3</v>
      </c>
      <c r="CR5" s="26">
        <v>18.2</v>
      </c>
      <c r="CS5" s="26">
        <v>9.6</v>
      </c>
      <c r="CT5" s="26">
        <v>0</v>
      </c>
      <c r="CU5" s="26">
        <v>0.3</v>
      </c>
      <c r="CV5" s="44"/>
      <c r="CW5" s="78">
        <f>IF(SUM(CC5,CG5)&gt;0,SUM(CC5,CG5),"")</f>
        <v>20.100000000000001</v>
      </c>
      <c r="CX5" s="78">
        <f>IF(SUM(CB5:CC5,CE5:CG5,CI5)-CD5-CH5&gt;0,SUM(CB5:CC5,CE5:CG5,CI5)-CD5-CH5,"")</f>
        <v>56.760000000000005</v>
      </c>
      <c r="CY5" s="78">
        <f>IF(SUM(CJ5:CK5,CM5)-CL5&gt;0,SUM(CJ5:CK5,CM5)-CL5,"")</f>
        <v>21.200000000000003</v>
      </c>
      <c r="CZ5" s="78">
        <f>IF(SUM(CC5,CG5,CK5)&gt;0,SUM(CC5,CG5,CK5),"")</f>
        <v>23.700000000000003</v>
      </c>
      <c r="DA5" s="78">
        <f>IF(SUM(CX5,CY5)&gt;0,SUM(CX5,CY5),"")</f>
        <v>77.960000000000008</v>
      </c>
      <c r="DB5" s="78">
        <f>IF(SUM(CO5,CS5)&gt;0,SUM(CO5,CS5),"")</f>
        <v>14.399999999999999</v>
      </c>
      <c r="DC5" s="78">
        <f>IF(SUM(CN5:CO5,CQ5:CS5,CU5)-SUM(CP5,CT5)&gt;0,SUM(CN5:CO5,CQ5:CS5,CU5)-SUM(CP5,CT5),"")</f>
        <v>50.800000000000004</v>
      </c>
      <c r="DD5" s="78">
        <f>IF(SUM(CX5,DC5)&gt;0,SUM(CX5,DC5),"")</f>
        <v>107.56</v>
      </c>
      <c r="DE5" s="79" t="str">
        <f>IF(K5&gt;=0.001,IF(MAX(EC5,FE5,GG5,HI5,IK5,JM5,KO5,LQ5,MS5,NU5,OW5,PY5)-IF(K5="",0,K5)&gt;0.001,MAX(EC5,FE5,GG5,HI5,IK5,JM5,KO5,LQ5,MS5,NU5,OW5,PY5)-IF(K5="",0,K5),""),"")</f>
        <v/>
      </c>
      <c r="DF5" s="79" t="str">
        <f>IF(O5&gt;=0.001,IF(MAX(ED5,FF5,GH5,HJ5,IL5,JN5,KP5,LR5,MT5,NV5,OX5,PZ5)-IF(O5="",0,O5)&gt;0.001,MAX(ED5,FF5,GH5,HJ5,IL5,JN5,KP5,LR5,MT5,NV5,OX5,PZ5)-IF(O5="",0,O5),""),"")</f>
        <v/>
      </c>
      <c r="DG5" s="79" t="str">
        <f>IF(Q5&gt;=0.001,IF(MAX(EH5,FJ5,GL5,HN5,IP5,JR5,KT5,LV5,MX5,NZ5,PB5,QD5)-IF(Q5="",0,Q5)&gt;0.001,MAX(EH5,FJ5,GL5,HN5,IP5,JR5,KT5,LV5,MX5,NZ5,PB5,QD5)-IF(Q5="",0,Q5),""),"")</f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>IF(SUM(DI5,DM5)&gt;0,SUM(DI5,DM5),"")</f>
        <v/>
      </c>
      <c r="EC5" s="78" t="str">
        <f>IF(SUM(DH5:DI5,DK5:DM5,DO5)-DJ5-DN5&gt;0,SUM(DH5:DI5,DK5:DM5,DO5)-DJ5-DN5,"")</f>
        <v/>
      </c>
      <c r="ED5" s="78" t="str">
        <f>IF(SUM(DP5:DQ5,DS5)-DR5&gt;0,SUM(DP5:DQ5,DS5)-DR5,"")</f>
        <v/>
      </c>
      <c r="EE5" s="78" t="str">
        <f>IF(SUM(DI5,DM5,DQ5)&gt;0,SUM(DI5,DM5,DQ5),"")</f>
        <v/>
      </c>
      <c r="EF5" s="78" t="str">
        <f>IF(SUM(EC5,ED5)&gt;0,SUM(EC5,ED5),"")</f>
        <v/>
      </c>
      <c r="EG5" s="78" t="str">
        <f>IF(SUM(DU5,DY5)&gt;0,SUM(DU5,DY5),"")</f>
        <v/>
      </c>
      <c r="EH5" s="78" t="str">
        <f>IF(SUM(DT5:DU5,DW5:DY5,EA5)-SUM(DV5,DZ5)&gt;0,SUM(DT5:DU5,DW5:DY5,EA5)-SUM(DV5,DZ5),"")</f>
        <v/>
      </c>
      <c r="EI5" s="78" t="str">
        <f>IF(SUM(EC5,EH5)&gt;0,SUM(EC5,EH5),"")</f>
        <v/>
      </c>
      <c r="EJ5" s="25">
        <v>18.96</v>
      </c>
      <c r="EK5" s="25">
        <v>9.1999999999999993</v>
      </c>
      <c r="EL5" s="25">
        <v>0.6</v>
      </c>
      <c r="EM5" s="25">
        <v>0.3</v>
      </c>
      <c r="EN5" s="25">
        <v>17.3</v>
      </c>
      <c r="EO5" s="25">
        <v>4.8</v>
      </c>
      <c r="EP5" s="25">
        <v>0</v>
      </c>
      <c r="EQ5" s="25">
        <v>0.3</v>
      </c>
      <c r="ER5" s="25"/>
      <c r="ES5" s="25"/>
      <c r="ET5" s="25"/>
      <c r="EU5" s="25"/>
      <c r="EV5" s="25">
        <v>18.899999999999999</v>
      </c>
      <c r="EW5" s="25">
        <v>9.1999999999999993</v>
      </c>
      <c r="EX5" s="25">
        <v>0.6</v>
      </c>
      <c r="EY5" s="25">
        <v>0.3</v>
      </c>
      <c r="EZ5" s="25">
        <v>19.2</v>
      </c>
      <c r="FA5" s="25">
        <v>8</v>
      </c>
      <c r="FB5" s="25">
        <v>0</v>
      </c>
      <c r="FC5" s="25">
        <v>0</v>
      </c>
      <c r="FD5" s="19">
        <f>IF(SUM(EK5,EO5)&gt;0,SUM(EK5,EO5),"")</f>
        <v>14</v>
      </c>
      <c r="FE5" s="19">
        <f>IF(SUM(EJ5:EK5,EM5:EO5,EQ5)-EL5-EP5&gt;0,SUM(EJ5:EK5,EM5:EO5,EQ5)-EL5-EP5,"")</f>
        <v>50.26</v>
      </c>
      <c r="FF5" s="19" t="str">
        <f>IF(SUM(ER5:ES5,EU5)-ET5&gt;0,SUM(ER5:ES5,EU5)-ET5,"")</f>
        <v/>
      </c>
      <c r="FG5" s="19">
        <f>IF(SUM(EK5,EO5,ES5)&gt;0,SUM(EK5,EO5,ES5),"")</f>
        <v>14</v>
      </c>
      <c r="FH5" s="19">
        <f>IF(SUM(FE5,FF5)&gt;0,SUM(FE5,FF5),"")</f>
        <v>50.26</v>
      </c>
      <c r="FI5" s="19">
        <f>IF(SUM(EW5,FA5)&gt;0,SUM(EW5,FA5),"")</f>
        <v>17.2</v>
      </c>
      <c r="FJ5" s="19">
        <f>IF(SUM(EV5:EW5,EY5:FA5,FC5)-SUM(EX5,FB5)&gt;0,SUM(EV5:EW5,EY5:FA5,FC5)-SUM(EX5,FB5),"")</f>
        <v>54.999999999999993</v>
      </c>
      <c r="FK5" s="19">
        <f>IF(SUM(FE5,FJ5)&gt;0,SUM(FE5,FJ5),"")</f>
        <v>105.25999999999999</v>
      </c>
      <c r="FL5" s="24">
        <v>18.600000000000001</v>
      </c>
      <c r="FM5" s="24">
        <v>7.2</v>
      </c>
      <c r="FN5" s="24">
        <v>0</v>
      </c>
      <c r="FO5" s="24">
        <v>0</v>
      </c>
      <c r="FP5" s="24">
        <v>19.100000000000001</v>
      </c>
      <c r="FQ5" s="24">
        <v>8.4</v>
      </c>
      <c r="FR5" s="24">
        <v>0.2</v>
      </c>
      <c r="FS5" s="24">
        <v>0</v>
      </c>
      <c r="FT5" s="24"/>
      <c r="FU5" s="24"/>
      <c r="FV5" s="24"/>
      <c r="FW5" s="24"/>
      <c r="FX5" s="24">
        <v>18.2</v>
      </c>
      <c r="FY5" s="24">
        <v>6.4</v>
      </c>
      <c r="FZ5" s="24">
        <v>0.8</v>
      </c>
      <c r="GA5" s="24">
        <v>0</v>
      </c>
      <c r="GB5" s="24">
        <v>17.600000000000001</v>
      </c>
      <c r="GC5" s="24">
        <v>4</v>
      </c>
      <c r="GD5" s="24">
        <v>0</v>
      </c>
      <c r="GE5" s="24">
        <v>0</v>
      </c>
      <c r="GF5" s="78">
        <f>IF(SUM(FM5,FQ5)&gt;0,SUM(FM5,FQ5),"")</f>
        <v>15.600000000000001</v>
      </c>
      <c r="GG5" s="78">
        <f>IF(SUM(FL5:FM5,FO5:FQ5,FS5)-FN5-FR5&gt;0,SUM(FL5:FM5,FO5:FQ5,FS5)-FN5-FR5,"")</f>
        <v>53.1</v>
      </c>
      <c r="GH5" s="78" t="str">
        <f>IF(SUM(FT5:FU5,FW5)-FV5&gt;0,SUM(FT5:FU5,FW5)-FV5,"")</f>
        <v/>
      </c>
      <c r="GI5" s="78">
        <f>IF(SUM(FM5,FQ5,FU5)&gt;0,SUM(FM5,FQ5,FU5),"")</f>
        <v>15.600000000000001</v>
      </c>
      <c r="GJ5" s="78">
        <f>IF(SUM(GG5,GH5)&gt;0,SUM(GG5,GH5),"")</f>
        <v>53.1</v>
      </c>
      <c r="GK5" s="78">
        <f>IF(SUM(FY5,GC5)&gt;0,SUM(FY5,GC5),"")</f>
        <v>10.4</v>
      </c>
      <c r="GL5" s="78">
        <f>IF(SUM(FX5:FY5,GA5:GC5,GE5)-SUM(FZ5,GD5)&gt;0,SUM(FX5:FY5,GA5:GC5,GE5)-SUM(FZ5,GD5),"")</f>
        <v>45.400000000000006</v>
      </c>
      <c r="GM5" s="78">
        <f>IF(SUM(GG5,GL5)&gt;0,SUM(GG5,GL5),"")</f>
        <v>98.5</v>
      </c>
      <c r="GN5" s="25">
        <v>18.600000000000001</v>
      </c>
      <c r="GO5" s="25">
        <v>8.8000000000000007</v>
      </c>
      <c r="GP5" s="25">
        <v>0.6</v>
      </c>
      <c r="GQ5" s="25">
        <v>0</v>
      </c>
      <c r="GR5" s="25">
        <v>18.8</v>
      </c>
      <c r="GS5" s="25">
        <v>8.4</v>
      </c>
      <c r="GT5" s="25">
        <v>0</v>
      </c>
      <c r="GU5" s="25">
        <v>0</v>
      </c>
      <c r="GV5" s="25"/>
      <c r="GW5" s="25"/>
      <c r="GX5" s="25"/>
      <c r="GY5" s="25"/>
      <c r="GZ5" s="25">
        <v>18.2</v>
      </c>
      <c r="HA5" s="25">
        <v>8</v>
      </c>
      <c r="HB5" s="25">
        <v>0</v>
      </c>
      <c r="HC5" s="25">
        <v>0</v>
      </c>
      <c r="HD5" s="25"/>
      <c r="HE5" s="25"/>
      <c r="HF5" s="25"/>
      <c r="HG5" s="25"/>
      <c r="HH5" s="19">
        <f>IF(SUM(GO5,GS5)&gt;0,SUM(GO5,GS5),"")</f>
        <v>17.200000000000003</v>
      </c>
      <c r="HI5" s="19">
        <f>IF(SUM(GN5:GO5,GQ5:GS5,GU5)-GP5-GT5&gt;0,SUM(GN5:GO5,GQ5:GS5,GU5)-GP5-GT5,"")</f>
        <v>54</v>
      </c>
      <c r="HJ5" s="19" t="str">
        <f>IF(SUM(GV5:GW5,GY5)-GX5&gt;0,SUM(GV5:GW5,GY5)-GX5,"")</f>
        <v/>
      </c>
      <c r="HK5" s="19">
        <f>IF(SUM(GO5,GS5,GW5)&gt;0,SUM(GO5,GS5,GW5),"")</f>
        <v>17.200000000000003</v>
      </c>
      <c r="HL5" s="19">
        <f>IF(SUM(HI5,HJ5)&gt;0,SUM(HI5,HJ5),"")</f>
        <v>54</v>
      </c>
      <c r="HM5" s="19">
        <f>IF(SUM(HA5,HE5)&gt;0,SUM(HA5,HE5),"")</f>
        <v>8</v>
      </c>
      <c r="HN5" s="19">
        <f>IF(SUM(GZ5:HA5,HC5:HE5,HG5)-SUM(HB5,HF5)&gt;0,SUM(GZ5:HA5,HC5:HE5,HG5)-SUM(HB5,HF5),"")</f>
        <v>26.2</v>
      </c>
      <c r="HO5" s="19">
        <f>IF(SUM(HI5,HN5)&gt;0,SUM(HI5,HN5),"")</f>
        <v>80.2</v>
      </c>
      <c r="HP5" s="24">
        <v>19</v>
      </c>
      <c r="HQ5" s="24">
        <v>8.8000000000000007</v>
      </c>
      <c r="HR5" s="24">
        <v>0.6</v>
      </c>
      <c r="HS5" s="24">
        <v>0</v>
      </c>
      <c r="HT5" s="24">
        <v>19</v>
      </c>
      <c r="HU5" s="24">
        <v>8.4</v>
      </c>
      <c r="HV5" s="24">
        <v>0.2</v>
      </c>
      <c r="HW5" s="24">
        <v>0</v>
      </c>
      <c r="HX5" s="24"/>
      <c r="HY5" s="24"/>
      <c r="HZ5" s="24"/>
      <c r="IA5" s="24"/>
      <c r="IB5" s="24">
        <v>19</v>
      </c>
      <c r="IC5" s="24">
        <v>8.8000000000000007</v>
      </c>
      <c r="ID5" s="24">
        <v>0</v>
      </c>
      <c r="IE5" s="24">
        <v>0</v>
      </c>
      <c r="IF5" s="24">
        <v>18.399999999999999</v>
      </c>
      <c r="IG5" s="24">
        <v>8.6999999999999993</v>
      </c>
      <c r="IH5" s="24">
        <v>0.6</v>
      </c>
      <c r="II5" s="24">
        <v>0</v>
      </c>
      <c r="IJ5" s="78">
        <f>IF(SUM(HQ5,HU5)&gt;0,SUM(HQ5,HU5),"")</f>
        <v>17.200000000000003</v>
      </c>
      <c r="IK5" s="78">
        <f>IF(SUM(HP5:HQ5,HS5:HU5,HW5)-HR5-HV5&gt;0,SUM(HP5:HQ5,HS5:HU5,HW5)-HR5-HV5,"")</f>
        <v>54.399999999999991</v>
      </c>
      <c r="IL5" s="78" t="str">
        <f>IF(SUM(HX5:HY5,IA5)-HZ5&gt;0,SUM(HX5:HY5,IA5)-HZ5,"")</f>
        <v/>
      </c>
      <c r="IM5" s="78">
        <f>IF(SUM(HQ5,HU5,HY5)&gt;0,SUM(HQ5,HU5,HY5),"")</f>
        <v>17.200000000000003</v>
      </c>
      <c r="IN5" s="78">
        <f>IF(SUM(IK5,IL5)&gt;0,SUM(IK5,IL5),"")</f>
        <v>54.399999999999991</v>
      </c>
      <c r="IO5" s="78">
        <f>IF(SUM(IC5,IG5)&gt;0,SUM(IC5,IG5),"")</f>
        <v>17.5</v>
      </c>
      <c r="IP5" s="78">
        <f>IF(SUM(IB5:IC5,IE5:IG5,II5)-SUM(ID5,IH5)&gt;0,SUM(IB5:IC5,IE5:IG5,II5)-SUM(ID5,IH5),"")</f>
        <v>54.300000000000004</v>
      </c>
      <c r="IQ5" s="78">
        <f>IF(SUM(IK5,IP5)&gt;0,SUM(IK5,IP5),"")</f>
        <v>108.69999999999999</v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>IF(SUM(IS5,IW5)&gt;0,SUM(IS5,IW5),"")</f>
        <v/>
      </c>
      <c r="JM5" s="19" t="str">
        <f>IF(SUM(IR5:IS5,IU5:IW5,IY5)-IT5-IX5&gt;0,SUM(IR5:IS5,IU5:IW5,IY5)-IT5-IX5,"")</f>
        <v/>
      </c>
      <c r="JN5" s="19" t="str">
        <f>IF(SUM(IZ5:JA5,JC5)-JB5&gt;0,SUM(IZ5:JA5,JC5)-JB5,"")</f>
        <v/>
      </c>
      <c r="JO5" s="19" t="str">
        <f>IF(SUM(IS5,IW5,JA5)&gt;0,SUM(IS5,IW5,JA5),"")</f>
        <v/>
      </c>
      <c r="JP5" s="19" t="str">
        <f>IF(SUM(JM5,JN5)&gt;0,SUM(JM5,JN5),"")</f>
        <v/>
      </c>
      <c r="JQ5" s="19" t="str">
        <f>IF(SUM(JE5,JI5)&gt;0,SUM(JE5,JI5),"")</f>
        <v/>
      </c>
      <c r="JR5" s="19" t="str">
        <f>IF(SUM(JD5:JE5,JG5:JI5,JK5)-SUM(JF5,JJ5)&gt;0,SUM(JD5:JE5,JG5:JI5,JK5)-SUM(JF5,JJ5),"")</f>
        <v/>
      </c>
      <c r="JS5" s="19" t="str">
        <f>IF(SUM(JM5,JR5)&gt;0,SUM(JM5,JR5),"")</f>
        <v/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>IF(SUM(JU5,JY5)&gt;0,SUM(JU5,JY5),"")</f>
        <v/>
      </c>
      <c r="KO5" s="78" t="str">
        <f>IF(SUM(JT5:JU5,JW5:JY5,KA5)-JV5-JZ5&gt;0,SUM(JT5:JU5,JW5:JY5,KA5)-JV5-JZ5,"")</f>
        <v/>
      </c>
      <c r="KP5" s="78" t="str">
        <f>IF(SUM(KB5:KC5,KE5)-KD5&gt;0,SUM(KB5:KC5,KE5)-KD5,"")</f>
        <v/>
      </c>
      <c r="KQ5" s="78" t="str">
        <f>IF(SUM(JU5,JY5,KC5)&gt;0,SUM(JU5,JY5,KC5),"")</f>
        <v/>
      </c>
      <c r="KR5" s="78" t="str">
        <f>IF(SUM(KO5,KP5)&gt;0,SUM(KO5,KP5),"")</f>
        <v/>
      </c>
      <c r="KS5" s="78" t="str">
        <f>IF(SUM(KG5,KK5)&gt;0,SUM(KG5,KK5),"")</f>
        <v/>
      </c>
      <c r="KT5" s="78" t="str">
        <f>IF(SUM(KF5:KG5,KI5:KK5,KM5)-SUM(KH5,KL5)&gt;0,SUM(KF5:KG5,KI5:KK5,KM5)-SUM(KH5,KL5),"")</f>
        <v/>
      </c>
      <c r="KU5" s="78" t="str">
        <f>IF(SUM(KO5,KT5)&gt;0,SUM(KO5,KT5),"")</f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>IF(SUM(KW5,LA5)&gt;0,SUM(KW5,LA5),"")</f>
        <v/>
      </c>
      <c r="LQ5" s="19" t="str">
        <f>IF(SUM(KV5:KW5,KY5:LA5,LC5)-KX5-LB5&gt;0,SUM(KV5:KW5,KY5:LA5,LC5)-KX5-LB5,"")</f>
        <v/>
      </c>
      <c r="LR5" s="19" t="str">
        <f>IF(SUM(LD5:LE5,LG5)-LF5&gt;0,SUM(LD5:LE5,LG5)-LF5,"")</f>
        <v/>
      </c>
      <c r="LS5" s="19" t="str">
        <f>IF(SUM(KW5,LA5,LE5)&gt;0,SUM(KW5,LA5,LE5),"")</f>
        <v/>
      </c>
      <c r="LT5" s="19" t="str">
        <f>IF(SUM(LQ5,LR5)&gt;0,SUM(LQ5,LR5),"")</f>
        <v/>
      </c>
      <c r="LU5" s="19" t="str">
        <f>IF(SUM(LI5,LM5)&gt;0,SUM(LI5,LM5),"")</f>
        <v/>
      </c>
      <c r="LV5" s="19" t="str">
        <f>IF(SUM(LH5:LI5,LK5:LM5,LO5)-SUM(LJ5,LN5)&gt;0,SUM(LH5:LI5,LK5:LM5,LO5)-SUM(LJ5,LN5),"")</f>
        <v/>
      </c>
      <c r="LW5" s="19" t="str">
        <f>IF(SUM(LQ5,LV5)&gt;0,SUM(LQ5,LV5),"")</f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>IF(SUM(LY5,MC5)&gt;0,SUM(LY5,MC5),"")</f>
        <v/>
      </c>
      <c r="MS5" s="78" t="str">
        <f>IF(SUM(LX5:LY5,MA5:MC5,ME5)-LZ5-MD5&gt;0,SUM(LX5:LY5,MA5:MC5,ME5)-LZ5-MD5,"")</f>
        <v/>
      </c>
      <c r="MT5" s="78" t="str">
        <f>IF(SUM(MF5:MG5,MI5)-MH5&gt;0,SUM(MF5:MG5,MI5)-MH5,"")</f>
        <v/>
      </c>
      <c r="MU5" s="78" t="str">
        <f>IF(SUM(LY5,MC5,MG5)&gt;0,SUM(LY5,MC5,MG5),"")</f>
        <v/>
      </c>
      <c r="MV5" s="78" t="str">
        <f>IF(SUM(MS5,MT5)&gt;0,SUM(MS5,MT5),"")</f>
        <v/>
      </c>
      <c r="MW5" s="78" t="str">
        <f>IF(SUM(MK5,MO5)&gt;0,SUM(MK5,MO5),"")</f>
        <v/>
      </c>
      <c r="MX5" s="78" t="str">
        <f>IF(SUM(MJ5:MK5,MM5:MO5,MQ5)-SUM(ML5,MP5)&gt;0,SUM(MJ5:MK5,MM5:MO5,MQ5)-SUM(ML5,MP5),"")</f>
        <v/>
      </c>
      <c r="MY5" s="78" t="str">
        <f>IF(SUM(MS5,MX5)&gt;0,SUM(MS5,MX5),"")</f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>IF(SUM(NA5,NE5)&gt;0,SUM(NA5,NE5),"")</f>
        <v/>
      </c>
      <c r="NU5" s="19" t="str">
        <f>IF(SUM(MZ5:NA5,NC5:NE5,NG5)-NB5-NF5&gt;0,SUM(MZ5:NA5,NC5:NE5,NG5)-NB5-NF5,"")</f>
        <v/>
      </c>
      <c r="NV5" s="19" t="str">
        <f>IF(SUM(NH5:NI5,NK5)-NJ5&gt;0,SUM(NH5:NI5,NK5)-NJ5,"")</f>
        <v/>
      </c>
      <c r="NW5" s="19" t="str">
        <f>IF(SUM(NA5,NE5,NI5)&gt;0,SUM(NA5,NE5,NI5),"")</f>
        <v/>
      </c>
      <c r="NX5" s="19" t="str">
        <f>IF(SUM(NU5,NV5)&gt;0,SUM(NU5,NV5),"")</f>
        <v/>
      </c>
      <c r="NY5" s="19" t="str">
        <f>IF(SUM(NM5,NQ5)&gt;0,SUM(NM5,NQ5),"")</f>
        <v/>
      </c>
      <c r="NZ5" s="19" t="str">
        <f>IF(SUM(NL5:NM5,NO5:NQ5,NS5)-SUM(NN5,NR5)&gt;0,SUM(NL5:NM5,NO5:NQ5,NS5)-SUM(NN5,NR5),"")</f>
        <v/>
      </c>
      <c r="OA5" s="19" t="str">
        <f>IF(SUM(NU5,NZ5)&gt;0,SUM(NU5,NZ5),"")</f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>IF(SUM(OC5,OG5)&gt;0,SUM(OC5,OG5),"")</f>
        <v/>
      </c>
      <c r="OW5" s="78" t="str">
        <f>IF(SUM(OB5:OC5,OE5:OG5,OI5)-OD5-OH5&gt;0,SUM(OB5:OC5,OE5:OG5,OI5)-OD5-OH5,"")</f>
        <v/>
      </c>
      <c r="OX5" s="78" t="str">
        <f>IF(SUM(OJ5:OK5,OM5)-OL5&gt;0,SUM(OJ5:OK5,OM5)-OL5,"")</f>
        <v/>
      </c>
      <c r="OY5" s="78" t="str">
        <f>IF(SUM(OC5,OG5,OK5)&gt;0,SUM(OC5,OG5,OK5),"")</f>
        <v/>
      </c>
      <c r="OZ5" s="78" t="str">
        <f>IF(SUM(OW5,OX5)&gt;0,SUM(OW5,OX5),"")</f>
        <v/>
      </c>
      <c r="PA5" s="78" t="str">
        <f>IF(SUM(OO5,OS5)&gt;0,SUM(OO5,OS5),"")</f>
        <v/>
      </c>
      <c r="PB5" s="78" t="str">
        <f>IF(SUM(ON5:OO5,OQ5:OS5,OU5)-SUM(OP5,OT5)&gt;0,SUM(ON5:OO5,OQ5:OS5,OU5)-SUM(OP5,OT5),"")</f>
        <v/>
      </c>
      <c r="PC5" s="78" t="str">
        <f>IF(SUM(OW5,PB5)&gt;0,SUM(OW5,PB5),"")</f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>IF(SUM(PE5,PI5)&gt;0,SUM(PE5,PI5),"")</f>
        <v/>
      </c>
      <c r="PY5" s="19" t="str">
        <f>IF(SUM(PD5:PE5,PG5:PI5,PK5)-PF5-PJ5&gt;0,SUM(PD5:PE5,PG5:PI5,PK5)-PF5-PJ5,"")</f>
        <v/>
      </c>
      <c r="PZ5" s="19" t="str">
        <f>IF(SUM(PL5:PM5,PO5)-PN5&gt;0,SUM(PL5:PM5,PO5)-PN5,"")</f>
        <v/>
      </c>
      <c r="QA5" s="19" t="str">
        <f>IF(SUM(PE5,PI5,PM5)&gt;0,SUM(PE5,PI5,PM5),"")</f>
        <v/>
      </c>
      <c r="QB5" s="19" t="str">
        <f>IF(SUM(PY5,PZ5)&gt;0,SUM(PY5,PZ5),"")</f>
        <v/>
      </c>
      <c r="QC5" s="19" t="str">
        <f>IF(SUM(PQ5,PU5)&gt;0,SUM(PQ5,PU5),"")</f>
        <v/>
      </c>
      <c r="QD5" s="19" t="str">
        <f>IF(SUM(PP5:PQ5,PS5:PU5,PW5)-SUM(PR5,PV5)&gt;0,SUM(PP5:PQ5,PS5:PU5,PW5)-SUM(PR5,PV5),"")</f>
        <v/>
      </c>
      <c r="QE5" s="19" t="str">
        <f>IF(SUM(PY5,QD5)&gt;0,SUM(PY5,QD5),"")</f>
        <v/>
      </c>
      <c r="QF5" s="37">
        <f>IF($CV5="P",CB5,(CB5+AY5)/2)</f>
        <v>18.649999999999999</v>
      </c>
      <c r="QG5" s="37">
        <f>IF($CV5="P",CC5,(CC5+AZ5)/2)</f>
        <v>9.25</v>
      </c>
      <c r="QH5" s="37">
        <f>IF($CV5="P",CD5,(CD5+BA5)/2)</f>
        <v>0.7</v>
      </c>
      <c r="QI5" s="37">
        <f>IF($CV5="P",CE5,(CE5+BB5)/2)</f>
        <v>0.3</v>
      </c>
      <c r="QJ5" s="37">
        <f>IF($CV5="P",CF5,(CF5+BC5)/2)</f>
        <v>18.079999999999998</v>
      </c>
      <c r="QK5" s="37">
        <f>IF($CV5="P",CG5,(CG5+BD5)/2)</f>
        <v>10.199999999999999</v>
      </c>
      <c r="QL5" s="37">
        <f>IF($CV5="P",CH5,(CH5+BE5)/2)</f>
        <v>0.4</v>
      </c>
      <c r="QM5" s="37">
        <f>IF($CV5="P",CI5,(CI5+BF5)/2)</f>
        <v>0.44999999999999996</v>
      </c>
      <c r="QN5" s="37">
        <f>IF($CV5="P",CJ5,(CJ5+BG5)/2)</f>
        <v>18.399999999999999</v>
      </c>
      <c r="QO5" s="37">
        <f>IF($CV5="P",CK5,(CK5+BH5)/2)</f>
        <v>6.2</v>
      </c>
      <c r="QP5" s="37">
        <f>IF($CV5="P",CL5,(CL5+BI5)/2)</f>
        <v>0</v>
      </c>
      <c r="QQ5" s="37">
        <f>IF($CV5="P",CM5,(CM5+BJ5)/2)</f>
        <v>0.15</v>
      </c>
      <c r="QR5" s="37">
        <f>IF($CV5="P",CN5,(CN5+BK5)/2)</f>
        <v>17.75</v>
      </c>
      <c r="QS5" s="37">
        <f>IF($CV5="P",CO5,(CO5+BL5)/2)</f>
        <v>7.8000000000000007</v>
      </c>
      <c r="QT5" s="37">
        <f>IF($CV5="P",CP5,(CP5+BM5)/2)</f>
        <v>0.1</v>
      </c>
      <c r="QU5" s="37">
        <f>IF($CV5="P",CQ5,(CQ5+BN5)/2)</f>
        <v>0.44999999999999996</v>
      </c>
      <c r="QV5" s="37">
        <f>IF($CV5="P",CR5,(CR5+BO5)/2)</f>
        <v>18.600000000000001</v>
      </c>
      <c r="QW5" s="37">
        <f>IF($CV5="P",CS5,(CS5+BP5)/2)</f>
        <v>9.8000000000000007</v>
      </c>
      <c r="QX5" s="37">
        <f>IF($CV5="P",CT5,(CT5+BQ5)/2)</f>
        <v>0</v>
      </c>
      <c r="QY5" s="37">
        <f>IF($CV5="P",CU5,(CU5+BR5)/2)</f>
        <v>0.44999999999999996</v>
      </c>
      <c r="QZ5" s="44" t="s">
        <v>46</v>
      </c>
      <c r="RA5" s="78">
        <f>IF(SUM(QG5,QK5)&gt;0,SUM(QG5,QK5),"")</f>
        <v>19.45</v>
      </c>
      <c r="RB5" s="78">
        <f>IF(SUM(QF5:QG5,QI5:QK5,QM5)-QH5-QL5&gt;0,SUM(QF5:QG5,QI5:QK5,QM5)-QH5-QL5,"")</f>
        <v>55.830000000000005</v>
      </c>
      <c r="RC5" s="78">
        <f>IF(SUM(QN5:QO5,QQ5)-QP5&gt;0,SUM(QN5:QO5,QQ5)-QP5,"")</f>
        <v>24.749999999999996</v>
      </c>
      <c r="RD5" s="78">
        <f>IF(SUM(QG5,QK5,QO5)&gt;0,SUM(QG5,QK5,QO5),"")</f>
        <v>25.65</v>
      </c>
      <c r="RE5" s="78">
        <f>IF(SUM(RB5,RC5)&gt;0,SUM(RB5,RC5),"")</f>
        <v>80.58</v>
      </c>
      <c r="RF5" s="78">
        <f>IF(SUM(QS5,QW5)&gt;0,SUM(QS5,QW5),"")</f>
        <v>17.600000000000001</v>
      </c>
      <c r="RG5" s="78">
        <f>IF(SUM(QR5:QS5,QU5:QW5,QY5)-SUM(QT5,QX5)&gt;0,SUM(QR5:QS5,QU5:QW5,QY5)-SUM(QT5,QX5),"")</f>
        <v>54.750000000000007</v>
      </c>
      <c r="RH5" s="78">
        <f>IF(SUM(RB5,RG5)&gt;0,SUM(RB5,RG5),"")</f>
        <v>110.58000000000001</v>
      </c>
    </row>
    <row r="6" spans="1:476" x14ac:dyDescent="0.2">
      <c r="A6" s="5">
        <f>IF(AND(F6="P",G6="P"),SUMPRODUCT((F$4:F$32="P")*(G$4:G$32="P")*(E$4:E$32&gt;E6))+1,IF(G6="P",SUMPRODUCT((F$4:F$32="")*(G$4:G$32="P")*(E$4:E$32&gt;E6))+1+SUMPRODUCT((F$4:F$32="P")*(G$4:G$32="P")),""))</f>
        <v>3</v>
      </c>
      <c r="B6" s="77" t="s">
        <v>74</v>
      </c>
      <c r="C6" s="5" t="s">
        <v>4</v>
      </c>
      <c r="D6" s="5">
        <v>2003</v>
      </c>
      <c r="E6" s="15">
        <f>SUM(I6:S6)+SUM(I6:O6)*0.0000001+SUM(I6)*0.0000000000001</f>
        <v>209.48001556800526</v>
      </c>
      <c r="F6" s="3" t="str">
        <f>IF(OR(AND(AQ6&gt;=AX$34,AR6&gt;=AX$38,AQ6&lt;&gt;"",AP6=""),AND(AV6&gt;=AX$34,AW6&gt;=AX$38,AV6&lt;&gt;"",AP6=""),AND(BT6&gt;=CA$34,BU6&gt;=CA$38,BT6&lt;&gt;"",BS6=""),AND(BY6&gt;=CA$34,BZ6&gt;=CA$38,BY6&lt;&gt;"",BS6=""),AND(CW6&gt;=DD$34,CX6&gt;=DD$38,CW6&lt;&gt;"",CV6=""),AND(DB6&gt;=DD$34,DC6&gt;=DD$38,DB6&lt;&gt;""),AND(EB6&gt;=EI$34,EC6&gt;=EI$38,EB6&lt;&gt;""),AND(EG6&gt;=EI$34,EH6&gt;=EI$38,EG6&lt;&gt;""),AND(FD6&gt;=FK$34,FE6&gt;=FK$38,FD6&lt;&gt;""),AND(FI6&gt;=FK$34,FJ6&gt;=FK$38,FI6&lt;&gt;""),AND(GF6&gt;=GM$34,GG6&gt;=GM$38,GF6&lt;&gt;""),AND(GK6&gt;=GM$34,GL6&gt;=GM$38,GK6&lt;&gt;""),AND(HH6&gt;=HO$34,HI6&gt;=HO$38,HH6&lt;&gt;""),AND(HM6&gt;=HO$34,HN6&gt;=HO$38,HM6&lt;&gt;""),AND(IJ6&gt;=IQ$34,IK6&gt;=IQ$38,IJ6&lt;&gt;""),AND(IO6&gt;=IQ$34,IP6&gt;=IQ$38,IO6&lt;&gt;""),AND(JL6&gt;=JS$34,JM6&gt;=JS$38,JL6&lt;&gt;""),AND(JQ6&gt;=JS$34,JR6&gt;=JS$38,JQ6&lt;&gt;""),AND(KN6&gt;=KU$34,KO6&gt;=KU$38,KN6&lt;&gt;""),AND(KS6&gt;=KU$34,KT6&gt;=KU$38,KS6&lt;&gt;""),AND(LP6&gt;=LW$34,LQ6&gt;=LW$38,LP6&lt;&gt;""),AND(LU6&gt;=LW$34,LV6&gt;=LW$38,LU6&lt;&gt;""),AND(MR6&gt;=MY$34,MS6&gt;=MY$38,MR6&lt;&gt;""),AND(MW6&gt;=MY$34,MX6&gt;=MY$38,MW6&lt;&gt;""),AND(NT6&gt;=OA$34,NU6&gt;=OA$38,NT6&lt;&gt;""),AND(NY6&gt;=OA$34,NZ6&gt;=OA$38,NY6&lt;&gt;""),AND(OV6&gt;=PC$34,OW6&gt;=PC$38,OV6&lt;&gt;""),AND(PA6&gt;=PC$34,PB6&gt;=PC$38,PA6&lt;&gt;""),AND(PX6&gt;=QE$34,PY6&gt;=QE$38,PX6&lt;&gt;""),AND(QC6&gt;=QE$34,QD6&gt;=QE$38,QC6&lt;&gt;"")),"P","")</f>
        <v>P</v>
      </c>
      <c r="G6" s="3" t="str">
        <f>IF(OR(AND(AR6&gt;=AX$38,AR6&lt;&gt;"",AP6=""),AND(AW6&gt;=AX$38,AW6&lt;&gt;"",AP6=""),AND(BU6&gt;=CA$38,BU6&lt;&gt;"",BS6=""),AND(BZ6&gt;=CA$38,BZ6&lt;&gt;"",BS6=""),AND(CX6&gt;=DD$38,CX6&lt;&gt;"",CV6=""),AND(DC6&gt;=DD$38,DC6&lt;&gt;"",CV6=""),AND(EC6&gt;=EI$38,EC6&lt;&gt;""),AND(EH6&gt;=EI$38,EH6&lt;&gt;""),AND(FE6&gt;=FK$38,FE6&lt;&gt;""),AND(FJ6&gt;=FK$38,FJ6&lt;&gt;""),AND(GG6&gt;=GM$38,GG6&lt;&gt;""),AND(GL6&gt;=GM$38,GL6&lt;&gt;""),AND(HI6&gt;=HO$38,HI6&lt;&gt;""),AND(HN6&gt;=HO$38,HN6&lt;&gt;""),AND(IK6&gt;=IQ$38,IK6&lt;&gt;""),AND(IP6&gt;=IQ$38,IP6&lt;&gt;""),AND(JM6&gt;=JS$38,JM6&lt;&gt;""),AND(JR6&gt;=JS$38,JR6&lt;&gt;""),AND(KO6&gt;=KU$38,KO6&lt;&gt;""),AND(KT6&gt;=KU$38,KT6&lt;&gt;""),AND(LQ6&gt;=LW$38,LQ6&lt;&gt;""),AND(LV6&gt;=LW$38,LV6&lt;&gt;""),AND(MS6&gt;=MY$38,MS6&lt;&gt;""),AND(MX6&gt;=MY$38,MX6&lt;&gt;""),AND(NU6&gt;=OA$38,NU6&lt;&gt;""),AND(NZ6&gt;=OA$38,NZ6&lt;&gt;""),AND(OW6&gt;=PC$38,OW6&lt;&gt;""),AND(PB6&gt;=PC$38,PB6&lt;&gt;""),AND(PY6&gt;=QE$38,PY6&lt;&gt;""),AND(QD6&gt;=QE$38,QD6&lt;&gt;"")),"P","")</f>
        <v>P</v>
      </c>
      <c r="H6" s="66" t="str">
        <f>IF(AND(G6="P",F6=""),"No DD",IF(OR(AND(AT6&gt;=AX$37,AU6&gt;=AX$41,AT6&lt;&gt;"",AP6=""),AND(BW6&gt;=CA$37,BX6&gt;=CA$41,BW6&lt;&gt;"",BS6=""),AND(CZ6&gt;=DD$37,DA6&gt;=DD$41,CZ6&lt;&gt;"",CV6=""),AND(EE6&gt;=EI$37,EF6&gt;=EI$41,EE6&lt;&gt;""),AND(FG6&gt;=FK$37,FH6&gt;=FK$41,FG6&lt;&gt;""),AND(GI6&gt;=GM$37,GJ6&gt;=GM$41,GI6&lt;&gt;""),AND(HK6&gt;=HO$37,HL6&gt;=HO$41,HK6&lt;&gt;""),AND(IM6&gt;=IQ$37,IN6&gt;=IQ$41,IM6&lt;&gt;""),AND(JO6&gt;=JS$37,JP6&gt;=JS$41,JO6&lt;&gt;""),AND(KQ6&gt;=KU$37,KR6&gt;=KU$41,KQ6&lt;&gt;""),AND(LS6&gt;=LW$37,LT6&gt;=LW$41,LS6&lt;&gt;""),AND(MU6&gt;=MY$37,MV6&gt;=MY$41,MU6&lt;&gt;""),AND(NW6&gt;=OA$37,NX6&gt;=OA$41,NW6&lt;&gt;""),AND(OY6&gt;=PC$37,OZ6&gt;=PC$41,OY6&lt;&gt;""),AND(QA6&gt;=QE$37,QB6&gt;=QE$41,QA6&lt;&gt;"")),"Merit",IF(OR(AND(AT6&gt;=AX$36,AU6&gt;=AX$40,AT6&lt;&gt;"",AP6=""),AND(BW6&gt;=CA$36,BX6&gt;=CA$40,BW6&lt;&gt;"",BS6=""),AND(CZ6&gt;=DD$36,DA6&gt;=DD$40,CZ6&lt;&gt;"",CV6=""),AND(EE6&gt;=EI$36,EF6&gt;=EI$40,EE6&lt;&gt;""),AND(FG6&gt;=FK$36,FH6&gt;=FK$40,FG6&lt;&gt;""),AND(GI6&gt;=GM$36,GJ6&gt;=GM$40,GI6&lt;&gt;""),AND(HK6&gt;=HO$36,HL6&gt;=HO$40,HK6&lt;&gt;""),AND(IM6&gt;=IQ$36,IN6&gt;=IQ$40,IM6&lt;&gt;""),AND(JO6&gt;=JS$36,JP6&gt;=JS$40,JO6&lt;&gt;""),AND(KQ6&gt;=KU$36,KR6&gt;=KU$40,KQ6&lt;&gt;""),AND(LS6&gt;=LW$36,LT6&gt;=LW$40,LS6&lt;&gt;""),AND(MU6&gt;=MY$36,MV6&gt;=MY$40,MU6&lt;&gt;""),AND(NW6&gt;=OA$36,NX6&gt;=OA$40,NW6&lt;&gt;""),AND(OY6&gt;=PC$36,OZ6&gt;=PC$40,OY6&lt;&gt;""),AND(QA6&gt;=QE$36,QB6&gt;=QE$40,QA6&lt;&gt;"")),"Excellence",IF(F6="P","National Team",""))))</f>
        <v>National Team</v>
      </c>
      <c r="I6" s="14">
        <f>IF(COUNT(AR6,BU6,CX6)&gt;0,LARGE((AR6,BU6,CX6),1),0)</f>
        <v>52.3</v>
      </c>
      <c r="J6" s="14" t="str">
        <f>IF(I6=0,"",IF(I6=CX6,$CB$1,IF(I6=BU6,$AY$1,IF(I6=AR6,$V$1,""))))</f>
        <v>2022 3rd Domestic Trial</v>
      </c>
      <c r="K6" s="14">
        <f>IF(COUNT(AR6,BU6,CX6)&gt;1,LARGE((AR6,BU6,CX6),2),0)</f>
        <v>49.900000000000013</v>
      </c>
      <c r="L6" s="14" t="str">
        <f>IF(K6=0,"",IF(K6=CX6,$CB$1,IF(K6=BU6,$AY$1,IF(K6=AR6,$V$1,""))))</f>
        <v>2022 Elite Canada</v>
      </c>
      <c r="M6" s="14">
        <f>IF(COUNT(AS6,BV6,CY6)&gt;0,LARGE((AS6,BV6,CY6),1),0)</f>
        <v>27.380000000000003</v>
      </c>
      <c r="N6" s="14" t="str">
        <f>IF(M6=0,"",IF(M6=CY6,$CB$1,IF(M6=BV6,$AY$1,IF(M6=AS6,$V$1,""))))</f>
        <v>2022 3rd Domestic Trial</v>
      </c>
      <c r="O6" s="14">
        <f>IF(COUNT(AS6,BV6,CY6)&gt;1,LARGE((AS6,BV6,CY6),2),0)</f>
        <v>26.1</v>
      </c>
      <c r="P6" s="14" t="str">
        <f>IF(O6=0,"",IF(O6=CY6,$CB$1,IF(O6=BV6,$AY$1,IF(O6=AS6,$V$1,""))))</f>
        <v>2022 Nationals</v>
      </c>
      <c r="Q6" s="14">
        <f>IF(MAX(AW6,BZ6,DC6)&gt;0,MAX(AW6,BZ6,DC6),0)</f>
        <v>52.8</v>
      </c>
      <c r="R6" s="14" t="str">
        <f>IF(Q6=0,"",IF(Q6=DC6,$CB$1,IF(Q6=BZ6,$AY$1,IF(Q6=AW6,$V$1,""))))</f>
        <v>2022 Nationals</v>
      </c>
      <c r="S6" s="14">
        <f>IF(MAX(DE6:DG6)&gt;0,MAX(DE6:DG6),"")</f>
        <v>0.99999999999999289</v>
      </c>
      <c r="T6" s="19" t="str">
        <f>IF(S6="","",IF(S6=DE6,"("&amp;DE$2&amp;")",IF(S6=DG6,"("&amp;DG$2&amp;")")))</f>
        <v>(Q1)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6">
        <v>18.600000000000001</v>
      </c>
      <c r="W6" s="26">
        <v>7.6</v>
      </c>
      <c r="X6" s="26">
        <v>0.8</v>
      </c>
      <c r="Y6" s="26">
        <v>0</v>
      </c>
      <c r="Z6" s="26">
        <v>18.100000000000001</v>
      </c>
      <c r="AA6" s="26">
        <v>7.2</v>
      </c>
      <c r="AB6" s="26">
        <v>0.8</v>
      </c>
      <c r="AC6" s="26">
        <v>0</v>
      </c>
      <c r="AD6" s="26">
        <v>17.3</v>
      </c>
      <c r="AE6" s="26">
        <v>2.4</v>
      </c>
      <c r="AF6" s="26">
        <v>0</v>
      </c>
      <c r="AG6" s="26">
        <v>0</v>
      </c>
      <c r="AH6" s="26">
        <v>18.5</v>
      </c>
      <c r="AI6" s="26">
        <v>6.8</v>
      </c>
      <c r="AJ6" s="26">
        <v>0.2</v>
      </c>
      <c r="AK6" s="26">
        <v>0</v>
      </c>
      <c r="AL6" s="26">
        <v>18.5</v>
      </c>
      <c r="AM6" s="26">
        <v>2.8</v>
      </c>
      <c r="AN6" s="26">
        <v>3.4</v>
      </c>
      <c r="AO6" s="26">
        <v>0</v>
      </c>
      <c r="AP6" s="44"/>
      <c r="AQ6" s="78">
        <f>IF(SUM(W6,AA6)&gt;0,SUM(W6,AA6),"")</f>
        <v>14.8</v>
      </c>
      <c r="AR6" s="78">
        <f>IF(SUM(V6:W6,Y6:AA6,AC6)-X6-AB6&gt;0,SUM(V6:W6,Y6:AA6,AC6)-X6-AB6,"")</f>
        <v>49.900000000000013</v>
      </c>
      <c r="AS6" s="78">
        <f>IF(SUM(AD6:AE6,AG6)-AF6&gt;0,SUM(AD6:AE6,AG6)-AF6,"")</f>
        <v>19.7</v>
      </c>
      <c r="AT6" s="78">
        <f>IF(SUM(W6,AA6,AE6)&gt;0,SUM(W6,AA6,AE6),"")</f>
        <v>17.2</v>
      </c>
      <c r="AU6" s="78">
        <f>IF(SUM(AR6,AS6)&gt;0,SUM(AR6,AS6),"")</f>
        <v>69.600000000000009</v>
      </c>
      <c r="AV6" s="78">
        <f>IF(SUM(AI6,AM6)&gt;0,SUM(AI6,AM6),"")</f>
        <v>9.6</v>
      </c>
      <c r="AW6" s="78">
        <f>IF(SUM(AH6:AI6,AK6:AM6,AO6)-SUM(AJ6,AN6)&gt;0,SUM(AH6:AI6,AK6:AM6,AO6)-SUM(AJ6,AN6),"")</f>
        <v>42.999999999999993</v>
      </c>
      <c r="AX6" s="78">
        <f>IF(SUM(AR6,AW6)&gt;0,SUM(AR6,AW6),"")</f>
        <v>92.9</v>
      </c>
      <c r="AY6" s="25">
        <v>19</v>
      </c>
      <c r="AZ6" s="25">
        <v>8</v>
      </c>
      <c r="BA6" s="25">
        <v>0.6</v>
      </c>
      <c r="BB6" s="25">
        <v>0.3</v>
      </c>
      <c r="BC6" s="25">
        <v>17.399999999999999</v>
      </c>
      <c r="BD6" s="25">
        <v>4</v>
      </c>
      <c r="BE6" s="25">
        <v>0</v>
      </c>
      <c r="BF6" s="25">
        <v>0</v>
      </c>
      <c r="BG6" s="25">
        <v>19.3</v>
      </c>
      <c r="BH6" s="25">
        <v>6.8</v>
      </c>
      <c r="BI6" s="25">
        <v>0</v>
      </c>
      <c r="BJ6" s="25">
        <v>0</v>
      </c>
      <c r="BK6" s="25">
        <v>18.7</v>
      </c>
      <c r="BL6" s="25">
        <v>8</v>
      </c>
      <c r="BM6" s="25">
        <v>0.6</v>
      </c>
      <c r="BN6" s="25">
        <v>0.3</v>
      </c>
      <c r="BO6" s="25">
        <v>18.600000000000001</v>
      </c>
      <c r="BP6" s="25">
        <v>8.4</v>
      </c>
      <c r="BQ6" s="25">
        <v>0.6</v>
      </c>
      <c r="BR6" s="25">
        <v>0</v>
      </c>
      <c r="BS6" s="45"/>
      <c r="BT6" s="19">
        <f>IF(SUM(AZ6,BD6)&gt;0,SUM(AZ6,BD6),"")</f>
        <v>12</v>
      </c>
      <c r="BU6" s="19">
        <f>IF(SUM(AY6:AZ6,BB6:BD6,BF6)-BA6-BE6&gt;0,SUM(AY6:AZ6,BB6:BD6,BF6)-BA6-BE6,"")</f>
        <v>48.1</v>
      </c>
      <c r="BV6" s="19">
        <f>IF(SUM(BG6:BH6,BJ6)-BI6&gt;0,SUM(BG6:BH6,BJ6)-BI6,"")</f>
        <v>26.1</v>
      </c>
      <c r="BW6" s="19">
        <f>IF(SUM(AZ6,BD6,BH6)&gt;0,SUM(AZ6,BD6,BH6),"")</f>
        <v>18.8</v>
      </c>
      <c r="BX6" s="19">
        <f>IF(SUM(BU6,BV6)&gt;0,SUM(BU6,BV6),"")</f>
        <v>74.2</v>
      </c>
      <c r="BY6" s="19">
        <f>IF(SUM(BL6,BP6)&gt;0,SUM(BL6,BP6),"")</f>
        <v>16.399999999999999</v>
      </c>
      <c r="BZ6" s="19">
        <f>IF(SUM(BK6:BL6,BN6:BP6,BR6)-SUM(BM6,BQ6)&gt;0,SUM(BK6:BL6,BN6:BP6,BR6)-SUM(BM6,BQ6),"")</f>
        <v>52.8</v>
      </c>
      <c r="CA6" s="19">
        <f>IF(SUM(BU6,BZ6)&gt;0,SUM(BU6,BZ6),"")</f>
        <v>100.9</v>
      </c>
      <c r="CB6" s="26">
        <v>19.2</v>
      </c>
      <c r="CC6" s="26">
        <v>7.6</v>
      </c>
      <c r="CD6" s="26">
        <v>0.6</v>
      </c>
      <c r="CE6" s="26">
        <v>0.3</v>
      </c>
      <c r="CF6" s="26">
        <v>18.8</v>
      </c>
      <c r="CG6" s="26">
        <v>7.2</v>
      </c>
      <c r="CH6" s="26">
        <v>0.2</v>
      </c>
      <c r="CI6" s="26">
        <v>0</v>
      </c>
      <c r="CJ6" s="26">
        <v>18.98</v>
      </c>
      <c r="CK6" s="26">
        <v>8.4</v>
      </c>
      <c r="CL6" s="26">
        <v>0</v>
      </c>
      <c r="CM6" s="26">
        <v>0</v>
      </c>
      <c r="CN6" s="26">
        <v>18.7</v>
      </c>
      <c r="CO6" s="26">
        <v>6.8</v>
      </c>
      <c r="CP6" s="26">
        <v>0</v>
      </c>
      <c r="CQ6" s="26">
        <v>0</v>
      </c>
      <c r="CR6" s="26">
        <v>18.899999999999999</v>
      </c>
      <c r="CS6" s="26">
        <v>6.4</v>
      </c>
      <c r="CT6" s="26">
        <v>0.6</v>
      </c>
      <c r="CU6" s="26">
        <v>0</v>
      </c>
      <c r="CV6" s="44"/>
      <c r="CW6" s="78">
        <f>IF(SUM(CC6,CG6)&gt;0,SUM(CC6,CG6),"")</f>
        <v>14.8</v>
      </c>
      <c r="CX6" s="78">
        <f>IF(SUM(CB6:CC6,CE6:CG6,CI6)-CD6-CH6&gt;0,SUM(CB6:CC6,CE6:CG6,CI6)-CD6-CH6,"")</f>
        <v>52.3</v>
      </c>
      <c r="CY6" s="78">
        <f>IF(SUM(CJ6:CK6,CM6)-CL6&gt;0,SUM(CJ6:CK6,CM6)-CL6,"")</f>
        <v>27.380000000000003</v>
      </c>
      <c r="CZ6" s="78">
        <f>IF(SUM(CC6,CG6,CK6)&gt;0,SUM(CC6,CG6,CK6),"")</f>
        <v>23.200000000000003</v>
      </c>
      <c r="DA6" s="78">
        <f>IF(SUM(CX6,CY6)&gt;0,SUM(CX6,CY6),"")</f>
        <v>79.680000000000007</v>
      </c>
      <c r="DB6" s="78">
        <f>IF(SUM(CO6,CS6)&gt;0,SUM(CO6,CS6),"")</f>
        <v>13.2</v>
      </c>
      <c r="DC6" s="78">
        <f>IF(SUM(CN6:CO6,CQ6:CS6,CU6)-SUM(CP6,CT6)&gt;0,SUM(CN6:CO6,CQ6:CS6,CU6)-SUM(CP6,CT6),"")</f>
        <v>50.199999999999996</v>
      </c>
      <c r="DD6" s="78">
        <f>IF(SUM(CX6,DC6)&gt;0,SUM(CX6,DC6),"")</f>
        <v>102.5</v>
      </c>
      <c r="DE6" s="79">
        <f>IF(K6&gt;=0.001,IF(MAX(EC6,FE6,GG6,HI6,IK6,JM6,KO6,LQ6,MS6,NU6,OW6,PY6)-IF(K6="",0,K6)&gt;0.001,MAX(EC6,FE6,GG6,HI6,IK6,JM6,KO6,LQ6,MS6,NU6,OW6,PY6)-IF(K6="",0,K6),""),"")</f>
        <v>0.99999999999999289</v>
      </c>
      <c r="DF6" s="79" t="str">
        <f>IF(O6&gt;=0.001,IF(MAX(ED6,FF6,GH6,HJ6,IL6,JN6,KP6,LR6,MT6,NV6,OX6,PZ6)-IF(O6="",0,O6)&gt;0.001,MAX(ED6,FF6,GH6,HJ6,IL6,JN6,KP6,LR6,MT6,NV6,OX6,PZ6)-IF(O6="",0,O6),""),"")</f>
        <v/>
      </c>
      <c r="DG6" s="79" t="str">
        <f>IF(Q6&gt;=0.001,IF(MAX(EH6,FJ6,GL6,HN6,IP6,JR6,KT6,LV6,MX6,NZ6,PB6,QD6)-IF(Q6="",0,Q6)&gt;0.001,MAX(EH6,FJ6,GL6,HN6,IP6,JR6,KT6,LV6,MX6,NZ6,PB6,QD6)-IF(Q6="",0,Q6),""),"")</f>
        <v/>
      </c>
      <c r="DH6" s="24"/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>IF(SUM(DI6,DM6)&gt;0,SUM(DI6,DM6),"")</f>
        <v>1E-4</v>
      </c>
      <c r="EC6" s="78">
        <f>IF(SUM(DH6:DI6,DK6:DM6,DO6)-DJ6-DN6&gt;0,SUM(DH6:DI6,DK6:DM6,DO6)-DJ6-DN6,"")</f>
        <v>1E-4</v>
      </c>
      <c r="ED6" s="78" t="str">
        <f>IF(SUM(DP6:DQ6,DS6)-DR6&gt;0,SUM(DP6:DQ6,DS6)-DR6,"")</f>
        <v/>
      </c>
      <c r="EE6" s="78">
        <f>IF(SUM(DI6,DM6,DQ6)&gt;0,SUM(DI6,DM6,DQ6),"")</f>
        <v>1E-4</v>
      </c>
      <c r="EF6" s="78">
        <f>IF(SUM(EC6,ED6)&gt;0,SUM(EC6,ED6),"")</f>
        <v>1E-4</v>
      </c>
      <c r="EG6" s="78" t="str">
        <f>IF(SUM(DU6,DY6)&gt;0,SUM(DU6,DY6),"")</f>
        <v/>
      </c>
      <c r="EH6" s="78" t="str">
        <f>IF(SUM(DT6:DU6,DW6:DY6,EA6)-SUM(DV6,DZ6)&gt;0,SUM(DT6:DU6,DW6:DY6,EA6)-SUM(DV6,DZ6),"")</f>
        <v/>
      </c>
      <c r="EI6" s="78">
        <f>IF(SUM(EC6,EH6)&gt;0,SUM(EC6,EH6),"")</f>
        <v>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>IF(SUM(EK6,EO6)&gt;0,SUM(EK6,EO6),"")</f>
        <v/>
      </c>
      <c r="FE6" s="19" t="str">
        <f>IF(SUM(EJ6:EK6,EM6:EO6,EQ6)-EL6-EP6&gt;0,SUM(EJ6:EK6,EM6:EO6,EQ6)-EL6-EP6,"")</f>
        <v/>
      </c>
      <c r="FF6" s="19" t="str">
        <f>IF(SUM(ER6:ES6,EU6)-ET6&gt;0,SUM(ER6:ES6,EU6)-ET6,"")</f>
        <v/>
      </c>
      <c r="FG6" s="19" t="str">
        <f>IF(SUM(EK6,EO6,ES6)&gt;0,SUM(EK6,EO6,ES6),"")</f>
        <v/>
      </c>
      <c r="FH6" s="19" t="str">
        <f>IF(SUM(FE6,FF6)&gt;0,SUM(FE6,FF6),"")</f>
        <v/>
      </c>
      <c r="FI6" s="19" t="str">
        <f>IF(SUM(EW6,FA6)&gt;0,SUM(EW6,FA6),"")</f>
        <v/>
      </c>
      <c r="FJ6" s="19" t="str">
        <f>IF(SUM(EV6:EW6,EY6:FA6,FC6)-SUM(EX6,FB6)&gt;0,SUM(EV6:EW6,EY6:FA6,FC6)-SUM(EX6,FB6),"")</f>
        <v/>
      </c>
      <c r="FK6" s="19" t="str">
        <f>IF(SUM(FE6,FJ6)&gt;0,SUM(FE6,FJ6),"")</f>
        <v/>
      </c>
      <c r="FL6" s="24">
        <v>19</v>
      </c>
      <c r="FM6" s="24">
        <v>8</v>
      </c>
      <c r="FN6" s="24">
        <v>0.8</v>
      </c>
      <c r="FO6" s="24">
        <v>0.3</v>
      </c>
      <c r="FP6" s="24">
        <v>18.399999999999999</v>
      </c>
      <c r="FQ6" s="24">
        <v>6.8</v>
      </c>
      <c r="FR6" s="24">
        <v>0.8</v>
      </c>
      <c r="FS6" s="24">
        <v>0</v>
      </c>
      <c r="FT6" s="24"/>
      <c r="FU6" s="24"/>
      <c r="FV6" s="24"/>
      <c r="FW6" s="24"/>
      <c r="FX6" s="24">
        <v>17.600000000000001</v>
      </c>
      <c r="FY6" s="24">
        <v>2.8</v>
      </c>
      <c r="FZ6" s="24">
        <v>0</v>
      </c>
      <c r="GA6" s="24">
        <v>0</v>
      </c>
      <c r="GB6" s="24">
        <v>18.8</v>
      </c>
      <c r="GC6" s="24">
        <v>4.5999999999999996</v>
      </c>
      <c r="GD6" s="24">
        <v>1.4</v>
      </c>
      <c r="GE6" s="24">
        <v>0</v>
      </c>
      <c r="GF6" s="78">
        <f>IF(SUM(FM6,FQ6)&gt;0,SUM(FM6,FQ6),"")</f>
        <v>14.8</v>
      </c>
      <c r="GG6" s="78">
        <f>IF(SUM(FL6:FM6,FO6:FQ6,FS6)-FN6-FR6&gt;0,SUM(FL6:FM6,FO6:FQ6,FS6)-FN6-FR6,"")</f>
        <v>50.900000000000006</v>
      </c>
      <c r="GH6" s="78" t="str">
        <f>IF(SUM(FT6:FU6,FW6)-FV6&gt;0,SUM(FT6:FU6,FW6)-FV6,"")</f>
        <v/>
      </c>
      <c r="GI6" s="78">
        <f>IF(SUM(FM6,FQ6,FU6)&gt;0,SUM(FM6,FQ6,FU6),"")</f>
        <v>14.8</v>
      </c>
      <c r="GJ6" s="78">
        <f>IF(SUM(GG6,GH6)&gt;0,SUM(GG6,GH6),"")</f>
        <v>50.900000000000006</v>
      </c>
      <c r="GK6" s="78">
        <f>IF(SUM(FY6,GC6)&gt;0,SUM(FY6,GC6),"")</f>
        <v>7.3999999999999995</v>
      </c>
      <c r="GL6" s="78">
        <f>IF(SUM(FX6:FY6,GA6:GC6,GE6)-SUM(FZ6,GD6)&gt;0,SUM(FX6:FY6,GA6:GC6,GE6)-SUM(FZ6,GD6),"")</f>
        <v>42.400000000000006</v>
      </c>
      <c r="GM6" s="78">
        <f>IF(SUM(GG6,GL6)&gt;0,SUM(GG6,GL6),"")</f>
        <v>93.300000000000011</v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 t="str">
        <f>IF(SUM(GO6,GS6)&gt;0,SUM(GO6,GS6),"")</f>
        <v/>
      </c>
      <c r="HI6" s="19" t="str">
        <f>IF(SUM(GN6:GO6,GQ6:GS6,GU6)-GP6-GT6&gt;0,SUM(GN6:GO6,GQ6:GS6,GU6)-GP6-GT6,"")</f>
        <v/>
      </c>
      <c r="HJ6" s="19" t="str">
        <f>IF(SUM(GV6:GW6,GY6)-GX6&gt;0,SUM(GV6:GW6,GY6)-GX6,"")</f>
        <v/>
      </c>
      <c r="HK6" s="19" t="str">
        <f>IF(SUM(GO6,GS6,GW6)&gt;0,SUM(GO6,GS6,GW6),"")</f>
        <v/>
      </c>
      <c r="HL6" s="19" t="str">
        <f>IF(SUM(HI6,HJ6)&gt;0,SUM(HI6,HJ6),"")</f>
        <v/>
      </c>
      <c r="HM6" s="19" t="str">
        <f>IF(SUM(HA6,HE6)&gt;0,SUM(HA6,HE6),"")</f>
        <v/>
      </c>
      <c r="HN6" s="19" t="str">
        <f>IF(SUM(GZ6:HA6,HC6:HE6,HG6)-SUM(HB6,HF6)&gt;0,SUM(GZ6:HA6,HC6:HE6,HG6)-SUM(HB6,HF6),"")</f>
        <v/>
      </c>
      <c r="HO6" s="19" t="str">
        <f>IF(SUM(HI6,HN6)&gt;0,SUM(HI6,HN6),"")</f>
        <v/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>IF(SUM(HQ6,HU6)&gt;0,SUM(HQ6,HU6),"")</f>
        <v/>
      </c>
      <c r="IK6" s="78" t="str">
        <f>IF(SUM(HP6:HQ6,HS6:HU6,HW6)-HR6-HV6&gt;0,SUM(HP6:HQ6,HS6:HU6,HW6)-HR6-HV6,"")</f>
        <v/>
      </c>
      <c r="IL6" s="78" t="str">
        <f>IF(SUM(HX6:HY6,IA6)-HZ6&gt;0,SUM(HX6:HY6,IA6)-HZ6,"")</f>
        <v/>
      </c>
      <c r="IM6" s="78" t="str">
        <f>IF(SUM(HQ6,HU6,HY6)&gt;0,SUM(HQ6,HU6,HY6),"")</f>
        <v/>
      </c>
      <c r="IN6" s="78" t="str">
        <f>IF(SUM(IK6,IL6)&gt;0,SUM(IK6,IL6),"")</f>
        <v/>
      </c>
      <c r="IO6" s="78" t="str">
        <f>IF(SUM(IC6,IG6)&gt;0,SUM(IC6,IG6),"")</f>
        <v/>
      </c>
      <c r="IP6" s="78" t="str">
        <f>IF(SUM(IB6:IC6,IE6:IG6,II6)-SUM(ID6,IH6)&gt;0,SUM(IB6:IC6,IE6:IG6,II6)-SUM(ID6,IH6),"")</f>
        <v/>
      </c>
      <c r="IQ6" s="78" t="str">
        <f>IF(SUM(IK6,IP6)&gt;0,SUM(IK6,IP6),"")</f>
        <v/>
      </c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19" t="str">
        <f>IF(SUM(IS6,IW6)&gt;0,SUM(IS6,IW6),"")</f>
        <v/>
      </c>
      <c r="JM6" s="19" t="str">
        <f>IF(SUM(IR6:IS6,IU6:IW6,IY6)-IT6-IX6&gt;0,SUM(IR6:IS6,IU6:IW6,IY6)-IT6-IX6,"")</f>
        <v/>
      </c>
      <c r="JN6" s="19" t="str">
        <f>IF(SUM(IZ6:JA6,JC6)-JB6&gt;0,SUM(IZ6:JA6,JC6)-JB6,"")</f>
        <v/>
      </c>
      <c r="JO6" s="19" t="str">
        <f>IF(SUM(IS6,IW6,JA6)&gt;0,SUM(IS6,IW6,JA6),"")</f>
        <v/>
      </c>
      <c r="JP6" s="19" t="str">
        <f>IF(SUM(JM6,JN6)&gt;0,SUM(JM6,JN6),"")</f>
        <v/>
      </c>
      <c r="JQ6" s="19" t="str">
        <f>IF(SUM(JE6,JI6)&gt;0,SUM(JE6,JI6),"")</f>
        <v/>
      </c>
      <c r="JR6" s="19" t="str">
        <f>IF(SUM(JD6:JE6,JG6:JI6,JK6)-SUM(JF6,JJ6)&gt;0,SUM(JD6:JE6,JG6:JI6,JK6)-SUM(JF6,JJ6),"")</f>
        <v/>
      </c>
      <c r="JS6" s="19" t="str">
        <f>IF(SUM(JM6,JR6)&gt;0,SUM(JM6,JR6),"")</f>
        <v/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>IF(SUM(JU6,JY6)&gt;0,SUM(JU6,JY6),"")</f>
        <v/>
      </c>
      <c r="KO6" s="78" t="str">
        <f>IF(SUM(JT6:JU6,JW6:JY6,KA6)-JV6-JZ6&gt;0,SUM(JT6:JU6,JW6:JY6,KA6)-JV6-JZ6,"")</f>
        <v/>
      </c>
      <c r="KP6" s="78" t="str">
        <f>IF(SUM(KB6:KC6,KE6)-KD6&gt;0,SUM(KB6:KC6,KE6)-KD6,"")</f>
        <v/>
      </c>
      <c r="KQ6" s="78" t="str">
        <f>IF(SUM(JU6,JY6,KC6)&gt;0,SUM(JU6,JY6,KC6),"")</f>
        <v/>
      </c>
      <c r="KR6" s="78" t="str">
        <f>IF(SUM(KO6,KP6)&gt;0,SUM(KO6,KP6),"")</f>
        <v/>
      </c>
      <c r="KS6" s="78" t="str">
        <f>IF(SUM(KG6,KK6)&gt;0,SUM(KG6,KK6),"")</f>
        <v/>
      </c>
      <c r="KT6" s="78" t="str">
        <f>IF(SUM(KF6:KG6,KI6:KK6,KM6)-SUM(KH6,KL6)&gt;0,SUM(KF6:KG6,KI6:KK6,KM6)-SUM(KH6,KL6),"")</f>
        <v/>
      </c>
      <c r="KU6" s="78" t="str">
        <f>IF(SUM(KO6,KT6)&gt;0,SUM(KO6,KT6),"")</f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>IF(SUM(KW6,LA6)&gt;0,SUM(KW6,LA6),"")</f>
        <v/>
      </c>
      <c r="LQ6" s="19" t="str">
        <f>IF(SUM(KV6:KW6,KY6:LA6,LC6)-KX6-LB6&gt;0,SUM(KV6:KW6,KY6:LA6,LC6)-KX6-LB6,"")</f>
        <v/>
      </c>
      <c r="LR6" s="19" t="str">
        <f>IF(SUM(LD6:LE6,LG6)-LF6&gt;0,SUM(LD6:LE6,LG6)-LF6,"")</f>
        <v/>
      </c>
      <c r="LS6" s="19" t="str">
        <f>IF(SUM(KW6,LA6,LE6)&gt;0,SUM(KW6,LA6,LE6),"")</f>
        <v/>
      </c>
      <c r="LT6" s="19" t="str">
        <f>IF(SUM(LQ6,LR6)&gt;0,SUM(LQ6,LR6),"")</f>
        <v/>
      </c>
      <c r="LU6" s="19" t="str">
        <f>IF(SUM(LI6,LM6)&gt;0,SUM(LI6,LM6),"")</f>
        <v/>
      </c>
      <c r="LV6" s="19" t="str">
        <f>IF(SUM(LH6:LI6,LK6:LM6,LO6)-SUM(LJ6,LN6)&gt;0,SUM(LH6:LI6,LK6:LM6,LO6)-SUM(LJ6,LN6),"")</f>
        <v/>
      </c>
      <c r="LW6" s="19" t="str">
        <f>IF(SUM(LQ6,LV6)&gt;0,SUM(LQ6,LV6),"")</f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>IF(SUM(LY6,MC6)&gt;0,SUM(LY6,MC6),"")</f>
        <v/>
      </c>
      <c r="MS6" s="78" t="str">
        <f>IF(SUM(LX6:LY6,MA6:MC6,ME6)-LZ6-MD6&gt;0,SUM(LX6:LY6,MA6:MC6,ME6)-LZ6-MD6,"")</f>
        <v/>
      </c>
      <c r="MT6" s="78" t="str">
        <f>IF(SUM(MF6:MG6,MI6)-MH6&gt;0,SUM(MF6:MG6,MI6)-MH6,"")</f>
        <v/>
      </c>
      <c r="MU6" s="78" t="str">
        <f>IF(SUM(LY6,MC6,MG6)&gt;0,SUM(LY6,MC6,MG6),"")</f>
        <v/>
      </c>
      <c r="MV6" s="78" t="str">
        <f>IF(SUM(MS6,MT6)&gt;0,SUM(MS6,MT6),"")</f>
        <v/>
      </c>
      <c r="MW6" s="78" t="str">
        <f>IF(SUM(MK6,MO6)&gt;0,SUM(MK6,MO6),"")</f>
        <v/>
      </c>
      <c r="MX6" s="78" t="str">
        <f>IF(SUM(MJ6:MK6,MM6:MO6,MQ6)-SUM(ML6,MP6)&gt;0,SUM(MJ6:MK6,MM6:MO6,MQ6)-SUM(ML6,MP6),"")</f>
        <v/>
      </c>
      <c r="MY6" s="78" t="str">
        <f>IF(SUM(MS6,MX6)&gt;0,SUM(MS6,MX6),"")</f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>IF(SUM(NA6,NE6)&gt;0,SUM(NA6,NE6),"")</f>
        <v/>
      </c>
      <c r="NU6" s="19" t="str">
        <f>IF(SUM(MZ6:NA6,NC6:NE6,NG6)-NB6-NF6&gt;0,SUM(MZ6:NA6,NC6:NE6,NG6)-NB6-NF6,"")</f>
        <v/>
      </c>
      <c r="NV6" s="19" t="str">
        <f>IF(SUM(NH6:NI6,NK6)-NJ6&gt;0,SUM(NH6:NI6,NK6)-NJ6,"")</f>
        <v/>
      </c>
      <c r="NW6" s="19" t="str">
        <f>IF(SUM(NA6,NE6,NI6)&gt;0,SUM(NA6,NE6,NI6),"")</f>
        <v/>
      </c>
      <c r="NX6" s="19" t="str">
        <f>IF(SUM(NU6,NV6)&gt;0,SUM(NU6,NV6),"")</f>
        <v/>
      </c>
      <c r="NY6" s="19" t="str">
        <f>IF(SUM(NM6,NQ6)&gt;0,SUM(NM6,NQ6),"")</f>
        <v/>
      </c>
      <c r="NZ6" s="19" t="str">
        <f>IF(SUM(NL6:NM6,NO6:NQ6,NS6)-SUM(NN6,NR6)&gt;0,SUM(NL6:NM6,NO6:NQ6,NS6)-SUM(NN6,NR6),"")</f>
        <v/>
      </c>
      <c r="OA6" s="19" t="str">
        <f>IF(SUM(NU6,NZ6)&gt;0,SUM(NU6,NZ6),"")</f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>IF(SUM(OC6,OG6)&gt;0,SUM(OC6,OG6),"")</f>
        <v/>
      </c>
      <c r="OW6" s="78" t="str">
        <f>IF(SUM(OB6:OC6,OE6:OG6,OI6)-OD6-OH6&gt;0,SUM(OB6:OC6,OE6:OG6,OI6)-OD6-OH6,"")</f>
        <v/>
      </c>
      <c r="OX6" s="78" t="str">
        <f>IF(SUM(OJ6:OK6,OM6)-OL6&gt;0,SUM(OJ6:OK6,OM6)-OL6,"")</f>
        <v/>
      </c>
      <c r="OY6" s="78" t="str">
        <f>IF(SUM(OC6,OG6,OK6)&gt;0,SUM(OC6,OG6,OK6),"")</f>
        <v/>
      </c>
      <c r="OZ6" s="78" t="str">
        <f>IF(SUM(OW6,OX6)&gt;0,SUM(OW6,OX6),"")</f>
        <v/>
      </c>
      <c r="PA6" s="78" t="str">
        <f>IF(SUM(OO6,OS6)&gt;0,SUM(OO6,OS6),"")</f>
        <v/>
      </c>
      <c r="PB6" s="78" t="str">
        <f>IF(SUM(ON6:OO6,OQ6:OS6,OU6)-SUM(OP6,OT6)&gt;0,SUM(ON6:OO6,OQ6:OS6,OU6)-SUM(OP6,OT6),"")</f>
        <v/>
      </c>
      <c r="PC6" s="78" t="str">
        <f>IF(SUM(OW6,PB6)&gt;0,SUM(OW6,PB6),"")</f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>IF(SUM(PE6,PI6)&gt;0,SUM(PE6,PI6),"")</f>
        <v/>
      </c>
      <c r="PY6" s="19" t="str">
        <f>IF(SUM(PD6:PE6,PG6:PI6,PK6)-PF6-PJ6&gt;0,SUM(PD6:PE6,PG6:PI6,PK6)-PF6-PJ6,"")</f>
        <v/>
      </c>
      <c r="PZ6" s="19" t="str">
        <f>IF(SUM(PL6:PM6,PO6)-PN6&gt;0,SUM(PL6:PM6,PO6)-PN6,"")</f>
        <v/>
      </c>
      <c r="QA6" s="19" t="str">
        <f>IF(SUM(PE6,PI6,PM6)&gt;0,SUM(PE6,PI6,PM6),"")</f>
        <v/>
      </c>
      <c r="QB6" s="19" t="str">
        <f>IF(SUM(PY6,PZ6)&gt;0,SUM(PY6,PZ6),"")</f>
        <v/>
      </c>
      <c r="QC6" s="19" t="str">
        <f>IF(SUM(PQ6,PU6)&gt;0,SUM(PQ6,PU6),"")</f>
        <v/>
      </c>
      <c r="QD6" s="19" t="str">
        <f>IF(SUM(PP6:PQ6,PS6:PU6,PW6)-SUM(PR6,PV6)&gt;0,SUM(PP6:PQ6,PS6:PU6,PW6)-SUM(PR6,PV6),"")</f>
        <v/>
      </c>
      <c r="QE6" s="19" t="str">
        <f>IF(SUM(PY6,QD6)&gt;0,SUM(PY6,QD6),"")</f>
        <v/>
      </c>
      <c r="QF6" s="37">
        <f>IF($CV6="P",CB6,(CB6+AY6)/2)</f>
        <v>19.100000000000001</v>
      </c>
      <c r="QG6" s="37">
        <f>IF($CV6="P",CC6,(CC6+AZ6)/2)</f>
        <v>7.8</v>
      </c>
      <c r="QH6" s="37">
        <f>IF($CV6="P",CD6,(CD6+BA6)/2)</f>
        <v>0.6</v>
      </c>
      <c r="QI6" s="37">
        <f>IF($CV6="P",CE6,(CE6+BB6)/2)</f>
        <v>0.3</v>
      </c>
      <c r="QJ6" s="37">
        <f>IF($CV6="P",CF6,(CF6+BC6)/2)</f>
        <v>18.100000000000001</v>
      </c>
      <c r="QK6" s="37">
        <f>IF($CV6="P",CG6,(CG6+BD6)/2)</f>
        <v>5.6</v>
      </c>
      <c r="QL6" s="37">
        <f>IF($CV6="P",CH6,(CH6+BE6)/2)</f>
        <v>0.1</v>
      </c>
      <c r="QM6" s="37">
        <f>IF($CV6="P",CI6,(CI6+BF6)/2)</f>
        <v>0</v>
      </c>
      <c r="QN6" s="37">
        <f>IF($CV6="P",CJ6,(CJ6+BG6)/2)</f>
        <v>19.14</v>
      </c>
      <c r="QO6" s="37">
        <f>IF($CV6="P",CK6,(CK6+BH6)/2)</f>
        <v>7.6</v>
      </c>
      <c r="QP6" s="37">
        <f>IF($CV6="P",CL6,(CL6+BI6)/2)</f>
        <v>0</v>
      </c>
      <c r="QQ6" s="37">
        <f>IF($CV6="P",CM6,(CM6+BJ6)/2)</f>
        <v>0</v>
      </c>
      <c r="QR6" s="37">
        <f>IF($CV6="P",CN6,(CN6+BK6)/2)</f>
        <v>18.7</v>
      </c>
      <c r="QS6" s="37">
        <f>IF($CV6="P",CO6,(CO6+BL6)/2)</f>
        <v>7.4</v>
      </c>
      <c r="QT6" s="37">
        <f>IF($CV6="P",CP6,(CP6+BM6)/2)</f>
        <v>0.3</v>
      </c>
      <c r="QU6" s="37">
        <f>IF($CV6="P",CQ6,(CQ6+BN6)/2)</f>
        <v>0.15</v>
      </c>
      <c r="QV6" s="37">
        <f>IF($CV6="P",CR6,(CR6+BO6)/2)</f>
        <v>18.75</v>
      </c>
      <c r="QW6" s="37">
        <f>IF($CV6="P",CS6,(CS6+BP6)/2)</f>
        <v>7.4</v>
      </c>
      <c r="QX6" s="37">
        <f>IF($CV6="P",CT6,(CT6+BQ6)/2)</f>
        <v>0.6</v>
      </c>
      <c r="QY6" s="37">
        <f>IF($CV6="P",CU6,(CU6+BR6)/2)</f>
        <v>0</v>
      </c>
      <c r="QZ6" s="44" t="s">
        <v>46</v>
      </c>
      <c r="RA6" s="78">
        <f>IF(SUM(QG6,QK6)&gt;0,SUM(QG6,QK6),"")</f>
        <v>13.399999999999999</v>
      </c>
      <c r="RB6" s="78">
        <f>IF(SUM(QF6:QG6,QI6:QK6,QM6)-QH6-QL6&gt;0,SUM(QF6:QG6,QI6:QK6,QM6)-QH6-QL6,"")</f>
        <v>50.2</v>
      </c>
      <c r="RC6" s="78">
        <f>IF(SUM(QN6:QO6,QQ6)-QP6&gt;0,SUM(QN6:QO6,QQ6)-QP6,"")</f>
        <v>26.740000000000002</v>
      </c>
      <c r="RD6" s="78">
        <f>IF(SUM(QG6,QK6,QO6)&gt;0,SUM(QG6,QK6,QO6),"")</f>
        <v>21</v>
      </c>
      <c r="RE6" s="78">
        <f>IF(SUM(RB6,RC6)&gt;0,SUM(RB6,RC6),"")</f>
        <v>76.94</v>
      </c>
      <c r="RF6" s="78">
        <f>IF(SUM(QS6,QW6)&gt;0,SUM(QS6,QW6),"")</f>
        <v>14.8</v>
      </c>
      <c r="RG6" s="78">
        <f>IF(SUM(QR6:QS6,QU6:QW6,QY6)-SUM(QT6,QX6)&gt;0,SUM(QR6:QS6,QU6:QW6,QY6)-SUM(QT6,QX6),"")</f>
        <v>51.5</v>
      </c>
      <c r="RH6" s="78">
        <f>IF(SUM(RB6,RG6)&gt;0,SUM(RB6,RG6),"")</f>
        <v>101.7</v>
      </c>
    </row>
    <row r="7" spans="1:476" x14ac:dyDescent="0.2">
      <c r="A7" s="5">
        <f>IF(AND(F7="P",G7="P"),SUMPRODUCT((F$4:F$32="P")*(G$4:G$32="P")*(E$4:E$32&gt;E7))+1,IF(G7="P",SUMPRODUCT((F$4:F$32="")*(G$4:G$32="P")*(E$4:E$32&gt;E7))+1+SUMPRODUCT((F$4:F$32="P")*(G$4:G$32="P")),""))</f>
        <v>4</v>
      </c>
      <c r="B7" s="77" t="s">
        <v>73</v>
      </c>
      <c r="C7" s="5" t="s">
        <v>4</v>
      </c>
      <c r="D7" s="5">
        <v>2002</v>
      </c>
      <c r="E7" s="15">
        <f>SUM(I7:S7)+SUM(I7:O7)*0.0000001+SUM(I7)*0.0000000000001</f>
        <v>205.30001489000483</v>
      </c>
      <c r="F7" s="3" t="str">
        <f>IF(OR(AND(AQ7&gt;=AX$34,AR7&gt;=AX$38,AQ7&lt;&gt;"",AP7=""),AND(AV7&gt;=AX$34,AW7&gt;=AX$38,AV7&lt;&gt;"",AP7=""),AND(BT7&gt;=CA$34,BU7&gt;=CA$38,BT7&lt;&gt;"",BS7=""),AND(BY7&gt;=CA$34,BZ7&gt;=CA$38,BY7&lt;&gt;"",BS7=""),AND(CW7&gt;=DD$34,CX7&gt;=DD$38,CW7&lt;&gt;"",CV7=""),AND(DB7&gt;=DD$34,DC7&gt;=DD$38,DB7&lt;&gt;""),AND(EB7&gt;=EI$34,EC7&gt;=EI$38,EB7&lt;&gt;""),AND(EG7&gt;=EI$34,EH7&gt;=EI$38,EG7&lt;&gt;""),AND(FD7&gt;=FK$34,FE7&gt;=FK$38,FD7&lt;&gt;""),AND(FI7&gt;=FK$34,FJ7&gt;=FK$38,FI7&lt;&gt;""),AND(GF7&gt;=GM$34,GG7&gt;=GM$38,GF7&lt;&gt;""),AND(GK7&gt;=GM$34,GL7&gt;=GM$38,GK7&lt;&gt;""),AND(HH7&gt;=HO$34,HI7&gt;=HO$38,HH7&lt;&gt;""),AND(HM7&gt;=HO$34,HN7&gt;=HO$38,HM7&lt;&gt;""),AND(IJ7&gt;=IQ$34,IK7&gt;=IQ$38,IJ7&lt;&gt;""),AND(IO7&gt;=IQ$34,IP7&gt;=IQ$38,IO7&lt;&gt;""),AND(JL7&gt;=JS$34,JM7&gt;=JS$38,JL7&lt;&gt;""),AND(JQ7&gt;=JS$34,JR7&gt;=JS$38,JQ7&lt;&gt;""),AND(KN7&gt;=KU$34,KO7&gt;=KU$38,KN7&lt;&gt;""),AND(KS7&gt;=KU$34,KT7&gt;=KU$38,KS7&lt;&gt;""),AND(LP7&gt;=LW$34,LQ7&gt;=LW$38,LP7&lt;&gt;""),AND(LU7&gt;=LW$34,LV7&gt;=LW$38,LU7&lt;&gt;""),AND(MR7&gt;=MY$34,MS7&gt;=MY$38,MR7&lt;&gt;""),AND(MW7&gt;=MY$34,MX7&gt;=MY$38,MW7&lt;&gt;""),AND(NT7&gt;=OA$34,NU7&gt;=OA$38,NT7&lt;&gt;""),AND(NY7&gt;=OA$34,NZ7&gt;=OA$38,NY7&lt;&gt;""),AND(OV7&gt;=PC$34,OW7&gt;=PC$38,OV7&lt;&gt;""),AND(PA7&gt;=PC$34,PB7&gt;=PC$38,PA7&lt;&gt;""),AND(PX7&gt;=QE$34,PY7&gt;=QE$38,PX7&lt;&gt;""),AND(QC7&gt;=QE$34,QD7&gt;=QE$38,QC7&lt;&gt;"")),"P","")</f>
        <v>P</v>
      </c>
      <c r="G7" s="3" t="str">
        <f>IF(OR(AND(AR7&gt;=AX$38,AR7&lt;&gt;"",AP7=""),AND(AW7&gt;=AX$38,AW7&lt;&gt;"",AP7=""),AND(BU7&gt;=CA$38,BU7&lt;&gt;"",BS7=""),AND(BZ7&gt;=CA$38,BZ7&lt;&gt;"",BS7=""),AND(CX7&gt;=DD$38,CX7&lt;&gt;"",CV7=""),AND(DC7&gt;=DD$38,DC7&lt;&gt;"",CV7=""),AND(EC7&gt;=EI$38,EC7&lt;&gt;""),AND(EH7&gt;=EI$38,EH7&lt;&gt;""),AND(FE7&gt;=FK$38,FE7&lt;&gt;""),AND(FJ7&gt;=FK$38,FJ7&lt;&gt;""),AND(GG7&gt;=GM$38,GG7&lt;&gt;""),AND(GL7&gt;=GM$38,GL7&lt;&gt;""),AND(HI7&gt;=HO$38,HI7&lt;&gt;""),AND(HN7&gt;=HO$38,HN7&lt;&gt;""),AND(IK7&gt;=IQ$38,IK7&lt;&gt;""),AND(IP7&gt;=IQ$38,IP7&lt;&gt;""),AND(JM7&gt;=JS$38,JM7&lt;&gt;""),AND(JR7&gt;=JS$38,JR7&lt;&gt;""),AND(KO7&gt;=KU$38,KO7&lt;&gt;""),AND(KT7&gt;=KU$38,KT7&lt;&gt;""),AND(LQ7&gt;=LW$38,LQ7&lt;&gt;""),AND(LV7&gt;=LW$38,LV7&lt;&gt;""),AND(MS7&gt;=MY$38,MS7&lt;&gt;""),AND(MX7&gt;=MY$38,MX7&lt;&gt;""),AND(NU7&gt;=OA$38,NU7&lt;&gt;""),AND(NZ7&gt;=OA$38,NZ7&lt;&gt;""),AND(OW7&gt;=PC$38,OW7&lt;&gt;""),AND(PB7&gt;=PC$38,PB7&lt;&gt;""),AND(PY7&gt;=QE$38,PY7&lt;&gt;""),AND(QD7&gt;=QE$38,QD7&lt;&gt;"")),"P","")</f>
        <v>P</v>
      </c>
      <c r="H7" s="66" t="str">
        <f>IF(AND(G7="P",F7=""),"No DD",IF(OR(AND(AT7&gt;=AX$37,AU7&gt;=AX$41,AT7&lt;&gt;"",AP7=""),AND(BW7&gt;=CA$37,BX7&gt;=CA$41,BW7&lt;&gt;"",BS7=""),AND(CZ7&gt;=DD$37,DA7&gt;=DD$41,CZ7&lt;&gt;"",CV7=""),AND(EE7&gt;=EI$37,EF7&gt;=EI$41,EE7&lt;&gt;""),AND(FG7&gt;=FK$37,FH7&gt;=FK$41,FG7&lt;&gt;""),AND(GI7&gt;=GM$37,GJ7&gt;=GM$41,GI7&lt;&gt;""),AND(HK7&gt;=HO$37,HL7&gt;=HO$41,HK7&lt;&gt;""),AND(IM7&gt;=IQ$37,IN7&gt;=IQ$41,IM7&lt;&gt;""),AND(JO7&gt;=JS$37,JP7&gt;=JS$41,JO7&lt;&gt;""),AND(KQ7&gt;=KU$37,KR7&gt;=KU$41,KQ7&lt;&gt;""),AND(LS7&gt;=LW$37,LT7&gt;=LW$41,LS7&lt;&gt;""),AND(MU7&gt;=MY$37,MV7&gt;=MY$41,MU7&lt;&gt;""),AND(NW7&gt;=OA$37,NX7&gt;=OA$41,NW7&lt;&gt;""),AND(OY7&gt;=PC$37,OZ7&gt;=PC$41,OY7&lt;&gt;""),AND(QA7&gt;=QE$37,QB7&gt;=QE$41,QA7&lt;&gt;"")),"Merit",IF(OR(AND(AT7&gt;=AX$36,AU7&gt;=AX$40,AT7&lt;&gt;"",AP7=""),AND(BW7&gt;=CA$36,BX7&gt;=CA$40,BW7&lt;&gt;"",BS7=""),AND(CZ7&gt;=DD$36,DA7&gt;=DD$40,CZ7&lt;&gt;"",CV7=""),AND(EE7&gt;=EI$36,EF7&gt;=EI$40,EE7&lt;&gt;""),AND(FG7&gt;=FK$36,FH7&gt;=FK$40,FG7&lt;&gt;""),AND(GI7&gt;=GM$36,GJ7&gt;=GM$40,GI7&lt;&gt;""),AND(HK7&gt;=HO$36,HL7&gt;=HO$40,HK7&lt;&gt;""),AND(IM7&gt;=IQ$36,IN7&gt;=IQ$40,IM7&lt;&gt;""),AND(JO7&gt;=JS$36,JP7&gt;=JS$40,JO7&lt;&gt;""),AND(KQ7&gt;=KU$36,KR7&gt;=KU$40,KQ7&lt;&gt;""),AND(LS7&gt;=LW$36,LT7&gt;=LW$40,LS7&lt;&gt;""),AND(MU7&gt;=MY$36,MV7&gt;=MY$40,MU7&lt;&gt;""),AND(NW7&gt;=OA$36,NX7&gt;=OA$40,NW7&lt;&gt;""),AND(OY7&gt;=PC$36,OZ7&gt;=PC$40,OY7&lt;&gt;""),AND(QA7&gt;=QE$36,QB7&gt;=QE$40,QA7&lt;&gt;"")),"Excellence",IF(F7="P","National Team",""))))</f>
        <v>National Team</v>
      </c>
      <c r="I7" s="14">
        <f>IF(COUNT(AR7,BU7,CX7)&gt;0,LARGE((AR7,BU7,CX7),1),0)</f>
        <v>49</v>
      </c>
      <c r="J7" s="14" t="str">
        <f>IF(I7=0,"",IF(I7=CX7,$CB$1,IF(I7=BU7,$AY$1,IF(I7=AR7,$V$1,""))))</f>
        <v>2022 3rd Domestic Trial</v>
      </c>
      <c r="K7" s="14">
        <f>IF(COUNT(AR7,BU7,CX7)&gt;1,LARGE((AR7,BU7,CX7),2),0)</f>
        <v>48.8</v>
      </c>
      <c r="L7" s="14" t="str">
        <f>IF(K7=0,"",IF(K7=CX7,$CB$1,IF(K7=BU7,$AY$1,IF(K7=AR7,$V$1,""))))</f>
        <v>2022 Elite Canada</v>
      </c>
      <c r="M7" s="14">
        <f>IF(COUNT(AS7,BV7,CY7)&gt;0,LARGE((AS7,BV7,CY7),1),0)</f>
        <v>25.599999999999998</v>
      </c>
      <c r="N7" s="14" t="str">
        <f>IF(M7=0,"",IF(M7=CY7,$CB$1,IF(M7=BV7,$AY$1,IF(M7=AS7,$V$1,""))))</f>
        <v>2022 Nationals</v>
      </c>
      <c r="O7" s="14">
        <f>IF(COUNT(AS7,BV7,CY7)&gt;1,LARGE((AS7,BV7,CY7),2),0)</f>
        <v>25.5</v>
      </c>
      <c r="P7" s="14" t="str">
        <f>IF(O7=0,"",IF(O7=CY7,$CB$1,IF(O7=BV7,$AY$1,IF(O7=AS7,$V$1,""))))</f>
        <v>2022 Elite Canada</v>
      </c>
      <c r="Q7" s="14">
        <f>IF(MAX(AW7,BZ7,DC7)&gt;0,MAX(AW7,BZ7,DC7),0)</f>
        <v>52.099999999999994</v>
      </c>
      <c r="R7" s="14" t="str">
        <f>IF(Q7=0,"",IF(Q7=DC7,$CB$1,IF(Q7=BZ7,$AY$1,IF(Q7=AW7,$V$1,""))))</f>
        <v>2022 3rd Domestic Trial</v>
      </c>
      <c r="S7" s="14">
        <f>IF(MAX(DE7:DG7)&gt;0,MAX(DE7:DG7),"")</f>
        <v>4.2999999999999972</v>
      </c>
      <c r="T7" s="19" t="str">
        <f>IF(S7="","",IF(S7=DE7,"("&amp;DE$2&amp;")",IF(S7=DG7,"("&amp;DG$2&amp;")")))</f>
        <v>(Q1)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#2 (May 15)</v>
      </c>
      <c r="V7" s="26">
        <v>18.7</v>
      </c>
      <c r="W7" s="26">
        <v>7.3</v>
      </c>
      <c r="X7" s="26">
        <v>0.6</v>
      </c>
      <c r="Y7" s="26">
        <v>0</v>
      </c>
      <c r="Z7" s="26">
        <v>17.8</v>
      </c>
      <c r="AA7" s="26">
        <v>6.4</v>
      </c>
      <c r="AB7" s="26">
        <v>0.8</v>
      </c>
      <c r="AC7" s="26">
        <v>0</v>
      </c>
      <c r="AD7" s="26">
        <v>18.5</v>
      </c>
      <c r="AE7" s="26">
        <v>7.6</v>
      </c>
      <c r="AF7" s="26">
        <v>0.6</v>
      </c>
      <c r="AG7" s="26">
        <v>0</v>
      </c>
      <c r="AH7" s="26">
        <v>18.5</v>
      </c>
      <c r="AI7" s="26">
        <v>8.1</v>
      </c>
      <c r="AJ7" s="26">
        <v>0.2</v>
      </c>
      <c r="AK7" s="26">
        <v>0.3</v>
      </c>
      <c r="AL7" s="26">
        <v>0</v>
      </c>
      <c r="AM7" s="26">
        <v>0</v>
      </c>
      <c r="AN7" s="26">
        <v>0</v>
      </c>
      <c r="AO7" s="26">
        <v>0</v>
      </c>
      <c r="AP7" s="44"/>
      <c r="AQ7" s="78">
        <f>IF(SUM(W7,AA7)&gt;0,SUM(W7,AA7),"")</f>
        <v>13.7</v>
      </c>
      <c r="AR7" s="78">
        <f>IF(SUM(V7:W7,Y7:AA7,AC7)-X7-AB7&gt;0,SUM(V7:W7,Y7:AA7,AC7)-X7-AB7,"")</f>
        <v>48.8</v>
      </c>
      <c r="AS7" s="78">
        <f>IF(SUM(AD7:AE7,AG7)-AF7&gt;0,SUM(AD7:AE7,AG7)-AF7,"")</f>
        <v>25.5</v>
      </c>
      <c r="AT7" s="78">
        <f>IF(SUM(W7,AA7,AE7)&gt;0,SUM(W7,AA7,AE7),"")</f>
        <v>21.299999999999997</v>
      </c>
      <c r="AU7" s="78">
        <f>IF(SUM(AR7,AS7)&gt;0,SUM(AR7,AS7),"")</f>
        <v>74.3</v>
      </c>
      <c r="AV7" s="78">
        <f>IF(SUM(AI7,AM7)&gt;0,SUM(AI7,AM7),"")</f>
        <v>8.1</v>
      </c>
      <c r="AW7" s="78">
        <f>IF(SUM(AH7:AI7,AK7:AM7,AO7)-SUM(AJ7,AN7)&gt;0,SUM(AH7:AI7,AK7:AM7,AO7)-SUM(AJ7,AN7),"")</f>
        <v>26.700000000000003</v>
      </c>
      <c r="AX7" s="78">
        <f>IF(SUM(AR7,AW7)&gt;0,SUM(AR7,AW7),"")</f>
        <v>75.5</v>
      </c>
      <c r="AY7" s="25">
        <v>0</v>
      </c>
      <c r="AZ7" s="25">
        <v>0</v>
      </c>
      <c r="BA7" s="25">
        <v>0</v>
      </c>
      <c r="BB7" s="25">
        <v>0</v>
      </c>
      <c r="BC7" s="25">
        <v>18.600000000000001</v>
      </c>
      <c r="BD7" s="25">
        <v>6.8</v>
      </c>
      <c r="BE7" s="25">
        <v>0</v>
      </c>
      <c r="BF7" s="25">
        <v>0</v>
      </c>
      <c r="BG7" s="25">
        <v>18.399999999999999</v>
      </c>
      <c r="BH7" s="25">
        <v>7.2</v>
      </c>
      <c r="BI7" s="25">
        <v>0</v>
      </c>
      <c r="BJ7" s="25">
        <v>0</v>
      </c>
      <c r="BK7" s="25"/>
      <c r="BL7" s="25"/>
      <c r="BM7" s="25"/>
      <c r="BN7" s="25"/>
      <c r="BO7" s="25"/>
      <c r="BP7" s="25"/>
      <c r="BQ7" s="25"/>
      <c r="BR7" s="25"/>
      <c r="BS7" s="45"/>
      <c r="BT7" s="19">
        <f>IF(SUM(AZ7,BD7)&gt;0,SUM(AZ7,BD7),"")</f>
        <v>6.8</v>
      </c>
      <c r="BU7" s="19">
        <f>IF(SUM(AY7:AZ7,BB7:BD7,BF7)-BA7-BE7&gt;0,SUM(AY7:AZ7,BB7:BD7,BF7)-BA7-BE7,"")</f>
        <v>25.400000000000002</v>
      </c>
      <c r="BV7" s="19">
        <f>IF(SUM(BG7:BH7,BJ7)-BI7&gt;0,SUM(BG7:BH7,BJ7)-BI7,"")</f>
        <v>25.599999999999998</v>
      </c>
      <c r="BW7" s="19">
        <f>IF(SUM(AZ7,BD7,BH7)&gt;0,SUM(AZ7,BD7,BH7),"")</f>
        <v>14</v>
      </c>
      <c r="BX7" s="19">
        <f>IF(SUM(BU7,BV7)&gt;0,SUM(BU7,BV7),"")</f>
        <v>51</v>
      </c>
      <c r="BY7" s="19" t="str">
        <f>IF(SUM(BL7,BP7)&gt;0,SUM(BL7,BP7),"")</f>
        <v/>
      </c>
      <c r="BZ7" s="19" t="str">
        <f>IF(SUM(BK7:BL7,BN7:BP7,BR7)-SUM(BM7,BQ7)&gt;0,SUM(BK7:BL7,BN7:BP7,BR7)-SUM(BM7,BQ7),"")</f>
        <v/>
      </c>
      <c r="CA7" s="19">
        <f>IF(SUM(BU7,BZ7)&gt;0,SUM(BU7,BZ7),"")</f>
        <v>25.400000000000002</v>
      </c>
      <c r="CB7" s="26">
        <v>18.600000000000001</v>
      </c>
      <c r="CC7" s="26">
        <v>5.6</v>
      </c>
      <c r="CD7" s="26">
        <v>1.2</v>
      </c>
      <c r="CE7" s="26">
        <v>0</v>
      </c>
      <c r="CF7" s="26">
        <v>18.5</v>
      </c>
      <c r="CG7" s="26">
        <v>8.5</v>
      </c>
      <c r="CH7" s="26">
        <v>1</v>
      </c>
      <c r="CI7" s="26">
        <v>0</v>
      </c>
      <c r="CJ7" s="26">
        <v>18.579999999999998</v>
      </c>
      <c r="CK7" s="26">
        <v>7.2</v>
      </c>
      <c r="CL7" s="26">
        <v>1</v>
      </c>
      <c r="CM7" s="26">
        <v>0</v>
      </c>
      <c r="CN7" s="26">
        <v>18.899999999999999</v>
      </c>
      <c r="CO7" s="26">
        <v>8.4</v>
      </c>
      <c r="CP7" s="26">
        <v>0.6</v>
      </c>
      <c r="CQ7" s="26">
        <v>0</v>
      </c>
      <c r="CR7" s="26">
        <v>18.8</v>
      </c>
      <c r="CS7" s="26">
        <v>7.2</v>
      </c>
      <c r="CT7" s="26">
        <v>0.6</v>
      </c>
      <c r="CU7" s="26">
        <v>0</v>
      </c>
      <c r="CV7" s="44"/>
      <c r="CW7" s="78">
        <f>IF(SUM(CC7,CG7)&gt;0,SUM(CC7,CG7),"")</f>
        <v>14.1</v>
      </c>
      <c r="CX7" s="78">
        <f>IF(SUM(CB7:CC7,CE7:CG7,CI7)-CD7-CH7&gt;0,SUM(CB7:CC7,CE7:CG7,CI7)-CD7-CH7,"")</f>
        <v>49</v>
      </c>
      <c r="CY7" s="78">
        <f>IF(SUM(CJ7:CK7,CM7)-CL7&gt;0,SUM(CJ7:CK7,CM7)-CL7,"")</f>
        <v>24.779999999999998</v>
      </c>
      <c r="CZ7" s="78">
        <f>IF(SUM(CC7,CG7,CK7)&gt;0,SUM(CC7,CG7,CK7),"")</f>
        <v>21.3</v>
      </c>
      <c r="DA7" s="78">
        <f>IF(SUM(CX7,CY7)&gt;0,SUM(CX7,CY7),"")</f>
        <v>73.78</v>
      </c>
      <c r="DB7" s="78">
        <f>IF(SUM(CO7,CS7)&gt;0,SUM(CO7,CS7),"")</f>
        <v>15.600000000000001</v>
      </c>
      <c r="DC7" s="78">
        <f>IF(SUM(CN7:CO7,CQ7:CS7,CU7)-SUM(CP7,CT7)&gt;0,SUM(CN7:CO7,CQ7:CS7,CU7)-SUM(CP7,CT7),"")</f>
        <v>52.099999999999994</v>
      </c>
      <c r="DD7" s="78">
        <f>IF(SUM(CX7,DC7)&gt;0,SUM(CX7,DC7),"")</f>
        <v>101.1</v>
      </c>
      <c r="DE7" s="79">
        <f>IF(K7&gt;=0.001,IF(MAX(EC7,FE7,GG7,HI7,IK7,JM7,KO7,LQ7,MS7,NU7,OW7,PY7)-IF(K7="",0,K7)&gt;0.001,MAX(EC7,FE7,GG7,HI7,IK7,JM7,KO7,LQ7,MS7,NU7,OW7,PY7)-IF(K7="",0,K7),""),"")</f>
        <v>4.2999999999999972</v>
      </c>
      <c r="DF7" s="79" t="str">
        <f>IF(O7&gt;=0.001,IF(MAX(ED7,FF7,GH7,HJ7,IL7,JN7,KP7,LR7,MT7,NV7,OX7,PZ7)-IF(O7="",0,O7)&gt;0.001,MAX(ED7,FF7,GH7,HJ7,IL7,JN7,KP7,LR7,MT7,NV7,OX7,PZ7)-IF(O7="",0,O7),""),"")</f>
        <v/>
      </c>
      <c r="DG7" s="79">
        <f>IF(Q7&gt;=0.001,IF(MAX(EH7,FJ7,GL7,HN7,IP7,JR7,KT7,LV7,MX7,NZ7,PB7,QD7)-IF(Q7="",0,Q7)&gt;0.001,MAX(EH7,FJ7,GL7,HN7,IP7,JR7,KT7,LV7,MX7,NZ7,PB7,QD7)-IF(Q7="",0,Q7),""),"")</f>
        <v>0.10000000000000853</v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>IF(SUM(DI7,DM7)&gt;0,SUM(DI7,DM7),"")</f>
        <v/>
      </c>
      <c r="EC7" s="78" t="str">
        <f>IF(SUM(DH7:DI7,DK7:DM7,DO7)-DJ7-DN7&gt;0,SUM(DH7:DI7,DK7:DM7,DO7)-DJ7-DN7,"")</f>
        <v/>
      </c>
      <c r="ED7" s="78" t="str">
        <f>IF(SUM(DP7:DQ7,DS7)-DR7&gt;0,SUM(DP7:DQ7,DS7)-DR7,"")</f>
        <v/>
      </c>
      <c r="EE7" s="78" t="str">
        <f>IF(SUM(DI7,DM7,DQ7)&gt;0,SUM(DI7,DM7,DQ7),"")</f>
        <v/>
      </c>
      <c r="EF7" s="78" t="str">
        <f>IF(SUM(EC7,ED7)&gt;0,SUM(EC7,ED7),"")</f>
        <v/>
      </c>
      <c r="EG7" s="78" t="str">
        <f>IF(SUM(DU7,DY7)&gt;0,SUM(DU7,DY7),"")</f>
        <v/>
      </c>
      <c r="EH7" s="78" t="str">
        <f>IF(SUM(DT7:DU7,DW7:DY7,EA7)-SUM(DV7,DZ7)&gt;0,SUM(DT7:DU7,DW7:DY7,EA7)-SUM(DV7,DZ7),"")</f>
        <v/>
      </c>
      <c r="EI7" s="78" t="str">
        <f>IF(SUM(EC7,EH7)&gt;0,SUM(EC7,EH7),"")</f>
        <v/>
      </c>
      <c r="EJ7" s="25">
        <v>18.5</v>
      </c>
      <c r="EK7" s="25">
        <v>7.3</v>
      </c>
      <c r="EL7" s="25">
        <v>0</v>
      </c>
      <c r="EM7" s="25">
        <v>0</v>
      </c>
      <c r="EN7" s="25">
        <v>18.399999999999999</v>
      </c>
      <c r="EO7" s="25">
        <v>7.6</v>
      </c>
      <c r="EP7" s="25">
        <v>0</v>
      </c>
      <c r="EQ7" s="25">
        <v>0</v>
      </c>
      <c r="ER7" s="25"/>
      <c r="ES7" s="25"/>
      <c r="ET7" s="25"/>
      <c r="EU7" s="25"/>
      <c r="EV7" s="25">
        <v>17.2</v>
      </c>
      <c r="EW7" s="25">
        <v>4</v>
      </c>
      <c r="EX7" s="25">
        <v>0</v>
      </c>
      <c r="EY7" s="25">
        <v>0</v>
      </c>
      <c r="EZ7" s="25">
        <v>18.399999999999999</v>
      </c>
      <c r="FA7" s="25">
        <v>7.3</v>
      </c>
      <c r="FB7" s="25">
        <v>0.6</v>
      </c>
      <c r="FC7" s="25">
        <v>0</v>
      </c>
      <c r="FD7" s="19">
        <f>IF(SUM(EK7,EO7)&gt;0,SUM(EK7,EO7),"")</f>
        <v>14.899999999999999</v>
      </c>
      <c r="FE7" s="19">
        <f>IF(SUM(EJ7:EK7,EM7:EO7,EQ7)-EL7-EP7&gt;0,SUM(EJ7:EK7,EM7:EO7,EQ7)-EL7-EP7,"")</f>
        <v>51.800000000000004</v>
      </c>
      <c r="FF7" s="19" t="str">
        <f>IF(SUM(ER7:ES7,EU7)-ET7&gt;0,SUM(ER7:ES7,EU7)-ET7,"")</f>
        <v/>
      </c>
      <c r="FG7" s="19">
        <f>IF(SUM(EK7,EO7,ES7)&gt;0,SUM(EK7,EO7,ES7),"")</f>
        <v>14.899999999999999</v>
      </c>
      <c r="FH7" s="19">
        <f>IF(SUM(FE7,FF7)&gt;0,SUM(FE7,FF7),"")</f>
        <v>51.800000000000004</v>
      </c>
      <c r="FI7" s="19">
        <f>IF(SUM(EW7,FA7)&gt;0,SUM(EW7,FA7),"")</f>
        <v>11.3</v>
      </c>
      <c r="FJ7" s="19">
        <f>IF(SUM(EV7:EW7,EY7:FA7,FC7)-SUM(EX7,FB7)&gt;0,SUM(EV7:EW7,EY7:FA7,FC7)-SUM(EX7,FB7),"")</f>
        <v>46.29999999999999</v>
      </c>
      <c r="FK7" s="19">
        <f>IF(SUM(FE7,FJ7)&gt;0,SUM(FE7,FJ7),"")</f>
        <v>98.1</v>
      </c>
      <c r="FL7" s="24">
        <v>18.899999999999999</v>
      </c>
      <c r="FM7" s="24">
        <v>7.2</v>
      </c>
      <c r="FN7" s="24">
        <v>0</v>
      </c>
      <c r="FO7" s="24">
        <v>0</v>
      </c>
      <c r="FP7" s="24">
        <v>18.7</v>
      </c>
      <c r="FQ7" s="24">
        <v>8.5</v>
      </c>
      <c r="FR7" s="24">
        <v>0.2</v>
      </c>
      <c r="FS7" s="24">
        <v>0</v>
      </c>
      <c r="FT7" s="24"/>
      <c r="FU7" s="24"/>
      <c r="FV7" s="24"/>
      <c r="FW7" s="24"/>
      <c r="FX7" s="24">
        <v>18.3</v>
      </c>
      <c r="FY7" s="24">
        <v>8.5</v>
      </c>
      <c r="FZ7" s="24">
        <v>0.2</v>
      </c>
      <c r="GA7" s="24">
        <v>0</v>
      </c>
      <c r="GB7" s="24">
        <v>19</v>
      </c>
      <c r="GC7" s="24">
        <v>7.2</v>
      </c>
      <c r="GD7" s="24">
        <v>0.6</v>
      </c>
      <c r="GE7" s="24">
        <v>0</v>
      </c>
      <c r="GF7" s="78">
        <f>IF(SUM(FM7,FQ7)&gt;0,SUM(FM7,FQ7),"")</f>
        <v>15.7</v>
      </c>
      <c r="GG7" s="78">
        <f>IF(SUM(FL7:FM7,FO7:FQ7,FS7)-FN7-FR7&gt;0,SUM(FL7:FM7,FO7:FQ7,FS7)-FN7-FR7,"")</f>
        <v>53.099999999999994</v>
      </c>
      <c r="GH7" s="78" t="str">
        <f>IF(SUM(FT7:FU7,FW7)-FV7&gt;0,SUM(FT7:FU7,FW7)-FV7,"")</f>
        <v/>
      </c>
      <c r="GI7" s="78">
        <f>IF(SUM(FM7,FQ7,FU7)&gt;0,SUM(FM7,FQ7,FU7),"")</f>
        <v>15.7</v>
      </c>
      <c r="GJ7" s="78">
        <f>IF(SUM(GG7,GH7)&gt;0,SUM(GG7,GH7),"")</f>
        <v>53.099999999999994</v>
      </c>
      <c r="GK7" s="78">
        <f>IF(SUM(FY7,GC7)&gt;0,SUM(FY7,GC7),"")</f>
        <v>15.7</v>
      </c>
      <c r="GL7" s="78">
        <f>IF(SUM(FX7:FY7,GA7:GC7,GE7)-SUM(FZ7,GD7)&gt;0,SUM(FX7:FY7,GA7:GC7,GE7)-SUM(FZ7,GD7),"")</f>
        <v>52.2</v>
      </c>
      <c r="GM7" s="78">
        <f>IF(SUM(GG7,GL7)&gt;0,SUM(GG7,GL7),"")</f>
        <v>105.3</v>
      </c>
      <c r="GN7" s="25">
        <v>17.399999999999999</v>
      </c>
      <c r="GO7" s="25">
        <v>4</v>
      </c>
      <c r="GP7" s="25">
        <v>0</v>
      </c>
      <c r="GQ7" s="25">
        <v>0</v>
      </c>
      <c r="GR7" s="25">
        <v>18.7</v>
      </c>
      <c r="GS7" s="25">
        <v>7.2</v>
      </c>
      <c r="GT7" s="25">
        <v>0.6</v>
      </c>
      <c r="GU7" s="25">
        <v>0</v>
      </c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>
        <f>IF(SUM(GO7,GS7)&gt;0,SUM(GO7,GS7),"")</f>
        <v>11.2</v>
      </c>
      <c r="HI7" s="19">
        <f>IF(SUM(GN7:GO7,GQ7:GS7,GU7)-GP7-GT7&gt;0,SUM(GN7:GO7,GQ7:GS7,GU7)-GP7-GT7,"")</f>
        <v>46.699999999999996</v>
      </c>
      <c r="HJ7" s="19" t="str">
        <f>IF(SUM(GV7:GW7,GY7)-GX7&gt;0,SUM(GV7:GW7,GY7)-GX7,"")</f>
        <v/>
      </c>
      <c r="HK7" s="19">
        <f>IF(SUM(GO7,GS7,GW7)&gt;0,SUM(GO7,GS7,GW7),"")</f>
        <v>11.2</v>
      </c>
      <c r="HL7" s="19">
        <f>IF(SUM(HI7,HJ7)&gt;0,SUM(HI7,HJ7),"")</f>
        <v>46.699999999999996</v>
      </c>
      <c r="HM7" s="19" t="str">
        <f>IF(SUM(HA7,HE7)&gt;0,SUM(HA7,HE7),"")</f>
        <v/>
      </c>
      <c r="HN7" s="19" t="str">
        <f>IF(SUM(GZ7:HA7,HC7:HE7,HG7)-SUM(HB7,HF7)&gt;0,SUM(GZ7:HA7,HC7:HE7,HG7)-SUM(HB7,HF7),"")</f>
        <v/>
      </c>
      <c r="HO7" s="19">
        <f>IF(SUM(HI7,HN7)&gt;0,SUM(HI7,HN7),"")</f>
        <v>46.699999999999996</v>
      </c>
      <c r="HP7" s="24">
        <v>18.5</v>
      </c>
      <c r="HQ7" s="24">
        <v>6</v>
      </c>
      <c r="HR7" s="24">
        <v>0.6</v>
      </c>
      <c r="HS7" s="24">
        <v>0</v>
      </c>
      <c r="HT7" s="24">
        <v>17.600000000000001</v>
      </c>
      <c r="HU7" s="24">
        <v>8.1</v>
      </c>
      <c r="HV7" s="24">
        <v>0.2</v>
      </c>
      <c r="HW7" s="24">
        <v>0</v>
      </c>
      <c r="HX7" s="24"/>
      <c r="HY7" s="24"/>
      <c r="HZ7" s="24"/>
      <c r="IA7" s="24"/>
      <c r="IB7" s="24">
        <v>17.399999999999999</v>
      </c>
      <c r="IC7" s="24">
        <v>2.8</v>
      </c>
      <c r="ID7" s="24">
        <v>0</v>
      </c>
      <c r="IE7" s="24">
        <v>0</v>
      </c>
      <c r="IF7" s="24"/>
      <c r="IG7" s="24"/>
      <c r="IH7" s="24"/>
      <c r="II7" s="24"/>
      <c r="IJ7" s="78">
        <f>IF(SUM(HQ7,HU7)&gt;0,SUM(HQ7,HU7),"")</f>
        <v>14.1</v>
      </c>
      <c r="IK7" s="78">
        <f>IF(SUM(HP7:HQ7,HS7:HU7,HW7)-HR7-HV7&gt;0,SUM(HP7:HQ7,HS7:HU7,HW7)-HR7-HV7,"")</f>
        <v>49.4</v>
      </c>
      <c r="IL7" s="78" t="str">
        <f>IF(SUM(HX7:HY7,IA7)-HZ7&gt;0,SUM(HX7:HY7,IA7)-HZ7,"")</f>
        <v/>
      </c>
      <c r="IM7" s="78">
        <f>IF(SUM(HQ7,HU7,HY7)&gt;0,SUM(HQ7,HU7,HY7),"")</f>
        <v>14.1</v>
      </c>
      <c r="IN7" s="78">
        <f>IF(SUM(IK7,IL7)&gt;0,SUM(IK7,IL7),"")</f>
        <v>49.4</v>
      </c>
      <c r="IO7" s="78">
        <f>IF(SUM(IC7,IG7)&gt;0,SUM(IC7,IG7),"")</f>
        <v>2.8</v>
      </c>
      <c r="IP7" s="78">
        <f>IF(SUM(IB7:IC7,IE7:IG7,II7)-SUM(ID7,IH7)&gt;0,SUM(IB7:IC7,IE7:IG7,II7)-SUM(ID7,IH7),"")</f>
        <v>20.2</v>
      </c>
      <c r="IQ7" s="78">
        <f>IF(SUM(IK7,IP7)&gt;0,SUM(IK7,IP7),"")</f>
        <v>69.599999999999994</v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>IF(SUM(IS7,IW7)&gt;0,SUM(IS7,IW7),"")</f>
        <v/>
      </c>
      <c r="JM7" s="19" t="str">
        <f>IF(SUM(IR7:IS7,IU7:IW7,IY7)-IT7-IX7&gt;0,SUM(IR7:IS7,IU7:IW7,IY7)-IT7-IX7,"")</f>
        <v/>
      </c>
      <c r="JN7" s="19" t="str">
        <f>IF(SUM(IZ7:JA7,JC7)-JB7&gt;0,SUM(IZ7:JA7,JC7)-JB7,"")</f>
        <v/>
      </c>
      <c r="JO7" s="19" t="str">
        <f>IF(SUM(IS7,IW7,JA7)&gt;0,SUM(IS7,IW7,JA7),"")</f>
        <v/>
      </c>
      <c r="JP7" s="19" t="str">
        <f>IF(SUM(JM7,JN7)&gt;0,SUM(JM7,JN7),"")</f>
        <v/>
      </c>
      <c r="JQ7" s="19" t="str">
        <f>IF(SUM(JE7,JI7)&gt;0,SUM(JE7,JI7),"")</f>
        <v/>
      </c>
      <c r="JR7" s="19" t="str">
        <f>IF(SUM(JD7:JE7,JG7:JI7,JK7)-SUM(JF7,JJ7)&gt;0,SUM(JD7:JE7,JG7:JI7,JK7)-SUM(JF7,JJ7),"")</f>
        <v/>
      </c>
      <c r="JS7" s="19" t="str">
        <f>IF(SUM(JM7,JR7)&gt;0,SUM(JM7,JR7),"")</f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>IF(SUM(JU7,JY7)&gt;0,SUM(JU7,JY7),"")</f>
        <v/>
      </c>
      <c r="KO7" s="78" t="str">
        <f>IF(SUM(JT7:JU7,JW7:JY7,KA7)-JV7-JZ7&gt;0,SUM(JT7:JU7,JW7:JY7,KA7)-JV7-JZ7,"")</f>
        <v/>
      </c>
      <c r="KP7" s="78" t="str">
        <f>IF(SUM(KB7:KC7,KE7)-KD7&gt;0,SUM(KB7:KC7,KE7)-KD7,"")</f>
        <v/>
      </c>
      <c r="KQ7" s="78" t="str">
        <f>IF(SUM(JU7,JY7,KC7)&gt;0,SUM(JU7,JY7,KC7),"")</f>
        <v/>
      </c>
      <c r="KR7" s="78" t="str">
        <f>IF(SUM(KO7,KP7)&gt;0,SUM(KO7,KP7),"")</f>
        <v/>
      </c>
      <c r="KS7" s="78" t="str">
        <f>IF(SUM(KG7,KK7)&gt;0,SUM(KG7,KK7),"")</f>
        <v/>
      </c>
      <c r="KT7" s="78" t="str">
        <f>IF(SUM(KF7:KG7,KI7:KK7,KM7)-SUM(KH7,KL7)&gt;0,SUM(KF7:KG7,KI7:KK7,KM7)-SUM(KH7,KL7),"")</f>
        <v/>
      </c>
      <c r="KU7" s="78" t="str">
        <f>IF(SUM(KO7,KT7)&gt;0,SUM(KO7,KT7),"")</f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>IF(SUM(KW7,LA7)&gt;0,SUM(KW7,LA7),"")</f>
        <v/>
      </c>
      <c r="LQ7" s="19" t="str">
        <f>IF(SUM(KV7:KW7,KY7:LA7,LC7)-KX7-LB7&gt;0,SUM(KV7:KW7,KY7:LA7,LC7)-KX7-LB7,"")</f>
        <v/>
      </c>
      <c r="LR7" s="19" t="str">
        <f>IF(SUM(LD7:LE7,LG7)-LF7&gt;0,SUM(LD7:LE7,LG7)-LF7,"")</f>
        <v/>
      </c>
      <c r="LS7" s="19" t="str">
        <f>IF(SUM(KW7,LA7,LE7)&gt;0,SUM(KW7,LA7,LE7),"")</f>
        <v/>
      </c>
      <c r="LT7" s="19" t="str">
        <f>IF(SUM(LQ7,LR7)&gt;0,SUM(LQ7,LR7),"")</f>
        <v/>
      </c>
      <c r="LU7" s="19" t="str">
        <f>IF(SUM(LI7,LM7)&gt;0,SUM(LI7,LM7),"")</f>
        <v/>
      </c>
      <c r="LV7" s="19" t="str">
        <f>IF(SUM(LH7:LI7,LK7:LM7,LO7)-SUM(LJ7,LN7)&gt;0,SUM(LH7:LI7,LK7:LM7,LO7)-SUM(LJ7,LN7),"")</f>
        <v/>
      </c>
      <c r="LW7" s="19" t="str">
        <f>IF(SUM(LQ7,LV7)&gt;0,SUM(LQ7,LV7),"")</f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>IF(SUM(LY7,MC7)&gt;0,SUM(LY7,MC7),"")</f>
        <v/>
      </c>
      <c r="MS7" s="78" t="str">
        <f>IF(SUM(LX7:LY7,MA7:MC7,ME7)-LZ7-MD7&gt;0,SUM(LX7:LY7,MA7:MC7,ME7)-LZ7-MD7,"")</f>
        <v/>
      </c>
      <c r="MT7" s="78" t="str">
        <f>IF(SUM(MF7:MG7,MI7)-MH7&gt;0,SUM(MF7:MG7,MI7)-MH7,"")</f>
        <v/>
      </c>
      <c r="MU7" s="78" t="str">
        <f>IF(SUM(LY7,MC7,MG7)&gt;0,SUM(LY7,MC7,MG7),"")</f>
        <v/>
      </c>
      <c r="MV7" s="78" t="str">
        <f>IF(SUM(MS7,MT7)&gt;0,SUM(MS7,MT7),"")</f>
        <v/>
      </c>
      <c r="MW7" s="78" t="str">
        <f>IF(SUM(MK7,MO7)&gt;0,SUM(MK7,MO7),"")</f>
        <v/>
      </c>
      <c r="MX7" s="78" t="str">
        <f>IF(SUM(MJ7:MK7,MM7:MO7,MQ7)-SUM(ML7,MP7)&gt;0,SUM(MJ7:MK7,MM7:MO7,MQ7)-SUM(ML7,MP7),"")</f>
        <v/>
      </c>
      <c r="MY7" s="78" t="str">
        <f>IF(SUM(MS7,MX7)&gt;0,SUM(MS7,MX7),"")</f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>IF(SUM(NA7,NE7)&gt;0,SUM(NA7,NE7),"")</f>
        <v/>
      </c>
      <c r="NU7" s="19" t="str">
        <f>IF(SUM(MZ7:NA7,NC7:NE7,NG7)-NB7-NF7&gt;0,SUM(MZ7:NA7,NC7:NE7,NG7)-NB7-NF7,"")</f>
        <v/>
      </c>
      <c r="NV7" s="19" t="str">
        <f>IF(SUM(NH7:NI7,NK7)-NJ7&gt;0,SUM(NH7:NI7,NK7)-NJ7,"")</f>
        <v/>
      </c>
      <c r="NW7" s="19" t="str">
        <f>IF(SUM(NA7,NE7,NI7)&gt;0,SUM(NA7,NE7,NI7),"")</f>
        <v/>
      </c>
      <c r="NX7" s="19" t="str">
        <f>IF(SUM(NU7,NV7)&gt;0,SUM(NU7,NV7),"")</f>
        <v/>
      </c>
      <c r="NY7" s="19" t="str">
        <f>IF(SUM(NM7,NQ7)&gt;0,SUM(NM7,NQ7),"")</f>
        <v/>
      </c>
      <c r="NZ7" s="19" t="str">
        <f>IF(SUM(NL7:NM7,NO7:NQ7,NS7)-SUM(NN7,NR7)&gt;0,SUM(NL7:NM7,NO7:NQ7,NS7)-SUM(NN7,NR7),"")</f>
        <v/>
      </c>
      <c r="OA7" s="19" t="str">
        <f>IF(SUM(NU7,NZ7)&gt;0,SUM(NU7,NZ7),"")</f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>IF(SUM(OC7,OG7)&gt;0,SUM(OC7,OG7),"")</f>
        <v/>
      </c>
      <c r="OW7" s="78" t="str">
        <f>IF(SUM(OB7:OC7,OE7:OG7,OI7)-OD7-OH7&gt;0,SUM(OB7:OC7,OE7:OG7,OI7)-OD7-OH7,"")</f>
        <v/>
      </c>
      <c r="OX7" s="78" t="str">
        <f>IF(SUM(OJ7:OK7,OM7)-OL7&gt;0,SUM(OJ7:OK7,OM7)-OL7,"")</f>
        <v/>
      </c>
      <c r="OY7" s="78" t="str">
        <f>IF(SUM(OC7,OG7,OK7)&gt;0,SUM(OC7,OG7,OK7),"")</f>
        <v/>
      </c>
      <c r="OZ7" s="78" t="str">
        <f>IF(SUM(OW7,OX7)&gt;0,SUM(OW7,OX7),"")</f>
        <v/>
      </c>
      <c r="PA7" s="78" t="str">
        <f>IF(SUM(OO7,OS7)&gt;0,SUM(OO7,OS7),"")</f>
        <v/>
      </c>
      <c r="PB7" s="78" t="str">
        <f>IF(SUM(ON7:OO7,OQ7:OS7,OU7)-SUM(OP7,OT7)&gt;0,SUM(ON7:OO7,OQ7:OS7,OU7)-SUM(OP7,OT7),"")</f>
        <v/>
      </c>
      <c r="PC7" s="78" t="str">
        <f>IF(SUM(OW7,PB7)&gt;0,SUM(OW7,PB7),"")</f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>IF(SUM(PE7,PI7)&gt;0,SUM(PE7,PI7),"")</f>
        <v/>
      </c>
      <c r="PY7" s="19" t="str">
        <f>IF(SUM(PD7:PE7,PG7:PI7,PK7)-PF7-PJ7&gt;0,SUM(PD7:PE7,PG7:PI7,PK7)-PF7-PJ7,"")</f>
        <v/>
      </c>
      <c r="PZ7" s="19" t="str">
        <f>IF(SUM(PL7:PM7,PO7)-PN7&gt;0,SUM(PL7:PM7,PO7)-PN7,"")</f>
        <v/>
      </c>
      <c r="QA7" s="19" t="str">
        <f>IF(SUM(PE7,PI7,PM7)&gt;0,SUM(PE7,PI7,PM7),"")</f>
        <v/>
      </c>
      <c r="QB7" s="19" t="str">
        <f>IF(SUM(PY7,PZ7)&gt;0,SUM(PY7,PZ7),"")</f>
        <v/>
      </c>
      <c r="QC7" s="19" t="str">
        <f>IF(SUM(PQ7,PU7)&gt;0,SUM(PQ7,PU7),"")</f>
        <v/>
      </c>
      <c r="QD7" s="19" t="str">
        <f>IF(SUM(PP7:PQ7,PS7:PU7,PW7)-SUM(PR7,PV7)&gt;0,SUM(PP7:PQ7,PS7:PU7,PW7)-SUM(PR7,PV7),"")</f>
        <v/>
      </c>
      <c r="QE7" s="19" t="str">
        <f>IF(SUM(PY7,QD7)&gt;0,SUM(PY7,QD7),"")</f>
        <v/>
      </c>
      <c r="QF7" s="37">
        <f>IF($CV7="P",CB7,(CB7+AY7)/2)</f>
        <v>9.3000000000000007</v>
      </c>
      <c r="QG7" s="37">
        <f>IF($CV7="P",CC7,(CC7+AZ7)/2)</f>
        <v>2.8</v>
      </c>
      <c r="QH7" s="37">
        <f>IF($CV7="P",CD7,(CD7+BA7)/2)</f>
        <v>0.6</v>
      </c>
      <c r="QI7" s="37">
        <f>IF($CV7="P",CE7,(CE7+BB7)/2)</f>
        <v>0</v>
      </c>
      <c r="QJ7" s="37">
        <f>IF($CV7="P",CF7,(CF7+BC7)/2)</f>
        <v>18.55</v>
      </c>
      <c r="QK7" s="37">
        <f>IF($CV7="P",CG7,(CG7+BD7)/2)</f>
        <v>7.65</v>
      </c>
      <c r="QL7" s="37">
        <f>IF($CV7="P",CH7,(CH7+BE7)/2)</f>
        <v>0.5</v>
      </c>
      <c r="QM7" s="37">
        <f>IF($CV7="P",CI7,(CI7+BF7)/2)</f>
        <v>0</v>
      </c>
      <c r="QN7" s="37">
        <f>IF($CV7="P",CJ7,(CJ7+BG7)/2)</f>
        <v>18.489999999999998</v>
      </c>
      <c r="QO7" s="37">
        <f>IF($CV7="P",CK7,(CK7+BH7)/2)</f>
        <v>7.2</v>
      </c>
      <c r="QP7" s="37">
        <f>IF($CV7="P",CL7,(CL7+BI7)/2)</f>
        <v>0.5</v>
      </c>
      <c r="QQ7" s="37">
        <f>IF($CV7="P",CM7,(CM7+BJ7)/2)</f>
        <v>0</v>
      </c>
      <c r="QR7" s="37">
        <f>IF($CV7="P",CN7,(CN7+BK7)/2)</f>
        <v>9.4499999999999993</v>
      </c>
      <c r="QS7" s="37">
        <f>IF($CV7="P",CO7,(CO7+BL7)/2)</f>
        <v>4.2</v>
      </c>
      <c r="QT7" s="37">
        <f>IF($CV7="P",CP7,(CP7+BM7)/2)</f>
        <v>0.3</v>
      </c>
      <c r="QU7" s="37">
        <f>IF($CV7="P",CQ7,(CQ7+BN7)/2)</f>
        <v>0</v>
      </c>
      <c r="QV7" s="37">
        <f>IF($CV7="P",CR7,(CR7+BO7)/2)</f>
        <v>9.4</v>
      </c>
      <c r="QW7" s="37">
        <f>IF($CV7="P",CS7,(CS7+BP7)/2)</f>
        <v>3.6</v>
      </c>
      <c r="QX7" s="37">
        <f>IF($CV7="P",CT7,(CT7+BQ7)/2)</f>
        <v>0.3</v>
      </c>
      <c r="QY7" s="37">
        <f>IF($CV7="P",CU7,(CU7+BR7)/2)</f>
        <v>0</v>
      </c>
      <c r="QZ7" s="44" t="s">
        <v>46</v>
      </c>
      <c r="RA7" s="78">
        <f>IF(SUM(QG7,QK7)&gt;0,SUM(QG7,QK7),"")</f>
        <v>10.45</v>
      </c>
      <c r="RB7" s="78">
        <f>IF(SUM(QF7:QG7,QI7:QK7,QM7)-QH7-QL7&gt;0,SUM(QF7:QG7,QI7:QK7,QM7)-QH7-QL7,"")</f>
        <v>37.200000000000003</v>
      </c>
      <c r="RC7" s="78">
        <f>IF(SUM(QN7:QO7,QQ7)-QP7&gt;0,SUM(QN7:QO7,QQ7)-QP7,"")</f>
        <v>25.189999999999998</v>
      </c>
      <c r="RD7" s="78">
        <f>IF(SUM(QG7,QK7,QO7)&gt;0,SUM(QG7,QK7,QO7),"")</f>
        <v>17.649999999999999</v>
      </c>
      <c r="RE7" s="78">
        <f>IF(SUM(RB7,RC7)&gt;0,SUM(RB7,RC7),"")</f>
        <v>62.39</v>
      </c>
      <c r="RF7" s="78">
        <f>IF(SUM(QS7,QW7)&gt;0,SUM(QS7,QW7),"")</f>
        <v>7.8000000000000007</v>
      </c>
      <c r="RG7" s="78">
        <f>IF(SUM(QR7:QS7,QU7:QW7,QY7)-SUM(QT7,QX7)&gt;0,SUM(QR7:QS7,QU7:QW7,QY7)-SUM(QT7,QX7),"")</f>
        <v>26.049999999999997</v>
      </c>
      <c r="RH7" s="78">
        <f>IF(SUM(RB7,RG7)&gt;0,SUM(RB7,RG7),"")</f>
        <v>63.25</v>
      </c>
    </row>
    <row r="8" spans="1:476" x14ac:dyDescent="0.2">
      <c r="A8" s="5">
        <f>IF(AND(F8="P",G8="P"),SUMPRODUCT((F$4:F$32="P")*(G$4:G$32="P")*(E$4:E$32&gt;E8))+1,IF(G8="P",SUMPRODUCT((F$4:F$32="")*(G$4:G$32="P")*(E$4:E$32&gt;E8))+1+SUMPRODUCT((F$4:F$32="P")*(G$4:G$32="P")),""))</f>
        <v>5</v>
      </c>
      <c r="B8" s="77" t="s">
        <v>185</v>
      </c>
      <c r="C8" s="5" t="s">
        <v>3</v>
      </c>
      <c r="D8" s="5">
        <v>2002</v>
      </c>
      <c r="E8" s="15">
        <f>SUM(I8:S8)+SUM(I8:O8)*0.0000001+SUM(I8)*0.0000000000001</f>
        <v>203.60001516000517</v>
      </c>
      <c r="F8" s="3" t="str">
        <f>IF(OR(AND(AQ8&gt;=AX$34,AR8&gt;=AX$38,AQ8&lt;&gt;"",AP8=""),AND(AV8&gt;=AX$34,AW8&gt;=AX$38,AV8&lt;&gt;"",AP8=""),AND(BT8&gt;=CA$34,BU8&gt;=CA$38,BT8&lt;&gt;"",BS8=""),AND(BY8&gt;=CA$34,BZ8&gt;=CA$38,BY8&lt;&gt;"",BS8=""),AND(CW8&gt;=DD$34,CX8&gt;=DD$38,CW8&lt;&gt;"",CV8=""),AND(DB8&gt;=DD$34,DC8&gt;=DD$38,DB8&lt;&gt;""),AND(EB8&gt;=EI$34,EC8&gt;=EI$38,EB8&lt;&gt;""),AND(EG8&gt;=EI$34,EH8&gt;=EI$38,EG8&lt;&gt;""),AND(FD8&gt;=FK$34,FE8&gt;=FK$38,FD8&lt;&gt;""),AND(FI8&gt;=FK$34,FJ8&gt;=FK$38,FI8&lt;&gt;""),AND(GF8&gt;=GM$34,GG8&gt;=GM$38,GF8&lt;&gt;""),AND(GK8&gt;=GM$34,GL8&gt;=GM$38,GK8&lt;&gt;""),AND(HH8&gt;=HO$34,HI8&gt;=HO$38,HH8&lt;&gt;""),AND(HM8&gt;=HO$34,HN8&gt;=HO$38,HM8&lt;&gt;""),AND(IJ8&gt;=IQ$34,IK8&gt;=IQ$38,IJ8&lt;&gt;""),AND(IO8&gt;=IQ$34,IP8&gt;=IQ$38,IO8&lt;&gt;""),AND(JL8&gt;=JS$34,JM8&gt;=JS$38,JL8&lt;&gt;""),AND(JQ8&gt;=JS$34,JR8&gt;=JS$38,JQ8&lt;&gt;""),AND(KN8&gt;=KU$34,KO8&gt;=KU$38,KN8&lt;&gt;""),AND(KS8&gt;=KU$34,KT8&gt;=KU$38,KS8&lt;&gt;""),AND(LP8&gt;=LW$34,LQ8&gt;=LW$38,LP8&lt;&gt;""),AND(LU8&gt;=LW$34,LV8&gt;=LW$38,LU8&lt;&gt;""),AND(MR8&gt;=MY$34,MS8&gt;=MY$38,MR8&lt;&gt;""),AND(MW8&gt;=MY$34,MX8&gt;=MY$38,MW8&lt;&gt;""),AND(NT8&gt;=OA$34,NU8&gt;=OA$38,NT8&lt;&gt;""),AND(NY8&gt;=OA$34,NZ8&gt;=OA$38,NY8&lt;&gt;""),AND(OV8&gt;=PC$34,OW8&gt;=PC$38,OV8&lt;&gt;""),AND(PA8&gt;=PC$34,PB8&gt;=PC$38,PA8&lt;&gt;""),AND(PX8&gt;=QE$34,PY8&gt;=QE$38,PX8&lt;&gt;""),AND(QC8&gt;=QE$34,QD8&gt;=QE$38,QC8&lt;&gt;"")),"P","")</f>
        <v>P</v>
      </c>
      <c r="G8" s="3" t="str">
        <f>IF(OR(AND(AR8&gt;=AX$38,AR8&lt;&gt;"",AP8=""),AND(AW8&gt;=AX$38,AW8&lt;&gt;"",AP8=""),AND(BU8&gt;=CA$38,BU8&lt;&gt;"",BS8=""),AND(BZ8&gt;=CA$38,BZ8&lt;&gt;"",BS8=""),AND(CX8&gt;=DD$38,CX8&lt;&gt;"",CV8=""),AND(DC8&gt;=DD$38,DC8&lt;&gt;"",CV8=""),AND(EC8&gt;=EI$38,EC8&lt;&gt;""),AND(EH8&gt;=EI$38,EH8&lt;&gt;""),AND(FE8&gt;=FK$38,FE8&lt;&gt;""),AND(FJ8&gt;=FK$38,FJ8&lt;&gt;""),AND(GG8&gt;=GM$38,GG8&lt;&gt;""),AND(GL8&gt;=GM$38,GL8&lt;&gt;""),AND(HI8&gt;=HO$38,HI8&lt;&gt;""),AND(HN8&gt;=HO$38,HN8&lt;&gt;""),AND(IK8&gt;=IQ$38,IK8&lt;&gt;""),AND(IP8&gt;=IQ$38,IP8&lt;&gt;""),AND(JM8&gt;=JS$38,JM8&lt;&gt;""),AND(JR8&gt;=JS$38,JR8&lt;&gt;""),AND(KO8&gt;=KU$38,KO8&lt;&gt;""),AND(KT8&gt;=KU$38,KT8&lt;&gt;""),AND(LQ8&gt;=LW$38,LQ8&lt;&gt;""),AND(LV8&gt;=LW$38,LV8&lt;&gt;""),AND(MS8&gt;=MY$38,MS8&lt;&gt;""),AND(MX8&gt;=MY$38,MX8&lt;&gt;""),AND(NU8&gt;=OA$38,NU8&lt;&gt;""),AND(NZ8&gt;=OA$38,NZ8&lt;&gt;""),AND(OW8&gt;=PC$38,OW8&lt;&gt;""),AND(PB8&gt;=PC$38,PB8&lt;&gt;""),AND(PY8&gt;=QE$38,PY8&lt;&gt;""),AND(QD8&gt;=QE$38,QD8&lt;&gt;"")),"P","")</f>
        <v>P</v>
      </c>
      <c r="H8" s="66" t="str">
        <f>IF(AND(G8="P",F8=""),"No DD",IF(OR(AND(AT8&gt;=AX$37,AU8&gt;=AX$41,AT8&lt;&gt;"",AP8=""),AND(BW8&gt;=CA$37,BX8&gt;=CA$41,BW8&lt;&gt;"",BS8=""),AND(CZ8&gt;=DD$37,DA8&gt;=DD$41,CZ8&lt;&gt;"",CV8=""),AND(EE8&gt;=EI$37,EF8&gt;=EI$41,EE8&lt;&gt;""),AND(FG8&gt;=FK$37,FH8&gt;=FK$41,FG8&lt;&gt;""),AND(GI8&gt;=GM$37,GJ8&gt;=GM$41,GI8&lt;&gt;""),AND(HK8&gt;=HO$37,HL8&gt;=HO$41,HK8&lt;&gt;""),AND(IM8&gt;=IQ$37,IN8&gt;=IQ$41,IM8&lt;&gt;""),AND(JO8&gt;=JS$37,JP8&gt;=JS$41,JO8&lt;&gt;""),AND(KQ8&gt;=KU$37,KR8&gt;=KU$41,KQ8&lt;&gt;""),AND(LS8&gt;=LW$37,LT8&gt;=LW$41,LS8&lt;&gt;""),AND(MU8&gt;=MY$37,MV8&gt;=MY$41,MU8&lt;&gt;""),AND(NW8&gt;=OA$37,NX8&gt;=OA$41,NW8&lt;&gt;""),AND(OY8&gt;=PC$37,OZ8&gt;=PC$41,OY8&lt;&gt;""),AND(QA8&gt;=QE$37,QB8&gt;=QE$41,QA8&lt;&gt;"")),"Merit",IF(OR(AND(AT8&gt;=AX$36,AU8&gt;=AX$40,AT8&lt;&gt;"",AP8=""),AND(BW8&gt;=CA$36,BX8&gt;=CA$40,BW8&lt;&gt;"",BS8=""),AND(CZ8&gt;=DD$36,DA8&gt;=DD$40,CZ8&lt;&gt;"",CV8=""),AND(EE8&gt;=EI$36,EF8&gt;=EI$40,EE8&lt;&gt;""),AND(FG8&gt;=FK$36,FH8&gt;=FK$40,FG8&lt;&gt;""),AND(GI8&gt;=GM$36,GJ8&gt;=GM$40,GI8&lt;&gt;""),AND(HK8&gt;=HO$36,HL8&gt;=HO$40,HK8&lt;&gt;""),AND(IM8&gt;=IQ$36,IN8&gt;=IQ$40,IM8&lt;&gt;""),AND(JO8&gt;=JS$36,JP8&gt;=JS$40,JO8&lt;&gt;""),AND(KQ8&gt;=KU$36,KR8&gt;=KU$40,KQ8&lt;&gt;""),AND(LS8&gt;=LW$36,LT8&gt;=LW$40,LS8&lt;&gt;""),AND(MU8&gt;=MY$36,MV8&gt;=MY$40,MU8&lt;&gt;""),AND(NW8&gt;=OA$36,NX8&gt;=OA$40,NW8&lt;&gt;""),AND(OY8&gt;=PC$36,OZ8&gt;=PC$40,OY8&lt;&gt;""),AND(QA8&gt;=QE$36,QB8&gt;=QE$40,QA8&lt;&gt;"")),"Excellence",IF(F8="P","National Team",""))))</f>
        <v>National Team</v>
      </c>
      <c r="I8" s="14">
        <f>IF(COUNT(AR8,BU8,CX8)&gt;0,LARGE((AR8,BU8,CX8),1),0)</f>
        <v>51.8</v>
      </c>
      <c r="J8" s="14" t="str">
        <f>IF(I8=0,"",IF(I8=CX8,$CB$1,IF(I8=BU8,$AY$1,IF(I8=AR8,$V$1,""))))</f>
        <v>2022 Nationals</v>
      </c>
      <c r="K8" s="14">
        <f>IF(COUNT(AR8,BU8,CX8)&gt;1,LARGE((AR8,BU8,CX8),2),0)</f>
        <v>49.699999999999996</v>
      </c>
      <c r="L8" s="14" t="str">
        <f>IF(K8=0,"",IF(K8=CX8,$CB$1,IF(K8=BU8,$AY$1,IF(K8=AR8,$V$1,""))))</f>
        <v>2022 3rd Domestic Trial</v>
      </c>
      <c r="M8" s="14">
        <f>IF(COUNT(AS8,BV8,CY8)&gt;0,LARGE((AS8,BV8,CY8),1),0)</f>
        <v>25.099999999999998</v>
      </c>
      <c r="N8" s="14" t="str">
        <f>IF(M8=0,"",IF(M8=CY8,$CB$1,IF(M8=BV8,$AY$1,IF(M8=AS8,$V$1,""))))</f>
        <v>2022 3rd Domestic Trial</v>
      </c>
      <c r="O8" s="14">
        <f>IF(COUNT(AS8,BV8,CY8)&gt;1,LARGE((AS8,BV8,CY8),2),0)</f>
        <v>25</v>
      </c>
      <c r="P8" s="14" t="str">
        <f>IF(O8=0,"",IF(O8=CY8,$CB$1,IF(O8=BV8,$AY$1,IF(O8=AS8,$V$1,""))))</f>
        <v>2022 Nationals</v>
      </c>
      <c r="Q8" s="14">
        <f>IF(MAX(AW8,BZ8,DC8)&gt;0,MAX(AW8,BZ8,DC8),0)</f>
        <v>51.999999999999993</v>
      </c>
      <c r="R8" s="14" t="str">
        <f>IF(Q8=0,"",IF(Q8=DC8,$CB$1,IF(Q8=BZ8,$AY$1,IF(Q8=AW8,$V$1,""))))</f>
        <v>2022 Nationals</v>
      </c>
      <c r="S8" s="14" t="str">
        <f>IF(MAX(DE8:DG8)&gt;0,MAX(DE8:DG8),"")</f>
        <v/>
      </c>
      <c r="T8" s="19" t="str">
        <f>IF(S8="","",IF(S8=DE8,"("&amp;DE$2&amp;")",IF(S8=DG8,"("&amp;DG$2&amp;")")))</f>
        <v/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/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>IF(SUM(W8,AA8)&gt;0,SUM(W8,AA8),"")</f>
        <v/>
      </c>
      <c r="AR8" s="78" t="str">
        <f>IF(SUM(V8:W8,Y8:AA8,AC8)-X8-AB8&gt;0,SUM(V8:W8,Y8:AA8,AC8)-X8-AB8,"")</f>
        <v/>
      </c>
      <c r="AS8" s="78" t="str">
        <f>IF(SUM(AD8:AE8,AG8)-AF8&gt;0,SUM(AD8:AE8,AG8)-AF8,"")</f>
        <v/>
      </c>
      <c r="AT8" s="78" t="str">
        <f>IF(SUM(W8,AA8,AE8)&gt;0,SUM(W8,AA8,AE8),"")</f>
        <v/>
      </c>
      <c r="AU8" s="78" t="str">
        <f>IF(SUM(AR8,AS8)&gt;0,SUM(AR8,AS8),"")</f>
        <v/>
      </c>
      <c r="AV8" s="78" t="str">
        <f>IF(SUM(AI8,AM8)&gt;0,SUM(AI8,AM8),"")</f>
        <v/>
      </c>
      <c r="AW8" s="78" t="str">
        <f>IF(SUM(AH8:AI8,AK8:AM8,AO8)-SUM(AJ8,AN8)&gt;0,SUM(AH8:AI8,AK8:AM8,AO8)-SUM(AJ8,AN8),"")</f>
        <v/>
      </c>
      <c r="AX8" s="78" t="str">
        <f>IF(SUM(AR8,AW8)&gt;0,SUM(AR8,AW8),"")</f>
        <v/>
      </c>
      <c r="AY8" s="25">
        <v>18.3</v>
      </c>
      <c r="AZ8" s="25">
        <v>8.4</v>
      </c>
      <c r="BA8" s="25">
        <v>1</v>
      </c>
      <c r="BB8" s="25">
        <v>0</v>
      </c>
      <c r="BC8" s="25">
        <v>19.3</v>
      </c>
      <c r="BD8" s="25">
        <v>6.8</v>
      </c>
      <c r="BE8" s="25">
        <v>0</v>
      </c>
      <c r="BF8" s="25">
        <v>0</v>
      </c>
      <c r="BG8" s="25">
        <v>19</v>
      </c>
      <c r="BH8" s="25">
        <v>6</v>
      </c>
      <c r="BI8" s="25">
        <v>0</v>
      </c>
      <c r="BJ8" s="25">
        <v>0</v>
      </c>
      <c r="BK8" s="25">
        <v>18.5</v>
      </c>
      <c r="BL8" s="25">
        <v>8.4</v>
      </c>
      <c r="BM8" s="25">
        <v>0.6</v>
      </c>
      <c r="BN8" s="25">
        <v>0</v>
      </c>
      <c r="BO8" s="25">
        <v>18.899999999999999</v>
      </c>
      <c r="BP8" s="25">
        <v>6.8</v>
      </c>
      <c r="BQ8" s="25">
        <v>0</v>
      </c>
      <c r="BR8" s="25">
        <v>0</v>
      </c>
      <c r="BS8" s="45"/>
      <c r="BT8" s="19">
        <f>IF(SUM(AZ8,BD8)&gt;0,SUM(AZ8,BD8),"")</f>
        <v>15.2</v>
      </c>
      <c r="BU8" s="19">
        <f>IF(SUM(AY8:AZ8,BB8:BD8,BF8)-BA8-BE8&gt;0,SUM(AY8:AZ8,BB8:BD8,BF8)-BA8-BE8,"")</f>
        <v>51.8</v>
      </c>
      <c r="BV8" s="19">
        <f>IF(SUM(BG8:BH8,BJ8)-BI8&gt;0,SUM(BG8:BH8,BJ8)-BI8,"")</f>
        <v>25</v>
      </c>
      <c r="BW8" s="19">
        <f>IF(SUM(AZ8,BD8,BH8)&gt;0,SUM(AZ8,BD8,BH8),"")</f>
        <v>21.2</v>
      </c>
      <c r="BX8" s="19">
        <f>IF(SUM(BU8,BV8)&gt;0,SUM(BU8,BV8),"")</f>
        <v>76.8</v>
      </c>
      <c r="BY8" s="19">
        <f>IF(SUM(BL8,BP8)&gt;0,SUM(BL8,BP8),"")</f>
        <v>15.2</v>
      </c>
      <c r="BZ8" s="19">
        <f>IF(SUM(BK8:BL8,BN8:BP8,BR8)-SUM(BM8,BQ8)&gt;0,SUM(BK8:BL8,BN8:BP8,BR8)-SUM(BM8,BQ8),"")</f>
        <v>51.999999999999993</v>
      </c>
      <c r="CA8" s="19">
        <f>IF(SUM(BU8,BZ8)&gt;0,SUM(BU8,BZ8),"")</f>
        <v>103.79999999999998</v>
      </c>
      <c r="CB8" s="26">
        <v>18.399999999999999</v>
      </c>
      <c r="CC8" s="26">
        <v>6.8</v>
      </c>
      <c r="CD8" s="26">
        <v>0.2</v>
      </c>
      <c r="CE8" s="26">
        <v>0</v>
      </c>
      <c r="CF8" s="26">
        <v>18.7</v>
      </c>
      <c r="CG8" s="26">
        <v>6</v>
      </c>
      <c r="CH8" s="26">
        <v>0</v>
      </c>
      <c r="CI8" s="26">
        <v>0</v>
      </c>
      <c r="CJ8" s="26">
        <v>18.899999999999999</v>
      </c>
      <c r="CK8" s="26">
        <v>7.2</v>
      </c>
      <c r="CL8" s="26">
        <v>1</v>
      </c>
      <c r="CM8" s="26">
        <v>0</v>
      </c>
      <c r="CN8" s="26">
        <v>18.100000000000001</v>
      </c>
      <c r="CO8" s="26">
        <v>6</v>
      </c>
      <c r="CP8" s="26">
        <v>0.8</v>
      </c>
      <c r="CQ8" s="26">
        <v>0</v>
      </c>
      <c r="CR8" s="26">
        <v>18.7</v>
      </c>
      <c r="CS8" s="26">
        <v>7.2</v>
      </c>
      <c r="CT8" s="26">
        <v>0.6</v>
      </c>
      <c r="CU8" s="26">
        <v>0</v>
      </c>
      <c r="CV8" s="44"/>
      <c r="CW8" s="78">
        <f>IF(SUM(CC8,CG8)&gt;0,SUM(CC8,CG8),"")</f>
        <v>12.8</v>
      </c>
      <c r="CX8" s="78">
        <f>IF(SUM(CB8:CC8,CE8:CG8,CI8)-CD8-CH8&gt;0,SUM(CB8:CC8,CE8:CG8,CI8)-CD8-CH8,"")</f>
        <v>49.699999999999996</v>
      </c>
      <c r="CY8" s="78">
        <f>IF(SUM(CJ8:CK8,CM8)-CL8&gt;0,SUM(CJ8:CK8,CM8)-CL8,"")</f>
        <v>25.099999999999998</v>
      </c>
      <c r="CZ8" s="78">
        <f>IF(SUM(CC8,CG8,CK8)&gt;0,SUM(CC8,CG8,CK8),"")</f>
        <v>20</v>
      </c>
      <c r="DA8" s="78">
        <f>IF(SUM(CX8,CY8)&gt;0,SUM(CX8,CY8),"")</f>
        <v>74.8</v>
      </c>
      <c r="DB8" s="78">
        <f>IF(SUM(CO8,CS8)&gt;0,SUM(CO8,CS8),"")</f>
        <v>13.2</v>
      </c>
      <c r="DC8" s="78">
        <f>IF(SUM(CN8:CO8,CQ8:CS8,CU8)-SUM(CP8,CT8)&gt;0,SUM(CN8:CO8,CQ8:CS8,CU8)-SUM(CP8,CT8),"")</f>
        <v>48.6</v>
      </c>
      <c r="DD8" s="78">
        <f>IF(SUM(CX8,DC8)&gt;0,SUM(CX8,DC8),"")</f>
        <v>98.3</v>
      </c>
      <c r="DE8" s="79" t="str">
        <f>IF(K8&gt;=0.001,IF(MAX(EC8,FE8,GG8,HI8,IK8,JM8,KO8,LQ8,MS8,NU8,OW8,PY8)-IF(K8="",0,K8)&gt;0.001,MAX(EC8,FE8,GG8,HI8,IK8,JM8,KO8,LQ8,MS8,NU8,OW8,PY8)-IF(K8="",0,K8),""),"")</f>
        <v/>
      </c>
      <c r="DF8" s="79" t="str">
        <f>IF(O8&gt;=0.001,IF(MAX(ED8,FF8,GH8,HJ8,IL8,JN8,KP8,LR8,MT8,NV8,OX8,PZ8)-IF(O8="",0,O8)&gt;0.001,MAX(ED8,FF8,GH8,HJ8,IL8,JN8,KP8,LR8,MT8,NV8,OX8,PZ8)-IF(O8="",0,O8),""),"")</f>
        <v/>
      </c>
      <c r="DG8" s="79" t="str">
        <f>IF(Q8&gt;=0.001,IF(MAX(EH8,FJ8,GL8,HN8,IP8,JR8,KT8,LV8,MX8,NZ8,PB8,QD8)-IF(Q8="",0,Q8)&gt;0.001,MAX(EH8,FJ8,GL8,HN8,IP8,JR8,KT8,LV8,MX8,NZ8,PB8,QD8)-IF(Q8="",0,Q8),""),"")</f>
        <v/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>IF(SUM(DI8,DM8)&gt;0,SUM(DI8,DM8),"")</f>
        <v/>
      </c>
      <c r="EC8" s="78" t="str">
        <f>IF(SUM(DH8:DI8,DK8:DM8,DO8)-DJ8-DN8&gt;0,SUM(DH8:DI8,DK8:DM8,DO8)-DJ8-DN8,"")</f>
        <v/>
      </c>
      <c r="ED8" s="78" t="str">
        <f>IF(SUM(DP8:DQ8,DS8)-DR8&gt;0,SUM(DP8:DQ8,DS8)-DR8,"")</f>
        <v/>
      </c>
      <c r="EE8" s="78" t="str">
        <f>IF(SUM(DI8,DM8,DQ8)&gt;0,SUM(DI8,DM8,DQ8),"")</f>
        <v/>
      </c>
      <c r="EF8" s="78" t="str">
        <f>IF(SUM(EC8,ED8)&gt;0,SUM(EC8,ED8),"")</f>
        <v/>
      </c>
      <c r="EG8" s="78" t="str">
        <f>IF(SUM(DU8,DY8)&gt;0,SUM(DU8,DY8),"")</f>
        <v/>
      </c>
      <c r="EH8" s="78" t="str">
        <f>IF(SUM(DT8:DU8,DW8:DY8,EA8)-SUM(DV8,DZ8)&gt;0,SUM(DT8:DU8,DW8:DY8,EA8)-SUM(DV8,DZ8),"")</f>
        <v/>
      </c>
      <c r="EI8" s="78" t="str">
        <f>IF(SUM(EC8,EH8)&gt;0,SUM(EC8,EH8),"")</f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>IF(SUM(EK8,EO8)&gt;0,SUM(EK8,EO8),"")</f>
        <v/>
      </c>
      <c r="FE8" s="19" t="str">
        <f>IF(SUM(EJ8:EK8,EM8:EO8,EQ8)-EL8-EP8&gt;0,SUM(EJ8:EK8,EM8:EO8,EQ8)-EL8-EP8,"")</f>
        <v/>
      </c>
      <c r="FF8" s="19" t="str">
        <f>IF(SUM(ER8:ES8,EU8)-ET8&gt;0,SUM(ER8:ES8,EU8)-ET8,"")</f>
        <v/>
      </c>
      <c r="FG8" s="19" t="str">
        <f>IF(SUM(EK8,EO8,ES8)&gt;0,SUM(EK8,EO8,ES8),"")</f>
        <v/>
      </c>
      <c r="FH8" s="19" t="str">
        <f>IF(SUM(FE8,FF8)&gt;0,SUM(FE8,FF8),"")</f>
        <v/>
      </c>
      <c r="FI8" s="19" t="str">
        <f>IF(SUM(EW8,FA8)&gt;0,SUM(EW8,FA8),"")</f>
        <v/>
      </c>
      <c r="FJ8" s="19" t="str">
        <f>IF(SUM(EV8:EW8,EY8:FA8,FC8)-SUM(EX8,FB8)&gt;0,SUM(EV8:EW8,EY8:FA8,FC8)-SUM(EX8,FB8),"")</f>
        <v/>
      </c>
      <c r="FK8" s="19" t="str">
        <f>IF(SUM(FE8,FJ8)&gt;0,SUM(FE8,FJ8),"")</f>
        <v/>
      </c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78" t="str">
        <f>IF(SUM(FM8,FQ8)&gt;0,SUM(FM8,FQ8),"")</f>
        <v/>
      </c>
      <c r="GG8" s="78" t="str">
        <f>IF(SUM(FL8:FM8,FO8:FQ8,FS8)-FN8-FR8&gt;0,SUM(FL8:FM8,FO8:FQ8,FS8)-FN8-FR8,"")</f>
        <v/>
      </c>
      <c r="GH8" s="78" t="str">
        <f>IF(SUM(FT8:FU8,FW8)-FV8&gt;0,SUM(FT8:FU8,FW8)-FV8,"")</f>
        <v/>
      </c>
      <c r="GI8" s="78" t="str">
        <f>IF(SUM(FM8,FQ8,FU8)&gt;0,SUM(FM8,FQ8,FU8),"")</f>
        <v/>
      </c>
      <c r="GJ8" s="78" t="str">
        <f>IF(SUM(GG8,GH8)&gt;0,SUM(GG8,GH8),"")</f>
        <v/>
      </c>
      <c r="GK8" s="78" t="str">
        <f>IF(SUM(FY8,GC8)&gt;0,SUM(FY8,GC8),"")</f>
        <v/>
      </c>
      <c r="GL8" s="78" t="str">
        <f>IF(SUM(FX8:FY8,GA8:GC8,GE8)-SUM(FZ8,GD8)&gt;0,SUM(FX8:FY8,GA8:GC8,GE8)-SUM(FZ8,GD8),"")</f>
        <v/>
      </c>
      <c r="GM8" s="78" t="str">
        <f>IF(SUM(GG8,GL8)&gt;0,SUM(GG8,GL8),"")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>IF(SUM(GO8,GS8)&gt;0,SUM(GO8,GS8),"")</f>
        <v/>
      </c>
      <c r="HI8" s="19" t="str">
        <f>IF(SUM(GN8:GO8,GQ8:GS8,GU8)-GP8-GT8&gt;0,SUM(GN8:GO8,GQ8:GS8,GU8)-GP8-GT8,"")</f>
        <v/>
      </c>
      <c r="HJ8" s="19" t="str">
        <f>IF(SUM(GV8:GW8,GY8)-GX8&gt;0,SUM(GV8:GW8,GY8)-GX8,"")</f>
        <v/>
      </c>
      <c r="HK8" s="19" t="str">
        <f>IF(SUM(GO8,GS8,GW8)&gt;0,SUM(GO8,GS8,GW8),"")</f>
        <v/>
      </c>
      <c r="HL8" s="19" t="str">
        <f>IF(SUM(HI8,HJ8)&gt;0,SUM(HI8,HJ8),"")</f>
        <v/>
      </c>
      <c r="HM8" s="19" t="str">
        <f>IF(SUM(HA8,HE8)&gt;0,SUM(HA8,HE8),"")</f>
        <v/>
      </c>
      <c r="HN8" s="19" t="str">
        <f>IF(SUM(GZ8:HA8,HC8:HE8,HG8)-SUM(HB8,HF8)&gt;0,SUM(GZ8:HA8,HC8:HE8,HG8)-SUM(HB8,HF8),"")</f>
        <v/>
      </c>
      <c r="HO8" s="19" t="str">
        <f>IF(SUM(HI8,HN8)&gt;0,SUM(HI8,HN8),"")</f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>IF(SUM(HQ8,HU8)&gt;0,SUM(HQ8,HU8),"")</f>
        <v/>
      </c>
      <c r="IK8" s="78" t="str">
        <f>IF(SUM(HP8:HQ8,HS8:HU8,HW8)-HR8-HV8&gt;0,SUM(HP8:HQ8,HS8:HU8,HW8)-HR8-HV8,"")</f>
        <v/>
      </c>
      <c r="IL8" s="78" t="str">
        <f>IF(SUM(HX8:HY8,IA8)-HZ8&gt;0,SUM(HX8:HY8,IA8)-HZ8,"")</f>
        <v/>
      </c>
      <c r="IM8" s="78" t="str">
        <f>IF(SUM(HQ8,HU8,HY8)&gt;0,SUM(HQ8,HU8,HY8),"")</f>
        <v/>
      </c>
      <c r="IN8" s="78" t="str">
        <f>IF(SUM(IK8,IL8)&gt;0,SUM(IK8,IL8),"")</f>
        <v/>
      </c>
      <c r="IO8" s="78" t="str">
        <f>IF(SUM(IC8,IG8)&gt;0,SUM(IC8,IG8),"")</f>
        <v/>
      </c>
      <c r="IP8" s="78" t="str">
        <f>IF(SUM(IB8:IC8,IE8:IG8,II8)-SUM(ID8,IH8)&gt;0,SUM(IB8:IC8,IE8:IG8,II8)-SUM(ID8,IH8),"")</f>
        <v/>
      </c>
      <c r="IQ8" s="78" t="str">
        <f>IF(SUM(IK8,IP8)&gt;0,SUM(IK8,IP8),"")</f>
        <v/>
      </c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 t="str">
        <f>IF(SUM(IS8,IW8)&gt;0,SUM(IS8,IW8),"")</f>
        <v/>
      </c>
      <c r="JM8" s="19" t="str">
        <f>IF(SUM(IR8:IS8,IU8:IW8,IY8)-IT8-IX8&gt;0,SUM(IR8:IS8,IU8:IW8,IY8)-IT8-IX8,"")</f>
        <v/>
      </c>
      <c r="JN8" s="19" t="str">
        <f>IF(SUM(IZ8:JA8,JC8)-JB8&gt;0,SUM(IZ8:JA8,JC8)-JB8,"")</f>
        <v/>
      </c>
      <c r="JO8" s="19" t="str">
        <f>IF(SUM(IS8,IW8,JA8)&gt;0,SUM(IS8,IW8,JA8),"")</f>
        <v/>
      </c>
      <c r="JP8" s="19" t="str">
        <f>IF(SUM(JM8,JN8)&gt;0,SUM(JM8,JN8),"")</f>
        <v/>
      </c>
      <c r="JQ8" s="19" t="str">
        <f>IF(SUM(JE8,JI8)&gt;0,SUM(JE8,JI8),"")</f>
        <v/>
      </c>
      <c r="JR8" s="19" t="str">
        <f>IF(SUM(JD8:JE8,JG8:JI8,JK8)-SUM(JF8,JJ8)&gt;0,SUM(JD8:JE8,JG8:JI8,JK8)-SUM(JF8,JJ8),"")</f>
        <v/>
      </c>
      <c r="JS8" s="19" t="str">
        <f>IF(SUM(JM8,JR8)&gt;0,SUM(JM8,JR8),"")</f>
        <v/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>IF(SUM(JU8,JY8)&gt;0,SUM(JU8,JY8),"")</f>
        <v/>
      </c>
      <c r="KO8" s="78" t="str">
        <f>IF(SUM(JT8:JU8,JW8:JY8,KA8)-JV8-JZ8&gt;0,SUM(JT8:JU8,JW8:JY8,KA8)-JV8-JZ8,"")</f>
        <v/>
      </c>
      <c r="KP8" s="78" t="str">
        <f>IF(SUM(KB8:KC8,KE8)-KD8&gt;0,SUM(KB8:KC8,KE8)-KD8,"")</f>
        <v/>
      </c>
      <c r="KQ8" s="78" t="str">
        <f>IF(SUM(JU8,JY8,KC8)&gt;0,SUM(JU8,JY8,KC8),"")</f>
        <v/>
      </c>
      <c r="KR8" s="78" t="str">
        <f>IF(SUM(KO8,KP8)&gt;0,SUM(KO8,KP8),"")</f>
        <v/>
      </c>
      <c r="KS8" s="78" t="str">
        <f>IF(SUM(KG8,KK8)&gt;0,SUM(KG8,KK8),"")</f>
        <v/>
      </c>
      <c r="KT8" s="78" t="str">
        <f>IF(SUM(KF8:KG8,KI8:KK8,KM8)-SUM(KH8,KL8)&gt;0,SUM(KF8:KG8,KI8:KK8,KM8)-SUM(KH8,KL8),"")</f>
        <v/>
      </c>
      <c r="KU8" s="78" t="str">
        <f>IF(SUM(KO8,KT8)&gt;0,SUM(KO8,KT8),"")</f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>IF(SUM(KW8,LA8)&gt;0,SUM(KW8,LA8),"")</f>
        <v/>
      </c>
      <c r="LQ8" s="19" t="str">
        <f>IF(SUM(KV8:KW8,KY8:LA8,LC8)-KX8-LB8&gt;0,SUM(KV8:KW8,KY8:LA8,LC8)-KX8-LB8,"")</f>
        <v/>
      </c>
      <c r="LR8" s="19" t="str">
        <f>IF(SUM(LD8:LE8,LG8)-LF8&gt;0,SUM(LD8:LE8,LG8)-LF8,"")</f>
        <v/>
      </c>
      <c r="LS8" s="19" t="str">
        <f>IF(SUM(KW8,LA8,LE8)&gt;0,SUM(KW8,LA8,LE8),"")</f>
        <v/>
      </c>
      <c r="LT8" s="19" t="str">
        <f>IF(SUM(LQ8,LR8)&gt;0,SUM(LQ8,LR8),"")</f>
        <v/>
      </c>
      <c r="LU8" s="19" t="str">
        <f>IF(SUM(LI8,LM8)&gt;0,SUM(LI8,LM8),"")</f>
        <v/>
      </c>
      <c r="LV8" s="19" t="str">
        <f>IF(SUM(LH8:LI8,LK8:LM8,LO8)-SUM(LJ8,LN8)&gt;0,SUM(LH8:LI8,LK8:LM8,LO8)-SUM(LJ8,LN8),"")</f>
        <v/>
      </c>
      <c r="LW8" s="19" t="str">
        <f>IF(SUM(LQ8,LV8)&gt;0,SUM(LQ8,LV8),"")</f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>IF(SUM(LY8,MC8)&gt;0,SUM(LY8,MC8),"")</f>
        <v/>
      </c>
      <c r="MS8" s="78" t="str">
        <f>IF(SUM(LX8:LY8,MA8:MC8,ME8)-LZ8-MD8&gt;0,SUM(LX8:LY8,MA8:MC8,ME8)-LZ8-MD8,"")</f>
        <v/>
      </c>
      <c r="MT8" s="78" t="str">
        <f>IF(SUM(MF8:MG8,MI8)-MH8&gt;0,SUM(MF8:MG8,MI8)-MH8,"")</f>
        <v/>
      </c>
      <c r="MU8" s="78" t="str">
        <f>IF(SUM(LY8,MC8,MG8)&gt;0,SUM(LY8,MC8,MG8),"")</f>
        <v/>
      </c>
      <c r="MV8" s="78" t="str">
        <f>IF(SUM(MS8,MT8)&gt;0,SUM(MS8,MT8),"")</f>
        <v/>
      </c>
      <c r="MW8" s="78" t="str">
        <f>IF(SUM(MK8,MO8)&gt;0,SUM(MK8,MO8),"")</f>
        <v/>
      </c>
      <c r="MX8" s="78" t="str">
        <f>IF(SUM(MJ8:MK8,MM8:MO8,MQ8)-SUM(ML8,MP8)&gt;0,SUM(MJ8:MK8,MM8:MO8,MQ8)-SUM(ML8,MP8),"")</f>
        <v/>
      </c>
      <c r="MY8" s="78" t="str">
        <f>IF(SUM(MS8,MX8)&gt;0,SUM(MS8,MX8),"")</f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>IF(SUM(NA8,NE8)&gt;0,SUM(NA8,NE8),"")</f>
        <v/>
      </c>
      <c r="NU8" s="19" t="str">
        <f>IF(SUM(MZ8:NA8,NC8:NE8,NG8)-NB8-NF8&gt;0,SUM(MZ8:NA8,NC8:NE8,NG8)-NB8-NF8,"")</f>
        <v/>
      </c>
      <c r="NV8" s="19" t="str">
        <f>IF(SUM(NH8:NI8,NK8)-NJ8&gt;0,SUM(NH8:NI8,NK8)-NJ8,"")</f>
        <v/>
      </c>
      <c r="NW8" s="19" t="str">
        <f>IF(SUM(NA8,NE8,NI8)&gt;0,SUM(NA8,NE8,NI8),"")</f>
        <v/>
      </c>
      <c r="NX8" s="19" t="str">
        <f>IF(SUM(NU8,NV8)&gt;0,SUM(NU8,NV8),"")</f>
        <v/>
      </c>
      <c r="NY8" s="19" t="str">
        <f>IF(SUM(NM8,NQ8)&gt;0,SUM(NM8,NQ8),"")</f>
        <v/>
      </c>
      <c r="NZ8" s="19" t="str">
        <f>IF(SUM(NL8:NM8,NO8:NQ8,NS8)-SUM(NN8,NR8)&gt;0,SUM(NL8:NM8,NO8:NQ8,NS8)-SUM(NN8,NR8),"")</f>
        <v/>
      </c>
      <c r="OA8" s="19" t="str">
        <f>IF(SUM(NU8,NZ8)&gt;0,SUM(NU8,NZ8),"")</f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>IF(SUM(OC8,OG8)&gt;0,SUM(OC8,OG8),"")</f>
        <v/>
      </c>
      <c r="OW8" s="78" t="str">
        <f>IF(SUM(OB8:OC8,OE8:OG8,OI8)-OD8-OH8&gt;0,SUM(OB8:OC8,OE8:OG8,OI8)-OD8-OH8,"")</f>
        <v/>
      </c>
      <c r="OX8" s="78" t="str">
        <f>IF(SUM(OJ8:OK8,OM8)-OL8&gt;0,SUM(OJ8:OK8,OM8)-OL8,"")</f>
        <v/>
      </c>
      <c r="OY8" s="78" t="str">
        <f>IF(SUM(OC8,OG8,OK8)&gt;0,SUM(OC8,OG8,OK8),"")</f>
        <v/>
      </c>
      <c r="OZ8" s="78" t="str">
        <f>IF(SUM(OW8,OX8)&gt;0,SUM(OW8,OX8),"")</f>
        <v/>
      </c>
      <c r="PA8" s="78" t="str">
        <f>IF(SUM(OO8,OS8)&gt;0,SUM(OO8,OS8),"")</f>
        <v/>
      </c>
      <c r="PB8" s="78" t="str">
        <f>IF(SUM(ON8:OO8,OQ8:OS8,OU8)-SUM(OP8,OT8)&gt;0,SUM(ON8:OO8,OQ8:OS8,OU8)-SUM(OP8,OT8),"")</f>
        <v/>
      </c>
      <c r="PC8" s="78" t="str">
        <f>IF(SUM(OW8,PB8)&gt;0,SUM(OW8,PB8),"")</f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>IF(SUM(PE8,PI8)&gt;0,SUM(PE8,PI8),"")</f>
        <v/>
      </c>
      <c r="PY8" s="19" t="str">
        <f>IF(SUM(PD8:PE8,PG8:PI8,PK8)-PF8-PJ8&gt;0,SUM(PD8:PE8,PG8:PI8,PK8)-PF8-PJ8,"")</f>
        <v/>
      </c>
      <c r="PZ8" s="19" t="str">
        <f>IF(SUM(PL8:PM8,PO8)-PN8&gt;0,SUM(PL8:PM8,PO8)-PN8,"")</f>
        <v/>
      </c>
      <c r="QA8" s="19" t="str">
        <f>IF(SUM(PE8,PI8,PM8)&gt;0,SUM(PE8,PI8,PM8),"")</f>
        <v/>
      </c>
      <c r="QB8" s="19" t="str">
        <f>IF(SUM(PY8,PZ8)&gt;0,SUM(PY8,PZ8),"")</f>
        <v/>
      </c>
      <c r="QC8" s="19" t="str">
        <f>IF(SUM(PQ8,PU8)&gt;0,SUM(PQ8,PU8),"")</f>
        <v/>
      </c>
      <c r="QD8" s="19" t="str">
        <f>IF(SUM(PP8:PQ8,PS8:PU8,PW8)-SUM(PR8,PV8)&gt;0,SUM(PP8:PQ8,PS8:PU8,PW8)-SUM(PR8,PV8),"")</f>
        <v/>
      </c>
      <c r="QE8" s="19" t="str">
        <f>IF(SUM(PY8,QD8)&gt;0,SUM(PY8,QD8),"")</f>
        <v/>
      </c>
      <c r="QF8" s="37">
        <f>IF($CV8="P",CB8,(CB8+AY8)/2)</f>
        <v>18.350000000000001</v>
      </c>
      <c r="QG8" s="37">
        <f>IF($CV8="P",CC8,(CC8+AZ8)/2)</f>
        <v>7.6</v>
      </c>
      <c r="QH8" s="37">
        <f>IF($CV8="P",CD8,(CD8+BA8)/2)</f>
        <v>0.6</v>
      </c>
      <c r="QI8" s="37">
        <f>IF($CV8="P",CE8,(CE8+BB8)/2)</f>
        <v>0</v>
      </c>
      <c r="QJ8" s="37">
        <f>IF($CV8="P",CF8,(CF8+BC8)/2)</f>
        <v>19</v>
      </c>
      <c r="QK8" s="37">
        <f>IF($CV8="P",CG8,(CG8+BD8)/2)</f>
        <v>6.4</v>
      </c>
      <c r="QL8" s="37">
        <f>IF($CV8="P",CH8,(CH8+BE8)/2)</f>
        <v>0</v>
      </c>
      <c r="QM8" s="37">
        <f>IF($CV8="P",CI8,(CI8+BF8)/2)</f>
        <v>0</v>
      </c>
      <c r="QN8" s="37">
        <f>IF($CV8="P",CJ8,(CJ8+BG8)/2)</f>
        <v>18.95</v>
      </c>
      <c r="QO8" s="37">
        <f>IF($CV8="P",CK8,(CK8+BH8)/2)</f>
        <v>6.6</v>
      </c>
      <c r="QP8" s="37">
        <f>IF($CV8="P",CL8,(CL8+BI8)/2)</f>
        <v>0.5</v>
      </c>
      <c r="QQ8" s="37">
        <f>IF($CV8="P",CM8,(CM8+BJ8)/2)</f>
        <v>0</v>
      </c>
      <c r="QR8" s="37">
        <f>IF($CV8="P",CN8,(CN8+BK8)/2)</f>
        <v>18.3</v>
      </c>
      <c r="QS8" s="37">
        <f>IF($CV8="P",CO8,(CO8+BL8)/2)</f>
        <v>7.2</v>
      </c>
      <c r="QT8" s="37">
        <f>IF($CV8="P",CP8,(CP8+BM8)/2)</f>
        <v>0.7</v>
      </c>
      <c r="QU8" s="37">
        <f>IF($CV8="P",CQ8,(CQ8+BN8)/2)</f>
        <v>0</v>
      </c>
      <c r="QV8" s="37">
        <f>IF($CV8="P",CR8,(CR8+BO8)/2)</f>
        <v>18.799999999999997</v>
      </c>
      <c r="QW8" s="37">
        <f>IF($CV8="P",CS8,(CS8+BP8)/2)</f>
        <v>7</v>
      </c>
      <c r="QX8" s="37">
        <f>IF($CV8="P",CT8,(CT8+BQ8)/2)</f>
        <v>0.3</v>
      </c>
      <c r="QY8" s="37">
        <f>IF($CV8="P",CU8,(CU8+BR8)/2)</f>
        <v>0</v>
      </c>
      <c r="QZ8" s="44" t="s">
        <v>46</v>
      </c>
      <c r="RA8" s="78">
        <f>IF(SUM(QG8,QK8)&gt;0,SUM(QG8,QK8),"")</f>
        <v>14</v>
      </c>
      <c r="RB8" s="78">
        <f>IF(SUM(QF8:QG8,QI8:QK8,QM8)-QH8-QL8&gt;0,SUM(QF8:QG8,QI8:QK8,QM8)-QH8-QL8,"")</f>
        <v>50.75</v>
      </c>
      <c r="RC8" s="78">
        <f>IF(SUM(QN8:QO8,QQ8)-QP8&gt;0,SUM(QN8:QO8,QQ8)-QP8,"")</f>
        <v>25.049999999999997</v>
      </c>
      <c r="RD8" s="78">
        <f>IF(SUM(QG8,QK8,QO8)&gt;0,SUM(QG8,QK8,QO8),"")</f>
        <v>20.6</v>
      </c>
      <c r="RE8" s="78">
        <f>IF(SUM(RB8,RC8)&gt;0,SUM(RB8,RC8),"")</f>
        <v>75.8</v>
      </c>
      <c r="RF8" s="78">
        <f>IF(SUM(QS8,QW8)&gt;0,SUM(QS8,QW8),"")</f>
        <v>14.2</v>
      </c>
      <c r="RG8" s="78">
        <f>IF(SUM(QR8:QS8,QU8:QW8,QY8)-SUM(QT8,QX8)&gt;0,SUM(QR8:QS8,QU8:QW8,QY8)-SUM(QT8,QX8),"")</f>
        <v>50.3</v>
      </c>
      <c r="RH8" s="78">
        <f>IF(SUM(RB8,RG8)&gt;0,SUM(RB8,RG8),"")</f>
        <v>101.05</v>
      </c>
    </row>
    <row r="9" spans="1:476" x14ac:dyDescent="0.2">
      <c r="A9" s="5">
        <f>IF(AND(F9="P",G9="P"),SUMPRODUCT((F$4:F$32="P")*(G$4:G$32="P")*(E$4:E$32&gt;E9))+1,IF(G9="P",SUMPRODUCT((F$4:F$32="")*(G$4:G$32="P")*(E$4:E$32&gt;E9))+1+SUMPRODUCT((F$4:F$32="P")*(G$4:G$32="P")),""))</f>
        <v>6</v>
      </c>
      <c r="B9" s="77" t="s">
        <v>88</v>
      </c>
      <c r="C9" s="5" t="s">
        <v>4</v>
      </c>
      <c r="D9" s="5">
        <v>2004</v>
      </c>
      <c r="E9" s="15">
        <f>SUM(I9:S9)+SUM(I9:O9)*0.0000001+SUM(I9)*0.0000000000001</f>
        <v>202.00001507000508</v>
      </c>
      <c r="F9" s="3" t="str">
        <f>IF(OR(AND(AQ9&gt;=AX$34,AR9&gt;=AX$38,AQ9&lt;&gt;"",AP9=""),AND(AV9&gt;=AX$34,AW9&gt;=AX$38,AV9&lt;&gt;"",AP9=""),AND(BT9&gt;=CA$34,BU9&gt;=CA$38,BT9&lt;&gt;"",BS9=""),AND(BY9&gt;=CA$34,BZ9&gt;=CA$38,BY9&lt;&gt;"",BS9=""),AND(CW9&gt;=DD$34,CX9&gt;=DD$38,CW9&lt;&gt;"",CV9=""),AND(DB9&gt;=DD$34,DC9&gt;=DD$38,DB9&lt;&gt;""),AND(EB9&gt;=EI$34,EC9&gt;=EI$38,EB9&lt;&gt;""),AND(EG9&gt;=EI$34,EH9&gt;=EI$38,EG9&lt;&gt;""),AND(FD9&gt;=FK$34,FE9&gt;=FK$38,FD9&lt;&gt;""),AND(FI9&gt;=FK$34,FJ9&gt;=FK$38,FI9&lt;&gt;""),AND(GF9&gt;=GM$34,GG9&gt;=GM$38,GF9&lt;&gt;""),AND(GK9&gt;=GM$34,GL9&gt;=GM$38,GK9&lt;&gt;""),AND(HH9&gt;=HO$34,HI9&gt;=HO$38,HH9&lt;&gt;""),AND(HM9&gt;=HO$34,HN9&gt;=HO$38,HM9&lt;&gt;""),AND(IJ9&gt;=IQ$34,IK9&gt;=IQ$38,IJ9&lt;&gt;""),AND(IO9&gt;=IQ$34,IP9&gt;=IQ$38,IO9&lt;&gt;""),AND(JL9&gt;=JS$34,JM9&gt;=JS$38,JL9&lt;&gt;""),AND(JQ9&gt;=JS$34,JR9&gt;=JS$38,JQ9&lt;&gt;""),AND(KN9&gt;=KU$34,KO9&gt;=KU$38,KN9&lt;&gt;""),AND(KS9&gt;=KU$34,KT9&gt;=KU$38,KS9&lt;&gt;""),AND(LP9&gt;=LW$34,LQ9&gt;=LW$38,LP9&lt;&gt;""),AND(LU9&gt;=LW$34,LV9&gt;=LW$38,LU9&lt;&gt;""),AND(MR9&gt;=MY$34,MS9&gt;=MY$38,MR9&lt;&gt;""),AND(MW9&gt;=MY$34,MX9&gt;=MY$38,MW9&lt;&gt;""),AND(NT9&gt;=OA$34,NU9&gt;=OA$38,NT9&lt;&gt;""),AND(NY9&gt;=OA$34,NZ9&gt;=OA$38,NY9&lt;&gt;""),AND(OV9&gt;=PC$34,OW9&gt;=PC$38,OV9&lt;&gt;""),AND(PA9&gt;=PC$34,PB9&gt;=PC$38,PA9&lt;&gt;""),AND(PX9&gt;=QE$34,PY9&gt;=QE$38,PX9&lt;&gt;""),AND(QC9&gt;=QE$34,QD9&gt;=QE$38,QC9&lt;&gt;"")),"P","")</f>
        <v>P</v>
      </c>
      <c r="G9" s="3" t="str">
        <f>IF(OR(AND(AR9&gt;=AX$38,AR9&lt;&gt;"",AP9=""),AND(AW9&gt;=AX$38,AW9&lt;&gt;"",AP9=""),AND(BU9&gt;=CA$38,BU9&lt;&gt;"",BS9=""),AND(BZ9&gt;=CA$38,BZ9&lt;&gt;"",BS9=""),AND(CX9&gt;=DD$38,CX9&lt;&gt;"",CV9=""),AND(DC9&gt;=DD$38,DC9&lt;&gt;"",CV9=""),AND(EC9&gt;=EI$38,EC9&lt;&gt;""),AND(EH9&gt;=EI$38,EH9&lt;&gt;""),AND(FE9&gt;=FK$38,FE9&lt;&gt;""),AND(FJ9&gt;=FK$38,FJ9&lt;&gt;""),AND(GG9&gt;=GM$38,GG9&lt;&gt;""),AND(GL9&gt;=GM$38,GL9&lt;&gt;""),AND(HI9&gt;=HO$38,HI9&lt;&gt;""),AND(HN9&gt;=HO$38,HN9&lt;&gt;""),AND(IK9&gt;=IQ$38,IK9&lt;&gt;""),AND(IP9&gt;=IQ$38,IP9&lt;&gt;""),AND(JM9&gt;=JS$38,JM9&lt;&gt;""),AND(JR9&gt;=JS$38,JR9&lt;&gt;""),AND(KO9&gt;=KU$38,KO9&lt;&gt;""),AND(KT9&gt;=KU$38,KT9&lt;&gt;""),AND(LQ9&gt;=LW$38,LQ9&lt;&gt;""),AND(LV9&gt;=LW$38,LV9&lt;&gt;""),AND(MS9&gt;=MY$38,MS9&lt;&gt;""),AND(MX9&gt;=MY$38,MX9&lt;&gt;""),AND(NU9&gt;=OA$38,NU9&lt;&gt;""),AND(NZ9&gt;=OA$38,NZ9&lt;&gt;""),AND(OW9&gt;=PC$38,OW9&lt;&gt;""),AND(PB9&gt;=PC$38,PB9&lt;&gt;""),AND(PY9&gt;=QE$38,PY9&lt;&gt;""),AND(QD9&gt;=QE$38,QD9&lt;&gt;"")),"P","")</f>
        <v>P</v>
      </c>
      <c r="H9" s="66" t="str">
        <f>IF(AND(G9="P",F9=""),"No DD",IF(OR(AND(AT9&gt;=AX$37,AU9&gt;=AX$41,AT9&lt;&gt;"",AP9=""),AND(BW9&gt;=CA$37,BX9&gt;=CA$41,BW9&lt;&gt;"",BS9=""),AND(CZ9&gt;=DD$37,DA9&gt;=DD$41,CZ9&lt;&gt;"",CV9=""),AND(EE9&gt;=EI$37,EF9&gt;=EI$41,EE9&lt;&gt;""),AND(FG9&gt;=FK$37,FH9&gt;=FK$41,FG9&lt;&gt;""),AND(GI9&gt;=GM$37,GJ9&gt;=GM$41,GI9&lt;&gt;""),AND(HK9&gt;=HO$37,HL9&gt;=HO$41,HK9&lt;&gt;""),AND(IM9&gt;=IQ$37,IN9&gt;=IQ$41,IM9&lt;&gt;""),AND(JO9&gt;=JS$37,JP9&gt;=JS$41,JO9&lt;&gt;""),AND(KQ9&gt;=KU$37,KR9&gt;=KU$41,KQ9&lt;&gt;""),AND(LS9&gt;=LW$37,LT9&gt;=LW$41,LS9&lt;&gt;""),AND(MU9&gt;=MY$37,MV9&gt;=MY$41,MU9&lt;&gt;""),AND(NW9&gt;=OA$37,NX9&gt;=OA$41,NW9&lt;&gt;""),AND(OY9&gt;=PC$37,OZ9&gt;=PC$41,OY9&lt;&gt;""),AND(QA9&gt;=QE$37,QB9&gt;=QE$41,QA9&lt;&gt;"")),"Merit",IF(OR(AND(AT9&gt;=AX$36,AU9&gt;=AX$40,AT9&lt;&gt;"",AP9=""),AND(BW9&gt;=CA$36,BX9&gt;=CA$40,BW9&lt;&gt;"",BS9=""),AND(CZ9&gt;=DD$36,DA9&gt;=DD$40,CZ9&lt;&gt;"",CV9=""),AND(EE9&gt;=EI$36,EF9&gt;=EI$40,EE9&lt;&gt;""),AND(FG9&gt;=FK$36,FH9&gt;=FK$40,FG9&lt;&gt;""),AND(GI9&gt;=GM$36,GJ9&gt;=GM$40,GI9&lt;&gt;""),AND(HK9&gt;=HO$36,HL9&gt;=HO$40,HK9&lt;&gt;""),AND(IM9&gt;=IQ$36,IN9&gt;=IQ$40,IM9&lt;&gt;""),AND(JO9&gt;=JS$36,JP9&gt;=JS$40,JO9&lt;&gt;""),AND(KQ9&gt;=KU$36,KR9&gt;=KU$40,KQ9&lt;&gt;""),AND(LS9&gt;=LW$36,LT9&gt;=LW$40,LS9&lt;&gt;""),AND(MU9&gt;=MY$36,MV9&gt;=MY$40,MU9&lt;&gt;""),AND(NW9&gt;=OA$36,NX9&gt;=OA$40,NW9&lt;&gt;""),AND(OY9&gt;=PC$36,OZ9&gt;=PC$40,OY9&lt;&gt;""),AND(QA9&gt;=QE$36,QB9&gt;=QE$40,QA9&lt;&gt;"")),"Excellence",IF(F9="P","National Team",""))))</f>
        <v>National Team</v>
      </c>
      <c r="I9" s="14">
        <f>IF(COUNT(AR9,BU9,CX9)&gt;0,LARGE((AR9,BU9,CX9),1),0)</f>
        <v>50.8</v>
      </c>
      <c r="J9" s="14" t="str">
        <f>IF(I9=0,"",IF(I9=CX9,$CB$1,IF(I9=BU9,$AY$1,IF(I9=AR9,$V$1,""))))</f>
        <v>2022 3rd Domestic Trial</v>
      </c>
      <c r="K9" s="14">
        <f>IF(COUNT(AR9,BU9,CX9)&gt;1,LARGE((AR9,BU9,CX9),2),0)</f>
        <v>50.8</v>
      </c>
      <c r="L9" s="14" t="str">
        <f>IF(K9=0,"",IF(K9=CX9,$CB$1,IF(K9=BU9,$AY$1,IF(K9=AR9,$V$1,""))))</f>
        <v>2022 3rd Domestic Trial</v>
      </c>
      <c r="M9" s="14">
        <f>IF(COUNT(AS9,BV9,CY9)&gt;0,LARGE((AS9,BV9,CY9),1),0)</f>
        <v>24.8</v>
      </c>
      <c r="N9" s="14" t="str">
        <f>IF(M9=0,"",IF(M9=CY9,$CB$1,IF(M9=BV9,$AY$1,IF(M9=AS9,$V$1,""))))</f>
        <v>2022 Nationals</v>
      </c>
      <c r="O9" s="14">
        <f>IF(COUNT(AS9,BV9,CY9)&gt;1,LARGE((AS9,BV9,CY9),2),0)</f>
        <v>24.3</v>
      </c>
      <c r="P9" s="14" t="str">
        <f>IF(O9=0,"",IF(O9=CY9,$CB$1,IF(O9=BV9,$AY$1,IF(O9=AS9,$V$1,""))))</f>
        <v>2022 Elite Canada</v>
      </c>
      <c r="Q9" s="14">
        <f>IF(MAX(AW9,BZ9,DC9)&gt;0,MAX(AW9,BZ9,DC9),0)</f>
        <v>51.300000000000004</v>
      </c>
      <c r="R9" s="14" t="str">
        <f>IF(Q9=0,"",IF(Q9=DC9,$CB$1,IF(Q9=BZ9,$AY$1,IF(Q9=AW9,$V$1,""))))</f>
        <v>2022 Nationals</v>
      </c>
      <c r="S9" s="14" t="str">
        <f>IF(MAX(DE9:DG9)&gt;0,MAX(DE9:DG9),"")</f>
        <v/>
      </c>
      <c r="T9" s="19" t="str">
        <f>IF(S9="","",IF(S9=DE9,"("&amp;DE$2&amp;")",IF(S9=DG9,"("&amp;DG$2&amp;")")))</f>
        <v/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/>
      </c>
      <c r="V9" s="26">
        <v>18.7</v>
      </c>
      <c r="W9" s="26">
        <v>6.8</v>
      </c>
      <c r="X9" s="26">
        <v>0.6</v>
      </c>
      <c r="Y9" s="26">
        <v>0</v>
      </c>
      <c r="Z9" s="26">
        <v>18.899999999999999</v>
      </c>
      <c r="AA9" s="26">
        <v>5.6</v>
      </c>
      <c r="AB9" s="26">
        <v>0.6</v>
      </c>
      <c r="AC9" s="26">
        <v>0</v>
      </c>
      <c r="AD9" s="26">
        <v>18.5</v>
      </c>
      <c r="AE9" s="26">
        <v>6</v>
      </c>
      <c r="AF9" s="26">
        <v>0.2</v>
      </c>
      <c r="AG9" s="26">
        <v>0</v>
      </c>
      <c r="AH9" s="26">
        <v>18.7</v>
      </c>
      <c r="AI9" s="26">
        <v>6.8</v>
      </c>
      <c r="AJ9" s="26">
        <v>0.8</v>
      </c>
      <c r="AK9" s="26">
        <v>0</v>
      </c>
      <c r="AL9" s="26">
        <v>19.3</v>
      </c>
      <c r="AM9" s="26">
        <v>6.4</v>
      </c>
      <c r="AN9" s="26">
        <v>0.6</v>
      </c>
      <c r="AO9" s="26">
        <v>0</v>
      </c>
      <c r="AP9" s="44"/>
      <c r="AQ9" s="78">
        <f>IF(SUM(W9,AA9)&gt;0,SUM(W9,AA9),"")</f>
        <v>12.399999999999999</v>
      </c>
      <c r="AR9" s="78">
        <f>IF(SUM(V9:W9,Y9:AA9,AC9)-X9-AB9&gt;0,SUM(V9:W9,Y9:AA9,AC9)-X9-AB9,"")</f>
        <v>48.8</v>
      </c>
      <c r="AS9" s="78">
        <f>IF(SUM(AD9:AE9,AG9)-AF9&gt;0,SUM(AD9:AE9,AG9)-AF9,"")</f>
        <v>24.3</v>
      </c>
      <c r="AT9" s="78">
        <f>IF(SUM(W9,AA9,AE9)&gt;0,SUM(W9,AA9,AE9),"")</f>
        <v>18.399999999999999</v>
      </c>
      <c r="AU9" s="78">
        <f>IF(SUM(AR9,AS9)&gt;0,SUM(AR9,AS9),"")</f>
        <v>73.099999999999994</v>
      </c>
      <c r="AV9" s="78">
        <f>IF(SUM(AI9,AM9)&gt;0,SUM(AI9,AM9),"")</f>
        <v>13.2</v>
      </c>
      <c r="AW9" s="78">
        <f>IF(SUM(AH9:AI9,AK9:AM9,AO9)-SUM(AJ9,AN9)&gt;0,SUM(AH9:AI9,AK9:AM9,AO9)-SUM(AJ9,AN9),"")</f>
        <v>49.8</v>
      </c>
      <c r="AX9" s="78">
        <f>IF(SUM(AR9,AW9)&gt;0,SUM(AR9,AW9),"")</f>
        <v>98.6</v>
      </c>
      <c r="AY9" s="25">
        <v>19</v>
      </c>
      <c r="AZ9" s="25">
        <v>6.8</v>
      </c>
      <c r="BA9" s="25">
        <v>0</v>
      </c>
      <c r="BB9" s="25">
        <v>0</v>
      </c>
      <c r="BC9" s="25">
        <v>19</v>
      </c>
      <c r="BD9" s="25">
        <v>6.4</v>
      </c>
      <c r="BE9" s="25">
        <v>0.4</v>
      </c>
      <c r="BF9" s="25">
        <v>0</v>
      </c>
      <c r="BG9" s="25">
        <v>18.600000000000001</v>
      </c>
      <c r="BH9" s="25">
        <v>6.4</v>
      </c>
      <c r="BI9" s="25">
        <v>0.2</v>
      </c>
      <c r="BJ9" s="25">
        <v>0</v>
      </c>
      <c r="BK9" s="25">
        <v>18.899999999999999</v>
      </c>
      <c r="BL9" s="25">
        <v>7.2</v>
      </c>
      <c r="BM9" s="25">
        <v>0.6</v>
      </c>
      <c r="BN9" s="25">
        <v>0</v>
      </c>
      <c r="BO9" s="25">
        <v>18.600000000000001</v>
      </c>
      <c r="BP9" s="25">
        <v>7.2</v>
      </c>
      <c r="BQ9" s="25">
        <v>0</v>
      </c>
      <c r="BR9" s="25">
        <v>0</v>
      </c>
      <c r="BS9" s="45"/>
      <c r="BT9" s="19">
        <f>IF(SUM(AZ9,BD9)&gt;0,SUM(AZ9,BD9),"")</f>
        <v>13.2</v>
      </c>
      <c r="BU9" s="19">
        <f>IF(SUM(AY9:AZ9,BB9:BD9,BF9)-BA9-BE9&gt;0,SUM(AY9:AZ9,BB9:BD9,BF9)-BA9-BE9,"")</f>
        <v>50.8</v>
      </c>
      <c r="BV9" s="19">
        <f>IF(SUM(BG9:BH9,BJ9)-BI9&gt;0,SUM(BG9:BH9,BJ9)-BI9,"")</f>
        <v>24.8</v>
      </c>
      <c r="BW9" s="19">
        <f>IF(SUM(AZ9,BD9,BH9)&gt;0,SUM(AZ9,BD9,BH9),"")</f>
        <v>19.600000000000001</v>
      </c>
      <c r="BX9" s="19">
        <f>IF(SUM(BU9,BV9)&gt;0,SUM(BU9,BV9),"")</f>
        <v>75.599999999999994</v>
      </c>
      <c r="BY9" s="19">
        <f>IF(SUM(BL9,BP9)&gt;0,SUM(BL9,BP9),"")</f>
        <v>14.4</v>
      </c>
      <c r="BZ9" s="19">
        <f>IF(SUM(BK9:BL9,BN9:BP9,BR9)-SUM(BM9,BQ9)&gt;0,SUM(BK9:BL9,BN9:BP9,BR9)-SUM(BM9,BQ9),"")</f>
        <v>51.300000000000004</v>
      </c>
      <c r="CA9" s="19">
        <f>IF(SUM(BU9,BZ9)&gt;0,SUM(BU9,BZ9),"")</f>
        <v>102.1</v>
      </c>
      <c r="CB9" s="26">
        <v>19</v>
      </c>
      <c r="CC9" s="26">
        <v>7.2</v>
      </c>
      <c r="CD9" s="26">
        <v>0.6</v>
      </c>
      <c r="CE9" s="26">
        <v>0</v>
      </c>
      <c r="CF9" s="26">
        <v>18.399999999999999</v>
      </c>
      <c r="CG9" s="26">
        <v>7.6</v>
      </c>
      <c r="CH9" s="26">
        <v>0.8</v>
      </c>
      <c r="CI9" s="26">
        <v>0</v>
      </c>
      <c r="CJ9" s="26">
        <v>18.600000000000001</v>
      </c>
      <c r="CK9" s="26">
        <v>6.4</v>
      </c>
      <c r="CL9" s="26">
        <v>0.8</v>
      </c>
      <c r="CM9" s="26">
        <v>0</v>
      </c>
      <c r="CN9" s="26">
        <v>18.899999999999999</v>
      </c>
      <c r="CO9" s="26">
        <v>7.2</v>
      </c>
      <c r="CP9" s="26">
        <v>0.6</v>
      </c>
      <c r="CQ9" s="26">
        <v>0</v>
      </c>
      <c r="CR9" s="26">
        <v>18.399999999999999</v>
      </c>
      <c r="CS9" s="26">
        <v>7.6</v>
      </c>
      <c r="CT9" s="26">
        <v>0.6</v>
      </c>
      <c r="CU9" s="26">
        <v>0</v>
      </c>
      <c r="CV9" s="44"/>
      <c r="CW9" s="78">
        <f>IF(SUM(CC9,CG9)&gt;0,SUM(CC9,CG9),"")</f>
        <v>14.8</v>
      </c>
      <c r="CX9" s="78">
        <f>IF(SUM(CB9:CC9,CE9:CG9,CI9)-CD9-CH9&gt;0,SUM(CB9:CC9,CE9:CG9,CI9)-CD9-CH9,"")</f>
        <v>50.8</v>
      </c>
      <c r="CY9" s="78">
        <f>IF(SUM(CJ9:CK9,CM9)-CL9&gt;0,SUM(CJ9:CK9,CM9)-CL9,"")</f>
        <v>24.2</v>
      </c>
      <c r="CZ9" s="78">
        <f>IF(SUM(CC9,CG9,CK9)&gt;0,SUM(CC9,CG9,CK9),"")</f>
        <v>21.200000000000003</v>
      </c>
      <c r="DA9" s="78">
        <f>IF(SUM(CX9,CY9)&gt;0,SUM(CX9,CY9),"")</f>
        <v>75</v>
      </c>
      <c r="DB9" s="78">
        <f>IF(SUM(CO9,CS9)&gt;0,SUM(CO9,CS9),"")</f>
        <v>14.8</v>
      </c>
      <c r="DC9" s="78">
        <f>IF(SUM(CN9:CO9,CQ9:CS9,CU9)-SUM(CP9,CT9)&gt;0,SUM(CN9:CO9,CQ9:CS9,CU9)-SUM(CP9,CT9),"")</f>
        <v>50.9</v>
      </c>
      <c r="DD9" s="78">
        <f>IF(SUM(CX9,DC9)&gt;0,SUM(CX9,DC9),"")</f>
        <v>101.69999999999999</v>
      </c>
      <c r="DE9" s="79" t="str">
        <f>IF(K9&gt;=0.001,IF(MAX(EC9,FE9,GG9,HI9,IK9,JM9,KO9,LQ9,MS9,NU9,OW9,PY9)-IF(K9="",0,K9)&gt;0.001,MAX(EC9,FE9,GG9,HI9,IK9,JM9,KO9,LQ9,MS9,NU9,OW9,PY9)-IF(K9="",0,K9),""),"")</f>
        <v/>
      </c>
      <c r="DF9" s="79" t="str">
        <f>IF(O9&gt;=0.001,IF(MAX(ED9,FF9,GH9,HJ9,IL9,JN9,KP9,LR9,MT9,NV9,OX9,PZ9)-IF(O9="",0,O9)&gt;0.001,MAX(ED9,FF9,GH9,HJ9,IL9,JN9,KP9,LR9,MT9,NV9,OX9,PZ9)-IF(O9="",0,O9),""),"")</f>
        <v/>
      </c>
      <c r="DG9" s="79" t="str">
        <f>IF(Q9&gt;=0.001,IF(MAX(EH9,FJ9,GL9,HN9,IP9,JR9,KT9,LV9,MX9,NZ9,PB9,QD9)-IF(Q9="",0,Q9)&gt;0.001,MAX(EH9,FJ9,GL9,HN9,IP9,JR9,KT9,LV9,MX9,NZ9,PB9,QD9)-IF(Q9="",0,Q9),""),"")</f>
        <v/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>IF(SUM(DI9,DM9)&gt;0,SUM(DI9,DM9),"")</f>
        <v/>
      </c>
      <c r="EC9" s="78" t="str">
        <f>IF(SUM(DH9:DI9,DK9:DM9,DO9)-DJ9-DN9&gt;0,SUM(DH9:DI9,DK9:DM9,DO9)-DJ9-DN9,"")</f>
        <v/>
      </c>
      <c r="ED9" s="78" t="str">
        <f>IF(SUM(DP9:DQ9,DS9)-DR9&gt;0,SUM(DP9:DQ9,DS9)-DR9,"")</f>
        <v/>
      </c>
      <c r="EE9" s="78" t="str">
        <f>IF(SUM(DI9,DM9,DQ9)&gt;0,SUM(DI9,DM9,DQ9),"")</f>
        <v/>
      </c>
      <c r="EF9" s="78" t="str">
        <f>IF(SUM(EC9,ED9)&gt;0,SUM(EC9,ED9),"")</f>
        <v/>
      </c>
      <c r="EG9" s="78" t="str">
        <f>IF(SUM(DU9,DY9)&gt;0,SUM(DU9,DY9),"")</f>
        <v/>
      </c>
      <c r="EH9" s="78" t="str">
        <f>IF(SUM(DT9:DU9,DW9:DY9,EA9)-SUM(DV9,DZ9)&gt;0,SUM(DT9:DU9,DW9:DY9,EA9)-SUM(DV9,DZ9),"")</f>
        <v/>
      </c>
      <c r="EI9" s="78" t="str">
        <f>IF(SUM(EC9,EH9)&gt;0,SUM(EC9,EH9),"")</f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>IF(SUM(EK9,EO9)&gt;0,SUM(EK9,EO9),"")</f>
        <v/>
      </c>
      <c r="FE9" s="19" t="str">
        <f>IF(SUM(EJ9:EK9,EM9:EO9,EQ9)-EL9-EP9&gt;0,SUM(EJ9:EK9,EM9:EO9,EQ9)-EL9-EP9,"")</f>
        <v/>
      </c>
      <c r="FF9" s="19" t="str">
        <f>IF(SUM(ER9:ES9,EU9)-ET9&gt;0,SUM(ER9:ES9,EU9)-ET9,"")</f>
        <v/>
      </c>
      <c r="FG9" s="19" t="str">
        <f>IF(SUM(EK9,EO9,ES9)&gt;0,SUM(EK9,EO9,ES9),"")</f>
        <v/>
      </c>
      <c r="FH9" s="19" t="str">
        <f>IF(SUM(FE9,FF9)&gt;0,SUM(FE9,FF9),"")</f>
        <v/>
      </c>
      <c r="FI9" s="19" t="str">
        <f>IF(SUM(EW9,FA9)&gt;0,SUM(EW9,FA9),"")</f>
        <v/>
      </c>
      <c r="FJ9" s="19" t="str">
        <f>IF(SUM(EV9:EW9,EY9:FA9,FC9)-SUM(EX9,FB9)&gt;0,SUM(EV9:EW9,EY9:FA9,FC9)-SUM(EX9,FB9),"")</f>
        <v/>
      </c>
      <c r="FK9" s="19" t="str">
        <f>IF(SUM(FE9,FJ9)&gt;0,SUM(FE9,FJ9),"")</f>
        <v/>
      </c>
      <c r="FL9" s="24">
        <v>18.899999999999999</v>
      </c>
      <c r="FM9" s="24">
        <v>7.2</v>
      </c>
      <c r="FN9" s="24">
        <v>0.6</v>
      </c>
      <c r="FO9" s="24">
        <v>0</v>
      </c>
      <c r="FP9" s="24">
        <v>0</v>
      </c>
      <c r="FQ9" s="24">
        <v>0</v>
      </c>
      <c r="FR9" s="24">
        <v>0</v>
      </c>
      <c r="FS9" s="24">
        <v>0</v>
      </c>
      <c r="FT9" s="24"/>
      <c r="FU9" s="24"/>
      <c r="FV9" s="24"/>
      <c r="FW9" s="24"/>
      <c r="FX9" s="24">
        <v>18.2</v>
      </c>
      <c r="FY9" s="24">
        <v>7.2</v>
      </c>
      <c r="FZ9" s="24">
        <v>0.6</v>
      </c>
      <c r="GA9" s="24">
        <v>0</v>
      </c>
      <c r="GB9" s="24">
        <v>18.399999999999999</v>
      </c>
      <c r="GC9" s="24">
        <v>6.8</v>
      </c>
      <c r="GD9" s="24">
        <v>0.8</v>
      </c>
      <c r="GE9" s="24">
        <v>0</v>
      </c>
      <c r="GF9" s="78">
        <f>IF(SUM(FM9,FQ9)&gt;0,SUM(FM9,FQ9),"")</f>
        <v>7.2</v>
      </c>
      <c r="GG9" s="78">
        <f>IF(SUM(FL9:FM9,FO9:FQ9,FS9)-FN9-FR9&gt;0,SUM(FL9:FM9,FO9:FQ9,FS9)-FN9-FR9,"")</f>
        <v>25.499999999999996</v>
      </c>
      <c r="GH9" s="78" t="str">
        <f>IF(SUM(FT9:FU9,FW9)-FV9&gt;0,SUM(FT9:FU9,FW9)-FV9,"")</f>
        <v/>
      </c>
      <c r="GI9" s="78">
        <f>IF(SUM(FM9,FQ9,FU9)&gt;0,SUM(FM9,FQ9,FU9),"")</f>
        <v>7.2</v>
      </c>
      <c r="GJ9" s="78">
        <f>IF(SUM(GG9,GH9)&gt;0,SUM(GG9,GH9),"")</f>
        <v>25.499999999999996</v>
      </c>
      <c r="GK9" s="78">
        <f>IF(SUM(FY9,GC9)&gt;0,SUM(FY9,GC9),"")</f>
        <v>14</v>
      </c>
      <c r="GL9" s="78">
        <f>IF(SUM(FX9:FY9,GA9:GC9,GE9)-SUM(FZ9,GD9)&gt;0,SUM(FX9:FY9,GA9:GC9,GE9)-SUM(FZ9,GD9),"")</f>
        <v>49.199999999999996</v>
      </c>
      <c r="GM9" s="78">
        <f>IF(SUM(GG9,GL9)&gt;0,SUM(GG9,GL9),"")</f>
        <v>74.699999999999989</v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>IF(SUM(GO9,GS9)&gt;0,SUM(GO9,GS9),"")</f>
        <v/>
      </c>
      <c r="HI9" s="19" t="str">
        <f>IF(SUM(GN9:GO9,GQ9:GS9,GU9)-GP9-GT9&gt;0,SUM(GN9:GO9,GQ9:GS9,GU9)-GP9-GT9,"")</f>
        <v/>
      </c>
      <c r="HJ9" s="19" t="str">
        <f>IF(SUM(GV9:GW9,GY9)-GX9&gt;0,SUM(GV9:GW9,GY9)-GX9,"")</f>
        <v/>
      </c>
      <c r="HK9" s="19" t="str">
        <f>IF(SUM(GO9,GS9,GW9)&gt;0,SUM(GO9,GS9,GW9),"")</f>
        <v/>
      </c>
      <c r="HL9" s="19" t="str">
        <f>IF(SUM(HI9,HJ9)&gt;0,SUM(HI9,HJ9),"")</f>
        <v/>
      </c>
      <c r="HM9" s="19" t="str">
        <f>IF(SUM(HA9,HE9)&gt;0,SUM(HA9,HE9),"")</f>
        <v/>
      </c>
      <c r="HN9" s="19" t="str">
        <f>IF(SUM(GZ9:HA9,HC9:HE9,HG9)-SUM(HB9,HF9)&gt;0,SUM(GZ9:HA9,HC9:HE9,HG9)-SUM(HB9,HF9),"")</f>
        <v/>
      </c>
      <c r="HO9" s="19" t="str">
        <f>IF(SUM(HI9,HN9)&gt;0,SUM(HI9,HN9),"")</f>
        <v/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>IF(SUM(HQ9,HU9)&gt;0,SUM(HQ9,HU9),"")</f>
        <v/>
      </c>
      <c r="IK9" s="78" t="str">
        <f>IF(SUM(HP9:HQ9,HS9:HU9,HW9)-HR9-HV9&gt;0,SUM(HP9:HQ9,HS9:HU9,HW9)-HR9-HV9,"")</f>
        <v/>
      </c>
      <c r="IL9" s="78" t="str">
        <f>IF(SUM(HX9:HY9,IA9)-HZ9&gt;0,SUM(HX9:HY9,IA9)-HZ9,"")</f>
        <v/>
      </c>
      <c r="IM9" s="78" t="str">
        <f>IF(SUM(HQ9,HU9,HY9)&gt;0,SUM(HQ9,HU9,HY9),"")</f>
        <v/>
      </c>
      <c r="IN9" s="78" t="str">
        <f>IF(SUM(IK9,IL9)&gt;0,SUM(IK9,IL9),"")</f>
        <v/>
      </c>
      <c r="IO9" s="78" t="str">
        <f>IF(SUM(IC9,IG9)&gt;0,SUM(IC9,IG9),"")</f>
        <v/>
      </c>
      <c r="IP9" s="78" t="str">
        <f>IF(SUM(IB9:IC9,IE9:IG9,II9)-SUM(ID9,IH9)&gt;0,SUM(IB9:IC9,IE9:IG9,II9)-SUM(ID9,IH9),"")</f>
        <v/>
      </c>
      <c r="IQ9" s="78" t="str">
        <f>IF(SUM(IK9,IP9)&gt;0,SUM(IK9,IP9),"")</f>
        <v/>
      </c>
      <c r="IR9" s="25">
        <v>18.7</v>
      </c>
      <c r="IS9" s="25">
        <v>6.8</v>
      </c>
      <c r="IT9" s="25">
        <v>0.6</v>
      </c>
      <c r="IU9" s="25">
        <v>0</v>
      </c>
      <c r="IV9" s="25">
        <v>19</v>
      </c>
      <c r="IW9" s="25">
        <v>6.4</v>
      </c>
      <c r="IX9" s="25">
        <v>0</v>
      </c>
      <c r="IY9" s="25">
        <v>0</v>
      </c>
      <c r="IZ9" s="25"/>
      <c r="JA9" s="25"/>
      <c r="JB9" s="25"/>
      <c r="JC9" s="25"/>
      <c r="JD9" s="25">
        <v>18.8</v>
      </c>
      <c r="JE9" s="25">
        <v>7.2</v>
      </c>
      <c r="JF9" s="25">
        <v>0.6</v>
      </c>
      <c r="JG9" s="25">
        <v>0</v>
      </c>
      <c r="JH9" s="25"/>
      <c r="JI9" s="25"/>
      <c r="JJ9" s="25"/>
      <c r="JK9" s="25"/>
      <c r="JL9" s="19">
        <f>IF(SUM(IS9,IW9)&gt;0,SUM(IS9,IW9),"")</f>
        <v>13.2</v>
      </c>
      <c r="JM9" s="19">
        <f>IF(SUM(IR9:IS9,IU9:IW9,IY9)-IT9-IX9&gt;0,SUM(IR9:IS9,IU9:IW9,IY9)-IT9-IX9,"")</f>
        <v>50.3</v>
      </c>
      <c r="JN9" s="19" t="str">
        <f>IF(SUM(IZ9:JA9,JC9)-JB9&gt;0,SUM(IZ9:JA9,JC9)-JB9,"")</f>
        <v/>
      </c>
      <c r="JO9" s="19">
        <f>IF(SUM(IS9,IW9,JA9)&gt;0,SUM(IS9,IW9,JA9),"")</f>
        <v>13.2</v>
      </c>
      <c r="JP9" s="19">
        <f>IF(SUM(JM9,JN9)&gt;0,SUM(JM9,JN9),"")</f>
        <v>50.3</v>
      </c>
      <c r="JQ9" s="19">
        <f>IF(SUM(JE9,JI9)&gt;0,SUM(JE9,JI9),"")</f>
        <v>7.2</v>
      </c>
      <c r="JR9" s="19">
        <f>IF(SUM(JD9:JE9,JG9:JI9,JK9)-SUM(JF9,JJ9)&gt;0,SUM(JD9:JE9,JG9:JI9,JK9)-SUM(JF9,JJ9),"")</f>
        <v>25.4</v>
      </c>
      <c r="JS9" s="19">
        <f>IF(SUM(JM9,JR9)&gt;0,SUM(JM9,JR9),"")</f>
        <v>75.699999999999989</v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>IF(SUM(JU9,JY9)&gt;0,SUM(JU9,JY9),"")</f>
        <v/>
      </c>
      <c r="KO9" s="78" t="str">
        <f>IF(SUM(JT9:JU9,JW9:JY9,KA9)-JV9-JZ9&gt;0,SUM(JT9:JU9,JW9:JY9,KA9)-JV9-JZ9,"")</f>
        <v/>
      </c>
      <c r="KP9" s="78" t="str">
        <f>IF(SUM(KB9:KC9,KE9)-KD9&gt;0,SUM(KB9:KC9,KE9)-KD9,"")</f>
        <v/>
      </c>
      <c r="KQ9" s="78" t="str">
        <f>IF(SUM(JU9,JY9,KC9)&gt;0,SUM(JU9,JY9,KC9),"")</f>
        <v/>
      </c>
      <c r="KR9" s="78" t="str">
        <f>IF(SUM(KO9,KP9)&gt;0,SUM(KO9,KP9),"")</f>
        <v/>
      </c>
      <c r="KS9" s="78" t="str">
        <f>IF(SUM(KG9,KK9)&gt;0,SUM(KG9,KK9),"")</f>
        <v/>
      </c>
      <c r="KT9" s="78" t="str">
        <f>IF(SUM(KF9:KG9,KI9:KK9,KM9)-SUM(KH9,KL9)&gt;0,SUM(KF9:KG9,KI9:KK9,KM9)-SUM(KH9,KL9),"")</f>
        <v/>
      </c>
      <c r="KU9" s="78" t="str">
        <f>IF(SUM(KO9,KT9)&gt;0,SUM(KO9,KT9),"")</f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>IF(SUM(KW9,LA9)&gt;0,SUM(KW9,LA9),"")</f>
        <v/>
      </c>
      <c r="LQ9" s="19" t="str">
        <f>IF(SUM(KV9:KW9,KY9:LA9,LC9)-KX9-LB9&gt;0,SUM(KV9:KW9,KY9:LA9,LC9)-KX9-LB9,"")</f>
        <v/>
      </c>
      <c r="LR9" s="19" t="str">
        <f>IF(SUM(LD9:LE9,LG9)-LF9&gt;0,SUM(LD9:LE9,LG9)-LF9,"")</f>
        <v/>
      </c>
      <c r="LS9" s="19" t="str">
        <f>IF(SUM(KW9,LA9,LE9)&gt;0,SUM(KW9,LA9,LE9),"")</f>
        <v/>
      </c>
      <c r="LT9" s="19" t="str">
        <f>IF(SUM(LQ9,LR9)&gt;0,SUM(LQ9,LR9),"")</f>
        <v/>
      </c>
      <c r="LU9" s="19" t="str">
        <f>IF(SUM(LI9,LM9)&gt;0,SUM(LI9,LM9),"")</f>
        <v/>
      </c>
      <c r="LV9" s="19" t="str">
        <f>IF(SUM(LH9:LI9,LK9:LM9,LO9)-SUM(LJ9,LN9)&gt;0,SUM(LH9:LI9,LK9:LM9,LO9)-SUM(LJ9,LN9),"")</f>
        <v/>
      </c>
      <c r="LW9" s="19" t="str">
        <f>IF(SUM(LQ9,LV9)&gt;0,SUM(LQ9,LV9),"")</f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>IF(SUM(LY9,MC9)&gt;0,SUM(LY9,MC9),"")</f>
        <v/>
      </c>
      <c r="MS9" s="78" t="str">
        <f>IF(SUM(LX9:LY9,MA9:MC9,ME9)-LZ9-MD9&gt;0,SUM(LX9:LY9,MA9:MC9,ME9)-LZ9-MD9,"")</f>
        <v/>
      </c>
      <c r="MT9" s="78" t="str">
        <f>IF(SUM(MF9:MG9,MI9)-MH9&gt;0,SUM(MF9:MG9,MI9)-MH9,"")</f>
        <v/>
      </c>
      <c r="MU9" s="78" t="str">
        <f>IF(SUM(LY9,MC9,MG9)&gt;0,SUM(LY9,MC9,MG9),"")</f>
        <v/>
      </c>
      <c r="MV9" s="78" t="str">
        <f>IF(SUM(MS9,MT9)&gt;0,SUM(MS9,MT9),"")</f>
        <v/>
      </c>
      <c r="MW9" s="78" t="str">
        <f>IF(SUM(MK9,MO9)&gt;0,SUM(MK9,MO9),"")</f>
        <v/>
      </c>
      <c r="MX9" s="78" t="str">
        <f>IF(SUM(MJ9:MK9,MM9:MO9,MQ9)-SUM(ML9,MP9)&gt;0,SUM(MJ9:MK9,MM9:MO9,MQ9)-SUM(ML9,MP9),"")</f>
        <v/>
      </c>
      <c r="MY9" s="78" t="str">
        <f>IF(SUM(MS9,MX9)&gt;0,SUM(MS9,MX9),"")</f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>IF(SUM(NA9,NE9)&gt;0,SUM(NA9,NE9),"")</f>
        <v/>
      </c>
      <c r="NU9" s="19" t="str">
        <f>IF(SUM(MZ9:NA9,NC9:NE9,NG9)-NB9-NF9&gt;0,SUM(MZ9:NA9,NC9:NE9,NG9)-NB9-NF9,"")</f>
        <v/>
      </c>
      <c r="NV9" s="19" t="str">
        <f>IF(SUM(NH9:NI9,NK9)-NJ9&gt;0,SUM(NH9:NI9,NK9)-NJ9,"")</f>
        <v/>
      </c>
      <c r="NW9" s="19" t="str">
        <f>IF(SUM(NA9,NE9,NI9)&gt;0,SUM(NA9,NE9,NI9),"")</f>
        <v/>
      </c>
      <c r="NX9" s="19" t="str">
        <f>IF(SUM(NU9,NV9)&gt;0,SUM(NU9,NV9),"")</f>
        <v/>
      </c>
      <c r="NY9" s="19" t="str">
        <f>IF(SUM(NM9,NQ9)&gt;0,SUM(NM9,NQ9),"")</f>
        <v/>
      </c>
      <c r="NZ9" s="19" t="str">
        <f>IF(SUM(NL9:NM9,NO9:NQ9,NS9)-SUM(NN9,NR9)&gt;0,SUM(NL9:NM9,NO9:NQ9,NS9)-SUM(NN9,NR9),"")</f>
        <v/>
      </c>
      <c r="OA9" s="19" t="str">
        <f>IF(SUM(NU9,NZ9)&gt;0,SUM(NU9,NZ9),"")</f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>IF(SUM(OC9,OG9)&gt;0,SUM(OC9,OG9),"")</f>
        <v/>
      </c>
      <c r="OW9" s="78" t="str">
        <f>IF(SUM(OB9:OC9,OE9:OG9,OI9)-OD9-OH9&gt;0,SUM(OB9:OC9,OE9:OG9,OI9)-OD9-OH9,"")</f>
        <v/>
      </c>
      <c r="OX9" s="78" t="str">
        <f>IF(SUM(OJ9:OK9,OM9)-OL9&gt;0,SUM(OJ9:OK9,OM9)-OL9,"")</f>
        <v/>
      </c>
      <c r="OY9" s="78" t="str">
        <f>IF(SUM(OC9,OG9,OK9)&gt;0,SUM(OC9,OG9,OK9),"")</f>
        <v/>
      </c>
      <c r="OZ9" s="78" t="str">
        <f>IF(SUM(OW9,OX9)&gt;0,SUM(OW9,OX9),"")</f>
        <v/>
      </c>
      <c r="PA9" s="78" t="str">
        <f>IF(SUM(OO9,OS9)&gt;0,SUM(OO9,OS9),"")</f>
        <v/>
      </c>
      <c r="PB9" s="78" t="str">
        <f>IF(SUM(ON9:OO9,OQ9:OS9,OU9)-SUM(OP9,OT9)&gt;0,SUM(ON9:OO9,OQ9:OS9,OU9)-SUM(OP9,OT9),"")</f>
        <v/>
      </c>
      <c r="PC9" s="78" t="str">
        <f>IF(SUM(OW9,PB9)&gt;0,SUM(OW9,PB9),"")</f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>IF(SUM(PE9,PI9)&gt;0,SUM(PE9,PI9),"")</f>
        <v/>
      </c>
      <c r="PY9" s="19" t="str">
        <f>IF(SUM(PD9:PE9,PG9:PI9,PK9)-PF9-PJ9&gt;0,SUM(PD9:PE9,PG9:PI9,PK9)-PF9-PJ9,"")</f>
        <v/>
      </c>
      <c r="PZ9" s="19" t="str">
        <f>IF(SUM(PL9:PM9,PO9)-PN9&gt;0,SUM(PL9:PM9,PO9)-PN9,"")</f>
        <v/>
      </c>
      <c r="QA9" s="19" t="str">
        <f>IF(SUM(PE9,PI9,PM9)&gt;0,SUM(PE9,PI9,PM9),"")</f>
        <v/>
      </c>
      <c r="QB9" s="19" t="str">
        <f>IF(SUM(PY9,PZ9)&gt;0,SUM(PY9,PZ9),"")</f>
        <v/>
      </c>
      <c r="QC9" s="19" t="str">
        <f>IF(SUM(PQ9,PU9)&gt;0,SUM(PQ9,PU9),"")</f>
        <v/>
      </c>
      <c r="QD9" s="19" t="str">
        <f>IF(SUM(PP9:PQ9,PS9:PU9,PW9)-SUM(PR9,PV9)&gt;0,SUM(PP9:PQ9,PS9:PU9,PW9)-SUM(PR9,PV9),"")</f>
        <v/>
      </c>
      <c r="QE9" s="19" t="str">
        <f>IF(SUM(PY9,QD9)&gt;0,SUM(PY9,QD9),"")</f>
        <v/>
      </c>
      <c r="QF9" s="37">
        <f>IF($CV9="P",CB9,(CB9+AY9)/2)</f>
        <v>19</v>
      </c>
      <c r="QG9" s="37">
        <f>IF($CV9="P",CC9,(CC9+AZ9)/2)</f>
        <v>7</v>
      </c>
      <c r="QH9" s="37">
        <f>IF($CV9="P",CD9,(CD9+BA9)/2)</f>
        <v>0.3</v>
      </c>
      <c r="QI9" s="37">
        <f>IF($CV9="P",CE9,(CE9+BB9)/2)</f>
        <v>0</v>
      </c>
      <c r="QJ9" s="37">
        <f>IF($CV9="P",CF9,(CF9+BC9)/2)</f>
        <v>18.7</v>
      </c>
      <c r="QK9" s="37">
        <f>IF($CV9="P",CG9,(CG9+BD9)/2)</f>
        <v>7</v>
      </c>
      <c r="QL9" s="37">
        <f>IF($CV9="P",CH9,(CH9+BE9)/2)</f>
        <v>0.60000000000000009</v>
      </c>
      <c r="QM9" s="37">
        <f>IF($CV9="P",CI9,(CI9+BF9)/2)</f>
        <v>0</v>
      </c>
      <c r="QN9" s="37">
        <f>IF($CV9="P",CJ9,(CJ9+BG9)/2)</f>
        <v>18.600000000000001</v>
      </c>
      <c r="QO9" s="37">
        <f>IF($CV9="P",CK9,(CK9+BH9)/2)</f>
        <v>6.4</v>
      </c>
      <c r="QP9" s="37">
        <f>IF($CV9="P",CL9,(CL9+BI9)/2)</f>
        <v>0.5</v>
      </c>
      <c r="QQ9" s="37">
        <f>IF($CV9="P",CM9,(CM9+BJ9)/2)</f>
        <v>0</v>
      </c>
      <c r="QR9" s="37">
        <f>IF($CV9="P",CN9,(CN9+BK9)/2)</f>
        <v>18.899999999999999</v>
      </c>
      <c r="QS9" s="37">
        <f>IF($CV9="P",CO9,(CO9+BL9)/2)</f>
        <v>7.2</v>
      </c>
      <c r="QT9" s="37">
        <f>IF($CV9="P",CP9,(CP9+BM9)/2)</f>
        <v>0.6</v>
      </c>
      <c r="QU9" s="37">
        <f>IF($CV9="P",CQ9,(CQ9+BN9)/2)</f>
        <v>0</v>
      </c>
      <c r="QV9" s="37">
        <f>IF($CV9="P",CR9,(CR9+BO9)/2)</f>
        <v>18.5</v>
      </c>
      <c r="QW9" s="37">
        <f>IF($CV9="P",CS9,(CS9+BP9)/2)</f>
        <v>7.4</v>
      </c>
      <c r="QX9" s="37">
        <f>IF($CV9="P",CT9,(CT9+BQ9)/2)</f>
        <v>0.3</v>
      </c>
      <c r="QY9" s="37">
        <f>IF($CV9="P",CU9,(CU9+BR9)/2)</f>
        <v>0</v>
      </c>
      <c r="QZ9" s="44" t="s">
        <v>46</v>
      </c>
      <c r="RA9" s="78">
        <f>IF(SUM(QG9,QK9)&gt;0,SUM(QG9,QK9),"")</f>
        <v>14</v>
      </c>
      <c r="RB9" s="78">
        <f>IF(SUM(QF9:QG9,QI9:QK9,QM9)-QH9-QL9&gt;0,SUM(QF9:QG9,QI9:QK9,QM9)-QH9-QL9,"")</f>
        <v>50.800000000000004</v>
      </c>
      <c r="RC9" s="78">
        <f>IF(SUM(QN9:QO9,QQ9)-QP9&gt;0,SUM(QN9:QO9,QQ9)-QP9,"")</f>
        <v>24.5</v>
      </c>
      <c r="RD9" s="78">
        <f>IF(SUM(QG9,QK9,QO9)&gt;0,SUM(QG9,QK9,QO9),"")</f>
        <v>20.399999999999999</v>
      </c>
      <c r="RE9" s="78">
        <f>IF(SUM(RB9,RC9)&gt;0,SUM(RB9,RC9),"")</f>
        <v>75.300000000000011</v>
      </c>
      <c r="RF9" s="78">
        <f>IF(SUM(QS9,QW9)&gt;0,SUM(QS9,QW9),"")</f>
        <v>14.600000000000001</v>
      </c>
      <c r="RG9" s="78">
        <f>IF(SUM(QR9:QS9,QU9:QW9,QY9)-SUM(QT9,QX9)&gt;0,SUM(QR9:QS9,QU9:QW9,QY9)-SUM(QT9,QX9),"")</f>
        <v>51.099999999999994</v>
      </c>
      <c r="RH9" s="78">
        <f>IF(SUM(RB9,RG9)&gt;0,SUM(RB9,RG9),"")</f>
        <v>101.9</v>
      </c>
    </row>
    <row r="10" spans="1:476" x14ac:dyDescent="0.2">
      <c r="A10" s="5">
        <f>IF(AND(F10="P",G10="P"),SUMPRODUCT((F$4:F$32="P")*(G$4:G$32="P")*(E$4:E$32&gt;E10))+1,IF(G10="P",SUMPRODUCT((F$4:F$32="")*(G$4:G$32="P")*(E$4:E$32&gt;E10))+1+SUMPRODUCT((F$4:F$32="P")*(G$4:G$32="P")),""))</f>
        <v>7</v>
      </c>
      <c r="B10" s="77" t="s">
        <v>100</v>
      </c>
      <c r="C10" s="5" t="s">
        <v>4</v>
      </c>
      <c r="D10" s="5">
        <v>2004</v>
      </c>
      <c r="E10" s="15">
        <f>SUM(I10:S10)+SUM(I10:O10)*0.0000001+SUM(I10)*0.0000000000001</f>
        <v>200.80001539000511</v>
      </c>
      <c r="F10" s="3" t="str">
        <f>IF(OR(AND(AQ10&gt;=AX$34,AR10&gt;=AX$38,AQ10&lt;&gt;"",AP10=""),AND(AV10&gt;=AX$34,AW10&gt;=AX$38,AV10&lt;&gt;"",AP10=""),AND(BT10&gt;=CA$34,BU10&gt;=CA$38,BT10&lt;&gt;"",BS10=""),AND(BY10&gt;=CA$34,BZ10&gt;=CA$38,BY10&lt;&gt;"",BS10=""),AND(CW10&gt;=DD$34,CX10&gt;=DD$38,CW10&lt;&gt;"",CV10=""),AND(DB10&gt;=DD$34,DC10&gt;=DD$38,DB10&lt;&gt;""),AND(EB10&gt;=EI$34,EC10&gt;=EI$38,EB10&lt;&gt;""),AND(EG10&gt;=EI$34,EH10&gt;=EI$38,EG10&lt;&gt;""),AND(FD10&gt;=FK$34,FE10&gt;=FK$38,FD10&lt;&gt;""),AND(FI10&gt;=FK$34,FJ10&gt;=FK$38,FI10&lt;&gt;""),AND(GF10&gt;=GM$34,GG10&gt;=GM$38,GF10&lt;&gt;""),AND(GK10&gt;=GM$34,GL10&gt;=GM$38,GK10&lt;&gt;""),AND(HH10&gt;=HO$34,HI10&gt;=HO$38,HH10&lt;&gt;""),AND(HM10&gt;=HO$34,HN10&gt;=HO$38,HM10&lt;&gt;""),AND(IJ10&gt;=IQ$34,IK10&gt;=IQ$38,IJ10&lt;&gt;""),AND(IO10&gt;=IQ$34,IP10&gt;=IQ$38,IO10&lt;&gt;""),AND(JL10&gt;=JS$34,JM10&gt;=JS$38,JL10&lt;&gt;""),AND(JQ10&gt;=JS$34,JR10&gt;=JS$38,JQ10&lt;&gt;""),AND(KN10&gt;=KU$34,KO10&gt;=KU$38,KN10&lt;&gt;""),AND(KS10&gt;=KU$34,KT10&gt;=KU$38,KS10&lt;&gt;""),AND(LP10&gt;=LW$34,LQ10&gt;=LW$38,LP10&lt;&gt;""),AND(LU10&gt;=LW$34,LV10&gt;=LW$38,LU10&lt;&gt;""),AND(MR10&gt;=MY$34,MS10&gt;=MY$38,MR10&lt;&gt;""),AND(MW10&gt;=MY$34,MX10&gt;=MY$38,MW10&lt;&gt;""),AND(NT10&gt;=OA$34,NU10&gt;=OA$38,NT10&lt;&gt;""),AND(NY10&gt;=OA$34,NZ10&gt;=OA$38,NY10&lt;&gt;""),AND(OV10&gt;=PC$34,OW10&gt;=PC$38,OV10&lt;&gt;""),AND(PA10&gt;=PC$34,PB10&gt;=PC$38,PA10&lt;&gt;""),AND(PX10&gt;=QE$34,PY10&gt;=QE$38,PX10&lt;&gt;""),AND(QC10&gt;=QE$34,QD10&gt;=QE$38,QC10&lt;&gt;"")),"P","")</f>
        <v>P</v>
      </c>
      <c r="G10" s="3" t="str">
        <f>IF(OR(AND(AR10&gt;=AX$38,AR10&lt;&gt;"",AP10=""),AND(AW10&gt;=AX$38,AW10&lt;&gt;"",AP10=""),AND(BU10&gt;=CA$38,BU10&lt;&gt;"",BS10=""),AND(BZ10&gt;=CA$38,BZ10&lt;&gt;"",BS10=""),AND(CX10&gt;=DD$38,CX10&lt;&gt;"",CV10=""),AND(DC10&gt;=DD$38,DC10&lt;&gt;"",CV10=""),AND(EC10&gt;=EI$38,EC10&lt;&gt;""),AND(EH10&gt;=EI$38,EH10&lt;&gt;""),AND(FE10&gt;=FK$38,FE10&lt;&gt;""),AND(FJ10&gt;=FK$38,FJ10&lt;&gt;""),AND(GG10&gt;=GM$38,GG10&lt;&gt;""),AND(GL10&gt;=GM$38,GL10&lt;&gt;""),AND(HI10&gt;=HO$38,HI10&lt;&gt;""),AND(HN10&gt;=HO$38,HN10&lt;&gt;""),AND(IK10&gt;=IQ$38,IK10&lt;&gt;""),AND(IP10&gt;=IQ$38,IP10&lt;&gt;""),AND(JM10&gt;=JS$38,JM10&lt;&gt;""),AND(JR10&gt;=JS$38,JR10&lt;&gt;""),AND(KO10&gt;=KU$38,KO10&lt;&gt;""),AND(KT10&gt;=KU$38,KT10&lt;&gt;""),AND(LQ10&gt;=LW$38,LQ10&lt;&gt;""),AND(LV10&gt;=LW$38,LV10&lt;&gt;""),AND(MS10&gt;=MY$38,MS10&lt;&gt;""),AND(MX10&gt;=MY$38,MX10&lt;&gt;""),AND(NU10&gt;=OA$38,NU10&lt;&gt;""),AND(NZ10&gt;=OA$38,NZ10&lt;&gt;""),AND(OW10&gt;=PC$38,OW10&lt;&gt;""),AND(PB10&gt;=PC$38,PB10&lt;&gt;""),AND(PY10&gt;=QE$38,PY10&lt;&gt;""),AND(QD10&gt;=QE$38,QD10&lt;&gt;"")),"P","")</f>
        <v>P</v>
      </c>
      <c r="H10" s="66" t="str">
        <f>IF(AND(G10="P",F10=""),"No DD",IF(OR(AND(AT10&gt;=AX$37,AU10&gt;=AX$41,AT10&lt;&gt;"",AP10=""),AND(BW10&gt;=CA$37,BX10&gt;=CA$41,BW10&lt;&gt;"",BS10=""),AND(CZ10&gt;=DD$37,DA10&gt;=DD$41,CZ10&lt;&gt;"",CV10=""),AND(EE10&gt;=EI$37,EF10&gt;=EI$41,EE10&lt;&gt;""),AND(FG10&gt;=FK$37,FH10&gt;=FK$41,FG10&lt;&gt;""),AND(GI10&gt;=GM$37,GJ10&gt;=GM$41,GI10&lt;&gt;""),AND(HK10&gt;=HO$37,HL10&gt;=HO$41,HK10&lt;&gt;""),AND(IM10&gt;=IQ$37,IN10&gt;=IQ$41,IM10&lt;&gt;""),AND(JO10&gt;=JS$37,JP10&gt;=JS$41,JO10&lt;&gt;""),AND(KQ10&gt;=KU$37,KR10&gt;=KU$41,KQ10&lt;&gt;""),AND(LS10&gt;=LW$37,LT10&gt;=LW$41,LS10&lt;&gt;""),AND(MU10&gt;=MY$37,MV10&gt;=MY$41,MU10&lt;&gt;""),AND(NW10&gt;=OA$37,NX10&gt;=OA$41,NW10&lt;&gt;""),AND(OY10&gt;=PC$37,OZ10&gt;=PC$41,OY10&lt;&gt;""),AND(QA10&gt;=QE$37,QB10&gt;=QE$41,QA10&lt;&gt;"")),"Merit",IF(OR(AND(AT10&gt;=AX$36,AU10&gt;=AX$40,AT10&lt;&gt;"",AP10=""),AND(BW10&gt;=CA$36,BX10&gt;=CA$40,BW10&lt;&gt;"",BS10=""),AND(CZ10&gt;=DD$36,DA10&gt;=DD$40,CZ10&lt;&gt;"",CV10=""),AND(EE10&gt;=EI$36,EF10&gt;=EI$40,EE10&lt;&gt;""),AND(FG10&gt;=FK$36,FH10&gt;=FK$40,FG10&lt;&gt;""),AND(GI10&gt;=GM$36,GJ10&gt;=GM$40,GI10&lt;&gt;""),AND(HK10&gt;=HO$36,HL10&gt;=HO$40,HK10&lt;&gt;""),AND(IM10&gt;=IQ$36,IN10&gt;=IQ$40,IM10&lt;&gt;""),AND(JO10&gt;=JS$36,JP10&gt;=JS$40,JO10&lt;&gt;""),AND(KQ10&gt;=KU$36,KR10&gt;=KU$40,KQ10&lt;&gt;""),AND(LS10&gt;=LW$36,LT10&gt;=LW$40,LS10&lt;&gt;""),AND(MU10&gt;=MY$36,MV10&gt;=MY$40,MU10&lt;&gt;""),AND(NW10&gt;=OA$36,NX10&gt;=OA$40,NW10&lt;&gt;""),AND(OY10&gt;=PC$36,OZ10&gt;=PC$40,OY10&lt;&gt;""),AND(QA10&gt;=QE$36,QB10&gt;=QE$40,QA10&lt;&gt;"")),"Excellence",IF(F10="P","National Team",""))))</f>
        <v>National Team</v>
      </c>
      <c r="I10" s="14">
        <f>IF(COUNT(AR10,BU10,CX10)&gt;0,LARGE((AR10,BU10,CX10),1),0)</f>
        <v>51.699999999999996</v>
      </c>
      <c r="J10" s="14" t="str">
        <f>IF(I10=0,"",IF(I10=CX10,$CB$1,IF(I10=BU10,$AY$1,IF(I10=AR10,$V$1,""))))</f>
        <v>2022 3rd Domestic Trial</v>
      </c>
      <c r="K10" s="14">
        <f>IF(COUNT(AR10,BU10,CX10)&gt;1,LARGE((AR10,BU10,CX10),2),0)</f>
        <v>50.900000000000006</v>
      </c>
      <c r="L10" s="14" t="str">
        <f>IF(K10=0,"",IF(K10=CX10,$CB$1,IF(K10=BU10,$AY$1,IF(K10=AR10,$V$1,""))))</f>
        <v>2022 Elite Canada</v>
      </c>
      <c r="M10" s="14">
        <f>IF(COUNT(AS10,BV10,CY10)&gt;0,LARGE((AS10,BV10,CY10),1),0)</f>
        <v>26.6</v>
      </c>
      <c r="N10" s="14" t="str">
        <f>IF(M10=0,"",IF(M10=CY10,$CB$1,IF(M10=BV10,$AY$1,IF(M10=AS10,$V$1,""))))</f>
        <v>2022 3rd Domestic Trial</v>
      </c>
      <c r="O10" s="14">
        <f>IF(COUNT(AS10,BV10,CY10)&gt;1,LARGE((AS10,BV10,CY10),2),0)</f>
        <v>24.7</v>
      </c>
      <c r="P10" s="14" t="str">
        <f>IF(O10=0,"",IF(O10=CY10,$CB$1,IF(O10=BV10,$AY$1,IF(O10=AS10,$V$1,""))))</f>
        <v>2022 Elite Canada</v>
      </c>
      <c r="Q10" s="14">
        <f>IF(MAX(AW10,BZ10,DC10)&gt;0,MAX(AW10,BZ10,DC10),0)</f>
        <v>46.699999999999996</v>
      </c>
      <c r="R10" s="14" t="str">
        <f>IF(Q10=0,"",IF(Q10=DC10,$CB$1,IF(Q10=BZ10,$AY$1,IF(Q10=AW10,$V$1,""))))</f>
        <v>2022 3rd Domestic Trial</v>
      </c>
      <c r="S10" s="14">
        <f>IF(MAX(DE10:DG10)&gt;0,MAX(DE10:DG10),"")</f>
        <v>0.20000000000000284</v>
      </c>
      <c r="T10" s="19" t="str">
        <f>IF(S10="","",IF(S10=DE10,"("&amp;DE$2&amp;")",IF(S10=DG10,"("&amp;DG$2&amp;")")))</f>
        <v>(Final)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6">
        <v>19</v>
      </c>
      <c r="W10" s="26">
        <v>6.8</v>
      </c>
      <c r="X10" s="26">
        <v>0.6</v>
      </c>
      <c r="Y10" s="26">
        <v>0</v>
      </c>
      <c r="Z10" s="26">
        <v>19.100000000000001</v>
      </c>
      <c r="AA10" s="26">
        <v>7.2</v>
      </c>
      <c r="AB10" s="26">
        <v>0.6</v>
      </c>
      <c r="AC10" s="26">
        <v>0</v>
      </c>
      <c r="AD10" s="26">
        <v>18.399999999999999</v>
      </c>
      <c r="AE10" s="26">
        <v>7.3</v>
      </c>
      <c r="AF10" s="26">
        <v>1</v>
      </c>
      <c r="AG10" s="26">
        <v>0</v>
      </c>
      <c r="AH10" s="26">
        <v>18.8</v>
      </c>
      <c r="AI10" s="26">
        <v>6.8</v>
      </c>
      <c r="AJ10" s="26">
        <v>0.6</v>
      </c>
      <c r="AK10" s="26">
        <v>0</v>
      </c>
      <c r="AL10" s="26">
        <v>0</v>
      </c>
      <c r="AM10" s="26">
        <v>0</v>
      </c>
      <c r="AN10" s="26">
        <v>0</v>
      </c>
      <c r="AO10" s="26">
        <v>0</v>
      </c>
      <c r="AP10" s="44"/>
      <c r="AQ10" s="78">
        <f>IF(SUM(W10,AA10)&gt;0,SUM(W10,AA10),"")</f>
        <v>14</v>
      </c>
      <c r="AR10" s="78">
        <f>IF(SUM(V10:W10,Y10:AA10,AC10)-X10-AB10&gt;0,SUM(V10:W10,Y10:AA10,AC10)-X10-AB10,"")</f>
        <v>50.900000000000006</v>
      </c>
      <c r="AS10" s="78">
        <f>IF(SUM(AD10:AE10,AG10)-AF10&gt;0,SUM(AD10:AE10,AG10)-AF10,"")</f>
        <v>24.7</v>
      </c>
      <c r="AT10" s="78">
        <f>IF(SUM(W10,AA10,AE10)&gt;0,SUM(W10,AA10,AE10),"")</f>
        <v>21.3</v>
      </c>
      <c r="AU10" s="78">
        <f>IF(SUM(AR10,AS10)&gt;0,SUM(AR10,AS10),"")</f>
        <v>75.600000000000009</v>
      </c>
      <c r="AV10" s="78">
        <f>IF(SUM(AI10,AM10)&gt;0,SUM(AI10,AM10),"")</f>
        <v>6.8</v>
      </c>
      <c r="AW10" s="78">
        <f>IF(SUM(AH10:AI10,AK10:AM10,AO10)-SUM(AJ10,AN10)&gt;0,SUM(AH10:AI10,AK10:AM10,AO10)-SUM(AJ10,AN10),"")</f>
        <v>25</v>
      </c>
      <c r="AX10" s="78">
        <f>IF(SUM(AR10,AW10)&gt;0,SUM(AR10,AW10),"")</f>
        <v>75.900000000000006</v>
      </c>
      <c r="AY10" s="25">
        <v>18.399999999999999</v>
      </c>
      <c r="AZ10" s="25">
        <v>7.3</v>
      </c>
      <c r="BA10" s="25">
        <v>0</v>
      </c>
      <c r="BB10" s="25">
        <v>0</v>
      </c>
      <c r="BC10" s="25">
        <v>17.899999999999999</v>
      </c>
      <c r="BD10" s="25">
        <v>7.2</v>
      </c>
      <c r="BE10" s="25">
        <v>0.2</v>
      </c>
      <c r="BF10" s="25">
        <v>0</v>
      </c>
      <c r="BG10" s="25">
        <v>17.2</v>
      </c>
      <c r="BH10" s="25">
        <v>3.2</v>
      </c>
      <c r="BI10" s="25">
        <v>0</v>
      </c>
      <c r="BJ10" s="25">
        <v>0</v>
      </c>
      <c r="BK10" s="25"/>
      <c r="BL10" s="25"/>
      <c r="BM10" s="25"/>
      <c r="BN10" s="25"/>
      <c r="BO10" s="25"/>
      <c r="BP10" s="25"/>
      <c r="BQ10" s="25"/>
      <c r="BR10" s="25"/>
      <c r="BS10" s="45"/>
      <c r="BT10" s="19">
        <f>IF(SUM(AZ10,BD10)&gt;0,SUM(AZ10,BD10),"")</f>
        <v>14.5</v>
      </c>
      <c r="BU10" s="19">
        <f>IF(SUM(AY10:AZ10,BB10:BD10,BF10)-BA10-BE10&gt;0,SUM(AY10:AZ10,BB10:BD10,BF10)-BA10-BE10,"")</f>
        <v>50.599999999999994</v>
      </c>
      <c r="BV10" s="19">
        <f>IF(SUM(BG10:BH10,BJ10)-BI10&gt;0,SUM(BG10:BH10,BJ10)-BI10,"")</f>
        <v>20.399999999999999</v>
      </c>
      <c r="BW10" s="19">
        <f>IF(SUM(AZ10,BD10,BH10)&gt;0,SUM(AZ10,BD10,BH10),"")</f>
        <v>17.7</v>
      </c>
      <c r="BX10" s="19">
        <f>IF(SUM(BU10,BV10)&gt;0,SUM(BU10,BV10),"")</f>
        <v>71</v>
      </c>
      <c r="BY10" s="19" t="str">
        <f>IF(SUM(BL10,BP10)&gt;0,SUM(BL10,BP10),"")</f>
        <v/>
      </c>
      <c r="BZ10" s="19" t="str">
        <f>IF(SUM(BK10:BL10,BN10:BP10,BR10)-SUM(BM10,BQ10)&gt;0,SUM(BK10:BL10,BN10:BP10,BR10)-SUM(BM10,BQ10),"")</f>
        <v/>
      </c>
      <c r="CA10" s="19">
        <f>IF(SUM(BU10,BZ10)&gt;0,SUM(BU10,BZ10),"")</f>
        <v>50.599999999999994</v>
      </c>
      <c r="CB10" s="26">
        <v>18.399999999999999</v>
      </c>
      <c r="CC10" s="26">
        <v>7.7</v>
      </c>
      <c r="CD10" s="26">
        <v>0</v>
      </c>
      <c r="CE10" s="26">
        <v>0.3</v>
      </c>
      <c r="CF10" s="26">
        <v>18.600000000000001</v>
      </c>
      <c r="CG10" s="26">
        <v>7.3</v>
      </c>
      <c r="CH10" s="26">
        <v>0.6</v>
      </c>
      <c r="CI10" s="26">
        <v>0</v>
      </c>
      <c r="CJ10" s="26">
        <v>18.8</v>
      </c>
      <c r="CK10" s="26">
        <v>8.4</v>
      </c>
      <c r="CL10" s="26">
        <v>0.6</v>
      </c>
      <c r="CM10" s="26">
        <v>0</v>
      </c>
      <c r="CN10" s="26">
        <v>17.7</v>
      </c>
      <c r="CO10" s="26">
        <v>2.8</v>
      </c>
      <c r="CP10" s="26">
        <v>0</v>
      </c>
      <c r="CQ10" s="26">
        <v>0</v>
      </c>
      <c r="CR10" s="26">
        <v>18.8</v>
      </c>
      <c r="CS10" s="26">
        <v>7.6</v>
      </c>
      <c r="CT10" s="26">
        <v>0.2</v>
      </c>
      <c r="CU10" s="26">
        <v>0</v>
      </c>
      <c r="CV10" s="44"/>
      <c r="CW10" s="78">
        <f>IF(SUM(CC10,CG10)&gt;0,SUM(CC10,CG10),"")</f>
        <v>15</v>
      </c>
      <c r="CX10" s="78">
        <f>IF(SUM(CB10:CC10,CE10:CG10,CI10)-CD10-CH10&gt;0,SUM(CB10:CC10,CE10:CG10,CI10)-CD10-CH10,"")</f>
        <v>51.699999999999996</v>
      </c>
      <c r="CY10" s="78">
        <f>IF(SUM(CJ10:CK10,CM10)-CL10&gt;0,SUM(CJ10:CK10,CM10)-CL10,"")</f>
        <v>26.6</v>
      </c>
      <c r="CZ10" s="78">
        <f>IF(SUM(CC10,CG10,CK10)&gt;0,SUM(CC10,CG10,CK10),"")</f>
        <v>23.4</v>
      </c>
      <c r="DA10" s="78">
        <f>IF(SUM(CX10,CY10)&gt;0,SUM(CX10,CY10),"")</f>
        <v>78.3</v>
      </c>
      <c r="DB10" s="78">
        <f>IF(SUM(CO10,CS10)&gt;0,SUM(CO10,CS10),"")</f>
        <v>10.399999999999999</v>
      </c>
      <c r="DC10" s="78">
        <f>IF(SUM(CN10:CO10,CQ10:CS10,CU10)-SUM(CP10,CT10)&gt;0,SUM(CN10:CO10,CQ10:CS10,CU10)-SUM(CP10,CT10),"")</f>
        <v>46.699999999999996</v>
      </c>
      <c r="DD10" s="78">
        <f>IF(SUM(CX10,DC10)&gt;0,SUM(CX10,DC10),"")</f>
        <v>98.399999999999991</v>
      </c>
      <c r="DE10" s="79" t="str">
        <f>IF(K10&gt;=0.001,IF(MAX(EC10,FE10,GG10,HI10,IK10,JM10,KO10,LQ10,MS10,NU10,OW10,PY10)-IF(K10="",0,K10)&gt;0.001,MAX(EC10,FE10,GG10,HI10,IK10,JM10,KO10,LQ10,MS10,NU10,OW10,PY10)-IF(K10="",0,K10),""),"")</f>
        <v/>
      </c>
      <c r="DF10" s="79" t="str">
        <f>IF(O10&gt;=0.001,IF(MAX(ED10,FF10,GH10,HJ10,IL10,JN10,KP10,LR10,MT10,NV10,OX10,PZ10)-IF(O10="",0,O10)&gt;0.001,MAX(ED10,FF10,GH10,HJ10,IL10,JN10,KP10,LR10,MT10,NV10,OX10,PZ10)-IF(O10="",0,O10),""),"")</f>
        <v/>
      </c>
      <c r="DG10" s="79">
        <f>IF(Q10&gt;=0.001,IF(MAX(EH10,FJ10,GL10,HN10,IP10,JR10,KT10,LV10,MX10,NZ10,PB10,QD10)-IF(Q10="",0,Q10)&gt;0.001,MAX(EH10,FJ10,GL10,HN10,IP10,JR10,KT10,LV10,MX10,NZ10,PB10,QD10)-IF(Q10="",0,Q10),""),"")</f>
        <v>0.20000000000000284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>IF(SUM(DI10,DM10)&gt;0,SUM(DI10,DM10),"")</f>
        <v/>
      </c>
      <c r="EC10" s="78" t="str">
        <f>IF(SUM(DH10:DI10,DK10:DM10,DO10)-DJ10-DN10&gt;0,SUM(DH10:DI10,DK10:DM10,DO10)-DJ10-DN10,"")</f>
        <v/>
      </c>
      <c r="ED10" s="78" t="str">
        <f>IF(SUM(DP10:DQ10,DS10)-DR10&gt;0,SUM(DP10:DQ10,DS10)-DR10,"")</f>
        <v/>
      </c>
      <c r="EE10" s="78" t="str">
        <f>IF(SUM(DI10,DM10,DQ10)&gt;0,SUM(DI10,DM10,DQ10),"")</f>
        <v/>
      </c>
      <c r="EF10" s="78" t="str">
        <f>IF(SUM(EC10,ED10)&gt;0,SUM(EC10,ED10),"")</f>
        <v/>
      </c>
      <c r="EG10" s="78" t="str">
        <f>IF(SUM(DU10,DY10)&gt;0,SUM(DU10,DY10),"")</f>
        <v/>
      </c>
      <c r="EH10" s="78" t="str">
        <f>IF(SUM(DT10:DU10,DW10:DY10,EA10)-SUM(DV10,DZ10)&gt;0,SUM(DT10:DU10,DW10:DY10,EA10)-SUM(DV10,DZ10),"")</f>
        <v/>
      </c>
      <c r="EI10" s="78" t="str">
        <f>IF(SUM(EC10,EH10)&gt;0,SUM(EC10,EH10),"")</f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>IF(SUM(EK10,EO10)&gt;0,SUM(EK10,EO10),"")</f>
        <v/>
      </c>
      <c r="FE10" s="19" t="str">
        <f>IF(SUM(EJ10:EK10,EM10:EO10,EQ10)-EL10-EP10&gt;0,SUM(EJ10:EK10,EM10:EO10,EQ10)-EL10-EP10,"")</f>
        <v/>
      </c>
      <c r="FF10" s="19" t="str">
        <f>IF(SUM(ER10:ES10,EU10)-ET10&gt;0,SUM(ER10:ES10,EU10)-ET10,"")</f>
        <v/>
      </c>
      <c r="FG10" s="19" t="str">
        <f>IF(SUM(EK10,EO10,ES10)&gt;0,SUM(EK10,EO10,ES10),"")</f>
        <v/>
      </c>
      <c r="FH10" s="19" t="str">
        <f>IF(SUM(FE10,FF10)&gt;0,SUM(FE10,FF10),"")</f>
        <v/>
      </c>
      <c r="FI10" s="19" t="str">
        <f>IF(SUM(EW10,FA10)&gt;0,SUM(EW10,FA10),"")</f>
        <v/>
      </c>
      <c r="FJ10" s="19" t="str">
        <f>IF(SUM(EV10:EW10,EY10:FA10,FC10)-SUM(EX10,FB10)&gt;0,SUM(EV10:EW10,EY10:FA10,FC10)-SUM(EX10,FB10),"")</f>
        <v/>
      </c>
      <c r="FK10" s="19" t="str">
        <f>IF(SUM(FE10,FJ10)&gt;0,SUM(FE10,FJ10),"")</f>
        <v/>
      </c>
      <c r="FL10" s="24">
        <v>18.3</v>
      </c>
      <c r="FM10" s="24">
        <v>6.4</v>
      </c>
      <c r="FN10" s="24">
        <v>0.8</v>
      </c>
      <c r="FO10" s="24">
        <v>0</v>
      </c>
      <c r="FP10" s="24">
        <v>18.8</v>
      </c>
      <c r="FQ10" s="24">
        <v>8</v>
      </c>
      <c r="FR10" s="24">
        <v>0.6</v>
      </c>
      <c r="FS10" s="24">
        <v>0</v>
      </c>
      <c r="FT10" s="24"/>
      <c r="FU10" s="24"/>
      <c r="FV10" s="24"/>
      <c r="FW10" s="24"/>
      <c r="FX10" s="24">
        <v>17.399999999999999</v>
      </c>
      <c r="FY10" s="24">
        <v>2.8</v>
      </c>
      <c r="FZ10" s="24">
        <v>0</v>
      </c>
      <c r="GA10" s="24">
        <v>0</v>
      </c>
      <c r="GB10" s="24">
        <v>18.7</v>
      </c>
      <c r="GC10" s="24">
        <v>8</v>
      </c>
      <c r="GD10" s="24">
        <v>0</v>
      </c>
      <c r="GE10" s="24">
        <v>0</v>
      </c>
      <c r="GF10" s="78">
        <f>IF(SUM(FM10,FQ10)&gt;0,SUM(FM10,FQ10),"")</f>
        <v>14.4</v>
      </c>
      <c r="GG10" s="78">
        <f>IF(SUM(FL10:FM10,FO10:FQ10,FS10)-FN10-FR10&gt;0,SUM(FL10:FM10,FO10:FQ10,FS10)-FN10-FR10,"")</f>
        <v>50.1</v>
      </c>
      <c r="GH10" s="78" t="str">
        <f>IF(SUM(FT10:FU10,FW10)-FV10&gt;0,SUM(FT10:FU10,FW10)-FV10,"")</f>
        <v/>
      </c>
      <c r="GI10" s="78">
        <f>IF(SUM(FM10,FQ10,FU10)&gt;0,SUM(FM10,FQ10,FU10),"")</f>
        <v>14.4</v>
      </c>
      <c r="GJ10" s="78">
        <f>IF(SUM(GG10,GH10)&gt;0,SUM(GG10,GH10),"")</f>
        <v>50.1</v>
      </c>
      <c r="GK10" s="78">
        <f>IF(SUM(FY10,GC10)&gt;0,SUM(FY10,GC10),"")</f>
        <v>10.8</v>
      </c>
      <c r="GL10" s="78">
        <f>IF(SUM(FX10:FY10,GA10:GC10,GE10)-SUM(FZ10,GD10)&gt;0,SUM(FX10:FY10,GA10:GC10,GE10)-SUM(FZ10,GD10),"")</f>
        <v>46.9</v>
      </c>
      <c r="GM10" s="78">
        <f>IF(SUM(GG10,GL10)&gt;0,SUM(GG10,GL10),"")</f>
        <v>97</v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>IF(SUM(GO10,GS10)&gt;0,SUM(GO10,GS10),"")</f>
        <v/>
      </c>
      <c r="HI10" s="19" t="str">
        <f>IF(SUM(GN10:GO10,GQ10:GS10,GU10)-GP10-GT10&gt;0,SUM(GN10:GO10,GQ10:GS10,GU10)-GP10-GT10,"")</f>
        <v/>
      </c>
      <c r="HJ10" s="19" t="str">
        <f>IF(SUM(GV10:GW10,GY10)-GX10&gt;0,SUM(GV10:GW10,GY10)-GX10,"")</f>
        <v/>
      </c>
      <c r="HK10" s="19" t="str">
        <f>IF(SUM(GO10,GS10,GW10)&gt;0,SUM(GO10,GS10,GW10),"")</f>
        <v/>
      </c>
      <c r="HL10" s="19" t="str">
        <f>IF(SUM(HI10,HJ10)&gt;0,SUM(HI10,HJ10),"")</f>
        <v/>
      </c>
      <c r="HM10" s="19" t="str">
        <f>IF(SUM(HA10,HE10)&gt;0,SUM(HA10,HE10),"")</f>
        <v/>
      </c>
      <c r="HN10" s="19" t="str">
        <f>IF(SUM(GZ10:HA10,HC10:HE10,HG10)-SUM(HB10,HF10)&gt;0,SUM(GZ10:HA10,HC10:HE10,HG10)-SUM(HB10,HF10),"")</f>
        <v/>
      </c>
      <c r="HO10" s="19" t="str">
        <f>IF(SUM(HI10,HN10)&gt;0,SUM(HI10,HN10),"")</f>
        <v/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>IF(SUM(HQ10,HU10)&gt;0,SUM(HQ10,HU10),"")</f>
        <v/>
      </c>
      <c r="IK10" s="78" t="str">
        <f>IF(SUM(HP10:HQ10,HS10:HU10,HW10)-HR10-HV10&gt;0,SUM(HP10:HQ10,HS10:HU10,HW10)-HR10-HV10,"")</f>
        <v/>
      </c>
      <c r="IL10" s="78" t="str">
        <f>IF(SUM(HX10:HY10,IA10)-HZ10&gt;0,SUM(HX10:HY10,IA10)-HZ10,"")</f>
        <v/>
      </c>
      <c r="IM10" s="78" t="str">
        <f>IF(SUM(HQ10,HU10,HY10)&gt;0,SUM(HQ10,HU10,HY10),"")</f>
        <v/>
      </c>
      <c r="IN10" s="78" t="str">
        <f>IF(SUM(IK10,IL10)&gt;0,SUM(IK10,IL10),"")</f>
        <v/>
      </c>
      <c r="IO10" s="78" t="str">
        <f>IF(SUM(IC10,IG10)&gt;0,SUM(IC10,IG10),"")</f>
        <v/>
      </c>
      <c r="IP10" s="78" t="str">
        <f>IF(SUM(IB10:IC10,IE10:IG10,II10)-SUM(ID10,IH10)&gt;0,SUM(IB10:IC10,IE10:IG10,II10)-SUM(ID10,IH10),"")</f>
        <v/>
      </c>
      <c r="IQ10" s="78" t="str">
        <f>IF(SUM(IK10,IP10)&gt;0,SUM(IK10,IP10),"")</f>
        <v/>
      </c>
      <c r="IR10" s="25">
        <v>18.399999999999999</v>
      </c>
      <c r="IS10" s="25">
        <v>7.7</v>
      </c>
      <c r="IT10" s="25">
        <v>0.2</v>
      </c>
      <c r="IU10" s="25">
        <v>0</v>
      </c>
      <c r="IV10" s="25">
        <v>0</v>
      </c>
      <c r="IW10" s="25">
        <v>0</v>
      </c>
      <c r="IX10" s="25">
        <v>0</v>
      </c>
      <c r="IY10" s="25">
        <v>0</v>
      </c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>
        <f>IF(SUM(IS10,IW10)&gt;0,SUM(IS10,IW10),"")</f>
        <v>7.7</v>
      </c>
      <c r="JM10" s="19">
        <f>IF(SUM(IR10:IS10,IU10:IW10,IY10)-IT10-IX10&gt;0,SUM(IR10:IS10,IU10:IW10,IY10)-IT10-IX10,"")</f>
        <v>25.9</v>
      </c>
      <c r="JN10" s="19" t="str">
        <f>IF(SUM(IZ10:JA10,JC10)-JB10&gt;0,SUM(IZ10:JA10,JC10)-JB10,"")</f>
        <v/>
      </c>
      <c r="JO10" s="19">
        <f>IF(SUM(IS10,IW10,JA10)&gt;0,SUM(IS10,IW10,JA10),"")</f>
        <v>7.7</v>
      </c>
      <c r="JP10" s="19">
        <f>IF(SUM(JM10,JN10)&gt;0,SUM(JM10,JN10),"")</f>
        <v>25.9</v>
      </c>
      <c r="JQ10" s="19" t="str">
        <f>IF(SUM(JE10,JI10)&gt;0,SUM(JE10,JI10),"")</f>
        <v/>
      </c>
      <c r="JR10" s="19" t="str">
        <f>IF(SUM(JD10:JE10,JG10:JI10,JK10)-SUM(JF10,JJ10)&gt;0,SUM(JD10:JE10,JG10:JI10,JK10)-SUM(JF10,JJ10),"")</f>
        <v/>
      </c>
      <c r="JS10" s="19">
        <f>IF(SUM(JM10,JR10)&gt;0,SUM(JM10,JR10),"")</f>
        <v>25.9</v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>IF(SUM(JU10,JY10)&gt;0,SUM(JU10,JY10),"")</f>
        <v/>
      </c>
      <c r="KO10" s="78" t="str">
        <f>IF(SUM(JT10:JU10,JW10:JY10,KA10)-JV10-JZ10&gt;0,SUM(JT10:JU10,JW10:JY10,KA10)-JV10-JZ10,"")</f>
        <v/>
      </c>
      <c r="KP10" s="78" t="str">
        <f>IF(SUM(KB10:KC10,KE10)-KD10&gt;0,SUM(KB10:KC10,KE10)-KD10,"")</f>
        <v/>
      </c>
      <c r="KQ10" s="78" t="str">
        <f>IF(SUM(JU10,JY10,KC10)&gt;0,SUM(JU10,JY10,KC10),"")</f>
        <v/>
      </c>
      <c r="KR10" s="78" t="str">
        <f>IF(SUM(KO10,KP10)&gt;0,SUM(KO10,KP10),"")</f>
        <v/>
      </c>
      <c r="KS10" s="78" t="str">
        <f>IF(SUM(KG10,KK10)&gt;0,SUM(KG10,KK10),"")</f>
        <v/>
      </c>
      <c r="KT10" s="78" t="str">
        <f>IF(SUM(KF10:KG10,KI10:KK10,KM10)-SUM(KH10,KL10)&gt;0,SUM(KF10:KG10,KI10:KK10,KM10)-SUM(KH10,KL10),"")</f>
        <v/>
      </c>
      <c r="KU10" s="78" t="str">
        <f>IF(SUM(KO10,KT10)&gt;0,SUM(KO10,KT10),"")</f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>IF(SUM(KW10,LA10)&gt;0,SUM(KW10,LA10),"")</f>
        <v/>
      </c>
      <c r="LQ10" s="19" t="str">
        <f>IF(SUM(KV10:KW10,KY10:LA10,LC10)-KX10-LB10&gt;0,SUM(KV10:KW10,KY10:LA10,LC10)-KX10-LB10,"")</f>
        <v/>
      </c>
      <c r="LR10" s="19" t="str">
        <f>IF(SUM(LD10:LE10,LG10)-LF10&gt;0,SUM(LD10:LE10,LG10)-LF10,"")</f>
        <v/>
      </c>
      <c r="LS10" s="19" t="str">
        <f>IF(SUM(KW10,LA10,LE10)&gt;0,SUM(KW10,LA10,LE10),"")</f>
        <v/>
      </c>
      <c r="LT10" s="19" t="str">
        <f>IF(SUM(LQ10,LR10)&gt;0,SUM(LQ10,LR10),"")</f>
        <v/>
      </c>
      <c r="LU10" s="19" t="str">
        <f>IF(SUM(LI10,LM10)&gt;0,SUM(LI10,LM10),"")</f>
        <v/>
      </c>
      <c r="LV10" s="19" t="str">
        <f>IF(SUM(LH10:LI10,LK10:LM10,LO10)-SUM(LJ10,LN10)&gt;0,SUM(LH10:LI10,LK10:LM10,LO10)-SUM(LJ10,LN10),"")</f>
        <v/>
      </c>
      <c r="LW10" s="19" t="str">
        <f>IF(SUM(LQ10,LV10)&gt;0,SUM(LQ10,LV10),"")</f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>IF(SUM(LY10,MC10)&gt;0,SUM(LY10,MC10),"")</f>
        <v/>
      </c>
      <c r="MS10" s="78" t="str">
        <f>IF(SUM(LX10:LY10,MA10:MC10,ME10)-LZ10-MD10&gt;0,SUM(LX10:LY10,MA10:MC10,ME10)-LZ10-MD10,"")</f>
        <v/>
      </c>
      <c r="MT10" s="78" t="str">
        <f>IF(SUM(MF10:MG10,MI10)-MH10&gt;0,SUM(MF10:MG10,MI10)-MH10,"")</f>
        <v/>
      </c>
      <c r="MU10" s="78" t="str">
        <f>IF(SUM(LY10,MC10,MG10)&gt;0,SUM(LY10,MC10,MG10),"")</f>
        <v/>
      </c>
      <c r="MV10" s="78" t="str">
        <f>IF(SUM(MS10,MT10)&gt;0,SUM(MS10,MT10),"")</f>
        <v/>
      </c>
      <c r="MW10" s="78" t="str">
        <f>IF(SUM(MK10,MO10)&gt;0,SUM(MK10,MO10),"")</f>
        <v/>
      </c>
      <c r="MX10" s="78" t="str">
        <f>IF(SUM(MJ10:MK10,MM10:MO10,MQ10)-SUM(ML10,MP10)&gt;0,SUM(MJ10:MK10,MM10:MO10,MQ10)-SUM(ML10,MP10),"")</f>
        <v/>
      </c>
      <c r="MY10" s="78" t="str">
        <f>IF(SUM(MS10,MX10)&gt;0,SUM(MS10,MX10),"")</f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>IF(SUM(NA10,NE10)&gt;0,SUM(NA10,NE10),"")</f>
        <v/>
      </c>
      <c r="NU10" s="19" t="str">
        <f>IF(SUM(MZ10:NA10,NC10:NE10,NG10)-NB10-NF10&gt;0,SUM(MZ10:NA10,NC10:NE10,NG10)-NB10-NF10,"")</f>
        <v/>
      </c>
      <c r="NV10" s="19" t="str">
        <f>IF(SUM(NH10:NI10,NK10)-NJ10&gt;0,SUM(NH10:NI10,NK10)-NJ10,"")</f>
        <v/>
      </c>
      <c r="NW10" s="19" t="str">
        <f>IF(SUM(NA10,NE10,NI10)&gt;0,SUM(NA10,NE10,NI10),"")</f>
        <v/>
      </c>
      <c r="NX10" s="19" t="str">
        <f>IF(SUM(NU10,NV10)&gt;0,SUM(NU10,NV10),"")</f>
        <v/>
      </c>
      <c r="NY10" s="19" t="str">
        <f>IF(SUM(NM10,NQ10)&gt;0,SUM(NM10,NQ10),"")</f>
        <v/>
      </c>
      <c r="NZ10" s="19" t="str">
        <f>IF(SUM(NL10:NM10,NO10:NQ10,NS10)-SUM(NN10,NR10)&gt;0,SUM(NL10:NM10,NO10:NQ10,NS10)-SUM(NN10,NR10),"")</f>
        <v/>
      </c>
      <c r="OA10" s="19" t="str">
        <f>IF(SUM(NU10,NZ10)&gt;0,SUM(NU10,NZ10),"")</f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>IF(SUM(OC10,OG10)&gt;0,SUM(OC10,OG10),"")</f>
        <v/>
      </c>
      <c r="OW10" s="78" t="str">
        <f>IF(SUM(OB10:OC10,OE10:OG10,OI10)-OD10-OH10&gt;0,SUM(OB10:OC10,OE10:OG10,OI10)-OD10-OH10,"")</f>
        <v/>
      </c>
      <c r="OX10" s="78" t="str">
        <f>IF(SUM(OJ10:OK10,OM10)-OL10&gt;0,SUM(OJ10:OK10,OM10)-OL10,"")</f>
        <v/>
      </c>
      <c r="OY10" s="78" t="str">
        <f>IF(SUM(OC10,OG10,OK10)&gt;0,SUM(OC10,OG10,OK10),"")</f>
        <v/>
      </c>
      <c r="OZ10" s="78" t="str">
        <f>IF(SUM(OW10,OX10)&gt;0,SUM(OW10,OX10),"")</f>
        <v/>
      </c>
      <c r="PA10" s="78" t="str">
        <f>IF(SUM(OO10,OS10)&gt;0,SUM(OO10,OS10),"")</f>
        <v/>
      </c>
      <c r="PB10" s="78" t="str">
        <f>IF(SUM(ON10:OO10,OQ10:OS10,OU10)-SUM(OP10,OT10)&gt;0,SUM(ON10:OO10,OQ10:OS10,OU10)-SUM(OP10,OT10),"")</f>
        <v/>
      </c>
      <c r="PC10" s="78" t="str">
        <f>IF(SUM(OW10,PB10)&gt;0,SUM(OW10,PB10),"")</f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>IF(SUM(PE10,PI10)&gt;0,SUM(PE10,PI10),"")</f>
        <v/>
      </c>
      <c r="PY10" s="19" t="str">
        <f>IF(SUM(PD10:PE10,PG10:PI10,PK10)-PF10-PJ10&gt;0,SUM(PD10:PE10,PG10:PI10,PK10)-PF10-PJ10,"")</f>
        <v/>
      </c>
      <c r="PZ10" s="19" t="str">
        <f>IF(SUM(PL10:PM10,PO10)-PN10&gt;0,SUM(PL10:PM10,PO10)-PN10,"")</f>
        <v/>
      </c>
      <c r="QA10" s="19" t="str">
        <f>IF(SUM(PE10,PI10,PM10)&gt;0,SUM(PE10,PI10,PM10),"")</f>
        <v/>
      </c>
      <c r="QB10" s="19" t="str">
        <f>IF(SUM(PY10,PZ10)&gt;0,SUM(PY10,PZ10),"")</f>
        <v/>
      </c>
      <c r="QC10" s="19" t="str">
        <f>IF(SUM(PQ10,PU10)&gt;0,SUM(PQ10,PU10),"")</f>
        <v/>
      </c>
      <c r="QD10" s="19" t="str">
        <f>IF(SUM(PP10:PQ10,PS10:PU10,PW10)-SUM(PR10,PV10)&gt;0,SUM(PP10:PQ10,PS10:PU10,PW10)-SUM(PR10,PV10),"")</f>
        <v/>
      </c>
      <c r="QE10" s="19" t="str">
        <f>IF(SUM(PY10,QD10)&gt;0,SUM(PY10,QD10),"")</f>
        <v/>
      </c>
      <c r="QF10" s="37">
        <f>IF($CV10="P",CB10,(CB10+AY10)/2)</f>
        <v>18.399999999999999</v>
      </c>
      <c r="QG10" s="37">
        <f>IF($CV10="P",CC10,(CC10+AZ10)/2)</f>
        <v>7.5</v>
      </c>
      <c r="QH10" s="37">
        <f>IF($CV10="P",CD10,(CD10+BA10)/2)</f>
        <v>0</v>
      </c>
      <c r="QI10" s="37">
        <f>IF($CV10="P",CE10,(CE10+BB10)/2)</f>
        <v>0.15</v>
      </c>
      <c r="QJ10" s="37">
        <f>IF($CV10="P",CF10,(CF10+BC10)/2)</f>
        <v>18.25</v>
      </c>
      <c r="QK10" s="37">
        <f>IF($CV10="P",CG10,(CG10+BD10)/2)</f>
        <v>7.25</v>
      </c>
      <c r="QL10" s="37">
        <f>IF($CV10="P",CH10,(CH10+BE10)/2)</f>
        <v>0.4</v>
      </c>
      <c r="QM10" s="37">
        <f>IF($CV10="P",CI10,(CI10+BF10)/2)</f>
        <v>0</v>
      </c>
      <c r="QN10" s="37">
        <f>IF($CV10="P",CJ10,(CJ10+BG10)/2)</f>
        <v>18</v>
      </c>
      <c r="QO10" s="37">
        <f>IF($CV10="P",CK10,(CK10+BH10)/2)</f>
        <v>5.8000000000000007</v>
      </c>
      <c r="QP10" s="37">
        <f>IF($CV10="P",CL10,(CL10+BI10)/2)</f>
        <v>0.3</v>
      </c>
      <c r="QQ10" s="37">
        <f>IF($CV10="P",CM10,(CM10+BJ10)/2)</f>
        <v>0</v>
      </c>
      <c r="QR10" s="37">
        <f>IF($CV10="P",CN10,(CN10+BK10)/2)</f>
        <v>8.85</v>
      </c>
      <c r="QS10" s="37">
        <f>IF($CV10="P",CO10,(CO10+BL10)/2)</f>
        <v>1.4</v>
      </c>
      <c r="QT10" s="37">
        <f>IF($CV10="P",CP10,(CP10+BM10)/2)</f>
        <v>0</v>
      </c>
      <c r="QU10" s="37">
        <f>IF($CV10="P",CQ10,(CQ10+BN10)/2)</f>
        <v>0</v>
      </c>
      <c r="QV10" s="37">
        <f>IF($CV10="P",CR10,(CR10+BO10)/2)</f>
        <v>9.4</v>
      </c>
      <c r="QW10" s="37">
        <f>IF($CV10="P",CS10,(CS10+BP10)/2)</f>
        <v>3.8</v>
      </c>
      <c r="QX10" s="37">
        <f>IF($CV10="P",CT10,(CT10+BQ10)/2)</f>
        <v>0.1</v>
      </c>
      <c r="QY10" s="37">
        <f>IF($CV10="P",CU10,(CU10+BR10)/2)</f>
        <v>0</v>
      </c>
      <c r="QZ10" s="44" t="s">
        <v>46</v>
      </c>
      <c r="RA10" s="78">
        <f>IF(SUM(QG10,QK10)&gt;0,SUM(QG10,QK10),"")</f>
        <v>14.75</v>
      </c>
      <c r="RB10" s="78">
        <f>IF(SUM(QF10:QG10,QI10:QK10,QM10)-QH10-QL10&gt;0,SUM(QF10:QG10,QI10:QK10,QM10)-QH10-QL10,"")</f>
        <v>51.15</v>
      </c>
      <c r="RC10" s="78">
        <f>IF(SUM(QN10:QO10,QQ10)-QP10&gt;0,SUM(QN10:QO10,QQ10)-QP10,"")</f>
        <v>23.5</v>
      </c>
      <c r="RD10" s="78">
        <f>IF(SUM(QG10,QK10,QO10)&gt;0,SUM(QG10,QK10,QO10),"")</f>
        <v>20.55</v>
      </c>
      <c r="RE10" s="78">
        <f>IF(SUM(RB10,RC10)&gt;0,SUM(RB10,RC10),"")</f>
        <v>74.650000000000006</v>
      </c>
      <c r="RF10" s="78">
        <f>IF(SUM(QS10,QW10)&gt;0,SUM(QS10,QW10),"")</f>
        <v>5.1999999999999993</v>
      </c>
      <c r="RG10" s="78">
        <f>IF(SUM(QR10:QS10,QU10:QW10,QY10)-SUM(QT10,QX10)&gt;0,SUM(QR10:QS10,QU10:QW10,QY10)-SUM(QT10,QX10),"")</f>
        <v>23.349999999999998</v>
      </c>
      <c r="RH10" s="78">
        <f>IF(SUM(RB10,RG10)&gt;0,SUM(RB10,RG10),"")</f>
        <v>74.5</v>
      </c>
    </row>
    <row r="11" spans="1:476" x14ac:dyDescent="0.2">
      <c r="A11" s="5">
        <f>IF(AND(F11="P",G11="P"),SUMPRODUCT((F$4:F$32="P")*(G$4:G$32="P")*(E$4:E$32&gt;E11))+1,IF(G11="P",SUMPRODUCT((F$4:F$32="")*(G$4:G$32="P")*(E$4:E$32&gt;E11))+1+SUMPRODUCT((F$4:F$32="P")*(G$4:G$32="P")),""))</f>
        <v>8</v>
      </c>
      <c r="B11" s="77" t="s">
        <v>172</v>
      </c>
      <c r="C11" s="5" t="s">
        <v>5</v>
      </c>
      <c r="D11" s="5">
        <v>2003</v>
      </c>
      <c r="E11" s="15">
        <f>SUM(I11:S11)+SUM(I11:O11)*0.0000001+SUM(I11)*0.0000000000001</f>
        <v>199.00001486000519</v>
      </c>
      <c r="F11" s="3" t="str">
        <f>IF(OR(AND(AQ11&gt;=AX$34,AR11&gt;=AX$38,AQ11&lt;&gt;"",AP11=""),AND(AV11&gt;=AX$34,AW11&gt;=AX$38,AV11&lt;&gt;"",AP11=""),AND(BT11&gt;=CA$34,BU11&gt;=CA$38,BT11&lt;&gt;"",BS11=""),AND(BY11&gt;=CA$34,BZ11&gt;=CA$38,BY11&lt;&gt;"",BS11=""),AND(CW11&gt;=DD$34,CX11&gt;=DD$38,CW11&lt;&gt;"",CV11=""),AND(DB11&gt;=DD$34,DC11&gt;=DD$38,DB11&lt;&gt;""),AND(EB11&gt;=EI$34,EC11&gt;=EI$38,EB11&lt;&gt;""),AND(EG11&gt;=EI$34,EH11&gt;=EI$38,EG11&lt;&gt;""),AND(FD11&gt;=FK$34,FE11&gt;=FK$38,FD11&lt;&gt;""),AND(FI11&gt;=FK$34,FJ11&gt;=FK$38,FI11&lt;&gt;""),AND(GF11&gt;=GM$34,GG11&gt;=GM$38,GF11&lt;&gt;""),AND(GK11&gt;=GM$34,GL11&gt;=GM$38,GK11&lt;&gt;""),AND(HH11&gt;=HO$34,HI11&gt;=HO$38,HH11&lt;&gt;""),AND(HM11&gt;=HO$34,HN11&gt;=HO$38,HM11&lt;&gt;""),AND(IJ11&gt;=IQ$34,IK11&gt;=IQ$38,IJ11&lt;&gt;""),AND(IO11&gt;=IQ$34,IP11&gt;=IQ$38,IO11&lt;&gt;""),AND(JL11&gt;=JS$34,JM11&gt;=JS$38,JL11&lt;&gt;""),AND(JQ11&gt;=JS$34,JR11&gt;=JS$38,JQ11&lt;&gt;""),AND(KN11&gt;=KU$34,KO11&gt;=KU$38,KN11&lt;&gt;""),AND(KS11&gt;=KU$34,KT11&gt;=KU$38,KS11&lt;&gt;""),AND(LP11&gt;=LW$34,LQ11&gt;=LW$38,LP11&lt;&gt;""),AND(LU11&gt;=LW$34,LV11&gt;=LW$38,LU11&lt;&gt;""),AND(MR11&gt;=MY$34,MS11&gt;=MY$38,MR11&lt;&gt;""),AND(MW11&gt;=MY$34,MX11&gt;=MY$38,MW11&lt;&gt;""),AND(NT11&gt;=OA$34,NU11&gt;=OA$38,NT11&lt;&gt;""),AND(NY11&gt;=OA$34,NZ11&gt;=OA$38,NY11&lt;&gt;""),AND(OV11&gt;=PC$34,OW11&gt;=PC$38,OV11&lt;&gt;""),AND(PA11&gt;=PC$34,PB11&gt;=PC$38,PA11&lt;&gt;""),AND(PX11&gt;=QE$34,PY11&gt;=QE$38,PX11&lt;&gt;""),AND(QC11&gt;=QE$34,QD11&gt;=QE$38,QC11&lt;&gt;"")),"P","")</f>
        <v>P</v>
      </c>
      <c r="G11" s="3" t="str">
        <f>IF(OR(AND(AR11&gt;=AX$38,AR11&lt;&gt;"",AP11=""),AND(AW11&gt;=AX$38,AW11&lt;&gt;"",AP11=""),AND(BU11&gt;=CA$38,BU11&lt;&gt;"",BS11=""),AND(BZ11&gt;=CA$38,BZ11&lt;&gt;"",BS11=""),AND(CX11&gt;=DD$38,CX11&lt;&gt;"",CV11=""),AND(DC11&gt;=DD$38,DC11&lt;&gt;"",CV11=""),AND(EC11&gt;=EI$38,EC11&lt;&gt;""),AND(EH11&gt;=EI$38,EH11&lt;&gt;""),AND(FE11&gt;=FK$38,FE11&lt;&gt;""),AND(FJ11&gt;=FK$38,FJ11&lt;&gt;""),AND(GG11&gt;=GM$38,GG11&lt;&gt;""),AND(GL11&gt;=GM$38,GL11&lt;&gt;""),AND(HI11&gt;=HO$38,HI11&lt;&gt;""),AND(HN11&gt;=HO$38,HN11&lt;&gt;""),AND(IK11&gt;=IQ$38,IK11&lt;&gt;""),AND(IP11&gt;=IQ$38,IP11&lt;&gt;""),AND(JM11&gt;=JS$38,JM11&lt;&gt;""),AND(JR11&gt;=JS$38,JR11&lt;&gt;""),AND(KO11&gt;=KU$38,KO11&lt;&gt;""),AND(KT11&gt;=KU$38,KT11&lt;&gt;""),AND(LQ11&gt;=LW$38,LQ11&lt;&gt;""),AND(LV11&gt;=LW$38,LV11&lt;&gt;""),AND(MS11&gt;=MY$38,MS11&lt;&gt;""),AND(MX11&gt;=MY$38,MX11&lt;&gt;""),AND(NU11&gt;=OA$38,NU11&lt;&gt;""),AND(NZ11&gt;=OA$38,NZ11&lt;&gt;""),AND(OW11&gt;=PC$38,OW11&lt;&gt;""),AND(PB11&gt;=PC$38,PB11&lt;&gt;""),AND(PY11&gt;=QE$38,PY11&lt;&gt;""),AND(QD11&gt;=QE$38,QD11&lt;&gt;"")),"P","")</f>
        <v>P</v>
      </c>
      <c r="H11" s="66" t="str">
        <f>IF(AND(G11="P",F11=""),"No DD",IF(OR(AND(AT11&gt;=AX$37,AU11&gt;=AX$41,AT11&lt;&gt;"",AP11=""),AND(BW11&gt;=CA$37,BX11&gt;=CA$41,BW11&lt;&gt;"",BS11=""),AND(CZ11&gt;=DD$37,DA11&gt;=DD$41,CZ11&lt;&gt;"",CV11=""),AND(EE11&gt;=EI$37,EF11&gt;=EI$41,EE11&lt;&gt;""),AND(FG11&gt;=FK$37,FH11&gt;=FK$41,FG11&lt;&gt;""),AND(GI11&gt;=GM$37,GJ11&gt;=GM$41,GI11&lt;&gt;""),AND(HK11&gt;=HO$37,HL11&gt;=HO$41,HK11&lt;&gt;""),AND(IM11&gt;=IQ$37,IN11&gt;=IQ$41,IM11&lt;&gt;""),AND(JO11&gt;=JS$37,JP11&gt;=JS$41,JO11&lt;&gt;""),AND(KQ11&gt;=KU$37,KR11&gt;=KU$41,KQ11&lt;&gt;""),AND(LS11&gt;=LW$37,LT11&gt;=LW$41,LS11&lt;&gt;""),AND(MU11&gt;=MY$37,MV11&gt;=MY$41,MU11&lt;&gt;""),AND(NW11&gt;=OA$37,NX11&gt;=OA$41,NW11&lt;&gt;""),AND(OY11&gt;=PC$37,OZ11&gt;=PC$41,OY11&lt;&gt;""),AND(QA11&gt;=QE$37,QB11&gt;=QE$41,QA11&lt;&gt;"")),"Merit",IF(OR(AND(AT11&gt;=AX$36,AU11&gt;=AX$40,AT11&lt;&gt;"",AP11=""),AND(BW11&gt;=CA$36,BX11&gt;=CA$40,BW11&lt;&gt;"",BS11=""),AND(CZ11&gt;=DD$36,DA11&gt;=DD$40,CZ11&lt;&gt;"",CV11=""),AND(EE11&gt;=EI$36,EF11&gt;=EI$40,EE11&lt;&gt;""),AND(FG11&gt;=FK$36,FH11&gt;=FK$40,FG11&lt;&gt;""),AND(GI11&gt;=GM$36,GJ11&gt;=GM$40,GI11&lt;&gt;""),AND(HK11&gt;=HO$36,HL11&gt;=HO$40,HK11&lt;&gt;""),AND(IM11&gt;=IQ$36,IN11&gt;=IQ$40,IM11&lt;&gt;""),AND(JO11&gt;=JS$36,JP11&gt;=JS$40,JO11&lt;&gt;""),AND(KQ11&gt;=KU$36,KR11&gt;=KU$40,KQ11&lt;&gt;""),AND(LS11&gt;=LW$36,LT11&gt;=LW$40,LS11&lt;&gt;""),AND(MU11&gt;=MY$36,MV11&gt;=MY$40,MU11&lt;&gt;""),AND(NW11&gt;=OA$36,NX11&gt;=OA$40,NW11&lt;&gt;""),AND(OY11&gt;=PC$36,OZ11&gt;=PC$40,OY11&lt;&gt;""),AND(QA11&gt;=QE$36,QB11&gt;=QE$40,QA11&lt;&gt;"")),"Excellence",IF(F11="P","National Team",""))))</f>
        <v>National Team</v>
      </c>
      <c r="I11" s="14">
        <f>IF(COUNT(AR11,BU11,CX11)&gt;0,LARGE((AR11,BU11,CX11),1),0)</f>
        <v>52.100000000000009</v>
      </c>
      <c r="J11" s="14" t="str">
        <f>IF(I11=0,"",IF(I11=CX11,$CB$1,IF(I11=BU11,$AY$1,IF(I11=AR11,$V$1,""))))</f>
        <v>2022 3rd Domestic Trial</v>
      </c>
      <c r="K11" s="14">
        <f>IF(COUNT(AR11,BU11,CX11)&gt;1,LARGE((AR11,BU11,CX11),2),0)</f>
        <v>49.5</v>
      </c>
      <c r="L11" s="14" t="str">
        <f>IF(K11=0,"",IF(K11=CX11,$CB$1,IF(K11=BU11,$AY$1,IF(K11=AR11,$V$1,""))))</f>
        <v>2022 Elite Canada</v>
      </c>
      <c r="M11" s="14">
        <f>IF(COUNT(AS11,BV11,CY11)&gt;0,LARGE((AS11,BV11,CY11),1),0)</f>
        <v>25.099999999999998</v>
      </c>
      <c r="N11" s="14" t="str">
        <f>IF(M11=0,"",IF(M11=CY11,$CB$1,IF(M11=BV11,$AY$1,IF(M11=AS11,$V$1,""))))</f>
        <v>2022 Nationals</v>
      </c>
      <c r="O11" s="14">
        <f>IF(COUNT(AS11,BV11,CY11)&gt;1,LARGE((AS11,BV11,CY11),2),0)</f>
        <v>21.9</v>
      </c>
      <c r="P11" s="14" t="str">
        <f>IF(O11=0,"",IF(O11=CY11,$CB$1,IF(O11=BV11,$AY$1,IF(O11=AS11,$V$1,""))))</f>
        <v>2022 Elite Canada</v>
      </c>
      <c r="Q11" s="14">
        <f>IF(MAX(AW11,BZ11,DC11)&gt;0,MAX(AW11,BZ11,DC11),0)</f>
        <v>45.100000000000009</v>
      </c>
      <c r="R11" s="14" t="str">
        <f>IF(Q11=0,"",IF(Q11=DC11,$CB$1,IF(Q11=BZ11,$AY$1,IF(Q11=AW11,$V$1,""))))</f>
        <v>2022 Elite Canada</v>
      </c>
      <c r="S11" s="14">
        <f>IF(MAX(DE11:DG11)&gt;0,MAX(DE11:DG11),"")</f>
        <v>5.2999999999999972</v>
      </c>
      <c r="T11" s="19" t="str">
        <f>IF(S11="","",IF(S11=DE11,"("&amp;DE$2&amp;")",IF(S11=DG11,"("&amp;DG$2&amp;")")))</f>
        <v>(Final)</v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>2022 World Games Technical Trial #1 (Mar 12)</v>
      </c>
      <c r="V11" s="26">
        <v>18.899999999999999</v>
      </c>
      <c r="W11" s="26">
        <v>6.4</v>
      </c>
      <c r="X11" s="26">
        <v>0.8</v>
      </c>
      <c r="Y11" s="26">
        <v>0</v>
      </c>
      <c r="Z11" s="26">
        <v>18.3</v>
      </c>
      <c r="AA11" s="26">
        <v>7.7</v>
      </c>
      <c r="AB11" s="26">
        <v>1</v>
      </c>
      <c r="AC11" s="26">
        <v>0</v>
      </c>
      <c r="AD11" s="26">
        <v>18.3</v>
      </c>
      <c r="AE11" s="26">
        <v>5.2</v>
      </c>
      <c r="AF11" s="26">
        <v>1.6</v>
      </c>
      <c r="AG11" s="26">
        <v>0</v>
      </c>
      <c r="AH11" s="26">
        <v>19</v>
      </c>
      <c r="AI11" s="26">
        <v>6.4</v>
      </c>
      <c r="AJ11" s="26">
        <v>0.8</v>
      </c>
      <c r="AK11" s="26">
        <v>0</v>
      </c>
      <c r="AL11" s="26">
        <v>17.3</v>
      </c>
      <c r="AM11" s="26">
        <v>3.2</v>
      </c>
      <c r="AN11" s="26">
        <v>0</v>
      </c>
      <c r="AO11" s="26">
        <v>0</v>
      </c>
      <c r="AP11" s="44"/>
      <c r="AQ11" s="78">
        <f>IF(SUM(W11,AA11)&gt;0,SUM(W11,AA11),"")</f>
        <v>14.100000000000001</v>
      </c>
      <c r="AR11" s="78">
        <f>IF(SUM(V11:W11,Y11:AA11,AC11)-X11-AB11&gt;0,SUM(V11:W11,Y11:AA11,AC11)-X11-AB11,"")</f>
        <v>49.5</v>
      </c>
      <c r="AS11" s="78">
        <f>IF(SUM(AD11:AE11,AG11)-AF11&gt;0,SUM(AD11:AE11,AG11)-AF11,"")</f>
        <v>21.9</v>
      </c>
      <c r="AT11" s="78">
        <f>IF(SUM(W11,AA11,AE11)&gt;0,SUM(W11,AA11,AE11),"")</f>
        <v>19.3</v>
      </c>
      <c r="AU11" s="78">
        <f>IF(SUM(AR11,AS11)&gt;0,SUM(AR11,AS11),"")</f>
        <v>71.400000000000006</v>
      </c>
      <c r="AV11" s="78">
        <f>IF(SUM(AI11,AM11)&gt;0,SUM(AI11,AM11),"")</f>
        <v>9.6000000000000014</v>
      </c>
      <c r="AW11" s="78">
        <f>IF(SUM(AH11:AI11,AK11:AM11,AO11)-SUM(AJ11,AN11)&gt;0,SUM(AH11:AI11,AK11:AM11,AO11)-SUM(AJ11,AN11),"")</f>
        <v>45.100000000000009</v>
      </c>
      <c r="AX11" s="78">
        <f>IF(SUM(AR11,AW11)&gt;0,SUM(AR11,AW11),"")</f>
        <v>94.600000000000009</v>
      </c>
      <c r="AY11" s="25">
        <v>17.8</v>
      </c>
      <c r="AZ11" s="25">
        <v>4.8</v>
      </c>
      <c r="BA11" s="25">
        <v>1.7999999999999998</v>
      </c>
      <c r="BB11" s="25">
        <v>0</v>
      </c>
      <c r="BC11" s="25">
        <v>16.600000000000001</v>
      </c>
      <c r="BD11" s="25">
        <v>7.7</v>
      </c>
      <c r="BE11" s="25">
        <v>0.8</v>
      </c>
      <c r="BF11" s="25">
        <v>0</v>
      </c>
      <c r="BG11" s="25">
        <v>18.2</v>
      </c>
      <c r="BH11" s="25">
        <v>7.7</v>
      </c>
      <c r="BI11" s="25">
        <v>0.8</v>
      </c>
      <c r="BJ11" s="25">
        <v>0</v>
      </c>
      <c r="BK11" s="25"/>
      <c r="BL11" s="25"/>
      <c r="BM11" s="25"/>
      <c r="BN11" s="25"/>
      <c r="BO11" s="25"/>
      <c r="BP11" s="25"/>
      <c r="BQ11" s="25"/>
      <c r="BR11" s="25"/>
      <c r="BS11" s="45"/>
      <c r="BT11" s="19">
        <f>IF(SUM(AZ11,BD11)&gt;0,SUM(AZ11,BD11),"")</f>
        <v>12.5</v>
      </c>
      <c r="BU11" s="19">
        <f>IF(SUM(AY11:AZ11,BB11:BD11,BF11)-BA11-BE11&gt;0,SUM(AY11:AZ11,BB11:BD11,BF11)-BA11-BE11,"")</f>
        <v>44.300000000000011</v>
      </c>
      <c r="BV11" s="19">
        <f>IF(SUM(BG11:BH11,BJ11)-BI11&gt;0,SUM(BG11:BH11,BJ11)-BI11,"")</f>
        <v>25.099999999999998</v>
      </c>
      <c r="BW11" s="19">
        <f>IF(SUM(AZ11,BD11,BH11)&gt;0,SUM(AZ11,BD11,BH11),"")</f>
        <v>20.2</v>
      </c>
      <c r="BX11" s="19">
        <f>IF(SUM(BU11,BV11)&gt;0,SUM(BU11,BV11),"")</f>
        <v>69.400000000000006</v>
      </c>
      <c r="BY11" s="19" t="str">
        <f>IF(SUM(BL11,BP11)&gt;0,SUM(BL11,BP11),"")</f>
        <v/>
      </c>
      <c r="BZ11" s="19" t="str">
        <f>IF(SUM(BK11:BL11,BN11:BP11,BR11)-SUM(BM11,BQ11)&gt;0,SUM(BK11:BL11,BN11:BP11,BR11)-SUM(BM11,BQ11),"")</f>
        <v/>
      </c>
      <c r="CA11" s="19">
        <f>IF(SUM(BU11,BZ11)&gt;0,SUM(BU11,BZ11),"")</f>
        <v>44.300000000000011</v>
      </c>
      <c r="CB11" s="26">
        <v>18.600000000000001</v>
      </c>
      <c r="CC11" s="26">
        <v>8.1</v>
      </c>
      <c r="CD11" s="26">
        <v>0.6</v>
      </c>
      <c r="CE11" s="26">
        <v>0.3</v>
      </c>
      <c r="CF11" s="26">
        <v>18.600000000000001</v>
      </c>
      <c r="CG11" s="26">
        <v>7.7</v>
      </c>
      <c r="CH11" s="26">
        <v>0.6</v>
      </c>
      <c r="CI11" s="26">
        <v>0</v>
      </c>
      <c r="CJ11" s="26">
        <v>17.399999999999999</v>
      </c>
      <c r="CK11" s="26">
        <v>2.4</v>
      </c>
      <c r="CL11" s="26">
        <v>0</v>
      </c>
      <c r="CM11" s="26">
        <v>0</v>
      </c>
      <c r="CN11" s="26">
        <v>18.399999999999999</v>
      </c>
      <c r="CO11" s="26">
        <v>5.2</v>
      </c>
      <c r="CP11" s="26">
        <v>1</v>
      </c>
      <c r="CQ11" s="26">
        <v>0</v>
      </c>
      <c r="CR11" s="26">
        <v>17.399999999999999</v>
      </c>
      <c r="CS11" s="26">
        <v>3.2</v>
      </c>
      <c r="CT11" s="26">
        <v>0</v>
      </c>
      <c r="CU11" s="26">
        <v>0</v>
      </c>
      <c r="CV11" s="44"/>
      <c r="CW11" s="78">
        <f>IF(SUM(CC11,CG11)&gt;0,SUM(CC11,CG11),"")</f>
        <v>15.8</v>
      </c>
      <c r="CX11" s="78">
        <f>IF(SUM(CB11:CC11,CE11:CG11,CI11)-CD11-CH11&gt;0,SUM(CB11:CC11,CE11:CG11,CI11)-CD11-CH11,"")</f>
        <v>52.100000000000009</v>
      </c>
      <c r="CY11" s="78">
        <f>IF(SUM(CJ11:CK11,CM11)-CL11&gt;0,SUM(CJ11:CK11,CM11)-CL11,"")</f>
        <v>19.799999999999997</v>
      </c>
      <c r="CZ11" s="78">
        <f>IF(SUM(CC11,CG11,CK11)&gt;0,SUM(CC11,CG11,CK11),"")</f>
        <v>18.2</v>
      </c>
      <c r="DA11" s="78">
        <f>IF(SUM(CX11,CY11)&gt;0,SUM(CX11,CY11),"")</f>
        <v>71.900000000000006</v>
      </c>
      <c r="DB11" s="78">
        <f>IF(SUM(CO11,CS11)&gt;0,SUM(CO11,CS11),"")</f>
        <v>8.4</v>
      </c>
      <c r="DC11" s="78">
        <f>IF(SUM(CN11:CO11,CQ11:CS11,CU11)-SUM(CP11,CT11)&gt;0,SUM(CN11:CO11,CQ11:CS11,CU11)-SUM(CP11,CT11),"")</f>
        <v>43.2</v>
      </c>
      <c r="DD11" s="78">
        <f>IF(SUM(CX11,DC11)&gt;0,SUM(CX11,DC11),"")</f>
        <v>95.300000000000011</v>
      </c>
      <c r="DE11" s="79">
        <f>IF(K11&gt;=0.001,IF(MAX(EC11,FE11,GG11,HI11,IK11,JM11,KO11,LQ11,MS11,NU11,OW11,PY11)-IF(K11="",0,K11)&gt;0.001,MAX(EC11,FE11,GG11,HI11,IK11,JM11,KO11,LQ11,MS11,NU11,OW11,PY11)-IF(K11="",0,K11),""),"")</f>
        <v>1.2000000000000028</v>
      </c>
      <c r="DF11" s="79" t="str">
        <f>IF(O11&gt;=0.001,IF(MAX(ED11,FF11,GH11,HJ11,IL11,JN11,KP11,LR11,MT11,NV11,OX11,PZ11)-IF(O11="",0,O11)&gt;0.001,MAX(ED11,FF11,GH11,HJ11,IL11,JN11,KP11,LR11,MT11,NV11,OX11,PZ11)-IF(O11="",0,O11),""),"")</f>
        <v/>
      </c>
      <c r="DG11" s="79">
        <f>IF(Q11&gt;=0.001,IF(MAX(EH11,FJ11,GL11,HN11,IP11,JR11,KT11,LV11,MX11,NZ11,PB11,QD11)-IF(Q11="",0,Q11)&gt;0.001,MAX(EH11,FJ11,GL11,HN11,IP11,JR11,KT11,LV11,MX11,NZ11,PB11,QD11)-IF(Q11="",0,Q11),""),"")</f>
        <v>5.2999999999999972</v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>IF(SUM(DI11,DM11)&gt;0,SUM(DI11,DM11),"")</f>
        <v/>
      </c>
      <c r="EC11" s="78" t="str">
        <f>IF(SUM(DH11:DI11,DK11:DM11,DO11)-DJ11-DN11&gt;0,SUM(DH11:DI11,DK11:DM11,DO11)-DJ11-DN11,"")</f>
        <v/>
      </c>
      <c r="ED11" s="78" t="str">
        <f>IF(SUM(DP11:DQ11,DS11)-DR11&gt;0,SUM(DP11:DQ11,DS11)-DR11,"")</f>
        <v/>
      </c>
      <c r="EE11" s="78" t="str">
        <f>IF(SUM(DI11,DM11,DQ11)&gt;0,SUM(DI11,DM11,DQ11),"")</f>
        <v/>
      </c>
      <c r="EF11" s="78" t="str">
        <f>IF(SUM(EC11,ED11)&gt;0,SUM(EC11,ED11),"")</f>
        <v/>
      </c>
      <c r="EG11" s="78" t="str">
        <f>IF(SUM(DU11,DY11)&gt;0,SUM(DU11,DY11),"")</f>
        <v/>
      </c>
      <c r="EH11" s="78" t="str">
        <f>IF(SUM(DT11:DU11,DW11:DY11,EA11)-SUM(DV11,DZ11)&gt;0,SUM(DT11:DU11,DW11:DY11,EA11)-SUM(DV11,DZ11),"")</f>
        <v/>
      </c>
      <c r="EI11" s="78" t="str">
        <f>IF(SUM(EC11,EH11)&gt;0,SUM(EC11,EH11),"")</f>
        <v/>
      </c>
      <c r="EJ11" s="25">
        <v>19.2</v>
      </c>
      <c r="EK11" s="25">
        <v>6.4</v>
      </c>
      <c r="EL11" s="25">
        <v>0</v>
      </c>
      <c r="EM11" s="25">
        <v>0</v>
      </c>
      <c r="EN11" s="25">
        <v>18</v>
      </c>
      <c r="EO11" s="25">
        <v>7.7</v>
      </c>
      <c r="EP11" s="25">
        <v>0.6</v>
      </c>
      <c r="EQ11" s="25">
        <v>0</v>
      </c>
      <c r="ER11" s="25"/>
      <c r="ES11" s="25"/>
      <c r="ET11" s="25"/>
      <c r="EU11" s="25"/>
      <c r="EV11" s="25">
        <v>18.600000000000001</v>
      </c>
      <c r="EW11" s="25">
        <v>7.2</v>
      </c>
      <c r="EX11" s="25">
        <v>0.6</v>
      </c>
      <c r="EY11" s="25">
        <v>0</v>
      </c>
      <c r="EZ11" s="25">
        <v>18.3</v>
      </c>
      <c r="FA11" s="25">
        <v>7.7</v>
      </c>
      <c r="FB11" s="25">
        <v>0.8</v>
      </c>
      <c r="FC11" s="25">
        <v>0</v>
      </c>
      <c r="FD11" s="19">
        <f>IF(SUM(EK11,EO11)&gt;0,SUM(EK11,EO11),"")</f>
        <v>14.100000000000001</v>
      </c>
      <c r="FE11" s="19">
        <f>IF(SUM(EJ11:EK11,EM11:EO11,EQ11)-EL11-EP11&gt;0,SUM(EJ11:EK11,EM11:EO11,EQ11)-EL11-EP11,"")</f>
        <v>50.7</v>
      </c>
      <c r="FF11" s="19" t="str">
        <f>IF(SUM(ER11:ES11,EU11)-ET11&gt;0,SUM(ER11:ES11,EU11)-ET11,"")</f>
        <v/>
      </c>
      <c r="FG11" s="19">
        <f>IF(SUM(EK11,EO11,ES11)&gt;0,SUM(EK11,EO11,ES11),"")</f>
        <v>14.100000000000001</v>
      </c>
      <c r="FH11" s="19">
        <f>IF(SUM(FE11,FF11)&gt;0,SUM(FE11,FF11),"")</f>
        <v>50.7</v>
      </c>
      <c r="FI11" s="19">
        <f>IF(SUM(EW11,FA11)&gt;0,SUM(EW11,FA11),"")</f>
        <v>14.9</v>
      </c>
      <c r="FJ11" s="19">
        <f>IF(SUM(EV11:EW11,EY11:FA11,FC11)-SUM(EX11,FB11)&gt;0,SUM(EV11:EW11,EY11:FA11,FC11)-SUM(EX11,FB11),"")</f>
        <v>50.400000000000006</v>
      </c>
      <c r="FK11" s="19">
        <f>IF(SUM(FE11,FJ11)&gt;0,SUM(FE11,FJ11),"")</f>
        <v>101.10000000000001</v>
      </c>
      <c r="FL11" s="24">
        <v>18.7</v>
      </c>
      <c r="FM11" s="24">
        <v>7.7</v>
      </c>
      <c r="FN11" s="24">
        <v>0</v>
      </c>
      <c r="FO11" s="24">
        <v>0</v>
      </c>
      <c r="FP11" s="24">
        <v>17.600000000000001</v>
      </c>
      <c r="FQ11" s="24">
        <v>2.8</v>
      </c>
      <c r="FR11" s="24">
        <v>0</v>
      </c>
      <c r="FS11" s="24">
        <v>0</v>
      </c>
      <c r="FT11" s="24"/>
      <c r="FU11" s="24"/>
      <c r="FV11" s="24"/>
      <c r="FW11" s="24"/>
      <c r="FX11" s="24">
        <v>16.600000000000001</v>
      </c>
      <c r="FY11" s="24">
        <v>7.7</v>
      </c>
      <c r="FZ11" s="24">
        <v>0.8</v>
      </c>
      <c r="GA11" s="24">
        <v>0</v>
      </c>
      <c r="GB11" s="24">
        <v>17.5</v>
      </c>
      <c r="GC11" s="24">
        <v>2.8</v>
      </c>
      <c r="GD11" s="24">
        <v>0</v>
      </c>
      <c r="GE11" s="24">
        <v>0</v>
      </c>
      <c r="GF11" s="78">
        <f>IF(SUM(FM11,FQ11)&gt;0,SUM(FM11,FQ11),"")</f>
        <v>10.5</v>
      </c>
      <c r="GG11" s="78">
        <f>IF(SUM(FL11:FM11,FO11:FQ11,FS11)-FN11-FR11&gt;0,SUM(FL11:FM11,FO11:FQ11,FS11)-FN11-FR11,"")</f>
        <v>46.8</v>
      </c>
      <c r="GH11" s="78" t="str">
        <f>IF(SUM(FT11:FU11,FW11)-FV11&gt;0,SUM(FT11:FU11,FW11)-FV11,"")</f>
        <v/>
      </c>
      <c r="GI11" s="78">
        <f>IF(SUM(FM11,FQ11,FU11)&gt;0,SUM(FM11,FQ11,FU11),"")</f>
        <v>10.5</v>
      </c>
      <c r="GJ11" s="78">
        <f>IF(SUM(GG11,GH11)&gt;0,SUM(GG11,GH11),"")</f>
        <v>46.8</v>
      </c>
      <c r="GK11" s="78">
        <f>IF(SUM(FY11,GC11)&gt;0,SUM(FY11,GC11),"")</f>
        <v>10.5</v>
      </c>
      <c r="GL11" s="78">
        <f>IF(SUM(FX11:FY11,GA11:GC11,GE11)-SUM(FZ11,GD11)&gt;0,SUM(FX11:FY11,GA11:GC11,GE11)-SUM(FZ11,GD11),"")</f>
        <v>43.8</v>
      </c>
      <c r="GM11" s="78">
        <f>IF(SUM(GG11,GL11)&gt;0,SUM(GG11,GL11),"")</f>
        <v>90.6</v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>IF(SUM(GO11,GS11)&gt;0,SUM(GO11,GS11),"")</f>
        <v/>
      </c>
      <c r="HI11" s="19" t="str">
        <f>IF(SUM(GN11:GO11,GQ11:GS11,GU11)-GP11-GT11&gt;0,SUM(GN11:GO11,GQ11:GS11,GU11)-GP11-GT11,"")</f>
        <v/>
      </c>
      <c r="HJ11" s="19" t="str">
        <f>IF(SUM(GV11:GW11,GY11)-GX11&gt;0,SUM(GV11:GW11,GY11)-GX11,"")</f>
        <v/>
      </c>
      <c r="HK11" s="19" t="str">
        <f>IF(SUM(GO11,GS11,GW11)&gt;0,SUM(GO11,GS11,GW11),"")</f>
        <v/>
      </c>
      <c r="HL11" s="19" t="str">
        <f>IF(SUM(HI11,HJ11)&gt;0,SUM(HI11,HJ11),"")</f>
        <v/>
      </c>
      <c r="HM11" s="19" t="str">
        <f>IF(SUM(HA11,HE11)&gt;0,SUM(HA11,HE11),"")</f>
        <v/>
      </c>
      <c r="HN11" s="19" t="str">
        <f>IF(SUM(GZ11:HA11,HC11:HE11,HG11)-SUM(HB11,HF11)&gt;0,SUM(GZ11:HA11,HC11:HE11,HG11)-SUM(HB11,HF11),"")</f>
        <v/>
      </c>
      <c r="HO11" s="19" t="str">
        <f>IF(SUM(HI11,HN11)&gt;0,SUM(HI11,HN11),"")</f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>IF(SUM(HQ11,HU11)&gt;0,SUM(HQ11,HU11),"")</f>
        <v/>
      </c>
      <c r="IK11" s="78" t="str">
        <f>IF(SUM(HP11:HQ11,HS11:HU11,HW11)-HR11-HV11&gt;0,SUM(HP11:HQ11,HS11:HU11,HW11)-HR11-HV11,"")</f>
        <v/>
      </c>
      <c r="IL11" s="78" t="str">
        <f>IF(SUM(HX11:HY11,IA11)-HZ11&gt;0,SUM(HX11:HY11,IA11)-HZ11,"")</f>
        <v/>
      </c>
      <c r="IM11" s="78" t="str">
        <f>IF(SUM(HQ11,HU11,HY11)&gt;0,SUM(HQ11,HU11,HY11),"")</f>
        <v/>
      </c>
      <c r="IN11" s="78" t="str">
        <f>IF(SUM(IK11,IL11)&gt;0,SUM(IK11,IL11),"")</f>
        <v/>
      </c>
      <c r="IO11" s="78" t="str">
        <f>IF(SUM(IC11,IG11)&gt;0,SUM(IC11,IG11),"")</f>
        <v/>
      </c>
      <c r="IP11" s="78" t="str">
        <f>IF(SUM(IB11:IC11,IE11:IG11,II11)-SUM(ID11,IH11)&gt;0,SUM(IB11:IC11,IE11:IG11,II11)-SUM(ID11,IH11),"")</f>
        <v/>
      </c>
      <c r="IQ11" s="78" t="str">
        <f>IF(SUM(IK11,IP11)&gt;0,SUM(IK11,IP11),"")</f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>IF(SUM(IS11,IW11)&gt;0,SUM(IS11,IW11),"")</f>
        <v/>
      </c>
      <c r="JM11" s="19" t="str">
        <f>IF(SUM(IR11:IS11,IU11:IW11,IY11)-IT11-IX11&gt;0,SUM(IR11:IS11,IU11:IW11,IY11)-IT11-IX11,"")</f>
        <v/>
      </c>
      <c r="JN11" s="19" t="str">
        <f>IF(SUM(IZ11:JA11,JC11)-JB11&gt;0,SUM(IZ11:JA11,JC11)-JB11,"")</f>
        <v/>
      </c>
      <c r="JO11" s="19" t="str">
        <f>IF(SUM(IS11,IW11,JA11)&gt;0,SUM(IS11,IW11,JA11),"")</f>
        <v/>
      </c>
      <c r="JP11" s="19" t="str">
        <f>IF(SUM(JM11,JN11)&gt;0,SUM(JM11,JN11),"")</f>
        <v/>
      </c>
      <c r="JQ11" s="19" t="str">
        <f>IF(SUM(JE11,JI11)&gt;0,SUM(JE11,JI11),"")</f>
        <v/>
      </c>
      <c r="JR11" s="19" t="str">
        <f>IF(SUM(JD11:JE11,JG11:JI11,JK11)-SUM(JF11,JJ11)&gt;0,SUM(JD11:JE11,JG11:JI11,JK11)-SUM(JF11,JJ11),"")</f>
        <v/>
      </c>
      <c r="JS11" s="19" t="str">
        <f>IF(SUM(JM11,JR11)&gt;0,SUM(JM11,JR11),"")</f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>IF(SUM(JU11,JY11)&gt;0,SUM(JU11,JY11),"")</f>
        <v/>
      </c>
      <c r="KO11" s="78" t="str">
        <f>IF(SUM(JT11:JU11,JW11:JY11,KA11)-JV11-JZ11&gt;0,SUM(JT11:JU11,JW11:JY11,KA11)-JV11-JZ11,"")</f>
        <v/>
      </c>
      <c r="KP11" s="78" t="str">
        <f>IF(SUM(KB11:KC11,KE11)-KD11&gt;0,SUM(KB11:KC11,KE11)-KD11,"")</f>
        <v/>
      </c>
      <c r="KQ11" s="78" t="str">
        <f>IF(SUM(JU11,JY11,KC11)&gt;0,SUM(JU11,JY11,KC11),"")</f>
        <v/>
      </c>
      <c r="KR11" s="78" t="str">
        <f>IF(SUM(KO11,KP11)&gt;0,SUM(KO11,KP11),"")</f>
        <v/>
      </c>
      <c r="KS11" s="78" t="str">
        <f>IF(SUM(KG11,KK11)&gt;0,SUM(KG11,KK11),"")</f>
        <v/>
      </c>
      <c r="KT11" s="78" t="str">
        <f>IF(SUM(KF11:KG11,KI11:KK11,KM11)-SUM(KH11,KL11)&gt;0,SUM(KF11:KG11,KI11:KK11,KM11)-SUM(KH11,KL11),"")</f>
        <v/>
      </c>
      <c r="KU11" s="78" t="str">
        <f>IF(SUM(KO11,KT11)&gt;0,SUM(KO11,KT11),"")</f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>IF(SUM(KW11,LA11)&gt;0,SUM(KW11,LA11),"")</f>
        <v/>
      </c>
      <c r="LQ11" s="19" t="str">
        <f>IF(SUM(KV11:KW11,KY11:LA11,LC11)-KX11-LB11&gt;0,SUM(KV11:KW11,KY11:LA11,LC11)-KX11-LB11,"")</f>
        <v/>
      </c>
      <c r="LR11" s="19" t="str">
        <f>IF(SUM(LD11:LE11,LG11)-LF11&gt;0,SUM(LD11:LE11,LG11)-LF11,"")</f>
        <v/>
      </c>
      <c r="LS11" s="19" t="str">
        <f>IF(SUM(KW11,LA11,LE11)&gt;0,SUM(KW11,LA11,LE11),"")</f>
        <v/>
      </c>
      <c r="LT11" s="19" t="str">
        <f>IF(SUM(LQ11,LR11)&gt;0,SUM(LQ11,LR11),"")</f>
        <v/>
      </c>
      <c r="LU11" s="19" t="str">
        <f>IF(SUM(LI11,LM11)&gt;0,SUM(LI11,LM11),"")</f>
        <v/>
      </c>
      <c r="LV11" s="19" t="str">
        <f>IF(SUM(LH11:LI11,LK11:LM11,LO11)-SUM(LJ11,LN11)&gt;0,SUM(LH11:LI11,LK11:LM11,LO11)-SUM(LJ11,LN11),"")</f>
        <v/>
      </c>
      <c r="LW11" s="19" t="str">
        <f>IF(SUM(LQ11,LV11)&gt;0,SUM(LQ11,LV11),"")</f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>IF(SUM(LY11,MC11)&gt;0,SUM(LY11,MC11),"")</f>
        <v/>
      </c>
      <c r="MS11" s="78" t="str">
        <f>IF(SUM(LX11:LY11,MA11:MC11,ME11)-LZ11-MD11&gt;0,SUM(LX11:LY11,MA11:MC11,ME11)-LZ11-MD11,"")</f>
        <v/>
      </c>
      <c r="MT11" s="78" t="str">
        <f>IF(SUM(MF11:MG11,MI11)-MH11&gt;0,SUM(MF11:MG11,MI11)-MH11,"")</f>
        <v/>
      </c>
      <c r="MU11" s="78" t="str">
        <f>IF(SUM(LY11,MC11,MG11)&gt;0,SUM(LY11,MC11,MG11),"")</f>
        <v/>
      </c>
      <c r="MV11" s="78" t="str">
        <f>IF(SUM(MS11,MT11)&gt;0,SUM(MS11,MT11),"")</f>
        <v/>
      </c>
      <c r="MW11" s="78" t="str">
        <f>IF(SUM(MK11,MO11)&gt;0,SUM(MK11,MO11),"")</f>
        <v/>
      </c>
      <c r="MX11" s="78" t="str">
        <f>IF(SUM(MJ11:MK11,MM11:MO11,MQ11)-SUM(ML11,MP11)&gt;0,SUM(MJ11:MK11,MM11:MO11,MQ11)-SUM(ML11,MP11),"")</f>
        <v/>
      </c>
      <c r="MY11" s="78" t="str">
        <f>IF(SUM(MS11,MX11)&gt;0,SUM(MS11,MX11),"")</f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>IF(SUM(NA11,NE11)&gt;0,SUM(NA11,NE11),"")</f>
        <v/>
      </c>
      <c r="NU11" s="19" t="str">
        <f>IF(SUM(MZ11:NA11,NC11:NE11,NG11)-NB11-NF11&gt;0,SUM(MZ11:NA11,NC11:NE11,NG11)-NB11-NF11,"")</f>
        <v/>
      </c>
      <c r="NV11" s="19" t="str">
        <f>IF(SUM(NH11:NI11,NK11)-NJ11&gt;0,SUM(NH11:NI11,NK11)-NJ11,"")</f>
        <v/>
      </c>
      <c r="NW11" s="19" t="str">
        <f>IF(SUM(NA11,NE11,NI11)&gt;0,SUM(NA11,NE11,NI11),"")</f>
        <v/>
      </c>
      <c r="NX11" s="19" t="str">
        <f>IF(SUM(NU11,NV11)&gt;0,SUM(NU11,NV11),"")</f>
        <v/>
      </c>
      <c r="NY11" s="19" t="str">
        <f>IF(SUM(NM11,NQ11)&gt;0,SUM(NM11,NQ11),"")</f>
        <v/>
      </c>
      <c r="NZ11" s="19" t="str">
        <f>IF(SUM(NL11:NM11,NO11:NQ11,NS11)-SUM(NN11,NR11)&gt;0,SUM(NL11:NM11,NO11:NQ11,NS11)-SUM(NN11,NR11),"")</f>
        <v/>
      </c>
      <c r="OA11" s="19" t="str">
        <f>IF(SUM(NU11,NZ11)&gt;0,SUM(NU11,NZ11),"")</f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>IF(SUM(OC11,OG11)&gt;0,SUM(OC11,OG11),"")</f>
        <v/>
      </c>
      <c r="OW11" s="78" t="str">
        <f>IF(SUM(OB11:OC11,OE11:OG11,OI11)-OD11-OH11&gt;0,SUM(OB11:OC11,OE11:OG11,OI11)-OD11-OH11,"")</f>
        <v/>
      </c>
      <c r="OX11" s="78" t="str">
        <f>IF(SUM(OJ11:OK11,OM11)-OL11&gt;0,SUM(OJ11:OK11,OM11)-OL11,"")</f>
        <v/>
      </c>
      <c r="OY11" s="78" t="str">
        <f>IF(SUM(OC11,OG11,OK11)&gt;0,SUM(OC11,OG11,OK11),"")</f>
        <v/>
      </c>
      <c r="OZ11" s="78" t="str">
        <f>IF(SUM(OW11,OX11)&gt;0,SUM(OW11,OX11),"")</f>
        <v/>
      </c>
      <c r="PA11" s="78" t="str">
        <f>IF(SUM(OO11,OS11)&gt;0,SUM(OO11,OS11),"")</f>
        <v/>
      </c>
      <c r="PB11" s="78" t="str">
        <f>IF(SUM(ON11:OO11,OQ11:OS11,OU11)-SUM(OP11,OT11)&gt;0,SUM(ON11:OO11,OQ11:OS11,OU11)-SUM(OP11,OT11),"")</f>
        <v/>
      </c>
      <c r="PC11" s="78" t="str">
        <f>IF(SUM(OW11,PB11)&gt;0,SUM(OW11,PB11),"")</f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>IF(SUM(PE11,PI11)&gt;0,SUM(PE11,PI11),"")</f>
        <v/>
      </c>
      <c r="PY11" s="19" t="str">
        <f>IF(SUM(PD11:PE11,PG11:PI11,PK11)-PF11-PJ11&gt;0,SUM(PD11:PE11,PG11:PI11,PK11)-PF11-PJ11,"")</f>
        <v/>
      </c>
      <c r="PZ11" s="19" t="str">
        <f>IF(SUM(PL11:PM11,PO11)-PN11&gt;0,SUM(PL11:PM11,PO11)-PN11,"")</f>
        <v/>
      </c>
      <c r="QA11" s="19" t="str">
        <f>IF(SUM(PE11,PI11,PM11)&gt;0,SUM(PE11,PI11,PM11),"")</f>
        <v/>
      </c>
      <c r="QB11" s="19" t="str">
        <f>IF(SUM(PY11,PZ11)&gt;0,SUM(PY11,PZ11),"")</f>
        <v/>
      </c>
      <c r="QC11" s="19" t="str">
        <f>IF(SUM(PQ11,PU11)&gt;0,SUM(PQ11,PU11),"")</f>
        <v/>
      </c>
      <c r="QD11" s="19" t="str">
        <f>IF(SUM(PP11:PQ11,PS11:PU11,PW11)-SUM(PR11,PV11)&gt;0,SUM(PP11:PQ11,PS11:PU11,PW11)-SUM(PR11,PV11),"")</f>
        <v/>
      </c>
      <c r="QE11" s="19" t="str">
        <f>IF(SUM(PY11,QD11)&gt;0,SUM(PY11,QD11),"")</f>
        <v/>
      </c>
      <c r="QF11" s="37">
        <f>IF($CV11="P",CB11,(CB11+AY11)/2)</f>
        <v>18.200000000000003</v>
      </c>
      <c r="QG11" s="37">
        <f>IF($CV11="P",CC11,(CC11+AZ11)/2)</f>
        <v>6.4499999999999993</v>
      </c>
      <c r="QH11" s="37">
        <f>IF($CV11="P",CD11,(CD11+BA11)/2)</f>
        <v>1.2</v>
      </c>
      <c r="QI11" s="37">
        <f>IF($CV11="P",CE11,(CE11+BB11)/2)</f>
        <v>0.15</v>
      </c>
      <c r="QJ11" s="37">
        <f>IF($CV11="P",CF11,(CF11+BC11)/2)</f>
        <v>17.600000000000001</v>
      </c>
      <c r="QK11" s="37">
        <f>IF($CV11="P",CG11,(CG11+BD11)/2)</f>
        <v>7.7</v>
      </c>
      <c r="QL11" s="37">
        <f>IF($CV11="P",CH11,(CH11+BE11)/2)</f>
        <v>0.7</v>
      </c>
      <c r="QM11" s="37">
        <f>IF($CV11="P",CI11,(CI11+BF11)/2)</f>
        <v>0</v>
      </c>
      <c r="QN11" s="37">
        <f>IF($CV11="P",CJ11,(CJ11+BG11)/2)</f>
        <v>17.799999999999997</v>
      </c>
      <c r="QO11" s="37">
        <f>IF($CV11="P",CK11,(CK11+BH11)/2)</f>
        <v>5.05</v>
      </c>
      <c r="QP11" s="37">
        <f>IF($CV11="P",CL11,(CL11+BI11)/2)</f>
        <v>0.4</v>
      </c>
      <c r="QQ11" s="37">
        <f>IF($CV11="P",CM11,(CM11+BJ11)/2)</f>
        <v>0</v>
      </c>
      <c r="QR11" s="37">
        <f>IF($CV11="P",CN11,(CN11+BK11)/2)</f>
        <v>9.1999999999999993</v>
      </c>
      <c r="QS11" s="37">
        <f>IF($CV11="P",CO11,(CO11+BL11)/2)</f>
        <v>2.6</v>
      </c>
      <c r="QT11" s="37">
        <f>IF($CV11="P",CP11,(CP11+BM11)/2)</f>
        <v>0.5</v>
      </c>
      <c r="QU11" s="37">
        <f>IF($CV11="P",CQ11,(CQ11+BN11)/2)</f>
        <v>0</v>
      </c>
      <c r="QV11" s="37">
        <f>IF($CV11="P",CR11,(CR11+BO11)/2)</f>
        <v>8.6999999999999993</v>
      </c>
      <c r="QW11" s="37">
        <f>IF($CV11="P",CS11,(CS11+BP11)/2)</f>
        <v>1.6</v>
      </c>
      <c r="QX11" s="37">
        <f>IF($CV11="P",CT11,(CT11+BQ11)/2)</f>
        <v>0</v>
      </c>
      <c r="QY11" s="37">
        <f>IF($CV11="P",CU11,(CU11+BR11)/2)</f>
        <v>0</v>
      </c>
      <c r="QZ11" s="44" t="s">
        <v>46</v>
      </c>
      <c r="RA11" s="78">
        <f>IF(SUM(QG11,QK11)&gt;0,SUM(QG11,QK11),"")</f>
        <v>14.149999999999999</v>
      </c>
      <c r="RB11" s="78">
        <f>IF(SUM(QF11:QG11,QI11:QK11,QM11)-QH11-QL11&gt;0,SUM(QF11:QG11,QI11:QK11,QM11)-QH11-QL11,"")</f>
        <v>48.2</v>
      </c>
      <c r="RC11" s="78">
        <f>IF(SUM(QN11:QO11,QQ11)-QP11&gt;0,SUM(QN11:QO11,QQ11)-QP11,"")</f>
        <v>22.45</v>
      </c>
      <c r="RD11" s="78">
        <f>IF(SUM(QG11,QK11,QO11)&gt;0,SUM(QG11,QK11,QO11),"")</f>
        <v>19.2</v>
      </c>
      <c r="RE11" s="78">
        <f>IF(SUM(RB11,RC11)&gt;0,SUM(RB11,RC11),"")</f>
        <v>70.650000000000006</v>
      </c>
      <c r="RF11" s="78">
        <f>IF(SUM(QS11,QW11)&gt;0,SUM(QS11,QW11),"")</f>
        <v>4.2</v>
      </c>
      <c r="RG11" s="78">
        <f>IF(SUM(QR11:QS11,QU11:QW11,QY11)-SUM(QT11,QX11)&gt;0,SUM(QR11:QS11,QU11:QW11,QY11)-SUM(QT11,QX11),"")</f>
        <v>21.6</v>
      </c>
      <c r="RH11" s="78">
        <f>IF(SUM(RB11,RG11)&gt;0,SUM(RB11,RG11),"")</f>
        <v>69.800000000000011</v>
      </c>
    </row>
    <row r="12" spans="1:476" x14ac:dyDescent="0.2">
      <c r="A12" s="5">
        <f>IF(AND(F12="P",G12="P"),SUMPRODUCT((F$4:F$32="P")*(G$4:G$32="P")*(E$4:E$32&gt;E12))+1,IF(G12="P",SUMPRODUCT((F$4:F$32="")*(G$4:G$32="P")*(E$4:E$32&gt;E12))+1+SUMPRODUCT((F$4:F$32="P")*(G$4:G$32="P")),""))</f>
        <v>9</v>
      </c>
      <c r="B12" s="77" t="s">
        <v>139</v>
      </c>
      <c r="C12" s="5" t="s">
        <v>140</v>
      </c>
      <c r="D12" s="5">
        <v>2002</v>
      </c>
      <c r="E12" s="15">
        <f>SUM(I12:S12)+SUM(I12:O12)*0.0000001+SUM(I12)*0.0000000000001</f>
        <v>192.70001424000503</v>
      </c>
      <c r="F12" s="3" t="str">
        <f>IF(OR(AND(AQ12&gt;=AX$34,AR12&gt;=AX$38,AQ12&lt;&gt;"",AP12=""),AND(AV12&gt;=AX$34,AW12&gt;=AX$38,AV12&lt;&gt;"",AP12=""),AND(BT12&gt;=CA$34,BU12&gt;=CA$38,BT12&lt;&gt;"",BS12=""),AND(BY12&gt;=CA$34,BZ12&gt;=CA$38,BY12&lt;&gt;"",BS12=""),AND(CW12&gt;=DD$34,CX12&gt;=DD$38,CW12&lt;&gt;"",CV12=""),AND(DB12&gt;=DD$34,DC12&gt;=DD$38,DB12&lt;&gt;""),AND(EB12&gt;=EI$34,EC12&gt;=EI$38,EB12&lt;&gt;""),AND(EG12&gt;=EI$34,EH12&gt;=EI$38,EG12&lt;&gt;""),AND(FD12&gt;=FK$34,FE12&gt;=FK$38,FD12&lt;&gt;""),AND(FI12&gt;=FK$34,FJ12&gt;=FK$38,FI12&lt;&gt;""),AND(GF12&gt;=GM$34,GG12&gt;=GM$38,GF12&lt;&gt;""),AND(GK12&gt;=GM$34,GL12&gt;=GM$38,GK12&lt;&gt;""),AND(HH12&gt;=HO$34,HI12&gt;=HO$38,HH12&lt;&gt;""),AND(HM12&gt;=HO$34,HN12&gt;=HO$38,HM12&lt;&gt;""),AND(IJ12&gt;=IQ$34,IK12&gt;=IQ$38,IJ12&lt;&gt;""),AND(IO12&gt;=IQ$34,IP12&gt;=IQ$38,IO12&lt;&gt;""),AND(JL12&gt;=JS$34,JM12&gt;=JS$38,JL12&lt;&gt;""),AND(JQ12&gt;=JS$34,JR12&gt;=JS$38,JQ12&lt;&gt;""),AND(KN12&gt;=KU$34,KO12&gt;=KU$38,KN12&lt;&gt;""),AND(KS12&gt;=KU$34,KT12&gt;=KU$38,KS12&lt;&gt;""),AND(LP12&gt;=LW$34,LQ12&gt;=LW$38,LP12&lt;&gt;""),AND(LU12&gt;=LW$34,LV12&gt;=LW$38,LU12&lt;&gt;""),AND(MR12&gt;=MY$34,MS12&gt;=MY$38,MR12&lt;&gt;""),AND(MW12&gt;=MY$34,MX12&gt;=MY$38,MW12&lt;&gt;""),AND(NT12&gt;=OA$34,NU12&gt;=OA$38,NT12&lt;&gt;""),AND(NY12&gt;=OA$34,NZ12&gt;=OA$38,NY12&lt;&gt;""),AND(OV12&gt;=PC$34,OW12&gt;=PC$38,OV12&lt;&gt;""),AND(PA12&gt;=PC$34,PB12&gt;=PC$38,PA12&lt;&gt;""),AND(PX12&gt;=QE$34,PY12&gt;=QE$38,PX12&lt;&gt;""),AND(QC12&gt;=QE$34,QD12&gt;=QE$38,QC12&lt;&gt;"")),"P","")</f>
        <v>P</v>
      </c>
      <c r="G12" s="3" t="str">
        <f>IF(OR(AND(AR12&gt;=AX$38,AR12&lt;&gt;"",AP12=""),AND(AW12&gt;=AX$38,AW12&lt;&gt;"",AP12=""),AND(BU12&gt;=CA$38,BU12&lt;&gt;"",BS12=""),AND(BZ12&gt;=CA$38,BZ12&lt;&gt;"",BS12=""),AND(CX12&gt;=DD$38,CX12&lt;&gt;"",CV12=""),AND(DC12&gt;=DD$38,DC12&lt;&gt;"",CV12=""),AND(EC12&gt;=EI$38,EC12&lt;&gt;""),AND(EH12&gt;=EI$38,EH12&lt;&gt;""),AND(FE12&gt;=FK$38,FE12&lt;&gt;""),AND(FJ12&gt;=FK$38,FJ12&lt;&gt;""),AND(GG12&gt;=GM$38,GG12&lt;&gt;""),AND(GL12&gt;=GM$38,GL12&lt;&gt;""),AND(HI12&gt;=HO$38,HI12&lt;&gt;""),AND(HN12&gt;=HO$38,HN12&lt;&gt;""),AND(IK12&gt;=IQ$38,IK12&lt;&gt;""),AND(IP12&gt;=IQ$38,IP12&lt;&gt;""),AND(JM12&gt;=JS$38,JM12&lt;&gt;""),AND(JR12&gt;=JS$38,JR12&lt;&gt;""),AND(KO12&gt;=KU$38,KO12&lt;&gt;""),AND(KT12&gt;=KU$38,KT12&lt;&gt;""),AND(LQ12&gt;=LW$38,LQ12&lt;&gt;""),AND(LV12&gt;=LW$38,LV12&lt;&gt;""),AND(MS12&gt;=MY$38,MS12&lt;&gt;""),AND(MX12&gt;=MY$38,MX12&lt;&gt;""),AND(NU12&gt;=OA$38,NU12&lt;&gt;""),AND(NZ12&gt;=OA$38,NZ12&lt;&gt;""),AND(OW12&gt;=PC$38,OW12&lt;&gt;""),AND(PB12&gt;=PC$38,PB12&lt;&gt;""),AND(PY12&gt;=QE$38,PY12&lt;&gt;""),AND(QD12&gt;=QE$38,QD12&lt;&gt;"")),"P","")</f>
        <v>P</v>
      </c>
      <c r="H12" s="66" t="str">
        <f>IF(AND(G12="P",F12=""),"No DD",IF(OR(AND(AT12&gt;=AX$37,AU12&gt;=AX$41,AT12&lt;&gt;"",AP12=""),AND(BW12&gt;=CA$37,BX12&gt;=CA$41,BW12&lt;&gt;"",BS12=""),AND(CZ12&gt;=DD$37,DA12&gt;=DD$41,CZ12&lt;&gt;"",CV12=""),AND(EE12&gt;=EI$37,EF12&gt;=EI$41,EE12&lt;&gt;""),AND(FG12&gt;=FK$37,FH12&gt;=FK$41,FG12&lt;&gt;""),AND(GI12&gt;=GM$37,GJ12&gt;=GM$41,GI12&lt;&gt;""),AND(HK12&gt;=HO$37,HL12&gt;=HO$41,HK12&lt;&gt;""),AND(IM12&gt;=IQ$37,IN12&gt;=IQ$41,IM12&lt;&gt;""),AND(JO12&gt;=JS$37,JP12&gt;=JS$41,JO12&lt;&gt;""),AND(KQ12&gt;=KU$37,KR12&gt;=KU$41,KQ12&lt;&gt;""),AND(LS12&gt;=LW$37,LT12&gt;=LW$41,LS12&lt;&gt;""),AND(MU12&gt;=MY$37,MV12&gt;=MY$41,MU12&lt;&gt;""),AND(NW12&gt;=OA$37,NX12&gt;=OA$41,NW12&lt;&gt;""),AND(OY12&gt;=PC$37,OZ12&gt;=PC$41,OY12&lt;&gt;""),AND(QA12&gt;=QE$37,QB12&gt;=QE$41,QA12&lt;&gt;"")),"Merit",IF(OR(AND(AT12&gt;=AX$36,AU12&gt;=AX$40,AT12&lt;&gt;"",AP12=""),AND(BW12&gt;=CA$36,BX12&gt;=CA$40,BW12&lt;&gt;"",BS12=""),AND(CZ12&gt;=DD$36,DA12&gt;=DD$40,CZ12&lt;&gt;"",CV12=""),AND(EE12&gt;=EI$36,EF12&gt;=EI$40,EE12&lt;&gt;""),AND(FG12&gt;=FK$36,FH12&gt;=FK$40,FG12&lt;&gt;""),AND(GI12&gt;=GM$36,GJ12&gt;=GM$40,GI12&lt;&gt;""),AND(HK12&gt;=HO$36,HL12&gt;=HO$40,HK12&lt;&gt;""),AND(IM12&gt;=IQ$36,IN12&gt;=IQ$40,IM12&lt;&gt;""),AND(JO12&gt;=JS$36,JP12&gt;=JS$40,JO12&lt;&gt;""),AND(KQ12&gt;=KU$36,KR12&gt;=KU$40,KQ12&lt;&gt;""),AND(LS12&gt;=LW$36,LT12&gt;=LW$40,LS12&lt;&gt;""),AND(MU12&gt;=MY$36,MV12&gt;=MY$40,MU12&lt;&gt;""),AND(NW12&gt;=OA$36,NX12&gt;=OA$40,NW12&lt;&gt;""),AND(OY12&gt;=PC$36,OZ12&gt;=PC$40,OY12&lt;&gt;""),AND(QA12&gt;=QE$36,QB12&gt;=QE$40,QA12&lt;&gt;"")),"Excellence",IF(F12="P","National Team",""))))</f>
        <v>National Team</v>
      </c>
      <c r="I12" s="14">
        <f>IF(COUNT(AR12,BU12,CX12)&gt;0,LARGE((AR12,BU12,CX12),1),0)</f>
        <v>50.2</v>
      </c>
      <c r="J12" s="14" t="str">
        <f>IF(I12=0,"",IF(I12=CX12,$CB$1,IF(I12=BU12,$AY$1,IF(I12=AR12,$V$1,""))))</f>
        <v>2022 Nationals</v>
      </c>
      <c r="K12" s="14">
        <f>IF(COUNT(AR12,BU12,CX12)&gt;1,LARGE((AR12,BU12,CX12),2),0)</f>
        <v>49.4</v>
      </c>
      <c r="L12" s="14" t="str">
        <f>IF(K12=0,"",IF(K12=CX12,$CB$1,IF(K12=BU12,$AY$1,IF(K12=AR12,$V$1,""))))</f>
        <v>2022 Elite Canada</v>
      </c>
      <c r="M12" s="14">
        <f>IF(COUNT(AS12,BV12,CY12)&gt;0,LARGE((AS12,BV12,CY12),1),0)</f>
        <v>22.4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20.399999999999999</v>
      </c>
      <c r="P12" s="14" t="str">
        <f>IF(O12=0,"",IF(O12=CY12,$CB$1,IF(O12=BV12,$AY$1,IF(O12=AS12,$V$1,""))))</f>
        <v>2022 Nationals</v>
      </c>
      <c r="Q12" s="14">
        <f>IF(MAX(AW12,BZ12,DC12)&gt;0,MAX(AW12,BZ12,DC12),0)</f>
        <v>50.3</v>
      </c>
      <c r="R12" s="14" t="str">
        <f>IF(Q12=0,"",IF(Q12=DC12,$CB$1,IF(Q12=BZ12,$AY$1,IF(Q12=AW12,$V$1,""))))</f>
        <v>2022 Elite Canada</v>
      </c>
      <c r="S12" s="14" t="str">
        <f>IF(MAX(DE12:DG12)&gt;0,MAX(DE12:DG12),"")</f>
        <v/>
      </c>
      <c r="T12" s="19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6">
        <v>19.2</v>
      </c>
      <c r="W12" s="26">
        <v>6</v>
      </c>
      <c r="X12" s="26">
        <v>0.6</v>
      </c>
      <c r="Y12" s="26">
        <v>0</v>
      </c>
      <c r="Z12" s="26">
        <v>19</v>
      </c>
      <c r="AA12" s="26">
        <v>6.4</v>
      </c>
      <c r="AB12" s="26">
        <v>0.6</v>
      </c>
      <c r="AC12" s="26">
        <v>0</v>
      </c>
      <c r="AD12" s="26">
        <v>18.2</v>
      </c>
      <c r="AE12" s="26">
        <v>5.2</v>
      </c>
      <c r="AF12" s="26">
        <v>1</v>
      </c>
      <c r="AG12" s="26">
        <v>0</v>
      </c>
      <c r="AH12" s="26">
        <v>19.2</v>
      </c>
      <c r="AI12" s="26">
        <v>6</v>
      </c>
      <c r="AJ12" s="26">
        <v>0</v>
      </c>
      <c r="AK12" s="26">
        <v>0</v>
      </c>
      <c r="AL12" s="26">
        <v>18.7</v>
      </c>
      <c r="AM12" s="26">
        <v>6.4</v>
      </c>
      <c r="AN12" s="26">
        <v>0</v>
      </c>
      <c r="AO12" s="26">
        <v>0</v>
      </c>
      <c r="AP12" s="44"/>
      <c r="AQ12" s="78">
        <f>IF(SUM(W12,AA12)&gt;0,SUM(W12,AA12),"")</f>
        <v>12.4</v>
      </c>
      <c r="AR12" s="78">
        <f>IF(SUM(V12:W12,Y12:AA12,AC12)-X12-AB12&gt;0,SUM(V12:W12,Y12:AA12,AC12)-X12-AB12,"")</f>
        <v>49.4</v>
      </c>
      <c r="AS12" s="78">
        <f>IF(SUM(AD12:AE12,AG12)-AF12&gt;0,SUM(AD12:AE12,AG12)-AF12,"")</f>
        <v>22.4</v>
      </c>
      <c r="AT12" s="78">
        <f>IF(SUM(W12,AA12,AE12)&gt;0,SUM(W12,AA12,AE12),"")</f>
        <v>17.600000000000001</v>
      </c>
      <c r="AU12" s="78">
        <f>IF(SUM(AR12,AS12)&gt;0,SUM(AR12,AS12),"")</f>
        <v>71.8</v>
      </c>
      <c r="AV12" s="78">
        <f>IF(SUM(AI12,AM12)&gt;0,SUM(AI12,AM12),"")</f>
        <v>12.4</v>
      </c>
      <c r="AW12" s="78">
        <f>IF(SUM(AH12:AI12,AK12:AM12,AO12)-SUM(AJ12,AN12)&gt;0,SUM(AH12:AI12,AK12:AM12,AO12)-SUM(AJ12,AN12),"")</f>
        <v>50.3</v>
      </c>
      <c r="AX12" s="78">
        <f>IF(SUM(AR12,AW12)&gt;0,SUM(AR12,AW12),"")</f>
        <v>99.699999999999989</v>
      </c>
      <c r="AY12" s="25">
        <v>18.5</v>
      </c>
      <c r="AZ12" s="25">
        <v>7.2</v>
      </c>
      <c r="BA12" s="25">
        <v>0</v>
      </c>
      <c r="BB12" s="25">
        <v>0</v>
      </c>
      <c r="BC12" s="25">
        <v>18.5</v>
      </c>
      <c r="BD12" s="25">
        <v>6.8</v>
      </c>
      <c r="BE12" s="25">
        <v>0.8</v>
      </c>
      <c r="BF12" s="25">
        <v>0</v>
      </c>
      <c r="BG12" s="25">
        <v>17.2</v>
      </c>
      <c r="BH12" s="25">
        <v>3.2</v>
      </c>
      <c r="BI12" s="25">
        <v>0</v>
      </c>
      <c r="BJ12" s="25">
        <v>0</v>
      </c>
      <c r="BK12" s="25"/>
      <c r="BL12" s="25"/>
      <c r="BM12" s="25"/>
      <c r="BN12" s="25"/>
      <c r="BO12" s="25"/>
      <c r="BP12" s="25"/>
      <c r="BQ12" s="25"/>
      <c r="BR12" s="25"/>
      <c r="BS12" s="45"/>
      <c r="BT12" s="19">
        <f>IF(SUM(AZ12,BD12)&gt;0,SUM(AZ12,BD12),"")</f>
        <v>14</v>
      </c>
      <c r="BU12" s="19">
        <f>IF(SUM(AY12:AZ12,BB12:BD12,BF12)-BA12-BE12&gt;0,SUM(AY12:AZ12,BB12:BD12,BF12)-BA12-BE12,"")</f>
        <v>50.2</v>
      </c>
      <c r="BV12" s="19">
        <f>IF(SUM(BG12:BH12,BJ12)-BI12&gt;0,SUM(BG12:BH12,BJ12)-BI12,"")</f>
        <v>20.399999999999999</v>
      </c>
      <c r="BW12" s="19">
        <f>IF(SUM(AZ12,BD12,BH12)&gt;0,SUM(AZ12,BD12,BH12),"")</f>
        <v>17.2</v>
      </c>
      <c r="BX12" s="19">
        <f>IF(SUM(BU12,BV12)&gt;0,SUM(BU12,BV12),"")</f>
        <v>70.599999999999994</v>
      </c>
      <c r="BY12" s="19" t="str">
        <f>IF(SUM(BL12,BP12)&gt;0,SUM(BL12,BP12),"")</f>
        <v/>
      </c>
      <c r="BZ12" s="19" t="str">
        <f>IF(SUM(BK12:BL12,BN12:BP12,BR12)-SUM(BM12,BQ12)&gt;0,SUM(BK12:BL12,BN12:BP12,BR12)-SUM(BM12,BQ12),"")</f>
        <v/>
      </c>
      <c r="CA12" s="19">
        <f>IF(SUM(BU12,BZ12)&gt;0,SUM(BU12,BZ12),"")</f>
        <v>50.2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>IF(SUM(CC12,CG12)&gt;0,SUM(CC12,CG12),"")</f>
        <v/>
      </c>
      <c r="CX12" s="78" t="str">
        <f>IF(SUM(CB12:CC12,CE12:CG12,CI12)-CD12-CH12&gt;0,SUM(CB12:CC12,CE12:CG12,CI12)-CD12-CH12,"")</f>
        <v/>
      </c>
      <c r="CY12" s="78" t="str">
        <f>IF(SUM(CJ12:CK12,CM12)-CL12&gt;0,SUM(CJ12:CK12,CM12)-CL12,"")</f>
        <v/>
      </c>
      <c r="CZ12" s="78" t="str">
        <f>IF(SUM(CC12,CG12,CK12)&gt;0,SUM(CC12,CG12,CK12),"")</f>
        <v/>
      </c>
      <c r="DA12" s="78" t="str">
        <f>IF(SUM(CX12,CY12)&gt;0,SUM(CX12,CY12),"")</f>
        <v/>
      </c>
      <c r="DB12" s="78" t="str">
        <f>IF(SUM(CO12,CS12)&gt;0,SUM(CO12,CS12),"")</f>
        <v/>
      </c>
      <c r="DC12" s="78" t="str">
        <f>IF(SUM(CN12:CO12,CQ12:CS12,CU12)-SUM(CP12,CT12)&gt;0,SUM(CN12:CO12,CQ12:CS12,CU12)-SUM(CP12,CT12),"")</f>
        <v/>
      </c>
      <c r="DD12" s="78" t="str">
        <f>IF(SUM(CX12,DC12)&gt;0,SUM(CX12,DC12),"")</f>
        <v/>
      </c>
      <c r="DE12" s="79" t="str">
        <f>IF(K12&gt;=0.001,IF(MAX(EC12,FE12,GG12,HI12,IK12,JM12,KO12,LQ12,MS12,NU12,OW12,PY12)-IF(K12="",0,K12)&gt;0.001,MAX(EC12,FE12,GG12,HI12,IK12,JM12,KO12,LQ12,MS12,NU12,OW12,PY12)-IF(K12="",0,K12),""),"")</f>
        <v/>
      </c>
      <c r="DF12" s="79" t="str">
        <f>IF(O12&gt;=0.001,IF(MAX(ED12,FF12,GH12,HJ12,IL12,JN12,KP12,LR12,MT12,NV12,OX12,PZ12)-IF(O12="",0,O12)&gt;0.001,MAX(ED12,FF12,GH12,HJ12,IL12,JN12,KP12,LR12,MT12,NV12,OX12,PZ12)-IF(O12="",0,O12),""),"")</f>
        <v/>
      </c>
      <c r="DG12" s="79" t="str">
        <f>IF(Q12&gt;=0.001,IF(MAX(EH12,FJ12,GL12,HN12,IP12,JR12,KT12,LV12,MX12,NZ12,PB12,QD12)-IF(Q12="",0,Q12)&gt;0.001,MAX(EH12,FJ12,GL12,HN12,IP12,JR12,KT12,LV12,MX12,NZ12,PB12,QD12)-IF(Q12="",0,Q12),""),"")</f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>IF(SUM(DI12,DM12)&gt;0,SUM(DI12,DM12),"")</f>
        <v/>
      </c>
      <c r="EC12" s="78" t="str">
        <f>IF(SUM(DH12:DI12,DK12:DM12,DO12)-DJ12-DN12&gt;0,SUM(DH12:DI12,DK12:DM12,DO12)-DJ12-DN12,"")</f>
        <v/>
      </c>
      <c r="ED12" s="78" t="str">
        <f>IF(SUM(DP12:DQ12,DS12)-DR12&gt;0,SUM(DP12:DQ12,DS12)-DR12,"")</f>
        <v/>
      </c>
      <c r="EE12" s="78" t="str">
        <f>IF(SUM(DI12,DM12,DQ12)&gt;0,SUM(DI12,DM12,DQ12),"")</f>
        <v/>
      </c>
      <c r="EF12" s="78" t="str">
        <f>IF(SUM(EC12,ED12)&gt;0,SUM(EC12,ED12),"")</f>
        <v/>
      </c>
      <c r="EG12" s="78" t="str">
        <f>IF(SUM(DU12,DY12)&gt;0,SUM(DU12,DY12),"")</f>
        <v/>
      </c>
      <c r="EH12" s="78" t="str">
        <f>IF(SUM(DT12:DU12,DW12:DY12,EA12)-SUM(DV12,DZ12)&gt;0,SUM(DT12:DU12,DW12:DY12,EA12)-SUM(DV12,DZ12),"")</f>
        <v/>
      </c>
      <c r="EI12" s="78" t="str">
        <f>IF(SUM(EC12,EH12)&gt;0,SUM(EC12,EH12),"")</f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>IF(SUM(EK12,EO12)&gt;0,SUM(EK12,EO12),"")</f>
        <v/>
      </c>
      <c r="FE12" s="19" t="str">
        <f>IF(SUM(EJ12:EK12,EM12:EO12,EQ12)-EL12-EP12&gt;0,SUM(EJ12:EK12,EM12:EO12,EQ12)-EL12-EP12,"")</f>
        <v/>
      </c>
      <c r="FF12" s="19" t="str">
        <f>IF(SUM(ER12:ES12,EU12)-ET12&gt;0,SUM(ER12:ES12,EU12)-ET12,"")</f>
        <v/>
      </c>
      <c r="FG12" s="19" t="str">
        <f>IF(SUM(EK12,EO12,ES12)&gt;0,SUM(EK12,EO12,ES12),"")</f>
        <v/>
      </c>
      <c r="FH12" s="19" t="str">
        <f>IF(SUM(FE12,FF12)&gt;0,SUM(FE12,FF12),"")</f>
        <v/>
      </c>
      <c r="FI12" s="19" t="str">
        <f>IF(SUM(EW12,FA12)&gt;0,SUM(EW12,FA12),"")</f>
        <v/>
      </c>
      <c r="FJ12" s="19" t="str">
        <f>IF(SUM(EV12:EW12,EY12:FA12,FC12)-SUM(EX12,FB12)&gt;0,SUM(EV12:EW12,EY12:FA12,FC12)-SUM(EX12,FB12),"")</f>
        <v/>
      </c>
      <c r="FK12" s="19" t="str">
        <f>IF(SUM(FE12,FJ12)&gt;0,SUM(FE12,FJ12),"")</f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>IF(SUM(FM12,FQ12)&gt;0,SUM(FM12,FQ12),"")</f>
        <v/>
      </c>
      <c r="GG12" s="78" t="str">
        <f>IF(SUM(FL12:FM12,FO12:FQ12,FS12)-FN12-FR12&gt;0,SUM(FL12:FM12,FO12:FQ12,FS12)-FN12-FR12,"")</f>
        <v/>
      </c>
      <c r="GH12" s="78" t="str">
        <f>IF(SUM(FT12:FU12,FW12)-FV12&gt;0,SUM(FT12:FU12,FW12)-FV12,"")</f>
        <v/>
      </c>
      <c r="GI12" s="78" t="str">
        <f>IF(SUM(FM12,FQ12,FU12)&gt;0,SUM(FM12,FQ12,FU12),"")</f>
        <v/>
      </c>
      <c r="GJ12" s="78" t="str">
        <f>IF(SUM(GG12,GH12)&gt;0,SUM(GG12,GH12),"")</f>
        <v/>
      </c>
      <c r="GK12" s="78" t="str">
        <f>IF(SUM(FY12,GC12)&gt;0,SUM(FY12,GC12),"")</f>
        <v/>
      </c>
      <c r="GL12" s="78" t="str">
        <f>IF(SUM(FX12:FY12,GA12:GC12,GE12)-SUM(FZ12,GD12)&gt;0,SUM(FX12:FY12,GA12:GC12,GE12)-SUM(FZ12,GD12),"")</f>
        <v/>
      </c>
      <c r="GM12" s="78" t="str">
        <f>IF(SUM(GG12,GL12)&gt;0,SUM(GG12,GL12),"")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>IF(SUM(GO12,GS12)&gt;0,SUM(GO12,GS12),"")</f>
        <v/>
      </c>
      <c r="HI12" s="19" t="str">
        <f>IF(SUM(GN12:GO12,GQ12:GS12,GU12)-GP12-GT12&gt;0,SUM(GN12:GO12,GQ12:GS12,GU12)-GP12-GT12,"")</f>
        <v/>
      </c>
      <c r="HJ12" s="19" t="str">
        <f>IF(SUM(GV12:GW12,GY12)-GX12&gt;0,SUM(GV12:GW12,GY12)-GX12,"")</f>
        <v/>
      </c>
      <c r="HK12" s="19" t="str">
        <f>IF(SUM(GO12,GS12,GW12)&gt;0,SUM(GO12,GS12,GW12),"")</f>
        <v/>
      </c>
      <c r="HL12" s="19" t="str">
        <f>IF(SUM(HI12,HJ12)&gt;0,SUM(HI12,HJ12),"")</f>
        <v/>
      </c>
      <c r="HM12" s="19" t="str">
        <f>IF(SUM(HA12,HE12)&gt;0,SUM(HA12,HE12),"")</f>
        <v/>
      </c>
      <c r="HN12" s="19" t="str">
        <f>IF(SUM(GZ12:HA12,HC12:HE12,HG12)-SUM(HB12,HF12)&gt;0,SUM(GZ12:HA12,HC12:HE12,HG12)-SUM(HB12,HF12),"")</f>
        <v/>
      </c>
      <c r="HO12" s="19" t="str">
        <f>IF(SUM(HI12,HN12)&gt;0,SUM(HI12,HN12),"")</f>
        <v/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>IF(SUM(HQ12,HU12)&gt;0,SUM(HQ12,HU12),"")</f>
        <v/>
      </c>
      <c r="IK12" s="78" t="str">
        <f>IF(SUM(HP12:HQ12,HS12:HU12,HW12)-HR12-HV12&gt;0,SUM(HP12:HQ12,HS12:HU12,HW12)-HR12-HV12,"")</f>
        <v/>
      </c>
      <c r="IL12" s="78" t="str">
        <f>IF(SUM(HX12:HY12,IA12)-HZ12&gt;0,SUM(HX12:HY12,IA12)-HZ12,"")</f>
        <v/>
      </c>
      <c r="IM12" s="78" t="str">
        <f>IF(SUM(HQ12,HU12,HY12)&gt;0,SUM(HQ12,HU12,HY12),"")</f>
        <v/>
      </c>
      <c r="IN12" s="78" t="str">
        <f>IF(SUM(IK12,IL12)&gt;0,SUM(IK12,IL12),"")</f>
        <v/>
      </c>
      <c r="IO12" s="78" t="str">
        <f>IF(SUM(IC12,IG12)&gt;0,SUM(IC12,IG12),"")</f>
        <v/>
      </c>
      <c r="IP12" s="78" t="str">
        <f>IF(SUM(IB12:IC12,IE12:IG12,II12)-SUM(ID12,IH12)&gt;0,SUM(IB12:IC12,IE12:IG12,II12)-SUM(ID12,IH12),"")</f>
        <v/>
      </c>
      <c r="IQ12" s="78" t="str">
        <f>IF(SUM(IK12,IP12)&gt;0,SUM(IK12,IP12),"")</f>
        <v/>
      </c>
      <c r="IR12" s="25">
        <v>18.600000000000001</v>
      </c>
      <c r="IS12" s="25">
        <v>6</v>
      </c>
      <c r="IT12" s="25">
        <v>0.6</v>
      </c>
      <c r="IU12" s="25">
        <v>0</v>
      </c>
      <c r="IV12" s="25">
        <v>18.600000000000001</v>
      </c>
      <c r="IW12" s="25">
        <v>7.2</v>
      </c>
      <c r="IX12" s="25">
        <v>0.6</v>
      </c>
      <c r="IY12" s="25">
        <v>0</v>
      </c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>
        <f>IF(SUM(IS12,IW12)&gt;0,SUM(IS12,IW12),"")</f>
        <v>13.2</v>
      </c>
      <c r="JM12" s="19">
        <f>IF(SUM(IR12:IS12,IU12:IW12,IY12)-IT12-IX12&gt;0,SUM(IR12:IS12,IU12:IW12,IY12)-IT12-IX12,"")</f>
        <v>49.2</v>
      </c>
      <c r="JN12" s="19" t="str">
        <f>IF(SUM(IZ12:JA12,JC12)-JB12&gt;0,SUM(IZ12:JA12,JC12)-JB12,"")</f>
        <v/>
      </c>
      <c r="JO12" s="19">
        <f>IF(SUM(IS12,IW12,JA12)&gt;0,SUM(IS12,IW12,JA12),"")</f>
        <v>13.2</v>
      </c>
      <c r="JP12" s="19">
        <f>IF(SUM(JM12,JN12)&gt;0,SUM(JM12,JN12),"")</f>
        <v>49.2</v>
      </c>
      <c r="JQ12" s="19" t="str">
        <f>IF(SUM(JE12,JI12)&gt;0,SUM(JE12,JI12),"")</f>
        <v/>
      </c>
      <c r="JR12" s="19" t="str">
        <f>IF(SUM(JD12:JE12,JG12:JI12,JK12)-SUM(JF12,JJ12)&gt;0,SUM(JD12:JE12,JG12:JI12,JK12)-SUM(JF12,JJ12),"")</f>
        <v/>
      </c>
      <c r="JS12" s="19">
        <f>IF(SUM(JM12,JR12)&gt;0,SUM(JM12,JR12),"")</f>
        <v>49.2</v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>IF(SUM(JU12,JY12)&gt;0,SUM(JU12,JY12),"")</f>
        <v/>
      </c>
      <c r="KO12" s="78" t="str">
        <f>IF(SUM(JT12:JU12,JW12:JY12,KA12)-JV12-JZ12&gt;0,SUM(JT12:JU12,JW12:JY12,KA12)-JV12-JZ12,"")</f>
        <v/>
      </c>
      <c r="KP12" s="78" t="str">
        <f>IF(SUM(KB12:KC12,KE12)-KD12&gt;0,SUM(KB12:KC12,KE12)-KD12,"")</f>
        <v/>
      </c>
      <c r="KQ12" s="78" t="str">
        <f>IF(SUM(JU12,JY12,KC12)&gt;0,SUM(JU12,JY12,KC12),"")</f>
        <v/>
      </c>
      <c r="KR12" s="78" t="str">
        <f>IF(SUM(KO12,KP12)&gt;0,SUM(KO12,KP12),"")</f>
        <v/>
      </c>
      <c r="KS12" s="78" t="str">
        <f>IF(SUM(KG12,KK12)&gt;0,SUM(KG12,KK12),"")</f>
        <v/>
      </c>
      <c r="KT12" s="78" t="str">
        <f>IF(SUM(KF12:KG12,KI12:KK12,KM12)-SUM(KH12,KL12)&gt;0,SUM(KF12:KG12,KI12:KK12,KM12)-SUM(KH12,KL12),"")</f>
        <v/>
      </c>
      <c r="KU12" s="78" t="str">
        <f>IF(SUM(KO12,KT12)&gt;0,SUM(KO12,KT12),"")</f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>IF(SUM(KW12,LA12)&gt;0,SUM(KW12,LA12),"")</f>
        <v/>
      </c>
      <c r="LQ12" s="19" t="str">
        <f>IF(SUM(KV12:KW12,KY12:LA12,LC12)-KX12-LB12&gt;0,SUM(KV12:KW12,KY12:LA12,LC12)-KX12-LB12,"")</f>
        <v/>
      </c>
      <c r="LR12" s="19" t="str">
        <f>IF(SUM(LD12:LE12,LG12)-LF12&gt;0,SUM(LD12:LE12,LG12)-LF12,"")</f>
        <v/>
      </c>
      <c r="LS12" s="19" t="str">
        <f>IF(SUM(KW12,LA12,LE12)&gt;0,SUM(KW12,LA12,LE12),"")</f>
        <v/>
      </c>
      <c r="LT12" s="19" t="str">
        <f>IF(SUM(LQ12,LR12)&gt;0,SUM(LQ12,LR12),"")</f>
        <v/>
      </c>
      <c r="LU12" s="19" t="str">
        <f>IF(SUM(LI12,LM12)&gt;0,SUM(LI12,LM12),"")</f>
        <v/>
      </c>
      <c r="LV12" s="19" t="str">
        <f>IF(SUM(LH12:LI12,LK12:LM12,LO12)-SUM(LJ12,LN12)&gt;0,SUM(LH12:LI12,LK12:LM12,LO12)-SUM(LJ12,LN12),"")</f>
        <v/>
      </c>
      <c r="LW12" s="19" t="str">
        <f>IF(SUM(LQ12,LV12)&gt;0,SUM(LQ12,LV12),"")</f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>IF(SUM(LY12,MC12)&gt;0,SUM(LY12,MC12),"")</f>
        <v/>
      </c>
      <c r="MS12" s="78" t="str">
        <f>IF(SUM(LX12:LY12,MA12:MC12,ME12)-LZ12-MD12&gt;0,SUM(LX12:LY12,MA12:MC12,ME12)-LZ12-MD12,"")</f>
        <v/>
      </c>
      <c r="MT12" s="78" t="str">
        <f>IF(SUM(MF12:MG12,MI12)-MH12&gt;0,SUM(MF12:MG12,MI12)-MH12,"")</f>
        <v/>
      </c>
      <c r="MU12" s="78" t="str">
        <f>IF(SUM(LY12,MC12,MG12)&gt;0,SUM(LY12,MC12,MG12),"")</f>
        <v/>
      </c>
      <c r="MV12" s="78" t="str">
        <f>IF(SUM(MS12,MT12)&gt;0,SUM(MS12,MT12),"")</f>
        <v/>
      </c>
      <c r="MW12" s="78" t="str">
        <f>IF(SUM(MK12,MO12)&gt;0,SUM(MK12,MO12),"")</f>
        <v/>
      </c>
      <c r="MX12" s="78" t="str">
        <f>IF(SUM(MJ12:MK12,MM12:MO12,MQ12)-SUM(ML12,MP12)&gt;0,SUM(MJ12:MK12,MM12:MO12,MQ12)-SUM(ML12,MP12),"")</f>
        <v/>
      </c>
      <c r="MY12" s="78" t="str">
        <f>IF(SUM(MS12,MX12)&gt;0,SUM(MS12,MX12),"")</f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>IF(SUM(NA12,NE12)&gt;0,SUM(NA12,NE12),"")</f>
        <v/>
      </c>
      <c r="NU12" s="19" t="str">
        <f>IF(SUM(MZ12:NA12,NC12:NE12,NG12)-NB12-NF12&gt;0,SUM(MZ12:NA12,NC12:NE12,NG12)-NB12-NF12,"")</f>
        <v/>
      </c>
      <c r="NV12" s="19" t="str">
        <f>IF(SUM(NH12:NI12,NK12)-NJ12&gt;0,SUM(NH12:NI12,NK12)-NJ12,"")</f>
        <v/>
      </c>
      <c r="NW12" s="19" t="str">
        <f>IF(SUM(NA12,NE12,NI12)&gt;0,SUM(NA12,NE12,NI12),"")</f>
        <v/>
      </c>
      <c r="NX12" s="19" t="str">
        <f>IF(SUM(NU12,NV12)&gt;0,SUM(NU12,NV12),"")</f>
        <v/>
      </c>
      <c r="NY12" s="19" t="str">
        <f>IF(SUM(NM12,NQ12)&gt;0,SUM(NM12,NQ12),"")</f>
        <v/>
      </c>
      <c r="NZ12" s="19" t="str">
        <f>IF(SUM(NL12:NM12,NO12:NQ12,NS12)-SUM(NN12,NR12)&gt;0,SUM(NL12:NM12,NO12:NQ12,NS12)-SUM(NN12,NR12),"")</f>
        <v/>
      </c>
      <c r="OA12" s="19" t="str">
        <f>IF(SUM(NU12,NZ12)&gt;0,SUM(NU12,NZ12),"")</f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>IF(SUM(OC12,OG12)&gt;0,SUM(OC12,OG12),"")</f>
        <v/>
      </c>
      <c r="OW12" s="78" t="str">
        <f>IF(SUM(OB12:OC12,OE12:OG12,OI12)-OD12-OH12&gt;0,SUM(OB12:OC12,OE12:OG12,OI12)-OD12-OH12,"")</f>
        <v/>
      </c>
      <c r="OX12" s="78" t="str">
        <f>IF(SUM(OJ12:OK12,OM12)-OL12&gt;0,SUM(OJ12:OK12,OM12)-OL12,"")</f>
        <v/>
      </c>
      <c r="OY12" s="78" t="str">
        <f>IF(SUM(OC12,OG12,OK12)&gt;0,SUM(OC12,OG12,OK12),"")</f>
        <v/>
      </c>
      <c r="OZ12" s="78" t="str">
        <f>IF(SUM(OW12,OX12)&gt;0,SUM(OW12,OX12),"")</f>
        <v/>
      </c>
      <c r="PA12" s="78" t="str">
        <f>IF(SUM(OO12,OS12)&gt;0,SUM(OO12,OS12),"")</f>
        <v/>
      </c>
      <c r="PB12" s="78" t="str">
        <f>IF(SUM(ON12:OO12,OQ12:OS12,OU12)-SUM(OP12,OT12)&gt;0,SUM(ON12:OO12,OQ12:OS12,OU12)-SUM(OP12,OT12),"")</f>
        <v/>
      </c>
      <c r="PC12" s="78" t="str">
        <f>IF(SUM(OW12,PB12)&gt;0,SUM(OW12,PB12),"")</f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>IF(SUM(PE12,PI12)&gt;0,SUM(PE12,PI12),"")</f>
        <v/>
      </c>
      <c r="PY12" s="19" t="str">
        <f>IF(SUM(PD12:PE12,PG12:PI12,PK12)-PF12-PJ12&gt;0,SUM(PD12:PE12,PG12:PI12,PK12)-PF12-PJ12,"")</f>
        <v/>
      </c>
      <c r="PZ12" s="19" t="str">
        <f>IF(SUM(PL12:PM12,PO12)-PN12&gt;0,SUM(PL12:PM12,PO12)-PN12,"")</f>
        <v/>
      </c>
      <c r="QA12" s="19" t="str">
        <f>IF(SUM(PE12,PI12,PM12)&gt;0,SUM(PE12,PI12,PM12),"")</f>
        <v/>
      </c>
      <c r="QB12" s="19" t="str">
        <f>IF(SUM(PY12,PZ12)&gt;0,SUM(PY12,PZ12),"")</f>
        <v/>
      </c>
      <c r="QC12" s="19" t="str">
        <f>IF(SUM(PQ12,PU12)&gt;0,SUM(PQ12,PU12),"")</f>
        <v/>
      </c>
      <c r="QD12" s="19" t="str">
        <f>IF(SUM(PP12:PQ12,PS12:PU12,PW12)-SUM(PR12,PV12)&gt;0,SUM(PP12:PQ12,PS12:PU12,PW12)-SUM(PR12,PV12),"")</f>
        <v/>
      </c>
      <c r="QE12" s="19" t="str">
        <f>IF(SUM(PY12,QD12)&gt;0,SUM(PY12,QD12),"")</f>
        <v/>
      </c>
      <c r="QF12" s="37">
        <f>IF($CV12="P",CB12,(CB12+AY12)/2)</f>
        <v>9.25</v>
      </c>
      <c r="QG12" s="37">
        <f>IF($CV12="P",CC12,(CC12+AZ12)/2)</f>
        <v>3.6</v>
      </c>
      <c r="QH12" s="37">
        <f>IF($CV12="P",CD12,(CD12+BA12)/2)</f>
        <v>0</v>
      </c>
      <c r="QI12" s="37">
        <f>IF($CV12="P",CE12,(CE12+BB12)/2)</f>
        <v>0</v>
      </c>
      <c r="QJ12" s="37">
        <f>IF($CV12="P",CF12,(CF12+BC12)/2)</f>
        <v>9.25</v>
      </c>
      <c r="QK12" s="37">
        <f>IF($CV12="P",CG12,(CG12+BD12)/2)</f>
        <v>3.4</v>
      </c>
      <c r="QL12" s="37">
        <f>IF($CV12="P",CH12,(CH12+BE12)/2)</f>
        <v>0.4</v>
      </c>
      <c r="QM12" s="37">
        <f>IF($CV12="P",CI12,(CI12+BF12)/2)</f>
        <v>0</v>
      </c>
      <c r="QN12" s="37">
        <f>IF($CV12="P",CJ12,(CJ12+BG12)/2)</f>
        <v>8.6</v>
      </c>
      <c r="QO12" s="37">
        <f>IF($CV12="P",CK12,(CK12+BH12)/2)</f>
        <v>1.6</v>
      </c>
      <c r="QP12" s="37">
        <f>IF($CV12="P",CL12,(CL12+BI12)/2)</f>
        <v>0</v>
      </c>
      <c r="QQ12" s="37">
        <f>IF($CV12="P",CM12,(CM12+BJ12)/2)</f>
        <v>0</v>
      </c>
      <c r="QR12" s="37">
        <f>IF($CV12="P",CN12,(CN12+BK12)/2)</f>
        <v>0</v>
      </c>
      <c r="QS12" s="37">
        <f>IF($CV12="P",CO12,(CO12+BL12)/2)</f>
        <v>0</v>
      </c>
      <c r="QT12" s="37">
        <f>IF($CV12="P",CP12,(CP12+BM12)/2)</f>
        <v>0</v>
      </c>
      <c r="QU12" s="37">
        <f>IF($CV12="P",CQ12,(CQ12+BN12)/2)</f>
        <v>0</v>
      </c>
      <c r="QV12" s="37">
        <f>IF($CV12="P",CR12,(CR12+BO12)/2)</f>
        <v>0</v>
      </c>
      <c r="QW12" s="37">
        <f>IF($CV12="P",CS12,(CS12+BP12)/2)</f>
        <v>0</v>
      </c>
      <c r="QX12" s="37">
        <f>IF($CV12="P",CT12,(CT12+BQ12)/2)</f>
        <v>0</v>
      </c>
      <c r="QY12" s="37">
        <f>IF($CV12="P",CU12,(CU12+BR12)/2)</f>
        <v>0</v>
      </c>
      <c r="QZ12" s="44" t="s">
        <v>46</v>
      </c>
      <c r="RA12" s="78">
        <f>IF(SUM(QG12,QK12)&gt;0,SUM(QG12,QK12),"")</f>
        <v>7</v>
      </c>
      <c r="RB12" s="78">
        <f>IF(SUM(QF12:QG12,QI12:QK12,QM12)-QH12-QL12&gt;0,SUM(QF12:QG12,QI12:QK12,QM12)-QH12-QL12,"")</f>
        <v>25.1</v>
      </c>
      <c r="RC12" s="78">
        <f>IF(SUM(QN12:QO12,QQ12)-QP12&gt;0,SUM(QN12:QO12,QQ12)-QP12,"")</f>
        <v>10.199999999999999</v>
      </c>
      <c r="RD12" s="78">
        <f>IF(SUM(QG12,QK12,QO12)&gt;0,SUM(QG12,QK12,QO12),"")</f>
        <v>8.6</v>
      </c>
      <c r="RE12" s="78">
        <f>IF(SUM(RB12,RC12)&gt;0,SUM(RB12,RC12),"")</f>
        <v>35.299999999999997</v>
      </c>
      <c r="RF12" s="78" t="str">
        <f>IF(SUM(QS12,QW12)&gt;0,SUM(QS12,QW12),"")</f>
        <v/>
      </c>
      <c r="RG12" s="78" t="str">
        <f>IF(SUM(QR12:QS12,QU12:QW12,QY12)-SUM(QT12,QX12)&gt;0,SUM(QR12:QS12,QU12:QW12,QY12)-SUM(QT12,QX12),"")</f>
        <v/>
      </c>
      <c r="RH12" s="78">
        <f>IF(SUM(RB12,RG12)&gt;0,SUM(RB12,RG12),"")</f>
        <v>25.1</v>
      </c>
    </row>
    <row r="13" spans="1:476" x14ac:dyDescent="0.2">
      <c r="A13" s="5">
        <f>IF(AND(F13="P",G13="P"),SUMPRODUCT((F$4:F$32="P")*(G$4:G$32="P")*(E$4:E$32&gt;E13))+1,IF(G13="P",SUMPRODUCT((F$4:F$32="")*(G$4:G$32="P")*(E$4:E$32&gt;E13))+1+SUMPRODUCT((F$4:F$32="P")*(G$4:G$32="P")),""))</f>
        <v>10</v>
      </c>
      <c r="B13" s="77" t="s">
        <v>96</v>
      </c>
      <c r="C13" s="5" t="s">
        <v>95</v>
      </c>
      <c r="D13" s="5">
        <v>2001</v>
      </c>
      <c r="E13" s="15">
        <f>SUM(I13:S13)+SUM(I13:O13)*0.0000001+SUM(I13)*0.0000000000001</f>
        <v>188.10001394000508</v>
      </c>
      <c r="F13" s="3" t="str">
        <f>IF(OR(AND(AQ13&gt;=AX$34,AR13&gt;=AX$38,AQ13&lt;&gt;"",AP13=""),AND(AV13&gt;=AX$34,AW13&gt;=AX$38,AV13&lt;&gt;"",AP13=""),AND(BT13&gt;=CA$34,BU13&gt;=CA$38,BT13&lt;&gt;"",BS13=""),AND(BY13&gt;=CA$34,BZ13&gt;=CA$38,BY13&lt;&gt;"",BS13=""),AND(CW13&gt;=DD$34,CX13&gt;=DD$38,CW13&lt;&gt;"",CV13=""),AND(DB13&gt;=DD$34,DC13&gt;=DD$38,DB13&lt;&gt;""),AND(EB13&gt;=EI$34,EC13&gt;=EI$38,EB13&lt;&gt;""),AND(EG13&gt;=EI$34,EH13&gt;=EI$38,EG13&lt;&gt;""),AND(FD13&gt;=FK$34,FE13&gt;=FK$38,FD13&lt;&gt;""),AND(FI13&gt;=FK$34,FJ13&gt;=FK$38,FI13&lt;&gt;""),AND(GF13&gt;=GM$34,GG13&gt;=GM$38,GF13&lt;&gt;""),AND(GK13&gt;=GM$34,GL13&gt;=GM$38,GK13&lt;&gt;""),AND(HH13&gt;=HO$34,HI13&gt;=HO$38,HH13&lt;&gt;""),AND(HM13&gt;=HO$34,HN13&gt;=HO$38,HM13&lt;&gt;""),AND(IJ13&gt;=IQ$34,IK13&gt;=IQ$38,IJ13&lt;&gt;""),AND(IO13&gt;=IQ$34,IP13&gt;=IQ$38,IO13&lt;&gt;""),AND(JL13&gt;=JS$34,JM13&gt;=JS$38,JL13&lt;&gt;""),AND(JQ13&gt;=JS$34,JR13&gt;=JS$38,JQ13&lt;&gt;""),AND(KN13&gt;=KU$34,KO13&gt;=KU$38,KN13&lt;&gt;""),AND(KS13&gt;=KU$34,KT13&gt;=KU$38,KS13&lt;&gt;""),AND(LP13&gt;=LW$34,LQ13&gt;=LW$38,LP13&lt;&gt;""),AND(LU13&gt;=LW$34,LV13&gt;=LW$38,LU13&lt;&gt;""),AND(MR13&gt;=MY$34,MS13&gt;=MY$38,MR13&lt;&gt;""),AND(MW13&gt;=MY$34,MX13&gt;=MY$38,MW13&lt;&gt;""),AND(NT13&gt;=OA$34,NU13&gt;=OA$38,NT13&lt;&gt;""),AND(NY13&gt;=OA$34,NZ13&gt;=OA$38,NY13&lt;&gt;""),AND(OV13&gt;=PC$34,OW13&gt;=PC$38,OV13&lt;&gt;""),AND(PA13&gt;=PC$34,PB13&gt;=PC$38,PA13&lt;&gt;""),AND(PX13&gt;=QE$34,PY13&gt;=QE$38,PX13&lt;&gt;""),AND(QC13&gt;=QE$34,QD13&gt;=QE$38,QC13&lt;&gt;"")),"P","")</f>
        <v>P</v>
      </c>
      <c r="G13" s="3" t="str">
        <f>IF(OR(AND(AR13&gt;=AX$38,AR13&lt;&gt;"",AP13=""),AND(AW13&gt;=AX$38,AW13&lt;&gt;"",AP13=""),AND(BU13&gt;=CA$38,BU13&lt;&gt;"",BS13=""),AND(BZ13&gt;=CA$38,BZ13&lt;&gt;"",BS13=""),AND(CX13&gt;=DD$38,CX13&lt;&gt;"",CV13=""),AND(DC13&gt;=DD$38,DC13&lt;&gt;"",CV13=""),AND(EC13&gt;=EI$38,EC13&lt;&gt;""),AND(EH13&gt;=EI$38,EH13&lt;&gt;""),AND(FE13&gt;=FK$38,FE13&lt;&gt;""),AND(FJ13&gt;=FK$38,FJ13&lt;&gt;""),AND(GG13&gt;=GM$38,GG13&lt;&gt;""),AND(GL13&gt;=GM$38,GL13&lt;&gt;""),AND(HI13&gt;=HO$38,HI13&lt;&gt;""),AND(HN13&gt;=HO$38,HN13&lt;&gt;""),AND(IK13&gt;=IQ$38,IK13&lt;&gt;""),AND(IP13&gt;=IQ$38,IP13&lt;&gt;""),AND(JM13&gt;=JS$38,JM13&lt;&gt;""),AND(JR13&gt;=JS$38,JR13&lt;&gt;""),AND(KO13&gt;=KU$38,KO13&lt;&gt;""),AND(KT13&gt;=KU$38,KT13&lt;&gt;""),AND(LQ13&gt;=LW$38,LQ13&lt;&gt;""),AND(LV13&gt;=LW$38,LV13&lt;&gt;""),AND(MS13&gt;=MY$38,MS13&lt;&gt;""),AND(MX13&gt;=MY$38,MX13&lt;&gt;""),AND(NU13&gt;=OA$38,NU13&lt;&gt;""),AND(NZ13&gt;=OA$38,NZ13&lt;&gt;""),AND(OW13&gt;=PC$38,OW13&lt;&gt;""),AND(PB13&gt;=PC$38,PB13&lt;&gt;""),AND(PY13&gt;=QE$38,PY13&lt;&gt;""),AND(QD13&gt;=QE$38,QD13&lt;&gt;"")),"P","")</f>
        <v>P</v>
      </c>
      <c r="H13" s="66" t="str">
        <f>IF(AND(G13="P",F13=""),"No DD",IF(OR(AND(AT13&gt;=AX$37,AU13&gt;=AX$41,AT13&lt;&gt;"",AP13=""),AND(BW13&gt;=CA$37,BX13&gt;=CA$41,BW13&lt;&gt;"",BS13=""),AND(CZ13&gt;=DD$37,DA13&gt;=DD$41,CZ13&lt;&gt;"",CV13=""),AND(EE13&gt;=EI$37,EF13&gt;=EI$41,EE13&lt;&gt;""),AND(FG13&gt;=FK$37,FH13&gt;=FK$41,FG13&lt;&gt;""),AND(GI13&gt;=GM$37,GJ13&gt;=GM$41,GI13&lt;&gt;""),AND(HK13&gt;=HO$37,HL13&gt;=HO$41,HK13&lt;&gt;""),AND(IM13&gt;=IQ$37,IN13&gt;=IQ$41,IM13&lt;&gt;""),AND(JO13&gt;=JS$37,JP13&gt;=JS$41,JO13&lt;&gt;""),AND(KQ13&gt;=KU$37,KR13&gt;=KU$41,KQ13&lt;&gt;""),AND(LS13&gt;=LW$37,LT13&gt;=LW$41,LS13&lt;&gt;""),AND(MU13&gt;=MY$37,MV13&gt;=MY$41,MU13&lt;&gt;""),AND(NW13&gt;=OA$37,NX13&gt;=OA$41,NW13&lt;&gt;""),AND(OY13&gt;=PC$37,OZ13&gt;=PC$41,OY13&lt;&gt;""),AND(QA13&gt;=QE$37,QB13&gt;=QE$41,QA13&lt;&gt;"")),"Merit",IF(OR(AND(AT13&gt;=AX$36,AU13&gt;=AX$40,AT13&lt;&gt;"",AP13=""),AND(BW13&gt;=CA$36,BX13&gt;=CA$40,BW13&lt;&gt;"",BS13=""),AND(CZ13&gt;=DD$36,DA13&gt;=DD$40,CZ13&lt;&gt;"",CV13=""),AND(EE13&gt;=EI$36,EF13&gt;=EI$40,EE13&lt;&gt;""),AND(FG13&gt;=FK$36,FH13&gt;=FK$40,FG13&lt;&gt;""),AND(GI13&gt;=GM$36,GJ13&gt;=GM$40,GI13&lt;&gt;""),AND(HK13&gt;=HO$36,HL13&gt;=HO$40,HK13&lt;&gt;""),AND(IM13&gt;=IQ$36,IN13&gt;=IQ$40,IM13&lt;&gt;""),AND(JO13&gt;=JS$36,JP13&gt;=JS$40,JO13&lt;&gt;""),AND(KQ13&gt;=KU$36,KR13&gt;=KU$40,KQ13&lt;&gt;""),AND(LS13&gt;=LW$36,LT13&gt;=LW$40,LS13&lt;&gt;""),AND(MU13&gt;=MY$36,MV13&gt;=MY$40,MU13&lt;&gt;""),AND(NW13&gt;=OA$36,NX13&gt;=OA$40,NW13&lt;&gt;""),AND(OY13&gt;=PC$36,OZ13&gt;=PC$40,OY13&lt;&gt;""),AND(QA13&gt;=QE$36,QB13&gt;=QE$40,QA13&lt;&gt;"")),"Excellence",IF(F13="P","National Team",""))))</f>
        <v>National Team</v>
      </c>
      <c r="I13" s="14">
        <f>IF(COUNT(AR13,BU13,CX13)&gt;0,LARGE((AR13,BU13,CX13),1),0)</f>
        <v>50.7</v>
      </c>
      <c r="J13" s="14" t="str">
        <f>IF(I13=0,"",IF(I13=CX13,$CB$1,IF(I13=BU13,$AY$1,IF(I13=AR13,$V$1,""))))</f>
        <v>2022 Nationals</v>
      </c>
      <c r="K13" s="14">
        <f>IF(COUNT(AR13,BU13,CX13)&gt;1,LARGE((AR13,BU13,CX13),2),0)</f>
        <v>43</v>
      </c>
      <c r="L13" s="14" t="str">
        <f>IF(K13=0,"",IF(K13=CX13,$CB$1,IF(K13=BU13,$AY$1,IF(K13=AR13,$V$1,""))))</f>
        <v>2022 Elite Canada</v>
      </c>
      <c r="M13" s="14">
        <f>IF(COUNT(AS13,BV13,CY13)&gt;0,LARGE((AS13,BV13,CY13),1),0)</f>
        <v>24.3</v>
      </c>
      <c r="N13" s="14" t="str">
        <f>IF(M13=0,"",IF(M13=CY13,$CB$1,IF(M13=BV13,$AY$1,IF(M13=AS13,$V$1,""))))</f>
        <v>2022 Elite Canada</v>
      </c>
      <c r="O13" s="14">
        <f>IF(COUNT(AS13,BV13,CY13)&gt;1,LARGE((AS13,BV13,CY13),2),0)</f>
        <v>21.400000000000002</v>
      </c>
      <c r="P13" s="14" t="str">
        <f>IF(O13=0,"",IF(O13=CY13,$CB$1,IF(O13=BV13,$AY$1,IF(O13=AS13,$V$1,""))))</f>
        <v>2022 Nationals</v>
      </c>
      <c r="Q13" s="14">
        <f>IF(MAX(AW13,BZ13,DC13)&gt;0,MAX(AW13,BZ13,DC13),0)</f>
        <v>48.7</v>
      </c>
      <c r="R13" s="14" t="str">
        <f>IF(Q13=0,"",IF(Q13=DC13,$CB$1,IF(Q13=BZ13,$AY$1,IF(Q13=AW13,$V$1,""))))</f>
        <v>2022 Elite Canada</v>
      </c>
      <c r="S13" s="14" t="str">
        <f>IF(MAX(DE13:DG13)&gt;0,MAX(DE13:DG13),"")</f>
        <v/>
      </c>
      <c r="T13" s="19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6">
        <v>17.2</v>
      </c>
      <c r="W13" s="26">
        <v>2.4</v>
      </c>
      <c r="X13" s="26">
        <v>0</v>
      </c>
      <c r="Y13" s="26">
        <v>0</v>
      </c>
      <c r="Z13" s="26">
        <v>18.399999999999999</v>
      </c>
      <c r="AA13" s="26">
        <v>5.6</v>
      </c>
      <c r="AB13" s="26">
        <v>0.6</v>
      </c>
      <c r="AC13" s="26">
        <v>0</v>
      </c>
      <c r="AD13" s="26">
        <v>18.5</v>
      </c>
      <c r="AE13" s="26">
        <v>6</v>
      </c>
      <c r="AF13" s="26">
        <v>0.2</v>
      </c>
      <c r="AG13" s="26">
        <v>0</v>
      </c>
      <c r="AH13" s="26">
        <v>18.399999999999999</v>
      </c>
      <c r="AI13" s="26">
        <v>6</v>
      </c>
      <c r="AJ13" s="26">
        <v>0.6</v>
      </c>
      <c r="AK13" s="26">
        <v>0</v>
      </c>
      <c r="AL13" s="26">
        <v>18.3</v>
      </c>
      <c r="AM13" s="26">
        <v>6.8</v>
      </c>
      <c r="AN13" s="26">
        <v>0.2</v>
      </c>
      <c r="AO13" s="26">
        <v>0</v>
      </c>
      <c r="AP13" s="44"/>
      <c r="AQ13" s="78">
        <f>IF(SUM(W13,AA13)&gt;0,SUM(W13,AA13),"")</f>
        <v>8</v>
      </c>
      <c r="AR13" s="78">
        <f>IF(SUM(V13:W13,Y13:AA13,AC13)-X13-AB13&gt;0,SUM(V13:W13,Y13:AA13,AC13)-X13-AB13,"")</f>
        <v>43</v>
      </c>
      <c r="AS13" s="78">
        <f>IF(SUM(AD13:AE13,AG13)-AF13&gt;0,SUM(AD13:AE13,AG13)-AF13,"")</f>
        <v>24.3</v>
      </c>
      <c r="AT13" s="78">
        <f>IF(SUM(W13,AA13,AE13)&gt;0,SUM(W13,AA13,AE13),"")</f>
        <v>14</v>
      </c>
      <c r="AU13" s="78">
        <f>IF(SUM(AR13,AS13)&gt;0,SUM(AR13,AS13),"")</f>
        <v>67.3</v>
      </c>
      <c r="AV13" s="78">
        <f>IF(SUM(AI13,AM13)&gt;0,SUM(AI13,AM13),"")</f>
        <v>12.8</v>
      </c>
      <c r="AW13" s="78">
        <f>IF(SUM(AH13:AI13,AK13:AM13,AO13)-SUM(AJ13,AN13)&gt;0,SUM(AH13:AI13,AK13:AM13,AO13)-SUM(AJ13,AN13),"")</f>
        <v>48.7</v>
      </c>
      <c r="AX13" s="78">
        <f>IF(SUM(AR13,AW13)&gt;0,SUM(AR13,AW13),"")</f>
        <v>91.7</v>
      </c>
      <c r="AY13" s="25">
        <v>19.100000000000001</v>
      </c>
      <c r="AZ13" s="25">
        <v>6.8</v>
      </c>
      <c r="BA13" s="25">
        <v>0.6</v>
      </c>
      <c r="BB13" s="25">
        <v>0</v>
      </c>
      <c r="BC13" s="25">
        <v>19</v>
      </c>
      <c r="BD13" s="25">
        <v>6.4</v>
      </c>
      <c r="BE13" s="25">
        <v>0</v>
      </c>
      <c r="BF13" s="25">
        <v>0</v>
      </c>
      <c r="BG13" s="25">
        <v>17.100000000000001</v>
      </c>
      <c r="BH13" s="25">
        <v>5.2</v>
      </c>
      <c r="BI13" s="25">
        <v>0.9</v>
      </c>
      <c r="BJ13" s="25">
        <v>0</v>
      </c>
      <c r="BK13" s="25">
        <v>0</v>
      </c>
      <c r="BL13" s="25">
        <v>0</v>
      </c>
      <c r="BM13" s="25">
        <v>0</v>
      </c>
      <c r="BN13" s="25">
        <v>0</v>
      </c>
      <c r="BO13" s="25">
        <v>16.5</v>
      </c>
      <c r="BP13" s="25">
        <v>6</v>
      </c>
      <c r="BQ13" s="25">
        <v>1</v>
      </c>
      <c r="BR13" s="25">
        <v>0</v>
      </c>
      <c r="BS13" s="45"/>
      <c r="BT13" s="19">
        <f>IF(SUM(AZ13,BD13)&gt;0,SUM(AZ13,BD13),"")</f>
        <v>13.2</v>
      </c>
      <c r="BU13" s="19">
        <f>IF(SUM(AY13:AZ13,BB13:BD13,BF13)-BA13-BE13&gt;0,SUM(AY13:AZ13,BB13:BD13,BF13)-BA13-BE13,"")</f>
        <v>50.7</v>
      </c>
      <c r="BV13" s="19">
        <f>IF(SUM(BG13:BH13,BJ13)-BI13&gt;0,SUM(BG13:BH13,BJ13)-BI13,"")</f>
        <v>21.400000000000002</v>
      </c>
      <c r="BW13" s="19">
        <f>IF(SUM(AZ13,BD13,BH13)&gt;0,SUM(AZ13,BD13,BH13),"")</f>
        <v>18.399999999999999</v>
      </c>
      <c r="BX13" s="19">
        <f>IF(SUM(BU13,BV13)&gt;0,SUM(BU13,BV13),"")</f>
        <v>72.100000000000009</v>
      </c>
      <c r="BY13" s="19">
        <f>IF(SUM(BL13,BP13)&gt;0,SUM(BL13,BP13),"")</f>
        <v>6</v>
      </c>
      <c r="BZ13" s="19">
        <f>IF(SUM(BK13:BL13,BN13:BP13,BR13)-SUM(BM13,BQ13)&gt;0,SUM(BK13:BL13,BN13:BP13,BR13)-SUM(BM13,BQ13),"")</f>
        <v>21.5</v>
      </c>
      <c r="CA13" s="19">
        <f>IF(SUM(BU13,BZ13)&gt;0,SUM(BU13,BZ13),"")</f>
        <v>72.2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>IF(SUM(CC13,CG13)&gt;0,SUM(CC13,CG13),"")</f>
        <v/>
      </c>
      <c r="CX13" s="78" t="str">
        <f>IF(SUM(CB13:CC13,CE13:CG13,CI13)-CD13-CH13&gt;0,SUM(CB13:CC13,CE13:CG13,CI13)-CD13-CH13,"")</f>
        <v/>
      </c>
      <c r="CY13" s="78" t="str">
        <f>IF(SUM(CJ13:CK13,CM13)-CL13&gt;0,SUM(CJ13:CK13,CM13)-CL13,"")</f>
        <v/>
      </c>
      <c r="CZ13" s="78" t="str">
        <f>IF(SUM(CC13,CG13,CK13)&gt;0,SUM(CC13,CG13,CK13),"")</f>
        <v/>
      </c>
      <c r="DA13" s="78" t="str">
        <f>IF(SUM(CX13,CY13)&gt;0,SUM(CX13,CY13),"")</f>
        <v/>
      </c>
      <c r="DB13" s="78" t="str">
        <f>IF(SUM(CO13,CS13)&gt;0,SUM(CO13,CS13),"")</f>
        <v/>
      </c>
      <c r="DC13" s="78" t="str">
        <f>IF(SUM(CN13:CO13,CQ13:CS13,CU13)-SUM(CP13,CT13)&gt;0,SUM(CN13:CO13,CQ13:CS13,CU13)-SUM(CP13,CT13),"")</f>
        <v/>
      </c>
      <c r="DD13" s="78" t="str">
        <f>IF(SUM(CX13,DC13)&gt;0,SUM(CX13,DC13),"")</f>
        <v/>
      </c>
      <c r="DE13" s="79" t="str">
        <f>IF(K13&gt;=0.001,IF(MAX(EC13,FE13,GG13,HI13,IK13,JM13,KO13,LQ13,MS13,NU13,OW13,PY13)-IF(K13="",0,K13)&gt;0.001,MAX(EC13,FE13,GG13,HI13,IK13,JM13,KO13,LQ13,MS13,NU13,OW13,PY13)-IF(K13="",0,K13),""),"")</f>
        <v/>
      </c>
      <c r="DF13" s="79" t="str">
        <f>IF(O13&gt;=0.001,IF(MAX(ED13,FF13,GH13,HJ13,IL13,JN13,KP13,LR13,MT13,NV13,OX13,PZ13)-IF(O13="",0,O13)&gt;0.001,MAX(ED13,FF13,GH13,HJ13,IL13,JN13,KP13,LR13,MT13,NV13,OX13,PZ13)-IF(O13="",0,O13),""),"")</f>
        <v/>
      </c>
      <c r="DG13" s="79" t="str">
        <f>IF(Q13&gt;=0.001,IF(MAX(EH13,FJ13,GL13,HN13,IP13,JR13,KT13,LV13,MX13,NZ13,PB13,QD13)-IF(Q13="",0,Q13)&gt;0.001,MAX(EH13,FJ13,GL13,HN13,IP13,JR13,KT13,LV13,MX13,NZ13,PB13,QD13)-IF(Q13="",0,Q13),""),"")</f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>IF(SUM(DI13,DM13)&gt;0,SUM(DI13,DM13),"")</f>
        <v/>
      </c>
      <c r="EC13" s="78" t="str">
        <f>IF(SUM(DH13:DI13,DK13:DM13,DO13)-DJ13-DN13&gt;0,SUM(DH13:DI13,DK13:DM13,DO13)-DJ13-DN13,"")</f>
        <v/>
      </c>
      <c r="ED13" s="78" t="str">
        <f>IF(SUM(DP13:DQ13,DS13)-DR13&gt;0,SUM(DP13:DQ13,DS13)-DR13,"")</f>
        <v/>
      </c>
      <c r="EE13" s="78" t="str">
        <f>IF(SUM(DI13,DM13,DQ13)&gt;0,SUM(DI13,DM13,DQ13),"")</f>
        <v/>
      </c>
      <c r="EF13" s="78" t="str">
        <f>IF(SUM(EC13,ED13)&gt;0,SUM(EC13,ED13),"")</f>
        <v/>
      </c>
      <c r="EG13" s="78" t="str">
        <f>IF(SUM(DU13,DY13)&gt;0,SUM(DU13,DY13),"")</f>
        <v/>
      </c>
      <c r="EH13" s="78" t="str">
        <f>IF(SUM(DT13:DU13,DW13:DY13,EA13)-SUM(DV13,DZ13)&gt;0,SUM(DT13:DU13,DW13:DY13,EA13)-SUM(DV13,DZ13),"")</f>
        <v/>
      </c>
      <c r="EI13" s="78" t="str">
        <f>IF(SUM(EC13,EH13)&gt;0,SUM(EC13,EH13),"")</f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>IF(SUM(EK13,EO13)&gt;0,SUM(EK13,EO13),"")</f>
        <v/>
      </c>
      <c r="FE13" s="19" t="str">
        <f>IF(SUM(EJ13:EK13,EM13:EO13,EQ13)-EL13-EP13&gt;0,SUM(EJ13:EK13,EM13:EO13,EQ13)-EL13-EP13,"")</f>
        <v/>
      </c>
      <c r="FF13" s="19" t="str">
        <f>IF(SUM(ER13:ES13,EU13)-ET13&gt;0,SUM(ER13:ES13,EU13)-ET13,"")</f>
        <v/>
      </c>
      <c r="FG13" s="19" t="str">
        <f>IF(SUM(EK13,EO13,ES13)&gt;0,SUM(EK13,EO13,ES13),"")</f>
        <v/>
      </c>
      <c r="FH13" s="19" t="str">
        <f>IF(SUM(FE13,FF13)&gt;0,SUM(FE13,FF13),"")</f>
        <v/>
      </c>
      <c r="FI13" s="19" t="str">
        <f>IF(SUM(EW13,FA13)&gt;0,SUM(EW13,FA13),"")</f>
        <v/>
      </c>
      <c r="FJ13" s="19" t="str">
        <f>IF(SUM(EV13:EW13,EY13:FA13,FC13)-SUM(EX13,FB13)&gt;0,SUM(EV13:EW13,EY13:FA13,FC13)-SUM(EX13,FB13),"")</f>
        <v/>
      </c>
      <c r="FK13" s="19" t="str">
        <f>IF(SUM(FE13,FJ13)&gt;0,SUM(FE13,FJ13),"")</f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>IF(SUM(FM13,FQ13)&gt;0,SUM(FM13,FQ13),"")</f>
        <v/>
      </c>
      <c r="GG13" s="78" t="str">
        <f>IF(SUM(FL13:FM13,FO13:FQ13,FS13)-FN13-FR13&gt;0,SUM(FL13:FM13,FO13:FQ13,FS13)-FN13-FR13,"")</f>
        <v/>
      </c>
      <c r="GH13" s="78" t="str">
        <f>IF(SUM(FT13:FU13,FW13)-FV13&gt;0,SUM(FT13:FU13,FW13)-FV13,"")</f>
        <v/>
      </c>
      <c r="GI13" s="78" t="str">
        <f>IF(SUM(FM13,FQ13,FU13)&gt;0,SUM(FM13,FQ13,FU13),"")</f>
        <v/>
      </c>
      <c r="GJ13" s="78" t="str">
        <f>IF(SUM(GG13,GH13)&gt;0,SUM(GG13,GH13),"")</f>
        <v/>
      </c>
      <c r="GK13" s="78" t="str">
        <f>IF(SUM(FY13,GC13)&gt;0,SUM(FY13,GC13),"")</f>
        <v/>
      </c>
      <c r="GL13" s="78" t="str">
        <f>IF(SUM(FX13:FY13,GA13:GC13,GE13)-SUM(FZ13,GD13)&gt;0,SUM(FX13:FY13,GA13:GC13,GE13)-SUM(FZ13,GD13),"")</f>
        <v/>
      </c>
      <c r="GM13" s="78" t="str">
        <f>IF(SUM(GG13,GL13)&gt;0,SUM(GG13,GL13),"")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>IF(SUM(GO13,GS13)&gt;0,SUM(GO13,GS13),"")</f>
        <v/>
      </c>
      <c r="HI13" s="19" t="str">
        <f>IF(SUM(GN13:GO13,GQ13:GS13,GU13)-GP13-GT13&gt;0,SUM(GN13:GO13,GQ13:GS13,GU13)-GP13-GT13,"")</f>
        <v/>
      </c>
      <c r="HJ13" s="19" t="str">
        <f>IF(SUM(GV13:GW13,GY13)-GX13&gt;0,SUM(GV13:GW13,GY13)-GX13,"")</f>
        <v/>
      </c>
      <c r="HK13" s="19" t="str">
        <f>IF(SUM(GO13,GS13,GW13)&gt;0,SUM(GO13,GS13,GW13),"")</f>
        <v/>
      </c>
      <c r="HL13" s="19" t="str">
        <f>IF(SUM(HI13,HJ13)&gt;0,SUM(HI13,HJ13),"")</f>
        <v/>
      </c>
      <c r="HM13" s="19" t="str">
        <f>IF(SUM(HA13,HE13)&gt;0,SUM(HA13,HE13),"")</f>
        <v/>
      </c>
      <c r="HN13" s="19" t="str">
        <f>IF(SUM(GZ13:HA13,HC13:HE13,HG13)-SUM(HB13,HF13)&gt;0,SUM(GZ13:HA13,HC13:HE13,HG13)-SUM(HB13,HF13),"")</f>
        <v/>
      </c>
      <c r="HO13" s="19" t="str">
        <f>IF(SUM(HI13,HN13)&gt;0,SUM(HI13,HN13),"")</f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>IF(SUM(HQ13,HU13)&gt;0,SUM(HQ13,HU13),"")</f>
        <v/>
      </c>
      <c r="IK13" s="78" t="str">
        <f>IF(SUM(HP13:HQ13,HS13:HU13,HW13)-HR13-HV13&gt;0,SUM(HP13:HQ13,HS13:HU13,HW13)-HR13-HV13,"")</f>
        <v/>
      </c>
      <c r="IL13" s="78" t="str">
        <f>IF(SUM(HX13:HY13,IA13)-HZ13&gt;0,SUM(HX13:HY13,IA13)-HZ13,"")</f>
        <v/>
      </c>
      <c r="IM13" s="78" t="str">
        <f>IF(SUM(HQ13,HU13,HY13)&gt;0,SUM(HQ13,HU13,HY13),"")</f>
        <v/>
      </c>
      <c r="IN13" s="78" t="str">
        <f>IF(SUM(IK13,IL13)&gt;0,SUM(IK13,IL13),"")</f>
        <v/>
      </c>
      <c r="IO13" s="78" t="str">
        <f>IF(SUM(IC13,IG13)&gt;0,SUM(IC13,IG13),"")</f>
        <v/>
      </c>
      <c r="IP13" s="78" t="str">
        <f>IF(SUM(IB13:IC13,IE13:IG13,II13)-SUM(ID13,IH13)&gt;0,SUM(IB13:IC13,IE13:IG13,II13)-SUM(ID13,IH13),"")</f>
        <v/>
      </c>
      <c r="IQ13" s="78" t="str">
        <f>IF(SUM(IK13,IP13)&gt;0,SUM(IK13,IP13),"")</f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>IF(SUM(IS13,IW13)&gt;0,SUM(IS13,IW13),"")</f>
        <v/>
      </c>
      <c r="JM13" s="19" t="str">
        <f>IF(SUM(IR13:IS13,IU13:IW13,IY13)-IT13-IX13&gt;0,SUM(IR13:IS13,IU13:IW13,IY13)-IT13-IX13,"")</f>
        <v/>
      </c>
      <c r="JN13" s="19" t="str">
        <f>IF(SUM(IZ13:JA13,JC13)-JB13&gt;0,SUM(IZ13:JA13,JC13)-JB13,"")</f>
        <v/>
      </c>
      <c r="JO13" s="19" t="str">
        <f>IF(SUM(IS13,IW13,JA13)&gt;0,SUM(IS13,IW13,JA13),"")</f>
        <v/>
      </c>
      <c r="JP13" s="19" t="str">
        <f>IF(SUM(JM13,JN13)&gt;0,SUM(JM13,JN13),"")</f>
        <v/>
      </c>
      <c r="JQ13" s="19" t="str">
        <f>IF(SUM(JE13,JI13)&gt;0,SUM(JE13,JI13),"")</f>
        <v/>
      </c>
      <c r="JR13" s="19" t="str">
        <f>IF(SUM(JD13:JE13,JG13:JI13,JK13)-SUM(JF13,JJ13)&gt;0,SUM(JD13:JE13,JG13:JI13,JK13)-SUM(JF13,JJ13),"")</f>
        <v/>
      </c>
      <c r="JS13" s="19" t="str">
        <f>IF(SUM(JM13,JR13)&gt;0,SUM(JM13,JR13),"")</f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>IF(SUM(JU13,JY13)&gt;0,SUM(JU13,JY13),"")</f>
        <v/>
      </c>
      <c r="KO13" s="78" t="str">
        <f>IF(SUM(JT13:JU13,JW13:JY13,KA13)-JV13-JZ13&gt;0,SUM(JT13:JU13,JW13:JY13,KA13)-JV13-JZ13,"")</f>
        <v/>
      </c>
      <c r="KP13" s="78" t="str">
        <f>IF(SUM(KB13:KC13,KE13)-KD13&gt;0,SUM(KB13:KC13,KE13)-KD13,"")</f>
        <v/>
      </c>
      <c r="KQ13" s="78" t="str">
        <f>IF(SUM(JU13,JY13,KC13)&gt;0,SUM(JU13,JY13,KC13),"")</f>
        <v/>
      </c>
      <c r="KR13" s="78" t="str">
        <f>IF(SUM(KO13,KP13)&gt;0,SUM(KO13,KP13),"")</f>
        <v/>
      </c>
      <c r="KS13" s="78" t="str">
        <f>IF(SUM(KG13,KK13)&gt;0,SUM(KG13,KK13),"")</f>
        <v/>
      </c>
      <c r="KT13" s="78" t="str">
        <f>IF(SUM(KF13:KG13,KI13:KK13,KM13)-SUM(KH13,KL13)&gt;0,SUM(KF13:KG13,KI13:KK13,KM13)-SUM(KH13,KL13),"")</f>
        <v/>
      </c>
      <c r="KU13" s="78" t="str">
        <f>IF(SUM(KO13,KT13)&gt;0,SUM(KO13,KT13),"")</f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>IF(SUM(KW13,LA13)&gt;0,SUM(KW13,LA13),"")</f>
        <v/>
      </c>
      <c r="LQ13" s="19" t="str">
        <f>IF(SUM(KV13:KW13,KY13:LA13,LC13)-KX13-LB13&gt;0,SUM(KV13:KW13,KY13:LA13,LC13)-KX13-LB13,"")</f>
        <v/>
      </c>
      <c r="LR13" s="19" t="str">
        <f>IF(SUM(LD13:LE13,LG13)-LF13&gt;0,SUM(LD13:LE13,LG13)-LF13,"")</f>
        <v/>
      </c>
      <c r="LS13" s="19" t="str">
        <f>IF(SUM(KW13,LA13,LE13)&gt;0,SUM(KW13,LA13,LE13),"")</f>
        <v/>
      </c>
      <c r="LT13" s="19" t="str">
        <f>IF(SUM(LQ13,LR13)&gt;0,SUM(LQ13,LR13),"")</f>
        <v/>
      </c>
      <c r="LU13" s="19" t="str">
        <f>IF(SUM(LI13,LM13)&gt;0,SUM(LI13,LM13),"")</f>
        <v/>
      </c>
      <c r="LV13" s="19" t="str">
        <f>IF(SUM(LH13:LI13,LK13:LM13,LO13)-SUM(LJ13,LN13)&gt;0,SUM(LH13:LI13,LK13:LM13,LO13)-SUM(LJ13,LN13),"")</f>
        <v/>
      </c>
      <c r="LW13" s="19" t="str">
        <f>IF(SUM(LQ13,LV13)&gt;0,SUM(LQ13,LV13),"")</f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>IF(SUM(LY13,MC13)&gt;0,SUM(LY13,MC13),"")</f>
        <v/>
      </c>
      <c r="MS13" s="78" t="str">
        <f>IF(SUM(LX13:LY13,MA13:MC13,ME13)-LZ13-MD13&gt;0,SUM(LX13:LY13,MA13:MC13,ME13)-LZ13-MD13,"")</f>
        <v/>
      </c>
      <c r="MT13" s="78" t="str">
        <f>IF(SUM(MF13:MG13,MI13)-MH13&gt;0,SUM(MF13:MG13,MI13)-MH13,"")</f>
        <v/>
      </c>
      <c r="MU13" s="78" t="str">
        <f>IF(SUM(LY13,MC13,MG13)&gt;0,SUM(LY13,MC13,MG13),"")</f>
        <v/>
      </c>
      <c r="MV13" s="78" t="str">
        <f>IF(SUM(MS13,MT13)&gt;0,SUM(MS13,MT13),"")</f>
        <v/>
      </c>
      <c r="MW13" s="78" t="str">
        <f>IF(SUM(MK13,MO13)&gt;0,SUM(MK13,MO13),"")</f>
        <v/>
      </c>
      <c r="MX13" s="78" t="str">
        <f>IF(SUM(MJ13:MK13,MM13:MO13,MQ13)-SUM(ML13,MP13)&gt;0,SUM(MJ13:MK13,MM13:MO13,MQ13)-SUM(ML13,MP13),"")</f>
        <v/>
      </c>
      <c r="MY13" s="78" t="str">
        <f>IF(SUM(MS13,MX13)&gt;0,SUM(MS13,MX13),"")</f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>IF(SUM(NA13,NE13)&gt;0,SUM(NA13,NE13),"")</f>
        <v/>
      </c>
      <c r="NU13" s="19" t="str">
        <f>IF(SUM(MZ13:NA13,NC13:NE13,NG13)-NB13-NF13&gt;0,SUM(MZ13:NA13,NC13:NE13,NG13)-NB13-NF13,"")</f>
        <v/>
      </c>
      <c r="NV13" s="19" t="str">
        <f>IF(SUM(NH13:NI13,NK13)-NJ13&gt;0,SUM(NH13:NI13,NK13)-NJ13,"")</f>
        <v/>
      </c>
      <c r="NW13" s="19" t="str">
        <f>IF(SUM(NA13,NE13,NI13)&gt;0,SUM(NA13,NE13,NI13),"")</f>
        <v/>
      </c>
      <c r="NX13" s="19" t="str">
        <f>IF(SUM(NU13,NV13)&gt;0,SUM(NU13,NV13),"")</f>
        <v/>
      </c>
      <c r="NY13" s="19" t="str">
        <f>IF(SUM(NM13,NQ13)&gt;0,SUM(NM13,NQ13),"")</f>
        <v/>
      </c>
      <c r="NZ13" s="19" t="str">
        <f>IF(SUM(NL13:NM13,NO13:NQ13,NS13)-SUM(NN13,NR13)&gt;0,SUM(NL13:NM13,NO13:NQ13,NS13)-SUM(NN13,NR13),"")</f>
        <v/>
      </c>
      <c r="OA13" s="19" t="str">
        <f>IF(SUM(NU13,NZ13)&gt;0,SUM(NU13,NZ13),"")</f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>IF(SUM(OC13,OG13)&gt;0,SUM(OC13,OG13),"")</f>
        <v/>
      </c>
      <c r="OW13" s="78" t="str">
        <f>IF(SUM(OB13:OC13,OE13:OG13,OI13)-OD13-OH13&gt;0,SUM(OB13:OC13,OE13:OG13,OI13)-OD13-OH13,"")</f>
        <v/>
      </c>
      <c r="OX13" s="78" t="str">
        <f>IF(SUM(OJ13:OK13,OM13)-OL13&gt;0,SUM(OJ13:OK13,OM13)-OL13,"")</f>
        <v/>
      </c>
      <c r="OY13" s="78" t="str">
        <f>IF(SUM(OC13,OG13,OK13)&gt;0,SUM(OC13,OG13,OK13),"")</f>
        <v/>
      </c>
      <c r="OZ13" s="78" t="str">
        <f>IF(SUM(OW13,OX13)&gt;0,SUM(OW13,OX13),"")</f>
        <v/>
      </c>
      <c r="PA13" s="78" t="str">
        <f>IF(SUM(OO13,OS13)&gt;0,SUM(OO13,OS13),"")</f>
        <v/>
      </c>
      <c r="PB13" s="78" t="str">
        <f>IF(SUM(ON13:OO13,OQ13:OS13,OU13)-SUM(OP13,OT13)&gt;0,SUM(ON13:OO13,OQ13:OS13,OU13)-SUM(OP13,OT13),"")</f>
        <v/>
      </c>
      <c r="PC13" s="78" t="str">
        <f>IF(SUM(OW13,PB13)&gt;0,SUM(OW13,PB13),"")</f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>IF(SUM(PE13,PI13)&gt;0,SUM(PE13,PI13),"")</f>
        <v/>
      </c>
      <c r="PY13" s="19" t="str">
        <f>IF(SUM(PD13:PE13,PG13:PI13,PK13)-PF13-PJ13&gt;0,SUM(PD13:PE13,PG13:PI13,PK13)-PF13-PJ13,"")</f>
        <v/>
      </c>
      <c r="PZ13" s="19" t="str">
        <f>IF(SUM(PL13:PM13,PO13)-PN13&gt;0,SUM(PL13:PM13,PO13)-PN13,"")</f>
        <v/>
      </c>
      <c r="QA13" s="19" t="str">
        <f>IF(SUM(PE13,PI13,PM13)&gt;0,SUM(PE13,PI13,PM13),"")</f>
        <v/>
      </c>
      <c r="QB13" s="19" t="str">
        <f>IF(SUM(PY13,PZ13)&gt;0,SUM(PY13,PZ13),"")</f>
        <v/>
      </c>
      <c r="QC13" s="19" t="str">
        <f>IF(SUM(PQ13,PU13)&gt;0,SUM(PQ13,PU13),"")</f>
        <v/>
      </c>
      <c r="QD13" s="19" t="str">
        <f>IF(SUM(PP13:PQ13,PS13:PU13,PW13)-SUM(PR13,PV13)&gt;0,SUM(PP13:PQ13,PS13:PU13,PW13)-SUM(PR13,PV13),"")</f>
        <v/>
      </c>
      <c r="QE13" s="19" t="str">
        <f>IF(SUM(PY13,QD13)&gt;0,SUM(PY13,QD13),"")</f>
        <v/>
      </c>
      <c r="QF13" s="37">
        <f>IF($CV13="P",CB13,(CB13+AY13)/2)</f>
        <v>9.5500000000000007</v>
      </c>
      <c r="QG13" s="37">
        <f>IF($CV13="P",CC13,(CC13+AZ13)/2)</f>
        <v>3.4</v>
      </c>
      <c r="QH13" s="37">
        <f>IF($CV13="P",CD13,(CD13+BA13)/2)</f>
        <v>0.3</v>
      </c>
      <c r="QI13" s="37">
        <f>IF($CV13="P",CE13,(CE13+BB13)/2)</f>
        <v>0</v>
      </c>
      <c r="QJ13" s="37">
        <f>IF($CV13="P",CF13,(CF13+BC13)/2)</f>
        <v>9.5</v>
      </c>
      <c r="QK13" s="37">
        <f>IF($CV13="P",CG13,(CG13+BD13)/2)</f>
        <v>3.2</v>
      </c>
      <c r="QL13" s="37">
        <f>IF($CV13="P",CH13,(CH13+BE13)/2)</f>
        <v>0</v>
      </c>
      <c r="QM13" s="37">
        <f>IF($CV13="P",CI13,(CI13+BF13)/2)</f>
        <v>0</v>
      </c>
      <c r="QN13" s="37">
        <f>IF($CV13="P",CJ13,(CJ13+BG13)/2)</f>
        <v>8.5500000000000007</v>
      </c>
      <c r="QO13" s="37">
        <f>IF($CV13="P",CK13,(CK13+BH13)/2)</f>
        <v>2.6</v>
      </c>
      <c r="QP13" s="37">
        <f>IF($CV13="P",CL13,(CL13+BI13)/2)</f>
        <v>0.45</v>
      </c>
      <c r="QQ13" s="37">
        <f>IF($CV13="P",CM13,(CM13+BJ13)/2)</f>
        <v>0</v>
      </c>
      <c r="QR13" s="37">
        <f>IF($CV13="P",CN13,(CN13+BK13)/2)</f>
        <v>0</v>
      </c>
      <c r="QS13" s="37">
        <f>IF($CV13="P",CO13,(CO13+BL13)/2)</f>
        <v>0</v>
      </c>
      <c r="QT13" s="37">
        <f>IF($CV13="P",CP13,(CP13+BM13)/2)</f>
        <v>0</v>
      </c>
      <c r="QU13" s="37">
        <f>IF($CV13="P",CQ13,(CQ13+BN13)/2)</f>
        <v>0</v>
      </c>
      <c r="QV13" s="37">
        <f>IF($CV13="P",CR13,(CR13+BO13)/2)</f>
        <v>8.25</v>
      </c>
      <c r="QW13" s="37">
        <f>IF($CV13="P",CS13,(CS13+BP13)/2)</f>
        <v>3</v>
      </c>
      <c r="QX13" s="37">
        <f>IF($CV13="P",CT13,(CT13+BQ13)/2)</f>
        <v>0.5</v>
      </c>
      <c r="QY13" s="37">
        <f>IF($CV13="P",CU13,(CU13+BR13)/2)</f>
        <v>0</v>
      </c>
      <c r="QZ13" s="44" t="s">
        <v>46</v>
      </c>
      <c r="RA13" s="78">
        <f>IF(SUM(QG13,QK13)&gt;0,SUM(QG13,QK13),"")</f>
        <v>6.6</v>
      </c>
      <c r="RB13" s="78">
        <f>IF(SUM(QF13:QG13,QI13:QK13,QM13)-QH13-QL13&gt;0,SUM(QF13:QG13,QI13:QK13,QM13)-QH13-QL13,"")</f>
        <v>25.35</v>
      </c>
      <c r="RC13" s="78">
        <f>IF(SUM(QN13:QO13,QQ13)-QP13&gt;0,SUM(QN13:QO13,QQ13)-QP13,"")</f>
        <v>10.700000000000001</v>
      </c>
      <c r="RD13" s="78">
        <f>IF(SUM(QG13,QK13,QO13)&gt;0,SUM(QG13,QK13,QO13),"")</f>
        <v>9.1999999999999993</v>
      </c>
      <c r="RE13" s="78">
        <f>IF(SUM(RB13,RC13)&gt;0,SUM(RB13,RC13),"")</f>
        <v>36.050000000000004</v>
      </c>
      <c r="RF13" s="78">
        <f>IF(SUM(QS13,QW13)&gt;0,SUM(QS13,QW13),"")</f>
        <v>3</v>
      </c>
      <c r="RG13" s="78">
        <f>IF(SUM(QR13:QS13,QU13:QW13,QY13)-SUM(QT13,QX13)&gt;0,SUM(QR13:QS13,QU13:QW13,QY13)-SUM(QT13,QX13),"")</f>
        <v>10.75</v>
      </c>
      <c r="RH13" s="78">
        <f>IF(SUM(RB13,RG13)&gt;0,SUM(RB13,RG13),"")</f>
        <v>36.1</v>
      </c>
    </row>
    <row r="14" spans="1:476" x14ac:dyDescent="0.2">
      <c r="A14" s="5">
        <f>IF(AND(F14="P",G14="P"),SUMPRODUCT((F$4:F$32="P")*(G$4:G$32="P")*(E$4:E$32&gt;E14))+1,IF(G14="P",SUMPRODUCT((F$4:F$32="")*(G$4:G$32="P")*(E$4:E$32&gt;E14))+1+SUMPRODUCT((F$4:F$32="P")*(G$4:G$32="P")),""))</f>
        <v>11</v>
      </c>
      <c r="B14" s="77" t="s">
        <v>145</v>
      </c>
      <c r="C14" s="5" t="s">
        <v>5</v>
      </c>
      <c r="D14" s="5">
        <v>2005</v>
      </c>
      <c r="E14" s="15">
        <f>SUM(I14:S14)+SUM(I14:O14)*0.0000001+SUM(I14)*0.0000000000001</f>
        <v>184.00001204000472</v>
      </c>
      <c r="F14" s="3" t="str">
        <f>IF(OR(AND(AQ14&gt;=AX$34,AR14&gt;=AX$38,AQ14&lt;&gt;"",AP14=""),AND(AV14&gt;=AX$34,AW14&gt;=AX$38,AV14&lt;&gt;"",AP14=""),AND(BT14&gt;=CA$34,BU14&gt;=CA$38,BT14&lt;&gt;"",BS14=""),AND(BY14&gt;=CA$34,BZ14&gt;=CA$38,BY14&lt;&gt;"",BS14=""),AND(CW14&gt;=DD$34,CX14&gt;=DD$38,CW14&lt;&gt;"",CV14=""),AND(DB14&gt;=DD$34,DC14&gt;=DD$38,DB14&lt;&gt;""),AND(EB14&gt;=EI$34,EC14&gt;=EI$38,EB14&lt;&gt;""),AND(EG14&gt;=EI$34,EH14&gt;=EI$38,EG14&lt;&gt;""),AND(FD14&gt;=FK$34,FE14&gt;=FK$38,FD14&lt;&gt;""),AND(FI14&gt;=FK$34,FJ14&gt;=FK$38,FI14&lt;&gt;""),AND(GF14&gt;=GM$34,GG14&gt;=GM$38,GF14&lt;&gt;""),AND(GK14&gt;=GM$34,GL14&gt;=GM$38,GK14&lt;&gt;""),AND(HH14&gt;=HO$34,HI14&gt;=HO$38,HH14&lt;&gt;""),AND(HM14&gt;=HO$34,HN14&gt;=HO$38,HM14&lt;&gt;""),AND(IJ14&gt;=IQ$34,IK14&gt;=IQ$38,IJ14&lt;&gt;""),AND(IO14&gt;=IQ$34,IP14&gt;=IQ$38,IO14&lt;&gt;""),AND(JL14&gt;=JS$34,JM14&gt;=JS$38,JL14&lt;&gt;""),AND(JQ14&gt;=JS$34,JR14&gt;=JS$38,JQ14&lt;&gt;""),AND(KN14&gt;=KU$34,KO14&gt;=KU$38,KN14&lt;&gt;""),AND(KS14&gt;=KU$34,KT14&gt;=KU$38,KS14&lt;&gt;""),AND(LP14&gt;=LW$34,LQ14&gt;=LW$38,LP14&lt;&gt;""),AND(LU14&gt;=LW$34,LV14&gt;=LW$38,LU14&lt;&gt;""),AND(MR14&gt;=MY$34,MS14&gt;=MY$38,MR14&lt;&gt;""),AND(MW14&gt;=MY$34,MX14&gt;=MY$38,MW14&lt;&gt;""),AND(NT14&gt;=OA$34,NU14&gt;=OA$38,NT14&lt;&gt;""),AND(NY14&gt;=OA$34,NZ14&gt;=OA$38,NY14&lt;&gt;""),AND(OV14&gt;=PC$34,OW14&gt;=PC$38,OV14&lt;&gt;""),AND(PA14&gt;=PC$34,PB14&gt;=PC$38,PA14&lt;&gt;""),AND(PX14&gt;=QE$34,PY14&gt;=QE$38,PX14&lt;&gt;""),AND(QC14&gt;=QE$34,QD14&gt;=QE$38,QC14&lt;&gt;"")),"P","")</f>
        <v>P</v>
      </c>
      <c r="G14" s="3" t="str">
        <f>IF(OR(AND(AR14&gt;=AX$38,AR14&lt;&gt;"",AP14=""),AND(AW14&gt;=AX$38,AW14&lt;&gt;"",AP14=""),AND(BU14&gt;=CA$38,BU14&lt;&gt;"",BS14=""),AND(BZ14&gt;=CA$38,BZ14&lt;&gt;"",BS14=""),AND(CX14&gt;=DD$38,CX14&lt;&gt;"",CV14=""),AND(DC14&gt;=DD$38,DC14&lt;&gt;"",CV14=""),AND(EC14&gt;=EI$38,EC14&lt;&gt;""),AND(EH14&gt;=EI$38,EH14&lt;&gt;""),AND(FE14&gt;=FK$38,FE14&lt;&gt;""),AND(FJ14&gt;=FK$38,FJ14&lt;&gt;""),AND(GG14&gt;=GM$38,GG14&lt;&gt;""),AND(GL14&gt;=GM$38,GL14&lt;&gt;""),AND(HI14&gt;=HO$38,HI14&lt;&gt;""),AND(HN14&gt;=HO$38,HN14&lt;&gt;""),AND(IK14&gt;=IQ$38,IK14&lt;&gt;""),AND(IP14&gt;=IQ$38,IP14&lt;&gt;""),AND(JM14&gt;=JS$38,JM14&lt;&gt;""),AND(JR14&gt;=JS$38,JR14&lt;&gt;""),AND(KO14&gt;=KU$38,KO14&lt;&gt;""),AND(KT14&gt;=KU$38,KT14&lt;&gt;""),AND(LQ14&gt;=LW$38,LQ14&lt;&gt;""),AND(LV14&gt;=LW$38,LV14&lt;&gt;""),AND(MS14&gt;=MY$38,MS14&lt;&gt;""),AND(MX14&gt;=MY$38,MX14&lt;&gt;""),AND(NU14&gt;=OA$38,NU14&lt;&gt;""),AND(NZ14&gt;=OA$38,NZ14&lt;&gt;""),AND(OW14&gt;=PC$38,OW14&lt;&gt;""),AND(PB14&gt;=PC$38,PB14&lt;&gt;""),AND(PY14&gt;=QE$38,PY14&lt;&gt;""),AND(QD14&gt;=QE$38,QD14&lt;&gt;"")),"P","")</f>
        <v>P</v>
      </c>
      <c r="H14" s="66" t="str">
        <f>IF(AND(G14="P",F14=""),"No DD",IF(OR(AND(AT14&gt;=AX$37,AU14&gt;=AX$41,AT14&lt;&gt;"",AP14=""),AND(BW14&gt;=CA$37,BX14&gt;=CA$41,BW14&lt;&gt;"",BS14=""),AND(CZ14&gt;=DD$37,DA14&gt;=DD$41,CZ14&lt;&gt;"",CV14=""),AND(EE14&gt;=EI$37,EF14&gt;=EI$41,EE14&lt;&gt;""),AND(FG14&gt;=FK$37,FH14&gt;=FK$41,FG14&lt;&gt;""),AND(GI14&gt;=GM$37,GJ14&gt;=GM$41,GI14&lt;&gt;""),AND(HK14&gt;=HO$37,HL14&gt;=HO$41,HK14&lt;&gt;""),AND(IM14&gt;=IQ$37,IN14&gt;=IQ$41,IM14&lt;&gt;""),AND(JO14&gt;=JS$37,JP14&gt;=JS$41,JO14&lt;&gt;""),AND(KQ14&gt;=KU$37,KR14&gt;=KU$41,KQ14&lt;&gt;""),AND(LS14&gt;=LW$37,LT14&gt;=LW$41,LS14&lt;&gt;""),AND(MU14&gt;=MY$37,MV14&gt;=MY$41,MU14&lt;&gt;""),AND(NW14&gt;=OA$37,NX14&gt;=OA$41,NW14&lt;&gt;""),AND(OY14&gt;=PC$37,OZ14&gt;=PC$41,OY14&lt;&gt;""),AND(QA14&gt;=QE$37,QB14&gt;=QE$41,QA14&lt;&gt;"")),"Merit",IF(OR(AND(AT14&gt;=AX$36,AU14&gt;=AX$40,AT14&lt;&gt;"",AP14=""),AND(BW14&gt;=CA$36,BX14&gt;=CA$40,BW14&lt;&gt;"",BS14=""),AND(CZ14&gt;=DD$36,DA14&gt;=DD$40,CZ14&lt;&gt;"",CV14=""),AND(EE14&gt;=EI$36,EF14&gt;=EI$40,EE14&lt;&gt;""),AND(FG14&gt;=FK$36,FH14&gt;=FK$40,FG14&lt;&gt;""),AND(GI14&gt;=GM$36,GJ14&gt;=GM$40,GI14&lt;&gt;""),AND(HK14&gt;=HO$36,HL14&gt;=HO$40,HK14&lt;&gt;""),AND(IM14&gt;=IQ$36,IN14&gt;=IQ$40,IM14&lt;&gt;""),AND(JO14&gt;=JS$36,JP14&gt;=JS$40,JO14&lt;&gt;""),AND(KQ14&gt;=KU$36,KR14&gt;=KU$40,KQ14&lt;&gt;""),AND(LS14&gt;=LW$36,LT14&gt;=LW$40,LS14&lt;&gt;""),AND(MU14&gt;=MY$36,MV14&gt;=MY$40,MU14&lt;&gt;""),AND(NW14&gt;=OA$36,NX14&gt;=OA$40,NW14&lt;&gt;""),AND(OY14&gt;=PC$36,OZ14&gt;=PC$40,OY14&lt;&gt;""),AND(QA14&gt;=QE$36,QB14&gt;=QE$40,QA14&lt;&gt;"")),"Excellence",IF(F14="P","National Team",""))))</f>
        <v>National Team</v>
      </c>
      <c r="I14" s="14">
        <f>IF(COUNT(AR14,BU14,CX14)&gt;0,LARGE((AR14,BU14,CX14),1),0)</f>
        <v>47.1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26</v>
      </c>
      <c r="L14" s="14" t="str">
        <f>IF(K14=0,"",IF(K14=CX14,$CB$1,IF(K14=BU14,$AY$1,IF(K14=AR14,$V$1,""))))</f>
        <v>2022 3rd Domestic Trial</v>
      </c>
      <c r="M14" s="14">
        <f>IF(COUNT(AS14,BV14,CY14)&gt;0,LARGE((AS14,BV14,CY14),1),0)</f>
        <v>24.9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22.400000000000002</v>
      </c>
      <c r="P14" s="14" t="str">
        <f>IF(O14=0,"",IF(O14=CY14,$CB$1,IF(O14=BV14,$AY$1,IF(O14=AS14,$V$1,""))))</f>
        <v>2022 3rd Domestic Trial</v>
      </c>
      <c r="Q14" s="14">
        <f>IF(MAX(AW14,BZ14,DC14)&gt;0,MAX(AW14,BZ14,DC14),0)</f>
        <v>39.999999999999993</v>
      </c>
      <c r="R14" s="14" t="str">
        <f>IF(Q14=0,"",IF(Q14=DC14,$CB$1,IF(Q14=BZ14,$AY$1,IF(Q14=AW14,$V$1,""))))</f>
        <v>2022 Elite Canada</v>
      </c>
      <c r="S14" s="14">
        <f>IF(MAX(DE14:DG14)&gt;0,MAX(DE14:DG14),"")</f>
        <v>23.599999999999994</v>
      </c>
      <c r="T14" s="19" t="str">
        <f>IF(S14="","",IF(S14=DE14,"("&amp;DE$2&amp;")",IF(S14=DG14,"("&amp;DG$2&amp;")")))</f>
        <v>(Q1)</v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>2022 World Games Technical Trial #1 (Mar 12)</v>
      </c>
      <c r="V14" s="26">
        <v>18.899999999999999</v>
      </c>
      <c r="W14" s="26">
        <v>7.2</v>
      </c>
      <c r="X14" s="26">
        <v>0</v>
      </c>
      <c r="Y14" s="26">
        <v>0</v>
      </c>
      <c r="Z14" s="26">
        <v>17.399999999999999</v>
      </c>
      <c r="AA14" s="26">
        <v>3.6</v>
      </c>
      <c r="AB14" s="26">
        <v>0</v>
      </c>
      <c r="AC14" s="26">
        <v>0</v>
      </c>
      <c r="AD14" s="26">
        <v>18.899999999999999</v>
      </c>
      <c r="AE14" s="26">
        <v>6</v>
      </c>
      <c r="AF14" s="26">
        <v>0</v>
      </c>
      <c r="AG14" s="26">
        <v>0</v>
      </c>
      <c r="AH14" s="26">
        <v>17.399999999999999</v>
      </c>
      <c r="AI14" s="26">
        <v>2.8</v>
      </c>
      <c r="AJ14" s="26">
        <v>0</v>
      </c>
      <c r="AK14" s="26">
        <v>0</v>
      </c>
      <c r="AL14" s="26">
        <v>17.399999999999999</v>
      </c>
      <c r="AM14" s="26">
        <v>2.4</v>
      </c>
      <c r="AN14" s="26">
        <v>0</v>
      </c>
      <c r="AO14" s="26">
        <v>0</v>
      </c>
      <c r="AP14" s="44"/>
      <c r="AQ14" s="78">
        <f>IF(SUM(W14,AA14)&gt;0,SUM(W14,AA14),"")</f>
        <v>10.8</v>
      </c>
      <c r="AR14" s="78">
        <f>IF(SUM(V14:W14,Y14:AA14,AC14)-X14-AB14&gt;0,SUM(V14:W14,Y14:AA14,AC14)-X14-AB14,"")</f>
        <v>47.1</v>
      </c>
      <c r="AS14" s="78">
        <f>IF(SUM(AD14:AE14,AG14)-AF14&gt;0,SUM(AD14:AE14,AG14)-AF14,"")</f>
        <v>24.9</v>
      </c>
      <c r="AT14" s="78">
        <f>IF(SUM(W14,AA14,AE14)&gt;0,SUM(W14,AA14,AE14),"")</f>
        <v>16.8</v>
      </c>
      <c r="AU14" s="78">
        <f>IF(SUM(AR14,AS14)&gt;0,SUM(AR14,AS14),"")</f>
        <v>72</v>
      </c>
      <c r="AV14" s="78">
        <f>IF(SUM(AI14,AM14)&gt;0,SUM(AI14,AM14),"")</f>
        <v>5.1999999999999993</v>
      </c>
      <c r="AW14" s="78">
        <f>IF(SUM(AH14:AI14,AK14:AM14,AO14)-SUM(AJ14,AN14)&gt;0,SUM(AH14:AI14,AK14:AM14,AO14)-SUM(AJ14,AN14),"")</f>
        <v>39.999999999999993</v>
      </c>
      <c r="AX14" s="78">
        <f>IF(SUM(AR14,AW14)&gt;0,SUM(AR14,AW14),"")</f>
        <v>87.1</v>
      </c>
      <c r="AY14" s="25">
        <v>18.8</v>
      </c>
      <c r="AZ14" s="25">
        <v>6</v>
      </c>
      <c r="BA14" s="25">
        <v>0.2</v>
      </c>
      <c r="BB14" s="25">
        <v>0</v>
      </c>
      <c r="BC14" s="25">
        <v>0</v>
      </c>
      <c r="BD14" s="25">
        <v>0</v>
      </c>
      <c r="BE14" s="25">
        <v>0</v>
      </c>
      <c r="BF14" s="25">
        <v>0</v>
      </c>
      <c r="BG14" s="25">
        <v>0</v>
      </c>
      <c r="BH14" s="25">
        <v>0</v>
      </c>
      <c r="BI14" s="25">
        <v>0</v>
      </c>
      <c r="BJ14" s="25">
        <v>0</v>
      </c>
      <c r="BK14" s="25"/>
      <c r="BL14" s="25"/>
      <c r="BM14" s="25"/>
      <c r="BN14" s="25"/>
      <c r="BO14" s="25"/>
      <c r="BP14" s="25"/>
      <c r="BQ14" s="25"/>
      <c r="BR14" s="25"/>
      <c r="BS14" s="45"/>
      <c r="BT14" s="19">
        <f>IF(SUM(AZ14,BD14)&gt;0,SUM(AZ14,BD14),"")</f>
        <v>6</v>
      </c>
      <c r="BU14" s="19">
        <f>IF(SUM(AY14:AZ14,BB14:BD14,BF14)-BA14-BE14&gt;0,SUM(AY14:AZ14,BB14:BD14,BF14)-BA14-BE14,"")</f>
        <v>24.6</v>
      </c>
      <c r="BV14" s="19" t="str">
        <f>IF(SUM(BG14:BH14,BJ14)-BI14&gt;0,SUM(BG14:BH14,BJ14)-BI14,"")</f>
        <v/>
      </c>
      <c r="BW14" s="19">
        <f>IF(SUM(AZ14,BD14,BH14)&gt;0,SUM(AZ14,BD14,BH14),"")</f>
        <v>6</v>
      </c>
      <c r="BX14" s="19">
        <f>IF(SUM(BU14,BV14)&gt;0,SUM(BU14,BV14),"")</f>
        <v>24.6</v>
      </c>
      <c r="BY14" s="19" t="str">
        <f>IF(SUM(BL14,BP14)&gt;0,SUM(BL14,BP14),"")</f>
        <v/>
      </c>
      <c r="BZ14" s="19" t="str">
        <f>IF(SUM(BK14:BL14,BN14:BP14,BR14)-SUM(BM14,BQ14)&gt;0,SUM(BK14:BL14,BN14:BP14,BR14)-SUM(BM14,BQ14),"")</f>
        <v/>
      </c>
      <c r="CA14" s="19">
        <f>IF(SUM(BU14,BZ14)&gt;0,SUM(BU14,BZ14),"")</f>
        <v>24.6</v>
      </c>
      <c r="CB14" s="26">
        <v>19</v>
      </c>
      <c r="CC14" s="26">
        <v>7.2</v>
      </c>
      <c r="CD14" s="26">
        <v>0.2</v>
      </c>
      <c r="CE14" s="26">
        <v>0</v>
      </c>
      <c r="CF14" s="26">
        <v>0</v>
      </c>
      <c r="CG14" s="26">
        <v>0</v>
      </c>
      <c r="CH14" s="26">
        <v>0</v>
      </c>
      <c r="CI14" s="26">
        <v>0</v>
      </c>
      <c r="CJ14" s="26">
        <v>16.600000000000001</v>
      </c>
      <c r="CK14" s="26">
        <v>6.8</v>
      </c>
      <c r="CL14" s="26">
        <v>1</v>
      </c>
      <c r="CM14" s="26">
        <v>0</v>
      </c>
      <c r="CN14" s="26"/>
      <c r="CO14" s="26"/>
      <c r="CP14" s="26"/>
      <c r="CQ14" s="26"/>
      <c r="CR14" s="26"/>
      <c r="CS14" s="26"/>
      <c r="CT14" s="26"/>
      <c r="CU14" s="26"/>
      <c r="CV14" s="44"/>
      <c r="CW14" s="78">
        <f>IF(SUM(CC14,CG14)&gt;0,SUM(CC14,CG14),"")</f>
        <v>7.2</v>
      </c>
      <c r="CX14" s="78">
        <f>IF(SUM(CB14:CC14,CE14:CG14,CI14)-CD14-CH14&gt;0,SUM(CB14:CC14,CE14:CG14,CI14)-CD14-CH14,"")</f>
        <v>26</v>
      </c>
      <c r="CY14" s="78">
        <f>IF(SUM(CJ14:CK14,CM14)-CL14&gt;0,SUM(CJ14:CK14,CM14)-CL14,"")</f>
        <v>22.400000000000002</v>
      </c>
      <c r="CZ14" s="78">
        <f>IF(SUM(CC14,CG14,CK14)&gt;0,SUM(CC14,CG14,CK14),"")</f>
        <v>14</v>
      </c>
      <c r="DA14" s="78">
        <f>IF(SUM(CX14,CY14)&gt;0,SUM(CX14,CY14),"")</f>
        <v>48.400000000000006</v>
      </c>
      <c r="DB14" s="78" t="str">
        <f>IF(SUM(CO14,CS14)&gt;0,SUM(CO14,CS14),"")</f>
        <v/>
      </c>
      <c r="DC14" s="78" t="str">
        <f>IF(SUM(CN14:CO14,CQ14:CS14,CU14)-SUM(CP14,CT14)&gt;0,SUM(CN14:CO14,CQ14:CS14,CU14)-SUM(CP14,CT14),"")</f>
        <v/>
      </c>
      <c r="DD14" s="78">
        <f>IF(SUM(CX14,DC14)&gt;0,SUM(CX14,DC14),"")</f>
        <v>26</v>
      </c>
      <c r="DE14" s="79">
        <f>IF(K14&gt;=0.001,IF(MAX(EC14,FE14,GG14,HI14,IK14,JM14,KO14,LQ14,MS14,NU14,OW14,PY14)-IF(K14="",0,K14)&gt;0.001,MAX(EC14,FE14,GG14,HI14,IK14,JM14,KO14,LQ14,MS14,NU14,OW14,PY14)-IF(K14="",0,K14),""),"")</f>
        <v>23.599999999999994</v>
      </c>
      <c r="DF14" s="79" t="str">
        <f>IF(O14&gt;=0.001,IF(MAX(ED14,FF14,GH14,HJ14,IL14,JN14,KP14,LR14,MT14,NV14,OX14,PZ14)-IF(O14="",0,O14)&gt;0.001,MAX(ED14,FF14,GH14,HJ14,IL14,JN14,KP14,LR14,MT14,NV14,OX14,PZ14)-IF(O14="",0,O14),""),"")</f>
        <v/>
      </c>
      <c r="DG14" s="79" t="str">
        <f>IF(Q14&gt;=0.001,IF(MAX(EH14,FJ14,GL14,HN14,IP14,JR14,KT14,LV14,MX14,NZ14,PB14,QD14)-IF(Q14="",0,Q14)&gt;0.001,MAX(EH14,FJ14,GL14,HN14,IP14,JR14,KT14,LV14,MX14,NZ14,PB14,QD14)-IF(Q14="",0,Q14),""),"")</f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>IF(SUM(DI14,DM14)&gt;0,SUM(DI14,DM14),"")</f>
        <v/>
      </c>
      <c r="EC14" s="78" t="str">
        <f>IF(SUM(DH14:DI14,DK14:DM14,DO14)-DJ14-DN14&gt;0,SUM(DH14:DI14,DK14:DM14,DO14)-DJ14-DN14,"")</f>
        <v/>
      </c>
      <c r="ED14" s="78" t="str">
        <f>IF(SUM(DP14:DQ14,DS14)-DR14&gt;0,SUM(DP14:DQ14,DS14)-DR14,"")</f>
        <v/>
      </c>
      <c r="EE14" s="78" t="str">
        <f>IF(SUM(DI14,DM14,DQ14)&gt;0,SUM(DI14,DM14,DQ14),"")</f>
        <v/>
      </c>
      <c r="EF14" s="78" t="str">
        <f>IF(SUM(EC14,ED14)&gt;0,SUM(EC14,ED14),"")</f>
        <v/>
      </c>
      <c r="EG14" s="78" t="str">
        <f>IF(SUM(DU14,DY14)&gt;0,SUM(DU14,DY14),"")</f>
        <v/>
      </c>
      <c r="EH14" s="78" t="str">
        <f>IF(SUM(DT14:DU14,DW14:DY14,EA14)-SUM(DV14,DZ14)&gt;0,SUM(DT14:DU14,DW14:DY14,EA14)-SUM(DV14,DZ14),"")</f>
        <v/>
      </c>
      <c r="EI14" s="78" t="str">
        <f>IF(SUM(EC14,EH14)&gt;0,SUM(EC14,EH14),"")</f>
        <v/>
      </c>
      <c r="EJ14" s="25">
        <v>18.600000000000001</v>
      </c>
      <c r="EK14" s="25">
        <v>7.2</v>
      </c>
      <c r="EL14" s="25">
        <v>0.6</v>
      </c>
      <c r="EM14" s="25">
        <v>0</v>
      </c>
      <c r="EN14" s="25">
        <v>17.8</v>
      </c>
      <c r="EO14" s="25">
        <v>6.8</v>
      </c>
      <c r="EP14" s="25">
        <v>0.2</v>
      </c>
      <c r="EQ14" s="25">
        <v>0</v>
      </c>
      <c r="ER14" s="25"/>
      <c r="ES14" s="25"/>
      <c r="ET14" s="25"/>
      <c r="EU14" s="25"/>
      <c r="EV14" s="25">
        <v>18.600000000000001</v>
      </c>
      <c r="EW14" s="25">
        <v>7.2</v>
      </c>
      <c r="EX14" s="25">
        <v>0.2</v>
      </c>
      <c r="EY14" s="25">
        <v>0</v>
      </c>
      <c r="EZ14" s="25">
        <v>0</v>
      </c>
      <c r="FA14" s="25">
        <v>0</v>
      </c>
      <c r="FB14" s="25">
        <v>0</v>
      </c>
      <c r="FC14" s="25">
        <v>0</v>
      </c>
      <c r="FD14" s="19">
        <f>IF(SUM(EK14,EO14)&gt;0,SUM(EK14,EO14),"")</f>
        <v>14</v>
      </c>
      <c r="FE14" s="19">
        <f>IF(SUM(EJ14:EK14,EM14:EO14,EQ14)-EL14-EP14&gt;0,SUM(EJ14:EK14,EM14:EO14,EQ14)-EL14-EP14,"")</f>
        <v>49.599999999999994</v>
      </c>
      <c r="FF14" s="19" t="str">
        <f>IF(SUM(ER14:ES14,EU14)-ET14&gt;0,SUM(ER14:ES14,EU14)-ET14,"")</f>
        <v/>
      </c>
      <c r="FG14" s="19">
        <f>IF(SUM(EK14,EO14,ES14)&gt;0,SUM(EK14,EO14,ES14),"")</f>
        <v>14</v>
      </c>
      <c r="FH14" s="19">
        <f>IF(SUM(FE14,FF14)&gt;0,SUM(FE14,FF14),"")</f>
        <v>49.599999999999994</v>
      </c>
      <c r="FI14" s="19">
        <f>IF(SUM(EW14,FA14)&gt;0,SUM(EW14,FA14),"")</f>
        <v>7.2</v>
      </c>
      <c r="FJ14" s="19">
        <f>IF(SUM(EV14:EW14,EY14:FA14,FC14)-SUM(EX14,FB14)&gt;0,SUM(EV14:EW14,EY14:FA14,FC14)-SUM(EX14,FB14),"")</f>
        <v>25.6</v>
      </c>
      <c r="FK14" s="19">
        <f>IF(SUM(FE14,FJ14)&gt;0,SUM(FE14,FJ14),"")</f>
        <v>75.199999999999989</v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>IF(SUM(FM14,FQ14)&gt;0,SUM(FM14,FQ14),"")</f>
        <v/>
      </c>
      <c r="GG14" s="78" t="str">
        <f>IF(SUM(FL14:FM14,FO14:FQ14,FS14)-FN14-FR14&gt;0,SUM(FL14:FM14,FO14:FQ14,FS14)-FN14-FR14,"")</f>
        <v/>
      </c>
      <c r="GH14" s="78" t="str">
        <f>IF(SUM(FT14:FU14,FW14)-FV14&gt;0,SUM(FT14:FU14,FW14)-FV14,"")</f>
        <v/>
      </c>
      <c r="GI14" s="78" t="str">
        <f>IF(SUM(FM14,FQ14,FU14)&gt;0,SUM(FM14,FQ14,FU14),"")</f>
        <v/>
      </c>
      <c r="GJ14" s="78" t="str">
        <f>IF(SUM(GG14,GH14)&gt;0,SUM(GG14,GH14),"")</f>
        <v/>
      </c>
      <c r="GK14" s="78" t="str">
        <f>IF(SUM(FY14,GC14)&gt;0,SUM(FY14,GC14),"")</f>
        <v/>
      </c>
      <c r="GL14" s="78" t="str">
        <f>IF(SUM(FX14:FY14,GA14:GC14,GE14)-SUM(FZ14,GD14)&gt;0,SUM(FX14:FY14,GA14:GC14,GE14)-SUM(FZ14,GD14),"")</f>
        <v/>
      </c>
      <c r="GM14" s="78" t="str">
        <f>IF(SUM(GG14,GL14)&gt;0,SUM(GG14,GL14),"")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>IF(SUM(GO14,GS14)&gt;0,SUM(GO14,GS14),"")</f>
        <v/>
      </c>
      <c r="HI14" s="19" t="str">
        <f>IF(SUM(GN14:GO14,GQ14:GS14,GU14)-GP14-GT14&gt;0,SUM(GN14:GO14,GQ14:GS14,GU14)-GP14-GT14,"")</f>
        <v/>
      </c>
      <c r="HJ14" s="19" t="str">
        <f>IF(SUM(GV14:GW14,GY14)-GX14&gt;0,SUM(GV14:GW14,GY14)-GX14,"")</f>
        <v/>
      </c>
      <c r="HK14" s="19" t="str">
        <f>IF(SUM(GO14,GS14,GW14)&gt;0,SUM(GO14,GS14,GW14),"")</f>
        <v/>
      </c>
      <c r="HL14" s="19" t="str">
        <f>IF(SUM(HI14,HJ14)&gt;0,SUM(HI14,HJ14),"")</f>
        <v/>
      </c>
      <c r="HM14" s="19" t="str">
        <f>IF(SUM(HA14,HE14)&gt;0,SUM(HA14,HE14),"")</f>
        <v/>
      </c>
      <c r="HN14" s="19" t="str">
        <f>IF(SUM(GZ14:HA14,HC14:HE14,HG14)-SUM(HB14,HF14)&gt;0,SUM(GZ14:HA14,HC14:HE14,HG14)-SUM(HB14,HF14),"")</f>
        <v/>
      </c>
      <c r="HO14" s="19" t="str">
        <f>IF(SUM(HI14,HN14)&gt;0,SUM(HI14,HN14),"")</f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>IF(SUM(HQ14,HU14)&gt;0,SUM(HQ14,HU14),"")</f>
        <v/>
      </c>
      <c r="IK14" s="78" t="str">
        <f>IF(SUM(HP14:HQ14,HS14:HU14,HW14)-HR14-HV14&gt;0,SUM(HP14:HQ14,HS14:HU14,HW14)-HR14-HV14,"")</f>
        <v/>
      </c>
      <c r="IL14" s="78" t="str">
        <f>IF(SUM(HX14:HY14,IA14)-HZ14&gt;0,SUM(HX14:HY14,IA14)-HZ14,"")</f>
        <v/>
      </c>
      <c r="IM14" s="78" t="str">
        <f>IF(SUM(HQ14,HU14,HY14)&gt;0,SUM(HQ14,HU14,HY14),"")</f>
        <v/>
      </c>
      <c r="IN14" s="78" t="str">
        <f>IF(SUM(IK14,IL14)&gt;0,SUM(IK14,IL14),"")</f>
        <v/>
      </c>
      <c r="IO14" s="78" t="str">
        <f>IF(SUM(IC14,IG14)&gt;0,SUM(IC14,IG14),"")</f>
        <v/>
      </c>
      <c r="IP14" s="78" t="str">
        <f>IF(SUM(IB14:IC14,IE14:IG14,II14)-SUM(ID14,IH14)&gt;0,SUM(IB14:IC14,IE14:IG14,II14)-SUM(ID14,IH14),"")</f>
        <v/>
      </c>
      <c r="IQ14" s="78" t="str">
        <f>IF(SUM(IK14,IP14)&gt;0,SUM(IK14,IP14),"")</f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>IF(SUM(IS14,IW14)&gt;0,SUM(IS14,IW14),"")</f>
        <v/>
      </c>
      <c r="JM14" s="19" t="str">
        <f>IF(SUM(IR14:IS14,IU14:IW14,IY14)-IT14-IX14&gt;0,SUM(IR14:IS14,IU14:IW14,IY14)-IT14-IX14,"")</f>
        <v/>
      </c>
      <c r="JN14" s="19" t="str">
        <f>IF(SUM(IZ14:JA14,JC14)-JB14&gt;0,SUM(IZ14:JA14,JC14)-JB14,"")</f>
        <v/>
      </c>
      <c r="JO14" s="19" t="str">
        <f>IF(SUM(IS14,IW14,JA14)&gt;0,SUM(IS14,IW14,JA14),"")</f>
        <v/>
      </c>
      <c r="JP14" s="19" t="str">
        <f>IF(SUM(JM14,JN14)&gt;0,SUM(JM14,JN14),"")</f>
        <v/>
      </c>
      <c r="JQ14" s="19" t="str">
        <f>IF(SUM(JE14,JI14)&gt;0,SUM(JE14,JI14),"")</f>
        <v/>
      </c>
      <c r="JR14" s="19" t="str">
        <f>IF(SUM(JD14:JE14,JG14:JI14,JK14)-SUM(JF14,JJ14)&gt;0,SUM(JD14:JE14,JG14:JI14,JK14)-SUM(JF14,JJ14),"")</f>
        <v/>
      </c>
      <c r="JS14" s="19" t="str">
        <f>IF(SUM(JM14,JR14)&gt;0,SUM(JM14,JR14),"")</f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>IF(SUM(JU14,JY14)&gt;0,SUM(JU14,JY14),"")</f>
        <v/>
      </c>
      <c r="KO14" s="78" t="str">
        <f>IF(SUM(JT14:JU14,JW14:JY14,KA14)-JV14-JZ14&gt;0,SUM(JT14:JU14,JW14:JY14,KA14)-JV14-JZ14,"")</f>
        <v/>
      </c>
      <c r="KP14" s="78" t="str">
        <f>IF(SUM(KB14:KC14,KE14)-KD14&gt;0,SUM(KB14:KC14,KE14)-KD14,"")</f>
        <v/>
      </c>
      <c r="KQ14" s="78" t="str">
        <f>IF(SUM(JU14,JY14,KC14)&gt;0,SUM(JU14,JY14,KC14),"")</f>
        <v/>
      </c>
      <c r="KR14" s="78" t="str">
        <f>IF(SUM(KO14,KP14)&gt;0,SUM(KO14,KP14),"")</f>
        <v/>
      </c>
      <c r="KS14" s="78" t="str">
        <f>IF(SUM(KG14,KK14)&gt;0,SUM(KG14,KK14),"")</f>
        <v/>
      </c>
      <c r="KT14" s="78" t="str">
        <f>IF(SUM(KF14:KG14,KI14:KK14,KM14)-SUM(KH14,KL14)&gt;0,SUM(KF14:KG14,KI14:KK14,KM14)-SUM(KH14,KL14),"")</f>
        <v/>
      </c>
      <c r="KU14" s="78" t="str">
        <f>IF(SUM(KO14,KT14)&gt;0,SUM(KO14,KT14),"")</f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>IF(SUM(KW14,LA14)&gt;0,SUM(KW14,LA14),"")</f>
        <v/>
      </c>
      <c r="LQ14" s="19" t="str">
        <f>IF(SUM(KV14:KW14,KY14:LA14,LC14)-KX14-LB14&gt;0,SUM(KV14:KW14,KY14:LA14,LC14)-KX14-LB14,"")</f>
        <v/>
      </c>
      <c r="LR14" s="19" t="str">
        <f>IF(SUM(LD14:LE14,LG14)-LF14&gt;0,SUM(LD14:LE14,LG14)-LF14,"")</f>
        <v/>
      </c>
      <c r="LS14" s="19" t="str">
        <f>IF(SUM(KW14,LA14,LE14)&gt;0,SUM(KW14,LA14,LE14),"")</f>
        <v/>
      </c>
      <c r="LT14" s="19" t="str">
        <f>IF(SUM(LQ14,LR14)&gt;0,SUM(LQ14,LR14),"")</f>
        <v/>
      </c>
      <c r="LU14" s="19" t="str">
        <f>IF(SUM(LI14,LM14)&gt;0,SUM(LI14,LM14),"")</f>
        <v/>
      </c>
      <c r="LV14" s="19" t="str">
        <f>IF(SUM(LH14:LI14,LK14:LM14,LO14)-SUM(LJ14,LN14)&gt;0,SUM(LH14:LI14,LK14:LM14,LO14)-SUM(LJ14,LN14),"")</f>
        <v/>
      </c>
      <c r="LW14" s="19" t="str">
        <f>IF(SUM(LQ14,LV14)&gt;0,SUM(LQ14,LV14),"")</f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>IF(SUM(LY14,MC14)&gt;0,SUM(LY14,MC14),"")</f>
        <v/>
      </c>
      <c r="MS14" s="78" t="str">
        <f>IF(SUM(LX14:LY14,MA14:MC14,ME14)-LZ14-MD14&gt;0,SUM(LX14:LY14,MA14:MC14,ME14)-LZ14-MD14,"")</f>
        <v/>
      </c>
      <c r="MT14" s="78" t="str">
        <f>IF(SUM(MF14:MG14,MI14)-MH14&gt;0,SUM(MF14:MG14,MI14)-MH14,"")</f>
        <v/>
      </c>
      <c r="MU14" s="78" t="str">
        <f>IF(SUM(LY14,MC14,MG14)&gt;0,SUM(LY14,MC14,MG14),"")</f>
        <v/>
      </c>
      <c r="MV14" s="78" t="str">
        <f>IF(SUM(MS14,MT14)&gt;0,SUM(MS14,MT14),"")</f>
        <v/>
      </c>
      <c r="MW14" s="78" t="str">
        <f>IF(SUM(MK14,MO14)&gt;0,SUM(MK14,MO14),"")</f>
        <v/>
      </c>
      <c r="MX14" s="78" t="str">
        <f>IF(SUM(MJ14:MK14,MM14:MO14,MQ14)-SUM(ML14,MP14)&gt;0,SUM(MJ14:MK14,MM14:MO14,MQ14)-SUM(ML14,MP14),"")</f>
        <v/>
      </c>
      <c r="MY14" s="78" t="str">
        <f>IF(SUM(MS14,MX14)&gt;0,SUM(MS14,MX14),"")</f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>IF(SUM(NA14,NE14)&gt;0,SUM(NA14,NE14),"")</f>
        <v/>
      </c>
      <c r="NU14" s="19" t="str">
        <f>IF(SUM(MZ14:NA14,NC14:NE14,NG14)-NB14-NF14&gt;0,SUM(MZ14:NA14,NC14:NE14,NG14)-NB14-NF14,"")</f>
        <v/>
      </c>
      <c r="NV14" s="19" t="str">
        <f>IF(SUM(NH14:NI14,NK14)-NJ14&gt;0,SUM(NH14:NI14,NK14)-NJ14,"")</f>
        <v/>
      </c>
      <c r="NW14" s="19" t="str">
        <f>IF(SUM(NA14,NE14,NI14)&gt;0,SUM(NA14,NE14,NI14),"")</f>
        <v/>
      </c>
      <c r="NX14" s="19" t="str">
        <f>IF(SUM(NU14,NV14)&gt;0,SUM(NU14,NV14),"")</f>
        <v/>
      </c>
      <c r="NY14" s="19" t="str">
        <f>IF(SUM(NM14,NQ14)&gt;0,SUM(NM14,NQ14),"")</f>
        <v/>
      </c>
      <c r="NZ14" s="19" t="str">
        <f>IF(SUM(NL14:NM14,NO14:NQ14,NS14)-SUM(NN14,NR14)&gt;0,SUM(NL14:NM14,NO14:NQ14,NS14)-SUM(NN14,NR14),"")</f>
        <v/>
      </c>
      <c r="OA14" s="19" t="str">
        <f>IF(SUM(NU14,NZ14)&gt;0,SUM(NU14,NZ14),"")</f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>IF(SUM(OC14,OG14)&gt;0,SUM(OC14,OG14),"")</f>
        <v/>
      </c>
      <c r="OW14" s="78" t="str">
        <f>IF(SUM(OB14:OC14,OE14:OG14,OI14)-OD14-OH14&gt;0,SUM(OB14:OC14,OE14:OG14,OI14)-OD14-OH14,"")</f>
        <v/>
      </c>
      <c r="OX14" s="78" t="str">
        <f>IF(SUM(OJ14:OK14,OM14)-OL14&gt;0,SUM(OJ14:OK14,OM14)-OL14,"")</f>
        <v/>
      </c>
      <c r="OY14" s="78" t="str">
        <f>IF(SUM(OC14,OG14,OK14)&gt;0,SUM(OC14,OG14,OK14),"")</f>
        <v/>
      </c>
      <c r="OZ14" s="78" t="str">
        <f>IF(SUM(OW14,OX14)&gt;0,SUM(OW14,OX14),"")</f>
        <v/>
      </c>
      <c r="PA14" s="78" t="str">
        <f>IF(SUM(OO14,OS14)&gt;0,SUM(OO14,OS14),"")</f>
        <v/>
      </c>
      <c r="PB14" s="78" t="str">
        <f>IF(SUM(ON14:OO14,OQ14:OS14,OU14)-SUM(OP14,OT14)&gt;0,SUM(ON14:OO14,OQ14:OS14,OU14)-SUM(OP14,OT14),"")</f>
        <v/>
      </c>
      <c r="PC14" s="78" t="str">
        <f>IF(SUM(OW14,PB14)&gt;0,SUM(OW14,PB14),"")</f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>IF(SUM(PE14,PI14)&gt;0,SUM(PE14,PI14),"")</f>
        <v/>
      </c>
      <c r="PY14" s="19" t="str">
        <f>IF(SUM(PD14:PE14,PG14:PI14,PK14)-PF14-PJ14&gt;0,SUM(PD14:PE14,PG14:PI14,PK14)-PF14-PJ14,"")</f>
        <v/>
      </c>
      <c r="PZ14" s="19" t="str">
        <f>IF(SUM(PL14:PM14,PO14)-PN14&gt;0,SUM(PL14:PM14,PO14)-PN14,"")</f>
        <v/>
      </c>
      <c r="QA14" s="19" t="str">
        <f>IF(SUM(PE14,PI14,PM14)&gt;0,SUM(PE14,PI14,PM14),"")</f>
        <v/>
      </c>
      <c r="QB14" s="19" t="str">
        <f>IF(SUM(PY14,PZ14)&gt;0,SUM(PY14,PZ14),"")</f>
        <v/>
      </c>
      <c r="QC14" s="19" t="str">
        <f>IF(SUM(PQ14,PU14)&gt;0,SUM(PQ14,PU14),"")</f>
        <v/>
      </c>
      <c r="QD14" s="19" t="str">
        <f>IF(SUM(PP14:PQ14,PS14:PU14,PW14)-SUM(PR14,PV14)&gt;0,SUM(PP14:PQ14,PS14:PU14,PW14)-SUM(PR14,PV14),"")</f>
        <v/>
      </c>
      <c r="QE14" s="19" t="str">
        <f>IF(SUM(PY14,QD14)&gt;0,SUM(PY14,QD14),"")</f>
        <v/>
      </c>
      <c r="QF14" s="37">
        <f>IF($CV14="P",CB14,(CB14+AY14)/2)</f>
        <v>18.899999999999999</v>
      </c>
      <c r="QG14" s="37">
        <f>IF($CV14="P",CC14,(CC14+AZ14)/2)</f>
        <v>6.6</v>
      </c>
      <c r="QH14" s="37">
        <f>IF($CV14="P",CD14,(CD14+BA14)/2)</f>
        <v>0.2</v>
      </c>
      <c r="QI14" s="37">
        <f>IF($CV14="P",CE14,(CE14+BB14)/2)</f>
        <v>0</v>
      </c>
      <c r="QJ14" s="37">
        <f>IF($CV14="P",CF14,(CF14+BC14)/2)</f>
        <v>0</v>
      </c>
      <c r="QK14" s="37">
        <f>IF($CV14="P",CG14,(CG14+BD14)/2)</f>
        <v>0</v>
      </c>
      <c r="QL14" s="37">
        <f>IF($CV14="P",CH14,(CH14+BE14)/2)</f>
        <v>0</v>
      </c>
      <c r="QM14" s="37">
        <f>IF($CV14="P",CI14,(CI14+BF14)/2)</f>
        <v>0</v>
      </c>
      <c r="QN14" s="37">
        <f>IF($CV14="P",CJ14,(CJ14+BG14)/2)</f>
        <v>8.3000000000000007</v>
      </c>
      <c r="QO14" s="37">
        <f>IF($CV14="P",CK14,(CK14+BH14)/2)</f>
        <v>3.4</v>
      </c>
      <c r="QP14" s="37">
        <f>IF($CV14="P",CL14,(CL14+BI14)/2)</f>
        <v>0.5</v>
      </c>
      <c r="QQ14" s="37">
        <f>IF($CV14="P",CM14,(CM14+BJ14)/2)</f>
        <v>0</v>
      </c>
      <c r="QR14" s="37">
        <f>IF($CV14="P",CN14,(CN14+BK14)/2)</f>
        <v>0</v>
      </c>
      <c r="QS14" s="37">
        <f>IF($CV14="P",CO14,(CO14+BL14)/2)</f>
        <v>0</v>
      </c>
      <c r="QT14" s="37">
        <f>IF($CV14="P",CP14,(CP14+BM14)/2)</f>
        <v>0</v>
      </c>
      <c r="QU14" s="37">
        <f>IF($CV14="P",CQ14,(CQ14+BN14)/2)</f>
        <v>0</v>
      </c>
      <c r="QV14" s="37">
        <f>IF($CV14="P",CR14,(CR14+BO14)/2)</f>
        <v>0</v>
      </c>
      <c r="QW14" s="37">
        <f>IF($CV14="P",CS14,(CS14+BP14)/2)</f>
        <v>0</v>
      </c>
      <c r="QX14" s="37">
        <f>IF($CV14="P",CT14,(CT14+BQ14)/2)</f>
        <v>0</v>
      </c>
      <c r="QY14" s="37">
        <f>IF($CV14="P",CU14,(CU14+BR14)/2)</f>
        <v>0</v>
      </c>
      <c r="QZ14" s="44" t="s">
        <v>46</v>
      </c>
      <c r="RA14" s="78">
        <f>IF(SUM(QG14,QK14)&gt;0,SUM(QG14,QK14),"")</f>
        <v>6.6</v>
      </c>
      <c r="RB14" s="78">
        <f>IF(SUM(QF14:QG14,QI14:QK14,QM14)-QH14-QL14&gt;0,SUM(QF14:QG14,QI14:QK14,QM14)-QH14-QL14,"")</f>
        <v>25.3</v>
      </c>
      <c r="RC14" s="78">
        <f>IF(SUM(QN14:QO14,QQ14)-QP14&gt;0,SUM(QN14:QO14,QQ14)-QP14,"")</f>
        <v>11.200000000000001</v>
      </c>
      <c r="RD14" s="78">
        <f>IF(SUM(QG14,QK14,QO14)&gt;0,SUM(QG14,QK14,QO14),"")</f>
        <v>10</v>
      </c>
      <c r="RE14" s="78">
        <f>IF(SUM(RB14,RC14)&gt;0,SUM(RB14,RC14),"")</f>
        <v>36.5</v>
      </c>
      <c r="RF14" s="78" t="str">
        <f>IF(SUM(QS14,QW14)&gt;0,SUM(QS14,QW14),"")</f>
        <v/>
      </c>
      <c r="RG14" s="78" t="str">
        <f>IF(SUM(QR14:QS14,QU14:QW14,QY14)-SUM(QT14,QX14)&gt;0,SUM(QR14:QS14,QU14:QW14,QY14)-SUM(QT14,QX14),"")</f>
        <v/>
      </c>
      <c r="RH14" s="78">
        <f>IF(SUM(RB14,RG14)&gt;0,SUM(RB14,RG14),"")</f>
        <v>25.3</v>
      </c>
    </row>
    <row r="15" spans="1:476" x14ac:dyDescent="0.2">
      <c r="A15" s="5">
        <f>IF(AND(F15="P",G15="P"),SUMPRODUCT((F$4:F$32="P")*(G$4:G$32="P")*(E$4:E$32&gt;E15))+1,IF(G15="P",SUMPRODUCT((F$4:F$32="")*(G$4:G$32="P")*(E$4:E$32&gt;E15))+1+SUMPRODUCT((F$4:F$32="P")*(G$4:G$32="P")),""))</f>
        <v>12</v>
      </c>
      <c r="B15" s="77" t="s">
        <v>138</v>
      </c>
      <c r="C15" s="5" t="s">
        <v>3</v>
      </c>
      <c r="D15" s="5">
        <v>2005</v>
      </c>
      <c r="E15" s="15">
        <f>SUM(I15:S15)+SUM(I15:O15)*0.0000001+SUM(I15)*0.0000000000001</f>
        <v>123.400007430005</v>
      </c>
      <c r="F15" s="3" t="str">
        <f>IF(OR(AND(AQ15&gt;=AX$34,AR15&gt;=AX$38,AQ15&lt;&gt;"",AP15=""),AND(AV15&gt;=AX$34,AW15&gt;=AX$38,AV15&lt;&gt;"",AP15=""),AND(BT15&gt;=CA$34,BU15&gt;=CA$38,BT15&lt;&gt;"",BS15=""),AND(BY15&gt;=CA$34,BZ15&gt;=CA$38,BY15&lt;&gt;"",BS15=""),AND(CW15&gt;=DD$34,CX15&gt;=DD$38,CW15&lt;&gt;"",CV15=""),AND(DB15&gt;=DD$34,DC15&gt;=DD$38,DB15&lt;&gt;""),AND(EB15&gt;=EI$34,EC15&gt;=EI$38,EB15&lt;&gt;""),AND(EG15&gt;=EI$34,EH15&gt;=EI$38,EG15&lt;&gt;""),AND(FD15&gt;=FK$34,FE15&gt;=FK$38,FD15&lt;&gt;""),AND(FI15&gt;=FK$34,FJ15&gt;=FK$38,FI15&lt;&gt;""),AND(GF15&gt;=GM$34,GG15&gt;=GM$38,GF15&lt;&gt;""),AND(GK15&gt;=GM$34,GL15&gt;=GM$38,GK15&lt;&gt;""),AND(HH15&gt;=HO$34,HI15&gt;=HO$38,HH15&lt;&gt;""),AND(HM15&gt;=HO$34,HN15&gt;=HO$38,HM15&lt;&gt;""),AND(IJ15&gt;=IQ$34,IK15&gt;=IQ$38,IJ15&lt;&gt;""),AND(IO15&gt;=IQ$34,IP15&gt;=IQ$38,IO15&lt;&gt;""),AND(JL15&gt;=JS$34,JM15&gt;=JS$38,JL15&lt;&gt;""),AND(JQ15&gt;=JS$34,JR15&gt;=JS$38,JQ15&lt;&gt;""),AND(KN15&gt;=KU$34,KO15&gt;=KU$38,KN15&lt;&gt;""),AND(KS15&gt;=KU$34,KT15&gt;=KU$38,KS15&lt;&gt;""),AND(LP15&gt;=LW$34,LQ15&gt;=LW$38,LP15&lt;&gt;""),AND(LU15&gt;=LW$34,LV15&gt;=LW$38,LU15&lt;&gt;""),AND(MR15&gt;=MY$34,MS15&gt;=MY$38,MR15&lt;&gt;""),AND(MW15&gt;=MY$34,MX15&gt;=MY$38,MW15&lt;&gt;""),AND(NT15&gt;=OA$34,NU15&gt;=OA$38,NT15&lt;&gt;""),AND(NY15&gt;=OA$34,NZ15&gt;=OA$38,NY15&lt;&gt;""),AND(OV15&gt;=PC$34,OW15&gt;=PC$38,OV15&lt;&gt;""),AND(PA15&gt;=PC$34,PB15&gt;=PC$38,PA15&lt;&gt;""),AND(PX15&gt;=QE$34,PY15&gt;=QE$38,PX15&lt;&gt;""),AND(QC15&gt;=QE$34,QD15&gt;=QE$38,QC15&lt;&gt;"")),"P","")</f>
        <v>P</v>
      </c>
      <c r="G15" s="3" t="str">
        <f>IF(OR(AND(AR15&gt;=AX$38,AR15&lt;&gt;"",AP15=""),AND(AW15&gt;=AX$38,AW15&lt;&gt;"",AP15=""),AND(BU15&gt;=CA$38,BU15&lt;&gt;"",BS15=""),AND(BZ15&gt;=CA$38,BZ15&lt;&gt;"",BS15=""),AND(CX15&gt;=DD$38,CX15&lt;&gt;"",CV15=""),AND(DC15&gt;=DD$38,DC15&lt;&gt;"",CV15=""),AND(EC15&gt;=EI$38,EC15&lt;&gt;""),AND(EH15&gt;=EI$38,EH15&lt;&gt;""),AND(FE15&gt;=FK$38,FE15&lt;&gt;""),AND(FJ15&gt;=FK$38,FJ15&lt;&gt;""),AND(GG15&gt;=GM$38,GG15&lt;&gt;""),AND(GL15&gt;=GM$38,GL15&lt;&gt;""),AND(HI15&gt;=HO$38,HI15&lt;&gt;""),AND(HN15&gt;=HO$38,HN15&lt;&gt;""),AND(IK15&gt;=IQ$38,IK15&lt;&gt;""),AND(IP15&gt;=IQ$38,IP15&lt;&gt;""),AND(JM15&gt;=JS$38,JM15&lt;&gt;""),AND(JR15&gt;=JS$38,JR15&lt;&gt;""),AND(KO15&gt;=KU$38,KO15&lt;&gt;""),AND(KT15&gt;=KU$38,KT15&lt;&gt;""),AND(LQ15&gt;=LW$38,LQ15&lt;&gt;""),AND(LV15&gt;=LW$38,LV15&lt;&gt;""),AND(MS15&gt;=MY$38,MS15&lt;&gt;""),AND(MX15&gt;=MY$38,MX15&lt;&gt;""),AND(NU15&gt;=OA$38,NU15&lt;&gt;""),AND(NZ15&gt;=OA$38,NZ15&lt;&gt;""),AND(OW15&gt;=PC$38,OW15&lt;&gt;""),AND(PB15&gt;=PC$38,PB15&lt;&gt;""),AND(PY15&gt;=QE$38,PY15&lt;&gt;""),AND(QD15&gt;=QE$38,QD15&lt;&gt;"")),"P","")</f>
        <v>P</v>
      </c>
      <c r="H15" s="66" t="str">
        <f>IF(AND(G15="P",F15=""),"No DD",IF(OR(AND(AT15&gt;=AX$37,AU15&gt;=AX$41,AT15&lt;&gt;"",AP15=""),AND(BW15&gt;=CA$37,BX15&gt;=CA$41,BW15&lt;&gt;"",BS15=""),AND(CZ15&gt;=DD$37,DA15&gt;=DD$41,CZ15&lt;&gt;"",CV15=""),AND(EE15&gt;=EI$37,EF15&gt;=EI$41,EE15&lt;&gt;""),AND(FG15&gt;=FK$37,FH15&gt;=FK$41,FG15&lt;&gt;""),AND(GI15&gt;=GM$37,GJ15&gt;=GM$41,GI15&lt;&gt;""),AND(HK15&gt;=HO$37,HL15&gt;=HO$41,HK15&lt;&gt;""),AND(IM15&gt;=IQ$37,IN15&gt;=IQ$41,IM15&lt;&gt;""),AND(JO15&gt;=JS$37,JP15&gt;=JS$41,JO15&lt;&gt;""),AND(KQ15&gt;=KU$37,KR15&gt;=KU$41,KQ15&lt;&gt;""),AND(LS15&gt;=LW$37,LT15&gt;=LW$41,LS15&lt;&gt;""),AND(MU15&gt;=MY$37,MV15&gt;=MY$41,MU15&lt;&gt;""),AND(NW15&gt;=OA$37,NX15&gt;=OA$41,NW15&lt;&gt;""),AND(OY15&gt;=PC$37,OZ15&gt;=PC$41,OY15&lt;&gt;""),AND(QA15&gt;=QE$37,QB15&gt;=QE$41,QA15&lt;&gt;"")),"Merit",IF(OR(AND(AT15&gt;=AX$36,AU15&gt;=AX$40,AT15&lt;&gt;"",AP15=""),AND(BW15&gt;=CA$36,BX15&gt;=CA$40,BW15&lt;&gt;"",BS15=""),AND(CZ15&gt;=DD$36,DA15&gt;=DD$40,CZ15&lt;&gt;"",CV15=""),AND(EE15&gt;=EI$36,EF15&gt;=EI$40,EE15&lt;&gt;""),AND(FG15&gt;=FK$36,FH15&gt;=FK$40,FG15&lt;&gt;""),AND(GI15&gt;=GM$36,GJ15&gt;=GM$40,GI15&lt;&gt;""),AND(HK15&gt;=HO$36,HL15&gt;=HO$40,HK15&lt;&gt;""),AND(IM15&gt;=IQ$36,IN15&gt;=IQ$40,IM15&lt;&gt;""),AND(JO15&gt;=JS$36,JP15&gt;=JS$40,JO15&lt;&gt;""),AND(KQ15&gt;=KU$36,KR15&gt;=KU$40,KQ15&lt;&gt;""),AND(LS15&gt;=LW$36,LT15&gt;=LW$40,LS15&lt;&gt;""),AND(MU15&gt;=MY$36,MV15&gt;=MY$40,MU15&lt;&gt;""),AND(NW15&gt;=OA$36,NX15&gt;=OA$40,NW15&lt;&gt;""),AND(OY15&gt;=PC$36,OZ15&gt;=PC$40,OY15&lt;&gt;""),AND(QA15&gt;=QE$36,QB15&gt;=QE$40,QA15&lt;&gt;"")),"Excellence",IF(F15="P","National Team",""))))</f>
        <v>National Team</v>
      </c>
      <c r="I15" s="14">
        <f>IF(COUNT(AR15,BU15,CX15)&gt;0,LARGE((AR15,BU15,CX15),1),0)</f>
        <v>50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24.299999999999997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49.1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19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6">
        <v>19</v>
      </c>
      <c r="W15" s="26">
        <v>6</v>
      </c>
      <c r="X15" s="26">
        <v>0</v>
      </c>
      <c r="Y15" s="26">
        <v>0</v>
      </c>
      <c r="Z15" s="26">
        <v>19.399999999999999</v>
      </c>
      <c r="AA15" s="26">
        <v>5.6</v>
      </c>
      <c r="AB15" s="26">
        <v>0</v>
      </c>
      <c r="AC15" s="26">
        <v>0</v>
      </c>
      <c r="AD15" s="26">
        <v>19.2</v>
      </c>
      <c r="AE15" s="26">
        <v>5.0999999999999996</v>
      </c>
      <c r="AF15" s="26">
        <v>0</v>
      </c>
      <c r="AG15" s="26">
        <v>0</v>
      </c>
      <c r="AH15" s="26">
        <v>19</v>
      </c>
      <c r="AI15" s="26">
        <v>6</v>
      </c>
      <c r="AJ15" s="26">
        <v>0.2</v>
      </c>
      <c r="AK15" s="26">
        <v>0</v>
      </c>
      <c r="AL15" s="26">
        <v>19.3</v>
      </c>
      <c r="AM15" s="26">
        <v>5.6</v>
      </c>
      <c r="AN15" s="26">
        <v>0.6</v>
      </c>
      <c r="AO15" s="26">
        <v>0</v>
      </c>
      <c r="AP15" s="44"/>
      <c r="AQ15" s="78">
        <f>IF(SUM(W15,AA15)&gt;0,SUM(W15,AA15),"")</f>
        <v>11.6</v>
      </c>
      <c r="AR15" s="78">
        <f>IF(SUM(V15:W15,Y15:AA15,AC15)-X15-AB15&gt;0,SUM(V15:W15,Y15:AA15,AC15)-X15-AB15,"")</f>
        <v>50</v>
      </c>
      <c r="AS15" s="78">
        <f>IF(SUM(AD15:AE15,AG15)-AF15&gt;0,SUM(AD15:AE15,AG15)-AF15,"")</f>
        <v>24.299999999999997</v>
      </c>
      <c r="AT15" s="78">
        <f>IF(SUM(W15,AA15,AE15)&gt;0,SUM(W15,AA15,AE15),"")</f>
        <v>16.7</v>
      </c>
      <c r="AU15" s="78">
        <f>IF(SUM(AR15,AS15)&gt;0,SUM(AR15,AS15),"")</f>
        <v>74.3</v>
      </c>
      <c r="AV15" s="78">
        <f>IF(SUM(AI15,AM15)&gt;0,SUM(AI15,AM15),"")</f>
        <v>11.6</v>
      </c>
      <c r="AW15" s="78">
        <f>IF(SUM(AH15:AI15,AK15:AM15,AO15)-SUM(AJ15,AN15)&gt;0,SUM(AH15:AI15,AK15:AM15,AO15)-SUM(AJ15,AN15),"")</f>
        <v>49.1</v>
      </c>
      <c r="AX15" s="78">
        <f>IF(SUM(AR15,AW15)&gt;0,SUM(AR15,AW15),"")</f>
        <v>99.1</v>
      </c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45"/>
      <c r="BT15" s="19" t="str">
        <f>IF(SUM(AZ15,BD15)&gt;0,SUM(AZ15,BD15),"")</f>
        <v/>
      </c>
      <c r="BU15" s="19" t="str">
        <f>IF(SUM(AY15:AZ15,BB15:BD15,BF15)-BA15-BE15&gt;0,SUM(AY15:AZ15,BB15:BD15,BF15)-BA15-BE15,"")</f>
        <v/>
      </c>
      <c r="BV15" s="19" t="str">
        <f>IF(SUM(BG15:BH15,BJ15)-BI15&gt;0,SUM(BG15:BH15,BJ15)-BI15,"")</f>
        <v/>
      </c>
      <c r="BW15" s="19" t="str">
        <f>IF(SUM(AZ15,BD15,BH15)&gt;0,SUM(AZ15,BD15,BH15),"")</f>
        <v/>
      </c>
      <c r="BX15" s="19" t="str">
        <f>IF(SUM(BU15,BV15)&gt;0,SUM(BU15,BV15),"")</f>
        <v/>
      </c>
      <c r="BY15" s="19" t="str">
        <f>IF(SUM(BL15,BP15)&gt;0,SUM(BL15,BP15),"")</f>
        <v/>
      </c>
      <c r="BZ15" s="19" t="str">
        <f>IF(SUM(BK15:BL15,BN15:BP15,BR15)-SUM(BM15,BQ15)&gt;0,SUM(BK15:BL15,BN15:BP15,BR15)-SUM(BM15,BQ15),"")</f>
        <v/>
      </c>
      <c r="CA15" s="19" t="str">
        <f>IF(SUM(BU15,BZ15)&gt;0,SUM(BU15,BZ15),"")</f>
        <v/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>IF(SUM(CC15,CG15)&gt;0,SUM(CC15,CG15),"")</f>
        <v/>
      </c>
      <c r="CX15" s="78" t="str">
        <f>IF(SUM(CB15:CC15,CE15:CG15,CI15)-CD15-CH15&gt;0,SUM(CB15:CC15,CE15:CG15,CI15)-CD15-CH15,"")</f>
        <v/>
      </c>
      <c r="CY15" s="78" t="str">
        <f>IF(SUM(CJ15:CK15,CM15)-CL15&gt;0,SUM(CJ15:CK15,CM15)-CL15,"")</f>
        <v/>
      </c>
      <c r="CZ15" s="78" t="str">
        <f>IF(SUM(CC15,CG15,CK15)&gt;0,SUM(CC15,CG15,CK15),"")</f>
        <v/>
      </c>
      <c r="DA15" s="78" t="str">
        <f>IF(SUM(CX15,CY15)&gt;0,SUM(CX15,CY15),"")</f>
        <v/>
      </c>
      <c r="DB15" s="78" t="str">
        <f>IF(SUM(CO15,CS15)&gt;0,SUM(CO15,CS15),"")</f>
        <v/>
      </c>
      <c r="DC15" s="78" t="str">
        <f>IF(SUM(CN15:CO15,CQ15:CS15,CU15)-SUM(CP15,CT15)&gt;0,SUM(CN15:CO15,CQ15:CS15,CU15)-SUM(CP15,CT15),"")</f>
        <v/>
      </c>
      <c r="DD15" s="78" t="str">
        <f>IF(SUM(CX15,DC15)&gt;0,SUM(CX15,DC15),"")</f>
        <v/>
      </c>
      <c r="DE15" s="79" t="str">
        <f>IF(K15&gt;=0.001,IF(MAX(EC15,FE15,GG15,HI15,IK15,JM15,KO15,LQ15,MS15,NU15,OW15,PY15)-IF(K15="",0,K15)&gt;0.001,MAX(EC15,FE15,GG15,HI15,IK15,JM15,KO15,LQ15,MS15,NU15,OW15,PY15)-IF(K15="",0,K15),""),"")</f>
        <v/>
      </c>
      <c r="DF15" s="79" t="str">
        <f>IF(O15&gt;=0.001,IF(MAX(ED15,FF15,GH15,HJ15,IL15,JN15,KP15,LR15,MT15,NV15,OX15,PZ15)-IF(O15="",0,O15)&gt;0.001,MAX(ED15,FF15,GH15,HJ15,IL15,JN15,KP15,LR15,MT15,NV15,OX15,PZ15)-IF(O15="",0,O15),""),"")</f>
        <v/>
      </c>
      <c r="DG15" s="79" t="str">
        <f>IF(Q15&gt;=0.001,IF(MAX(EH15,FJ15,GL15,HN15,IP15,JR15,KT15,LV15,MX15,NZ15,PB15,QD15)-IF(Q15="",0,Q15)&gt;0.001,MAX(EH15,FJ15,GL15,HN15,IP15,JR15,KT15,LV15,MX15,NZ15,PB15,QD15)-IF(Q15="",0,Q15),""),"")</f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>IF(SUM(DI15,DM15)&gt;0,SUM(DI15,DM15),"")</f>
        <v/>
      </c>
      <c r="EC15" s="78" t="str">
        <f>IF(SUM(DH15:DI15,DK15:DM15,DO15)-DJ15-DN15&gt;0,SUM(DH15:DI15,DK15:DM15,DO15)-DJ15-DN15,"")</f>
        <v/>
      </c>
      <c r="ED15" s="78" t="str">
        <f>IF(SUM(DP15:DQ15,DS15)-DR15&gt;0,SUM(DP15:DQ15,DS15)-DR15,"")</f>
        <v/>
      </c>
      <c r="EE15" s="78" t="str">
        <f>IF(SUM(DI15,DM15,DQ15)&gt;0,SUM(DI15,DM15,DQ15),"")</f>
        <v/>
      </c>
      <c r="EF15" s="78" t="str">
        <f>IF(SUM(EC15,ED15)&gt;0,SUM(EC15,ED15),"")</f>
        <v/>
      </c>
      <c r="EG15" s="78" t="str">
        <f>IF(SUM(DU15,DY15)&gt;0,SUM(DU15,DY15),"")</f>
        <v/>
      </c>
      <c r="EH15" s="78" t="str">
        <f>IF(SUM(DT15:DU15,DW15:DY15,EA15)-SUM(DV15,DZ15)&gt;0,SUM(DT15:DU15,DW15:DY15,EA15)-SUM(DV15,DZ15),"")</f>
        <v/>
      </c>
      <c r="EI15" s="78" t="str">
        <f>IF(SUM(EC15,EH15)&gt;0,SUM(EC15,EH15),"")</f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>IF(SUM(EK15,EO15)&gt;0,SUM(EK15,EO15),"")</f>
        <v/>
      </c>
      <c r="FE15" s="19" t="str">
        <f>IF(SUM(EJ15:EK15,EM15:EO15,EQ15)-EL15-EP15&gt;0,SUM(EJ15:EK15,EM15:EO15,EQ15)-EL15-EP15,"")</f>
        <v/>
      </c>
      <c r="FF15" s="19" t="str">
        <f>IF(SUM(ER15:ES15,EU15)-ET15&gt;0,SUM(ER15:ES15,EU15)-ET15,"")</f>
        <v/>
      </c>
      <c r="FG15" s="19" t="str">
        <f>IF(SUM(EK15,EO15,ES15)&gt;0,SUM(EK15,EO15,ES15),"")</f>
        <v/>
      </c>
      <c r="FH15" s="19" t="str">
        <f>IF(SUM(FE15,FF15)&gt;0,SUM(FE15,FF15),"")</f>
        <v/>
      </c>
      <c r="FI15" s="19" t="str">
        <f>IF(SUM(EW15,FA15)&gt;0,SUM(EW15,FA15),"")</f>
        <v/>
      </c>
      <c r="FJ15" s="19" t="str">
        <f>IF(SUM(EV15:EW15,EY15:FA15,FC15)-SUM(EX15,FB15)&gt;0,SUM(EV15:EW15,EY15:FA15,FC15)-SUM(EX15,FB15),"")</f>
        <v/>
      </c>
      <c r="FK15" s="19" t="str">
        <f>IF(SUM(FE15,FJ15)&gt;0,SUM(FE15,FJ15),"")</f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>IF(SUM(FM15,FQ15)&gt;0,SUM(FM15,FQ15),"")</f>
        <v/>
      </c>
      <c r="GG15" s="78" t="str">
        <f>IF(SUM(FL15:FM15,FO15:FQ15,FS15)-FN15-FR15&gt;0,SUM(FL15:FM15,FO15:FQ15,FS15)-FN15-FR15,"")</f>
        <v/>
      </c>
      <c r="GH15" s="78" t="str">
        <f>IF(SUM(FT15:FU15,FW15)-FV15&gt;0,SUM(FT15:FU15,FW15)-FV15,"")</f>
        <v/>
      </c>
      <c r="GI15" s="78" t="str">
        <f>IF(SUM(FM15,FQ15,FU15)&gt;0,SUM(FM15,FQ15,FU15),"")</f>
        <v/>
      </c>
      <c r="GJ15" s="78" t="str">
        <f>IF(SUM(GG15,GH15)&gt;0,SUM(GG15,GH15),"")</f>
        <v/>
      </c>
      <c r="GK15" s="78" t="str">
        <f>IF(SUM(FY15,GC15)&gt;0,SUM(FY15,GC15),"")</f>
        <v/>
      </c>
      <c r="GL15" s="78" t="str">
        <f>IF(SUM(FX15:FY15,GA15:GC15,GE15)-SUM(FZ15,GD15)&gt;0,SUM(FX15:FY15,GA15:GC15,GE15)-SUM(FZ15,GD15),"")</f>
        <v/>
      </c>
      <c r="GM15" s="78" t="str">
        <f>IF(SUM(GG15,GL15)&gt;0,SUM(GG15,GL15),"")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>IF(SUM(GO15,GS15)&gt;0,SUM(GO15,GS15),"")</f>
        <v/>
      </c>
      <c r="HI15" s="19" t="str">
        <f>IF(SUM(GN15:GO15,GQ15:GS15,GU15)-GP15-GT15&gt;0,SUM(GN15:GO15,GQ15:GS15,GU15)-GP15-GT15,"")</f>
        <v/>
      </c>
      <c r="HJ15" s="19" t="str">
        <f>IF(SUM(GV15:GW15,GY15)-GX15&gt;0,SUM(GV15:GW15,GY15)-GX15,"")</f>
        <v/>
      </c>
      <c r="HK15" s="19" t="str">
        <f>IF(SUM(GO15,GS15,GW15)&gt;0,SUM(GO15,GS15,GW15),"")</f>
        <v/>
      </c>
      <c r="HL15" s="19" t="str">
        <f>IF(SUM(HI15,HJ15)&gt;0,SUM(HI15,HJ15),"")</f>
        <v/>
      </c>
      <c r="HM15" s="19" t="str">
        <f>IF(SUM(HA15,HE15)&gt;0,SUM(HA15,HE15),"")</f>
        <v/>
      </c>
      <c r="HN15" s="19" t="str">
        <f>IF(SUM(GZ15:HA15,HC15:HE15,HG15)-SUM(HB15,HF15)&gt;0,SUM(GZ15:HA15,HC15:HE15,HG15)-SUM(HB15,HF15),"")</f>
        <v/>
      </c>
      <c r="HO15" s="19" t="str">
        <f>IF(SUM(HI15,HN15)&gt;0,SUM(HI15,HN15),"")</f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>IF(SUM(HQ15,HU15)&gt;0,SUM(HQ15,HU15),"")</f>
        <v/>
      </c>
      <c r="IK15" s="78" t="str">
        <f>IF(SUM(HP15:HQ15,HS15:HU15,HW15)-HR15-HV15&gt;0,SUM(HP15:HQ15,HS15:HU15,HW15)-HR15-HV15,"")</f>
        <v/>
      </c>
      <c r="IL15" s="78" t="str">
        <f>IF(SUM(HX15:HY15,IA15)-HZ15&gt;0,SUM(HX15:HY15,IA15)-HZ15,"")</f>
        <v/>
      </c>
      <c r="IM15" s="78" t="str">
        <f>IF(SUM(HQ15,HU15,HY15)&gt;0,SUM(HQ15,HU15,HY15),"")</f>
        <v/>
      </c>
      <c r="IN15" s="78" t="str">
        <f>IF(SUM(IK15,IL15)&gt;0,SUM(IK15,IL15),"")</f>
        <v/>
      </c>
      <c r="IO15" s="78" t="str">
        <f>IF(SUM(IC15,IG15)&gt;0,SUM(IC15,IG15),"")</f>
        <v/>
      </c>
      <c r="IP15" s="78" t="str">
        <f>IF(SUM(IB15:IC15,IE15:IG15,II15)-SUM(ID15,IH15)&gt;0,SUM(IB15:IC15,IE15:IG15,II15)-SUM(ID15,IH15),"")</f>
        <v/>
      </c>
      <c r="IQ15" s="78" t="str">
        <f>IF(SUM(IK15,IP15)&gt;0,SUM(IK15,IP15),"")</f>
        <v/>
      </c>
      <c r="IR15" s="25">
        <v>18.600000000000001</v>
      </c>
      <c r="IS15" s="25">
        <v>6.8</v>
      </c>
      <c r="IT15" s="25">
        <v>0.2</v>
      </c>
      <c r="IU15" s="25">
        <v>0</v>
      </c>
      <c r="IV15" s="25">
        <v>18.899999999999999</v>
      </c>
      <c r="IW15" s="25">
        <v>6.4</v>
      </c>
      <c r="IX15" s="25">
        <v>0.2</v>
      </c>
      <c r="IY15" s="25">
        <v>0</v>
      </c>
      <c r="IZ15" s="25"/>
      <c r="JA15" s="25"/>
      <c r="JB15" s="25"/>
      <c r="JC15" s="25"/>
      <c r="JD15" s="25">
        <v>18.5</v>
      </c>
      <c r="JE15" s="25">
        <v>5.6</v>
      </c>
      <c r="JF15" s="25">
        <v>0.8</v>
      </c>
      <c r="JG15" s="25">
        <v>0</v>
      </c>
      <c r="JH15" s="25"/>
      <c r="JI15" s="25"/>
      <c r="JJ15" s="25"/>
      <c r="JK15" s="25"/>
      <c r="JL15" s="19">
        <f>IF(SUM(IS15,IW15)&gt;0,SUM(IS15,IW15),"")</f>
        <v>13.2</v>
      </c>
      <c r="JM15" s="19">
        <f>IF(SUM(IR15:IS15,IU15:IW15,IY15)-IT15-IX15&gt;0,SUM(IR15:IS15,IU15:IW15,IY15)-IT15-IX15,"")</f>
        <v>50.29999999999999</v>
      </c>
      <c r="JN15" s="19" t="str">
        <f>IF(SUM(IZ15:JA15,JC15)-JB15&gt;0,SUM(IZ15:JA15,JC15)-JB15,"")</f>
        <v/>
      </c>
      <c r="JO15" s="19">
        <f>IF(SUM(IS15,IW15,JA15)&gt;0,SUM(IS15,IW15,JA15),"")</f>
        <v>13.2</v>
      </c>
      <c r="JP15" s="19">
        <f>IF(SUM(JM15,JN15)&gt;0,SUM(JM15,JN15),"")</f>
        <v>50.29999999999999</v>
      </c>
      <c r="JQ15" s="19">
        <f>IF(SUM(JE15,JI15)&gt;0,SUM(JE15,JI15),"")</f>
        <v>5.6</v>
      </c>
      <c r="JR15" s="19">
        <f>IF(SUM(JD15:JE15,JG15:JI15,JK15)-SUM(JF15,JJ15)&gt;0,SUM(JD15:JE15,JG15:JI15,JK15)-SUM(JF15,JJ15),"")</f>
        <v>23.3</v>
      </c>
      <c r="JS15" s="19">
        <f>IF(SUM(JM15,JR15)&gt;0,SUM(JM15,JR15),"")</f>
        <v>73.599999999999994</v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>IF(SUM(JU15,JY15)&gt;0,SUM(JU15,JY15),"")</f>
        <v/>
      </c>
      <c r="KO15" s="78" t="str">
        <f>IF(SUM(JT15:JU15,JW15:JY15,KA15)-JV15-JZ15&gt;0,SUM(JT15:JU15,JW15:JY15,KA15)-JV15-JZ15,"")</f>
        <v/>
      </c>
      <c r="KP15" s="78" t="str">
        <f>IF(SUM(KB15:KC15,KE15)-KD15&gt;0,SUM(KB15:KC15,KE15)-KD15,"")</f>
        <v/>
      </c>
      <c r="KQ15" s="78" t="str">
        <f>IF(SUM(JU15,JY15,KC15)&gt;0,SUM(JU15,JY15,KC15),"")</f>
        <v/>
      </c>
      <c r="KR15" s="78" t="str">
        <f>IF(SUM(KO15,KP15)&gt;0,SUM(KO15,KP15),"")</f>
        <v/>
      </c>
      <c r="KS15" s="78" t="str">
        <f>IF(SUM(KG15,KK15)&gt;0,SUM(KG15,KK15),"")</f>
        <v/>
      </c>
      <c r="KT15" s="78" t="str">
        <f>IF(SUM(KF15:KG15,KI15:KK15,KM15)-SUM(KH15,KL15)&gt;0,SUM(KF15:KG15,KI15:KK15,KM15)-SUM(KH15,KL15),"")</f>
        <v/>
      </c>
      <c r="KU15" s="78" t="str">
        <f>IF(SUM(KO15,KT15)&gt;0,SUM(KO15,KT15),"")</f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>IF(SUM(KW15,LA15)&gt;0,SUM(KW15,LA15),"")</f>
        <v/>
      </c>
      <c r="LQ15" s="19" t="str">
        <f>IF(SUM(KV15:KW15,KY15:LA15,LC15)-KX15-LB15&gt;0,SUM(KV15:KW15,KY15:LA15,LC15)-KX15-LB15,"")</f>
        <v/>
      </c>
      <c r="LR15" s="19" t="str">
        <f>IF(SUM(LD15:LE15,LG15)-LF15&gt;0,SUM(LD15:LE15,LG15)-LF15,"")</f>
        <v/>
      </c>
      <c r="LS15" s="19" t="str">
        <f>IF(SUM(KW15,LA15,LE15)&gt;0,SUM(KW15,LA15,LE15),"")</f>
        <v/>
      </c>
      <c r="LT15" s="19" t="str">
        <f>IF(SUM(LQ15,LR15)&gt;0,SUM(LQ15,LR15),"")</f>
        <v/>
      </c>
      <c r="LU15" s="19" t="str">
        <f>IF(SUM(LI15,LM15)&gt;0,SUM(LI15,LM15),"")</f>
        <v/>
      </c>
      <c r="LV15" s="19" t="str">
        <f>IF(SUM(LH15:LI15,LK15:LM15,LO15)-SUM(LJ15,LN15)&gt;0,SUM(LH15:LI15,LK15:LM15,LO15)-SUM(LJ15,LN15),"")</f>
        <v/>
      </c>
      <c r="LW15" s="19" t="str">
        <f>IF(SUM(LQ15,LV15)&gt;0,SUM(LQ15,LV15),"")</f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>IF(SUM(LY15,MC15)&gt;0,SUM(LY15,MC15),"")</f>
        <v/>
      </c>
      <c r="MS15" s="78" t="str">
        <f>IF(SUM(LX15:LY15,MA15:MC15,ME15)-LZ15-MD15&gt;0,SUM(LX15:LY15,MA15:MC15,ME15)-LZ15-MD15,"")</f>
        <v/>
      </c>
      <c r="MT15" s="78" t="str">
        <f>IF(SUM(MF15:MG15,MI15)-MH15&gt;0,SUM(MF15:MG15,MI15)-MH15,"")</f>
        <v/>
      </c>
      <c r="MU15" s="78" t="str">
        <f>IF(SUM(LY15,MC15,MG15)&gt;0,SUM(LY15,MC15,MG15),"")</f>
        <v/>
      </c>
      <c r="MV15" s="78" t="str">
        <f>IF(SUM(MS15,MT15)&gt;0,SUM(MS15,MT15),"")</f>
        <v/>
      </c>
      <c r="MW15" s="78" t="str">
        <f>IF(SUM(MK15,MO15)&gt;0,SUM(MK15,MO15),"")</f>
        <v/>
      </c>
      <c r="MX15" s="78" t="str">
        <f>IF(SUM(MJ15:MK15,MM15:MO15,MQ15)-SUM(ML15,MP15)&gt;0,SUM(MJ15:MK15,MM15:MO15,MQ15)-SUM(ML15,MP15),"")</f>
        <v/>
      </c>
      <c r="MY15" s="78" t="str">
        <f>IF(SUM(MS15,MX15)&gt;0,SUM(MS15,MX15),"")</f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>IF(SUM(NA15,NE15)&gt;0,SUM(NA15,NE15),"")</f>
        <v/>
      </c>
      <c r="NU15" s="19" t="str">
        <f>IF(SUM(MZ15:NA15,NC15:NE15,NG15)-NB15-NF15&gt;0,SUM(MZ15:NA15,NC15:NE15,NG15)-NB15-NF15,"")</f>
        <v/>
      </c>
      <c r="NV15" s="19" t="str">
        <f>IF(SUM(NH15:NI15,NK15)-NJ15&gt;0,SUM(NH15:NI15,NK15)-NJ15,"")</f>
        <v/>
      </c>
      <c r="NW15" s="19" t="str">
        <f>IF(SUM(NA15,NE15,NI15)&gt;0,SUM(NA15,NE15,NI15),"")</f>
        <v/>
      </c>
      <c r="NX15" s="19" t="str">
        <f>IF(SUM(NU15,NV15)&gt;0,SUM(NU15,NV15),"")</f>
        <v/>
      </c>
      <c r="NY15" s="19" t="str">
        <f>IF(SUM(NM15,NQ15)&gt;0,SUM(NM15,NQ15),"")</f>
        <v/>
      </c>
      <c r="NZ15" s="19" t="str">
        <f>IF(SUM(NL15:NM15,NO15:NQ15,NS15)-SUM(NN15,NR15)&gt;0,SUM(NL15:NM15,NO15:NQ15,NS15)-SUM(NN15,NR15),"")</f>
        <v/>
      </c>
      <c r="OA15" s="19" t="str">
        <f>IF(SUM(NU15,NZ15)&gt;0,SUM(NU15,NZ15),"")</f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>IF(SUM(OC15,OG15)&gt;0,SUM(OC15,OG15),"")</f>
        <v/>
      </c>
      <c r="OW15" s="78" t="str">
        <f>IF(SUM(OB15:OC15,OE15:OG15,OI15)-OD15-OH15&gt;0,SUM(OB15:OC15,OE15:OG15,OI15)-OD15-OH15,"")</f>
        <v/>
      </c>
      <c r="OX15" s="78" t="str">
        <f>IF(SUM(OJ15:OK15,OM15)-OL15&gt;0,SUM(OJ15:OK15,OM15)-OL15,"")</f>
        <v/>
      </c>
      <c r="OY15" s="78" t="str">
        <f>IF(SUM(OC15,OG15,OK15)&gt;0,SUM(OC15,OG15,OK15),"")</f>
        <v/>
      </c>
      <c r="OZ15" s="78" t="str">
        <f>IF(SUM(OW15,OX15)&gt;0,SUM(OW15,OX15),"")</f>
        <v/>
      </c>
      <c r="PA15" s="78" t="str">
        <f>IF(SUM(OO15,OS15)&gt;0,SUM(OO15,OS15),"")</f>
        <v/>
      </c>
      <c r="PB15" s="78" t="str">
        <f>IF(SUM(ON15:OO15,OQ15:OS15,OU15)-SUM(OP15,OT15)&gt;0,SUM(ON15:OO15,OQ15:OS15,OU15)-SUM(OP15,OT15),"")</f>
        <v/>
      </c>
      <c r="PC15" s="78" t="str">
        <f>IF(SUM(OW15,PB15)&gt;0,SUM(OW15,PB15),"")</f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>IF(SUM(PE15,PI15)&gt;0,SUM(PE15,PI15),"")</f>
        <v/>
      </c>
      <c r="PY15" s="19" t="str">
        <f>IF(SUM(PD15:PE15,PG15:PI15,PK15)-PF15-PJ15&gt;0,SUM(PD15:PE15,PG15:PI15,PK15)-PF15-PJ15,"")</f>
        <v/>
      </c>
      <c r="PZ15" s="19" t="str">
        <f>IF(SUM(PL15:PM15,PO15)-PN15&gt;0,SUM(PL15:PM15,PO15)-PN15,"")</f>
        <v/>
      </c>
      <c r="QA15" s="19" t="str">
        <f>IF(SUM(PE15,PI15,PM15)&gt;0,SUM(PE15,PI15,PM15),"")</f>
        <v/>
      </c>
      <c r="QB15" s="19" t="str">
        <f>IF(SUM(PY15,PZ15)&gt;0,SUM(PY15,PZ15),"")</f>
        <v/>
      </c>
      <c r="QC15" s="19" t="str">
        <f>IF(SUM(PQ15,PU15)&gt;0,SUM(PQ15,PU15),"")</f>
        <v/>
      </c>
      <c r="QD15" s="19" t="str">
        <f>IF(SUM(PP15:PQ15,PS15:PU15,PW15)-SUM(PR15,PV15)&gt;0,SUM(PP15:PQ15,PS15:PU15,PW15)-SUM(PR15,PV15),"")</f>
        <v/>
      </c>
      <c r="QE15" s="19" t="str">
        <f>IF(SUM(PY15,QD15)&gt;0,SUM(PY15,QD15),"")</f>
        <v/>
      </c>
      <c r="QF15" s="37">
        <f>IF($CV15="P",CB15,(CB15+AY15)/2)</f>
        <v>0</v>
      </c>
      <c r="QG15" s="37">
        <f>IF($CV15="P",CC15,(CC15+AZ15)/2)</f>
        <v>0</v>
      </c>
      <c r="QH15" s="37">
        <f>IF($CV15="P",CD15,(CD15+BA15)/2)</f>
        <v>0</v>
      </c>
      <c r="QI15" s="37">
        <f>IF($CV15="P",CE15,(CE15+BB15)/2)</f>
        <v>0</v>
      </c>
      <c r="QJ15" s="37">
        <f>IF($CV15="P",CF15,(CF15+BC15)/2)</f>
        <v>0</v>
      </c>
      <c r="QK15" s="37">
        <f>IF($CV15="P",CG15,(CG15+BD15)/2)</f>
        <v>0</v>
      </c>
      <c r="QL15" s="37">
        <f>IF($CV15="P",CH15,(CH15+BE15)/2)</f>
        <v>0</v>
      </c>
      <c r="QM15" s="37">
        <f>IF($CV15="P",CI15,(CI15+BF15)/2)</f>
        <v>0</v>
      </c>
      <c r="QN15" s="37">
        <f>IF($CV15="P",CJ15,(CJ15+BG15)/2)</f>
        <v>0</v>
      </c>
      <c r="QO15" s="37">
        <f>IF($CV15="P",CK15,(CK15+BH15)/2)</f>
        <v>0</v>
      </c>
      <c r="QP15" s="37">
        <f>IF($CV15="P",CL15,(CL15+BI15)/2)</f>
        <v>0</v>
      </c>
      <c r="QQ15" s="37">
        <f>IF($CV15="P",CM15,(CM15+BJ15)/2)</f>
        <v>0</v>
      </c>
      <c r="QR15" s="37">
        <f>IF($CV15="P",CN15,(CN15+BK15)/2)</f>
        <v>0</v>
      </c>
      <c r="QS15" s="37">
        <f>IF($CV15="P",CO15,(CO15+BL15)/2)</f>
        <v>0</v>
      </c>
      <c r="QT15" s="37">
        <f>IF($CV15="P",CP15,(CP15+BM15)/2)</f>
        <v>0</v>
      </c>
      <c r="QU15" s="37">
        <f>IF($CV15="P",CQ15,(CQ15+BN15)/2)</f>
        <v>0</v>
      </c>
      <c r="QV15" s="37">
        <f>IF($CV15="P",CR15,(CR15+BO15)/2)</f>
        <v>0</v>
      </c>
      <c r="QW15" s="37">
        <f>IF($CV15="P",CS15,(CS15+BP15)/2)</f>
        <v>0</v>
      </c>
      <c r="QX15" s="37">
        <f>IF($CV15="P",CT15,(CT15+BQ15)/2)</f>
        <v>0</v>
      </c>
      <c r="QY15" s="37">
        <f>IF($CV15="P",CU15,(CU15+BR15)/2)</f>
        <v>0</v>
      </c>
      <c r="QZ15" s="44" t="s">
        <v>46</v>
      </c>
      <c r="RA15" s="78" t="str">
        <f>IF(SUM(QG15,QK15)&gt;0,SUM(QG15,QK15),"")</f>
        <v/>
      </c>
      <c r="RB15" s="78" t="str">
        <f>IF(SUM(QF15:QG15,QI15:QK15,QM15)-QH15-QL15&gt;0,SUM(QF15:QG15,QI15:QK15,QM15)-QH15-QL15,"")</f>
        <v/>
      </c>
      <c r="RC15" s="78" t="str">
        <f>IF(SUM(QN15:QO15,QQ15)-QP15&gt;0,SUM(QN15:QO15,QQ15)-QP15,"")</f>
        <v/>
      </c>
      <c r="RD15" s="78" t="str">
        <f>IF(SUM(QG15,QK15,QO15)&gt;0,SUM(QG15,QK15,QO15),"")</f>
        <v/>
      </c>
      <c r="RE15" s="78" t="str">
        <f>IF(SUM(RB15,RC15)&gt;0,SUM(RB15,RC15),"")</f>
        <v/>
      </c>
      <c r="RF15" s="78" t="str">
        <f>IF(SUM(QS15,QW15)&gt;0,SUM(QS15,QW15),"")</f>
        <v/>
      </c>
      <c r="RG15" s="78" t="str">
        <f>IF(SUM(QR15:QS15,QU15:QW15,QY15)-SUM(QT15,QX15)&gt;0,SUM(QR15:QS15,QU15:QW15,QY15)-SUM(QT15,QX15),"")</f>
        <v/>
      </c>
      <c r="RH15" s="78" t="str">
        <f>IF(SUM(RB15,RG15)&gt;0,SUM(RB15,RG15),"")</f>
        <v/>
      </c>
    </row>
    <row r="16" spans="1:476" x14ac:dyDescent="0.2">
      <c r="A16" s="5">
        <f>IF(AND(F16="P",G16="P"),SUMPRODUCT((F$4:F$32="P")*(G$4:G$32="P")*(E$4:E$32&gt;E16))+1,IF(G16="P",SUMPRODUCT((F$4:F$32="")*(G$4:G$32="P")*(E$4:E$32&gt;E16))+1+SUMPRODUCT((F$4:F$32="P")*(G$4:G$32="P")),""))</f>
        <v>13</v>
      </c>
      <c r="B16" s="77" t="s">
        <v>171</v>
      </c>
      <c r="C16" s="5" t="s">
        <v>5</v>
      </c>
      <c r="D16" s="5">
        <v>2001</v>
      </c>
      <c r="E16" s="15">
        <f>SUM(I16:S16)+SUM(I16:O16)*0.0000001+SUM(I16)*0.0000000000001</f>
        <v>118.90000720000475</v>
      </c>
      <c r="F16" s="3" t="str">
        <f>IF(OR(AND(AQ16&gt;=AX$34,AR16&gt;=AX$38,AQ16&lt;&gt;"",AP16=""),AND(AV16&gt;=AX$34,AW16&gt;=AX$38,AV16&lt;&gt;"",AP16=""),AND(BT16&gt;=CA$34,BU16&gt;=CA$38,BT16&lt;&gt;"",BS16=""),AND(BY16&gt;=CA$34,BZ16&gt;=CA$38,BY16&lt;&gt;"",BS16=""),AND(CW16&gt;=DD$34,CX16&gt;=DD$38,CW16&lt;&gt;"",CV16=""),AND(DB16&gt;=DD$34,DC16&gt;=DD$38,DB16&lt;&gt;""),AND(EB16&gt;=EI$34,EC16&gt;=EI$38,EB16&lt;&gt;""),AND(EG16&gt;=EI$34,EH16&gt;=EI$38,EG16&lt;&gt;""),AND(FD16&gt;=FK$34,FE16&gt;=FK$38,FD16&lt;&gt;""),AND(FI16&gt;=FK$34,FJ16&gt;=FK$38,FI16&lt;&gt;""),AND(GF16&gt;=GM$34,GG16&gt;=GM$38,GF16&lt;&gt;""),AND(GK16&gt;=GM$34,GL16&gt;=GM$38,GK16&lt;&gt;""),AND(HH16&gt;=HO$34,HI16&gt;=HO$38,HH16&lt;&gt;""),AND(HM16&gt;=HO$34,HN16&gt;=HO$38,HM16&lt;&gt;""),AND(IJ16&gt;=IQ$34,IK16&gt;=IQ$38,IJ16&lt;&gt;""),AND(IO16&gt;=IQ$34,IP16&gt;=IQ$38,IO16&lt;&gt;""),AND(JL16&gt;=JS$34,JM16&gt;=JS$38,JL16&lt;&gt;""),AND(JQ16&gt;=JS$34,JR16&gt;=JS$38,JQ16&lt;&gt;""),AND(KN16&gt;=KU$34,KO16&gt;=KU$38,KN16&lt;&gt;""),AND(KS16&gt;=KU$34,KT16&gt;=KU$38,KS16&lt;&gt;""),AND(LP16&gt;=LW$34,LQ16&gt;=LW$38,LP16&lt;&gt;""),AND(LU16&gt;=LW$34,LV16&gt;=LW$38,LU16&lt;&gt;""),AND(MR16&gt;=MY$34,MS16&gt;=MY$38,MR16&lt;&gt;""),AND(MW16&gt;=MY$34,MX16&gt;=MY$38,MW16&lt;&gt;""),AND(NT16&gt;=OA$34,NU16&gt;=OA$38,NT16&lt;&gt;""),AND(NY16&gt;=OA$34,NZ16&gt;=OA$38,NY16&lt;&gt;""),AND(OV16&gt;=PC$34,OW16&gt;=PC$38,OV16&lt;&gt;""),AND(PA16&gt;=PC$34,PB16&gt;=PC$38,PA16&lt;&gt;""),AND(PX16&gt;=QE$34,PY16&gt;=QE$38,PX16&lt;&gt;""),AND(QC16&gt;=QE$34,QD16&gt;=QE$38,QC16&lt;&gt;"")),"P","")</f>
        <v>P</v>
      </c>
      <c r="G16" s="3" t="str">
        <f>IF(OR(AND(AR16&gt;=AX$38,AR16&lt;&gt;"",AP16=""),AND(AW16&gt;=AX$38,AW16&lt;&gt;"",AP16=""),AND(BU16&gt;=CA$38,BU16&lt;&gt;"",BS16=""),AND(BZ16&gt;=CA$38,BZ16&lt;&gt;"",BS16=""),AND(CX16&gt;=DD$38,CX16&lt;&gt;"",CV16=""),AND(DC16&gt;=DD$38,DC16&lt;&gt;"",CV16=""),AND(EC16&gt;=EI$38,EC16&lt;&gt;""),AND(EH16&gt;=EI$38,EH16&lt;&gt;""),AND(FE16&gt;=FK$38,FE16&lt;&gt;""),AND(FJ16&gt;=FK$38,FJ16&lt;&gt;""),AND(GG16&gt;=GM$38,GG16&lt;&gt;""),AND(GL16&gt;=GM$38,GL16&lt;&gt;""),AND(HI16&gt;=HO$38,HI16&lt;&gt;""),AND(HN16&gt;=HO$38,HN16&lt;&gt;""),AND(IK16&gt;=IQ$38,IK16&lt;&gt;""),AND(IP16&gt;=IQ$38,IP16&lt;&gt;""),AND(JM16&gt;=JS$38,JM16&lt;&gt;""),AND(JR16&gt;=JS$38,JR16&lt;&gt;""),AND(KO16&gt;=KU$38,KO16&lt;&gt;""),AND(KT16&gt;=KU$38,KT16&lt;&gt;""),AND(LQ16&gt;=LW$38,LQ16&lt;&gt;""),AND(LV16&gt;=LW$38,LV16&lt;&gt;""),AND(MS16&gt;=MY$38,MS16&lt;&gt;""),AND(MX16&gt;=MY$38,MX16&lt;&gt;""),AND(NU16&gt;=OA$38,NU16&lt;&gt;""),AND(NZ16&gt;=OA$38,NZ16&lt;&gt;""),AND(OW16&gt;=PC$38,OW16&lt;&gt;""),AND(PB16&gt;=PC$38,PB16&lt;&gt;""),AND(PY16&gt;=QE$38,PY16&lt;&gt;""),AND(QD16&gt;=QE$38,QD16&lt;&gt;"")),"P","")</f>
        <v>P</v>
      </c>
      <c r="H16" s="66" t="str">
        <f>IF(AND(G16="P",F16=""),"No DD",IF(OR(AND(AT16&gt;=AX$37,AU16&gt;=AX$41,AT16&lt;&gt;"",AP16=""),AND(BW16&gt;=CA$37,BX16&gt;=CA$41,BW16&lt;&gt;"",BS16=""),AND(CZ16&gt;=DD$37,DA16&gt;=DD$41,CZ16&lt;&gt;"",CV16=""),AND(EE16&gt;=EI$37,EF16&gt;=EI$41,EE16&lt;&gt;""),AND(FG16&gt;=FK$37,FH16&gt;=FK$41,FG16&lt;&gt;""),AND(GI16&gt;=GM$37,GJ16&gt;=GM$41,GI16&lt;&gt;""),AND(HK16&gt;=HO$37,HL16&gt;=HO$41,HK16&lt;&gt;""),AND(IM16&gt;=IQ$37,IN16&gt;=IQ$41,IM16&lt;&gt;""),AND(JO16&gt;=JS$37,JP16&gt;=JS$41,JO16&lt;&gt;""),AND(KQ16&gt;=KU$37,KR16&gt;=KU$41,KQ16&lt;&gt;""),AND(LS16&gt;=LW$37,LT16&gt;=LW$41,LS16&lt;&gt;""),AND(MU16&gt;=MY$37,MV16&gt;=MY$41,MU16&lt;&gt;""),AND(NW16&gt;=OA$37,NX16&gt;=OA$41,NW16&lt;&gt;""),AND(OY16&gt;=PC$37,OZ16&gt;=PC$41,OY16&lt;&gt;""),AND(QA16&gt;=QE$37,QB16&gt;=QE$41,QA16&lt;&gt;"")),"Merit",IF(OR(AND(AT16&gt;=AX$36,AU16&gt;=AX$40,AT16&lt;&gt;"",AP16=""),AND(BW16&gt;=CA$36,BX16&gt;=CA$40,BW16&lt;&gt;"",BS16=""),AND(CZ16&gt;=DD$36,DA16&gt;=DD$40,CZ16&lt;&gt;"",CV16=""),AND(EE16&gt;=EI$36,EF16&gt;=EI$40,EE16&lt;&gt;""),AND(FG16&gt;=FK$36,FH16&gt;=FK$40,FG16&lt;&gt;""),AND(GI16&gt;=GM$36,GJ16&gt;=GM$40,GI16&lt;&gt;""),AND(HK16&gt;=HO$36,HL16&gt;=HO$40,HK16&lt;&gt;""),AND(IM16&gt;=IQ$36,IN16&gt;=IQ$40,IM16&lt;&gt;""),AND(JO16&gt;=JS$36,JP16&gt;=JS$40,JO16&lt;&gt;""),AND(KQ16&gt;=KU$36,KR16&gt;=KU$40,KQ16&lt;&gt;""),AND(LS16&gt;=LW$36,LT16&gt;=LW$40,LS16&lt;&gt;""),AND(MU16&gt;=MY$36,MV16&gt;=MY$40,MU16&lt;&gt;""),AND(NW16&gt;=OA$36,NX16&gt;=OA$40,NW16&lt;&gt;""),AND(OY16&gt;=PC$36,OZ16&gt;=PC$40,OY16&lt;&gt;""),AND(QA16&gt;=QE$36,QB16&gt;=QE$40,QA16&lt;&gt;"")),"Excellence",IF(F16="P","National Team",""))))</f>
        <v>National Team</v>
      </c>
      <c r="I16" s="14">
        <f>IF(COUNT(AR16,BU16,CX16)&gt;0,LARGE((AR16,BU16,CX16),1),0)</f>
        <v>47.499999999999993</v>
      </c>
      <c r="J16" s="14" t="str">
        <f>IF(I16=0,"",IF(I16=CX16,$CB$1,IF(I16=BU16,$AY$1,IF(I16=AR16,$V$1,""))))</f>
        <v>2022 Nationals</v>
      </c>
      <c r="K16" s="14">
        <f>IF(COUNT(AR16,BU16,CX16)&gt;1,LARGE((AR16,BU16,CX16),2),0)</f>
        <v>0</v>
      </c>
      <c r="L16" s="14" t="str">
        <f>IF(K16=0,"",IF(K16=CX16,$CB$1,IF(K16=BU16,$AY$1,IF(K16=AR16,$V$1,""))))</f>
        <v/>
      </c>
      <c r="M16" s="14">
        <f>IF(COUNT(AS16,BV16,CY16)&gt;0,LARGE((AS16,BV16,CY16),1),0)</f>
        <v>24.5</v>
      </c>
      <c r="N16" s="14" t="str">
        <f>IF(M16=0,"",IF(M16=CY16,$CB$1,IF(M16=BV16,$AY$1,IF(M16=AS16,$V$1,""))))</f>
        <v>2022 Nationals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39.500000000000007</v>
      </c>
      <c r="R16" s="14" t="str">
        <f>IF(Q16=0,"",IF(Q16=DC16,$CB$1,IF(Q16=BZ16,$AY$1,IF(Q16=AW16,$V$1,""))))</f>
        <v>2022 Nationals</v>
      </c>
      <c r="S16" s="14">
        <f>IF(MAX(DE16:DG16)&gt;0,MAX(DE16:DG16),"")</f>
        <v>7.3999999999999986</v>
      </c>
      <c r="T16" s="19" t="str">
        <f>IF(S16="","",IF(S16=DE16,"("&amp;DE$2&amp;")",IF(S16=DG16,"("&amp;DG$2&amp;")")))</f>
        <v>(Final)</v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>2022 World Games Technical Trial #2 (May 15)</v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>IF(SUM(W16,AA16)&gt;0,SUM(W16,AA16),"")</f>
        <v/>
      </c>
      <c r="AR16" s="78" t="str">
        <f>IF(SUM(V16:W16,Y16:AA16,AC16)-X16-AB16&gt;0,SUM(V16:W16,Y16:AA16,AC16)-X16-AB16,"")</f>
        <v/>
      </c>
      <c r="AS16" s="78" t="str">
        <f>IF(SUM(AD16:AE16,AG16)-AF16&gt;0,SUM(AD16:AE16,AG16)-AF16,"")</f>
        <v/>
      </c>
      <c r="AT16" s="78" t="str">
        <f>IF(SUM(W16,AA16,AE16)&gt;0,SUM(W16,AA16,AE16),"")</f>
        <v/>
      </c>
      <c r="AU16" s="78" t="str">
        <f>IF(SUM(AR16,AS16)&gt;0,SUM(AR16,AS16),"")</f>
        <v/>
      </c>
      <c r="AV16" s="78" t="str">
        <f>IF(SUM(AI16,AM16)&gt;0,SUM(AI16,AM16),"")</f>
        <v/>
      </c>
      <c r="AW16" s="78" t="str">
        <f>IF(SUM(AH16:AI16,AK16:AM16,AO16)-SUM(AJ16,AN16)&gt;0,SUM(AH16:AI16,AK16:AM16,AO16)-SUM(AJ16,AN16),"")</f>
        <v/>
      </c>
      <c r="AX16" s="78" t="str">
        <f>IF(SUM(AR16,AW16)&gt;0,SUM(AR16,AW16),"")</f>
        <v/>
      </c>
      <c r="AY16" s="25">
        <v>18.399999999999999</v>
      </c>
      <c r="AZ16" s="25">
        <v>5.2</v>
      </c>
      <c r="BA16" s="25">
        <v>1</v>
      </c>
      <c r="BB16" s="25">
        <v>0</v>
      </c>
      <c r="BC16" s="25">
        <v>18.2</v>
      </c>
      <c r="BD16" s="25">
        <v>6.9</v>
      </c>
      <c r="BE16" s="25">
        <v>0.2</v>
      </c>
      <c r="BF16" s="25">
        <v>0</v>
      </c>
      <c r="BG16" s="25">
        <v>18.7</v>
      </c>
      <c r="BH16" s="25">
        <v>6.4</v>
      </c>
      <c r="BI16" s="25">
        <v>0.6</v>
      </c>
      <c r="BJ16" s="25">
        <v>0</v>
      </c>
      <c r="BK16" s="25">
        <v>16.600000000000001</v>
      </c>
      <c r="BL16" s="25">
        <v>4.8</v>
      </c>
      <c r="BM16" s="25">
        <v>1.7999999999999998</v>
      </c>
      <c r="BN16" s="25">
        <v>0</v>
      </c>
      <c r="BO16" s="25">
        <v>17.5</v>
      </c>
      <c r="BP16" s="25">
        <v>2.4</v>
      </c>
      <c r="BQ16" s="25">
        <v>0</v>
      </c>
      <c r="BR16" s="25">
        <v>0</v>
      </c>
      <c r="BS16" s="45"/>
      <c r="BT16" s="19">
        <f>IF(SUM(AZ16,BD16)&gt;0,SUM(AZ16,BD16),"")</f>
        <v>12.100000000000001</v>
      </c>
      <c r="BU16" s="19">
        <f>IF(SUM(AY16:AZ16,BB16:BD16,BF16)-BA16-BE16&gt;0,SUM(AY16:AZ16,BB16:BD16,BF16)-BA16-BE16,"")</f>
        <v>47.499999999999993</v>
      </c>
      <c r="BV16" s="19">
        <f>IF(SUM(BG16:BH16,BJ16)-BI16&gt;0,SUM(BG16:BH16,BJ16)-BI16,"")</f>
        <v>24.5</v>
      </c>
      <c r="BW16" s="19">
        <f>IF(SUM(AZ16,BD16,BH16)&gt;0,SUM(AZ16,BD16,BH16),"")</f>
        <v>18.5</v>
      </c>
      <c r="BX16" s="19">
        <f>IF(SUM(BU16,BV16)&gt;0,SUM(BU16,BV16),"")</f>
        <v>72</v>
      </c>
      <c r="BY16" s="19">
        <f>IF(SUM(BL16,BP16)&gt;0,SUM(BL16,BP16),"")</f>
        <v>7.1999999999999993</v>
      </c>
      <c r="BZ16" s="19">
        <f>IF(SUM(BK16:BL16,BN16:BP16,BR16)-SUM(BM16,BQ16)&gt;0,SUM(BK16:BL16,BN16:BP16,BR16)-SUM(BM16,BQ16),"")</f>
        <v>39.500000000000007</v>
      </c>
      <c r="CA16" s="19">
        <f>IF(SUM(BU16,BZ16)&gt;0,SUM(BU16,BZ16),"")</f>
        <v>87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>IF(SUM(CC16,CG16)&gt;0,SUM(CC16,CG16),"")</f>
        <v/>
      </c>
      <c r="CX16" s="78" t="str">
        <f>IF(SUM(CB16:CC16,CE16:CG16,CI16)-CD16-CH16&gt;0,SUM(CB16:CC16,CE16:CG16,CI16)-CD16-CH16,"")</f>
        <v/>
      </c>
      <c r="CY16" s="78" t="str">
        <f>IF(SUM(CJ16:CK16,CM16)-CL16&gt;0,SUM(CJ16:CK16,CM16)-CL16,"")</f>
        <v/>
      </c>
      <c r="CZ16" s="78" t="str">
        <f>IF(SUM(CC16,CG16,CK16)&gt;0,SUM(CC16,CG16,CK16),"")</f>
        <v/>
      </c>
      <c r="DA16" s="78" t="str">
        <f>IF(SUM(CX16,CY16)&gt;0,SUM(CX16,CY16),"")</f>
        <v/>
      </c>
      <c r="DB16" s="78" t="str">
        <f>IF(SUM(CO16,CS16)&gt;0,SUM(CO16,CS16),"")</f>
        <v/>
      </c>
      <c r="DC16" s="78" t="str">
        <f>IF(SUM(CN16:CO16,CQ16:CS16,CU16)-SUM(CP16,CT16)&gt;0,SUM(CN16:CO16,CQ16:CS16,CU16)-SUM(CP16,CT16),"")</f>
        <v/>
      </c>
      <c r="DD16" s="78" t="str">
        <f>IF(SUM(CX16,DC16)&gt;0,SUM(CX16,DC16),"")</f>
        <v/>
      </c>
      <c r="DE16" s="79" t="str">
        <f>IF(K16&gt;=0.001,IF(MAX(EC16,FE16,GG16,HI16,IK16,JM16,KO16,LQ16,MS16,NU16,OW16,PY16)-IF(K16="",0,K16)&gt;0.001,MAX(EC16,FE16,GG16,HI16,IK16,JM16,KO16,LQ16,MS16,NU16,OW16,PY16)-IF(K16="",0,K16),""),"")</f>
        <v/>
      </c>
      <c r="DF16" s="79" t="str">
        <f>IF(O16&gt;=0.001,IF(MAX(ED16,FF16,GH16,HJ16,IL16,JN16,KP16,LR16,MT16,NV16,OX16,PZ16)-IF(O16="",0,O16)&gt;0.001,MAX(ED16,FF16,GH16,HJ16,IL16,JN16,KP16,LR16,MT16,NV16,OX16,PZ16)-IF(O16="",0,O16),""),"")</f>
        <v/>
      </c>
      <c r="DG16" s="79">
        <f>IF(Q16&gt;=0.001,IF(MAX(EH16,FJ16,GL16,HN16,IP16,JR16,KT16,LV16,MX16,NZ16,PB16,QD16)-IF(Q16="",0,Q16)&gt;0.001,MAX(EH16,FJ16,GL16,HN16,IP16,JR16,KT16,LV16,MX16,NZ16,PB16,QD16)-IF(Q16="",0,Q16),""),"")</f>
        <v>7.3999999999999986</v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>IF(SUM(DI16,DM16)&gt;0,SUM(DI16,DM16),"")</f>
        <v/>
      </c>
      <c r="EC16" s="78" t="str">
        <f>IF(SUM(DH16:DI16,DK16:DM16,DO16)-DJ16-DN16&gt;0,SUM(DH16:DI16,DK16:DM16,DO16)-DJ16-DN16,"")</f>
        <v/>
      </c>
      <c r="ED16" s="78" t="str">
        <f>IF(SUM(DP16:DQ16,DS16)-DR16&gt;0,SUM(DP16:DQ16,DS16)-DR16,"")</f>
        <v/>
      </c>
      <c r="EE16" s="78" t="str">
        <f>IF(SUM(DI16,DM16,DQ16)&gt;0,SUM(DI16,DM16,DQ16),"")</f>
        <v/>
      </c>
      <c r="EF16" s="78" t="str">
        <f>IF(SUM(EC16,ED16)&gt;0,SUM(EC16,ED16),"")</f>
        <v/>
      </c>
      <c r="EG16" s="78" t="str">
        <f>IF(SUM(DU16,DY16)&gt;0,SUM(DU16,DY16),"")</f>
        <v/>
      </c>
      <c r="EH16" s="78" t="str">
        <f>IF(SUM(DT16:DU16,DW16:DY16,EA16)-SUM(DV16,DZ16)&gt;0,SUM(DT16:DU16,DW16:DY16,EA16)-SUM(DV16,DZ16),"")</f>
        <v/>
      </c>
      <c r="EI16" s="78" t="str">
        <f>IF(SUM(EC16,EH16)&gt;0,SUM(EC16,EH16),"")</f>
        <v/>
      </c>
      <c r="EJ16" s="25">
        <v>18.600000000000001</v>
      </c>
      <c r="EK16" s="25">
        <v>7.7</v>
      </c>
      <c r="EL16" s="25">
        <v>0.2</v>
      </c>
      <c r="EM16" s="25">
        <v>0.3</v>
      </c>
      <c r="EN16" s="25">
        <v>18.5</v>
      </c>
      <c r="EO16" s="25">
        <v>7.6</v>
      </c>
      <c r="EP16" s="25">
        <v>0.6</v>
      </c>
      <c r="EQ16" s="25">
        <v>0</v>
      </c>
      <c r="ER16" s="25"/>
      <c r="ES16" s="25"/>
      <c r="ET16" s="25"/>
      <c r="EU16" s="25"/>
      <c r="EV16" s="25">
        <v>18.600000000000001</v>
      </c>
      <c r="EW16" s="25">
        <v>7.3</v>
      </c>
      <c r="EX16" s="25">
        <v>0.8</v>
      </c>
      <c r="EY16" s="25">
        <v>0</v>
      </c>
      <c r="EZ16" s="25">
        <v>17.2</v>
      </c>
      <c r="FA16" s="25">
        <v>3.2</v>
      </c>
      <c r="FB16" s="25">
        <v>0</v>
      </c>
      <c r="FC16" s="25">
        <v>0</v>
      </c>
      <c r="FD16" s="19">
        <f>IF(SUM(EK16,EO16)&gt;0,SUM(EK16,EO16),"")</f>
        <v>15.3</v>
      </c>
      <c r="FE16" s="19">
        <f>IF(SUM(EJ16:EK16,EM16:EO16,EQ16)-EL16-EP16&gt;0,SUM(EJ16:EK16,EM16:EO16,EQ16)-EL16-EP16,"")</f>
        <v>51.9</v>
      </c>
      <c r="FF16" s="19" t="str">
        <f>IF(SUM(ER16:ES16,EU16)-ET16&gt;0,SUM(ER16:ES16,EU16)-ET16,"")</f>
        <v/>
      </c>
      <c r="FG16" s="19">
        <f>IF(SUM(EK16,EO16,ES16)&gt;0,SUM(EK16,EO16,ES16),"")</f>
        <v>15.3</v>
      </c>
      <c r="FH16" s="19">
        <f>IF(SUM(FE16,FF16)&gt;0,SUM(FE16,FF16),"")</f>
        <v>51.9</v>
      </c>
      <c r="FI16" s="19">
        <f>IF(SUM(EW16,FA16)&gt;0,SUM(EW16,FA16),"")</f>
        <v>10.5</v>
      </c>
      <c r="FJ16" s="19">
        <f>IF(SUM(EV16:EW16,EY16:FA16,FC16)-SUM(EX16,FB16)&gt;0,SUM(EV16:EW16,EY16:FA16,FC16)-SUM(EX16,FB16),"")</f>
        <v>45.500000000000007</v>
      </c>
      <c r="FK16" s="19">
        <f>IF(SUM(FE16,FJ16)&gt;0,SUM(FE16,FJ16),"")</f>
        <v>97.4</v>
      </c>
      <c r="FL16" s="24">
        <v>18.399999999999999</v>
      </c>
      <c r="FM16" s="24">
        <v>6</v>
      </c>
      <c r="FN16" s="24">
        <v>0.8</v>
      </c>
      <c r="FO16" s="24">
        <v>0</v>
      </c>
      <c r="FP16" s="24">
        <v>18.600000000000001</v>
      </c>
      <c r="FQ16" s="24">
        <v>6</v>
      </c>
      <c r="FR16" s="24">
        <v>0</v>
      </c>
      <c r="FS16" s="24">
        <v>0</v>
      </c>
      <c r="FT16" s="24"/>
      <c r="FU16" s="24"/>
      <c r="FV16" s="24"/>
      <c r="FW16" s="24"/>
      <c r="FX16" s="24">
        <v>19.3</v>
      </c>
      <c r="FY16" s="24">
        <v>7.6</v>
      </c>
      <c r="FZ16" s="24">
        <v>0</v>
      </c>
      <c r="GA16" s="24">
        <v>0.3</v>
      </c>
      <c r="GB16" s="24">
        <v>18.3</v>
      </c>
      <c r="GC16" s="24">
        <v>3.7</v>
      </c>
      <c r="GD16" s="24">
        <v>2.2999999999999998</v>
      </c>
      <c r="GE16" s="24">
        <v>0</v>
      </c>
      <c r="GF16" s="78">
        <f>IF(SUM(FM16,FQ16)&gt;0,SUM(FM16,FQ16),"")</f>
        <v>12</v>
      </c>
      <c r="GG16" s="78">
        <f>IF(SUM(FL16:FM16,FO16:FQ16,FS16)-FN16-FR16&gt;0,SUM(FL16:FM16,FO16:FQ16,FS16)-FN16-FR16,"")</f>
        <v>48.2</v>
      </c>
      <c r="GH16" s="78" t="str">
        <f>IF(SUM(FT16:FU16,FW16)-FV16&gt;0,SUM(FT16:FU16,FW16)-FV16,"")</f>
        <v/>
      </c>
      <c r="GI16" s="78">
        <f>IF(SUM(FM16,FQ16,FU16)&gt;0,SUM(FM16,FQ16,FU16),"")</f>
        <v>12</v>
      </c>
      <c r="GJ16" s="78">
        <f>IF(SUM(GG16,GH16)&gt;0,SUM(GG16,GH16),"")</f>
        <v>48.2</v>
      </c>
      <c r="GK16" s="78">
        <f>IF(SUM(FY16,GC16)&gt;0,SUM(FY16,GC16),"")</f>
        <v>11.3</v>
      </c>
      <c r="GL16" s="78">
        <f>IF(SUM(FX16:FY16,GA16:GC16,GE16)-SUM(FZ16,GD16)&gt;0,SUM(FX16:FY16,GA16:GC16,GE16)-SUM(FZ16,GD16),"")</f>
        <v>46.900000000000006</v>
      </c>
      <c r="GM16" s="78">
        <f>IF(SUM(GG16,GL16)&gt;0,SUM(GG16,GL16),"")</f>
        <v>95.100000000000009</v>
      </c>
      <c r="GN16" s="25">
        <v>18.8</v>
      </c>
      <c r="GO16" s="25">
        <v>8</v>
      </c>
      <c r="GP16" s="25">
        <v>0.6</v>
      </c>
      <c r="GQ16" s="25">
        <v>0</v>
      </c>
      <c r="GR16" s="25">
        <v>18.100000000000001</v>
      </c>
      <c r="GS16" s="25">
        <v>7.6</v>
      </c>
      <c r="GT16" s="25">
        <v>0.6</v>
      </c>
      <c r="GU16" s="25">
        <v>0</v>
      </c>
      <c r="GV16" s="25"/>
      <c r="GW16" s="25"/>
      <c r="GX16" s="25"/>
      <c r="GY16" s="25"/>
      <c r="GZ16" s="25">
        <v>18.100000000000001</v>
      </c>
      <c r="HA16" s="25">
        <v>8.9</v>
      </c>
      <c r="HB16" s="25">
        <v>1</v>
      </c>
      <c r="HC16" s="25">
        <v>0</v>
      </c>
      <c r="HD16" s="25"/>
      <c r="HE16" s="25"/>
      <c r="HF16" s="25"/>
      <c r="HG16" s="25"/>
      <c r="HH16" s="19">
        <f>IF(SUM(GO16,GS16)&gt;0,SUM(GO16,GS16),"")</f>
        <v>15.6</v>
      </c>
      <c r="HI16" s="19">
        <f>IF(SUM(GN16:GO16,GQ16:GS16,GU16)-GP16-GT16&gt;0,SUM(GN16:GO16,GQ16:GS16,GU16)-GP16-GT16,"")</f>
        <v>51.300000000000004</v>
      </c>
      <c r="HJ16" s="19" t="str">
        <f>IF(SUM(GV16:GW16,GY16)-GX16&gt;0,SUM(GV16:GW16,GY16)-GX16,"")</f>
        <v/>
      </c>
      <c r="HK16" s="19">
        <f>IF(SUM(GO16,GS16,GW16)&gt;0,SUM(GO16,GS16,GW16),"")</f>
        <v>15.6</v>
      </c>
      <c r="HL16" s="19">
        <f>IF(SUM(HI16,HJ16)&gt;0,SUM(HI16,HJ16),"")</f>
        <v>51.300000000000004</v>
      </c>
      <c r="HM16" s="19">
        <f>IF(SUM(HA16,HE16)&gt;0,SUM(HA16,HE16),"")</f>
        <v>8.9</v>
      </c>
      <c r="HN16" s="19">
        <f>IF(SUM(GZ16:HA16,HC16:HE16,HG16)-SUM(HB16,HF16)&gt;0,SUM(GZ16:HA16,HC16:HE16,HG16)-SUM(HB16,HF16),"")</f>
        <v>26</v>
      </c>
      <c r="HO16" s="19">
        <f>IF(SUM(HI16,HN16)&gt;0,SUM(HI16,HN16),"")</f>
        <v>77.300000000000011</v>
      </c>
      <c r="HP16" s="24">
        <v>18.8</v>
      </c>
      <c r="HQ16" s="24">
        <v>8</v>
      </c>
      <c r="HR16" s="24">
        <v>0.2</v>
      </c>
      <c r="HS16" s="24">
        <v>0</v>
      </c>
      <c r="HT16" s="24">
        <v>17.399999999999999</v>
      </c>
      <c r="HU16" s="24">
        <v>4</v>
      </c>
      <c r="HV16" s="24">
        <v>0</v>
      </c>
      <c r="HW16" s="24">
        <v>0</v>
      </c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>
        <f>IF(SUM(HQ16,HU16)&gt;0,SUM(HQ16,HU16),"")</f>
        <v>12</v>
      </c>
      <c r="IK16" s="78">
        <f>IF(SUM(HP16:HQ16,HS16:HU16,HW16)-HR16-HV16&gt;0,SUM(HP16:HQ16,HS16:HU16,HW16)-HR16-HV16,"")</f>
        <v>48</v>
      </c>
      <c r="IL16" s="78" t="str">
        <f>IF(SUM(HX16:HY16,IA16)-HZ16&gt;0,SUM(HX16:HY16,IA16)-HZ16,"")</f>
        <v/>
      </c>
      <c r="IM16" s="78">
        <f>IF(SUM(HQ16,HU16,HY16)&gt;0,SUM(HQ16,HU16,HY16),"")</f>
        <v>12</v>
      </c>
      <c r="IN16" s="78">
        <f>IF(SUM(IK16,IL16)&gt;0,SUM(IK16,IL16),"")</f>
        <v>48</v>
      </c>
      <c r="IO16" s="78" t="str">
        <f>IF(SUM(IC16,IG16)&gt;0,SUM(IC16,IG16),"")</f>
        <v/>
      </c>
      <c r="IP16" s="78" t="str">
        <f>IF(SUM(IB16:IC16,IE16:IG16,II16)-SUM(ID16,IH16)&gt;0,SUM(IB16:IC16,IE16:IG16,II16)-SUM(ID16,IH16),"")</f>
        <v/>
      </c>
      <c r="IQ16" s="78">
        <f>IF(SUM(IK16,IP16)&gt;0,SUM(IK16,IP16),"")</f>
        <v>48</v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>IF(SUM(IS16,IW16)&gt;0,SUM(IS16,IW16),"")</f>
        <v/>
      </c>
      <c r="JM16" s="19" t="str">
        <f>IF(SUM(IR16:IS16,IU16:IW16,IY16)-IT16-IX16&gt;0,SUM(IR16:IS16,IU16:IW16,IY16)-IT16-IX16,"")</f>
        <v/>
      </c>
      <c r="JN16" s="19" t="str">
        <f>IF(SUM(IZ16:JA16,JC16)-JB16&gt;0,SUM(IZ16:JA16,JC16)-JB16,"")</f>
        <v/>
      </c>
      <c r="JO16" s="19" t="str">
        <f>IF(SUM(IS16,IW16,JA16)&gt;0,SUM(IS16,IW16,JA16),"")</f>
        <v/>
      </c>
      <c r="JP16" s="19" t="str">
        <f>IF(SUM(JM16,JN16)&gt;0,SUM(JM16,JN16),"")</f>
        <v/>
      </c>
      <c r="JQ16" s="19" t="str">
        <f>IF(SUM(JE16,JI16)&gt;0,SUM(JE16,JI16),"")</f>
        <v/>
      </c>
      <c r="JR16" s="19" t="str">
        <f>IF(SUM(JD16:JE16,JG16:JI16,JK16)-SUM(JF16,JJ16)&gt;0,SUM(JD16:JE16,JG16:JI16,JK16)-SUM(JF16,JJ16),"")</f>
        <v/>
      </c>
      <c r="JS16" s="19" t="str">
        <f>IF(SUM(JM16,JR16)&gt;0,SUM(JM16,JR16),"")</f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>IF(SUM(JU16,JY16)&gt;0,SUM(JU16,JY16),"")</f>
        <v/>
      </c>
      <c r="KO16" s="78" t="str">
        <f>IF(SUM(JT16:JU16,JW16:JY16,KA16)-JV16-JZ16&gt;0,SUM(JT16:JU16,JW16:JY16,KA16)-JV16-JZ16,"")</f>
        <v/>
      </c>
      <c r="KP16" s="78" t="str">
        <f>IF(SUM(KB16:KC16,KE16)-KD16&gt;0,SUM(KB16:KC16,KE16)-KD16,"")</f>
        <v/>
      </c>
      <c r="KQ16" s="78" t="str">
        <f>IF(SUM(JU16,JY16,KC16)&gt;0,SUM(JU16,JY16,KC16),"")</f>
        <v/>
      </c>
      <c r="KR16" s="78" t="str">
        <f>IF(SUM(KO16,KP16)&gt;0,SUM(KO16,KP16),"")</f>
        <v/>
      </c>
      <c r="KS16" s="78" t="str">
        <f>IF(SUM(KG16,KK16)&gt;0,SUM(KG16,KK16),"")</f>
        <v/>
      </c>
      <c r="KT16" s="78" t="str">
        <f>IF(SUM(KF16:KG16,KI16:KK16,KM16)-SUM(KH16,KL16)&gt;0,SUM(KF16:KG16,KI16:KK16,KM16)-SUM(KH16,KL16),"")</f>
        <v/>
      </c>
      <c r="KU16" s="78" t="str">
        <f>IF(SUM(KO16,KT16)&gt;0,SUM(KO16,KT16),"")</f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>IF(SUM(KW16,LA16)&gt;0,SUM(KW16,LA16),"")</f>
        <v/>
      </c>
      <c r="LQ16" s="19" t="str">
        <f>IF(SUM(KV16:KW16,KY16:LA16,LC16)-KX16-LB16&gt;0,SUM(KV16:KW16,KY16:LA16,LC16)-KX16-LB16,"")</f>
        <v/>
      </c>
      <c r="LR16" s="19" t="str">
        <f>IF(SUM(LD16:LE16,LG16)-LF16&gt;0,SUM(LD16:LE16,LG16)-LF16,"")</f>
        <v/>
      </c>
      <c r="LS16" s="19" t="str">
        <f>IF(SUM(KW16,LA16,LE16)&gt;0,SUM(KW16,LA16,LE16),"")</f>
        <v/>
      </c>
      <c r="LT16" s="19" t="str">
        <f>IF(SUM(LQ16,LR16)&gt;0,SUM(LQ16,LR16),"")</f>
        <v/>
      </c>
      <c r="LU16" s="19" t="str">
        <f>IF(SUM(LI16,LM16)&gt;0,SUM(LI16,LM16),"")</f>
        <v/>
      </c>
      <c r="LV16" s="19" t="str">
        <f>IF(SUM(LH16:LI16,LK16:LM16,LO16)-SUM(LJ16,LN16)&gt;0,SUM(LH16:LI16,LK16:LM16,LO16)-SUM(LJ16,LN16),"")</f>
        <v/>
      </c>
      <c r="LW16" s="19" t="str">
        <f>IF(SUM(LQ16,LV16)&gt;0,SUM(LQ16,LV16),"")</f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>IF(SUM(LY16,MC16)&gt;0,SUM(LY16,MC16),"")</f>
        <v/>
      </c>
      <c r="MS16" s="78" t="str">
        <f>IF(SUM(LX16:LY16,MA16:MC16,ME16)-LZ16-MD16&gt;0,SUM(LX16:LY16,MA16:MC16,ME16)-LZ16-MD16,"")</f>
        <v/>
      </c>
      <c r="MT16" s="78" t="str">
        <f>IF(SUM(MF16:MG16,MI16)-MH16&gt;0,SUM(MF16:MG16,MI16)-MH16,"")</f>
        <v/>
      </c>
      <c r="MU16" s="78" t="str">
        <f>IF(SUM(LY16,MC16,MG16)&gt;0,SUM(LY16,MC16,MG16),"")</f>
        <v/>
      </c>
      <c r="MV16" s="78" t="str">
        <f>IF(SUM(MS16,MT16)&gt;0,SUM(MS16,MT16),"")</f>
        <v/>
      </c>
      <c r="MW16" s="78" t="str">
        <f>IF(SUM(MK16,MO16)&gt;0,SUM(MK16,MO16),"")</f>
        <v/>
      </c>
      <c r="MX16" s="78" t="str">
        <f>IF(SUM(MJ16:MK16,MM16:MO16,MQ16)-SUM(ML16,MP16)&gt;0,SUM(MJ16:MK16,MM16:MO16,MQ16)-SUM(ML16,MP16),"")</f>
        <v/>
      </c>
      <c r="MY16" s="78" t="str">
        <f>IF(SUM(MS16,MX16)&gt;0,SUM(MS16,MX16),"")</f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>IF(SUM(NA16,NE16)&gt;0,SUM(NA16,NE16),"")</f>
        <v/>
      </c>
      <c r="NU16" s="19" t="str">
        <f>IF(SUM(MZ16:NA16,NC16:NE16,NG16)-NB16-NF16&gt;0,SUM(MZ16:NA16,NC16:NE16,NG16)-NB16-NF16,"")</f>
        <v/>
      </c>
      <c r="NV16" s="19" t="str">
        <f>IF(SUM(NH16:NI16,NK16)-NJ16&gt;0,SUM(NH16:NI16,NK16)-NJ16,"")</f>
        <v/>
      </c>
      <c r="NW16" s="19" t="str">
        <f>IF(SUM(NA16,NE16,NI16)&gt;0,SUM(NA16,NE16,NI16),"")</f>
        <v/>
      </c>
      <c r="NX16" s="19" t="str">
        <f>IF(SUM(NU16,NV16)&gt;0,SUM(NU16,NV16),"")</f>
        <v/>
      </c>
      <c r="NY16" s="19" t="str">
        <f>IF(SUM(NM16,NQ16)&gt;0,SUM(NM16,NQ16),"")</f>
        <v/>
      </c>
      <c r="NZ16" s="19" t="str">
        <f>IF(SUM(NL16:NM16,NO16:NQ16,NS16)-SUM(NN16,NR16)&gt;0,SUM(NL16:NM16,NO16:NQ16,NS16)-SUM(NN16,NR16),"")</f>
        <v/>
      </c>
      <c r="OA16" s="19" t="str">
        <f>IF(SUM(NU16,NZ16)&gt;0,SUM(NU16,NZ16),"")</f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>IF(SUM(OC16,OG16)&gt;0,SUM(OC16,OG16),"")</f>
        <v/>
      </c>
      <c r="OW16" s="78" t="str">
        <f>IF(SUM(OB16:OC16,OE16:OG16,OI16)-OD16-OH16&gt;0,SUM(OB16:OC16,OE16:OG16,OI16)-OD16-OH16,"")</f>
        <v/>
      </c>
      <c r="OX16" s="78" t="str">
        <f>IF(SUM(OJ16:OK16,OM16)-OL16&gt;0,SUM(OJ16:OK16,OM16)-OL16,"")</f>
        <v/>
      </c>
      <c r="OY16" s="78" t="str">
        <f>IF(SUM(OC16,OG16,OK16)&gt;0,SUM(OC16,OG16,OK16),"")</f>
        <v/>
      </c>
      <c r="OZ16" s="78" t="str">
        <f>IF(SUM(OW16,OX16)&gt;0,SUM(OW16,OX16),"")</f>
        <v/>
      </c>
      <c r="PA16" s="78" t="str">
        <f>IF(SUM(OO16,OS16)&gt;0,SUM(OO16,OS16),"")</f>
        <v/>
      </c>
      <c r="PB16" s="78" t="str">
        <f>IF(SUM(ON16:OO16,OQ16:OS16,OU16)-SUM(OP16,OT16)&gt;0,SUM(ON16:OO16,OQ16:OS16,OU16)-SUM(OP16,OT16),"")</f>
        <v/>
      </c>
      <c r="PC16" s="78" t="str">
        <f>IF(SUM(OW16,PB16)&gt;0,SUM(OW16,PB16),"")</f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>IF(SUM(PE16,PI16)&gt;0,SUM(PE16,PI16),"")</f>
        <v/>
      </c>
      <c r="PY16" s="19" t="str">
        <f>IF(SUM(PD16:PE16,PG16:PI16,PK16)-PF16-PJ16&gt;0,SUM(PD16:PE16,PG16:PI16,PK16)-PF16-PJ16,"")</f>
        <v/>
      </c>
      <c r="PZ16" s="19" t="str">
        <f>IF(SUM(PL16:PM16,PO16)-PN16&gt;0,SUM(PL16:PM16,PO16)-PN16,"")</f>
        <v/>
      </c>
      <c r="QA16" s="19" t="str">
        <f>IF(SUM(PE16,PI16,PM16)&gt;0,SUM(PE16,PI16,PM16),"")</f>
        <v/>
      </c>
      <c r="QB16" s="19" t="str">
        <f>IF(SUM(PY16,PZ16)&gt;0,SUM(PY16,PZ16),"")</f>
        <v/>
      </c>
      <c r="QC16" s="19" t="str">
        <f>IF(SUM(PQ16,PU16)&gt;0,SUM(PQ16,PU16),"")</f>
        <v/>
      </c>
      <c r="QD16" s="19" t="str">
        <f>IF(SUM(PP16:PQ16,PS16:PU16,PW16)-SUM(PR16,PV16)&gt;0,SUM(PP16:PQ16,PS16:PU16,PW16)-SUM(PR16,PV16),"")</f>
        <v/>
      </c>
      <c r="QE16" s="19" t="str">
        <f>IF(SUM(PY16,QD16)&gt;0,SUM(PY16,QD16),"")</f>
        <v/>
      </c>
      <c r="QF16" s="37">
        <f>IF($CV16="P",CB16,(CB16+AY16)/2)</f>
        <v>9.1999999999999993</v>
      </c>
      <c r="QG16" s="37">
        <f>IF($CV16="P",CC16,(CC16+AZ16)/2)</f>
        <v>2.6</v>
      </c>
      <c r="QH16" s="37">
        <f>IF($CV16="P",CD16,(CD16+BA16)/2)</f>
        <v>0.5</v>
      </c>
      <c r="QI16" s="37">
        <f>IF($CV16="P",CE16,(CE16+BB16)/2)</f>
        <v>0</v>
      </c>
      <c r="QJ16" s="37">
        <f>IF($CV16="P",CF16,(CF16+BC16)/2)</f>
        <v>9.1</v>
      </c>
      <c r="QK16" s="37">
        <f>IF($CV16="P",CG16,(CG16+BD16)/2)</f>
        <v>3.45</v>
      </c>
      <c r="QL16" s="37">
        <f>IF($CV16="P",CH16,(CH16+BE16)/2)</f>
        <v>0.1</v>
      </c>
      <c r="QM16" s="37">
        <f>IF($CV16="P",CI16,(CI16+BF16)/2)</f>
        <v>0</v>
      </c>
      <c r="QN16" s="37">
        <f>IF($CV16="P",CJ16,(CJ16+BG16)/2)</f>
        <v>9.35</v>
      </c>
      <c r="QO16" s="37">
        <f>IF($CV16="P",CK16,(CK16+BH16)/2)</f>
        <v>3.2</v>
      </c>
      <c r="QP16" s="37">
        <f>IF($CV16="P",CL16,(CL16+BI16)/2)</f>
        <v>0.3</v>
      </c>
      <c r="QQ16" s="37">
        <f>IF($CV16="P",CM16,(CM16+BJ16)/2)</f>
        <v>0</v>
      </c>
      <c r="QR16" s="37">
        <f>IF($CV16="P",CN16,(CN16+BK16)/2)</f>
        <v>8.3000000000000007</v>
      </c>
      <c r="QS16" s="37">
        <f>IF($CV16="P",CO16,(CO16+BL16)/2)</f>
        <v>2.4</v>
      </c>
      <c r="QT16" s="37">
        <f>IF($CV16="P",CP16,(CP16+BM16)/2)</f>
        <v>0.89999999999999991</v>
      </c>
      <c r="QU16" s="37">
        <f>IF($CV16="P",CQ16,(CQ16+BN16)/2)</f>
        <v>0</v>
      </c>
      <c r="QV16" s="37">
        <f>IF($CV16="P",CR16,(CR16+BO16)/2)</f>
        <v>8.75</v>
      </c>
      <c r="QW16" s="37">
        <f>IF($CV16="P",CS16,(CS16+BP16)/2)</f>
        <v>1.2</v>
      </c>
      <c r="QX16" s="37">
        <f>IF($CV16="P",CT16,(CT16+BQ16)/2)</f>
        <v>0</v>
      </c>
      <c r="QY16" s="37">
        <f>IF($CV16="P",CU16,(CU16+BR16)/2)</f>
        <v>0</v>
      </c>
      <c r="QZ16" s="44" t="s">
        <v>46</v>
      </c>
      <c r="RA16" s="78">
        <f>IF(SUM(QG16,QK16)&gt;0,SUM(QG16,QK16),"")</f>
        <v>6.0500000000000007</v>
      </c>
      <c r="RB16" s="78">
        <f>IF(SUM(QF16:QG16,QI16:QK16,QM16)-QH16-QL16&gt;0,SUM(QF16:QG16,QI16:QK16,QM16)-QH16-QL16,"")</f>
        <v>23.749999999999996</v>
      </c>
      <c r="RC16" s="78">
        <f>IF(SUM(QN16:QO16,QQ16)-QP16&gt;0,SUM(QN16:QO16,QQ16)-QP16,"")</f>
        <v>12.25</v>
      </c>
      <c r="RD16" s="78">
        <f>IF(SUM(QG16,QK16,QO16)&gt;0,SUM(QG16,QK16,QO16),"")</f>
        <v>9.25</v>
      </c>
      <c r="RE16" s="78">
        <f>IF(SUM(RB16,RC16)&gt;0,SUM(RB16,RC16),"")</f>
        <v>36</v>
      </c>
      <c r="RF16" s="78">
        <f>IF(SUM(QS16,QW16)&gt;0,SUM(QS16,QW16),"")</f>
        <v>3.5999999999999996</v>
      </c>
      <c r="RG16" s="78">
        <f>IF(SUM(QR16:QS16,QU16:QW16,QY16)-SUM(QT16,QX16)&gt;0,SUM(QR16:QS16,QU16:QW16,QY16)-SUM(QT16,QX16),"")</f>
        <v>19.750000000000004</v>
      </c>
      <c r="RH16" s="78">
        <f>IF(SUM(RB16,RG16)&gt;0,SUM(RB16,RG16),"")</f>
        <v>43.5</v>
      </c>
    </row>
    <row r="17" spans="1:476" x14ac:dyDescent="0.2">
      <c r="A17" s="5">
        <f>IF(AND(F17="P",G17="P"),SUMPRODUCT((F$4:F$32="P")*(G$4:G$32="P")*(E$4:E$32&gt;E17))+1,IF(G17="P",SUMPRODUCT((F$4:F$32="")*(G$4:G$32="P")*(E$4:E$32&gt;E17))+1+SUMPRODUCT((F$4:F$32="P")*(G$4:G$32="P")),""))</f>
        <v>14</v>
      </c>
      <c r="B17" s="77" t="s">
        <v>70</v>
      </c>
      <c r="C17" s="5" t="s">
        <v>6</v>
      </c>
      <c r="D17" s="5">
        <v>2004</v>
      </c>
      <c r="E17" s="15">
        <f>SUM(I17:S17)+SUM(I17:O17)*0.0000001+SUM(I17)*0.0000000000001</f>
        <v>193.85001442500487</v>
      </c>
      <c r="F17" s="3" t="str">
        <f>IF(OR(AND(AQ17&gt;=AX$34,AR17&gt;=AX$38,AQ17&lt;&gt;"",AP17=""),AND(AV17&gt;=AX$34,AW17&gt;=AX$38,AV17&lt;&gt;"",AP17=""),AND(BT17&gt;=CA$34,BU17&gt;=CA$38,BT17&lt;&gt;"",BS17=""),AND(BY17&gt;=CA$34,BZ17&gt;=CA$38,BY17&lt;&gt;"",BS17=""),AND(CW17&gt;=DD$34,CX17&gt;=DD$38,CW17&lt;&gt;"",CV17=""),AND(DB17&gt;=DD$34,DC17&gt;=DD$38,DB17&lt;&gt;""),AND(EB17&gt;=EI$34,EC17&gt;=EI$38,EB17&lt;&gt;""),AND(EG17&gt;=EI$34,EH17&gt;=EI$38,EG17&lt;&gt;""),AND(FD17&gt;=FK$34,FE17&gt;=FK$38,FD17&lt;&gt;""),AND(FI17&gt;=FK$34,FJ17&gt;=FK$38,FI17&lt;&gt;""),AND(GF17&gt;=GM$34,GG17&gt;=GM$38,GF17&lt;&gt;""),AND(GK17&gt;=GM$34,GL17&gt;=GM$38,GK17&lt;&gt;""),AND(HH17&gt;=HO$34,HI17&gt;=HO$38,HH17&lt;&gt;""),AND(HM17&gt;=HO$34,HN17&gt;=HO$38,HM17&lt;&gt;""),AND(IJ17&gt;=IQ$34,IK17&gt;=IQ$38,IJ17&lt;&gt;""),AND(IO17&gt;=IQ$34,IP17&gt;=IQ$38,IO17&lt;&gt;""),AND(JL17&gt;=JS$34,JM17&gt;=JS$38,JL17&lt;&gt;""),AND(JQ17&gt;=JS$34,JR17&gt;=JS$38,JQ17&lt;&gt;""),AND(KN17&gt;=KU$34,KO17&gt;=KU$38,KN17&lt;&gt;""),AND(KS17&gt;=KU$34,KT17&gt;=KU$38,KS17&lt;&gt;""),AND(LP17&gt;=LW$34,LQ17&gt;=LW$38,LP17&lt;&gt;""),AND(LU17&gt;=LW$34,LV17&gt;=LW$38,LU17&lt;&gt;""),AND(MR17&gt;=MY$34,MS17&gt;=MY$38,MR17&lt;&gt;""),AND(MW17&gt;=MY$34,MX17&gt;=MY$38,MW17&lt;&gt;""),AND(NT17&gt;=OA$34,NU17&gt;=OA$38,NT17&lt;&gt;""),AND(NY17&gt;=OA$34,NZ17&gt;=OA$38,NY17&lt;&gt;""),AND(OV17&gt;=PC$34,OW17&gt;=PC$38,OV17&lt;&gt;""),AND(PA17&gt;=PC$34,PB17&gt;=PC$38,PA17&lt;&gt;""),AND(PX17&gt;=QE$34,PY17&gt;=QE$38,PX17&lt;&gt;""),AND(QC17&gt;=QE$34,QD17&gt;=QE$38,QC17&lt;&gt;"")),"P","")</f>
        <v/>
      </c>
      <c r="G17" s="3" t="str">
        <f>IF(OR(AND(AR17&gt;=AX$38,AR17&lt;&gt;"",AP17=""),AND(AW17&gt;=AX$38,AW17&lt;&gt;"",AP17=""),AND(BU17&gt;=CA$38,BU17&lt;&gt;"",BS17=""),AND(BZ17&gt;=CA$38,BZ17&lt;&gt;"",BS17=""),AND(CX17&gt;=DD$38,CX17&lt;&gt;"",CV17=""),AND(DC17&gt;=DD$38,DC17&lt;&gt;"",CV17=""),AND(EC17&gt;=EI$38,EC17&lt;&gt;""),AND(EH17&gt;=EI$38,EH17&lt;&gt;""),AND(FE17&gt;=FK$38,FE17&lt;&gt;""),AND(FJ17&gt;=FK$38,FJ17&lt;&gt;""),AND(GG17&gt;=GM$38,GG17&lt;&gt;""),AND(GL17&gt;=GM$38,GL17&lt;&gt;""),AND(HI17&gt;=HO$38,HI17&lt;&gt;""),AND(HN17&gt;=HO$38,HN17&lt;&gt;""),AND(IK17&gt;=IQ$38,IK17&lt;&gt;""),AND(IP17&gt;=IQ$38,IP17&lt;&gt;""),AND(JM17&gt;=JS$38,JM17&lt;&gt;""),AND(JR17&gt;=JS$38,JR17&lt;&gt;""),AND(KO17&gt;=KU$38,KO17&lt;&gt;""),AND(KT17&gt;=KU$38,KT17&lt;&gt;""),AND(LQ17&gt;=LW$38,LQ17&lt;&gt;""),AND(LV17&gt;=LW$38,LV17&lt;&gt;""),AND(MS17&gt;=MY$38,MS17&lt;&gt;""),AND(MX17&gt;=MY$38,MX17&lt;&gt;""),AND(NU17&gt;=OA$38,NU17&lt;&gt;""),AND(NZ17&gt;=OA$38,NZ17&lt;&gt;""),AND(OW17&gt;=PC$38,OW17&lt;&gt;""),AND(PB17&gt;=PC$38,PB17&lt;&gt;""),AND(PY17&gt;=QE$38,PY17&lt;&gt;""),AND(QD17&gt;=QE$38,QD17&lt;&gt;"")),"P","")</f>
        <v>P</v>
      </c>
      <c r="H17" s="66" t="str">
        <f>IF(AND(G17="P",F17=""),"No DD",IF(OR(AND(AT17&gt;=AX$37,AU17&gt;=AX$41,AT17&lt;&gt;"",AP17=""),AND(BW17&gt;=CA$37,BX17&gt;=CA$41,BW17&lt;&gt;"",BS17=""),AND(CZ17&gt;=DD$37,DA17&gt;=DD$41,CZ17&lt;&gt;"",CV17=""),AND(EE17&gt;=EI$37,EF17&gt;=EI$41,EE17&lt;&gt;""),AND(FG17&gt;=FK$37,FH17&gt;=FK$41,FG17&lt;&gt;""),AND(GI17&gt;=GM$37,GJ17&gt;=GM$41,GI17&lt;&gt;""),AND(HK17&gt;=HO$37,HL17&gt;=HO$41,HK17&lt;&gt;""),AND(IM17&gt;=IQ$37,IN17&gt;=IQ$41,IM17&lt;&gt;""),AND(JO17&gt;=JS$37,JP17&gt;=JS$41,JO17&lt;&gt;""),AND(KQ17&gt;=KU$37,KR17&gt;=KU$41,KQ17&lt;&gt;""),AND(LS17&gt;=LW$37,LT17&gt;=LW$41,LS17&lt;&gt;""),AND(MU17&gt;=MY$37,MV17&gt;=MY$41,MU17&lt;&gt;""),AND(NW17&gt;=OA$37,NX17&gt;=OA$41,NW17&lt;&gt;""),AND(OY17&gt;=PC$37,OZ17&gt;=PC$41,OY17&lt;&gt;""),AND(QA17&gt;=QE$37,QB17&gt;=QE$41,QA17&lt;&gt;"")),"Merit",IF(OR(AND(AT17&gt;=AX$36,AU17&gt;=AX$40,AT17&lt;&gt;"",AP17=""),AND(BW17&gt;=CA$36,BX17&gt;=CA$40,BW17&lt;&gt;"",BS17=""),AND(CZ17&gt;=DD$36,DA17&gt;=DD$40,CZ17&lt;&gt;"",CV17=""),AND(EE17&gt;=EI$36,EF17&gt;=EI$40,EE17&lt;&gt;""),AND(FG17&gt;=FK$36,FH17&gt;=FK$40,FG17&lt;&gt;""),AND(GI17&gt;=GM$36,GJ17&gt;=GM$40,GI17&lt;&gt;""),AND(HK17&gt;=HO$36,HL17&gt;=HO$40,HK17&lt;&gt;""),AND(IM17&gt;=IQ$36,IN17&gt;=IQ$40,IM17&lt;&gt;""),AND(JO17&gt;=JS$36,JP17&gt;=JS$40,JO17&lt;&gt;""),AND(KQ17&gt;=KU$36,KR17&gt;=KU$40,KQ17&lt;&gt;""),AND(LS17&gt;=LW$36,LT17&gt;=LW$40,LS17&lt;&gt;""),AND(MU17&gt;=MY$36,MV17&gt;=MY$40,MU17&lt;&gt;""),AND(NW17&gt;=OA$36,NX17&gt;=OA$40,NW17&lt;&gt;""),AND(OY17&gt;=PC$36,OZ17&gt;=PC$40,OY17&lt;&gt;""),AND(QA17&gt;=QE$36,QB17&gt;=QE$40,QA17&lt;&gt;"")),"Excellence",IF(F17="P","National Team",""))))</f>
        <v>No DD</v>
      </c>
      <c r="I17" s="14">
        <f>IF(COUNT(AR17,BU17,CX17)&gt;0,LARGE((AR17,BU17,CX17),1),0)</f>
        <v>48.8</v>
      </c>
      <c r="J17" s="14" t="str">
        <f>IF(I17=0,"",IF(I17=CX17,$CB$1,IF(I17=BU17,$AY$1,IF(I17=AR17,$V$1,""))))</f>
        <v>2022 Nationals</v>
      </c>
      <c r="K17" s="14">
        <f>IF(COUNT(AR17,BU17,CX17)&gt;1,LARGE((AR17,BU17,CX17),2),0)</f>
        <v>48.050000000000004</v>
      </c>
      <c r="L17" s="14" t="str">
        <f>IF(K17=0,"",IF(K17=CX17,$CB$1,IF(K17=BU17,$AY$1,IF(K17=AR17,$V$1,""))))</f>
        <v>2022 3rd Domestic Trial</v>
      </c>
      <c r="M17" s="14">
        <f>IF(COUNT(AS17,BV17,CY17)&gt;0,LARGE((AS17,BV17,CY17),1),0)</f>
        <v>23.7</v>
      </c>
      <c r="N17" s="14" t="str">
        <f>IF(M17=0,"",IF(M17=CY17,$CB$1,IF(M17=BV17,$AY$1,IF(M17=AS17,$V$1,""))))</f>
        <v>2022 3rd Domestic Trial</v>
      </c>
      <c r="O17" s="14">
        <f>IF(COUNT(AS17,BV17,CY17)&gt;1,LARGE((AS17,BV17,CY17),2),0)</f>
        <v>23.7</v>
      </c>
      <c r="P17" s="14" t="str">
        <f>IF(O17=0,"",IF(O17=CY17,$CB$1,IF(O17=BV17,$AY$1,IF(O17=AS17,$V$1,""))))</f>
        <v>2022 3rd Domestic Trial</v>
      </c>
      <c r="Q17" s="14">
        <f>IF(MAX(AW17,BZ17,DC17)&gt;0,MAX(AW17,BZ17,DC17),0)</f>
        <v>49.6</v>
      </c>
      <c r="R17" s="14" t="str">
        <f>IF(Q17=0,"",IF(Q17=DC17,$CB$1,IF(Q17=BZ17,$AY$1,IF(Q17=AW17,$V$1,""))))</f>
        <v>2022 Nationals</v>
      </c>
      <c r="S17" s="14" t="str">
        <f>IF(MAX(DE17:DG17)&gt;0,MAX(DE17:DG17),"")</f>
        <v/>
      </c>
      <c r="T17" s="19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6">
        <v>18.600000000000001</v>
      </c>
      <c r="W17" s="26">
        <v>5.2</v>
      </c>
      <c r="X17" s="26">
        <v>0.6</v>
      </c>
      <c r="Y17" s="26">
        <v>0</v>
      </c>
      <c r="Z17" s="26">
        <v>18.899999999999999</v>
      </c>
      <c r="AA17" s="26">
        <v>5.2</v>
      </c>
      <c r="AB17" s="26">
        <v>0</v>
      </c>
      <c r="AC17" s="26">
        <v>0</v>
      </c>
      <c r="AD17" s="26">
        <v>19.399999999999999</v>
      </c>
      <c r="AE17" s="26">
        <v>4.3</v>
      </c>
      <c r="AF17" s="26">
        <v>0</v>
      </c>
      <c r="AG17" s="26">
        <v>0</v>
      </c>
      <c r="AH17" s="26">
        <v>18.8</v>
      </c>
      <c r="AI17" s="26">
        <v>5.2</v>
      </c>
      <c r="AJ17" s="26">
        <v>0</v>
      </c>
      <c r="AK17" s="26">
        <v>0</v>
      </c>
      <c r="AL17" s="26">
        <v>18.7</v>
      </c>
      <c r="AM17" s="26">
        <v>5.2</v>
      </c>
      <c r="AN17" s="26">
        <v>0.2</v>
      </c>
      <c r="AO17" s="26">
        <v>0</v>
      </c>
      <c r="AP17" s="44"/>
      <c r="AQ17" s="78">
        <f>IF(SUM(W17,AA17)&gt;0,SUM(W17,AA17),"")</f>
        <v>10.4</v>
      </c>
      <c r="AR17" s="78">
        <f>IF(SUM(V17:W17,Y17:AA17,AC17)-X17-AB17&gt;0,SUM(V17:W17,Y17:AA17,AC17)-X17-AB17,"")</f>
        <v>47.300000000000004</v>
      </c>
      <c r="AS17" s="78">
        <f>IF(SUM(AD17:AE17,AG17)-AF17&gt;0,SUM(AD17:AE17,AG17)-AF17,"")</f>
        <v>23.7</v>
      </c>
      <c r="AT17" s="78">
        <f>IF(SUM(W17,AA17,AE17)&gt;0,SUM(W17,AA17,AE17),"")</f>
        <v>14.7</v>
      </c>
      <c r="AU17" s="78">
        <f>IF(SUM(AR17,AS17)&gt;0,SUM(AR17,AS17),"")</f>
        <v>71</v>
      </c>
      <c r="AV17" s="78">
        <f>IF(SUM(AI17,AM17)&gt;0,SUM(AI17,AM17),"")</f>
        <v>10.4</v>
      </c>
      <c r="AW17" s="78">
        <f>IF(SUM(AH17:AI17,AK17:AM17,AO17)-SUM(AJ17,AN17)&gt;0,SUM(AH17:AI17,AK17:AM17,AO17)-SUM(AJ17,AN17),"")</f>
        <v>47.7</v>
      </c>
      <c r="AX17" s="78">
        <f>IF(SUM(AR17,AW17)&gt;0,SUM(AR17,AW17),"")</f>
        <v>95</v>
      </c>
      <c r="AY17" s="25">
        <v>19.399999999999999</v>
      </c>
      <c r="AZ17" s="25">
        <v>5.2</v>
      </c>
      <c r="BA17" s="25">
        <v>0</v>
      </c>
      <c r="BB17" s="25">
        <v>0</v>
      </c>
      <c r="BC17" s="25">
        <v>19</v>
      </c>
      <c r="BD17" s="25">
        <v>5.2</v>
      </c>
      <c r="BE17" s="25">
        <v>0</v>
      </c>
      <c r="BF17" s="25">
        <v>0</v>
      </c>
      <c r="BG17" s="25">
        <v>19.399999999999999</v>
      </c>
      <c r="BH17" s="25">
        <v>4.3</v>
      </c>
      <c r="BI17" s="25">
        <v>0</v>
      </c>
      <c r="BJ17" s="25">
        <v>0</v>
      </c>
      <c r="BK17" s="25">
        <v>19</v>
      </c>
      <c r="BL17" s="25">
        <v>6</v>
      </c>
      <c r="BM17" s="25">
        <v>0</v>
      </c>
      <c r="BN17" s="25">
        <v>0</v>
      </c>
      <c r="BO17" s="25">
        <v>19</v>
      </c>
      <c r="BP17" s="25">
        <v>5.6</v>
      </c>
      <c r="BQ17" s="25">
        <v>0</v>
      </c>
      <c r="BR17" s="25">
        <v>0</v>
      </c>
      <c r="BS17" s="45"/>
      <c r="BT17" s="19">
        <f>IF(SUM(AZ17,BD17)&gt;0,SUM(AZ17,BD17),"")</f>
        <v>10.4</v>
      </c>
      <c r="BU17" s="19">
        <f>IF(SUM(AY17:AZ17,BB17:BD17,BF17)-BA17-BE17&gt;0,SUM(AY17:AZ17,BB17:BD17,BF17)-BA17-BE17,"")</f>
        <v>48.8</v>
      </c>
      <c r="BV17" s="19">
        <f>IF(SUM(BG17:BH17,BJ17)-BI17&gt;0,SUM(BG17:BH17,BJ17)-BI17,"")</f>
        <v>23.7</v>
      </c>
      <c r="BW17" s="19">
        <f>IF(SUM(AZ17,BD17,BH17)&gt;0,SUM(AZ17,BD17,BH17),"")</f>
        <v>14.7</v>
      </c>
      <c r="BX17" s="19">
        <f>IF(SUM(BU17,BV17)&gt;0,SUM(BU17,BV17),"")</f>
        <v>72.5</v>
      </c>
      <c r="BY17" s="19">
        <f>IF(SUM(BL17,BP17)&gt;0,SUM(BL17,BP17),"")</f>
        <v>11.6</v>
      </c>
      <c r="BZ17" s="19">
        <f>IF(SUM(BK17:BL17,BN17:BP17,BR17)-SUM(BM17,BQ17)&gt;0,SUM(BK17:BL17,BN17:BP17,BR17)-SUM(BM17,BQ17),"")</f>
        <v>49.6</v>
      </c>
      <c r="CA17" s="19">
        <f>IF(SUM(BU17,BZ17)&gt;0,SUM(BU17,BZ17),"")</f>
        <v>98.4</v>
      </c>
      <c r="CB17" s="26">
        <v>19</v>
      </c>
      <c r="CC17" s="26">
        <v>5.2</v>
      </c>
      <c r="CD17" s="26">
        <v>0.3</v>
      </c>
      <c r="CE17" s="26">
        <v>0</v>
      </c>
      <c r="CF17" s="26">
        <v>18.95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18.899999999999999</v>
      </c>
      <c r="CO17" s="26">
        <v>5.6</v>
      </c>
      <c r="CP17" s="26">
        <v>0</v>
      </c>
      <c r="CQ17" s="26">
        <v>0</v>
      </c>
      <c r="CR17" s="26">
        <v>18.850000000000001</v>
      </c>
      <c r="CS17" s="26">
        <v>5.4</v>
      </c>
      <c r="CT17" s="26">
        <v>0.1</v>
      </c>
      <c r="CU17" s="26">
        <v>0</v>
      </c>
      <c r="CV17" s="44" t="s">
        <v>46</v>
      </c>
      <c r="CW17" s="78">
        <f>IF(SUM(CC17,CG17)&gt;0,SUM(CC17,CG17),"")</f>
        <v>10.4</v>
      </c>
      <c r="CX17" s="78">
        <f>IF(SUM(CB17:CC17,CE17:CG17,CI17)-CD17-CH17&gt;0,SUM(CB17:CC17,CE17:CG17,CI17)-CD17-CH17,"")</f>
        <v>48.050000000000004</v>
      </c>
      <c r="CY17" s="78">
        <f>IF(SUM(CJ17:CK17,CM17)-CL17&gt;0,SUM(CJ17:CK17,CM17)-CL17,"")</f>
        <v>23.7</v>
      </c>
      <c r="CZ17" s="78">
        <f>IF(SUM(CC17,CG17,CK17)&gt;0,SUM(CC17,CG17,CK17),"")</f>
        <v>14.7</v>
      </c>
      <c r="DA17" s="78">
        <f>IF(SUM(CX17,CY17)&gt;0,SUM(CX17,CY17),"")</f>
        <v>71.75</v>
      </c>
      <c r="DB17" s="78">
        <f>IF(SUM(CO17,CS17)&gt;0,SUM(CO17,CS17),"")</f>
        <v>11</v>
      </c>
      <c r="DC17" s="78">
        <f>IF(SUM(CN17:CO17,CQ17:CS17,CU17)-SUM(CP17,CT17)&gt;0,SUM(CN17:CO17,CQ17:CS17,CU17)-SUM(CP17,CT17),"")</f>
        <v>48.65</v>
      </c>
      <c r="DD17" s="78">
        <f>IF(SUM(CX17,DC17)&gt;0,SUM(CX17,DC17),"")</f>
        <v>96.7</v>
      </c>
      <c r="DE17" s="79" t="str">
        <f>IF(K17&gt;=0.001,IF(MAX(EC17,FE17,GG17,HI17,IK17,JM17,KO17,LQ17,MS17,NU17,OW17,PY17)-IF(K17="",0,K17)&gt;0.001,MAX(EC17,FE17,GG17,HI17,IK17,JM17,KO17,LQ17,MS17,NU17,OW17,PY17)-IF(K17="",0,K17),""),"")</f>
        <v/>
      </c>
      <c r="DF17" s="79" t="str">
        <f>IF(O17&gt;=0.001,IF(MAX(ED17,FF17,GH17,HJ17,IL17,JN17,KP17,LR17,MT17,NV17,OX17,PZ17)-IF(O17="",0,O17)&gt;0.001,MAX(ED17,FF17,GH17,HJ17,IL17,JN17,KP17,LR17,MT17,NV17,OX17,PZ17)-IF(O17="",0,O17),""),"")</f>
        <v/>
      </c>
      <c r="DG17" s="79" t="str">
        <f>IF(Q17&gt;=0.001,IF(MAX(EH17,FJ17,GL17,HN17,IP17,JR17,KT17,LV17,MX17,NZ17,PB17,QD17)-IF(Q17="",0,Q17)&gt;0.001,MAX(EH17,FJ17,GL17,HN17,IP17,JR17,KT17,LV17,MX17,NZ17,PB17,QD17)-IF(Q17="",0,Q17),""),"")</f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>IF(SUM(DI17,DM17)&gt;0,SUM(DI17,DM17),"")</f>
        <v/>
      </c>
      <c r="EC17" s="78" t="str">
        <f>IF(SUM(DH17:DI17,DK17:DM17,DO17)-DJ17-DN17&gt;0,SUM(DH17:DI17,DK17:DM17,DO17)-DJ17-DN17,"")</f>
        <v/>
      </c>
      <c r="ED17" s="78" t="str">
        <f>IF(SUM(DP17:DQ17,DS17)-DR17&gt;0,SUM(DP17:DQ17,DS17)-DR17,"")</f>
        <v/>
      </c>
      <c r="EE17" s="78" t="str">
        <f>IF(SUM(DI17,DM17,DQ17)&gt;0,SUM(DI17,DM17,DQ17),"")</f>
        <v/>
      </c>
      <c r="EF17" s="78" t="str">
        <f>IF(SUM(EC17,ED17)&gt;0,SUM(EC17,ED17),"")</f>
        <v/>
      </c>
      <c r="EG17" s="78" t="str">
        <f>IF(SUM(DU17,DY17)&gt;0,SUM(DU17,DY17),"")</f>
        <v/>
      </c>
      <c r="EH17" s="78" t="str">
        <f>IF(SUM(DT17:DU17,DW17:DY17,EA17)-SUM(DV17,DZ17)&gt;0,SUM(DT17:DU17,DW17:DY17,EA17)-SUM(DV17,DZ17),"")</f>
        <v/>
      </c>
      <c r="EI17" s="78" t="str">
        <f>IF(SUM(EC17,EH17)&gt;0,SUM(EC17,EH17),"")</f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>IF(SUM(EK17,EO17)&gt;0,SUM(EK17,EO17),"")</f>
        <v/>
      </c>
      <c r="FE17" s="19" t="str">
        <f>IF(SUM(EJ17:EK17,EM17:EO17,EQ17)-EL17-EP17&gt;0,SUM(EJ17:EK17,EM17:EO17,EQ17)-EL17-EP17,"")</f>
        <v/>
      </c>
      <c r="FF17" s="19" t="str">
        <f>IF(SUM(ER17:ES17,EU17)-ET17&gt;0,SUM(ER17:ES17,EU17)-ET17,"")</f>
        <v/>
      </c>
      <c r="FG17" s="19" t="str">
        <f>IF(SUM(EK17,EO17,ES17)&gt;0,SUM(EK17,EO17,ES17),"")</f>
        <v/>
      </c>
      <c r="FH17" s="19" t="str">
        <f>IF(SUM(FE17,FF17)&gt;0,SUM(FE17,FF17),"")</f>
        <v/>
      </c>
      <c r="FI17" s="19" t="str">
        <f>IF(SUM(EW17,FA17)&gt;0,SUM(EW17,FA17),"")</f>
        <v/>
      </c>
      <c r="FJ17" s="19" t="str">
        <f>IF(SUM(EV17:EW17,EY17:FA17,FC17)-SUM(EX17,FB17)&gt;0,SUM(EV17:EW17,EY17:FA17,FC17)-SUM(EX17,FB17),"")</f>
        <v/>
      </c>
      <c r="FK17" s="19" t="str">
        <f>IF(SUM(FE17,FJ17)&gt;0,SUM(FE17,FJ17),"")</f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>IF(SUM(FM17,FQ17)&gt;0,SUM(FM17,FQ17),"")</f>
        <v/>
      </c>
      <c r="GG17" s="78" t="str">
        <f>IF(SUM(FL17:FM17,FO17:FQ17,FS17)-FN17-FR17&gt;0,SUM(FL17:FM17,FO17:FQ17,FS17)-FN17-FR17,"")</f>
        <v/>
      </c>
      <c r="GH17" s="78" t="str">
        <f>IF(SUM(FT17:FU17,FW17)-FV17&gt;0,SUM(FT17:FU17,FW17)-FV17,"")</f>
        <v/>
      </c>
      <c r="GI17" s="78" t="str">
        <f>IF(SUM(FM17,FQ17,FU17)&gt;0,SUM(FM17,FQ17,FU17),"")</f>
        <v/>
      </c>
      <c r="GJ17" s="78" t="str">
        <f>IF(SUM(GG17,GH17)&gt;0,SUM(GG17,GH17),"")</f>
        <v/>
      </c>
      <c r="GK17" s="78" t="str">
        <f>IF(SUM(FY17,GC17)&gt;0,SUM(FY17,GC17),"")</f>
        <v/>
      </c>
      <c r="GL17" s="78" t="str">
        <f>IF(SUM(FX17:FY17,GA17:GC17,GE17)-SUM(FZ17,GD17)&gt;0,SUM(FX17:FY17,GA17:GC17,GE17)-SUM(FZ17,GD17),"")</f>
        <v/>
      </c>
      <c r="GM17" s="78" t="str">
        <f>IF(SUM(GG17,GL17)&gt;0,SUM(GG17,GL17),"")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>IF(SUM(GO17,GS17)&gt;0,SUM(GO17,GS17),"")</f>
        <v/>
      </c>
      <c r="HI17" s="19" t="str">
        <f>IF(SUM(GN17:GO17,GQ17:GS17,GU17)-GP17-GT17&gt;0,SUM(GN17:GO17,GQ17:GS17,GU17)-GP17-GT17,"")</f>
        <v/>
      </c>
      <c r="HJ17" s="19" t="str">
        <f>IF(SUM(GV17:GW17,GY17)-GX17&gt;0,SUM(GV17:GW17,GY17)-GX17,"")</f>
        <v/>
      </c>
      <c r="HK17" s="19" t="str">
        <f>IF(SUM(GO17,GS17,GW17)&gt;0,SUM(GO17,GS17,GW17),"")</f>
        <v/>
      </c>
      <c r="HL17" s="19" t="str">
        <f>IF(SUM(HI17,HJ17)&gt;0,SUM(HI17,HJ17),"")</f>
        <v/>
      </c>
      <c r="HM17" s="19" t="str">
        <f>IF(SUM(HA17,HE17)&gt;0,SUM(HA17,HE17),"")</f>
        <v/>
      </c>
      <c r="HN17" s="19" t="str">
        <f>IF(SUM(GZ17:HA17,HC17:HE17,HG17)-SUM(HB17,HF17)&gt;0,SUM(GZ17:HA17,HC17:HE17,HG17)-SUM(HB17,HF17),"")</f>
        <v/>
      </c>
      <c r="HO17" s="19" t="str">
        <f>IF(SUM(HI17,HN17)&gt;0,SUM(HI17,HN17),"")</f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>IF(SUM(HQ17,HU17)&gt;0,SUM(HQ17,HU17),"")</f>
        <v/>
      </c>
      <c r="IK17" s="78" t="str">
        <f>IF(SUM(HP17:HQ17,HS17:HU17,HW17)-HR17-HV17&gt;0,SUM(HP17:HQ17,HS17:HU17,HW17)-HR17-HV17,"")</f>
        <v/>
      </c>
      <c r="IL17" s="78" t="str">
        <f>IF(SUM(HX17:HY17,IA17)-HZ17&gt;0,SUM(HX17:HY17,IA17)-HZ17,"")</f>
        <v/>
      </c>
      <c r="IM17" s="78" t="str">
        <f>IF(SUM(HQ17,HU17,HY17)&gt;0,SUM(HQ17,HU17,HY17),"")</f>
        <v/>
      </c>
      <c r="IN17" s="78" t="str">
        <f>IF(SUM(IK17,IL17)&gt;0,SUM(IK17,IL17),"")</f>
        <v/>
      </c>
      <c r="IO17" s="78" t="str">
        <f>IF(SUM(IC17,IG17)&gt;0,SUM(IC17,IG17),"")</f>
        <v/>
      </c>
      <c r="IP17" s="78" t="str">
        <f>IF(SUM(IB17:IC17,IE17:IG17,II17)-SUM(ID17,IH17)&gt;0,SUM(IB17:IC17,IE17:IG17,II17)-SUM(ID17,IH17),"")</f>
        <v/>
      </c>
      <c r="IQ17" s="78" t="str">
        <f>IF(SUM(IK17,IP17)&gt;0,SUM(IK17,IP17),"")</f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>IF(SUM(IS17,IW17)&gt;0,SUM(IS17,IW17),"")</f>
        <v/>
      </c>
      <c r="JM17" s="19" t="str">
        <f>IF(SUM(IR17:IS17,IU17:IW17,IY17)-IT17-IX17&gt;0,SUM(IR17:IS17,IU17:IW17,IY17)-IT17-IX17,"")</f>
        <v/>
      </c>
      <c r="JN17" s="19" t="str">
        <f>IF(SUM(IZ17:JA17,JC17)-JB17&gt;0,SUM(IZ17:JA17,JC17)-JB17,"")</f>
        <v/>
      </c>
      <c r="JO17" s="19" t="str">
        <f>IF(SUM(IS17,IW17,JA17)&gt;0,SUM(IS17,IW17,JA17),"")</f>
        <v/>
      </c>
      <c r="JP17" s="19" t="str">
        <f>IF(SUM(JM17,JN17)&gt;0,SUM(JM17,JN17),"")</f>
        <v/>
      </c>
      <c r="JQ17" s="19" t="str">
        <f>IF(SUM(JE17,JI17)&gt;0,SUM(JE17,JI17),"")</f>
        <v/>
      </c>
      <c r="JR17" s="19" t="str">
        <f>IF(SUM(JD17:JE17,JG17:JI17,JK17)-SUM(JF17,JJ17)&gt;0,SUM(JD17:JE17,JG17:JI17,JK17)-SUM(JF17,JJ17),"")</f>
        <v/>
      </c>
      <c r="JS17" s="19" t="str">
        <f>IF(SUM(JM17,JR17)&gt;0,SUM(JM17,JR17),"")</f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>IF(SUM(JU17,JY17)&gt;0,SUM(JU17,JY17),"")</f>
        <v/>
      </c>
      <c r="KO17" s="78" t="str">
        <f>IF(SUM(JT17:JU17,JW17:JY17,KA17)-JV17-JZ17&gt;0,SUM(JT17:JU17,JW17:JY17,KA17)-JV17-JZ17,"")</f>
        <v/>
      </c>
      <c r="KP17" s="78" t="str">
        <f>IF(SUM(KB17:KC17,KE17)-KD17&gt;0,SUM(KB17:KC17,KE17)-KD17,"")</f>
        <v/>
      </c>
      <c r="KQ17" s="78" t="str">
        <f>IF(SUM(JU17,JY17,KC17)&gt;0,SUM(JU17,JY17,KC17),"")</f>
        <v/>
      </c>
      <c r="KR17" s="78" t="str">
        <f>IF(SUM(KO17,KP17)&gt;0,SUM(KO17,KP17),"")</f>
        <v/>
      </c>
      <c r="KS17" s="78" t="str">
        <f>IF(SUM(KG17,KK17)&gt;0,SUM(KG17,KK17),"")</f>
        <v/>
      </c>
      <c r="KT17" s="78" t="str">
        <f>IF(SUM(KF17:KG17,KI17:KK17,KM17)-SUM(KH17,KL17)&gt;0,SUM(KF17:KG17,KI17:KK17,KM17)-SUM(KH17,KL17),"")</f>
        <v/>
      </c>
      <c r="KU17" s="78" t="str">
        <f>IF(SUM(KO17,KT17)&gt;0,SUM(KO17,KT17),"")</f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>IF(SUM(KW17,LA17)&gt;0,SUM(KW17,LA17),"")</f>
        <v/>
      </c>
      <c r="LQ17" s="19" t="str">
        <f>IF(SUM(KV17:KW17,KY17:LA17,LC17)-KX17-LB17&gt;0,SUM(KV17:KW17,KY17:LA17,LC17)-KX17-LB17,"")</f>
        <v/>
      </c>
      <c r="LR17" s="19" t="str">
        <f>IF(SUM(LD17:LE17,LG17)-LF17&gt;0,SUM(LD17:LE17,LG17)-LF17,"")</f>
        <v/>
      </c>
      <c r="LS17" s="19" t="str">
        <f>IF(SUM(KW17,LA17,LE17)&gt;0,SUM(KW17,LA17,LE17),"")</f>
        <v/>
      </c>
      <c r="LT17" s="19" t="str">
        <f>IF(SUM(LQ17,LR17)&gt;0,SUM(LQ17,LR17),"")</f>
        <v/>
      </c>
      <c r="LU17" s="19" t="str">
        <f>IF(SUM(LI17,LM17)&gt;0,SUM(LI17,LM17),"")</f>
        <v/>
      </c>
      <c r="LV17" s="19" t="str">
        <f>IF(SUM(LH17:LI17,LK17:LM17,LO17)-SUM(LJ17,LN17)&gt;0,SUM(LH17:LI17,LK17:LM17,LO17)-SUM(LJ17,LN17),"")</f>
        <v/>
      </c>
      <c r="LW17" s="19" t="str">
        <f>IF(SUM(LQ17,LV17)&gt;0,SUM(LQ17,LV17),"")</f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>IF(SUM(LY17,MC17)&gt;0,SUM(LY17,MC17),"")</f>
        <v/>
      </c>
      <c r="MS17" s="78" t="str">
        <f>IF(SUM(LX17:LY17,MA17:MC17,ME17)-LZ17-MD17&gt;0,SUM(LX17:LY17,MA17:MC17,ME17)-LZ17-MD17,"")</f>
        <v/>
      </c>
      <c r="MT17" s="78" t="str">
        <f>IF(SUM(MF17:MG17,MI17)-MH17&gt;0,SUM(MF17:MG17,MI17)-MH17,"")</f>
        <v/>
      </c>
      <c r="MU17" s="78" t="str">
        <f>IF(SUM(LY17,MC17,MG17)&gt;0,SUM(LY17,MC17,MG17),"")</f>
        <v/>
      </c>
      <c r="MV17" s="78" t="str">
        <f>IF(SUM(MS17,MT17)&gt;0,SUM(MS17,MT17),"")</f>
        <v/>
      </c>
      <c r="MW17" s="78" t="str">
        <f>IF(SUM(MK17,MO17)&gt;0,SUM(MK17,MO17),"")</f>
        <v/>
      </c>
      <c r="MX17" s="78" t="str">
        <f>IF(SUM(MJ17:MK17,MM17:MO17,MQ17)-SUM(ML17,MP17)&gt;0,SUM(MJ17:MK17,MM17:MO17,MQ17)-SUM(ML17,MP17),"")</f>
        <v/>
      </c>
      <c r="MY17" s="78" t="str">
        <f>IF(SUM(MS17,MX17)&gt;0,SUM(MS17,MX17),"")</f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>IF(SUM(NA17,NE17)&gt;0,SUM(NA17,NE17),"")</f>
        <v/>
      </c>
      <c r="NU17" s="19" t="str">
        <f>IF(SUM(MZ17:NA17,NC17:NE17,NG17)-NB17-NF17&gt;0,SUM(MZ17:NA17,NC17:NE17,NG17)-NB17-NF17,"")</f>
        <v/>
      </c>
      <c r="NV17" s="19" t="str">
        <f>IF(SUM(NH17:NI17,NK17)-NJ17&gt;0,SUM(NH17:NI17,NK17)-NJ17,"")</f>
        <v/>
      </c>
      <c r="NW17" s="19" t="str">
        <f>IF(SUM(NA17,NE17,NI17)&gt;0,SUM(NA17,NE17,NI17),"")</f>
        <v/>
      </c>
      <c r="NX17" s="19" t="str">
        <f>IF(SUM(NU17,NV17)&gt;0,SUM(NU17,NV17),"")</f>
        <v/>
      </c>
      <c r="NY17" s="19" t="str">
        <f>IF(SUM(NM17,NQ17)&gt;0,SUM(NM17,NQ17),"")</f>
        <v/>
      </c>
      <c r="NZ17" s="19" t="str">
        <f>IF(SUM(NL17:NM17,NO17:NQ17,NS17)-SUM(NN17,NR17)&gt;0,SUM(NL17:NM17,NO17:NQ17,NS17)-SUM(NN17,NR17),"")</f>
        <v/>
      </c>
      <c r="OA17" s="19" t="str">
        <f>IF(SUM(NU17,NZ17)&gt;0,SUM(NU17,NZ17),"")</f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>IF(SUM(OC17,OG17)&gt;0,SUM(OC17,OG17),"")</f>
        <v/>
      </c>
      <c r="OW17" s="78" t="str">
        <f>IF(SUM(OB17:OC17,OE17:OG17,OI17)-OD17-OH17&gt;0,SUM(OB17:OC17,OE17:OG17,OI17)-OD17-OH17,"")</f>
        <v/>
      </c>
      <c r="OX17" s="78" t="str">
        <f>IF(SUM(OJ17:OK17,OM17)-OL17&gt;0,SUM(OJ17:OK17,OM17)-OL17,"")</f>
        <v/>
      </c>
      <c r="OY17" s="78" t="str">
        <f>IF(SUM(OC17,OG17,OK17)&gt;0,SUM(OC17,OG17,OK17),"")</f>
        <v/>
      </c>
      <c r="OZ17" s="78" t="str">
        <f>IF(SUM(OW17,OX17)&gt;0,SUM(OW17,OX17),"")</f>
        <v/>
      </c>
      <c r="PA17" s="78" t="str">
        <f>IF(SUM(OO17,OS17)&gt;0,SUM(OO17,OS17),"")</f>
        <v/>
      </c>
      <c r="PB17" s="78" t="str">
        <f>IF(SUM(ON17:OO17,OQ17:OS17,OU17)-SUM(OP17,OT17)&gt;0,SUM(ON17:OO17,OQ17:OS17,OU17)-SUM(OP17,OT17),"")</f>
        <v/>
      </c>
      <c r="PC17" s="78" t="str">
        <f>IF(SUM(OW17,PB17)&gt;0,SUM(OW17,PB17),"")</f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>IF(SUM(PE17,PI17)&gt;0,SUM(PE17,PI17),"")</f>
        <v/>
      </c>
      <c r="PY17" s="19" t="str">
        <f>IF(SUM(PD17:PE17,PG17:PI17,PK17)-PF17-PJ17&gt;0,SUM(PD17:PE17,PG17:PI17,PK17)-PF17-PJ17,"")</f>
        <v/>
      </c>
      <c r="PZ17" s="19" t="str">
        <f>IF(SUM(PL17:PM17,PO17)-PN17&gt;0,SUM(PL17:PM17,PO17)-PN17,"")</f>
        <v/>
      </c>
      <c r="QA17" s="19" t="str">
        <f>IF(SUM(PE17,PI17,PM17)&gt;0,SUM(PE17,PI17,PM17),"")</f>
        <v/>
      </c>
      <c r="QB17" s="19" t="str">
        <f>IF(SUM(PY17,PZ17)&gt;0,SUM(PY17,PZ17),"")</f>
        <v/>
      </c>
      <c r="QC17" s="19" t="str">
        <f>IF(SUM(PQ17,PU17)&gt;0,SUM(PQ17,PU17),"")</f>
        <v/>
      </c>
      <c r="QD17" s="19" t="str">
        <f>IF(SUM(PP17:PQ17,PS17:PU17,PW17)-SUM(PR17,PV17)&gt;0,SUM(PP17:PQ17,PS17:PU17,PW17)-SUM(PR17,PV17),"")</f>
        <v/>
      </c>
      <c r="QE17" s="19" t="str">
        <f>IF(SUM(PY17,QD17)&gt;0,SUM(PY17,QD17),"")</f>
        <v/>
      </c>
      <c r="QF17" s="37">
        <f>IF($CV17="P",CB17,(CB17+AY17)/2)</f>
        <v>19</v>
      </c>
      <c r="QG17" s="37">
        <f>IF($CV17="P",CC17,(CC17+AZ17)/2)</f>
        <v>5.2</v>
      </c>
      <c r="QH17" s="37">
        <f>IF($CV17="P",CD17,(CD17+BA17)/2)</f>
        <v>0.3</v>
      </c>
      <c r="QI17" s="37">
        <f>IF($CV17="P",CE17,(CE17+BB17)/2)</f>
        <v>0</v>
      </c>
      <c r="QJ17" s="37">
        <f>IF($CV17="P",CF17,(CF17+BC17)/2)</f>
        <v>18.95</v>
      </c>
      <c r="QK17" s="37">
        <f>IF($CV17="P",CG17,(CG17+BD17)/2)</f>
        <v>5.2</v>
      </c>
      <c r="QL17" s="37">
        <f>IF($CV17="P",CH17,(CH17+BE17)/2)</f>
        <v>0</v>
      </c>
      <c r="QM17" s="37">
        <f>IF($CV17="P",CI17,(CI17+BF17)/2)</f>
        <v>0</v>
      </c>
      <c r="QN17" s="37">
        <f>IF($CV17="P",CJ17,(CJ17+BG17)/2)</f>
        <v>19.399999999999999</v>
      </c>
      <c r="QO17" s="37">
        <f>IF($CV17="P",CK17,(CK17+BH17)/2)</f>
        <v>4.3</v>
      </c>
      <c r="QP17" s="37">
        <f>IF($CV17="P",CL17,(CL17+BI17)/2)</f>
        <v>0</v>
      </c>
      <c r="QQ17" s="37">
        <f>IF($CV17="P",CM17,(CM17+BJ17)/2)</f>
        <v>0</v>
      </c>
      <c r="QR17" s="37">
        <f>IF($CV17="P",CN17,(CN17+BK17)/2)</f>
        <v>18.899999999999999</v>
      </c>
      <c r="QS17" s="37">
        <f>IF($CV17="P",CO17,(CO17+BL17)/2)</f>
        <v>5.6</v>
      </c>
      <c r="QT17" s="37">
        <f>IF($CV17="P",CP17,(CP17+BM17)/2)</f>
        <v>0</v>
      </c>
      <c r="QU17" s="37">
        <f>IF($CV17="P",CQ17,(CQ17+BN17)/2)</f>
        <v>0</v>
      </c>
      <c r="QV17" s="37">
        <f>IF($CV17="P",CR17,(CR17+BO17)/2)</f>
        <v>18.850000000000001</v>
      </c>
      <c r="QW17" s="37">
        <f>IF($CV17="P",CS17,(CS17+BP17)/2)</f>
        <v>5.4</v>
      </c>
      <c r="QX17" s="37">
        <f>IF($CV17="P",CT17,(CT17+BQ17)/2)</f>
        <v>0.1</v>
      </c>
      <c r="QY17" s="37">
        <f>IF($CV17="P",CU17,(CU17+BR17)/2)</f>
        <v>0</v>
      </c>
      <c r="QZ17" s="44" t="s">
        <v>46</v>
      </c>
      <c r="RA17" s="78">
        <f>IF(SUM(QG17,QK17)&gt;0,SUM(QG17,QK17),"")</f>
        <v>10.4</v>
      </c>
      <c r="RB17" s="78">
        <f>IF(SUM(QF17:QG17,QI17:QK17,QM17)-QH17-QL17&gt;0,SUM(QF17:QG17,QI17:QK17,QM17)-QH17-QL17,"")</f>
        <v>48.050000000000004</v>
      </c>
      <c r="RC17" s="78">
        <f>IF(SUM(QN17:QO17,QQ17)-QP17&gt;0,SUM(QN17:QO17,QQ17)-QP17,"")</f>
        <v>23.7</v>
      </c>
      <c r="RD17" s="78">
        <f>IF(SUM(QG17,QK17,QO17)&gt;0,SUM(QG17,QK17,QO17),"")</f>
        <v>14.7</v>
      </c>
      <c r="RE17" s="78">
        <f>IF(SUM(RB17,RC17)&gt;0,SUM(RB17,RC17),"")</f>
        <v>71.75</v>
      </c>
      <c r="RF17" s="78">
        <f>IF(SUM(QS17,QW17)&gt;0,SUM(QS17,QW17),"")</f>
        <v>11</v>
      </c>
      <c r="RG17" s="78">
        <f>IF(SUM(QR17:QS17,QU17:QW17,QY17)-SUM(QT17,QX17)&gt;0,SUM(QR17:QS17,QU17:QW17,QY17)-SUM(QT17,QX17),"")</f>
        <v>48.65</v>
      </c>
      <c r="RH17" s="78">
        <f>IF(SUM(RB17,RG17)&gt;0,SUM(RB17,RG17),"")</f>
        <v>96.7</v>
      </c>
    </row>
    <row r="18" spans="1:476" x14ac:dyDescent="0.2">
      <c r="A18" s="5" t="str">
        <f>IF(AND(F18="P",G18="P"),SUMPRODUCT((F$4:F$32="P")*(G$4:G$32="P")*(E$4:E$32&gt;E18))+1,IF(G18="P",SUMPRODUCT((F$4:F$32="")*(G$4:G$32="P")*(E$4:E$32&gt;E18))+1+SUMPRODUCT((F$4:F$32="P")*(G$4:G$32="P")),""))</f>
        <v/>
      </c>
      <c r="B18" s="77" t="s">
        <v>87</v>
      </c>
      <c r="C18" s="5" t="s">
        <v>4</v>
      </c>
      <c r="D18" s="5">
        <v>2004</v>
      </c>
      <c r="E18" s="15">
        <f>SUM(I18:S18)+SUM(I18:O18)*0.0000001+SUM(I18)*0.0000000000001</f>
        <v>191.9000143400049</v>
      </c>
      <c r="F18" s="3" t="str">
        <f>IF(OR(AND(AQ18&gt;=AX$34,AR18&gt;=AX$38,AQ18&lt;&gt;"",AP18=""),AND(AV18&gt;=AX$34,AW18&gt;=AX$38,AV18&lt;&gt;"",AP18=""),AND(BT18&gt;=CA$34,BU18&gt;=CA$38,BT18&lt;&gt;"",BS18=""),AND(BY18&gt;=CA$34,BZ18&gt;=CA$38,BY18&lt;&gt;"",BS18=""),AND(CW18&gt;=DD$34,CX18&gt;=DD$38,CW18&lt;&gt;"",CV18=""),AND(DB18&gt;=DD$34,DC18&gt;=DD$38,DB18&lt;&gt;""),AND(EB18&gt;=EI$34,EC18&gt;=EI$38,EB18&lt;&gt;""),AND(EG18&gt;=EI$34,EH18&gt;=EI$38,EG18&lt;&gt;""),AND(FD18&gt;=FK$34,FE18&gt;=FK$38,FD18&lt;&gt;""),AND(FI18&gt;=FK$34,FJ18&gt;=FK$38,FI18&lt;&gt;""),AND(GF18&gt;=GM$34,GG18&gt;=GM$38,GF18&lt;&gt;""),AND(GK18&gt;=GM$34,GL18&gt;=GM$38,GK18&lt;&gt;""),AND(HH18&gt;=HO$34,HI18&gt;=HO$38,HH18&lt;&gt;""),AND(HM18&gt;=HO$34,HN18&gt;=HO$38,HM18&lt;&gt;""),AND(IJ18&gt;=IQ$34,IK18&gt;=IQ$38,IJ18&lt;&gt;""),AND(IO18&gt;=IQ$34,IP18&gt;=IQ$38,IO18&lt;&gt;""),AND(JL18&gt;=JS$34,JM18&gt;=JS$38,JL18&lt;&gt;""),AND(JQ18&gt;=JS$34,JR18&gt;=JS$38,JQ18&lt;&gt;""),AND(KN18&gt;=KU$34,KO18&gt;=KU$38,KN18&lt;&gt;""),AND(KS18&gt;=KU$34,KT18&gt;=KU$38,KS18&lt;&gt;""),AND(LP18&gt;=LW$34,LQ18&gt;=LW$38,LP18&lt;&gt;""),AND(LU18&gt;=LW$34,LV18&gt;=LW$38,LU18&lt;&gt;""),AND(MR18&gt;=MY$34,MS18&gt;=MY$38,MR18&lt;&gt;""),AND(MW18&gt;=MY$34,MX18&gt;=MY$38,MW18&lt;&gt;""),AND(NT18&gt;=OA$34,NU18&gt;=OA$38,NT18&lt;&gt;""),AND(NY18&gt;=OA$34,NZ18&gt;=OA$38,NY18&lt;&gt;""),AND(OV18&gt;=PC$34,OW18&gt;=PC$38,OV18&lt;&gt;""),AND(PA18&gt;=PC$34,PB18&gt;=PC$38,PA18&lt;&gt;""),AND(PX18&gt;=QE$34,PY18&gt;=QE$38,PX18&lt;&gt;""),AND(QC18&gt;=QE$34,QD18&gt;=QE$38,QC18&lt;&gt;"")),"P","")</f>
        <v/>
      </c>
      <c r="G18" s="3" t="str">
        <f>IF(OR(AND(AR18&gt;=AX$38,AR18&lt;&gt;"",AP18=""),AND(AW18&gt;=AX$38,AW18&lt;&gt;"",AP18=""),AND(BU18&gt;=CA$38,BU18&lt;&gt;"",BS18=""),AND(BZ18&gt;=CA$38,BZ18&lt;&gt;"",BS18=""),AND(CX18&gt;=DD$38,CX18&lt;&gt;"",CV18=""),AND(DC18&gt;=DD$38,DC18&lt;&gt;"",CV18=""),AND(EC18&gt;=EI$38,EC18&lt;&gt;""),AND(EH18&gt;=EI$38,EH18&lt;&gt;""),AND(FE18&gt;=FK$38,FE18&lt;&gt;""),AND(FJ18&gt;=FK$38,FJ18&lt;&gt;""),AND(GG18&gt;=GM$38,GG18&lt;&gt;""),AND(GL18&gt;=GM$38,GL18&lt;&gt;""),AND(HI18&gt;=HO$38,HI18&lt;&gt;""),AND(HN18&gt;=HO$38,HN18&lt;&gt;""),AND(IK18&gt;=IQ$38,IK18&lt;&gt;""),AND(IP18&gt;=IQ$38,IP18&lt;&gt;""),AND(JM18&gt;=JS$38,JM18&lt;&gt;""),AND(JR18&gt;=JS$38,JR18&lt;&gt;""),AND(KO18&gt;=KU$38,KO18&lt;&gt;""),AND(KT18&gt;=KU$38,KT18&lt;&gt;""),AND(LQ18&gt;=LW$38,LQ18&lt;&gt;""),AND(LV18&gt;=LW$38,LV18&lt;&gt;""),AND(MS18&gt;=MY$38,MS18&lt;&gt;""),AND(MX18&gt;=MY$38,MX18&lt;&gt;""),AND(NU18&gt;=OA$38,NU18&lt;&gt;""),AND(NZ18&gt;=OA$38,NZ18&lt;&gt;""),AND(OW18&gt;=PC$38,OW18&lt;&gt;""),AND(PB18&gt;=PC$38,PB18&lt;&gt;""),AND(PY18&gt;=QE$38,PY18&lt;&gt;""),AND(QD18&gt;=QE$38,QD18&lt;&gt;"")),"P","")</f>
        <v/>
      </c>
      <c r="H18" s="66" t="str">
        <f>IF(AND(G18="P",F18=""),"No DD",IF(OR(AND(AT18&gt;=AX$37,AU18&gt;=AX$41,AT18&lt;&gt;"",AP18=""),AND(BW18&gt;=CA$37,BX18&gt;=CA$41,BW18&lt;&gt;"",BS18=""),AND(CZ18&gt;=DD$37,DA18&gt;=DD$41,CZ18&lt;&gt;"",CV18=""),AND(EE18&gt;=EI$37,EF18&gt;=EI$41,EE18&lt;&gt;""),AND(FG18&gt;=FK$37,FH18&gt;=FK$41,FG18&lt;&gt;""),AND(GI18&gt;=GM$37,GJ18&gt;=GM$41,GI18&lt;&gt;""),AND(HK18&gt;=HO$37,HL18&gt;=HO$41,HK18&lt;&gt;""),AND(IM18&gt;=IQ$37,IN18&gt;=IQ$41,IM18&lt;&gt;""),AND(JO18&gt;=JS$37,JP18&gt;=JS$41,JO18&lt;&gt;""),AND(KQ18&gt;=KU$37,KR18&gt;=KU$41,KQ18&lt;&gt;""),AND(LS18&gt;=LW$37,LT18&gt;=LW$41,LS18&lt;&gt;""),AND(MU18&gt;=MY$37,MV18&gt;=MY$41,MU18&lt;&gt;""),AND(NW18&gt;=OA$37,NX18&gt;=OA$41,NW18&lt;&gt;""),AND(OY18&gt;=PC$37,OZ18&gt;=PC$41,OY18&lt;&gt;""),AND(QA18&gt;=QE$37,QB18&gt;=QE$41,QA18&lt;&gt;"")),"Merit",IF(OR(AND(AT18&gt;=AX$36,AU18&gt;=AX$40,AT18&lt;&gt;"",AP18=""),AND(BW18&gt;=CA$36,BX18&gt;=CA$40,BW18&lt;&gt;"",BS18=""),AND(CZ18&gt;=DD$36,DA18&gt;=DD$40,CZ18&lt;&gt;"",CV18=""),AND(EE18&gt;=EI$36,EF18&gt;=EI$40,EE18&lt;&gt;""),AND(FG18&gt;=FK$36,FH18&gt;=FK$40,FG18&lt;&gt;""),AND(GI18&gt;=GM$36,GJ18&gt;=GM$40,GI18&lt;&gt;""),AND(HK18&gt;=HO$36,HL18&gt;=HO$40,HK18&lt;&gt;""),AND(IM18&gt;=IQ$36,IN18&gt;=IQ$40,IM18&lt;&gt;""),AND(JO18&gt;=JS$36,JP18&gt;=JS$40,JO18&lt;&gt;""),AND(KQ18&gt;=KU$36,KR18&gt;=KU$40,KQ18&lt;&gt;""),AND(LS18&gt;=LW$36,LT18&gt;=LW$40,LS18&lt;&gt;""),AND(MU18&gt;=MY$36,MV18&gt;=MY$40,MU18&lt;&gt;""),AND(NW18&gt;=OA$36,NX18&gt;=OA$40,NW18&lt;&gt;""),AND(OY18&gt;=PC$36,OZ18&gt;=PC$40,OY18&lt;&gt;""),AND(QA18&gt;=QE$36,QB18&gt;=QE$40,QA18&lt;&gt;"")),"Excellence",IF(F18="P","National Team",""))))</f>
        <v/>
      </c>
      <c r="I18" s="14">
        <f>IF(COUNT(AR18,BU18,CX18)&gt;0,LARGE((AR18,BU18,CX18),1),0)</f>
        <v>49.2</v>
      </c>
      <c r="J18" s="14" t="str">
        <f>IF(I18=0,"",IF(I18=CX18,$CB$1,IF(I18=BU18,$AY$1,IF(I18=AR18,$V$1,""))))</f>
        <v>2022 Nationals</v>
      </c>
      <c r="K18" s="14">
        <f>IF(COUNT(AR18,BU18,CX18)&gt;1,LARGE((AR18,BU18,CX18),2),0)</f>
        <v>47.4</v>
      </c>
      <c r="L18" s="14" t="str">
        <f>IF(K18=0,"",IF(K18=CX18,$CB$1,IF(K18=BU18,$AY$1,IF(K18=AR18,$V$1,""))))</f>
        <v>2022 Elite Canada</v>
      </c>
      <c r="M18" s="14">
        <f>IF(COUNT(AS18,BV18,CY18)&gt;0,LARGE((AS18,BV18,CY18),1),0)</f>
        <v>24.6</v>
      </c>
      <c r="N18" s="14" t="str">
        <f>IF(M18=0,"",IF(M18=CY18,$CB$1,IF(M18=BV18,$AY$1,IF(M18=AS18,$V$1,""))))</f>
        <v>2022 Nationals</v>
      </c>
      <c r="O18" s="14">
        <f>IF(COUNT(AS18,BV18,CY18)&gt;1,LARGE((AS18,BV18,CY18),2),0)</f>
        <v>22.200000000000003</v>
      </c>
      <c r="P18" s="14" t="str">
        <f>IF(O18=0,"",IF(O18=CY18,$CB$1,IF(O18=BV18,$AY$1,IF(O18=AS18,$V$1,""))))</f>
        <v>2022 Elite Canada</v>
      </c>
      <c r="Q18" s="14">
        <f>IF(MAX(AW18,BZ18,DC18)&gt;0,MAX(AW18,BZ18,DC18),0)</f>
        <v>48.5</v>
      </c>
      <c r="R18" s="14" t="str">
        <f>IF(Q18=0,"",IF(Q18=DC18,$CB$1,IF(Q18=BZ18,$AY$1,IF(Q18=AW18,$V$1,""))))</f>
        <v>2022 Nationals</v>
      </c>
      <c r="S18" s="14" t="str">
        <f>IF(MAX(DE18:DG18)&gt;0,MAX(DE18:DG18),"")</f>
        <v/>
      </c>
      <c r="T18" s="19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6">
        <v>18.2</v>
      </c>
      <c r="W18" s="26">
        <v>5.6</v>
      </c>
      <c r="X18" s="26">
        <v>0</v>
      </c>
      <c r="Y18" s="26">
        <v>0</v>
      </c>
      <c r="Z18" s="26">
        <v>18.399999999999999</v>
      </c>
      <c r="AA18" s="26">
        <v>6</v>
      </c>
      <c r="AB18" s="26">
        <v>0.8</v>
      </c>
      <c r="AC18" s="26">
        <v>0</v>
      </c>
      <c r="AD18" s="26">
        <v>17.100000000000001</v>
      </c>
      <c r="AE18" s="26">
        <v>5.0999999999999996</v>
      </c>
      <c r="AF18" s="26">
        <v>0</v>
      </c>
      <c r="AG18" s="26">
        <v>0</v>
      </c>
      <c r="AH18" s="26">
        <v>17.5</v>
      </c>
      <c r="AI18" s="26">
        <v>2.4</v>
      </c>
      <c r="AJ18" s="26">
        <v>0</v>
      </c>
      <c r="AK18" s="26">
        <v>0</v>
      </c>
      <c r="AL18" s="26">
        <v>18.8</v>
      </c>
      <c r="AM18" s="26">
        <v>6</v>
      </c>
      <c r="AN18" s="26">
        <v>0.6</v>
      </c>
      <c r="AO18" s="26">
        <v>0</v>
      </c>
      <c r="AP18" s="44"/>
      <c r="AQ18" s="78">
        <f>IF(SUM(W18,AA18)&gt;0,SUM(W18,AA18),"")</f>
        <v>11.6</v>
      </c>
      <c r="AR18" s="78">
        <f>IF(SUM(V18:W18,Y18:AA18,AC18)-X18-AB18&gt;0,SUM(V18:W18,Y18:AA18,AC18)-X18-AB18,"")</f>
        <v>47.4</v>
      </c>
      <c r="AS18" s="78">
        <f>IF(SUM(AD18:AE18,AG18)-AF18&gt;0,SUM(AD18:AE18,AG18)-AF18,"")</f>
        <v>22.200000000000003</v>
      </c>
      <c r="AT18" s="78">
        <f>IF(SUM(W18,AA18,AE18)&gt;0,SUM(W18,AA18,AE18),"")</f>
        <v>16.7</v>
      </c>
      <c r="AU18" s="78">
        <f>IF(SUM(AR18,AS18)&gt;0,SUM(AR18,AS18),"")</f>
        <v>69.599999999999994</v>
      </c>
      <c r="AV18" s="78">
        <f>IF(SUM(AI18,AM18)&gt;0,SUM(AI18,AM18),"")</f>
        <v>8.4</v>
      </c>
      <c r="AW18" s="78">
        <f>IF(SUM(AH18:AI18,AK18:AM18,AO18)-SUM(AJ18,AN18)&gt;0,SUM(AH18:AI18,AK18:AM18,AO18)-SUM(AJ18,AN18),"")</f>
        <v>44.1</v>
      </c>
      <c r="AX18" s="78">
        <f>IF(SUM(AR18,AW18)&gt;0,SUM(AR18,AW18),"")</f>
        <v>91.5</v>
      </c>
      <c r="AY18" s="25">
        <v>19</v>
      </c>
      <c r="AZ18" s="25">
        <v>6.4</v>
      </c>
      <c r="BA18" s="25">
        <v>0</v>
      </c>
      <c r="BB18" s="25">
        <v>0</v>
      </c>
      <c r="BC18" s="25">
        <v>18.600000000000001</v>
      </c>
      <c r="BD18" s="25">
        <v>6</v>
      </c>
      <c r="BE18" s="25">
        <v>0.8</v>
      </c>
      <c r="BF18" s="25">
        <v>0</v>
      </c>
      <c r="BG18" s="25">
        <v>19</v>
      </c>
      <c r="BH18" s="25">
        <v>5.6</v>
      </c>
      <c r="BI18" s="25">
        <v>0</v>
      </c>
      <c r="BJ18" s="25">
        <v>0</v>
      </c>
      <c r="BK18" s="25">
        <v>18.600000000000001</v>
      </c>
      <c r="BL18" s="25">
        <v>6.4</v>
      </c>
      <c r="BM18" s="25">
        <v>0.2</v>
      </c>
      <c r="BN18" s="25">
        <v>0</v>
      </c>
      <c r="BO18" s="25">
        <v>18.3</v>
      </c>
      <c r="BP18" s="25">
        <v>6</v>
      </c>
      <c r="BQ18" s="25">
        <v>0.6</v>
      </c>
      <c r="BR18" s="25">
        <v>0</v>
      </c>
      <c r="BS18" s="45"/>
      <c r="BT18" s="19">
        <f>IF(SUM(AZ18,BD18)&gt;0,SUM(AZ18,BD18),"")</f>
        <v>12.4</v>
      </c>
      <c r="BU18" s="19">
        <f>IF(SUM(AY18:AZ18,BB18:BD18,BF18)-BA18-BE18&gt;0,SUM(AY18:AZ18,BB18:BD18,BF18)-BA18-BE18,"")</f>
        <v>49.2</v>
      </c>
      <c r="BV18" s="19">
        <f>IF(SUM(BG18:BH18,BJ18)-BI18&gt;0,SUM(BG18:BH18,BJ18)-BI18,"")</f>
        <v>24.6</v>
      </c>
      <c r="BW18" s="19">
        <f>IF(SUM(AZ18,BD18,BH18)&gt;0,SUM(AZ18,BD18,BH18),"")</f>
        <v>18</v>
      </c>
      <c r="BX18" s="19">
        <f>IF(SUM(BU18,BV18)&gt;0,SUM(BU18,BV18),"")</f>
        <v>73.800000000000011</v>
      </c>
      <c r="BY18" s="19">
        <f>IF(SUM(BL18,BP18)&gt;0,SUM(BL18,BP18),"")</f>
        <v>12.4</v>
      </c>
      <c r="BZ18" s="19">
        <f>IF(SUM(BK18:BL18,BN18:BP18,BR18)-SUM(BM18,BQ18)&gt;0,SUM(BK18:BL18,BN18:BP18,BR18)-SUM(BM18,BQ18),"")</f>
        <v>48.5</v>
      </c>
      <c r="CA18" s="19">
        <f>IF(SUM(BU18,BZ18)&gt;0,SUM(BU18,BZ18),"")</f>
        <v>97.7</v>
      </c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44"/>
      <c r="CW18" s="78" t="str">
        <f>IF(SUM(CC18,CG18)&gt;0,SUM(CC18,CG18),"")</f>
        <v/>
      </c>
      <c r="CX18" s="78" t="str">
        <f>IF(SUM(CB18:CC18,CE18:CG18,CI18)-CD18-CH18&gt;0,SUM(CB18:CC18,CE18:CG18,CI18)-CD18-CH18,"")</f>
        <v/>
      </c>
      <c r="CY18" s="78" t="str">
        <f>IF(SUM(CJ18:CK18,CM18)-CL18&gt;0,SUM(CJ18:CK18,CM18)-CL18,"")</f>
        <v/>
      </c>
      <c r="CZ18" s="78" t="str">
        <f>IF(SUM(CC18,CG18,CK18)&gt;0,SUM(CC18,CG18,CK18),"")</f>
        <v/>
      </c>
      <c r="DA18" s="78" t="str">
        <f>IF(SUM(CX18,CY18)&gt;0,SUM(CX18,CY18),"")</f>
        <v/>
      </c>
      <c r="DB18" s="78" t="str">
        <f>IF(SUM(CO18,CS18)&gt;0,SUM(CO18,CS18),"")</f>
        <v/>
      </c>
      <c r="DC18" s="78" t="str">
        <f>IF(SUM(CN18:CO18,CQ18:CS18,CU18)-SUM(CP18,CT18)&gt;0,SUM(CN18:CO18,CQ18:CS18,CU18)-SUM(CP18,CT18),"")</f>
        <v/>
      </c>
      <c r="DD18" s="78" t="str">
        <f>IF(SUM(CX18,DC18)&gt;0,SUM(CX18,DC18),"")</f>
        <v/>
      </c>
      <c r="DE18" s="79" t="str">
        <f>IF(K18&gt;=0.001,IF(MAX(EC18,FE18,GG18,HI18,IK18,JM18,KO18,LQ18,MS18,NU18,OW18,PY18)-IF(K18="",0,K18)&gt;0.001,MAX(EC18,FE18,GG18,HI18,IK18,JM18,KO18,LQ18,MS18,NU18,OW18,PY18)-IF(K18="",0,K18),""),"")</f>
        <v/>
      </c>
      <c r="DF18" s="79" t="str">
        <f>IF(O18&gt;=0.001,IF(MAX(ED18,FF18,GH18,HJ18,IL18,JN18,KP18,LR18,MT18,NV18,OX18,PZ18)-IF(O18="",0,O18)&gt;0.001,MAX(ED18,FF18,GH18,HJ18,IL18,JN18,KP18,LR18,MT18,NV18,OX18,PZ18)-IF(O18="",0,O18),""),"")</f>
        <v/>
      </c>
      <c r="DG18" s="79" t="str">
        <f>IF(Q18&gt;=0.001,IF(MAX(EH18,FJ18,GL18,HN18,IP18,JR18,KT18,LV18,MX18,NZ18,PB18,QD18)-IF(Q18="",0,Q18)&gt;0.001,MAX(EH18,FJ18,GL18,HN18,IP18,JR18,KT18,LV18,MX18,NZ18,PB18,QD18)-IF(Q18="",0,Q18),""),"")</f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>IF(SUM(DI18,DM18)&gt;0,SUM(DI18,DM18),"")</f>
        <v/>
      </c>
      <c r="EC18" s="78" t="str">
        <f>IF(SUM(DH18:DI18,DK18:DM18,DO18)-DJ18-DN18&gt;0,SUM(DH18:DI18,DK18:DM18,DO18)-DJ18-DN18,"")</f>
        <v/>
      </c>
      <c r="ED18" s="78" t="str">
        <f>IF(SUM(DP18:DQ18,DS18)-DR18&gt;0,SUM(DP18:DQ18,DS18)-DR18,"")</f>
        <v/>
      </c>
      <c r="EE18" s="78" t="str">
        <f>IF(SUM(DI18,DM18,DQ18)&gt;0,SUM(DI18,DM18,DQ18),"")</f>
        <v/>
      </c>
      <c r="EF18" s="78" t="str">
        <f>IF(SUM(EC18,ED18)&gt;0,SUM(EC18,ED18),"")</f>
        <v/>
      </c>
      <c r="EG18" s="78" t="str">
        <f>IF(SUM(DU18,DY18)&gt;0,SUM(DU18,DY18),"")</f>
        <v/>
      </c>
      <c r="EH18" s="78" t="str">
        <f>IF(SUM(DT18:DU18,DW18:DY18,EA18)-SUM(DV18,DZ18)&gt;0,SUM(DT18:DU18,DW18:DY18,EA18)-SUM(DV18,DZ18),"")</f>
        <v/>
      </c>
      <c r="EI18" s="78" t="str">
        <f>IF(SUM(EC18,EH18)&gt;0,SUM(EC18,EH18),"")</f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>IF(SUM(EK18,EO18)&gt;0,SUM(EK18,EO18),"")</f>
        <v/>
      </c>
      <c r="FE18" s="19" t="str">
        <f>IF(SUM(EJ18:EK18,EM18:EO18,EQ18)-EL18-EP18&gt;0,SUM(EJ18:EK18,EM18:EO18,EQ18)-EL18-EP18,"")</f>
        <v/>
      </c>
      <c r="FF18" s="19" t="str">
        <f>IF(SUM(ER18:ES18,EU18)-ET18&gt;0,SUM(ER18:ES18,EU18)-ET18,"")</f>
        <v/>
      </c>
      <c r="FG18" s="19" t="str">
        <f>IF(SUM(EK18,EO18,ES18)&gt;0,SUM(EK18,EO18,ES18),"")</f>
        <v/>
      </c>
      <c r="FH18" s="19" t="str">
        <f>IF(SUM(FE18,FF18)&gt;0,SUM(FE18,FF18),"")</f>
        <v/>
      </c>
      <c r="FI18" s="19" t="str">
        <f>IF(SUM(EW18,FA18)&gt;0,SUM(EW18,FA18),"")</f>
        <v/>
      </c>
      <c r="FJ18" s="19" t="str">
        <f>IF(SUM(EV18:EW18,EY18:FA18,FC18)-SUM(EX18,FB18)&gt;0,SUM(EV18:EW18,EY18:FA18,FC18)-SUM(EX18,FB18),"")</f>
        <v/>
      </c>
      <c r="FK18" s="19" t="str">
        <f>IF(SUM(FE18,FJ18)&gt;0,SUM(FE18,FJ18),"")</f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>IF(SUM(FM18,FQ18)&gt;0,SUM(FM18,FQ18),"")</f>
        <v/>
      </c>
      <c r="GG18" s="78" t="str">
        <f>IF(SUM(FL18:FM18,FO18:FQ18,FS18)-FN18-FR18&gt;0,SUM(FL18:FM18,FO18:FQ18,FS18)-FN18-FR18,"")</f>
        <v/>
      </c>
      <c r="GH18" s="78" t="str">
        <f>IF(SUM(FT18:FU18,FW18)-FV18&gt;0,SUM(FT18:FU18,FW18)-FV18,"")</f>
        <v/>
      </c>
      <c r="GI18" s="78" t="str">
        <f>IF(SUM(FM18,FQ18,FU18)&gt;0,SUM(FM18,FQ18,FU18),"")</f>
        <v/>
      </c>
      <c r="GJ18" s="78" t="str">
        <f>IF(SUM(GG18,GH18)&gt;0,SUM(GG18,GH18),"")</f>
        <v/>
      </c>
      <c r="GK18" s="78" t="str">
        <f>IF(SUM(FY18,GC18)&gt;0,SUM(FY18,GC18),"")</f>
        <v/>
      </c>
      <c r="GL18" s="78" t="str">
        <f>IF(SUM(FX18:FY18,GA18:GC18,GE18)-SUM(FZ18,GD18)&gt;0,SUM(FX18:FY18,GA18:GC18,GE18)-SUM(FZ18,GD18),"")</f>
        <v/>
      </c>
      <c r="GM18" s="78" t="str">
        <f>IF(SUM(GG18,GL18)&gt;0,SUM(GG18,GL18),"")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>IF(SUM(GO18,GS18)&gt;0,SUM(GO18,GS18),"")</f>
        <v/>
      </c>
      <c r="HI18" s="19" t="str">
        <f>IF(SUM(GN18:GO18,GQ18:GS18,GU18)-GP18-GT18&gt;0,SUM(GN18:GO18,GQ18:GS18,GU18)-GP18-GT18,"")</f>
        <v/>
      </c>
      <c r="HJ18" s="19" t="str">
        <f>IF(SUM(GV18:GW18,GY18)-GX18&gt;0,SUM(GV18:GW18,GY18)-GX18,"")</f>
        <v/>
      </c>
      <c r="HK18" s="19" t="str">
        <f>IF(SUM(GO18,GS18,GW18)&gt;0,SUM(GO18,GS18,GW18),"")</f>
        <v/>
      </c>
      <c r="HL18" s="19" t="str">
        <f>IF(SUM(HI18,HJ18)&gt;0,SUM(HI18,HJ18),"")</f>
        <v/>
      </c>
      <c r="HM18" s="19" t="str">
        <f>IF(SUM(HA18,HE18)&gt;0,SUM(HA18,HE18),"")</f>
        <v/>
      </c>
      <c r="HN18" s="19" t="str">
        <f>IF(SUM(GZ18:HA18,HC18:HE18,HG18)-SUM(HB18,HF18)&gt;0,SUM(GZ18:HA18,HC18:HE18,HG18)-SUM(HB18,HF18),"")</f>
        <v/>
      </c>
      <c r="HO18" s="19" t="str">
        <f>IF(SUM(HI18,HN18)&gt;0,SUM(HI18,HN18),"")</f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>IF(SUM(HQ18,HU18)&gt;0,SUM(HQ18,HU18),"")</f>
        <v/>
      </c>
      <c r="IK18" s="78" t="str">
        <f>IF(SUM(HP18:HQ18,HS18:HU18,HW18)-HR18-HV18&gt;0,SUM(HP18:HQ18,HS18:HU18,HW18)-HR18-HV18,"")</f>
        <v/>
      </c>
      <c r="IL18" s="78" t="str">
        <f>IF(SUM(HX18:HY18,IA18)-HZ18&gt;0,SUM(HX18:HY18,IA18)-HZ18,"")</f>
        <v/>
      </c>
      <c r="IM18" s="78" t="str">
        <f>IF(SUM(HQ18,HU18,HY18)&gt;0,SUM(HQ18,HU18,HY18),"")</f>
        <v/>
      </c>
      <c r="IN18" s="78" t="str">
        <f>IF(SUM(IK18,IL18)&gt;0,SUM(IK18,IL18),"")</f>
        <v/>
      </c>
      <c r="IO18" s="78" t="str">
        <f>IF(SUM(IC18,IG18)&gt;0,SUM(IC18,IG18),"")</f>
        <v/>
      </c>
      <c r="IP18" s="78" t="str">
        <f>IF(SUM(IB18:IC18,IE18:IG18,II18)-SUM(ID18,IH18)&gt;0,SUM(IB18:IC18,IE18:IG18,II18)-SUM(ID18,IH18),"")</f>
        <v/>
      </c>
      <c r="IQ18" s="78" t="str">
        <f>IF(SUM(IK18,IP18)&gt;0,SUM(IK18,IP18),"")</f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>IF(SUM(IS18,IW18)&gt;0,SUM(IS18,IW18),"")</f>
        <v/>
      </c>
      <c r="JM18" s="19" t="str">
        <f>IF(SUM(IR18:IS18,IU18:IW18,IY18)-IT18-IX18&gt;0,SUM(IR18:IS18,IU18:IW18,IY18)-IT18-IX18,"")</f>
        <v/>
      </c>
      <c r="JN18" s="19" t="str">
        <f>IF(SUM(IZ18:JA18,JC18)-JB18&gt;0,SUM(IZ18:JA18,JC18)-JB18,"")</f>
        <v/>
      </c>
      <c r="JO18" s="19" t="str">
        <f>IF(SUM(IS18,IW18,JA18)&gt;0,SUM(IS18,IW18,JA18),"")</f>
        <v/>
      </c>
      <c r="JP18" s="19" t="str">
        <f>IF(SUM(JM18,JN18)&gt;0,SUM(JM18,JN18),"")</f>
        <v/>
      </c>
      <c r="JQ18" s="19" t="str">
        <f>IF(SUM(JE18,JI18)&gt;0,SUM(JE18,JI18),"")</f>
        <v/>
      </c>
      <c r="JR18" s="19" t="str">
        <f>IF(SUM(JD18:JE18,JG18:JI18,JK18)-SUM(JF18,JJ18)&gt;0,SUM(JD18:JE18,JG18:JI18,JK18)-SUM(JF18,JJ18),"")</f>
        <v/>
      </c>
      <c r="JS18" s="19" t="str">
        <f>IF(SUM(JM18,JR18)&gt;0,SUM(JM18,JR18),"")</f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>IF(SUM(JU18,JY18)&gt;0,SUM(JU18,JY18),"")</f>
        <v/>
      </c>
      <c r="KO18" s="78" t="str">
        <f>IF(SUM(JT18:JU18,JW18:JY18,KA18)-JV18-JZ18&gt;0,SUM(JT18:JU18,JW18:JY18,KA18)-JV18-JZ18,"")</f>
        <v/>
      </c>
      <c r="KP18" s="78" t="str">
        <f>IF(SUM(KB18:KC18,KE18)-KD18&gt;0,SUM(KB18:KC18,KE18)-KD18,"")</f>
        <v/>
      </c>
      <c r="KQ18" s="78" t="str">
        <f>IF(SUM(JU18,JY18,KC18)&gt;0,SUM(JU18,JY18,KC18),"")</f>
        <v/>
      </c>
      <c r="KR18" s="78" t="str">
        <f>IF(SUM(KO18,KP18)&gt;0,SUM(KO18,KP18),"")</f>
        <v/>
      </c>
      <c r="KS18" s="78" t="str">
        <f>IF(SUM(KG18,KK18)&gt;0,SUM(KG18,KK18),"")</f>
        <v/>
      </c>
      <c r="KT18" s="78" t="str">
        <f>IF(SUM(KF18:KG18,KI18:KK18,KM18)-SUM(KH18,KL18)&gt;0,SUM(KF18:KG18,KI18:KK18,KM18)-SUM(KH18,KL18),"")</f>
        <v/>
      </c>
      <c r="KU18" s="78" t="str">
        <f>IF(SUM(KO18,KT18)&gt;0,SUM(KO18,KT18),"")</f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>IF(SUM(KW18,LA18)&gt;0,SUM(KW18,LA18),"")</f>
        <v/>
      </c>
      <c r="LQ18" s="19" t="str">
        <f>IF(SUM(KV18:KW18,KY18:LA18,LC18)-KX18-LB18&gt;0,SUM(KV18:KW18,KY18:LA18,LC18)-KX18-LB18,"")</f>
        <v/>
      </c>
      <c r="LR18" s="19" t="str">
        <f>IF(SUM(LD18:LE18,LG18)-LF18&gt;0,SUM(LD18:LE18,LG18)-LF18,"")</f>
        <v/>
      </c>
      <c r="LS18" s="19" t="str">
        <f>IF(SUM(KW18,LA18,LE18)&gt;0,SUM(KW18,LA18,LE18),"")</f>
        <v/>
      </c>
      <c r="LT18" s="19" t="str">
        <f>IF(SUM(LQ18,LR18)&gt;0,SUM(LQ18,LR18),"")</f>
        <v/>
      </c>
      <c r="LU18" s="19" t="str">
        <f>IF(SUM(LI18,LM18)&gt;0,SUM(LI18,LM18),"")</f>
        <v/>
      </c>
      <c r="LV18" s="19" t="str">
        <f>IF(SUM(LH18:LI18,LK18:LM18,LO18)-SUM(LJ18,LN18)&gt;0,SUM(LH18:LI18,LK18:LM18,LO18)-SUM(LJ18,LN18),"")</f>
        <v/>
      </c>
      <c r="LW18" s="19" t="str">
        <f>IF(SUM(LQ18,LV18)&gt;0,SUM(LQ18,LV18),"")</f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>IF(SUM(LY18,MC18)&gt;0,SUM(LY18,MC18),"")</f>
        <v/>
      </c>
      <c r="MS18" s="78" t="str">
        <f>IF(SUM(LX18:LY18,MA18:MC18,ME18)-LZ18-MD18&gt;0,SUM(LX18:LY18,MA18:MC18,ME18)-LZ18-MD18,"")</f>
        <v/>
      </c>
      <c r="MT18" s="78" t="str">
        <f>IF(SUM(MF18:MG18,MI18)-MH18&gt;0,SUM(MF18:MG18,MI18)-MH18,"")</f>
        <v/>
      </c>
      <c r="MU18" s="78" t="str">
        <f>IF(SUM(LY18,MC18,MG18)&gt;0,SUM(LY18,MC18,MG18),"")</f>
        <v/>
      </c>
      <c r="MV18" s="78" t="str">
        <f>IF(SUM(MS18,MT18)&gt;0,SUM(MS18,MT18),"")</f>
        <v/>
      </c>
      <c r="MW18" s="78" t="str">
        <f>IF(SUM(MK18,MO18)&gt;0,SUM(MK18,MO18),"")</f>
        <v/>
      </c>
      <c r="MX18" s="78" t="str">
        <f>IF(SUM(MJ18:MK18,MM18:MO18,MQ18)-SUM(ML18,MP18)&gt;0,SUM(MJ18:MK18,MM18:MO18,MQ18)-SUM(ML18,MP18),"")</f>
        <v/>
      </c>
      <c r="MY18" s="78" t="str">
        <f>IF(SUM(MS18,MX18)&gt;0,SUM(MS18,MX18),"")</f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>IF(SUM(NA18,NE18)&gt;0,SUM(NA18,NE18),"")</f>
        <v/>
      </c>
      <c r="NU18" s="19" t="str">
        <f>IF(SUM(MZ18:NA18,NC18:NE18,NG18)-NB18-NF18&gt;0,SUM(MZ18:NA18,NC18:NE18,NG18)-NB18-NF18,"")</f>
        <v/>
      </c>
      <c r="NV18" s="19" t="str">
        <f>IF(SUM(NH18:NI18,NK18)-NJ18&gt;0,SUM(NH18:NI18,NK18)-NJ18,"")</f>
        <v/>
      </c>
      <c r="NW18" s="19" t="str">
        <f>IF(SUM(NA18,NE18,NI18)&gt;0,SUM(NA18,NE18,NI18),"")</f>
        <v/>
      </c>
      <c r="NX18" s="19" t="str">
        <f>IF(SUM(NU18,NV18)&gt;0,SUM(NU18,NV18),"")</f>
        <v/>
      </c>
      <c r="NY18" s="19" t="str">
        <f>IF(SUM(NM18,NQ18)&gt;0,SUM(NM18,NQ18),"")</f>
        <v/>
      </c>
      <c r="NZ18" s="19" t="str">
        <f>IF(SUM(NL18:NM18,NO18:NQ18,NS18)-SUM(NN18,NR18)&gt;0,SUM(NL18:NM18,NO18:NQ18,NS18)-SUM(NN18,NR18),"")</f>
        <v/>
      </c>
      <c r="OA18" s="19" t="str">
        <f>IF(SUM(NU18,NZ18)&gt;0,SUM(NU18,NZ18),"")</f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>IF(SUM(OC18,OG18)&gt;0,SUM(OC18,OG18),"")</f>
        <v/>
      </c>
      <c r="OW18" s="78" t="str">
        <f>IF(SUM(OB18:OC18,OE18:OG18,OI18)-OD18-OH18&gt;0,SUM(OB18:OC18,OE18:OG18,OI18)-OD18-OH18,"")</f>
        <v/>
      </c>
      <c r="OX18" s="78" t="str">
        <f>IF(SUM(OJ18:OK18,OM18)-OL18&gt;0,SUM(OJ18:OK18,OM18)-OL18,"")</f>
        <v/>
      </c>
      <c r="OY18" s="78" t="str">
        <f>IF(SUM(OC18,OG18,OK18)&gt;0,SUM(OC18,OG18,OK18),"")</f>
        <v/>
      </c>
      <c r="OZ18" s="78" t="str">
        <f>IF(SUM(OW18,OX18)&gt;0,SUM(OW18,OX18),"")</f>
        <v/>
      </c>
      <c r="PA18" s="78" t="str">
        <f>IF(SUM(OO18,OS18)&gt;0,SUM(OO18,OS18),"")</f>
        <v/>
      </c>
      <c r="PB18" s="78" t="str">
        <f>IF(SUM(ON18:OO18,OQ18:OS18,OU18)-SUM(OP18,OT18)&gt;0,SUM(ON18:OO18,OQ18:OS18,OU18)-SUM(OP18,OT18),"")</f>
        <v/>
      </c>
      <c r="PC18" s="78" t="str">
        <f>IF(SUM(OW18,PB18)&gt;0,SUM(OW18,PB18),"")</f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>IF(SUM(PE18,PI18)&gt;0,SUM(PE18,PI18),"")</f>
        <v/>
      </c>
      <c r="PY18" s="19" t="str">
        <f>IF(SUM(PD18:PE18,PG18:PI18,PK18)-PF18-PJ18&gt;0,SUM(PD18:PE18,PG18:PI18,PK18)-PF18-PJ18,"")</f>
        <v/>
      </c>
      <c r="PZ18" s="19" t="str">
        <f>IF(SUM(PL18:PM18,PO18)-PN18&gt;0,SUM(PL18:PM18,PO18)-PN18,"")</f>
        <v/>
      </c>
      <c r="QA18" s="19" t="str">
        <f>IF(SUM(PE18,PI18,PM18)&gt;0,SUM(PE18,PI18,PM18),"")</f>
        <v/>
      </c>
      <c r="QB18" s="19" t="str">
        <f>IF(SUM(PY18,PZ18)&gt;0,SUM(PY18,PZ18),"")</f>
        <v/>
      </c>
      <c r="QC18" s="19" t="str">
        <f>IF(SUM(PQ18,PU18)&gt;0,SUM(PQ18,PU18),"")</f>
        <v/>
      </c>
      <c r="QD18" s="19" t="str">
        <f>IF(SUM(PP18:PQ18,PS18:PU18,PW18)-SUM(PR18,PV18)&gt;0,SUM(PP18:PQ18,PS18:PU18,PW18)-SUM(PR18,PV18),"")</f>
        <v/>
      </c>
      <c r="QE18" s="19" t="str">
        <f>IF(SUM(PY18,QD18)&gt;0,SUM(PY18,QD18),"")</f>
        <v/>
      </c>
      <c r="QF18" s="37">
        <f>IF($CV18="P",CB18,(CB18+AY18)/2)</f>
        <v>9.5</v>
      </c>
      <c r="QG18" s="37">
        <f>IF($CV18="P",CC18,(CC18+AZ18)/2)</f>
        <v>3.2</v>
      </c>
      <c r="QH18" s="37">
        <f>IF($CV18="P",CD18,(CD18+BA18)/2)</f>
        <v>0</v>
      </c>
      <c r="QI18" s="37">
        <f>IF($CV18="P",CE18,(CE18+BB18)/2)</f>
        <v>0</v>
      </c>
      <c r="QJ18" s="37">
        <f>IF($CV18="P",CF18,(CF18+BC18)/2)</f>
        <v>9.3000000000000007</v>
      </c>
      <c r="QK18" s="37">
        <f>IF($CV18="P",CG18,(CG18+BD18)/2)</f>
        <v>3</v>
      </c>
      <c r="QL18" s="37">
        <f>IF($CV18="P",CH18,(CH18+BE18)/2)</f>
        <v>0.4</v>
      </c>
      <c r="QM18" s="37">
        <f>IF($CV18="P",CI18,(CI18+BF18)/2)</f>
        <v>0</v>
      </c>
      <c r="QN18" s="37">
        <f>IF($CV18="P",CJ18,(CJ18+BG18)/2)</f>
        <v>9.5</v>
      </c>
      <c r="QO18" s="37">
        <f>IF($CV18="P",CK18,(CK18+BH18)/2)</f>
        <v>2.8</v>
      </c>
      <c r="QP18" s="37">
        <f>IF($CV18="P",CL18,(CL18+BI18)/2)</f>
        <v>0</v>
      </c>
      <c r="QQ18" s="37">
        <f>IF($CV18="P",CM18,(CM18+BJ18)/2)</f>
        <v>0</v>
      </c>
      <c r="QR18" s="37">
        <f>IF($CV18="P",CN18,(CN18+BK18)/2)</f>
        <v>9.3000000000000007</v>
      </c>
      <c r="QS18" s="37">
        <f>IF($CV18="P",CO18,(CO18+BL18)/2)</f>
        <v>3.2</v>
      </c>
      <c r="QT18" s="37">
        <f>IF($CV18="P",CP18,(CP18+BM18)/2)</f>
        <v>0.1</v>
      </c>
      <c r="QU18" s="37">
        <f>IF($CV18="P",CQ18,(CQ18+BN18)/2)</f>
        <v>0</v>
      </c>
      <c r="QV18" s="37">
        <f>IF($CV18="P",CR18,(CR18+BO18)/2)</f>
        <v>9.15</v>
      </c>
      <c r="QW18" s="37">
        <f>IF($CV18="P",CS18,(CS18+BP18)/2)</f>
        <v>3</v>
      </c>
      <c r="QX18" s="37">
        <f>IF($CV18="P",CT18,(CT18+BQ18)/2)</f>
        <v>0.3</v>
      </c>
      <c r="QY18" s="37">
        <f>IF($CV18="P",CU18,(CU18+BR18)/2)</f>
        <v>0</v>
      </c>
      <c r="QZ18" s="44" t="s">
        <v>46</v>
      </c>
      <c r="RA18" s="78">
        <f>IF(SUM(QG18,QK18)&gt;0,SUM(QG18,QK18),"")</f>
        <v>6.2</v>
      </c>
      <c r="RB18" s="78">
        <f>IF(SUM(QF18:QG18,QI18:QK18,QM18)-QH18-QL18&gt;0,SUM(QF18:QG18,QI18:QK18,QM18)-QH18-QL18,"")</f>
        <v>24.6</v>
      </c>
      <c r="RC18" s="78">
        <f>IF(SUM(QN18:QO18,QQ18)-QP18&gt;0,SUM(QN18:QO18,QQ18)-QP18,"")</f>
        <v>12.3</v>
      </c>
      <c r="RD18" s="78">
        <f>IF(SUM(QG18,QK18,QO18)&gt;0,SUM(QG18,QK18,QO18),"")</f>
        <v>9</v>
      </c>
      <c r="RE18" s="78">
        <f>IF(SUM(RB18,RC18)&gt;0,SUM(RB18,RC18),"")</f>
        <v>36.900000000000006</v>
      </c>
      <c r="RF18" s="78">
        <f>IF(SUM(QS18,QW18)&gt;0,SUM(QS18,QW18),"")</f>
        <v>6.2</v>
      </c>
      <c r="RG18" s="78">
        <f>IF(SUM(QR18:QS18,QU18:QW18,QY18)-SUM(QT18,QX18)&gt;0,SUM(QR18:QS18,QU18:QW18,QY18)-SUM(QT18,QX18),"")</f>
        <v>24.25</v>
      </c>
      <c r="RH18" s="78">
        <f>IF(SUM(RB18,RG18)&gt;0,SUM(RB18,RG18),"")</f>
        <v>48.85</v>
      </c>
    </row>
    <row r="19" spans="1:476" x14ac:dyDescent="0.2">
      <c r="A19" s="5" t="str">
        <f>IF(AND(F19="P",G19="P"),SUMPRODUCT((F$4:F$32="P")*(G$4:G$32="P")*(E$4:E$32&gt;E19))+1,IF(G19="P",SUMPRODUCT((F$4:F$32="")*(G$4:G$32="P")*(E$4:E$32&gt;E19))+1+SUMPRODUCT((F$4:F$32="P")*(G$4:G$32="P")),""))</f>
        <v/>
      </c>
      <c r="B19" s="77" t="s">
        <v>141</v>
      </c>
      <c r="C19" s="5" t="s">
        <v>5</v>
      </c>
      <c r="D19" s="5">
        <v>2005</v>
      </c>
      <c r="E19" s="15">
        <f>SUM(I19:S19)+SUM(I19:O19)*0.0000001+SUM(I19)*0.0000000000001</f>
        <v>190.60001418000482</v>
      </c>
      <c r="F19" s="3" t="str">
        <f>IF(OR(AND(AQ19&gt;=AX$34,AR19&gt;=AX$38,AQ19&lt;&gt;"",AP19=""),AND(AV19&gt;=AX$34,AW19&gt;=AX$38,AV19&lt;&gt;"",AP19=""),AND(BT19&gt;=CA$34,BU19&gt;=CA$38,BT19&lt;&gt;"",BS19=""),AND(BY19&gt;=CA$34,BZ19&gt;=CA$38,BY19&lt;&gt;"",BS19=""),AND(CW19&gt;=DD$34,CX19&gt;=DD$38,CW19&lt;&gt;"",CV19=""),AND(DB19&gt;=DD$34,DC19&gt;=DD$38,DB19&lt;&gt;""),AND(EB19&gt;=EI$34,EC19&gt;=EI$38,EB19&lt;&gt;""),AND(EG19&gt;=EI$34,EH19&gt;=EI$38,EG19&lt;&gt;""),AND(FD19&gt;=FK$34,FE19&gt;=FK$38,FD19&lt;&gt;""),AND(FI19&gt;=FK$34,FJ19&gt;=FK$38,FI19&lt;&gt;""),AND(GF19&gt;=GM$34,GG19&gt;=GM$38,GF19&lt;&gt;""),AND(GK19&gt;=GM$34,GL19&gt;=GM$38,GK19&lt;&gt;""),AND(HH19&gt;=HO$34,HI19&gt;=HO$38,HH19&lt;&gt;""),AND(HM19&gt;=HO$34,HN19&gt;=HO$38,HM19&lt;&gt;""),AND(IJ19&gt;=IQ$34,IK19&gt;=IQ$38,IJ19&lt;&gt;""),AND(IO19&gt;=IQ$34,IP19&gt;=IQ$38,IO19&lt;&gt;""),AND(JL19&gt;=JS$34,JM19&gt;=JS$38,JL19&lt;&gt;""),AND(JQ19&gt;=JS$34,JR19&gt;=JS$38,JQ19&lt;&gt;""),AND(KN19&gt;=KU$34,KO19&gt;=KU$38,KN19&lt;&gt;""),AND(KS19&gt;=KU$34,KT19&gt;=KU$38,KS19&lt;&gt;""),AND(LP19&gt;=LW$34,LQ19&gt;=LW$38,LP19&lt;&gt;""),AND(LU19&gt;=LW$34,LV19&gt;=LW$38,LU19&lt;&gt;""),AND(MR19&gt;=MY$34,MS19&gt;=MY$38,MR19&lt;&gt;""),AND(MW19&gt;=MY$34,MX19&gt;=MY$38,MW19&lt;&gt;""),AND(NT19&gt;=OA$34,NU19&gt;=OA$38,NT19&lt;&gt;""),AND(NY19&gt;=OA$34,NZ19&gt;=OA$38,NY19&lt;&gt;""),AND(OV19&gt;=PC$34,OW19&gt;=PC$38,OV19&lt;&gt;""),AND(PA19&gt;=PC$34,PB19&gt;=PC$38,PA19&lt;&gt;""),AND(PX19&gt;=QE$34,PY19&gt;=QE$38,PX19&lt;&gt;""),AND(QC19&gt;=QE$34,QD19&gt;=QE$38,QC19&lt;&gt;"")),"P","")</f>
        <v/>
      </c>
      <c r="G19" s="3" t="str">
        <f>IF(OR(AND(AR19&gt;=AX$38,AR19&lt;&gt;"",AP19=""),AND(AW19&gt;=AX$38,AW19&lt;&gt;"",AP19=""),AND(BU19&gt;=CA$38,BU19&lt;&gt;"",BS19=""),AND(BZ19&gt;=CA$38,BZ19&lt;&gt;"",BS19=""),AND(CX19&gt;=DD$38,CX19&lt;&gt;"",CV19=""),AND(DC19&gt;=DD$38,DC19&lt;&gt;"",CV19=""),AND(EC19&gt;=EI$38,EC19&lt;&gt;""),AND(EH19&gt;=EI$38,EH19&lt;&gt;""),AND(FE19&gt;=FK$38,FE19&lt;&gt;""),AND(FJ19&gt;=FK$38,FJ19&lt;&gt;""),AND(GG19&gt;=GM$38,GG19&lt;&gt;""),AND(GL19&gt;=GM$38,GL19&lt;&gt;""),AND(HI19&gt;=HO$38,HI19&lt;&gt;""),AND(HN19&gt;=HO$38,HN19&lt;&gt;""),AND(IK19&gt;=IQ$38,IK19&lt;&gt;""),AND(IP19&gt;=IQ$38,IP19&lt;&gt;""),AND(JM19&gt;=JS$38,JM19&lt;&gt;""),AND(JR19&gt;=JS$38,JR19&lt;&gt;""),AND(KO19&gt;=KU$38,KO19&lt;&gt;""),AND(KT19&gt;=KU$38,KT19&lt;&gt;""),AND(LQ19&gt;=LW$38,LQ19&lt;&gt;""),AND(LV19&gt;=LW$38,LV19&lt;&gt;""),AND(MS19&gt;=MY$38,MS19&lt;&gt;""),AND(MX19&gt;=MY$38,MX19&lt;&gt;""),AND(NU19&gt;=OA$38,NU19&lt;&gt;""),AND(NZ19&gt;=OA$38,NZ19&lt;&gt;""),AND(OW19&gt;=PC$38,OW19&lt;&gt;""),AND(PB19&gt;=PC$38,PB19&lt;&gt;""),AND(PY19&gt;=QE$38,PY19&lt;&gt;""),AND(QD19&gt;=QE$38,QD19&lt;&gt;"")),"P","")</f>
        <v/>
      </c>
      <c r="H19" s="66" t="str">
        <f>IF(AND(G19="P",F19=""),"No DD",IF(OR(AND(AT19&gt;=AX$37,AU19&gt;=AX$41,AT19&lt;&gt;"",AP19=""),AND(BW19&gt;=CA$37,BX19&gt;=CA$41,BW19&lt;&gt;"",BS19=""),AND(CZ19&gt;=DD$37,DA19&gt;=DD$41,CZ19&lt;&gt;"",CV19=""),AND(EE19&gt;=EI$37,EF19&gt;=EI$41,EE19&lt;&gt;""),AND(FG19&gt;=FK$37,FH19&gt;=FK$41,FG19&lt;&gt;""),AND(GI19&gt;=GM$37,GJ19&gt;=GM$41,GI19&lt;&gt;""),AND(HK19&gt;=HO$37,HL19&gt;=HO$41,HK19&lt;&gt;""),AND(IM19&gt;=IQ$37,IN19&gt;=IQ$41,IM19&lt;&gt;""),AND(JO19&gt;=JS$37,JP19&gt;=JS$41,JO19&lt;&gt;""),AND(KQ19&gt;=KU$37,KR19&gt;=KU$41,KQ19&lt;&gt;""),AND(LS19&gt;=LW$37,LT19&gt;=LW$41,LS19&lt;&gt;""),AND(MU19&gt;=MY$37,MV19&gt;=MY$41,MU19&lt;&gt;""),AND(NW19&gt;=OA$37,NX19&gt;=OA$41,NW19&lt;&gt;""),AND(OY19&gt;=PC$37,OZ19&gt;=PC$41,OY19&lt;&gt;""),AND(QA19&gt;=QE$37,QB19&gt;=QE$41,QA19&lt;&gt;"")),"Merit",IF(OR(AND(AT19&gt;=AX$36,AU19&gt;=AX$40,AT19&lt;&gt;"",AP19=""),AND(BW19&gt;=CA$36,BX19&gt;=CA$40,BW19&lt;&gt;"",BS19=""),AND(CZ19&gt;=DD$36,DA19&gt;=DD$40,CZ19&lt;&gt;"",CV19=""),AND(EE19&gt;=EI$36,EF19&gt;=EI$40,EE19&lt;&gt;""),AND(FG19&gt;=FK$36,FH19&gt;=FK$40,FG19&lt;&gt;""),AND(GI19&gt;=GM$36,GJ19&gt;=GM$40,GI19&lt;&gt;""),AND(HK19&gt;=HO$36,HL19&gt;=HO$40,HK19&lt;&gt;""),AND(IM19&gt;=IQ$36,IN19&gt;=IQ$40,IM19&lt;&gt;""),AND(JO19&gt;=JS$36,JP19&gt;=JS$40,JO19&lt;&gt;""),AND(KQ19&gt;=KU$36,KR19&gt;=KU$40,KQ19&lt;&gt;""),AND(LS19&gt;=LW$36,LT19&gt;=LW$40,LS19&lt;&gt;""),AND(MU19&gt;=MY$36,MV19&gt;=MY$40,MU19&lt;&gt;""),AND(NW19&gt;=OA$36,NX19&gt;=OA$40,NW19&lt;&gt;""),AND(OY19&gt;=PC$36,OZ19&gt;=PC$40,OY19&lt;&gt;""),AND(QA19&gt;=QE$36,QB19&gt;=QE$40,QA19&lt;&gt;"")),"Excellence",IF(F19="P","National Team",""))))</f>
        <v/>
      </c>
      <c r="I19" s="14">
        <f>IF(COUNT(AR19,BU19,CX19)&gt;0,LARGE((AR19,BU19,CX19),1),0)</f>
        <v>48.599999999999994</v>
      </c>
      <c r="J19" s="14" t="str">
        <f>IF(I19=0,"",IF(I19=CX19,$CB$1,IF(I19=BU19,$AY$1,IF(I19=AR19,$V$1,""))))</f>
        <v>2022 Nationals</v>
      </c>
      <c r="K19" s="14">
        <f>IF(COUNT(AR19,BU19,CX19)&gt;1,LARGE((AR19,BU19,CX19),2),0)</f>
        <v>48.099999999999987</v>
      </c>
      <c r="L19" s="14" t="str">
        <f>IF(K19=0,"",IF(K19=CX19,$CB$1,IF(K19=BU19,$AY$1,IF(K19=AR19,$V$1,""))))</f>
        <v>2022 Elite Canada</v>
      </c>
      <c r="M19" s="14">
        <f>IF(COUNT(AS19,BV19,CY19)&gt;0,LARGE((AS19,BV19,CY19),1),0)</f>
        <v>22.900000000000002</v>
      </c>
      <c r="N19" s="14" t="str">
        <f>IF(M19=0,"",IF(M19=CY19,$CB$1,IF(M19=BV19,$AY$1,IF(M19=AS19,$V$1,""))))</f>
        <v>2022 Nationals</v>
      </c>
      <c r="O19" s="14">
        <f>IF(COUNT(AS19,BV19,CY19)&gt;1,LARGE((AS19,BV19,CY19),2),0)</f>
        <v>22.2</v>
      </c>
      <c r="P19" s="14" t="str">
        <f>IF(O19=0,"",IF(O19=CY19,$CB$1,IF(O19=BV19,$AY$1,IF(O19=AS19,$V$1,""))))</f>
        <v>2022 3rd Domestic Trial</v>
      </c>
      <c r="Q19" s="14">
        <f>IF(MAX(AW19,BZ19,DC19)&gt;0,MAX(AW19,BZ19,DC19),0)</f>
        <v>48.8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19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6">
        <v>18.2</v>
      </c>
      <c r="W19" s="26">
        <v>5.6</v>
      </c>
      <c r="X19" s="26">
        <v>0.2</v>
      </c>
      <c r="Y19" s="26">
        <v>0</v>
      </c>
      <c r="Z19" s="26">
        <v>18.3</v>
      </c>
      <c r="AA19" s="26">
        <v>6.4</v>
      </c>
      <c r="AB19" s="26">
        <v>0.2</v>
      </c>
      <c r="AC19" s="26">
        <v>0</v>
      </c>
      <c r="AD19" s="26">
        <v>18.8</v>
      </c>
      <c r="AE19" s="26">
        <v>4</v>
      </c>
      <c r="AF19" s="26">
        <v>0.6</v>
      </c>
      <c r="AG19" s="26">
        <v>0</v>
      </c>
      <c r="AH19" s="26">
        <v>18.2</v>
      </c>
      <c r="AI19" s="26">
        <v>5.6</v>
      </c>
      <c r="AJ19" s="26">
        <v>0</v>
      </c>
      <c r="AK19" s="26">
        <v>0</v>
      </c>
      <c r="AL19" s="26">
        <v>18.600000000000001</v>
      </c>
      <c r="AM19" s="26">
        <v>6.4</v>
      </c>
      <c r="AN19" s="26">
        <v>0</v>
      </c>
      <c r="AO19" s="26">
        <v>0</v>
      </c>
      <c r="AP19" s="44"/>
      <c r="AQ19" s="78">
        <f>IF(SUM(W19,AA19)&gt;0,SUM(W19,AA19),"")</f>
        <v>12</v>
      </c>
      <c r="AR19" s="78">
        <f>IF(SUM(V19:W19,Y19:AA19,AC19)-X19-AB19&gt;0,SUM(V19:W19,Y19:AA19,AC19)-X19-AB19,"")</f>
        <v>48.099999999999987</v>
      </c>
      <c r="AS19" s="78">
        <f>IF(SUM(AD19:AE19,AG19)-AF19&gt;0,SUM(AD19:AE19,AG19)-AF19,"")</f>
        <v>22.2</v>
      </c>
      <c r="AT19" s="78">
        <f>IF(SUM(W19,AA19,AE19)&gt;0,SUM(W19,AA19,AE19),"")</f>
        <v>16</v>
      </c>
      <c r="AU19" s="78">
        <f>IF(SUM(AR19,AS19)&gt;0,SUM(AR19,AS19),"")</f>
        <v>70.299999999999983</v>
      </c>
      <c r="AV19" s="78">
        <f>IF(SUM(AI19,AM19)&gt;0,SUM(AI19,AM19),"")</f>
        <v>12</v>
      </c>
      <c r="AW19" s="78">
        <f>IF(SUM(AH19:AI19,AK19:AM19,AO19)-SUM(AJ19,AN19)&gt;0,SUM(AH19:AI19,AK19:AM19,AO19)-SUM(AJ19,AN19),"")</f>
        <v>48.8</v>
      </c>
      <c r="AX19" s="78">
        <f>IF(SUM(AR19,AW19)&gt;0,SUM(AR19,AW19),"")</f>
        <v>96.899999999999977</v>
      </c>
      <c r="AY19" s="25">
        <v>18</v>
      </c>
      <c r="AZ19" s="25">
        <v>6</v>
      </c>
      <c r="BA19" s="25">
        <v>0.2</v>
      </c>
      <c r="BB19" s="25">
        <v>0</v>
      </c>
      <c r="BC19" s="25">
        <v>18.600000000000001</v>
      </c>
      <c r="BD19" s="25">
        <v>6.4</v>
      </c>
      <c r="BE19" s="25">
        <v>0.2</v>
      </c>
      <c r="BF19" s="25">
        <v>0</v>
      </c>
      <c r="BG19" s="25">
        <v>19.100000000000001</v>
      </c>
      <c r="BH19" s="25">
        <v>4</v>
      </c>
      <c r="BI19" s="25">
        <v>0.2</v>
      </c>
      <c r="BJ19" s="25">
        <v>0</v>
      </c>
      <c r="BK19" s="25">
        <v>17.8</v>
      </c>
      <c r="BL19" s="25">
        <v>6</v>
      </c>
      <c r="BM19" s="25">
        <v>0</v>
      </c>
      <c r="BN19" s="25">
        <v>0</v>
      </c>
      <c r="BO19" s="25">
        <v>18.2</v>
      </c>
      <c r="BP19" s="25">
        <v>6.4</v>
      </c>
      <c r="BQ19" s="25">
        <v>0.2</v>
      </c>
      <c r="BR19" s="25">
        <v>0</v>
      </c>
      <c r="BS19" s="45"/>
      <c r="BT19" s="19">
        <f>IF(SUM(AZ19,BD19)&gt;0,SUM(AZ19,BD19),"")</f>
        <v>12.4</v>
      </c>
      <c r="BU19" s="19">
        <f>IF(SUM(AY19:AZ19,BB19:BD19,BF19)-BA19-BE19&gt;0,SUM(AY19:AZ19,BB19:BD19,BF19)-BA19-BE19,"")</f>
        <v>48.599999999999994</v>
      </c>
      <c r="BV19" s="19">
        <f>IF(SUM(BG19:BH19,BJ19)-BI19&gt;0,SUM(BG19:BH19,BJ19)-BI19,"")</f>
        <v>22.900000000000002</v>
      </c>
      <c r="BW19" s="19">
        <f>IF(SUM(AZ19,BD19,BH19)&gt;0,SUM(AZ19,BD19,BH19),"")</f>
        <v>16.399999999999999</v>
      </c>
      <c r="BX19" s="19">
        <f>IF(SUM(BU19,BV19)&gt;0,SUM(BU19,BV19),"")</f>
        <v>71.5</v>
      </c>
      <c r="BY19" s="19">
        <f>IF(SUM(BL19,BP19)&gt;0,SUM(BL19,BP19),"")</f>
        <v>12.4</v>
      </c>
      <c r="BZ19" s="19">
        <f>IF(SUM(BK19:BL19,BN19:BP19,BR19)-SUM(BM19,BQ19)&gt;0,SUM(BK19:BL19,BN19:BP19,BR19)-SUM(BM19,BQ19),"")</f>
        <v>48.199999999999996</v>
      </c>
      <c r="CA19" s="19">
        <f>IF(SUM(BU19,BZ19)&gt;0,SUM(BU19,BZ19),"")</f>
        <v>96.799999999999983</v>
      </c>
      <c r="CB19" s="26">
        <v>0</v>
      </c>
      <c r="CC19" s="26">
        <v>0</v>
      </c>
      <c r="CD19" s="26">
        <v>0</v>
      </c>
      <c r="CE19" s="26">
        <v>0</v>
      </c>
      <c r="CF19" s="26">
        <v>18.8</v>
      </c>
      <c r="CG19" s="26">
        <v>6.8</v>
      </c>
      <c r="CH19" s="26">
        <v>0.2</v>
      </c>
      <c r="CI19" s="26">
        <v>0</v>
      </c>
      <c r="CJ19" s="26">
        <v>18.399999999999999</v>
      </c>
      <c r="CK19" s="26">
        <v>4.8</v>
      </c>
      <c r="CL19" s="26">
        <v>1</v>
      </c>
      <c r="CM19" s="26">
        <v>0</v>
      </c>
      <c r="CN19" s="26">
        <v>17.2</v>
      </c>
      <c r="CO19" s="26">
        <v>3.2</v>
      </c>
      <c r="CP19" s="26">
        <v>0</v>
      </c>
      <c r="CQ19" s="26">
        <v>0</v>
      </c>
      <c r="CR19" s="26">
        <v>18.3</v>
      </c>
      <c r="CS19" s="26">
        <v>3.6</v>
      </c>
      <c r="CT19" s="26">
        <v>0.8</v>
      </c>
      <c r="CU19" s="26">
        <v>0</v>
      </c>
      <c r="CV19" s="44"/>
      <c r="CW19" s="78">
        <f>IF(SUM(CC19,CG19)&gt;0,SUM(CC19,CG19),"")</f>
        <v>6.8</v>
      </c>
      <c r="CX19" s="78">
        <f>IF(SUM(CB19:CC19,CE19:CG19,CI19)-CD19-CH19&gt;0,SUM(CB19:CC19,CE19:CG19,CI19)-CD19-CH19,"")</f>
        <v>25.400000000000002</v>
      </c>
      <c r="CY19" s="78">
        <f>IF(SUM(CJ19:CK19,CM19)-CL19&gt;0,SUM(CJ19:CK19,CM19)-CL19,"")</f>
        <v>22.2</v>
      </c>
      <c r="CZ19" s="78">
        <f>IF(SUM(CC19,CG19,CK19)&gt;0,SUM(CC19,CG19,CK19),"")</f>
        <v>11.6</v>
      </c>
      <c r="DA19" s="78">
        <f>IF(SUM(CX19,CY19)&gt;0,SUM(CX19,CY19),"")</f>
        <v>47.6</v>
      </c>
      <c r="DB19" s="78">
        <f>IF(SUM(CO19,CS19)&gt;0,SUM(CO19,CS19),"")</f>
        <v>6.8000000000000007</v>
      </c>
      <c r="DC19" s="78">
        <f>IF(SUM(CN19:CO19,CQ19:CS19,CU19)-SUM(CP19,CT19)&gt;0,SUM(CN19:CO19,CQ19:CS19,CU19)-SUM(CP19,CT19),"")</f>
        <v>41.500000000000007</v>
      </c>
      <c r="DD19" s="78">
        <f>IF(SUM(CX19,DC19)&gt;0,SUM(CX19,DC19),"")</f>
        <v>66.900000000000006</v>
      </c>
      <c r="DE19" s="79" t="str">
        <f>IF(K19&gt;=0.001,IF(MAX(EC19,FE19,GG19,HI19,IK19,JM19,KO19,LQ19,MS19,NU19,OW19,PY19)-IF(K19="",0,K19)&gt;0.001,MAX(EC19,FE19,GG19,HI19,IK19,JM19,KO19,LQ19,MS19,NU19,OW19,PY19)-IF(K19="",0,K19),""),"")</f>
        <v/>
      </c>
      <c r="DF19" s="79" t="str">
        <f>IF(O19&gt;=0.001,IF(MAX(ED19,FF19,GH19,HJ19,IL19,JN19,KP19,LR19,MT19,NV19,OX19,PZ19)-IF(O19="",0,O19)&gt;0.001,MAX(ED19,FF19,GH19,HJ19,IL19,JN19,KP19,LR19,MT19,NV19,OX19,PZ19)-IF(O19="",0,O19),""),"")</f>
        <v/>
      </c>
      <c r="DG19" s="79" t="str">
        <f>IF(Q19&gt;=0.001,IF(MAX(EH19,FJ19,GL19,HN19,IP19,JR19,KT19,LV19,MX19,NZ19,PB19,QD19)-IF(Q19="",0,Q19)&gt;0.001,MAX(EH19,FJ19,GL19,HN19,IP19,JR19,KT19,LV19,MX19,NZ19,PB19,QD19)-IF(Q19="",0,Q19),""),"")</f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>IF(SUM(DI19,DM19)&gt;0,SUM(DI19,DM19),"")</f>
        <v/>
      </c>
      <c r="EC19" s="78" t="str">
        <f>IF(SUM(DH19:DI19,DK19:DM19,DO19)-DJ19-DN19&gt;0,SUM(DH19:DI19,DK19:DM19,DO19)-DJ19-DN19,"")</f>
        <v/>
      </c>
      <c r="ED19" s="78" t="str">
        <f>IF(SUM(DP19:DQ19,DS19)-DR19&gt;0,SUM(DP19:DQ19,DS19)-DR19,"")</f>
        <v/>
      </c>
      <c r="EE19" s="78" t="str">
        <f>IF(SUM(DI19,DM19,DQ19)&gt;0,SUM(DI19,DM19,DQ19),"")</f>
        <v/>
      </c>
      <c r="EF19" s="78" t="str">
        <f>IF(SUM(EC19,ED19)&gt;0,SUM(EC19,ED19),"")</f>
        <v/>
      </c>
      <c r="EG19" s="78" t="str">
        <f>IF(SUM(DU19,DY19)&gt;0,SUM(DU19,DY19),"")</f>
        <v/>
      </c>
      <c r="EH19" s="78" t="str">
        <f>IF(SUM(DT19:DU19,DW19:DY19,EA19)-SUM(DV19,DZ19)&gt;0,SUM(DT19:DU19,DW19:DY19,EA19)-SUM(DV19,DZ19),"")</f>
        <v/>
      </c>
      <c r="EI19" s="78" t="str">
        <f>IF(SUM(EC19,EH19)&gt;0,SUM(EC19,EH19),"")</f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>IF(SUM(EK19,EO19)&gt;0,SUM(EK19,EO19),"")</f>
        <v/>
      </c>
      <c r="FE19" s="19" t="str">
        <f>IF(SUM(EJ19:EK19,EM19:EO19,EQ19)-EL19-EP19&gt;0,SUM(EJ19:EK19,EM19:EO19,EQ19)-EL19-EP19,"")</f>
        <v/>
      </c>
      <c r="FF19" s="19" t="str">
        <f>IF(SUM(ER19:ES19,EU19)-ET19&gt;0,SUM(ER19:ES19,EU19)-ET19,"")</f>
        <v/>
      </c>
      <c r="FG19" s="19" t="str">
        <f>IF(SUM(EK19,EO19,ES19)&gt;0,SUM(EK19,EO19,ES19),"")</f>
        <v/>
      </c>
      <c r="FH19" s="19" t="str">
        <f>IF(SUM(FE19,FF19)&gt;0,SUM(FE19,FF19),"")</f>
        <v/>
      </c>
      <c r="FI19" s="19" t="str">
        <f>IF(SUM(EW19,FA19)&gt;0,SUM(EW19,FA19),"")</f>
        <v/>
      </c>
      <c r="FJ19" s="19" t="str">
        <f>IF(SUM(EV19:EW19,EY19:FA19,FC19)-SUM(EX19,FB19)&gt;0,SUM(EV19:EW19,EY19:FA19,FC19)-SUM(EX19,FB19),"")</f>
        <v/>
      </c>
      <c r="FK19" s="19" t="str">
        <f>IF(SUM(FE19,FJ19)&gt;0,SUM(FE19,FJ19),"")</f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>IF(SUM(FM19,FQ19)&gt;0,SUM(FM19,FQ19),"")</f>
        <v/>
      </c>
      <c r="GG19" s="78" t="str">
        <f>IF(SUM(FL19:FM19,FO19:FQ19,FS19)-FN19-FR19&gt;0,SUM(FL19:FM19,FO19:FQ19,FS19)-FN19-FR19,"")</f>
        <v/>
      </c>
      <c r="GH19" s="78" t="str">
        <f>IF(SUM(FT19:FU19,FW19)-FV19&gt;0,SUM(FT19:FU19,FW19)-FV19,"")</f>
        <v/>
      </c>
      <c r="GI19" s="78" t="str">
        <f>IF(SUM(FM19,FQ19,FU19)&gt;0,SUM(FM19,FQ19,FU19),"")</f>
        <v/>
      </c>
      <c r="GJ19" s="78" t="str">
        <f>IF(SUM(GG19,GH19)&gt;0,SUM(GG19,GH19),"")</f>
        <v/>
      </c>
      <c r="GK19" s="78" t="str">
        <f>IF(SUM(FY19,GC19)&gt;0,SUM(FY19,GC19),"")</f>
        <v/>
      </c>
      <c r="GL19" s="78" t="str">
        <f>IF(SUM(FX19:FY19,GA19:GC19,GE19)-SUM(FZ19,GD19)&gt;0,SUM(FX19:FY19,GA19:GC19,GE19)-SUM(FZ19,GD19),"")</f>
        <v/>
      </c>
      <c r="GM19" s="78" t="str">
        <f>IF(SUM(GG19,GL19)&gt;0,SUM(GG19,GL19),"")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>IF(SUM(GO19,GS19)&gt;0,SUM(GO19,GS19),"")</f>
        <v/>
      </c>
      <c r="HI19" s="19" t="str">
        <f>IF(SUM(GN19:GO19,GQ19:GS19,GU19)-GP19-GT19&gt;0,SUM(GN19:GO19,GQ19:GS19,GU19)-GP19-GT19,"")</f>
        <v/>
      </c>
      <c r="HJ19" s="19" t="str">
        <f>IF(SUM(GV19:GW19,GY19)-GX19&gt;0,SUM(GV19:GW19,GY19)-GX19,"")</f>
        <v/>
      </c>
      <c r="HK19" s="19" t="str">
        <f>IF(SUM(GO19,GS19,GW19)&gt;0,SUM(GO19,GS19,GW19),"")</f>
        <v/>
      </c>
      <c r="HL19" s="19" t="str">
        <f>IF(SUM(HI19,HJ19)&gt;0,SUM(HI19,HJ19),"")</f>
        <v/>
      </c>
      <c r="HM19" s="19" t="str">
        <f>IF(SUM(HA19,HE19)&gt;0,SUM(HA19,HE19),"")</f>
        <v/>
      </c>
      <c r="HN19" s="19" t="str">
        <f>IF(SUM(GZ19:HA19,HC19:HE19,HG19)-SUM(HB19,HF19)&gt;0,SUM(GZ19:HA19,HC19:HE19,HG19)-SUM(HB19,HF19),"")</f>
        <v/>
      </c>
      <c r="HO19" s="19" t="str">
        <f>IF(SUM(HI19,HN19)&gt;0,SUM(HI19,HN19),"")</f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>IF(SUM(HQ19,HU19)&gt;0,SUM(HQ19,HU19),"")</f>
        <v/>
      </c>
      <c r="IK19" s="78" t="str">
        <f>IF(SUM(HP19:HQ19,HS19:HU19,HW19)-HR19-HV19&gt;0,SUM(HP19:HQ19,HS19:HU19,HW19)-HR19-HV19,"")</f>
        <v/>
      </c>
      <c r="IL19" s="78" t="str">
        <f>IF(SUM(HX19:HY19,IA19)-HZ19&gt;0,SUM(HX19:HY19,IA19)-HZ19,"")</f>
        <v/>
      </c>
      <c r="IM19" s="78" t="str">
        <f>IF(SUM(HQ19,HU19,HY19)&gt;0,SUM(HQ19,HU19,HY19),"")</f>
        <v/>
      </c>
      <c r="IN19" s="78" t="str">
        <f>IF(SUM(IK19,IL19)&gt;0,SUM(IK19,IL19),"")</f>
        <v/>
      </c>
      <c r="IO19" s="78" t="str">
        <f>IF(SUM(IC19,IG19)&gt;0,SUM(IC19,IG19),"")</f>
        <v/>
      </c>
      <c r="IP19" s="78" t="str">
        <f>IF(SUM(IB19:IC19,IE19:IG19,II19)-SUM(ID19,IH19)&gt;0,SUM(IB19:IC19,IE19:IG19,II19)-SUM(ID19,IH19),"")</f>
        <v/>
      </c>
      <c r="IQ19" s="78" t="str">
        <f>IF(SUM(IK19,IP19)&gt;0,SUM(IK19,IP19),"")</f>
        <v/>
      </c>
      <c r="IR19" s="25">
        <v>18.5</v>
      </c>
      <c r="IS19" s="25">
        <v>6.4</v>
      </c>
      <c r="IT19" s="25">
        <v>0.6</v>
      </c>
      <c r="IU19" s="25">
        <v>0</v>
      </c>
      <c r="IV19" s="25">
        <v>18.100000000000001</v>
      </c>
      <c r="IW19" s="25">
        <v>6</v>
      </c>
      <c r="IX19" s="25">
        <v>0.8</v>
      </c>
      <c r="IY19" s="25">
        <v>0</v>
      </c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>
        <f>IF(SUM(IS19,IW19)&gt;0,SUM(IS19,IW19),"")</f>
        <v>12.4</v>
      </c>
      <c r="JM19" s="19">
        <f>IF(SUM(IR19:IS19,IU19:IW19,IY19)-IT19-IX19&gt;0,SUM(IR19:IS19,IU19:IW19,IY19)-IT19-IX19,"")</f>
        <v>47.6</v>
      </c>
      <c r="JN19" s="19" t="str">
        <f>IF(SUM(IZ19:JA19,JC19)-JB19&gt;0,SUM(IZ19:JA19,JC19)-JB19,"")</f>
        <v/>
      </c>
      <c r="JO19" s="19">
        <f>IF(SUM(IS19,IW19,JA19)&gt;0,SUM(IS19,IW19,JA19),"")</f>
        <v>12.4</v>
      </c>
      <c r="JP19" s="19">
        <f>IF(SUM(JM19,JN19)&gt;0,SUM(JM19,JN19),"")</f>
        <v>47.6</v>
      </c>
      <c r="JQ19" s="19" t="str">
        <f>IF(SUM(JE19,JI19)&gt;0,SUM(JE19,JI19),"")</f>
        <v/>
      </c>
      <c r="JR19" s="19" t="str">
        <f>IF(SUM(JD19:JE19,JG19:JI19,JK19)-SUM(JF19,JJ19)&gt;0,SUM(JD19:JE19,JG19:JI19,JK19)-SUM(JF19,JJ19),"")</f>
        <v/>
      </c>
      <c r="JS19" s="19">
        <f>IF(SUM(JM19,JR19)&gt;0,SUM(JM19,JR19),"")</f>
        <v>47.6</v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>IF(SUM(JU19,JY19)&gt;0,SUM(JU19,JY19),"")</f>
        <v/>
      </c>
      <c r="KO19" s="78" t="str">
        <f>IF(SUM(JT19:JU19,JW19:JY19,KA19)-JV19-JZ19&gt;0,SUM(JT19:JU19,JW19:JY19,KA19)-JV19-JZ19,"")</f>
        <v/>
      </c>
      <c r="KP19" s="78" t="str">
        <f>IF(SUM(KB19:KC19,KE19)-KD19&gt;0,SUM(KB19:KC19,KE19)-KD19,"")</f>
        <v/>
      </c>
      <c r="KQ19" s="78" t="str">
        <f>IF(SUM(JU19,JY19,KC19)&gt;0,SUM(JU19,JY19,KC19),"")</f>
        <v/>
      </c>
      <c r="KR19" s="78" t="str">
        <f>IF(SUM(KO19,KP19)&gt;0,SUM(KO19,KP19),"")</f>
        <v/>
      </c>
      <c r="KS19" s="78" t="str">
        <f>IF(SUM(KG19,KK19)&gt;0,SUM(KG19,KK19),"")</f>
        <v/>
      </c>
      <c r="KT19" s="78" t="str">
        <f>IF(SUM(KF19:KG19,KI19:KK19,KM19)-SUM(KH19,KL19)&gt;0,SUM(KF19:KG19,KI19:KK19,KM19)-SUM(KH19,KL19),"")</f>
        <v/>
      </c>
      <c r="KU19" s="78" t="str">
        <f>IF(SUM(KO19,KT19)&gt;0,SUM(KO19,KT19),"")</f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>IF(SUM(KW19,LA19)&gt;0,SUM(KW19,LA19),"")</f>
        <v/>
      </c>
      <c r="LQ19" s="19" t="str">
        <f>IF(SUM(KV19:KW19,KY19:LA19,LC19)-KX19-LB19&gt;0,SUM(KV19:KW19,KY19:LA19,LC19)-KX19-LB19,"")</f>
        <v/>
      </c>
      <c r="LR19" s="19" t="str">
        <f>IF(SUM(LD19:LE19,LG19)-LF19&gt;0,SUM(LD19:LE19,LG19)-LF19,"")</f>
        <v/>
      </c>
      <c r="LS19" s="19" t="str">
        <f>IF(SUM(KW19,LA19,LE19)&gt;0,SUM(KW19,LA19,LE19),"")</f>
        <v/>
      </c>
      <c r="LT19" s="19" t="str">
        <f>IF(SUM(LQ19,LR19)&gt;0,SUM(LQ19,LR19),"")</f>
        <v/>
      </c>
      <c r="LU19" s="19" t="str">
        <f>IF(SUM(LI19,LM19)&gt;0,SUM(LI19,LM19),"")</f>
        <v/>
      </c>
      <c r="LV19" s="19" t="str">
        <f>IF(SUM(LH19:LI19,LK19:LM19,LO19)-SUM(LJ19,LN19)&gt;0,SUM(LH19:LI19,LK19:LM19,LO19)-SUM(LJ19,LN19),"")</f>
        <v/>
      </c>
      <c r="LW19" s="19" t="str">
        <f>IF(SUM(LQ19,LV19)&gt;0,SUM(LQ19,LV19),"")</f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>IF(SUM(LY19,MC19)&gt;0,SUM(LY19,MC19),"")</f>
        <v/>
      </c>
      <c r="MS19" s="78" t="str">
        <f>IF(SUM(LX19:LY19,MA19:MC19,ME19)-LZ19-MD19&gt;0,SUM(LX19:LY19,MA19:MC19,ME19)-LZ19-MD19,"")</f>
        <v/>
      </c>
      <c r="MT19" s="78" t="str">
        <f>IF(SUM(MF19:MG19,MI19)-MH19&gt;0,SUM(MF19:MG19,MI19)-MH19,"")</f>
        <v/>
      </c>
      <c r="MU19" s="78" t="str">
        <f>IF(SUM(LY19,MC19,MG19)&gt;0,SUM(LY19,MC19,MG19),"")</f>
        <v/>
      </c>
      <c r="MV19" s="78" t="str">
        <f>IF(SUM(MS19,MT19)&gt;0,SUM(MS19,MT19),"")</f>
        <v/>
      </c>
      <c r="MW19" s="78" t="str">
        <f>IF(SUM(MK19,MO19)&gt;0,SUM(MK19,MO19),"")</f>
        <v/>
      </c>
      <c r="MX19" s="78" t="str">
        <f>IF(SUM(MJ19:MK19,MM19:MO19,MQ19)-SUM(ML19,MP19)&gt;0,SUM(MJ19:MK19,MM19:MO19,MQ19)-SUM(ML19,MP19),"")</f>
        <v/>
      </c>
      <c r="MY19" s="78" t="str">
        <f>IF(SUM(MS19,MX19)&gt;0,SUM(MS19,MX19),"")</f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>IF(SUM(NA19,NE19)&gt;0,SUM(NA19,NE19),"")</f>
        <v/>
      </c>
      <c r="NU19" s="19" t="str">
        <f>IF(SUM(MZ19:NA19,NC19:NE19,NG19)-NB19-NF19&gt;0,SUM(MZ19:NA19,NC19:NE19,NG19)-NB19-NF19,"")</f>
        <v/>
      </c>
      <c r="NV19" s="19" t="str">
        <f>IF(SUM(NH19:NI19,NK19)-NJ19&gt;0,SUM(NH19:NI19,NK19)-NJ19,"")</f>
        <v/>
      </c>
      <c r="NW19" s="19" t="str">
        <f>IF(SUM(NA19,NE19,NI19)&gt;0,SUM(NA19,NE19,NI19),"")</f>
        <v/>
      </c>
      <c r="NX19" s="19" t="str">
        <f>IF(SUM(NU19,NV19)&gt;0,SUM(NU19,NV19),"")</f>
        <v/>
      </c>
      <c r="NY19" s="19" t="str">
        <f>IF(SUM(NM19,NQ19)&gt;0,SUM(NM19,NQ19),"")</f>
        <v/>
      </c>
      <c r="NZ19" s="19" t="str">
        <f>IF(SUM(NL19:NM19,NO19:NQ19,NS19)-SUM(NN19,NR19)&gt;0,SUM(NL19:NM19,NO19:NQ19,NS19)-SUM(NN19,NR19),"")</f>
        <v/>
      </c>
      <c r="OA19" s="19" t="str">
        <f>IF(SUM(NU19,NZ19)&gt;0,SUM(NU19,NZ19),"")</f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>IF(SUM(OC19,OG19)&gt;0,SUM(OC19,OG19),"")</f>
        <v/>
      </c>
      <c r="OW19" s="78" t="str">
        <f>IF(SUM(OB19:OC19,OE19:OG19,OI19)-OD19-OH19&gt;0,SUM(OB19:OC19,OE19:OG19,OI19)-OD19-OH19,"")</f>
        <v/>
      </c>
      <c r="OX19" s="78" t="str">
        <f>IF(SUM(OJ19:OK19,OM19)-OL19&gt;0,SUM(OJ19:OK19,OM19)-OL19,"")</f>
        <v/>
      </c>
      <c r="OY19" s="78" t="str">
        <f>IF(SUM(OC19,OG19,OK19)&gt;0,SUM(OC19,OG19,OK19),"")</f>
        <v/>
      </c>
      <c r="OZ19" s="78" t="str">
        <f>IF(SUM(OW19,OX19)&gt;0,SUM(OW19,OX19),"")</f>
        <v/>
      </c>
      <c r="PA19" s="78" t="str">
        <f>IF(SUM(OO19,OS19)&gt;0,SUM(OO19,OS19),"")</f>
        <v/>
      </c>
      <c r="PB19" s="78" t="str">
        <f>IF(SUM(ON19:OO19,OQ19:OS19,OU19)-SUM(OP19,OT19)&gt;0,SUM(ON19:OO19,OQ19:OS19,OU19)-SUM(OP19,OT19),"")</f>
        <v/>
      </c>
      <c r="PC19" s="78" t="str">
        <f>IF(SUM(OW19,PB19)&gt;0,SUM(OW19,PB19),"")</f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>IF(SUM(PE19,PI19)&gt;0,SUM(PE19,PI19),"")</f>
        <v/>
      </c>
      <c r="PY19" s="19" t="str">
        <f>IF(SUM(PD19:PE19,PG19:PI19,PK19)-PF19-PJ19&gt;0,SUM(PD19:PE19,PG19:PI19,PK19)-PF19-PJ19,"")</f>
        <v/>
      </c>
      <c r="PZ19" s="19" t="str">
        <f>IF(SUM(PL19:PM19,PO19)-PN19&gt;0,SUM(PL19:PM19,PO19)-PN19,"")</f>
        <v/>
      </c>
      <c r="QA19" s="19" t="str">
        <f>IF(SUM(PE19,PI19,PM19)&gt;0,SUM(PE19,PI19,PM19),"")</f>
        <v/>
      </c>
      <c r="QB19" s="19" t="str">
        <f>IF(SUM(PY19,PZ19)&gt;0,SUM(PY19,PZ19),"")</f>
        <v/>
      </c>
      <c r="QC19" s="19" t="str">
        <f>IF(SUM(PQ19,PU19)&gt;0,SUM(PQ19,PU19),"")</f>
        <v/>
      </c>
      <c r="QD19" s="19" t="str">
        <f>IF(SUM(PP19:PQ19,PS19:PU19,PW19)-SUM(PR19,PV19)&gt;0,SUM(PP19:PQ19,PS19:PU19,PW19)-SUM(PR19,PV19),"")</f>
        <v/>
      </c>
      <c r="QE19" s="19" t="str">
        <f>IF(SUM(PY19,QD19)&gt;0,SUM(PY19,QD19),"")</f>
        <v/>
      </c>
      <c r="QF19" s="37">
        <f>IF($CV19="P",CB19,(CB19+AY19)/2)</f>
        <v>9</v>
      </c>
      <c r="QG19" s="37">
        <f>IF($CV19="P",CC19,(CC19+AZ19)/2)</f>
        <v>3</v>
      </c>
      <c r="QH19" s="37">
        <f>IF($CV19="P",CD19,(CD19+BA19)/2)</f>
        <v>0.1</v>
      </c>
      <c r="QI19" s="37">
        <f>IF($CV19="P",CE19,(CE19+BB19)/2)</f>
        <v>0</v>
      </c>
      <c r="QJ19" s="37">
        <f>IF($CV19="P",CF19,(CF19+BC19)/2)</f>
        <v>18.700000000000003</v>
      </c>
      <c r="QK19" s="37">
        <f>IF($CV19="P",CG19,(CG19+BD19)/2)</f>
        <v>6.6</v>
      </c>
      <c r="QL19" s="37">
        <f>IF($CV19="P",CH19,(CH19+BE19)/2)</f>
        <v>0.2</v>
      </c>
      <c r="QM19" s="37">
        <f>IF($CV19="P",CI19,(CI19+BF19)/2)</f>
        <v>0</v>
      </c>
      <c r="QN19" s="37">
        <f>IF($CV19="P",CJ19,(CJ19+BG19)/2)</f>
        <v>18.75</v>
      </c>
      <c r="QO19" s="37">
        <f>IF($CV19="P",CK19,(CK19+BH19)/2)</f>
        <v>4.4000000000000004</v>
      </c>
      <c r="QP19" s="37">
        <f>IF($CV19="P",CL19,(CL19+BI19)/2)</f>
        <v>0.6</v>
      </c>
      <c r="QQ19" s="37">
        <f>IF($CV19="P",CM19,(CM19+BJ19)/2)</f>
        <v>0</v>
      </c>
      <c r="QR19" s="37">
        <f>IF($CV19="P",CN19,(CN19+BK19)/2)</f>
        <v>17.5</v>
      </c>
      <c r="QS19" s="37">
        <f>IF($CV19="P",CO19,(CO19+BL19)/2)</f>
        <v>4.5999999999999996</v>
      </c>
      <c r="QT19" s="37">
        <f>IF($CV19="P",CP19,(CP19+BM19)/2)</f>
        <v>0</v>
      </c>
      <c r="QU19" s="37">
        <f>IF($CV19="P",CQ19,(CQ19+BN19)/2)</f>
        <v>0</v>
      </c>
      <c r="QV19" s="37">
        <f>IF($CV19="P",CR19,(CR19+BO19)/2)</f>
        <v>18.25</v>
      </c>
      <c r="QW19" s="37">
        <f>IF($CV19="P",CS19,(CS19+BP19)/2)</f>
        <v>5</v>
      </c>
      <c r="QX19" s="37">
        <f>IF($CV19="P",CT19,(CT19+BQ19)/2)</f>
        <v>0.5</v>
      </c>
      <c r="QY19" s="37">
        <f>IF($CV19="P",CU19,(CU19+BR19)/2)</f>
        <v>0</v>
      </c>
      <c r="QZ19" s="44" t="s">
        <v>46</v>
      </c>
      <c r="RA19" s="78">
        <f>IF(SUM(QG19,QK19)&gt;0,SUM(QG19,QK19),"")</f>
        <v>9.6</v>
      </c>
      <c r="RB19" s="78">
        <f>IF(SUM(QF19:QG19,QI19:QK19,QM19)-QH19-QL19&gt;0,SUM(QF19:QG19,QI19:QK19,QM19)-QH19-QL19,"")</f>
        <v>37</v>
      </c>
      <c r="RC19" s="78">
        <f>IF(SUM(QN19:QO19,QQ19)-QP19&gt;0,SUM(QN19:QO19,QQ19)-QP19,"")</f>
        <v>22.549999999999997</v>
      </c>
      <c r="RD19" s="78">
        <f>IF(SUM(QG19,QK19,QO19)&gt;0,SUM(QG19,QK19,QO19),"")</f>
        <v>14</v>
      </c>
      <c r="RE19" s="78">
        <f>IF(SUM(RB19,RC19)&gt;0,SUM(RB19,RC19),"")</f>
        <v>59.55</v>
      </c>
      <c r="RF19" s="78">
        <f>IF(SUM(QS19,QW19)&gt;0,SUM(QS19,QW19),"")</f>
        <v>9.6</v>
      </c>
      <c r="RG19" s="78">
        <f>IF(SUM(QR19:QS19,QU19:QW19,QY19)-SUM(QT19,QX19)&gt;0,SUM(QR19:QS19,QU19:QW19,QY19)-SUM(QT19,QX19),"")</f>
        <v>44.85</v>
      </c>
      <c r="RH19" s="78">
        <f>IF(SUM(RB19,RG19)&gt;0,SUM(RB19,RG19),"")</f>
        <v>81.849999999999994</v>
      </c>
    </row>
    <row r="20" spans="1:476" x14ac:dyDescent="0.2">
      <c r="A20" s="5" t="str">
        <f>IF(AND(F20="P",G20="P"),SUMPRODUCT((F$4:F$32="P")*(G$4:G$32="P")*(E$4:E$32&gt;E20))+1,IF(G20="P",SUMPRODUCT((F$4:F$32="")*(G$4:G$32="P")*(E$4:E$32&gt;E20))+1+SUMPRODUCT((F$4:F$32="P")*(G$4:G$32="P")),""))</f>
        <v/>
      </c>
      <c r="B20" s="77" t="s">
        <v>143</v>
      </c>
      <c r="C20" s="5" t="s">
        <v>3</v>
      </c>
      <c r="D20" s="5">
        <v>2005</v>
      </c>
      <c r="E20" s="15">
        <f>SUM(I20:S20)+SUM(I20:O20)*0.0000001+SUM(I20)*0.0000000000001</f>
        <v>188.24001409400472</v>
      </c>
      <c r="F20" s="3" t="str">
        <f>IF(OR(AND(AQ20&gt;=AX$34,AR20&gt;=AX$38,AQ20&lt;&gt;"",AP20=""),AND(AV20&gt;=AX$34,AW20&gt;=AX$38,AV20&lt;&gt;"",AP20=""),AND(BT20&gt;=CA$34,BU20&gt;=CA$38,BT20&lt;&gt;"",BS20=""),AND(BY20&gt;=CA$34,BZ20&gt;=CA$38,BY20&lt;&gt;"",BS20=""),AND(CW20&gt;=DD$34,CX20&gt;=DD$38,CW20&lt;&gt;"",CV20=""),AND(DB20&gt;=DD$34,DC20&gt;=DD$38,DB20&lt;&gt;""),AND(EB20&gt;=EI$34,EC20&gt;=EI$38,EB20&lt;&gt;""),AND(EG20&gt;=EI$34,EH20&gt;=EI$38,EG20&lt;&gt;""),AND(FD20&gt;=FK$34,FE20&gt;=FK$38,FD20&lt;&gt;""),AND(FI20&gt;=FK$34,FJ20&gt;=FK$38,FI20&lt;&gt;""),AND(GF20&gt;=GM$34,GG20&gt;=GM$38,GF20&lt;&gt;""),AND(GK20&gt;=GM$34,GL20&gt;=GM$38,GK20&lt;&gt;""),AND(HH20&gt;=HO$34,HI20&gt;=HO$38,HH20&lt;&gt;""),AND(HM20&gt;=HO$34,HN20&gt;=HO$38,HM20&lt;&gt;""),AND(IJ20&gt;=IQ$34,IK20&gt;=IQ$38,IJ20&lt;&gt;""),AND(IO20&gt;=IQ$34,IP20&gt;=IQ$38,IO20&lt;&gt;""),AND(JL20&gt;=JS$34,JM20&gt;=JS$38,JL20&lt;&gt;""),AND(JQ20&gt;=JS$34,JR20&gt;=JS$38,JQ20&lt;&gt;""),AND(KN20&gt;=KU$34,KO20&gt;=KU$38,KN20&lt;&gt;""),AND(KS20&gt;=KU$34,KT20&gt;=KU$38,KS20&lt;&gt;""),AND(LP20&gt;=LW$34,LQ20&gt;=LW$38,LP20&lt;&gt;""),AND(LU20&gt;=LW$34,LV20&gt;=LW$38,LU20&lt;&gt;""),AND(MR20&gt;=MY$34,MS20&gt;=MY$38,MR20&lt;&gt;""),AND(MW20&gt;=MY$34,MX20&gt;=MY$38,MW20&lt;&gt;""),AND(NT20&gt;=OA$34,NU20&gt;=OA$38,NT20&lt;&gt;""),AND(NY20&gt;=OA$34,NZ20&gt;=OA$38,NY20&lt;&gt;""),AND(OV20&gt;=PC$34,OW20&gt;=PC$38,OV20&lt;&gt;""),AND(PA20&gt;=PC$34,PB20&gt;=PC$38,PA20&lt;&gt;""),AND(PX20&gt;=QE$34,PY20&gt;=QE$38,PX20&lt;&gt;""),AND(QC20&gt;=QE$34,QD20&gt;=QE$38,QC20&lt;&gt;"")),"P","")</f>
        <v/>
      </c>
      <c r="G20" s="3" t="str">
        <f>IF(OR(AND(AR20&gt;=AX$38,AR20&lt;&gt;"",AP20=""),AND(AW20&gt;=AX$38,AW20&lt;&gt;"",AP20=""),AND(BU20&gt;=CA$38,BU20&lt;&gt;"",BS20=""),AND(BZ20&gt;=CA$38,BZ20&lt;&gt;"",BS20=""),AND(CX20&gt;=DD$38,CX20&lt;&gt;"",CV20=""),AND(DC20&gt;=DD$38,DC20&lt;&gt;"",CV20=""),AND(EC20&gt;=EI$38,EC20&lt;&gt;""),AND(EH20&gt;=EI$38,EH20&lt;&gt;""),AND(FE20&gt;=FK$38,FE20&lt;&gt;""),AND(FJ20&gt;=FK$38,FJ20&lt;&gt;""),AND(GG20&gt;=GM$38,GG20&lt;&gt;""),AND(GL20&gt;=GM$38,GL20&lt;&gt;""),AND(HI20&gt;=HO$38,HI20&lt;&gt;""),AND(HN20&gt;=HO$38,HN20&lt;&gt;""),AND(IK20&gt;=IQ$38,IK20&lt;&gt;""),AND(IP20&gt;=IQ$38,IP20&lt;&gt;""),AND(JM20&gt;=JS$38,JM20&lt;&gt;""),AND(JR20&gt;=JS$38,JR20&lt;&gt;""),AND(KO20&gt;=KU$38,KO20&lt;&gt;""),AND(KT20&gt;=KU$38,KT20&lt;&gt;""),AND(LQ20&gt;=LW$38,LQ20&lt;&gt;""),AND(LV20&gt;=LW$38,LV20&lt;&gt;""),AND(MS20&gt;=MY$38,MS20&lt;&gt;""),AND(MX20&gt;=MY$38,MX20&lt;&gt;""),AND(NU20&gt;=OA$38,NU20&lt;&gt;""),AND(NZ20&gt;=OA$38,NZ20&lt;&gt;""),AND(OW20&gt;=PC$38,OW20&lt;&gt;""),AND(PB20&gt;=PC$38,PB20&lt;&gt;""),AND(PY20&gt;=QE$38,PY20&lt;&gt;""),AND(QD20&gt;=QE$38,QD20&lt;&gt;"")),"P","")</f>
        <v/>
      </c>
      <c r="H20" s="66" t="str">
        <f>IF(AND(G20="P",F20=""),"No DD",IF(OR(AND(AT20&gt;=AX$37,AU20&gt;=AX$41,AT20&lt;&gt;"",AP20=""),AND(BW20&gt;=CA$37,BX20&gt;=CA$41,BW20&lt;&gt;"",BS20=""),AND(CZ20&gt;=DD$37,DA20&gt;=DD$41,CZ20&lt;&gt;"",CV20=""),AND(EE20&gt;=EI$37,EF20&gt;=EI$41,EE20&lt;&gt;""),AND(FG20&gt;=FK$37,FH20&gt;=FK$41,FG20&lt;&gt;""),AND(GI20&gt;=GM$37,GJ20&gt;=GM$41,GI20&lt;&gt;""),AND(HK20&gt;=HO$37,HL20&gt;=HO$41,HK20&lt;&gt;""),AND(IM20&gt;=IQ$37,IN20&gt;=IQ$41,IM20&lt;&gt;""),AND(JO20&gt;=JS$37,JP20&gt;=JS$41,JO20&lt;&gt;""),AND(KQ20&gt;=KU$37,KR20&gt;=KU$41,KQ20&lt;&gt;""),AND(LS20&gt;=LW$37,LT20&gt;=LW$41,LS20&lt;&gt;""),AND(MU20&gt;=MY$37,MV20&gt;=MY$41,MU20&lt;&gt;""),AND(NW20&gt;=OA$37,NX20&gt;=OA$41,NW20&lt;&gt;""),AND(OY20&gt;=PC$37,OZ20&gt;=PC$41,OY20&lt;&gt;""),AND(QA20&gt;=QE$37,QB20&gt;=QE$41,QA20&lt;&gt;"")),"Merit",IF(OR(AND(AT20&gt;=AX$36,AU20&gt;=AX$40,AT20&lt;&gt;"",AP20=""),AND(BW20&gt;=CA$36,BX20&gt;=CA$40,BW20&lt;&gt;"",BS20=""),AND(CZ20&gt;=DD$36,DA20&gt;=DD$40,CZ20&lt;&gt;"",CV20=""),AND(EE20&gt;=EI$36,EF20&gt;=EI$40,EE20&lt;&gt;""),AND(FG20&gt;=FK$36,FH20&gt;=FK$40,FG20&lt;&gt;""),AND(GI20&gt;=GM$36,GJ20&gt;=GM$40,GI20&lt;&gt;""),AND(HK20&gt;=HO$36,HL20&gt;=HO$40,HK20&lt;&gt;""),AND(IM20&gt;=IQ$36,IN20&gt;=IQ$40,IM20&lt;&gt;""),AND(JO20&gt;=JS$36,JP20&gt;=JS$40,JO20&lt;&gt;""),AND(KQ20&gt;=KU$36,KR20&gt;=KU$40,KQ20&lt;&gt;""),AND(LS20&gt;=LW$36,LT20&gt;=LW$40,LS20&lt;&gt;""),AND(MU20&gt;=MY$36,MV20&gt;=MY$40,MU20&lt;&gt;""),AND(NW20&gt;=OA$36,NX20&gt;=OA$40,NW20&lt;&gt;""),AND(OY20&gt;=PC$36,OZ20&gt;=PC$40,OY20&lt;&gt;""),AND(QA20&gt;=QE$36,QB20&gt;=QE$40,QA20&lt;&gt;"")),"Excellence",IF(F20="P","National Team",""))))</f>
        <v/>
      </c>
      <c r="I20" s="14">
        <f>IF(COUNT(AR20,BU20,CX20)&gt;0,LARGE((AR20,BU20,CX20),1),0)</f>
        <v>47.4</v>
      </c>
      <c r="J20" s="14" t="str">
        <f>IF(I20=0,"",IF(I20=CX20,$CB$1,IF(I20=BU20,$AY$1,IF(I20=AR20,$V$1,""))))</f>
        <v>2022 Nationals</v>
      </c>
      <c r="K20" s="14">
        <f>IF(COUNT(AR20,BU20,CX20)&gt;1,LARGE((AR20,BU20,CX20),2),0)</f>
        <v>47.099999999999994</v>
      </c>
      <c r="L20" s="14" t="str">
        <f>IF(K20=0,"",IF(K20=CX20,$CB$1,IF(K20=BU20,$AY$1,IF(K20=AR20,$V$1,""))))</f>
        <v>2022 3rd Domestic Trial</v>
      </c>
      <c r="M20" s="14">
        <f>IF(COUNT(AS20,BV20,CY20)&gt;0,LARGE((AS20,BV20,CY20),1),0)</f>
        <v>23.34</v>
      </c>
      <c r="N20" s="14" t="str">
        <f>IF(M20=0,"",IF(M20=CY20,$CB$1,IF(M20=BV20,$AY$1,IF(M20=AS20,$V$1,""))))</f>
        <v>2022 3rd Domestic Trial</v>
      </c>
      <c r="O20" s="14">
        <f>IF(COUNT(AS20,BV20,CY20)&gt;1,LARGE((AS20,BV20,CY20),2),0)</f>
        <v>23.1</v>
      </c>
      <c r="P20" s="14" t="str">
        <f>IF(O20=0,"",IF(O20=CY20,$CB$1,IF(O20=BV20,$AY$1,IF(O20=AS20,$V$1,""))))</f>
        <v>2022 Nationals</v>
      </c>
      <c r="Q20" s="14">
        <f>IF(MAX(AW20,BZ20,DC20)&gt;0,MAX(AW20,BZ20,DC20),0)</f>
        <v>47.29999999999999</v>
      </c>
      <c r="R20" s="14" t="str">
        <f>IF(Q20=0,"",IF(Q20=DC20,$CB$1,IF(Q20=BZ20,$AY$1,IF(Q20=AW20,$V$1,""))))</f>
        <v>2022 Nationals</v>
      </c>
      <c r="S20" s="14" t="str">
        <f>IF(MAX(DE20:DG20)&gt;0,MAX(DE20:DG20),"")</f>
        <v/>
      </c>
      <c r="T20" s="19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6">
        <v>18.600000000000001</v>
      </c>
      <c r="W20" s="26">
        <v>3.6</v>
      </c>
      <c r="X20" s="26">
        <v>0</v>
      </c>
      <c r="Y20" s="26">
        <v>0</v>
      </c>
      <c r="Z20" s="26">
        <v>18.3</v>
      </c>
      <c r="AA20" s="26">
        <v>4.4000000000000004</v>
      </c>
      <c r="AB20" s="26">
        <v>0</v>
      </c>
      <c r="AC20" s="26">
        <v>0</v>
      </c>
      <c r="AD20" s="26">
        <v>18.8</v>
      </c>
      <c r="AE20" s="26">
        <v>0.6</v>
      </c>
      <c r="AF20" s="26">
        <v>3.3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>IF(SUM(W20,AA20)&gt;0,SUM(W20,AA20),"")</f>
        <v>8</v>
      </c>
      <c r="AR20" s="78">
        <f>IF(SUM(V20:W20,Y20:AA20,AC20)-X20-AB20&gt;0,SUM(V20:W20,Y20:AA20,AC20)-X20-AB20,"")</f>
        <v>44.9</v>
      </c>
      <c r="AS20" s="78">
        <f>IF(SUM(AD20:AE20,AG20)-AF20&gt;0,SUM(AD20:AE20,AG20)-AF20,"")</f>
        <v>16.100000000000001</v>
      </c>
      <c r="AT20" s="78">
        <f>IF(SUM(W20,AA20,AE20)&gt;0,SUM(W20,AA20,AE20),"")</f>
        <v>8.6</v>
      </c>
      <c r="AU20" s="78">
        <f>IF(SUM(AR20,AS20)&gt;0,SUM(AR20,AS20),"")</f>
        <v>61</v>
      </c>
      <c r="AV20" s="78" t="str">
        <f>IF(SUM(AI20,AM20)&gt;0,SUM(AI20,AM20),"")</f>
        <v/>
      </c>
      <c r="AW20" s="78" t="str">
        <f>IF(SUM(AH20:AI20,AK20:AM20,AO20)-SUM(AJ20,AN20)&gt;0,SUM(AH20:AI20,AK20:AM20,AO20)-SUM(AJ20,AN20),"")</f>
        <v/>
      </c>
      <c r="AX20" s="78">
        <f>IF(SUM(AR20,AW20)&gt;0,SUM(AR20,AW20),"")</f>
        <v>44.9</v>
      </c>
      <c r="AY20" s="25">
        <v>19.2</v>
      </c>
      <c r="AZ20" s="25">
        <v>4.8</v>
      </c>
      <c r="BA20" s="25">
        <v>0</v>
      </c>
      <c r="BB20" s="25">
        <v>0</v>
      </c>
      <c r="BC20" s="25">
        <v>19.100000000000001</v>
      </c>
      <c r="BD20" s="25">
        <v>4.3</v>
      </c>
      <c r="BE20" s="25">
        <v>0</v>
      </c>
      <c r="BF20" s="25">
        <v>0</v>
      </c>
      <c r="BG20" s="25">
        <v>19.100000000000001</v>
      </c>
      <c r="BH20" s="25">
        <v>4</v>
      </c>
      <c r="BI20" s="25">
        <v>0</v>
      </c>
      <c r="BJ20" s="25">
        <v>0</v>
      </c>
      <c r="BK20" s="25">
        <v>18.5</v>
      </c>
      <c r="BL20" s="25">
        <v>5.2</v>
      </c>
      <c r="BM20" s="25">
        <v>0.6</v>
      </c>
      <c r="BN20" s="25">
        <v>0</v>
      </c>
      <c r="BO20" s="25">
        <v>18.899999999999999</v>
      </c>
      <c r="BP20" s="25">
        <v>5.3</v>
      </c>
      <c r="BQ20" s="25">
        <v>0</v>
      </c>
      <c r="BR20" s="25">
        <v>0</v>
      </c>
      <c r="BS20" s="45"/>
      <c r="BT20" s="19">
        <f>IF(SUM(AZ20,BD20)&gt;0,SUM(AZ20,BD20),"")</f>
        <v>9.1</v>
      </c>
      <c r="BU20" s="19">
        <f>IF(SUM(AY20:AZ20,BB20:BD20,BF20)-BA20-BE20&gt;0,SUM(AY20:AZ20,BB20:BD20,BF20)-BA20-BE20,"")</f>
        <v>47.4</v>
      </c>
      <c r="BV20" s="19">
        <f>IF(SUM(BG20:BH20,BJ20)-BI20&gt;0,SUM(BG20:BH20,BJ20)-BI20,"")</f>
        <v>23.1</v>
      </c>
      <c r="BW20" s="19">
        <f>IF(SUM(AZ20,BD20,BH20)&gt;0,SUM(AZ20,BD20,BH20),"")</f>
        <v>13.1</v>
      </c>
      <c r="BX20" s="19">
        <f>IF(SUM(BU20,BV20)&gt;0,SUM(BU20,BV20),"")</f>
        <v>70.5</v>
      </c>
      <c r="BY20" s="19">
        <f>IF(SUM(BL20,BP20)&gt;0,SUM(BL20,BP20),"")</f>
        <v>10.5</v>
      </c>
      <c r="BZ20" s="19">
        <f>IF(SUM(BK20:BL20,BN20:BP20,BR20)-SUM(BM20,BQ20)&gt;0,SUM(BK20:BL20,BN20:BP20,BR20)-SUM(BM20,BQ20),"")</f>
        <v>47.29999999999999</v>
      </c>
      <c r="CA20" s="19">
        <f>IF(SUM(BU20,BZ20)&gt;0,SUM(BU20,BZ20),"")</f>
        <v>94.699999999999989</v>
      </c>
      <c r="CB20" s="26">
        <v>18.600000000000001</v>
      </c>
      <c r="CC20" s="26">
        <v>4.8</v>
      </c>
      <c r="CD20" s="26">
        <v>0</v>
      </c>
      <c r="CE20" s="26">
        <v>0</v>
      </c>
      <c r="CF20" s="26">
        <v>18.899999999999999</v>
      </c>
      <c r="CG20" s="26">
        <v>4.8</v>
      </c>
      <c r="CH20" s="26">
        <v>0</v>
      </c>
      <c r="CI20" s="26">
        <v>0</v>
      </c>
      <c r="CJ20" s="26">
        <v>19.04</v>
      </c>
      <c r="CK20" s="26">
        <v>4.3</v>
      </c>
      <c r="CL20" s="26">
        <v>0</v>
      </c>
      <c r="CM20" s="26">
        <v>0</v>
      </c>
      <c r="CN20" s="26">
        <v>18.600000000000001</v>
      </c>
      <c r="CO20" s="26">
        <v>4.8</v>
      </c>
      <c r="CP20" s="26">
        <v>0.2</v>
      </c>
      <c r="CQ20" s="26">
        <v>0</v>
      </c>
      <c r="CR20" s="26">
        <v>17.2</v>
      </c>
      <c r="CS20" s="26">
        <v>2</v>
      </c>
      <c r="CT20" s="26">
        <v>0</v>
      </c>
      <c r="CU20" s="26">
        <v>0</v>
      </c>
      <c r="CV20" s="44"/>
      <c r="CW20" s="78">
        <f>IF(SUM(CC20,CG20)&gt;0,SUM(CC20,CG20),"")</f>
        <v>9.6</v>
      </c>
      <c r="CX20" s="78">
        <f>IF(SUM(CB20:CC20,CE20:CG20,CI20)-CD20-CH20&gt;0,SUM(CB20:CC20,CE20:CG20,CI20)-CD20-CH20,"")</f>
        <v>47.099999999999994</v>
      </c>
      <c r="CY20" s="78">
        <f>IF(SUM(CJ20:CK20,CM20)-CL20&gt;0,SUM(CJ20:CK20,CM20)-CL20,"")</f>
        <v>23.34</v>
      </c>
      <c r="CZ20" s="78">
        <f>IF(SUM(CC20,CG20,CK20)&gt;0,SUM(CC20,CG20,CK20),"")</f>
        <v>13.899999999999999</v>
      </c>
      <c r="DA20" s="78">
        <f>IF(SUM(CX20,CY20)&gt;0,SUM(CX20,CY20),"")</f>
        <v>70.44</v>
      </c>
      <c r="DB20" s="78">
        <f>IF(SUM(CO20,CS20)&gt;0,SUM(CO20,CS20),"")</f>
        <v>6.8</v>
      </c>
      <c r="DC20" s="78">
        <f>IF(SUM(CN20:CO20,CQ20:CS20,CU20)-SUM(CP20,CT20)&gt;0,SUM(CN20:CO20,CQ20:CS20,CU20)-SUM(CP20,CT20),"")</f>
        <v>42.4</v>
      </c>
      <c r="DD20" s="78">
        <f>IF(SUM(CX20,DC20)&gt;0,SUM(CX20,DC20),"")</f>
        <v>89.5</v>
      </c>
      <c r="DE20" s="79" t="str">
        <f>IF(K20&gt;=0.001,IF(MAX(EC20,FE20,GG20,HI20,IK20,JM20,KO20,LQ20,MS20,NU20,OW20,PY20)-IF(K20="",0,K20)&gt;0.001,MAX(EC20,FE20,GG20,HI20,IK20,JM20,KO20,LQ20,MS20,NU20,OW20,PY20)-IF(K20="",0,K20),""),"")</f>
        <v/>
      </c>
      <c r="DF20" s="79" t="str">
        <f>IF(O20&gt;=0.001,IF(MAX(ED20,FF20,GH20,HJ20,IL20,JN20,KP20,LR20,MT20,NV20,OX20,PZ20)-IF(O20="",0,O20)&gt;0.001,MAX(ED20,FF20,GH20,HJ20,IL20,JN20,KP20,LR20,MT20,NV20,OX20,PZ20)-IF(O20="",0,O20),""),"")</f>
        <v/>
      </c>
      <c r="DG20" s="79" t="str">
        <f>IF(Q20&gt;=0.001,IF(MAX(EH20,FJ20,GL20,HN20,IP20,JR20,KT20,LV20,MX20,NZ20,PB20,QD20)-IF(Q20="",0,Q20)&gt;0.001,MAX(EH20,FJ20,GL20,HN20,IP20,JR20,KT20,LV20,MX20,NZ20,PB20,QD20)-IF(Q20="",0,Q20),""),"")</f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>IF(SUM(DI20,DM20)&gt;0,SUM(DI20,DM20),"")</f>
        <v/>
      </c>
      <c r="EC20" s="78" t="str">
        <f>IF(SUM(DH20:DI20,DK20:DM20,DO20)-DJ20-DN20&gt;0,SUM(DH20:DI20,DK20:DM20,DO20)-DJ20-DN20,"")</f>
        <v/>
      </c>
      <c r="ED20" s="78" t="str">
        <f>IF(SUM(DP20:DQ20,DS20)-DR20&gt;0,SUM(DP20:DQ20,DS20)-DR20,"")</f>
        <v/>
      </c>
      <c r="EE20" s="78" t="str">
        <f>IF(SUM(DI20,DM20,DQ20)&gt;0,SUM(DI20,DM20,DQ20),"")</f>
        <v/>
      </c>
      <c r="EF20" s="78" t="str">
        <f>IF(SUM(EC20,ED20)&gt;0,SUM(EC20,ED20),"")</f>
        <v/>
      </c>
      <c r="EG20" s="78" t="str">
        <f>IF(SUM(DU20,DY20)&gt;0,SUM(DU20,DY20),"")</f>
        <v/>
      </c>
      <c r="EH20" s="78" t="str">
        <f>IF(SUM(DT20:DU20,DW20:DY20,EA20)-SUM(DV20,DZ20)&gt;0,SUM(DT20:DU20,DW20:DY20,EA20)-SUM(DV20,DZ20),"")</f>
        <v/>
      </c>
      <c r="EI20" s="78" t="str">
        <f>IF(SUM(EC20,EH20)&gt;0,SUM(EC20,EH20),"")</f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>IF(SUM(EK20,EO20)&gt;0,SUM(EK20,EO20),"")</f>
        <v/>
      </c>
      <c r="FE20" s="19" t="str">
        <f>IF(SUM(EJ20:EK20,EM20:EO20,EQ20)-EL20-EP20&gt;0,SUM(EJ20:EK20,EM20:EO20,EQ20)-EL20-EP20,"")</f>
        <v/>
      </c>
      <c r="FF20" s="19" t="str">
        <f>IF(SUM(ER20:ES20,EU20)-ET20&gt;0,SUM(ER20:ES20,EU20)-ET20,"")</f>
        <v/>
      </c>
      <c r="FG20" s="19" t="str">
        <f>IF(SUM(EK20,EO20,ES20)&gt;0,SUM(EK20,EO20,ES20),"")</f>
        <v/>
      </c>
      <c r="FH20" s="19" t="str">
        <f>IF(SUM(FE20,FF20)&gt;0,SUM(FE20,FF20),"")</f>
        <v/>
      </c>
      <c r="FI20" s="19" t="str">
        <f>IF(SUM(EW20,FA20)&gt;0,SUM(EW20,FA20),"")</f>
        <v/>
      </c>
      <c r="FJ20" s="19" t="str">
        <f>IF(SUM(EV20:EW20,EY20:FA20,FC20)-SUM(EX20,FB20)&gt;0,SUM(EV20:EW20,EY20:FA20,FC20)-SUM(EX20,FB20),"")</f>
        <v/>
      </c>
      <c r="FK20" s="19" t="str">
        <f>IF(SUM(FE20,FJ20)&gt;0,SUM(FE20,FJ20),"")</f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>IF(SUM(FM20,FQ20)&gt;0,SUM(FM20,FQ20),"")</f>
        <v/>
      </c>
      <c r="GG20" s="78" t="str">
        <f>IF(SUM(FL20:FM20,FO20:FQ20,FS20)-FN20-FR20&gt;0,SUM(FL20:FM20,FO20:FQ20,FS20)-FN20-FR20,"")</f>
        <v/>
      </c>
      <c r="GH20" s="78" t="str">
        <f>IF(SUM(FT20:FU20,FW20)-FV20&gt;0,SUM(FT20:FU20,FW20)-FV20,"")</f>
        <v/>
      </c>
      <c r="GI20" s="78" t="str">
        <f>IF(SUM(FM20,FQ20,FU20)&gt;0,SUM(FM20,FQ20,FU20),"")</f>
        <v/>
      </c>
      <c r="GJ20" s="78" t="str">
        <f>IF(SUM(GG20,GH20)&gt;0,SUM(GG20,GH20),"")</f>
        <v/>
      </c>
      <c r="GK20" s="78" t="str">
        <f>IF(SUM(FY20,GC20)&gt;0,SUM(FY20,GC20),"")</f>
        <v/>
      </c>
      <c r="GL20" s="78" t="str">
        <f>IF(SUM(FX20:FY20,GA20:GC20,GE20)-SUM(FZ20,GD20)&gt;0,SUM(FX20:FY20,GA20:GC20,GE20)-SUM(FZ20,GD20),"")</f>
        <v/>
      </c>
      <c r="GM20" s="78" t="str">
        <f>IF(SUM(GG20,GL20)&gt;0,SUM(GG20,GL20),"")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>IF(SUM(GO20,GS20)&gt;0,SUM(GO20,GS20),"")</f>
        <v/>
      </c>
      <c r="HI20" s="19" t="str">
        <f>IF(SUM(GN20:GO20,GQ20:GS20,GU20)-GP20-GT20&gt;0,SUM(GN20:GO20,GQ20:GS20,GU20)-GP20-GT20,"")</f>
        <v/>
      </c>
      <c r="HJ20" s="19" t="str">
        <f>IF(SUM(GV20:GW20,GY20)-GX20&gt;0,SUM(GV20:GW20,GY20)-GX20,"")</f>
        <v/>
      </c>
      <c r="HK20" s="19" t="str">
        <f>IF(SUM(GO20,GS20,GW20)&gt;0,SUM(GO20,GS20,GW20),"")</f>
        <v/>
      </c>
      <c r="HL20" s="19" t="str">
        <f>IF(SUM(HI20,HJ20)&gt;0,SUM(HI20,HJ20),"")</f>
        <v/>
      </c>
      <c r="HM20" s="19" t="str">
        <f>IF(SUM(HA20,HE20)&gt;0,SUM(HA20,HE20),"")</f>
        <v/>
      </c>
      <c r="HN20" s="19" t="str">
        <f>IF(SUM(GZ20:HA20,HC20:HE20,HG20)-SUM(HB20,HF20)&gt;0,SUM(GZ20:HA20,HC20:HE20,HG20)-SUM(HB20,HF20),"")</f>
        <v/>
      </c>
      <c r="HO20" s="19" t="str">
        <f>IF(SUM(HI20,HN20)&gt;0,SUM(HI20,HN20),"")</f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>IF(SUM(HQ20,HU20)&gt;0,SUM(HQ20,HU20),"")</f>
        <v/>
      </c>
      <c r="IK20" s="78" t="str">
        <f>IF(SUM(HP20:HQ20,HS20:HU20,HW20)-HR20-HV20&gt;0,SUM(HP20:HQ20,HS20:HU20,HW20)-HR20-HV20,"")</f>
        <v/>
      </c>
      <c r="IL20" s="78" t="str">
        <f>IF(SUM(HX20:HY20,IA20)-HZ20&gt;0,SUM(HX20:HY20,IA20)-HZ20,"")</f>
        <v/>
      </c>
      <c r="IM20" s="78" t="str">
        <f>IF(SUM(HQ20,HU20,HY20)&gt;0,SUM(HQ20,HU20,HY20),"")</f>
        <v/>
      </c>
      <c r="IN20" s="78" t="str">
        <f>IF(SUM(IK20,IL20)&gt;0,SUM(IK20,IL20),"")</f>
        <v/>
      </c>
      <c r="IO20" s="78" t="str">
        <f>IF(SUM(IC20,IG20)&gt;0,SUM(IC20,IG20),"")</f>
        <v/>
      </c>
      <c r="IP20" s="78" t="str">
        <f>IF(SUM(IB20:IC20,IE20:IG20,II20)-SUM(ID20,IH20)&gt;0,SUM(IB20:IC20,IE20:IG20,II20)-SUM(ID20,IH20),"")</f>
        <v/>
      </c>
      <c r="IQ20" s="78" t="str">
        <f>IF(SUM(IK20,IP20)&gt;0,SUM(IK20,IP20),"")</f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>IF(SUM(IS20,IW20)&gt;0,SUM(IS20,IW20),"")</f>
        <v/>
      </c>
      <c r="JM20" s="19" t="str">
        <f>IF(SUM(IR20:IS20,IU20:IW20,IY20)-IT20-IX20&gt;0,SUM(IR20:IS20,IU20:IW20,IY20)-IT20-IX20,"")</f>
        <v/>
      </c>
      <c r="JN20" s="19" t="str">
        <f>IF(SUM(IZ20:JA20,JC20)-JB20&gt;0,SUM(IZ20:JA20,JC20)-JB20,"")</f>
        <v/>
      </c>
      <c r="JO20" s="19" t="str">
        <f>IF(SUM(IS20,IW20,JA20)&gt;0,SUM(IS20,IW20,JA20),"")</f>
        <v/>
      </c>
      <c r="JP20" s="19" t="str">
        <f>IF(SUM(JM20,JN20)&gt;0,SUM(JM20,JN20),"")</f>
        <v/>
      </c>
      <c r="JQ20" s="19" t="str">
        <f>IF(SUM(JE20,JI20)&gt;0,SUM(JE20,JI20),"")</f>
        <v/>
      </c>
      <c r="JR20" s="19" t="str">
        <f>IF(SUM(JD20:JE20,JG20:JI20,JK20)-SUM(JF20,JJ20)&gt;0,SUM(JD20:JE20,JG20:JI20,JK20)-SUM(JF20,JJ20),"")</f>
        <v/>
      </c>
      <c r="JS20" s="19" t="str">
        <f>IF(SUM(JM20,JR20)&gt;0,SUM(JM20,JR20),"")</f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>IF(SUM(JU20,JY20)&gt;0,SUM(JU20,JY20),"")</f>
        <v/>
      </c>
      <c r="KO20" s="78" t="str">
        <f>IF(SUM(JT20:JU20,JW20:JY20,KA20)-JV20-JZ20&gt;0,SUM(JT20:JU20,JW20:JY20,KA20)-JV20-JZ20,"")</f>
        <v/>
      </c>
      <c r="KP20" s="78" t="str">
        <f>IF(SUM(KB20:KC20,KE20)-KD20&gt;0,SUM(KB20:KC20,KE20)-KD20,"")</f>
        <v/>
      </c>
      <c r="KQ20" s="78" t="str">
        <f>IF(SUM(JU20,JY20,KC20)&gt;0,SUM(JU20,JY20,KC20),"")</f>
        <v/>
      </c>
      <c r="KR20" s="78" t="str">
        <f>IF(SUM(KO20,KP20)&gt;0,SUM(KO20,KP20),"")</f>
        <v/>
      </c>
      <c r="KS20" s="78" t="str">
        <f>IF(SUM(KG20,KK20)&gt;0,SUM(KG20,KK20),"")</f>
        <v/>
      </c>
      <c r="KT20" s="78" t="str">
        <f>IF(SUM(KF20:KG20,KI20:KK20,KM20)-SUM(KH20,KL20)&gt;0,SUM(KF20:KG20,KI20:KK20,KM20)-SUM(KH20,KL20),"")</f>
        <v/>
      </c>
      <c r="KU20" s="78" t="str">
        <f>IF(SUM(KO20,KT20)&gt;0,SUM(KO20,KT20),"")</f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>IF(SUM(KW20,LA20)&gt;0,SUM(KW20,LA20),"")</f>
        <v/>
      </c>
      <c r="LQ20" s="19" t="str">
        <f>IF(SUM(KV20:KW20,KY20:LA20,LC20)-KX20-LB20&gt;0,SUM(KV20:KW20,KY20:LA20,LC20)-KX20-LB20,"")</f>
        <v/>
      </c>
      <c r="LR20" s="19" t="str">
        <f>IF(SUM(LD20:LE20,LG20)-LF20&gt;0,SUM(LD20:LE20,LG20)-LF20,"")</f>
        <v/>
      </c>
      <c r="LS20" s="19" t="str">
        <f>IF(SUM(KW20,LA20,LE20)&gt;0,SUM(KW20,LA20,LE20),"")</f>
        <v/>
      </c>
      <c r="LT20" s="19" t="str">
        <f>IF(SUM(LQ20,LR20)&gt;0,SUM(LQ20,LR20),"")</f>
        <v/>
      </c>
      <c r="LU20" s="19" t="str">
        <f>IF(SUM(LI20,LM20)&gt;0,SUM(LI20,LM20),"")</f>
        <v/>
      </c>
      <c r="LV20" s="19" t="str">
        <f>IF(SUM(LH20:LI20,LK20:LM20,LO20)-SUM(LJ20,LN20)&gt;0,SUM(LH20:LI20,LK20:LM20,LO20)-SUM(LJ20,LN20),"")</f>
        <v/>
      </c>
      <c r="LW20" s="19" t="str">
        <f>IF(SUM(LQ20,LV20)&gt;0,SUM(LQ20,LV20),"")</f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>IF(SUM(LY20,MC20)&gt;0,SUM(LY20,MC20),"")</f>
        <v/>
      </c>
      <c r="MS20" s="78" t="str">
        <f>IF(SUM(LX20:LY20,MA20:MC20,ME20)-LZ20-MD20&gt;0,SUM(LX20:LY20,MA20:MC20,ME20)-LZ20-MD20,"")</f>
        <v/>
      </c>
      <c r="MT20" s="78" t="str">
        <f>IF(SUM(MF20:MG20,MI20)-MH20&gt;0,SUM(MF20:MG20,MI20)-MH20,"")</f>
        <v/>
      </c>
      <c r="MU20" s="78" t="str">
        <f>IF(SUM(LY20,MC20,MG20)&gt;0,SUM(LY20,MC20,MG20),"")</f>
        <v/>
      </c>
      <c r="MV20" s="78" t="str">
        <f>IF(SUM(MS20,MT20)&gt;0,SUM(MS20,MT20),"")</f>
        <v/>
      </c>
      <c r="MW20" s="78" t="str">
        <f>IF(SUM(MK20,MO20)&gt;0,SUM(MK20,MO20),"")</f>
        <v/>
      </c>
      <c r="MX20" s="78" t="str">
        <f>IF(SUM(MJ20:MK20,MM20:MO20,MQ20)-SUM(ML20,MP20)&gt;0,SUM(MJ20:MK20,MM20:MO20,MQ20)-SUM(ML20,MP20),"")</f>
        <v/>
      </c>
      <c r="MY20" s="78" t="str">
        <f>IF(SUM(MS20,MX20)&gt;0,SUM(MS20,MX20),"")</f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>IF(SUM(NA20,NE20)&gt;0,SUM(NA20,NE20),"")</f>
        <v/>
      </c>
      <c r="NU20" s="19" t="str">
        <f>IF(SUM(MZ20:NA20,NC20:NE20,NG20)-NB20-NF20&gt;0,SUM(MZ20:NA20,NC20:NE20,NG20)-NB20-NF20,"")</f>
        <v/>
      </c>
      <c r="NV20" s="19" t="str">
        <f>IF(SUM(NH20:NI20,NK20)-NJ20&gt;0,SUM(NH20:NI20,NK20)-NJ20,"")</f>
        <v/>
      </c>
      <c r="NW20" s="19" t="str">
        <f>IF(SUM(NA20,NE20,NI20)&gt;0,SUM(NA20,NE20,NI20),"")</f>
        <v/>
      </c>
      <c r="NX20" s="19" t="str">
        <f>IF(SUM(NU20,NV20)&gt;0,SUM(NU20,NV20),"")</f>
        <v/>
      </c>
      <c r="NY20" s="19" t="str">
        <f>IF(SUM(NM20,NQ20)&gt;0,SUM(NM20,NQ20),"")</f>
        <v/>
      </c>
      <c r="NZ20" s="19" t="str">
        <f>IF(SUM(NL20:NM20,NO20:NQ20,NS20)-SUM(NN20,NR20)&gt;0,SUM(NL20:NM20,NO20:NQ20,NS20)-SUM(NN20,NR20),"")</f>
        <v/>
      </c>
      <c r="OA20" s="19" t="str">
        <f>IF(SUM(NU20,NZ20)&gt;0,SUM(NU20,NZ20),"")</f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>IF(SUM(OC20,OG20)&gt;0,SUM(OC20,OG20),"")</f>
        <v/>
      </c>
      <c r="OW20" s="78" t="str">
        <f>IF(SUM(OB20:OC20,OE20:OG20,OI20)-OD20-OH20&gt;0,SUM(OB20:OC20,OE20:OG20,OI20)-OD20-OH20,"")</f>
        <v/>
      </c>
      <c r="OX20" s="78" t="str">
        <f>IF(SUM(OJ20:OK20,OM20)-OL20&gt;0,SUM(OJ20:OK20,OM20)-OL20,"")</f>
        <v/>
      </c>
      <c r="OY20" s="78" t="str">
        <f>IF(SUM(OC20,OG20,OK20)&gt;0,SUM(OC20,OG20,OK20),"")</f>
        <v/>
      </c>
      <c r="OZ20" s="78" t="str">
        <f>IF(SUM(OW20,OX20)&gt;0,SUM(OW20,OX20),"")</f>
        <v/>
      </c>
      <c r="PA20" s="78" t="str">
        <f>IF(SUM(OO20,OS20)&gt;0,SUM(OO20,OS20),"")</f>
        <v/>
      </c>
      <c r="PB20" s="78" t="str">
        <f>IF(SUM(ON20:OO20,OQ20:OS20,OU20)-SUM(OP20,OT20)&gt;0,SUM(ON20:OO20,OQ20:OS20,OU20)-SUM(OP20,OT20),"")</f>
        <v/>
      </c>
      <c r="PC20" s="78" t="str">
        <f>IF(SUM(OW20,PB20)&gt;0,SUM(OW20,PB20),"")</f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>IF(SUM(PE20,PI20)&gt;0,SUM(PE20,PI20),"")</f>
        <v/>
      </c>
      <c r="PY20" s="19" t="str">
        <f>IF(SUM(PD20:PE20,PG20:PI20,PK20)-PF20-PJ20&gt;0,SUM(PD20:PE20,PG20:PI20,PK20)-PF20-PJ20,"")</f>
        <v/>
      </c>
      <c r="PZ20" s="19" t="str">
        <f>IF(SUM(PL20:PM20,PO20)-PN20&gt;0,SUM(PL20:PM20,PO20)-PN20,"")</f>
        <v/>
      </c>
      <c r="QA20" s="19" t="str">
        <f>IF(SUM(PE20,PI20,PM20)&gt;0,SUM(PE20,PI20,PM20),"")</f>
        <v/>
      </c>
      <c r="QB20" s="19" t="str">
        <f>IF(SUM(PY20,PZ20)&gt;0,SUM(PY20,PZ20),"")</f>
        <v/>
      </c>
      <c r="QC20" s="19" t="str">
        <f>IF(SUM(PQ20,PU20)&gt;0,SUM(PQ20,PU20),"")</f>
        <v/>
      </c>
      <c r="QD20" s="19" t="str">
        <f>IF(SUM(PP20:PQ20,PS20:PU20,PW20)-SUM(PR20,PV20)&gt;0,SUM(PP20:PQ20,PS20:PU20,PW20)-SUM(PR20,PV20),"")</f>
        <v/>
      </c>
      <c r="QE20" s="19" t="str">
        <f>IF(SUM(PY20,QD20)&gt;0,SUM(PY20,QD20),"")</f>
        <v/>
      </c>
      <c r="QF20" s="37">
        <f>IF($CV20="P",CB20,(CB20+AY20)/2)</f>
        <v>18.899999999999999</v>
      </c>
      <c r="QG20" s="37">
        <f>IF($CV20="P",CC20,(CC20+AZ20)/2)</f>
        <v>4.8</v>
      </c>
      <c r="QH20" s="37">
        <f>IF($CV20="P",CD20,(CD20+BA20)/2)</f>
        <v>0</v>
      </c>
      <c r="QI20" s="37">
        <f>IF($CV20="P",CE20,(CE20+BB20)/2)</f>
        <v>0</v>
      </c>
      <c r="QJ20" s="37">
        <f>IF($CV20="P",CF20,(CF20+BC20)/2)</f>
        <v>19</v>
      </c>
      <c r="QK20" s="37">
        <f>IF($CV20="P",CG20,(CG20+BD20)/2)</f>
        <v>4.55</v>
      </c>
      <c r="QL20" s="37">
        <f>IF($CV20="P",CH20,(CH20+BE20)/2)</f>
        <v>0</v>
      </c>
      <c r="QM20" s="37">
        <f>IF($CV20="P",CI20,(CI20+BF20)/2)</f>
        <v>0</v>
      </c>
      <c r="QN20" s="37">
        <f>IF($CV20="P",CJ20,(CJ20+BG20)/2)</f>
        <v>19.07</v>
      </c>
      <c r="QO20" s="37">
        <f>IF($CV20="P",CK20,(CK20+BH20)/2)</f>
        <v>4.1500000000000004</v>
      </c>
      <c r="QP20" s="37">
        <f>IF($CV20="P",CL20,(CL20+BI20)/2)</f>
        <v>0</v>
      </c>
      <c r="QQ20" s="37">
        <f>IF($CV20="P",CM20,(CM20+BJ20)/2)</f>
        <v>0</v>
      </c>
      <c r="QR20" s="37">
        <f>IF($CV20="P",CN20,(CN20+BK20)/2)</f>
        <v>18.55</v>
      </c>
      <c r="QS20" s="37">
        <f>IF($CV20="P",CO20,(CO20+BL20)/2)</f>
        <v>5</v>
      </c>
      <c r="QT20" s="37">
        <f>IF($CV20="P",CP20,(CP20+BM20)/2)</f>
        <v>0.4</v>
      </c>
      <c r="QU20" s="37">
        <f>IF($CV20="P",CQ20,(CQ20+BN20)/2)</f>
        <v>0</v>
      </c>
      <c r="QV20" s="37">
        <f>IF($CV20="P",CR20,(CR20+BO20)/2)</f>
        <v>18.049999999999997</v>
      </c>
      <c r="QW20" s="37">
        <f>IF($CV20="P",CS20,(CS20+BP20)/2)</f>
        <v>3.65</v>
      </c>
      <c r="QX20" s="37">
        <f>IF($CV20="P",CT20,(CT20+BQ20)/2)</f>
        <v>0</v>
      </c>
      <c r="QY20" s="37">
        <f>IF($CV20="P",CU20,(CU20+BR20)/2)</f>
        <v>0</v>
      </c>
      <c r="QZ20" s="44" t="s">
        <v>46</v>
      </c>
      <c r="RA20" s="78">
        <f>IF(SUM(QG20,QK20)&gt;0,SUM(QG20,QK20),"")</f>
        <v>9.35</v>
      </c>
      <c r="RB20" s="78">
        <f>IF(SUM(QF20:QG20,QI20:QK20,QM20)-QH20-QL20&gt;0,SUM(QF20:QG20,QI20:QK20,QM20)-QH20-QL20,"")</f>
        <v>47.25</v>
      </c>
      <c r="RC20" s="78">
        <f>IF(SUM(QN20:QO20,QQ20)-QP20&gt;0,SUM(QN20:QO20,QQ20)-QP20,"")</f>
        <v>23.22</v>
      </c>
      <c r="RD20" s="78">
        <f>IF(SUM(QG20,QK20,QO20)&gt;0,SUM(QG20,QK20,QO20),"")</f>
        <v>13.5</v>
      </c>
      <c r="RE20" s="78">
        <f>IF(SUM(RB20,RC20)&gt;0,SUM(RB20,RC20),"")</f>
        <v>70.47</v>
      </c>
      <c r="RF20" s="78">
        <f>IF(SUM(QS20,QW20)&gt;0,SUM(QS20,QW20),"")</f>
        <v>8.65</v>
      </c>
      <c r="RG20" s="78">
        <f>IF(SUM(QR20:QS20,QU20:QW20,QY20)-SUM(QT20,QX20)&gt;0,SUM(QR20:QS20,QU20:QW20,QY20)-SUM(QT20,QX20),"")</f>
        <v>44.849999999999994</v>
      </c>
      <c r="RH20" s="78">
        <f>IF(SUM(RB20,RG20)&gt;0,SUM(RB20,RG20),"")</f>
        <v>92.1</v>
      </c>
    </row>
    <row r="21" spans="1:476" x14ac:dyDescent="0.2">
      <c r="A21" s="5" t="str">
        <f>IF(AND(F21="P",G21="P"),SUMPRODUCT((F$4:F$32="P")*(G$4:G$32="P")*(E$4:E$32&gt;E21))+1,IF(G21="P",SUMPRODUCT((F$4:F$32="")*(G$4:G$32="P")*(E$4:E$32&gt;E21))+1+SUMPRODUCT((F$4:F$32="P")*(G$4:G$32="P")),""))</f>
        <v/>
      </c>
      <c r="B21" s="77" t="s">
        <v>118</v>
      </c>
      <c r="C21" s="5" t="s">
        <v>4</v>
      </c>
      <c r="D21" s="5">
        <v>2004</v>
      </c>
      <c r="E21" s="15">
        <f>SUM(I21:S21)+SUM(I21:O21)*0.0000001+SUM(I21)*0.0000000000001</f>
        <v>183.60001366000486</v>
      </c>
      <c r="F21" s="3" t="str">
        <f>IF(OR(AND(AQ21&gt;=AX$34,AR21&gt;=AX$38,AQ21&lt;&gt;"",AP21=""),AND(AV21&gt;=AX$34,AW21&gt;=AX$38,AV21&lt;&gt;"",AP21=""),AND(BT21&gt;=CA$34,BU21&gt;=CA$38,BT21&lt;&gt;"",BS21=""),AND(BY21&gt;=CA$34,BZ21&gt;=CA$38,BY21&lt;&gt;"",BS21=""),AND(CW21&gt;=DD$34,CX21&gt;=DD$38,CW21&lt;&gt;"",CV21=""),AND(DB21&gt;=DD$34,DC21&gt;=DD$38,DB21&lt;&gt;""),AND(EB21&gt;=EI$34,EC21&gt;=EI$38,EB21&lt;&gt;""),AND(EG21&gt;=EI$34,EH21&gt;=EI$38,EG21&lt;&gt;""),AND(FD21&gt;=FK$34,FE21&gt;=FK$38,FD21&lt;&gt;""),AND(FI21&gt;=FK$34,FJ21&gt;=FK$38,FI21&lt;&gt;""),AND(GF21&gt;=GM$34,GG21&gt;=GM$38,GF21&lt;&gt;""),AND(GK21&gt;=GM$34,GL21&gt;=GM$38,GK21&lt;&gt;""),AND(HH21&gt;=HO$34,HI21&gt;=HO$38,HH21&lt;&gt;""),AND(HM21&gt;=HO$34,HN21&gt;=HO$38,HM21&lt;&gt;""),AND(IJ21&gt;=IQ$34,IK21&gt;=IQ$38,IJ21&lt;&gt;""),AND(IO21&gt;=IQ$34,IP21&gt;=IQ$38,IO21&lt;&gt;""),AND(JL21&gt;=JS$34,JM21&gt;=JS$38,JL21&lt;&gt;""),AND(JQ21&gt;=JS$34,JR21&gt;=JS$38,JQ21&lt;&gt;""),AND(KN21&gt;=KU$34,KO21&gt;=KU$38,KN21&lt;&gt;""),AND(KS21&gt;=KU$34,KT21&gt;=KU$38,KS21&lt;&gt;""),AND(LP21&gt;=LW$34,LQ21&gt;=LW$38,LP21&lt;&gt;""),AND(LU21&gt;=LW$34,LV21&gt;=LW$38,LU21&lt;&gt;""),AND(MR21&gt;=MY$34,MS21&gt;=MY$38,MR21&lt;&gt;""),AND(MW21&gt;=MY$34,MX21&gt;=MY$38,MW21&lt;&gt;""),AND(NT21&gt;=OA$34,NU21&gt;=OA$38,NT21&lt;&gt;""),AND(NY21&gt;=OA$34,NZ21&gt;=OA$38,NY21&lt;&gt;""),AND(OV21&gt;=PC$34,OW21&gt;=PC$38,OV21&lt;&gt;""),AND(PA21&gt;=PC$34,PB21&gt;=PC$38,PA21&lt;&gt;""),AND(PX21&gt;=QE$34,PY21&gt;=QE$38,PX21&lt;&gt;""),AND(QC21&gt;=QE$34,QD21&gt;=QE$38,QC21&lt;&gt;"")),"P","")</f>
        <v/>
      </c>
      <c r="G21" s="3" t="str">
        <f>IF(OR(AND(AR21&gt;=AX$38,AR21&lt;&gt;"",AP21=""),AND(AW21&gt;=AX$38,AW21&lt;&gt;"",AP21=""),AND(BU21&gt;=CA$38,BU21&lt;&gt;"",BS21=""),AND(BZ21&gt;=CA$38,BZ21&lt;&gt;"",BS21=""),AND(CX21&gt;=DD$38,CX21&lt;&gt;"",CV21=""),AND(DC21&gt;=DD$38,DC21&lt;&gt;"",CV21=""),AND(EC21&gt;=EI$38,EC21&lt;&gt;""),AND(EH21&gt;=EI$38,EH21&lt;&gt;""),AND(FE21&gt;=FK$38,FE21&lt;&gt;""),AND(FJ21&gt;=FK$38,FJ21&lt;&gt;""),AND(GG21&gt;=GM$38,GG21&lt;&gt;""),AND(GL21&gt;=GM$38,GL21&lt;&gt;""),AND(HI21&gt;=HO$38,HI21&lt;&gt;""),AND(HN21&gt;=HO$38,HN21&lt;&gt;""),AND(IK21&gt;=IQ$38,IK21&lt;&gt;""),AND(IP21&gt;=IQ$38,IP21&lt;&gt;""),AND(JM21&gt;=JS$38,JM21&lt;&gt;""),AND(JR21&gt;=JS$38,JR21&lt;&gt;""),AND(KO21&gt;=KU$38,KO21&lt;&gt;""),AND(KT21&gt;=KU$38,KT21&lt;&gt;""),AND(LQ21&gt;=LW$38,LQ21&lt;&gt;""),AND(LV21&gt;=LW$38,LV21&lt;&gt;""),AND(MS21&gt;=MY$38,MS21&lt;&gt;""),AND(MX21&gt;=MY$38,MX21&lt;&gt;""),AND(NU21&gt;=OA$38,NU21&lt;&gt;""),AND(NZ21&gt;=OA$38,NZ21&lt;&gt;""),AND(OW21&gt;=PC$38,OW21&lt;&gt;""),AND(PB21&gt;=PC$38,PB21&lt;&gt;""),AND(PY21&gt;=QE$38,PY21&lt;&gt;""),AND(QD21&gt;=QE$38,QD21&lt;&gt;"")),"P","")</f>
        <v/>
      </c>
      <c r="H21" s="66" t="str">
        <f>IF(AND(G21="P",F21=""),"No DD",IF(OR(AND(AT21&gt;=AX$37,AU21&gt;=AX$41,AT21&lt;&gt;"",AP21=""),AND(BW21&gt;=CA$37,BX21&gt;=CA$41,BW21&lt;&gt;"",BS21=""),AND(CZ21&gt;=DD$37,DA21&gt;=DD$41,CZ21&lt;&gt;"",CV21=""),AND(EE21&gt;=EI$37,EF21&gt;=EI$41,EE21&lt;&gt;""),AND(FG21&gt;=FK$37,FH21&gt;=FK$41,FG21&lt;&gt;""),AND(GI21&gt;=GM$37,GJ21&gt;=GM$41,GI21&lt;&gt;""),AND(HK21&gt;=HO$37,HL21&gt;=HO$41,HK21&lt;&gt;""),AND(IM21&gt;=IQ$37,IN21&gt;=IQ$41,IM21&lt;&gt;""),AND(JO21&gt;=JS$37,JP21&gt;=JS$41,JO21&lt;&gt;""),AND(KQ21&gt;=KU$37,KR21&gt;=KU$41,KQ21&lt;&gt;""),AND(LS21&gt;=LW$37,LT21&gt;=LW$41,LS21&lt;&gt;""),AND(MU21&gt;=MY$37,MV21&gt;=MY$41,MU21&lt;&gt;""),AND(NW21&gt;=OA$37,NX21&gt;=OA$41,NW21&lt;&gt;""),AND(OY21&gt;=PC$37,OZ21&gt;=PC$41,OY21&lt;&gt;""),AND(QA21&gt;=QE$37,QB21&gt;=QE$41,QA21&lt;&gt;"")),"Merit",IF(OR(AND(AT21&gt;=AX$36,AU21&gt;=AX$40,AT21&lt;&gt;"",AP21=""),AND(BW21&gt;=CA$36,BX21&gt;=CA$40,BW21&lt;&gt;"",BS21=""),AND(CZ21&gt;=DD$36,DA21&gt;=DD$40,CZ21&lt;&gt;"",CV21=""),AND(EE21&gt;=EI$36,EF21&gt;=EI$40,EE21&lt;&gt;""),AND(FG21&gt;=FK$36,FH21&gt;=FK$40,FG21&lt;&gt;""),AND(GI21&gt;=GM$36,GJ21&gt;=GM$40,GI21&lt;&gt;""),AND(HK21&gt;=HO$36,HL21&gt;=HO$40,HK21&lt;&gt;""),AND(IM21&gt;=IQ$36,IN21&gt;=IQ$40,IM21&lt;&gt;""),AND(JO21&gt;=JS$36,JP21&gt;=JS$40,JO21&lt;&gt;""),AND(KQ21&gt;=KU$36,KR21&gt;=KU$40,KQ21&lt;&gt;""),AND(LS21&gt;=LW$36,LT21&gt;=LW$40,LS21&lt;&gt;""),AND(MU21&gt;=MY$36,MV21&gt;=MY$40,MU21&lt;&gt;""),AND(NW21&gt;=OA$36,NX21&gt;=OA$40,NW21&lt;&gt;""),AND(OY21&gt;=PC$36,OZ21&gt;=PC$40,OY21&lt;&gt;""),AND(QA21&gt;=QE$36,QB21&gt;=QE$40,QA21&lt;&gt;"")),"Excellence",IF(F21="P","National Team",""))))</f>
        <v/>
      </c>
      <c r="I21" s="14">
        <f>IF(COUNT(AR21,BU21,CX21)&gt;0,LARGE((AR21,BU21,CX21),1),0)</f>
        <v>48.899999999999991</v>
      </c>
      <c r="J21" s="14" t="str">
        <f>IF(I21=0,"",IF(I21=CX21,$CB$1,IF(I21=BU21,$AY$1,IF(I21=AR21,$V$1,""))))</f>
        <v>2022 Nationals</v>
      </c>
      <c r="K21" s="14">
        <f>IF(COUNT(AR21,BU21,CX21)&gt;1,LARGE((AR21,BU21,CX21),2),0)</f>
        <v>47.9</v>
      </c>
      <c r="L21" s="14" t="str">
        <f>IF(K21=0,"",IF(K21=CX21,$CB$1,IF(K21=BU21,$AY$1,IF(K21=AR21,$V$1,""))))</f>
        <v>2022 Elite Canada</v>
      </c>
      <c r="M21" s="14">
        <f>IF(COUNT(AS21,BV21,CY21)&gt;0,LARGE((AS21,BV21,CY21),1),0)</f>
        <v>22.3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17.5</v>
      </c>
      <c r="P21" s="14" t="str">
        <f>IF(O21=0,"",IF(O21=CY21,$CB$1,IF(O21=BV21,$AY$1,IF(O21=AS21,$V$1,""))))</f>
        <v>2022 Nationals</v>
      </c>
      <c r="Q21" s="14">
        <f>IF(MAX(AW21,BZ21,DC21)&gt;0,MAX(AW21,BZ21,DC21),0)</f>
        <v>47.000000000000007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19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6">
        <v>18.399999999999999</v>
      </c>
      <c r="W21" s="26">
        <v>6</v>
      </c>
      <c r="X21" s="26">
        <v>0.2</v>
      </c>
      <c r="Y21" s="26">
        <v>0</v>
      </c>
      <c r="Z21" s="26">
        <v>18.3</v>
      </c>
      <c r="AA21" s="26">
        <v>6</v>
      </c>
      <c r="AB21" s="26">
        <v>0.6</v>
      </c>
      <c r="AC21" s="26">
        <v>0</v>
      </c>
      <c r="AD21" s="26">
        <v>19</v>
      </c>
      <c r="AE21" s="26">
        <v>3.5</v>
      </c>
      <c r="AF21" s="26">
        <v>0.2</v>
      </c>
      <c r="AG21" s="26">
        <v>0</v>
      </c>
      <c r="AH21" s="26">
        <v>18</v>
      </c>
      <c r="AI21" s="26">
        <v>6</v>
      </c>
      <c r="AJ21" s="26">
        <v>0.8</v>
      </c>
      <c r="AK21" s="26">
        <v>0</v>
      </c>
      <c r="AL21" s="26">
        <v>18.2</v>
      </c>
      <c r="AM21" s="26">
        <v>5.6</v>
      </c>
      <c r="AN21" s="26">
        <v>0</v>
      </c>
      <c r="AO21" s="26">
        <v>0</v>
      </c>
      <c r="AP21" s="44"/>
      <c r="AQ21" s="78">
        <f>IF(SUM(W21,AA21)&gt;0,SUM(W21,AA21),"")</f>
        <v>12</v>
      </c>
      <c r="AR21" s="78">
        <f>IF(SUM(V21:W21,Y21:AA21,AC21)-X21-AB21&gt;0,SUM(V21:W21,Y21:AA21,AC21)-X21-AB21,"")</f>
        <v>47.9</v>
      </c>
      <c r="AS21" s="78">
        <f>IF(SUM(AD21:AE21,AG21)-AF21&gt;0,SUM(AD21:AE21,AG21)-AF21,"")</f>
        <v>22.3</v>
      </c>
      <c r="AT21" s="78">
        <f>IF(SUM(W21,AA21,AE21)&gt;0,SUM(W21,AA21,AE21),"")</f>
        <v>15.5</v>
      </c>
      <c r="AU21" s="78">
        <f>IF(SUM(AR21,AS21)&gt;0,SUM(AR21,AS21),"")</f>
        <v>70.2</v>
      </c>
      <c r="AV21" s="78">
        <f>IF(SUM(AI21,AM21)&gt;0,SUM(AI21,AM21),"")</f>
        <v>11.6</v>
      </c>
      <c r="AW21" s="78">
        <f>IF(SUM(AH21:AI21,AK21:AM21,AO21)-SUM(AJ21,AN21)&gt;0,SUM(AH21:AI21,AK21:AM21,AO21)-SUM(AJ21,AN21),"")</f>
        <v>47.000000000000007</v>
      </c>
      <c r="AX21" s="78">
        <f>IF(SUM(AR21,AW21)&gt;0,SUM(AR21,AW21),"")</f>
        <v>94.9</v>
      </c>
      <c r="AY21" s="25">
        <v>18.2</v>
      </c>
      <c r="AZ21" s="25">
        <v>6</v>
      </c>
      <c r="BA21" s="25">
        <v>0.2</v>
      </c>
      <c r="BB21" s="25">
        <v>0</v>
      </c>
      <c r="BC21" s="25">
        <v>18.899999999999999</v>
      </c>
      <c r="BD21" s="25">
        <v>6</v>
      </c>
      <c r="BE21" s="25">
        <v>0</v>
      </c>
      <c r="BF21" s="25">
        <v>0</v>
      </c>
      <c r="BG21" s="25">
        <v>17.5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>IF(SUM(AZ21,BD21)&gt;0,SUM(AZ21,BD21),"")</f>
        <v>12</v>
      </c>
      <c r="BU21" s="19">
        <f>IF(SUM(AY21:AZ21,BB21:BD21,BF21)-BA21-BE21&gt;0,SUM(AY21:AZ21,BB21:BD21,BF21)-BA21-BE21,"")</f>
        <v>48.899999999999991</v>
      </c>
      <c r="BV21" s="19">
        <f>IF(SUM(BG21:BH21,BJ21)-BI21&gt;0,SUM(BG21:BH21,BJ21)-BI21,"")</f>
        <v>17.5</v>
      </c>
      <c r="BW21" s="19">
        <f>IF(SUM(AZ21,BD21,BH21)&gt;0,SUM(AZ21,BD21,BH21),"")</f>
        <v>12</v>
      </c>
      <c r="BX21" s="19">
        <f>IF(SUM(BU21,BV21)&gt;0,SUM(BU21,BV21),"")</f>
        <v>66.399999999999991</v>
      </c>
      <c r="BY21" s="19" t="str">
        <f>IF(SUM(BL21,BP21)&gt;0,SUM(BL21,BP21),"")</f>
        <v/>
      </c>
      <c r="BZ21" s="19" t="str">
        <f>IF(SUM(BK21:BL21,BN21:BP21,BR21)-SUM(BM21,BQ21)&gt;0,SUM(BK21:BL21,BN21:BP21,BR21)-SUM(BM21,BQ21),"")</f>
        <v/>
      </c>
      <c r="CA21" s="19">
        <f>IF(SUM(BU21,BZ21)&gt;0,SUM(BU21,BZ21),"")</f>
        <v>48.899999999999991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>IF(SUM(CC21,CG21)&gt;0,SUM(CC21,CG21),"")</f>
        <v/>
      </c>
      <c r="CX21" s="78" t="str">
        <f>IF(SUM(CB21:CC21,CE21:CG21,CI21)-CD21-CH21&gt;0,SUM(CB21:CC21,CE21:CG21,CI21)-CD21-CH21,"")</f>
        <v/>
      </c>
      <c r="CY21" s="78" t="str">
        <f>IF(SUM(CJ21:CK21,CM21)-CL21&gt;0,SUM(CJ21:CK21,CM21)-CL21,"")</f>
        <v/>
      </c>
      <c r="CZ21" s="78" t="str">
        <f>IF(SUM(CC21,CG21,CK21)&gt;0,SUM(CC21,CG21,CK21),"")</f>
        <v/>
      </c>
      <c r="DA21" s="78" t="str">
        <f>IF(SUM(CX21,CY21)&gt;0,SUM(CX21,CY21),"")</f>
        <v/>
      </c>
      <c r="DB21" s="78" t="str">
        <f>IF(SUM(CO21,CS21)&gt;0,SUM(CO21,CS21),"")</f>
        <v/>
      </c>
      <c r="DC21" s="78" t="str">
        <f>IF(SUM(CN21:CO21,CQ21:CS21,CU21)-SUM(CP21,CT21)&gt;0,SUM(CN21:CO21,CQ21:CS21,CU21)-SUM(CP21,CT21),"")</f>
        <v/>
      </c>
      <c r="DD21" s="78" t="str">
        <f>IF(SUM(CX21,DC21)&gt;0,SUM(CX21,DC21),"")</f>
        <v/>
      </c>
      <c r="DE21" s="79" t="str">
        <f>IF(K21&gt;=0.001,IF(MAX(EC21,FE21,GG21,HI21,IK21,JM21,KO21,LQ21,MS21,NU21,OW21,PY21)-IF(K21="",0,K21)&gt;0.001,MAX(EC21,FE21,GG21,HI21,IK21,JM21,KO21,LQ21,MS21,NU21,OW21,PY21)-IF(K21="",0,K21),""),"")</f>
        <v/>
      </c>
      <c r="DF21" s="79" t="str">
        <f>IF(O21&gt;=0.001,IF(MAX(ED21,FF21,GH21,HJ21,IL21,JN21,KP21,LR21,MT21,NV21,OX21,PZ21)-IF(O21="",0,O21)&gt;0.001,MAX(ED21,FF21,GH21,HJ21,IL21,JN21,KP21,LR21,MT21,NV21,OX21,PZ21)-IF(O21="",0,O21),""),"")</f>
        <v/>
      </c>
      <c r="DG21" s="79" t="str">
        <f>IF(Q21&gt;=0.001,IF(MAX(EH21,FJ21,GL21,HN21,IP21,JR21,KT21,LV21,MX21,NZ21,PB21,QD21)-IF(Q21="",0,Q21)&gt;0.001,MAX(EH21,FJ21,GL21,HN21,IP21,JR21,KT21,LV21,MX21,NZ21,PB21,QD21)-IF(Q21="",0,Q21),""),"")</f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>IF(SUM(DI21,DM21)&gt;0,SUM(DI21,DM21),"")</f>
        <v/>
      </c>
      <c r="EC21" s="78" t="str">
        <f>IF(SUM(DH21:DI21,DK21:DM21,DO21)-DJ21-DN21&gt;0,SUM(DH21:DI21,DK21:DM21,DO21)-DJ21-DN21,"")</f>
        <v/>
      </c>
      <c r="ED21" s="78" t="str">
        <f>IF(SUM(DP21:DQ21,DS21)-DR21&gt;0,SUM(DP21:DQ21,DS21)-DR21,"")</f>
        <v/>
      </c>
      <c r="EE21" s="78" t="str">
        <f>IF(SUM(DI21,DM21,DQ21)&gt;0,SUM(DI21,DM21,DQ21),"")</f>
        <v/>
      </c>
      <c r="EF21" s="78" t="str">
        <f>IF(SUM(EC21,ED21)&gt;0,SUM(EC21,ED21),"")</f>
        <v/>
      </c>
      <c r="EG21" s="78" t="str">
        <f>IF(SUM(DU21,DY21)&gt;0,SUM(DU21,DY21),"")</f>
        <v/>
      </c>
      <c r="EH21" s="78" t="str">
        <f>IF(SUM(DT21:DU21,DW21:DY21,EA21)-SUM(DV21,DZ21)&gt;0,SUM(DT21:DU21,DW21:DY21,EA21)-SUM(DV21,DZ21),"")</f>
        <v/>
      </c>
      <c r="EI21" s="78" t="str">
        <f>IF(SUM(EC21,EH21)&gt;0,SUM(EC21,EH21),"")</f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>IF(SUM(EK21,EO21)&gt;0,SUM(EK21,EO21),"")</f>
        <v/>
      </c>
      <c r="FE21" s="19" t="str">
        <f>IF(SUM(EJ21:EK21,EM21:EO21,EQ21)-EL21-EP21&gt;0,SUM(EJ21:EK21,EM21:EO21,EQ21)-EL21-EP21,"")</f>
        <v/>
      </c>
      <c r="FF21" s="19" t="str">
        <f>IF(SUM(ER21:ES21,EU21)-ET21&gt;0,SUM(ER21:ES21,EU21)-ET21,"")</f>
        <v/>
      </c>
      <c r="FG21" s="19" t="str">
        <f>IF(SUM(EK21,EO21,ES21)&gt;0,SUM(EK21,EO21,ES21),"")</f>
        <v/>
      </c>
      <c r="FH21" s="19" t="str">
        <f>IF(SUM(FE21,FF21)&gt;0,SUM(FE21,FF21),"")</f>
        <v/>
      </c>
      <c r="FI21" s="19" t="str">
        <f>IF(SUM(EW21,FA21)&gt;0,SUM(EW21,FA21),"")</f>
        <v/>
      </c>
      <c r="FJ21" s="19" t="str">
        <f>IF(SUM(EV21:EW21,EY21:FA21,FC21)-SUM(EX21,FB21)&gt;0,SUM(EV21:EW21,EY21:FA21,FC21)-SUM(EX21,FB21),"")</f>
        <v/>
      </c>
      <c r="FK21" s="19" t="str">
        <f>IF(SUM(FE21,FJ21)&gt;0,SUM(FE21,FJ21),"")</f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>IF(SUM(FM21,FQ21)&gt;0,SUM(FM21,FQ21),"")</f>
        <v/>
      </c>
      <c r="GG21" s="78" t="str">
        <f>IF(SUM(FL21:FM21,FO21:FQ21,FS21)-FN21-FR21&gt;0,SUM(FL21:FM21,FO21:FQ21,FS21)-FN21-FR21,"")</f>
        <v/>
      </c>
      <c r="GH21" s="78" t="str">
        <f>IF(SUM(FT21:FU21,FW21)-FV21&gt;0,SUM(FT21:FU21,FW21)-FV21,"")</f>
        <v/>
      </c>
      <c r="GI21" s="78" t="str">
        <f>IF(SUM(FM21,FQ21,FU21)&gt;0,SUM(FM21,FQ21,FU21),"")</f>
        <v/>
      </c>
      <c r="GJ21" s="78" t="str">
        <f>IF(SUM(GG21,GH21)&gt;0,SUM(GG21,GH21),"")</f>
        <v/>
      </c>
      <c r="GK21" s="78" t="str">
        <f>IF(SUM(FY21,GC21)&gt;0,SUM(FY21,GC21),"")</f>
        <v/>
      </c>
      <c r="GL21" s="78" t="str">
        <f>IF(SUM(FX21:FY21,GA21:GC21,GE21)-SUM(FZ21,GD21)&gt;0,SUM(FX21:FY21,GA21:GC21,GE21)-SUM(FZ21,GD21),"")</f>
        <v/>
      </c>
      <c r="GM21" s="78" t="str">
        <f>IF(SUM(GG21,GL21)&gt;0,SUM(GG21,GL21),"")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>IF(SUM(GO21,GS21)&gt;0,SUM(GO21,GS21),"")</f>
        <v/>
      </c>
      <c r="HI21" s="19" t="str">
        <f>IF(SUM(GN21:GO21,GQ21:GS21,GU21)-GP21-GT21&gt;0,SUM(GN21:GO21,GQ21:GS21,GU21)-GP21-GT21,"")</f>
        <v/>
      </c>
      <c r="HJ21" s="19" t="str">
        <f>IF(SUM(GV21:GW21,GY21)-GX21&gt;0,SUM(GV21:GW21,GY21)-GX21,"")</f>
        <v/>
      </c>
      <c r="HK21" s="19" t="str">
        <f>IF(SUM(GO21,GS21,GW21)&gt;0,SUM(GO21,GS21,GW21),"")</f>
        <v/>
      </c>
      <c r="HL21" s="19" t="str">
        <f>IF(SUM(HI21,HJ21)&gt;0,SUM(HI21,HJ21),"")</f>
        <v/>
      </c>
      <c r="HM21" s="19" t="str">
        <f>IF(SUM(HA21,HE21)&gt;0,SUM(HA21,HE21),"")</f>
        <v/>
      </c>
      <c r="HN21" s="19" t="str">
        <f>IF(SUM(GZ21:HA21,HC21:HE21,HG21)-SUM(HB21,HF21)&gt;0,SUM(GZ21:HA21,HC21:HE21,HG21)-SUM(HB21,HF21),"")</f>
        <v/>
      </c>
      <c r="HO21" s="19" t="str">
        <f>IF(SUM(HI21,HN21)&gt;0,SUM(HI21,HN21),"")</f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>IF(SUM(HQ21,HU21)&gt;0,SUM(HQ21,HU21),"")</f>
        <v/>
      </c>
      <c r="IK21" s="78" t="str">
        <f>IF(SUM(HP21:HQ21,HS21:HU21,HW21)-HR21-HV21&gt;0,SUM(HP21:HQ21,HS21:HU21,HW21)-HR21-HV21,"")</f>
        <v/>
      </c>
      <c r="IL21" s="78" t="str">
        <f>IF(SUM(HX21:HY21,IA21)-HZ21&gt;0,SUM(HX21:HY21,IA21)-HZ21,"")</f>
        <v/>
      </c>
      <c r="IM21" s="78" t="str">
        <f>IF(SUM(HQ21,HU21,HY21)&gt;0,SUM(HQ21,HU21,HY21),"")</f>
        <v/>
      </c>
      <c r="IN21" s="78" t="str">
        <f>IF(SUM(IK21,IL21)&gt;0,SUM(IK21,IL21),"")</f>
        <v/>
      </c>
      <c r="IO21" s="78" t="str">
        <f>IF(SUM(IC21,IG21)&gt;0,SUM(IC21,IG21),"")</f>
        <v/>
      </c>
      <c r="IP21" s="78" t="str">
        <f>IF(SUM(IB21:IC21,IE21:IG21,II21)-SUM(ID21,IH21)&gt;0,SUM(IB21:IC21,IE21:IG21,II21)-SUM(ID21,IH21),"")</f>
        <v/>
      </c>
      <c r="IQ21" s="78" t="str">
        <f>IF(SUM(IK21,IP21)&gt;0,SUM(IK21,IP21),"")</f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>IF(SUM(IS21,IW21)&gt;0,SUM(IS21,IW21),"")</f>
        <v/>
      </c>
      <c r="JM21" s="19" t="str">
        <f>IF(SUM(IR21:IS21,IU21:IW21,IY21)-IT21-IX21&gt;0,SUM(IR21:IS21,IU21:IW21,IY21)-IT21-IX21,"")</f>
        <v/>
      </c>
      <c r="JN21" s="19" t="str">
        <f>IF(SUM(IZ21:JA21,JC21)-JB21&gt;0,SUM(IZ21:JA21,JC21)-JB21,"")</f>
        <v/>
      </c>
      <c r="JO21" s="19" t="str">
        <f>IF(SUM(IS21,IW21,JA21)&gt;0,SUM(IS21,IW21,JA21),"")</f>
        <v/>
      </c>
      <c r="JP21" s="19" t="str">
        <f>IF(SUM(JM21,JN21)&gt;0,SUM(JM21,JN21),"")</f>
        <v/>
      </c>
      <c r="JQ21" s="19" t="str">
        <f>IF(SUM(JE21,JI21)&gt;0,SUM(JE21,JI21),"")</f>
        <v/>
      </c>
      <c r="JR21" s="19" t="str">
        <f>IF(SUM(JD21:JE21,JG21:JI21,JK21)-SUM(JF21,JJ21)&gt;0,SUM(JD21:JE21,JG21:JI21,JK21)-SUM(JF21,JJ21),"")</f>
        <v/>
      </c>
      <c r="JS21" s="19" t="str">
        <f>IF(SUM(JM21,JR21)&gt;0,SUM(JM21,JR21),"")</f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>IF(SUM(JU21,JY21)&gt;0,SUM(JU21,JY21),"")</f>
        <v/>
      </c>
      <c r="KO21" s="78" t="str">
        <f>IF(SUM(JT21:JU21,JW21:JY21,KA21)-JV21-JZ21&gt;0,SUM(JT21:JU21,JW21:JY21,KA21)-JV21-JZ21,"")</f>
        <v/>
      </c>
      <c r="KP21" s="78" t="str">
        <f>IF(SUM(KB21:KC21,KE21)-KD21&gt;0,SUM(KB21:KC21,KE21)-KD21,"")</f>
        <v/>
      </c>
      <c r="KQ21" s="78" t="str">
        <f>IF(SUM(JU21,JY21,KC21)&gt;0,SUM(JU21,JY21,KC21),"")</f>
        <v/>
      </c>
      <c r="KR21" s="78" t="str">
        <f>IF(SUM(KO21,KP21)&gt;0,SUM(KO21,KP21),"")</f>
        <v/>
      </c>
      <c r="KS21" s="78" t="str">
        <f>IF(SUM(KG21,KK21)&gt;0,SUM(KG21,KK21),"")</f>
        <v/>
      </c>
      <c r="KT21" s="78" t="str">
        <f>IF(SUM(KF21:KG21,KI21:KK21,KM21)-SUM(KH21,KL21)&gt;0,SUM(KF21:KG21,KI21:KK21,KM21)-SUM(KH21,KL21),"")</f>
        <v/>
      </c>
      <c r="KU21" s="78" t="str">
        <f>IF(SUM(KO21,KT21)&gt;0,SUM(KO21,KT21),"")</f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>IF(SUM(KW21,LA21)&gt;0,SUM(KW21,LA21),"")</f>
        <v/>
      </c>
      <c r="LQ21" s="19" t="str">
        <f>IF(SUM(KV21:KW21,KY21:LA21,LC21)-KX21-LB21&gt;0,SUM(KV21:KW21,KY21:LA21,LC21)-KX21-LB21,"")</f>
        <v/>
      </c>
      <c r="LR21" s="19" t="str">
        <f>IF(SUM(LD21:LE21,LG21)-LF21&gt;0,SUM(LD21:LE21,LG21)-LF21,"")</f>
        <v/>
      </c>
      <c r="LS21" s="19" t="str">
        <f>IF(SUM(KW21,LA21,LE21)&gt;0,SUM(KW21,LA21,LE21),"")</f>
        <v/>
      </c>
      <c r="LT21" s="19" t="str">
        <f>IF(SUM(LQ21,LR21)&gt;0,SUM(LQ21,LR21),"")</f>
        <v/>
      </c>
      <c r="LU21" s="19" t="str">
        <f>IF(SUM(LI21,LM21)&gt;0,SUM(LI21,LM21),"")</f>
        <v/>
      </c>
      <c r="LV21" s="19" t="str">
        <f>IF(SUM(LH21:LI21,LK21:LM21,LO21)-SUM(LJ21,LN21)&gt;0,SUM(LH21:LI21,LK21:LM21,LO21)-SUM(LJ21,LN21),"")</f>
        <v/>
      </c>
      <c r="LW21" s="19" t="str">
        <f>IF(SUM(LQ21,LV21)&gt;0,SUM(LQ21,LV21),"")</f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>IF(SUM(LY21,MC21)&gt;0,SUM(LY21,MC21),"")</f>
        <v/>
      </c>
      <c r="MS21" s="78" t="str">
        <f>IF(SUM(LX21:LY21,MA21:MC21,ME21)-LZ21-MD21&gt;0,SUM(LX21:LY21,MA21:MC21,ME21)-LZ21-MD21,"")</f>
        <v/>
      </c>
      <c r="MT21" s="78" t="str">
        <f>IF(SUM(MF21:MG21,MI21)-MH21&gt;0,SUM(MF21:MG21,MI21)-MH21,"")</f>
        <v/>
      </c>
      <c r="MU21" s="78" t="str">
        <f>IF(SUM(LY21,MC21,MG21)&gt;0,SUM(LY21,MC21,MG21),"")</f>
        <v/>
      </c>
      <c r="MV21" s="78" t="str">
        <f>IF(SUM(MS21,MT21)&gt;0,SUM(MS21,MT21),"")</f>
        <v/>
      </c>
      <c r="MW21" s="78" t="str">
        <f>IF(SUM(MK21,MO21)&gt;0,SUM(MK21,MO21),"")</f>
        <v/>
      </c>
      <c r="MX21" s="78" t="str">
        <f>IF(SUM(MJ21:MK21,MM21:MO21,MQ21)-SUM(ML21,MP21)&gt;0,SUM(MJ21:MK21,MM21:MO21,MQ21)-SUM(ML21,MP21),"")</f>
        <v/>
      </c>
      <c r="MY21" s="78" t="str">
        <f>IF(SUM(MS21,MX21)&gt;0,SUM(MS21,MX21),"")</f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>IF(SUM(NA21,NE21)&gt;0,SUM(NA21,NE21),"")</f>
        <v/>
      </c>
      <c r="NU21" s="19" t="str">
        <f>IF(SUM(MZ21:NA21,NC21:NE21,NG21)-NB21-NF21&gt;0,SUM(MZ21:NA21,NC21:NE21,NG21)-NB21-NF21,"")</f>
        <v/>
      </c>
      <c r="NV21" s="19" t="str">
        <f>IF(SUM(NH21:NI21,NK21)-NJ21&gt;0,SUM(NH21:NI21,NK21)-NJ21,"")</f>
        <v/>
      </c>
      <c r="NW21" s="19" t="str">
        <f>IF(SUM(NA21,NE21,NI21)&gt;0,SUM(NA21,NE21,NI21),"")</f>
        <v/>
      </c>
      <c r="NX21" s="19" t="str">
        <f>IF(SUM(NU21,NV21)&gt;0,SUM(NU21,NV21),"")</f>
        <v/>
      </c>
      <c r="NY21" s="19" t="str">
        <f>IF(SUM(NM21,NQ21)&gt;0,SUM(NM21,NQ21),"")</f>
        <v/>
      </c>
      <c r="NZ21" s="19" t="str">
        <f>IF(SUM(NL21:NM21,NO21:NQ21,NS21)-SUM(NN21,NR21)&gt;0,SUM(NL21:NM21,NO21:NQ21,NS21)-SUM(NN21,NR21),"")</f>
        <v/>
      </c>
      <c r="OA21" s="19" t="str">
        <f>IF(SUM(NU21,NZ21)&gt;0,SUM(NU21,NZ21),"")</f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>IF(SUM(OC21,OG21)&gt;0,SUM(OC21,OG21),"")</f>
        <v/>
      </c>
      <c r="OW21" s="78" t="str">
        <f>IF(SUM(OB21:OC21,OE21:OG21,OI21)-OD21-OH21&gt;0,SUM(OB21:OC21,OE21:OG21,OI21)-OD21-OH21,"")</f>
        <v/>
      </c>
      <c r="OX21" s="78" t="str">
        <f>IF(SUM(OJ21:OK21,OM21)-OL21&gt;0,SUM(OJ21:OK21,OM21)-OL21,"")</f>
        <v/>
      </c>
      <c r="OY21" s="78" t="str">
        <f>IF(SUM(OC21,OG21,OK21)&gt;0,SUM(OC21,OG21,OK21),"")</f>
        <v/>
      </c>
      <c r="OZ21" s="78" t="str">
        <f>IF(SUM(OW21,OX21)&gt;0,SUM(OW21,OX21),"")</f>
        <v/>
      </c>
      <c r="PA21" s="78" t="str">
        <f>IF(SUM(OO21,OS21)&gt;0,SUM(OO21,OS21),"")</f>
        <v/>
      </c>
      <c r="PB21" s="78" t="str">
        <f>IF(SUM(ON21:OO21,OQ21:OS21,OU21)-SUM(OP21,OT21)&gt;0,SUM(ON21:OO21,OQ21:OS21,OU21)-SUM(OP21,OT21),"")</f>
        <v/>
      </c>
      <c r="PC21" s="78" t="str">
        <f>IF(SUM(OW21,PB21)&gt;0,SUM(OW21,PB21),"")</f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>IF(SUM(PE21,PI21)&gt;0,SUM(PE21,PI21),"")</f>
        <v/>
      </c>
      <c r="PY21" s="19" t="str">
        <f>IF(SUM(PD21:PE21,PG21:PI21,PK21)-PF21-PJ21&gt;0,SUM(PD21:PE21,PG21:PI21,PK21)-PF21-PJ21,"")</f>
        <v/>
      </c>
      <c r="PZ21" s="19" t="str">
        <f>IF(SUM(PL21:PM21,PO21)-PN21&gt;0,SUM(PL21:PM21,PO21)-PN21,"")</f>
        <v/>
      </c>
      <c r="QA21" s="19" t="str">
        <f>IF(SUM(PE21,PI21,PM21)&gt;0,SUM(PE21,PI21,PM21),"")</f>
        <v/>
      </c>
      <c r="QB21" s="19" t="str">
        <f>IF(SUM(PY21,PZ21)&gt;0,SUM(PY21,PZ21),"")</f>
        <v/>
      </c>
      <c r="QC21" s="19" t="str">
        <f>IF(SUM(PQ21,PU21)&gt;0,SUM(PQ21,PU21),"")</f>
        <v/>
      </c>
      <c r="QD21" s="19" t="str">
        <f>IF(SUM(PP21:PQ21,PS21:PU21,PW21)-SUM(PR21,PV21)&gt;0,SUM(PP21:PQ21,PS21:PU21,PW21)-SUM(PR21,PV21),"")</f>
        <v/>
      </c>
      <c r="QE21" s="19" t="str">
        <f>IF(SUM(PY21,QD21)&gt;0,SUM(PY21,QD21),"")</f>
        <v/>
      </c>
      <c r="QF21" s="37">
        <f>IF($CV21="P",CB21,(CB21+AY21)/2)</f>
        <v>9.1</v>
      </c>
      <c r="QG21" s="37">
        <f>IF($CV21="P",CC21,(CC21+AZ21)/2)</f>
        <v>3</v>
      </c>
      <c r="QH21" s="37">
        <f>IF($CV21="P",CD21,(CD21+BA21)/2)</f>
        <v>0.1</v>
      </c>
      <c r="QI21" s="37">
        <f>IF($CV21="P",CE21,(CE21+BB21)/2)</f>
        <v>0</v>
      </c>
      <c r="QJ21" s="37">
        <f>IF($CV21="P",CF21,(CF21+BC21)/2)</f>
        <v>9.4499999999999993</v>
      </c>
      <c r="QK21" s="37">
        <f>IF($CV21="P",CG21,(CG21+BD21)/2)</f>
        <v>3</v>
      </c>
      <c r="QL21" s="37">
        <f>IF($CV21="P",CH21,(CH21+BE21)/2)</f>
        <v>0</v>
      </c>
      <c r="QM21" s="37">
        <f>IF($CV21="P",CI21,(CI21+BF21)/2)</f>
        <v>0</v>
      </c>
      <c r="QN21" s="37">
        <f>IF($CV21="P",CJ21,(CJ21+BG21)/2)</f>
        <v>8.75</v>
      </c>
      <c r="QO21" s="37">
        <f>IF($CV21="P",CK21,(CK21+BH21)/2)</f>
        <v>0</v>
      </c>
      <c r="QP21" s="37">
        <f>IF($CV21="P",CL21,(CL21+BI21)/2)</f>
        <v>0</v>
      </c>
      <c r="QQ21" s="37">
        <f>IF($CV21="P",CM21,(CM21+BJ21)/2)</f>
        <v>0</v>
      </c>
      <c r="QR21" s="37">
        <f>IF($CV21="P",CN21,(CN21+BK21)/2)</f>
        <v>0</v>
      </c>
      <c r="QS21" s="37">
        <f>IF($CV21="P",CO21,(CO21+BL21)/2)</f>
        <v>0</v>
      </c>
      <c r="QT21" s="37">
        <f>IF($CV21="P",CP21,(CP21+BM21)/2)</f>
        <v>0</v>
      </c>
      <c r="QU21" s="37">
        <f>IF($CV21="P",CQ21,(CQ21+BN21)/2)</f>
        <v>0</v>
      </c>
      <c r="QV21" s="37">
        <f>IF($CV21="P",CR21,(CR21+BO21)/2)</f>
        <v>0</v>
      </c>
      <c r="QW21" s="37">
        <f>IF($CV21="P",CS21,(CS21+BP21)/2)</f>
        <v>0</v>
      </c>
      <c r="QX21" s="37">
        <f>IF($CV21="P",CT21,(CT21+BQ21)/2)</f>
        <v>0</v>
      </c>
      <c r="QY21" s="37">
        <f>IF($CV21="P",CU21,(CU21+BR21)/2)</f>
        <v>0</v>
      </c>
      <c r="QZ21" s="44" t="s">
        <v>46</v>
      </c>
      <c r="RA21" s="78">
        <f>IF(SUM(QG21,QK21)&gt;0,SUM(QG21,QK21),"")</f>
        <v>6</v>
      </c>
      <c r="RB21" s="78">
        <f>IF(SUM(QF21:QG21,QI21:QK21,QM21)-QH21-QL21&gt;0,SUM(QF21:QG21,QI21:QK21,QM21)-QH21-QL21,"")</f>
        <v>24.449999999999996</v>
      </c>
      <c r="RC21" s="78">
        <f>IF(SUM(QN21:QO21,QQ21)-QP21&gt;0,SUM(QN21:QO21,QQ21)-QP21,"")</f>
        <v>8.75</v>
      </c>
      <c r="RD21" s="78">
        <f>IF(SUM(QG21,QK21,QO21)&gt;0,SUM(QG21,QK21,QO21),"")</f>
        <v>6</v>
      </c>
      <c r="RE21" s="78">
        <f>IF(SUM(RB21,RC21)&gt;0,SUM(RB21,RC21),"")</f>
        <v>33.199999999999996</v>
      </c>
      <c r="RF21" s="78" t="str">
        <f>IF(SUM(QS21,QW21)&gt;0,SUM(QS21,QW21),"")</f>
        <v/>
      </c>
      <c r="RG21" s="78" t="str">
        <f>IF(SUM(QR21:QS21,QU21:QW21,QY21)-SUM(QT21,QX21)&gt;0,SUM(QR21:QS21,QU21:QW21,QY21)-SUM(QT21,QX21),"")</f>
        <v/>
      </c>
      <c r="RH21" s="78">
        <f>IF(SUM(RB21,RG21)&gt;0,SUM(RB21,RG21),"")</f>
        <v>24.449999999999996</v>
      </c>
    </row>
    <row r="22" spans="1:476" x14ac:dyDescent="0.2">
      <c r="A22" s="5" t="str">
        <f>IF(AND(F22="P",G22="P"),SUMPRODUCT((F$4:F$32="P")*(G$4:G$32="P")*(E$4:E$32&gt;E22))+1,IF(G22="P",SUMPRODUCT((F$4:F$32="")*(G$4:G$32="P")*(E$4:E$32&gt;E22))+1+SUMPRODUCT((F$4:F$32="P")*(G$4:G$32="P")),""))</f>
        <v/>
      </c>
      <c r="B22" s="77" t="s">
        <v>108</v>
      </c>
      <c r="C22" s="5" t="s">
        <v>5</v>
      </c>
      <c r="D22" s="5">
        <v>2004</v>
      </c>
      <c r="E22" s="15">
        <f>SUM(I22:S22)+SUM(I22:O22)*0.0000001+SUM(I22)*0.0000000000001</f>
        <v>179.40001327000488</v>
      </c>
      <c r="F22" s="3" t="str">
        <f>IF(OR(AND(AQ22&gt;=AX$34,AR22&gt;=AX$38,AQ22&lt;&gt;"",AP22=""),AND(AV22&gt;=AX$34,AW22&gt;=AX$38,AV22&lt;&gt;"",AP22=""),AND(BT22&gt;=CA$34,BU22&gt;=CA$38,BT22&lt;&gt;"",BS22=""),AND(BY22&gt;=CA$34,BZ22&gt;=CA$38,BY22&lt;&gt;"",BS22=""),AND(CW22&gt;=DD$34,CX22&gt;=DD$38,CW22&lt;&gt;"",CV22=""),AND(DB22&gt;=DD$34,DC22&gt;=DD$38,DB22&lt;&gt;""),AND(EB22&gt;=EI$34,EC22&gt;=EI$38,EB22&lt;&gt;""),AND(EG22&gt;=EI$34,EH22&gt;=EI$38,EG22&lt;&gt;""),AND(FD22&gt;=FK$34,FE22&gt;=FK$38,FD22&lt;&gt;""),AND(FI22&gt;=FK$34,FJ22&gt;=FK$38,FI22&lt;&gt;""),AND(GF22&gt;=GM$34,GG22&gt;=GM$38,GF22&lt;&gt;""),AND(GK22&gt;=GM$34,GL22&gt;=GM$38,GK22&lt;&gt;""),AND(HH22&gt;=HO$34,HI22&gt;=HO$38,HH22&lt;&gt;""),AND(HM22&gt;=HO$34,HN22&gt;=HO$38,HM22&lt;&gt;""),AND(IJ22&gt;=IQ$34,IK22&gt;=IQ$38,IJ22&lt;&gt;""),AND(IO22&gt;=IQ$34,IP22&gt;=IQ$38,IO22&lt;&gt;""),AND(JL22&gt;=JS$34,JM22&gt;=JS$38,JL22&lt;&gt;""),AND(JQ22&gt;=JS$34,JR22&gt;=JS$38,JQ22&lt;&gt;""),AND(KN22&gt;=KU$34,KO22&gt;=KU$38,KN22&lt;&gt;""),AND(KS22&gt;=KU$34,KT22&gt;=KU$38,KS22&lt;&gt;""),AND(LP22&gt;=LW$34,LQ22&gt;=LW$38,LP22&lt;&gt;""),AND(LU22&gt;=LW$34,LV22&gt;=LW$38,LU22&lt;&gt;""),AND(MR22&gt;=MY$34,MS22&gt;=MY$38,MR22&lt;&gt;""),AND(MW22&gt;=MY$34,MX22&gt;=MY$38,MW22&lt;&gt;""),AND(NT22&gt;=OA$34,NU22&gt;=OA$38,NT22&lt;&gt;""),AND(NY22&gt;=OA$34,NZ22&gt;=OA$38,NY22&lt;&gt;""),AND(OV22&gt;=PC$34,OW22&gt;=PC$38,OV22&lt;&gt;""),AND(PA22&gt;=PC$34,PB22&gt;=PC$38,PA22&lt;&gt;""),AND(PX22&gt;=QE$34,PY22&gt;=QE$38,PX22&lt;&gt;""),AND(QC22&gt;=QE$34,QD22&gt;=QE$38,QC22&lt;&gt;"")),"P","")</f>
        <v/>
      </c>
      <c r="G22" s="3" t="str">
        <f>IF(OR(AND(AR22&gt;=AX$38,AR22&lt;&gt;"",AP22=""),AND(AW22&gt;=AX$38,AW22&lt;&gt;"",AP22=""),AND(BU22&gt;=CA$38,BU22&lt;&gt;"",BS22=""),AND(BZ22&gt;=CA$38,BZ22&lt;&gt;"",BS22=""),AND(CX22&gt;=DD$38,CX22&lt;&gt;"",CV22=""),AND(DC22&gt;=DD$38,DC22&lt;&gt;"",CV22=""),AND(EC22&gt;=EI$38,EC22&lt;&gt;""),AND(EH22&gt;=EI$38,EH22&lt;&gt;""),AND(FE22&gt;=FK$38,FE22&lt;&gt;""),AND(FJ22&gt;=FK$38,FJ22&lt;&gt;""),AND(GG22&gt;=GM$38,GG22&lt;&gt;""),AND(GL22&gt;=GM$38,GL22&lt;&gt;""),AND(HI22&gt;=HO$38,HI22&lt;&gt;""),AND(HN22&gt;=HO$38,HN22&lt;&gt;""),AND(IK22&gt;=IQ$38,IK22&lt;&gt;""),AND(IP22&gt;=IQ$38,IP22&lt;&gt;""),AND(JM22&gt;=JS$38,JM22&lt;&gt;""),AND(JR22&gt;=JS$38,JR22&lt;&gt;""),AND(KO22&gt;=KU$38,KO22&lt;&gt;""),AND(KT22&gt;=KU$38,KT22&lt;&gt;""),AND(LQ22&gt;=LW$38,LQ22&lt;&gt;""),AND(LV22&gt;=LW$38,LV22&lt;&gt;""),AND(MS22&gt;=MY$38,MS22&lt;&gt;""),AND(MX22&gt;=MY$38,MX22&lt;&gt;""),AND(NU22&gt;=OA$38,NU22&lt;&gt;""),AND(NZ22&gt;=OA$38,NZ22&lt;&gt;""),AND(OW22&gt;=PC$38,OW22&lt;&gt;""),AND(PB22&gt;=PC$38,PB22&lt;&gt;""),AND(PY22&gt;=QE$38,PY22&lt;&gt;""),AND(QD22&gt;=QE$38,QD22&lt;&gt;"")),"P","")</f>
        <v/>
      </c>
      <c r="H22" s="66" t="str">
        <f>IF(AND(G22="P",F22=""),"No DD",IF(OR(AND(AT22&gt;=AX$37,AU22&gt;=AX$41,AT22&lt;&gt;"",AP22=""),AND(BW22&gt;=CA$37,BX22&gt;=CA$41,BW22&lt;&gt;"",BS22=""),AND(CZ22&gt;=DD$37,DA22&gt;=DD$41,CZ22&lt;&gt;"",CV22=""),AND(EE22&gt;=EI$37,EF22&gt;=EI$41,EE22&lt;&gt;""),AND(FG22&gt;=FK$37,FH22&gt;=FK$41,FG22&lt;&gt;""),AND(GI22&gt;=GM$37,GJ22&gt;=GM$41,GI22&lt;&gt;""),AND(HK22&gt;=HO$37,HL22&gt;=HO$41,HK22&lt;&gt;""),AND(IM22&gt;=IQ$37,IN22&gt;=IQ$41,IM22&lt;&gt;""),AND(JO22&gt;=JS$37,JP22&gt;=JS$41,JO22&lt;&gt;""),AND(KQ22&gt;=KU$37,KR22&gt;=KU$41,KQ22&lt;&gt;""),AND(LS22&gt;=LW$37,LT22&gt;=LW$41,LS22&lt;&gt;""),AND(MU22&gt;=MY$37,MV22&gt;=MY$41,MU22&lt;&gt;""),AND(NW22&gt;=OA$37,NX22&gt;=OA$41,NW22&lt;&gt;""),AND(OY22&gt;=PC$37,OZ22&gt;=PC$41,OY22&lt;&gt;""),AND(QA22&gt;=QE$37,QB22&gt;=QE$41,QA22&lt;&gt;"")),"Merit",IF(OR(AND(AT22&gt;=AX$36,AU22&gt;=AX$40,AT22&lt;&gt;"",AP22=""),AND(BW22&gt;=CA$36,BX22&gt;=CA$40,BW22&lt;&gt;"",BS22=""),AND(CZ22&gt;=DD$36,DA22&gt;=DD$40,CZ22&lt;&gt;"",CV22=""),AND(EE22&gt;=EI$36,EF22&gt;=EI$40,EE22&lt;&gt;""),AND(FG22&gt;=FK$36,FH22&gt;=FK$40,FG22&lt;&gt;""),AND(GI22&gt;=GM$36,GJ22&gt;=GM$40,GI22&lt;&gt;""),AND(HK22&gt;=HO$36,HL22&gt;=HO$40,HK22&lt;&gt;""),AND(IM22&gt;=IQ$36,IN22&gt;=IQ$40,IM22&lt;&gt;""),AND(JO22&gt;=JS$36,JP22&gt;=JS$40,JO22&lt;&gt;""),AND(KQ22&gt;=KU$36,KR22&gt;=KU$40,KQ22&lt;&gt;""),AND(LS22&gt;=LW$36,LT22&gt;=LW$40,LS22&lt;&gt;""),AND(MU22&gt;=MY$36,MV22&gt;=MY$40,MU22&lt;&gt;""),AND(NW22&gt;=OA$36,NX22&gt;=OA$40,NW22&lt;&gt;""),AND(OY22&gt;=PC$36,OZ22&gt;=PC$40,OY22&lt;&gt;""),AND(QA22&gt;=QE$36,QB22&gt;=QE$40,QA22&lt;&gt;"")),"Excellence",IF(F22="P","National Team",""))))</f>
        <v/>
      </c>
      <c r="I22" s="14">
        <f>IF(COUNT(AR22,BU22,CX22)&gt;0,LARGE((AR22,BU22,CX22),1),0)</f>
        <v>49</v>
      </c>
      <c r="J22" s="14" t="str">
        <f>IF(I22=0,"",IF(I22=CX22,$CB$1,IF(I22=BU22,$AY$1,IF(I22=AR22,$V$1,""))))</f>
        <v>2022 Nationals</v>
      </c>
      <c r="K22" s="14">
        <f>IF(COUNT(AR22,BU22,CX22)&gt;1,LARGE((AR22,BU22,CX22),2),0)</f>
        <v>38.6</v>
      </c>
      <c r="L22" s="14" t="str">
        <f>IF(K22=0,"",IF(K22=CX22,$CB$1,IF(K22=BU22,$AY$1,IF(K22=AR22,$V$1,""))))</f>
        <v>2022 Elite Canada</v>
      </c>
      <c r="M22" s="14">
        <f>IF(COUNT(AS22,BV22,CY22)&gt;0,LARGE((AS22,BV22,CY22),1),0)</f>
        <v>22.7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22.4</v>
      </c>
      <c r="P22" s="14" t="str">
        <f>IF(O22=0,"",IF(O22=CY22,$CB$1,IF(O22=BV22,$AY$1,IF(O22=AS22,$V$1,""))))</f>
        <v>2022 Nationals</v>
      </c>
      <c r="Q22" s="14">
        <f>IF(MAX(AW22,BZ22,DC22)&gt;0,MAX(AW22,BZ22,DC22),0)</f>
        <v>46.7</v>
      </c>
      <c r="R22" s="14" t="str">
        <f>IF(Q22=0,"",IF(Q22=DC22,$CB$1,IF(Q22=BZ22,$AY$1,IF(Q22=AW22,$V$1,""))))</f>
        <v>2022 Nationals</v>
      </c>
      <c r="S22" s="14" t="str">
        <f>IF(MAX(DE22:DG22)&gt;0,MAX(DE22:DG22),"")</f>
        <v/>
      </c>
      <c r="T22" s="19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6">
        <v>17.600000000000001</v>
      </c>
      <c r="W22" s="26">
        <v>4.4000000000000004</v>
      </c>
      <c r="X22" s="26">
        <v>0.6</v>
      </c>
      <c r="Y22" s="26">
        <v>0</v>
      </c>
      <c r="Z22" s="26">
        <v>17.2</v>
      </c>
      <c r="AA22" s="26">
        <v>0</v>
      </c>
      <c r="AB22" s="26">
        <v>0</v>
      </c>
      <c r="AC22" s="26">
        <v>0</v>
      </c>
      <c r="AD22" s="26">
        <v>18.8</v>
      </c>
      <c r="AE22" s="26">
        <v>3.9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44"/>
      <c r="AQ22" s="78">
        <f>IF(SUM(W22,AA22)&gt;0,SUM(W22,AA22),"")</f>
        <v>4.4000000000000004</v>
      </c>
      <c r="AR22" s="78">
        <f>IF(SUM(V22:W22,Y22:AA22,AC22)-X22-AB22&gt;0,SUM(V22:W22,Y22:AA22,AC22)-X22-AB22,"")</f>
        <v>38.6</v>
      </c>
      <c r="AS22" s="78">
        <f>IF(SUM(AD22:AE22,AG22)-AF22&gt;0,SUM(AD22:AE22,AG22)-AF22,"")</f>
        <v>22.7</v>
      </c>
      <c r="AT22" s="78">
        <f>IF(SUM(W22,AA22,AE22)&gt;0,SUM(W22,AA22,AE22),"")</f>
        <v>8.3000000000000007</v>
      </c>
      <c r="AU22" s="78">
        <f>IF(SUM(AR22,AS22)&gt;0,SUM(AR22,AS22),"")</f>
        <v>61.3</v>
      </c>
      <c r="AV22" s="78" t="str">
        <f>IF(SUM(AI22,AM22)&gt;0,SUM(AI22,AM22),"")</f>
        <v/>
      </c>
      <c r="AW22" s="78" t="str">
        <f>IF(SUM(AH22:AI22,AK22:AM22,AO22)-SUM(AJ22,AN22)&gt;0,SUM(AH22:AI22,AK22:AM22,AO22)-SUM(AJ22,AN22),"")</f>
        <v/>
      </c>
      <c r="AX22" s="78">
        <f>IF(SUM(AR22,AW22)&gt;0,SUM(AR22,AW22),"")</f>
        <v>38.6</v>
      </c>
      <c r="AY22" s="25">
        <v>18.8</v>
      </c>
      <c r="AZ22" s="25">
        <v>6</v>
      </c>
      <c r="BA22" s="25">
        <v>0</v>
      </c>
      <c r="BB22" s="25">
        <v>0</v>
      </c>
      <c r="BC22" s="25">
        <v>18.8</v>
      </c>
      <c r="BD22" s="25">
        <v>5.6</v>
      </c>
      <c r="BE22" s="25">
        <v>0.2</v>
      </c>
      <c r="BF22" s="25">
        <v>0</v>
      </c>
      <c r="BG22" s="25">
        <v>18.5</v>
      </c>
      <c r="BH22" s="25">
        <v>3.9</v>
      </c>
      <c r="BI22" s="25">
        <v>0</v>
      </c>
      <c r="BJ22" s="25">
        <v>0</v>
      </c>
      <c r="BK22" s="25">
        <v>18.2</v>
      </c>
      <c r="BL22" s="25">
        <v>5.2</v>
      </c>
      <c r="BM22" s="25">
        <v>0</v>
      </c>
      <c r="BN22" s="25">
        <v>0</v>
      </c>
      <c r="BO22" s="25">
        <v>18.100000000000001</v>
      </c>
      <c r="BP22" s="25">
        <v>6</v>
      </c>
      <c r="BQ22" s="25">
        <v>0.8</v>
      </c>
      <c r="BR22" s="25">
        <v>0</v>
      </c>
      <c r="BS22" s="45"/>
      <c r="BT22" s="19">
        <f>IF(SUM(AZ22,BD22)&gt;0,SUM(AZ22,BD22),"")</f>
        <v>11.6</v>
      </c>
      <c r="BU22" s="19">
        <f>IF(SUM(AY22:AZ22,BB22:BD22,BF22)-BA22-BE22&gt;0,SUM(AY22:AZ22,BB22:BD22,BF22)-BA22-BE22,"")</f>
        <v>49</v>
      </c>
      <c r="BV22" s="19">
        <f>IF(SUM(BG22:BH22,BJ22)-BI22&gt;0,SUM(BG22:BH22,BJ22)-BI22,"")</f>
        <v>22.4</v>
      </c>
      <c r="BW22" s="19">
        <f>IF(SUM(AZ22,BD22,BH22)&gt;0,SUM(AZ22,BD22,BH22),"")</f>
        <v>15.5</v>
      </c>
      <c r="BX22" s="19">
        <f>IF(SUM(BU22,BV22)&gt;0,SUM(BU22,BV22),"")</f>
        <v>71.400000000000006</v>
      </c>
      <c r="BY22" s="19">
        <f>IF(SUM(BL22,BP22)&gt;0,SUM(BL22,BP22),"")</f>
        <v>11.2</v>
      </c>
      <c r="BZ22" s="19">
        <f>IF(SUM(BK22:BL22,BN22:BP22,BR22)-SUM(BM22,BQ22)&gt;0,SUM(BK22:BL22,BN22:BP22,BR22)-SUM(BM22,BQ22),"")</f>
        <v>46.7</v>
      </c>
      <c r="CA22" s="19">
        <f>IF(SUM(BU22,BZ22)&gt;0,SUM(BU22,BZ22),"")</f>
        <v>95.7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>IF(SUM(CC22,CG22)&gt;0,SUM(CC22,CG22),"")</f>
        <v/>
      </c>
      <c r="CX22" s="78" t="str">
        <f>IF(SUM(CB22:CC22,CE22:CG22,CI22)-CD22-CH22&gt;0,SUM(CB22:CC22,CE22:CG22,CI22)-CD22-CH22,"")</f>
        <v/>
      </c>
      <c r="CY22" s="78" t="str">
        <f>IF(SUM(CJ22:CK22,CM22)-CL22&gt;0,SUM(CJ22:CK22,CM22)-CL22,"")</f>
        <v/>
      </c>
      <c r="CZ22" s="78" t="str">
        <f>IF(SUM(CC22,CG22,CK22)&gt;0,SUM(CC22,CG22,CK22),"")</f>
        <v/>
      </c>
      <c r="DA22" s="78" t="str">
        <f>IF(SUM(CX22,CY22)&gt;0,SUM(CX22,CY22),"")</f>
        <v/>
      </c>
      <c r="DB22" s="78" t="str">
        <f>IF(SUM(CO22,CS22)&gt;0,SUM(CO22,CS22),"")</f>
        <v/>
      </c>
      <c r="DC22" s="78" t="str">
        <f>IF(SUM(CN22:CO22,CQ22:CS22,CU22)-SUM(CP22,CT22)&gt;0,SUM(CN22:CO22,CQ22:CS22,CU22)-SUM(CP22,CT22),"")</f>
        <v/>
      </c>
      <c r="DD22" s="78" t="str">
        <f>IF(SUM(CX22,DC22)&gt;0,SUM(CX22,DC22),"")</f>
        <v/>
      </c>
      <c r="DE22" s="79" t="str">
        <f>IF(K22&gt;=0.001,IF(MAX(EC22,FE22,GG22,HI22,IK22,JM22,KO22,LQ22,MS22,NU22,OW22,PY22)-IF(K22="",0,K22)&gt;0.001,MAX(EC22,FE22,GG22,HI22,IK22,JM22,KO22,LQ22,MS22,NU22,OW22,PY22)-IF(K22="",0,K22),""),"")</f>
        <v/>
      </c>
      <c r="DF22" s="79" t="str">
        <f>IF(O22&gt;=0.001,IF(MAX(ED22,FF22,GH22,HJ22,IL22,JN22,KP22,LR22,MT22,NV22,OX22,PZ22)-IF(O22="",0,O22)&gt;0.001,MAX(ED22,FF22,GH22,HJ22,IL22,JN22,KP22,LR22,MT22,NV22,OX22,PZ22)-IF(O22="",0,O22),""),"")</f>
        <v/>
      </c>
      <c r="DG22" s="79" t="str">
        <f>IF(Q22&gt;=0.001,IF(MAX(EH22,FJ22,GL22,HN22,IP22,JR22,KT22,LV22,MX22,NZ22,PB22,QD22)-IF(Q22="",0,Q22)&gt;0.001,MAX(EH22,FJ22,GL22,HN22,IP22,JR22,KT22,LV22,MX22,NZ22,PB22,QD22)-IF(Q22="",0,Q22),""),"")</f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>IF(SUM(DI22,DM22)&gt;0,SUM(DI22,DM22),"")</f>
        <v/>
      </c>
      <c r="EC22" s="78" t="str">
        <f>IF(SUM(DH22:DI22,DK22:DM22,DO22)-DJ22-DN22&gt;0,SUM(DH22:DI22,DK22:DM22,DO22)-DJ22-DN22,"")</f>
        <v/>
      </c>
      <c r="ED22" s="78" t="str">
        <f>IF(SUM(DP22:DQ22,DS22)-DR22&gt;0,SUM(DP22:DQ22,DS22)-DR22,"")</f>
        <v/>
      </c>
      <c r="EE22" s="78" t="str">
        <f>IF(SUM(DI22,DM22,DQ22)&gt;0,SUM(DI22,DM22,DQ22),"")</f>
        <v/>
      </c>
      <c r="EF22" s="78" t="str">
        <f>IF(SUM(EC22,ED22)&gt;0,SUM(EC22,ED22),"")</f>
        <v/>
      </c>
      <c r="EG22" s="78" t="str">
        <f>IF(SUM(DU22,DY22)&gt;0,SUM(DU22,DY22),"")</f>
        <v/>
      </c>
      <c r="EH22" s="78" t="str">
        <f>IF(SUM(DT22:DU22,DW22:DY22,EA22)-SUM(DV22,DZ22)&gt;0,SUM(DT22:DU22,DW22:DY22,EA22)-SUM(DV22,DZ22),"")</f>
        <v/>
      </c>
      <c r="EI22" s="78" t="str">
        <f>IF(SUM(EC22,EH22)&gt;0,SUM(EC22,EH22),"")</f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>IF(SUM(EK22,EO22)&gt;0,SUM(EK22,EO22),"")</f>
        <v/>
      </c>
      <c r="FE22" s="19" t="str">
        <f>IF(SUM(EJ22:EK22,EM22:EO22,EQ22)-EL22-EP22&gt;0,SUM(EJ22:EK22,EM22:EO22,EQ22)-EL22-EP22,"")</f>
        <v/>
      </c>
      <c r="FF22" s="19" t="str">
        <f>IF(SUM(ER22:ES22,EU22)-ET22&gt;0,SUM(ER22:ES22,EU22)-ET22,"")</f>
        <v/>
      </c>
      <c r="FG22" s="19" t="str">
        <f>IF(SUM(EK22,EO22,ES22)&gt;0,SUM(EK22,EO22,ES22),"")</f>
        <v/>
      </c>
      <c r="FH22" s="19" t="str">
        <f>IF(SUM(FE22,FF22)&gt;0,SUM(FE22,FF22),"")</f>
        <v/>
      </c>
      <c r="FI22" s="19" t="str">
        <f>IF(SUM(EW22,FA22)&gt;0,SUM(EW22,FA22),"")</f>
        <v/>
      </c>
      <c r="FJ22" s="19" t="str">
        <f>IF(SUM(EV22:EW22,EY22:FA22,FC22)-SUM(EX22,FB22)&gt;0,SUM(EV22:EW22,EY22:FA22,FC22)-SUM(EX22,FB22),"")</f>
        <v/>
      </c>
      <c r="FK22" s="19" t="str">
        <f>IF(SUM(FE22,FJ22)&gt;0,SUM(FE22,FJ22),"")</f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>IF(SUM(FM22,FQ22)&gt;0,SUM(FM22,FQ22),"")</f>
        <v/>
      </c>
      <c r="GG22" s="78" t="str">
        <f>IF(SUM(FL22:FM22,FO22:FQ22,FS22)-FN22-FR22&gt;0,SUM(FL22:FM22,FO22:FQ22,FS22)-FN22-FR22,"")</f>
        <v/>
      </c>
      <c r="GH22" s="78" t="str">
        <f>IF(SUM(FT22:FU22,FW22)-FV22&gt;0,SUM(FT22:FU22,FW22)-FV22,"")</f>
        <v/>
      </c>
      <c r="GI22" s="78" t="str">
        <f>IF(SUM(FM22,FQ22,FU22)&gt;0,SUM(FM22,FQ22,FU22),"")</f>
        <v/>
      </c>
      <c r="GJ22" s="78" t="str">
        <f>IF(SUM(GG22,GH22)&gt;0,SUM(GG22,GH22),"")</f>
        <v/>
      </c>
      <c r="GK22" s="78" t="str">
        <f>IF(SUM(FY22,GC22)&gt;0,SUM(FY22,GC22),"")</f>
        <v/>
      </c>
      <c r="GL22" s="78" t="str">
        <f>IF(SUM(FX22:FY22,GA22:GC22,GE22)-SUM(FZ22,GD22)&gt;0,SUM(FX22:FY22,GA22:GC22,GE22)-SUM(FZ22,GD22),"")</f>
        <v/>
      </c>
      <c r="GM22" s="78" t="str">
        <f>IF(SUM(GG22,GL22)&gt;0,SUM(GG22,GL22),"")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>IF(SUM(GO22,GS22)&gt;0,SUM(GO22,GS22),"")</f>
        <v/>
      </c>
      <c r="HI22" s="19" t="str">
        <f>IF(SUM(GN22:GO22,GQ22:GS22,GU22)-GP22-GT22&gt;0,SUM(GN22:GO22,GQ22:GS22,GU22)-GP22-GT22,"")</f>
        <v/>
      </c>
      <c r="HJ22" s="19" t="str">
        <f>IF(SUM(GV22:GW22,GY22)-GX22&gt;0,SUM(GV22:GW22,GY22)-GX22,"")</f>
        <v/>
      </c>
      <c r="HK22" s="19" t="str">
        <f>IF(SUM(GO22,GS22,GW22)&gt;0,SUM(GO22,GS22,GW22),"")</f>
        <v/>
      </c>
      <c r="HL22" s="19" t="str">
        <f>IF(SUM(HI22,HJ22)&gt;0,SUM(HI22,HJ22),"")</f>
        <v/>
      </c>
      <c r="HM22" s="19" t="str">
        <f>IF(SUM(HA22,HE22)&gt;0,SUM(HA22,HE22),"")</f>
        <v/>
      </c>
      <c r="HN22" s="19" t="str">
        <f>IF(SUM(GZ22:HA22,HC22:HE22,HG22)-SUM(HB22,HF22)&gt;0,SUM(GZ22:HA22,HC22:HE22,HG22)-SUM(HB22,HF22),"")</f>
        <v/>
      </c>
      <c r="HO22" s="19" t="str">
        <f>IF(SUM(HI22,HN22)&gt;0,SUM(HI22,HN22),"")</f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>IF(SUM(HQ22,HU22)&gt;0,SUM(HQ22,HU22),"")</f>
        <v/>
      </c>
      <c r="IK22" s="78" t="str">
        <f>IF(SUM(HP22:HQ22,HS22:HU22,HW22)-HR22-HV22&gt;0,SUM(HP22:HQ22,HS22:HU22,HW22)-HR22-HV22,"")</f>
        <v/>
      </c>
      <c r="IL22" s="78" t="str">
        <f>IF(SUM(HX22:HY22,IA22)-HZ22&gt;0,SUM(HX22:HY22,IA22)-HZ22,"")</f>
        <v/>
      </c>
      <c r="IM22" s="78" t="str">
        <f>IF(SUM(HQ22,HU22,HY22)&gt;0,SUM(HQ22,HU22,HY22),"")</f>
        <v/>
      </c>
      <c r="IN22" s="78" t="str">
        <f>IF(SUM(IK22,IL22)&gt;0,SUM(IK22,IL22),"")</f>
        <v/>
      </c>
      <c r="IO22" s="78" t="str">
        <f>IF(SUM(IC22,IG22)&gt;0,SUM(IC22,IG22),"")</f>
        <v/>
      </c>
      <c r="IP22" s="78" t="str">
        <f>IF(SUM(IB22:IC22,IE22:IG22,II22)-SUM(ID22,IH22)&gt;0,SUM(IB22:IC22,IE22:IG22,II22)-SUM(ID22,IH22),"")</f>
        <v/>
      </c>
      <c r="IQ22" s="78" t="str">
        <f>IF(SUM(IK22,IP22)&gt;0,SUM(IK22,IP22),"")</f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>IF(SUM(IS22,IW22)&gt;0,SUM(IS22,IW22),"")</f>
        <v/>
      </c>
      <c r="JM22" s="19" t="str">
        <f>IF(SUM(IR22:IS22,IU22:IW22,IY22)-IT22-IX22&gt;0,SUM(IR22:IS22,IU22:IW22,IY22)-IT22-IX22,"")</f>
        <v/>
      </c>
      <c r="JN22" s="19" t="str">
        <f>IF(SUM(IZ22:JA22,JC22)-JB22&gt;0,SUM(IZ22:JA22,JC22)-JB22,"")</f>
        <v/>
      </c>
      <c r="JO22" s="19" t="str">
        <f>IF(SUM(IS22,IW22,JA22)&gt;0,SUM(IS22,IW22,JA22),"")</f>
        <v/>
      </c>
      <c r="JP22" s="19" t="str">
        <f>IF(SUM(JM22,JN22)&gt;0,SUM(JM22,JN22),"")</f>
        <v/>
      </c>
      <c r="JQ22" s="19" t="str">
        <f>IF(SUM(JE22,JI22)&gt;0,SUM(JE22,JI22),"")</f>
        <v/>
      </c>
      <c r="JR22" s="19" t="str">
        <f>IF(SUM(JD22:JE22,JG22:JI22,JK22)-SUM(JF22,JJ22)&gt;0,SUM(JD22:JE22,JG22:JI22,JK22)-SUM(JF22,JJ22),"")</f>
        <v/>
      </c>
      <c r="JS22" s="19" t="str">
        <f>IF(SUM(JM22,JR22)&gt;0,SUM(JM22,JR22),"")</f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>IF(SUM(JU22,JY22)&gt;0,SUM(JU22,JY22),"")</f>
        <v/>
      </c>
      <c r="KO22" s="78" t="str">
        <f>IF(SUM(JT22:JU22,JW22:JY22,KA22)-JV22-JZ22&gt;0,SUM(JT22:JU22,JW22:JY22,KA22)-JV22-JZ22,"")</f>
        <v/>
      </c>
      <c r="KP22" s="78" t="str">
        <f>IF(SUM(KB22:KC22,KE22)-KD22&gt;0,SUM(KB22:KC22,KE22)-KD22,"")</f>
        <v/>
      </c>
      <c r="KQ22" s="78" t="str">
        <f>IF(SUM(JU22,JY22,KC22)&gt;0,SUM(JU22,JY22,KC22),"")</f>
        <v/>
      </c>
      <c r="KR22" s="78" t="str">
        <f>IF(SUM(KO22,KP22)&gt;0,SUM(KO22,KP22),"")</f>
        <v/>
      </c>
      <c r="KS22" s="78" t="str">
        <f>IF(SUM(KG22,KK22)&gt;0,SUM(KG22,KK22),"")</f>
        <v/>
      </c>
      <c r="KT22" s="78" t="str">
        <f>IF(SUM(KF22:KG22,KI22:KK22,KM22)-SUM(KH22,KL22)&gt;0,SUM(KF22:KG22,KI22:KK22,KM22)-SUM(KH22,KL22),"")</f>
        <v/>
      </c>
      <c r="KU22" s="78" t="str">
        <f>IF(SUM(KO22,KT22)&gt;0,SUM(KO22,KT22),"")</f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>IF(SUM(KW22,LA22)&gt;0,SUM(KW22,LA22),"")</f>
        <v/>
      </c>
      <c r="LQ22" s="19" t="str">
        <f>IF(SUM(KV22:KW22,KY22:LA22,LC22)-KX22-LB22&gt;0,SUM(KV22:KW22,KY22:LA22,LC22)-KX22-LB22,"")</f>
        <v/>
      </c>
      <c r="LR22" s="19" t="str">
        <f>IF(SUM(LD22:LE22,LG22)-LF22&gt;0,SUM(LD22:LE22,LG22)-LF22,"")</f>
        <v/>
      </c>
      <c r="LS22" s="19" t="str">
        <f>IF(SUM(KW22,LA22,LE22)&gt;0,SUM(KW22,LA22,LE22),"")</f>
        <v/>
      </c>
      <c r="LT22" s="19" t="str">
        <f>IF(SUM(LQ22,LR22)&gt;0,SUM(LQ22,LR22),"")</f>
        <v/>
      </c>
      <c r="LU22" s="19" t="str">
        <f>IF(SUM(LI22,LM22)&gt;0,SUM(LI22,LM22),"")</f>
        <v/>
      </c>
      <c r="LV22" s="19" t="str">
        <f>IF(SUM(LH22:LI22,LK22:LM22,LO22)-SUM(LJ22,LN22)&gt;0,SUM(LH22:LI22,LK22:LM22,LO22)-SUM(LJ22,LN22),"")</f>
        <v/>
      </c>
      <c r="LW22" s="19" t="str">
        <f>IF(SUM(LQ22,LV22)&gt;0,SUM(LQ22,LV22),"")</f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>IF(SUM(LY22,MC22)&gt;0,SUM(LY22,MC22),"")</f>
        <v/>
      </c>
      <c r="MS22" s="78" t="str">
        <f>IF(SUM(LX22:LY22,MA22:MC22,ME22)-LZ22-MD22&gt;0,SUM(LX22:LY22,MA22:MC22,ME22)-LZ22-MD22,"")</f>
        <v/>
      </c>
      <c r="MT22" s="78" t="str">
        <f>IF(SUM(MF22:MG22,MI22)-MH22&gt;0,SUM(MF22:MG22,MI22)-MH22,"")</f>
        <v/>
      </c>
      <c r="MU22" s="78" t="str">
        <f>IF(SUM(LY22,MC22,MG22)&gt;0,SUM(LY22,MC22,MG22),"")</f>
        <v/>
      </c>
      <c r="MV22" s="78" t="str">
        <f>IF(SUM(MS22,MT22)&gt;0,SUM(MS22,MT22),"")</f>
        <v/>
      </c>
      <c r="MW22" s="78" t="str">
        <f>IF(SUM(MK22,MO22)&gt;0,SUM(MK22,MO22),"")</f>
        <v/>
      </c>
      <c r="MX22" s="78" t="str">
        <f>IF(SUM(MJ22:MK22,MM22:MO22,MQ22)-SUM(ML22,MP22)&gt;0,SUM(MJ22:MK22,MM22:MO22,MQ22)-SUM(ML22,MP22),"")</f>
        <v/>
      </c>
      <c r="MY22" s="78" t="str">
        <f>IF(SUM(MS22,MX22)&gt;0,SUM(MS22,MX22),"")</f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>IF(SUM(NA22,NE22)&gt;0,SUM(NA22,NE22),"")</f>
        <v/>
      </c>
      <c r="NU22" s="19" t="str">
        <f>IF(SUM(MZ22:NA22,NC22:NE22,NG22)-NB22-NF22&gt;0,SUM(MZ22:NA22,NC22:NE22,NG22)-NB22-NF22,"")</f>
        <v/>
      </c>
      <c r="NV22" s="19" t="str">
        <f>IF(SUM(NH22:NI22,NK22)-NJ22&gt;0,SUM(NH22:NI22,NK22)-NJ22,"")</f>
        <v/>
      </c>
      <c r="NW22" s="19" t="str">
        <f>IF(SUM(NA22,NE22,NI22)&gt;0,SUM(NA22,NE22,NI22),"")</f>
        <v/>
      </c>
      <c r="NX22" s="19" t="str">
        <f>IF(SUM(NU22,NV22)&gt;0,SUM(NU22,NV22),"")</f>
        <v/>
      </c>
      <c r="NY22" s="19" t="str">
        <f>IF(SUM(NM22,NQ22)&gt;0,SUM(NM22,NQ22),"")</f>
        <v/>
      </c>
      <c r="NZ22" s="19" t="str">
        <f>IF(SUM(NL22:NM22,NO22:NQ22,NS22)-SUM(NN22,NR22)&gt;0,SUM(NL22:NM22,NO22:NQ22,NS22)-SUM(NN22,NR22),"")</f>
        <v/>
      </c>
      <c r="OA22" s="19" t="str">
        <f>IF(SUM(NU22,NZ22)&gt;0,SUM(NU22,NZ22),"")</f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>IF(SUM(OC22,OG22)&gt;0,SUM(OC22,OG22),"")</f>
        <v/>
      </c>
      <c r="OW22" s="78" t="str">
        <f>IF(SUM(OB22:OC22,OE22:OG22,OI22)-OD22-OH22&gt;0,SUM(OB22:OC22,OE22:OG22,OI22)-OD22-OH22,"")</f>
        <v/>
      </c>
      <c r="OX22" s="78" t="str">
        <f>IF(SUM(OJ22:OK22,OM22)-OL22&gt;0,SUM(OJ22:OK22,OM22)-OL22,"")</f>
        <v/>
      </c>
      <c r="OY22" s="78" t="str">
        <f>IF(SUM(OC22,OG22,OK22)&gt;0,SUM(OC22,OG22,OK22),"")</f>
        <v/>
      </c>
      <c r="OZ22" s="78" t="str">
        <f>IF(SUM(OW22,OX22)&gt;0,SUM(OW22,OX22),"")</f>
        <v/>
      </c>
      <c r="PA22" s="78" t="str">
        <f>IF(SUM(OO22,OS22)&gt;0,SUM(OO22,OS22),"")</f>
        <v/>
      </c>
      <c r="PB22" s="78" t="str">
        <f>IF(SUM(ON22:OO22,OQ22:OS22,OU22)-SUM(OP22,OT22)&gt;0,SUM(ON22:OO22,OQ22:OS22,OU22)-SUM(OP22,OT22),"")</f>
        <v/>
      </c>
      <c r="PC22" s="78" t="str">
        <f>IF(SUM(OW22,PB22)&gt;0,SUM(OW22,PB22),"")</f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>IF(SUM(PE22,PI22)&gt;0,SUM(PE22,PI22),"")</f>
        <v/>
      </c>
      <c r="PY22" s="19" t="str">
        <f>IF(SUM(PD22:PE22,PG22:PI22,PK22)-PF22-PJ22&gt;0,SUM(PD22:PE22,PG22:PI22,PK22)-PF22-PJ22,"")</f>
        <v/>
      </c>
      <c r="PZ22" s="19" t="str">
        <f>IF(SUM(PL22:PM22,PO22)-PN22&gt;0,SUM(PL22:PM22,PO22)-PN22,"")</f>
        <v/>
      </c>
      <c r="QA22" s="19" t="str">
        <f>IF(SUM(PE22,PI22,PM22)&gt;0,SUM(PE22,PI22,PM22),"")</f>
        <v/>
      </c>
      <c r="QB22" s="19" t="str">
        <f>IF(SUM(PY22,PZ22)&gt;0,SUM(PY22,PZ22),"")</f>
        <v/>
      </c>
      <c r="QC22" s="19" t="str">
        <f>IF(SUM(PQ22,PU22)&gt;0,SUM(PQ22,PU22),"")</f>
        <v/>
      </c>
      <c r="QD22" s="19" t="str">
        <f>IF(SUM(PP22:PQ22,PS22:PU22,PW22)-SUM(PR22,PV22)&gt;0,SUM(PP22:PQ22,PS22:PU22,PW22)-SUM(PR22,PV22),"")</f>
        <v/>
      </c>
      <c r="QE22" s="19" t="str">
        <f>IF(SUM(PY22,QD22)&gt;0,SUM(PY22,QD22),"")</f>
        <v/>
      </c>
      <c r="QF22" s="37">
        <f>IF($CV22="P",CB22,(CB22+AY22)/2)</f>
        <v>9.4</v>
      </c>
      <c r="QG22" s="37">
        <f>IF($CV22="P",CC22,(CC22+AZ22)/2)</f>
        <v>3</v>
      </c>
      <c r="QH22" s="37">
        <f>IF($CV22="P",CD22,(CD22+BA22)/2)</f>
        <v>0</v>
      </c>
      <c r="QI22" s="37">
        <f>IF($CV22="P",CE22,(CE22+BB22)/2)</f>
        <v>0</v>
      </c>
      <c r="QJ22" s="37">
        <f>IF($CV22="P",CF22,(CF22+BC22)/2)</f>
        <v>9.4</v>
      </c>
      <c r="QK22" s="37">
        <f>IF($CV22="P",CG22,(CG22+BD22)/2)</f>
        <v>2.8</v>
      </c>
      <c r="QL22" s="37">
        <f>IF($CV22="P",CH22,(CH22+BE22)/2)</f>
        <v>0.1</v>
      </c>
      <c r="QM22" s="37">
        <f>IF($CV22="P",CI22,(CI22+BF22)/2)</f>
        <v>0</v>
      </c>
      <c r="QN22" s="37">
        <f>IF($CV22="P",CJ22,(CJ22+BG22)/2)</f>
        <v>9.25</v>
      </c>
      <c r="QO22" s="37">
        <f>IF($CV22="P",CK22,(CK22+BH22)/2)</f>
        <v>1.95</v>
      </c>
      <c r="QP22" s="37">
        <f>IF($CV22="P",CL22,(CL22+BI22)/2)</f>
        <v>0</v>
      </c>
      <c r="QQ22" s="37">
        <f>IF($CV22="P",CM22,(CM22+BJ22)/2)</f>
        <v>0</v>
      </c>
      <c r="QR22" s="37">
        <f>IF($CV22="P",CN22,(CN22+BK22)/2)</f>
        <v>9.1</v>
      </c>
      <c r="QS22" s="37">
        <f>IF($CV22="P",CO22,(CO22+BL22)/2)</f>
        <v>2.6</v>
      </c>
      <c r="QT22" s="37">
        <f>IF($CV22="P",CP22,(CP22+BM22)/2)</f>
        <v>0</v>
      </c>
      <c r="QU22" s="37">
        <f>IF($CV22="P",CQ22,(CQ22+BN22)/2)</f>
        <v>0</v>
      </c>
      <c r="QV22" s="37">
        <f>IF($CV22="P",CR22,(CR22+BO22)/2)</f>
        <v>9.0500000000000007</v>
      </c>
      <c r="QW22" s="37">
        <f>IF($CV22="P",CS22,(CS22+BP22)/2)</f>
        <v>3</v>
      </c>
      <c r="QX22" s="37">
        <f>IF($CV22="P",CT22,(CT22+BQ22)/2)</f>
        <v>0.4</v>
      </c>
      <c r="QY22" s="37">
        <f>IF($CV22="P",CU22,(CU22+BR22)/2)</f>
        <v>0</v>
      </c>
      <c r="QZ22" s="44" t="s">
        <v>46</v>
      </c>
      <c r="RA22" s="78">
        <f>IF(SUM(QG22,QK22)&gt;0,SUM(QG22,QK22),"")</f>
        <v>5.8</v>
      </c>
      <c r="RB22" s="78">
        <f>IF(SUM(QF22:QG22,QI22:QK22,QM22)-QH22-QL22&gt;0,SUM(QF22:QG22,QI22:QK22,QM22)-QH22-QL22,"")</f>
        <v>24.5</v>
      </c>
      <c r="RC22" s="78">
        <f>IF(SUM(QN22:QO22,QQ22)-QP22&gt;0,SUM(QN22:QO22,QQ22)-QP22,"")</f>
        <v>11.2</v>
      </c>
      <c r="RD22" s="78">
        <f>IF(SUM(QG22,QK22,QO22)&gt;0,SUM(QG22,QK22,QO22),"")</f>
        <v>7.75</v>
      </c>
      <c r="RE22" s="78">
        <f>IF(SUM(RB22,RC22)&gt;0,SUM(RB22,RC22),"")</f>
        <v>35.700000000000003</v>
      </c>
      <c r="RF22" s="78">
        <f>IF(SUM(QS22,QW22)&gt;0,SUM(QS22,QW22),"")</f>
        <v>5.6</v>
      </c>
      <c r="RG22" s="78">
        <f>IF(SUM(QR22:QS22,QU22:QW22,QY22)-SUM(QT22,QX22)&gt;0,SUM(QR22:QS22,QU22:QW22,QY22)-SUM(QT22,QX22),"")</f>
        <v>23.35</v>
      </c>
      <c r="RH22" s="78">
        <f>IF(SUM(RB22,RG22)&gt;0,SUM(RB22,RG22),"")</f>
        <v>47.85</v>
      </c>
    </row>
    <row r="23" spans="1:476" x14ac:dyDescent="0.2">
      <c r="A23" s="5" t="str">
        <f>IF(AND(F23="P",G23="P"),SUMPRODUCT((F$4:F$32="P")*(G$4:G$32="P")*(E$4:E$32&gt;E23))+1,IF(G23="P",SUMPRODUCT((F$4:F$32="")*(G$4:G$32="P")*(E$4:E$32&gt;E23))+1+SUMPRODUCT((F$4:F$32="P")*(G$4:G$32="P")),""))</f>
        <v/>
      </c>
      <c r="B23" s="77" t="s">
        <v>151</v>
      </c>
      <c r="C23" s="5" t="s">
        <v>3</v>
      </c>
      <c r="D23" s="5">
        <v>2002</v>
      </c>
      <c r="E23" s="15">
        <f>SUM(I23:S23)+SUM(I23:O23)*0.0000001+SUM(I23)*0.0000000000001</f>
        <v>178.00001318000437</v>
      </c>
      <c r="F23" s="3" t="str">
        <f>IF(OR(AND(AQ23&gt;=AX$34,AR23&gt;=AX$38,AQ23&lt;&gt;"",AP23=""),AND(AV23&gt;=AX$34,AW23&gt;=AX$38,AV23&lt;&gt;"",AP23=""),AND(BT23&gt;=CA$34,BU23&gt;=CA$38,BT23&lt;&gt;"",BS23=""),AND(BY23&gt;=CA$34,BZ23&gt;=CA$38,BY23&lt;&gt;"",BS23=""),AND(CW23&gt;=DD$34,CX23&gt;=DD$38,CW23&lt;&gt;"",CV23=""),AND(DB23&gt;=DD$34,DC23&gt;=DD$38,DB23&lt;&gt;""),AND(EB23&gt;=EI$34,EC23&gt;=EI$38,EB23&lt;&gt;""),AND(EG23&gt;=EI$34,EH23&gt;=EI$38,EG23&lt;&gt;""),AND(FD23&gt;=FK$34,FE23&gt;=FK$38,FD23&lt;&gt;""),AND(FI23&gt;=FK$34,FJ23&gt;=FK$38,FI23&lt;&gt;""),AND(GF23&gt;=GM$34,GG23&gt;=GM$38,GF23&lt;&gt;""),AND(GK23&gt;=GM$34,GL23&gt;=GM$38,GK23&lt;&gt;""),AND(HH23&gt;=HO$34,HI23&gt;=HO$38,HH23&lt;&gt;""),AND(HM23&gt;=HO$34,HN23&gt;=HO$38,HM23&lt;&gt;""),AND(IJ23&gt;=IQ$34,IK23&gt;=IQ$38,IJ23&lt;&gt;""),AND(IO23&gt;=IQ$34,IP23&gt;=IQ$38,IO23&lt;&gt;""),AND(JL23&gt;=JS$34,JM23&gt;=JS$38,JL23&lt;&gt;""),AND(JQ23&gt;=JS$34,JR23&gt;=JS$38,JQ23&lt;&gt;""),AND(KN23&gt;=KU$34,KO23&gt;=KU$38,KN23&lt;&gt;""),AND(KS23&gt;=KU$34,KT23&gt;=KU$38,KS23&lt;&gt;""),AND(LP23&gt;=LW$34,LQ23&gt;=LW$38,LP23&lt;&gt;""),AND(LU23&gt;=LW$34,LV23&gt;=LW$38,LU23&lt;&gt;""),AND(MR23&gt;=MY$34,MS23&gt;=MY$38,MR23&lt;&gt;""),AND(MW23&gt;=MY$34,MX23&gt;=MY$38,MW23&lt;&gt;""),AND(NT23&gt;=OA$34,NU23&gt;=OA$38,NT23&lt;&gt;""),AND(NY23&gt;=OA$34,NZ23&gt;=OA$38,NY23&lt;&gt;""),AND(OV23&gt;=PC$34,OW23&gt;=PC$38,OV23&lt;&gt;""),AND(PA23&gt;=PC$34,PB23&gt;=PC$38,PA23&lt;&gt;""),AND(PX23&gt;=QE$34,PY23&gt;=QE$38,PX23&lt;&gt;""),AND(QC23&gt;=QE$34,QD23&gt;=QE$38,QC23&lt;&gt;"")),"P","")</f>
        <v/>
      </c>
      <c r="G23" s="3" t="str">
        <f>IF(OR(AND(AR23&gt;=AX$38,AR23&lt;&gt;"",AP23=""),AND(AW23&gt;=AX$38,AW23&lt;&gt;"",AP23=""),AND(BU23&gt;=CA$38,BU23&lt;&gt;"",BS23=""),AND(BZ23&gt;=CA$38,BZ23&lt;&gt;"",BS23=""),AND(CX23&gt;=DD$38,CX23&lt;&gt;"",CV23=""),AND(DC23&gt;=DD$38,DC23&lt;&gt;"",CV23=""),AND(EC23&gt;=EI$38,EC23&lt;&gt;""),AND(EH23&gt;=EI$38,EH23&lt;&gt;""),AND(FE23&gt;=FK$38,FE23&lt;&gt;""),AND(FJ23&gt;=FK$38,FJ23&lt;&gt;""),AND(GG23&gt;=GM$38,GG23&lt;&gt;""),AND(GL23&gt;=GM$38,GL23&lt;&gt;""),AND(HI23&gt;=HO$38,HI23&lt;&gt;""),AND(HN23&gt;=HO$38,HN23&lt;&gt;""),AND(IK23&gt;=IQ$38,IK23&lt;&gt;""),AND(IP23&gt;=IQ$38,IP23&lt;&gt;""),AND(JM23&gt;=JS$38,JM23&lt;&gt;""),AND(JR23&gt;=JS$38,JR23&lt;&gt;""),AND(KO23&gt;=KU$38,KO23&lt;&gt;""),AND(KT23&gt;=KU$38,KT23&lt;&gt;""),AND(LQ23&gt;=LW$38,LQ23&lt;&gt;""),AND(LV23&gt;=LW$38,LV23&lt;&gt;""),AND(MS23&gt;=MY$38,MS23&lt;&gt;""),AND(MX23&gt;=MY$38,MX23&lt;&gt;""),AND(NU23&gt;=OA$38,NU23&lt;&gt;""),AND(NZ23&gt;=OA$38,NZ23&lt;&gt;""),AND(OW23&gt;=PC$38,OW23&lt;&gt;""),AND(PB23&gt;=PC$38,PB23&lt;&gt;""),AND(PY23&gt;=QE$38,PY23&lt;&gt;""),AND(QD23&gt;=QE$38,QD23&lt;&gt;"")),"P","")</f>
        <v/>
      </c>
      <c r="H23" s="66" t="str">
        <f>IF(AND(G23="P",F23=""),"No DD",IF(OR(AND(AT23&gt;=AX$37,AU23&gt;=AX$41,AT23&lt;&gt;"",AP23=""),AND(BW23&gt;=CA$37,BX23&gt;=CA$41,BW23&lt;&gt;"",BS23=""),AND(CZ23&gt;=DD$37,DA23&gt;=DD$41,CZ23&lt;&gt;"",CV23=""),AND(EE23&gt;=EI$37,EF23&gt;=EI$41,EE23&lt;&gt;""),AND(FG23&gt;=FK$37,FH23&gt;=FK$41,FG23&lt;&gt;""),AND(GI23&gt;=GM$37,GJ23&gt;=GM$41,GI23&lt;&gt;""),AND(HK23&gt;=HO$37,HL23&gt;=HO$41,HK23&lt;&gt;""),AND(IM23&gt;=IQ$37,IN23&gt;=IQ$41,IM23&lt;&gt;""),AND(JO23&gt;=JS$37,JP23&gt;=JS$41,JO23&lt;&gt;""),AND(KQ23&gt;=KU$37,KR23&gt;=KU$41,KQ23&lt;&gt;""),AND(LS23&gt;=LW$37,LT23&gt;=LW$41,LS23&lt;&gt;""),AND(MU23&gt;=MY$37,MV23&gt;=MY$41,MU23&lt;&gt;""),AND(NW23&gt;=OA$37,NX23&gt;=OA$41,NW23&lt;&gt;""),AND(OY23&gt;=PC$37,OZ23&gt;=PC$41,OY23&lt;&gt;""),AND(QA23&gt;=QE$37,QB23&gt;=QE$41,QA23&lt;&gt;"")),"Merit",IF(OR(AND(AT23&gt;=AX$36,AU23&gt;=AX$40,AT23&lt;&gt;"",AP23=""),AND(BW23&gt;=CA$36,BX23&gt;=CA$40,BW23&lt;&gt;"",BS23=""),AND(CZ23&gt;=DD$36,DA23&gt;=DD$40,CZ23&lt;&gt;"",CV23=""),AND(EE23&gt;=EI$36,EF23&gt;=EI$40,EE23&lt;&gt;""),AND(FG23&gt;=FK$36,FH23&gt;=FK$40,FG23&lt;&gt;""),AND(GI23&gt;=GM$36,GJ23&gt;=GM$40,GI23&lt;&gt;""),AND(HK23&gt;=HO$36,HL23&gt;=HO$40,HK23&lt;&gt;""),AND(IM23&gt;=IQ$36,IN23&gt;=IQ$40,IM23&lt;&gt;""),AND(JO23&gt;=JS$36,JP23&gt;=JS$40,JO23&lt;&gt;""),AND(KQ23&gt;=KU$36,KR23&gt;=KU$40,KQ23&lt;&gt;""),AND(LS23&gt;=LW$36,LT23&gt;=LW$40,LS23&lt;&gt;""),AND(MU23&gt;=MY$36,MV23&gt;=MY$40,MU23&lt;&gt;""),AND(NW23&gt;=OA$36,NX23&gt;=OA$40,NW23&lt;&gt;""),AND(OY23&gt;=PC$36,OZ23&gt;=PC$40,OY23&lt;&gt;""),AND(QA23&gt;=QE$36,QB23&gt;=QE$40,QA23&lt;&gt;"")),"Excellence",IF(F23="P","National Team",""))))</f>
        <v/>
      </c>
      <c r="I23" s="14">
        <f>IF(COUNT(AR23,BU23,CX23)&gt;0,LARGE((AR23,BU23,CX23),1),0)</f>
        <v>43.800000000000004</v>
      </c>
      <c r="J23" s="14" t="str">
        <f>IF(I23=0,"",IF(I23=CX23,$CB$1,IF(I23=BU23,$AY$1,IF(I23=AR23,$V$1,""))))</f>
        <v>2022 Nationals</v>
      </c>
      <c r="K23" s="14">
        <f>IF(COUNT(AR23,BU23,CX23)&gt;1,LARGE((AR23,BU23,CX23),2),0)</f>
        <v>41.9</v>
      </c>
      <c r="L23" s="14" t="str">
        <f>IF(K23=0,"",IF(K23=CX23,$CB$1,IF(K23=BU23,$AY$1,IF(K23=AR23,$V$1,""))))</f>
        <v>2022 3rd Domestic Trial</v>
      </c>
      <c r="M23" s="14">
        <f>IF(COUNT(AS23,BV23,CY23)&gt;0,LARGE((AS23,BV23,CY23),1),0)</f>
        <v>23.1</v>
      </c>
      <c r="N23" s="14" t="str">
        <f>IF(M23=0,"",IF(M23=CY23,$CB$1,IF(M23=BV23,$AY$1,IF(M23=AS23,$V$1,""))))</f>
        <v>2022 Nationals</v>
      </c>
      <c r="O23" s="14">
        <f>IF(COUNT(AS23,BV23,CY23)&gt;1,LARGE((AS23,BV23,CY23),2),0)</f>
        <v>23</v>
      </c>
      <c r="P23" s="14" t="str">
        <f>IF(O23=0,"",IF(O23=CY23,$CB$1,IF(O23=BV23,$AY$1,IF(O23=AS23,$V$1,""))))</f>
        <v>2022 3rd Domestic Trial</v>
      </c>
      <c r="Q23" s="14">
        <f>IF(MAX(AW23,BZ23,DC23)&gt;0,MAX(AW23,BZ23,DC23),0)</f>
        <v>46.199999999999989</v>
      </c>
      <c r="R23" s="14" t="str">
        <f>IF(Q23=0,"",IF(Q23=DC23,$CB$1,IF(Q23=BZ23,$AY$1,IF(Q23=AW23,$V$1,""))))</f>
        <v>2022 3rd Domestic Trial</v>
      </c>
      <c r="S23" s="14" t="str">
        <f>IF(MAX(DE23:DG23)&gt;0,MAX(DE23:DG23),"")</f>
        <v/>
      </c>
      <c r="T23" s="19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>IF(SUM(W23,AA23)&gt;0,SUM(W23,AA23),"")</f>
        <v/>
      </c>
      <c r="AR23" s="78" t="str">
        <f>IF(SUM(V23:W23,Y23:AA23,AC23)-X23-AB23&gt;0,SUM(V23:W23,Y23:AA23,AC23)-X23-AB23,"")</f>
        <v/>
      </c>
      <c r="AS23" s="78" t="str">
        <f>IF(SUM(AD23:AE23,AG23)-AF23&gt;0,SUM(AD23:AE23,AG23)-AF23,"")</f>
        <v/>
      </c>
      <c r="AT23" s="78" t="str">
        <f>IF(SUM(W23,AA23,AE23)&gt;0,SUM(W23,AA23,AE23),"")</f>
        <v/>
      </c>
      <c r="AU23" s="78" t="str">
        <f>IF(SUM(AR23,AS23)&gt;0,SUM(AR23,AS23),"")</f>
        <v/>
      </c>
      <c r="AV23" s="78" t="str">
        <f>IF(SUM(AI23,AM23)&gt;0,SUM(AI23,AM23),"")</f>
        <v/>
      </c>
      <c r="AW23" s="78" t="str">
        <f>IF(SUM(AH23:AI23,AK23:AM23,AO23)-SUM(AJ23,AN23)&gt;0,SUM(AH23:AI23,AK23:AM23,AO23)-SUM(AJ23,AN23),"")</f>
        <v/>
      </c>
      <c r="AX23" s="78" t="str">
        <f>IF(SUM(AR23,AW23)&gt;0,SUM(AR23,AW23),"")</f>
        <v/>
      </c>
      <c r="AY23" s="25">
        <v>18.8</v>
      </c>
      <c r="AZ23" s="25">
        <v>3.5</v>
      </c>
      <c r="BA23" s="25">
        <v>0</v>
      </c>
      <c r="BB23" s="25">
        <v>0</v>
      </c>
      <c r="BC23" s="25">
        <v>18.600000000000001</v>
      </c>
      <c r="BD23" s="25">
        <v>3.5</v>
      </c>
      <c r="BE23" s="25">
        <v>0.6</v>
      </c>
      <c r="BF23" s="25">
        <v>0</v>
      </c>
      <c r="BG23" s="25">
        <v>18.8</v>
      </c>
      <c r="BH23" s="25">
        <v>4.3</v>
      </c>
      <c r="BI23" s="25">
        <v>0</v>
      </c>
      <c r="BJ23" s="25">
        <v>0</v>
      </c>
      <c r="BK23" s="25">
        <v>18</v>
      </c>
      <c r="BL23" s="25">
        <v>4.4000000000000004</v>
      </c>
      <c r="BM23" s="25">
        <v>0.6</v>
      </c>
      <c r="BN23" s="25">
        <v>0</v>
      </c>
      <c r="BO23" s="25">
        <v>16.100000000000001</v>
      </c>
      <c r="BP23" s="25">
        <v>5.2</v>
      </c>
      <c r="BQ23" s="25">
        <v>0.8</v>
      </c>
      <c r="BR23" s="25">
        <v>0</v>
      </c>
      <c r="BS23" s="45"/>
      <c r="BT23" s="19">
        <f>IF(SUM(AZ23,BD23)&gt;0,SUM(AZ23,BD23),"")</f>
        <v>7</v>
      </c>
      <c r="BU23" s="19">
        <f>IF(SUM(AY23:AZ23,BB23:BD23,BF23)-BA23-BE23&gt;0,SUM(AY23:AZ23,BB23:BD23,BF23)-BA23-BE23,"")</f>
        <v>43.800000000000004</v>
      </c>
      <c r="BV23" s="19">
        <f>IF(SUM(BG23:BH23,BJ23)-BI23&gt;0,SUM(BG23:BH23,BJ23)-BI23,"")</f>
        <v>23.1</v>
      </c>
      <c r="BW23" s="19">
        <f>IF(SUM(AZ23,BD23,BH23)&gt;0,SUM(AZ23,BD23,BH23),"")</f>
        <v>11.3</v>
      </c>
      <c r="BX23" s="19">
        <f>IF(SUM(BU23,BV23)&gt;0,SUM(BU23,BV23),"")</f>
        <v>66.900000000000006</v>
      </c>
      <c r="BY23" s="19">
        <f>IF(SUM(BL23,BP23)&gt;0,SUM(BL23,BP23),"")</f>
        <v>9.6000000000000014</v>
      </c>
      <c r="BZ23" s="19">
        <f>IF(SUM(BK23:BL23,BN23:BP23,BR23)-SUM(BM23,BQ23)&gt;0,SUM(BK23:BL23,BN23:BP23,BR23)-SUM(BM23,BQ23),"")</f>
        <v>42.300000000000004</v>
      </c>
      <c r="CA23" s="19">
        <f>IF(SUM(BU23,BZ23)&gt;0,SUM(BU23,BZ23),"")</f>
        <v>86.100000000000009</v>
      </c>
      <c r="CB23" s="26">
        <v>17.2</v>
      </c>
      <c r="CC23" s="26">
        <v>2.8</v>
      </c>
      <c r="CD23" s="26">
        <v>0</v>
      </c>
      <c r="CE23" s="26">
        <v>0</v>
      </c>
      <c r="CF23" s="26">
        <v>18.100000000000001</v>
      </c>
      <c r="CG23" s="26">
        <v>4.8</v>
      </c>
      <c r="CH23" s="26">
        <v>1</v>
      </c>
      <c r="CI23" s="26">
        <v>0</v>
      </c>
      <c r="CJ23" s="26">
        <v>18.899999999999999</v>
      </c>
      <c r="CK23" s="26">
        <v>4.3</v>
      </c>
      <c r="CL23" s="26">
        <v>0.2</v>
      </c>
      <c r="CM23" s="26">
        <v>0</v>
      </c>
      <c r="CN23" s="26">
        <v>18.5</v>
      </c>
      <c r="CO23" s="26">
        <v>4.4000000000000004</v>
      </c>
      <c r="CP23" s="26">
        <v>0</v>
      </c>
      <c r="CQ23" s="26">
        <v>0</v>
      </c>
      <c r="CR23" s="26">
        <v>19.2</v>
      </c>
      <c r="CS23" s="26">
        <v>4.3</v>
      </c>
      <c r="CT23" s="26">
        <v>0.2</v>
      </c>
      <c r="CU23" s="26">
        <v>0</v>
      </c>
      <c r="CV23" s="44"/>
      <c r="CW23" s="78">
        <f>IF(SUM(CC23,CG23)&gt;0,SUM(CC23,CG23),"")</f>
        <v>7.6</v>
      </c>
      <c r="CX23" s="78">
        <f>IF(SUM(CB23:CC23,CE23:CG23,CI23)-CD23-CH23&gt;0,SUM(CB23:CC23,CE23:CG23,CI23)-CD23-CH23,"")</f>
        <v>41.9</v>
      </c>
      <c r="CY23" s="78">
        <f>IF(SUM(CJ23:CK23,CM23)-CL23&gt;0,SUM(CJ23:CK23,CM23)-CL23,"")</f>
        <v>23</v>
      </c>
      <c r="CZ23" s="78">
        <f>IF(SUM(CC23,CG23,CK23)&gt;0,SUM(CC23,CG23,CK23),"")</f>
        <v>11.899999999999999</v>
      </c>
      <c r="DA23" s="78">
        <f>IF(SUM(CX23,CY23)&gt;0,SUM(CX23,CY23),"")</f>
        <v>64.900000000000006</v>
      </c>
      <c r="DB23" s="78">
        <f>IF(SUM(CO23,CS23)&gt;0,SUM(CO23,CS23),"")</f>
        <v>8.6999999999999993</v>
      </c>
      <c r="DC23" s="78">
        <f>IF(SUM(CN23:CO23,CQ23:CS23,CU23)-SUM(CP23,CT23)&gt;0,SUM(CN23:CO23,CQ23:CS23,CU23)-SUM(CP23,CT23),"")</f>
        <v>46.199999999999989</v>
      </c>
      <c r="DD23" s="78">
        <f>IF(SUM(CX23,DC23)&gt;0,SUM(CX23,DC23),"")</f>
        <v>88.1</v>
      </c>
      <c r="DE23" s="79" t="str">
        <f>IF(K23&gt;=0.001,IF(MAX(EC23,FE23,GG23,HI23,IK23,JM23,KO23,LQ23,MS23,NU23,OW23,PY23)-IF(K23="",0,K23)&gt;0.001,MAX(EC23,FE23,GG23,HI23,IK23,JM23,KO23,LQ23,MS23,NU23,OW23,PY23)-IF(K23="",0,K23),""),"")</f>
        <v/>
      </c>
      <c r="DF23" s="79" t="str">
        <f>IF(O23&gt;=0.001,IF(MAX(ED23,FF23,GH23,HJ23,IL23,JN23,KP23,LR23,MT23,NV23,OX23,PZ23)-IF(O23="",0,O23)&gt;0.001,MAX(ED23,FF23,GH23,HJ23,IL23,JN23,KP23,LR23,MT23,NV23,OX23,PZ23)-IF(O23="",0,O23),""),"")</f>
        <v/>
      </c>
      <c r="DG23" s="79" t="str">
        <f>IF(Q23&gt;=0.001,IF(MAX(EH23,FJ23,GL23,HN23,IP23,JR23,KT23,LV23,MX23,NZ23,PB23,QD23)-IF(Q23="",0,Q23)&gt;0.001,MAX(EH23,FJ23,GL23,HN23,IP23,JR23,KT23,LV23,MX23,NZ23,PB23,QD23)-IF(Q23="",0,Q23),""),"")</f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>IF(SUM(DI23,DM23)&gt;0,SUM(DI23,DM23),"")</f>
        <v/>
      </c>
      <c r="EC23" s="78" t="str">
        <f>IF(SUM(DH23:DI23,DK23:DM23,DO23)-DJ23-DN23&gt;0,SUM(DH23:DI23,DK23:DM23,DO23)-DJ23-DN23,"")</f>
        <v/>
      </c>
      <c r="ED23" s="78" t="str">
        <f>IF(SUM(DP23:DQ23,DS23)-DR23&gt;0,SUM(DP23:DQ23,DS23)-DR23,"")</f>
        <v/>
      </c>
      <c r="EE23" s="78" t="str">
        <f>IF(SUM(DI23,DM23,DQ23)&gt;0,SUM(DI23,DM23,DQ23),"")</f>
        <v/>
      </c>
      <c r="EF23" s="78" t="str">
        <f>IF(SUM(EC23,ED23)&gt;0,SUM(EC23,ED23),"")</f>
        <v/>
      </c>
      <c r="EG23" s="78" t="str">
        <f>IF(SUM(DU23,DY23)&gt;0,SUM(DU23,DY23),"")</f>
        <v/>
      </c>
      <c r="EH23" s="78" t="str">
        <f>IF(SUM(DT23:DU23,DW23:DY23,EA23)-SUM(DV23,DZ23)&gt;0,SUM(DT23:DU23,DW23:DY23,EA23)-SUM(DV23,DZ23),"")</f>
        <v/>
      </c>
      <c r="EI23" s="78" t="str">
        <f>IF(SUM(EC23,EH23)&gt;0,SUM(EC23,EH23),"")</f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>IF(SUM(EK23,EO23)&gt;0,SUM(EK23,EO23),"")</f>
        <v/>
      </c>
      <c r="FE23" s="19" t="str">
        <f>IF(SUM(EJ23:EK23,EM23:EO23,EQ23)-EL23-EP23&gt;0,SUM(EJ23:EK23,EM23:EO23,EQ23)-EL23-EP23,"")</f>
        <v/>
      </c>
      <c r="FF23" s="19" t="str">
        <f>IF(SUM(ER23:ES23,EU23)-ET23&gt;0,SUM(ER23:ES23,EU23)-ET23,"")</f>
        <v/>
      </c>
      <c r="FG23" s="19" t="str">
        <f>IF(SUM(EK23,EO23,ES23)&gt;0,SUM(EK23,EO23,ES23),"")</f>
        <v/>
      </c>
      <c r="FH23" s="19" t="str">
        <f>IF(SUM(FE23,FF23)&gt;0,SUM(FE23,FF23),"")</f>
        <v/>
      </c>
      <c r="FI23" s="19" t="str">
        <f>IF(SUM(EW23,FA23)&gt;0,SUM(EW23,FA23),"")</f>
        <v/>
      </c>
      <c r="FJ23" s="19" t="str">
        <f>IF(SUM(EV23:EW23,EY23:FA23,FC23)-SUM(EX23,FB23)&gt;0,SUM(EV23:EW23,EY23:FA23,FC23)-SUM(EX23,FB23),"")</f>
        <v/>
      </c>
      <c r="FK23" s="19" t="str">
        <f>IF(SUM(FE23,FJ23)&gt;0,SUM(FE23,FJ23),"")</f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>IF(SUM(FM23,FQ23)&gt;0,SUM(FM23,FQ23),"")</f>
        <v/>
      </c>
      <c r="GG23" s="78" t="str">
        <f>IF(SUM(FL23:FM23,FO23:FQ23,FS23)-FN23-FR23&gt;0,SUM(FL23:FM23,FO23:FQ23,FS23)-FN23-FR23,"")</f>
        <v/>
      </c>
      <c r="GH23" s="78" t="str">
        <f>IF(SUM(FT23:FU23,FW23)-FV23&gt;0,SUM(FT23:FU23,FW23)-FV23,"")</f>
        <v/>
      </c>
      <c r="GI23" s="78" t="str">
        <f>IF(SUM(FM23,FQ23,FU23)&gt;0,SUM(FM23,FQ23,FU23),"")</f>
        <v/>
      </c>
      <c r="GJ23" s="78" t="str">
        <f>IF(SUM(GG23,GH23)&gt;0,SUM(GG23,GH23),"")</f>
        <v/>
      </c>
      <c r="GK23" s="78" t="str">
        <f>IF(SUM(FY23,GC23)&gt;0,SUM(FY23,GC23),"")</f>
        <v/>
      </c>
      <c r="GL23" s="78" t="str">
        <f>IF(SUM(FX23:FY23,GA23:GC23,GE23)-SUM(FZ23,GD23)&gt;0,SUM(FX23:FY23,GA23:GC23,GE23)-SUM(FZ23,GD23),"")</f>
        <v/>
      </c>
      <c r="GM23" s="78" t="str">
        <f>IF(SUM(GG23,GL23)&gt;0,SUM(GG23,GL23),"")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>IF(SUM(GO23,GS23)&gt;0,SUM(GO23,GS23),"")</f>
        <v/>
      </c>
      <c r="HI23" s="19" t="str">
        <f>IF(SUM(GN23:GO23,GQ23:GS23,GU23)-GP23-GT23&gt;0,SUM(GN23:GO23,GQ23:GS23,GU23)-GP23-GT23,"")</f>
        <v/>
      </c>
      <c r="HJ23" s="19" t="str">
        <f>IF(SUM(GV23:GW23,GY23)-GX23&gt;0,SUM(GV23:GW23,GY23)-GX23,"")</f>
        <v/>
      </c>
      <c r="HK23" s="19" t="str">
        <f>IF(SUM(GO23,GS23,GW23)&gt;0,SUM(GO23,GS23,GW23),"")</f>
        <v/>
      </c>
      <c r="HL23" s="19" t="str">
        <f>IF(SUM(HI23,HJ23)&gt;0,SUM(HI23,HJ23),"")</f>
        <v/>
      </c>
      <c r="HM23" s="19" t="str">
        <f>IF(SUM(HA23,HE23)&gt;0,SUM(HA23,HE23),"")</f>
        <v/>
      </c>
      <c r="HN23" s="19" t="str">
        <f>IF(SUM(GZ23:HA23,HC23:HE23,HG23)-SUM(HB23,HF23)&gt;0,SUM(GZ23:HA23,HC23:HE23,HG23)-SUM(HB23,HF23),"")</f>
        <v/>
      </c>
      <c r="HO23" s="19" t="str">
        <f>IF(SUM(HI23,HN23)&gt;0,SUM(HI23,HN23),"")</f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>IF(SUM(HQ23,HU23)&gt;0,SUM(HQ23,HU23),"")</f>
        <v/>
      </c>
      <c r="IK23" s="78" t="str">
        <f>IF(SUM(HP23:HQ23,HS23:HU23,HW23)-HR23-HV23&gt;0,SUM(HP23:HQ23,HS23:HU23,HW23)-HR23-HV23,"")</f>
        <v/>
      </c>
      <c r="IL23" s="78" t="str">
        <f>IF(SUM(HX23:HY23,IA23)-HZ23&gt;0,SUM(HX23:HY23,IA23)-HZ23,"")</f>
        <v/>
      </c>
      <c r="IM23" s="78" t="str">
        <f>IF(SUM(HQ23,HU23,HY23)&gt;0,SUM(HQ23,HU23,HY23),"")</f>
        <v/>
      </c>
      <c r="IN23" s="78" t="str">
        <f>IF(SUM(IK23,IL23)&gt;0,SUM(IK23,IL23),"")</f>
        <v/>
      </c>
      <c r="IO23" s="78" t="str">
        <f>IF(SUM(IC23,IG23)&gt;0,SUM(IC23,IG23),"")</f>
        <v/>
      </c>
      <c r="IP23" s="78" t="str">
        <f>IF(SUM(IB23:IC23,IE23:IG23,II23)-SUM(ID23,IH23)&gt;0,SUM(IB23:IC23,IE23:IG23,II23)-SUM(ID23,IH23),"")</f>
        <v/>
      </c>
      <c r="IQ23" s="78" t="str">
        <f>IF(SUM(IK23,IP23)&gt;0,SUM(IK23,IP23),"")</f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>IF(SUM(IS23,IW23)&gt;0,SUM(IS23,IW23),"")</f>
        <v/>
      </c>
      <c r="JM23" s="19" t="str">
        <f>IF(SUM(IR23:IS23,IU23:IW23,IY23)-IT23-IX23&gt;0,SUM(IR23:IS23,IU23:IW23,IY23)-IT23-IX23,"")</f>
        <v/>
      </c>
      <c r="JN23" s="19" t="str">
        <f>IF(SUM(IZ23:JA23,JC23)-JB23&gt;0,SUM(IZ23:JA23,JC23)-JB23,"")</f>
        <v/>
      </c>
      <c r="JO23" s="19" t="str">
        <f>IF(SUM(IS23,IW23,JA23)&gt;0,SUM(IS23,IW23,JA23),"")</f>
        <v/>
      </c>
      <c r="JP23" s="19" t="str">
        <f>IF(SUM(JM23,JN23)&gt;0,SUM(JM23,JN23),"")</f>
        <v/>
      </c>
      <c r="JQ23" s="19" t="str">
        <f>IF(SUM(JE23,JI23)&gt;0,SUM(JE23,JI23),"")</f>
        <v/>
      </c>
      <c r="JR23" s="19" t="str">
        <f>IF(SUM(JD23:JE23,JG23:JI23,JK23)-SUM(JF23,JJ23)&gt;0,SUM(JD23:JE23,JG23:JI23,JK23)-SUM(JF23,JJ23),"")</f>
        <v/>
      </c>
      <c r="JS23" s="19" t="str">
        <f>IF(SUM(JM23,JR23)&gt;0,SUM(JM23,JR23),"")</f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>IF(SUM(JU23,JY23)&gt;0,SUM(JU23,JY23),"")</f>
        <v/>
      </c>
      <c r="KO23" s="78" t="str">
        <f>IF(SUM(JT23:JU23,JW23:JY23,KA23)-JV23-JZ23&gt;0,SUM(JT23:JU23,JW23:JY23,KA23)-JV23-JZ23,"")</f>
        <v/>
      </c>
      <c r="KP23" s="78" t="str">
        <f>IF(SUM(KB23:KC23,KE23)-KD23&gt;0,SUM(KB23:KC23,KE23)-KD23,"")</f>
        <v/>
      </c>
      <c r="KQ23" s="78" t="str">
        <f>IF(SUM(JU23,JY23,KC23)&gt;0,SUM(JU23,JY23,KC23),"")</f>
        <v/>
      </c>
      <c r="KR23" s="78" t="str">
        <f>IF(SUM(KO23,KP23)&gt;0,SUM(KO23,KP23),"")</f>
        <v/>
      </c>
      <c r="KS23" s="78" t="str">
        <f>IF(SUM(KG23,KK23)&gt;0,SUM(KG23,KK23),"")</f>
        <v/>
      </c>
      <c r="KT23" s="78" t="str">
        <f>IF(SUM(KF23:KG23,KI23:KK23,KM23)-SUM(KH23,KL23)&gt;0,SUM(KF23:KG23,KI23:KK23,KM23)-SUM(KH23,KL23),"")</f>
        <v/>
      </c>
      <c r="KU23" s="78" t="str">
        <f>IF(SUM(KO23,KT23)&gt;0,SUM(KO23,KT23),"")</f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>IF(SUM(KW23,LA23)&gt;0,SUM(KW23,LA23),"")</f>
        <v/>
      </c>
      <c r="LQ23" s="19" t="str">
        <f>IF(SUM(KV23:KW23,KY23:LA23,LC23)-KX23-LB23&gt;0,SUM(KV23:KW23,KY23:LA23,LC23)-KX23-LB23,"")</f>
        <v/>
      </c>
      <c r="LR23" s="19" t="str">
        <f>IF(SUM(LD23:LE23,LG23)-LF23&gt;0,SUM(LD23:LE23,LG23)-LF23,"")</f>
        <v/>
      </c>
      <c r="LS23" s="19" t="str">
        <f>IF(SUM(KW23,LA23,LE23)&gt;0,SUM(KW23,LA23,LE23),"")</f>
        <v/>
      </c>
      <c r="LT23" s="19" t="str">
        <f>IF(SUM(LQ23,LR23)&gt;0,SUM(LQ23,LR23),"")</f>
        <v/>
      </c>
      <c r="LU23" s="19" t="str">
        <f>IF(SUM(LI23,LM23)&gt;0,SUM(LI23,LM23),"")</f>
        <v/>
      </c>
      <c r="LV23" s="19" t="str">
        <f>IF(SUM(LH23:LI23,LK23:LM23,LO23)-SUM(LJ23,LN23)&gt;0,SUM(LH23:LI23,LK23:LM23,LO23)-SUM(LJ23,LN23),"")</f>
        <v/>
      </c>
      <c r="LW23" s="19" t="str">
        <f>IF(SUM(LQ23,LV23)&gt;0,SUM(LQ23,LV23),"")</f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>IF(SUM(LY23,MC23)&gt;0,SUM(LY23,MC23),"")</f>
        <v/>
      </c>
      <c r="MS23" s="78" t="str">
        <f>IF(SUM(LX23:LY23,MA23:MC23,ME23)-LZ23-MD23&gt;0,SUM(LX23:LY23,MA23:MC23,ME23)-LZ23-MD23,"")</f>
        <v/>
      </c>
      <c r="MT23" s="78" t="str">
        <f>IF(SUM(MF23:MG23,MI23)-MH23&gt;0,SUM(MF23:MG23,MI23)-MH23,"")</f>
        <v/>
      </c>
      <c r="MU23" s="78" t="str">
        <f>IF(SUM(LY23,MC23,MG23)&gt;0,SUM(LY23,MC23,MG23),"")</f>
        <v/>
      </c>
      <c r="MV23" s="78" t="str">
        <f>IF(SUM(MS23,MT23)&gt;0,SUM(MS23,MT23),"")</f>
        <v/>
      </c>
      <c r="MW23" s="78" t="str">
        <f>IF(SUM(MK23,MO23)&gt;0,SUM(MK23,MO23),"")</f>
        <v/>
      </c>
      <c r="MX23" s="78" t="str">
        <f>IF(SUM(MJ23:MK23,MM23:MO23,MQ23)-SUM(ML23,MP23)&gt;0,SUM(MJ23:MK23,MM23:MO23,MQ23)-SUM(ML23,MP23),"")</f>
        <v/>
      </c>
      <c r="MY23" s="78" t="str">
        <f>IF(SUM(MS23,MX23)&gt;0,SUM(MS23,MX23),"")</f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>IF(SUM(NA23,NE23)&gt;0,SUM(NA23,NE23),"")</f>
        <v/>
      </c>
      <c r="NU23" s="19" t="str">
        <f>IF(SUM(MZ23:NA23,NC23:NE23,NG23)-NB23-NF23&gt;0,SUM(MZ23:NA23,NC23:NE23,NG23)-NB23-NF23,"")</f>
        <v/>
      </c>
      <c r="NV23" s="19" t="str">
        <f>IF(SUM(NH23:NI23,NK23)-NJ23&gt;0,SUM(NH23:NI23,NK23)-NJ23,"")</f>
        <v/>
      </c>
      <c r="NW23" s="19" t="str">
        <f>IF(SUM(NA23,NE23,NI23)&gt;0,SUM(NA23,NE23,NI23),"")</f>
        <v/>
      </c>
      <c r="NX23" s="19" t="str">
        <f>IF(SUM(NU23,NV23)&gt;0,SUM(NU23,NV23),"")</f>
        <v/>
      </c>
      <c r="NY23" s="19" t="str">
        <f>IF(SUM(NM23,NQ23)&gt;0,SUM(NM23,NQ23),"")</f>
        <v/>
      </c>
      <c r="NZ23" s="19" t="str">
        <f>IF(SUM(NL23:NM23,NO23:NQ23,NS23)-SUM(NN23,NR23)&gt;0,SUM(NL23:NM23,NO23:NQ23,NS23)-SUM(NN23,NR23),"")</f>
        <v/>
      </c>
      <c r="OA23" s="19" t="str">
        <f>IF(SUM(NU23,NZ23)&gt;0,SUM(NU23,NZ23),"")</f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>IF(SUM(OC23,OG23)&gt;0,SUM(OC23,OG23),"")</f>
        <v/>
      </c>
      <c r="OW23" s="78" t="str">
        <f>IF(SUM(OB23:OC23,OE23:OG23,OI23)-OD23-OH23&gt;0,SUM(OB23:OC23,OE23:OG23,OI23)-OD23-OH23,"")</f>
        <v/>
      </c>
      <c r="OX23" s="78" t="str">
        <f>IF(SUM(OJ23:OK23,OM23)-OL23&gt;0,SUM(OJ23:OK23,OM23)-OL23,"")</f>
        <v/>
      </c>
      <c r="OY23" s="78" t="str">
        <f>IF(SUM(OC23,OG23,OK23)&gt;0,SUM(OC23,OG23,OK23),"")</f>
        <v/>
      </c>
      <c r="OZ23" s="78" t="str">
        <f>IF(SUM(OW23,OX23)&gt;0,SUM(OW23,OX23),"")</f>
        <v/>
      </c>
      <c r="PA23" s="78" t="str">
        <f>IF(SUM(OO23,OS23)&gt;0,SUM(OO23,OS23),"")</f>
        <v/>
      </c>
      <c r="PB23" s="78" t="str">
        <f>IF(SUM(ON23:OO23,OQ23:OS23,OU23)-SUM(OP23,OT23)&gt;0,SUM(ON23:OO23,OQ23:OS23,OU23)-SUM(OP23,OT23),"")</f>
        <v/>
      </c>
      <c r="PC23" s="78" t="str">
        <f>IF(SUM(OW23,PB23)&gt;0,SUM(OW23,PB23),"")</f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>IF(SUM(PE23,PI23)&gt;0,SUM(PE23,PI23),"")</f>
        <v/>
      </c>
      <c r="PY23" s="19" t="str">
        <f>IF(SUM(PD23:PE23,PG23:PI23,PK23)-PF23-PJ23&gt;0,SUM(PD23:PE23,PG23:PI23,PK23)-PF23-PJ23,"")</f>
        <v/>
      </c>
      <c r="PZ23" s="19" t="str">
        <f>IF(SUM(PL23:PM23,PO23)-PN23&gt;0,SUM(PL23:PM23,PO23)-PN23,"")</f>
        <v/>
      </c>
      <c r="QA23" s="19" t="str">
        <f>IF(SUM(PE23,PI23,PM23)&gt;0,SUM(PE23,PI23,PM23),"")</f>
        <v/>
      </c>
      <c r="QB23" s="19" t="str">
        <f>IF(SUM(PY23,PZ23)&gt;0,SUM(PY23,PZ23),"")</f>
        <v/>
      </c>
      <c r="QC23" s="19" t="str">
        <f>IF(SUM(PQ23,PU23)&gt;0,SUM(PQ23,PU23),"")</f>
        <v/>
      </c>
      <c r="QD23" s="19" t="str">
        <f>IF(SUM(PP23:PQ23,PS23:PU23,PW23)-SUM(PR23,PV23)&gt;0,SUM(PP23:PQ23,PS23:PU23,PW23)-SUM(PR23,PV23),"")</f>
        <v/>
      </c>
      <c r="QE23" s="19" t="str">
        <f>IF(SUM(PY23,QD23)&gt;0,SUM(PY23,QD23),"")</f>
        <v/>
      </c>
      <c r="QF23" s="37">
        <f>IF($CV23="P",CB23,(CB23+AY23)/2)</f>
        <v>18</v>
      </c>
      <c r="QG23" s="37">
        <f>IF($CV23="P",CC23,(CC23+AZ23)/2)</f>
        <v>3.15</v>
      </c>
      <c r="QH23" s="37">
        <f>IF($CV23="P",CD23,(CD23+BA23)/2)</f>
        <v>0</v>
      </c>
      <c r="QI23" s="37">
        <f>IF($CV23="P",CE23,(CE23+BB23)/2)</f>
        <v>0</v>
      </c>
      <c r="QJ23" s="37">
        <f>IF($CV23="P",CF23,(CF23+BC23)/2)</f>
        <v>18.350000000000001</v>
      </c>
      <c r="QK23" s="37">
        <f>IF($CV23="P",CG23,(CG23+BD23)/2)</f>
        <v>4.1500000000000004</v>
      </c>
      <c r="QL23" s="37">
        <f>IF($CV23="P",CH23,(CH23+BE23)/2)</f>
        <v>0.8</v>
      </c>
      <c r="QM23" s="37">
        <f>IF($CV23="P",CI23,(CI23+BF23)/2)</f>
        <v>0</v>
      </c>
      <c r="QN23" s="37">
        <f>IF($CV23="P",CJ23,(CJ23+BG23)/2)</f>
        <v>18.850000000000001</v>
      </c>
      <c r="QO23" s="37">
        <f>IF($CV23="P",CK23,(CK23+BH23)/2)</f>
        <v>4.3</v>
      </c>
      <c r="QP23" s="37">
        <f>IF($CV23="P",CL23,(CL23+BI23)/2)</f>
        <v>0.1</v>
      </c>
      <c r="QQ23" s="37">
        <f>IF($CV23="P",CM23,(CM23+BJ23)/2)</f>
        <v>0</v>
      </c>
      <c r="QR23" s="37">
        <f>IF($CV23="P",CN23,(CN23+BK23)/2)</f>
        <v>18.25</v>
      </c>
      <c r="QS23" s="37">
        <f>IF($CV23="P",CO23,(CO23+BL23)/2)</f>
        <v>4.4000000000000004</v>
      </c>
      <c r="QT23" s="37">
        <f>IF($CV23="P",CP23,(CP23+BM23)/2)</f>
        <v>0.3</v>
      </c>
      <c r="QU23" s="37">
        <f>IF($CV23="P",CQ23,(CQ23+BN23)/2)</f>
        <v>0</v>
      </c>
      <c r="QV23" s="37">
        <f>IF($CV23="P",CR23,(CR23+BO23)/2)</f>
        <v>17.649999999999999</v>
      </c>
      <c r="QW23" s="37">
        <f>IF($CV23="P",CS23,(CS23+BP23)/2)</f>
        <v>4.75</v>
      </c>
      <c r="QX23" s="37">
        <f>IF($CV23="P",CT23,(CT23+BQ23)/2)</f>
        <v>0.5</v>
      </c>
      <c r="QY23" s="37">
        <f>IF($CV23="P",CU23,(CU23+BR23)/2)</f>
        <v>0</v>
      </c>
      <c r="QZ23" s="44" t="s">
        <v>46</v>
      </c>
      <c r="RA23" s="78">
        <f>IF(SUM(QG23,QK23)&gt;0,SUM(QG23,QK23),"")</f>
        <v>7.3000000000000007</v>
      </c>
      <c r="RB23" s="78">
        <f>IF(SUM(QF23:QG23,QI23:QK23,QM23)-QH23-QL23&gt;0,SUM(QF23:QG23,QI23:QK23,QM23)-QH23-QL23,"")</f>
        <v>42.85</v>
      </c>
      <c r="RC23" s="78">
        <f>IF(SUM(QN23:QO23,QQ23)-QP23&gt;0,SUM(QN23:QO23,QQ23)-QP23,"")</f>
        <v>23.05</v>
      </c>
      <c r="RD23" s="78">
        <f>IF(SUM(QG23,QK23,QO23)&gt;0,SUM(QG23,QK23,QO23),"")</f>
        <v>11.600000000000001</v>
      </c>
      <c r="RE23" s="78">
        <f>IF(SUM(RB23,RC23)&gt;0,SUM(RB23,RC23),"")</f>
        <v>65.900000000000006</v>
      </c>
      <c r="RF23" s="78">
        <f>IF(SUM(QS23,QW23)&gt;0,SUM(QS23,QW23),"")</f>
        <v>9.15</v>
      </c>
      <c r="RG23" s="78">
        <f>IF(SUM(QR23:QS23,QU23:QW23,QY23)-SUM(QT23,QX23)&gt;0,SUM(QR23:QS23,QU23:QW23,QY23)-SUM(QT23,QX23),"")</f>
        <v>44.25</v>
      </c>
      <c r="RH23" s="78">
        <f>IF(SUM(RB23,RG23)&gt;0,SUM(RB23,RG23),"")</f>
        <v>87.1</v>
      </c>
    </row>
    <row r="24" spans="1:476" x14ac:dyDescent="0.2">
      <c r="A24" s="5" t="str">
        <f>IF(AND(F24="P",G24="P"),SUMPRODUCT((F$4:F$32="P")*(G$4:G$32="P")*(E$4:E$32&gt;E24))+1,IF(G24="P",SUMPRODUCT((F$4:F$32="")*(G$4:G$32="P")*(E$4:E$32&gt;E24))+1+SUMPRODUCT((F$4:F$32="P")*(G$4:G$32="P")),""))</f>
        <v/>
      </c>
      <c r="B24" s="77" t="s">
        <v>144</v>
      </c>
      <c r="C24" s="5" t="s">
        <v>6</v>
      </c>
      <c r="D24" s="5">
        <v>2004</v>
      </c>
      <c r="E24" s="15">
        <f>SUM(I24:S24)+SUM(I24:O24)*0.0000001+SUM(I24)*0.0000000000001</f>
        <v>160.90001157000486</v>
      </c>
      <c r="F24" s="3" t="str">
        <f>IF(OR(AND(AQ24&gt;=AX$34,AR24&gt;=AX$38,AQ24&lt;&gt;"",AP24=""),AND(AV24&gt;=AX$34,AW24&gt;=AX$38,AV24&lt;&gt;"",AP24=""),AND(BT24&gt;=CA$34,BU24&gt;=CA$38,BT24&lt;&gt;"",BS24=""),AND(BY24&gt;=CA$34,BZ24&gt;=CA$38,BY24&lt;&gt;"",BS24=""),AND(CW24&gt;=DD$34,CX24&gt;=DD$38,CW24&lt;&gt;"",CV24=""),AND(DB24&gt;=DD$34,DC24&gt;=DD$38,DB24&lt;&gt;""),AND(EB24&gt;=EI$34,EC24&gt;=EI$38,EB24&lt;&gt;""),AND(EG24&gt;=EI$34,EH24&gt;=EI$38,EG24&lt;&gt;""),AND(FD24&gt;=FK$34,FE24&gt;=FK$38,FD24&lt;&gt;""),AND(FI24&gt;=FK$34,FJ24&gt;=FK$38,FI24&lt;&gt;""),AND(GF24&gt;=GM$34,GG24&gt;=GM$38,GF24&lt;&gt;""),AND(GK24&gt;=GM$34,GL24&gt;=GM$38,GK24&lt;&gt;""),AND(HH24&gt;=HO$34,HI24&gt;=HO$38,HH24&lt;&gt;""),AND(HM24&gt;=HO$34,HN24&gt;=HO$38,HM24&lt;&gt;""),AND(IJ24&gt;=IQ$34,IK24&gt;=IQ$38,IJ24&lt;&gt;""),AND(IO24&gt;=IQ$34,IP24&gt;=IQ$38,IO24&lt;&gt;""),AND(JL24&gt;=JS$34,JM24&gt;=JS$38,JL24&lt;&gt;""),AND(JQ24&gt;=JS$34,JR24&gt;=JS$38,JQ24&lt;&gt;""),AND(KN24&gt;=KU$34,KO24&gt;=KU$38,KN24&lt;&gt;""),AND(KS24&gt;=KU$34,KT24&gt;=KU$38,KS24&lt;&gt;""),AND(LP24&gt;=LW$34,LQ24&gt;=LW$38,LP24&lt;&gt;""),AND(LU24&gt;=LW$34,LV24&gt;=LW$38,LU24&lt;&gt;""),AND(MR24&gt;=MY$34,MS24&gt;=MY$38,MR24&lt;&gt;""),AND(MW24&gt;=MY$34,MX24&gt;=MY$38,MW24&lt;&gt;""),AND(NT24&gt;=OA$34,NU24&gt;=OA$38,NT24&lt;&gt;""),AND(NY24&gt;=OA$34,NZ24&gt;=OA$38,NY24&lt;&gt;""),AND(OV24&gt;=PC$34,OW24&gt;=PC$38,OV24&lt;&gt;""),AND(PA24&gt;=PC$34,PB24&gt;=PC$38,PA24&lt;&gt;""),AND(PX24&gt;=QE$34,PY24&gt;=QE$38,PX24&lt;&gt;""),AND(QC24&gt;=QE$34,QD24&gt;=QE$38,QC24&lt;&gt;"")),"P","")</f>
        <v/>
      </c>
      <c r="G24" s="3" t="str">
        <f>IF(OR(AND(AR24&gt;=AX$38,AR24&lt;&gt;"",AP24=""),AND(AW24&gt;=AX$38,AW24&lt;&gt;"",AP24=""),AND(BU24&gt;=CA$38,BU24&lt;&gt;"",BS24=""),AND(BZ24&gt;=CA$38,BZ24&lt;&gt;"",BS24=""),AND(CX24&gt;=DD$38,CX24&lt;&gt;"",CV24=""),AND(DC24&gt;=DD$38,DC24&lt;&gt;"",CV24=""),AND(EC24&gt;=EI$38,EC24&lt;&gt;""),AND(EH24&gt;=EI$38,EH24&lt;&gt;""),AND(FE24&gt;=FK$38,FE24&lt;&gt;""),AND(FJ24&gt;=FK$38,FJ24&lt;&gt;""),AND(GG24&gt;=GM$38,GG24&lt;&gt;""),AND(GL24&gt;=GM$38,GL24&lt;&gt;""),AND(HI24&gt;=HO$38,HI24&lt;&gt;""),AND(HN24&gt;=HO$38,HN24&lt;&gt;""),AND(IK24&gt;=IQ$38,IK24&lt;&gt;""),AND(IP24&gt;=IQ$38,IP24&lt;&gt;""),AND(JM24&gt;=JS$38,JM24&lt;&gt;""),AND(JR24&gt;=JS$38,JR24&lt;&gt;""),AND(KO24&gt;=KU$38,KO24&lt;&gt;""),AND(KT24&gt;=KU$38,KT24&lt;&gt;""),AND(LQ24&gt;=LW$38,LQ24&lt;&gt;""),AND(LV24&gt;=LW$38,LV24&lt;&gt;""),AND(MS24&gt;=MY$38,MS24&lt;&gt;""),AND(MX24&gt;=MY$38,MX24&lt;&gt;""),AND(NU24&gt;=OA$38,NU24&lt;&gt;""),AND(NZ24&gt;=OA$38,NZ24&lt;&gt;""),AND(OW24&gt;=PC$38,OW24&lt;&gt;""),AND(PB24&gt;=PC$38,PB24&lt;&gt;""),AND(PY24&gt;=QE$38,PY24&lt;&gt;""),AND(QD24&gt;=QE$38,QD24&lt;&gt;"")),"P","")</f>
        <v/>
      </c>
      <c r="H24" s="66" t="str">
        <f>IF(AND(G24="P",F24=""),"No DD",IF(OR(AND(AT24&gt;=AX$37,AU24&gt;=AX$41,AT24&lt;&gt;"",AP24=""),AND(BW24&gt;=CA$37,BX24&gt;=CA$41,BW24&lt;&gt;"",BS24=""),AND(CZ24&gt;=DD$37,DA24&gt;=DD$41,CZ24&lt;&gt;"",CV24=""),AND(EE24&gt;=EI$37,EF24&gt;=EI$41,EE24&lt;&gt;""),AND(FG24&gt;=FK$37,FH24&gt;=FK$41,FG24&lt;&gt;""),AND(GI24&gt;=GM$37,GJ24&gt;=GM$41,GI24&lt;&gt;""),AND(HK24&gt;=HO$37,HL24&gt;=HO$41,HK24&lt;&gt;""),AND(IM24&gt;=IQ$37,IN24&gt;=IQ$41,IM24&lt;&gt;""),AND(JO24&gt;=JS$37,JP24&gt;=JS$41,JO24&lt;&gt;""),AND(KQ24&gt;=KU$37,KR24&gt;=KU$41,KQ24&lt;&gt;""),AND(LS24&gt;=LW$37,LT24&gt;=LW$41,LS24&lt;&gt;""),AND(MU24&gt;=MY$37,MV24&gt;=MY$41,MU24&lt;&gt;""),AND(NW24&gt;=OA$37,NX24&gt;=OA$41,NW24&lt;&gt;""),AND(OY24&gt;=PC$37,OZ24&gt;=PC$41,OY24&lt;&gt;""),AND(QA24&gt;=QE$37,QB24&gt;=QE$41,QA24&lt;&gt;"")),"Merit",IF(OR(AND(AT24&gt;=AX$36,AU24&gt;=AX$40,AT24&lt;&gt;"",AP24=""),AND(BW24&gt;=CA$36,BX24&gt;=CA$40,BW24&lt;&gt;"",BS24=""),AND(CZ24&gt;=DD$36,DA24&gt;=DD$40,CZ24&lt;&gt;"",CV24=""),AND(EE24&gt;=EI$36,EF24&gt;=EI$40,EE24&lt;&gt;""),AND(FG24&gt;=FK$36,FH24&gt;=FK$40,FG24&lt;&gt;""),AND(GI24&gt;=GM$36,GJ24&gt;=GM$40,GI24&lt;&gt;""),AND(HK24&gt;=HO$36,HL24&gt;=HO$40,HK24&lt;&gt;""),AND(IM24&gt;=IQ$36,IN24&gt;=IQ$40,IM24&lt;&gt;""),AND(JO24&gt;=JS$36,JP24&gt;=JS$40,JO24&lt;&gt;""),AND(KQ24&gt;=KU$36,KR24&gt;=KU$40,KQ24&lt;&gt;""),AND(LS24&gt;=LW$36,LT24&gt;=LW$40,LS24&lt;&gt;""),AND(MU24&gt;=MY$36,MV24&gt;=MY$40,MU24&lt;&gt;""),AND(NW24&gt;=OA$36,NX24&gt;=OA$40,NW24&lt;&gt;""),AND(OY24&gt;=PC$36,OZ24&gt;=PC$40,OY24&lt;&gt;""),AND(QA24&gt;=QE$36,QB24&gt;=QE$40,QA24&lt;&gt;"")),"Excellence",IF(F24="P","National Team",""))))</f>
        <v/>
      </c>
      <c r="I24" s="14">
        <f>IF(COUNT(AR24,BU24,CX24)&gt;0,LARGE((AR24,BU24,CX24),1),0)</f>
        <v>48.300000000000004</v>
      </c>
      <c r="J24" s="14" t="str">
        <f>IF(I24=0,"",IF(I24=CX24,$CB$1,IF(I24=BU24,$AY$1,IF(I24=AR24,$V$1,""))))</f>
        <v>2022 Nationals</v>
      </c>
      <c r="K24" s="14">
        <f>IF(COUNT(AR24,BU24,CX24)&gt;1,LARGE((AR24,BU24,CX24),2),0)</f>
        <v>23.5</v>
      </c>
      <c r="L24" s="14" t="str">
        <f>IF(K24=0,"",IF(K24=CX24,$CB$1,IF(K24=BU24,$AY$1,IF(K24=AR24,$V$1,""))))</f>
        <v>2022 Elite Canada</v>
      </c>
      <c r="M24" s="14">
        <f>IF(COUNT(AS24,BV24,CY24)&gt;0,LARGE((AS24,BV24,CY24),1),0)</f>
        <v>23</v>
      </c>
      <c r="N24" s="14" t="str">
        <f>IF(M24=0,"",IF(M24=CY24,$CB$1,IF(M24=BV24,$AY$1,IF(M24=AS24,$V$1,""))))</f>
        <v>2022 Nationals</v>
      </c>
      <c r="O24" s="14">
        <f>IF(COUNT(AS24,BV24,CY24)&gt;1,LARGE((AS24,BV24,CY24),2),0)</f>
        <v>20.900000000000002</v>
      </c>
      <c r="P24" s="14" t="str">
        <f>IF(O24=0,"",IF(O24=CY24,$CB$1,IF(O24=BV24,$AY$1,IF(O24=AS24,$V$1,""))))</f>
        <v>2022 Elite Canada</v>
      </c>
      <c r="Q24" s="14">
        <f>IF(MAX(AW24,BZ24,DC24)&gt;0,MAX(AW24,BZ24,DC24),0)</f>
        <v>45.2</v>
      </c>
      <c r="R24" s="14" t="str">
        <f>IF(Q24=0,"",IF(Q24=DC24,$CB$1,IF(Q24=BZ24,$AY$1,IF(Q24=AW24,$V$1,""))))</f>
        <v>2022 Nationals</v>
      </c>
      <c r="S24" s="14" t="str">
        <f>IF(MAX(DE24:DG24)&gt;0,MAX(DE24:DG24),"")</f>
        <v/>
      </c>
      <c r="T24" s="19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6">
        <v>0</v>
      </c>
      <c r="W24" s="26">
        <v>0</v>
      </c>
      <c r="X24" s="26">
        <v>0</v>
      </c>
      <c r="Y24" s="26">
        <v>0</v>
      </c>
      <c r="Z24" s="26">
        <v>19.3</v>
      </c>
      <c r="AA24" s="26">
        <v>4.8</v>
      </c>
      <c r="AB24" s="26">
        <v>0.6</v>
      </c>
      <c r="AC24" s="26">
        <v>0</v>
      </c>
      <c r="AD24" s="26">
        <v>16.8</v>
      </c>
      <c r="AE24" s="26">
        <v>4.3</v>
      </c>
      <c r="AF24" s="26">
        <v>0.2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44"/>
      <c r="AQ24" s="78">
        <f>IF(SUM(W24,AA24)&gt;0,SUM(W24,AA24),"")</f>
        <v>4.8</v>
      </c>
      <c r="AR24" s="78">
        <f>IF(SUM(V24:W24,Y24:AA24,AC24)-X24-AB24&gt;0,SUM(V24:W24,Y24:AA24,AC24)-X24-AB24,"")</f>
        <v>23.5</v>
      </c>
      <c r="AS24" s="78">
        <f>IF(SUM(AD24:AE24,AG24)-AF24&gt;0,SUM(AD24:AE24,AG24)-AF24,"")</f>
        <v>20.900000000000002</v>
      </c>
      <c r="AT24" s="78">
        <f>IF(SUM(W24,AA24,AE24)&gt;0,SUM(W24,AA24,AE24),"")</f>
        <v>9.1</v>
      </c>
      <c r="AU24" s="78">
        <f>IF(SUM(AR24,AS24)&gt;0,SUM(AR24,AS24),"")</f>
        <v>44.400000000000006</v>
      </c>
      <c r="AV24" s="78" t="str">
        <f>IF(SUM(AI24,AM24)&gt;0,SUM(AI24,AM24),"")</f>
        <v/>
      </c>
      <c r="AW24" s="78" t="str">
        <f>IF(SUM(AH24:AI24,AK24:AM24,AO24)-SUM(AJ24,AN24)&gt;0,SUM(AH24:AI24,AK24:AM24,AO24)-SUM(AJ24,AN24),"")</f>
        <v/>
      </c>
      <c r="AX24" s="78">
        <f>IF(SUM(AR24,AW24)&gt;0,SUM(AR24,AW24),"")</f>
        <v>23.5</v>
      </c>
      <c r="AY24" s="25">
        <v>19.3</v>
      </c>
      <c r="AZ24" s="25">
        <v>5.2</v>
      </c>
      <c r="BA24" s="25">
        <v>0</v>
      </c>
      <c r="BB24" s="25">
        <v>0</v>
      </c>
      <c r="BC24" s="25">
        <v>19.2</v>
      </c>
      <c r="BD24" s="25">
        <v>5.2</v>
      </c>
      <c r="BE24" s="25">
        <v>0.6</v>
      </c>
      <c r="BF24" s="25">
        <v>0</v>
      </c>
      <c r="BG24" s="25">
        <v>19.3</v>
      </c>
      <c r="BH24" s="25">
        <v>4.3</v>
      </c>
      <c r="BI24" s="25">
        <v>0.6</v>
      </c>
      <c r="BJ24" s="25">
        <v>0</v>
      </c>
      <c r="BK24" s="25">
        <v>17.600000000000001</v>
      </c>
      <c r="BL24" s="25">
        <v>2.4</v>
      </c>
      <c r="BM24" s="25">
        <v>0</v>
      </c>
      <c r="BN24" s="25">
        <v>0</v>
      </c>
      <c r="BO24" s="25">
        <v>19.600000000000001</v>
      </c>
      <c r="BP24" s="25">
        <v>5.6</v>
      </c>
      <c r="BQ24" s="25">
        <v>0</v>
      </c>
      <c r="BR24" s="25">
        <v>0</v>
      </c>
      <c r="BS24" s="45"/>
      <c r="BT24" s="19">
        <f>IF(SUM(AZ24,BD24)&gt;0,SUM(AZ24,BD24),"")</f>
        <v>10.4</v>
      </c>
      <c r="BU24" s="19">
        <f>IF(SUM(AY24:AZ24,BB24:BD24,BF24)-BA24-BE24&gt;0,SUM(AY24:AZ24,BB24:BD24,BF24)-BA24-BE24,"")</f>
        <v>48.300000000000004</v>
      </c>
      <c r="BV24" s="19">
        <f>IF(SUM(BG24:BH24,BJ24)-BI24&gt;0,SUM(BG24:BH24,BJ24)-BI24,"")</f>
        <v>23</v>
      </c>
      <c r="BW24" s="19">
        <f>IF(SUM(AZ24,BD24,BH24)&gt;0,SUM(AZ24,BD24,BH24),"")</f>
        <v>14.7</v>
      </c>
      <c r="BX24" s="19">
        <f>IF(SUM(BU24,BV24)&gt;0,SUM(BU24,BV24),"")</f>
        <v>71.300000000000011</v>
      </c>
      <c r="BY24" s="19">
        <f>IF(SUM(BL24,BP24)&gt;0,SUM(BL24,BP24),"")</f>
        <v>8</v>
      </c>
      <c r="BZ24" s="19">
        <f>IF(SUM(BK24:BL24,BN24:BP24,BR24)-SUM(BM24,BQ24)&gt;0,SUM(BK24:BL24,BN24:BP24,BR24)-SUM(BM24,BQ24),"")</f>
        <v>45.2</v>
      </c>
      <c r="CA24" s="19">
        <f>IF(SUM(BU24,BZ24)&gt;0,SUM(BU24,BZ24),"")</f>
        <v>93.5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>IF(SUM(CC24,CG24)&gt;0,SUM(CC24,CG24),"")</f>
        <v/>
      </c>
      <c r="CX24" s="78" t="str">
        <f>IF(SUM(CB24:CC24,CE24:CG24,CI24)-CD24-CH24&gt;0,SUM(CB24:CC24,CE24:CG24,CI24)-CD24-CH24,"")</f>
        <v/>
      </c>
      <c r="CY24" s="78" t="str">
        <f>IF(SUM(CJ24:CK24,CM24)-CL24&gt;0,SUM(CJ24:CK24,CM24)-CL24,"")</f>
        <v/>
      </c>
      <c r="CZ24" s="78" t="str">
        <f>IF(SUM(CC24,CG24,CK24)&gt;0,SUM(CC24,CG24,CK24),"")</f>
        <v/>
      </c>
      <c r="DA24" s="78" t="str">
        <f>IF(SUM(CX24,CY24)&gt;0,SUM(CX24,CY24),"")</f>
        <v/>
      </c>
      <c r="DB24" s="78" t="str">
        <f>IF(SUM(CO24,CS24)&gt;0,SUM(CO24,CS24),"")</f>
        <v/>
      </c>
      <c r="DC24" s="78" t="str">
        <f>IF(SUM(CN24:CO24,CQ24:CS24,CU24)-SUM(CP24,CT24)&gt;0,SUM(CN24:CO24,CQ24:CS24,CU24)-SUM(CP24,CT24),"")</f>
        <v/>
      </c>
      <c r="DD24" s="78" t="str">
        <f>IF(SUM(CX24,DC24)&gt;0,SUM(CX24,DC24),"")</f>
        <v/>
      </c>
      <c r="DE24" s="79" t="str">
        <f>IF(K24&gt;=0.001,IF(MAX(EC24,FE24,GG24,HI24,IK24,JM24,KO24,LQ24,MS24,NU24,OW24,PY24)-IF(K24="",0,K24)&gt;0.001,MAX(EC24,FE24,GG24,HI24,IK24,JM24,KO24,LQ24,MS24,NU24,OW24,PY24)-IF(K24="",0,K24),""),"")</f>
        <v/>
      </c>
      <c r="DF24" s="79" t="str">
        <f>IF(O24&gt;=0.001,IF(MAX(ED24,FF24,GH24,HJ24,IL24,JN24,KP24,LR24,MT24,NV24,OX24,PZ24)-IF(O24="",0,O24)&gt;0.001,MAX(ED24,FF24,GH24,HJ24,IL24,JN24,KP24,LR24,MT24,NV24,OX24,PZ24)-IF(O24="",0,O24),""),"")</f>
        <v/>
      </c>
      <c r="DG24" s="79" t="str">
        <f>IF(Q24&gt;=0.001,IF(MAX(EH24,FJ24,GL24,HN24,IP24,JR24,KT24,LV24,MX24,NZ24,PB24,QD24)-IF(Q24="",0,Q24)&gt;0.001,MAX(EH24,FJ24,GL24,HN24,IP24,JR24,KT24,LV24,MX24,NZ24,PB24,QD24)-IF(Q24="",0,Q24),""),"")</f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>IF(SUM(DI24,DM24)&gt;0,SUM(DI24,DM24),"")</f>
        <v/>
      </c>
      <c r="EC24" s="78" t="str">
        <f>IF(SUM(DH24:DI24,DK24:DM24,DO24)-DJ24-DN24&gt;0,SUM(DH24:DI24,DK24:DM24,DO24)-DJ24-DN24,"")</f>
        <v/>
      </c>
      <c r="ED24" s="78" t="str">
        <f>IF(SUM(DP24:DQ24,DS24)-DR24&gt;0,SUM(DP24:DQ24,DS24)-DR24,"")</f>
        <v/>
      </c>
      <c r="EE24" s="78" t="str">
        <f>IF(SUM(DI24,DM24,DQ24)&gt;0,SUM(DI24,DM24,DQ24),"")</f>
        <v/>
      </c>
      <c r="EF24" s="78" t="str">
        <f>IF(SUM(EC24,ED24)&gt;0,SUM(EC24,ED24),"")</f>
        <v/>
      </c>
      <c r="EG24" s="78" t="str">
        <f>IF(SUM(DU24,DY24)&gt;0,SUM(DU24,DY24),"")</f>
        <v/>
      </c>
      <c r="EH24" s="78" t="str">
        <f>IF(SUM(DT24:DU24,DW24:DY24,EA24)-SUM(DV24,DZ24)&gt;0,SUM(DT24:DU24,DW24:DY24,EA24)-SUM(DV24,DZ24),"")</f>
        <v/>
      </c>
      <c r="EI24" s="78" t="str">
        <f>IF(SUM(EC24,EH24)&gt;0,SUM(EC24,EH24),"")</f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>IF(SUM(EK24,EO24)&gt;0,SUM(EK24,EO24),"")</f>
        <v/>
      </c>
      <c r="FE24" s="19" t="str">
        <f>IF(SUM(EJ24:EK24,EM24:EO24,EQ24)-EL24-EP24&gt;0,SUM(EJ24:EK24,EM24:EO24,EQ24)-EL24-EP24,"")</f>
        <v/>
      </c>
      <c r="FF24" s="19" t="str">
        <f>IF(SUM(ER24:ES24,EU24)-ET24&gt;0,SUM(ER24:ES24,EU24)-ET24,"")</f>
        <v/>
      </c>
      <c r="FG24" s="19" t="str">
        <f>IF(SUM(EK24,EO24,ES24)&gt;0,SUM(EK24,EO24,ES24),"")</f>
        <v/>
      </c>
      <c r="FH24" s="19" t="str">
        <f>IF(SUM(FE24,FF24)&gt;0,SUM(FE24,FF24),"")</f>
        <v/>
      </c>
      <c r="FI24" s="19" t="str">
        <f>IF(SUM(EW24,FA24)&gt;0,SUM(EW24,FA24),"")</f>
        <v/>
      </c>
      <c r="FJ24" s="19" t="str">
        <f>IF(SUM(EV24:EW24,EY24:FA24,FC24)-SUM(EX24,FB24)&gt;0,SUM(EV24:EW24,EY24:FA24,FC24)-SUM(EX24,FB24),"")</f>
        <v/>
      </c>
      <c r="FK24" s="19" t="str">
        <f>IF(SUM(FE24,FJ24)&gt;0,SUM(FE24,FJ24),"")</f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>IF(SUM(FM24,FQ24)&gt;0,SUM(FM24,FQ24),"")</f>
        <v/>
      </c>
      <c r="GG24" s="78" t="str">
        <f>IF(SUM(FL24:FM24,FO24:FQ24,FS24)-FN24-FR24&gt;0,SUM(FL24:FM24,FO24:FQ24,FS24)-FN24-FR24,"")</f>
        <v/>
      </c>
      <c r="GH24" s="78" t="str">
        <f>IF(SUM(FT24:FU24,FW24)-FV24&gt;0,SUM(FT24:FU24,FW24)-FV24,"")</f>
        <v/>
      </c>
      <c r="GI24" s="78" t="str">
        <f>IF(SUM(FM24,FQ24,FU24)&gt;0,SUM(FM24,FQ24,FU24),"")</f>
        <v/>
      </c>
      <c r="GJ24" s="78" t="str">
        <f>IF(SUM(GG24,GH24)&gt;0,SUM(GG24,GH24),"")</f>
        <v/>
      </c>
      <c r="GK24" s="78" t="str">
        <f>IF(SUM(FY24,GC24)&gt;0,SUM(FY24,GC24),"")</f>
        <v/>
      </c>
      <c r="GL24" s="78" t="str">
        <f>IF(SUM(FX24:FY24,GA24:GC24,GE24)-SUM(FZ24,GD24)&gt;0,SUM(FX24:FY24,GA24:GC24,GE24)-SUM(FZ24,GD24),"")</f>
        <v/>
      </c>
      <c r="GM24" s="78" t="str">
        <f>IF(SUM(GG24,GL24)&gt;0,SUM(GG24,GL24),"")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>IF(SUM(GO24,GS24)&gt;0,SUM(GO24,GS24),"")</f>
        <v/>
      </c>
      <c r="HI24" s="19" t="str">
        <f>IF(SUM(GN24:GO24,GQ24:GS24,GU24)-GP24-GT24&gt;0,SUM(GN24:GO24,GQ24:GS24,GU24)-GP24-GT24,"")</f>
        <v/>
      </c>
      <c r="HJ24" s="19" t="str">
        <f>IF(SUM(GV24:GW24,GY24)-GX24&gt;0,SUM(GV24:GW24,GY24)-GX24,"")</f>
        <v/>
      </c>
      <c r="HK24" s="19" t="str">
        <f>IF(SUM(GO24,GS24,GW24)&gt;0,SUM(GO24,GS24,GW24),"")</f>
        <v/>
      </c>
      <c r="HL24" s="19" t="str">
        <f>IF(SUM(HI24,HJ24)&gt;0,SUM(HI24,HJ24),"")</f>
        <v/>
      </c>
      <c r="HM24" s="19" t="str">
        <f>IF(SUM(HA24,HE24)&gt;0,SUM(HA24,HE24),"")</f>
        <v/>
      </c>
      <c r="HN24" s="19" t="str">
        <f>IF(SUM(GZ24:HA24,HC24:HE24,HG24)-SUM(HB24,HF24)&gt;0,SUM(GZ24:HA24,HC24:HE24,HG24)-SUM(HB24,HF24),"")</f>
        <v/>
      </c>
      <c r="HO24" s="19" t="str">
        <f>IF(SUM(HI24,HN24)&gt;0,SUM(HI24,HN24),"")</f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>IF(SUM(HQ24,HU24)&gt;0,SUM(HQ24,HU24),"")</f>
        <v/>
      </c>
      <c r="IK24" s="78" t="str">
        <f>IF(SUM(HP24:HQ24,HS24:HU24,HW24)-HR24-HV24&gt;0,SUM(HP24:HQ24,HS24:HU24,HW24)-HR24-HV24,"")</f>
        <v/>
      </c>
      <c r="IL24" s="78" t="str">
        <f>IF(SUM(HX24:HY24,IA24)-HZ24&gt;0,SUM(HX24:HY24,IA24)-HZ24,"")</f>
        <v/>
      </c>
      <c r="IM24" s="78" t="str">
        <f>IF(SUM(HQ24,HU24,HY24)&gt;0,SUM(HQ24,HU24,HY24),"")</f>
        <v/>
      </c>
      <c r="IN24" s="78" t="str">
        <f>IF(SUM(IK24,IL24)&gt;0,SUM(IK24,IL24),"")</f>
        <v/>
      </c>
      <c r="IO24" s="78" t="str">
        <f>IF(SUM(IC24,IG24)&gt;0,SUM(IC24,IG24),"")</f>
        <v/>
      </c>
      <c r="IP24" s="78" t="str">
        <f>IF(SUM(IB24:IC24,IE24:IG24,II24)-SUM(ID24,IH24)&gt;0,SUM(IB24:IC24,IE24:IG24,II24)-SUM(ID24,IH24),"")</f>
        <v/>
      </c>
      <c r="IQ24" s="78" t="str">
        <f>IF(SUM(IK24,IP24)&gt;0,SUM(IK24,IP24),"")</f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>IF(SUM(IS24,IW24)&gt;0,SUM(IS24,IW24),"")</f>
        <v/>
      </c>
      <c r="JM24" s="19" t="str">
        <f>IF(SUM(IR24:IS24,IU24:IW24,IY24)-IT24-IX24&gt;0,SUM(IR24:IS24,IU24:IW24,IY24)-IT24-IX24,"")</f>
        <v/>
      </c>
      <c r="JN24" s="19" t="str">
        <f>IF(SUM(IZ24:JA24,JC24)-JB24&gt;0,SUM(IZ24:JA24,JC24)-JB24,"")</f>
        <v/>
      </c>
      <c r="JO24" s="19" t="str">
        <f>IF(SUM(IS24,IW24,JA24)&gt;0,SUM(IS24,IW24,JA24),"")</f>
        <v/>
      </c>
      <c r="JP24" s="19" t="str">
        <f>IF(SUM(JM24,JN24)&gt;0,SUM(JM24,JN24),"")</f>
        <v/>
      </c>
      <c r="JQ24" s="19" t="str">
        <f>IF(SUM(JE24,JI24)&gt;0,SUM(JE24,JI24),"")</f>
        <v/>
      </c>
      <c r="JR24" s="19" t="str">
        <f>IF(SUM(JD24:JE24,JG24:JI24,JK24)-SUM(JF24,JJ24)&gt;0,SUM(JD24:JE24,JG24:JI24,JK24)-SUM(JF24,JJ24),"")</f>
        <v/>
      </c>
      <c r="JS24" s="19" t="str">
        <f>IF(SUM(JM24,JR24)&gt;0,SUM(JM24,JR24),"")</f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>IF(SUM(JU24,JY24)&gt;0,SUM(JU24,JY24),"")</f>
        <v/>
      </c>
      <c r="KO24" s="78" t="str">
        <f>IF(SUM(JT24:JU24,JW24:JY24,KA24)-JV24-JZ24&gt;0,SUM(JT24:JU24,JW24:JY24,KA24)-JV24-JZ24,"")</f>
        <v/>
      </c>
      <c r="KP24" s="78" t="str">
        <f>IF(SUM(KB24:KC24,KE24)-KD24&gt;0,SUM(KB24:KC24,KE24)-KD24,"")</f>
        <v/>
      </c>
      <c r="KQ24" s="78" t="str">
        <f>IF(SUM(JU24,JY24,KC24)&gt;0,SUM(JU24,JY24,KC24),"")</f>
        <v/>
      </c>
      <c r="KR24" s="78" t="str">
        <f>IF(SUM(KO24,KP24)&gt;0,SUM(KO24,KP24),"")</f>
        <v/>
      </c>
      <c r="KS24" s="78" t="str">
        <f>IF(SUM(KG24,KK24)&gt;0,SUM(KG24,KK24),"")</f>
        <v/>
      </c>
      <c r="KT24" s="78" t="str">
        <f>IF(SUM(KF24:KG24,KI24:KK24,KM24)-SUM(KH24,KL24)&gt;0,SUM(KF24:KG24,KI24:KK24,KM24)-SUM(KH24,KL24),"")</f>
        <v/>
      </c>
      <c r="KU24" s="78" t="str">
        <f>IF(SUM(KO24,KT24)&gt;0,SUM(KO24,KT24),"")</f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>IF(SUM(KW24,LA24)&gt;0,SUM(KW24,LA24),"")</f>
        <v/>
      </c>
      <c r="LQ24" s="19" t="str">
        <f>IF(SUM(KV24:KW24,KY24:LA24,LC24)-KX24-LB24&gt;0,SUM(KV24:KW24,KY24:LA24,LC24)-KX24-LB24,"")</f>
        <v/>
      </c>
      <c r="LR24" s="19" t="str">
        <f>IF(SUM(LD24:LE24,LG24)-LF24&gt;0,SUM(LD24:LE24,LG24)-LF24,"")</f>
        <v/>
      </c>
      <c r="LS24" s="19" t="str">
        <f>IF(SUM(KW24,LA24,LE24)&gt;0,SUM(KW24,LA24,LE24),"")</f>
        <v/>
      </c>
      <c r="LT24" s="19" t="str">
        <f>IF(SUM(LQ24,LR24)&gt;0,SUM(LQ24,LR24),"")</f>
        <v/>
      </c>
      <c r="LU24" s="19" t="str">
        <f>IF(SUM(LI24,LM24)&gt;0,SUM(LI24,LM24),"")</f>
        <v/>
      </c>
      <c r="LV24" s="19" t="str">
        <f>IF(SUM(LH24:LI24,LK24:LM24,LO24)-SUM(LJ24,LN24)&gt;0,SUM(LH24:LI24,LK24:LM24,LO24)-SUM(LJ24,LN24),"")</f>
        <v/>
      </c>
      <c r="LW24" s="19" t="str">
        <f>IF(SUM(LQ24,LV24)&gt;0,SUM(LQ24,LV24),"")</f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>IF(SUM(LY24,MC24)&gt;0,SUM(LY24,MC24),"")</f>
        <v/>
      </c>
      <c r="MS24" s="78" t="str">
        <f>IF(SUM(LX24:LY24,MA24:MC24,ME24)-LZ24-MD24&gt;0,SUM(LX24:LY24,MA24:MC24,ME24)-LZ24-MD24,"")</f>
        <v/>
      </c>
      <c r="MT24" s="78" t="str">
        <f>IF(SUM(MF24:MG24,MI24)-MH24&gt;0,SUM(MF24:MG24,MI24)-MH24,"")</f>
        <v/>
      </c>
      <c r="MU24" s="78" t="str">
        <f>IF(SUM(LY24,MC24,MG24)&gt;0,SUM(LY24,MC24,MG24),"")</f>
        <v/>
      </c>
      <c r="MV24" s="78" t="str">
        <f>IF(SUM(MS24,MT24)&gt;0,SUM(MS24,MT24),"")</f>
        <v/>
      </c>
      <c r="MW24" s="78" t="str">
        <f>IF(SUM(MK24,MO24)&gt;0,SUM(MK24,MO24),"")</f>
        <v/>
      </c>
      <c r="MX24" s="78" t="str">
        <f>IF(SUM(MJ24:MK24,MM24:MO24,MQ24)-SUM(ML24,MP24)&gt;0,SUM(MJ24:MK24,MM24:MO24,MQ24)-SUM(ML24,MP24),"")</f>
        <v/>
      </c>
      <c r="MY24" s="78" t="str">
        <f>IF(SUM(MS24,MX24)&gt;0,SUM(MS24,MX24),"")</f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>IF(SUM(NA24,NE24)&gt;0,SUM(NA24,NE24),"")</f>
        <v/>
      </c>
      <c r="NU24" s="19" t="str">
        <f>IF(SUM(MZ24:NA24,NC24:NE24,NG24)-NB24-NF24&gt;0,SUM(MZ24:NA24,NC24:NE24,NG24)-NB24-NF24,"")</f>
        <v/>
      </c>
      <c r="NV24" s="19" t="str">
        <f>IF(SUM(NH24:NI24,NK24)-NJ24&gt;0,SUM(NH24:NI24,NK24)-NJ24,"")</f>
        <v/>
      </c>
      <c r="NW24" s="19" t="str">
        <f>IF(SUM(NA24,NE24,NI24)&gt;0,SUM(NA24,NE24,NI24),"")</f>
        <v/>
      </c>
      <c r="NX24" s="19" t="str">
        <f>IF(SUM(NU24,NV24)&gt;0,SUM(NU24,NV24),"")</f>
        <v/>
      </c>
      <c r="NY24" s="19" t="str">
        <f>IF(SUM(NM24,NQ24)&gt;0,SUM(NM24,NQ24),"")</f>
        <v/>
      </c>
      <c r="NZ24" s="19" t="str">
        <f>IF(SUM(NL24:NM24,NO24:NQ24,NS24)-SUM(NN24,NR24)&gt;0,SUM(NL24:NM24,NO24:NQ24,NS24)-SUM(NN24,NR24),"")</f>
        <v/>
      </c>
      <c r="OA24" s="19" t="str">
        <f>IF(SUM(NU24,NZ24)&gt;0,SUM(NU24,NZ24),"")</f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>IF(SUM(OC24,OG24)&gt;0,SUM(OC24,OG24),"")</f>
        <v/>
      </c>
      <c r="OW24" s="78" t="str">
        <f>IF(SUM(OB24:OC24,OE24:OG24,OI24)-OD24-OH24&gt;0,SUM(OB24:OC24,OE24:OG24,OI24)-OD24-OH24,"")</f>
        <v/>
      </c>
      <c r="OX24" s="78" t="str">
        <f>IF(SUM(OJ24:OK24,OM24)-OL24&gt;0,SUM(OJ24:OK24,OM24)-OL24,"")</f>
        <v/>
      </c>
      <c r="OY24" s="78" t="str">
        <f>IF(SUM(OC24,OG24,OK24)&gt;0,SUM(OC24,OG24,OK24),"")</f>
        <v/>
      </c>
      <c r="OZ24" s="78" t="str">
        <f>IF(SUM(OW24,OX24)&gt;0,SUM(OW24,OX24),"")</f>
        <v/>
      </c>
      <c r="PA24" s="78" t="str">
        <f>IF(SUM(OO24,OS24)&gt;0,SUM(OO24,OS24),"")</f>
        <v/>
      </c>
      <c r="PB24" s="78" t="str">
        <f>IF(SUM(ON24:OO24,OQ24:OS24,OU24)-SUM(OP24,OT24)&gt;0,SUM(ON24:OO24,OQ24:OS24,OU24)-SUM(OP24,OT24),"")</f>
        <v/>
      </c>
      <c r="PC24" s="78" t="str">
        <f>IF(SUM(OW24,PB24)&gt;0,SUM(OW24,PB24),"")</f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>IF(SUM(PE24,PI24)&gt;0,SUM(PE24,PI24),"")</f>
        <v/>
      </c>
      <c r="PY24" s="19" t="str">
        <f>IF(SUM(PD24:PE24,PG24:PI24,PK24)-PF24-PJ24&gt;0,SUM(PD24:PE24,PG24:PI24,PK24)-PF24-PJ24,"")</f>
        <v/>
      </c>
      <c r="PZ24" s="19" t="str">
        <f>IF(SUM(PL24:PM24,PO24)-PN24&gt;0,SUM(PL24:PM24,PO24)-PN24,"")</f>
        <v/>
      </c>
      <c r="QA24" s="19" t="str">
        <f>IF(SUM(PE24,PI24,PM24)&gt;0,SUM(PE24,PI24,PM24),"")</f>
        <v/>
      </c>
      <c r="QB24" s="19" t="str">
        <f>IF(SUM(PY24,PZ24)&gt;0,SUM(PY24,PZ24),"")</f>
        <v/>
      </c>
      <c r="QC24" s="19" t="str">
        <f>IF(SUM(PQ24,PU24)&gt;0,SUM(PQ24,PU24),"")</f>
        <v/>
      </c>
      <c r="QD24" s="19" t="str">
        <f>IF(SUM(PP24:PQ24,PS24:PU24,PW24)-SUM(PR24,PV24)&gt;0,SUM(PP24:PQ24,PS24:PU24,PW24)-SUM(PR24,PV24),"")</f>
        <v/>
      </c>
      <c r="QE24" s="19" t="str">
        <f>IF(SUM(PY24,QD24)&gt;0,SUM(PY24,QD24),"")</f>
        <v/>
      </c>
      <c r="QF24" s="37">
        <f>IF($CV24="P",CB24,(CB24+AY24)/2)</f>
        <v>9.65</v>
      </c>
      <c r="QG24" s="37">
        <f>IF($CV24="P",CC24,(CC24+AZ24)/2)</f>
        <v>2.6</v>
      </c>
      <c r="QH24" s="37">
        <f>IF($CV24="P",CD24,(CD24+BA24)/2)</f>
        <v>0</v>
      </c>
      <c r="QI24" s="37">
        <f>IF($CV24="P",CE24,(CE24+BB24)/2)</f>
        <v>0</v>
      </c>
      <c r="QJ24" s="37">
        <f>IF($CV24="P",CF24,(CF24+BC24)/2)</f>
        <v>9.6</v>
      </c>
      <c r="QK24" s="37">
        <f>IF($CV24="P",CG24,(CG24+BD24)/2)</f>
        <v>2.6</v>
      </c>
      <c r="QL24" s="37">
        <f>IF($CV24="P",CH24,(CH24+BE24)/2)</f>
        <v>0.3</v>
      </c>
      <c r="QM24" s="37">
        <f>IF($CV24="P",CI24,(CI24+BF24)/2)</f>
        <v>0</v>
      </c>
      <c r="QN24" s="37">
        <f>IF($CV24="P",CJ24,(CJ24+BG24)/2)</f>
        <v>9.65</v>
      </c>
      <c r="QO24" s="37">
        <f>IF($CV24="P",CK24,(CK24+BH24)/2)</f>
        <v>2.15</v>
      </c>
      <c r="QP24" s="37">
        <f>IF($CV24="P",CL24,(CL24+BI24)/2)</f>
        <v>0.3</v>
      </c>
      <c r="QQ24" s="37">
        <f>IF($CV24="P",CM24,(CM24+BJ24)/2)</f>
        <v>0</v>
      </c>
      <c r="QR24" s="37">
        <f>IF($CV24="P",CN24,(CN24+BK24)/2)</f>
        <v>8.8000000000000007</v>
      </c>
      <c r="QS24" s="37">
        <f>IF($CV24="P",CO24,(CO24+BL24)/2)</f>
        <v>1.2</v>
      </c>
      <c r="QT24" s="37">
        <f>IF($CV24="P",CP24,(CP24+BM24)/2)</f>
        <v>0</v>
      </c>
      <c r="QU24" s="37">
        <f>IF($CV24="P",CQ24,(CQ24+BN24)/2)</f>
        <v>0</v>
      </c>
      <c r="QV24" s="37">
        <f>IF($CV24="P",CR24,(CR24+BO24)/2)</f>
        <v>9.8000000000000007</v>
      </c>
      <c r="QW24" s="37">
        <f>IF($CV24="P",CS24,(CS24+BP24)/2)</f>
        <v>2.8</v>
      </c>
      <c r="QX24" s="37">
        <f>IF($CV24="P",CT24,(CT24+BQ24)/2)</f>
        <v>0</v>
      </c>
      <c r="QY24" s="37">
        <f>IF($CV24="P",CU24,(CU24+BR24)/2)</f>
        <v>0</v>
      </c>
      <c r="QZ24" s="44" t="s">
        <v>46</v>
      </c>
      <c r="RA24" s="78">
        <f>IF(SUM(QG24,QK24)&gt;0,SUM(QG24,QK24),"")</f>
        <v>5.2</v>
      </c>
      <c r="RB24" s="78">
        <f>IF(SUM(QF24:QG24,QI24:QK24,QM24)-QH24-QL24&gt;0,SUM(QF24:QG24,QI24:QK24,QM24)-QH24-QL24,"")</f>
        <v>24.150000000000002</v>
      </c>
      <c r="RC24" s="78">
        <f>IF(SUM(QN24:QO24,QQ24)-QP24&gt;0,SUM(QN24:QO24,QQ24)-QP24,"")</f>
        <v>11.5</v>
      </c>
      <c r="RD24" s="78">
        <f>IF(SUM(QG24,QK24,QO24)&gt;0,SUM(QG24,QK24,QO24),"")</f>
        <v>7.35</v>
      </c>
      <c r="RE24" s="78">
        <f>IF(SUM(RB24,RC24)&gt;0,SUM(RB24,RC24),"")</f>
        <v>35.650000000000006</v>
      </c>
      <c r="RF24" s="78">
        <f>IF(SUM(QS24,QW24)&gt;0,SUM(QS24,QW24),"")</f>
        <v>4</v>
      </c>
      <c r="RG24" s="78">
        <f>IF(SUM(QR24:QS24,QU24:QW24,QY24)-SUM(QT24,QX24)&gt;0,SUM(QR24:QS24,QU24:QW24,QY24)-SUM(QT24,QX24),"")</f>
        <v>22.6</v>
      </c>
      <c r="RH24" s="78">
        <f>IF(SUM(RB24,RG24)&gt;0,SUM(RB24,RG24),"")</f>
        <v>46.75</v>
      </c>
    </row>
    <row r="25" spans="1:476" x14ac:dyDescent="0.2">
      <c r="A25" s="5" t="str">
        <f>IF(AND(F25="P",G25="P"),SUMPRODUCT((F$4:F$32="P")*(G$4:G$32="P")*(E$4:E$32&gt;E25))+1,IF(G25="P",SUMPRODUCT((F$4:F$32="")*(G$4:G$32="P")*(E$4:E$32&gt;E25))+1+SUMPRODUCT((F$4:F$32="P")*(G$4:G$32="P")),""))</f>
        <v/>
      </c>
      <c r="B25" s="77" t="s">
        <v>130</v>
      </c>
      <c r="C25" s="5" t="s">
        <v>4</v>
      </c>
      <c r="D25" s="5">
        <v>2005</v>
      </c>
      <c r="E25" s="15">
        <f>SUM(I25:S25)+SUM(I25:O25)*0.0000001+SUM(I25)*0.0000000000001</f>
        <v>130.2000119900041</v>
      </c>
      <c r="F25" s="3" t="str">
        <f>IF(OR(AND(AQ25&gt;=AX$34,AR25&gt;=AX$38,AQ25&lt;&gt;"",AP25=""),AND(AV25&gt;=AX$34,AW25&gt;=AX$38,AV25&lt;&gt;"",AP25=""),AND(BT25&gt;=CA$34,BU25&gt;=CA$38,BT25&lt;&gt;"",BS25=""),AND(BY25&gt;=CA$34,BZ25&gt;=CA$38,BY25&lt;&gt;"",BS25=""),AND(CW25&gt;=DD$34,CX25&gt;=DD$38,CW25&lt;&gt;"",CV25=""),AND(DB25&gt;=DD$34,DC25&gt;=DD$38,DB25&lt;&gt;""),AND(EB25&gt;=EI$34,EC25&gt;=EI$38,EB25&lt;&gt;""),AND(EG25&gt;=EI$34,EH25&gt;=EI$38,EG25&lt;&gt;""),AND(FD25&gt;=FK$34,FE25&gt;=FK$38,FD25&lt;&gt;""),AND(FI25&gt;=FK$34,FJ25&gt;=FK$38,FI25&lt;&gt;""),AND(GF25&gt;=GM$34,GG25&gt;=GM$38,GF25&lt;&gt;""),AND(GK25&gt;=GM$34,GL25&gt;=GM$38,GK25&lt;&gt;""),AND(HH25&gt;=HO$34,HI25&gt;=HO$38,HH25&lt;&gt;""),AND(HM25&gt;=HO$34,HN25&gt;=HO$38,HM25&lt;&gt;""),AND(IJ25&gt;=IQ$34,IK25&gt;=IQ$38,IJ25&lt;&gt;""),AND(IO25&gt;=IQ$34,IP25&gt;=IQ$38,IO25&lt;&gt;""),AND(JL25&gt;=JS$34,JM25&gt;=JS$38,JL25&lt;&gt;""),AND(JQ25&gt;=JS$34,JR25&gt;=JS$38,JQ25&lt;&gt;""),AND(KN25&gt;=KU$34,KO25&gt;=KU$38,KN25&lt;&gt;""),AND(KS25&gt;=KU$34,KT25&gt;=KU$38,KS25&lt;&gt;""),AND(LP25&gt;=LW$34,LQ25&gt;=LW$38,LP25&lt;&gt;""),AND(LU25&gt;=LW$34,LV25&gt;=LW$38,LU25&lt;&gt;""),AND(MR25&gt;=MY$34,MS25&gt;=MY$38,MR25&lt;&gt;""),AND(MW25&gt;=MY$34,MX25&gt;=MY$38,MW25&lt;&gt;""),AND(NT25&gt;=OA$34,NU25&gt;=OA$38,NT25&lt;&gt;""),AND(NY25&gt;=OA$34,NZ25&gt;=OA$38,NY25&lt;&gt;""),AND(OV25&gt;=PC$34,OW25&gt;=PC$38,OV25&lt;&gt;""),AND(PA25&gt;=PC$34,PB25&gt;=PC$38,PA25&lt;&gt;""),AND(PX25&gt;=QE$34,PY25&gt;=QE$38,PX25&lt;&gt;""),AND(QC25&gt;=QE$34,QD25&gt;=QE$38,QC25&lt;&gt;"")),"P","")</f>
        <v/>
      </c>
      <c r="G25" s="3" t="str">
        <f>IF(OR(AND(AR25&gt;=AX$38,AR25&lt;&gt;"",AP25=""),AND(AW25&gt;=AX$38,AW25&lt;&gt;"",AP25=""),AND(BU25&gt;=CA$38,BU25&lt;&gt;"",BS25=""),AND(BZ25&gt;=CA$38,BZ25&lt;&gt;"",BS25=""),AND(CX25&gt;=DD$38,CX25&lt;&gt;"",CV25=""),AND(DC25&gt;=DD$38,DC25&lt;&gt;"",CV25=""),AND(EC25&gt;=EI$38,EC25&lt;&gt;""),AND(EH25&gt;=EI$38,EH25&lt;&gt;""),AND(FE25&gt;=FK$38,FE25&lt;&gt;""),AND(FJ25&gt;=FK$38,FJ25&lt;&gt;""),AND(GG25&gt;=GM$38,GG25&lt;&gt;""),AND(GL25&gt;=GM$38,GL25&lt;&gt;""),AND(HI25&gt;=HO$38,HI25&lt;&gt;""),AND(HN25&gt;=HO$38,HN25&lt;&gt;""),AND(IK25&gt;=IQ$38,IK25&lt;&gt;""),AND(IP25&gt;=IQ$38,IP25&lt;&gt;""),AND(JM25&gt;=JS$38,JM25&lt;&gt;""),AND(JR25&gt;=JS$38,JR25&lt;&gt;""),AND(KO25&gt;=KU$38,KO25&lt;&gt;""),AND(KT25&gt;=KU$38,KT25&lt;&gt;""),AND(LQ25&gt;=LW$38,LQ25&lt;&gt;""),AND(LV25&gt;=LW$38,LV25&lt;&gt;""),AND(MS25&gt;=MY$38,MS25&lt;&gt;""),AND(MX25&gt;=MY$38,MX25&lt;&gt;""),AND(NU25&gt;=OA$38,NU25&lt;&gt;""),AND(NZ25&gt;=OA$38,NZ25&lt;&gt;""),AND(OW25&gt;=PC$38,OW25&lt;&gt;""),AND(PB25&gt;=PC$38,PB25&lt;&gt;""),AND(PY25&gt;=QE$38,PY25&lt;&gt;""),AND(QD25&gt;=QE$38,QD25&lt;&gt;"")),"P","")</f>
        <v/>
      </c>
      <c r="H25" s="66" t="str">
        <f>IF(AND(G25="P",F25=""),"No DD",IF(OR(AND(AT25&gt;=AX$37,AU25&gt;=AX$41,AT25&lt;&gt;"",AP25=""),AND(BW25&gt;=CA$37,BX25&gt;=CA$41,BW25&lt;&gt;"",BS25=""),AND(CZ25&gt;=DD$37,DA25&gt;=DD$41,CZ25&lt;&gt;"",CV25=""),AND(EE25&gt;=EI$37,EF25&gt;=EI$41,EE25&lt;&gt;""),AND(FG25&gt;=FK$37,FH25&gt;=FK$41,FG25&lt;&gt;""),AND(GI25&gt;=GM$37,GJ25&gt;=GM$41,GI25&lt;&gt;""),AND(HK25&gt;=HO$37,HL25&gt;=HO$41,HK25&lt;&gt;""),AND(IM25&gt;=IQ$37,IN25&gt;=IQ$41,IM25&lt;&gt;""),AND(JO25&gt;=JS$37,JP25&gt;=JS$41,JO25&lt;&gt;""),AND(KQ25&gt;=KU$37,KR25&gt;=KU$41,KQ25&lt;&gt;""),AND(LS25&gt;=LW$37,LT25&gt;=LW$41,LS25&lt;&gt;""),AND(MU25&gt;=MY$37,MV25&gt;=MY$41,MU25&lt;&gt;""),AND(NW25&gt;=OA$37,NX25&gt;=OA$41,NW25&lt;&gt;""),AND(OY25&gt;=PC$37,OZ25&gt;=PC$41,OY25&lt;&gt;""),AND(QA25&gt;=QE$37,QB25&gt;=QE$41,QA25&lt;&gt;"")),"Merit",IF(OR(AND(AT25&gt;=AX$36,AU25&gt;=AX$40,AT25&lt;&gt;"",AP25=""),AND(BW25&gt;=CA$36,BX25&gt;=CA$40,BW25&lt;&gt;"",BS25=""),AND(CZ25&gt;=DD$36,DA25&gt;=DD$40,CZ25&lt;&gt;"",CV25=""),AND(EE25&gt;=EI$36,EF25&gt;=EI$40,EE25&lt;&gt;""),AND(FG25&gt;=FK$36,FH25&gt;=FK$40,FG25&lt;&gt;""),AND(GI25&gt;=GM$36,GJ25&gt;=GM$40,GI25&lt;&gt;""),AND(HK25&gt;=HO$36,HL25&gt;=HO$40,HK25&lt;&gt;""),AND(IM25&gt;=IQ$36,IN25&gt;=IQ$40,IM25&lt;&gt;""),AND(JO25&gt;=JS$36,JP25&gt;=JS$40,JO25&lt;&gt;""),AND(KQ25&gt;=KU$36,KR25&gt;=KU$40,KQ25&lt;&gt;""),AND(LS25&gt;=LW$36,LT25&gt;=LW$40,LS25&lt;&gt;""),AND(MU25&gt;=MY$36,MV25&gt;=MY$40,MU25&lt;&gt;""),AND(NW25&gt;=OA$36,NX25&gt;=OA$40,NW25&lt;&gt;""),AND(OY25&gt;=PC$36,OZ25&gt;=PC$40,OY25&lt;&gt;""),AND(QA25&gt;=QE$36,QB25&gt;=QE$40,QA25&lt;&gt;"")),"Excellence",IF(F25="P","National Team",""))))</f>
        <v/>
      </c>
      <c r="I25" s="14">
        <f>IF(COUNT(AR25,BU25,CX25)&gt;0,LARGE((AR25,BU25,CX25),1),0)</f>
        <v>40.799999999999997</v>
      </c>
      <c r="J25" s="14" t="str">
        <f>IF(I25=0,"",IF(I25=CX25,$CB$1,IF(I25=BU25,$AY$1,IF(I25=AR25,$V$1,""))))</f>
        <v>2022 Elite Canada</v>
      </c>
      <c r="K25" s="14">
        <f>IF(COUNT(AR25,BU25,CX25)&gt;1,LARGE((AR25,BU25,CX25),2),0)</f>
        <v>35.699999999999996</v>
      </c>
      <c r="L25" s="14" t="str">
        <f>IF(K25=0,"",IF(K25=CX25,$CB$1,IF(K25=BU25,$AY$1,IF(K25=AR25,$V$1,""))))</f>
        <v>2022 Nationals</v>
      </c>
      <c r="M25" s="14">
        <f>IF(COUNT(AS25,BV25,CY25)&gt;0,LARGE((AS25,BV25,CY25),1),0)</f>
        <v>21.7</v>
      </c>
      <c r="N25" s="14" t="str">
        <f>IF(M25=0,"",IF(M25=CY25,$CB$1,IF(M25=BV25,$AY$1,IF(M25=AS25,$V$1,""))))</f>
        <v>2022 Nationals</v>
      </c>
      <c r="O25" s="14">
        <f>IF(COUNT(AS25,BV25,CY25)&gt;1,LARGE((AS25,BV25,CY25),2),0)</f>
        <v>21.7</v>
      </c>
      <c r="P25" s="14" t="str">
        <f>IF(O25=0,"",IF(O25=CY25,$CB$1,IF(O25=BV25,$AY$1,IF(O25=AS25,$V$1,""))))</f>
        <v>2022 Nationals</v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>
        <f>IF(MAX(DE25:DG25)&gt;0,MAX(DE25:DG25),"")</f>
        <v>10.300000000000004</v>
      </c>
      <c r="T25" s="19" t="str">
        <f>IF(S25="","",IF(S25=DE25,"("&amp;DE$2&amp;")",IF(S25=DG25,"("&amp;DG$2&amp;")")))</f>
        <v>(Q1)</v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>2022 Coimbra Gym Fest (June 26)</v>
      </c>
      <c r="V25" s="26">
        <v>17.899999999999999</v>
      </c>
      <c r="W25" s="26">
        <v>4.4000000000000004</v>
      </c>
      <c r="X25" s="26">
        <v>0.8</v>
      </c>
      <c r="Y25" s="26">
        <v>0</v>
      </c>
      <c r="Z25" s="26">
        <v>18</v>
      </c>
      <c r="AA25" s="26">
        <v>2.4</v>
      </c>
      <c r="AB25" s="26">
        <v>1.1000000000000001</v>
      </c>
      <c r="AC25" s="26">
        <v>0</v>
      </c>
      <c r="AD25" s="26">
        <v>18.2</v>
      </c>
      <c r="AE25" s="26">
        <v>3.5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44"/>
      <c r="AQ25" s="78">
        <f>IF(SUM(W25,AA25)&gt;0,SUM(W25,AA25),"")</f>
        <v>6.8000000000000007</v>
      </c>
      <c r="AR25" s="78">
        <f>IF(SUM(V25:W25,Y25:AA25,AC25)-X25-AB25&gt;0,SUM(V25:W25,Y25:AA25,AC25)-X25-AB25,"")</f>
        <v>40.799999999999997</v>
      </c>
      <c r="AS25" s="78">
        <f>IF(SUM(AD25:AE25,AG25)-AF25&gt;0,SUM(AD25:AE25,AG25)-AF25,"")</f>
        <v>21.7</v>
      </c>
      <c r="AT25" s="78">
        <f>IF(SUM(W25,AA25,AE25)&gt;0,SUM(W25,AA25,AE25),"")</f>
        <v>10.3</v>
      </c>
      <c r="AU25" s="78">
        <f>IF(SUM(AR25,AS25)&gt;0,SUM(AR25,AS25),"")</f>
        <v>62.5</v>
      </c>
      <c r="AV25" s="78" t="str">
        <f>IF(SUM(AI25,AM25)&gt;0,SUM(AI25,AM25),"")</f>
        <v/>
      </c>
      <c r="AW25" s="78" t="str">
        <f>IF(SUM(AH25:AI25,AK25:AM25,AO25)-SUM(AJ25,AN25)&gt;0,SUM(AH25:AI25,AK25:AM25,AO25)-SUM(AJ25,AN25),"")</f>
        <v/>
      </c>
      <c r="AX25" s="78">
        <f>IF(SUM(AR25,AW25)&gt;0,SUM(AR25,AW25),"")</f>
        <v>40.799999999999997</v>
      </c>
      <c r="AY25" s="25">
        <v>18</v>
      </c>
      <c r="AZ25" s="25">
        <v>4.4000000000000004</v>
      </c>
      <c r="BA25" s="25">
        <v>1</v>
      </c>
      <c r="BB25" s="25">
        <v>0</v>
      </c>
      <c r="BC25" s="25">
        <v>18.2</v>
      </c>
      <c r="BD25" s="25">
        <v>0</v>
      </c>
      <c r="BE25" s="25">
        <v>3.9</v>
      </c>
      <c r="BF25" s="25">
        <v>0</v>
      </c>
      <c r="BG25" s="25">
        <v>18.399999999999999</v>
      </c>
      <c r="BH25" s="25">
        <v>3.5</v>
      </c>
      <c r="BI25" s="25">
        <v>0.2</v>
      </c>
      <c r="BJ25" s="25">
        <v>0</v>
      </c>
      <c r="BK25" s="25"/>
      <c r="BL25" s="25"/>
      <c r="BM25" s="25"/>
      <c r="BN25" s="25"/>
      <c r="BO25" s="25"/>
      <c r="BP25" s="25"/>
      <c r="BQ25" s="25"/>
      <c r="BR25" s="25"/>
      <c r="BS25" s="45"/>
      <c r="BT25" s="19">
        <f>IF(SUM(AZ25,BD25)&gt;0,SUM(AZ25,BD25),"")</f>
        <v>4.4000000000000004</v>
      </c>
      <c r="BU25" s="19">
        <f>IF(SUM(AY25:AZ25,BB25:BD25,BF25)-BA25-BE25&gt;0,SUM(AY25:AZ25,BB25:BD25,BF25)-BA25-BE25,"")</f>
        <v>35.699999999999996</v>
      </c>
      <c r="BV25" s="19">
        <f>IF(SUM(BG25:BH25,BJ25)-BI25&gt;0,SUM(BG25:BH25,BJ25)-BI25,"")</f>
        <v>21.7</v>
      </c>
      <c r="BW25" s="19">
        <f>IF(SUM(AZ25,BD25,BH25)&gt;0,SUM(AZ25,BD25,BH25),"")</f>
        <v>7.9</v>
      </c>
      <c r="BX25" s="19">
        <f>IF(SUM(BU25,BV25)&gt;0,SUM(BU25,BV25),"")</f>
        <v>57.399999999999991</v>
      </c>
      <c r="BY25" s="19" t="str">
        <f>IF(SUM(BL25,BP25)&gt;0,SUM(BL25,BP25),"")</f>
        <v/>
      </c>
      <c r="BZ25" s="19" t="str">
        <f>IF(SUM(BK25:BL25,BN25:BP25,BR25)-SUM(BM25,BQ25)&gt;0,SUM(BK25:BL25,BN25:BP25,BR25)-SUM(BM25,BQ25),"")</f>
        <v/>
      </c>
      <c r="CA25" s="19">
        <f>IF(SUM(BU25,BZ25)&gt;0,SUM(BU25,BZ25),"")</f>
        <v>35.699999999999996</v>
      </c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44"/>
      <c r="CW25" s="78" t="str">
        <f>IF(SUM(CC25,CG25)&gt;0,SUM(CC25,CG25),"")</f>
        <v/>
      </c>
      <c r="CX25" s="78" t="str">
        <f>IF(SUM(CB25:CC25,CE25:CG25,CI25)-CD25-CH25&gt;0,SUM(CB25:CC25,CE25:CG25,CI25)-CD25-CH25,"")</f>
        <v/>
      </c>
      <c r="CY25" s="78" t="str">
        <f>IF(SUM(CJ25:CK25,CM25)-CL25&gt;0,SUM(CJ25:CK25,CM25)-CL25,"")</f>
        <v/>
      </c>
      <c r="CZ25" s="78" t="str">
        <f>IF(SUM(CC25,CG25,CK25)&gt;0,SUM(CC25,CG25,CK25),"")</f>
        <v/>
      </c>
      <c r="DA25" s="78" t="str">
        <f>IF(SUM(CX25,CY25)&gt;0,SUM(CX25,CY25),"")</f>
        <v/>
      </c>
      <c r="DB25" s="78" t="str">
        <f>IF(SUM(CO25,CS25)&gt;0,SUM(CO25,CS25),"")</f>
        <v/>
      </c>
      <c r="DC25" s="78" t="str">
        <f>IF(SUM(CN25:CO25,CQ25:CS25,CU25)-SUM(CP25,CT25)&gt;0,SUM(CN25:CO25,CQ25:CS25,CU25)-SUM(CP25,CT25),"")</f>
        <v/>
      </c>
      <c r="DD25" s="78" t="str">
        <f>IF(SUM(CX25,DC25)&gt;0,SUM(CX25,DC25),"")</f>
        <v/>
      </c>
      <c r="DE25" s="79">
        <f>IF(K25&gt;=0.001,IF(MAX(EC25,FE25,GG25,HI25,IK25,JM25,KO25,LQ25,MS25,NU25,OW25,PY25)-IF(K25="",0,K25)&gt;0.001,MAX(EC25,FE25,GG25,HI25,IK25,JM25,KO25,LQ25,MS25,NU25,OW25,PY25)-IF(K25="",0,K25),""),"")</f>
        <v>10.300000000000004</v>
      </c>
      <c r="DF25" s="79" t="str">
        <f>IF(O25&gt;=0.001,IF(MAX(ED25,FF25,GH25,HJ25,IL25,JN25,KP25,LR25,MT25,NV25,OX25,PZ25)-IF(O25="",0,O25)&gt;0.001,MAX(ED25,FF25,GH25,HJ25,IL25,JN25,KP25,LR25,MT25,NV25,OX25,PZ25)-IF(O25="",0,O25),""),"")</f>
        <v/>
      </c>
      <c r="DG25" s="79" t="str">
        <f>IF(Q25&gt;=0.001,IF(MAX(EH25,FJ25,GL25,HN25,IP25,JR25,KT25,LV25,MX25,NZ25,PB25,QD25)-IF(Q25="",0,Q25)&gt;0.001,MAX(EH25,FJ25,GL25,HN25,IP25,JR25,KT25,LV25,MX25,NZ25,PB25,QD25)-IF(Q25="",0,Q25),""),"")</f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>IF(SUM(DI25,DM25)&gt;0,SUM(DI25,DM25),"")</f>
        <v/>
      </c>
      <c r="EC25" s="78" t="str">
        <f>IF(SUM(DH25:DI25,DK25:DM25,DO25)-DJ25-DN25&gt;0,SUM(DH25:DI25,DK25:DM25,DO25)-DJ25-DN25,"")</f>
        <v/>
      </c>
      <c r="ED25" s="78" t="str">
        <f>IF(SUM(DP25:DQ25,DS25)-DR25&gt;0,SUM(DP25:DQ25,DS25)-DR25,"")</f>
        <v/>
      </c>
      <c r="EE25" s="78" t="str">
        <f>IF(SUM(DI25,DM25,DQ25)&gt;0,SUM(DI25,DM25,DQ25),"")</f>
        <v/>
      </c>
      <c r="EF25" s="78" t="str">
        <f>IF(SUM(EC25,ED25)&gt;0,SUM(EC25,ED25),"")</f>
        <v/>
      </c>
      <c r="EG25" s="78" t="str">
        <f>IF(SUM(DU25,DY25)&gt;0,SUM(DU25,DY25),"")</f>
        <v/>
      </c>
      <c r="EH25" s="78" t="str">
        <f>IF(SUM(DT25:DU25,DW25:DY25,EA25)-SUM(DV25,DZ25)&gt;0,SUM(DT25:DU25,DW25:DY25,EA25)-SUM(DV25,DZ25),"")</f>
        <v/>
      </c>
      <c r="EI25" s="78" t="str">
        <f>IF(SUM(EC25,EH25)&gt;0,SUM(EC25,EH25),"")</f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>IF(SUM(EK25,EO25)&gt;0,SUM(EK25,EO25),"")</f>
        <v/>
      </c>
      <c r="FE25" s="19" t="str">
        <f>IF(SUM(EJ25:EK25,EM25:EO25,EQ25)-EL25-EP25&gt;0,SUM(EJ25:EK25,EM25:EO25,EQ25)-EL25-EP25,"")</f>
        <v/>
      </c>
      <c r="FF25" s="19" t="str">
        <f>IF(SUM(ER25:ES25,EU25)-ET25&gt;0,SUM(ER25:ES25,EU25)-ET25,"")</f>
        <v/>
      </c>
      <c r="FG25" s="19" t="str">
        <f>IF(SUM(EK25,EO25,ES25)&gt;0,SUM(EK25,EO25,ES25),"")</f>
        <v/>
      </c>
      <c r="FH25" s="19" t="str">
        <f>IF(SUM(FE25,FF25)&gt;0,SUM(FE25,FF25),"")</f>
        <v/>
      </c>
      <c r="FI25" s="19" t="str">
        <f>IF(SUM(EW25,FA25)&gt;0,SUM(EW25,FA25),"")</f>
        <v/>
      </c>
      <c r="FJ25" s="19" t="str">
        <f>IF(SUM(EV25:EW25,EY25:FA25,FC25)-SUM(EX25,FB25)&gt;0,SUM(EV25:EW25,EY25:FA25,FC25)-SUM(EX25,FB25),"")</f>
        <v/>
      </c>
      <c r="FK25" s="19" t="str">
        <f>IF(SUM(FE25,FJ25)&gt;0,SUM(FE25,FJ25),"")</f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>IF(SUM(FM25,FQ25)&gt;0,SUM(FM25,FQ25),"")</f>
        <v/>
      </c>
      <c r="GG25" s="78" t="str">
        <f>IF(SUM(FL25:FM25,FO25:FQ25,FS25)-FN25-FR25&gt;0,SUM(FL25:FM25,FO25:FQ25,FS25)-FN25-FR25,"")</f>
        <v/>
      </c>
      <c r="GH25" s="78" t="str">
        <f>IF(SUM(FT25:FU25,FW25)-FV25&gt;0,SUM(FT25:FU25,FW25)-FV25,"")</f>
        <v/>
      </c>
      <c r="GI25" s="78" t="str">
        <f>IF(SUM(FM25,FQ25,FU25)&gt;0,SUM(FM25,FQ25,FU25),"")</f>
        <v/>
      </c>
      <c r="GJ25" s="78" t="str">
        <f>IF(SUM(GG25,GH25)&gt;0,SUM(GG25,GH25),"")</f>
        <v/>
      </c>
      <c r="GK25" s="78" t="str">
        <f>IF(SUM(FY25,GC25)&gt;0,SUM(FY25,GC25),"")</f>
        <v/>
      </c>
      <c r="GL25" s="78" t="str">
        <f>IF(SUM(FX25:FY25,GA25:GC25,GE25)-SUM(FZ25,GD25)&gt;0,SUM(FX25:FY25,GA25:GC25,GE25)-SUM(FZ25,GD25),"")</f>
        <v/>
      </c>
      <c r="GM25" s="78" t="str">
        <f>IF(SUM(GG25,GL25)&gt;0,SUM(GG25,GL25),"")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>IF(SUM(GO25,GS25)&gt;0,SUM(GO25,GS25),"")</f>
        <v/>
      </c>
      <c r="HI25" s="19" t="str">
        <f>IF(SUM(GN25:GO25,GQ25:GS25,GU25)-GP25-GT25&gt;0,SUM(GN25:GO25,GQ25:GS25,GU25)-GP25-GT25,"")</f>
        <v/>
      </c>
      <c r="HJ25" s="19" t="str">
        <f>IF(SUM(GV25:GW25,GY25)-GX25&gt;0,SUM(GV25:GW25,GY25)-GX25,"")</f>
        <v/>
      </c>
      <c r="HK25" s="19" t="str">
        <f>IF(SUM(GO25,GS25,GW25)&gt;0,SUM(GO25,GS25,GW25),"")</f>
        <v/>
      </c>
      <c r="HL25" s="19" t="str">
        <f>IF(SUM(HI25,HJ25)&gt;0,SUM(HI25,HJ25),"")</f>
        <v/>
      </c>
      <c r="HM25" s="19" t="str">
        <f>IF(SUM(HA25,HE25)&gt;0,SUM(HA25,HE25),"")</f>
        <v/>
      </c>
      <c r="HN25" s="19" t="str">
        <f>IF(SUM(GZ25:HA25,HC25:HE25,HG25)-SUM(HB25,HF25)&gt;0,SUM(GZ25:HA25,HC25:HE25,HG25)-SUM(HB25,HF25),"")</f>
        <v/>
      </c>
      <c r="HO25" s="19" t="str">
        <f>IF(SUM(HI25,HN25)&gt;0,SUM(HI25,HN25),"")</f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>IF(SUM(HQ25,HU25)&gt;0,SUM(HQ25,HU25),"")</f>
        <v/>
      </c>
      <c r="IK25" s="78" t="str">
        <f>IF(SUM(HP25:HQ25,HS25:HU25,HW25)-HR25-HV25&gt;0,SUM(HP25:HQ25,HS25:HU25,HW25)-HR25-HV25,"")</f>
        <v/>
      </c>
      <c r="IL25" s="78" t="str">
        <f>IF(SUM(HX25:HY25,IA25)-HZ25&gt;0,SUM(HX25:HY25,IA25)-HZ25,"")</f>
        <v/>
      </c>
      <c r="IM25" s="78" t="str">
        <f>IF(SUM(HQ25,HU25,HY25)&gt;0,SUM(HQ25,HU25,HY25),"")</f>
        <v/>
      </c>
      <c r="IN25" s="78" t="str">
        <f>IF(SUM(IK25,IL25)&gt;0,SUM(IK25,IL25),"")</f>
        <v/>
      </c>
      <c r="IO25" s="78" t="str">
        <f>IF(SUM(IC25,IG25)&gt;0,SUM(IC25,IG25),"")</f>
        <v/>
      </c>
      <c r="IP25" s="78" t="str">
        <f>IF(SUM(IB25:IC25,IE25:IG25,II25)-SUM(ID25,IH25)&gt;0,SUM(IB25:IC25,IE25:IG25,II25)-SUM(ID25,IH25),"")</f>
        <v/>
      </c>
      <c r="IQ25" s="78" t="str">
        <f>IF(SUM(IK25,IP25)&gt;0,SUM(IK25,IP25),"")</f>
        <v/>
      </c>
      <c r="IR25" s="25">
        <v>18.399999999999999</v>
      </c>
      <c r="IS25" s="25">
        <v>4.4000000000000004</v>
      </c>
      <c r="IT25" s="25">
        <v>0.6</v>
      </c>
      <c r="IU25" s="25">
        <v>0</v>
      </c>
      <c r="IV25" s="25">
        <v>18.600000000000001</v>
      </c>
      <c r="IW25" s="25">
        <v>5.2</v>
      </c>
      <c r="IX25" s="25">
        <v>0</v>
      </c>
      <c r="IY25" s="25">
        <v>0</v>
      </c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>
        <f>IF(SUM(IS25,IW25)&gt;0,SUM(IS25,IW25),"")</f>
        <v>9.6000000000000014</v>
      </c>
      <c r="JM25" s="19">
        <f>IF(SUM(IR25:IS25,IU25:IW25,IY25)-IT25-IX25&gt;0,SUM(IR25:IS25,IU25:IW25,IY25)-IT25-IX25,"")</f>
        <v>46</v>
      </c>
      <c r="JN25" s="19" t="str">
        <f>IF(SUM(IZ25:JA25,JC25)-JB25&gt;0,SUM(IZ25:JA25,JC25)-JB25,"")</f>
        <v/>
      </c>
      <c r="JO25" s="19">
        <f>IF(SUM(IS25,IW25,JA25)&gt;0,SUM(IS25,IW25,JA25),"")</f>
        <v>9.6000000000000014</v>
      </c>
      <c r="JP25" s="19">
        <f>IF(SUM(JM25,JN25)&gt;0,SUM(JM25,JN25),"")</f>
        <v>46</v>
      </c>
      <c r="JQ25" s="19" t="str">
        <f>IF(SUM(JE25,JI25)&gt;0,SUM(JE25,JI25),"")</f>
        <v/>
      </c>
      <c r="JR25" s="19" t="str">
        <f>IF(SUM(JD25:JE25,JG25:JI25,JK25)-SUM(JF25,JJ25)&gt;0,SUM(JD25:JE25,JG25:JI25,JK25)-SUM(JF25,JJ25),"")</f>
        <v/>
      </c>
      <c r="JS25" s="19">
        <f>IF(SUM(JM25,JR25)&gt;0,SUM(JM25,JR25),"")</f>
        <v>46</v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>IF(SUM(JU25,JY25)&gt;0,SUM(JU25,JY25),"")</f>
        <v/>
      </c>
      <c r="KO25" s="78" t="str">
        <f>IF(SUM(JT25:JU25,JW25:JY25,KA25)-JV25-JZ25&gt;0,SUM(JT25:JU25,JW25:JY25,KA25)-JV25-JZ25,"")</f>
        <v/>
      </c>
      <c r="KP25" s="78" t="str">
        <f>IF(SUM(KB25:KC25,KE25)-KD25&gt;0,SUM(KB25:KC25,KE25)-KD25,"")</f>
        <v/>
      </c>
      <c r="KQ25" s="78" t="str">
        <f>IF(SUM(JU25,JY25,KC25)&gt;0,SUM(JU25,JY25,KC25),"")</f>
        <v/>
      </c>
      <c r="KR25" s="78" t="str">
        <f>IF(SUM(KO25,KP25)&gt;0,SUM(KO25,KP25),"")</f>
        <v/>
      </c>
      <c r="KS25" s="78" t="str">
        <f>IF(SUM(KG25,KK25)&gt;0,SUM(KG25,KK25),"")</f>
        <v/>
      </c>
      <c r="KT25" s="78" t="str">
        <f>IF(SUM(KF25:KG25,KI25:KK25,KM25)-SUM(KH25,KL25)&gt;0,SUM(KF25:KG25,KI25:KK25,KM25)-SUM(KH25,KL25),"")</f>
        <v/>
      </c>
      <c r="KU25" s="78" t="str">
        <f>IF(SUM(KO25,KT25)&gt;0,SUM(KO25,KT25),"")</f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>IF(SUM(KW25,LA25)&gt;0,SUM(KW25,LA25),"")</f>
        <v/>
      </c>
      <c r="LQ25" s="19" t="str">
        <f>IF(SUM(KV25:KW25,KY25:LA25,LC25)-KX25-LB25&gt;0,SUM(KV25:KW25,KY25:LA25,LC25)-KX25-LB25,"")</f>
        <v/>
      </c>
      <c r="LR25" s="19" t="str">
        <f>IF(SUM(LD25:LE25,LG25)-LF25&gt;0,SUM(LD25:LE25,LG25)-LF25,"")</f>
        <v/>
      </c>
      <c r="LS25" s="19" t="str">
        <f>IF(SUM(KW25,LA25,LE25)&gt;0,SUM(KW25,LA25,LE25),"")</f>
        <v/>
      </c>
      <c r="LT25" s="19" t="str">
        <f>IF(SUM(LQ25,LR25)&gt;0,SUM(LQ25,LR25),"")</f>
        <v/>
      </c>
      <c r="LU25" s="19" t="str">
        <f>IF(SUM(LI25,LM25)&gt;0,SUM(LI25,LM25),"")</f>
        <v/>
      </c>
      <c r="LV25" s="19" t="str">
        <f>IF(SUM(LH25:LI25,LK25:LM25,LO25)-SUM(LJ25,LN25)&gt;0,SUM(LH25:LI25,LK25:LM25,LO25)-SUM(LJ25,LN25),"")</f>
        <v/>
      </c>
      <c r="LW25" s="19" t="str">
        <f>IF(SUM(LQ25,LV25)&gt;0,SUM(LQ25,LV25),"")</f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>IF(SUM(LY25,MC25)&gt;0,SUM(LY25,MC25),"")</f>
        <v/>
      </c>
      <c r="MS25" s="78" t="str">
        <f>IF(SUM(LX25:LY25,MA25:MC25,ME25)-LZ25-MD25&gt;0,SUM(LX25:LY25,MA25:MC25,ME25)-LZ25-MD25,"")</f>
        <v/>
      </c>
      <c r="MT25" s="78" t="str">
        <f>IF(SUM(MF25:MG25,MI25)-MH25&gt;0,SUM(MF25:MG25,MI25)-MH25,"")</f>
        <v/>
      </c>
      <c r="MU25" s="78" t="str">
        <f>IF(SUM(LY25,MC25,MG25)&gt;0,SUM(LY25,MC25,MG25),"")</f>
        <v/>
      </c>
      <c r="MV25" s="78" t="str">
        <f>IF(SUM(MS25,MT25)&gt;0,SUM(MS25,MT25),"")</f>
        <v/>
      </c>
      <c r="MW25" s="78" t="str">
        <f>IF(SUM(MK25,MO25)&gt;0,SUM(MK25,MO25),"")</f>
        <v/>
      </c>
      <c r="MX25" s="78" t="str">
        <f>IF(SUM(MJ25:MK25,MM25:MO25,MQ25)-SUM(ML25,MP25)&gt;0,SUM(MJ25:MK25,MM25:MO25,MQ25)-SUM(ML25,MP25),"")</f>
        <v/>
      </c>
      <c r="MY25" s="78" t="str">
        <f>IF(SUM(MS25,MX25)&gt;0,SUM(MS25,MX25),"")</f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>IF(SUM(NA25,NE25)&gt;0,SUM(NA25,NE25),"")</f>
        <v/>
      </c>
      <c r="NU25" s="19" t="str">
        <f>IF(SUM(MZ25:NA25,NC25:NE25,NG25)-NB25-NF25&gt;0,SUM(MZ25:NA25,NC25:NE25,NG25)-NB25-NF25,"")</f>
        <v/>
      </c>
      <c r="NV25" s="19" t="str">
        <f>IF(SUM(NH25:NI25,NK25)-NJ25&gt;0,SUM(NH25:NI25,NK25)-NJ25,"")</f>
        <v/>
      </c>
      <c r="NW25" s="19" t="str">
        <f>IF(SUM(NA25,NE25,NI25)&gt;0,SUM(NA25,NE25,NI25),"")</f>
        <v/>
      </c>
      <c r="NX25" s="19" t="str">
        <f>IF(SUM(NU25,NV25)&gt;0,SUM(NU25,NV25),"")</f>
        <v/>
      </c>
      <c r="NY25" s="19" t="str">
        <f>IF(SUM(NM25,NQ25)&gt;0,SUM(NM25,NQ25),"")</f>
        <v/>
      </c>
      <c r="NZ25" s="19" t="str">
        <f>IF(SUM(NL25:NM25,NO25:NQ25,NS25)-SUM(NN25,NR25)&gt;0,SUM(NL25:NM25,NO25:NQ25,NS25)-SUM(NN25,NR25),"")</f>
        <v/>
      </c>
      <c r="OA25" s="19" t="str">
        <f>IF(SUM(NU25,NZ25)&gt;0,SUM(NU25,NZ25),"")</f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>IF(SUM(OC25,OG25)&gt;0,SUM(OC25,OG25),"")</f>
        <v/>
      </c>
      <c r="OW25" s="78" t="str">
        <f>IF(SUM(OB25:OC25,OE25:OG25,OI25)-OD25-OH25&gt;0,SUM(OB25:OC25,OE25:OG25,OI25)-OD25-OH25,"")</f>
        <v/>
      </c>
      <c r="OX25" s="78" t="str">
        <f>IF(SUM(OJ25:OK25,OM25)-OL25&gt;0,SUM(OJ25:OK25,OM25)-OL25,"")</f>
        <v/>
      </c>
      <c r="OY25" s="78" t="str">
        <f>IF(SUM(OC25,OG25,OK25)&gt;0,SUM(OC25,OG25,OK25),"")</f>
        <v/>
      </c>
      <c r="OZ25" s="78" t="str">
        <f>IF(SUM(OW25,OX25)&gt;0,SUM(OW25,OX25),"")</f>
        <v/>
      </c>
      <c r="PA25" s="78" t="str">
        <f>IF(SUM(OO25,OS25)&gt;0,SUM(OO25,OS25),"")</f>
        <v/>
      </c>
      <c r="PB25" s="78" t="str">
        <f>IF(SUM(ON25:OO25,OQ25:OS25,OU25)-SUM(OP25,OT25)&gt;0,SUM(ON25:OO25,OQ25:OS25,OU25)-SUM(OP25,OT25),"")</f>
        <v/>
      </c>
      <c r="PC25" s="78" t="str">
        <f>IF(SUM(OW25,PB25)&gt;0,SUM(OW25,PB25),"")</f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>IF(SUM(PE25,PI25)&gt;0,SUM(PE25,PI25),"")</f>
        <v/>
      </c>
      <c r="PY25" s="19" t="str">
        <f>IF(SUM(PD25:PE25,PG25:PI25,PK25)-PF25-PJ25&gt;0,SUM(PD25:PE25,PG25:PI25,PK25)-PF25-PJ25,"")</f>
        <v/>
      </c>
      <c r="PZ25" s="19" t="str">
        <f>IF(SUM(PL25:PM25,PO25)-PN25&gt;0,SUM(PL25:PM25,PO25)-PN25,"")</f>
        <v/>
      </c>
      <c r="QA25" s="19" t="str">
        <f>IF(SUM(PE25,PI25,PM25)&gt;0,SUM(PE25,PI25,PM25),"")</f>
        <v/>
      </c>
      <c r="QB25" s="19" t="str">
        <f>IF(SUM(PY25,PZ25)&gt;0,SUM(PY25,PZ25),"")</f>
        <v/>
      </c>
      <c r="QC25" s="19" t="str">
        <f>IF(SUM(PQ25,PU25)&gt;0,SUM(PQ25,PU25),"")</f>
        <v/>
      </c>
      <c r="QD25" s="19" t="str">
        <f>IF(SUM(PP25:PQ25,PS25:PU25,PW25)-SUM(PR25,PV25)&gt;0,SUM(PP25:PQ25,PS25:PU25,PW25)-SUM(PR25,PV25),"")</f>
        <v/>
      </c>
      <c r="QE25" s="19" t="str">
        <f>IF(SUM(PY25,QD25)&gt;0,SUM(PY25,QD25),"")</f>
        <v/>
      </c>
      <c r="QF25" s="37">
        <f>IF($CV25="P",CB25,(CB25+AY25)/2)</f>
        <v>9</v>
      </c>
      <c r="QG25" s="37">
        <f>IF($CV25="P",CC25,(CC25+AZ25)/2)</f>
        <v>2.2000000000000002</v>
      </c>
      <c r="QH25" s="37">
        <f>IF($CV25="P",CD25,(CD25+BA25)/2)</f>
        <v>0.5</v>
      </c>
      <c r="QI25" s="37">
        <f>IF($CV25="P",CE25,(CE25+BB25)/2)</f>
        <v>0</v>
      </c>
      <c r="QJ25" s="37">
        <f>IF($CV25="P",CF25,(CF25+BC25)/2)</f>
        <v>9.1</v>
      </c>
      <c r="QK25" s="37">
        <f>IF($CV25="P",CG25,(CG25+BD25)/2)</f>
        <v>0</v>
      </c>
      <c r="QL25" s="37">
        <f>IF($CV25="P",CH25,(CH25+BE25)/2)</f>
        <v>1.95</v>
      </c>
      <c r="QM25" s="37">
        <f>IF($CV25="P",CI25,(CI25+BF25)/2)</f>
        <v>0</v>
      </c>
      <c r="QN25" s="37">
        <f>IF($CV25="P",CJ25,(CJ25+BG25)/2)</f>
        <v>9.1999999999999993</v>
      </c>
      <c r="QO25" s="37">
        <f>IF($CV25="P",CK25,(CK25+BH25)/2)</f>
        <v>1.75</v>
      </c>
      <c r="QP25" s="37">
        <f>IF($CV25="P",CL25,(CL25+BI25)/2)</f>
        <v>0.1</v>
      </c>
      <c r="QQ25" s="37">
        <f>IF($CV25="P",CM25,(CM25+BJ25)/2)</f>
        <v>0</v>
      </c>
      <c r="QR25" s="37">
        <f>IF($CV25="P",CN25,(CN25+BK25)/2)</f>
        <v>0</v>
      </c>
      <c r="QS25" s="37">
        <f>IF($CV25="P",CO25,(CO25+BL25)/2)</f>
        <v>0</v>
      </c>
      <c r="QT25" s="37">
        <f>IF($CV25="P",CP25,(CP25+BM25)/2)</f>
        <v>0</v>
      </c>
      <c r="QU25" s="37">
        <f>IF($CV25="P",CQ25,(CQ25+BN25)/2)</f>
        <v>0</v>
      </c>
      <c r="QV25" s="37">
        <f>IF($CV25="P",CR25,(CR25+BO25)/2)</f>
        <v>0</v>
      </c>
      <c r="QW25" s="37">
        <f>IF($CV25="P",CS25,(CS25+BP25)/2)</f>
        <v>0</v>
      </c>
      <c r="QX25" s="37">
        <f>IF($CV25="P",CT25,(CT25+BQ25)/2)</f>
        <v>0</v>
      </c>
      <c r="QY25" s="37">
        <f>IF($CV25="P",CU25,(CU25+BR25)/2)</f>
        <v>0</v>
      </c>
      <c r="QZ25" s="44" t="s">
        <v>46</v>
      </c>
      <c r="RA25" s="78">
        <f>IF(SUM(QG25,QK25)&gt;0,SUM(QG25,QK25),"")</f>
        <v>2.2000000000000002</v>
      </c>
      <c r="RB25" s="78">
        <f>IF(SUM(QF25:QG25,QI25:QK25,QM25)-QH25-QL25&gt;0,SUM(QF25:QG25,QI25:QK25,QM25)-QH25-QL25,"")</f>
        <v>17.849999999999998</v>
      </c>
      <c r="RC25" s="78">
        <f>IF(SUM(QN25:QO25,QQ25)-QP25&gt;0,SUM(QN25:QO25,QQ25)-QP25,"")</f>
        <v>10.85</v>
      </c>
      <c r="RD25" s="78">
        <f>IF(SUM(QG25,QK25,QO25)&gt;0,SUM(QG25,QK25,QO25),"")</f>
        <v>3.95</v>
      </c>
      <c r="RE25" s="78">
        <f>IF(SUM(RB25,RC25)&gt;0,SUM(RB25,RC25),"")</f>
        <v>28.699999999999996</v>
      </c>
      <c r="RF25" s="78" t="str">
        <f>IF(SUM(QS25,QW25)&gt;0,SUM(QS25,QW25),"")</f>
        <v/>
      </c>
      <c r="RG25" s="78" t="str">
        <f>IF(SUM(QR25:QS25,QU25:QW25,QY25)-SUM(QT25,QX25)&gt;0,SUM(QR25:QS25,QU25:QW25,QY25)-SUM(QT25,QX25),"")</f>
        <v/>
      </c>
      <c r="RH25" s="78">
        <f>IF(SUM(RB25,RG25)&gt;0,SUM(RB25,RG25),"")</f>
        <v>17.849999999999998</v>
      </c>
    </row>
    <row r="26" spans="1:476" x14ac:dyDescent="0.2">
      <c r="A26" s="5" t="str">
        <f>IF(AND(F26="P",G26="P"),SUMPRODUCT((F$4:F$32="P")*(G$4:G$32="P")*(E$4:E$32&gt;E26))+1,IF(G26="P",SUMPRODUCT((F$4:F$32="")*(G$4:G$32="P")*(E$4:E$32&gt;E26))+1+SUMPRODUCT((F$4:F$32="P")*(G$4:G$32="P")),""))</f>
        <v/>
      </c>
      <c r="B26" s="77" t="s">
        <v>79</v>
      </c>
      <c r="C26" s="5" t="s">
        <v>5</v>
      </c>
      <c r="D26" s="5">
        <v>2002</v>
      </c>
      <c r="E26" s="15">
        <f>SUM(I26:S26)+SUM(I26:O26)*0.0000001+SUM(I26)*0.0000000000001</f>
        <v>129.60001259000487</v>
      </c>
      <c r="F26" s="3" t="str">
        <f>IF(OR(AND(AQ26&gt;=AX$34,AR26&gt;=AX$38,AQ26&lt;&gt;"",AP26=""),AND(AV26&gt;=AX$34,AW26&gt;=AX$38,AV26&lt;&gt;"",AP26=""),AND(BT26&gt;=CA$34,BU26&gt;=CA$38,BT26&lt;&gt;"",BS26=""),AND(BY26&gt;=CA$34,BZ26&gt;=CA$38,BY26&lt;&gt;"",BS26=""),AND(CW26&gt;=DD$34,CX26&gt;=DD$38,CW26&lt;&gt;"",CV26=""),AND(DB26&gt;=DD$34,DC26&gt;=DD$38,DB26&lt;&gt;""),AND(EB26&gt;=EI$34,EC26&gt;=EI$38,EB26&lt;&gt;""),AND(EG26&gt;=EI$34,EH26&gt;=EI$38,EG26&lt;&gt;""),AND(FD26&gt;=FK$34,FE26&gt;=FK$38,FD26&lt;&gt;""),AND(FI26&gt;=FK$34,FJ26&gt;=FK$38,FI26&lt;&gt;""),AND(GF26&gt;=GM$34,GG26&gt;=GM$38,GF26&lt;&gt;""),AND(GK26&gt;=GM$34,GL26&gt;=GM$38,GK26&lt;&gt;""),AND(HH26&gt;=HO$34,HI26&gt;=HO$38,HH26&lt;&gt;""),AND(HM26&gt;=HO$34,HN26&gt;=HO$38,HM26&lt;&gt;""),AND(IJ26&gt;=IQ$34,IK26&gt;=IQ$38,IJ26&lt;&gt;""),AND(IO26&gt;=IQ$34,IP26&gt;=IQ$38,IO26&lt;&gt;""),AND(JL26&gt;=JS$34,JM26&gt;=JS$38,JL26&lt;&gt;""),AND(JQ26&gt;=JS$34,JR26&gt;=JS$38,JQ26&lt;&gt;""),AND(KN26&gt;=KU$34,KO26&gt;=KU$38,KN26&lt;&gt;""),AND(KS26&gt;=KU$34,KT26&gt;=KU$38,KS26&lt;&gt;""),AND(LP26&gt;=LW$34,LQ26&gt;=LW$38,LP26&lt;&gt;""),AND(LU26&gt;=LW$34,LV26&gt;=LW$38,LU26&lt;&gt;""),AND(MR26&gt;=MY$34,MS26&gt;=MY$38,MR26&lt;&gt;""),AND(MW26&gt;=MY$34,MX26&gt;=MY$38,MW26&lt;&gt;""),AND(NT26&gt;=OA$34,NU26&gt;=OA$38,NT26&lt;&gt;""),AND(NY26&gt;=OA$34,NZ26&gt;=OA$38,NY26&lt;&gt;""),AND(OV26&gt;=PC$34,OW26&gt;=PC$38,OV26&lt;&gt;""),AND(PA26&gt;=PC$34,PB26&gt;=PC$38,PA26&lt;&gt;""),AND(PX26&gt;=QE$34,PY26&gt;=QE$38,PX26&lt;&gt;""),AND(QC26&gt;=QE$34,QD26&gt;=QE$38,QC26&lt;&gt;"")),"P","")</f>
        <v/>
      </c>
      <c r="G26" s="3" t="str">
        <f>IF(OR(AND(AR26&gt;=AX$38,AR26&lt;&gt;"",AP26=""),AND(AW26&gt;=AX$38,AW26&lt;&gt;"",AP26=""),AND(BU26&gt;=CA$38,BU26&lt;&gt;"",BS26=""),AND(BZ26&gt;=CA$38,BZ26&lt;&gt;"",BS26=""),AND(CX26&gt;=DD$38,CX26&lt;&gt;"",CV26=""),AND(DC26&gt;=DD$38,DC26&lt;&gt;"",CV26=""),AND(EC26&gt;=EI$38,EC26&lt;&gt;""),AND(EH26&gt;=EI$38,EH26&lt;&gt;""),AND(FE26&gt;=FK$38,FE26&lt;&gt;""),AND(FJ26&gt;=FK$38,FJ26&lt;&gt;""),AND(GG26&gt;=GM$38,GG26&lt;&gt;""),AND(GL26&gt;=GM$38,GL26&lt;&gt;""),AND(HI26&gt;=HO$38,HI26&lt;&gt;""),AND(HN26&gt;=HO$38,HN26&lt;&gt;""),AND(IK26&gt;=IQ$38,IK26&lt;&gt;""),AND(IP26&gt;=IQ$38,IP26&lt;&gt;""),AND(JM26&gt;=JS$38,JM26&lt;&gt;""),AND(JR26&gt;=JS$38,JR26&lt;&gt;""),AND(KO26&gt;=KU$38,KO26&lt;&gt;""),AND(KT26&gt;=KU$38,KT26&lt;&gt;""),AND(LQ26&gt;=LW$38,LQ26&lt;&gt;""),AND(LV26&gt;=LW$38,LV26&lt;&gt;""),AND(MS26&gt;=MY$38,MS26&lt;&gt;""),AND(MX26&gt;=MY$38,MX26&lt;&gt;""),AND(NU26&gt;=OA$38,NU26&lt;&gt;""),AND(NZ26&gt;=OA$38,NZ26&lt;&gt;""),AND(OW26&gt;=PC$38,OW26&lt;&gt;""),AND(PB26&gt;=PC$38,PB26&lt;&gt;""),AND(PY26&gt;=QE$38,PY26&lt;&gt;""),AND(QD26&gt;=QE$38,QD26&lt;&gt;"")),"P","")</f>
        <v/>
      </c>
      <c r="H26" s="66" t="str">
        <f>IF(AND(G26="P",F26=""),"No DD",IF(OR(AND(AT26&gt;=AX$37,AU26&gt;=AX$41,AT26&lt;&gt;"",AP26=""),AND(BW26&gt;=CA$37,BX26&gt;=CA$41,BW26&lt;&gt;"",BS26=""),AND(CZ26&gt;=DD$37,DA26&gt;=DD$41,CZ26&lt;&gt;"",CV26=""),AND(EE26&gt;=EI$37,EF26&gt;=EI$41,EE26&lt;&gt;""),AND(FG26&gt;=FK$37,FH26&gt;=FK$41,FG26&lt;&gt;""),AND(GI26&gt;=GM$37,GJ26&gt;=GM$41,GI26&lt;&gt;""),AND(HK26&gt;=HO$37,HL26&gt;=HO$41,HK26&lt;&gt;""),AND(IM26&gt;=IQ$37,IN26&gt;=IQ$41,IM26&lt;&gt;""),AND(JO26&gt;=JS$37,JP26&gt;=JS$41,JO26&lt;&gt;""),AND(KQ26&gt;=KU$37,KR26&gt;=KU$41,KQ26&lt;&gt;""),AND(LS26&gt;=LW$37,LT26&gt;=LW$41,LS26&lt;&gt;""),AND(MU26&gt;=MY$37,MV26&gt;=MY$41,MU26&lt;&gt;""),AND(NW26&gt;=OA$37,NX26&gt;=OA$41,NW26&lt;&gt;""),AND(OY26&gt;=PC$37,OZ26&gt;=PC$41,OY26&lt;&gt;""),AND(QA26&gt;=QE$37,QB26&gt;=QE$41,QA26&lt;&gt;"")),"Merit",IF(OR(AND(AT26&gt;=AX$36,AU26&gt;=AX$40,AT26&lt;&gt;"",AP26=""),AND(BW26&gt;=CA$36,BX26&gt;=CA$40,BW26&lt;&gt;"",BS26=""),AND(CZ26&gt;=DD$36,DA26&gt;=DD$40,CZ26&lt;&gt;"",CV26=""),AND(EE26&gt;=EI$36,EF26&gt;=EI$40,EE26&lt;&gt;""),AND(FG26&gt;=FK$36,FH26&gt;=FK$40,FG26&lt;&gt;""),AND(GI26&gt;=GM$36,GJ26&gt;=GM$40,GI26&lt;&gt;""),AND(HK26&gt;=HO$36,HL26&gt;=HO$40,HK26&lt;&gt;""),AND(IM26&gt;=IQ$36,IN26&gt;=IQ$40,IM26&lt;&gt;""),AND(JO26&gt;=JS$36,JP26&gt;=JS$40,JO26&lt;&gt;""),AND(KQ26&gt;=KU$36,KR26&gt;=KU$40,KQ26&lt;&gt;""),AND(LS26&gt;=LW$36,LT26&gt;=LW$40,LS26&lt;&gt;""),AND(MU26&gt;=MY$36,MV26&gt;=MY$40,MU26&lt;&gt;""),AND(NW26&gt;=OA$36,NX26&gt;=OA$40,NW26&lt;&gt;""),AND(OY26&gt;=PC$36,OZ26&gt;=PC$40,OY26&lt;&gt;""),AND(QA26&gt;=QE$36,QB26&gt;=QE$40,QA26&lt;&gt;"")),"Excellence",IF(F26="P","National Team",""))))</f>
        <v/>
      </c>
      <c r="I26" s="14">
        <f>IF(COUNT(AR26,BU26,CX26)&gt;0,LARGE((AR26,BU26,CX26),1),0)</f>
        <v>48.2</v>
      </c>
      <c r="J26" s="14" t="str">
        <f>IF(I26=0,"",IF(I26=CX26,$CB$1,IF(I26=BU26,$AY$1,IF(I26=AR26,$V$1,""))))</f>
        <v>2022 Elite Canada</v>
      </c>
      <c r="K26" s="14">
        <f>IF(COUNT(AR26,BU26,CX26)&gt;1,LARGE((AR26,BU26,CX26),2),0)</f>
        <v>42.1</v>
      </c>
      <c r="L26" s="14" t="str">
        <f>IF(K26=0,"",IF(K26=CX26,$CB$1,IF(K26=BU26,$AY$1,IF(K26=AR26,$V$1,""))))</f>
        <v>2022 Nationals</v>
      </c>
      <c r="M26" s="14">
        <f>IF(COUNT(AS26,BV26,CY26)&gt;0,LARGE((AS26,BV26,CY26),1),0)</f>
        <v>19.300000000000004</v>
      </c>
      <c r="N26" s="14" t="str">
        <f>IF(M26=0,"",IF(M26=CY26,$CB$1,IF(M26=BV26,$AY$1,IF(M26=AS26,$V$1,""))))</f>
        <v>2022 Elite Canada</v>
      </c>
      <c r="O26" s="14">
        <f>IF(COUNT(AS26,BV26,CY26)&gt;1,LARGE((AS26,BV26,CY26),2),0)</f>
        <v>16.3</v>
      </c>
      <c r="P26" s="14" t="str">
        <f>IF(O26=0,"",IF(O26=CY26,$CB$1,IF(O26=BV26,$AY$1,IF(O26=AS26,$V$1,""))))</f>
        <v>2022 Nationals</v>
      </c>
      <c r="Q26" s="14">
        <f>IF(MAX(AW26,BZ26,DC26)&gt;0,MAX(AW26,BZ26,DC26),0)</f>
        <v>0</v>
      </c>
      <c r="R26" s="14" t="str">
        <f>IF(Q26=0,"",IF(Q26=DC26,$CB$1,IF(Q26=BZ26,$AY$1,IF(Q26=AW26,$V$1,""))))</f>
        <v/>
      </c>
      <c r="S26" s="14">
        <f>IF(MAX(DE26:DG26)&gt;0,MAX(DE26:DG26),"")</f>
        <v>3.6999999999999886</v>
      </c>
      <c r="T26" s="19" t="str">
        <f>IF(S26="","",IF(S26=DE26,"("&amp;DE$2&amp;")",IF(S26=DG26,"("&amp;DG$2&amp;")")))</f>
        <v>(Q1)</v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>2022 World Games Technical Trial #1 (Mar 12)</v>
      </c>
      <c r="V26" s="26">
        <v>18.2</v>
      </c>
      <c r="W26" s="26">
        <v>6</v>
      </c>
      <c r="X26" s="26">
        <v>0.8</v>
      </c>
      <c r="Y26" s="26">
        <v>0</v>
      </c>
      <c r="Z26" s="26">
        <v>19</v>
      </c>
      <c r="AA26" s="26">
        <v>6.4</v>
      </c>
      <c r="AB26" s="26">
        <v>0.6</v>
      </c>
      <c r="AC26" s="26">
        <v>0</v>
      </c>
      <c r="AD26" s="26">
        <v>18.100000000000001</v>
      </c>
      <c r="AE26" s="26">
        <v>4.0999999999999996</v>
      </c>
      <c r="AF26" s="26">
        <v>2.9</v>
      </c>
      <c r="AG26" s="26">
        <v>0</v>
      </c>
      <c r="AH26" s="26"/>
      <c r="AI26" s="26"/>
      <c r="AJ26" s="26"/>
      <c r="AK26" s="26"/>
      <c r="AL26" s="26"/>
      <c r="AM26" s="26"/>
      <c r="AN26" s="26"/>
      <c r="AO26" s="26"/>
      <c r="AP26" s="44"/>
      <c r="AQ26" s="78">
        <f>IF(SUM(W26,AA26)&gt;0,SUM(W26,AA26),"")</f>
        <v>12.4</v>
      </c>
      <c r="AR26" s="78">
        <f>IF(SUM(V26:W26,Y26:AA26,AC26)-X26-AB26&gt;0,SUM(V26:W26,Y26:AA26,AC26)-X26-AB26,"")</f>
        <v>48.2</v>
      </c>
      <c r="AS26" s="78">
        <f>IF(SUM(AD26:AE26,AG26)-AF26&gt;0,SUM(AD26:AE26,AG26)-AF26,"")</f>
        <v>19.300000000000004</v>
      </c>
      <c r="AT26" s="78">
        <f>IF(SUM(W26,AA26,AE26)&gt;0,SUM(W26,AA26,AE26),"")</f>
        <v>16.5</v>
      </c>
      <c r="AU26" s="78">
        <f>IF(SUM(AR26,AS26)&gt;0,SUM(AR26,AS26),"")</f>
        <v>67.5</v>
      </c>
      <c r="AV26" s="78" t="str">
        <f>IF(SUM(AI26,AM26)&gt;0,SUM(AI26,AM26),"")</f>
        <v/>
      </c>
      <c r="AW26" s="78" t="str">
        <f>IF(SUM(AH26:AI26,AK26:AM26,AO26)-SUM(AJ26,AN26)&gt;0,SUM(AH26:AI26,AK26:AM26,AO26)-SUM(AJ26,AN26),"")</f>
        <v/>
      </c>
      <c r="AX26" s="78">
        <f>IF(SUM(AR26,AW26)&gt;0,SUM(AR26,AW26),"")</f>
        <v>48.2</v>
      </c>
      <c r="AY26" s="25">
        <v>18</v>
      </c>
      <c r="AZ26" s="25">
        <v>5.6</v>
      </c>
      <c r="BA26" s="25">
        <v>1</v>
      </c>
      <c r="BB26" s="25">
        <v>0</v>
      </c>
      <c r="BC26" s="25">
        <v>18.5</v>
      </c>
      <c r="BD26" s="25">
        <v>3.8</v>
      </c>
      <c r="BE26" s="25">
        <v>2.8000000000000003</v>
      </c>
      <c r="BF26" s="25">
        <v>0</v>
      </c>
      <c r="BG26" s="25">
        <v>16.3</v>
      </c>
      <c r="BH26" s="25">
        <v>3.3</v>
      </c>
      <c r="BI26" s="25">
        <v>3.3000000000000003</v>
      </c>
      <c r="BJ26" s="25">
        <v>0</v>
      </c>
      <c r="BK26" s="25"/>
      <c r="BL26" s="25"/>
      <c r="BM26" s="25"/>
      <c r="BN26" s="25"/>
      <c r="BO26" s="25"/>
      <c r="BP26" s="25"/>
      <c r="BQ26" s="25"/>
      <c r="BR26" s="25"/>
      <c r="BS26" s="45"/>
      <c r="BT26" s="19">
        <f>IF(SUM(AZ26,BD26)&gt;0,SUM(AZ26,BD26),"")</f>
        <v>9.3999999999999986</v>
      </c>
      <c r="BU26" s="19">
        <f>IF(SUM(AY26:AZ26,BB26:BD26,BF26)-BA26-BE26&gt;0,SUM(AY26:AZ26,BB26:BD26,BF26)-BA26-BE26,"")</f>
        <v>42.1</v>
      </c>
      <c r="BV26" s="19">
        <f>IF(SUM(BG26:BH26,BJ26)-BI26&gt;0,SUM(BG26:BH26,BJ26)-BI26,"")</f>
        <v>16.3</v>
      </c>
      <c r="BW26" s="19">
        <f>IF(SUM(AZ26,BD26,BH26)&gt;0,SUM(AZ26,BD26,BH26),"")</f>
        <v>12.7</v>
      </c>
      <c r="BX26" s="19">
        <f>IF(SUM(BU26,BV26)&gt;0,SUM(BU26,BV26),"")</f>
        <v>58.400000000000006</v>
      </c>
      <c r="BY26" s="19" t="str">
        <f>IF(SUM(BL26,BP26)&gt;0,SUM(BL26,BP26),"")</f>
        <v/>
      </c>
      <c r="BZ26" s="19" t="str">
        <f>IF(SUM(BK26:BL26,BN26:BP26,BR26)-SUM(BM26,BQ26)&gt;0,SUM(BK26:BL26,BN26:BP26,BR26)-SUM(BM26,BQ26),"")</f>
        <v/>
      </c>
      <c r="CA26" s="19">
        <f>IF(SUM(BU26,BZ26)&gt;0,SUM(BU26,BZ26),"")</f>
        <v>42.1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>IF(SUM(CC26,CG26)&gt;0,SUM(CC26,CG26),"")</f>
        <v/>
      </c>
      <c r="CX26" s="78" t="str">
        <f>IF(SUM(CB26:CC26,CE26:CG26,CI26)-CD26-CH26&gt;0,SUM(CB26:CC26,CE26:CG26,CI26)-CD26-CH26,"")</f>
        <v/>
      </c>
      <c r="CY26" s="78" t="str">
        <f>IF(SUM(CJ26:CK26,CM26)-CL26&gt;0,SUM(CJ26:CK26,CM26)-CL26,"")</f>
        <v/>
      </c>
      <c r="CZ26" s="78" t="str">
        <f>IF(SUM(CC26,CG26,CK26)&gt;0,SUM(CC26,CG26,CK26),"")</f>
        <v/>
      </c>
      <c r="DA26" s="78" t="str">
        <f>IF(SUM(CX26,CY26)&gt;0,SUM(CX26,CY26),"")</f>
        <v/>
      </c>
      <c r="DB26" s="78" t="str">
        <f>IF(SUM(CO26,CS26)&gt;0,SUM(CO26,CS26),"")</f>
        <v/>
      </c>
      <c r="DC26" s="78" t="str">
        <f>IF(SUM(CN26:CO26,CQ26:CS26,CU26)-SUM(CP26,CT26)&gt;0,SUM(CN26:CO26,CQ26:CS26,CU26)-SUM(CP26,CT26),"")</f>
        <v/>
      </c>
      <c r="DD26" s="78" t="str">
        <f>IF(SUM(CX26,DC26)&gt;0,SUM(CX26,DC26),"")</f>
        <v/>
      </c>
      <c r="DE26" s="79">
        <f>IF(K26&gt;=0.001,IF(MAX(EC26,FE26,GG26,HI26,IK26,JM26,KO26,LQ26,MS26,NU26,OW26,PY26)-IF(K26="",0,K26)&gt;0.001,MAX(EC26,FE26,GG26,HI26,IK26,JM26,KO26,LQ26,MS26,NU26,OW26,PY26)-IF(K26="",0,K26),""),"")</f>
        <v>3.6999999999999886</v>
      </c>
      <c r="DF26" s="79" t="str">
        <f>IF(O26&gt;=0.001,IF(MAX(ED26,FF26,GH26,HJ26,IL26,JN26,KP26,LR26,MT26,NV26,OX26,PZ26)-IF(O26="",0,O26)&gt;0.001,MAX(ED26,FF26,GH26,HJ26,IL26,JN26,KP26,LR26,MT26,NV26,OX26,PZ26)-IF(O26="",0,O26),""),"")</f>
        <v/>
      </c>
      <c r="DG26" s="79" t="str">
        <f>IF(Q26&gt;=0.001,IF(MAX(EH26,FJ26,GL26,HN26,IP26,JR26,KT26,LV26,MX26,NZ26,PB26,QD26)-IF(Q26="",0,Q26)&gt;0.001,MAX(EH26,FJ26,GL26,HN26,IP26,JR26,KT26,LV26,MX26,NZ26,PB26,QD26)-IF(Q26="",0,Q26),""),"")</f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>IF(SUM(DI26,DM26)&gt;0,SUM(DI26,DM26),"")</f>
        <v/>
      </c>
      <c r="EC26" s="78" t="str">
        <f>IF(SUM(DH26:DI26,DK26:DM26,DO26)-DJ26-DN26&gt;0,SUM(DH26:DI26,DK26:DM26,DO26)-DJ26-DN26,"")</f>
        <v/>
      </c>
      <c r="ED26" s="78" t="str">
        <f>IF(SUM(DP26:DQ26,DS26)-DR26&gt;0,SUM(DP26:DQ26,DS26)-DR26,"")</f>
        <v/>
      </c>
      <c r="EE26" s="78" t="str">
        <f>IF(SUM(DI26,DM26,DQ26)&gt;0,SUM(DI26,DM26,DQ26),"")</f>
        <v/>
      </c>
      <c r="EF26" s="78" t="str">
        <f>IF(SUM(EC26,ED26)&gt;0,SUM(EC26,ED26),"")</f>
        <v/>
      </c>
      <c r="EG26" s="78" t="str">
        <f>IF(SUM(DU26,DY26)&gt;0,SUM(DU26,DY26),"")</f>
        <v/>
      </c>
      <c r="EH26" s="78" t="str">
        <f>IF(SUM(DT26:DU26,DW26:DY26,EA26)-SUM(DV26,DZ26)&gt;0,SUM(DT26:DU26,DW26:DY26,EA26)-SUM(DV26,DZ26),"")</f>
        <v/>
      </c>
      <c r="EI26" s="78" t="str">
        <f>IF(SUM(EC26,EH26)&gt;0,SUM(EC26,EH26),"")</f>
        <v/>
      </c>
      <c r="EJ26" s="25">
        <v>18</v>
      </c>
      <c r="EK26" s="25">
        <v>3.2</v>
      </c>
      <c r="EL26" s="25">
        <v>0</v>
      </c>
      <c r="EM26" s="25">
        <v>0</v>
      </c>
      <c r="EN26" s="25">
        <v>18.399999999999999</v>
      </c>
      <c r="EO26" s="25">
        <v>6.4</v>
      </c>
      <c r="EP26" s="25">
        <v>0.2</v>
      </c>
      <c r="EQ26" s="25">
        <v>0</v>
      </c>
      <c r="ER26" s="25"/>
      <c r="ES26" s="25"/>
      <c r="ET26" s="25"/>
      <c r="EU26" s="25"/>
      <c r="EV26" s="25">
        <v>0</v>
      </c>
      <c r="EW26" s="25">
        <v>0</v>
      </c>
      <c r="EX26" s="25">
        <v>0</v>
      </c>
      <c r="EY26" s="25">
        <v>0</v>
      </c>
      <c r="EZ26" s="25">
        <v>0</v>
      </c>
      <c r="FA26" s="25">
        <v>0</v>
      </c>
      <c r="FB26" s="25">
        <v>0</v>
      </c>
      <c r="FC26" s="25">
        <v>0</v>
      </c>
      <c r="FD26" s="19">
        <f>IF(SUM(EK26,EO26)&gt;0,SUM(EK26,EO26),"")</f>
        <v>9.6000000000000014</v>
      </c>
      <c r="FE26" s="19">
        <f>IF(SUM(EJ26:EK26,EM26:EO26,EQ26)-EL26-EP26&gt;0,SUM(EJ26:EK26,EM26:EO26,EQ26)-EL26-EP26,"")</f>
        <v>45.79999999999999</v>
      </c>
      <c r="FF26" s="19" t="str">
        <f>IF(SUM(ER26:ES26,EU26)-ET26&gt;0,SUM(ER26:ES26,EU26)-ET26,"")</f>
        <v/>
      </c>
      <c r="FG26" s="19">
        <f>IF(SUM(EK26,EO26,ES26)&gt;0,SUM(EK26,EO26,ES26),"")</f>
        <v>9.6000000000000014</v>
      </c>
      <c r="FH26" s="19">
        <f>IF(SUM(FE26,FF26)&gt;0,SUM(FE26,FF26),"")</f>
        <v>45.79999999999999</v>
      </c>
      <c r="FI26" s="19" t="str">
        <f>IF(SUM(EW26,FA26)&gt;0,SUM(EW26,FA26),"")</f>
        <v/>
      </c>
      <c r="FJ26" s="19" t="str">
        <f>IF(SUM(EV26:EW26,EY26:FA26,FC26)-SUM(EX26,FB26)&gt;0,SUM(EV26:EW26,EY26:FA26,FC26)-SUM(EX26,FB26),"")</f>
        <v/>
      </c>
      <c r="FK26" s="19">
        <f>IF(SUM(FE26,FJ26)&gt;0,SUM(FE26,FJ26),"")</f>
        <v>45.79999999999999</v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>IF(SUM(FM26,FQ26)&gt;0,SUM(FM26,FQ26),"")</f>
        <v/>
      </c>
      <c r="GG26" s="78" t="str">
        <f>IF(SUM(FL26:FM26,FO26:FQ26,FS26)-FN26-FR26&gt;0,SUM(FL26:FM26,FO26:FQ26,FS26)-FN26-FR26,"")</f>
        <v/>
      </c>
      <c r="GH26" s="78" t="str">
        <f>IF(SUM(FT26:FU26,FW26)-FV26&gt;0,SUM(FT26:FU26,FW26)-FV26,"")</f>
        <v/>
      </c>
      <c r="GI26" s="78" t="str">
        <f>IF(SUM(FM26,FQ26,FU26)&gt;0,SUM(FM26,FQ26,FU26),"")</f>
        <v/>
      </c>
      <c r="GJ26" s="78" t="str">
        <f>IF(SUM(GG26,GH26)&gt;0,SUM(GG26,GH26),"")</f>
        <v/>
      </c>
      <c r="GK26" s="78" t="str">
        <f>IF(SUM(FY26,GC26)&gt;0,SUM(FY26,GC26),"")</f>
        <v/>
      </c>
      <c r="GL26" s="78" t="str">
        <f>IF(SUM(FX26:FY26,GA26:GC26,GE26)-SUM(FZ26,GD26)&gt;0,SUM(FX26:FY26,GA26:GC26,GE26)-SUM(FZ26,GD26),"")</f>
        <v/>
      </c>
      <c r="GM26" s="78" t="str">
        <f>IF(SUM(GG26,GL26)&gt;0,SUM(GG26,GL26),"")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>IF(SUM(GO26,GS26)&gt;0,SUM(GO26,GS26),"")</f>
        <v/>
      </c>
      <c r="HI26" s="19" t="str">
        <f>IF(SUM(GN26:GO26,GQ26:GS26,GU26)-GP26-GT26&gt;0,SUM(GN26:GO26,GQ26:GS26,GU26)-GP26-GT26,"")</f>
        <v/>
      </c>
      <c r="HJ26" s="19" t="str">
        <f>IF(SUM(GV26:GW26,GY26)-GX26&gt;0,SUM(GV26:GW26,GY26)-GX26,"")</f>
        <v/>
      </c>
      <c r="HK26" s="19" t="str">
        <f>IF(SUM(GO26,GS26,GW26)&gt;0,SUM(GO26,GS26,GW26),"")</f>
        <v/>
      </c>
      <c r="HL26" s="19" t="str">
        <f>IF(SUM(HI26,HJ26)&gt;0,SUM(HI26,HJ26),"")</f>
        <v/>
      </c>
      <c r="HM26" s="19" t="str">
        <f>IF(SUM(HA26,HE26)&gt;0,SUM(HA26,HE26),"")</f>
        <v/>
      </c>
      <c r="HN26" s="19" t="str">
        <f>IF(SUM(GZ26:HA26,HC26:HE26,HG26)-SUM(HB26,HF26)&gt;0,SUM(GZ26:HA26,HC26:HE26,HG26)-SUM(HB26,HF26),"")</f>
        <v/>
      </c>
      <c r="HO26" s="19" t="str">
        <f>IF(SUM(HI26,HN26)&gt;0,SUM(HI26,HN26),"")</f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>IF(SUM(HQ26,HU26)&gt;0,SUM(HQ26,HU26),"")</f>
        <v/>
      </c>
      <c r="IK26" s="78" t="str">
        <f>IF(SUM(HP26:HQ26,HS26:HU26,HW26)-HR26-HV26&gt;0,SUM(HP26:HQ26,HS26:HU26,HW26)-HR26-HV26,"")</f>
        <v/>
      </c>
      <c r="IL26" s="78" t="str">
        <f>IF(SUM(HX26:HY26,IA26)-HZ26&gt;0,SUM(HX26:HY26,IA26)-HZ26,"")</f>
        <v/>
      </c>
      <c r="IM26" s="78" t="str">
        <f>IF(SUM(HQ26,HU26,HY26)&gt;0,SUM(HQ26,HU26,HY26),"")</f>
        <v/>
      </c>
      <c r="IN26" s="78" t="str">
        <f>IF(SUM(IK26,IL26)&gt;0,SUM(IK26,IL26),"")</f>
        <v/>
      </c>
      <c r="IO26" s="78" t="str">
        <f>IF(SUM(IC26,IG26)&gt;0,SUM(IC26,IG26),"")</f>
        <v/>
      </c>
      <c r="IP26" s="78" t="str">
        <f>IF(SUM(IB26:IC26,IE26:IG26,II26)-SUM(ID26,IH26)&gt;0,SUM(IB26:IC26,IE26:IG26,II26)-SUM(ID26,IH26),"")</f>
        <v/>
      </c>
      <c r="IQ26" s="78" t="str">
        <f>IF(SUM(IK26,IP26)&gt;0,SUM(IK26,IP26),"")</f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>IF(SUM(IS26,IW26)&gt;0,SUM(IS26,IW26),"")</f>
        <v/>
      </c>
      <c r="JM26" s="19" t="str">
        <f>IF(SUM(IR26:IS26,IU26:IW26,IY26)-IT26-IX26&gt;0,SUM(IR26:IS26,IU26:IW26,IY26)-IT26-IX26,"")</f>
        <v/>
      </c>
      <c r="JN26" s="19" t="str">
        <f>IF(SUM(IZ26:JA26,JC26)-JB26&gt;0,SUM(IZ26:JA26,JC26)-JB26,"")</f>
        <v/>
      </c>
      <c r="JO26" s="19" t="str">
        <f>IF(SUM(IS26,IW26,JA26)&gt;0,SUM(IS26,IW26,JA26),"")</f>
        <v/>
      </c>
      <c r="JP26" s="19" t="str">
        <f>IF(SUM(JM26,JN26)&gt;0,SUM(JM26,JN26),"")</f>
        <v/>
      </c>
      <c r="JQ26" s="19" t="str">
        <f>IF(SUM(JE26,JI26)&gt;0,SUM(JE26,JI26),"")</f>
        <v/>
      </c>
      <c r="JR26" s="19" t="str">
        <f>IF(SUM(JD26:JE26,JG26:JI26,JK26)-SUM(JF26,JJ26)&gt;0,SUM(JD26:JE26,JG26:JI26,JK26)-SUM(JF26,JJ26),"")</f>
        <v/>
      </c>
      <c r="JS26" s="19" t="str">
        <f>IF(SUM(JM26,JR26)&gt;0,SUM(JM26,JR26),"")</f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>IF(SUM(JU26,JY26)&gt;0,SUM(JU26,JY26),"")</f>
        <v/>
      </c>
      <c r="KO26" s="78" t="str">
        <f>IF(SUM(JT26:JU26,JW26:JY26,KA26)-JV26-JZ26&gt;0,SUM(JT26:JU26,JW26:JY26,KA26)-JV26-JZ26,"")</f>
        <v/>
      </c>
      <c r="KP26" s="78" t="str">
        <f>IF(SUM(KB26:KC26,KE26)-KD26&gt;0,SUM(KB26:KC26,KE26)-KD26,"")</f>
        <v/>
      </c>
      <c r="KQ26" s="78" t="str">
        <f>IF(SUM(JU26,JY26,KC26)&gt;0,SUM(JU26,JY26,KC26),"")</f>
        <v/>
      </c>
      <c r="KR26" s="78" t="str">
        <f>IF(SUM(KO26,KP26)&gt;0,SUM(KO26,KP26),"")</f>
        <v/>
      </c>
      <c r="KS26" s="78" t="str">
        <f>IF(SUM(KG26,KK26)&gt;0,SUM(KG26,KK26),"")</f>
        <v/>
      </c>
      <c r="KT26" s="78" t="str">
        <f>IF(SUM(KF26:KG26,KI26:KK26,KM26)-SUM(KH26,KL26)&gt;0,SUM(KF26:KG26,KI26:KK26,KM26)-SUM(KH26,KL26),"")</f>
        <v/>
      </c>
      <c r="KU26" s="78" t="str">
        <f>IF(SUM(KO26,KT26)&gt;0,SUM(KO26,KT26),"")</f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>IF(SUM(KW26,LA26)&gt;0,SUM(KW26,LA26),"")</f>
        <v/>
      </c>
      <c r="LQ26" s="19" t="str">
        <f>IF(SUM(KV26:KW26,KY26:LA26,LC26)-KX26-LB26&gt;0,SUM(KV26:KW26,KY26:LA26,LC26)-KX26-LB26,"")</f>
        <v/>
      </c>
      <c r="LR26" s="19" t="str">
        <f>IF(SUM(LD26:LE26,LG26)-LF26&gt;0,SUM(LD26:LE26,LG26)-LF26,"")</f>
        <v/>
      </c>
      <c r="LS26" s="19" t="str">
        <f>IF(SUM(KW26,LA26,LE26)&gt;0,SUM(KW26,LA26,LE26),"")</f>
        <v/>
      </c>
      <c r="LT26" s="19" t="str">
        <f>IF(SUM(LQ26,LR26)&gt;0,SUM(LQ26,LR26),"")</f>
        <v/>
      </c>
      <c r="LU26" s="19" t="str">
        <f>IF(SUM(LI26,LM26)&gt;0,SUM(LI26,LM26),"")</f>
        <v/>
      </c>
      <c r="LV26" s="19" t="str">
        <f>IF(SUM(LH26:LI26,LK26:LM26,LO26)-SUM(LJ26,LN26)&gt;0,SUM(LH26:LI26,LK26:LM26,LO26)-SUM(LJ26,LN26),"")</f>
        <v/>
      </c>
      <c r="LW26" s="19" t="str">
        <f>IF(SUM(LQ26,LV26)&gt;0,SUM(LQ26,LV26),"")</f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>IF(SUM(LY26,MC26)&gt;0,SUM(LY26,MC26),"")</f>
        <v/>
      </c>
      <c r="MS26" s="78" t="str">
        <f>IF(SUM(LX26:LY26,MA26:MC26,ME26)-LZ26-MD26&gt;0,SUM(LX26:LY26,MA26:MC26,ME26)-LZ26-MD26,"")</f>
        <v/>
      </c>
      <c r="MT26" s="78" t="str">
        <f>IF(SUM(MF26:MG26,MI26)-MH26&gt;0,SUM(MF26:MG26,MI26)-MH26,"")</f>
        <v/>
      </c>
      <c r="MU26" s="78" t="str">
        <f>IF(SUM(LY26,MC26,MG26)&gt;0,SUM(LY26,MC26,MG26),"")</f>
        <v/>
      </c>
      <c r="MV26" s="78" t="str">
        <f>IF(SUM(MS26,MT26)&gt;0,SUM(MS26,MT26),"")</f>
        <v/>
      </c>
      <c r="MW26" s="78" t="str">
        <f>IF(SUM(MK26,MO26)&gt;0,SUM(MK26,MO26),"")</f>
        <v/>
      </c>
      <c r="MX26" s="78" t="str">
        <f>IF(SUM(MJ26:MK26,MM26:MO26,MQ26)-SUM(ML26,MP26)&gt;0,SUM(MJ26:MK26,MM26:MO26,MQ26)-SUM(ML26,MP26),"")</f>
        <v/>
      </c>
      <c r="MY26" s="78" t="str">
        <f>IF(SUM(MS26,MX26)&gt;0,SUM(MS26,MX26),"")</f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>IF(SUM(NA26,NE26)&gt;0,SUM(NA26,NE26),"")</f>
        <v/>
      </c>
      <c r="NU26" s="19" t="str">
        <f>IF(SUM(MZ26:NA26,NC26:NE26,NG26)-NB26-NF26&gt;0,SUM(MZ26:NA26,NC26:NE26,NG26)-NB26-NF26,"")</f>
        <v/>
      </c>
      <c r="NV26" s="19" t="str">
        <f>IF(SUM(NH26:NI26,NK26)-NJ26&gt;0,SUM(NH26:NI26,NK26)-NJ26,"")</f>
        <v/>
      </c>
      <c r="NW26" s="19" t="str">
        <f>IF(SUM(NA26,NE26,NI26)&gt;0,SUM(NA26,NE26,NI26),"")</f>
        <v/>
      </c>
      <c r="NX26" s="19" t="str">
        <f>IF(SUM(NU26,NV26)&gt;0,SUM(NU26,NV26),"")</f>
        <v/>
      </c>
      <c r="NY26" s="19" t="str">
        <f>IF(SUM(NM26,NQ26)&gt;0,SUM(NM26,NQ26),"")</f>
        <v/>
      </c>
      <c r="NZ26" s="19" t="str">
        <f>IF(SUM(NL26:NM26,NO26:NQ26,NS26)-SUM(NN26,NR26)&gt;0,SUM(NL26:NM26,NO26:NQ26,NS26)-SUM(NN26,NR26),"")</f>
        <v/>
      </c>
      <c r="OA26" s="19" t="str">
        <f>IF(SUM(NU26,NZ26)&gt;0,SUM(NU26,NZ26),"")</f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>IF(SUM(OC26,OG26)&gt;0,SUM(OC26,OG26),"")</f>
        <v/>
      </c>
      <c r="OW26" s="78" t="str">
        <f>IF(SUM(OB26:OC26,OE26:OG26,OI26)-OD26-OH26&gt;0,SUM(OB26:OC26,OE26:OG26,OI26)-OD26-OH26,"")</f>
        <v/>
      </c>
      <c r="OX26" s="78" t="str">
        <f>IF(SUM(OJ26:OK26,OM26)-OL26&gt;0,SUM(OJ26:OK26,OM26)-OL26,"")</f>
        <v/>
      </c>
      <c r="OY26" s="78" t="str">
        <f>IF(SUM(OC26,OG26,OK26)&gt;0,SUM(OC26,OG26,OK26),"")</f>
        <v/>
      </c>
      <c r="OZ26" s="78" t="str">
        <f>IF(SUM(OW26,OX26)&gt;0,SUM(OW26,OX26),"")</f>
        <v/>
      </c>
      <c r="PA26" s="78" t="str">
        <f>IF(SUM(OO26,OS26)&gt;0,SUM(OO26,OS26),"")</f>
        <v/>
      </c>
      <c r="PB26" s="78" t="str">
        <f>IF(SUM(ON26:OO26,OQ26:OS26,OU26)-SUM(OP26,OT26)&gt;0,SUM(ON26:OO26,OQ26:OS26,OU26)-SUM(OP26,OT26),"")</f>
        <v/>
      </c>
      <c r="PC26" s="78" t="str">
        <f>IF(SUM(OW26,PB26)&gt;0,SUM(OW26,PB26),"")</f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>IF(SUM(PE26,PI26)&gt;0,SUM(PE26,PI26),"")</f>
        <v/>
      </c>
      <c r="PY26" s="19" t="str">
        <f>IF(SUM(PD26:PE26,PG26:PI26,PK26)-PF26-PJ26&gt;0,SUM(PD26:PE26,PG26:PI26,PK26)-PF26-PJ26,"")</f>
        <v/>
      </c>
      <c r="PZ26" s="19" t="str">
        <f>IF(SUM(PL26:PM26,PO26)-PN26&gt;0,SUM(PL26:PM26,PO26)-PN26,"")</f>
        <v/>
      </c>
      <c r="QA26" s="19" t="str">
        <f>IF(SUM(PE26,PI26,PM26)&gt;0,SUM(PE26,PI26,PM26),"")</f>
        <v/>
      </c>
      <c r="QB26" s="19" t="str">
        <f>IF(SUM(PY26,PZ26)&gt;0,SUM(PY26,PZ26),"")</f>
        <v/>
      </c>
      <c r="QC26" s="19" t="str">
        <f>IF(SUM(PQ26,PU26)&gt;0,SUM(PQ26,PU26),"")</f>
        <v/>
      </c>
      <c r="QD26" s="19" t="str">
        <f>IF(SUM(PP26:PQ26,PS26:PU26,PW26)-SUM(PR26,PV26)&gt;0,SUM(PP26:PQ26,PS26:PU26,PW26)-SUM(PR26,PV26),"")</f>
        <v/>
      </c>
      <c r="QE26" s="19" t="str">
        <f>IF(SUM(PY26,QD26)&gt;0,SUM(PY26,QD26),"")</f>
        <v/>
      </c>
      <c r="QF26" s="37">
        <f>IF($CV26="P",CB26,(CB26+AY26)/2)</f>
        <v>9</v>
      </c>
      <c r="QG26" s="37">
        <f>IF($CV26="P",CC26,(CC26+AZ26)/2)</f>
        <v>2.8</v>
      </c>
      <c r="QH26" s="37">
        <f>IF($CV26="P",CD26,(CD26+BA26)/2)</f>
        <v>0.5</v>
      </c>
      <c r="QI26" s="37">
        <f>IF($CV26="P",CE26,(CE26+BB26)/2)</f>
        <v>0</v>
      </c>
      <c r="QJ26" s="37">
        <f>IF($CV26="P",CF26,(CF26+BC26)/2)</f>
        <v>9.25</v>
      </c>
      <c r="QK26" s="37">
        <f>IF($CV26="P",CG26,(CG26+BD26)/2)</f>
        <v>1.9</v>
      </c>
      <c r="QL26" s="37">
        <f>IF($CV26="P",CH26,(CH26+BE26)/2)</f>
        <v>1.4000000000000001</v>
      </c>
      <c r="QM26" s="37">
        <f>IF($CV26="P",CI26,(CI26+BF26)/2)</f>
        <v>0</v>
      </c>
      <c r="QN26" s="37">
        <f>IF($CV26="P",CJ26,(CJ26+BG26)/2)</f>
        <v>8.15</v>
      </c>
      <c r="QO26" s="37">
        <f>IF($CV26="P",CK26,(CK26+BH26)/2)</f>
        <v>1.65</v>
      </c>
      <c r="QP26" s="37">
        <f>IF($CV26="P",CL26,(CL26+BI26)/2)</f>
        <v>1.6500000000000001</v>
      </c>
      <c r="QQ26" s="37">
        <f>IF($CV26="P",CM26,(CM26+BJ26)/2)</f>
        <v>0</v>
      </c>
      <c r="QR26" s="37">
        <f>IF($CV26="P",CN26,(CN26+BK26)/2)</f>
        <v>0</v>
      </c>
      <c r="QS26" s="37">
        <f>IF($CV26="P",CO26,(CO26+BL26)/2)</f>
        <v>0</v>
      </c>
      <c r="QT26" s="37">
        <f>IF($CV26="P",CP26,(CP26+BM26)/2)</f>
        <v>0</v>
      </c>
      <c r="QU26" s="37">
        <f>IF($CV26="P",CQ26,(CQ26+BN26)/2)</f>
        <v>0</v>
      </c>
      <c r="QV26" s="37">
        <f>IF($CV26="P",CR26,(CR26+BO26)/2)</f>
        <v>0</v>
      </c>
      <c r="QW26" s="37">
        <f>IF($CV26="P",CS26,(CS26+BP26)/2)</f>
        <v>0</v>
      </c>
      <c r="QX26" s="37">
        <f>IF($CV26="P",CT26,(CT26+BQ26)/2)</f>
        <v>0</v>
      </c>
      <c r="QY26" s="37">
        <f>IF($CV26="P",CU26,(CU26+BR26)/2)</f>
        <v>0</v>
      </c>
      <c r="QZ26" s="44" t="s">
        <v>46</v>
      </c>
      <c r="RA26" s="78">
        <f>IF(SUM(QG26,QK26)&gt;0,SUM(QG26,QK26),"")</f>
        <v>4.6999999999999993</v>
      </c>
      <c r="RB26" s="78">
        <f>IF(SUM(QF26:QG26,QI26:QK26,QM26)-QH26-QL26&gt;0,SUM(QF26:QG26,QI26:QK26,QM26)-QH26-QL26,"")</f>
        <v>21.05</v>
      </c>
      <c r="RC26" s="78">
        <f>IF(SUM(QN26:QO26,QQ26)-QP26&gt;0,SUM(QN26:QO26,QQ26)-QP26,"")</f>
        <v>8.15</v>
      </c>
      <c r="RD26" s="78">
        <f>IF(SUM(QG26,QK26,QO26)&gt;0,SUM(QG26,QK26,QO26),"")</f>
        <v>6.35</v>
      </c>
      <c r="RE26" s="78">
        <f>IF(SUM(RB26,RC26)&gt;0,SUM(RB26,RC26),"")</f>
        <v>29.200000000000003</v>
      </c>
      <c r="RF26" s="78" t="str">
        <f>IF(SUM(QS26,QW26)&gt;0,SUM(QS26,QW26),"")</f>
        <v/>
      </c>
      <c r="RG26" s="78" t="str">
        <f>IF(SUM(QR26:QS26,QU26:QW26,QY26)-SUM(QT26,QX26)&gt;0,SUM(QR26:QS26,QU26:QW26,QY26)-SUM(QT26,QX26),"")</f>
        <v/>
      </c>
      <c r="RH26" s="78">
        <f>IF(SUM(RB26,RG26)&gt;0,SUM(RB26,RG26),"")</f>
        <v>21.05</v>
      </c>
    </row>
    <row r="27" spans="1:476" x14ac:dyDescent="0.2">
      <c r="A27" s="5" t="str">
        <f>IF(AND(F27="P",G27="P"),SUMPRODUCT((F$4:F$32="P")*(G$4:G$32="P")*(E$4:E$32&gt;E27))+1,IF(G27="P",SUMPRODUCT((F$4:F$32="")*(G$4:G$32="P")*(E$4:E$32&gt;E27))+1+SUMPRODUCT((F$4:F$32="P")*(G$4:G$32="P")),""))</f>
        <v/>
      </c>
      <c r="B27" s="77" t="s">
        <v>196</v>
      </c>
      <c r="C27" s="5" t="s">
        <v>140</v>
      </c>
      <c r="D27" s="5">
        <v>2005</v>
      </c>
      <c r="E27" s="15">
        <f>SUM(I27:S27)+SUM(I27:O27)*0.0000001+SUM(I27)*0.0000000000001</f>
        <v>117.90000702000481</v>
      </c>
      <c r="F27" s="3" t="str">
        <f>IF(OR(AND(AQ27&gt;=AX$34,AR27&gt;=AX$38,AQ27&lt;&gt;"",AP27=""),AND(AV27&gt;=AX$34,AW27&gt;=AX$38,AV27&lt;&gt;"",AP27=""),AND(BT27&gt;=CA$34,BU27&gt;=CA$38,BT27&lt;&gt;"",BS27=""),AND(BY27&gt;=CA$34,BZ27&gt;=CA$38,BY27&lt;&gt;"",BS27=""),AND(CW27&gt;=DD$34,CX27&gt;=DD$38,CW27&lt;&gt;"",CV27=""),AND(DB27&gt;=DD$34,DC27&gt;=DD$38,DB27&lt;&gt;""),AND(EB27&gt;=EI$34,EC27&gt;=EI$38,EB27&lt;&gt;""),AND(EG27&gt;=EI$34,EH27&gt;=EI$38,EG27&lt;&gt;""),AND(FD27&gt;=FK$34,FE27&gt;=FK$38,FD27&lt;&gt;""),AND(FI27&gt;=FK$34,FJ27&gt;=FK$38,FI27&lt;&gt;""),AND(GF27&gt;=GM$34,GG27&gt;=GM$38,GF27&lt;&gt;""),AND(GK27&gt;=GM$34,GL27&gt;=GM$38,GK27&lt;&gt;""),AND(HH27&gt;=HO$34,HI27&gt;=HO$38,HH27&lt;&gt;""),AND(HM27&gt;=HO$34,HN27&gt;=HO$38,HM27&lt;&gt;""),AND(IJ27&gt;=IQ$34,IK27&gt;=IQ$38,IJ27&lt;&gt;""),AND(IO27&gt;=IQ$34,IP27&gt;=IQ$38,IO27&lt;&gt;""),AND(JL27&gt;=JS$34,JM27&gt;=JS$38,JL27&lt;&gt;""),AND(JQ27&gt;=JS$34,JR27&gt;=JS$38,JQ27&lt;&gt;""),AND(KN27&gt;=KU$34,KO27&gt;=KU$38,KN27&lt;&gt;""),AND(KS27&gt;=KU$34,KT27&gt;=KU$38,KS27&lt;&gt;""),AND(LP27&gt;=LW$34,LQ27&gt;=LW$38,LP27&lt;&gt;""),AND(LU27&gt;=LW$34,LV27&gt;=LW$38,LU27&lt;&gt;""),AND(MR27&gt;=MY$34,MS27&gt;=MY$38,MR27&lt;&gt;""),AND(MW27&gt;=MY$34,MX27&gt;=MY$38,MW27&lt;&gt;""),AND(NT27&gt;=OA$34,NU27&gt;=OA$38,NT27&lt;&gt;""),AND(NY27&gt;=OA$34,NZ27&gt;=OA$38,NY27&lt;&gt;""),AND(OV27&gt;=PC$34,OW27&gt;=PC$38,OV27&lt;&gt;""),AND(PA27&gt;=PC$34,PB27&gt;=PC$38,PA27&lt;&gt;""),AND(PX27&gt;=QE$34,PY27&gt;=QE$38,PX27&lt;&gt;""),AND(QC27&gt;=QE$34,QD27&gt;=QE$38,QC27&lt;&gt;"")),"P","")</f>
        <v/>
      </c>
      <c r="G27" s="3" t="str">
        <f>IF(OR(AND(AR27&gt;=AX$38,AR27&lt;&gt;"",AP27=""),AND(AW27&gt;=AX$38,AW27&lt;&gt;"",AP27=""),AND(BU27&gt;=CA$38,BU27&lt;&gt;"",BS27=""),AND(BZ27&gt;=CA$38,BZ27&lt;&gt;"",BS27=""),AND(CX27&gt;=DD$38,CX27&lt;&gt;"",CV27=""),AND(DC27&gt;=DD$38,DC27&lt;&gt;"",CV27=""),AND(EC27&gt;=EI$38,EC27&lt;&gt;""),AND(EH27&gt;=EI$38,EH27&lt;&gt;""),AND(FE27&gt;=FK$38,FE27&lt;&gt;""),AND(FJ27&gt;=FK$38,FJ27&lt;&gt;""),AND(GG27&gt;=GM$38,GG27&lt;&gt;""),AND(GL27&gt;=GM$38,GL27&lt;&gt;""),AND(HI27&gt;=HO$38,HI27&lt;&gt;""),AND(HN27&gt;=HO$38,HN27&lt;&gt;""),AND(IK27&gt;=IQ$38,IK27&lt;&gt;""),AND(IP27&gt;=IQ$38,IP27&lt;&gt;""),AND(JM27&gt;=JS$38,JM27&lt;&gt;""),AND(JR27&gt;=JS$38,JR27&lt;&gt;""),AND(KO27&gt;=KU$38,KO27&lt;&gt;""),AND(KT27&gt;=KU$38,KT27&lt;&gt;""),AND(LQ27&gt;=LW$38,LQ27&lt;&gt;""),AND(LV27&gt;=LW$38,LV27&lt;&gt;""),AND(MS27&gt;=MY$38,MS27&lt;&gt;""),AND(MX27&gt;=MY$38,MX27&lt;&gt;""),AND(NU27&gt;=OA$38,NU27&lt;&gt;""),AND(NZ27&gt;=OA$38,NZ27&lt;&gt;""),AND(OW27&gt;=PC$38,OW27&lt;&gt;""),AND(PB27&gt;=PC$38,PB27&lt;&gt;""),AND(PY27&gt;=QE$38,PY27&lt;&gt;""),AND(QD27&gt;=QE$38,QD27&lt;&gt;"")),"P","")</f>
        <v/>
      </c>
      <c r="H27" s="66" t="str">
        <f>IF(AND(G27="P",F27=""),"No DD",IF(OR(AND(AT27&gt;=AX$37,AU27&gt;=AX$41,AT27&lt;&gt;"",AP27=""),AND(BW27&gt;=CA$37,BX27&gt;=CA$41,BW27&lt;&gt;"",BS27=""),AND(CZ27&gt;=DD$37,DA27&gt;=DD$41,CZ27&lt;&gt;"",CV27=""),AND(EE27&gt;=EI$37,EF27&gt;=EI$41,EE27&lt;&gt;""),AND(FG27&gt;=FK$37,FH27&gt;=FK$41,FG27&lt;&gt;""),AND(GI27&gt;=GM$37,GJ27&gt;=GM$41,GI27&lt;&gt;""),AND(HK27&gt;=HO$37,HL27&gt;=HO$41,HK27&lt;&gt;""),AND(IM27&gt;=IQ$37,IN27&gt;=IQ$41,IM27&lt;&gt;""),AND(JO27&gt;=JS$37,JP27&gt;=JS$41,JO27&lt;&gt;""),AND(KQ27&gt;=KU$37,KR27&gt;=KU$41,KQ27&lt;&gt;""),AND(LS27&gt;=LW$37,LT27&gt;=LW$41,LS27&lt;&gt;""),AND(MU27&gt;=MY$37,MV27&gt;=MY$41,MU27&lt;&gt;""),AND(NW27&gt;=OA$37,NX27&gt;=OA$41,NW27&lt;&gt;""),AND(OY27&gt;=PC$37,OZ27&gt;=PC$41,OY27&lt;&gt;""),AND(QA27&gt;=QE$37,QB27&gt;=QE$41,QA27&lt;&gt;"")),"Merit",IF(OR(AND(AT27&gt;=AX$36,AU27&gt;=AX$40,AT27&lt;&gt;"",AP27=""),AND(BW27&gt;=CA$36,BX27&gt;=CA$40,BW27&lt;&gt;"",BS27=""),AND(CZ27&gt;=DD$36,DA27&gt;=DD$40,CZ27&lt;&gt;"",CV27=""),AND(EE27&gt;=EI$36,EF27&gt;=EI$40,EE27&lt;&gt;""),AND(FG27&gt;=FK$36,FH27&gt;=FK$40,FG27&lt;&gt;""),AND(GI27&gt;=GM$36,GJ27&gt;=GM$40,GI27&lt;&gt;""),AND(HK27&gt;=HO$36,HL27&gt;=HO$40,HK27&lt;&gt;""),AND(IM27&gt;=IQ$36,IN27&gt;=IQ$40,IM27&lt;&gt;""),AND(JO27&gt;=JS$36,JP27&gt;=JS$40,JO27&lt;&gt;""),AND(KQ27&gt;=KU$36,KR27&gt;=KU$40,KQ27&lt;&gt;""),AND(LS27&gt;=LW$36,LT27&gt;=LW$40,LS27&lt;&gt;""),AND(MU27&gt;=MY$36,MV27&gt;=MY$40,MU27&lt;&gt;""),AND(NW27&gt;=OA$36,NX27&gt;=OA$40,NW27&lt;&gt;""),AND(OY27&gt;=PC$36,OZ27&gt;=PC$40,OY27&lt;&gt;""),AND(QA27&gt;=QE$36,QB27&gt;=QE$40,QA27&lt;&gt;"")),"Excellence",IF(F27="P","National Team",""))))</f>
        <v/>
      </c>
      <c r="I27" s="14">
        <f>IF(COUNT(AR27,BU27,CX27)&gt;0,LARGE((AR27,BU27,CX27),1),0)</f>
        <v>48</v>
      </c>
      <c r="J27" s="14" t="str">
        <f>IF(I27=0,"",IF(I27=CX27,$CB$1,IF(I27=BU27,$AY$1,IF(I27=AR27,$V$1,""))))</f>
        <v>2022 Nationals</v>
      </c>
      <c r="K27" s="14">
        <f>IF(COUNT(AR27,BU27,CX27)&gt;1,LARGE((AR27,BU27,CX27),2),0)</f>
        <v>0</v>
      </c>
      <c r="L27" s="14" t="str">
        <f>IF(K27=0,"",IF(K27=CX27,$CB$1,IF(K27=BU27,$AY$1,IF(K27=AR27,$V$1,""))))</f>
        <v/>
      </c>
      <c r="M27" s="14">
        <f>IF(COUNT(AS27,BV27,CY27)&gt;0,LARGE((AS27,BV27,CY27),1),0)</f>
        <v>22.2</v>
      </c>
      <c r="N27" s="14" t="str">
        <f>IF(M27=0,"",IF(M27=CY27,$CB$1,IF(M27=BV27,$AY$1,IF(M27=AS27,$V$1,""))))</f>
        <v>2022 Nationals</v>
      </c>
      <c r="O27" s="14">
        <f>IF(COUNT(AS27,BV27,CY27)&gt;1,LARGE((AS27,BV27,CY27),2),0)</f>
        <v>0</v>
      </c>
      <c r="P27" s="14" t="str">
        <f>IF(O27=0,"",IF(O27=CY27,$CB$1,IF(O27=BV27,$AY$1,IF(O27=AS27,$V$1,""))))</f>
        <v/>
      </c>
      <c r="Q27" s="14">
        <f>IF(MAX(AW27,BZ27,DC27)&gt;0,MAX(AW27,BZ27,DC27),0)</f>
        <v>47.7</v>
      </c>
      <c r="R27" s="14" t="str">
        <f>IF(Q27=0,"",IF(Q27=DC27,$CB$1,IF(Q27=BZ27,$AY$1,IF(Q27=AW27,$V$1,""))))</f>
        <v>2022 Nationals</v>
      </c>
      <c r="S27" s="14" t="str">
        <f>IF(MAX(DE27:DG27)&gt;0,MAX(DE27:DG27),"")</f>
        <v/>
      </c>
      <c r="T27" s="19" t="str">
        <f>IF(S27="","",IF(S27=DE27,"("&amp;DE$2&amp;")",IF(S27=DG27,"("&amp;DG$2&amp;")")))</f>
        <v/>
      </c>
      <c r="U27" s="14" t="str">
        <f>IF(S27="","",IF(S27=DE27,IF(S27+IF(K27="",0,K27)=PY27,$PD$1,IF(S27+IF(K27="",0,K27)=OW27,$OB$1,IF(S27+IF(K27="",0,K27)=NU27,$MZ$1,IF(S27+IF(K27="",0,K27)=MS27,$LX$1,IF(S27+IF(K27="",0,K27)=LQ27,$KV$1,IF(S27+IF(K27="",0,K27)=KO27,$JT$1,IF(S27+IF(K27="",0,K27)=JM27,$IR$1,IF(S27+IF(K27="",0,K27)=IK27,$HP$1,IF(S27+IF(K27="",0,K27)=HI27,$GN$1,IF(S27+IF(K27="",0,K27)=GG27,$FL$1,IF(S27+IF(K27="",0,K27)=FE27,$EJ$1,IF(S27+IF(K27="",0,K27)=EC27,$DH$1)))))))))))),IF(S27=DG27,IF(S27+IF(Q27="",0,Q27)=QD27,$PD$1,IF(S27+IF(Q27="",0,Q27)=PB27,$OB$1,IF(S27+IF(Q27="",0,Q27)=NZ27,$MZ$1,IF(S27+IF(Q27="",0,Q27)=MX27,$LX$1,IF(S27+IF(Q27="",0,Q27)=LV27,$KV$1,IF(S27+IF(Q27="",0,Q27)=KT27,$JT$1,IF(S27+IF(Q27="",0,Q27)=JR27,$IR$1,IF(S27+IF(Q27="",0,Q27)=IP27,$HP$1,IF(S27+IF(Q27="",0,Q27)=HN27,$GN$1,IF(S27+IF(Q27="",0,Q27)=GL27,$FL$1,IF(S27+IF(Q27="",0,Q27)=FJ27,$EJ$1,IF(S27+IF(Q27="",0,Q27)=EH27,$DH$1)))))))))))))))</f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>IF(SUM(W27,AA27)&gt;0,SUM(W27,AA27),"")</f>
        <v/>
      </c>
      <c r="AR27" s="78" t="str">
        <f>IF(SUM(V27:W27,Y27:AA27,AC27)-X27-AB27&gt;0,SUM(V27:W27,Y27:AA27,AC27)-X27-AB27,"")</f>
        <v/>
      </c>
      <c r="AS27" s="78" t="str">
        <f>IF(SUM(AD27:AE27,AG27)-AF27&gt;0,SUM(AD27:AE27,AG27)-AF27,"")</f>
        <v/>
      </c>
      <c r="AT27" s="78" t="str">
        <f>IF(SUM(W27,AA27,AE27)&gt;0,SUM(W27,AA27,AE27),"")</f>
        <v/>
      </c>
      <c r="AU27" s="78" t="str">
        <f>IF(SUM(AR27,AS27)&gt;0,SUM(AR27,AS27),"")</f>
        <v/>
      </c>
      <c r="AV27" s="78" t="str">
        <f>IF(SUM(AI27,AM27)&gt;0,SUM(AI27,AM27),"")</f>
        <v/>
      </c>
      <c r="AW27" s="78" t="str">
        <f>IF(SUM(AH27:AI27,AK27:AM27,AO27)-SUM(AJ27,AN27)&gt;0,SUM(AH27:AI27,AK27:AM27,AO27)-SUM(AJ27,AN27),"")</f>
        <v/>
      </c>
      <c r="AX27" s="78" t="str">
        <f>IF(SUM(AR27,AW27)&gt;0,SUM(AR27,AW27),"")</f>
        <v/>
      </c>
      <c r="AY27" s="25">
        <v>18.600000000000001</v>
      </c>
      <c r="AZ27" s="25">
        <v>5.6</v>
      </c>
      <c r="BA27" s="25">
        <v>0.8</v>
      </c>
      <c r="BB27" s="25">
        <v>0</v>
      </c>
      <c r="BC27" s="25">
        <v>18.8</v>
      </c>
      <c r="BD27" s="25">
        <v>6</v>
      </c>
      <c r="BE27" s="25">
        <v>0.2</v>
      </c>
      <c r="BF27" s="25">
        <v>0</v>
      </c>
      <c r="BG27" s="25">
        <v>18.8</v>
      </c>
      <c r="BH27" s="25">
        <v>4</v>
      </c>
      <c r="BI27" s="25">
        <v>0.6</v>
      </c>
      <c r="BJ27" s="25">
        <v>0</v>
      </c>
      <c r="BK27" s="25">
        <v>18.3</v>
      </c>
      <c r="BL27" s="25">
        <v>5.6</v>
      </c>
      <c r="BM27" s="25">
        <v>0.8</v>
      </c>
      <c r="BN27" s="25">
        <v>0</v>
      </c>
      <c r="BO27" s="25">
        <v>18.600000000000001</v>
      </c>
      <c r="BP27" s="25">
        <v>6</v>
      </c>
      <c r="BQ27" s="25">
        <v>0</v>
      </c>
      <c r="BR27" s="25">
        <v>0</v>
      </c>
      <c r="BS27" s="45"/>
      <c r="BT27" s="19">
        <f>IF(SUM(AZ27,BD27)&gt;0,SUM(AZ27,BD27),"")</f>
        <v>11.6</v>
      </c>
      <c r="BU27" s="19">
        <f>IF(SUM(AY27:AZ27,BB27:BD27,BF27)-BA27-BE27&gt;0,SUM(AY27:AZ27,BB27:BD27,BF27)-BA27-BE27,"")</f>
        <v>48</v>
      </c>
      <c r="BV27" s="19">
        <f>IF(SUM(BG27:BH27,BJ27)-BI27&gt;0,SUM(BG27:BH27,BJ27)-BI27,"")</f>
        <v>22.2</v>
      </c>
      <c r="BW27" s="19">
        <f>IF(SUM(AZ27,BD27,BH27)&gt;0,SUM(AZ27,BD27,BH27),"")</f>
        <v>15.6</v>
      </c>
      <c r="BX27" s="19">
        <f>IF(SUM(BU27,BV27)&gt;0,SUM(BU27,BV27),"")</f>
        <v>70.2</v>
      </c>
      <c r="BY27" s="19">
        <f>IF(SUM(BL27,BP27)&gt;0,SUM(BL27,BP27),"")</f>
        <v>11.6</v>
      </c>
      <c r="BZ27" s="19">
        <f>IF(SUM(BK27:BL27,BN27:BP27,BR27)-SUM(BM27,BQ27)&gt;0,SUM(BK27:BL27,BN27:BP27,BR27)-SUM(BM27,BQ27),"")</f>
        <v>47.7</v>
      </c>
      <c r="CA27" s="19">
        <f>IF(SUM(BU27,BZ27)&gt;0,SUM(BU27,BZ27),"")</f>
        <v>95.7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>IF(SUM(CC27,CG27)&gt;0,SUM(CC27,CG27),"")</f>
        <v/>
      </c>
      <c r="CX27" s="78" t="str">
        <f>IF(SUM(CB27:CC27,CE27:CG27,CI27)-CD27-CH27&gt;0,SUM(CB27:CC27,CE27:CG27,CI27)-CD27-CH27,"")</f>
        <v/>
      </c>
      <c r="CY27" s="78" t="str">
        <f>IF(SUM(CJ27:CK27,CM27)-CL27&gt;0,SUM(CJ27:CK27,CM27)-CL27,"")</f>
        <v/>
      </c>
      <c r="CZ27" s="78" t="str">
        <f>IF(SUM(CC27,CG27,CK27)&gt;0,SUM(CC27,CG27,CK27),"")</f>
        <v/>
      </c>
      <c r="DA27" s="78" t="str">
        <f>IF(SUM(CX27,CY27)&gt;0,SUM(CX27,CY27),"")</f>
        <v/>
      </c>
      <c r="DB27" s="78" t="str">
        <f>IF(SUM(CO27,CS27)&gt;0,SUM(CO27,CS27),"")</f>
        <v/>
      </c>
      <c r="DC27" s="78" t="str">
        <f>IF(SUM(CN27:CO27,CQ27:CS27,CU27)-SUM(CP27,CT27)&gt;0,SUM(CN27:CO27,CQ27:CS27,CU27)-SUM(CP27,CT27),"")</f>
        <v/>
      </c>
      <c r="DD27" s="78" t="str">
        <f>IF(SUM(CX27,DC27)&gt;0,SUM(CX27,DC27),"")</f>
        <v/>
      </c>
      <c r="DE27" s="79" t="str">
        <f>IF(K27&gt;=0.001,IF(MAX(EC27,FE27,GG27,HI27,IK27,JM27,KO27,LQ27,MS27,NU27,OW27,PY27)-IF(K27="",0,K27)&gt;0.001,MAX(EC27,FE27,GG27,HI27,IK27,JM27,KO27,LQ27,MS27,NU27,OW27,PY27)-IF(K27="",0,K27),""),"")</f>
        <v/>
      </c>
      <c r="DF27" s="79" t="str">
        <f>IF(O27&gt;=0.001,IF(MAX(ED27,FF27,GH27,HJ27,IL27,JN27,KP27,LR27,MT27,NV27,OX27,PZ27)-IF(O27="",0,O27)&gt;0.001,MAX(ED27,FF27,GH27,HJ27,IL27,JN27,KP27,LR27,MT27,NV27,OX27,PZ27)-IF(O27="",0,O27),""),"")</f>
        <v/>
      </c>
      <c r="DG27" s="79" t="str">
        <f>IF(Q27&gt;=0.001,IF(MAX(EH27,FJ27,GL27,HN27,IP27,JR27,KT27,LV27,MX27,NZ27,PB27,QD27)-IF(Q27="",0,Q27)&gt;0.001,MAX(EH27,FJ27,GL27,HN27,IP27,JR27,KT27,LV27,MX27,NZ27,PB27,QD27)-IF(Q27="",0,Q27),""),"")</f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>IF(SUM(DI27,DM27)&gt;0,SUM(DI27,DM27),"")</f>
        <v/>
      </c>
      <c r="EC27" s="78" t="str">
        <f>IF(SUM(DH27:DI27,DK27:DM27,DO27)-DJ27-DN27&gt;0,SUM(DH27:DI27,DK27:DM27,DO27)-DJ27-DN27,"")</f>
        <v/>
      </c>
      <c r="ED27" s="78" t="str">
        <f>IF(SUM(DP27:DQ27,DS27)-DR27&gt;0,SUM(DP27:DQ27,DS27)-DR27,"")</f>
        <v/>
      </c>
      <c r="EE27" s="78" t="str">
        <f>IF(SUM(DI27,DM27,DQ27)&gt;0,SUM(DI27,DM27,DQ27),"")</f>
        <v/>
      </c>
      <c r="EF27" s="78" t="str">
        <f>IF(SUM(EC27,ED27)&gt;0,SUM(EC27,ED27),"")</f>
        <v/>
      </c>
      <c r="EG27" s="78" t="str">
        <f>IF(SUM(DU27,DY27)&gt;0,SUM(DU27,DY27),"")</f>
        <v/>
      </c>
      <c r="EH27" s="78" t="str">
        <f>IF(SUM(DT27:DU27,DW27:DY27,EA27)-SUM(DV27,DZ27)&gt;0,SUM(DT27:DU27,DW27:DY27,EA27)-SUM(DV27,DZ27),"")</f>
        <v/>
      </c>
      <c r="EI27" s="78" t="str">
        <f>IF(SUM(EC27,EH27)&gt;0,SUM(EC27,EH27),"")</f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>IF(SUM(EK27,EO27)&gt;0,SUM(EK27,EO27),"")</f>
        <v/>
      </c>
      <c r="FE27" s="19" t="str">
        <f>IF(SUM(EJ27:EK27,EM27:EO27,EQ27)-EL27-EP27&gt;0,SUM(EJ27:EK27,EM27:EO27,EQ27)-EL27-EP27,"")</f>
        <v/>
      </c>
      <c r="FF27" s="19" t="str">
        <f>IF(SUM(ER27:ES27,EU27)-ET27&gt;0,SUM(ER27:ES27,EU27)-ET27,"")</f>
        <v/>
      </c>
      <c r="FG27" s="19" t="str">
        <f>IF(SUM(EK27,EO27,ES27)&gt;0,SUM(EK27,EO27,ES27),"")</f>
        <v/>
      </c>
      <c r="FH27" s="19" t="str">
        <f>IF(SUM(FE27,FF27)&gt;0,SUM(FE27,FF27),"")</f>
        <v/>
      </c>
      <c r="FI27" s="19" t="str">
        <f>IF(SUM(EW27,FA27)&gt;0,SUM(EW27,FA27),"")</f>
        <v/>
      </c>
      <c r="FJ27" s="19" t="str">
        <f>IF(SUM(EV27:EW27,EY27:FA27,FC27)-SUM(EX27,FB27)&gt;0,SUM(EV27:EW27,EY27:FA27,FC27)-SUM(EX27,FB27),"")</f>
        <v/>
      </c>
      <c r="FK27" s="19" t="str">
        <f>IF(SUM(FE27,FJ27)&gt;0,SUM(FE27,FJ27),"")</f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>IF(SUM(FM27,FQ27)&gt;0,SUM(FM27,FQ27),"")</f>
        <v/>
      </c>
      <c r="GG27" s="78" t="str">
        <f>IF(SUM(FL27:FM27,FO27:FQ27,FS27)-FN27-FR27&gt;0,SUM(FL27:FM27,FO27:FQ27,FS27)-FN27-FR27,"")</f>
        <v/>
      </c>
      <c r="GH27" s="78" t="str">
        <f>IF(SUM(FT27:FU27,FW27)-FV27&gt;0,SUM(FT27:FU27,FW27)-FV27,"")</f>
        <v/>
      </c>
      <c r="GI27" s="78" t="str">
        <f>IF(SUM(FM27,FQ27,FU27)&gt;0,SUM(FM27,FQ27,FU27),"")</f>
        <v/>
      </c>
      <c r="GJ27" s="78" t="str">
        <f>IF(SUM(GG27,GH27)&gt;0,SUM(GG27,GH27),"")</f>
        <v/>
      </c>
      <c r="GK27" s="78" t="str">
        <f>IF(SUM(FY27,GC27)&gt;0,SUM(FY27,GC27),"")</f>
        <v/>
      </c>
      <c r="GL27" s="78" t="str">
        <f>IF(SUM(FX27:FY27,GA27:GC27,GE27)-SUM(FZ27,GD27)&gt;0,SUM(FX27:FY27,GA27:GC27,GE27)-SUM(FZ27,GD27),"")</f>
        <v/>
      </c>
      <c r="GM27" s="78" t="str">
        <f>IF(SUM(GG27,GL27)&gt;0,SUM(GG27,GL27),"")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>IF(SUM(GO27,GS27)&gt;0,SUM(GO27,GS27),"")</f>
        <v/>
      </c>
      <c r="HI27" s="19" t="str">
        <f>IF(SUM(GN27:GO27,GQ27:GS27,GU27)-GP27-GT27&gt;0,SUM(GN27:GO27,GQ27:GS27,GU27)-GP27-GT27,"")</f>
        <v/>
      </c>
      <c r="HJ27" s="19" t="str">
        <f>IF(SUM(GV27:GW27,GY27)-GX27&gt;0,SUM(GV27:GW27,GY27)-GX27,"")</f>
        <v/>
      </c>
      <c r="HK27" s="19" t="str">
        <f>IF(SUM(GO27,GS27,GW27)&gt;0,SUM(GO27,GS27,GW27),"")</f>
        <v/>
      </c>
      <c r="HL27" s="19" t="str">
        <f>IF(SUM(HI27,HJ27)&gt;0,SUM(HI27,HJ27),"")</f>
        <v/>
      </c>
      <c r="HM27" s="19" t="str">
        <f>IF(SUM(HA27,HE27)&gt;0,SUM(HA27,HE27),"")</f>
        <v/>
      </c>
      <c r="HN27" s="19" t="str">
        <f>IF(SUM(GZ27:HA27,HC27:HE27,HG27)-SUM(HB27,HF27)&gt;0,SUM(GZ27:HA27,HC27:HE27,HG27)-SUM(HB27,HF27),"")</f>
        <v/>
      </c>
      <c r="HO27" s="19" t="str">
        <f>IF(SUM(HI27,HN27)&gt;0,SUM(HI27,HN27),"")</f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>IF(SUM(HQ27,HU27)&gt;0,SUM(HQ27,HU27),"")</f>
        <v/>
      </c>
      <c r="IK27" s="78" t="str">
        <f>IF(SUM(HP27:HQ27,HS27:HU27,HW27)-HR27-HV27&gt;0,SUM(HP27:HQ27,HS27:HU27,HW27)-HR27-HV27,"")</f>
        <v/>
      </c>
      <c r="IL27" s="78" t="str">
        <f>IF(SUM(HX27:HY27,IA27)-HZ27&gt;0,SUM(HX27:HY27,IA27)-HZ27,"")</f>
        <v/>
      </c>
      <c r="IM27" s="78" t="str">
        <f>IF(SUM(HQ27,HU27,HY27)&gt;0,SUM(HQ27,HU27,HY27),"")</f>
        <v/>
      </c>
      <c r="IN27" s="78" t="str">
        <f>IF(SUM(IK27,IL27)&gt;0,SUM(IK27,IL27),"")</f>
        <v/>
      </c>
      <c r="IO27" s="78" t="str">
        <f>IF(SUM(IC27,IG27)&gt;0,SUM(IC27,IG27),"")</f>
        <v/>
      </c>
      <c r="IP27" s="78" t="str">
        <f>IF(SUM(IB27:IC27,IE27:IG27,II27)-SUM(ID27,IH27)&gt;0,SUM(IB27:IC27,IE27:IG27,II27)-SUM(ID27,IH27),"")</f>
        <v/>
      </c>
      <c r="IQ27" s="78" t="str">
        <f>IF(SUM(IK27,IP27)&gt;0,SUM(IK27,IP27),"")</f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>IF(SUM(IS27,IW27)&gt;0,SUM(IS27,IW27),"")</f>
        <v/>
      </c>
      <c r="JM27" s="19" t="str">
        <f>IF(SUM(IR27:IS27,IU27:IW27,IY27)-IT27-IX27&gt;0,SUM(IR27:IS27,IU27:IW27,IY27)-IT27-IX27,"")</f>
        <v/>
      </c>
      <c r="JN27" s="19" t="str">
        <f>IF(SUM(IZ27:JA27,JC27)-JB27&gt;0,SUM(IZ27:JA27,JC27)-JB27,"")</f>
        <v/>
      </c>
      <c r="JO27" s="19" t="str">
        <f>IF(SUM(IS27,IW27,JA27)&gt;0,SUM(IS27,IW27,JA27),"")</f>
        <v/>
      </c>
      <c r="JP27" s="19" t="str">
        <f>IF(SUM(JM27,JN27)&gt;0,SUM(JM27,JN27),"")</f>
        <v/>
      </c>
      <c r="JQ27" s="19" t="str">
        <f>IF(SUM(JE27,JI27)&gt;0,SUM(JE27,JI27),"")</f>
        <v/>
      </c>
      <c r="JR27" s="19" t="str">
        <f>IF(SUM(JD27:JE27,JG27:JI27,JK27)-SUM(JF27,JJ27)&gt;0,SUM(JD27:JE27,JG27:JI27,JK27)-SUM(JF27,JJ27),"")</f>
        <v/>
      </c>
      <c r="JS27" s="19" t="str">
        <f>IF(SUM(JM27,JR27)&gt;0,SUM(JM27,JR27),"")</f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>IF(SUM(JU27,JY27)&gt;0,SUM(JU27,JY27),"")</f>
        <v/>
      </c>
      <c r="KO27" s="78" t="str">
        <f>IF(SUM(JT27:JU27,JW27:JY27,KA27)-JV27-JZ27&gt;0,SUM(JT27:JU27,JW27:JY27,KA27)-JV27-JZ27,"")</f>
        <v/>
      </c>
      <c r="KP27" s="78" t="str">
        <f>IF(SUM(KB27:KC27,KE27)-KD27&gt;0,SUM(KB27:KC27,KE27)-KD27,"")</f>
        <v/>
      </c>
      <c r="KQ27" s="78" t="str">
        <f>IF(SUM(JU27,JY27,KC27)&gt;0,SUM(JU27,JY27,KC27),"")</f>
        <v/>
      </c>
      <c r="KR27" s="78" t="str">
        <f>IF(SUM(KO27,KP27)&gt;0,SUM(KO27,KP27),"")</f>
        <v/>
      </c>
      <c r="KS27" s="78" t="str">
        <f>IF(SUM(KG27,KK27)&gt;0,SUM(KG27,KK27),"")</f>
        <v/>
      </c>
      <c r="KT27" s="78" t="str">
        <f>IF(SUM(KF27:KG27,KI27:KK27,KM27)-SUM(KH27,KL27)&gt;0,SUM(KF27:KG27,KI27:KK27,KM27)-SUM(KH27,KL27),"")</f>
        <v/>
      </c>
      <c r="KU27" s="78" t="str">
        <f>IF(SUM(KO27,KT27)&gt;0,SUM(KO27,KT27),"")</f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>IF(SUM(KW27,LA27)&gt;0,SUM(KW27,LA27),"")</f>
        <v/>
      </c>
      <c r="LQ27" s="19" t="str">
        <f>IF(SUM(KV27:KW27,KY27:LA27,LC27)-KX27-LB27&gt;0,SUM(KV27:KW27,KY27:LA27,LC27)-KX27-LB27,"")</f>
        <v/>
      </c>
      <c r="LR27" s="19" t="str">
        <f>IF(SUM(LD27:LE27,LG27)-LF27&gt;0,SUM(LD27:LE27,LG27)-LF27,"")</f>
        <v/>
      </c>
      <c r="LS27" s="19" t="str">
        <f>IF(SUM(KW27,LA27,LE27)&gt;0,SUM(KW27,LA27,LE27),"")</f>
        <v/>
      </c>
      <c r="LT27" s="19" t="str">
        <f>IF(SUM(LQ27,LR27)&gt;0,SUM(LQ27,LR27),"")</f>
        <v/>
      </c>
      <c r="LU27" s="19" t="str">
        <f>IF(SUM(LI27,LM27)&gt;0,SUM(LI27,LM27),"")</f>
        <v/>
      </c>
      <c r="LV27" s="19" t="str">
        <f>IF(SUM(LH27:LI27,LK27:LM27,LO27)-SUM(LJ27,LN27)&gt;0,SUM(LH27:LI27,LK27:LM27,LO27)-SUM(LJ27,LN27),"")</f>
        <v/>
      </c>
      <c r="LW27" s="19" t="str">
        <f>IF(SUM(LQ27,LV27)&gt;0,SUM(LQ27,LV27),"")</f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>IF(SUM(LY27,MC27)&gt;0,SUM(LY27,MC27),"")</f>
        <v/>
      </c>
      <c r="MS27" s="78" t="str">
        <f>IF(SUM(LX27:LY27,MA27:MC27,ME27)-LZ27-MD27&gt;0,SUM(LX27:LY27,MA27:MC27,ME27)-LZ27-MD27,"")</f>
        <v/>
      </c>
      <c r="MT27" s="78" t="str">
        <f>IF(SUM(MF27:MG27,MI27)-MH27&gt;0,SUM(MF27:MG27,MI27)-MH27,"")</f>
        <v/>
      </c>
      <c r="MU27" s="78" t="str">
        <f>IF(SUM(LY27,MC27,MG27)&gt;0,SUM(LY27,MC27,MG27),"")</f>
        <v/>
      </c>
      <c r="MV27" s="78" t="str">
        <f>IF(SUM(MS27,MT27)&gt;0,SUM(MS27,MT27),"")</f>
        <v/>
      </c>
      <c r="MW27" s="78" t="str">
        <f>IF(SUM(MK27,MO27)&gt;0,SUM(MK27,MO27),"")</f>
        <v/>
      </c>
      <c r="MX27" s="78" t="str">
        <f>IF(SUM(MJ27:MK27,MM27:MO27,MQ27)-SUM(ML27,MP27)&gt;0,SUM(MJ27:MK27,MM27:MO27,MQ27)-SUM(ML27,MP27),"")</f>
        <v/>
      </c>
      <c r="MY27" s="78" t="str">
        <f>IF(SUM(MS27,MX27)&gt;0,SUM(MS27,MX27),"")</f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>IF(SUM(NA27,NE27)&gt;0,SUM(NA27,NE27),"")</f>
        <v/>
      </c>
      <c r="NU27" s="19" t="str">
        <f>IF(SUM(MZ27:NA27,NC27:NE27,NG27)-NB27-NF27&gt;0,SUM(MZ27:NA27,NC27:NE27,NG27)-NB27-NF27,"")</f>
        <v/>
      </c>
      <c r="NV27" s="19" t="str">
        <f>IF(SUM(NH27:NI27,NK27)-NJ27&gt;0,SUM(NH27:NI27,NK27)-NJ27,"")</f>
        <v/>
      </c>
      <c r="NW27" s="19" t="str">
        <f>IF(SUM(NA27,NE27,NI27)&gt;0,SUM(NA27,NE27,NI27),"")</f>
        <v/>
      </c>
      <c r="NX27" s="19" t="str">
        <f>IF(SUM(NU27,NV27)&gt;0,SUM(NU27,NV27),"")</f>
        <v/>
      </c>
      <c r="NY27" s="19" t="str">
        <f>IF(SUM(NM27,NQ27)&gt;0,SUM(NM27,NQ27),"")</f>
        <v/>
      </c>
      <c r="NZ27" s="19" t="str">
        <f>IF(SUM(NL27:NM27,NO27:NQ27,NS27)-SUM(NN27,NR27)&gt;0,SUM(NL27:NM27,NO27:NQ27,NS27)-SUM(NN27,NR27),"")</f>
        <v/>
      </c>
      <c r="OA27" s="19" t="str">
        <f>IF(SUM(NU27,NZ27)&gt;0,SUM(NU27,NZ27),"")</f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>IF(SUM(OC27,OG27)&gt;0,SUM(OC27,OG27),"")</f>
        <v/>
      </c>
      <c r="OW27" s="78" t="str">
        <f>IF(SUM(OB27:OC27,OE27:OG27,OI27)-OD27-OH27&gt;0,SUM(OB27:OC27,OE27:OG27,OI27)-OD27-OH27,"")</f>
        <v/>
      </c>
      <c r="OX27" s="78" t="str">
        <f>IF(SUM(OJ27:OK27,OM27)-OL27&gt;0,SUM(OJ27:OK27,OM27)-OL27,"")</f>
        <v/>
      </c>
      <c r="OY27" s="78" t="str">
        <f>IF(SUM(OC27,OG27,OK27)&gt;0,SUM(OC27,OG27,OK27),"")</f>
        <v/>
      </c>
      <c r="OZ27" s="78" t="str">
        <f>IF(SUM(OW27,OX27)&gt;0,SUM(OW27,OX27),"")</f>
        <v/>
      </c>
      <c r="PA27" s="78" t="str">
        <f>IF(SUM(OO27,OS27)&gt;0,SUM(OO27,OS27),"")</f>
        <v/>
      </c>
      <c r="PB27" s="78" t="str">
        <f>IF(SUM(ON27:OO27,OQ27:OS27,OU27)-SUM(OP27,OT27)&gt;0,SUM(ON27:OO27,OQ27:OS27,OU27)-SUM(OP27,OT27),"")</f>
        <v/>
      </c>
      <c r="PC27" s="78" t="str">
        <f>IF(SUM(OW27,PB27)&gt;0,SUM(OW27,PB27),"")</f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>IF(SUM(PE27,PI27)&gt;0,SUM(PE27,PI27),"")</f>
        <v/>
      </c>
      <c r="PY27" s="19" t="str">
        <f>IF(SUM(PD27:PE27,PG27:PI27,PK27)-PF27-PJ27&gt;0,SUM(PD27:PE27,PG27:PI27,PK27)-PF27-PJ27,"")</f>
        <v/>
      </c>
      <c r="PZ27" s="19" t="str">
        <f>IF(SUM(PL27:PM27,PO27)-PN27&gt;0,SUM(PL27:PM27,PO27)-PN27,"")</f>
        <v/>
      </c>
      <c r="QA27" s="19" t="str">
        <f>IF(SUM(PE27,PI27,PM27)&gt;0,SUM(PE27,PI27,PM27),"")</f>
        <v/>
      </c>
      <c r="QB27" s="19" t="str">
        <f>IF(SUM(PY27,PZ27)&gt;0,SUM(PY27,PZ27),"")</f>
        <v/>
      </c>
      <c r="QC27" s="19" t="str">
        <f>IF(SUM(PQ27,PU27)&gt;0,SUM(PQ27,PU27),"")</f>
        <v/>
      </c>
      <c r="QD27" s="19" t="str">
        <f>IF(SUM(PP27:PQ27,PS27:PU27,PW27)-SUM(PR27,PV27)&gt;0,SUM(PP27:PQ27,PS27:PU27,PW27)-SUM(PR27,PV27),"")</f>
        <v/>
      </c>
      <c r="QE27" s="19" t="str">
        <f>IF(SUM(PY27,QD27)&gt;0,SUM(PY27,QD27),"")</f>
        <v/>
      </c>
      <c r="QF27" s="37">
        <f>IF($CV27="P",CB27,(CB27+AY27)/2)</f>
        <v>9.3000000000000007</v>
      </c>
      <c r="QG27" s="37">
        <f>IF($CV27="P",CC27,(CC27+AZ27)/2)</f>
        <v>2.8</v>
      </c>
      <c r="QH27" s="37">
        <f>IF($CV27="P",CD27,(CD27+BA27)/2)</f>
        <v>0.4</v>
      </c>
      <c r="QI27" s="37">
        <f>IF($CV27="P",CE27,(CE27+BB27)/2)</f>
        <v>0</v>
      </c>
      <c r="QJ27" s="37">
        <f>IF($CV27="P",CF27,(CF27+BC27)/2)</f>
        <v>9.4</v>
      </c>
      <c r="QK27" s="37">
        <f>IF($CV27="P",CG27,(CG27+BD27)/2)</f>
        <v>3</v>
      </c>
      <c r="QL27" s="37">
        <f>IF($CV27="P",CH27,(CH27+BE27)/2)</f>
        <v>0.1</v>
      </c>
      <c r="QM27" s="37">
        <f>IF($CV27="P",CI27,(CI27+BF27)/2)</f>
        <v>0</v>
      </c>
      <c r="QN27" s="37">
        <f>IF($CV27="P",CJ27,(CJ27+BG27)/2)</f>
        <v>9.4</v>
      </c>
      <c r="QO27" s="37">
        <f>IF($CV27="P",CK27,(CK27+BH27)/2)</f>
        <v>2</v>
      </c>
      <c r="QP27" s="37">
        <f>IF($CV27="P",CL27,(CL27+BI27)/2)</f>
        <v>0.3</v>
      </c>
      <c r="QQ27" s="37">
        <f>IF($CV27="P",CM27,(CM27+BJ27)/2)</f>
        <v>0</v>
      </c>
      <c r="QR27" s="37">
        <f>IF($CV27="P",CN27,(CN27+BK27)/2)</f>
        <v>9.15</v>
      </c>
      <c r="QS27" s="37">
        <f>IF($CV27="P",CO27,(CO27+BL27)/2)</f>
        <v>2.8</v>
      </c>
      <c r="QT27" s="37">
        <f>IF($CV27="P",CP27,(CP27+BM27)/2)</f>
        <v>0.4</v>
      </c>
      <c r="QU27" s="37">
        <f>IF($CV27="P",CQ27,(CQ27+BN27)/2)</f>
        <v>0</v>
      </c>
      <c r="QV27" s="37">
        <f>IF($CV27="P",CR27,(CR27+BO27)/2)</f>
        <v>9.3000000000000007</v>
      </c>
      <c r="QW27" s="37">
        <f>IF($CV27="P",CS27,(CS27+BP27)/2)</f>
        <v>3</v>
      </c>
      <c r="QX27" s="37">
        <f>IF($CV27="P",CT27,(CT27+BQ27)/2)</f>
        <v>0</v>
      </c>
      <c r="QY27" s="37">
        <f>IF($CV27="P",CU27,(CU27+BR27)/2)</f>
        <v>0</v>
      </c>
      <c r="QZ27" s="44" t="s">
        <v>46</v>
      </c>
      <c r="RA27" s="78">
        <f>IF(SUM(QG27,QK27)&gt;0,SUM(QG27,QK27),"")</f>
        <v>5.8</v>
      </c>
      <c r="RB27" s="78">
        <f>IF(SUM(QF27:QG27,QI27:QK27,QM27)-QH27-QL27&gt;0,SUM(QF27:QG27,QI27:QK27,QM27)-QH27-QL27,"")</f>
        <v>24</v>
      </c>
      <c r="RC27" s="78">
        <f>IF(SUM(QN27:QO27,QQ27)-QP27&gt;0,SUM(QN27:QO27,QQ27)-QP27,"")</f>
        <v>11.1</v>
      </c>
      <c r="RD27" s="78">
        <f>IF(SUM(QG27,QK27,QO27)&gt;0,SUM(QG27,QK27,QO27),"")</f>
        <v>7.8</v>
      </c>
      <c r="RE27" s="78">
        <f>IF(SUM(RB27,RC27)&gt;0,SUM(RB27,RC27),"")</f>
        <v>35.1</v>
      </c>
      <c r="RF27" s="78">
        <f>IF(SUM(QS27,QW27)&gt;0,SUM(QS27,QW27),"")</f>
        <v>5.8</v>
      </c>
      <c r="RG27" s="78">
        <f>IF(SUM(QR27:QS27,QU27:QW27,QY27)-SUM(QT27,QX27)&gt;0,SUM(QR27:QS27,QU27:QW27,QY27)-SUM(QT27,QX27),"")</f>
        <v>23.85</v>
      </c>
      <c r="RH27" s="78">
        <f>IF(SUM(RB27,RG27)&gt;0,SUM(RB27,RG27),"")</f>
        <v>47.85</v>
      </c>
    </row>
    <row r="28" spans="1:476" x14ac:dyDescent="0.2">
      <c r="A28" s="5" t="str">
        <f>IF(AND(F28="P",G28="P"),SUMPRODUCT((F$4:F$32="P")*(G$4:G$32="P")*(E$4:E$32&gt;E28))+1,IF(G28="P",SUMPRODUCT((F$4:F$32="")*(G$4:G$32="P")*(E$4:E$32&gt;E28))+1+SUMPRODUCT((F$4:F$32="P")*(G$4:G$32="P")),""))</f>
        <v/>
      </c>
      <c r="B28" s="77" t="s">
        <v>142</v>
      </c>
      <c r="C28" s="5" t="s">
        <v>5</v>
      </c>
      <c r="D28" s="5">
        <v>2005</v>
      </c>
      <c r="E28" s="15">
        <f>SUM(I28:S28)+SUM(I28:O28)*0.0000001+SUM(I28)*0.0000000000001</f>
        <v>112.9000065100048</v>
      </c>
      <c r="F28" s="3" t="str">
        <f>IF(OR(AND(AQ28&gt;=AX$34,AR28&gt;=AX$38,AQ28&lt;&gt;"",AP28=""),AND(AV28&gt;=AX$34,AW28&gt;=AX$38,AV28&lt;&gt;"",AP28=""),AND(BT28&gt;=CA$34,BU28&gt;=CA$38,BT28&lt;&gt;"",BS28=""),AND(BY28&gt;=CA$34,BZ28&gt;=CA$38,BY28&lt;&gt;"",BS28=""),AND(CW28&gt;=DD$34,CX28&gt;=DD$38,CW28&lt;&gt;"",CV28=""),AND(DB28&gt;=DD$34,DC28&gt;=DD$38,DB28&lt;&gt;""),AND(EB28&gt;=EI$34,EC28&gt;=EI$38,EB28&lt;&gt;""),AND(EG28&gt;=EI$34,EH28&gt;=EI$38,EG28&lt;&gt;""),AND(FD28&gt;=FK$34,FE28&gt;=FK$38,FD28&lt;&gt;""),AND(FI28&gt;=FK$34,FJ28&gt;=FK$38,FI28&lt;&gt;""),AND(GF28&gt;=GM$34,GG28&gt;=GM$38,GF28&lt;&gt;""),AND(GK28&gt;=GM$34,GL28&gt;=GM$38,GK28&lt;&gt;""),AND(HH28&gt;=HO$34,HI28&gt;=HO$38,HH28&lt;&gt;""),AND(HM28&gt;=HO$34,HN28&gt;=HO$38,HM28&lt;&gt;""),AND(IJ28&gt;=IQ$34,IK28&gt;=IQ$38,IJ28&lt;&gt;""),AND(IO28&gt;=IQ$34,IP28&gt;=IQ$38,IO28&lt;&gt;""),AND(JL28&gt;=JS$34,JM28&gt;=JS$38,JL28&lt;&gt;""),AND(JQ28&gt;=JS$34,JR28&gt;=JS$38,JQ28&lt;&gt;""),AND(KN28&gt;=KU$34,KO28&gt;=KU$38,KN28&lt;&gt;""),AND(KS28&gt;=KU$34,KT28&gt;=KU$38,KS28&lt;&gt;""),AND(LP28&gt;=LW$34,LQ28&gt;=LW$38,LP28&lt;&gt;""),AND(LU28&gt;=LW$34,LV28&gt;=LW$38,LU28&lt;&gt;""),AND(MR28&gt;=MY$34,MS28&gt;=MY$38,MR28&lt;&gt;""),AND(MW28&gt;=MY$34,MX28&gt;=MY$38,MW28&lt;&gt;""),AND(NT28&gt;=OA$34,NU28&gt;=OA$38,NT28&lt;&gt;""),AND(NY28&gt;=OA$34,NZ28&gt;=OA$38,NY28&lt;&gt;""),AND(OV28&gt;=PC$34,OW28&gt;=PC$38,OV28&lt;&gt;""),AND(PA28&gt;=PC$34,PB28&gt;=PC$38,PA28&lt;&gt;""),AND(PX28&gt;=QE$34,PY28&gt;=QE$38,PX28&lt;&gt;""),AND(QC28&gt;=QE$34,QD28&gt;=QE$38,QC28&lt;&gt;"")),"P","")</f>
        <v/>
      </c>
      <c r="G28" s="3" t="str">
        <f>IF(OR(AND(AR28&gt;=AX$38,AR28&lt;&gt;"",AP28=""),AND(AW28&gt;=AX$38,AW28&lt;&gt;"",AP28=""),AND(BU28&gt;=CA$38,BU28&lt;&gt;"",BS28=""),AND(BZ28&gt;=CA$38,BZ28&lt;&gt;"",BS28=""),AND(CX28&gt;=DD$38,CX28&lt;&gt;"",CV28=""),AND(DC28&gt;=DD$38,DC28&lt;&gt;"",CV28=""),AND(EC28&gt;=EI$38,EC28&lt;&gt;""),AND(EH28&gt;=EI$38,EH28&lt;&gt;""),AND(FE28&gt;=FK$38,FE28&lt;&gt;""),AND(FJ28&gt;=FK$38,FJ28&lt;&gt;""),AND(GG28&gt;=GM$38,GG28&lt;&gt;""),AND(GL28&gt;=GM$38,GL28&lt;&gt;""),AND(HI28&gt;=HO$38,HI28&lt;&gt;""),AND(HN28&gt;=HO$38,HN28&lt;&gt;""),AND(IK28&gt;=IQ$38,IK28&lt;&gt;""),AND(IP28&gt;=IQ$38,IP28&lt;&gt;""),AND(JM28&gt;=JS$38,JM28&lt;&gt;""),AND(JR28&gt;=JS$38,JR28&lt;&gt;""),AND(KO28&gt;=KU$38,KO28&lt;&gt;""),AND(KT28&gt;=KU$38,KT28&lt;&gt;""),AND(LQ28&gt;=LW$38,LQ28&lt;&gt;""),AND(LV28&gt;=LW$38,LV28&lt;&gt;""),AND(MS28&gt;=MY$38,MS28&lt;&gt;""),AND(MX28&gt;=MY$38,MX28&lt;&gt;""),AND(NU28&gt;=OA$38,NU28&lt;&gt;""),AND(NZ28&gt;=OA$38,NZ28&lt;&gt;""),AND(OW28&gt;=PC$38,OW28&lt;&gt;""),AND(PB28&gt;=PC$38,PB28&lt;&gt;""),AND(PY28&gt;=QE$38,PY28&lt;&gt;""),AND(QD28&gt;=QE$38,QD28&lt;&gt;"")),"P","")</f>
        <v/>
      </c>
      <c r="H28" s="66" t="str">
        <f>IF(AND(G28="P",F28=""),"No DD",IF(OR(AND(AT28&gt;=AX$37,AU28&gt;=AX$41,AT28&lt;&gt;"",AP28=""),AND(BW28&gt;=CA$37,BX28&gt;=CA$41,BW28&lt;&gt;"",BS28=""),AND(CZ28&gt;=DD$37,DA28&gt;=DD$41,CZ28&lt;&gt;"",CV28=""),AND(EE28&gt;=EI$37,EF28&gt;=EI$41,EE28&lt;&gt;""),AND(FG28&gt;=FK$37,FH28&gt;=FK$41,FG28&lt;&gt;""),AND(GI28&gt;=GM$37,GJ28&gt;=GM$41,GI28&lt;&gt;""),AND(HK28&gt;=HO$37,HL28&gt;=HO$41,HK28&lt;&gt;""),AND(IM28&gt;=IQ$37,IN28&gt;=IQ$41,IM28&lt;&gt;""),AND(JO28&gt;=JS$37,JP28&gt;=JS$41,JO28&lt;&gt;""),AND(KQ28&gt;=KU$37,KR28&gt;=KU$41,KQ28&lt;&gt;""),AND(LS28&gt;=LW$37,LT28&gt;=LW$41,LS28&lt;&gt;""),AND(MU28&gt;=MY$37,MV28&gt;=MY$41,MU28&lt;&gt;""),AND(NW28&gt;=OA$37,NX28&gt;=OA$41,NW28&lt;&gt;""),AND(OY28&gt;=PC$37,OZ28&gt;=PC$41,OY28&lt;&gt;""),AND(QA28&gt;=QE$37,QB28&gt;=QE$41,QA28&lt;&gt;"")),"Merit",IF(OR(AND(AT28&gt;=AX$36,AU28&gt;=AX$40,AT28&lt;&gt;"",AP28=""),AND(BW28&gt;=CA$36,BX28&gt;=CA$40,BW28&lt;&gt;"",BS28=""),AND(CZ28&gt;=DD$36,DA28&gt;=DD$40,CZ28&lt;&gt;"",CV28=""),AND(EE28&gt;=EI$36,EF28&gt;=EI$40,EE28&lt;&gt;""),AND(FG28&gt;=FK$36,FH28&gt;=FK$40,FG28&lt;&gt;""),AND(GI28&gt;=GM$36,GJ28&gt;=GM$40,GI28&lt;&gt;""),AND(HK28&gt;=HO$36,HL28&gt;=HO$40,HK28&lt;&gt;""),AND(IM28&gt;=IQ$36,IN28&gt;=IQ$40,IM28&lt;&gt;""),AND(JO28&gt;=JS$36,JP28&gt;=JS$40,JO28&lt;&gt;""),AND(KQ28&gt;=KU$36,KR28&gt;=KU$40,KQ28&lt;&gt;""),AND(LS28&gt;=LW$36,LT28&gt;=LW$40,LS28&lt;&gt;""),AND(MU28&gt;=MY$36,MV28&gt;=MY$40,MU28&lt;&gt;""),AND(NW28&gt;=OA$36,NX28&gt;=OA$40,NW28&lt;&gt;""),AND(OY28&gt;=PC$36,OZ28&gt;=PC$40,OY28&lt;&gt;""),AND(QA28&gt;=QE$36,QB28&gt;=QE$40,QA28&lt;&gt;"")),"Excellence",IF(F28="P","National Team",""))))</f>
        <v/>
      </c>
      <c r="I28" s="14">
        <f>IF(COUNT(AR28,BU28,CX28)&gt;0,LARGE((AR28,BU28,CX28),1),0)</f>
        <v>48</v>
      </c>
      <c r="J28" s="14" t="str">
        <f>IF(I28=0,"",IF(I28=CX28,$CB$1,IF(I28=BU28,$AY$1,IF(I28=AR28,$V$1,""))))</f>
        <v>2022 Elite Canada</v>
      </c>
      <c r="K28" s="14">
        <f>IF(COUNT(AR28,BU28,CX28)&gt;1,LARGE((AR28,BU28,CX28),2),0)</f>
        <v>0</v>
      </c>
      <c r="L28" s="14" t="str">
        <f>IF(K28=0,"",IF(K28=CX28,$CB$1,IF(K28=BU28,$AY$1,IF(K28=AR28,$V$1,""))))</f>
        <v/>
      </c>
      <c r="M28" s="14">
        <f>IF(COUNT(AS28,BV28,CY28)&gt;0,LARGE((AS28,BV28,CY28),1),0)</f>
        <v>17.100000000000001</v>
      </c>
      <c r="N28" s="14" t="str">
        <f>IF(M28=0,"",IF(M28=CY28,$CB$1,IF(M28=BV28,$AY$1,IF(M28=AS28,$V$1,""))))</f>
        <v>2022 Elite Canada</v>
      </c>
      <c r="O28" s="14">
        <f>IF(COUNT(AS28,BV28,CY28)&gt;1,LARGE((AS28,BV28,CY28),2),0)</f>
        <v>0</v>
      </c>
      <c r="P28" s="14" t="str">
        <f>IF(O28=0,"",IF(O28=CY28,$CB$1,IF(O28=BV28,$AY$1,IF(O28=AS28,$V$1,""))))</f>
        <v/>
      </c>
      <c r="Q28" s="14">
        <f>IF(MAX(AW28,BZ28,DC28)&gt;0,MAX(AW28,BZ28,DC28),0)</f>
        <v>47.8</v>
      </c>
      <c r="R28" s="14" t="str">
        <f>IF(Q28=0,"",IF(Q28=DC28,$CB$1,IF(Q28=BZ28,$AY$1,IF(Q28=AW28,$V$1,""))))</f>
        <v>2022 Elite Canada</v>
      </c>
      <c r="S28" s="14" t="str">
        <f>IF(MAX(DE28:DG28)&gt;0,MAX(DE28:DG28),"")</f>
        <v/>
      </c>
      <c r="T28" s="19" t="str">
        <f>IF(S28="","",IF(S28=DE28,"("&amp;DE$2&amp;")",IF(S28=DG28,"("&amp;DG$2&amp;")")))</f>
        <v/>
      </c>
      <c r="U28" s="14" t="str">
        <f>IF(S28="","",IF(S28=DE28,IF(S28+IF(K28="",0,K28)=PY28,$PD$1,IF(S28+IF(K28="",0,K28)=OW28,$OB$1,IF(S28+IF(K28="",0,K28)=NU28,$MZ$1,IF(S28+IF(K28="",0,K28)=MS28,$LX$1,IF(S28+IF(K28="",0,K28)=LQ28,$KV$1,IF(S28+IF(K28="",0,K28)=KO28,$JT$1,IF(S28+IF(K28="",0,K28)=JM28,$IR$1,IF(S28+IF(K28="",0,K28)=IK28,$HP$1,IF(S28+IF(K28="",0,K28)=HI28,$GN$1,IF(S28+IF(K28="",0,K28)=GG28,$FL$1,IF(S28+IF(K28="",0,K28)=FE28,$EJ$1,IF(S28+IF(K28="",0,K28)=EC28,$DH$1)))))))))))),IF(S28=DG28,IF(S28+IF(Q28="",0,Q28)=QD28,$PD$1,IF(S28+IF(Q28="",0,Q28)=PB28,$OB$1,IF(S28+IF(Q28="",0,Q28)=NZ28,$MZ$1,IF(S28+IF(Q28="",0,Q28)=MX28,$LX$1,IF(S28+IF(Q28="",0,Q28)=LV28,$KV$1,IF(S28+IF(Q28="",0,Q28)=KT28,$JT$1,IF(S28+IF(Q28="",0,Q28)=JR28,$IR$1,IF(S28+IF(Q28="",0,Q28)=IP28,$HP$1,IF(S28+IF(Q28="",0,Q28)=HN28,$GN$1,IF(S28+IF(Q28="",0,Q28)=GL28,$FL$1,IF(S28+IF(Q28="",0,Q28)=FJ28,$EJ$1,IF(S28+IF(Q28="",0,Q28)=EH28,$DH$1)))))))))))))))</f>
        <v/>
      </c>
      <c r="V28" s="26">
        <v>18.399999999999999</v>
      </c>
      <c r="W28" s="26">
        <v>6.8</v>
      </c>
      <c r="X28" s="26">
        <v>0.6</v>
      </c>
      <c r="Y28" s="26">
        <v>0</v>
      </c>
      <c r="Z28" s="26">
        <v>18</v>
      </c>
      <c r="AA28" s="26">
        <v>5.6</v>
      </c>
      <c r="AB28" s="26">
        <v>0.2</v>
      </c>
      <c r="AC28" s="26">
        <v>0</v>
      </c>
      <c r="AD28" s="26">
        <v>17.100000000000001</v>
      </c>
      <c r="AE28" s="26">
        <v>0</v>
      </c>
      <c r="AF28" s="26">
        <v>0</v>
      </c>
      <c r="AG28" s="26">
        <v>0</v>
      </c>
      <c r="AH28" s="26">
        <v>18.399999999999999</v>
      </c>
      <c r="AI28" s="26">
        <v>7.2</v>
      </c>
      <c r="AJ28" s="26">
        <v>0</v>
      </c>
      <c r="AK28" s="26">
        <v>0</v>
      </c>
      <c r="AL28" s="26">
        <v>16.399999999999999</v>
      </c>
      <c r="AM28" s="26">
        <v>6.8</v>
      </c>
      <c r="AN28" s="26">
        <v>1</v>
      </c>
      <c r="AO28" s="26">
        <v>0</v>
      </c>
      <c r="AP28" s="44"/>
      <c r="AQ28" s="78">
        <f>IF(SUM(W28,AA28)&gt;0,SUM(W28,AA28),"")</f>
        <v>12.399999999999999</v>
      </c>
      <c r="AR28" s="78">
        <f>IF(SUM(V28:W28,Y28:AA28,AC28)-X28-AB28&gt;0,SUM(V28:W28,Y28:AA28,AC28)-X28-AB28,"")</f>
        <v>48</v>
      </c>
      <c r="AS28" s="78">
        <f>IF(SUM(AD28:AE28,AG28)-AF28&gt;0,SUM(AD28:AE28,AG28)-AF28,"")</f>
        <v>17.100000000000001</v>
      </c>
      <c r="AT28" s="78">
        <f>IF(SUM(W28,AA28,AE28)&gt;0,SUM(W28,AA28,AE28),"")</f>
        <v>12.399999999999999</v>
      </c>
      <c r="AU28" s="78">
        <f>IF(SUM(AR28,AS28)&gt;0,SUM(AR28,AS28),"")</f>
        <v>65.099999999999994</v>
      </c>
      <c r="AV28" s="78">
        <f>IF(SUM(AI28,AM28)&gt;0,SUM(AI28,AM28),"")</f>
        <v>14</v>
      </c>
      <c r="AW28" s="78">
        <f>IF(SUM(AH28:AI28,AK28:AM28,AO28)-SUM(AJ28,AN28)&gt;0,SUM(AH28:AI28,AK28:AM28,AO28)-SUM(AJ28,AN28),"")</f>
        <v>47.8</v>
      </c>
      <c r="AX28" s="78">
        <f>IF(SUM(AR28,AW28)&gt;0,SUM(AR28,AW28),"")</f>
        <v>95.8</v>
      </c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45"/>
      <c r="BT28" s="19" t="str">
        <f>IF(SUM(AZ28,BD28)&gt;0,SUM(AZ28,BD28),"")</f>
        <v/>
      </c>
      <c r="BU28" s="19" t="str">
        <f>IF(SUM(AY28:AZ28,BB28:BD28,BF28)-BA28-BE28&gt;0,SUM(AY28:AZ28,BB28:BD28,BF28)-BA28-BE28,"")</f>
        <v/>
      </c>
      <c r="BV28" s="19" t="str">
        <f>IF(SUM(BG28:BH28,BJ28)-BI28&gt;0,SUM(BG28:BH28,BJ28)-BI28,"")</f>
        <v/>
      </c>
      <c r="BW28" s="19" t="str">
        <f>IF(SUM(AZ28,BD28,BH28)&gt;0,SUM(AZ28,BD28,BH28),"")</f>
        <v/>
      </c>
      <c r="BX28" s="19" t="str">
        <f>IF(SUM(BU28,BV28)&gt;0,SUM(BU28,BV28),"")</f>
        <v/>
      </c>
      <c r="BY28" s="19" t="str">
        <f>IF(SUM(BL28,BP28)&gt;0,SUM(BL28,BP28),"")</f>
        <v/>
      </c>
      <c r="BZ28" s="19" t="str">
        <f>IF(SUM(BK28:BL28,BN28:BP28,BR28)-SUM(BM28,BQ28)&gt;0,SUM(BK28:BL28,BN28:BP28,BR28)-SUM(BM28,BQ28),"")</f>
        <v/>
      </c>
      <c r="CA28" s="19" t="str">
        <f>IF(SUM(BU28,BZ28)&gt;0,SUM(BU28,BZ28),"")</f>
        <v/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>IF(SUM(CC28,CG28)&gt;0,SUM(CC28,CG28),"")</f>
        <v/>
      </c>
      <c r="CX28" s="78" t="str">
        <f>IF(SUM(CB28:CC28,CE28:CG28,CI28)-CD28-CH28&gt;0,SUM(CB28:CC28,CE28:CG28,CI28)-CD28-CH28,"")</f>
        <v/>
      </c>
      <c r="CY28" s="78" t="str">
        <f>IF(SUM(CJ28:CK28,CM28)-CL28&gt;0,SUM(CJ28:CK28,CM28)-CL28,"")</f>
        <v/>
      </c>
      <c r="CZ28" s="78" t="str">
        <f>IF(SUM(CC28,CG28,CK28)&gt;0,SUM(CC28,CG28,CK28),"")</f>
        <v/>
      </c>
      <c r="DA28" s="78" t="str">
        <f>IF(SUM(CX28,CY28)&gt;0,SUM(CX28,CY28),"")</f>
        <v/>
      </c>
      <c r="DB28" s="78" t="str">
        <f>IF(SUM(CO28,CS28)&gt;0,SUM(CO28,CS28),"")</f>
        <v/>
      </c>
      <c r="DC28" s="78" t="str">
        <f>IF(SUM(CN28:CO28,CQ28:CS28,CU28)-SUM(CP28,CT28)&gt;0,SUM(CN28:CO28,CQ28:CS28,CU28)-SUM(CP28,CT28),"")</f>
        <v/>
      </c>
      <c r="DD28" s="78" t="str">
        <f>IF(SUM(CX28,DC28)&gt;0,SUM(CX28,DC28),"")</f>
        <v/>
      </c>
      <c r="DE28" s="79" t="str">
        <f>IF(K28&gt;=0.001,IF(MAX(EC28,FE28,GG28,HI28,IK28,JM28,KO28,LQ28,MS28,NU28,OW28,PY28)-IF(K28="",0,K28)&gt;0.001,MAX(EC28,FE28,GG28,HI28,IK28,JM28,KO28,LQ28,MS28,NU28,OW28,PY28)-IF(K28="",0,K28),""),"")</f>
        <v/>
      </c>
      <c r="DF28" s="79" t="str">
        <f>IF(O28&gt;=0.001,IF(MAX(ED28,FF28,GH28,HJ28,IL28,JN28,KP28,LR28,MT28,NV28,OX28,PZ28)-IF(O28="",0,O28)&gt;0.001,MAX(ED28,FF28,GH28,HJ28,IL28,JN28,KP28,LR28,MT28,NV28,OX28,PZ28)-IF(O28="",0,O28),""),"")</f>
        <v/>
      </c>
      <c r="DG28" s="79" t="str">
        <f>IF(Q28&gt;=0.001,IF(MAX(EH28,FJ28,GL28,HN28,IP28,JR28,KT28,LV28,MX28,NZ28,PB28,QD28)-IF(Q28="",0,Q28)&gt;0.001,MAX(EH28,FJ28,GL28,HN28,IP28,JR28,KT28,LV28,MX28,NZ28,PB28,QD28)-IF(Q28="",0,Q28),""),"")</f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>IF(SUM(DI28,DM28)&gt;0,SUM(DI28,DM28),"")</f>
        <v/>
      </c>
      <c r="EC28" s="78" t="str">
        <f>IF(SUM(DH28:DI28,DK28:DM28,DO28)-DJ28-DN28&gt;0,SUM(DH28:DI28,DK28:DM28,DO28)-DJ28-DN28,"")</f>
        <v/>
      </c>
      <c r="ED28" s="78" t="str">
        <f>IF(SUM(DP28:DQ28,DS28)-DR28&gt;0,SUM(DP28:DQ28,DS28)-DR28,"")</f>
        <v/>
      </c>
      <c r="EE28" s="78" t="str">
        <f>IF(SUM(DI28,DM28,DQ28)&gt;0,SUM(DI28,DM28,DQ28),"")</f>
        <v/>
      </c>
      <c r="EF28" s="78" t="str">
        <f>IF(SUM(EC28,ED28)&gt;0,SUM(EC28,ED28),"")</f>
        <v/>
      </c>
      <c r="EG28" s="78" t="str">
        <f>IF(SUM(DU28,DY28)&gt;0,SUM(DU28,DY28),"")</f>
        <v/>
      </c>
      <c r="EH28" s="78" t="str">
        <f>IF(SUM(DT28:DU28,DW28:DY28,EA28)-SUM(DV28,DZ28)&gt;0,SUM(DT28:DU28,DW28:DY28,EA28)-SUM(DV28,DZ28),"")</f>
        <v/>
      </c>
      <c r="EI28" s="78" t="str">
        <f>IF(SUM(EC28,EH28)&gt;0,SUM(EC28,EH28),"")</f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>IF(SUM(EK28,EO28)&gt;0,SUM(EK28,EO28),"")</f>
        <v/>
      </c>
      <c r="FE28" s="19" t="str">
        <f>IF(SUM(EJ28:EK28,EM28:EO28,EQ28)-EL28-EP28&gt;0,SUM(EJ28:EK28,EM28:EO28,EQ28)-EL28-EP28,"")</f>
        <v/>
      </c>
      <c r="FF28" s="19" t="str">
        <f>IF(SUM(ER28:ES28,EU28)-ET28&gt;0,SUM(ER28:ES28,EU28)-ET28,"")</f>
        <v/>
      </c>
      <c r="FG28" s="19" t="str">
        <f>IF(SUM(EK28,EO28,ES28)&gt;0,SUM(EK28,EO28,ES28),"")</f>
        <v/>
      </c>
      <c r="FH28" s="19" t="str">
        <f>IF(SUM(FE28,FF28)&gt;0,SUM(FE28,FF28),"")</f>
        <v/>
      </c>
      <c r="FI28" s="19" t="str">
        <f>IF(SUM(EW28,FA28)&gt;0,SUM(EW28,FA28),"")</f>
        <v/>
      </c>
      <c r="FJ28" s="19" t="str">
        <f>IF(SUM(EV28:EW28,EY28:FA28,FC28)-SUM(EX28,FB28)&gt;0,SUM(EV28:EW28,EY28:FA28,FC28)-SUM(EX28,FB28),"")</f>
        <v/>
      </c>
      <c r="FK28" s="19" t="str">
        <f>IF(SUM(FE28,FJ28)&gt;0,SUM(FE28,FJ28),"")</f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>IF(SUM(FM28,FQ28)&gt;0,SUM(FM28,FQ28),"")</f>
        <v/>
      </c>
      <c r="GG28" s="78" t="str">
        <f>IF(SUM(FL28:FM28,FO28:FQ28,FS28)-FN28-FR28&gt;0,SUM(FL28:FM28,FO28:FQ28,FS28)-FN28-FR28,"")</f>
        <v/>
      </c>
      <c r="GH28" s="78" t="str">
        <f>IF(SUM(FT28:FU28,FW28)-FV28&gt;0,SUM(FT28:FU28,FW28)-FV28,"")</f>
        <v/>
      </c>
      <c r="GI28" s="78" t="str">
        <f>IF(SUM(FM28,FQ28,FU28)&gt;0,SUM(FM28,FQ28,FU28),"")</f>
        <v/>
      </c>
      <c r="GJ28" s="78" t="str">
        <f>IF(SUM(GG28,GH28)&gt;0,SUM(GG28,GH28),"")</f>
        <v/>
      </c>
      <c r="GK28" s="78" t="str">
        <f>IF(SUM(FY28,GC28)&gt;0,SUM(FY28,GC28),"")</f>
        <v/>
      </c>
      <c r="GL28" s="78" t="str">
        <f>IF(SUM(FX28:FY28,GA28:GC28,GE28)-SUM(FZ28,GD28)&gt;0,SUM(FX28:FY28,GA28:GC28,GE28)-SUM(FZ28,GD28),"")</f>
        <v/>
      </c>
      <c r="GM28" s="78" t="str">
        <f>IF(SUM(GG28,GL28)&gt;0,SUM(GG28,GL28),"")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>IF(SUM(GO28,GS28)&gt;0,SUM(GO28,GS28),"")</f>
        <v/>
      </c>
      <c r="HI28" s="19" t="str">
        <f>IF(SUM(GN28:GO28,GQ28:GS28,GU28)-GP28-GT28&gt;0,SUM(GN28:GO28,GQ28:GS28,GU28)-GP28-GT28,"")</f>
        <v/>
      </c>
      <c r="HJ28" s="19" t="str">
        <f>IF(SUM(GV28:GW28,GY28)-GX28&gt;0,SUM(GV28:GW28,GY28)-GX28,"")</f>
        <v/>
      </c>
      <c r="HK28" s="19" t="str">
        <f>IF(SUM(GO28,GS28,GW28)&gt;0,SUM(GO28,GS28,GW28),"")</f>
        <v/>
      </c>
      <c r="HL28" s="19" t="str">
        <f>IF(SUM(HI28,HJ28)&gt;0,SUM(HI28,HJ28),"")</f>
        <v/>
      </c>
      <c r="HM28" s="19" t="str">
        <f>IF(SUM(HA28,HE28)&gt;0,SUM(HA28,HE28),"")</f>
        <v/>
      </c>
      <c r="HN28" s="19" t="str">
        <f>IF(SUM(GZ28:HA28,HC28:HE28,HG28)-SUM(HB28,HF28)&gt;0,SUM(GZ28:HA28,HC28:HE28,HG28)-SUM(HB28,HF28),"")</f>
        <v/>
      </c>
      <c r="HO28" s="19" t="str">
        <f>IF(SUM(HI28,HN28)&gt;0,SUM(HI28,HN28),"")</f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>IF(SUM(HQ28,HU28)&gt;0,SUM(HQ28,HU28),"")</f>
        <v/>
      </c>
      <c r="IK28" s="78" t="str">
        <f>IF(SUM(HP28:HQ28,HS28:HU28,HW28)-HR28-HV28&gt;0,SUM(HP28:HQ28,HS28:HU28,HW28)-HR28-HV28,"")</f>
        <v/>
      </c>
      <c r="IL28" s="78" t="str">
        <f>IF(SUM(HX28:HY28,IA28)-HZ28&gt;0,SUM(HX28:HY28,IA28)-HZ28,"")</f>
        <v/>
      </c>
      <c r="IM28" s="78" t="str">
        <f>IF(SUM(HQ28,HU28,HY28)&gt;0,SUM(HQ28,HU28,HY28),"")</f>
        <v/>
      </c>
      <c r="IN28" s="78" t="str">
        <f>IF(SUM(IK28,IL28)&gt;0,SUM(IK28,IL28),"")</f>
        <v/>
      </c>
      <c r="IO28" s="78" t="str">
        <f>IF(SUM(IC28,IG28)&gt;0,SUM(IC28,IG28),"")</f>
        <v/>
      </c>
      <c r="IP28" s="78" t="str">
        <f>IF(SUM(IB28:IC28,IE28:IG28,II28)-SUM(ID28,IH28)&gt;0,SUM(IB28:IC28,IE28:IG28,II28)-SUM(ID28,IH28),"")</f>
        <v/>
      </c>
      <c r="IQ28" s="78" t="str">
        <f>IF(SUM(IK28,IP28)&gt;0,SUM(IK28,IP28),"")</f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>IF(SUM(IS28,IW28)&gt;0,SUM(IS28,IW28),"")</f>
        <v/>
      </c>
      <c r="JM28" s="19" t="str">
        <f>IF(SUM(IR28:IS28,IU28:IW28,IY28)-IT28-IX28&gt;0,SUM(IR28:IS28,IU28:IW28,IY28)-IT28-IX28,"")</f>
        <v/>
      </c>
      <c r="JN28" s="19" t="str">
        <f>IF(SUM(IZ28:JA28,JC28)-JB28&gt;0,SUM(IZ28:JA28,JC28)-JB28,"")</f>
        <v/>
      </c>
      <c r="JO28" s="19" t="str">
        <f>IF(SUM(IS28,IW28,JA28)&gt;0,SUM(IS28,IW28,JA28),"")</f>
        <v/>
      </c>
      <c r="JP28" s="19" t="str">
        <f>IF(SUM(JM28,JN28)&gt;0,SUM(JM28,JN28),"")</f>
        <v/>
      </c>
      <c r="JQ28" s="19" t="str">
        <f>IF(SUM(JE28,JI28)&gt;0,SUM(JE28,JI28),"")</f>
        <v/>
      </c>
      <c r="JR28" s="19" t="str">
        <f>IF(SUM(JD28:JE28,JG28:JI28,JK28)-SUM(JF28,JJ28)&gt;0,SUM(JD28:JE28,JG28:JI28,JK28)-SUM(JF28,JJ28),"")</f>
        <v/>
      </c>
      <c r="JS28" s="19" t="str">
        <f>IF(SUM(JM28,JR28)&gt;0,SUM(JM28,JR28),"")</f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>IF(SUM(JU28,JY28)&gt;0,SUM(JU28,JY28),"")</f>
        <v/>
      </c>
      <c r="KO28" s="78" t="str">
        <f>IF(SUM(JT28:JU28,JW28:JY28,KA28)-JV28-JZ28&gt;0,SUM(JT28:JU28,JW28:JY28,KA28)-JV28-JZ28,"")</f>
        <v/>
      </c>
      <c r="KP28" s="78" t="str">
        <f>IF(SUM(KB28:KC28,KE28)-KD28&gt;0,SUM(KB28:KC28,KE28)-KD28,"")</f>
        <v/>
      </c>
      <c r="KQ28" s="78" t="str">
        <f>IF(SUM(JU28,JY28,KC28)&gt;0,SUM(JU28,JY28,KC28),"")</f>
        <v/>
      </c>
      <c r="KR28" s="78" t="str">
        <f>IF(SUM(KO28,KP28)&gt;0,SUM(KO28,KP28),"")</f>
        <v/>
      </c>
      <c r="KS28" s="78" t="str">
        <f>IF(SUM(KG28,KK28)&gt;0,SUM(KG28,KK28),"")</f>
        <v/>
      </c>
      <c r="KT28" s="78" t="str">
        <f>IF(SUM(KF28:KG28,KI28:KK28,KM28)-SUM(KH28,KL28)&gt;0,SUM(KF28:KG28,KI28:KK28,KM28)-SUM(KH28,KL28),"")</f>
        <v/>
      </c>
      <c r="KU28" s="78" t="str">
        <f>IF(SUM(KO28,KT28)&gt;0,SUM(KO28,KT28),"")</f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>IF(SUM(KW28,LA28)&gt;0,SUM(KW28,LA28),"")</f>
        <v/>
      </c>
      <c r="LQ28" s="19" t="str">
        <f>IF(SUM(KV28:KW28,KY28:LA28,LC28)-KX28-LB28&gt;0,SUM(KV28:KW28,KY28:LA28,LC28)-KX28-LB28,"")</f>
        <v/>
      </c>
      <c r="LR28" s="19" t="str">
        <f>IF(SUM(LD28:LE28,LG28)-LF28&gt;0,SUM(LD28:LE28,LG28)-LF28,"")</f>
        <v/>
      </c>
      <c r="LS28" s="19" t="str">
        <f>IF(SUM(KW28,LA28,LE28)&gt;0,SUM(KW28,LA28,LE28),"")</f>
        <v/>
      </c>
      <c r="LT28" s="19" t="str">
        <f>IF(SUM(LQ28,LR28)&gt;0,SUM(LQ28,LR28),"")</f>
        <v/>
      </c>
      <c r="LU28" s="19" t="str">
        <f>IF(SUM(LI28,LM28)&gt;0,SUM(LI28,LM28),"")</f>
        <v/>
      </c>
      <c r="LV28" s="19" t="str">
        <f>IF(SUM(LH28:LI28,LK28:LM28,LO28)-SUM(LJ28,LN28)&gt;0,SUM(LH28:LI28,LK28:LM28,LO28)-SUM(LJ28,LN28),"")</f>
        <v/>
      </c>
      <c r="LW28" s="19" t="str">
        <f>IF(SUM(LQ28,LV28)&gt;0,SUM(LQ28,LV28),"")</f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>IF(SUM(LY28,MC28)&gt;0,SUM(LY28,MC28),"")</f>
        <v/>
      </c>
      <c r="MS28" s="78" t="str">
        <f>IF(SUM(LX28:LY28,MA28:MC28,ME28)-LZ28-MD28&gt;0,SUM(LX28:LY28,MA28:MC28,ME28)-LZ28-MD28,"")</f>
        <v/>
      </c>
      <c r="MT28" s="78" t="str">
        <f>IF(SUM(MF28:MG28,MI28)-MH28&gt;0,SUM(MF28:MG28,MI28)-MH28,"")</f>
        <v/>
      </c>
      <c r="MU28" s="78" t="str">
        <f>IF(SUM(LY28,MC28,MG28)&gt;0,SUM(LY28,MC28,MG28),"")</f>
        <v/>
      </c>
      <c r="MV28" s="78" t="str">
        <f>IF(SUM(MS28,MT28)&gt;0,SUM(MS28,MT28),"")</f>
        <v/>
      </c>
      <c r="MW28" s="78" t="str">
        <f>IF(SUM(MK28,MO28)&gt;0,SUM(MK28,MO28),"")</f>
        <v/>
      </c>
      <c r="MX28" s="78" t="str">
        <f>IF(SUM(MJ28:MK28,MM28:MO28,MQ28)-SUM(ML28,MP28)&gt;0,SUM(MJ28:MK28,MM28:MO28,MQ28)-SUM(ML28,MP28),"")</f>
        <v/>
      </c>
      <c r="MY28" s="78" t="str">
        <f>IF(SUM(MS28,MX28)&gt;0,SUM(MS28,MX28),"")</f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>IF(SUM(NA28,NE28)&gt;0,SUM(NA28,NE28),"")</f>
        <v/>
      </c>
      <c r="NU28" s="19" t="str">
        <f>IF(SUM(MZ28:NA28,NC28:NE28,NG28)-NB28-NF28&gt;0,SUM(MZ28:NA28,NC28:NE28,NG28)-NB28-NF28,"")</f>
        <v/>
      </c>
      <c r="NV28" s="19" t="str">
        <f>IF(SUM(NH28:NI28,NK28)-NJ28&gt;0,SUM(NH28:NI28,NK28)-NJ28,"")</f>
        <v/>
      </c>
      <c r="NW28" s="19" t="str">
        <f>IF(SUM(NA28,NE28,NI28)&gt;0,SUM(NA28,NE28,NI28),"")</f>
        <v/>
      </c>
      <c r="NX28" s="19" t="str">
        <f>IF(SUM(NU28,NV28)&gt;0,SUM(NU28,NV28),"")</f>
        <v/>
      </c>
      <c r="NY28" s="19" t="str">
        <f>IF(SUM(NM28,NQ28)&gt;0,SUM(NM28,NQ28),"")</f>
        <v/>
      </c>
      <c r="NZ28" s="19" t="str">
        <f>IF(SUM(NL28:NM28,NO28:NQ28,NS28)-SUM(NN28,NR28)&gt;0,SUM(NL28:NM28,NO28:NQ28,NS28)-SUM(NN28,NR28),"")</f>
        <v/>
      </c>
      <c r="OA28" s="19" t="str">
        <f>IF(SUM(NU28,NZ28)&gt;0,SUM(NU28,NZ28),"")</f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>IF(SUM(OC28,OG28)&gt;0,SUM(OC28,OG28),"")</f>
        <v/>
      </c>
      <c r="OW28" s="78" t="str">
        <f>IF(SUM(OB28:OC28,OE28:OG28,OI28)-OD28-OH28&gt;0,SUM(OB28:OC28,OE28:OG28,OI28)-OD28-OH28,"")</f>
        <v/>
      </c>
      <c r="OX28" s="78" t="str">
        <f>IF(SUM(OJ28:OK28,OM28)-OL28&gt;0,SUM(OJ28:OK28,OM28)-OL28,"")</f>
        <v/>
      </c>
      <c r="OY28" s="78" t="str">
        <f>IF(SUM(OC28,OG28,OK28)&gt;0,SUM(OC28,OG28,OK28),"")</f>
        <v/>
      </c>
      <c r="OZ28" s="78" t="str">
        <f>IF(SUM(OW28,OX28)&gt;0,SUM(OW28,OX28),"")</f>
        <v/>
      </c>
      <c r="PA28" s="78" t="str">
        <f>IF(SUM(OO28,OS28)&gt;0,SUM(OO28,OS28),"")</f>
        <v/>
      </c>
      <c r="PB28" s="78" t="str">
        <f>IF(SUM(ON28:OO28,OQ28:OS28,OU28)-SUM(OP28,OT28)&gt;0,SUM(ON28:OO28,OQ28:OS28,OU28)-SUM(OP28,OT28),"")</f>
        <v/>
      </c>
      <c r="PC28" s="78" t="str">
        <f>IF(SUM(OW28,PB28)&gt;0,SUM(OW28,PB28),"")</f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>IF(SUM(PE28,PI28)&gt;0,SUM(PE28,PI28),"")</f>
        <v/>
      </c>
      <c r="PY28" s="19" t="str">
        <f>IF(SUM(PD28:PE28,PG28:PI28,PK28)-PF28-PJ28&gt;0,SUM(PD28:PE28,PG28:PI28,PK28)-PF28-PJ28,"")</f>
        <v/>
      </c>
      <c r="PZ28" s="19" t="str">
        <f>IF(SUM(PL28:PM28,PO28)-PN28&gt;0,SUM(PL28:PM28,PO28)-PN28,"")</f>
        <v/>
      </c>
      <c r="QA28" s="19" t="str">
        <f>IF(SUM(PE28,PI28,PM28)&gt;0,SUM(PE28,PI28,PM28),"")</f>
        <v/>
      </c>
      <c r="QB28" s="19" t="str">
        <f>IF(SUM(PY28,PZ28)&gt;0,SUM(PY28,PZ28),"")</f>
        <v/>
      </c>
      <c r="QC28" s="19" t="str">
        <f>IF(SUM(PQ28,PU28)&gt;0,SUM(PQ28,PU28),"")</f>
        <v/>
      </c>
      <c r="QD28" s="19" t="str">
        <f>IF(SUM(PP28:PQ28,PS28:PU28,PW28)-SUM(PR28,PV28)&gt;0,SUM(PP28:PQ28,PS28:PU28,PW28)-SUM(PR28,PV28),"")</f>
        <v/>
      </c>
      <c r="QE28" s="19" t="str">
        <f>IF(SUM(PY28,QD28)&gt;0,SUM(PY28,QD28),"")</f>
        <v/>
      </c>
      <c r="QF28" s="37">
        <f>IF($CV28="P",CB28,(CB28+AY28)/2)</f>
        <v>0</v>
      </c>
      <c r="QG28" s="37">
        <f>IF($CV28="P",CC28,(CC28+AZ28)/2)</f>
        <v>0</v>
      </c>
      <c r="QH28" s="37">
        <f>IF($CV28="P",CD28,(CD28+BA28)/2)</f>
        <v>0</v>
      </c>
      <c r="QI28" s="37">
        <f>IF($CV28="P",CE28,(CE28+BB28)/2)</f>
        <v>0</v>
      </c>
      <c r="QJ28" s="37">
        <f>IF($CV28="P",CF28,(CF28+BC28)/2)</f>
        <v>0</v>
      </c>
      <c r="QK28" s="37">
        <f>IF($CV28="P",CG28,(CG28+BD28)/2)</f>
        <v>0</v>
      </c>
      <c r="QL28" s="37">
        <f>IF($CV28="P",CH28,(CH28+BE28)/2)</f>
        <v>0</v>
      </c>
      <c r="QM28" s="37">
        <f>IF($CV28="P",CI28,(CI28+BF28)/2)</f>
        <v>0</v>
      </c>
      <c r="QN28" s="37">
        <f>IF($CV28="P",CJ28,(CJ28+BG28)/2)</f>
        <v>0</v>
      </c>
      <c r="QO28" s="37">
        <f>IF($CV28="P",CK28,(CK28+BH28)/2)</f>
        <v>0</v>
      </c>
      <c r="QP28" s="37">
        <f>IF($CV28="P",CL28,(CL28+BI28)/2)</f>
        <v>0</v>
      </c>
      <c r="QQ28" s="37">
        <f>IF($CV28="P",CM28,(CM28+BJ28)/2)</f>
        <v>0</v>
      </c>
      <c r="QR28" s="37">
        <f>IF($CV28="P",CN28,(CN28+BK28)/2)</f>
        <v>0</v>
      </c>
      <c r="QS28" s="37">
        <f>IF($CV28="P",CO28,(CO28+BL28)/2)</f>
        <v>0</v>
      </c>
      <c r="QT28" s="37">
        <f>IF($CV28="P",CP28,(CP28+BM28)/2)</f>
        <v>0</v>
      </c>
      <c r="QU28" s="37">
        <f>IF($CV28="P",CQ28,(CQ28+BN28)/2)</f>
        <v>0</v>
      </c>
      <c r="QV28" s="37">
        <f>IF($CV28="P",CR28,(CR28+BO28)/2)</f>
        <v>0</v>
      </c>
      <c r="QW28" s="37">
        <f>IF($CV28="P",CS28,(CS28+BP28)/2)</f>
        <v>0</v>
      </c>
      <c r="QX28" s="37">
        <f>IF($CV28="P",CT28,(CT28+BQ28)/2)</f>
        <v>0</v>
      </c>
      <c r="QY28" s="37">
        <f>IF($CV28="P",CU28,(CU28+BR28)/2)</f>
        <v>0</v>
      </c>
      <c r="QZ28" s="44" t="s">
        <v>46</v>
      </c>
      <c r="RA28" s="78" t="str">
        <f>IF(SUM(QG28,QK28)&gt;0,SUM(QG28,QK28),"")</f>
        <v/>
      </c>
      <c r="RB28" s="78" t="str">
        <f>IF(SUM(QF28:QG28,QI28:QK28,QM28)-QH28-QL28&gt;0,SUM(QF28:QG28,QI28:QK28,QM28)-QH28-QL28,"")</f>
        <v/>
      </c>
      <c r="RC28" s="78" t="str">
        <f>IF(SUM(QN28:QO28,QQ28)-QP28&gt;0,SUM(QN28:QO28,QQ28)-QP28,"")</f>
        <v/>
      </c>
      <c r="RD28" s="78" t="str">
        <f>IF(SUM(QG28,QK28,QO28)&gt;0,SUM(QG28,QK28,QO28),"")</f>
        <v/>
      </c>
      <c r="RE28" s="78" t="str">
        <f>IF(SUM(RB28,RC28)&gt;0,SUM(RB28,RC28),"")</f>
        <v/>
      </c>
      <c r="RF28" s="78" t="str">
        <f>IF(SUM(QS28,QW28)&gt;0,SUM(QS28,QW28),"")</f>
        <v/>
      </c>
      <c r="RG28" s="78" t="str">
        <f>IF(SUM(QR28:QS28,QU28:QW28,QY28)-SUM(QT28,QX28)&gt;0,SUM(QR28:QS28,QU28:QW28,QY28)-SUM(QT28,QX28),"")</f>
        <v/>
      </c>
      <c r="RH28" s="78" t="str">
        <f>IF(SUM(RB28,RG28)&gt;0,SUM(RB28,RG28),"")</f>
        <v/>
      </c>
    </row>
    <row r="29" spans="1:476" x14ac:dyDescent="0.2">
      <c r="A29" s="5" t="str">
        <f>IF(AND(F29="P",G29="P"),SUMPRODUCT((F$4:F$32="P")*(G$4:G$32="P")*(E$4:E$32&gt;E29))+1,IF(G29="P",SUMPRODUCT((F$4:F$32="")*(G$4:G$32="P")*(E$4:E$32&gt;E29))+1+SUMPRODUCT((F$4:F$32="P")*(G$4:G$32="P")),""))</f>
        <v/>
      </c>
      <c r="B29" s="77" t="s">
        <v>146</v>
      </c>
      <c r="C29" s="5" t="s">
        <v>6</v>
      </c>
      <c r="D29" s="5">
        <v>2005</v>
      </c>
      <c r="E29" s="15">
        <f>SUM(I29:S29)+SUM(I29:O29)*0.0000001+SUM(I29)*0.0000000000001</f>
        <v>83.500008350004308</v>
      </c>
      <c r="F29" s="3" t="str">
        <f>IF(OR(AND(AQ29&gt;=AX$34,AR29&gt;=AX$38,AQ29&lt;&gt;"",AP29=""),AND(AV29&gt;=AX$34,AW29&gt;=AX$38,AV29&lt;&gt;"",AP29=""),AND(BT29&gt;=CA$34,BU29&gt;=CA$38,BT29&lt;&gt;"",BS29=""),AND(BY29&gt;=CA$34,BZ29&gt;=CA$38,BY29&lt;&gt;"",BS29=""),AND(CW29&gt;=DD$34,CX29&gt;=DD$38,CW29&lt;&gt;"",CV29=""),AND(DB29&gt;=DD$34,DC29&gt;=DD$38,DB29&lt;&gt;""),AND(EB29&gt;=EI$34,EC29&gt;=EI$38,EB29&lt;&gt;""),AND(EG29&gt;=EI$34,EH29&gt;=EI$38,EG29&lt;&gt;""),AND(FD29&gt;=FK$34,FE29&gt;=FK$38,FD29&lt;&gt;""),AND(FI29&gt;=FK$34,FJ29&gt;=FK$38,FI29&lt;&gt;""),AND(GF29&gt;=GM$34,GG29&gt;=GM$38,GF29&lt;&gt;""),AND(GK29&gt;=GM$34,GL29&gt;=GM$38,GK29&lt;&gt;""),AND(HH29&gt;=HO$34,HI29&gt;=HO$38,HH29&lt;&gt;""),AND(HM29&gt;=HO$34,HN29&gt;=HO$38,HM29&lt;&gt;""),AND(IJ29&gt;=IQ$34,IK29&gt;=IQ$38,IJ29&lt;&gt;""),AND(IO29&gt;=IQ$34,IP29&gt;=IQ$38,IO29&lt;&gt;""),AND(JL29&gt;=JS$34,JM29&gt;=JS$38,JL29&lt;&gt;""),AND(JQ29&gt;=JS$34,JR29&gt;=JS$38,JQ29&lt;&gt;""),AND(KN29&gt;=KU$34,KO29&gt;=KU$38,KN29&lt;&gt;""),AND(KS29&gt;=KU$34,KT29&gt;=KU$38,KS29&lt;&gt;""),AND(LP29&gt;=LW$34,LQ29&gt;=LW$38,LP29&lt;&gt;""),AND(LU29&gt;=LW$34,LV29&gt;=LW$38,LU29&lt;&gt;""),AND(MR29&gt;=MY$34,MS29&gt;=MY$38,MR29&lt;&gt;""),AND(MW29&gt;=MY$34,MX29&gt;=MY$38,MW29&lt;&gt;""),AND(NT29&gt;=OA$34,NU29&gt;=OA$38,NT29&lt;&gt;""),AND(NY29&gt;=OA$34,NZ29&gt;=OA$38,NY29&lt;&gt;""),AND(OV29&gt;=PC$34,OW29&gt;=PC$38,OV29&lt;&gt;""),AND(PA29&gt;=PC$34,PB29&gt;=PC$38,PA29&lt;&gt;""),AND(PX29&gt;=QE$34,PY29&gt;=QE$38,PX29&lt;&gt;""),AND(QC29&gt;=QE$34,QD29&gt;=QE$38,QC29&lt;&gt;"")),"P","")</f>
        <v/>
      </c>
      <c r="G29" s="3" t="str">
        <f>IF(OR(AND(AR29&gt;=AX$38,AR29&lt;&gt;"",AP29=""),AND(AW29&gt;=AX$38,AW29&lt;&gt;"",AP29=""),AND(BU29&gt;=CA$38,BU29&lt;&gt;"",BS29=""),AND(BZ29&gt;=CA$38,BZ29&lt;&gt;"",BS29=""),AND(CX29&gt;=DD$38,CX29&lt;&gt;"",CV29=""),AND(DC29&gt;=DD$38,DC29&lt;&gt;"",CV29=""),AND(EC29&gt;=EI$38,EC29&lt;&gt;""),AND(EH29&gt;=EI$38,EH29&lt;&gt;""),AND(FE29&gt;=FK$38,FE29&lt;&gt;""),AND(FJ29&gt;=FK$38,FJ29&lt;&gt;""),AND(GG29&gt;=GM$38,GG29&lt;&gt;""),AND(GL29&gt;=GM$38,GL29&lt;&gt;""),AND(HI29&gt;=HO$38,HI29&lt;&gt;""),AND(HN29&gt;=HO$38,HN29&lt;&gt;""),AND(IK29&gt;=IQ$38,IK29&lt;&gt;""),AND(IP29&gt;=IQ$38,IP29&lt;&gt;""),AND(JM29&gt;=JS$38,JM29&lt;&gt;""),AND(JR29&gt;=JS$38,JR29&lt;&gt;""),AND(KO29&gt;=KU$38,KO29&lt;&gt;""),AND(KT29&gt;=KU$38,KT29&lt;&gt;""),AND(LQ29&gt;=LW$38,LQ29&lt;&gt;""),AND(LV29&gt;=LW$38,LV29&lt;&gt;""),AND(MS29&gt;=MY$38,MS29&lt;&gt;""),AND(MX29&gt;=MY$38,MX29&lt;&gt;""),AND(NU29&gt;=OA$38,NU29&lt;&gt;""),AND(NZ29&gt;=OA$38,NZ29&lt;&gt;""),AND(OW29&gt;=PC$38,OW29&lt;&gt;""),AND(PB29&gt;=PC$38,PB29&lt;&gt;""),AND(PY29&gt;=QE$38,PY29&lt;&gt;""),AND(QD29&gt;=QE$38,QD29&lt;&gt;"")),"P","")</f>
        <v/>
      </c>
      <c r="H29" s="66" t="str">
        <f>IF(AND(G29="P",F29=""),"No DD",IF(OR(AND(AT29&gt;=AX$37,AU29&gt;=AX$41,AT29&lt;&gt;"",AP29=""),AND(BW29&gt;=CA$37,BX29&gt;=CA$41,BW29&lt;&gt;"",BS29=""),AND(CZ29&gt;=DD$37,DA29&gt;=DD$41,CZ29&lt;&gt;"",CV29=""),AND(EE29&gt;=EI$37,EF29&gt;=EI$41,EE29&lt;&gt;""),AND(FG29&gt;=FK$37,FH29&gt;=FK$41,FG29&lt;&gt;""),AND(GI29&gt;=GM$37,GJ29&gt;=GM$41,GI29&lt;&gt;""),AND(HK29&gt;=HO$37,HL29&gt;=HO$41,HK29&lt;&gt;""),AND(IM29&gt;=IQ$37,IN29&gt;=IQ$41,IM29&lt;&gt;""),AND(JO29&gt;=JS$37,JP29&gt;=JS$41,JO29&lt;&gt;""),AND(KQ29&gt;=KU$37,KR29&gt;=KU$41,KQ29&lt;&gt;""),AND(LS29&gt;=LW$37,LT29&gt;=LW$41,LS29&lt;&gt;""),AND(MU29&gt;=MY$37,MV29&gt;=MY$41,MU29&lt;&gt;""),AND(NW29&gt;=OA$37,NX29&gt;=OA$41,NW29&lt;&gt;""),AND(OY29&gt;=PC$37,OZ29&gt;=PC$41,OY29&lt;&gt;""),AND(QA29&gt;=QE$37,QB29&gt;=QE$41,QA29&lt;&gt;"")),"Merit",IF(OR(AND(AT29&gt;=AX$36,AU29&gt;=AX$40,AT29&lt;&gt;"",AP29=""),AND(BW29&gt;=CA$36,BX29&gt;=CA$40,BW29&lt;&gt;"",BS29=""),AND(CZ29&gt;=DD$36,DA29&gt;=DD$40,CZ29&lt;&gt;"",CV29=""),AND(EE29&gt;=EI$36,EF29&gt;=EI$40,EE29&lt;&gt;""),AND(FG29&gt;=FK$36,FH29&gt;=FK$40,FG29&lt;&gt;""),AND(GI29&gt;=GM$36,GJ29&gt;=GM$40,GI29&lt;&gt;""),AND(HK29&gt;=HO$36,HL29&gt;=HO$40,HK29&lt;&gt;""),AND(IM29&gt;=IQ$36,IN29&gt;=IQ$40,IM29&lt;&gt;""),AND(JO29&gt;=JS$36,JP29&gt;=JS$40,JO29&lt;&gt;""),AND(KQ29&gt;=KU$36,KR29&gt;=KU$40,KQ29&lt;&gt;""),AND(LS29&gt;=LW$36,LT29&gt;=LW$40,LS29&lt;&gt;""),AND(MU29&gt;=MY$36,MV29&gt;=MY$40,MU29&lt;&gt;""),AND(NW29&gt;=OA$36,NX29&gt;=OA$40,NW29&lt;&gt;""),AND(OY29&gt;=PC$36,OZ29&gt;=PC$40,OY29&lt;&gt;""),AND(QA29&gt;=QE$36,QB29&gt;=QE$40,QA29&lt;&gt;"")),"Excellence",IF(F29="P","National Team",""))))</f>
        <v/>
      </c>
      <c r="I29" s="14">
        <f>IF(COUNT(AR29,BU29,CX29)&gt;0,LARGE((AR29,BU29,CX29),1),0)</f>
        <v>43.099999999999994</v>
      </c>
      <c r="J29" s="14" t="str">
        <f>IF(I29=0,"",IF(I29=CX29,$CB$1,IF(I29=BU29,$AY$1,IF(I29=AR29,$V$1,""))))</f>
        <v>2022 Nationals</v>
      </c>
      <c r="K29" s="14">
        <f>IF(COUNT(AR29,BU29,CX29)&gt;1,LARGE((AR29,BU29,CX29),2),0)</f>
        <v>20</v>
      </c>
      <c r="L29" s="14" t="str">
        <f>IF(K29=0,"",IF(K29=CX29,$CB$1,IF(K29=BU29,$AY$1,IF(K29=AR29,$V$1,""))))</f>
        <v>2022 Elite Canada</v>
      </c>
      <c r="M29" s="14">
        <f>IF(COUNT(AS29,BV29,CY29)&gt;0,LARGE((AS29,BV29,CY29),1),0)</f>
        <v>20.399999999999999</v>
      </c>
      <c r="N29" s="14" t="str">
        <f>IF(M29=0,"",IF(M29=CY29,$CB$1,IF(M29=BV29,$AY$1,IF(M29=AS29,$V$1,""))))</f>
        <v>2022 Nationals</v>
      </c>
      <c r="O29" s="14">
        <f>IF(COUNT(AS29,BV29,CY29)&gt;1,LARGE((AS29,BV29,CY29),2),0)</f>
        <v>0</v>
      </c>
      <c r="P29" s="14" t="str">
        <f>IF(O29=0,"",IF(O29=CY29,$CB$1,IF(O29=BV29,$AY$1,IF(O29=AS29,$V$1,""))))</f>
        <v/>
      </c>
      <c r="Q29" s="14">
        <f>IF(MAX(AW29,BZ29,DC29)&gt;0,MAX(AW29,BZ29,DC29),0)</f>
        <v>0</v>
      </c>
      <c r="R29" s="14" t="str">
        <f>IF(Q29=0,"",IF(Q29=DC29,$CB$1,IF(Q29=BZ29,$AY$1,IF(Q29=AW29,$V$1,""))))</f>
        <v/>
      </c>
      <c r="S29" s="14" t="str">
        <f>IF(MAX(DE29:DG29)&gt;0,MAX(DE29:DG29),"")</f>
        <v/>
      </c>
      <c r="T29" s="19" t="str">
        <f>IF(S29="","",IF(S29=DE29,"("&amp;DE$2&amp;")",IF(S29=DG29,"("&amp;DG$2&amp;")")))</f>
        <v/>
      </c>
      <c r="U29" s="14" t="str">
        <f>IF(S29="","",IF(S29=DE29,IF(S29+IF(K29="",0,K29)=PY29,$PD$1,IF(S29+IF(K29="",0,K29)=OW29,$OB$1,IF(S29+IF(K29="",0,K29)=NU29,$MZ$1,IF(S29+IF(K29="",0,K29)=MS29,$LX$1,IF(S29+IF(K29="",0,K29)=LQ29,$KV$1,IF(S29+IF(K29="",0,K29)=KO29,$JT$1,IF(S29+IF(K29="",0,K29)=JM29,$IR$1,IF(S29+IF(K29="",0,K29)=IK29,$HP$1,IF(S29+IF(K29="",0,K29)=HI29,$GN$1,IF(S29+IF(K29="",0,K29)=GG29,$FL$1,IF(S29+IF(K29="",0,K29)=FE29,$EJ$1,IF(S29+IF(K29="",0,K29)=EC29,$DH$1)))))))))))),IF(S29=DG29,IF(S29+IF(Q29="",0,Q29)=QD29,$PD$1,IF(S29+IF(Q29="",0,Q29)=PB29,$OB$1,IF(S29+IF(Q29="",0,Q29)=NZ29,$MZ$1,IF(S29+IF(Q29="",0,Q29)=MX29,$LX$1,IF(S29+IF(Q29="",0,Q29)=LV29,$KV$1,IF(S29+IF(Q29="",0,Q29)=KT29,$JT$1,IF(S29+IF(Q29="",0,Q29)=JR29,$IR$1,IF(S29+IF(Q29="",0,Q29)=IP29,$HP$1,IF(S29+IF(Q29="",0,Q29)=HN29,$GN$1,IF(S29+IF(Q29="",0,Q29)=GL29,$FL$1,IF(S29+IF(Q29="",0,Q29)=FJ29,$EJ$1,IF(S29+IF(Q29="",0,Q29)=EH29,$DH$1)))))))))))))))</f>
        <v/>
      </c>
      <c r="V29" s="26">
        <v>17.600000000000001</v>
      </c>
      <c r="W29" s="26">
        <v>2.4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/>
      <c r="AI29" s="26"/>
      <c r="AJ29" s="26"/>
      <c r="AK29" s="26"/>
      <c r="AL29" s="26"/>
      <c r="AM29" s="26"/>
      <c r="AN29" s="26"/>
      <c r="AO29" s="26"/>
      <c r="AP29" s="44"/>
      <c r="AQ29" s="78">
        <f>IF(SUM(W29,AA29)&gt;0,SUM(W29,AA29),"")</f>
        <v>2.4</v>
      </c>
      <c r="AR29" s="78">
        <f>IF(SUM(V29:W29,Y29:AA29,AC29)-X29-AB29&gt;0,SUM(V29:W29,Y29:AA29,AC29)-X29-AB29,"")</f>
        <v>20</v>
      </c>
      <c r="AS29" s="78" t="str">
        <f>IF(SUM(AD29:AE29,AG29)-AF29&gt;0,SUM(AD29:AE29,AG29)-AF29,"")</f>
        <v/>
      </c>
      <c r="AT29" s="78">
        <f>IF(SUM(W29,AA29,AE29)&gt;0,SUM(W29,AA29,AE29),"")</f>
        <v>2.4</v>
      </c>
      <c r="AU29" s="78">
        <f>IF(SUM(AR29,AS29)&gt;0,SUM(AR29,AS29),"")</f>
        <v>20</v>
      </c>
      <c r="AV29" s="78" t="str">
        <f>IF(SUM(AI29,AM29)&gt;0,SUM(AI29,AM29),"")</f>
        <v/>
      </c>
      <c r="AW29" s="78" t="str">
        <f>IF(SUM(AH29:AI29,AK29:AM29,AO29)-SUM(AJ29,AN29)&gt;0,SUM(AH29:AI29,AK29:AM29,AO29)-SUM(AJ29,AN29),"")</f>
        <v/>
      </c>
      <c r="AX29" s="78">
        <f>IF(SUM(AR29,AW29)&gt;0,SUM(AR29,AW29),"")</f>
        <v>20</v>
      </c>
      <c r="AY29" s="25">
        <v>18.899999999999999</v>
      </c>
      <c r="AZ29" s="25">
        <v>6.8</v>
      </c>
      <c r="BA29" s="25">
        <v>0.2</v>
      </c>
      <c r="BB29" s="25">
        <v>0</v>
      </c>
      <c r="BC29" s="25">
        <v>17.600000000000001</v>
      </c>
      <c r="BD29" s="25">
        <v>0</v>
      </c>
      <c r="BE29" s="25">
        <v>0</v>
      </c>
      <c r="BF29" s="25">
        <v>0</v>
      </c>
      <c r="BG29" s="25">
        <v>17.2</v>
      </c>
      <c r="BH29" s="25">
        <v>3.2</v>
      </c>
      <c r="BI29" s="25">
        <v>0</v>
      </c>
      <c r="BJ29" s="25">
        <v>0</v>
      </c>
      <c r="BK29" s="25"/>
      <c r="BL29" s="25"/>
      <c r="BM29" s="25"/>
      <c r="BN29" s="25"/>
      <c r="BO29" s="25"/>
      <c r="BP29" s="25"/>
      <c r="BQ29" s="25"/>
      <c r="BR29" s="25"/>
      <c r="BS29" s="45"/>
      <c r="BT29" s="19">
        <f>IF(SUM(AZ29,BD29)&gt;0,SUM(AZ29,BD29),"")</f>
        <v>6.8</v>
      </c>
      <c r="BU29" s="19">
        <f>IF(SUM(AY29:AZ29,BB29:BD29,BF29)-BA29-BE29&gt;0,SUM(AY29:AZ29,BB29:BD29,BF29)-BA29-BE29,"")</f>
        <v>43.099999999999994</v>
      </c>
      <c r="BV29" s="19">
        <f>IF(SUM(BG29:BH29,BJ29)-BI29&gt;0,SUM(BG29:BH29,BJ29)-BI29,"")</f>
        <v>20.399999999999999</v>
      </c>
      <c r="BW29" s="19">
        <f>IF(SUM(AZ29,BD29,BH29)&gt;0,SUM(AZ29,BD29,BH29),"")</f>
        <v>10</v>
      </c>
      <c r="BX29" s="19">
        <f>IF(SUM(BU29,BV29)&gt;0,SUM(BU29,BV29),"")</f>
        <v>63.499999999999993</v>
      </c>
      <c r="BY29" s="19" t="str">
        <f>IF(SUM(BL29,BP29)&gt;0,SUM(BL29,BP29),"")</f>
        <v/>
      </c>
      <c r="BZ29" s="19" t="str">
        <f>IF(SUM(BK29:BL29,BN29:BP29,BR29)-SUM(BM29,BQ29)&gt;0,SUM(BK29:BL29,BN29:BP29,BR29)-SUM(BM29,BQ29),"")</f>
        <v/>
      </c>
      <c r="CA29" s="19">
        <f>IF(SUM(BU29,BZ29)&gt;0,SUM(BU29,BZ29),"")</f>
        <v>43.099999999999994</v>
      </c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44"/>
      <c r="CW29" s="78" t="str">
        <f>IF(SUM(CC29,CG29)&gt;0,SUM(CC29,CG29),"")</f>
        <v/>
      </c>
      <c r="CX29" s="78" t="str">
        <f>IF(SUM(CB29:CC29,CE29:CG29,CI29)-CD29-CH29&gt;0,SUM(CB29:CC29,CE29:CG29,CI29)-CD29-CH29,"")</f>
        <v/>
      </c>
      <c r="CY29" s="78" t="str">
        <f>IF(SUM(CJ29:CK29,CM29)-CL29&gt;0,SUM(CJ29:CK29,CM29)-CL29,"")</f>
        <v/>
      </c>
      <c r="CZ29" s="78" t="str">
        <f>IF(SUM(CC29,CG29,CK29)&gt;0,SUM(CC29,CG29,CK29),"")</f>
        <v/>
      </c>
      <c r="DA29" s="78" t="str">
        <f>IF(SUM(CX29,CY29)&gt;0,SUM(CX29,CY29),"")</f>
        <v/>
      </c>
      <c r="DB29" s="78" t="str">
        <f>IF(SUM(CO29,CS29)&gt;0,SUM(CO29,CS29),"")</f>
        <v/>
      </c>
      <c r="DC29" s="78" t="str">
        <f>IF(SUM(CN29:CO29,CQ29:CS29,CU29)-SUM(CP29,CT29)&gt;0,SUM(CN29:CO29,CQ29:CS29,CU29)-SUM(CP29,CT29),"")</f>
        <v/>
      </c>
      <c r="DD29" s="78" t="str">
        <f>IF(SUM(CX29,DC29)&gt;0,SUM(CX29,DC29),"")</f>
        <v/>
      </c>
      <c r="DE29" s="79" t="str">
        <f>IF(K29&gt;=0.001,IF(MAX(EC29,FE29,GG29,HI29,IK29,JM29,KO29,LQ29,MS29,NU29,OW29,PY29)-IF(K29="",0,K29)&gt;0.001,MAX(EC29,FE29,GG29,HI29,IK29,JM29,KO29,LQ29,MS29,NU29,OW29,PY29)-IF(K29="",0,K29),""),"")</f>
        <v/>
      </c>
      <c r="DF29" s="79" t="str">
        <f>IF(O29&gt;=0.001,IF(MAX(ED29,FF29,GH29,HJ29,IL29,JN29,KP29,LR29,MT29,NV29,OX29,PZ29)-IF(O29="",0,O29)&gt;0.001,MAX(ED29,FF29,GH29,HJ29,IL29,JN29,KP29,LR29,MT29,NV29,OX29,PZ29)-IF(O29="",0,O29),""),"")</f>
        <v/>
      </c>
      <c r="DG29" s="79" t="str">
        <f>IF(Q29&gt;=0.001,IF(MAX(EH29,FJ29,GL29,HN29,IP29,JR29,KT29,LV29,MX29,NZ29,PB29,QD29)-IF(Q29="",0,Q29)&gt;0.001,MAX(EH29,FJ29,GL29,HN29,IP29,JR29,KT29,LV29,MX29,NZ29,PB29,QD29)-IF(Q29="",0,Q29),""),"")</f>
        <v/>
      </c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78" t="str">
        <f>IF(SUM(DI29,DM29)&gt;0,SUM(DI29,DM29),"")</f>
        <v/>
      </c>
      <c r="EC29" s="78" t="str">
        <f>IF(SUM(DH29:DI29,DK29:DM29,DO29)-DJ29-DN29&gt;0,SUM(DH29:DI29,DK29:DM29,DO29)-DJ29-DN29,"")</f>
        <v/>
      </c>
      <c r="ED29" s="78" t="str">
        <f>IF(SUM(DP29:DQ29,DS29)-DR29&gt;0,SUM(DP29:DQ29,DS29)-DR29,"")</f>
        <v/>
      </c>
      <c r="EE29" s="78" t="str">
        <f>IF(SUM(DI29,DM29,DQ29)&gt;0,SUM(DI29,DM29,DQ29),"")</f>
        <v/>
      </c>
      <c r="EF29" s="78" t="str">
        <f>IF(SUM(EC29,ED29)&gt;0,SUM(EC29,ED29),"")</f>
        <v/>
      </c>
      <c r="EG29" s="78" t="str">
        <f>IF(SUM(DU29,DY29)&gt;0,SUM(DU29,DY29),"")</f>
        <v/>
      </c>
      <c r="EH29" s="78" t="str">
        <f>IF(SUM(DT29:DU29,DW29:DY29,EA29)-SUM(DV29,DZ29)&gt;0,SUM(DT29:DU29,DW29:DY29,EA29)-SUM(DV29,DZ29),"")</f>
        <v/>
      </c>
      <c r="EI29" s="78" t="str">
        <f>IF(SUM(EC29,EH29)&gt;0,SUM(EC29,EH29),"")</f>
        <v/>
      </c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19" t="str">
        <f>IF(SUM(EK29,EO29)&gt;0,SUM(EK29,EO29),"")</f>
        <v/>
      </c>
      <c r="FE29" s="19" t="str">
        <f>IF(SUM(EJ29:EK29,EM29:EO29,EQ29)-EL29-EP29&gt;0,SUM(EJ29:EK29,EM29:EO29,EQ29)-EL29-EP29,"")</f>
        <v/>
      </c>
      <c r="FF29" s="19" t="str">
        <f>IF(SUM(ER29:ES29,EU29)-ET29&gt;0,SUM(ER29:ES29,EU29)-ET29,"")</f>
        <v/>
      </c>
      <c r="FG29" s="19" t="str">
        <f>IF(SUM(EK29,EO29,ES29)&gt;0,SUM(EK29,EO29,ES29),"")</f>
        <v/>
      </c>
      <c r="FH29" s="19" t="str">
        <f>IF(SUM(FE29,FF29)&gt;0,SUM(FE29,FF29),"")</f>
        <v/>
      </c>
      <c r="FI29" s="19" t="str">
        <f>IF(SUM(EW29,FA29)&gt;0,SUM(EW29,FA29),"")</f>
        <v/>
      </c>
      <c r="FJ29" s="19" t="str">
        <f>IF(SUM(EV29:EW29,EY29:FA29,FC29)-SUM(EX29,FB29)&gt;0,SUM(EV29:EW29,EY29:FA29,FC29)-SUM(EX29,FB29),"")</f>
        <v/>
      </c>
      <c r="FK29" s="19" t="str">
        <f>IF(SUM(FE29,FJ29)&gt;0,SUM(FE29,FJ29),"")</f>
        <v/>
      </c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78" t="str">
        <f>IF(SUM(FM29,FQ29)&gt;0,SUM(FM29,FQ29),"")</f>
        <v/>
      </c>
      <c r="GG29" s="78" t="str">
        <f>IF(SUM(FL29:FM29,FO29:FQ29,FS29)-FN29-FR29&gt;0,SUM(FL29:FM29,FO29:FQ29,FS29)-FN29-FR29,"")</f>
        <v/>
      </c>
      <c r="GH29" s="78" t="str">
        <f>IF(SUM(FT29:FU29,FW29)-FV29&gt;0,SUM(FT29:FU29,FW29)-FV29,"")</f>
        <v/>
      </c>
      <c r="GI29" s="78" t="str">
        <f>IF(SUM(FM29,FQ29,FU29)&gt;0,SUM(FM29,FQ29,FU29),"")</f>
        <v/>
      </c>
      <c r="GJ29" s="78" t="str">
        <f>IF(SUM(GG29,GH29)&gt;0,SUM(GG29,GH29),"")</f>
        <v/>
      </c>
      <c r="GK29" s="78" t="str">
        <f>IF(SUM(FY29,GC29)&gt;0,SUM(FY29,GC29),"")</f>
        <v/>
      </c>
      <c r="GL29" s="78" t="str">
        <f>IF(SUM(FX29:FY29,GA29:GC29,GE29)-SUM(FZ29,GD29)&gt;0,SUM(FX29:FY29,GA29:GC29,GE29)-SUM(FZ29,GD29),"")</f>
        <v/>
      </c>
      <c r="GM29" s="78" t="str">
        <f>IF(SUM(GG29,GL29)&gt;0,SUM(GG29,GL29),"")</f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19" t="str">
        <f>IF(SUM(GO29,GS29)&gt;0,SUM(GO29,GS29),"")</f>
        <v/>
      </c>
      <c r="HI29" s="19" t="str">
        <f>IF(SUM(GN29:GO29,GQ29:GS29,GU29)-GP29-GT29&gt;0,SUM(GN29:GO29,GQ29:GS29,GU29)-GP29-GT29,"")</f>
        <v/>
      </c>
      <c r="HJ29" s="19" t="str">
        <f>IF(SUM(GV29:GW29,GY29)-GX29&gt;0,SUM(GV29:GW29,GY29)-GX29,"")</f>
        <v/>
      </c>
      <c r="HK29" s="19" t="str">
        <f>IF(SUM(GO29,GS29,GW29)&gt;0,SUM(GO29,GS29,GW29),"")</f>
        <v/>
      </c>
      <c r="HL29" s="19" t="str">
        <f>IF(SUM(HI29,HJ29)&gt;0,SUM(HI29,HJ29),"")</f>
        <v/>
      </c>
      <c r="HM29" s="19" t="str">
        <f>IF(SUM(HA29,HE29)&gt;0,SUM(HA29,HE29),"")</f>
        <v/>
      </c>
      <c r="HN29" s="19" t="str">
        <f>IF(SUM(GZ29:HA29,HC29:HE29,HG29)-SUM(HB29,HF29)&gt;0,SUM(GZ29:HA29,HC29:HE29,HG29)-SUM(HB29,HF29),"")</f>
        <v/>
      </c>
      <c r="HO29" s="19" t="str">
        <f>IF(SUM(HI29,HN29)&gt;0,SUM(HI29,HN29),"")</f>
        <v/>
      </c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78" t="str">
        <f>IF(SUM(HQ29,HU29)&gt;0,SUM(HQ29,HU29),"")</f>
        <v/>
      </c>
      <c r="IK29" s="78" t="str">
        <f>IF(SUM(HP29:HQ29,HS29:HU29,HW29)-HR29-HV29&gt;0,SUM(HP29:HQ29,HS29:HU29,HW29)-HR29-HV29,"")</f>
        <v/>
      </c>
      <c r="IL29" s="78" t="str">
        <f>IF(SUM(HX29:HY29,IA29)-HZ29&gt;0,SUM(HX29:HY29,IA29)-HZ29,"")</f>
        <v/>
      </c>
      <c r="IM29" s="78" t="str">
        <f>IF(SUM(HQ29,HU29,HY29)&gt;0,SUM(HQ29,HU29,HY29),"")</f>
        <v/>
      </c>
      <c r="IN29" s="78" t="str">
        <f>IF(SUM(IK29,IL29)&gt;0,SUM(IK29,IL29),"")</f>
        <v/>
      </c>
      <c r="IO29" s="78" t="str">
        <f>IF(SUM(IC29,IG29)&gt;0,SUM(IC29,IG29),"")</f>
        <v/>
      </c>
      <c r="IP29" s="78" t="str">
        <f>IF(SUM(IB29:IC29,IE29:IG29,II29)-SUM(ID29,IH29)&gt;0,SUM(IB29:IC29,IE29:IG29,II29)-SUM(ID29,IH29),"")</f>
        <v/>
      </c>
      <c r="IQ29" s="78" t="str">
        <f>IF(SUM(IK29,IP29)&gt;0,SUM(IK29,IP29),"")</f>
        <v/>
      </c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19" t="str">
        <f>IF(SUM(IS29,IW29)&gt;0,SUM(IS29,IW29),"")</f>
        <v/>
      </c>
      <c r="JM29" s="19" t="str">
        <f>IF(SUM(IR29:IS29,IU29:IW29,IY29)-IT29-IX29&gt;0,SUM(IR29:IS29,IU29:IW29,IY29)-IT29-IX29,"")</f>
        <v/>
      </c>
      <c r="JN29" s="19" t="str">
        <f>IF(SUM(IZ29:JA29,JC29)-JB29&gt;0,SUM(IZ29:JA29,JC29)-JB29,"")</f>
        <v/>
      </c>
      <c r="JO29" s="19" t="str">
        <f>IF(SUM(IS29,IW29,JA29)&gt;0,SUM(IS29,IW29,JA29),"")</f>
        <v/>
      </c>
      <c r="JP29" s="19" t="str">
        <f>IF(SUM(JM29,JN29)&gt;0,SUM(JM29,JN29),"")</f>
        <v/>
      </c>
      <c r="JQ29" s="19" t="str">
        <f>IF(SUM(JE29,JI29)&gt;0,SUM(JE29,JI29),"")</f>
        <v/>
      </c>
      <c r="JR29" s="19" t="str">
        <f>IF(SUM(JD29:JE29,JG29:JI29,JK29)-SUM(JF29,JJ29)&gt;0,SUM(JD29:JE29,JG29:JI29,JK29)-SUM(JF29,JJ29),"")</f>
        <v/>
      </c>
      <c r="JS29" s="19" t="str">
        <f>IF(SUM(JM29,JR29)&gt;0,SUM(JM29,JR29),"")</f>
        <v/>
      </c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78" t="str">
        <f>IF(SUM(JU29,JY29)&gt;0,SUM(JU29,JY29),"")</f>
        <v/>
      </c>
      <c r="KO29" s="78" t="str">
        <f>IF(SUM(JT29:JU29,JW29:JY29,KA29)-JV29-JZ29&gt;0,SUM(JT29:JU29,JW29:JY29,KA29)-JV29-JZ29,"")</f>
        <v/>
      </c>
      <c r="KP29" s="78" t="str">
        <f>IF(SUM(KB29:KC29,KE29)-KD29&gt;0,SUM(KB29:KC29,KE29)-KD29,"")</f>
        <v/>
      </c>
      <c r="KQ29" s="78" t="str">
        <f>IF(SUM(JU29,JY29,KC29)&gt;0,SUM(JU29,JY29,KC29),"")</f>
        <v/>
      </c>
      <c r="KR29" s="78" t="str">
        <f>IF(SUM(KO29,KP29)&gt;0,SUM(KO29,KP29),"")</f>
        <v/>
      </c>
      <c r="KS29" s="78" t="str">
        <f>IF(SUM(KG29,KK29)&gt;0,SUM(KG29,KK29),"")</f>
        <v/>
      </c>
      <c r="KT29" s="78" t="str">
        <f>IF(SUM(KF29:KG29,KI29:KK29,KM29)-SUM(KH29,KL29)&gt;0,SUM(KF29:KG29,KI29:KK29,KM29)-SUM(KH29,KL29),"")</f>
        <v/>
      </c>
      <c r="KU29" s="78" t="str">
        <f>IF(SUM(KO29,KT29)&gt;0,SUM(KO29,KT29),"")</f>
        <v/>
      </c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19" t="str">
        <f>IF(SUM(KW29,LA29)&gt;0,SUM(KW29,LA29),"")</f>
        <v/>
      </c>
      <c r="LQ29" s="19" t="str">
        <f>IF(SUM(KV29:KW29,KY29:LA29,LC29)-KX29-LB29&gt;0,SUM(KV29:KW29,KY29:LA29,LC29)-KX29-LB29,"")</f>
        <v/>
      </c>
      <c r="LR29" s="19" t="str">
        <f>IF(SUM(LD29:LE29,LG29)-LF29&gt;0,SUM(LD29:LE29,LG29)-LF29,"")</f>
        <v/>
      </c>
      <c r="LS29" s="19" t="str">
        <f>IF(SUM(KW29,LA29,LE29)&gt;0,SUM(KW29,LA29,LE29),"")</f>
        <v/>
      </c>
      <c r="LT29" s="19" t="str">
        <f>IF(SUM(LQ29,LR29)&gt;0,SUM(LQ29,LR29),"")</f>
        <v/>
      </c>
      <c r="LU29" s="19" t="str">
        <f>IF(SUM(LI29,LM29)&gt;0,SUM(LI29,LM29),"")</f>
        <v/>
      </c>
      <c r="LV29" s="19" t="str">
        <f>IF(SUM(LH29:LI29,LK29:LM29,LO29)-SUM(LJ29,LN29)&gt;0,SUM(LH29:LI29,LK29:LM29,LO29)-SUM(LJ29,LN29),"")</f>
        <v/>
      </c>
      <c r="LW29" s="19" t="str">
        <f>IF(SUM(LQ29,LV29)&gt;0,SUM(LQ29,LV29),"")</f>
        <v/>
      </c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78" t="str">
        <f>IF(SUM(LY29,MC29)&gt;0,SUM(LY29,MC29),"")</f>
        <v/>
      </c>
      <c r="MS29" s="78" t="str">
        <f>IF(SUM(LX29:LY29,MA29:MC29,ME29)-LZ29-MD29&gt;0,SUM(LX29:LY29,MA29:MC29,ME29)-LZ29-MD29,"")</f>
        <v/>
      </c>
      <c r="MT29" s="78" t="str">
        <f>IF(SUM(MF29:MG29,MI29)-MH29&gt;0,SUM(MF29:MG29,MI29)-MH29,"")</f>
        <v/>
      </c>
      <c r="MU29" s="78" t="str">
        <f>IF(SUM(LY29,MC29,MG29)&gt;0,SUM(LY29,MC29,MG29),"")</f>
        <v/>
      </c>
      <c r="MV29" s="78" t="str">
        <f>IF(SUM(MS29,MT29)&gt;0,SUM(MS29,MT29),"")</f>
        <v/>
      </c>
      <c r="MW29" s="78" t="str">
        <f>IF(SUM(MK29,MO29)&gt;0,SUM(MK29,MO29),"")</f>
        <v/>
      </c>
      <c r="MX29" s="78" t="str">
        <f>IF(SUM(MJ29:MK29,MM29:MO29,MQ29)-SUM(ML29,MP29)&gt;0,SUM(MJ29:MK29,MM29:MO29,MQ29)-SUM(ML29,MP29),"")</f>
        <v/>
      </c>
      <c r="MY29" s="78" t="str">
        <f>IF(SUM(MS29,MX29)&gt;0,SUM(MS29,MX29),"")</f>
        <v/>
      </c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19" t="str">
        <f>IF(SUM(NA29,NE29)&gt;0,SUM(NA29,NE29),"")</f>
        <v/>
      </c>
      <c r="NU29" s="19" t="str">
        <f>IF(SUM(MZ29:NA29,NC29:NE29,NG29)-NB29-NF29&gt;0,SUM(MZ29:NA29,NC29:NE29,NG29)-NB29-NF29,"")</f>
        <v/>
      </c>
      <c r="NV29" s="19" t="str">
        <f>IF(SUM(NH29:NI29,NK29)-NJ29&gt;0,SUM(NH29:NI29,NK29)-NJ29,"")</f>
        <v/>
      </c>
      <c r="NW29" s="19" t="str">
        <f>IF(SUM(NA29,NE29,NI29)&gt;0,SUM(NA29,NE29,NI29),"")</f>
        <v/>
      </c>
      <c r="NX29" s="19" t="str">
        <f>IF(SUM(NU29,NV29)&gt;0,SUM(NU29,NV29),"")</f>
        <v/>
      </c>
      <c r="NY29" s="19" t="str">
        <f>IF(SUM(NM29,NQ29)&gt;0,SUM(NM29,NQ29),"")</f>
        <v/>
      </c>
      <c r="NZ29" s="19" t="str">
        <f>IF(SUM(NL29:NM29,NO29:NQ29,NS29)-SUM(NN29,NR29)&gt;0,SUM(NL29:NM29,NO29:NQ29,NS29)-SUM(NN29,NR29),"")</f>
        <v/>
      </c>
      <c r="OA29" s="19" t="str">
        <f>IF(SUM(NU29,NZ29)&gt;0,SUM(NU29,NZ29),"")</f>
        <v/>
      </c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78" t="str">
        <f>IF(SUM(OC29,OG29)&gt;0,SUM(OC29,OG29),"")</f>
        <v/>
      </c>
      <c r="OW29" s="78" t="str">
        <f>IF(SUM(OB29:OC29,OE29:OG29,OI29)-OD29-OH29&gt;0,SUM(OB29:OC29,OE29:OG29,OI29)-OD29-OH29,"")</f>
        <v/>
      </c>
      <c r="OX29" s="78" t="str">
        <f>IF(SUM(OJ29:OK29,OM29)-OL29&gt;0,SUM(OJ29:OK29,OM29)-OL29,"")</f>
        <v/>
      </c>
      <c r="OY29" s="78" t="str">
        <f>IF(SUM(OC29,OG29,OK29)&gt;0,SUM(OC29,OG29,OK29),"")</f>
        <v/>
      </c>
      <c r="OZ29" s="78" t="str">
        <f>IF(SUM(OW29,OX29)&gt;0,SUM(OW29,OX29),"")</f>
        <v/>
      </c>
      <c r="PA29" s="78" t="str">
        <f>IF(SUM(OO29,OS29)&gt;0,SUM(OO29,OS29),"")</f>
        <v/>
      </c>
      <c r="PB29" s="78" t="str">
        <f>IF(SUM(ON29:OO29,OQ29:OS29,OU29)-SUM(OP29,OT29)&gt;0,SUM(ON29:OO29,OQ29:OS29,OU29)-SUM(OP29,OT29),"")</f>
        <v/>
      </c>
      <c r="PC29" s="78" t="str">
        <f>IF(SUM(OW29,PB29)&gt;0,SUM(OW29,PB29),"")</f>
        <v/>
      </c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19" t="str">
        <f>IF(SUM(PE29,PI29)&gt;0,SUM(PE29,PI29),"")</f>
        <v/>
      </c>
      <c r="PY29" s="19" t="str">
        <f>IF(SUM(PD29:PE29,PG29:PI29,PK29)-PF29-PJ29&gt;0,SUM(PD29:PE29,PG29:PI29,PK29)-PF29-PJ29,"")</f>
        <v/>
      </c>
      <c r="PZ29" s="19" t="str">
        <f>IF(SUM(PL29:PM29,PO29)-PN29&gt;0,SUM(PL29:PM29,PO29)-PN29,"")</f>
        <v/>
      </c>
      <c r="QA29" s="19" t="str">
        <f>IF(SUM(PE29,PI29,PM29)&gt;0,SUM(PE29,PI29,PM29),"")</f>
        <v/>
      </c>
      <c r="QB29" s="19" t="str">
        <f>IF(SUM(PY29,PZ29)&gt;0,SUM(PY29,PZ29),"")</f>
        <v/>
      </c>
      <c r="QC29" s="19" t="str">
        <f>IF(SUM(PQ29,PU29)&gt;0,SUM(PQ29,PU29),"")</f>
        <v/>
      </c>
      <c r="QD29" s="19" t="str">
        <f>IF(SUM(PP29:PQ29,PS29:PU29,PW29)-SUM(PR29,PV29)&gt;0,SUM(PP29:PQ29,PS29:PU29,PW29)-SUM(PR29,PV29),"")</f>
        <v/>
      </c>
      <c r="QE29" s="19" t="str">
        <f>IF(SUM(PY29,QD29)&gt;0,SUM(PY29,QD29),"")</f>
        <v/>
      </c>
      <c r="QF29" s="37">
        <f>IF($CV29="P",CB29,(CB29+AY29)/2)</f>
        <v>9.4499999999999993</v>
      </c>
      <c r="QG29" s="37">
        <f>IF($CV29="P",CC29,(CC29+AZ29)/2)</f>
        <v>3.4</v>
      </c>
      <c r="QH29" s="37">
        <f>IF($CV29="P",CD29,(CD29+BA29)/2)</f>
        <v>0.1</v>
      </c>
      <c r="QI29" s="37">
        <f>IF($CV29="P",CE29,(CE29+BB29)/2)</f>
        <v>0</v>
      </c>
      <c r="QJ29" s="37">
        <f>IF($CV29="P",CF29,(CF29+BC29)/2)</f>
        <v>8.8000000000000007</v>
      </c>
      <c r="QK29" s="37">
        <f>IF($CV29="P",CG29,(CG29+BD29)/2)</f>
        <v>0</v>
      </c>
      <c r="QL29" s="37">
        <f>IF($CV29="P",CH29,(CH29+BE29)/2)</f>
        <v>0</v>
      </c>
      <c r="QM29" s="37">
        <f>IF($CV29="P",CI29,(CI29+BF29)/2)</f>
        <v>0</v>
      </c>
      <c r="QN29" s="37">
        <f>IF($CV29="P",CJ29,(CJ29+BG29)/2)</f>
        <v>8.6</v>
      </c>
      <c r="QO29" s="37">
        <f>IF($CV29="P",CK29,(CK29+BH29)/2)</f>
        <v>1.6</v>
      </c>
      <c r="QP29" s="37">
        <f>IF($CV29="P",CL29,(CL29+BI29)/2)</f>
        <v>0</v>
      </c>
      <c r="QQ29" s="37">
        <f>IF($CV29="P",CM29,(CM29+BJ29)/2)</f>
        <v>0</v>
      </c>
      <c r="QR29" s="37">
        <f>IF($CV29="P",CN29,(CN29+BK29)/2)</f>
        <v>0</v>
      </c>
      <c r="QS29" s="37">
        <f>IF($CV29="P",CO29,(CO29+BL29)/2)</f>
        <v>0</v>
      </c>
      <c r="QT29" s="37">
        <f>IF($CV29="P",CP29,(CP29+BM29)/2)</f>
        <v>0</v>
      </c>
      <c r="QU29" s="37">
        <f>IF($CV29="P",CQ29,(CQ29+BN29)/2)</f>
        <v>0</v>
      </c>
      <c r="QV29" s="37">
        <f>IF($CV29="P",CR29,(CR29+BO29)/2)</f>
        <v>0</v>
      </c>
      <c r="QW29" s="37">
        <f>IF($CV29="P",CS29,(CS29+BP29)/2)</f>
        <v>0</v>
      </c>
      <c r="QX29" s="37">
        <f>IF($CV29="P",CT29,(CT29+BQ29)/2)</f>
        <v>0</v>
      </c>
      <c r="QY29" s="37">
        <f>IF($CV29="P",CU29,(CU29+BR29)/2)</f>
        <v>0</v>
      </c>
      <c r="QZ29" s="44" t="s">
        <v>46</v>
      </c>
      <c r="RA29" s="78">
        <f>IF(SUM(QG29,QK29)&gt;0,SUM(QG29,QK29),"")</f>
        <v>3.4</v>
      </c>
      <c r="RB29" s="78">
        <f>IF(SUM(QF29:QG29,QI29:QK29,QM29)-QH29-QL29&gt;0,SUM(QF29:QG29,QI29:QK29,QM29)-QH29-QL29,"")</f>
        <v>21.549999999999997</v>
      </c>
      <c r="RC29" s="78">
        <f>IF(SUM(QN29:QO29,QQ29)-QP29&gt;0,SUM(QN29:QO29,QQ29)-QP29,"")</f>
        <v>10.199999999999999</v>
      </c>
      <c r="RD29" s="78">
        <f>IF(SUM(QG29,QK29,QO29)&gt;0,SUM(QG29,QK29,QO29),"")</f>
        <v>5</v>
      </c>
      <c r="RE29" s="78">
        <f>IF(SUM(RB29,RC29)&gt;0,SUM(RB29,RC29),"")</f>
        <v>31.749999999999996</v>
      </c>
      <c r="RF29" s="78" t="str">
        <f>IF(SUM(QS29,QW29)&gt;0,SUM(QS29,QW29),"")</f>
        <v/>
      </c>
      <c r="RG29" s="78" t="str">
        <f>IF(SUM(QR29:QS29,QU29:QW29,QY29)-SUM(QT29,QX29)&gt;0,SUM(QR29:QS29,QU29:QW29,QY29)-SUM(QT29,QX29),"")</f>
        <v/>
      </c>
      <c r="RH29" s="78">
        <f>IF(SUM(RB29,RG29)&gt;0,SUM(RB29,RG29),"")</f>
        <v>21.549999999999997</v>
      </c>
    </row>
    <row r="30" spans="1:476" x14ac:dyDescent="0.2">
      <c r="A30" s="5" t="str">
        <f>IF(AND(F30="P",G30="P"),SUMPRODUCT((F$4:F$32="P")*(G$4:G$32="P")*(E$4:E$32&gt;E30))+1,IF(G30="P",SUMPRODUCT((F$4:F$32="")*(G$4:G$32="P")*(E$4:E$32&gt;E30))+1+SUMPRODUCT((F$4:F$32="P")*(G$4:G$32="P")),""))</f>
        <v/>
      </c>
      <c r="B30" s="77" t="s">
        <v>197</v>
      </c>
      <c r="C30" s="5" t="s">
        <v>5</v>
      </c>
      <c r="D30" s="5">
        <v>2004</v>
      </c>
      <c r="E30" s="15">
        <f>SUM(I30:S30)+SUM(I30:O30)*0.0000001+SUM(I30)*0.0000000000001</f>
        <v>63.900006390004293</v>
      </c>
      <c r="F30" s="3" t="str">
        <f>IF(OR(AND(AQ30&gt;=AX$34,AR30&gt;=AX$38,AQ30&lt;&gt;"",AP30=""),AND(AV30&gt;=AX$34,AW30&gt;=AX$38,AV30&lt;&gt;"",AP30=""),AND(BT30&gt;=CA$34,BU30&gt;=CA$38,BT30&lt;&gt;"",BS30=""),AND(BY30&gt;=CA$34,BZ30&gt;=CA$38,BY30&lt;&gt;"",BS30=""),AND(CW30&gt;=DD$34,CX30&gt;=DD$38,CW30&lt;&gt;"",CV30=""),AND(DB30&gt;=DD$34,DC30&gt;=DD$38,DB30&lt;&gt;""),AND(EB30&gt;=EI$34,EC30&gt;=EI$38,EB30&lt;&gt;""),AND(EG30&gt;=EI$34,EH30&gt;=EI$38,EG30&lt;&gt;""),AND(FD30&gt;=FK$34,FE30&gt;=FK$38,FD30&lt;&gt;""),AND(FI30&gt;=FK$34,FJ30&gt;=FK$38,FI30&lt;&gt;""),AND(GF30&gt;=GM$34,GG30&gt;=GM$38,GF30&lt;&gt;""),AND(GK30&gt;=GM$34,GL30&gt;=GM$38,GK30&lt;&gt;""),AND(HH30&gt;=HO$34,HI30&gt;=HO$38,HH30&lt;&gt;""),AND(HM30&gt;=HO$34,HN30&gt;=HO$38,HM30&lt;&gt;""),AND(IJ30&gt;=IQ$34,IK30&gt;=IQ$38,IJ30&lt;&gt;""),AND(IO30&gt;=IQ$34,IP30&gt;=IQ$38,IO30&lt;&gt;""),AND(JL30&gt;=JS$34,JM30&gt;=JS$38,JL30&lt;&gt;""),AND(JQ30&gt;=JS$34,JR30&gt;=JS$38,JQ30&lt;&gt;""),AND(KN30&gt;=KU$34,KO30&gt;=KU$38,KN30&lt;&gt;""),AND(KS30&gt;=KU$34,KT30&gt;=KU$38,KS30&lt;&gt;""),AND(LP30&gt;=LW$34,LQ30&gt;=LW$38,LP30&lt;&gt;""),AND(LU30&gt;=LW$34,LV30&gt;=LW$38,LU30&lt;&gt;""),AND(MR30&gt;=MY$34,MS30&gt;=MY$38,MR30&lt;&gt;""),AND(MW30&gt;=MY$34,MX30&gt;=MY$38,MW30&lt;&gt;""),AND(NT30&gt;=OA$34,NU30&gt;=OA$38,NT30&lt;&gt;""),AND(NY30&gt;=OA$34,NZ30&gt;=OA$38,NY30&lt;&gt;""),AND(OV30&gt;=PC$34,OW30&gt;=PC$38,OV30&lt;&gt;""),AND(PA30&gt;=PC$34,PB30&gt;=PC$38,PA30&lt;&gt;""),AND(PX30&gt;=QE$34,PY30&gt;=QE$38,PX30&lt;&gt;""),AND(QC30&gt;=QE$34,QD30&gt;=QE$38,QC30&lt;&gt;"")),"P","")</f>
        <v/>
      </c>
      <c r="G30" s="3" t="str">
        <f>IF(OR(AND(AR30&gt;=AX$38,AR30&lt;&gt;"",AP30=""),AND(AW30&gt;=AX$38,AW30&lt;&gt;"",AP30=""),AND(BU30&gt;=CA$38,BU30&lt;&gt;"",BS30=""),AND(BZ30&gt;=CA$38,BZ30&lt;&gt;"",BS30=""),AND(CX30&gt;=DD$38,CX30&lt;&gt;"",CV30=""),AND(DC30&gt;=DD$38,DC30&lt;&gt;"",CV30=""),AND(EC30&gt;=EI$38,EC30&lt;&gt;""),AND(EH30&gt;=EI$38,EH30&lt;&gt;""),AND(FE30&gt;=FK$38,FE30&lt;&gt;""),AND(FJ30&gt;=FK$38,FJ30&lt;&gt;""),AND(GG30&gt;=GM$38,GG30&lt;&gt;""),AND(GL30&gt;=GM$38,GL30&lt;&gt;""),AND(HI30&gt;=HO$38,HI30&lt;&gt;""),AND(HN30&gt;=HO$38,HN30&lt;&gt;""),AND(IK30&gt;=IQ$38,IK30&lt;&gt;""),AND(IP30&gt;=IQ$38,IP30&lt;&gt;""),AND(JM30&gt;=JS$38,JM30&lt;&gt;""),AND(JR30&gt;=JS$38,JR30&lt;&gt;""),AND(KO30&gt;=KU$38,KO30&lt;&gt;""),AND(KT30&gt;=KU$38,KT30&lt;&gt;""),AND(LQ30&gt;=LW$38,LQ30&lt;&gt;""),AND(LV30&gt;=LW$38,LV30&lt;&gt;""),AND(MS30&gt;=MY$38,MS30&lt;&gt;""),AND(MX30&gt;=MY$38,MX30&lt;&gt;""),AND(NU30&gt;=OA$38,NU30&lt;&gt;""),AND(NZ30&gt;=OA$38,NZ30&lt;&gt;""),AND(OW30&gt;=PC$38,OW30&lt;&gt;""),AND(PB30&gt;=PC$38,PB30&lt;&gt;""),AND(PY30&gt;=QE$38,PY30&lt;&gt;""),AND(QD30&gt;=QE$38,QD30&lt;&gt;"")),"P","")</f>
        <v/>
      </c>
      <c r="H30" s="66" t="str">
        <f>IF(AND(G30="P",F30=""),"No DD",IF(OR(AND(AT30&gt;=AX$37,AU30&gt;=AX$41,AT30&lt;&gt;"",AP30=""),AND(BW30&gt;=CA$37,BX30&gt;=CA$41,BW30&lt;&gt;"",BS30=""),AND(CZ30&gt;=DD$37,DA30&gt;=DD$41,CZ30&lt;&gt;"",CV30=""),AND(EE30&gt;=EI$37,EF30&gt;=EI$41,EE30&lt;&gt;""),AND(FG30&gt;=FK$37,FH30&gt;=FK$41,FG30&lt;&gt;""),AND(GI30&gt;=GM$37,GJ30&gt;=GM$41,GI30&lt;&gt;""),AND(HK30&gt;=HO$37,HL30&gt;=HO$41,HK30&lt;&gt;""),AND(IM30&gt;=IQ$37,IN30&gt;=IQ$41,IM30&lt;&gt;""),AND(JO30&gt;=JS$37,JP30&gt;=JS$41,JO30&lt;&gt;""),AND(KQ30&gt;=KU$37,KR30&gt;=KU$41,KQ30&lt;&gt;""),AND(LS30&gt;=LW$37,LT30&gt;=LW$41,LS30&lt;&gt;""),AND(MU30&gt;=MY$37,MV30&gt;=MY$41,MU30&lt;&gt;""),AND(NW30&gt;=OA$37,NX30&gt;=OA$41,NW30&lt;&gt;""),AND(OY30&gt;=PC$37,OZ30&gt;=PC$41,OY30&lt;&gt;""),AND(QA30&gt;=QE$37,QB30&gt;=QE$41,QA30&lt;&gt;"")),"Merit",IF(OR(AND(AT30&gt;=AX$36,AU30&gt;=AX$40,AT30&lt;&gt;"",AP30=""),AND(BW30&gt;=CA$36,BX30&gt;=CA$40,BW30&lt;&gt;"",BS30=""),AND(CZ30&gt;=DD$36,DA30&gt;=DD$40,CZ30&lt;&gt;"",CV30=""),AND(EE30&gt;=EI$36,EF30&gt;=EI$40,EE30&lt;&gt;""),AND(FG30&gt;=FK$36,FH30&gt;=FK$40,FG30&lt;&gt;""),AND(GI30&gt;=GM$36,GJ30&gt;=GM$40,GI30&lt;&gt;""),AND(HK30&gt;=HO$36,HL30&gt;=HO$40,HK30&lt;&gt;""),AND(IM30&gt;=IQ$36,IN30&gt;=IQ$40,IM30&lt;&gt;""),AND(JO30&gt;=JS$36,JP30&gt;=JS$40,JO30&lt;&gt;""),AND(KQ30&gt;=KU$36,KR30&gt;=KU$40,KQ30&lt;&gt;""),AND(LS30&gt;=LW$36,LT30&gt;=LW$40,LS30&lt;&gt;""),AND(MU30&gt;=MY$36,MV30&gt;=MY$40,MU30&lt;&gt;""),AND(NW30&gt;=OA$36,NX30&gt;=OA$40,NW30&lt;&gt;""),AND(OY30&gt;=PC$36,OZ30&gt;=PC$40,OY30&lt;&gt;""),AND(QA30&gt;=QE$36,QB30&gt;=QE$40,QA30&lt;&gt;"")),"Excellence",IF(F30="P","National Team",""))))</f>
        <v/>
      </c>
      <c r="I30" s="14">
        <f>IF(COUNT(AR30,BU30,CX30)&gt;0,LARGE((AR30,BU30,CX30),1),0)</f>
        <v>42.999999999999993</v>
      </c>
      <c r="J30" s="14" t="str">
        <f>IF(I30=0,"",IF(I30=CX30,$CB$1,IF(I30=BU30,$AY$1,IF(I30=AR30,$V$1,""))))</f>
        <v>2022 Nationals</v>
      </c>
      <c r="K30" s="14">
        <f>IF(COUNT(AR30,BU30,CX30)&gt;1,LARGE((AR30,BU30,CX30),2),0)</f>
        <v>0</v>
      </c>
      <c r="L30" s="14" t="str">
        <f>IF(K30=0,"",IF(K30=CX30,$CB$1,IF(K30=BU30,$AY$1,IF(K30=AR30,$V$1,""))))</f>
        <v/>
      </c>
      <c r="M30" s="14">
        <f>IF(COUNT(AS30,BV30,CY30)&gt;0,LARGE((AS30,BV30,CY30),1),0)</f>
        <v>20.900000000000002</v>
      </c>
      <c r="N30" s="14" t="str">
        <f>IF(M30=0,"",IF(M30=CY30,$CB$1,IF(M30=BV30,$AY$1,IF(M30=AS30,$V$1,""))))</f>
        <v>2022 Nationals</v>
      </c>
      <c r="O30" s="14">
        <f>IF(COUNT(AS30,BV30,CY30)&gt;1,LARGE((AS30,BV30,CY30),2),0)</f>
        <v>0</v>
      </c>
      <c r="P30" s="14" t="str">
        <f>IF(O30=0,"",IF(O30=CY30,$CB$1,IF(O30=BV30,$AY$1,IF(O30=AS30,$V$1,""))))</f>
        <v/>
      </c>
      <c r="Q30" s="14">
        <f>IF(MAX(AW30,BZ30,DC30)&gt;0,MAX(AW30,BZ30,DC30),0)</f>
        <v>0</v>
      </c>
      <c r="R30" s="14" t="str">
        <f>IF(Q30=0,"",IF(Q30=DC30,$CB$1,IF(Q30=BZ30,$AY$1,IF(Q30=AW30,$V$1,""))))</f>
        <v/>
      </c>
      <c r="S30" s="14" t="str">
        <f>IF(MAX(DE30:DG30)&gt;0,MAX(DE30:DG30),"")</f>
        <v/>
      </c>
      <c r="T30" s="19" t="str">
        <f>IF(S30="","",IF(S30=DE30,"("&amp;DE$2&amp;")",IF(S30=DG30,"("&amp;DG$2&amp;")")))</f>
        <v/>
      </c>
      <c r="U30" s="14" t="str">
        <f>IF(S30="","",IF(S30=DE30,IF(S30+IF(K30="",0,K30)=PY30,$PD$1,IF(S30+IF(K30="",0,K30)=OW30,$OB$1,IF(S30+IF(K30="",0,K30)=NU30,$MZ$1,IF(S30+IF(K30="",0,K30)=MS30,$LX$1,IF(S30+IF(K30="",0,K30)=LQ30,$KV$1,IF(S30+IF(K30="",0,K30)=KO30,$JT$1,IF(S30+IF(K30="",0,K30)=JM30,$IR$1,IF(S30+IF(K30="",0,K30)=IK30,$HP$1,IF(S30+IF(K30="",0,K30)=HI30,$GN$1,IF(S30+IF(K30="",0,K30)=GG30,$FL$1,IF(S30+IF(K30="",0,K30)=FE30,$EJ$1,IF(S30+IF(K30="",0,K30)=EC30,$DH$1)))))))))))),IF(S30=DG30,IF(S30+IF(Q30="",0,Q30)=QD30,$PD$1,IF(S30+IF(Q30="",0,Q30)=PB30,$OB$1,IF(S30+IF(Q30="",0,Q30)=NZ30,$MZ$1,IF(S30+IF(Q30="",0,Q30)=MX30,$LX$1,IF(S30+IF(Q30="",0,Q30)=LV30,$KV$1,IF(S30+IF(Q30="",0,Q30)=KT30,$JT$1,IF(S30+IF(Q30="",0,Q30)=JR30,$IR$1,IF(S30+IF(Q30="",0,Q30)=IP30,$HP$1,IF(S30+IF(Q30="",0,Q30)=HN30,$GN$1,IF(S30+IF(Q30="",0,Q30)=GL30,$FL$1,IF(S30+IF(Q30="",0,Q30)=FJ30,$EJ$1,IF(S30+IF(Q30="",0,Q30)=EH30,$DH$1)))))))))))))))</f>
        <v/>
      </c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44"/>
      <c r="AQ30" s="78" t="str">
        <f>IF(SUM(W30,AA30)&gt;0,SUM(W30,AA30),"")</f>
        <v/>
      </c>
      <c r="AR30" s="78" t="str">
        <f>IF(SUM(V30:W30,Y30:AA30,AC30)-X30-AB30&gt;0,SUM(V30:W30,Y30:AA30,AC30)-X30-AB30,"")</f>
        <v/>
      </c>
      <c r="AS30" s="78" t="str">
        <f>IF(SUM(AD30:AE30,AG30)-AF30&gt;0,SUM(AD30:AE30,AG30)-AF30,"")</f>
        <v/>
      </c>
      <c r="AT30" s="78" t="str">
        <f>IF(SUM(W30,AA30,AE30)&gt;0,SUM(W30,AA30,AE30),"")</f>
        <v/>
      </c>
      <c r="AU30" s="78" t="str">
        <f>IF(SUM(AR30,AS30)&gt;0,SUM(AR30,AS30),"")</f>
        <v/>
      </c>
      <c r="AV30" s="78" t="str">
        <f>IF(SUM(AI30,AM30)&gt;0,SUM(AI30,AM30),"")</f>
        <v/>
      </c>
      <c r="AW30" s="78" t="str">
        <f>IF(SUM(AH30:AI30,AK30:AM30,AO30)-SUM(AJ30,AN30)&gt;0,SUM(AH30:AI30,AK30:AM30,AO30)-SUM(AJ30,AN30),"")</f>
        <v/>
      </c>
      <c r="AX30" s="78" t="str">
        <f>IF(SUM(AR30,AW30)&gt;0,SUM(AR30,AW30),"")</f>
        <v/>
      </c>
      <c r="AY30" s="25">
        <v>18.399999999999999</v>
      </c>
      <c r="AZ30" s="25">
        <v>3</v>
      </c>
      <c r="BA30" s="25">
        <v>1.1000000000000001</v>
      </c>
      <c r="BB30" s="25">
        <v>0</v>
      </c>
      <c r="BC30" s="25">
        <v>18.5</v>
      </c>
      <c r="BD30" s="25">
        <v>4.8</v>
      </c>
      <c r="BE30" s="25">
        <v>0.6</v>
      </c>
      <c r="BF30" s="25">
        <v>0</v>
      </c>
      <c r="BG30" s="25">
        <v>18.100000000000001</v>
      </c>
      <c r="BH30" s="25">
        <v>3.6</v>
      </c>
      <c r="BI30" s="25">
        <v>0.8</v>
      </c>
      <c r="BJ30" s="25">
        <v>0</v>
      </c>
      <c r="BK30" s="25"/>
      <c r="BL30" s="25"/>
      <c r="BM30" s="25"/>
      <c r="BN30" s="25"/>
      <c r="BO30" s="25"/>
      <c r="BP30" s="25"/>
      <c r="BQ30" s="25"/>
      <c r="BR30" s="25"/>
      <c r="BS30" s="45"/>
      <c r="BT30" s="19">
        <f>IF(SUM(AZ30,BD30)&gt;0,SUM(AZ30,BD30),"")</f>
        <v>7.8</v>
      </c>
      <c r="BU30" s="19">
        <f>IF(SUM(AY30:AZ30,BB30:BD30,BF30)-BA30-BE30&gt;0,SUM(AY30:AZ30,BB30:BD30,BF30)-BA30-BE30,"")</f>
        <v>42.999999999999993</v>
      </c>
      <c r="BV30" s="19">
        <f>IF(SUM(BG30:BH30,BJ30)-BI30&gt;0,SUM(BG30:BH30,BJ30)-BI30,"")</f>
        <v>20.900000000000002</v>
      </c>
      <c r="BW30" s="19">
        <f>IF(SUM(AZ30,BD30,BH30)&gt;0,SUM(AZ30,BD30,BH30),"")</f>
        <v>11.4</v>
      </c>
      <c r="BX30" s="19">
        <f>IF(SUM(BU30,BV30)&gt;0,SUM(BU30,BV30),"")</f>
        <v>63.899999999999991</v>
      </c>
      <c r="BY30" s="19" t="str">
        <f>IF(SUM(BL30,BP30)&gt;0,SUM(BL30,BP30),"")</f>
        <v/>
      </c>
      <c r="BZ30" s="19" t="str">
        <f>IF(SUM(BK30:BL30,BN30:BP30,BR30)-SUM(BM30,BQ30)&gt;0,SUM(BK30:BL30,BN30:BP30,BR30)-SUM(BM30,BQ30),"")</f>
        <v/>
      </c>
      <c r="CA30" s="19">
        <f>IF(SUM(BU30,BZ30)&gt;0,SUM(BU30,BZ30),"")</f>
        <v>42.999999999999993</v>
      </c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44"/>
      <c r="CW30" s="78" t="str">
        <f>IF(SUM(CC30,CG30)&gt;0,SUM(CC30,CG30),"")</f>
        <v/>
      </c>
      <c r="CX30" s="78" t="str">
        <f>IF(SUM(CB30:CC30,CE30:CG30,CI30)-CD30-CH30&gt;0,SUM(CB30:CC30,CE30:CG30,CI30)-CD30-CH30,"")</f>
        <v/>
      </c>
      <c r="CY30" s="78" t="str">
        <f>IF(SUM(CJ30:CK30,CM30)-CL30&gt;0,SUM(CJ30:CK30,CM30)-CL30,"")</f>
        <v/>
      </c>
      <c r="CZ30" s="78" t="str">
        <f>IF(SUM(CC30,CG30,CK30)&gt;0,SUM(CC30,CG30,CK30),"")</f>
        <v/>
      </c>
      <c r="DA30" s="78" t="str">
        <f>IF(SUM(CX30,CY30)&gt;0,SUM(CX30,CY30),"")</f>
        <v/>
      </c>
      <c r="DB30" s="78" t="str">
        <f>IF(SUM(CO30,CS30)&gt;0,SUM(CO30,CS30),"")</f>
        <v/>
      </c>
      <c r="DC30" s="78" t="str">
        <f>IF(SUM(CN30:CO30,CQ30:CS30,CU30)-SUM(CP30,CT30)&gt;0,SUM(CN30:CO30,CQ30:CS30,CU30)-SUM(CP30,CT30),"")</f>
        <v/>
      </c>
      <c r="DD30" s="78" t="str">
        <f>IF(SUM(CX30,DC30)&gt;0,SUM(CX30,DC30),"")</f>
        <v/>
      </c>
      <c r="DE30" s="79" t="str">
        <f>IF(K30&gt;=0.001,IF(MAX(EC30,FE30,GG30,HI30,IK30,JM30,KO30,LQ30,MS30,NU30,OW30,PY30)-IF(K30="",0,K30)&gt;0.001,MAX(EC30,FE30,GG30,HI30,IK30,JM30,KO30,LQ30,MS30,NU30,OW30,PY30)-IF(K30="",0,K30),""),"")</f>
        <v/>
      </c>
      <c r="DF30" s="79" t="str">
        <f>IF(O30&gt;=0.001,IF(MAX(ED30,FF30,GH30,HJ30,IL30,JN30,KP30,LR30,MT30,NV30,OX30,PZ30)-IF(O30="",0,O30)&gt;0.001,MAX(ED30,FF30,GH30,HJ30,IL30,JN30,KP30,LR30,MT30,NV30,OX30,PZ30)-IF(O30="",0,O30),""),"")</f>
        <v/>
      </c>
      <c r="DG30" s="79" t="str">
        <f>IF(Q30&gt;=0.001,IF(MAX(EH30,FJ30,GL30,HN30,IP30,JR30,KT30,LV30,MX30,NZ30,PB30,QD30)-IF(Q30="",0,Q30)&gt;0.001,MAX(EH30,FJ30,GL30,HN30,IP30,JR30,KT30,LV30,MX30,NZ30,PB30,QD30)-IF(Q30="",0,Q30),""),"")</f>
        <v/>
      </c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78" t="str">
        <f>IF(SUM(DI30,DM30)&gt;0,SUM(DI30,DM30),"")</f>
        <v/>
      </c>
      <c r="EC30" s="78" t="str">
        <f>IF(SUM(DH30:DI30,DK30:DM30,DO30)-DJ30-DN30&gt;0,SUM(DH30:DI30,DK30:DM30,DO30)-DJ30-DN30,"")</f>
        <v/>
      </c>
      <c r="ED30" s="78" t="str">
        <f>IF(SUM(DP30:DQ30,DS30)-DR30&gt;0,SUM(DP30:DQ30,DS30)-DR30,"")</f>
        <v/>
      </c>
      <c r="EE30" s="78" t="str">
        <f>IF(SUM(DI30,DM30,DQ30)&gt;0,SUM(DI30,DM30,DQ30),"")</f>
        <v/>
      </c>
      <c r="EF30" s="78" t="str">
        <f>IF(SUM(EC30,ED30)&gt;0,SUM(EC30,ED30),"")</f>
        <v/>
      </c>
      <c r="EG30" s="78" t="str">
        <f>IF(SUM(DU30,DY30)&gt;0,SUM(DU30,DY30),"")</f>
        <v/>
      </c>
      <c r="EH30" s="78" t="str">
        <f>IF(SUM(DT30:DU30,DW30:DY30,EA30)-SUM(DV30,DZ30)&gt;0,SUM(DT30:DU30,DW30:DY30,EA30)-SUM(DV30,DZ30),"")</f>
        <v/>
      </c>
      <c r="EI30" s="78" t="str">
        <f>IF(SUM(EC30,EH30)&gt;0,SUM(EC30,EH30),"")</f>
        <v/>
      </c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19" t="str">
        <f>IF(SUM(EK30,EO30)&gt;0,SUM(EK30,EO30),"")</f>
        <v/>
      </c>
      <c r="FE30" s="19" t="str">
        <f>IF(SUM(EJ30:EK30,EM30:EO30,EQ30)-EL30-EP30&gt;0,SUM(EJ30:EK30,EM30:EO30,EQ30)-EL30-EP30,"")</f>
        <v/>
      </c>
      <c r="FF30" s="19" t="str">
        <f>IF(SUM(ER30:ES30,EU30)-ET30&gt;0,SUM(ER30:ES30,EU30)-ET30,"")</f>
        <v/>
      </c>
      <c r="FG30" s="19" t="str">
        <f>IF(SUM(EK30,EO30,ES30)&gt;0,SUM(EK30,EO30,ES30),"")</f>
        <v/>
      </c>
      <c r="FH30" s="19" t="str">
        <f>IF(SUM(FE30,FF30)&gt;0,SUM(FE30,FF30),"")</f>
        <v/>
      </c>
      <c r="FI30" s="19" t="str">
        <f>IF(SUM(EW30,FA30)&gt;0,SUM(EW30,FA30),"")</f>
        <v/>
      </c>
      <c r="FJ30" s="19" t="str">
        <f>IF(SUM(EV30:EW30,EY30:FA30,FC30)-SUM(EX30,FB30)&gt;0,SUM(EV30:EW30,EY30:FA30,FC30)-SUM(EX30,FB30),"")</f>
        <v/>
      </c>
      <c r="FK30" s="19" t="str">
        <f>IF(SUM(FE30,FJ30)&gt;0,SUM(FE30,FJ30),"")</f>
        <v/>
      </c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78" t="str">
        <f>IF(SUM(FM30,FQ30)&gt;0,SUM(FM30,FQ30),"")</f>
        <v/>
      </c>
      <c r="GG30" s="78" t="str">
        <f>IF(SUM(FL30:FM30,FO30:FQ30,FS30)-FN30-FR30&gt;0,SUM(FL30:FM30,FO30:FQ30,FS30)-FN30-FR30,"")</f>
        <v/>
      </c>
      <c r="GH30" s="78" t="str">
        <f>IF(SUM(FT30:FU30,FW30)-FV30&gt;0,SUM(FT30:FU30,FW30)-FV30,"")</f>
        <v/>
      </c>
      <c r="GI30" s="78" t="str">
        <f>IF(SUM(FM30,FQ30,FU30)&gt;0,SUM(FM30,FQ30,FU30),"")</f>
        <v/>
      </c>
      <c r="GJ30" s="78" t="str">
        <f>IF(SUM(GG30,GH30)&gt;0,SUM(GG30,GH30),"")</f>
        <v/>
      </c>
      <c r="GK30" s="78" t="str">
        <f>IF(SUM(FY30,GC30)&gt;0,SUM(FY30,GC30),"")</f>
        <v/>
      </c>
      <c r="GL30" s="78" t="str">
        <f>IF(SUM(FX30:FY30,GA30:GC30,GE30)-SUM(FZ30,GD30)&gt;0,SUM(FX30:FY30,GA30:GC30,GE30)-SUM(FZ30,GD30),"")</f>
        <v/>
      </c>
      <c r="GM30" s="78" t="str">
        <f>IF(SUM(GG30,GL30)&gt;0,SUM(GG30,GL30),"")</f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19" t="str">
        <f>IF(SUM(GO30,GS30)&gt;0,SUM(GO30,GS30),"")</f>
        <v/>
      </c>
      <c r="HI30" s="19" t="str">
        <f>IF(SUM(GN30:GO30,GQ30:GS30,GU30)-GP30-GT30&gt;0,SUM(GN30:GO30,GQ30:GS30,GU30)-GP30-GT30,"")</f>
        <v/>
      </c>
      <c r="HJ30" s="19" t="str">
        <f>IF(SUM(GV30:GW30,GY30)-GX30&gt;0,SUM(GV30:GW30,GY30)-GX30,"")</f>
        <v/>
      </c>
      <c r="HK30" s="19" t="str">
        <f>IF(SUM(GO30,GS30,GW30)&gt;0,SUM(GO30,GS30,GW30),"")</f>
        <v/>
      </c>
      <c r="HL30" s="19" t="str">
        <f>IF(SUM(HI30,HJ30)&gt;0,SUM(HI30,HJ30),"")</f>
        <v/>
      </c>
      <c r="HM30" s="19" t="str">
        <f>IF(SUM(HA30,HE30)&gt;0,SUM(HA30,HE30),"")</f>
        <v/>
      </c>
      <c r="HN30" s="19" t="str">
        <f>IF(SUM(GZ30:HA30,HC30:HE30,HG30)-SUM(HB30,HF30)&gt;0,SUM(GZ30:HA30,HC30:HE30,HG30)-SUM(HB30,HF30),"")</f>
        <v/>
      </c>
      <c r="HO30" s="19" t="str">
        <f>IF(SUM(HI30,HN30)&gt;0,SUM(HI30,HN30),"")</f>
        <v/>
      </c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78" t="str">
        <f>IF(SUM(HQ30,HU30)&gt;0,SUM(HQ30,HU30),"")</f>
        <v/>
      </c>
      <c r="IK30" s="78" t="str">
        <f>IF(SUM(HP30:HQ30,HS30:HU30,HW30)-HR30-HV30&gt;0,SUM(HP30:HQ30,HS30:HU30,HW30)-HR30-HV30,"")</f>
        <v/>
      </c>
      <c r="IL30" s="78" t="str">
        <f>IF(SUM(HX30:HY30,IA30)-HZ30&gt;0,SUM(HX30:HY30,IA30)-HZ30,"")</f>
        <v/>
      </c>
      <c r="IM30" s="78" t="str">
        <f>IF(SUM(HQ30,HU30,HY30)&gt;0,SUM(HQ30,HU30,HY30),"")</f>
        <v/>
      </c>
      <c r="IN30" s="78" t="str">
        <f>IF(SUM(IK30,IL30)&gt;0,SUM(IK30,IL30),"")</f>
        <v/>
      </c>
      <c r="IO30" s="78" t="str">
        <f>IF(SUM(IC30,IG30)&gt;0,SUM(IC30,IG30),"")</f>
        <v/>
      </c>
      <c r="IP30" s="78" t="str">
        <f>IF(SUM(IB30:IC30,IE30:IG30,II30)-SUM(ID30,IH30)&gt;0,SUM(IB30:IC30,IE30:IG30,II30)-SUM(ID30,IH30),"")</f>
        <v/>
      </c>
      <c r="IQ30" s="78" t="str">
        <f>IF(SUM(IK30,IP30)&gt;0,SUM(IK30,IP30),"")</f>
        <v/>
      </c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19" t="str">
        <f>IF(SUM(IS30,IW30)&gt;0,SUM(IS30,IW30),"")</f>
        <v/>
      </c>
      <c r="JM30" s="19" t="str">
        <f>IF(SUM(IR30:IS30,IU30:IW30,IY30)-IT30-IX30&gt;0,SUM(IR30:IS30,IU30:IW30,IY30)-IT30-IX30,"")</f>
        <v/>
      </c>
      <c r="JN30" s="19" t="str">
        <f>IF(SUM(IZ30:JA30,JC30)-JB30&gt;0,SUM(IZ30:JA30,JC30)-JB30,"")</f>
        <v/>
      </c>
      <c r="JO30" s="19" t="str">
        <f>IF(SUM(IS30,IW30,JA30)&gt;0,SUM(IS30,IW30,JA30),"")</f>
        <v/>
      </c>
      <c r="JP30" s="19" t="str">
        <f>IF(SUM(JM30,JN30)&gt;0,SUM(JM30,JN30),"")</f>
        <v/>
      </c>
      <c r="JQ30" s="19" t="str">
        <f>IF(SUM(JE30,JI30)&gt;0,SUM(JE30,JI30),"")</f>
        <v/>
      </c>
      <c r="JR30" s="19" t="str">
        <f>IF(SUM(JD30:JE30,JG30:JI30,JK30)-SUM(JF30,JJ30)&gt;0,SUM(JD30:JE30,JG30:JI30,JK30)-SUM(JF30,JJ30),"")</f>
        <v/>
      </c>
      <c r="JS30" s="19" t="str">
        <f>IF(SUM(JM30,JR30)&gt;0,SUM(JM30,JR30),"")</f>
        <v/>
      </c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78" t="str">
        <f>IF(SUM(JU30,JY30)&gt;0,SUM(JU30,JY30),"")</f>
        <v/>
      </c>
      <c r="KO30" s="78" t="str">
        <f>IF(SUM(JT30:JU30,JW30:JY30,KA30)-JV30-JZ30&gt;0,SUM(JT30:JU30,JW30:JY30,KA30)-JV30-JZ30,"")</f>
        <v/>
      </c>
      <c r="KP30" s="78" t="str">
        <f>IF(SUM(KB30:KC30,KE30)-KD30&gt;0,SUM(KB30:KC30,KE30)-KD30,"")</f>
        <v/>
      </c>
      <c r="KQ30" s="78" t="str">
        <f>IF(SUM(JU30,JY30,KC30)&gt;0,SUM(JU30,JY30,KC30),"")</f>
        <v/>
      </c>
      <c r="KR30" s="78" t="str">
        <f>IF(SUM(KO30,KP30)&gt;0,SUM(KO30,KP30),"")</f>
        <v/>
      </c>
      <c r="KS30" s="78" t="str">
        <f>IF(SUM(KG30,KK30)&gt;0,SUM(KG30,KK30),"")</f>
        <v/>
      </c>
      <c r="KT30" s="78" t="str">
        <f>IF(SUM(KF30:KG30,KI30:KK30,KM30)-SUM(KH30,KL30)&gt;0,SUM(KF30:KG30,KI30:KK30,KM30)-SUM(KH30,KL30),"")</f>
        <v/>
      </c>
      <c r="KU30" s="78" t="str">
        <f>IF(SUM(KO30,KT30)&gt;0,SUM(KO30,KT30),"")</f>
        <v/>
      </c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19" t="str">
        <f>IF(SUM(KW30,LA30)&gt;0,SUM(KW30,LA30),"")</f>
        <v/>
      </c>
      <c r="LQ30" s="19" t="str">
        <f>IF(SUM(KV30:KW30,KY30:LA30,LC30)-KX30-LB30&gt;0,SUM(KV30:KW30,KY30:LA30,LC30)-KX30-LB30,"")</f>
        <v/>
      </c>
      <c r="LR30" s="19" t="str">
        <f>IF(SUM(LD30:LE30,LG30)-LF30&gt;0,SUM(LD30:LE30,LG30)-LF30,"")</f>
        <v/>
      </c>
      <c r="LS30" s="19" t="str">
        <f>IF(SUM(KW30,LA30,LE30)&gt;0,SUM(KW30,LA30,LE30),"")</f>
        <v/>
      </c>
      <c r="LT30" s="19" t="str">
        <f>IF(SUM(LQ30,LR30)&gt;0,SUM(LQ30,LR30),"")</f>
        <v/>
      </c>
      <c r="LU30" s="19" t="str">
        <f>IF(SUM(LI30,LM30)&gt;0,SUM(LI30,LM30),"")</f>
        <v/>
      </c>
      <c r="LV30" s="19" t="str">
        <f>IF(SUM(LH30:LI30,LK30:LM30,LO30)-SUM(LJ30,LN30)&gt;0,SUM(LH30:LI30,LK30:LM30,LO30)-SUM(LJ30,LN30),"")</f>
        <v/>
      </c>
      <c r="LW30" s="19" t="str">
        <f>IF(SUM(LQ30,LV30)&gt;0,SUM(LQ30,LV30),"")</f>
        <v/>
      </c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78" t="str">
        <f>IF(SUM(LY30,MC30)&gt;0,SUM(LY30,MC30),"")</f>
        <v/>
      </c>
      <c r="MS30" s="78" t="str">
        <f>IF(SUM(LX30:LY30,MA30:MC30,ME30)-LZ30-MD30&gt;0,SUM(LX30:LY30,MA30:MC30,ME30)-LZ30-MD30,"")</f>
        <v/>
      </c>
      <c r="MT30" s="78" t="str">
        <f>IF(SUM(MF30:MG30,MI30)-MH30&gt;0,SUM(MF30:MG30,MI30)-MH30,"")</f>
        <v/>
      </c>
      <c r="MU30" s="78" t="str">
        <f>IF(SUM(LY30,MC30,MG30)&gt;0,SUM(LY30,MC30,MG30),"")</f>
        <v/>
      </c>
      <c r="MV30" s="78" t="str">
        <f>IF(SUM(MS30,MT30)&gt;0,SUM(MS30,MT30),"")</f>
        <v/>
      </c>
      <c r="MW30" s="78" t="str">
        <f>IF(SUM(MK30,MO30)&gt;0,SUM(MK30,MO30),"")</f>
        <v/>
      </c>
      <c r="MX30" s="78" t="str">
        <f>IF(SUM(MJ30:MK30,MM30:MO30,MQ30)-SUM(ML30,MP30)&gt;0,SUM(MJ30:MK30,MM30:MO30,MQ30)-SUM(ML30,MP30),"")</f>
        <v/>
      </c>
      <c r="MY30" s="78" t="str">
        <f>IF(SUM(MS30,MX30)&gt;0,SUM(MS30,MX30),"")</f>
        <v/>
      </c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19" t="str">
        <f>IF(SUM(NA30,NE30)&gt;0,SUM(NA30,NE30),"")</f>
        <v/>
      </c>
      <c r="NU30" s="19" t="str">
        <f>IF(SUM(MZ30:NA30,NC30:NE30,NG30)-NB30-NF30&gt;0,SUM(MZ30:NA30,NC30:NE30,NG30)-NB30-NF30,"")</f>
        <v/>
      </c>
      <c r="NV30" s="19" t="str">
        <f>IF(SUM(NH30:NI30,NK30)-NJ30&gt;0,SUM(NH30:NI30,NK30)-NJ30,"")</f>
        <v/>
      </c>
      <c r="NW30" s="19" t="str">
        <f>IF(SUM(NA30,NE30,NI30)&gt;0,SUM(NA30,NE30,NI30),"")</f>
        <v/>
      </c>
      <c r="NX30" s="19" t="str">
        <f>IF(SUM(NU30,NV30)&gt;0,SUM(NU30,NV30),"")</f>
        <v/>
      </c>
      <c r="NY30" s="19" t="str">
        <f>IF(SUM(NM30,NQ30)&gt;0,SUM(NM30,NQ30),"")</f>
        <v/>
      </c>
      <c r="NZ30" s="19" t="str">
        <f>IF(SUM(NL30:NM30,NO30:NQ30,NS30)-SUM(NN30,NR30)&gt;0,SUM(NL30:NM30,NO30:NQ30,NS30)-SUM(NN30,NR30),"")</f>
        <v/>
      </c>
      <c r="OA30" s="19" t="str">
        <f>IF(SUM(NU30,NZ30)&gt;0,SUM(NU30,NZ30),"")</f>
        <v/>
      </c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78" t="str">
        <f>IF(SUM(OC30,OG30)&gt;0,SUM(OC30,OG30),"")</f>
        <v/>
      </c>
      <c r="OW30" s="78" t="str">
        <f>IF(SUM(OB30:OC30,OE30:OG30,OI30)-OD30-OH30&gt;0,SUM(OB30:OC30,OE30:OG30,OI30)-OD30-OH30,"")</f>
        <v/>
      </c>
      <c r="OX30" s="78" t="str">
        <f>IF(SUM(OJ30:OK30,OM30)-OL30&gt;0,SUM(OJ30:OK30,OM30)-OL30,"")</f>
        <v/>
      </c>
      <c r="OY30" s="78" t="str">
        <f>IF(SUM(OC30,OG30,OK30)&gt;0,SUM(OC30,OG30,OK30),"")</f>
        <v/>
      </c>
      <c r="OZ30" s="78" t="str">
        <f>IF(SUM(OW30,OX30)&gt;0,SUM(OW30,OX30),"")</f>
        <v/>
      </c>
      <c r="PA30" s="78" t="str">
        <f>IF(SUM(OO30,OS30)&gt;0,SUM(OO30,OS30),"")</f>
        <v/>
      </c>
      <c r="PB30" s="78" t="str">
        <f>IF(SUM(ON30:OO30,OQ30:OS30,OU30)-SUM(OP30,OT30)&gt;0,SUM(ON30:OO30,OQ30:OS30,OU30)-SUM(OP30,OT30),"")</f>
        <v/>
      </c>
      <c r="PC30" s="78" t="str">
        <f>IF(SUM(OW30,PB30)&gt;0,SUM(OW30,PB30),"")</f>
        <v/>
      </c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19" t="str">
        <f>IF(SUM(PE30,PI30)&gt;0,SUM(PE30,PI30),"")</f>
        <v/>
      </c>
      <c r="PY30" s="19" t="str">
        <f>IF(SUM(PD30:PE30,PG30:PI30,PK30)-PF30-PJ30&gt;0,SUM(PD30:PE30,PG30:PI30,PK30)-PF30-PJ30,"")</f>
        <v/>
      </c>
      <c r="PZ30" s="19" t="str">
        <f>IF(SUM(PL30:PM30,PO30)-PN30&gt;0,SUM(PL30:PM30,PO30)-PN30,"")</f>
        <v/>
      </c>
      <c r="QA30" s="19" t="str">
        <f>IF(SUM(PE30,PI30,PM30)&gt;0,SUM(PE30,PI30,PM30),"")</f>
        <v/>
      </c>
      <c r="QB30" s="19" t="str">
        <f>IF(SUM(PY30,PZ30)&gt;0,SUM(PY30,PZ30),"")</f>
        <v/>
      </c>
      <c r="QC30" s="19" t="str">
        <f>IF(SUM(PQ30,PU30)&gt;0,SUM(PQ30,PU30),"")</f>
        <v/>
      </c>
      <c r="QD30" s="19" t="str">
        <f>IF(SUM(PP30:PQ30,PS30:PU30,PW30)-SUM(PR30,PV30)&gt;0,SUM(PP30:PQ30,PS30:PU30,PW30)-SUM(PR30,PV30),"")</f>
        <v/>
      </c>
      <c r="QE30" s="19" t="str">
        <f>IF(SUM(PY30,QD30)&gt;0,SUM(PY30,QD30),"")</f>
        <v/>
      </c>
      <c r="QF30" s="37">
        <f>IF($CV30="P",CB30,(CB30+AY30)/2)</f>
        <v>9.1999999999999993</v>
      </c>
      <c r="QG30" s="37">
        <f>IF($CV30="P",CC30,(CC30+AZ30)/2)</f>
        <v>1.5</v>
      </c>
      <c r="QH30" s="37">
        <f>IF($CV30="P",CD30,(CD30+BA30)/2)</f>
        <v>0.55000000000000004</v>
      </c>
      <c r="QI30" s="37">
        <f>IF($CV30="P",CE30,(CE30+BB30)/2)</f>
        <v>0</v>
      </c>
      <c r="QJ30" s="37">
        <f>IF($CV30="P",CF30,(CF30+BC30)/2)</f>
        <v>9.25</v>
      </c>
      <c r="QK30" s="37">
        <f>IF($CV30="P",CG30,(CG30+BD30)/2)</f>
        <v>2.4</v>
      </c>
      <c r="QL30" s="37">
        <f>IF($CV30="P",CH30,(CH30+BE30)/2)</f>
        <v>0.3</v>
      </c>
      <c r="QM30" s="37">
        <f>IF($CV30="P",CI30,(CI30+BF30)/2)</f>
        <v>0</v>
      </c>
      <c r="QN30" s="37">
        <f>IF($CV30="P",CJ30,(CJ30+BG30)/2)</f>
        <v>9.0500000000000007</v>
      </c>
      <c r="QO30" s="37">
        <f>IF($CV30="P",CK30,(CK30+BH30)/2)</f>
        <v>1.8</v>
      </c>
      <c r="QP30" s="37">
        <f>IF($CV30="P",CL30,(CL30+BI30)/2)</f>
        <v>0.4</v>
      </c>
      <c r="QQ30" s="37">
        <f>IF($CV30="P",CM30,(CM30+BJ30)/2)</f>
        <v>0</v>
      </c>
      <c r="QR30" s="37">
        <f>IF($CV30="P",CN30,(CN30+BK30)/2)</f>
        <v>0</v>
      </c>
      <c r="QS30" s="37">
        <f>IF($CV30="P",CO30,(CO30+BL30)/2)</f>
        <v>0</v>
      </c>
      <c r="QT30" s="37">
        <f>IF($CV30="P",CP30,(CP30+BM30)/2)</f>
        <v>0</v>
      </c>
      <c r="QU30" s="37">
        <f>IF($CV30="P",CQ30,(CQ30+BN30)/2)</f>
        <v>0</v>
      </c>
      <c r="QV30" s="37">
        <f>IF($CV30="P",CR30,(CR30+BO30)/2)</f>
        <v>0</v>
      </c>
      <c r="QW30" s="37">
        <f>IF($CV30="P",CS30,(CS30+BP30)/2)</f>
        <v>0</v>
      </c>
      <c r="QX30" s="37">
        <f>IF($CV30="P",CT30,(CT30+BQ30)/2)</f>
        <v>0</v>
      </c>
      <c r="QY30" s="37">
        <f>IF($CV30="P",CU30,(CU30+BR30)/2)</f>
        <v>0</v>
      </c>
      <c r="QZ30" s="44" t="s">
        <v>46</v>
      </c>
      <c r="RA30" s="78">
        <f>IF(SUM(QG30,QK30)&gt;0,SUM(QG30,QK30),"")</f>
        <v>3.9</v>
      </c>
      <c r="RB30" s="78">
        <f>IF(SUM(QF30:QG30,QI30:QK30,QM30)-QH30-QL30&gt;0,SUM(QF30:QG30,QI30:QK30,QM30)-QH30-QL30,"")</f>
        <v>21.499999999999996</v>
      </c>
      <c r="RC30" s="78">
        <f>IF(SUM(QN30:QO30,QQ30)-QP30&gt;0,SUM(QN30:QO30,QQ30)-QP30,"")</f>
        <v>10.450000000000001</v>
      </c>
      <c r="RD30" s="78">
        <f>IF(SUM(QG30,QK30,QO30)&gt;0,SUM(QG30,QK30,QO30),"")</f>
        <v>5.7</v>
      </c>
      <c r="RE30" s="78">
        <f>IF(SUM(RB30,RC30)&gt;0,SUM(RB30,RC30),"")</f>
        <v>31.949999999999996</v>
      </c>
      <c r="RF30" s="78" t="str">
        <f>IF(SUM(QS30,QW30)&gt;0,SUM(QS30,QW30),"")</f>
        <v/>
      </c>
      <c r="RG30" s="78" t="str">
        <f>IF(SUM(QR30:QS30,QU30:QW30,QY30)-SUM(QT30,QX30)&gt;0,SUM(QR30:QS30,QU30:QW30,QY30)-SUM(QT30,QX30),"")</f>
        <v/>
      </c>
      <c r="RH30" s="78">
        <f>IF(SUM(RB30,RG30)&gt;0,SUM(RB30,RG30),"")</f>
        <v>21.499999999999996</v>
      </c>
    </row>
    <row r="31" spans="1:476" x14ac:dyDescent="0.2">
      <c r="A31" s="5" t="str">
        <f>IF(AND(F31="P",G31="P"),SUMPRODUCT((F$4:F$32="P")*(G$4:G$32="P")*(E$4:E$32&gt;E31))+1,IF(G31="P",SUMPRODUCT((F$4:F$32="")*(G$4:G$32="P")*(E$4:E$32&gt;E31))+1+SUMPRODUCT((F$4:F$32="P")*(G$4:G$32="P")),""))</f>
        <v/>
      </c>
      <c r="B31" s="77" t="s">
        <v>198</v>
      </c>
      <c r="C31" s="5" t="s">
        <v>5</v>
      </c>
      <c r="D31" s="5">
        <v>2005</v>
      </c>
      <c r="E31" s="15">
        <f>SUM(I31:S31)+SUM(I31:O31)*0.0000001+SUM(I31)*0.0000000000001</f>
        <v>33.800003380002202</v>
      </c>
      <c r="F31" s="3" t="str">
        <f>IF(OR(AND(AQ31&gt;=AX$34,AR31&gt;=AX$38,AQ31&lt;&gt;"",AP31=""),AND(AV31&gt;=AX$34,AW31&gt;=AX$38,AV31&lt;&gt;"",AP31=""),AND(BT31&gt;=CA$34,BU31&gt;=CA$38,BT31&lt;&gt;"",BS31=""),AND(BY31&gt;=CA$34,BZ31&gt;=CA$38,BY31&lt;&gt;"",BS31=""),AND(CW31&gt;=DD$34,CX31&gt;=DD$38,CW31&lt;&gt;"",CV31=""),AND(DB31&gt;=DD$34,DC31&gt;=DD$38,DB31&lt;&gt;""),AND(EB31&gt;=EI$34,EC31&gt;=EI$38,EB31&lt;&gt;""),AND(EG31&gt;=EI$34,EH31&gt;=EI$38,EG31&lt;&gt;""),AND(FD31&gt;=FK$34,FE31&gt;=FK$38,FD31&lt;&gt;""),AND(FI31&gt;=FK$34,FJ31&gt;=FK$38,FI31&lt;&gt;""),AND(GF31&gt;=GM$34,GG31&gt;=GM$38,GF31&lt;&gt;""),AND(GK31&gt;=GM$34,GL31&gt;=GM$38,GK31&lt;&gt;""),AND(HH31&gt;=HO$34,HI31&gt;=HO$38,HH31&lt;&gt;""),AND(HM31&gt;=HO$34,HN31&gt;=HO$38,HM31&lt;&gt;""),AND(IJ31&gt;=IQ$34,IK31&gt;=IQ$38,IJ31&lt;&gt;""),AND(IO31&gt;=IQ$34,IP31&gt;=IQ$38,IO31&lt;&gt;""),AND(JL31&gt;=JS$34,JM31&gt;=JS$38,JL31&lt;&gt;""),AND(JQ31&gt;=JS$34,JR31&gt;=JS$38,JQ31&lt;&gt;""),AND(KN31&gt;=KU$34,KO31&gt;=KU$38,KN31&lt;&gt;""),AND(KS31&gt;=KU$34,KT31&gt;=KU$38,KS31&lt;&gt;""),AND(LP31&gt;=LW$34,LQ31&gt;=LW$38,LP31&lt;&gt;""),AND(LU31&gt;=LW$34,LV31&gt;=LW$38,LU31&lt;&gt;""),AND(MR31&gt;=MY$34,MS31&gt;=MY$38,MR31&lt;&gt;""),AND(MW31&gt;=MY$34,MX31&gt;=MY$38,MW31&lt;&gt;""),AND(NT31&gt;=OA$34,NU31&gt;=OA$38,NT31&lt;&gt;""),AND(NY31&gt;=OA$34,NZ31&gt;=OA$38,NY31&lt;&gt;""),AND(OV31&gt;=PC$34,OW31&gt;=PC$38,OV31&lt;&gt;""),AND(PA31&gt;=PC$34,PB31&gt;=PC$38,PA31&lt;&gt;""),AND(PX31&gt;=QE$34,PY31&gt;=QE$38,PX31&lt;&gt;""),AND(QC31&gt;=QE$34,QD31&gt;=QE$38,QC31&lt;&gt;"")),"P","")</f>
        <v/>
      </c>
      <c r="G31" s="3" t="str">
        <f>IF(OR(AND(AR31&gt;=AX$38,AR31&lt;&gt;"",AP31=""),AND(AW31&gt;=AX$38,AW31&lt;&gt;"",AP31=""),AND(BU31&gt;=CA$38,BU31&lt;&gt;"",BS31=""),AND(BZ31&gt;=CA$38,BZ31&lt;&gt;"",BS31=""),AND(CX31&gt;=DD$38,CX31&lt;&gt;"",CV31=""),AND(DC31&gt;=DD$38,DC31&lt;&gt;"",CV31=""),AND(EC31&gt;=EI$38,EC31&lt;&gt;""),AND(EH31&gt;=EI$38,EH31&lt;&gt;""),AND(FE31&gt;=FK$38,FE31&lt;&gt;""),AND(FJ31&gt;=FK$38,FJ31&lt;&gt;""),AND(GG31&gt;=GM$38,GG31&lt;&gt;""),AND(GL31&gt;=GM$38,GL31&lt;&gt;""),AND(HI31&gt;=HO$38,HI31&lt;&gt;""),AND(HN31&gt;=HO$38,HN31&lt;&gt;""),AND(IK31&gt;=IQ$38,IK31&lt;&gt;""),AND(IP31&gt;=IQ$38,IP31&lt;&gt;""),AND(JM31&gt;=JS$38,JM31&lt;&gt;""),AND(JR31&gt;=JS$38,JR31&lt;&gt;""),AND(KO31&gt;=KU$38,KO31&lt;&gt;""),AND(KT31&gt;=KU$38,KT31&lt;&gt;""),AND(LQ31&gt;=LW$38,LQ31&lt;&gt;""),AND(LV31&gt;=LW$38,LV31&lt;&gt;""),AND(MS31&gt;=MY$38,MS31&lt;&gt;""),AND(MX31&gt;=MY$38,MX31&lt;&gt;""),AND(NU31&gt;=OA$38,NU31&lt;&gt;""),AND(NZ31&gt;=OA$38,NZ31&lt;&gt;""),AND(OW31&gt;=PC$38,OW31&lt;&gt;""),AND(PB31&gt;=PC$38,PB31&lt;&gt;""),AND(PY31&gt;=QE$38,PY31&lt;&gt;""),AND(QD31&gt;=QE$38,QD31&lt;&gt;"")),"P","")</f>
        <v/>
      </c>
      <c r="H31" s="66" t="str">
        <f>IF(AND(G31="P",F31=""),"No DD",IF(OR(AND(AT31&gt;=AX$37,AU31&gt;=AX$41,AT31&lt;&gt;"",AP31=""),AND(BW31&gt;=CA$37,BX31&gt;=CA$41,BW31&lt;&gt;"",BS31=""),AND(CZ31&gt;=DD$37,DA31&gt;=DD$41,CZ31&lt;&gt;"",CV31=""),AND(EE31&gt;=EI$37,EF31&gt;=EI$41,EE31&lt;&gt;""),AND(FG31&gt;=FK$37,FH31&gt;=FK$41,FG31&lt;&gt;""),AND(GI31&gt;=GM$37,GJ31&gt;=GM$41,GI31&lt;&gt;""),AND(HK31&gt;=HO$37,HL31&gt;=HO$41,HK31&lt;&gt;""),AND(IM31&gt;=IQ$37,IN31&gt;=IQ$41,IM31&lt;&gt;""),AND(JO31&gt;=JS$37,JP31&gt;=JS$41,JO31&lt;&gt;""),AND(KQ31&gt;=KU$37,KR31&gt;=KU$41,KQ31&lt;&gt;""),AND(LS31&gt;=LW$37,LT31&gt;=LW$41,LS31&lt;&gt;""),AND(MU31&gt;=MY$37,MV31&gt;=MY$41,MU31&lt;&gt;""),AND(NW31&gt;=OA$37,NX31&gt;=OA$41,NW31&lt;&gt;""),AND(OY31&gt;=PC$37,OZ31&gt;=PC$41,OY31&lt;&gt;""),AND(QA31&gt;=QE$37,QB31&gt;=QE$41,QA31&lt;&gt;"")),"Merit",IF(OR(AND(AT31&gt;=AX$36,AU31&gt;=AX$40,AT31&lt;&gt;"",AP31=""),AND(BW31&gt;=CA$36,BX31&gt;=CA$40,BW31&lt;&gt;"",BS31=""),AND(CZ31&gt;=DD$36,DA31&gt;=DD$40,CZ31&lt;&gt;"",CV31=""),AND(EE31&gt;=EI$36,EF31&gt;=EI$40,EE31&lt;&gt;""),AND(FG31&gt;=FK$36,FH31&gt;=FK$40,FG31&lt;&gt;""),AND(GI31&gt;=GM$36,GJ31&gt;=GM$40,GI31&lt;&gt;""),AND(HK31&gt;=HO$36,HL31&gt;=HO$40,HK31&lt;&gt;""),AND(IM31&gt;=IQ$36,IN31&gt;=IQ$40,IM31&lt;&gt;""),AND(JO31&gt;=JS$36,JP31&gt;=JS$40,JO31&lt;&gt;""),AND(KQ31&gt;=KU$36,KR31&gt;=KU$40,KQ31&lt;&gt;""),AND(LS31&gt;=LW$36,LT31&gt;=LW$40,LS31&lt;&gt;""),AND(MU31&gt;=MY$36,MV31&gt;=MY$40,MU31&lt;&gt;""),AND(NW31&gt;=OA$36,NX31&gt;=OA$40,NW31&lt;&gt;""),AND(OY31&gt;=PC$36,OZ31&gt;=PC$40,OY31&lt;&gt;""),AND(QA31&gt;=QE$36,QB31&gt;=QE$40,QA31&lt;&gt;"")),"Excellence",IF(F31="P","National Team",""))))</f>
        <v/>
      </c>
      <c r="I31" s="14">
        <f>IF(COUNT(AR31,BU31,CX31)&gt;0,LARGE((AR31,BU31,CX31),1),0)</f>
        <v>22</v>
      </c>
      <c r="J31" s="14" t="str">
        <f>IF(I31=0,"",IF(I31=CX31,$CB$1,IF(I31=BU31,$AY$1,IF(I31=AR31,$V$1,""))))</f>
        <v>2022 Nationals</v>
      </c>
      <c r="K31" s="14">
        <f>IF(COUNT(AR31,BU31,CX31)&gt;1,LARGE((AR31,BU31,CX31),2),0)</f>
        <v>0</v>
      </c>
      <c r="L31" s="14" t="str">
        <f>IF(K31=0,"",IF(K31=CX31,$CB$1,IF(K31=BU31,$AY$1,IF(K31=AR31,$V$1,""))))</f>
        <v/>
      </c>
      <c r="M31" s="14">
        <f>IF(COUNT(AS31,BV31,CY31)&gt;0,LARGE((AS31,BV31,CY31),1),0)</f>
        <v>11.8</v>
      </c>
      <c r="N31" s="14" t="str">
        <f>IF(M31=0,"",IF(M31=CY31,$CB$1,IF(M31=BV31,$AY$1,IF(M31=AS31,$V$1,""))))</f>
        <v>2022 Nationals</v>
      </c>
      <c r="O31" s="14">
        <f>IF(COUNT(AS31,BV31,CY31)&gt;1,LARGE((AS31,BV31,CY31),2),0)</f>
        <v>0</v>
      </c>
      <c r="P31" s="14" t="str">
        <f>IF(O31=0,"",IF(O31=CY31,$CB$1,IF(O31=BV31,$AY$1,IF(O31=AS31,$V$1,""))))</f>
        <v/>
      </c>
      <c r="Q31" s="14">
        <f>IF(MAX(AW31,BZ31,DC31)&gt;0,MAX(AW31,BZ31,DC31),0)</f>
        <v>0</v>
      </c>
      <c r="R31" s="14" t="str">
        <f>IF(Q31=0,"",IF(Q31=DC31,$CB$1,IF(Q31=BZ31,$AY$1,IF(Q31=AW31,$V$1,""))))</f>
        <v/>
      </c>
      <c r="S31" s="14" t="str">
        <f>IF(MAX(DE31:DG31)&gt;0,MAX(DE31:DG31),"")</f>
        <v/>
      </c>
      <c r="T31" s="19" t="str">
        <f>IF(S31="","",IF(S31=DE31,"("&amp;DE$2&amp;")",IF(S31=DG31,"("&amp;DG$2&amp;")")))</f>
        <v/>
      </c>
      <c r="U31" s="14" t="str">
        <f>IF(S31="","",IF(S31=DE31,IF(S31+IF(K31="",0,K31)=PY31,$PD$1,IF(S31+IF(K31="",0,K31)=OW31,$OB$1,IF(S31+IF(K31="",0,K31)=NU31,$MZ$1,IF(S31+IF(K31="",0,K31)=MS31,$LX$1,IF(S31+IF(K31="",0,K31)=LQ31,$KV$1,IF(S31+IF(K31="",0,K31)=KO31,$JT$1,IF(S31+IF(K31="",0,K31)=JM31,$IR$1,IF(S31+IF(K31="",0,K31)=IK31,$HP$1,IF(S31+IF(K31="",0,K31)=HI31,$GN$1,IF(S31+IF(K31="",0,K31)=GG31,$FL$1,IF(S31+IF(K31="",0,K31)=FE31,$EJ$1,IF(S31+IF(K31="",0,K31)=EC31,$DH$1)))))))))))),IF(S31=DG31,IF(S31+IF(Q31="",0,Q31)=QD31,$PD$1,IF(S31+IF(Q31="",0,Q31)=PB31,$OB$1,IF(S31+IF(Q31="",0,Q31)=NZ31,$MZ$1,IF(S31+IF(Q31="",0,Q31)=MX31,$LX$1,IF(S31+IF(Q31="",0,Q31)=LV31,$KV$1,IF(S31+IF(Q31="",0,Q31)=KT31,$JT$1,IF(S31+IF(Q31="",0,Q31)=JR31,$IR$1,IF(S31+IF(Q31="",0,Q31)=IP31,$HP$1,IF(S31+IF(Q31="",0,Q31)=HN31,$GN$1,IF(S31+IF(Q31="",0,Q31)=GL31,$FL$1,IF(S31+IF(Q31="",0,Q31)=FJ31,$EJ$1,IF(S31+IF(Q31="",0,Q31)=EH31,$DH$1)))))))))))))))</f>
        <v/>
      </c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4"/>
      <c r="AQ31" s="78" t="str">
        <f>IF(SUM(W31,AA31)&gt;0,SUM(W31,AA31),"")</f>
        <v/>
      </c>
      <c r="AR31" s="78" t="str">
        <f>IF(SUM(V31:W31,Y31:AA31,AC31)-X31-AB31&gt;0,SUM(V31:W31,Y31:AA31,AC31)-X31-AB31,"")</f>
        <v/>
      </c>
      <c r="AS31" s="78" t="str">
        <f>IF(SUM(AD31:AE31,AG31)-AF31&gt;0,SUM(AD31:AE31,AG31)-AF31,"")</f>
        <v/>
      </c>
      <c r="AT31" s="78" t="str">
        <f>IF(SUM(W31,AA31,AE31)&gt;0,SUM(W31,AA31,AE31),"")</f>
        <v/>
      </c>
      <c r="AU31" s="78" t="str">
        <f>IF(SUM(AR31,AS31)&gt;0,SUM(AR31,AS31),"")</f>
        <v/>
      </c>
      <c r="AV31" s="78" t="str">
        <f>IF(SUM(AI31,AM31)&gt;0,SUM(AI31,AM31),"")</f>
        <v/>
      </c>
      <c r="AW31" s="78" t="str">
        <f>IF(SUM(AH31:AI31,AK31:AM31,AO31)-SUM(AJ31,AN31)&gt;0,SUM(AH31:AI31,AK31:AM31,AO31)-SUM(AJ31,AN31),"")</f>
        <v/>
      </c>
      <c r="AX31" s="78" t="str">
        <f>IF(SUM(AR31,AW31)&gt;0,SUM(AR31,AW31),"")</f>
        <v/>
      </c>
      <c r="AY31" s="25">
        <v>0</v>
      </c>
      <c r="AZ31" s="25">
        <v>0</v>
      </c>
      <c r="BA31" s="25">
        <v>0</v>
      </c>
      <c r="BB31" s="25">
        <v>0</v>
      </c>
      <c r="BC31" s="25">
        <v>18.2</v>
      </c>
      <c r="BD31" s="25">
        <v>4.4000000000000004</v>
      </c>
      <c r="BE31" s="25">
        <v>0.6</v>
      </c>
      <c r="BF31" s="25">
        <v>0</v>
      </c>
      <c r="BG31" s="25">
        <v>16.100000000000001</v>
      </c>
      <c r="BH31" s="25">
        <v>0</v>
      </c>
      <c r="BI31" s="25">
        <v>4.3</v>
      </c>
      <c r="BJ31" s="25">
        <v>0</v>
      </c>
      <c r="BK31" s="25"/>
      <c r="BL31" s="25"/>
      <c r="BM31" s="25"/>
      <c r="BN31" s="25"/>
      <c r="BO31" s="25"/>
      <c r="BP31" s="25"/>
      <c r="BQ31" s="25"/>
      <c r="BR31" s="25"/>
      <c r="BS31" s="45"/>
      <c r="BT31" s="19">
        <f>IF(SUM(AZ31,BD31)&gt;0,SUM(AZ31,BD31),"")</f>
        <v>4.4000000000000004</v>
      </c>
      <c r="BU31" s="19">
        <f>IF(SUM(AY31:AZ31,BB31:BD31,BF31)-BA31-BE31&gt;0,SUM(AY31:AZ31,BB31:BD31,BF31)-BA31-BE31,"")</f>
        <v>22</v>
      </c>
      <c r="BV31" s="19">
        <f>IF(SUM(BG31:BH31,BJ31)-BI31&gt;0,SUM(BG31:BH31,BJ31)-BI31,"")</f>
        <v>11.8</v>
      </c>
      <c r="BW31" s="19">
        <f>IF(SUM(AZ31,BD31,BH31)&gt;0,SUM(AZ31,BD31,BH31),"")</f>
        <v>4.4000000000000004</v>
      </c>
      <c r="BX31" s="19">
        <f>IF(SUM(BU31,BV31)&gt;0,SUM(BU31,BV31),"")</f>
        <v>33.799999999999997</v>
      </c>
      <c r="BY31" s="19" t="str">
        <f>IF(SUM(BL31,BP31)&gt;0,SUM(BL31,BP31),"")</f>
        <v/>
      </c>
      <c r="BZ31" s="19" t="str">
        <f>IF(SUM(BK31:BL31,BN31:BP31,BR31)-SUM(BM31,BQ31)&gt;0,SUM(BK31:BL31,BN31:BP31,BR31)-SUM(BM31,BQ31),"")</f>
        <v/>
      </c>
      <c r="CA31" s="19">
        <f>IF(SUM(BU31,BZ31)&gt;0,SUM(BU31,BZ31),"")</f>
        <v>22</v>
      </c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44"/>
      <c r="CW31" s="78" t="str">
        <f>IF(SUM(CC31,CG31)&gt;0,SUM(CC31,CG31),"")</f>
        <v/>
      </c>
      <c r="CX31" s="78" t="str">
        <f>IF(SUM(CB31:CC31,CE31:CG31,CI31)-CD31-CH31&gt;0,SUM(CB31:CC31,CE31:CG31,CI31)-CD31-CH31,"")</f>
        <v/>
      </c>
      <c r="CY31" s="78" t="str">
        <f>IF(SUM(CJ31:CK31,CM31)-CL31&gt;0,SUM(CJ31:CK31,CM31)-CL31,"")</f>
        <v/>
      </c>
      <c r="CZ31" s="78" t="str">
        <f>IF(SUM(CC31,CG31,CK31)&gt;0,SUM(CC31,CG31,CK31),"")</f>
        <v/>
      </c>
      <c r="DA31" s="78" t="str">
        <f>IF(SUM(CX31,CY31)&gt;0,SUM(CX31,CY31),"")</f>
        <v/>
      </c>
      <c r="DB31" s="78" t="str">
        <f>IF(SUM(CO31,CS31)&gt;0,SUM(CO31,CS31),"")</f>
        <v/>
      </c>
      <c r="DC31" s="78" t="str">
        <f>IF(SUM(CN31:CO31,CQ31:CS31,CU31)-SUM(CP31,CT31)&gt;0,SUM(CN31:CO31,CQ31:CS31,CU31)-SUM(CP31,CT31),"")</f>
        <v/>
      </c>
      <c r="DD31" s="78" t="str">
        <f>IF(SUM(CX31,DC31)&gt;0,SUM(CX31,DC31),"")</f>
        <v/>
      </c>
      <c r="DE31" s="79" t="str">
        <f>IF(K31&gt;=0.001,IF(MAX(EC31,FE31,GG31,HI31,IK31,JM31,KO31,LQ31,MS31,NU31,OW31,PY31)-IF(K31="",0,K31)&gt;0.001,MAX(EC31,FE31,GG31,HI31,IK31,JM31,KO31,LQ31,MS31,NU31,OW31,PY31)-IF(K31="",0,K31),""),"")</f>
        <v/>
      </c>
      <c r="DF31" s="79" t="str">
        <f>IF(O31&gt;=0.001,IF(MAX(ED31,FF31,GH31,HJ31,IL31,JN31,KP31,LR31,MT31,NV31,OX31,PZ31)-IF(O31="",0,O31)&gt;0.001,MAX(ED31,FF31,GH31,HJ31,IL31,JN31,KP31,LR31,MT31,NV31,OX31,PZ31)-IF(O31="",0,O31),""),"")</f>
        <v/>
      </c>
      <c r="DG31" s="79" t="str">
        <f>IF(Q31&gt;=0.001,IF(MAX(EH31,FJ31,GL31,HN31,IP31,JR31,KT31,LV31,MX31,NZ31,PB31,QD31)-IF(Q31="",0,Q31)&gt;0.001,MAX(EH31,FJ31,GL31,HN31,IP31,JR31,KT31,LV31,MX31,NZ31,PB31,QD31)-IF(Q31="",0,Q31),""),"")</f>
        <v/>
      </c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78" t="str">
        <f>IF(SUM(DI31,DM31)&gt;0,SUM(DI31,DM31),"")</f>
        <v/>
      </c>
      <c r="EC31" s="78" t="str">
        <f>IF(SUM(DH31:DI31,DK31:DM31,DO31)-DJ31-DN31&gt;0,SUM(DH31:DI31,DK31:DM31,DO31)-DJ31-DN31,"")</f>
        <v/>
      </c>
      <c r="ED31" s="78" t="str">
        <f>IF(SUM(DP31:DQ31,DS31)-DR31&gt;0,SUM(DP31:DQ31,DS31)-DR31,"")</f>
        <v/>
      </c>
      <c r="EE31" s="78" t="str">
        <f>IF(SUM(DI31,DM31,DQ31)&gt;0,SUM(DI31,DM31,DQ31),"")</f>
        <v/>
      </c>
      <c r="EF31" s="78" t="str">
        <f>IF(SUM(EC31,ED31)&gt;0,SUM(EC31,ED31),"")</f>
        <v/>
      </c>
      <c r="EG31" s="78" t="str">
        <f>IF(SUM(DU31,DY31)&gt;0,SUM(DU31,DY31),"")</f>
        <v/>
      </c>
      <c r="EH31" s="78" t="str">
        <f>IF(SUM(DT31:DU31,DW31:DY31,EA31)-SUM(DV31,DZ31)&gt;0,SUM(DT31:DU31,DW31:DY31,EA31)-SUM(DV31,DZ31),"")</f>
        <v/>
      </c>
      <c r="EI31" s="78" t="str">
        <f>IF(SUM(EC31,EH31)&gt;0,SUM(EC31,EH31),"")</f>
        <v/>
      </c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19" t="str">
        <f>IF(SUM(EK31,EO31)&gt;0,SUM(EK31,EO31),"")</f>
        <v/>
      </c>
      <c r="FE31" s="19" t="str">
        <f>IF(SUM(EJ31:EK31,EM31:EO31,EQ31)-EL31-EP31&gt;0,SUM(EJ31:EK31,EM31:EO31,EQ31)-EL31-EP31,"")</f>
        <v/>
      </c>
      <c r="FF31" s="19" t="str">
        <f>IF(SUM(ER31:ES31,EU31)-ET31&gt;0,SUM(ER31:ES31,EU31)-ET31,"")</f>
        <v/>
      </c>
      <c r="FG31" s="19" t="str">
        <f>IF(SUM(EK31,EO31,ES31)&gt;0,SUM(EK31,EO31,ES31),"")</f>
        <v/>
      </c>
      <c r="FH31" s="19" t="str">
        <f>IF(SUM(FE31,FF31)&gt;0,SUM(FE31,FF31),"")</f>
        <v/>
      </c>
      <c r="FI31" s="19" t="str">
        <f>IF(SUM(EW31,FA31)&gt;0,SUM(EW31,FA31),"")</f>
        <v/>
      </c>
      <c r="FJ31" s="19" t="str">
        <f>IF(SUM(EV31:EW31,EY31:FA31,FC31)-SUM(EX31,FB31)&gt;0,SUM(EV31:EW31,EY31:FA31,FC31)-SUM(EX31,FB31),"")</f>
        <v/>
      </c>
      <c r="FK31" s="19" t="str">
        <f>IF(SUM(FE31,FJ31)&gt;0,SUM(FE31,FJ31),"")</f>
        <v/>
      </c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78" t="str">
        <f>IF(SUM(FM31,FQ31)&gt;0,SUM(FM31,FQ31),"")</f>
        <v/>
      </c>
      <c r="GG31" s="78" t="str">
        <f>IF(SUM(FL31:FM31,FO31:FQ31,FS31)-FN31-FR31&gt;0,SUM(FL31:FM31,FO31:FQ31,FS31)-FN31-FR31,"")</f>
        <v/>
      </c>
      <c r="GH31" s="78" t="str">
        <f>IF(SUM(FT31:FU31,FW31)-FV31&gt;0,SUM(FT31:FU31,FW31)-FV31,"")</f>
        <v/>
      </c>
      <c r="GI31" s="78" t="str">
        <f>IF(SUM(FM31,FQ31,FU31)&gt;0,SUM(FM31,FQ31,FU31),"")</f>
        <v/>
      </c>
      <c r="GJ31" s="78" t="str">
        <f>IF(SUM(GG31,GH31)&gt;0,SUM(GG31,GH31),"")</f>
        <v/>
      </c>
      <c r="GK31" s="78" t="str">
        <f>IF(SUM(FY31,GC31)&gt;0,SUM(FY31,GC31),"")</f>
        <v/>
      </c>
      <c r="GL31" s="78" t="str">
        <f>IF(SUM(FX31:FY31,GA31:GC31,GE31)-SUM(FZ31,GD31)&gt;0,SUM(FX31:FY31,GA31:GC31,GE31)-SUM(FZ31,GD31),"")</f>
        <v/>
      </c>
      <c r="GM31" s="78" t="str">
        <f>IF(SUM(GG31,GL31)&gt;0,SUM(GG31,GL31),"")</f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19" t="str">
        <f>IF(SUM(GO31,GS31)&gt;0,SUM(GO31,GS31),"")</f>
        <v/>
      </c>
      <c r="HI31" s="19" t="str">
        <f>IF(SUM(GN31:GO31,GQ31:GS31,GU31)-GP31-GT31&gt;0,SUM(GN31:GO31,GQ31:GS31,GU31)-GP31-GT31,"")</f>
        <v/>
      </c>
      <c r="HJ31" s="19" t="str">
        <f>IF(SUM(GV31:GW31,GY31)-GX31&gt;0,SUM(GV31:GW31,GY31)-GX31,"")</f>
        <v/>
      </c>
      <c r="HK31" s="19" t="str">
        <f>IF(SUM(GO31,GS31,GW31)&gt;0,SUM(GO31,GS31,GW31),"")</f>
        <v/>
      </c>
      <c r="HL31" s="19" t="str">
        <f>IF(SUM(HI31,HJ31)&gt;0,SUM(HI31,HJ31),"")</f>
        <v/>
      </c>
      <c r="HM31" s="19" t="str">
        <f>IF(SUM(HA31,HE31)&gt;0,SUM(HA31,HE31),"")</f>
        <v/>
      </c>
      <c r="HN31" s="19" t="str">
        <f>IF(SUM(GZ31:HA31,HC31:HE31,HG31)-SUM(HB31,HF31)&gt;0,SUM(GZ31:HA31,HC31:HE31,HG31)-SUM(HB31,HF31),"")</f>
        <v/>
      </c>
      <c r="HO31" s="19" t="str">
        <f>IF(SUM(HI31,HN31)&gt;0,SUM(HI31,HN31),"")</f>
        <v/>
      </c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78" t="str">
        <f>IF(SUM(HQ31,HU31)&gt;0,SUM(HQ31,HU31),"")</f>
        <v/>
      </c>
      <c r="IK31" s="78" t="str">
        <f>IF(SUM(HP31:HQ31,HS31:HU31,HW31)-HR31-HV31&gt;0,SUM(HP31:HQ31,HS31:HU31,HW31)-HR31-HV31,"")</f>
        <v/>
      </c>
      <c r="IL31" s="78" t="str">
        <f>IF(SUM(HX31:HY31,IA31)-HZ31&gt;0,SUM(HX31:HY31,IA31)-HZ31,"")</f>
        <v/>
      </c>
      <c r="IM31" s="78" t="str">
        <f>IF(SUM(HQ31,HU31,HY31)&gt;0,SUM(HQ31,HU31,HY31),"")</f>
        <v/>
      </c>
      <c r="IN31" s="78" t="str">
        <f>IF(SUM(IK31,IL31)&gt;0,SUM(IK31,IL31),"")</f>
        <v/>
      </c>
      <c r="IO31" s="78" t="str">
        <f>IF(SUM(IC31,IG31)&gt;0,SUM(IC31,IG31),"")</f>
        <v/>
      </c>
      <c r="IP31" s="78" t="str">
        <f>IF(SUM(IB31:IC31,IE31:IG31,II31)-SUM(ID31,IH31)&gt;0,SUM(IB31:IC31,IE31:IG31,II31)-SUM(ID31,IH31),"")</f>
        <v/>
      </c>
      <c r="IQ31" s="78" t="str">
        <f>IF(SUM(IK31,IP31)&gt;0,SUM(IK31,IP31),"")</f>
        <v/>
      </c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19" t="str">
        <f>IF(SUM(IS31,IW31)&gt;0,SUM(IS31,IW31),"")</f>
        <v/>
      </c>
      <c r="JM31" s="19" t="str">
        <f>IF(SUM(IR31:IS31,IU31:IW31,IY31)-IT31-IX31&gt;0,SUM(IR31:IS31,IU31:IW31,IY31)-IT31-IX31,"")</f>
        <v/>
      </c>
      <c r="JN31" s="19" t="str">
        <f>IF(SUM(IZ31:JA31,JC31)-JB31&gt;0,SUM(IZ31:JA31,JC31)-JB31,"")</f>
        <v/>
      </c>
      <c r="JO31" s="19" t="str">
        <f>IF(SUM(IS31,IW31,JA31)&gt;0,SUM(IS31,IW31,JA31),"")</f>
        <v/>
      </c>
      <c r="JP31" s="19" t="str">
        <f>IF(SUM(JM31,JN31)&gt;0,SUM(JM31,JN31),"")</f>
        <v/>
      </c>
      <c r="JQ31" s="19" t="str">
        <f>IF(SUM(JE31,JI31)&gt;0,SUM(JE31,JI31),"")</f>
        <v/>
      </c>
      <c r="JR31" s="19" t="str">
        <f>IF(SUM(JD31:JE31,JG31:JI31,JK31)-SUM(JF31,JJ31)&gt;0,SUM(JD31:JE31,JG31:JI31,JK31)-SUM(JF31,JJ31),"")</f>
        <v/>
      </c>
      <c r="JS31" s="19" t="str">
        <f>IF(SUM(JM31,JR31)&gt;0,SUM(JM31,JR31),"")</f>
        <v/>
      </c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78" t="str">
        <f>IF(SUM(JU31,JY31)&gt;0,SUM(JU31,JY31),"")</f>
        <v/>
      </c>
      <c r="KO31" s="78" t="str">
        <f>IF(SUM(JT31:JU31,JW31:JY31,KA31)-JV31-JZ31&gt;0,SUM(JT31:JU31,JW31:JY31,KA31)-JV31-JZ31,"")</f>
        <v/>
      </c>
      <c r="KP31" s="78" t="str">
        <f>IF(SUM(KB31:KC31,KE31)-KD31&gt;0,SUM(KB31:KC31,KE31)-KD31,"")</f>
        <v/>
      </c>
      <c r="KQ31" s="78" t="str">
        <f>IF(SUM(JU31,JY31,KC31)&gt;0,SUM(JU31,JY31,KC31),"")</f>
        <v/>
      </c>
      <c r="KR31" s="78" t="str">
        <f>IF(SUM(KO31,KP31)&gt;0,SUM(KO31,KP31),"")</f>
        <v/>
      </c>
      <c r="KS31" s="78" t="str">
        <f>IF(SUM(KG31,KK31)&gt;0,SUM(KG31,KK31),"")</f>
        <v/>
      </c>
      <c r="KT31" s="78" t="str">
        <f>IF(SUM(KF31:KG31,KI31:KK31,KM31)-SUM(KH31,KL31)&gt;0,SUM(KF31:KG31,KI31:KK31,KM31)-SUM(KH31,KL31),"")</f>
        <v/>
      </c>
      <c r="KU31" s="78" t="str">
        <f>IF(SUM(KO31,KT31)&gt;0,SUM(KO31,KT31),"")</f>
        <v/>
      </c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19" t="str">
        <f>IF(SUM(KW31,LA31)&gt;0,SUM(KW31,LA31),"")</f>
        <v/>
      </c>
      <c r="LQ31" s="19" t="str">
        <f>IF(SUM(KV31:KW31,KY31:LA31,LC31)-KX31-LB31&gt;0,SUM(KV31:KW31,KY31:LA31,LC31)-KX31-LB31,"")</f>
        <v/>
      </c>
      <c r="LR31" s="19" t="str">
        <f>IF(SUM(LD31:LE31,LG31)-LF31&gt;0,SUM(LD31:LE31,LG31)-LF31,"")</f>
        <v/>
      </c>
      <c r="LS31" s="19" t="str">
        <f>IF(SUM(KW31,LA31,LE31)&gt;0,SUM(KW31,LA31,LE31),"")</f>
        <v/>
      </c>
      <c r="LT31" s="19" t="str">
        <f>IF(SUM(LQ31,LR31)&gt;0,SUM(LQ31,LR31),"")</f>
        <v/>
      </c>
      <c r="LU31" s="19" t="str">
        <f>IF(SUM(LI31,LM31)&gt;0,SUM(LI31,LM31),"")</f>
        <v/>
      </c>
      <c r="LV31" s="19" t="str">
        <f>IF(SUM(LH31:LI31,LK31:LM31,LO31)-SUM(LJ31,LN31)&gt;0,SUM(LH31:LI31,LK31:LM31,LO31)-SUM(LJ31,LN31),"")</f>
        <v/>
      </c>
      <c r="LW31" s="19" t="str">
        <f>IF(SUM(LQ31,LV31)&gt;0,SUM(LQ31,LV31),"")</f>
        <v/>
      </c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78" t="str">
        <f>IF(SUM(LY31,MC31)&gt;0,SUM(LY31,MC31),"")</f>
        <v/>
      </c>
      <c r="MS31" s="78" t="str">
        <f>IF(SUM(LX31:LY31,MA31:MC31,ME31)-LZ31-MD31&gt;0,SUM(LX31:LY31,MA31:MC31,ME31)-LZ31-MD31,"")</f>
        <v/>
      </c>
      <c r="MT31" s="78" t="str">
        <f>IF(SUM(MF31:MG31,MI31)-MH31&gt;0,SUM(MF31:MG31,MI31)-MH31,"")</f>
        <v/>
      </c>
      <c r="MU31" s="78" t="str">
        <f>IF(SUM(LY31,MC31,MG31)&gt;0,SUM(LY31,MC31,MG31),"")</f>
        <v/>
      </c>
      <c r="MV31" s="78" t="str">
        <f>IF(SUM(MS31,MT31)&gt;0,SUM(MS31,MT31),"")</f>
        <v/>
      </c>
      <c r="MW31" s="78" t="str">
        <f>IF(SUM(MK31,MO31)&gt;0,SUM(MK31,MO31),"")</f>
        <v/>
      </c>
      <c r="MX31" s="78" t="str">
        <f>IF(SUM(MJ31:MK31,MM31:MO31,MQ31)-SUM(ML31,MP31)&gt;0,SUM(MJ31:MK31,MM31:MO31,MQ31)-SUM(ML31,MP31),"")</f>
        <v/>
      </c>
      <c r="MY31" s="78" t="str">
        <f>IF(SUM(MS31,MX31)&gt;0,SUM(MS31,MX31),"")</f>
        <v/>
      </c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19" t="str">
        <f>IF(SUM(NA31,NE31)&gt;0,SUM(NA31,NE31),"")</f>
        <v/>
      </c>
      <c r="NU31" s="19" t="str">
        <f>IF(SUM(MZ31:NA31,NC31:NE31,NG31)-NB31-NF31&gt;0,SUM(MZ31:NA31,NC31:NE31,NG31)-NB31-NF31,"")</f>
        <v/>
      </c>
      <c r="NV31" s="19" t="str">
        <f>IF(SUM(NH31:NI31,NK31)-NJ31&gt;0,SUM(NH31:NI31,NK31)-NJ31,"")</f>
        <v/>
      </c>
      <c r="NW31" s="19" t="str">
        <f>IF(SUM(NA31,NE31,NI31)&gt;0,SUM(NA31,NE31,NI31),"")</f>
        <v/>
      </c>
      <c r="NX31" s="19" t="str">
        <f>IF(SUM(NU31,NV31)&gt;0,SUM(NU31,NV31),"")</f>
        <v/>
      </c>
      <c r="NY31" s="19" t="str">
        <f>IF(SUM(NM31,NQ31)&gt;0,SUM(NM31,NQ31),"")</f>
        <v/>
      </c>
      <c r="NZ31" s="19" t="str">
        <f>IF(SUM(NL31:NM31,NO31:NQ31,NS31)-SUM(NN31,NR31)&gt;0,SUM(NL31:NM31,NO31:NQ31,NS31)-SUM(NN31,NR31),"")</f>
        <v/>
      </c>
      <c r="OA31" s="19" t="str">
        <f>IF(SUM(NU31,NZ31)&gt;0,SUM(NU31,NZ31),"")</f>
        <v/>
      </c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78" t="str">
        <f>IF(SUM(OC31,OG31)&gt;0,SUM(OC31,OG31),"")</f>
        <v/>
      </c>
      <c r="OW31" s="78" t="str">
        <f>IF(SUM(OB31:OC31,OE31:OG31,OI31)-OD31-OH31&gt;0,SUM(OB31:OC31,OE31:OG31,OI31)-OD31-OH31,"")</f>
        <v/>
      </c>
      <c r="OX31" s="78" t="str">
        <f>IF(SUM(OJ31:OK31,OM31)-OL31&gt;0,SUM(OJ31:OK31,OM31)-OL31,"")</f>
        <v/>
      </c>
      <c r="OY31" s="78" t="str">
        <f>IF(SUM(OC31,OG31,OK31)&gt;0,SUM(OC31,OG31,OK31),"")</f>
        <v/>
      </c>
      <c r="OZ31" s="78" t="str">
        <f>IF(SUM(OW31,OX31)&gt;0,SUM(OW31,OX31),"")</f>
        <v/>
      </c>
      <c r="PA31" s="78" t="str">
        <f>IF(SUM(OO31,OS31)&gt;0,SUM(OO31,OS31),"")</f>
        <v/>
      </c>
      <c r="PB31" s="78" t="str">
        <f>IF(SUM(ON31:OO31,OQ31:OS31,OU31)-SUM(OP31,OT31)&gt;0,SUM(ON31:OO31,OQ31:OS31,OU31)-SUM(OP31,OT31),"")</f>
        <v/>
      </c>
      <c r="PC31" s="78" t="str">
        <f>IF(SUM(OW31,PB31)&gt;0,SUM(OW31,PB31),"")</f>
        <v/>
      </c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19" t="str">
        <f>IF(SUM(PE31,PI31)&gt;0,SUM(PE31,PI31),"")</f>
        <v/>
      </c>
      <c r="PY31" s="19" t="str">
        <f>IF(SUM(PD31:PE31,PG31:PI31,PK31)-PF31-PJ31&gt;0,SUM(PD31:PE31,PG31:PI31,PK31)-PF31-PJ31,"")</f>
        <v/>
      </c>
      <c r="PZ31" s="19" t="str">
        <f>IF(SUM(PL31:PM31,PO31)-PN31&gt;0,SUM(PL31:PM31,PO31)-PN31,"")</f>
        <v/>
      </c>
      <c r="QA31" s="19" t="str">
        <f>IF(SUM(PE31,PI31,PM31)&gt;0,SUM(PE31,PI31,PM31),"")</f>
        <v/>
      </c>
      <c r="QB31" s="19" t="str">
        <f>IF(SUM(PY31,PZ31)&gt;0,SUM(PY31,PZ31),"")</f>
        <v/>
      </c>
      <c r="QC31" s="19" t="str">
        <f>IF(SUM(PQ31,PU31)&gt;0,SUM(PQ31,PU31),"")</f>
        <v/>
      </c>
      <c r="QD31" s="19" t="str">
        <f>IF(SUM(PP31:PQ31,PS31:PU31,PW31)-SUM(PR31,PV31)&gt;0,SUM(PP31:PQ31,PS31:PU31,PW31)-SUM(PR31,PV31),"")</f>
        <v/>
      </c>
      <c r="QE31" s="19" t="str">
        <f>IF(SUM(PY31,QD31)&gt;0,SUM(PY31,QD31),"")</f>
        <v/>
      </c>
      <c r="QF31" s="37">
        <f>IF($CV31="P",CB31,(CB31+AY31)/2)</f>
        <v>0</v>
      </c>
      <c r="QG31" s="37">
        <f>IF($CV31="P",CC31,(CC31+AZ31)/2)</f>
        <v>0</v>
      </c>
      <c r="QH31" s="37">
        <f>IF($CV31="P",CD31,(CD31+BA31)/2)</f>
        <v>0</v>
      </c>
      <c r="QI31" s="37">
        <f>IF($CV31="P",CE31,(CE31+BB31)/2)</f>
        <v>0</v>
      </c>
      <c r="QJ31" s="37">
        <f>IF($CV31="P",CF31,(CF31+BC31)/2)</f>
        <v>9.1</v>
      </c>
      <c r="QK31" s="37">
        <f>IF($CV31="P",CG31,(CG31+BD31)/2)</f>
        <v>2.2000000000000002</v>
      </c>
      <c r="QL31" s="37">
        <f>IF($CV31="P",CH31,(CH31+BE31)/2)</f>
        <v>0.3</v>
      </c>
      <c r="QM31" s="37">
        <f>IF($CV31="P",CI31,(CI31+BF31)/2)</f>
        <v>0</v>
      </c>
      <c r="QN31" s="37">
        <f>IF($CV31="P",CJ31,(CJ31+BG31)/2)</f>
        <v>8.0500000000000007</v>
      </c>
      <c r="QO31" s="37">
        <f>IF($CV31="P",CK31,(CK31+BH31)/2)</f>
        <v>0</v>
      </c>
      <c r="QP31" s="37">
        <f>IF($CV31="P",CL31,(CL31+BI31)/2)</f>
        <v>2.15</v>
      </c>
      <c r="QQ31" s="37">
        <f>IF($CV31="P",CM31,(CM31+BJ31)/2)</f>
        <v>0</v>
      </c>
      <c r="QR31" s="37">
        <f>IF($CV31="P",CN31,(CN31+BK31)/2)</f>
        <v>0</v>
      </c>
      <c r="QS31" s="37">
        <f>IF($CV31="P",CO31,(CO31+BL31)/2)</f>
        <v>0</v>
      </c>
      <c r="QT31" s="37">
        <f>IF($CV31="P",CP31,(CP31+BM31)/2)</f>
        <v>0</v>
      </c>
      <c r="QU31" s="37">
        <f>IF($CV31="P",CQ31,(CQ31+BN31)/2)</f>
        <v>0</v>
      </c>
      <c r="QV31" s="37">
        <f>IF($CV31="P",CR31,(CR31+BO31)/2)</f>
        <v>0</v>
      </c>
      <c r="QW31" s="37">
        <f>IF($CV31="P",CS31,(CS31+BP31)/2)</f>
        <v>0</v>
      </c>
      <c r="QX31" s="37">
        <f>IF($CV31="P",CT31,(CT31+BQ31)/2)</f>
        <v>0</v>
      </c>
      <c r="QY31" s="37">
        <f>IF($CV31="P",CU31,(CU31+BR31)/2)</f>
        <v>0</v>
      </c>
      <c r="QZ31" s="44" t="s">
        <v>46</v>
      </c>
      <c r="RA31" s="78">
        <f>IF(SUM(QG31,QK31)&gt;0,SUM(QG31,QK31),"")</f>
        <v>2.2000000000000002</v>
      </c>
      <c r="RB31" s="78">
        <f>IF(SUM(QF31:QG31,QI31:QK31,QM31)-QH31-QL31&gt;0,SUM(QF31:QG31,QI31:QK31,QM31)-QH31-QL31,"")</f>
        <v>11</v>
      </c>
      <c r="RC31" s="78">
        <f>IF(SUM(QN31:QO31,QQ31)-QP31&gt;0,SUM(QN31:QO31,QQ31)-QP31,"")</f>
        <v>5.9</v>
      </c>
      <c r="RD31" s="78">
        <f>IF(SUM(QG31,QK31,QO31)&gt;0,SUM(QG31,QK31,QO31),"")</f>
        <v>2.2000000000000002</v>
      </c>
      <c r="RE31" s="78">
        <f>IF(SUM(RB31,RC31)&gt;0,SUM(RB31,RC31),"")</f>
        <v>16.899999999999999</v>
      </c>
      <c r="RF31" s="78" t="str">
        <f>IF(SUM(QS31,QW31)&gt;0,SUM(QS31,QW31),"")</f>
        <v/>
      </c>
      <c r="RG31" s="78" t="str">
        <f>IF(SUM(QR31:QS31,QU31:QW31,QY31)-SUM(QT31,QX31)&gt;0,SUM(QR31:QS31,QU31:QW31,QY31)-SUM(QT31,QX31),"")</f>
        <v/>
      </c>
      <c r="RH31" s="78">
        <f>IF(SUM(RB31,RG31)&gt;0,SUM(RB31,RG31),"")</f>
        <v>11</v>
      </c>
    </row>
    <row r="32" spans="1:476" ht="17" x14ac:dyDescent="0.2">
      <c r="S32" s="16"/>
      <c r="T32" s="16"/>
      <c r="U32" s="16"/>
    </row>
    <row r="33" spans="1:457" ht="17" x14ac:dyDescent="0.2">
      <c r="S33" s="16"/>
      <c r="T33" s="16"/>
      <c r="U33" s="16"/>
    </row>
    <row r="34" spans="1:457" ht="17" x14ac:dyDescent="0.2">
      <c r="B34" s="80" t="s">
        <v>44</v>
      </c>
      <c r="S34" s="16"/>
      <c r="T34" s="16"/>
      <c r="U34" s="16"/>
      <c r="AQ34" s="5"/>
      <c r="AX34" s="81">
        <v>13.2</v>
      </c>
      <c r="BT34" s="5"/>
      <c r="CA34" s="81">
        <v>13.2</v>
      </c>
      <c r="CW34" s="5"/>
      <c r="DD34" s="81">
        <v>13.2</v>
      </c>
      <c r="EB34" s="5"/>
      <c r="EI34" s="81">
        <v>1E-4</v>
      </c>
      <c r="FD34" s="5"/>
      <c r="FK34" s="81">
        <v>13.2</v>
      </c>
      <c r="GF34" s="5"/>
      <c r="GM34" s="81">
        <v>13.2</v>
      </c>
      <c r="HH34" s="5"/>
      <c r="HO34" s="81">
        <v>13.2</v>
      </c>
      <c r="IJ34" s="5"/>
      <c r="IQ34" s="81">
        <v>13.2</v>
      </c>
      <c r="JL34" s="5"/>
      <c r="JS34" s="81">
        <v>13.2</v>
      </c>
      <c r="KN34" s="5"/>
      <c r="KU34" s="81">
        <v>13.2</v>
      </c>
      <c r="LP34" s="5"/>
      <c r="LW34" s="81">
        <v>13.2</v>
      </c>
      <c r="MR34" s="5"/>
      <c r="MY34" s="81">
        <v>13.2</v>
      </c>
      <c r="NT34" s="5"/>
      <c r="OA34" s="81">
        <v>13.2</v>
      </c>
      <c r="OV34" s="5"/>
      <c r="PC34" s="81">
        <v>13.2</v>
      </c>
      <c r="PX34" s="5"/>
      <c r="QE34" s="81">
        <v>13.2</v>
      </c>
    </row>
    <row r="35" spans="1:457" ht="17" hidden="1" x14ac:dyDescent="0.2">
      <c r="B35" s="82" t="s">
        <v>43</v>
      </c>
      <c r="S35" s="16"/>
      <c r="T35" s="16"/>
      <c r="U35" s="16"/>
      <c r="AQ35" s="5"/>
      <c r="AX35" s="83">
        <v>1000</v>
      </c>
      <c r="BT35" s="5"/>
      <c r="CA35" s="83">
        <v>1000</v>
      </c>
      <c r="CW35" s="5"/>
      <c r="DD35" s="83">
        <v>1000</v>
      </c>
      <c r="EB35" s="5"/>
      <c r="EI35" s="83">
        <v>1000</v>
      </c>
      <c r="FD35" s="5"/>
      <c r="FK35" s="83">
        <v>1000</v>
      </c>
      <c r="GF35" s="5"/>
      <c r="GM35" s="83">
        <v>1000</v>
      </c>
      <c r="HH35" s="5"/>
      <c r="HO35" s="83">
        <v>1000</v>
      </c>
      <c r="IJ35" s="5"/>
      <c r="IQ35" s="83">
        <v>1000</v>
      </c>
      <c r="JL35" s="5"/>
      <c r="JS35" s="83">
        <v>1000</v>
      </c>
      <c r="KN35" s="5"/>
      <c r="KU35" s="83">
        <v>1000</v>
      </c>
      <c r="LP35" s="5"/>
      <c r="LW35" s="83">
        <v>1000</v>
      </c>
      <c r="MR35" s="5"/>
      <c r="MY35" s="83">
        <v>1000</v>
      </c>
      <c r="NT35" s="5"/>
      <c r="OA35" s="83">
        <v>1000</v>
      </c>
      <c r="OV35" s="5"/>
      <c r="PC35" s="83">
        <v>1000</v>
      </c>
      <c r="PX35" s="5"/>
      <c r="QE35" s="83">
        <v>1000</v>
      </c>
    </row>
    <row r="36" spans="1:457" ht="17" hidden="1" x14ac:dyDescent="0.2">
      <c r="A36" s="77"/>
      <c r="B36" s="75" t="s">
        <v>55</v>
      </c>
      <c r="C36" s="84"/>
      <c r="S36" s="16"/>
      <c r="T36" s="16"/>
      <c r="U36" s="16"/>
      <c r="AQ36" s="5"/>
      <c r="AX36" s="85">
        <v>1000</v>
      </c>
      <c r="BT36" s="5"/>
      <c r="CA36" s="85">
        <v>1000</v>
      </c>
      <c r="CW36" s="5"/>
      <c r="DD36" s="85">
        <v>1000</v>
      </c>
      <c r="EB36" s="5"/>
      <c r="EI36" s="85">
        <v>1000</v>
      </c>
      <c r="FD36" s="5"/>
      <c r="FK36" s="85">
        <v>1000</v>
      </c>
      <c r="GF36" s="5"/>
      <c r="GM36" s="85">
        <v>1000</v>
      </c>
      <c r="HH36" s="5"/>
      <c r="HO36" s="85">
        <v>1000</v>
      </c>
      <c r="IJ36" s="5"/>
      <c r="IQ36" s="85">
        <v>1000</v>
      </c>
      <c r="JL36" s="5"/>
      <c r="JS36" s="85">
        <v>1000</v>
      </c>
      <c r="KN36" s="5"/>
      <c r="KU36" s="85">
        <v>1000</v>
      </c>
      <c r="LP36" s="5"/>
      <c r="LW36" s="85">
        <v>1000</v>
      </c>
      <c r="MR36" s="5"/>
      <c r="MY36" s="85">
        <v>1000</v>
      </c>
      <c r="NT36" s="5"/>
      <c r="OA36" s="85">
        <v>1000</v>
      </c>
      <c r="OV36" s="5"/>
      <c r="PC36" s="85">
        <v>1000</v>
      </c>
      <c r="PX36" s="5"/>
      <c r="QE36" s="85">
        <v>1000</v>
      </c>
    </row>
    <row r="37" spans="1:457" ht="17" hidden="1" x14ac:dyDescent="0.2">
      <c r="A37" s="77"/>
      <c r="B37" s="86" t="s">
        <v>62</v>
      </c>
      <c r="C37" s="84"/>
      <c r="S37" s="16"/>
      <c r="T37" s="16"/>
      <c r="U37" s="16"/>
      <c r="AQ37" s="5"/>
      <c r="AX37" s="96">
        <v>1000</v>
      </c>
      <c r="BT37" s="5"/>
      <c r="CA37" s="96">
        <v>1000</v>
      </c>
      <c r="CW37" s="5"/>
      <c r="DD37" s="96">
        <v>1000</v>
      </c>
      <c r="EB37" s="5"/>
      <c r="EI37" s="96">
        <v>1000</v>
      </c>
      <c r="FD37" s="5"/>
      <c r="FK37" s="96">
        <v>1000</v>
      </c>
      <c r="GF37" s="5"/>
      <c r="GM37" s="96">
        <v>1000</v>
      </c>
      <c r="HH37" s="5"/>
      <c r="HO37" s="96">
        <v>1000</v>
      </c>
      <c r="IJ37" s="5"/>
      <c r="IQ37" s="96">
        <v>1000</v>
      </c>
      <c r="JL37" s="5"/>
      <c r="JS37" s="96">
        <v>1000</v>
      </c>
      <c r="KN37" s="5"/>
      <c r="KU37" s="96">
        <v>1000</v>
      </c>
      <c r="LP37" s="5"/>
      <c r="LW37" s="96">
        <v>1000</v>
      </c>
      <c r="MR37" s="5"/>
      <c r="MY37" s="96">
        <v>1000</v>
      </c>
      <c r="NT37" s="5"/>
      <c r="OA37" s="96">
        <v>1000</v>
      </c>
      <c r="OV37" s="5"/>
      <c r="PC37" s="96">
        <v>1000</v>
      </c>
      <c r="PX37" s="5"/>
      <c r="QE37" s="96">
        <v>1000</v>
      </c>
    </row>
    <row r="38" spans="1:457" ht="17" x14ac:dyDescent="0.2">
      <c r="A38" s="77"/>
      <c r="B38" s="88" t="s">
        <v>41</v>
      </c>
      <c r="C38" s="84"/>
      <c r="S38" s="16"/>
      <c r="T38" s="16"/>
      <c r="U38" s="16"/>
      <c r="AQ38" s="5"/>
      <c r="AX38" s="97">
        <v>49.6</v>
      </c>
      <c r="BT38" s="5"/>
      <c r="CA38" s="97">
        <v>49.6</v>
      </c>
      <c r="CW38" s="5"/>
      <c r="DD38" s="97">
        <v>49.6</v>
      </c>
      <c r="EB38" s="5"/>
      <c r="EF38" s="66" t="s">
        <v>173</v>
      </c>
      <c r="EI38" s="97">
        <v>2.0000000000000001E-4</v>
      </c>
      <c r="FD38" s="5"/>
      <c r="FK38" s="97">
        <v>49.6</v>
      </c>
      <c r="GF38" s="5"/>
      <c r="GM38" s="97">
        <v>49.6</v>
      </c>
      <c r="HH38" s="5"/>
      <c r="HO38" s="97">
        <v>49.6</v>
      </c>
      <c r="IJ38" s="5"/>
      <c r="IQ38" s="97">
        <v>49.6</v>
      </c>
      <c r="JL38" s="5"/>
      <c r="JS38" s="97">
        <v>49.6</v>
      </c>
      <c r="KN38" s="5"/>
      <c r="KU38" s="97">
        <v>49.6</v>
      </c>
      <c r="LP38" s="5"/>
      <c r="LW38" s="97">
        <v>49.6</v>
      </c>
      <c r="MR38" s="5"/>
      <c r="MY38" s="97">
        <v>49.6</v>
      </c>
      <c r="NT38" s="5"/>
      <c r="OA38" s="97">
        <v>49.6</v>
      </c>
      <c r="OV38" s="5"/>
      <c r="PC38" s="97">
        <v>49.6</v>
      </c>
      <c r="PX38" s="5"/>
      <c r="QE38" s="97">
        <v>49.6</v>
      </c>
    </row>
    <row r="39" spans="1:457" ht="17" hidden="1" x14ac:dyDescent="0.2">
      <c r="A39" s="77"/>
      <c r="B39" s="90" t="s">
        <v>42</v>
      </c>
      <c r="C39" s="84"/>
      <c r="S39" s="16"/>
      <c r="T39" s="16"/>
      <c r="U39" s="16"/>
      <c r="AQ39" s="5"/>
      <c r="AX39" s="91">
        <v>1000</v>
      </c>
      <c r="BT39" s="5"/>
      <c r="CA39" s="91">
        <v>1000</v>
      </c>
      <c r="CW39" s="5"/>
      <c r="DD39" s="91">
        <v>1000</v>
      </c>
      <c r="EB39" s="5"/>
      <c r="EI39" s="91">
        <v>1000</v>
      </c>
      <c r="FD39" s="5"/>
      <c r="FK39" s="91">
        <v>1000</v>
      </c>
      <c r="GF39" s="5"/>
      <c r="GM39" s="91">
        <v>1000</v>
      </c>
      <c r="HH39" s="5"/>
      <c r="HO39" s="91">
        <v>1000</v>
      </c>
      <c r="IJ39" s="5"/>
      <c r="IQ39" s="91">
        <v>1000</v>
      </c>
      <c r="JL39" s="5"/>
      <c r="JS39" s="91">
        <v>1000</v>
      </c>
      <c r="KN39" s="5"/>
      <c r="KU39" s="91">
        <v>1000</v>
      </c>
      <c r="LP39" s="5"/>
      <c r="LW39" s="91">
        <v>1000</v>
      </c>
      <c r="MR39" s="5"/>
      <c r="MY39" s="91">
        <v>1000</v>
      </c>
      <c r="NT39" s="5"/>
      <c r="OA39" s="91">
        <v>1000</v>
      </c>
      <c r="OV39" s="5"/>
      <c r="PC39" s="91">
        <v>1000</v>
      </c>
      <c r="PX39" s="5"/>
      <c r="QE39" s="91">
        <v>1000</v>
      </c>
    </row>
    <row r="40" spans="1:457" ht="17" hidden="1" x14ac:dyDescent="0.2">
      <c r="A40" s="77"/>
      <c r="B40" s="92" t="s">
        <v>54</v>
      </c>
      <c r="C40" s="84"/>
      <c r="S40" s="16"/>
      <c r="T40" s="16"/>
      <c r="U40" s="16"/>
      <c r="AQ40" s="5"/>
      <c r="AX40" s="93">
        <v>1000</v>
      </c>
      <c r="BT40" s="5"/>
      <c r="CA40" s="93">
        <v>1000</v>
      </c>
      <c r="CW40" s="5"/>
      <c r="DD40" s="93">
        <v>1000</v>
      </c>
      <c r="EB40" s="5"/>
      <c r="EI40" s="93">
        <v>1000</v>
      </c>
      <c r="FD40" s="5"/>
      <c r="FK40" s="93">
        <v>1000</v>
      </c>
      <c r="GF40" s="5"/>
      <c r="GM40" s="93">
        <v>1000</v>
      </c>
      <c r="HH40" s="5"/>
      <c r="HO40" s="93">
        <v>1000</v>
      </c>
      <c r="IJ40" s="5"/>
      <c r="IQ40" s="93">
        <v>1000</v>
      </c>
      <c r="JL40" s="5"/>
      <c r="JS40" s="93">
        <v>1000</v>
      </c>
      <c r="KN40" s="5"/>
      <c r="KU40" s="93">
        <v>1000</v>
      </c>
      <c r="LP40" s="5"/>
      <c r="LW40" s="93">
        <v>1000</v>
      </c>
      <c r="MR40" s="5"/>
      <c r="MY40" s="93">
        <v>1000</v>
      </c>
      <c r="NT40" s="5"/>
      <c r="OA40" s="93">
        <v>1000</v>
      </c>
      <c r="OV40" s="5"/>
      <c r="PC40" s="93">
        <v>1000</v>
      </c>
      <c r="PX40" s="5"/>
      <c r="QE40" s="93">
        <v>1000</v>
      </c>
    </row>
    <row r="41" spans="1:457" ht="17" hidden="1" x14ac:dyDescent="0.2">
      <c r="A41" s="77"/>
      <c r="B41" s="94" t="s">
        <v>28</v>
      </c>
      <c r="C41" s="84"/>
      <c r="S41" s="16"/>
      <c r="T41" s="16"/>
      <c r="U41" s="16"/>
      <c r="AQ41" s="5"/>
      <c r="AX41" s="95">
        <v>1000</v>
      </c>
      <c r="BT41" s="5"/>
      <c r="CA41" s="95">
        <v>1000</v>
      </c>
      <c r="CW41" s="5"/>
      <c r="DD41" s="95">
        <v>1000</v>
      </c>
      <c r="EB41" s="5"/>
      <c r="EI41" s="95">
        <v>1000</v>
      </c>
      <c r="FD41" s="5"/>
      <c r="FK41" s="95">
        <v>1000</v>
      </c>
      <c r="GF41" s="5"/>
      <c r="GM41" s="95">
        <v>1000</v>
      </c>
      <c r="HH41" s="5"/>
      <c r="HO41" s="95">
        <v>1000</v>
      </c>
      <c r="IJ41" s="5"/>
      <c r="IQ41" s="95">
        <v>1000</v>
      </c>
      <c r="JL41" s="5"/>
      <c r="JS41" s="95">
        <v>1000</v>
      </c>
      <c r="KN41" s="5"/>
      <c r="KU41" s="95">
        <v>1000</v>
      </c>
      <c r="LP41" s="5"/>
      <c r="LW41" s="95">
        <v>1000</v>
      </c>
      <c r="MR41" s="5"/>
      <c r="MY41" s="95">
        <v>1000</v>
      </c>
      <c r="NT41" s="5"/>
      <c r="OA41" s="95">
        <v>1000</v>
      </c>
      <c r="OV41" s="5"/>
      <c r="PC41" s="95">
        <v>1000</v>
      </c>
      <c r="PX41" s="5"/>
      <c r="QE41" s="95">
        <v>1000</v>
      </c>
    </row>
    <row r="42" spans="1:457" x14ac:dyDescent="0.2">
      <c r="B42" s="46" t="s">
        <v>47</v>
      </c>
      <c r="C42" s="2"/>
    </row>
    <row r="43" spans="1:457" x14ac:dyDescent="0.2">
      <c r="A43" s="77"/>
      <c r="B43" s="77"/>
      <c r="C43" s="84"/>
      <c r="QG43" s="2"/>
      <c r="QH43" s="2"/>
      <c r="QI43" s="2"/>
      <c r="QJ43" s="2"/>
      <c r="QK43" s="2"/>
      <c r="QL43" s="2"/>
      <c r="QM43" s="2"/>
      <c r="QN43" s="2"/>
      <c r="QO43" s="2"/>
    </row>
    <row r="44" spans="1:457" x14ac:dyDescent="0.2">
      <c r="A44" s="77"/>
      <c r="B44" s="77"/>
      <c r="C44" s="84"/>
    </row>
    <row r="45" spans="1:457" x14ac:dyDescent="0.2">
      <c r="A45" s="77"/>
      <c r="B45" s="77"/>
      <c r="C45" s="84"/>
    </row>
    <row r="46" spans="1:457" x14ac:dyDescent="0.2">
      <c r="A46" s="77"/>
      <c r="B46" s="77"/>
      <c r="C4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31">
      <sortCondition descending="1" ref="F1:F3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31">
    <cfRule type="expression" dxfId="55" priority="1" stopIfTrue="1">
      <formula>IF($AP4&lt;&gt;"",1,0)</formula>
    </cfRule>
  </conditionalFormatting>
  <conditionalFormatting sqref="AY4:CA31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31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AU39:AU1048576 BX39:BX1048576 EF39:EF1048576 BX1:BX37 DA1:DA1048576 EF1:EF37 FH1:FH1048576 GJ1:GJ1048576 HL1:HL1048576 IN1:IN1048576 JP1:JP1048576 KR1:KR1048576 LT1:LT1048576 MV1:MV1048576 NX1:NX1048576 OZ1:OZ1048576 QB1:QB1048576 AU1:AU37">
    <cfRule type="cellIs" dxfId="43" priority="23" operator="between">
      <formula>AX$41</formula>
      <formula>1000</formula>
    </cfRule>
    <cfRule type="cellIs" dxfId="42" priority="24" operator="between">
      <formula>AX$40</formula>
      <formula>AX$41</formula>
    </cfRule>
    <cfRule type="cellIs" dxfId="41" priority="25" operator="between">
      <formula>AX$39</formula>
      <formula>AX$40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52802" operator="between">
      <formula>AX$34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9" priority="52847" operator="between">
      <formula>AX$38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" priority="52892" operator="between">
      <formula>AX$34</formula>
      <formula>AX$35</formula>
    </cfRule>
    <cfRule type="cellIs" dxfId="37" priority="52893" operator="between">
      <formula>AX$35</formula>
      <formula>AX$36</formula>
    </cfRule>
    <cfRule type="cellIs" dxfId="36" priority="52894" operator="between">
      <formula>AX$36</formula>
      <formula>AX$37</formula>
    </cfRule>
    <cfRule type="cellIs" dxfId="35" priority="52895" operator="between">
      <formula>AX$37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4" priority="53072" operator="between">
      <formula>AX$38</formula>
      <formula>AX$39</formula>
    </cfRule>
    <cfRule type="cellIs" dxfId="33" priority="53073" operator="between">
      <formula>AX$39</formula>
      <formula>AX$40</formula>
    </cfRule>
    <cfRule type="cellIs" dxfId="32" priority="53074" operator="between">
      <formula>AX$40</formula>
      <formula>AX$41</formula>
    </cfRule>
    <cfRule type="cellIs" dxfId="31" priority="53075" operator="between">
      <formula>AX$41</formula>
      <formula>1000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53252" operator="between">
      <formula>AX$37</formula>
      <formula>1000</formula>
    </cfRule>
    <cfRule type="cellIs" dxfId="29" priority="53253" operator="between">
      <formula>AX$36</formula>
      <formula>AX$37</formula>
    </cfRule>
    <cfRule type="cellIs" dxfId="28" priority="53254" operator="between">
      <formula>AX$35</formula>
      <formula>AX$36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6" t="s">
        <v>168</v>
      </c>
      <c r="N1" s="107" t="s">
        <v>26</v>
      </c>
      <c r="O1" s="106" t="s">
        <v>169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129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183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205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159</v>
      </c>
      <c r="DF1" s="101"/>
      <c r="DG1" s="101"/>
      <c r="DH1" s="99" t="s">
        <v>123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127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170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174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175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176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179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 t="s">
        <v>182</v>
      </c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160</v>
      </c>
      <c r="W2" s="100"/>
      <c r="X2" s="100"/>
      <c r="Y2" s="100"/>
      <c r="Z2" s="100" t="s">
        <v>161</v>
      </c>
      <c r="AA2" s="100"/>
      <c r="AB2" s="100"/>
      <c r="AC2" s="100"/>
      <c r="AD2" s="100" t="s">
        <v>162</v>
      </c>
      <c r="AE2" s="100"/>
      <c r="AF2" s="100"/>
      <c r="AG2" s="100"/>
      <c r="AH2" s="100" t="s">
        <v>163</v>
      </c>
      <c r="AI2" s="100"/>
      <c r="AJ2" s="100"/>
      <c r="AK2" s="100"/>
      <c r="AL2" s="110" t="s">
        <v>164</v>
      </c>
      <c r="AM2" s="110"/>
      <c r="AN2" s="110"/>
      <c r="AO2" s="110"/>
      <c r="AP2" s="71"/>
      <c r="AQ2" s="71" t="s">
        <v>165</v>
      </c>
      <c r="AR2" s="71" t="s">
        <v>166</v>
      </c>
      <c r="AS2" s="71" t="s">
        <v>162</v>
      </c>
      <c r="AT2" s="71" t="s">
        <v>22</v>
      </c>
      <c r="AU2" s="71" t="s">
        <v>21</v>
      </c>
      <c r="AV2" s="71" t="s">
        <v>57</v>
      </c>
      <c r="AW2" s="71" t="s">
        <v>167</v>
      </c>
      <c r="AX2" s="71" t="s">
        <v>15</v>
      </c>
      <c r="AY2" s="102" t="s">
        <v>160</v>
      </c>
      <c r="AZ2" s="102"/>
      <c r="BA2" s="102"/>
      <c r="BB2" s="102"/>
      <c r="BC2" s="102" t="s">
        <v>161</v>
      </c>
      <c r="BD2" s="102"/>
      <c r="BE2" s="102"/>
      <c r="BF2" s="102"/>
      <c r="BG2" s="102" t="s">
        <v>162</v>
      </c>
      <c r="BH2" s="102"/>
      <c r="BI2" s="102"/>
      <c r="BJ2" s="102"/>
      <c r="BK2" s="102" t="s">
        <v>163</v>
      </c>
      <c r="BL2" s="102"/>
      <c r="BM2" s="102"/>
      <c r="BN2" s="102"/>
      <c r="BO2" s="111" t="s">
        <v>164</v>
      </c>
      <c r="BP2" s="111"/>
      <c r="BQ2" s="111"/>
      <c r="BR2" s="111"/>
      <c r="BS2" s="70"/>
      <c r="BT2" s="70" t="s">
        <v>165</v>
      </c>
      <c r="BU2" s="70" t="s">
        <v>166</v>
      </c>
      <c r="BV2" s="70" t="s">
        <v>162</v>
      </c>
      <c r="BW2" s="70" t="s">
        <v>22</v>
      </c>
      <c r="BX2" s="70" t="s">
        <v>21</v>
      </c>
      <c r="BY2" s="70" t="s">
        <v>57</v>
      </c>
      <c r="BZ2" s="70" t="s">
        <v>167</v>
      </c>
      <c r="CA2" s="70" t="s">
        <v>15</v>
      </c>
      <c r="CB2" s="100" t="s">
        <v>160</v>
      </c>
      <c r="CC2" s="100"/>
      <c r="CD2" s="100"/>
      <c r="CE2" s="100"/>
      <c r="CF2" s="100" t="s">
        <v>161</v>
      </c>
      <c r="CG2" s="100"/>
      <c r="CH2" s="100"/>
      <c r="CI2" s="100"/>
      <c r="CJ2" s="100" t="s">
        <v>162</v>
      </c>
      <c r="CK2" s="100"/>
      <c r="CL2" s="100"/>
      <c r="CM2" s="100"/>
      <c r="CN2" s="100" t="s">
        <v>163</v>
      </c>
      <c r="CO2" s="100"/>
      <c r="CP2" s="100"/>
      <c r="CQ2" s="100"/>
      <c r="CR2" s="110" t="s">
        <v>164</v>
      </c>
      <c r="CS2" s="110"/>
      <c r="CT2" s="110"/>
      <c r="CU2" s="110"/>
      <c r="CV2" s="71"/>
      <c r="CW2" s="71" t="s">
        <v>165</v>
      </c>
      <c r="CX2" s="71" t="s">
        <v>166</v>
      </c>
      <c r="CY2" s="71" t="s">
        <v>162</v>
      </c>
      <c r="CZ2" s="71" t="s">
        <v>22</v>
      </c>
      <c r="DA2" s="71" t="s">
        <v>21</v>
      </c>
      <c r="DB2" s="71" t="s">
        <v>57</v>
      </c>
      <c r="DC2" s="71" t="s">
        <v>167</v>
      </c>
      <c r="DD2" s="71" t="s">
        <v>15</v>
      </c>
      <c r="DE2" s="76" t="s">
        <v>166</v>
      </c>
      <c r="DF2" s="76" t="s">
        <v>162</v>
      </c>
      <c r="DG2" s="76" t="s">
        <v>20</v>
      </c>
      <c r="DH2" s="100" t="s">
        <v>160</v>
      </c>
      <c r="DI2" s="100"/>
      <c r="DJ2" s="100"/>
      <c r="DK2" s="100"/>
      <c r="DL2" s="100" t="s">
        <v>161</v>
      </c>
      <c r="DM2" s="100"/>
      <c r="DN2" s="100"/>
      <c r="DO2" s="100"/>
      <c r="DP2" s="100" t="s">
        <v>162</v>
      </c>
      <c r="DQ2" s="100"/>
      <c r="DR2" s="100"/>
      <c r="DS2" s="100"/>
      <c r="DT2" s="100" t="s">
        <v>163</v>
      </c>
      <c r="DU2" s="100"/>
      <c r="DV2" s="100"/>
      <c r="DW2" s="100"/>
      <c r="DX2" s="109" t="s">
        <v>164</v>
      </c>
      <c r="DY2" s="109"/>
      <c r="DZ2" s="109"/>
      <c r="EA2" s="109"/>
      <c r="EB2" s="71" t="s">
        <v>165</v>
      </c>
      <c r="EC2" s="71" t="s">
        <v>166</v>
      </c>
      <c r="ED2" s="71" t="s">
        <v>162</v>
      </c>
      <c r="EE2" s="71" t="s">
        <v>22</v>
      </c>
      <c r="EF2" s="71" t="s">
        <v>21</v>
      </c>
      <c r="EG2" s="71" t="s">
        <v>57</v>
      </c>
      <c r="EH2" s="71" t="s">
        <v>167</v>
      </c>
      <c r="EI2" s="71" t="s">
        <v>15</v>
      </c>
      <c r="EJ2" s="102" t="s">
        <v>160</v>
      </c>
      <c r="EK2" s="102"/>
      <c r="EL2" s="102"/>
      <c r="EM2" s="102"/>
      <c r="EN2" s="102" t="s">
        <v>161</v>
      </c>
      <c r="EO2" s="102"/>
      <c r="EP2" s="102"/>
      <c r="EQ2" s="102"/>
      <c r="ER2" s="102" t="s">
        <v>162</v>
      </c>
      <c r="ES2" s="102"/>
      <c r="ET2" s="102"/>
      <c r="EU2" s="102"/>
      <c r="EV2" s="102" t="s">
        <v>163</v>
      </c>
      <c r="EW2" s="102"/>
      <c r="EX2" s="102"/>
      <c r="EY2" s="102"/>
      <c r="EZ2" s="111" t="s">
        <v>164</v>
      </c>
      <c r="FA2" s="111"/>
      <c r="FB2" s="111"/>
      <c r="FC2" s="111"/>
      <c r="FD2" s="70" t="s">
        <v>165</v>
      </c>
      <c r="FE2" s="70" t="s">
        <v>166</v>
      </c>
      <c r="FF2" s="70" t="s">
        <v>162</v>
      </c>
      <c r="FG2" s="70" t="s">
        <v>22</v>
      </c>
      <c r="FH2" s="70" t="s">
        <v>21</v>
      </c>
      <c r="FI2" s="70" t="s">
        <v>57</v>
      </c>
      <c r="FJ2" s="70" t="s">
        <v>167</v>
      </c>
      <c r="FK2" s="70" t="s">
        <v>15</v>
      </c>
      <c r="FL2" s="100" t="s">
        <v>160</v>
      </c>
      <c r="FM2" s="100"/>
      <c r="FN2" s="100"/>
      <c r="FO2" s="100"/>
      <c r="FP2" s="100" t="s">
        <v>161</v>
      </c>
      <c r="FQ2" s="100"/>
      <c r="FR2" s="100"/>
      <c r="FS2" s="100"/>
      <c r="FT2" s="100" t="s">
        <v>162</v>
      </c>
      <c r="FU2" s="100"/>
      <c r="FV2" s="100"/>
      <c r="FW2" s="100"/>
      <c r="FX2" s="100" t="s">
        <v>163</v>
      </c>
      <c r="FY2" s="100"/>
      <c r="FZ2" s="100"/>
      <c r="GA2" s="100"/>
      <c r="GB2" s="109" t="s">
        <v>164</v>
      </c>
      <c r="GC2" s="109"/>
      <c r="GD2" s="109"/>
      <c r="GE2" s="109"/>
      <c r="GF2" s="71" t="s">
        <v>165</v>
      </c>
      <c r="GG2" s="71" t="s">
        <v>166</v>
      </c>
      <c r="GH2" s="71" t="s">
        <v>162</v>
      </c>
      <c r="GI2" s="71" t="s">
        <v>22</v>
      </c>
      <c r="GJ2" s="71" t="s">
        <v>21</v>
      </c>
      <c r="GK2" s="71" t="s">
        <v>57</v>
      </c>
      <c r="GL2" s="71" t="s">
        <v>167</v>
      </c>
      <c r="GM2" s="71" t="s">
        <v>15</v>
      </c>
      <c r="GN2" s="102" t="s">
        <v>160</v>
      </c>
      <c r="GO2" s="102"/>
      <c r="GP2" s="102"/>
      <c r="GQ2" s="102"/>
      <c r="GR2" s="102" t="s">
        <v>161</v>
      </c>
      <c r="GS2" s="102"/>
      <c r="GT2" s="102"/>
      <c r="GU2" s="102"/>
      <c r="GV2" s="102" t="s">
        <v>162</v>
      </c>
      <c r="GW2" s="102"/>
      <c r="GX2" s="102"/>
      <c r="GY2" s="102"/>
      <c r="GZ2" s="102" t="s">
        <v>163</v>
      </c>
      <c r="HA2" s="102"/>
      <c r="HB2" s="102"/>
      <c r="HC2" s="102"/>
      <c r="HD2" s="111" t="s">
        <v>164</v>
      </c>
      <c r="HE2" s="111"/>
      <c r="HF2" s="111"/>
      <c r="HG2" s="111"/>
      <c r="HH2" s="70" t="s">
        <v>165</v>
      </c>
      <c r="HI2" s="70" t="s">
        <v>166</v>
      </c>
      <c r="HJ2" s="70" t="s">
        <v>162</v>
      </c>
      <c r="HK2" s="70" t="s">
        <v>22</v>
      </c>
      <c r="HL2" s="70" t="s">
        <v>21</v>
      </c>
      <c r="HM2" s="70" t="s">
        <v>57</v>
      </c>
      <c r="HN2" s="70" t="s">
        <v>167</v>
      </c>
      <c r="HO2" s="70" t="s">
        <v>15</v>
      </c>
      <c r="HP2" s="100" t="s">
        <v>160</v>
      </c>
      <c r="HQ2" s="100"/>
      <c r="HR2" s="100"/>
      <c r="HS2" s="100"/>
      <c r="HT2" s="100" t="s">
        <v>161</v>
      </c>
      <c r="HU2" s="100"/>
      <c r="HV2" s="100"/>
      <c r="HW2" s="100"/>
      <c r="HX2" s="100" t="s">
        <v>162</v>
      </c>
      <c r="HY2" s="100"/>
      <c r="HZ2" s="100"/>
      <c r="IA2" s="100"/>
      <c r="IB2" s="100" t="s">
        <v>163</v>
      </c>
      <c r="IC2" s="100"/>
      <c r="ID2" s="100"/>
      <c r="IE2" s="100"/>
      <c r="IF2" s="109" t="s">
        <v>164</v>
      </c>
      <c r="IG2" s="109"/>
      <c r="IH2" s="109"/>
      <c r="II2" s="109"/>
      <c r="IJ2" s="71" t="s">
        <v>165</v>
      </c>
      <c r="IK2" s="71" t="s">
        <v>166</v>
      </c>
      <c r="IL2" s="71" t="s">
        <v>162</v>
      </c>
      <c r="IM2" s="71" t="s">
        <v>22</v>
      </c>
      <c r="IN2" s="71" t="s">
        <v>21</v>
      </c>
      <c r="IO2" s="71" t="s">
        <v>57</v>
      </c>
      <c r="IP2" s="71" t="s">
        <v>167</v>
      </c>
      <c r="IQ2" s="71" t="s">
        <v>15</v>
      </c>
      <c r="IR2" s="102" t="s">
        <v>160</v>
      </c>
      <c r="IS2" s="102"/>
      <c r="IT2" s="102"/>
      <c r="IU2" s="102"/>
      <c r="IV2" s="102" t="s">
        <v>161</v>
      </c>
      <c r="IW2" s="102"/>
      <c r="IX2" s="102"/>
      <c r="IY2" s="102"/>
      <c r="IZ2" s="102" t="s">
        <v>162</v>
      </c>
      <c r="JA2" s="102"/>
      <c r="JB2" s="102"/>
      <c r="JC2" s="102"/>
      <c r="JD2" s="102" t="s">
        <v>163</v>
      </c>
      <c r="JE2" s="102"/>
      <c r="JF2" s="102"/>
      <c r="JG2" s="102"/>
      <c r="JH2" s="111" t="s">
        <v>164</v>
      </c>
      <c r="JI2" s="111"/>
      <c r="JJ2" s="111"/>
      <c r="JK2" s="111"/>
      <c r="JL2" s="70" t="s">
        <v>165</v>
      </c>
      <c r="JM2" s="70" t="s">
        <v>166</v>
      </c>
      <c r="JN2" s="70" t="s">
        <v>162</v>
      </c>
      <c r="JO2" s="70" t="s">
        <v>22</v>
      </c>
      <c r="JP2" s="70" t="s">
        <v>21</v>
      </c>
      <c r="JQ2" s="70" t="s">
        <v>57</v>
      </c>
      <c r="JR2" s="70" t="s">
        <v>167</v>
      </c>
      <c r="JS2" s="70" t="s">
        <v>15</v>
      </c>
      <c r="JT2" s="100" t="s">
        <v>160</v>
      </c>
      <c r="JU2" s="100"/>
      <c r="JV2" s="100"/>
      <c r="JW2" s="100"/>
      <c r="JX2" s="100" t="s">
        <v>161</v>
      </c>
      <c r="JY2" s="100"/>
      <c r="JZ2" s="100"/>
      <c r="KA2" s="100"/>
      <c r="KB2" s="100" t="s">
        <v>162</v>
      </c>
      <c r="KC2" s="100"/>
      <c r="KD2" s="100"/>
      <c r="KE2" s="100"/>
      <c r="KF2" s="100" t="s">
        <v>163</v>
      </c>
      <c r="KG2" s="100"/>
      <c r="KH2" s="100"/>
      <c r="KI2" s="100"/>
      <c r="KJ2" s="109" t="s">
        <v>164</v>
      </c>
      <c r="KK2" s="109"/>
      <c r="KL2" s="109"/>
      <c r="KM2" s="109"/>
      <c r="KN2" s="71" t="s">
        <v>165</v>
      </c>
      <c r="KO2" s="71" t="s">
        <v>166</v>
      </c>
      <c r="KP2" s="71" t="s">
        <v>162</v>
      </c>
      <c r="KQ2" s="71" t="s">
        <v>22</v>
      </c>
      <c r="KR2" s="71" t="s">
        <v>21</v>
      </c>
      <c r="KS2" s="71" t="s">
        <v>57</v>
      </c>
      <c r="KT2" s="71" t="s">
        <v>167</v>
      </c>
      <c r="KU2" s="71" t="s">
        <v>15</v>
      </c>
      <c r="KV2" s="102" t="s">
        <v>160</v>
      </c>
      <c r="KW2" s="102"/>
      <c r="KX2" s="102"/>
      <c r="KY2" s="102"/>
      <c r="KZ2" s="102" t="s">
        <v>161</v>
      </c>
      <c r="LA2" s="102"/>
      <c r="LB2" s="102"/>
      <c r="LC2" s="102"/>
      <c r="LD2" s="102" t="s">
        <v>162</v>
      </c>
      <c r="LE2" s="102"/>
      <c r="LF2" s="102"/>
      <c r="LG2" s="102"/>
      <c r="LH2" s="102" t="s">
        <v>163</v>
      </c>
      <c r="LI2" s="102"/>
      <c r="LJ2" s="102"/>
      <c r="LK2" s="102"/>
      <c r="LL2" s="111" t="s">
        <v>164</v>
      </c>
      <c r="LM2" s="111"/>
      <c r="LN2" s="111"/>
      <c r="LO2" s="111"/>
      <c r="LP2" s="70" t="s">
        <v>165</v>
      </c>
      <c r="LQ2" s="70" t="s">
        <v>166</v>
      </c>
      <c r="LR2" s="70" t="s">
        <v>162</v>
      </c>
      <c r="LS2" s="70" t="s">
        <v>22</v>
      </c>
      <c r="LT2" s="70" t="s">
        <v>21</v>
      </c>
      <c r="LU2" s="70" t="s">
        <v>57</v>
      </c>
      <c r="LV2" s="70" t="s">
        <v>167</v>
      </c>
      <c r="LW2" s="70" t="s">
        <v>15</v>
      </c>
      <c r="LX2" s="100" t="s">
        <v>160</v>
      </c>
      <c r="LY2" s="100"/>
      <c r="LZ2" s="100"/>
      <c r="MA2" s="100"/>
      <c r="MB2" s="100" t="s">
        <v>161</v>
      </c>
      <c r="MC2" s="100"/>
      <c r="MD2" s="100"/>
      <c r="ME2" s="100"/>
      <c r="MF2" s="100" t="s">
        <v>162</v>
      </c>
      <c r="MG2" s="100"/>
      <c r="MH2" s="100"/>
      <c r="MI2" s="100"/>
      <c r="MJ2" s="100" t="s">
        <v>163</v>
      </c>
      <c r="MK2" s="100"/>
      <c r="ML2" s="100"/>
      <c r="MM2" s="100"/>
      <c r="MN2" s="109" t="s">
        <v>164</v>
      </c>
      <c r="MO2" s="109"/>
      <c r="MP2" s="109"/>
      <c r="MQ2" s="109"/>
      <c r="MR2" s="71" t="s">
        <v>165</v>
      </c>
      <c r="MS2" s="71" t="s">
        <v>166</v>
      </c>
      <c r="MT2" s="71" t="s">
        <v>162</v>
      </c>
      <c r="MU2" s="71" t="s">
        <v>22</v>
      </c>
      <c r="MV2" s="71" t="s">
        <v>21</v>
      </c>
      <c r="MW2" s="71" t="s">
        <v>57</v>
      </c>
      <c r="MX2" s="71" t="s">
        <v>167</v>
      </c>
      <c r="MY2" s="71" t="s">
        <v>15</v>
      </c>
      <c r="MZ2" s="102" t="s">
        <v>160</v>
      </c>
      <c r="NA2" s="102"/>
      <c r="NB2" s="102"/>
      <c r="NC2" s="102"/>
      <c r="ND2" s="102" t="s">
        <v>161</v>
      </c>
      <c r="NE2" s="102"/>
      <c r="NF2" s="102"/>
      <c r="NG2" s="102"/>
      <c r="NH2" s="102" t="s">
        <v>162</v>
      </c>
      <c r="NI2" s="102"/>
      <c r="NJ2" s="102"/>
      <c r="NK2" s="102"/>
      <c r="NL2" s="102" t="s">
        <v>163</v>
      </c>
      <c r="NM2" s="102"/>
      <c r="NN2" s="102"/>
      <c r="NO2" s="102"/>
      <c r="NP2" s="111" t="s">
        <v>164</v>
      </c>
      <c r="NQ2" s="111"/>
      <c r="NR2" s="111"/>
      <c r="NS2" s="111"/>
      <c r="NT2" s="70" t="s">
        <v>165</v>
      </c>
      <c r="NU2" s="70" t="s">
        <v>166</v>
      </c>
      <c r="NV2" s="70" t="s">
        <v>162</v>
      </c>
      <c r="NW2" s="70" t="s">
        <v>22</v>
      </c>
      <c r="NX2" s="70" t="s">
        <v>21</v>
      </c>
      <c r="NY2" s="70" t="s">
        <v>57</v>
      </c>
      <c r="NZ2" s="70" t="s">
        <v>167</v>
      </c>
      <c r="OA2" s="70" t="s">
        <v>15</v>
      </c>
      <c r="OB2" s="100" t="s">
        <v>160</v>
      </c>
      <c r="OC2" s="100"/>
      <c r="OD2" s="100"/>
      <c r="OE2" s="100"/>
      <c r="OF2" s="100" t="s">
        <v>161</v>
      </c>
      <c r="OG2" s="100"/>
      <c r="OH2" s="100"/>
      <c r="OI2" s="100"/>
      <c r="OJ2" s="100" t="s">
        <v>162</v>
      </c>
      <c r="OK2" s="100"/>
      <c r="OL2" s="100"/>
      <c r="OM2" s="100"/>
      <c r="ON2" s="100" t="s">
        <v>163</v>
      </c>
      <c r="OO2" s="100"/>
      <c r="OP2" s="100"/>
      <c r="OQ2" s="100"/>
      <c r="OR2" s="109" t="s">
        <v>164</v>
      </c>
      <c r="OS2" s="109"/>
      <c r="OT2" s="109"/>
      <c r="OU2" s="109"/>
      <c r="OV2" s="71" t="s">
        <v>165</v>
      </c>
      <c r="OW2" s="71" t="s">
        <v>166</v>
      </c>
      <c r="OX2" s="71" t="s">
        <v>162</v>
      </c>
      <c r="OY2" s="71" t="s">
        <v>22</v>
      </c>
      <c r="OZ2" s="71" t="s">
        <v>21</v>
      </c>
      <c r="PA2" s="71" t="s">
        <v>57</v>
      </c>
      <c r="PB2" s="71" t="s">
        <v>167</v>
      </c>
      <c r="PC2" s="71" t="s">
        <v>15</v>
      </c>
      <c r="PD2" s="102" t="s">
        <v>160</v>
      </c>
      <c r="PE2" s="102"/>
      <c r="PF2" s="102"/>
      <c r="PG2" s="102"/>
      <c r="PH2" s="102" t="s">
        <v>161</v>
      </c>
      <c r="PI2" s="102"/>
      <c r="PJ2" s="102"/>
      <c r="PK2" s="102"/>
      <c r="PL2" s="102" t="s">
        <v>162</v>
      </c>
      <c r="PM2" s="102"/>
      <c r="PN2" s="102"/>
      <c r="PO2" s="102"/>
      <c r="PP2" s="102" t="s">
        <v>163</v>
      </c>
      <c r="PQ2" s="102"/>
      <c r="PR2" s="102"/>
      <c r="PS2" s="102"/>
      <c r="PT2" s="111" t="s">
        <v>164</v>
      </c>
      <c r="PU2" s="111"/>
      <c r="PV2" s="111"/>
      <c r="PW2" s="111"/>
      <c r="PX2" s="70" t="s">
        <v>165</v>
      </c>
      <c r="PY2" s="70" t="s">
        <v>166</v>
      </c>
      <c r="PZ2" s="70" t="s">
        <v>162</v>
      </c>
      <c r="QA2" s="70" t="s">
        <v>22</v>
      </c>
      <c r="QB2" s="70" t="s">
        <v>21</v>
      </c>
      <c r="QC2" s="70" t="s">
        <v>57</v>
      </c>
      <c r="QD2" s="70" t="s">
        <v>167</v>
      </c>
      <c r="QE2" s="70" t="s">
        <v>15</v>
      </c>
      <c r="QF2" s="100" t="s">
        <v>160</v>
      </c>
      <c r="QG2" s="100"/>
      <c r="QH2" s="100"/>
      <c r="QI2" s="100"/>
      <c r="QJ2" s="100" t="s">
        <v>161</v>
      </c>
      <c r="QK2" s="100"/>
      <c r="QL2" s="100"/>
      <c r="QM2" s="100"/>
      <c r="QN2" s="100" t="s">
        <v>162</v>
      </c>
      <c r="QO2" s="100"/>
      <c r="QP2" s="100"/>
      <c r="QQ2" s="100"/>
      <c r="QR2" s="100" t="s">
        <v>163</v>
      </c>
      <c r="QS2" s="100"/>
      <c r="QT2" s="100"/>
      <c r="QU2" s="100"/>
      <c r="QV2" s="110" t="s">
        <v>164</v>
      </c>
      <c r="QW2" s="110"/>
      <c r="QX2" s="110"/>
      <c r="QY2" s="110"/>
      <c r="QZ2" s="71"/>
      <c r="RA2" s="71" t="s">
        <v>165</v>
      </c>
      <c r="RB2" s="71" t="s">
        <v>166</v>
      </c>
      <c r="RC2" s="71" t="s">
        <v>162</v>
      </c>
      <c r="RD2" s="71" t="s">
        <v>22</v>
      </c>
      <c r="RE2" s="71" t="s">
        <v>21</v>
      </c>
      <c r="RF2" s="71" t="s">
        <v>57</v>
      </c>
      <c r="RG2" s="71" t="s">
        <v>167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77" t="s">
        <v>93</v>
      </c>
      <c r="C4" s="5" t="s">
        <v>5</v>
      </c>
      <c r="D4" s="5">
        <v>2001</v>
      </c>
      <c r="E4" s="15">
        <f>SUM(I4:S4)+SUM(I4:O4)*0.0000001+SUM(I4)*0.0000000000001</f>
        <v>203.90001519000509</v>
      </c>
      <c r="F4" s="3" t="str">
        <f>IF(OR(AND(AQ4&gt;=AX$31,AR4&gt;=AX$35,AQ4&lt;&gt;"",AP4=""),AND(AV4&gt;=AX$31,AW4&gt;=AX$35,AV4&lt;&gt;"",AP4=""),AND(BT4&gt;=CA$31,BU4&gt;=CA$35,BT4&lt;&gt;"",BS4=""),AND(BY4&gt;=CA$31,BZ4&gt;=CA$35,BY4&lt;&gt;"",BS4=""),AND(CW4&gt;=DD$31,CX4&gt;=DD$35,CW4&lt;&gt;"",CV4=""),AND(DB4&gt;=DD$31,DC4&gt;=DD$35,DB4&lt;&gt;""),AND(EB4&gt;=EI$31,EC4&gt;=EI$35,EB4&lt;&gt;""),AND(EG4&gt;=EI$31,EH4&gt;=EI$35,EG4&lt;&gt;""),AND(FD4&gt;=FK$31,FE4&gt;=FK$35,FD4&lt;&gt;""),AND(FI4&gt;=FK$31,FJ4&gt;=FK$35,FI4&lt;&gt;""),AND(GF4&gt;=GM$31,GG4&gt;=GM$35,GF4&lt;&gt;""),AND(GK4&gt;=GM$31,GL4&gt;=GM$35,GK4&lt;&gt;""),AND(HH4&gt;=HO$31,HI4&gt;=HO$35,HH4&lt;&gt;""),AND(HM4&gt;=HO$31,HN4&gt;=HO$35,HM4&lt;&gt;""),AND(IJ4&gt;=IQ$31,IK4&gt;=IQ$35,IJ4&lt;&gt;""),AND(IO4&gt;=IQ$31,IP4&gt;=IQ$35,IO4&lt;&gt;""),AND(JL4&gt;=JS$31,JM4&gt;=JS$35,JL4&lt;&gt;""),AND(JQ4&gt;=JS$31,JR4&gt;=JS$35,JQ4&lt;&gt;""),AND(KN4&gt;=KU$31,KO4&gt;=KU$35,KN4&lt;&gt;""),AND(KS4&gt;=KU$31,KT4&gt;=KU$35,KS4&lt;&gt;""),AND(LP4&gt;=LW$31,LQ4&gt;=LW$35,LP4&lt;&gt;""),AND(LU4&gt;=LW$31,LV4&gt;=LW$35,LU4&lt;&gt;""),AND(MR4&gt;=MY$31,MS4&gt;=MY$35,MR4&lt;&gt;""),AND(MW4&gt;=MY$31,MX4&gt;=MY$35,MW4&lt;&gt;""),AND(NT4&gt;=OA$31,NU4&gt;=OA$35,NT4&lt;&gt;""),AND(NY4&gt;=OA$31,NZ4&gt;=OA$35,NY4&lt;&gt;""),AND(OV4&gt;=PC$31,OW4&gt;=PC$35,OV4&lt;&gt;""),AND(PA4&gt;=PC$31,PB4&gt;=PC$35,PA4&lt;&gt;""),AND(PX4&gt;=QE$31,PY4&gt;=QE$35,PX4&lt;&gt;""),AND(QC4&gt;=QE$31,QD4&gt;=QE$35,QC4&lt;&gt;"")),"P","")</f>
        <v>P</v>
      </c>
      <c r="G4" s="3" t="str">
        <f>IF(OR(AND(AR4&gt;=AX$35,AR4&lt;&gt;"",AP4=""),AND(AW4&gt;=AX$35,AW4&lt;&gt;"",AP4=""),AND(BU4&gt;=CA$35,BU4&lt;&gt;"",BS4=""),AND(BZ4&gt;=CA$35,BZ4&lt;&gt;"",BS4=""),AND(CX4&gt;=DD$35,CX4&lt;&gt;"",CV4=""),AND(DC4&gt;=DD$35,DC4&lt;&gt;"",CV4=""),AND(EC4&gt;=EI$35,EC4&lt;&gt;""),AND(EH4&gt;=EI$35,EH4&lt;&gt;""),AND(FE4&gt;=FK$35,FE4&lt;&gt;""),AND(FJ4&gt;=FK$35,FJ4&lt;&gt;""),AND(GG4&gt;=GM$35,GG4&lt;&gt;""),AND(GL4&gt;=GM$35,GL4&lt;&gt;""),AND(HI4&gt;=HO$35,HI4&lt;&gt;""),AND(HN4&gt;=HO$35,HN4&lt;&gt;""),AND(IK4&gt;=IQ$35,IK4&lt;&gt;""),AND(IP4&gt;=IQ$35,IP4&lt;&gt;""),AND(JM4&gt;=JS$35,JM4&lt;&gt;""),AND(JR4&gt;=JS$35,JR4&lt;&gt;""),AND(KO4&gt;=KU$35,KO4&lt;&gt;""),AND(KT4&gt;=KU$35,KT4&lt;&gt;""),AND(LQ4&gt;=LW$35,LQ4&lt;&gt;""),AND(LV4&gt;=LW$35,LV4&lt;&gt;""),AND(MS4&gt;=MY$35,MS4&lt;&gt;""),AND(MX4&gt;=MY$35,MX4&lt;&gt;""),AND(NU4&gt;=OA$35,NU4&lt;&gt;""),AND(NZ4&gt;=OA$35,NZ4&lt;&gt;""),AND(OW4&gt;=PC$35,OW4&lt;&gt;""),AND(PB4&gt;=PC$35,PB4&lt;&gt;""),AND(PY4&gt;=QE$35,PY4&lt;&gt;""),AND(QD4&gt;=QE$35,QD4&lt;&gt;"")),"P","")</f>
        <v>P</v>
      </c>
      <c r="H4" s="66" t="str">
        <f>IF(AND(G4="P",F4=""),"No DD",IF(OR(AND(AT4&gt;=AX$34,AU4&gt;=AX$38,AT4&lt;&gt;"",AP4=""),AND(BW4&gt;=CA$34,BX4&gt;=CA$38,BW4&lt;&gt;"",BS4=""),AND(CZ4&gt;=DD$34,DA4&gt;=DD$38,CZ4&lt;&gt;"",CV4=""),AND(EE4&gt;=EI$34,EF4&gt;=EI$38,EE4&lt;&gt;""),AND(FG4&gt;=FK$34,FH4&gt;=FK$38,FG4&lt;&gt;""),AND(GI4&gt;=GM$34,GJ4&gt;=GM$38,GI4&lt;&gt;""),AND(HK4&gt;=HO$34,HL4&gt;=HO$38,HK4&lt;&gt;""),AND(IM4&gt;=IQ$34,IN4&gt;=IQ$38,IM4&lt;&gt;""),AND(JO4&gt;=JS$34,JP4&gt;=JS$38,JO4&lt;&gt;""),AND(KQ4&gt;=KU$34,KR4&gt;=KU$38,KQ4&lt;&gt;""),AND(LS4&gt;=LW$34,LT4&gt;=LW$38,LS4&lt;&gt;""),AND(MU4&gt;=MY$34,MV4&gt;=MY$38,MU4&lt;&gt;""),AND(NW4&gt;=OA$34,NX4&gt;=OA$38,NW4&lt;&gt;""),AND(OY4&gt;=PC$34,OZ4&gt;=PC$38,OY4&lt;&gt;""),AND(QA4&gt;=QE$34,QB4&gt;=QE$38,QA4&lt;&gt;"")),"Merit",IF(OR(AND(AT4&gt;=AX$33,AU4&gt;=AX$37,AT4&lt;&gt;"",AP4=""),AND(BW4&gt;=CA$33,BX4&gt;=CA$37,BW4&lt;&gt;"",BS4=""),AND(CZ4&gt;=DD$33,DA4&gt;=DD$37,CZ4&lt;&gt;"",CV4=""),AND(EE4&gt;=EI$33,EF4&gt;=EI$37,EE4&lt;&gt;""),AND(FG4&gt;=FK$33,FH4&gt;=FK$37,FG4&lt;&gt;""),AND(GI4&gt;=GM$33,GJ4&gt;=GM$37,GI4&lt;&gt;""),AND(HK4&gt;=HO$33,HL4&gt;=HO$37,HK4&lt;&gt;""),AND(IM4&gt;=IQ$33,IN4&gt;=IQ$37,IM4&lt;&gt;""),AND(JO4&gt;=JS$33,JP4&gt;=JS$37,JO4&lt;&gt;""),AND(KQ4&gt;=KU$33,KR4&gt;=KU$37,KQ4&lt;&gt;""),AND(LS4&gt;=LW$33,LT4&gt;=LW$37,LS4&lt;&gt;""),AND(MU4&gt;=MY$33,MV4&gt;=MY$37,MU4&lt;&gt;""),AND(NW4&gt;=OA$33,NX4&gt;=OA$37,NW4&lt;&gt;""),AND(OY4&gt;=PC$33,OZ4&gt;=PC$37,OY4&lt;&gt;""),AND(QA4&gt;=QE$33,QB4&gt;=QE$37,QA4&lt;&gt;"")),"Excellence",IF(F4="P","National Team",""))))</f>
        <v>National Team</v>
      </c>
      <c r="I4" s="14">
        <f>IF(COUNT(AR4,BU4,CX4)&gt;0,LARGE((AR4,BU4,CX4),1),0)</f>
        <v>51.099999999999994</v>
      </c>
      <c r="J4" s="14" t="str">
        <f>IF(I4=0,"",IF(I4=CX4,$CB$1,IF(I4=BU4,$AY$1,IF(I4=AR4,$V$1,""))))</f>
        <v>2022 Nationals</v>
      </c>
      <c r="K4" s="14">
        <f>IF(COUNT(AR4,BU4,CX4)&gt;1,LARGE((AR4,BU4,CX4),2),0)</f>
        <v>50.8</v>
      </c>
      <c r="L4" s="14" t="str">
        <f>IF(K4=0,"",IF(K4=CX4,$CB$1,IF(K4=BU4,$AY$1,IF(K4=AR4,$V$1,""))))</f>
        <v>2022 Elite Canada</v>
      </c>
      <c r="M4" s="14">
        <f>IF(COUNT(AS4,BV4,CY4)&gt;0,LARGE((AS4,BV4,CY4),1),0)</f>
        <v>25.099999999999998</v>
      </c>
      <c r="N4" s="14" t="str">
        <f>IF(M4=0,"",IF(M4=CY4,$CB$1,IF(M4=BV4,$AY$1,IF(M4=AS4,$V$1,""))))</f>
        <v>2022 Nationals</v>
      </c>
      <c r="O4" s="14">
        <f>IF(COUNT(AS4,BV4,CY4)&gt;1,LARGE((AS4,BV4,CY4),2),0)</f>
        <v>24.9</v>
      </c>
      <c r="P4" s="14" t="str">
        <f>IF(O4=0,"",IF(O4=CY4,$CB$1,IF(O4=BV4,$AY$1,IF(O4=AS4,$V$1,""))))</f>
        <v>2022 3rd Domestic Trial</v>
      </c>
      <c r="Q4" s="14">
        <f>IF(MAX(AW4,BZ4,DC4)&gt;0,MAX(AW4,BZ4,DC4),0)</f>
        <v>51.8</v>
      </c>
      <c r="R4" s="14" t="str">
        <f>IF(Q4=0,"",IF(Q4=DC4,$CB$1,IF(Q4=BZ4,$AY$1,IF(Q4=AW4,$V$1,""))))</f>
        <v>2022 3rd Domestic Trial</v>
      </c>
      <c r="S4" s="14">
        <f>IF(MAX(DE4:DG4)&gt;0,MAX(DE4:DG4),"")</f>
        <v>0.19999999999999574</v>
      </c>
      <c r="T4" s="19" t="str">
        <f>IF(S4="","",IF(S4=DE4,"("&amp;DE$2&amp;")",IF(S4=DG4,"("&amp;DG$2&amp;")")))</f>
        <v>(Q1)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6">
        <v>18.8</v>
      </c>
      <c r="W4" s="26">
        <v>6.8</v>
      </c>
      <c r="X4" s="26">
        <v>0</v>
      </c>
      <c r="Y4" s="26">
        <v>0.3</v>
      </c>
      <c r="Z4" s="26">
        <v>18.600000000000001</v>
      </c>
      <c r="AA4" s="26">
        <v>6.8</v>
      </c>
      <c r="AB4" s="26">
        <v>0.8</v>
      </c>
      <c r="AC4" s="26">
        <v>0.3</v>
      </c>
      <c r="AD4" s="26">
        <v>18.5</v>
      </c>
      <c r="AE4" s="26">
        <v>5.6</v>
      </c>
      <c r="AF4" s="26">
        <v>0.6</v>
      </c>
      <c r="AG4" s="26">
        <v>0</v>
      </c>
      <c r="AH4" s="26">
        <v>18.100000000000001</v>
      </c>
      <c r="AI4" s="26">
        <v>6.8</v>
      </c>
      <c r="AJ4" s="26">
        <v>0.2</v>
      </c>
      <c r="AK4" s="26">
        <v>0.6</v>
      </c>
      <c r="AL4" s="26">
        <v>18.8</v>
      </c>
      <c r="AM4" s="26">
        <v>6.4</v>
      </c>
      <c r="AN4" s="26">
        <v>0</v>
      </c>
      <c r="AO4" s="26">
        <v>0</v>
      </c>
      <c r="AP4" s="44"/>
      <c r="AQ4" s="78">
        <f>IF(SUM(W4,AA4)&gt;0,SUM(W4,AA4),"")</f>
        <v>13.6</v>
      </c>
      <c r="AR4" s="78">
        <f>IF(SUM(V4:W4,Y4:AA4,AC4)-X4-AB4&gt;0,SUM(V4:W4,Y4:AA4,AC4)-X4-AB4,"")</f>
        <v>50.8</v>
      </c>
      <c r="AS4" s="78">
        <f>IF(SUM(AD4:AE4,AG4)-AF4&gt;0,SUM(AD4:AE4,AG4)-AF4,"")</f>
        <v>23.5</v>
      </c>
      <c r="AT4" s="78">
        <f>IF(SUM(W4,AA4,AE4)&gt;0,SUM(W4,AA4,AE4),"")</f>
        <v>19.2</v>
      </c>
      <c r="AU4" s="78">
        <f>IF(SUM(AR4,AS4)&gt;0,SUM(AR4,AS4),"")</f>
        <v>74.3</v>
      </c>
      <c r="AV4" s="78">
        <f>IF(SUM(AI4,AM4)&gt;0,SUM(AI4,AM4),"")</f>
        <v>13.2</v>
      </c>
      <c r="AW4" s="78">
        <f>IF(SUM(AH4:AI4,AK4:AM4,AO4)-SUM(AJ4,AN4)&gt;0,SUM(AH4:AI4,AK4:AM4,AO4)-SUM(AJ4,AN4),"")</f>
        <v>50.5</v>
      </c>
      <c r="AX4" s="78">
        <f>IF(SUM(AR4,AW4)&gt;0,SUM(AR4,AW4),"")</f>
        <v>101.3</v>
      </c>
      <c r="AY4" s="25">
        <v>18.7</v>
      </c>
      <c r="AZ4" s="25">
        <v>6.8</v>
      </c>
      <c r="BA4" s="25">
        <v>0.2</v>
      </c>
      <c r="BB4" s="25">
        <v>0.3</v>
      </c>
      <c r="BC4" s="25">
        <v>18.600000000000001</v>
      </c>
      <c r="BD4" s="25">
        <v>6.8</v>
      </c>
      <c r="BE4" s="25">
        <v>0.2</v>
      </c>
      <c r="BF4" s="25">
        <v>0.3</v>
      </c>
      <c r="BG4" s="25">
        <v>18.399999999999999</v>
      </c>
      <c r="BH4" s="25">
        <v>6.4</v>
      </c>
      <c r="BI4" s="25">
        <v>0</v>
      </c>
      <c r="BJ4" s="25">
        <v>0.3</v>
      </c>
      <c r="BK4" s="25">
        <v>0</v>
      </c>
      <c r="BL4" s="25">
        <v>0</v>
      </c>
      <c r="BM4" s="25">
        <v>0</v>
      </c>
      <c r="BN4" s="25">
        <v>0</v>
      </c>
      <c r="BO4" s="25">
        <v>18.5</v>
      </c>
      <c r="BP4" s="25">
        <v>8.4</v>
      </c>
      <c r="BQ4" s="25">
        <v>0</v>
      </c>
      <c r="BR4" s="25">
        <v>0.6</v>
      </c>
      <c r="BS4" s="45"/>
      <c r="BT4" s="19">
        <f>IF(SUM(AZ4,BD4)&gt;0,SUM(AZ4,BD4),"")</f>
        <v>13.6</v>
      </c>
      <c r="BU4" s="19">
        <f>IF(SUM(AY4:AZ4,BB4:BD4,BF4)-BA4-BE4&gt;0,SUM(AY4:AZ4,BB4:BD4,BF4)-BA4-BE4,"")</f>
        <v>51.099999999999994</v>
      </c>
      <c r="BV4" s="19">
        <f>IF(SUM(BG4:BH4,BJ4)-BI4&gt;0,SUM(BG4:BH4,BJ4)-BI4,"")</f>
        <v>25.099999999999998</v>
      </c>
      <c r="BW4" s="19">
        <f>IF(SUM(AZ4,BD4,BH4)&gt;0,SUM(AZ4,BD4,BH4),"")</f>
        <v>20</v>
      </c>
      <c r="BX4" s="19">
        <f>IF(SUM(BU4,BV4)&gt;0,SUM(BU4,BV4),"")</f>
        <v>76.199999999999989</v>
      </c>
      <c r="BY4" s="19">
        <f>IF(SUM(BL4,BP4)&gt;0,SUM(BL4,BP4),"")</f>
        <v>8.4</v>
      </c>
      <c r="BZ4" s="19">
        <f>IF(SUM(BK4:BL4,BN4:BP4,BR4)-SUM(BM4,BQ4)&gt;0,SUM(BK4:BL4,BN4:BP4,BR4)-SUM(BM4,BQ4),"")</f>
        <v>27.5</v>
      </c>
      <c r="CA4" s="19">
        <f>IF(SUM(BU4,BZ4)&gt;0,SUM(BU4,BZ4),"")</f>
        <v>78.599999999999994</v>
      </c>
      <c r="CB4" s="26">
        <v>18.899999999999999</v>
      </c>
      <c r="CC4" s="26">
        <v>6</v>
      </c>
      <c r="CD4" s="26">
        <v>0.2</v>
      </c>
      <c r="CE4" s="26">
        <v>0.3</v>
      </c>
      <c r="CF4" s="26">
        <v>19</v>
      </c>
      <c r="CG4" s="26">
        <v>6.4</v>
      </c>
      <c r="CH4" s="26">
        <v>0</v>
      </c>
      <c r="CI4" s="26">
        <v>0</v>
      </c>
      <c r="CJ4" s="26">
        <v>18.399999999999999</v>
      </c>
      <c r="CK4" s="26">
        <v>6.8</v>
      </c>
      <c r="CL4" s="26">
        <v>0.6</v>
      </c>
      <c r="CM4" s="26">
        <v>0.3</v>
      </c>
      <c r="CN4" s="26">
        <v>18.600000000000001</v>
      </c>
      <c r="CO4" s="26">
        <v>6.8</v>
      </c>
      <c r="CP4" s="26">
        <v>0.2</v>
      </c>
      <c r="CQ4" s="26">
        <v>0.3</v>
      </c>
      <c r="CR4" s="26">
        <v>18.8</v>
      </c>
      <c r="CS4" s="26">
        <v>7.2</v>
      </c>
      <c r="CT4" s="26">
        <v>0</v>
      </c>
      <c r="CU4" s="26">
        <v>0.3</v>
      </c>
      <c r="CV4" s="44"/>
      <c r="CW4" s="78">
        <f>IF(SUM(CC4,CG4)&gt;0,SUM(CC4,CG4),"")</f>
        <v>12.4</v>
      </c>
      <c r="CX4" s="78">
        <f>IF(SUM(CB4:CC4,CE4:CG4,CI4)-CD4-CH4&gt;0,SUM(CB4:CC4,CE4:CG4,CI4)-CD4-CH4,"")</f>
        <v>50.4</v>
      </c>
      <c r="CY4" s="78">
        <f>IF(SUM(CJ4:CK4,CM4)-CL4&gt;0,SUM(CJ4:CK4,CM4)-CL4,"")</f>
        <v>24.9</v>
      </c>
      <c r="CZ4" s="78">
        <f>IF(SUM(CC4,CG4,CK4)&gt;0,SUM(CC4,CG4,CK4),"")</f>
        <v>19.2</v>
      </c>
      <c r="DA4" s="78">
        <f>IF(SUM(CX4,CY4)&gt;0,SUM(CX4,CY4),"")</f>
        <v>75.3</v>
      </c>
      <c r="DB4" s="78">
        <f>IF(SUM(CO4,CS4)&gt;0,SUM(CO4,CS4),"")</f>
        <v>14</v>
      </c>
      <c r="DC4" s="78">
        <f>IF(SUM(CN4:CO4,CQ4:CS4,CU4)-SUM(CP4,CT4)&gt;0,SUM(CN4:CO4,CQ4:CS4,CU4)-SUM(CP4,CT4),"")</f>
        <v>51.8</v>
      </c>
      <c r="DD4" s="78">
        <f>IF(SUM(CX4,DC4)&gt;0,SUM(CX4,DC4),"")</f>
        <v>102.19999999999999</v>
      </c>
      <c r="DE4" s="79">
        <f>IF(K4&gt;=0.001,IF(MAX(EC4,FE4,GG4,HI4,IK4,JM4,KO4,LQ4,MS4,NU4,OW4,PY4)-IF(K4="",0,K4)&gt;0.001,MAX(EC4,FE4,GG4,HI4,IK4,JM4,KO4,LQ4,MS4,NU4,OW4,PY4)-IF(K4="",0,K4),""),"")</f>
        <v>0.19999999999999574</v>
      </c>
      <c r="DF4" s="79" t="str">
        <f>IF(O4&gt;=0.001,IF(MAX(ED4,FF4,GH4,HJ4,IL4,JN4,KP4,LR4,MT4,NV4,OX4,PZ4)-IF(O4="",0,O4)&gt;0.001,MAX(ED4,FF4,GH4,HJ4,IL4,JN4,KP4,LR4,MT4,NV4,OX4,PZ4)-IF(O4="",0,O4),""),"")</f>
        <v/>
      </c>
      <c r="DG4" s="79" t="str">
        <f>IF(Q4&gt;=0.001,IF(MAX(EH4,FJ4,GL4,HN4,IP4,JR4,KT4,LV4,MX4,NZ4,PB4,QD4)-IF(Q4="",0,Q4)&gt;0.001,MAX(EH4,FJ4,GL4,HN4,IP4,JR4,KT4,LV4,MX4,NZ4,PB4,QD4)-IF(Q4="",0,Q4),""),"")</f>
        <v/>
      </c>
      <c r="DH4" s="24">
        <v>1E-4</v>
      </c>
      <c r="DI4" s="24">
        <v>1E-4</v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>
        <f>IF(SUM(DI4,DM4)&gt;0,SUM(DI4,DM4),"")</f>
        <v>1E-4</v>
      </c>
      <c r="EC4" s="78">
        <f>IF(SUM(DH4:DI4,DK4:DM4,DO4)-DJ4-DN4&gt;0,SUM(DH4:DI4,DK4:DM4,DO4)-DJ4-DN4,"")</f>
        <v>2.0000000000000001E-4</v>
      </c>
      <c r="ED4" s="78" t="str">
        <f>IF(SUM(DP4:DQ4,DS4)-DR4&gt;0,SUM(DP4:DQ4,DS4)-DR4,"")</f>
        <v/>
      </c>
      <c r="EE4" s="78">
        <f>IF(SUM(DI4,DM4,DQ4)&gt;0,SUM(DI4,DM4,DQ4),"")</f>
        <v>1E-4</v>
      </c>
      <c r="EF4" s="78">
        <f>IF(SUM(EC4,ED4)&gt;0,SUM(EC4,ED4),"")</f>
        <v>2.0000000000000001E-4</v>
      </c>
      <c r="EG4" s="78" t="str">
        <f>IF(SUM(DU4,DY4)&gt;0,SUM(DU4,DY4),"")</f>
        <v/>
      </c>
      <c r="EH4" s="78" t="str">
        <f>IF(SUM(DT4:DU4,DW4:DY4,EA4)-SUM(DV4,DZ4)&gt;0,SUM(DT4:DU4,DW4:DY4,EA4)-SUM(DV4,DZ4),"")</f>
        <v/>
      </c>
      <c r="EI4" s="78">
        <f>IF(SUM(EC4,EH4)&gt;0,SUM(EC4,EH4),"")</f>
        <v>2.0000000000000001E-4</v>
      </c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19" t="str">
        <f>IF(SUM(EK4,EO4)&gt;0,SUM(EK4,EO4),"")</f>
        <v/>
      </c>
      <c r="FE4" s="19" t="str">
        <f>IF(SUM(EJ4:EK4,EM4:EO4,EQ4)-EL4-EP4&gt;0,SUM(EJ4:EK4,EM4:EO4,EQ4)-EL4-EP4,"")</f>
        <v/>
      </c>
      <c r="FF4" s="19" t="str">
        <f>IF(SUM(ER4:ES4,EU4)-ET4&gt;0,SUM(ER4:ES4,EU4)-ET4,"")</f>
        <v/>
      </c>
      <c r="FG4" s="19" t="str">
        <f>IF(SUM(EK4,EO4,ES4)&gt;0,SUM(EK4,EO4,ES4),"")</f>
        <v/>
      </c>
      <c r="FH4" s="19" t="str">
        <f>IF(SUM(FE4,FF4)&gt;0,SUM(FE4,FF4),"")</f>
        <v/>
      </c>
      <c r="FI4" s="19" t="str">
        <f>IF(SUM(EW4,FA4)&gt;0,SUM(EW4,FA4),"")</f>
        <v/>
      </c>
      <c r="FJ4" s="19" t="str">
        <f>IF(SUM(EV4:EW4,EY4:FA4,FC4)-SUM(EX4,FB4)&gt;0,SUM(EV4:EW4,EY4:FA4,FC4)-SUM(EX4,FB4),"")</f>
        <v/>
      </c>
      <c r="FK4" s="19" t="str">
        <f>IF(SUM(FE4,FJ4)&gt;0,SUM(FE4,FJ4),"")</f>
        <v/>
      </c>
      <c r="FL4" s="24">
        <v>18.8</v>
      </c>
      <c r="FM4" s="24">
        <v>6.8</v>
      </c>
      <c r="FN4" s="24">
        <v>0.6</v>
      </c>
      <c r="FO4" s="24">
        <v>0.3</v>
      </c>
      <c r="FP4" s="24">
        <v>18.8</v>
      </c>
      <c r="FQ4" s="24">
        <v>6.8</v>
      </c>
      <c r="FR4" s="24">
        <v>0.2</v>
      </c>
      <c r="FS4" s="24">
        <v>0.3</v>
      </c>
      <c r="FT4" s="24"/>
      <c r="FU4" s="24"/>
      <c r="FV4" s="24"/>
      <c r="FW4" s="24"/>
      <c r="FX4" s="24">
        <v>18.399999999999999</v>
      </c>
      <c r="FY4" s="24">
        <v>4.4000000000000004</v>
      </c>
      <c r="FZ4" s="24">
        <v>1</v>
      </c>
      <c r="GA4" s="24">
        <v>0</v>
      </c>
      <c r="GB4" s="24">
        <v>18.600000000000001</v>
      </c>
      <c r="GC4" s="24">
        <v>6.8</v>
      </c>
      <c r="GD4" s="24">
        <v>0</v>
      </c>
      <c r="GE4" s="24">
        <v>0.3</v>
      </c>
      <c r="GF4" s="78">
        <f>IF(SUM(FM4,FQ4)&gt;0,SUM(FM4,FQ4),"")</f>
        <v>13.6</v>
      </c>
      <c r="GG4" s="78">
        <f>IF(SUM(FL4:FM4,FO4:FQ4,FS4)-FN4-FR4&gt;0,SUM(FL4:FM4,FO4:FQ4,FS4)-FN4-FR4,"")</f>
        <v>50.999999999999993</v>
      </c>
      <c r="GH4" s="78" t="str">
        <f>IF(SUM(FT4:FU4,FW4)-FV4&gt;0,SUM(FT4:FU4,FW4)-FV4,"")</f>
        <v/>
      </c>
      <c r="GI4" s="78">
        <f>IF(SUM(FM4,FQ4,FU4)&gt;0,SUM(FM4,FQ4,FU4),"")</f>
        <v>13.6</v>
      </c>
      <c r="GJ4" s="78">
        <f>IF(SUM(GG4,GH4)&gt;0,SUM(GG4,GH4),"")</f>
        <v>50.999999999999993</v>
      </c>
      <c r="GK4" s="78">
        <f>IF(SUM(FY4,GC4)&gt;0,SUM(FY4,GC4),"")</f>
        <v>11.2</v>
      </c>
      <c r="GL4" s="78">
        <f>IF(SUM(FX4:FY4,GA4:GC4,GE4)-SUM(FZ4,GD4)&gt;0,SUM(FX4:FY4,GA4:GC4,GE4)-SUM(FZ4,GD4),"")</f>
        <v>47.499999999999993</v>
      </c>
      <c r="GM4" s="78">
        <f>IF(SUM(GG4,GL4)&gt;0,SUM(GG4,GL4),"")</f>
        <v>98.499999999999986</v>
      </c>
      <c r="GN4" s="25">
        <v>18.399999999999999</v>
      </c>
      <c r="GO4" s="25">
        <v>6</v>
      </c>
      <c r="GP4" s="25">
        <v>0</v>
      </c>
      <c r="GQ4" s="25">
        <v>0.3</v>
      </c>
      <c r="GR4" s="25">
        <v>18.8</v>
      </c>
      <c r="GS4" s="25">
        <v>6.8</v>
      </c>
      <c r="GT4" s="25">
        <v>0</v>
      </c>
      <c r="GU4" s="25">
        <v>0.3</v>
      </c>
      <c r="GV4" s="25"/>
      <c r="GW4" s="25"/>
      <c r="GX4" s="25"/>
      <c r="GY4" s="25"/>
      <c r="GZ4" s="25">
        <v>18.7</v>
      </c>
      <c r="HA4" s="25">
        <v>6.8</v>
      </c>
      <c r="HB4" s="25">
        <v>0.2</v>
      </c>
      <c r="HC4" s="25">
        <v>0.3</v>
      </c>
      <c r="HD4" s="25">
        <v>18</v>
      </c>
      <c r="HE4" s="25">
        <v>6.4</v>
      </c>
      <c r="HF4" s="25">
        <v>0.2</v>
      </c>
      <c r="HG4" s="25">
        <v>0.3</v>
      </c>
      <c r="HH4" s="19">
        <f>IF(SUM(GO4,GS4)&gt;0,SUM(GO4,GS4),"")</f>
        <v>12.8</v>
      </c>
      <c r="HI4" s="19">
        <f>IF(SUM(GN4:GO4,GQ4:GS4,GU4)-GP4-GT4&gt;0,SUM(GN4:GO4,GQ4:GS4,GU4)-GP4-GT4,"")</f>
        <v>50.599999999999994</v>
      </c>
      <c r="HJ4" s="19" t="str">
        <f>IF(SUM(GV4:GW4,GY4)-GX4&gt;0,SUM(GV4:GW4,GY4)-GX4,"")</f>
        <v/>
      </c>
      <c r="HK4" s="19">
        <f>IF(SUM(GO4,GS4,GW4)&gt;0,SUM(GO4,GS4,GW4),"")</f>
        <v>12.8</v>
      </c>
      <c r="HL4" s="19">
        <f>IF(SUM(HI4,HJ4)&gt;0,SUM(HI4,HJ4),"")</f>
        <v>50.599999999999994</v>
      </c>
      <c r="HM4" s="19">
        <f>IF(SUM(HA4,HE4)&gt;0,SUM(HA4,HE4),"")</f>
        <v>13.2</v>
      </c>
      <c r="HN4" s="19">
        <f>IF(SUM(GZ4:HA4,HC4:HE4,HG4)-SUM(HB4,HF4)&gt;0,SUM(GZ4:HA4,HC4:HE4,HG4)-SUM(HB4,HF4),"")</f>
        <v>50.099999999999994</v>
      </c>
      <c r="HO4" s="19">
        <f>IF(SUM(HI4,HN4)&gt;0,SUM(HI4,HN4),"")</f>
        <v>100.69999999999999</v>
      </c>
      <c r="HP4" s="24">
        <v>18.600000000000001</v>
      </c>
      <c r="HQ4" s="24">
        <v>6.8</v>
      </c>
      <c r="HR4" s="24">
        <v>0</v>
      </c>
      <c r="HS4" s="24">
        <v>0</v>
      </c>
      <c r="HT4" s="24">
        <v>18.399999999999999</v>
      </c>
      <c r="HU4" s="24">
        <v>6.8</v>
      </c>
      <c r="HV4" s="24">
        <v>0</v>
      </c>
      <c r="HW4" s="24">
        <v>0</v>
      </c>
      <c r="HX4" s="24"/>
      <c r="HY4" s="24"/>
      <c r="HZ4" s="24"/>
      <c r="IA4" s="24"/>
      <c r="IB4" s="24">
        <v>18.600000000000001</v>
      </c>
      <c r="IC4" s="24">
        <v>7.2</v>
      </c>
      <c r="ID4" s="24">
        <v>0.6</v>
      </c>
      <c r="IE4" s="24">
        <v>0</v>
      </c>
      <c r="IF4" s="24">
        <v>18.7</v>
      </c>
      <c r="IG4" s="24">
        <v>7.6</v>
      </c>
      <c r="IH4" s="24">
        <v>0.2</v>
      </c>
      <c r="II4" s="24">
        <v>0</v>
      </c>
      <c r="IJ4" s="78">
        <f>IF(SUM(HQ4,HU4)&gt;0,SUM(HQ4,HU4),"")</f>
        <v>13.6</v>
      </c>
      <c r="IK4" s="78">
        <f>IF(SUM(HP4:HQ4,HS4:HU4,HW4)-HR4-HV4&gt;0,SUM(HP4:HQ4,HS4:HU4,HW4)-HR4-HV4,"")</f>
        <v>50.599999999999994</v>
      </c>
      <c r="IL4" s="78" t="str">
        <f>IF(SUM(HX4:HY4,IA4)-HZ4&gt;0,SUM(HX4:HY4,IA4)-HZ4,"")</f>
        <v/>
      </c>
      <c r="IM4" s="78">
        <f>IF(SUM(HQ4,HU4,HY4)&gt;0,SUM(HQ4,HU4,HY4),"")</f>
        <v>13.6</v>
      </c>
      <c r="IN4" s="78">
        <f>IF(SUM(IK4,IL4)&gt;0,SUM(IK4,IL4),"")</f>
        <v>50.599999999999994</v>
      </c>
      <c r="IO4" s="78">
        <f>IF(SUM(IC4,IG4)&gt;0,SUM(IC4,IG4),"")</f>
        <v>14.8</v>
      </c>
      <c r="IP4" s="78">
        <f>IF(SUM(IB4:IC4,IE4:IG4,II4)-SUM(ID4,IH4)&gt;0,SUM(IB4:IC4,IE4:IG4,II4)-SUM(ID4,IH4),"")</f>
        <v>51.300000000000004</v>
      </c>
      <c r="IQ4" s="78">
        <f>IF(SUM(IK4,IP4)&gt;0,SUM(IK4,IP4),"")</f>
        <v>101.9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>IF(SUM(IS4,IW4)&gt;0,SUM(IS4,IW4),"")</f>
        <v/>
      </c>
      <c r="JM4" s="19" t="str">
        <f>IF(SUM(IR4:IS4,IU4:IW4,IY4)-IT4-IX4&gt;0,SUM(IR4:IS4,IU4:IW4,IY4)-IT4-IX4,"")</f>
        <v/>
      </c>
      <c r="JN4" s="19" t="str">
        <f>IF(SUM(IZ4:JA4,JC4)-JB4&gt;0,SUM(IZ4:JA4,JC4)-JB4,"")</f>
        <v/>
      </c>
      <c r="JO4" s="19" t="str">
        <f>IF(SUM(IS4,IW4,JA4)&gt;0,SUM(IS4,IW4,JA4),"")</f>
        <v/>
      </c>
      <c r="JP4" s="19" t="str">
        <f>IF(SUM(JM4,JN4)&gt;0,SUM(JM4,JN4),"")</f>
        <v/>
      </c>
      <c r="JQ4" s="19" t="str">
        <f>IF(SUM(JE4,JI4)&gt;0,SUM(JE4,JI4),"")</f>
        <v/>
      </c>
      <c r="JR4" s="19" t="str">
        <f>IF(SUM(JD4:JE4,JG4:JI4,JK4)-SUM(JF4,JJ4)&gt;0,SUM(JD4:JE4,JG4:JI4,JK4)-SUM(JF4,JJ4),"")</f>
        <v/>
      </c>
      <c r="JS4" s="19" t="str">
        <f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>IF(SUM(JU4,JY4)&gt;0,SUM(JU4,JY4),"")</f>
        <v/>
      </c>
      <c r="KO4" s="78" t="str">
        <f>IF(SUM(JT4:JU4,JW4:JY4,KA4)-JV4-JZ4&gt;0,SUM(JT4:JU4,JW4:JY4,KA4)-JV4-JZ4,"")</f>
        <v/>
      </c>
      <c r="KP4" s="78" t="str">
        <f>IF(SUM(KB4:KC4,KE4)-KD4&gt;0,SUM(KB4:KC4,KE4)-KD4,"")</f>
        <v/>
      </c>
      <c r="KQ4" s="78" t="str">
        <f>IF(SUM(JU4,JY4,KC4)&gt;0,SUM(JU4,JY4,KC4),"")</f>
        <v/>
      </c>
      <c r="KR4" s="78" t="str">
        <f>IF(SUM(KO4,KP4)&gt;0,SUM(KO4,KP4),"")</f>
        <v/>
      </c>
      <c r="KS4" s="78" t="str">
        <f>IF(SUM(KG4,KK4)&gt;0,SUM(KG4,KK4),"")</f>
        <v/>
      </c>
      <c r="KT4" s="78" t="str">
        <f>IF(SUM(KF4:KG4,KI4:KK4,KM4)-SUM(KH4,KL4)&gt;0,SUM(KF4:KG4,KI4:KK4,KM4)-SUM(KH4,KL4),"")</f>
        <v/>
      </c>
      <c r="KU4" s="78" t="str">
        <f>IF(SUM(KO4,KT4)&gt;0,SUM(KO4,KT4),"")</f>
        <v/>
      </c>
      <c r="KV4" s="25">
        <v>18.5</v>
      </c>
      <c r="KW4" s="25">
        <v>7.2</v>
      </c>
      <c r="KX4" s="25">
        <v>0</v>
      </c>
      <c r="KY4" s="25">
        <v>0</v>
      </c>
      <c r="KZ4" s="25">
        <v>17.399999999999999</v>
      </c>
      <c r="LA4" s="25">
        <v>6.8</v>
      </c>
      <c r="LB4" s="25">
        <v>0.6</v>
      </c>
      <c r="LC4" s="25">
        <v>0</v>
      </c>
      <c r="LD4" s="25"/>
      <c r="LE4" s="25"/>
      <c r="LF4" s="25"/>
      <c r="LG4" s="25"/>
      <c r="LH4" s="25">
        <v>18.100000000000001</v>
      </c>
      <c r="LI4" s="25">
        <v>6.8</v>
      </c>
      <c r="LJ4" s="25">
        <v>0.6</v>
      </c>
      <c r="LK4" s="25">
        <v>0</v>
      </c>
      <c r="LL4" s="25"/>
      <c r="LM4" s="25"/>
      <c r="LN4" s="25"/>
      <c r="LO4" s="25"/>
      <c r="LP4" s="19">
        <f>IF(SUM(KW4,LA4)&gt;0,SUM(KW4,LA4),"")</f>
        <v>14</v>
      </c>
      <c r="LQ4" s="19">
        <f>IF(SUM(KV4:KW4,KY4:LA4,LC4)-KX4-LB4&gt;0,SUM(KV4:KW4,KY4:LA4,LC4)-KX4-LB4,"")</f>
        <v>49.29999999999999</v>
      </c>
      <c r="LR4" s="19" t="str">
        <f>IF(SUM(LD4:LE4,LG4)-LF4&gt;0,SUM(LD4:LE4,LG4)-LF4,"")</f>
        <v/>
      </c>
      <c r="LS4" s="19">
        <f>IF(SUM(KW4,LA4,LE4)&gt;0,SUM(KW4,LA4,LE4),"")</f>
        <v>14</v>
      </c>
      <c r="LT4" s="19">
        <f>IF(SUM(LQ4,LR4)&gt;0,SUM(LQ4,LR4),"")</f>
        <v>49.29999999999999</v>
      </c>
      <c r="LU4" s="19">
        <f>IF(SUM(LI4,LM4)&gt;0,SUM(LI4,LM4),"")</f>
        <v>6.8</v>
      </c>
      <c r="LV4" s="19">
        <f>IF(SUM(LH4:LI4,LK4:LM4,LO4)-SUM(LJ4,LN4)&gt;0,SUM(LH4:LI4,LK4:LM4,LO4)-SUM(LJ4,LN4),"")</f>
        <v>24.3</v>
      </c>
      <c r="LW4" s="19">
        <f>IF(SUM(LQ4,LV4)&gt;0,SUM(LQ4,LV4),"")</f>
        <v>73.599999999999994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>IF(SUM(LY4,MC4)&gt;0,SUM(LY4,MC4),"")</f>
        <v/>
      </c>
      <c r="MS4" s="78" t="str">
        <f>IF(SUM(LX4:LY4,MA4:MC4,ME4)-LZ4-MD4&gt;0,SUM(LX4:LY4,MA4:MC4,ME4)-LZ4-MD4,"")</f>
        <v/>
      </c>
      <c r="MT4" s="78" t="str">
        <f>IF(SUM(MF4:MG4,MI4)-MH4&gt;0,SUM(MF4:MG4,MI4)-MH4,"")</f>
        <v/>
      </c>
      <c r="MU4" s="78" t="str">
        <f>IF(SUM(LY4,MC4,MG4)&gt;0,SUM(LY4,MC4,MG4),"")</f>
        <v/>
      </c>
      <c r="MV4" s="78" t="str">
        <f>IF(SUM(MS4,MT4)&gt;0,SUM(MS4,MT4),"")</f>
        <v/>
      </c>
      <c r="MW4" s="78" t="str">
        <f>IF(SUM(MK4,MO4)&gt;0,SUM(MK4,MO4),"")</f>
        <v/>
      </c>
      <c r="MX4" s="78" t="str">
        <f>IF(SUM(MJ4:MK4,MM4:MO4,MQ4)-SUM(ML4,MP4)&gt;0,SUM(MJ4:MK4,MM4:MO4,MQ4)-SUM(ML4,MP4),"")</f>
        <v/>
      </c>
      <c r="MY4" s="78" t="str">
        <f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>IF(SUM(NA4,NE4)&gt;0,SUM(NA4,NE4),"")</f>
        <v/>
      </c>
      <c r="NU4" s="19" t="str">
        <f>IF(SUM(MZ4:NA4,NC4:NE4,NG4)-NB4-NF4&gt;0,SUM(MZ4:NA4,NC4:NE4,NG4)-NB4-NF4,"")</f>
        <v/>
      </c>
      <c r="NV4" s="19" t="str">
        <f>IF(SUM(NH4:NI4,NK4)-NJ4&gt;0,SUM(NH4:NI4,NK4)-NJ4,"")</f>
        <v/>
      </c>
      <c r="NW4" s="19" t="str">
        <f>IF(SUM(NA4,NE4,NI4)&gt;0,SUM(NA4,NE4,NI4),"")</f>
        <v/>
      </c>
      <c r="NX4" s="19" t="str">
        <f>IF(SUM(NU4,NV4)&gt;0,SUM(NU4,NV4),"")</f>
        <v/>
      </c>
      <c r="NY4" s="19" t="str">
        <f>IF(SUM(NM4,NQ4)&gt;0,SUM(NM4,NQ4),"")</f>
        <v/>
      </c>
      <c r="NZ4" s="19" t="str">
        <f>IF(SUM(NL4:NM4,NO4:NQ4,NS4)-SUM(NN4,NR4)&gt;0,SUM(NL4:NM4,NO4:NQ4,NS4)-SUM(NN4,NR4),"")</f>
        <v/>
      </c>
      <c r="OA4" s="19" t="str">
        <f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>IF(SUM(OC4,OG4)&gt;0,SUM(OC4,OG4),"")</f>
        <v/>
      </c>
      <c r="OW4" s="78" t="str">
        <f>IF(SUM(OB4:OC4,OE4:OG4,OI4)-OD4-OH4&gt;0,SUM(OB4:OC4,OE4:OG4,OI4)-OD4-OH4,"")</f>
        <v/>
      </c>
      <c r="OX4" s="78" t="str">
        <f>IF(SUM(OJ4:OK4,OM4)-OL4&gt;0,SUM(OJ4:OK4,OM4)-OL4,"")</f>
        <v/>
      </c>
      <c r="OY4" s="78" t="str">
        <f>IF(SUM(OC4,OG4,OK4)&gt;0,SUM(OC4,OG4,OK4),"")</f>
        <v/>
      </c>
      <c r="OZ4" s="78" t="str">
        <f>IF(SUM(OW4,OX4)&gt;0,SUM(OW4,OX4),"")</f>
        <v/>
      </c>
      <c r="PA4" s="78" t="str">
        <f>IF(SUM(OO4,OS4)&gt;0,SUM(OO4,OS4),"")</f>
        <v/>
      </c>
      <c r="PB4" s="78" t="str">
        <f>IF(SUM(ON4:OO4,OQ4:OS4,OU4)-SUM(OP4,OT4)&gt;0,SUM(ON4:OO4,OQ4:OS4,OU4)-SUM(OP4,OT4),"")</f>
        <v/>
      </c>
      <c r="PC4" s="78" t="str">
        <f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>IF(SUM(PE4,PI4)&gt;0,SUM(PE4,PI4),"")</f>
        <v/>
      </c>
      <c r="PY4" s="19" t="str">
        <f>IF(SUM(PD4:PE4,PG4:PI4,PK4)-PF4-PJ4&gt;0,SUM(PD4:PE4,PG4:PI4,PK4)-PF4-PJ4,"")</f>
        <v/>
      </c>
      <c r="PZ4" s="19" t="str">
        <f>IF(SUM(PL4:PM4,PO4)-PN4&gt;0,SUM(PL4:PM4,PO4)-PN4,"")</f>
        <v/>
      </c>
      <c r="QA4" s="19" t="str">
        <f>IF(SUM(PE4,PI4,PM4)&gt;0,SUM(PE4,PI4,PM4),"")</f>
        <v/>
      </c>
      <c r="QB4" s="19" t="str">
        <f>IF(SUM(PY4,PZ4)&gt;0,SUM(PY4,PZ4),"")</f>
        <v/>
      </c>
      <c r="QC4" s="19" t="str">
        <f>IF(SUM(PQ4,PU4)&gt;0,SUM(PQ4,PU4),"")</f>
        <v/>
      </c>
      <c r="QD4" s="19" t="str">
        <f>IF(SUM(PP4:PQ4,PS4:PU4,PW4)-SUM(PR4,PV4)&gt;0,SUM(PP4:PQ4,PS4:PU4,PW4)-SUM(PR4,PV4),"")</f>
        <v/>
      </c>
      <c r="QE4" s="19" t="str">
        <f>IF(SUM(PY4,QD4)&gt;0,SUM(PY4,QD4),"")</f>
        <v/>
      </c>
      <c r="QF4" s="37">
        <f>IF($CV4="P",CB4,(CB4+AY4)/2)</f>
        <v>18.799999999999997</v>
      </c>
      <c r="QG4" s="37">
        <f>IF($CV4="P",CC4,(CC4+AZ4)/2)</f>
        <v>6.4</v>
      </c>
      <c r="QH4" s="37">
        <f>IF($CV4="P",CD4,(CD4+BA4)/2)</f>
        <v>0.2</v>
      </c>
      <c r="QI4" s="37">
        <f>IF($CV4="P",CE4,(CE4+BB4)/2)</f>
        <v>0.3</v>
      </c>
      <c r="QJ4" s="37">
        <f>IF($CV4="P",CF4,(CF4+BC4)/2)</f>
        <v>18.8</v>
      </c>
      <c r="QK4" s="37">
        <f>IF($CV4="P",CG4,(CG4+BD4)/2)</f>
        <v>6.6</v>
      </c>
      <c r="QL4" s="37">
        <f>IF($CV4="P",CH4,(CH4+BE4)/2)</f>
        <v>0.1</v>
      </c>
      <c r="QM4" s="37">
        <f>IF($CV4="P",CI4,(CI4+BF4)/2)</f>
        <v>0.15</v>
      </c>
      <c r="QN4" s="37">
        <f>IF($CV4="P",CJ4,(CJ4+BG4)/2)</f>
        <v>18.399999999999999</v>
      </c>
      <c r="QO4" s="37">
        <f>IF($CV4="P",CK4,(CK4+BH4)/2)</f>
        <v>6.6</v>
      </c>
      <c r="QP4" s="37">
        <f>IF($CV4="P",CL4,(CL4+BI4)/2)</f>
        <v>0.3</v>
      </c>
      <c r="QQ4" s="37">
        <f>IF($CV4="P",CM4,(CM4+BJ4)/2)</f>
        <v>0.3</v>
      </c>
      <c r="QR4" s="37">
        <f>IF($CV4="P",CN4,(CN4+BK4)/2)</f>
        <v>9.3000000000000007</v>
      </c>
      <c r="QS4" s="37">
        <f>IF($CV4="P",CO4,(CO4+BL4)/2)</f>
        <v>3.4</v>
      </c>
      <c r="QT4" s="37">
        <f>IF($CV4="P",CP4,(CP4+BM4)/2)</f>
        <v>0.1</v>
      </c>
      <c r="QU4" s="37">
        <f>IF($CV4="P",CQ4,(CQ4+BN4)/2)</f>
        <v>0.15</v>
      </c>
      <c r="QV4" s="37">
        <f>IF($CV4="P",CR4,(CR4+BO4)/2)</f>
        <v>18.649999999999999</v>
      </c>
      <c r="QW4" s="37">
        <f>IF($CV4="P",CS4,(CS4+BP4)/2)</f>
        <v>7.8000000000000007</v>
      </c>
      <c r="QX4" s="37">
        <f>IF($CV4="P",CT4,(CT4+BQ4)/2)</f>
        <v>0</v>
      </c>
      <c r="QY4" s="37">
        <f>IF($CV4="P",CU4,(CU4+BR4)/2)</f>
        <v>0.44999999999999996</v>
      </c>
      <c r="QZ4" s="44" t="s">
        <v>46</v>
      </c>
      <c r="RA4" s="78">
        <f>IF(SUM(QG4,QK4)&gt;0,SUM(QG4,QK4),"")</f>
        <v>13</v>
      </c>
      <c r="RB4" s="78">
        <f>IF(SUM(QF4:QG4,QI4:QK4,QM4)-QH4-QL4&gt;0,SUM(QF4:QG4,QI4:QK4,QM4)-QH4-QL4,"")</f>
        <v>50.749999999999993</v>
      </c>
      <c r="RC4" s="78">
        <f>IF(SUM(QN4:QO4,QQ4)-QP4&gt;0,SUM(QN4:QO4,QQ4)-QP4,"")</f>
        <v>25</v>
      </c>
      <c r="RD4" s="78">
        <f>IF(SUM(QG4,QK4,QO4)&gt;0,SUM(QG4,QK4,QO4),"")</f>
        <v>19.600000000000001</v>
      </c>
      <c r="RE4" s="78">
        <f>IF(SUM(RB4,RC4)&gt;0,SUM(RB4,RC4),"")</f>
        <v>75.75</v>
      </c>
      <c r="RF4" s="78">
        <f>IF(SUM(QS4,QW4)&gt;0,SUM(QS4,QW4),"")</f>
        <v>11.200000000000001</v>
      </c>
      <c r="RG4" s="78">
        <f>IF(SUM(QR4:QS4,QU4:QW4,QY4)-SUM(QT4,QX4)&gt;0,SUM(QR4:QS4,QU4:QW4,QY4)-SUM(QT4,QX4),"")</f>
        <v>39.65</v>
      </c>
      <c r="RH4" s="78">
        <f>IF(SUM(RB4,RG4)&gt;0,SUM(RB4,RG4),"")</f>
        <v>90.399999999999991</v>
      </c>
    </row>
    <row r="5" spans="1:476" x14ac:dyDescent="0.2">
      <c r="A5" s="5">
        <f>IF(AND(F5="P",G5="P"),SUMPRODUCT((F$4:F$29="P")*(G$4:G$29="P")*(E$4:E$29&gt;E5))+1,IF(G5="P",SUMPRODUCT((F$4:F$29="")*(G$4:G$29="P")*(E$4:E$29&gt;E5))+1+SUMPRODUCT((F$4:F$29="P")*(G$4:G$29="P")),""))</f>
        <v>2</v>
      </c>
      <c r="B5" s="77" t="s">
        <v>82</v>
      </c>
      <c r="C5" s="5" t="s">
        <v>81</v>
      </c>
      <c r="D5" s="5">
        <v>2002</v>
      </c>
      <c r="E5" s="15">
        <f>SUM(I5:S5)+SUM(I5:O5)*0.0000001+SUM(I5)*0.0000000000001</f>
        <v>202.40001488000505</v>
      </c>
      <c r="F5" s="3" t="str">
        <f>IF(OR(AND(AQ5&gt;=AX$31,AR5&gt;=AX$35,AQ5&lt;&gt;"",AP5=""),AND(AV5&gt;=AX$31,AW5&gt;=AX$35,AV5&lt;&gt;"",AP5=""),AND(BT5&gt;=CA$31,BU5&gt;=CA$35,BT5&lt;&gt;"",BS5=""),AND(BY5&gt;=CA$31,BZ5&gt;=CA$35,BY5&lt;&gt;"",BS5=""),AND(CW5&gt;=DD$31,CX5&gt;=DD$35,CW5&lt;&gt;"",CV5=""),AND(DB5&gt;=DD$31,DC5&gt;=DD$35,DB5&lt;&gt;""),AND(EB5&gt;=EI$31,EC5&gt;=EI$35,EB5&lt;&gt;""),AND(EG5&gt;=EI$31,EH5&gt;=EI$35,EG5&lt;&gt;""),AND(FD5&gt;=FK$31,FE5&gt;=FK$35,FD5&lt;&gt;""),AND(FI5&gt;=FK$31,FJ5&gt;=FK$35,FI5&lt;&gt;""),AND(GF5&gt;=GM$31,GG5&gt;=GM$35,GF5&lt;&gt;""),AND(GK5&gt;=GM$31,GL5&gt;=GM$35,GK5&lt;&gt;""),AND(HH5&gt;=HO$31,HI5&gt;=HO$35,HH5&lt;&gt;""),AND(HM5&gt;=HO$31,HN5&gt;=HO$35,HM5&lt;&gt;""),AND(IJ5&gt;=IQ$31,IK5&gt;=IQ$35,IJ5&lt;&gt;""),AND(IO5&gt;=IQ$31,IP5&gt;=IQ$35,IO5&lt;&gt;""),AND(JL5&gt;=JS$31,JM5&gt;=JS$35,JL5&lt;&gt;""),AND(JQ5&gt;=JS$31,JR5&gt;=JS$35,JQ5&lt;&gt;""),AND(KN5&gt;=KU$31,KO5&gt;=KU$35,KN5&lt;&gt;""),AND(KS5&gt;=KU$31,KT5&gt;=KU$35,KS5&lt;&gt;""),AND(LP5&gt;=LW$31,LQ5&gt;=LW$35,LP5&lt;&gt;""),AND(LU5&gt;=LW$31,LV5&gt;=LW$35,LU5&lt;&gt;""),AND(MR5&gt;=MY$31,MS5&gt;=MY$35,MR5&lt;&gt;""),AND(MW5&gt;=MY$31,MX5&gt;=MY$35,MW5&lt;&gt;""),AND(NT5&gt;=OA$31,NU5&gt;=OA$35,NT5&lt;&gt;""),AND(NY5&gt;=OA$31,NZ5&gt;=OA$35,NY5&lt;&gt;""),AND(OV5&gt;=PC$31,OW5&gt;=PC$35,OV5&lt;&gt;""),AND(PA5&gt;=PC$31,PB5&gt;=PC$35,PA5&lt;&gt;""),AND(PX5&gt;=QE$31,PY5&gt;=QE$35,PX5&lt;&gt;""),AND(QC5&gt;=QE$31,QD5&gt;=QE$35,QC5&lt;&gt;"")),"P","")</f>
        <v>P</v>
      </c>
      <c r="G5" s="3" t="str">
        <f>IF(OR(AND(AR5&gt;=AX$35,AR5&lt;&gt;"",AP5=""),AND(AW5&gt;=AX$35,AW5&lt;&gt;"",AP5=""),AND(BU5&gt;=CA$35,BU5&lt;&gt;"",BS5=""),AND(BZ5&gt;=CA$35,BZ5&lt;&gt;"",BS5=""),AND(CX5&gt;=DD$35,CX5&lt;&gt;"",CV5=""),AND(DC5&gt;=DD$35,DC5&lt;&gt;"",CV5=""),AND(EC5&gt;=EI$35,EC5&lt;&gt;""),AND(EH5&gt;=EI$35,EH5&lt;&gt;""),AND(FE5&gt;=FK$35,FE5&lt;&gt;""),AND(FJ5&gt;=FK$35,FJ5&lt;&gt;""),AND(GG5&gt;=GM$35,GG5&lt;&gt;""),AND(GL5&gt;=GM$35,GL5&lt;&gt;""),AND(HI5&gt;=HO$35,HI5&lt;&gt;""),AND(HN5&gt;=HO$35,HN5&lt;&gt;""),AND(IK5&gt;=IQ$35,IK5&lt;&gt;""),AND(IP5&gt;=IQ$35,IP5&lt;&gt;""),AND(JM5&gt;=JS$35,JM5&lt;&gt;""),AND(JR5&gt;=JS$35,JR5&lt;&gt;""),AND(KO5&gt;=KU$35,KO5&lt;&gt;""),AND(KT5&gt;=KU$35,KT5&lt;&gt;""),AND(LQ5&gt;=LW$35,LQ5&lt;&gt;""),AND(LV5&gt;=LW$35,LV5&lt;&gt;""),AND(MS5&gt;=MY$35,MS5&lt;&gt;""),AND(MX5&gt;=MY$35,MX5&lt;&gt;""),AND(NU5&gt;=OA$35,NU5&lt;&gt;""),AND(NZ5&gt;=OA$35,NZ5&lt;&gt;""),AND(OW5&gt;=PC$35,OW5&lt;&gt;""),AND(PB5&gt;=PC$35,PB5&lt;&gt;""),AND(PY5&gt;=QE$35,PY5&lt;&gt;""),AND(QD5&gt;=QE$35,QD5&lt;&gt;"")),"P","")</f>
        <v>P</v>
      </c>
      <c r="H5" s="66" t="str">
        <f>IF(AND(G5="P",F5=""),"No DD",IF(OR(AND(AT5&gt;=AX$34,AU5&gt;=AX$38,AT5&lt;&gt;"",AP5=""),AND(BW5&gt;=CA$34,BX5&gt;=CA$38,BW5&lt;&gt;"",BS5=""),AND(CZ5&gt;=DD$34,DA5&gt;=DD$38,CZ5&lt;&gt;"",CV5=""),AND(EE5&gt;=EI$34,EF5&gt;=EI$38,EE5&lt;&gt;""),AND(FG5&gt;=FK$34,FH5&gt;=FK$38,FG5&lt;&gt;""),AND(GI5&gt;=GM$34,GJ5&gt;=GM$38,GI5&lt;&gt;""),AND(HK5&gt;=HO$34,HL5&gt;=HO$38,HK5&lt;&gt;""),AND(IM5&gt;=IQ$34,IN5&gt;=IQ$38,IM5&lt;&gt;""),AND(JO5&gt;=JS$34,JP5&gt;=JS$38,JO5&lt;&gt;""),AND(KQ5&gt;=KU$34,KR5&gt;=KU$38,KQ5&lt;&gt;""),AND(LS5&gt;=LW$34,LT5&gt;=LW$38,LS5&lt;&gt;""),AND(MU5&gt;=MY$34,MV5&gt;=MY$38,MU5&lt;&gt;""),AND(NW5&gt;=OA$34,NX5&gt;=OA$38,NW5&lt;&gt;""),AND(OY5&gt;=PC$34,OZ5&gt;=PC$38,OY5&lt;&gt;""),AND(QA5&gt;=QE$34,QB5&gt;=QE$38,QA5&lt;&gt;"")),"Merit",IF(OR(AND(AT5&gt;=AX$33,AU5&gt;=AX$37,AT5&lt;&gt;"",AP5=""),AND(BW5&gt;=CA$33,BX5&gt;=CA$37,BW5&lt;&gt;"",BS5=""),AND(CZ5&gt;=DD$33,DA5&gt;=DD$37,CZ5&lt;&gt;"",CV5=""),AND(EE5&gt;=EI$33,EF5&gt;=EI$37,EE5&lt;&gt;""),AND(FG5&gt;=FK$33,FH5&gt;=FK$37,FG5&lt;&gt;""),AND(GI5&gt;=GM$33,GJ5&gt;=GM$37,GI5&lt;&gt;""),AND(HK5&gt;=HO$33,HL5&gt;=HO$37,HK5&lt;&gt;""),AND(IM5&gt;=IQ$33,IN5&gt;=IQ$37,IM5&lt;&gt;""),AND(JO5&gt;=JS$33,JP5&gt;=JS$37,JO5&lt;&gt;""),AND(KQ5&gt;=KU$33,KR5&gt;=KU$37,KQ5&lt;&gt;""),AND(LS5&gt;=LW$33,LT5&gt;=LW$37,LS5&lt;&gt;""),AND(MU5&gt;=MY$33,MV5&gt;=MY$37,MU5&lt;&gt;""),AND(NW5&gt;=OA$33,NX5&gt;=OA$37,NW5&lt;&gt;""),AND(OY5&gt;=PC$33,OZ5&gt;=PC$37,OY5&lt;&gt;""),AND(QA5&gt;=QE$33,QB5&gt;=QE$37,QA5&lt;&gt;"")),"Excellence",IF(F5="P","National Team",""))))</f>
        <v>National Team</v>
      </c>
      <c r="I5" s="14">
        <f>IF(COUNT(AR5,BU5,CX5)&gt;0,LARGE((AR5,BU5,CX5),1),0)</f>
        <v>50.699999999999996</v>
      </c>
      <c r="J5" s="14" t="str">
        <f>IF(I5=0,"",IF(I5=CX5,$CB$1,IF(I5=BU5,$AY$1,IF(I5=AR5,$V$1,""))))</f>
        <v>2022 Nationals</v>
      </c>
      <c r="K5" s="14">
        <f>IF(COUNT(AR5,BU5,CX5)&gt;1,LARGE((AR5,BU5,CX5),2),0)</f>
        <v>48.5</v>
      </c>
      <c r="L5" s="14" t="str">
        <f>IF(K5=0,"",IF(K5=CX5,$CB$1,IF(K5=BU5,$AY$1,IF(K5=AR5,$V$1,""))))</f>
        <v>2022 Elite Canada</v>
      </c>
      <c r="M5" s="14">
        <f>IF(COUNT(AS5,BV5,CY5)&gt;0,LARGE((AS5,BV5,CY5),1),0)</f>
        <v>25.1</v>
      </c>
      <c r="N5" s="14" t="str">
        <f>IF(M5=0,"",IF(M5=CY5,$CB$1,IF(M5=BV5,$AY$1,IF(M5=AS5,$V$1,""))))</f>
        <v>2022 3rd Domestic Trial</v>
      </c>
      <c r="O5" s="14">
        <f>IF(COUNT(AS5,BV5,CY5)&gt;1,LARGE((AS5,BV5,CY5),2),0)</f>
        <v>24.5</v>
      </c>
      <c r="P5" s="14" t="str">
        <f>IF(O5=0,"",IF(O5=CY5,$CB$1,IF(O5=BV5,$AY$1,IF(O5=AS5,$V$1,""))))</f>
        <v>2022 Nationals</v>
      </c>
      <c r="Q5" s="14">
        <f>IF(MAX(AW5,BZ5,DC5)&gt;0,MAX(AW5,BZ5,DC5),0)</f>
        <v>50.699999999999996</v>
      </c>
      <c r="R5" s="14" t="str">
        <f>IF(Q5=0,"",IF(Q5=DC5,$CB$1,IF(Q5=BZ5,$AY$1,IF(Q5=AW5,$V$1,""))))</f>
        <v>2022 Nationals</v>
      </c>
      <c r="S5" s="14">
        <f>IF(MAX(DE5:DG5)&gt;0,MAX(DE5:DG5),"")</f>
        <v>2.8999999999999915</v>
      </c>
      <c r="T5" s="19" t="str">
        <f>IF(S5="","",IF(S5=DE5,"("&amp;DE$2&amp;")",IF(S5=DG5,"("&amp;DG$2&amp;")")))</f>
        <v>(Q1)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#2 (May 15)</v>
      </c>
      <c r="V5" s="26">
        <v>18.600000000000001</v>
      </c>
      <c r="W5" s="26">
        <v>5.6</v>
      </c>
      <c r="X5" s="26">
        <v>0.6</v>
      </c>
      <c r="Y5" s="26">
        <v>0</v>
      </c>
      <c r="Z5" s="26">
        <v>18.899999999999999</v>
      </c>
      <c r="AA5" s="26">
        <v>6</v>
      </c>
      <c r="AB5" s="26">
        <v>0</v>
      </c>
      <c r="AC5" s="26">
        <v>0</v>
      </c>
      <c r="AD5" s="26">
        <v>18.600000000000001</v>
      </c>
      <c r="AE5" s="26">
        <v>6</v>
      </c>
      <c r="AF5" s="26">
        <v>0.6</v>
      </c>
      <c r="AG5" s="26">
        <v>0.3</v>
      </c>
      <c r="AH5" s="26">
        <v>19</v>
      </c>
      <c r="AI5" s="26">
        <v>6.4</v>
      </c>
      <c r="AJ5" s="26">
        <v>0</v>
      </c>
      <c r="AK5" s="26">
        <v>0</v>
      </c>
      <c r="AL5" s="26">
        <v>19.2</v>
      </c>
      <c r="AM5" s="26">
        <v>5.2</v>
      </c>
      <c r="AN5" s="26">
        <v>0</v>
      </c>
      <c r="AO5" s="26">
        <v>0</v>
      </c>
      <c r="AP5" s="44"/>
      <c r="AQ5" s="78">
        <f>IF(SUM(W5,AA5)&gt;0,SUM(W5,AA5),"")</f>
        <v>11.6</v>
      </c>
      <c r="AR5" s="78">
        <f>IF(SUM(V5:W5,Y5:AA5,AC5)-X5-AB5&gt;0,SUM(V5:W5,Y5:AA5,AC5)-X5-AB5,"")</f>
        <v>48.5</v>
      </c>
      <c r="AS5" s="78">
        <f>IF(SUM(AD5:AE5,AG5)-AF5&gt;0,SUM(AD5:AE5,AG5)-AF5,"")</f>
        <v>24.3</v>
      </c>
      <c r="AT5" s="78">
        <f>IF(SUM(W5,AA5,AE5)&gt;0,SUM(W5,AA5,AE5),"")</f>
        <v>17.600000000000001</v>
      </c>
      <c r="AU5" s="78">
        <f>IF(SUM(AR5,AS5)&gt;0,SUM(AR5,AS5),"")</f>
        <v>72.8</v>
      </c>
      <c r="AV5" s="78">
        <f>IF(SUM(AI5,AM5)&gt;0,SUM(AI5,AM5),"")</f>
        <v>11.600000000000001</v>
      </c>
      <c r="AW5" s="78">
        <f>IF(SUM(AH5:AI5,AK5:AM5,AO5)-SUM(AJ5,AN5)&gt;0,SUM(AH5:AI5,AK5:AM5,AO5)-SUM(AJ5,AN5),"")</f>
        <v>49.8</v>
      </c>
      <c r="AX5" s="78">
        <f>IF(SUM(AR5,AW5)&gt;0,SUM(AR5,AW5),"")</f>
        <v>98.3</v>
      </c>
      <c r="AY5" s="25">
        <v>18.600000000000001</v>
      </c>
      <c r="AZ5" s="25">
        <v>6.4</v>
      </c>
      <c r="BA5" s="25">
        <v>0</v>
      </c>
      <c r="BB5" s="25">
        <v>0</v>
      </c>
      <c r="BC5" s="25">
        <v>18.600000000000001</v>
      </c>
      <c r="BD5" s="25">
        <v>6.8</v>
      </c>
      <c r="BE5" s="25">
        <v>0</v>
      </c>
      <c r="BF5" s="25">
        <v>0.3</v>
      </c>
      <c r="BG5" s="25">
        <v>18.399999999999999</v>
      </c>
      <c r="BH5" s="25">
        <v>6</v>
      </c>
      <c r="BI5" s="25">
        <v>0.2</v>
      </c>
      <c r="BJ5" s="25">
        <v>0.3</v>
      </c>
      <c r="BK5" s="25">
        <v>18.600000000000001</v>
      </c>
      <c r="BL5" s="25">
        <v>6.4</v>
      </c>
      <c r="BM5" s="25">
        <v>0</v>
      </c>
      <c r="BN5" s="25">
        <v>0</v>
      </c>
      <c r="BO5" s="25">
        <v>18.600000000000001</v>
      </c>
      <c r="BP5" s="25">
        <v>6.8</v>
      </c>
      <c r="BQ5" s="25">
        <v>0</v>
      </c>
      <c r="BR5" s="25">
        <v>0.3</v>
      </c>
      <c r="BS5" s="45"/>
      <c r="BT5" s="19">
        <f>IF(SUM(AZ5,BD5)&gt;0,SUM(AZ5,BD5),"")</f>
        <v>13.2</v>
      </c>
      <c r="BU5" s="19">
        <f>IF(SUM(AY5:AZ5,BB5:BD5,BF5)-BA5-BE5&gt;0,SUM(AY5:AZ5,BB5:BD5,BF5)-BA5-BE5,"")</f>
        <v>50.699999999999996</v>
      </c>
      <c r="BV5" s="19">
        <f>IF(SUM(BG5:BH5,BJ5)-BI5&gt;0,SUM(BG5:BH5,BJ5)-BI5,"")</f>
        <v>24.5</v>
      </c>
      <c r="BW5" s="19">
        <f>IF(SUM(AZ5,BD5,BH5)&gt;0,SUM(AZ5,BD5,BH5),"")</f>
        <v>19.2</v>
      </c>
      <c r="BX5" s="19">
        <f>IF(SUM(BU5,BV5)&gt;0,SUM(BU5,BV5),"")</f>
        <v>75.199999999999989</v>
      </c>
      <c r="BY5" s="19">
        <f>IF(SUM(BL5,BP5)&gt;0,SUM(BL5,BP5),"")</f>
        <v>13.2</v>
      </c>
      <c r="BZ5" s="19">
        <f>IF(SUM(BK5:BL5,BN5:BP5,BR5)-SUM(BM5,BQ5)&gt;0,SUM(BK5:BL5,BN5:BP5,BR5)-SUM(BM5,BQ5),"")</f>
        <v>50.699999999999996</v>
      </c>
      <c r="CA5" s="19">
        <f>IF(SUM(BU5,BZ5)&gt;0,SUM(BU5,BZ5),"")</f>
        <v>101.39999999999999</v>
      </c>
      <c r="CB5" s="26">
        <v>18.7</v>
      </c>
      <c r="CC5" s="26">
        <v>5.6</v>
      </c>
      <c r="CD5" s="26">
        <v>0.2</v>
      </c>
      <c r="CE5" s="26">
        <v>0</v>
      </c>
      <c r="CF5" s="26">
        <v>18.2</v>
      </c>
      <c r="CG5" s="26">
        <v>6</v>
      </c>
      <c r="CH5" s="26">
        <v>0.8</v>
      </c>
      <c r="CI5" s="26">
        <v>0.3</v>
      </c>
      <c r="CJ5" s="26">
        <v>18.7</v>
      </c>
      <c r="CK5" s="26">
        <v>6.4</v>
      </c>
      <c r="CL5" s="26">
        <v>0</v>
      </c>
      <c r="CM5" s="26">
        <v>0</v>
      </c>
      <c r="CN5" s="26">
        <v>18.600000000000001</v>
      </c>
      <c r="CO5" s="26">
        <v>6.4</v>
      </c>
      <c r="CP5" s="26">
        <v>0</v>
      </c>
      <c r="CQ5" s="26">
        <v>0</v>
      </c>
      <c r="CR5" s="26">
        <v>18.7</v>
      </c>
      <c r="CS5" s="26">
        <v>5.2</v>
      </c>
      <c r="CT5" s="26">
        <v>0.2</v>
      </c>
      <c r="CU5" s="26">
        <v>0</v>
      </c>
      <c r="CV5" s="44"/>
      <c r="CW5" s="78">
        <f>IF(SUM(CC5,CG5)&gt;0,SUM(CC5,CG5),"")</f>
        <v>11.6</v>
      </c>
      <c r="CX5" s="78">
        <f>IF(SUM(CB5:CC5,CE5:CG5,CI5)-CD5-CH5&gt;0,SUM(CB5:CC5,CE5:CG5,CI5)-CD5-CH5,"")</f>
        <v>47.8</v>
      </c>
      <c r="CY5" s="78">
        <f>IF(SUM(CJ5:CK5,CM5)-CL5&gt;0,SUM(CJ5:CK5,CM5)-CL5,"")</f>
        <v>25.1</v>
      </c>
      <c r="CZ5" s="78">
        <f>IF(SUM(CC5,CG5,CK5)&gt;0,SUM(CC5,CG5,CK5),"")</f>
        <v>18</v>
      </c>
      <c r="DA5" s="78">
        <f>IF(SUM(CX5,CY5)&gt;0,SUM(CX5,CY5),"")</f>
        <v>72.900000000000006</v>
      </c>
      <c r="DB5" s="78">
        <f>IF(SUM(CO5,CS5)&gt;0,SUM(CO5,CS5),"")</f>
        <v>11.600000000000001</v>
      </c>
      <c r="DC5" s="78">
        <f>IF(SUM(CN5:CO5,CQ5:CS5,CU5)-SUM(CP5,CT5)&gt;0,SUM(CN5:CO5,CQ5:CS5,CU5)-SUM(CP5,CT5),"")</f>
        <v>48.7</v>
      </c>
      <c r="DD5" s="78">
        <f>IF(SUM(CX5,DC5)&gt;0,SUM(CX5,DC5),"")</f>
        <v>96.5</v>
      </c>
      <c r="DE5" s="79">
        <f>IF(K5&gt;=0.001,IF(MAX(EC5,FE5,GG5,HI5,IK5,JM5,KO5,LQ5,MS5,NU5,OW5,PY5)-IF(K5="",0,K5)&gt;0.001,MAX(EC5,FE5,GG5,HI5,IK5,JM5,KO5,LQ5,MS5,NU5,OW5,PY5)-IF(K5="",0,K5),""),"")</f>
        <v>2.8999999999999915</v>
      </c>
      <c r="DF5" s="79" t="str">
        <f>IF(O5&gt;=0.001,IF(MAX(ED5,FF5,GH5,HJ5,IL5,JN5,KP5,LR5,MT5,NV5,OX5,PZ5)-IF(O5="",0,O5)&gt;0.001,MAX(ED5,FF5,GH5,HJ5,IL5,JN5,KP5,LR5,MT5,NV5,OX5,PZ5)-IF(O5="",0,O5),""),"")</f>
        <v/>
      </c>
      <c r="DG5" s="79" t="str">
        <f>IF(Q5&gt;=0.001,IF(MAX(EH5,FJ5,GL5,HN5,IP5,JR5,KT5,LV5,MX5,NZ5,PB5,QD5)-IF(Q5="",0,Q5)&gt;0.001,MAX(EH5,FJ5,GL5,HN5,IP5,JR5,KT5,LV5,MX5,NZ5,PB5,QD5)-IF(Q5="",0,Q5),""),"")</f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>IF(SUM(DI5,DM5)&gt;0,SUM(DI5,DM5),"")</f>
        <v/>
      </c>
      <c r="EC5" s="78" t="str">
        <f>IF(SUM(DH5:DI5,DK5:DM5,DO5)-DJ5-DN5&gt;0,SUM(DH5:DI5,DK5:DM5,DO5)-DJ5-DN5,"")</f>
        <v/>
      </c>
      <c r="ED5" s="78" t="str">
        <f>IF(SUM(DP5:DQ5,DS5)-DR5&gt;0,SUM(DP5:DQ5,DS5)-DR5,"")</f>
        <v/>
      </c>
      <c r="EE5" s="78" t="str">
        <f>IF(SUM(DI5,DM5,DQ5)&gt;0,SUM(DI5,DM5,DQ5),"")</f>
        <v/>
      </c>
      <c r="EF5" s="78" t="str">
        <f>IF(SUM(EC5,ED5)&gt;0,SUM(EC5,ED5),"")</f>
        <v/>
      </c>
      <c r="EG5" s="78" t="str">
        <f>IF(SUM(DU5,DY5)&gt;0,SUM(DU5,DY5),"")</f>
        <v/>
      </c>
      <c r="EH5" s="78" t="str">
        <f>IF(SUM(DT5:DU5,DW5:DY5,EA5)-SUM(DV5,DZ5)&gt;0,SUM(DT5:DU5,DW5:DY5,EA5)-SUM(DV5,DZ5),"")</f>
        <v/>
      </c>
      <c r="EI5" s="78" t="str">
        <f>IF(SUM(EC5,EH5)&gt;0,SUM(EC5,EH5),"")</f>
        <v/>
      </c>
      <c r="EJ5" s="25">
        <v>1E-4</v>
      </c>
      <c r="EK5" s="25">
        <v>1E-4</v>
      </c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19">
        <f>IF(SUM(EK5,EO5)&gt;0,SUM(EK5,EO5),"")</f>
        <v>1E-4</v>
      </c>
      <c r="FE5" s="19">
        <f>IF(SUM(EJ5:EK5,EM5:EO5,EQ5)-EL5-EP5&gt;0,SUM(EJ5:EK5,EM5:EO5,EQ5)-EL5-EP5,"")</f>
        <v>2.0000000000000001E-4</v>
      </c>
      <c r="FF5" s="19" t="str">
        <f>IF(SUM(ER5:ES5,EU5)-ET5&gt;0,SUM(ER5:ES5,EU5)-ET5,"")</f>
        <v/>
      </c>
      <c r="FG5" s="19">
        <f>IF(SUM(EK5,EO5,ES5)&gt;0,SUM(EK5,EO5,ES5),"")</f>
        <v>1E-4</v>
      </c>
      <c r="FH5" s="19">
        <f>IF(SUM(FE5,FF5)&gt;0,SUM(FE5,FF5),"")</f>
        <v>2.0000000000000001E-4</v>
      </c>
      <c r="FI5" s="19" t="str">
        <f>IF(SUM(EW5,FA5)&gt;0,SUM(EW5,FA5),"")</f>
        <v/>
      </c>
      <c r="FJ5" s="19" t="str">
        <f>IF(SUM(EV5:EW5,EY5:FA5,FC5)-SUM(EX5,FB5)&gt;0,SUM(EV5:EW5,EY5:FA5,FC5)-SUM(EX5,FB5),"")</f>
        <v/>
      </c>
      <c r="FK5" s="19">
        <f>IF(SUM(FE5,FJ5)&gt;0,SUM(FE5,FJ5),"")</f>
        <v>2.0000000000000001E-4</v>
      </c>
      <c r="FL5" s="24">
        <v>18.8</v>
      </c>
      <c r="FM5" s="24">
        <v>5.2</v>
      </c>
      <c r="FN5" s="24">
        <v>0</v>
      </c>
      <c r="FO5" s="24">
        <v>0</v>
      </c>
      <c r="FP5" s="24">
        <v>18.5</v>
      </c>
      <c r="FQ5" s="24">
        <v>6.4</v>
      </c>
      <c r="FR5" s="24">
        <v>0</v>
      </c>
      <c r="FS5" s="24">
        <v>0</v>
      </c>
      <c r="FT5" s="24"/>
      <c r="FU5" s="24"/>
      <c r="FV5" s="24"/>
      <c r="FW5" s="24"/>
      <c r="FX5" s="24">
        <v>19</v>
      </c>
      <c r="FY5" s="24">
        <v>5.2</v>
      </c>
      <c r="FZ5" s="24">
        <v>0</v>
      </c>
      <c r="GA5" s="24">
        <v>0</v>
      </c>
      <c r="GB5" s="24">
        <v>18.399999999999999</v>
      </c>
      <c r="GC5" s="24">
        <v>6.4</v>
      </c>
      <c r="GD5" s="24">
        <v>0.2</v>
      </c>
      <c r="GE5" s="24">
        <v>0</v>
      </c>
      <c r="GF5" s="78">
        <f>IF(SUM(FM5,FQ5)&gt;0,SUM(FM5,FQ5),"")</f>
        <v>11.600000000000001</v>
      </c>
      <c r="GG5" s="78">
        <f>IF(SUM(FL5:FM5,FO5:FQ5,FS5)-FN5-FR5&gt;0,SUM(FL5:FM5,FO5:FQ5,FS5)-FN5-FR5,"")</f>
        <v>48.9</v>
      </c>
      <c r="GH5" s="78" t="str">
        <f>IF(SUM(FT5:FU5,FW5)-FV5&gt;0,SUM(FT5:FU5,FW5)-FV5,"")</f>
        <v/>
      </c>
      <c r="GI5" s="78">
        <f>IF(SUM(FM5,FQ5,FU5)&gt;0,SUM(FM5,FQ5,FU5),"")</f>
        <v>11.600000000000001</v>
      </c>
      <c r="GJ5" s="78">
        <f>IF(SUM(GG5,GH5)&gt;0,SUM(GG5,GH5),"")</f>
        <v>48.9</v>
      </c>
      <c r="GK5" s="78">
        <f>IF(SUM(FY5,GC5)&gt;0,SUM(FY5,GC5),"")</f>
        <v>11.600000000000001</v>
      </c>
      <c r="GL5" s="78">
        <f>IF(SUM(FX5:FY5,GA5:GC5,GE5)-SUM(FZ5,GD5)&gt;0,SUM(FX5:FY5,GA5:GC5,GE5)-SUM(FZ5,GD5),"")</f>
        <v>48.79999999999999</v>
      </c>
      <c r="GM5" s="78">
        <f>IF(SUM(GG5,GL5)&gt;0,SUM(GG5,GL5),"")</f>
        <v>97.699999999999989</v>
      </c>
      <c r="GN5" s="25">
        <v>18.600000000000001</v>
      </c>
      <c r="GO5" s="25">
        <v>7.2</v>
      </c>
      <c r="GP5" s="25">
        <v>0</v>
      </c>
      <c r="GQ5" s="25">
        <v>0.3</v>
      </c>
      <c r="GR5" s="25">
        <v>18.399999999999999</v>
      </c>
      <c r="GS5" s="25">
        <v>6.8</v>
      </c>
      <c r="GT5" s="25">
        <v>0.2</v>
      </c>
      <c r="GU5" s="25">
        <v>0.3</v>
      </c>
      <c r="GV5" s="25"/>
      <c r="GW5" s="25"/>
      <c r="GX5" s="25"/>
      <c r="GY5" s="25"/>
      <c r="GZ5" s="25">
        <v>17.399999999999999</v>
      </c>
      <c r="HA5" s="25">
        <v>2.8</v>
      </c>
      <c r="HB5" s="25">
        <v>0</v>
      </c>
      <c r="HC5" s="25">
        <v>0</v>
      </c>
      <c r="HD5" s="25">
        <v>17.2</v>
      </c>
      <c r="HE5" s="25">
        <v>3.2</v>
      </c>
      <c r="HF5" s="25">
        <v>0</v>
      </c>
      <c r="HG5" s="25">
        <v>0.3</v>
      </c>
      <c r="HH5" s="19">
        <f>IF(SUM(GO5,GS5)&gt;0,SUM(GO5,GS5),"")</f>
        <v>14</v>
      </c>
      <c r="HI5" s="19">
        <f>IF(SUM(GN5:GO5,GQ5:GS5,GU5)-GP5-GT5&gt;0,SUM(GN5:GO5,GQ5:GS5,GU5)-GP5-GT5,"")</f>
        <v>51.399999999999991</v>
      </c>
      <c r="HJ5" s="19" t="str">
        <f>IF(SUM(GV5:GW5,GY5)-GX5&gt;0,SUM(GV5:GW5,GY5)-GX5,"")</f>
        <v/>
      </c>
      <c r="HK5" s="19">
        <f>IF(SUM(GO5,GS5,GW5)&gt;0,SUM(GO5,GS5,GW5),"")</f>
        <v>14</v>
      </c>
      <c r="HL5" s="19">
        <f>IF(SUM(HI5,HJ5)&gt;0,SUM(HI5,HJ5),"")</f>
        <v>51.399999999999991</v>
      </c>
      <c r="HM5" s="19">
        <f>IF(SUM(HA5,HE5)&gt;0,SUM(HA5,HE5),"")</f>
        <v>6</v>
      </c>
      <c r="HN5" s="19">
        <f>IF(SUM(GZ5:HA5,HC5:HE5,HG5)-SUM(HB5,HF5)&gt;0,SUM(GZ5:HA5,HC5:HE5,HG5)-SUM(HB5,HF5),"")</f>
        <v>40.9</v>
      </c>
      <c r="HO5" s="19">
        <f>IF(SUM(HI5,HN5)&gt;0,SUM(HI5,HN5),"")</f>
        <v>92.299999999999983</v>
      </c>
      <c r="HP5" s="24">
        <v>18.5</v>
      </c>
      <c r="HQ5" s="24">
        <v>6.4</v>
      </c>
      <c r="HR5" s="24">
        <v>0.2</v>
      </c>
      <c r="HS5" s="24">
        <v>0</v>
      </c>
      <c r="HT5" s="24">
        <v>17.8</v>
      </c>
      <c r="HU5" s="24">
        <v>5.2</v>
      </c>
      <c r="HV5" s="24">
        <v>0.2</v>
      </c>
      <c r="HW5" s="24">
        <v>0</v>
      </c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>
        <f>IF(SUM(HQ5,HU5)&gt;0,SUM(HQ5,HU5),"")</f>
        <v>11.600000000000001</v>
      </c>
      <c r="IK5" s="78">
        <f>IF(SUM(HP5:HQ5,HS5:HU5,HW5)-HR5-HV5&gt;0,SUM(HP5:HQ5,HS5:HU5,HW5)-HR5-HV5,"")</f>
        <v>47.5</v>
      </c>
      <c r="IL5" s="78" t="str">
        <f>IF(SUM(HX5:HY5,IA5)-HZ5&gt;0,SUM(HX5:HY5,IA5)-HZ5,"")</f>
        <v/>
      </c>
      <c r="IM5" s="78">
        <f>IF(SUM(HQ5,HU5,HY5)&gt;0,SUM(HQ5,HU5,HY5),"")</f>
        <v>11.600000000000001</v>
      </c>
      <c r="IN5" s="78">
        <f>IF(SUM(IK5,IL5)&gt;0,SUM(IK5,IL5),"")</f>
        <v>47.5</v>
      </c>
      <c r="IO5" s="78" t="str">
        <f>IF(SUM(IC5,IG5)&gt;0,SUM(IC5,IG5),"")</f>
        <v/>
      </c>
      <c r="IP5" s="78" t="str">
        <f>IF(SUM(IB5:IC5,IE5:IG5,II5)-SUM(ID5,IH5)&gt;0,SUM(IB5:IC5,IE5:IG5,II5)-SUM(ID5,IH5),"")</f>
        <v/>
      </c>
      <c r="IQ5" s="78">
        <f>IF(SUM(IK5,IP5)&gt;0,SUM(IK5,IP5),"")</f>
        <v>47.5</v>
      </c>
      <c r="IR5" s="25">
        <v>18.600000000000001</v>
      </c>
      <c r="IS5" s="25">
        <v>6.4</v>
      </c>
      <c r="IT5" s="25">
        <v>0.2</v>
      </c>
      <c r="IU5" s="25">
        <v>0</v>
      </c>
      <c r="IV5" s="25">
        <v>17.399999999999999</v>
      </c>
      <c r="IW5" s="25">
        <v>2.4</v>
      </c>
      <c r="IX5" s="25">
        <v>0</v>
      </c>
      <c r="IY5" s="25">
        <v>0</v>
      </c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>
        <f>IF(SUM(IS5,IW5)&gt;0,SUM(IS5,IW5),"")</f>
        <v>8.8000000000000007</v>
      </c>
      <c r="JM5" s="19">
        <f>IF(SUM(IR5:IS5,IU5:IW5,IY5)-IT5-IX5&gt;0,SUM(IR5:IS5,IU5:IW5,IY5)-IT5-IX5,"")</f>
        <v>44.599999999999994</v>
      </c>
      <c r="JN5" s="19" t="str">
        <f>IF(SUM(IZ5:JA5,JC5)-JB5&gt;0,SUM(IZ5:JA5,JC5)-JB5,"")</f>
        <v/>
      </c>
      <c r="JO5" s="19">
        <f>IF(SUM(IS5,IW5,JA5)&gt;0,SUM(IS5,IW5,JA5),"")</f>
        <v>8.8000000000000007</v>
      </c>
      <c r="JP5" s="19">
        <f>IF(SUM(JM5,JN5)&gt;0,SUM(JM5,JN5),"")</f>
        <v>44.599999999999994</v>
      </c>
      <c r="JQ5" s="19" t="str">
        <f>IF(SUM(JE5,JI5)&gt;0,SUM(JE5,JI5),"")</f>
        <v/>
      </c>
      <c r="JR5" s="19" t="str">
        <f>IF(SUM(JD5:JE5,JG5:JI5,JK5)-SUM(JF5,JJ5)&gt;0,SUM(JD5:JE5,JG5:JI5,JK5)-SUM(JF5,JJ5),"")</f>
        <v/>
      </c>
      <c r="JS5" s="19">
        <f>IF(SUM(JM5,JR5)&gt;0,SUM(JM5,JR5),"")</f>
        <v>44.599999999999994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>IF(SUM(JU5,JY5)&gt;0,SUM(JU5,JY5),"")</f>
        <v/>
      </c>
      <c r="KO5" s="78" t="str">
        <f>IF(SUM(JT5:JU5,JW5:JY5,KA5)-JV5-JZ5&gt;0,SUM(JT5:JU5,JW5:JY5,KA5)-JV5-JZ5,"")</f>
        <v/>
      </c>
      <c r="KP5" s="78" t="str">
        <f>IF(SUM(KB5:KC5,KE5)-KD5&gt;0,SUM(KB5:KC5,KE5)-KD5,"")</f>
        <v/>
      </c>
      <c r="KQ5" s="78" t="str">
        <f>IF(SUM(JU5,JY5,KC5)&gt;0,SUM(JU5,JY5,KC5),"")</f>
        <v/>
      </c>
      <c r="KR5" s="78" t="str">
        <f>IF(SUM(KO5,KP5)&gt;0,SUM(KO5,KP5),"")</f>
        <v/>
      </c>
      <c r="KS5" s="78" t="str">
        <f>IF(SUM(KG5,KK5)&gt;0,SUM(KG5,KK5),"")</f>
        <v/>
      </c>
      <c r="KT5" s="78" t="str">
        <f>IF(SUM(KF5:KG5,KI5:KK5,KM5)-SUM(KH5,KL5)&gt;0,SUM(KF5:KG5,KI5:KK5,KM5)-SUM(KH5,KL5),"")</f>
        <v/>
      </c>
      <c r="KU5" s="78" t="str">
        <f>IF(SUM(KO5,KT5)&gt;0,SUM(KO5,KT5),"")</f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>IF(SUM(KW5,LA5)&gt;0,SUM(KW5,LA5),"")</f>
        <v/>
      </c>
      <c r="LQ5" s="19" t="str">
        <f>IF(SUM(KV5:KW5,KY5:LA5,LC5)-KX5-LB5&gt;0,SUM(KV5:KW5,KY5:LA5,LC5)-KX5-LB5,"")</f>
        <v/>
      </c>
      <c r="LR5" s="19" t="str">
        <f>IF(SUM(LD5:LE5,LG5)-LF5&gt;0,SUM(LD5:LE5,LG5)-LF5,"")</f>
        <v/>
      </c>
      <c r="LS5" s="19" t="str">
        <f>IF(SUM(KW5,LA5,LE5)&gt;0,SUM(KW5,LA5,LE5),"")</f>
        <v/>
      </c>
      <c r="LT5" s="19" t="str">
        <f>IF(SUM(LQ5,LR5)&gt;0,SUM(LQ5,LR5),"")</f>
        <v/>
      </c>
      <c r="LU5" s="19" t="str">
        <f>IF(SUM(LI5,LM5)&gt;0,SUM(LI5,LM5),"")</f>
        <v/>
      </c>
      <c r="LV5" s="19" t="str">
        <f>IF(SUM(LH5:LI5,LK5:LM5,LO5)-SUM(LJ5,LN5)&gt;0,SUM(LH5:LI5,LK5:LM5,LO5)-SUM(LJ5,LN5),"")</f>
        <v/>
      </c>
      <c r="LW5" s="19" t="str">
        <f>IF(SUM(LQ5,LV5)&gt;0,SUM(LQ5,LV5),"")</f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>IF(SUM(LY5,MC5)&gt;0,SUM(LY5,MC5),"")</f>
        <v/>
      </c>
      <c r="MS5" s="78" t="str">
        <f>IF(SUM(LX5:LY5,MA5:MC5,ME5)-LZ5-MD5&gt;0,SUM(LX5:LY5,MA5:MC5,ME5)-LZ5-MD5,"")</f>
        <v/>
      </c>
      <c r="MT5" s="78" t="str">
        <f>IF(SUM(MF5:MG5,MI5)-MH5&gt;0,SUM(MF5:MG5,MI5)-MH5,"")</f>
        <v/>
      </c>
      <c r="MU5" s="78" t="str">
        <f>IF(SUM(LY5,MC5,MG5)&gt;0,SUM(LY5,MC5,MG5),"")</f>
        <v/>
      </c>
      <c r="MV5" s="78" t="str">
        <f>IF(SUM(MS5,MT5)&gt;0,SUM(MS5,MT5),"")</f>
        <v/>
      </c>
      <c r="MW5" s="78" t="str">
        <f>IF(SUM(MK5,MO5)&gt;0,SUM(MK5,MO5),"")</f>
        <v/>
      </c>
      <c r="MX5" s="78" t="str">
        <f>IF(SUM(MJ5:MK5,MM5:MO5,MQ5)-SUM(ML5,MP5)&gt;0,SUM(MJ5:MK5,MM5:MO5,MQ5)-SUM(ML5,MP5),"")</f>
        <v/>
      </c>
      <c r="MY5" s="78" t="str">
        <f>IF(SUM(MS5,MX5)&gt;0,SUM(MS5,MX5),"")</f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>IF(SUM(NA5,NE5)&gt;0,SUM(NA5,NE5),"")</f>
        <v/>
      </c>
      <c r="NU5" s="19" t="str">
        <f>IF(SUM(MZ5:NA5,NC5:NE5,NG5)-NB5-NF5&gt;0,SUM(MZ5:NA5,NC5:NE5,NG5)-NB5-NF5,"")</f>
        <v/>
      </c>
      <c r="NV5" s="19" t="str">
        <f>IF(SUM(NH5:NI5,NK5)-NJ5&gt;0,SUM(NH5:NI5,NK5)-NJ5,"")</f>
        <v/>
      </c>
      <c r="NW5" s="19" t="str">
        <f>IF(SUM(NA5,NE5,NI5)&gt;0,SUM(NA5,NE5,NI5),"")</f>
        <v/>
      </c>
      <c r="NX5" s="19" t="str">
        <f>IF(SUM(NU5,NV5)&gt;0,SUM(NU5,NV5),"")</f>
        <v/>
      </c>
      <c r="NY5" s="19" t="str">
        <f>IF(SUM(NM5,NQ5)&gt;0,SUM(NM5,NQ5),"")</f>
        <v/>
      </c>
      <c r="NZ5" s="19" t="str">
        <f>IF(SUM(NL5:NM5,NO5:NQ5,NS5)-SUM(NN5,NR5)&gt;0,SUM(NL5:NM5,NO5:NQ5,NS5)-SUM(NN5,NR5),"")</f>
        <v/>
      </c>
      <c r="OA5" s="19" t="str">
        <f>IF(SUM(NU5,NZ5)&gt;0,SUM(NU5,NZ5),"")</f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>IF(SUM(OC5,OG5)&gt;0,SUM(OC5,OG5),"")</f>
        <v/>
      </c>
      <c r="OW5" s="78" t="str">
        <f>IF(SUM(OB5:OC5,OE5:OG5,OI5)-OD5-OH5&gt;0,SUM(OB5:OC5,OE5:OG5,OI5)-OD5-OH5,"")</f>
        <v/>
      </c>
      <c r="OX5" s="78" t="str">
        <f>IF(SUM(OJ5:OK5,OM5)-OL5&gt;0,SUM(OJ5:OK5,OM5)-OL5,"")</f>
        <v/>
      </c>
      <c r="OY5" s="78" t="str">
        <f>IF(SUM(OC5,OG5,OK5)&gt;0,SUM(OC5,OG5,OK5),"")</f>
        <v/>
      </c>
      <c r="OZ5" s="78" t="str">
        <f>IF(SUM(OW5,OX5)&gt;0,SUM(OW5,OX5),"")</f>
        <v/>
      </c>
      <c r="PA5" s="78" t="str">
        <f>IF(SUM(OO5,OS5)&gt;0,SUM(OO5,OS5),"")</f>
        <v/>
      </c>
      <c r="PB5" s="78" t="str">
        <f>IF(SUM(ON5:OO5,OQ5:OS5,OU5)-SUM(OP5,OT5)&gt;0,SUM(ON5:OO5,OQ5:OS5,OU5)-SUM(OP5,OT5),"")</f>
        <v/>
      </c>
      <c r="PC5" s="78" t="str">
        <f>IF(SUM(OW5,PB5)&gt;0,SUM(OW5,PB5),"")</f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>IF(SUM(PE5,PI5)&gt;0,SUM(PE5,PI5),"")</f>
        <v/>
      </c>
      <c r="PY5" s="19" t="str">
        <f>IF(SUM(PD5:PE5,PG5:PI5,PK5)-PF5-PJ5&gt;0,SUM(PD5:PE5,PG5:PI5,PK5)-PF5-PJ5,"")</f>
        <v/>
      </c>
      <c r="PZ5" s="19" t="str">
        <f>IF(SUM(PL5:PM5,PO5)-PN5&gt;0,SUM(PL5:PM5,PO5)-PN5,"")</f>
        <v/>
      </c>
      <c r="QA5" s="19" t="str">
        <f>IF(SUM(PE5,PI5,PM5)&gt;0,SUM(PE5,PI5,PM5),"")</f>
        <v/>
      </c>
      <c r="QB5" s="19" t="str">
        <f>IF(SUM(PY5,PZ5)&gt;0,SUM(PY5,PZ5),"")</f>
        <v/>
      </c>
      <c r="QC5" s="19" t="str">
        <f>IF(SUM(PQ5,PU5)&gt;0,SUM(PQ5,PU5),"")</f>
        <v/>
      </c>
      <c r="QD5" s="19" t="str">
        <f>IF(SUM(PP5:PQ5,PS5:PU5,PW5)-SUM(PR5,PV5)&gt;0,SUM(PP5:PQ5,PS5:PU5,PW5)-SUM(PR5,PV5),"")</f>
        <v/>
      </c>
      <c r="QE5" s="19" t="str">
        <f>IF(SUM(PY5,QD5)&gt;0,SUM(PY5,QD5),"")</f>
        <v/>
      </c>
      <c r="QF5" s="37">
        <f>IF($CV5="P",CB5,(CB5+AY5)/2)</f>
        <v>18.649999999999999</v>
      </c>
      <c r="QG5" s="37">
        <f>IF($CV5="P",CC5,(CC5+AZ5)/2)</f>
        <v>6</v>
      </c>
      <c r="QH5" s="37">
        <f>IF($CV5="P",CD5,(CD5+BA5)/2)</f>
        <v>0.1</v>
      </c>
      <c r="QI5" s="37">
        <f>IF($CV5="P",CE5,(CE5+BB5)/2)</f>
        <v>0</v>
      </c>
      <c r="QJ5" s="37">
        <f>IF($CV5="P",CF5,(CF5+BC5)/2)</f>
        <v>18.399999999999999</v>
      </c>
      <c r="QK5" s="37">
        <f>IF($CV5="P",CG5,(CG5+BD5)/2)</f>
        <v>6.4</v>
      </c>
      <c r="QL5" s="37">
        <f>IF($CV5="P",CH5,(CH5+BE5)/2)</f>
        <v>0.4</v>
      </c>
      <c r="QM5" s="37">
        <f>IF($CV5="P",CI5,(CI5+BF5)/2)</f>
        <v>0.3</v>
      </c>
      <c r="QN5" s="37">
        <f>IF($CV5="P",CJ5,(CJ5+BG5)/2)</f>
        <v>18.549999999999997</v>
      </c>
      <c r="QO5" s="37">
        <f>IF($CV5="P",CK5,(CK5+BH5)/2)</f>
        <v>6.2</v>
      </c>
      <c r="QP5" s="37">
        <f>IF($CV5="P",CL5,(CL5+BI5)/2)</f>
        <v>0.1</v>
      </c>
      <c r="QQ5" s="37">
        <f>IF($CV5="P",CM5,(CM5+BJ5)/2)</f>
        <v>0.15</v>
      </c>
      <c r="QR5" s="37">
        <f>IF($CV5="P",CN5,(CN5+BK5)/2)</f>
        <v>18.600000000000001</v>
      </c>
      <c r="QS5" s="37">
        <f>IF($CV5="P",CO5,(CO5+BL5)/2)</f>
        <v>6.4</v>
      </c>
      <c r="QT5" s="37">
        <f>IF($CV5="P",CP5,(CP5+BM5)/2)</f>
        <v>0</v>
      </c>
      <c r="QU5" s="37">
        <f>IF($CV5="P",CQ5,(CQ5+BN5)/2)</f>
        <v>0</v>
      </c>
      <c r="QV5" s="37">
        <f>IF($CV5="P",CR5,(CR5+BO5)/2)</f>
        <v>18.649999999999999</v>
      </c>
      <c r="QW5" s="37">
        <f>IF($CV5="P",CS5,(CS5+BP5)/2)</f>
        <v>6</v>
      </c>
      <c r="QX5" s="37">
        <f>IF($CV5="P",CT5,(CT5+BQ5)/2)</f>
        <v>0.1</v>
      </c>
      <c r="QY5" s="37">
        <f>IF($CV5="P",CU5,(CU5+BR5)/2)</f>
        <v>0.15</v>
      </c>
      <c r="QZ5" s="44" t="s">
        <v>46</v>
      </c>
      <c r="RA5" s="78">
        <f>IF(SUM(QG5,QK5)&gt;0,SUM(QG5,QK5),"")</f>
        <v>12.4</v>
      </c>
      <c r="RB5" s="78">
        <f>IF(SUM(QF5:QG5,QI5:QK5,QM5)-QH5-QL5&gt;0,SUM(QF5:QG5,QI5:QK5,QM5)-QH5-QL5,"")</f>
        <v>49.249999999999993</v>
      </c>
      <c r="RC5" s="78">
        <f>IF(SUM(QN5:QO5,QQ5)-QP5&gt;0,SUM(QN5:QO5,QQ5)-QP5,"")</f>
        <v>24.799999999999994</v>
      </c>
      <c r="RD5" s="78">
        <f>IF(SUM(QG5,QK5,QO5)&gt;0,SUM(QG5,QK5,QO5),"")</f>
        <v>18.600000000000001</v>
      </c>
      <c r="RE5" s="78">
        <f>IF(SUM(RB5,RC5)&gt;0,SUM(RB5,RC5),"")</f>
        <v>74.049999999999983</v>
      </c>
      <c r="RF5" s="78">
        <f>IF(SUM(QS5,QW5)&gt;0,SUM(QS5,QW5),"")</f>
        <v>12.4</v>
      </c>
      <c r="RG5" s="78">
        <f>IF(SUM(QR5:QS5,QU5:QW5,QY5)-SUM(QT5,QX5)&gt;0,SUM(QR5:QS5,QU5:QW5,QY5)-SUM(QT5,QX5),"")</f>
        <v>49.699999999999996</v>
      </c>
      <c r="RH5" s="78">
        <f>IF(SUM(RB5,RG5)&gt;0,SUM(RB5,RG5),"")</f>
        <v>98.949999999999989</v>
      </c>
    </row>
    <row r="6" spans="1:476" x14ac:dyDescent="0.2">
      <c r="A6" s="5">
        <f>IF(AND(F6="P",G6="P"),SUMPRODUCT((F$4:F$29="P")*(G$4:G$29="P")*(E$4:E$29&gt;E6))+1,IF(G6="P",SUMPRODUCT((F$4:F$29="")*(G$4:G$29="P")*(E$4:E$29&gt;E6))+1+SUMPRODUCT((F$4:F$29="P")*(G$4:G$29="P")),""))</f>
        <v>3</v>
      </c>
      <c r="B6" s="77" t="s">
        <v>75</v>
      </c>
      <c r="C6" s="5" t="s">
        <v>4</v>
      </c>
      <c r="D6" s="5">
        <v>2003</v>
      </c>
      <c r="E6" s="15">
        <f>SUM(I6:S6)+SUM(I6:O6)*0.0000001+SUM(I6)*0.0000000000001</f>
        <v>195.28001443000494</v>
      </c>
      <c r="F6" s="3" t="str">
        <f>IF(OR(AND(AQ6&gt;=AX$31,AR6&gt;=AX$35,AQ6&lt;&gt;"",AP6=""),AND(AV6&gt;=AX$31,AW6&gt;=AX$35,AV6&lt;&gt;"",AP6=""),AND(BT6&gt;=CA$31,BU6&gt;=CA$35,BT6&lt;&gt;"",BS6=""),AND(BY6&gt;=CA$31,BZ6&gt;=CA$35,BY6&lt;&gt;"",BS6=""),AND(CW6&gt;=DD$31,CX6&gt;=DD$35,CW6&lt;&gt;"",CV6=""),AND(DB6&gt;=DD$31,DC6&gt;=DD$35,DB6&lt;&gt;""),AND(EB6&gt;=EI$31,EC6&gt;=EI$35,EB6&lt;&gt;""),AND(EG6&gt;=EI$31,EH6&gt;=EI$35,EG6&lt;&gt;""),AND(FD6&gt;=FK$31,FE6&gt;=FK$35,FD6&lt;&gt;""),AND(FI6&gt;=FK$31,FJ6&gt;=FK$35,FI6&lt;&gt;""),AND(GF6&gt;=GM$31,GG6&gt;=GM$35,GF6&lt;&gt;""),AND(GK6&gt;=GM$31,GL6&gt;=GM$35,GK6&lt;&gt;""),AND(HH6&gt;=HO$31,HI6&gt;=HO$35,HH6&lt;&gt;""),AND(HM6&gt;=HO$31,HN6&gt;=HO$35,HM6&lt;&gt;""),AND(IJ6&gt;=IQ$31,IK6&gt;=IQ$35,IJ6&lt;&gt;""),AND(IO6&gt;=IQ$31,IP6&gt;=IQ$35,IO6&lt;&gt;""),AND(JL6&gt;=JS$31,JM6&gt;=JS$35,JL6&lt;&gt;""),AND(JQ6&gt;=JS$31,JR6&gt;=JS$35,JQ6&lt;&gt;""),AND(KN6&gt;=KU$31,KO6&gt;=KU$35,KN6&lt;&gt;""),AND(KS6&gt;=KU$31,KT6&gt;=KU$35,KS6&lt;&gt;""),AND(LP6&gt;=LW$31,LQ6&gt;=LW$35,LP6&lt;&gt;""),AND(LU6&gt;=LW$31,LV6&gt;=LW$35,LU6&lt;&gt;""),AND(MR6&gt;=MY$31,MS6&gt;=MY$35,MR6&lt;&gt;""),AND(MW6&gt;=MY$31,MX6&gt;=MY$35,MW6&lt;&gt;""),AND(NT6&gt;=OA$31,NU6&gt;=OA$35,NT6&lt;&gt;""),AND(NY6&gt;=OA$31,NZ6&gt;=OA$35,NY6&lt;&gt;""),AND(OV6&gt;=PC$31,OW6&gt;=PC$35,OV6&lt;&gt;""),AND(PA6&gt;=PC$31,PB6&gt;=PC$35,PA6&lt;&gt;""),AND(PX6&gt;=QE$31,PY6&gt;=QE$35,PX6&lt;&gt;""),AND(QC6&gt;=QE$31,QD6&gt;=QE$35,QC6&lt;&gt;"")),"P","")</f>
        <v>P</v>
      </c>
      <c r="G6" s="3" t="str">
        <f>IF(OR(AND(AR6&gt;=AX$35,AR6&lt;&gt;"",AP6=""),AND(AW6&gt;=AX$35,AW6&lt;&gt;"",AP6=""),AND(BU6&gt;=CA$35,BU6&lt;&gt;"",BS6=""),AND(BZ6&gt;=CA$35,BZ6&lt;&gt;"",BS6=""),AND(CX6&gt;=DD$35,CX6&lt;&gt;"",CV6=""),AND(DC6&gt;=DD$35,DC6&lt;&gt;"",CV6=""),AND(EC6&gt;=EI$35,EC6&lt;&gt;""),AND(EH6&gt;=EI$35,EH6&lt;&gt;""),AND(FE6&gt;=FK$35,FE6&lt;&gt;""),AND(FJ6&gt;=FK$35,FJ6&lt;&gt;""),AND(GG6&gt;=GM$35,GG6&lt;&gt;""),AND(GL6&gt;=GM$35,GL6&lt;&gt;""),AND(HI6&gt;=HO$35,HI6&lt;&gt;""),AND(HN6&gt;=HO$35,HN6&lt;&gt;""),AND(IK6&gt;=IQ$35,IK6&lt;&gt;""),AND(IP6&gt;=IQ$35,IP6&lt;&gt;""),AND(JM6&gt;=JS$35,JM6&lt;&gt;""),AND(JR6&gt;=JS$35,JR6&lt;&gt;""),AND(KO6&gt;=KU$35,KO6&lt;&gt;""),AND(KT6&gt;=KU$35,KT6&lt;&gt;""),AND(LQ6&gt;=LW$35,LQ6&lt;&gt;""),AND(LV6&gt;=LW$35,LV6&lt;&gt;""),AND(MS6&gt;=MY$35,MS6&lt;&gt;""),AND(MX6&gt;=MY$35,MX6&lt;&gt;""),AND(NU6&gt;=OA$35,NU6&lt;&gt;""),AND(NZ6&gt;=OA$35,NZ6&lt;&gt;""),AND(OW6&gt;=PC$35,OW6&lt;&gt;""),AND(PB6&gt;=PC$35,PB6&lt;&gt;""),AND(PY6&gt;=QE$35,PY6&lt;&gt;""),AND(QD6&gt;=QE$35,QD6&lt;&gt;"")),"P","")</f>
        <v>P</v>
      </c>
      <c r="H6" s="66" t="str">
        <f>IF(AND(G6="P",F6=""),"No DD",IF(OR(AND(AT6&gt;=AX$34,AU6&gt;=AX$38,AT6&lt;&gt;"",AP6=""),AND(BW6&gt;=CA$34,BX6&gt;=CA$38,BW6&lt;&gt;"",BS6=""),AND(CZ6&gt;=DD$34,DA6&gt;=DD$38,CZ6&lt;&gt;"",CV6=""),AND(EE6&gt;=EI$34,EF6&gt;=EI$38,EE6&lt;&gt;""),AND(FG6&gt;=FK$34,FH6&gt;=FK$38,FG6&lt;&gt;""),AND(GI6&gt;=GM$34,GJ6&gt;=GM$38,GI6&lt;&gt;""),AND(HK6&gt;=HO$34,HL6&gt;=HO$38,HK6&lt;&gt;""),AND(IM6&gt;=IQ$34,IN6&gt;=IQ$38,IM6&lt;&gt;""),AND(JO6&gt;=JS$34,JP6&gt;=JS$38,JO6&lt;&gt;""),AND(KQ6&gt;=KU$34,KR6&gt;=KU$38,KQ6&lt;&gt;""),AND(LS6&gt;=LW$34,LT6&gt;=LW$38,LS6&lt;&gt;""),AND(MU6&gt;=MY$34,MV6&gt;=MY$38,MU6&lt;&gt;""),AND(NW6&gt;=OA$34,NX6&gt;=OA$38,NW6&lt;&gt;""),AND(OY6&gt;=PC$34,OZ6&gt;=PC$38,OY6&lt;&gt;""),AND(QA6&gt;=QE$34,QB6&gt;=QE$38,QA6&lt;&gt;"")),"Merit",IF(OR(AND(AT6&gt;=AX$33,AU6&gt;=AX$37,AT6&lt;&gt;"",AP6=""),AND(BW6&gt;=CA$33,BX6&gt;=CA$37,BW6&lt;&gt;"",BS6=""),AND(CZ6&gt;=DD$33,DA6&gt;=DD$37,CZ6&lt;&gt;"",CV6=""),AND(EE6&gt;=EI$33,EF6&gt;=EI$37,EE6&lt;&gt;""),AND(FG6&gt;=FK$33,FH6&gt;=FK$37,FG6&lt;&gt;""),AND(GI6&gt;=GM$33,GJ6&gt;=GM$37,GI6&lt;&gt;""),AND(HK6&gt;=HO$33,HL6&gt;=HO$37,HK6&lt;&gt;""),AND(IM6&gt;=IQ$33,IN6&gt;=IQ$37,IM6&lt;&gt;""),AND(JO6&gt;=JS$33,JP6&gt;=JS$37,JO6&lt;&gt;""),AND(KQ6&gt;=KU$33,KR6&gt;=KU$37,KQ6&lt;&gt;""),AND(LS6&gt;=LW$33,LT6&gt;=LW$37,LS6&lt;&gt;""),AND(MU6&gt;=MY$33,MV6&gt;=MY$37,MU6&lt;&gt;""),AND(NW6&gt;=OA$33,NX6&gt;=OA$37,NW6&lt;&gt;""),AND(OY6&gt;=PC$33,OZ6&gt;=PC$37,OY6&lt;&gt;""),AND(QA6&gt;=QE$33,QB6&gt;=QE$37,QA6&lt;&gt;"")),"Excellence",IF(F6="P","National Team",""))))</f>
        <v>National Team</v>
      </c>
      <c r="I6" s="14">
        <f>IF(COUNT(AR6,BU6,CX6)&gt;0,LARGE((AR6,BU6,CX6),1),0)</f>
        <v>49.2</v>
      </c>
      <c r="J6" s="14" t="str">
        <f>IF(I6=0,"",IF(I6=CX6,$CB$1,IF(I6=BU6,$AY$1,IF(I6=AR6,$V$1,""))))</f>
        <v>2022 Elite Canada</v>
      </c>
      <c r="K6" s="14">
        <f>IF(COUNT(AR6,BU6,CX6)&gt;1,LARGE((AR6,BU6,CX6),2),0)</f>
        <v>47.599999999999994</v>
      </c>
      <c r="L6" s="14" t="str">
        <f>IF(K6=0,"",IF(K6=CX6,$CB$1,IF(K6=BU6,$AY$1,IF(K6=AR6,$V$1,""))))</f>
        <v>2022 3rd Domestic Trial</v>
      </c>
      <c r="M6" s="14">
        <f>IF(COUNT(AS6,BV6,CY6)&gt;0,LARGE((AS6,BV6,CY6),1),0)</f>
        <v>24</v>
      </c>
      <c r="N6" s="14" t="str">
        <f>IF(M6=0,"",IF(M6=CY6,$CB$1,IF(M6=BV6,$AY$1,IF(M6=AS6,$V$1,""))))</f>
        <v>2022 Nationals</v>
      </c>
      <c r="O6" s="14">
        <f>IF(COUNT(AS6,BV6,CY6)&gt;1,LARGE((AS6,BV6,CY6),2),0)</f>
        <v>23.5</v>
      </c>
      <c r="P6" s="14" t="str">
        <f>IF(O6=0,"",IF(O6=CY6,$CB$1,IF(O6=BV6,$AY$1,IF(O6=AS6,$V$1,""))))</f>
        <v>2022 3rd Domestic Trial</v>
      </c>
      <c r="Q6" s="14">
        <f>IF(MAX(AW6,BZ6,DC6)&gt;0,MAX(AW6,BZ6,DC6),0)</f>
        <v>48.78</v>
      </c>
      <c r="R6" s="14" t="str">
        <f>IF(Q6=0,"",IF(Q6=DC6,$CB$1,IF(Q6=BZ6,$AY$1,IF(Q6=AW6,$V$1,""))))</f>
        <v>2022 3rd Domestic Trial</v>
      </c>
      <c r="S6" s="14">
        <f>IF(MAX(DE6:DG6)&gt;0,MAX(DE6:DG6),"")</f>
        <v>2.2000000000000028</v>
      </c>
      <c r="T6" s="19" t="str">
        <f>IF(S6="","",IF(S6=DE6,"("&amp;DE$2&amp;")",IF(S6=DG6,"("&amp;DG$2&amp;")")))</f>
        <v>(Q1)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6">
        <v>19</v>
      </c>
      <c r="W6" s="26">
        <v>5.6</v>
      </c>
      <c r="X6" s="26">
        <v>0</v>
      </c>
      <c r="Y6" s="26">
        <v>0</v>
      </c>
      <c r="Z6" s="26">
        <v>18.600000000000001</v>
      </c>
      <c r="AA6" s="26">
        <v>6</v>
      </c>
      <c r="AB6" s="26">
        <v>0</v>
      </c>
      <c r="AC6" s="26">
        <v>0</v>
      </c>
      <c r="AD6" s="26">
        <v>18.399999999999999</v>
      </c>
      <c r="AE6" s="26">
        <v>5.2</v>
      </c>
      <c r="AF6" s="26">
        <v>0.6</v>
      </c>
      <c r="AG6" s="26">
        <v>0</v>
      </c>
      <c r="AH6" s="26">
        <v>18.600000000000001</v>
      </c>
      <c r="AI6" s="26">
        <v>5.6</v>
      </c>
      <c r="AJ6" s="26">
        <v>0</v>
      </c>
      <c r="AK6" s="26">
        <v>0</v>
      </c>
      <c r="AL6" s="26">
        <v>18.600000000000001</v>
      </c>
      <c r="AM6" s="26">
        <v>6</v>
      </c>
      <c r="AN6" s="26">
        <v>0.8</v>
      </c>
      <c r="AO6" s="26">
        <v>0</v>
      </c>
      <c r="AP6" s="44"/>
      <c r="AQ6" s="78">
        <f>IF(SUM(W6,AA6)&gt;0,SUM(W6,AA6),"")</f>
        <v>11.6</v>
      </c>
      <c r="AR6" s="78">
        <f>IF(SUM(V6:W6,Y6:AA6,AC6)-X6-AB6&gt;0,SUM(V6:W6,Y6:AA6,AC6)-X6-AB6,"")</f>
        <v>49.2</v>
      </c>
      <c r="AS6" s="78">
        <f>IF(SUM(AD6:AE6,AG6)-AF6&gt;0,SUM(AD6:AE6,AG6)-AF6,"")</f>
        <v>22.999999999999996</v>
      </c>
      <c r="AT6" s="78">
        <f>IF(SUM(W6,AA6,AE6)&gt;0,SUM(W6,AA6,AE6),"")</f>
        <v>16.8</v>
      </c>
      <c r="AU6" s="78">
        <f>IF(SUM(AR6,AS6)&gt;0,SUM(AR6,AS6),"")</f>
        <v>72.2</v>
      </c>
      <c r="AV6" s="78">
        <f>IF(SUM(AI6,AM6)&gt;0,SUM(AI6,AM6),"")</f>
        <v>11.6</v>
      </c>
      <c r="AW6" s="78">
        <f>IF(SUM(AH6:AI6,AK6:AM6,AO6)-SUM(AJ6,AN6)&gt;0,SUM(AH6:AI6,AK6:AM6,AO6)-SUM(AJ6,AN6),"")</f>
        <v>48.000000000000007</v>
      </c>
      <c r="AX6" s="78">
        <f>IF(SUM(AR6,AW6)&gt;0,SUM(AR6,AW6),"")</f>
        <v>97.200000000000017</v>
      </c>
      <c r="AY6" s="25">
        <v>18.100000000000001</v>
      </c>
      <c r="AZ6" s="25">
        <v>2.9</v>
      </c>
      <c r="BA6" s="25">
        <v>2.1</v>
      </c>
      <c r="BB6" s="25">
        <v>0</v>
      </c>
      <c r="BC6" s="25">
        <v>18</v>
      </c>
      <c r="BD6" s="25">
        <v>6</v>
      </c>
      <c r="BE6" s="25">
        <v>0</v>
      </c>
      <c r="BF6" s="25">
        <v>0.3</v>
      </c>
      <c r="BG6" s="25">
        <v>18.399999999999999</v>
      </c>
      <c r="BH6" s="25">
        <v>5.6</v>
      </c>
      <c r="BI6" s="25">
        <v>0</v>
      </c>
      <c r="BJ6" s="25">
        <v>0</v>
      </c>
      <c r="BK6" s="25">
        <v>18.5</v>
      </c>
      <c r="BL6" s="25">
        <v>6.4</v>
      </c>
      <c r="BM6" s="25">
        <v>0.2</v>
      </c>
      <c r="BN6" s="25">
        <v>0</v>
      </c>
      <c r="BO6" s="25">
        <v>17.2</v>
      </c>
      <c r="BP6" s="25">
        <v>2.4</v>
      </c>
      <c r="BQ6" s="25">
        <v>0</v>
      </c>
      <c r="BR6" s="25">
        <v>0</v>
      </c>
      <c r="BS6" s="45"/>
      <c r="BT6" s="19">
        <f>IF(SUM(AZ6,BD6)&gt;0,SUM(AZ6,BD6),"")</f>
        <v>8.9</v>
      </c>
      <c r="BU6" s="19">
        <f>IF(SUM(AY6:AZ6,BB6:BD6,BF6)-BA6-BE6&gt;0,SUM(AY6:AZ6,BB6:BD6,BF6)-BA6-BE6,"")</f>
        <v>43.199999999999996</v>
      </c>
      <c r="BV6" s="19">
        <f>IF(SUM(BG6:BH6,BJ6)-BI6&gt;0,SUM(BG6:BH6,BJ6)-BI6,"")</f>
        <v>24</v>
      </c>
      <c r="BW6" s="19">
        <f>IF(SUM(AZ6,BD6,BH6)&gt;0,SUM(AZ6,BD6,BH6),"")</f>
        <v>14.5</v>
      </c>
      <c r="BX6" s="19">
        <f>IF(SUM(BU6,BV6)&gt;0,SUM(BU6,BV6),"")</f>
        <v>67.199999999999989</v>
      </c>
      <c r="BY6" s="19">
        <f>IF(SUM(BL6,BP6)&gt;0,SUM(BL6,BP6),"")</f>
        <v>8.8000000000000007</v>
      </c>
      <c r="BZ6" s="19">
        <f>IF(SUM(BK6:BL6,BN6:BP6,BR6)-SUM(BM6,BQ6)&gt;0,SUM(BK6:BL6,BN6:BP6,BR6)-SUM(BM6,BQ6),"")</f>
        <v>44.29999999999999</v>
      </c>
      <c r="CA6" s="19">
        <f>IF(SUM(BU6,BZ6)&gt;0,SUM(BU6,BZ6),"")</f>
        <v>87.499999999999986</v>
      </c>
      <c r="CB6" s="26">
        <v>18.899999999999999</v>
      </c>
      <c r="CC6" s="26">
        <v>5.2</v>
      </c>
      <c r="CD6" s="26">
        <v>0.2</v>
      </c>
      <c r="CE6" s="26">
        <v>0</v>
      </c>
      <c r="CF6" s="26">
        <v>18.399999999999999</v>
      </c>
      <c r="CG6" s="26">
        <v>5.2</v>
      </c>
      <c r="CH6" s="26">
        <v>0.2</v>
      </c>
      <c r="CI6" s="26">
        <v>0.3</v>
      </c>
      <c r="CJ6" s="26">
        <v>18.5</v>
      </c>
      <c r="CK6" s="26">
        <v>5.6</v>
      </c>
      <c r="CL6" s="26">
        <v>0.6</v>
      </c>
      <c r="CM6" s="26">
        <v>0</v>
      </c>
      <c r="CN6" s="26">
        <v>18.600000000000001</v>
      </c>
      <c r="CO6" s="26">
        <v>6.4</v>
      </c>
      <c r="CP6" s="26">
        <v>0</v>
      </c>
      <c r="CQ6" s="26">
        <v>0</v>
      </c>
      <c r="CR6" s="26">
        <v>18.579999999999998</v>
      </c>
      <c r="CS6" s="26">
        <v>5.2</v>
      </c>
      <c r="CT6" s="26">
        <v>0</v>
      </c>
      <c r="CU6" s="26">
        <v>0</v>
      </c>
      <c r="CV6" s="44"/>
      <c r="CW6" s="78">
        <f>IF(SUM(CC6,CG6)&gt;0,SUM(CC6,CG6),"")</f>
        <v>10.4</v>
      </c>
      <c r="CX6" s="78">
        <f>IF(SUM(CB6:CC6,CE6:CG6,CI6)-CD6-CH6&gt;0,SUM(CB6:CC6,CE6:CG6,CI6)-CD6-CH6,"")</f>
        <v>47.599999999999994</v>
      </c>
      <c r="CY6" s="78">
        <f>IF(SUM(CJ6:CK6,CM6)-CL6&gt;0,SUM(CJ6:CK6,CM6)-CL6,"")</f>
        <v>23.5</v>
      </c>
      <c r="CZ6" s="78">
        <f>IF(SUM(CC6,CG6,CK6)&gt;0,SUM(CC6,CG6,CK6),"")</f>
        <v>16</v>
      </c>
      <c r="DA6" s="78">
        <f>IF(SUM(CX6,CY6)&gt;0,SUM(CX6,CY6),"")</f>
        <v>71.099999999999994</v>
      </c>
      <c r="DB6" s="78">
        <f>IF(SUM(CO6,CS6)&gt;0,SUM(CO6,CS6),"")</f>
        <v>11.600000000000001</v>
      </c>
      <c r="DC6" s="78">
        <f>IF(SUM(CN6:CO6,CQ6:CS6,CU6)-SUM(CP6,CT6)&gt;0,SUM(CN6:CO6,CQ6:CS6,CU6)-SUM(CP6,CT6),"")</f>
        <v>48.78</v>
      </c>
      <c r="DD6" s="78">
        <f>IF(SUM(CX6,DC6)&gt;0,SUM(CX6,DC6),"")</f>
        <v>96.38</v>
      </c>
      <c r="DE6" s="79">
        <f>IF(K6&gt;=0.001,IF(MAX(EC6,FE6,GG6,HI6,IK6,JM6,KO6,LQ6,MS6,NU6,OW6,PY6)-IF(K6="",0,K6)&gt;0.001,MAX(EC6,FE6,GG6,HI6,IK6,JM6,KO6,LQ6,MS6,NU6,OW6,PY6)-IF(K6="",0,K6),""),"")</f>
        <v>2.2000000000000028</v>
      </c>
      <c r="DF6" s="79" t="str">
        <f>IF(O6&gt;=0.001,IF(MAX(ED6,FF6,GH6,HJ6,IL6,JN6,KP6,LR6,MT6,NV6,OX6,PZ6)-IF(O6="",0,O6)&gt;0.001,MAX(ED6,FF6,GH6,HJ6,IL6,JN6,KP6,LR6,MT6,NV6,OX6,PZ6)-IF(O6="",0,O6),""),"")</f>
        <v/>
      </c>
      <c r="DG6" s="79" t="str">
        <f>IF(Q6&gt;=0.001,IF(MAX(EH6,FJ6,GL6,HN6,IP6,JR6,KT6,LV6,MX6,NZ6,PB6,QD6)-IF(Q6="",0,Q6)&gt;0.001,MAX(EH6,FJ6,GL6,HN6,IP6,JR6,KT6,LV6,MX6,NZ6,PB6,QD6)-IF(Q6="",0,Q6),""),"")</f>
        <v/>
      </c>
      <c r="DH6" s="24">
        <v>1E-4</v>
      </c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>IF(SUM(DI6,DM6)&gt;0,SUM(DI6,DM6),"")</f>
        <v>1E-4</v>
      </c>
      <c r="EC6" s="78">
        <f>IF(SUM(DH6:DI6,DK6:DM6,DO6)-DJ6-DN6&gt;0,SUM(DH6:DI6,DK6:DM6,DO6)-DJ6-DN6,"")</f>
        <v>2.0000000000000001E-4</v>
      </c>
      <c r="ED6" s="78" t="str">
        <f>IF(SUM(DP6:DQ6,DS6)-DR6&gt;0,SUM(DP6:DQ6,DS6)-DR6,"")</f>
        <v/>
      </c>
      <c r="EE6" s="78">
        <f>IF(SUM(DI6,DM6,DQ6)&gt;0,SUM(DI6,DM6,DQ6),"")</f>
        <v>1E-4</v>
      </c>
      <c r="EF6" s="78">
        <f>IF(SUM(EC6,ED6)&gt;0,SUM(EC6,ED6),"")</f>
        <v>2.0000000000000001E-4</v>
      </c>
      <c r="EG6" s="78" t="str">
        <f>IF(SUM(DU6,DY6)&gt;0,SUM(DU6,DY6),"")</f>
        <v/>
      </c>
      <c r="EH6" s="78" t="str">
        <f>IF(SUM(DT6:DU6,DW6:DY6,EA6)-SUM(DV6,DZ6)&gt;0,SUM(DT6:DU6,DW6:DY6,EA6)-SUM(DV6,DZ6),"")</f>
        <v/>
      </c>
      <c r="EI6" s="78">
        <f>IF(SUM(EC6,EH6)&gt;0,SUM(EC6,EH6),"")</f>
        <v>2.0000000000000001E-4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>IF(SUM(EK6,EO6)&gt;0,SUM(EK6,EO6),"")</f>
        <v/>
      </c>
      <c r="FE6" s="19" t="str">
        <f>IF(SUM(EJ6:EK6,EM6:EO6,EQ6)-EL6-EP6&gt;0,SUM(EJ6:EK6,EM6:EO6,EQ6)-EL6-EP6,"")</f>
        <v/>
      </c>
      <c r="FF6" s="19" t="str">
        <f>IF(SUM(ER6:ES6,EU6)-ET6&gt;0,SUM(ER6:ES6,EU6)-ET6,"")</f>
        <v/>
      </c>
      <c r="FG6" s="19" t="str">
        <f>IF(SUM(EK6,EO6,ES6)&gt;0,SUM(EK6,EO6,ES6),"")</f>
        <v/>
      </c>
      <c r="FH6" s="19" t="str">
        <f>IF(SUM(FE6,FF6)&gt;0,SUM(FE6,FF6),"")</f>
        <v/>
      </c>
      <c r="FI6" s="19" t="str">
        <f>IF(SUM(EW6,FA6)&gt;0,SUM(EW6,FA6),"")</f>
        <v/>
      </c>
      <c r="FJ6" s="19" t="str">
        <f>IF(SUM(EV6:EW6,EY6:FA6,FC6)-SUM(EX6,FB6)&gt;0,SUM(EV6:EW6,EY6:FA6,FC6)-SUM(EX6,FB6),"")</f>
        <v/>
      </c>
      <c r="FK6" s="19" t="str">
        <f>IF(SUM(FE6,FJ6)&gt;0,SUM(FE6,FJ6),"")</f>
        <v/>
      </c>
      <c r="FL6" s="24">
        <v>18.8</v>
      </c>
      <c r="FM6" s="24">
        <v>5.6</v>
      </c>
      <c r="FN6" s="24">
        <v>0</v>
      </c>
      <c r="FO6" s="24">
        <v>0</v>
      </c>
      <c r="FP6" s="24">
        <v>17.3</v>
      </c>
      <c r="FQ6" s="24">
        <v>2.4</v>
      </c>
      <c r="FR6" s="24">
        <v>0</v>
      </c>
      <c r="FS6" s="24">
        <v>0</v>
      </c>
      <c r="FT6" s="24"/>
      <c r="FU6" s="24"/>
      <c r="FV6" s="24"/>
      <c r="FW6" s="24"/>
      <c r="FX6" s="24">
        <v>18.399999999999999</v>
      </c>
      <c r="FY6" s="24">
        <v>5.6</v>
      </c>
      <c r="FZ6" s="24">
        <v>0.6</v>
      </c>
      <c r="GA6" s="24">
        <v>0</v>
      </c>
      <c r="GB6" s="24">
        <v>18.7</v>
      </c>
      <c r="GC6" s="24">
        <v>6</v>
      </c>
      <c r="GD6" s="24">
        <v>0</v>
      </c>
      <c r="GE6" s="24">
        <v>0</v>
      </c>
      <c r="GF6" s="78">
        <f>IF(SUM(FM6,FQ6)&gt;0,SUM(FM6,FQ6),"")</f>
        <v>8</v>
      </c>
      <c r="GG6" s="78">
        <f>IF(SUM(FL6:FM6,FO6:FQ6,FS6)-FN6-FR6&gt;0,SUM(FL6:FM6,FO6:FQ6,FS6)-FN6-FR6,"")</f>
        <v>44.1</v>
      </c>
      <c r="GH6" s="78" t="str">
        <f>IF(SUM(FT6:FU6,FW6)-FV6&gt;0,SUM(FT6:FU6,FW6)-FV6,"")</f>
        <v/>
      </c>
      <c r="GI6" s="78">
        <f>IF(SUM(FM6,FQ6,FU6)&gt;0,SUM(FM6,FQ6,FU6),"")</f>
        <v>8</v>
      </c>
      <c r="GJ6" s="78">
        <f>IF(SUM(GG6,GH6)&gt;0,SUM(GG6,GH6),"")</f>
        <v>44.1</v>
      </c>
      <c r="GK6" s="78">
        <f>IF(SUM(FY6,GC6)&gt;0,SUM(FY6,GC6),"")</f>
        <v>11.6</v>
      </c>
      <c r="GL6" s="78">
        <f>IF(SUM(FX6:FY6,GA6:GC6,GE6)-SUM(FZ6,GD6)&gt;0,SUM(FX6:FY6,GA6:GC6,GE6)-SUM(FZ6,GD6),"")</f>
        <v>48.1</v>
      </c>
      <c r="GM6" s="78">
        <f>IF(SUM(GG6,GL6)&gt;0,SUM(GG6,GL6),"")</f>
        <v>92.2</v>
      </c>
      <c r="GN6" s="25">
        <v>18.600000000000001</v>
      </c>
      <c r="GO6" s="25">
        <v>6.4</v>
      </c>
      <c r="GP6" s="25">
        <v>0</v>
      </c>
      <c r="GQ6" s="25">
        <v>0</v>
      </c>
      <c r="GR6" s="25">
        <v>18.5</v>
      </c>
      <c r="GS6" s="25">
        <v>6</v>
      </c>
      <c r="GT6" s="25">
        <v>0</v>
      </c>
      <c r="GU6" s="25">
        <v>0.3</v>
      </c>
      <c r="GV6" s="25"/>
      <c r="GW6" s="25"/>
      <c r="GX6" s="25"/>
      <c r="GY6" s="25"/>
      <c r="GZ6" s="25">
        <v>17.399999999999999</v>
      </c>
      <c r="HA6" s="25">
        <v>2.8</v>
      </c>
      <c r="HB6" s="25">
        <v>0</v>
      </c>
      <c r="HC6" s="25">
        <v>0</v>
      </c>
      <c r="HD6" s="25">
        <v>17.399999999999999</v>
      </c>
      <c r="HE6" s="25">
        <v>2.4</v>
      </c>
      <c r="HF6" s="25">
        <v>0</v>
      </c>
      <c r="HG6" s="25">
        <v>0</v>
      </c>
      <c r="HH6" s="19">
        <f>IF(SUM(GO6,GS6)&gt;0,SUM(GO6,GS6),"")</f>
        <v>12.4</v>
      </c>
      <c r="HI6" s="19">
        <f>IF(SUM(GN6:GO6,GQ6:GS6,GU6)-GP6-GT6&gt;0,SUM(GN6:GO6,GQ6:GS6,GU6)-GP6-GT6,"")</f>
        <v>49.8</v>
      </c>
      <c r="HJ6" s="19" t="str">
        <f>IF(SUM(GV6:GW6,GY6)-GX6&gt;0,SUM(GV6:GW6,GY6)-GX6,"")</f>
        <v/>
      </c>
      <c r="HK6" s="19">
        <f>IF(SUM(GO6,GS6,GW6)&gt;0,SUM(GO6,GS6,GW6),"")</f>
        <v>12.4</v>
      </c>
      <c r="HL6" s="19">
        <f>IF(SUM(HI6,HJ6)&gt;0,SUM(HI6,HJ6),"")</f>
        <v>49.8</v>
      </c>
      <c r="HM6" s="19">
        <f>IF(SUM(HA6,HE6)&gt;0,SUM(HA6,HE6),"")</f>
        <v>5.1999999999999993</v>
      </c>
      <c r="HN6" s="19">
        <f>IF(SUM(GZ6:HA6,HC6:HE6,HG6)-SUM(HB6,HF6)&gt;0,SUM(GZ6:HA6,HC6:HE6,HG6)-SUM(HB6,HF6),"")</f>
        <v>39.999999999999993</v>
      </c>
      <c r="HO6" s="19">
        <f>IF(SUM(HI6,HN6)&gt;0,SUM(HI6,HN6),"")</f>
        <v>89.799999999999983</v>
      </c>
      <c r="HP6" s="24">
        <v>18.399999999999999</v>
      </c>
      <c r="HQ6" s="24">
        <v>5.6</v>
      </c>
      <c r="HR6" s="24">
        <v>0</v>
      </c>
      <c r="HS6" s="24">
        <v>0</v>
      </c>
      <c r="HT6" s="24">
        <v>18.399999999999999</v>
      </c>
      <c r="HU6" s="24">
        <v>6.8</v>
      </c>
      <c r="HV6" s="24">
        <v>0</v>
      </c>
      <c r="HW6" s="24">
        <v>0</v>
      </c>
      <c r="HX6" s="24"/>
      <c r="HY6" s="24"/>
      <c r="HZ6" s="24"/>
      <c r="IA6" s="24"/>
      <c r="IB6" s="24">
        <v>18.2</v>
      </c>
      <c r="IC6" s="24">
        <v>6.4</v>
      </c>
      <c r="ID6" s="24">
        <v>0.8</v>
      </c>
      <c r="IE6" s="24">
        <v>0</v>
      </c>
      <c r="IF6" s="24"/>
      <c r="IG6" s="24"/>
      <c r="IH6" s="24"/>
      <c r="II6" s="24"/>
      <c r="IJ6" s="78">
        <f>IF(SUM(HQ6,HU6)&gt;0,SUM(HQ6,HU6),"")</f>
        <v>12.399999999999999</v>
      </c>
      <c r="IK6" s="78">
        <f>IF(SUM(HP6:HQ6,HS6:HU6,HW6)-HR6-HV6&gt;0,SUM(HP6:HQ6,HS6:HU6,HW6)-HR6-HV6,"")</f>
        <v>49.199999999999996</v>
      </c>
      <c r="IL6" s="78" t="str">
        <f>IF(SUM(HX6:HY6,IA6)-HZ6&gt;0,SUM(HX6:HY6,IA6)-HZ6,"")</f>
        <v/>
      </c>
      <c r="IM6" s="78">
        <f>IF(SUM(HQ6,HU6,HY6)&gt;0,SUM(HQ6,HU6,HY6),"")</f>
        <v>12.399999999999999</v>
      </c>
      <c r="IN6" s="78">
        <f>IF(SUM(IK6,IL6)&gt;0,SUM(IK6,IL6),"")</f>
        <v>49.199999999999996</v>
      </c>
      <c r="IO6" s="78">
        <f>IF(SUM(IC6,IG6)&gt;0,SUM(IC6,IG6),"")</f>
        <v>6.4</v>
      </c>
      <c r="IP6" s="78">
        <f>IF(SUM(IB6:IC6,IE6:IG6,II6)-SUM(ID6,IH6)&gt;0,SUM(IB6:IC6,IE6:IG6,II6)-SUM(ID6,IH6),"")</f>
        <v>23.8</v>
      </c>
      <c r="IQ6" s="78">
        <f>IF(SUM(IK6,IP6)&gt;0,SUM(IK6,IP6),"")</f>
        <v>73</v>
      </c>
      <c r="IR6" s="25">
        <v>18.7</v>
      </c>
      <c r="IS6" s="25">
        <v>6.4</v>
      </c>
      <c r="IT6" s="25">
        <v>0</v>
      </c>
      <c r="IU6" s="25">
        <v>0</v>
      </c>
      <c r="IV6" s="25">
        <v>18.399999999999999</v>
      </c>
      <c r="IW6" s="25">
        <v>6</v>
      </c>
      <c r="IX6" s="25">
        <v>0</v>
      </c>
      <c r="IY6" s="25">
        <v>0</v>
      </c>
      <c r="IZ6" s="25"/>
      <c r="JA6" s="25"/>
      <c r="JB6" s="25"/>
      <c r="JC6" s="25"/>
      <c r="JD6" s="25">
        <v>0</v>
      </c>
      <c r="JE6" s="25">
        <v>0</v>
      </c>
      <c r="JF6" s="25">
        <v>0</v>
      </c>
      <c r="JG6" s="25">
        <v>0</v>
      </c>
      <c r="JH6" s="25"/>
      <c r="JI6" s="25"/>
      <c r="JJ6" s="25"/>
      <c r="JK6" s="25"/>
      <c r="JL6" s="19">
        <f>IF(SUM(IS6,IW6)&gt;0,SUM(IS6,IW6),"")</f>
        <v>12.4</v>
      </c>
      <c r="JM6" s="19">
        <f>IF(SUM(IR6:IS6,IU6:IW6,IY6)-IT6-IX6&gt;0,SUM(IR6:IS6,IU6:IW6,IY6)-IT6-IX6,"")</f>
        <v>49.5</v>
      </c>
      <c r="JN6" s="19" t="str">
        <f>IF(SUM(IZ6:JA6,JC6)-JB6&gt;0,SUM(IZ6:JA6,JC6)-JB6,"")</f>
        <v/>
      </c>
      <c r="JO6" s="19">
        <f>IF(SUM(IS6,IW6,JA6)&gt;0,SUM(IS6,IW6,JA6),"")</f>
        <v>12.4</v>
      </c>
      <c r="JP6" s="19">
        <f>IF(SUM(JM6,JN6)&gt;0,SUM(JM6,JN6),"")</f>
        <v>49.5</v>
      </c>
      <c r="JQ6" s="19" t="str">
        <f>IF(SUM(JE6,JI6)&gt;0,SUM(JE6,JI6),"")</f>
        <v/>
      </c>
      <c r="JR6" s="19" t="str">
        <f>IF(SUM(JD6:JE6,JG6:JI6,JK6)-SUM(JF6,JJ6)&gt;0,SUM(JD6:JE6,JG6:JI6,JK6)-SUM(JF6,JJ6),"")</f>
        <v/>
      </c>
      <c r="JS6" s="19">
        <f>IF(SUM(JM6,JR6)&gt;0,SUM(JM6,JR6),"")</f>
        <v>49.5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>IF(SUM(JU6,JY6)&gt;0,SUM(JU6,JY6),"")</f>
        <v/>
      </c>
      <c r="KO6" s="78" t="str">
        <f>IF(SUM(JT6:JU6,JW6:JY6,KA6)-JV6-JZ6&gt;0,SUM(JT6:JU6,JW6:JY6,KA6)-JV6-JZ6,"")</f>
        <v/>
      </c>
      <c r="KP6" s="78" t="str">
        <f>IF(SUM(KB6:KC6,KE6)-KD6&gt;0,SUM(KB6:KC6,KE6)-KD6,"")</f>
        <v/>
      </c>
      <c r="KQ6" s="78" t="str">
        <f>IF(SUM(JU6,JY6,KC6)&gt;0,SUM(JU6,JY6,KC6),"")</f>
        <v/>
      </c>
      <c r="KR6" s="78" t="str">
        <f>IF(SUM(KO6,KP6)&gt;0,SUM(KO6,KP6),"")</f>
        <v/>
      </c>
      <c r="KS6" s="78" t="str">
        <f>IF(SUM(KG6,KK6)&gt;0,SUM(KG6,KK6),"")</f>
        <v/>
      </c>
      <c r="KT6" s="78" t="str">
        <f>IF(SUM(KF6:KG6,KI6:KK6,KM6)-SUM(KH6,KL6)&gt;0,SUM(KF6:KG6,KI6:KK6,KM6)-SUM(KH6,KL6),"")</f>
        <v/>
      </c>
      <c r="KU6" s="78" t="str">
        <f>IF(SUM(KO6,KT6)&gt;0,SUM(KO6,KT6),"")</f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>IF(SUM(KW6,LA6)&gt;0,SUM(KW6,LA6),"")</f>
        <v/>
      </c>
      <c r="LQ6" s="19" t="str">
        <f>IF(SUM(KV6:KW6,KY6:LA6,LC6)-KX6-LB6&gt;0,SUM(KV6:KW6,KY6:LA6,LC6)-KX6-LB6,"")</f>
        <v/>
      </c>
      <c r="LR6" s="19" t="str">
        <f>IF(SUM(LD6:LE6,LG6)-LF6&gt;0,SUM(LD6:LE6,LG6)-LF6,"")</f>
        <v/>
      </c>
      <c r="LS6" s="19" t="str">
        <f>IF(SUM(KW6,LA6,LE6)&gt;0,SUM(KW6,LA6,LE6),"")</f>
        <v/>
      </c>
      <c r="LT6" s="19" t="str">
        <f>IF(SUM(LQ6,LR6)&gt;0,SUM(LQ6,LR6),"")</f>
        <v/>
      </c>
      <c r="LU6" s="19" t="str">
        <f>IF(SUM(LI6,LM6)&gt;0,SUM(LI6,LM6),"")</f>
        <v/>
      </c>
      <c r="LV6" s="19" t="str">
        <f>IF(SUM(LH6:LI6,LK6:LM6,LO6)-SUM(LJ6,LN6)&gt;0,SUM(LH6:LI6,LK6:LM6,LO6)-SUM(LJ6,LN6),"")</f>
        <v/>
      </c>
      <c r="LW6" s="19" t="str">
        <f>IF(SUM(LQ6,LV6)&gt;0,SUM(LQ6,LV6),"")</f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>IF(SUM(LY6,MC6)&gt;0,SUM(LY6,MC6),"")</f>
        <v/>
      </c>
      <c r="MS6" s="78" t="str">
        <f>IF(SUM(LX6:LY6,MA6:MC6,ME6)-LZ6-MD6&gt;0,SUM(LX6:LY6,MA6:MC6,ME6)-LZ6-MD6,"")</f>
        <v/>
      </c>
      <c r="MT6" s="78" t="str">
        <f>IF(SUM(MF6:MG6,MI6)-MH6&gt;0,SUM(MF6:MG6,MI6)-MH6,"")</f>
        <v/>
      </c>
      <c r="MU6" s="78" t="str">
        <f>IF(SUM(LY6,MC6,MG6)&gt;0,SUM(LY6,MC6,MG6),"")</f>
        <v/>
      </c>
      <c r="MV6" s="78" t="str">
        <f>IF(SUM(MS6,MT6)&gt;0,SUM(MS6,MT6),"")</f>
        <v/>
      </c>
      <c r="MW6" s="78" t="str">
        <f>IF(SUM(MK6,MO6)&gt;0,SUM(MK6,MO6),"")</f>
        <v/>
      </c>
      <c r="MX6" s="78" t="str">
        <f>IF(SUM(MJ6:MK6,MM6:MO6,MQ6)-SUM(ML6,MP6)&gt;0,SUM(MJ6:MK6,MM6:MO6,MQ6)-SUM(ML6,MP6),"")</f>
        <v/>
      </c>
      <c r="MY6" s="78" t="str">
        <f>IF(SUM(MS6,MX6)&gt;0,SUM(MS6,MX6),"")</f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>IF(SUM(NA6,NE6)&gt;0,SUM(NA6,NE6),"")</f>
        <v/>
      </c>
      <c r="NU6" s="19" t="str">
        <f>IF(SUM(MZ6:NA6,NC6:NE6,NG6)-NB6-NF6&gt;0,SUM(MZ6:NA6,NC6:NE6,NG6)-NB6-NF6,"")</f>
        <v/>
      </c>
      <c r="NV6" s="19" t="str">
        <f>IF(SUM(NH6:NI6,NK6)-NJ6&gt;0,SUM(NH6:NI6,NK6)-NJ6,"")</f>
        <v/>
      </c>
      <c r="NW6" s="19" t="str">
        <f>IF(SUM(NA6,NE6,NI6)&gt;0,SUM(NA6,NE6,NI6),"")</f>
        <v/>
      </c>
      <c r="NX6" s="19" t="str">
        <f>IF(SUM(NU6,NV6)&gt;0,SUM(NU6,NV6),"")</f>
        <v/>
      </c>
      <c r="NY6" s="19" t="str">
        <f>IF(SUM(NM6,NQ6)&gt;0,SUM(NM6,NQ6),"")</f>
        <v/>
      </c>
      <c r="NZ6" s="19" t="str">
        <f>IF(SUM(NL6:NM6,NO6:NQ6,NS6)-SUM(NN6,NR6)&gt;0,SUM(NL6:NM6,NO6:NQ6,NS6)-SUM(NN6,NR6),"")</f>
        <v/>
      </c>
      <c r="OA6" s="19" t="str">
        <f>IF(SUM(NU6,NZ6)&gt;0,SUM(NU6,NZ6),"")</f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>IF(SUM(OC6,OG6)&gt;0,SUM(OC6,OG6),"")</f>
        <v/>
      </c>
      <c r="OW6" s="78" t="str">
        <f>IF(SUM(OB6:OC6,OE6:OG6,OI6)-OD6-OH6&gt;0,SUM(OB6:OC6,OE6:OG6,OI6)-OD6-OH6,"")</f>
        <v/>
      </c>
      <c r="OX6" s="78" t="str">
        <f>IF(SUM(OJ6:OK6,OM6)-OL6&gt;0,SUM(OJ6:OK6,OM6)-OL6,"")</f>
        <v/>
      </c>
      <c r="OY6" s="78" t="str">
        <f>IF(SUM(OC6,OG6,OK6)&gt;0,SUM(OC6,OG6,OK6),"")</f>
        <v/>
      </c>
      <c r="OZ6" s="78" t="str">
        <f>IF(SUM(OW6,OX6)&gt;0,SUM(OW6,OX6),"")</f>
        <v/>
      </c>
      <c r="PA6" s="78" t="str">
        <f>IF(SUM(OO6,OS6)&gt;0,SUM(OO6,OS6),"")</f>
        <v/>
      </c>
      <c r="PB6" s="78" t="str">
        <f>IF(SUM(ON6:OO6,OQ6:OS6,OU6)-SUM(OP6,OT6)&gt;0,SUM(ON6:OO6,OQ6:OS6,OU6)-SUM(OP6,OT6),"")</f>
        <v/>
      </c>
      <c r="PC6" s="78" t="str">
        <f>IF(SUM(OW6,PB6)&gt;0,SUM(OW6,PB6),"")</f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>IF(SUM(PE6,PI6)&gt;0,SUM(PE6,PI6),"")</f>
        <v/>
      </c>
      <c r="PY6" s="19" t="str">
        <f>IF(SUM(PD6:PE6,PG6:PI6,PK6)-PF6-PJ6&gt;0,SUM(PD6:PE6,PG6:PI6,PK6)-PF6-PJ6,"")</f>
        <v/>
      </c>
      <c r="PZ6" s="19" t="str">
        <f>IF(SUM(PL6:PM6,PO6)-PN6&gt;0,SUM(PL6:PM6,PO6)-PN6,"")</f>
        <v/>
      </c>
      <c r="QA6" s="19" t="str">
        <f>IF(SUM(PE6,PI6,PM6)&gt;0,SUM(PE6,PI6,PM6),"")</f>
        <v/>
      </c>
      <c r="QB6" s="19" t="str">
        <f>IF(SUM(PY6,PZ6)&gt;0,SUM(PY6,PZ6),"")</f>
        <v/>
      </c>
      <c r="QC6" s="19" t="str">
        <f>IF(SUM(PQ6,PU6)&gt;0,SUM(PQ6,PU6),"")</f>
        <v/>
      </c>
      <c r="QD6" s="19" t="str">
        <f>IF(SUM(PP6:PQ6,PS6:PU6,PW6)-SUM(PR6,PV6)&gt;0,SUM(PP6:PQ6,PS6:PU6,PW6)-SUM(PR6,PV6),"")</f>
        <v/>
      </c>
      <c r="QE6" s="19" t="str">
        <f>IF(SUM(PY6,QD6)&gt;0,SUM(PY6,QD6),"")</f>
        <v/>
      </c>
      <c r="QF6" s="37">
        <f>IF($CV6="P",CB6,(CB6+AY6)/2)</f>
        <v>18.5</v>
      </c>
      <c r="QG6" s="37">
        <f>IF($CV6="P",CC6,(CC6+AZ6)/2)</f>
        <v>4.05</v>
      </c>
      <c r="QH6" s="37">
        <f>IF($CV6="P",CD6,(CD6+BA6)/2)</f>
        <v>1.1500000000000001</v>
      </c>
      <c r="QI6" s="37">
        <f>IF($CV6="P",CE6,(CE6+BB6)/2)</f>
        <v>0</v>
      </c>
      <c r="QJ6" s="37">
        <f>IF($CV6="P",CF6,(CF6+BC6)/2)</f>
        <v>18.2</v>
      </c>
      <c r="QK6" s="37">
        <f>IF($CV6="P",CG6,(CG6+BD6)/2)</f>
        <v>5.6</v>
      </c>
      <c r="QL6" s="37">
        <f>IF($CV6="P",CH6,(CH6+BE6)/2)</f>
        <v>0.1</v>
      </c>
      <c r="QM6" s="37">
        <f>IF($CV6="P",CI6,(CI6+BF6)/2)</f>
        <v>0.3</v>
      </c>
      <c r="QN6" s="37">
        <f>IF($CV6="P",CJ6,(CJ6+BG6)/2)</f>
        <v>18.45</v>
      </c>
      <c r="QO6" s="37">
        <f>IF($CV6="P",CK6,(CK6+BH6)/2)</f>
        <v>5.6</v>
      </c>
      <c r="QP6" s="37">
        <f>IF($CV6="P",CL6,(CL6+BI6)/2)</f>
        <v>0.3</v>
      </c>
      <c r="QQ6" s="37">
        <f>IF($CV6="P",CM6,(CM6+BJ6)/2)</f>
        <v>0</v>
      </c>
      <c r="QR6" s="37">
        <f>IF($CV6="P",CN6,(CN6+BK6)/2)</f>
        <v>18.55</v>
      </c>
      <c r="QS6" s="37">
        <f>IF($CV6="P",CO6,(CO6+BL6)/2)</f>
        <v>6.4</v>
      </c>
      <c r="QT6" s="37">
        <f>IF($CV6="P",CP6,(CP6+BM6)/2)</f>
        <v>0.1</v>
      </c>
      <c r="QU6" s="37">
        <f>IF($CV6="P",CQ6,(CQ6+BN6)/2)</f>
        <v>0</v>
      </c>
      <c r="QV6" s="37">
        <f>IF($CV6="P",CR6,(CR6+BO6)/2)</f>
        <v>17.89</v>
      </c>
      <c r="QW6" s="37">
        <f>IF($CV6="P",CS6,(CS6+BP6)/2)</f>
        <v>3.8</v>
      </c>
      <c r="QX6" s="37">
        <f>IF($CV6="P",CT6,(CT6+BQ6)/2)</f>
        <v>0</v>
      </c>
      <c r="QY6" s="37">
        <f>IF($CV6="P",CU6,(CU6+BR6)/2)</f>
        <v>0</v>
      </c>
      <c r="QZ6" s="44" t="s">
        <v>46</v>
      </c>
      <c r="RA6" s="78">
        <f>IF(SUM(QG6,QK6)&gt;0,SUM(QG6,QK6),"")</f>
        <v>9.6499999999999986</v>
      </c>
      <c r="RB6" s="78">
        <f>IF(SUM(QF6:QG6,QI6:QK6,QM6)-QH6-QL6&gt;0,SUM(QF6:QG6,QI6:QK6,QM6)-QH6-QL6,"")</f>
        <v>45.4</v>
      </c>
      <c r="RC6" s="78">
        <f>IF(SUM(QN6:QO6,QQ6)-QP6&gt;0,SUM(QN6:QO6,QQ6)-QP6,"")</f>
        <v>23.749999999999996</v>
      </c>
      <c r="RD6" s="78">
        <f>IF(SUM(QG6,QK6,QO6)&gt;0,SUM(QG6,QK6,QO6),"")</f>
        <v>15.249999999999998</v>
      </c>
      <c r="RE6" s="78">
        <f>IF(SUM(RB6,RC6)&gt;0,SUM(RB6,RC6),"")</f>
        <v>69.149999999999991</v>
      </c>
      <c r="RF6" s="78">
        <f>IF(SUM(QS6,QW6)&gt;0,SUM(QS6,QW6),"")</f>
        <v>10.199999999999999</v>
      </c>
      <c r="RG6" s="78">
        <f>IF(SUM(QR6:QS6,QU6:QW6,QY6)-SUM(QT6,QX6)&gt;0,SUM(QR6:QS6,QU6:QW6,QY6)-SUM(QT6,QX6),"")</f>
        <v>46.54</v>
      </c>
      <c r="RH6" s="78">
        <f>IF(SUM(RB6,RG6)&gt;0,SUM(RB6,RG6),"")</f>
        <v>91.94</v>
      </c>
    </row>
    <row r="7" spans="1:476" x14ac:dyDescent="0.2">
      <c r="A7" s="5">
        <f>IF(AND(F7="P",G7="P"),SUMPRODUCT((F$4:F$29="P")*(G$4:G$29="P")*(E$4:E$29&gt;E7))+1,IF(G7="P",SUMPRODUCT((F$4:F$29="")*(G$4:G$29="P")*(E$4:E$29&gt;E7))+1+SUMPRODUCT((F$4:F$29="P")*(G$4:G$29="P")),""))</f>
        <v>4</v>
      </c>
      <c r="B7" s="77" t="s">
        <v>90</v>
      </c>
      <c r="C7" s="5" t="s">
        <v>5</v>
      </c>
      <c r="D7" s="5">
        <v>2004</v>
      </c>
      <c r="E7" s="15">
        <f>SUM(I7:S7)+SUM(I7:O7)*0.0000001+SUM(I7)*0.0000000000001</f>
        <v>193.10001422000474</v>
      </c>
      <c r="F7" s="3" t="str">
        <f>IF(OR(AND(AQ7&gt;=AX$31,AR7&gt;=AX$35,AQ7&lt;&gt;"",AP7=""),AND(AV7&gt;=AX$31,AW7&gt;=AX$35,AV7&lt;&gt;"",AP7=""),AND(BT7&gt;=CA$31,BU7&gt;=CA$35,BT7&lt;&gt;"",BS7=""),AND(BY7&gt;=CA$31,BZ7&gt;=CA$35,BY7&lt;&gt;"",BS7=""),AND(CW7&gt;=DD$31,CX7&gt;=DD$35,CW7&lt;&gt;"",CV7=""),AND(DB7&gt;=DD$31,DC7&gt;=DD$35,DB7&lt;&gt;""),AND(EB7&gt;=EI$31,EC7&gt;=EI$35,EB7&lt;&gt;""),AND(EG7&gt;=EI$31,EH7&gt;=EI$35,EG7&lt;&gt;""),AND(FD7&gt;=FK$31,FE7&gt;=FK$35,FD7&lt;&gt;""),AND(FI7&gt;=FK$31,FJ7&gt;=FK$35,FI7&lt;&gt;""),AND(GF7&gt;=GM$31,GG7&gt;=GM$35,GF7&lt;&gt;""),AND(GK7&gt;=GM$31,GL7&gt;=GM$35,GK7&lt;&gt;""),AND(HH7&gt;=HO$31,HI7&gt;=HO$35,HH7&lt;&gt;""),AND(HM7&gt;=HO$31,HN7&gt;=HO$35,HM7&lt;&gt;""),AND(IJ7&gt;=IQ$31,IK7&gt;=IQ$35,IJ7&lt;&gt;""),AND(IO7&gt;=IQ$31,IP7&gt;=IQ$35,IO7&lt;&gt;""),AND(JL7&gt;=JS$31,JM7&gt;=JS$35,JL7&lt;&gt;""),AND(JQ7&gt;=JS$31,JR7&gt;=JS$35,JQ7&lt;&gt;""),AND(KN7&gt;=KU$31,KO7&gt;=KU$35,KN7&lt;&gt;""),AND(KS7&gt;=KU$31,KT7&gt;=KU$35,KS7&lt;&gt;""),AND(LP7&gt;=LW$31,LQ7&gt;=LW$35,LP7&lt;&gt;""),AND(LU7&gt;=LW$31,LV7&gt;=LW$35,LU7&lt;&gt;""),AND(MR7&gt;=MY$31,MS7&gt;=MY$35,MR7&lt;&gt;""),AND(MW7&gt;=MY$31,MX7&gt;=MY$35,MW7&lt;&gt;""),AND(NT7&gt;=OA$31,NU7&gt;=OA$35,NT7&lt;&gt;""),AND(NY7&gt;=OA$31,NZ7&gt;=OA$35,NY7&lt;&gt;""),AND(OV7&gt;=PC$31,OW7&gt;=PC$35,OV7&lt;&gt;""),AND(PA7&gt;=PC$31,PB7&gt;=PC$35,PA7&lt;&gt;""),AND(PX7&gt;=QE$31,PY7&gt;=QE$35,PX7&lt;&gt;""),AND(QC7&gt;=QE$31,QD7&gt;=QE$35,QC7&lt;&gt;"")),"P","")</f>
        <v>P</v>
      </c>
      <c r="G7" s="3" t="str">
        <f>IF(OR(AND(AR7&gt;=AX$35,AR7&lt;&gt;"",AP7=""),AND(AW7&gt;=AX$35,AW7&lt;&gt;"",AP7=""),AND(BU7&gt;=CA$35,BU7&lt;&gt;"",BS7=""),AND(BZ7&gt;=CA$35,BZ7&lt;&gt;"",BS7=""),AND(CX7&gt;=DD$35,CX7&lt;&gt;"",CV7=""),AND(DC7&gt;=DD$35,DC7&lt;&gt;"",CV7=""),AND(EC7&gt;=EI$35,EC7&lt;&gt;""),AND(EH7&gt;=EI$35,EH7&lt;&gt;""),AND(FE7&gt;=FK$35,FE7&lt;&gt;""),AND(FJ7&gt;=FK$35,FJ7&lt;&gt;""),AND(GG7&gt;=GM$35,GG7&lt;&gt;""),AND(GL7&gt;=GM$35,GL7&lt;&gt;""),AND(HI7&gt;=HO$35,HI7&lt;&gt;""),AND(HN7&gt;=HO$35,HN7&lt;&gt;""),AND(IK7&gt;=IQ$35,IK7&lt;&gt;""),AND(IP7&gt;=IQ$35,IP7&lt;&gt;""),AND(JM7&gt;=JS$35,JM7&lt;&gt;""),AND(JR7&gt;=JS$35,JR7&lt;&gt;""),AND(KO7&gt;=KU$35,KO7&lt;&gt;""),AND(KT7&gt;=KU$35,KT7&lt;&gt;""),AND(LQ7&gt;=LW$35,LQ7&lt;&gt;""),AND(LV7&gt;=LW$35,LV7&lt;&gt;""),AND(MS7&gt;=MY$35,MS7&lt;&gt;""),AND(MX7&gt;=MY$35,MX7&lt;&gt;""),AND(NU7&gt;=OA$35,NU7&lt;&gt;""),AND(NZ7&gt;=OA$35,NZ7&lt;&gt;""),AND(OW7&gt;=PC$35,OW7&lt;&gt;""),AND(PB7&gt;=PC$35,PB7&lt;&gt;""),AND(PY7&gt;=QE$35,PY7&lt;&gt;""),AND(QD7&gt;=QE$35,QD7&lt;&gt;"")),"P","")</f>
        <v>P</v>
      </c>
      <c r="H7" s="66" t="str">
        <f>IF(AND(G7="P",F7=""),"No DD",IF(OR(AND(AT7&gt;=AX$34,AU7&gt;=AX$38,AT7&lt;&gt;"",AP7=""),AND(BW7&gt;=CA$34,BX7&gt;=CA$38,BW7&lt;&gt;"",BS7=""),AND(CZ7&gt;=DD$34,DA7&gt;=DD$38,CZ7&lt;&gt;"",CV7=""),AND(EE7&gt;=EI$34,EF7&gt;=EI$38,EE7&lt;&gt;""),AND(FG7&gt;=FK$34,FH7&gt;=FK$38,FG7&lt;&gt;""),AND(GI7&gt;=GM$34,GJ7&gt;=GM$38,GI7&lt;&gt;""),AND(HK7&gt;=HO$34,HL7&gt;=HO$38,HK7&lt;&gt;""),AND(IM7&gt;=IQ$34,IN7&gt;=IQ$38,IM7&lt;&gt;""),AND(JO7&gt;=JS$34,JP7&gt;=JS$38,JO7&lt;&gt;""),AND(KQ7&gt;=KU$34,KR7&gt;=KU$38,KQ7&lt;&gt;""),AND(LS7&gt;=LW$34,LT7&gt;=LW$38,LS7&lt;&gt;""),AND(MU7&gt;=MY$34,MV7&gt;=MY$38,MU7&lt;&gt;""),AND(NW7&gt;=OA$34,NX7&gt;=OA$38,NW7&lt;&gt;""),AND(OY7&gt;=PC$34,OZ7&gt;=PC$38,OY7&lt;&gt;""),AND(QA7&gt;=QE$34,QB7&gt;=QE$38,QA7&lt;&gt;"")),"Merit",IF(OR(AND(AT7&gt;=AX$33,AU7&gt;=AX$37,AT7&lt;&gt;"",AP7=""),AND(BW7&gt;=CA$33,BX7&gt;=CA$37,BW7&lt;&gt;"",BS7=""),AND(CZ7&gt;=DD$33,DA7&gt;=DD$37,CZ7&lt;&gt;"",CV7=""),AND(EE7&gt;=EI$33,EF7&gt;=EI$37,EE7&lt;&gt;""),AND(FG7&gt;=FK$33,FH7&gt;=FK$37,FG7&lt;&gt;""),AND(GI7&gt;=GM$33,GJ7&gt;=GM$37,GI7&lt;&gt;""),AND(HK7&gt;=HO$33,HL7&gt;=HO$37,HK7&lt;&gt;""),AND(IM7&gt;=IQ$33,IN7&gt;=IQ$37,IM7&lt;&gt;""),AND(JO7&gt;=JS$33,JP7&gt;=JS$37,JO7&lt;&gt;""),AND(KQ7&gt;=KU$33,KR7&gt;=KU$37,KQ7&lt;&gt;""),AND(LS7&gt;=LW$33,LT7&gt;=LW$37,LS7&lt;&gt;""),AND(MU7&gt;=MY$33,MV7&gt;=MY$37,MU7&lt;&gt;""),AND(NW7&gt;=OA$33,NX7&gt;=OA$37,NW7&lt;&gt;""),AND(OY7&gt;=PC$33,OZ7&gt;=PC$37,OY7&lt;&gt;""),AND(QA7&gt;=QE$33,QB7&gt;=QE$37,QA7&lt;&gt;"")),"Excellence",IF(F7="P","National Team",""))))</f>
        <v>National Team</v>
      </c>
      <c r="I7" s="14">
        <f>IF(COUNT(AR7,BU7,CX7)&gt;0,LARGE((AR7,BU7,CX7),1),0)</f>
        <v>47.3</v>
      </c>
      <c r="J7" s="14" t="str">
        <f>IF(I7=0,"",IF(I7=CX7,$CB$1,IF(I7=BU7,$AY$1,IF(I7=AR7,$V$1,""))))</f>
        <v>2022 Nationals</v>
      </c>
      <c r="K7" s="14">
        <f>IF(COUNT(AR7,BU7,CX7)&gt;1,LARGE((AR7,BU7,CX7),2),0)</f>
        <v>47.000000000000007</v>
      </c>
      <c r="L7" s="14" t="str">
        <f>IF(K7=0,"",IF(K7=CX7,$CB$1,IF(K7=BU7,$AY$1,IF(K7=AR7,$V$1,""))))</f>
        <v>2022 Elite Canada</v>
      </c>
      <c r="M7" s="14">
        <f>IF(COUNT(AS7,BV7,CY7)&gt;0,LARGE((AS7,BV7,CY7),1),0)</f>
        <v>24.299999999999997</v>
      </c>
      <c r="N7" s="14" t="str">
        <f>IF(M7=0,"",IF(M7=CY7,$CB$1,IF(M7=BV7,$AY$1,IF(M7=AS7,$V$1,""))))</f>
        <v>2022 3rd Domestic Trial</v>
      </c>
      <c r="O7" s="14">
        <f>IF(COUNT(AS7,BV7,CY7)&gt;1,LARGE((AS7,BV7,CY7),2),0)</f>
        <v>23.599999999999998</v>
      </c>
      <c r="P7" s="14" t="str">
        <f>IF(O7=0,"",IF(O7=CY7,$CB$1,IF(O7=BV7,$AY$1,IF(O7=AS7,$V$1,""))))</f>
        <v>2022 Nationals</v>
      </c>
      <c r="Q7" s="14">
        <f>IF(MAX(AW7,BZ7,DC7)&gt;0,MAX(AW7,BZ7,DC7),0)</f>
        <v>49.4</v>
      </c>
      <c r="R7" s="14" t="str">
        <f>IF(Q7=0,"",IF(Q7=DC7,$CB$1,IF(Q7=BZ7,$AY$1,IF(Q7=AW7,$V$1,""))))</f>
        <v>2022 Nationals</v>
      </c>
      <c r="S7" s="14">
        <f>IF(MAX(DE7:DG7)&gt;0,MAX(DE7:DG7),"")</f>
        <v>1.4999999999999929</v>
      </c>
      <c r="T7" s="19" t="str">
        <f>IF(S7="","",IF(S7=DE7,"("&amp;DE$2&amp;")",IF(S7=DG7,"("&amp;DG$2&amp;")")))</f>
        <v>(Q1)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Coimbra Gym Fest (June 26)</v>
      </c>
      <c r="V7" s="26">
        <v>18.600000000000001</v>
      </c>
      <c r="W7" s="26">
        <v>5.2</v>
      </c>
      <c r="X7" s="26">
        <v>0.8</v>
      </c>
      <c r="Y7" s="26">
        <v>0</v>
      </c>
      <c r="Z7" s="26">
        <v>18.600000000000001</v>
      </c>
      <c r="AA7" s="26">
        <v>5.6</v>
      </c>
      <c r="AB7" s="26">
        <v>0.2</v>
      </c>
      <c r="AC7" s="26">
        <v>0</v>
      </c>
      <c r="AD7" s="26">
        <v>18</v>
      </c>
      <c r="AE7" s="26">
        <v>4.8</v>
      </c>
      <c r="AF7" s="26">
        <v>0.6</v>
      </c>
      <c r="AG7" s="26">
        <v>0</v>
      </c>
      <c r="AH7" s="26">
        <v>18.5</v>
      </c>
      <c r="AI7" s="26">
        <v>5.2</v>
      </c>
      <c r="AJ7" s="26">
        <v>0.2</v>
      </c>
      <c r="AK7" s="26">
        <v>0</v>
      </c>
      <c r="AL7" s="26">
        <v>19</v>
      </c>
      <c r="AM7" s="26">
        <v>5.6</v>
      </c>
      <c r="AN7" s="26">
        <v>0</v>
      </c>
      <c r="AO7" s="26">
        <v>0</v>
      </c>
      <c r="AP7" s="44"/>
      <c r="AQ7" s="78">
        <f>IF(SUM(W7,AA7)&gt;0,SUM(W7,AA7),"")</f>
        <v>10.8</v>
      </c>
      <c r="AR7" s="78">
        <f>IF(SUM(V7:W7,Y7:AA7,AC7)-X7-AB7&gt;0,SUM(V7:W7,Y7:AA7,AC7)-X7-AB7,"")</f>
        <v>47.000000000000007</v>
      </c>
      <c r="AS7" s="78">
        <f>IF(SUM(AD7:AE7,AG7)-AF7&gt;0,SUM(AD7:AE7,AG7)-AF7,"")</f>
        <v>22.2</v>
      </c>
      <c r="AT7" s="78">
        <f>IF(SUM(W7,AA7,AE7)&gt;0,SUM(W7,AA7,AE7),"")</f>
        <v>15.600000000000001</v>
      </c>
      <c r="AU7" s="78">
        <f>IF(SUM(AR7,AS7)&gt;0,SUM(AR7,AS7),"")</f>
        <v>69.2</v>
      </c>
      <c r="AV7" s="78">
        <f>IF(SUM(AI7,AM7)&gt;0,SUM(AI7,AM7),"")</f>
        <v>10.8</v>
      </c>
      <c r="AW7" s="78">
        <f>IF(SUM(AH7:AI7,AK7:AM7,AO7)-SUM(AJ7,AN7)&gt;0,SUM(AH7:AI7,AK7:AM7,AO7)-SUM(AJ7,AN7),"")</f>
        <v>48.1</v>
      </c>
      <c r="AX7" s="78">
        <f>IF(SUM(AR7,AW7)&gt;0,SUM(AR7,AW7),"")</f>
        <v>95.100000000000009</v>
      </c>
      <c r="AY7" s="25">
        <v>18.3</v>
      </c>
      <c r="AZ7" s="25">
        <v>5.2</v>
      </c>
      <c r="BA7" s="25">
        <v>0</v>
      </c>
      <c r="BB7" s="25">
        <v>0</v>
      </c>
      <c r="BC7" s="25">
        <v>18.8</v>
      </c>
      <c r="BD7" s="25">
        <v>5.6</v>
      </c>
      <c r="BE7" s="25">
        <v>0.6</v>
      </c>
      <c r="BF7" s="25">
        <v>0</v>
      </c>
      <c r="BG7" s="25">
        <v>18.399999999999999</v>
      </c>
      <c r="BH7" s="25">
        <v>5.2</v>
      </c>
      <c r="BI7" s="25">
        <v>0</v>
      </c>
      <c r="BJ7" s="25">
        <v>0</v>
      </c>
      <c r="BK7" s="25">
        <v>19</v>
      </c>
      <c r="BL7" s="25">
        <v>6</v>
      </c>
      <c r="BM7" s="25">
        <v>0</v>
      </c>
      <c r="BN7" s="25">
        <v>0</v>
      </c>
      <c r="BO7" s="25">
        <v>19.399999999999999</v>
      </c>
      <c r="BP7" s="25">
        <v>5.6</v>
      </c>
      <c r="BQ7" s="25">
        <v>0.6</v>
      </c>
      <c r="BR7" s="25">
        <v>0</v>
      </c>
      <c r="BS7" s="45"/>
      <c r="BT7" s="19">
        <f>IF(SUM(AZ7,BD7)&gt;0,SUM(AZ7,BD7),"")</f>
        <v>10.8</v>
      </c>
      <c r="BU7" s="19">
        <f>IF(SUM(AY7:AZ7,BB7:BD7,BF7)-BA7-BE7&gt;0,SUM(AY7:AZ7,BB7:BD7,BF7)-BA7-BE7,"")</f>
        <v>47.3</v>
      </c>
      <c r="BV7" s="19">
        <f>IF(SUM(BG7:BH7,BJ7)-BI7&gt;0,SUM(BG7:BH7,BJ7)-BI7,"")</f>
        <v>23.599999999999998</v>
      </c>
      <c r="BW7" s="19">
        <f>IF(SUM(AZ7,BD7,BH7)&gt;0,SUM(AZ7,BD7,BH7),"")</f>
        <v>16</v>
      </c>
      <c r="BX7" s="19">
        <f>IF(SUM(BU7,BV7)&gt;0,SUM(BU7,BV7),"")</f>
        <v>70.899999999999991</v>
      </c>
      <c r="BY7" s="19">
        <f>IF(SUM(BL7,BP7)&gt;0,SUM(BL7,BP7),"")</f>
        <v>11.6</v>
      </c>
      <c r="BZ7" s="19">
        <f>IF(SUM(BK7:BL7,BN7:BP7,BR7)-SUM(BM7,BQ7)&gt;0,SUM(BK7:BL7,BN7:BP7,BR7)-SUM(BM7,BQ7),"")</f>
        <v>49.4</v>
      </c>
      <c r="CA7" s="19">
        <f>IF(SUM(BU7,BZ7)&gt;0,SUM(BU7,BZ7),"")</f>
        <v>96.699999999999989</v>
      </c>
      <c r="CB7" s="26">
        <v>19</v>
      </c>
      <c r="CC7" s="26">
        <v>5.2</v>
      </c>
      <c r="CD7" s="26">
        <v>0.2</v>
      </c>
      <c r="CE7" s="26">
        <v>0</v>
      </c>
      <c r="CF7" s="26">
        <v>17.399999999999999</v>
      </c>
      <c r="CG7" s="26">
        <v>2.8</v>
      </c>
      <c r="CH7" s="26">
        <v>0</v>
      </c>
      <c r="CI7" s="26">
        <v>0</v>
      </c>
      <c r="CJ7" s="26">
        <v>18.5</v>
      </c>
      <c r="CK7" s="26">
        <v>6.4</v>
      </c>
      <c r="CL7" s="26">
        <v>0.6</v>
      </c>
      <c r="CM7" s="26">
        <v>0</v>
      </c>
      <c r="CN7" s="26">
        <v>17</v>
      </c>
      <c r="CO7" s="26">
        <v>6</v>
      </c>
      <c r="CP7" s="26">
        <v>0.8</v>
      </c>
      <c r="CQ7" s="26">
        <v>0</v>
      </c>
      <c r="CR7" s="26">
        <v>18.2</v>
      </c>
      <c r="CS7" s="26">
        <v>6</v>
      </c>
      <c r="CT7" s="26">
        <v>0.8</v>
      </c>
      <c r="CU7" s="26">
        <v>0</v>
      </c>
      <c r="CV7" s="44"/>
      <c r="CW7" s="78">
        <f>IF(SUM(CC7,CG7)&gt;0,SUM(CC7,CG7),"")</f>
        <v>8</v>
      </c>
      <c r="CX7" s="78">
        <f>IF(SUM(CB7:CC7,CE7:CG7,CI7)-CD7-CH7&gt;0,SUM(CB7:CC7,CE7:CG7,CI7)-CD7-CH7,"")</f>
        <v>44.199999999999989</v>
      </c>
      <c r="CY7" s="78">
        <f>IF(SUM(CJ7:CK7,CM7)-CL7&gt;0,SUM(CJ7:CK7,CM7)-CL7,"")</f>
        <v>24.299999999999997</v>
      </c>
      <c r="CZ7" s="78">
        <f>IF(SUM(CC7,CG7,CK7)&gt;0,SUM(CC7,CG7,CK7),"")</f>
        <v>14.4</v>
      </c>
      <c r="DA7" s="78">
        <f>IF(SUM(CX7,CY7)&gt;0,SUM(CX7,CY7),"")</f>
        <v>68.499999999999986</v>
      </c>
      <c r="DB7" s="78">
        <f>IF(SUM(CO7,CS7)&gt;0,SUM(CO7,CS7),"")</f>
        <v>12</v>
      </c>
      <c r="DC7" s="78">
        <f>IF(SUM(CN7:CO7,CQ7:CS7,CU7)-SUM(CP7,CT7)&gt;0,SUM(CN7:CO7,CQ7:CS7,CU7)-SUM(CP7,CT7),"")</f>
        <v>45.6</v>
      </c>
      <c r="DD7" s="78">
        <f>IF(SUM(CX7,DC7)&gt;0,SUM(CX7,DC7),"")</f>
        <v>89.799999999999983</v>
      </c>
      <c r="DE7" s="79">
        <f>IF(K7&gt;=0.001,IF(MAX(EC7,FE7,GG7,HI7,IK7,JM7,KO7,LQ7,MS7,NU7,OW7,PY7)-IF(K7="",0,K7)&gt;0.001,MAX(EC7,FE7,GG7,HI7,IK7,JM7,KO7,LQ7,MS7,NU7,OW7,PY7)-IF(K7="",0,K7),""),"")</f>
        <v>1.4999999999999929</v>
      </c>
      <c r="DF7" s="79" t="str">
        <f>IF(O7&gt;=0.001,IF(MAX(ED7,FF7,GH7,HJ7,IL7,JN7,KP7,LR7,MT7,NV7,OX7,PZ7)-IF(O7="",0,O7)&gt;0.001,MAX(ED7,FF7,GH7,HJ7,IL7,JN7,KP7,LR7,MT7,NV7,OX7,PZ7)-IF(O7="",0,O7),""),"")</f>
        <v/>
      </c>
      <c r="DG7" s="79" t="str">
        <f>IF(Q7&gt;=0.001,IF(MAX(EH7,FJ7,GL7,HN7,IP7,JR7,KT7,LV7,MX7,NZ7,PB7,QD7)-IF(Q7="",0,Q7)&gt;0.001,MAX(EH7,FJ7,GL7,HN7,IP7,JR7,KT7,LV7,MX7,NZ7,PB7,QD7)-IF(Q7="",0,Q7),""),"")</f>
        <v/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>IF(SUM(DI7,DM7)&gt;0,SUM(DI7,DM7),"")</f>
        <v/>
      </c>
      <c r="EC7" s="78" t="str">
        <f>IF(SUM(DH7:DI7,DK7:DM7,DO7)-DJ7-DN7&gt;0,SUM(DH7:DI7,DK7:DM7,DO7)-DJ7-DN7,"")</f>
        <v/>
      </c>
      <c r="ED7" s="78" t="str">
        <f>IF(SUM(DP7:DQ7,DS7)-DR7&gt;0,SUM(DP7:DQ7,DS7)-DR7,"")</f>
        <v/>
      </c>
      <c r="EE7" s="78" t="str">
        <f>IF(SUM(DI7,DM7,DQ7)&gt;0,SUM(DI7,DM7,DQ7),"")</f>
        <v/>
      </c>
      <c r="EF7" s="78" t="str">
        <f>IF(SUM(EC7,ED7)&gt;0,SUM(EC7,ED7),"")</f>
        <v/>
      </c>
      <c r="EG7" s="78" t="str">
        <f>IF(SUM(DU7,DY7)&gt;0,SUM(DU7,DY7),"")</f>
        <v/>
      </c>
      <c r="EH7" s="78" t="str">
        <f>IF(SUM(DT7:DU7,DW7:DY7,EA7)-SUM(DV7,DZ7)&gt;0,SUM(DT7:DU7,DW7:DY7,EA7)-SUM(DV7,DZ7),"")</f>
        <v/>
      </c>
      <c r="EI7" s="78" t="str">
        <f>IF(SUM(EC7,EH7)&gt;0,SUM(EC7,EH7),"")</f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>IF(SUM(EK7,EO7)&gt;0,SUM(EK7,EO7),"")</f>
        <v/>
      </c>
      <c r="FE7" s="19" t="str">
        <f>IF(SUM(EJ7:EK7,EM7:EO7,EQ7)-EL7-EP7&gt;0,SUM(EJ7:EK7,EM7:EO7,EQ7)-EL7-EP7,"")</f>
        <v/>
      </c>
      <c r="FF7" s="19" t="str">
        <f>IF(SUM(ER7:ES7,EU7)-ET7&gt;0,SUM(ER7:ES7,EU7)-ET7,"")</f>
        <v/>
      </c>
      <c r="FG7" s="19" t="str">
        <f>IF(SUM(EK7,EO7,ES7)&gt;0,SUM(EK7,EO7,ES7),"")</f>
        <v/>
      </c>
      <c r="FH7" s="19" t="str">
        <f>IF(SUM(FE7,FF7)&gt;0,SUM(FE7,FF7),"")</f>
        <v/>
      </c>
      <c r="FI7" s="19" t="str">
        <f>IF(SUM(EW7,FA7)&gt;0,SUM(EW7,FA7),"")</f>
        <v/>
      </c>
      <c r="FJ7" s="19" t="str">
        <f>IF(SUM(EV7:EW7,EY7:FA7,FC7)-SUM(EX7,FB7)&gt;0,SUM(EV7:EW7,EY7:FA7,FC7)-SUM(EX7,FB7),"")</f>
        <v/>
      </c>
      <c r="FK7" s="19" t="str">
        <f>IF(SUM(FE7,FJ7)&gt;0,SUM(FE7,FJ7),"")</f>
        <v/>
      </c>
      <c r="FL7" s="24">
        <v>18.600000000000001</v>
      </c>
      <c r="FM7" s="24">
        <v>5.2</v>
      </c>
      <c r="FN7" s="24">
        <v>0.6</v>
      </c>
      <c r="FO7" s="24">
        <v>0</v>
      </c>
      <c r="FP7" s="24">
        <v>18.600000000000001</v>
      </c>
      <c r="FQ7" s="24">
        <v>5.6</v>
      </c>
      <c r="FR7" s="24">
        <v>0.2</v>
      </c>
      <c r="FS7" s="24">
        <v>0</v>
      </c>
      <c r="FT7" s="24"/>
      <c r="FU7" s="24"/>
      <c r="FV7" s="24"/>
      <c r="FW7" s="24"/>
      <c r="FX7" s="24">
        <v>18.399999999999999</v>
      </c>
      <c r="FY7" s="24">
        <v>5.2</v>
      </c>
      <c r="FZ7" s="24">
        <v>0</v>
      </c>
      <c r="GA7" s="24">
        <v>0</v>
      </c>
      <c r="GB7" s="24">
        <v>18.8</v>
      </c>
      <c r="GC7" s="24">
        <v>5.6</v>
      </c>
      <c r="GD7" s="24">
        <v>0.2</v>
      </c>
      <c r="GE7" s="24">
        <v>0</v>
      </c>
      <c r="GF7" s="78">
        <f>IF(SUM(FM7,FQ7)&gt;0,SUM(FM7,FQ7),"")</f>
        <v>10.8</v>
      </c>
      <c r="GG7" s="78">
        <f>IF(SUM(FL7:FM7,FO7:FQ7,FS7)-FN7-FR7&gt;0,SUM(FL7:FM7,FO7:FQ7,FS7)-FN7-FR7,"")</f>
        <v>47.2</v>
      </c>
      <c r="GH7" s="78" t="str">
        <f>IF(SUM(FT7:FU7,FW7)-FV7&gt;0,SUM(FT7:FU7,FW7)-FV7,"")</f>
        <v/>
      </c>
      <c r="GI7" s="78">
        <f>IF(SUM(FM7,FQ7,FU7)&gt;0,SUM(FM7,FQ7,FU7),"")</f>
        <v>10.8</v>
      </c>
      <c r="GJ7" s="78">
        <f>IF(SUM(GG7,GH7)&gt;0,SUM(GG7,GH7),"")</f>
        <v>47.2</v>
      </c>
      <c r="GK7" s="78">
        <f>IF(SUM(FY7,GC7)&gt;0,SUM(FY7,GC7),"")</f>
        <v>10.8</v>
      </c>
      <c r="GL7" s="78">
        <f>IF(SUM(FX7:FY7,GA7:GC7,GE7)-SUM(FZ7,GD7)&gt;0,SUM(FX7:FY7,GA7:GC7,GE7)-SUM(FZ7,GD7),"")</f>
        <v>47.8</v>
      </c>
      <c r="GM7" s="78">
        <f>IF(SUM(GG7,GL7)&gt;0,SUM(GG7,GL7),"")</f>
        <v>95</v>
      </c>
      <c r="GN7" s="25">
        <v>17.399999999999999</v>
      </c>
      <c r="GO7" s="25">
        <v>2.4</v>
      </c>
      <c r="GP7" s="25">
        <v>0</v>
      </c>
      <c r="GQ7" s="25">
        <v>0</v>
      </c>
      <c r="GR7" s="25">
        <v>18.2</v>
      </c>
      <c r="GS7" s="25">
        <v>5.6</v>
      </c>
      <c r="GT7" s="25">
        <v>0.2</v>
      </c>
      <c r="GU7" s="25">
        <v>0</v>
      </c>
      <c r="GV7" s="25"/>
      <c r="GW7" s="25"/>
      <c r="GX7" s="25"/>
      <c r="GY7" s="25"/>
      <c r="GZ7" s="25">
        <v>18.399999999999999</v>
      </c>
      <c r="HA7" s="25">
        <v>5.6</v>
      </c>
      <c r="HB7" s="25">
        <v>0.2</v>
      </c>
      <c r="HC7" s="25">
        <v>0</v>
      </c>
      <c r="HD7" s="25">
        <v>18.8</v>
      </c>
      <c r="HE7" s="25">
        <v>5.6</v>
      </c>
      <c r="HF7" s="25">
        <v>0</v>
      </c>
      <c r="HG7" s="25">
        <v>0</v>
      </c>
      <c r="HH7" s="19">
        <f>IF(SUM(GO7,GS7)&gt;0,SUM(GO7,GS7),"")</f>
        <v>8</v>
      </c>
      <c r="HI7" s="19">
        <f>IF(SUM(GN7:GO7,GQ7:GS7,GU7)-GP7-GT7&gt;0,SUM(GN7:GO7,GQ7:GS7,GU7)-GP7-GT7,"")</f>
        <v>43.4</v>
      </c>
      <c r="HJ7" s="19" t="str">
        <f>IF(SUM(GV7:GW7,GY7)-GX7&gt;0,SUM(GV7:GW7,GY7)-GX7,"")</f>
        <v/>
      </c>
      <c r="HK7" s="19">
        <f>IF(SUM(GO7,GS7,GW7)&gt;0,SUM(GO7,GS7,GW7),"")</f>
        <v>8</v>
      </c>
      <c r="HL7" s="19">
        <f>IF(SUM(HI7,HJ7)&gt;0,SUM(HI7,HJ7),"")</f>
        <v>43.4</v>
      </c>
      <c r="HM7" s="19">
        <f>IF(SUM(HA7,HE7)&gt;0,SUM(HA7,HE7),"")</f>
        <v>11.2</v>
      </c>
      <c r="HN7" s="19">
        <f>IF(SUM(GZ7:HA7,HC7:HE7,HG7)-SUM(HB7,HF7)&gt;0,SUM(GZ7:HA7,HC7:HE7,HG7)-SUM(HB7,HF7),"")</f>
        <v>48.199999999999996</v>
      </c>
      <c r="HO7" s="19">
        <f>IF(SUM(HI7,HN7)&gt;0,SUM(HI7,HN7),"")</f>
        <v>91.6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>IF(SUM(HQ7,HU7)&gt;0,SUM(HQ7,HU7),"")</f>
        <v/>
      </c>
      <c r="IK7" s="78" t="str">
        <f>IF(SUM(HP7:HQ7,HS7:HU7,HW7)-HR7-HV7&gt;0,SUM(HP7:HQ7,HS7:HU7,HW7)-HR7-HV7,"")</f>
        <v/>
      </c>
      <c r="IL7" s="78" t="str">
        <f>IF(SUM(HX7:HY7,IA7)-HZ7&gt;0,SUM(HX7:HY7,IA7)-HZ7,"")</f>
        <v/>
      </c>
      <c r="IM7" s="78" t="str">
        <f>IF(SUM(HQ7,HU7,HY7)&gt;0,SUM(HQ7,HU7,HY7),"")</f>
        <v/>
      </c>
      <c r="IN7" s="78" t="str">
        <f>IF(SUM(IK7,IL7)&gt;0,SUM(IK7,IL7),"")</f>
        <v/>
      </c>
      <c r="IO7" s="78" t="str">
        <f>IF(SUM(IC7,IG7)&gt;0,SUM(IC7,IG7),"")</f>
        <v/>
      </c>
      <c r="IP7" s="78" t="str">
        <f>IF(SUM(IB7:IC7,IE7:IG7,II7)-SUM(ID7,IH7)&gt;0,SUM(IB7:IC7,IE7:IG7,II7)-SUM(ID7,IH7),"")</f>
        <v/>
      </c>
      <c r="IQ7" s="78" t="str">
        <f>IF(SUM(IK7,IP7)&gt;0,SUM(IK7,IP7),"")</f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>IF(SUM(IS7,IW7)&gt;0,SUM(IS7,IW7),"")</f>
        <v/>
      </c>
      <c r="JM7" s="19" t="str">
        <f>IF(SUM(IR7:IS7,IU7:IW7,IY7)-IT7-IX7&gt;0,SUM(IR7:IS7,IU7:IW7,IY7)-IT7-IX7,"")</f>
        <v/>
      </c>
      <c r="JN7" s="19" t="str">
        <f>IF(SUM(IZ7:JA7,JC7)-JB7&gt;0,SUM(IZ7:JA7,JC7)-JB7,"")</f>
        <v/>
      </c>
      <c r="JO7" s="19" t="str">
        <f>IF(SUM(IS7,IW7,JA7)&gt;0,SUM(IS7,IW7,JA7),"")</f>
        <v/>
      </c>
      <c r="JP7" s="19" t="str">
        <f>IF(SUM(JM7,JN7)&gt;0,SUM(JM7,JN7),"")</f>
        <v/>
      </c>
      <c r="JQ7" s="19" t="str">
        <f>IF(SUM(JE7,JI7)&gt;0,SUM(JE7,JI7),"")</f>
        <v/>
      </c>
      <c r="JR7" s="19" t="str">
        <f>IF(SUM(JD7:JE7,JG7:JI7,JK7)-SUM(JF7,JJ7)&gt;0,SUM(JD7:JE7,JG7:JI7,JK7)-SUM(JF7,JJ7),"")</f>
        <v/>
      </c>
      <c r="JS7" s="19" t="str">
        <f>IF(SUM(JM7,JR7)&gt;0,SUM(JM7,JR7),"")</f>
        <v/>
      </c>
      <c r="JT7" s="24">
        <v>18.600000000000001</v>
      </c>
      <c r="JU7" s="24">
        <v>6</v>
      </c>
      <c r="JV7" s="24">
        <v>0.6</v>
      </c>
      <c r="JW7" s="24">
        <v>0</v>
      </c>
      <c r="JX7" s="24">
        <v>18.899999999999999</v>
      </c>
      <c r="JY7" s="24">
        <v>5.6</v>
      </c>
      <c r="JZ7" s="24">
        <v>0</v>
      </c>
      <c r="KA7" s="24">
        <v>0</v>
      </c>
      <c r="KB7" s="24"/>
      <c r="KC7" s="24"/>
      <c r="KD7" s="24"/>
      <c r="KE7" s="24"/>
      <c r="KF7" s="24">
        <v>18.600000000000001</v>
      </c>
      <c r="KG7" s="24">
        <v>5.6</v>
      </c>
      <c r="KH7" s="24">
        <v>0</v>
      </c>
      <c r="KI7" s="24">
        <v>0</v>
      </c>
      <c r="KJ7" s="24">
        <v>18</v>
      </c>
      <c r="KK7" s="24">
        <v>5.6</v>
      </c>
      <c r="KL7" s="24">
        <v>0.2</v>
      </c>
      <c r="KM7" s="24">
        <v>0</v>
      </c>
      <c r="KN7" s="78">
        <f>IF(SUM(JU7,JY7)&gt;0,SUM(JU7,JY7),"")</f>
        <v>11.6</v>
      </c>
      <c r="KO7" s="78">
        <f>IF(SUM(JT7:JU7,JW7:JY7,KA7)-JV7-JZ7&gt;0,SUM(JT7:JU7,JW7:JY7,KA7)-JV7-JZ7,"")</f>
        <v>48.5</v>
      </c>
      <c r="KP7" s="78" t="str">
        <f>IF(SUM(KB7:KC7,KE7)-KD7&gt;0,SUM(KB7:KC7,KE7)-KD7,"")</f>
        <v/>
      </c>
      <c r="KQ7" s="78">
        <f>IF(SUM(JU7,JY7,KC7)&gt;0,SUM(JU7,JY7,KC7),"")</f>
        <v>11.6</v>
      </c>
      <c r="KR7" s="78">
        <f>IF(SUM(KO7,KP7)&gt;0,SUM(KO7,KP7),"")</f>
        <v>48.5</v>
      </c>
      <c r="KS7" s="78">
        <f>IF(SUM(KG7,KK7)&gt;0,SUM(KG7,KK7),"")</f>
        <v>11.2</v>
      </c>
      <c r="KT7" s="78">
        <f>IF(SUM(KF7:KG7,KI7:KK7,KM7)-SUM(KH7,KL7)&gt;0,SUM(KF7:KG7,KI7:KK7,KM7)-SUM(KH7,KL7),"")</f>
        <v>47.6</v>
      </c>
      <c r="KU7" s="78">
        <f>IF(SUM(KO7,KT7)&gt;0,SUM(KO7,KT7),"")</f>
        <v>96.1</v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>IF(SUM(KW7,LA7)&gt;0,SUM(KW7,LA7),"")</f>
        <v/>
      </c>
      <c r="LQ7" s="19" t="str">
        <f>IF(SUM(KV7:KW7,KY7:LA7,LC7)-KX7-LB7&gt;0,SUM(KV7:KW7,KY7:LA7,LC7)-KX7-LB7,"")</f>
        <v/>
      </c>
      <c r="LR7" s="19" t="str">
        <f>IF(SUM(LD7:LE7,LG7)-LF7&gt;0,SUM(LD7:LE7,LG7)-LF7,"")</f>
        <v/>
      </c>
      <c r="LS7" s="19" t="str">
        <f>IF(SUM(KW7,LA7,LE7)&gt;0,SUM(KW7,LA7,LE7),"")</f>
        <v/>
      </c>
      <c r="LT7" s="19" t="str">
        <f>IF(SUM(LQ7,LR7)&gt;0,SUM(LQ7,LR7),"")</f>
        <v/>
      </c>
      <c r="LU7" s="19" t="str">
        <f>IF(SUM(LI7,LM7)&gt;0,SUM(LI7,LM7),"")</f>
        <v/>
      </c>
      <c r="LV7" s="19" t="str">
        <f>IF(SUM(LH7:LI7,LK7:LM7,LO7)-SUM(LJ7,LN7)&gt;0,SUM(LH7:LI7,LK7:LM7,LO7)-SUM(LJ7,LN7),"")</f>
        <v/>
      </c>
      <c r="LW7" s="19" t="str">
        <f>IF(SUM(LQ7,LV7)&gt;0,SUM(LQ7,LV7),"")</f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>IF(SUM(LY7,MC7)&gt;0,SUM(LY7,MC7),"")</f>
        <v/>
      </c>
      <c r="MS7" s="78" t="str">
        <f>IF(SUM(LX7:LY7,MA7:MC7,ME7)-LZ7-MD7&gt;0,SUM(LX7:LY7,MA7:MC7,ME7)-LZ7-MD7,"")</f>
        <v/>
      </c>
      <c r="MT7" s="78" t="str">
        <f>IF(SUM(MF7:MG7,MI7)-MH7&gt;0,SUM(MF7:MG7,MI7)-MH7,"")</f>
        <v/>
      </c>
      <c r="MU7" s="78" t="str">
        <f>IF(SUM(LY7,MC7,MG7)&gt;0,SUM(LY7,MC7,MG7),"")</f>
        <v/>
      </c>
      <c r="MV7" s="78" t="str">
        <f>IF(SUM(MS7,MT7)&gt;0,SUM(MS7,MT7),"")</f>
        <v/>
      </c>
      <c r="MW7" s="78" t="str">
        <f>IF(SUM(MK7,MO7)&gt;0,SUM(MK7,MO7),"")</f>
        <v/>
      </c>
      <c r="MX7" s="78" t="str">
        <f>IF(SUM(MJ7:MK7,MM7:MO7,MQ7)-SUM(ML7,MP7)&gt;0,SUM(MJ7:MK7,MM7:MO7,MQ7)-SUM(ML7,MP7),"")</f>
        <v/>
      </c>
      <c r="MY7" s="78" t="str">
        <f>IF(SUM(MS7,MX7)&gt;0,SUM(MS7,MX7),"")</f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>IF(SUM(NA7,NE7)&gt;0,SUM(NA7,NE7),"")</f>
        <v/>
      </c>
      <c r="NU7" s="19" t="str">
        <f>IF(SUM(MZ7:NA7,NC7:NE7,NG7)-NB7-NF7&gt;0,SUM(MZ7:NA7,NC7:NE7,NG7)-NB7-NF7,"")</f>
        <v/>
      </c>
      <c r="NV7" s="19" t="str">
        <f>IF(SUM(NH7:NI7,NK7)-NJ7&gt;0,SUM(NH7:NI7,NK7)-NJ7,"")</f>
        <v/>
      </c>
      <c r="NW7" s="19" t="str">
        <f>IF(SUM(NA7,NE7,NI7)&gt;0,SUM(NA7,NE7,NI7),"")</f>
        <v/>
      </c>
      <c r="NX7" s="19" t="str">
        <f>IF(SUM(NU7,NV7)&gt;0,SUM(NU7,NV7),"")</f>
        <v/>
      </c>
      <c r="NY7" s="19" t="str">
        <f>IF(SUM(NM7,NQ7)&gt;0,SUM(NM7,NQ7),"")</f>
        <v/>
      </c>
      <c r="NZ7" s="19" t="str">
        <f>IF(SUM(NL7:NM7,NO7:NQ7,NS7)-SUM(NN7,NR7)&gt;0,SUM(NL7:NM7,NO7:NQ7,NS7)-SUM(NN7,NR7),"")</f>
        <v/>
      </c>
      <c r="OA7" s="19" t="str">
        <f>IF(SUM(NU7,NZ7)&gt;0,SUM(NU7,NZ7),"")</f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>IF(SUM(OC7,OG7)&gt;0,SUM(OC7,OG7),"")</f>
        <v/>
      </c>
      <c r="OW7" s="78" t="str">
        <f>IF(SUM(OB7:OC7,OE7:OG7,OI7)-OD7-OH7&gt;0,SUM(OB7:OC7,OE7:OG7,OI7)-OD7-OH7,"")</f>
        <v/>
      </c>
      <c r="OX7" s="78" t="str">
        <f>IF(SUM(OJ7:OK7,OM7)-OL7&gt;0,SUM(OJ7:OK7,OM7)-OL7,"")</f>
        <v/>
      </c>
      <c r="OY7" s="78" t="str">
        <f>IF(SUM(OC7,OG7,OK7)&gt;0,SUM(OC7,OG7,OK7),"")</f>
        <v/>
      </c>
      <c r="OZ7" s="78" t="str">
        <f>IF(SUM(OW7,OX7)&gt;0,SUM(OW7,OX7),"")</f>
        <v/>
      </c>
      <c r="PA7" s="78" t="str">
        <f>IF(SUM(OO7,OS7)&gt;0,SUM(OO7,OS7),"")</f>
        <v/>
      </c>
      <c r="PB7" s="78" t="str">
        <f>IF(SUM(ON7:OO7,OQ7:OS7,OU7)-SUM(OP7,OT7)&gt;0,SUM(ON7:OO7,OQ7:OS7,OU7)-SUM(OP7,OT7),"")</f>
        <v/>
      </c>
      <c r="PC7" s="78" t="str">
        <f>IF(SUM(OW7,PB7)&gt;0,SUM(OW7,PB7),"")</f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>IF(SUM(PE7,PI7)&gt;0,SUM(PE7,PI7),"")</f>
        <v/>
      </c>
      <c r="PY7" s="19" t="str">
        <f>IF(SUM(PD7:PE7,PG7:PI7,PK7)-PF7-PJ7&gt;0,SUM(PD7:PE7,PG7:PI7,PK7)-PF7-PJ7,"")</f>
        <v/>
      </c>
      <c r="PZ7" s="19" t="str">
        <f>IF(SUM(PL7:PM7,PO7)-PN7&gt;0,SUM(PL7:PM7,PO7)-PN7,"")</f>
        <v/>
      </c>
      <c r="QA7" s="19" t="str">
        <f>IF(SUM(PE7,PI7,PM7)&gt;0,SUM(PE7,PI7,PM7),"")</f>
        <v/>
      </c>
      <c r="QB7" s="19" t="str">
        <f>IF(SUM(PY7,PZ7)&gt;0,SUM(PY7,PZ7),"")</f>
        <v/>
      </c>
      <c r="QC7" s="19" t="str">
        <f>IF(SUM(PQ7,PU7)&gt;0,SUM(PQ7,PU7),"")</f>
        <v/>
      </c>
      <c r="QD7" s="19" t="str">
        <f>IF(SUM(PP7:PQ7,PS7:PU7,PW7)-SUM(PR7,PV7)&gt;0,SUM(PP7:PQ7,PS7:PU7,PW7)-SUM(PR7,PV7),"")</f>
        <v/>
      </c>
      <c r="QE7" s="19" t="str">
        <f>IF(SUM(PY7,QD7)&gt;0,SUM(PY7,QD7),"")</f>
        <v/>
      </c>
      <c r="QF7" s="37">
        <f>IF($CV7="P",CB7,(CB7+AY7)/2)</f>
        <v>18.649999999999999</v>
      </c>
      <c r="QG7" s="37">
        <f>IF($CV7="P",CC7,(CC7+AZ7)/2)</f>
        <v>5.2</v>
      </c>
      <c r="QH7" s="37">
        <f>IF($CV7="P",CD7,(CD7+BA7)/2)</f>
        <v>0.1</v>
      </c>
      <c r="QI7" s="37">
        <f>IF($CV7="P",CE7,(CE7+BB7)/2)</f>
        <v>0</v>
      </c>
      <c r="QJ7" s="37">
        <f>IF($CV7="P",CF7,(CF7+BC7)/2)</f>
        <v>18.100000000000001</v>
      </c>
      <c r="QK7" s="37">
        <f>IF($CV7="P",CG7,(CG7+BD7)/2)</f>
        <v>4.1999999999999993</v>
      </c>
      <c r="QL7" s="37">
        <f>IF($CV7="P",CH7,(CH7+BE7)/2)</f>
        <v>0.3</v>
      </c>
      <c r="QM7" s="37">
        <f>IF($CV7="P",CI7,(CI7+BF7)/2)</f>
        <v>0</v>
      </c>
      <c r="QN7" s="37">
        <f>IF($CV7="P",CJ7,(CJ7+BG7)/2)</f>
        <v>18.45</v>
      </c>
      <c r="QO7" s="37">
        <f>IF($CV7="P",CK7,(CK7+BH7)/2)</f>
        <v>5.8000000000000007</v>
      </c>
      <c r="QP7" s="37">
        <f>IF($CV7="P",CL7,(CL7+BI7)/2)</f>
        <v>0.3</v>
      </c>
      <c r="QQ7" s="37">
        <f>IF($CV7="P",CM7,(CM7+BJ7)/2)</f>
        <v>0</v>
      </c>
      <c r="QR7" s="37">
        <f>IF($CV7="P",CN7,(CN7+BK7)/2)</f>
        <v>18</v>
      </c>
      <c r="QS7" s="37">
        <f>IF($CV7="P",CO7,(CO7+BL7)/2)</f>
        <v>6</v>
      </c>
      <c r="QT7" s="37">
        <f>IF($CV7="P",CP7,(CP7+BM7)/2)</f>
        <v>0.4</v>
      </c>
      <c r="QU7" s="37">
        <f>IF($CV7="P",CQ7,(CQ7+BN7)/2)</f>
        <v>0</v>
      </c>
      <c r="QV7" s="37">
        <f>IF($CV7="P",CR7,(CR7+BO7)/2)</f>
        <v>18.799999999999997</v>
      </c>
      <c r="QW7" s="37">
        <f>IF($CV7="P",CS7,(CS7+BP7)/2)</f>
        <v>5.8</v>
      </c>
      <c r="QX7" s="37">
        <f>IF($CV7="P",CT7,(CT7+BQ7)/2)</f>
        <v>0.7</v>
      </c>
      <c r="QY7" s="37">
        <f>IF($CV7="P",CU7,(CU7+BR7)/2)</f>
        <v>0</v>
      </c>
      <c r="QZ7" s="44" t="s">
        <v>46</v>
      </c>
      <c r="RA7" s="78">
        <f>IF(SUM(QG7,QK7)&gt;0,SUM(QG7,QK7),"")</f>
        <v>9.3999999999999986</v>
      </c>
      <c r="RB7" s="78">
        <f>IF(SUM(QF7:QG7,QI7:QK7,QM7)-QH7-QL7&gt;0,SUM(QF7:QG7,QI7:QK7,QM7)-QH7-QL7,"")</f>
        <v>45.750000000000007</v>
      </c>
      <c r="RC7" s="78">
        <f>IF(SUM(QN7:QO7,QQ7)-QP7&gt;0,SUM(QN7:QO7,QQ7)-QP7,"")</f>
        <v>23.95</v>
      </c>
      <c r="RD7" s="78">
        <f>IF(SUM(QG7,QK7,QO7)&gt;0,SUM(QG7,QK7,QO7),"")</f>
        <v>15.2</v>
      </c>
      <c r="RE7" s="78">
        <f>IF(SUM(RB7,RC7)&gt;0,SUM(RB7,RC7),"")</f>
        <v>69.7</v>
      </c>
      <c r="RF7" s="78">
        <f>IF(SUM(QS7,QW7)&gt;0,SUM(QS7,QW7),"")</f>
        <v>11.8</v>
      </c>
      <c r="RG7" s="78">
        <f>IF(SUM(QR7:QS7,QU7:QW7,QY7)-SUM(QT7,QX7)&gt;0,SUM(QR7:QS7,QU7:QW7,QY7)-SUM(QT7,QX7),"")</f>
        <v>47.499999999999993</v>
      </c>
      <c r="RH7" s="78">
        <f>IF(SUM(RB7,RG7)&gt;0,SUM(RB7,RG7),"")</f>
        <v>93.25</v>
      </c>
    </row>
    <row r="8" spans="1:476" x14ac:dyDescent="0.2">
      <c r="A8" s="5">
        <f>IF(AND(F8="P",G8="P"),SUMPRODUCT((F$4:F$29="P")*(G$4:G$29="P")*(E$4:E$29&gt;E8))+1,IF(G8="P",SUMPRODUCT((F$4:F$29="")*(G$4:G$29="P")*(E$4:E$29&gt;E8))+1+SUMPRODUCT((F$4:F$29="P")*(G$4:G$29="P")),""))</f>
        <v>5</v>
      </c>
      <c r="B8" s="77" t="s">
        <v>97</v>
      </c>
      <c r="C8" s="5" t="s">
        <v>5</v>
      </c>
      <c r="D8" s="5">
        <v>2001</v>
      </c>
      <c r="E8" s="15">
        <f>SUM(I8:S8)+SUM(I8:O8)*0.0000001+SUM(I8)*0.0000000000001</f>
        <v>191.20001419500488</v>
      </c>
      <c r="F8" s="3" t="str">
        <f>IF(OR(AND(AQ8&gt;=AX$31,AR8&gt;=AX$35,AQ8&lt;&gt;"",AP8=""),AND(AV8&gt;=AX$31,AW8&gt;=AX$35,AV8&lt;&gt;"",AP8=""),AND(BT8&gt;=CA$31,BU8&gt;=CA$35,BT8&lt;&gt;"",BS8=""),AND(BY8&gt;=CA$31,BZ8&gt;=CA$35,BY8&lt;&gt;"",BS8=""),AND(CW8&gt;=DD$31,CX8&gt;=DD$35,CW8&lt;&gt;"",CV8=""),AND(DB8&gt;=DD$31,DC8&gt;=DD$35,DB8&lt;&gt;""),AND(EB8&gt;=EI$31,EC8&gt;=EI$35,EB8&lt;&gt;""),AND(EG8&gt;=EI$31,EH8&gt;=EI$35,EG8&lt;&gt;""),AND(FD8&gt;=FK$31,FE8&gt;=FK$35,FD8&lt;&gt;""),AND(FI8&gt;=FK$31,FJ8&gt;=FK$35,FI8&lt;&gt;""),AND(GF8&gt;=GM$31,GG8&gt;=GM$35,GF8&lt;&gt;""),AND(GK8&gt;=GM$31,GL8&gt;=GM$35,GK8&lt;&gt;""),AND(HH8&gt;=HO$31,HI8&gt;=HO$35,HH8&lt;&gt;""),AND(HM8&gt;=HO$31,HN8&gt;=HO$35,HM8&lt;&gt;""),AND(IJ8&gt;=IQ$31,IK8&gt;=IQ$35,IJ8&lt;&gt;""),AND(IO8&gt;=IQ$31,IP8&gt;=IQ$35,IO8&lt;&gt;""),AND(JL8&gt;=JS$31,JM8&gt;=JS$35,JL8&lt;&gt;""),AND(JQ8&gt;=JS$31,JR8&gt;=JS$35,JQ8&lt;&gt;""),AND(KN8&gt;=KU$31,KO8&gt;=KU$35,KN8&lt;&gt;""),AND(KS8&gt;=KU$31,KT8&gt;=KU$35,KS8&lt;&gt;""),AND(LP8&gt;=LW$31,LQ8&gt;=LW$35,LP8&lt;&gt;""),AND(LU8&gt;=LW$31,LV8&gt;=LW$35,LU8&lt;&gt;""),AND(MR8&gt;=MY$31,MS8&gt;=MY$35,MR8&lt;&gt;""),AND(MW8&gt;=MY$31,MX8&gt;=MY$35,MW8&lt;&gt;""),AND(NT8&gt;=OA$31,NU8&gt;=OA$35,NT8&lt;&gt;""),AND(NY8&gt;=OA$31,NZ8&gt;=OA$35,NY8&lt;&gt;""),AND(OV8&gt;=PC$31,OW8&gt;=PC$35,OV8&lt;&gt;""),AND(PA8&gt;=PC$31,PB8&gt;=PC$35,PA8&lt;&gt;""),AND(PX8&gt;=QE$31,PY8&gt;=QE$35,PX8&lt;&gt;""),AND(QC8&gt;=QE$31,QD8&gt;=QE$35,QC8&lt;&gt;"")),"P","")</f>
        <v>P</v>
      </c>
      <c r="G8" s="3" t="str">
        <f>IF(OR(AND(AR8&gt;=AX$35,AR8&lt;&gt;"",AP8=""),AND(AW8&gt;=AX$35,AW8&lt;&gt;"",AP8=""),AND(BU8&gt;=CA$35,BU8&lt;&gt;"",BS8=""),AND(BZ8&gt;=CA$35,BZ8&lt;&gt;"",BS8=""),AND(CX8&gt;=DD$35,CX8&lt;&gt;"",CV8=""),AND(DC8&gt;=DD$35,DC8&lt;&gt;"",CV8=""),AND(EC8&gt;=EI$35,EC8&lt;&gt;""),AND(EH8&gt;=EI$35,EH8&lt;&gt;""),AND(FE8&gt;=FK$35,FE8&lt;&gt;""),AND(FJ8&gt;=FK$35,FJ8&lt;&gt;""),AND(GG8&gt;=GM$35,GG8&lt;&gt;""),AND(GL8&gt;=GM$35,GL8&lt;&gt;""),AND(HI8&gt;=HO$35,HI8&lt;&gt;""),AND(HN8&gt;=HO$35,HN8&lt;&gt;""),AND(IK8&gt;=IQ$35,IK8&lt;&gt;""),AND(IP8&gt;=IQ$35,IP8&lt;&gt;""),AND(JM8&gt;=JS$35,JM8&lt;&gt;""),AND(JR8&gt;=JS$35,JR8&lt;&gt;""),AND(KO8&gt;=KU$35,KO8&lt;&gt;""),AND(KT8&gt;=KU$35,KT8&lt;&gt;""),AND(LQ8&gt;=LW$35,LQ8&lt;&gt;""),AND(LV8&gt;=LW$35,LV8&lt;&gt;""),AND(MS8&gt;=MY$35,MS8&lt;&gt;""),AND(MX8&gt;=MY$35,MX8&lt;&gt;""),AND(NU8&gt;=OA$35,NU8&lt;&gt;""),AND(NZ8&gt;=OA$35,NZ8&lt;&gt;""),AND(OW8&gt;=PC$35,OW8&lt;&gt;""),AND(PB8&gt;=PC$35,PB8&lt;&gt;""),AND(PY8&gt;=QE$35,PY8&lt;&gt;""),AND(QD8&gt;=QE$35,QD8&lt;&gt;"")),"P","")</f>
        <v>P</v>
      </c>
      <c r="H8" s="66" t="str">
        <f>IF(AND(G8="P",F8=""),"No DD",IF(OR(AND(AT8&gt;=AX$34,AU8&gt;=AX$38,AT8&lt;&gt;"",AP8=""),AND(BW8&gt;=CA$34,BX8&gt;=CA$38,BW8&lt;&gt;"",BS8=""),AND(CZ8&gt;=DD$34,DA8&gt;=DD$38,CZ8&lt;&gt;"",CV8=""),AND(EE8&gt;=EI$34,EF8&gt;=EI$38,EE8&lt;&gt;""),AND(FG8&gt;=FK$34,FH8&gt;=FK$38,FG8&lt;&gt;""),AND(GI8&gt;=GM$34,GJ8&gt;=GM$38,GI8&lt;&gt;""),AND(HK8&gt;=HO$34,HL8&gt;=HO$38,HK8&lt;&gt;""),AND(IM8&gt;=IQ$34,IN8&gt;=IQ$38,IM8&lt;&gt;""),AND(JO8&gt;=JS$34,JP8&gt;=JS$38,JO8&lt;&gt;""),AND(KQ8&gt;=KU$34,KR8&gt;=KU$38,KQ8&lt;&gt;""),AND(LS8&gt;=LW$34,LT8&gt;=LW$38,LS8&lt;&gt;""),AND(MU8&gt;=MY$34,MV8&gt;=MY$38,MU8&lt;&gt;""),AND(NW8&gt;=OA$34,NX8&gt;=OA$38,NW8&lt;&gt;""),AND(OY8&gt;=PC$34,OZ8&gt;=PC$38,OY8&lt;&gt;""),AND(QA8&gt;=QE$34,QB8&gt;=QE$38,QA8&lt;&gt;"")),"Merit",IF(OR(AND(AT8&gt;=AX$33,AU8&gt;=AX$37,AT8&lt;&gt;"",AP8=""),AND(BW8&gt;=CA$33,BX8&gt;=CA$37,BW8&lt;&gt;"",BS8=""),AND(CZ8&gt;=DD$33,DA8&gt;=DD$37,CZ8&lt;&gt;"",CV8=""),AND(EE8&gt;=EI$33,EF8&gt;=EI$37,EE8&lt;&gt;""),AND(FG8&gt;=FK$33,FH8&gt;=FK$37,FG8&lt;&gt;""),AND(GI8&gt;=GM$33,GJ8&gt;=GM$37,GI8&lt;&gt;""),AND(HK8&gt;=HO$33,HL8&gt;=HO$37,HK8&lt;&gt;""),AND(IM8&gt;=IQ$33,IN8&gt;=IQ$37,IM8&lt;&gt;""),AND(JO8&gt;=JS$33,JP8&gt;=JS$37,JO8&lt;&gt;""),AND(KQ8&gt;=KU$33,KR8&gt;=KU$37,KQ8&lt;&gt;""),AND(LS8&gt;=LW$33,LT8&gt;=LW$37,LS8&lt;&gt;""),AND(MU8&gt;=MY$33,MV8&gt;=MY$37,MU8&lt;&gt;""),AND(NW8&gt;=OA$33,NX8&gt;=OA$37,NW8&lt;&gt;""),AND(OY8&gt;=PC$33,OZ8&gt;=PC$37,OY8&lt;&gt;""),AND(QA8&gt;=QE$33,QB8&gt;=QE$37,QA8&lt;&gt;"")),"Excellence",IF(F8="P","National Team",""))))</f>
        <v>National Team</v>
      </c>
      <c r="I8" s="14">
        <f>IF(COUNT(AR8,BU8,CX8)&gt;0,LARGE((AR8,BU8,CX8),1),0)</f>
        <v>48.5</v>
      </c>
      <c r="J8" s="14" t="str">
        <f>IF(I8=0,"",IF(I8=CX8,$CB$1,IF(I8=BU8,$AY$1,IF(I8=AR8,$V$1,""))))</f>
        <v>2022 Elite Canada</v>
      </c>
      <c r="K8" s="14">
        <f>IF(COUNT(AR8,BU8,CX8)&gt;1,LARGE((AR8,BU8,CX8),2),0)</f>
        <v>46.050000000000004</v>
      </c>
      <c r="L8" s="14" t="str">
        <f>IF(K8=0,"",IF(K8=CX8,$CB$1,IF(K8=BU8,$AY$1,IF(K8=AR8,$V$1,""))))</f>
        <v>2022 3rd Domestic Trial</v>
      </c>
      <c r="M8" s="14">
        <f>IF(COUNT(AS8,BV8,CY8)&gt;0,LARGE((AS8,BV8,CY8),1),0)</f>
        <v>23.8</v>
      </c>
      <c r="N8" s="14" t="str">
        <f>IF(M8=0,"",IF(M8=CY8,$CB$1,IF(M8=BV8,$AY$1,IF(M8=AS8,$V$1,""))))</f>
        <v>2022 Elite Canada</v>
      </c>
      <c r="O8" s="14">
        <f>IF(COUNT(AS8,BV8,CY8)&gt;1,LARGE((AS8,BV8,CY8),2),0)</f>
        <v>23.6</v>
      </c>
      <c r="P8" s="14" t="str">
        <f>IF(O8=0,"",IF(O8=CY8,$CB$1,IF(O8=BV8,$AY$1,IF(O8=AS8,$V$1,""))))</f>
        <v>2022 3rd Domestic Trial</v>
      </c>
      <c r="Q8" s="14">
        <f>IF(MAX(AW8,BZ8,DC8)&gt;0,MAX(AW8,BZ8,DC8),0)</f>
        <v>47.5</v>
      </c>
      <c r="R8" s="14" t="str">
        <f>IF(Q8=0,"",IF(Q8=DC8,$CB$1,IF(Q8=BZ8,$AY$1,IF(Q8=AW8,$V$1,""))))</f>
        <v>2022 Elite Canada</v>
      </c>
      <c r="S8" s="14">
        <f>IF(MAX(DE8:DG8)&gt;0,MAX(DE8:DG8),"")</f>
        <v>1.7499999999999929</v>
      </c>
      <c r="T8" s="19" t="str">
        <f>IF(S8="","",IF(S8=DE8,"("&amp;DE$2&amp;")",IF(S8=DG8,"("&amp;DG$2&amp;")")))</f>
        <v>(Q1)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Cup POR (June 26)</v>
      </c>
      <c r="V8" s="26">
        <v>18.600000000000001</v>
      </c>
      <c r="W8" s="26">
        <v>5.6</v>
      </c>
      <c r="X8" s="26">
        <v>0.2</v>
      </c>
      <c r="Y8" s="26">
        <v>0</v>
      </c>
      <c r="Z8" s="26">
        <v>18.5</v>
      </c>
      <c r="AA8" s="26">
        <v>6</v>
      </c>
      <c r="AB8" s="26">
        <v>0</v>
      </c>
      <c r="AC8" s="26">
        <v>0</v>
      </c>
      <c r="AD8" s="26">
        <v>19</v>
      </c>
      <c r="AE8" s="26">
        <v>4.8</v>
      </c>
      <c r="AF8" s="26">
        <v>0</v>
      </c>
      <c r="AG8" s="26">
        <v>0</v>
      </c>
      <c r="AH8" s="26">
        <v>18.3</v>
      </c>
      <c r="AI8" s="26">
        <v>5.6</v>
      </c>
      <c r="AJ8" s="26">
        <v>0.2</v>
      </c>
      <c r="AK8" s="26">
        <v>0</v>
      </c>
      <c r="AL8" s="26">
        <v>18</v>
      </c>
      <c r="AM8" s="26">
        <v>6</v>
      </c>
      <c r="AN8" s="26">
        <v>0.2</v>
      </c>
      <c r="AO8" s="26">
        <v>0</v>
      </c>
      <c r="AP8" s="44"/>
      <c r="AQ8" s="78">
        <f>IF(SUM(W8,AA8)&gt;0,SUM(W8,AA8),"")</f>
        <v>11.6</v>
      </c>
      <c r="AR8" s="78">
        <f>IF(SUM(V8:W8,Y8:AA8,AC8)-X8-AB8&gt;0,SUM(V8:W8,Y8:AA8,AC8)-X8-AB8,"")</f>
        <v>48.5</v>
      </c>
      <c r="AS8" s="78">
        <f>IF(SUM(AD8:AE8,AG8)-AF8&gt;0,SUM(AD8:AE8,AG8)-AF8,"")</f>
        <v>23.8</v>
      </c>
      <c r="AT8" s="78">
        <f>IF(SUM(W8,AA8,AE8)&gt;0,SUM(W8,AA8,AE8),"")</f>
        <v>16.399999999999999</v>
      </c>
      <c r="AU8" s="78">
        <f>IF(SUM(AR8,AS8)&gt;0,SUM(AR8,AS8),"")</f>
        <v>72.3</v>
      </c>
      <c r="AV8" s="78">
        <f>IF(SUM(AI8,AM8)&gt;0,SUM(AI8,AM8),"")</f>
        <v>11.6</v>
      </c>
      <c r="AW8" s="78">
        <f>IF(SUM(AH8:AI8,AK8:AM8,AO8)-SUM(AJ8,AN8)&gt;0,SUM(AH8:AI8,AK8:AM8,AO8)-SUM(AJ8,AN8),"")</f>
        <v>47.5</v>
      </c>
      <c r="AX8" s="78">
        <f>IF(SUM(AR8,AW8)&gt;0,SUM(AR8,AW8),"")</f>
        <v>96</v>
      </c>
      <c r="AY8" s="25">
        <v>18.399999999999999</v>
      </c>
      <c r="AZ8" s="25">
        <v>5.6</v>
      </c>
      <c r="BA8" s="25">
        <v>0</v>
      </c>
      <c r="BB8" s="25">
        <v>0</v>
      </c>
      <c r="BC8" s="25">
        <v>17.2</v>
      </c>
      <c r="BD8" s="25">
        <v>2.4</v>
      </c>
      <c r="BE8" s="25">
        <v>0</v>
      </c>
      <c r="BF8" s="25">
        <v>0</v>
      </c>
      <c r="BG8" s="25">
        <v>18.600000000000001</v>
      </c>
      <c r="BH8" s="25">
        <v>4.8</v>
      </c>
      <c r="BI8" s="25">
        <v>0</v>
      </c>
      <c r="BJ8" s="25">
        <v>0</v>
      </c>
      <c r="BK8" s="25">
        <v>18.399999999999999</v>
      </c>
      <c r="BL8" s="25">
        <v>5.6</v>
      </c>
      <c r="BM8" s="25">
        <v>0</v>
      </c>
      <c r="BN8" s="25">
        <v>0</v>
      </c>
      <c r="BO8" s="25">
        <v>18.3</v>
      </c>
      <c r="BP8" s="25">
        <v>3</v>
      </c>
      <c r="BQ8" s="25">
        <v>1.4</v>
      </c>
      <c r="BR8" s="25">
        <v>0</v>
      </c>
      <c r="BS8" s="45"/>
      <c r="BT8" s="19">
        <f>IF(SUM(AZ8,BD8)&gt;0,SUM(AZ8,BD8),"")</f>
        <v>8</v>
      </c>
      <c r="BU8" s="19">
        <f>IF(SUM(AY8:AZ8,BB8:BD8,BF8)-BA8-BE8&gt;0,SUM(AY8:AZ8,BB8:BD8,BF8)-BA8-BE8,"")</f>
        <v>43.6</v>
      </c>
      <c r="BV8" s="19">
        <f>IF(SUM(BG8:BH8,BJ8)-BI8&gt;0,SUM(BG8:BH8,BJ8)-BI8,"")</f>
        <v>23.400000000000002</v>
      </c>
      <c r="BW8" s="19">
        <f>IF(SUM(AZ8,BD8,BH8)&gt;0,SUM(AZ8,BD8,BH8),"")</f>
        <v>12.8</v>
      </c>
      <c r="BX8" s="19">
        <f>IF(SUM(BU8,BV8)&gt;0,SUM(BU8,BV8),"")</f>
        <v>67</v>
      </c>
      <c r="BY8" s="19">
        <f>IF(SUM(BL8,BP8)&gt;0,SUM(BL8,BP8),"")</f>
        <v>8.6</v>
      </c>
      <c r="BZ8" s="19">
        <f>IF(SUM(BK8:BL8,BN8:BP8,BR8)-SUM(BM8,BQ8)&gt;0,SUM(BK8:BL8,BN8:BP8,BR8)-SUM(BM8,BQ8),"")</f>
        <v>43.9</v>
      </c>
      <c r="CA8" s="19">
        <f>IF(SUM(BU8,BZ8)&gt;0,SUM(BU8,BZ8),"")</f>
        <v>87.5</v>
      </c>
      <c r="CB8" s="26">
        <v>18.5</v>
      </c>
      <c r="CC8" s="26">
        <v>5.6</v>
      </c>
      <c r="CD8" s="26">
        <v>0.1</v>
      </c>
      <c r="CE8" s="26">
        <v>0</v>
      </c>
      <c r="CF8" s="26">
        <v>17.850000000000001</v>
      </c>
      <c r="CG8" s="26">
        <v>4.2</v>
      </c>
      <c r="CH8" s="26">
        <v>0</v>
      </c>
      <c r="CI8" s="26">
        <v>0</v>
      </c>
      <c r="CJ8" s="26">
        <v>18.8</v>
      </c>
      <c r="CK8" s="26">
        <v>4.8</v>
      </c>
      <c r="CL8" s="26">
        <v>0</v>
      </c>
      <c r="CM8" s="26">
        <v>0</v>
      </c>
      <c r="CN8" s="26">
        <v>18.350000000000001</v>
      </c>
      <c r="CO8" s="26">
        <v>5.6</v>
      </c>
      <c r="CP8" s="26">
        <v>0.1</v>
      </c>
      <c r="CQ8" s="26">
        <v>0</v>
      </c>
      <c r="CR8" s="26">
        <v>18.149999999999999</v>
      </c>
      <c r="CS8" s="26">
        <v>4.5</v>
      </c>
      <c r="CT8" s="26">
        <v>0.79999999999999993</v>
      </c>
      <c r="CU8" s="26">
        <v>0</v>
      </c>
      <c r="CV8" s="44" t="s">
        <v>46</v>
      </c>
      <c r="CW8" s="78">
        <f>IF(SUM(CC8,CG8)&gt;0,SUM(CC8,CG8),"")</f>
        <v>9.8000000000000007</v>
      </c>
      <c r="CX8" s="78">
        <f>IF(SUM(CB8:CC8,CE8:CG8,CI8)-CD8-CH8&gt;0,SUM(CB8:CC8,CE8:CG8,CI8)-CD8-CH8,"")</f>
        <v>46.050000000000004</v>
      </c>
      <c r="CY8" s="78">
        <f>IF(SUM(CJ8:CK8,CM8)-CL8&gt;0,SUM(CJ8:CK8,CM8)-CL8,"")</f>
        <v>23.6</v>
      </c>
      <c r="CZ8" s="78">
        <f>IF(SUM(CC8,CG8,CK8)&gt;0,SUM(CC8,CG8,CK8),"")</f>
        <v>14.600000000000001</v>
      </c>
      <c r="DA8" s="78">
        <f>IF(SUM(CX8,CY8)&gt;0,SUM(CX8,CY8),"")</f>
        <v>69.650000000000006</v>
      </c>
      <c r="DB8" s="78">
        <f>IF(SUM(CO8,CS8)&gt;0,SUM(CO8,CS8),"")</f>
        <v>10.1</v>
      </c>
      <c r="DC8" s="78">
        <f>IF(SUM(CN8:CO8,CQ8:CS8,CU8)-SUM(CP8,CT8)&gt;0,SUM(CN8:CO8,CQ8:CS8,CU8)-SUM(CP8,CT8),"")</f>
        <v>45.7</v>
      </c>
      <c r="DD8" s="78">
        <f>IF(SUM(CX8,DC8)&gt;0,SUM(CX8,DC8),"")</f>
        <v>91.75</v>
      </c>
      <c r="DE8" s="79">
        <f>IF(K8&gt;=0.001,IF(MAX(EC8,FE8,GG8,HI8,IK8,JM8,KO8,LQ8,MS8,NU8,OW8,PY8)-IF(K8="",0,K8)&gt;0.001,MAX(EC8,FE8,GG8,HI8,IK8,JM8,KO8,LQ8,MS8,NU8,OW8,PY8)-IF(K8="",0,K8),""),"")</f>
        <v>1.7499999999999929</v>
      </c>
      <c r="DF8" s="79" t="str">
        <f>IF(O8&gt;=0.001,IF(MAX(ED8,FF8,GH8,HJ8,IL8,JN8,KP8,LR8,MT8,NV8,OX8,PZ8)-IF(O8="",0,O8)&gt;0.001,MAX(ED8,FF8,GH8,HJ8,IL8,JN8,KP8,LR8,MT8,NV8,OX8,PZ8)-IF(O8="",0,O8),""),"")</f>
        <v/>
      </c>
      <c r="DG8" s="79">
        <f>IF(Q8&gt;=0.001,IF(MAX(EH8,FJ8,GL8,HN8,IP8,JR8,KT8,LV8,MX8,NZ8,PB8,QD8)-IF(Q8="",0,Q8)&gt;0.001,MAX(EH8,FJ8,GL8,HN8,IP8,JR8,KT8,LV8,MX8,NZ8,PB8,QD8)-IF(Q8="",0,Q8),""),"")</f>
        <v>9.9999999999994316E-2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>IF(SUM(DI8,DM8)&gt;0,SUM(DI8,DM8),"")</f>
        <v/>
      </c>
      <c r="EC8" s="78" t="str">
        <f>IF(SUM(DH8:DI8,DK8:DM8,DO8)-DJ8-DN8&gt;0,SUM(DH8:DI8,DK8:DM8,DO8)-DJ8-DN8,"")</f>
        <v/>
      </c>
      <c r="ED8" s="78" t="str">
        <f>IF(SUM(DP8:DQ8,DS8)-DR8&gt;0,SUM(DP8:DQ8,DS8)-DR8,"")</f>
        <v/>
      </c>
      <c r="EE8" s="78" t="str">
        <f>IF(SUM(DI8,DM8,DQ8)&gt;0,SUM(DI8,DM8,DQ8),"")</f>
        <v/>
      </c>
      <c r="EF8" s="78" t="str">
        <f>IF(SUM(EC8,ED8)&gt;0,SUM(EC8,ED8),"")</f>
        <v/>
      </c>
      <c r="EG8" s="78" t="str">
        <f>IF(SUM(DU8,DY8)&gt;0,SUM(DU8,DY8),"")</f>
        <v/>
      </c>
      <c r="EH8" s="78" t="str">
        <f>IF(SUM(DT8:DU8,DW8:DY8,EA8)-SUM(DV8,DZ8)&gt;0,SUM(DT8:DU8,DW8:DY8,EA8)-SUM(DV8,DZ8),"")</f>
        <v/>
      </c>
      <c r="EI8" s="78" t="str">
        <f>IF(SUM(EC8,EH8)&gt;0,SUM(EC8,EH8),"")</f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>IF(SUM(EK8,EO8)&gt;0,SUM(EK8,EO8),"")</f>
        <v/>
      </c>
      <c r="FE8" s="19" t="str">
        <f>IF(SUM(EJ8:EK8,EM8:EO8,EQ8)-EL8-EP8&gt;0,SUM(EJ8:EK8,EM8:EO8,EQ8)-EL8-EP8,"")</f>
        <v/>
      </c>
      <c r="FF8" s="19" t="str">
        <f>IF(SUM(ER8:ES8,EU8)-ET8&gt;0,SUM(ER8:ES8,EU8)-ET8,"")</f>
        <v/>
      </c>
      <c r="FG8" s="19" t="str">
        <f>IF(SUM(EK8,EO8,ES8)&gt;0,SUM(EK8,EO8,ES8),"")</f>
        <v/>
      </c>
      <c r="FH8" s="19" t="str">
        <f>IF(SUM(FE8,FF8)&gt;0,SUM(FE8,FF8),"")</f>
        <v/>
      </c>
      <c r="FI8" s="19" t="str">
        <f>IF(SUM(EW8,FA8)&gt;0,SUM(EW8,FA8),"")</f>
        <v/>
      </c>
      <c r="FJ8" s="19" t="str">
        <f>IF(SUM(EV8:EW8,EY8:FA8,FC8)-SUM(EX8,FB8)&gt;0,SUM(EV8:EW8,EY8:FA8,FC8)-SUM(EX8,FB8),"")</f>
        <v/>
      </c>
      <c r="FK8" s="19" t="str">
        <f>IF(SUM(FE8,FJ8)&gt;0,SUM(FE8,FJ8),"")</f>
        <v/>
      </c>
      <c r="FL8" s="24">
        <v>18.600000000000001</v>
      </c>
      <c r="FM8" s="24">
        <v>5.6</v>
      </c>
      <c r="FN8" s="24">
        <v>0</v>
      </c>
      <c r="FO8" s="24">
        <v>0</v>
      </c>
      <c r="FP8" s="24">
        <v>18</v>
      </c>
      <c r="FQ8" s="24">
        <v>5.6</v>
      </c>
      <c r="FR8" s="24">
        <v>0.2</v>
      </c>
      <c r="FS8" s="24">
        <v>0</v>
      </c>
      <c r="FT8" s="24"/>
      <c r="FU8" s="24"/>
      <c r="FV8" s="24"/>
      <c r="FW8" s="24"/>
      <c r="FX8" s="24">
        <v>18</v>
      </c>
      <c r="FY8" s="24">
        <v>5.6</v>
      </c>
      <c r="FZ8" s="24">
        <v>0.2</v>
      </c>
      <c r="GA8" s="24">
        <v>0</v>
      </c>
      <c r="GB8" s="24">
        <v>18.2</v>
      </c>
      <c r="GC8" s="24">
        <v>6</v>
      </c>
      <c r="GD8" s="24">
        <v>0</v>
      </c>
      <c r="GE8" s="24">
        <v>0</v>
      </c>
      <c r="GF8" s="78">
        <f>IF(SUM(FM8,FQ8)&gt;0,SUM(FM8,FQ8),"")</f>
        <v>11.2</v>
      </c>
      <c r="GG8" s="78">
        <f>IF(SUM(FL8:FM8,FO8:FQ8,FS8)-FN8-FR8&gt;0,SUM(FL8:FM8,FO8:FQ8,FS8)-FN8-FR8,"")</f>
        <v>47.6</v>
      </c>
      <c r="GH8" s="78" t="str">
        <f>IF(SUM(FT8:FU8,FW8)-FV8&gt;0,SUM(FT8:FU8,FW8)-FV8,"")</f>
        <v/>
      </c>
      <c r="GI8" s="78">
        <f>IF(SUM(FM8,FQ8,FU8)&gt;0,SUM(FM8,FQ8,FU8),"")</f>
        <v>11.2</v>
      </c>
      <c r="GJ8" s="78">
        <f>IF(SUM(GG8,GH8)&gt;0,SUM(GG8,GH8),"")</f>
        <v>47.6</v>
      </c>
      <c r="GK8" s="78">
        <f>IF(SUM(FY8,GC8)&gt;0,SUM(FY8,GC8),"")</f>
        <v>11.6</v>
      </c>
      <c r="GL8" s="78">
        <f>IF(SUM(FX8:FY8,GA8:GC8,GE8)-SUM(FZ8,GD8)&gt;0,SUM(FX8:FY8,GA8:GC8,GE8)-SUM(FZ8,GD8),"")</f>
        <v>47.599999999999994</v>
      </c>
      <c r="GM8" s="78">
        <f>IF(SUM(GG8,GL8)&gt;0,SUM(GG8,GL8),"")</f>
        <v>95.199999999999989</v>
      </c>
      <c r="GN8" s="25">
        <v>18.600000000000001</v>
      </c>
      <c r="GO8" s="25">
        <v>5.6</v>
      </c>
      <c r="GP8" s="25">
        <v>0</v>
      </c>
      <c r="GQ8" s="25">
        <v>0</v>
      </c>
      <c r="GR8" s="25">
        <v>18.2</v>
      </c>
      <c r="GS8" s="25">
        <v>5.6</v>
      </c>
      <c r="GT8" s="25">
        <v>0.6</v>
      </c>
      <c r="GU8" s="25">
        <v>0</v>
      </c>
      <c r="GV8" s="25"/>
      <c r="GW8" s="25"/>
      <c r="GX8" s="25"/>
      <c r="GY8" s="25"/>
      <c r="GZ8" s="25">
        <v>18.100000000000001</v>
      </c>
      <c r="HA8" s="25">
        <v>4.8</v>
      </c>
      <c r="HB8" s="25">
        <v>0.6</v>
      </c>
      <c r="HC8" s="25">
        <v>0</v>
      </c>
      <c r="HD8" s="25">
        <v>16.600000000000001</v>
      </c>
      <c r="HE8" s="25">
        <v>6</v>
      </c>
      <c r="HF8" s="25">
        <v>0.2</v>
      </c>
      <c r="HG8" s="25">
        <v>0</v>
      </c>
      <c r="HH8" s="19">
        <f>IF(SUM(GO8,GS8)&gt;0,SUM(GO8,GS8),"")</f>
        <v>11.2</v>
      </c>
      <c r="HI8" s="19">
        <f>IF(SUM(GN8:GO8,GQ8:GS8,GU8)-GP8-GT8&gt;0,SUM(GN8:GO8,GQ8:GS8,GU8)-GP8-GT8,"")</f>
        <v>47.400000000000006</v>
      </c>
      <c r="HJ8" s="19" t="str">
        <f>IF(SUM(GV8:GW8,GY8)-GX8&gt;0,SUM(GV8:GW8,GY8)-GX8,"")</f>
        <v/>
      </c>
      <c r="HK8" s="19">
        <f>IF(SUM(GO8,GS8,GW8)&gt;0,SUM(GO8,GS8,GW8),"")</f>
        <v>11.2</v>
      </c>
      <c r="HL8" s="19">
        <f>IF(SUM(HI8,HJ8)&gt;0,SUM(HI8,HJ8),"")</f>
        <v>47.400000000000006</v>
      </c>
      <c r="HM8" s="19">
        <f>IF(SUM(HA8,HE8)&gt;0,SUM(HA8,HE8),"")</f>
        <v>10.8</v>
      </c>
      <c r="HN8" s="19">
        <f>IF(SUM(GZ8:HA8,HC8:HE8,HG8)-SUM(HB8,HF8)&gt;0,SUM(GZ8:HA8,HC8:HE8,HG8)-SUM(HB8,HF8),"")</f>
        <v>44.7</v>
      </c>
      <c r="HO8" s="19">
        <f>IF(SUM(HI8,HN8)&gt;0,SUM(HI8,HN8),"")</f>
        <v>92.100000000000009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>IF(SUM(HQ8,HU8)&gt;0,SUM(HQ8,HU8),"")</f>
        <v/>
      </c>
      <c r="IK8" s="78" t="str">
        <f>IF(SUM(HP8:HQ8,HS8:HU8,HW8)-HR8-HV8&gt;0,SUM(HP8:HQ8,HS8:HU8,HW8)-HR8-HV8,"")</f>
        <v/>
      </c>
      <c r="IL8" s="78" t="str">
        <f>IF(SUM(HX8:HY8,IA8)-HZ8&gt;0,SUM(HX8:HY8,IA8)-HZ8,"")</f>
        <v/>
      </c>
      <c r="IM8" s="78" t="str">
        <f>IF(SUM(HQ8,HU8,HY8)&gt;0,SUM(HQ8,HU8,HY8),"")</f>
        <v/>
      </c>
      <c r="IN8" s="78" t="str">
        <f>IF(SUM(IK8,IL8)&gt;0,SUM(IK8,IL8),"")</f>
        <v/>
      </c>
      <c r="IO8" s="78" t="str">
        <f>IF(SUM(IC8,IG8)&gt;0,SUM(IC8,IG8),"")</f>
        <v/>
      </c>
      <c r="IP8" s="78" t="str">
        <f>IF(SUM(IB8:IC8,IE8:IG8,II8)-SUM(ID8,IH8)&gt;0,SUM(IB8:IC8,IE8:IG8,II8)-SUM(ID8,IH8),"")</f>
        <v/>
      </c>
      <c r="IQ8" s="78" t="str">
        <f>IF(SUM(IK8,IP8)&gt;0,SUM(IK8,IP8),"")</f>
        <v/>
      </c>
      <c r="IR8" s="25">
        <v>18.8</v>
      </c>
      <c r="IS8" s="25">
        <v>5.6</v>
      </c>
      <c r="IT8" s="25">
        <v>0</v>
      </c>
      <c r="IU8" s="25">
        <v>0</v>
      </c>
      <c r="IV8" s="25">
        <v>17.600000000000001</v>
      </c>
      <c r="IW8" s="25">
        <v>6</v>
      </c>
      <c r="IX8" s="25">
        <v>0.2</v>
      </c>
      <c r="IY8" s="25">
        <v>0</v>
      </c>
      <c r="IZ8" s="25"/>
      <c r="JA8" s="25"/>
      <c r="JB8" s="25"/>
      <c r="JC8" s="25"/>
      <c r="JD8" s="25">
        <v>18.399999999999999</v>
      </c>
      <c r="JE8" s="25">
        <v>5.6</v>
      </c>
      <c r="JF8" s="25">
        <v>0</v>
      </c>
      <c r="JG8" s="25">
        <v>0</v>
      </c>
      <c r="JH8" s="25"/>
      <c r="JI8" s="25"/>
      <c r="JJ8" s="25"/>
      <c r="JK8" s="25"/>
      <c r="JL8" s="19">
        <f>IF(SUM(IS8,IW8)&gt;0,SUM(IS8,IW8),"")</f>
        <v>11.6</v>
      </c>
      <c r="JM8" s="19">
        <f>IF(SUM(IR8:IS8,IU8:IW8,IY8)-IT8-IX8&gt;0,SUM(IR8:IS8,IU8:IW8,IY8)-IT8-IX8,"")</f>
        <v>47.8</v>
      </c>
      <c r="JN8" s="19" t="str">
        <f>IF(SUM(IZ8:JA8,JC8)-JB8&gt;0,SUM(IZ8:JA8,JC8)-JB8,"")</f>
        <v/>
      </c>
      <c r="JO8" s="19">
        <f>IF(SUM(IS8,IW8,JA8)&gt;0,SUM(IS8,IW8,JA8),"")</f>
        <v>11.6</v>
      </c>
      <c r="JP8" s="19">
        <f>IF(SUM(JM8,JN8)&gt;0,SUM(JM8,JN8),"")</f>
        <v>47.8</v>
      </c>
      <c r="JQ8" s="19">
        <f>IF(SUM(JE8,JI8)&gt;0,SUM(JE8,JI8),"")</f>
        <v>5.6</v>
      </c>
      <c r="JR8" s="19">
        <f>IF(SUM(JD8:JE8,JG8:JI8,JK8)-SUM(JF8,JJ8)&gt;0,SUM(JD8:JE8,JG8:JI8,JK8)-SUM(JF8,JJ8),"")</f>
        <v>24</v>
      </c>
      <c r="JS8" s="19">
        <f>IF(SUM(JM8,JR8)&gt;0,SUM(JM8,JR8),"")</f>
        <v>71.8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>IF(SUM(JU8,JY8)&gt;0,SUM(JU8,JY8),"")</f>
        <v/>
      </c>
      <c r="KO8" s="78" t="str">
        <f>IF(SUM(JT8:JU8,JW8:JY8,KA8)-JV8-JZ8&gt;0,SUM(JT8:JU8,JW8:JY8,KA8)-JV8-JZ8,"")</f>
        <v/>
      </c>
      <c r="KP8" s="78" t="str">
        <f>IF(SUM(KB8:KC8,KE8)-KD8&gt;0,SUM(KB8:KC8,KE8)-KD8,"")</f>
        <v/>
      </c>
      <c r="KQ8" s="78" t="str">
        <f>IF(SUM(JU8,JY8,KC8)&gt;0,SUM(JU8,JY8,KC8),"")</f>
        <v/>
      </c>
      <c r="KR8" s="78" t="str">
        <f>IF(SUM(KO8,KP8)&gt;0,SUM(KO8,KP8),"")</f>
        <v/>
      </c>
      <c r="KS8" s="78" t="str">
        <f>IF(SUM(KG8,KK8)&gt;0,SUM(KG8,KK8),"")</f>
        <v/>
      </c>
      <c r="KT8" s="78" t="str">
        <f>IF(SUM(KF8:KG8,KI8:KK8,KM8)-SUM(KH8,KL8)&gt;0,SUM(KF8:KG8,KI8:KK8,KM8)-SUM(KH8,KL8),"")</f>
        <v/>
      </c>
      <c r="KU8" s="78" t="str">
        <f>IF(SUM(KO8,KT8)&gt;0,SUM(KO8,KT8),"")</f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>IF(SUM(KW8,LA8)&gt;0,SUM(KW8,LA8),"")</f>
        <v/>
      </c>
      <c r="LQ8" s="19" t="str">
        <f>IF(SUM(KV8:KW8,KY8:LA8,LC8)-KX8-LB8&gt;0,SUM(KV8:KW8,KY8:LA8,LC8)-KX8-LB8,"")</f>
        <v/>
      </c>
      <c r="LR8" s="19" t="str">
        <f>IF(SUM(LD8:LE8,LG8)-LF8&gt;0,SUM(LD8:LE8,LG8)-LF8,"")</f>
        <v/>
      </c>
      <c r="LS8" s="19" t="str">
        <f>IF(SUM(KW8,LA8,LE8)&gt;0,SUM(KW8,LA8,LE8),"")</f>
        <v/>
      </c>
      <c r="LT8" s="19" t="str">
        <f>IF(SUM(LQ8,LR8)&gt;0,SUM(LQ8,LR8),"")</f>
        <v/>
      </c>
      <c r="LU8" s="19" t="str">
        <f>IF(SUM(LI8,LM8)&gt;0,SUM(LI8,LM8),"")</f>
        <v/>
      </c>
      <c r="LV8" s="19" t="str">
        <f>IF(SUM(LH8:LI8,LK8:LM8,LO8)-SUM(LJ8,LN8)&gt;0,SUM(LH8:LI8,LK8:LM8,LO8)-SUM(LJ8,LN8),"")</f>
        <v/>
      </c>
      <c r="LW8" s="19" t="str">
        <f>IF(SUM(LQ8,LV8)&gt;0,SUM(LQ8,LV8),"")</f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>IF(SUM(LY8,MC8)&gt;0,SUM(LY8,MC8),"")</f>
        <v/>
      </c>
      <c r="MS8" s="78" t="str">
        <f>IF(SUM(LX8:LY8,MA8:MC8,ME8)-LZ8-MD8&gt;0,SUM(LX8:LY8,MA8:MC8,ME8)-LZ8-MD8,"")</f>
        <v/>
      </c>
      <c r="MT8" s="78" t="str">
        <f>IF(SUM(MF8:MG8,MI8)-MH8&gt;0,SUM(MF8:MG8,MI8)-MH8,"")</f>
        <v/>
      </c>
      <c r="MU8" s="78" t="str">
        <f>IF(SUM(LY8,MC8,MG8)&gt;0,SUM(LY8,MC8,MG8),"")</f>
        <v/>
      </c>
      <c r="MV8" s="78" t="str">
        <f>IF(SUM(MS8,MT8)&gt;0,SUM(MS8,MT8),"")</f>
        <v/>
      </c>
      <c r="MW8" s="78" t="str">
        <f>IF(SUM(MK8,MO8)&gt;0,SUM(MK8,MO8),"")</f>
        <v/>
      </c>
      <c r="MX8" s="78" t="str">
        <f>IF(SUM(MJ8:MK8,MM8:MO8,MQ8)-SUM(ML8,MP8)&gt;0,SUM(MJ8:MK8,MM8:MO8,MQ8)-SUM(ML8,MP8),"")</f>
        <v/>
      </c>
      <c r="MY8" s="78" t="str">
        <f>IF(SUM(MS8,MX8)&gt;0,SUM(MS8,MX8),"")</f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>IF(SUM(NA8,NE8)&gt;0,SUM(NA8,NE8),"")</f>
        <v/>
      </c>
      <c r="NU8" s="19" t="str">
        <f>IF(SUM(MZ8:NA8,NC8:NE8,NG8)-NB8-NF8&gt;0,SUM(MZ8:NA8,NC8:NE8,NG8)-NB8-NF8,"")</f>
        <v/>
      </c>
      <c r="NV8" s="19" t="str">
        <f>IF(SUM(NH8:NI8,NK8)-NJ8&gt;0,SUM(NH8:NI8,NK8)-NJ8,"")</f>
        <v/>
      </c>
      <c r="NW8" s="19" t="str">
        <f>IF(SUM(NA8,NE8,NI8)&gt;0,SUM(NA8,NE8,NI8),"")</f>
        <v/>
      </c>
      <c r="NX8" s="19" t="str">
        <f>IF(SUM(NU8,NV8)&gt;0,SUM(NU8,NV8),"")</f>
        <v/>
      </c>
      <c r="NY8" s="19" t="str">
        <f>IF(SUM(NM8,NQ8)&gt;0,SUM(NM8,NQ8),"")</f>
        <v/>
      </c>
      <c r="NZ8" s="19" t="str">
        <f>IF(SUM(NL8:NM8,NO8:NQ8,NS8)-SUM(NN8,NR8)&gt;0,SUM(NL8:NM8,NO8:NQ8,NS8)-SUM(NN8,NR8),"")</f>
        <v/>
      </c>
      <c r="OA8" s="19" t="str">
        <f>IF(SUM(NU8,NZ8)&gt;0,SUM(NU8,NZ8),"")</f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>IF(SUM(OC8,OG8)&gt;0,SUM(OC8,OG8),"")</f>
        <v/>
      </c>
      <c r="OW8" s="78" t="str">
        <f>IF(SUM(OB8:OC8,OE8:OG8,OI8)-OD8-OH8&gt;0,SUM(OB8:OC8,OE8:OG8,OI8)-OD8-OH8,"")</f>
        <v/>
      </c>
      <c r="OX8" s="78" t="str">
        <f>IF(SUM(OJ8:OK8,OM8)-OL8&gt;0,SUM(OJ8:OK8,OM8)-OL8,"")</f>
        <v/>
      </c>
      <c r="OY8" s="78" t="str">
        <f>IF(SUM(OC8,OG8,OK8)&gt;0,SUM(OC8,OG8,OK8),"")</f>
        <v/>
      </c>
      <c r="OZ8" s="78" t="str">
        <f>IF(SUM(OW8,OX8)&gt;0,SUM(OW8,OX8),"")</f>
        <v/>
      </c>
      <c r="PA8" s="78" t="str">
        <f>IF(SUM(OO8,OS8)&gt;0,SUM(OO8,OS8),"")</f>
        <v/>
      </c>
      <c r="PB8" s="78" t="str">
        <f>IF(SUM(ON8:OO8,OQ8:OS8,OU8)-SUM(OP8,OT8)&gt;0,SUM(ON8:OO8,OQ8:OS8,OU8)-SUM(OP8,OT8),"")</f>
        <v/>
      </c>
      <c r="PC8" s="78" t="str">
        <f>IF(SUM(OW8,PB8)&gt;0,SUM(OW8,PB8),"")</f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>IF(SUM(PE8,PI8)&gt;0,SUM(PE8,PI8),"")</f>
        <v/>
      </c>
      <c r="PY8" s="19" t="str">
        <f>IF(SUM(PD8:PE8,PG8:PI8,PK8)-PF8-PJ8&gt;0,SUM(PD8:PE8,PG8:PI8,PK8)-PF8-PJ8,"")</f>
        <v/>
      </c>
      <c r="PZ8" s="19" t="str">
        <f>IF(SUM(PL8:PM8,PO8)-PN8&gt;0,SUM(PL8:PM8,PO8)-PN8,"")</f>
        <v/>
      </c>
      <c r="QA8" s="19" t="str">
        <f>IF(SUM(PE8,PI8,PM8)&gt;0,SUM(PE8,PI8,PM8),"")</f>
        <v/>
      </c>
      <c r="QB8" s="19" t="str">
        <f>IF(SUM(PY8,PZ8)&gt;0,SUM(PY8,PZ8),"")</f>
        <v/>
      </c>
      <c r="QC8" s="19" t="str">
        <f>IF(SUM(PQ8,PU8)&gt;0,SUM(PQ8,PU8),"")</f>
        <v/>
      </c>
      <c r="QD8" s="19" t="str">
        <f>IF(SUM(PP8:PQ8,PS8:PU8,PW8)-SUM(PR8,PV8)&gt;0,SUM(PP8:PQ8,PS8:PU8,PW8)-SUM(PR8,PV8),"")</f>
        <v/>
      </c>
      <c r="QE8" s="19" t="str">
        <f>IF(SUM(PY8,QD8)&gt;0,SUM(PY8,QD8),"")</f>
        <v/>
      </c>
      <c r="QF8" s="37">
        <f>IF($CV8="P",CB8,(CB8+AY8)/2)</f>
        <v>18.5</v>
      </c>
      <c r="QG8" s="37">
        <f>IF($CV8="P",CC8,(CC8+AZ8)/2)</f>
        <v>5.6</v>
      </c>
      <c r="QH8" s="37">
        <f>IF($CV8="P",CD8,(CD8+BA8)/2)</f>
        <v>0.1</v>
      </c>
      <c r="QI8" s="37">
        <f>IF($CV8="P",CE8,(CE8+BB8)/2)</f>
        <v>0</v>
      </c>
      <c r="QJ8" s="37">
        <f>IF($CV8="P",CF8,(CF8+BC8)/2)</f>
        <v>17.850000000000001</v>
      </c>
      <c r="QK8" s="37">
        <f>IF($CV8="P",CG8,(CG8+BD8)/2)</f>
        <v>4.2</v>
      </c>
      <c r="QL8" s="37">
        <f>IF($CV8="P",CH8,(CH8+BE8)/2)</f>
        <v>0</v>
      </c>
      <c r="QM8" s="37">
        <f>IF($CV8="P",CI8,(CI8+BF8)/2)</f>
        <v>0</v>
      </c>
      <c r="QN8" s="37">
        <f>IF($CV8="P",CJ8,(CJ8+BG8)/2)</f>
        <v>18.8</v>
      </c>
      <c r="QO8" s="37">
        <f>IF($CV8="P",CK8,(CK8+BH8)/2)</f>
        <v>4.8</v>
      </c>
      <c r="QP8" s="37">
        <f>IF($CV8="P",CL8,(CL8+BI8)/2)</f>
        <v>0</v>
      </c>
      <c r="QQ8" s="37">
        <f>IF($CV8="P",CM8,(CM8+BJ8)/2)</f>
        <v>0</v>
      </c>
      <c r="QR8" s="37">
        <f>IF($CV8="P",CN8,(CN8+BK8)/2)</f>
        <v>18.350000000000001</v>
      </c>
      <c r="QS8" s="37">
        <f>IF($CV8="P",CO8,(CO8+BL8)/2)</f>
        <v>5.6</v>
      </c>
      <c r="QT8" s="37">
        <f>IF($CV8="P",CP8,(CP8+BM8)/2)</f>
        <v>0.1</v>
      </c>
      <c r="QU8" s="37">
        <f>IF($CV8="P",CQ8,(CQ8+BN8)/2)</f>
        <v>0</v>
      </c>
      <c r="QV8" s="37">
        <f>IF($CV8="P",CR8,(CR8+BO8)/2)</f>
        <v>18.149999999999999</v>
      </c>
      <c r="QW8" s="37">
        <f>IF($CV8="P",CS8,(CS8+BP8)/2)</f>
        <v>4.5</v>
      </c>
      <c r="QX8" s="37">
        <f>IF($CV8="P",CT8,(CT8+BQ8)/2)</f>
        <v>0.79999999999999993</v>
      </c>
      <c r="QY8" s="37">
        <f>IF($CV8="P",CU8,(CU8+BR8)/2)</f>
        <v>0</v>
      </c>
      <c r="QZ8" s="44" t="s">
        <v>46</v>
      </c>
      <c r="RA8" s="78">
        <f>IF(SUM(QG8,QK8)&gt;0,SUM(QG8,QK8),"")</f>
        <v>9.8000000000000007</v>
      </c>
      <c r="RB8" s="78">
        <f>IF(SUM(QF8:QG8,QI8:QK8,QM8)-QH8-QL8&gt;0,SUM(QF8:QG8,QI8:QK8,QM8)-QH8-QL8,"")</f>
        <v>46.050000000000004</v>
      </c>
      <c r="RC8" s="78">
        <f>IF(SUM(QN8:QO8,QQ8)-QP8&gt;0,SUM(QN8:QO8,QQ8)-QP8,"")</f>
        <v>23.6</v>
      </c>
      <c r="RD8" s="78">
        <f>IF(SUM(QG8,QK8,QO8)&gt;0,SUM(QG8,QK8,QO8),"")</f>
        <v>14.600000000000001</v>
      </c>
      <c r="RE8" s="78">
        <f>IF(SUM(RB8,RC8)&gt;0,SUM(RB8,RC8),"")</f>
        <v>69.650000000000006</v>
      </c>
      <c r="RF8" s="78">
        <f>IF(SUM(QS8,QW8)&gt;0,SUM(QS8,QW8),"")</f>
        <v>10.1</v>
      </c>
      <c r="RG8" s="78">
        <f>IF(SUM(QR8:QS8,QU8:QW8,QY8)-SUM(QT8,QX8)&gt;0,SUM(QR8:QS8,QU8:QW8,QY8)-SUM(QT8,QX8),"")</f>
        <v>45.7</v>
      </c>
      <c r="RH8" s="78">
        <f>IF(SUM(RB8,RG8)&gt;0,SUM(RB8,RG8),"")</f>
        <v>91.75</v>
      </c>
    </row>
    <row r="9" spans="1:476" x14ac:dyDescent="0.2">
      <c r="A9" s="5">
        <f>IF(AND(F9="P",G9="P"),SUMPRODUCT((F$4:F$29="P")*(G$4:G$29="P")*(E$4:E$29&gt;E9))+1,IF(G9="P",SUMPRODUCT((F$4:F$29="")*(G$4:G$29="P")*(E$4:E$29&gt;E9))+1+SUMPRODUCT((F$4:F$29="P")*(G$4:G$29="P")),""))</f>
        <v>6</v>
      </c>
      <c r="B9" s="77" t="s">
        <v>101</v>
      </c>
      <c r="C9" s="5" t="s">
        <v>4</v>
      </c>
      <c r="D9" s="5">
        <v>2001</v>
      </c>
      <c r="E9" s="15">
        <f>SUM(I9:S9)+SUM(I9:O9)*0.0000001+SUM(I9)*0.0000000000001</f>
        <v>189.20001398000468</v>
      </c>
      <c r="F9" s="3" t="str">
        <f>IF(OR(AND(AQ9&gt;=AX$31,AR9&gt;=AX$35,AQ9&lt;&gt;"",AP9=""),AND(AV9&gt;=AX$31,AW9&gt;=AX$35,AV9&lt;&gt;"",AP9=""),AND(BT9&gt;=CA$31,BU9&gt;=CA$35,BT9&lt;&gt;"",BS9=""),AND(BY9&gt;=CA$31,BZ9&gt;=CA$35,BY9&lt;&gt;"",BS9=""),AND(CW9&gt;=DD$31,CX9&gt;=DD$35,CW9&lt;&gt;"",CV9=""),AND(DB9&gt;=DD$31,DC9&gt;=DD$35,DB9&lt;&gt;""),AND(EB9&gt;=EI$31,EC9&gt;=EI$35,EB9&lt;&gt;""),AND(EG9&gt;=EI$31,EH9&gt;=EI$35,EG9&lt;&gt;""),AND(FD9&gt;=FK$31,FE9&gt;=FK$35,FD9&lt;&gt;""),AND(FI9&gt;=FK$31,FJ9&gt;=FK$35,FI9&lt;&gt;""),AND(GF9&gt;=GM$31,GG9&gt;=GM$35,GF9&lt;&gt;""),AND(GK9&gt;=GM$31,GL9&gt;=GM$35,GK9&lt;&gt;""),AND(HH9&gt;=HO$31,HI9&gt;=HO$35,HH9&lt;&gt;""),AND(HM9&gt;=HO$31,HN9&gt;=HO$35,HM9&lt;&gt;""),AND(IJ9&gt;=IQ$31,IK9&gt;=IQ$35,IJ9&lt;&gt;""),AND(IO9&gt;=IQ$31,IP9&gt;=IQ$35,IO9&lt;&gt;""),AND(JL9&gt;=JS$31,JM9&gt;=JS$35,JL9&lt;&gt;""),AND(JQ9&gt;=JS$31,JR9&gt;=JS$35,JQ9&lt;&gt;""),AND(KN9&gt;=KU$31,KO9&gt;=KU$35,KN9&lt;&gt;""),AND(KS9&gt;=KU$31,KT9&gt;=KU$35,KS9&lt;&gt;""),AND(LP9&gt;=LW$31,LQ9&gt;=LW$35,LP9&lt;&gt;""),AND(LU9&gt;=LW$31,LV9&gt;=LW$35,LU9&lt;&gt;""),AND(MR9&gt;=MY$31,MS9&gt;=MY$35,MR9&lt;&gt;""),AND(MW9&gt;=MY$31,MX9&gt;=MY$35,MW9&lt;&gt;""),AND(NT9&gt;=OA$31,NU9&gt;=OA$35,NT9&lt;&gt;""),AND(NY9&gt;=OA$31,NZ9&gt;=OA$35,NY9&lt;&gt;""),AND(OV9&gt;=PC$31,OW9&gt;=PC$35,OV9&lt;&gt;""),AND(PA9&gt;=PC$31,PB9&gt;=PC$35,PA9&lt;&gt;""),AND(PX9&gt;=QE$31,PY9&gt;=QE$35,PX9&lt;&gt;""),AND(QC9&gt;=QE$31,QD9&gt;=QE$35,QC9&lt;&gt;"")),"P","")</f>
        <v>P</v>
      </c>
      <c r="G9" s="3" t="str">
        <f>IF(OR(AND(AR9&gt;=AX$35,AR9&lt;&gt;"",AP9=""),AND(AW9&gt;=AX$35,AW9&lt;&gt;"",AP9=""),AND(BU9&gt;=CA$35,BU9&lt;&gt;"",BS9=""),AND(BZ9&gt;=CA$35,BZ9&lt;&gt;"",BS9=""),AND(CX9&gt;=DD$35,CX9&lt;&gt;"",CV9=""),AND(DC9&gt;=DD$35,DC9&lt;&gt;"",CV9=""),AND(EC9&gt;=EI$35,EC9&lt;&gt;""),AND(EH9&gt;=EI$35,EH9&lt;&gt;""),AND(FE9&gt;=FK$35,FE9&lt;&gt;""),AND(FJ9&gt;=FK$35,FJ9&lt;&gt;""),AND(GG9&gt;=GM$35,GG9&lt;&gt;""),AND(GL9&gt;=GM$35,GL9&lt;&gt;""),AND(HI9&gt;=HO$35,HI9&lt;&gt;""),AND(HN9&gt;=HO$35,HN9&lt;&gt;""),AND(IK9&gt;=IQ$35,IK9&lt;&gt;""),AND(IP9&gt;=IQ$35,IP9&lt;&gt;""),AND(JM9&gt;=JS$35,JM9&lt;&gt;""),AND(JR9&gt;=JS$35,JR9&lt;&gt;""),AND(KO9&gt;=KU$35,KO9&lt;&gt;""),AND(KT9&gt;=KU$35,KT9&lt;&gt;""),AND(LQ9&gt;=LW$35,LQ9&lt;&gt;""),AND(LV9&gt;=LW$35,LV9&lt;&gt;""),AND(MS9&gt;=MY$35,MS9&lt;&gt;""),AND(MX9&gt;=MY$35,MX9&lt;&gt;""),AND(NU9&gt;=OA$35,NU9&lt;&gt;""),AND(NZ9&gt;=OA$35,NZ9&lt;&gt;""),AND(OW9&gt;=PC$35,OW9&lt;&gt;""),AND(PB9&gt;=PC$35,PB9&lt;&gt;""),AND(PY9&gt;=QE$35,PY9&lt;&gt;""),AND(QD9&gt;=QE$35,QD9&lt;&gt;"")),"P","")</f>
        <v>P</v>
      </c>
      <c r="H9" s="66" t="str">
        <f>IF(AND(G9="P",F9=""),"No DD",IF(OR(AND(AT9&gt;=AX$34,AU9&gt;=AX$38,AT9&lt;&gt;"",AP9=""),AND(BW9&gt;=CA$34,BX9&gt;=CA$38,BW9&lt;&gt;"",BS9=""),AND(CZ9&gt;=DD$34,DA9&gt;=DD$38,CZ9&lt;&gt;"",CV9=""),AND(EE9&gt;=EI$34,EF9&gt;=EI$38,EE9&lt;&gt;""),AND(FG9&gt;=FK$34,FH9&gt;=FK$38,FG9&lt;&gt;""),AND(GI9&gt;=GM$34,GJ9&gt;=GM$38,GI9&lt;&gt;""),AND(HK9&gt;=HO$34,HL9&gt;=HO$38,HK9&lt;&gt;""),AND(IM9&gt;=IQ$34,IN9&gt;=IQ$38,IM9&lt;&gt;""),AND(JO9&gt;=JS$34,JP9&gt;=JS$38,JO9&lt;&gt;""),AND(KQ9&gt;=KU$34,KR9&gt;=KU$38,KQ9&lt;&gt;""),AND(LS9&gt;=LW$34,LT9&gt;=LW$38,LS9&lt;&gt;""),AND(MU9&gt;=MY$34,MV9&gt;=MY$38,MU9&lt;&gt;""),AND(NW9&gt;=OA$34,NX9&gt;=OA$38,NW9&lt;&gt;""),AND(OY9&gt;=PC$34,OZ9&gt;=PC$38,OY9&lt;&gt;""),AND(QA9&gt;=QE$34,QB9&gt;=QE$38,QA9&lt;&gt;"")),"Merit",IF(OR(AND(AT9&gt;=AX$33,AU9&gt;=AX$37,AT9&lt;&gt;"",AP9=""),AND(BW9&gt;=CA$33,BX9&gt;=CA$37,BW9&lt;&gt;"",BS9=""),AND(CZ9&gt;=DD$33,DA9&gt;=DD$37,CZ9&lt;&gt;"",CV9=""),AND(EE9&gt;=EI$33,EF9&gt;=EI$37,EE9&lt;&gt;""),AND(FG9&gt;=FK$33,FH9&gt;=FK$37,FG9&lt;&gt;""),AND(GI9&gt;=GM$33,GJ9&gt;=GM$37,GI9&lt;&gt;""),AND(HK9&gt;=HO$33,HL9&gt;=HO$37,HK9&lt;&gt;""),AND(IM9&gt;=IQ$33,IN9&gt;=IQ$37,IM9&lt;&gt;""),AND(JO9&gt;=JS$33,JP9&gt;=JS$37,JO9&lt;&gt;""),AND(KQ9&gt;=KU$33,KR9&gt;=KU$37,KQ9&lt;&gt;""),AND(LS9&gt;=LW$33,LT9&gt;=LW$37,LS9&lt;&gt;""),AND(MU9&gt;=MY$33,MV9&gt;=MY$37,MU9&lt;&gt;""),AND(NW9&gt;=OA$33,NX9&gt;=OA$37,NW9&lt;&gt;""),AND(OY9&gt;=PC$33,OZ9&gt;=PC$37,OY9&lt;&gt;""),AND(QA9&gt;=QE$33,QB9&gt;=QE$37,QA9&lt;&gt;"")),"Excellence",IF(F9="P","National Team",""))))</f>
        <v>National Team</v>
      </c>
      <c r="I9" s="14">
        <f>IF(COUNT(AR9,BU9,CX9)&gt;0,LARGE((AR9,BU9,CX9),1),0)</f>
        <v>47</v>
      </c>
      <c r="J9" s="14" t="str">
        <f>IF(I9=0,"",IF(I9=CX9,$CB$1,IF(I9=BU9,$AY$1,IF(I9=AR9,$V$1,""))))</f>
        <v>2022 Nationals</v>
      </c>
      <c r="K9" s="14">
        <f>IF(COUNT(AR9,BU9,CX9)&gt;1,LARGE((AR9,BU9,CX9),2),0)</f>
        <v>46.099999999999994</v>
      </c>
      <c r="L9" s="14" t="str">
        <f>IF(K9=0,"",IF(K9=CX9,$CB$1,IF(K9=BU9,$AY$1,IF(K9=AR9,$V$1,""))))</f>
        <v>2022 3rd Domestic Trial</v>
      </c>
      <c r="M9" s="14">
        <f>IF(COUNT(AS9,BV9,CY9)&gt;0,LARGE((AS9,BV9,CY9),1),0)</f>
        <v>23.599999999999998</v>
      </c>
      <c r="N9" s="14" t="str">
        <f>IF(M9=0,"",IF(M9=CY9,$CB$1,IF(M9=BV9,$AY$1,IF(M9=AS9,$V$1,""))))</f>
        <v>2022 3rd Domestic Trial</v>
      </c>
      <c r="O9" s="14">
        <f>IF(COUNT(AS9,BV9,CY9)&gt;1,LARGE((AS9,BV9,CY9),2),0)</f>
        <v>23.1</v>
      </c>
      <c r="P9" s="14" t="str">
        <f>IF(O9=0,"",IF(O9=CY9,$CB$1,IF(O9=BV9,$AY$1,IF(O9=AS9,$V$1,""))))</f>
        <v>2022 Elite Canada</v>
      </c>
      <c r="Q9" s="14">
        <f>IF(MAX(AW9,BZ9,DC9)&gt;0,MAX(AW9,BZ9,DC9),0)</f>
        <v>48.2</v>
      </c>
      <c r="R9" s="14" t="str">
        <f>IF(Q9=0,"",IF(Q9=DC9,$CB$1,IF(Q9=BZ9,$AY$1,IF(Q9=AW9,$V$1,""))))</f>
        <v>2022 Nationals</v>
      </c>
      <c r="S9" s="14">
        <f>IF(MAX(DE9:DG9)&gt;0,MAX(DE9:DG9),"")</f>
        <v>1.2000000000000028</v>
      </c>
      <c r="T9" s="19" t="str">
        <f>IF(S9="","",IF(S9=DE9,"("&amp;DE$2&amp;")",IF(S9=DG9,"("&amp;DG$2&amp;")")))</f>
        <v>(Q1)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#2 (May 15)</v>
      </c>
      <c r="V9" s="26">
        <v>18.3</v>
      </c>
      <c r="W9" s="26">
        <v>5.2</v>
      </c>
      <c r="X9" s="26">
        <v>0</v>
      </c>
      <c r="Y9" s="26">
        <v>0</v>
      </c>
      <c r="Z9" s="26">
        <v>18</v>
      </c>
      <c r="AA9" s="26">
        <v>5.2</v>
      </c>
      <c r="AB9" s="26">
        <v>1</v>
      </c>
      <c r="AC9" s="26">
        <v>0.3</v>
      </c>
      <c r="AD9" s="26">
        <v>18.8</v>
      </c>
      <c r="AE9" s="26">
        <v>4.3</v>
      </c>
      <c r="AF9" s="26">
        <v>0</v>
      </c>
      <c r="AG9" s="26">
        <v>0</v>
      </c>
      <c r="AH9" s="26">
        <v>18.5</v>
      </c>
      <c r="AI9" s="26">
        <v>5.2</v>
      </c>
      <c r="AJ9" s="26">
        <v>0</v>
      </c>
      <c r="AK9" s="26">
        <v>0</v>
      </c>
      <c r="AL9" s="26">
        <v>18.2</v>
      </c>
      <c r="AM9" s="26">
        <v>5.2</v>
      </c>
      <c r="AN9" s="26">
        <v>0.2</v>
      </c>
      <c r="AO9" s="26">
        <v>0.3</v>
      </c>
      <c r="AP9" s="44"/>
      <c r="AQ9" s="78">
        <f>IF(SUM(W9,AA9)&gt;0,SUM(W9,AA9),"")</f>
        <v>10.4</v>
      </c>
      <c r="AR9" s="78">
        <f>IF(SUM(V9:W9,Y9:AA9,AC9)-X9-AB9&gt;0,SUM(V9:W9,Y9:AA9,AC9)-X9-AB9,"")</f>
        <v>46</v>
      </c>
      <c r="AS9" s="78">
        <f>IF(SUM(AD9:AE9,AG9)-AF9&gt;0,SUM(AD9:AE9,AG9)-AF9,"")</f>
        <v>23.1</v>
      </c>
      <c r="AT9" s="78">
        <f>IF(SUM(W9,AA9,AE9)&gt;0,SUM(W9,AA9,AE9),"")</f>
        <v>14.7</v>
      </c>
      <c r="AU9" s="78">
        <f>IF(SUM(AR9,AS9)&gt;0,SUM(AR9,AS9),"")</f>
        <v>69.099999999999994</v>
      </c>
      <c r="AV9" s="78">
        <f>IF(SUM(AI9,AM9)&gt;0,SUM(AI9,AM9),"")</f>
        <v>10.4</v>
      </c>
      <c r="AW9" s="78">
        <f>IF(SUM(AH9:AI9,AK9:AM9,AO9)-SUM(AJ9,AN9)&gt;0,SUM(AH9:AI9,AK9:AM9,AO9)-SUM(AJ9,AN9),"")</f>
        <v>47.199999999999996</v>
      </c>
      <c r="AX9" s="78">
        <f>IF(SUM(AR9,AW9)&gt;0,SUM(AR9,AW9),"")</f>
        <v>93.199999999999989</v>
      </c>
      <c r="AY9" s="25">
        <v>18.2</v>
      </c>
      <c r="AZ9" s="25">
        <v>5.6</v>
      </c>
      <c r="BA9" s="25">
        <v>0.8</v>
      </c>
      <c r="BB9" s="25">
        <v>0</v>
      </c>
      <c r="BC9" s="25">
        <v>18.2</v>
      </c>
      <c r="BD9" s="25">
        <v>6</v>
      </c>
      <c r="BE9" s="25">
        <v>0.2</v>
      </c>
      <c r="BF9" s="25">
        <v>0</v>
      </c>
      <c r="BG9" s="25">
        <v>17.899999999999999</v>
      </c>
      <c r="BH9" s="25">
        <v>4.4000000000000004</v>
      </c>
      <c r="BI9" s="25">
        <v>1</v>
      </c>
      <c r="BJ9" s="25">
        <v>0</v>
      </c>
      <c r="BK9" s="25">
        <v>18.399999999999999</v>
      </c>
      <c r="BL9" s="25">
        <v>5.6</v>
      </c>
      <c r="BM9" s="25">
        <v>0</v>
      </c>
      <c r="BN9" s="25">
        <v>0</v>
      </c>
      <c r="BO9" s="25">
        <v>18.2</v>
      </c>
      <c r="BP9" s="25">
        <v>6</v>
      </c>
      <c r="BQ9" s="25">
        <v>0</v>
      </c>
      <c r="BR9" s="25">
        <v>0</v>
      </c>
      <c r="BS9" s="45"/>
      <c r="BT9" s="19">
        <f>IF(SUM(AZ9,BD9)&gt;0,SUM(AZ9,BD9),"")</f>
        <v>11.6</v>
      </c>
      <c r="BU9" s="19">
        <f>IF(SUM(AY9:AZ9,BB9:BD9,BF9)-BA9-BE9&gt;0,SUM(AY9:AZ9,BB9:BD9,BF9)-BA9-BE9,"")</f>
        <v>47</v>
      </c>
      <c r="BV9" s="19">
        <f>IF(SUM(BG9:BH9,BJ9)-BI9&gt;0,SUM(BG9:BH9,BJ9)-BI9,"")</f>
        <v>21.299999999999997</v>
      </c>
      <c r="BW9" s="19">
        <f>IF(SUM(AZ9,BD9,BH9)&gt;0,SUM(AZ9,BD9,BH9),"")</f>
        <v>16</v>
      </c>
      <c r="BX9" s="19">
        <f>IF(SUM(BU9,BV9)&gt;0,SUM(BU9,BV9),"")</f>
        <v>68.3</v>
      </c>
      <c r="BY9" s="19">
        <f>IF(SUM(BL9,BP9)&gt;0,SUM(BL9,BP9),"")</f>
        <v>11.6</v>
      </c>
      <c r="BZ9" s="19">
        <f>IF(SUM(BK9:BL9,BN9:BP9,BR9)-SUM(BM9,BQ9)&gt;0,SUM(BK9:BL9,BN9:BP9,BR9)-SUM(BM9,BQ9),"")</f>
        <v>48.2</v>
      </c>
      <c r="CA9" s="19">
        <f>IF(SUM(BU9,BZ9)&gt;0,SUM(BU9,BZ9),"")</f>
        <v>95.2</v>
      </c>
      <c r="CB9" s="26">
        <v>18.5</v>
      </c>
      <c r="CC9" s="26">
        <v>4.8</v>
      </c>
      <c r="CD9" s="26">
        <v>0.6</v>
      </c>
      <c r="CE9" s="26">
        <v>0</v>
      </c>
      <c r="CF9" s="26">
        <v>19.2</v>
      </c>
      <c r="CG9" s="26">
        <v>4.3</v>
      </c>
      <c r="CH9" s="26">
        <v>0.1</v>
      </c>
      <c r="CI9" s="26">
        <v>0</v>
      </c>
      <c r="CJ9" s="26">
        <v>18.2</v>
      </c>
      <c r="CK9" s="26">
        <v>5.6</v>
      </c>
      <c r="CL9" s="26">
        <v>0.2</v>
      </c>
      <c r="CM9" s="26">
        <v>0</v>
      </c>
      <c r="CN9" s="26">
        <v>18.5</v>
      </c>
      <c r="CO9" s="26">
        <v>4.8</v>
      </c>
      <c r="CP9" s="26">
        <v>0</v>
      </c>
      <c r="CQ9" s="26">
        <v>0</v>
      </c>
      <c r="CR9" s="26">
        <v>18.100000000000001</v>
      </c>
      <c r="CS9" s="26">
        <v>4.8</v>
      </c>
      <c r="CT9" s="26">
        <v>0.8</v>
      </c>
      <c r="CU9" s="26">
        <v>0</v>
      </c>
      <c r="CV9" s="44"/>
      <c r="CW9" s="78">
        <f>IF(SUM(CC9,CG9)&gt;0,SUM(CC9,CG9),"")</f>
        <v>9.1</v>
      </c>
      <c r="CX9" s="78">
        <f>IF(SUM(CB9:CC9,CE9:CG9,CI9)-CD9-CH9&gt;0,SUM(CB9:CC9,CE9:CG9,CI9)-CD9-CH9,"")</f>
        <v>46.099999999999994</v>
      </c>
      <c r="CY9" s="78">
        <f>IF(SUM(CJ9:CK9,CM9)-CL9&gt;0,SUM(CJ9:CK9,CM9)-CL9,"")</f>
        <v>23.599999999999998</v>
      </c>
      <c r="CZ9" s="78">
        <f>IF(SUM(CC9,CG9,CK9)&gt;0,SUM(CC9,CG9,CK9),"")</f>
        <v>14.7</v>
      </c>
      <c r="DA9" s="78">
        <f>IF(SUM(CX9,CY9)&gt;0,SUM(CX9,CY9),"")</f>
        <v>69.699999999999989</v>
      </c>
      <c r="DB9" s="78">
        <f>IF(SUM(CO9,CS9)&gt;0,SUM(CO9,CS9),"")</f>
        <v>9.6</v>
      </c>
      <c r="DC9" s="78">
        <f>IF(SUM(CN9:CO9,CQ9:CS9,CU9)-SUM(CP9,CT9)&gt;0,SUM(CN9:CO9,CQ9:CS9,CU9)-SUM(CP9,CT9),"")</f>
        <v>45.400000000000006</v>
      </c>
      <c r="DD9" s="78">
        <f>IF(SUM(CX9,DC9)&gt;0,SUM(CX9,DC9),"")</f>
        <v>91.5</v>
      </c>
      <c r="DE9" s="79">
        <f>IF(K9&gt;=0.001,IF(MAX(EC9,FE9,GG9,HI9,IK9,JM9,KO9,LQ9,MS9,NU9,OW9,PY9)-IF(K9="",0,K9)&gt;0.001,MAX(EC9,FE9,GG9,HI9,IK9,JM9,KO9,LQ9,MS9,NU9,OW9,PY9)-IF(K9="",0,K9),""),"")</f>
        <v>1.2000000000000028</v>
      </c>
      <c r="DF9" s="79" t="str">
        <f>IF(O9&gt;=0.001,IF(MAX(ED9,FF9,GH9,HJ9,IL9,JN9,KP9,LR9,MT9,NV9,OX9,PZ9)-IF(O9="",0,O9)&gt;0.001,MAX(ED9,FF9,GH9,HJ9,IL9,JN9,KP9,LR9,MT9,NV9,OX9,PZ9)-IF(O9="",0,O9),""),"")</f>
        <v/>
      </c>
      <c r="DG9" s="79">
        <f>IF(Q9&gt;=0.001,IF(MAX(EH9,FJ9,GL9,HN9,IP9,JR9,KT9,LV9,MX9,NZ9,PB9,QD9)-IF(Q9="",0,Q9)&gt;0.001,MAX(EH9,FJ9,GL9,HN9,IP9,JR9,KT9,LV9,MX9,NZ9,PB9,QD9)-IF(Q9="",0,Q9),""),"")</f>
        <v>0.49999999999999289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>IF(SUM(DI9,DM9)&gt;0,SUM(DI9,DM9),"")</f>
        <v/>
      </c>
      <c r="EC9" s="78" t="str">
        <f>IF(SUM(DH9:DI9,DK9:DM9,DO9)-DJ9-DN9&gt;0,SUM(DH9:DI9,DK9:DM9,DO9)-DJ9-DN9,"")</f>
        <v/>
      </c>
      <c r="ED9" s="78" t="str">
        <f>IF(SUM(DP9:DQ9,DS9)-DR9&gt;0,SUM(DP9:DQ9,DS9)-DR9,"")</f>
        <v/>
      </c>
      <c r="EE9" s="78" t="str">
        <f>IF(SUM(DI9,DM9,DQ9)&gt;0,SUM(DI9,DM9,DQ9),"")</f>
        <v/>
      </c>
      <c r="EF9" s="78" t="str">
        <f>IF(SUM(EC9,ED9)&gt;0,SUM(EC9,ED9),"")</f>
        <v/>
      </c>
      <c r="EG9" s="78" t="str">
        <f>IF(SUM(DU9,DY9)&gt;0,SUM(DU9,DY9),"")</f>
        <v/>
      </c>
      <c r="EH9" s="78" t="str">
        <f>IF(SUM(DT9:DU9,DW9:DY9,EA9)-SUM(DV9,DZ9)&gt;0,SUM(DT9:DU9,DW9:DY9,EA9)-SUM(DV9,DZ9),"")</f>
        <v/>
      </c>
      <c r="EI9" s="78" t="str">
        <f>IF(SUM(EC9,EH9)&gt;0,SUM(EC9,EH9),"")</f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>IF(SUM(EK9,EO9)&gt;0,SUM(EK9,EO9),"")</f>
        <v/>
      </c>
      <c r="FE9" s="19" t="str">
        <f>IF(SUM(EJ9:EK9,EM9:EO9,EQ9)-EL9-EP9&gt;0,SUM(EJ9:EK9,EM9:EO9,EQ9)-EL9-EP9,"")</f>
        <v/>
      </c>
      <c r="FF9" s="19" t="str">
        <f>IF(SUM(ER9:ES9,EU9)-ET9&gt;0,SUM(ER9:ES9,EU9)-ET9,"")</f>
        <v/>
      </c>
      <c r="FG9" s="19" t="str">
        <f>IF(SUM(EK9,EO9,ES9)&gt;0,SUM(EK9,EO9,ES9),"")</f>
        <v/>
      </c>
      <c r="FH9" s="19" t="str">
        <f>IF(SUM(FE9,FF9)&gt;0,SUM(FE9,FF9),"")</f>
        <v/>
      </c>
      <c r="FI9" s="19" t="str">
        <f>IF(SUM(EW9,FA9)&gt;0,SUM(EW9,FA9),"")</f>
        <v/>
      </c>
      <c r="FJ9" s="19" t="str">
        <f>IF(SUM(EV9:EW9,EY9:FA9,FC9)-SUM(EX9,FB9)&gt;0,SUM(EV9:EW9,EY9:FA9,FC9)-SUM(EX9,FB9),"")</f>
        <v/>
      </c>
      <c r="FK9" s="19" t="str">
        <f>IF(SUM(FE9,FJ9)&gt;0,SUM(FE9,FJ9),"")</f>
        <v/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>IF(SUM(FM9,FQ9)&gt;0,SUM(FM9,FQ9),"")</f>
        <v/>
      </c>
      <c r="GG9" s="78" t="str">
        <f>IF(SUM(FL9:FM9,FO9:FQ9,FS9)-FN9-FR9&gt;0,SUM(FL9:FM9,FO9:FQ9,FS9)-FN9-FR9,"")</f>
        <v/>
      </c>
      <c r="GH9" s="78" t="str">
        <f>IF(SUM(FT9:FU9,FW9)-FV9&gt;0,SUM(FT9:FU9,FW9)-FV9,"")</f>
        <v/>
      </c>
      <c r="GI9" s="78" t="str">
        <f>IF(SUM(FM9,FQ9,FU9)&gt;0,SUM(FM9,FQ9,FU9),"")</f>
        <v/>
      </c>
      <c r="GJ9" s="78" t="str">
        <f>IF(SUM(GG9,GH9)&gt;0,SUM(GG9,GH9),"")</f>
        <v/>
      </c>
      <c r="GK9" s="78" t="str">
        <f>IF(SUM(FY9,GC9)&gt;0,SUM(FY9,GC9),"")</f>
        <v/>
      </c>
      <c r="GL9" s="78" t="str">
        <f>IF(SUM(FX9:FY9,GA9:GC9,GE9)-SUM(FZ9,GD9)&gt;0,SUM(FX9:FY9,GA9:GC9,GE9)-SUM(FZ9,GD9),"")</f>
        <v/>
      </c>
      <c r="GM9" s="78" t="str">
        <f>IF(SUM(GG9,GL9)&gt;0,SUM(GG9,GL9),"")</f>
        <v/>
      </c>
      <c r="GN9" s="25">
        <v>17.899999999999999</v>
      </c>
      <c r="GO9" s="25">
        <v>6</v>
      </c>
      <c r="GP9" s="25">
        <v>0</v>
      </c>
      <c r="GQ9" s="25">
        <v>0</v>
      </c>
      <c r="GR9" s="25">
        <v>18.399999999999999</v>
      </c>
      <c r="GS9" s="25">
        <v>5.6</v>
      </c>
      <c r="GT9" s="25">
        <v>0.6</v>
      </c>
      <c r="GU9" s="25">
        <v>0</v>
      </c>
      <c r="GV9" s="25"/>
      <c r="GW9" s="25"/>
      <c r="GX9" s="25"/>
      <c r="GY9" s="25"/>
      <c r="GZ9" s="25">
        <v>18.7</v>
      </c>
      <c r="HA9" s="25">
        <v>5.6</v>
      </c>
      <c r="HB9" s="25">
        <v>0</v>
      </c>
      <c r="HC9" s="25">
        <v>0</v>
      </c>
      <c r="HD9" s="25">
        <v>18.600000000000001</v>
      </c>
      <c r="HE9" s="25">
        <v>6</v>
      </c>
      <c r="HF9" s="25">
        <v>0.2</v>
      </c>
      <c r="HG9" s="25">
        <v>0</v>
      </c>
      <c r="HH9" s="19">
        <f>IF(SUM(GO9,GS9)&gt;0,SUM(GO9,GS9),"")</f>
        <v>11.6</v>
      </c>
      <c r="HI9" s="19">
        <f>IF(SUM(GN9:GO9,GQ9:GS9,GU9)-GP9-GT9&gt;0,SUM(GN9:GO9,GQ9:GS9,GU9)-GP9-GT9,"")</f>
        <v>47.3</v>
      </c>
      <c r="HJ9" s="19" t="str">
        <f>IF(SUM(GV9:GW9,GY9)-GX9&gt;0,SUM(GV9:GW9,GY9)-GX9,"")</f>
        <v/>
      </c>
      <c r="HK9" s="19">
        <f>IF(SUM(GO9,GS9,GW9)&gt;0,SUM(GO9,GS9,GW9),"")</f>
        <v>11.6</v>
      </c>
      <c r="HL9" s="19">
        <f>IF(SUM(HI9,HJ9)&gt;0,SUM(HI9,HJ9),"")</f>
        <v>47.3</v>
      </c>
      <c r="HM9" s="19">
        <f>IF(SUM(HA9,HE9)&gt;0,SUM(HA9,HE9),"")</f>
        <v>11.6</v>
      </c>
      <c r="HN9" s="19">
        <f>IF(SUM(GZ9:HA9,HC9:HE9,HG9)-SUM(HB9,HF9)&gt;0,SUM(GZ9:HA9,HC9:HE9,HG9)-SUM(HB9,HF9),"")</f>
        <v>48.699999999999996</v>
      </c>
      <c r="HO9" s="19">
        <f>IF(SUM(HI9,HN9)&gt;0,SUM(HI9,HN9),"")</f>
        <v>96</v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>IF(SUM(HQ9,HU9)&gt;0,SUM(HQ9,HU9),"")</f>
        <v/>
      </c>
      <c r="IK9" s="78" t="str">
        <f>IF(SUM(HP9:HQ9,HS9:HU9,HW9)-HR9-HV9&gt;0,SUM(HP9:HQ9,HS9:HU9,HW9)-HR9-HV9,"")</f>
        <v/>
      </c>
      <c r="IL9" s="78" t="str">
        <f>IF(SUM(HX9:HY9,IA9)-HZ9&gt;0,SUM(HX9:HY9,IA9)-HZ9,"")</f>
        <v/>
      </c>
      <c r="IM9" s="78" t="str">
        <f>IF(SUM(HQ9,HU9,HY9)&gt;0,SUM(HQ9,HU9,HY9),"")</f>
        <v/>
      </c>
      <c r="IN9" s="78" t="str">
        <f>IF(SUM(IK9,IL9)&gt;0,SUM(IK9,IL9),"")</f>
        <v/>
      </c>
      <c r="IO9" s="78" t="str">
        <f>IF(SUM(IC9,IG9)&gt;0,SUM(IC9,IG9),"")</f>
        <v/>
      </c>
      <c r="IP9" s="78" t="str">
        <f>IF(SUM(IB9:IC9,IE9:IG9,II9)-SUM(ID9,IH9)&gt;0,SUM(IB9:IC9,IE9:IG9,II9)-SUM(ID9,IH9),"")</f>
        <v/>
      </c>
      <c r="IQ9" s="78" t="str">
        <f>IF(SUM(IK9,IP9)&gt;0,SUM(IK9,IP9),"")</f>
        <v/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>IF(SUM(IS9,IW9)&gt;0,SUM(IS9,IW9),"")</f>
        <v/>
      </c>
      <c r="JM9" s="19" t="str">
        <f>IF(SUM(IR9:IS9,IU9:IW9,IY9)-IT9-IX9&gt;0,SUM(IR9:IS9,IU9:IW9,IY9)-IT9-IX9,"")</f>
        <v/>
      </c>
      <c r="JN9" s="19" t="str">
        <f>IF(SUM(IZ9:JA9,JC9)-JB9&gt;0,SUM(IZ9:JA9,JC9)-JB9,"")</f>
        <v/>
      </c>
      <c r="JO9" s="19" t="str">
        <f>IF(SUM(IS9,IW9,JA9)&gt;0,SUM(IS9,IW9,JA9),"")</f>
        <v/>
      </c>
      <c r="JP9" s="19" t="str">
        <f>IF(SUM(JM9,JN9)&gt;0,SUM(JM9,JN9),"")</f>
        <v/>
      </c>
      <c r="JQ9" s="19" t="str">
        <f>IF(SUM(JE9,JI9)&gt;0,SUM(JE9,JI9),"")</f>
        <v/>
      </c>
      <c r="JR9" s="19" t="str">
        <f>IF(SUM(JD9:JE9,JG9:JI9,JK9)-SUM(JF9,JJ9)&gt;0,SUM(JD9:JE9,JG9:JI9,JK9)-SUM(JF9,JJ9),"")</f>
        <v/>
      </c>
      <c r="JS9" s="19" t="str">
        <f>IF(SUM(JM9,JR9)&gt;0,SUM(JM9,JR9),"")</f>
        <v/>
      </c>
      <c r="JT9" s="24">
        <v>0</v>
      </c>
      <c r="JU9" s="24">
        <v>0</v>
      </c>
      <c r="JV9" s="24">
        <v>0</v>
      </c>
      <c r="JW9" s="24">
        <v>0</v>
      </c>
      <c r="JX9" s="24">
        <v>18.100000000000001</v>
      </c>
      <c r="JY9" s="24">
        <v>6</v>
      </c>
      <c r="JZ9" s="24">
        <v>0</v>
      </c>
      <c r="KA9" s="24">
        <v>0</v>
      </c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>
        <f>IF(SUM(JU9,JY9)&gt;0,SUM(JU9,JY9),"")</f>
        <v>6</v>
      </c>
      <c r="KO9" s="78">
        <f>IF(SUM(JT9:JU9,JW9:JY9,KA9)-JV9-JZ9&gt;0,SUM(JT9:JU9,JW9:JY9,KA9)-JV9-JZ9,"")</f>
        <v>24.1</v>
      </c>
      <c r="KP9" s="78" t="str">
        <f>IF(SUM(KB9:KC9,KE9)-KD9&gt;0,SUM(KB9:KC9,KE9)-KD9,"")</f>
        <v/>
      </c>
      <c r="KQ9" s="78">
        <f>IF(SUM(JU9,JY9,KC9)&gt;0,SUM(JU9,JY9,KC9),"")</f>
        <v>6</v>
      </c>
      <c r="KR9" s="78">
        <f>IF(SUM(KO9,KP9)&gt;0,SUM(KO9,KP9),"")</f>
        <v>24.1</v>
      </c>
      <c r="KS9" s="78" t="str">
        <f>IF(SUM(KG9,KK9)&gt;0,SUM(KG9,KK9),"")</f>
        <v/>
      </c>
      <c r="KT9" s="78" t="str">
        <f>IF(SUM(KF9:KG9,KI9:KK9,KM9)-SUM(KH9,KL9)&gt;0,SUM(KF9:KG9,KI9:KK9,KM9)-SUM(KH9,KL9),"")</f>
        <v/>
      </c>
      <c r="KU9" s="78">
        <f>IF(SUM(KO9,KT9)&gt;0,SUM(KO9,KT9),"")</f>
        <v>24.1</v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>IF(SUM(KW9,LA9)&gt;0,SUM(KW9,LA9),"")</f>
        <v/>
      </c>
      <c r="LQ9" s="19" t="str">
        <f>IF(SUM(KV9:KW9,KY9:LA9,LC9)-KX9-LB9&gt;0,SUM(KV9:KW9,KY9:LA9,LC9)-KX9-LB9,"")</f>
        <v/>
      </c>
      <c r="LR9" s="19" t="str">
        <f>IF(SUM(LD9:LE9,LG9)-LF9&gt;0,SUM(LD9:LE9,LG9)-LF9,"")</f>
        <v/>
      </c>
      <c r="LS9" s="19" t="str">
        <f>IF(SUM(KW9,LA9,LE9)&gt;0,SUM(KW9,LA9,LE9),"")</f>
        <v/>
      </c>
      <c r="LT9" s="19" t="str">
        <f>IF(SUM(LQ9,LR9)&gt;0,SUM(LQ9,LR9),"")</f>
        <v/>
      </c>
      <c r="LU9" s="19" t="str">
        <f>IF(SUM(LI9,LM9)&gt;0,SUM(LI9,LM9),"")</f>
        <v/>
      </c>
      <c r="LV9" s="19" t="str">
        <f>IF(SUM(LH9:LI9,LK9:LM9,LO9)-SUM(LJ9,LN9)&gt;0,SUM(LH9:LI9,LK9:LM9,LO9)-SUM(LJ9,LN9),"")</f>
        <v/>
      </c>
      <c r="LW9" s="19" t="str">
        <f>IF(SUM(LQ9,LV9)&gt;0,SUM(LQ9,LV9),"")</f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>IF(SUM(LY9,MC9)&gt;0,SUM(LY9,MC9),"")</f>
        <v/>
      </c>
      <c r="MS9" s="78" t="str">
        <f>IF(SUM(LX9:LY9,MA9:MC9,ME9)-LZ9-MD9&gt;0,SUM(LX9:LY9,MA9:MC9,ME9)-LZ9-MD9,"")</f>
        <v/>
      </c>
      <c r="MT9" s="78" t="str">
        <f>IF(SUM(MF9:MG9,MI9)-MH9&gt;0,SUM(MF9:MG9,MI9)-MH9,"")</f>
        <v/>
      </c>
      <c r="MU9" s="78" t="str">
        <f>IF(SUM(LY9,MC9,MG9)&gt;0,SUM(LY9,MC9,MG9),"")</f>
        <v/>
      </c>
      <c r="MV9" s="78" t="str">
        <f>IF(SUM(MS9,MT9)&gt;0,SUM(MS9,MT9),"")</f>
        <v/>
      </c>
      <c r="MW9" s="78" t="str">
        <f>IF(SUM(MK9,MO9)&gt;0,SUM(MK9,MO9),"")</f>
        <v/>
      </c>
      <c r="MX9" s="78" t="str">
        <f>IF(SUM(MJ9:MK9,MM9:MO9,MQ9)-SUM(ML9,MP9)&gt;0,SUM(MJ9:MK9,MM9:MO9,MQ9)-SUM(ML9,MP9),"")</f>
        <v/>
      </c>
      <c r="MY9" s="78" t="str">
        <f>IF(SUM(MS9,MX9)&gt;0,SUM(MS9,MX9),"")</f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>IF(SUM(NA9,NE9)&gt;0,SUM(NA9,NE9),"")</f>
        <v/>
      </c>
      <c r="NU9" s="19" t="str">
        <f>IF(SUM(MZ9:NA9,NC9:NE9,NG9)-NB9-NF9&gt;0,SUM(MZ9:NA9,NC9:NE9,NG9)-NB9-NF9,"")</f>
        <v/>
      </c>
      <c r="NV9" s="19" t="str">
        <f>IF(SUM(NH9:NI9,NK9)-NJ9&gt;0,SUM(NH9:NI9,NK9)-NJ9,"")</f>
        <v/>
      </c>
      <c r="NW9" s="19" t="str">
        <f>IF(SUM(NA9,NE9,NI9)&gt;0,SUM(NA9,NE9,NI9),"")</f>
        <v/>
      </c>
      <c r="NX9" s="19" t="str">
        <f>IF(SUM(NU9,NV9)&gt;0,SUM(NU9,NV9),"")</f>
        <v/>
      </c>
      <c r="NY9" s="19" t="str">
        <f>IF(SUM(NM9,NQ9)&gt;0,SUM(NM9,NQ9),"")</f>
        <v/>
      </c>
      <c r="NZ9" s="19" t="str">
        <f>IF(SUM(NL9:NM9,NO9:NQ9,NS9)-SUM(NN9,NR9)&gt;0,SUM(NL9:NM9,NO9:NQ9,NS9)-SUM(NN9,NR9),"")</f>
        <v/>
      </c>
      <c r="OA9" s="19" t="str">
        <f>IF(SUM(NU9,NZ9)&gt;0,SUM(NU9,NZ9),"")</f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>IF(SUM(OC9,OG9)&gt;0,SUM(OC9,OG9),"")</f>
        <v/>
      </c>
      <c r="OW9" s="78" t="str">
        <f>IF(SUM(OB9:OC9,OE9:OG9,OI9)-OD9-OH9&gt;0,SUM(OB9:OC9,OE9:OG9,OI9)-OD9-OH9,"")</f>
        <v/>
      </c>
      <c r="OX9" s="78" t="str">
        <f>IF(SUM(OJ9:OK9,OM9)-OL9&gt;0,SUM(OJ9:OK9,OM9)-OL9,"")</f>
        <v/>
      </c>
      <c r="OY9" s="78" t="str">
        <f>IF(SUM(OC9,OG9,OK9)&gt;0,SUM(OC9,OG9,OK9),"")</f>
        <v/>
      </c>
      <c r="OZ9" s="78" t="str">
        <f>IF(SUM(OW9,OX9)&gt;0,SUM(OW9,OX9),"")</f>
        <v/>
      </c>
      <c r="PA9" s="78" t="str">
        <f>IF(SUM(OO9,OS9)&gt;0,SUM(OO9,OS9),"")</f>
        <v/>
      </c>
      <c r="PB9" s="78" t="str">
        <f>IF(SUM(ON9:OO9,OQ9:OS9,OU9)-SUM(OP9,OT9)&gt;0,SUM(ON9:OO9,OQ9:OS9,OU9)-SUM(OP9,OT9),"")</f>
        <v/>
      </c>
      <c r="PC9" s="78" t="str">
        <f>IF(SUM(OW9,PB9)&gt;0,SUM(OW9,PB9),"")</f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>IF(SUM(PE9,PI9)&gt;0,SUM(PE9,PI9),"")</f>
        <v/>
      </c>
      <c r="PY9" s="19" t="str">
        <f>IF(SUM(PD9:PE9,PG9:PI9,PK9)-PF9-PJ9&gt;0,SUM(PD9:PE9,PG9:PI9,PK9)-PF9-PJ9,"")</f>
        <v/>
      </c>
      <c r="PZ9" s="19" t="str">
        <f>IF(SUM(PL9:PM9,PO9)-PN9&gt;0,SUM(PL9:PM9,PO9)-PN9,"")</f>
        <v/>
      </c>
      <c r="QA9" s="19" t="str">
        <f>IF(SUM(PE9,PI9,PM9)&gt;0,SUM(PE9,PI9,PM9),"")</f>
        <v/>
      </c>
      <c r="QB9" s="19" t="str">
        <f>IF(SUM(PY9,PZ9)&gt;0,SUM(PY9,PZ9),"")</f>
        <v/>
      </c>
      <c r="QC9" s="19" t="str">
        <f>IF(SUM(PQ9,PU9)&gt;0,SUM(PQ9,PU9),"")</f>
        <v/>
      </c>
      <c r="QD9" s="19" t="str">
        <f>IF(SUM(PP9:PQ9,PS9:PU9,PW9)-SUM(PR9,PV9)&gt;0,SUM(PP9:PQ9,PS9:PU9,PW9)-SUM(PR9,PV9),"")</f>
        <v/>
      </c>
      <c r="QE9" s="19" t="str">
        <f>IF(SUM(PY9,QD9)&gt;0,SUM(PY9,QD9),"")</f>
        <v/>
      </c>
      <c r="QF9" s="37">
        <f>IF($CV9="P",CB9,(CB9+AY9)/2)</f>
        <v>18.350000000000001</v>
      </c>
      <c r="QG9" s="37">
        <f>IF($CV9="P",CC9,(CC9+AZ9)/2)</f>
        <v>5.1999999999999993</v>
      </c>
      <c r="QH9" s="37">
        <f>IF($CV9="P",CD9,(CD9+BA9)/2)</f>
        <v>0.7</v>
      </c>
      <c r="QI9" s="37">
        <f>IF($CV9="P",CE9,(CE9+BB9)/2)</f>
        <v>0</v>
      </c>
      <c r="QJ9" s="37">
        <f>IF($CV9="P",CF9,(CF9+BC9)/2)</f>
        <v>18.7</v>
      </c>
      <c r="QK9" s="37">
        <f>IF($CV9="P",CG9,(CG9+BD9)/2)</f>
        <v>5.15</v>
      </c>
      <c r="QL9" s="37">
        <f>IF($CV9="P",CH9,(CH9+BE9)/2)</f>
        <v>0.15000000000000002</v>
      </c>
      <c r="QM9" s="37">
        <f>IF($CV9="P",CI9,(CI9+BF9)/2)</f>
        <v>0</v>
      </c>
      <c r="QN9" s="37">
        <f>IF($CV9="P",CJ9,(CJ9+BG9)/2)</f>
        <v>18.049999999999997</v>
      </c>
      <c r="QO9" s="37">
        <f>IF($CV9="P",CK9,(CK9+BH9)/2)</f>
        <v>5</v>
      </c>
      <c r="QP9" s="37">
        <f>IF($CV9="P",CL9,(CL9+BI9)/2)</f>
        <v>0.6</v>
      </c>
      <c r="QQ9" s="37">
        <f>IF($CV9="P",CM9,(CM9+BJ9)/2)</f>
        <v>0</v>
      </c>
      <c r="QR9" s="37">
        <f>IF($CV9="P",CN9,(CN9+BK9)/2)</f>
        <v>18.45</v>
      </c>
      <c r="QS9" s="37">
        <f>IF($CV9="P",CO9,(CO9+BL9)/2)</f>
        <v>5.1999999999999993</v>
      </c>
      <c r="QT9" s="37">
        <f>IF($CV9="P",CP9,(CP9+BM9)/2)</f>
        <v>0</v>
      </c>
      <c r="QU9" s="37">
        <f>IF($CV9="P",CQ9,(CQ9+BN9)/2)</f>
        <v>0</v>
      </c>
      <c r="QV9" s="37">
        <f>IF($CV9="P",CR9,(CR9+BO9)/2)</f>
        <v>18.149999999999999</v>
      </c>
      <c r="QW9" s="37">
        <f>IF($CV9="P",CS9,(CS9+BP9)/2)</f>
        <v>5.4</v>
      </c>
      <c r="QX9" s="37">
        <f>IF($CV9="P",CT9,(CT9+BQ9)/2)</f>
        <v>0.4</v>
      </c>
      <c r="QY9" s="37">
        <f>IF($CV9="P",CU9,(CU9+BR9)/2)</f>
        <v>0</v>
      </c>
      <c r="QZ9" s="44" t="s">
        <v>46</v>
      </c>
      <c r="RA9" s="78">
        <f>IF(SUM(QG9,QK9)&gt;0,SUM(QG9,QK9),"")</f>
        <v>10.35</v>
      </c>
      <c r="RB9" s="78">
        <f>IF(SUM(QF9:QG9,QI9:QK9,QM9)-QH9-QL9&gt;0,SUM(QF9:QG9,QI9:QK9,QM9)-QH9-QL9,"")</f>
        <v>46.55</v>
      </c>
      <c r="RC9" s="78">
        <f>IF(SUM(QN9:QO9,QQ9)-QP9&gt;0,SUM(QN9:QO9,QQ9)-QP9,"")</f>
        <v>22.449999999999996</v>
      </c>
      <c r="RD9" s="78">
        <f>IF(SUM(QG9,QK9,QO9)&gt;0,SUM(QG9,QK9,QO9),"")</f>
        <v>15.35</v>
      </c>
      <c r="RE9" s="78">
        <f>IF(SUM(RB9,RC9)&gt;0,SUM(RB9,RC9),"")</f>
        <v>69</v>
      </c>
      <c r="RF9" s="78">
        <f>IF(SUM(QS9,QW9)&gt;0,SUM(QS9,QW9),"")</f>
        <v>10.6</v>
      </c>
      <c r="RG9" s="78">
        <f>IF(SUM(QR9:QS9,QU9:QW9,QY9)-SUM(QT9,QX9)&gt;0,SUM(QR9:QS9,QU9:QW9,QY9)-SUM(QT9,QX9),"")</f>
        <v>46.8</v>
      </c>
      <c r="RH9" s="78">
        <f>IF(SUM(RB9,RG9)&gt;0,SUM(RB9,RG9),"")</f>
        <v>93.35</v>
      </c>
    </row>
    <row r="10" spans="1:476" x14ac:dyDescent="0.2">
      <c r="A10" s="5">
        <f>IF(AND(F10="P",G10="P"),SUMPRODUCT((F$4:F$29="P")*(G$4:G$29="P")*(E$4:E$29&gt;E10))+1,IF(G10="P",SUMPRODUCT((F$4:F$29="")*(G$4:G$29="P")*(E$4:E$29&gt;E10))+1+SUMPRODUCT((F$4:F$29="P")*(G$4:G$29="P")),""))</f>
        <v>7</v>
      </c>
      <c r="B10" s="77" t="s">
        <v>98</v>
      </c>
      <c r="C10" s="5" t="s">
        <v>5</v>
      </c>
      <c r="D10" s="5">
        <v>2003</v>
      </c>
      <c r="E10" s="15">
        <f>SUM(I10:S10)+SUM(I10:O10)*0.0000001+SUM(I10)*0.0000000000001</f>
        <v>187.84001388400486</v>
      </c>
      <c r="F10" s="3" t="str">
        <f>IF(OR(AND(AQ10&gt;=AX$31,AR10&gt;=AX$35,AQ10&lt;&gt;"",AP10=""),AND(AV10&gt;=AX$31,AW10&gt;=AX$35,AV10&lt;&gt;"",AP10=""),AND(BT10&gt;=CA$31,BU10&gt;=CA$35,BT10&lt;&gt;"",BS10=""),AND(BY10&gt;=CA$31,BZ10&gt;=CA$35,BY10&lt;&gt;"",BS10=""),AND(CW10&gt;=DD$31,CX10&gt;=DD$35,CW10&lt;&gt;"",CV10=""),AND(DB10&gt;=DD$31,DC10&gt;=DD$35,DB10&lt;&gt;""),AND(EB10&gt;=EI$31,EC10&gt;=EI$35,EB10&lt;&gt;""),AND(EG10&gt;=EI$31,EH10&gt;=EI$35,EG10&lt;&gt;""),AND(FD10&gt;=FK$31,FE10&gt;=FK$35,FD10&lt;&gt;""),AND(FI10&gt;=FK$31,FJ10&gt;=FK$35,FI10&lt;&gt;""),AND(GF10&gt;=GM$31,GG10&gt;=GM$35,GF10&lt;&gt;""),AND(GK10&gt;=GM$31,GL10&gt;=GM$35,GK10&lt;&gt;""),AND(HH10&gt;=HO$31,HI10&gt;=HO$35,HH10&lt;&gt;""),AND(HM10&gt;=HO$31,HN10&gt;=HO$35,HM10&lt;&gt;""),AND(IJ10&gt;=IQ$31,IK10&gt;=IQ$35,IJ10&lt;&gt;""),AND(IO10&gt;=IQ$31,IP10&gt;=IQ$35,IO10&lt;&gt;""),AND(JL10&gt;=JS$31,JM10&gt;=JS$35,JL10&lt;&gt;""),AND(JQ10&gt;=JS$31,JR10&gt;=JS$35,JQ10&lt;&gt;""),AND(KN10&gt;=KU$31,KO10&gt;=KU$35,KN10&lt;&gt;""),AND(KS10&gt;=KU$31,KT10&gt;=KU$35,KS10&lt;&gt;""),AND(LP10&gt;=LW$31,LQ10&gt;=LW$35,LP10&lt;&gt;""),AND(LU10&gt;=LW$31,LV10&gt;=LW$35,LU10&lt;&gt;""),AND(MR10&gt;=MY$31,MS10&gt;=MY$35,MR10&lt;&gt;""),AND(MW10&gt;=MY$31,MX10&gt;=MY$35,MW10&lt;&gt;""),AND(NT10&gt;=OA$31,NU10&gt;=OA$35,NT10&lt;&gt;""),AND(NY10&gt;=OA$31,NZ10&gt;=OA$35,NY10&lt;&gt;""),AND(OV10&gt;=PC$31,OW10&gt;=PC$35,OV10&lt;&gt;""),AND(PA10&gt;=PC$31,PB10&gt;=PC$35,PA10&lt;&gt;""),AND(PX10&gt;=QE$31,PY10&gt;=QE$35,PX10&lt;&gt;""),AND(QC10&gt;=QE$31,QD10&gt;=QE$35,QC10&lt;&gt;"")),"P","")</f>
        <v>P</v>
      </c>
      <c r="G10" s="3" t="str">
        <f>IF(OR(AND(AR10&gt;=AX$35,AR10&lt;&gt;"",AP10=""),AND(AW10&gt;=AX$35,AW10&lt;&gt;"",AP10=""),AND(BU10&gt;=CA$35,BU10&lt;&gt;"",BS10=""),AND(BZ10&gt;=CA$35,BZ10&lt;&gt;"",BS10=""),AND(CX10&gt;=DD$35,CX10&lt;&gt;"",CV10=""),AND(DC10&gt;=DD$35,DC10&lt;&gt;"",CV10=""),AND(EC10&gt;=EI$35,EC10&lt;&gt;""),AND(EH10&gt;=EI$35,EH10&lt;&gt;""),AND(FE10&gt;=FK$35,FE10&lt;&gt;""),AND(FJ10&gt;=FK$35,FJ10&lt;&gt;""),AND(GG10&gt;=GM$35,GG10&lt;&gt;""),AND(GL10&gt;=GM$35,GL10&lt;&gt;""),AND(HI10&gt;=HO$35,HI10&lt;&gt;""),AND(HN10&gt;=HO$35,HN10&lt;&gt;""),AND(IK10&gt;=IQ$35,IK10&lt;&gt;""),AND(IP10&gt;=IQ$35,IP10&lt;&gt;""),AND(JM10&gt;=JS$35,JM10&lt;&gt;""),AND(JR10&gt;=JS$35,JR10&lt;&gt;""),AND(KO10&gt;=KU$35,KO10&lt;&gt;""),AND(KT10&gt;=KU$35,KT10&lt;&gt;""),AND(LQ10&gt;=LW$35,LQ10&lt;&gt;""),AND(LV10&gt;=LW$35,LV10&lt;&gt;""),AND(MS10&gt;=MY$35,MS10&lt;&gt;""),AND(MX10&gt;=MY$35,MX10&lt;&gt;""),AND(NU10&gt;=OA$35,NU10&lt;&gt;""),AND(NZ10&gt;=OA$35,NZ10&lt;&gt;""),AND(OW10&gt;=PC$35,OW10&lt;&gt;""),AND(PB10&gt;=PC$35,PB10&lt;&gt;""),AND(PY10&gt;=QE$35,PY10&lt;&gt;""),AND(QD10&gt;=QE$35,QD10&lt;&gt;"")),"P","")</f>
        <v>P</v>
      </c>
      <c r="H10" s="66" t="str">
        <f>IF(AND(G10="P",F10=""),"No DD",IF(OR(AND(AT10&gt;=AX$34,AU10&gt;=AX$38,AT10&lt;&gt;"",AP10=""),AND(BW10&gt;=CA$34,BX10&gt;=CA$38,BW10&lt;&gt;"",BS10=""),AND(CZ10&gt;=DD$34,DA10&gt;=DD$38,CZ10&lt;&gt;"",CV10=""),AND(EE10&gt;=EI$34,EF10&gt;=EI$38,EE10&lt;&gt;""),AND(FG10&gt;=FK$34,FH10&gt;=FK$38,FG10&lt;&gt;""),AND(GI10&gt;=GM$34,GJ10&gt;=GM$38,GI10&lt;&gt;""),AND(HK10&gt;=HO$34,HL10&gt;=HO$38,HK10&lt;&gt;""),AND(IM10&gt;=IQ$34,IN10&gt;=IQ$38,IM10&lt;&gt;""),AND(JO10&gt;=JS$34,JP10&gt;=JS$38,JO10&lt;&gt;""),AND(KQ10&gt;=KU$34,KR10&gt;=KU$38,KQ10&lt;&gt;""),AND(LS10&gt;=LW$34,LT10&gt;=LW$38,LS10&lt;&gt;""),AND(MU10&gt;=MY$34,MV10&gt;=MY$38,MU10&lt;&gt;""),AND(NW10&gt;=OA$34,NX10&gt;=OA$38,NW10&lt;&gt;""),AND(OY10&gt;=PC$34,OZ10&gt;=PC$38,OY10&lt;&gt;""),AND(QA10&gt;=QE$34,QB10&gt;=QE$38,QA10&lt;&gt;"")),"Merit",IF(OR(AND(AT10&gt;=AX$33,AU10&gt;=AX$37,AT10&lt;&gt;"",AP10=""),AND(BW10&gt;=CA$33,BX10&gt;=CA$37,BW10&lt;&gt;"",BS10=""),AND(CZ10&gt;=DD$33,DA10&gt;=DD$37,CZ10&lt;&gt;"",CV10=""),AND(EE10&gt;=EI$33,EF10&gt;=EI$37,EE10&lt;&gt;""),AND(FG10&gt;=FK$33,FH10&gt;=FK$37,FG10&lt;&gt;""),AND(GI10&gt;=GM$33,GJ10&gt;=GM$37,GI10&lt;&gt;""),AND(HK10&gt;=HO$33,HL10&gt;=HO$37,HK10&lt;&gt;""),AND(IM10&gt;=IQ$33,IN10&gt;=IQ$37,IM10&lt;&gt;""),AND(JO10&gt;=JS$33,JP10&gt;=JS$37,JO10&lt;&gt;""),AND(KQ10&gt;=KU$33,KR10&gt;=KU$37,KQ10&lt;&gt;""),AND(LS10&gt;=LW$33,LT10&gt;=LW$37,LS10&lt;&gt;""),AND(MU10&gt;=MY$33,MV10&gt;=MY$37,MU10&lt;&gt;""),AND(NW10&gt;=OA$33,NX10&gt;=OA$37,NW10&lt;&gt;""),AND(OY10&gt;=PC$33,OZ10&gt;=PC$37,OY10&lt;&gt;""),AND(QA10&gt;=QE$33,QB10&gt;=QE$37,QA10&lt;&gt;"")),"Excellence",IF(F10="P","National Team",""))))</f>
        <v>National Team</v>
      </c>
      <c r="I10" s="14">
        <f>IF(COUNT(AR10,BU10,CX10)&gt;0,LARGE((AR10,BU10,CX10),1),0)</f>
        <v>48.64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47.8</v>
      </c>
      <c r="L10" s="14" t="str">
        <f>IF(K10=0,"",IF(K10=CX10,$CB$1,IF(K10=BU10,$AY$1,IF(K10=AR10,$V$1,""))))</f>
        <v>2022 Nationals</v>
      </c>
      <c r="M10" s="14">
        <f>IF(COUNT(AS10,BV10,CY10)&gt;0,LARGE((AS10,BV10,CY10),1),0)</f>
        <v>22.2</v>
      </c>
      <c r="N10" s="14" t="str">
        <f>IF(M10=0,"",IF(M10=CY10,$CB$1,IF(M10=BV10,$AY$1,IF(M10=AS10,$V$1,""))))</f>
        <v>2022 Nationals</v>
      </c>
      <c r="O10" s="14">
        <f>IF(COUNT(AS10,BV10,CY10)&gt;1,LARGE((AS10,BV10,CY10),2),0)</f>
        <v>20.2</v>
      </c>
      <c r="P10" s="14" t="str">
        <f>IF(O10=0,"",IF(O10=CY10,$CB$1,IF(O10=BV10,$AY$1,IF(O10=AS10,$V$1,""))))</f>
        <v>2022 Elite Canada</v>
      </c>
      <c r="Q10" s="14">
        <f>IF(MAX(AW10,BZ10,DC10)&gt;0,MAX(AW10,BZ10,DC10),0)</f>
        <v>48.199999999999996</v>
      </c>
      <c r="R10" s="14" t="str">
        <f>IF(Q10=0,"",IF(Q10=DC10,$CB$1,IF(Q10=BZ10,$AY$1,IF(Q10=AW10,$V$1,""))))</f>
        <v>2022 Nationals</v>
      </c>
      <c r="S10" s="14">
        <f>IF(MAX(DE10:DG10)&gt;0,MAX(DE10:DG10),"")</f>
        <v>0.80000000000000426</v>
      </c>
      <c r="T10" s="19" t="str">
        <f>IF(S10="","",IF(S10=DE10,"("&amp;DE$2&amp;")",IF(S10=DG10,"("&amp;DG$2&amp;")")))</f>
        <v>(Q1)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6">
        <v>18.64</v>
      </c>
      <c r="W10" s="26">
        <v>6</v>
      </c>
      <c r="X10" s="26">
        <v>0</v>
      </c>
      <c r="Y10" s="26">
        <v>0</v>
      </c>
      <c r="Z10" s="26">
        <v>19</v>
      </c>
      <c r="AA10" s="26">
        <v>5.6</v>
      </c>
      <c r="AB10" s="26">
        <v>0.6</v>
      </c>
      <c r="AC10" s="26">
        <v>0</v>
      </c>
      <c r="AD10" s="26">
        <v>17.399999999999999</v>
      </c>
      <c r="AE10" s="26">
        <v>2.8</v>
      </c>
      <c r="AF10" s="26">
        <v>0</v>
      </c>
      <c r="AG10" s="26">
        <v>0</v>
      </c>
      <c r="AH10" s="26">
        <v>17.399999999999999</v>
      </c>
      <c r="AI10" s="26">
        <v>2.4</v>
      </c>
      <c r="AJ10" s="26">
        <v>0</v>
      </c>
      <c r="AK10" s="26">
        <v>0</v>
      </c>
      <c r="AL10" s="26">
        <v>16.899999999999999</v>
      </c>
      <c r="AM10" s="26">
        <v>6.4</v>
      </c>
      <c r="AN10" s="26">
        <v>0.6</v>
      </c>
      <c r="AO10" s="26">
        <v>0</v>
      </c>
      <c r="AP10" s="44"/>
      <c r="AQ10" s="78">
        <f>IF(SUM(W10,AA10)&gt;0,SUM(W10,AA10),"")</f>
        <v>11.6</v>
      </c>
      <c r="AR10" s="78">
        <f>IF(SUM(V10:W10,Y10:AA10,AC10)-X10-AB10&gt;0,SUM(V10:W10,Y10:AA10,AC10)-X10-AB10,"")</f>
        <v>48.64</v>
      </c>
      <c r="AS10" s="78">
        <f>IF(SUM(AD10:AE10,AG10)-AF10&gt;0,SUM(AD10:AE10,AG10)-AF10,"")</f>
        <v>20.2</v>
      </c>
      <c r="AT10" s="78">
        <f>IF(SUM(W10,AA10,AE10)&gt;0,SUM(W10,AA10,AE10),"")</f>
        <v>14.399999999999999</v>
      </c>
      <c r="AU10" s="78">
        <f>IF(SUM(AR10,AS10)&gt;0,SUM(AR10,AS10),"")</f>
        <v>68.84</v>
      </c>
      <c r="AV10" s="78">
        <f>IF(SUM(AI10,AM10)&gt;0,SUM(AI10,AM10),"")</f>
        <v>8.8000000000000007</v>
      </c>
      <c r="AW10" s="78">
        <f>IF(SUM(AH10:AI10,AK10:AM10,AO10)-SUM(AJ10,AN10)&gt;0,SUM(AH10:AI10,AK10:AM10,AO10)-SUM(AJ10,AN10),"")</f>
        <v>42.499999999999993</v>
      </c>
      <c r="AX10" s="78">
        <f>IF(SUM(AR10,AW10)&gt;0,SUM(AR10,AW10),"")</f>
        <v>91.139999999999986</v>
      </c>
      <c r="AY10" s="25">
        <v>18.399999999999999</v>
      </c>
      <c r="AZ10" s="25">
        <v>6</v>
      </c>
      <c r="BA10" s="25">
        <v>0</v>
      </c>
      <c r="BB10" s="25">
        <v>0</v>
      </c>
      <c r="BC10" s="25">
        <v>18.399999999999999</v>
      </c>
      <c r="BD10" s="25">
        <v>5.6</v>
      </c>
      <c r="BE10" s="25">
        <v>0.6</v>
      </c>
      <c r="BF10" s="25">
        <v>0</v>
      </c>
      <c r="BG10" s="25">
        <v>18</v>
      </c>
      <c r="BH10" s="25">
        <v>4.8</v>
      </c>
      <c r="BI10" s="25">
        <v>0.6</v>
      </c>
      <c r="BJ10" s="25">
        <v>0</v>
      </c>
      <c r="BK10" s="25">
        <v>18.2</v>
      </c>
      <c r="BL10" s="25">
        <v>6</v>
      </c>
      <c r="BM10" s="25">
        <v>0</v>
      </c>
      <c r="BN10" s="25">
        <v>0</v>
      </c>
      <c r="BO10" s="25">
        <v>18.399999999999999</v>
      </c>
      <c r="BP10" s="25">
        <v>5.6</v>
      </c>
      <c r="BQ10" s="25">
        <v>0</v>
      </c>
      <c r="BR10" s="25">
        <v>0</v>
      </c>
      <c r="BS10" s="45"/>
      <c r="BT10" s="19">
        <f>IF(SUM(AZ10,BD10)&gt;0,SUM(AZ10,BD10),"")</f>
        <v>11.6</v>
      </c>
      <c r="BU10" s="19">
        <f>IF(SUM(AY10:AZ10,BB10:BD10,BF10)-BA10-BE10&gt;0,SUM(AY10:AZ10,BB10:BD10,BF10)-BA10-BE10,"")</f>
        <v>47.8</v>
      </c>
      <c r="BV10" s="19">
        <f>IF(SUM(BG10:BH10,BJ10)-BI10&gt;0,SUM(BG10:BH10,BJ10)-BI10,"")</f>
        <v>22.2</v>
      </c>
      <c r="BW10" s="19">
        <f>IF(SUM(AZ10,BD10,BH10)&gt;0,SUM(AZ10,BD10,BH10),"")</f>
        <v>16.399999999999999</v>
      </c>
      <c r="BX10" s="19">
        <f>IF(SUM(BU10,BV10)&gt;0,SUM(BU10,BV10),"")</f>
        <v>70</v>
      </c>
      <c r="BY10" s="19">
        <f>IF(SUM(BL10,BP10)&gt;0,SUM(BL10,BP10),"")</f>
        <v>11.6</v>
      </c>
      <c r="BZ10" s="19">
        <f>IF(SUM(BK10:BL10,BN10:BP10,BR10)-SUM(BM10,BQ10)&gt;0,SUM(BK10:BL10,BN10:BP10,BR10)-SUM(BM10,BQ10),"")</f>
        <v>48.199999999999996</v>
      </c>
      <c r="CA10" s="19">
        <f>IF(SUM(BU10,BZ10)&gt;0,SUM(BU10,BZ10),"")</f>
        <v>96</v>
      </c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44"/>
      <c r="CW10" s="78" t="str">
        <f>IF(SUM(CC10,CG10)&gt;0,SUM(CC10,CG10),"")</f>
        <v/>
      </c>
      <c r="CX10" s="78" t="str">
        <f>IF(SUM(CB10:CC10,CE10:CG10,CI10)-CD10-CH10&gt;0,SUM(CB10:CC10,CE10:CG10,CI10)-CD10-CH10,"")</f>
        <v/>
      </c>
      <c r="CY10" s="78" t="str">
        <f>IF(SUM(CJ10:CK10,CM10)-CL10&gt;0,SUM(CJ10:CK10,CM10)-CL10,"")</f>
        <v/>
      </c>
      <c r="CZ10" s="78" t="str">
        <f>IF(SUM(CC10,CG10,CK10)&gt;0,SUM(CC10,CG10,CK10),"")</f>
        <v/>
      </c>
      <c r="DA10" s="78" t="str">
        <f>IF(SUM(CX10,CY10)&gt;0,SUM(CX10,CY10),"")</f>
        <v/>
      </c>
      <c r="DB10" s="78" t="str">
        <f>IF(SUM(CO10,CS10)&gt;0,SUM(CO10,CS10),"")</f>
        <v/>
      </c>
      <c r="DC10" s="78" t="str">
        <f>IF(SUM(CN10:CO10,CQ10:CS10,CU10)-SUM(CP10,CT10)&gt;0,SUM(CN10:CO10,CQ10:CS10,CU10)-SUM(CP10,CT10),"")</f>
        <v/>
      </c>
      <c r="DD10" s="78" t="str">
        <f>IF(SUM(CX10,DC10)&gt;0,SUM(CX10,DC10),"")</f>
        <v/>
      </c>
      <c r="DE10" s="79">
        <f>IF(K10&gt;=0.001,IF(MAX(EC10,FE10,GG10,HI10,IK10,JM10,KO10,LQ10,MS10,NU10,OW10,PY10)-IF(K10="",0,K10)&gt;0.001,MAX(EC10,FE10,GG10,HI10,IK10,JM10,KO10,LQ10,MS10,NU10,OW10,PY10)-IF(K10="",0,K10),""),"")</f>
        <v>0.80000000000000426</v>
      </c>
      <c r="DF10" s="79" t="str">
        <f>IF(O10&gt;=0.001,IF(MAX(ED10,FF10,GH10,HJ10,IL10,JN10,KP10,LR10,MT10,NV10,OX10,PZ10)-IF(O10="",0,O10)&gt;0.001,MAX(ED10,FF10,GH10,HJ10,IL10,JN10,KP10,LR10,MT10,NV10,OX10,PZ10)-IF(O10="",0,O10),""),"")</f>
        <v/>
      </c>
      <c r="DG10" s="79">
        <f>IF(Q10&gt;=0.001,IF(MAX(EH10,FJ10,GL10,HN10,IP10,JR10,KT10,LV10,MX10,NZ10,PB10,QD10)-IF(Q10="",0,Q10)&gt;0.001,MAX(EH10,FJ10,GL10,HN10,IP10,JR10,KT10,LV10,MX10,NZ10,PB10,QD10)-IF(Q10="",0,Q10),""),"")</f>
        <v>0.5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>IF(SUM(DI10,DM10)&gt;0,SUM(DI10,DM10),"")</f>
        <v/>
      </c>
      <c r="EC10" s="78" t="str">
        <f>IF(SUM(DH10:DI10,DK10:DM10,DO10)-DJ10-DN10&gt;0,SUM(DH10:DI10,DK10:DM10,DO10)-DJ10-DN10,"")</f>
        <v/>
      </c>
      <c r="ED10" s="78" t="str">
        <f>IF(SUM(DP10:DQ10,DS10)-DR10&gt;0,SUM(DP10:DQ10,DS10)-DR10,"")</f>
        <v/>
      </c>
      <c r="EE10" s="78" t="str">
        <f>IF(SUM(DI10,DM10,DQ10)&gt;0,SUM(DI10,DM10,DQ10),"")</f>
        <v/>
      </c>
      <c r="EF10" s="78" t="str">
        <f>IF(SUM(EC10,ED10)&gt;0,SUM(EC10,ED10),"")</f>
        <v/>
      </c>
      <c r="EG10" s="78" t="str">
        <f>IF(SUM(DU10,DY10)&gt;0,SUM(DU10,DY10),"")</f>
        <v/>
      </c>
      <c r="EH10" s="78" t="str">
        <f>IF(SUM(DT10:DU10,DW10:DY10,EA10)-SUM(DV10,DZ10)&gt;0,SUM(DT10:DU10,DW10:DY10,EA10)-SUM(DV10,DZ10),"")</f>
        <v/>
      </c>
      <c r="EI10" s="78" t="str">
        <f>IF(SUM(EC10,EH10)&gt;0,SUM(EC10,EH10),"")</f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>IF(SUM(EK10,EO10)&gt;0,SUM(EK10,EO10),"")</f>
        <v/>
      </c>
      <c r="FE10" s="19" t="str">
        <f>IF(SUM(EJ10:EK10,EM10:EO10,EQ10)-EL10-EP10&gt;0,SUM(EJ10:EK10,EM10:EO10,EQ10)-EL10-EP10,"")</f>
        <v/>
      </c>
      <c r="FF10" s="19" t="str">
        <f>IF(SUM(ER10:ES10,EU10)-ET10&gt;0,SUM(ER10:ES10,EU10)-ET10,"")</f>
        <v/>
      </c>
      <c r="FG10" s="19" t="str">
        <f>IF(SUM(EK10,EO10,ES10)&gt;0,SUM(EK10,EO10,ES10),"")</f>
        <v/>
      </c>
      <c r="FH10" s="19" t="str">
        <f>IF(SUM(FE10,FF10)&gt;0,SUM(FE10,FF10),"")</f>
        <v/>
      </c>
      <c r="FI10" s="19" t="str">
        <f>IF(SUM(EW10,FA10)&gt;0,SUM(EW10,FA10),"")</f>
        <v/>
      </c>
      <c r="FJ10" s="19" t="str">
        <f>IF(SUM(EV10:EW10,EY10:FA10,FC10)-SUM(EX10,FB10)&gt;0,SUM(EV10:EW10,EY10:FA10,FC10)-SUM(EX10,FB10),"")</f>
        <v/>
      </c>
      <c r="FK10" s="19" t="str">
        <f>IF(SUM(FE10,FJ10)&gt;0,SUM(FE10,FJ10),"")</f>
        <v/>
      </c>
      <c r="FL10" s="24">
        <v>18.600000000000001</v>
      </c>
      <c r="FM10" s="24">
        <v>6</v>
      </c>
      <c r="FN10" s="24">
        <v>0.2</v>
      </c>
      <c r="FO10" s="24">
        <v>0</v>
      </c>
      <c r="FP10" s="24">
        <v>18.600000000000001</v>
      </c>
      <c r="FQ10" s="24">
        <v>5.6</v>
      </c>
      <c r="FR10" s="24">
        <v>0.2</v>
      </c>
      <c r="FS10" s="24">
        <v>0</v>
      </c>
      <c r="FT10" s="24"/>
      <c r="FU10" s="24"/>
      <c r="FV10" s="24"/>
      <c r="FW10" s="24"/>
      <c r="FX10" s="24">
        <v>18.600000000000001</v>
      </c>
      <c r="FY10" s="24">
        <v>6</v>
      </c>
      <c r="FZ10" s="24">
        <v>0.2</v>
      </c>
      <c r="GA10" s="24">
        <v>0</v>
      </c>
      <c r="GB10" s="24">
        <v>18.7</v>
      </c>
      <c r="GC10" s="24">
        <v>5.6</v>
      </c>
      <c r="GD10" s="24">
        <v>0</v>
      </c>
      <c r="GE10" s="24">
        <v>0</v>
      </c>
      <c r="GF10" s="78">
        <f>IF(SUM(FM10,FQ10)&gt;0,SUM(FM10,FQ10),"")</f>
        <v>11.6</v>
      </c>
      <c r="GG10" s="78">
        <f>IF(SUM(FL10:FM10,FO10:FQ10,FS10)-FN10-FR10&gt;0,SUM(FL10:FM10,FO10:FQ10,FS10)-FN10-FR10,"")</f>
        <v>48.4</v>
      </c>
      <c r="GH10" s="78" t="str">
        <f>IF(SUM(FT10:FU10,FW10)-FV10&gt;0,SUM(FT10:FU10,FW10)-FV10,"")</f>
        <v/>
      </c>
      <c r="GI10" s="78">
        <f>IF(SUM(FM10,FQ10,FU10)&gt;0,SUM(FM10,FQ10,FU10),"")</f>
        <v>11.6</v>
      </c>
      <c r="GJ10" s="78">
        <f>IF(SUM(GG10,GH10)&gt;0,SUM(GG10,GH10),"")</f>
        <v>48.4</v>
      </c>
      <c r="GK10" s="78">
        <f>IF(SUM(FY10,GC10)&gt;0,SUM(FY10,GC10),"")</f>
        <v>11.6</v>
      </c>
      <c r="GL10" s="78">
        <f>IF(SUM(FX10:FY10,GA10:GC10,GE10)-SUM(FZ10,GD10)&gt;0,SUM(FX10:FY10,GA10:GC10,GE10)-SUM(FZ10,GD10),"")</f>
        <v>48.699999999999996</v>
      </c>
      <c r="GM10" s="78">
        <f>IF(SUM(GG10,GL10)&gt;0,SUM(GG10,GL10),"")</f>
        <v>97.1</v>
      </c>
      <c r="GN10" s="25">
        <v>18.600000000000001</v>
      </c>
      <c r="GO10" s="25">
        <v>6</v>
      </c>
      <c r="GP10" s="25">
        <v>0.2</v>
      </c>
      <c r="GQ10" s="25">
        <v>0</v>
      </c>
      <c r="GR10" s="25">
        <v>18.8</v>
      </c>
      <c r="GS10" s="25">
        <v>5.6</v>
      </c>
      <c r="GT10" s="25">
        <v>0.2</v>
      </c>
      <c r="GU10" s="25">
        <v>0</v>
      </c>
      <c r="GV10" s="25"/>
      <c r="GW10" s="25"/>
      <c r="GX10" s="25"/>
      <c r="GY10" s="25"/>
      <c r="GZ10" s="25">
        <v>18.2</v>
      </c>
      <c r="HA10" s="25">
        <v>4.4000000000000004</v>
      </c>
      <c r="HB10" s="25">
        <v>0.2</v>
      </c>
      <c r="HC10" s="25">
        <v>0</v>
      </c>
      <c r="HD10" s="25">
        <v>18.5</v>
      </c>
      <c r="HE10" s="25">
        <v>6.4</v>
      </c>
      <c r="HF10" s="25">
        <v>0</v>
      </c>
      <c r="HG10" s="25">
        <v>0</v>
      </c>
      <c r="HH10" s="19">
        <f>IF(SUM(GO10,GS10)&gt;0,SUM(GO10,GS10),"")</f>
        <v>11.6</v>
      </c>
      <c r="HI10" s="19">
        <f>IF(SUM(GN10:GO10,GQ10:GS10,GU10)-GP10-GT10&gt;0,SUM(GN10:GO10,GQ10:GS10,GU10)-GP10-GT10,"")</f>
        <v>48.6</v>
      </c>
      <c r="HJ10" s="19" t="str">
        <f>IF(SUM(GV10:GW10,GY10)-GX10&gt;0,SUM(GV10:GW10,GY10)-GX10,"")</f>
        <v/>
      </c>
      <c r="HK10" s="19">
        <f>IF(SUM(GO10,GS10,GW10)&gt;0,SUM(GO10,GS10,GW10),"")</f>
        <v>11.6</v>
      </c>
      <c r="HL10" s="19">
        <f>IF(SUM(HI10,HJ10)&gt;0,SUM(HI10,HJ10),"")</f>
        <v>48.6</v>
      </c>
      <c r="HM10" s="19">
        <f>IF(SUM(HA10,HE10)&gt;0,SUM(HA10,HE10),"")</f>
        <v>10.8</v>
      </c>
      <c r="HN10" s="19">
        <f>IF(SUM(GZ10:HA10,HC10:HE10,HG10)-SUM(HB10,HF10)&gt;0,SUM(GZ10:HA10,HC10:HE10,HG10)-SUM(HB10,HF10),"")</f>
        <v>47.3</v>
      </c>
      <c r="HO10" s="19">
        <f>IF(SUM(HI10,HN10)&gt;0,SUM(HI10,HN10),"")</f>
        <v>95.9</v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>IF(SUM(HQ10,HU10)&gt;0,SUM(HQ10,HU10),"")</f>
        <v/>
      </c>
      <c r="IK10" s="78" t="str">
        <f>IF(SUM(HP10:HQ10,HS10:HU10,HW10)-HR10-HV10&gt;0,SUM(HP10:HQ10,HS10:HU10,HW10)-HR10-HV10,"")</f>
        <v/>
      </c>
      <c r="IL10" s="78" t="str">
        <f>IF(SUM(HX10:HY10,IA10)-HZ10&gt;0,SUM(HX10:HY10,IA10)-HZ10,"")</f>
        <v/>
      </c>
      <c r="IM10" s="78" t="str">
        <f>IF(SUM(HQ10,HU10,HY10)&gt;0,SUM(HQ10,HU10,HY10),"")</f>
        <v/>
      </c>
      <c r="IN10" s="78" t="str">
        <f>IF(SUM(IK10,IL10)&gt;0,SUM(IK10,IL10),"")</f>
        <v/>
      </c>
      <c r="IO10" s="78" t="str">
        <f>IF(SUM(IC10,IG10)&gt;0,SUM(IC10,IG10),"")</f>
        <v/>
      </c>
      <c r="IP10" s="78" t="str">
        <f>IF(SUM(IB10:IC10,IE10:IG10,II10)-SUM(ID10,IH10)&gt;0,SUM(IB10:IC10,IE10:IG10,II10)-SUM(ID10,IH10),"")</f>
        <v/>
      </c>
      <c r="IQ10" s="78" t="str">
        <f>IF(SUM(IK10,IP10)&gt;0,SUM(IK10,IP10),"")</f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>IF(SUM(IS10,IW10)&gt;0,SUM(IS10,IW10),"")</f>
        <v/>
      </c>
      <c r="JM10" s="19" t="str">
        <f>IF(SUM(IR10:IS10,IU10:IW10,IY10)-IT10-IX10&gt;0,SUM(IR10:IS10,IU10:IW10,IY10)-IT10-IX10,"")</f>
        <v/>
      </c>
      <c r="JN10" s="19" t="str">
        <f>IF(SUM(IZ10:JA10,JC10)-JB10&gt;0,SUM(IZ10:JA10,JC10)-JB10,"")</f>
        <v/>
      </c>
      <c r="JO10" s="19" t="str">
        <f>IF(SUM(IS10,IW10,JA10)&gt;0,SUM(IS10,IW10,JA10),"")</f>
        <v/>
      </c>
      <c r="JP10" s="19" t="str">
        <f>IF(SUM(JM10,JN10)&gt;0,SUM(JM10,JN10),"")</f>
        <v/>
      </c>
      <c r="JQ10" s="19" t="str">
        <f>IF(SUM(JE10,JI10)&gt;0,SUM(JE10,JI10),"")</f>
        <v/>
      </c>
      <c r="JR10" s="19" t="str">
        <f>IF(SUM(JD10:JE10,JG10:JI10,JK10)-SUM(JF10,JJ10)&gt;0,SUM(JD10:JE10,JG10:JI10,JK10)-SUM(JF10,JJ10),"")</f>
        <v/>
      </c>
      <c r="JS10" s="19" t="str">
        <f>IF(SUM(JM10,JR10)&gt;0,SUM(JM10,JR10),"")</f>
        <v/>
      </c>
      <c r="JT10" s="24">
        <v>18.100000000000001</v>
      </c>
      <c r="JU10" s="24">
        <v>6</v>
      </c>
      <c r="JV10" s="24">
        <v>0</v>
      </c>
      <c r="JW10" s="24">
        <v>0</v>
      </c>
      <c r="JX10" s="24">
        <v>18.2</v>
      </c>
      <c r="JY10" s="24">
        <v>5.6</v>
      </c>
      <c r="JZ10" s="24">
        <v>0</v>
      </c>
      <c r="KA10" s="24">
        <v>0</v>
      </c>
      <c r="KB10" s="24"/>
      <c r="KC10" s="24"/>
      <c r="KD10" s="24"/>
      <c r="KE10" s="24"/>
      <c r="KF10" s="24">
        <v>17.899999999999999</v>
      </c>
      <c r="KG10" s="24">
        <v>6.4</v>
      </c>
      <c r="KH10" s="24">
        <v>0.8</v>
      </c>
      <c r="KI10" s="24">
        <v>0</v>
      </c>
      <c r="KJ10" s="24"/>
      <c r="KK10" s="24"/>
      <c r="KL10" s="24"/>
      <c r="KM10" s="24"/>
      <c r="KN10" s="78">
        <f>IF(SUM(JU10,JY10)&gt;0,SUM(JU10,JY10),"")</f>
        <v>11.6</v>
      </c>
      <c r="KO10" s="78">
        <f>IF(SUM(JT10:JU10,JW10:JY10,KA10)-JV10-JZ10&gt;0,SUM(JT10:JU10,JW10:JY10,KA10)-JV10-JZ10,"")</f>
        <v>47.9</v>
      </c>
      <c r="KP10" s="78" t="str">
        <f>IF(SUM(KB10:KC10,KE10)-KD10&gt;0,SUM(KB10:KC10,KE10)-KD10,"")</f>
        <v/>
      </c>
      <c r="KQ10" s="78">
        <f>IF(SUM(JU10,JY10,KC10)&gt;0,SUM(JU10,JY10,KC10),"")</f>
        <v>11.6</v>
      </c>
      <c r="KR10" s="78">
        <f>IF(SUM(KO10,KP10)&gt;0,SUM(KO10,KP10),"")</f>
        <v>47.9</v>
      </c>
      <c r="KS10" s="78">
        <f>IF(SUM(KG10,KK10)&gt;0,SUM(KG10,KK10),"")</f>
        <v>6.4</v>
      </c>
      <c r="KT10" s="78">
        <f>IF(SUM(KF10:KG10,KI10:KK10,KM10)-SUM(KH10,KL10)&gt;0,SUM(KF10:KG10,KI10:KK10,KM10)-SUM(KH10,KL10),"")</f>
        <v>23.499999999999996</v>
      </c>
      <c r="KU10" s="78">
        <f>IF(SUM(KO10,KT10)&gt;0,SUM(KO10,KT10),"")</f>
        <v>71.399999999999991</v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>IF(SUM(KW10,LA10)&gt;0,SUM(KW10,LA10),"")</f>
        <v/>
      </c>
      <c r="LQ10" s="19" t="str">
        <f>IF(SUM(KV10:KW10,KY10:LA10,LC10)-KX10-LB10&gt;0,SUM(KV10:KW10,KY10:LA10,LC10)-KX10-LB10,"")</f>
        <v/>
      </c>
      <c r="LR10" s="19" t="str">
        <f>IF(SUM(LD10:LE10,LG10)-LF10&gt;0,SUM(LD10:LE10,LG10)-LF10,"")</f>
        <v/>
      </c>
      <c r="LS10" s="19" t="str">
        <f>IF(SUM(KW10,LA10,LE10)&gt;0,SUM(KW10,LA10,LE10),"")</f>
        <v/>
      </c>
      <c r="LT10" s="19" t="str">
        <f>IF(SUM(LQ10,LR10)&gt;0,SUM(LQ10,LR10),"")</f>
        <v/>
      </c>
      <c r="LU10" s="19" t="str">
        <f>IF(SUM(LI10,LM10)&gt;0,SUM(LI10,LM10),"")</f>
        <v/>
      </c>
      <c r="LV10" s="19" t="str">
        <f>IF(SUM(LH10:LI10,LK10:LM10,LO10)-SUM(LJ10,LN10)&gt;0,SUM(LH10:LI10,LK10:LM10,LO10)-SUM(LJ10,LN10),"")</f>
        <v/>
      </c>
      <c r="LW10" s="19" t="str">
        <f>IF(SUM(LQ10,LV10)&gt;0,SUM(LQ10,LV10),"")</f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>IF(SUM(LY10,MC10)&gt;0,SUM(LY10,MC10),"")</f>
        <v/>
      </c>
      <c r="MS10" s="78" t="str">
        <f>IF(SUM(LX10:LY10,MA10:MC10,ME10)-LZ10-MD10&gt;0,SUM(LX10:LY10,MA10:MC10,ME10)-LZ10-MD10,"")</f>
        <v/>
      </c>
      <c r="MT10" s="78" t="str">
        <f>IF(SUM(MF10:MG10,MI10)-MH10&gt;0,SUM(MF10:MG10,MI10)-MH10,"")</f>
        <v/>
      </c>
      <c r="MU10" s="78" t="str">
        <f>IF(SUM(LY10,MC10,MG10)&gt;0,SUM(LY10,MC10,MG10),"")</f>
        <v/>
      </c>
      <c r="MV10" s="78" t="str">
        <f>IF(SUM(MS10,MT10)&gt;0,SUM(MS10,MT10),"")</f>
        <v/>
      </c>
      <c r="MW10" s="78" t="str">
        <f>IF(SUM(MK10,MO10)&gt;0,SUM(MK10,MO10),"")</f>
        <v/>
      </c>
      <c r="MX10" s="78" t="str">
        <f>IF(SUM(MJ10:MK10,MM10:MO10,MQ10)-SUM(ML10,MP10)&gt;0,SUM(MJ10:MK10,MM10:MO10,MQ10)-SUM(ML10,MP10),"")</f>
        <v/>
      </c>
      <c r="MY10" s="78" t="str">
        <f>IF(SUM(MS10,MX10)&gt;0,SUM(MS10,MX10),"")</f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>IF(SUM(NA10,NE10)&gt;0,SUM(NA10,NE10),"")</f>
        <v/>
      </c>
      <c r="NU10" s="19" t="str">
        <f>IF(SUM(MZ10:NA10,NC10:NE10,NG10)-NB10-NF10&gt;0,SUM(MZ10:NA10,NC10:NE10,NG10)-NB10-NF10,"")</f>
        <v/>
      </c>
      <c r="NV10" s="19" t="str">
        <f>IF(SUM(NH10:NI10,NK10)-NJ10&gt;0,SUM(NH10:NI10,NK10)-NJ10,"")</f>
        <v/>
      </c>
      <c r="NW10" s="19" t="str">
        <f>IF(SUM(NA10,NE10,NI10)&gt;0,SUM(NA10,NE10,NI10),"")</f>
        <v/>
      </c>
      <c r="NX10" s="19" t="str">
        <f>IF(SUM(NU10,NV10)&gt;0,SUM(NU10,NV10),"")</f>
        <v/>
      </c>
      <c r="NY10" s="19" t="str">
        <f>IF(SUM(NM10,NQ10)&gt;0,SUM(NM10,NQ10),"")</f>
        <v/>
      </c>
      <c r="NZ10" s="19" t="str">
        <f>IF(SUM(NL10:NM10,NO10:NQ10,NS10)-SUM(NN10,NR10)&gt;0,SUM(NL10:NM10,NO10:NQ10,NS10)-SUM(NN10,NR10),"")</f>
        <v/>
      </c>
      <c r="OA10" s="19" t="str">
        <f>IF(SUM(NU10,NZ10)&gt;0,SUM(NU10,NZ10),"")</f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>IF(SUM(OC10,OG10)&gt;0,SUM(OC10,OG10),"")</f>
        <v/>
      </c>
      <c r="OW10" s="78" t="str">
        <f>IF(SUM(OB10:OC10,OE10:OG10,OI10)-OD10-OH10&gt;0,SUM(OB10:OC10,OE10:OG10,OI10)-OD10-OH10,"")</f>
        <v/>
      </c>
      <c r="OX10" s="78" t="str">
        <f>IF(SUM(OJ10:OK10,OM10)-OL10&gt;0,SUM(OJ10:OK10,OM10)-OL10,"")</f>
        <v/>
      </c>
      <c r="OY10" s="78" t="str">
        <f>IF(SUM(OC10,OG10,OK10)&gt;0,SUM(OC10,OG10,OK10),"")</f>
        <v/>
      </c>
      <c r="OZ10" s="78" t="str">
        <f>IF(SUM(OW10,OX10)&gt;0,SUM(OW10,OX10),"")</f>
        <v/>
      </c>
      <c r="PA10" s="78" t="str">
        <f>IF(SUM(OO10,OS10)&gt;0,SUM(OO10,OS10),"")</f>
        <v/>
      </c>
      <c r="PB10" s="78" t="str">
        <f>IF(SUM(ON10:OO10,OQ10:OS10,OU10)-SUM(OP10,OT10)&gt;0,SUM(ON10:OO10,OQ10:OS10,OU10)-SUM(OP10,OT10),"")</f>
        <v/>
      </c>
      <c r="PC10" s="78" t="str">
        <f>IF(SUM(OW10,PB10)&gt;0,SUM(OW10,PB10),"")</f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>IF(SUM(PE10,PI10)&gt;0,SUM(PE10,PI10),"")</f>
        <v/>
      </c>
      <c r="PY10" s="19" t="str">
        <f>IF(SUM(PD10:PE10,PG10:PI10,PK10)-PF10-PJ10&gt;0,SUM(PD10:PE10,PG10:PI10,PK10)-PF10-PJ10,"")</f>
        <v/>
      </c>
      <c r="PZ10" s="19" t="str">
        <f>IF(SUM(PL10:PM10,PO10)-PN10&gt;0,SUM(PL10:PM10,PO10)-PN10,"")</f>
        <v/>
      </c>
      <c r="QA10" s="19" t="str">
        <f>IF(SUM(PE10,PI10,PM10)&gt;0,SUM(PE10,PI10,PM10),"")</f>
        <v/>
      </c>
      <c r="QB10" s="19" t="str">
        <f>IF(SUM(PY10,PZ10)&gt;0,SUM(PY10,PZ10),"")</f>
        <v/>
      </c>
      <c r="QC10" s="19" t="str">
        <f>IF(SUM(PQ10,PU10)&gt;0,SUM(PQ10,PU10),"")</f>
        <v/>
      </c>
      <c r="QD10" s="19" t="str">
        <f>IF(SUM(PP10:PQ10,PS10:PU10,PW10)-SUM(PR10,PV10)&gt;0,SUM(PP10:PQ10,PS10:PU10,PW10)-SUM(PR10,PV10),"")</f>
        <v/>
      </c>
      <c r="QE10" s="19" t="str">
        <f>IF(SUM(PY10,QD10)&gt;0,SUM(PY10,QD10),"")</f>
        <v/>
      </c>
      <c r="QF10" s="37">
        <f>IF($CV10="P",CB10,(CB10+AY10)/2)</f>
        <v>9.1999999999999993</v>
      </c>
      <c r="QG10" s="37">
        <f>IF($CV10="P",CC10,(CC10+AZ10)/2)</f>
        <v>3</v>
      </c>
      <c r="QH10" s="37">
        <f>IF($CV10="P",CD10,(CD10+BA10)/2)</f>
        <v>0</v>
      </c>
      <c r="QI10" s="37">
        <f>IF($CV10="P",CE10,(CE10+BB10)/2)</f>
        <v>0</v>
      </c>
      <c r="QJ10" s="37">
        <f>IF($CV10="P",CF10,(CF10+BC10)/2)</f>
        <v>9.1999999999999993</v>
      </c>
      <c r="QK10" s="37">
        <f>IF($CV10="P",CG10,(CG10+BD10)/2)</f>
        <v>2.8</v>
      </c>
      <c r="QL10" s="37">
        <f>IF($CV10="P",CH10,(CH10+BE10)/2)</f>
        <v>0.3</v>
      </c>
      <c r="QM10" s="37">
        <f>IF($CV10="P",CI10,(CI10+BF10)/2)</f>
        <v>0</v>
      </c>
      <c r="QN10" s="37">
        <f>IF($CV10="P",CJ10,(CJ10+BG10)/2)</f>
        <v>9</v>
      </c>
      <c r="QO10" s="37">
        <f>IF($CV10="P",CK10,(CK10+BH10)/2)</f>
        <v>2.4</v>
      </c>
      <c r="QP10" s="37">
        <f>IF($CV10="P",CL10,(CL10+BI10)/2)</f>
        <v>0.3</v>
      </c>
      <c r="QQ10" s="37">
        <f>IF($CV10="P",CM10,(CM10+BJ10)/2)</f>
        <v>0</v>
      </c>
      <c r="QR10" s="37">
        <f>IF($CV10="P",CN10,(CN10+BK10)/2)</f>
        <v>9.1</v>
      </c>
      <c r="QS10" s="37">
        <f>IF($CV10="P",CO10,(CO10+BL10)/2)</f>
        <v>3</v>
      </c>
      <c r="QT10" s="37">
        <f>IF($CV10="P",CP10,(CP10+BM10)/2)</f>
        <v>0</v>
      </c>
      <c r="QU10" s="37">
        <f>IF($CV10="P",CQ10,(CQ10+BN10)/2)</f>
        <v>0</v>
      </c>
      <c r="QV10" s="37">
        <f>IF($CV10="P",CR10,(CR10+BO10)/2)</f>
        <v>9.1999999999999993</v>
      </c>
      <c r="QW10" s="37">
        <f>IF($CV10="P",CS10,(CS10+BP10)/2)</f>
        <v>2.8</v>
      </c>
      <c r="QX10" s="37">
        <f>IF($CV10="P",CT10,(CT10+BQ10)/2)</f>
        <v>0</v>
      </c>
      <c r="QY10" s="37">
        <f>IF($CV10="P",CU10,(CU10+BR10)/2)</f>
        <v>0</v>
      </c>
      <c r="QZ10" s="44" t="s">
        <v>46</v>
      </c>
      <c r="RA10" s="78">
        <f>IF(SUM(QG10,QK10)&gt;0,SUM(QG10,QK10),"")</f>
        <v>5.8</v>
      </c>
      <c r="RB10" s="78">
        <f>IF(SUM(QF10:QG10,QI10:QK10,QM10)-QH10-QL10&gt;0,SUM(QF10:QG10,QI10:QK10,QM10)-QH10-QL10,"")</f>
        <v>23.9</v>
      </c>
      <c r="RC10" s="78">
        <f>IF(SUM(QN10:QO10,QQ10)-QP10&gt;0,SUM(QN10:QO10,QQ10)-QP10,"")</f>
        <v>11.1</v>
      </c>
      <c r="RD10" s="78">
        <f>IF(SUM(QG10,QK10,QO10)&gt;0,SUM(QG10,QK10,QO10),"")</f>
        <v>8.1999999999999993</v>
      </c>
      <c r="RE10" s="78">
        <f>IF(SUM(RB10,RC10)&gt;0,SUM(RB10,RC10),"")</f>
        <v>35</v>
      </c>
      <c r="RF10" s="78">
        <f>IF(SUM(QS10,QW10)&gt;0,SUM(QS10,QW10),"")</f>
        <v>5.8</v>
      </c>
      <c r="RG10" s="78">
        <f>IF(SUM(QR10:QS10,QU10:QW10,QY10)-SUM(QT10,QX10)&gt;0,SUM(QR10:QS10,QU10:QW10,QY10)-SUM(QT10,QX10),"")</f>
        <v>24.099999999999998</v>
      </c>
      <c r="RH10" s="78">
        <f>IF(SUM(RB10,RG10)&gt;0,SUM(RB10,RG10),"")</f>
        <v>48</v>
      </c>
    </row>
    <row r="11" spans="1:476" x14ac:dyDescent="0.2">
      <c r="A11" s="5">
        <f>IF(AND(F11="P",G11="P"),SUMPRODUCT((F$4:F$29="P")*(G$4:G$29="P")*(E$4:E$29&gt;E11))+1,IF(G11="P",SUMPRODUCT((F$4:F$29="")*(G$4:G$29="P")*(E$4:E$29&gt;E11))+1+SUMPRODUCT((F$4:F$29="P")*(G$4:G$29="P")),""))</f>
        <v>8</v>
      </c>
      <c r="B11" s="77" t="s">
        <v>102</v>
      </c>
      <c r="C11" s="5" t="s">
        <v>5</v>
      </c>
      <c r="D11" s="5">
        <v>2001</v>
      </c>
      <c r="E11" s="15">
        <f>SUM(I11:S11)+SUM(I11:O11)*0.0000001+SUM(I11)*0.0000000000001</f>
        <v>184.20001385000475</v>
      </c>
      <c r="F11" s="3" t="str">
        <f>IF(OR(AND(AQ11&gt;=AX$31,AR11&gt;=AX$35,AQ11&lt;&gt;"",AP11=""),AND(AV11&gt;=AX$31,AW11&gt;=AX$35,AV11&lt;&gt;"",AP11=""),AND(BT11&gt;=CA$31,BU11&gt;=CA$35,BT11&lt;&gt;"",BS11=""),AND(BY11&gt;=CA$31,BZ11&gt;=CA$35,BY11&lt;&gt;"",BS11=""),AND(CW11&gt;=DD$31,CX11&gt;=DD$35,CW11&lt;&gt;"",CV11=""),AND(DB11&gt;=DD$31,DC11&gt;=DD$35,DB11&lt;&gt;""),AND(EB11&gt;=EI$31,EC11&gt;=EI$35,EB11&lt;&gt;""),AND(EG11&gt;=EI$31,EH11&gt;=EI$35,EG11&lt;&gt;""),AND(FD11&gt;=FK$31,FE11&gt;=FK$35,FD11&lt;&gt;""),AND(FI11&gt;=FK$31,FJ11&gt;=FK$35,FI11&lt;&gt;""),AND(GF11&gt;=GM$31,GG11&gt;=GM$35,GF11&lt;&gt;""),AND(GK11&gt;=GM$31,GL11&gt;=GM$35,GK11&lt;&gt;""),AND(HH11&gt;=HO$31,HI11&gt;=HO$35,HH11&lt;&gt;""),AND(HM11&gt;=HO$31,HN11&gt;=HO$35,HM11&lt;&gt;""),AND(IJ11&gt;=IQ$31,IK11&gt;=IQ$35,IJ11&lt;&gt;""),AND(IO11&gt;=IQ$31,IP11&gt;=IQ$35,IO11&lt;&gt;""),AND(JL11&gt;=JS$31,JM11&gt;=JS$35,JL11&lt;&gt;""),AND(JQ11&gt;=JS$31,JR11&gt;=JS$35,JQ11&lt;&gt;""),AND(KN11&gt;=KU$31,KO11&gt;=KU$35,KN11&lt;&gt;""),AND(KS11&gt;=KU$31,KT11&gt;=KU$35,KS11&lt;&gt;""),AND(LP11&gt;=LW$31,LQ11&gt;=LW$35,LP11&lt;&gt;""),AND(LU11&gt;=LW$31,LV11&gt;=LW$35,LU11&lt;&gt;""),AND(MR11&gt;=MY$31,MS11&gt;=MY$35,MR11&lt;&gt;""),AND(MW11&gt;=MY$31,MX11&gt;=MY$35,MW11&lt;&gt;""),AND(NT11&gt;=OA$31,NU11&gt;=OA$35,NT11&lt;&gt;""),AND(NY11&gt;=OA$31,NZ11&gt;=OA$35,NY11&lt;&gt;""),AND(OV11&gt;=PC$31,OW11&gt;=PC$35,OV11&lt;&gt;""),AND(PA11&gt;=PC$31,PB11&gt;=PC$35,PA11&lt;&gt;""),AND(PX11&gt;=QE$31,PY11&gt;=QE$35,PX11&lt;&gt;""),AND(QC11&gt;=QE$31,QD11&gt;=QE$35,QC11&lt;&gt;"")),"P","")</f>
        <v>P</v>
      </c>
      <c r="G11" s="3" t="str">
        <f>IF(OR(AND(AR11&gt;=AX$35,AR11&lt;&gt;"",AP11=""),AND(AW11&gt;=AX$35,AW11&lt;&gt;"",AP11=""),AND(BU11&gt;=CA$35,BU11&lt;&gt;"",BS11=""),AND(BZ11&gt;=CA$35,BZ11&lt;&gt;"",BS11=""),AND(CX11&gt;=DD$35,CX11&lt;&gt;"",CV11=""),AND(DC11&gt;=DD$35,DC11&lt;&gt;"",CV11=""),AND(EC11&gt;=EI$35,EC11&lt;&gt;""),AND(EH11&gt;=EI$35,EH11&lt;&gt;""),AND(FE11&gt;=FK$35,FE11&lt;&gt;""),AND(FJ11&gt;=FK$35,FJ11&lt;&gt;""),AND(GG11&gt;=GM$35,GG11&lt;&gt;""),AND(GL11&gt;=GM$35,GL11&lt;&gt;""),AND(HI11&gt;=HO$35,HI11&lt;&gt;""),AND(HN11&gt;=HO$35,HN11&lt;&gt;""),AND(IK11&gt;=IQ$35,IK11&lt;&gt;""),AND(IP11&gt;=IQ$35,IP11&lt;&gt;""),AND(JM11&gt;=JS$35,JM11&lt;&gt;""),AND(JR11&gt;=JS$35,JR11&lt;&gt;""),AND(KO11&gt;=KU$35,KO11&lt;&gt;""),AND(KT11&gt;=KU$35,KT11&lt;&gt;""),AND(LQ11&gt;=LW$35,LQ11&lt;&gt;""),AND(LV11&gt;=LW$35,LV11&lt;&gt;""),AND(MS11&gt;=MY$35,MS11&lt;&gt;""),AND(MX11&gt;=MY$35,MX11&lt;&gt;""),AND(NU11&gt;=OA$35,NU11&lt;&gt;""),AND(NZ11&gt;=OA$35,NZ11&lt;&gt;""),AND(OW11&gt;=PC$35,OW11&lt;&gt;""),AND(PB11&gt;=PC$35,PB11&lt;&gt;""),AND(PY11&gt;=QE$35,PY11&lt;&gt;""),AND(QD11&gt;=QE$35,QD11&lt;&gt;"")),"P","")</f>
        <v>P</v>
      </c>
      <c r="H11" s="66" t="str">
        <f>IF(AND(G11="P",F11=""),"No DD",IF(OR(AND(AT11&gt;=AX$34,AU11&gt;=AX$38,AT11&lt;&gt;"",AP11=""),AND(BW11&gt;=CA$34,BX11&gt;=CA$38,BW11&lt;&gt;"",BS11=""),AND(CZ11&gt;=DD$34,DA11&gt;=DD$38,CZ11&lt;&gt;"",CV11=""),AND(EE11&gt;=EI$34,EF11&gt;=EI$38,EE11&lt;&gt;""),AND(FG11&gt;=FK$34,FH11&gt;=FK$38,FG11&lt;&gt;""),AND(GI11&gt;=GM$34,GJ11&gt;=GM$38,GI11&lt;&gt;""),AND(HK11&gt;=HO$34,HL11&gt;=HO$38,HK11&lt;&gt;""),AND(IM11&gt;=IQ$34,IN11&gt;=IQ$38,IM11&lt;&gt;""),AND(JO11&gt;=JS$34,JP11&gt;=JS$38,JO11&lt;&gt;""),AND(KQ11&gt;=KU$34,KR11&gt;=KU$38,KQ11&lt;&gt;""),AND(LS11&gt;=LW$34,LT11&gt;=LW$38,LS11&lt;&gt;""),AND(MU11&gt;=MY$34,MV11&gt;=MY$38,MU11&lt;&gt;""),AND(NW11&gt;=OA$34,NX11&gt;=OA$38,NW11&lt;&gt;""),AND(OY11&gt;=PC$34,OZ11&gt;=PC$38,OY11&lt;&gt;""),AND(QA11&gt;=QE$34,QB11&gt;=QE$38,QA11&lt;&gt;"")),"Merit",IF(OR(AND(AT11&gt;=AX$33,AU11&gt;=AX$37,AT11&lt;&gt;"",AP11=""),AND(BW11&gt;=CA$33,BX11&gt;=CA$37,BW11&lt;&gt;"",BS11=""),AND(CZ11&gt;=DD$33,DA11&gt;=DD$37,CZ11&lt;&gt;"",CV11=""),AND(EE11&gt;=EI$33,EF11&gt;=EI$37,EE11&lt;&gt;""),AND(FG11&gt;=FK$33,FH11&gt;=FK$37,FG11&lt;&gt;""),AND(GI11&gt;=GM$33,GJ11&gt;=GM$37,GI11&lt;&gt;""),AND(HK11&gt;=HO$33,HL11&gt;=HO$37,HK11&lt;&gt;""),AND(IM11&gt;=IQ$33,IN11&gt;=IQ$37,IM11&lt;&gt;""),AND(JO11&gt;=JS$33,JP11&gt;=JS$37,JO11&lt;&gt;""),AND(KQ11&gt;=KU$33,KR11&gt;=KU$37,KQ11&lt;&gt;""),AND(LS11&gt;=LW$33,LT11&gt;=LW$37,LS11&lt;&gt;""),AND(MU11&gt;=MY$33,MV11&gt;=MY$37,MU11&lt;&gt;""),AND(NW11&gt;=OA$33,NX11&gt;=OA$37,NW11&lt;&gt;""),AND(OY11&gt;=PC$33,OZ11&gt;=PC$37,OY11&lt;&gt;""),AND(QA11&gt;=QE$33,QB11&gt;=QE$37,QA11&lt;&gt;"")),"Excellence",IF(F11="P","National Team",""))))</f>
        <v>National Team</v>
      </c>
      <c r="I11" s="14">
        <f>IF(COUNT(AR11,BU11,CX11)&gt;0,LARGE((AR11,BU11,CX11),1),0)</f>
        <v>47.7</v>
      </c>
      <c r="J11" s="14" t="str">
        <f>IF(I11=0,"",IF(I11=CX11,$CB$1,IF(I11=BU11,$AY$1,IF(I11=AR11,$V$1,""))))</f>
        <v>2022 Nationals</v>
      </c>
      <c r="K11" s="14">
        <f>IF(COUNT(AR11,BU11,CX11)&gt;1,LARGE((AR11,BU11,CX11),2),0)</f>
        <v>46</v>
      </c>
      <c r="L11" s="14" t="str">
        <f>IF(K11=0,"",IF(K11=CX11,$CB$1,IF(K11=BU11,$AY$1,IF(K11=AR11,$V$1,""))))</f>
        <v>2022 Elite Canada</v>
      </c>
      <c r="M11" s="14">
        <f>IF(COUNT(AS11,BV11,CY11)&gt;0,LARGE((AS11,BV11,CY11),1),0)</f>
        <v>22.8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22</v>
      </c>
      <c r="P11" s="14" t="str">
        <f>IF(O11=0,"",IF(O11=CY11,$CB$1,IF(O11=BV11,$AY$1,IF(O11=AS11,$V$1,""))))</f>
        <v>2022 Nationals</v>
      </c>
      <c r="Q11" s="14">
        <f>IF(MAX(AW11,BZ11,DC11)&gt;0,MAX(AW11,BZ11,DC11),0)</f>
        <v>45.699999999999996</v>
      </c>
      <c r="R11" s="14" t="str">
        <f>IF(Q11=0,"",IF(Q11=DC11,$CB$1,IF(Q11=BZ11,$AY$1,IF(Q11=AW11,$V$1,""))))</f>
        <v>2022 Nationals</v>
      </c>
      <c r="S11" s="14" t="str">
        <f>IF(MAX(DE11:DG11)&gt;0,MAX(DE11:DG11),"")</f>
        <v/>
      </c>
      <c r="T11" s="19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6">
        <v>18.5</v>
      </c>
      <c r="W11" s="26">
        <v>5.2</v>
      </c>
      <c r="X11" s="26">
        <v>0</v>
      </c>
      <c r="Y11" s="26">
        <v>0</v>
      </c>
      <c r="Z11" s="26">
        <v>17.8</v>
      </c>
      <c r="AA11" s="26">
        <v>5.2</v>
      </c>
      <c r="AB11" s="26">
        <v>1</v>
      </c>
      <c r="AC11" s="26">
        <v>0.3</v>
      </c>
      <c r="AD11" s="26">
        <v>17.600000000000001</v>
      </c>
      <c r="AE11" s="26">
        <v>5.2</v>
      </c>
      <c r="AF11" s="26">
        <v>0</v>
      </c>
      <c r="AG11" s="26">
        <v>0</v>
      </c>
      <c r="AH11" s="26">
        <v>18.600000000000001</v>
      </c>
      <c r="AI11" s="26">
        <v>5.2</v>
      </c>
      <c r="AJ11" s="26">
        <v>0.2</v>
      </c>
      <c r="AK11" s="26">
        <v>0</v>
      </c>
      <c r="AL11" s="26">
        <v>17.2</v>
      </c>
      <c r="AM11" s="26">
        <v>2.8</v>
      </c>
      <c r="AN11" s="26">
        <v>0</v>
      </c>
      <c r="AO11" s="26">
        <v>0.3</v>
      </c>
      <c r="AP11" s="44"/>
      <c r="AQ11" s="78">
        <f>IF(SUM(W11,AA11)&gt;0,SUM(W11,AA11),"")</f>
        <v>10.4</v>
      </c>
      <c r="AR11" s="78">
        <f>IF(SUM(V11:W11,Y11:AA11,AC11)-X11-AB11&gt;0,SUM(V11:W11,Y11:AA11,AC11)-X11-AB11,"")</f>
        <v>46</v>
      </c>
      <c r="AS11" s="78">
        <f>IF(SUM(AD11:AE11,AG11)-AF11&gt;0,SUM(AD11:AE11,AG11)-AF11,"")</f>
        <v>22.8</v>
      </c>
      <c r="AT11" s="78">
        <f>IF(SUM(W11,AA11,AE11)&gt;0,SUM(W11,AA11,AE11),"")</f>
        <v>15.600000000000001</v>
      </c>
      <c r="AU11" s="78">
        <f>IF(SUM(AR11,AS11)&gt;0,SUM(AR11,AS11),"")</f>
        <v>68.8</v>
      </c>
      <c r="AV11" s="78">
        <f>IF(SUM(AI11,AM11)&gt;0,SUM(AI11,AM11),"")</f>
        <v>8</v>
      </c>
      <c r="AW11" s="78">
        <f>IF(SUM(AH11:AI11,AK11:AM11,AO11)-SUM(AJ11,AN11)&gt;0,SUM(AH11:AI11,AK11:AM11,AO11)-SUM(AJ11,AN11),"")</f>
        <v>43.899999999999991</v>
      </c>
      <c r="AX11" s="78">
        <f>IF(SUM(AR11,AW11)&gt;0,SUM(AR11,AW11),"")</f>
        <v>89.899999999999991</v>
      </c>
      <c r="AY11" s="25">
        <v>18.600000000000001</v>
      </c>
      <c r="AZ11" s="25">
        <v>5.2</v>
      </c>
      <c r="BA11" s="25">
        <v>0</v>
      </c>
      <c r="BB11" s="25">
        <v>0</v>
      </c>
      <c r="BC11" s="25">
        <v>18.399999999999999</v>
      </c>
      <c r="BD11" s="25">
        <v>5.2</v>
      </c>
      <c r="BE11" s="25">
        <v>0</v>
      </c>
      <c r="BF11" s="25">
        <v>0.3</v>
      </c>
      <c r="BG11" s="25">
        <v>18.7</v>
      </c>
      <c r="BH11" s="25">
        <v>3.3</v>
      </c>
      <c r="BI11" s="25">
        <v>0</v>
      </c>
      <c r="BJ11" s="25">
        <v>0</v>
      </c>
      <c r="BK11" s="25">
        <v>18.399999999999999</v>
      </c>
      <c r="BL11" s="25">
        <v>5.2</v>
      </c>
      <c r="BM11" s="25">
        <v>0.6</v>
      </c>
      <c r="BN11" s="25">
        <v>0</v>
      </c>
      <c r="BO11" s="25">
        <v>17.8</v>
      </c>
      <c r="BP11" s="25">
        <v>5.2</v>
      </c>
      <c r="BQ11" s="25">
        <v>0.6</v>
      </c>
      <c r="BR11" s="25">
        <v>0.3</v>
      </c>
      <c r="BS11" s="45"/>
      <c r="BT11" s="19">
        <f>IF(SUM(AZ11,BD11)&gt;0,SUM(AZ11,BD11),"")</f>
        <v>10.4</v>
      </c>
      <c r="BU11" s="19">
        <f>IF(SUM(AY11:AZ11,BB11:BD11,BF11)-BA11-BE11&gt;0,SUM(AY11:AZ11,BB11:BD11,BF11)-BA11-BE11,"")</f>
        <v>47.7</v>
      </c>
      <c r="BV11" s="19">
        <f>IF(SUM(BG11:BH11,BJ11)-BI11&gt;0,SUM(BG11:BH11,BJ11)-BI11,"")</f>
        <v>22</v>
      </c>
      <c r="BW11" s="19">
        <f>IF(SUM(AZ11,BD11,BH11)&gt;0,SUM(AZ11,BD11,BH11),"")</f>
        <v>13.7</v>
      </c>
      <c r="BX11" s="19">
        <f>IF(SUM(BU11,BV11)&gt;0,SUM(BU11,BV11),"")</f>
        <v>69.7</v>
      </c>
      <c r="BY11" s="19">
        <f>IF(SUM(BL11,BP11)&gt;0,SUM(BL11,BP11),"")</f>
        <v>10.4</v>
      </c>
      <c r="BZ11" s="19">
        <f>IF(SUM(BK11:BL11,BN11:BP11,BR11)-SUM(BM11,BQ11)&gt;0,SUM(BK11:BL11,BN11:BP11,BR11)-SUM(BM11,BQ11),"")</f>
        <v>45.699999999999996</v>
      </c>
      <c r="CA11" s="19">
        <f>IF(SUM(BU11,BZ11)&gt;0,SUM(BU11,BZ11),"")</f>
        <v>93.4</v>
      </c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44"/>
      <c r="CW11" s="78" t="str">
        <f>IF(SUM(CC11,CG11)&gt;0,SUM(CC11,CG11),"")</f>
        <v/>
      </c>
      <c r="CX11" s="78" t="str">
        <f>IF(SUM(CB11:CC11,CE11:CG11,CI11)-CD11-CH11&gt;0,SUM(CB11:CC11,CE11:CG11,CI11)-CD11-CH11,"")</f>
        <v/>
      </c>
      <c r="CY11" s="78" t="str">
        <f>IF(SUM(CJ11:CK11,CM11)-CL11&gt;0,SUM(CJ11:CK11,CM11)-CL11,"")</f>
        <v/>
      </c>
      <c r="CZ11" s="78" t="str">
        <f>IF(SUM(CC11,CG11,CK11)&gt;0,SUM(CC11,CG11,CK11),"")</f>
        <v/>
      </c>
      <c r="DA11" s="78" t="str">
        <f>IF(SUM(CX11,CY11)&gt;0,SUM(CX11,CY11),"")</f>
        <v/>
      </c>
      <c r="DB11" s="78" t="str">
        <f>IF(SUM(CO11,CS11)&gt;0,SUM(CO11,CS11),"")</f>
        <v/>
      </c>
      <c r="DC11" s="78" t="str">
        <f>IF(SUM(CN11:CO11,CQ11:CS11,CU11)-SUM(CP11,CT11)&gt;0,SUM(CN11:CO11,CQ11:CS11,CU11)-SUM(CP11,CT11),"")</f>
        <v/>
      </c>
      <c r="DD11" s="78" t="str">
        <f>IF(SUM(CX11,DC11)&gt;0,SUM(CX11,DC11),"")</f>
        <v/>
      </c>
      <c r="DE11" s="79" t="str">
        <f>IF(K11&gt;=0.001,IF(MAX(EC11,FE11,GG11,HI11,IK11,JM11,KO11,LQ11,MS11,NU11,OW11,PY11)-IF(K11="",0,K11)&gt;0.001,MAX(EC11,FE11,GG11,HI11,IK11,JM11,KO11,LQ11,MS11,NU11,OW11,PY11)-IF(K11="",0,K11),""),"")</f>
        <v/>
      </c>
      <c r="DF11" s="79" t="str">
        <f>IF(O11&gt;=0.001,IF(MAX(ED11,FF11,GH11,HJ11,IL11,JN11,KP11,LR11,MT11,NV11,OX11,PZ11)-IF(O11="",0,O11)&gt;0.001,MAX(ED11,FF11,GH11,HJ11,IL11,JN11,KP11,LR11,MT11,NV11,OX11,PZ11)-IF(O11="",0,O11),""),"")</f>
        <v/>
      </c>
      <c r="DG11" s="79" t="str">
        <f>IF(Q11&gt;=0.001,IF(MAX(EH11,FJ11,GL11,HN11,IP11,JR11,KT11,LV11,MX11,NZ11,PB11,QD11)-IF(Q11="",0,Q11)&gt;0.001,MAX(EH11,FJ11,GL11,HN11,IP11,JR11,KT11,LV11,MX11,NZ11,PB11,QD11)-IF(Q11="",0,Q11),""),"")</f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>IF(SUM(DI11,DM11)&gt;0,SUM(DI11,DM11),"")</f>
        <v/>
      </c>
      <c r="EC11" s="78" t="str">
        <f>IF(SUM(DH11:DI11,DK11:DM11,DO11)-DJ11-DN11&gt;0,SUM(DH11:DI11,DK11:DM11,DO11)-DJ11-DN11,"")</f>
        <v/>
      </c>
      <c r="ED11" s="78" t="str">
        <f>IF(SUM(DP11:DQ11,DS11)-DR11&gt;0,SUM(DP11:DQ11,DS11)-DR11,"")</f>
        <v/>
      </c>
      <c r="EE11" s="78" t="str">
        <f>IF(SUM(DI11,DM11,DQ11)&gt;0,SUM(DI11,DM11,DQ11),"")</f>
        <v/>
      </c>
      <c r="EF11" s="78" t="str">
        <f>IF(SUM(EC11,ED11)&gt;0,SUM(EC11,ED11),"")</f>
        <v/>
      </c>
      <c r="EG11" s="78" t="str">
        <f>IF(SUM(DU11,DY11)&gt;0,SUM(DU11,DY11),"")</f>
        <v/>
      </c>
      <c r="EH11" s="78" t="str">
        <f>IF(SUM(DT11:DU11,DW11:DY11,EA11)-SUM(DV11,DZ11)&gt;0,SUM(DT11:DU11,DW11:DY11,EA11)-SUM(DV11,DZ11),"")</f>
        <v/>
      </c>
      <c r="EI11" s="78" t="str">
        <f>IF(SUM(EC11,EH11)&gt;0,SUM(EC11,EH11),"")</f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>IF(SUM(EK11,EO11)&gt;0,SUM(EK11,EO11),"")</f>
        <v/>
      </c>
      <c r="FE11" s="19" t="str">
        <f>IF(SUM(EJ11:EK11,EM11:EO11,EQ11)-EL11-EP11&gt;0,SUM(EJ11:EK11,EM11:EO11,EQ11)-EL11-EP11,"")</f>
        <v/>
      </c>
      <c r="FF11" s="19" t="str">
        <f>IF(SUM(ER11:ES11,EU11)-ET11&gt;0,SUM(ER11:ES11,EU11)-ET11,"")</f>
        <v/>
      </c>
      <c r="FG11" s="19" t="str">
        <f>IF(SUM(EK11,EO11,ES11)&gt;0,SUM(EK11,EO11,ES11),"")</f>
        <v/>
      </c>
      <c r="FH11" s="19" t="str">
        <f>IF(SUM(FE11,FF11)&gt;0,SUM(FE11,FF11),"")</f>
        <v/>
      </c>
      <c r="FI11" s="19" t="str">
        <f>IF(SUM(EW11,FA11)&gt;0,SUM(EW11,FA11),"")</f>
        <v/>
      </c>
      <c r="FJ11" s="19" t="str">
        <f>IF(SUM(EV11:EW11,EY11:FA11,FC11)-SUM(EX11,FB11)&gt;0,SUM(EV11:EW11,EY11:FA11,FC11)-SUM(EX11,FB11),"")</f>
        <v/>
      </c>
      <c r="FK11" s="19" t="str">
        <f>IF(SUM(FE11,FJ11)&gt;0,SUM(FE11,FJ11),"")</f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>IF(SUM(FM11,FQ11)&gt;0,SUM(FM11,FQ11),"")</f>
        <v/>
      </c>
      <c r="GG11" s="78" t="str">
        <f>IF(SUM(FL11:FM11,FO11:FQ11,FS11)-FN11-FR11&gt;0,SUM(FL11:FM11,FO11:FQ11,FS11)-FN11-FR11,"")</f>
        <v/>
      </c>
      <c r="GH11" s="78" t="str">
        <f>IF(SUM(FT11:FU11,FW11)-FV11&gt;0,SUM(FT11:FU11,FW11)-FV11,"")</f>
        <v/>
      </c>
      <c r="GI11" s="78" t="str">
        <f>IF(SUM(FM11,FQ11,FU11)&gt;0,SUM(FM11,FQ11,FU11),"")</f>
        <v/>
      </c>
      <c r="GJ11" s="78" t="str">
        <f>IF(SUM(GG11,GH11)&gt;0,SUM(GG11,GH11),"")</f>
        <v/>
      </c>
      <c r="GK11" s="78" t="str">
        <f>IF(SUM(FY11,GC11)&gt;0,SUM(FY11,GC11),"")</f>
        <v/>
      </c>
      <c r="GL11" s="78" t="str">
        <f>IF(SUM(FX11:FY11,GA11:GC11,GE11)-SUM(FZ11,GD11)&gt;0,SUM(FX11:FY11,GA11:GC11,GE11)-SUM(FZ11,GD11),"")</f>
        <v/>
      </c>
      <c r="GM11" s="78" t="str">
        <f>IF(SUM(GG11,GL11)&gt;0,SUM(GG11,GL11),"")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>IF(SUM(GO11,GS11)&gt;0,SUM(GO11,GS11),"")</f>
        <v/>
      </c>
      <c r="HI11" s="19" t="str">
        <f>IF(SUM(GN11:GO11,GQ11:GS11,GU11)-GP11-GT11&gt;0,SUM(GN11:GO11,GQ11:GS11,GU11)-GP11-GT11,"")</f>
        <v/>
      </c>
      <c r="HJ11" s="19" t="str">
        <f>IF(SUM(GV11:GW11,GY11)-GX11&gt;0,SUM(GV11:GW11,GY11)-GX11,"")</f>
        <v/>
      </c>
      <c r="HK11" s="19" t="str">
        <f>IF(SUM(GO11,GS11,GW11)&gt;0,SUM(GO11,GS11,GW11),"")</f>
        <v/>
      </c>
      <c r="HL11" s="19" t="str">
        <f>IF(SUM(HI11,HJ11)&gt;0,SUM(HI11,HJ11),"")</f>
        <v/>
      </c>
      <c r="HM11" s="19" t="str">
        <f>IF(SUM(HA11,HE11)&gt;0,SUM(HA11,HE11),"")</f>
        <v/>
      </c>
      <c r="HN11" s="19" t="str">
        <f>IF(SUM(GZ11:HA11,HC11:HE11,HG11)-SUM(HB11,HF11)&gt;0,SUM(GZ11:HA11,HC11:HE11,HG11)-SUM(HB11,HF11),"")</f>
        <v/>
      </c>
      <c r="HO11" s="19" t="str">
        <f>IF(SUM(HI11,HN11)&gt;0,SUM(HI11,HN11),"")</f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>IF(SUM(HQ11,HU11)&gt;0,SUM(HQ11,HU11),"")</f>
        <v/>
      </c>
      <c r="IK11" s="78" t="str">
        <f>IF(SUM(HP11:HQ11,HS11:HU11,HW11)-HR11-HV11&gt;0,SUM(HP11:HQ11,HS11:HU11,HW11)-HR11-HV11,"")</f>
        <v/>
      </c>
      <c r="IL11" s="78" t="str">
        <f>IF(SUM(HX11:HY11,IA11)-HZ11&gt;0,SUM(HX11:HY11,IA11)-HZ11,"")</f>
        <v/>
      </c>
      <c r="IM11" s="78" t="str">
        <f>IF(SUM(HQ11,HU11,HY11)&gt;0,SUM(HQ11,HU11,HY11),"")</f>
        <v/>
      </c>
      <c r="IN11" s="78" t="str">
        <f>IF(SUM(IK11,IL11)&gt;0,SUM(IK11,IL11),"")</f>
        <v/>
      </c>
      <c r="IO11" s="78" t="str">
        <f>IF(SUM(IC11,IG11)&gt;0,SUM(IC11,IG11),"")</f>
        <v/>
      </c>
      <c r="IP11" s="78" t="str">
        <f>IF(SUM(IB11:IC11,IE11:IG11,II11)-SUM(ID11,IH11)&gt;0,SUM(IB11:IC11,IE11:IG11,II11)-SUM(ID11,IH11),"")</f>
        <v/>
      </c>
      <c r="IQ11" s="78" t="str">
        <f>IF(SUM(IK11,IP11)&gt;0,SUM(IK11,IP11),"")</f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>IF(SUM(IS11,IW11)&gt;0,SUM(IS11,IW11),"")</f>
        <v/>
      </c>
      <c r="JM11" s="19" t="str">
        <f>IF(SUM(IR11:IS11,IU11:IW11,IY11)-IT11-IX11&gt;0,SUM(IR11:IS11,IU11:IW11,IY11)-IT11-IX11,"")</f>
        <v/>
      </c>
      <c r="JN11" s="19" t="str">
        <f>IF(SUM(IZ11:JA11,JC11)-JB11&gt;0,SUM(IZ11:JA11,JC11)-JB11,"")</f>
        <v/>
      </c>
      <c r="JO11" s="19" t="str">
        <f>IF(SUM(IS11,IW11,JA11)&gt;0,SUM(IS11,IW11,JA11),"")</f>
        <v/>
      </c>
      <c r="JP11" s="19" t="str">
        <f>IF(SUM(JM11,JN11)&gt;0,SUM(JM11,JN11),"")</f>
        <v/>
      </c>
      <c r="JQ11" s="19" t="str">
        <f>IF(SUM(JE11,JI11)&gt;0,SUM(JE11,JI11),"")</f>
        <v/>
      </c>
      <c r="JR11" s="19" t="str">
        <f>IF(SUM(JD11:JE11,JG11:JI11,JK11)-SUM(JF11,JJ11)&gt;0,SUM(JD11:JE11,JG11:JI11,JK11)-SUM(JF11,JJ11),"")</f>
        <v/>
      </c>
      <c r="JS11" s="19" t="str">
        <f>IF(SUM(JM11,JR11)&gt;0,SUM(JM11,JR11),"")</f>
        <v/>
      </c>
      <c r="JT11" s="24">
        <v>16.7</v>
      </c>
      <c r="JU11" s="24">
        <v>5.2</v>
      </c>
      <c r="JV11" s="24">
        <v>0.2</v>
      </c>
      <c r="JW11" s="24">
        <v>0</v>
      </c>
      <c r="JX11" s="24">
        <v>18.5</v>
      </c>
      <c r="JY11" s="24">
        <v>5.2</v>
      </c>
      <c r="JZ11" s="24">
        <v>0</v>
      </c>
      <c r="KA11" s="24">
        <v>0</v>
      </c>
      <c r="KB11" s="24"/>
      <c r="KC11" s="24"/>
      <c r="KD11" s="24"/>
      <c r="KE11" s="24"/>
      <c r="KF11" s="24">
        <v>19</v>
      </c>
      <c r="KG11" s="24">
        <v>5.6</v>
      </c>
      <c r="KH11" s="24">
        <v>0</v>
      </c>
      <c r="KI11" s="24">
        <v>0</v>
      </c>
      <c r="KJ11" s="24">
        <v>16.399999999999999</v>
      </c>
      <c r="KK11" s="24">
        <v>5.6</v>
      </c>
      <c r="KL11" s="24">
        <v>1</v>
      </c>
      <c r="KM11" s="24">
        <v>0</v>
      </c>
      <c r="KN11" s="78">
        <f>IF(SUM(JU11,JY11)&gt;0,SUM(JU11,JY11),"")</f>
        <v>10.4</v>
      </c>
      <c r="KO11" s="78">
        <f>IF(SUM(JT11:JU11,JW11:JY11,KA11)-JV11-JZ11&gt;0,SUM(JT11:JU11,JW11:JY11,KA11)-JV11-JZ11,"")</f>
        <v>45.4</v>
      </c>
      <c r="KP11" s="78" t="str">
        <f>IF(SUM(KB11:KC11,KE11)-KD11&gt;0,SUM(KB11:KC11,KE11)-KD11,"")</f>
        <v/>
      </c>
      <c r="KQ11" s="78">
        <f>IF(SUM(JU11,JY11,KC11)&gt;0,SUM(JU11,JY11,KC11),"")</f>
        <v>10.4</v>
      </c>
      <c r="KR11" s="78">
        <f>IF(SUM(KO11,KP11)&gt;0,SUM(KO11,KP11),"")</f>
        <v>45.4</v>
      </c>
      <c r="KS11" s="78">
        <f>IF(SUM(KG11,KK11)&gt;0,SUM(KG11,KK11),"")</f>
        <v>11.2</v>
      </c>
      <c r="KT11" s="78">
        <f>IF(SUM(KF11:KG11,KI11:KK11,KM11)-SUM(KH11,KL11)&gt;0,SUM(KF11:KG11,KI11:KK11,KM11)-SUM(KH11,KL11),"")</f>
        <v>45.6</v>
      </c>
      <c r="KU11" s="78">
        <f>IF(SUM(KO11,KT11)&gt;0,SUM(KO11,KT11),"")</f>
        <v>91</v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>IF(SUM(KW11,LA11)&gt;0,SUM(KW11,LA11),"")</f>
        <v/>
      </c>
      <c r="LQ11" s="19" t="str">
        <f>IF(SUM(KV11:KW11,KY11:LA11,LC11)-KX11-LB11&gt;0,SUM(KV11:KW11,KY11:LA11,LC11)-KX11-LB11,"")</f>
        <v/>
      </c>
      <c r="LR11" s="19" t="str">
        <f>IF(SUM(LD11:LE11,LG11)-LF11&gt;0,SUM(LD11:LE11,LG11)-LF11,"")</f>
        <v/>
      </c>
      <c r="LS11" s="19" t="str">
        <f>IF(SUM(KW11,LA11,LE11)&gt;0,SUM(KW11,LA11,LE11),"")</f>
        <v/>
      </c>
      <c r="LT11" s="19" t="str">
        <f>IF(SUM(LQ11,LR11)&gt;0,SUM(LQ11,LR11),"")</f>
        <v/>
      </c>
      <c r="LU11" s="19" t="str">
        <f>IF(SUM(LI11,LM11)&gt;0,SUM(LI11,LM11),"")</f>
        <v/>
      </c>
      <c r="LV11" s="19" t="str">
        <f>IF(SUM(LH11:LI11,LK11:LM11,LO11)-SUM(LJ11,LN11)&gt;0,SUM(LH11:LI11,LK11:LM11,LO11)-SUM(LJ11,LN11),"")</f>
        <v/>
      </c>
      <c r="LW11" s="19" t="str">
        <f>IF(SUM(LQ11,LV11)&gt;0,SUM(LQ11,LV11),"")</f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>IF(SUM(LY11,MC11)&gt;0,SUM(LY11,MC11),"")</f>
        <v/>
      </c>
      <c r="MS11" s="78" t="str">
        <f>IF(SUM(LX11:LY11,MA11:MC11,ME11)-LZ11-MD11&gt;0,SUM(LX11:LY11,MA11:MC11,ME11)-LZ11-MD11,"")</f>
        <v/>
      </c>
      <c r="MT11" s="78" t="str">
        <f>IF(SUM(MF11:MG11,MI11)-MH11&gt;0,SUM(MF11:MG11,MI11)-MH11,"")</f>
        <v/>
      </c>
      <c r="MU11" s="78" t="str">
        <f>IF(SUM(LY11,MC11,MG11)&gt;0,SUM(LY11,MC11,MG11),"")</f>
        <v/>
      </c>
      <c r="MV11" s="78" t="str">
        <f>IF(SUM(MS11,MT11)&gt;0,SUM(MS11,MT11),"")</f>
        <v/>
      </c>
      <c r="MW11" s="78" t="str">
        <f>IF(SUM(MK11,MO11)&gt;0,SUM(MK11,MO11),"")</f>
        <v/>
      </c>
      <c r="MX11" s="78" t="str">
        <f>IF(SUM(MJ11:MK11,MM11:MO11,MQ11)-SUM(ML11,MP11)&gt;0,SUM(MJ11:MK11,MM11:MO11,MQ11)-SUM(ML11,MP11),"")</f>
        <v/>
      </c>
      <c r="MY11" s="78" t="str">
        <f>IF(SUM(MS11,MX11)&gt;0,SUM(MS11,MX11),"")</f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>IF(SUM(NA11,NE11)&gt;0,SUM(NA11,NE11),"")</f>
        <v/>
      </c>
      <c r="NU11" s="19" t="str">
        <f>IF(SUM(MZ11:NA11,NC11:NE11,NG11)-NB11-NF11&gt;0,SUM(MZ11:NA11,NC11:NE11,NG11)-NB11-NF11,"")</f>
        <v/>
      </c>
      <c r="NV11" s="19" t="str">
        <f>IF(SUM(NH11:NI11,NK11)-NJ11&gt;0,SUM(NH11:NI11,NK11)-NJ11,"")</f>
        <v/>
      </c>
      <c r="NW11" s="19" t="str">
        <f>IF(SUM(NA11,NE11,NI11)&gt;0,SUM(NA11,NE11,NI11),"")</f>
        <v/>
      </c>
      <c r="NX11" s="19" t="str">
        <f>IF(SUM(NU11,NV11)&gt;0,SUM(NU11,NV11),"")</f>
        <v/>
      </c>
      <c r="NY11" s="19" t="str">
        <f>IF(SUM(NM11,NQ11)&gt;0,SUM(NM11,NQ11),"")</f>
        <v/>
      </c>
      <c r="NZ11" s="19" t="str">
        <f>IF(SUM(NL11:NM11,NO11:NQ11,NS11)-SUM(NN11,NR11)&gt;0,SUM(NL11:NM11,NO11:NQ11,NS11)-SUM(NN11,NR11),"")</f>
        <v/>
      </c>
      <c r="OA11" s="19" t="str">
        <f>IF(SUM(NU11,NZ11)&gt;0,SUM(NU11,NZ11),"")</f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>IF(SUM(OC11,OG11)&gt;0,SUM(OC11,OG11),"")</f>
        <v/>
      </c>
      <c r="OW11" s="78" t="str">
        <f>IF(SUM(OB11:OC11,OE11:OG11,OI11)-OD11-OH11&gt;0,SUM(OB11:OC11,OE11:OG11,OI11)-OD11-OH11,"")</f>
        <v/>
      </c>
      <c r="OX11" s="78" t="str">
        <f>IF(SUM(OJ11:OK11,OM11)-OL11&gt;0,SUM(OJ11:OK11,OM11)-OL11,"")</f>
        <v/>
      </c>
      <c r="OY11" s="78" t="str">
        <f>IF(SUM(OC11,OG11,OK11)&gt;0,SUM(OC11,OG11,OK11),"")</f>
        <v/>
      </c>
      <c r="OZ11" s="78" t="str">
        <f>IF(SUM(OW11,OX11)&gt;0,SUM(OW11,OX11),"")</f>
        <v/>
      </c>
      <c r="PA11" s="78" t="str">
        <f>IF(SUM(OO11,OS11)&gt;0,SUM(OO11,OS11),"")</f>
        <v/>
      </c>
      <c r="PB11" s="78" t="str">
        <f>IF(SUM(ON11:OO11,OQ11:OS11,OU11)-SUM(OP11,OT11)&gt;0,SUM(ON11:OO11,OQ11:OS11,OU11)-SUM(OP11,OT11),"")</f>
        <v/>
      </c>
      <c r="PC11" s="78" t="str">
        <f>IF(SUM(OW11,PB11)&gt;0,SUM(OW11,PB11),"")</f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>IF(SUM(PE11,PI11)&gt;0,SUM(PE11,PI11),"")</f>
        <v/>
      </c>
      <c r="PY11" s="19" t="str">
        <f>IF(SUM(PD11:PE11,PG11:PI11,PK11)-PF11-PJ11&gt;0,SUM(PD11:PE11,PG11:PI11,PK11)-PF11-PJ11,"")</f>
        <v/>
      </c>
      <c r="PZ11" s="19" t="str">
        <f>IF(SUM(PL11:PM11,PO11)-PN11&gt;0,SUM(PL11:PM11,PO11)-PN11,"")</f>
        <v/>
      </c>
      <c r="QA11" s="19" t="str">
        <f>IF(SUM(PE11,PI11,PM11)&gt;0,SUM(PE11,PI11,PM11),"")</f>
        <v/>
      </c>
      <c r="QB11" s="19" t="str">
        <f>IF(SUM(PY11,PZ11)&gt;0,SUM(PY11,PZ11),"")</f>
        <v/>
      </c>
      <c r="QC11" s="19" t="str">
        <f>IF(SUM(PQ11,PU11)&gt;0,SUM(PQ11,PU11),"")</f>
        <v/>
      </c>
      <c r="QD11" s="19" t="str">
        <f>IF(SUM(PP11:PQ11,PS11:PU11,PW11)-SUM(PR11,PV11)&gt;0,SUM(PP11:PQ11,PS11:PU11,PW11)-SUM(PR11,PV11),"")</f>
        <v/>
      </c>
      <c r="QE11" s="19" t="str">
        <f>IF(SUM(PY11,QD11)&gt;0,SUM(PY11,QD11),"")</f>
        <v/>
      </c>
      <c r="QF11" s="37">
        <f>IF($CV11="P",CB11,(CB11+AY11)/2)</f>
        <v>9.3000000000000007</v>
      </c>
      <c r="QG11" s="37">
        <f>IF($CV11="P",CC11,(CC11+AZ11)/2)</f>
        <v>2.6</v>
      </c>
      <c r="QH11" s="37">
        <f>IF($CV11="P",CD11,(CD11+BA11)/2)</f>
        <v>0</v>
      </c>
      <c r="QI11" s="37">
        <f>IF($CV11="P",CE11,(CE11+BB11)/2)</f>
        <v>0</v>
      </c>
      <c r="QJ11" s="37">
        <f>IF($CV11="P",CF11,(CF11+BC11)/2)</f>
        <v>9.1999999999999993</v>
      </c>
      <c r="QK11" s="37">
        <f>IF($CV11="P",CG11,(CG11+BD11)/2)</f>
        <v>2.6</v>
      </c>
      <c r="QL11" s="37">
        <f>IF($CV11="P",CH11,(CH11+BE11)/2)</f>
        <v>0</v>
      </c>
      <c r="QM11" s="37">
        <f>IF($CV11="P",CI11,(CI11+BF11)/2)</f>
        <v>0.15</v>
      </c>
      <c r="QN11" s="37">
        <f>IF($CV11="P",CJ11,(CJ11+BG11)/2)</f>
        <v>9.35</v>
      </c>
      <c r="QO11" s="37">
        <f>IF($CV11="P",CK11,(CK11+BH11)/2)</f>
        <v>1.65</v>
      </c>
      <c r="QP11" s="37">
        <f>IF($CV11="P",CL11,(CL11+BI11)/2)</f>
        <v>0</v>
      </c>
      <c r="QQ11" s="37">
        <f>IF($CV11="P",CM11,(CM11+BJ11)/2)</f>
        <v>0</v>
      </c>
      <c r="QR11" s="37">
        <f>IF($CV11="P",CN11,(CN11+BK11)/2)</f>
        <v>9.1999999999999993</v>
      </c>
      <c r="QS11" s="37">
        <f>IF($CV11="P",CO11,(CO11+BL11)/2)</f>
        <v>2.6</v>
      </c>
      <c r="QT11" s="37">
        <f>IF($CV11="P",CP11,(CP11+BM11)/2)</f>
        <v>0.3</v>
      </c>
      <c r="QU11" s="37">
        <f>IF($CV11="P",CQ11,(CQ11+BN11)/2)</f>
        <v>0</v>
      </c>
      <c r="QV11" s="37">
        <f>IF($CV11="P",CR11,(CR11+BO11)/2)</f>
        <v>8.9</v>
      </c>
      <c r="QW11" s="37">
        <f>IF($CV11="P",CS11,(CS11+BP11)/2)</f>
        <v>2.6</v>
      </c>
      <c r="QX11" s="37">
        <f>IF($CV11="P",CT11,(CT11+BQ11)/2)</f>
        <v>0.3</v>
      </c>
      <c r="QY11" s="37">
        <f>IF($CV11="P",CU11,(CU11+BR11)/2)</f>
        <v>0.15</v>
      </c>
      <c r="QZ11" s="44" t="s">
        <v>46</v>
      </c>
      <c r="RA11" s="78">
        <f>IF(SUM(QG11,QK11)&gt;0,SUM(QG11,QK11),"")</f>
        <v>5.2</v>
      </c>
      <c r="RB11" s="78">
        <f>IF(SUM(QF11:QG11,QI11:QK11,QM11)-QH11-QL11&gt;0,SUM(QF11:QG11,QI11:QK11,QM11)-QH11-QL11,"")</f>
        <v>23.85</v>
      </c>
      <c r="RC11" s="78">
        <f>IF(SUM(QN11:QO11,QQ11)-QP11&gt;0,SUM(QN11:QO11,QQ11)-QP11,"")</f>
        <v>11</v>
      </c>
      <c r="RD11" s="78">
        <f>IF(SUM(QG11,QK11,QO11)&gt;0,SUM(QG11,QK11,QO11),"")</f>
        <v>6.85</v>
      </c>
      <c r="RE11" s="78">
        <f>IF(SUM(RB11,RC11)&gt;0,SUM(RB11,RC11),"")</f>
        <v>34.85</v>
      </c>
      <c r="RF11" s="78">
        <f>IF(SUM(QS11,QW11)&gt;0,SUM(QS11,QW11),"")</f>
        <v>5.2</v>
      </c>
      <c r="RG11" s="78">
        <f>IF(SUM(QR11:QS11,QU11:QW11,QY11)-SUM(QT11,QX11)&gt;0,SUM(QR11:QS11,QU11:QW11,QY11)-SUM(QT11,QX11),"")</f>
        <v>22.849999999999998</v>
      </c>
      <c r="RH11" s="78">
        <f>IF(SUM(RB11,RG11)&gt;0,SUM(RB11,RG11),"")</f>
        <v>46.7</v>
      </c>
    </row>
    <row r="12" spans="1:476" x14ac:dyDescent="0.2">
      <c r="A12" s="5">
        <f>IF(AND(F12="P",G12="P"),SUMPRODUCT((F$4:F$29="P")*(G$4:G$29="P")*(E$4:E$29&gt;E12))+1,IF(G12="P",SUMPRODUCT((F$4:F$29="")*(G$4:G$29="P")*(E$4:E$29&gt;E12))+1+SUMPRODUCT((F$4:F$29="P")*(G$4:G$29="P")),""))</f>
        <v>9</v>
      </c>
      <c r="B12" s="77" t="s">
        <v>91</v>
      </c>
      <c r="C12" s="5" t="s">
        <v>4</v>
      </c>
      <c r="D12" s="5">
        <v>2003</v>
      </c>
      <c r="E12" s="15">
        <f>SUM(I12:S12)+SUM(I12:O12)*0.0000001+SUM(I12)*0.0000000000001</f>
        <v>124.80000988000361</v>
      </c>
      <c r="F12" s="3" t="str">
        <f>IF(OR(AND(AQ12&gt;=AX$31,AR12&gt;=AX$35,AQ12&lt;&gt;"",AP12=""),AND(AV12&gt;=AX$31,AW12&gt;=AX$35,AV12&lt;&gt;"",AP12=""),AND(BT12&gt;=CA$31,BU12&gt;=CA$35,BT12&lt;&gt;"",BS12=""),AND(BY12&gt;=CA$31,BZ12&gt;=CA$35,BY12&lt;&gt;"",BS12=""),AND(CW12&gt;=DD$31,CX12&gt;=DD$35,CW12&lt;&gt;"",CV12=""),AND(DB12&gt;=DD$31,DC12&gt;=DD$35,DB12&lt;&gt;""),AND(EB12&gt;=EI$31,EC12&gt;=EI$35,EB12&lt;&gt;""),AND(EG12&gt;=EI$31,EH12&gt;=EI$35,EG12&lt;&gt;""),AND(FD12&gt;=FK$31,FE12&gt;=FK$35,FD12&lt;&gt;""),AND(FI12&gt;=FK$31,FJ12&gt;=FK$35,FI12&lt;&gt;""),AND(GF12&gt;=GM$31,GG12&gt;=GM$35,GF12&lt;&gt;""),AND(GK12&gt;=GM$31,GL12&gt;=GM$35,GK12&lt;&gt;""),AND(HH12&gt;=HO$31,HI12&gt;=HO$35,HH12&lt;&gt;""),AND(HM12&gt;=HO$31,HN12&gt;=HO$35,HM12&lt;&gt;""),AND(IJ12&gt;=IQ$31,IK12&gt;=IQ$35,IJ12&lt;&gt;""),AND(IO12&gt;=IQ$31,IP12&gt;=IQ$35,IO12&lt;&gt;""),AND(JL12&gt;=JS$31,JM12&gt;=JS$35,JL12&lt;&gt;""),AND(JQ12&gt;=JS$31,JR12&gt;=JS$35,JQ12&lt;&gt;""),AND(KN12&gt;=KU$31,KO12&gt;=KU$35,KN12&lt;&gt;""),AND(KS12&gt;=KU$31,KT12&gt;=KU$35,KS12&lt;&gt;""),AND(LP12&gt;=LW$31,LQ12&gt;=LW$35,LP12&lt;&gt;""),AND(LU12&gt;=LW$31,LV12&gt;=LW$35,LU12&lt;&gt;""),AND(MR12&gt;=MY$31,MS12&gt;=MY$35,MR12&lt;&gt;""),AND(MW12&gt;=MY$31,MX12&gt;=MY$35,MW12&lt;&gt;""),AND(NT12&gt;=OA$31,NU12&gt;=OA$35,NT12&lt;&gt;""),AND(NY12&gt;=OA$31,NZ12&gt;=OA$35,NY12&lt;&gt;""),AND(OV12&gt;=PC$31,OW12&gt;=PC$35,OV12&lt;&gt;""),AND(PA12&gt;=PC$31,PB12&gt;=PC$35,PA12&lt;&gt;""),AND(PX12&gt;=QE$31,PY12&gt;=QE$35,PX12&lt;&gt;""),AND(QC12&gt;=QE$31,QD12&gt;=QE$35,QC12&lt;&gt;"")),"P","")</f>
        <v>P</v>
      </c>
      <c r="G12" s="3" t="str">
        <f>IF(OR(AND(AR12&gt;=AX$35,AR12&lt;&gt;"",AP12=""),AND(AW12&gt;=AX$35,AW12&lt;&gt;"",AP12=""),AND(BU12&gt;=CA$35,BU12&lt;&gt;"",BS12=""),AND(BZ12&gt;=CA$35,BZ12&lt;&gt;"",BS12=""),AND(CX12&gt;=DD$35,CX12&lt;&gt;"",CV12=""),AND(DC12&gt;=DD$35,DC12&lt;&gt;"",CV12=""),AND(EC12&gt;=EI$35,EC12&lt;&gt;""),AND(EH12&gt;=EI$35,EH12&lt;&gt;""),AND(FE12&gt;=FK$35,FE12&lt;&gt;""),AND(FJ12&gt;=FK$35,FJ12&lt;&gt;""),AND(GG12&gt;=GM$35,GG12&lt;&gt;""),AND(GL12&gt;=GM$35,GL12&lt;&gt;""),AND(HI12&gt;=HO$35,HI12&lt;&gt;""),AND(HN12&gt;=HO$35,HN12&lt;&gt;""),AND(IK12&gt;=IQ$35,IK12&lt;&gt;""),AND(IP12&gt;=IQ$35,IP12&lt;&gt;""),AND(JM12&gt;=JS$35,JM12&lt;&gt;""),AND(JR12&gt;=JS$35,JR12&lt;&gt;""),AND(KO12&gt;=KU$35,KO12&lt;&gt;""),AND(KT12&gt;=KU$35,KT12&lt;&gt;""),AND(LQ12&gt;=LW$35,LQ12&lt;&gt;""),AND(LV12&gt;=LW$35,LV12&lt;&gt;""),AND(MS12&gt;=MY$35,MS12&lt;&gt;""),AND(MX12&gt;=MY$35,MX12&lt;&gt;""),AND(NU12&gt;=OA$35,NU12&lt;&gt;""),AND(NZ12&gt;=OA$35,NZ12&lt;&gt;""),AND(OW12&gt;=PC$35,OW12&lt;&gt;""),AND(PB12&gt;=PC$35,PB12&lt;&gt;""),AND(PY12&gt;=QE$35,PY12&lt;&gt;""),AND(QD12&gt;=QE$35,QD12&lt;&gt;"")),"P","")</f>
        <v>P</v>
      </c>
      <c r="H12" s="66" t="str">
        <f>IF(AND(G12="P",F12=""),"No DD",IF(OR(AND(AT12&gt;=AX$34,AU12&gt;=AX$38,AT12&lt;&gt;"",AP12=""),AND(BW12&gt;=CA$34,BX12&gt;=CA$38,BW12&lt;&gt;"",BS12=""),AND(CZ12&gt;=DD$34,DA12&gt;=DD$38,CZ12&lt;&gt;"",CV12=""),AND(EE12&gt;=EI$34,EF12&gt;=EI$38,EE12&lt;&gt;""),AND(FG12&gt;=FK$34,FH12&gt;=FK$38,FG12&lt;&gt;""),AND(GI12&gt;=GM$34,GJ12&gt;=GM$38,GI12&lt;&gt;""),AND(HK12&gt;=HO$34,HL12&gt;=HO$38,HK12&lt;&gt;""),AND(IM12&gt;=IQ$34,IN12&gt;=IQ$38,IM12&lt;&gt;""),AND(JO12&gt;=JS$34,JP12&gt;=JS$38,JO12&lt;&gt;""),AND(KQ12&gt;=KU$34,KR12&gt;=KU$38,KQ12&lt;&gt;""),AND(LS12&gt;=LW$34,LT12&gt;=LW$38,LS12&lt;&gt;""),AND(MU12&gt;=MY$34,MV12&gt;=MY$38,MU12&lt;&gt;""),AND(NW12&gt;=OA$34,NX12&gt;=OA$38,NW12&lt;&gt;""),AND(OY12&gt;=PC$34,OZ12&gt;=PC$38,OY12&lt;&gt;""),AND(QA12&gt;=QE$34,QB12&gt;=QE$38,QA12&lt;&gt;"")),"Merit",IF(OR(AND(AT12&gt;=AX$33,AU12&gt;=AX$37,AT12&lt;&gt;"",AP12=""),AND(BW12&gt;=CA$33,BX12&gt;=CA$37,BW12&lt;&gt;"",BS12=""),AND(CZ12&gt;=DD$33,DA12&gt;=DD$37,CZ12&lt;&gt;"",CV12=""),AND(EE12&gt;=EI$33,EF12&gt;=EI$37,EE12&lt;&gt;""),AND(FG12&gt;=FK$33,FH12&gt;=FK$37,FG12&lt;&gt;""),AND(GI12&gt;=GM$33,GJ12&gt;=GM$37,GI12&lt;&gt;""),AND(HK12&gt;=HO$33,HL12&gt;=HO$37,HK12&lt;&gt;""),AND(IM12&gt;=IQ$33,IN12&gt;=IQ$37,IM12&lt;&gt;""),AND(JO12&gt;=JS$33,JP12&gt;=JS$37,JO12&lt;&gt;""),AND(KQ12&gt;=KU$33,KR12&gt;=KU$37,KQ12&lt;&gt;""),AND(LS12&gt;=LW$33,LT12&gt;=LW$37,LS12&lt;&gt;""),AND(MU12&gt;=MY$33,MV12&gt;=MY$37,MU12&lt;&gt;""),AND(NW12&gt;=OA$33,NX12&gt;=OA$37,NW12&lt;&gt;""),AND(OY12&gt;=PC$33,OZ12&gt;=PC$37,OY12&lt;&gt;""),AND(QA12&gt;=QE$33,QB12&gt;=QE$37,QA12&lt;&gt;"")),"Excellence",IF(F12="P","National Team",""))))</f>
        <v>National Team</v>
      </c>
      <c r="I12" s="14">
        <f>IF(COUNT(AR12,BU12,CX12)&gt;0,LARGE((AR12,BU12,CX12),1),0)</f>
        <v>36.200000000000003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22.400000000000002</v>
      </c>
      <c r="L12" s="14" t="str">
        <f>IF(K12=0,"",IF(K12=CX12,$CB$1,IF(K12=BU12,$AY$1,IF(K12=AR12,$V$1,""))))</f>
        <v>2022 Nationals</v>
      </c>
      <c r="M12" s="14">
        <f>IF(COUNT(AS12,BV12,CY12)&gt;0,LARGE((AS12,BV12,CY12),1),0)</f>
        <v>21.4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18.799999999999997</v>
      </c>
      <c r="P12" s="14" t="str">
        <f>IF(O12=0,"",IF(O12=CY12,$CB$1,IF(O12=BV12,$AY$1,IF(O12=AS12,$V$1,""))))</f>
        <v>2022 Nationals</v>
      </c>
      <c r="Q12" s="14">
        <f>IF(MAX(AW12,BZ12,DC12)&gt;0,MAX(AW12,BZ12,DC12),0)</f>
        <v>0</v>
      </c>
      <c r="R12" s="14" t="str">
        <f>IF(Q12=0,"",IF(Q12=DC12,$CB$1,IF(Q12=BZ12,$AY$1,IF(Q12=AW12,$V$1,""))))</f>
        <v/>
      </c>
      <c r="S12" s="14">
        <f>IF(MAX(DE12:DG12)&gt;0,MAX(DE12:DG12),"")</f>
        <v>25.999999999999996</v>
      </c>
      <c r="T12" s="19" t="str">
        <f>IF(S12="","",IF(S12=DE12,"("&amp;DE$2&amp;")",IF(S12=DG12,"("&amp;DG$2&amp;")")))</f>
        <v>(Q1)</v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>2022 Coimbra Gym Fest (June 26)</v>
      </c>
      <c r="V12" s="26">
        <v>17.600000000000001</v>
      </c>
      <c r="W12" s="26">
        <v>4.4000000000000004</v>
      </c>
      <c r="X12" s="26">
        <v>0.8</v>
      </c>
      <c r="Y12" s="26">
        <v>0</v>
      </c>
      <c r="Z12" s="26">
        <v>18</v>
      </c>
      <c r="AA12" s="26">
        <v>0</v>
      </c>
      <c r="AB12" s="26">
        <v>3</v>
      </c>
      <c r="AC12" s="26">
        <v>0</v>
      </c>
      <c r="AD12" s="26">
        <v>18.3</v>
      </c>
      <c r="AE12" s="26">
        <v>3.9</v>
      </c>
      <c r="AF12" s="26">
        <v>0.8</v>
      </c>
      <c r="AG12" s="26">
        <v>0</v>
      </c>
      <c r="AH12" s="26"/>
      <c r="AI12" s="26"/>
      <c r="AJ12" s="26"/>
      <c r="AK12" s="26"/>
      <c r="AL12" s="26"/>
      <c r="AM12" s="26"/>
      <c r="AN12" s="26"/>
      <c r="AO12" s="26"/>
      <c r="AP12" s="44"/>
      <c r="AQ12" s="78">
        <f>IF(SUM(W12,AA12)&gt;0,SUM(W12,AA12),"")</f>
        <v>4.4000000000000004</v>
      </c>
      <c r="AR12" s="78">
        <f>IF(SUM(V12:W12,Y12:AA12,AC12)-X12-AB12&gt;0,SUM(V12:W12,Y12:AA12,AC12)-X12-AB12,"")</f>
        <v>36.200000000000003</v>
      </c>
      <c r="AS12" s="78">
        <f>IF(SUM(AD12:AE12,AG12)-AF12&gt;0,SUM(AD12:AE12,AG12)-AF12,"")</f>
        <v>21.4</v>
      </c>
      <c r="AT12" s="78">
        <f>IF(SUM(W12,AA12,AE12)&gt;0,SUM(W12,AA12,AE12),"")</f>
        <v>8.3000000000000007</v>
      </c>
      <c r="AU12" s="78">
        <f>IF(SUM(AR12,AS12)&gt;0,SUM(AR12,AS12),"")</f>
        <v>57.6</v>
      </c>
      <c r="AV12" s="78" t="str">
        <f>IF(SUM(AI12,AM12)&gt;0,SUM(AI12,AM12),"")</f>
        <v/>
      </c>
      <c r="AW12" s="78" t="str">
        <f>IF(SUM(AH12:AI12,AK12:AM12,AO12)-SUM(AJ12,AN12)&gt;0,SUM(AH12:AI12,AK12:AM12,AO12)-SUM(AJ12,AN12),"")</f>
        <v/>
      </c>
      <c r="AX12" s="78">
        <f>IF(SUM(AR12,AW12)&gt;0,SUM(AR12,AW12),"")</f>
        <v>36.200000000000003</v>
      </c>
      <c r="AY12" s="25">
        <v>17.600000000000001</v>
      </c>
      <c r="AZ12" s="25">
        <v>4.8</v>
      </c>
      <c r="BA12" s="25">
        <v>0</v>
      </c>
      <c r="BB12" s="25">
        <v>0</v>
      </c>
      <c r="BC12" s="25">
        <v>0</v>
      </c>
      <c r="BD12" s="25">
        <v>0</v>
      </c>
      <c r="BE12" s="25">
        <v>0</v>
      </c>
      <c r="BF12" s="25">
        <v>0</v>
      </c>
      <c r="BG12" s="25">
        <v>18.399999999999999</v>
      </c>
      <c r="BH12" s="25">
        <v>2.4</v>
      </c>
      <c r="BI12" s="25">
        <v>2</v>
      </c>
      <c r="BJ12" s="25">
        <v>0</v>
      </c>
      <c r="BK12" s="25">
        <v>0</v>
      </c>
      <c r="BL12" s="25">
        <v>0</v>
      </c>
      <c r="BM12" s="25">
        <v>0</v>
      </c>
      <c r="BN12" s="25">
        <v>0</v>
      </c>
      <c r="BO12" s="25">
        <v>0</v>
      </c>
      <c r="BP12" s="25">
        <v>0</v>
      </c>
      <c r="BQ12" s="25">
        <v>0</v>
      </c>
      <c r="BR12" s="25">
        <v>0</v>
      </c>
      <c r="BS12" s="45"/>
      <c r="BT12" s="19">
        <f>IF(SUM(AZ12,BD12)&gt;0,SUM(AZ12,BD12),"")</f>
        <v>4.8</v>
      </c>
      <c r="BU12" s="19">
        <f>IF(SUM(AY12:AZ12,BB12:BD12,BF12)-BA12-BE12&gt;0,SUM(AY12:AZ12,BB12:BD12,BF12)-BA12-BE12,"")</f>
        <v>22.400000000000002</v>
      </c>
      <c r="BV12" s="19">
        <f>IF(SUM(BG12:BH12,BJ12)-BI12&gt;0,SUM(BG12:BH12,BJ12)-BI12,"")</f>
        <v>18.799999999999997</v>
      </c>
      <c r="BW12" s="19">
        <f>IF(SUM(AZ12,BD12,BH12)&gt;0,SUM(AZ12,BD12,BH12),"")</f>
        <v>7.1999999999999993</v>
      </c>
      <c r="BX12" s="19">
        <f>IF(SUM(BU12,BV12)&gt;0,SUM(BU12,BV12),"")</f>
        <v>41.2</v>
      </c>
      <c r="BY12" s="19" t="str">
        <f>IF(SUM(BL12,BP12)&gt;0,SUM(BL12,BP12),"")</f>
        <v/>
      </c>
      <c r="BZ12" s="19" t="str">
        <f>IF(SUM(BK12:BL12,BN12:BP12,BR12)-SUM(BM12,BQ12)&gt;0,SUM(BK12:BL12,BN12:BP12,BR12)-SUM(BM12,BQ12),"")</f>
        <v/>
      </c>
      <c r="CA12" s="19">
        <f>IF(SUM(BU12,BZ12)&gt;0,SUM(BU12,BZ12),"")</f>
        <v>22.400000000000002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>IF(SUM(CC12,CG12)&gt;0,SUM(CC12,CG12),"")</f>
        <v/>
      </c>
      <c r="CX12" s="78" t="str">
        <f>IF(SUM(CB12:CC12,CE12:CG12,CI12)-CD12-CH12&gt;0,SUM(CB12:CC12,CE12:CG12,CI12)-CD12-CH12,"")</f>
        <v/>
      </c>
      <c r="CY12" s="78" t="str">
        <f>IF(SUM(CJ12:CK12,CM12)-CL12&gt;0,SUM(CJ12:CK12,CM12)-CL12,"")</f>
        <v/>
      </c>
      <c r="CZ12" s="78" t="str">
        <f>IF(SUM(CC12,CG12,CK12)&gt;0,SUM(CC12,CG12,CK12),"")</f>
        <v/>
      </c>
      <c r="DA12" s="78" t="str">
        <f>IF(SUM(CX12,CY12)&gt;0,SUM(CX12,CY12),"")</f>
        <v/>
      </c>
      <c r="DB12" s="78" t="str">
        <f>IF(SUM(CO12,CS12)&gt;0,SUM(CO12,CS12),"")</f>
        <v/>
      </c>
      <c r="DC12" s="78" t="str">
        <f>IF(SUM(CN12:CO12,CQ12:CS12,CU12)-SUM(CP12,CT12)&gt;0,SUM(CN12:CO12,CQ12:CS12,CU12)-SUM(CP12,CT12),"")</f>
        <v/>
      </c>
      <c r="DD12" s="78" t="str">
        <f>IF(SUM(CX12,DC12)&gt;0,SUM(CX12,DC12),"")</f>
        <v/>
      </c>
      <c r="DE12" s="79">
        <f>IF(K12&gt;=0.001,IF(MAX(EC12,FE12,GG12,HI12,IK12,JM12,KO12,LQ12,MS12,NU12,OW12,PY12)-IF(K12="",0,K12)&gt;0.001,MAX(EC12,FE12,GG12,HI12,IK12,JM12,KO12,LQ12,MS12,NU12,OW12,PY12)-IF(K12="",0,K12),""),"")</f>
        <v>25.999999999999996</v>
      </c>
      <c r="DF12" s="79" t="str">
        <f>IF(O12&gt;=0.001,IF(MAX(ED12,FF12,GH12,HJ12,IL12,JN12,KP12,LR12,MT12,NV12,OX12,PZ12)-IF(O12="",0,O12)&gt;0.001,MAX(ED12,FF12,GH12,HJ12,IL12,JN12,KP12,LR12,MT12,NV12,OX12,PZ12)-IF(O12="",0,O12),""),"")</f>
        <v/>
      </c>
      <c r="DG12" s="79" t="str">
        <f>IF(Q12&gt;=0.001,IF(MAX(EH12,FJ12,GL12,HN12,IP12,JR12,KT12,LV12,MX12,NZ12,PB12,QD12)-IF(Q12="",0,Q12)&gt;0.001,MAX(EH12,FJ12,GL12,HN12,IP12,JR12,KT12,LV12,MX12,NZ12,PB12,QD12)-IF(Q12="",0,Q12),""),"")</f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>IF(SUM(DI12,DM12)&gt;0,SUM(DI12,DM12),"")</f>
        <v/>
      </c>
      <c r="EC12" s="78" t="str">
        <f>IF(SUM(DH12:DI12,DK12:DM12,DO12)-DJ12-DN12&gt;0,SUM(DH12:DI12,DK12:DM12,DO12)-DJ12-DN12,"")</f>
        <v/>
      </c>
      <c r="ED12" s="78" t="str">
        <f>IF(SUM(DP12:DQ12,DS12)-DR12&gt;0,SUM(DP12:DQ12,DS12)-DR12,"")</f>
        <v/>
      </c>
      <c r="EE12" s="78" t="str">
        <f>IF(SUM(DI12,DM12,DQ12)&gt;0,SUM(DI12,DM12,DQ12),"")</f>
        <v/>
      </c>
      <c r="EF12" s="78" t="str">
        <f>IF(SUM(EC12,ED12)&gt;0,SUM(EC12,ED12),"")</f>
        <v/>
      </c>
      <c r="EG12" s="78" t="str">
        <f>IF(SUM(DU12,DY12)&gt;0,SUM(DU12,DY12),"")</f>
        <v/>
      </c>
      <c r="EH12" s="78" t="str">
        <f>IF(SUM(DT12:DU12,DW12:DY12,EA12)-SUM(DV12,DZ12)&gt;0,SUM(DT12:DU12,DW12:DY12,EA12)-SUM(DV12,DZ12),"")</f>
        <v/>
      </c>
      <c r="EI12" s="78" t="str">
        <f>IF(SUM(EC12,EH12)&gt;0,SUM(EC12,EH12),"")</f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>IF(SUM(EK12,EO12)&gt;0,SUM(EK12,EO12),"")</f>
        <v/>
      </c>
      <c r="FE12" s="19" t="str">
        <f>IF(SUM(EJ12:EK12,EM12:EO12,EQ12)-EL12-EP12&gt;0,SUM(EJ12:EK12,EM12:EO12,EQ12)-EL12-EP12,"")</f>
        <v/>
      </c>
      <c r="FF12" s="19" t="str">
        <f>IF(SUM(ER12:ES12,EU12)-ET12&gt;0,SUM(ER12:ES12,EU12)-ET12,"")</f>
        <v/>
      </c>
      <c r="FG12" s="19" t="str">
        <f>IF(SUM(EK12,EO12,ES12)&gt;0,SUM(EK12,EO12,ES12),"")</f>
        <v/>
      </c>
      <c r="FH12" s="19" t="str">
        <f>IF(SUM(FE12,FF12)&gt;0,SUM(FE12,FF12),"")</f>
        <v/>
      </c>
      <c r="FI12" s="19" t="str">
        <f>IF(SUM(EW12,FA12)&gt;0,SUM(EW12,FA12),"")</f>
        <v/>
      </c>
      <c r="FJ12" s="19" t="str">
        <f>IF(SUM(EV12:EW12,EY12:FA12,FC12)-SUM(EX12,FB12)&gt;0,SUM(EV12:EW12,EY12:FA12,FC12)-SUM(EX12,FB12),"")</f>
        <v/>
      </c>
      <c r="FK12" s="19" t="str">
        <f>IF(SUM(FE12,FJ12)&gt;0,SUM(FE12,FJ12),"")</f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>IF(SUM(FM12,FQ12)&gt;0,SUM(FM12,FQ12),"")</f>
        <v/>
      </c>
      <c r="GG12" s="78" t="str">
        <f>IF(SUM(FL12:FM12,FO12:FQ12,FS12)-FN12-FR12&gt;0,SUM(FL12:FM12,FO12:FQ12,FS12)-FN12-FR12,"")</f>
        <v/>
      </c>
      <c r="GH12" s="78" t="str">
        <f>IF(SUM(FT12:FU12,FW12)-FV12&gt;0,SUM(FT12:FU12,FW12)-FV12,"")</f>
        <v/>
      </c>
      <c r="GI12" s="78" t="str">
        <f>IF(SUM(FM12,FQ12,FU12)&gt;0,SUM(FM12,FQ12,FU12),"")</f>
        <v/>
      </c>
      <c r="GJ12" s="78" t="str">
        <f>IF(SUM(GG12,GH12)&gt;0,SUM(GG12,GH12),"")</f>
        <v/>
      </c>
      <c r="GK12" s="78" t="str">
        <f>IF(SUM(FY12,GC12)&gt;0,SUM(FY12,GC12),"")</f>
        <v/>
      </c>
      <c r="GL12" s="78" t="str">
        <f>IF(SUM(FX12:FY12,GA12:GC12,GE12)-SUM(FZ12,GD12)&gt;0,SUM(FX12:FY12,GA12:GC12,GE12)-SUM(FZ12,GD12),"")</f>
        <v/>
      </c>
      <c r="GM12" s="78" t="str">
        <f>IF(SUM(GG12,GL12)&gt;0,SUM(GG12,GL12),"")</f>
        <v/>
      </c>
      <c r="GN12" s="25">
        <v>18.600000000000001</v>
      </c>
      <c r="GO12" s="25">
        <v>5.6</v>
      </c>
      <c r="GP12" s="25">
        <v>0.2</v>
      </c>
      <c r="GQ12" s="25">
        <v>0</v>
      </c>
      <c r="GR12" s="25">
        <v>17.7</v>
      </c>
      <c r="GS12" s="25">
        <v>6</v>
      </c>
      <c r="GT12" s="25">
        <v>1</v>
      </c>
      <c r="GU12" s="25">
        <v>0</v>
      </c>
      <c r="GV12" s="25"/>
      <c r="GW12" s="25"/>
      <c r="GX12" s="25"/>
      <c r="GY12" s="25"/>
      <c r="GZ12" s="25">
        <v>18.7</v>
      </c>
      <c r="HA12" s="25">
        <v>5.6</v>
      </c>
      <c r="HB12" s="25">
        <v>0.2</v>
      </c>
      <c r="HC12" s="25">
        <v>0</v>
      </c>
      <c r="HD12" s="25">
        <v>18.399999999999999</v>
      </c>
      <c r="HE12" s="25">
        <v>6</v>
      </c>
      <c r="HF12" s="25">
        <v>0.2</v>
      </c>
      <c r="HG12" s="25">
        <v>0</v>
      </c>
      <c r="HH12" s="19">
        <f>IF(SUM(GO12,GS12)&gt;0,SUM(GO12,GS12),"")</f>
        <v>11.6</v>
      </c>
      <c r="HI12" s="19">
        <f>IF(SUM(GN12:GO12,GQ12:GS12,GU12)-GP12-GT12&gt;0,SUM(GN12:GO12,GQ12:GS12,GU12)-GP12-GT12,"")</f>
        <v>46.7</v>
      </c>
      <c r="HJ12" s="19" t="str">
        <f>IF(SUM(GV12:GW12,GY12)-GX12&gt;0,SUM(GV12:GW12,GY12)-GX12,"")</f>
        <v/>
      </c>
      <c r="HK12" s="19">
        <f>IF(SUM(GO12,GS12,GW12)&gt;0,SUM(GO12,GS12,GW12),"")</f>
        <v>11.6</v>
      </c>
      <c r="HL12" s="19">
        <f>IF(SUM(HI12,HJ12)&gt;0,SUM(HI12,HJ12),"")</f>
        <v>46.7</v>
      </c>
      <c r="HM12" s="19">
        <f>IF(SUM(HA12,HE12)&gt;0,SUM(HA12,HE12),"")</f>
        <v>11.6</v>
      </c>
      <c r="HN12" s="19">
        <f>IF(SUM(GZ12:HA12,HC12:HE12,HG12)-SUM(HB12,HF12)&gt;0,SUM(GZ12:HA12,HC12:HE12,HG12)-SUM(HB12,HF12),"")</f>
        <v>48.3</v>
      </c>
      <c r="HO12" s="19">
        <f>IF(SUM(HI12,HN12)&gt;0,SUM(HI12,HN12),"")</f>
        <v>95</v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>IF(SUM(HQ12,HU12)&gt;0,SUM(HQ12,HU12),"")</f>
        <v/>
      </c>
      <c r="IK12" s="78" t="str">
        <f>IF(SUM(HP12:HQ12,HS12:HU12,HW12)-HR12-HV12&gt;0,SUM(HP12:HQ12,HS12:HU12,HW12)-HR12-HV12,"")</f>
        <v/>
      </c>
      <c r="IL12" s="78" t="str">
        <f>IF(SUM(HX12:HY12,IA12)-HZ12&gt;0,SUM(HX12:HY12,IA12)-HZ12,"")</f>
        <v/>
      </c>
      <c r="IM12" s="78" t="str">
        <f>IF(SUM(HQ12,HU12,HY12)&gt;0,SUM(HQ12,HU12,HY12),"")</f>
        <v/>
      </c>
      <c r="IN12" s="78" t="str">
        <f>IF(SUM(IK12,IL12)&gt;0,SUM(IK12,IL12),"")</f>
        <v/>
      </c>
      <c r="IO12" s="78" t="str">
        <f>IF(SUM(IC12,IG12)&gt;0,SUM(IC12,IG12),"")</f>
        <v/>
      </c>
      <c r="IP12" s="78" t="str">
        <f>IF(SUM(IB12:IC12,IE12:IG12,II12)-SUM(ID12,IH12)&gt;0,SUM(IB12:IC12,IE12:IG12,II12)-SUM(ID12,IH12),"")</f>
        <v/>
      </c>
      <c r="IQ12" s="78" t="str">
        <f>IF(SUM(IK12,IP12)&gt;0,SUM(IK12,IP12),"")</f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>IF(SUM(IS12,IW12)&gt;0,SUM(IS12,IW12),"")</f>
        <v/>
      </c>
      <c r="JM12" s="19" t="str">
        <f>IF(SUM(IR12:IS12,IU12:IW12,IY12)-IT12-IX12&gt;0,SUM(IR12:IS12,IU12:IW12,IY12)-IT12-IX12,"")</f>
        <v/>
      </c>
      <c r="JN12" s="19" t="str">
        <f>IF(SUM(IZ12:JA12,JC12)-JB12&gt;0,SUM(IZ12:JA12,JC12)-JB12,"")</f>
        <v/>
      </c>
      <c r="JO12" s="19" t="str">
        <f>IF(SUM(IS12,IW12,JA12)&gt;0,SUM(IS12,IW12,JA12),"")</f>
        <v/>
      </c>
      <c r="JP12" s="19" t="str">
        <f>IF(SUM(JM12,JN12)&gt;0,SUM(JM12,JN12),"")</f>
        <v/>
      </c>
      <c r="JQ12" s="19" t="str">
        <f>IF(SUM(JE12,JI12)&gt;0,SUM(JE12,JI12),"")</f>
        <v/>
      </c>
      <c r="JR12" s="19" t="str">
        <f>IF(SUM(JD12:JE12,JG12:JI12,JK12)-SUM(JF12,JJ12)&gt;0,SUM(JD12:JE12,JG12:JI12,JK12)-SUM(JF12,JJ12),"")</f>
        <v/>
      </c>
      <c r="JS12" s="19" t="str">
        <f>IF(SUM(JM12,JR12)&gt;0,SUM(JM12,JR12),"")</f>
        <v/>
      </c>
      <c r="JT12" s="24">
        <v>18.600000000000001</v>
      </c>
      <c r="JU12" s="24">
        <v>5.6</v>
      </c>
      <c r="JV12" s="24">
        <v>0</v>
      </c>
      <c r="JW12" s="24">
        <v>0</v>
      </c>
      <c r="JX12" s="24">
        <v>18.399999999999999</v>
      </c>
      <c r="JY12" s="24">
        <v>6</v>
      </c>
      <c r="JZ12" s="24">
        <v>0.2</v>
      </c>
      <c r="KA12" s="24">
        <v>0</v>
      </c>
      <c r="KB12" s="24"/>
      <c r="KC12" s="24"/>
      <c r="KD12" s="24"/>
      <c r="KE12" s="24"/>
      <c r="KF12" s="24">
        <v>18.600000000000001</v>
      </c>
      <c r="KG12" s="24">
        <v>5.6</v>
      </c>
      <c r="KH12" s="24">
        <v>0.6</v>
      </c>
      <c r="KI12" s="24">
        <v>0</v>
      </c>
      <c r="KJ12" s="24">
        <v>18.2</v>
      </c>
      <c r="KK12" s="24">
        <v>6</v>
      </c>
      <c r="KL12" s="24">
        <v>0</v>
      </c>
      <c r="KM12" s="24">
        <v>0</v>
      </c>
      <c r="KN12" s="78">
        <f>IF(SUM(JU12,JY12)&gt;0,SUM(JU12,JY12),"")</f>
        <v>11.6</v>
      </c>
      <c r="KO12" s="78">
        <f>IF(SUM(JT12:JU12,JW12:JY12,KA12)-JV12-JZ12&gt;0,SUM(JT12:JU12,JW12:JY12,KA12)-JV12-JZ12,"")</f>
        <v>48.4</v>
      </c>
      <c r="KP12" s="78" t="str">
        <f>IF(SUM(KB12:KC12,KE12)-KD12&gt;0,SUM(KB12:KC12,KE12)-KD12,"")</f>
        <v/>
      </c>
      <c r="KQ12" s="78">
        <f>IF(SUM(JU12,JY12,KC12)&gt;0,SUM(JU12,JY12,KC12),"")</f>
        <v>11.6</v>
      </c>
      <c r="KR12" s="78">
        <f>IF(SUM(KO12,KP12)&gt;0,SUM(KO12,KP12),"")</f>
        <v>48.4</v>
      </c>
      <c r="KS12" s="78">
        <f>IF(SUM(KG12,KK12)&gt;0,SUM(KG12,KK12),"")</f>
        <v>11.6</v>
      </c>
      <c r="KT12" s="78">
        <f>IF(SUM(KF12:KG12,KI12:KK12,KM12)-SUM(KH12,KL12)&gt;0,SUM(KF12:KG12,KI12:KK12,KM12)-SUM(KH12,KL12),"")</f>
        <v>47.800000000000004</v>
      </c>
      <c r="KU12" s="78">
        <f>IF(SUM(KO12,KT12)&gt;0,SUM(KO12,KT12),"")</f>
        <v>96.2</v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>IF(SUM(KW12,LA12)&gt;0,SUM(KW12,LA12),"")</f>
        <v/>
      </c>
      <c r="LQ12" s="19" t="str">
        <f>IF(SUM(KV12:KW12,KY12:LA12,LC12)-KX12-LB12&gt;0,SUM(KV12:KW12,KY12:LA12,LC12)-KX12-LB12,"")</f>
        <v/>
      </c>
      <c r="LR12" s="19" t="str">
        <f>IF(SUM(LD12:LE12,LG12)-LF12&gt;0,SUM(LD12:LE12,LG12)-LF12,"")</f>
        <v/>
      </c>
      <c r="LS12" s="19" t="str">
        <f>IF(SUM(KW12,LA12,LE12)&gt;0,SUM(KW12,LA12,LE12),"")</f>
        <v/>
      </c>
      <c r="LT12" s="19" t="str">
        <f>IF(SUM(LQ12,LR12)&gt;0,SUM(LQ12,LR12),"")</f>
        <v/>
      </c>
      <c r="LU12" s="19" t="str">
        <f>IF(SUM(LI12,LM12)&gt;0,SUM(LI12,LM12),"")</f>
        <v/>
      </c>
      <c r="LV12" s="19" t="str">
        <f>IF(SUM(LH12:LI12,LK12:LM12,LO12)-SUM(LJ12,LN12)&gt;0,SUM(LH12:LI12,LK12:LM12,LO12)-SUM(LJ12,LN12),"")</f>
        <v/>
      </c>
      <c r="LW12" s="19" t="str">
        <f>IF(SUM(LQ12,LV12)&gt;0,SUM(LQ12,LV12),"")</f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>IF(SUM(LY12,MC12)&gt;0,SUM(LY12,MC12),"")</f>
        <v/>
      </c>
      <c r="MS12" s="78" t="str">
        <f>IF(SUM(LX12:LY12,MA12:MC12,ME12)-LZ12-MD12&gt;0,SUM(LX12:LY12,MA12:MC12,ME12)-LZ12-MD12,"")</f>
        <v/>
      </c>
      <c r="MT12" s="78" t="str">
        <f>IF(SUM(MF12:MG12,MI12)-MH12&gt;0,SUM(MF12:MG12,MI12)-MH12,"")</f>
        <v/>
      </c>
      <c r="MU12" s="78" t="str">
        <f>IF(SUM(LY12,MC12,MG12)&gt;0,SUM(LY12,MC12,MG12),"")</f>
        <v/>
      </c>
      <c r="MV12" s="78" t="str">
        <f>IF(SUM(MS12,MT12)&gt;0,SUM(MS12,MT12),"")</f>
        <v/>
      </c>
      <c r="MW12" s="78" t="str">
        <f>IF(SUM(MK12,MO12)&gt;0,SUM(MK12,MO12),"")</f>
        <v/>
      </c>
      <c r="MX12" s="78" t="str">
        <f>IF(SUM(MJ12:MK12,MM12:MO12,MQ12)-SUM(ML12,MP12)&gt;0,SUM(MJ12:MK12,MM12:MO12,MQ12)-SUM(ML12,MP12),"")</f>
        <v/>
      </c>
      <c r="MY12" s="78" t="str">
        <f>IF(SUM(MS12,MX12)&gt;0,SUM(MS12,MX12),"")</f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>IF(SUM(NA12,NE12)&gt;0,SUM(NA12,NE12),"")</f>
        <v/>
      </c>
      <c r="NU12" s="19" t="str">
        <f>IF(SUM(MZ12:NA12,NC12:NE12,NG12)-NB12-NF12&gt;0,SUM(MZ12:NA12,NC12:NE12,NG12)-NB12-NF12,"")</f>
        <v/>
      </c>
      <c r="NV12" s="19" t="str">
        <f>IF(SUM(NH12:NI12,NK12)-NJ12&gt;0,SUM(NH12:NI12,NK12)-NJ12,"")</f>
        <v/>
      </c>
      <c r="NW12" s="19" t="str">
        <f>IF(SUM(NA12,NE12,NI12)&gt;0,SUM(NA12,NE12,NI12),"")</f>
        <v/>
      </c>
      <c r="NX12" s="19" t="str">
        <f>IF(SUM(NU12,NV12)&gt;0,SUM(NU12,NV12),"")</f>
        <v/>
      </c>
      <c r="NY12" s="19" t="str">
        <f>IF(SUM(NM12,NQ12)&gt;0,SUM(NM12,NQ12),"")</f>
        <v/>
      </c>
      <c r="NZ12" s="19" t="str">
        <f>IF(SUM(NL12:NM12,NO12:NQ12,NS12)-SUM(NN12,NR12)&gt;0,SUM(NL12:NM12,NO12:NQ12,NS12)-SUM(NN12,NR12),"")</f>
        <v/>
      </c>
      <c r="OA12" s="19" t="str">
        <f>IF(SUM(NU12,NZ12)&gt;0,SUM(NU12,NZ12),"")</f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>IF(SUM(OC12,OG12)&gt;0,SUM(OC12,OG12),"")</f>
        <v/>
      </c>
      <c r="OW12" s="78" t="str">
        <f>IF(SUM(OB12:OC12,OE12:OG12,OI12)-OD12-OH12&gt;0,SUM(OB12:OC12,OE12:OG12,OI12)-OD12-OH12,"")</f>
        <v/>
      </c>
      <c r="OX12" s="78" t="str">
        <f>IF(SUM(OJ12:OK12,OM12)-OL12&gt;0,SUM(OJ12:OK12,OM12)-OL12,"")</f>
        <v/>
      </c>
      <c r="OY12" s="78" t="str">
        <f>IF(SUM(OC12,OG12,OK12)&gt;0,SUM(OC12,OG12,OK12),"")</f>
        <v/>
      </c>
      <c r="OZ12" s="78" t="str">
        <f>IF(SUM(OW12,OX12)&gt;0,SUM(OW12,OX12),"")</f>
        <v/>
      </c>
      <c r="PA12" s="78" t="str">
        <f>IF(SUM(OO12,OS12)&gt;0,SUM(OO12,OS12),"")</f>
        <v/>
      </c>
      <c r="PB12" s="78" t="str">
        <f>IF(SUM(ON12:OO12,OQ12:OS12,OU12)-SUM(OP12,OT12)&gt;0,SUM(ON12:OO12,OQ12:OS12,OU12)-SUM(OP12,OT12),"")</f>
        <v/>
      </c>
      <c r="PC12" s="78" t="str">
        <f>IF(SUM(OW12,PB12)&gt;0,SUM(OW12,PB12),"")</f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>IF(SUM(PE12,PI12)&gt;0,SUM(PE12,PI12),"")</f>
        <v/>
      </c>
      <c r="PY12" s="19" t="str">
        <f>IF(SUM(PD12:PE12,PG12:PI12,PK12)-PF12-PJ12&gt;0,SUM(PD12:PE12,PG12:PI12,PK12)-PF12-PJ12,"")</f>
        <v/>
      </c>
      <c r="PZ12" s="19" t="str">
        <f>IF(SUM(PL12:PM12,PO12)-PN12&gt;0,SUM(PL12:PM12,PO12)-PN12,"")</f>
        <v/>
      </c>
      <c r="QA12" s="19" t="str">
        <f>IF(SUM(PE12,PI12,PM12)&gt;0,SUM(PE12,PI12,PM12),"")</f>
        <v/>
      </c>
      <c r="QB12" s="19" t="str">
        <f>IF(SUM(PY12,PZ12)&gt;0,SUM(PY12,PZ12),"")</f>
        <v/>
      </c>
      <c r="QC12" s="19" t="str">
        <f>IF(SUM(PQ12,PU12)&gt;0,SUM(PQ12,PU12),"")</f>
        <v/>
      </c>
      <c r="QD12" s="19" t="str">
        <f>IF(SUM(PP12:PQ12,PS12:PU12,PW12)-SUM(PR12,PV12)&gt;0,SUM(PP12:PQ12,PS12:PU12,PW12)-SUM(PR12,PV12),"")</f>
        <v/>
      </c>
      <c r="QE12" s="19" t="str">
        <f>IF(SUM(PY12,QD12)&gt;0,SUM(PY12,QD12),"")</f>
        <v/>
      </c>
      <c r="QF12" s="37">
        <f>IF($CV12="P",CB12,(CB12+AY12)/2)</f>
        <v>8.8000000000000007</v>
      </c>
      <c r="QG12" s="37">
        <f>IF($CV12="P",CC12,(CC12+AZ12)/2)</f>
        <v>2.4</v>
      </c>
      <c r="QH12" s="37">
        <f>IF($CV12="P",CD12,(CD12+BA12)/2)</f>
        <v>0</v>
      </c>
      <c r="QI12" s="37">
        <f>IF($CV12="P",CE12,(CE12+BB12)/2)</f>
        <v>0</v>
      </c>
      <c r="QJ12" s="37">
        <f>IF($CV12="P",CF12,(CF12+BC12)/2)</f>
        <v>0</v>
      </c>
      <c r="QK12" s="37">
        <f>IF($CV12="P",CG12,(CG12+BD12)/2)</f>
        <v>0</v>
      </c>
      <c r="QL12" s="37">
        <f>IF($CV12="P",CH12,(CH12+BE12)/2)</f>
        <v>0</v>
      </c>
      <c r="QM12" s="37">
        <f>IF($CV12="P",CI12,(CI12+BF12)/2)</f>
        <v>0</v>
      </c>
      <c r="QN12" s="37">
        <f>IF($CV12="P",CJ12,(CJ12+BG12)/2)</f>
        <v>9.1999999999999993</v>
      </c>
      <c r="QO12" s="37">
        <f>IF($CV12="P",CK12,(CK12+BH12)/2)</f>
        <v>1.2</v>
      </c>
      <c r="QP12" s="37">
        <f>IF($CV12="P",CL12,(CL12+BI12)/2)</f>
        <v>1</v>
      </c>
      <c r="QQ12" s="37">
        <f>IF($CV12="P",CM12,(CM12+BJ12)/2)</f>
        <v>0</v>
      </c>
      <c r="QR12" s="37">
        <f>IF($CV12="P",CN12,(CN12+BK12)/2)</f>
        <v>0</v>
      </c>
      <c r="QS12" s="37">
        <f>IF($CV12="P",CO12,(CO12+BL12)/2)</f>
        <v>0</v>
      </c>
      <c r="QT12" s="37">
        <f>IF($CV12="P",CP12,(CP12+BM12)/2)</f>
        <v>0</v>
      </c>
      <c r="QU12" s="37">
        <f>IF($CV12="P",CQ12,(CQ12+BN12)/2)</f>
        <v>0</v>
      </c>
      <c r="QV12" s="37">
        <f>IF($CV12="P",CR12,(CR12+BO12)/2)</f>
        <v>0</v>
      </c>
      <c r="QW12" s="37">
        <f>IF($CV12="P",CS12,(CS12+BP12)/2)</f>
        <v>0</v>
      </c>
      <c r="QX12" s="37">
        <f>IF($CV12="P",CT12,(CT12+BQ12)/2)</f>
        <v>0</v>
      </c>
      <c r="QY12" s="37">
        <f>IF($CV12="P",CU12,(CU12+BR12)/2)</f>
        <v>0</v>
      </c>
      <c r="QZ12" s="44" t="s">
        <v>46</v>
      </c>
      <c r="RA12" s="78">
        <f>IF(SUM(QG12,QK12)&gt;0,SUM(QG12,QK12),"")</f>
        <v>2.4</v>
      </c>
      <c r="RB12" s="78">
        <f>IF(SUM(QF12:QG12,QI12:QK12,QM12)-QH12-QL12&gt;0,SUM(QF12:QG12,QI12:QK12,QM12)-QH12-QL12,"")</f>
        <v>11.200000000000001</v>
      </c>
      <c r="RC12" s="78">
        <f>IF(SUM(QN12:QO12,QQ12)-QP12&gt;0,SUM(QN12:QO12,QQ12)-QP12,"")</f>
        <v>9.3999999999999986</v>
      </c>
      <c r="RD12" s="78">
        <f>IF(SUM(QG12,QK12,QO12)&gt;0,SUM(QG12,QK12,QO12),"")</f>
        <v>3.5999999999999996</v>
      </c>
      <c r="RE12" s="78">
        <f>IF(SUM(RB12,RC12)&gt;0,SUM(RB12,RC12),"")</f>
        <v>20.6</v>
      </c>
      <c r="RF12" s="78" t="str">
        <f>IF(SUM(QS12,QW12)&gt;0,SUM(QS12,QW12),"")</f>
        <v/>
      </c>
      <c r="RG12" s="78" t="str">
        <f>IF(SUM(QR12:QS12,QU12:QW12,QY12)-SUM(QT12,QX12)&gt;0,SUM(QR12:QS12,QU12:QW12,QY12)-SUM(QT12,QX12),"")</f>
        <v/>
      </c>
      <c r="RH12" s="78">
        <f>IF(SUM(RB12,RG12)&gt;0,SUM(RB12,RG12),"")</f>
        <v>11.200000000000001</v>
      </c>
    </row>
    <row r="13" spans="1:476" x14ac:dyDescent="0.2">
      <c r="A13" s="5" t="str">
        <f>IF(AND(F13="P",G13="P"),SUMPRODUCT((F$4:F$29="P")*(G$4:G$29="P")*(E$4:E$29&gt;E13))+1,IF(G13="P",SUMPRODUCT((F$4:F$29="")*(G$4:G$29="P")*(E$4:E$29&gt;E13))+1+SUMPRODUCT((F$4:F$29="P")*(G$4:G$29="P")),""))</f>
        <v/>
      </c>
      <c r="B13" s="77" t="s">
        <v>103</v>
      </c>
      <c r="C13" s="5" t="s">
        <v>6</v>
      </c>
      <c r="D13" s="5">
        <v>2004</v>
      </c>
      <c r="E13" s="15">
        <f>SUM(I13:S13)+SUM(I13:O13)*0.0000001+SUM(I13)*0.0000000000001</f>
        <v>177.40001325000449</v>
      </c>
      <c r="F13" s="3" t="str">
        <f>IF(OR(AND(AQ13&gt;=AX$31,AR13&gt;=AX$35,AQ13&lt;&gt;"",AP13=""),AND(AV13&gt;=AX$31,AW13&gt;=AX$35,AV13&lt;&gt;"",AP13=""),AND(BT13&gt;=CA$31,BU13&gt;=CA$35,BT13&lt;&gt;"",BS13=""),AND(BY13&gt;=CA$31,BZ13&gt;=CA$35,BY13&lt;&gt;"",BS13=""),AND(CW13&gt;=DD$31,CX13&gt;=DD$35,CW13&lt;&gt;"",CV13=""),AND(DB13&gt;=DD$31,DC13&gt;=DD$35,DB13&lt;&gt;""),AND(EB13&gt;=EI$31,EC13&gt;=EI$35,EB13&lt;&gt;""),AND(EG13&gt;=EI$31,EH13&gt;=EI$35,EG13&lt;&gt;""),AND(FD13&gt;=FK$31,FE13&gt;=FK$35,FD13&lt;&gt;""),AND(FI13&gt;=FK$31,FJ13&gt;=FK$35,FI13&lt;&gt;""),AND(GF13&gt;=GM$31,GG13&gt;=GM$35,GF13&lt;&gt;""),AND(GK13&gt;=GM$31,GL13&gt;=GM$35,GK13&lt;&gt;""),AND(HH13&gt;=HO$31,HI13&gt;=HO$35,HH13&lt;&gt;""),AND(HM13&gt;=HO$31,HN13&gt;=HO$35,HM13&lt;&gt;""),AND(IJ13&gt;=IQ$31,IK13&gt;=IQ$35,IJ13&lt;&gt;""),AND(IO13&gt;=IQ$31,IP13&gt;=IQ$35,IO13&lt;&gt;""),AND(JL13&gt;=JS$31,JM13&gt;=JS$35,JL13&lt;&gt;""),AND(JQ13&gt;=JS$31,JR13&gt;=JS$35,JQ13&lt;&gt;""),AND(KN13&gt;=KU$31,KO13&gt;=KU$35,KN13&lt;&gt;""),AND(KS13&gt;=KU$31,KT13&gt;=KU$35,KS13&lt;&gt;""),AND(LP13&gt;=LW$31,LQ13&gt;=LW$35,LP13&lt;&gt;""),AND(LU13&gt;=LW$31,LV13&gt;=LW$35,LU13&lt;&gt;""),AND(MR13&gt;=MY$31,MS13&gt;=MY$35,MR13&lt;&gt;""),AND(MW13&gt;=MY$31,MX13&gt;=MY$35,MW13&lt;&gt;""),AND(NT13&gt;=OA$31,NU13&gt;=OA$35,NT13&lt;&gt;""),AND(NY13&gt;=OA$31,NZ13&gt;=OA$35,NY13&lt;&gt;""),AND(OV13&gt;=PC$31,OW13&gt;=PC$35,OV13&lt;&gt;""),AND(PA13&gt;=PC$31,PB13&gt;=PC$35,PA13&lt;&gt;""),AND(PX13&gt;=QE$31,PY13&gt;=QE$35,PX13&lt;&gt;""),AND(QC13&gt;=QE$31,QD13&gt;=QE$35,QC13&lt;&gt;"")),"P","")</f>
        <v/>
      </c>
      <c r="G13" s="3" t="str">
        <f>IF(OR(AND(AR13&gt;=AX$35,AR13&lt;&gt;"",AP13=""),AND(AW13&gt;=AX$35,AW13&lt;&gt;"",AP13=""),AND(BU13&gt;=CA$35,BU13&lt;&gt;"",BS13=""),AND(BZ13&gt;=CA$35,BZ13&lt;&gt;"",BS13=""),AND(CX13&gt;=DD$35,CX13&lt;&gt;"",CV13=""),AND(DC13&gt;=DD$35,DC13&lt;&gt;"",CV13=""),AND(EC13&gt;=EI$35,EC13&lt;&gt;""),AND(EH13&gt;=EI$35,EH13&lt;&gt;""),AND(FE13&gt;=FK$35,FE13&lt;&gt;""),AND(FJ13&gt;=FK$35,FJ13&lt;&gt;""),AND(GG13&gt;=GM$35,GG13&lt;&gt;""),AND(GL13&gt;=GM$35,GL13&lt;&gt;""),AND(HI13&gt;=HO$35,HI13&lt;&gt;""),AND(HN13&gt;=HO$35,HN13&lt;&gt;""),AND(IK13&gt;=IQ$35,IK13&lt;&gt;""),AND(IP13&gt;=IQ$35,IP13&lt;&gt;""),AND(JM13&gt;=JS$35,JM13&lt;&gt;""),AND(JR13&gt;=JS$35,JR13&lt;&gt;""),AND(KO13&gt;=KU$35,KO13&lt;&gt;""),AND(KT13&gt;=KU$35,KT13&lt;&gt;""),AND(LQ13&gt;=LW$35,LQ13&lt;&gt;""),AND(LV13&gt;=LW$35,LV13&lt;&gt;""),AND(MS13&gt;=MY$35,MS13&lt;&gt;""),AND(MX13&gt;=MY$35,MX13&lt;&gt;""),AND(NU13&gt;=OA$35,NU13&lt;&gt;""),AND(NZ13&gt;=OA$35,NZ13&lt;&gt;""),AND(OW13&gt;=PC$35,OW13&lt;&gt;""),AND(PB13&gt;=PC$35,PB13&lt;&gt;""),AND(PY13&gt;=QE$35,PY13&lt;&gt;""),AND(QD13&gt;=QE$35,QD13&lt;&gt;"")),"P","")</f>
        <v/>
      </c>
      <c r="H13" s="66" t="str">
        <f>IF(AND(G13="P",F13=""),"No DD",IF(OR(AND(AT13&gt;=AX$34,AU13&gt;=AX$38,AT13&lt;&gt;"",AP13=""),AND(BW13&gt;=CA$34,BX13&gt;=CA$38,BW13&lt;&gt;"",BS13=""),AND(CZ13&gt;=DD$34,DA13&gt;=DD$38,CZ13&lt;&gt;"",CV13=""),AND(EE13&gt;=EI$34,EF13&gt;=EI$38,EE13&lt;&gt;""),AND(FG13&gt;=FK$34,FH13&gt;=FK$38,FG13&lt;&gt;""),AND(GI13&gt;=GM$34,GJ13&gt;=GM$38,GI13&lt;&gt;""),AND(HK13&gt;=HO$34,HL13&gt;=HO$38,HK13&lt;&gt;""),AND(IM13&gt;=IQ$34,IN13&gt;=IQ$38,IM13&lt;&gt;""),AND(JO13&gt;=JS$34,JP13&gt;=JS$38,JO13&lt;&gt;""),AND(KQ13&gt;=KU$34,KR13&gt;=KU$38,KQ13&lt;&gt;""),AND(LS13&gt;=LW$34,LT13&gt;=LW$38,LS13&lt;&gt;""),AND(MU13&gt;=MY$34,MV13&gt;=MY$38,MU13&lt;&gt;""),AND(NW13&gt;=OA$34,NX13&gt;=OA$38,NW13&lt;&gt;""),AND(OY13&gt;=PC$34,OZ13&gt;=PC$38,OY13&lt;&gt;""),AND(QA13&gt;=QE$34,QB13&gt;=QE$38,QA13&lt;&gt;"")),"Merit",IF(OR(AND(AT13&gt;=AX$33,AU13&gt;=AX$37,AT13&lt;&gt;"",AP13=""),AND(BW13&gt;=CA$33,BX13&gt;=CA$37,BW13&lt;&gt;"",BS13=""),AND(CZ13&gt;=DD$33,DA13&gt;=DD$37,CZ13&lt;&gt;"",CV13=""),AND(EE13&gt;=EI$33,EF13&gt;=EI$37,EE13&lt;&gt;""),AND(FG13&gt;=FK$33,FH13&gt;=FK$37,FG13&lt;&gt;""),AND(GI13&gt;=GM$33,GJ13&gt;=GM$37,GI13&lt;&gt;""),AND(HK13&gt;=HO$33,HL13&gt;=HO$37,HK13&lt;&gt;""),AND(IM13&gt;=IQ$33,IN13&gt;=IQ$37,IM13&lt;&gt;""),AND(JO13&gt;=JS$33,JP13&gt;=JS$37,JO13&lt;&gt;""),AND(KQ13&gt;=KU$33,KR13&gt;=KU$37,KQ13&lt;&gt;""),AND(LS13&gt;=LW$33,LT13&gt;=LW$37,LS13&lt;&gt;""),AND(MU13&gt;=MY$33,MV13&gt;=MY$37,MU13&lt;&gt;""),AND(NW13&gt;=OA$33,NX13&gt;=OA$37,NW13&lt;&gt;""),AND(OY13&gt;=PC$33,OZ13&gt;=PC$37,OY13&lt;&gt;""),AND(QA13&gt;=QE$33,QB13&gt;=QE$37,QA13&lt;&gt;"")),"Excellence",IF(F13="P","National Team",""))))</f>
        <v/>
      </c>
      <c r="I13" s="14">
        <f>IF(COUNT(AR13,BU13,CX13)&gt;0,LARGE((AR13,BU13,CX13),1),0)</f>
        <v>44.8</v>
      </c>
      <c r="J13" s="14" t="str">
        <f>IF(I13=0,"",IF(I13=CX13,$CB$1,IF(I13=BU13,$AY$1,IF(I13=AR13,$V$1,""))))</f>
        <v>2022 Nationals</v>
      </c>
      <c r="K13" s="14">
        <f>IF(COUNT(AR13,BU13,CX13)&gt;1,LARGE((AR13,BU13,CX13),2),0)</f>
        <v>43.599999999999994</v>
      </c>
      <c r="L13" s="14" t="str">
        <f>IF(K13=0,"",IF(K13=CX13,$CB$1,IF(K13=BU13,$AY$1,IF(K13=AR13,$V$1,""))))</f>
        <v>2022 Elite Canada</v>
      </c>
      <c r="M13" s="14">
        <f>IF(COUNT(AS13,BV13,CY13)&gt;0,LARGE((AS13,BV13,CY13),1),0)</f>
        <v>22.3</v>
      </c>
      <c r="N13" s="14" t="str">
        <f>IF(M13=0,"",IF(M13=CY13,$CB$1,IF(M13=BV13,$AY$1,IF(M13=AS13,$V$1,""))))</f>
        <v>2022 Nationals</v>
      </c>
      <c r="O13" s="14">
        <f>IF(COUNT(AS13,BV13,CY13)&gt;1,LARGE((AS13,BV13,CY13),2),0)</f>
        <v>21.799999999999997</v>
      </c>
      <c r="P13" s="14" t="str">
        <f>IF(O13=0,"",IF(O13=CY13,$CB$1,IF(O13=BV13,$AY$1,IF(O13=AS13,$V$1,""))))</f>
        <v>2022 Elite Canada</v>
      </c>
      <c r="Q13" s="14">
        <f>IF(MAX(AW13,BZ13,DC13)&gt;0,MAX(AW13,BZ13,DC13),0)</f>
        <v>44.900000000000006</v>
      </c>
      <c r="R13" s="14" t="str">
        <f>IF(Q13=0,"",IF(Q13=DC13,$CB$1,IF(Q13=BZ13,$AY$1,IF(Q13=AW13,$V$1,""))))</f>
        <v>2022 Nationals</v>
      </c>
      <c r="S13" s="14" t="str">
        <f>IF(MAX(DE13:DG13)&gt;0,MAX(DE13:DG13),"")</f>
        <v/>
      </c>
      <c r="T13" s="19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6">
        <v>18.7</v>
      </c>
      <c r="W13" s="26">
        <v>3.5</v>
      </c>
      <c r="X13" s="26">
        <v>0.6</v>
      </c>
      <c r="Y13" s="26">
        <v>0</v>
      </c>
      <c r="Z13" s="26">
        <v>18.2</v>
      </c>
      <c r="AA13" s="26">
        <v>4.4000000000000004</v>
      </c>
      <c r="AB13" s="26">
        <v>0.6</v>
      </c>
      <c r="AC13" s="26">
        <v>0</v>
      </c>
      <c r="AD13" s="26">
        <v>18.7</v>
      </c>
      <c r="AE13" s="26">
        <v>3.7</v>
      </c>
      <c r="AF13" s="26">
        <v>0.6</v>
      </c>
      <c r="AG13" s="26">
        <v>0</v>
      </c>
      <c r="AH13" s="26">
        <v>19</v>
      </c>
      <c r="AI13" s="26">
        <v>3.5</v>
      </c>
      <c r="AJ13" s="26">
        <v>0.6</v>
      </c>
      <c r="AK13" s="26">
        <v>0</v>
      </c>
      <c r="AL13" s="26">
        <v>18.399999999999999</v>
      </c>
      <c r="AM13" s="26">
        <v>4.4000000000000004</v>
      </c>
      <c r="AN13" s="26">
        <v>0.6</v>
      </c>
      <c r="AO13" s="26">
        <v>0</v>
      </c>
      <c r="AP13" s="44"/>
      <c r="AQ13" s="78">
        <f>IF(SUM(W13,AA13)&gt;0,SUM(W13,AA13),"")</f>
        <v>7.9</v>
      </c>
      <c r="AR13" s="78">
        <f>IF(SUM(V13:W13,Y13:AA13,AC13)-X13-AB13&gt;0,SUM(V13:W13,Y13:AA13,AC13)-X13-AB13,"")</f>
        <v>43.599999999999994</v>
      </c>
      <c r="AS13" s="78">
        <f>IF(SUM(AD13:AE13,AG13)-AF13&gt;0,SUM(AD13:AE13,AG13)-AF13,"")</f>
        <v>21.799999999999997</v>
      </c>
      <c r="AT13" s="78">
        <f>IF(SUM(W13,AA13,AE13)&gt;0,SUM(W13,AA13,AE13),"")</f>
        <v>11.600000000000001</v>
      </c>
      <c r="AU13" s="78">
        <f>IF(SUM(AR13,AS13)&gt;0,SUM(AR13,AS13),"")</f>
        <v>65.399999999999991</v>
      </c>
      <c r="AV13" s="78">
        <f>IF(SUM(AI13,AM13)&gt;0,SUM(AI13,AM13),"")</f>
        <v>7.9</v>
      </c>
      <c r="AW13" s="78">
        <f>IF(SUM(AH13:AI13,AK13:AM13,AO13)-SUM(AJ13,AN13)&gt;0,SUM(AH13:AI13,AK13:AM13,AO13)-SUM(AJ13,AN13),"")</f>
        <v>44.099999999999994</v>
      </c>
      <c r="AX13" s="78">
        <f>IF(SUM(AR13,AW13)&gt;0,SUM(AR13,AW13),"")</f>
        <v>87.699999999999989</v>
      </c>
      <c r="AY13" s="25">
        <v>18.399999999999999</v>
      </c>
      <c r="AZ13" s="25">
        <v>4.4000000000000004</v>
      </c>
      <c r="BA13" s="25">
        <v>0</v>
      </c>
      <c r="BB13" s="25">
        <v>0</v>
      </c>
      <c r="BC13" s="25">
        <v>18.399999999999999</v>
      </c>
      <c r="BD13" s="25">
        <v>3.6</v>
      </c>
      <c r="BE13" s="25">
        <v>0</v>
      </c>
      <c r="BF13" s="25">
        <v>0</v>
      </c>
      <c r="BG13" s="25">
        <v>18.8</v>
      </c>
      <c r="BH13" s="25">
        <v>3.5</v>
      </c>
      <c r="BI13" s="25">
        <v>0</v>
      </c>
      <c r="BJ13" s="25">
        <v>0</v>
      </c>
      <c r="BK13" s="25">
        <v>18.2</v>
      </c>
      <c r="BL13" s="25">
        <v>4.4000000000000004</v>
      </c>
      <c r="BM13" s="25">
        <v>0</v>
      </c>
      <c r="BN13" s="25">
        <v>0</v>
      </c>
      <c r="BO13" s="25">
        <v>18.3</v>
      </c>
      <c r="BP13" s="25">
        <v>4</v>
      </c>
      <c r="BQ13" s="25">
        <v>0</v>
      </c>
      <c r="BR13" s="25">
        <v>0</v>
      </c>
      <c r="BS13" s="45"/>
      <c r="BT13" s="19">
        <f>IF(SUM(AZ13,BD13)&gt;0,SUM(AZ13,BD13),"")</f>
        <v>8</v>
      </c>
      <c r="BU13" s="19">
        <f>IF(SUM(AY13:AZ13,BB13:BD13,BF13)-BA13-BE13&gt;0,SUM(AY13:AZ13,BB13:BD13,BF13)-BA13-BE13,"")</f>
        <v>44.8</v>
      </c>
      <c r="BV13" s="19">
        <f>IF(SUM(BG13:BH13,BJ13)-BI13&gt;0,SUM(BG13:BH13,BJ13)-BI13,"")</f>
        <v>22.3</v>
      </c>
      <c r="BW13" s="19">
        <f>IF(SUM(AZ13,BD13,BH13)&gt;0,SUM(AZ13,BD13,BH13),"")</f>
        <v>11.5</v>
      </c>
      <c r="BX13" s="19">
        <f>IF(SUM(BU13,BV13)&gt;0,SUM(BU13,BV13),"")</f>
        <v>67.099999999999994</v>
      </c>
      <c r="BY13" s="19">
        <f>IF(SUM(BL13,BP13)&gt;0,SUM(BL13,BP13),"")</f>
        <v>8.4</v>
      </c>
      <c r="BZ13" s="19">
        <f>IF(SUM(BK13:BL13,BN13:BP13,BR13)-SUM(BM13,BQ13)&gt;0,SUM(BK13:BL13,BN13:BP13,BR13)-SUM(BM13,BQ13),"")</f>
        <v>44.900000000000006</v>
      </c>
      <c r="CA13" s="19">
        <f>IF(SUM(BU13,BZ13)&gt;0,SUM(BU13,BZ13),"")</f>
        <v>89.7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>IF(SUM(CC13,CG13)&gt;0,SUM(CC13,CG13),"")</f>
        <v/>
      </c>
      <c r="CX13" s="78" t="str">
        <f>IF(SUM(CB13:CC13,CE13:CG13,CI13)-CD13-CH13&gt;0,SUM(CB13:CC13,CE13:CG13,CI13)-CD13-CH13,"")</f>
        <v/>
      </c>
      <c r="CY13" s="78" t="str">
        <f>IF(SUM(CJ13:CK13,CM13)-CL13&gt;0,SUM(CJ13:CK13,CM13)-CL13,"")</f>
        <v/>
      </c>
      <c r="CZ13" s="78" t="str">
        <f>IF(SUM(CC13,CG13,CK13)&gt;0,SUM(CC13,CG13,CK13),"")</f>
        <v/>
      </c>
      <c r="DA13" s="78" t="str">
        <f>IF(SUM(CX13,CY13)&gt;0,SUM(CX13,CY13),"")</f>
        <v/>
      </c>
      <c r="DB13" s="78" t="str">
        <f>IF(SUM(CO13,CS13)&gt;0,SUM(CO13,CS13),"")</f>
        <v/>
      </c>
      <c r="DC13" s="78" t="str">
        <f>IF(SUM(CN13:CO13,CQ13:CS13,CU13)-SUM(CP13,CT13)&gt;0,SUM(CN13:CO13,CQ13:CS13,CU13)-SUM(CP13,CT13),"")</f>
        <v/>
      </c>
      <c r="DD13" s="78" t="str">
        <f>IF(SUM(CX13,DC13)&gt;0,SUM(CX13,DC13),"")</f>
        <v/>
      </c>
      <c r="DE13" s="79" t="str">
        <f>IF(K13&gt;=0.001,IF(MAX(EC13,FE13,GG13,HI13,IK13,JM13,KO13,LQ13,MS13,NU13,OW13,PY13)-IF(K13="",0,K13)&gt;0.001,MAX(EC13,FE13,GG13,HI13,IK13,JM13,KO13,LQ13,MS13,NU13,OW13,PY13)-IF(K13="",0,K13),""),"")</f>
        <v/>
      </c>
      <c r="DF13" s="79" t="str">
        <f>IF(O13&gt;=0.001,IF(MAX(ED13,FF13,GH13,HJ13,IL13,JN13,KP13,LR13,MT13,NV13,OX13,PZ13)-IF(O13="",0,O13)&gt;0.001,MAX(ED13,FF13,GH13,HJ13,IL13,JN13,KP13,LR13,MT13,NV13,OX13,PZ13)-IF(O13="",0,O13),""),"")</f>
        <v/>
      </c>
      <c r="DG13" s="79" t="str">
        <f>IF(Q13&gt;=0.001,IF(MAX(EH13,FJ13,GL13,HN13,IP13,JR13,KT13,LV13,MX13,NZ13,PB13,QD13)-IF(Q13="",0,Q13)&gt;0.001,MAX(EH13,FJ13,GL13,HN13,IP13,JR13,KT13,LV13,MX13,NZ13,PB13,QD13)-IF(Q13="",0,Q13),""),"")</f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>IF(SUM(DI13,DM13)&gt;0,SUM(DI13,DM13),"")</f>
        <v/>
      </c>
      <c r="EC13" s="78" t="str">
        <f>IF(SUM(DH13:DI13,DK13:DM13,DO13)-DJ13-DN13&gt;0,SUM(DH13:DI13,DK13:DM13,DO13)-DJ13-DN13,"")</f>
        <v/>
      </c>
      <c r="ED13" s="78" t="str">
        <f>IF(SUM(DP13:DQ13,DS13)-DR13&gt;0,SUM(DP13:DQ13,DS13)-DR13,"")</f>
        <v/>
      </c>
      <c r="EE13" s="78" t="str">
        <f>IF(SUM(DI13,DM13,DQ13)&gt;0,SUM(DI13,DM13,DQ13),"")</f>
        <v/>
      </c>
      <c r="EF13" s="78" t="str">
        <f>IF(SUM(EC13,ED13)&gt;0,SUM(EC13,ED13),"")</f>
        <v/>
      </c>
      <c r="EG13" s="78" t="str">
        <f>IF(SUM(DU13,DY13)&gt;0,SUM(DU13,DY13),"")</f>
        <v/>
      </c>
      <c r="EH13" s="78" t="str">
        <f>IF(SUM(DT13:DU13,DW13:DY13,EA13)-SUM(DV13,DZ13)&gt;0,SUM(DT13:DU13,DW13:DY13,EA13)-SUM(DV13,DZ13),"")</f>
        <v/>
      </c>
      <c r="EI13" s="78" t="str">
        <f>IF(SUM(EC13,EH13)&gt;0,SUM(EC13,EH13),"")</f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>IF(SUM(EK13,EO13)&gt;0,SUM(EK13,EO13),"")</f>
        <v/>
      </c>
      <c r="FE13" s="19" t="str">
        <f>IF(SUM(EJ13:EK13,EM13:EO13,EQ13)-EL13-EP13&gt;0,SUM(EJ13:EK13,EM13:EO13,EQ13)-EL13-EP13,"")</f>
        <v/>
      </c>
      <c r="FF13" s="19" t="str">
        <f>IF(SUM(ER13:ES13,EU13)-ET13&gt;0,SUM(ER13:ES13,EU13)-ET13,"")</f>
        <v/>
      </c>
      <c r="FG13" s="19" t="str">
        <f>IF(SUM(EK13,EO13,ES13)&gt;0,SUM(EK13,EO13,ES13),"")</f>
        <v/>
      </c>
      <c r="FH13" s="19" t="str">
        <f>IF(SUM(FE13,FF13)&gt;0,SUM(FE13,FF13),"")</f>
        <v/>
      </c>
      <c r="FI13" s="19" t="str">
        <f>IF(SUM(EW13,FA13)&gt;0,SUM(EW13,FA13),"")</f>
        <v/>
      </c>
      <c r="FJ13" s="19" t="str">
        <f>IF(SUM(EV13:EW13,EY13:FA13,FC13)-SUM(EX13,FB13)&gt;0,SUM(EV13:EW13,EY13:FA13,FC13)-SUM(EX13,FB13),"")</f>
        <v/>
      </c>
      <c r="FK13" s="19" t="str">
        <f>IF(SUM(FE13,FJ13)&gt;0,SUM(FE13,FJ13),"")</f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>IF(SUM(FM13,FQ13)&gt;0,SUM(FM13,FQ13),"")</f>
        <v/>
      </c>
      <c r="GG13" s="78" t="str">
        <f>IF(SUM(FL13:FM13,FO13:FQ13,FS13)-FN13-FR13&gt;0,SUM(FL13:FM13,FO13:FQ13,FS13)-FN13-FR13,"")</f>
        <v/>
      </c>
      <c r="GH13" s="78" t="str">
        <f>IF(SUM(FT13:FU13,FW13)-FV13&gt;0,SUM(FT13:FU13,FW13)-FV13,"")</f>
        <v/>
      </c>
      <c r="GI13" s="78" t="str">
        <f>IF(SUM(FM13,FQ13,FU13)&gt;0,SUM(FM13,FQ13,FU13),"")</f>
        <v/>
      </c>
      <c r="GJ13" s="78" t="str">
        <f>IF(SUM(GG13,GH13)&gt;0,SUM(GG13,GH13),"")</f>
        <v/>
      </c>
      <c r="GK13" s="78" t="str">
        <f>IF(SUM(FY13,GC13)&gt;0,SUM(FY13,GC13),"")</f>
        <v/>
      </c>
      <c r="GL13" s="78" t="str">
        <f>IF(SUM(FX13:FY13,GA13:GC13,GE13)-SUM(FZ13,GD13)&gt;0,SUM(FX13:FY13,GA13:GC13,GE13)-SUM(FZ13,GD13),"")</f>
        <v/>
      </c>
      <c r="GM13" s="78" t="str">
        <f>IF(SUM(GG13,GL13)&gt;0,SUM(GG13,GL13),"")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>IF(SUM(GO13,GS13)&gt;0,SUM(GO13,GS13),"")</f>
        <v/>
      </c>
      <c r="HI13" s="19" t="str">
        <f>IF(SUM(GN13:GO13,GQ13:GS13,GU13)-GP13-GT13&gt;0,SUM(GN13:GO13,GQ13:GS13,GU13)-GP13-GT13,"")</f>
        <v/>
      </c>
      <c r="HJ13" s="19" t="str">
        <f>IF(SUM(GV13:GW13,GY13)-GX13&gt;0,SUM(GV13:GW13,GY13)-GX13,"")</f>
        <v/>
      </c>
      <c r="HK13" s="19" t="str">
        <f>IF(SUM(GO13,GS13,GW13)&gt;0,SUM(GO13,GS13,GW13),"")</f>
        <v/>
      </c>
      <c r="HL13" s="19" t="str">
        <f>IF(SUM(HI13,HJ13)&gt;0,SUM(HI13,HJ13),"")</f>
        <v/>
      </c>
      <c r="HM13" s="19" t="str">
        <f>IF(SUM(HA13,HE13)&gt;0,SUM(HA13,HE13),"")</f>
        <v/>
      </c>
      <c r="HN13" s="19" t="str">
        <f>IF(SUM(GZ13:HA13,HC13:HE13,HG13)-SUM(HB13,HF13)&gt;0,SUM(GZ13:HA13,HC13:HE13,HG13)-SUM(HB13,HF13),"")</f>
        <v/>
      </c>
      <c r="HO13" s="19" t="str">
        <f>IF(SUM(HI13,HN13)&gt;0,SUM(HI13,HN13),"")</f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>IF(SUM(HQ13,HU13)&gt;0,SUM(HQ13,HU13),"")</f>
        <v/>
      </c>
      <c r="IK13" s="78" t="str">
        <f>IF(SUM(HP13:HQ13,HS13:HU13,HW13)-HR13-HV13&gt;0,SUM(HP13:HQ13,HS13:HU13,HW13)-HR13-HV13,"")</f>
        <v/>
      </c>
      <c r="IL13" s="78" t="str">
        <f>IF(SUM(HX13:HY13,IA13)-HZ13&gt;0,SUM(HX13:HY13,IA13)-HZ13,"")</f>
        <v/>
      </c>
      <c r="IM13" s="78" t="str">
        <f>IF(SUM(HQ13,HU13,HY13)&gt;0,SUM(HQ13,HU13,HY13),"")</f>
        <v/>
      </c>
      <c r="IN13" s="78" t="str">
        <f>IF(SUM(IK13,IL13)&gt;0,SUM(IK13,IL13),"")</f>
        <v/>
      </c>
      <c r="IO13" s="78" t="str">
        <f>IF(SUM(IC13,IG13)&gt;0,SUM(IC13,IG13),"")</f>
        <v/>
      </c>
      <c r="IP13" s="78" t="str">
        <f>IF(SUM(IB13:IC13,IE13:IG13,II13)-SUM(ID13,IH13)&gt;0,SUM(IB13:IC13,IE13:IG13,II13)-SUM(ID13,IH13),"")</f>
        <v/>
      </c>
      <c r="IQ13" s="78" t="str">
        <f>IF(SUM(IK13,IP13)&gt;0,SUM(IK13,IP13),"")</f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>IF(SUM(IS13,IW13)&gt;0,SUM(IS13,IW13),"")</f>
        <v/>
      </c>
      <c r="JM13" s="19" t="str">
        <f>IF(SUM(IR13:IS13,IU13:IW13,IY13)-IT13-IX13&gt;0,SUM(IR13:IS13,IU13:IW13,IY13)-IT13-IX13,"")</f>
        <v/>
      </c>
      <c r="JN13" s="19" t="str">
        <f>IF(SUM(IZ13:JA13,JC13)-JB13&gt;0,SUM(IZ13:JA13,JC13)-JB13,"")</f>
        <v/>
      </c>
      <c r="JO13" s="19" t="str">
        <f>IF(SUM(IS13,IW13,JA13)&gt;0,SUM(IS13,IW13,JA13),"")</f>
        <v/>
      </c>
      <c r="JP13" s="19" t="str">
        <f>IF(SUM(JM13,JN13)&gt;0,SUM(JM13,JN13),"")</f>
        <v/>
      </c>
      <c r="JQ13" s="19" t="str">
        <f>IF(SUM(JE13,JI13)&gt;0,SUM(JE13,JI13),"")</f>
        <v/>
      </c>
      <c r="JR13" s="19" t="str">
        <f>IF(SUM(JD13:JE13,JG13:JI13,JK13)-SUM(JF13,JJ13)&gt;0,SUM(JD13:JE13,JG13:JI13,JK13)-SUM(JF13,JJ13),"")</f>
        <v/>
      </c>
      <c r="JS13" s="19" t="str">
        <f>IF(SUM(JM13,JR13)&gt;0,SUM(JM13,JR13),"")</f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>IF(SUM(JU13,JY13)&gt;0,SUM(JU13,JY13),"")</f>
        <v/>
      </c>
      <c r="KO13" s="78" t="str">
        <f>IF(SUM(JT13:JU13,JW13:JY13,KA13)-JV13-JZ13&gt;0,SUM(JT13:JU13,JW13:JY13,KA13)-JV13-JZ13,"")</f>
        <v/>
      </c>
      <c r="KP13" s="78" t="str">
        <f>IF(SUM(KB13:KC13,KE13)-KD13&gt;0,SUM(KB13:KC13,KE13)-KD13,"")</f>
        <v/>
      </c>
      <c r="KQ13" s="78" t="str">
        <f>IF(SUM(JU13,JY13,KC13)&gt;0,SUM(JU13,JY13,KC13),"")</f>
        <v/>
      </c>
      <c r="KR13" s="78" t="str">
        <f>IF(SUM(KO13,KP13)&gt;0,SUM(KO13,KP13),"")</f>
        <v/>
      </c>
      <c r="KS13" s="78" t="str">
        <f>IF(SUM(KG13,KK13)&gt;0,SUM(KG13,KK13),"")</f>
        <v/>
      </c>
      <c r="KT13" s="78" t="str">
        <f>IF(SUM(KF13:KG13,KI13:KK13,KM13)-SUM(KH13,KL13)&gt;0,SUM(KF13:KG13,KI13:KK13,KM13)-SUM(KH13,KL13),"")</f>
        <v/>
      </c>
      <c r="KU13" s="78" t="str">
        <f>IF(SUM(KO13,KT13)&gt;0,SUM(KO13,KT13),"")</f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>IF(SUM(KW13,LA13)&gt;0,SUM(KW13,LA13),"")</f>
        <v/>
      </c>
      <c r="LQ13" s="19" t="str">
        <f>IF(SUM(KV13:KW13,KY13:LA13,LC13)-KX13-LB13&gt;0,SUM(KV13:KW13,KY13:LA13,LC13)-KX13-LB13,"")</f>
        <v/>
      </c>
      <c r="LR13" s="19" t="str">
        <f>IF(SUM(LD13:LE13,LG13)-LF13&gt;0,SUM(LD13:LE13,LG13)-LF13,"")</f>
        <v/>
      </c>
      <c r="LS13" s="19" t="str">
        <f>IF(SUM(KW13,LA13,LE13)&gt;0,SUM(KW13,LA13,LE13),"")</f>
        <v/>
      </c>
      <c r="LT13" s="19" t="str">
        <f>IF(SUM(LQ13,LR13)&gt;0,SUM(LQ13,LR13),"")</f>
        <v/>
      </c>
      <c r="LU13" s="19" t="str">
        <f>IF(SUM(LI13,LM13)&gt;0,SUM(LI13,LM13),"")</f>
        <v/>
      </c>
      <c r="LV13" s="19" t="str">
        <f>IF(SUM(LH13:LI13,LK13:LM13,LO13)-SUM(LJ13,LN13)&gt;0,SUM(LH13:LI13,LK13:LM13,LO13)-SUM(LJ13,LN13),"")</f>
        <v/>
      </c>
      <c r="LW13" s="19" t="str">
        <f>IF(SUM(LQ13,LV13)&gt;0,SUM(LQ13,LV13),"")</f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>IF(SUM(LY13,MC13)&gt;0,SUM(LY13,MC13),"")</f>
        <v/>
      </c>
      <c r="MS13" s="78" t="str">
        <f>IF(SUM(LX13:LY13,MA13:MC13,ME13)-LZ13-MD13&gt;0,SUM(LX13:LY13,MA13:MC13,ME13)-LZ13-MD13,"")</f>
        <v/>
      </c>
      <c r="MT13" s="78" t="str">
        <f>IF(SUM(MF13:MG13,MI13)-MH13&gt;0,SUM(MF13:MG13,MI13)-MH13,"")</f>
        <v/>
      </c>
      <c r="MU13" s="78" t="str">
        <f>IF(SUM(LY13,MC13,MG13)&gt;0,SUM(LY13,MC13,MG13),"")</f>
        <v/>
      </c>
      <c r="MV13" s="78" t="str">
        <f>IF(SUM(MS13,MT13)&gt;0,SUM(MS13,MT13),"")</f>
        <v/>
      </c>
      <c r="MW13" s="78" t="str">
        <f>IF(SUM(MK13,MO13)&gt;0,SUM(MK13,MO13),"")</f>
        <v/>
      </c>
      <c r="MX13" s="78" t="str">
        <f>IF(SUM(MJ13:MK13,MM13:MO13,MQ13)-SUM(ML13,MP13)&gt;0,SUM(MJ13:MK13,MM13:MO13,MQ13)-SUM(ML13,MP13),"")</f>
        <v/>
      </c>
      <c r="MY13" s="78" t="str">
        <f>IF(SUM(MS13,MX13)&gt;0,SUM(MS13,MX13),"")</f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>IF(SUM(NA13,NE13)&gt;0,SUM(NA13,NE13),"")</f>
        <v/>
      </c>
      <c r="NU13" s="19" t="str">
        <f>IF(SUM(MZ13:NA13,NC13:NE13,NG13)-NB13-NF13&gt;0,SUM(MZ13:NA13,NC13:NE13,NG13)-NB13-NF13,"")</f>
        <v/>
      </c>
      <c r="NV13" s="19" t="str">
        <f>IF(SUM(NH13:NI13,NK13)-NJ13&gt;0,SUM(NH13:NI13,NK13)-NJ13,"")</f>
        <v/>
      </c>
      <c r="NW13" s="19" t="str">
        <f>IF(SUM(NA13,NE13,NI13)&gt;0,SUM(NA13,NE13,NI13),"")</f>
        <v/>
      </c>
      <c r="NX13" s="19" t="str">
        <f>IF(SUM(NU13,NV13)&gt;0,SUM(NU13,NV13),"")</f>
        <v/>
      </c>
      <c r="NY13" s="19" t="str">
        <f>IF(SUM(NM13,NQ13)&gt;0,SUM(NM13,NQ13),"")</f>
        <v/>
      </c>
      <c r="NZ13" s="19" t="str">
        <f>IF(SUM(NL13:NM13,NO13:NQ13,NS13)-SUM(NN13,NR13)&gt;0,SUM(NL13:NM13,NO13:NQ13,NS13)-SUM(NN13,NR13),"")</f>
        <v/>
      </c>
      <c r="OA13" s="19" t="str">
        <f>IF(SUM(NU13,NZ13)&gt;0,SUM(NU13,NZ13),"")</f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>IF(SUM(OC13,OG13)&gt;0,SUM(OC13,OG13),"")</f>
        <v/>
      </c>
      <c r="OW13" s="78" t="str">
        <f>IF(SUM(OB13:OC13,OE13:OG13,OI13)-OD13-OH13&gt;0,SUM(OB13:OC13,OE13:OG13,OI13)-OD13-OH13,"")</f>
        <v/>
      </c>
      <c r="OX13" s="78" t="str">
        <f>IF(SUM(OJ13:OK13,OM13)-OL13&gt;0,SUM(OJ13:OK13,OM13)-OL13,"")</f>
        <v/>
      </c>
      <c r="OY13" s="78" t="str">
        <f>IF(SUM(OC13,OG13,OK13)&gt;0,SUM(OC13,OG13,OK13),"")</f>
        <v/>
      </c>
      <c r="OZ13" s="78" t="str">
        <f>IF(SUM(OW13,OX13)&gt;0,SUM(OW13,OX13),"")</f>
        <v/>
      </c>
      <c r="PA13" s="78" t="str">
        <f>IF(SUM(OO13,OS13)&gt;0,SUM(OO13,OS13),"")</f>
        <v/>
      </c>
      <c r="PB13" s="78" t="str">
        <f>IF(SUM(ON13:OO13,OQ13:OS13,OU13)-SUM(OP13,OT13)&gt;0,SUM(ON13:OO13,OQ13:OS13,OU13)-SUM(OP13,OT13),"")</f>
        <v/>
      </c>
      <c r="PC13" s="78" t="str">
        <f>IF(SUM(OW13,PB13)&gt;0,SUM(OW13,PB13),"")</f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>IF(SUM(PE13,PI13)&gt;0,SUM(PE13,PI13),"")</f>
        <v/>
      </c>
      <c r="PY13" s="19" t="str">
        <f>IF(SUM(PD13:PE13,PG13:PI13,PK13)-PF13-PJ13&gt;0,SUM(PD13:PE13,PG13:PI13,PK13)-PF13-PJ13,"")</f>
        <v/>
      </c>
      <c r="PZ13" s="19" t="str">
        <f>IF(SUM(PL13:PM13,PO13)-PN13&gt;0,SUM(PL13:PM13,PO13)-PN13,"")</f>
        <v/>
      </c>
      <c r="QA13" s="19" t="str">
        <f>IF(SUM(PE13,PI13,PM13)&gt;0,SUM(PE13,PI13,PM13),"")</f>
        <v/>
      </c>
      <c r="QB13" s="19" t="str">
        <f>IF(SUM(PY13,PZ13)&gt;0,SUM(PY13,PZ13),"")</f>
        <v/>
      </c>
      <c r="QC13" s="19" t="str">
        <f>IF(SUM(PQ13,PU13)&gt;0,SUM(PQ13,PU13),"")</f>
        <v/>
      </c>
      <c r="QD13" s="19" t="str">
        <f>IF(SUM(PP13:PQ13,PS13:PU13,PW13)-SUM(PR13,PV13)&gt;0,SUM(PP13:PQ13,PS13:PU13,PW13)-SUM(PR13,PV13),"")</f>
        <v/>
      </c>
      <c r="QE13" s="19" t="str">
        <f>IF(SUM(PY13,QD13)&gt;0,SUM(PY13,QD13),"")</f>
        <v/>
      </c>
      <c r="QF13" s="37">
        <f>IF($CV13="P",CB13,(CB13+AY13)/2)</f>
        <v>9.1999999999999993</v>
      </c>
      <c r="QG13" s="37">
        <f>IF($CV13="P",CC13,(CC13+AZ13)/2)</f>
        <v>2.2000000000000002</v>
      </c>
      <c r="QH13" s="37">
        <f>IF($CV13="P",CD13,(CD13+BA13)/2)</f>
        <v>0</v>
      </c>
      <c r="QI13" s="37">
        <f>IF($CV13="P",CE13,(CE13+BB13)/2)</f>
        <v>0</v>
      </c>
      <c r="QJ13" s="37">
        <f>IF($CV13="P",CF13,(CF13+BC13)/2)</f>
        <v>9.1999999999999993</v>
      </c>
      <c r="QK13" s="37">
        <f>IF($CV13="P",CG13,(CG13+BD13)/2)</f>
        <v>1.8</v>
      </c>
      <c r="QL13" s="37">
        <f>IF($CV13="P",CH13,(CH13+BE13)/2)</f>
        <v>0</v>
      </c>
      <c r="QM13" s="37">
        <f>IF($CV13="P",CI13,(CI13+BF13)/2)</f>
        <v>0</v>
      </c>
      <c r="QN13" s="37">
        <f>IF($CV13="P",CJ13,(CJ13+BG13)/2)</f>
        <v>9.4</v>
      </c>
      <c r="QO13" s="37">
        <f>IF($CV13="P",CK13,(CK13+BH13)/2)</f>
        <v>1.75</v>
      </c>
      <c r="QP13" s="37">
        <f>IF($CV13="P",CL13,(CL13+BI13)/2)</f>
        <v>0</v>
      </c>
      <c r="QQ13" s="37">
        <f>IF($CV13="P",CM13,(CM13+BJ13)/2)</f>
        <v>0</v>
      </c>
      <c r="QR13" s="37">
        <f>IF($CV13="P",CN13,(CN13+BK13)/2)</f>
        <v>9.1</v>
      </c>
      <c r="QS13" s="37">
        <f>IF($CV13="P",CO13,(CO13+BL13)/2)</f>
        <v>2.2000000000000002</v>
      </c>
      <c r="QT13" s="37">
        <f>IF($CV13="P",CP13,(CP13+BM13)/2)</f>
        <v>0</v>
      </c>
      <c r="QU13" s="37">
        <f>IF($CV13="P",CQ13,(CQ13+BN13)/2)</f>
        <v>0</v>
      </c>
      <c r="QV13" s="37">
        <f>IF($CV13="P",CR13,(CR13+BO13)/2)</f>
        <v>9.15</v>
      </c>
      <c r="QW13" s="37">
        <f>IF($CV13="P",CS13,(CS13+BP13)/2)</f>
        <v>2</v>
      </c>
      <c r="QX13" s="37">
        <f>IF($CV13="P",CT13,(CT13+BQ13)/2)</f>
        <v>0</v>
      </c>
      <c r="QY13" s="37">
        <f>IF($CV13="P",CU13,(CU13+BR13)/2)</f>
        <v>0</v>
      </c>
      <c r="QZ13" s="44" t="s">
        <v>46</v>
      </c>
      <c r="RA13" s="78">
        <f>IF(SUM(QG13,QK13)&gt;0,SUM(QG13,QK13),"")</f>
        <v>4</v>
      </c>
      <c r="RB13" s="78">
        <f>IF(SUM(QF13:QG13,QI13:QK13,QM13)-QH13-QL13&gt;0,SUM(QF13:QG13,QI13:QK13,QM13)-QH13-QL13,"")</f>
        <v>22.4</v>
      </c>
      <c r="RC13" s="78">
        <f>IF(SUM(QN13:QO13,QQ13)-QP13&gt;0,SUM(QN13:QO13,QQ13)-QP13,"")</f>
        <v>11.15</v>
      </c>
      <c r="RD13" s="78">
        <f>IF(SUM(QG13,QK13,QO13)&gt;0,SUM(QG13,QK13,QO13),"")</f>
        <v>5.75</v>
      </c>
      <c r="RE13" s="78">
        <f>IF(SUM(RB13,RC13)&gt;0,SUM(RB13,RC13),"")</f>
        <v>33.549999999999997</v>
      </c>
      <c r="RF13" s="78">
        <f>IF(SUM(QS13,QW13)&gt;0,SUM(QS13,QW13),"")</f>
        <v>4.2</v>
      </c>
      <c r="RG13" s="78">
        <f>IF(SUM(QR13:QS13,QU13:QW13,QY13)-SUM(QT13,QX13)&gt;0,SUM(QR13:QS13,QU13:QW13,QY13)-SUM(QT13,QX13),"")</f>
        <v>22.450000000000003</v>
      </c>
      <c r="RH13" s="78">
        <f>IF(SUM(RB13,RG13)&gt;0,SUM(RB13,RG13),"")</f>
        <v>44.85</v>
      </c>
    </row>
    <row r="14" spans="1:476" x14ac:dyDescent="0.2">
      <c r="A14" s="5" t="str">
        <f>IF(AND(F14="P",G14="P"),SUMPRODUCT((F$4:F$29="P")*(G$4:G$29="P")*(E$4:E$29&gt;E14))+1,IF(G14="P",SUMPRODUCT((F$4:F$29="")*(G$4:G$29="P")*(E$4:E$29&gt;E14))+1+SUMPRODUCT((F$4:F$29="P")*(G$4:G$29="P")),""))</f>
        <v/>
      </c>
      <c r="B14" s="77" t="s">
        <v>80</v>
      </c>
      <c r="C14" s="5" t="s">
        <v>4</v>
      </c>
      <c r="D14" s="5">
        <v>2004</v>
      </c>
      <c r="E14" s="15">
        <f>SUM(I14:S14)+SUM(I14:O14)*0.0000001+SUM(I14)*0.0000000000001</f>
        <v>175.00001310000437</v>
      </c>
      <c r="F14" s="3" t="str">
        <f>IF(OR(AND(AQ14&gt;=AX$31,AR14&gt;=AX$35,AQ14&lt;&gt;"",AP14=""),AND(AV14&gt;=AX$31,AW14&gt;=AX$35,AV14&lt;&gt;"",AP14=""),AND(BT14&gt;=CA$31,BU14&gt;=CA$35,BT14&lt;&gt;"",BS14=""),AND(BY14&gt;=CA$31,BZ14&gt;=CA$35,BY14&lt;&gt;"",BS14=""),AND(CW14&gt;=DD$31,CX14&gt;=DD$35,CW14&lt;&gt;"",CV14=""),AND(DB14&gt;=DD$31,DC14&gt;=DD$35,DB14&lt;&gt;""),AND(EB14&gt;=EI$31,EC14&gt;=EI$35,EB14&lt;&gt;""),AND(EG14&gt;=EI$31,EH14&gt;=EI$35,EG14&lt;&gt;""),AND(FD14&gt;=FK$31,FE14&gt;=FK$35,FD14&lt;&gt;""),AND(FI14&gt;=FK$31,FJ14&gt;=FK$35,FI14&lt;&gt;""),AND(GF14&gt;=GM$31,GG14&gt;=GM$35,GF14&lt;&gt;""),AND(GK14&gt;=GM$31,GL14&gt;=GM$35,GK14&lt;&gt;""),AND(HH14&gt;=HO$31,HI14&gt;=HO$35,HH14&lt;&gt;""),AND(HM14&gt;=HO$31,HN14&gt;=HO$35,HM14&lt;&gt;""),AND(IJ14&gt;=IQ$31,IK14&gt;=IQ$35,IJ14&lt;&gt;""),AND(IO14&gt;=IQ$31,IP14&gt;=IQ$35,IO14&lt;&gt;""),AND(JL14&gt;=JS$31,JM14&gt;=JS$35,JL14&lt;&gt;""),AND(JQ14&gt;=JS$31,JR14&gt;=JS$35,JQ14&lt;&gt;""),AND(KN14&gt;=KU$31,KO14&gt;=KU$35,KN14&lt;&gt;""),AND(KS14&gt;=KU$31,KT14&gt;=KU$35,KS14&lt;&gt;""),AND(LP14&gt;=LW$31,LQ14&gt;=LW$35,LP14&lt;&gt;""),AND(LU14&gt;=LW$31,LV14&gt;=LW$35,LU14&lt;&gt;""),AND(MR14&gt;=MY$31,MS14&gt;=MY$35,MR14&lt;&gt;""),AND(MW14&gt;=MY$31,MX14&gt;=MY$35,MW14&lt;&gt;""),AND(NT14&gt;=OA$31,NU14&gt;=OA$35,NT14&lt;&gt;""),AND(NY14&gt;=OA$31,NZ14&gt;=OA$35,NY14&lt;&gt;""),AND(OV14&gt;=PC$31,OW14&gt;=PC$35,OV14&lt;&gt;""),AND(PA14&gt;=PC$31,PB14&gt;=PC$35,PA14&lt;&gt;""),AND(PX14&gt;=QE$31,PY14&gt;=QE$35,PX14&lt;&gt;""),AND(QC14&gt;=QE$31,QD14&gt;=QE$35,QC14&lt;&gt;"")),"P","")</f>
        <v/>
      </c>
      <c r="G14" s="3" t="str">
        <f>IF(OR(AND(AR14&gt;=AX$35,AR14&lt;&gt;"",AP14=""),AND(AW14&gt;=AX$35,AW14&lt;&gt;"",AP14=""),AND(BU14&gt;=CA$35,BU14&lt;&gt;"",BS14=""),AND(BZ14&gt;=CA$35,BZ14&lt;&gt;"",BS14=""),AND(CX14&gt;=DD$35,CX14&lt;&gt;"",CV14=""),AND(DC14&gt;=DD$35,DC14&lt;&gt;"",CV14=""),AND(EC14&gt;=EI$35,EC14&lt;&gt;""),AND(EH14&gt;=EI$35,EH14&lt;&gt;""),AND(FE14&gt;=FK$35,FE14&lt;&gt;""),AND(FJ14&gt;=FK$35,FJ14&lt;&gt;""),AND(GG14&gt;=GM$35,GG14&lt;&gt;""),AND(GL14&gt;=GM$35,GL14&lt;&gt;""),AND(HI14&gt;=HO$35,HI14&lt;&gt;""),AND(HN14&gt;=HO$35,HN14&lt;&gt;""),AND(IK14&gt;=IQ$35,IK14&lt;&gt;""),AND(IP14&gt;=IQ$35,IP14&lt;&gt;""),AND(JM14&gt;=JS$35,JM14&lt;&gt;""),AND(JR14&gt;=JS$35,JR14&lt;&gt;""),AND(KO14&gt;=KU$35,KO14&lt;&gt;""),AND(KT14&gt;=KU$35,KT14&lt;&gt;""),AND(LQ14&gt;=LW$35,LQ14&lt;&gt;""),AND(LV14&gt;=LW$35,LV14&lt;&gt;""),AND(MS14&gt;=MY$35,MS14&lt;&gt;""),AND(MX14&gt;=MY$35,MX14&lt;&gt;""),AND(NU14&gt;=OA$35,NU14&lt;&gt;""),AND(NZ14&gt;=OA$35,NZ14&lt;&gt;""),AND(OW14&gt;=PC$35,OW14&lt;&gt;""),AND(PB14&gt;=PC$35,PB14&lt;&gt;""),AND(PY14&gt;=QE$35,PY14&lt;&gt;""),AND(QD14&gt;=QE$35,QD14&lt;&gt;"")),"P","")</f>
        <v/>
      </c>
      <c r="H14" s="66" t="str">
        <f>IF(AND(G14="P",F14=""),"No DD",IF(OR(AND(AT14&gt;=AX$34,AU14&gt;=AX$38,AT14&lt;&gt;"",AP14=""),AND(BW14&gt;=CA$34,BX14&gt;=CA$38,BW14&lt;&gt;"",BS14=""),AND(CZ14&gt;=DD$34,DA14&gt;=DD$38,CZ14&lt;&gt;"",CV14=""),AND(EE14&gt;=EI$34,EF14&gt;=EI$38,EE14&lt;&gt;""),AND(FG14&gt;=FK$34,FH14&gt;=FK$38,FG14&lt;&gt;""),AND(GI14&gt;=GM$34,GJ14&gt;=GM$38,GI14&lt;&gt;""),AND(HK14&gt;=HO$34,HL14&gt;=HO$38,HK14&lt;&gt;""),AND(IM14&gt;=IQ$34,IN14&gt;=IQ$38,IM14&lt;&gt;""),AND(JO14&gt;=JS$34,JP14&gt;=JS$38,JO14&lt;&gt;""),AND(KQ14&gt;=KU$34,KR14&gt;=KU$38,KQ14&lt;&gt;""),AND(LS14&gt;=LW$34,LT14&gt;=LW$38,LS14&lt;&gt;""),AND(MU14&gt;=MY$34,MV14&gt;=MY$38,MU14&lt;&gt;""),AND(NW14&gt;=OA$34,NX14&gt;=OA$38,NW14&lt;&gt;""),AND(OY14&gt;=PC$34,OZ14&gt;=PC$38,OY14&lt;&gt;""),AND(QA14&gt;=QE$34,QB14&gt;=QE$38,QA14&lt;&gt;"")),"Merit",IF(OR(AND(AT14&gt;=AX$33,AU14&gt;=AX$37,AT14&lt;&gt;"",AP14=""),AND(BW14&gt;=CA$33,BX14&gt;=CA$37,BW14&lt;&gt;"",BS14=""),AND(CZ14&gt;=DD$33,DA14&gt;=DD$37,CZ14&lt;&gt;"",CV14=""),AND(EE14&gt;=EI$33,EF14&gt;=EI$37,EE14&lt;&gt;""),AND(FG14&gt;=FK$33,FH14&gt;=FK$37,FG14&lt;&gt;""),AND(GI14&gt;=GM$33,GJ14&gt;=GM$37,GI14&lt;&gt;""),AND(HK14&gt;=HO$33,HL14&gt;=HO$37,HK14&lt;&gt;""),AND(IM14&gt;=IQ$33,IN14&gt;=IQ$37,IM14&lt;&gt;""),AND(JO14&gt;=JS$33,JP14&gt;=JS$37,JO14&lt;&gt;""),AND(KQ14&gt;=KU$33,KR14&gt;=KU$37,KQ14&lt;&gt;""),AND(LS14&gt;=LW$33,LT14&gt;=LW$37,LS14&lt;&gt;""),AND(MU14&gt;=MY$33,MV14&gt;=MY$37,MU14&lt;&gt;""),AND(NW14&gt;=OA$33,NX14&gt;=OA$37,NW14&lt;&gt;""),AND(OY14&gt;=PC$33,OZ14&gt;=PC$37,OY14&lt;&gt;""),AND(QA14&gt;=QE$33,QB14&gt;=QE$37,QA14&lt;&gt;"")),"Excellence",IF(F14="P","National Team",""))))</f>
        <v/>
      </c>
      <c r="I14" s="14">
        <f>IF(COUNT(AR14,BU14,CX14)&gt;0,LARGE((AR14,BU14,CX14),1),0)</f>
        <v>43.9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43.2</v>
      </c>
      <c r="L14" s="14" t="str">
        <f>IF(K14=0,"",IF(K14=CX14,$CB$1,IF(K14=BU14,$AY$1,IF(K14=AR14,$V$1,""))))</f>
        <v>2022 Nationals</v>
      </c>
      <c r="M14" s="14">
        <f>IF(COUNT(AS14,BV14,CY14)&gt;0,LARGE((AS14,BV14,CY14),1),0)</f>
        <v>22.2</v>
      </c>
      <c r="N14" s="14" t="str">
        <f>IF(M14=0,"",IF(M14=CY14,$CB$1,IF(M14=BV14,$AY$1,IF(M14=AS14,$V$1,""))))</f>
        <v>2022 Nationals</v>
      </c>
      <c r="O14" s="14">
        <f>IF(COUNT(AS14,BV14,CY14)&gt;1,LARGE((AS14,BV14,CY14),2),0)</f>
        <v>21.7</v>
      </c>
      <c r="P14" s="14" t="str">
        <f>IF(O14=0,"",IF(O14=CY14,$CB$1,IF(O14=BV14,$AY$1,IF(O14=AS14,$V$1,""))))</f>
        <v>2022 Elite Canada</v>
      </c>
      <c r="Q14" s="14">
        <f>IF(MAX(AW14,BZ14,DC14)&gt;0,MAX(AW14,BZ14,DC14),0)</f>
        <v>44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19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6">
        <v>18.399999999999999</v>
      </c>
      <c r="W14" s="26">
        <v>3.5</v>
      </c>
      <c r="X14" s="26">
        <v>0.2</v>
      </c>
      <c r="Y14" s="26">
        <v>0</v>
      </c>
      <c r="Z14" s="26">
        <v>18.600000000000001</v>
      </c>
      <c r="AA14" s="26">
        <v>3.6</v>
      </c>
      <c r="AB14" s="26">
        <v>0</v>
      </c>
      <c r="AC14" s="26">
        <v>0</v>
      </c>
      <c r="AD14" s="26">
        <v>18.399999999999999</v>
      </c>
      <c r="AE14" s="26">
        <v>3.3</v>
      </c>
      <c r="AF14" s="26">
        <v>0</v>
      </c>
      <c r="AG14" s="26">
        <v>0</v>
      </c>
      <c r="AH14" s="26">
        <v>18.8</v>
      </c>
      <c r="AI14" s="26">
        <v>3.1</v>
      </c>
      <c r="AJ14" s="26">
        <v>0.2</v>
      </c>
      <c r="AK14" s="26">
        <v>0</v>
      </c>
      <c r="AL14" s="26">
        <v>18.7</v>
      </c>
      <c r="AM14" s="26">
        <v>3.6</v>
      </c>
      <c r="AN14" s="26">
        <v>0</v>
      </c>
      <c r="AO14" s="26">
        <v>0</v>
      </c>
      <c r="AP14" s="44"/>
      <c r="AQ14" s="78">
        <f>IF(SUM(W14,AA14)&gt;0,SUM(W14,AA14),"")</f>
        <v>7.1</v>
      </c>
      <c r="AR14" s="78">
        <f>IF(SUM(V14:W14,Y14:AA14,AC14)-X14-AB14&gt;0,SUM(V14:W14,Y14:AA14,AC14)-X14-AB14,"")</f>
        <v>43.9</v>
      </c>
      <c r="AS14" s="78">
        <f>IF(SUM(AD14:AE14,AG14)-AF14&gt;0,SUM(AD14:AE14,AG14)-AF14,"")</f>
        <v>21.7</v>
      </c>
      <c r="AT14" s="78">
        <f>IF(SUM(W14,AA14,AE14)&gt;0,SUM(W14,AA14,AE14),"")</f>
        <v>10.399999999999999</v>
      </c>
      <c r="AU14" s="78">
        <f>IF(SUM(AR14,AS14)&gt;0,SUM(AR14,AS14),"")</f>
        <v>65.599999999999994</v>
      </c>
      <c r="AV14" s="78">
        <f>IF(SUM(AI14,AM14)&gt;0,SUM(AI14,AM14),"")</f>
        <v>6.7</v>
      </c>
      <c r="AW14" s="78">
        <f>IF(SUM(AH14:AI14,AK14:AM14,AO14)-SUM(AJ14,AN14)&gt;0,SUM(AH14:AI14,AK14:AM14,AO14)-SUM(AJ14,AN14),"")</f>
        <v>44</v>
      </c>
      <c r="AX14" s="78">
        <f>IF(SUM(AR14,AW14)&gt;0,SUM(AR14,AW14),"")</f>
        <v>87.9</v>
      </c>
      <c r="AY14" s="25">
        <v>18.600000000000001</v>
      </c>
      <c r="AZ14" s="25">
        <v>2.7</v>
      </c>
      <c r="BA14" s="25">
        <v>0</v>
      </c>
      <c r="BB14" s="25">
        <v>0</v>
      </c>
      <c r="BC14" s="25">
        <v>18.3</v>
      </c>
      <c r="BD14" s="25">
        <v>3.6</v>
      </c>
      <c r="BE14" s="25">
        <v>0</v>
      </c>
      <c r="BF14" s="25">
        <v>0</v>
      </c>
      <c r="BG14" s="25">
        <v>18.899999999999999</v>
      </c>
      <c r="BH14" s="25">
        <v>3.3</v>
      </c>
      <c r="BI14" s="25">
        <v>0</v>
      </c>
      <c r="BJ14" s="25">
        <v>0</v>
      </c>
      <c r="BK14" s="25">
        <v>18.600000000000001</v>
      </c>
      <c r="BL14" s="25">
        <v>3.5</v>
      </c>
      <c r="BM14" s="25">
        <v>0</v>
      </c>
      <c r="BN14" s="25">
        <v>0</v>
      </c>
      <c r="BO14" s="25">
        <v>18</v>
      </c>
      <c r="BP14" s="25">
        <v>3.6</v>
      </c>
      <c r="BQ14" s="25">
        <v>0.2</v>
      </c>
      <c r="BR14" s="25">
        <v>0</v>
      </c>
      <c r="BS14" s="45"/>
      <c r="BT14" s="19">
        <f>IF(SUM(AZ14,BD14)&gt;0,SUM(AZ14,BD14),"")</f>
        <v>6.3000000000000007</v>
      </c>
      <c r="BU14" s="19">
        <f>IF(SUM(AY14:AZ14,BB14:BD14,BF14)-BA14-BE14&gt;0,SUM(AY14:AZ14,BB14:BD14,BF14)-BA14-BE14,"")</f>
        <v>43.2</v>
      </c>
      <c r="BV14" s="19">
        <f>IF(SUM(BG14:BH14,BJ14)-BI14&gt;0,SUM(BG14:BH14,BJ14)-BI14,"")</f>
        <v>22.2</v>
      </c>
      <c r="BW14" s="19">
        <f>IF(SUM(AZ14,BD14,BH14)&gt;0,SUM(AZ14,BD14,BH14),"")</f>
        <v>9.6000000000000014</v>
      </c>
      <c r="BX14" s="19">
        <f>IF(SUM(BU14,BV14)&gt;0,SUM(BU14,BV14),"")</f>
        <v>65.400000000000006</v>
      </c>
      <c r="BY14" s="19">
        <f>IF(SUM(BL14,BP14)&gt;0,SUM(BL14,BP14),"")</f>
        <v>7.1</v>
      </c>
      <c r="BZ14" s="19">
        <f>IF(SUM(BK14:BL14,BN14:BP14,BR14)-SUM(BM14,BQ14)&gt;0,SUM(BK14:BL14,BN14:BP14,BR14)-SUM(BM14,BQ14),"")</f>
        <v>43.5</v>
      </c>
      <c r="CA14" s="19">
        <f>IF(SUM(BU14,BZ14)&gt;0,SUM(BU14,BZ14),"")</f>
        <v>86.7</v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>IF(SUM(CC14,CG14)&gt;0,SUM(CC14,CG14),"")</f>
        <v/>
      </c>
      <c r="CX14" s="78" t="str">
        <f>IF(SUM(CB14:CC14,CE14:CG14,CI14)-CD14-CH14&gt;0,SUM(CB14:CC14,CE14:CG14,CI14)-CD14-CH14,"")</f>
        <v/>
      </c>
      <c r="CY14" s="78" t="str">
        <f>IF(SUM(CJ14:CK14,CM14)-CL14&gt;0,SUM(CJ14:CK14,CM14)-CL14,"")</f>
        <v/>
      </c>
      <c r="CZ14" s="78" t="str">
        <f>IF(SUM(CC14,CG14,CK14)&gt;0,SUM(CC14,CG14,CK14),"")</f>
        <v/>
      </c>
      <c r="DA14" s="78" t="str">
        <f>IF(SUM(CX14,CY14)&gt;0,SUM(CX14,CY14),"")</f>
        <v/>
      </c>
      <c r="DB14" s="78" t="str">
        <f>IF(SUM(CO14,CS14)&gt;0,SUM(CO14,CS14),"")</f>
        <v/>
      </c>
      <c r="DC14" s="78" t="str">
        <f>IF(SUM(CN14:CO14,CQ14:CS14,CU14)-SUM(CP14,CT14)&gt;0,SUM(CN14:CO14,CQ14:CS14,CU14)-SUM(CP14,CT14),"")</f>
        <v/>
      </c>
      <c r="DD14" s="78" t="str">
        <f>IF(SUM(CX14,DC14)&gt;0,SUM(CX14,DC14),"")</f>
        <v/>
      </c>
      <c r="DE14" s="79" t="str">
        <f>IF(K14&gt;=0.001,IF(MAX(EC14,FE14,GG14,HI14,IK14,JM14,KO14,LQ14,MS14,NU14,OW14,PY14)-IF(K14="",0,K14)&gt;0.001,MAX(EC14,FE14,GG14,HI14,IK14,JM14,KO14,LQ14,MS14,NU14,OW14,PY14)-IF(K14="",0,K14),""),"")</f>
        <v/>
      </c>
      <c r="DF14" s="79" t="str">
        <f>IF(O14&gt;=0.001,IF(MAX(ED14,FF14,GH14,HJ14,IL14,JN14,KP14,LR14,MT14,NV14,OX14,PZ14)-IF(O14="",0,O14)&gt;0.001,MAX(ED14,FF14,GH14,HJ14,IL14,JN14,KP14,LR14,MT14,NV14,OX14,PZ14)-IF(O14="",0,O14),""),"")</f>
        <v/>
      </c>
      <c r="DG14" s="79" t="str">
        <f>IF(Q14&gt;=0.001,IF(MAX(EH14,FJ14,GL14,HN14,IP14,JR14,KT14,LV14,MX14,NZ14,PB14,QD14)-IF(Q14="",0,Q14)&gt;0.001,MAX(EH14,FJ14,GL14,HN14,IP14,JR14,KT14,LV14,MX14,NZ14,PB14,QD14)-IF(Q14="",0,Q14),""),"")</f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>IF(SUM(DI14,DM14)&gt;0,SUM(DI14,DM14),"")</f>
        <v/>
      </c>
      <c r="EC14" s="78" t="str">
        <f>IF(SUM(DH14:DI14,DK14:DM14,DO14)-DJ14-DN14&gt;0,SUM(DH14:DI14,DK14:DM14,DO14)-DJ14-DN14,"")</f>
        <v/>
      </c>
      <c r="ED14" s="78" t="str">
        <f>IF(SUM(DP14:DQ14,DS14)-DR14&gt;0,SUM(DP14:DQ14,DS14)-DR14,"")</f>
        <v/>
      </c>
      <c r="EE14" s="78" t="str">
        <f>IF(SUM(DI14,DM14,DQ14)&gt;0,SUM(DI14,DM14,DQ14),"")</f>
        <v/>
      </c>
      <c r="EF14" s="78" t="str">
        <f>IF(SUM(EC14,ED14)&gt;0,SUM(EC14,ED14),"")</f>
        <v/>
      </c>
      <c r="EG14" s="78" t="str">
        <f>IF(SUM(DU14,DY14)&gt;0,SUM(DU14,DY14),"")</f>
        <v/>
      </c>
      <c r="EH14" s="78" t="str">
        <f>IF(SUM(DT14:DU14,DW14:DY14,EA14)-SUM(DV14,DZ14)&gt;0,SUM(DT14:DU14,DW14:DY14,EA14)-SUM(DV14,DZ14),"")</f>
        <v/>
      </c>
      <c r="EI14" s="78" t="str">
        <f>IF(SUM(EC14,EH14)&gt;0,SUM(EC14,EH14),"")</f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>IF(SUM(EK14,EO14)&gt;0,SUM(EK14,EO14),"")</f>
        <v/>
      </c>
      <c r="FE14" s="19" t="str">
        <f>IF(SUM(EJ14:EK14,EM14:EO14,EQ14)-EL14-EP14&gt;0,SUM(EJ14:EK14,EM14:EO14,EQ14)-EL14-EP14,"")</f>
        <v/>
      </c>
      <c r="FF14" s="19" t="str">
        <f>IF(SUM(ER14:ES14,EU14)-ET14&gt;0,SUM(ER14:ES14,EU14)-ET14,"")</f>
        <v/>
      </c>
      <c r="FG14" s="19" t="str">
        <f>IF(SUM(EK14,EO14,ES14)&gt;0,SUM(EK14,EO14,ES14),"")</f>
        <v/>
      </c>
      <c r="FH14" s="19" t="str">
        <f>IF(SUM(FE14,FF14)&gt;0,SUM(FE14,FF14),"")</f>
        <v/>
      </c>
      <c r="FI14" s="19" t="str">
        <f>IF(SUM(EW14,FA14)&gt;0,SUM(EW14,FA14),"")</f>
        <v/>
      </c>
      <c r="FJ14" s="19" t="str">
        <f>IF(SUM(EV14:EW14,EY14:FA14,FC14)-SUM(EX14,FB14)&gt;0,SUM(EV14:EW14,EY14:FA14,FC14)-SUM(EX14,FB14),"")</f>
        <v/>
      </c>
      <c r="FK14" s="19" t="str">
        <f>IF(SUM(FE14,FJ14)&gt;0,SUM(FE14,FJ14),"")</f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>IF(SUM(FM14,FQ14)&gt;0,SUM(FM14,FQ14),"")</f>
        <v/>
      </c>
      <c r="GG14" s="78" t="str">
        <f>IF(SUM(FL14:FM14,FO14:FQ14,FS14)-FN14-FR14&gt;0,SUM(FL14:FM14,FO14:FQ14,FS14)-FN14-FR14,"")</f>
        <v/>
      </c>
      <c r="GH14" s="78" t="str">
        <f>IF(SUM(FT14:FU14,FW14)-FV14&gt;0,SUM(FT14:FU14,FW14)-FV14,"")</f>
        <v/>
      </c>
      <c r="GI14" s="78" t="str">
        <f>IF(SUM(FM14,FQ14,FU14)&gt;0,SUM(FM14,FQ14,FU14),"")</f>
        <v/>
      </c>
      <c r="GJ14" s="78" t="str">
        <f>IF(SUM(GG14,GH14)&gt;0,SUM(GG14,GH14),"")</f>
        <v/>
      </c>
      <c r="GK14" s="78" t="str">
        <f>IF(SUM(FY14,GC14)&gt;0,SUM(FY14,GC14),"")</f>
        <v/>
      </c>
      <c r="GL14" s="78" t="str">
        <f>IF(SUM(FX14:FY14,GA14:GC14,GE14)-SUM(FZ14,GD14)&gt;0,SUM(FX14:FY14,GA14:GC14,GE14)-SUM(FZ14,GD14),"")</f>
        <v/>
      </c>
      <c r="GM14" s="78" t="str">
        <f>IF(SUM(GG14,GL14)&gt;0,SUM(GG14,GL14),"")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>IF(SUM(GO14,GS14)&gt;0,SUM(GO14,GS14),"")</f>
        <v/>
      </c>
      <c r="HI14" s="19" t="str">
        <f>IF(SUM(GN14:GO14,GQ14:GS14,GU14)-GP14-GT14&gt;0,SUM(GN14:GO14,GQ14:GS14,GU14)-GP14-GT14,"")</f>
        <v/>
      </c>
      <c r="HJ14" s="19" t="str">
        <f>IF(SUM(GV14:GW14,GY14)-GX14&gt;0,SUM(GV14:GW14,GY14)-GX14,"")</f>
        <v/>
      </c>
      <c r="HK14" s="19" t="str">
        <f>IF(SUM(GO14,GS14,GW14)&gt;0,SUM(GO14,GS14,GW14),"")</f>
        <v/>
      </c>
      <c r="HL14" s="19" t="str">
        <f>IF(SUM(HI14,HJ14)&gt;0,SUM(HI14,HJ14),"")</f>
        <v/>
      </c>
      <c r="HM14" s="19" t="str">
        <f>IF(SUM(HA14,HE14)&gt;0,SUM(HA14,HE14),"")</f>
        <v/>
      </c>
      <c r="HN14" s="19" t="str">
        <f>IF(SUM(GZ14:HA14,HC14:HE14,HG14)-SUM(HB14,HF14)&gt;0,SUM(GZ14:HA14,HC14:HE14,HG14)-SUM(HB14,HF14),"")</f>
        <v/>
      </c>
      <c r="HO14" s="19" t="str">
        <f>IF(SUM(HI14,HN14)&gt;0,SUM(HI14,HN14),"")</f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>IF(SUM(HQ14,HU14)&gt;0,SUM(HQ14,HU14),"")</f>
        <v/>
      </c>
      <c r="IK14" s="78" t="str">
        <f>IF(SUM(HP14:HQ14,HS14:HU14,HW14)-HR14-HV14&gt;0,SUM(HP14:HQ14,HS14:HU14,HW14)-HR14-HV14,"")</f>
        <v/>
      </c>
      <c r="IL14" s="78" t="str">
        <f>IF(SUM(HX14:HY14,IA14)-HZ14&gt;0,SUM(HX14:HY14,IA14)-HZ14,"")</f>
        <v/>
      </c>
      <c r="IM14" s="78" t="str">
        <f>IF(SUM(HQ14,HU14,HY14)&gt;0,SUM(HQ14,HU14,HY14),"")</f>
        <v/>
      </c>
      <c r="IN14" s="78" t="str">
        <f>IF(SUM(IK14,IL14)&gt;0,SUM(IK14,IL14),"")</f>
        <v/>
      </c>
      <c r="IO14" s="78" t="str">
        <f>IF(SUM(IC14,IG14)&gt;0,SUM(IC14,IG14),"")</f>
        <v/>
      </c>
      <c r="IP14" s="78" t="str">
        <f>IF(SUM(IB14:IC14,IE14:IG14,II14)-SUM(ID14,IH14)&gt;0,SUM(IB14:IC14,IE14:IG14,II14)-SUM(ID14,IH14),"")</f>
        <v/>
      </c>
      <c r="IQ14" s="78" t="str">
        <f>IF(SUM(IK14,IP14)&gt;0,SUM(IK14,IP14),"")</f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>IF(SUM(IS14,IW14)&gt;0,SUM(IS14,IW14),"")</f>
        <v/>
      </c>
      <c r="JM14" s="19" t="str">
        <f>IF(SUM(IR14:IS14,IU14:IW14,IY14)-IT14-IX14&gt;0,SUM(IR14:IS14,IU14:IW14,IY14)-IT14-IX14,"")</f>
        <v/>
      </c>
      <c r="JN14" s="19" t="str">
        <f>IF(SUM(IZ14:JA14,JC14)-JB14&gt;0,SUM(IZ14:JA14,JC14)-JB14,"")</f>
        <v/>
      </c>
      <c r="JO14" s="19" t="str">
        <f>IF(SUM(IS14,IW14,JA14)&gt;0,SUM(IS14,IW14,JA14),"")</f>
        <v/>
      </c>
      <c r="JP14" s="19" t="str">
        <f>IF(SUM(JM14,JN14)&gt;0,SUM(JM14,JN14),"")</f>
        <v/>
      </c>
      <c r="JQ14" s="19" t="str">
        <f>IF(SUM(JE14,JI14)&gt;0,SUM(JE14,JI14),"")</f>
        <v/>
      </c>
      <c r="JR14" s="19" t="str">
        <f>IF(SUM(JD14:JE14,JG14:JI14,JK14)-SUM(JF14,JJ14)&gt;0,SUM(JD14:JE14,JG14:JI14,JK14)-SUM(JF14,JJ14),"")</f>
        <v/>
      </c>
      <c r="JS14" s="19" t="str">
        <f>IF(SUM(JM14,JR14)&gt;0,SUM(JM14,JR14),"")</f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>IF(SUM(JU14,JY14)&gt;0,SUM(JU14,JY14),"")</f>
        <v/>
      </c>
      <c r="KO14" s="78" t="str">
        <f>IF(SUM(JT14:JU14,JW14:JY14,KA14)-JV14-JZ14&gt;0,SUM(JT14:JU14,JW14:JY14,KA14)-JV14-JZ14,"")</f>
        <v/>
      </c>
      <c r="KP14" s="78" t="str">
        <f>IF(SUM(KB14:KC14,KE14)-KD14&gt;0,SUM(KB14:KC14,KE14)-KD14,"")</f>
        <v/>
      </c>
      <c r="KQ14" s="78" t="str">
        <f>IF(SUM(JU14,JY14,KC14)&gt;0,SUM(JU14,JY14,KC14),"")</f>
        <v/>
      </c>
      <c r="KR14" s="78" t="str">
        <f>IF(SUM(KO14,KP14)&gt;0,SUM(KO14,KP14),"")</f>
        <v/>
      </c>
      <c r="KS14" s="78" t="str">
        <f>IF(SUM(KG14,KK14)&gt;0,SUM(KG14,KK14),"")</f>
        <v/>
      </c>
      <c r="KT14" s="78" t="str">
        <f>IF(SUM(KF14:KG14,KI14:KK14,KM14)-SUM(KH14,KL14)&gt;0,SUM(KF14:KG14,KI14:KK14,KM14)-SUM(KH14,KL14),"")</f>
        <v/>
      </c>
      <c r="KU14" s="78" t="str">
        <f>IF(SUM(KO14,KT14)&gt;0,SUM(KO14,KT14),"")</f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>IF(SUM(KW14,LA14)&gt;0,SUM(KW14,LA14),"")</f>
        <v/>
      </c>
      <c r="LQ14" s="19" t="str">
        <f>IF(SUM(KV14:KW14,KY14:LA14,LC14)-KX14-LB14&gt;0,SUM(KV14:KW14,KY14:LA14,LC14)-KX14-LB14,"")</f>
        <v/>
      </c>
      <c r="LR14" s="19" t="str">
        <f>IF(SUM(LD14:LE14,LG14)-LF14&gt;0,SUM(LD14:LE14,LG14)-LF14,"")</f>
        <v/>
      </c>
      <c r="LS14" s="19" t="str">
        <f>IF(SUM(KW14,LA14,LE14)&gt;0,SUM(KW14,LA14,LE14),"")</f>
        <v/>
      </c>
      <c r="LT14" s="19" t="str">
        <f>IF(SUM(LQ14,LR14)&gt;0,SUM(LQ14,LR14),"")</f>
        <v/>
      </c>
      <c r="LU14" s="19" t="str">
        <f>IF(SUM(LI14,LM14)&gt;0,SUM(LI14,LM14),"")</f>
        <v/>
      </c>
      <c r="LV14" s="19" t="str">
        <f>IF(SUM(LH14:LI14,LK14:LM14,LO14)-SUM(LJ14,LN14)&gt;0,SUM(LH14:LI14,LK14:LM14,LO14)-SUM(LJ14,LN14),"")</f>
        <v/>
      </c>
      <c r="LW14" s="19" t="str">
        <f>IF(SUM(LQ14,LV14)&gt;0,SUM(LQ14,LV14),"")</f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>IF(SUM(LY14,MC14)&gt;0,SUM(LY14,MC14),"")</f>
        <v/>
      </c>
      <c r="MS14" s="78" t="str">
        <f>IF(SUM(LX14:LY14,MA14:MC14,ME14)-LZ14-MD14&gt;0,SUM(LX14:LY14,MA14:MC14,ME14)-LZ14-MD14,"")</f>
        <v/>
      </c>
      <c r="MT14" s="78" t="str">
        <f>IF(SUM(MF14:MG14,MI14)-MH14&gt;0,SUM(MF14:MG14,MI14)-MH14,"")</f>
        <v/>
      </c>
      <c r="MU14" s="78" t="str">
        <f>IF(SUM(LY14,MC14,MG14)&gt;0,SUM(LY14,MC14,MG14),"")</f>
        <v/>
      </c>
      <c r="MV14" s="78" t="str">
        <f>IF(SUM(MS14,MT14)&gt;0,SUM(MS14,MT14),"")</f>
        <v/>
      </c>
      <c r="MW14" s="78" t="str">
        <f>IF(SUM(MK14,MO14)&gt;0,SUM(MK14,MO14),"")</f>
        <v/>
      </c>
      <c r="MX14" s="78" t="str">
        <f>IF(SUM(MJ14:MK14,MM14:MO14,MQ14)-SUM(ML14,MP14)&gt;0,SUM(MJ14:MK14,MM14:MO14,MQ14)-SUM(ML14,MP14),"")</f>
        <v/>
      </c>
      <c r="MY14" s="78" t="str">
        <f>IF(SUM(MS14,MX14)&gt;0,SUM(MS14,MX14),"")</f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>IF(SUM(NA14,NE14)&gt;0,SUM(NA14,NE14),"")</f>
        <v/>
      </c>
      <c r="NU14" s="19" t="str">
        <f>IF(SUM(MZ14:NA14,NC14:NE14,NG14)-NB14-NF14&gt;0,SUM(MZ14:NA14,NC14:NE14,NG14)-NB14-NF14,"")</f>
        <v/>
      </c>
      <c r="NV14" s="19" t="str">
        <f>IF(SUM(NH14:NI14,NK14)-NJ14&gt;0,SUM(NH14:NI14,NK14)-NJ14,"")</f>
        <v/>
      </c>
      <c r="NW14" s="19" t="str">
        <f>IF(SUM(NA14,NE14,NI14)&gt;0,SUM(NA14,NE14,NI14),"")</f>
        <v/>
      </c>
      <c r="NX14" s="19" t="str">
        <f>IF(SUM(NU14,NV14)&gt;0,SUM(NU14,NV14),"")</f>
        <v/>
      </c>
      <c r="NY14" s="19" t="str">
        <f>IF(SUM(NM14,NQ14)&gt;0,SUM(NM14,NQ14),"")</f>
        <v/>
      </c>
      <c r="NZ14" s="19" t="str">
        <f>IF(SUM(NL14:NM14,NO14:NQ14,NS14)-SUM(NN14,NR14)&gt;0,SUM(NL14:NM14,NO14:NQ14,NS14)-SUM(NN14,NR14),"")</f>
        <v/>
      </c>
      <c r="OA14" s="19" t="str">
        <f>IF(SUM(NU14,NZ14)&gt;0,SUM(NU14,NZ14),"")</f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>IF(SUM(OC14,OG14)&gt;0,SUM(OC14,OG14),"")</f>
        <v/>
      </c>
      <c r="OW14" s="78" t="str">
        <f>IF(SUM(OB14:OC14,OE14:OG14,OI14)-OD14-OH14&gt;0,SUM(OB14:OC14,OE14:OG14,OI14)-OD14-OH14,"")</f>
        <v/>
      </c>
      <c r="OX14" s="78" t="str">
        <f>IF(SUM(OJ14:OK14,OM14)-OL14&gt;0,SUM(OJ14:OK14,OM14)-OL14,"")</f>
        <v/>
      </c>
      <c r="OY14" s="78" t="str">
        <f>IF(SUM(OC14,OG14,OK14)&gt;0,SUM(OC14,OG14,OK14),"")</f>
        <v/>
      </c>
      <c r="OZ14" s="78" t="str">
        <f>IF(SUM(OW14,OX14)&gt;0,SUM(OW14,OX14),"")</f>
        <v/>
      </c>
      <c r="PA14" s="78" t="str">
        <f>IF(SUM(OO14,OS14)&gt;0,SUM(OO14,OS14),"")</f>
        <v/>
      </c>
      <c r="PB14" s="78" t="str">
        <f>IF(SUM(ON14:OO14,OQ14:OS14,OU14)-SUM(OP14,OT14)&gt;0,SUM(ON14:OO14,OQ14:OS14,OU14)-SUM(OP14,OT14),"")</f>
        <v/>
      </c>
      <c r="PC14" s="78" t="str">
        <f>IF(SUM(OW14,PB14)&gt;0,SUM(OW14,PB14),"")</f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>IF(SUM(PE14,PI14)&gt;0,SUM(PE14,PI14),"")</f>
        <v/>
      </c>
      <c r="PY14" s="19" t="str">
        <f>IF(SUM(PD14:PE14,PG14:PI14,PK14)-PF14-PJ14&gt;0,SUM(PD14:PE14,PG14:PI14,PK14)-PF14-PJ14,"")</f>
        <v/>
      </c>
      <c r="PZ14" s="19" t="str">
        <f>IF(SUM(PL14:PM14,PO14)-PN14&gt;0,SUM(PL14:PM14,PO14)-PN14,"")</f>
        <v/>
      </c>
      <c r="QA14" s="19" t="str">
        <f>IF(SUM(PE14,PI14,PM14)&gt;0,SUM(PE14,PI14,PM14),"")</f>
        <v/>
      </c>
      <c r="QB14" s="19" t="str">
        <f>IF(SUM(PY14,PZ14)&gt;0,SUM(PY14,PZ14),"")</f>
        <v/>
      </c>
      <c r="QC14" s="19" t="str">
        <f>IF(SUM(PQ14,PU14)&gt;0,SUM(PQ14,PU14),"")</f>
        <v/>
      </c>
      <c r="QD14" s="19" t="str">
        <f>IF(SUM(PP14:PQ14,PS14:PU14,PW14)-SUM(PR14,PV14)&gt;0,SUM(PP14:PQ14,PS14:PU14,PW14)-SUM(PR14,PV14),"")</f>
        <v/>
      </c>
      <c r="QE14" s="19" t="str">
        <f>IF(SUM(PY14,QD14)&gt;0,SUM(PY14,QD14),"")</f>
        <v/>
      </c>
      <c r="QF14" s="37">
        <f>IF($CV14="P",CB14,(CB14+AY14)/2)</f>
        <v>9.3000000000000007</v>
      </c>
      <c r="QG14" s="37">
        <f>IF($CV14="P",CC14,(CC14+AZ14)/2)</f>
        <v>1.35</v>
      </c>
      <c r="QH14" s="37">
        <f>IF($CV14="P",CD14,(CD14+BA14)/2)</f>
        <v>0</v>
      </c>
      <c r="QI14" s="37">
        <f>IF($CV14="P",CE14,(CE14+BB14)/2)</f>
        <v>0</v>
      </c>
      <c r="QJ14" s="37">
        <f>IF($CV14="P",CF14,(CF14+BC14)/2)</f>
        <v>9.15</v>
      </c>
      <c r="QK14" s="37">
        <f>IF($CV14="P",CG14,(CG14+BD14)/2)</f>
        <v>1.8</v>
      </c>
      <c r="QL14" s="37">
        <f>IF($CV14="P",CH14,(CH14+BE14)/2)</f>
        <v>0</v>
      </c>
      <c r="QM14" s="37">
        <f>IF($CV14="P",CI14,(CI14+BF14)/2)</f>
        <v>0</v>
      </c>
      <c r="QN14" s="37">
        <f>IF($CV14="P",CJ14,(CJ14+BG14)/2)</f>
        <v>9.4499999999999993</v>
      </c>
      <c r="QO14" s="37">
        <f>IF($CV14="P",CK14,(CK14+BH14)/2)</f>
        <v>1.65</v>
      </c>
      <c r="QP14" s="37">
        <f>IF($CV14="P",CL14,(CL14+BI14)/2)</f>
        <v>0</v>
      </c>
      <c r="QQ14" s="37">
        <f>IF($CV14="P",CM14,(CM14+BJ14)/2)</f>
        <v>0</v>
      </c>
      <c r="QR14" s="37">
        <f>IF($CV14="P",CN14,(CN14+BK14)/2)</f>
        <v>9.3000000000000007</v>
      </c>
      <c r="QS14" s="37">
        <f>IF($CV14="P",CO14,(CO14+BL14)/2)</f>
        <v>1.75</v>
      </c>
      <c r="QT14" s="37">
        <f>IF($CV14="P",CP14,(CP14+BM14)/2)</f>
        <v>0</v>
      </c>
      <c r="QU14" s="37">
        <f>IF($CV14="P",CQ14,(CQ14+BN14)/2)</f>
        <v>0</v>
      </c>
      <c r="QV14" s="37">
        <f>IF($CV14="P",CR14,(CR14+BO14)/2)</f>
        <v>9</v>
      </c>
      <c r="QW14" s="37">
        <f>IF($CV14="P",CS14,(CS14+BP14)/2)</f>
        <v>1.8</v>
      </c>
      <c r="QX14" s="37">
        <f>IF($CV14="P",CT14,(CT14+BQ14)/2)</f>
        <v>0.1</v>
      </c>
      <c r="QY14" s="37">
        <f>IF($CV14="P",CU14,(CU14+BR14)/2)</f>
        <v>0</v>
      </c>
      <c r="QZ14" s="44" t="s">
        <v>46</v>
      </c>
      <c r="RA14" s="78">
        <f>IF(SUM(QG14,QK14)&gt;0,SUM(QG14,QK14),"")</f>
        <v>3.1500000000000004</v>
      </c>
      <c r="RB14" s="78">
        <f>IF(SUM(QF14:QG14,QI14:QK14,QM14)-QH14-QL14&gt;0,SUM(QF14:QG14,QI14:QK14,QM14)-QH14-QL14,"")</f>
        <v>21.6</v>
      </c>
      <c r="RC14" s="78">
        <f>IF(SUM(QN14:QO14,QQ14)-QP14&gt;0,SUM(QN14:QO14,QQ14)-QP14,"")</f>
        <v>11.1</v>
      </c>
      <c r="RD14" s="78">
        <f>IF(SUM(QG14,QK14,QO14)&gt;0,SUM(QG14,QK14,QO14),"")</f>
        <v>4.8000000000000007</v>
      </c>
      <c r="RE14" s="78">
        <f>IF(SUM(RB14,RC14)&gt;0,SUM(RB14,RC14),"")</f>
        <v>32.700000000000003</v>
      </c>
      <c r="RF14" s="78">
        <f>IF(SUM(QS14,QW14)&gt;0,SUM(QS14,QW14),"")</f>
        <v>3.55</v>
      </c>
      <c r="RG14" s="78">
        <f>IF(SUM(QR14:QS14,QU14:QW14,QY14)-SUM(QT14,QX14)&gt;0,SUM(QR14:QS14,QU14:QW14,QY14)-SUM(QT14,QX14),"")</f>
        <v>21.75</v>
      </c>
      <c r="RH14" s="78">
        <f>IF(SUM(RB14,RG14)&gt;0,SUM(RB14,RG14),"")</f>
        <v>43.35</v>
      </c>
    </row>
    <row r="15" spans="1:476" x14ac:dyDescent="0.2">
      <c r="A15" s="5" t="str">
        <f>IF(AND(F15="P",G15="P"),SUMPRODUCT((F$4:F$29="P")*(G$4:G$29="P")*(E$4:E$29&gt;E15))+1,IF(G15="P",SUMPRODUCT((F$4:F$29="")*(G$4:G$29="P")*(E$4:E$29&gt;E15))+1+SUMPRODUCT((F$4:F$29="P")*(G$4:G$29="P")),""))</f>
        <v/>
      </c>
      <c r="B15" s="77" t="s">
        <v>132</v>
      </c>
      <c r="C15" s="5" t="s">
        <v>4</v>
      </c>
      <c r="D15" s="5">
        <v>2005</v>
      </c>
      <c r="E15" s="15">
        <f>SUM(I15:S15)+SUM(I15:O15)*0.0000001+SUM(I15)*0.0000000000001</f>
        <v>174.70001280000432</v>
      </c>
      <c r="F15" s="3" t="str">
        <f>IF(OR(AND(AQ15&gt;=AX$31,AR15&gt;=AX$35,AQ15&lt;&gt;"",AP15=""),AND(AV15&gt;=AX$31,AW15&gt;=AX$35,AV15&lt;&gt;"",AP15=""),AND(BT15&gt;=CA$31,BU15&gt;=CA$35,BT15&lt;&gt;"",BS15=""),AND(BY15&gt;=CA$31,BZ15&gt;=CA$35,BY15&lt;&gt;"",BS15=""),AND(CW15&gt;=DD$31,CX15&gt;=DD$35,CW15&lt;&gt;"",CV15=""),AND(DB15&gt;=DD$31,DC15&gt;=DD$35,DB15&lt;&gt;""),AND(EB15&gt;=EI$31,EC15&gt;=EI$35,EB15&lt;&gt;""),AND(EG15&gt;=EI$31,EH15&gt;=EI$35,EG15&lt;&gt;""),AND(FD15&gt;=FK$31,FE15&gt;=FK$35,FD15&lt;&gt;""),AND(FI15&gt;=FK$31,FJ15&gt;=FK$35,FI15&lt;&gt;""),AND(GF15&gt;=GM$31,GG15&gt;=GM$35,GF15&lt;&gt;""),AND(GK15&gt;=GM$31,GL15&gt;=GM$35,GK15&lt;&gt;""),AND(HH15&gt;=HO$31,HI15&gt;=HO$35,HH15&lt;&gt;""),AND(HM15&gt;=HO$31,HN15&gt;=HO$35,HM15&lt;&gt;""),AND(IJ15&gt;=IQ$31,IK15&gt;=IQ$35,IJ15&lt;&gt;""),AND(IO15&gt;=IQ$31,IP15&gt;=IQ$35,IO15&lt;&gt;""),AND(JL15&gt;=JS$31,JM15&gt;=JS$35,JL15&lt;&gt;""),AND(JQ15&gt;=JS$31,JR15&gt;=JS$35,JQ15&lt;&gt;""),AND(KN15&gt;=KU$31,KO15&gt;=KU$35,KN15&lt;&gt;""),AND(KS15&gt;=KU$31,KT15&gt;=KU$35,KS15&lt;&gt;""),AND(LP15&gt;=LW$31,LQ15&gt;=LW$35,LP15&lt;&gt;""),AND(LU15&gt;=LW$31,LV15&gt;=LW$35,LU15&lt;&gt;""),AND(MR15&gt;=MY$31,MS15&gt;=MY$35,MR15&lt;&gt;""),AND(MW15&gt;=MY$31,MX15&gt;=MY$35,MW15&lt;&gt;""),AND(NT15&gt;=OA$31,NU15&gt;=OA$35,NT15&lt;&gt;""),AND(NY15&gt;=OA$31,NZ15&gt;=OA$35,NY15&lt;&gt;""),AND(OV15&gt;=PC$31,OW15&gt;=PC$35,OV15&lt;&gt;""),AND(PA15&gt;=PC$31,PB15&gt;=PC$35,PA15&lt;&gt;""),AND(PX15&gt;=QE$31,PY15&gt;=QE$35,PX15&lt;&gt;""),AND(QC15&gt;=QE$31,QD15&gt;=QE$35,QC15&lt;&gt;"")),"P","")</f>
        <v/>
      </c>
      <c r="G15" s="3" t="str">
        <f>IF(OR(AND(AR15&gt;=AX$35,AR15&lt;&gt;"",AP15=""),AND(AW15&gt;=AX$35,AW15&lt;&gt;"",AP15=""),AND(BU15&gt;=CA$35,BU15&lt;&gt;"",BS15=""),AND(BZ15&gt;=CA$35,BZ15&lt;&gt;"",BS15=""),AND(CX15&gt;=DD$35,CX15&lt;&gt;"",CV15=""),AND(DC15&gt;=DD$35,DC15&lt;&gt;"",CV15=""),AND(EC15&gt;=EI$35,EC15&lt;&gt;""),AND(EH15&gt;=EI$35,EH15&lt;&gt;""),AND(FE15&gt;=FK$35,FE15&lt;&gt;""),AND(FJ15&gt;=FK$35,FJ15&lt;&gt;""),AND(GG15&gt;=GM$35,GG15&lt;&gt;""),AND(GL15&gt;=GM$35,GL15&lt;&gt;""),AND(HI15&gt;=HO$35,HI15&lt;&gt;""),AND(HN15&gt;=HO$35,HN15&lt;&gt;""),AND(IK15&gt;=IQ$35,IK15&lt;&gt;""),AND(IP15&gt;=IQ$35,IP15&lt;&gt;""),AND(JM15&gt;=JS$35,JM15&lt;&gt;""),AND(JR15&gt;=JS$35,JR15&lt;&gt;""),AND(KO15&gt;=KU$35,KO15&lt;&gt;""),AND(KT15&gt;=KU$35,KT15&lt;&gt;""),AND(LQ15&gt;=LW$35,LQ15&lt;&gt;""),AND(LV15&gt;=LW$35,LV15&lt;&gt;""),AND(MS15&gt;=MY$35,MS15&lt;&gt;""),AND(MX15&gt;=MY$35,MX15&lt;&gt;""),AND(NU15&gt;=OA$35,NU15&lt;&gt;""),AND(NZ15&gt;=OA$35,NZ15&lt;&gt;""),AND(OW15&gt;=PC$35,OW15&lt;&gt;""),AND(PB15&gt;=PC$35,PB15&lt;&gt;""),AND(PY15&gt;=QE$35,PY15&lt;&gt;""),AND(QD15&gt;=QE$35,QD15&lt;&gt;"")),"P","")</f>
        <v/>
      </c>
      <c r="H15" s="66" t="str">
        <f>IF(AND(G15="P",F15=""),"No DD",IF(OR(AND(AT15&gt;=AX$34,AU15&gt;=AX$38,AT15&lt;&gt;"",AP15=""),AND(BW15&gt;=CA$34,BX15&gt;=CA$38,BW15&lt;&gt;"",BS15=""),AND(CZ15&gt;=DD$34,DA15&gt;=DD$38,CZ15&lt;&gt;"",CV15=""),AND(EE15&gt;=EI$34,EF15&gt;=EI$38,EE15&lt;&gt;""),AND(FG15&gt;=FK$34,FH15&gt;=FK$38,FG15&lt;&gt;""),AND(GI15&gt;=GM$34,GJ15&gt;=GM$38,GI15&lt;&gt;""),AND(HK15&gt;=HO$34,HL15&gt;=HO$38,HK15&lt;&gt;""),AND(IM15&gt;=IQ$34,IN15&gt;=IQ$38,IM15&lt;&gt;""),AND(JO15&gt;=JS$34,JP15&gt;=JS$38,JO15&lt;&gt;""),AND(KQ15&gt;=KU$34,KR15&gt;=KU$38,KQ15&lt;&gt;""),AND(LS15&gt;=LW$34,LT15&gt;=LW$38,LS15&lt;&gt;""),AND(MU15&gt;=MY$34,MV15&gt;=MY$38,MU15&lt;&gt;""),AND(NW15&gt;=OA$34,NX15&gt;=OA$38,NW15&lt;&gt;""),AND(OY15&gt;=PC$34,OZ15&gt;=PC$38,OY15&lt;&gt;""),AND(QA15&gt;=QE$34,QB15&gt;=QE$38,QA15&lt;&gt;"")),"Merit",IF(OR(AND(AT15&gt;=AX$33,AU15&gt;=AX$37,AT15&lt;&gt;"",AP15=""),AND(BW15&gt;=CA$33,BX15&gt;=CA$37,BW15&lt;&gt;"",BS15=""),AND(CZ15&gt;=DD$33,DA15&gt;=DD$37,CZ15&lt;&gt;"",CV15=""),AND(EE15&gt;=EI$33,EF15&gt;=EI$37,EE15&lt;&gt;""),AND(FG15&gt;=FK$33,FH15&gt;=FK$37,FG15&lt;&gt;""),AND(GI15&gt;=GM$33,GJ15&gt;=GM$37,GI15&lt;&gt;""),AND(HK15&gt;=HO$33,HL15&gt;=HO$37,HK15&lt;&gt;""),AND(IM15&gt;=IQ$33,IN15&gt;=IQ$37,IM15&lt;&gt;""),AND(JO15&gt;=JS$33,JP15&gt;=JS$37,JO15&lt;&gt;""),AND(KQ15&gt;=KU$33,KR15&gt;=KU$37,KQ15&lt;&gt;""),AND(LS15&gt;=LW$33,LT15&gt;=LW$37,LS15&lt;&gt;""),AND(MU15&gt;=MY$33,MV15&gt;=MY$37,MU15&lt;&gt;""),AND(NW15&gt;=OA$33,NX15&gt;=OA$37,NW15&lt;&gt;""),AND(OY15&gt;=PC$33,OZ15&gt;=PC$37,OY15&lt;&gt;""),AND(QA15&gt;=QE$33,QB15&gt;=QE$37,QA15&lt;&gt;"")),"Excellence",IF(F15="P","National Team",""))))</f>
        <v/>
      </c>
      <c r="I15" s="14">
        <f>IF(COUNT(AR15,BU15,CX15)&gt;0,LARGE((AR15,BU15,CX15),1),0)</f>
        <v>43.1</v>
      </c>
      <c r="J15" s="14" t="str">
        <f>IF(I15=0,"",IF(I15=CX15,$CB$1,IF(I15=BU15,$AY$1,IF(I15=AR15,$V$1,""))))</f>
        <v>2022 Nationals</v>
      </c>
      <c r="K15" s="14">
        <f>IF(COUNT(AR15,BU15,CX15)&gt;1,LARGE((AR15,BU15,CX15),2),0)</f>
        <v>42.599999999999994</v>
      </c>
      <c r="L15" s="14" t="str">
        <f>IF(K15=0,"",IF(K15=CX15,$CB$1,IF(K15=BU15,$AY$1,IF(K15=AR15,$V$1,""))))</f>
        <v>2022 Elite Canada</v>
      </c>
      <c r="M15" s="14">
        <f>IF(COUNT(AS15,BV15,CY15)&gt;0,LARGE((AS15,BV15,CY15),1),0)</f>
        <v>22.700000000000003</v>
      </c>
      <c r="N15" s="14" t="str">
        <f>IF(M15=0,"",IF(M15=CY15,$CB$1,IF(M15=BV15,$AY$1,IF(M15=AS15,$V$1,""))))</f>
        <v>2022 Nationals</v>
      </c>
      <c r="O15" s="14">
        <f>IF(COUNT(AS15,BV15,CY15)&gt;1,LARGE((AS15,BV15,CY15),2),0)</f>
        <v>19.599999999999998</v>
      </c>
      <c r="P15" s="14" t="str">
        <f>IF(O15=0,"",IF(O15=CY15,$CB$1,IF(O15=BV15,$AY$1,IF(O15=AS15,$V$1,""))))</f>
        <v>2022 Elite Canada</v>
      </c>
      <c r="Q15" s="14">
        <f>IF(MAX(AW15,BZ15,DC15)&gt;0,MAX(AW15,BZ15,DC15),0)</f>
        <v>45.199999999999996</v>
      </c>
      <c r="R15" s="14" t="str">
        <f>IF(Q15=0,"",IF(Q15=DC15,$CB$1,IF(Q15=BZ15,$AY$1,IF(Q15=AW15,$V$1,""))))</f>
        <v>2022 Elite Canada</v>
      </c>
      <c r="S15" s="14">
        <f>IF(MAX(DE15:DG15)&gt;0,MAX(DE15:DG15),"")</f>
        <v>1.5</v>
      </c>
      <c r="T15" s="19" t="str">
        <f>IF(S15="","",IF(S15=DE15,"("&amp;DE$2&amp;")",IF(S15=DG15,"("&amp;DG$2&amp;")")))</f>
        <v>(Q1)</v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>2022 Coimbra Gym Fest (June 26)</v>
      </c>
      <c r="V15" s="26">
        <v>18.899999999999999</v>
      </c>
      <c r="W15" s="26">
        <v>3.5</v>
      </c>
      <c r="X15" s="26">
        <v>0</v>
      </c>
      <c r="Y15" s="26">
        <v>0</v>
      </c>
      <c r="Z15" s="26">
        <v>16.2</v>
      </c>
      <c r="AA15" s="26">
        <v>4.8</v>
      </c>
      <c r="AB15" s="26">
        <v>0.8</v>
      </c>
      <c r="AC15" s="26">
        <v>0</v>
      </c>
      <c r="AD15" s="26">
        <v>17.2</v>
      </c>
      <c r="AE15" s="26">
        <v>2.4</v>
      </c>
      <c r="AF15" s="26">
        <v>0</v>
      </c>
      <c r="AG15" s="26">
        <v>0</v>
      </c>
      <c r="AH15" s="26">
        <v>19.2</v>
      </c>
      <c r="AI15" s="26">
        <v>3.5</v>
      </c>
      <c r="AJ15" s="26">
        <v>0.2</v>
      </c>
      <c r="AK15" s="26">
        <v>0</v>
      </c>
      <c r="AL15" s="26">
        <v>18.100000000000001</v>
      </c>
      <c r="AM15" s="26">
        <v>4.8</v>
      </c>
      <c r="AN15" s="26">
        <v>0.2</v>
      </c>
      <c r="AO15" s="26">
        <v>0</v>
      </c>
      <c r="AP15" s="44"/>
      <c r="AQ15" s="78">
        <f>IF(SUM(W15,AA15)&gt;0,SUM(W15,AA15),"")</f>
        <v>8.3000000000000007</v>
      </c>
      <c r="AR15" s="78">
        <f>IF(SUM(V15:W15,Y15:AA15,AC15)-X15-AB15&gt;0,SUM(V15:W15,Y15:AA15,AC15)-X15-AB15,"")</f>
        <v>42.599999999999994</v>
      </c>
      <c r="AS15" s="78">
        <f>IF(SUM(AD15:AE15,AG15)-AF15&gt;0,SUM(AD15:AE15,AG15)-AF15,"")</f>
        <v>19.599999999999998</v>
      </c>
      <c r="AT15" s="78">
        <f>IF(SUM(W15,AA15,AE15)&gt;0,SUM(W15,AA15,AE15),"")</f>
        <v>10.700000000000001</v>
      </c>
      <c r="AU15" s="78">
        <f>IF(SUM(AR15,AS15)&gt;0,SUM(AR15,AS15),"")</f>
        <v>62.199999999999989</v>
      </c>
      <c r="AV15" s="78">
        <f>IF(SUM(AI15,AM15)&gt;0,SUM(AI15,AM15),"")</f>
        <v>8.3000000000000007</v>
      </c>
      <c r="AW15" s="78">
        <f>IF(SUM(AH15:AI15,AK15:AM15,AO15)-SUM(AJ15,AN15)&gt;0,SUM(AH15:AI15,AK15:AM15,AO15)-SUM(AJ15,AN15),"")</f>
        <v>45.199999999999996</v>
      </c>
      <c r="AX15" s="78">
        <f>IF(SUM(AR15,AW15)&gt;0,SUM(AR15,AW15),"")</f>
        <v>87.799999999999983</v>
      </c>
      <c r="AY15" s="25">
        <v>18.8</v>
      </c>
      <c r="AZ15" s="25">
        <v>3.5</v>
      </c>
      <c r="BA15" s="25">
        <v>0</v>
      </c>
      <c r="BB15" s="25">
        <v>0</v>
      </c>
      <c r="BC15" s="25">
        <v>17.3</v>
      </c>
      <c r="BD15" s="25">
        <v>4.0999999999999996</v>
      </c>
      <c r="BE15" s="25">
        <v>0.6</v>
      </c>
      <c r="BF15" s="25">
        <v>0</v>
      </c>
      <c r="BG15" s="25">
        <v>18.3</v>
      </c>
      <c r="BH15" s="25">
        <v>4.4000000000000004</v>
      </c>
      <c r="BI15" s="25">
        <v>0</v>
      </c>
      <c r="BJ15" s="25">
        <v>0</v>
      </c>
      <c r="BK15" s="25">
        <v>18.899999999999999</v>
      </c>
      <c r="BL15" s="25">
        <v>3.5</v>
      </c>
      <c r="BM15" s="25">
        <v>0.2</v>
      </c>
      <c r="BN15" s="25">
        <v>0</v>
      </c>
      <c r="BO15" s="25">
        <v>17.2</v>
      </c>
      <c r="BP15" s="25">
        <v>2.4</v>
      </c>
      <c r="BQ15" s="25">
        <v>0</v>
      </c>
      <c r="BR15" s="25">
        <v>0</v>
      </c>
      <c r="BS15" s="45"/>
      <c r="BT15" s="19">
        <f>IF(SUM(AZ15,BD15)&gt;0,SUM(AZ15,BD15),"")</f>
        <v>7.6</v>
      </c>
      <c r="BU15" s="19">
        <f>IF(SUM(AY15:AZ15,BB15:BD15,BF15)-BA15-BE15&gt;0,SUM(AY15:AZ15,BB15:BD15,BF15)-BA15-BE15,"")</f>
        <v>43.1</v>
      </c>
      <c r="BV15" s="19">
        <f>IF(SUM(BG15:BH15,BJ15)-BI15&gt;0,SUM(BG15:BH15,BJ15)-BI15,"")</f>
        <v>22.700000000000003</v>
      </c>
      <c r="BW15" s="19">
        <f>IF(SUM(AZ15,BD15,BH15)&gt;0,SUM(AZ15,BD15,BH15),"")</f>
        <v>12</v>
      </c>
      <c r="BX15" s="19">
        <f>IF(SUM(BU15,BV15)&gt;0,SUM(BU15,BV15),"")</f>
        <v>65.800000000000011</v>
      </c>
      <c r="BY15" s="19">
        <f>IF(SUM(BL15,BP15)&gt;0,SUM(BL15,BP15),"")</f>
        <v>5.9</v>
      </c>
      <c r="BZ15" s="19">
        <f>IF(SUM(BK15:BL15,BN15:BP15,BR15)-SUM(BM15,BQ15)&gt;0,SUM(BK15:BL15,BN15:BP15,BR15)-SUM(BM15,BQ15),"")</f>
        <v>41.79999999999999</v>
      </c>
      <c r="CA15" s="19">
        <f>IF(SUM(BU15,BZ15)&gt;0,SUM(BU15,BZ15),"")</f>
        <v>84.899999999999991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>IF(SUM(CC15,CG15)&gt;0,SUM(CC15,CG15),"")</f>
        <v/>
      </c>
      <c r="CX15" s="78" t="str">
        <f>IF(SUM(CB15:CC15,CE15:CG15,CI15)-CD15-CH15&gt;0,SUM(CB15:CC15,CE15:CG15,CI15)-CD15-CH15,"")</f>
        <v/>
      </c>
      <c r="CY15" s="78" t="str">
        <f>IF(SUM(CJ15:CK15,CM15)-CL15&gt;0,SUM(CJ15:CK15,CM15)-CL15,"")</f>
        <v/>
      </c>
      <c r="CZ15" s="78" t="str">
        <f>IF(SUM(CC15,CG15,CK15)&gt;0,SUM(CC15,CG15,CK15),"")</f>
        <v/>
      </c>
      <c r="DA15" s="78" t="str">
        <f>IF(SUM(CX15,CY15)&gt;0,SUM(CX15,CY15),"")</f>
        <v/>
      </c>
      <c r="DB15" s="78" t="str">
        <f>IF(SUM(CO15,CS15)&gt;0,SUM(CO15,CS15),"")</f>
        <v/>
      </c>
      <c r="DC15" s="78" t="str">
        <f>IF(SUM(CN15:CO15,CQ15:CS15,CU15)-SUM(CP15,CT15)&gt;0,SUM(CN15:CO15,CQ15:CS15,CU15)-SUM(CP15,CT15),"")</f>
        <v/>
      </c>
      <c r="DD15" s="78" t="str">
        <f>IF(SUM(CX15,DC15)&gt;0,SUM(CX15,DC15),"")</f>
        <v/>
      </c>
      <c r="DE15" s="79">
        <f>IF(K15&gt;=0.001,IF(MAX(EC15,FE15,GG15,HI15,IK15,JM15,KO15,LQ15,MS15,NU15,OW15,PY15)-IF(K15="",0,K15)&gt;0.001,MAX(EC15,FE15,GG15,HI15,IK15,JM15,KO15,LQ15,MS15,NU15,OW15,PY15)-IF(K15="",0,K15),""),"")</f>
        <v>1.5</v>
      </c>
      <c r="DF15" s="79" t="str">
        <f>IF(O15&gt;=0.001,IF(MAX(ED15,FF15,GH15,HJ15,IL15,JN15,KP15,LR15,MT15,NV15,OX15,PZ15)-IF(O15="",0,O15)&gt;0.001,MAX(ED15,FF15,GH15,HJ15,IL15,JN15,KP15,LR15,MT15,NV15,OX15,PZ15)-IF(O15="",0,O15),""),"")</f>
        <v/>
      </c>
      <c r="DG15" s="79" t="str">
        <f>IF(Q15&gt;=0.001,IF(MAX(EH15,FJ15,GL15,HN15,IP15,JR15,KT15,LV15,MX15,NZ15,PB15,QD15)-IF(Q15="",0,Q15)&gt;0.001,MAX(EH15,FJ15,GL15,HN15,IP15,JR15,KT15,LV15,MX15,NZ15,PB15,QD15)-IF(Q15="",0,Q15),""),"")</f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>IF(SUM(DI15,DM15)&gt;0,SUM(DI15,DM15),"")</f>
        <v/>
      </c>
      <c r="EC15" s="78" t="str">
        <f>IF(SUM(DH15:DI15,DK15:DM15,DO15)-DJ15-DN15&gt;0,SUM(DH15:DI15,DK15:DM15,DO15)-DJ15-DN15,"")</f>
        <v/>
      </c>
      <c r="ED15" s="78" t="str">
        <f>IF(SUM(DP15:DQ15,DS15)-DR15&gt;0,SUM(DP15:DQ15,DS15)-DR15,"")</f>
        <v/>
      </c>
      <c r="EE15" s="78" t="str">
        <f>IF(SUM(DI15,DM15,DQ15)&gt;0,SUM(DI15,DM15,DQ15),"")</f>
        <v/>
      </c>
      <c r="EF15" s="78" t="str">
        <f>IF(SUM(EC15,ED15)&gt;0,SUM(EC15,ED15),"")</f>
        <v/>
      </c>
      <c r="EG15" s="78" t="str">
        <f>IF(SUM(DU15,DY15)&gt;0,SUM(DU15,DY15),"")</f>
        <v/>
      </c>
      <c r="EH15" s="78" t="str">
        <f>IF(SUM(DT15:DU15,DW15:DY15,EA15)-SUM(DV15,DZ15)&gt;0,SUM(DT15:DU15,DW15:DY15,EA15)-SUM(DV15,DZ15),"")</f>
        <v/>
      </c>
      <c r="EI15" s="78" t="str">
        <f>IF(SUM(EC15,EH15)&gt;0,SUM(EC15,EH15),"")</f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>IF(SUM(EK15,EO15)&gt;0,SUM(EK15,EO15),"")</f>
        <v/>
      </c>
      <c r="FE15" s="19" t="str">
        <f>IF(SUM(EJ15:EK15,EM15:EO15,EQ15)-EL15-EP15&gt;0,SUM(EJ15:EK15,EM15:EO15,EQ15)-EL15-EP15,"")</f>
        <v/>
      </c>
      <c r="FF15" s="19" t="str">
        <f>IF(SUM(ER15:ES15,EU15)-ET15&gt;0,SUM(ER15:ES15,EU15)-ET15,"")</f>
        <v/>
      </c>
      <c r="FG15" s="19" t="str">
        <f>IF(SUM(EK15,EO15,ES15)&gt;0,SUM(EK15,EO15,ES15),"")</f>
        <v/>
      </c>
      <c r="FH15" s="19" t="str">
        <f>IF(SUM(FE15,FF15)&gt;0,SUM(FE15,FF15),"")</f>
        <v/>
      </c>
      <c r="FI15" s="19" t="str">
        <f>IF(SUM(EW15,FA15)&gt;0,SUM(EW15,FA15),"")</f>
        <v/>
      </c>
      <c r="FJ15" s="19" t="str">
        <f>IF(SUM(EV15:EW15,EY15:FA15,FC15)-SUM(EX15,FB15)&gt;0,SUM(EV15:EW15,EY15:FA15,FC15)-SUM(EX15,FB15),"")</f>
        <v/>
      </c>
      <c r="FK15" s="19" t="str">
        <f>IF(SUM(FE15,FJ15)&gt;0,SUM(FE15,FJ15),"")</f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>IF(SUM(FM15,FQ15)&gt;0,SUM(FM15,FQ15),"")</f>
        <v/>
      </c>
      <c r="GG15" s="78" t="str">
        <f>IF(SUM(FL15:FM15,FO15:FQ15,FS15)-FN15-FR15&gt;0,SUM(FL15:FM15,FO15:FQ15,FS15)-FN15-FR15,"")</f>
        <v/>
      </c>
      <c r="GH15" s="78" t="str">
        <f>IF(SUM(FT15:FU15,FW15)-FV15&gt;0,SUM(FT15:FU15,FW15)-FV15,"")</f>
        <v/>
      </c>
      <c r="GI15" s="78" t="str">
        <f>IF(SUM(FM15,FQ15,FU15)&gt;0,SUM(FM15,FQ15,FU15),"")</f>
        <v/>
      </c>
      <c r="GJ15" s="78" t="str">
        <f>IF(SUM(GG15,GH15)&gt;0,SUM(GG15,GH15),"")</f>
        <v/>
      </c>
      <c r="GK15" s="78" t="str">
        <f>IF(SUM(FY15,GC15)&gt;0,SUM(FY15,GC15),"")</f>
        <v/>
      </c>
      <c r="GL15" s="78" t="str">
        <f>IF(SUM(FX15:FY15,GA15:GC15,GE15)-SUM(FZ15,GD15)&gt;0,SUM(FX15:FY15,GA15:GC15,GE15)-SUM(FZ15,GD15),"")</f>
        <v/>
      </c>
      <c r="GM15" s="78" t="str">
        <f>IF(SUM(GG15,GL15)&gt;0,SUM(GG15,GL15),"")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>IF(SUM(GO15,GS15)&gt;0,SUM(GO15,GS15),"")</f>
        <v/>
      </c>
      <c r="HI15" s="19" t="str">
        <f>IF(SUM(GN15:GO15,GQ15:GS15,GU15)-GP15-GT15&gt;0,SUM(GN15:GO15,GQ15:GS15,GU15)-GP15-GT15,"")</f>
        <v/>
      </c>
      <c r="HJ15" s="19" t="str">
        <f>IF(SUM(GV15:GW15,GY15)-GX15&gt;0,SUM(GV15:GW15,GY15)-GX15,"")</f>
        <v/>
      </c>
      <c r="HK15" s="19" t="str">
        <f>IF(SUM(GO15,GS15,GW15)&gt;0,SUM(GO15,GS15,GW15),"")</f>
        <v/>
      </c>
      <c r="HL15" s="19" t="str">
        <f>IF(SUM(HI15,HJ15)&gt;0,SUM(HI15,HJ15),"")</f>
        <v/>
      </c>
      <c r="HM15" s="19" t="str">
        <f>IF(SUM(HA15,HE15)&gt;0,SUM(HA15,HE15),"")</f>
        <v/>
      </c>
      <c r="HN15" s="19" t="str">
        <f>IF(SUM(GZ15:HA15,HC15:HE15,HG15)-SUM(HB15,HF15)&gt;0,SUM(GZ15:HA15,HC15:HE15,HG15)-SUM(HB15,HF15),"")</f>
        <v/>
      </c>
      <c r="HO15" s="19" t="str">
        <f>IF(SUM(HI15,HN15)&gt;0,SUM(HI15,HN15),"")</f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>IF(SUM(HQ15,HU15)&gt;0,SUM(HQ15,HU15),"")</f>
        <v/>
      </c>
      <c r="IK15" s="78" t="str">
        <f>IF(SUM(HP15:HQ15,HS15:HU15,HW15)-HR15-HV15&gt;0,SUM(HP15:HQ15,HS15:HU15,HW15)-HR15-HV15,"")</f>
        <v/>
      </c>
      <c r="IL15" s="78" t="str">
        <f>IF(SUM(HX15:HY15,IA15)-HZ15&gt;0,SUM(HX15:HY15,IA15)-HZ15,"")</f>
        <v/>
      </c>
      <c r="IM15" s="78" t="str">
        <f>IF(SUM(HQ15,HU15,HY15)&gt;0,SUM(HQ15,HU15,HY15),"")</f>
        <v/>
      </c>
      <c r="IN15" s="78" t="str">
        <f>IF(SUM(IK15,IL15)&gt;0,SUM(IK15,IL15),"")</f>
        <v/>
      </c>
      <c r="IO15" s="78" t="str">
        <f>IF(SUM(IC15,IG15)&gt;0,SUM(IC15,IG15),"")</f>
        <v/>
      </c>
      <c r="IP15" s="78" t="str">
        <f>IF(SUM(IB15:IC15,IE15:IG15,II15)-SUM(ID15,IH15)&gt;0,SUM(IB15:IC15,IE15:IG15,II15)-SUM(ID15,IH15),"")</f>
        <v/>
      </c>
      <c r="IQ15" s="78" t="str">
        <f>IF(SUM(IK15,IP15)&gt;0,SUM(IK15,IP15),"")</f>
        <v/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>IF(SUM(IS15,IW15)&gt;0,SUM(IS15,IW15),"")</f>
        <v/>
      </c>
      <c r="JM15" s="19" t="str">
        <f>IF(SUM(IR15:IS15,IU15:IW15,IY15)-IT15-IX15&gt;0,SUM(IR15:IS15,IU15:IW15,IY15)-IT15-IX15,"")</f>
        <v/>
      </c>
      <c r="JN15" s="19" t="str">
        <f>IF(SUM(IZ15:JA15,JC15)-JB15&gt;0,SUM(IZ15:JA15,JC15)-JB15,"")</f>
        <v/>
      </c>
      <c r="JO15" s="19" t="str">
        <f>IF(SUM(IS15,IW15,JA15)&gt;0,SUM(IS15,IW15,JA15),"")</f>
        <v/>
      </c>
      <c r="JP15" s="19" t="str">
        <f>IF(SUM(JM15,JN15)&gt;0,SUM(JM15,JN15),"")</f>
        <v/>
      </c>
      <c r="JQ15" s="19" t="str">
        <f>IF(SUM(JE15,JI15)&gt;0,SUM(JE15,JI15),"")</f>
        <v/>
      </c>
      <c r="JR15" s="19" t="str">
        <f>IF(SUM(JD15:JE15,JG15:JI15,JK15)-SUM(JF15,JJ15)&gt;0,SUM(JD15:JE15,JG15:JI15,JK15)-SUM(JF15,JJ15),"")</f>
        <v/>
      </c>
      <c r="JS15" s="19" t="str">
        <f>IF(SUM(JM15,JR15)&gt;0,SUM(JM15,JR15),"")</f>
        <v/>
      </c>
      <c r="JT15" s="24">
        <v>18.7</v>
      </c>
      <c r="JU15" s="24">
        <v>3.5</v>
      </c>
      <c r="JV15" s="24">
        <v>0</v>
      </c>
      <c r="JW15" s="24">
        <v>0</v>
      </c>
      <c r="JX15" s="24">
        <v>17.899999999999999</v>
      </c>
      <c r="JY15" s="24">
        <v>4.8</v>
      </c>
      <c r="JZ15" s="24">
        <v>0.8</v>
      </c>
      <c r="KA15" s="24">
        <v>0</v>
      </c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>
        <f>IF(SUM(JU15,JY15)&gt;0,SUM(JU15,JY15),"")</f>
        <v>8.3000000000000007</v>
      </c>
      <c r="KO15" s="78">
        <f>IF(SUM(JT15:JU15,JW15:JY15,KA15)-JV15-JZ15&gt;0,SUM(JT15:JU15,JW15:JY15,KA15)-JV15-JZ15,"")</f>
        <v>44.099999999999994</v>
      </c>
      <c r="KP15" s="78" t="str">
        <f>IF(SUM(KB15:KC15,KE15)-KD15&gt;0,SUM(KB15:KC15,KE15)-KD15,"")</f>
        <v/>
      </c>
      <c r="KQ15" s="78">
        <f>IF(SUM(JU15,JY15,KC15)&gt;0,SUM(JU15,JY15,KC15),"")</f>
        <v>8.3000000000000007</v>
      </c>
      <c r="KR15" s="78">
        <f>IF(SUM(KO15,KP15)&gt;0,SUM(KO15,KP15),"")</f>
        <v>44.099999999999994</v>
      </c>
      <c r="KS15" s="78" t="str">
        <f>IF(SUM(KG15,KK15)&gt;0,SUM(KG15,KK15),"")</f>
        <v/>
      </c>
      <c r="KT15" s="78" t="str">
        <f>IF(SUM(KF15:KG15,KI15:KK15,KM15)-SUM(KH15,KL15)&gt;0,SUM(KF15:KG15,KI15:KK15,KM15)-SUM(KH15,KL15),"")</f>
        <v/>
      </c>
      <c r="KU15" s="78">
        <f>IF(SUM(KO15,KT15)&gt;0,SUM(KO15,KT15),"")</f>
        <v>44.099999999999994</v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>IF(SUM(KW15,LA15)&gt;0,SUM(KW15,LA15),"")</f>
        <v/>
      </c>
      <c r="LQ15" s="19" t="str">
        <f>IF(SUM(KV15:KW15,KY15:LA15,LC15)-KX15-LB15&gt;0,SUM(KV15:KW15,KY15:LA15,LC15)-KX15-LB15,"")</f>
        <v/>
      </c>
      <c r="LR15" s="19" t="str">
        <f>IF(SUM(LD15:LE15,LG15)-LF15&gt;0,SUM(LD15:LE15,LG15)-LF15,"")</f>
        <v/>
      </c>
      <c r="LS15" s="19" t="str">
        <f>IF(SUM(KW15,LA15,LE15)&gt;0,SUM(KW15,LA15,LE15),"")</f>
        <v/>
      </c>
      <c r="LT15" s="19" t="str">
        <f>IF(SUM(LQ15,LR15)&gt;0,SUM(LQ15,LR15),"")</f>
        <v/>
      </c>
      <c r="LU15" s="19" t="str">
        <f>IF(SUM(LI15,LM15)&gt;0,SUM(LI15,LM15),"")</f>
        <v/>
      </c>
      <c r="LV15" s="19" t="str">
        <f>IF(SUM(LH15:LI15,LK15:LM15,LO15)-SUM(LJ15,LN15)&gt;0,SUM(LH15:LI15,LK15:LM15,LO15)-SUM(LJ15,LN15),"")</f>
        <v/>
      </c>
      <c r="LW15" s="19" t="str">
        <f>IF(SUM(LQ15,LV15)&gt;0,SUM(LQ15,LV15),"")</f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>IF(SUM(LY15,MC15)&gt;0,SUM(LY15,MC15),"")</f>
        <v/>
      </c>
      <c r="MS15" s="78" t="str">
        <f>IF(SUM(LX15:LY15,MA15:MC15,ME15)-LZ15-MD15&gt;0,SUM(LX15:LY15,MA15:MC15,ME15)-LZ15-MD15,"")</f>
        <v/>
      </c>
      <c r="MT15" s="78" t="str">
        <f>IF(SUM(MF15:MG15,MI15)-MH15&gt;0,SUM(MF15:MG15,MI15)-MH15,"")</f>
        <v/>
      </c>
      <c r="MU15" s="78" t="str">
        <f>IF(SUM(LY15,MC15,MG15)&gt;0,SUM(LY15,MC15,MG15),"")</f>
        <v/>
      </c>
      <c r="MV15" s="78" t="str">
        <f>IF(SUM(MS15,MT15)&gt;0,SUM(MS15,MT15),"")</f>
        <v/>
      </c>
      <c r="MW15" s="78" t="str">
        <f>IF(SUM(MK15,MO15)&gt;0,SUM(MK15,MO15),"")</f>
        <v/>
      </c>
      <c r="MX15" s="78" t="str">
        <f>IF(SUM(MJ15:MK15,MM15:MO15,MQ15)-SUM(ML15,MP15)&gt;0,SUM(MJ15:MK15,MM15:MO15,MQ15)-SUM(ML15,MP15),"")</f>
        <v/>
      </c>
      <c r="MY15" s="78" t="str">
        <f>IF(SUM(MS15,MX15)&gt;0,SUM(MS15,MX15),"")</f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>IF(SUM(NA15,NE15)&gt;0,SUM(NA15,NE15),"")</f>
        <v/>
      </c>
      <c r="NU15" s="19" t="str">
        <f>IF(SUM(MZ15:NA15,NC15:NE15,NG15)-NB15-NF15&gt;0,SUM(MZ15:NA15,NC15:NE15,NG15)-NB15-NF15,"")</f>
        <v/>
      </c>
      <c r="NV15" s="19" t="str">
        <f>IF(SUM(NH15:NI15,NK15)-NJ15&gt;0,SUM(NH15:NI15,NK15)-NJ15,"")</f>
        <v/>
      </c>
      <c r="NW15" s="19" t="str">
        <f>IF(SUM(NA15,NE15,NI15)&gt;0,SUM(NA15,NE15,NI15),"")</f>
        <v/>
      </c>
      <c r="NX15" s="19" t="str">
        <f>IF(SUM(NU15,NV15)&gt;0,SUM(NU15,NV15),"")</f>
        <v/>
      </c>
      <c r="NY15" s="19" t="str">
        <f>IF(SUM(NM15,NQ15)&gt;0,SUM(NM15,NQ15),"")</f>
        <v/>
      </c>
      <c r="NZ15" s="19" t="str">
        <f>IF(SUM(NL15:NM15,NO15:NQ15,NS15)-SUM(NN15,NR15)&gt;0,SUM(NL15:NM15,NO15:NQ15,NS15)-SUM(NN15,NR15),"")</f>
        <v/>
      </c>
      <c r="OA15" s="19" t="str">
        <f>IF(SUM(NU15,NZ15)&gt;0,SUM(NU15,NZ15),"")</f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>IF(SUM(OC15,OG15)&gt;0,SUM(OC15,OG15),"")</f>
        <v/>
      </c>
      <c r="OW15" s="78" t="str">
        <f>IF(SUM(OB15:OC15,OE15:OG15,OI15)-OD15-OH15&gt;0,SUM(OB15:OC15,OE15:OG15,OI15)-OD15-OH15,"")</f>
        <v/>
      </c>
      <c r="OX15" s="78" t="str">
        <f>IF(SUM(OJ15:OK15,OM15)-OL15&gt;0,SUM(OJ15:OK15,OM15)-OL15,"")</f>
        <v/>
      </c>
      <c r="OY15" s="78" t="str">
        <f>IF(SUM(OC15,OG15,OK15)&gt;0,SUM(OC15,OG15,OK15),"")</f>
        <v/>
      </c>
      <c r="OZ15" s="78" t="str">
        <f>IF(SUM(OW15,OX15)&gt;0,SUM(OW15,OX15),"")</f>
        <v/>
      </c>
      <c r="PA15" s="78" t="str">
        <f>IF(SUM(OO15,OS15)&gt;0,SUM(OO15,OS15),"")</f>
        <v/>
      </c>
      <c r="PB15" s="78" t="str">
        <f>IF(SUM(ON15:OO15,OQ15:OS15,OU15)-SUM(OP15,OT15)&gt;0,SUM(ON15:OO15,OQ15:OS15,OU15)-SUM(OP15,OT15),"")</f>
        <v/>
      </c>
      <c r="PC15" s="78" t="str">
        <f>IF(SUM(OW15,PB15)&gt;0,SUM(OW15,PB15),"")</f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>IF(SUM(PE15,PI15)&gt;0,SUM(PE15,PI15),"")</f>
        <v/>
      </c>
      <c r="PY15" s="19" t="str">
        <f>IF(SUM(PD15:PE15,PG15:PI15,PK15)-PF15-PJ15&gt;0,SUM(PD15:PE15,PG15:PI15,PK15)-PF15-PJ15,"")</f>
        <v/>
      </c>
      <c r="PZ15" s="19" t="str">
        <f>IF(SUM(PL15:PM15,PO15)-PN15&gt;0,SUM(PL15:PM15,PO15)-PN15,"")</f>
        <v/>
      </c>
      <c r="QA15" s="19" t="str">
        <f>IF(SUM(PE15,PI15,PM15)&gt;0,SUM(PE15,PI15,PM15),"")</f>
        <v/>
      </c>
      <c r="QB15" s="19" t="str">
        <f>IF(SUM(PY15,PZ15)&gt;0,SUM(PY15,PZ15),"")</f>
        <v/>
      </c>
      <c r="QC15" s="19" t="str">
        <f>IF(SUM(PQ15,PU15)&gt;0,SUM(PQ15,PU15),"")</f>
        <v/>
      </c>
      <c r="QD15" s="19" t="str">
        <f>IF(SUM(PP15:PQ15,PS15:PU15,PW15)-SUM(PR15,PV15)&gt;0,SUM(PP15:PQ15,PS15:PU15,PW15)-SUM(PR15,PV15),"")</f>
        <v/>
      </c>
      <c r="QE15" s="19" t="str">
        <f>IF(SUM(PY15,QD15)&gt;0,SUM(PY15,QD15),"")</f>
        <v/>
      </c>
      <c r="QF15" s="37">
        <f>IF($CV15="P",CB15,(CB15+AY15)/2)</f>
        <v>9.4</v>
      </c>
      <c r="QG15" s="37">
        <f>IF($CV15="P",CC15,(CC15+AZ15)/2)</f>
        <v>1.75</v>
      </c>
      <c r="QH15" s="37">
        <f>IF($CV15="P",CD15,(CD15+BA15)/2)</f>
        <v>0</v>
      </c>
      <c r="QI15" s="37">
        <f>IF($CV15="P",CE15,(CE15+BB15)/2)</f>
        <v>0</v>
      </c>
      <c r="QJ15" s="37">
        <f>IF($CV15="P",CF15,(CF15+BC15)/2)</f>
        <v>8.65</v>
      </c>
      <c r="QK15" s="37">
        <f>IF($CV15="P",CG15,(CG15+BD15)/2)</f>
        <v>2.0499999999999998</v>
      </c>
      <c r="QL15" s="37">
        <f>IF($CV15="P",CH15,(CH15+BE15)/2)</f>
        <v>0.3</v>
      </c>
      <c r="QM15" s="37">
        <f>IF($CV15="P",CI15,(CI15+BF15)/2)</f>
        <v>0</v>
      </c>
      <c r="QN15" s="37">
        <f>IF($CV15="P",CJ15,(CJ15+BG15)/2)</f>
        <v>9.15</v>
      </c>
      <c r="QO15" s="37">
        <f>IF($CV15="P",CK15,(CK15+BH15)/2)</f>
        <v>2.2000000000000002</v>
      </c>
      <c r="QP15" s="37">
        <f>IF($CV15="P",CL15,(CL15+BI15)/2)</f>
        <v>0</v>
      </c>
      <c r="QQ15" s="37">
        <f>IF($CV15="P",CM15,(CM15+BJ15)/2)</f>
        <v>0</v>
      </c>
      <c r="QR15" s="37">
        <f>IF($CV15="P",CN15,(CN15+BK15)/2)</f>
        <v>9.4499999999999993</v>
      </c>
      <c r="QS15" s="37">
        <f>IF($CV15="P",CO15,(CO15+BL15)/2)</f>
        <v>1.75</v>
      </c>
      <c r="QT15" s="37">
        <f>IF($CV15="P",CP15,(CP15+BM15)/2)</f>
        <v>0.1</v>
      </c>
      <c r="QU15" s="37">
        <f>IF($CV15="P",CQ15,(CQ15+BN15)/2)</f>
        <v>0</v>
      </c>
      <c r="QV15" s="37">
        <f>IF($CV15="P",CR15,(CR15+BO15)/2)</f>
        <v>8.6</v>
      </c>
      <c r="QW15" s="37">
        <f>IF($CV15="P",CS15,(CS15+BP15)/2)</f>
        <v>1.2</v>
      </c>
      <c r="QX15" s="37">
        <f>IF($CV15="P",CT15,(CT15+BQ15)/2)</f>
        <v>0</v>
      </c>
      <c r="QY15" s="37">
        <f>IF($CV15="P",CU15,(CU15+BR15)/2)</f>
        <v>0</v>
      </c>
      <c r="QZ15" s="44" t="s">
        <v>46</v>
      </c>
      <c r="RA15" s="78">
        <f>IF(SUM(QG15,QK15)&gt;0,SUM(QG15,QK15),"")</f>
        <v>3.8</v>
      </c>
      <c r="RB15" s="78">
        <f>IF(SUM(QF15:QG15,QI15:QK15,QM15)-QH15-QL15&gt;0,SUM(QF15:QG15,QI15:QK15,QM15)-QH15-QL15,"")</f>
        <v>21.55</v>
      </c>
      <c r="RC15" s="78">
        <f>IF(SUM(QN15:QO15,QQ15)-QP15&gt;0,SUM(QN15:QO15,QQ15)-QP15,"")</f>
        <v>11.350000000000001</v>
      </c>
      <c r="RD15" s="78">
        <f>IF(SUM(QG15,QK15,QO15)&gt;0,SUM(QG15,QK15,QO15),"")</f>
        <v>6</v>
      </c>
      <c r="RE15" s="78">
        <f>IF(SUM(RB15,RC15)&gt;0,SUM(RB15,RC15),"")</f>
        <v>32.900000000000006</v>
      </c>
      <c r="RF15" s="78">
        <f>IF(SUM(QS15,QW15)&gt;0,SUM(QS15,QW15),"")</f>
        <v>2.95</v>
      </c>
      <c r="RG15" s="78">
        <f>IF(SUM(QR15:QS15,QU15:QW15,QY15)-SUM(QT15,QX15)&gt;0,SUM(QR15:QS15,QU15:QW15,QY15)-SUM(QT15,QX15),"")</f>
        <v>20.899999999999995</v>
      </c>
      <c r="RH15" s="78">
        <f>IF(SUM(RB15,RG15)&gt;0,SUM(RB15,RG15),"")</f>
        <v>42.449999999999996</v>
      </c>
    </row>
    <row r="16" spans="1:476" x14ac:dyDescent="0.2">
      <c r="A16" s="5" t="str">
        <f>IF(AND(F16="P",G16="P"),SUMPRODUCT((F$4:F$29="P")*(G$4:G$29="P")*(E$4:E$29&gt;E16))+1,IF(G16="P",SUMPRODUCT((F$4:F$29="")*(G$4:G$29="P")*(E$4:E$29&gt;E16))+1+SUMPRODUCT((F$4:F$29="P")*(G$4:G$29="P")),""))</f>
        <v/>
      </c>
      <c r="B16" s="77" t="s">
        <v>204</v>
      </c>
      <c r="C16" s="5" t="s">
        <v>5</v>
      </c>
      <c r="D16" s="5">
        <v>2005</v>
      </c>
      <c r="E16" s="15">
        <f>SUM(I16:S16)+SUM(I16:O16)*0.0000001+SUM(I16)*0.0000000000001</f>
        <v>173.30001294000436</v>
      </c>
      <c r="F16" s="3" t="str">
        <f>IF(OR(AND(AQ16&gt;=AX$31,AR16&gt;=AX$35,AQ16&lt;&gt;"",AP16=""),AND(AV16&gt;=AX$31,AW16&gt;=AX$35,AV16&lt;&gt;"",AP16=""),AND(BT16&gt;=CA$31,BU16&gt;=CA$35,BT16&lt;&gt;"",BS16=""),AND(BY16&gt;=CA$31,BZ16&gt;=CA$35,BY16&lt;&gt;"",BS16=""),AND(CW16&gt;=DD$31,CX16&gt;=DD$35,CW16&lt;&gt;"",CV16=""),AND(DB16&gt;=DD$31,DC16&gt;=DD$35,DB16&lt;&gt;""),AND(EB16&gt;=EI$31,EC16&gt;=EI$35,EB16&lt;&gt;""),AND(EG16&gt;=EI$31,EH16&gt;=EI$35,EG16&lt;&gt;""),AND(FD16&gt;=FK$31,FE16&gt;=FK$35,FD16&lt;&gt;""),AND(FI16&gt;=FK$31,FJ16&gt;=FK$35,FI16&lt;&gt;""),AND(GF16&gt;=GM$31,GG16&gt;=GM$35,GF16&lt;&gt;""),AND(GK16&gt;=GM$31,GL16&gt;=GM$35,GK16&lt;&gt;""),AND(HH16&gt;=HO$31,HI16&gt;=HO$35,HH16&lt;&gt;""),AND(HM16&gt;=HO$31,HN16&gt;=HO$35,HM16&lt;&gt;""),AND(IJ16&gt;=IQ$31,IK16&gt;=IQ$35,IJ16&lt;&gt;""),AND(IO16&gt;=IQ$31,IP16&gt;=IQ$35,IO16&lt;&gt;""),AND(JL16&gt;=JS$31,JM16&gt;=JS$35,JL16&lt;&gt;""),AND(JQ16&gt;=JS$31,JR16&gt;=JS$35,JQ16&lt;&gt;""),AND(KN16&gt;=KU$31,KO16&gt;=KU$35,KN16&lt;&gt;""),AND(KS16&gt;=KU$31,KT16&gt;=KU$35,KS16&lt;&gt;""),AND(LP16&gt;=LW$31,LQ16&gt;=LW$35,LP16&lt;&gt;""),AND(LU16&gt;=LW$31,LV16&gt;=LW$35,LU16&lt;&gt;""),AND(MR16&gt;=MY$31,MS16&gt;=MY$35,MR16&lt;&gt;""),AND(MW16&gt;=MY$31,MX16&gt;=MY$35,MW16&lt;&gt;""),AND(NT16&gt;=OA$31,NU16&gt;=OA$35,NT16&lt;&gt;""),AND(NY16&gt;=OA$31,NZ16&gt;=OA$35,NY16&lt;&gt;""),AND(OV16&gt;=PC$31,OW16&gt;=PC$35,OV16&lt;&gt;""),AND(PA16&gt;=PC$31,PB16&gt;=PC$35,PA16&lt;&gt;""),AND(PX16&gt;=QE$31,PY16&gt;=QE$35,PX16&lt;&gt;""),AND(QC16&gt;=QE$31,QD16&gt;=QE$35,QC16&lt;&gt;"")),"P","")</f>
        <v/>
      </c>
      <c r="G16" s="3" t="str">
        <f>IF(OR(AND(AR16&gt;=AX$35,AR16&lt;&gt;"",AP16=""),AND(AW16&gt;=AX$35,AW16&lt;&gt;"",AP16=""),AND(BU16&gt;=CA$35,BU16&lt;&gt;"",BS16=""),AND(BZ16&gt;=CA$35,BZ16&lt;&gt;"",BS16=""),AND(CX16&gt;=DD$35,CX16&lt;&gt;"",CV16=""),AND(DC16&gt;=DD$35,DC16&lt;&gt;"",CV16=""),AND(EC16&gt;=EI$35,EC16&lt;&gt;""),AND(EH16&gt;=EI$35,EH16&lt;&gt;""),AND(FE16&gt;=FK$35,FE16&lt;&gt;""),AND(FJ16&gt;=FK$35,FJ16&lt;&gt;""),AND(GG16&gt;=GM$35,GG16&lt;&gt;""),AND(GL16&gt;=GM$35,GL16&lt;&gt;""),AND(HI16&gt;=HO$35,HI16&lt;&gt;""),AND(HN16&gt;=HO$35,HN16&lt;&gt;""),AND(IK16&gt;=IQ$35,IK16&lt;&gt;""),AND(IP16&gt;=IQ$35,IP16&lt;&gt;""),AND(JM16&gt;=JS$35,JM16&lt;&gt;""),AND(JR16&gt;=JS$35,JR16&lt;&gt;""),AND(KO16&gt;=KU$35,KO16&lt;&gt;""),AND(KT16&gt;=KU$35,KT16&lt;&gt;""),AND(LQ16&gt;=LW$35,LQ16&lt;&gt;""),AND(LV16&gt;=LW$35,LV16&lt;&gt;""),AND(MS16&gt;=MY$35,MS16&lt;&gt;""),AND(MX16&gt;=MY$35,MX16&lt;&gt;""),AND(NU16&gt;=OA$35,NU16&lt;&gt;""),AND(NZ16&gt;=OA$35,NZ16&lt;&gt;""),AND(OW16&gt;=PC$35,OW16&lt;&gt;""),AND(PB16&gt;=PC$35,PB16&lt;&gt;""),AND(PY16&gt;=QE$35,PY16&lt;&gt;""),AND(QD16&gt;=QE$35,QD16&lt;&gt;"")),"P","")</f>
        <v/>
      </c>
      <c r="H16" s="66" t="str">
        <f>IF(AND(G16="P",F16=""),"No DD",IF(OR(AND(AT16&gt;=AX$34,AU16&gt;=AX$38,AT16&lt;&gt;"",AP16=""),AND(BW16&gt;=CA$34,BX16&gt;=CA$38,BW16&lt;&gt;"",BS16=""),AND(CZ16&gt;=DD$34,DA16&gt;=DD$38,CZ16&lt;&gt;"",CV16=""),AND(EE16&gt;=EI$34,EF16&gt;=EI$38,EE16&lt;&gt;""),AND(FG16&gt;=FK$34,FH16&gt;=FK$38,FG16&lt;&gt;""),AND(GI16&gt;=GM$34,GJ16&gt;=GM$38,GI16&lt;&gt;""),AND(HK16&gt;=HO$34,HL16&gt;=HO$38,HK16&lt;&gt;""),AND(IM16&gt;=IQ$34,IN16&gt;=IQ$38,IM16&lt;&gt;""),AND(JO16&gt;=JS$34,JP16&gt;=JS$38,JO16&lt;&gt;""),AND(KQ16&gt;=KU$34,KR16&gt;=KU$38,KQ16&lt;&gt;""),AND(LS16&gt;=LW$34,LT16&gt;=LW$38,LS16&lt;&gt;""),AND(MU16&gt;=MY$34,MV16&gt;=MY$38,MU16&lt;&gt;""),AND(NW16&gt;=OA$34,NX16&gt;=OA$38,NW16&lt;&gt;""),AND(OY16&gt;=PC$34,OZ16&gt;=PC$38,OY16&lt;&gt;""),AND(QA16&gt;=QE$34,QB16&gt;=QE$38,QA16&lt;&gt;"")),"Merit",IF(OR(AND(AT16&gt;=AX$33,AU16&gt;=AX$37,AT16&lt;&gt;"",AP16=""),AND(BW16&gt;=CA$33,BX16&gt;=CA$37,BW16&lt;&gt;"",BS16=""),AND(CZ16&gt;=DD$33,DA16&gt;=DD$37,CZ16&lt;&gt;"",CV16=""),AND(EE16&gt;=EI$33,EF16&gt;=EI$37,EE16&lt;&gt;""),AND(FG16&gt;=FK$33,FH16&gt;=FK$37,FG16&lt;&gt;""),AND(GI16&gt;=GM$33,GJ16&gt;=GM$37,GI16&lt;&gt;""),AND(HK16&gt;=HO$33,HL16&gt;=HO$37,HK16&lt;&gt;""),AND(IM16&gt;=IQ$33,IN16&gt;=IQ$37,IM16&lt;&gt;""),AND(JO16&gt;=JS$33,JP16&gt;=JS$37,JO16&lt;&gt;""),AND(KQ16&gt;=KU$33,KR16&gt;=KU$37,KQ16&lt;&gt;""),AND(LS16&gt;=LW$33,LT16&gt;=LW$37,LS16&lt;&gt;""),AND(MU16&gt;=MY$33,MV16&gt;=MY$37,MU16&lt;&gt;""),AND(NW16&gt;=OA$33,NX16&gt;=OA$37,NW16&lt;&gt;""),AND(OY16&gt;=PC$33,OZ16&gt;=PC$37,OY16&lt;&gt;""),AND(QA16&gt;=QE$33,QB16&gt;=QE$37,QA16&lt;&gt;"")),"Excellence",IF(F16="P","National Team",""))))</f>
        <v/>
      </c>
      <c r="I16" s="14">
        <f>IF(COUNT(AR16,BU16,CX16)&gt;0,LARGE((AR16,BU16,CX16),1),0)</f>
        <v>43.8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43.099999999999987</v>
      </c>
      <c r="L16" s="14" t="str">
        <f>IF(K16=0,"",IF(K16=CX16,$CB$1,IF(K16=BU16,$AY$1,IF(K16=AR16,$V$1,""))))</f>
        <v>2022 Nationals</v>
      </c>
      <c r="M16" s="14">
        <f>IF(COUNT(AS16,BV16,CY16)&gt;0,LARGE((AS16,BV16,CY16),1),0)</f>
        <v>21.7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20.799999999999997</v>
      </c>
      <c r="P16" s="14" t="str">
        <f>IF(O16=0,"",IF(O16=CY16,$CB$1,IF(O16=BV16,$AY$1,IF(O16=AS16,$V$1,""))))</f>
        <v>2022 Nationals</v>
      </c>
      <c r="Q16" s="14">
        <f>IF(MAX(AW16,BZ16,DC16)&gt;0,MAX(AW16,BZ16,DC16),0)</f>
        <v>43.9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19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6">
        <v>17.600000000000001</v>
      </c>
      <c r="W16" s="26">
        <v>4.4000000000000004</v>
      </c>
      <c r="X16" s="26">
        <v>0.2</v>
      </c>
      <c r="Y16" s="26">
        <v>0</v>
      </c>
      <c r="Z16" s="26">
        <v>18.399999999999999</v>
      </c>
      <c r="AA16" s="26">
        <v>3.6</v>
      </c>
      <c r="AB16" s="26">
        <v>0</v>
      </c>
      <c r="AC16" s="26">
        <v>0</v>
      </c>
      <c r="AD16" s="26">
        <v>18.399999999999999</v>
      </c>
      <c r="AE16" s="26">
        <v>3.5</v>
      </c>
      <c r="AF16" s="26">
        <v>0.2</v>
      </c>
      <c r="AG16" s="26">
        <v>0</v>
      </c>
      <c r="AH16" s="26">
        <v>17.899999999999999</v>
      </c>
      <c r="AI16" s="26">
        <v>4.4000000000000004</v>
      </c>
      <c r="AJ16" s="26">
        <v>0.6</v>
      </c>
      <c r="AK16" s="26">
        <v>0</v>
      </c>
      <c r="AL16" s="26">
        <v>18.600000000000001</v>
      </c>
      <c r="AM16" s="26">
        <v>3.6</v>
      </c>
      <c r="AN16" s="26">
        <v>0</v>
      </c>
      <c r="AO16" s="26">
        <v>0</v>
      </c>
      <c r="AP16" s="44"/>
      <c r="AQ16" s="78">
        <f>IF(SUM(W16,AA16)&gt;0,SUM(W16,AA16),"")</f>
        <v>8</v>
      </c>
      <c r="AR16" s="78">
        <f>IF(SUM(V16:W16,Y16:AA16,AC16)-X16-AB16&gt;0,SUM(V16:W16,Y16:AA16,AC16)-X16-AB16,"")</f>
        <v>43.8</v>
      </c>
      <c r="AS16" s="78">
        <f>IF(SUM(AD16:AE16,AG16)-AF16&gt;0,SUM(AD16:AE16,AG16)-AF16,"")</f>
        <v>21.7</v>
      </c>
      <c r="AT16" s="78">
        <f>IF(SUM(W16,AA16,AE16)&gt;0,SUM(W16,AA16,AE16),"")</f>
        <v>11.5</v>
      </c>
      <c r="AU16" s="78">
        <f>IF(SUM(AR16,AS16)&gt;0,SUM(AR16,AS16),"")</f>
        <v>65.5</v>
      </c>
      <c r="AV16" s="78">
        <f>IF(SUM(AI16,AM16)&gt;0,SUM(AI16,AM16),"")</f>
        <v>8</v>
      </c>
      <c r="AW16" s="78">
        <f>IF(SUM(AH16:AI16,AK16:AM16,AO16)-SUM(AJ16,AN16)&gt;0,SUM(AH16:AI16,AK16:AM16,AO16)-SUM(AJ16,AN16),"")</f>
        <v>43.9</v>
      </c>
      <c r="AX16" s="78">
        <f>IF(SUM(AR16,AW16)&gt;0,SUM(AR16,AW16),"")</f>
        <v>87.699999999999989</v>
      </c>
      <c r="AY16" s="25">
        <v>18</v>
      </c>
      <c r="AZ16" s="25">
        <v>4.4000000000000004</v>
      </c>
      <c r="BA16" s="25">
        <v>0.2</v>
      </c>
      <c r="BB16" s="25">
        <v>0</v>
      </c>
      <c r="BC16" s="25">
        <v>18</v>
      </c>
      <c r="BD16" s="25">
        <v>2.8</v>
      </c>
      <c r="BE16" s="25">
        <v>0.2</v>
      </c>
      <c r="BF16" s="25">
        <v>0.3</v>
      </c>
      <c r="BG16" s="25">
        <v>18.399999999999999</v>
      </c>
      <c r="BH16" s="25">
        <v>3</v>
      </c>
      <c r="BI16" s="25">
        <v>0.6</v>
      </c>
      <c r="BJ16" s="25">
        <v>0</v>
      </c>
      <c r="BK16" s="25">
        <v>18</v>
      </c>
      <c r="BL16" s="25">
        <v>5.2</v>
      </c>
      <c r="BM16" s="25">
        <v>0.2</v>
      </c>
      <c r="BN16" s="25">
        <v>0</v>
      </c>
      <c r="BO16" s="25">
        <v>17</v>
      </c>
      <c r="BP16" s="25">
        <v>2.8</v>
      </c>
      <c r="BQ16" s="25">
        <v>0</v>
      </c>
      <c r="BR16" s="25">
        <v>0.3</v>
      </c>
      <c r="BS16" s="45"/>
      <c r="BT16" s="19">
        <f>IF(SUM(AZ16,BD16)&gt;0,SUM(AZ16,BD16),"")</f>
        <v>7.2</v>
      </c>
      <c r="BU16" s="19">
        <f>IF(SUM(AY16:AZ16,BB16:BD16,BF16)-BA16-BE16&gt;0,SUM(AY16:AZ16,BB16:BD16,BF16)-BA16-BE16,"")</f>
        <v>43.099999999999987</v>
      </c>
      <c r="BV16" s="19">
        <f>IF(SUM(BG16:BH16,BJ16)-BI16&gt;0,SUM(BG16:BH16,BJ16)-BI16,"")</f>
        <v>20.799999999999997</v>
      </c>
      <c r="BW16" s="19">
        <f>IF(SUM(AZ16,BD16,BH16)&gt;0,SUM(AZ16,BD16,BH16),"")</f>
        <v>10.199999999999999</v>
      </c>
      <c r="BX16" s="19">
        <f>IF(SUM(BU16,BV16)&gt;0,SUM(BU16,BV16),"")</f>
        <v>63.899999999999984</v>
      </c>
      <c r="BY16" s="19">
        <f>IF(SUM(BL16,BP16)&gt;0,SUM(BL16,BP16),"")</f>
        <v>8</v>
      </c>
      <c r="BZ16" s="19">
        <f>IF(SUM(BK16:BL16,BN16:BP16,BR16)-SUM(BM16,BQ16)&gt;0,SUM(BK16:BL16,BN16:BP16,BR16)-SUM(BM16,BQ16),"")</f>
        <v>43.099999999999994</v>
      </c>
      <c r="CA16" s="19">
        <f>IF(SUM(BU16,BZ16)&gt;0,SUM(BU16,BZ16),"")</f>
        <v>86.199999999999989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>IF(SUM(CC16,CG16)&gt;0,SUM(CC16,CG16),"")</f>
        <v/>
      </c>
      <c r="CX16" s="78" t="str">
        <f>IF(SUM(CB16:CC16,CE16:CG16,CI16)-CD16-CH16&gt;0,SUM(CB16:CC16,CE16:CG16,CI16)-CD16-CH16,"")</f>
        <v/>
      </c>
      <c r="CY16" s="78" t="str">
        <f>IF(SUM(CJ16:CK16,CM16)-CL16&gt;0,SUM(CJ16:CK16,CM16)-CL16,"")</f>
        <v/>
      </c>
      <c r="CZ16" s="78" t="str">
        <f>IF(SUM(CC16,CG16,CK16)&gt;0,SUM(CC16,CG16,CK16),"")</f>
        <v/>
      </c>
      <c r="DA16" s="78" t="str">
        <f>IF(SUM(CX16,CY16)&gt;0,SUM(CX16,CY16),"")</f>
        <v/>
      </c>
      <c r="DB16" s="78" t="str">
        <f>IF(SUM(CO16,CS16)&gt;0,SUM(CO16,CS16),"")</f>
        <v/>
      </c>
      <c r="DC16" s="78" t="str">
        <f>IF(SUM(CN16:CO16,CQ16:CS16,CU16)-SUM(CP16,CT16)&gt;0,SUM(CN16:CO16,CQ16:CS16,CU16)-SUM(CP16,CT16),"")</f>
        <v/>
      </c>
      <c r="DD16" s="78" t="str">
        <f>IF(SUM(CX16,DC16)&gt;0,SUM(CX16,DC16),"")</f>
        <v/>
      </c>
      <c r="DE16" s="79" t="str">
        <f>IF(K16&gt;=0.001,IF(MAX(EC16,FE16,GG16,HI16,IK16,JM16,KO16,LQ16,MS16,NU16,OW16,PY16)-IF(K16="",0,K16)&gt;0.001,MAX(EC16,FE16,GG16,HI16,IK16,JM16,KO16,LQ16,MS16,NU16,OW16,PY16)-IF(K16="",0,K16),""),"")</f>
        <v/>
      </c>
      <c r="DF16" s="79" t="str">
        <f>IF(O16&gt;=0.001,IF(MAX(ED16,FF16,GH16,HJ16,IL16,JN16,KP16,LR16,MT16,NV16,OX16,PZ16)-IF(O16="",0,O16)&gt;0.001,MAX(ED16,FF16,GH16,HJ16,IL16,JN16,KP16,LR16,MT16,NV16,OX16,PZ16)-IF(O16="",0,O16),""),"")</f>
        <v/>
      </c>
      <c r="DG16" s="79" t="str">
        <f>IF(Q16&gt;=0.001,IF(MAX(EH16,FJ16,GL16,HN16,IP16,JR16,KT16,LV16,MX16,NZ16,PB16,QD16)-IF(Q16="",0,Q16)&gt;0.001,MAX(EH16,FJ16,GL16,HN16,IP16,JR16,KT16,LV16,MX16,NZ16,PB16,QD16)-IF(Q16="",0,Q16),""),"")</f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>IF(SUM(DI16,DM16)&gt;0,SUM(DI16,DM16),"")</f>
        <v/>
      </c>
      <c r="EC16" s="78" t="str">
        <f>IF(SUM(DH16:DI16,DK16:DM16,DO16)-DJ16-DN16&gt;0,SUM(DH16:DI16,DK16:DM16,DO16)-DJ16-DN16,"")</f>
        <v/>
      </c>
      <c r="ED16" s="78" t="str">
        <f>IF(SUM(DP16:DQ16,DS16)-DR16&gt;0,SUM(DP16:DQ16,DS16)-DR16,"")</f>
        <v/>
      </c>
      <c r="EE16" s="78" t="str">
        <f>IF(SUM(DI16,DM16,DQ16)&gt;0,SUM(DI16,DM16,DQ16),"")</f>
        <v/>
      </c>
      <c r="EF16" s="78" t="str">
        <f>IF(SUM(EC16,ED16)&gt;0,SUM(EC16,ED16),"")</f>
        <v/>
      </c>
      <c r="EG16" s="78" t="str">
        <f>IF(SUM(DU16,DY16)&gt;0,SUM(DU16,DY16),"")</f>
        <v/>
      </c>
      <c r="EH16" s="78" t="str">
        <f>IF(SUM(DT16:DU16,DW16:DY16,EA16)-SUM(DV16,DZ16)&gt;0,SUM(DT16:DU16,DW16:DY16,EA16)-SUM(DV16,DZ16),"")</f>
        <v/>
      </c>
      <c r="EI16" s="78" t="str">
        <f>IF(SUM(EC16,EH16)&gt;0,SUM(EC16,EH16),"")</f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>IF(SUM(EK16,EO16)&gt;0,SUM(EK16,EO16),"")</f>
        <v/>
      </c>
      <c r="FE16" s="19" t="str">
        <f>IF(SUM(EJ16:EK16,EM16:EO16,EQ16)-EL16-EP16&gt;0,SUM(EJ16:EK16,EM16:EO16,EQ16)-EL16-EP16,"")</f>
        <v/>
      </c>
      <c r="FF16" s="19" t="str">
        <f>IF(SUM(ER16:ES16,EU16)-ET16&gt;0,SUM(ER16:ES16,EU16)-ET16,"")</f>
        <v/>
      </c>
      <c r="FG16" s="19" t="str">
        <f>IF(SUM(EK16,EO16,ES16)&gt;0,SUM(EK16,EO16,ES16),"")</f>
        <v/>
      </c>
      <c r="FH16" s="19" t="str">
        <f>IF(SUM(FE16,FF16)&gt;0,SUM(FE16,FF16),"")</f>
        <v/>
      </c>
      <c r="FI16" s="19" t="str">
        <f>IF(SUM(EW16,FA16)&gt;0,SUM(EW16,FA16),"")</f>
        <v/>
      </c>
      <c r="FJ16" s="19" t="str">
        <f>IF(SUM(EV16:EW16,EY16:FA16,FC16)-SUM(EX16,FB16)&gt;0,SUM(EV16:EW16,EY16:FA16,FC16)-SUM(EX16,FB16),"")</f>
        <v/>
      </c>
      <c r="FK16" s="19" t="str">
        <f>IF(SUM(FE16,FJ16)&gt;0,SUM(FE16,FJ16),"")</f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>IF(SUM(FM16,FQ16)&gt;0,SUM(FM16,FQ16),"")</f>
        <v/>
      </c>
      <c r="GG16" s="78" t="str">
        <f>IF(SUM(FL16:FM16,FO16:FQ16,FS16)-FN16-FR16&gt;0,SUM(FL16:FM16,FO16:FQ16,FS16)-FN16-FR16,"")</f>
        <v/>
      </c>
      <c r="GH16" s="78" t="str">
        <f>IF(SUM(FT16:FU16,FW16)-FV16&gt;0,SUM(FT16:FU16,FW16)-FV16,"")</f>
        <v/>
      </c>
      <c r="GI16" s="78" t="str">
        <f>IF(SUM(FM16,FQ16,FU16)&gt;0,SUM(FM16,FQ16,FU16),"")</f>
        <v/>
      </c>
      <c r="GJ16" s="78" t="str">
        <f>IF(SUM(GG16,GH16)&gt;0,SUM(GG16,GH16),"")</f>
        <v/>
      </c>
      <c r="GK16" s="78" t="str">
        <f>IF(SUM(FY16,GC16)&gt;0,SUM(FY16,GC16),"")</f>
        <v/>
      </c>
      <c r="GL16" s="78" t="str">
        <f>IF(SUM(FX16:FY16,GA16:GC16,GE16)-SUM(FZ16,GD16)&gt;0,SUM(FX16:FY16,GA16:GC16,GE16)-SUM(FZ16,GD16),"")</f>
        <v/>
      </c>
      <c r="GM16" s="78" t="str">
        <f>IF(SUM(GG16,GL16)&gt;0,SUM(GG16,GL16),"")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>IF(SUM(GO16,GS16)&gt;0,SUM(GO16,GS16),"")</f>
        <v/>
      </c>
      <c r="HI16" s="19" t="str">
        <f>IF(SUM(GN16:GO16,GQ16:GS16,GU16)-GP16-GT16&gt;0,SUM(GN16:GO16,GQ16:GS16,GU16)-GP16-GT16,"")</f>
        <v/>
      </c>
      <c r="HJ16" s="19" t="str">
        <f>IF(SUM(GV16:GW16,GY16)-GX16&gt;0,SUM(GV16:GW16,GY16)-GX16,"")</f>
        <v/>
      </c>
      <c r="HK16" s="19" t="str">
        <f>IF(SUM(GO16,GS16,GW16)&gt;0,SUM(GO16,GS16,GW16),"")</f>
        <v/>
      </c>
      <c r="HL16" s="19" t="str">
        <f>IF(SUM(HI16,HJ16)&gt;0,SUM(HI16,HJ16),"")</f>
        <v/>
      </c>
      <c r="HM16" s="19" t="str">
        <f>IF(SUM(HA16,HE16)&gt;0,SUM(HA16,HE16),"")</f>
        <v/>
      </c>
      <c r="HN16" s="19" t="str">
        <f>IF(SUM(GZ16:HA16,HC16:HE16,HG16)-SUM(HB16,HF16)&gt;0,SUM(GZ16:HA16,HC16:HE16,HG16)-SUM(HB16,HF16),"")</f>
        <v/>
      </c>
      <c r="HO16" s="19" t="str">
        <f>IF(SUM(HI16,HN16)&gt;0,SUM(HI16,HN16),"")</f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>IF(SUM(HQ16,HU16)&gt;0,SUM(HQ16,HU16),"")</f>
        <v/>
      </c>
      <c r="IK16" s="78" t="str">
        <f>IF(SUM(HP16:HQ16,HS16:HU16,HW16)-HR16-HV16&gt;0,SUM(HP16:HQ16,HS16:HU16,HW16)-HR16-HV16,"")</f>
        <v/>
      </c>
      <c r="IL16" s="78" t="str">
        <f>IF(SUM(HX16:HY16,IA16)-HZ16&gt;0,SUM(HX16:HY16,IA16)-HZ16,"")</f>
        <v/>
      </c>
      <c r="IM16" s="78" t="str">
        <f>IF(SUM(HQ16,HU16,HY16)&gt;0,SUM(HQ16,HU16,HY16),"")</f>
        <v/>
      </c>
      <c r="IN16" s="78" t="str">
        <f>IF(SUM(IK16,IL16)&gt;0,SUM(IK16,IL16),"")</f>
        <v/>
      </c>
      <c r="IO16" s="78" t="str">
        <f>IF(SUM(IC16,IG16)&gt;0,SUM(IC16,IG16),"")</f>
        <v/>
      </c>
      <c r="IP16" s="78" t="str">
        <f>IF(SUM(IB16:IC16,IE16:IG16,II16)-SUM(ID16,IH16)&gt;0,SUM(IB16:IC16,IE16:IG16,II16)-SUM(ID16,IH16),"")</f>
        <v/>
      </c>
      <c r="IQ16" s="78" t="str">
        <f>IF(SUM(IK16,IP16)&gt;0,SUM(IK16,IP16),"")</f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>IF(SUM(IS16,IW16)&gt;0,SUM(IS16,IW16),"")</f>
        <v/>
      </c>
      <c r="JM16" s="19" t="str">
        <f>IF(SUM(IR16:IS16,IU16:IW16,IY16)-IT16-IX16&gt;0,SUM(IR16:IS16,IU16:IW16,IY16)-IT16-IX16,"")</f>
        <v/>
      </c>
      <c r="JN16" s="19" t="str">
        <f>IF(SUM(IZ16:JA16,JC16)-JB16&gt;0,SUM(IZ16:JA16,JC16)-JB16,"")</f>
        <v/>
      </c>
      <c r="JO16" s="19" t="str">
        <f>IF(SUM(IS16,IW16,JA16)&gt;0,SUM(IS16,IW16,JA16),"")</f>
        <v/>
      </c>
      <c r="JP16" s="19" t="str">
        <f>IF(SUM(JM16,JN16)&gt;0,SUM(JM16,JN16),"")</f>
        <v/>
      </c>
      <c r="JQ16" s="19" t="str">
        <f>IF(SUM(JE16,JI16)&gt;0,SUM(JE16,JI16),"")</f>
        <v/>
      </c>
      <c r="JR16" s="19" t="str">
        <f>IF(SUM(JD16:JE16,JG16:JI16,JK16)-SUM(JF16,JJ16)&gt;0,SUM(JD16:JE16,JG16:JI16,JK16)-SUM(JF16,JJ16),"")</f>
        <v/>
      </c>
      <c r="JS16" s="19" t="str">
        <f>IF(SUM(JM16,JR16)&gt;0,SUM(JM16,JR16),"")</f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>IF(SUM(JU16,JY16)&gt;0,SUM(JU16,JY16),"")</f>
        <v/>
      </c>
      <c r="KO16" s="78" t="str">
        <f>IF(SUM(JT16:JU16,JW16:JY16,KA16)-JV16-JZ16&gt;0,SUM(JT16:JU16,JW16:JY16,KA16)-JV16-JZ16,"")</f>
        <v/>
      </c>
      <c r="KP16" s="78" t="str">
        <f>IF(SUM(KB16:KC16,KE16)-KD16&gt;0,SUM(KB16:KC16,KE16)-KD16,"")</f>
        <v/>
      </c>
      <c r="KQ16" s="78" t="str">
        <f>IF(SUM(JU16,JY16,KC16)&gt;0,SUM(JU16,JY16,KC16),"")</f>
        <v/>
      </c>
      <c r="KR16" s="78" t="str">
        <f>IF(SUM(KO16,KP16)&gt;0,SUM(KO16,KP16),"")</f>
        <v/>
      </c>
      <c r="KS16" s="78" t="str">
        <f>IF(SUM(KG16,KK16)&gt;0,SUM(KG16,KK16),"")</f>
        <v/>
      </c>
      <c r="KT16" s="78" t="str">
        <f>IF(SUM(KF16:KG16,KI16:KK16,KM16)-SUM(KH16,KL16)&gt;0,SUM(KF16:KG16,KI16:KK16,KM16)-SUM(KH16,KL16),"")</f>
        <v/>
      </c>
      <c r="KU16" s="78" t="str">
        <f>IF(SUM(KO16,KT16)&gt;0,SUM(KO16,KT16),"")</f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>IF(SUM(KW16,LA16)&gt;0,SUM(KW16,LA16),"")</f>
        <v/>
      </c>
      <c r="LQ16" s="19" t="str">
        <f>IF(SUM(KV16:KW16,KY16:LA16,LC16)-KX16-LB16&gt;0,SUM(KV16:KW16,KY16:LA16,LC16)-KX16-LB16,"")</f>
        <v/>
      </c>
      <c r="LR16" s="19" t="str">
        <f>IF(SUM(LD16:LE16,LG16)-LF16&gt;0,SUM(LD16:LE16,LG16)-LF16,"")</f>
        <v/>
      </c>
      <c r="LS16" s="19" t="str">
        <f>IF(SUM(KW16,LA16,LE16)&gt;0,SUM(KW16,LA16,LE16),"")</f>
        <v/>
      </c>
      <c r="LT16" s="19" t="str">
        <f>IF(SUM(LQ16,LR16)&gt;0,SUM(LQ16,LR16),"")</f>
        <v/>
      </c>
      <c r="LU16" s="19" t="str">
        <f>IF(SUM(LI16,LM16)&gt;0,SUM(LI16,LM16),"")</f>
        <v/>
      </c>
      <c r="LV16" s="19" t="str">
        <f>IF(SUM(LH16:LI16,LK16:LM16,LO16)-SUM(LJ16,LN16)&gt;0,SUM(LH16:LI16,LK16:LM16,LO16)-SUM(LJ16,LN16),"")</f>
        <v/>
      </c>
      <c r="LW16" s="19" t="str">
        <f>IF(SUM(LQ16,LV16)&gt;0,SUM(LQ16,LV16),"")</f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>IF(SUM(LY16,MC16)&gt;0,SUM(LY16,MC16),"")</f>
        <v/>
      </c>
      <c r="MS16" s="78" t="str">
        <f>IF(SUM(LX16:LY16,MA16:MC16,ME16)-LZ16-MD16&gt;0,SUM(LX16:LY16,MA16:MC16,ME16)-LZ16-MD16,"")</f>
        <v/>
      </c>
      <c r="MT16" s="78" t="str">
        <f>IF(SUM(MF16:MG16,MI16)-MH16&gt;0,SUM(MF16:MG16,MI16)-MH16,"")</f>
        <v/>
      </c>
      <c r="MU16" s="78" t="str">
        <f>IF(SUM(LY16,MC16,MG16)&gt;0,SUM(LY16,MC16,MG16),"")</f>
        <v/>
      </c>
      <c r="MV16" s="78" t="str">
        <f>IF(SUM(MS16,MT16)&gt;0,SUM(MS16,MT16),"")</f>
        <v/>
      </c>
      <c r="MW16" s="78" t="str">
        <f>IF(SUM(MK16,MO16)&gt;0,SUM(MK16,MO16),"")</f>
        <v/>
      </c>
      <c r="MX16" s="78" t="str">
        <f>IF(SUM(MJ16:MK16,MM16:MO16,MQ16)-SUM(ML16,MP16)&gt;0,SUM(MJ16:MK16,MM16:MO16,MQ16)-SUM(ML16,MP16),"")</f>
        <v/>
      </c>
      <c r="MY16" s="78" t="str">
        <f>IF(SUM(MS16,MX16)&gt;0,SUM(MS16,MX16),"")</f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>IF(SUM(NA16,NE16)&gt;0,SUM(NA16,NE16),"")</f>
        <v/>
      </c>
      <c r="NU16" s="19" t="str">
        <f>IF(SUM(MZ16:NA16,NC16:NE16,NG16)-NB16-NF16&gt;0,SUM(MZ16:NA16,NC16:NE16,NG16)-NB16-NF16,"")</f>
        <v/>
      </c>
      <c r="NV16" s="19" t="str">
        <f>IF(SUM(NH16:NI16,NK16)-NJ16&gt;0,SUM(NH16:NI16,NK16)-NJ16,"")</f>
        <v/>
      </c>
      <c r="NW16" s="19" t="str">
        <f>IF(SUM(NA16,NE16,NI16)&gt;0,SUM(NA16,NE16,NI16),"")</f>
        <v/>
      </c>
      <c r="NX16" s="19" t="str">
        <f>IF(SUM(NU16,NV16)&gt;0,SUM(NU16,NV16),"")</f>
        <v/>
      </c>
      <c r="NY16" s="19" t="str">
        <f>IF(SUM(NM16,NQ16)&gt;0,SUM(NM16,NQ16),"")</f>
        <v/>
      </c>
      <c r="NZ16" s="19" t="str">
        <f>IF(SUM(NL16:NM16,NO16:NQ16,NS16)-SUM(NN16,NR16)&gt;0,SUM(NL16:NM16,NO16:NQ16,NS16)-SUM(NN16,NR16),"")</f>
        <v/>
      </c>
      <c r="OA16" s="19" t="str">
        <f>IF(SUM(NU16,NZ16)&gt;0,SUM(NU16,NZ16),"")</f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>IF(SUM(OC16,OG16)&gt;0,SUM(OC16,OG16),"")</f>
        <v/>
      </c>
      <c r="OW16" s="78" t="str">
        <f>IF(SUM(OB16:OC16,OE16:OG16,OI16)-OD16-OH16&gt;0,SUM(OB16:OC16,OE16:OG16,OI16)-OD16-OH16,"")</f>
        <v/>
      </c>
      <c r="OX16" s="78" t="str">
        <f>IF(SUM(OJ16:OK16,OM16)-OL16&gt;0,SUM(OJ16:OK16,OM16)-OL16,"")</f>
        <v/>
      </c>
      <c r="OY16" s="78" t="str">
        <f>IF(SUM(OC16,OG16,OK16)&gt;0,SUM(OC16,OG16,OK16),"")</f>
        <v/>
      </c>
      <c r="OZ16" s="78" t="str">
        <f>IF(SUM(OW16,OX16)&gt;0,SUM(OW16,OX16),"")</f>
        <v/>
      </c>
      <c r="PA16" s="78" t="str">
        <f>IF(SUM(OO16,OS16)&gt;0,SUM(OO16,OS16),"")</f>
        <v/>
      </c>
      <c r="PB16" s="78" t="str">
        <f>IF(SUM(ON16:OO16,OQ16:OS16,OU16)-SUM(OP16,OT16)&gt;0,SUM(ON16:OO16,OQ16:OS16,OU16)-SUM(OP16,OT16),"")</f>
        <v/>
      </c>
      <c r="PC16" s="78" t="str">
        <f>IF(SUM(OW16,PB16)&gt;0,SUM(OW16,PB16),"")</f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>IF(SUM(PE16,PI16)&gt;0,SUM(PE16,PI16),"")</f>
        <v/>
      </c>
      <c r="PY16" s="19" t="str">
        <f>IF(SUM(PD16:PE16,PG16:PI16,PK16)-PF16-PJ16&gt;0,SUM(PD16:PE16,PG16:PI16,PK16)-PF16-PJ16,"")</f>
        <v/>
      </c>
      <c r="PZ16" s="19" t="str">
        <f>IF(SUM(PL16:PM16,PO16)-PN16&gt;0,SUM(PL16:PM16,PO16)-PN16,"")</f>
        <v/>
      </c>
      <c r="QA16" s="19" t="str">
        <f>IF(SUM(PE16,PI16,PM16)&gt;0,SUM(PE16,PI16,PM16),"")</f>
        <v/>
      </c>
      <c r="QB16" s="19" t="str">
        <f>IF(SUM(PY16,PZ16)&gt;0,SUM(PY16,PZ16),"")</f>
        <v/>
      </c>
      <c r="QC16" s="19" t="str">
        <f>IF(SUM(PQ16,PU16)&gt;0,SUM(PQ16,PU16),"")</f>
        <v/>
      </c>
      <c r="QD16" s="19" t="str">
        <f>IF(SUM(PP16:PQ16,PS16:PU16,PW16)-SUM(PR16,PV16)&gt;0,SUM(PP16:PQ16,PS16:PU16,PW16)-SUM(PR16,PV16),"")</f>
        <v/>
      </c>
      <c r="QE16" s="19" t="str">
        <f>IF(SUM(PY16,QD16)&gt;0,SUM(PY16,QD16),"")</f>
        <v/>
      </c>
      <c r="QF16" s="37">
        <f>IF($CV16="P",CB16,(CB16+AY16)/2)</f>
        <v>9</v>
      </c>
      <c r="QG16" s="37">
        <f>IF($CV16="P",CC16,(CC16+AZ16)/2)</f>
        <v>2.2000000000000002</v>
      </c>
      <c r="QH16" s="37">
        <f>IF($CV16="P",CD16,(CD16+BA16)/2)</f>
        <v>0.1</v>
      </c>
      <c r="QI16" s="37">
        <f>IF($CV16="P",CE16,(CE16+BB16)/2)</f>
        <v>0</v>
      </c>
      <c r="QJ16" s="37">
        <f>IF($CV16="P",CF16,(CF16+BC16)/2)</f>
        <v>9</v>
      </c>
      <c r="QK16" s="37">
        <f>IF($CV16="P",CG16,(CG16+BD16)/2)</f>
        <v>1.4</v>
      </c>
      <c r="QL16" s="37">
        <f>IF($CV16="P",CH16,(CH16+BE16)/2)</f>
        <v>0.1</v>
      </c>
      <c r="QM16" s="37">
        <f>IF($CV16="P",CI16,(CI16+BF16)/2)</f>
        <v>0.15</v>
      </c>
      <c r="QN16" s="37">
        <f>IF($CV16="P",CJ16,(CJ16+BG16)/2)</f>
        <v>9.1999999999999993</v>
      </c>
      <c r="QO16" s="37">
        <f>IF($CV16="P",CK16,(CK16+BH16)/2)</f>
        <v>1.5</v>
      </c>
      <c r="QP16" s="37">
        <f>IF($CV16="P",CL16,(CL16+BI16)/2)</f>
        <v>0.3</v>
      </c>
      <c r="QQ16" s="37">
        <f>IF($CV16="P",CM16,(CM16+BJ16)/2)</f>
        <v>0</v>
      </c>
      <c r="QR16" s="37">
        <f>IF($CV16="P",CN16,(CN16+BK16)/2)</f>
        <v>9</v>
      </c>
      <c r="QS16" s="37">
        <f>IF($CV16="P",CO16,(CO16+BL16)/2)</f>
        <v>2.6</v>
      </c>
      <c r="QT16" s="37">
        <f>IF($CV16="P",CP16,(CP16+BM16)/2)</f>
        <v>0.1</v>
      </c>
      <c r="QU16" s="37">
        <f>IF($CV16="P",CQ16,(CQ16+BN16)/2)</f>
        <v>0</v>
      </c>
      <c r="QV16" s="37">
        <f>IF($CV16="P",CR16,(CR16+BO16)/2)</f>
        <v>8.5</v>
      </c>
      <c r="QW16" s="37">
        <f>IF($CV16="P",CS16,(CS16+BP16)/2)</f>
        <v>1.4</v>
      </c>
      <c r="QX16" s="37">
        <f>IF($CV16="P",CT16,(CT16+BQ16)/2)</f>
        <v>0</v>
      </c>
      <c r="QY16" s="37">
        <f>IF($CV16="P",CU16,(CU16+BR16)/2)</f>
        <v>0.15</v>
      </c>
      <c r="QZ16" s="44" t="s">
        <v>46</v>
      </c>
      <c r="RA16" s="78">
        <f>IF(SUM(QG16,QK16)&gt;0,SUM(QG16,QK16),"")</f>
        <v>3.6</v>
      </c>
      <c r="RB16" s="78">
        <f>IF(SUM(QF16:QG16,QI16:QK16,QM16)-QH16-QL16&gt;0,SUM(QF16:QG16,QI16:QK16,QM16)-QH16-QL16,"")</f>
        <v>21.549999999999994</v>
      </c>
      <c r="RC16" s="78">
        <f>IF(SUM(QN16:QO16,QQ16)-QP16&gt;0,SUM(QN16:QO16,QQ16)-QP16,"")</f>
        <v>10.399999999999999</v>
      </c>
      <c r="RD16" s="78">
        <f>IF(SUM(QG16,QK16,QO16)&gt;0,SUM(QG16,QK16,QO16),"")</f>
        <v>5.0999999999999996</v>
      </c>
      <c r="RE16" s="78">
        <f>IF(SUM(RB16,RC16)&gt;0,SUM(RB16,RC16),"")</f>
        <v>31.949999999999992</v>
      </c>
      <c r="RF16" s="78">
        <f>IF(SUM(QS16,QW16)&gt;0,SUM(QS16,QW16),"")</f>
        <v>4</v>
      </c>
      <c r="RG16" s="78">
        <f>IF(SUM(QR16:QS16,QU16:QW16,QY16)-SUM(QT16,QX16)&gt;0,SUM(QR16:QS16,QU16:QW16,QY16)-SUM(QT16,QX16),"")</f>
        <v>21.549999999999997</v>
      </c>
      <c r="RH16" s="78">
        <f>IF(SUM(RB16,RG16)&gt;0,SUM(RB16,RG16),"")</f>
        <v>43.099999999999994</v>
      </c>
    </row>
    <row r="17" spans="1:476" x14ac:dyDescent="0.2">
      <c r="A17" s="5" t="str">
        <f>IF(AND(F17="P",G17="P"),SUMPRODUCT((F$4:F$29="P")*(G$4:G$29="P")*(E$4:E$29&gt;E17))+1,IF(G17="P",SUMPRODUCT((F$4:F$29="")*(G$4:G$29="P")*(E$4:E$29&gt;E17))+1+SUMPRODUCT((F$4:F$29="P")*(G$4:G$29="P")),""))</f>
        <v/>
      </c>
      <c r="B17" s="77" t="s">
        <v>188</v>
      </c>
      <c r="C17" s="5" t="s">
        <v>6</v>
      </c>
      <c r="D17" s="5">
        <v>2002</v>
      </c>
      <c r="E17" s="15">
        <f>SUM(I17:S17)+SUM(I17:O17)*0.0000001+SUM(I17)*0.0000000000001</f>
        <v>173.30001283000419</v>
      </c>
      <c r="F17" s="3" t="str">
        <f>IF(OR(AND(AQ17&gt;=AX$31,AR17&gt;=AX$35,AQ17&lt;&gt;"",AP17=""),AND(AV17&gt;=AX$31,AW17&gt;=AX$35,AV17&lt;&gt;"",AP17=""),AND(BT17&gt;=CA$31,BU17&gt;=CA$35,BT17&lt;&gt;"",BS17=""),AND(BY17&gt;=CA$31,BZ17&gt;=CA$35,BY17&lt;&gt;"",BS17=""),AND(CW17&gt;=DD$31,CX17&gt;=DD$35,CW17&lt;&gt;"",CV17=""),AND(DB17&gt;=DD$31,DC17&gt;=DD$35,DB17&lt;&gt;""),AND(EB17&gt;=EI$31,EC17&gt;=EI$35,EB17&lt;&gt;""),AND(EG17&gt;=EI$31,EH17&gt;=EI$35,EG17&lt;&gt;""),AND(FD17&gt;=FK$31,FE17&gt;=FK$35,FD17&lt;&gt;""),AND(FI17&gt;=FK$31,FJ17&gt;=FK$35,FI17&lt;&gt;""),AND(GF17&gt;=GM$31,GG17&gt;=GM$35,GF17&lt;&gt;""),AND(GK17&gt;=GM$31,GL17&gt;=GM$35,GK17&lt;&gt;""),AND(HH17&gt;=HO$31,HI17&gt;=HO$35,HH17&lt;&gt;""),AND(HM17&gt;=HO$31,HN17&gt;=HO$35,HM17&lt;&gt;""),AND(IJ17&gt;=IQ$31,IK17&gt;=IQ$35,IJ17&lt;&gt;""),AND(IO17&gt;=IQ$31,IP17&gt;=IQ$35,IO17&lt;&gt;""),AND(JL17&gt;=JS$31,JM17&gt;=JS$35,JL17&lt;&gt;""),AND(JQ17&gt;=JS$31,JR17&gt;=JS$35,JQ17&lt;&gt;""),AND(KN17&gt;=KU$31,KO17&gt;=KU$35,KN17&lt;&gt;""),AND(KS17&gt;=KU$31,KT17&gt;=KU$35,KS17&lt;&gt;""),AND(LP17&gt;=LW$31,LQ17&gt;=LW$35,LP17&lt;&gt;""),AND(LU17&gt;=LW$31,LV17&gt;=LW$35,LU17&lt;&gt;""),AND(MR17&gt;=MY$31,MS17&gt;=MY$35,MR17&lt;&gt;""),AND(MW17&gt;=MY$31,MX17&gt;=MY$35,MW17&lt;&gt;""),AND(NT17&gt;=OA$31,NU17&gt;=OA$35,NT17&lt;&gt;""),AND(NY17&gt;=OA$31,NZ17&gt;=OA$35,NY17&lt;&gt;""),AND(OV17&gt;=PC$31,OW17&gt;=PC$35,OV17&lt;&gt;""),AND(PA17&gt;=PC$31,PB17&gt;=PC$35,PA17&lt;&gt;""),AND(PX17&gt;=QE$31,PY17&gt;=QE$35,PX17&lt;&gt;""),AND(QC17&gt;=QE$31,QD17&gt;=QE$35,QC17&lt;&gt;"")),"P","")</f>
        <v/>
      </c>
      <c r="G17" s="3" t="str">
        <f>IF(OR(AND(AR17&gt;=AX$35,AR17&lt;&gt;"",AP17=""),AND(AW17&gt;=AX$35,AW17&lt;&gt;"",AP17=""),AND(BU17&gt;=CA$35,BU17&lt;&gt;"",BS17=""),AND(BZ17&gt;=CA$35,BZ17&lt;&gt;"",BS17=""),AND(CX17&gt;=DD$35,CX17&lt;&gt;"",CV17=""),AND(DC17&gt;=DD$35,DC17&lt;&gt;"",CV17=""),AND(EC17&gt;=EI$35,EC17&lt;&gt;""),AND(EH17&gt;=EI$35,EH17&lt;&gt;""),AND(FE17&gt;=FK$35,FE17&lt;&gt;""),AND(FJ17&gt;=FK$35,FJ17&lt;&gt;""),AND(GG17&gt;=GM$35,GG17&lt;&gt;""),AND(GL17&gt;=GM$35,GL17&lt;&gt;""),AND(HI17&gt;=HO$35,HI17&lt;&gt;""),AND(HN17&gt;=HO$35,HN17&lt;&gt;""),AND(IK17&gt;=IQ$35,IK17&lt;&gt;""),AND(IP17&gt;=IQ$35,IP17&lt;&gt;""),AND(JM17&gt;=JS$35,JM17&lt;&gt;""),AND(JR17&gt;=JS$35,JR17&lt;&gt;""),AND(KO17&gt;=KU$35,KO17&lt;&gt;""),AND(KT17&gt;=KU$35,KT17&lt;&gt;""),AND(LQ17&gt;=LW$35,LQ17&lt;&gt;""),AND(LV17&gt;=LW$35,LV17&lt;&gt;""),AND(MS17&gt;=MY$35,MS17&lt;&gt;""),AND(MX17&gt;=MY$35,MX17&lt;&gt;""),AND(NU17&gt;=OA$35,NU17&lt;&gt;""),AND(NZ17&gt;=OA$35,NZ17&lt;&gt;""),AND(OW17&gt;=PC$35,OW17&lt;&gt;""),AND(PB17&gt;=PC$35,PB17&lt;&gt;""),AND(PY17&gt;=QE$35,PY17&lt;&gt;""),AND(QD17&gt;=QE$35,QD17&lt;&gt;"")),"P","")</f>
        <v/>
      </c>
      <c r="H17" s="66" t="str">
        <f>IF(AND(G17="P",F17=""),"No DD",IF(OR(AND(AT17&gt;=AX$34,AU17&gt;=AX$38,AT17&lt;&gt;"",AP17=""),AND(BW17&gt;=CA$34,BX17&gt;=CA$38,BW17&lt;&gt;"",BS17=""),AND(CZ17&gt;=DD$34,DA17&gt;=DD$38,CZ17&lt;&gt;"",CV17=""),AND(EE17&gt;=EI$34,EF17&gt;=EI$38,EE17&lt;&gt;""),AND(FG17&gt;=FK$34,FH17&gt;=FK$38,FG17&lt;&gt;""),AND(GI17&gt;=GM$34,GJ17&gt;=GM$38,GI17&lt;&gt;""),AND(HK17&gt;=HO$34,HL17&gt;=HO$38,HK17&lt;&gt;""),AND(IM17&gt;=IQ$34,IN17&gt;=IQ$38,IM17&lt;&gt;""),AND(JO17&gt;=JS$34,JP17&gt;=JS$38,JO17&lt;&gt;""),AND(KQ17&gt;=KU$34,KR17&gt;=KU$38,KQ17&lt;&gt;""),AND(LS17&gt;=LW$34,LT17&gt;=LW$38,LS17&lt;&gt;""),AND(MU17&gt;=MY$34,MV17&gt;=MY$38,MU17&lt;&gt;""),AND(NW17&gt;=OA$34,NX17&gt;=OA$38,NW17&lt;&gt;""),AND(OY17&gt;=PC$34,OZ17&gt;=PC$38,OY17&lt;&gt;""),AND(QA17&gt;=QE$34,QB17&gt;=QE$38,QA17&lt;&gt;"")),"Merit",IF(OR(AND(AT17&gt;=AX$33,AU17&gt;=AX$37,AT17&lt;&gt;"",AP17=""),AND(BW17&gt;=CA$33,BX17&gt;=CA$37,BW17&lt;&gt;"",BS17=""),AND(CZ17&gt;=DD$33,DA17&gt;=DD$37,CZ17&lt;&gt;"",CV17=""),AND(EE17&gt;=EI$33,EF17&gt;=EI$37,EE17&lt;&gt;""),AND(FG17&gt;=FK$33,FH17&gt;=FK$37,FG17&lt;&gt;""),AND(GI17&gt;=GM$33,GJ17&gt;=GM$37,GI17&lt;&gt;""),AND(HK17&gt;=HO$33,HL17&gt;=HO$37,HK17&lt;&gt;""),AND(IM17&gt;=IQ$33,IN17&gt;=IQ$37,IM17&lt;&gt;""),AND(JO17&gt;=JS$33,JP17&gt;=JS$37,JO17&lt;&gt;""),AND(KQ17&gt;=KU$33,KR17&gt;=KU$37,KQ17&lt;&gt;""),AND(LS17&gt;=LW$33,LT17&gt;=LW$37,LS17&lt;&gt;""),AND(MU17&gt;=MY$33,MV17&gt;=MY$37,MU17&lt;&gt;""),AND(NW17&gt;=OA$33,NX17&gt;=OA$37,NW17&lt;&gt;""),AND(OY17&gt;=PC$33,OZ17&gt;=PC$37,OY17&lt;&gt;""),AND(QA17&gt;=QE$33,QB17&gt;=QE$37,QA17&lt;&gt;"")),"Excellence",IF(F17="P","National Team",""))))</f>
        <v/>
      </c>
      <c r="I17" s="14">
        <f>IF(COUNT(AR17,BU17,CX17)&gt;0,LARGE((AR17,BU17,CX17),1),0)</f>
        <v>41.9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41.5</v>
      </c>
      <c r="L17" s="14" t="str">
        <f>IF(K17=0,"",IF(K17=CX17,$CB$1,IF(K17=BU17,$AY$1,IF(K17=AR17,$V$1,""))))</f>
        <v>2022 Nationals</v>
      </c>
      <c r="M17" s="14">
        <f>IF(COUNT(AS17,BV17,CY17)&gt;0,LARGE((AS17,BV17,CY17),1),0)</f>
        <v>22.6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22.3</v>
      </c>
      <c r="P17" s="14" t="str">
        <f>IF(O17=0,"",IF(O17=CY17,$CB$1,IF(O17=BV17,$AY$1,IF(O17=AS17,$V$1,""))))</f>
        <v>2022 Nationals</v>
      </c>
      <c r="Q17" s="14">
        <f>IF(MAX(AW17,BZ17,DC17)&gt;0,MAX(AW17,BZ17,DC17),0)</f>
        <v>44.999999999999993</v>
      </c>
      <c r="R17" s="14" t="str">
        <f>IF(Q17=0,"",IF(Q17=DC17,$CB$1,IF(Q17=BZ17,$AY$1,IF(Q17=AW17,$V$1,""))))</f>
        <v>2022 Nationals</v>
      </c>
      <c r="S17" s="14" t="str">
        <f>IF(MAX(DE17:DG17)&gt;0,MAX(DE17:DG17),"")</f>
        <v/>
      </c>
      <c r="T17" s="19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6">
        <v>17.2</v>
      </c>
      <c r="W17" s="26">
        <v>2.4</v>
      </c>
      <c r="X17" s="26">
        <v>0</v>
      </c>
      <c r="Y17" s="26">
        <v>0</v>
      </c>
      <c r="Z17" s="26">
        <v>18.8</v>
      </c>
      <c r="AA17" s="26">
        <v>3.5</v>
      </c>
      <c r="AB17" s="26">
        <v>0</v>
      </c>
      <c r="AC17" s="26">
        <v>0</v>
      </c>
      <c r="AD17" s="26">
        <v>19.100000000000001</v>
      </c>
      <c r="AE17" s="26">
        <v>3.5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44"/>
      <c r="AQ17" s="78">
        <f>IF(SUM(W17,AA17)&gt;0,SUM(W17,AA17),"")</f>
        <v>5.9</v>
      </c>
      <c r="AR17" s="78">
        <f>IF(SUM(V17:W17,Y17:AA17,AC17)-X17-AB17&gt;0,SUM(V17:W17,Y17:AA17,AC17)-X17-AB17,"")</f>
        <v>41.9</v>
      </c>
      <c r="AS17" s="78">
        <f>IF(SUM(AD17:AE17,AG17)-AF17&gt;0,SUM(AD17:AE17,AG17)-AF17,"")</f>
        <v>22.6</v>
      </c>
      <c r="AT17" s="78">
        <f>IF(SUM(W17,AA17,AE17)&gt;0,SUM(W17,AA17,AE17),"")</f>
        <v>9.4</v>
      </c>
      <c r="AU17" s="78">
        <f>IF(SUM(AR17,AS17)&gt;0,SUM(AR17,AS17),"")</f>
        <v>64.5</v>
      </c>
      <c r="AV17" s="78" t="str">
        <f>IF(SUM(AI17,AM17)&gt;0,SUM(AI17,AM17),"")</f>
        <v/>
      </c>
      <c r="AW17" s="78" t="str">
        <f>IF(SUM(AH17:AI17,AK17:AM17,AO17)-SUM(AJ17,AN17)&gt;0,SUM(AH17:AI17,AK17:AM17,AO17)-SUM(AJ17,AN17),"")</f>
        <v/>
      </c>
      <c r="AX17" s="78">
        <f>IF(SUM(AR17,AW17)&gt;0,SUM(AR17,AW17),"")</f>
        <v>41.9</v>
      </c>
      <c r="AY17" s="25">
        <v>18.899999999999999</v>
      </c>
      <c r="AZ17" s="25">
        <v>4.4000000000000004</v>
      </c>
      <c r="BA17" s="25">
        <v>0.2</v>
      </c>
      <c r="BB17" s="25">
        <v>0</v>
      </c>
      <c r="BC17" s="25">
        <v>17.7</v>
      </c>
      <c r="BD17" s="25">
        <v>0.7</v>
      </c>
      <c r="BE17" s="25">
        <v>0</v>
      </c>
      <c r="BF17" s="25">
        <v>0</v>
      </c>
      <c r="BG17" s="25">
        <v>18.8</v>
      </c>
      <c r="BH17" s="25">
        <v>3.5</v>
      </c>
      <c r="BI17" s="25">
        <v>0</v>
      </c>
      <c r="BJ17" s="25">
        <v>0</v>
      </c>
      <c r="BK17" s="25">
        <v>18.899999999999999</v>
      </c>
      <c r="BL17" s="25">
        <v>3.5</v>
      </c>
      <c r="BM17" s="25">
        <v>0</v>
      </c>
      <c r="BN17" s="25">
        <v>0</v>
      </c>
      <c r="BO17" s="25">
        <v>18.399999999999999</v>
      </c>
      <c r="BP17" s="25">
        <v>4.4000000000000004</v>
      </c>
      <c r="BQ17" s="25">
        <v>0.2</v>
      </c>
      <c r="BR17" s="25">
        <v>0</v>
      </c>
      <c r="BS17" s="45"/>
      <c r="BT17" s="19">
        <f>IF(SUM(AZ17,BD17)&gt;0,SUM(AZ17,BD17),"")</f>
        <v>5.1000000000000005</v>
      </c>
      <c r="BU17" s="19">
        <f>IF(SUM(AY17:AZ17,BB17:BD17,BF17)-BA17-BE17&gt;0,SUM(AY17:AZ17,BB17:BD17,BF17)-BA17-BE17,"")</f>
        <v>41.5</v>
      </c>
      <c r="BV17" s="19">
        <f>IF(SUM(BG17:BH17,BJ17)-BI17&gt;0,SUM(BG17:BH17,BJ17)-BI17,"")</f>
        <v>22.3</v>
      </c>
      <c r="BW17" s="19">
        <f>IF(SUM(AZ17,BD17,BH17)&gt;0,SUM(AZ17,BD17,BH17),"")</f>
        <v>8.6000000000000014</v>
      </c>
      <c r="BX17" s="19">
        <f>IF(SUM(BU17,BV17)&gt;0,SUM(BU17,BV17),"")</f>
        <v>63.8</v>
      </c>
      <c r="BY17" s="19">
        <f>IF(SUM(BL17,BP17)&gt;0,SUM(BL17,BP17),"")</f>
        <v>7.9</v>
      </c>
      <c r="BZ17" s="19">
        <f>IF(SUM(BK17:BL17,BN17:BP17,BR17)-SUM(BM17,BQ17)&gt;0,SUM(BK17:BL17,BN17:BP17,BR17)-SUM(BM17,BQ17),"")</f>
        <v>44.999999999999993</v>
      </c>
      <c r="CA17" s="19">
        <f>IF(SUM(BU17,BZ17)&gt;0,SUM(BU17,BZ17),"")</f>
        <v>86.5</v>
      </c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44"/>
      <c r="CW17" s="78" t="str">
        <f>IF(SUM(CC17,CG17)&gt;0,SUM(CC17,CG17),"")</f>
        <v/>
      </c>
      <c r="CX17" s="78" t="str">
        <f>IF(SUM(CB17:CC17,CE17:CG17,CI17)-CD17-CH17&gt;0,SUM(CB17:CC17,CE17:CG17,CI17)-CD17-CH17,"")</f>
        <v/>
      </c>
      <c r="CY17" s="78" t="str">
        <f>IF(SUM(CJ17:CK17,CM17)-CL17&gt;0,SUM(CJ17:CK17,CM17)-CL17,"")</f>
        <v/>
      </c>
      <c r="CZ17" s="78" t="str">
        <f>IF(SUM(CC17,CG17,CK17)&gt;0,SUM(CC17,CG17,CK17),"")</f>
        <v/>
      </c>
      <c r="DA17" s="78" t="str">
        <f>IF(SUM(CX17,CY17)&gt;0,SUM(CX17,CY17),"")</f>
        <v/>
      </c>
      <c r="DB17" s="78" t="str">
        <f>IF(SUM(CO17,CS17)&gt;0,SUM(CO17,CS17),"")</f>
        <v/>
      </c>
      <c r="DC17" s="78" t="str">
        <f>IF(SUM(CN17:CO17,CQ17:CS17,CU17)-SUM(CP17,CT17)&gt;0,SUM(CN17:CO17,CQ17:CS17,CU17)-SUM(CP17,CT17),"")</f>
        <v/>
      </c>
      <c r="DD17" s="78" t="str">
        <f>IF(SUM(CX17,DC17)&gt;0,SUM(CX17,DC17),"")</f>
        <v/>
      </c>
      <c r="DE17" s="79" t="str">
        <f>IF(K17&gt;=0.001,IF(MAX(EC17,FE17,GG17,HI17,IK17,JM17,KO17,LQ17,MS17,NU17,OW17,PY17)-IF(K17="",0,K17)&gt;0.001,MAX(EC17,FE17,GG17,HI17,IK17,JM17,KO17,LQ17,MS17,NU17,OW17,PY17)-IF(K17="",0,K17),""),"")</f>
        <v/>
      </c>
      <c r="DF17" s="79" t="str">
        <f>IF(O17&gt;=0.001,IF(MAX(ED17,FF17,GH17,HJ17,IL17,JN17,KP17,LR17,MT17,NV17,OX17,PZ17)-IF(O17="",0,O17)&gt;0.001,MAX(ED17,FF17,GH17,HJ17,IL17,JN17,KP17,LR17,MT17,NV17,OX17,PZ17)-IF(O17="",0,O17),""),"")</f>
        <v/>
      </c>
      <c r="DG17" s="79" t="str">
        <f>IF(Q17&gt;=0.001,IF(MAX(EH17,FJ17,GL17,HN17,IP17,JR17,KT17,LV17,MX17,NZ17,PB17,QD17)-IF(Q17="",0,Q17)&gt;0.001,MAX(EH17,FJ17,GL17,HN17,IP17,JR17,KT17,LV17,MX17,NZ17,PB17,QD17)-IF(Q17="",0,Q17),""),"")</f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>IF(SUM(DI17,DM17)&gt;0,SUM(DI17,DM17),"")</f>
        <v/>
      </c>
      <c r="EC17" s="78" t="str">
        <f>IF(SUM(DH17:DI17,DK17:DM17,DO17)-DJ17-DN17&gt;0,SUM(DH17:DI17,DK17:DM17,DO17)-DJ17-DN17,"")</f>
        <v/>
      </c>
      <c r="ED17" s="78" t="str">
        <f>IF(SUM(DP17:DQ17,DS17)-DR17&gt;0,SUM(DP17:DQ17,DS17)-DR17,"")</f>
        <v/>
      </c>
      <c r="EE17" s="78" t="str">
        <f>IF(SUM(DI17,DM17,DQ17)&gt;0,SUM(DI17,DM17,DQ17),"")</f>
        <v/>
      </c>
      <c r="EF17" s="78" t="str">
        <f>IF(SUM(EC17,ED17)&gt;0,SUM(EC17,ED17),"")</f>
        <v/>
      </c>
      <c r="EG17" s="78" t="str">
        <f>IF(SUM(DU17,DY17)&gt;0,SUM(DU17,DY17),"")</f>
        <v/>
      </c>
      <c r="EH17" s="78" t="str">
        <f>IF(SUM(DT17:DU17,DW17:DY17,EA17)-SUM(DV17,DZ17)&gt;0,SUM(DT17:DU17,DW17:DY17,EA17)-SUM(DV17,DZ17),"")</f>
        <v/>
      </c>
      <c r="EI17" s="78" t="str">
        <f>IF(SUM(EC17,EH17)&gt;0,SUM(EC17,EH17),"")</f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>IF(SUM(EK17,EO17)&gt;0,SUM(EK17,EO17),"")</f>
        <v/>
      </c>
      <c r="FE17" s="19" t="str">
        <f>IF(SUM(EJ17:EK17,EM17:EO17,EQ17)-EL17-EP17&gt;0,SUM(EJ17:EK17,EM17:EO17,EQ17)-EL17-EP17,"")</f>
        <v/>
      </c>
      <c r="FF17" s="19" t="str">
        <f>IF(SUM(ER17:ES17,EU17)-ET17&gt;0,SUM(ER17:ES17,EU17)-ET17,"")</f>
        <v/>
      </c>
      <c r="FG17" s="19" t="str">
        <f>IF(SUM(EK17,EO17,ES17)&gt;0,SUM(EK17,EO17,ES17),"")</f>
        <v/>
      </c>
      <c r="FH17" s="19" t="str">
        <f>IF(SUM(FE17,FF17)&gt;0,SUM(FE17,FF17),"")</f>
        <v/>
      </c>
      <c r="FI17" s="19" t="str">
        <f>IF(SUM(EW17,FA17)&gt;0,SUM(EW17,FA17),"")</f>
        <v/>
      </c>
      <c r="FJ17" s="19" t="str">
        <f>IF(SUM(EV17:EW17,EY17:FA17,FC17)-SUM(EX17,FB17)&gt;0,SUM(EV17:EW17,EY17:FA17,FC17)-SUM(EX17,FB17),"")</f>
        <v/>
      </c>
      <c r="FK17" s="19" t="str">
        <f>IF(SUM(FE17,FJ17)&gt;0,SUM(FE17,FJ17),"")</f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>IF(SUM(FM17,FQ17)&gt;0,SUM(FM17,FQ17),"")</f>
        <v/>
      </c>
      <c r="GG17" s="78" t="str">
        <f>IF(SUM(FL17:FM17,FO17:FQ17,FS17)-FN17-FR17&gt;0,SUM(FL17:FM17,FO17:FQ17,FS17)-FN17-FR17,"")</f>
        <v/>
      </c>
      <c r="GH17" s="78" t="str">
        <f>IF(SUM(FT17:FU17,FW17)-FV17&gt;0,SUM(FT17:FU17,FW17)-FV17,"")</f>
        <v/>
      </c>
      <c r="GI17" s="78" t="str">
        <f>IF(SUM(FM17,FQ17,FU17)&gt;0,SUM(FM17,FQ17,FU17),"")</f>
        <v/>
      </c>
      <c r="GJ17" s="78" t="str">
        <f>IF(SUM(GG17,GH17)&gt;0,SUM(GG17,GH17),"")</f>
        <v/>
      </c>
      <c r="GK17" s="78" t="str">
        <f>IF(SUM(FY17,GC17)&gt;0,SUM(FY17,GC17),"")</f>
        <v/>
      </c>
      <c r="GL17" s="78" t="str">
        <f>IF(SUM(FX17:FY17,GA17:GC17,GE17)-SUM(FZ17,GD17)&gt;0,SUM(FX17:FY17,GA17:GC17,GE17)-SUM(FZ17,GD17),"")</f>
        <v/>
      </c>
      <c r="GM17" s="78" t="str">
        <f>IF(SUM(GG17,GL17)&gt;0,SUM(GG17,GL17),"")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>IF(SUM(GO17,GS17)&gt;0,SUM(GO17,GS17),"")</f>
        <v/>
      </c>
      <c r="HI17" s="19" t="str">
        <f>IF(SUM(GN17:GO17,GQ17:GS17,GU17)-GP17-GT17&gt;0,SUM(GN17:GO17,GQ17:GS17,GU17)-GP17-GT17,"")</f>
        <v/>
      </c>
      <c r="HJ17" s="19" t="str">
        <f>IF(SUM(GV17:GW17,GY17)-GX17&gt;0,SUM(GV17:GW17,GY17)-GX17,"")</f>
        <v/>
      </c>
      <c r="HK17" s="19" t="str">
        <f>IF(SUM(GO17,GS17,GW17)&gt;0,SUM(GO17,GS17,GW17),"")</f>
        <v/>
      </c>
      <c r="HL17" s="19" t="str">
        <f>IF(SUM(HI17,HJ17)&gt;0,SUM(HI17,HJ17),"")</f>
        <v/>
      </c>
      <c r="HM17" s="19" t="str">
        <f>IF(SUM(HA17,HE17)&gt;0,SUM(HA17,HE17),"")</f>
        <v/>
      </c>
      <c r="HN17" s="19" t="str">
        <f>IF(SUM(GZ17:HA17,HC17:HE17,HG17)-SUM(HB17,HF17)&gt;0,SUM(GZ17:HA17,HC17:HE17,HG17)-SUM(HB17,HF17),"")</f>
        <v/>
      </c>
      <c r="HO17" s="19" t="str">
        <f>IF(SUM(HI17,HN17)&gt;0,SUM(HI17,HN17),"")</f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>IF(SUM(HQ17,HU17)&gt;0,SUM(HQ17,HU17),"")</f>
        <v/>
      </c>
      <c r="IK17" s="78" t="str">
        <f>IF(SUM(HP17:HQ17,HS17:HU17,HW17)-HR17-HV17&gt;0,SUM(HP17:HQ17,HS17:HU17,HW17)-HR17-HV17,"")</f>
        <v/>
      </c>
      <c r="IL17" s="78" t="str">
        <f>IF(SUM(HX17:HY17,IA17)-HZ17&gt;0,SUM(HX17:HY17,IA17)-HZ17,"")</f>
        <v/>
      </c>
      <c r="IM17" s="78" t="str">
        <f>IF(SUM(HQ17,HU17,HY17)&gt;0,SUM(HQ17,HU17,HY17),"")</f>
        <v/>
      </c>
      <c r="IN17" s="78" t="str">
        <f>IF(SUM(IK17,IL17)&gt;0,SUM(IK17,IL17),"")</f>
        <v/>
      </c>
      <c r="IO17" s="78" t="str">
        <f>IF(SUM(IC17,IG17)&gt;0,SUM(IC17,IG17),"")</f>
        <v/>
      </c>
      <c r="IP17" s="78" t="str">
        <f>IF(SUM(IB17:IC17,IE17:IG17,II17)-SUM(ID17,IH17)&gt;0,SUM(IB17:IC17,IE17:IG17,II17)-SUM(ID17,IH17),"")</f>
        <v/>
      </c>
      <c r="IQ17" s="78" t="str">
        <f>IF(SUM(IK17,IP17)&gt;0,SUM(IK17,IP17),"")</f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>IF(SUM(IS17,IW17)&gt;0,SUM(IS17,IW17),"")</f>
        <v/>
      </c>
      <c r="JM17" s="19" t="str">
        <f>IF(SUM(IR17:IS17,IU17:IW17,IY17)-IT17-IX17&gt;0,SUM(IR17:IS17,IU17:IW17,IY17)-IT17-IX17,"")</f>
        <v/>
      </c>
      <c r="JN17" s="19" t="str">
        <f>IF(SUM(IZ17:JA17,JC17)-JB17&gt;0,SUM(IZ17:JA17,JC17)-JB17,"")</f>
        <v/>
      </c>
      <c r="JO17" s="19" t="str">
        <f>IF(SUM(IS17,IW17,JA17)&gt;0,SUM(IS17,IW17,JA17),"")</f>
        <v/>
      </c>
      <c r="JP17" s="19" t="str">
        <f>IF(SUM(JM17,JN17)&gt;0,SUM(JM17,JN17),"")</f>
        <v/>
      </c>
      <c r="JQ17" s="19" t="str">
        <f>IF(SUM(JE17,JI17)&gt;0,SUM(JE17,JI17),"")</f>
        <v/>
      </c>
      <c r="JR17" s="19" t="str">
        <f>IF(SUM(JD17:JE17,JG17:JI17,JK17)-SUM(JF17,JJ17)&gt;0,SUM(JD17:JE17,JG17:JI17,JK17)-SUM(JF17,JJ17),"")</f>
        <v/>
      </c>
      <c r="JS17" s="19" t="str">
        <f>IF(SUM(JM17,JR17)&gt;0,SUM(JM17,JR17),"")</f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>IF(SUM(JU17,JY17)&gt;0,SUM(JU17,JY17),"")</f>
        <v/>
      </c>
      <c r="KO17" s="78" t="str">
        <f>IF(SUM(JT17:JU17,JW17:JY17,KA17)-JV17-JZ17&gt;0,SUM(JT17:JU17,JW17:JY17,KA17)-JV17-JZ17,"")</f>
        <v/>
      </c>
      <c r="KP17" s="78" t="str">
        <f>IF(SUM(KB17:KC17,KE17)-KD17&gt;0,SUM(KB17:KC17,KE17)-KD17,"")</f>
        <v/>
      </c>
      <c r="KQ17" s="78" t="str">
        <f>IF(SUM(JU17,JY17,KC17)&gt;0,SUM(JU17,JY17,KC17),"")</f>
        <v/>
      </c>
      <c r="KR17" s="78" t="str">
        <f>IF(SUM(KO17,KP17)&gt;0,SUM(KO17,KP17),"")</f>
        <v/>
      </c>
      <c r="KS17" s="78" t="str">
        <f>IF(SUM(KG17,KK17)&gt;0,SUM(KG17,KK17),"")</f>
        <v/>
      </c>
      <c r="KT17" s="78" t="str">
        <f>IF(SUM(KF17:KG17,KI17:KK17,KM17)-SUM(KH17,KL17)&gt;0,SUM(KF17:KG17,KI17:KK17,KM17)-SUM(KH17,KL17),"")</f>
        <v/>
      </c>
      <c r="KU17" s="78" t="str">
        <f>IF(SUM(KO17,KT17)&gt;0,SUM(KO17,KT17),"")</f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>IF(SUM(KW17,LA17)&gt;0,SUM(KW17,LA17),"")</f>
        <v/>
      </c>
      <c r="LQ17" s="19" t="str">
        <f>IF(SUM(KV17:KW17,KY17:LA17,LC17)-KX17-LB17&gt;0,SUM(KV17:KW17,KY17:LA17,LC17)-KX17-LB17,"")</f>
        <v/>
      </c>
      <c r="LR17" s="19" t="str">
        <f>IF(SUM(LD17:LE17,LG17)-LF17&gt;0,SUM(LD17:LE17,LG17)-LF17,"")</f>
        <v/>
      </c>
      <c r="LS17" s="19" t="str">
        <f>IF(SUM(KW17,LA17,LE17)&gt;0,SUM(KW17,LA17,LE17),"")</f>
        <v/>
      </c>
      <c r="LT17" s="19" t="str">
        <f>IF(SUM(LQ17,LR17)&gt;0,SUM(LQ17,LR17),"")</f>
        <v/>
      </c>
      <c r="LU17" s="19" t="str">
        <f>IF(SUM(LI17,LM17)&gt;0,SUM(LI17,LM17),"")</f>
        <v/>
      </c>
      <c r="LV17" s="19" t="str">
        <f>IF(SUM(LH17:LI17,LK17:LM17,LO17)-SUM(LJ17,LN17)&gt;0,SUM(LH17:LI17,LK17:LM17,LO17)-SUM(LJ17,LN17),"")</f>
        <v/>
      </c>
      <c r="LW17" s="19" t="str">
        <f>IF(SUM(LQ17,LV17)&gt;0,SUM(LQ17,LV17),"")</f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>IF(SUM(LY17,MC17)&gt;0,SUM(LY17,MC17),"")</f>
        <v/>
      </c>
      <c r="MS17" s="78" t="str">
        <f>IF(SUM(LX17:LY17,MA17:MC17,ME17)-LZ17-MD17&gt;0,SUM(LX17:LY17,MA17:MC17,ME17)-LZ17-MD17,"")</f>
        <v/>
      </c>
      <c r="MT17" s="78" t="str">
        <f>IF(SUM(MF17:MG17,MI17)-MH17&gt;0,SUM(MF17:MG17,MI17)-MH17,"")</f>
        <v/>
      </c>
      <c r="MU17" s="78" t="str">
        <f>IF(SUM(LY17,MC17,MG17)&gt;0,SUM(LY17,MC17,MG17),"")</f>
        <v/>
      </c>
      <c r="MV17" s="78" t="str">
        <f>IF(SUM(MS17,MT17)&gt;0,SUM(MS17,MT17),"")</f>
        <v/>
      </c>
      <c r="MW17" s="78" t="str">
        <f>IF(SUM(MK17,MO17)&gt;0,SUM(MK17,MO17),"")</f>
        <v/>
      </c>
      <c r="MX17" s="78" t="str">
        <f>IF(SUM(MJ17:MK17,MM17:MO17,MQ17)-SUM(ML17,MP17)&gt;0,SUM(MJ17:MK17,MM17:MO17,MQ17)-SUM(ML17,MP17),"")</f>
        <v/>
      </c>
      <c r="MY17" s="78" t="str">
        <f>IF(SUM(MS17,MX17)&gt;0,SUM(MS17,MX17),"")</f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>IF(SUM(NA17,NE17)&gt;0,SUM(NA17,NE17),"")</f>
        <v/>
      </c>
      <c r="NU17" s="19" t="str">
        <f>IF(SUM(MZ17:NA17,NC17:NE17,NG17)-NB17-NF17&gt;0,SUM(MZ17:NA17,NC17:NE17,NG17)-NB17-NF17,"")</f>
        <v/>
      </c>
      <c r="NV17" s="19" t="str">
        <f>IF(SUM(NH17:NI17,NK17)-NJ17&gt;0,SUM(NH17:NI17,NK17)-NJ17,"")</f>
        <v/>
      </c>
      <c r="NW17" s="19" t="str">
        <f>IF(SUM(NA17,NE17,NI17)&gt;0,SUM(NA17,NE17,NI17),"")</f>
        <v/>
      </c>
      <c r="NX17" s="19" t="str">
        <f>IF(SUM(NU17,NV17)&gt;0,SUM(NU17,NV17),"")</f>
        <v/>
      </c>
      <c r="NY17" s="19" t="str">
        <f>IF(SUM(NM17,NQ17)&gt;0,SUM(NM17,NQ17),"")</f>
        <v/>
      </c>
      <c r="NZ17" s="19" t="str">
        <f>IF(SUM(NL17:NM17,NO17:NQ17,NS17)-SUM(NN17,NR17)&gt;0,SUM(NL17:NM17,NO17:NQ17,NS17)-SUM(NN17,NR17),"")</f>
        <v/>
      </c>
      <c r="OA17" s="19" t="str">
        <f>IF(SUM(NU17,NZ17)&gt;0,SUM(NU17,NZ17),"")</f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>IF(SUM(OC17,OG17)&gt;0,SUM(OC17,OG17),"")</f>
        <v/>
      </c>
      <c r="OW17" s="78" t="str">
        <f>IF(SUM(OB17:OC17,OE17:OG17,OI17)-OD17-OH17&gt;0,SUM(OB17:OC17,OE17:OG17,OI17)-OD17-OH17,"")</f>
        <v/>
      </c>
      <c r="OX17" s="78" t="str">
        <f>IF(SUM(OJ17:OK17,OM17)-OL17&gt;0,SUM(OJ17:OK17,OM17)-OL17,"")</f>
        <v/>
      </c>
      <c r="OY17" s="78" t="str">
        <f>IF(SUM(OC17,OG17,OK17)&gt;0,SUM(OC17,OG17,OK17),"")</f>
        <v/>
      </c>
      <c r="OZ17" s="78" t="str">
        <f>IF(SUM(OW17,OX17)&gt;0,SUM(OW17,OX17),"")</f>
        <v/>
      </c>
      <c r="PA17" s="78" t="str">
        <f>IF(SUM(OO17,OS17)&gt;0,SUM(OO17,OS17),"")</f>
        <v/>
      </c>
      <c r="PB17" s="78" t="str">
        <f>IF(SUM(ON17:OO17,OQ17:OS17,OU17)-SUM(OP17,OT17)&gt;0,SUM(ON17:OO17,OQ17:OS17,OU17)-SUM(OP17,OT17),"")</f>
        <v/>
      </c>
      <c r="PC17" s="78" t="str">
        <f>IF(SUM(OW17,PB17)&gt;0,SUM(OW17,PB17),"")</f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>IF(SUM(PE17,PI17)&gt;0,SUM(PE17,PI17),"")</f>
        <v/>
      </c>
      <c r="PY17" s="19" t="str">
        <f>IF(SUM(PD17:PE17,PG17:PI17,PK17)-PF17-PJ17&gt;0,SUM(PD17:PE17,PG17:PI17,PK17)-PF17-PJ17,"")</f>
        <v/>
      </c>
      <c r="PZ17" s="19" t="str">
        <f>IF(SUM(PL17:PM17,PO17)-PN17&gt;0,SUM(PL17:PM17,PO17)-PN17,"")</f>
        <v/>
      </c>
      <c r="QA17" s="19" t="str">
        <f>IF(SUM(PE17,PI17,PM17)&gt;0,SUM(PE17,PI17,PM17),"")</f>
        <v/>
      </c>
      <c r="QB17" s="19" t="str">
        <f>IF(SUM(PY17,PZ17)&gt;0,SUM(PY17,PZ17),"")</f>
        <v/>
      </c>
      <c r="QC17" s="19" t="str">
        <f>IF(SUM(PQ17,PU17)&gt;0,SUM(PQ17,PU17),"")</f>
        <v/>
      </c>
      <c r="QD17" s="19" t="str">
        <f>IF(SUM(PP17:PQ17,PS17:PU17,PW17)-SUM(PR17,PV17)&gt;0,SUM(PP17:PQ17,PS17:PU17,PW17)-SUM(PR17,PV17),"")</f>
        <v/>
      </c>
      <c r="QE17" s="19" t="str">
        <f>IF(SUM(PY17,QD17)&gt;0,SUM(PY17,QD17),"")</f>
        <v/>
      </c>
      <c r="QF17" s="37">
        <f>IF($CV17="P",CB17,(CB17+AY17)/2)</f>
        <v>9.4499999999999993</v>
      </c>
      <c r="QG17" s="37">
        <f>IF($CV17="P",CC17,(CC17+AZ17)/2)</f>
        <v>2.2000000000000002</v>
      </c>
      <c r="QH17" s="37">
        <f>IF($CV17="P",CD17,(CD17+BA17)/2)</f>
        <v>0.1</v>
      </c>
      <c r="QI17" s="37">
        <f>IF($CV17="P",CE17,(CE17+BB17)/2)</f>
        <v>0</v>
      </c>
      <c r="QJ17" s="37">
        <f>IF($CV17="P",CF17,(CF17+BC17)/2)</f>
        <v>8.85</v>
      </c>
      <c r="QK17" s="37">
        <f>IF($CV17="P",CG17,(CG17+BD17)/2)</f>
        <v>0.35</v>
      </c>
      <c r="QL17" s="37">
        <f>IF($CV17="P",CH17,(CH17+BE17)/2)</f>
        <v>0</v>
      </c>
      <c r="QM17" s="37">
        <f>IF($CV17="P",CI17,(CI17+BF17)/2)</f>
        <v>0</v>
      </c>
      <c r="QN17" s="37">
        <f>IF($CV17="P",CJ17,(CJ17+BG17)/2)</f>
        <v>9.4</v>
      </c>
      <c r="QO17" s="37">
        <f>IF($CV17="P",CK17,(CK17+BH17)/2)</f>
        <v>1.75</v>
      </c>
      <c r="QP17" s="37">
        <f>IF($CV17="P",CL17,(CL17+BI17)/2)</f>
        <v>0</v>
      </c>
      <c r="QQ17" s="37">
        <f>IF($CV17="P",CM17,(CM17+BJ17)/2)</f>
        <v>0</v>
      </c>
      <c r="QR17" s="37">
        <f>IF($CV17="P",CN17,(CN17+BK17)/2)</f>
        <v>9.4499999999999993</v>
      </c>
      <c r="QS17" s="37">
        <f>IF($CV17="P",CO17,(CO17+BL17)/2)</f>
        <v>1.75</v>
      </c>
      <c r="QT17" s="37">
        <f>IF($CV17="P",CP17,(CP17+BM17)/2)</f>
        <v>0</v>
      </c>
      <c r="QU17" s="37">
        <f>IF($CV17="P",CQ17,(CQ17+BN17)/2)</f>
        <v>0</v>
      </c>
      <c r="QV17" s="37">
        <f>IF($CV17="P",CR17,(CR17+BO17)/2)</f>
        <v>9.1999999999999993</v>
      </c>
      <c r="QW17" s="37">
        <f>IF($CV17="P",CS17,(CS17+BP17)/2)</f>
        <v>2.2000000000000002</v>
      </c>
      <c r="QX17" s="37">
        <f>IF($CV17="P",CT17,(CT17+BQ17)/2)</f>
        <v>0.1</v>
      </c>
      <c r="QY17" s="37">
        <f>IF($CV17="P",CU17,(CU17+BR17)/2)</f>
        <v>0</v>
      </c>
      <c r="QZ17" s="44" t="s">
        <v>46</v>
      </c>
      <c r="RA17" s="78">
        <f>IF(SUM(QG17,QK17)&gt;0,SUM(QG17,QK17),"")</f>
        <v>2.5500000000000003</v>
      </c>
      <c r="RB17" s="78">
        <f>IF(SUM(QF17:QG17,QI17:QK17,QM17)-QH17-QL17&gt;0,SUM(QF17:QG17,QI17:QK17,QM17)-QH17-QL17,"")</f>
        <v>20.75</v>
      </c>
      <c r="RC17" s="78">
        <f>IF(SUM(QN17:QO17,QQ17)-QP17&gt;0,SUM(QN17:QO17,QQ17)-QP17,"")</f>
        <v>11.15</v>
      </c>
      <c r="RD17" s="78">
        <f>IF(SUM(QG17,QK17,QO17)&gt;0,SUM(QG17,QK17,QO17),"")</f>
        <v>4.3000000000000007</v>
      </c>
      <c r="RE17" s="78">
        <f>IF(SUM(RB17,RC17)&gt;0,SUM(RB17,RC17),"")</f>
        <v>31.9</v>
      </c>
      <c r="RF17" s="78">
        <f>IF(SUM(QS17,QW17)&gt;0,SUM(QS17,QW17),"")</f>
        <v>3.95</v>
      </c>
      <c r="RG17" s="78">
        <f>IF(SUM(QR17:QS17,QU17:QW17,QY17)-SUM(QT17,QX17)&gt;0,SUM(QR17:QS17,QU17:QW17,QY17)-SUM(QT17,QX17),"")</f>
        <v>22.499999999999996</v>
      </c>
      <c r="RH17" s="78">
        <f>IF(SUM(RB17,RG17)&gt;0,SUM(RB17,RG17),"")</f>
        <v>43.25</v>
      </c>
    </row>
    <row r="18" spans="1:476" x14ac:dyDescent="0.2">
      <c r="A18" s="5" t="str">
        <f>IF(AND(F18="P",G18="P"),SUMPRODUCT((F$4:F$29="P")*(G$4:G$29="P")*(E$4:E$29&gt;E18))+1,IF(G18="P",SUMPRODUCT((F$4:F$29="")*(G$4:G$29="P")*(E$4:E$29&gt;E18))+1+SUMPRODUCT((F$4:F$29="P")*(G$4:G$29="P")),""))</f>
        <v/>
      </c>
      <c r="B18" s="77" t="s">
        <v>202</v>
      </c>
      <c r="C18" s="5" t="s">
        <v>4</v>
      </c>
      <c r="D18" s="5">
        <v>2002</v>
      </c>
      <c r="E18" s="15">
        <f>SUM(I18:S18)+SUM(I18:O18)*0.0000001+SUM(I18)*0.0000000000001</f>
        <v>168.00001221000406</v>
      </c>
      <c r="F18" s="3" t="str">
        <f>IF(OR(AND(AQ18&gt;=AX$31,AR18&gt;=AX$35,AQ18&lt;&gt;"",AP18=""),AND(AV18&gt;=AX$31,AW18&gt;=AX$35,AV18&lt;&gt;"",AP18=""),AND(BT18&gt;=CA$31,BU18&gt;=CA$35,BT18&lt;&gt;"",BS18=""),AND(BY18&gt;=CA$31,BZ18&gt;=CA$35,BY18&lt;&gt;"",BS18=""),AND(CW18&gt;=DD$31,CX18&gt;=DD$35,CW18&lt;&gt;"",CV18=""),AND(DB18&gt;=DD$31,DC18&gt;=DD$35,DB18&lt;&gt;""),AND(EB18&gt;=EI$31,EC18&gt;=EI$35,EB18&lt;&gt;""),AND(EG18&gt;=EI$31,EH18&gt;=EI$35,EG18&lt;&gt;""),AND(FD18&gt;=FK$31,FE18&gt;=FK$35,FD18&lt;&gt;""),AND(FI18&gt;=FK$31,FJ18&gt;=FK$35,FI18&lt;&gt;""),AND(GF18&gt;=GM$31,GG18&gt;=GM$35,GF18&lt;&gt;""),AND(GK18&gt;=GM$31,GL18&gt;=GM$35,GK18&lt;&gt;""),AND(HH18&gt;=HO$31,HI18&gt;=HO$35,HH18&lt;&gt;""),AND(HM18&gt;=HO$31,HN18&gt;=HO$35,HM18&lt;&gt;""),AND(IJ18&gt;=IQ$31,IK18&gt;=IQ$35,IJ18&lt;&gt;""),AND(IO18&gt;=IQ$31,IP18&gt;=IQ$35,IO18&lt;&gt;""),AND(JL18&gt;=JS$31,JM18&gt;=JS$35,JL18&lt;&gt;""),AND(JQ18&gt;=JS$31,JR18&gt;=JS$35,JQ18&lt;&gt;""),AND(KN18&gt;=KU$31,KO18&gt;=KU$35,KN18&lt;&gt;""),AND(KS18&gt;=KU$31,KT18&gt;=KU$35,KS18&lt;&gt;""),AND(LP18&gt;=LW$31,LQ18&gt;=LW$35,LP18&lt;&gt;""),AND(LU18&gt;=LW$31,LV18&gt;=LW$35,LU18&lt;&gt;""),AND(MR18&gt;=MY$31,MS18&gt;=MY$35,MR18&lt;&gt;""),AND(MW18&gt;=MY$31,MX18&gt;=MY$35,MW18&lt;&gt;""),AND(NT18&gt;=OA$31,NU18&gt;=OA$35,NT18&lt;&gt;""),AND(NY18&gt;=OA$31,NZ18&gt;=OA$35,NY18&lt;&gt;""),AND(OV18&gt;=PC$31,OW18&gt;=PC$35,OV18&lt;&gt;""),AND(PA18&gt;=PC$31,PB18&gt;=PC$35,PA18&lt;&gt;""),AND(PX18&gt;=QE$31,PY18&gt;=QE$35,PX18&lt;&gt;""),AND(QC18&gt;=QE$31,QD18&gt;=QE$35,QC18&lt;&gt;"")),"P","")</f>
        <v/>
      </c>
      <c r="G18" s="3" t="str">
        <f>IF(OR(AND(AR18&gt;=AX$35,AR18&lt;&gt;"",AP18=""),AND(AW18&gt;=AX$35,AW18&lt;&gt;"",AP18=""),AND(BU18&gt;=CA$35,BU18&lt;&gt;"",BS18=""),AND(BZ18&gt;=CA$35,BZ18&lt;&gt;"",BS18=""),AND(CX18&gt;=DD$35,CX18&lt;&gt;"",CV18=""),AND(DC18&gt;=DD$35,DC18&lt;&gt;"",CV18=""),AND(EC18&gt;=EI$35,EC18&lt;&gt;""),AND(EH18&gt;=EI$35,EH18&lt;&gt;""),AND(FE18&gt;=FK$35,FE18&lt;&gt;""),AND(FJ18&gt;=FK$35,FJ18&lt;&gt;""),AND(GG18&gt;=GM$35,GG18&lt;&gt;""),AND(GL18&gt;=GM$35,GL18&lt;&gt;""),AND(HI18&gt;=HO$35,HI18&lt;&gt;""),AND(HN18&gt;=HO$35,HN18&lt;&gt;""),AND(IK18&gt;=IQ$35,IK18&lt;&gt;""),AND(IP18&gt;=IQ$35,IP18&lt;&gt;""),AND(JM18&gt;=JS$35,JM18&lt;&gt;""),AND(JR18&gt;=JS$35,JR18&lt;&gt;""),AND(KO18&gt;=KU$35,KO18&lt;&gt;""),AND(KT18&gt;=KU$35,KT18&lt;&gt;""),AND(LQ18&gt;=LW$35,LQ18&lt;&gt;""),AND(LV18&gt;=LW$35,LV18&lt;&gt;""),AND(MS18&gt;=MY$35,MS18&lt;&gt;""),AND(MX18&gt;=MY$35,MX18&lt;&gt;""),AND(NU18&gt;=OA$35,NU18&lt;&gt;""),AND(NZ18&gt;=OA$35,NZ18&lt;&gt;""),AND(OW18&gt;=PC$35,OW18&lt;&gt;""),AND(PB18&gt;=PC$35,PB18&lt;&gt;""),AND(PY18&gt;=QE$35,PY18&lt;&gt;""),AND(QD18&gt;=QE$35,QD18&lt;&gt;"")),"P","")</f>
        <v/>
      </c>
      <c r="H18" s="66" t="str">
        <f>IF(AND(G18="P",F18=""),"No DD",IF(OR(AND(AT18&gt;=AX$34,AU18&gt;=AX$38,AT18&lt;&gt;"",AP18=""),AND(BW18&gt;=CA$34,BX18&gt;=CA$38,BW18&lt;&gt;"",BS18=""),AND(CZ18&gt;=DD$34,DA18&gt;=DD$38,CZ18&lt;&gt;"",CV18=""),AND(EE18&gt;=EI$34,EF18&gt;=EI$38,EE18&lt;&gt;""),AND(FG18&gt;=FK$34,FH18&gt;=FK$38,FG18&lt;&gt;""),AND(GI18&gt;=GM$34,GJ18&gt;=GM$38,GI18&lt;&gt;""),AND(HK18&gt;=HO$34,HL18&gt;=HO$38,HK18&lt;&gt;""),AND(IM18&gt;=IQ$34,IN18&gt;=IQ$38,IM18&lt;&gt;""),AND(JO18&gt;=JS$34,JP18&gt;=JS$38,JO18&lt;&gt;""),AND(KQ18&gt;=KU$34,KR18&gt;=KU$38,KQ18&lt;&gt;""),AND(LS18&gt;=LW$34,LT18&gt;=LW$38,LS18&lt;&gt;""),AND(MU18&gt;=MY$34,MV18&gt;=MY$38,MU18&lt;&gt;""),AND(NW18&gt;=OA$34,NX18&gt;=OA$38,NW18&lt;&gt;""),AND(OY18&gt;=PC$34,OZ18&gt;=PC$38,OY18&lt;&gt;""),AND(QA18&gt;=QE$34,QB18&gt;=QE$38,QA18&lt;&gt;"")),"Merit",IF(OR(AND(AT18&gt;=AX$33,AU18&gt;=AX$37,AT18&lt;&gt;"",AP18=""),AND(BW18&gt;=CA$33,BX18&gt;=CA$37,BW18&lt;&gt;"",BS18=""),AND(CZ18&gt;=DD$33,DA18&gt;=DD$37,CZ18&lt;&gt;"",CV18=""),AND(EE18&gt;=EI$33,EF18&gt;=EI$37,EE18&lt;&gt;""),AND(FG18&gt;=FK$33,FH18&gt;=FK$37,FG18&lt;&gt;""),AND(GI18&gt;=GM$33,GJ18&gt;=GM$37,GI18&lt;&gt;""),AND(HK18&gt;=HO$33,HL18&gt;=HO$37,HK18&lt;&gt;""),AND(IM18&gt;=IQ$33,IN18&gt;=IQ$37,IM18&lt;&gt;""),AND(JO18&gt;=JS$33,JP18&gt;=JS$37,JO18&lt;&gt;""),AND(KQ18&gt;=KU$33,KR18&gt;=KU$37,KQ18&lt;&gt;""),AND(LS18&gt;=LW$33,LT18&gt;=LW$37,LS18&lt;&gt;""),AND(MU18&gt;=MY$33,MV18&gt;=MY$37,MU18&lt;&gt;""),AND(NW18&gt;=OA$33,NX18&gt;=OA$37,NW18&lt;&gt;""),AND(OY18&gt;=PC$33,OZ18&gt;=PC$37,OY18&lt;&gt;""),AND(QA18&gt;=QE$33,QB18&gt;=QE$37,QA18&lt;&gt;"")),"Excellence",IF(F18="P","National Team",""))))</f>
        <v/>
      </c>
      <c r="I18" s="14">
        <f>IF(COUNT(AR18,BU18,CX18)&gt;0,LARGE((AR18,BU18,CX18),1),0)</f>
        <v>40.6</v>
      </c>
      <c r="J18" s="14" t="str">
        <f>IF(I18=0,"",IF(I18=CX18,$CB$1,IF(I18=BU18,$AY$1,IF(I18=AR18,$V$1,""))))</f>
        <v>2022 3rd Domestic Trial</v>
      </c>
      <c r="K18" s="14">
        <f>IF(COUNT(AR18,BU18,CX18)&gt;1,LARGE((AR18,BU18,CX18),2),0)</f>
        <v>37.400000000000006</v>
      </c>
      <c r="L18" s="14" t="str">
        <f>IF(K18=0,"",IF(K18=CX18,$CB$1,IF(K18=BU18,$AY$1,IF(K18=AR18,$V$1,""))))</f>
        <v>2022 Nationals</v>
      </c>
      <c r="M18" s="14">
        <f>IF(COUNT(AS18,BV18,CY18)&gt;0,LARGE((AS18,BV18,CY18),1),0)</f>
        <v>22.1</v>
      </c>
      <c r="N18" s="14" t="str">
        <f>IF(M18=0,"",IF(M18=CY18,$CB$1,IF(M18=BV18,$AY$1,IF(M18=AS18,$V$1,""))))</f>
        <v>2022 3rd Domestic Trial</v>
      </c>
      <c r="O18" s="14">
        <f>IF(COUNT(AS18,BV18,CY18)&gt;1,LARGE((AS18,BV18,CY18),2),0)</f>
        <v>22</v>
      </c>
      <c r="P18" s="14" t="str">
        <f>IF(O18=0,"",IF(O18=CY18,$CB$1,IF(O18=BV18,$AY$1,IF(O18=AS18,$V$1,""))))</f>
        <v>2022 Nationals</v>
      </c>
      <c r="Q18" s="14">
        <f>IF(MAX(AW18,BZ18,DC18)&gt;0,MAX(AW18,BZ18,DC18),0)</f>
        <v>45.9</v>
      </c>
      <c r="R18" s="14" t="str">
        <f>IF(Q18=0,"",IF(Q18=DC18,$CB$1,IF(Q18=BZ18,$AY$1,IF(Q18=AW18,$V$1,""))))</f>
        <v>2022 3rd Domestic Trial</v>
      </c>
      <c r="S18" s="14" t="str">
        <f>IF(MAX(DE18:DG18)&gt;0,MAX(DE18:DG18),"")</f>
        <v/>
      </c>
      <c r="T18" s="19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>IF(SUM(W18,AA18)&gt;0,SUM(W18,AA18),"")</f>
        <v/>
      </c>
      <c r="AR18" s="78" t="str">
        <f>IF(SUM(V18:W18,Y18:AA18,AC18)-X18-AB18&gt;0,SUM(V18:W18,Y18:AA18,AC18)-X18-AB18,"")</f>
        <v/>
      </c>
      <c r="AS18" s="78" t="str">
        <f>IF(SUM(AD18:AE18,AG18)-AF18&gt;0,SUM(AD18:AE18,AG18)-AF18,"")</f>
        <v/>
      </c>
      <c r="AT18" s="78" t="str">
        <f>IF(SUM(W18,AA18,AE18)&gt;0,SUM(W18,AA18,AE18),"")</f>
        <v/>
      </c>
      <c r="AU18" s="78" t="str">
        <f>IF(SUM(AR18,AS18)&gt;0,SUM(AR18,AS18),"")</f>
        <v/>
      </c>
      <c r="AV18" s="78" t="str">
        <f>IF(SUM(AI18,AM18)&gt;0,SUM(AI18,AM18),"")</f>
        <v/>
      </c>
      <c r="AW18" s="78" t="str">
        <f>IF(SUM(AH18:AI18,AK18:AM18,AO18)-SUM(AJ18,AN18)&gt;0,SUM(AH18:AI18,AK18:AM18,AO18)-SUM(AJ18,AN18),"")</f>
        <v/>
      </c>
      <c r="AX18" s="78" t="str">
        <f>IF(SUM(AR18,AW18)&gt;0,SUM(AR18,AW18),"")</f>
        <v/>
      </c>
      <c r="AY18" s="25">
        <v>17.399999999999999</v>
      </c>
      <c r="AZ18" s="25">
        <v>0.7</v>
      </c>
      <c r="BA18" s="25">
        <v>0</v>
      </c>
      <c r="BB18" s="25">
        <v>0</v>
      </c>
      <c r="BC18" s="25">
        <v>16.600000000000001</v>
      </c>
      <c r="BD18" s="25">
        <v>3.5</v>
      </c>
      <c r="BE18" s="25">
        <v>0.8</v>
      </c>
      <c r="BF18" s="25">
        <v>0</v>
      </c>
      <c r="BG18" s="25">
        <v>18.8</v>
      </c>
      <c r="BH18" s="25">
        <v>3.4</v>
      </c>
      <c r="BI18" s="25">
        <v>0.2</v>
      </c>
      <c r="BJ18" s="25">
        <v>0</v>
      </c>
      <c r="BK18" s="25"/>
      <c r="BL18" s="25"/>
      <c r="BM18" s="25"/>
      <c r="BN18" s="25"/>
      <c r="BO18" s="25"/>
      <c r="BP18" s="25"/>
      <c r="BQ18" s="25"/>
      <c r="BR18" s="25"/>
      <c r="BS18" s="45"/>
      <c r="BT18" s="19">
        <f>IF(SUM(AZ18,BD18)&gt;0,SUM(AZ18,BD18),"")</f>
        <v>4.2</v>
      </c>
      <c r="BU18" s="19">
        <f>IF(SUM(AY18:AZ18,BB18:BD18,BF18)-BA18-BE18&gt;0,SUM(AY18:AZ18,BB18:BD18,BF18)-BA18-BE18,"")</f>
        <v>37.400000000000006</v>
      </c>
      <c r="BV18" s="19">
        <f>IF(SUM(BG18:BH18,BJ18)-BI18&gt;0,SUM(BG18:BH18,BJ18)-BI18,"")</f>
        <v>22</v>
      </c>
      <c r="BW18" s="19">
        <f>IF(SUM(AZ18,BD18,BH18)&gt;0,SUM(AZ18,BD18,BH18),"")</f>
        <v>7.6</v>
      </c>
      <c r="BX18" s="19">
        <f>IF(SUM(BU18,BV18)&gt;0,SUM(BU18,BV18),"")</f>
        <v>59.400000000000006</v>
      </c>
      <c r="BY18" s="19" t="str">
        <f>IF(SUM(BL18,BP18)&gt;0,SUM(BL18,BP18),"")</f>
        <v/>
      </c>
      <c r="BZ18" s="19" t="str">
        <f>IF(SUM(BK18:BL18,BN18:BP18,BR18)-SUM(BM18,BQ18)&gt;0,SUM(BK18:BL18,BN18:BP18,BR18)-SUM(BM18,BQ18),"")</f>
        <v/>
      </c>
      <c r="CA18" s="19">
        <f>IF(SUM(BU18,BZ18)&gt;0,SUM(BU18,BZ18),"")</f>
        <v>37.400000000000006</v>
      </c>
      <c r="CB18" s="26">
        <v>17.399999999999999</v>
      </c>
      <c r="CC18" s="26">
        <v>0.7</v>
      </c>
      <c r="CD18" s="26">
        <v>0</v>
      </c>
      <c r="CE18" s="26">
        <v>0</v>
      </c>
      <c r="CF18" s="26">
        <v>19.100000000000001</v>
      </c>
      <c r="CG18" s="26">
        <v>3.4</v>
      </c>
      <c r="CH18" s="26">
        <v>0</v>
      </c>
      <c r="CI18" s="26">
        <v>0</v>
      </c>
      <c r="CJ18" s="26">
        <v>18.600000000000001</v>
      </c>
      <c r="CK18" s="26">
        <v>3.5</v>
      </c>
      <c r="CL18" s="26">
        <v>0</v>
      </c>
      <c r="CM18" s="26">
        <v>0</v>
      </c>
      <c r="CN18" s="26">
        <v>19.2</v>
      </c>
      <c r="CO18" s="26">
        <v>4.3</v>
      </c>
      <c r="CP18" s="26">
        <v>0</v>
      </c>
      <c r="CQ18" s="26">
        <v>0</v>
      </c>
      <c r="CR18" s="26">
        <v>19</v>
      </c>
      <c r="CS18" s="26">
        <v>3.4</v>
      </c>
      <c r="CT18" s="26">
        <v>0</v>
      </c>
      <c r="CU18" s="26">
        <v>0</v>
      </c>
      <c r="CV18" s="44"/>
      <c r="CW18" s="78">
        <f>IF(SUM(CC18,CG18)&gt;0,SUM(CC18,CG18),"")</f>
        <v>4.0999999999999996</v>
      </c>
      <c r="CX18" s="78">
        <f>IF(SUM(CB18:CC18,CE18:CG18,CI18)-CD18-CH18&gt;0,SUM(CB18:CC18,CE18:CG18,CI18)-CD18-CH18,"")</f>
        <v>40.6</v>
      </c>
      <c r="CY18" s="78">
        <f>IF(SUM(CJ18:CK18,CM18)-CL18&gt;0,SUM(CJ18:CK18,CM18)-CL18,"")</f>
        <v>22.1</v>
      </c>
      <c r="CZ18" s="78">
        <f>IF(SUM(CC18,CG18,CK18)&gt;0,SUM(CC18,CG18,CK18),"")</f>
        <v>7.6</v>
      </c>
      <c r="DA18" s="78">
        <f>IF(SUM(CX18,CY18)&gt;0,SUM(CX18,CY18),"")</f>
        <v>62.7</v>
      </c>
      <c r="DB18" s="78">
        <f>IF(SUM(CO18,CS18)&gt;0,SUM(CO18,CS18),"")</f>
        <v>7.6999999999999993</v>
      </c>
      <c r="DC18" s="78">
        <f>IF(SUM(CN18:CO18,CQ18:CS18,CU18)-SUM(CP18,CT18)&gt;0,SUM(CN18:CO18,CQ18:CS18,CU18)-SUM(CP18,CT18),"")</f>
        <v>45.9</v>
      </c>
      <c r="DD18" s="78">
        <f>IF(SUM(CX18,DC18)&gt;0,SUM(CX18,DC18),"")</f>
        <v>86.5</v>
      </c>
      <c r="DE18" s="79" t="str">
        <f>IF(K18&gt;=0.001,IF(MAX(EC18,FE18,GG18,HI18,IK18,JM18,KO18,LQ18,MS18,NU18,OW18,PY18)-IF(K18="",0,K18)&gt;0.001,MAX(EC18,FE18,GG18,HI18,IK18,JM18,KO18,LQ18,MS18,NU18,OW18,PY18)-IF(K18="",0,K18),""),"")</f>
        <v/>
      </c>
      <c r="DF18" s="79" t="str">
        <f>IF(O18&gt;=0.001,IF(MAX(ED18,FF18,GH18,HJ18,IL18,JN18,KP18,LR18,MT18,NV18,OX18,PZ18)-IF(O18="",0,O18)&gt;0.001,MAX(ED18,FF18,GH18,HJ18,IL18,JN18,KP18,LR18,MT18,NV18,OX18,PZ18)-IF(O18="",0,O18),""),"")</f>
        <v/>
      </c>
      <c r="DG18" s="79" t="str">
        <f>IF(Q18&gt;=0.001,IF(MAX(EH18,FJ18,GL18,HN18,IP18,JR18,KT18,LV18,MX18,NZ18,PB18,QD18)-IF(Q18="",0,Q18)&gt;0.001,MAX(EH18,FJ18,GL18,HN18,IP18,JR18,KT18,LV18,MX18,NZ18,PB18,QD18)-IF(Q18="",0,Q18),""),"")</f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>IF(SUM(DI18,DM18)&gt;0,SUM(DI18,DM18),"")</f>
        <v/>
      </c>
      <c r="EC18" s="78" t="str">
        <f>IF(SUM(DH18:DI18,DK18:DM18,DO18)-DJ18-DN18&gt;0,SUM(DH18:DI18,DK18:DM18,DO18)-DJ18-DN18,"")</f>
        <v/>
      </c>
      <c r="ED18" s="78" t="str">
        <f>IF(SUM(DP18:DQ18,DS18)-DR18&gt;0,SUM(DP18:DQ18,DS18)-DR18,"")</f>
        <v/>
      </c>
      <c r="EE18" s="78" t="str">
        <f>IF(SUM(DI18,DM18,DQ18)&gt;0,SUM(DI18,DM18,DQ18),"")</f>
        <v/>
      </c>
      <c r="EF18" s="78" t="str">
        <f>IF(SUM(EC18,ED18)&gt;0,SUM(EC18,ED18),"")</f>
        <v/>
      </c>
      <c r="EG18" s="78" t="str">
        <f>IF(SUM(DU18,DY18)&gt;0,SUM(DU18,DY18),"")</f>
        <v/>
      </c>
      <c r="EH18" s="78" t="str">
        <f>IF(SUM(DT18:DU18,DW18:DY18,EA18)-SUM(DV18,DZ18)&gt;0,SUM(DT18:DU18,DW18:DY18,EA18)-SUM(DV18,DZ18),"")</f>
        <v/>
      </c>
      <c r="EI18" s="78" t="str">
        <f>IF(SUM(EC18,EH18)&gt;0,SUM(EC18,EH18),"")</f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>IF(SUM(EK18,EO18)&gt;0,SUM(EK18,EO18),"")</f>
        <v/>
      </c>
      <c r="FE18" s="19" t="str">
        <f>IF(SUM(EJ18:EK18,EM18:EO18,EQ18)-EL18-EP18&gt;0,SUM(EJ18:EK18,EM18:EO18,EQ18)-EL18-EP18,"")</f>
        <v/>
      </c>
      <c r="FF18" s="19" t="str">
        <f>IF(SUM(ER18:ES18,EU18)-ET18&gt;0,SUM(ER18:ES18,EU18)-ET18,"")</f>
        <v/>
      </c>
      <c r="FG18" s="19" t="str">
        <f>IF(SUM(EK18,EO18,ES18)&gt;0,SUM(EK18,EO18,ES18),"")</f>
        <v/>
      </c>
      <c r="FH18" s="19" t="str">
        <f>IF(SUM(FE18,FF18)&gt;0,SUM(FE18,FF18),"")</f>
        <v/>
      </c>
      <c r="FI18" s="19" t="str">
        <f>IF(SUM(EW18,FA18)&gt;0,SUM(EW18,FA18),"")</f>
        <v/>
      </c>
      <c r="FJ18" s="19" t="str">
        <f>IF(SUM(EV18:EW18,EY18:FA18,FC18)-SUM(EX18,FB18)&gt;0,SUM(EV18:EW18,EY18:FA18,FC18)-SUM(EX18,FB18),"")</f>
        <v/>
      </c>
      <c r="FK18" s="19" t="str">
        <f>IF(SUM(FE18,FJ18)&gt;0,SUM(FE18,FJ18),"")</f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>IF(SUM(FM18,FQ18)&gt;0,SUM(FM18,FQ18),"")</f>
        <v/>
      </c>
      <c r="GG18" s="78" t="str">
        <f>IF(SUM(FL18:FM18,FO18:FQ18,FS18)-FN18-FR18&gt;0,SUM(FL18:FM18,FO18:FQ18,FS18)-FN18-FR18,"")</f>
        <v/>
      </c>
      <c r="GH18" s="78" t="str">
        <f>IF(SUM(FT18:FU18,FW18)-FV18&gt;0,SUM(FT18:FU18,FW18)-FV18,"")</f>
        <v/>
      </c>
      <c r="GI18" s="78" t="str">
        <f>IF(SUM(FM18,FQ18,FU18)&gt;0,SUM(FM18,FQ18,FU18),"")</f>
        <v/>
      </c>
      <c r="GJ18" s="78" t="str">
        <f>IF(SUM(GG18,GH18)&gt;0,SUM(GG18,GH18),"")</f>
        <v/>
      </c>
      <c r="GK18" s="78" t="str">
        <f>IF(SUM(FY18,GC18)&gt;0,SUM(FY18,GC18),"")</f>
        <v/>
      </c>
      <c r="GL18" s="78" t="str">
        <f>IF(SUM(FX18:FY18,GA18:GC18,GE18)-SUM(FZ18,GD18)&gt;0,SUM(FX18:FY18,GA18:GC18,GE18)-SUM(FZ18,GD18),"")</f>
        <v/>
      </c>
      <c r="GM18" s="78" t="str">
        <f>IF(SUM(GG18,GL18)&gt;0,SUM(GG18,GL18),"")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>IF(SUM(GO18,GS18)&gt;0,SUM(GO18,GS18),"")</f>
        <v/>
      </c>
      <c r="HI18" s="19" t="str">
        <f>IF(SUM(GN18:GO18,GQ18:GS18,GU18)-GP18-GT18&gt;0,SUM(GN18:GO18,GQ18:GS18,GU18)-GP18-GT18,"")</f>
        <v/>
      </c>
      <c r="HJ18" s="19" t="str">
        <f>IF(SUM(GV18:GW18,GY18)-GX18&gt;0,SUM(GV18:GW18,GY18)-GX18,"")</f>
        <v/>
      </c>
      <c r="HK18" s="19" t="str">
        <f>IF(SUM(GO18,GS18,GW18)&gt;0,SUM(GO18,GS18,GW18),"")</f>
        <v/>
      </c>
      <c r="HL18" s="19" t="str">
        <f>IF(SUM(HI18,HJ18)&gt;0,SUM(HI18,HJ18),"")</f>
        <v/>
      </c>
      <c r="HM18" s="19" t="str">
        <f>IF(SUM(HA18,HE18)&gt;0,SUM(HA18,HE18),"")</f>
        <v/>
      </c>
      <c r="HN18" s="19" t="str">
        <f>IF(SUM(GZ18:HA18,HC18:HE18,HG18)-SUM(HB18,HF18)&gt;0,SUM(GZ18:HA18,HC18:HE18,HG18)-SUM(HB18,HF18),"")</f>
        <v/>
      </c>
      <c r="HO18" s="19" t="str">
        <f>IF(SUM(HI18,HN18)&gt;0,SUM(HI18,HN18),"")</f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>IF(SUM(HQ18,HU18)&gt;0,SUM(HQ18,HU18),"")</f>
        <v/>
      </c>
      <c r="IK18" s="78" t="str">
        <f>IF(SUM(HP18:HQ18,HS18:HU18,HW18)-HR18-HV18&gt;0,SUM(HP18:HQ18,HS18:HU18,HW18)-HR18-HV18,"")</f>
        <v/>
      </c>
      <c r="IL18" s="78" t="str">
        <f>IF(SUM(HX18:HY18,IA18)-HZ18&gt;0,SUM(HX18:HY18,IA18)-HZ18,"")</f>
        <v/>
      </c>
      <c r="IM18" s="78" t="str">
        <f>IF(SUM(HQ18,HU18,HY18)&gt;0,SUM(HQ18,HU18,HY18),"")</f>
        <v/>
      </c>
      <c r="IN18" s="78" t="str">
        <f>IF(SUM(IK18,IL18)&gt;0,SUM(IK18,IL18),"")</f>
        <v/>
      </c>
      <c r="IO18" s="78" t="str">
        <f>IF(SUM(IC18,IG18)&gt;0,SUM(IC18,IG18),"")</f>
        <v/>
      </c>
      <c r="IP18" s="78" t="str">
        <f>IF(SUM(IB18:IC18,IE18:IG18,II18)-SUM(ID18,IH18)&gt;0,SUM(IB18:IC18,IE18:IG18,II18)-SUM(ID18,IH18),"")</f>
        <v/>
      </c>
      <c r="IQ18" s="78" t="str">
        <f>IF(SUM(IK18,IP18)&gt;0,SUM(IK18,IP18),"")</f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>IF(SUM(IS18,IW18)&gt;0,SUM(IS18,IW18),"")</f>
        <v/>
      </c>
      <c r="JM18" s="19" t="str">
        <f>IF(SUM(IR18:IS18,IU18:IW18,IY18)-IT18-IX18&gt;0,SUM(IR18:IS18,IU18:IW18,IY18)-IT18-IX18,"")</f>
        <v/>
      </c>
      <c r="JN18" s="19" t="str">
        <f>IF(SUM(IZ18:JA18,JC18)-JB18&gt;0,SUM(IZ18:JA18,JC18)-JB18,"")</f>
        <v/>
      </c>
      <c r="JO18" s="19" t="str">
        <f>IF(SUM(IS18,IW18,JA18)&gt;0,SUM(IS18,IW18,JA18),"")</f>
        <v/>
      </c>
      <c r="JP18" s="19" t="str">
        <f>IF(SUM(JM18,JN18)&gt;0,SUM(JM18,JN18),"")</f>
        <v/>
      </c>
      <c r="JQ18" s="19" t="str">
        <f>IF(SUM(JE18,JI18)&gt;0,SUM(JE18,JI18),"")</f>
        <v/>
      </c>
      <c r="JR18" s="19" t="str">
        <f>IF(SUM(JD18:JE18,JG18:JI18,JK18)-SUM(JF18,JJ18)&gt;0,SUM(JD18:JE18,JG18:JI18,JK18)-SUM(JF18,JJ18),"")</f>
        <v/>
      </c>
      <c r="JS18" s="19" t="str">
        <f>IF(SUM(JM18,JR18)&gt;0,SUM(JM18,JR18),"")</f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>IF(SUM(JU18,JY18)&gt;0,SUM(JU18,JY18),"")</f>
        <v/>
      </c>
      <c r="KO18" s="78" t="str">
        <f>IF(SUM(JT18:JU18,JW18:JY18,KA18)-JV18-JZ18&gt;0,SUM(JT18:JU18,JW18:JY18,KA18)-JV18-JZ18,"")</f>
        <v/>
      </c>
      <c r="KP18" s="78" t="str">
        <f>IF(SUM(KB18:KC18,KE18)-KD18&gt;0,SUM(KB18:KC18,KE18)-KD18,"")</f>
        <v/>
      </c>
      <c r="KQ18" s="78" t="str">
        <f>IF(SUM(JU18,JY18,KC18)&gt;0,SUM(JU18,JY18,KC18),"")</f>
        <v/>
      </c>
      <c r="KR18" s="78" t="str">
        <f>IF(SUM(KO18,KP18)&gt;0,SUM(KO18,KP18),"")</f>
        <v/>
      </c>
      <c r="KS18" s="78" t="str">
        <f>IF(SUM(KG18,KK18)&gt;0,SUM(KG18,KK18),"")</f>
        <v/>
      </c>
      <c r="KT18" s="78" t="str">
        <f>IF(SUM(KF18:KG18,KI18:KK18,KM18)-SUM(KH18,KL18)&gt;0,SUM(KF18:KG18,KI18:KK18,KM18)-SUM(KH18,KL18),"")</f>
        <v/>
      </c>
      <c r="KU18" s="78" t="str">
        <f>IF(SUM(KO18,KT18)&gt;0,SUM(KO18,KT18),"")</f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>IF(SUM(KW18,LA18)&gt;0,SUM(KW18,LA18),"")</f>
        <v/>
      </c>
      <c r="LQ18" s="19" t="str">
        <f>IF(SUM(KV18:KW18,KY18:LA18,LC18)-KX18-LB18&gt;0,SUM(KV18:KW18,KY18:LA18,LC18)-KX18-LB18,"")</f>
        <v/>
      </c>
      <c r="LR18" s="19" t="str">
        <f>IF(SUM(LD18:LE18,LG18)-LF18&gt;0,SUM(LD18:LE18,LG18)-LF18,"")</f>
        <v/>
      </c>
      <c r="LS18" s="19" t="str">
        <f>IF(SUM(KW18,LA18,LE18)&gt;0,SUM(KW18,LA18,LE18),"")</f>
        <v/>
      </c>
      <c r="LT18" s="19" t="str">
        <f>IF(SUM(LQ18,LR18)&gt;0,SUM(LQ18,LR18),"")</f>
        <v/>
      </c>
      <c r="LU18" s="19" t="str">
        <f>IF(SUM(LI18,LM18)&gt;0,SUM(LI18,LM18),"")</f>
        <v/>
      </c>
      <c r="LV18" s="19" t="str">
        <f>IF(SUM(LH18:LI18,LK18:LM18,LO18)-SUM(LJ18,LN18)&gt;0,SUM(LH18:LI18,LK18:LM18,LO18)-SUM(LJ18,LN18),"")</f>
        <v/>
      </c>
      <c r="LW18" s="19" t="str">
        <f>IF(SUM(LQ18,LV18)&gt;0,SUM(LQ18,LV18),"")</f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>IF(SUM(LY18,MC18)&gt;0,SUM(LY18,MC18),"")</f>
        <v/>
      </c>
      <c r="MS18" s="78" t="str">
        <f>IF(SUM(LX18:LY18,MA18:MC18,ME18)-LZ18-MD18&gt;0,SUM(LX18:LY18,MA18:MC18,ME18)-LZ18-MD18,"")</f>
        <v/>
      </c>
      <c r="MT18" s="78" t="str">
        <f>IF(SUM(MF18:MG18,MI18)-MH18&gt;0,SUM(MF18:MG18,MI18)-MH18,"")</f>
        <v/>
      </c>
      <c r="MU18" s="78" t="str">
        <f>IF(SUM(LY18,MC18,MG18)&gt;0,SUM(LY18,MC18,MG18),"")</f>
        <v/>
      </c>
      <c r="MV18" s="78" t="str">
        <f>IF(SUM(MS18,MT18)&gt;0,SUM(MS18,MT18),"")</f>
        <v/>
      </c>
      <c r="MW18" s="78" t="str">
        <f>IF(SUM(MK18,MO18)&gt;0,SUM(MK18,MO18),"")</f>
        <v/>
      </c>
      <c r="MX18" s="78" t="str">
        <f>IF(SUM(MJ18:MK18,MM18:MO18,MQ18)-SUM(ML18,MP18)&gt;0,SUM(MJ18:MK18,MM18:MO18,MQ18)-SUM(ML18,MP18),"")</f>
        <v/>
      </c>
      <c r="MY18" s="78" t="str">
        <f>IF(SUM(MS18,MX18)&gt;0,SUM(MS18,MX18),"")</f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>IF(SUM(NA18,NE18)&gt;0,SUM(NA18,NE18),"")</f>
        <v/>
      </c>
      <c r="NU18" s="19" t="str">
        <f>IF(SUM(MZ18:NA18,NC18:NE18,NG18)-NB18-NF18&gt;0,SUM(MZ18:NA18,NC18:NE18,NG18)-NB18-NF18,"")</f>
        <v/>
      </c>
      <c r="NV18" s="19" t="str">
        <f>IF(SUM(NH18:NI18,NK18)-NJ18&gt;0,SUM(NH18:NI18,NK18)-NJ18,"")</f>
        <v/>
      </c>
      <c r="NW18" s="19" t="str">
        <f>IF(SUM(NA18,NE18,NI18)&gt;0,SUM(NA18,NE18,NI18),"")</f>
        <v/>
      </c>
      <c r="NX18" s="19" t="str">
        <f>IF(SUM(NU18,NV18)&gt;0,SUM(NU18,NV18),"")</f>
        <v/>
      </c>
      <c r="NY18" s="19" t="str">
        <f>IF(SUM(NM18,NQ18)&gt;0,SUM(NM18,NQ18),"")</f>
        <v/>
      </c>
      <c r="NZ18" s="19" t="str">
        <f>IF(SUM(NL18:NM18,NO18:NQ18,NS18)-SUM(NN18,NR18)&gt;0,SUM(NL18:NM18,NO18:NQ18,NS18)-SUM(NN18,NR18),"")</f>
        <v/>
      </c>
      <c r="OA18" s="19" t="str">
        <f>IF(SUM(NU18,NZ18)&gt;0,SUM(NU18,NZ18),"")</f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>IF(SUM(OC18,OG18)&gt;0,SUM(OC18,OG18),"")</f>
        <v/>
      </c>
      <c r="OW18" s="78" t="str">
        <f>IF(SUM(OB18:OC18,OE18:OG18,OI18)-OD18-OH18&gt;0,SUM(OB18:OC18,OE18:OG18,OI18)-OD18-OH18,"")</f>
        <v/>
      </c>
      <c r="OX18" s="78" t="str">
        <f>IF(SUM(OJ18:OK18,OM18)-OL18&gt;0,SUM(OJ18:OK18,OM18)-OL18,"")</f>
        <v/>
      </c>
      <c r="OY18" s="78" t="str">
        <f>IF(SUM(OC18,OG18,OK18)&gt;0,SUM(OC18,OG18,OK18),"")</f>
        <v/>
      </c>
      <c r="OZ18" s="78" t="str">
        <f>IF(SUM(OW18,OX18)&gt;0,SUM(OW18,OX18),"")</f>
        <v/>
      </c>
      <c r="PA18" s="78" t="str">
        <f>IF(SUM(OO18,OS18)&gt;0,SUM(OO18,OS18),"")</f>
        <v/>
      </c>
      <c r="PB18" s="78" t="str">
        <f>IF(SUM(ON18:OO18,OQ18:OS18,OU18)-SUM(OP18,OT18)&gt;0,SUM(ON18:OO18,OQ18:OS18,OU18)-SUM(OP18,OT18),"")</f>
        <v/>
      </c>
      <c r="PC18" s="78" t="str">
        <f>IF(SUM(OW18,PB18)&gt;0,SUM(OW18,PB18),"")</f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>IF(SUM(PE18,PI18)&gt;0,SUM(PE18,PI18),"")</f>
        <v/>
      </c>
      <c r="PY18" s="19" t="str">
        <f>IF(SUM(PD18:PE18,PG18:PI18,PK18)-PF18-PJ18&gt;0,SUM(PD18:PE18,PG18:PI18,PK18)-PF18-PJ18,"")</f>
        <v/>
      </c>
      <c r="PZ18" s="19" t="str">
        <f>IF(SUM(PL18:PM18,PO18)-PN18&gt;0,SUM(PL18:PM18,PO18)-PN18,"")</f>
        <v/>
      </c>
      <c r="QA18" s="19" t="str">
        <f>IF(SUM(PE18,PI18,PM18)&gt;0,SUM(PE18,PI18,PM18),"")</f>
        <v/>
      </c>
      <c r="QB18" s="19" t="str">
        <f>IF(SUM(PY18,PZ18)&gt;0,SUM(PY18,PZ18),"")</f>
        <v/>
      </c>
      <c r="QC18" s="19" t="str">
        <f>IF(SUM(PQ18,PU18)&gt;0,SUM(PQ18,PU18),"")</f>
        <v/>
      </c>
      <c r="QD18" s="19" t="str">
        <f>IF(SUM(PP18:PQ18,PS18:PU18,PW18)-SUM(PR18,PV18)&gt;0,SUM(PP18:PQ18,PS18:PU18,PW18)-SUM(PR18,PV18),"")</f>
        <v/>
      </c>
      <c r="QE18" s="19" t="str">
        <f>IF(SUM(PY18,QD18)&gt;0,SUM(PY18,QD18),"")</f>
        <v/>
      </c>
      <c r="QF18" s="37">
        <f>IF($CV18="P",CB18,(CB18+AY18)/2)</f>
        <v>17.399999999999999</v>
      </c>
      <c r="QG18" s="37">
        <f>IF($CV18="P",CC18,(CC18+AZ18)/2)</f>
        <v>0.7</v>
      </c>
      <c r="QH18" s="37">
        <f>IF($CV18="P",CD18,(CD18+BA18)/2)</f>
        <v>0</v>
      </c>
      <c r="QI18" s="37">
        <f>IF($CV18="P",CE18,(CE18+BB18)/2)</f>
        <v>0</v>
      </c>
      <c r="QJ18" s="37">
        <f>IF($CV18="P",CF18,(CF18+BC18)/2)</f>
        <v>17.850000000000001</v>
      </c>
      <c r="QK18" s="37">
        <f>IF($CV18="P",CG18,(CG18+BD18)/2)</f>
        <v>3.45</v>
      </c>
      <c r="QL18" s="37">
        <f>IF($CV18="P",CH18,(CH18+BE18)/2)</f>
        <v>0.4</v>
      </c>
      <c r="QM18" s="37">
        <f>IF($CV18="P",CI18,(CI18+BF18)/2)</f>
        <v>0</v>
      </c>
      <c r="QN18" s="37">
        <f>IF($CV18="P",CJ18,(CJ18+BG18)/2)</f>
        <v>18.700000000000003</v>
      </c>
      <c r="QO18" s="37">
        <f>IF($CV18="P",CK18,(CK18+BH18)/2)</f>
        <v>3.45</v>
      </c>
      <c r="QP18" s="37">
        <f>IF($CV18="P",CL18,(CL18+BI18)/2)</f>
        <v>0.1</v>
      </c>
      <c r="QQ18" s="37">
        <f>IF($CV18="P",CM18,(CM18+BJ18)/2)</f>
        <v>0</v>
      </c>
      <c r="QR18" s="37">
        <f>IF($CV18="P",CN18,(CN18+BK18)/2)</f>
        <v>9.6</v>
      </c>
      <c r="QS18" s="37">
        <f>IF($CV18="P",CO18,(CO18+BL18)/2)</f>
        <v>2.15</v>
      </c>
      <c r="QT18" s="37">
        <f>IF($CV18="P",CP18,(CP18+BM18)/2)</f>
        <v>0</v>
      </c>
      <c r="QU18" s="37">
        <f>IF($CV18="P",CQ18,(CQ18+BN18)/2)</f>
        <v>0</v>
      </c>
      <c r="QV18" s="37">
        <f>IF($CV18="P",CR18,(CR18+BO18)/2)</f>
        <v>9.5</v>
      </c>
      <c r="QW18" s="37">
        <f>IF($CV18="P",CS18,(CS18+BP18)/2)</f>
        <v>1.7</v>
      </c>
      <c r="QX18" s="37">
        <f>IF($CV18="P",CT18,(CT18+BQ18)/2)</f>
        <v>0</v>
      </c>
      <c r="QY18" s="37">
        <f>IF($CV18="P",CU18,(CU18+BR18)/2)</f>
        <v>0</v>
      </c>
      <c r="QZ18" s="44" t="s">
        <v>46</v>
      </c>
      <c r="RA18" s="78">
        <f>IF(SUM(QG18,QK18)&gt;0,SUM(QG18,QK18),"")</f>
        <v>4.1500000000000004</v>
      </c>
      <c r="RB18" s="78">
        <f>IF(SUM(QF18:QG18,QI18:QK18,QM18)-QH18-QL18&gt;0,SUM(QF18:QG18,QI18:QK18,QM18)-QH18-QL18,"")</f>
        <v>39.000000000000007</v>
      </c>
      <c r="RC18" s="78">
        <f>IF(SUM(QN18:QO18,QQ18)-QP18&gt;0,SUM(QN18:QO18,QQ18)-QP18,"")</f>
        <v>22.05</v>
      </c>
      <c r="RD18" s="78">
        <f>IF(SUM(QG18,QK18,QO18)&gt;0,SUM(QG18,QK18,QO18),"")</f>
        <v>7.6000000000000005</v>
      </c>
      <c r="RE18" s="78">
        <f>IF(SUM(RB18,RC18)&gt;0,SUM(RB18,RC18),"")</f>
        <v>61.050000000000011</v>
      </c>
      <c r="RF18" s="78">
        <f>IF(SUM(QS18,QW18)&gt;0,SUM(QS18,QW18),"")</f>
        <v>3.8499999999999996</v>
      </c>
      <c r="RG18" s="78">
        <f>IF(SUM(QR18:QS18,QU18:QW18,QY18)-SUM(QT18,QX18)&gt;0,SUM(QR18:QS18,QU18:QW18,QY18)-SUM(QT18,QX18),"")</f>
        <v>22.95</v>
      </c>
      <c r="RH18" s="78">
        <f>IF(SUM(RB18,RG18)&gt;0,SUM(RB18,RG18),"")</f>
        <v>61.95</v>
      </c>
    </row>
    <row r="19" spans="1:476" x14ac:dyDescent="0.2">
      <c r="A19" s="5" t="str">
        <f>IF(AND(F19="P",G19="P"),SUMPRODUCT((F$4:F$29="P")*(G$4:G$29="P")*(E$4:E$29&gt;E19))+1,IF(G19="P",SUMPRODUCT((F$4:F$29="")*(G$4:G$29="P")*(E$4:E$29&gt;E19))+1+SUMPRODUCT((F$4:F$29="P")*(G$4:G$29="P")),""))</f>
        <v/>
      </c>
      <c r="B19" s="77" t="s">
        <v>92</v>
      </c>
      <c r="C19" s="5" t="s">
        <v>5</v>
      </c>
      <c r="D19" s="5">
        <v>2001</v>
      </c>
      <c r="E19" s="15">
        <f>SUM(I19:S19)+SUM(I19:O19)*0.0000001+SUM(I19)*0.0000000000001</f>
        <v>149.80001081000432</v>
      </c>
      <c r="F19" s="3" t="str">
        <f>IF(OR(AND(AQ19&gt;=AX$31,AR19&gt;=AX$35,AQ19&lt;&gt;"",AP19=""),AND(AV19&gt;=AX$31,AW19&gt;=AX$35,AV19&lt;&gt;"",AP19=""),AND(BT19&gt;=CA$31,BU19&gt;=CA$35,BT19&lt;&gt;"",BS19=""),AND(BY19&gt;=CA$31,BZ19&gt;=CA$35,BY19&lt;&gt;"",BS19=""),AND(CW19&gt;=DD$31,CX19&gt;=DD$35,CW19&lt;&gt;"",CV19=""),AND(DB19&gt;=DD$31,DC19&gt;=DD$35,DB19&lt;&gt;""),AND(EB19&gt;=EI$31,EC19&gt;=EI$35,EB19&lt;&gt;""),AND(EG19&gt;=EI$31,EH19&gt;=EI$35,EG19&lt;&gt;""),AND(FD19&gt;=FK$31,FE19&gt;=FK$35,FD19&lt;&gt;""),AND(FI19&gt;=FK$31,FJ19&gt;=FK$35,FI19&lt;&gt;""),AND(GF19&gt;=GM$31,GG19&gt;=GM$35,GF19&lt;&gt;""),AND(GK19&gt;=GM$31,GL19&gt;=GM$35,GK19&lt;&gt;""),AND(HH19&gt;=HO$31,HI19&gt;=HO$35,HH19&lt;&gt;""),AND(HM19&gt;=HO$31,HN19&gt;=HO$35,HM19&lt;&gt;""),AND(IJ19&gt;=IQ$31,IK19&gt;=IQ$35,IJ19&lt;&gt;""),AND(IO19&gt;=IQ$31,IP19&gt;=IQ$35,IO19&lt;&gt;""),AND(JL19&gt;=JS$31,JM19&gt;=JS$35,JL19&lt;&gt;""),AND(JQ19&gt;=JS$31,JR19&gt;=JS$35,JQ19&lt;&gt;""),AND(KN19&gt;=KU$31,KO19&gt;=KU$35,KN19&lt;&gt;""),AND(KS19&gt;=KU$31,KT19&gt;=KU$35,KS19&lt;&gt;""),AND(LP19&gt;=LW$31,LQ19&gt;=LW$35,LP19&lt;&gt;""),AND(LU19&gt;=LW$31,LV19&gt;=LW$35,LU19&lt;&gt;""),AND(MR19&gt;=MY$31,MS19&gt;=MY$35,MR19&lt;&gt;""),AND(MW19&gt;=MY$31,MX19&gt;=MY$35,MW19&lt;&gt;""),AND(NT19&gt;=OA$31,NU19&gt;=OA$35,NT19&lt;&gt;""),AND(NY19&gt;=OA$31,NZ19&gt;=OA$35,NY19&lt;&gt;""),AND(OV19&gt;=PC$31,OW19&gt;=PC$35,OV19&lt;&gt;""),AND(PA19&gt;=PC$31,PB19&gt;=PC$35,PA19&lt;&gt;""),AND(PX19&gt;=QE$31,PY19&gt;=QE$35,PX19&lt;&gt;""),AND(QC19&gt;=QE$31,QD19&gt;=QE$35,QC19&lt;&gt;"")),"P","")</f>
        <v/>
      </c>
      <c r="G19" s="3" t="str">
        <f>IF(OR(AND(AR19&gt;=AX$35,AR19&lt;&gt;"",AP19=""),AND(AW19&gt;=AX$35,AW19&lt;&gt;"",AP19=""),AND(BU19&gt;=CA$35,BU19&lt;&gt;"",BS19=""),AND(BZ19&gt;=CA$35,BZ19&lt;&gt;"",BS19=""),AND(CX19&gt;=DD$35,CX19&lt;&gt;"",CV19=""),AND(DC19&gt;=DD$35,DC19&lt;&gt;"",CV19=""),AND(EC19&gt;=EI$35,EC19&lt;&gt;""),AND(EH19&gt;=EI$35,EH19&lt;&gt;""),AND(FE19&gt;=FK$35,FE19&lt;&gt;""),AND(FJ19&gt;=FK$35,FJ19&lt;&gt;""),AND(GG19&gt;=GM$35,GG19&lt;&gt;""),AND(GL19&gt;=GM$35,GL19&lt;&gt;""),AND(HI19&gt;=HO$35,HI19&lt;&gt;""),AND(HN19&gt;=HO$35,HN19&lt;&gt;""),AND(IK19&gt;=IQ$35,IK19&lt;&gt;""),AND(IP19&gt;=IQ$35,IP19&lt;&gt;""),AND(JM19&gt;=JS$35,JM19&lt;&gt;""),AND(JR19&gt;=JS$35,JR19&lt;&gt;""),AND(KO19&gt;=KU$35,KO19&lt;&gt;""),AND(KT19&gt;=KU$35,KT19&lt;&gt;""),AND(LQ19&gt;=LW$35,LQ19&lt;&gt;""),AND(LV19&gt;=LW$35,LV19&lt;&gt;""),AND(MS19&gt;=MY$35,MS19&lt;&gt;""),AND(MX19&gt;=MY$35,MX19&lt;&gt;""),AND(NU19&gt;=OA$35,NU19&lt;&gt;""),AND(NZ19&gt;=OA$35,NZ19&lt;&gt;""),AND(OW19&gt;=PC$35,OW19&lt;&gt;""),AND(PB19&gt;=PC$35,PB19&lt;&gt;""),AND(PY19&gt;=QE$35,PY19&lt;&gt;""),AND(QD19&gt;=QE$35,QD19&lt;&gt;"")),"P","")</f>
        <v/>
      </c>
      <c r="H19" s="66" t="str">
        <f>IF(AND(G19="P",F19=""),"No DD",IF(OR(AND(AT19&gt;=AX$34,AU19&gt;=AX$38,AT19&lt;&gt;"",AP19=""),AND(BW19&gt;=CA$34,BX19&gt;=CA$38,BW19&lt;&gt;"",BS19=""),AND(CZ19&gt;=DD$34,DA19&gt;=DD$38,CZ19&lt;&gt;"",CV19=""),AND(EE19&gt;=EI$34,EF19&gt;=EI$38,EE19&lt;&gt;""),AND(FG19&gt;=FK$34,FH19&gt;=FK$38,FG19&lt;&gt;""),AND(GI19&gt;=GM$34,GJ19&gt;=GM$38,GI19&lt;&gt;""),AND(HK19&gt;=HO$34,HL19&gt;=HO$38,HK19&lt;&gt;""),AND(IM19&gt;=IQ$34,IN19&gt;=IQ$38,IM19&lt;&gt;""),AND(JO19&gt;=JS$34,JP19&gt;=JS$38,JO19&lt;&gt;""),AND(KQ19&gt;=KU$34,KR19&gt;=KU$38,KQ19&lt;&gt;""),AND(LS19&gt;=LW$34,LT19&gt;=LW$38,LS19&lt;&gt;""),AND(MU19&gt;=MY$34,MV19&gt;=MY$38,MU19&lt;&gt;""),AND(NW19&gt;=OA$34,NX19&gt;=OA$38,NW19&lt;&gt;""),AND(OY19&gt;=PC$34,OZ19&gt;=PC$38,OY19&lt;&gt;""),AND(QA19&gt;=QE$34,QB19&gt;=QE$38,QA19&lt;&gt;"")),"Merit",IF(OR(AND(AT19&gt;=AX$33,AU19&gt;=AX$37,AT19&lt;&gt;"",AP19=""),AND(BW19&gt;=CA$33,BX19&gt;=CA$37,BW19&lt;&gt;"",BS19=""),AND(CZ19&gt;=DD$33,DA19&gt;=DD$37,CZ19&lt;&gt;"",CV19=""),AND(EE19&gt;=EI$33,EF19&gt;=EI$37,EE19&lt;&gt;""),AND(FG19&gt;=FK$33,FH19&gt;=FK$37,FG19&lt;&gt;""),AND(GI19&gt;=GM$33,GJ19&gt;=GM$37,GI19&lt;&gt;""),AND(HK19&gt;=HO$33,HL19&gt;=HO$37,HK19&lt;&gt;""),AND(IM19&gt;=IQ$33,IN19&gt;=IQ$37,IM19&lt;&gt;""),AND(JO19&gt;=JS$33,JP19&gt;=JS$37,JO19&lt;&gt;""),AND(KQ19&gt;=KU$33,KR19&gt;=KU$37,KQ19&lt;&gt;""),AND(LS19&gt;=LW$33,LT19&gt;=LW$37,LS19&lt;&gt;""),AND(MU19&gt;=MY$33,MV19&gt;=MY$37,MU19&lt;&gt;""),AND(NW19&gt;=OA$33,NX19&gt;=OA$37,NW19&lt;&gt;""),AND(OY19&gt;=PC$33,OZ19&gt;=PC$37,OY19&lt;&gt;""),AND(QA19&gt;=QE$33,QB19&gt;=QE$37,QA19&lt;&gt;"")),"Excellence",IF(F19="P","National Team",""))))</f>
        <v/>
      </c>
      <c r="I19" s="14">
        <f>IF(COUNT(AR19,BU19,CX19)&gt;0,LARGE((AR19,BU19,CX19),1),0)</f>
        <v>43.1</v>
      </c>
      <c r="J19" s="14" t="str">
        <f>IF(I19=0,"",IF(I19=CX19,$CB$1,IF(I19=BU19,$AY$1,IF(I19=AR19,$V$1,""))))</f>
        <v>2022 Nationals</v>
      </c>
      <c r="K19" s="14">
        <f>IF(COUNT(AR19,BU19,CX19)&gt;1,LARGE((AR19,BU19,CX19),2),0)</f>
        <v>42.800000000000011</v>
      </c>
      <c r="L19" s="14" t="str">
        <f>IF(K19=0,"",IF(K19=CX19,$CB$1,IF(K19=BU19,$AY$1,IF(K19=AR19,$V$1,""))))</f>
        <v>2022 Elite Canada</v>
      </c>
      <c r="M19" s="14">
        <f>IF(COUNT(AS19,BV19,CY19)&gt;0,LARGE((AS19,BV19,CY19),1),0)</f>
        <v>22.200000000000003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41.699999999999996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19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6">
        <v>18.600000000000001</v>
      </c>
      <c r="W19" s="26">
        <v>3</v>
      </c>
      <c r="X19" s="26">
        <v>0</v>
      </c>
      <c r="Y19" s="26">
        <v>0</v>
      </c>
      <c r="Z19" s="26">
        <v>18.8</v>
      </c>
      <c r="AA19" s="26">
        <v>2.7</v>
      </c>
      <c r="AB19" s="26">
        <v>0.3</v>
      </c>
      <c r="AC19" s="26">
        <v>0</v>
      </c>
      <c r="AD19" s="26">
        <v>18.600000000000001</v>
      </c>
      <c r="AE19" s="26">
        <v>3.6</v>
      </c>
      <c r="AF19" s="26">
        <v>0</v>
      </c>
      <c r="AG19" s="26">
        <v>0</v>
      </c>
      <c r="AH19" s="26">
        <v>17.2</v>
      </c>
      <c r="AI19" s="26">
        <v>2.4</v>
      </c>
      <c r="AJ19" s="26">
        <v>0</v>
      </c>
      <c r="AK19" s="26">
        <v>0</v>
      </c>
      <c r="AL19" s="26">
        <v>19</v>
      </c>
      <c r="AM19" s="26">
        <v>3.1</v>
      </c>
      <c r="AN19" s="26">
        <v>0</v>
      </c>
      <c r="AO19" s="26">
        <v>0</v>
      </c>
      <c r="AP19" s="44"/>
      <c r="AQ19" s="78">
        <f>IF(SUM(W19,AA19)&gt;0,SUM(W19,AA19),"")</f>
        <v>5.7</v>
      </c>
      <c r="AR19" s="78">
        <f>IF(SUM(V19:W19,Y19:AA19,AC19)-X19-AB19&gt;0,SUM(V19:W19,Y19:AA19,AC19)-X19-AB19,"")</f>
        <v>42.800000000000011</v>
      </c>
      <c r="AS19" s="78">
        <f>IF(SUM(AD19:AE19,AG19)-AF19&gt;0,SUM(AD19:AE19,AG19)-AF19,"")</f>
        <v>22.200000000000003</v>
      </c>
      <c r="AT19" s="78">
        <f>IF(SUM(W19,AA19,AE19)&gt;0,SUM(W19,AA19,AE19),"")</f>
        <v>9.3000000000000007</v>
      </c>
      <c r="AU19" s="78">
        <f>IF(SUM(AR19,AS19)&gt;0,SUM(AR19,AS19),"")</f>
        <v>65.000000000000014</v>
      </c>
      <c r="AV19" s="78">
        <f>IF(SUM(AI19,AM19)&gt;0,SUM(AI19,AM19),"")</f>
        <v>5.5</v>
      </c>
      <c r="AW19" s="78">
        <f>IF(SUM(AH19:AI19,AK19:AM19,AO19)-SUM(AJ19,AN19)&gt;0,SUM(AH19:AI19,AK19:AM19,AO19)-SUM(AJ19,AN19),"")</f>
        <v>41.699999999999996</v>
      </c>
      <c r="AX19" s="78">
        <f>IF(SUM(AR19,AW19)&gt;0,SUM(AR19,AW19),"")</f>
        <v>84.5</v>
      </c>
      <c r="AY19" s="25">
        <v>18.8</v>
      </c>
      <c r="AZ19" s="25">
        <v>3.1</v>
      </c>
      <c r="BA19" s="25">
        <v>0.4</v>
      </c>
      <c r="BB19" s="25">
        <v>0</v>
      </c>
      <c r="BC19" s="25">
        <v>18.399999999999999</v>
      </c>
      <c r="BD19" s="25">
        <v>3.2</v>
      </c>
      <c r="BE19" s="25">
        <v>0</v>
      </c>
      <c r="BF19" s="25">
        <v>0</v>
      </c>
      <c r="BG19" s="25">
        <v>0</v>
      </c>
      <c r="BH19" s="25">
        <v>0</v>
      </c>
      <c r="BI19" s="25">
        <v>0</v>
      </c>
      <c r="BJ19" s="25">
        <v>0</v>
      </c>
      <c r="BK19" s="25"/>
      <c r="BL19" s="25"/>
      <c r="BM19" s="25"/>
      <c r="BN19" s="25"/>
      <c r="BO19" s="25"/>
      <c r="BP19" s="25"/>
      <c r="BQ19" s="25"/>
      <c r="BR19" s="25"/>
      <c r="BS19" s="45"/>
      <c r="BT19" s="19">
        <f>IF(SUM(AZ19,BD19)&gt;0,SUM(AZ19,BD19),"")</f>
        <v>6.3000000000000007</v>
      </c>
      <c r="BU19" s="19">
        <f>IF(SUM(AY19:AZ19,BB19:BD19,BF19)-BA19-BE19&gt;0,SUM(AY19:AZ19,BB19:BD19,BF19)-BA19-BE19,"")</f>
        <v>43.1</v>
      </c>
      <c r="BV19" s="19" t="str">
        <f>IF(SUM(BG19:BH19,BJ19)-BI19&gt;0,SUM(BG19:BH19,BJ19)-BI19,"")</f>
        <v/>
      </c>
      <c r="BW19" s="19">
        <f>IF(SUM(AZ19,BD19,BH19)&gt;0,SUM(AZ19,BD19,BH19),"")</f>
        <v>6.3000000000000007</v>
      </c>
      <c r="BX19" s="19">
        <f>IF(SUM(BU19,BV19)&gt;0,SUM(BU19,BV19),"")</f>
        <v>43.1</v>
      </c>
      <c r="BY19" s="19" t="str">
        <f>IF(SUM(BL19,BP19)&gt;0,SUM(BL19,BP19),"")</f>
        <v/>
      </c>
      <c r="BZ19" s="19" t="str">
        <f>IF(SUM(BK19:BL19,BN19:BP19,BR19)-SUM(BM19,BQ19)&gt;0,SUM(BK19:BL19,BN19:BP19,BR19)-SUM(BM19,BQ19),"")</f>
        <v/>
      </c>
      <c r="CA19" s="19">
        <f>IF(SUM(BU19,BZ19)&gt;0,SUM(BU19,BZ19),"")</f>
        <v>43.1</v>
      </c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44"/>
      <c r="CW19" s="78" t="str">
        <f>IF(SUM(CC19,CG19)&gt;0,SUM(CC19,CG19),"")</f>
        <v/>
      </c>
      <c r="CX19" s="78" t="str">
        <f>IF(SUM(CB19:CC19,CE19:CG19,CI19)-CD19-CH19&gt;0,SUM(CB19:CC19,CE19:CG19,CI19)-CD19-CH19,"")</f>
        <v/>
      </c>
      <c r="CY19" s="78" t="str">
        <f>IF(SUM(CJ19:CK19,CM19)-CL19&gt;0,SUM(CJ19:CK19,CM19)-CL19,"")</f>
        <v/>
      </c>
      <c r="CZ19" s="78" t="str">
        <f>IF(SUM(CC19,CG19,CK19)&gt;0,SUM(CC19,CG19,CK19),"")</f>
        <v/>
      </c>
      <c r="DA19" s="78" t="str">
        <f>IF(SUM(CX19,CY19)&gt;0,SUM(CX19,CY19),"")</f>
        <v/>
      </c>
      <c r="DB19" s="78" t="str">
        <f>IF(SUM(CO19,CS19)&gt;0,SUM(CO19,CS19),"")</f>
        <v/>
      </c>
      <c r="DC19" s="78" t="str">
        <f>IF(SUM(CN19:CO19,CQ19:CS19,CU19)-SUM(CP19,CT19)&gt;0,SUM(CN19:CO19,CQ19:CS19,CU19)-SUM(CP19,CT19),"")</f>
        <v/>
      </c>
      <c r="DD19" s="78" t="str">
        <f>IF(SUM(CX19,DC19)&gt;0,SUM(CX19,DC19),"")</f>
        <v/>
      </c>
      <c r="DE19" s="79" t="str">
        <f>IF(K19&gt;=0.001,IF(MAX(EC19,FE19,GG19,HI19,IK19,JM19,KO19,LQ19,MS19,NU19,OW19,PY19)-IF(K19="",0,K19)&gt;0.001,MAX(EC19,FE19,GG19,HI19,IK19,JM19,KO19,LQ19,MS19,NU19,OW19,PY19)-IF(K19="",0,K19),""),"")</f>
        <v/>
      </c>
      <c r="DF19" s="79" t="str">
        <f>IF(O19&gt;=0.001,IF(MAX(ED19,FF19,GH19,HJ19,IL19,JN19,KP19,LR19,MT19,NV19,OX19,PZ19)-IF(O19="",0,O19)&gt;0.001,MAX(ED19,FF19,GH19,HJ19,IL19,JN19,KP19,LR19,MT19,NV19,OX19,PZ19)-IF(O19="",0,O19),""),"")</f>
        <v/>
      </c>
      <c r="DG19" s="79" t="str">
        <f>IF(Q19&gt;=0.001,IF(MAX(EH19,FJ19,GL19,HN19,IP19,JR19,KT19,LV19,MX19,NZ19,PB19,QD19)-IF(Q19="",0,Q19)&gt;0.001,MAX(EH19,FJ19,GL19,HN19,IP19,JR19,KT19,LV19,MX19,NZ19,PB19,QD19)-IF(Q19="",0,Q19),""),"")</f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>IF(SUM(DI19,DM19)&gt;0,SUM(DI19,DM19),"")</f>
        <v/>
      </c>
      <c r="EC19" s="78" t="str">
        <f>IF(SUM(DH19:DI19,DK19:DM19,DO19)-DJ19-DN19&gt;0,SUM(DH19:DI19,DK19:DM19,DO19)-DJ19-DN19,"")</f>
        <v/>
      </c>
      <c r="ED19" s="78" t="str">
        <f>IF(SUM(DP19:DQ19,DS19)-DR19&gt;0,SUM(DP19:DQ19,DS19)-DR19,"")</f>
        <v/>
      </c>
      <c r="EE19" s="78" t="str">
        <f>IF(SUM(DI19,DM19,DQ19)&gt;0,SUM(DI19,DM19,DQ19),"")</f>
        <v/>
      </c>
      <c r="EF19" s="78" t="str">
        <f>IF(SUM(EC19,ED19)&gt;0,SUM(EC19,ED19),"")</f>
        <v/>
      </c>
      <c r="EG19" s="78" t="str">
        <f>IF(SUM(DU19,DY19)&gt;0,SUM(DU19,DY19),"")</f>
        <v/>
      </c>
      <c r="EH19" s="78" t="str">
        <f>IF(SUM(DT19:DU19,DW19:DY19,EA19)-SUM(DV19,DZ19)&gt;0,SUM(DT19:DU19,DW19:DY19,EA19)-SUM(DV19,DZ19),"")</f>
        <v/>
      </c>
      <c r="EI19" s="78" t="str">
        <f>IF(SUM(EC19,EH19)&gt;0,SUM(EC19,EH19),"")</f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>IF(SUM(EK19,EO19)&gt;0,SUM(EK19,EO19),"")</f>
        <v/>
      </c>
      <c r="FE19" s="19" t="str">
        <f>IF(SUM(EJ19:EK19,EM19:EO19,EQ19)-EL19-EP19&gt;0,SUM(EJ19:EK19,EM19:EO19,EQ19)-EL19-EP19,"")</f>
        <v/>
      </c>
      <c r="FF19" s="19" t="str">
        <f>IF(SUM(ER19:ES19,EU19)-ET19&gt;0,SUM(ER19:ES19,EU19)-ET19,"")</f>
        <v/>
      </c>
      <c r="FG19" s="19" t="str">
        <f>IF(SUM(EK19,EO19,ES19)&gt;0,SUM(EK19,EO19,ES19),"")</f>
        <v/>
      </c>
      <c r="FH19" s="19" t="str">
        <f>IF(SUM(FE19,FF19)&gt;0,SUM(FE19,FF19),"")</f>
        <v/>
      </c>
      <c r="FI19" s="19" t="str">
        <f>IF(SUM(EW19,FA19)&gt;0,SUM(EW19,FA19),"")</f>
        <v/>
      </c>
      <c r="FJ19" s="19" t="str">
        <f>IF(SUM(EV19:EW19,EY19:FA19,FC19)-SUM(EX19,FB19)&gt;0,SUM(EV19:EW19,EY19:FA19,FC19)-SUM(EX19,FB19),"")</f>
        <v/>
      </c>
      <c r="FK19" s="19" t="str">
        <f>IF(SUM(FE19,FJ19)&gt;0,SUM(FE19,FJ19),"")</f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>IF(SUM(FM19,FQ19)&gt;0,SUM(FM19,FQ19),"")</f>
        <v/>
      </c>
      <c r="GG19" s="78" t="str">
        <f>IF(SUM(FL19:FM19,FO19:FQ19,FS19)-FN19-FR19&gt;0,SUM(FL19:FM19,FO19:FQ19,FS19)-FN19-FR19,"")</f>
        <v/>
      </c>
      <c r="GH19" s="78" t="str">
        <f>IF(SUM(FT19:FU19,FW19)-FV19&gt;0,SUM(FT19:FU19,FW19)-FV19,"")</f>
        <v/>
      </c>
      <c r="GI19" s="78" t="str">
        <f>IF(SUM(FM19,FQ19,FU19)&gt;0,SUM(FM19,FQ19,FU19),"")</f>
        <v/>
      </c>
      <c r="GJ19" s="78" t="str">
        <f>IF(SUM(GG19,GH19)&gt;0,SUM(GG19,GH19),"")</f>
        <v/>
      </c>
      <c r="GK19" s="78" t="str">
        <f>IF(SUM(FY19,GC19)&gt;0,SUM(FY19,GC19),"")</f>
        <v/>
      </c>
      <c r="GL19" s="78" t="str">
        <f>IF(SUM(FX19:FY19,GA19:GC19,GE19)-SUM(FZ19,GD19)&gt;0,SUM(FX19:FY19,GA19:GC19,GE19)-SUM(FZ19,GD19),"")</f>
        <v/>
      </c>
      <c r="GM19" s="78" t="str">
        <f>IF(SUM(GG19,GL19)&gt;0,SUM(GG19,GL19),"")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>IF(SUM(GO19,GS19)&gt;0,SUM(GO19,GS19),"")</f>
        <v/>
      </c>
      <c r="HI19" s="19" t="str">
        <f>IF(SUM(GN19:GO19,GQ19:GS19,GU19)-GP19-GT19&gt;0,SUM(GN19:GO19,GQ19:GS19,GU19)-GP19-GT19,"")</f>
        <v/>
      </c>
      <c r="HJ19" s="19" t="str">
        <f>IF(SUM(GV19:GW19,GY19)-GX19&gt;0,SUM(GV19:GW19,GY19)-GX19,"")</f>
        <v/>
      </c>
      <c r="HK19" s="19" t="str">
        <f>IF(SUM(GO19,GS19,GW19)&gt;0,SUM(GO19,GS19,GW19),"")</f>
        <v/>
      </c>
      <c r="HL19" s="19" t="str">
        <f>IF(SUM(HI19,HJ19)&gt;0,SUM(HI19,HJ19),"")</f>
        <v/>
      </c>
      <c r="HM19" s="19" t="str">
        <f>IF(SUM(HA19,HE19)&gt;0,SUM(HA19,HE19),"")</f>
        <v/>
      </c>
      <c r="HN19" s="19" t="str">
        <f>IF(SUM(GZ19:HA19,HC19:HE19,HG19)-SUM(HB19,HF19)&gt;0,SUM(GZ19:HA19,HC19:HE19,HG19)-SUM(HB19,HF19),"")</f>
        <v/>
      </c>
      <c r="HO19" s="19" t="str">
        <f>IF(SUM(HI19,HN19)&gt;0,SUM(HI19,HN19),"")</f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>IF(SUM(HQ19,HU19)&gt;0,SUM(HQ19,HU19),"")</f>
        <v/>
      </c>
      <c r="IK19" s="78" t="str">
        <f>IF(SUM(HP19:HQ19,HS19:HU19,HW19)-HR19-HV19&gt;0,SUM(HP19:HQ19,HS19:HU19,HW19)-HR19-HV19,"")</f>
        <v/>
      </c>
      <c r="IL19" s="78" t="str">
        <f>IF(SUM(HX19:HY19,IA19)-HZ19&gt;0,SUM(HX19:HY19,IA19)-HZ19,"")</f>
        <v/>
      </c>
      <c r="IM19" s="78" t="str">
        <f>IF(SUM(HQ19,HU19,HY19)&gt;0,SUM(HQ19,HU19,HY19),"")</f>
        <v/>
      </c>
      <c r="IN19" s="78" t="str">
        <f>IF(SUM(IK19,IL19)&gt;0,SUM(IK19,IL19),"")</f>
        <v/>
      </c>
      <c r="IO19" s="78" t="str">
        <f>IF(SUM(IC19,IG19)&gt;0,SUM(IC19,IG19),"")</f>
        <v/>
      </c>
      <c r="IP19" s="78" t="str">
        <f>IF(SUM(IB19:IC19,IE19:IG19,II19)-SUM(ID19,IH19)&gt;0,SUM(IB19:IC19,IE19:IG19,II19)-SUM(ID19,IH19),"")</f>
        <v/>
      </c>
      <c r="IQ19" s="78" t="str">
        <f>IF(SUM(IK19,IP19)&gt;0,SUM(IK19,IP19),"")</f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>IF(SUM(IS19,IW19)&gt;0,SUM(IS19,IW19),"")</f>
        <v/>
      </c>
      <c r="JM19" s="19" t="str">
        <f>IF(SUM(IR19:IS19,IU19:IW19,IY19)-IT19-IX19&gt;0,SUM(IR19:IS19,IU19:IW19,IY19)-IT19-IX19,"")</f>
        <v/>
      </c>
      <c r="JN19" s="19" t="str">
        <f>IF(SUM(IZ19:JA19,JC19)-JB19&gt;0,SUM(IZ19:JA19,JC19)-JB19,"")</f>
        <v/>
      </c>
      <c r="JO19" s="19" t="str">
        <f>IF(SUM(IS19,IW19,JA19)&gt;0,SUM(IS19,IW19,JA19),"")</f>
        <v/>
      </c>
      <c r="JP19" s="19" t="str">
        <f>IF(SUM(JM19,JN19)&gt;0,SUM(JM19,JN19),"")</f>
        <v/>
      </c>
      <c r="JQ19" s="19" t="str">
        <f>IF(SUM(JE19,JI19)&gt;0,SUM(JE19,JI19),"")</f>
        <v/>
      </c>
      <c r="JR19" s="19" t="str">
        <f>IF(SUM(JD19:JE19,JG19:JI19,JK19)-SUM(JF19,JJ19)&gt;0,SUM(JD19:JE19,JG19:JI19,JK19)-SUM(JF19,JJ19),"")</f>
        <v/>
      </c>
      <c r="JS19" s="19" t="str">
        <f>IF(SUM(JM19,JR19)&gt;0,SUM(JM19,JR19),"")</f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>IF(SUM(JU19,JY19)&gt;0,SUM(JU19,JY19),"")</f>
        <v/>
      </c>
      <c r="KO19" s="78" t="str">
        <f>IF(SUM(JT19:JU19,JW19:JY19,KA19)-JV19-JZ19&gt;0,SUM(JT19:JU19,JW19:JY19,KA19)-JV19-JZ19,"")</f>
        <v/>
      </c>
      <c r="KP19" s="78" t="str">
        <f>IF(SUM(KB19:KC19,KE19)-KD19&gt;0,SUM(KB19:KC19,KE19)-KD19,"")</f>
        <v/>
      </c>
      <c r="KQ19" s="78" t="str">
        <f>IF(SUM(JU19,JY19,KC19)&gt;0,SUM(JU19,JY19,KC19),"")</f>
        <v/>
      </c>
      <c r="KR19" s="78" t="str">
        <f>IF(SUM(KO19,KP19)&gt;0,SUM(KO19,KP19),"")</f>
        <v/>
      </c>
      <c r="KS19" s="78" t="str">
        <f>IF(SUM(KG19,KK19)&gt;0,SUM(KG19,KK19),"")</f>
        <v/>
      </c>
      <c r="KT19" s="78" t="str">
        <f>IF(SUM(KF19:KG19,KI19:KK19,KM19)-SUM(KH19,KL19)&gt;0,SUM(KF19:KG19,KI19:KK19,KM19)-SUM(KH19,KL19),"")</f>
        <v/>
      </c>
      <c r="KU19" s="78" t="str">
        <f>IF(SUM(KO19,KT19)&gt;0,SUM(KO19,KT19),"")</f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>IF(SUM(KW19,LA19)&gt;0,SUM(KW19,LA19),"")</f>
        <v/>
      </c>
      <c r="LQ19" s="19" t="str">
        <f>IF(SUM(KV19:KW19,KY19:LA19,LC19)-KX19-LB19&gt;0,SUM(KV19:KW19,KY19:LA19,LC19)-KX19-LB19,"")</f>
        <v/>
      </c>
      <c r="LR19" s="19" t="str">
        <f>IF(SUM(LD19:LE19,LG19)-LF19&gt;0,SUM(LD19:LE19,LG19)-LF19,"")</f>
        <v/>
      </c>
      <c r="LS19" s="19" t="str">
        <f>IF(SUM(KW19,LA19,LE19)&gt;0,SUM(KW19,LA19,LE19),"")</f>
        <v/>
      </c>
      <c r="LT19" s="19" t="str">
        <f>IF(SUM(LQ19,LR19)&gt;0,SUM(LQ19,LR19),"")</f>
        <v/>
      </c>
      <c r="LU19" s="19" t="str">
        <f>IF(SUM(LI19,LM19)&gt;0,SUM(LI19,LM19),"")</f>
        <v/>
      </c>
      <c r="LV19" s="19" t="str">
        <f>IF(SUM(LH19:LI19,LK19:LM19,LO19)-SUM(LJ19,LN19)&gt;0,SUM(LH19:LI19,LK19:LM19,LO19)-SUM(LJ19,LN19),"")</f>
        <v/>
      </c>
      <c r="LW19" s="19" t="str">
        <f>IF(SUM(LQ19,LV19)&gt;0,SUM(LQ19,LV19),"")</f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>IF(SUM(LY19,MC19)&gt;0,SUM(LY19,MC19),"")</f>
        <v/>
      </c>
      <c r="MS19" s="78" t="str">
        <f>IF(SUM(LX19:LY19,MA19:MC19,ME19)-LZ19-MD19&gt;0,SUM(LX19:LY19,MA19:MC19,ME19)-LZ19-MD19,"")</f>
        <v/>
      </c>
      <c r="MT19" s="78" t="str">
        <f>IF(SUM(MF19:MG19,MI19)-MH19&gt;0,SUM(MF19:MG19,MI19)-MH19,"")</f>
        <v/>
      </c>
      <c r="MU19" s="78" t="str">
        <f>IF(SUM(LY19,MC19,MG19)&gt;0,SUM(LY19,MC19,MG19),"")</f>
        <v/>
      </c>
      <c r="MV19" s="78" t="str">
        <f>IF(SUM(MS19,MT19)&gt;0,SUM(MS19,MT19),"")</f>
        <v/>
      </c>
      <c r="MW19" s="78" t="str">
        <f>IF(SUM(MK19,MO19)&gt;0,SUM(MK19,MO19),"")</f>
        <v/>
      </c>
      <c r="MX19" s="78" t="str">
        <f>IF(SUM(MJ19:MK19,MM19:MO19,MQ19)-SUM(ML19,MP19)&gt;0,SUM(MJ19:MK19,MM19:MO19,MQ19)-SUM(ML19,MP19),"")</f>
        <v/>
      </c>
      <c r="MY19" s="78" t="str">
        <f>IF(SUM(MS19,MX19)&gt;0,SUM(MS19,MX19),"")</f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>IF(SUM(NA19,NE19)&gt;0,SUM(NA19,NE19),"")</f>
        <v/>
      </c>
      <c r="NU19" s="19" t="str">
        <f>IF(SUM(MZ19:NA19,NC19:NE19,NG19)-NB19-NF19&gt;0,SUM(MZ19:NA19,NC19:NE19,NG19)-NB19-NF19,"")</f>
        <v/>
      </c>
      <c r="NV19" s="19" t="str">
        <f>IF(SUM(NH19:NI19,NK19)-NJ19&gt;0,SUM(NH19:NI19,NK19)-NJ19,"")</f>
        <v/>
      </c>
      <c r="NW19" s="19" t="str">
        <f>IF(SUM(NA19,NE19,NI19)&gt;0,SUM(NA19,NE19,NI19),"")</f>
        <v/>
      </c>
      <c r="NX19" s="19" t="str">
        <f>IF(SUM(NU19,NV19)&gt;0,SUM(NU19,NV19),"")</f>
        <v/>
      </c>
      <c r="NY19" s="19" t="str">
        <f>IF(SUM(NM19,NQ19)&gt;0,SUM(NM19,NQ19),"")</f>
        <v/>
      </c>
      <c r="NZ19" s="19" t="str">
        <f>IF(SUM(NL19:NM19,NO19:NQ19,NS19)-SUM(NN19,NR19)&gt;0,SUM(NL19:NM19,NO19:NQ19,NS19)-SUM(NN19,NR19),"")</f>
        <v/>
      </c>
      <c r="OA19" s="19" t="str">
        <f>IF(SUM(NU19,NZ19)&gt;0,SUM(NU19,NZ19),"")</f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>IF(SUM(OC19,OG19)&gt;0,SUM(OC19,OG19),"")</f>
        <v/>
      </c>
      <c r="OW19" s="78" t="str">
        <f>IF(SUM(OB19:OC19,OE19:OG19,OI19)-OD19-OH19&gt;0,SUM(OB19:OC19,OE19:OG19,OI19)-OD19-OH19,"")</f>
        <v/>
      </c>
      <c r="OX19" s="78" t="str">
        <f>IF(SUM(OJ19:OK19,OM19)-OL19&gt;0,SUM(OJ19:OK19,OM19)-OL19,"")</f>
        <v/>
      </c>
      <c r="OY19" s="78" t="str">
        <f>IF(SUM(OC19,OG19,OK19)&gt;0,SUM(OC19,OG19,OK19),"")</f>
        <v/>
      </c>
      <c r="OZ19" s="78" t="str">
        <f>IF(SUM(OW19,OX19)&gt;0,SUM(OW19,OX19),"")</f>
        <v/>
      </c>
      <c r="PA19" s="78" t="str">
        <f>IF(SUM(OO19,OS19)&gt;0,SUM(OO19,OS19),"")</f>
        <v/>
      </c>
      <c r="PB19" s="78" t="str">
        <f>IF(SUM(ON19:OO19,OQ19:OS19,OU19)-SUM(OP19,OT19)&gt;0,SUM(ON19:OO19,OQ19:OS19,OU19)-SUM(OP19,OT19),"")</f>
        <v/>
      </c>
      <c r="PC19" s="78" t="str">
        <f>IF(SUM(OW19,PB19)&gt;0,SUM(OW19,PB19),"")</f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>IF(SUM(PE19,PI19)&gt;0,SUM(PE19,PI19),"")</f>
        <v/>
      </c>
      <c r="PY19" s="19" t="str">
        <f>IF(SUM(PD19:PE19,PG19:PI19,PK19)-PF19-PJ19&gt;0,SUM(PD19:PE19,PG19:PI19,PK19)-PF19-PJ19,"")</f>
        <v/>
      </c>
      <c r="PZ19" s="19" t="str">
        <f>IF(SUM(PL19:PM19,PO19)-PN19&gt;0,SUM(PL19:PM19,PO19)-PN19,"")</f>
        <v/>
      </c>
      <c r="QA19" s="19" t="str">
        <f>IF(SUM(PE19,PI19,PM19)&gt;0,SUM(PE19,PI19,PM19),"")</f>
        <v/>
      </c>
      <c r="QB19" s="19" t="str">
        <f>IF(SUM(PY19,PZ19)&gt;0,SUM(PY19,PZ19),"")</f>
        <v/>
      </c>
      <c r="QC19" s="19" t="str">
        <f>IF(SUM(PQ19,PU19)&gt;0,SUM(PQ19,PU19),"")</f>
        <v/>
      </c>
      <c r="QD19" s="19" t="str">
        <f>IF(SUM(PP19:PQ19,PS19:PU19,PW19)-SUM(PR19,PV19)&gt;0,SUM(PP19:PQ19,PS19:PU19,PW19)-SUM(PR19,PV19),"")</f>
        <v/>
      </c>
      <c r="QE19" s="19" t="str">
        <f>IF(SUM(PY19,QD19)&gt;0,SUM(PY19,QD19),"")</f>
        <v/>
      </c>
      <c r="QF19" s="37">
        <f>IF($CV19="P",CB19,(CB19+AY19)/2)</f>
        <v>9.4</v>
      </c>
      <c r="QG19" s="37">
        <f>IF($CV19="P",CC19,(CC19+AZ19)/2)</f>
        <v>1.55</v>
      </c>
      <c r="QH19" s="37">
        <f>IF($CV19="P",CD19,(CD19+BA19)/2)</f>
        <v>0.2</v>
      </c>
      <c r="QI19" s="37">
        <f>IF($CV19="P",CE19,(CE19+BB19)/2)</f>
        <v>0</v>
      </c>
      <c r="QJ19" s="37">
        <f>IF($CV19="P",CF19,(CF19+BC19)/2)</f>
        <v>9.1999999999999993</v>
      </c>
      <c r="QK19" s="37">
        <f>IF($CV19="P",CG19,(CG19+BD19)/2)</f>
        <v>1.6</v>
      </c>
      <c r="QL19" s="37">
        <f>IF($CV19="P",CH19,(CH19+BE19)/2)</f>
        <v>0</v>
      </c>
      <c r="QM19" s="37">
        <f>IF($CV19="P",CI19,(CI19+BF19)/2)</f>
        <v>0</v>
      </c>
      <c r="QN19" s="37">
        <f>IF($CV19="P",CJ19,(CJ19+BG19)/2)</f>
        <v>0</v>
      </c>
      <c r="QO19" s="37">
        <f>IF($CV19="P",CK19,(CK19+BH19)/2)</f>
        <v>0</v>
      </c>
      <c r="QP19" s="37">
        <f>IF($CV19="P",CL19,(CL19+BI19)/2)</f>
        <v>0</v>
      </c>
      <c r="QQ19" s="37">
        <f>IF($CV19="P",CM19,(CM19+BJ19)/2)</f>
        <v>0</v>
      </c>
      <c r="QR19" s="37">
        <f>IF($CV19="P",CN19,(CN19+BK19)/2)</f>
        <v>0</v>
      </c>
      <c r="QS19" s="37">
        <f>IF($CV19="P",CO19,(CO19+BL19)/2)</f>
        <v>0</v>
      </c>
      <c r="QT19" s="37">
        <f>IF($CV19="P",CP19,(CP19+BM19)/2)</f>
        <v>0</v>
      </c>
      <c r="QU19" s="37">
        <f>IF($CV19="P",CQ19,(CQ19+BN19)/2)</f>
        <v>0</v>
      </c>
      <c r="QV19" s="37">
        <f>IF($CV19="P",CR19,(CR19+BO19)/2)</f>
        <v>0</v>
      </c>
      <c r="QW19" s="37">
        <f>IF($CV19="P",CS19,(CS19+BP19)/2)</f>
        <v>0</v>
      </c>
      <c r="QX19" s="37">
        <f>IF($CV19="P",CT19,(CT19+BQ19)/2)</f>
        <v>0</v>
      </c>
      <c r="QY19" s="37">
        <f>IF($CV19="P",CU19,(CU19+BR19)/2)</f>
        <v>0</v>
      </c>
      <c r="QZ19" s="44" t="s">
        <v>46</v>
      </c>
      <c r="RA19" s="78">
        <f>IF(SUM(QG19,QK19)&gt;0,SUM(QG19,QK19),"")</f>
        <v>3.1500000000000004</v>
      </c>
      <c r="RB19" s="78">
        <f>IF(SUM(QF19:QG19,QI19:QK19,QM19)-QH19-QL19&gt;0,SUM(QF19:QG19,QI19:QK19,QM19)-QH19-QL19,"")</f>
        <v>21.55</v>
      </c>
      <c r="RC19" s="78" t="str">
        <f>IF(SUM(QN19:QO19,QQ19)-QP19&gt;0,SUM(QN19:QO19,QQ19)-QP19,"")</f>
        <v/>
      </c>
      <c r="RD19" s="78">
        <f>IF(SUM(QG19,QK19,QO19)&gt;0,SUM(QG19,QK19,QO19),"")</f>
        <v>3.1500000000000004</v>
      </c>
      <c r="RE19" s="78">
        <f>IF(SUM(RB19,RC19)&gt;0,SUM(RB19,RC19),"")</f>
        <v>21.55</v>
      </c>
      <c r="RF19" s="78" t="str">
        <f>IF(SUM(QS19,QW19)&gt;0,SUM(QS19,QW19),"")</f>
        <v/>
      </c>
      <c r="RG19" s="78" t="str">
        <f>IF(SUM(QR19:QS19,QU19:QW19,QY19)-SUM(QT19,QX19)&gt;0,SUM(QR19:QS19,QU19:QW19,QY19)-SUM(QT19,QX19),"")</f>
        <v/>
      </c>
      <c r="RH19" s="78">
        <f>IF(SUM(RB19,RG19)&gt;0,SUM(RB19,RG19),"")</f>
        <v>21.55</v>
      </c>
    </row>
    <row r="20" spans="1:476" x14ac:dyDescent="0.2">
      <c r="A20" s="5" t="str">
        <f>IF(AND(F20="P",G20="P"),SUMPRODUCT((F$4:F$29="P")*(G$4:G$29="P")*(E$4:E$29&gt;E20))+1,IF(G20="P",SUMPRODUCT((F$4:F$29="")*(G$4:G$29="P")*(E$4:E$29&gt;E20))+1+SUMPRODUCT((F$4:F$29="P")*(G$4:G$29="P")),""))</f>
        <v/>
      </c>
      <c r="B20" s="77" t="s">
        <v>89</v>
      </c>
      <c r="C20" s="5" t="s">
        <v>5</v>
      </c>
      <c r="D20" s="5">
        <v>2003</v>
      </c>
      <c r="E20" s="15">
        <f>SUM(I20:S20)+SUM(I20:O20)*0.0000001+SUM(I20)*0.0000000000001</f>
        <v>128.30001283000419</v>
      </c>
      <c r="F20" s="3" t="str">
        <f>IF(OR(AND(AQ20&gt;=AX$31,AR20&gt;=AX$35,AQ20&lt;&gt;"",AP20=""),AND(AV20&gt;=AX$31,AW20&gt;=AX$35,AV20&lt;&gt;"",AP20=""),AND(BT20&gt;=CA$31,BU20&gt;=CA$35,BT20&lt;&gt;"",BS20=""),AND(BY20&gt;=CA$31,BZ20&gt;=CA$35,BY20&lt;&gt;"",BS20=""),AND(CW20&gt;=DD$31,CX20&gt;=DD$35,CW20&lt;&gt;"",CV20=""),AND(DB20&gt;=DD$31,DC20&gt;=DD$35,DB20&lt;&gt;""),AND(EB20&gt;=EI$31,EC20&gt;=EI$35,EB20&lt;&gt;""),AND(EG20&gt;=EI$31,EH20&gt;=EI$35,EG20&lt;&gt;""),AND(FD20&gt;=FK$31,FE20&gt;=FK$35,FD20&lt;&gt;""),AND(FI20&gt;=FK$31,FJ20&gt;=FK$35,FI20&lt;&gt;""),AND(GF20&gt;=GM$31,GG20&gt;=GM$35,GF20&lt;&gt;""),AND(GK20&gt;=GM$31,GL20&gt;=GM$35,GK20&lt;&gt;""),AND(HH20&gt;=HO$31,HI20&gt;=HO$35,HH20&lt;&gt;""),AND(HM20&gt;=HO$31,HN20&gt;=HO$35,HM20&lt;&gt;""),AND(IJ20&gt;=IQ$31,IK20&gt;=IQ$35,IJ20&lt;&gt;""),AND(IO20&gt;=IQ$31,IP20&gt;=IQ$35,IO20&lt;&gt;""),AND(JL20&gt;=JS$31,JM20&gt;=JS$35,JL20&lt;&gt;""),AND(JQ20&gt;=JS$31,JR20&gt;=JS$35,JQ20&lt;&gt;""),AND(KN20&gt;=KU$31,KO20&gt;=KU$35,KN20&lt;&gt;""),AND(KS20&gt;=KU$31,KT20&gt;=KU$35,KS20&lt;&gt;""),AND(LP20&gt;=LW$31,LQ20&gt;=LW$35,LP20&lt;&gt;""),AND(LU20&gt;=LW$31,LV20&gt;=LW$35,LU20&lt;&gt;""),AND(MR20&gt;=MY$31,MS20&gt;=MY$35,MR20&lt;&gt;""),AND(MW20&gt;=MY$31,MX20&gt;=MY$35,MW20&lt;&gt;""),AND(NT20&gt;=OA$31,NU20&gt;=OA$35,NT20&lt;&gt;""),AND(NY20&gt;=OA$31,NZ20&gt;=OA$35,NY20&lt;&gt;""),AND(OV20&gt;=PC$31,OW20&gt;=PC$35,OV20&lt;&gt;""),AND(PA20&gt;=PC$31,PB20&gt;=PC$35,PA20&lt;&gt;""),AND(PX20&gt;=QE$31,PY20&gt;=QE$35,PX20&lt;&gt;""),AND(QC20&gt;=QE$31,QD20&gt;=QE$35,QC20&lt;&gt;"")),"P","")</f>
        <v/>
      </c>
      <c r="G20" s="3" t="str">
        <f>IF(OR(AND(AR20&gt;=AX$35,AR20&lt;&gt;"",AP20=""),AND(AW20&gt;=AX$35,AW20&lt;&gt;"",AP20=""),AND(BU20&gt;=CA$35,BU20&lt;&gt;"",BS20=""),AND(BZ20&gt;=CA$35,BZ20&lt;&gt;"",BS20=""),AND(CX20&gt;=DD$35,CX20&lt;&gt;"",CV20=""),AND(DC20&gt;=DD$35,DC20&lt;&gt;"",CV20=""),AND(EC20&gt;=EI$35,EC20&lt;&gt;""),AND(EH20&gt;=EI$35,EH20&lt;&gt;""),AND(FE20&gt;=FK$35,FE20&lt;&gt;""),AND(FJ20&gt;=FK$35,FJ20&lt;&gt;""),AND(GG20&gt;=GM$35,GG20&lt;&gt;""),AND(GL20&gt;=GM$35,GL20&lt;&gt;""),AND(HI20&gt;=HO$35,HI20&lt;&gt;""),AND(HN20&gt;=HO$35,HN20&lt;&gt;""),AND(IK20&gt;=IQ$35,IK20&lt;&gt;""),AND(IP20&gt;=IQ$35,IP20&lt;&gt;""),AND(JM20&gt;=JS$35,JM20&lt;&gt;""),AND(JR20&gt;=JS$35,JR20&lt;&gt;""),AND(KO20&gt;=KU$35,KO20&lt;&gt;""),AND(KT20&gt;=KU$35,KT20&lt;&gt;""),AND(LQ20&gt;=LW$35,LQ20&lt;&gt;""),AND(LV20&gt;=LW$35,LV20&lt;&gt;""),AND(MS20&gt;=MY$35,MS20&lt;&gt;""),AND(MX20&gt;=MY$35,MX20&lt;&gt;""),AND(NU20&gt;=OA$35,NU20&lt;&gt;""),AND(NZ20&gt;=OA$35,NZ20&lt;&gt;""),AND(OW20&gt;=PC$35,OW20&lt;&gt;""),AND(PB20&gt;=PC$35,PB20&lt;&gt;""),AND(PY20&gt;=QE$35,PY20&lt;&gt;""),AND(QD20&gt;=QE$35,QD20&lt;&gt;"")),"P","")</f>
        <v/>
      </c>
      <c r="H20" s="66" t="str">
        <f>IF(AND(G20="P",F20=""),"No DD",IF(OR(AND(AT20&gt;=AX$34,AU20&gt;=AX$38,AT20&lt;&gt;"",AP20=""),AND(BW20&gt;=CA$34,BX20&gt;=CA$38,BW20&lt;&gt;"",BS20=""),AND(CZ20&gt;=DD$34,DA20&gt;=DD$38,CZ20&lt;&gt;"",CV20=""),AND(EE20&gt;=EI$34,EF20&gt;=EI$38,EE20&lt;&gt;""),AND(FG20&gt;=FK$34,FH20&gt;=FK$38,FG20&lt;&gt;""),AND(GI20&gt;=GM$34,GJ20&gt;=GM$38,GI20&lt;&gt;""),AND(HK20&gt;=HO$34,HL20&gt;=HO$38,HK20&lt;&gt;""),AND(IM20&gt;=IQ$34,IN20&gt;=IQ$38,IM20&lt;&gt;""),AND(JO20&gt;=JS$34,JP20&gt;=JS$38,JO20&lt;&gt;""),AND(KQ20&gt;=KU$34,KR20&gt;=KU$38,KQ20&lt;&gt;""),AND(LS20&gt;=LW$34,LT20&gt;=LW$38,LS20&lt;&gt;""),AND(MU20&gt;=MY$34,MV20&gt;=MY$38,MU20&lt;&gt;""),AND(NW20&gt;=OA$34,NX20&gt;=OA$38,NW20&lt;&gt;""),AND(OY20&gt;=PC$34,OZ20&gt;=PC$38,OY20&lt;&gt;""),AND(QA20&gt;=QE$34,QB20&gt;=QE$38,QA20&lt;&gt;"")),"Merit",IF(OR(AND(AT20&gt;=AX$33,AU20&gt;=AX$37,AT20&lt;&gt;"",AP20=""),AND(BW20&gt;=CA$33,BX20&gt;=CA$37,BW20&lt;&gt;"",BS20=""),AND(CZ20&gt;=DD$33,DA20&gt;=DD$37,CZ20&lt;&gt;"",CV20=""),AND(EE20&gt;=EI$33,EF20&gt;=EI$37,EE20&lt;&gt;""),AND(FG20&gt;=FK$33,FH20&gt;=FK$37,FG20&lt;&gt;""),AND(GI20&gt;=GM$33,GJ20&gt;=GM$37,GI20&lt;&gt;""),AND(HK20&gt;=HO$33,HL20&gt;=HO$37,HK20&lt;&gt;""),AND(IM20&gt;=IQ$33,IN20&gt;=IQ$37,IM20&lt;&gt;""),AND(JO20&gt;=JS$33,JP20&gt;=JS$37,JO20&lt;&gt;""),AND(KQ20&gt;=KU$33,KR20&gt;=KU$37,KQ20&lt;&gt;""),AND(LS20&gt;=LW$33,LT20&gt;=LW$37,LS20&lt;&gt;""),AND(MU20&gt;=MY$33,MV20&gt;=MY$37,MU20&lt;&gt;""),AND(NW20&gt;=OA$33,NX20&gt;=OA$37,NW20&lt;&gt;""),AND(OY20&gt;=PC$33,OZ20&gt;=PC$37,OY20&lt;&gt;""),AND(QA20&gt;=QE$33,QB20&gt;=QE$37,QA20&lt;&gt;"")),"Excellence",IF(F20="P","National Team",""))))</f>
        <v/>
      </c>
      <c r="I20" s="14">
        <f>IF(COUNT(AR20,BU20,CX20)&gt;0,LARGE((AR20,BU20,CX20),1),0)</f>
        <v>42.2</v>
      </c>
      <c r="J20" s="14" t="str">
        <f>IF(I20=0,"",IF(I20=CX20,$CB$1,IF(I20=BU20,$AY$1,IF(I20=AR20,$V$1,""))))</f>
        <v>2022 Nationals</v>
      </c>
      <c r="K20" s="14">
        <f>IF(COUNT(AR20,BU20,CX20)&gt;1,LARGE((AR20,BU20,CX20),2),0)</f>
        <v>40.5</v>
      </c>
      <c r="L20" s="14" t="str">
        <f>IF(K20=0,"",IF(K20=CX20,$CB$1,IF(K20=BU20,$AY$1,IF(K20=AR20,$V$1,""))))</f>
        <v>2022 Elite Canada</v>
      </c>
      <c r="M20" s="14">
        <f>IF(COUNT(AS20,BV20,CY20)&gt;0,LARGE((AS20,BV20,CY20),1),0)</f>
        <v>23.4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22.2</v>
      </c>
      <c r="P20" s="14" t="str">
        <f>IF(O20=0,"",IF(O20=CY20,$CB$1,IF(O20=BV20,$AY$1,IF(O20=AS20,$V$1,""))))</f>
        <v>2022 Nationals</v>
      </c>
      <c r="Q20" s="14">
        <f>IF(MAX(AW20,BZ20,DC20)&gt;0,MAX(AW20,BZ20,DC20),0)</f>
        <v>0</v>
      </c>
      <c r="R20" s="14" t="str">
        <f>IF(Q20=0,"",IF(Q20=DC20,$CB$1,IF(Q20=BZ20,$AY$1,IF(Q20=AW20,$V$1,""))))</f>
        <v/>
      </c>
      <c r="S20" s="14" t="str">
        <f>IF(MAX(DE20:DG20)&gt;0,MAX(DE20:DG20),"")</f>
        <v/>
      </c>
      <c r="T20" s="19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6">
        <v>18.399999999999999</v>
      </c>
      <c r="W20" s="26">
        <v>5.2</v>
      </c>
      <c r="X20" s="26">
        <v>0.2</v>
      </c>
      <c r="Y20" s="26">
        <v>0</v>
      </c>
      <c r="Z20" s="26">
        <v>17.100000000000001</v>
      </c>
      <c r="AA20" s="26">
        <v>0</v>
      </c>
      <c r="AB20" s="26">
        <v>0</v>
      </c>
      <c r="AC20" s="26">
        <v>0</v>
      </c>
      <c r="AD20" s="26">
        <v>18.399999999999999</v>
      </c>
      <c r="AE20" s="26">
        <v>5.2</v>
      </c>
      <c r="AF20" s="26">
        <v>0.2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>IF(SUM(W20,AA20)&gt;0,SUM(W20,AA20),"")</f>
        <v>5.2</v>
      </c>
      <c r="AR20" s="78">
        <f>IF(SUM(V20:W20,Y20:AA20,AC20)-X20-AB20&gt;0,SUM(V20:W20,Y20:AA20,AC20)-X20-AB20,"")</f>
        <v>40.5</v>
      </c>
      <c r="AS20" s="78">
        <f>IF(SUM(AD20:AE20,AG20)-AF20&gt;0,SUM(AD20:AE20,AG20)-AF20,"")</f>
        <v>23.4</v>
      </c>
      <c r="AT20" s="78">
        <f>IF(SUM(W20,AA20,AE20)&gt;0,SUM(W20,AA20,AE20),"")</f>
        <v>10.4</v>
      </c>
      <c r="AU20" s="78">
        <f>IF(SUM(AR20,AS20)&gt;0,SUM(AR20,AS20),"")</f>
        <v>63.9</v>
      </c>
      <c r="AV20" s="78" t="str">
        <f>IF(SUM(AI20,AM20)&gt;0,SUM(AI20,AM20),"")</f>
        <v/>
      </c>
      <c r="AW20" s="78" t="str">
        <f>IF(SUM(AH20:AI20,AK20:AM20,AO20)-SUM(AJ20,AN20)&gt;0,SUM(AH20:AI20,AK20:AM20,AO20)-SUM(AJ20,AN20),"")</f>
        <v/>
      </c>
      <c r="AX20" s="78">
        <f>IF(SUM(AR20,AW20)&gt;0,SUM(AR20,AW20),"")</f>
        <v>40.5</v>
      </c>
      <c r="AY20" s="25">
        <v>16.600000000000001</v>
      </c>
      <c r="AZ20" s="25">
        <v>3</v>
      </c>
      <c r="BA20" s="25">
        <v>1.5999999999999999</v>
      </c>
      <c r="BB20" s="25">
        <v>0</v>
      </c>
      <c r="BC20" s="25">
        <v>18.600000000000001</v>
      </c>
      <c r="BD20" s="25">
        <v>5.6</v>
      </c>
      <c r="BE20" s="25">
        <v>0</v>
      </c>
      <c r="BF20" s="25">
        <v>0</v>
      </c>
      <c r="BG20" s="25">
        <v>18.2</v>
      </c>
      <c r="BH20" s="25">
        <v>4.8</v>
      </c>
      <c r="BI20" s="25">
        <v>0.8</v>
      </c>
      <c r="BJ20" s="25">
        <v>0</v>
      </c>
      <c r="BK20" s="25"/>
      <c r="BL20" s="25"/>
      <c r="BM20" s="25"/>
      <c r="BN20" s="25"/>
      <c r="BO20" s="25"/>
      <c r="BP20" s="25"/>
      <c r="BQ20" s="25"/>
      <c r="BR20" s="25"/>
      <c r="BS20" s="45"/>
      <c r="BT20" s="19">
        <f>IF(SUM(AZ20,BD20)&gt;0,SUM(AZ20,BD20),"")</f>
        <v>8.6</v>
      </c>
      <c r="BU20" s="19">
        <f>IF(SUM(AY20:AZ20,BB20:BD20,BF20)-BA20-BE20&gt;0,SUM(AY20:AZ20,BB20:BD20,BF20)-BA20-BE20,"")</f>
        <v>42.2</v>
      </c>
      <c r="BV20" s="19">
        <f>IF(SUM(BG20:BH20,BJ20)-BI20&gt;0,SUM(BG20:BH20,BJ20)-BI20,"")</f>
        <v>22.2</v>
      </c>
      <c r="BW20" s="19">
        <f>IF(SUM(AZ20,BD20,BH20)&gt;0,SUM(AZ20,BD20,BH20),"")</f>
        <v>13.399999999999999</v>
      </c>
      <c r="BX20" s="19">
        <f>IF(SUM(BU20,BV20)&gt;0,SUM(BU20,BV20),"")</f>
        <v>64.400000000000006</v>
      </c>
      <c r="BY20" s="19" t="str">
        <f>IF(SUM(BL20,BP20)&gt;0,SUM(BL20,BP20),"")</f>
        <v/>
      </c>
      <c r="BZ20" s="19" t="str">
        <f>IF(SUM(BK20:BL20,BN20:BP20,BR20)-SUM(BM20,BQ20)&gt;0,SUM(BK20:BL20,BN20:BP20,BR20)-SUM(BM20,BQ20),"")</f>
        <v/>
      </c>
      <c r="CA20" s="19">
        <f>IF(SUM(BU20,BZ20)&gt;0,SUM(BU20,BZ20),"")</f>
        <v>42.2</v>
      </c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44"/>
      <c r="CW20" s="78" t="str">
        <f>IF(SUM(CC20,CG20)&gt;0,SUM(CC20,CG20),"")</f>
        <v/>
      </c>
      <c r="CX20" s="78" t="str">
        <f>IF(SUM(CB20:CC20,CE20:CG20,CI20)-CD20-CH20&gt;0,SUM(CB20:CC20,CE20:CG20,CI20)-CD20-CH20,"")</f>
        <v/>
      </c>
      <c r="CY20" s="78" t="str">
        <f>IF(SUM(CJ20:CK20,CM20)-CL20&gt;0,SUM(CJ20:CK20,CM20)-CL20,"")</f>
        <v/>
      </c>
      <c r="CZ20" s="78" t="str">
        <f>IF(SUM(CC20,CG20,CK20)&gt;0,SUM(CC20,CG20,CK20),"")</f>
        <v/>
      </c>
      <c r="DA20" s="78" t="str">
        <f>IF(SUM(CX20,CY20)&gt;0,SUM(CX20,CY20),"")</f>
        <v/>
      </c>
      <c r="DB20" s="78" t="str">
        <f>IF(SUM(CO20,CS20)&gt;0,SUM(CO20,CS20),"")</f>
        <v/>
      </c>
      <c r="DC20" s="78" t="str">
        <f>IF(SUM(CN20:CO20,CQ20:CS20,CU20)-SUM(CP20,CT20)&gt;0,SUM(CN20:CO20,CQ20:CS20,CU20)-SUM(CP20,CT20),"")</f>
        <v/>
      </c>
      <c r="DD20" s="78" t="str">
        <f>IF(SUM(CX20,DC20)&gt;0,SUM(CX20,DC20),"")</f>
        <v/>
      </c>
      <c r="DE20" s="79" t="str">
        <f>IF(K20&gt;=0.001,IF(MAX(EC20,FE20,GG20,HI20,IK20,JM20,KO20,LQ20,MS20,NU20,OW20,PY20)-IF(K20="",0,K20)&gt;0.001,MAX(EC20,FE20,GG20,HI20,IK20,JM20,KO20,LQ20,MS20,NU20,OW20,PY20)-IF(K20="",0,K20),""),"")</f>
        <v/>
      </c>
      <c r="DF20" s="79" t="str">
        <f>IF(O20&gt;=0.001,IF(MAX(ED20,FF20,GH20,HJ20,IL20,JN20,KP20,LR20,MT20,NV20,OX20,PZ20)-IF(O20="",0,O20)&gt;0.001,MAX(ED20,FF20,GH20,HJ20,IL20,JN20,KP20,LR20,MT20,NV20,OX20,PZ20)-IF(O20="",0,O20),""),"")</f>
        <v/>
      </c>
      <c r="DG20" s="79" t="str">
        <f>IF(Q20&gt;=0.001,IF(MAX(EH20,FJ20,GL20,HN20,IP20,JR20,KT20,LV20,MX20,NZ20,PB20,QD20)-IF(Q20="",0,Q20)&gt;0.001,MAX(EH20,FJ20,GL20,HN20,IP20,JR20,KT20,LV20,MX20,NZ20,PB20,QD20)-IF(Q20="",0,Q20),""),"")</f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>IF(SUM(DI20,DM20)&gt;0,SUM(DI20,DM20),"")</f>
        <v/>
      </c>
      <c r="EC20" s="78" t="str">
        <f>IF(SUM(DH20:DI20,DK20:DM20,DO20)-DJ20-DN20&gt;0,SUM(DH20:DI20,DK20:DM20,DO20)-DJ20-DN20,"")</f>
        <v/>
      </c>
      <c r="ED20" s="78" t="str">
        <f>IF(SUM(DP20:DQ20,DS20)-DR20&gt;0,SUM(DP20:DQ20,DS20)-DR20,"")</f>
        <v/>
      </c>
      <c r="EE20" s="78" t="str">
        <f>IF(SUM(DI20,DM20,DQ20)&gt;0,SUM(DI20,DM20,DQ20),"")</f>
        <v/>
      </c>
      <c r="EF20" s="78" t="str">
        <f>IF(SUM(EC20,ED20)&gt;0,SUM(EC20,ED20),"")</f>
        <v/>
      </c>
      <c r="EG20" s="78" t="str">
        <f>IF(SUM(DU20,DY20)&gt;0,SUM(DU20,DY20),"")</f>
        <v/>
      </c>
      <c r="EH20" s="78" t="str">
        <f>IF(SUM(DT20:DU20,DW20:DY20,EA20)-SUM(DV20,DZ20)&gt;0,SUM(DT20:DU20,DW20:DY20,EA20)-SUM(DV20,DZ20),"")</f>
        <v/>
      </c>
      <c r="EI20" s="78" t="str">
        <f>IF(SUM(EC20,EH20)&gt;0,SUM(EC20,EH20),"")</f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>IF(SUM(EK20,EO20)&gt;0,SUM(EK20,EO20),"")</f>
        <v/>
      </c>
      <c r="FE20" s="19" t="str">
        <f>IF(SUM(EJ20:EK20,EM20:EO20,EQ20)-EL20-EP20&gt;0,SUM(EJ20:EK20,EM20:EO20,EQ20)-EL20-EP20,"")</f>
        <v/>
      </c>
      <c r="FF20" s="19" t="str">
        <f>IF(SUM(ER20:ES20,EU20)-ET20&gt;0,SUM(ER20:ES20,EU20)-ET20,"")</f>
        <v/>
      </c>
      <c r="FG20" s="19" t="str">
        <f>IF(SUM(EK20,EO20,ES20)&gt;0,SUM(EK20,EO20,ES20),"")</f>
        <v/>
      </c>
      <c r="FH20" s="19" t="str">
        <f>IF(SUM(FE20,FF20)&gt;0,SUM(FE20,FF20),"")</f>
        <v/>
      </c>
      <c r="FI20" s="19" t="str">
        <f>IF(SUM(EW20,FA20)&gt;0,SUM(EW20,FA20),"")</f>
        <v/>
      </c>
      <c r="FJ20" s="19" t="str">
        <f>IF(SUM(EV20:EW20,EY20:FA20,FC20)-SUM(EX20,FB20)&gt;0,SUM(EV20:EW20,EY20:FA20,FC20)-SUM(EX20,FB20),"")</f>
        <v/>
      </c>
      <c r="FK20" s="19" t="str">
        <f>IF(SUM(FE20,FJ20)&gt;0,SUM(FE20,FJ20),"")</f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>IF(SUM(FM20,FQ20)&gt;0,SUM(FM20,FQ20),"")</f>
        <v/>
      </c>
      <c r="GG20" s="78" t="str">
        <f>IF(SUM(FL20:FM20,FO20:FQ20,FS20)-FN20-FR20&gt;0,SUM(FL20:FM20,FO20:FQ20,FS20)-FN20-FR20,"")</f>
        <v/>
      </c>
      <c r="GH20" s="78" t="str">
        <f>IF(SUM(FT20:FU20,FW20)-FV20&gt;0,SUM(FT20:FU20,FW20)-FV20,"")</f>
        <v/>
      </c>
      <c r="GI20" s="78" t="str">
        <f>IF(SUM(FM20,FQ20,FU20)&gt;0,SUM(FM20,FQ20,FU20),"")</f>
        <v/>
      </c>
      <c r="GJ20" s="78" t="str">
        <f>IF(SUM(GG20,GH20)&gt;0,SUM(GG20,GH20),"")</f>
        <v/>
      </c>
      <c r="GK20" s="78" t="str">
        <f>IF(SUM(FY20,GC20)&gt;0,SUM(FY20,GC20),"")</f>
        <v/>
      </c>
      <c r="GL20" s="78" t="str">
        <f>IF(SUM(FX20:FY20,GA20:GC20,GE20)-SUM(FZ20,GD20)&gt;0,SUM(FX20:FY20,GA20:GC20,GE20)-SUM(FZ20,GD20),"")</f>
        <v/>
      </c>
      <c r="GM20" s="78" t="str">
        <f>IF(SUM(GG20,GL20)&gt;0,SUM(GG20,GL20),"")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>IF(SUM(GO20,GS20)&gt;0,SUM(GO20,GS20),"")</f>
        <v/>
      </c>
      <c r="HI20" s="19" t="str">
        <f>IF(SUM(GN20:GO20,GQ20:GS20,GU20)-GP20-GT20&gt;0,SUM(GN20:GO20,GQ20:GS20,GU20)-GP20-GT20,"")</f>
        <v/>
      </c>
      <c r="HJ20" s="19" t="str">
        <f>IF(SUM(GV20:GW20,GY20)-GX20&gt;0,SUM(GV20:GW20,GY20)-GX20,"")</f>
        <v/>
      </c>
      <c r="HK20" s="19" t="str">
        <f>IF(SUM(GO20,GS20,GW20)&gt;0,SUM(GO20,GS20,GW20),"")</f>
        <v/>
      </c>
      <c r="HL20" s="19" t="str">
        <f>IF(SUM(HI20,HJ20)&gt;0,SUM(HI20,HJ20),"")</f>
        <v/>
      </c>
      <c r="HM20" s="19" t="str">
        <f>IF(SUM(HA20,HE20)&gt;0,SUM(HA20,HE20),"")</f>
        <v/>
      </c>
      <c r="HN20" s="19" t="str">
        <f>IF(SUM(GZ20:HA20,HC20:HE20,HG20)-SUM(HB20,HF20)&gt;0,SUM(GZ20:HA20,HC20:HE20,HG20)-SUM(HB20,HF20),"")</f>
        <v/>
      </c>
      <c r="HO20" s="19" t="str">
        <f>IF(SUM(HI20,HN20)&gt;0,SUM(HI20,HN20),"")</f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>IF(SUM(HQ20,HU20)&gt;0,SUM(HQ20,HU20),"")</f>
        <v/>
      </c>
      <c r="IK20" s="78" t="str">
        <f>IF(SUM(HP20:HQ20,HS20:HU20,HW20)-HR20-HV20&gt;0,SUM(HP20:HQ20,HS20:HU20,HW20)-HR20-HV20,"")</f>
        <v/>
      </c>
      <c r="IL20" s="78" t="str">
        <f>IF(SUM(HX20:HY20,IA20)-HZ20&gt;0,SUM(HX20:HY20,IA20)-HZ20,"")</f>
        <v/>
      </c>
      <c r="IM20" s="78" t="str">
        <f>IF(SUM(HQ20,HU20,HY20)&gt;0,SUM(HQ20,HU20,HY20),"")</f>
        <v/>
      </c>
      <c r="IN20" s="78" t="str">
        <f>IF(SUM(IK20,IL20)&gt;0,SUM(IK20,IL20),"")</f>
        <v/>
      </c>
      <c r="IO20" s="78" t="str">
        <f>IF(SUM(IC20,IG20)&gt;0,SUM(IC20,IG20),"")</f>
        <v/>
      </c>
      <c r="IP20" s="78" t="str">
        <f>IF(SUM(IB20:IC20,IE20:IG20,II20)-SUM(ID20,IH20)&gt;0,SUM(IB20:IC20,IE20:IG20,II20)-SUM(ID20,IH20),"")</f>
        <v/>
      </c>
      <c r="IQ20" s="78" t="str">
        <f>IF(SUM(IK20,IP20)&gt;0,SUM(IK20,IP20),"")</f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>IF(SUM(IS20,IW20)&gt;0,SUM(IS20,IW20),"")</f>
        <v/>
      </c>
      <c r="JM20" s="19" t="str">
        <f>IF(SUM(IR20:IS20,IU20:IW20,IY20)-IT20-IX20&gt;0,SUM(IR20:IS20,IU20:IW20,IY20)-IT20-IX20,"")</f>
        <v/>
      </c>
      <c r="JN20" s="19" t="str">
        <f>IF(SUM(IZ20:JA20,JC20)-JB20&gt;0,SUM(IZ20:JA20,JC20)-JB20,"")</f>
        <v/>
      </c>
      <c r="JO20" s="19" t="str">
        <f>IF(SUM(IS20,IW20,JA20)&gt;0,SUM(IS20,IW20,JA20),"")</f>
        <v/>
      </c>
      <c r="JP20" s="19" t="str">
        <f>IF(SUM(JM20,JN20)&gt;0,SUM(JM20,JN20),"")</f>
        <v/>
      </c>
      <c r="JQ20" s="19" t="str">
        <f>IF(SUM(JE20,JI20)&gt;0,SUM(JE20,JI20),"")</f>
        <v/>
      </c>
      <c r="JR20" s="19" t="str">
        <f>IF(SUM(JD20:JE20,JG20:JI20,JK20)-SUM(JF20,JJ20)&gt;0,SUM(JD20:JE20,JG20:JI20,JK20)-SUM(JF20,JJ20),"")</f>
        <v/>
      </c>
      <c r="JS20" s="19" t="str">
        <f>IF(SUM(JM20,JR20)&gt;0,SUM(JM20,JR20),"")</f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>IF(SUM(JU20,JY20)&gt;0,SUM(JU20,JY20),"")</f>
        <v/>
      </c>
      <c r="KO20" s="78" t="str">
        <f>IF(SUM(JT20:JU20,JW20:JY20,KA20)-JV20-JZ20&gt;0,SUM(JT20:JU20,JW20:JY20,KA20)-JV20-JZ20,"")</f>
        <v/>
      </c>
      <c r="KP20" s="78" t="str">
        <f>IF(SUM(KB20:KC20,KE20)-KD20&gt;0,SUM(KB20:KC20,KE20)-KD20,"")</f>
        <v/>
      </c>
      <c r="KQ20" s="78" t="str">
        <f>IF(SUM(JU20,JY20,KC20)&gt;0,SUM(JU20,JY20,KC20),"")</f>
        <v/>
      </c>
      <c r="KR20" s="78" t="str">
        <f>IF(SUM(KO20,KP20)&gt;0,SUM(KO20,KP20),"")</f>
        <v/>
      </c>
      <c r="KS20" s="78" t="str">
        <f>IF(SUM(KG20,KK20)&gt;0,SUM(KG20,KK20),"")</f>
        <v/>
      </c>
      <c r="KT20" s="78" t="str">
        <f>IF(SUM(KF20:KG20,KI20:KK20,KM20)-SUM(KH20,KL20)&gt;0,SUM(KF20:KG20,KI20:KK20,KM20)-SUM(KH20,KL20),"")</f>
        <v/>
      </c>
      <c r="KU20" s="78" t="str">
        <f>IF(SUM(KO20,KT20)&gt;0,SUM(KO20,KT20),"")</f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>IF(SUM(KW20,LA20)&gt;0,SUM(KW20,LA20),"")</f>
        <v/>
      </c>
      <c r="LQ20" s="19" t="str">
        <f>IF(SUM(KV20:KW20,KY20:LA20,LC20)-KX20-LB20&gt;0,SUM(KV20:KW20,KY20:LA20,LC20)-KX20-LB20,"")</f>
        <v/>
      </c>
      <c r="LR20" s="19" t="str">
        <f>IF(SUM(LD20:LE20,LG20)-LF20&gt;0,SUM(LD20:LE20,LG20)-LF20,"")</f>
        <v/>
      </c>
      <c r="LS20" s="19" t="str">
        <f>IF(SUM(KW20,LA20,LE20)&gt;0,SUM(KW20,LA20,LE20),"")</f>
        <v/>
      </c>
      <c r="LT20" s="19" t="str">
        <f>IF(SUM(LQ20,LR20)&gt;0,SUM(LQ20,LR20),"")</f>
        <v/>
      </c>
      <c r="LU20" s="19" t="str">
        <f>IF(SUM(LI20,LM20)&gt;0,SUM(LI20,LM20),"")</f>
        <v/>
      </c>
      <c r="LV20" s="19" t="str">
        <f>IF(SUM(LH20:LI20,LK20:LM20,LO20)-SUM(LJ20,LN20)&gt;0,SUM(LH20:LI20,LK20:LM20,LO20)-SUM(LJ20,LN20),"")</f>
        <v/>
      </c>
      <c r="LW20" s="19" t="str">
        <f>IF(SUM(LQ20,LV20)&gt;0,SUM(LQ20,LV20),"")</f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>IF(SUM(LY20,MC20)&gt;0,SUM(LY20,MC20),"")</f>
        <v/>
      </c>
      <c r="MS20" s="78" t="str">
        <f>IF(SUM(LX20:LY20,MA20:MC20,ME20)-LZ20-MD20&gt;0,SUM(LX20:LY20,MA20:MC20,ME20)-LZ20-MD20,"")</f>
        <v/>
      </c>
      <c r="MT20" s="78" t="str">
        <f>IF(SUM(MF20:MG20,MI20)-MH20&gt;0,SUM(MF20:MG20,MI20)-MH20,"")</f>
        <v/>
      </c>
      <c r="MU20" s="78" t="str">
        <f>IF(SUM(LY20,MC20,MG20)&gt;0,SUM(LY20,MC20,MG20),"")</f>
        <v/>
      </c>
      <c r="MV20" s="78" t="str">
        <f>IF(SUM(MS20,MT20)&gt;0,SUM(MS20,MT20),"")</f>
        <v/>
      </c>
      <c r="MW20" s="78" t="str">
        <f>IF(SUM(MK20,MO20)&gt;0,SUM(MK20,MO20),"")</f>
        <v/>
      </c>
      <c r="MX20" s="78" t="str">
        <f>IF(SUM(MJ20:MK20,MM20:MO20,MQ20)-SUM(ML20,MP20)&gt;0,SUM(MJ20:MK20,MM20:MO20,MQ20)-SUM(ML20,MP20),"")</f>
        <v/>
      </c>
      <c r="MY20" s="78" t="str">
        <f>IF(SUM(MS20,MX20)&gt;0,SUM(MS20,MX20),"")</f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>IF(SUM(NA20,NE20)&gt;0,SUM(NA20,NE20),"")</f>
        <v/>
      </c>
      <c r="NU20" s="19" t="str">
        <f>IF(SUM(MZ20:NA20,NC20:NE20,NG20)-NB20-NF20&gt;0,SUM(MZ20:NA20,NC20:NE20,NG20)-NB20-NF20,"")</f>
        <v/>
      </c>
      <c r="NV20" s="19" t="str">
        <f>IF(SUM(NH20:NI20,NK20)-NJ20&gt;0,SUM(NH20:NI20,NK20)-NJ20,"")</f>
        <v/>
      </c>
      <c r="NW20" s="19" t="str">
        <f>IF(SUM(NA20,NE20,NI20)&gt;0,SUM(NA20,NE20,NI20),"")</f>
        <v/>
      </c>
      <c r="NX20" s="19" t="str">
        <f>IF(SUM(NU20,NV20)&gt;0,SUM(NU20,NV20),"")</f>
        <v/>
      </c>
      <c r="NY20" s="19" t="str">
        <f>IF(SUM(NM20,NQ20)&gt;0,SUM(NM20,NQ20),"")</f>
        <v/>
      </c>
      <c r="NZ20" s="19" t="str">
        <f>IF(SUM(NL20:NM20,NO20:NQ20,NS20)-SUM(NN20,NR20)&gt;0,SUM(NL20:NM20,NO20:NQ20,NS20)-SUM(NN20,NR20),"")</f>
        <v/>
      </c>
      <c r="OA20" s="19" t="str">
        <f>IF(SUM(NU20,NZ20)&gt;0,SUM(NU20,NZ20),"")</f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>IF(SUM(OC20,OG20)&gt;0,SUM(OC20,OG20),"")</f>
        <v/>
      </c>
      <c r="OW20" s="78" t="str">
        <f>IF(SUM(OB20:OC20,OE20:OG20,OI20)-OD20-OH20&gt;0,SUM(OB20:OC20,OE20:OG20,OI20)-OD20-OH20,"")</f>
        <v/>
      </c>
      <c r="OX20" s="78" t="str">
        <f>IF(SUM(OJ20:OK20,OM20)-OL20&gt;0,SUM(OJ20:OK20,OM20)-OL20,"")</f>
        <v/>
      </c>
      <c r="OY20" s="78" t="str">
        <f>IF(SUM(OC20,OG20,OK20)&gt;0,SUM(OC20,OG20,OK20),"")</f>
        <v/>
      </c>
      <c r="OZ20" s="78" t="str">
        <f>IF(SUM(OW20,OX20)&gt;0,SUM(OW20,OX20),"")</f>
        <v/>
      </c>
      <c r="PA20" s="78" t="str">
        <f>IF(SUM(OO20,OS20)&gt;0,SUM(OO20,OS20),"")</f>
        <v/>
      </c>
      <c r="PB20" s="78" t="str">
        <f>IF(SUM(ON20:OO20,OQ20:OS20,OU20)-SUM(OP20,OT20)&gt;0,SUM(ON20:OO20,OQ20:OS20,OU20)-SUM(OP20,OT20),"")</f>
        <v/>
      </c>
      <c r="PC20" s="78" t="str">
        <f>IF(SUM(OW20,PB20)&gt;0,SUM(OW20,PB20),"")</f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>IF(SUM(PE20,PI20)&gt;0,SUM(PE20,PI20),"")</f>
        <v/>
      </c>
      <c r="PY20" s="19" t="str">
        <f>IF(SUM(PD20:PE20,PG20:PI20,PK20)-PF20-PJ20&gt;0,SUM(PD20:PE20,PG20:PI20,PK20)-PF20-PJ20,"")</f>
        <v/>
      </c>
      <c r="PZ20" s="19" t="str">
        <f>IF(SUM(PL20:PM20,PO20)-PN20&gt;0,SUM(PL20:PM20,PO20)-PN20,"")</f>
        <v/>
      </c>
      <c r="QA20" s="19" t="str">
        <f>IF(SUM(PE20,PI20,PM20)&gt;0,SUM(PE20,PI20,PM20),"")</f>
        <v/>
      </c>
      <c r="QB20" s="19" t="str">
        <f>IF(SUM(PY20,PZ20)&gt;0,SUM(PY20,PZ20),"")</f>
        <v/>
      </c>
      <c r="QC20" s="19" t="str">
        <f>IF(SUM(PQ20,PU20)&gt;0,SUM(PQ20,PU20),"")</f>
        <v/>
      </c>
      <c r="QD20" s="19" t="str">
        <f>IF(SUM(PP20:PQ20,PS20:PU20,PW20)-SUM(PR20,PV20)&gt;0,SUM(PP20:PQ20,PS20:PU20,PW20)-SUM(PR20,PV20),"")</f>
        <v/>
      </c>
      <c r="QE20" s="19" t="str">
        <f>IF(SUM(PY20,QD20)&gt;0,SUM(PY20,QD20),"")</f>
        <v/>
      </c>
      <c r="QF20" s="37">
        <f>IF($CV20="P",CB20,(CB20+AY20)/2)</f>
        <v>8.3000000000000007</v>
      </c>
      <c r="QG20" s="37">
        <f>IF($CV20="P",CC20,(CC20+AZ20)/2)</f>
        <v>1.5</v>
      </c>
      <c r="QH20" s="37">
        <f>IF($CV20="P",CD20,(CD20+BA20)/2)</f>
        <v>0.79999999999999993</v>
      </c>
      <c r="QI20" s="37">
        <f>IF($CV20="P",CE20,(CE20+BB20)/2)</f>
        <v>0</v>
      </c>
      <c r="QJ20" s="37">
        <f>IF($CV20="P",CF20,(CF20+BC20)/2)</f>
        <v>9.3000000000000007</v>
      </c>
      <c r="QK20" s="37">
        <f>IF($CV20="P",CG20,(CG20+BD20)/2)</f>
        <v>2.8</v>
      </c>
      <c r="QL20" s="37">
        <f>IF($CV20="P",CH20,(CH20+BE20)/2)</f>
        <v>0</v>
      </c>
      <c r="QM20" s="37">
        <f>IF($CV20="P",CI20,(CI20+BF20)/2)</f>
        <v>0</v>
      </c>
      <c r="QN20" s="37">
        <f>IF($CV20="P",CJ20,(CJ20+BG20)/2)</f>
        <v>9.1</v>
      </c>
      <c r="QO20" s="37">
        <f>IF($CV20="P",CK20,(CK20+BH20)/2)</f>
        <v>2.4</v>
      </c>
      <c r="QP20" s="37">
        <f>IF($CV20="P",CL20,(CL20+BI20)/2)</f>
        <v>0.4</v>
      </c>
      <c r="QQ20" s="37">
        <f>IF($CV20="P",CM20,(CM20+BJ20)/2)</f>
        <v>0</v>
      </c>
      <c r="QR20" s="37">
        <f>IF($CV20="P",CN20,(CN20+BK20)/2)</f>
        <v>0</v>
      </c>
      <c r="QS20" s="37">
        <f>IF($CV20="P",CO20,(CO20+BL20)/2)</f>
        <v>0</v>
      </c>
      <c r="QT20" s="37">
        <f>IF($CV20="P",CP20,(CP20+BM20)/2)</f>
        <v>0</v>
      </c>
      <c r="QU20" s="37">
        <f>IF($CV20="P",CQ20,(CQ20+BN20)/2)</f>
        <v>0</v>
      </c>
      <c r="QV20" s="37">
        <f>IF($CV20="P",CR20,(CR20+BO20)/2)</f>
        <v>0</v>
      </c>
      <c r="QW20" s="37">
        <f>IF($CV20="P",CS20,(CS20+BP20)/2)</f>
        <v>0</v>
      </c>
      <c r="QX20" s="37">
        <f>IF($CV20="P",CT20,(CT20+BQ20)/2)</f>
        <v>0</v>
      </c>
      <c r="QY20" s="37">
        <f>IF($CV20="P",CU20,(CU20+BR20)/2)</f>
        <v>0</v>
      </c>
      <c r="QZ20" s="44" t="s">
        <v>46</v>
      </c>
      <c r="RA20" s="78">
        <f>IF(SUM(QG20,QK20)&gt;0,SUM(QG20,QK20),"")</f>
        <v>4.3</v>
      </c>
      <c r="RB20" s="78">
        <f>IF(SUM(QF20:QG20,QI20:QK20,QM20)-QH20-QL20&gt;0,SUM(QF20:QG20,QI20:QK20,QM20)-QH20-QL20,"")</f>
        <v>21.1</v>
      </c>
      <c r="RC20" s="78">
        <f>IF(SUM(QN20:QO20,QQ20)-QP20&gt;0,SUM(QN20:QO20,QQ20)-QP20,"")</f>
        <v>11.1</v>
      </c>
      <c r="RD20" s="78">
        <f>IF(SUM(QG20,QK20,QO20)&gt;0,SUM(QG20,QK20,QO20),"")</f>
        <v>6.6999999999999993</v>
      </c>
      <c r="RE20" s="78">
        <f>IF(SUM(RB20,RC20)&gt;0,SUM(RB20,RC20),"")</f>
        <v>32.200000000000003</v>
      </c>
      <c r="RF20" s="78" t="str">
        <f>IF(SUM(QS20,QW20)&gt;0,SUM(QS20,QW20),"")</f>
        <v/>
      </c>
      <c r="RG20" s="78" t="str">
        <f>IF(SUM(QR20:QS20,QU20:QW20,QY20)-SUM(QT20,QX20)&gt;0,SUM(QR20:QS20,QU20:QW20,QY20)-SUM(QT20,QX20),"")</f>
        <v/>
      </c>
      <c r="RH20" s="78">
        <f>IF(SUM(RB20,RG20)&gt;0,SUM(RB20,RG20),"")</f>
        <v>21.1</v>
      </c>
    </row>
    <row r="21" spans="1:476" x14ac:dyDescent="0.2">
      <c r="A21" s="5" t="str">
        <f>IF(AND(F21="P",G21="P"),SUMPRODUCT((F$4:F$29="P")*(G$4:G$29="P")*(E$4:E$29&gt;E21))+1,IF(G21="P",SUMPRODUCT((F$4:F$29="")*(G$4:G$29="P")*(E$4:E$29&gt;E21))+1+SUMPRODUCT((F$4:F$29="P")*(G$4:G$29="P")),""))</f>
        <v/>
      </c>
      <c r="B21" s="77" t="s">
        <v>137</v>
      </c>
      <c r="C21" s="5" t="s">
        <v>81</v>
      </c>
      <c r="D21" s="5">
        <v>2003</v>
      </c>
      <c r="E21" s="15">
        <f>SUM(I21:S21)+SUM(I21:O21)*0.0000001+SUM(I21)*0.0000000000001</f>
        <v>126.90000821000412</v>
      </c>
      <c r="F21" s="3" t="str">
        <f>IF(OR(AND(AQ21&gt;=AX$31,AR21&gt;=AX$35,AQ21&lt;&gt;"",AP21=""),AND(AV21&gt;=AX$31,AW21&gt;=AX$35,AV21&lt;&gt;"",AP21=""),AND(BT21&gt;=CA$31,BU21&gt;=CA$35,BT21&lt;&gt;"",BS21=""),AND(BY21&gt;=CA$31,BZ21&gt;=CA$35,BY21&lt;&gt;"",BS21=""),AND(CW21&gt;=DD$31,CX21&gt;=DD$35,CW21&lt;&gt;"",CV21=""),AND(DB21&gt;=DD$31,DC21&gt;=DD$35,DB21&lt;&gt;""),AND(EB21&gt;=EI$31,EC21&gt;=EI$35,EB21&lt;&gt;""),AND(EG21&gt;=EI$31,EH21&gt;=EI$35,EG21&lt;&gt;""),AND(FD21&gt;=FK$31,FE21&gt;=FK$35,FD21&lt;&gt;""),AND(FI21&gt;=FK$31,FJ21&gt;=FK$35,FI21&lt;&gt;""),AND(GF21&gt;=GM$31,GG21&gt;=GM$35,GF21&lt;&gt;""),AND(GK21&gt;=GM$31,GL21&gt;=GM$35,GK21&lt;&gt;""),AND(HH21&gt;=HO$31,HI21&gt;=HO$35,HH21&lt;&gt;""),AND(HM21&gt;=HO$31,HN21&gt;=HO$35,HM21&lt;&gt;""),AND(IJ21&gt;=IQ$31,IK21&gt;=IQ$35,IJ21&lt;&gt;""),AND(IO21&gt;=IQ$31,IP21&gt;=IQ$35,IO21&lt;&gt;""),AND(JL21&gt;=JS$31,JM21&gt;=JS$35,JL21&lt;&gt;""),AND(JQ21&gt;=JS$31,JR21&gt;=JS$35,JQ21&lt;&gt;""),AND(KN21&gt;=KU$31,KO21&gt;=KU$35,KN21&lt;&gt;""),AND(KS21&gt;=KU$31,KT21&gt;=KU$35,KS21&lt;&gt;""),AND(LP21&gt;=LW$31,LQ21&gt;=LW$35,LP21&lt;&gt;""),AND(LU21&gt;=LW$31,LV21&gt;=LW$35,LU21&lt;&gt;""),AND(MR21&gt;=MY$31,MS21&gt;=MY$35,MR21&lt;&gt;""),AND(MW21&gt;=MY$31,MX21&gt;=MY$35,MW21&lt;&gt;""),AND(NT21&gt;=OA$31,NU21&gt;=OA$35,NT21&lt;&gt;""),AND(NY21&gt;=OA$31,NZ21&gt;=OA$35,NY21&lt;&gt;""),AND(OV21&gt;=PC$31,OW21&gt;=PC$35,OV21&lt;&gt;""),AND(PA21&gt;=PC$31,PB21&gt;=PC$35,PA21&lt;&gt;""),AND(PX21&gt;=QE$31,PY21&gt;=QE$35,PX21&lt;&gt;""),AND(QC21&gt;=QE$31,QD21&gt;=QE$35,QC21&lt;&gt;"")),"P","")</f>
        <v/>
      </c>
      <c r="G21" s="3" t="str">
        <f>IF(OR(AND(AR21&gt;=AX$35,AR21&lt;&gt;"",AP21=""),AND(AW21&gt;=AX$35,AW21&lt;&gt;"",AP21=""),AND(BU21&gt;=CA$35,BU21&lt;&gt;"",BS21=""),AND(BZ21&gt;=CA$35,BZ21&lt;&gt;"",BS21=""),AND(CX21&gt;=DD$35,CX21&lt;&gt;"",CV21=""),AND(DC21&gt;=DD$35,DC21&lt;&gt;"",CV21=""),AND(EC21&gt;=EI$35,EC21&lt;&gt;""),AND(EH21&gt;=EI$35,EH21&lt;&gt;""),AND(FE21&gt;=FK$35,FE21&lt;&gt;""),AND(FJ21&gt;=FK$35,FJ21&lt;&gt;""),AND(GG21&gt;=GM$35,GG21&lt;&gt;""),AND(GL21&gt;=GM$35,GL21&lt;&gt;""),AND(HI21&gt;=HO$35,HI21&lt;&gt;""),AND(HN21&gt;=HO$35,HN21&lt;&gt;""),AND(IK21&gt;=IQ$35,IK21&lt;&gt;""),AND(IP21&gt;=IQ$35,IP21&lt;&gt;""),AND(JM21&gt;=JS$35,JM21&lt;&gt;""),AND(JR21&gt;=JS$35,JR21&lt;&gt;""),AND(KO21&gt;=KU$35,KO21&lt;&gt;""),AND(KT21&gt;=KU$35,KT21&lt;&gt;""),AND(LQ21&gt;=LW$35,LQ21&lt;&gt;""),AND(LV21&gt;=LW$35,LV21&lt;&gt;""),AND(MS21&gt;=MY$35,MS21&lt;&gt;""),AND(MX21&gt;=MY$35,MX21&lt;&gt;""),AND(NU21&gt;=OA$35,NU21&lt;&gt;""),AND(NZ21&gt;=OA$35,NZ21&lt;&gt;""),AND(OW21&gt;=PC$35,OW21&lt;&gt;""),AND(PB21&gt;=PC$35,PB21&lt;&gt;""),AND(PY21&gt;=QE$35,PY21&lt;&gt;""),AND(QD21&gt;=QE$35,QD21&lt;&gt;"")),"P","")</f>
        <v/>
      </c>
      <c r="H21" s="66" t="str">
        <f>IF(AND(G21="P",F21=""),"No DD",IF(OR(AND(AT21&gt;=AX$34,AU21&gt;=AX$38,AT21&lt;&gt;"",AP21=""),AND(BW21&gt;=CA$34,BX21&gt;=CA$38,BW21&lt;&gt;"",BS21=""),AND(CZ21&gt;=DD$34,DA21&gt;=DD$38,CZ21&lt;&gt;"",CV21=""),AND(EE21&gt;=EI$34,EF21&gt;=EI$38,EE21&lt;&gt;""),AND(FG21&gt;=FK$34,FH21&gt;=FK$38,FG21&lt;&gt;""),AND(GI21&gt;=GM$34,GJ21&gt;=GM$38,GI21&lt;&gt;""),AND(HK21&gt;=HO$34,HL21&gt;=HO$38,HK21&lt;&gt;""),AND(IM21&gt;=IQ$34,IN21&gt;=IQ$38,IM21&lt;&gt;""),AND(JO21&gt;=JS$34,JP21&gt;=JS$38,JO21&lt;&gt;""),AND(KQ21&gt;=KU$34,KR21&gt;=KU$38,KQ21&lt;&gt;""),AND(LS21&gt;=LW$34,LT21&gt;=LW$38,LS21&lt;&gt;""),AND(MU21&gt;=MY$34,MV21&gt;=MY$38,MU21&lt;&gt;""),AND(NW21&gt;=OA$34,NX21&gt;=OA$38,NW21&lt;&gt;""),AND(OY21&gt;=PC$34,OZ21&gt;=PC$38,OY21&lt;&gt;""),AND(QA21&gt;=QE$34,QB21&gt;=QE$38,QA21&lt;&gt;"")),"Merit",IF(OR(AND(AT21&gt;=AX$33,AU21&gt;=AX$37,AT21&lt;&gt;"",AP21=""),AND(BW21&gt;=CA$33,BX21&gt;=CA$37,BW21&lt;&gt;"",BS21=""),AND(CZ21&gt;=DD$33,DA21&gt;=DD$37,CZ21&lt;&gt;"",CV21=""),AND(EE21&gt;=EI$33,EF21&gt;=EI$37,EE21&lt;&gt;""),AND(FG21&gt;=FK$33,FH21&gt;=FK$37,FG21&lt;&gt;""),AND(GI21&gt;=GM$33,GJ21&gt;=GM$37,GI21&lt;&gt;""),AND(HK21&gt;=HO$33,HL21&gt;=HO$37,HK21&lt;&gt;""),AND(IM21&gt;=IQ$33,IN21&gt;=IQ$37,IM21&lt;&gt;""),AND(JO21&gt;=JS$33,JP21&gt;=JS$37,JO21&lt;&gt;""),AND(KQ21&gt;=KU$33,KR21&gt;=KU$37,KQ21&lt;&gt;""),AND(LS21&gt;=LW$33,LT21&gt;=LW$37,LS21&lt;&gt;""),AND(MU21&gt;=MY$33,MV21&gt;=MY$37,MU21&lt;&gt;""),AND(NW21&gt;=OA$33,NX21&gt;=OA$37,NW21&lt;&gt;""),AND(OY21&gt;=PC$33,OZ21&gt;=PC$37,OY21&lt;&gt;""),AND(QA21&gt;=QE$33,QB21&gt;=QE$37,QA21&lt;&gt;"")),"Excellence",IF(F21="P","National Team",""))))</f>
        <v/>
      </c>
      <c r="I21" s="14">
        <f>IF(COUNT(AR21,BU21,CX21)&gt;0,LARGE((AR21,BU21,CX21),1),0)</f>
        <v>41.100000000000009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20</v>
      </c>
      <c r="L21" s="14" t="str">
        <f>IF(K21=0,"",IF(K21=CX21,$CB$1,IF(K21=BU21,$AY$1,IF(K21=AR21,$V$1,""))))</f>
        <v>2022 Nationals</v>
      </c>
      <c r="M21" s="14">
        <f>IF(COUNT(AS21,BV21,CY21)&gt;0,LARGE((AS21,BV21,CY21),1),0)</f>
        <v>21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44.8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19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6">
        <v>18.2</v>
      </c>
      <c r="W21" s="26">
        <v>3.6</v>
      </c>
      <c r="X21" s="26">
        <v>0.8</v>
      </c>
      <c r="Y21" s="26">
        <v>0</v>
      </c>
      <c r="Z21" s="26">
        <v>16.600000000000001</v>
      </c>
      <c r="AA21" s="26">
        <v>3.5</v>
      </c>
      <c r="AB21" s="26">
        <v>0</v>
      </c>
      <c r="AC21" s="26">
        <v>0</v>
      </c>
      <c r="AD21" s="26">
        <v>17.600000000000001</v>
      </c>
      <c r="AE21" s="26">
        <v>4.4000000000000004</v>
      </c>
      <c r="AF21" s="26">
        <v>1</v>
      </c>
      <c r="AG21" s="26">
        <v>0</v>
      </c>
      <c r="AH21" s="26">
        <v>18.899999999999999</v>
      </c>
      <c r="AI21" s="26">
        <v>3.5</v>
      </c>
      <c r="AJ21" s="26">
        <v>0.2</v>
      </c>
      <c r="AK21" s="26">
        <v>0</v>
      </c>
      <c r="AL21" s="26">
        <v>18.399999999999999</v>
      </c>
      <c r="AM21" s="26">
        <v>4.4000000000000004</v>
      </c>
      <c r="AN21" s="26">
        <v>0.2</v>
      </c>
      <c r="AO21" s="26">
        <v>0</v>
      </c>
      <c r="AP21" s="44"/>
      <c r="AQ21" s="78">
        <f>IF(SUM(W21,AA21)&gt;0,SUM(W21,AA21),"")</f>
        <v>7.1</v>
      </c>
      <c r="AR21" s="78">
        <f>IF(SUM(V21:W21,Y21:AA21,AC21)-X21-AB21&gt;0,SUM(V21:W21,Y21:AA21,AC21)-X21-AB21,"")</f>
        <v>41.100000000000009</v>
      </c>
      <c r="AS21" s="78">
        <f>IF(SUM(AD21:AE21,AG21)-AF21&gt;0,SUM(AD21:AE21,AG21)-AF21,"")</f>
        <v>21</v>
      </c>
      <c r="AT21" s="78">
        <f>IF(SUM(W21,AA21,AE21)&gt;0,SUM(W21,AA21,AE21),"")</f>
        <v>11.5</v>
      </c>
      <c r="AU21" s="78">
        <f>IF(SUM(AR21,AS21)&gt;0,SUM(AR21,AS21),"")</f>
        <v>62.100000000000009</v>
      </c>
      <c r="AV21" s="78">
        <f>IF(SUM(AI21,AM21)&gt;0,SUM(AI21,AM21),"")</f>
        <v>7.9</v>
      </c>
      <c r="AW21" s="78">
        <f>IF(SUM(AH21:AI21,AK21:AM21,AO21)-SUM(AJ21,AN21)&gt;0,SUM(AH21:AI21,AK21:AM21,AO21)-SUM(AJ21,AN21),"")</f>
        <v>44.8</v>
      </c>
      <c r="AX21" s="78">
        <f>IF(SUM(AR21,AW21)&gt;0,SUM(AR21,AW21),"")</f>
        <v>85.9</v>
      </c>
      <c r="AY21" s="25">
        <v>17.2</v>
      </c>
      <c r="AZ21" s="25">
        <v>2.8</v>
      </c>
      <c r="BA21" s="25">
        <v>0</v>
      </c>
      <c r="BB21" s="25">
        <v>0</v>
      </c>
      <c r="BC21" s="25">
        <v>0</v>
      </c>
      <c r="BD21" s="25">
        <v>0</v>
      </c>
      <c r="BE21" s="25">
        <v>0</v>
      </c>
      <c r="BF21" s="25">
        <v>0</v>
      </c>
      <c r="BG21" s="25">
        <v>0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>IF(SUM(AZ21,BD21)&gt;0,SUM(AZ21,BD21),"")</f>
        <v>2.8</v>
      </c>
      <c r="BU21" s="19">
        <f>IF(SUM(AY21:AZ21,BB21:BD21,BF21)-BA21-BE21&gt;0,SUM(AY21:AZ21,BB21:BD21,BF21)-BA21-BE21,"")</f>
        <v>20</v>
      </c>
      <c r="BV21" s="19" t="str">
        <f>IF(SUM(BG21:BH21,BJ21)-BI21&gt;0,SUM(BG21:BH21,BJ21)-BI21,"")</f>
        <v/>
      </c>
      <c r="BW21" s="19">
        <f>IF(SUM(AZ21,BD21,BH21)&gt;0,SUM(AZ21,BD21,BH21),"")</f>
        <v>2.8</v>
      </c>
      <c r="BX21" s="19">
        <f>IF(SUM(BU21,BV21)&gt;0,SUM(BU21,BV21),"")</f>
        <v>20</v>
      </c>
      <c r="BY21" s="19" t="str">
        <f>IF(SUM(BL21,BP21)&gt;0,SUM(BL21,BP21),"")</f>
        <v/>
      </c>
      <c r="BZ21" s="19" t="str">
        <f>IF(SUM(BK21:BL21,BN21:BP21,BR21)-SUM(BM21,BQ21)&gt;0,SUM(BK21:BL21,BN21:BP21,BR21)-SUM(BM21,BQ21),"")</f>
        <v/>
      </c>
      <c r="CA21" s="19">
        <f>IF(SUM(BU21,BZ21)&gt;0,SUM(BU21,BZ21),"")</f>
        <v>20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>IF(SUM(CC21,CG21)&gt;0,SUM(CC21,CG21),"")</f>
        <v/>
      </c>
      <c r="CX21" s="78" t="str">
        <f>IF(SUM(CB21:CC21,CE21:CG21,CI21)-CD21-CH21&gt;0,SUM(CB21:CC21,CE21:CG21,CI21)-CD21-CH21,"")</f>
        <v/>
      </c>
      <c r="CY21" s="78" t="str">
        <f>IF(SUM(CJ21:CK21,CM21)-CL21&gt;0,SUM(CJ21:CK21,CM21)-CL21,"")</f>
        <v/>
      </c>
      <c r="CZ21" s="78" t="str">
        <f>IF(SUM(CC21,CG21,CK21)&gt;0,SUM(CC21,CG21,CK21),"")</f>
        <v/>
      </c>
      <c r="DA21" s="78" t="str">
        <f>IF(SUM(CX21,CY21)&gt;0,SUM(CX21,CY21),"")</f>
        <v/>
      </c>
      <c r="DB21" s="78" t="str">
        <f>IF(SUM(CO21,CS21)&gt;0,SUM(CO21,CS21),"")</f>
        <v/>
      </c>
      <c r="DC21" s="78" t="str">
        <f>IF(SUM(CN21:CO21,CQ21:CS21,CU21)-SUM(CP21,CT21)&gt;0,SUM(CN21:CO21,CQ21:CS21,CU21)-SUM(CP21,CT21),"")</f>
        <v/>
      </c>
      <c r="DD21" s="78" t="str">
        <f>IF(SUM(CX21,DC21)&gt;0,SUM(CX21,DC21),"")</f>
        <v/>
      </c>
      <c r="DE21" s="79" t="str">
        <f>IF(K21&gt;=0.001,IF(MAX(EC21,FE21,GG21,HI21,IK21,JM21,KO21,LQ21,MS21,NU21,OW21,PY21)-IF(K21="",0,K21)&gt;0.001,MAX(EC21,FE21,GG21,HI21,IK21,JM21,KO21,LQ21,MS21,NU21,OW21,PY21)-IF(K21="",0,K21),""),"")</f>
        <v/>
      </c>
      <c r="DF21" s="79" t="str">
        <f>IF(O21&gt;=0.001,IF(MAX(ED21,FF21,GH21,HJ21,IL21,JN21,KP21,LR21,MT21,NV21,OX21,PZ21)-IF(O21="",0,O21)&gt;0.001,MAX(ED21,FF21,GH21,HJ21,IL21,JN21,KP21,LR21,MT21,NV21,OX21,PZ21)-IF(O21="",0,O21),""),"")</f>
        <v/>
      </c>
      <c r="DG21" s="79" t="str">
        <f>IF(Q21&gt;=0.001,IF(MAX(EH21,FJ21,GL21,HN21,IP21,JR21,KT21,LV21,MX21,NZ21,PB21,QD21)-IF(Q21="",0,Q21)&gt;0.001,MAX(EH21,FJ21,GL21,HN21,IP21,JR21,KT21,LV21,MX21,NZ21,PB21,QD21)-IF(Q21="",0,Q21),""),"")</f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>IF(SUM(DI21,DM21)&gt;0,SUM(DI21,DM21),"")</f>
        <v/>
      </c>
      <c r="EC21" s="78" t="str">
        <f>IF(SUM(DH21:DI21,DK21:DM21,DO21)-DJ21-DN21&gt;0,SUM(DH21:DI21,DK21:DM21,DO21)-DJ21-DN21,"")</f>
        <v/>
      </c>
      <c r="ED21" s="78" t="str">
        <f>IF(SUM(DP21:DQ21,DS21)-DR21&gt;0,SUM(DP21:DQ21,DS21)-DR21,"")</f>
        <v/>
      </c>
      <c r="EE21" s="78" t="str">
        <f>IF(SUM(DI21,DM21,DQ21)&gt;0,SUM(DI21,DM21,DQ21),"")</f>
        <v/>
      </c>
      <c r="EF21" s="78" t="str">
        <f>IF(SUM(EC21,ED21)&gt;0,SUM(EC21,ED21),"")</f>
        <v/>
      </c>
      <c r="EG21" s="78" t="str">
        <f>IF(SUM(DU21,DY21)&gt;0,SUM(DU21,DY21),"")</f>
        <v/>
      </c>
      <c r="EH21" s="78" t="str">
        <f>IF(SUM(DT21:DU21,DW21:DY21,EA21)-SUM(DV21,DZ21)&gt;0,SUM(DT21:DU21,DW21:DY21,EA21)-SUM(DV21,DZ21),"")</f>
        <v/>
      </c>
      <c r="EI21" s="78" t="str">
        <f>IF(SUM(EC21,EH21)&gt;0,SUM(EC21,EH21),"")</f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>IF(SUM(EK21,EO21)&gt;0,SUM(EK21,EO21),"")</f>
        <v/>
      </c>
      <c r="FE21" s="19" t="str">
        <f>IF(SUM(EJ21:EK21,EM21:EO21,EQ21)-EL21-EP21&gt;0,SUM(EJ21:EK21,EM21:EO21,EQ21)-EL21-EP21,"")</f>
        <v/>
      </c>
      <c r="FF21" s="19" t="str">
        <f>IF(SUM(ER21:ES21,EU21)-ET21&gt;0,SUM(ER21:ES21,EU21)-ET21,"")</f>
        <v/>
      </c>
      <c r="FG21" s="19" t="str">
        <f>IF(SUM(EK21,EO21,ES21)&gt;0,SUM(EK21,EO21,ES21),"")</f>
        <v/>
      </c>
      <c r="FH21" s="19" t="str">
        <f>IF(SUM(FE21,FF21)&gt;0,SUM(FE21,FF21),"")</f>
        <v/>
      </c>
      <c r="FI21" s="19" t="str">
        <f>IF(SUM(EW21,FA21)&gt;0,SUM(EW21,FA21),"")</f>
        <v/>
      </c>
      <c r="FJ21" s="19" t="str">
        <f>IF(SUM(EV21:EW21,EY21:FA21,FC21)-SUM(EX21,FB21)&gt;0,SUM(EV21:EW21,EY21:FA21,FC21)-SUM(EX21,FB21),"")</f>
        <v/>
      </c>
      <c r="FK21" s="19" t="str">
        <f>IF(SUM(FE21,FJ21)&gt;0,SUM(FE21,FJ21),"")</f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>IF(SUM(FM21,FQ21)&gt;0,SUM(FM21,FQ21),"")</f>
        <v/>
      </c>
      <c r="GG21" s="78" t="str">
        <f>IF(SUM(FL21:FM21,FO21:FQ21,FS21)-FN21-FR21&gt;0,SUM(FL21:FM21,FO21:FQ21,FS21)-FN21-FR21,"")</f>
        <v/>
      </c>
      <c r="GH21" s="78" t="str">
        <f>IF(SUM(FT21:FU21,FW21)-FV21&gt;0,SUM(FT21:FU21,FW21)-FV21,"")</f>
        <v/>
      </c>
      <c r="GI21" s="78" t="str">
        <f>IF(SUM(FM21,FQ21,FU21)&gt;0,SUM(FM21,FQ21,FU21),"")</f>
        <v/>
      </c>
      <c r="GJ21" s="78" t="str">
        <f>IF(SUM(GG21,GH21)&gt;0,SUM(GG21,GH21),"")</f>
        <v/>
      </c>
      <c r="GK21" s="78" t="str">
        <f>IF(SUM(FY21,GC21)&gt;0,SUM(FY21,GC21),"")</f>
        <v/>
      </c>
      <c r="GL21" s="78" t="str">
        <f>IF(SUM(FX21:FY21,GA21:GC21,GE21)-SUM(FZ21,GD21)&gt;0,SUM(FX21:FY21,GA21:GC21,GE21)-SUM(FZ21,GD21),"")</f>
        <v/>
      </c>
      <c r="GM21" s="78" t="str">
        <f>IF(SUM(GG21,GL21)&gt;0,SUM(GG21,GL21),"")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>IF(SUM(GO21,GS21)&gt;0,SUM(GO21,GS21),"")</f>
        <v/>
      </c>
      <c r="HI21" s="19" t="str">
        <f>IF(SUM(GN21:GO21,GQ21:GS21,GU21)-GP21-GT21&gt;0,SUM(GN21:GO21,GQ21:GS21,GU21)-GP21-GT21,"")</f>
        <v/>
      </c>
      <c r="HJ21" s="19" t="str">
        <f>IF(SUM(GV21:GW21,GY21)-GX21&gt;0,SUM(GV21:GW21,GY21)-GX21,"")</f>
        <v/>
      </c>
      <c r="HK21" s="19" t="str">
        <f>IF(SUM(GO21,GS21,GW21)&gt;0,SUM(GO21,GS21,GW21),"")</f>
        <v/>
      </c>
      <c r="HL21" s="19" t="str">
        <f>IF(SUM(HI21,HJ21)&gt;0,SUM(HI21,HJ21),"")</f>
        <v/>
      </c>
      <c r="HM21" s="19" t="str">
        <f>IF(SUM(HA21,HE21)&gt;0,SUM(HA21,HE21),"")</f>
        <v/>
      </c>
      <c r="HN21" s="19" t="str">
        <f>IF(SUM(GZ21:HA21,HC21:HE21,HG21)-SUM(HB21,HF21)&gt;0,SUM(GZ21:HA21,HC21:HE21,HG21)-SUM(HB21,HF21),"")</f>
        <v/>
      </c>
      <c r="HO21" s="19" t="str">
        <f>IF(SUM(HI21,HN21)&gt;0,SUM(HI21,HN21),"")</f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>IF(SUM(HQ21,HU21)&gt;0,SUM(HQ21,HU21),"")</f>
        <v/>
      </c>
      <c r="IK21" s="78" t="str">
        <f>IF(SUM(HP21:HQ21,HS21:HU21,HW21)-HR21-HV21&gt;0,SUM(HP21:HQ21,HS21:HU21,HW21)-HR21-HV21,"")</f>
        <v/>
      </c>
      <c r="IL21" s="78" t="str">
        <f>IF(SUM(HX21:HY21,IA21)-HZ21&gt;0,SUM(HX21:HY21,IA21)-HZ21,"")</f>
        <v/>
      </c>
      <c r="IM21" s="78" t="str">
        <f>IF(SUM(HQ21,HU21,HY21)&gt;0,SUM(HQ21,HU21,HY21),"")</f>
        <v/>
      </c>
      <c r="IN21" s="78" t="str">
        <f>IF(SUM(IK21,IL21)&gt;0,SUM(IK21,IL21),"")</f>
        <v/>
      </c>
      <c r="IO21" s="78" t="str">
        <f>IF(SUM(IC21,IG21)&gt;0,SUM(IC21,IG21),"")</f>
        <v/>
      </c>
      <c r="IP21" s="78" t="str">
        <f>IF(SUM(IB21:IC21,IE21:IG21,II21)-SUM(ID21,IH21)&gt;0,SUM(IB21:IC21,IE21:IG21,II21)-SUM(ID21,IH21),"")</f>
        <v/>
      </c>
      <c r="IQ21" s="78" t="str">
        <f>IF(SUM(IK21,IP21)&gt;0,SUM(IK21,IP21),"")</f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>IF(SUM(IS21,IW21)&gt;0,SUM(IS21,IW21),"")</f>
        <v/>
      </c>
      <c r="JM21" s="19" t="str">
        <f>IF(SUM(IR21:IS21,IU21:IW21,IY21)-IT21-IX21&gt;0,SUM(IR21:IS21,IU21:IW21,IY21)-IT21-IX21,"")</f>
        <v/>
      </c>
      <c r="JN21" s="19" t="str">
        <f>IF(SUM(IZ21:JA21,JC21)-JB21&gt;0,SUM(IZ21:JA21,JC21)-JB21,"")</f>
        <v/>
      </c>
      <c r="JO21" s="19" t="str">
        <f>IF(SUM(IS21,IW21,JA21)&gt;0,SUM(IS21,IW21,JA21),"")</f>
        <v/>
      </c>
      <c r="JP21" s="19" t="str">
        <f>IF(SUM(JM21,JN21)&gt;0,SUM(JM21,JN21),"")</f>
        <v/>
      </c>
      <c r="JQ21" s="19" t="str">
        <f>IF(SUM(JE21,JI21)&gt;0,SUM(JE21,JI21),"")</f>
        <v/>
      </c>
      <c r="JR21" s="19" t="str">
        <f>IF(SUM(JD21:JE21,JG21:JI21,JK21)-SUM(JF21,JJ21)&gt;0,SUM(JD21:JE21,JG21:JI21,JK21)-SUM(JF21,JJ21),"")</f>
        <v/>
      </c>
      <c r="JS21" s="19" t="str">
        <f>IF(SUM(JM21,JR21)&gt;0,SUM(JM21,JR21),"")</f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>IF(SUM(JU21,JY21)&gt;0,SUM(JU21,JY21),"")</f>
        <v/>
      </c>
      <c r="KO21" s="78" t="str">
        <f>IF(SUM(JT21:JU21,JW21:JY21,KA21)-JV21-JZ21&gt;0,SUM(JT21:JU21,JW21:JY21,KA21)-JV21-JZ21,"")</f>
        <v/>
      </c>
      <c r="KP21" s="78" t="str">
        <f>IF(SUM(KB21:KC21,KE21)-KD21&gt;0,SUM(KB21:KC21,KE21)-KD21,"")</f>
        <v/>
      </c>
      <c r="KQ21" s="78" t="str">
        <f>IF(SUM(JU21,JY21,KC21)&gt;0,SUM(JU21,JY21,KC21),"")</f>
        <v/>
      </c>
      <c r="KR21" s="78" t="str">
        <f>IF(SUM(KO21,KP21)&gt;0,SUM(KO21,KP21),"")</f>
        <v/>
      </c>
      <c r="KS21" s="78" t="str">
        <f>IF(SUM(KG21,KK21)&gt;0,SUM(KG21,KK21),"")</f>
        <v/>
      </c>
      <c r="KT21" s="78" t="str">
        <f>IF(SUM(KF21:KG21,KI21:KK21,KM21)-SUM(KH21,KL21)&gt;0,SUM(KF21:KG21,KI21:KK21,KM21)-SUM(KH21,KL21),"")</f>
        <v/>
      </c>
      <c r="KU21" s="78" t="str">
        <f>IF(SUM(KO21,KT21)&gt;0,SUM(KO21,KT21),"")</f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>IF(SUM(KW21,LA21)&gt;0,SUM(KW21,LA21),"")</f>
        <v/>
      </c>
      <c r="LQ21" s="19" t="str">
        <f>IF(SUM(KV21:KW21,KY21:LA21,LC21)-KX21-LB21&gt;0,SUM(KV21:KW21,KY21:LA21,LC21)-KX21-LB21,"")</f>
        <v/>
      </c>
      <c r="LR21" s="19" t="str">
        <f>IF(SUM(LD21:LE21,LG21)-LF21&gt;0,SUM(LD21:LE21,LG21)-LF21,"")</f>
        <v/>
      </c>
      <c r="LS21" s="19" t="str">
        <f>IF(SUM(KW21,LA21,LE21)&gt;0,SUM(KW21,LA21,LE21),"")</f>
        <v/>
      </c>
      <c r="LT21" s="19" t="str">
        <f>IF(SUM(LQ21,LR21)&gt;0,SUM(LQ21,LR21),"")</f>
        <v/>
      </c>
      <c r="LU21" s="19" t="str">
        <f>IF(SUM(LI21,LM21)&gt;0,SUM(LI21,LM21),"")</f>
        <v/>
      </c>
      <c r="LV21" s="19" t="str">
        <f>IF(SUM(LH21:LI21,LK21:LM21,LO21)-SUM(LJ21,LN21)&gt;0,SUM(LH21:LI21,LK21:LM21,LO21)-SUM(LJ21,LN21),"")</f>
        <v/>
      </c>
      <c r="LW21" s="19" t="str">
        <f>IF(SUM(LQ21,LV21)&gt;0,SUM(LQ21,LV21),"")</f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>IF(SUM(LY21,MC21)&gt;0,SUM(LY21,MC21),"")</f>
        <v/>
      </c>
      <c r="MS21" s="78" t="str">
        <f>IF(SUM(LX21:LY21,MA21:MC21,ME21)-LZ21-MD21&gt;0,SUM(LX21:LY21,MA21:MC21,ME21)-LZ21-MD21,"")</f>
        <v/>
      </c>
      <c r="MT21" s="78" t="str">
        <f>IF(SUM(MF21:MG21,MI21)-MH21&gt;0,SUM(MF21:MG21,MI21)-MH21,"")</f>
        <v/>
      </c>
      <c r="MU21" s="78" t="str">
        <f>IF(SUM(LY21,MC21,MG21)&gt;0,SUM(LY21,MC21,MG21),"")</f>
        <v/>
      </c>
      <c r="MV21" s="78" t="str">
        <f>IF(SUM(MS21,MT21)&gt;0,SUM(MS21,MT21),"")</f>
        <v/>
      </c>
      <c r="MW21" s="78" t="str">
        <f>IF(SUM(MK21,MO21)&gt;0,SUM(MK21,MO21),"")</f>
        <v/>
      </c>
      <c r="MX21" s="78" t="str">
        <f>IF(SUM(MJ21:MK21,MM21:MO21,MQ21)-SUM(ML21,MP21)&gt;0,SUM(MJ21:MK21,MM21:MO21,MQ21)-SUM(ML21,MP21),"")</f>
        <v/>
      </c>
      <c r="MY21" s="78" t="str">
        <f>IF(SUM(MS21,MX21)&gt;0,SUM(MS21,MX21),"")</f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>IF(SUM(NA21,NE21)&gt;0,SUM(NA21,NE21),"")</f>
        <v/>
      </c>
      <c r="NU21" s="19" t="str">
        <f>IF(SUM(MZ21:NA21,NC21:NE21,NG21)-NB21-NF21&gt;0,SUM(MZ21:NA21,NC21:NE21,NG21)-NB21-NF21,"")</f>
        <v/>
      </c>
      <c r="NV21" s="19" t="str">
        <f>IF(SUM(NH21:NI21,NK21)-NJ21&gt;0,SUM(NH21:NI21,NK21)-NJ21,"")</f>
        <v/>
      </c>
      <c r="NW21" s="19" t="str">
        <f>IF(SUM(NA21,NE21,NI21)&gt;0,SUM(NA21,NE21,NI21),"")</f>
        <v/>
      </c>
      <c r="NX21" s="19" t="str">
        <f>IF(SUM(NU21,NV21)&gt;0,SUM(NU21,NV21),"")</f>
        <v/>
      </c>
      <c r="NY21" s="19" t="str">
        <f>IF(SUM(NM21,NQ21)&gt;0,SUM(NM21,NQ21),"")</f>
        <v/>
      </c>
      <c r="NZ21" s="19" t="str">
        <f>IF(SUM(NL21:NM21,NO21:NQ21,NS21)-SUM(NN21,NR21)&gt;0,SUM(NL21:NM21,NO21:NQ21,NS21)-SUM(NN21,NR21),"")</f>
        <v/>
      </c>
      <c r="OA21" s="19" t="str">
        <f>IF(SUM(NU21,NZ21)&gt;0,SUM(NU21,NZ21),"")</f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>IF(SUM(OC21,OG21)&gt;0,SUM(OC21,OG21),"")</f>
        <v/>
      </c>
      <c r="OW21" s="78" t="str">
        <f>IF(SUM(OB21:OC21,OE21:OG21,OI21)-OD21-OH21&gt;0,SUM(OB21:OC21,OE21:OG21,OI21)-OD21-OH21,"")</f>
        <v/>
      </c>
      <c r="OX21" s="78" t="str">
        <f>IF(SUM(OJ21:OK21,OM21)-OL21&gt;0,SUM(OJ21:OK21,OM21)-OL21,"")</f>
        <v/>
      </c>
      <c r="OY21" s="78" t="str">
        <f>IF(SUM(OC21,OG21,OK21)&gt;0,SUM(OC21,OG21,OK21),"")</f>
        <v/>
      </c>
      <c r="OZ21" s="78" t="str">
        <f>IF(SUM(OW21,OX21)&gt;0,SUM(OW21,OX21),"")</f>
        <v/>
      </c>
      <c r="PA21" s="78" t="str">
        <f>IF(SUM(OO21,OS21)&gt;0,SUM(OO21,OS21),"")</f>
        <v/>
      </c>
      <c r="PB21" s="78" t="str">
        <f>IF(SUM(ON21:OO21,OQ21:OS21,OU21)-SUM(OP21,OT21)&gt;0,SUM(ON21:OO21,OQ21:OS21,OU21)-SUM(OP21,OT21),"")</f>
        <v/>
      </c>
      <c r="PC21" s="78" t="str">
        <f>IF(SUM(OW21,PB21)&gt;0,SUM(OW21,PB21),"")</f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>IF(SUM(PE21,PI21)&gt;0,SUM(PE21,PI21),"")</f>
        <v/>
      </c>
      <c r="PY21" s="19" t="str">
        <f>IF(SUM(PD21:PE21,PG21:PI21,PK21)-PF21-PJ21&gt;0,SUM(PD21:PE21,PG21:PI21,PK21)-PF21-PJ21,"")</f>
        <v/>
      </c>
      <c r="PZ21" s="19" t="str">
        <f>IF(SUM(PL21:PM21,PO21)-PN21&gt;0,SUM(PL21:PM21,PO21)-PN21,"")</f>
        <v/>
      </c>
      <c r="QA21" s="19" t="str">
        <f>IF(SUM(PE21,PI21,PM21)&gt;0,SUM(PE21,PI21,PM21),"")</f>
        <v/>
      </c>
      <c r="QB21" s="19" t="str">
        <f>IF(SUM(PY21,PZ21)&gt;0,SUM(PY21,PZ21),"")</f>
        <v/>
      </c>
      <c r="QC21" s="19" t="str">
        <f>IF(SUM(PQ21,PU21)&gt;0,SUM(PQ21,PU21),"")</f>
        <v/>
      </c>
      <c r="QD21" s="19" t="str">
        <f>IF(SUM(PP21:PQ21,PS21:PU21,PW21)-SUM(PR21,PV21)&gt;0,SUM(PP21:PQ21,PS21:PU21,PW21)-SUM(PR21,PV21),"")</f>
        <v/>
      </c>
      <c r="QE21" s="19" t="str">
        <f>IF(SUM(PY21,QD21)&gt;0,SUM(PY21,QD21),"")</f>
        <v/>
      </c>
      <c r="QF21" s="37">
        <f>IF($CV21="P",CB21,(CB21+AY21)/2)</f>
        <v>8.6</v>
      </c>
      <c r="QG21" s="37">
        <f>IF($CV21="P",CC21,(CC21+AZ21)/2)</f>
        <v>1.4</v>
      </c>
      <c r="QH21" s="37">
        <f>IF($CV21="P",CD21,(CD21+BA21)/2)</f>
        <v>0</v>
      </c>
      <c r="QI21" s="37">
        <f>IF($CV21="P",CE21,(CE21+BB21)/2)</f>
        <v>0</v>
      </c>
      <c r="QJ21" s="37">
        <f>IF($CV21="P",CF21,(CF21+BC21)/2)</f>
        <v>0</v>
      </c>
      <c r="QK21" s="37">
        <f>IF($CV21="P",CG21,(CG21+BD21)/2)</f>
        <v>0</v>
      </c>
      <c r="QL21" s="37">
        <f>IF($CV21="P",CH21,(CH21+BE21)/2)</f>
        <v>0</v>
      </c>
      <c r="QM21" s="37">
        <f>IF($CV21="P",CI21,(CI21+BF21)/2)</f>
        <v>0</v>
      </c>
      <c r="QN21" s="37">
        <f>IF($CV21="P",CJ21,(CJ21+BG21)/2)</f>
        <v>0</v>
      </c>
      <c r="QO21" s="37">
        <f>IF($CV21="P",CK21,(CK21+BH21)/2)</f>
        <v>0</v>
      </c>
      <c r="QP21" s="37">
        <f>IF($CV21="P",CL21,(CL21+BI21)/2)</f>
        <v>0</v>
      </c>
      <c r="QQ21" s="37">
        <f>IF($CV21="P",CM21,(CM21+BJ21)/2)</f>
        <v>0</v>
      </c>
      <c r="QR21" s="37">
        <f>IF($CV21="P",CN21,(CN21+BK21)/2)</f>
        <v>0</v>
      </c>
      <c r="QS21" s="37">
        <f>IF($CV21="P",CO21,(CO21+BL21)/2)</f>
        <v>0</v>
      </c>
      <c r="QT21" s="37">
        <f>IF($CV21="P",CP21,(CP21+BM21)/2)</f>
        <v>0</v>
      </c>
      <c r="QU21" s="37">
        <f>IF($CV21="P",CQ21,(CQ21+BN21)/2)</f>
        <v>0</v>
      </c>
      <c r="QV21" s="37">
        <f>IF($CV21="P",CR21,(CR21+BO21)/2)</f>
        <v>0</v>
      </c>
      <c r="QW21" s="37">
        <f>IF($CV21="P",CS21,(CS21+BP21)/2)</f>
        <v>0</v>
      </c>
      <c r="QX21" s="37">
        <f>IF($CV21="P",CT21,(CT21+BQ21)/2)</f>
        <v>0</v>
      </c>
      <c r="QY21" s="37">
        <f>IF($CV21="P",CU21,(CU21+BR21)/2)</f>
        <v>0</v>
      </c>
      <c r="QZ21" s="44" t="s">
        <v>46</v>
      </c>
      <c r="RA21" s="78">
        <f>IF(SUM(QG21,QK21)&gt;0,SUM(QG21,QK21),"")</f>
        <v>1.4</v>
      </c>
      <c r="RB21" s="78">
        <f>IF(SUM(QF21:QG21,QI21:QK21,QM21)-QH21-QL21&gt;0,SUM(QF21:QG21,QI21:QK21,QM21)-QH21-QL21,"")</f>
        <v>10</v>
      </c>
      <c r="RC21" s="78" t="str">
        <f>IF(SUM(QN21:QO21,QQ21)-QP21&gt;0,SUM(QN21:QO21,QQ21)-QP21,"")</f>
        <v/>
      </c>
      <c r="RD21" s="78">
        <f>IF(SUM(QG21,QK21,QO21)&gt;0,SUM(QG21,QK21,QO21),"")</f>
        <v>1.4</v>
      </c>
      <c r="RE21" s="78">
        <f>IF(SUM(RB21,RC21)&gt;0,SUM(RB21,RC21),"")</f>
        <v>10</v>
      </c>
      <c r="RF21" s="78" t="str">
        <f>IF(SUM(QS21,QW21)&gt;0,SUM(QS21,QW21),"")</f>
        <v/>
      </c>
      <c r="RG21" s="78" t="str">
        <f>IF(SUM(QR21:QS21,QU21:QW21,QY21)-SUM(QT21,QX21)&gt;0,SUM(QR21:QS21,QU21:QW21,QY21)-SUM(QT21,QX21),"")</f>
        <v/>
      </c>
      <c r="RH21" s="78">
        <f>IF(SUM(RB21,RG21)&gt;0,SUM(RB21,RG21),"")</f>
        <v>10</v>
      </c>
    </row>
    <row r="22" spans="1:476" x14ac:dyDescent="0.2">
      <c r="A22" s="5" t="str">
        <f>IF(AND(F22="P",G22="P"),SUMPRODUCT((F$4:F$29="P")*(G$4:G$29="P")*(E$4:E$29&gt;E22))+1,IF(G22="P",SUMPRODUCT((F$4:F$29="")*(G$4:G$29="P")*(E$4:E$29&gt;E22))+1+SUMPRODUCT((F$4:F$29="P")*(G$4:G$29="P")),""))</f>
        <v/>
      </c>
      <c r="B22" s="77" t="s">
        <v>85</v>
      </c>
      <c r="C22" s="5" t="s">
        <v>5</v>
      </c>
      <c r="D22" s="5">
        <v>2004</v>
      </c>
      <c r="E22" s="15">
        <f>SUM(I22:S22)+SUM(I22:O22)*0.0000001+SUM(I22)*0.0000000000001</f>
        <v>122.50001225000415</v>
      </c>
      <c r="F22" s="3" t="str">
        <f>IF(OR(AND(AQ22&gt;=AX$31,AR22&gt;=AX$35,AQ22&lt;&gt;"",AP22=""),AND(AV22&gt;=AX$31,AW22&gt;=AX$35,AV22&lt;&gt;"",AP22=""),AND(BT22&gt;=CA$31,BU22&gt;=CA$35,BT22&lt;&gt;"",BS22=""),AND(BY22&gt;=CA$31,BZ22&gt;=CA$35,BY22&lt;&gt;"",BS22=""),AND(CW22&gt;=DD$31,CX22&gt;=DD$35,CW22&lt;&gt;"",CV22=""),AND(DB22&gt;=DD$31,DC22&gt;=DD$35,DB22&lt;&gt;""),AND(EB22&gt;=EI$31,EC22&gt;=EI$35,EB22&lt;&gt;""),AND(EG22&gt;=EI$31,EH22&gt;=EI$35,EG22&lt;&gt;""),AND(FD22&gt;=FK$31,FE22&gt;=FK$35,FD22&lt;&gt;""),AND(FI22&gt;=FK$31,FJ22&gt;=FK$35,FI22&lt;&gt;""),AND(GF22&gt;=GM$31,GG22&gt;=GM$35,GF22&lt;&gt;""),AND(GK22&gt;=GM$31,GL22&gt;=GM$35,GK22&lt;&gt;""),AND(HH22&gt;=HO$31,HI22&gt;=HO$35,HH22&lt;&gt;""),AND(HM22&gt;=HO$31,HN22&gt;=HO$35,HM22&lt;&gt;""),AND(IJ22&gt;=IQ$31,IK22&gt;=IQ$35,IJ22&lt;&gt;""),AND(IO22&gt;=IQ$31,IP22&gt;=IQ$35,IO22&lt;&gt;""),AND(JL22&gt;=JS$31,JM22&gt;=JS$35,JL22&lt;&gt;""),AND(JQ22&gt;=JS$31,JR22&gt;=JS$35,JQ22&lt;&gt;""),AND(KN22&gt;=KU$31,KO22&gt;=KU$35,KN22&lt;&gt;""),AND(KS22&gt;=KU$31,KT22&gt;=KU$35,KS22&lt;&gt;""),AND(LP22&gt;=LW$31,LQ22&gt;=LW$35,LP22&lt;&gt;""),AND(LU22&gt;=LW$31,LV22&gt;=LW$35,LU22&lt;&gt;""),AND(MR22&gt;=MY$31,MS22&gt;=MY$35,MR22&lt;&gt;""),AND(MW22&gt;=MY$31,MX22&gt;=MY$35,MW22&lt;&gt;""),AND(NT22&gt;=OA$31,NU22&gt;=OA$35,NT22&lt;&gt;""),AND(NY22&gt;=OA$31,NZ22&gt;=OA$35,NY22&lt;&gt;""),AND(OV22&gt;=PC$31,OW22&gt;=PC$35,OV22&lt;&gt;""),AND(PA22&gt;=PC$31,PB22&gt;=PC$35,PA22&lt;&gt;""),AND(PX22&gt;=QE$31,PY22&gt;=QE$35,PX22&lt;&gt;""),AND(QC22&gt;=QE$31,QD22&gt;=QE$35,QC22&lt;&gt;"")),"P","")</f>
        <v/>
      </c>
      <c r="G22" s="3" t="str">
        <f>IF(OR(AND(AR22&gt;=AX$35,AR22&lt;&gt;"",AP22=""),AND(AW22&gt;=AX$35,AW22&lt;&gt;"",AP22=""),AND(BU22&gt;=CA$35,BU22&lt;&gt;"",BS22=""),AND(BZ22&gt;=CA$35,BZ22&lt;&gt;"",BS22=""),AND(CX22&gt;=DD$35,CX22&lt;&gt;"",CV22=""),AND(DC22&gt;=DD$35,DC22&lt;&gt;"",CV22=""),AND(EC22&gt;=EI$35,EC22&lt;&gt;""),AND(EH22&gt;=EI$35,EH22&lt;&gt;""),AND(FE22&gt;=FK$35,FE22&lt;&gt;""),AND(FJ22&gt;=FK$35,FJ22&lt;&gt;""),AND(GG22&gt;=GM$35,GG22&lt;&gt;""),AND(GL22&gt;=GM$35,GL22&lt;&gt;""),AND(HI22&gt;=HO$35,HI22&lt;&gt;""),AND(HN22&gt;=HO$35,HN22&lt;&gt;""),AND(IK22&gt;=IQ$35,IK22&lt;&gt;""),AND(IP22&gt;=IQ$35,IP22&lt;&gt;""),AND(JM22&gt;=JS$35,JM22&lt;&gt;""),AND(JR22&gt;=JS$35,JR22&lt;&gt;""),AND(KO22&gt;=KU$35,KO22&lt;&gt;""),AND(KT22&gt;=KU$35,KT22&lt;&gt;""),AND(LQ22&gt;=LW$35,LQ22&lt;&gt;""),AND(LV22&gt;=LW$35,LV22&lt;&gt;""),AND(MS22&gt;=MY$35,MS22&lt;&gt;""),AND(MX22&gt;=MY$35,MX22&lt;&gt;""),AND(NU22&gt;=OA$35,NU22&lt;&gt;""),AND(NZ22&gt;=OA$35,NZ22&lt;&gt;""),AND(OW22&gt;=PC$35,OW22&lt;&gt;""),AND(PB22&gt;=PC$35,PB22&lt;&gt;""),AND(PY22&gt;=QE$35,PY22&lt;&gt;""),AND(QD22&gt;=QE$35,QD22&lt;&gt;"")),"P","")</f>
        <v/>
      </c>
      <c r="H22" s="66" t="str">
        <f>IF(AND(G22="P",F22=""),"No DD",IF(OR(AND(AT22&gt;=AX$34,AU22&gt;=AX$38,AT22&lt;&gt;"",AP22=""),AND(BW22&gt;=CA$34,BX22&gt;=CA$38,BW22&lt;&gt;"",BS22=""),AND(CZ22&gt;=DD$34,DA22&gt;=DD$38,CZ22&lt;&gt;"",CV22=""),AND(EE22&gt;=EI$34,EF22&gt;=EI$38,EE22&lt;&gt;""),AND(FG22&gt;=FK$34,FH22&gt;=FK$38,FG22&lt;&gt;""),AND(GI22&gt;=GM$34,GJ22&gt;=GM$38,GI22&lt;&gt;""),AND(HK22&gt;=HO$34,HL22&gt;=HO$38,HK22&lt;&gt;""),AND(IM22&gt;=IQ$34,IN22&gt;=IQ$38,IM22&lt;&gt;""),AND(JO22&gt;=JS$34,JP22&gt;=JS$38,JO22&lt;&gt;""),AND(KQ22&gt;=KU$34,KR22&gt;=KU$38,KQ22&lt;&gt;""),AND(LS22&gt;=LW$34,LT22&gt;=LW$38,LS22&lt;&gt;""),AND(MU22&gt;=MY$34,MV22&gt;=MY$38,MU22&lt;&gt;""),AND(NW22&gt;=OA$34,NX22&gt;=OA$38,NW22&lt;&gt;""),AND(OY22&gt;=PC$34,OZ22&gt;=PC$38,OY22&lt;&gt;""),AND(QA22&gt;=QE$34,QB22&gt;=QE$38,QA22&lt;&gt;"")),"Merit",IF(OR(AND(AT22&gt;=AX$33,AU22&gt;=AX$37,AT22&lt;&gt;"",AP22=""),AND(BW22&gt;=CA$33,BX22&gt;=CA$37,BW22&lt;&gt;"",BS22=""),AND(CZ22&gt;=DD$33,DA22&gt;=DD$37,CZ22&lt;&gt;"",CV22=""),AND(EE22&gt;=EI$33,EF22&gt;=EI$37,EE22&lt;&gt;""),AND(FG22&gt;=FK$33,FH22&gt;=FK$37,FG22&lt;&gt;""),AND(GI22&gt;=GM$33,GJ22&gt;=GM$37,GI22&lt;&gt;""),AND(HK22&gt;=HO$33,HL22&gt;=HO$37,HK22&lt;&gt;""),AND(IM22&gt;=IQ$33,IN22&gt;=IQ$37,IM22&lt;&gt;""),AND(JO22&gt;=JS$33,JP22&gt;=JS$37,JO22&lt;&gt;""),AND(KQ22&gt;=KU$33,KR22&gt;=KU$37,KQ22&lt;&gt;""),AND(LS22&gt;=LW$33,LT22&gt;=LW$37,LS22&lt;&gt;""),AND(MU22&gt;=MY$33,MV22&gt;=MY$37,MU22&lt;&gt;""),AND(NW22&gt;=OA$33,NX22&gt;=OA$37,NW22&lt;&gt;""),AND(OY22&gt;=PC$33,OZ22&gt;=PC$37,OY22&lt;&gt;""),AND(QA22&gt;=QE$33,QB22&gt;=QE$37,QA22&lt;&gt;"")),"Excellence",IF(F22="P","National Team",""))))</f>
        <v/>
      </c>
      <c r="I22" s="14">
        <f>IF(COUNT(AR22,BU22,CX22)&gt;0,LARGE((AR22,BU22,CX22),1),0)</f>
        <v>41.5</v>
      </c>
      <c r="J22" s="14" t="str">
        <f>IF(I22=0,"",IF(I22=CX22,$CB$1,IF(I22=BU22,$AY$1,IF(I22=AR22,$V$1,""))))</f>
        <v>2022 Nationals</v>
      </c>
      <c r="K22" s="14">
        <f>IF(COUNT(AR22,BU22,CX22)&gt;1,LARGE((AR22,BU22,CX22),2),0)</f>
        <v>39.4</v>
      </c>
      <c r="L22" s="14" t="str">
        <f>IF(K22=0,"",IF(K22=CX22,$CB$1,IF(K22=BU22,$AY$1,IF(K22=AR22,$V$1,""))))</f>
        <v>2022 Elite Canada</v>
      </c>
      <c r="M22" s="14">
        <f>IF(COUNT(AS22,BV22,CY22)&gt;0,LARGE((AS22,BV22,CY22),1),0)</f>
        <v>21.2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20.399999999999999</v>
      </c>
      <c r="P22" s="14" t="str">
        <f>IF(O22=0,"",IF(O22=CY22,$CB$1,IF(O22=BV22,$AY$1,IF(O22=AS22,$V$1,""))))</f>
        <v>2022 Nationals</v>
      </c>
      <c r="Q22" s="14">
        <f>IF(MAX(AW22,BZ22,DC22)&gt;0,MAX(AW22,BZ22,DC22),0)</f>
        <v>0</v>
      </c>
      <c r="R22" s="14" t="str">
        <f>IF(Q22=0,"",IF(Q22=DC22,$CB$1,IF(Q22=BZ22,$AY$1,IF(Q22=AW22,$V$1,""))))</f>
        <v/>
      </c>
      <c r="S22" s="14" t="str">
        <f>IF(MAX(DE22:DG22)&gt;0,MAX(DE22:DG22),"")</f>
        <v/>
      </c>
      <c r="T22" s="19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6">
        <v>17</v>
      </c>
      <c r="W22" s="26">
        <v>0.5</v>
      </c>
      <c r="X22" s="26">
        <v>0</v>
      </c>
      <c r="Y22" s="26">
        <v>0</v>
      </c>
      <c r="Z22" s="26">
        <v>18.8</v>
      </c>
      <c r="AA22" s="26">
        <v>3.1</v>
      </c>
      <c r="AB22" s="26">
        <v>0</v>
      </c>
      <c r="AC22" s="26">
        <v>0</v>
      </c>
      <c r="AD22" s="26">
        <v>18.8</v>
      </c>
      <c r="AE22" s="26">
        <v>2.7</v>
      </c>
      <c r="AF22" s="26">
        <v>0.3</v>
      </c>
      <c r="AG22" s="26">
        <v>0</v>
      </c>
      <c r="AH22" s="26"/>
      <c r="AI22" s="26"/>
      <c r="AJ22" s="26"/>
      <c r="AK22" s="26"/>
      <c r="AL22" s="26"/>
      <c r="AM22" s="26"/>
      <c r="AN22" s="26"/>
      <c r="AO22" s="26"/>
      <c r="AP22" s="44"/>
      <c r="AQ22" s="78">
        <f>IF(SUM(W22,AA22)&gt;0,SUM(W22,AA22),"")</f>
        <v>3.6</v>
      </c>
      <c r="AR22" s="78">
        <f>IF(SUM(V22:W22,Y22:AA22,AC22)-X22-AB22&gt;0,SUM(V22:W22,Y22:AA22,AC22)-X22-AB22,"")</f>
        <v>39.4</v>
      </c>
      <c r="AS22" s="78">
        <f>IF(SUM(AD22:AE22,AG22)-AF22&gt;0,SUM(AD22:AE22,AG22)-AF22,"")</f>
        <v>21.2</v>
      </c>
      <c r="AT22" s="78">
        <f>IF(SUM(W22,AA22,AE22)&gt;0,SUM(W22,AA22,AE22),"")</f>
        <v>6.3000000000000007</v>
      </c>
      <c r="AU22" s="78">
        <f>IF(SUM(AR22,AS22)&gt;0,SUM(AR22,AS22),"")</f>
        <v>60.599999999999994</v>
      </c>
      <c r="AV22" s="78" t="str">
        <f>IF(SUM(AI22,AM22)&gt;0,SUM(AI22,AM22),"")</f>
        <v/>
      </c>
      <c r="AW22" s="78" t="str">
        <f>IF(SUM(AH22:AI22,AK22:AM22,AO22)-SUM(AJ22,AN22)&gt;0,SUM(AH22:AI22,AK22:AM22,AO22)-SUM(AJ22,AN22),"")</f>
        <v/>
      </c>
      <c r="AX22" s="78">
        <f>IF(SUM(AR22,AW22)&gt;0,SUM(AR22,AW22),"")</f>
        <v>39.4</v>
      </c>
      <c r="AY22" s="25">
        <v>18.8</v>
      </c>
      <c r="AZ22" s="25">
        <v>3.1</v>
      </c>
      <c r="BA22" s="25">
        <v>0</v>
      </c>
      <c r="BB22" s="25">
        <v>0</v>
      </c>
      <c r="BC22" s="25">
        <v>17.2</v>
      </c>
      <c r="BD22" s="25">
        <v>2.4</v>
      </c>
      <c r="BE22" s="25">
        <v>0</v>
      </c>
      <c r="BF22" s="25">
        <v>0</v>
      </c>
      <c r="BG22" s="25">
        <v>18.2</v>
      </c>
      <c r="BH22" s="25">
        <v>2.9</v>
      </c>
      <c r="BI22" s="25">
        <v>0.7</v>
      </c>
      <c r="BJ22" s="25">
        <v>0</v>
      </c>
      <c r="BK22" s="25"/>
      <c r="BL22" s="25"/>
      <c r="BM22" s="25"/>
      <c r="BN22" s="25"/>
      <c r="BO22" s="25"/>
      <c r="BP22" s="25"/>
      <c r="BQ22" s="25"/>
      <c r="BR22" s="25"/>
      <c r="BS22" s="45"/>
      <c r="BT22" s="19">
        <f>IF(SUM(AZ22,BD22)&gt;0,SUM(AZ22,BD22),"")</f>
        <v>5.5</v>
      </c>
      <c r="BU22" s="19">
        <f>IF(SUM(AY22:AZ22,BB22:BD22,BF22)-BA22-BE22&gt;0,SUM(AY22:AZ22,BB22:BD22,BF22)-BA22-BE22,"")</f>
        <v>41.5</v>
      </c>
      <c r="BV22" s="19">
        <f>IF(SUM(BG22:BH22,BJ22)-BI22&gt;0,SUM(BG22:BH22,BJ22)-BI22,"")</f>
        <v>20.399999999999999</v>
      </c>
      <c r="BW22" s="19">
        <f>IF(SUM(AZ22,BD22,BH22)&gt;0,SUM(AZ22,BD22,BH22),"")</f>
        <v>8.4</v>
      </c>
      <c r="BX22" s="19">
        <f>IF(SUM(BU22,BV22)&gt;0,SUM(BU22,BV22),"")</f>
        <v>61.9</v>
      </c>
      <c r="BY22" s="19" t="str">
        <f>IF(SUM(BL22,BP22)&gt;0,SUM(BL22,BP22),"")</f>
        <v/>
      </c>
      <c r="BZ22" s="19" t="str">
        <f>IF(SUM(BK22:BL22,BN22:BP22,BR22)-SUM(BM22,BQ22)&gt;0,SUM(BK22:BL22,BN22:BP22,BR22)-SUM(BM22,BQ22),"")</f>
        <v/>
      </c>
      <c r="CA22" s="19">
        <f>IF(SUM(BU22,BZ22)&gt;0,SUM(BU22,BZ22),"")</f>
        <v>41.5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>IF(SUM(CC22,CG22)&gt;0,SUM(CC22,CG22),"")</f>
        <v/>
      </c>
      <c r="CX22" s="78" t="str">
        <f>IF(SUM(CB22:CC22,CE22:CG22,CI22)-CD22-CH22&gt;0,SUM(CB22:CC22,CE22:CG22,CI22)-CD22-CH22,"")</f>
        <v/>
      </c>
      <c r="CY22" s="78" t="str">
        <f>IF(SUM(CJ22:CK22,CM22)-CL22&gt;0,SUM(CJ22:CK22,CM22)-CL22,"")</f>
        <v/>
      </c>
      <c r="CZ22" s="78" t="str">
        <f>IF(SUM(CC22,CG22,CK22)&gt;0,SUM(CC22,CG22,CK22),"")</f>
        <v/>
      </c>
      <c r="DA22" s="78" t="str">
        <f>IF(SUM(CX22,CY22)&gt;0,SUM(CX22,CY22),"")</f>
        <v/>
      </c>
      <c r="DB22" s="78" t="str">
        <f>IF(SUM(CO22,CS22)&gt;0,SUM(CO22,CS22),"")</f>
        <v/>
      </c>
      <c r="DC22" s="78" t="str">
        <f>IF(SUM(CN22:CO22,CQ22:CS22,CU22)-SUM(CP22,CT22)&gt;0,SUM(CN22:CO22,CQ22:CS22,CU22)-SUM(CP22,CT22),"")</f>
        <v/>
      </c>
      <c r="DD22" s="78" t="str">
        <f>IF(SUM(CX22,DC22)&gt;0,SUM(CX22,DC22),"")</f>
        <v/>
      </c>
      <c r="DE22" s="79" t="str">
        <f>IF(K22&gt;=0.001,IF(MAX(EC22,FE22,GG22,HI22,IK22,JM22,KO22,LQ22,MS22,NU22,OW22,PY22)-IF(K22="",0,K22)&gt;0.001,MAX(EC22,FE22,GG22,HI22,IK22,JM22,KO22,LQ22,MS22,NU22,OW22,PY22)-IF(K22="",0,K22),""),"")</f>
        <v/>
      </c>
      <c r="DF22" s="79" t="str">
        <f>IF(O22&gt;=0.001,IF(MAX(ED22,FF22,GH22,HJ22,IL22,JN22,KP22,LR22,MT22,NV22,OX22,PZ22)-IF(O22="",0,O22)&gt;0.001,MAX(ED22,FF22,GH22,HJ22,IL22,JN22,KP22,LR22,MT22,NV22,OX22,PZ22)-IF(O22="",0,O22),""),"")</f>
        <v/>
      </c>
      <c r="DG22" s="79" t="str">
        <f>IF(Q22&gt;=0.001,IF(MAX(EH22,FJ22,GL22,HN22,IP22,JR22,KT22,LV22,MX22,NZ22,PB22,QD22)-IF(Q22="",0,Q22)&gt;0.001,MAX(EH22,FJ22,GL22,HN22,IP22,JR22,KT22,LV22,MX22,NZ22,PB22,QD22)-IF(Q22="",0,Q22),""),"")</f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>IF(SUM(DI22,DM22)&gt;0,SUM(DI22,DM22),"")</f>
        <v/>
      </c>
      <c r="EC22" s="78" t="str">
        <f>IF(SUM(DH22:DI22,DK22:DM22,DO22)-DJ22-DN22&gt;0,SUM(DH22:DI22,DK22:DM22,DO22)-DJ22-DN22,"")</f>
        <v/>
      </c>
      <c r="ED22" s="78" t="str">
        <f>IF(SUM(DP22:DQ22,DS22)-DR22&gt;0,SUM(DP22:DQ22,DS22)-DR22,"")</f>
        <v/>
      </c>
      <c r="EE22" s="78" t="str">
        <f>IF(SUM(DI22,DM22,DQ22)&gt;0,SUM(DI22,DM22,DQ22),"")</f>
        <v/>
      </c>
      <c r="EF22" s="78" t="str">
        <f>IF(SUM(EC22,ED22)&gt;0,SUM(EC22,ED22),"")</f>
        <v/>
      </c>
      <c r="EG22" s="78" t="str">
        <f>IF(SUM(DU22,DY22)&gt;0,SUM(DU22,DY22),"")</f>
        <v/>
      </c>
      <c r="EH22" s="78" t="str">
        <f>IF(SUM(DT22:DU22,DW22:DY22,EA22)-SUM(DV22,DZ22)&gt;0,SUM(DT22:DU22,DW22:DY22,EA22)-SUM(DV22,DZ22),"")</f>
        <v/>
      </c>
      <c r="EI22" s="78" t="str">
        <f>IF(SUM(EC22,EH22)&gt;0,SUM(EC22,EH22),"")</f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>IF(SUM(EK22,EO22)&gt;0,SUM(EK22,EO22),"")</f>
        <v/>
      </c>
      <c r="FE22" s="19" t="str">
        <f>IF(SUM(EJ22:EK22,EM22:EO22,EQ22)-EL22-EP22&gt;0,SUM(EJ22:EK22,EM22:EO22,EQ22)-EL22-EP22,"")</f>
        <v/>
      </c>
      <c r="FF22" s="19" t="str">
        <f>IF(SUM(ER22:ES22,EU22)-ET22&gt;0,SUM(ER22:ES22,EU22)-ET22,"")</f>
        <v/>
      </c>
      <c r="FG22" s="19" t="str">
        <f>IF(SUM(EK22,EO22,ES22)&gt;0,SUM(EK22,EO22,ES22),"")</f>
        <v/>
      </c>
      <c r="FH22" s="19" t="str">
        <f>IF(SUM(FE22,FF22)&gt;0,SUM(FE22,FF22),"")</f>
        <v/>
      </c>
      <c r="FI22" s="19" t="str">
        <f>IF(SUM(EW22,FA22)&gt;0,SUM(EW22,FA22),"")</f>
        <v/>
      </c>
      <c r="FJ22" s="19" t="str">
        <f>IF(SUM(EV22:EW22,EY22:FA22,FC22)-SUM(EX22,FB22)&gt;0,SUM(EV22:EW22,EY22:FA22,FC22)-SUM(EX22,FB22),"")</f>
        <v/>
      </c>
      <c r="FK22" s="19" t="str">
        <f>IF(SUM(FE22,FJ22)&gt;0,SUM(FE22,FJ22),"")</f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>IF(SUM(FM22,FQ22)&gt;0,SUM(FM22,FQ22),"")</f>
        <v/>
      </c>
      <c r="GG22" s="78" t="str">
        <f>IF(SUM(FL22:FM22,FO22:FQ22,FS22)-FN22-FR22&gt;0,SUM(FL22:FM22,FO22:FQ22,FS22)-FN22-FR22,"")</f>
        <v/>
      </c>
      <c r="GH22" s="78" t="str">
        <f>IF(SUM(FT22:FU22,FW22)-FV22&gt;0,SUM(FT22:FU22,FW22)-FV22,"")</f>
        <v/>
      </c>
      <c r="GI22" s="78" t="str">
        <f>IF(SUM(FM22,FQ22,FU22)&gt;0,SUM(FM22,FQ22,FU22),"")</f>
        <v/>
      </c>
      <c r="GJ22" s="78" t="str">
        <f>IF(SUM(GG22,GH22)&gt;0,SUM(GG22,GH22),"")</f>
        <v/>
      </c>
      <c r="GK22" s="78" t="str">
        <f>IF(SUM(FY22,GC22)&gt;0,SUM(FY22,GC22),"")</f>
        <v/>
      </c>
      <c r="GL22" s="78" t="str">
        <f>IF(SUM(FX22:FY22,GA22:GC22,GE22)-SUM(FZ22,GD22)&gt;0,SUM(FX22:FY22,GA22:GC22,GE22)-SUM(FZ22,GD22),"")</f>
        <v/>
      </c>
      <c r="GM22" s="78" t="str">
        <f>IF(SUM(GG22,GL22)&gt;0,SUM(GG22,GL22),"")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>IF(SUM(GO22,GS22)&gt;0,SUM(GO22,GS22),"")</f>
        <v/>
      </c>
      <c r="HI22" s="19" t="str">
        <f>IF(SUM(GN22:GO22,GQ22:GS22,GU22)-GP22-GT22&gt;0,SUM(GN22:GO22,GQ22:GS22,GU22)-GP22-GT22,"")</f>
        <v/>
      </c>
      <c r="HJ22" s="19" t="str">
        <f>IF(SUM(GV22:GW22,GY22)-GX22&gt;0,SUM(GV22:GW22,GY22)-GX22,"")</f>
        <v/>
      </c>
      <c r="HK22" s="19" t="str">
        <f>IF(SUM(GO22,GS22,GW22)&gt;0,SUM(GO22,GS22,GW22),"")</f>
        <v/>
      </c>
      <c r="HL22" s="19" t="str">
        <f>IF(SUM(HI22,HJ22)&gt;0,SUM(HI22,HJ22),"")</f>
        <v/>
      </c>
      <c r="HM22" s="19" t="str">
        <f>IF(SUM(HA22,HE22)&gt;0,SUM(HA22,HE22),"")</f>
        <v/>
      </c>
      <c r="HN22" s="19" t="str">
        <f>IF(SUM(GZ22:HA22,HC22:HE22,HG22)-SUM(HB22,HF22)&gt;0,SUM(GZ22:HA22,HC22:HE22,HG22)-SUM(HB22,HF22),"")</f>
        <v/>
      </c>
      <c r="HO22" s="19" t="str">
        <f>IF(SUM(HI22,HN22)&gt;0,SUM(HI22,HN22),"")</f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>IF(SUM(HQ22,HU22)&gt;0,SUM(HQ22,HU22),"")</f>
        <v/>
      </c>
      <c r="IK22" s="78" t="str">
        <f>IF(SUM(HP22:HQ22,HS22:HU22,HW22)-HR22-HV22&gt;0,SUM(HP22:HQ22,HS22:HU22,HW22)-HR22-HV22,"")</f>
        <v/>
      </c>
      <c r="IL22" s="78" t="str">
        <f>IF(SUM(HX22:HY22,IA22)-HZ22&gt;0,SUM(HX22:HY22,IA22)-HZ22,"")</f>
        <v/>
      </c>
      <c r="IM22" s="78" t="str">
        <f>IF(SUM(HQ22,HU22,HY22)&gt;0,SUM(HQ22,HU22,HY22),"")</f>
        <v/>
      </c>
      <c r="IN22" s="78" t="str">
        <f>IF(SUM(IK22,IL22)&gt;0,SUM(IK22,IL22),"")</f>
        <v/>
      </c>
      <c r="IO22" s="78" t="str">
        <f>IF(SUM(IC22,IG22)&gt;0,SUM(IC22,IG22),"")</f>
        <v/>
      </c>
      <c r="IP22" s="78" t="str">
        <f>IF(SUM(IB22:IC22,IE22:IG22,II22)-SUM(ID22,IH22)&gt;0,SUM(IB22:IC22,IE22:IG22,II22)-SUM(ID22,IH22),"")</f>
        <v/>
      </c>
      <c r="IQ22" s="78" t="str">
        <f>IF(SUM(IK22,IP22)&gt;0,SUM(IK22,IP22),"")</f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>IF(SUM(IS22,IW22)&gt;0,SUM(IS22,IW22),"")</f>
        <v/>
      </c>
      <c r="JM22" s="19" t="str">
        <f>IF(SUM(IR22:IS22,IU22:IW22,IY22)-IT22-IX22&gt;0,SUM(IR22:IS22,IU22:IW22,IY22)-IT22-IX22,"")</f>
        <v/>
      </c>
      <c r="JN22" s="19" t="str">
        <f>IF(SUM(IZ22:JA22,JC22)-JB22&gt;0,SUM(IZ22:JA22,JC22)-JB22,"")</f>
        <v/>
      </c>
      <c r="JO22" s="19" t="str">
        <f>IF(SUM(IS22,IW22,JA22)&gt;0,SUM(IS22,IW22,JA22),"")</f>
        <v/>
      </c>
      <c r="JP22" s="19" t="str">
        <f>IF(SUM(JM22,JN22)&gt;0,SUM(JM22,JN22),"")</f>
        <v/>
      </c>
      <c r="JQ22" s="19" t="str">
        <f>IF(SUM(JE22,JI22)&gt;0,SUM(JE22,JI22),"")</f>
        <v/>
      </c>
      <c r="JR22" s="19" t="str">
        <f>IF(SUM(JD22:JE22,JG22:JI22,JK22)-SUM(JF22,JJ22)&gt;0,SUM(JD22:JE22,JG22:JI22,JK22)-SUM(JF22,JJ22),"")</f>
        <v/>
      </c>
      <c r="JS22" s="19" t="str">
        <f>IF(SUM(JM22,JR22)&gt;0,SUM(JM22,JR22),"")</f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>IF(SUM(JU22,JY22)&gt;0,SUM(JU22,JY22),"")</f>
        <v/>
      </c>
      <c r="KO22" s="78" t="str">
        <f>IF(SUM(JT22:JU22,JW22:JY22,KA22)-JV22-JZ22&gt;0,SUM(JT22:JU22,JW22:JY22,KA22)-JV22-JZ22,"")</f>
        <v/>
      </c>
      <c r="KP22" s="78" t="str">
        <f>IF(SUM(KB22:KC22,KE22)-KD22&gt;0,SUM(KB22:KC22,KE22)-KD22,"")</f>
        <v/>
      </c>
      <c r="KQ22" s="78" t="str">
        <f>IF(SUM(JU22,JY22,KC22)&gt;0,SUM(JU22,JY22,KC22),"")</f>
        <v/>
      </c>
      <c r="KR22" s="78" t="str">
        <f>IF(SUM(KO22,KP22)&gt;0,SUM(KO22,KP22),"")</f>
        <v/>
      </c>
      <c r="KS22" s="78" t="str">
        <f>IF(SUM(KG22,KK22)&gt;0,SUM(KG22,KK22),"")</f>
        <v/>
      </c>
      <c r="KT22" s="78" t="str">
        <f>IF(SUM(KF22:KG22,KI22:KK22,KM22)-SUM(KH22,KL22)&gt;0,SUM(KF22:KG22,KI22:KK22,KM22)-SUM(KH22,KL22),"")</f>
        <v/>
      </c>
      <c r="KU22" s="78" t="str">
        <f>IF(SUM(KO22,KT22)&gt;0,SUM(KO22,KT22),"")</f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>IF(SUM(KW22,LA22)&gt;0,SUM(KW22,LA22),"")</f>
        <v/>
      </c>
      <c r="LQ22" s="19" t="str">
        <f>IF(SUM(KV22:KW22,KY22:LA22,LC22)-KX22-LB22&gt;0,SUM(KV22:KW22,KY22:LA22,LC22)-KX22-LB22,"")</f>
        <v/>
      </c>
      <c r="LR22" s="19" t="str">
        <f>IF(SUM(LD22:LE22,LG22)-LF22&gt;0,SUM(LD22:LE22,LG22)-LF22,"")</f>
        <v/>
      </c>
      <c r="LS22" s="19" t="str">
        <f>IF(SUM(KW22,LA22,LE22)&gt;0,SUM(KW22,LA22,LE22),"")</f>
        <v/>
      </c>
      <c r="LT22" s="19" t="str">
        <f>IF(SUM(LQ22,LR22)&gt;0,SUM(LQ22,LR22),"")</f>
        <v/>
      </c>
      <c r="LU22" s="19" t="str">
        <f>IF(SUM(LI22,LM22)&gt;0,SUM(LI22,LM22),"")</f>
        <v/>
      </c>
      <c r="LV22" s="19" t="str">
        <f>IF(SUM(LH22:LI22,LK22:LM22,LO22)-SUM(LJ22,LN22)&gt;0,SUM(LH22:LI22,LK22:LM22,LO22)-SUM(LJ22,LN22),"")</f>
        <v/>
      </c>
      <c r="LW22" s="19" t="str">
        <f>IF(SUM(LQ22,LV22)&gt;0,SUM(LQ22,LV22),"")</f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>IF(SUM(LY22,MC22)&gt;0,SUM(LY22,MC22),"")</f>
        <v/>
      </c>
      <c r="MS22" s="78" t="str">
        <f>IF(SUM(LX22:LY22,MA22:MC22,ME22)-LZ22-MD22&gt;0,SUM(LX22:LY22,MA22:MC22,ME22)-LZ22-MD22,"")</f>
        <v/>
      </c>
      <c r="MT22" s="78" t="str">
        <f>IF(SUM(MF22:MG22,MI22)-MH22&gt;0,SUM(MF22:MG22,MI22)-MH22,"")</f>
        <v/>
      </c>
      <c r="MU22" s="78" t="str">
        <f>IF(SUM(LY22,MC22,MG22)&gt;0,SUM(LY22,MC22,MG22),"")</f>
        <v/>
      </c>
      <c r="MV22" s="78" t="str">
        <f>IF(SUM(MS22,MT22)&gt;0,SUM(MS22,MT22),"")</f>
        <v/>
      </c>
      <c r="MW22" s="78" t="str">
        <f>IF(SUM(MK22,MO22)&gt;0,SUM(MK22,MO22),"")</f>
        <v/>
      </c>
      <c r="MX22" s="78" t="str">
        <f>IF(SUM(MJ22:MK22,MM22:MO22,MQ22)-SUM(ML22,MP22)&gt;0,SUM(MJ22:MK22,MM22:MO22,MQ22)-SUM(ML22,MP22),"")</f>
        <v/>
      </c>
      <c r="MY22" s="78" t="str">
        <f>IF(SUM(MS22,MX22)&gt;0,SUM(MS22,MX22),"")</f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>IF(SUM(NA22,NE22)&gt;0,SUM(NA22,NE22),"")</f>
        <v/>
      </c>
      <c r="NU22" s="19" t="str">
        <f>IF(SUM(MZ22:NA22,NC22:NE22,NG22)-NB22-NF22&gt;0,SUM(MZ22:NA22,NC22:NE22,NG22)-NB22-NF22,"")</f>
        <v/>
      </c>
      <c r="NV22" s="19" t="str">
        <f>IF(SUM(NH22:NI22,NK22)-NJ22&gt;0,SUM(NH22:NI22,NK22)-NJ22,"")</f>
        <v/>
      </c>
      <c r="NW22" s="19" t="str">
        <f>IF(SUM(NA22,NE22,NI22)&gt;0,SUM(NA22,NE22,NI22),"")</f>
        <v/>
      </c>
      <c r="NX22" s="19" t="str">
        <f>IF(SUM(NU22,NV22)&gt;0,SUM(NU22,NV22),"")</f>
        <v/>
      </c>
      <c r="NY22" s="19" t="str">
        <f>IF(SUM(NM22,NQ22)&gt;0,SUM(NM22,NQ22),"")</f>
        <v/>
      </c>
      <c r="NZ22" s="19" t="str">
        <f>IF(SUM(NL22:NM22,NO22:NQ22,NS22)-SUM(NN22,NR22)&gt;0,SUM(NL22:NM22,NO22:NQ22,NS22)-SUM(NN22,NR22),"")</f>
        <v/>
      </c>
      <c r="OA22" s="19" t="str">
        <f>IF(SUM(NU22,NZ22)&gt;0,SUM(NU22,NZ22),"")</f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>IF(SUM(OC22,OG22)&gt;0,SUM(OC22,OG22),"")</f>
        <v/>
      </c>
      <c r="OW22" s="78" t="str">
        <f>IF(SUM(OB22:OC22,OE22:OG22,OI22)-OD22-OH22&gt;0,SUM(OB22:OC22,OE22:OG22,OI22)-OD22-OH22,"")</f>
        <v/>
      </c>
      <c r="OX22" s="78" t="str">
        <f>IF(SUM(OJ22:OK22,OM22)-OL22&gt;0,SUM(OJ22:OK22,OM22)-OL22,"")</f>
        <v/>
      </c>
      <c r="OY22" s="78" t="str">
        <f>IF(SUM(OC22,OG22,OK22)&gt;0,SUM(OC22,OG22,OK22),"")</f>
        <v/>
      </c>
      <c r="OZ22" s="78" t="str">
        <f>IF(SUM(OW22,OX22)&gt;0,SUM(OW22,OX22),"")</f>
        <v/>
      </c>
      <c r="PA22" s="78" t="str">
        <f>IF(SUM(OO22,OS22)&gt;0,SUM(OO22,OS22),"")</f>
        <v/>
      </c>
      <c r="PB22" s="78" t="str">
        <f>IF(SUM(ON22:OO22,OQ22:OS22,OU22)-SUM(OP22,OT22)&gt;0,SUM(ON22:OO22,OQ22:OS22,OU22)-SUM(OP22,OT22),"")</f>
        <v/>
      </c>
      <c r="PC22" s="78" t="str">
        <f>IF(SUM(OW22,PB22)&gt;0,SUM(OW22,PB22),"")</f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>IF(SUM(PE22,PI22)&gt;0,SUM(PE22,PI22),"")</f>
        <v/>
      </c>
      <c r="PY22" s="19" t="str">
        <f>IF(SUM(PD22:PE22,PG22:PI22,PK22)-PF22-PJ22&gt;0,SUM(PD22:PE22,PG22:PI22,PK22)-PF22-PJ22,"")</f>
        <v/>
      </c>
      <c r="PZ22" s="19" t="str">
        <f>IF(SUM(PL22:PM22,PO22)-PN22&gt;0,SUM(PL22:PM22,PO22)-PN22,"")</f>
        <v/>
      </c>
      <c r="QA22" s="19" t="str">
        <f>IF(SUM(PE22,PI22,PM22)&gt;0,SUM(PE22,PI22,PM22),"")</f>
        <v/>
      </c>
      <c r="QB22" s="19" t="str">
        <f>IF(SUM(PY22,PZ22)&gt;0,SUM(PY22,PZ22),"")</f>
        <v/>
      </c>
      <c r="QC22" s="19" t="str">
        <f>IF(SUM(PQ22,PU22)&gt;0,SUM(PQ22,PU22),"")</f>
        <v/>
      </c>
      <c r="QD22" s="19" t="str">
        <f>IF(SUM(PP22:PQ22,PS22:PU22,PW22)-SUM(PR22,PV22)&gt;0,SUM(PP22:PQ22,PS22:PU22,PW22)-SUM(PR22,PV22),"")</f>
        <v/>
      </c>
      <c r="QE22" s="19" t="str">
        <f>IF(SUM(PY22,QD22)&gt;0,SUM(PY22,QD22),"")</f>
        <v/>
      </c>
      <c r="QF22" s="37">
        <f>IF($CV22="P",CB22,(CB22+AY22)/2)</f>
        <v>9.4</v>
      </c>
      <c r="QG22" s="37">
        <f>IF($CV22="P",CC22,(CC22+AZ22)/2)</f>
        <v>1.55</v>
      </c>
      <c r="QH22" s="37">
        <f>IF($CV22="P",CD22,(CD22+BA22)/2)</f>
        <v>0</v>
      </c>
      <c r="QI22" s="37">
        <f>IF($CV22="P",CE22,(CE22+BB22)/2)</f>
        <v>0</v>
      </c>
      <c r="QJ22" s="37">
        <f>IF($CV22="P",CF22,(CF22+BC22)/2)</f>
        <v>8.6</v>
      </c>
      <c r="QK22" s="37">
        <f>IF($CV22="P",CG22,(CG22+BD22)/2)</f>
        <v>1.2</v>
      </c>
      <c r="QL22" s="37">
        <f>IF($CV22="P",CH22,(CH22+BE22)/2)</f>
        <v>0</v>
      </c>
      <c r="QM22" s="37">
        <f>IF($CV22="P",CI22,(CI22+BF22)/2)</f>
        <v>0</v>
      </c>
      <c r="QN22" s="37">
        <f>IF($CV22="P",CJ22,(CJ22+BG22)/2)</f>
        <v>9.1</v>
      </c>
      <c r="QO22" s="37">
        <f>IF($CV22="P",CK22,(CK22+BH22)/2)</f>
        <v>1.45</v>
      </c>
      <c r="QP22" s="37">
        <f>IF($CV22="P",CL22,(CL22+BI22)/2)</f>
        <v>0.35</v>
      </c>
      <c r="QQ22" s="37">
        <f>IF($CV22="P",CM22,(CM22+BJ22)/2)</f>
        <v>0</v>
      </c>
      <c r="QR22" s="37">
        <f>IF($CV22="P",CN22,(CN22+BK22)/2)</f>
        <v>0</v>
      </c>
      <c r="QS22" s="37">
        <f>IF($CV22="P",CO22,(CO22+BL22)/2)</f>
        <v>0</v>
      </c>
      <c r="QT22" s="37">
        <f>IF($CV22="P",CP22,(CP22+BM22)/2)</f>
        <v>0</v>
      </c>
      <c r="QU22" s="37">
        <f>IF($CV22="P",CQ22,(CQ22+BN22)/2)</f>
        <v>0</v>
      </c>
      <c r="QV22" s="37">
        <f>IF($CV22="P",CR22,(CR22+BO22)/2)</f>
        <v>0</v>
      </c>
      <c r="QW22" s="37">
        <f>IF($CV22="P",CS22,(CS22+BP22)/2)</f>
        <v>0</v>
      </c>
      <c r="QX22" s="37">
        <f>IF($CV22="P",CT22,(CT22+BQ22)/2)</f>
        <v>0</v>
      </c>
      <c r="QY22" s="37">
        <f>IF($CV22="P",CU22,(CU22+BR22)/2)</f>
        <v>0</v>
      </c>
      <c r="QZ22" s="44" t="s">
        <v>46</v>
      </c>
      <c r="RA22" s="78">
        <f>IF(SUM(QG22,QK22)&gt;0,SUM(QG22,QK22),"")</f>
        <v>2.75</v>
      </c>
      <c r="RB22" s="78">
        <f>IF(SUM(QF22:QG22,QI22:QK22,QM22)-QH22-QL22&gt;0,SUM(QF22:QG22,QI22:QK22,QM22)-QH22-QL22,"")</f>
        <v>20.75</v>
      </c>
      <c r="RC22" s="78">
        <f>IF(SUM(QN22:QO22,QQ22)-QP22&gt;0,SUM(QN22:QO22,QQ22)-QP22,"")</f>
        <v>10.199999999999999</v>
      </c>
      <c r="RD22" s="78">
        <f>IF(SUM(QG22,QK22,QO22)&gt;0,SUM(QG22,QK22,QO22),"")</f>
        <v>4.2</v>
      </c>
      <c r="RE22" s="78">
        <f>IF(SUM(RB22,RC22)&gt;0,SUM(RB22,RC22),"")</f>
        <v>30.95</v>
      </c>
      <c r="RF22" s="78" t="str">
        <f>IF(SUM(QS22,QW22)&gt;0,SUM(QS22,QW22),"")</f>
        <v/>
      </c>
      <c r="RG22" s="78" t="str">
        <f>IF(SUM(QR22:QS22,QU22:QW22,QY22)-SUM(QT22,QX22)&gt;0,SUM(QR22:QS22,QU22:QW22,QY22)-SUM(QT22,QX22),"")</f>
        <v/>
      </c>
      <c r="RH22" s="78">
        <f>IF(SUM(RB22,RG22)&gt;0,SUM(RB22,RG22),"")</f>
        <v>20.75</v>
      </c>
    </row>
    <row r="23" spans="1:476" x14ac:dyDescent="0.2">
      <c r="A23" s="5" t="str">
        <f>IF(AND(F23="P",G23="P"),SUMPRODUCT((F$4:F$29="P")*(G$4:G$29="P")*(E$4:E$29&gt;E23))+1,IF(G23="P",SUMPRODUCT((F$4:F$29="")*(G$4:G$29="P")*(E$4:E$29&gt;E23))+1+SUMPRODUCT((F$4:F$29="P")*(G$4:G$29="P")),""))</f>
        <v/>
      </c>
      <c r="B23" s="77" t="s">
        <v>193</v>
      </c>
      <c r="C23" s="5" t="s">
        <v>5</v>
      </c>
      <c r="D23" s="5">
        <v>2005</v>
      </c>
      <c r="E23" s="15">
        <f>SUM(I23:S23)+SUM(I23:O23)*0.0000001+SUM(I23)*0.0000000000001</f>
        <v>106.60000633000435</v>
      </c>
      <c r="F23" s="3" t="str">
        <f>IF(OR(AND(AQ23&gt;=AX$31,AR23&gt;=AX$35,AQ23&lt;&gt;"",AP23=""),AND(AV23&gt;=AX$31,AW23&gt;=AX$35,AV23&lt;&gt;"",AP23=""),AND(BT23&gt;=CA$31,BU23&gt;=CA$35,BT23&lt;&gt;"",BS23=""),AND(BY23&gt;=CA$31,BZ23&gt;=CA$35,BY23&lt;&gt;"",BS23=""),AND(CW23&gt;=DD$31,CX23&gt;=DD$35,CW23&lt;&gt;"",CV23=""),AND(DB23&gt;=DD$31,DC23&gt;=DD$35,DB23&lt;&gt;""),AND(EB23&gt;=EI$31,EC23&gt;=EI$35,EB23&lt;&gt;""),AND(EG23&gt;=EI$31,EH23&gt;=EI$35,EG23&lt;&gt;""),AND(FD23&gt;=FK$31,FE23&gt;=FK$35,FD23&lt;&gt;""),AND(FI23&gt;=FK$31,FJ23&gt;=FK$35,FI23&lt;&gt;""),AND(GF23&gt;=GM$31,GG23&gt;=GM$35,GF23&lt;&gt;""),AND(GK23&gt;=GM$31,GL23&gt;=GM$35,GK23&lt;&gt;""),AND(HH23&gt;=HO$31,HI23&gt;=HO$35,HH23&lt;&gt;""),AND(HM23&gt;=HO$31,HN23&gt;=HO$35,HM23&lt;&gt;""),AND(IJ23&gt;=IQ$31,IK23&gt;=IQ$35,IJ23&lt;&gt;""),AND(IO23&gt;=IQ$31,IP23&gt;=IQ$35,IO23&lt;&gt;""),AND(JL23&gt;=JS$31,JM23&gt;=JS$35,JL23&lt;&gt;""),AND(JQ23&gt;=JS$31,JR23&gt;=JS$35,JQ23&lt;&gt;""),AND(KN23&gt;=KU$31,KO23&gt;=KU$35,KN23&lt;&gt;""),AND(KS23&gt;=KU$31,KT23&gt;=KU$35,KS23&lt;&gt;""),AND(LP23&gt;=LW$31,LQ23&gt;=LW$35,LP23&lt;&gt;""),AND(LU23&gt;=LW$31,LV23&gt;=LW$35,LU23&lt;&gt;""),AND(MR23&gt;=MY$31,MS23&gt;=MY$35,MR23&lt;&gt;""),AND(MW23&gt;=MY$31,MX23&gt;=MY$35,MW23&lt;&gt;""),AND(NT23&gt;=OA$31,NU23&gt;=OA$35,NT23&lt;&gt;""),AND(NY23&gt;=OA$31,NZ23&gt;=OA$35,NY23&lt;&gt;""),AND(OV23&gt;=PC$31,OW23&gt;=PC$35,OV23&lt;&gt;""),AND(PA23&gt;=PC$31,PB23&gt;=PC$35,PA23&lt;&gt;""),AND(PX23&gt;=QE$31,PY23&gt;=QE$35,PX23&lt;&gt;""),AND(QC23&gt;=QE$31,QD23&gt;=QE$35,QC23&lt;&gt;"")),"P","")</f>
        <v/>
      </c>
      <c r="G23" s="3" t="str">
        <f>IF(OR(AND(AR23&gt;=AX$35,AR23&lt;&gt;"",AP23=""),AND(AW23&gt;=AX$35,AW23&lt;&gt;"",AP23=""),AND(BU23&gt;=CA$35,BU23&lt;&gt;"",BS23=""),AND(BZ23&gt;=CA$35,BZ23&lt;&gt;"",BS23=""),AND(CX23&gt;=DD$35,CX23&lt;&gt;"",CV23=""),AND(DC23&gt;=DD$35,DC23&lt;&gt;"",CV23=""),AND(EC23&gt;=EI$35,EC23&lt;&gt;""),AND(EH23&gt;=EI$35,EH23&lt;&gt;""),AND(FE23&gt;=FK$35,FE23&lt;&gt;""),AND(FJ23&gt;=FK$35,FJ23&lt;&gt;""),AND(GG23&gt;=GM$35,GG23&lt;&gt;""),AND(GL23&gt;=GM$35,GL23&lt;&gt;""),AND(HI23&gt;=HO$35,HI23&lt;&gt;""),AND(HN23&gt;=HO$35,HN23&lt;&gt;""),AND(IK23&gt;=IQ$35,IK23&lt;&gt;""),AND(IP23&gt;=IQ$35,IP23&lt;&gt;""),AND(JM23&gt;=JS$35,JM23&lt;&gt;""),AND(JR23&gt;=JS$35,JR23&lt;&gt;""),AND(KO23&gt;=KU$35,KO23&lt;&gt;""),AND(KT23&gt;=KU$35,KT23&lt;&gt;""),AND(LQ23&gt;=LW$35,LQ23&lt;&gt;""),AND(LV23&gt;=LW$35,LV23&lt;&gt;""),AND(MS23&gt;=MY$35,MS23&lt;&gt;""),AND(MX23&gt;=MY$35,MX23&lt;&gt;""),AND(NU23&gt;=OA$35,NU23&lt;&gt;""),AND(NZ23&gt;=OA$35,NZ23&lt;&gt;""),AND(OW23&gt;=PC$35,OW23&lt;&gt;""),AND(PB23&gt;=PC$35,PB23&lt;&gt;""),AND(PY23&gt;=QE$35,PY23&lt;&gt;""),AND(QD23&gt;=QE$35,QD23&lt;&gt;"")),"P","")</f>
        <v/>
      </c>
      <c r="H23" s="66" t="str">
        <f>IF(AND(G23="P",F23=""),"No DD",IF(OR(AND(AT23&gt;=AX$34,AU23&gt;=AX$38,AT23&lt;&gt;"",AP23=""),AND(BW23&gt;=CA$34,BX23&gt;=CA$38,BW23&lt;&gt;"",BS23=""),AND(CZ23&gt;=DD$34,DA23&gt;=DD$38,CZ23&lt;&gt;"",CV23=""),AND(EE23&gt;=EI$34,EF23&gt;=EI$38,EE23&lt;&gt;""),AND(FG23&gt;=FK$34,FH23&gt;=FK$38,FG23&lt;&gt;""),AND(GI23&gt;=GM$34,GJ23&gt;=GM$38,GI23&lt;&gt;""),AND(HK23&gt;=HO$34,HL23&gt;=HO$38,HK23&lt;&gt;""),AND(IM23&gt;=IQ$34,IN23&gt;=IQ$38,IM23&lt;&gt;""),AND(JO23&gt;=JS$34,JP23&gt;=JS$38,JO23&lt;&gt;""),AND(KQ23&gt;=KU$34,KR23&gt;=KU$38,KQ23&lt;&gt;""),AND(LS23&gt;=LW$34,LT23&gt;=LW$38,LS23&lt;&gt;""),AND(MU23&gt;=MY$34,MV23&gt;=MY$38,MU23&lt;&gt;""),AND(NW23&gt;=OA$34,NX23&gt;=OA$38,NW23&lt;&gt;""),AND(OY23&gt;=PC$34,OZ23&gt;=PC$38,OY23&lt;&gt;""),AND(QA23&gt;=QE$34,QB23&gt;=QE$38,QA23&lt;&gt;"")),"Merit",IF(OR(AND(AT23&gt;=AX$33,AU23&gt;=AX$37,AT23&lt;&gt;"",AP23=""),AND(BW23&gt;=CA$33,BX23&gt;=CA$37,BW23&lt;&gt;"",BS23=""),AND(CZ23&gt;=DD$33,DA23&gt;=DD$37,CZ23&lt;&gt;"",CV23=""),AND(EE23&gt;=EI$33,EF23&gt;=EI$37,EE23&lt;&gt;""),AND(FG23&gt;=FK$33,FH23&gt;=FK$37,FG23&lt;&gt;""),AND(GI23&gt;=GM$33,GJ23&gt;=GM$37,GI23&lt;&gt;""),AND(HK23&gt;=HO$33,HL23&gt;=HO$37,HK23&lt;&gt;""),AND(IM23&gt;=IQ$33,IN23&gt;=IQ$37,IM23&lt;&gt;""),AND(JO23&gt;=JS$33,JP23&gt;=JS$37,JO23&lt;&gt;""),AND(KQ23&gt;=KU$33,KR23&gt;=KU$37,KQ23&lt;&gt;""),AND(LS23&gt;=LW$33,LT23&gt;=LW$37,LS23&lt;&gt;""),AND(MU23&gt;=MY$33,MV23&gt;=MY$37,MU23&lt;&gt;""),AND(NW23&gt;=OA$33,NX23&gt;=OA$37,NW23&lt;&gt;""),AND(OY23&gt;=PC$33,OZ23&gt;=PC$37,OY23&lt;&gt;""),AND(QA23&gt;=QE$33,QB23&gt;=QE$37,QA23&lt;&gt;"")),"Excellence",IF(F23="P","National Team",""))))</f>
        <v/>
      </c>
      <c r="I23" s="14">
        <f>IF(COUNT(AR23,BU23,CX23)&gt;0,LARGE((AR23,BU23,CX23),1),0)</f>
        <v>43.5</v>
      </c>
      <c r="J23" s="14" t="str">
        <f>IF(I23=0,"",IF(I23=CX23,$CB$1,IF(I23=BU23,$AY$1,IF(I23=AR23,$V$1,""))))</f>
        <v>2022 Nationals</v>
      </c>
      <c r="K23" s="14">
        <f>IF(COUNT(AR23,BU23,CX23)&gt;1,LARGE((AR23,BU23,CX23),2),0)</f>
        <v>0</v>
      </c>
      <c r="L23" s="14" t="str">
        <f>IF(K23=0,"",IF(K23=CX23,$CB$1,IF(K23=BU23,$AY$1,IF(K23=AR23,$V$1,""))))</f>
        <v/>
      </c>
      <c r="M23" s="14">
        <f>IF(COUNT(AS23,BV23,CY23)&gt;0,LARGE((AS23,BV23,CY23),1),0)</f>
        <v>19.8</v>
      </c>
      <c r="N23" s="14" t="str">
        <f>IF(M23=0,"",IF(M23=CY23,$CB$1,IF(M23=BV23,$AY$1,IF(M23=AS23,$V$1,""))))</f>
        <v>2022 Nationals</v>
      </c>
      <c r="O23" s="14">
        <f>IF(COUNT(AS23,BV23,CY23)&gt;1,LARGE((AS23,BV23,CY23),2),0)</f>
        <v>0</v>
      </c>
      <c r="P23" s="14" t="str">
        <f>IF(O23=0,"",IF(O23=CY23,$CB$1,IF(O23=BV23,$AY$1,IF(O23=AS23,$V$1,""))))</f>
        <v/>
      </c>
      <c r="Q23" s="14">
        <f>IF(MAX(AW23,BZ23,DC23)&gt;0,MAX(AW23,BZ23,DC23),0)</f>
        <v>43.300000000000004</v>
      </c>
      <c r="R23" s="14" t="str">
        <f>IF(Q23=0,"",IF(Q23=DC23,$CB$1,IF(Q23=BZ23,$AY$1,IF(Q23=AW23,$V$1,""))))</f>
        <v>2022 Nationals</v>
      </c>
      <c r="S23" s="14" t="str">
        <f>IF(MAX(DE23:DG23)&gt;0,MAX(DE23:DG23),"")</f>
        <v/>
      </c>
      <c r="T23" s="19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>IF(SUM(W23,AA23)&gt;0,SUM(W23,AA23),"")</f>
        <v/>
      </c>
      <c r="AR23" s="78" t="str">
        <f>IF(SUM(V23:W23,Y23:AA23,AC23)-X23-AB23&gt;0,SUM(V23:W23,Y23:AA23,AC23)-X23-AB23,"")</f>
        <v/>
      </c>
      <c r="AS23" s="78" t="str">
        <f>IF(SUM(AD23:AE23,AG23)-AF23&gt;0,SUM(AD23:AE23,AG23)-AF23,"")</f>
        <v/>
      </c>
      <c r="AT23" s="78" t="str">
        <f>IF(SUM(W23,AA23,AE23)&gt;0,SUM(W23,AA23,AE23),"")</f>
        <v/>
      </c>
      <c r="AU23" s="78" t="str">
        <f>IF(SUM(AR23,AS23)&gt;0,SUM(AR23,AS23),"")</f>
        <v/>
      </c>
      <c r="AV23" s="78" t="str">
        <f>IF(SUM(AI23,AM23)&gt;0,SUM(AI23,AM23),"")</f>
        <v/>
      </c>
      <c r="AW23" s="78" t="str">
        <f>IF(SUM(AH23:AI23,AK23:AM23,AO23)-SUM(AJ23,AN23)&gt;0,SUM(AH23:AI23,AK23:AM23,AO23)-SUM(AJ23,AN23),"")</f>
        <v/>
      </c>
      <c r="AX23" s="78" t="str">
        <f>IF(SUM(AR23,AW23)&gt;0,SUM(AR23,AW23),"")</f>
        <v/>
      </c>
      <c r="AY23" s="25">
        <v>18.2</v>
      </c>
      <c r="AZ23" s="25">
        <v>3.5</v>
      </c>
      <c r="BA23" s="25">
        <v>0.2</v>
      </c>
      <c r="BB23" s="25">
        <v>0</v>
      </c>
      <c r="BC23" s="25">
        <v>18</v>
      </c>
      <c r="BD23" s="25">
        <v>4.8</v>
      </c>
      <c r="BE23" s="25">
        <v>0.8</v>
      </c>
      <c r="BF23" s="25">
        <v>0</v>
      </c>
      <c r="BG23" s="25">
        <v>17</v>
      </c>
      <c r="BH23" s="25">
        <v>2.8</v>
      </c>
      <c r="BI23" s="25">
        <v>0</v>
      </c>
      <c r="BJ23" s="25">
        <v>0</v>
      </c>
      <c r="BK23" s="25">
        <v>18</v>
      </c>
      <c r="BL23" s="25">
        <v>4.8</v>
      </c>
      <c r="BM23" s="25">
        <v>0.8</v>
      </c>
      <c r="BN23" s="25">
        <v>0</v>
      </c>
      <c r="BO23" s="25">
        <v>18.399999999999999</v>
      </c>
      <c r="BP23" s="25">
        <v>3.5</v>
      </c>
      <c r="BQ23" s="25">
        <v>0.6</v>
      </c>
      <c r="BR23" s="25">
        <v>0</v>
      </c>
      <c r="BS23" s="45"/>
      <c r="BT23" s="19">
        <f>IF(SUM(AZ23,BD23)&gt;0,SUM(AZ23,BD23),"")</f>
        <v>8.3000000000000007</v>
      </c>
      <c r="BU23" s="19">
        <f>IF(SUM(AY23:AZ23,BB23:BD23,BF23)-BA23-BE23&gt;0,SUM(AY23:AZ23,BB23:BD23,BF23)-BA23-BE23,"")</f>
        <v>43.5</v>
      </c>
      <c r="BV23" s="19">
        <f>IF(SUM(BG23:BH23,BJ23)-BI23&gt;0,SUM(BG23:BH23,BJ23)-BI23,"")</f>
        <v>19.8</v>
      </c>
      <c r="BW23" s="19">
        <f>IF(SUM(AZ23,BD23,BH23)&gt;0,SUM(AZ23,BD23,BH23),"")</f>
        <v>11.100000000000001</v>
      </c>
      <c r="BX23" s="19">
        <f>IF(SUM(BU23,BV23)&gt;0,SUM(BU23,BV23),"")</f>
        <v>63.3</v>
      </c>
      <c r="BY23" s="19">
        <f>IF(SUM(BL23,BP23)&gt;0,SUM(BL23,BP23),"")</f>
        <v>8.3000000000000007</v>
      </c>
      <c r="BZ23" s="19">
        <f>IF(SUM(BK23:BL23,BN23:BP23,BR23)-SUM(BM23,BQ23)&gt;0,SUM(BK23:BL23,BN23:BP23,BR23)-SUM(BM23,BQ23),"")</f>
        <v>43.300000000000004</v>
      </c>
      <c r="CA23" s="19">
        <f>IF(SUM(BU23,BZ23)&gt;0,SUM(BU23,BZ23),"")</f>
        <v>86.800000000000011</v>
      </c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44"/>
      <c r="CW23" s="78" t="str">
        <f>IF(SUM(CC23,CG23)&gt;0,SUM(CC23,CG23),"")</f>
        <v/>
      </c>
      <c r="CX23" s="78" t="str">
        <f>IF(SUM(CB23:CC23,CE23:CG23,CI23)-CD23-CH23&gt;0,SUM(CB23:CC23,CE23:CG23,CI23)-CD23-CH23,"")</f>
        <v/>
      </c>
      <c r="CY23" s="78" t="str">
        <f>IF(SUM(CJ23:CK23,CM23)-CL23&gt;0,SUM(CJ23:CK23,CM23)-CL23,"")</f>
        <v/>
      </c>
      <c r="CZ23" s="78" t="str">
        <f>IF(SUM(CC23,CG23,CK23)&gt;0,SUM(CC23,CG23,CK23),"")</f>
        <v/>
      </c>
      <c r="DA23" s="78" t="str">
        <f>IF(SUM(CX23,CY23)&gt;0,SUM(CX23,CY23),"")</f>
        <v/>
      </c>
      <c r="DB23" s="78" t="str">
        <f>IF(SUM(CO23,CS23)&gt;0,SUM(CO23,CS23),"")</f>
        <v/>
      </c>
      <c r="DC23" s="78" t="str">
        <f>IF(SUM(CN23:CO23,CQ23:CS23,CU23)-SUM(CP23,CT23)&gt;0,SUM(CN23:CO23,CQ23:CS23,CU23)-SUM(CP23,CT23),"")</f>
        <v/>
      </c>
      <c r="DD23" s="78" t="str">
        <f>IF(SUM(CX23,DC23)&gt;0,SUM(CX23,DC23),"")</f>
        <v/>
      </c>
      <c r="DE23" s="79" t="str">
        <f>IF(K23&gt;=0.001,IF(MAX(EC23,FE23,GG23,HI23,IK23,JM23,KO23,LQ23,MS23,NU23,OW23,PY23)-IF(K23="",0,K23)&gt;0.001,MAX(EC23,FE23,GG23,HI23,IK23,JM23,KO23,LQ23,MS23,NU23,OW23,PY23)-IF(K23="",0,K23),""),"")</f>
        <v/>
      </c>
      <c r="DF23" s="79" t="str">
        <f>IF(O23&gt;=0.001,IF(MAX(ED23,FF23,GH23,HJ23,IL23,JN23,KP23,LR23,MT23,NV23,OX23,PZ23)-IF(O23="",0,O23)&gt;0.001,MAX(ED23,FF23,GH23,HJ23,IL23,JN23,KP23,LR23,MT23,NV23,OX23,PZ23)-IF(O23="",0,O23),""),"")</f>
        <v/>
      </c>
      <c r="DG23" s="79" t="str">
        <f>IF(Q23&gt;=0.001,IF(MAX(EH23,FJ23,GL23,HN23,IP23,JR23,KT23,LV23,MX23,NZ23,PB23,QD23)-IF(Q23="",0,Q23)&gt;0.001,MAX(EH23,FJ23,GL23,HN23,IP23,JR23,KT23,LV23,MX23,NZ23,PB23,QD23)-IF(Q23="",0,Q23),""),"")</f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>IF(SUM(DI23,DM23)&gt;0,SUM(DI23,DM23),"")</f>
        <v/>
      </c>
      <c r="EC23" s="78" t="str">
        <f>IF(SUM(DH23:DI23,DK23:DM23,DO23)-DJ23-DN23&gt;0,SUM(DH23:DI23,DK23:DM23,DO23)-DJ23-DN23,"")</f>
        <v/>
      </c>
      <c r="ED23" s="78" t="str">
        <f>IF(SUM(DP23:DQ23,DS23)-DR23&gt;0,SUM(DP23:DQ23,DS23)-DR23,"")</f>
        <v/>
      </c>
      <c r="EE23" s="78" t="str">
        <f>IF(SUM(DI23,DM23,DQ23)&gt;0,SUM(DI23,DM23,DQ23),"")</f>
        <v/>
      </c>
      <c r="EF23" s="78" t="str">
        <f>IF(SUM(EC23,ED23)&gt;0,SUM(EC23,ED23),"")</f>
        <v/>
      </c>
      <c r="EG23" s="78" t="str">
        <f>IF(SUM(DU23,DY23)&gt;0,SUM(DU23,DY23),"")</f>
        <v/>
      </c>
      <c r="EH23" s="78" t="str">
        <f>IF(SUM(DT23:DU23,DW23:DY23,EA23)-SUM(DV23,DZ23)&gt;0,SUM(DT23:DU23,DW23:DY23,EA23)-SUM(DV23,DZ23),"")</f>
        <v/>
      </c>
      <c r="EI23" s="78" t="str">
        <f>IF(SUM(EC23,EH23)&gt;0,SUM(EC23,EH23),"")</f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>IF(SUM(EK23,EO23)&gt;0,SUM(EK23,EO23),"")</f>
        <v/>
      </c>
      <c r="FE23" s="19" t="str">
        <f>IF(SUM(EJ23:EK23,EM23:EO23,EQ23)-EL23-EP23&gt;0,SUM(EJ23:EK23,EM23:EO23,EQ23)-EL23-EP23,"")</f>
        <v/>
      </c>
      <c r="FF23" s="19" t="str">
        <f>IF(SUM(ER23:ES23,EU23)-ET23&gt;0,SUM(ER23:ES23,EU23)-ET23,"")</f>
        <v/>
      </c>
      <c r="FG23" s="19" t="str">
        <f>IF(SUM(EK23,EO23,ES23)&gt;0,SUM(EK23,EO23,ES23),"")</f>
        <v/>
      </c>
      <c r="FH23" s="19" t="str">
        <f>IF(SUM(FE23,FF23)&gt;0,SUM(FE23,FF23),"")</f>
        <v/>
      </c>
      <c r="FI23" s="19" t="str">
        <f>IF(SUM(EW23,FA23)&gt;0,SUM(EW23,FA23),"")</f>
        <v/>
      </c>
      <c r="FJ23" s="19" t="str">
        <f>IF(SUM(EV23:EW23,EY23:FA23,FC23)-SUM(EX23,FB23)&gt;0,SUM(EV23:EW23,EY23:FA23,FC23)-SUM(EX23,FB23),"")</f>
        <v/>
      </c>
      <c r="FK23" s="19" t="str">
        <f>IF(SUM(FE23,FJ23)&gt;0,SUM(FE23,FJ23),"")</f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>IF(SUM(FM23,FQ23)&gt;0,SUM(FM23,FQ23),"")</f>
        <v/>
      </c>
      <c r="GG23" s="78" t="str">
        <f>IF(SUM(FL23:FM23,FO23:FQ23,FS23)-FN23-FR23&gt;0,SUM(FL23:FM23,FO23:FQ23,FS23)-FN23-FR23,"")</f>
        <v/>
      </c>
      <c r="GH23" s="78" t="str">
        <f>IF(SUM(FT23:FU23,FW23)-FV23&gt;0,SUM(FT23:FU23,FW23)-FV23,"")</f>
        <v/>
      </c>
      <c r="GI23" s="78" t="str">
        <f>IF(SUM(FM23,FQ23,FU23)&gt;0,SUM(FM23,FQ23,FU23),"")</f>
        <v/>
      </c>
      <c r="GJ23" s="78" t="str">
        <f>IF(SUM(GG23,GH23)&gt;0,SUM(GG23,GH23),"")</f>
        <v/>
      </c>
      <c r="GK23" s="78" t="str">
        <f>IF(SUM(FY23,GC23)&gt;0,SUM(FY23,GC23),"")</f>
        <v/>
      </c>
      <c r="GL23" s="78" t="str">
        <f>IF(SUM(FX23:FY23,GA23:GC23,GE23)-SUM(FZ23,GD23)&gt;0,SUM(FX23:FY23,GA23:GC23,GE23)-SUM(FZ23,GD23),"")</f>
        <v/>
      </c>
      <c r="GM23" s="78" t="str">
        <f>IF(SUM(GG23,GL23)&gt;0,SUM(GG23,GL23),"")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>IF(SUM(GO23,GS23)&gt;0,SUM(GO23,GS23),"")</f>
        <v/>
      </c>
      <c r="HI23" s="19" t="str">
        <f>IF(SUM(GN23:GO23,GQ23:GS23,GU23)-GP23-GT23&gt;0,SUM(GN23:GO23,GQ23:GS23,GU23)-GP23-GT23,"")</f>
        <v/>
      </c>
      <c r="HJ23" s="19" t="str">
        <f>IF(SUM(GV23:GW23,GY23)-GX23&gt;0,SUM(GV23:GW23,GY23)-GX23,"")</f>
        <v/>
      </c>
      <c r="HK23" s="19" t="str">
        <f>IF(SUM(GO23,GS23,GW23)&gt;0,SUM(GO23,GS23,GW23),"")</f>
        <v/>
      </c>
      <c r="HL23" s="19" t="str">
        <f>IF(SUM(HI23,HJ23)&gt;0,SUM(HI23,HJ23),"")</f>
        <v/>
      </c>
      <c r="HM23" s="19" t="str">
        <f>IF(SUM(HA23,HE23)&gt;0,SUM(HA23,HE23),"")</f>
        <v/>
      </c>
      <c r="HN23" s="19" t="str">
        <f>IF(SUM(GZ23:HA23,HC23:HE23,HG23)-SUM(HB23,HF23)&gt;0,SUM(GZ23:HA23,HC23:HE23,HG23)-SUM(HB23,HF23),"")</f>
        <v/>
      </c>
      <c r="HO23" s="19" t="str">
        <f>IF(SUM(HI23,HN23)&gt;0,SUM(HI23,HN23),"")</f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>IF(SUM(HQ23,HU23)&gt;0,SUM(HQ23,HU23),"")</f>
        <v/>
      </c>
      <c r="IK23" s="78" t="str">
        <f>IF(SUM(HP23:HQ23,HS23:HU23,HW23)-HR23-HV23&gt;0,SUM(HP23:HQ23,HS23:HU23,HW23)-HR23-HV23,"")</f>
        <v/>
      </c>
      <c r="IL23" s="78" t="str">
        <f>IF(SUM(HX23:HY23,IA23)-HZ23&gt;0,SUM(HX23:HY23,IA23)-HZ23,"")</f>
        <v/>
      </c>
      <c r="IM23" s="78" t="str">
        <f>IF(SUM(HQ23,HU23,HY23)&gt;0,SUM(HQ23,HU23,HY23),"")</f>
        <v/>
      </c>
      <c r="IN23" s="78" t="str">
        <f>IF(SUM(IK23,IL23)&gt;0,SUM(IK23,IL23),"")</f>
        <v/>
      </c>
      <c r="IO23" s="78" t="str">
        <f>IF(SUM(IC23,IG23)&gt;0,SUM(IC23,IG23),"")</f>
        <v/>
      </c>
      <c r="IP23" s="78" t="str">
        <f>IF(SUM(IB23:IC23,IE23:IG23,II23)-SUM(ID23,IH23)&gt;0,SUM(IB23:IC23,IE23:IG23,II23)-SUM(ID23,IH23),"")</f>
        <v/>
      </c>
      <c r="IQ23" s="78" t="str">
        <f>IF(SUM(IK23,IP23)&gt;0,SUM(IK23,IP23),"")</f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>IF(SUM(IS23,IW23)&gt;0,SUM(IS23,IW23),"")</f>
        <v/>
      </c>
      <c r="JM23" s="19" t="str">
        <f>IF(SUM(IR23:IS23,IU23:IW23,IY23)-IT23-IX23&gt;0,SUM(IR23:IS23,IU23:IW23,IY23)-IT23-IX23,"")</f>
        <v/>
      </c>
      <c r="JN23" s="19" t="str">
        <f>IF(SUM(IZ23:JA23,JC23)-JB23&gt;0,SUM(IZ23:JA23,JC23)-JB23,"")</f>
        <v/>
      </c>
      <c r="JO23" s="19" t="str">
        <f>IF(SUM(IS23,IW23,JA23)&gt;0,SUM(IS23,IW23,JA23),"")</f>
        <v/>
      </c>
      <c r="JP23" s="19" t="str">
        <f>IF(SUM(JM23,JN23)&gt;0,SUM(JM23,JN23),"")</f>
        <v/>
      </c>
      <c r="JQ23" s="19" t="str">
        <f>IF(SUM(JE23,JI23)&gt;0,SUM(JE23,JI23),"")</f>
        <v/>
      </c>
      <c r="JR23" s="19" t="str">
        <f>IF(SUM(JD23:JE23,JG23:JI23,JK23)-SUM(JF23,JJ23)&gt;0,SUM(JD23:JE23,JG23:JI23,JK23)-SUM(JF23,JJ23),"")</f>
        <v/>
      </c>
      <c r="JS23" s="19" t="str">
        <f>IF(SUM(JM23,JR23)&gt;0,SUM(JM23,JR23),"")</f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>IF(SUM(JU23,JY23)&gt;0,SUM(JU23,JY23),"")</f>
        <v/>
      </c>
      <c r="KO23" s="78" t="str">
        <f>IF(SUM(JT23:JU23,JW23:JY23,KA23)-JV23-JZ23&gt;0,SUM(JT23:JU23,JW23:JY23,KA23)-JV23-JZ23,"")</f>
        <v/>
      </c>
      <c r="KP23" s="78" t="str">
        <f>IF(SUM(KB23:KC23,KE23)-KD23&gt;0,SUM(KB23:KC23,KE23)-KD23,"")</f>
        <v/>
      </c>
      <c r="KQ23" s="78" t="str">
        <f>IF(SUM(JU23,JY23,KC23)&gt;0,SUM(JU23,JY23,KC23),"")</f>
        <v/>
      </c>
      <c r="KR23" s="78" t="str">
        <f>IF(SUM(KO23,KP23)&gt;0,SUM(KO23,KP23),"")</f>
        <v/>
      </c>
      <c r="KS23" s="78" t="str">
        <f>IF(SUM(KG23,KK23)&gt;0,SUM(KG23,KK23),"")</f>
        <v/>
      </c>
      <c r="KT23" s="78" t="str">
        <f>IF(SUM(KF23:KG23,KI23:KK23,KM23)-SUM(KH23,KL23)&gt;0,SUM(KF23:KG23,KI23:KK23,KM23)-SUM(KH23,KL23),"")</f>
        <v/>
      </c>
      <c r="KU23" s="78" t="str">
        <f>IF(SUM(KO23,KT23)&gt;0,SUM(KO23,KT23),"")</f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>IF(SUM(KW23,LA23)&gt;0,SUM(KW23,LA23),"")</f>
        <v/>
      </c>
      <c r="LQ23" s="19" t="str">
        <f>IF(SUM(KV23:KW23,KY23:LA23,LC23)-KX23-LB23&gt;0,SUM(KV23:KW23,KY23:LA23,LC23)-KX23-LB23,"")</f>
        <v/>
      </c>
      <c r="LR23" s="19" t="str">
        <f>IF(SUM(LD23:LE23,LG23)-LF23&gt;0,SUM(LD23:LE23,LG23)-LF23,"")</f>
        <v/>
      </c>
      <c r="LS23" s="19" t="str">
        <f>IF(SUM(KW23,LA23,LE23)&gt;0,SUM(KW23,LA23,LE23),"")</f>
        <v/>
      </c>
      <c r="LT23" s="19" t="str">
        <f>IF(SUM(LQ23,LR23)&gt;0,SUM(LQ23,LR23),"")</f>
        <v/>
      </c>
      <c r="LU23" s="19" t="str">
        <f>IF(SUM(LI23,LM23)&gt;0,SUM(LI23,LM23),"")</f>
        <v/>
      </c>
      <c r="LV23" s="19" t="str">
        <f>IF(SUM(LH23:LI23,LK23:LM23,LO23)-SUM(LJ23,LN23)&gt;0,SUM(LH23:LI23,LK23:LM23,LO23)-SUM(LJ23,LN23),"")</f>
        <v/>
      </c>
      <c r="LW23" s="19" t="str">
        <f>IF(SUM(LQ23,LV23)&gt;0,SUM(LQ23,LV23),"")</f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>IF(SUM(LY23,MC23)&gt;0,SUM(LY23,MC23),"")</f>
        <v/>
      </c>
      <c r="MS23" s="78" t="str">
        <f>IF(SUM(LX23:LY23,MA23:MC23,ME23)-LZ23-MD23&gt;0,SUM(LX23:LY23,MA23:MC23,ME23)-LZ23-MD23,"")</f>
        <v/>
      </c>
      <c r="MT23" s="78" t="str">
        <f>IF(SUM(MF23:MG23,MI23)-MH23&gt;0,SUM(MF23:MG23,MI23)-MH23,"")</f>
        <v/>
      </c>
      <c r="MU23" s="78" t="str">
        <f>IF(SUM(LY23,MC23,MG23)&gt;0,SUM(LY23,MC23,MG23),"")</f>
        <v/>
      </c>
      <c r="MV23" s="78" t="str">
        <f>IF(SUM(MS23,MT23)&gt;0,SUM(MS23,MT23),"")</f>
        <v/>
      </c>
      <c r="MW23" s="78" t="str">
        <f>IF(SUM(MK23,MO23)&gt;0,SUM(MK23,MO23),"")</f>
        <v/>
      </c>
      <c r="MX23" s="78" t="str">
        <f>IF(SUM(MJ23:MK23,MM23:MO23,MQ23)-SUM(ML23,MP23)&gt;0,SUM(MJ23:MK23,MM23:MO23,MQ23)-SUM(ML23,MP23),"")</f>
        <v/>
      </c>
      <c r="MY23" s="78" t="str">
        <f>IF(SUM(MS23,MX23)&gt;0,SUM(MS23,MX23),"")</f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>IF(SUM(NA23,NE23)&gt;0,SUM(NA23,NE23),"")</f>
        <v/>
      </c>
      <c r="NU23" s="19" t="str">
        <f>IF(SUM(MZ23:NA23,NC23:NE23,NG23)-NB23-NF23&gt;0,SUM(MZ23:NA23,NC23:NE23,NG23)-NB23-NF23,"")</f>
        <v/>
      </c>
      <c r="NV23" s="19" t="str">
        <f>IF(SUM(NH23:NI23,NK23)-NJ23&gt;0,SUM(NH23:NI23,NK23)-NJ23,"")</f>
        <v/>
      </c>
      <c r="NW23" s="19" t="str">
        <f>IF(SUM(NA23,NE23,NI23)&gt;0,SUM(NA23,NE23,NI23),"")</f>
        <v/>
      </c>
      <c r="NX23" s="19" t="str">
        <f>IF(SUM(NU23,NV23)&gt;0,SUM(NU23,NV23),"")</f>
        <v/>
      </c>
      <c r="NY23" s="19" t="str">
        <f>IF(SUM(NM23,NQ23)&gt;0,SUM(NM23,NQ23),"")</f>
        <v/>
      </c>
      <c r="NZ23" s="19" t="str">
        <f>IF(SUM(NL23:NM23,NO23:NQ23,NS23)-SUM(NN23,NR23)&gt;0,SUM(NL23:NM23,NO23:NQ23,NS23)-SUM(NN23,NR23),"")</f>
        <v/>
      </c>
      <c r="OA23" s="19" t="str">
        <f>IF(SUM(NU23,NZ23)&gt;0,SUM(NU23,NZ23),"")</f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>IF(SUM(OC23,OG23)&gt;0,SUM(OC23,OG23),"")</f>
        <v/>
      </c>
      <c r="OW23" s="78" t="str">
        <f>IF(SUM(OB23:OC23,OE23:OG23,OI23)-OD23-OH23&gt;0,SUM(OB23:OC23,OE23:OG23,OI23)-OD23-OH23,"")</f>
        <v/>
      </c>
      <c r="OX23" s="78" t="str">
        <f>IF(SUM(OJ23:OK23,OM23)-OL23&gt;0,SUM(OJ23:OK23,OM23)-OL23,"")</f>
        <v/>
      </c>
      <c r="OY23" s="78" t="str">
        <f>IF(SUM(OC23,OG23,OK23)&gt;0,SUM(OC23,OG23,OK23),"")</f>
        <v/>
      </c>
      <c r="OZ23" s="78" t="str">
        <f>IF(SUM(OW23,OX23)&gt;0,SUM(OW23,OX23),"")</f>
        <v/>
      </c>
      <c r="PA23" s="78" t="str">
        <f>IF(SUM(OO23,OS23)&gt;0,SUM(OO23,OS23),"")</f>
        <v/>
      </c>
      <c r="PB23" s="78" t="str">
        <f>IF(SUM(ON23:OO23,OQ23:OS23,OU23)-SUM(OP23,OT23)&gt;0,SUM(ON23:OO23,OQ23:OS23,OU23)-SUM(OP23,OT23),"")</f>
        <v/>
      </c>
      <c r="PC23" s="78" t="str">
        <f>IF(SUM(OW23,PB23)&gt;0,SUM(OW23,PB23),"")</f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>IF(SUM(PE23,PI23)&gt;0,SUM(PE23,PI23),"")</f>
        <v/>
      </c>
      <c r="PY23" s="19" t="str">
        <f>IF(SUM(PD23:PE23,PG23:PI23,PK23)-PF23-PJ23&gt;0,SUM(PD23:PE23,PG23:PI23,PK23)-PF23-PJ23,"")</f>
        <v/>
      </c>
      <c r="PZ23" s="19" t="str">
        <f>IF(SUM(PL23:PM23,PO23)-PN23&gt;0,SUM(PL23:PM23,PO23)-PN23,"")</f>
        <v/>
      </c>
      <c r="QA23" s="19" t="str">
        <f>IF(SUM(PE23,PI23,PM23)&gt;0,SUM(PE23,PI23,PM23),"")</f>
        <v/>
      </c>
      <c r="QB23" s="19" t="str">
        <f>IF(SUM(PY23,PZ23)&gt;0,SUM(PY23,PZ23),"")</f>
        <v/>
      </c>
      <c r="QC23" s="19" t="str">
        <f>IF(SUM(PQ23,PU23)&gt;0,SUM(PQ23,PU23),"")</f>
        <v/>
      </c>
      <c r="QD23" s="19" t="str">
        <f>IF(SUM(PP23:PQ23,PS23:PU23,PW23)-SUM(PR23,PV23)&gt;0,SUM(PP23:PQ23,PS23:PU23,PW23)-SUM(PR23,PV23),"")</f>
        <v/>
      </c>
      <c r="QE23" s="19" t="str">
        <f>IF(SUM(PY23,QD23)&gt;0,SUM(PY23,QD23),"")</f>
        <v/>
      </c>
      <c r="QF23" s="37">
        <f>IF($CV23="P",CB23,(CB23+AY23)/2)</f>
        <v>9.1</v>
      </c>
      <c r="QG23" s="37">
        <f>IF($CV23="P",CC23,(CC23+AZ23)/2)</f>
        <v>1.75</v>
      </c>
      <c r="QH23" s="37">
        <f>IF($CV23="P",CD23,(CD23+BA23)/2)</f>
        <v>0.1</v>
      </c>
      <c r="QI23" s="37">
        <f>IF($CV23="P",CE23,(CE23+BB23)/2)</f>
        <v>0</v>
      </c>
      <c r="QJ23" s="37">
        <f>IF($CV23="P",CF23,(CF23+BC23)/2)</f>
        <v>9</v>
      </c>
      <c r="QK23" s="37">
        <f>IF($CV23="P",CG23,(CG23+BD23)/2)</f>
        <v>2.4</v>
      </c>
      <c r="QL23" s="37">
        <f>IF($CV23="P",CH23,(CH23+BE23)/2)</f>
        <v>0.4</v>
      </c>
      <c r="QM23" s="37">
        <f>IF($CV23="P",CI23,(CI23+BF23)/2)</f>
        <v>0</v>
      </c>
      <c r="QN23" s="37">
        <f>IF($CV23="P",CJ23,(CJ23+BG23)/2)</f>
        <v>8.5</v>
      </c>
      <c r="QO23" s="37">
        <f>IF($CV23="P",CK23,(CK23+BH23)/2)</f>
        <v>1.4</v>
      </c>
      <c r="QP23" s="37">
        <f>IF($CV23="P",CL23,(CL23+BI23)/2)</f>
        <v>0</v>
      </c>
      <c r="QQ23" s="37">
        <f>IF($CV23="P",CM23,(CM23+BJ23)/2)</f>
        <v>0</v>
      </c>
      <c r="QR23" s="37">
        <f>IF($CV23="P",CN23,(CN23+BK23)/2)</f>
        <v>9</v>
      </c>
      <c r="QS23" s="37">
        <f>IF($CV23="P",CO23,(CO23+BL23)/2)</f>
        <v>2.4</v>
      </c>
      <c r="QT23" s="37">
        <f>IF($CV23="P",CP23,(CP23+BM23)/2)</f>
        <v>0.4</v>
      </c>
      <c r="QU23" s="37">
        <f>IF($CV23="P",CQ23,(CQ23+BN23)/2)</f>
        <v>0</v>
      </c>
      <c r="QV23" s="37">
        <f>IF($CV23="P",CR23,(CR23+BO23)/2)</f>
        <v>9.1999999999999993</v>
      </c>
      <c r="QW23" s="37">
        <f>IF($CV23="P",CS23,(CS23+BP23)/2)</f>
        <v>1.75</v>
      </c>
      <c r="QX23" s="37">
        <f>IF($CV23="P",CT23,(CT23+BQ23)/2)</f>
        <v>0.3</v>
      </c>
      <c r="QY23" s="37">
        <f>IF($CV23="P",CU23,(CU23+BR23)/2)</f>
        <v>0</v>
      </c>
      <c r="QZ23" s="44" t="s">
        <v>46</v>
      </c>
      <c r="RA23" s="78">
        <f>IF(SUM(QG23,QK23)&gt;0,SUM(QG23,QK23),"")</f>
        <v>4.1500000000000004</v>
      </c>
      <c r="RB23" s="78">
        <f>IF(SUM(QF23:QG23,QI23:QK23,QM23)-QH23-QL23&gt;0,SUM(QF23:QG23,QI23:QK23,QM23)-QH23-QL23,"")</f>
        <v>21.75</v>
      </c>
      <c r="RC23" s="78">
        <f>IF(SUM(QN23:QO23,QQ23)-QP23&gt;0,SUM(QN23:QO23,QQ23)-QP23,"")</f>
        <v>9.9</v>
      </c>
      <c r="RD23" s="78">
        <f>IF(SUM(QG23,QK23,QO23)&gt;0,SUM(QG23,QK23,QO23),"")</f>
        <v>5.5500000000000007</v>
      </c>
      <c r="RE23" s="78">
        <f>IF(SUM(RB23,RC23)&gt;0,SUM(RB23,RC23),"")</f>
        <v>31.65</v>
      </c>
      <c r="RF23" s="78">
        <f>IF(SUM(QS23,QW23)&gt;0,SUM(QS23,QW23),"")</f>
        <v>4.1500000000000004</v>
      </c>
      <c r="RG23" s="78">
        <f>IF(SUM(QR23:QS23,QU23:QW23,QY23)-SUM(QT23,QX23)&gt;0,SUM(QR23:QS23,QU23:QW23,QY23)-SUM(QT23,QX23),"")</f>
        <v>21.650000000000002</v>
      </c>
      <c r="RH23" s="78">
        <f>IF(SUM(RB23,RG23)&gt;0,SUM(RB23,RG23),"")</f>
        <v>43.400000000000006</v>
      </c>
    </row>
    <row r="24" spans="1:476" x14ac:dyDescent="0.2">
      <c r="A24" s="5" t="str">
        <f>IF(AND(F24="P",G24="P"),SUMPRODUCT((F$4:F$29="P")*(G$4:G$29="P")*(E$4:E$29&gt;E24))+1,IF(G24="P",SUMPRODUCT((F$4:F$29="")*(G$4:G$29="P")*(E$4:E$29&gt;E24))+1+SUMPRODUCT((F$4:F$29="P")*(G$4:G$29="P")),""))</f>
        <v/>
      </c>
      <c r="B24" s="77" t="s">
        <v>199</v>
      </c>
      <c r="C24" s="5" t="s">
        <v>5</v>
      </c>
      <c r="D24" s="5">
        <v>2004</v>
      </c>
      <c r="E24" s="15">
        <f>SUM(I24:S24)+SUM(I24:O24)*0.0000001+SUM(I24)*0.0000000000001</f>
        <v>106.50000646000427</v>
      </c>
      <c r="F24" s="3" t="str">
        <f>IF(OR(AND(AQ24&gt;=AX$31,AR24&gt;=AX$35,AQ24&lt;&gt;"",AP24=""),AND(AV24&gt;=AX$31,AW24&gt;=AX$35,AV24&lt;&gt;"",AP24=""),AND(BT24&gt;=CA$31,BU24&gt;=CA$35,BT24&lt;&gt;"",BS24=""),AND(BY24&gt;=CA$31,BZ24&gt;=CA$35,BY24&lt;&gt;"",BS24=""),AND(CW24&gt;=DD$31,CX24&gt;=DD$35,CW24&lt;&gt;"",CV24=""),AND(DB24&gt;=DD$31,DC24&gt;=DD$35,DB24&lt;&gt;""),AND(EB24&gt;=EI$31,EC24&gt;=EI$35,EB24&lt;&gt;""),AND(EG24&gt;=EI$31,EH24&gt;=EI$35,EG24&lt;&gt;""),AND(FD24&gt;=FK$31,FE24&gt;=FK$35,FD24&lt;&gt;""),AND(FI24&gt;=FK$31,FJ24&gt;=FK$35,FI24&lt;&gt;""),AND(GF24&gt;=GM$31,GG24&gt;=GM$35,GF24&lt;&gt;""),AND(GK24&gt;=GM$31,GL24&gt;=GM$35,GK24&lt;&gt;""),AND(HH24&gt;=HO$31,HI24&gt;=HO$35,HH24&lt;&gt;""),AND(HM24&gt;=HO$31,HN24&gt;=HO$35,HM24&lt;&gt;""),AND(IJ24&gt;=IQ$31,IK24&gt;=IQ$35,IJ24&lt;&gt;""),AND(IO24&gt;=IQ$31,IP24&gt;=IQ$35,IO24&lt;&gt;""),AND(JL24&gt;=JS$31,JM24&gt;=JS$35,JL24&lt;&gt;""),AND(JQ24&gt;=JS$31,JR24&gt;=JS$35,JQ24&lt;&gt;""),AND(KN24&gt;=KU$31,KO24&gt;=KU$35,KN24&lt;&gt;""),AND(KS24&gt;=KU$31,KT24&gt;=KU$35,KS24&lt;&gt;""),AND(LP24&gt;=LW$31,LQ24&gt;=LW$35,LP24&lt;&gt;""),AND(LU24&gt;=LW$31,LV24&gt;=LW$35,LU24&lt;&gt;""),AND(MR24&gt;=MY$31,MS24&gt;=MY$35,MR24&lt;&gt;""),AND(MW24&gt;=MY$31,MX24&gt;=MY$35,MW24&lt;&gt;""),AND(NT24&gt;=OA$31,NU24&gt;=OA$35,NT24&lt;&gt;""),AND(NY24&gt;=OA$31,NZ24&gt;=OA$35,NY24&lt;&gt;""),AND(OV24&gt;=PC$31,OW24&gt;=PC$35,OV24&lt;&gt;""),AND(PA24&gt;=PC$31,PB24&gt;=PC$35,PA24&lt;&gt;""),AND(PX24&gt;=QE$31,PY24&gt;=QE$35,PX24&lt;&gt;""),AND(QC24&gt;=QE$31,QD24&gt;=QE$35,QC24&lt;&gt;"")),"P","")</f>
        <v/>
      </c>
      <c r="G24" s="3" t="str">
        <f>IF(OR(AND(AR24&gt;=AX$35,AR24&lt;&gt;"",AP24=""),AND(AW24&gt;=AX$35,AW24&lt;&gt;"",AP24=""),AND(BU24&gt;=CA$35,BU24&lt;&gt;"",BS24=""),AND(BZ24&gt;=CA$35,BZ24&lt;&gt;"",BS24=""),AND(CX24&gt;=DD$35,CX24&lt;&gt;"",CV24=""),AND(DC24&gt;=DD$35,DC24&lt;&gt;"",CV24=""),AND(EC24&gt;=EI$35,EC24&lt;&gt;""),AND(EH24&gt;=EI$35,EH24&lt;&gt;""),AND(FE24&gt;=FK$35,FE24&lt;&gt;""),AND(FJ24&gt;=FK$35,FJ24&lt;&gt;""),AND(GG24&gt;=GM$35,GG24&lt;&gt;""),AND(GL24&gt;=GM$35,GL24&lt;&gt;""),AND(HI24&gt;=HO$35,HI24&lt;&gt;""),AND(HN24&gt;=HO$35,HN24&lt;&gt;""),AND(IK24&gt;=IQ$35,IK24&lt;&gt;""),AND(IP24&gt;=IQ$35,IP24&lt;&gt;""),AND(JM24&gt;=JS$35,JM24&lt;&gt;""),AND(JR24&gt;=JS$35,JR24&lt;&gt;""),AND(KO24&gt;=KU$35,KO24&lt;&gt;""),AND(KT24&gt;=KU$35,KT24&lt;&gt;""),AND(LQ24&gt;=LW$35,LQ24&lt;&gt;""),AND(LV24&gt;=LW$35,LV24&lt;&gt;""),AND(MS24&gt;=MY$35,MS24&lt;&gt;""),AND(MX24&gt;=MY$35,MX24&lt;&gt;""),AND(NU24&gt;=OA$35,NU24&lt;&gt;""),AND(NZ24&gt;=OA$35,NZ24&lt;&gt;""),AND(OW24&gt;=PC$35,OW24&lt;&gt;""),AND(PB24&gt;=PC$35,PB24&lt;&gt;""),AND(PY24&gt;=QE$35,PY24&lt;&gt;""),AND(QD24&gt;=QE$35,QD24&lt;&gt;"")),"P","")</f>
        <v/>
      </c>
      <c r="H24" s="66" t="str">
        <f>IF(AND(G24="P",F24=""),"No DD",IF(OR(AND(AT24&gt;=AX$34,AU24&gt;=AX$38,AT24&lt;&gt;"",AP24=""),AND(BW24&gt;=CA$34,BX24&gt;=CA$38,BW24&lt;&gt;"",BS24=""),AND(CZ24&gt;=DD$34,DA24&gt;=DD$38,CZ24&lt;&gt;"",CV24=""),AND(EE24&gt;=EI$34,EF24&gt;=EI$38,EE24&lt;&gt;""),AND(FG24&gt;=FK$34,FH24&gt;=FK$38,FG24&lt;&gt;""),AND(GI24&gt;=GM$34,GJ24&gt;=GM$38,GI24&lt;&gt;""),AND(HK24&gt;=HO$34,HL24&gt;=HO$38,HK24&lt;&gt;""),AND(IM24&gt;=IQ$34,IN24&gt;=IQ$38,IM24&lt;&gt;""),AND(JO24&gt;=JS$34,JP24&gt;=JS$38,JO24&lt;&gt;""),AND(KQ24&gt;=KU$34,KR24&gt;=KU$38,KQ24&lt;&gt;""),AND(LS24&gt;=LW$34,LT24&gt;=LW$38,LS24&lt;&gt;""),AND(MU24&gt;=MY$34,MV24&gt;=MY$38,MU24&lt;&gt;""),AND(NW24&gt;=OA$34,NX24&gt;=OA$38,NW24&lt;&gt;""),AND(OY24&gt;=PC$34,OZ24&gt;=PC$38,OY24&lt;&gt;""),AND(QA24&gt;=QE$34,QB24&gt;=QE$38,QA24&lt;&gt;"")),"Merit",IF(OR(AND(AT24&gt;=AX$33,AU24&gt;=AX$37,AT24&lt;&gt;"",AP24=""),AND(BW24&gt;=CA$33,BX24&gt;=CA$37,BW24&lt;&gt;"",BS24=""),AND(CZ24&gt;=DD$33,DA24&gt;=DD$37,CZ24&lt;&gt;"",CV24=""),AND(EE24&gt;=EI$33,EF24&gt;=EI$37,EE24&lt;&gt;""),AND(FG24&gt;=FK$33,FH24&gt;=FK$37,FG24&lt;&gt;""),AND(GI24&gt;=GM$33,GJ24&gt;=GM$37,GI24&lt;&gt;""),AND(HK24&gt;=HO$33,HL24&gt;=HO$37,HK24&lt;&gt;""),AND(IM24&gt;=IQ$33,IN24&gt;=IQ$37,IM24&lt;&gt;""),AND(JO24&gt;=JS$33,JP24&gt;=JS$37,JO24&lt;&gt;""),AND(KQ24&gt;=KU$33,KR24&gt;=KU$37,KQ24&lt;&gt;""),AND(LS24&gt;=LW$33,LT24&gt;=LW$37,LS24&lt;&gt;""),AND(MU24&gt;=MY$33,MV24&gt;=MY$37,MU24&lt;&gt;""),AND(NW24&gt;=OA$33,NX24&gt;=OA$37,NW24&lt;&gt;""),AND(OY24&gt;=PC$33,OZ24&gt;=PC$37,OY24&lt;&gt;""),AND(QA24&gt;=QE$33,QB24&gt;=QE$37,QA24&lt;&gt;"")),"Excellence",IF(F24="P","National Team",""))))</f>
        <v/>
      </c>
      <c r="I24" s="14">
        <f>IF(COUNT(AR24,BU24,CX24)&gt;0,LARGE((AR24,BU24,CX24),1),0)</f>
        <v>42.8</v>
      </c>
      <c r="J24" s="14" t="str">
        <f>IF(I24=0,"",IF(I24=CX24,$CB$1,IF(I24=BU24,$AY$1,IF(I24=AR24,$V$1,""))))</f>
        <v>2022 Nationals</v>
      </c>
      <c r="K24" s="14">
        <f>IF(COUNT(AR24,BU24,CX24)&gt;1,LARGE((AR24,BU24,CX24),2),0)</f>
        <v>0</v>
      </c>
      <c r="L24" s="14" t="str">
        <f>IF(K24=0,"",IF(K24=CX24,$CB$1,IF(K24=BU24,$AY$1,IF(K24=AR24,$V$1,""))))</f>
        <v/>
      </c>
      <c r="M24" s="14">
        <f>IF(COUNT(AS24,BV24,CY24)&gt;0,LARGE((AS24,BV24,CY24),1),0)</f>
        <v>21.8</v>
      </c>
      <c r="N24" s="14" t="str">
        <f>IF(M24=0,"",IF(M24=CY24,$CB$1,IF(M24=BV24,$AY$1,IF(M24=AS24,$V$1,""))))</f>
        <v>2022 Nationals</v>
      </c>
      <c r="O24" s="14">
        <f>IF(COUNT(AS24,BV24,CY24)&gt;1,LARGE((AS24,BV24,CY24),2),0)</f>
        <v>0</v>
      </c>
      <c r="P24" s="14" t="str">
        <f>IF(O24=0,"",IF(O24=CY24,$CB$1,IF(O24=BV24,$AY$1,IF(O24=AS24,$V$1,""))))</f>
        <v/>
      </c>
      <c r="Q24" s="14">
        <f>IF(MAX(AW24,BZ24,DC24)&gt;0,MAX(AW24,BZ24,DC24),0)</f>
        <v>41.9</v>
      </c>
      <c r="R24" s="14" t="str">
        <f>IF(Q24=0,"",IF(Q24=DC24,$CB$1,IF(Q24=BZ24,$AY$1,IF(Q24=AW24,$V$1,""))))</f>
        <v>2022 Nationals</v>
      </c>
      <c r="S24" s="14" t="str">
        <f>IF(MAX(DE24:DG24)&gt;0,MAX(DE24:DG24),"")</f>
        <v/>
      </c>
      <c r="T24" s="19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>IF(SUM(W24,AA24)&gt;0,SUM(W24,AA24),"")</f>
        <v/>
      </c>
      <c r="AR24" s="78" t="str">
        <f>IF(SUM(V24:W24,Y24:AA24,AC24)-X24-AB24&gt;0,SUM(V24:W24,Y24:AA24,AC24)-X24-AB24,"")</f>
        <v/>
      </c>
      <c r="AS24" s="78" t="str">
        <f>IF(SUM(AD24:AE24,AG24)-AF24&gt;0,SUM(AD24:AE24,AG24)-AF24,"")</f>
        <v/>
      </c>
      <c r="AT24" s="78" t="str">
        <f>IF(SUM(W24,AA24,AE24)&gt;0,SUM(W24,AA24,AE24),"")</f>
        <v/>
      </c>
      <c r="AU24" s="78" t="str">
        <f>IF(SUM(AR24,AS24)&gt;0,SUM(AR24,AS24),"")</f>
        <v/>
      </c>
      <c r="AV24" s="78" t="str">
        <f>IF(SUM(AI24,AM24)&gt;0,SUM(AI24,AM24),"")</f>
        <v/>
      </c>
      <c r="AW24" s="78" t="str">
        <f>IF(SUM(AH24:AI24,AK24:AM24,AO24)-SUM(AJ24,AN24)&gt;0,SUM(AH24:AI24,AK24:AM24,AO24)-SUM(AJ24,AN24),"")</f>
        <v/>
      </c>
      <c r="AX24" s="78" t="str">
        <f>IF(SUM(AR24,AW24)&gt;0,SUM(AR24,AW24),"")</f>
        <v/>
      </c>
      <c r="AY24" s="25">
        <v>18.3</v>
      </c>
      <c r="AZ24" s="25">
        <v>3.5</v>
      </c>
      <c r="BA24" s="25">
        <v>0.2</v>
      </c>
      <c r="BB24" s="25">
        <v>0</v>
      </c>
      <c r="BC24" s="25">
        <v>18.2</v>
      </c>
      <c r="BD24" s="25">
        <v>3.6</v>
      </c>
      <c r="BE24" s="25">
        <v>0.6</v>
      </c>
      <c r="BF24" s="25">
        <v>0</v>
      </c>
      <c r="BG24" s="25">
        <v>18.5</v>
      </c>
      <c r="BH24" s="25">
        <v>3.3</v>
      </c>
      <c r="BI24" s="25">
        <v>0</v>
      </c>
      <c r="BJ24" s="25">
        <v>0</v>
      </c>
      <c r="BK24" s="25">
        <v>18</v>
      </c>
      <c r="BL24" s="25">
        <v>2.7</v>
      </c>
      <c r="BM24" s="25">
        <v>0.5</v>
      </c>
      <c r="BN24" s="25">
        <v>0</v>
      </c>
      <c r="BO24" s="25">
        <v>18.100000000000001</v>
      </c>
      <c r="BP24" s="25">
        <v>3.6</v>
      </c>
      <c r="BQ24" s="25">
        <v>0</v>
      </c>
      <c r="BR24" s="25">
        <v>0</v>
      </c>
      <c r="BS24" s="45"/>
      <c r="BT24" s="19">
        <f>IF(SUM(AZ24,BD24)&gt;0,SUM(AZ24,BD24),"")</f>
        <v>7.1</v>
      </c>
      <c r="BU24" s="19">
        <f>IF(SUM(AY24:AZ24,BB24:BD24,BF24)-BA24-BE24&gt;0,SUM(AY24:AZ24,BB24:BD24,BF24)-BA24-BE24,"")</f>
        <v>42.8</v>
      </c>
      <c r="BV24" s="19">
        <f>IF(SUM(BG24:BH24,BJ24)-BI24&gt;0,SUM(BG24:BH24,BJ24)-BI24,"")</f>
        <v>21.8</v>
      </c>
      <c r="BW24" s="19">
        <f>IF(SUM(AZ24,BD24,BH24)&gt;0,SUM(AZ24,BD24,BH24),"")</f>
        <v>10.399999999999999</v>
      </c>
      <c r="BX24" s="19">
        <f>IF(SUM(BU24,BV24)&gt;0,SUM(BU24,BV24),"")</f>
        <v>64.599999999999994</v>
      </c>
      <c r="BY24" s="19">
        <f>IF(SUM(BL24,BP24)&gt;0,SUM(BL24,BP24),"")</f>
        <v>6.3000000000000007</v>
      </c>
      <c r="BZ24" s="19">
        <f>IF(SUM(BK24:BL24,BN24:BP24,BR24)-SUM(BM24,BQ24)&gt;0,SUM(BK24:BL24,BN24:BP24,BR24)-SUM(BM24,BQ24),"")</f>
        <v>41.9</v>
      </c>
      <c r="CA24" s="19">
        <f>IF(SUM(BU24,BZ24)&gt;0,SUM(BU24,BZ24),"")</f>
        <v>84.699999999999989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>IF(SUM(CC24,CG24)&gt;0,SUM(CC24,CG24),"")</f>
        <v/>
      </c>
      <c r="CX24" s="78" t="str">
        <f>IF(SUM(CB24:CC24,CE24:CG24,CI24)-CD24-CH24&gt;0,SUM(CB24:CC24,CE24:CG24,CI24)-CD24-CH24,"")</f>
        <v/>
      </c>
      <c r="CY24" s="78" t="str">
        <f>IF(SUM(CJ24:CK24,CM24)-CL24&gt;0,SUM(CJ24:CK24,CM24)-CL24,"")</f>
        <v/>
      </c>
      <c r="CZ24" s="78" t="str">
        <f>IF(SUM(CC24,CG24,CK24)&gt;0,SUM(CC24,CG24,CK24),"")</f>
        <v/>
      </c>
      <c r="DA24" s="78" t="str">
        <f>IF(SUM(CX24,CY24)&gt;0,SUM(CX24,CY24),"")</f>
        <v/>
      </c>
      <c r="DB24" s="78" t="str">
        <f>IF(SUM(CO24,CS24)&gt;0,SUM(CO24,CS24),"")</f>
        <v/>
      </c>
      <c r="DC24" s="78" t="str">
        <f>IF(SUM(CN24:CO24,CQ24:CS24,CU24)-SUM(CP24,CT24)&gt;0,SUM(CN24:CO24,CQ24:CS24,CU24)-SUM(CP24,CT24),"")</f>
        <v/>
      </c>
      <c r="DD24" s="78" t="str">
        <f>IF(SUM(CX24,DC24)&gt;0,SUM(CX24,DC24),"")</f>
        <v/>
      </c>
      <c r="DE24" s="79" t="str">
        <f>IF(K24&gt;=0.001,IF(MAX(EC24,FE24,GG24,HI24,IK24,JM24,KO24,LQ24,MS24,NU24,OW24,PY24)-IF(K24="",0,K24)&gt;0.001,MAX(EC24,FE24,GG24,HI24,IK24,JM24,KO24,LQ24,MS24,NU24,OW24,PY24)-IF(K24="",0,K24),""),"")</f>
        <v/>
      </c>
      <c r="DF24" s="79" t="str">
        <f>IF(O24&gt;=0.001,IF(MAX(ED24,FF24,GH24,HJ24,IL24,JN24,KP24,LR24,MT24,NV24,OX24,PZ24)-IF(O24="",0,O24)&gt;0.001,MAX(ED24,FF24,GH24,HJ24,IL24,JN24,KP24,LR24,MT24,NV24,OX24,PZ24)-IF(O24="",0,O24),""),"")</f>
        <v/>
      </c>
      <c r="DG24" s="79" t="str">
        <f>IF(Q24&gt;=0.001,IF(MAX(EH24,FJ24,GL24,HN24,IP24,JR24,KT24,LV24,MX24,NZ24,PB24,QD24)-IF(Q24="",0,Q24)&gt;0.001,MAX(EH24,FJ24,GL24,HN24,IP24,JR24,KT24,LV24,MX24,NZ24,PB24,QD24)-IF(Q24="",0,Q24),""),"")</f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>IF(SUM(DI24,DM24)&gt;0,SUM(DI24,DM24),"")</f>
        <v/>
      </c>
      <c r="EC24" s="78" t="str">
        <f>IF(SUM(DH24:DI24,DK24:DM24,DO24)-DJ24-DN24&gt;0,SUM(DH24:DI24,DK24:DM24,DO24)-DJ24-DN24,"")</f>
        <v/>
      </c>
      <c r="ED24" s="78" t="str">
        <f>IF(SUM(DP24:DQ24,DS24)-DR24&gt;0,SUM(DP24:DQ24,DS24)-DR24,"")</f>
        <v/>
      </c>
      <c r="EE24" s="78" t="str">
        <f>IF(SUM(DI24,DM24,DQ24)&gt;0,SUM(DI24,DM24,DQ24),"")</f>
        <v/>
      </c>
      <c r="EF24" s="78" t="str">
        <f>IF(SUM(EC24,ED24)&gt;0,SUM(EC24,ED24),"")</f>
        <v/>
      </c>
      <c r="EG24" s="78" t="str">
        <f>IF(SUM(DU24,DY24)&gt;0,SUM(DU24,DY24),"")</f>
        <v/>
      </c>
      <c r="EH24" s="78" t="str">
        <f>IF(SUM(DT24:DU24,DW24:DY24,EA24)-SUM(DV24,DZ24)&gt;0,SUM(DT24:DU24,DW24:DY24,EA24)-SUM(DV24,DZ24),"")</f>
        <v/>
      </c>
      <c r="EI24" s="78" t="str">
        <f>IF(SUM(EC24,EH24)&gt;0,SUM(EC24,EH24),"")</f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>IF(SUM(EK24,EO24)&gt;0,SUM(EK24,EO24),"")</f>
        <v/>
      </c>
      <c r="FE24" s="19" t="str">
        <f>IF(SUM(EJ24:EK24,EM24:EO24,EQ24)-EL24-EP24&gt;0,SUM(EJ24:EK24,EM24:EO24,EQ24)-EL24-EP24,"")</f>
        <v/>
      </c>
      <c r="FF24" s="19" t="str">
        <f>IF(SUM(ER24:ES24,EU24)-ET24&gt;0,SUM(ER24:ES24,EU24)-ET24,"")</f>
        <v/>
      </c>
      <c r="FG24" s="19" t="str">
        <f>IF(SUM(EK24,EO24,ES24)&gt;0,SUM(EK24,EO24,ES24),"")</f>
        <v/>
      </c>
      <c r="FH24" s="19" t="str">
        <f>IF(SUM(FE24,FF24)&gt;0,SUM(FE24,FF24),"")</f>
        <v/>
      </c>
      <c r="FI24" s="19" t="str">
        <f>IF(SUM(EW24,FA24)&gt;0,SUM(EW24,FA24),"")</f>
        <v/>
      </c>
      <c r="FJ24" s="19" t="str">
        <f>IF(SUM(EV24:EW24,EY24:FA24,FC24)-SUM(EX24,FB24)&gt;0,SUM(EV24:EW24,EY24:FA24,FC24)-SUM(EX24,FB24),"")</f>
        <v/>
      </c>
      <c r="FK24" s="19" t="str">
        <f>IF(SUM(FE24,FJ24)&gt;0,SUM(FE24,FJ24),"")</f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>IF(SUM(FM24,FQ24)&gt;0,SUM(FM24,FQ24),"")</f>
        <v/>
      </c>
      <c r="GG24" s="78" t="str">
        <f>IF(SUM(FL24:FM24,FO24:FQ24,FS24)-FN24-FR24&gt;0,SUM(FL24:FM24,FO24:FQ24,FS24)-FN24-FR24,"")</f>
        <v/>
      </c>
      <c r="GH24" s="78" t="str">
        <f>IF(SUM(FT24:FU24,FW24)-FV24&gt;0,SUM(FT24:FU24,FW24)-FV24,"")</f>
        <v/>
      </c>
      <c r="GI24" s="78" t="str">
        <f>IF(SUM(FM24,FQ24,FU24)&gt;0,SUM(FM24,FQ24,FU24),"")</f>
        <v/>
      </c>
      <c r="GJ24" s="78" t="str">
        <f>IF(SUM(GG24,GH24)&gt;0,SUM(GG24,GH24),"")</f>
        <v/>
      </c>
      <c r="GK24" s="78" t="str">
        <f>IF(SUM(FY24,GC24)&gt;0,SUM(FY24,GC24),"")</f>
        <v/>
      </c>
      <c r="GL24" s="78" t="str">
        <f>IF(SUM(FX24:FY24,GA24:GC24,GE24)-SUM(FZ24,GD24)&gt;0,SUM(FX24:FY24,GA24:GC24,GE24)-SUM(FZ24,GD24),"")</f>
        <v/>
      </c>
      <c r="GM24" s="78" t="str">
        <f>IF(SUM(GG24,GL24)&gt;0,SUM(GG24,GL24),"")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>IF(SUM(GO24,GS24)&gt;0,SUM(GO24,GS24),"")</f>
        <v/>
      </c>
      <c r="HI24" s="19" t="str">
        <f>IF(SUM(GN24:GO24,GQ24:GS24,GU24)-GP24-GT24&gt;0,SUM(GN24:GO24,GQ24:GS24,GU24)-GP24-GT24,"")</f>
        <v/>
      </c>
      <c r="HJ24" s="19" t="str">
        <f>IF(SUM(GV24:GW24,GY24)-GX24&gt;0,SUM(GV24:GW24,GY24)-GX24,"")</f>
        <v/>
      </c>
      <c r="HK24" s="19" t="str">
        <f>IF(SUM(GO24,GS24,GW24)&gt;0,SUM(GO24,GS24,GW24),"")</f>
        <v/>
      </c>
      <c r="HL24" s="19" t="str">
        <f>IF(SUM(HI24,HJ24)&gt;0,SUM(HI24,HJ24),"")</f>
        <v/>
      </c>
      <c r="HM24" s="19" t="str">
        <f>IF(SUM(HA24,HE24)&gt;0,SUM(HA24,HE24),"")</f>
        <v/>
      </c>
      <c r="HN24" s="19" t="str">
        <f>IF(SUM(GZ24:HA24,HC24:HE24,HG24)-SUM(HB24,HF24)&gt;0,SUM(GZ24:HA24,HC24:HE24,HG24)-SUM(HB24,HF24),"")</f>
        <v/>
      </c>
      <c r="HO24" s="19" t="str">
        <f>IF(SUM(HI24,HN24)&gt;0,SUM(HI24,HN24),"")</f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>IF(SUM(HQ24,HU24)&gt;0,SUM(HQ24,HU24),"")</f>
        <v/>
      </c>
      <c r="IK24" s="78" t="str">
        <f>IF(SUM(HP24:HQ24,HS24:HU24,HW24)-HR24-HV24&gt;0,SUM(HP24:HQ24,HS24:HU24,HW24)-HR24-HV24,"")</f>
        <v/>
      </c>
      <c r="IL24" s="78" t="str">
        <f>IF(SUM(HX24:HY24,IA24)-HZ24&gt;0,SUM(HX24:HY24,IA24)-HZ24,"")</f>
        <v/>
      </c>
      <c r="IM24" s="78" t="str">
        <f>IF(SUM(HQ24,HU24,HY24)&gt;0,SUM(HQ24,HU24,HY24),"")</f>
        <v/>
      </c>
      <c r="IN24" s="78" t="str">
        <f>IF(SUM(IK24,IL24)&gt;0,SUM(IK24,IL24),"")</f>
        <v/>
      </c>
      <c r="IO24" s="78" t="str">
        <f>IF(SUM(IC24,IG24)&gt;0,SUM(IC24,IG24),"")</f>
        <v/>
      </c>
      <c r="IP24" s="78" t="str">
        <f>IF(SUM(IB24:IC24,IE24:IG24,II24)-SUM(ID24,IH24)&gt;0,SUM(IB24:IC24,IE24:IG24,II24)-SUM(ID24,IH24),"")</f>
        <v/>
      </c>
      <c r="IQ24" s="78" t="str">
        <f>IF(SUM(IK24,IP24)&gt;0,SUM(IK24,IP24),"")</f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>IF(SUM(IS24,IW24)&gt;0,SUM(IS24,IW24),"")</f>
        <v/>
      </c>
      <c r="JM24" s="19" t="str">
        <f>IF(SUM(IR24:IS24,IU24:IW24,IY24)-IT24-IX24&gt;0,SUM(IR24:IS24,IU24:IW24,IY24)-IT24-IX24,"")</f>
        <v/>
      </c>
      <c r="JN24" s="19" t="str">
        <f>IF(SUM(IZ24:JA24,JC24)-JB24&gt;0,SUM(IZ24:JA24,JC24)-JB24,"")</f>
        <v/>
      </c>
      <c r="JO24" s="19" t="str">
        <f>IF(SUM(IS24,IW24,JA24)&gt;0,SUM(IS24,IW24,JA24),"")</f>
        <v/>
      </c>
      <c r="JP24" s="19" t="str">
        <f>IF(SUM(JM24,JN24)&gt;0,SUM(JM24,JN24),"")</f>
        <v/>
      </c>
      <c r="JQ24" s="19" t="str">
        <f>IF(SUM(JE24,JI24)&gt;0,SUM(JE24,JI24),"")</f>
        <v/>
      </c>
      <c r="JR24" s="19" t="str">
        <f>IF(SUM(JD24:JE24,JG24:JI24,JK24)-SUM(JF24,JJ24)&gt;0,SUM(JD24:JE24,JG24:JI24,JK24)-SUM(JF24,JJ24),"")</f>
        <v/>
      </c>
      <c r="JS24" s="19" t="str">
        <f>IF(SUM(JM24,JR24)&gt;0,SUM(JM24,JR24),"")</f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>IF(SUM(JU24,JY24)&gt;0,SUM(JU24,JY24),"")</f>
        <v/>
      </c>
      <c r="KO24" s="78" t="str">
        <f>IF(SUM(JT24:JU24,JW24:JY24,KA24)-JV24-JZ24&gt;0,SUM(JT24:JU24,JW24:JY24,KA24)-JV24-JZ24,"")</f>
        <v/>
      </c>
      <c r="KP24" s="78" t="str">
        <f>IF(SUM(KB24:KC24,KE24)-KD24&gt;0,SUM(KB24:KC24,KE24)-KD24,"")</f>
        <v/>
      </c>
      <c r="KQ24" s="78" t="str">
        <f>IF(SUM(JU24,JY24,KC24)&gt;0,SUM(JU24,JY24,KC24),"")</f>
        <v/>
      </c>
      <c r="KR24" s="78" t="str">
        <f>IF(SUM(KO24,KP24)&gt;0,SUM(KO24,KP24),"")</f>
        <v/>
      </c>
      <c r="KS24" s="78" t="str">
        <f>IF(SUM(KG24,KK24)&gt;0,SUM(KG24,KK24),"")</f>
        <v/>
      </c>
      <c r="KT24" s="78" t="str">
        <f>IF(SUM(KF24:KG24,KI24:KK24,KM24)-SUM(KH24,KL24)&gt;0,SUM(KF24:KG24,KI24:KK24,KM24)-SUM(KH24,KL24),"")</f>
        <v/>
      </c>
      <c r="KU24" s="78" t="str">
        <f>IF(SUM(KO24,KT24)&gt;0,SUM(KO24,KT24),"")</f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>IF(SUM(KW24,LA24)&gt;0,SUM(KW24,LA24),"")</f>
        <v/>
      </c>
      <c r="LQ24" s="19" t="str">
        <f>IF(SUM(KV24:KW24,KY24:LA24,LC24)-KX24-LB24&gt;0,SUM(KV24:KW24,KY24:LA24,LC24)-KX24-LB24,"")</f>
        <v/>
      </c>
      <c r="LR24" s="19" t="str">
        <f>IF(SUM(LD24:LE24,LG24)-LF24&gt;0,SUM(LD24:LE24,LG24)-LF24,"")</f>
        <v/>
      </c>
      <c r="LS24" s="19" t="str">
        <f>IF(SUM(KW24,LA24,LE24)&gt;0,SUM(KW24,LA24,LE24),"")</f>
        <v/>
      </c>
      <c r="LT24" s="19" t="str">
        <f>IF(SUM(LQ24,LR24)&gt;0,SUM(LQ24,LR24),"")</f>
        <v/>
      </c>
      <c r="LU24" s="19" t="str">
        <f>IF(SUM(LI24,LM24)&gt;0,SUM(LI24,LM24),"")</f>
        <v/>
      </c>
      <c r="LV24" s="19" t="str">
        <f>IF(SUM(LH24:LI24,LK24:LM24,LO24)-SUM(LJ24,LN24)&gt;0,SUM(LH24:LI24,LK24:LM24,LO24)-SUM(LJ24,LN24),"")</f>
        <v/>
      </c>
      <c r="LW24" s="19" t="str">
        <f>IF(SUM(LQ24,LV24)&gt;0,SUM(LQ24,LV24),"")</f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>IF(SUM(LY24,MC24)&gt;0,SUM(LY24,MC24),"")</f>
        <v/>
      </c>
      <c r="MS24" s="78" t="str">
        <f>IF(SUM(LX24:LY24,MA24:MC24,ME24)-LZ24-MD24&gt;0,SUM(LX24:LY24,MA24:MC24,ME24)-LZ24-MD24,"")</f>
        <v/>
      </c>
      <c r="MT24" s="78" t="str">
        <f>IF(SUM(MF24:MG24,MI24)-MH24&gt;0,SUM(MF24:MG24,MI24)-MH24,"")</f>
        <v/>
      </c>
      <c r="MU24" s="78" t="str">
        <f>IF(SUM(LY24,MC24,MG24)&gt;0,SUM(LY24,MC24,MG24),"")</f>
        <v/>
      </c>
      <c r="MV24" s="78" t="str">
        <f>IF(SUM(MS24,MT24)&gt;0,SUM(MS24,MT24),"")</f>
        <v/>
      </c>
      <c r="MW24" s="78" t="str">
        <f>IF(SUM(MK24,MO24)&gt;0,SUM(MK24,MO24),"")</f>
        <v/>
      </c>
      <c r="MX24" s="78" t="str">
        <f>IF(SUM(MJ24:MK24,MM24:MO24,MQ24)-SUM(ML24,MP24)&gt;0,SUM(MJ24:MK24,MM24:MO24,MQ24)-SUM(ML24,MP24),"")</f>
        <v/>
      </c>
      <c r="MY24" s="78" t="str">
        <f>IF(SUM(MS24,MX24)&gt;0,SUM(MS24,MX24),"")</f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>IF(SUM(NA24,NE24)&gt;0,SUM(NA24,NE24),"")</f>
        <v/>
      </c>
      <c r="NU24" s="19" t="str">
        <f>IF(SUM(MZ24:NA24,NC24:NE24,NG24)-NB24-NF24&gt;0,SUM(MZ24:NA24,NC24:NE24,NG24)-NB24-NF24,"")</f>
        <v/>
      </c>
      <c r="NV24" s="19" t="str">
        <f>IF(SUM(NH24:NI24,NK24)-NJ24&gt;0,SUM(NH24:NI24,NK24)-NJ24,"")</f>
        <v/>
      </c>
      <c r="NW24" s="19" t="str">
        <f>IF(SUM(NA24,NE24,NI24)&gt;0,SUM(NA24,NE24,NI24),"")</f>
        <v/>
      </c>
      <c r="NX24" s="19" t="str">
        <f>IF(SUM(NU24,NV24)&gt;0,SUM(NU24,NV24),"")</f>
        <v/>
      </c>
      <c r="NY24" s="19" t="str">
        <f>IF(SUM(NM24,NQ24)&gt;0,SUM(NM24,NQ24),"")</f>
        <v/>
      </c>
      <c r="NZ24" s="19" t="str">
        <f>IF(SUM(NL24:NM24,NO24:NQ24,NS24)-SUM(NN24,NR24)&gt;0,SUM(NL24:NM24,NO24:NQ24,NS24)-SUM(NN24,NR24),"")</f>
        <v/>
      </c>
      <c r="OA24" s="19" t="str">
        <f>IF(SUM(NU24,NZ24)&gt;0,SUM(NU24,NZ24),"")</f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>IF(SUM(OC24,OG24)&gt;0,SUM(OC24,OG24),"")</f>
        <v/>
      </c>
      <c r="OW24" s="78" t="str">
        <f>IF(SUM(OB24:OC24,OE24:OG24,OI24)-OD24-OH24&gt;0,SUM(OB24:OC24,OE24:OG24,OI24)-OD24-OH24,"")</f>
        <v/>
      </c>
      <c r="OX24" s="78" t="str">
        <f>IF(SUM(OJ24:OK24,OM24)-OL24&gt;0,SUM(OJ24:OK24,OM24)-OL24,"")</f>
        <v/>
      </c>
      <c r="OY24" s="78" t="str">
        <f>IF(SUM(OC24,OG24,OK24)&gt;0,SUM(OC24,OG24,OK24),"")</f>
        <v/>
      </c>
      <c r="OZ24" s="78" t="str">
        <f>IF(SUM(OW24,OX24)&gt;0,SUM(OW24,OX24),"")</f>
        <v/>
      </c>
      <c r="PA24" s="78" t="str">
        <f>IF(SUM(OO24,OS24)&gt;0,SUM(OO24,OS24),"")</f>
        <v/>
      </c>
      <c r="PB24" s="78" t="str">
        <f>IF(SUM(ON24:OO24,OQ24:OS24,OU24)-SUM(OP24,OT24)&gt;0,SUM(ON24:OO24,OQ24:OS24,OU24)-SUM(OP24,OT24),"")</f>
        <v/>
      </c>
      <c r="PC24" s="78" t="str">
        <f>IF(SUM(OW24,PB24)&gt;0,SUM(OW24,PB24),"")</f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>IF(SUM(PE24,PI24)&gt;0,SUM(PE24,PI24),"")</f>
        <v/>
      </c>
      <c r="PY24" s="19" t="str">
        <f>IF(SUM(PD24:PE24,PG24:PI24,PK24)-PF24-PJ24&gt;0,SUM(PD24:PE24,PG24:PI24,PK24)-PF24-PJ24,"")</f>
        <v/>
      </c>
      <c r="PZ24" s="19" t="str">
        <f>IF(SUM(PL24:PM24,PO24)-PN24&gt;0,SUM(PL24:PM24,PO24)-PN24,"")</f>
        <v/>
      </c>
      <c r="QA24" s="19" t="str">
        <f>IF(SUM(PE24,PI24,PM24)&gt;0,SUM(PE24,PI24,PM24),"")</f>
        <v/>
      </c>
      <c r="QB24" s="19" t="str">
        <f>IF(SUM(PY24,PZ24)&gt;0,SUM(PY24,PZ24),"")</f>
        <v/>
      </c>
      <c r="QC24" s="19" t="str">
        <f>IF(SUM(PQ24,PU24)&gt;0,SUM(PQ24,PU24),"")</f>
        <v/>
      </c>
      <c r="QD24" s="19" t="str">
        <f>IF(SUM(PP24:PQ24,PS24:PU24,PW24)-SUM(PR24,PV24)&gt;0,SUM(PP24:PQ24,PS24:PU24,PW24)-SUM(PR24,PV24),"")</f>
        <v/>
      </c>
      <c r="QE24" s="19" t="str">
        <f>IF(SUM(PY24,QD24)&gt;0,SUM(PY24,QD24),"")</f>
        <v/>
      </c>
      <c r="QF24" s="37">
        <f>IF($CV24="P",CB24,(CB24+AY24)/2)</f>
        <v>9.15</v>
      </c>
      <c r="QG24" s="37">
        <f>IF($CV24="P",CC24,(CC24+AZ24)/2)</f>
        <v>1.75</v>
      </c>
      <c r="QH24" s="37">
        <f>IF($CV24="P",CD24,(CD24+BA24)/2)</f>
        <v>0.1</v>
      </c>
      <c r="QI24" s="37">
        <f>IF($CV24="P",CE24,(CE24+BB24)/2)</f>
        <v>0</v>
      </c>
      <c r="QJ24" s="37">
        <f>IF($CV24="P",CF24,(CF24+BC24)/2)</f>
        <v>9.1</v>
      </c>
      <c r="QK24" s="37">
        <f>IF($CV24="P",CG24,(CG24+BD24)/2)</f>
        <v>1.8</v>
      </c>
      <c r="QL24" s="37">
        <f>IF($CV24="P",CH24,(CH24+BE24)/2)</f>
        <v>0.3</v>
      </c>
      <c r="QM24" s="37">
        <f>IF($CV24="P",CI24,(CI24+BF24)/2)</f>
        <v>0</v>
      </c>
      <c r="QN24" s="37">
        <f>IF($CV24="P",CJ24,(CJ24+BG24)/2)</f>
        <v>9.25</v>
      </c>
      <c r="QO24" s="37">
        <f>IF($CV24="P",CK24,(CK24+BH24)/2)</f>
        <v>1.65</v>
      </c>
      <c r="QP24" s="37">
        <f>IF($CV24="P",CL24,(CL24+BI24)/2)</f>
        <v>0</v>
      </c>
      <c r="QQ24" s="37">
        <f>IF($CV24="P",CM24,(CM24+BJ24)/2)</f>
        <v>0</v>
      </c>
      <c r="QR24" s="37">
        <f>IF($CV24="P",CN24,(CN24+BK24)/2)</f>
        <v>9</v>
      </c>
      <c r="QS24" s="37">
        <f>IF($CV24="P",CO24,(CO24+BL24)/2)</f>
        <v>1.35</v>
      </c>
      <c r="QT24" s="37">
        <f>IF($CV24="P",CP24,(CP24+BM24)/2)</f>
        <v>0.25</v>
      </c>
      <c r="QU24" s="37">
        <f>IF($CV24="P",CQ24,(CQ24+BN24)/2)</f>
        <v>0</v>
      </c>
      <c r="QV24" s="37">
        <f>IF($CV24="P",CR24,(CR24+BO24)/2)</f>
        <v>9.0500000000000007</v>
      </c>
      <c r="QW24" s="37">
        <f>IF($CV24="P",CS24,(CS24+BP24)/2)</f>
        <v>1.8</v>
      </c>
      <c r="QX24" s="37">
        <f>IF($CV24="P",CT24,(CT24+BQ24)/2)</f>
        <v>0</v>
      </c>
      <c r="QY24" s="37">
        <f>IF($CV24="P",CU24,(CU24+BR24)/2)</f>
        <v>0</v>
      </c>
      <c r="QZ24" s="44" t="s">
        <v>46</v>
      </c>
      <c r="RA24" s="78">
        <f>IF(SUM(QG24,QK24)&gt;0,SUM(QG24,QK24),"")</f>
        <v>3.55</v>
      </c>
      <c r="RB24" s="78">
        <f>IF(SUM(QF24:QG24,QI24:QK24,QM24)-QH24-QL24&gt;0,SUM(QF24:QG24,QI24:QK24,QM24)-QH24-QL24,"")</f>
        <v>21.4</v>
      </c>
      <c r="RC24" s="78">
        <f>IF(SUM(QN24:QO24,QQ24)-QP24&gt;0,SUM(QN24:QO24,QQ24)-QP24,"")</f>
        <v>10.9</v>
      </c>
      <c r="RD24" s="78">
        <f>IF(SUM(QG24,QK24,QO24)&gt;0,SUM(QG24,QK24,QO24),"")</f>
        <v>5.1999999999999993</v>
      </c>
      <c r="RE24" s="78">
        <f>IF(SUM(RB24,RC24)&gt;0,SUM(RB24,RC24),"")</f>
        <v>32.299999999999997</v>
      </c>
      <c r="RF24" s="78">
        <f>IF(SUM(QS24,QW24)&gt;0,SUM(QS24,QW24),"")</f>
        <v>3.1500000000000004</v>
      </c>
      <c r="RG24" s="78">
        <f>IF(SUM(QR24:QS24,QU24:QW24,QY24)-SUM(QT24,QX24)&gt;0,SUM(QR24:QS24,QU24:QW24,QY24)-SUM(QT24,QX24),"")</f>
        <v>20.95</v>
      </c>
      <c r="RH24" s="78">
        <f>IF(SUM(RB24,RG24)&gt;0,SUM(RB24,RG24),"")</f>
        <v>42.349999999999994</v>
      </c>
    </row>
    <row r="25" spans="1:476" x14ac:dyDescent="0.2">
      <c r="A25" s="5" t="str">
        <f>IF(AND(F25="P",G25="P"),SUMPRODUCT((F$4:F$29="P")*(G$4:G$29="P")*(E$4:E$29&gt;E25))+1,IF(G25="P",SUMPRODUCT((F$4:F$29="")*(G$4:G$29="P")*(E$4:E$29&gt;E25))+1+SUMPRODUCT((F$4:F$29="P")*(G$4:G$29="P")),""))</f>
        <v/>
      </c>
      <c r="B25" s="77" t="s">
        <v>113</v>
      </c>
      <c r="C25" s="5" t="s">
        <v>5</v>
      </c>
      <c r="D25" s="5">
        <v>2001</v>
      </c>
      <c r="E25" s="15">
        <f>SUM(I25:S25)+SUM(I25:O25)*0.0000001+SUM(I25)*0.0000000000001</f>
        <v>104.18000621000442</v>
      </c>
      <c r="F25" s="3" t="str">
        <f>IF(OR(AND(AQ25&gt;=AX$31,AR25&gt;=AX$35,AQ25&lt;&gt;"",AP25=""),AND(AV25&gt;=AX$31,AW25&gt;=AX$35,AV25&lt;&gt;"",AP25=""),AND(BT25&gt;=CA$31,BU25&gt;=CA$35,BT25&lt;&gt;"",BS25=""),AND(BY25&gt;=CA$31,BZ25&gt;=CA$35,BY25&lt;&gt;"",BS25=""),AND(CW25&gt;=DD$31,CX25&gt;=DD$35,CW25&lt;&gt;"",CV25=""),AND(DB25&gt;=DD$31,DC25&gt;=DD$35,DB25&lt;&gt;""),AND(EB25&gt;=EI$31,EC25&gt;=EI$35,EB25&lt;&gt;""),AND(EG25&gt;=EI$31,EH25&gt;=EI$35,EG25&lt;&gt;""),AND(FD25&gt;=FK$31,FE25&gt;=FK$35,FD25&lt;&gt;""),AND(FI25&gt;=FK$31,FJ25&gt;=FK$35,FI25&lt;&gt;""),AND(GF25&gt;=GM$31,GG25&gt;=GM$35,GF25&lt;&gt;""),AND(GK25&gt;=GM$31,GL25&gt;=GM$35,GK25&lt;&gt;""),AND(HH25&gt;=HO$31,HI25&gt;=HO$35,HH25&lt;&gt;""),AND(HM25&gt;=HO$31,HN25&gt;=HO$35,HM25&lt;&gt;""),AND(IJ25&gt;=IQ$31,IK25&gt;=IQ$35,IJ25&lt;&gt;""),AND(IO25&gt;=IQ$31,IP25&gt;=IQ$35,IO25&lt;&gt;""),AND(JL25&gt;=JS$31,JM25&gt;=JS$35,JL25&lt;&gt;""),AND(JQ25&gt;=JS$31,JR25&gt;=JS$35,JQ25&lt;&gt;""),AND(KN25&gt;=KU$31,KO25&gt;=KU$35,KN25&lt;&gt;""),AND(KS25&gt;=KU$31,KT25&gt;=KU$35,KS25&lt;&gt;""),AND(LP25&gt;=LW$31,LQ25&gt;=LW$35,LP25&lt;&gt;""),AND(LU25&gt;=LW$31,LV25&gt;=LW$35,LU25&lt;&gt;""),AND(MR25&gt;=MY$31,MS25&gt;=MY$35,MR25&lt;&gt;""),AND(MW25&gt;=MY$31,MX25&gt;=MY$35,MW25&lt;&gt;""),AND(NT25&gt;=OA$31,NU25&gt;=OA$35,NT25&lt;&gt;""),AND(NY25&gt;=OA$31,NZ25&gt;=OA$35,NY25&lt;&gt;""),AND(OV25&gt;=PC$31,OW25&gt;=PC$35,OV25&lt;&gt;""),AND(PA25&gt;=PC$31,PB25&gt;=PC$35,PA25&lt;&gt;""),AND(PX25&gt;=QE$31,PY25&gt;=QE$35,PX25&lt;&gt;""),AND(QC25&gt;=QE$31,QD25&gt;=QE$35,QC25&lt;&gt;"")),"P","")</f>
        <v/>
      </c>
      <c r="G25" s="3" t="str">
        <f>IF(OR(AND(AR25&gt;=AX$35,AR25&lt;&gt;"",AP25=""),AND(AW25&gt;=AX$35,AW25&lt;&gt;"",AP25=""),AND(BU25&gt;=CA$35,BU25&lt;&gt;"",BS25=""),AND(BZ25&gt;=CA$35,BZ25&lt;&gt;"",BS25=""),AND(CX25&gt;=DD$35,CX25&lt;&gt;"",CV25=""),AND(DC25&gt;=DD$35,DC25&lt;&gt;"",CV25=""),AND(EC25&gt;=EI$35,EC25&lt;&gt;""),AND(EH25&gt;=EI$35,EH25&lt;&gt;""),AND(FE25&gt;=FK$35,FE25&lt;&gt;""),AND(FJ25&gt;=FK$35,FJ25&lt;&gt;""),AND(GG25&gt;=GM$35,GG25&lt;&gt;""),AND(GL25&gt;=GM$35,GL25&lt;&gt;""),AND(HI25&gt;=HO$35,HI25&lt;&gt;""),AND(HN25&gt;=HO$35,HN25&lt;&gt;""),AND(IK25&gt;=IQ$35,IK25&lt;&gt;""),AND(IP25&gt;=IQ$35,IP25&lt;&gt;""),AND(JM25&gt;=JS$35,JM25&lt;&gt;""),AND(JR25&gt;=JS$35,JR25&lt;&gt;""),AND(KO25&gt;=KU$35,KO25&lt;&gt;""),AND(KT25&gt;=KU$35,KT25&lt;&gt;""),AND(LQ25&gt;=LW$35,LQ25&lt;&gt;""),AND(LV25&gt;=LW$35,LV25&lt;&gt;""),AND(MS25&gt;=MY$35,MS25&lt;&gt;""),AND(MX25&gt;=MY$35,MX25&lt;&gt;""),AND(NU25&gt;=OA$35,NU25&lt;&gt;""),AND(NZ25&gt;=OA$35,NZ25&lt;&gt;""),AND(OW25&gt;=PC$35,OW25&lt;&gt;""),AND(PB25&gt;=PC$35,PB25&lt;&gt;""),AND(PY25&gt;=QE$35,PY25&lt;&gt;""),AND(QD25&gt;=QE$35,QD25&lt;&gt;"")),"P","")</f>
        <v/>
      </c>
      <c r="H25" s="66" t="str">
        <f>IF(AND(G25="P",F25=""),"No DD",IF(OR(AND(AT25&gt;=AX$34,AU25&gt;=AX$38,AT25&lt;&gt;"",AP25=""),AND(BW25&gt;=CA$34,BX25&gt;=CA$38,BW25&lt;&gt;"",BS25=""),AND(CZ25&gt;=DD$34,DA25&gt;=DD$38,CZ25&lt;&gt;"",CV25=""),AND(EE25&gt;=EI$34,EF25&gt;=EI$38,EE25&lt;&gt;""),AND(FG25&gt;=FK$34,FH25&gt;=FK$38,FG25&lt;&gt;""),AND(GI25&gt;=GM$34,GJ25&gt;=GM$38,GI25&lt;&gt;""),AND(HK25&gt;=HO$34,HL25&gt;=HO$38,HK25&lt;&gt;""),AND(IM25&gt;=IQ$34,IN25&gt;=IQ$38,IM25&lt;&gt;""),AND(JO25&gt;=JS$34,JP25&gt;=JS$38,JO25&lt;&gt;""),AND(KQ25&gt;=KU$34,KR25&gt;=KU$38,KQ25&lt;&gt;""),AND(LS25&gt;=LW$34,LT25&gt;=LW$38,LS25&lt;&gt;""),AND(MU25&gt;=MY$34,MV25&gt;=MY$38,MU25&lt;&gt;""),AND(NW25&gt;=OA$34,NX25&gt;=OA$38,NW25&lt;&gt;""),AND(OY25&gt;=PC$34,OZ25&gt;=PC$38,OY25&lt;&gt;""),AND(QA25&gt;=QE$34,QB25&gt;=QE$38,QA25&lt;&gt;"")),"Merit",IF(OR(AND(AT25&gt;=AX$33,AU25&gt;=AX$37,AT25&lt;&gt;"",AP25=""),AND(BW25&gt;=CA$33,BX25&gt;=CA$37,BW25&lt;&gt;"",BS25=""),AND(CZ25&gt;=DD$33,DA25&gt;=DD$37,CZ25&lt;&gt;"",CV25=""),AND(EE25&gt;=EI$33,EF25&gt;=EI$37,EE25&lt;&gt;""),AND(FG25&gt;=FK$33,FH25&gt;=FK$37,FG25&lt;&gt;""),AND(GI25&gt;=GM$33,GJ25&gt;=GM$37,GI25&lt;&gt;""),AND(HK25&gt;=HO$33,HL25&gt;=HO$37,HK25&lt;&gt;""),AND(IM25&gt;=IQ$33,IN25&gt;=IQ$37,IM25&lt;&gt;""),AND(JO25&gt;=JS$33,JP25&gt;=JS$37,JO25&lt;&gt;""),AND(KQ25&gt;=KU$33,KR25&gt;=KU$37,KQ25&lt;&gt;""),AND(LS25&gt;=LW$33,LT25&gt;=LW$37,LS25&lt;&gt;""),AND(MU25&gt;=MY$33,MV25&gt;=MY$37,MU25&lt;&gt;""),AND(NW25&gt;=OA$33,NX25&gt;=OA$37,NW25&lt;&gt;""),AND(OY25&gt;=PC$33,OZ25&gt;=PC$37,OY25&lt;&gt;""),AND(QA25&gt;=QE$33,QB25&gt;=QE$37,QA25&lt;&gt;"")),"Excellence",IF(F25="P","National Team",""))))</f>
        <v/>
      </c>
      <c r="I25" s="14">
        <f>IF(COUNT(AR25,BU25,CX25)&gt;0,LARGE((AR25,BU25,CX25),1),0)</f>
        <v>44.4</v>
      </c>
      <c r="J25" s="14" t="str">
        <f>IF(I25=0,"",IF(I25=CX25,$CB$1,IF(I25=BU25,$AY$1,IF(I25=AR25,$V$1,""))))</f>
        <v>2022 3rd Domestic Trial</v>
      </c>
      <c r="K25" s="14">
        <f>IF(COUNT(AR25,BU25,CX25)&gt;1,LARGE((AR25,BU25,CX25),2),0)</f>
        <v>0</v>
      </c>
      <c r="L25" s="14" t="str">
        <f>IF(K25=0,"",IF(K25=CX25,$CB$1,IF(K25=BU25,$AY$1,IF(K25=AR25,$V$1,""))))</f>
        <v/>
      </c>
      <c r="M25" s="14">
        <f>IF(COUNT(AS25,BV25,CY25)&gt;0,LARGE((AS25,BV25,CY25),1),0)</f>
        <v>17.7</v>
      </c>
      <c r="N25" s="14" t="str">
        <f>IF(M25=0,"",IF(M25=CY25,$CB$1,IF(M25=BV25,$AY$1,IF(M25=AS25,$V$1,""))))</f>
        <v>2022 3rd Domestic Trial</v>
      </c>
      <c r="O25" s="14">
        <f>IF(COUNT(AS25,BV25,CY25)&gt;1,LARGE((AS25,BV25,CY25),2),0)</f>
        <v>0</v>
      </c>
      <c r="P25" s="14" t="str">
        <f>IF(O25=0,"",IF(O25=CY25,$CB$1,IF(O25=BV25,$AY$1,IF(O25=AS25,$V$1,""))))</f>
        <v/>
      </c>
      <c r="Q25" s="14">
        <f>IF(MAX(AW25,BZ25,DC25)&gt;0,MAX(AW25,BZ25,DC25),0)</f>
        <v>42.08</v>
      </c>
      <c r="R25" s="14" t="str">
        <f>IF(Q25=0,"",IF(Q25=DC25,$CB$1,IF(Q25=BZ25,$AY$1,IF(Q25=AW25,$V$1,""))))</f>
        <v>2022 3rd Domestic Trial</v>
      </c>
      <c r="S25" s="14" t="str">
        <f>IF(MAX(DE25:DG25)&gt;0,MAX(DE25:DG25),"")</f>
        <v/>
      </c>
      <c r="T25" s="19" t="str">
        <f>IF(S25="","",IF(S25=DE25,"("&amp;DE$2&amp;")",IF(S25=DG25,"("&amp;DG$2&amp;")")))</f>
        <v/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>IF(SUM(W25,AA25)&gt;0,SUM(W25,AA25),"")</f>
        <v/>
      </c>
      <c r="AR25" s="78" t="str">
        <f>IF(SUM(V25:W25,Y25:AA25,AC25)-X25-AB25&gt;0,SUM(V25:W25,Y25:AA25,AC25)-X25-AB25,"")</f>
        <v/>
      </c>
      <c r="AS25" s="78" t="str">
        <f>IF(SUM(AD25:AE25,AG25)-AF25&gt;0,SUM(AD25:AE25,AG25)-AF25,"")</f>
        <v/>
      </c>
      <c r="AT25" s="78" t="str">
        <f>IF(SUM(W25,AA25,AE25)&gt;0,SUM(W25,AA25,AE25),"")</f>
        <v/>
      </c>
      <c r="AU25" s="78" t="str">
        <f>IF(SUM(AR25,AS25)&gt;0,SUM(AR25,AS25),"")</f>
        <v/>
      </c>
      <c r="AV25" s="78" t="str">
        <f>IF(SUM(AI25,AM25)&gt;0,SUM(AI25,AM25),"")</f>
        <v/>
      </c>
      <c r="AW25" s="78" t="str">
        <f>IF(SUM(AH25:AI25,AK25:AM25,AO25)-SUM(AJ25,AN25)&gt;0,SUM(AH25:AI25,AK25:AM25,AO25)-SUM(AJ25,AN25),"")</f>
        <v/>
      </c>
      <c r="AX25" s="78" t="str">
        <f>IF(SUM(AR25,AW25)&gt;0,SUM(AR25,AW25),"")</f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>IF(SUM(AZ25,BD25)&gt;0,SUM(AZ25,BD25),"")</f>
        <v/>
      </c>
      <c r="BU25" s="19" t="str">
        <f>IF(SUM(AY25:AZ25,BB25:BD25,BF25)-BA25-BE25&gt;0,SUM(AY25:AZ25,BB25:BD25,BF25)-BA25-BE25,"")</f>
        <v/>
      </c>
      <c r="BV25" s="19" t="str">
        <f>IF(SUM(BG25:BH25,BJ25)-BI25&gt;0,SUM(BG25:BH25,BJ25)-BI25,"")</f>
        <v/>
      </c>
      <c r="BW25" s="19" t="str">
        <f>IF(SUM(AZ25,BD25,BH25)&gt;0,SUM(AZ25,BD25,BH25),"")</f>
        <v/>
      </c>
      <c r="BX25" s="19" t="str">
        <f>IF(SUM(BU25,BV25)&gt;0,SUM(BU25,BV25),"")</f>
        <v/>
      </c>
      <c r="BY25" s="19" t="str">
        <f>IF(SUM(BL25,BP25)&gt;0,SUM(BL25,BP25),"")</f>
        <v/>
      </c>
      <c r="BZ25" s="19" t="str">
        <f>IF(SUM(BK25:BL25,BN25:BP25,BR25)-SUM(BM25,BQ25)&gt;0,SUM(BK25:BL25,BN25:BP25,BR25)-SUM(BM25,BQ25),"")</f>
        <v/>
      </c>
      <c r="CA25" s="19" t="str">
        <f>IF(SUM(BU25,BZ25)&gt;0,SUM(BU25,BZ25),"")</f>
        <v/>
      </c>
      <c r="CB25" s="26">
        <v>18.100000000000001</v>
      </c>
      <c r="CC25" s="26">
        <v>4.4000000000000004</v>
      </c>
      <c r="CD25" s="26">
        <v>0.8</v>
      </c>
      <c r="CE25" s="26">
        <v>0</v>
      </c>
      <c r="CF25" s="26">
        <v>18.600000000000001</v>
      </c>
      <c r="CG25" s="26">
        <v>4.3</v>
      </c>
      <c r="CH25" s="26">
        <v>0.2</v>
      </c>
      <c r="CI25" s="26">
        <v>0</v>
      </c>
      <c r="CJ25" s="26">
        <v>18.7</v>
      </c>
      <c r="CK25" s="26">
        <v>2.1</v>
      </c>
      <c r="CL25" s="26">
        <v>3.1</v>
      </c>
      <c r="CM25" s="26">
        <v>0</v>
      </c>
      <c r="CN25" s="26">
        <v>18.98</v>
      </c>
      <c r="CO25" s="26">
        <v>3.5</v>
      </c>
      <c r="CP25" s="26">
        <v>0</v>
      </c>
      <c r="CQ25" s="26">
        <v>0</v>
      </c>
      <c r="CR25" s="26">
        <v>17.2</v>
      </c>
      <c r="CS25" s="26">
        <v>2.4</v>
      </c>
      <c r="CT25" s="26">
        <v>0</v>
      </c>
      <c r="CU25" s="26">
        <v>0</v>
      </c>
      <c r="CV25" s="44"/>
      <c r="CW25" s="78">
        <f>IF(SUM(CC25,CG25)&gt;0,SUM(CC25,CG25),"")</f>
        <v>8.6999999999999993</v>
      </c>
      <c r="CX25" s="78">
        <f>IF(SUM(CB25:CC25,CE25:CG25,CI25)-CD25-CH25&gt;0,SUM(CB25:CC25,CE25:CG25,CI25)-CD25-CH25,"")</f>
        <v>44.4</v>
      </c>
      <c r="CY25" s="78">
        <f>IF(SUM(CJ25:CK25,CM25)-CL25&gt;0,SUM(CJ25:CK25,CM25)-CL25,"")</f>
        <v>17.7</v>
      </c>
      <c r="CZ25" s="78">
        <f>IF(SUM(CC25,CG25,CK25)&gt;0,SUM(CC25,CG25,CK25),"")</f>
        <v>10.799999999999999</v>
      </c>
      <c r="DA25" s="78">
        <f>IF(SUM(CX25,CY25)&gt;0,SUM(CX25,CY25),"")</f>
        <v>62.099999999999994</v>
      </c>
      <c r="DB25" s="78">
        <f>IF(SUM(CO25,CS25)&gt;0,SUM(CO25,CS25),"")</f>
        <v>5.9</v>
      </c>
      <c r="DC25" s="78">
        <f>IF(SUM(CN25:CO25,CQ25:CS25,CU25)-SUM(CP25,CT25)&gt;0,SUM(CN25:CO25,CQ25:CS25,CU25)-SUM(CP25,CT25),"")</f>
        <v>42.08</v>
      </c>
      <c r="DD25" s="78">
        <f>IF(SUM(CX25,DC25)&gt;0,SUM(CX25,DC25),"")</f>
        <v>86.47999999999999</v>
      </c>
      <c r="DE25" s="79" t="str">
        <f>IF(K25&gt;=0.001,IF(MAX(EC25,FE25,GG25,HI25,IK25,JM25,KO25,LQ25,MS25,NU25,OW25,PY25)-IF(K25="",0,K25)&gt;0.001,MAX(EC25,FE25,GG25,HI25,IK25,JM25,KO25,LQ25,MS25,NU25,OW25,PY25)-IF(K25="",0,K25),""),"")</f>
        <v/>
      </c>
      <c r="DF25" s="79" t="str">
        <f>IF(O25&gt;=0.001,IF(MAX(ED25,FF25,GH25,HJ25,IL25,JN25,KP25,LR25,MT25,NV25,OX25,PZ25)-IF(O25="",0,O25)&gt;0.001,MAX(ED25,FF25,GH25,HJ25,IL25,JN25,KP25,LR25,MT25,NV25,OX25,PZ25)-IF(O25="",0,O25),""),"")</f>
        <v/>
      </c>
      <c r="DG25" s="79" t="str">
        <f>IF(Q25&gt;=0.001,IF(MAX(EH25,FJ25,GL25,HN25,IP25,JR25,KT25,LV25,MX25,NZ25,PB25,QD25)-IF(Q25="",0,Q25)&gt;0.001,MAX(EH25,FJ25,GL25,HN25,IP25,JR25,KT25,LV25,MX25,NZ25,PB25,QD25)-IF(Q25="",0,Q25),""),"")</f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>IF(SUM(DI25,DM25)&gt;0,SUM(DI25,DM25),"")</f>
        <v/>
      </c>
      <c r="EC25" s="78" t="str">
        <f>IF(SUM(DH25:DI25,DK25:DM25,DO25)-DJ25-DN25&gt;0,SUM(DH25:DI25,DK25:DM25,DO25)-DJ25-DN25,"")</f>
        <v/>
      </c>
      <c r="ED25" s="78" t="str">
        <f>IF(SUM(DP25:DQ25,DS25)-DR25&gt;0,SUM(DP25:DQ25,DS25)-DR25,"")</f>
        <v/>
      </c>
      <c r="EE25" s="78" t="str">
        <f>IF(SUM(DI25,DM25,DQ25)&gt;0,SUM(DI25,DM25,DQ25),"")</f>
        <v/>
      </c>
      <c r="EF25" s="78" t="str">
        <f>IF(SUM(EC25,ED25)&gt;0,SUM(EC25,ED25),"")</f>
        <v/>
      </c>
      <c r="EG25" s="78" t="str">
        <f>IF(SUM(DU25,DY25)&gt;0,SUM(DU25,DY25),"")</f>
        <v/>
      </c>
      <c r="EH25" s="78" t="str">
        <f>IF(SUM(DT25:DU25,DW25:DY25,EA25)-SUM(DV25,DZ25)&gt;0,SUM(DT25:DU25,DW25:DY25,EA25)-SUM(DV25,DZ25),"")</f>
        <v/>
      </c>
      <c r="EI25" s="78" t="str">
        <f>IF(SUM(EC25,EH25)&gt;0,SUM(EC25,EH25),"")</f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>IF(SUM(EK25,EO25)&gt;0,SUM(EK25,EO25),"")</f>
        <v/>
      </c>
      <c r="FE25" s="19" t="str">
        <f>IF(SUM(EJ25:EK25,EM25:EO25,EQ25)-EL25-EP25&gt;0,SUM(EJ25:EK25,EM25:EO25,EQ25)-EL25-EP25,"")</f>
        <v/>
      </c>
      <c r="FF25" s="19" t="str">
        <f>IF(SUM(ER25:ES25,EU25)-ET25&gt;0,SUM(ER25:ES25,EU25)-ET25,"")</f>
        <v/>
      </c>
      <c r="FG25" s="19" t="str">
        <f>IF(SUM(EK25,EO25,ES25)&gt;0,SUM(EK25,EO25,ES25),"")</f>
        <v/>
      </c>
      <c r="FH25" s="19" t="str">
        <f>IF(SUM(FE25,FF25)&gt;0,SUM(FE25,FF25),"")</f>
        <v/>
      </c>
      <c r="FI25" s="19" t="str">
        <f>IF(SUM(EW25,FA25)&gt;0,SUM(EW25,FA25),"")</f>
        <v/>
      </c>
      <c r="FJ25" s="19" t="str">
        <f>IF(SUM(EV25:EW25,EY25:FA25,FC25)-SUM(EX25,FB25)&gt;0,SUM(EV25:EW25,EY25:FA25,FC25)-SUM(EX25,FB25),"")</f>
        <v/>
      </c>
      <c r="FK25" s="19" t="str">
        <f>IF(SUM(FE25,FJ25)&gt;0,SUM(FE25,FJ25),"")</f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>IF(SUM(FM25,FQ25)&gt;0,SUM(FM25,FQ25),"")</f>
        <v/>
      </c>
      <c r="GG25" s="78" t="str">
        <f>IF(SUM(FL25:FM25,FO25:FQ25,FS25)-FN25-FR25&gt;0,SUM(FL25:FM25,FO25:FQ25,FS25)-FN25-FR25,"")</f>
        <v/>
      </c>
      <c r="GH25" s="78" t="str">
        <f>IF(SUM(FT25:FU25,FW25)-FV25&gt;0,SUM(FT25:FU25,FW25)-FV25,"")</f>
        <v/>
      </c>
      <c r="GI25" s="78" t="str">
        <f>IF(SUM(FM25,FQ25,FU25)&gt;0,SUM(FM25,FQ25,FU25),"")</f>
        <v/>
      </c>
      <c r="GJ25" s="78" t="str">
        <f>IF(SUM(GG25,GH25)&gt;0,SUM(GG25,GH25),"")</f>
        <v/>
      </c>
      <c r="GK25" s="78" t="str">
        <f>IF(SUM(FY25,GC25)&gt;0,SUM(FY25,GC25),"")</f>
        <v/>
      </c>
      <c r="GL25" s="78" t="str">
        <f>IF(SUM(FX25:FY25,GA25:GC25,GE25)-SUM(FZ25,GD25)&gt;0,SUM(FX25:FY25,GA25:GC25,GE25)-SUM(FZ25,GD25),"")</f>
        <v/>
      </c>
      <c r="GM25" s="78" t="str">
        <f>IF(SUM(GG25,GL25)&gt;0,SUM(GG25,GL25),"")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>IF(SUM(GO25,GS25)&gt;0,SUM(GO25,GS25),"")</f>
        <v/>
      </c>
      <c r="HI25" s="19" t="str">
        <f>IF(SUM(GN25:GO25,GQ25:GS25,GU25)-GP25-GT25&gt;0,SUM(GN25:GO25,GQ25:GS25,GU25)-GP25-GT25,"")</f>
        <v/>
      </c>
      <c r="HJ25" s="19" t="str">
        <f>IF(SUM(GV25:GW25,GY25)-GX25&gt;0,SUM(GV25:GW25,GY25)-GX25,"")</f>
        <v/>
      </c>
      <c r="HK25" s="19" t="str">
        <f>IF(SUM(GO25,GS25,GW25)&gt;0,SUM(GO25,GS25,GW25),"")</f>
        <v/>
      </c>
      <c r="HL25" s="19" t="str">
        <f>IF(SUM(HI25,HJ25)&gt;0,SUM(HI25,HJ25),"")</f>
        <v/>
      </c>
      <c r="HM25" s="19" t="str">
        <f>IF(SUM(HA25,HE25)&gt;0,SUM(HA25,HE25),"")</f>
        <v/>
      </c>
      <c r="HN25" s="19" t="str">
        <f>IF(SUM(GZ25:HA25,HC25:HE25,HG25)-SUM(HB25,HF25)&gt;0,SUM(GZ25:HA25,HC25:HE25,HG25)-SUM(HB25,HF25),"")</f>
        <v/>
      </c>
      <c r="HO25" s="19" t="str">
        <f>IF(SUM(HI25,HN25)&gt;0,SUM(HI25,HN25),"")</f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>IF(SUM(HQ25,HU25)&gt;0,SUM(HQ25,HU25),"")</f>
        <v/>
      </c>
      <c r="IK25" s="78" t="str">
        <f>IF(SUM(HP25:HQ25,HS25:HU25,HW25)-HR25-HV25&gt;0,SUM(HP25:HQ25,HS25:HU25,HW25)-HR25-HV25,"")</f>
        <v/>
      </c>
      <c r="IL25" s="78" t="str">
        <f>IF(SUM(HX25:HY25,IA25)-HZ25&gt;0,SUM(HX25:HY25,IA25)-HZ25,"")</f>
        <v/>
      </c>
      <c r="IM25" s="78" t="str">
        <f>IF(SUM(HQ25,HU25,HY25)&gt;0,SUM(HQ25,HU25,HY25),"")</f>
        <v/>
      </c>
      <c r="IN25" s="78" t="str">
        <f>IF(SUM(IK25,IL25)&gt;0,SUM(IK25,IL25),"")</f>
        <v/>
      </c>
      <c r="IO25" s="78" t="str">
        <f>IF(SUM(IC25,IG25)&gt;0,SUM(IC25,IG25),"")</f>
        <v/>
      </c>
      <c r="IP25" s="78" t="str">
        <f>IF(SUM(IB25:IC25,IE25:IG25,II25)-SUM(ID25,IH25)&gt;0,SUM(IB25:IC25,IE25:IG25,II25)-SUM(ID25,IH25),"")</f>
        <v/>
      </c>
      <c r="IQ25" s="78" t="str">
        <f>IF(SUM(IK25,IP25)&gt;0,SUM(IK25,IP25),"")</f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>IF(SUM(IS25,IW25)&gt;0,SUM(IS25,IW25),"")</f>
        <v/>
      </c>
      <c r="JM25" s="19" t="str">
        <f>IF(SUM(IR25:IS25,IU25:IW25,IY25)-IT25-IX25&gt;0,SUM(IR25:IS25,IU25:IW25,IY25)-IT25-IX25,"")</f>
        <v/>
      </c>
      <c r="JN25" s="19" t="str">
        <f>IF(SUM(IZ25:JA25,JC25)-JB25&gt;0,SUM(IZ25:JA25,JC25)-JB25,"")</f>
        <v/>
      </c>
      <c r="JO25" s="19" t="str">
        <f>IF(SUM(IS25,IW25,JA25)&gt;0,SUM(IS25,IW25,JA25),"")</f>
        <v/>
      </c>
      <c r="JP25" s="19" t="str">
        <f>IF(SUM(JM25,JN25)&gt;0,SUM(JM25,JN25),"")</f>
        <v/>
      </c>
      <c r="JQ25" s="19" t="str">
        <f>IF(SUM(JE25,JI25)&gt;0,SUM(JE25,JI25),"")</f>
        <v/>
      </c>
      <c r="JR25" s="19" t="str">
        <f>IF(SUM(JD25:JE25,JG25:JI25,JK25)-SUM(JF25,JJ25)&gt;0,SUM(JD25:JE25,JG25:JI25,JK25)-SUM(JF25,JJ25),"")</f>
        <v/>
      </c>
      <c r="JS25" s="19" t="str">
        <f>IF(SUM(JM25,JR25)&gt;0,SUM(JM25,JR25),"")</f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>IF(SUM(JU25,JY25)&gt;0,SUM(JU25,JY25),"")</f>
        <v/>
      </c>
      <c r="KO25" s="78" t="str">
        <f>IF(SUM(JT25:JU25,JW25:JY25,KA25)-JV25-JZ25&gt;0,SUM(JT25:JU25,JW25:JY25,KA25)-JV25-JZ25,"")</f>
        <v/>
      </c>
      <c r="KP25" s="78" t="str">
        <f>IF(SUM(KB25:KC25,KE25)-KD25&gt;0,SUM(KB25:KC25,KE25)-KD25,"")</f>
        <v/>
      </c>
      <c r="KQ25" s="78" t="str">
        <f>IF(SUM(JU25,JY25,KC25)&gt;0,SUM(JU25,JY25,KC25),"")</f>
        <v/>
      </c>
      <c r="KR25" s="78" t="str">
        <f>IF(SUM(KO25,KP25)&gt;0,SUM(KO25,KP25),"")</f>
        <v/>
      </c>
      <c r="KS25" s="78" t="str">
        <f>IF(SUM(KG25,KK25)&gt;0,SUM(KG25,KK25),"")</f>
        <v/>
      </c>
      <c r="KT25" s="78" t="str">
        <f>IF(SUM(KF25:KG25,KI25:KK25,KM25)-SUM(KH25,KL25)&gt;0,SUM(KF25:KG25,KI25:KK25,KM25)-SUM(KH25,KL25),"")</f>
        <v/>
      </c>
      <c r="KU25" s="78" t="str">
        <f>IF(SUM(KO25,KT25)&gt;0,SUM(KO25,KT25),"")</f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>IF(SUM(KW25,LA25)&gt;0,SUM(KW25,LA25),"")</f>
        <v/>
      </c>
      <c r="LQ25" s="19" t="str">
        <f>IF(SUM(KV25:KW25,KY25:LA25,LC25)-KX25-LB25&gt;0,SUM(KV25:KW25,KY25:LA25,LC25)-KX25-LB25,"")</f>
        <v/>
      </c>
      <c r="LR25" s="19" t="str">
        <f>IF(SUM(LD25:LE25,LG25)-LF25&gt;0,SUM(LD25:LE25,LG25)-LF25,"")</f>
        <v/>
      </c>
      <c r="LS25" s="19" t="str">
        <f>IF(SUM(KW25,LA25,LE25)&gt;0,SUM(KW25,LA25,LE25),"")</f>
        <v/>
      </c>
      <c r="LT25" s="19" t="str">
        <f>IF(SUM(LQ25,LR25)&gt;0,SUM(LQ25,LR25),"")</f>
        <v/>
      </c>
      <c r="LU25" s="19" t="str">
        <f>IF(SUM(LI25,LM25)&gt;0,SUM(LI25,LM25),"")</f>
        <v/>
      </c>
      <c r="LV25" s="19" t="str">
        <f>IF(SUM(LH25:LI25,LK25:LM25,LO25)-SUM(LJ25,LN25)&gt;0,SUM(LH25:LI25,LK25:LM25,LO25)-SUM(LJ25,LN25),"")</f>
        <v/>
      </c>
      <c r="LW25" s="19" t="str">
        <f>IF(SUM(LQ25,LV25)&gt;0,SUM(LQ25,LV25),"")</f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>IF(SUM(LY25,MC25)&gt;0,SUM(LY25,MC25),"")</f>
        <v/>
      </c>
      <c r="MS25" s="78" t="str">
        <f>IF(SUM(LX25:LY25,MA25:MC25,ME25)-LZ25-MD25&gt;0,SUM(LX25:LY25,MA25:MC25,ME25)-LZ25-MD25,"")</f>
        <v/>
      </c>
      <c r="MT25" s="78" t="str">
        <f>IF(SUM(MF25:MG25,MI25)-MH25&gt;0,SUM(MF25:MG25,MI25)-MH25,"")</f>
        <v/>
      </c>
      <c r="MU25" s="78" t="str">
        <f>IF(SUM(LY25,MC25,MG25)&gt;0,SUM(LY25,MC25,MG25),"")</f>
        <v/>
      </c>
      <c r="MV25" s="78" t="str">
        <f>IF(SUM(MS25,MT25)&gt;0,SUM(MS25,MT25),"")</f>
        <v/>
      </c>
      <c r="MW25" s="78" t="str">
        <f>IF(SUM(MK25,MO25)&gt;0,SUM(MK25,MO25),"")</f>
        <v/>
      </c>
      <c r="MX25" s="78" t="str">
        <f>IF(SUM(MJ25:MK25,MM25:MO25,MQ25)-SUM(ML25,MP25)&gt;0,SUM(MJ25:MK25,MM25:MO25,MQ25)-SUM(ML25,MP25),"")</f>
        <v/>
      </c>
      <c r="MY25" s="78" t="str">
        <f>IF(SUM(MS25,MX25)&gt;0,SUM(MS25,MX25),"")</f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>IF(SUM(NA25,NE25)&gt;0,SUM(NA25,NE25),"")</f>
        <v/>
      </c>
      <c r="NU25" s="19" t="str">
        <f>IF(SUM(MZ25:NA25,NC25:NE25,NG25)-NB25-NF25&gt;0,SUM(MZ25:NA25,NC25:NE25,NG25)-NB25-NF25,"")</f>
        <v/>
      </c>
      <c r="NV25" s="19" t="str">
        <f>IF(SUM(NH25:NI25,NK25)-NJ25&gt;0,SUM(NH25:NI25,NK25)-NJ25,"")</f>
        <v/>
      </c>
      <c r="NW25" s="19" t="str">
        <f>IF(SUM(NA25,NE25,NI25)&gt;0,SUM(NA25,NE25,NI25),"")</f>
        <v/>
      </c>
      <c r="NX25" s="19" t="str">
        <f>IF(SUM(NU25,NV25)&gt;0,SUM(NU25,NV25),"")</f>
        <v/>
      </c>
      <c r="NY25" s="19" t="str">
        <f>IF(SUM(NM25,NQ25)&gt;0,SUM(NM25,NQ25),"")</f>
        <v/>
      </c>
      <c r="NZ25" s="19" t="str">
        <f>IF(SUM(NL25:NM25,NO25:NQ25,NS25)-SUM(NN25,NR25)&gt;0,SUM(NL25:NM25,NO25:NQ25,NS25)-SUM(NN25,NR25),"")</f>
        <v/>
      </c>
      <c r="OA25" s="19" t="str">
        <f>IF(SUM(NU25,NZ25)&gt;0,SUM(NU25,NZ25),"")</f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>IF(SUM(OC25,OG25)&gt;0,SUM(OC25,OG25),"")</f>
        <v/>
      </c>
      <c r="OW25" s="78" t="str">
        <f>IF(SUM(OB25:OC25,OE25:OG25,OI25)-OD25-OH25&gt;0,SUM(OB25:OC25,OE25:OG25,OI25)-OD25-OH25,"")</f>
        <v/>
      </c>
      <c r="OX25" s="78" t="str">
        <f>IF(SUM(OJ25:OK25,OM25)-OL25&gt;0,SUM(OJ25:OK25,OM25)-OL25,"")</f>
        <v/>
      </c>
      <c r="OY25" s="78" t="str">
        <f>IF(SUM(OC25,OG25,OK25)&gt;0,SUM(OC25,OG25,OK25),"")</f>
        <v/>
      </c>
      <c r="OZ25" s="78" t="str">
        <f>IF(SUM(OW25,OX25)&gt;0,SUM(OW25,OX25),"")</f>
        <v/>
      </c>
      <c r="PA25" s="78" t="str">
        <f>IF(SUM(OO25,OS25)&gt;0,SUM(OO25,OS25),"")</f>
        <v/>
      </c>
      <c r="PB25" s="78" t="str">
        <f>IF(SUM(ON25:OO25,OQ25:OS25,OU25)-SUM(OP25,OT25)&gt;0,SUM(ON25:OO25,OQ25:OS25,OU25)-SUM(OP25,OT25),"")</f>
        <v/>
      </c>
      <c r="PC25" s="78" t="str">
        <f>IF(SUM(OW25,PB25)&gt;0,SUM(OW25,PB25),"")</f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>IF(SUM(PE25,PI25)&gt;0,SUM(PE25,PI25),"")</f>
        <v/>
      </c>
      <c r="PY25" s="19" t="str">
        <f>IF(SUM(PD25:PE25,PG25:PI25,PK25)-PF25-PJ25&gt;0,SUM(PD25:PE25,PG25:PI25,PK25)-PF25-PJ25,"")</f>
        <v/>
      </c>
      <c r="PZ25" s="19" t="str">
        <f>IF(SUM(PL25:PM25,PO25)-PN25&gt;0,SUM(PL25:PM25,PO25)-PN25,"")</f>
        <v/>
      </c>
      <c r="QA25" s="19" t="str">
        <f>IF(SUM(PE25,PI25,PM25)&gt;0,SUM(PE25,PI25,PM25),"")</f>
        <v/>
      </c>
      <c r="QB25" s="19" t="str">
        <f>IF(SUM(PY25,PZ25)&gt;0,SUM(PY25,PZ25),"")</f>
        <v/>
      </c>
      <c r="QC25" s="19" t="str">
        <f>IF(SUM(PQ25,PU25)&gt;0,SUM(PQ25,PU25),"")</f>
        <v/>
      </c>
      <c r="QD25" s="19" t="str">
        <f>IF(SUM(PP25:PQ25,PS25:PU25,PW25)-SUM(PR25,PV25)&gt;0,SUM(PP25:PQ25,PS25:PU25,PW25)-SUM(PR25,PV25),"")</f>
        <v/>
      </c>
      <c r="QE25" s="19" t="str">
        <f>IF(SUM(PY25,QD25)&gt;0,SUM(PY25,QD25),"")</f>
        <v/>
      </c>
      <c r="QF25" s="37">
        <f>IF($CV25="P",CB25,(CB25+AY25)/2)</f>
        <v>9.0500000000000007</v>
      </c>
      <c r="QG25" s="37">
        <f>IF($CV25="P",CC25,(CC25+AZ25)/2)</f>
        <v>2.2000000000000002</v>
      </c>
      <c r="QH25" s="37">
        <f>IF($CV25="P",CD25,(CD25+BA25)/2)</f>
        <v>0.4</v>
      </c>
      <c r="QI25" s="37">
        <f>IF($CV25="P",CE25,(CE25+BB25)/2)</f>
        <v>0</v>
      </c>
      <c r="QJ25" s="37">
        <f>IF($CV25="P",CF25,(CF25+BC25)/2)</f>
        <v>9.3000000000000007</v>
      </c>
      <c r="QK25" s="37">
        <f>IF($CV25="P",CG25,(CG25+BD25)/2)</f>
        <v>2.15</v>
      </c>
      <c r="QL25" s="37">
        <f>IF($CV25="P",CH25,(CH25+BE25)/2)</f>
        <v>0.1</v>
      </c>
      <c r="QM25" s="37">
        <f>IF($CV25="P",CI25,(CI25+BF25)/2)</f>
        <v>0</v>
      </c>
      <c r="QN25" s="37">
        <f>IF($CV25="P",CJ25,(CJ25+BG25)/2)</f>
        <v>9.35</v>
      </c>
      <c r="QO25" s="37">
        <f>IF($CV25="P",CK25,(CK25+BH25)/2)</f>
        <v>1.05</v>
      </c>
      <c r="QP25" s="37">
        <f>IF($CV25="P",CL25,(CL25+BI25)/2)</f>
        <v>1.55</v>
      </c>
      <c r="QQ25" s="37">
        <f>IF($CV25="P",CM25,(CM25+BJ25)/2)</f>
        <v>0</v>
      </c>
      <c r="QR25" s="37">
        <f>IF($CV25="P",CN25,(CN25+BK25)/2)</f>
        <v>9.49</v>
      </c>
      <c r="QS25" s="37">
        <f>IF($CV25="P",CO25,(CO25+BL25)/2)</f>
        <v>1.75</v>
      </c>
      <c r="QT25" s="37">
        <f>IF($CV25="P",CP25,(CP25+BM25)/2)</f>
        <v>0</v>
      </c>
      <c r="QU25" s="37">
        <f>IF($CV25="P",CQ25,(CQ25+BN25)/2)</f>
        <v>0</v>
      </c>
      <c r="QV25" s="37">
        <f>IF($CV25="P",CR25,(CR25+BO25)/2)</f>
        <v>8.6</v>
      </c>
      <c r="QW25" s="37">
        <f>IF($CV25="P",CS25,(CS25+BP25)/2)</f>
        <v>1.2</v>
      </c>
      <c r="QX25" s="37">
        <f>IF($CV25="P",CT25,(CT25+BQ25)/2)</f>
        <v>0</v>
      </c>
      <c r="QY25" s="37">
        <f>IF($CV25="P",CU25,(CU25+BR25)/2)</f>
        <v>0</v>
      </c>
      <c r="QZ25" s="44" t="s">
        <v>46</v>
      </c>
      <c r="RA25" s="78">
        <f>IF(SUM(QG25,QK25)&gt;0,SUM(QG25,QK25),"")</f>
        <v>4.3499999999999996</v>
      </c>
      <c r="RB25" s="78">
        <f>IF(SUM(QF25:QG25,QI25:QK25,QM25)-QH25-QL25&gt;0,SUM(QF25:QG25,QI25:QK25,QM25)-QH25-QL25,"")</f>
        <v>22.2</v>
      </c>
      <c r="RC25" s="78">
        <f>IF(SUM(QN25:QO25,QQ25)-QP25&gt;0,SUM(QN25:QO25,QQ25)-QP25,"")</f>
        <v>8.85</v>
      </c>
      <c r="RD25" s="78">
        <f>IF(SUM(QG25,QK25,QO25)&gt;0,SUM(QG25,QK25,QO25),"")</f>
        <v>5.3999999999999995</v>
      </c>
      <c r="RE25" s="78">
        <f>IF(SUM(RB25,RC25)&gt;0,SUM(RB25,RC25),"")</f>
        <v>31.049999999999997</v>
      </c>
      <c r="RF25" s="78">
        <f>IF(SUM(QS25,QW25)&gt;0,SUM(QS25,QW25),"")</f>
        <v>2.95</v>
      </c>
      <c r="RG25" s="78">
        <f>IF(SUM(QR25:QS25,QU25:QW25,QY25)-SUM(QT25,QX25)&gt;0,SUM(QR25:QS25,QU25:QW25,QY25)-SUM(QT25,QX25),"")</f>
        <v>21.04</v>
      </c>
      <c r="RH25" s="78">
        <f>IF(SUM(RB25,RG25)&gt;0,SUM(RB25,RG25),"")</f>
        <v>43.239999999999995</v>
      </c>
    </row>
    <row r="26" spans="1:476" x14ac:dyDescent="0.2">
      <c r="A26" s="5" t="str">
        <f>IF(AND(F26="P",G26="P"),SUMPRODUCT((F$4:F$29="P")*(G$4:G$29="P")*(E$4:E$29&gt;E26))+1,IF(G26="P",SUMPRODUCT((F$4:F$29="")*(G$4:G$29="P")*(E$4:E$29&gt;E26))+1+SUMPRODUCT((F$4:F$29="P")*(G$4:G$29="P")),""))</f>
        <v/>
      </c>
      <c r="B26" s="77" t="s">
        <v>200</v>
      </c>
      <c r="C26" s="5" t="s">
        <v>81</v>
      </c>
      <c r="D26" s="5">
        <v>2005</v>
      </c>
      <c r="E26" s="15">
        <f>SUM(I26:S26)+SUM(I26:O26)*0.0000001+SUM(I26)*0.0000000000001</f>
        <v>103.10000652000437</v>
      </c>
      <c r="F26" s="3" t="str">
        <f>IF(OR(AND(AQ26&gt;=AX$31,AR26&gt;=AX$35,AQ26&lt;&gt;"",AP26=""),AND(AV26&gt;=AX$31,AW26&gt;=AX$35,AV26&lt;&gt;"",AP26=""),AND(BT26&gt;=CA$31,BU26&gt;=CA$35,BT26&lt;&gt;"",BS26=""),AND(BY26&gt;=CA$31,BZ26&gt;=CA$35,BY26&lt;&gt;"",BS26=""),AND(CW26&gt;=DD$31,CX26&gt;=DD$35,CW26&lt;&gt;"",CV26=""),AND(DB26&gt;=DD$31,DC26&gt;=DD$35,DB26&lt;&gt;""),AND(EB26&gt;=EI$31,EC26&gt;=EI$35,EB26&lt;&gt;""),AND(EG26&gt;=EI$31,EH26&gt;=EI$35,EG26&lt;&gt;""),AND(FD26&gt;=FK$31,FE26&gt;=FK$35,FD26&lt;&gt;""),AND(FI26&gt;=FK$31,FJ26&gt;=FK$35,FI26&lt;&gt;""),AND(GF26&gt;=GM$31,GG26&gt;=GM$35,GF26&lt;&gt;""),AND(GK26&gt;=GM$31,GL26&gt;=GM$35,GK26&lt;&gt;""),AND(HH26&gt;=HO$31,HI26&gt;=HO$35,HH26&lt;&gt;""),AND(HM26&gt;=HO$31,HN26&gt;=HO$35,HM26&lt;&gt;""),AND(IJ26&gt;=IQ$31,IK26&gt;=IQ$35,IJ26&lt;&gt;""),AND(IO26&gt;=IQ$31,IP26&gt;=IQ$35,IO26&lt;&gt;""),AND(JL26&gt;=JS$31,JM26&gt;=JS$35,JL26&lt;&gt;""),AND(JQ26&gt;=JS$31,JR26&gt;=JS$35,JQ26&lt;&gt;""),AND(KN26&gt;=KU$31,KO26&gt;=KU$35,KN26&lt;&gt;""),AND(KS26&gt;=KU$31,KT26&gt;=KU$35,KS26&lt;&gt;""),AND(LP26&gt;=LW$31,LQ26&gt;=LW$35,LP26&lt;&gt;""),AND(LU26&gt;=LW$31,LV26&gt;=LW$35,LU26&lt;&gt;""),AND(MR26&gt;=MY$31,MS26&gt;=MY$35,MR26&lt;&gt;""),AND(MW26&gt;=MY$31,MX26&gt;=MY$35,MW26&lt;&gt;""),AND(NT26&gt;=OA$31,NU26&gt;=OA$35,NT26&lt;&gt;""),AND(NY26&gt;=OA$31,NZ26&gt;=OA$35,NY26&lt;&gt;""),AND(OV26&gt;=PC$31,OW26&gt;=PC$35,OV26&lt;&gt;""),AND(PA26&gt;=PC$31,PB26&gt;=PC$35,PA26&lt;&gt;""),AND(PX26&gt;=QE$31,PY26&gt;=QE$35,PX26&lt;&gt;""),AND(QC26&gt;=QE$31,QD26&gt;=QE$35,QC26&lt;&gt;"")),"P","")</f>
        <v/>
      </c>
      <c r="G26" s="3" t="str">
        <f>IF(OR(AND(AR26&gt;=AX$35,AR26&lt;&gt;"",AP26=""),AND(AW26&gt;=AX$35,AW26&lt;&gt;"",AP26=""),AND(BU26&gt;=CA$35,BU26&lt;&gt;"",BS26=""),AND(BZ26&gt;=CA$35,BZ26&lt;&gt;"",BS26=""),AND(CX26&gt;=DD$35,CX26&lt;&gt;"",CV26=""),AND(DC26&gt;=DD$35,DC26&lt;&gt;"",CV26=""),AND(EC26&gt;=EI$35,EC26&lt;&gt;""),AND(EH26&gt;=EI$35,EH26&lt;&gt;""),AND(FE26&gt;=FK$35,FE26&lt;&gt;""),AND(FJ26&gt;=FK$35,FJ26&lt;&gt;""),AND(GG26&gt;=GM$35,GG26&lt;&gt;""),AND(GL26&gt;=GM$35,GL26&lt;&gt;""),AND(HI26&gt;=HO$35,HI26&lt;&gt;""),AND(HN26&gt;=HO$35,HN26&lt;&gt;""),AND(IK26&gt;=IQ$35,IK26&lt;&gt;""),AND(IP26&gt;=IQ$35,IP26&lt;&gt;""),AND(JM26&gt;=JS$35,JM26&lt;&gt;""),AND(JR26&gt;=JS$35,JR26&lt;&gt;""),AND(KO26&gt;=KU$35,KO26&lt;&gt;""),AND(KT26&gt;=KU$35,KT26&lt;&gt;""),AND(LQ26&gt;=LW$35,LQ26&lt;&gt;""),AND(LV26&gt;=LW$35,LV26&lt;&gt;""),AND(MS26&gt;=MY$35,MS26&lt;&gt;""),AND(MX26&gt;=MY$35,MX26&lt;&gt;""),AND(NU26&gt;=OA$35,NU26&lt;&gt;""),AND(NZ26&gt;=OA$35,NZ26&lt;&gt;""),AND(OW26&gt;=PC$35,OW26&lt;&gt;""),AND(PB26&gt;=PC$35,PB26&lt;&gt;""),AND(PY26&gt;=QE$35,PY26&lt;&gt;""),AND(QD26&gt;=QE$35,QD26&lt;&gt;"")),"P","")</f>
        <v/>
      </c>
      <c r="H26" s="66" t="str">
        <f>IF(AND(G26="P",F26=""),"No DD",IF(OR(AND(AT26&gt;=AX$34,AU26&gt;=AX$38,AT26&lt;&gt;"",AP26=""),AND(BW26&gt;=CA$34,BX26&gt;=CA$38,BW26&lt;&gt;"",BS26=""),AND(CZ26&gt;=DD$34,DA26&gt;=DD$38,CZ26&lt;&gt;"",CV26=""),AND(EE26&gt;=EI$34,EF26&gt;=EI$38,EE26&lt;&gt;""),AND(FG26&gt;=FK$34,FH26&gt;=FK$38,FG26&lt;&gt;""),AND(GI26&gt;=GM$34,GJ26&gt;=GM$38,GI26&lt;&gt;""),AND(HK26&gt;=HO$34,HL26&gt;=HO$38,HK26&lt;&gt;""),AND(IM26&gt;=IQ$34,IN26&gt;=IQ$38,IM26&lt;&gt;""),AND(JO26&gt;=JS$34,JP26&gt;=JS$38,JO26&lt;&gt;""),AND(KQ26&gt;=KU$34,KR26&gt;=KU$38,KQ26&lt;&gt;""),AND(LS26&gt;=LW$34,LT26&gt;=LW$38,LS26&lt;&gt;""),AND(MU26&gt;=MY$34,MV26&gt;=MY$38,MU26&lt;&gt;""),AND(NW26&gt;=OA$34,NX26&gt;=OA$38,NW26&lt;&gt;""),AND(OY26&gt;=PC$34,OZ26&gt;=PC$38,OY26&lt;&gt;""),AND(QA26&gt;=QE$34,QB26&gt;=QE$38,QA26&lt;&gt;"")),"Merit",IF(OR(AND(AT26&gt;=AX$33,AU26&gt;=AX$37,AT26&lt;&gt;"",AP26=""),AND(BW26&gt;=CA$33,BX26&gt;=CA$37,BW26&lt;&gt;"",BS26=""),AND(CZ26&gt;=DD$33,DA26&gt;=DD$37,CZ26&lt;&gt;"",CV26=""),AND(EE26&gt;=EI$33,EF26&gt;=EI$37,EE26&lt;&gt;""),AND(FG26&gt;=FK$33,FH26&gt;=FK$37,FG26&lt;&gt;""),AND(GI26&gt;=GM$33,GJ26&gt;=GM$37,GI26&lt;&gt;""),AND(HK26&gt;=HO$33,HL26&gt;=HO$37,HK26&lt;&gt;""),AND(IM26&gt;=IQ$33,IN26&gt;=IQ$37,IM26&lt;&gt;""),AND(JO26&gt;=JS$33,JP26&gt;=JS$37,JO26&lt;&gt;""),AND(KQ26&gt;=KU$33,KR26&gt;=KU$37,KQ26&lt;&gt;""),AND(LS26&gt;=LW$33,LT26&gt;=LW$37,LS26&lt;&gt;""),AND(MU26&gt;=MY$33,MV26&gt;=MY$37,MU26&lt;&gt;""),AND(NW26&gt;=OA$33,NX26&gt;=OA$37,NW26&lt;&gt;""),AND(OY26&gt;=PC$33,OZ26&gt;=PC$37,OY26&lt;&gt;""),AND(QA26&gt;=QE$33,QB26&gt;=QE$37,QA26&lt;&gt;"")),"Excellence",IF(F26="P","National Team",""))))</f>
        <v/>
      </c>
      <c r="I26" s="14">
        <f>IF(COUNT(AR26,BU26,CX26)&gt;0,LARGE((AR26,BU26,CX26),1),0)</f>
        <v>43.7</v>
      </c>
      <c r="J26" s="14" t="str">
        <f>IF(I26=0,"",IF(I26=CX26,$CB$1,IF(I26=BU26,$AY$1,IF(I26=AR26,$V$1,""))))</f>
        <v>2022 Nationals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21.5</v>
      </c>
      <c r="N26" s="14" t="str">
        <f>IF(M26=0,"",IF(M26=CY26,$CB$1,IF(M26=BV26,$AY$1,IF(M26=AS26,$V$1,""))))</f>
        <v>2022 Nationals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37.9</v>
      </c>
      <c r="R26" s="14" t="str">
        <f>IF(Q26=0,"",IF(Q26=DC26,$CB$1,IF(Q26=BZ26,$AY$1,IF(Q26=AW26,$V$1,""))))</f>
        <v>2022 Nationals</v>
      </c>
      <c r="S26" s="14" t="str">
        <f>IF(MAX(DE26:DG26)&gt;0,MAX(DE26:DG26),"")</f>
        <v/>
      </c>
      <c r="T26" s="19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>IF(SUM(W26,AA26)&gt;0,SUM(W26,AA26),"")</f>
        <v/>
      </c>
      <c r="AR26" s="78" t="str">
        <f>IF(SUM(V26:W26,Y26:AA26,AC26)-X26-AB26&gt;0,SUM(V26:W26,Y26:AA26,AC26)-X26-AB26,"")</f>
        <v/>
      </c>
      <c r="AS26" s="78" t="str">
        <f>IF(SUM(AD26:AE26,AG26)-AF26&gt;0,SUM(AD26:AE26,AG26)-AF26,"")</f>
        <v/>
      </c>
      <c r="AT26" s="78" t="str">
        <f>IF(SUM(W26,AA26,AE26)&gt;0,SUM(W26,AA26,AE26),"")</f>
        <v/>
      </c>
      <c r="AU26" s="78" t="str">
        <f>IF(SUM(AR26,AS26)&gt;0,SUM(AR26,AS26),"")</f>
        <v/>
      </c>
      <c r="AV26" s="78" t="str">
        <f>IF(SUM(AI26,AM26)&gt;0,SUM(AI26,AM26),"")</f>
        <v/>
      </c>
      <c r="AW26" s="78" t="str">
        <f>IF(SUM(AH26:AI26,AK26:AM26,AO26)-SUM(AJ26,AN26)&gt;0,SUM(AH26:AI26,AK26:AM26,AO26)-SUM(AJ26,AN26),"")</f>
        <v/>
      </c>
      <c r="AX26" s="78" t="str">
        <f>IF(SUM(AR26,AW26)&gt;0,SUM(AR26,AW26),"")</f>
        <v/>
      </c>
      <c r="AY26" s="25">
        <v>18.100000000000001</v>
      </c>
      <c r="AZ26" s="25">
        <v>3.6</v>
      </c>
      <c r="BA26" s="25">
        <v>0</v>
      </c>
      <c r="BB26" s="25">
        <v>0</v>
      </c>
      <c r="BC26" s="25">
        <v>18.5</v>
      </c>
      <c r="BD26" s="25">
        <v>3.5</v>
      </c>
      <c r="BE26" s="25">
        <v>0</v>
      </c>
      <c r="BF26" s="25">
        <v>0</v>
      </c>
      <c r="BG26" s="25">
        <v>17.7</v>
      </c>
      <c r="BH26" s="25">
        <v>4.4000000000000004</v>
      </c>
      <c r="BI26" s="25">
        <v>0.6</v>
      </c>
      <c r="BJ26" s="25">
        <v>0</v>
      </c>
      <c r="BK26" s="25">
        <v>17.2</v>
      </c>
      <c r="BL26" s="25">
        <v>1.2</v>
      </c>
      <c r="BM26" s="25">
        <v>0</v>
      </c>
      <c r="BN26" s="25">
        <v>0</v>
      </c>
      <c r="BO26" s="25">
        <v>17.100000000000001</v>
      </c>
      <c r="BP26" s="25">
        <v>2.4</v>
      </c>
      <c r="BQ26" s="25">
        <v>0</v>
      </c>
      <c r="BR26" s="25">
        <v>0</v>
      </c>
      <c r="BS26" s="45"/>
      <c r="BT26" s="19">
        <f>IF(SUM(AZ26,BD26)&gt;0,SUM(AZ26,BD26),"")</f>
        <v>7.1</v>
      </c>
      <c r="BU26" s="19">
        <f>IF(SUM(AY26:AZ26,BB26:BD26,BF26)-BA26-BE26&gt;0,SUM(AY26:AZ26,BB26:BD26,BF26)-BA26-BE26,"")</f>
        <v>43.7</v>
      </c>
      <c r="BV26" s="19">
        <f>IF(SUM(BG26:BH26,BJ26)-BI26&gt;0,SUM(BG26:BH26,BJ26)-BI26,"")</f>
        <v>21.5</v>
      </c>
      <c r="BW26" s="19">
        <f>IF(SUM(AZ26,BD26,BH26)&gt;0,SUM(AZ26,BD26,BH26),"")</f>
        <v>11.5</v>
      </c>
      <c r="BX26" s="19">
        <f>IF(SUM(BU26,BV26)&gt;0,SUM(BU26,BV26),"")</f>
        <v>65.2</v>
      </c>
      <c r="BY26" s="19">
        <f>IF(SUM(BL26,BP26)&gt;0,SUM(BL26,BP26),"")</f>
        <v>3.5999999999999996</v>
      </c>
      <c r="BZ26" s="19">
        <f>IF(SUM(BK26:BL26,BN26:BP26,BR26)-SUM(BM26,BQ26)&gt;0,SUM(BK26:BL26,BN26:BP26,BR26)-SUM(BM26,BQ26),"")</f>
        <v>37.9</v>
      </c>
      <c r="CA26" s="19">
        <f>IF(SUM(BU26,BZ26)&gt;0,SUM(BU26,BZ26),"")</f>
        <v>81.599999999999994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>IF(SUM(CC26,CG26)&gt;0,SUM(CC26,CG26),"")</f>
        <v/>
      </c>
      <c r="CX26" s="78" t="str">
        <f>IF(SUM(CB26:CC26,CE26:CG26,CI26)-CD26-CH26&gt;0,SUM(CB26:CC26,CE26:CG26,CI26)-CD26-CH26,"")</f>
        <v/>
      </c>
      <c r="CY26" s="78" t="str">
        <f>IF(SUM(CJ26:CK26,CM26)-CL26&gt;0,SUM(CJ26:CK26,CM26)-CL26,"")</f>
        <v/>
      </c>
      <c r="CZ26" s="78" t="str">
        <f>IF(SUM(CC26,CG26,CK26)&gt;0,SUM(CC26,CG26,CK26),"")</f>
        <v/>
      </c>
      <c r="DA26" s="78" t="str">
        <f>IF(SUM(CX26,CY26)&gt;0,SUM(CX26,CY26),"")</f>
        <v/>
      </c>
      <c r="DB26" s="78" t="str">
        <f>IF(SUM(CO26,CS26)&gt;0,SUM(CO26,CS26),"")</f>
        <v/>
      </c>
      <c r="DC26" s="78" t="str">
        <f>IF(SUM(CN26:CO26,CQ26:CS26,CU26)-SUM(CP26,CT26)&gt;0,SUM(CN26:CO26,CQ26:CS26,CU26)-SUM(CP26,CT26),"")</f>
        <v/>
      </c>
      <c r="DD26" s="78" t="str">
        <f>IF(SUM(CX26,DC26)&gt;0,SUM(CX26,DC26),"")</f>
        <v/>
      </c>
      <c r="DE26" s="79" t="str">
        <f>IF(K26&gt;=0.001,IF(MAX(EC26,FE26,GG26,HI26,IK26,JM26,KO26,LQ26,MS26,NU26,OW26,PY26)-IF(K26="",0,K26)&gt;0.001,MAX(EC26,FE26,GG26,HI26,IK26,JM26,KO26,LQ26,MS26,NU26,OW26,PY26)-IF(K26="",0,K26),""),"")</f>
        <v/>
      </c>
      <c r="DF26" s="79" t="str">
        <f>IF(O26&gt;=0.001,IF(MAX(ED26,FF26,GH26,HJ26,IL26,JN26,KP26,LR26,MT26,NV26,OX26,PZ26)-IF(O26="",0,O26)&gt;0.001,MAX(ED26,FF26,GH26,HJ26,IL26,JN26,KP26,LR26,MT26,NV26,OX26,PZ26)-IF(O26="",0,O26),""),"")</f>
        <v/>
      </c>
      <c r="DG26" s="79" t="str">
        <f>IF(Q26&gt;=0.001,IF(MAX(EH26,FJ26,GL26,HN26,IP26,JR26,KT26,LV26,MX26,NZ26,PB26,QD26)-IF(Q26="",0,Q26)&gt;0.001,MAX(EH26,FJ26,GL26,HN26,IP26,JR26,KT26,LV26,MX26,NZ26,PB26,QD26)-IF(Q26="",0,Q26),""),"")</f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>IF(SUM(DI26,DM26)&gt;0,SUM(DI26,DM26),"")</f>
        <v/>
      </c>
      <c r="EC26" s="78" t="str">
        <f>IF(SUM(DH26:DI26,DK26:DM26,DO26)-DJ26-DN26&gt;0,SUM(DH26:DI26,DK26:DM26,DO26)-DJ26-DN26,"")</f>
        <v/>
      </c>
      <c r="ED26" s="78" t="str">
        <f>IF(SUM(DP26:DQ26,DS26)-DR26&gt;0,SUM(DP26:DQ26,DS26)-DR26,"")</f>
        <v/>
      </c>
      <c r="EE26" s="78" t="str">
        <f>IF(SUM(DI26,DM26,DQ26)&gt;0,SUM(DI26,DM26,DQ26),"")</f>
        <v/>
      </c>
      <c r="EF26" s="78" t="str">
        <f>IF(SUM(EC26,ED26)&gt;0,SUM(EC26,ED26),"")</f>
        <v/>
      </c>
      <c r="EG26" s="78" t="str">
        <f>IF(SUM(DU26,DY26)&gt;0,SUM(DU26,DY26),"")</f>
        <v/>
      </c>
      <c r="EH26" s="78" t="str">
        <f>IF(SUM(DT26:DU26,DW26:DY26,EA26)-SUM(DV26,DZ26)&gt;0,SUM(DT26:DU26,DW26:DY26,EA26)-SUM(DV26,DZ26),"")</f>
        <v/>
      </c>
      <c r="EI26" s="78" t="str">
        <f>IF(SUM(EC26,EH26)&gt;0,SUM(EC26,EH26),"")</f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>IF(SUM(EK26,EO26)&gt;0,SUM(EK26,EO26),"")</f>
        <v/>
      </c>
      <c r="FE26" s="19" t="str">
        <f>IF(SUM(EJ26:EK26,EM26:EO26,EQ26)-EL26-EP26&gt;0,SUM(EJ26:EK26,EM26:EO26,EQ26)-EL26-EP26,"")</f>
        <v/>
      </c>
      <c r="FF26" s="19" t="str">
        <f>IF(SUM(ER26:ES26,EU26)-ET26&gt;0,SUM(ER26:ES26,EU26)-ET26,"")</f>
        <v/>
      </c>
      <c r="FG26" s="19" t="str">
        <f>IF(SUM(EK26,EO26,ES26)&gt;0,SUM(EK26,EO26,ES26),"")</f>
        <v/>
      </c>
      <c r="FH26" s="19" t="str">
        <f>IF(SUM(FE26,FF26)&gt;0,SUM(FE26,FF26),"")</f>
        <v/>
      </c>
      <c r="FI26" s="19" t="str">
        <f>IF(SUM(EW26,FA26)&gt;0,SUM(EW26,FA26),"")</f>
        <v/>
      </c>
      <c r="FJ26" s="19" t="str">
        <f>IF(SUM(EV26:EW26,EY26:FA26,FC26)-SUM(EX26,FB26)&gt;0,SUM(EV26:EW26,EY26:FA26,FC26)-SUM(EX26,FB26),"")</f>
        <v/>
      </c>
      <c r="FK26" s="19" t="str">
        <f>IF(SUM(FE26,FJ26)&gt;0,SUM(FE26,FJ26),"")</f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>IF(SUM(FM26,FQ26)&gt;0,SUM(FM26,FQ26),"")</f>
        <v/>
      </c>
      <c r="GG26" s="78" t="str">
        <f>IF(SUM(FL26:FM26,FO26:FQ26,FS26)-FN26-FR26&gt;0,SUM(FL26:FM26,FO26:FQ26,FS26)-FN26-FR26,"")</f>
        <v/>
      </c>
      <c r="GH26" s="78" t="str">
        <f>IF(SUM(FT26:FU26,FW26)-FV26&gt;0,SUM(FT26:FU26,FW26)-FV26,"")</f>
        <v/>
      </c>
      <c r="GI26" s="78" t="str">
        <f>IF(SUM(FM26,FQ26,FU26)&gt;0,SUM(FM26,FQ26,FU26),"")</f>
        <v/>
      </c>
      <c r="GJ26" s="78" t="str">
        <f>IF(SUM(GG26,GH26)&gt;0,SUM(GG26,GH26),"")</f>
        <v/>
      </c>
      <c r="GK26" s="78" t="str">
        <f>IF(SUM(FY26,GC26)&gt;0,SUM(FY26,GC26),"")</f>
        <v/>
      </c>
      <c r="GL26" s="78" t="str">
        <f>IF(SUM(FX26:FY26,GA26:GC26,GE26)-SUM(FZ26,GD26)&gt;0,SUM(FX26:FY26,GA26:GC26,GE26)-SUM(FZ26,GD26),"")</f>
        <v/>
      </c>
      <c r="GM26" s="78" t="str">
        <f>IF(SUM(GG26,GL26)&gt;0,SUM(GG26,GL26),"")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>IF(SUM(GO26,GS26)&gt;0,SUM(GO26,GS26),"")</f>
        <v/>
      </c>
      <c r="HI26" s="19" t="str">
        <f>IF(SUM(GN26:GO26,GQ26:GS26,GU26)-GP26-GT26&gt;0,SUM(GN26:GO26,GQ26:GS26,GU26)-GP26-GT26,"")</f>
        <v/>
      </c>
      <c r="HJ26" s="19" t="str">
        <f>IF(SUM(GV26:GW26,GY26)-GX26&gt;0,SUM(GV26:GW26,GY26)-GX26,"")</f>
        <v/>
      </c>
      <c r="HK26" s="19" t="str">
        <f>IF(SUM(GO26,GS26,GW26)&gt;0,SUM(GO26,GS26,GW26),"")</f>
        <v/>
      </c>
      <c r="HL26" s="19" t="str">
        <f>IF(SUM(HI26,HJ26)&gt;0,SUM(HI26,HJ26),"")</f>
        <v/>
      </c>
      <c r="HM26" s="19" t="str">
        <f>IF(SUM(HA26,HE26)&gt;0,SUM(HA26,HE26),"")</f>
        <v/>
      </c>
      <c r="HN26" s="19" t="str">
        <f>IF(SUM(GZ26:HA26,HC26:HE26,HG26)-SUM(HB26,HF26)&gt;0,SUM(GZ26:HA26,HC26:HE26,HG26)-SUM(HB26,HF26),"")</f>
        <v/>
      </c>
      <c r="HO26" s="19" t="str">
        <f>IF(SUM(HI26,HN26)&gt;0,SUM(HI26,HN26),"")</f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>IF(SUM(HQ26,HU26)&gt;0,SUM(HQ26,HU26),"")</f>
        <v/>
      </c>
      <c r="IK26" s="78" t="str">
        <f>IF(SUM(HP26:HQ26,HS26:HU26,HW26)-HR26-HV26&gt;0,SUM(HP26:HQ26,HS26:HU26,HW26)-HR26-HV26,"")</f>
        <v/>
      </c>
      <c r="IL26" s="78" t="str">
        <f>IF(SUM(HX26:HY26,IA26)-HZ26&gt;0,SUM(HX26:HY26,IA26)-HZ26,"")</f>
        <v/>
      </c>
      <c r="IM26" s="78" t="str">
        <f>IF(SUM(HQ26,HU26,HY26)&gt;0,SUM(HQ26,HU26,HY26),"")</f>
        <v/>
      </c>
      <c r="IN26" s="78" t="str">
        <f>IF(SUM(IK26,IL26)&gt;0,SUM(IK26,IL26),"")</f>
        <v/>
      </c>
      <c r="IO26" s="78" t="str">
        <f>IF(SUM(IC26,IG26)&gt;0,SUM(IC26,IG26),"")</f>
        <v/>
      </c>
      <c r="IP26" s="78" t="str">
        <f>IF(SUM(IB26:IC26,IE26:IG26,II26)-SUM(ID26,IH26)&gt;0,SUM(IB26:IC26,IE26:IG26,II26)-SUM(ID26,IH26),"")</f>
        <v/>
      </c>
      <c r="IQ26" s="78" t="str">
        <f>IF(SUM(IK26,IP26)&gt;0,SUM(IK26,IP26),"")</f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>IF(SUM(IS26,IW26)&gt;0,SUM(IS26,IW26),"")</f>
        <v/>
      </c>
      <c r="JM26" s="19" t="str">
        <f>IF(SUM(IR26:IS26,IU26:IW26,IY26)-IT26-IX26&gt;0,SUM(IR26:IS26,IU26:IW26,IY26)-IT26-IX26,"")</f>
        <v/>
      </c>
      <c r="JN26" s="19" t="str">
        <f>IF(SUM(IZ26:JA26,JC26)-JB26&gt;0,SUM(IZ26:JA26,JC26)-JB26,"")</f>
        <v/>
      </c>
      <c r="JO26" s="19" t="str">
        <f>IF(SUM(IS26,IW26,JA26)&gt;0,SUM(IS26,IW26,JA26),"")</f>
        <v/>
      </c>
      <c r="JP26" s="19" t="str">
        <f>IF(SUM(JM26,JN26)&gt;0,SUM(JM26,JN26),"")</f>
        <v/>
      </c>
      <c r="JQ26" s="19" t="str">
        <f>IF(SUM(JE26,JI26)&gt;0,SUM(JE26,JI26),"")</f>
        <v/>
      </c>
      <c r="JR26" s="19" t="str">
        <f>IF(SUM(JD26:JE26,JG26:JI26,JK26)-SUM(JF26,JJ26)&gt;0,SUM(JD26:JE26,JG26:JI26,JK26)-SUM(JF26,JJ26),"")</f>
        <v/>
      </c>
      <c r="JS26" s="19" t="str">
        <f>IF(SUM(JM26,JR26)&gt;0,SUM(JM26,JR26),"")</f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>IF(SUM(JU26,JY26)&gt;0,SUM(JU26,JY26),"")</f>
        <v/>
      </c>
      <c r="KO26" s="78" t="str">
        <f>IF(SUM(JT26:JU26,JW26:JY26,KA26)-JV26-JZ26&gt;0,SUM(JT26:JU26,JW26:JY26,KA26)-JV26-JZ26,"")</f>
        <v/>
      </c>
      <c r="KP26" s="78" t="str">
        <f>IF(SUM(KB26:KC26,KE26)-KD26&gt;0,SUM(KB26:KC26,KE26)-KD26,"")</f>
        <v/>
      </c>
      <c r="KQ26" s="78" t="str">
        <f>IF(SUM(JU26,JY26,KC26)&gt;0,SUM(JU26,JY26,KC26),"")</f>
        <v/>
      </c>
      <c r="KR26" s="78" t="str">
        <f>IF(SUM(KO26,KP26)&gt;0,SUM(KO26,KP26),"")</f>
        <v/>
      </c>
      <c r="KS26" s="78" t="str">
        <f>IF(SUM(KG26,KK26)&gt;0,SUM(KG26,KK26),"")</f>
        <v/>
      </c>
      <c r="KT26" s="78" t="str">
        <f>IF(SUM(KF26:KG26,KI26:KK26,KM26)-SUM(KH26,KL26)&gt;0,SUM(KF26:KG26,KI26:KK26,KM26)-SUM(KH26,KL26),"")</f>
        <v/>
      </c>
      <c r="KU26" s="78" t="str">
        <f>IF(SUM(KO26,KT26)&gt;0,SUM(KO26,KT26),"")</f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>IF(SUM(KW26,LA26)&gt;0,SUM(KW26,LA26),"")</f>
        <v/>
      </c>
      <c r="LQ26" s="19" t="str">
        <f>IF(SUM(KV26:KW26,KY26:LA26,LC26)-KX26-LB26&gt;0,SUM(KV26:KW26,KY26:LA26,LC26)-KX26-LB26,"")</f>
        <v/>
      </c>
      <c r="LR26" s="19" t="str">
        <f>IF(SUM(LD26:LE26,LG26)-LF26&gt;0,SUM(LD26:LE26,LG26)-LF26,"")</f>
        <v/>
      </c>
      <c r="LS26" s="19" t="str">
        <f>IF(SUM(KW26,LA26,LE26)&gt;0,SUM(KW26,LA26,LE26),"")</f>
        <v/>
      </c>
      <c r="LT26" s="19" t="str">
        <f>IF(SUM(LQ26,LR26)&gt;0,SUM(LQ26,LR26),"")</f>
        <v/>
      </c>
      <c r="LU26" s="19" t="str">
        <f>IF(SUM(LI26,LM26)&gt;0,SUM(LI26,LM26),"")</f>
        <v/>
      </c>
      <c r="LV26" s="19" t="str">
        <f>IF(SUM(LH26:LI26,LK26:LM26,LO26)-SUM(LJ26,LN26)&gt;0,SUM(LH26:LI26,LK26:LM26,LO26)-SUM(LJ26,LN26),"")</f>
        <v/>
      </c>
      <c r="LW26" s="19" t="str">
        <f>IF(SUM(LQ26,LV26)&gt;0,SUM(LQ26,LV26),"")</f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>IF(SUM(LY26,MC26)&gt;0,SUM(LY26,MC26),"")</f>
        <v/>
      </c>
      <c r="MS26" s="78" t="str">
        <f>IF(SUM(LX26:LY26,MA26:MC26,ME26)-LZ26-MD26&gt;0,SUM(LX26:LY26,MA26:MC26,ME26)-LZ26-MD26,"")</f>
        <v/>
      </c>
      <c r="MT26" s="78" t="str">
        <f>IF(SUM(MF26:MG26,MI26)-MH26&gt;0,SUM(MF26:MG26,MI26)-MH26,"")</f>
        <v/>
      </c>
      <c r="MU26" s="78" t="str">
        <f>IF(SUM(LY26,MC26,MG26)&gt;0,SUM(LY26,MC26,MG26),"")</f>
        <v/>
      </c>
      <c r="MV26" s="78" t="str">
        <f>IF(SUM(MS26,MT26)&gt;0,SUM(MS26,MT26),"")</f>
        <v/>
      </c>
      <c r="MW26" s="78" t="str">
        <f>IF(SUM(MK26,MO26)&gt;0,SUM(MK26,MO26),"")</f>
        <v/>
      </c>
      <c r="MX26" s="78" t="str">
        <f>IF(SUM(MJ26:MK26,MM26:MO26,MQ26)-SUM(ML26,MP26)&gt;0,SUM(MJ26:MK26,MM26:MO26,MQ26)-SUM(ML26,MP26),"")</f>
        <v/>
      </c>
      <c r="MY26" s="78" t="str">
        <f>IF(SUM(MS26,MX26)&gt;0,SUM(MS26,MX26),"")</f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>IF(SUM(NA26,NE26)&gt;0,SUM(NA26,NE26),"")</f>
        <v/>
      </c>
      <c r="NU26" s="19" t="str">
        <f>IF(SUM(MZ26:NA26,NC26:NE26,NG26)-NB26-NF26&gt;0,SUM(MZ26:NA26,NC26:NE26,NG26)-NB26-NF26,"")</f>
        <v/>
      </c>
      <c r="NV26" s="19" t="str">
        <f>IF(SUM(NH26:NI26,NK26)-NJ26&gt;0,SUM(NH26:NI26,NK26)-NJ26,"")</f>
        <v/>
      </c>
      <c r="NW26" s="19" t="str">
        <f>IF(SUM(NA26,NE26,NI26)&gt;0,SUM(NA26,NE26,NI26),"")</f>
        <v/>
      </c>
      <c r="NX26" s="19" t="str">
        <f>IF(SUM(NU26,NV26)&gt;0,SUM(NU26,NV26),"")</f>
        <v/>
      </c>
      <c r="NY26" s="19" t="str">
        <f>IF(SUM(NM26,NQ26)&gt;0,SUM(NM26,NQ26),"")</f>
        <v/>
      </c>
      <c r="NZ26" s="19" t="str">
        <f>IF(SUM(NL26:NM26,NO26:NQ26,NS26)-SUM(NN26,NR26)&gt;0,SUM(NL26:NM26,NO26:NQ26,NS26)-SUM(NN26,NR26),"")</f>
        <v/>
      </c>
      <c r="OA26" s="19" t="str">
        <f>IF(SUM(NU26,NZ26)&gt;0,SUM(NU26,NZ26),"")</f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>IF(SUM(OC26,OG26)&gt;0,SUM(OC26,OG26),"")</f>
        <v/>
      </c>
      <c r="OW26" s="78" t="str">
        <f>IF(SUM(OB26:OC26,OE26:OG26,OI26)-OD26-OH26&gt;0,SUM(OB26:OC26,OE26:OG26,OI26)-OD26-OH26,"")</f>
        <v/>
      </c>
      <c r="OX26" s="78" t="str">
        <f>IF(SUM(OJ26:OK26,OM26)-OL26&gt;0,SUM(OJ26:OK26,OM26)-OL26,"")</f>
        <v/>
      </c>
      <c r="OY26" s="78" t="str">
        <f>IF(SUM(OC26,OG26,OK26)&gt;0,SUM(OC26,OG26,OK26),"")</f>
        <v/>
      </c>
      <c r="OZ26" s="78" t="str">
        <f>IF(SUM(OW26,OX26)&gt;0,SUM(OW26,OX26),"")</f>
        <v/>
      </c>
      <c r="PA26" s="78" t="str">
        <f>IF(SUM(OO26,OS26)&gt;0,SUM(OO26,OS26),"")</f>
        <v/>
      </c>
      <c r="PB26" s="78" t="str">
        <f>IF(SUM(ON26:OO26,OQ26:OS26,OU26)-SUM(OP26,OT26)&gt;0,SUM(ON26:OO26,OQ26:OS26,OU26)-SUM(OP26,OT26),"")</f>
        <v/>
      </c>
      <c r="PC26" s="78" t="str">
        <f>IF(SUM(OW26,PB26)&gt;0,SUM(OW26,PB26),"")</f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>IF(SUM(PE26,PI26)&gt;0,SUM(PE26,PI26),"")</f>
        <v/>
      </c>
      <c r="PY26" s="19" t="str">
        <f>IF(SUM(PD26:PE26,PG26:PI26,PK26)-PF26-PJ26&gt;0,SUM(PD26:PE26,PG26:PI26,PK26)-PF26-PJ26,"")</f>
        <v/>
      </c>
      <c r="PZ26" s="19" t="str">
        <f>IF(SUM(PL26:PM26,PO26)-PN26&gt;0,SUM(PL26:PM26,PO26)-PN26,"")</f>
        <v/>
      </c>
      <c r="QA26" s="19" t="str">
        <f>IF(SUM(PE26,PI26,PM26)&gt;0,SUM(PE26,PI26,PM26),"")</f>
        <v/>
      </c>
      <c r="QB26" s="19" t="str">
        <f>IF(SUM(PY26,PZ26)&gt;0,SUM(PY26,PZ26),"")</f>
        <v/>
      </c>
      <c r="QC26" s="19" t="str">
        <f>IF(SUM(PQ26,PU26)&gt;0,SUM(PQ26,PU26),"")</f>
        <v/>
      </c>
      <c r="QD26" s="19" t="str">
        <f>IF(SUM(PP26:PQ26,PS26:PU26,PW26)-SUM(PR26,PV26)&gt;0,SUM(PP26:PQ26,PS26:PU26,PW26)-SUM(PR26,PV26),"")</f>
        <v/>
      </c>
      <c r="QE26" s="19" t="str">
        <f>IF(SUM(PY26,QD26)&gt;0,SUM(PY26,QD26),"")</f>
        <v/>
      </c>
      <c r="QF26" s="37">
        <f>IF($CV26="P",CB26,(CB26+AY26)/2)</f>
        <v>9.0500000000000007</v>
      </c>
      <c r="QG26" s="37">
        <f>IF($CV26="P",CC26,(CC26+AZ26)/2)</f>
        <v>1.8</v>
      </c>
      <c r="QH26" s="37">
        <f>IF($CV26="P",CD26,(CD26+BA26)/2)</f>
        <v>0</v>
      </c>
      <c r="QI26" s="37">
        <f>IF($CV26="P",CE26,(CE26+BB26)/2)</f>
        <v>0</v>
      </c>
      <c r="QJ26" s="37">
        <f>IF($CV26="P",CF26,(CF26+BC26)/2)</f>
        <v>9.25</v>
      </c>
      <c r="QK26" s="37">
        <f>IF($CV26="P",CG26,(CG26+BD26)/2)</f>
        <v>1.75</v>
      </c>
      <c r="QL26" s="37">
        <f>IF($CV26="P",CH26,(CH26+BE26)/2)</f>
        <v>0</v>
      </c>
      <c r="QM26" s="37">
        <f>IF($CV26="P",CI26,(CI26+BF26)/2)</f>
        <v>0</v>
      </c>
      <c r="QN26" s="37">
        <f>IF($CV26="P",CJ26,(CJ26+BG26)/2)</f>
        <v>8.85</v>
      </c>
      <c r="QO26" s="37">
        <f>IF($CV26="P",CK26,(CK26+BH26)/2)</f>
        <v>2.2000000000000002</v>
      </c>
      <c r="QP26" s="37">
        <f>IF($CV26="P",CL26,(CL26+BI26)/2)</f>
        <v>0.3</v>
      </c>
      <c r="QQ26" s="37">
        <f>IF($CV26="P",CM26,(CM26+BJ26)/2)</f>
        <v>0</v>
      </c>
      <c r="QR26" s="37">
        <f>IF($CV26="P",CN26,(CN26+BK26)/2)</f>
        <v>8.6</v>
      </c>
      <c r="QS26" s="37">
        <f>IF($CV26="P",CO26,(CO26+BL26)/2)</f>
        <v>0.6</v>
      </c>
      <c r="QT26" s="37">
        <f>IF($CV26="P",CP26,(CP26+BM26)/2)</f>
        <v>0</v>
      </c>
      <c r="QU26" s="37">
        <f>IF($CV26="P",CQ26,(CQ26+BN26)/2)</f>
        <v>0</v>
      </c>
      <c r="QV26" s="37">
        <f>IF($CV26="P",CR26,(CR26+BO26)/2)</f>
        <v>8.5500000000000007</v>
      </c>
      <c r="QW26" s="37">
        <f>IF($CV26="P",CS26,(CS26+BP26)/2)</f>
        <v>1.2</v>
      </c>
      <c r="QX26" s="37">
        <f>IF($CV26="P",CT26,(CT26+BQ26)/2)</f>
        <v>0</v>
      </c>
      <c r="QY26" s="37">
        <f>IF($CV26="P",CU26,(CU26+BR26)/2)</f>
        <v>0</v>
      </c>
      <c r="QZ26" s="44" t="s">
        <v>46</v>
      </c>
      <c r="RA26" s="78">
        <f>IF(SUM(QG26,QK26)&gt;0,SUM(QG26,QK26),"")</f>
        <v>3.55</v>
      </c>
      <c r="RB26" s="78">
        <f>IF(SUM(QF26:QG26,QI26:QK26,QM26)-QH26-QL26&gt;0,SUM(QF26:QG26,QI26:QK26,QM26)-QH26-QL26,"")</f>
        <v>21.85</v>
      </c>
      <c r="RC26" s="78">
        <f>IF(SUM(QN26:QO26,QQ26)-QP26&gt;0,SUM(QN26:QO26,QQ26)-QP26,"")</f>
        <v>10.75</v>
      </c>
      <c r="RD26" s="78">
        <f>IF(SUM(QG26,QK26,QO26)&gt;0,SUM(QG26,QK26,QO26),"")</f>
        <v>5.75</v>
      </c>
      <c r="RE26" s="78">
        <f>IF(SUM(RB26,RC26)&gt;0,SUM(RB26,RC26),"")</f>
        <v>32.6</v>
      </c>
      <c r="RF26" s="78">
        <f>IF(SUM(QS26,QW26)&gt;0,SUM(QS26,QW26),"")</f>
        <v>1.7999999999999998</v>
      </c>
      <c r="RG26" s="78">
        <f>IF(SUM(QR26:QS26,QU26:QW26,QY26)-SUM(QT26,QX26)&gt;0,SUM(QR26:QS26,QU26:QW26,QY26)-SUM(QT26,QX26),"")</f>
        <v>18.95</v>
      </c>
      <c r="RH26" s="78">
        <f>IF(SUM(RB26,RG26)&gt;0,SUM(RB26,RG26),"")</f>
        <v>40.799999999999997</v>
      </c>
    </row>
    <row r="27" spans="1:476" x14ac:dyDescent="0.2">
      <c r="A27" s="5" t="str">
        <f>IF(AND(F27="P",G27="P"),SUMPRODUCT((F$4:F$29="P")*(G$4:G$29="P")*(E$4:E$29&gt;E27))+1,IF(G27="P",SUMPRODUCT((F$4:F$29="")*(G$4:G$29="P")*(E$4:E$29&gt;E27))+1+SUMPRODUCT((F$4:F$29="P")*(G$4:G$29="P")),""))</f>
        <v/>
      </c>
      <c r="B27" s="77" t="s">
        <v>201</v>
      </c>
      <c r="C27" s="5" t="s">
        <v>4</v>
      </c>
      <c r="D27" s="5">
        <v>2003</v>
      </c>
      <c r="E27" s="15">
        <f>SUM(I27:S27)+SUM(I27:O27)*0.0000001+SUM(I27)*0.0000000000001</f>
        <v>60.700006070003916</v>
      </c>
      <c r="F27" s="3" t="str">
        <f>IF(OR(AND(AQ27&gt;=AX$31,AR27&gt;=AX$35,AQ27&lt;&gt;"",AP27=""),AND(AV27&gt;=AX$31,AW27&gt;=AX$35,AV27&lt;&gt;"",AP27=""),AND(BT27&gt;=CA$31,BU27&gt;=CA$35,BT27&lt;&gt;"",BS27=""),AND(BY27&gt;=CA$31,BZ27&gt;=CA$35,BY27&lt;&gt;"",BS27=""),AND(CW27&gt;=DD$31,CX27&gt;=DD$35,CW27&lt;&gt;"",CV27=""),AND(DB27&gt;=DD$31,DC27&gt;=DD$35,DB27&lt;&gt;""),AND(EB27&gt;=EI$31,EC27&gt;=EI$35,EB27&lt;&gt;""),AND(EG27&gt;=EI$31,EH27&gt;=EI$35,EG27&lt;&gt;""),AND(FD27&gt;=FK$31,FE27&gt;=FK$35,FD27&lt;&gt;""),AND(FI27&gt;=FK$31,FJ27&gt;=FK$35,FI27&lt;&gt;""),AND(GF27&gt;=GM$31,GG27&gt;=GM$35,GF27&lt;&gt;""),AND(GK27&gt;=GM$31,GL27&gt;=GM$35,GK27&lt;&gt;""),AND(HH27&gt;=HO$31,HI27&gt;=HO$35,HH27&lt;&gt;""),AND(HM27&gt;=HO$31,HN27&gt;=HO$35,HM27&lt;&gt;""),AND(IJ27&gt;=IQ$31,IK27&gt;=IQ$35,IJ27&lt;&gt;""),AND(IO27&gt;=IQ$31,IP27&gt;=IQ$35,IO27&lt;&gt;""),AND(JL27&gt;=JS$31,JM27&gt;=JS$35,JL27&lt;&gt;""),AND(JQ27&gt;=JS$31,JR27&gt;=JS$35,JQ27&lt;&gt;""),AND(KN27&gt;=KU$31,KO27&gt;=KU$35,KN27&lt;&gt;""),AND(KS27&gt;=KU$31,KT27&gt;=KU$35,KS27&lt;&gt;""),AND(LP27&gt;=LW$31,LQ27&gt;=LW$35,LP27&lt;&gt;""),AND(LU27&gt;=LW$31,LV27&gt;=LW$35,LU27&lt;&gt;""),AND(MR27&gt;=MY$31,MS27&gt;=MY$35,MR27&lt;&gt;""),AND(MW27&gt;=MY$31,MX27&gt;=MY$35,MW27&lt;&gt;""),AND(NT27&gt;=OA$31,NU27&gt;=OA$35,NT27&lt;&gt;""),AND(NY27&gt;=OA$31,NZ27&gt;=OA$35,NY27&lt;&gt;""),AND(OV27&gt;=PC$31,OW27&gt;=PC$35,OV27&lt;&gt;""),AND(PA27&gt;=PC$31,PB27&gt;=PC$35,PA27&lt;&gt;""),AND(PX27&gt;=QE$31,PY27&gt;=QE$35,PX27&lt;&gt;""),AND(QC27&gt;=QE$31,QD27&gt;=QE$35,QC27&lt;&gt;"")),"P","")</f>
        <v/>
      </c>
      <c r="G27" s="3" t="str">
        <f>IF(OR(AND(AR27&gt;=AX$35,AR27&lt;&gt;"",AP27=""),AND(AW27&gt;=AX$35,AW27&lt;&gt;"",AP27=""),AND(BU27&gt;=CA$35,BU27&lt;&gt;"",BS27=""),AND(BZ27&gt;=CA$35,BZ27&lt;&gt;"",BS27=""),AND(CX27&gt;=DD$35,CX27&lt;&gt;"",CV27=""),AND(DC27&gt;=DD$35,DC27&lt;&gt;"",CV27=""),AND(EC27&gt;=EI$35,EC27&lt;&gt;""),AND(EH27&gt;=EI$35,EH27&lt;&gt;""),AND(FE27&gt;=FK$35,FE27&lt;&gt;""),AND(FJ27&gt;=FK$35,FJ27&lt;&gt;""),AND(GG27&gt;=GM$35,GG27&lt;&gt;""),AND(GL27&gt;=GM$35,GL27&lt;&gt;""),AND(HI27&gt;=HO$35,HI27&lt;&gt;""),AND(HN27&gt;=HO$35,HN27&lt;&gt;""),AND(IK27&gt;=IQ$35,IK27&lt;&gt;""),AND(IP27&gt;=IQ$35,IP27&lt;&gt;""),AND(JM27&gt;=JS$35,JM27&lt;&gt;""),AND(JR27&gt;=JS$35,JR27&lt;&gt;""),AND(KO27&gt;=KU$35,KO27&lt;&gt;""),AND(KT27&gt;=KU$35,KT27&lt;&gt;""),AND(LQ27&gt;=LW$35,LQ27&lt;&gt;""),AND(LV27&gt;=LW$35,LV27&lt;&gt;""),AND(MS27&gt;=MY$35,MS27&lt;&gt;""),AND(MX27&gt;=MY$35,MX27&lt;&gt;""),AND(NU27&gt;=OA$35,NU27&lt;&gt;""),AND(NZ27&gt;=OA$35,NZ27&lt;&gt;""),AND(OW27&gt;=PC$35,OW27&lt;&gt;""),AND(PB27&gt;=PC$35,PB27&lt;&gt;""),AND(PY27&gt;=QE$35,PY27&lt;&gt;""),AND(QD27&gt;=QE$35,QD27&lt;&gt;"")),"P","")</f>
        <v/>
      </c>
      <c r="H27" s="66" t="str">
        <f>IF(AND(G27="P",F27=""),"No DD",IF(OR(AND(AT27&gt;=AX$34,AU27&gt;=AX$38,AT27&lt;&gt;"",AP27=""),AND(BW27&gt;=CA$34,BX27&gt;=CA$38,BW27&lt;&gt;"",BS27=""),AND(CZ27&gt;=DD$34,DA27&gt;=DD$38,CZ27&lt;&gt;"",CV27=""),AND(EE27&gt;=EI$34,EF27&gt;=EI$38,EE27&lt;&gt;""),AND(FG27&gt;=FK$34,FH27&gt;=FK$38,FG27&lt;&gt;""),AND(GI27&gt;=GM$34,GJ27&gt;=GM$38,GI27&lt;&gt;""),AND(HK27&gt;=HO$34,HL27&gt;=HO$38,HK27&lt;&gt;""),AND(IM27&gt;=IQ$34,IN27&gt;=IQ$38,IM27&lt;&gt;""),AND(JO27&gt;=JS$34,JP27&gt;=JS$38,JO27&lt;&gt;""),AND(KQ27&gt;=KU$34,KR27&gt;=KU$38,KQ27&lt;&gt;""),AND(LS27&gt;=LW$34,LT27&gt;=LW$38,LS27&lt;&gt;""),AND(MU27&gt;=MY$34,MV27&gt;=MY$38,MU27&lt;&gt;""),AND(NW27&gt;=OA$34,NX27&gt;=OA$38,NW27&lt;&gt;""),AND(OY27&gt;=PC$34,OZ27&gt;=PC$38,OY27&lt;&gt;""),AND(QA27&gt;=QE$34,QB27&gt;=QE$38,QA27&lt;&gt;"")),"Merit",IF(OR(AND(AT27&gt;=AX$33,AU27&gt;=AX$37,AT27&lt;&gt;"",AP27=""),AND(BW27&gt;=CA$33,BX27&gt;=CA$37,BW27&lt;&gt;"",BS27=""),AND(CZ27&gt;=DD$33,DA27&gt;=DD$37,CZ27&lt;&gt;"",CV27=""),AND(EE27&gt;=EI$33,EF27&gt;=EI$37,EE27&lt;&gt;""),AND(FG27&gt;=FK$33,FH27&gt;=FK$37,FG27&lt;&gt;""),AND(GI27&gt;=GM$33,GJ27&gt;=GM$37,GI27&lt;&gt;""),AND(HK27&gt;=HO$33,HL27&gt;=HO$37,HK27&lt;&gt;""),AND(IM27&gt;=IQ$33,IN27&gt;=IQ$37,IM27&lt;&gt;""),AND(JO27&gt;=JS$33,JP27&gt;=JS$37,JO27&lt;&gt;""),AND(KQ27&gt;=KU$33,KR27&gt;=KU$37,KQ27&lt;&gt;""),AND(LS27&gt;=LW$33,LT27&gt;=LW$37,LS27&lt;&gt;""),AND(MU27&gt;=MY$33,MV27&gt;=MY$37,MU27&lt;&gt;""),AND(NW27&gt;=OA$33,NX27&gt;=OA$37,NW27&lt;&gt;""),AND(OY27&gt;=PC$33,OZ27&gt;=PC$37,OY27&lt;&gt;""),AND(QA27&gt;=QE$33,QB27&gt;=QE$37,QA27&lt;&gt;"")),"Excellence",IF(F27="P","National Team",""))))</f>
        <v/>
      </c>
      <c r="I27" s="14">
        <f>IF(COUNT(AR27,BU27,CX27)&gt;0,LARGE((AR27,BU27,CX27),1),0)</f>
        <v>39.100000000000009</v>
      </c>
      <c r="J27" s="14" t="str">
        <f>IF(I27=0,"",IF(I27=CX27,$CB$1,IF(I27=BU27,$AY$1,IF(I27=AR27,$V$1,""))))</f>
        <v>2022 Nationals</v>
      </c>
      <c r="K27" s="14">
        <f>IF(COUNT(AR27,BU27,CX27)&gt;1,LARGE((AR27,BU27,CX27),2),0)</f>
        <v>0</v>
      </c>
      <c r="L27" s="14" t="str">
        <f>IF(K27=0,"",IF(K27=CX27,$CB$1,IF(K27=BU27,$AY$1,IF(K27=AR27,$V$1,""))))</f>
        <v/>
      </c>
      <c r="M27" s="14">
        <f>IF(COUNT(AS27,BV27,CY27)&gt;0,LARGE((AS27,BV27,CY27),1),0)</f>
        <v>21.6</v>
      </c>
      <c r="N27" s="14" t="str">
        <f>IF(M27=0,"",IF(M27=CY27,$CB$1,IF(M27=BV27,$AY$1,IF(M27=AS27,$V$1,""))))</f>
        <v>2022 Nationals</v>
      </c>
      <c r="O27" s="14">
        <f>IF(COUNT(AS27,BV27,CY27)&gt;1,LARGE((AS27,BV27,CY27),2),0)</f>
        <v>0</v>
      </c>
      <c r="P27" s="14" t="str">
        <f>IF(O27=0,"",IF(O27=CY27,$CB$1,IF(O27=BV27,$AY$1,IF(O27=AS27,$V$1,""))))</f>
        <v/>
      </c>
      <c r="Q27" s="14">
        <f>IF(MAX(AW27,BZ27,DC27)&gt;0,MAX(AW27,BZ27,DC27),0)</f>
        <v>0</v>
      </c>
      <c r="R27" s="14" t="str">
        <f>IF(Q27=0,"",IF(Q27=DC27,$CB$1,IF(Q27=BZ27,$AY$1,IF(Q27=AW27,$V$1,""))))</f>
        <v/>
      </c>
      <c r="S27" s="14" t="str">
        <f>IF(MAX(DE27:DG27)&gt;0,MAX(DE27:DG27),"")</f>
        <v/>
      </c>
      <c r="T27" s="19" t="str">
        <f>IF(S27="","",IF(S27=DE27,"("&amp;DE$2&amp;")",IF(S27=DG27,"("&amp;DG$2&amp;")")))</f>
        <v/>
      </c>
      <c r="U27" s="14" t="str">
        <f>IF(S27="","",IF(S27=DE27,IF(S27+IF(K27="",0,K27)=PY27,$PD$1,IF(S27+IF(K27="",0,K27)=OW27,$OB$1,IF(S27+IF(K27="",0,K27)=NU27,$MZ$1,IF(S27+IF(K27="",0,K27)=MS27,$LX$1,IF(S27+IF(K27="",0,K27)=LQ27,$KV$1,IF(S27+IF(K27="",0,K27)=KO27,$JT$1,IF(S27+IF(K27="",0,K27)=JM27,$IR$1,IF(S27+IF(K27="",0,K27)=IK27,$HP$1,IF(S27+IF(K27="",0,K27)=HI27,$GN$1,IF(S27+IF(K27="",0,K27)=GG27,$FL$1,IF(S27+IF(K27="",0,K27)=FE27,$EJ$1,IF(S27+IF(K27="",0,K27)=EC27,$DH$1)))))))))))),IF(S27=DG27,IF(S27+IF(Q27="",0,Q27)=QD27,$PD$1,IF(S27+IF(Q27="",0,Q27)=PB27,$OB$1,IF(S27+IF(Q27="",0,Q27)=NZ27,$MZ$1,IF(S27+IF(Q27="",0,Q27)=MX27,$LX$1,IF(S27+IF(Q27="",0,Q27)=LV27,$KV$1,IF(S27+IF(Q27="",0,Q27)=KT27,$JT$1,IF(S27+IF(Q27="",0,Q27)=JR27,$IR$1,IF(S27+IF(Q27="",0,Q27)=IP27,$HP$1,IF(S27+IF(Q27="",0,Q27)=HN27,$GN$1,IF(S27+IF(Q27="",0,Q27)=GL27,$FL$1,IF(S27+IF(Q27="",0,Q27)=FJ27,$EJ$1,IF(S27+IF(Q27="",0,Q27)=EH27,$DH$1)))))))))))))))</f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>IF(SUM(W27,AA27)&gt;0,SUM(W27,AA27),"")</f>
        <v/>
      </c>
      <c r="AR27" s="78" t="str">
        <f>IF(SUM(V27:W27,Y27:AA27,AC27)-X27-AB27&gt;0,SUM(V27:W27,Y27:AA27,AC27)-X27-AB27,"")</f>
        <v/>
      </c>
      <c r="AS27" s="78" t="str">
        <f>IF(SUM(AD27:AE27,AG27)-AF27&gt;0,SUM(AD27:AE27,AG27)-AF27,"")</f>
        <v/>
      </c>
      <c r="AT27" s="78" t="str">
        <f>IF(SUM(W27,AA27,AE27)&gt;0,SUM(W27,AA27,AE27),"")</f>
        <v/>
      </c>
      <c r="AU27" s="78" t="str">
        <f>IF(SUM(AR27,AS27)&gt;0,SUM(AR27,AS27),"")</f>
        <v/>
      </c>
      <c r="AV27" s="78" t="str">
        <f>IF(SUM(AI27,AM27)&gt;0,SUM(AI27,AM27),"")</f>
        <v/>
      </c>
      <c r="AW27" s="78" t="str">
        <f>IF(SUM(AH27:AI27,AK27:AM27,AO27)-SUM(AJ27,AN27)&gt;0,SUM(AH27:AI27,AK27:AM27,AO27)-SUM(AJ27,AN27),"")</f>
        <v/>
      </c>
      <c r="AX27" s="78" t="str">
        <f>IF(SUM(AR27,AW27)&gt;0,SUM(AR27,AW27),"")</f>
        <v/>
      </c>
      <c r="AY27" s="25">
        <v>18</v>
      </c>
      <c r="AZ27" s="25">
        <v>3.2</v>
      </c>
      <c r="BA27" s="25">
        <v>0.8</v>
      </c>
      <c r="BB27" s="25">
        <v>0</v>
      </c>
      <c r="BC27" s="25">
        <v>18</v>
      </c>
      <c r="BD27" s="25">
        <v>0.7</v>
      </c>
      <c r="BE27" s="25">
        <v>0</v>
      </c>
      <c r="BF27" s="25">
        <v>0</v>
      </c>
      <c r="BG27" s="25">
        <v>18.600000000000001</v>
      </c>
      <c r="BH27" s="25">
        <v>3</v>
      </c>
      <c r="BI27" s="25">
        <v>0</v>
      </c>
      <c r="BJ27" s="25">
        <v>0</v>
      </c>
      <c r="BK27" s="25"/>
      <c r="BL27" s="25"/>
      <c r="BM27" s="25"/>
      <c r="BN27" s="25"/>
      <c r="BO27" s="25"/>
      <c r="BP27" s="25"/>
      <c r="BQ27" s="25"/>
      <c r="BR27" s="25"/>
      <c r="BS27" s="45"/>
      <c r="BT27" s="19">
        <f>IF(SUM(AZ27,BD27)&gt;0,SUM(AZ27,BD27),"")</f>
        <v>3.9000000000000004</v>
      </c>
      <c r="BU27" s="19">
        <f>IF(SUM(AY27:AZ27,BB27:BD27,BF27)-BA27-BE27&gt;0,SUM(AY27:AZ27,BB27:BD27,BF27)-BA27-BE27,"")</f>
        <v>39.100000000000009</v>
      </c>
      <c r="BV27" s="19">
        <f>IF(SUM(BG27:BH27,BJ27)-BI27&gt;0,SUM(BG27:BH27,BJ27)-BI27,"")</f>
        <v>21.6</v>
      </c>
      <c r="BW27" s="19">
        <f>IF(SUM(AZ27,BD27,BH27)&gt;0,SUM(AZ27,BD27,BH27),"")</f>
        <v>6.9</v>
      </c>
      <c r="BX27" s="19">
        <f>IF(SUM(BU27,BV27)&gt;0,SUM(BU27,BV27),"")</f>
        <v>60.70000000000001</v>
      </c>
      <c r="BY27" s="19" t="str">
        <f>IF(SUM(BL27,BP27)&gt;0,SUM(BL27,BP27),"")</f>
        <v/>
      </c>
      <c r="BZ27" s="19" t="str">
        <f>IF(SUM(BK27:BL27,BN27:BP27,BR27)-SUM(BM27,BQ27)&gt;0,SUM(BK27:BL27,BN27:BP27,BR27)-SUM(BM27,BQ27),"")</f>
        <v/>
      </c>
      <c r="CA27" s="19">
        <f>IF(SUM(BU27,BZ27)&gt;0,SUM(BU27,BZ27),"")</f>
        <v>39.100000000000009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>IF(SUM(CC27,CG27)&gt;0,SUM(CC27,CG27),"")</f>
        <v/>
      </c>
      <c r="CX27" s="78" t="str">
        <f>IF(SUM(CB27:CC27,CE27:CG27,CI27)-CD27-CH27&gt;0,SUM(CB27:CC27,CE27:CG27,CI27)-CD27-CH27,"")</f>
        <v/>
      </c>
      <c r="CY27" s="78" t="str">
        <f>IF(SUM(CJ27:CK27,CM27)-CL27&gt;0,SUM(CJ27:CK27,CM27)-CL27,"")</f>
        <v/>
      </c>
      <c r="CZ27" s="78" t="str">
        <f>IF(SUM(CC27,CG27,CK27)&gt;0,SUM(CC27,CG27,CK27),"")</f>
        <v/>
      </c>
      <c r="DA27" s="78" t="str">
        <f>IF(SUM(CX27,CY27)&gt;0,SUM(CX27,CY27),"")</f>
        <v/>
      </c>
      <c r="DB27" s="78" t="str">
        <f>IF(SUM(CO27,CS27)&gt;0,SUM(CO27,CS27),"")</f>
        <v/>
      </c>
      <c r="DC27" s="78" t="str">
        <f>IF(SUM(CN27:CO27,CQ27:CS27,CU27)-SUM(CP27,CT27)&gt;0,SUM(CN27:CO27,CQ27:CS27,CU27)-SUM(CP27,CT27),"")</f>
        <v/>
      </c>
      <c r="DD27" s="78" t="str">
        <f>IF(SUM(CX27,DC27)&gt;0,SUM(CX27,DC27),"")</f>
        <v/>
      </c>
      <c r="DE27" s="79" t="str">
        <f>IF(K27&gt;=0.001,IF(MAX(EC27,FE27,GG27,HI27,IK27,JM27,KO27,LQ27,MS27,NU27,OW27,PY27)-IF(K27="",0,K27)&gt;0.001,MAX(EC27,FE27,GG27,HI27,IK27,JM27,KO27,LQ27,MS27,NU27,OW27,PY27)-IF(K27="",0,K27),""),"")</f>
        <v/>
      </c>
      <c r="DF27" s="79" t="str">
        <f>IF(O27&gt;=0.001,IF(MAX(ED27,FF27,GH27,HJ27,IL27,JN27,KP27,LR27,MT27,NV27,OX27,PZ27)-IF(O27="",0,O27)&gt;0.001,MAX(ED27,FF27,GH27,HJ27,IL27,JN27,KP27,LR27,MT27,NV27,OX27,PZ27)-IF(O27="",0,O27),""),"")</f>
        <v/>
      </c>
      <c r="DG27" s="79" t="str">
        <f>IF(Q27&gt;=0.001,IF(MAX(EH27,FJ27,GL27,HN27,IP27,JR27,KT27,LV27,MX27,NZ27,PB27,QD27)-IF(Q27="",0,Q27)&gt;0.001,MAX(EH27,FJ27,GL27,HN27,IP27,JR27,KT27,LV27,MX27,NZ27,PB27,QD27)-IF(Q27="",0,Q27),""),"")</f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>IF(SUM(DI27,DM27)&gt;0,SUM(DI27,DM27),"")</f>
        <v/>
      </c>
      <c r="EC27" s="78" t="str">
        <f>IF(SUM(DH27:DI27,DK27:DM27,DO27)-DJ27-DN27&gt;0,SUM(DH27:DI27,DK27:DM27,DO27)-DJ27-DN27,"")</f>
        <v/>
      </c>
      <c r="ED27" s="78" t="str">
        <f>IF(SUM(DP27:DQ27,DS27)-DR27&gt;0,SUM(DP27:DQ27,DS27)-DR27,"")</f>
        <v/>
      </c>
      <c r="EE27" s="78" t="str">
        <f>IF(SUM(DI27,DM27,DQ27)&gt;0,SUM(DI27,DM27,DQ27),"")</f>
        <v/>
      </c>
      <c r="EF27" s="78" t="str">
        <f>IF(SUM(EC27,ED27)&gt;0,SUM(EC27,ED27),"")</f>
        <v/>
      </c>
      <c r="EG27" s="78" t="str">
        <f>IF(SUM(DU27,DY27)&gt;0,SUM(DU27,DY27),"")</f>
        <v/>
      </c>
      <c r="EH27" s="78" t="str">
        <f>IF(SUM(DT27:DU27,DW27:DY27,EA27)-SUM(DV27,DZ27)&gt;0,SUM(DT27:DU27,DW27:DY27,EA27)-SUM(DV27,DZ27),"")</f>
        <v/>
      </c>
      <c r="EI27" s="78" t="str">
        <f>IF(SUM(EC27,EH27)&gt;0,SUM(EC27,EH27),"")</f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>IF(SUM(EK27,EO27)&gt;0,SUM(EK27,EO27),"")</f>
        <v/>
      </c>
      <c r="FE27" s="19" t="str">
        <f>IF(SUM(EJ27:EK27,EM27:EO27,EQ27)-EL27-EP27&gt;0,SUM(EJ27:EK27,EM27:EO27,EQ27)-EL27-EP27,"")</f>
        <v/>
      </c>
      <c r="FF27" s="19" t="str">
        <f>IF(SUM(ER27:ES27,EU27)-ET27&gt;0,SUM(ER27:ES27,EU27)-ET27,"")</f>
        <v/>
      </c>
      <c r="FG27" s="19" t="str">
        <f>IF(SUM(EK27,EO27,ES27)&gt;0,SUM(EK27,EO27,ES27),"")</f>
        <v/>
      </c>
      <c r="FH27" s="19" t="str">
        <f>IF(SUM(FE27,FF27)&gt;0,SUM(FE27,FF27),"")</f>
        <v/>
      </c>
      <c r="FI27" s="19" t="str">
        <f>IF(SUM(EW27,FA27)&gt;0,SUM(EW27,FA27),"")</f>
        <v/>
      </c>
      <c r="FJ27" s="19" t="str">
        <f>IF(SUM(EV27:EW27,EY27:FA27,FC27)-SUM(EX27,FB27)&gt;0,SUM(EV27:EW27,EY27:FA27,FC27)-SUM(EX27,FB27),"")</f>
        <v/>
      </c>
      <c r="FK27" s="19" t="str">
        <f>IF(SUM(FE27,FJ27)&gt;0,SUM(FE27,FJ27),"")</f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>IF(SUM(FM27,FQ27)&gt;0,SUM(FM27,FQ27),"")</f>
        <v/>
      </c>
      <c r="GG27" s="78" t="str">
        <f>IF(SUM(FL27:FM27,FO27:FQ27,FS27)-FN27-FR27&gt;0,SUM(FL27:FM27,FO27:FQ27,FS27)-FN27-FR27,"")</f>
        <v/>
      </c>
      <c r="GH27" s="78" t="str">
        <f>IF(SUM(FT27:FU27,FW27)-FV27&gt;0,SUM(FT27:FU27,FW27)-FV27,"")</f>
        <v/>
      </c>
      <c r="GI27" s="78" t="str">
        <f>IF(SUM(FM27,FQ27,FU27)&gt;0,SUM(FM27,FQ27,FU27),"")</f>
        <v/>
      </c>
      <c r="GJ27" s="78" t="str">
        <f>IF(SUM(GG27,GH27)&gt;0,SUM(GG27,GH27),"")</f>
        <v/>
      </c>
      <c r="GK27" s="78" t="str">
        <f>IF(SUM(FY27,GC27)&gt;0,SUM(FY27,GC27),"")</f>
        <v/>
      </c>
      <c r="GL27" s="78" t="str">
        <f>IF(SUM(FX27:FY27,GA27:GC27,GE27)-SUM(FZ27,GD27)&gt;0,SUM(FX27:FY27,GA27:GC27,GE27)-SUM(FZ27,GD27),"")</f>
        <v/>
      </c>
      <c r="GM27" s="78" t="str">
        <f>IF(SUM(GG27,GL27)&gt;0,SUM(GG27,GL27),"")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>IF(SUM(GO27,GS27)&gt;0,SUM(GO27,GS27),"")</f>
        <v/>
      </c>
      <c r="HI27" s="19" t="str">
        <f>IF(SUM(GN27:GO27,GQ27:GS27,GU27)-GP27-GT27&gt;0,SUM(GN27:GO27,GQ27:GS27,GU27)-GP27-GT27,"")</f>
        <v/>
      </c>
      <c r="HJ27" s="19" t="str">
        <f>IF(SUM(GV27:GW27,GY27)-GX27&gt;0,SUM(GV27:GW27,GY27)-GX27,"")</f>
        <v/>
      </c>
      <c r="HK27" s="19" t="str">
        <f>IF(SUM(GO27,GS27,GW27)&gt;0,SUM(GO27,GS27,GW27),"")</f>
        <v/>
      </c>
      <c r="HL27" s="19" t="str">
        <f>IF(SUM(HI27,HJ27)&gt;0,SUM(HI27,HJ27),"")</f>
        <v/>
      </c>
      <c r="HM27" s="19" t="str">
        <f>IF(SUM(HA27,HE27)&gt;0,SUM(HA27,HE27),"")</f>
        <v/>
      </c>
      <c r="HN27" s="19" t="str">
        <f>IF(SUM(GZ27:HA27,HC27:HE27,HG27)-SUM(HB27,HF27)&gt;0,SUM(GZ27:HA27,HC27:HE27,HG27)-SUM(HB27,HF27),"")</f>
        <v/>
      </c>
      <c r="HO27" s="19" t="str">
        <f>IF(SUM(HI27,HN27)&gt;0,SUM(HI27,HN27),"")</f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>IF(SUM(HQ27,HU27)&gt;0,SUM(HQ27,HU27),"")</f>
        <v/>
      </c>
      <c r="IK27" s="78" t="str">
        <f>IF(SUM(HP27:HQ27,HS27:HU27,HW27)-HR27-HV27&gt;0,SUM(HP27:HQ27,HS27:HU27,HW27)-HR27-HV27,"")</f>
        <v/>
      </c>
      <c r="IL27" s="78" t="str">
        <f>IF(SUM(HX27:HY27,IA27)-HZ27&gt;0,SUM(HX27:HY27,IA27)-HZ27,"")</f>
        <v/>
      </c>
      <c r="IM27" s="78" t="str">
        <f>IF(SUM(HQ27,HU27,HY27)&gt;0,SUM(HQ27,HU27,HY27),"")</f>
        <v/>
      </c>
      <c r="IN27" s="78" t="str">
        <f>IF(SUM(IK27,IL27)&gt;0,SUM(IK27,IL27),"")</f>
        <v/>
      </c>
      <c r="IO27" s="78" t="str">
        <f>IF(SUM(IC27,IG27)&gt;0,SUM(IC27,IG27),"")</f>
        <v/>
      </c>
      <c r="IP27" s="78" t="str">
        <f>IF(SUM(IB27:IC27,IE27:IG27,II27)-SUM(ID27,IH27)&gt;0,SUM(IB27:IC27,IE27:IG27,II27)-SUM(ID27,IH27),"")</f>
        <v/>
      </c>
      <c r="IQ27" s="78" t="str">
        <f>IF(SUM(IK27,IP27)&gt;0,SUM(IK27,IP27),"")</f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>IF(SUM(IS27,IW27)&gt;0,SUM(IS27,IW27),"")</f>
        <v/>
      </c>
      <c r="JM27" s="19" t="str">
        <f>IF(SUM(IR27:IS27,IU27:IW27,IY27)-IT27-IX27&gt;0,SUM(IR27:IS27,IU27:IW27,IY27)-IT27-IX27,"")</f>
        <v/>
      </c>
      <c r="JN27" s="19" t="str">
        <f>IF(SUM(IZ27:JA27,JC27)-JB27&gt;0,SUM(IZ27:JA27,JC27)-JB27,"")</f>
        <v/>
      </c>
      <c r="JO27" s="19" t="str">
        <f>IF(SUM(IS27,IW27,JA27)&gt;0,SUM(IS27,IW27,JA27),"")</f>
        <v/>
      </c>
      <c r="JP27" s="19" t="str">
        <f>IF(SUM(JM27,JN27)&gt;0,SUM(JM27,JN27),"")</f>
        <v/>
      </c>
      <c r="JQ27" s="19" t="str">
        <f>IF(SUM(JE27,JI27)&gt;0,SUM(JE27,JI27),"")</f>
        <v/>
      </c>
      <c r="JR27" s="19" t="str">
        <f>IF(SUM(JD27:JE27,JG27:JI27,JK27)-SUM(JF27,JJ27)&gt;0,SUM(JD27:JE27,JG27:JI27,JK27)-SUM(JF27,JJ27),"")</f>
        <v/>
      </c>
      <c r="JS27" s="19" t="str">
        <f>IF(SUM(JM27,JR27)&gt;0,SUM(JM27,JR27),"")</f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>IF(SUM(JU27,JY27)&gt;0,SUM(JU27,JY27),"")</f>
        <v/>
      </c>
      <c r="KO27" s="78" t="str">
        <f>IF(SUM(JT27:JU27,JW27:JY27,KA27)-JV27-JZ27&gt;0,SUM(JT27:JU27,JW27:JY27,KA27)-JV27-JZ27,"")</f>
        <v/>
      </c>
      <c r="KP27" s="78" t="str">
        <f>IF(SUM(KB27:KC27,KE27)-KD27&gt;0,SUM(KB27:KC27,KE27)-KD27,"")</f>
        <v/>
      </c>
      <c r="KQ27" s="78" t="str">
        <f>IF(SUM(JU27,JY27,KC27)&gt;0,SUM(JU27,JY27,KC27),"")</f>
        <v/>
      </c>
      <c r="KR27" s="78" t="str">
        <f>IF(SUM(KO27,KP27)&gt;0,SUM(KO27,KP27),"")</f>
        <v/>
      </c>
      <c r="KS27" s="78" t="str">
        <f>IF(SUM(KG27,KK27)&gt;0,SUM(KG27,KK27),"")</f>
        <v/>
      </c>
      <c r="KT27" s="78" t="str">
        <f>IF(SUM(KF27:KG27,KI27:KK27,KM27)-SUM(KH27,KL27)&gt;0,SUM(KF27:KG27,KI27:KK27,KM27)-SUM(KH27,KL27),"")</f>
        <v/>
      </c>
      <c r="KU27" s="78" t="str">
        <f>IF(SUM(KO27,KT27)&gt;0,SUM(KO27,KT27),"")</f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>IF(SUM(KW27,LA27)&gt;0,SUM(KW27,LA27),"")</f>
        <v/>
      </c>
      <c r="LQ27" s="19" t="str">
        <f>IF(SUM(KV27:KW27,KY27:LA27,LC27)-KX27-LB27&gt;0,SUM(KV27:KW27,KY27:LA27,LC27)-KX27-LB27,"")</f>
        <v/>
      </c>
      <c r="LR27" s="19" t="str">
        <f>IF(SUM(LD27:LE27,LG27)-LF27&gt;0,SUM(LD27:LE27,LG27)-LF27,"")</f>
        <v/>
      </c>
      <c r="LS27" s="19" t="str">
        <f>IF(SUM(KW27,LA27,LE27)&gt;0,SUM(KW27,LA27,LE27),"")</f>
        <v/>
      </c>
      <c r="LT27" s="19" t="str">
        <f>IF(SUM(LQ27,LR27)&gt;0,SUM(LQ27,LR27),"")</f>
        <v/>
      </c>
      <c r="LU27" s="19" t="str">
        <f>IF(SUM(LI27,LM27)&gt;0,SUM(LI27,LM27),"")</f>
        <v/>
      </c>
      <c r="LV27" s="19" t="str">
        <f>IF(SUM(LH27:LI27,LK27:LM27,LO27)-SUM(LJ27,LN27)&gt;0,SUM(LH27:LI27,LK27:LM27,LO27)-SUM(LJ27,LN27),"")</f>
        <v/>
      </c>
      <c r="LW27" s="19" t="str">
        <f>IF(SUM(LQ27,LV27)&gt;0,SUM(LQ27,LV27),"")</f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>IF(SUM(LY27,MC27)&gt;0,SUM(LY27,MC27),"")</f>
        <v/>
      </c>
      <c r="MS27" s="78" t="str">
        <f>IF(SUM(LX27:LY27,MA27:MC27,ME27)-LZ27-MD27&gt;0,SUM(LX27:LY27,MA27:MC27,ME27)-LZ27-MD27,"")</f>
        <v/>
      </c>
      <c r="MT27" s="78" t="str">
        <f>IF(SUM(MF27:MG27,MI27)-MH27&gt;0,SUM(MF27:MG27,MI27)-MH27,"")</f>
        <v/>
      </c>
      <c r="MU27" s="78" t="str">
        <f>IF(SUM(LY27,MC27,MG27)&gt;0,SUM(LY27,MC27,MG27),"")</f>
        <v/>
      </c>
      <c r="MV27" s="78" t="str">
        <f>IF(SUM(MS27,MT27)&gt;0,SUM(MS27,MT27),"")</f>
        <v/>
      </c>
      <c r="MW27" s="78" t="str">
        <f>IF(SUM(MK27,MO27)&gt;0,SUM(MK27,MO27),"")</f>
        <v/>
      </c>
      <c r="MX27" s="78" t="str">
        <f>IF(SUM(MJ27:MK27,MM27:MO27,MQ27)-SUM(ML27,MP27)&gt;0,SUM(MJ27:MK27,MM27:MO27,MQ27)-SUM(ML27,MP27),"")</f>
        <v/>
      </c>
      <c r="MY27" s="78" t="str">
        <f>IF(SUM(MS27,MX27)&gt;0,SUM(MS27,MX27),"")</f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>IF(SUM(NA27,NE27)&gt;0,SUM(NA27,NE27),"")</f>
        <v/>
      </c>
      <c r="NU27" s="19" t="str">
        <f>IF(SUM(MZ27:NA27,NC27:NE27,NG27)-NB27-NF27&gt;0,SUM(MZ27:NA27,NC27:NE27,NG27)-NB27-NF27,"")</f>
        <v/>
      </c>
      <c r="NV27" s="19" t="str">
        <f>IF(SUM(NH27:NI27,NK27)-NJ27&gt;0,SUM(NH27:NI27,NK27)-NJ27,"")</f>
        <v/>
      </c>
      <c r="NW27" s="19" t="str">
        <f>IF(SUM(NA27,NE27,NI27)&gt;0,SUM(NA27,NE27,NI27),"")</f>
        <v/>
      </c>
      <c r="NX27" s="19" t="str">
        <f>IF(SUM(NU27,NV27)&gt;0,SUM(NU27,NV27),"")</f>
        <v/>
      </c>
      <c r="NY27" s="19" t="str">
        <f>IF(SUM(NM27,NQ27)&gt;0,SUM(NM27,NQ27),"")</f>
        <v/>
      </c>
      <c r="NZ27" s="19" t="str">
        <f>IF(SUM(NL27:NM27,NO27:NQ27,NS27)-SUM(NN27,NR27)&gt;0,SUM(NL27:NM27,NO27:NQ27,NS27)-SUM(NN27,NR27),"")</f>
        <v/>
      </c>
      <c r="OA27" s="19" t="str">
        <f>IF(SUM(NU27,NZ27)&gt;0,SUM(NU27,NZ27),"")</f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>IF(SUM(OC27,OG27)&gt;0,SUM(OC27,OG27),"")</f>
        <v/>
      </c>
      <c r="OW27" s="78" t="str">
        <f>IF(SUM(OB27:OC27,OE27:OG27,OI27)-OD27-OH27&gt;0,SUM(OB27:OC27,OE27:OG27,OI27)-OD27-OH27,"")</f>
        <v/>
      </c>
      <c r="OX27" s="78" t="str">
        <f>IF(SUM(OJ27:OK27,OM27)-OL27&gt;0,SUM(OJ27:OK27,OM27)-OL27,"")</f>
        <v/>
      </c>
      <c r="OY27" s="78" t="str">
        <f>IF(SUM(OC27,OG27,OK27)&gt;0,SUM(OC27,OG27,OK27),"")</f>
        <v/>
      </c>
      <c r="OZ27" s="78" t="str">
        <f>IF(SUM(OW27,OX27)&gt;0,SUM(OW27,OX27),"")</f>
        <v/>
      </c>
      <c r="PA27" s="78" t="str">
        <f>IF(SUM(OO27,OS27)&gt;0,SUM(OO27,OS27),"")</f>
        <v/>
      </c>
      <c r="PB27" s="78" t="str">
        <f>IF(SUM(ON27:OO27,OQ27:OS27,OU27)-SUM(OP27,OT27)&gt;0,SUM(ON27:OO27,OQ27:OS27,OU27)-SUM(OP27,OT27),"")</f>
        <v/>
      </c>
      <c r="PC27" s="78" t="str">
        <f>IF(SUM(OW27,PB27)&gt;0,SUM(OW27,PB27),"")</f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>IF(SUM(PE27,PI27)&gt;0,SUM(PE27,PI27),"")</f>
        <v/>
      </c>
      <c r="PY27" s="19" t="str">
        <f>IF(SUM(PD27:PE27,PG27:PI27,PK27)-PF27-PJ27&gt;0,SUM(PD27:PE27,PG27:PI27,PK27)-PF27-PJ27,"")</f>
        <v/>
      </c>
      <c r="PZ27" s="19" t="str">
        <f>IF(SUM(PL27:PM27,PO27)-PN27&gt;0,SUM(PL27:PM27,PO27)-PN27,"")</f>
        <v/>
      </c>
      <c r="QA27" s="19" t="str">
        <f>IF(SUM(PE27,PI27,PM27)&gt;0,SUM(PE27,PI27,PM27),"")</f>
        <v/>
      </c>
      <c r="QB27" s="19" t="str">
        <f>IF(SUM(PY27,PZ27)&gt;0,SUM(PY27,PZ27),"")</f>
        <v/>
      </c>
      <c r="QC27" s="19" t="str">
        <f>IF(SUM(PQ27,PU27)&gt;0,SUM(PQ27,PU27),"")</f>
        <v/>
      </c>
      <c r="QD27" s="19" t="str">
        <f>IF(SUM(PP27:PQ27,PS27:PU27,PW27)-SUM(PR27,PV27)&gt;0,SUM(PP27:PQ27,PS27:PU27,PW27)-SUM(PR27,PV27),"")</f>
        <v/>
      </c>
      <c r="QE27" s="19" t="str">
        <f>IF(SUM(PY27,QD27)&gt;0,SUM(PY27,QD27),"")</f>
        <v/>
      </c>
      <c r="QF27" s="37">
        <f>IF($CV27="P",CB27,(CB27+AY27)/2)</f>
        <v>9</v>
      </c>
      <c r="QG27" s="37">
        <f>IF($CV27="P",CC27,(CC27+AZ27)/2)</f>
        <v>1.6</v>
      </c>
      <c r="QH27" s="37">
        <f>IF($CV27="P",CD27,(CD27+BA27)/2)</f>
        <v>0.4</v>
      </c>
      <c r="QI27" s="37">
        <f>IF($CV27="P",CE27,(CE27+BB27)/2)</f>
        <v>0</v>
      </c>
      <c r="QJ27" s="37">
        <f>IF($CV27="P",CF27,(CF27+BC27)/2)</f>
        <v>9</v>
      </c>
      <c r="QK27" s="37">
        <f>IF($CV27="P",CG27,(CG27+BD27)/2)</f>
        <v>0.35</v>
      </c>
      <c r="QL27" s="37">
        <f>IF($CV27="P",CH27,(CH27+BE27)/2)</f>
        <v>0</v>
      </c>
      <c r="QM27" s="37">
        <f>IF($CV27="P",CI27,(CI27+BF27)/2)</f>
        <v>0</v>
      </c>
      <c r="QN27" s="37">
        <f>IF($CV27="P",CJ27,(CJ27+BG27)/2)</f>
        <v>9.3000000000000007</v>
      </c>
      <c r="QO27" s="37">
        <f>IF($CV27="P",CK27,(CK27+BH27)/2)</f>
        <v>1.5</v>
      </c>
      <c r="QP27" s="37">
        <f>IF($CV27="P",CL27,(CL27+BI27)/2)</f>
        <v>0</v>
      </c>
      <c r="QQ27" s="37">
        <f>IF($CV27="P",CM27,(CM27+BJ27)/2)</f>
        <v>0</v>
      </c>
      <c r="QR27" s="37">
        <f>IF($CV27="P",CN27,(CN27+BK27)/2)</f>
        <v>0</v>
      </c>
      <c r="QS27" s="37">
        <f>IF($CV27="P",CO27,(CO27+BL27)/2)</f>
        <v>0</v>
      </c>
      <c r="QT27" s="37">
        <f>IF($CV27="P",CP27,(CP27+BM27)/2)</f>
        <v>0</v>
      </c>
      <c r="QU27" s="37">
        <f>IF($CV27="P",CQ27,(CQ27+BN27)/2)</f>
        <v>0</v>
      </c>
      <c r="QV27" s="37">
        <f>IF($CV27="P",CR27,(CR27+BO27)/2)</f>
        <v>0</v>
      </c>
      <c r="QW27" s="37">
        <f>IF($CV27="P",CS27,(CS27+BP27)/2)</f>
        <v>0</v>
      </c>
      <c r="QX27" s="37">
        <f>IF($CV27="P",CT27,(CT27+BQ27)/2)</f>
        <v>0</v>
      </c>
      <c r="QY27" s="37">
        <f>IF($CV27="P",CU27,(CU27+BR27)/2)</f>
        <v>0</v>
      </c>
      <c r="QZ27" s="44" t="s">
        <v>46</v>
      </c>
      <c r="RA27" s="78">
        <f>IF(SUM(QG27,QK27)&gt;0,SUM(QG27,QK27),"")</f>
        <v>1.9500000000000002</v>
      </c>
      <c r="RB27" s="78">
        <f>IF(SUM(QF27:QG27,QI27:QK27,QM27)-QH27-QL27&gt;0,SUM(QF27:QG27,QI27:QK27,QM27)-QH27-QL27,"")</f>
        <v>19.550000000000004</v>
      </c>
      <c r="RC27" s="78">
        <f>IF(SUM(QN27:QO27,QQ27)-QP27&gt;0,SUM(QN27:QO27,QQ27)-QP27,"")</f>
        <v>10.8</v>
      </c>
      <c r="RD27" s="78">
        <f>IF(SUM(QG27,QK27,QO27)&gt;0,SUM(QG27,QK27,QO27),"")</f>
        <v>3.45</v>
      </c>
      <c r="RE27" s="78">
        <f>IF(SUM(RB27,RC27)&gt;0,SUM(RB27,RC27),"")</f>
        <v>30.350000000000005</v>
      </c>
      <c r="RF27" s="78" t="str">
        <f>IF(SUM(QS27,QW27)&gt;0,SUM(QS27,QW27),"")</f>
        <v/>
      </c>
      <c r="RG27" s="78" t="str">
        <f>IF(SUM(QR27:QS27,QU27:QW27,QY27)-SUM(QT27,QX27)&gt;0,SUM(QR27:QS27,QU27:QW27,QY27)-SUM(QT27,QX27),"")</f>
        <v/>
      </c>
      <c r="RH27" s="78">
        <f>IF(SUM(RB27,RG27)&gt;0,SUM(RB27,RG27),"")</f>
        <v>19.550000000000004</v>
      </c>
    </row>
    <row r="28" spans="1:476" x14ac:dyDescent="0.2">
      <c r="A28" s="5" t="str">
        <f>IF(AND(F28="P",G28="P"),SUMPRODUCT((F$4:F$29="P")*(G$4:G$29="P")*(E$4:E$29&gt;E28))+1,IF(G28="P",SUMPRODUCT((F$4:F$29="")*(G$4:G$29="P")*(E$4:E$29&gt;E28))+1+SUMPRODUCT((F$4:F$29="P")*(G$4:G$29="P")),""))</f>
        <v/>
      </c>
      <c r="B28" s="77" t="s">
        <v>203</v>
      </c>
      <c r="C28" s="5" t="s">
        <v>4</v>
      </c>
      <c r="D28" s="5">
        <v>2005</v>
      </c>
      <c r="E28" s="15">
        <f>SUM(I28:S28)+SUM(I28:O28)*0.0000001+SUM(I28)*0.0000000000001</f>
        <v>59.10000591000373</v>
      </c>
      <c r="F28" s="3" t="str">
        <f>IF(OR(AND(AQ28&gt;=AX$31,AR28&gt;=AX$35,AQ28&lt;&gt;"",AP28=""),AND(AV28&gt;=AX$31,AW28&gt;=AX$35,AV28&lt;&gt;"",AP28=""),AND(BT28&gt;=CA$31,BU28&gt;=CA$35,BT28&lt;&gt;"",BS28=""),AND(BY28&gt;=CA$31,BZ28&gt;=CA$35,BY28&lt;&gt;"",BS28=""),AND(CW28&gt;=DD$31,CX28&gt;=DD$35,CW28&lt;&gt;"",CV28=""),AND(DB28&gt;=DD$31,DC28&gt;=DD$35,DB28&lt;&gt;""),AND(EB28&gt;=EI$31,EC28&gt;=EI$35,EB28&lt;&gt;""),AND(EG28&gt;=EI$31,EH28&gt;=EI$35,EG28&lt;&gt;""),AND(FD28&gt;=FK$31,FE28&gt;=FK$35,FD28&lt;&gt;""),AND(FI28&gt;=FK$31,FJ28&gt;=FK$35,FI28&lt;&gt;""),AND(GF28&gt;=GM$31,GG28&gt;=GM$35,GF28&lt;&gt;""),AND(GK28&gt;=GM$31,GL28&gt;=GM$35,GK28&lt;&gt;""),AND(HH28&gt;=HO$31,HI28&gt;=HO$35,HH28&lt;&gt;""),AND(HM28&gt;=HO$31,HN28&gt;=HO$35,HM28&lt;&gt;""),AND(IJ28&gt;=IQ$31,IK28&gt;=IQ$35,IJ28&lt;&gt;""),AND(IO28&gt;=IQ$31,IP28&gt;=IQ$35,IO28&lt;&gt;""),AND(JL28&gt;=JS$31,JM28&gt;=JS$35,JL28&lt;&gt;""),AND(JQ28&gt;=JS$31,JR28&gt;=JS$35,JQ28&lt;&gt;""),AND(KN28&gt;=KU$31,KO28&gt;=KU$35,KN28&lt;&gt;""),AND(KS28&gt;=KU$31,KT28&gt;=KU$35,KS28&lt;&gt;""),AND(LP28&gt;=LW$31,LQ28&gt;=LW$35,LP28&lt;&gt;""),AND(LU28&gt;=LW$31,LV28&gt;=LW$35,LU28&lt;&gt;""),AND(MR28&gt;=MY$31,MS28&gt;=MY$35,MR28&lt;&gt;""),AND(MW28&gt;=MY$31,MX28&gt;=MY$35,MW28&lt;&gt;""),AND(NT28&gt;=OA$31,NU28&gt;=OA$35,NT28&lt;&gt;""),AND(NY28&gt;=OA$31,NZ28&gt;=OA$35,NY28&lt;&gt;""),AND(OV28&gt;=PC$31,OW28&gt;=PC$35,OV28&lt;&gt;""),AND(PA28&gt;=PC$31,PB28&gt;=PC$35,PA28&lt;&gt;""),AND(PX28&gt;=QE$31,PY28&gt;=QE$35,PX28&lt;&gt;""),AND(QC28&gt;=QE$31,QD28&gt;=QE$35,QC28&lt;&gt;"")),"P","")</f>
        <v/>
      </c>
      <c r="G28" s="3" t="str">
        <f>IF(OR(AND(AR28&gt;=AX$35,AR28&lt;&gt;"",AP28=""),AND(AW28&gt;=AX$35,AW28&lt;&gt;"",AP28=""),AND(BU28&gt;=CA$35,BU28&lt;&gt;"",BS28=""),AND(BZ28&gt;=CA$35,BZ28&lt;&gt;"",BS28=""),AND(CX28&gt;=DD$35,CX28&lt;&gt;"",CV28=""),AND(DC28&gt;=DD$35,DC28&lt;&gt;"",CV28=""),AND(EC28&gt;=EI$35,EC28&lt;&gt;""),AND(EH28&gt;=EI$35,EH28&lt;&gt;""),AND(FE28&gt;=FK$35,FE28&lt;&gt;""),AND(FJ28&gt;=FK$35,FJ28&lt;&gt;""),AND(GG28&gt;=GM$35,GG28&lt;&gt;""),AND(GL28&gt;=GM$35,GL28&lt;&gt;""),AND(HI28&gt;=HO$35,HI28&lt;&gt;""),AND(HN28&gt;=HO$35,HN28&lt;&gt;""),AND(IK28&gt;=IQ$35,IK28&lt;&gt;""),AND(IP28&gt;=IQ$35,IP28&lt;&gt;""),AND(JM28&gt;=JS$35,JM28&lt;&gt;""),AND(JR28&gt;=JS$35,JR28&lt;&gt;""),AND(KO28&gt;=KU$35,KO28&lt;&gt;""),AND(KT28&gt;=KU$35,KT28&lt;&gt;""),AND(LQ28&gt;=LW$35,LQ28&lt;&gt;""),AND(LV28&gt;=LW$35,LV28&lt;&gt;""),AND(MS28&gt;=MY$35,MS28&lt;&gt;""),AND(MX28&gt;=MY$35,MX28&lt;&gt;""),AND(NU28&gt;=OA$35,NU28&lt;&gt;""),AND(NZ28&gt;=OA$35,NZ28&lt;&gt;""),AND(OW28&gt;=PC$35,OW28&lt;&gt;""),AND(PB28&gt;=PC$35,PB28&lt;&gt;""),AND(PY28&gt;=QE$35,PY28&lt;&gt;""),AND(QD28&gt;=QE$35,QD28&lt;&gt;"")),"P","")</f>
        <v/>
      </c>
      <c r="H28" s="66" t="str">
        <f>IF(AND(G28="P",F28=""),"No DD",IF(OR(AND(AT28&gt;=AX$34,AU28&gt;=AX$38,AT28&lt;&gt;"",AP28=""),AND(BW28&gt;=CA$34,BX28&gt;=CA$38,BW28&lt;&gt;"",BS28=""),AND(CZ28&gt;=DD$34,DA28&gt;=DD$38,CZ28&lt;&gt;"",CV28=""),AND(EE28&gt;=EI$34,EF28&gt;=EI$38,EE28&lt;&gt;""),AND(FG28&gt;=FK$34,FH28&gt;=FK$38,FG28&lt;&gt;""),AND(GI28&gt;=GM$34,GJ28&gt;=GM$38,GI28&lt;&gt;""),AND(HK28&gt;=HO$34,HL28&gt;=HO$38,HK28&lt;&gt;""),AND(IM28&gt;=IQ$34,IN28&gt;=IQ$38,IM28&lt;&gt;""),AND(JO28&gt;=JS$34,JP28&gt;=JS$38,JO28&lt;&gt;""),AND(KQ28&gt;=KU$34,KR28&gt;=KU$38,KQ28&lt;&gt;""),AND(LS28&gt;=LW$34,LT28&gt;=LW$38,LS28&lt;&gt;""),AND(MU28&gt;=MY$34,MV28&gt;=MY$38,MU28&lt;&gt;""),AND(NW28&gt;=OA$34,NX28&gt;=OA$38,NW28&lt;&gt;""),AND(OY28&gt;=PC$34,OZ28&gt;=PC$38,OY28&lt;&gt;""),AND(QA28&gt;=QE$34,QB28&gt;=QE$38,QA28&lt;&gt;"")),"Merit",IF(OR(AND(AT28&gt;=AX$33,AU28&gt;=AX$37,AT28&lt;&gt;"",AP28=""),AND(BW28&gt;=CA$33,BX28&gt;=CA$37,BW28&lt;&gt;"",BS28=""),AND(CZ28&gt;=DD$33,DA28&gt;=DD$37,CZ28&lt;&gt;"",CV28=""),AND(EE28&gt;=EI$33,EF28&gt;=EI$37,EE28&lt;&gt;""),AND(FG28&gt;=FK$33,FH28&gt;=FK$37,FG28&lt;&gt;""),AND(GI28&gt;=GM$33,GJ28&gt;=GM$37,GI28&lt;&gt;""),AND(HK28&gt;=HO$33,HL28&gt;=HO$37,HK28&lt;&gt;""),AND(IM28&gt;=IQ$33,IN28&gt;=IQ$37,IM28&lt;&gt;""),AND(JO28&gt;=JS$33,JP28&gt;=JS$37,JO28&lt;&gt;""),AND(KQ28&gt;=KU$33,KR28&gt;=KU$37,KQ28&lt;&gt;""),AND(LS28&gt;=LW$33,LT28&gt;=LW$37,LS28&lt;&gt;""),AND(MU28&gt;=MY$33,MV28&gt;=MY$37,MU28&lt;&gt;""),AND(NW28&gt;=OA$33,NX28&gt;=OA$37,NW28&lt;&gt;""),AND(OY28&gt;=PC$33,OZ28&gt;=PC$37,OY28&lt;&gt;""),AND(QA28&gt;=QE$33,QB28&gt;=QE$37,QA28&lt;&gt;"")),"Excellence",IF(F28="P","National Team",""))))</f>
        <v/>
      </c>
      <c r="I28" s="14">
        <f>IF(COUNT(AR28,BU28,CX28)&gt;0,LARGE((AR28,BU28,CX28),1),0)</f>
        <v>37.4</v>
      </c>
      <c r="J28" s="14" t="str">
        <f>IF(I28=0,"",IF(I28=CX28,$CB$1,IF(I28=BU28,$AY$1,IF(I28=AR28,$V$1,""))))</f>
        <v>2022 Nationals</v>
      </c>
      <c r="K28" s="14">
        <f>IF(COUNT(AR28,BU28,CX28)&gt;1,LARGE((AR28,BU28,CX28),2),0)</f>
        <v>0</v>
      </c>
      <c r="L28" s="14" t="str">
        <f>IF(K28=0,"",IF(K28=CX28,$CB$1,IF(K28=BU28,$AY$1,IF(K28=AR28,$V$1,""))))</f>
        <v/>
      </c>
      <c r="M28" s="14">
        <f>IF(COUNT(AS28,BV28,CY28)&gt;0,LARGE((AS28,BV28,CY28),1),0)</f>
        <v>21.7</v>
      </c>
      <c r="N28" s="14" t="str">
        <f>IF(M28=0,"",IF(M28=CY28,$CB$1,IF(M28=BV28,$AY$1,IF(M28=AS28,$V$1,""))))</f>
        <v>2022 Nationals</v>
      </c>
      <c r="O28" s="14">
        <f>IF(COUNT(AS28,BV28,CY28)&gt;1,LARGE((AS28,BV28,CY28),2),0)</f>
        <v>0</v>
      </c>
      <c r="P28" s="14" t="str">
        <f>IF(O28=0,"",IF(O28=CY28,$CB$1,IF(O28=BV28,$AY$1,IF(O28=AS28,$V$1,""))))</f>
        <v/>
      </c>
      <c r="Q28" s="14">
        <f>IF(MAX(AW28,BZ28,DC28)&gt;0,MAX(AW28,BZ28,DC28),0)</f>
        <v>0</v>
      </c>
      <c r="R28" s="14" t="str">
        <f>IF(Q28=0,"",IF(Q28=DC28,$CB$1,IF(Q28=BZ28,$AY$1,IF(Q28=AW28,$V$1,""))))</f>
        <v/>
      </c>
      <c r="S28" s="14" t="str">
        <f>IF(MAX(DE28:DG28)&gt;0,MAX(DE28:DG28),"")</f>
        <v/>
      </c>
      <c r="T28" s="19" t="str">
        <f>IF(S28="","",IF(S28=DE28,"("&amp;DE$2&amp;")",IF(S28=DG28,"("&amp;DG$2&amp;")")))</f>
        <v/>
      </c>
      <c r="U28" s="14" t="str">
        <f>IF(S28="","",IF(S28=DE28,IF(S28+IF(K28="",0,K28)=PY28,$PD$1,IF(S28+IF(K28="",0,K28)=OW28,$OB$1,IF(S28+IF(K28="",0,K28)=NU28,$MZ$1,IF(S28+IF(K28="",0,K28)=MS28,$LX$1,IF(S28+IF(K28="",0,K28)=LQ28,$KV$1,IF(S28+IF(K28="",0,K28)=KO28,$JT$1,IF(S28+IF(K28="",0,K28)=JM28,$IR$1,IF(S28+IF(K28="",0,K28)=IK28,$HP$1,IF(S28+IF(K28="",0,K28)=HI28,$GN$1,IF(S28+IF(K28="",0,K28)=GG28,$FL$1,IF(S28+IF(K28="",0,K28)=FE28,$EJ$1,IF(S28+IF(K28="",0,K28)=EC28,$DH$1)))))))))))),IF(S28=DG28,IF(S28+IF(Q28="",0,Q28)=QD28,$PD$1,IF(S28+IF(Q28="",0,Q28)=PB28,$OB$1,IF(S28+IF(Q28="",0,Q28)=NZ28,$MZ$1,IF(S28+IF(Q28="",0,Q28)=MX28,$LX$1,IF(S28+IF(Q28="",0,Q28)=LV28,$KV$1,IF(S28+IF(Q28="",0,Q28)=KT28,$JT$1,IF(S28+IF(Q28="",0,Q28)=JR28,$IR$1,IF(S28+IF(Q28="",0,Q28)=IP28,$HP$1,IF(S28+IF(Q28="",0,Q28)=HN28,$GN$1,IF(S28+IF(Q28="",0,Q28)=GL28,$FL$1,IF(S28+IF(Q28="",0,Q28)=FJ28,$EJ$1,IF(S28+IF(Q28="",0,Q28)=EH28,$DH$1)))))))))))))))</f>
        <v/>
      </c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44"/>
      <c r="AQ28" s="78" t="str">
        <f>IF(SUM(W28,AA28)&gt;0,SUM(W28,AA28),"")</f>
        <v/>
      </c>
      <c r="AR28" s="78" t="str">
        <f>IF(SUM(V28:W28,Y28:AA28,AC28)-X28-AB28&gt;0,SUM(V28:W28,Y28:AA28,AC28)-X28-AB28,"")</f>
        <v/>
      </c>
      <c r="AS28" s="78" t="str">
        <f>IF(SUM(AD28:AE28,AG28)-AF28&gt;0,SUM(AD28:AE28,AG28)-AF28,"")</f>
        <v/>
      </c>
      <c r="AT28" s="78" t="str">
        <f>IF(SUM(W28,AA28,AE28)&gt;0,SUM(W28,AA28,AE28),"")</f>
        <v/>
      </c>
      <c r="AU28" s="78" t="str">
        <f>IF(SUM(AR28,AS28)&gt;0,SUM(AR28,AS28),"")</f>
        <v/>
      </c>
      <c r="AV28" s="78" t="str">
        <f>IF(SUM(AI28,AM28)&gt;0,SUM(AI28,AM28),"")</f>
        <v/>
      </c>
      <c r="AW28" s="78" t="str">
        <f>IF(SUM(AH28:AI28,AK28:AM28,AO28)-SUM(AJ28,AN28)&gt;0,SUM(AH28:AI28,AK28:AM28,AO28)-SUM(AJ28,AN28),"")</f>
        <v/>
      </c>
      <c r="AX28" s="78" t="str">
        <f>IF(SUM(AR28,AW28)&gt;0,SUM(AR28,AW28),"")</f>
        <v/>
      </c>
      <c r="AY28" s="25">
        <v>17</v>
      </c>
      <c r="AZ28" s="25">
        <v>2</v>
      </c>
      <c r="BA28" s="25">
        <v>0</v>
      </c>
      <c r="BB28" s="25">
        <v>0</v>
      </c>
      <c r="BC28" s="25">
        <v>16.3</v>
      </c>
      <c r="BD28" s="25">
        <v>2.7</v>
      </c>
      <c r="BE28" s="25">
        <v>0.6</v>
      </c>
      <c r="BF28" s="25">
        <v>0</v>
      </c>
      <c r="BG28" s="25">
        <v>18.8</v>
      </c>
      <c r="BH28" s="25">
        <v>2.9</v>
      </c>
      <c r="BI28" s="25">
        <v>0</v>
      </c>
      <c r="BJ28" s="25">
        <v>0</v>
      </c>
      <c r="BK28" s="25"/>
      <c r="BL28" s="25"/>
      <c r="BM28" s="25"/>
      <c r="BN28" s="25"/>
      <c r="BO28" s="25"/>
      <c r="BP28" s="25"/>
      <c r="BQ28" s="25"/>
      <c r="BR28" s="25"/>
      <c r="BS28" s="45"/>
      <c r="BT28" s="19">
        <f>IF(SUM(AZ28,BD28)&gt;0,SUM(AZ28,BD28),"")</f>
        <v>4.7</v>
      </c>
      <c r="BU28" s="19">
        <f>IF(SUM(AY28:AZ28,BB28:BD28,BF28)-BA28-BE28&gt;0,SUM(AY28:AZ28,BB28:BD28,BF28)-BA28-BE28,"")</f>
        <v>37.4</v>
      </c>
      <c r="BV28" s="19">
        <f>IF(SUM(BG28:BH28,BJ28)-BI28&gt;0,SUM(BG28:BH28,BJ28)-BI28,"")</f>
        <v>21.7</v>
      </c>
      <c r="BW28" s="19">
        <f>IF(SUM(AZ28,BD28,BH28)&gt;0,SUM(AZ28,BD28,BH28),"")</f>
        <v>7.6</v>
      </c>
      <c r="BX28" s="19">
        <f>IF(SUM(BU28,BV28)&gt;0,SUM(BU28,BV28),"")</f>
        <v>59.099999999999994</v>
      </c>
      <c r="BY28" s="19" t="str">
        <f>IF(SUM(BL28,BP28)&gt;0,SUM(BL28,BP28),"")</f>
        <v/>
      </c>
      <c r="BZ28" s="19" t="str">
        <f>IF(SUM(BK28:BL28,BN28:BP28,BR28)-SUM(BM28,BQ28)&gt;0,SUM(BK28:BL28,BN28:BP28,BR28)-SUM(BM28,BQ28),"")</f>
        <v/>
      </c>
      <c r="CA28" s="19">
        <f>IF(SUM(BU28,BZ28)&gt;0,SUM(BU28,BZ28),"")</f>
        <v>37.4</v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>IF(SUM(CC28,CG28)&gt;0,SUM(CC28,CG28),"")</f>
        <v/>
      </c>
      <c r="CX28" s="78" t="str">
        <f>IF(SUM(CB28:CC28,CE28:CG28,CI28)-CD28-CH28&gt;0,SUM(CB28:CC28,CE28:CG28,CI28)-CD28-CH28,"")</f>
        <v/>
      </c>
      <c r="CY28" s="78" t="str">
        <f>IF(SUM(CJ28:CK28,CM28)-CL28&gt;0,SUM(CJ28:CK28,CM28)-CL28,"")</f>
        <v/>
      </c>
      <c r="CZ28" s="78" t="str">
        <f>IF(SUM(CC28,CG28,CK28)&gt;0,SUM(CC28,CG28,CK28),"")</f>
        <v/>
      </c>
      <c r="DA28" s="78" t="str">
        <f>IF(SUM(CX28,CY28)&gt;0,SUM(CX28,CY28),"")</f>
        <v/>
      </c>
      <c r="DB28" s="78" t="str">
        <f>IF(SUM(CO28,CS28)&gt;0,SUM(CO28,CS28),"")</f>
        <v/>
      </c>
      <c r="DC28" s="78" t="str">
        <f>IF(SUM(CN28:CO28,CQ28:CS28,CU28)-SUM(CP28,CT28)&gt;0,SUM(CN28:CO28,CQ28:CS28,CU28)-SUM(CP28,CT28),"")</f>
        <v/>
      </c>
      <c r="DD28" s="78" t="str">
        <f>IF(SUM(CX28,DC28)&gt;0,SUM(CX28,DC28),"")</f>
        <v/>
      </c>
      <c r="DE28" s="79" t="str">
        <f>IF(K28&gt;=0.001,IF(MAX(EC28,FE28,GG28,HI28,IK28,JM28,KO28,LQ28,MS28,NU28,OW28,PY28)-IF(K28="",0,K28)&gt;0.001,MAX(EC28,FE28,GG28,HI28,IK28,JM28,KO28,LQ28,MS28,NU28,OW28,PY28)-IF(K28="",0,K28),""),"")</f>
        <v/>
      </c>
      <c r="DF28" s="79" t="str">
        <f>IF(O28&gt;=0.001,IF(MAX(ED28,FF28,GH28,HJ28,IL28,JN28,KP28,LR28,MT28,NV28,OX28,PZ28)-IF(O28="",0,O28)&gt;0.001,MAX(ED28,FF28,GH28,HJ28,IL28,JN28,KP28,LR28,MT28,NV28,OX28,PZ28)-IF(O28="",0,O28),""),"")</f>
        <v/>
      </c>
      <c r="DG28" s="79" t="str">
        <f>IF(Q28&gt;=0.001,IF(MAX(EH28,FJ28,GL28,HN28,IP28,JR28,KT28,LV28,MX28,NZ28,PB28,QD28)-IF(Q28="",0,Q28)&gt;0.001,MAX(EH28,FJ28,GL28,HN28,IP28,JR28,KT28,LV28,MX28,NZ28,PB28,QD28)-IF(Q28="",0,Q28),""),"")</f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>IF(SUM(DI28,DM28)&gt;0,SUM(DI28,DM28),"")</f>
        <v/>
      </c>
      <c r="EC28" s="78" t="str">
        <f>IF(SUM(DH28:DI28,DK28:DM28,DO28)-DJ28-DN28&gt;0,SUM(DH28:DI28,DK28:DM28,DO28)-DJ28-DN28,"")</f>
        <v/>
      </c>
      <c r="ED28" s="78" t="str">
        <f>IF(SUM(DP28:DQ28,DS28)-DR28&gt;0,SUM(DP28:DQ28,DS28)-DR28,"")</f>
        <v/>
      </c>
      <c r="EE28" s="78" t="str">
        <f>IF(SUM(DI28,DM28,DQ28)&gt;0,SUM(DI28,DM28,DQ28),"")</f>
        <v/>
      </c>
      <c r="EF28" s="78" t="str">
        <f>IF(SUM(EC28,ED28)&gt;0,SUM(EC28,ED28),"")</f>
        <v/>
      </c>
      <c r="EG28" s="78" t="str">
        <f>IF(SUM(DU28,DY28)&gt;0,SUM(DU28,DY28),"")</f>
        <v/>
      </c>
      <c r="EH28" s="78" t="str">
        <f>IF(SUM(DT28:DU28,DW28:DY28,EA28)-SUM(DV28,DZ28)&gt;0,SUM(DT28:DU28,DW28:DY28,EA28)-SUM(DV28,DZ28),"")</f>
        <v/>
      </c>
      <c r="EI28" s="78" t="str">
        <f>IF(SUM(EC28,EH28)&gt;0,SUM(EC28,EH28),"")</f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>IF(SUM(EK28,EO28)&gt;0,SUM(EK28,EO28),"")</f>
        <v/>
      </c>
      <c r="FE28" s="19" t="str">
        <f>IF(SUM(EJ28:EK28,EM28:EO28,EQ28)-EL28-EP28&gt;0,SUM(EJ28:EK28,EM28:EO28,EQ28)-EL28-EP28,"")</f>
        <v/>
      </c>
      <c r="FF28" s="19" t="str">
        <f>IF(SUM(ER28:ES28,EU28)-ET28&gt;0,SUM(ER28:ES28,EU28)-ET28,"")</f>
        <v/>
      </c>
      <c r="FG28" s="19" t="str">
        <f>IF(SUM(EK28,EO28,ES28)&gt;0,SUM(EK28,EO28,ES28),"")</f>
        <v/>
      </c>
      <c r="FH28" s="19" t="str">
        <f>IF(SUM(FE28,FF28)&gt;0,SUM(FE28,FF28),"")</f>
        <v/>
      </c>
      <c r="FI28" s="19" t="str">
        <f>IF(SUM(EW28,FA28)&gt;0,SUM(EW28,FA28),"")</f>
        <v/>
      </c>
      <c r="FJ28" s="19" t="str">
        <f>IF(SUM(EV28:EW28,EY28:FA28,FC28)-SUM(EX28,FB28)&gt;0,SUM(EV28:EW28,EY28:FA28,FC28)-SUM(EX28,FB28),"")</f>
        <v/>
      </c>
      <c r="FK28" s="19" t="str">
        <f>IF(SUM(FE28,FJ28)&gt;0,SUM(FE28,FJ28),"")</f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>IF(SUM(FM28,FQ28)&gt;0,SUM(FM28,FQ28),"")</f>
        <v/>
      </c>
      <c r="GG28" s="78" t="str">
        <f>IF(SUM(FL28:FM28,FO28:FQ28,FS28)-FN28-FR28&gt;0,SUM(FL28:FM28,FO28:FQ28,FS28)-FN28-FR28,"")</f>
        <v/>
      </c>
      <c r="GH28" s="78" t="str">
        <f>IF(SUM(FT28:FU28,FW28)-FV28&gt;0,SUM(FT28:FU28,FW28)-FV28,"")</f>
        <v/>
      </c>
      <c r="GI28" s="78" t="str">
        <f>IF(SUM(FM28,FQ28,FU28)&gt;0,SUM(FM28,FQ28,FU28),"")</f>
        <v/>
      </c>
      <c r="GJ28" s="78" t="str">
        <f>IF(SUM(GG28,GH28)&gt;0,SUM(GG28,GH28),"")</f>
        <v/>
      </c>
      <c r="GK28" s="78" t="str">
        <f>IF(SUM(FY28,GC28)&gt;0,SUM(FY28,GC28),"")</f>
        <v/>
      </c>
      <c r="GL28" s="78" t="str">
        <f>IF(SUM(FX28:FY28,GA28:GC28,GE28)-SUM(FZ28,GD28)&gt;0,SUM(FX28:FY28,GA28:GC28,GE28)-SUM(FZ28,GD28),"")</f>
        <v/>
      </c>
      <c r="GM28" s="78" t="str">
        <f>IF(SUM(GG28,GL28)&gt;0,SUM(GG28,GL28),"")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>IF(SUM(GO28,GS28)&gt;0,SUM(GO28,GS28),"")</f>
        <v/>
      </c>
      <c r="HI28" s="19" t="str">
        <f>IF(SUM(GN28:GO28,GQ28:GS28,GU28)-GP28-GT28&gt;0,SUM(GN28:GO28,GQ28:GS28,GU28)-GP28-GT28,"")</f>
        <v/>
      </c>
      <c r="HJ28" s="19" t="str">
        <f>IF(SUM(GV28:GW28,GY28)-GX28&gt;0,SUM(GV28:GW28,GY28)-GX28,"")</f>
        <v/>
      </c>
      <c r="HK28" s="19" t="str">
        <f>IF(SUM(GO28,GS28,GW28)&gt;0,SUM(GO28,GS28,GW28),"")</f>
        <v/>
      </c>
      <c r="HL28" s="19" t="str">
        <f>IF(SUM(HI28,HJ28)&gt;0,SUM(HI28,HJ28),"")</f>
        <v/>
      </c>
      <c r="HM28" s="19" t="str">
        <f>IF(SUM(HA28,HE28)&gt;0,SUM(HA28,HE28),"")</f>
        <v/>
      </c>
      <c r="HN28" s="19" t="str">
        <f>IF(SUM(GZ28:HA28,HC28:HE28,HG28)-SUM(HB28,HF28)&gt;0,SUM(GZ28:HA28,HC28:HE28,HG28)-SUM(HB28,HF28),"")</f>
        <v/>
      </c>
      <c r="HO28" s="19" t="str">
        <f>IF(SUM(HI28,HN28)&gt;0,SUM(HI28,HN28),"")</f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>IF(SUM(HQ28,HU28)&gt;0,SUM(HQ28,HU28),"")</f>
        <v/>
      </c>
      <c r="IK28" s="78" t="str">
        <f>IF(SUM(HP28:HQ28,HS28:HU28,HW28)-HR28-HV28&gt;0,SUM(HP28:HQ28,HS28:HU28,HW28)-HR28-HV28,"")</f>
        <v/>
      </c>
      <c r="IL28" s="78" t="str">
        <f>IF(SUM(HX28:HY28,IA28)-HZ28&gt;0,SUM(HX28:HY28,IA28)-HZ28,"")</f>
        <v/>
      </c>
      <c r="IM28" s="78" t="str">
        <f>IF(SUM(HQ28,HU28,HY28)&gt;0,SUM(HQ28,HU28,HY28),"")</f>
        <v/>
      </c>
      <c r="IN28" s="78" t="str">
        <f>IF(SUM(IK28,IL28)&gt;0,SUM(IK28,IL28),"")</f>
        <v/>
      </c>
      <c r="IO28" s="78" t="str">
        <f>IF(SUM(IC28,IG28)&gt;0,SUM(IC28,IG28),"")</f>
        <v/>
      </c>
      <c r="IP28" s="78" t="str">
        <f>IF(SUM(IB28:IC28,IE28:IG28,II28)-SUM(ID28,IH28)&gt;0,SUM(IB28:IC28,IE28:IG28,II28)-SUM(ID28,IH28),"")</f>
        <v/>
      </c>
      <c r="IQ28" s="78" t="str">
        <f>IF(SUM(IK28,IP28)&gt;0,SUM(IK28,IP28),"")</f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>IF(SUM(IS28,IW28)&gt;0,SUM(IS28,IW28),"")</f>
        <v/>
      </c>
      <c r="JM28" s="19" t="str">
        <f>IF(SUM(IR28:IS28,IU28:IW28,IY28)-IT28-IX28&gt;0,SUM(IR28:IS28,IU28:IW28,IY28)-IT28-IX28,"")</f>
        <v/>
      </c>
      <c r="JN28" s="19" t="str">
        <f>IF(SUM(IZ28:JA28,JC28)-JB28&gt;0,SUM(IZ28:JA28,JC28)-JB28,"")</f>
        <v/>
      </c>
      <c r="JO28" s="19" t="str">
        <f>IF(SUM(IS28,IW28,JA28)&gt;0,SUM(IS28,IW28,JA28),"")</f>
        <v/>
      </c>
      <c r="JP28" s="19" t="str">
        <f>IF(SUM(JM28,JN28)&gt;0,SUM(JM28,JN28),"")</f>
        <v/>
      </c>
      <c r="JQ28" s="19" t="str">
        <f>IF(SUM(JE28,JI28)&gt;0,SUM(JE28,JI28),"")</f>
        <v/>
      </c>
      <c r="JR28" s="19" t="str">
        <f>IF(SUM(JD28:JE28,JG28:JI28,JK28)-SUM(JF28,JJ28)&gt;0,SUM(JD28:JE28,JG28:JI28,JK28)-SUM(JF28,JJ28),"")</f>
        <v/>
      </c>
      <c r="JS28" s="19" t="str">
        <f>IF(SUM(JM28,JR28)&gt;0,SUM(JM28,JR28),"")</f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>IF(SUM(JU28,JY28)&gt;0,SUM(JU28,JY28),"")</f>
        <v/>
      </c>
      <c r="KO28" s="78" t="str">
        <f>IF(SUM(JT28:JU28,JW28:JY28,KA28)-JV28-JZ28&gt;0,SUM(JT28:JU28,JW28:JY28,KA28)-JV28-JZ28,"")</f>
        <v/>
      </c>
      <c r="KP28" s="78" t="str">
        <f>IF(SUM(KB28:KC28,KE28)-KD28&gt;0,SUM(KB28:KC28,KE28)-KD28,"")</f>
        <v/>
      </c>
      <c r="KQ28" s="78" t="str">
        <f>IF(SUM(JU28,JY28,KC28)&gt;0,SUM(JU28,JY28,KC28),"")</f>
        <v/>
      </c>
      <c r="KR28" s="78" t="str">
        <f>IF(SUM(KO28,KP28)&gt;0,SUM(KO28,KP28),"")</f>
        <v/>
      </c>
      <c r="KS28" s="78" t="str">
        <f>IF(SUM(KG28,KK28)&gt;0,SUM(KG28,KK28),"")</f>
        <v/>
      </c>
      <c r="KT28" s="78" t="str">
        <f>IF(SUM(KF28:KG28,KI28:KK28,KM28)-SUM(KH28,KL28)&gt;0,SUM(KF28:KG28,KI28:KK28,KM28)-SUM(KH28,KL28),"")</f>
        <v/>
      </c>
      <c r="KU28" s="78" t="str">
        <f>IF(SUM(KO28,KT28)&gt;0,SUM(KO28,KT28),"")</f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>IF(SUM(KW28,LA28)&gt;0,SUM(KW28,LA28),"")</f>
        <v/>
      </c>
      <c r="LQ28" s="19" t="str">
        <f>IF(SUM(KV28:KW28,KY28:LA28,LC28)-KX28-LB28&gt;0,SUM(KV28:KW28,KY28:LA28,LC28)-KX28-LB28,"")</f>
        <v/>
      </c>
      <c r="LR28" s="19" t="str">
        <f>IF(SUM(LD28:LE28,LG28)-LF28&gt;0,SUM(LD28:LE28,LG28)-LF28,"")</f>
        <v/>
      </c>
      <c r="LS28" s="19" t="str">
        <f>IF(SUM(KW28,LA28,LE28)&gt;0,SUM(KW28,LA28,LE28),"")</f>
        <v/>
      </c>
      <c r="LT28" s="19" t="str">
        <f>IF(SUM(LQ28,LR28)&gt;0,SUM(LQ28,LR28),"")</f>
        <v/>
      </c>
      <c r="LU28" s="19" t="str">
        <f>IF(SUM(LI28,LM28)&gt;0,SUM(LI28,LM28),"")</f>
        <v/>
      </c>
      <c r="LV28" s="19" t="str">
        <f>IF(SUM(LH28:LI28,LK28:LM28,LO28)-SUM(LJ28,LN28)&gt;0,SUM(LH28:LI28,LK28:LM28,LO28)-SUM(LJ28,LN28),"")</f>
        <v/>
      </c>
      <c r="LW28" s="19" t="str">
        <f>IF(SUM(LQ28,LV28)&gt;0,SUM(LQ28,LV28),"")</f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>IF(SUM(LY28,MC28)&gt;0,SUM(LY28,MC28),"")</f>
        <v/>
      </c>
      <c r="MS28" s="78" t="str">
        <f>IF(SUM(LX28:LY28,MA28:MC28,ME28)-LZ28-MD28&gt;0,SUM(LX28:LY28,MA28:MC28,ME28)-LZ28-MD28,"")</f>
        <v/>
      </c>
      <c r="MT28" s="78" t="str">
        <f>IF(SUM(MF28:MG28,MI28)-MH28&gt;0,SUM(MF28:MG28,MI28)-MH28,"")</f>
        <v/>
      </c>
      <c r="MU28" s="78" t="str">
        <f>IF(SUM(LY28,MC28,MG28)&gt;0,SUM(LY28,MC28,MG28),"")</f>
        <v/>
      </c>
      <c r="MV28" s="78" t="str">
        <f>IF(SUM(MS28,MT28)&gt;0,SUM(MS28,MT28),"")</f>
        <v/>
      </c>
      <c r="MW28" s="78" t="str">
        <f>IF(SUM(MK28,MO28)&gt;0,SUM(MK28,MO28),"")</f>
        <v/>
      </c>
      <c r="MX28" s="78" t="str">
        <f>IF(SUM(MJ28:MK28,MM28:MO28,MQ28)-SUM(ML28,MP28)&gt;0,SUM(MJ28:MK28,MM28:MO28,MQ28)-SUM(ML28,MP28),"")</f>
        <v/>
      </c>
      <c r="MY28" s="78" t="str">
        <f>IF(SUM(MS28,MX28)&gt;0,SUM(MS28,MX28),"")</f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>IF(SUM(NA28,NE28)&gt;0,SUM(NA28,NE28),"")</f>
        <v/>
      </c>
      <c r="NU28" s="19" t="str">
        <f>IF(SUM(MZ28:NA28,NC28:NE28,NG28)-NB28-NF28&gt;0,SUM(MZ28:NA28,NC28:NE28,NG28)-NB28-NF28,"")</f>
        <v/>
      </c>
      <c r="NV28" s="19" t="str">
        <f>IF(SUM(NH28:NI28,NK28)-NJ28&gt;0,SUM(NH28:NI28,NK28)-NJ28,"")</f>
        <v/>
      </c>
      <c r="NW28" s="19" t="str">
        <f>IF(SUM(NA28,NE28,NI28)&gt;0,SUM(NA28,NE28,NI28),"")</f>
        <v/>
      </c>
      <c r="NX28" s="19" t="str">
        <f>IF(SUM(NU28,NV28)&gt;0,SUM(NU28,NV28),"")</f>
        <v/>
      </c>
      <c r="NY28" s="19" t="str">
        <f>IF(SUM(NM28,NQ28)&gt;0,SUM(NM28,NQ28),"")</f>
        <v/>
      </c>
      <c r="NZ28" s="19" t="str">
        <f>IF(SUM(NL28:NM28,NO28:NQ28,NS28)-SUM(NN28,NR28)&gt;0,SUM(NL28:NM28,NO28:NQ28,NS28)-SUM(NN28,NR28),"")</f>
        <v/>
      </c>
      <c r="OA28" s="19" t="str">
        <f>IF(SUM(NU28,NZ28)&gt;0,SUM(NU28,NZ28),"")</f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>IF(SUM(OC28,OG28)&gt;0,SUM(OC28,OG28),"")</f>
        <v/>
      </c>
      <c r="OW28" s="78" t="str">
        <f>IF(SUM(OB28:OC28,OE28:OG28,OI28)-OD28-OH28&gt;0,SUM(OB28:OC28,OE28:OG28,OI28)-OD28-OH28,"")</f>
        <v/>
      </c>
      <c r="OX28" s="78" t="str">
        <f>IF(SUM(OJ28:OK28,OM28)-OL28&gt;0,SUM(OJ28:OK28,OM28)-OL28,"")</f>
        <v/>
      </c>
      <c r="OY28" s="78" t="str">
        <f>IF(SUM(OC28,OG28,OK28)&gt;0,SUM(OC28,OG28,OK28),"")</f>
        <v/>
      </c>
      <c r="OZ28" s="78" t="str">
        <f>IF(SUM(OW28,OX28)&gt;0,SUM(OW28,OX28),"")</f>
        <v/>
      </c>
      <c r="PA28" s="78" t="str">
        <f>IF(SUM(OO28,OS28)&gt;0,SUM(OO28,OS28),"")</f>
        <v/>
      </c>
      <c r="PB28" s="78" t="str">
        <f>IF(SUM(ON28:OO28,OQ28:OS28,OU28)-SUM(OP28,OT28)&gt;0,SUM(ON28:OO28,OQ28:OS28,OU28)-SUM(OP28,OT28),"")</f>
        <v/>
      </c>
      <c r="PC28" s="78" t="str">
        <f>IF(SUM(OW28,PB28)&gt;0,SUM(OW28,PB28),"")</f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>IF(SUM(PE28,PI28)&gt;0,SUM(PE28,PI28),"")</f>
        <v/>
      </c>
      <c r="PY28" s="19" t="str">
        <f>IF(SUM(PD28:PE28,PG28:PI28,PK28)-PF28-PJ28&gt;0,SUM(PD28:PE28,PG28:PI28,PK28)-PF28-PJ28,"")</f>
        <v/>
      </c>
      <c r="PZ28" s="19" t="str">
        <f>IF(SUM(PL28:PM28,PO28)-PN28&gt;0,SUM(PL28:PM28,PO28)-PN28,"")</f>
        <v/>
      </c>
      <c r="QA28" s="19" t="str">
        <f>IF(SUM(PE28,PI28,PM28)&gt;0,SUM(PE28,PI28,PM28),"")</f>
        <v/>
      </c>
      <c r="QB28" s="19" t="str">
        <f>IF(SUM(PY28,PZ28)&gt;0,SUM(PY28,PZ28),"")</f>
        <v/>
      </c>
      <c r="QC28" s="19" t="str">
        <f>IF(SUM(PQ28,PU28)&gt;0,SUM(PQ28,PU28),"")</f>
        <v/>
      </c>
      <c r="QD28" s="19" t="str">
        <f>IF(SUM(PP28:PQ28,PS28:PU28,PW28)-SUM(PR28,PV28)&gt;0,SUM(PP28:PQ28,PS28:PU28,PW28)-SUM(PR28,PV28),"")</f>
        <v/>
      </c>
      <c r="QE28" s="19" t="str">
        <f>IF(SUM(PY28,QD28)&gt;0,SUM(PY28,QD28),"")</f>
        <v/>
      </c>
      <c r="QF28" s="37">
        <f>IF($CV28="P",CB28,(CB28+AY28)/2)</f>
        <v>8.5</v>
      </c>
      <c r="QG28" s="37">
        <f>IF($CV28="P",CC28,(CC28+AZ28)/2)</f>
        <v>1</v>
      </c>
      <c r="QH28" s="37">
        <f>IF($CV28="P",CD28,(CD28+BA28)/2)</f>
        <v>0</v>
      </c>
      <c r="QI28" s="37">
        <f>IF($CV28="P",CE28,(CE28+BB28)/2)</f>
        <v>0</v>
      </c>
      <c r="QJ28" s="37">
        <f>IF($CV28="P",CF28,(CF28+BC28)/2)</f>
        <v>8.15</v>
      </c>
      <c r="QK28" s="37">
        <f>IF($CV28="P",CG28,(CG28+BD28)/2)</f>
        <v>1.35</v>
      </c>
      <c r="QL28" s="37">
        <f>IF($CV28="P",CH28,(CH28+BE28)/2)</f>
        <v>0.3</v>
      </c>
      <c r="QM28" s="37">
        <f>IF($CV28="P",CI28,(CI28+BF28)/2)</f>
        <v>0</v>
      </c>
      <c r="QN28" s="37">
        <f>IF($CV28="P",CJ28,(CJ28+BG28)/2)</f>
        <v>9.4</v>
      </c>
      <c r="QO28" s="37">
        <f>IF($CV28="P",CK28,(CK28+BH28)/2)</f>
        <v>1.45</v>
      </c>
      <c r="QP28" s="37">
        <f>IF($CV28="P",CL28,(CL28+BI28)/2)</f>
        <v>0</v>
      </c>
      <c r="QQ28" s="37">
        <f>IF($CV28="P",CM28,(CM28+BJ28)/2)</f>
        <v>0</v>
      </c>
      <c r="QR28" s="37">
        <f>IF($CV28="P",CN28,(CN28+BK28)/2)</f>
        <v>0</v>
      </c>
      <c r="QS28" s="37">
        <f>IF($CV28="P",CO28,(CO28+BL28)/2)</f>
        <v>0</v>
      </c>
      <c r="QT28" s="37">
        <f>IF($CV28="P",CP28,(CP28+BM28)/2)</f>
        <v>0</v>
      </c>
      <c r="QU28" s="37">
        <f>IF($CV28="P",CQ28,(CQ28+BN28)/2)</f>
        <v>0</v>
      </c>
      <c r="QV28" s="37">
        <f>IF($CV28="P",CR28,(CR28+BO28)/2)</f>
        <v>0</v>
      </c>
      <c r="QW28" s="37">
        <f>IF($CV28="P",CS28,(CS28+BP28)/2)</f>
        <v>0</v>
      </c>
      <c r="QX28" s="37">
        <f>IF($CV28="P",CT28,(CT28+BQ28)/2)</f>
        <v>0</v>
      </c>
      <c r="QY28" s="37">
        <f>IF($CV28="P",CU28,(CU28+BR28)/2)</f>
        <v>0</v>
      </c>
      <c r="QZ28" s="44" t="s">
        <v>46</v>
      </c>
      <c r="RA28" s="78">
        <f>IF(SUM(QG28,QK28)&gt;0,SUM(QG28,QK28),"")</f>
        <v>2.35</v>
      </c>
      <c r="RB28" s="78">
        <f>IF(SUM(QF28:QG28,QI28:QK28,QM28)-QH28-QL28&gt;0,SUM(QF28:QG28,QI28:QK28,QM28)-QH28-QL28,"")</f>
        <v>18.7</v>
      </c>
      <c r="RC28" s="78">
        <f>IF(SUM(QN28:QO28,QQ28)-QP28&gt;0,SUM(QN28:QO28,QQ28)-QP28,"")</f>
        <v>10.85</v>
      </c>
      <c r="RD28" s="78">
        <f>IF(SUM(QG28,QK28,QO28)&gt;0,SUM(QG28,QK28,QO28),"")</f>
        <v>3.8</v>
      </c>
      <c r="RE28" s="78">
        <f>IF(SUM(RB28,RC28)&gt;0,SUM(RB28,RC28),"")</f>
        <v>29.549999999999997</v>
      </c>
      <c r="RF28" s="78" t="str">
        <f>IF(SUM(QS28,QW28)&gt;0,SUM(QS28,QW28),"")</f>
        <v/>
      </c>
      <c r="RG28" s="78" t="str">
        <f>IF(SUM(QR28:QS28,QU28:QW28,QY28)-SUM(QT28,QX28)&gt;0,SUM(QR28:QS28,QU28:QW28,QY28)-SUM(QT28,QX28),"")</f>
        <v/>
      </c>
      <c r="RH28" s="78">
        <f>IF(SUM(RB28,RG28)&gt;0,SUM(RB28,RG28),"")</f>
        <v>18.7</v>
      </c>
    </row>
    <row r="29" spans="1:476" ht="17" x14ac:dyDescent="0.2">
      <c r="S29" s="16"/>
      <c r="T29" s="16"/>
      <c r="U29" s="16"/>
    </row>
    <row r="30" spans="1:476" ht="17" x14ac:dyDescent="0.2">
      <c r="S30" s="16"/>
      <c r="T30" s="16"/>
      <c r="U30" s="16"/>
    </row>
    <row r="31" spans="1:476" ht="17" x14ac:dyDescent="0.2">
      <c r="B31" s="80" t="s">
        <v>44</v>
      </c>
      <c r="S31" s="16"/>
      <c r="T31" s="16"/>
      <c r="U31" s="16"/>
      <c r="AQ31" s="5"/>
      <c r="AX31" s="81">
        <v>10</v>
      </c>
      <c r="BT31" s="5"/>
      <c r="CA31" s="81">
        <v>10</v>
      </c>
      <c r="CW31" s="5"/>
      <c r="DD31" s="81">
        <v>10</v>
      </c>
      <c r="EB31" s="5"/>
      <c r="EI31" s="81">
        <v>1E-4</v>
      </c>
      <c r="FD31" s="5"/>
      <c r="FK31" s="81">
        <v>1E-4</v>
      </c>
      <c r="GF31" s="5"/>
      <c r="GM31" s="81">
        <v>10</v>
      </c>
      <c r="HH31" s="5"/>
      <c r="HO31" s="81">
        <v>10</v>
      </c>
      <c r="IJ31" s="5"/>
      <c r="IQ31" s="81">
        <v>10</v>
      </c>
      <c r="JL31" s="5"/>
      <c r="JS31" s="81">
        <v>10</v>
      </c>
      <c r="KN31" s="5"/>
      <c r="KU31" s="81">
        <v>10</v>
      </c>
      <c r="LP31" s="5"/>
      <c r="LW31" s="81">
        <v>10</v>
      </c>
      <c r="MR31" s="5"/>
      <c r="MY31" s="81">
        <v>10</v>
      </c>
      <c r="NT31" s="5"/>
      <c r="OA31" s="81">
        <v>10</v>
      </c>
      <c r="OV31" s="5"/>
      <c r="PC31" s="81">
        <v>10</v>
      </c>
      <c r="PX31" s="5"/>
      <c r="QE31" s="81">
        <v>10</v>
      </c>
    </row>
    <row r="32" spans="1:476" ht="17" hidden="1" x14ac:dyDescent="0.2">
      <c r="B32" s="82" t="s">
        <v>43</v>
      </c>
      <c r="S32" s="16"/>
      <c r="T32" s="16"/>
      <c r="U32" s="16"/>
      <c r="AQ32" s="5"/>
      <c r="AX32" s="83">
        <v>1000</v>
      </c>
      <c r="BT32" s="5"/>
      <c r="CA32" s="83">
        <v>1000</v>
      </c>
      <c r="CW32" s="5"/>
      <c r="DD32" s="83">
        <v>1000</v>
      </c>
      <c r="EB32" s="5"/>
      <c r="EI32" s="83">
        <v>1000</v>
      </c>
      <c r="FD32" s="5"/>
      <c r="FK32" s="83">
        <v>1000</v>
      </c>
      <c r="GF32" s="5"/>
      <c r="GM32" s="83">
        <v>1000</v>
      </c>
      <c r="HH32" s="5"/>
      <c r="HO32" s="83">
        <v>1000</v>
      </c>
      <c r="IJ32" s="5"/>
      <c r="IQ32" s="83">
        <v>1000</v>
      </c>
      <c r="JL32" s="5"/>
      <c r="JS32" s="83">
        <v>1000</v>
      </c>
      <c r="KN32" s="5"/>
      <c r="KU32" s="83">
        <v>1000</v>
      </c>
      <c r="LP32" s="5"/>
      <c r="LW32" s="83">
        <v>1000</v>
      </c>
      <c r="MR32" s="5"/>
      <c r="MY32" s="83">
        <v>1000</v>
      </c>
      <c r="NT32" s="5"/>
      <c r="OA32" s="83">
        <v>1000</v>
      </c>
      <c r="OV32" s="5"/>
      <c r="PC32" s="83">
        <v>1000</v>
      </c>
      <c r="PX32" s="5"/>
      <c r="QE32" s="83">
        <v>1000</v>
      </c>
    </row>
    <row r="33" spans="1:457" ht="17" hidden="1" x14ac:dyDescent="0.2">
      <c r="A33" s="77"/>
      <c r="B33" s="75" t="s">
        <v>55</v>
      </c>
      <c r="C33" s="84"/>
      <c r="S33" s="16"/>
      <c r="T33" s="16"/>
      <c r="U33" s="16"/>
      <c r="AQ33" s="5"/>
      <c r="AX33" s="85">
        <v>1000</v>
      </c>
      <c r="BT33" s="5"/>
      <c r="CA33" s="85">
        <v>1000</v>
      </c>
      <c r="CW33" s="5"/>
      <c r="DD33" s="85">
        <v>1000</v>
      </c>
      <c r="EB33" s="5"/>
      <c r="EI33" s="85">
        <v>1000</v>
      </c>
      <c r="FD33" s="5"/>
      <c r="FK33" s="85">
        <v>1000</v>
      </c>
      <c r="GF33" s="5"/>
      <c r="GM33" s="85">
        <v>1000</v>
      </c>
      <c r="HH33" s="5"/>
      <c r="HO33" s="85">
        <v>1000</v>
      </c>
      <c r="IJ33" s="5"/>
      <c r="IQ33" s="85">
        <v>1000</v>
      </c>
      <c r="JL33" s="5"/>
      <c r="JS33" s="85">
        <v>1000</v>
      </c>
      <c r="KN33" s="5"/>
      <c r="KU33" s="85">
        <v>1000</v>
      </c>
      <c r="LP33" s="5"/>
      <c r="LW33" s="85">
        <v>1000</v>
      </c>
      <c r="MR33" s="5"/>
      <c r="MY33" s="85">
        <v>1000</v>
      </c>
      <c r="NT33" s="5"/>
      <c r="OA33" s="85">
        <v>1000</v>
      </c>
      <c r="OV33" s="5"/>
      <c r="PC33" s="85">
        <v>1000</v>
      </c>
      <c r="PX33" s="5"/>
      <c r="QE33" s="85">
        <v>1000</v>
      </c>
    </row>
    <row r="34" spans="1:457" ht="17" hidden="1" x14ac:dyDescent="0.2">
      <c r="A34" s="77"/>
      <c r="B34" s="86" t="s">
        <v>62</v>
      </c>
      <c r="C34" s="84"/>
      <c r="S34" s="16"/>
      <c r="T34" s="16"/>
      <c r="U34" s="16"/>
      <c r="AQ34" s="5"/>
      <c r="AX34" s="96">
        <v>1000</v>
      </c>
      <c r="BT34" s="5"/>
      <c r="CA34" s="96">
        <v>1000</v>
      </c>
      <c r="CW34" s="5"/>
      <c r="DD34" s="96">
        <v>1000</v>
      </c>
      <c r="EB34" s="5"/>
      <c r="EI34" s="96">
        <v>1000</v>
      </c>
      <c r="FD34" s="5"/>
      <c r="FK34" s="96">
        <v>1000</v>
      </c>
      <c r="GF34" s="5"/>
      <c r="GM34" s="96">
        <v>1000</v>
      </c>
      <c r="HH34" s="5"/>
      <c r="HO34" s="96">
        <v>1000</v>
      </c>
      <c r="IJ34" s="5"/>
      <c r="IQ34" s="96">
        <v>1000</v>
      </c>
      <c r="JL34" s="5"/>
      <c r="JS34" s="96">
        <v>1000</v>
      </c>
      <c r="KN34" s="5"/>
      <c r="KU34" s="96">
        <v>1000</v>
      </c>
      <c r="LP34" s="5"/>
      <c r="LW34" s="96">
        <v>1000</v>
      </c>
      <c r="MR34" s="5"/>
      <c r="MY34" s="96">
        <v>1000</v>
      </c>
      <c r="NT34" s="5"/>
      <c r="OA34" s="96">
        <v>1000</v>
      </c>
      <c r="OV34" s="5"/>
      <c r="PC34" s="96">
        <v>1000</v>
      </c>
      <c r="PX34" s="5"/>
      <c r="QE34" s="96">
        <v>1000</v>
      </c>
    </row>
    <row r="35" spans="1:457" ht="17" x14ac:dyDescent="0.2">
      <c r="A35" s="77"/>
      <c r="B35" s="88" t="s">
        <v>41</v>
      </c>
      <c r="C35" s="84"/>
      <c r="S35" s="16"/>
      <c r="T35" s="16"/>
      <c r="U35" s="16"/>
      <c r="AQ35" s="5"/>
      <c r="AX35" s="97">
        <v>46.8</v>
      </c>
      <c r="BT35" s="5"/>
      <c r="CA35" s="97">
        <v>46.8</v>
      </c>
      <c r="CW35" s="5"/>
      <c r="DD35" s="97">
        <v>46.8</v>
      </c>
      <c r="EB35" s="5"/>
      <c r="EF35" s="66" t="s">
        <v>173</v>
      </c>
      <c r="EI35" s="97">
        <v>2.0000000000000001E-4</v>
      </c>
      <c r="FD35" s="5"/>
      <c r="FH35" s="66" t="s">
        <v>173</v>
      </c>
      <c r="FK35" s="97">
        <v>2.0000000000000001E-4</v>
      </c>
      <c r="GF35" s="5"/>
      <c r="GM35" s="97">
        <v>46.8</v>
      </c>
      <c r="HH35" s="5"/>
      <c r="HO35" s="97">
        <v>46.8</v>
      </c>
      <c r="IJ35" s="5"/>
      <c r="IQ35" s="97">
        <v>46.8</v>
      </c>
      <c r="JL35" s="5"/>
      <c r="JS35" s="97">
        <v>46.8</v>
      </c>
      <c r="KN35" s="5"/>
      <c r="KU35" s="97">
        <v>46.8</v>
      </c>
      <c r="LP35" s="5"/>
      <c r="LW35" s="97">
        <v>46.8</v>
      </c>
      <c r="MR35" s="5"/>
      <c r="MY35" s="97">
        <v>46.8</v>
      </c>
      <c r="NT35" s="5"/>
      <c r="OA35" s="97">
        <v>46.8</v>
      </c>
      <c r="OV35" s="5"/>
      <c r="PC35" s="97">
        <v>46.8</v>
      </c>
      <c r="PX35" s="5"/>
      <c r="QE35" s="97">
        <v>46.8</v>
      </c>
    </row>
    <row r="36" spans="1:457" ht="17" hidden="1" x14ac:dyDescent="0.2">
      <c r="A36" s="77"/>
      <c r="B36" s="90" t="s">
        <v>42</v>
      </c>
      <c r="C36" s="84"/>
      <c r="S36" s="16"/>
      <c r="T36" s="16"/>
      <c r="U36" s="16"/>
      <c r="AQ36" s="5"/>
      <c r="AX36" s="91">
        <v>1000</v>
      </c>
      <c r="BT36" s="5"/>
      <c r="CA36" s="91">
        <v>1000</v>
      </c>
      <c r="CW36" s="5"/>
      <c r="DD36" s="91">
        <v>1000</v>
      </c>
      <c r="EB36" s="5"/>
      <c r="EI36" s="91">
        <v>1000</v>
      </c>
      <c r="FD36" s="5"/>
      <c r="FK36" s="91">
        <v>1000</v>
      </c>
      <c r="GF36" s="5"/>
      <c r="GM36" s="91">
        <v>1000</v>
      </c>
      <c r="HH36" s="5"/>
      <c r="HO36" s="91">
        <v>1000</v>
      </c>
      <c r="IJ36" s="5"/>
      <c r="IQ36" s="91">
        <v>1000</v>
      </c>
      <c r="JL36" s="5"/>
      <c r="JS36" s="91">
        <v>1000</v>
      </c>
      <c r="KN36" s="5"/>
      <c r="KU36" s="91">
        <v>1000</v>
      </c>
      <c r="LP36" s="5"/>
      <c r="LW36" s="91">
        <v>1000</v>
      </c>
      <c r="MR36" s="5"/>
      <c r="MY36" s="91">
        <v>1000</v>
      </c>
      <c r="NT36" s="5"/>
      <c r="OA36" s="91">
        <v>1000</v>
      </c>
      <c r="OV36" s="5"/>
      <c r="PC36" s="91">
        <v>1000</v>
      </c>
      <c r="PX36" s="5"/>
      <c r="QE36" s="91">
        <v>1000</v>
      </c>
    </row>
    <row r="37" spans="1:457" ht="17" hidden="1" x14ac:dyDescent="0.2">
      <c r="A37" s="77"/>
      <c r="B37" s="92" t="s">
        <v>54</v>
      </c>
      <c r="C37" s="84"/>
      <c r="S37" s="16"/>
      <c r="T37" s="16"/>
      <c r="U37" s="16"/>
      <c r="AQ37" s="5"/>
      <c r="AX37" s="93">
        <v>1000</v>
      </c>
      <c r="BT37" s="5"/>
      <c r="CA37" s="93">
        <v>1000</v>
      </c>
      <c r="CW37" s="5"/>
      <c r="DD37" s="93">
        <v>1000</v>
      </c>
      <c r="EB37" s="5"/>
      <c r="EI37" s="93">
        <v>1000</v>
      </c>
      <c r="FD37" s="5"/>
      <c r="FK37" s="93">
        <v>1000</v>
      </c>
      <c r="GF37" s="5"/>
      <c r="GM37" s="93">
        <v>1000</v>
      </c>
      <c r="HH37" s="5"/>
      <c r="HO37" s="93">
        <v>1000</v>
      </c>
      <c r="IJ37" s="5"/>
      <c r="IQ37" s="93">
        <v>1000</v>
      </c>
      <c r="JL37" s="5"/>
      <c r="JS37" s="93">
        <v>1000</v>
      </c>
      <c r="KN37" s="5"/>
      <c r="KU37" s="93">
        <v>1000</v>
      </c>
      <c r="LP37" s="5"/>
      <c r="LW37" s="93">
        <v>1000</v>
      </c>
      <c r="MR37" s="5"/>
      <c r="MY37" s="93">
        <v>1000</v>
      </c>
      <c r="NT37" s="5"/>
      <c r="OA37" s="93">
        <v>1000</v>
      </c>
      <c r="OV37" s="5"/>
      <c r="PC37" s="93">
        <v>1000</v>
      </c>
      <c r="PX37" s="5"/>
      <c r="QE37" s="93">
        <v>1000</v>
      </c>
    </row>
    <row r="38" spans="1:457" ht="17" hidden="1" x14ac:dyDescent="0.2">
      <c r="A38" s="77"/>
      <c r="B38" s="94" t="s">
        <v>28</v>
      </c>
      <c r="C38" s="84"/>
      <c r="S38" s="16"/>
      <c r="T38" s="16"/>
      <c r="U38" s="16"/>
      <c r="AQ38" s="5"/>
      <c r="AX38" s="95">
        <v>1000</v>
      </c>
      <c r="BT38" s="5"/>
      <c r="CA38" s="95">
        <v>1000</v>
      </c>
      <c r="CW38" s="5"/>
      <c r="DD38" s="95">
        <v>1000</v>
      </c>
      <c r="EB38" s="5"/>
      <c r="EI38" s="95">
        <v>1000</v>
      </c>
      <c r="FD38" s="5"/>
      <c r="FK38" s="95">
        <v>1000</v>
      </c>
      <c r="GF38" s="5"/>
      <c r="GM38" s="95">
        <v>1000</v>
      </c>
      <c r="HH38" s="5"/>
      <c r="HO38" s="95">
        <v>1000</v>
      </c>
      <c r="IJ38" s="5"/>
      <c r="IQ38" s="95">
        <v>1000</v>
      </c>
      <c r="JL38" s="5"/>
      <c r="JS38" s="95">
        <v>1000</v>
      </c>
      <c r="KN38" s="5"/>
      <c r="KU38" s="95">
        <v>1000</v>
      </c>
      <c r="LP38" s="5"/>
      <c r="LW38" s="95">
        <v>1000</v>
      </c>
      <c r="MR38" s="5"/>
      <c r="MY38" s="95">
        <v>1000</v>
      </c>
      <c r="NT38" s="5"/>
      <c r="OA38" s="95">
        <v>1000</v>
      </c>
      <c r="OV38" s="5"/>
      <c r="PC38" s="95">
        <v>1000</v>
      </c>
      <c r="PX38" s="5"/>
      <c r="QE38" s="95">
        <v>1000</v>
      </c>
    </row>
    <row r="39" spans="1:457" x14ac:dyDescent="0.2">
      <c r="B39" s="46" t="s">
        <v>47</v>
      </c>
      <c r="C39" s="2"/>
    </row>
    <row r="40" spans="1:457" x14ac:dyDescent="0.2">
      <c r="A40" s="77"/>
      <c r="B40" s="77"/>
      <c r="C40" s="84"/>
      <c r="QG40" s="2"/>
      <c r="QH40" s="2"/>
      <c r="QI40" s="2"/>
      <c r="QJ40" s="2"/>
      <c r="QK40" s="2"/>
      <c r="QL40" s="2"/>
      <c r="QM40" s="2"/>
      <c r="QN40" s="2"/>
      <c r="QO40" s="2"/>
    </row>
    <row r="41" spans="1:457" x14ac:dyDescent="0.2">
      <c r="A41" s="77"/>
      <c r="B41" s="77"/>
      <c r="C41" s="84"/>
    </row>
    <row r="42" spans="1:457" x14ac:dyDescent="0.2">
      <c r="A42" s="77"/>
      <c r="B42" s="77"/>
      <c r="C42" s="84"/>
    </row>
    <row r="43" spans="1:457" x14ac:dyDescent="0.2">
      <c r="A43" s="77"/>
      <c r="B43" s="77"/>
      <c r="C43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8">
      <sortCondition descending="1" ref="F1:F29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8">
    <cfRule type="expression" dxfId="27" priority="1" stopIfTrue="1">
      <formula>IF($AP4&lt;&gt;"",1,0)</formula>
    </cfRule>
  </conditionalFormatting>
  <conditionalFormatting sqref="AY4:CA28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8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AX$31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AX$35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AX$31</formula>
      <formula>AX$32</formula>
    </cfRule>
    <cfRule type="cellIs" dxfId="12" priority="49934" operator="between">
      <formula>AX$32</formula>
      <formula>AX$33</formula>
    </cfRule>
    <cfRule type="cellIs" dxfId="11" priority="49935" operator="between">
      <formula>AX$33</formula>
      <formula>AX$34</formula>
    </cfRule>
    <cfRule type="cellIs" dxfId="10" priority="49936" operator="between">
      <formula>AX$34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AX$35</formula>
      <formula>AX$36</formula>
    </cfRule>
    <cfRule type="cellIs" dxfId="8" priority="50114" operator="between">
      <formula>AX$36</formula>
      <formula>AX$37</formula>
    </cfRule>
    <cfRule type="cellIs" dxfId="7" priority="50115" operator="between">
      <formula>AX$37</formula>
      <formula>AX$38</formula>
    </cfRule>
    <cfRule type="cellIs" dxfId="6" priority="50116" operator="between">
      <formula>AX$38</formula>
      <formula>1000</formula>
    </cfRule>
  </conditionalFormatting>
  <conditionalFormatting sqref="AU36:AU1048576 BX36:BX1048576 EF36:EF1048576 FH36:FH1048576 BX1:BX34 DA1:DA1048576 EF1:EF34 FH1:FH34 GJ1:GJ1048576 HL1:HL1048576 IN1:IN1048576 JP1:JP1048576 KR1:KR1048576 LT1:LT1048576 MV1:MV1048576 NX1:NX1048576 OZ1:OZ1048576 QB1:QB1048576 AU1:AU34">
    <cfRule type="cellIs" dxfId="5" priority="50293" operator="between">
      <formula>AX$38</formula>
      <formula>1000</formula>
    </cfRule>
    <cfRule type="cellIs" dxfId="4" priority="50294" operator="between">
      <formula>AX$37</formula>
      <formula>AX$38</formula>
    </cfRule>
    <cfRule type="cellIs" dxfId="3" priority="50295" operator="between">
      <formula>AX$36</formula>
      <formula>AX$37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AX$34</formula>
      <formula>1000</formula>
    </cfRule>
    <cfRule type="cellIs" dxfId="1" priority="50429" operator="between">
      <formula>AX$33</formula>
      <formula>AX$34</formula>
    </cfRule>
    <cfRule type="cellIs" dxfId="0" priority="50430" operator="between">
      <formula>AX$32</formula>
      <formula>AX$33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2022-09-30T00:55:49Z</dcterms:modified>
</cp:coreProperties>
</file>