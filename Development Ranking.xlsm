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52EAE4E-DBC5-4B43-8943-DD4734CF981D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'DMT-M'!$A$1:$MT$10</definedName>
    <definedName name="_xlnm._FilterDatabase" localSheetId="6" hidden="1">'DMT-W'!$A$1:$MT$5</definedName>
    <definedName name="_xlnm._FilterDatabase" localSheetId="1" hidden="1">'TRA-M'!$A$1:$OQ$10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21" i="12" l="1"/>
  <c r="AI21" i="12"/>
  <c r="AJ21" i="12"/>
  <c r="AK21" i="12"/>
  <c r="BD21" i="12"/>
  <c r="BE21" i="12"/>
  <c r="BF21" i="12"/>
  <c r="BG21" i="12"/>
  <c r="BZ21" i="12"/>
  <c r="CA21" i="12"/>
  <c r="CB21" i="12"/>
  <c r="CC21" i="12"/>
  <c r="CW21" i="12"/>
  <c r="CX21" i="12"/>
  <c r="CY21" i="12"/>
  <c r="CZ21" i="12"/>
  <c r="DR21" i="12"/>
  <c r="DS21" i="12"/>
  <c r="DT21" i="12"/>
  <c r="DU21" i="12"/>
  <c r="EM21" i="12"/>
  <c r="EN21" i="12"/>
  <c r="EO21" i="12"/>
  <c r="EP21" i="12"/>
  <c r="FH21" i="12"/>
  <c r="FI21" i="12"/>
  <c r="FJ21" i="12"/>
  <c r="FK21" i="12"/>
  <c r="GC21" i="12"/>
  <c r="GD21" i="12"/>
  <c r="GE21" i="12"/>
  <c r="GF21" i="12"/>
  <c r="GX21" i="12"/>
  <c r="GY21" i="12"/>
  <c r="GZ21" i="12"/>
  <c r="HA21" i="12"/>
  <c r="HS21" i="12"/>
  <c r="HT21" i="12"/>
  <c r="HU21" i="12"/>
  <c r="HV21" i="12"/>
  <c r="IN21" i="12"/>
  <c r="IO21" i="12"/>
  <c r="IP21" i="12"/>
  <c r="IQ21" i="12"/>
  <c r="JI21" i="12"/>
  <c r="JJ21" i="12"/>
  <c r="JK21" i="12"/>
  <c r="JL21" i="12"/>
  <c r="KD21" i="12"/>
  <c r="KE21" i="12"/>
  <c r="KF21" i="12"/>
  <c r="KG21" i="12"/>
  <c r="KY21" i="12"/>
  <c r="KZ21" i="12"/>
  <c r="LA21" i="12"/>
  <c r="LB21" i="12"/>
  <c r="LT21" i="12"/>
  <c r="LU21" i="12"/>
  <c r="LV21" i="12"/>
  <c r="LW21" i="12"/>
  <c r="LY21" i="12"/>
  <c r="LZ21" i="12"/>
  <c r="MA21" i="12"/>
  <c r="MB21" i="12"/>
  <c r="MC21" i="12"/>
  <c r="MD21" i="12"/>
  <c r="ME21" i="12"/>
  <c r="MF21" i="12"/>
  <c r="MG21" i="12"/>
  <c r="MH21" i="12"/>
  <c r="MI21" i="12"/>
  <c r="MJ21" i="12"/>
  <c r="MK21" i="12"/>
  <c r="ML21" i="12"/>
  <c r="MM21" i="12"/>
  <c r="MN21" i="12"/>
  <c r="AH24" i="6"/>
  <c r="AI24" i="6"/>
  <c r="AJ24" i="6"/>
  <c r="AK24" i="6"/>
  <c r="BD24" i="6"/>
  <c r="BE24" i="6"/>
  <c r="BF24" i="6"/>
  <c r="BG24" i="6"/>
  <c r="BZ24" i="6"/>
  <c r="CA24" i="6"/>
  <c r="CB24" i="6"/>
  <c r="CC24" i="6"/>
  <c r="CW24" i="6"/>
  <c r="CX24" i="6"/>
  <c r="CY24" i="6"/>
  <c r="CZ24" i="6"/>
  <c r="DR24" i="6"/>
  <c r="DS24" i="6"/>
  <c r="DT24" i="6"/>
  <c r="DU24" i="6"/>
  <c r="EM24" i="6"/>
  <c r="EN24" i="6"/>
  <c r="EO24" i="6"/>
  <c r="EP24" i="6"/>
  <c r="FH24" i="6"/>
  <c r="FI24" i="6"/>
  <c r="FJ24" i="6"/>
  <c r="FK24" i="6"/>
  <c r="GC24" i="6"/>
  <c r="GD24" i="6"/>
  <c r="GE24" i="6"/>
  <c r="GF24" i="6"/>
  <c r="GX24" i="6"/>
  <c r="GY24" i="6"/>
  <c r="GZ24" i="6"/>
  <c r="HA24" i="6"/>
  <c r="HS24" i="6"/>
  <c r="HT24" i="6"/>
  <c r="HU24" i="6"/>
  <c r="HV24" i="6"/>
  <c r="IN24" i="6"/>
  <c r="IO24" i="6"/>
  <c r="IP24" i="6"/>
  <c r="IQ24" i="6"/>
  <c r="JI24" i="6"/>
  <c r="JJ24" i="6"/>
  <c r="JK24" i="6"/>
  <c r="JL24" i="6"/>
  <c r="KD24" i="6"/>
  <c r="KE24" i="6"/>
  <c r="KF24" i="6"/>
  <c r="KG24" i="6"/>
  <c r="KY24" i="6"/>
  <c r="KZ24" i="6"/>
  <c r="LA24" i="6"/>
  <c r="LB24" i="6"/>
  <c r="LT24" i="6"/>
  <c r="LU24" i="6"/>
  <c r="LV24" i="6"/>
  <c r="LW24" i="6"/>
  <c r="LY24" i="6"/>
  <c r="LZ24" i="6"/>
  <c r="MA24" i="6"/>
  <c r="MB24" i="6"/>
  <c r="MC24" i="6"/>
  <c r="MD24" i="6"/>
  <c r="ME24" i="6"/>
  <c r="MF24" i="6"/>
  <c r="MG24" i="6"/>
  <c r="MH24" i="6"/>
  <c r="MI24" i="6"/>
  <c r="MJ24" i="6"/>
  <c r="MK24" i="6"/>
  <c r="ML24" i="6"/>
  <c r="MM24" i="6"/>
  <c r="MN24" i="6"/>
  <c r="AH22" i="6"/>
  <c r="AI22" i="6"/>
  <c r="AJ22" i="6"/>
  <c r="AK22" i="6"/>
  <c r="BD22" i="6"/>
  <c r="BE22" i="6"/>
  <c r="BF22" i="6"/>
  <c r="BG22" i="6"/>
  <c r="BZ22" i="6"/>
  <c r="CA22" i="6"/>
  <c r="CB22" i="6"/>
  <c r="CC22" i="6"/>
  <c r="CW22" i="6"/>
  <c r="CX22" i="6"/>
  <c r="CY22" i="6"/>
  <c r="CZ22" i="6"/>
  <c r="DR22" i="6"/>
  <c r="DS22" i="6"/>
  <c r="DT22" i="6"/>
  <c r="DU22" i="6"/>
  <c r="EM22" i="6"/>
  <c r="EN22" i="6"/>
  <c r="EO22" i="6"/>
  <c r="EP22" i="6"/>
  <c r="FH22" i="6"/>
  <c r="FI22" i="6"/>
  <c r="FJ22" i="6"/>
  <c r="FK22" i="6"/>
  <c r="GC22" i="6"/>
  <c r="GD22" i="6"/>
  <c r="GE22" i="6"/>
  <c r="GF22" i="6"/>
  <c r="GX22" i="6"/>
  <c r="GY22" i="6"/>
  <c r="GZ22" i="6"/>
  <c r="HA22" i="6"/>
  <c r="HS22" i="6"/>
  <c r="HT22" i="6"/>
  <c r="HU22" i="6"/>
  <c r="HV22" i="6"/>
  <c r="IN22" i="6"/>
  <c r="IO22" i="6"/>
  <c r="IP22" i="6"/>
  <c r="IQ22" i="6"/>
  <c r="JI22" i="6"/>
  <c r="JJ22" i="6"/>
  <c r="JK22" i="6"/>
  <c r="JL22" i="6"/>
  <c r="KD22" i="6"/>
  <c r="KE22" i="6"/>
  <c r="KF22" i="6"/>
  <c r="KG22" i="6"/>
  <c r="KY22" i="6"/>
  <c r="KZ22" i="6"/>
  <c r="LA22" i="6"/>
  <c r="LB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AH13" i="8"/>
  <c r="AI13" i="8"/>
  <c r="AJ13" i="8"/>
  <c r="AK13" i="8"/>
  <c r="BD13" i="8"/>
  <c r="BE13" i="8"/>
  <c r="BF13" i="8"/>
  <c r="BG13" i="8"/>
  <c r="BZ13" i="8"/>
  <c r="CA13" i="8"/>
  <c r="CB13" i="8"/>
  <c r="CC13" i="8"/>
  <c r="CW13" i="8"/>
  <c r="CX13" i="8"/>
  <c r="CY13" i="8"/>
  <c r="CZ13" i="8"/>
  <c r="DR13" i="8"/>
  <c r="DS13" i="8"/>
  <c r="DT13" i="8"/>
  <c r="DU13" i="8"/>
  <c r="EM13" i="8"/>
  <c r="EN13" i="8"/>
  <c r="EO13" i="8"/>
  <c r="EP13" i="8"/>
  <c r="FH13" i="8"/>
  <c r="FI13" i="8"/>
  <c r="FJ13" i="8"/>
  <c r="FK13" i="8"/>
  <c r="GC13" i="8"/>
  <c r="GD13" i="8"/>
  <c r="GE13" i="8"/>
  <c r="GF13" i="8"/>
  <c r="GX13" i="8"/>
  <c r="GY13" i="8"/>
  <c r="GZ13" i="8"/>
  <c r="HA13" i="8"/>
  <c r="HS13" i="8"/>
  <c r="HT13" i="8"/>
  <c r="HU13" i="8"/>
  <c r="HV13" i="8"/>
  <c r="IN13" i="8"/>
  <c r="IO13" i="8"/>
  <c r="IP13" i="8"/>
  <c r="IQ13" i="8"/>
  <c r="JI13" i="8"/>
  <c r="JJ13" i="8"/>
  <c r="JK13" i="8"/>
  <c r="JL13" i="8"/>
  <c r="KD13" i="8"/>
  <c r="KE13" i="8"/>
  <c r="KF13" i="8"/>
  <c r="KG13" i="8"/>
  <c r="KY13" i="8"/>
  <c r="KZ13" i="8"/>
  <c r="LA13" i="8"/>
  <c r="LB13" i="8"/>
  <c r="LT13" i="8"/>
  <c r="LU13" i="8"/>
  <c r="LV13" i="8"/>
  <c r="LW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AH14" i="8"/>
  <c r="AI14" i="8"/>
  <c r="AJ14" i="8"/>
  <c r="AK14" i="8"/>
  <c r="BD14" i="8"/>
  <c r="BE14" i="8"/>
  <c r="BF14" i="8"/>
  <c r="BG14" i="8"/>
  <c r="BZ14" i="8"/>
  <c r="CA14" i="8"/>
  <c r="CB14" i="8"/>
  <c r="CC14" i="8"/>
  <c r="CW14" i="8"/>
  <c r="CX14" i="8"/>
  <c r="CY14" i="8"/>
  <c r="CZ14" i="8"/>
  <c r="DR14" i="8"/>
  <c r="DS14" i="8"/>
  <c r="DT14" i="8"/>
  <c r="DU14" i="8"/>
  <c r="EM14" i="8"/>
  <c r="EN14" i="8"/>
  <c r="EO14" i="8"/>
  <c r="EP14" i="8"/>
  <c r="FH14" i="8"/>
  <c r="FI14" i="8"/>
  <c r="FJ14" i="8"/>
  <c r="FK14" i="8"/>
  <c r="GC14" i="8"/>
  <c r="GD14" i="8"/>
  <c r="GE14" i="8"/>
  <c r="GF14" i="8"/>
  <c r="GX14" i="8"/>
  <c r="GY14" i="8"/>
  <c r="GZ14" i="8"/>
  <c r="HA14" i="8"/>
  <c r="HS14" i="8"/>
  <c r="HT14" i="8"/>
  <c r="HU14" i="8"/>
  <c r="HV14" i="8"/>
  <c r="IN14" i="8"/>
  <c r="IO14" i="8"/>
  <c r="IP14" i="8"/>
  <c r="IQ14" i="8"/>
  <c r="JI14" i="8"/>
  <c r="JJ14" i="8"/>
  <c r="JK14" i="8"/>
  <c r="JL14" i="8"/>
  <c r="KD14" i="8"/>
  <c r="KE14" i="8"/>
  <c r="KF14" i="8"/>
  <c r="KG14" i="8"/>
  <c r="KY14" i="8"/>
  <c r="KZ14" i="8"/>
  <c r="LA14" i="8"/>
  <c r="LB14" i="8"/>
  <c r="LT14" i="8"/>
  <c r="LU14" i="8"/>
  <c r="LV14" i="8"/>
  <c r="LW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AQ27" i="14"/>
  <c r="AR27" i="14"/>
  <c r="AS27" i="14"/>
  <c r="AT27" i="14"/>
  <c r="AU27" i="14"/>
  <c r="AW27" i="14"/>
  <c r="AX27" i="14"/>
  <c r="BU27" i="14"/>
  <c r="BV27" i="14"/>
  <c r="BW27" i="14"/>
  <c r="BX27" i="14"/>
  <c r="BY27" i="14"/>
  <c r="CA27" i="14"/>
  <c r="CB27" i="14"/>
  <c r="CY27" i="14"/>
  <c r="CZ27" i="14"/>
  <c r="DA27" i="14"/>
  <c r="DB27" i="14"/>
  <c r="DC27" i="14"/>
  <c r="DE27" i="14"/>
  <c r="DF27" i="14"/>
  <c r="EA27" i="14"/>
  <c r="EB27" i="14"/>
  <c r="EC27" i="14"/>
  <c r="EE27" i="14"/>
  <c r="EF27" i="14"/>
  <c r="EW27" i="14"/>
  <c r="EX27" i="14"/>
  <c r="EY27" i="14"/>
  <c r="FA27" i="14"/>
  <c r="FB27" i="14"/>
  <c r="FS27" i="14"/>
  <c r="FT27" i="14"/>
  <c r="FU27" i="14"/>
  <c r="FW27" i="14"/>
  <c r="FX27" i="14"/>
  <c r="GO27" i="14"/>
  <c r="GP27" i="14"/>
  <c r="GQ27" i="14"/>
  <c r="GS27" i="14"/>
  <c r="GT27" i="14"/>
  <c r="HK27" i="14"/>
  <c r="HL27" i="14"/>
  <c r="HM27" i="14"/>
  <c r="HO27" i="14"/>
  <c r="HP27" i="14"/>
  <c r="IG27" i="14"/>
  <c r="IH27" i="14"/>
  <c r="II27" i="14"/>
  <c r="IK27" i="14"/>
  <c r="IL27" i="14"/>
  <c r="JC27" i="14"/>
  <c r="JD27" i="14"/>
  <c r="JE27" i="14"/>
  <c r="JG27" i="14"/>
  <c r="JH27" i="14"/>
  <c r="JY27" i="14"/>
  <c r="JZ27" i="14"/>
  <c r="KA27" i="14"/>
  <c r="KC27" i="14"/>
  <c r="KD27" i="14"/>
  <c r="KU27" i="14"/>
  <c r="KV27" i="14"/>
  <c r="KW27" i="14"/>
  <c r="KY27" i="14"/>
  <c r="KZ27" i="14"/>
  <c r="LQ27" i="14"/>
  <c r="LR27" i="14"/>
  <c r="LS27" i="14"/>
  <c r="LU27" i="14"/>
  <c r="LV27" i="14"/>
  <c r="MM27" i="14"/>
  <c r="MN27" i="14"/>
  <c r="MO27" i="14"/>
  <c r="MQ27" i="14"/>
  <c r="MR27" i="14"/>
  <c r="NI27" i="14"/>
  <c r="NJ27" i="14"/>
  <c r="NK27" i="14"/>
  <c r="NM27" i="14"/>
  <c r="NN27" i="14"/>
  <c r="NP27" i="14"/>
  <c r="NQ27" i="14"/>
  <c r="NR27" i="14"/>
  <c r="NS27" i="14"/>
  <c r="NT27" i="14"/>
  <c r="NU27" i="14"/>
  <c r="NV27" i="14"/>
  <c r="NW27" i="14"/>
  <c r="OL27" i="14" s="1"/>
  <c r="NX27" i="14"/>
  <c r="NY27" i="14"/>
  <c r="NZ27" i="14"/>
  <c r="OA27" i="14"/>
  <c r="OB27" i="14"/>
  <c r="OC27" i="14"/>
  <c r="OD27" i="14"/>
  <c r="OE27" i="14"/>
  <c r="OF27" i="14"/>
  <c r="OG27" i="14"/>
  <c r="OQ27" i="14" s="1"/>
  <c r="OH27" i="14"/>
  <c r="OI27" i="14"/>
  <c r="ON27" i="14"/>
  <c r="AH19" i="6"/>
  <c r="AI19" i="6"/>
  <c r="AJ19" i="6"/>
  <c r="AK19" i="6"/>
  <c r="BD19" i="6"/>
  <c r="BE19" i="6"/>
  <c r="BF19" i="6"/>
  <c r="BG19" i="6"/>
  <c r="BZ19" i="6"/>
  <c r="CA19" i="6"/>
  <c r="CB19" i="6"/>
  <c r="CC19" i="6"/>
  <c r="CW19" i="6"/>
  <c r="CX19" i="6"/>
  <c r="CY19" i="6"/>
  <c r="CZ19" i="6"/>
  <c r="DR19" i="6"/>
  <c r="DS19" i="6"/>
  <c r="DT19" i="6"/>
  <c r="DU19" i="6"/>
  <c r="EM19" i="6"/>
  <c r="EN19" i="6"/>
  <c r="EO19" i="6"/>
  <c r="EP19" i="6"/>
  <c r="FH19" i="6"/>
  <c r="FI19" i="6"/>
  <c r="FJ19" i="6"/>
  <c r="FK19" i="6"/>
  <c r="GC19" i="6"/>
  <c r="GD19" i="6"/>
  <c r="GE19" i="6"/>
  <c r="GF19" i="6"/>
  <c r="GX19" i="6"/>
  <c r="GY19" i="6"/>
  <c r="GZ19" i="6"/>
  <c r="HA19" i="6"/>
  <c r="HS19" i="6"/>
  <c r="HT19" i="6"/>
  <c r="HU19" i="6"/>
  <c r="HV19" i="6"/>
  <c r="IN19" i="6"/>
  <c r="IO19" i="6"/>
  <c r="IP19" i="6"/>
  <c r="IQ19" i="6"/>
  <c r="JI19" i="6"/>
  <c r="JJ19" i="6"/>
  <c r="JK19" i="6"/>
  <c r="JL19" i="6"/>
  <c r="KD19" i="6"/>
  <c r="KE19" i="6"/>
  <c r="KF19" i="6"/>
  <c r="KG19" i="6"/>
  <c r="KY19" i="6"/>
  <c r="KZ19" i="6"/>
  <c r="LA19" i="6"/>
  <c r="LB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BG22" i="12"/>
  <c r="BF22" i="12"/>
  <c r="BE22" i="12"/>
  <c r="BD22" i="12"/>
  <c r="BG14" i="12"/>
  <c r="BF14" i="12"/>
  <c r="BE14" i="12"/>
  <c r="BD14" i="12"/>
  <c r="BG13" i="12"/>
  <c r="BF13" i="12"/>
  <c r="BE13" i="12"/>
  <c r="BD13" i="12"/>
  <c r="BG19" i="12"/>
  <c r="BF19" i="12"/>
  <c r="BE19" i="12"/>
  <c r="BD19" i="12"/>
  <c r="BG12" i="12"/>
  <c r="BF12" i="12"/>
  <c r="BE12" i="12"/>
  <c r="BD12" i="12"/>
  <c r="BG10" i="12"/>
  <c r="BF10" i="12"/>
  <c r="BE10" i="12"/>
  <c r="BD10" i="12"/>
  <c r="BG23" i="12"/>
  <c r="BF23" i="12"/>
  <c r="BE23" i="12"/>
  <c r="BD23" i="12"/>
  <c r="BG18" i="12"/>
  <c r="BF18" i="12"/>
  <c r="BE18" i="12"/>
  <c r="BD18" i="12"/>
  <c r="BG17" i="12"/>
  <c r="BF17" i="12"/>
  <c r="BE17" i="12"/>
  <c r="BD17" i="12"/>
  <c r="BG16" i="12"/>
  <c r="BF16" i="12"/>
  <c r="BE16" i="12"/>
  <c r="BD16" i="12"/>
  <c r="BG15" i="12"/>
  <c r="BF15" i="12"/>
  <c r="BE15" i="12"/>
  <c r="BD15" i="12"/>
  <c r="BG11" i="12"/>
  <c r="BF11" i="12"/>
  <c r="BE11" i="12"/>
  <c r="BD11" i="12"/>
  <c r="BG9" i="12"/>
  <c r="BF9" i="12"/>
  <c r="BE9" i="12"/>
  <c r="BD9" i="12"/>
  <c r="BG8" i="12"/>
  <c r="BF8" i="12"/>
  <c r="BE8" i="12"/>
  <c r="BD8" i="12"/>
  <c r="BG6" i="12"/>
  <c r="BF6" i="12"/>
  <c r="BE6" i="12"/>
  <c r="BD6" i="12"/>
  <c r="BG20" i="12"/>
  <c r="BF20" i="12"/>
  <c r="BE20" i="12"/>
  <c r="BD20" i="12"/>
  <c r="BG5" i="12"/>
  <c r="BF5" i="12"/>
  <c r="BE5" i="12"/>
  <c r="BD5" i="12"/>
  <c r="BG7" i="12"/>
  <c r="BF7" i="12"/>
  <c r="BE7" i="12"/>
  <c r="BD7" i="12"/>
  <c r="BG4" i="12"/>
  <c r="BF4" i="12"/>
  <c r="BE4" i="12"/>
  <c r="BD4" i="12"/>
  <c r="AK22" i="12"/>
  <c r="AJ22" i="12"/>
  <c r="AI22" i="12"/>
  <c r="AH22" i="12"/>
  <c r="AK14" i="12"/>
  <c r="AJ14" i="12"/>
  <c r="AI14" i="12"/>
  <c r="AH14" i="12"/>
  <c r="AK13" i="12"/>
  <c r="AJ13" i="12"/>
  <c r="AI13" i="12"/>
  <c r="AH13" i="12"/>
  <c r="AK19" i="12"/>
  <c r="AJ19" i="12"/>
  <c r="AI19" i="12"/>
  <c r="AH19" i="12"/>
  <c r="AK12" i="12"/>
  <c r="AJ12" i="12"/>
  <c r="AI12" i="12"/>
  <c r="AH12" i="12"/>
  <c r="AK10" i="12"/>
  <c r="AJ10" i="12"/>
  <c r="AI10" i="12"/>
  <c r="AH10" i="12"/>
  <c r="AK23" i="12"/>
  <c r="AJ23" i="12"/>
  <c r="AI23" i="12"/>
  <c r="AH23" i="12"/>
  <c r="AK18" i="12"/>
  <c r="AJ18" i="12"/>
  <c r="AI18" i="12"/>
  <c r="AH18" i="12"/>
  <c r="AK17" i="12"/>
  <c r="AJ17" i="12"/>
  <c r="AI17" i="12"/>
  <c r="AH17" i="12"/>
  <c r="AK16" i="12"/>
  <c r="AJ16" i="12"/>
  <c r="AI16" i="12"/>
  <c r="AH16" i="12"/>
  <c r="AK15" i="12"/>
  <c r="AJ15" i="12"/>
  <c r="AI15" i="12"/>
  <c r="AH15" i="12"/>
  <c r="AK11" i="12"/>
  <c r="AJ11" i="12"/>
  <c r="AI11" i="12"/>
  <c r="AH11" i="12"/>
  <c r="AK9" i="12"/>
  <c r="AJ9" i="12"/>
  <c r="AI9" i="12"/>
  <c r="AH9" i="12"/>
  <c r="AK8" i="12"/>
  <c r="AJ8" i="12"/>
  <c r="AI8" i="12"/>
  <c r="AH8" i="12"/>
  <c r="AK6" i="12"/>
  <c r="AJ6" i="12"/>
  <c r="AI6" i="12"/>
  <c r="AH6" i="12"/>
  <c r="AK20" i="12"/>
  <c r="AJ20" i="12"/>
  <c r="AI20" i="12"/>
  <c r="AH20" i="12"/>
  <c r="AK5" i="12"/>
  <c r="AJ5" i="12"/>
  <c r="AI5" i="12"/>
  <c r="AH5" i="12"/>
  <c r="AK7" i="12"/>
  <c r="AJ7" i="12"/>
  <c r="AI7" i="12"/>
  <c r="AH7" i="12"/>
  <c r="AK4" i="12"/>
  <c r="AJ4" i="12"/>
  <c r="AI4" i="12"/>
  <c r="AH4" i="12"/>
  <c r="BG16" i="6"/>
  <c r="BF16" i="6"/>
  <c r="BE16" i="6"/>
  <c r="BD16" i="6"/>
  <c r="BG23" i="6"/>
  <c r="BF23" i="6"/>
  <c r="BE23" i="6"/>
  <c r="BD23" i="6"/>
  <c r="BG17" i="6"/>
  <c r="BF17" i="6"/>
  <c r="BE17" i="6"/>
  <c r="BD17" i="6"/>
  <c r="BG14" i="6"/>
  <c r="BF14" i="6"/>
  <c r="BE14" i="6"/>
  <c r="BD14" i="6"/>
  <c r="BG21" i="6"/>
  <c r="BF21" i="6"/>
  <c r="BE21" i="6"/>
  <c r="BD21" i="6"/>
  <c r="BG20" i="6"/>
  <c r="BF20" i="6"/>
  <c r="BE20" i="6"/>
  <c r="BD20" i="6"/>
  <c r="BG9" i="6"/>
  <c r="BF9" i="6"/>
  <c r="BE9" i="6"/>
  <c r="BD9" i="6"/>
  <c r="BG18" i="6"/>
  <c r="BF18" i="6"/>
  <c r="BE18" i="6"/>
  <c r="BD18" i="6"/>
  <c r="BG15" i="6"/>
  <c r="BF15" i="6"/>
  <c r="BE15" i="6"/>
  <c r="BD15" i="6"/>
  <c r="BG13" i="6"/>
  <c r="BF13" i="6"/>
  <c r="BE13" i="6"/>
  <c r="BD13" i="6"/>
  <c r="BG12" i="6"/>
  <c r="BF12" i="6"/>
  <c r="BE12" i="6"/>
  <c r="BD12" i="6"/>
  <c r="BG11" i="6"/>
  <c r="BF11" i="6"/>
  <c r="BE11" i="6"/>
  <c r="BD11" i="6"/>
  <c r="BG10" i="6"/>
  <c r="BF10" i="6"/>
  <c r="BE10" i="6"/>
  <c r="BD10" i="6"/>
  <c r="BG8" i="6"/>
  <c r="BF8" i="6"/>
  <c r="BE8" i="6"/>
  <c r="BD8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6" i="6"/>
  <c r="AJ16" i="6"/>
  <c r="AI16" i="6"/>
  <c r="AH16" i="6"/>
  <c r="AK23" i="6"/>
  <c r="AJ23" i="6"/>
  <c r="AI23" i="6"/>
  <c r="AH23" i="6"/>
  <c r="AK17" i="6"/>
  <c r="AJ17" i="6"/>
  <c r="AI17" i="6"/>
  <c r="AH17" i="6"/>
  <c r="AK14" i="6"/>
  <c r="AJ14" i="6"/>
  <c r="AI14" i="6"/>
  <c r="AH14" i="6"/>
  <c r="AK21" i="6"/>
  <c r="AJ21" i="6"/>
  <c r="AI21" i="6"/>
  <c r="AH21" i="6"/>
  <c r="AK20" i="6"/>
  <c r="AJ20" i="6"/>
  <c r="AI20" i="6"/>
  <c r="AH20" i="6"/>
  <c r="AK9" i="6"/>
  <c r="AJ9" i="6"/>
  <c r="AI9" i="6"/>
  <c r="AH9" i="6"/>
  <c r="AK18" i="6"/>
  <c r="AJ18" i="6"/>
  <c r="AI18" i="6"/>
  <c r="AH18" i="6"/>
  <c r="AK15" i="6"/>
  <c r="AJ15" i="6"/>
  <c r="AI15" i="6"/>
  <c r="AH15" i="6"/>
  <c r="AK13" i="6"/>
  <c r="AJ13" i="6"/>
  <c r="AI13" i="6"/>
  <c r="AH13" i="6"/>
  <c r="AK12" i="6"/>
  <c r="AJ12" i="6"/>
  <c r="AI12" i="6"/>
  <c r="AH12" i="6"/>
  <c r="AK11" i="6"/>
  <c r="AJ11" i="6"/>
  <c r="AI11" i="6"/>
  <c r="AH11" i="6"/>
  <c r="AK10" i="6"/>
  <c r="AJ10" i="6"/>
  <c r="AI10" i="6"/>
  <c r="AH10" i="6"/>
  <c r="AK8" i="6"/>
  <c r="AJ8" i="6"/>
  <c r="AI8" i="6"/>
  <c r="AH8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12" i="8"/>
  <c r="BF12" i="8"/>
  <c r="BE12" i="8"/>
  <c r="BD12" i="8"/>
  <c r="BG10" i="8"/>
  <c r="BF10" i="8"/>
  <c r="BE10" i="8"/>
  <c r="BD10" i="8"/>
  <c r="BG6" i="8"/>
  <c r="BF6" i="8"/>
  <c r="BE6" i="8"/>
  <c r="BD6" i="8"/>
  <c r="BG11" i="8"/>
  <c r="BF11" i="8"/>
  <c r="BE11" i="8"/>
  <c r="BD11" i="8"/>
  <c r="BG9" i="8"/>
  <c r="BF9" i="8"/>
  <c r="BE9" i="8"/>
  <c r="BD9" i="8"/>
  <c r="BG8" i="8"/>
  <c r="BF8" i="8"/>
  <c r="BE8" i="8"/>
  <c r="BD8" i="8"/>
  <c r="BG7" i="8"/>
  <c r="BF7" i="8"/>
  <c r="BE7" i="8"/>
  <c r="BD7" i="8"/>
  <c r="BG5" i="8"/>
  <c r="BF5" i="8"/>
  <c r="BE5" i="8"/>
  <c r="BD5" i="8"/>
  <c r="BG4" i="8"/>
  <c r="BF4" i="8"/>
  <c r="BE4" i="8"/>
  <c r="BD4" i="8"/>
  <c r="AK12" i="8"/>
  <c r="AJ12" i="8"/>
  <c r="AI12" i="8"/>
  <c r="AH12" i="8"/>
  <c r="AK10" i="8"/>
  <c r="AJ10" i="8"/>
  <c r="AI10" i="8"/>
  <c r="AH10" i="8"/>
  <c r="AK6" i="8"/>
  <c r="AJ6" i="8"/>
  <c r="AI6" i="8"/>
  <c r="AH6" i="8"/>
  <c r="AK11" i="8"/>
  <c r="AJ11" i="8"/>
  <c r="AI11" i="8"/>
  <c r="AH11" i="8"/>
  <c r="AK9" i="8"/>
  <c r="AJ9" i="8"/>
  <c r="AI9" i="8"/>
  <c r="AH9" i="8"/>
  <c r="AK8" i="8"/>
  <c r="AJ8" i="8"/>
  <c r="AI8" i="8"/>
  <c r="AH8" i="8"/>
  <c r="AK7" i="8"/>
  <c r="AJ7" i="8"/>
  <c r="AI7" i="8"/>
  <c r="AH7" i="8"/>
  <c r="AK5" i="8"/>
  <c r="AJ5" i="8"/>
  <c r="AI5" i="8"/>
  <c r="AH5" i="8"/>
  <c r="AK4" i="8"/>
  <c r="AJ4" i="8"/>
  <c r="AI4" i="8"/>
  <c r="AH4" i="8"/>
  <c r="BG10" i="7"/>
  <c r="BF10" i="7"/>
  <c r="BE10" i="7"/>
  <c r="BD10" i="7"/>
  <c r="BG9" i="7"/>
  <c r="BF9" i="7"/>
  <c r="BE9" i="7"/>
  <c r="BD9" i="7"/>
  <c r="BG8" i="7"/>
  <c r="BF8" i="7"/>
  <c r="BE8" i="7"/>
  <c r="BD8" i="7"/>
  <c r="BG6" i="7"/>
  <c r="BF6" i="7"/>
  <c r="BE6" i="7"/>
  <c r="BD6" i="7"/>
  <c r="BG7" i="7"/>
  <c r="BF7" i="7"/>
  <c r="BE7" i="7"/>
  <c r="BD7" i="7"/>
  <c r="BG5" i="7"/>
  <c r="BF5" i="7"/>
  <c r="BE5" i="7"/>
  <c r="BD5" i="7"/>
  <c r="BG4" i="7"/>
  <c r="BF4" i="7"/>
  <c r="BE4" i="7"/>
  <c r="BD4" i="7"/>
  <c r="AK10" i="7"/>
  <c r="AJ10" i="7"/>
  <c r="AI10" i="7"/>
  <c r="AH10" i="7"/>
  <c r="AK9" i="7"/>
  <c r="AJ9" i="7"/>
  <c r="AI9" i="7"/>
  <c r="AH9" i="7"/>
  <c r="AK8" i="7"/>
  <c r="AJ8" i="7"/>
  <c r="AI8" i="7"/>
  <c r="AH8" i="7"/>
  <c r="AK6" i="7"/>
  <c r="AJ6" i="7"/>
  <c r="AI6" i="7"/>
  <c r="AH6" i="7"/>
  <c r="AK7" i="7"/>
  <c r="AJ7" i="7"/>
  <c r="AI7" i="7"/>
  <c r="AH7" i="7"/>
  <c r="AK5" i="7"/>
  <c r="AJ5" i="7"/>
  <c r="AI5" i="7"/>
  <c r="AH5" i="7"/>
  <c r="AK4" i="7"/>
  <c r="AJ4" i="7"/>
  <c r="AI4" i="7"/>
  <c r="AH4" i="7"/>
  <c r="CB8" i="14"/>
  <c r="CA8" i="14"/>
  <c r="BY8" i="14"/>
  <c r="BX8" i="14"/>
  <c r="BW8" i="14"/>
  <c r="BV8" i="14"/>
  <c r="BU8" i="14"/>
  <c r="CB25" i="14"/>
  <c r="CA25" i="14"/>
  <c r="BY25" i="14"/>
  <c r="BX25" i="14"/>
  <c r="BW25" i="14"/>
  <c r="BV25" i="14"/>
  <c r="BU25" i="14"/>
  <c r="CB19" i="14"/>
  <c r="CA19" i="14"/>
  <c r="BY19" i="14"/>
  <c r="BX19" i="14"/>
  <c r="BW19" i="14"/>
  <c r="BV19" i="14"/>
  <c r="BU19" i="14"/>
  <c r="CB23" i="14"/>
  <c r="CA23" i="14"/>
  <c r="BY23" i="14"/>
  <c r="BX23" i="14"/>
  <c r="BW23" i="14"/>
  <c r="BV23" i="14"/>
  <c r="BU23" i="14"/>
  <c r="CB16" i="14"/>
  <c r="CA16" i="14"/>
  <c r="BY16" i="14"/>
  <c r="BX16" i="14"/>
  <c r="BW16" i="14"/>
  <c r="BV16" i="14"/>
  <c r="BU16" i="14"/>
  <c r="CB11" i="14"/>
  <c r="CA11" i="14"/>
  <c r="BY11" i="14"/>
  <c r="BX11" i="14"/>
  <c r="BW11" i="14"/>
  <c r="BV11" i="14"/>
  <c r="BU11" i="14"/>
  <c r="CB17" i="14"/>
  <c r="CA17" i="14"/>
  <c r="BY17" i="14"/>
  <c r="BX17" i="14"/>
  <c r="BW17" i="14"/>
  <c r="BV17" i="14"/>
  <c r="BU17" i="14"/>
  <c r="BZ17" i="14" s="1"/>
  <c r="CB24" i="14"/>
  <c r="CA24" i="14"/>
  <c r="BY24" i="14"/>
  <c r="BX24" i="14"/>
  <c r="BW24" i="14"/>
  <c r="BV24" i="14"/>
  <c r="BU24" i="14"/>
  <c r="CB21" i="14"/>
  <c r="CA21" i="14"/>
  <c r="BY21" i="14"/>
  <c r="BX21" i="14"/>
  <c r="BW21" i="14"/>
  <c r="BV21" i="14"/>
  <c r="BU21" i="14"/>
  <c r="CB18" i="14"/>
  <c r="CA18" i="14"/>
  <c r="BY18" i="14"/>
  <c r="BX18" i="14"/>
  <c r="BW18" i="14"/>
  <c r="BV18" i="14"/>
  <c r="BU18" i="14"/>
  <c r="CB20" i="14"/>
  <c r="CA20" i="14"/>
  <c r="BY20" i="14"/>
  <c r="BX20" i="14"/>
  <c r="BW20" i="14"/>
  <c r="BV20" i="14"/>
  <c r="BU20" i="14"/>
  <c r="CB26" i="14"/>
  <c r="CA26" i="14"/>
  <c r="BY26" i="14"/>
  <c r="BX26" i="14"/>
  <c r="BW26" i="14"/>
  <c r="BV26" i="14"/>
  <c r="BU26" i="14"/>
  <c r="CB13" i="14"/>
  <c r="CA13" i="14"/>
  <c r="BY13" i="14"/>
  <c r="BX13" i="14"/>
  <c r="BW13" i="14"/>
  <c r="BV13" i="14"/>
  <c r="BU13" i="14"/>
  <c r="CB15" i="14"/>
  <c r="CA15" i="14"/>
  <c r="BY15" i="14"/>
  <c r="BX15" i="14"/>
  <c r="BW15" i="14"/>
  <c r="BV15" i="14"/>
  <c r="BU15" i="14"/>
  <c r="CB22" i="14"/>
  <c r="CA22" i="14"/>
  <c r="BY22" i="14"/>
  <c r="BX22" i="14"/>
  <c r="BW22" i="14"/>
  <c r="BV22" i="14"/>
  <c r="BU22" i="14"/>
  <c r="BZ22" i="14" s="1"/>
  <c r="CB12" i="14"/>
  <c r="CA12" i="14"/>
  <c r="BY12" i="14"/>
  <c r="BX12" i="14"/>
  <c r="BW12" i="14"/>
  <c r="BV12" i="14"/>
  <c r="BU12" i="14"/>
  <c r="CB14" i="14"/>
  <c r="CA14" i="14"/>
  <c r="BY14" i="14"/>
  <c r="BX14" i="14"/>
  <c r="BW14" i="14"/>
  <c r="BV14" i="14"/>
  <c r="BU14" i="14"/>
  <c r="CB10" i="14"/>
  <c r="CA10" i="14"/>
  <c r="BY10" i="14"/>
  <c r="BX10" i="14"/>
  <c r="BW10" i="14"/>
  <c r="BV10" i="14"/>
  <c r="BU10" i="14"/>
  <c r="CB9" i="14"/>
  <c r="CA9" i="14"/>
  <c r="BY9" i="14"/>
  <c r="BX9" i="14"/>
  <c r="BW9" i="14"/>
  <c r="BV9" i="14"/>
  <c r="BU9" i="14"/>
  <c r="CB7" i="14"/>
  <c r="CA7" i="14"/>
  <c r="BY7" i="14"/>
  <c r="BX7" i="14"/>
  <c r="BW7" i="14"/>
  <c r="BV7" i="14"/>
  <c r="BU7" i="14"/>
  <c r="CB6" i="14"/>
  <c r="CA6" i="14"/>
  <c r="BY6" i="14"/>
  <c r="BX6" i="14"/>
  <c r="BW6" i="14"/>
  <c r="BV6" i="14"/>
  <c r="BU6" i="14"/>
  <c r="CB5" i="14"/>
  <c r="CA5" i="14"/>
  <c r="BY5" i="14"/>
  <c r="BX5" i="14"/>
  <c r="BW5" i="14"/>
  <c r="BV5" i="14"/>
  <c r="BU5" i="14"/>
  <c r="CB4" i="14"/>
  <c r="CA4" i="14"/>
  <c r="BY4" i="14"/>
  <c r="BX4" i="14"/>
  <c r="BW4" i="14"/>
  <c r="BV4" i="14"/>
  <c r="BU4" i="14"/>
  <c r="AX8" i="14"/>
  <c r="AW8" i="14"/>
  <c r="AU8" i="14"/>
  <c r="AT8" i="14"/>
  <c r="AS8" i="14"/>
  <c r="AR8" i="14"/>
  <c r="AQ8" i="14"/>
  <c r="AX25" i="14"/>
  <c r="AW25" i="14"/>
  <c r="AU25" i="14"/>
  <c r="AT25" i="14"/>
  <c r="AS25" i="14"/>
  <c r="AR25" i="14"/>
  <c r="AQ25" i="14"/>
  <c r="AX19" i="14"/>
  <c r="AW19" i="14"/>
  <c r="AU19" i="14"/>
  <c r="AT19" i="14"/>
  <c r="AS19" i="14"/>
  <c r="AR19" i="14"/>
  <c r="AQ19" i="14"/>
  <c r="AX23" i="14"/>
  <c r="AW23" i="14"/>
  <c r="AU23" i="14"/>
  <c r="AT23" i="14"/>
  <c r="AS23" i="14"/>
  <c r="AR23" i="14"/>
  <c r="AQ23" i="14"/>
  <c r="AX16" i="14"/>
  <c r="AW16" i="14"/>
  <c r="AU16" i="14"/>
  <c r="AT16" i="14"/>
  <c r="AS16" i="14"/>
  <c r="AR16" i="14"/>
  <c r="AQ16" i="14"/>
  <c r="AX11" i="14"/>
  <c r="AW11" i="14"/>
  <c r="AU11" i="14"/>
  <c r="AT11" i="14"/>
  <c r="AS11" i="14"/>
  <c r="AR11" i="14"/>
  <c r="AQ11" i="14"/>
  <c r="AX17" i="14"/>
  <c r="AW17" i="14"/>
  <c r="AU17" i="14"/>
  <c r="AT17" i="14"/>
  <c r="AS17" i="14"/>
  <c r="AR17" i="14"/>
  <c r="AQ17" i="14"/>
  <c r="AX24" i="14"/>
  <c r="AW24" i="14"/>
  <c r="AU24" i="14"/>
  <c r="AT24" i="14"/>
  <c r="AS24" i="14"/>
  <c r="AR24" i="14"/>
  <c r="AQ24" i="14"/>
  <c r="AX21" i="14"/>
  <c r="AW21" i="14"/>
  <c r="AU21" i="14"/>
  <c r="AT21" i="14"/>
  <c r="AS21" i="14"/>
  <c r="AR21" i="14"/>
  <c r="AQ21" i="14"/>
  <c r="AX18" i="14"/>
  <c r="AW18" i="14"/>
  <c r="AU18" i="14"/>
  <c r="AT18" i="14"/>
  <c r="AS18" i="14"/>
  <c r="AR18" i="14"/>
  <c r="AQ18" i="14"/>
  <c r="AX20" i="14"/>
  <c r="AW20" i="14"/>
  <c r="AU20" i="14"/>
  <c r="AT20" i="14"/>
  <c r="AS20" i="14"/>
  <c r="AR20" i="14"/>
  <c r="AQ20" i="14"/>
  <c r="AX26" i="14"/>
  <c r="AW26" i="14"/>
  <c r="AU26" i="14"/>
  <c r="AT26" i="14"/>
  <c r="AS26" i="14"/>
  <c r="AR26" i="14"/>
  <c r="AQ26" i="14"/>
  <c r="AX13" i="14"/>
  <c r="AW13" i="14"/>
  <c r="AU13" i="14"/>
  <c r="AT13" i="14"/>
  <c r="AS13" i="14"/>
  <c r="AR13" i="14"/>
  <c r="AQ13" i="14"/>
  <c r="AX15" i="14"/>
  <c r="AW15" i="14"/>
  <c r="AU15" i="14"/>
  <c r="AT15" i="14"/>
  <c r="AS15" i="14"/>
  <c r="AR15" i="14"/>
  <c r="AQ15" i="14"/>
  <c r="AX22" i="14"/>
  <c r="AW22" i="14"/>
  <c r="AU22" i="14"/>
  <c r="AT22" i="14"/>
  <c r="AS22" i="14"/>
  <c r="AR22" i="14"/>
  <c r="AQ22" i="14"/>
  <c r="AX12" i="14"/>
  <c r="AW12" i="14"/>
  <c r="AU12" i="14"/>
  <c r="AT12" i="14"/>
  <c r="AS12" i="14"/>
  <c r="AR12" i="14"/>
  <c r="AQ12" i="14"/>
  <c r="AX14" i="14"/>
  <c r="AW14" i="14"/>
  <c r="AU14" i="14"/>
  <c r="AT14" i="14"/>
  <c r="AS14" i="14"/>
  <c r="AR14" i="14"/>
  <c r="AQ14" i="14"/>
  <c r="AX10" i="14"/>
  <c r="AW10" i="14"/>
  <c r="AU10" i="14"/>
  <c r="AT10" i="14"/>
  <c r="AS10" i="14"/>
  <c r="AR10" i="14"/>
  <c r="AQ10" i="14"/>
  <c r="AX9" i="14"/>
  <c r="AW9" i="14"/>
  <c r="AU9" i="14"/>
  <c r="AT9" i="14"/>
  <c r="AS9" i="14"/>
  <c r="AR9" i="14"/>
  <c r="AQ9" i="14"/>
  <c r="AX7" i="14"/>
  <c r="AW7" i="14"/>
  <c r="AU7" i="14"/>
  <c r="AT7" i="14"/>
  <c r="AS7" i="14"/>
  <c r="AR7" i="14"/>
  <c r="AQ7" i="14"/>
  <c r="AX6" i="14"/>
  <c r="AW6" i="14"/>
  <c r="AU6" i="14"/>
  <c r="AT6" i="14"/>
  <c r="AS6" i="14"/>
  <c r="AR6" i="14"/>
  <c r="AQ6" i="14"/>
  <c r="AX5" i="14"/>
  <c r="AW5" i="14"/>
  <c r="AU5" i="14"/>
  <c r="AT5" i="14"/>
  <c r="AS5" i="14"/>
  <c r="AR5" i="14"/>
  <c r="AQ5" i="14"/>
  <c r="AX4" i="14"/>
  <c r="AW4" i="14"/>
  <c r="AU4" i="14"/>
  <c r="AT4" i="14"/>
  <c r="AS4" i="14"/>
  <c r="AR4" i="14"/>
  <c r="AQ4" i="14"/>
  <c r="CB19" i="4"/>
  <c r="CA19" i="4"/>
  <c r="BY19" i="4"/>
  <c r="BX19" i="4"/>
  <c r="BW19" i="4"/>
  <c r="BV19" i="4"/>
  <c r="BU19" i="4"/>
  <c r="CB20" i="4"/>
  <c r="CA20" i="4"/>
  <c r="BY20" i="4"/>
  <c r="BX20" i="4"/>
  <c r="BW20" i="4"/>
  <c r="BV20" i="4"/>
  <c r="BU20" i="4"/>
  <c r="CB16" i="4"/>
  <c r="CA16" i="4"/>
  <c r="BY16" i="4"/>
  <c r="BX16" i="4"/>
  <c r="BW16" i="4"/>
  <c r="BV16" i="4"/>
  <c r="BU16" i="4"/>
  <c r="CB21" i="4"/>
  <c r="CA21" i="4"/>
  <c r="BY21" i="4"/>
  <c r="BX21" i="4"/>
  <c r="BW21" i="4"/>
  <c r="BV21" i="4"/>
  <c r="BU21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2" i="4"/>
  <c r="CA12" i="4"/>
  <c r="BY12" i="4"/>
  <c r="BX12" i="4"/>
  <c r="BW12" i="4"/>
  <c r="BV12" i="4"/>
  <c r="BU12" i="4"/>
  <c r="CB11" i="4"/>
  <c r="CA11" i="4"/>
  <c r="BY11" i="4"/>
  <c r="BX11" i="4"/>
  <c r="BW11" i="4"/>
  <c r="BV11" i="4"/>
  <c r="BU11" i="4"/>
  <c r="CB10" i="4"/>
  <c r="CA10" i="4"/>
  <c r="BY10" i="4"/>
  <c r="BX10" i="4"/>
  <c r="BW10" i="4"/>
  <c r="BV10" i="4"/>
  <c r="BU10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19" i="4"/>
  <c r="AW19" i="4"/>
  <c r="AU19" i="4"/>
  <c r="AT19" i="4"/>
  <c r="AS19" i="4"/>
  <c r="AR19" i="4"/>
  <c r="AQ19" i="4"/>
  <c r="AX20" i="4"/>
  <c r="AW20" i="4"/>
  <c r="AU20" i="4"/>
  <c r="AT20" i="4"/>
  <c r="AS20" i="4"/>
  <c r="AR20" i="4"/>
  <c r="AQ20" i="4"/>
  <c r="AX16" i="4"/>
  <c r="AW16" i="4"/>
  <c r="AU16" i="4"/>
  <c r="AT16" i="4"/>
  <c r="AS16" i="4"/>
  <c r="AR16" i="4"/>
  <c r="AQ16" i="4"/>
  <c r="AX21" i="4"/>
  <c r="AW21" i="4"/>
  <c r="AU21" i="4"/>
  <c r="AT21" i="4"/>
  <c r="AS21" i="4"/>
  <c r="AR21" i="4"/>
  <c r="AQ21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8" i="4"/>
  <c r="AW18" i="4"/>
  <c r="AU18" i="4"/>
  <c r="AT18" i="4"/>
  <c r="AS18" i="4"/>
  <c r="AR18" i="4"/>
  <c r="AQ18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2" i="4"/>
  <c r="AW12" i="4"/>
  <c r="AU12" i="4"/>
  <c r="AT12" i="4"/>
  <c r="AS12" i="4"/>
  <c r="AR12" i="4"/>
  <c r="AQ12" i="4"/>
  <c r="AX11" i="4"/>
  <c r="AW11" i="4"/>
  <c r="AU11" i="4"/>
  <c r="AT11" i="4"/>
  <c r="AS11" i="4"/>
  <c r="AR11" i="4"/>
  <c r="AQ11" i="4"/>
  <c r="AX10" i="4"/>
  <c r="AW10" i="4"/>
  <c r="AU10" i="4"/>
  <c r="AT10" i="4"/>
  <c r="AS10" i="4"/>
  <c r="AR10" i="4"/>
  <c r="AQ10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CY8" i="14"/>
  <c r="CZ8" i="14"/>
  <c r="DA8" i="14"/>
  <c r="DB8" i="14"/>
  <c r="DC8" i="14"/>
  <c r="DE8" i="14"/>
  <c r="DF8" i="14"/>
  <c r="EA8" i="14"/>
  <c r="EB8" i="14"/>
  <c r="EC8" i="14"/>
  <c r="EE8" i="14"/>
  <c r="EF8" i="14"/>
  <c r="EW8" i="14"/>
  <c r="EX8" i="14"/>
  <c r="EY8" i="14"/>
  <c r="FA8" i="14"/>
  <c r="FB8" i="14"/>
  <c r="FS8" i="14"/>
  <c r="FT8" i="14"/>
  <c r="FU8" i="14"/>
  <c r="FW8" i="14"/>
  <c r="FX8" i="14"/>
  <c r="GO8" i="14"/>
  <c r="GP8" i="14"/>
  <c r="GQ8" i="14"/>
  <c r="GS8" i="14"/>
  <c r="GT8" i="14"/>
  <c r="HK8" i="14"/>
  <c r="HL8" i="14"/>
  <c r="HM8" i="14"/>
  <c r="HO8" i="14"/>
  <c r="HP8" i="14"/>
  <c r="IG8" i="14"/>
  <c r="IH8" i="14"/>
  <c r="II8" i="14"/>
  <c r="IK8" i="14"/>
  <c r="IL8" i="14"/>
  <c r="JC8" i="14"/>
  <c r="JD8" i="14"/>
  <c r="JE8" i="14"/>
  <c r="JG8" i="14"/>
  <c r="JH8" i="14"/>
  <c r="JY8" i="14"/>
  <c r="JZ8" i="14"/>
  <c r="KA8" i="14"/>
  <c r="KC8" i="14"/>
  <c r="KD8" i="14"/>
  <c r="KU8" i="14"/>
  <c r="KV8" i="14"/>
  <c r="KW8" i="14"/>
  <c r="KY8" i="14"/>
  <c r="KZ8" i="14"/>
  <c r="LQ8" i="14"/>
  <c r="LR8" i="14"/>
  <c r="LS8" i="14"/>
  <c r="LU8" i="14"/>
  <c r="LV8" i="14"/>
  <c r="MM8" i="14"/>
  <c r="MN8" i="14"/>
  <c r="MO8" i="14"/>
  <c r="MQ8" i="14"/>
  <c r="MR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BZ13" i="12"/>
  <c r="CA13" i="12"/>
  <c r="CB13" i="12"/>
  <c r="CC13" i="12"/>
  <c r="CW13" i="12"/>
  <c r="CX13" i="12"/>
  <c r="CY13" i="12"/>
  <c r="CZ13" i="12"/>
  <c r="DR13" i="12"/>
  <c r="DS13" i="12"/>
  <c r="DT13" i="12"/>
  <c r="DU13" i="12"/>
  <c r="EM13" i="12"/>
  <c r="EN13" i="12"/>
  <c r="EO13" i="12"/>
  <c r="EP13" i="12"/>
  <c r="FH13" i="12"/>
  <c r="FI13" i="12"/>
  <c r="FJ13" i="12"/>
  <c r="FK13" i="12"/>
  <c r="GC13" i="12"/>
  <c r="GD13" i="12"/>
  <c r="GE13" i="12"/>
  <c r="GF13" i="12"/>
  <c r="GX13" i="12"/>
  <c r="GY13" i="12"/>
  <c r="GZ13" i="12"/>
  <c r="HA13" i="12"/>
  <c r="HS13" i="12"/>
  <c r="HT13" i="12"/>
  <c r="HU13" i="12"/>
  <c r="HV13" i="12"/>
  <c r="IN13" i="12"/>
  <c r="IO13" i="12"/>
  <c r="IP13" i="12"/>
  <c r="IQ13" i="12"/>
  <c r="JI13" i="12"/>
  <c r="JJ13" i="12"/>
  <c r="JK13" i="12"/>
  <c r="JL13" i="12"/>
  <c r="KD13" i="12"/>
  <c r="KE13" i="12"/>
  <c r="KF13" i="12"/>
  <c r="KG13" i="12"/>
  <c r="KY13" i="12"/>
  <c r="KZ13" i="12"/>
  <c r="LA13" i="12"/>
  <c r="LB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20" i="6"/>
  <c r="CA20" i="6"/>
  <c r="CB20" i="6"/>
  <c r="CC20" i="6"/>
  <c r="CW20" i="6"/>
  <c r="CX20" i="6"/>
  <c r="CY20" i="6"/>
  <c r="CZ20" i="6"/>
  <c r="DR20" i="6"/>
  <c r="DS20" i="6"/>
  <c r="DT20" i="6"/>
  <c r="DU20" i="6"/>
  <c r="EM20" i="6"/>
  <c r="EN20" i="6"/>
  <c r="EO20" i="6"/>
  <c r="EP20" i="6"/>
  <c r="FH20" i="6"/>
  <c r="FI20" i="6"/>
  <c r="FJ20" i="6"/>
  <c r="FK20" i="6"/>
  <c r="GC20" i="6"/>
  <c r="GD20" i="6"/>
  <c r="GE20" i="6"/>
  <c r="GF20" i="6"/>
  <c r="GX20" i="6"/>
  <c r="GY20" i="6"/>
  <c r="GZ20" i="6"/>
  <c r="HA20" i="6"/>
  <c r="HS20" i="6"/>
  <c r="HT20" i="6"/>
  <c r="HU20" i="6"/>
  <c r="HV20" i="6"/>
  <c r="IN20" i="6"/>
  <c r="IO20" i="6"/>
  <c r="IP20" i="6"/>
  <c r="IQ20" i="6"/>
  <c r="JI20" i="6"/>
  <c r="JJ20" i="6"/>
  <c r="JK20" i="6"/>
  <c r="JL20" i="6"/>
  <c r="KD20" i="6"/>
  <c r="KE20" i="6"/>
  <c r="KF20" i="6"/>
  <c r="KG20" i="6"/>
  <c r="KY20" i="6"/>
  <c r="KZ20" i="6"/>
  <c r="LA20" i="6"/>
  <c r="LB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BZ15" i="6"/>
  <c r="CA15" i="6"/>
  <c r="CB15" i="6"/>
  <c r="CC15" i="6"/>
  <c r="CW15" i="6"/>
  <c r="CX15" i="6"/>
  <c r="CY15" i="6"/>
  <c r="CZ15" i="6"/>
  <c r="DR15" i="6"/>
  <c r="DS15" i="6"/>
  <c r="DT15" i="6"/>
  <c r="DU15" i="6"/>
  <c r="EM15" i="6"/>
  <c r="EN15" i="6"/>
  <c r="EO15" i="6"/>
  <c r="EP15" i="6"/>
  <c r="FH15" i="6"/>
  <c r="FI15" i="6"/>
  <c r="FJ15" i="6"/>
  <c r="FK15" i="6"/>
  <c r="GC15" i="6"/>
  <c r="GD15" i="6"/>
  <c r="GE15" i="6"/>
  <c r="GF15" i="6"/>
  <c r="GX15" i="6"/>
  <c r="GY15" i="6"/>
  <c r="GZ15" i="6"/>
  <c r="HA15" i="6"/>
  <c r="HS15" i="6"/>
  <c r="HT15" i="6"/>
  <c r="HU15" i="6"/>
  <c r="HV15" i="6"/>
  <c r="IN15" i="6"/>
  <c r="IO15" i="6"/>
  <c r="IP15" i="6"/>
  <c r="IQ15" i="6"/>
  <c r="JI15" i="6"/>
  <c r="JJ15" i="6"/>
  <c r="JK15" i="6"/>
  <c r="JL15" i="6"/>
  <c r="KD15" i="6"/>
  <c r="KE15" i="6"/>
  <c r="KF15" i="6"/>
  <c r="KG15" i="6"/>
  <c r="KY15" i="6"/>
  <c r="KZ15" i="6"/>
  <c r="LA15" i="6"/>
  <c r="LB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16" i="6"/>
  <c r="CA16" i="6"/>
  <c r="CB16" i="6"/>
  <c r="CC16" i="6"/>
  <c r="CW16" i="6"/>
  <c r="CX16" i="6"/>
  <c r="CY16" i="6"/>
  <c r="CZ16" i="6"/>
  <c r="DR16" i="6"/>
  <c r="DS16" i="6"/>
  <c r="DT16" i="6"/>
  <c r="DU16" i="6"/>
  <c r="EM16" i="6"/>
  <c r="EN16" i="6"/>
  <c r="EO16" i="6"/>
  <c r="EP16" i="6"/>
  <c r="FH16" i="6"/>
  <c r="FI16" i="6"/>
  <c r="FJ16" i="6"/>
  <c r="FK16" i="6"/>
  <c r="GC16" i="6"/>
  <c r="GD16" i="6"/>
  <c r="GE16" i="6"/>
  <c r="GF16" i="6"/>
  <c r="GX16" i="6"/>
  <c r="GY16" i="6"/>
  <c r="GZ16" i="6"/>
  <c r="HA16" i="6"/>
  <c r="HS16" i="6"/>
  <c r="HT16" i="6"/>
  <c r="HU16" i="6"/>
  <c r="HV16" i="6"/>
  <c r="IN16" i="6"/>
  <c r="IO16" i="6"/>
  <c r="IP16" i="6"/>
  <c r="IQ16" i="6"/>
  <c r="JI16" i="6"/>
  <c r="JJ16" i="6"/>
  <c r="JK16" i="6"/>
  <c r="JL16" i="6"/>
  <c r="KD16" i="6"/>
  <c r="KE16" i="6"/>
  <c r="KF16" i="6"/>
  <c r="KG16" i="6"/>
  <c r="KY16" i="6"/>
  <c r="KZ16" i="6"/>
  <c r="LA16" i="6"/>
  <c r="LB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BZ9" i="6"/>
  <c r="CA9" i="6"/>
  <c r="CB9" i="6"/>
  <c r="CC9" i="6"/>
  <c r="CW9" i="6"/>
  <c r="CX9" i="6"/>
  <c r="CY9" i="6"/>
  <c r="CZ9" i="6"/>
  <c r="DR9" i="6"/>
  <c r="DS9" i="6"/>
  <c r="DT9" i="6"/>
  <c r="DU9" i="6"/>
  <c r="EM9" i="6"/>
  <c r="EN9" i="6"/>
  <c r="EO9" i="6"/>
  <c r="EP9" i="6"/>
  <c r="FH9" i="6"/>
  <c r="FI9" i="6"/>
  <c r="FJ9" i="6"/>
  <c r="FK9" i="6"/>
  <c r="GC9" i="6"/>
  <c r="GD9" i="6"/>
  <c r="GE9" i="6"/>
  <c r="GF9" i="6"/>
  <c r="GX9" i="6"/>
  <c r="GY9" i="6"/>
  <c r="GZ9" i="6"/>
  <c r="HA9" i="6"/>
  <c r="HS9" i="6"/>
  <c r="HT9" i="6"/>
  <c r="HU9" i="6"/>
  <c r="HV9" i="6"/>
  <c r="IN9" i="6"/>
  <c r="IO9" i="6"/>
  <c r="IP9" i="6"/>
  <c r="IQ9" i="6"/>
  <c r="JI9" i="6"/>
  <c r="JJ9" i="6"/>
  <c r="JK9" i="6"/>
  <c r="JL9" i="6"/>
  <c r="KD9" i="6"/>
  <c r="KE9" i="6"/>
  <c r="KF9" i="6"/>
  <c r="KG9" i="6"/>
  <c r="KY9" i="6"/>
  <c r="KZ9" i="6"/>
  <c r="LA9" i="6"/>
  <c r="LB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2" i="8"/>
  <c r="CA12" i="8"/>
  <c r="CB12" i="8"/>
  <c r="CC12" i="8"/>
  <c r="CW12" i="8"/>
  <c r="CX12" i="8"/>
  <c r="CY12" i="8"/>
  <c r="CZ12" i="8"/>
  <c r="DR12" i="8"/>
  <c r="DS12" i="8"/>
  <c r="DT12" i="8"/>
  <c r="DU12" i="8"/>
  <c r="EM12" i="8"/>
  <c r="EN12" i="8"/>
  <c r="EO12" i="8"/>
  <c r="EP12" i="8"/>
  <c r="FH12" i="8"/>
  <c r="FI12" i="8"/>
  <c r="FJ12" i="8"/>
  <c r="FK12" i="8"/>
  <c r="GC12" i="8"/>
  <c r="GD12" i="8"/>
  <c r="GE12" i="8"/>
  <c r="GF12" i="8"/>
  <c r="GX12" i="8"/>
  <c r="GY12" i="8"/>
  <c r="GZ12" i="8"/>
  <c r="HA12" i="8"/>
  <c r="HS12" i="8"/>
  <c r="HT12" i="8"/>
  <c r="HU12" i="8"/>
  <c r="HV12" i="8"/>
  <c r="IN12" i="8"/>
  <c r="IO12" i="8"/>
  <c r="IP12" i="8"/>
  <c r="IQ12" i="8"/>
  <c r="JI12" i="8"/>
  <c r="JJ12" i="8"/>
  <c r="JK12" i="8"/>
  <c r="JL12" i="8"/>
  <c r="KD12" i="8"/>
  <c r="KE12" i="8"/>
  <c r="KF12" i="8"/>
  <c r="KG12" i="8"/>
  <c r="KY12" i="8"/>
  <c r="KZ12" i="8"/>
  <c r="LA12" i="8"/>
  <c r="LB12" i="8"/>
  <c r="LT12" i="8"/>
  <c r="LU12" i="8"/>
  <c r="LV12" i="8"/>
  <c r="LW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BZ8" i="7"/>
  <c r="CA8" i="7"/>
  <c r="CB8" i="7"/>
  <c r="CC8" i="7"/>
  <c r="CW8" i="7"/>
  <c r="CX8" i="7"/>
  <c r="CY8" i="7"/>
  <c r="CZ8" i="7"/>
  <c r="DR8" i="7"/>
  <c r="DS8" i="7"/>
  <c r="DT8" i="7"/>
  <c r="DU8" i="7"/>
  <c r="EM8" i="7"/>
  <c r="EN8" i="7"/>
  <c r="EO8" i="7"/>
  <c r="EP8" i="7"/>
  <c r="FH8" i="7"/>
  <c r="FI8" i="7"/>
  <c r="FJ8" i="7"/>
  <c r="FK8" i="7"/>
  <c r="GC8" i="7"/>
  <c r="GD8" i="7"/>
  <c r="GE8" i="7"/>
  <c r="GF8" i="7"/>
  <c r="GX8" i="7"/>
  <c r="GY8" i="7"/>
  <c r="GZ8" i="7"/>
  <c r="HA8" i="7"/>
  <c r="HS8" i="7"/>
  <c r="HT8" i="7"/>
  <c r="HU8" i="7"/>
  <c r="HV8" i="7"/>
  <c r="IN8" i="7"/>
  <c r="IO8" i="7"/>
  <c r="IQ8" i="7"/>
  <c r="JI8" i="7"/>
  <c r="JJ8" i="7"/>
  <c r="JK8" i="7"/>
  <c r="JL8" i="7"/>
  <c r="KD8" i="7"/>
  <c r="KE8" i="7"/>
  <c r="KF8" i="7"/>
  <c r="KG8" i="7"/>
  <c r="KY8" i="7"/>
  <c r="KZ8" i="7"/>
  <c r="LA8" i="7"/>
  <c r="LB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BZ10" i="7"/>
  <c r="CA10" i="7"/>
  <c r="CB10" i="7"/>
  <c r="CC10" i="7"/>
  <c r="CW10" i="7"/>
  <c r="CX10" i="7"/>
  <c r="CY10" i="7"/>
  <c r="CZ10" i="7"/>
  <c r="DR10" i="7"/>
  <c r="DS10" i="7"/>
  <c r="DT10" i="7"/>
  <c r="DU10" i="7"/>
  <c r="EM10" i="7"/>
  <c r="EN10" i="7"/>
  <c r="EO10" i="7"/>
  <c r="EP10" i="7"/>
  <c r="FH10" i="7"/>
  <c r="FI10" i="7"/>
  <c r="FJ10" i="7"/>
  <c r="FK10" i="7"/>
  <c r="GC10" i="7"/>
  <c r="GD10" i="7"/>
  <c r="GE10" i="7"/>
  <c r="GF10" i="7"/>
  <c r="GX10" i="7"/>
  <c r="GY10" i="7"/>
  <c r="GZ10" i="7"/>
  <c r="HA10" i="7"/>
  <c r="HS10" i="7"/>
  <c r="HT10" i="7"/>
  <c r="HU10" i="7"/>
  <c r="HV10" i="7"/>
  <c r="IN10" i="7"/>
  <c r="IO10" i="7"/>
  <c r="IQ10" i="7"/>
  <c r="JI10" i="7"/>
  <c r="JJ10" i="7"/>
  <c r="JK10" i="7"/>
  <c r="JL10" i="7"/>
  <c r="KD10" i="7"/>
  <c r="KE10" i="7"/>
  <c r="KF10" i="7"/>
  <c r="KG10" i="7"/>
  <c r="KH10" i="7" s="1"/>
  <c r="KY10" i="7"/>
  <c r="KZ10" i="7"/>
  <c r="LA10" i="7"/>
  <c r="LB10" i="7"/>
  <c r="LT10" i="7"/>
  <c r="LU10" i="7"/>
  <c r="LV10" i="7"/>
  <c r="LW10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CY19" i="14"/>
  <c r="CZ19" i="14"/>
  <c r="DA19" i="14"/>
  <c r="DB19" i="14"/>
  <c r="DC19" i="14"/>
  <c r="DE19" i="14"/>
  <c r="DF19" i="14"/>
  <c r="EA19" i="14"/>
  <c r="EB19" i="14"/>
  <c r="EC19" i="14"/>
  <c r="EE19" i="14"/>
  <c r="EF19" i="14"/>
  <c r="EW19" i="14"/>
  <c r="EX19" i="14"/>
  <c r="EY19" i="14"/>
  <c r="EZ19" i="14" s="1"/>
  <c r="FA19" i="14"/>
  <c r="FB19" i="14"/>
  <c r="FS19" i="14"/>
  <c r="FT19" i="14"/>
  <c r="FU19" i="14"/>
  <c r="FW19" i="14"/>
  <c r="FX19" i="14"/>
  <c r="GO19" i="14"/>
  <c r="GP19" i="14"/>
  <c r="GQ19" i="14"/>
  <c r="GS19" i="14"/>
  <c r="GT19" i="14"/>
  <c r="HK19" i="14"/>
  <c r="HL19" i="14"/>
  <c r="HM19" i="14"/>
  <c r="HO19" i="14"/>
  <c r="HP19" i="14"/>
  <c r="IG19" i="14"/>
  <c r="IH19" i="14"/>
  <c r="II19" i="14"/>
  <c r="IK19" i="14"/>
  <c r="IL19" i="14"/>
  <c r="JC19" i="14"/>
  <c r="JD19" i="14"/>
  <c r="JE19" i="14"/>
  <c r="JG19" i="14"/>
  <c r="JH19" i="14"/>
  <c r="JY19" i="14"/>
  <c r="JZ19" i="14"/>
  <c r="KA19" i="14"/>
  <c r="KC19" i="14"/>
  <c r="KD19" i="14"/>
  <c r="KU19" i="14"/>
  <c r="KV19" i="14"/>
  <c r="KW19" i="14"/>
  <c r="KY19" i="14"/>
  <c r="KZ19" i="14"/>
  <c r="LQ19" i="14"/>
  <c r="LR19" i="14"/>
  <c r="LS19" i="14"/>
  <c r="LT19" i="14" s="1"/>
  <c r="LU19" i="14"/>
  <c r="LV19" i="14"/>
  <c r="MM19" i="14"/>
  <c r="MN19" i="14"/>
  <c r="MO19" i="14"/>
  <c r="MQ19" i="14"/>
  <c r="MR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CY25" i="14"/>
  <c r="CZ25" i="14"/>
  <c r="DA25" i="14"/>
  <c r="DB25" i="14"/>
  <c r="DC25" i="14"/>
  <c r="DE25" i="14"/>
  <c r="DF25" i="14"/>
  <c r="EA25" i="14"/>
  <c r="EB25" i="14"/>
  <c r="EC25" i="14"/>
  <c r="EE25" i="14"/>
  <c r="EF25" i="14"/>
  <c r="EW25" i="14"/>
  <c r="EX25" i="14"/>
  <c r="EY25" i="14"/>
  <c r="FA25" i="14"/>
  <c r="FB25" i="14"/>
  <c r="FS25" i="14"/>
  <c r="FT25" i="14"/>
  <c r="FU25" i="14"/>
  <c r="FW25" i="14"/>
  <c r="FX25" i="14"/>
  <c r="GO25" i="14"/>
  <c r="GP25" i="14"/>
  <c r="GQ25" i="14"/>
  <c r="GS25" i="14"/>
  <c r="GT25" i="14"/>
  <c r="HK25" i="14"/>
  <c r="HL25" i="14"/>
  <c r="HM25" i="14"/>
  <c r="HO25" i="14"/>
  <c r="HP25" i="14"/>
  <c r="IG25" i="14"/>
  <c r="IH25" i="14"/>
  <c r="II25" i="14"/>
  <c r="IK25" i="14"/>
  <c r="IL25" i="14"/>
  <c r="JC25" i="14"/>
  <c r="JD25" i="14"/>
  <c r="JE25" i="14"/>
  <c r="JG25" i="14"/>
  <c r="JH25" i="14"/>
  <c r="JY25" i="14"/>
  <c r="JZ25" i="14"/>
  <c r="KA25" i="14"/>
  <c r="KC25" i="14"/>
  <c r="KD25" i="14"/>
  <c r="KU25" i="14"/>
  <c r="KV25" i="14"/>
  <c r="KW25" i="14"/>
  <c r="KY25" i="14"/>
  <c r="KZ25" i="14"/>
  <c r="LQ25" i="14"/>
  <c r="LR25" i="14"/>
  <c r="LS25" i="14"/>
  <c r="LU25" i="14"/>
  <c r="LV25" i="14"/>
  <c r="MM25" i="14"/>
  <c r="MN25" i="14"/>
  <c r="MO25" i="14"/>
  <c r="MQ25" i="14"/>
  <c r="MR25" i="14"/>
  <c r="NI25" i="14"/>
  <c r="NJ25" i="14"/>
  <c r="NK25" i="14"/>
  <c r="NM25" i="14"/>
  <c r="NN25" i="14"/>
  <c r="NP25" i="14"/>
  <c r="NQ25" i="14"/>
  <c r="NR25" i="14"/>
  <c r="NS25" i="14"/>
  <c r="NT25" i="14"/>
  <c r="NU25" i="14"/>
  <c r="NV25" i="14"/>
  <c r="NW25" i="14"/>
  <c r="OL25" i="14" s="1"/>
  <c r="NX25" i="14"/>
  <c r="NY25" i="14"/>
  <c r="NZ25" i="14"/>
  <c r="OA25" i="14"/>
  <c r="OB25" i="14"/>
  <c r="ON25" i="14" s="1"/>
  <c r="OC25" i="14"/>
  <c r="OD25" i="14"/>
  <c r="OE25" i="14"/>
  <c r="OF25" i="14"/>
  <c r="OG25" i="14"/>
  <c r="OQ25" i="14" s="1"/>
  <c r="OH25" i="14"/>
  <c r="OI25" i="14"/>
  <c r="CY23" i="14"/>
  <c r="CZ23" i="14"/>
  <c r="DA23" i="14"/>
  <c r="DB23" i="14"/>
  <c r="DC23" i="14"/>
  <c r="DE23" i="14"/>
  <c r="DF23" i="14"/>
  <c r="EA23" i="14"/>
  <c r="EB23" i="14"/>
  <c r="EC23" i="14"/>
  <c r="EE23" i="14"/>
  <c r="EF23" i="14"/>
  <c r="EW23" i="14"/>
  <c r="EX23" i="14"/>
  <c r="EY23" i="14"/>
  <c r="FA23" i="14"/>
  <c r="FB23" i="14"/>
  <c r="FS23" i="14"/>
  <c r="FT23" i="14"/>
  <c r="FU23" i="14"/>
  <c r="FW23" i="14"/>
  <c r="FX23" i="14"/>
  <c r="GO23" i="14"/>
  <c r="GP23" i="14"/>
  <c r="GQ23" i="14"/>
  <c r="GS23" i="14"/>
  <c r="GT23" i="14"/>
  <c r="HK23" i="14"/>
  <c r="HL23" i="14"/>
  <c r="HM23" i="14"/>
  <c r="HO23" i="14"/>
  <c r="HP23" i="14"/>
  <c r="IG23" i="14"/>
  <c r="IH23" i="14"/>
  <c r="II23" i="14"/>
  <c r="IK23" i="14"/>
  <c r="IL23" i="14"/>
  <c r="JC23" i="14"/>
  <c r="JD23" i="14"/>
  <c r="JE23" i="14"/>
  <c r="JG23" i="14"/>
  <c r="JH23" i="14"/>
  <c r="JY23" i="14"/>
  <c r="JZ23" i="14"/>
  <c r="KA23" i="14"/>
  <c r="KC23" i="14"/>
  <c r="KD23" i="14"/>
  <c r="KU23" i="14"/>
  <c r="KV23" i="14"/>
  <c r="KW23" i="14"/>
  <c r="KY23" i="14"/>
  <c r="KZ23" i="14"/>
  <c r="LQ23" i="14"/>
  <c r="LR23" i="14"/>
  <c r="LS23" i="14"/>
  <c r="LU23" i="14"/>
  <c r="LV23" i="14"/>
  <c r="MM23" i="14"/>
  <c r="MN23" i="14"/>
  <c r="MO23" i="14"/>
  <c r="MQ23" i="14"/>
  <c r="MR23" i="14"/>
  <c r="NI23" i="14"/>
  <c r="NJ23" i="14"/>
  <c r="NK23" i="14"/>
  <c r="NM23" i="14"/>
  <c r="NN23" i="14"/>
  <c r="NP23" i="14"/>
  <c r="NQ23" i="14"/>
  <c r="NR23" i="14"/>
  <c r="NS23" i="14"/>
  <c r="NT23" i="14"/>
  <c r="NU23" i="14"/>
  <c r="NV23" i="14"/>
  <c r="NW23" i="14"/>
  <c r="OL23" i="14" s="1"/>
  <c r="NX23" i="14"/>
  <c r="NY23" i="14"/>
  <c r="NZ23" i="14"/>
  <c r="OA23" i="14"/>
  <c r="OB23" i="14"/>
  <c r="ON23" i="14" s="1"/>
  <c r="OC23" i="14"/>
  <c r="OD23" i="14"/>
  <c r="OE23" i="14"/>
  <c r="OF23" i="14"/>
  <c r="OG23" i="14"/>
  <c r="OQ23" i="14" s="1"/>
  <c r="OH23" i="14"/>
  <c r="OI23" i="14"/>
  <c r="CY16" i="14"/>
  <c r="CZ16" i="14"/>
  <c r="DA16" i="14"/>
  <c r="DB16" i="14"/>
  <c r="DC16" i="14"/>
  <c r="DE16" i="14"/>
  <c r="DF16" i="14"/>
  <c r="EA16" i="14"/>
  <c r="EB16" i="14"/>
  <c r="EC16" i="14"/>
  <c r="EE16" i="14"/>
  <c r="EF16" i="14"/>
  <c r="EW16" i="14"/>
  <c r="EX16" i="14"/>
  <c r="EY16" i="14"/>
  <c r="FA16" i="14"/>
  <c r="FB16" i="14"/>
  <c r="FS16" i="14"/>
  <c r="FT16" i="14"/>
  <c r="FU16" i="14"/>
  <c r="FW16" i="14"/>
  <c r="FX16" i="14"/>
  <c r="GO16" i="14"/>
  <c r="GP16" i="14"/>
  <c r="GQ16" i="14"/>
  <c r="GS16" i="14"/>
  <c r="GT16" i="14"/>
  <c r="HK16" i="14"/>
  <c r="HL16" i="14"/>
  <c r="HM16" i="14"/>
  <c r="HO16" i="14"/>
  <c r="HP16" i="14"/>
  <c r="IG16" i="14"/>
  <c r="IH16" i="14"/>
  <c r="II16" i="14"/>
  <c r="IK16" i="14"/>
  <c r="IL16" i="14"/>
  <c r="JC16" i="14"/>
  <c r="JD16" i="14"/>
  <c r="JE16" i="14"/>
  <c r="JG16" i="14"/>
  <c r="JH16" i="14"/>
  <c r="JY16" i="14"/>
  <c r="JZ16" i="14"/>
  <c r="KA16" i="14"/>
  <c r="KC16" i="14"/>
  <c r="KD16" i="14"/>
  <c r="KU16" i="14"/>
  <c r="KV16" i="14"/>
  <c r="KW16" i="14"/>
  <c r="KY16" i="14"/>
  <c r="KZ16" i="14"/>
  <c r="LQ16" i="14"/>
  <c r="LR16" i="14"/>
  <c r="LS16" i="14"/>
  <c r="LU16" i="14"/>
  <c r="LV16" i="14"/>
  <c r="MM16" i="14"/>
  <c r="MN16" i="14"/>
  <c r="MO16" i="14"/>
  <c r="MQ16" i="14"/>
  <c r="MR16" i="14"/>
  <c r="NI16" i="14"/>
  <c r="NJ16" i="14"/>
  <c r="NK16" i="14"/>
  <c r="NM16" i="14"/>
  <c r="NN16" i="14"/>
  <c r="NP16" i="14"/>
  <c r="NQ16" i="14"/>
  <c r="NR16" i="14"/>
  <c r="NS16" i="14"/>
  <c r="NT16" i="14"/>
  <c r="NU16" i="14"/>
  <c r="NV16" i="14"/>
  <c r="NW16" i="14"/>
  <c r="OL16" i="14" s="1"/>
  <c r="NX16" i="14"/>
  <c r="NY16" i="14"/>
  <c r="NZ16" i="14"/>
  <c r="OA16" i="14"/>
  <c r="OB16" i="14"/>
  <c r="ON16" i="14" s="1"/>
  <c r="OC16" i="14"/>
  <c r="OD16" i="14"/>
  <c r="OE16" i="14"/>
  <c r="OF16" i="14"/>
  <c r="OG16" i="14"/>
  <c r="OQ16" i="14" s="1"/>
  <c r="OH16" i="14"/>
  <c r="OI16" i="14"/>
  <c r="CY16" i="4"/>
  <c r="CZ16" i="4"/>
  <c r="DA16" i="4"/>
  <c r="DB16" i="4"/>
  <c r="DC16" i="4"/>
  <c r="DE16" i="4"/>
  <c r="DF16" i="4"/>
  <c r="EA16" i="4"/>
  <c r="EB16" i="4"/>
  <c r="EC16" i="4"/>
  <c r="EE16" i="4"/>
  <c r="EF16" i="4"/>
  <c r="EW16" i="4"/>
  <c r="EX16" i="4"/>
  <c r="EY16" i="4"/>
  <c r="FA16" i="4"/>
  <c r="FB16" i="4"/>
  <c r="FS16" i="4"/>
  <c r="FT16" i="4"/>
  <c r="FU16" i="4"/>
  <c r="FW16" i="4"/>
  <c r="FX16" i="4"/>
  <c r="GO16" i="4"/>
  <c r="GP16" i="4"/>
  <c r="GQ16" i="4"/>
  <c r="GS16" i="4"/>
  <c r="GT16" i="4"/>
  <c r="HK16" i="4"/>
  <c r="HL16" i="4"/>
  <c r="HM16" i="4"/>
  <c r="HO16" i="4"/>
  <c r="HP16" i="4"/>
  <c r="IG16" i="4"/>
  <c r="IH16" i="4"/>
  <c r="II16" i="4"/>
  <c r="IK16" i="4"/>
  <c r="IL16" i="4"/>
  <c r="JC16" i="4"/>
  <c r="JD16" i="4"/>
  <c r="JE16" i="4"/>
  <c r="JG16" i="4"/>
  <c r="JH16" i="4"/>
  <c r="JY16" i="4"/>
  <c r="JZ16" i="4"/>
  <c r="KA16" i="4"/>
  <c r="KC16" i="4"/>
  <c r="KD16" i="4"/>
  <c r="KU16" i="4"/>
  <c r="KV16" i="4"/>
  <c r="KW16" i="4"/>
  <c r="KY16" i="4"/>
  <c r="KZ16" i="4"/>
  <c r="LQ16" i="4"/>
  <c r="LR16" i="4"/>
  <c r="LS16" i="4"/>
  <c r="LU16" i="4"/>
  <c r="LV16" i="4"/>
  <c r="MM16" i="4"/>
  <c r="MN16" i="4"/>
  <c r="MO16" i="4"/>
  <c r="MQ16" i="4"/>
  <c r="MR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C16" i="4"/>
  <c r="OD16" i="4"/>
  <c r="OE16" i="4"/>
  <c r="OF16" i="4"/>
  <c r="OG16" i="4"/>
  <c r="OQ16" i="4" s="1"/>
  <c r="OH16" i="4"/>
  <c r="OI16" i="4"/>
  <c r="ON16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CY21" i="4"/>
  <c r="CZ21" i="4"/>
  <c r="DA21" i="4"/>
  <c r="DB21" i="4"/>
  <c r="DC21" i="4"/>
  <c r="DE21" i="4"/>
  <c r="DF21" i="4"/>
  <c r="EA21" i="4"/>
  <c r="EB21" i="4"/>
  <c r="EC21" i="4"/>
  <c r="EE21" i="4"/>
  <c r="EF21" i="4"/>
  <c r="EW21" i="4"/>
  <c r="EX21" i="4"/>
  <c r="EY21" i="4"/>
  <c r="FA21" i="4"/>
  <c r="FB21" i="4"/>
  <c r="FS21" i="4"/>
  <c r="FT21" i="4"/>
  <c r="FU21" i="4"/>
  <c r="FW21" i="4"/>
  <c r="FX21" i="4"/>
  <c r="GO21" i="4"/>
  <c r="GP21" i="4"/>
  <c r="GQ21" i="4"/>
  <c r="GS21" i="4"/>
  <c r="GT21" i="4"/>
  <c r="HK21" i="4"/>
  <c r="HL21" i="4"/>
  <c r="HM21" i="4"/>
  <c r="HO21" i="4"/>
  <c r="HP21" i="4"/>
  <c r="IG21" i="4"/>
  <c r="IH21" i="4"/>
  <c r="II21" i="4"/>
  <c r="IK21" i="4"/>
  <c r="IL21" i="4"/>
  <c r="JC21" i="4"/>
  <c r="JD21" i="4"/>
  <c r="JE21" i="4"/>
  <c r="JG21" i="4"/>
  <c r="JH21" i="4"/>
  <c r="JY21" i="4"/>
  <c r="JZ21" i="4"/>
  <c r="KA21" i="4"/>
  <c r="KC21" i="4"/>
  <c r="KD21" i="4"/>
  <c r="KU21" i="4"/>
  <c r="KV21" i="4"/>
  <c r="KW21" i="4"/>
  <c r="KY21" i="4"/>
  <c r="KZ21" i="4"/>
  <c r="LQ21" i="4"/>
  <c r="LR21" i="4"/>
  <c r="LS21" i="4"/>
  <c r="LU21" i="4"/>
  <c r="LV21" i="4"/>
  <c r="MM21" i="4"/>
  <c r="MN21" i="4"/>
  <c r="MO21" i="4"/>
  <c r="MQ21" i="4"/>
  <c r="MR21" i="4"/>
  <c r="NI21" i="4"/>
  <c r="NJ21" i="4"/>
  <c r="NK21" i="4"/>
  <c r="NL21" i="4" s="1"/>
  <c r="NM21" i="4"/>
  <c r="NN21" i="4"/>
  <c r="NP21" i="4"/>
  <c r="NQ21" i="4"/>
  <c r="NR21" i="4"/>
  <c r="NS21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CY18" i="4"/>
  <c r="CZ18" i="4"/>
  <c r="DA18" i="4"/>
  <c r="DB18" i="4"/>
  <c r="DC18" i="4"/>
  <c r="DE18" i="4"/>
  <c r="DF18" i="4"/>
  <c r="EA18" i="4"/>
  <c r="EB18" i="4"/>
  <c r="EC18" i="4"/>
  <c r="EE18" i="4"/>
  <c r="EF18" i="4"/>
  <c r="EW18" i="4"/>
  <c r="EX18" i="4"/>
  <c r="EY18" i="4"/>
  <c r="FA18" i="4"/>
  <c r="FB18" i="4"/>
  <c r="FS18" i="4"/>
  <c r="FT18" i="4"/>
  <c r="FU18" i="4"/>
  <c r="FW18" i="4"/>
  <c r="FX18" i="4"/>
  <c r="GO18" i="4"/>
  <c r="GP18" i="4"/>
  <c r="GQ18" i="4"/>
  <c r="GS18" i="4"/>
  <c r="GT18" i="4"/>
  <c r="HK18" i="4"/>
  <c r="HL18" i="4"/>
  <c r="HM18" i="4"/>
  <c r="HO18" i="4"/>
  <c r="HP18" i="4"/>
  <c r="IG18" i="4"/>
  <c r="IH18" i="4"/>
  <c r="II18" i="4"/>
  <c r="IK18" i="4"/>
  <c r="IL18" i="4"/>
  <c r="JC18" i="4"/>
  <c r="JD18" i="4"/>
  <c r="JE18" i="4"/>
  <c r="JG18" i="4"/>
  <c r="JH18" i="4"/>
  <c r="JY18" i="4"/>
  <c r="JZ18" i="4"/>
  <c r="KA18" i="4"/>
  <c r="KC18" i="4"/>
  <c r="KD18" i="4"/>
  <c r="KU18" i="4"/>
  <c r="KV18" i="4"/>
  <c r="KW18" i="4"/>
  <c r="KY18" i="4"/>
  <c r="KZ18" i="4"/>
  <c r="LQ18" i="4"/>
  <c r="LR18" i="4"/>
  <c r="LS18" i="4"/>
  <c r="LU18" i="4"/>
  <c r="LV18" i="4"/>
  <c r="MM18" i="4"/>
  <c r="MN18" i="4"/>
  <c r="MO18" i="4"/>
  <c r="MQ18" i="4"/>
  <c r="MR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AL11" i="8" l="1"/>
  <c r="AL10" i="8"/>
  <c r="AL7" i="7"/>
  <c r="AL8" i="7"/>
  <c r="AL10" i="7"/>
  <c r="BH5" i="7"/>
  <c r="BH6" i="7"/>
  <c r="LT25" i="14"/>
  <c r="LX21" i="12"/>
  <c r="KH21" i="12"/>
  <c r="IR21" i="12"/>
  <c r="HB21" i="12"/>
  <c r="FL21" i="12"/>
  <c r="MR24" i="6"/>
  <c r="LC22" i="6"/>
  <c r="JM22" i="6"/>
  <c r="HW22" i="6"/>
  <c r="EQ22" i="6"/>
  <c r="LX24" i="6"/>
  <c r="KH24" i="6"/>
  <c r="IR24" i="6"/>
  <c r="FL24" i="6"/>
  <c r="DV24" i="6"/>
  <c r="CD24" i="6"/>
  <c r="AL24" i="6"/>
  <c r="IR13" i="8"/>
  <c r="CD13" i="8"/>
  <c r="IR8" i="7"/>
  <c r="HB8" i="7"/>
  <c r="HW10" i="7"/>
  <c r="GG10" i="7"/>
  <c r="EQ10" i="7"/>
  <c r="IJ27" i="14"/>
  <c r="BZ27" i="14"/>
  <c r="CC27" i="14" s="1"/>
  <c r="LT27" i="14"/>
  <c r="LW27" i="14" s="1"/>
  <c r="JF27" i="14"/>
  <c r="LC21" i="12"/>
  <c r="EQ21" i="12"/>
  <c r="CD21" i="12"/>
  <c r="DV21" i="12"/>
  <c r="GG21" i="12"/>
  <c r="AL20" i="12"/>
  <c r="AL8" i="12"/>
  <c r="AL11" i="12"/>
  <c r="AL18" i="12"/>
  <c r="AL10" i="12"/>
  <c r="AL19" i="12"/>
  <c r="BH15" i="12"/>
  <c r="BH17" i="12"/>
  <c r="BH12" i="12"/>
  <c r="BH13" i="12"/>
  <c r="BH22" i="12"/>
  <c r="JM21" i="12"/>
  <c r="HW21" i="12"/>
  <c r="DV19" i="6"/>
  <c r="DV22" i="6"/>
  <c r="BH24" i="6"/>
  <c r="LX22" i="6"/>
  <c r="AL21" i="6"/>
  <c r="AL17" i="6"/>
  <c r="AL16" i="6"/>
  <c r="BH4" i="6"/>
  <c r="BH10" i="6"/>
  <c r="BH12" i="6"/>
  <c r="BH21" i="6"/>
  <c r="BH17" i="6"/>
  <c r="BH16" i="6"/>
  <c r="LC24" i="6"/>
  <c r="GG24" i="6"/>
  <c r="HB24" i="6"/>
  <c r="GG14" i="8"/>
  <c r="EQ14" i="8"/>
  <c r="BH14" i="8"/>
  <c r="KH13" i="8"/>
  <c r="KH14" i="8"/>
  <c r="EQ13" i="8"/>
  <c r="JM13" i="8"/>
  <c r="GG13" i="8"/>
  <c r="HB13" i="8"/>
  <c r="DV13" i="8"/>
  <c r="MS13" i="8"/>
  <c r="BH13" i="8"/>
  <c r="FL8" i="7"/>
  <c r="JI27" i="14"/>
  <c r="EZ27" i="14"/>
  <c r="FC27" i="14" s="1"/>
  <c r="HN27" i="14"/>
  <c r="HQ27" i="14" s="1"/>
  <c r="GR27" i="14"/>
  <c r="GU27" i="14" s="1"/>
  <c r="AV27" i="14"/>
  <c r="OO27" i="14"/>
  <c r="KB27" i="14"/>
  <c r="KE27" i="14" s="1"/>
  <c r="FV27" i="14"/>
  <c r="FY27" i="14" s="1"/>
  <c r="MP27" i="14"/>
  <c r="MS27" i="14" s="1"/>
  <c r="IM27" i="14"/>
  <c r="KX27" i="14"/>
  <c r="LA27" i="14" s="1"/>
  <c r="ED27" i="14"/>
  <c r="EG27" i="14" s="1"/>
  <c r="DD27" i="14"/>
  <c r="DG27" i="14" s="1"/>
  <c r="BZ16" i="4"/>
  <c r="CC16" i="4" s="1"/>
  <c r="MQ21" i="12"/>
  <c r="DA21" i="12"/>
  <c r="BH21" i="12"/>
  <c r="MR21" i="12"/>
  <c r="MP21" i="12"/>
  <c r="AL21" i="12"/>
  <c r="F21" i="12"/>
  <c r="J21" i="12"/>
  <c r="MS21" i="12"/>
  <c r="MT21" i="12" s="1"/>
  <c r="G21" i="12"/>
  <c r="GG14" i="12"/>
  <c r="MP24" i="6"/>
  <c r="JM24" i="6"/>
  <c r="HW24" i="6"/>
  <c r="EQ24" i="6"/>
  <c r="DA24" i="6"/>
  <c r="MS24" i="6"/>
  <c r="MQ24" i="6"/>
  <c r="F24" i="6"/>
  <c r="J24" i="6"/>
  <c r="G24" i="6"/>
  <c r="BH22" i="6"/>
  <c r="KH22" i="6"/>
  <c r="IR22" i="6"/>
  <c r="FL22" i="6"/>
  <c r="CD22" i="6"/>
  <c r="GG22" i="6"/>
  <c r="HB22" i="6"/>
  <c r="DA22" i="6"/>
  <c r="MR22" i="6"/>
  <c r="MP22" i="6"/>
  <c r="AL22" i="6"/>
  <c r="F22" i="6"/>
  <c r="J22" i="6"/>
  <c r="MS22" i="6"/>
  <c r="MQ22" i="6"/>
  <c r="G22" i="6"/>
  <c r="EQ9" i="6"/>
  <c r="KH16" i="6"/>
  <c r="LX13" i="8"/>
  <c r="LC13" i="8"/>
  <c r="HW13" i="8"/>
  <c r="FL13" i="8"/>
  <c r="DA13" i="8"/>
  <c r="MQ13" i="8"/>
  <c r="MR13" i="8"/>
  <c r="MP13" i="8"/>
  <c r="L13" i="8"/>
  <c r="CF13" i="8" s="1"/>
  <c r="AL13" i="8"/>
  <c r="F13" i="8"/>
  <c r="J13" i="8"/>
  <c r="G13" i="8"/>
  <c r="LX14" i="8"/>
  <c r="IR14" i="8"/>
  <c r="HB14" i="8"/>
  <c r="DV14" i="8"/>
  <c r="CD14" i="8"/>
  <c r="LC14" i="8"/>
  <c r="JM14" i="8"/>
  <c r="HW14" i="8"/>
  <c r="FL14" i="8"/>
  <c r="DA14" i="8"/>
  <c r="MR14" i="8"/>
  <c r="MQ14" i="8"/>
  <c r="L14" i="8"/>
  <c r="M14" i="8" s="1"/>
  <c r="MP14" i="8"/>
  <c r="AL14" i="8"/>
  <c r="F14" i="8"/>
  <c r="J14" i="8"/>
  <c r="MS14" i="8"/>
  <c r="G14" i="8"/>
  <c r="AL6" i="8"/>
  <c r="AL12" i="8"/>
  <c r="BH5" i="8"/>
  <c r="BH8" i="8"/>
  <c r="BH11" i="8"/>
  <c r="FV16" i="4"/>
  <c r="NL27" i="14"/>
  <c r="NO27" i="14" s="1"/>
  <c r="OK27" i="14"/>
  <c r="OM27" i="14"/>
  <c r="G27" i="14"/>
  <c r="J27" i="14" s="1"/>
  <c r="OR27" i="14"/>
  <c r="O27" i="14"/>
  <c r="P27" i="14" s="1"/>
  <c r="K27" i="14"/>
  <c r="AY27" i="14"/>
  <c r="H27" i="14"/>
  <c r="Q27" i="14"/>
  <c r="MP19" i="14"/>
  <c r="NL8" i="14"/>
  <c r="NO8" i="14" s="1"/>
  <c r="GR8" i="14"/>
  <c r="BZ9" i="14"/>
  <c r="CC9" i="14" s="1"/>
  <c r="CC22" i="14"/>
  <c r="MP8" i="14"/>
  <c r="MS8" i="14" s="1"/>
  <c r="AV19" i="14"/>
  <c r="AY19" i="14" s="1"/>
  <c r="AL23" i="12"/>
  <c r="BH7" i="12"/>
  <c r="BH11" i="12"/>
  <c r="KH19" i="6"/>
  <c r="AL6" i="6"/>
  <c r="AL8" i="6"/>
  <c r="AL11" i="6"/>
  <c r="AL18" i="6"/>
  <c r="AL20" i="6"/>
  <c r="BH11" i="6"/>
  <c r="BH18" i="6"/>
  <c r="BH20" i="6"/>
  <c r="BH14" i="6"/>
  <c r="BH19" i="6"/>
  <c r="BH6" i="8"/>
  <c r="LC8" i="7"/>
  <c r="IR10" i="7"/>
  <c r="LC10" i="7"/>
  <c r="JM10" i="7"/>
  <c r="AL5" i="7"/>
  <c r="AL6" i="7"/>
  <c r="BH7" i="7"/>
  <c r="BH9" i="7"/>
  <c r="BH8" i="7"/>
  <c r="BH10" i="7"/>
  <c r="JF8" i="14"/>
  <c r="JI8" i="14" s="1"/>
  <c r="MS19" i="14"/>
  <c r="BZ26" i="14"/>
  <c r="CC26" i="14" s="1"/>
  <c r="BZ16" i="14"/>
  <c r="CC16" i="14" s="1"/>
  <c r="AV6" i="14"/>
  <c r="AV13" i="14"/>
  <c r="AY13" i="14" s="1"/>
  <c r="BZ11" i="14"/>
  <c r="CC11" i="14" s="1"/>
  <c r="AV16" i="14"/>
  <c r="AY16" i="14" s="1"/>
  <c r="NO21" i="4"/>
  <c r="AV6" i="4"/>
  <c r="AY6" i="4" s="1"/>
  <c r="BZ10" i="4"/>
  <c r="CC10" i="4" s="1"/>
  <c r="BZ17" i="4"/>
  <c r="CC17" i="4" s="1"/>
  <c r="AV11" i="4"/>
  <c r="AY11" i="4" s="1"/>
  <c r="AV16" i="4"/>
  <c r="AY16" i="4" s="1"/>
  <c r="BZ18" i="4"/>
  <c r="CC18" i="4" s="1"/>
  <c r="AL14" i="12"/>
  <c r="BH6" i="12"/>
  <c r="KH14" i="12"/>
  <c r="IR14" i="12"/>
  <c r="DV14" i="12"/>
  <c r="AL4" i="12"/>
  <c r="AL5" i="12"/>
  <c r="AL9" i="12"/>
  <c r="BH18" i="12"/>
  <c r="BH10" i="12"/>
  <c r="BH19" i="12"/>
  <c r="BH16" i="12"/>
  <c r="AL7" i="12"/>
  <c r="BH4" i="12"/>
  <c r="BH5" i="12"/>
  <c r="BH9" i="12"/>
  <c r="BH14" i="12"/>
  <c r="AL16" i="12"/>
  <c r="AL15" i="12"/>
  <c r="AL17" i="12"/>
  <c r="AL12" i="12"/>
  <c r="BH23" i="12"/>
  <c r="AL6" i="12"/>
  <c r="AL13" i="12"/>
  <c r="AL22" i="12"/>
  <c r="BH20" i="12"/>
  <c r="BH8" i="12"/>
  <c r="IR19" i="6"/>
  <c r="AL14" i="6"/>
  <c r="AL23" i="6"/>
  <c r="BH5" i="6"/>
  <c r="HW19" i="6"/>
  <c r="EQ19" i="6"/>
  <c r="BH9" i="6"/>
  <c r="AL19" i="6"/>
  <c r="IR15" i="6"/>
  <c r="AL4" i="6"/>
  <c r="AL10" i="6"/>
  <c r="LC19" i="6"/>
  <c r="JM19" i="6"/>
  <c r="AL12" i="6"/>
  <c r="AL15" i="6"/>
  <c r="AL7" i="8"/>
  <c r="LC5" i="8"/>
  <c r="JM5" i="8"/>
  <c r="KH12" i="8"/>
  <c r="BH10" i="8"/>
  <c r="AL8" i="8"/>
  <c r="BH7" i="8"/>
  <c r="AL5" i="8"/>
  <c r="BH4" i="8"/>
  <c r="IR5" i="8"/>
  <c r="EQ12" i="8"/>
  <c r="BH9" i="8"/>
  <c r="AL4" i="8"/>
  <c r="BH12" i="8"/>
  <c r="HB12" i="8"/>
  <c r="AL9" i="8"/>
  <c r="AL9" i="7"/>
  <c r="BH4" i="7"/>
  <c r="AL4" i="7"/>
  <c r="AV5" i="14"/>
  <c r="AY5" i="14" s="1"/>
  <c r="BZ10" i="14"/>
  <c r="CC10" i="14" s="1"/>
  <c r="BZ18" i="14"/>
  <c r="CC18" i="14" s="1"/>
  <c r="KB8" i="14"/>
  <c r="KE8" i="14" s="1"/>
  <c r="BZ20" i="14"/>
  <c r="CC20" i="14" s="1"/>
  <c r="AV8" i="14"/>
  <c r="AY8" i="14" s="1"/>
  <c r="BZ7" i="14"/>
  <c r="CC7" i="14" s="1"/>
  <c r="AV18" i="14"/>
  <c r="AY18" i="14" s="1"/>
  <c r="AV25" i="14"/>
  <c r="AY25" i="14" s="1"/>
  <c r="IJ19" i="14"/>
  <c r="IM19" i="14" s="1"/>
  <c r="IJ8" i="14"/>
  <c r="IM8" i="14" s="1"/>
  <c r="AV7" i="14"/>
  <c r="AY7" i="14" s="1"/>
  <c r="AV26" i="14"/>
  <c r="AY26" i="14" s="1"/>
  <c r="BZ14" i="14"/>
  <c r="CC14" i="14" s="1"/>
  <c r="GU8" i="14"/>
  <c r="AY6" i="14"/>
  <c r="ED8" i="14"/>
  <c r="EG8" i="14" s="1"/>
  <c r="CC17" i="14"/>
  <c r="BZ19" i="14"/>
  <c r="CC19" i="14" s="1"/>
  <c r="AV4" i="14"/>
  <c r="AY4" i="14" s="1"/>
  <c r="AV10" i="14"/>
  <c r="AY10" i="14" s="1"/>
  <c r="AV15" i="14"/>
  <c r="AY15" i="14" s="1"/>
  <c r="BZ23" i="14"/>
  <c r="CC23" i="14" s="1"/>
  <c r="NL23" i="14"/>
  <c r="NO23" i="14" s="1"/>
  <c r="AV9" i="14"/>
  <c r="AY9" i="14" s="1"/>
  <c r="AV22" i="14"/>
  <c r="AY22" i="14" s="1"/>
  <c r="AV11" i="14"/>
  <c r="AY11" i="14" s="1"/>
  <c r="BZ12" i="14"/>
  <c r="CC12" i="14" s="1"/>
  <c r="AV12" i="14"/>
  <c r="AY12" i="14" s="1"/>
  <c r="AV20" i="14"/>
  <c r="AY20" i="14" s="1"/>
  <c r="BZ24" i="14"/>
  <c r="CC24" i="14" s="1"/>
  <c r="LT23" i="14"/>
  <c r="AV14" i="14"/>
  <c r="AY14" i="14" s="1"/>
  <c r="AV17" i="14"/>
  <c r="AY17" i="14" s="1"/>
  <c r="BZ6" i="14"/>
  <c r="CC6" i="14" s="1"/>
  <c r="BZ21" i="14"/>
  <c r="CC21" i="14" s="1"/>
  <c r="BZ8" i="14"/>
  <c r="CC8" i="14" s="1"/>
  <c r="KX8" i="14"/>
  <c r="LA8" i="14" s="1"/>
  <c r="AV24" i="14"/>
  <c r="AY24" i="14" s="1"/>
  <c r="AV23" i="14"/>
  <c r="AY23" i="14" s="1"/>
  <c r="BZ5" i="14"/>
  <c r="CC5" i="14" s="1"/>
  <c r="BZ13" i="14"/>
  <c r="CC13" i="14" s="1"/>
  <c r="BZ25" i="14"/>
  <c r="CC25" i="14" s="1"/>
  <c r="KX19" i="14"/>
  <c r="LA19" i="14" s="1"/>
  <c r="AV21" i="14"/>
  <c r="AY21" i="14" s="1"/>
  <c r="BZ4" i="14"/>
  <c r="CC4" i="14" s="1"/>
  <c r="BZ15" i="14"/>
  <c r="CC15" i="14" s="1"/>
  <c r="BZ8" i="4"/>
  <c r="CC8" i="4" s="1"/>
  <c r="BZ15" i="4"/>
  <c r="CC15" i="4" s="1"/>
  <c r="AV8" i="4"/>
  <c r="AY8" i="4" s="1"/>
  <c r="AV17" i="4"/>
  <c r="AY17" i="4" s="1"/>
  <c r="BZ7" i="4"/>
  <c r="CC7" i="4" s="1"/>
  <c r="AV10" i="4"/>
  <c r="AY10" i="4" s="1"/>
  <c r="AV15" i="4"/>
  <c r="AY15" i="4" s="1"/>
  <c r="BZ20" i="4"/>
  <c r="CC20" i="4" s="1"/>
  <c r="EZ16" i="4"/>
  <c r="AV4" i="4"/>
  <c r="AY4" i="4" s="1"/>
  <c r="AV18" i="4"/>
  <c r="AY18" i="4" s="1"/>
  <c r="AV12" i="4"/>
  <c r="AY12" i="4" s="1"/>
  <c r="EZ20" i="4"/>
  <c r="FC20" i="4" s="1"/>
  <c r="AV9" i="4"/>
  <c r="AY9" i="4" s="1"/>
  <c r="AV19" i="4"/>
  <c r="AY19" i="4" s="1"/>
  <c r="BZ9" i="4"/>
  <c r="CC9" i="4" s="1"/>
  <c r="BZ11" i="4"/>
  <c r="CC11" i="4" s="1"/>
  <c r="AV20" i="4"/>
  <c r="AY20" i="4" s="1"/>
  <c r="BZ4" i="4"/>
  <c r="CC4" i="4" s="1"/>
  <c r="MP20" i="4"/>
  <c r="MS20" i="4" s="1"/>
  <c r="FV20" i="4"/>
  <c r="FY20" i="4" s="1"/>
  <c r="AV14" i="4"/>
  <c r="AY14" i="4" s="1"/>
  <c r="BZ5" i="4"/>
  <c r="CC5" i="4" s="1"/>
  <c r="BZ14" i="4"/>
  <c r="CC14" i="4" s="1"/>
  <c r="AV7" i="4"/>
  <c r="AY7" i="4" s="1"/>
  <c r="AV21" i="4"/>
  <c r="AY21" i="4" s="1"/>
  <c r="BZ13" i="4"/>
  <c r="CC13" i="4" s="1"/>
  <c r="AV5" i="4"/>
  <c r="AY5" i="4" s="1"/>
  <c r="BZ12" i="4"/>
  <c r="CC12" i="4" s="1"/>
  <c r="BZ21" i="4"/>
  <c r="CC21" i="4" s="1"/>
  <c r="DD16" i="4"/>
  <c r="DG16" i="4" s="1"/>
  <c r="AV13" i="4"/>
  <c r="AY13" i="4" s="1"/>
  <c r="BZ6" i="4"/>
  <c r="CC6" i="4" s="1"/>
  <c r="BZ19" i="4"/>
  <c r="CC19" i="4" s="1"/>
  <c r="CD19" i="6"/>
  <c r="LX19" i="6"/>
  <c r="HB19" i="6"/>
  <c r="GG19" i="6"/>
  <c r="FL19" i="6"/>
  <c r="DA19" i="6"/>
  <c r="F19" i="6"/>
  <c r="MR19" i="6"/>
  <c r="MP19" i="6"/>
  <c r="MQ19" i="6"/>
  <c r="J19" i="6"/>
  <c r="MS19" i="6"/>
  <c r="G19" i="6"/>
  <c r="JM15" i="6"/>
  <c r="KH20" i="6"/>
  <c r="DV20" i="6"/>
  <c r="AL7" i="6"/>
  <c r="BH13" i="6"/>
  <c r="AL9" i="6"/>
  <c r="BH23" i="6"/>
  <c r="HB15" i="6"/>
  <c r="BH15" i="6"/>
  <c r="BH7" i="6"/>
  <c r="AL5" i="6"/>
  <c r="AL13" i="6"/>
  <c r="BH6" i="6"/>
  <c r="BH8" i="6"/>
  <c r="CD20" i="6"/>
  <c r="OK8" i="14"/>
  <c r="LT8" i="14"/>
  <c r="LW8" i="14" s="1"/>
  <c r="HN8" i="14"/>
  <c r="HQ8" i="14" s="1"/>
  <c r="FV8" i="14"/>
  <c r="FY8" i="14" s="1"/>
  <c r="EZ8" i="14"/>
  <c r="FC8" i="14" s="1"/>
  <c r="OO8" i="14"/>
  <c r="DD8" i="14"/>
  <c r="DG8" i="14" s="1"/>
  <c r="OM8" i="14"/>
  <c r="Q8" i="14"/>
  <c r="R8" i="14" s="1"/>
  <c r="O8" i="14"/>
  <c r="P8" i="14" s="1"/>
  <c r="G8" i="14"/>
  <c r="F8" i="14" s="1"/>
  <c r="H8" i="14"/>
  <c r="MP25" i="14"/>
  <c r="MS25" i="14" s="1"/>
  <c r="GR23" i="14"/>
  <c r="KB19" i="14"/>
  <c r="KE19" i="14" s="1"/>
  <c r="FV19" i="14"/>
  <c r="FY19" i="14" s="1"/>
  <c r="DV13" i="12"/>
  <c r="MR14" i="12"/>
  <c r="KH15" i="6"/>
  <c r="MS20" i="6"/>
  <c r="LC20" i="6"/>
  <c r="JM20" i="6"/>
  <c r="HW20" i="6"/>
  <c r="EQ20" i="6"/>
  <c r="IR20" i="6"/>
  <c r="HW15" i="6"/>
  <c r="IR16" i="6"/>
  <c r="MP15" i="6"/>
  <c r="LC15" i="6"/>
  <c r="DA20" i="6"/>
  <c r="GG15" i="6"/>
  <c r="EQ15" i="6"/>
  <c r="DA15" i="6"/>
  <c r="KH9" i="6"/>
  <c r="IR9" i="6"/>
  <c r="HB9" i="6"/>
  <c r="DV9" i="6"/>
  <c r="MR20" i="6"/>
  <c r="HB20" i="6"/>
  <c r="IR12" i="8"/>
  <c r="FL5" i="8"/>
  <c r="KH5" i="8"/>
  <c r="DV12" i="8"/>
  <c r="DV5" i="8"/>
  <c r="LC12" i="8"/>
  <c r="GG12" i="8"/>
  <c r="JM12" i="8"/>
  <c r="GG5" i="8"/>
  <c r="EZ25" i="14"/>
  <c r="FC25" i="14" s="1"/>
  <c r="FV25" i="14"/>
  <c r="KX25" i="14"/>
  <c r="LA25" i="14" s="1"/>
  <c r="KX23" i="14"/>
  <c r="LA23" i="14" s="1"/>
  <c r="LT16" i="14"/>
  <c r="LW16" i="14" s="1"/>
  <c r="MP16" i="14"/>
  <c r="MS16" i="14" s="1"/>
  <c r="IJ23" i="14"/>
  <c r="IM23" i="14" s="1"/>
  <c r="NL25" i="14"/>
  <c r="NO25" i="14" s="1"/>
  <c r="DD19" i="14"/>
  <c r="DG19" i="14" s="1"/>
  <c r="OO25" i="14"/>
  <c r="ED25" i="14"/>
  <c r="EG25" i="14" s="1"/>
  <c r="JF19" i="14"/>
  <c r="JI19" i="14" s="1"/>
  <c r="GR19" i="14"/>
  <c r="GU19" i="14" s="1"/>
  <c r="FC19" i="14"/>
  <c r="JF16" i="14"/>
  <c r="JI16" i="14" s="1"/>
  <c r="NL20" i="4"/>
  <c r="NO20" i="4" s="1"/>
  <c r="GR20" i="4"/>
  <c r="GU20" i="4" s="1"/>
  <c r="JF16" i="4"/>
  <c r="JI16" i="4" s="1"/>
  <c r="HN16" i="4"/>
  <c r="HQ16" i="4" s="1"/>
  <c r="KB16" i="4"/>
  <c r="KE16" i="4" s="1"/>
  <c r="OM16" i="4"/>
  <c r="KX20" i="4"/>
  <c r="LA20" i="4" s="1"/>
  <c r="IJ16" i="4"/>
  <c r="IM16" i="4" s="1"/>
  <c r="DD20" i="4"/>
  <c r="DG20" i="4" s="1"/>
  <c r="OO16" i="4"/>
  <c r="GR16" i="4"/>
  <c r="GU16" i="4" s="1"/>
  <c r="FC16" i="4"/>
  <c r="ED16" i="4"/>
  <c r="EG16" i="4" s="1"/>
  <c r="LC14" i="12"/>
  <c r="JM14" i="12"/>
  <c r="KH13" i="12"/>
  <c r="IR13" i="12"/>
  <c r="HB13" i="12"/>
  <c r="HW14" i="12"/>
  <c r="EQ14" i="12"/>
  <c r="LC13" i="12"/>
  <c r="JM13" i="12"/>
  <c r="HW13" i="12"/>
  <c r="EQ13" i="12"/>
  <c r="CD13" i="12"/>
  <c r="LX14" i="12"/>
  <c r="HB14" i="12"/>
  <c r="FL14" i="12"/>
  <c r="DA14" i="12"/>
  <c r="MS14" i="12"/>
  <c r="CD14" i="12"/>
  <c r="MQ14" i="12"/>
  <c r="MP14" i="12"/>
  <c r="F14" i="12"/>
  <c r="J14" i="12"/>
  <c r="G14" i="12"/>
  <c r="MR13" i="12"/>
  <c r="MP13" i="12"/>
  <c r="LX13" i="12"/>
  <c r="GG13" i="12"/>
  <c r="FL13" i="12"/>
  <c r="DA13" i="12"/>
  <c r="MS13" i="12"/>
  <c r="MQ13" i="12"/>
  <c r="F13" i="12"/>
  <c r="J13" i="12"/>
  <c r="G13" i="12"/>
  <c r="MP20" i="6"/>
  <c r="CD15" i="6"/>
  <c r="DV10" i="7"/>
  <c r="GG8" i="7"/>
  <c r="EQ8" i="7"/>
  <c r="LX20" i="6"/>
  <c r="GG20" i="6"/>
  <c r="FL20" i="6"/>
  <c r="MQ20" i="6"/>
  <c r="F20" i="6"/>
  <c r="J20" i="6"/>
  <c r="G20" i="6"/>
  <c r="JM16" i="6"/>
  <c r="HW16" i="6"/>
  <c r="LX15" i="6"/>
  <c r="DV15" i="6"/>
  <c r="HB16" i="6"/>
  <c r="DV16" i="6"/>
  <c r="FL15" i="6"/>
  <c r="MS15" i="6"/>
  <c r="MR15" i="6"/>
  <c r="MQ15" i="6"/>
  <c r="F15" i="6"/>
  <c r="J15" i="6"/>
  <c r="G15" i="6"/>
  <c r="GG16" i="6"/>
  <c r="EQ16" i="6"/>
  <c r="DA16" i="6"/>
  <c r="JM9" i="6"/>
  <c r="MS16" i="6"/>
  <c r="LX16" i="6"/>
  <c r="LC16" i="6"/>
  <c r="FL16" i="6"/>
  <c r="MQ16" i="6"/>
  <c r="CD16" i="6"/>
  <c r="MR16" i="6"/>
  <c r="MP16" i="6"/>
  <c r="F16" i="6"/>
  <c r="J16" i="6"/>
  <c r="G16" i="6"/>
  <c r="GG9" i="6"/>
  <c r="LX9" i="6"/>
  <c r="CD9" i="6"/>
  <c r="LC9" i="6"/>
  <c r="HW9" i="6"/>
  <c r="FL9" i="6"/>
  <c r="DA9" i="6"/>
  <c r="MP9" i="6"/>
  <c r="MR9" i="6"/>
  <c r="MS9" i="6"/>
  <c r="MQ9" i="6"/>
  <c r="F9" i="6"/>
  <c r="J9" i="6"/>
  <c r="G9" i="6"/>
  <c r="MR12" i="8"/>
  <c r="CD12" i="8"/>
  <c r="MS5" i="8"/>
  <c r="LX12" i="8"/>
  <c r="HW12" i="8"/>
  <c r="FL12" i="8"/>
  <c r="DA12" i="8"/>
  <c r="MS12" i="8"/>
  <c r="MQ12" i="8"/>
  <c r="L12" i="8"/>
  <c r="MP12" i="8"/>
  <c r="F12" i="8"/>
  <c r="J12" i="8"/>
  <c r="G12" i="8"/>
  <c r="EQ5" i="8"/>
  <c r="DA5" i="8"/>
  <c r="LX5" i="8"/>
  <c r="HW5" i="8"/>
  <c r="HB5" i="8"/>
  <c r="MR5" i="8"/>
  <c r="CD5" i="8"/>
  <c r="L5" i="8"/>
  <c r="CF5" i="8" s="1"/>
  <c r="MQ5" i="8"/>
  <c r="MP5" i="8"/>
  <c r="F5" i="8"/>
  <c r="J5" i="8"/>
  <c r="G5" i="8"/>
  <c r="CD8" i="7"/>
  <c r="LX8" i="7"/>
  <c r="KH8" i="7"/>
  <c r="JM8" i="7"/>
  <c r="HW8" i="7"/>
  <c r="DV8" i="7"/>
  <c r="DA8" i="7"/>
  <c r="MS8" i="7"/>
  <c r="L8" i="7"/>
  <c r="CF8" i="7" s="1"/>
  <c r="MR8" i="7"/>
  <c r="MP8" i="7"/>
  <c r="MQ8" i="7"/>
  <c r="F8" i="7"/>
  <c r="J8" i="7"/>
  <c r="G8" i="7"/>
  <c r="LX10" i="7"/>
  <c r="HB10" i="7"/>
  <c r="FL10" i="7"/>
  <c r="DA10" i="7"/>
  <c r="MR10" i="7"/>
  <c r="MP10" i="7"/>
  <c r="CD10" i="7"/>
  <c r="L10" i="7"/>
  <c r="CF10" i="7" s="1"/>
  <c r="MS10" i="7"/>
  <c r="MQ10" i="7"/>
  <c r="F10" i="7"/>
  <c r="J10" i="7"/>
  <c r="G10" i="7"/>
  <c r="OK19" i="14"/>
  <c r="DD25" i="14"/>
  <c r="DG25" i="14" s="1"/>
  <c r="OM25" i="14"/>
  <c r="DD23" i="14"/>
  <c r="DG23" i="14" s="1"/>
  <c r="NL19" i="14"/>
  <c r="NO19" i="14" s="1"/>
  <c r="LW19" i="14"/>
  <c r="HN19" i="14"/>
  <c r="HQ19" i="14" s="1"/>
  <c r="ED19" i="14"/>
  <c r="EG19" i="14" s="1"/>
  <c r="OO19" i="14"/>
  <c r="OM19" i="14"/>
  <c r="Q19" i="14"/>
  <c r="R19" i="14" s="1"/>
  <c r="O19" i="14"/>
  <c r="P19" i="14" s="1"/>
  <c r="G19" i="14"/>
  <c r="F19" i="14" s="1"/>
  <c r="H19" i="14"/>
  <c r="EZ23" i="14"/>
  <c r="FC23" i="14" s="1"/>
  <c r="KB23" i="14"/>
  <c r="KE23" i="14" s="1"/>
  <c r="ED23" i="14"/>
  <c r="EG23" i="14" s="1"/>
  <c r="IJ25" i="14"/>
  <c r="IM25" i="14" s="1"/>
  <c r="LW25" i="14"/>
  <c r="KB25" i="14"/>
  <c r="KE25" i="14" s="1"/>
  <c r="JF25" i="14"/>
  <c r="JI25" i="14" s="1"/>
  <c r="HN25" i="14"/>
  <c r="HQ25" i="14" s="1"/>
  <c r="GR25" i="14"/>
  <c r="GU25" i="14" s="1"/>
  <c r="FY25" i="14"/>
  <c r="OK25" i="14"/>
  <c r="O25" i="14"/>
  <c r="DI25" i="14" s="1"/>
  <c r="G25" i="14"/>
  <c r="F25" i="14" s="1"/>
  <c r="Q25" i="14"/>
  <c r="H25" i="14"/>
  <c r="IJ16" i="14"/>
  <c r="IM16" i="14" s="1"/>
  <c r="DD16" i="14"/>
  <c r="DG16" i="14" s="1"/>
  <c r="JF23" i="14"/>
  <c r="JI23" i="14" s="1"/>
  <c r="KX16" i="14"/>
  <c r="LA16" i="14" s="1"/>
  <c r="OK23" i="14"/>
  <c r="MP23" i="14"/>
  <c r="MS23" i="14" s="1"/>
  <c r="OO23" i="14"/>
  <c r="FV23" i="14"/>
  <c r="FY23" i="14" s="1"/>
  <c r="LW23" i="14"/>
  <c r="HN23" i="14"/>
  <c r="HQ23" i="14" s="1"/>
  <c r="GU23" i="14"/>
  <c r="O23" i="14"/>
  <c r="P23" i="14" s="1"/>
  <c r="G23" i="14"/>
  <c r="OM23" i="14"/>
  <c r="Q23" i="14"/>
  <c r="R23" i="14" s="1"/>
  <c r="H23" i="14"/>
  <c r="OK16" i="14"/>
  <c r="EZ16" i="14"/>
  <c r="FC16" i="14" s="1"/>
  <c r="ED16" i="14"/>
  <c r="EG16" i="14" s="1"/>
  <c r="KB16" i="14"/>
  <c r="KE16" i="14" s="1"/>
  <c r="NL16" i="14"/>
  <c r="NO16" i="14" s="1"/>
  <c r="FV16" i="14"/>
  <c r="FY16" i="14" s="1"/>
  <c r="HN16" i="14"/>
  <c r="HQ16" i="14" s="1"/>
  <c r="GR16" i="14"/>
  <c r="GU16" i="14" s="1"/>
  <c r="OO16" i="14"/>
  <c r="OR23" i="14"/>
  <c r="OM16" i="14"/>
  <c r="O16" i="14"/>
  <c r="P16" i="14" s="1"/>
  <c r="G16" i="14"/>
  <c r="F16" i="14" s="1"/>
  <c r="Q16" i="14"/>
  <c r="H16" i="14"/>
  <c r="FV18" i="4"/>
  <c r="FY18" i="4" s="1"/>
  <c r="JF20" i="4"/>
  <c r="JI20" i="4" s="1"/>
  <c r="LT16" i="4"/>
  <c r="LW16" i="4" s="1"/>
  <c r="KX21" i="4"/>
  <c r="LA21" i="4" s="1"/>
  <c r="LT20" i="4"/>
  <c r="LW20" i="4" s="1"/>
  <c r="JF21" i="4"/>
  <c r="JI21" i="4" s="1"/>
  <c r="OO20" i="4"/>
  <c r="ED18" i="4"/>
  <c r="EG18" i="4" s="1"/>
  <c r="JF18" i="4"/>
  <c r="JI18" i="4" s="1"/>
  <c r="GR21" i="4"/>
  <c r="GU21" i="4" s="1"/>
  <c r="FV21" i="4"/>
  <c r="FY21" i="4" s="1"/>
  <c r="NL16" i="4"/>
  <c r="NO16" i="4" s="1"/>
  <c r="FY16" i="4"/>
  <c r="OM20" i="4"/>
  <c r="OR20" i="4"/>
  <c r="DD18" i="4"/>
  <c r="DG18" i="4" s="1"/>
  <c r="MP16" i="4"/>
  <c r="MS16" i="4" s="1"/>
  <c r="KX16" i="4"/>
  <c r="LA16" i="4" s="1"/>
  <c r="OK16" i="4"/>
  <c r="Q16" i="4"/>
  <c r="DK16" i="4" s="1"/>
  <c r="O16" i="4"/>
  <c r="DI16" i="4" s="1"/>
  <c r="G16" i="4"/>
  <c r="F16" i="4" s="1"/>
  <c r="H16" i="4"/>
  <c r="KB21" i="4"/>
  <c r="KE21" i="4" s="1"/>
  <c r="EZ21" i="4"/>
  <c r="FC21" i="4" s="1"/>
  <c r="ED20" i="4"/>
  <c r="EG20" i="4" s="1"/>
  <c r="KB20" i="4"/>
  <c r="KE20" i="4" s="1"/>
  <c r="HN20" i="4"/>
  <c r="HQ20" i="4" s="1"/>
  <c r="IJ20" i="4"/>
  <c r="IM20" i="4" s="1"/>
  <c r="OK20" i="4"/>
  <c r="H20" i="4"/>
  <c r="G20" i="4"/>
  <c r="Q20" i="4"/>
  <c r="R20" i="4" s="1"/>
  <c r="O20" i="4"/>
  <c r="LT21" i="4"/>
  <c r="LW21" i="4" s="1"/>
  <c r="ED21" i="4"/>
  <c r="EG21" i="4" s="1"/>
  <c r="MP21" i="4"/>
  <c r="MS21" i="4" s="1"/>
  <c r="OO21" i="4"/>
  <c r="IJ21" i="4"/>
  <c r="IM21" i="4" s="1"/>
  <c r="HN21" i="4"/>
  <c r="HQ21" i="4" s="1"/>
  <c r="DD21" i="4"/>
  <c r="DG21" i="4" s="1"/>
  <c r="O21" i="4"/>
  <c r="DI21" i="4" s="1"/>
  <c r="OM21" i="4"/>
  <c r="OK21" i="4"/>
  <c r="G21" i="4"/>
  <c r="F21" i="4" s="1"/>
  <c r="Q21" i="4"/>
  <c r="DK21" i="4" s="1"/>
  <c r="H21" i="4"/>
  <c r="OO18" i="4"/>
  <c r="LT18" i="4"/>
  <c r="LW18" i="4" s="1"/>
  <c r="MP18" i="4"/>
  <c r="MS18" i="4" s="1"/>
  <c r="HN18" i="4"/>
  <c r="HQ18" i="4" s="1"/>
  <c r="KB18" i="4"/>
  <c r="KE18" i="4" s="1"/>
  <c r="KX18" i="4"/>
  <c r="LA18" i="4" s="1"/>
  <c r="NL18" i="4"/>
  <c r="NO18" i="4" s="1"/>
  <c r="IJ18" i="4"/>
  <c r="IM18" i="4" s="1"/>
  <c r="GR18" i="4"/>
  <c r="GU18" i="4" s="1"/>
  <c r="EZ18" i="4"/>
  <c r="FC18" i="4" s="1"/>
  <c r="OK18" i="4"/>
  <c r="OM18" i="4"/>
  <c r="G18" i="4"/>
  <c r="F18" i="4" s="1"/>
  <c r="O18" i="4"/>
  <c r="P18" i="4" s="1"/>
  <c r="Q18" i="4"/>
  <c r="H18" i="4"/>
  <c r="CB9" i="8"/>
  <c r="CB4" i="8"/>
  <c r="CB10" i="8"/>
  <c r="CB11" i="8"/>
  <c r="CB8" i="8"/>
  <c r="CB6" i="8"/>
  <c r="LB12" i="12"/>
  <c r="LA12" i="12"/>
  <c r="KZ12" i="12"/>
  <c r="KY12" i="12"/>
  <c r="LB22" i="12"/>
  <c r="LA22" i="12"/>
  <c r="KZ22" i="12"/>
  <c r="KY22" i="12"/>
  <c r="LB17" i="12"/>
  <c r="LA17" i="12"/>
  <c r="KZ17" i="12"/>
  <c r="KY17" i="12"/>
  <c r="LB16" i="12"/>
  <c r="LA16" i="12"/>
  <c r="KZ16" i="12"/>
  <c r="KY16" i="12"/>
  <c r="LB10" i="12"/>
  <c r="LA10" i="12"/>
  <c r="KZ10" i="12"/>
  <c r="KY10" i="12"/>
  <c r="LB23" i="12"/>
  <c r="LA23" i="12"/>
  <c r="KZ23" i="12"/>
  <c r="KY23" i="12"/>
  <c r="LB15" i="12"/>
  <c r="LA15" i="12"/>
  <c r="KZ15" i="12"/>
  <c r="KY15" i="12"/>
  <c r="LB11" i="12"/>
  <c r="LA11" i="12"/>
  <c r="KZ11" i="12"/>
  <c r="KY11" i="12"/>
  <c r="LB19" i="12"/>
  <c r="LA19" i="12"/>
  <c r="KZ19" i="12"/>
  <c r="KY19" i="12"/>
  <c r="LB18" i="12"/>
  <c r="LA18" i="12"/>
  <c r="KZ18" i="12"/>
  <c r="KY18" i="12"/>
  <c r="LB8" i="12"/>
  <c r="LA8" i="12"/>
  <c r="KZ8" i="12"/>
  <c r="KY8" i="12"/>
  <c r="LB9" i="12"/>
  <c r="LA9" i="12"/>
  <c r="KZ9" i="12"/>
  <c r="KY9" i="12"/>
  <c r="LB20" i="12"/>
  <c r="LA20" i="12"/>
  <c r="KZ20" i="12"/>
  <c r="KY20" i="12"/>
  <c r="LB7" i="12"/>
  <c r="LA7" i="12"/>
  <c r="KZ7" i="12"/>
  <c r="KY7" i="12"/>
  <c r="LB4" i="12"/>
  <c r="LA4" i="12"/>
  <c r="KZ4" i="12"/>
  <c r="KY4" i="12"/>
  <c r="LB5" i="12"/>
  <c r="LA5" i="12"/>
  <c r="KZ5" i="12"/>
  <c r="KY5" i="12"/>
  <c r="LB6" i="12"/>
  <c r="LA6" i="12"/>
  <c r="KZ6" i="12"/>
  <c r="KY6" i="12"/>
  <c r="KG12" i="12"/>
  <c r="KF12" i="12"/>
  <c r="KE12" i="12"/>
  <c r="KD12" i="12"/>
  <c r="KG22" i="12"/>
  <c r="KF22" i="12"/>
  <c r="KE22" i="12"/>
  <c r="KD22" i="12"/>
  <c r="KG17" i="12"/>
  <c r="KF17" i="12"/>
  <c r="KE17" i="12"/>
  <c r="KD17" i="12"/>
  <c r="KG16" i="12"/>
  <c r="KF16" i="12"/>
  <c r="KE16" i="12"/>
  <c r="KD16" i="12"/>
  <c r="KG10" i="12"/>
  <c r="KF10" i="12"/>
  <c r="KE10" i="12"/>
  <c r="KD10" i="12"/>
  <c r="KG23" i="12"/>
  <c r="KF23" i="12"/>
  <c r="KE23" i="12"/>
  <c r="KD23" i="12"/>
  <c r="KG15" i="12"/>
  <c r="KF15" i="12"/>
  <c r="KE15" i="12"/>
  <c r="KD15" i="12"/>
  <c r="KG11" i="12"/>
  <c r="KF11" i="12"/>
  <c r="KE11" i="12"/>
  <c r="KD11" i="12"/>
  <c r="KG19" i="12"/>
  <c r="KF19" i="12"/>
  <c r="KE19" i="12"/>
  <c r="KD19" i="12"/>
  <c r="KG18" i="12"/>
  <c r="KF18" i="12"/>
  <c r="KE18" i="12"/>
  <c r="KD18" i="12"/>
  <c r="KG8" i="12"/>
  <c r="KF8" i="12"/>
  <c r="KE8" i="12"/>
  <c r="KD8" i="12"/>
  <c r="KG9" i="12"/>
  <c r="KF9" i="12"/>
  <c r="KE9" i="12"/>
  <c r="KD9" i="12"/>
  <c r="KG20" i="12"/>
  <c r="KF20" i="12"/>
  <c r="KE20" i="12"/>
  <c r="KD20" i="12"/>
  <c r="KG7" i="12"/>
  <c r="KF7" i="12"/>
  <c r="KE7" i="12"/>
  <c r="KD7" i="12"/>
  <c r="KG4" i="12"/>
  <c r="KF4" i="12"/>
  <c r="KE4" i="12"/>
  <c r="KD4" i="12"/>
  <c r="KG5" i="12"/>
  <c r="KF5" i="12"/>
  <c r="KE5" i="12"/>
  <c r="KD5" i="12"/>
  <c r="KG6" i="12"/>
  <c r="KF6" i="12"/>
  <c r="KE6" i="12"/>
  <c r="KD6" i="12"/>
  <c r="JL12" i="12"/>
  <c r="JK12" i="12"/>
  <c r="JJ12" i="12"/>
  <c r="JI12" i="12"/>
  <c r="JL22" i="12"/>
  <c r="JK22" i="12"/>
  <c r="JJ22" i="12"/>
  <c r="JI22" i="12"/>
  <c r="JL17" i="12"/>
  <c r="JK17" i="12"/>
  <c r="JJ17" i="12"/>
  <c r="JI17" i="12"/>
  <c r="JL16" i="12"/>
  <c r="JK16" i="12"/>
  <c r="JJ16" i="12"/>
  <c r="JI16" i="12"/>
  <c r="JL10" i="12"/>
  <c r="JK10" i="12"/>
  <c r="JJ10" i="12"/>
  <c r="JI10" i="12"/>
  <c r="JL23" i="12"/>
  <c r="JK23" i="12"/>
  <c r="JJ23" i="12"/>
  <c r="JI23" i="12"/>
  <c r="JL15" i="12"/>
  <c r="JK15" i="12"/>
  <c r="JJ15" i="12"/>
  <c r="JI15" i="12"/>
  <c r="JL11" i="12"/>
  <c r="JK11" i="12"/>
  <c r="JJ11" i="12"/>
  <c r="JI11" i="12"/>
  <c r="JL19" i="12"/>
  <c r="JK19" i="12"/>
  <c r="JJ19" i="12"/>
  <c r="JI19" i="12"/>
  <c r="JL18" i="12"/>
  <c r="JK18" i="12"/>
  <c r="JJ18" i="12"/>
  <c r="JI18" i="12"/>
  <c r="JL8" i="12"/>
  <c r="JK8" i="12"/>
  <c r="JJ8" i="12"/>
  <c r="JI8" i="12"/>
  <c r="JL9" i="12"/>
  <c r="JK9" i="12"/>
  <c r="JJ9" i="12"/>
  <c r="JI9" i="12"/>
  <c r="JL20" i="12"/>
  <c r="JK20" i="12"/>
  <c r="JJ20" i="12"/>
  <c r="JI20" i="12"/>
  <c r="JL7" i="12"/>
  <c r="JK7" i="12"/>
  <c r="JJ7" i="12"/>
  <c r="JI7" i="12"/>
  <c r="JL4" i="12"/>
  <c r="JK4" i="12"/>
  <c r="JJ4" i="12"/>
  <c r="JI4" i="12"/>
  <c r="JL5" i="12"/>
  <c r="JK5" i="12"/>
  <c r="JJ5" i="12"/>
  <c r="JI5" i="12"/>
  <c r="JL6" i="12"/>
  <c r="JK6" i="12"/>
  <c r="JJ6" i="12"/>
  <c r="JI6" i="12"/>
  <c r="IQ12" i="12"/>
  <c r="IP12" i="12"/>
  <c r="IO12" i="12"/>
  <c r="IN12" i="12"/>
  <c r="IQ22" i="12"/>
  <c r="IP22" i="12"/>
  <c r="IO22" i="12"/>
  <c r="IN22" i="12"/>
  <c r="IQ17" i="12"/>
  <c r="IP17" i="12"/>
  <c r="IO17" i="12"/>
  <c r="IN17" i="12"/>
  <c r="IQ16" i="12"/>
  <c r="IP16" i="12"/>
  <c r="IO16" i="12"/>
  <c r="IN16" i="12"/>
  <c r="IQ10" i="12"/>
  <c r="IP10" i="12"/>
  <c r="IO10" i="12"/>
  <c r="IN10" i="12"/>
  <c r="IQ23" i="12"/>
  <c r="IP23" i="12"/>
  <c r="IO23" i="12"/>
  <c r="IN23" i="12"/>
  <c r="IQ15" i="12"/>
  <c r="IP15" i="12"/>
  <c r="IO15" i="12"/>
  <c r="IN15" i="12"/>
  <c r="IQ11" i="12"/>
  <c r="IP11" i="12"/>
  <c r="IO11" i="12"/>
  <c r="IN11" i="12"/>
  <c r="IQ19" i="12"/>
  <c r="IP19" i="12"/>
  <c r="IO19" i="12"/>
  <c r="IN19" i="12"/>
  <c r="IQ18" i="12"/>
  <c r="IP18" i="12"/>
  <c r="IO18" i="12"/>
  <c r="IN18" i="12"/>
  <c r="IQ8" i="12"/>
  <c r="IP8" i="12"/>
  <c r="IO8" i="12"/>
  <c r="IN8" i="12"/>
  <c r="IQ9" i="12"/>
  <c r="IP9" i="12"/>
  <c r="IO9" i="12"/>
  <c r="IN9" i="12"/>
  <c r="IQ20" i="12"/>
  <c r="IP20" i="12"/>
  <c r="IO20" i="12"/>
  <c r="IN20" i="12"/>
  <c r="IQ7" i="12"/>
  <c r="IP7" i="12"/>
  <c r="IO7" i="12"/>
  <c r="IN7" i="12"/>
  <c r="IQ4" i="12"/>
  <c r="IP4" i="12"/>
  <c r="IO4" i="12"/>
  <c r="IN4" i="12"/>
  <c r="IQ5" i="12"/>
  <c r="IP5" i="12"/>
  <c r="IO5" i="12"/>
  <c r="IN5" i="12"/>
  <c r="IQ6" i="12"/>
  <c r="IP6" i="12"/>
  <c r="IO6" i="12"/>
  <c r="IN6" i="12"/>
  <c r="HV12" i="12"/>
  <c r="HU12" i="12"/>
  <c r="HT12" i="12"/>
  <c r="HS12" i="12"/>
  <c r="HV22" i="12"/>
  <c r="HU22" i="12"/>
  <c r="HT22" i="12"/>
  <c r="HS22" i="12"/>
  <c r="HV17" i="12"/>
  <c r="HU17" i="12"/>
  <c r="HT17" i="12"/>
  <c r="HS17" i="12"/>
  <c r="HV16" i="12"/>
  <c r="HU16" i="12"/>
  <c r="HT16" i="12"/>
  <c r="HS16" i="12"/>
  <c r="HV10" i="12"/>
  <c r="HU10" i="12"/>
  <c r="HT10" i="12"/>
  <c r="HS10" i="12"/>
  <c r="HV23" i="12"/>
  <c r="HU23" i="12"/>
  <c r="HT23" i="12"/>
  <c r="HS23" i="12"/>
  <c r="HV15" i="12"/>
  <c r="HU15" i="12"/>
  <c r="HT15" i="12"/>
  <c r="HS15" i="12"/>
  <c r="HV11" i="12"/>
  <c r="HU11" i="12"/>
  <c r="HT11" i="12"/>
  <c r="HS11" i="12"/>
  <c r="HV19" i="12"/>
  <c r="HU19" i="12"/>
  <c r="HT19" i="12"/>
  <c r="HS19" i="12"/>
  <c r="HV18" i="12"/>
  <c r="HU18" i="12"/>
  <c r="HT18" i="12"/>
  <c r="HS18" i="12"/>
  <c r="HV8" i="12"/>
  <c r="HU8" i="12"/>
  <c r="HT8" i="12"/>
  <c r="HS8" i="12"/>
  <c r="HV9" i="12"/>
  <c r="HU9" i="12"/>
  <c r="HT9" i="12"/>
  <c r="HS9" i="12"/>
  <c r="HV20" i="12"/>
  <c r="HU20" i="12"/>
  <c r="HT20" i="12"/>
  <c r="HS20" i="12"/>
  <c r="HV7" i="12"/>
  <c r="HU7" i="12"/>
  <c r="HT7" i="12"/>
  <c r="HS7" i="12"/>
  <c r="HV4" i="12"/>
  <c r="HU4" i="12"/>
  <c r="HT4" i="12"/>
  <c r="HS4" i="12"/>
  <c r="HV5" i="12"/>
  <c r="HU5" i="12"/>
  <c r="HT5" i="12"/>
  <c r="HS5" i="12"/>
  <c r="HV6" i="12"/>
  <c r="HU6" i="12"/>
  <c r="HT6" i="12"/>
  <c r="HS6" i="12"/>
  <c r="HA12" i="12"/>
  <c r="GZ12" i="12"/>
  <c r="GY12" i="12"/>
  <c r="GX12" i="12"/>
  <c r="HA22" i="12"/>
  <c r="GZ22" i="12"/>
  <c r="GY22" i="12"/>
  <c r="GX22" i="12"/>
  <c r="HA17" i="12"/>
  <c r="GZ17" i="12"/>
  <c r="GY17" i="12"/>
  <c r="GX17" i="12"/>
  <c r="HA16" i="12"/>
  <c r="GZ16" i="12"/>
  <c r="GY16" i="12"/>
  <c r="GX16" i="12"/>
  <c r="HA10" i="12"/>
  <c r="GZ10" i="12"/>
  <c r="GY10" i="12"/>
  <c r="GX10" i="12"/>
  <c r="HA23" i="12"/>
  <c r="GZ23" i="12"/>
  <c r="GY23" i="12"/>
  <c r="GX23" i="12"/>
  <c r="HA15" i="12"/>
  <c r="GZ15" i="12"/>
  <c r="GY15" i="12"/>
  <c r="GX15" i="12"/>
  <c r="HA11" i="12"/>
  <c r="GZ11" i="12"/>
  <c r="GY11" i="12"/>
  <c r="GX11" i="12"/>
  <c r="HA19" i="12"/>
  <c r="GZ19" i="12"/>
  <c r="GY19" i="12"/>
  <c r="GX19" i="12"/>
  <c r="HA18" i="12"/>
  <c r="GZ18" i="12"/>
  <c r="GY18" i="12"/>
  <c r="GX18" i="12"/>
  <c r="HA8" i="12"/>
  <c r="GZ8" i="12"/>
  <c r="GY8" i="12"/>
  <c r="GX8" i="12"/>
  <c r="HA9" i="12"/>
  <c r="GZ9" i="12"/>
  <c r="GY9" i="12"/>
  <c r="GX9" i="12"/>
  <c r="HA20" i="12"/>
  <c r="GZ20" i="12"/>
  <c r="GY20" i="12"/>
  <c r="GX20" i="12"/>
  <c r="HA7" i="12"/>
  <c r="GZ7" i="12"/>
  <c r="GY7" i="12"/>
  <c r="GX7" i="12"/>
  <c r="HA4" i="12"/>
  <c r="GZ4" i="12"/>
  <c r="GY4" i="12"/>
  <c r="GX4" i="12"/>
  <c r="HA5" i="12"/>
  <c r="GZ5" i="12"/>
  <c r="GY5" i="12"/>
  <c r="GX5" i="12"/>
  <c r="HA6" i="12"/>
  <c r="GZ6" i="12"/>
  <c r="GY6" i="12"/>
  <c r="GX6" i="12"/>
  <c r="GF12" i="12"/>
  <c r="GE12" i="12"/>
  <c r="GD12" i="12"/>
  <c r="GC12" i="12"/>
  <c r="GF22" i="12"/>
  <c r="GE22" i="12"/>
  <c r="GD22" i="12"/>
  <c r="GC22" i="12"/>
  <c r="GF17" i="12"/>
  <c r="GE17" i="12"/>
  <c r="GD17" i="12"/>
  <c r="GC17" i="12"/>
  <c r="GF16" i="12"/>
  <c r="GE16" i="12"/>
  <c r="GD16" i="12"/>
  <c r="GC16" i="12"/>
  <c r="GF10" i="12"/>
  <c r="GE10" i="12"/>
  <c r="GD10" i="12"/>
  <c r="GC10" i="12"/>
  <c r="GF23" i="12"/>
  <c r="GE23" i="12"/>
  <c r="GD23" i="12"/>
  <c r="GC23" i="12"/>
  <c r="GF15" i="12"/>
  <c r="GE15" i="12"/>
  <c r="GD15" i="12"/>
  <c r="GC15" i="12"/>
  <c r="GF11" i="12"/>
  <c r="GE11" i="12"/>
  <c r="GD11" i="12"/>
  <c r="GC11" i="12"/>
  <c r="GF19" i="12"/>
  <c r="GE19" i="12"/>
  <c r="GD19" i="12"/>
  <c r="GC19" i="12"/>
  <c r="GF18" i="12"/>
  <c r="GE18" i="12"/>
  <c r="GD18" i="12"/>
  <c r="GC18" i="12"/>
  <c r="GF8" i="12"/>
  <c r="GE8" i="12"/>
  <c r="GD8" i="12"/>
  <c r="GC8" i="12"/>
  <c r="GF9" i="12"/>
  <c r="GE9" i="12"/>
  <c r="GD9" i="12"/>
  <c r="GC9" i="12"/>
  <c r="GF20" i="12"/>
  <c r="GE20" i="12"/>
  <c r="GD20" i="12"/>
  <c r="GC20" i="12"/>
  <c r="GF7" i="12"/>
  <c r="GE7" i="12"/>
  <c r="GD7" i="12"/>
  <c r="GC7" i="12"/>
  <c r="GF4" i="12"/>
  <c r="GE4" i="12"/>
  <c r="GD4" i="12"/>
  <c r="GC4" i="12"/>
  <c r="GF5" i="12"/>
  <c r="GE5" i="12"/>
  <c r="GD5" i="12"/>
  <c r="GC5" i="12"/>
  <c r="GF6" i="12"/>
  <c r="GE6" i="12"/>
  <c r="GD6" i="12"/>
  <c r="GC6" i="12"/>
  <c r="FK12" i="12"/>
  <c r="FJ12" i="12"/>
  <c r="FI12" i="12"/>
  <c r="FH12" i="12"/>
  <c r="FK22" i="12"/>
  <c r="FJ22" i="12"/>
  <c r="FI22" i="12"/>
  <c r="FH22" i="12"/>
  <c r="FK17" i="12"/>
  <c r="FJ17" i="12"/>
  <c r="FI17" i="12"/>
  <c r="FH17" i="12"/>
  <c r="FK16" i="12"/>
  <c r="FJ16" i="12"/>
  <c r="FI16" i="12"/>
  <c r="FH16" i="12"/>
  <c r="FK10" i="12"/>
  <c r="FJ10" i="12"/>
  <c r="FI10" i="12"/>
  <c r="FH10" i="12"/>
  <c r="FK23" i="12"/>
  <c r="FJ23" i="12"/>
  <c r="FI23" i="12"/>
  <c r="FH23" i="12"/>
  <c r="FK15" i="12"/>
  <c r="FJ15" i="12"/>
  <c r="FI15" i="12"/>
  <c r="FH15" i="12"/>
  <c r="FK11" i="12"/>
  <c r="FJ11" i="12"/>
  <c r="FI11" i="12"/>
  <c r="FH11" i="12"/>
  <c r="FK19" i="12"/>
  <c r="FJ19" i="12"/>
  <c r="FI19" i="12"/>
  <c r="FH19" i="12"/>
  <c r="FK18" i="12"/>
  <c r="FJ18" i="12"/>
  <c r="FI18" i="12"/>
  <c r="FH18" i="12"/>
  <c r="FK8" i="12"/>
  <c r="FJ8" i="12"/>
  <c r="FI8" i="12"/>
  <c r="FH8" i="12"/>
  <c r="FK9" i="12"/>
  <c r="FJ9" i="12"/>
  <c r="FI9" i="12"/>
  <c r="FH9" i="12"/>
  <c r="FK20" i="12"/>
  <c r="FJ20" i="12"/>
  <c r="FI20" i="12"/>
  <c r="FH20" i="12"/>
  <c r="FK7" i="12"/>
  <c r="FJ7" i="12"/>
  <c r="FI7" i="12"/>
  <c r="FH7" i="12"/>
  <c r="FK4" i="12"/>
  <c r="FJ4" i="12"/>
  <c r="FI4" i="12"/>
  <c r="FH4" i="12"/>
  <c r="FK5" i="12"/>
  <c r="FJ5" i="12"/>
  <c r="FI5" i="12"/>
  <c r="FH5" i="12"/>
  <c r="FK6" i="12"/>
  <c r="FJ6" i="12"/>
  <c r="FI6" i="12"/>
  <c r="FH6" i="12"/>
  <c r="EP12" i="12"/>
  <c r="EO12" i="12"/>
  <c r="EN12" i="12"/>
  <c r="EM12" i="12"/>
  <c r="EP22" i="12"/>
  <c r="EO22" i="12"/>
  <c r="EN22" i="12"/>
  <c r="EM22" i="12"/>
  <c r="EP17" i="12"/>
  <c r="EO17" i="12"/>
  <c r="EN17" i="12"/>
  <c r="EM17" i="12"/>
  <c r="EP16" i="12"/>
  <c r="EO16" i="12"/>
  <c r="EN16" i="12"/>
  <c r="EM16" i="12"/>
  <c r="EP10" i="12"/>
  <c r="EO10" i="12"/>
  <c r="EN10" i="12"/>
  <c r="EM10" i="12"/>
  <c r="EP23" i="12"/>
  <c r="EO23" i="12"/>
  <c r="EN23" i="12"/>
  <c r="EM23" i="12"/>
  <c r="EP15" i="12"/>
  <c r="EO15" i="12"/>
  <c r="EN15" i="12"/>
  <c r="EM15" i="12"/>
  <c r="EP11" i="12"/>
  <c r="EO11" i="12"/>
  <c r="EN11" i="12"/>
  <c r="EM11" i="12"/>
  <c r="EP19" i="12"/>
  <c r="EO19" i="12"/>
  <c r="EN19" i="12"/>
  <c r="EM19" i="12"/>
  <c r="EP18" i="12"/>
  <c r="EO18" i="12"/>
  <c r="EN18" i="12"/>
  <c r="EM18" i="12"/>
  <c r="EP8" i="12"/>
  <c r="EO8" i="12"/>
  <c r="EN8" i="12"/>
  <c r="EM8" i="12"/>
  <c r="EP9" i="12"/>
  <c r="EO9" i="12"/>
  <c r="EN9" i="12"/>
  <c r="EM9" i="12"/>
  <c r="EP20" i="12"/>
  <c r="EO20" i="12"/>
  <c r="EN20" i="12"/>
  <c r="EM20" i="12"/>
  <c r="EP7" i="12"/>
  <c r="EO7" i="12"/>
  <c r="EN7" i="12"/>
  <c r="EM7" i="12"/>
  <c r="EP4" i="12"/>
  <c r="EO4" i="12"/>
  <c r="EN4" i="12"/>
  <c r="EM4" i="12"/>
  <c r="EP5" i="12"/>
  <c r="EO5" i="12"/>
  <c r="EN5" i="12"/>
  <c r="EM5" i="12"/>
  <c r="EP6" i="12"/>
  <c r="EO6" i="12"/>
  <c r="EN6" i="12"/>
  <c r="EM6" i="12"/>
  <c r="DU12" i="12"/>
  <c r="DT12" i="12"/>
  <c r="DS12" i="12"/>
  <c r="DR12" i="12"/>
  <c r="DU22" i="12"/>
  <c r="DT22" i="12"/>
  <c r="DS22" i="12"/>
  <c r="DR22" i="12"/>
  <c r="DU17" i="12"/>
  <c r="DT17" i="12"/>
  <c r="DS17" i="12"/>
  <c r="DR17" i="12"/>
  <c r="DU16" i="12"/>
  <c r="DT16" i="12"/>
  <c r="DS16" i="12"/>
  <c r="DR16" i="12"/>
  <c r="DU10" i="12"/>
  <c r="DT10" i="12"/>
  <c r="DS10" i="12"/>
  <c r="DR10" i="12"/>
  <c r="DU23" i="12"/>
  <c r="DT23" i="12"/>
  <c r="DS23" i="12"/>
  <c r="DR23" i="12"/>
  <c r="DU15" i="12"/>
  <c r="DT15" i="12"/>
  <c r="DS15" i="12"/>
  <c r="DR15" i="12"/>
  <c r="DU11" i="12"/>
  <c r="DT11" i="12"/>
  <c r="DS11" i="12"/>
  <c r="DR11" i="12"/>
  <c r="DU19" i="12"/>
  <c r="DT19" i="12"/>
  <c r="DS19" i="12"/>
  <c r="DR19" i="12"/>
  <c r="DU18" i="12"/>
  <c r="DT18" i="12"/>
  <c r="DS18" i="12"/>
  <c r="DR18" i="12"/>
  <c r="DU8" i="12"/>
  <c r="DT8" i="12"/>
  <c r="DS8" i="12"/>
  <c r="DR8" i="12"/>
  <c r="DU9" i="12"/>
  <c r="DT9" i="12"/>
  <c r="DS9" i="12"/>
  <c r="DR9" i="12"/>
  <c r="DU20" i="12"/>
  <c r="DT20" i="12"/>
  <c r="DS20" i="12"/>
  <c r="DR20" i="12"/>
  <c r="DU7" i="12"/>
  <c r="DT7" i="12"/>
  <c r="DS7" i="12"/>
  <c r="DR7" i="12"/>
  <c r="DU4" i="12"/>
  <c r="DT4" i="12"/>
  <c r="DS4" i="12"/>
  <c r="DR4" i="12"/>
  <c r="DU5" i="12"/>
  <c r="DT5" i="12"/>
  <c r="DS5" i="12"/>
  <c r="DR5" i="12"/>
  <c r="DU6" i="12"/>
  <c r="DT6" i="12"/>
  <c r="DS6" i="12"/>
  <c r="DR6" i="12"/>
  <c r="CZ12" i="12"/>
  <c r="CY12" i="12"/>
  <c r="CX12" i="12"/>
  <c r="CW12" i="12"/>
  <c r="CZ22" i="12"/>
  <c r="CY22" i="12"/>
  <c r="CX22" i="12"/>
  <c r="CW22" i="12"/>
  <c r="CZ17" i="12"/>
  <c r="CY17" i="12"/>
  <c r="CX17" i="12"/>
  <c r="CW17" i="12"/>
  <c r="CZ16" i="12"/>
  <c r="CY16" i="12"/>
  <c r="CX16" i="12"/>
  <c r="CW16" i="12"/>
  <c r="CZ10" i="12"/>
  <c r="CY10" i="12"/>
  <c r="CX10" i="12"/>
  <c r="CW10" i="12"/>
  <c r="CZ23" i="12"/>
  <c r="CY23" i="12"/>
  <c r="CX23" i="12"/>
  <c r="CW23" i="12"/>
  <c r="CZ15" i="12"/>
  <c r="CY15" i="12"/>
  <c r="CX15" i="12"/>
  <c r="CW15" i="12"/>
  <c r="CZ11" i="12"/>
  <c r="CY11" i="12"/>
  <c r="CX11" i="12"/>
  <c r="CW11" i="12"/>
  <c r="CZ19" i="12"/>
  <c r="CY19" i="12"/>
  <c r="CX19" i="12"/>
  <c r="CW19" i="12"/>
  <c r="CZ18" i="12"/>
  <c r="CY18" i="12"/>
  <c r="CX18" i="12"/>
  <c r="CW18" i="12"/>
  <c r="CZ8" i="12"/>
  <c r="CY8" i="12"/>
  <c r="CX8" i="12"/>
  <c r="CW8" i="12"/>
  <c r="CZ9" i="12"/>
  <c r="CY9" i="12"/>
  <c r="CX9" i="12"/>
  <c r="CW9" i="12"/>
  <c r="CZ20" i="12"/>
  <c r="CY20" i="12"/>
  <c r="CX20" i="12"/>
  <c r="CW20" i="12"/>
  <c r="CZ7" i="12"/>
  <c r="CY7" i="12"/>
  <c r="CX7" i="12"/>
  <c r="CW7" i="12"/>
  <c r="CZ4" i="12"/>
  <c r="CY4" i="12"/>
  <c r="CX4" i="12"/>
  <c r="CW4" i="12"/>
  <c r="CZ5" i="12"/>
  <c r="CY5" i="12"/>
  <c r="CX5" i="12"/>
  <c r="CW5" i="12"/>
  <c r="CZ6" i="12"/>
  <c r="CY6" i="12"/>
  <c r="CX6" i="12"/>
  <c r="CW6" i="12"/>
  <c r="LB17" i="6"/>
  <c r="LA17" i="6"/>
  <c r="KZ17" i="6"/>
  <c r="KY17" i="6"/>
  <c r="LB23" i="6"/>
  <c r="LA23" i="6"/>
  <c r="KZ23" i="6"/>
  <c r="KY23" i="6"/>
  <c r="LB13" i="6"/>
  <c r="LA13" i="6"/>
  <c r="KZ13" i="6"/>
  <c r="KY13" i="6"/>
  <c r="LB10" i="6"/>
  <c r="LA10" i="6"/>
  <c r="KZ10" i="6"/>
  <c r="KY10" i="6"/>
  <c r="LB8" i="6"/>
  <c r="LA8" i="6"/>
  <c r="KZ8" i="6"/>
  <c r="KY8" i="6"/>
  <c r="LB11" i="6"/>
  <c r="LA11" i="6"/>
  <c r="KZ11" i="6"/>
  <c r="KY11" i="6"/>
  <c r="LB12" i="6"/>
  <c r="LA12" i="6"/>
  <c r="KZ12" i="6"/>
  <c r="KY12" i="6"/>
  <c r="LB18" i="6"/>
  <c r="LA18" i="6"/>
  <c r="KZ18" i="6"/>
  <c r="KY18" i="6"/>
  <c r="LB6" i="6"/>
  <c r="LA6" i="6"/>
  <c r="KZ6" i="6"/>
  <c r="KY6" i="6"/>
  <c r="LB21" i="6"/>
  <c r="LA21" i="6"/>
  <c r="KZ21" i="6"/>
  <c r="KY21" i="6"/>
  <c r="LB7" i="6"/>
  <c r="LA7" i="6"/>
  <c r="KZ7" i="6"/>
  <c r="KY7" i="6"/>
  <c r="LB14" i="6"/>
  <c r="LA14" i="6"/>
  <c r="KZ14" i="6"/>
  <c r="KY14" i="6"/>
  <c r="LB5" i="6"/>
  <c r="LA5" i="6"/>
  <c r="KZ5" i="6"/>
  <c r="KY5" i="6"/>
  <c r="LB4" i="6"/>
  <c r="LA4" i="6"/>
  <c r="KZ4" i="6"/>
  <c r="KY4" i="6"/>
  <c r="KG17" i="6"/>
  <c r="KF17" i="6"/>
  <c r="KE17" i="6"/>
  <c r="KD17" i="6"/>
  <c r="KG23" i="6"/>
  <c r="KF23" i="6"/>
  <c r="KE23" i="6"/>
  <c r="KD23" i="6"/>
  <c r="KG13" i="6"/>
  <c r="KF13" i="6"/>
  <c r="KE13" i="6"/>
  <c r="KD13" i="6"/>
  <c r="KG10" i="6"/>
  <c r="KF10" i="6"/>
  <c r="KE10" i="6"/>
  <c r="KD10" i="6"/>
  <c r="KG8" i="6"/>
  <c r="KF8" i="6"/>
  <c r="KE8" i="6"/>
  <c r="KD8" i="6"/>
  <c r="KG11" i="6"/>
  <c r="KF11" i="6"/>
  <c r="KE11" i="6"/>
  <c r="KD11" i="6"/>
  <c r="KG12" i="6"/>
  <c r="KF12" i="6"/>
  <c r="KE12" i="6"/>
  <c r="KD12" i="6"/>
  <c r="KG18" i="6"/>
  <c r="KF18" i="6"/>
  <c r="KE18" i="6"/>
  <c r="KD18" i="6"/>
  <c r="KG6" i="6"/>
  <c r="KF6" i="6"/>
  <c r="KE6" i="6"/>
  <c r="KD6" i="6"/>
  <c r="KG21" i="6"/>
  <c r="KF21" i="6"/>
  <c r="KE21" i="6"/>
  <c r="KD21" i="6"/>
  <c r="KG7" i="6"/>
  <c r="KF7" i="6"/>
  <c r="KE7" i="6"/>
  <c r="KD7" i="6"/>
  <c r="KG14" i="6"/>
  <c r="KF14" i="6"/>
  <c r="KE14" i="6"/>
  <c r="KD14" i="6"/>
  <c r="KG5" i="6"/>
  <c r="KF5" i="6"/>
  <c r="KE5" i="6"/>
  <c r="KD5" i="6"/>
  <c r="KG4" i="6"/>
  <c r="KF4" i="6"/>
  <c r="KE4" i="6"/>
  <c r="KD4" i="6"/>
  <c r="JL17" i="6"/>
  <c r="JK17" i="6"/>
  <c r="JJ17" i="6"/>
  <c r="JI17" i="6"/>
  <c r="JL23" i="6"/>
  <c r="JK23" i="6"/>
  <c r="JJ23" i="6"/>
  <c r="JI23" i="6"/>
  <c r="JL13" i="6"/>
  <c r="JK13" i="6"/>
  <c r="JJ13" i="6"/>
  <c r="JI13" i="6"/>
  <c r="JL10" i="6"/>
  <c r="JK10" i="6"/>
  <c r="JJ10" i="6"/>
  <c r="JI10" i="6"/>
  <c r="JL8" i="6"/>
  <c r="JK8" i="6"/>
  <c r="JJ8" i="6"/>
  <c r="JI8" i="6"/>
  <c r="JL11" i="6"/>
  <c r="JK11" i="6"/>
  <c r="JJ11" i="6"/>
  <c r="JI11" i="6"/>
  <c r="JL12" i="6"/>
  <c r="JK12" i="6"/>
  <c r="JJ12" i="6"/>
  <c r="JI12" i="6"/>
  <c r="JL18" i="6"/>
  <c r="JK18" i="6"/>
  <c r="JJ18" i="6"/>
  <c r="JI18" i="6"/>
  <c r="JL6" i="6"/>
  <c r="JK6" i="6"/>
  <c r="JJ6" i="6"/>
  <c r="JI6" i="6"/>
  <c r="JL21" i="6"/>
  <c r="JK21" i="6"/>
  <c r="JJ21" i="6"/>
  <c r="JI21" i="6"/>
  <c r="JL7" i="6"/>
  <c r="JK7" i="6"/>
  <c r="JJ7" i="6"/>
  <c r="JI7" i="6"/>
  <c r="JL14" i="6"/>
  <c r="JK14" i="6"/>
  <c r="JJ14" i="6"/>
  <c r="JI14" i="6"/>
  <c r="JL5" i="6"/>
  <c r="JK5" i="6"/>
  <c r="JJ5" i="6"/>
  <c r="JI5" i="6"/>
  <c r="JL4" i="6"/>
  <c r="JK4" i="6"/>
  <c r="JJ4" i="6"/>
  <c r="JI4" i="6"/>
  <c r="IQ17" i="6"/>
  <c r="IP17" i="6"/>
  <c r="IO17" i="6"/>
  <c r="IN17" i="6"/>
  <c r="IQ23" i="6"/>
  <c r="IP23" i="6"/>
  <c r="IO23" i="6"/>
  <c r="IN23" i="6"/>
  <c r="IQ13" i="6"/>
  <c r="IP13" i="6"/>
  <c r="IO13" i="6"/>
  <c r="IN13" i="6"/>
  <c r="IQ10" i="6"/>
  <c r="IP10" i="6"/>
  <c r="IO10" i="6"/>
  <c r="IN10" i="6"/>
  <c r="IQ8" i="6"/>
  <c r="IP8" i="6"/>
  <c r="IO8" i="6"/>
  <c r="IN8" i="6"/>
  <c r="IQ11" i="6"/>
  <c r="IP11" i="6"/>
  <c r="IO11" i="6"/>
  <c r="IN11" i="6"/>
  <c r="IQ12" i="6"/>
  <c r="IP12" i="6"/>
  <c r="IO12" i="6"/>
  <c r="IN12" i="6"/>
  <c r="IQ18" i="6"/>
  <c r="IP18" i="6"/>
  <c r="IO18" i="6"/>
  <c r="IN18" i="6"/>
  <c r="IQ6" i="6"/>
  <c r="IP6" i="6"/>
  <c r="IO6" i="6"/>
  <c r="IN6" i="6"/>
  <c r="IQ21" i="6"/>
  <c r="IP21" i="6"/>
  <c r="IO21" i="6"/>
  <c r="IN21" i="6"/>
  <c r="IQ7" i="6"/>
  <c r="IP7" i="6"/>
  <c r="IO7" i="6"/>
  <c r="IN7" i="6"/>
  <c r="IQ14" i="6"/>
  <c r="IP14" i="6"/>
  <c r="IO14" i="6"/>
  <c r="IN14" i="6"/>
  <c r="IQ5" i="6"/>
  <c r="IP5" i="6"/>
  <c r="IO5" i="6"/>
  <c r="IN5" i="6"/>
  <c r="IQ4" i="6"/>
  <c r="IP4" i="6"/>
  <c r="IO4" i="6"/>
  <c r="IN4" i="6"/>
  <c r="HV17" i="6"/>
  <c r="HU17" i="6"/>
  <c r="HT17" i="6"/>
  <c r="HS17" i="6"/>
  <c r="HV23" i="6"/>
  <c r="HU23" i="6"/>
  <c r="HT23" i="6"/>
  <c r="HS23" i="6"/>
  <c r="HV13" i="6"/>
  <c r="HU13" i="6"/>
  <c r="HT13" i="6"/>
  <c r="HS13" i="6"/>
  <c r="HV10" i="6"/>
  <c r="HU10" i="6"/>
  <c r="HT10" i="6"/>
  <c r="HS10" i="6"/>
  <c r="HV8" i="6"/>
  <c r="HU8" i="6"/>
  <c r="HT8" i="6"/>
  <c r="HS8" i="6"/>
  <c r="HV11" i="6"/>
  <c r="HU11" i="6"/>
  <c r="HT11" i="6"/>
  <c r="HS11" i="6"/>
  <c r="HV12" i="6"/>
  <c r="HU12" i="6"/>
  <c r="HT12" i="6"/>
  <c r="HS12" i="6"/>
  <c r="HV18" i="6"/>
  <c r="HU18" i="6"/>
  <c r="HT18" i="6"/>
  <c r="HS18" i="6"/>
  <c r="HV6" i="6"/>
  <c r="HU6" i="6"/>
  <c r="HT6" i="6"/>
  <c r="HS6" i="6"/>
  <c r="HV21" i="6"/>
  <c r="HU21" i="6"/>
  <c r="HT21" i="6"/>
  <c r="HS21" i="6"/>
  <c r="HV7" i="6"/>
  <c r="HU7" i="6"/>
  <c r="HT7" i="6"/>
  <c r="HS7" i="6"/>
  <c r="HV14" i="6"/>
  <c r="HU14" i="6"/>
  <c r="HT14" i="6"/>
  <c r="HS14" i="6"/>
  <c r="HV5" i="6"/>
  <c r="HU5" i="6"/>
  <c r="HT5" i="6"/>
  <c r="HS5" i="6"/>
  <c r="HV4" i="6"/>
  <c r="HU4" i="6"/>
  <c r="HT4" i="6"/>
  <c r="HS4" i="6"/>
  <c r="HA17" i="6"/>
  <c r="GZ17" i="6"/>
  <c r="GY17" i="6"/>
  <c r="GX17" i="6"/>
  <c r="HA23" i="6"/>
  <c r="GZ23" i="6"/>
  <c r="GY23" i="6"/>
  <c r="GX23" i="6"/>
  <c r="HA13" i="6"/>
  <c r="GZ13" i="6"/>
  <c r="GY13" i="6"/>
  <c r="GX13" i="6"/>
  <c r="HA10" i="6"/>
  <c r="GZ10" i="6"/>
  <c r="GY10" i="6"/>
  <c r="GX10" i="6"/>
  <c r="HA8" i="6"/>
  <c r="GZ8" i="6"/>
  <c r="GY8" i="6"/>
  <c r="GX8" i="6"/>
  <c r="HA11" i="6"/>
  <c r="GZ11" i="6"/>
  <c r="GY11" i="6"/>
  <c r="GX11" i="6"/>
  <c r="HA12" i="6"/>
  <c r="GZ12" i="6"/>
  <c r="GY12" i="6"/>
  <c r="GX12" i="6"/>
  <c r="HA18" i="6"/>
  <c r="GZ18" i="6"/>
  <c r="GY18" i="6"/>
  <c r="GX18" i="6"/>
  <c r="HA6" i="6"/>
  <c r="GZ6" i="6"/>
  <c r="GY6" i="6"/>
  <c r="GX6" i="6"/>
  <c r="HA21" i="6"/>
  <c r="GZ21" i="6"/>
  <c r="GY21" i="6"/>
  <c r="GX21" i="6"/>
  <c r="HA7" i="6"/>
  <c r="GZ7" i="6"/>
  <c r="GY7" i="6"/>
  <c r="GX7" i="6"/>
  <c r="HA14" i="6"/>
  <c r="GZ14" i="6"/>
  <c r="GY14" i="6"/>
  <c r="GX14" i="6"/>
  <c r="HA5" i="6"/>
  <c r="GZ5" i="6"/>
  <c r="GY5" i="6"/>
  <c r="GX5" i="6"/>
  <c r="HA4" i="6"/>
  <c r="GZ4" i="6"/>
  <c r="GY4" i="6"/>
  <c r="GX4" i="6"/>
  <c r="GF17" i="6"/>
  <c r="GE17" i="6"/>
  <c r="GD17" i="6"/>
  <c r="GC17" i="6"/>
  <c r="GF23" i="6"/>
  <c r="GE23" i="6"/>
  <c r="GD23" i="6"/>
  <c r="GC23" i="6"/>
  <c r="GF13" i="6"/>
  <c r="GE13" i="6"/>
  <c r="GD13" i="6"/>
  <c r="GC13" i="6"/>
  <c r="GF10" i="6"/>
  <c r="GE10" i="6"/>
  <c r="GD10" i="6"/>
  <c r="GC10" i="6"/>
  <c r="GF8" i="6"/>
  <c r="GE8" i="6"/>
  <c r="GD8" i="6"/>
  <c r="GC8" i="6"/>
  <c r="GF11" i="6"/>
  <c r="GE11" i="6"/>
  <c r="GD11" i="6"/>
  <c r="GC11" i="6"/>
  <c r="GF12" i="6"/>
  <c r="GE12" i="6"/>
  <c r="GD12" i="6"/>
  <c r="GC12" i="6"/>
  <c r="GF18" i="6"/>
  <c r="GE18" i="6"/>
  <c r="GD18" i="6"/>
  <c r="GC18" i="6"/>
  <c r="GF6" i="6"/>
  <c r="GE6" i="6"/>
  <c r="GD6" i="6"/>
  <c r="GC6" i="6"/>
  <c r="GF21" i="6"/>
  <c r="GE21" i="6"/>
  <c r="GD21" i="6"/>
  <c r="GC21" i="6"/>
  <c r="GF7" i="6"/>
  <c r="GE7" i="6"/>
  <c r="GD7" i="6"/>
  <c r="GC7" i="6"/>
  <c r="GF14" i="6"/>
  <c r="GE14" i="6"/>
  <c r="GD14" i="6"/>
  <c r="GC14" i="6"/>
  <c r="GF5" i="6"/>
  <c r="GE5" i="6"/>
  <c r="GD5" i="6"/>
  <c r="GC5" i="6"/>
  <c r="GF4" i="6"/>
  <c r="GE4" i="6"/>
  <c r="GD4" i="6"/>
  <c r="GC4" i="6"/>
  <c r="FK17" i="6"/>
  <c r="FJ17" i="6"/>
  <c r="FI17" i="6"/>
  <c r="FH17" i="6"/>
  <c r="FK23" i="6"/>
  <c r="FJ23" i="6"/>
  <c r="FI23" i="6"/>
  <c r="FH23" i="6"/>
  <c r="FK13" i="6"/>
  <c r="FJ13" i="6"/>
  <c r="FI13" i="6"/>
  <c r="FH13" i="6"/>
  <c r="FK10" i="6"/>
  <c r="FJ10" i="6"/>
  <c r="FI10" i="6"/>
  <c r="FH10" i="6"/>
  <c r="FK8" i="6"/>
  <c r="FJ8" i="6"/>
  <c r="FI8" i="6"/>
  <c r="FH8" i="6"/>
  <c r="FK11" i="6"/>
  <c r="FJ11" i="6"/>
  <c r="FI11" i="6"/>
  <c r="FH11" i="6"/>
  <c r="FK12" i="6"/>
  <c r="FJ12" i="6"/>
  <c r="FI12" i="6"/>
  <c r="FH12" i="6"/>
  <c r="FK18" i="6"/>
  <c r="FJ18" i="6"/>
  <c r="FI18" i="6"/>
  <c r="FH18" i="6"/>
  <c r="FK6" i="6"/>
  <c r="FJ6" i="6"/>
  <c r="FI6" i="6"/>
  <c r="FH6" i="6"/>
  <c r="FK21" i="6"/>
  <c r="FJ21" i="6"/>
  <c r="FI21" i="6"/>
  <c r="FH21" i="6"/>
  <c r="FK7" i="6"/>
  <c r="FJ7" i="6"/>
  <c r="FI7" i="6"/>
  <c r="FH7" i="6"/>
  <c r="FK14" i="6"/>
  <c r="FJ14" i="6"/>
  <c r="FI14" i="6"/>
  <c r="FH14" i="6"/>
  <c r="FK5" i="6"/>
  <c r="FJ5" i="6"/>
  <c r="FI5" i="6"/>
  <c r="FH5" i="6"/>
  <c r="FK4" i="6"/>
  <c r="FJ4" i="6"/>
  <c r="FI4" i="6"/>
  <c r="FH4" i="6"/>
  <c r="EP17" i="6"/>
  <c r="EO17" i="6"/>
  <c r="EN17" i="6"/>
  <c r="EM17" i="6"/>
  <c r="EP23" i="6"/>
  <c r="EO23" i="6"/>
  <c r="EN23" i="6"/>
  <c r="EM23" i="6"/>
  <c r="EP13" i="6"/>
  <c r="EO13" i="6"/>
  <c r="EN13" i="6"/>
  <c r="EM13" i="6"/>
  <c r="EP10" i="6"/>
  <c r="EO10" i="6"/>
  <c r="EN10" i="6"/>
  <c r="EM10" i="6"/>
  <c r="EP8" i="6"/>
  <c r="EO8" i="6"/>
  <c r="EN8" i="6"/>
  <c r="EM8" i="6"/>
  <c r="EP11" i="6"/>
  <c r="EO11" i="6"/>
  <c r="EN11" i="6"/>
  <c r="EM11" i="6"/>
  <c r="EP12" i="6"/>
  <c r="EO12" i="6"/>
  <c r="EN12" i="6"/>
  <c r="EM12" i="6"/>
  <c r="EP18" i="6"/>
  <c r="EO18" i="6"/>
  <c r="EN18" i="6"/>
  <c r="EM18" i="6"/>
  <c r="EP6" i="6"/>
  <c r="EO6" i="6"/>
  <c r="EN6" i="6"/>
  <c r="EM6" i="6"/>
  <c r="EP21" i="6"/>
  <c r="EO21" i="6"/>
  <c r="EN21" i="6"/>
  <c r="EM21" i="6"/>
  <c r="EP7" i="6"/>
  <c r="EO7" i="6"/>
  <c r="EN7" i="6"/>
  <c r="EM7" i="6"/>
  <c r="EP14" i="6"/>
  <c r="EO14" i="6"/>
  <c r="EN14" i="6"/>
  <c r="EM14" i="6"/>
  <c r="EP5" i="6"/>
  <c r="EO5" i="6"/>
  <c r="EN5" i="6"/>
  <c r="EM5" i="6"/>
  <c r="EP4" i="6"/>
  <c r="EO4" i="6"/>
  <c r="EN4" i="6"/>
  <c r="EM4" i="6"/>
  <c r="DU17" i="6"/>
  <c r="DT17" i="6"/>
  <c r="DS17" i="6"/>
  <c r="DR17" i="6"/>
  <c r="DU23" i="6"/>
  <c r="DT23" i="6"/>
  <c r="DS23" i="6"/>
  <c r="DR23" i="6"/>
  <c r="DU13" i="6"/>
  <c r="DT13" i="6"/>
  <c r="DS13" i="6"/>
  <c r="DR13" i="6"/>
  <c r="DU10" i="6"/>
  <c r="DT10" i="6"/>
  <c r="DS10" i="6"/>
  <c r="DR10" i="6"/>
  <c r="DU8" i="6"/>
  <c r="DT8" i="6"/>
  <c r="DS8" i="6"/>
  <c r="DR8" i="6"/>
  <c r="DU11" i="6"/>
  <c r="DT11" i="6"/>
  <c r="DS11" i="6"/>
  <c r="DR11" i="6"/>
  <c r="DU12" i="6"/>
  <c r="DT12" i="6"/>
  <c r="DS12" i="6"/>
  <c r="DR12" i="6"/>
  <c r="DU18" i="6"/>
  <c r="DT18" i="6"/>
  <c r="DS18" i="6"/>
  <c r="DR18" i="6"/>
  <c r="DU6" i="6"/>
  <c r="DT6" i="6"/>
  <c r="DS6" i="6"/>
  <c r="DR6" i="6"/>
  <c r="DU21" i="6"/>
  <c r="DT21" i="6"/>
  <c r="DS21" i="6"/>
  <c r="DR21" i="6"/>
  <c r="DU7" i="6"/>
  <c r="DT7" i="6"/>
  <c r="DS7" i="6"/>
  <c r="DR7" i="6"/>
  <c r="DU14" i="6"/>
  <c r="DT14" i="6"/>
  <c r="DS14" i="6"/>
  <c r="DR14" i="6"/>
  <c r="DU5" i="6"/>
  <c r="DT5" i="6"/>
  <c r="DS5" i="6"/>
  <c r="DR5" i="6"/>
  <c r="DU4" i="6"/>
  <c r="DT4" i="6"/>
  <c r="DS4" i="6"/>
  <c r="DR4" i="6"/>
  <c r="CZ17" i="6"/>
  <c r="CY17" i="6"/>
  <c r="CX17" i="6"/>
  <c r="CW17" i="6"/>
  <c r="CZ23" i="6"/>
  <c r="CY23" i="6"/>
  <c r="CX23" i="6"/>
  <c r="CW23" i="6"/>
  <c r="CZ13" i="6"/>
  <c r="CY13" i="6"/>
  <c r="CX13" i="6"/>
  <c r="CW13" i="6"/>
  <c r="CZ10" i="6"/>
  <c r="CY10" i="6"/>
  <c r="CX10" i="6"/>
  <c r="CW10" i="6"/>
  <c r="CZ8" i="6"/>
  <c r="CY8" i="6"/>
  <c r="CX8" i="6"/>
  <c r="CW8" i="6"/>
  <c r="CZ11" i="6"/>
  <c r="CY11" i="6"/>
  <c r="CX11" i="6"/>
  <c r="CW11" i="6"/>
  <c r="CZ12" i="6"/>
  <c r="CY12" i="6"/>
  <c r="CX12" i="6"/>
  <c r="CW12" i="6"/>
  <c r="CZ18" i="6"/>
  <c r="CY18" i="6"/>
  <c r="CX18" i="6"/>
  <c r="CW18" i="6"/>
  <c r="CZ6" i="6"/>
  <c r="CY6" i="6"/>
  <c r="CX6" i="6"/>
  <c r="CW6" i="6"/>
  <c r="CZ21" i="6"/>
  <c r="CY21" i="6"/>
  <c r="CX21" i="6"/>
  <c r="CW21" i="6"/>
  <c r="CZ7" i="6"/>
  <c r="CY7" i="6"/>
  <c r="CX7" i="6"/>
  <c r="CW7" i="6"/>
  <c r="CZ14" i="6"/>
  <c r="CY14" i="6"/>
  <c r="CX14" i="6"/>
  <c r="CW14" i="6"/>
  <c r="CZ5" i="6"/>
  <c r="CY5" i="6"/>
  <c r="CX5" i="6"/>
  <c r="CW5" i="6"/>
  <c r="CZ4" i="6"/>
  <c r="CY4" i="6"/>
  <c r="CX4" i="6"/>
  <c r="CW4" i="6"/>
  <c r="LB6" i="8"/>
  <c r="LA6" i="8"/>
  <c r="KZ6" i="8"/>
  <c r="KY6" i="8"/>
  <c r="LB8" i="8"/>
  <c r="LA8" i="8"/>
  <c r="KZ8" i="8"/>
  <c r="KY8" i="8"/>
  <c r="LB11" i="8"/>
  <c r="LA11" i="8"/>
  <c r="KZ11" i="8"/>
  <c r="KY11" i="8"/>
  <c r="LB10" i="8"/>
  <c r="LA10" i="8"/>
  <c r="KZ10" i="8"/>
  <c r="KY10" i="8"/>
  <c r="LB4" i="8"/>
  <c r="LA4" i="8"/>
  <c r="KZ4" i="8"/>
  <c r="KY4" i="8"/>
  <c r="LB9" i="8"/>
  <c r="LA9" i="8"/>
  <c r="KZ9" i="8"/>
  <c r="KY9" i="8"/>
  <c r="LB7" i="8"/>
  <c r="LA7" i="8"/>
  <c r="KZ7" i="8"/>
  <c r="KY7" i="8"/>
  <c r="KG6" i="8"/>
  <c r="KF6" i="8"/>
  <c r="KE6" i="8"/>
  <c r="KD6" i="8"/>
  <c r="KG8" i="8"/>
  <c r="KF8" i="8"/>
  <c r="KE8" i="8"/>
  <c r="KD8" i="8"/>
  <c r="KG11" i="8"/>
  <c r="KF11" i="8"/>
  <c r="KE11" i="8"/>
  <c r="KD11" i="8"/>
  <c r="KG10" i="8"/>
  <c r="KF10" i="8"/>
  <c r="KE10" i="8"/>
  <c r="KD10" i="8"/>
  <c r="KG4" i="8"/>
  <c r="KF4" i="8"/>
  <c r="KE4" i="8"/>
  <c r="KD4" i="8"/>
  <c r="KG9" i="8"/>
  <c r="KF9" i="8"/>
  <c r="KE9" i="8"/>
  <c r="KD9" i="8"/>
  <c r="KG7" i="8"/>
  <c r="KF7" i="8"/>
  <c r="KE7" i="8"/>
  <c r="KD7" i="8"/>
  <c r="JL6" i="8"/>
  <c r="JK6" i="8"/>
  <c r="JJ6" i="8"/>
  <c r="JI6" i="8"/>
  <c r="JL8" i="8"/>
  <c r="JK8" i="8"/>
  <c r="JJ8" i="8"/>
  <c r="JI8" i="8"/>
  <c r="JL11" i="8"/>
  <c r="JK11" i="8"/>
  <c r="JJ11" i="8"/>
  <c r="JI11" i="8"/>
  <c r="JL10" i="8"/>
  <c r="JK10" i="8"/>
  <c r="JJ10" i="8"/>
  <c r="JI10" i="8"/>
  <c r="JL4" i="8"/>
  <c r="JK4" i="8"/>
  <c r="JJ4" i="8"/>
  <c r="JI4" i="8"/>
  <c r="JL9" i="8"/>
  <c r="JK9" i="8"/>
  <c r="JJ9" i="8"/>
  <c r="JI9" i="8"/>
  <c r="JL7" i="8"/>
  <c r="JK7" i="8"/>
  <c r="JJ7" i="8"/>
  <c r="JI7" i="8"/>
  <c r="IQ6" i="8"/>
  <c r="IP6" i="8"/>
  <c r="IO6" i="8"/>
  <c r="IN6" i="8"/>
  <c r="IQ8" i="8"/>
  <c r="IP8" i="8"/>
  <c r="IO8" i="8"/>
  <c r="IN8" i="8"/>
  <c r="IQ11" i="8"/>
  <c r="IP11" i="8"/>
  <c r="IO11" i="8"/>
  <c r="IN11" i="8"/>
  <c r="IQ10" i="8"/>
  <c r="IP10" i="8"/>
  <c r="IO10" i="8"/>
  <c r="IN10" i="8"/>
  <c r="IQ4" i="8"/>
  <c r="IP4" i="8"/>
  <c r="IO4" i="8"/>
  <c r="IN4" i="8"/>
  <c r="IQ9" i="8"/>
  <c r="IP9" i="8"/>
  <c r="IO9" i="8"/>
  <c r="IN9" i="8"/>
  <c r="IQ7" i="8"/>
  <c r="IP7" i="8"/>
  <c r="IO7" i="8"/>
  <c r="IN7" i="8"/>
  <c r="HV6" i="8"/>
  <c r="HU6" i="8"/>
  <c r="HT6" i="8"/>
  <c r="HS6" i="8"/>
  <c r="HV8" i="8"/>
  <c r="HU8" i="8"/>
  <c r="HT8" i="8"/>
  <c r="HS8" i="8"/>
  <c r="HV11" i="8"/>
  <c r="HU11" i="8"/>
  <c r="HT11" i="8"/>
  <c r="HS11" i="8"/>
  <c r="HV10" i="8"/>
  <c r="HU10" i="8"/>
  <c r="HT10" i="8"/>
  <c r="HS10" i="8"/>
  <c r="HV4" i="8"/>
  <c r="HU4" i="8"/>
  <c r="HT4" i="8"/>
  <c r="HS4" i="8"/>
  <c r="HV9" i="8"/>
  <c r="HU9" i="8"/>
  <c r="HT9" i="8"/>
  <c r="HS9" i="8"/>
  <c r="HV7" i="8"/>
  <c r="HU7" i="8"/>
  <c r="HT7" i="8"/>
  <c r="HS7" i="8"/>
  <c r="HA6" i="8"/>
  <c r="GZ6" i="8"/>
  <c r="GY6" i="8"/>
  <c r="GX6" i="8"/>
  <c r="HA8" i="8"/>
  <c r="GZ8" i="8"/>
  <c r="GY8" i="8"/>
  <c r="GX8" i="8"/>
  <c r="HA11" i="8"/>
  <c r="GZ11" i="8"/>
  <c r="GY11" i="8"/>
  <c r="GX11" i="8"/>
  <c r="HA10" i="8"/>
  <c r="GZ10" i="8"/>
  <c r="GY10" i="8"/>
  <c r="GX10" i="8"/>
  <c r="HA4" i="8"/>
  <c r="GZ4" i="8"/>
  <c r="GY4" i="8"/>
  <c r="GX4" i="8"/>
  <c r="HA9" i="8"/>
  <c r="GZ9" i="8"/>
  <c r="GY9" i="8"/>
  <c r="GX9" i="8"/>
  <c r="HA7" i="8"/>
  <c r="GZ7" i="8"/>
  <c r="GY7" i="8"/>
  <c r="GX7" i="8"/>
  <c r="GF6" i="8"/>
  <c r="GE6" i="8"/>
  <c r="GD6" i="8"/>
  <c r="GC6" i="8"/>
  <c r="GF8" i="8"/>
  <c r="GE8" i="8"/>
  <c r="GD8" i="8"/>
  <c r="GC8" i="8"/>
  <c r="GF11" i="8"/>
  <c r="GE11" i="8"/>
  <c r="GD11" i="8"/>
  <c r="GC11" i="8"/>
  <c r="GF10" i="8"/>
  <c r="GE10" i="8"/>
  <c r="GD10" i="8"/>
  <c r="GC10" i="8"/>
  <c r="GF4" i="8"/>
  <c r="GE4" i="8"/>
  <c r="GD4" i="8"/>
  <c r="GC4" i="8"/>
  <c r="GF9" i="8"/>
  <c r="GE9" i="8"/>
  <c r="GD9" i="8"/>
  <c r="GC9" i="8"/>
  <c r="GF7" i="8"/>
  <c r="GE7" i="8"/>
  <c r="GD7" i="8"/>
  <c r="GC7" i="8"/>
  <c r="FK6" i="8"/>
  <c r="FJ6" i="8"/>
  <c r="FI6" i="8"/>
  <c r="FH6" i="8"/>
  <c r="FK8" i="8"/>
  <c r="FJ8" i="8"/>
  <c r="FI8" i="8"/>
  <c r="FH8" i="8"/>
  <c r="FK11" i="8"/>
  <c r="FJ11" i="8"/>
  <c r="FI11" i="8"/>
  <c r="FH11" i="8"/>
  <c r="FK10" i="8"/>
  <c r="FJ10" i="8"/>
  <c r="FI10" i="8"/>
  <c r="FH10" i="8"/>
  <c r="FK4" i="8"/>
  <c r="FJ4" i="8"/>
  <c r="FI4" i="8"/>
  <c r="FH4" i="8"/>
  <c r="FK9" i="8"/>
  <c r="FJ9" i="8"/>
  <c r="FI9" i="8"/>
  <c r="FH9" i="8"/>
  <c r="FK7" i="8"/>
  <c r="FJ7" i="8"/>
  <c r="FI7" i="8"/>
  <c r="FH7" i="8"/>
  <c r="EP6" i="8"/>
  <c r="EO6" i="8"/>
  <c r="EN6" i="8"/>
  <c r="EM6" i="8"/>
  <c r="EP8" i="8"/>
  <c r="EO8" i="8"/>
  <c r="EN8" i="8"/>
  <c r="EM8" i="8"/>
  <c r="EP11" i="8"/>
  <c r="EO11" i="8"/>
  <c r="EN11" i="8"/>
  <c r="EM11" i="8"/>
  <c r="EP10" i="8"/>
  <c r="EO10" i="8"/>
  <c r="EN10" i="8"/>
  <c r="EM10" i="8"/>
  <c r="EP4" i="8"/>
  <c r="EO4" i="8"/>
  <c r="EN4" i="8"/>
  <c r="EM4" i="8"/>
  <c r="EP9" i="8"/>
  <c r="EO9" i="8"/>
  <c r="EN9" i="8"/>
  <c r="EM9" i="8"/>
  <c r="EP7" i="8"/>
  <c r="EO7" i="8"/>
  <c r="EN7" i="8"/>
  <c r="EM7" i="8"/>
  <c r="DU6" i="8"/>
  <c r="DT6" i="8"/>
  <c r="DS6" i="8"/>
  <c r="DR6" i="8"/>
  <c r="DU8" i="8"/>
  <c r="DT8" i="8"/>
  <c r="DS8" i="8"/>
  <c r="DR8" i="8"/>
  <c r="DU11" i="8"/>
  <c r="DT11" i="8"/>
  <c r="DS11" i="8"/>
  <c r="DR11" i="8"/>
  <c r="DU10" i="8"/>
  <c r="DT10" i="8"/>
  <c r="DS10" i="8"/>
  <c r="DR10" i="8"/>
  <c r="DU4" i="8"/>
  <c r="DT4" i="8"/>
  <c r="DS4" i="8"/>
  <c r="DR4" i="8"/>
  <c r="DU9" i="8"/>
  <c r="DT9" i="8"/>
  <c r="DS9" i="8"/>
  <c r="DR9" i="8"/>
  <c r="DU7" i="8"/>
  <c r="DT7" i="8"/>
  <c r="DS7" i="8"/>
  <c r="DR7" i="8"/>
  <c r="CZ6" i="8"/>
  <c r="CY6" i="8"/>
  <c r="CX6" i="8"/>
  <c r="CW6" i="8"/>
  <c r="CZ8" i="8"/>
  <c r="CY8" i="8"/>
  <c r="CX8" i="8"/>
  <c r="CW8" i="8"/>
  <c r="CZ11" i="8"/>
  <c r="CY11" i="8"/>
  <c r="CX11" i="8"/>
  <c r="CW11" i="8"/>
  <c r="CZ10" i="8"/>
  <c r="CY10" i="8"/>
  <c r="CX10" i="8"/>
  <c r="CW10" i="8"/>
  <c r="CZ4" i="8"/>
  <c r="CY4" i="8"/>
  <c r="CX4" i="8"/>
  <c r="CW4" i="8"/>
  <c r="CZ9" i="8"/>
  <c r="CY9" i="8"/>
  <c r="CX9" i="8"/>
  <c r="CW9" i="8"/>
  <c r="CZ7" i="8"/>
  <c r="CY7" i="8"/>
  <c r="CX7" i="8"/>
  <c r="CW7" i="8"/>
  <c r="LB9" i="7"/>
  <c r="LA9" i="7"/>
  <c r="KZ9" i="7"/>
  <c r="KY9" i="7"/>
  <c r="LB6" i="7"/>
  <c r="LA6" i="7"/>
  <c r="KZ6" i="7"/>
  <c r="KY6" i="7"/>
  <c r="LB7" i="7"/>
  <c r="LA7" i="7"/>
  <c r="KZ7" i="7"/>
  <c r="KY7" i="7"/>
  <c r="LB5" i="7"/>
  <c r="LA5" i="7"/>
  <c r="KZ5" i="7"/>
  <c r="KY5" i="7"/>
  <c r="LB4" i="7"/>
  <c r="LA4" i="7"/>
  <c r="KZ4" i="7"/>
  <c r="KY4" i="7"/>
  <c r="KG9" i="7"/>
  <c r="KF9" i="7"/>
  <c r="KE9" i="7"/>
  <c r="KD9" i="7"/>
  <c r="KG6" i="7"/>
  <c r="KF6" i="7"/>
  <c r="KE6" i="7"/>
  <c r="KD6" i="7"/>
  <c r="KG7" i="7"/>
  <c r="KF7" i="7"/>
  <c r="KE7" i="7"/>
  <c r="KD7" i="7"/>
  <c r="KG5" i="7"/>
  <c r="KF5" i="7"/>
  <c r="KE5" i="7"/>
  <c r="KD5" i="7"/>
  <c r="KG4" i="7"/>
  <c r="KF4" i="7"/>
  <c r="KE4" i="7"/>
  <c r="KD4" i="7"/>
  <c r="JL9" i="7"/>
  <c r="JK9" i="7"/>
  <c r="JJ9" i="7"/>
  <c r="JI9" i="7"/>
  <c r="JL6" i="7"/>
  <c r="JK6" i="7"/>
  <c r="JJ6" i="7"/>
  <c r="JI6" i="7"/>
  <c r="JL7" i="7"/>
  <c r="JK7" i="7"/>
  <c r="JJ7" i="7"/>
  <c r="JI7" i="7"/>
  <c r="JL5" i="7"/>
  <c r="JK5" i="7"/>
  <c r="JJ5" i="7"/>
  <c r="JI5" i="7"/>
  <c r="JL4" i="7"/>
  <c r="JK4" i="7"/>
  <c r="JJ4" i="7"/>
  <c r="JI4" i="7"/>
  <c r="IQ9" i="7"/>
  <c r="IO9" i="7"/>
  <c r="IN9" i="7"/>
  <c r="IQ6" i="7"/>
  <c r="IO6" i="7"/>
  <c r="IN6" i="7"/>
  <c r="IQ7" i="7"/>
  <c r="IO7" i="7"/>
  <c r="IN7" i="7"/>
  <c r="IQ5" i="7"/>
  <c r="IP5" i="7"/>
  <c r="IO5" i="7"/>
  <c r="IN5" i="7"/>
  <c r="IQ4" i="7"/>
  <c r="IO4" i="7"/>
  <c r="IN4" i="7"/>
  <c r="HV9" i="7"/>
  <c r="HU9" i="7"/>
  <c r="HT9" i="7"/>
  <c r="HS9" i="7"/>
  <c r="HV6" i="7"/>
  <c r="HU6" i="7"/>
  <c r="HT6" i="7"/>
  <c r="HS6" i="7"/>
  <c r="HV7" i="7"/>
  <c r="HU7" i="7"/>
  <c r="HT7" i="7"/>
  <c r="HS7" i="7"/>
  <c r="HV5" i="7"/>
  <c r="HU5" i="7"/>
  <c r="HT5" i="7"/>
  <c r="HS5" i="7"/>
  <c r="HV4" i="7"/>
  <c r="HU4" i="7"/>
  <c r="HT4" i="7"/>
  <c r="HS4" i="7"/>
  <c r="HA9" i="7"/>
  <c r="GZ9" i="7"/>
  <c r="GY9" i="7"/>
  <c r="GX9" i="7"/>
  <c r="HA6" i="7"/>
  <c r="GZ6" i="7"/>
  <c r="GY6" i="7"/>
  <c r="GX6" i="7"/>
  <c r="HA7" i="7"/>
  <c r="GZ7" i="7"/>
  <c r="GY7" i="7"/>
  <c r="GX7" i="7"/>
  <c r="HA5" i="7"/>
  <c r="GZ5" i="7"/>
  <c r="GY5" i="7"/>
  <c r="GX5" i="7"/>
  <c r="HA4" i="7"/>
  <c r="GZ4" i="7"/>
  <c r="GY4" i="7"/>
  <c r="GX4" i="7"/>
  <c r="GF9" i="7"/>
  <c r="GE9" i="7"/>
  <c r="GD9" i="7"/>
  <c r="GC9" i="7"/>
  <c r="GF6" i="7"/>
  <c r="GE6" i="7"/>
  <c r="GD6" i="7"/>
  <c r="GC6" i="7"/>
  <c r="GF7" i="7"/>
  <c r="GE7" i="7"/>
  <c r="GD7" i="7"/>
  <c r="GC7" i="7"/>
  <c r="GF5" i="7"/>
  <c r="GE5" i="7"/>
  <c r="GD5" i="7"/>
  <c r="GC5" i="7"/>
  <c r="GF4" i="7"/>
  <c r="GE4" i="7"/>
  <c r="GD4" i="7"/>
  <c r="GC4" i="7"/>
  <c r="FK9" i="7"/>
  <c r="FJ9" i="7"/>
  <c r="FI9" i="7"/>
  <c r="FH9" i="7"/>
  <c r="FK6" i="7"/>
  <c r="FJ6" i="7"/>
  <c r="FI6" i="7"/>
  <c r="FH6" i="7"/>
  <c r="FK7" i="7"/>
  <c r="FJ7" i="7"/>
  <c r="FI7" i="7"/>
  <c r="FH7" i="7"/>
  <c r="FK5" i="7"/>
  <c r="FJ5" i="7"/>
  <c r="FI5" i="7"/>
  <c r="FH5" i="7"/>
  <c r="FK4" i="7"/>
  <c r="FJ4" i="7"/>
  <c r="FI4" i="7"/>
  <c r="FH4" i="7"/>
  <c r="EP9" i="7"/>
  <c r="EO9" i="7"/>
  <c r="EN9" i="7"/>
  <c r="EM9" i="7"/>
  <c r="EP6" i="7"/>
  <c r="EO6" i="7"/>
  <c r="EN6" i="7"/>
  <c r="EM6" i="7"/>
  <c r="EP7" i="7"/>
  <c r="EO7" i="7"/>
  <c r="EN7" i="7"/>
  <c r="EM7" i="7"/>
  <c r="EP5" i="7"/>
  <c r="EO5" i="7"/>
  <c r="EN5" i="7"/>
  <c r="EM5" i="7"/>
  <c r="EP4" i="7"/>
  <c r="EO4" i="7"/>
  <c r="EN4" i="7"/>
  <c r="EM4" i="7"/>
  <c r="DU9" i="7"/>
  <c r="DT9" i="7"/>
  <c r="DS9" i="7"/>
  <c r="DR9" i="7"/>
  <c r="DU6" i="7"/>
  <c r="DT6" i="7"/>
  <c r="DS6" i="7"/>
  <c r="DR6" i="7"/>
  <c r="DU7" i="7"/>
  <c r="DT7" i="7"/>
  <c r="DS7" i="7"/>
  <c r="DR7" i="7"/>
  <c r="DU5" i="7"/>
  <c r="DT5" i="7"/>
  <c r="DS5" i="7"/>
  <c r="DR5" i="7"/>
  <c r="DU4" i="7"/>
  <c r="DT4" i="7"/>
  <c r="DS4" i="7"/>
  <c r="DR4" i="7"/>
  <c r="CZ9" i="7"/>
  <c r="CY9" i="7"/>
  <c r="CX9" i="7"/>
  <c r="CW9" i="7"/>
  <c r="CZ6" i="7"/>
  <c r="CY6" i="7"/>
  <c r="CX6" i="7"/>
  <c r="CW6" i="7"/>
  <c r="CZ7" i="7"/>
  <c r="CY7" i="7"/>
  <c r="CX7" i="7"/>
  <c r="CW7" i="7"/>
  <c r="CZ5" i="7"/>
  <c r="CY5" i="7"/>
  <c r="CX5" i="7"/>
  <c r="CW5" i="7"/>
  <c r="CZ4" i="7"/>
  <c r="CY4" i="7"/>
  <c r="CX4" i="7"/>
  <c r="CW4" i="7"/>
  <c r="MR17" i="14"/>
  <c r="MQ17" i="14"/>
  <c r="MO17" i="14"/>
  <c r="MN17" i="14"/>
  <c r="MM17" i="14"/>
  <c r="MR11" i="14"/>
  <c r="MQ11" i="14"/>
  <c r="MO11" i="14"/>
  <c r="MN11" i="14"/>
  <c r="MM11" i="14"/>
  <c r="MR10" i="14"/>
  <c r="MQ10" i="14"/>
  <c r="MO10" i="14"/>
  <c r="MN10" i="14"/>
  <c r="MM10" i="14"/>
  <c r="MR24" i="14"/>
  <c r="MQ24" i="14"/>
  <c r="MO24" i="14"/>
  <c r="MN24" i="14"/>
  <c r="MM24" i="14"/>
  <c r="MR18" i="14"/>
  <c r="MQ18" i="14"/>
  <c r="MO18" i="14"/>
  <c r="MN18" i="14"/>
  <c r="MM18" i="14"/>
  <c r="MR21" i="14"/>
  <c r="MQ21" i="14"/>
  <c r="MO21" i="14"/>
  <c r="MN21" i="14"/>
  <c r="MM21" i="14"/>
  <c r="MR20" i="14"/>
  <c r="MQ20" i="14"/>
  <c r="MO20" i="14"/>
  <c r="MN20" i="14"/>
  <c r="MM20" i="14"/>
  <c r="MR9" i="14"/>
  <c r="MQ9" i="14"/>
  <c r="MO9" i="14"/>
  <c r="MN9" i="14"/>
  <c r="MM9" i="14"/>
  <c r="MR26" i="14"/>
  <c r="MQ26" i="14"/>
  <c r="MO26" i="14"/>
  <c r="MN26" i="14"/>
  <c r="MM26" i="14"/>
  <c r="MR22" i="14"/>
  <c r="MQ22" i="14"/>
  <c r="MO22" i="14"/>
  <c r="MN22" i="14"/>
  <c r="MM22" i="14"/>
  <c r="MR12" i="14"/>
  <c r="MQ12" i="14"/>
  <c r="MO12" i="14"/>
  <c r="MN12" i="14"/>
  <c r="MM12" i="14"/>
  <c r="MR14" i="14"/>
  <c r="MQ14" i="14"/>
  <c r="MO14" i="14"/>
  <c r="MN14" i="14"/>
  <c r="MM14" i="14"/>
  <c r="MR15" i="14"/>
  <c r="MQ15" i="14"/>
  <c r="MO15" i="14"/>
  <c r="MN15" i="14"/>
  <c r="MM15" i="14"/>
  <c r="MR7" i="14"/>
  <c r="MQ7" i="14"/>
  <c r="MO7" i="14"/>
  <c r="MN7" i="14"/>
  <c r="MM7" i="14"/>
  <c r="MR13" i="14"/>
  <c r="MQ13" i="14"/>
  <c r="MO13" i="14"/>
  <c r="MN13" i="14"/>
  <c r="MM13" i="14"/>
  <c r="MR6" i="14"/>
  <c r="MQ6" i="14"/>
  <c r="MO6" i="14"/>
  <c r="MN6" i="14"/>
  <c r="MM6" i="14"/>
  <c r="MR5" i="14"/>
  <c r="MQ5" i="14"/>
  <c r="MO5" i="14"/>
  <c r="MN5" i="14"/>
  <c r="MM5" i="14"/>
  <c r="MR4" i="14"/>
  <c r="MQ4" i="14"/>
  <c r="MO4" i="14"/>
  <c r="MN4" i="14"/>
  <c r="MM4" i="14"/>
  <c r="LV17" i="14"/>
  <c r="LU17" i="14"/>
  <c r="LS17" i="14"/>
  <c r="LR17" i="14"/>
  <c r="LQ17" i="14"/>
  <c r="LV11" i="14"/>
  <c r="LU11" i="14"/>
  <c r="LS11" i="14"/>
  <c r="LR11" i="14"/>
  <c r="LQ11" i="14"/>
  <c r="LV10" i="14"/>
  <c r="LU10" i="14"/>
  <c r="LS10" i="14"/>
  <c r="LR10" i="14"/>
  <c r="LQ10" i="14"/>
  <c r="LV24" i="14"/>
  <c r="LU24" i="14"/>
  <c r="LS24" i="14"/>
  <c r="LR24" i="14"/>
  <c r="LQ24" i="14"/>
  <c r="LV18" i="14"/>
  <c r="LU18" i="14"/>
  <c r="LS18" i="14"/>
  <c r="LR18" i="14"/>
  <c r="LQ18" i="14"/>
  <c r="LV21" i="14"/>
  <c r="LU21" i="14"/>
  <c r="LS21" i="14"/>
  <c r="LR21" i="14"/>
  <c r="LQ21" i="14"/>
  <c r="LV20" i="14"/>
  <c r="LU20" i="14"/>
  <c r="LS20" i="14"/>
  <c r="LR20" i="14"/>
  <c r="LQ20" i="14"/>
  <c r="LV9" i="14"/>
  <c r="LU9" i="14"/>
  <c r="LS9" i="14"/>
  <c r="LR9" i="14"/>
  <c r="LQ9" i="14"/>
  <c r="LV26" i="14"/>
  <c r="LU26" i="14"/>
  <c r="LS26" i="14"/>
  <c r="LR26" i="14"/>
  <c r="LQ26" i="14"/>
  <c r="LV22" i="14"/>
  <c r="LU22" i="14"/>
  <c r="LS22" i="14"/>
  <c r="LR22" i="14"/>
  <c r="LQ22" i="14"/>
  <c r="LV12" i="14"/>
  <c r="LU12" i="14"/>
  <c r="LS12" i="14"/>
  <c r="LR12" i="14"/>
  <c r="LQ12" i="14"/>
  <c r="LV14" i="14"/>
  <c r="LU14" i="14"/>
  <c r="LS14" i="14"/>
  <c r="LR14" i="14"/>
  <c r="LQ14" i="14"/>
  <c r="LV15" i="14"/>
  <c r="LU15" i="14"/>
  <c r="LS15" i="14"/>
  <c r="LR15" i="14"/>
  <c r="LQ15" i="14"/>
  <c r="LV7" i="14"/>
  <c r="LU7" i="14"/>
  <c r="LS7" i="14"/>
  <c r="LR7" i="14"/>
  <c r="LQ7" i="14"/>
  <c r="LV13" i="14"/>
  <c r="LU13" i="14"/>
  <c r="LS13" i="14"/>
  <c r="LR13" i="14"/>
  <c r="LQ13" i="14"/>
  <c r="LV6" i="14"/>
  <c r="LU6" i="14"/>
  <c r="LS6" i="14"/>
  <c r="LR6" i="14"/>
  <c r="LQ6" i="14"/>
  <c r="LV5" i="14"/>
  <c r="LU5" i="14"/>
  <c r="LS5" i="14"/>
  <c r="LR5" i="14"/>
  <c r="LQ5" i="14"/>
  <c r="LV4" i="14"/>
  <c r="LU4" i="14"/>
  <c r="LS4" i="14"/>
  <c r="LR4" i="14"/>
  <c r="LQ4" i="14"/>
  <c r="KZ17" i="14"/>
  <c r="KY17" i="14"/>
  <c r="KW17" i="14"/>
  <c r="KV17" i="14"/>
  <c r="KU17" i="14"/>
  <c r="KZ11" i="14"/>
  <c r="KY11" i="14"/>
  <c r="KW11" i="14"/>
  <c r="KV11" i="14"/>
  <c r="KU11" i="14"/>
  <c r="KZ10" i="14"/>
  <c r="KY10" i="14"/>
  <c r="KW10" i="14"/>
  <c r="KV10" i="14"/>
  <c r="KU10" i="14"/>
  <c r="KZ24" i="14"/>
  <c r="KY24" i="14"/>
  <c r="KW24" i="14"/>
  <c r="KV24" i="14"/>
  <c r="KU24" i="14"/>
  <c r="KZ18" i="14"/>
  <c r="KY18" i="14"/>
  <c r="KW18" i="14"/>
  <c r="KV18" i="14"/>
  <c r="KU18" i="14"/>
  <c r="KZ21" i="14"/>
  <c r="KY21" i="14"/>
  <c r="KW21" i="14"/>
  <c r="KV21" i="14"/>
  <c r="KU21" i="14"/>
  <c r="KZ20" i="14"/>
  <c r="KY20" i="14"/>
  <c r="KW20" i="14"/>
  <c r="KV20" i="14"/>
  <c r="KU20" i="14"/>
  <c r="KZ9" i="14"/>
  <c r="KY9" i="14"/>
  <c r="KW9" i="14"/>
  <c r="KV9" i="14"/>
  <c r="KU9" i="14"/>
  <c r="KZ26" i="14"/>
  <c r="KY26" i="14"/>
  <c r="KW26" i="14"/>
  <c r="KV26" i="14"/>
  <c r="KU26" i="14"/>
  <c r="KZ22" i="14"/>
  <c r="KY22" i="14"/>
  <c r="KW22" i="14"/>
  <c r="KV22" i="14"/>
  <c r="KU22" i="14"/>
  <c r="KZ12" i="14"/>
  <c r="KY12" i="14"/>
  <c r="KW12" i="14"/>
  <c r="KV12" i="14"/>
  <c r="KU12" i="14"/>
  <c r="KZ14" i="14"/>
  <c r="KY14" i="14"/>
  <c r="KW14" i="14"/>
  <c r="KV14" i="14"/>
  <c r="KU14" i="14"/>
  <c r="KZ15" i="14"/>
  <c r="KY15" i="14"/>
  <c r="KW15" i="14"/>
  <c r="KV15" i="14"/>
  <c r="KU15" i="14"/>
  <c r="KZ7" i="14"/>
  <c r="KY7" i="14"/>
  <c r="KW7" i="14"/>
  <c r="KV7" i="14"/>
  <c r="KU7" i="14"/>
  <c r="KZ13" i="14"/>
  <c r="KY13" i="14"/>
  <c r="KW13" i="14"/>
  <c r="KV13" i="14"/>
  <c r="KU13" i="14"/>
  <c r="KZ6" i="14"/>
  <c r="KY6" i="14"/>
  <c r="KW6" i="14"/>
  <c r="KV6" i="14"/>
  <c r="KU6" i="14"/>
  <c r="KZ5" i="14"/>
  <c r="KY5" i="14"/>
  <c r="KW5" i="14"/>
  <c r="KV5" i="14"/>
  <c r="KU5" i="14"/>
  <c r="KZ4" i="14"/>
  <c r="KY4" i="14"/>
  <c r="KW4" i="14"/>
  <c r="KV4" i="14"/>
  <c r="KU4" i="14"/>
  <c r="KD17" i="14"/>
  <c r="KC17" i="14"/>
  <c r="KA17" i="14"/>
  <c r="JZ17" i="14"/>
  <c r="JY17" i="14"/>
  <c r="KD11" i="14"/>
  <c r="KC11" i="14"/>
  <c r="KA11" i="14"/>
  <c r="JZ11" i="14"/>
  <c r="JY11" i="14"/>
  <c r="KD10" i="14"/>
  <c r="KC10" i="14"/>
  <c r="KA10" i="14"/>
  <c r="JZ10" i="14"/>
  <c r="JY10" i="14"/>
  <c r="KD24" i="14"/>
  <c r="KC24" i="14"/>
  <c r="KA24" i="14"/>
  <c r="JZ24" i="14"/>
  <c r="JY24" i="14"/>
  <c r="KD18" i="14"/>
  <c r="KC18" i="14"/>
  <c r="KA18" i="14"/>
  <c r="JZ18" i="14"/>
  <c r="JY18" i="14"/>
  <c r="KD21" i="14"/>
  <c r="KC21" i="14"/>
  <c r="KA21" i="14"/>
  <c r="JZ21" i="14"/>
  <c r="JY21" i="14"/>
  <c r="KD20" i="14"/>
  <c r="KC20" i="14"/>
  <c r="KA20" i="14"/>
  <c r="JZ20" i="14"/>
  <c r="JY20" i="14"/>
  <c r="KD9" i="14"/>
  <c r="KC9" i="14"/>
  <c r="KA9" i="14"/>
  <c r="JZ9" i="14"/>
  <c r="JY9" i="14"/>
  <c r="KD26" i="14"/>
  <c r="KC26" i="14"/>
  <c r="KA26" i="14"/>
  <c r="JZ26" i="14"/>
  <c r="JY26" i="14"/>
  <c r="KD22" i="14"/>
  <c r="KC22" i="14"/>
  <c r="KA22" i="14"/>
  <c r="JZ22" i="14"/>
  <c r="JY22" i="14"/>
  <c r="KD12" i="14"/>
  <c r="KC12" i="14"/>
  <c r="KA12" i="14"/>
  <c r="JZ12" i="14"/>
  <c r="JY12" i="14"/>
  <c r="KD14" i="14"/>
  <c r="KC14" i="14"/>
  <c r="KA14" i="14"/>
  <c r="JZ14" i="14"/>
  <c r="JY14" i="14"/>
  <c r="KD15" i="14"/>
  <c r="KC15" i="14"/>
  <c r="KA15" i="14"/>
  <c r="JZ15" i="14"/>
  <c r="JY15" i="14"/>
  <c r="KD7" i="14"/>
  <c r="KC7" i="14"/>
  <c r="KA7" i="14"/>
  <c r="JZ7" i="14"/>
  <c r="JY7" i="14"/>
  <c r="KD13" i="14"/>
  <c r="KC13" i="14"/>
  <c r="KA13" i="14"/>
  <c r="JZ13" i="14"/>
  <c r="JY13" i="14"/>
  <c r="KD6" i="14"/>
  <c r="KC6" i="14"/>
  <c r="KA6" i="14"/>
  <c r="JZ6" i="14"/>
  <c r="JY6" i="14"/>
  <c r="KD5" i="14"/>
  <c r="KC5" i="14"/>
  <c r="KA5" i="14"/>
  <c r="JZ5" i="14"/>
  <c r="JY5" i="14"/>
  <c r="KD4" i="14"/>
  <c r="KC4" i="14"/>
  <c r="KA4" i="14"/>
  <c r="JZ4" i="14"/>
  <c r="JY4" i="14"/>
  <c r="JH17" i="14"/>
  <c r="JG17" i="14"/>
  <c r="JE17" i="14"/>
  <c r="JD17" i="14"/>
  <c r="JC17" i="14"/>
  <c r="JH11" i="14"/>
  <c r="JG11" i="14"/>
  <c r="JE11" i="14"/>
  <c r="JD11" i="14"/>
  <c r="JC11" i="14"/>
  <c r="JH10" i="14"/>
  <c r="JG10" i="14"/>
  <c r="JE10" i="14"/>
  <c r="JD10" i="14"/>
  <c r="JC10" i="14"/>
  <c r="JH24" i="14"/>
  <c r="JG24" i="14"/>
  <c r="JE24" i="14"/>
  <c r="JD24" i="14"/>
  <c r="JC24" i="14"/>
  <c r="JH18" i="14"/>
  <c r="JG18" i="14"/>
  <c r="JE18" i="14"/>
  <c r="JD18" i="14"/>
  <c r="JC18" i="14"/>
  <c r="JH21" i="14"/>
  <c r="JG21" i="14"/>
  <c r="JE21" i="14"/>
  <c r="JD21" i="14"/>
  <c r="JC21" i="14"/>
  <c r="JH20" i="14"/>
  <c r="JG20" i="14"/>
  <c r="JE20" i="14"/>
  <c r="JD20" i="14"/>
  <c r="JC20" i="14"/>
  <c r="JH9" i="14"/>
  <c r="JG9" i="14"/>
  <c r="JE9" i="14"/>
  <c r="JD9" i="14"/>
  <c r="JC9" i="14"/>
  <c r="JH26" i="14"/>
  <c r="JG26" i="14"/>
  <c r="JE26" i="14"/>
  <c r="JD26" i="14"/>
  <c r="JC26" i="14"/>
  <c r="JH22" i="14"/>
  <c r="JG22" i="14"/>
  <c r="JE22" i="14"/>
  <c r="JD22" i="14"/>
  <c r="JC22" i="14"/>
  <c r="JH12" i="14"/>
  <c r="JG12" i="14"/>
  <c r="JE12" i="14"/>
  <c r="JD12" i="14"/>
  <c r="JC12" i="14"/>
  <c r="JH14" i="14"/>
  <c r="JG14" i="14"/>
  <c r="JE14" i="14"/>
  <c r="JD14" i="14"/>
  <c r="JC14" i="14"/>
  <c r="JH15" i="14"/>
  <c r="JG15" i="14"/>
  <c r="JE15" i="14"/>
  <c r="JD15" i="14"/>
  <c r="JC15" i="14"/>
  <c r="JH7" i="14"/>
  <c r="JG7" i="14"/>
  <c r="JE7" i="14"/>
  <c r="JD7" i="14"/>
  <c r="JC7" i="14"/>
  <c r="JH13" i="14"/>
  <c r="JG13" i="14"/>
  <c r="JE13" i="14"/>
  <c r="JD13" i="14"/>
  <c r="JC13" i="14"/>
  <c r="JH6" i="14"/>
  <c r="JG6" i="14"/>
  <c r="JE6" i="14"/>
  <c r="JD6" i="14"/>
  <c r="JC6" i="14"/>
  <c r="JH5" i="14"/>
  <c r="JG5" i="14"/>
  <c r="JE5" i="14"/>
  <c r="JD5" i="14"/>
  <c r="JC5" i="14"/>
  <c r="JH4" i="14"/>
  <c r="JG4" i="14"/>
  <c r="JE4" i="14"/>
  <c r="JD4" i="14"/>
  <c r="JC4" i="14"/>
  <c r="IL17" i="14"/>
  <c r="IK17" i="14"/>
  <c r="II17" i="14"/>
  <c r="IH17" i="14"/>
  <c r="IG17" i="14"/>
  <c r="IL11" i="14"/>
  <c r="IK11" i="14"/>
  <c r="II11" i="14"/>
  <c r="IH11" i="14"/>
  <c r="IG11" i="14"/>
  <c r="IL10" i="14"/>
  <c r="IK10" i="14"/>
  <c r="II10" i="14"/>
  <c r="IH10" i="14"/>
  <c r="IG10" i="14"/>
  <c r="IL24" i="14"/>
  <c r="IK24" i="14"/>
  <c r="II24" i="14"/>
  <c r="IH24" i="14"/>
  <c r="IG24" i="14"/>
  <c r="IL18" i="14"/>
  <c r="IK18" i="14"/>
  <c r="II18" i="14"/>
  <c r="IH18" i="14"/>
  <c r="IG18" i="14"/>
  <c r="IL21" i="14"/>
  <c r="IK21" i="14"/>
  <c r="II21" i="14"/>
  <c r="IH21" i="14"/>
  <c r="IG21" i="14"/>
  <c r="IL20" i="14"/>
  <c r="IK20" i="14"/>
  <c r="II20" i="14"/>
  <c r="IH20" i="14"/>
  <c r="IG20" i="14"/>
  <c r="IL9" i="14"/>
  <c r="IK9" i="14"/>
  <c r="II9" i="14"/>
  <c r="IH9" i="14"/>
  <c r="IG9" i="14"/>
  <c r="IL26" i="14"/>
  <c r="IK26" i="14"/>
  <c r="II26" i="14"/>
  <c r="IH26" i="14"/>
  <c r="IG26" i="14"/>
  <c r="IL22" i="14"/>
  <c r="IK22" i="14"/>
  <c r="II22" i="14"/>
  <c r="IH22" i="14"/>
  <c r="IG22" i="14"/>
  <c r="IL12" i="14"/>
  <c r="IK12" i="14"/>
  <c r="II12" i="14"/>
  <c r="IH12" i="14"/>
  <c r="IG12" i="14"/>
  <c r="IL14" i="14"/>
  <c r="IK14" i="14"/>
  <c r="II14" i="14"/>
  <c r="IH14" i="14"/>
  <c r="IG14" i="14"/>
  <c r="IL15" i="14"/>
  <c r="IK15" i="14"/>
  <c r="II15" i="14"/>
  <c r="IH15" i="14"/>
  <c r="IG15" i="14"/>
  <c r="IL7" i="14"/>
  <c r="IK7" i="14"/>
  <c r="II7" i="14"/>
  <c r="IH7" i="14"/>
  <c r="IG7" i="14"/>
  <c r="IL13" i="14"/>
  <c r="IK13" i="14"/>
  <c r="II13" i="14"/>
  <c r="IH13" i="14"/>
  <c r="IG13" i="14"/>
  <c r="IL6" i="14"/>
  <c r="IK6" i="14"/>
  <c r="II6" i="14"/>
  <c r="IH6" i="14"/>
  <c r="IG6" i="14"/>
  <c r="IL5" i="14"/>
  <c r="IK5" i="14"/>
  <c r="II5" i="14"/>
  <c r="IH5" i="14"/>
  <c r="IG5" i="14"/>
  <c r="IL4" i="14"/>
  <c r="IK4" i="14"/>
  <c r="II4" i="14"/>
  <c r="IH4" i="14"/>
  <c r="IG4" i="14"/>
  <c r="HP17" i="14"/>
  <c r="HO17" i="14"/>
  <c r="HM17" i="14"/>
  <c r="HL17" i="14"/>
  <c r="HK17" i="14"/>
  <c r="HP11" i="14"/>
  <c r="HO11" i="14"/>
  <c r="HM11" i="14"/>
  <c r="HL11" i="14"/>
  <c r="HK11" i="14"/>
  <c r="HP10" i="14"/>
  <c r="HO10" i="14"/>
  <c r="HM10" i="14"/>
  <c r="HL10" i="14"/>
  <c r="HK10" i="14"/>
  <c r="HP24" i="14"/>
  <c r="HO24" i="14"/>
  <c r="HM24" i="14"/>
  <c r="HL24" i="14"/>
  <c r="HK24" i="14"/>
  <c r="HP18" i="14"/>
  <c r="HO18" i="14"/>
  <c r="HM18" i="14"/>
  <c r="HL18" i="14"/>
  <c r="HK18" i="14"/>
  <c r="HP21" i="14"/>
  <c r="HO21" i="14"/>
  <c r="HM21" i="14"/>
  <c r="HL21" i="14"/>
  <c r="HK21" i="14"/>
  <c r="HP20" i="14"/>
  <c r="HO20" i="14"/>
  <c r="HM20" i="14"/>
  <c r="HL20" i="14"/>
  <c r="HK20" i="14"/>
  <c r="HP9" i="14"/>
  <c r="HO9" i="14"/>
  <c r="HM9" i="14"/>
  <c r="HL9" i="14"/>
  <c r="HK9" i="14"/>
  <c r="HP26" i="14"/>
  <c r="HO26" i="14"/>
  <c r="HM26" i="14"/>
  <c r="HL26" i="14"/>
  <c r="HK26" i="14"/>
  <c r="HP22" i="14"/>
  <c r="HO22" i="14"/>
  <c r="HM22" i="14"/>
  <c r="HL22" i="14"/>
  <c r="HK22" i="14"/>
  <c r="HP12" i="14"/>
  <c r="HO12" i="14"/>
  <c r="HM12" i="14"/>
  <c r="HL12" i="14"/>
  <c r="HK12" i="14"/>
  <c r="HP14" i="14"/>
  <c r="HO14" i="14"/>
  <c r="HM14" i="14"/>
  <c r="HL14" i="14"/>
  <c r="HK14" i="14"/>
  <c r="HP15" i="14"/>
  <c r="HO15" i="14"/>
  <c r="HM15" i="14"/>
  <c r="HL15" i="14"/>
  <c r="HK15" i="14"/>
  <c r="HP7" i="14"/>
  <c r="HO7" i="14"/>
  <c r="HM7" i="14"/>
  <c r="HL7" i="14"/>
  <c r="HK7" i="14"/>
  <c r="HP13" i="14"/>
  <c r="HO13" i="14"/>
  <c r="HM13" i="14"/>
  <c r="HL13" i="14"/>
  <c r="HK13" i="14"/>
  <c r="HP6" i="14"/>
  <c r="HO6" i="14"/>
  <c r="HM6" i="14"/>
  <c r="HL6" i="14"/>
  <c r="HK6" i="14"/>
  <c r="HP5" i="14"/>
  <c r="HO5" i="14"/>
  <c r="HM5" i="14"/>
  <c r="HL5" i="14"/>
  <c r="HK5" i="14"/>
  <c r="HP4" i="14"/>
  <c r="HO4" i="14"/>
  <c r="HM4" i="14"/>
  <c r="HL4" i="14"/>
  <c r="HK4" i="14"/>
  <c r="GT17" i="14"/>
  <c r="GS17" i="14"/>
  <c r="GQ17" i="14"/>
  <c r="GP17" i="14"/>
  <c r="GO17" i="14"/>
  <c r="GT11" i="14"/>
  <c r="GS11" i="14"/>
  <c r="GQ11" i="14"/>
  <c r="GP11" i="14"/>
  <c r="GO11" i="14"/>
  <c r="GT10" i="14"/>
  <c r="GS10" i="14"/>
  <c r="GQ10" i="14"/>
  <c r="GP10" i="14"/>
  <c r="GO10" i="14"/>
  <c r="GT24" i="14"/>
  <c r="GS24" i="14"/>
  <c r="GQ24" i="14"/>
  <c r="GP24" i="14"/>
  <c r="GO24" i="14"/>
  <c r="GT18" i="14"/>
  <c r="GS18" i="14"/>
  <c r="GQ18" i="14"/>
  <c r="GP18" i="14"/>
  <c r="GO18" i="14"/>
  <c r="GT21" i="14"/>
  <c r="GS21" i="14"/>
  <c r="GQ21" i="14"/>
  <c r="GP21" i="14"/>
  <c r="GO21" i="14"/>
  <c r="GT20" i="14"/>
  <c r="GS20" i="14"/>
  <c r="GQ20" i="14"/>
  <c r="GP20" i="14"/>
  <c r="GO20" i="14"/>
  <c r="GT9" i="14"/>
  <c r="GS9" i="14"/>
  <c r="GQ9" i="14"/>
  <c r="GP9" i="14"/>
  <c r="GO9" i="14"/>
  <c r="GT26" i="14"/>
  <c r="GS26" i="14"/>
  <c r="GQ26" i="14"/>
  <c r="GP26" i="14"/>
  <c r="GO26" i="14"/>
  <c r="GT22" i="14"/>
  <c r="GS22" i="14"/>
  <c r="GQ22" i="14"/>
  <c r="GP22" i="14"/>
  <c r="GO22" i="14"/>
  <c r="GT12" i="14"/>
  <c r="GS12" i="14"/>
  <c r="GQ12" i="14"/>
  <c r="GP12" i="14"/>
  <c r="GO12" i="14"/>
  <c r="GT14" i="14"/>
  <c r="GS14" i="14"/>
  <c r="GQ14" i="14"/>
  <c r="GP14" i="14"/>
  <c r="GO14" i="14"/>
  <c r="GT15" i="14"/>
  <c r="GS15" i="14"/>
  <c r="GQ15" i="14"/>
  <c r="GP15" i="14"/>
  <c r="GO15" i="14"/>
  <c r="GT7" i="14"/>
  <c r="GS7" i="14"/>
  <c r="GQ7" i="14"/>
  <c r="GP7" i="14"/>
  <c r="GO7" i="14"/>
  <c r="GT13" i="14"/>
  <c r="GS13" i="14"/>
  <c r="GQ13" i="14"/>
  <c r="GP13" i="14"/>
  <c r="GO13" i="14"/>
  <c r="GT6" i="14"/>
  <c r="GS6" i="14"/>
  <c r="GQ6" i="14"/>
  <c r="GP6" i="14"/>
  <c r="GO6" i="14"/>
  <c r="GT5" i="14"/>
  <c r="GS5" i="14"/>
  <c r="GQ5" i="14"/>
  <c r="GP5" i="14"/>
  <c r="GO5" i="14"/>
  <c r="GT4" i="14"/>
  <c r="GS4" i="14"/>
  <c r="GQ4" i="14"/>
  <c r="GP4" i="14"/>
  <c r="GO4" i="14"/>
  <c r="FX17" i="14"/>
  <c r="FW17" i="14"/>
  <c r="FU17" i="14"/>
  <c r="FT17" i="14"/>
  <c r="FS17" i="14"/>
  <c r="FX11" i="14"/>
  <c r="FW11" i="14"/>
  <c r="FU11" i="14"/>
  <c r="FT11" i="14"/>
  <c r="FS11" i="14"/>
  <c r="FX10" i="14"/>
  <c r="FW10" i="14"/>
  <c r="FU10" i="14"/>
  <c r="FT10" i="14"/>
  <c r="FS10" i="14"/>
  <c r="FX24" i="14"/>
  <c r="FW24" i="14"/>
  <c r="FU24" i="14"/>
  <c r="FT24" i="14"/>
  <c r="FS24" i="14"/>
  <c r="FX18" i="14"/>
  <c r="FW18" i="14"/>
  <c r="FU18" i="14"/>
  <c r="FT18" i="14"/>
  <c r="FS18" i="14"/>
  <c r="FX21" i="14"/>
  <c r="FW21" i="14"/>
  <c r="FU21" i="14"/>
  <c r="FT21" i="14"/>
  <c r="FS21" i="14"/>
  <c r="FX20" i="14"/>
  <c r="FW20" i="14"/>
  <c r="FU20" i="14"/>
  <c r="FT20" i="14"/>
  <c r="FS20" i="14"/>
  <c r="FX9" i="14"/>
  <c r="FW9" i="14"/>
  <c r="FU9" i="14"/>
  <c r="FT9" i="14"/>
  <c r="FS9" i="14"/>
  <c r="FX26" i="14"/>
  <c r="FW26" i="14"/>
  <c r="FU26" i="14"/>
  <c r="FT26" i="14"/>
  <c r="FS26" i="14"/>
  <c r="FX22" i="14"/>
  <c r="FW22" i="14"/>
  <c r="FU22" i="14"/>
  <c r="FT22" i="14"/>
  <c r="FS22" i="14"/>
  <c r="FX12" i="14"/>
  <c r="FW12" i="14"/>
  <c r="FU12" i="14"/>
  <c r="FT12" i="14"/>
  <c r="FS12" i="14"/>
  <c r="FX14" i="14"/>
  <c r="FW14" i="14"/>
  <c r="FU14" i="14"/>
  <c r="FT14" i="14"/>
  <c r="FS14" i="14"/>
  <c r="FX15" i="14"/>
  <c r="FW15" i="14"/>
  <c r="FU15" i="14"/>
  <c r="FT15" i="14"/>
  <c r="FS15" i="14"/>
  <c r="FX7" i="14"/>
  <c r="FW7" i="14"/>
  <c r="FU7" i="14"/>
  <c r="FT7" i="14"/>
  <c r="FS7" i="14"/>
  <c r="FX13" i="14"/>
  <c r="FW13" i="14"/>
  <c r="FU13" i="14"/>
  <c r="FT13" i="14"/>
  <c r="FS13" i="14"/>
  <c r="FX6" i="14"/>
  <c r="FW6" i="14"/>
  <c r="FU6" i="14"/>
  <c r="FT6" i="14"/>
  <c r="FS6" i="14"/>
  <c r="FX5" i="14"/>
  <c r="FW5" i="14"/>
  <c r="FU5" i="14"/>
  <c r="FT5" i="14"/>
  <c r="FS5" i="14"/>
  <c r="FX4" i="14"/>
  <c r="FW4" i="14"/>
  <c r="FU4" i="14"/>
  <c r="FT4" i="14"/>
  <c r="FS4" i="14"/>
  <c r="FB17" i="14"/>
  <c r="FA17" i="14"/>
  <c r="EY17" i="14"/>
  <c r="EX17" i="14"/>
  <c r="EW17" i="14"/>
  <c r="FB11" i="14"/>
  <c r="FA11" i="14"/>
  <c r="EY11" i="14"/>
  <c r="EX11" i="14"/>
  <c r="EW11" i="14"/>
  <c r="FB10" i="14"/>
  <c r="FA10" i="14"/>
  <c r="EY10" i="14"/>
  <c r="EX10" i="14"/>
  <c r="EW10" i="14"/>
  <c r="FB24" i="14"/>
  <c r="FA24" i="14"/>
  <c r="EY24" i="14"/>
  <c r="EX24" i="14"/>
  <c r="EW24" i="14"/>
  <c r="FB18" i="14"/>
  <c r="FA18" i="14"/>
  <c r="EY18" i="14"/>
  <c r="EX18" i="14"/>
  <c r="EW18" i="14"/>
  <c r="FB21" i="14"/>
  <c r="FA21" i="14"/>
  <c r="EY21" i="14"/>
  <c r="EX21" i="14"/>
  <c r="EW21" i="14"/>
  <c r="FB20" i="14"/>
  <c r="FA20" i="14"/>
  <c r="EY20" i="14"/>
  <c r="EX20" i="14"/>
  <c r="EW20" i="14"/>
  <c r="FB9" i="14"/>
  <c r="FA9" i="14"/>
  <c r="EY9" i="14"/>
  <c r="EX9" i="14"/>
  <c r="EW9" i="14"/>
  <c r="FB26" i="14"/>
  <c r="FA26" i="14"/>
  <c r="EY26" i="14"/>
  <c r="EX26" i="14"/>
  <c r="EW26" i="14"/>
  <c r="FB22" i="14"/>
  <c r="FA22" i="14"/>
  <c r="EY22" i="14"/>
  <c r="EX22" i="14"/>
  <c r="EW22" i="14"/>
  <c r="FB12" i="14"/>
  <c r="FA12" i="14"/>
  <c r="EY12" i="14"/>
  <c r="EX12" i="14"/>
  <c r="EW12" i="14"/>
  <c r="FB14" i="14"/>
  <c r="FA14" i="14"/>
  <c r="EY14" i="14"/>
  <c r="EX14" i="14"/>
  <c r="EW14" i="14"/>
  <c r="FB15" i="14"/>
  <c r="FA15" i="14"/>
  <c r="EY15" i="14"/>
  <c r="EX15" i="14"/>
  <c r="EW15" i="14"/>
  <c r="FB7" i="14"/>
  <c r="FA7" i="14"/>
  <c r="EY7" i="14"/>
  <c r="EX7" i="14"/>
  <c r="EW7" i="14"/>
  <c r="FB13" i="14"/>
  <c r="FA13" i="14"/>
  <c r="EY13" i="14"/>
  <c r="EX13" i="14"/>
  <c r="EW13" i="14"/>
  <c r="FB6" i="14"/>
  <c r="FA6" i="14"/>
  <c r="EY6" i="14"/>
  <c r="EX6" i="14"/>
  <c r="EW6" i="14"/>
  <c r="FB5" i="14"/>
  <c r="FA5" i="14"/>
  <c r="EY5" i="14"/>
  <c r="EX5" i="14"/>
  <c r="EW5" i="14"/>
  <c r="FB4" i="14"/>
  <c r="FA4" i="14"/>
  <c r="EY4" i="14"/>
  <c r="EX4" i="14"/>
  <c r="EW4" i="14"/>
  <c r="EF17" i="14"/>
  <c r="EE17" i="14"/>
  <c r="EC17" i="14"/>
  <c r="EB17" i="14"/>
  <c r="EA17" i="14"/>
  <c r="EF11" i="14"/>
  <c r="EE11" i="14"/>
  <c r="EC11" i="14"/>
  <c r="EB11" i="14"/>
  <c r="EA11" i="14"/>
  <c r="EF10" i="14"/>
  <c r="EE10" i="14"/>
  <c r="EC10" i="14"/>
  <c r="EB10" i="14"/>
  <c r="EA10" i="14"/>
  <c r="EF24" i="14"/>
  <c r="EE24" i="14"/>
  <c r="EC24" i="14"/>
  <c r="EB24" i="14"/>
  <c r="EA24" i="14"/>
  <c r="EF18" i="14"/>
  <c r="EE18" i="14"/>
  <c r="EC18" i="14"/>
  <c r="EB18" i="14"/>
  <c r="EA18" i="14"/>
  <c r="EF21" i="14"/>
  <c r="EE21" i="14"/>
  <c r="EC21" i="14"/>
  <c r="EB21" i="14"/>
  <c r="EA21" i="14"/>
  <c r="EF20" i="14"/>
  <c r="EE20" i="14"/>
  <c r="EC20" i="14"/>
  <c r="EB20" i="14"/>
  <c r="EA20" i="14"/>
  <c r="EF9" i="14"/>
  <c r="EE9" i="14"/>
  <c r="EC9" i="14"/>
  <c r="EB9" i="14"/>
  <c r="EA9" i="14"/>
  <c r="EF26" i="14"/>
  <c r="EE26" i="14"/>
  <c r="EC26" i="14"/>
  <c r="EB26" i="14"/>
  <c r="EA26" i="14"/>
  <c r="EF22" i="14"/>
  <c r="EE22" i="14"/>
  <c r="EC22" i="14"/>
  <c r="EB22" i="14"/>
  <c r="EA22" i="14"/>
  <c r="EF12" i="14"/>
  <c r="EE12" i="14"/>
  <c r="EC12" i="14"/>
  <c r="EB12" i="14"/>
  <c r="EA12" i="14"/>
  <c r="EF14" i="14"/>
  <c r="EE14" i="14"/>
  <c r="EC14" i="14"/>
  <c r="EB14" i="14"/>
  <c r="EA14" i="14"/>
  <c r="EF15" i="14"/>
  <c r="EE15" i="14"/>
  <c r="EC15" i="14"/>
  <c r="EB15" i="14"/>
  <c r="EA15" i="14"/>
  <c r="EF7" i="14"/>
  <c r="EE7" i="14"/>
  <c r="EC7" i="14"/>
  <c r="EB7" i="14"/>
  <c r="EA7" i="14"/>
  <c r="EF13" i="14"/>
  <c r="EE13" i="14"/>
  <c r="EC13" i="14"/>
  <c r="EB13" i="14"/>
  <c r="EA13" i="14"/>
  <c r="EF6" i="14"/>
  <c r="EE6" i="14"/>
  <c r="EC6" i="14"/>
  <c r="EB6" i="14"/>
  <c r="EA6" i="14"/>
  <c r="EF5" i="14"/>
  <c r="EE5" i="14"/>
  <c r="EC5" i="14"/>
  <c r="EB5" i="14"/>
  <c r="EA5" i="14"/>
  <c r="EF4" i="14"/>
  <c r="EE4" i="14"/>
  <c r="EC4" i="14"/>
  <c r="EB4" i="14"/>
  <c r="EA4" i="14"/>
  <c r="MR17" i="4"/>
  <c r="MQ17" i="4"/>
  <c r="MO17" i="4"/>
  <c r="MN17" i="4"/>
  <c r="MM17" i="4"/>
  <c r="MR13" i="4"/>
  <c r="MQ13" i="4"/>
  <c r="MO13" i="4"/>
  <c r="MN13" i="4"/>
  <c r="MM13" i="4"/>
  <c r="MR11" i="4"/>
  <c r="MQ11" i="4"/>
  <c r="MO11" i="4"/>
  <c r="MN11" i="4"/>
  <c r="MM11" i="4"/>
  <c r="MR14" i="4"/>
  <c r="MQ14" i="4"/>
  <c r="MO14" i="4"/>
  <c r="MN14" i="4"/>
  <c r="MM14" i="4"/>
  <c r="MR19" i="4"/>
  <c r="MQ19" i="4"/>
  <c r="MO19" i="4"/>
  <c r="MN19" i="4"/>
  <c r="MM19" i="4"/>
  <c r="MR10" i="4"/>
  <c r="MQ10" i="4"/>
  <c r="MO10" i="4"/>
  <c r="MN10" i="4"/>
  <c r="MM10" i="4"/>
  <c r="MR15" i="4"/>
  <c r="MQ15" i="4"/>
  <c r="MO15" i="4"/>
  <c r="MN15" i="4"/>
  <c r="MM15" i="4"/>
  <c r="MR12" i="4"/>
  <c r="MQ12" i="4"/>
  <c r="MO12" i="4"/>
  <c r="MN12" i="4"/>
  <c r="MM12" i="4"/>
  <c r="MR8" i="4"/>
  <c r="MQ8" i="4"/>
  <c r="MO8" i="4"/>
  <c r="MN8" i="4"/>
  <c r="MM8" i="4"/>
  <c r="MR9" i="4"/>
  <c r="MQ9" i="4"/>
  <c r="MO9" i="4"/>
  <c r="MN9" i="4"/>
  <c r="MM9" i="4"/>
  <c r="MR7" i="4"/>
  <c r="MQ7" i="4"/>
  <c r="MO7" i="4"/>
  <c r="MN7" i="4"/>
  <c r="MM7" i="4"/>
  <c r="MR5" i="4"/>
  <c r="MQ5" i="4"/>
  <c r="MO5" i="4"/>
  <c r="MN5" i="4"/>
  <c r="MM5" i="4"/>
  <c r="MR6" i="4"/>
  <c r="MQ6" i="4"/>
  <c r="MO6" i="4"/>
  <c r="MN6" i="4"/>
  <c r="MM6" i="4"/>
  <c r="MR4" i="4"/>
  <c r="MQ4" i="4"/>
  <c r="MO4" i="4"/>
  <c r="MN4" i="4"/>
  <c r="MM4" i="4"/>
  <c r="LV17" i="4"/>
  <c r="LU17" i="4"/>
  <c r="LS17" i="4"/>
  <c r="LR17" i="4"/>
  <c r="LQ17" i="4"/>
  <c r="LV13" i="4"/>
  <c r="LU13" i="4"/>
  <c r="LS13" i="4"/>
  <c r="LR13" i="4"/>
  <c r="LQ13" i="4"/>
  <c r="LV11" i="4"/>
  <c r="LU11" i="4"/>
  <c r="LS11" i="4"/>
  <c r="LR11" i="4"/>
  <c r="LQ11" i="4"/>
  <c r="LV14" i="4"/>
  <c r="LU14" i="4"/>
  <c r="LS14" i="4"/>
  <c r="LR14" i="4"/>
  <c r="LQ14" i="4"/>
  <c r="LV19" i="4"/>
  <c r="LU19" i="4"/>
  <c r="LS19" i="4"/>
  <c r="LR19" i="4"/>
  <c r="LQ19" i="4"/>
  <c r="LV10" i="4"/>
  <c r="LU10" i="4"/>
  <c r="LS10" i="4"/>
  <c r="LR10" i="4"/>
  <c r="LQ10" i="4"/>
  <c r="LV15" i="4"/>
  <c r="LU15" i="4"/>
  <c r="LS15" i="4"/>
  <c r="LR15" i="4"/>
  <c r="LQ15" i="4"/>
  <c r="LV12" i="4"/>
  <c r="LU12" i="4"/>
  <c r="LS12" i="4"/>
  <c r="LR12" i="4"/>
  <c r="LQ12" i="4"/>
  <c r="LV8" i="4"/>
  <c r="LU8" i="4"/>
  <c r="LS8" i="4"/>
  <c r="LR8" i="4"/>
  <c r="LQ8" i="4"/>
  <c r="LV9" i="4"/>
  <c r="LU9" i="4"/>
  <c r="LS9" i="4"/>
  <c r="LR9" i="4"/>
  <c r="LQ9" i="4"/>
  <c r="LV7" i="4"/>
  <c r="LU7" i="4"/>
  <c r="LS7" i="4"/>
  <c r="LR7" i="4"/>
  <c r="LQ7" i="4"/>
  <c r="LV5" i="4"/>
  <c r="LU5" i="4"/>
  <c r="LS5" i="4"/>
  <c r="LR5" i="4"/>
  <c r="LQ5" i="4"/>
  <c r="LV6" i="4"/>
  <c r="LU6" i="4"/>
  <c r="LS6" i="4"/>
  <c r="LR6" i="4"/>
  <c r="LQ6" i="4"/>
  <c r="LV4" i="4"/>
  <c r="LU4" i="4"/>
  <c r="LS4" i="4"/>
  <c r="LR4" i="4"/>
  <c r="LQ4" i="4"/>
  <c r="KZ17" i="4"/>
  <c r="KY17" i="4"/>
  <c r="KW17" i="4"/>
  <c r="KV17" i="4"/>
  <c r="KU17" i="4"/>
  <c r="KZ13" i="4"/>
  <c r="KY13" i="4"/>
  <c r="KW13" i="4"/>
  <c r="KV13" i="4"/>
  <c r="KU13" i="4"/>
  <c r="KZ11" i="4"/>
  <c r="KY11" i="4"/>
  <c r="KW11" i="4"/>
  <c r="KV11" i="4"/>
  <c r="KU11" i="4"/>
  <c r="KZ14" i="4"/>
  <c r="KY14" i="4"/>
  <c r="KW14" i="4"/>
  <c r="KV14" i="4"/>
  <c r="KU14" i="4"/>
  <c r="KZ19" i="4"/>
  <c r="KY19" i="4"/>
  <c r="KW19" i="4"/>
  <c r="KV19" i="4"/>
  <c r="KU19" i="4"/>
  <c r="KZ10" i="4"/>
  <c r="KY10" i="4"/>
  <c r="KW10" i="4"/>
  <c r="KV10" i="4"/>
  <c r="KU10" i="4"/>
  <c r="KZ15" i="4"/>
  <c r="KY15" i="4"/>
  <c r="KW15" i="4"/>
  <c r="KV15" i="4"/>
  <c r="KU15" i="4"/>
  <c r="KZ12" i="4"/>
  <c r="KY12" i="4"/>
  <c r="KW12" i="4"/>
  <c r="KV12" i="4"/>
  <c r="KU12" i="4"/>
  <c r="KZ8" i="4"/>
  <c r="KY8" i="4"/>
  <c r="KW8" i="4"/>
  <c r="KV8" i="4"/>
  <c r="KU8" i="4"/>
  <c r="KZ9" i="4"/>
  <c r="KY9" i="4"/>
  <c r="KW9" i="4"/>
  <c r="KV9" i="4"/>
  <c r="KU9" i="4"/>
  <c r="KZ7" i="4"/>
  <c r="KY7" i="4"/>
  <c r="KW7" i="4"/>
  <c r="KV7" i="4"/>
  <c r="KU7" i="4"/>
  <c r="KZ5" i="4"/>
  <c r="KY5" i="4"/>
  <c r="KW5" i="4"/>
  <c r="KV5" i="4"/>
  <c r="KU5" i="4"/>
  <c r="KZ6" i="4"/>
  <c r="KY6" i="4"/>
  <c r="KW6" i="4"/>
  <c r="KV6" i="4"/>
  <c r="KU6" i="4"/>
  <c r="KZ4" i="4"/>
  <c r="KY4" i="4"/>
  <c r="KW4" i="4"/>
  <c r="KV4" i="4"/>
  <c r="KU4" i="4"/>
  <c r="KD17" i="4"/>
  <c r="KC17" i="4"/>
  <c r="KA17" i="4"/>
  <c r="JZ17" i="4"/>
  <c r="JY17" i="4"/>
  <c r="KD13" i="4"/>
  <c r="KC13" i="4"/>
  <c r="KA13" i="4"/>
  <c r="JZ13" i="4"/>
  <c r="JY13" i="4"/>
  <c r="KD11" i="4"/>
  <c r="KC11" i="4"/>
  <c r="KA11" i="4"/>
  <c r="JZ11" i="4"/>
  <c r="JY11" i="4"/>
  <c r="KD14" i="4"/>
  <c r="KC14" i="4"/>
  <c r="KA14" i="4"/>
  <c r="JZ14" i="4"/>
  <c r="JY14" i="4"/>
  <c r="KD19" i="4"/>
  <c r="KC19" i="4"/>
  <c r="KA19" i="4"/>
  <c r="JZ19" i="4"/>
  <c r="JY19" i="4"/>
  <c r="KD10" i="4"/>
  <c r="KC10" i="4"/>
  <c r="KA10" i="4"/>
  <c r="JZ10" i="4"/>
  <c r="JY10" i="4"/>
  <c r="KD15" i="4"/>
  <c r="KC15" i="4"/>
  <c r="KA15" i="4"/>
  <c r="JZ15" i="4"/>
  <c r="JY15" i="4"/>
  <c r="KD12" i="4"/>
  <c r="KC12" i="4"/>
  <c r="KA12" i="4"/>
  <c r="JZ12" i="4"/>
  <c r="JY12" i="4"/>
  <c r="KD8" i="4"/>
  <c r="KC8" i="4"/>
  <c r="KA8" i="4"/>
  <c r="JZ8" i="4"/>
  <c r="JY8" i="4"/>
  <c r="KD9" i="4"/>
  <c r="KC9" i="4"/>
  <c r="KA9" i="4"/>
  <c r="JZ9" i="4"/>
  <c r="JY9" i="4"/>
  <c r="KD7" i="4"/>
  <c r="KC7" i="4"/>
  <c r="KA7" i="4"/>
  <c r="JZ7" i="4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17" i="4"/>
  <c r="JG17" i="4"/>
  <c r="JE17" i="4"/>
  <c r="JD17" i="4"/>
  <c r="JC17" i="4"/>
  <c r="JH13" i="4"/>
  <c r="JG13" i="4"/>
  <c r="JE13" i="4"/>
  <c r="JD13" i="4"/>
  <c r="JC13" i="4"/>
  <c r="JH11" i="4"/>
  <c r="JG11" i="4"/>
  <c r="JE11" i="4"/>
  <c r="JD11" i="4"/>
  <c r="JC11" i="4"/>
  <c r="JH14" i="4"/>
  <c r="JG14" i="4"/>
  <c r="JE14" i="4"/>
  <c r="JD14" i="4"/>
  <c r="JC14" i="4"/>
  <c r="JH19" i="4"/>
  <c r="JG19" i="4"/>
  <c r="JE19" i="4"/>
  <c r="JD19" i="4"/>
  <c r="JC19" i="4"/>
  <c r="JH10" i="4"/>
  <c r="JG10" i="4"/>
  <c r="JE10" i="4"/>
  <c r="JD10" i="4"/>
  <c r="JC10" i="4"/>
  <c r="JH15" i="4"/>
  <c r="JG15" i="4"/>
  <c r="JE15" i="4"/>
  <c r="JD15" i="4"/>
  <c r="JC15" i="4"/>
  <c r="JH12" i="4"/>
  <c r="JG12" i="4"/>
  <c r="JE12" i="4"/>
  <c r="JD12" i="4"/>
  <c r="JC12" i="4"/>
  <c r="JH8" i="4"/>
  <c r="JG8" i="4"/>
  <c r="JE8" i="4"/>
  <c r="JD8" i="4"/>
  <c r="JC8" i="4"/>
  <c r="JH9" i="4"/>
  <c r="JG9" i="4"/>
  <c r="JE9" i="4"/>
  <c r="JD9" i="4"/>
  <c r="JC9" i="4"/>
  <c r="JH7" i="4"/>
  <c r="JG7" i="4"/>
  <c r="JE7" i="4"/>
  <c r="JD7" i="4"/>
  <c r="JC7" i="4"/>
  <c r="JH5" i="4"/>
  <c r="JG5" i="4"/>
  <c r="JE5" i="4"/>
  <c r="JD5" i="4"/>
  <c r="JC5" i="4"/>
  <c r="JH6" i="4"/>
  <c r="JG6" i="4"/>
  <c r="JE6" i="4"/>
  <c r="JD6" i="4"/>
  <c r="JC6" i="4"/>
  <c r="JH4" i="4"/>
  <c r="JG4" i="4"/>
  <c r="JE4" i="4"/>
  <c r="JD4" i="4"/>
  <c r="JC4" i="4"/>
  <c r="IL17" i="4"/>
  <c r="IK17" i="4"/>
  <c r="II17" i="4"/>
  <c r="IH17" i="4"/>
  <c r="IG17" i="4"/>
  <c r="IL13" i="4"/>
  <c r="IK13" i="4"/>
  <c r="II13" i="4"/>
  <c r="IH13" i="4"/>
  <c r="IG13" i="4"/>
  <c r="IL11" i="4"/>
  <c r="IK11" i="4"/>
  <c r="II11" i="4"/>
  <c r="IH11" i="4"/>
  <c r="IG11" i="4"/>
  <c r="IL14" i="4"/>
  <c r="IK14" i="4"/>
  <c r="II14" i="4"/>
  <c r="IH14" i="4"/>
  <c r="IG14" i="4"/>
  <c r="IL19" i="4"/>
  <c r="IK19" i="4"/>
  <c r="II19" i="4"/>
  <c r="IH19" i="4"/>
  <c r="IG19" i="4"/>
  <c r="IL10" i="4"/>
  <c r="IK10" i="4"/>
  <c r="II10" i="4"/>
  <c r="IH10" i="4"/>
  <c r="IG10" i="4"/>
  <c r="IL15" i="4"/>
  <c r="IK15" i="4"/>
  <c r="II15" i="4"/>
  <c r="IH15" i="4"/>
  <c r="IG15" i="4"/>
  <c r="IL12" i="4"/>
  <c r="IK12" i="4"/>
  <c r="II12" i="4"/>
  <c r="IH12" i="4"/>
  <c r="IG12" i="4"/>
  <c r="IL8" i="4"/>
  <c r="IK8" i="4"/>
  <c r="II8" i="4"/>
  <c r="IH8" i="4"/>
  <c r="IG8" i="4"/>
  <c r="IL9" i="4"/>
  <c r="IK9" i="4"/>
  <c r="II9" i="4"/>
  <c r="IH9" i="4"/>
  <c r="IG9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G4" i="4"/>
  <c r="HP17" i="4"/>
  <c r="HO17" i="4"/>
  <c r="HM17" i="4"/>
  <c r="HL17" i="4"/>
  <c r="HK17" i="4"/>
  <c r="HP13" i="4"/>
  <c r="HO13" i="4"/>
  <c r="HM13" i="4"/>
  <c r="HL13" i="4"/>
  <c r="HK13" i="4"/>
  <c r="HP11" i="4"/>
  <c r="HO11" i="4"/>
  <c r="HM11" i="4"/>
  <c r="HL11" i="4"/>
  <c r="HK11" i="4"/>
  <c r="HP14" i="4"/>
  <c r="HO14" i="4"/>
  <c r="HM14" i="4"/>
  <c r="HL14" i="4"/>
  <c r="HK14" i="4"/>
  <c r="HP19" i="4"/>
  <c r="HO19" i="4"/>
  <c r="HM19" i="4"/>
  <c r="HL19" i="4"/>
  <c r="HK19" i="4"/>
  <c r="HP10" i="4"/>
  <c r="HO10" i="4"/>
  <c r="HM10" i="4"/>
  <c r="HL10" i="4"/>
  <c r="HK10" i="4"/>
  <c r="HP15" i="4"/>
  <c r="HO15" i="4"/>
  <c r="HM15" i="4"/>
  <c r="HL15" i="4"/>
  <c r="HK15" i="4"/>
  <c r="HP12" i="4"/>
  <c r="HO12" i="4"/>
  <c r="HM12" i="4"/>
  <c r="HL12" i="4"/>
  <c r="HK12" i="4"/>
  <c r="HP8" i="4"/>
  <c r="HO8" i="4"/>
  <c r="HM8" i="4"/>
  <c r="HL8" i="4"/>
  <c r="HK8" i="4"/>
  <c r="HP9" i="4"/>
  <c r="HO9" i="4"/>
  <c r="HM9" i="4"/>
  <c r="HL9" i="4"/>
  <c r="HK9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17" i="4"/>
  <c r="GS17" i="4"/>
  <c r="GQ17" i="4"/>
  <c r="GP17" i="4"/>
  <c r="GO17" i="4"/>
  <c r="GT13" i="4"/>
  <c r="GS13" i="4"/>
  <c r="GQ13" i="4"/>
  <c r="GP13" i="4"/>
  <c r="GO13" i="4"/>
  <c r="GT11" i="4"/>
  <c r="GS11" i="4"/>
  <c r="GQ11" i="4"/>
  <c r="GP11" i="4"/>
  <c r="GO11" i="4"/>
  <c r="GT14" i="4"/>
  <c r="GS14" i="4"/>
  <c r="GQ14" i="4"/>
  <c r="GP14" i="4"/>
  <c r="GO14" i="4"/>
  <c r="GT19" i="4"/>
  <c r="GS19" i="4"/>
  <c r="GQ19" i="4"/>
  <c r="GP19" i="4"/>
  <c r="GO19" i="4"/>
  <c r="GT10" i="4"/>
  <c r="GS10" i="4"/>
  <c r="GQ10" i="4"/>
  <c r="GP10" i="4"/>
  <c r="GO10" i="4"/>
  <c r="GT15" i="4"/>
  <c r="GS15" i="4"/>
  <c r="GQ15" i="4"/>
  <c r="GP15" i="4"/>
  <c r="GO15" i="4"/>
  <c r="GT12" i="4"/>
  <c r="GS12" i="4"/>
  <c r="GQ12" i="4"/>
  <c r="GP12" i="4"/>
  <c r="GO12" i="4"/>
  <c r="GT8" i="4"/>
  <c r="GS8" i="4"/>
  <c r="GQ8" i="4"/>
  <c r="GP8" i="4"/>
  <c r="GO8" i="4"/>
  <c r="GT9" i="4"/>
  <c r="GS9" i="4"/>
  <c r="GQ9" i="4"/>
  <c r="GP9" i="4"/>
  <c r="GO9" i="4"/>
  <c r="GT7" i="4"/>
  <c r="GS7" i="4"/>
  <c r="GQ7" i="4"/>
  <c r="GP7" i="4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O4" i="4"/>
  <c r="FX17" i="4"/>
  <c r="FW17" i="4"/>
  <c r="FU17" i="4"/>
  <c r="FT17" i="4"/>
  <c r="FS17" i="4"/>
  <c r="FX13" i="4"/>
  <c r="FW13" i="4"/>
  <c r="FU13" i="4"/>
  <c r="FT13" i="4"/>
  <c r="FS13" i="4"/>
  <c r="FX11" i="4"/>
  <c r="FW11" i="4"/>
  <c r="FU11" i="4"/>
  <c r="FT11" i="4"/>
  <c r="FS11" i="4"/>
  <c r="FX14" i="4"/>
  <c r="FW14" i="4"/>
  <c r="FU14" i="4"/>
  <c r="FT14" i="4"/>
  <c r="FS14" i="4"/>
  <c r="FX19" i="4"/>
  <c r="FW19" i="4"/>
  <c r="FU19" i="4"/>
  <c r="FT19" i="4"/>
  <c r="FS19" i="4"/>
  <c r="FX10" i="4"/>
  <c r="FW10" i="4"/>
  <c r="FU10" i="4"/>
  <c r="FT10" i="4"/>
  <c r="FS10" i="4"/>
  <c r="FX15" i="4"/>
  <c r="FW15" i="4"/>
  <c r="FU15" i="4"/>
  <c r="FT15" i="4"/>
  <c r="FS15" i="4"/>
  <c r="FX12" i="4"/>
  <c r="FW12" i="4"/>
  <c r="FU12" i="4"/>
  <c r="FT12" i="4"/>
  <c r="FS12" i="4"/>
  <c r="FX8" i="4"/>
  <c r="FW8" i="4"/>
  <c r="FU8" i="4"/>
  <c r="FT8" i="4"/>
  <c r="FS8" i="4"/>
  <c r="FX9" i="4"/>
  <c r="FW9" i="4"/>
  <c r="FU9" i="4"/>
  <c r="FT9" i="4"/>
  <c r="FS9" i="4"/>
  <c r="FX7" i="4"/>
  <c r="FW7" i="4"/>
  <c r="FU7" i="4"/>
  <c r="FT7" i="4"/>
  <c r="FS7" i="4"/>
  <c r="FX5" i="4"/>
  <c r="FW5" i="4"/>
  <c r="FU5" i="4"/>
  <c r="FT5" i="4"/>
  <c r="FS5" i="4"/>
  <c r="FX6" i="4"/>
  <c r="FW6" i="4"/>
  <c r="FU6" i="4"/>
  <c r="FT6" i="4"/>
  <c r="FS6" i="4"/>
  <c r="FX4" i="4"/>
  <c r="FW4" i="4"/>
  <c r="FU4" i="4"/>
  <c r="FT4" i="4"/>
  <c r="FS4" i="4"/>
  <c r="FB17" i="4"/>
  <c r="FA17" i="4"/>
  <c r="EY17" i="4"/>
  <c r="EX17" i="4"/>
  <c r="EW17" i="4"/>
  <c r="FB13" i="4"/>
  <c r="FA13" i="4"/>
  <c r="EY13" i="4"/>
  <c r="EX13" i="4"/>
  <c r="EW13" i="4"/>
  <c r="FB11" i="4"/>
  <c r="FA11" i="4"/>
  <c r="EY11" i="4"/>
  <c r="EX11" i="4"/>
  <c r="EW11" i="4"/>
  <c r="FB14" i="4"/>
  <c r="FA14" i="4"/>
  <c r="EY14" i="4"/>
  <c r="EX14" i="4"/>
  <c r="EW14" i="4"/>
  <c r="FB19" i="4"/>
  <c r="FA19" i="4"/>
  <c r="EY19" i="4"/>
  <c r="EX19" i="4"/>
  <c r="EW19" i="4"/>
  <c r="FB10" i="4"/>
  <c r="FA10" i="4"/>
  <c r="EY10" i="4"/>
  <c r="EX10" i="4"/>
  <c r="EW10" i="4"/>
  <c r="FB15" i="4"/>
  <c r="FA15" i="4"/>
  <c r="EY15" i="4"/>
  <c r="EX15" i="4"/>
  <c r="EW15" i="4"/>
  <c r="FB12" i="4"/>
  <c r="FA12" i="4"/>
  <c r="EY12" i="4"/>
  <c r="EX12" i="4"/>
  <c r="EW12" i="4"/>
  <c r="FB8" i="4"/>
  <c r="FA8" i="4"/>
  <c r="EY8" i="4"/>
  <c r="EX8" i="4"/>
  <c r="EW8" i="4"/>
  <c r="FB9" i="4"/>
  <c r="FA9" i="4"/>
  <c r="EY9" i="4"/>
  <c r="EX9" i="4"/>
  <c r="EW9" i="4"/>
  <c r="FB7" i="4"/>
  <c r="FA7" i="4"/>
  <c r="EY7" i="4"/>
  <c r="EX7" i="4"/>
  <c r="EW7" i="4"/>
  <c r="FB5" i="4"/>
  <c r="FA5" i="4"/>
  <c r="EY5" i="4"/>
  <c r="EX5" i="4"/>
  <c r="EW5" i="4"/>
  <c r="FB6" i="4"/>
  <c r="FA6" i="4"/>
  <c r="EY6" i="4"/>
  <c r="EX6" i="4"/>
  <c r="EW6" i="4"/>
  <c r="FB4" i="4"/>
  <c r="FA4" i="4"/>
  <c r="EY4" i="4"/>
  <c r="EX4" i="4"/>
  <c r="EW4" i="4"/>
  <c r="EF17" i="4"/>
  <c r="EE17" i="4"/>
  <c r="EC17" i="4"/>
  <c r="EB17" i="4"/>
  <c r="EA17" i="4"/>
  <c r="EF13" i="4"/>
  <c r="EE13" i="4"/>
  <c r="EC13" i="4"/>
  <c r="EB13" i="4"/>
  <c r="EA13" i="4"/>
  <c r="EF11" i="4"/>
  <c r="EE11" i="4"/>
  <c r="EC11" i="4"/>
  <c r="EB11" i="4"/>
  <c r="EA11" i="4"/>
  <c r="EF14" i="4"/>
  <c r="EE14" i="4"/>
  <c r="EC14" i="4"/>
  <c r="EB14" i="4"/>
  <c r="EA14" i="4"/>
  <c r="EF19" i="4"/>
  <c r="EE19" i="4"/>
  <c r="EC19" i="4"/>
  <c r="EB19" i="4"/>
  <c r="EA19" i="4"/>
  <c r="EF10" i="4"/>
  <c r="EE10" i="4"/>
  <c r="EC10" i="4"/>
  <c r="EB10" i="4"/>
  <c r="EA10" i="4"/>
  <c r="EF15" i="4"/>
  <c r="EE15" i="4"/>
  <c r="EC15" i="4"/>
  <c r="EB15" i="4"/>
  <c r="EA15" i="4"/>
  <c r="EF12" i="4"/>
  <c r="EE12" i="4"/>
  <c r="EC12" i="4"/>
  <c r="EB12" i="4"/>
  <c r="EA12" i="4"/>
  <c r="EF8" i="4"/>
  <c r="EE8" i="4"/>
  <c r="EC8" i="4"/>
  <c r="EB8" i="4"/>
  <c r="EA8" i="4"/>
  <c r="EF9" i="4"/>
  <c r="EE9" i="4"/>
  <c r="EC9" i="4"/>
  <c r="EB9" i="4"/>
  <c r="EA9" i="4"/>
  <c r="EF7" i="4"/>
  <c r="EE7" i="4"/>
  <c r="EC7" i="4"/>
  <c r="EB7" i="4"/>
  <c r="EA7" i="4"/>
  <c r="EF5" i="4"/>
  <c r="EE5" i="4"/>
  <c r="EC5" i="4"/>
  <c r="EB5" i="4"/>
  <c r="EA5" i="4"/>
  <c r="EF6" i="4"/>
  <c r="EE6" i="4"/>
  <c r="EC6" i="4"/>
  <c r="EB6" i="4"/>
  <c r="EA6" i="4"/>
  <c r="EF4" i="4"/>
  <c r="EE4" i="4"/>
  <c r="EC4" i="4"/>
  <c r="EB4" i="4"/>
  <c r="EA4" i="4"/>
  <c r="BZ6" i="8"/>
  <c r="CA6" i="8"/>
  <c r="CC6" i="8"/>
  <c r="LT6" i="8"/>
  <c r="LU6" i="8"/>
  <c r="LV6" i="8"/>
  <c r="LW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BZ11" i="8"/>
  <c r="CA11" i="8"/>
  <c r="CC11" i="8"/>
  <c r="LT11" i="8"/>
  <c r="LU11" i="8"/>
  <c r="LV11" i="8"/>
  <c r="LW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N10" i="14" s="1"/>
  <c r="OC10" i="14"/>
  <c r="OD10" i="14"/>
  <c r="OE10" i="14"/>
  <c r="OF10" i="14"/>
  <c r="OG10" i="14"/>
  <c r="OQ10" i="14" s="1"/>
  <c r="OH10" i="14"/>
  <c r="OI10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BZ22" i="12"/>
  <c r="CA22" i="12"/>
  <c r="CB22" i="12"/>
  <c r="CC22" i="12"/>
  <c r="LT22" i="12"/>
  <c r="LU22" i="12"/>
  <c r="LV22" i="12"/>
  <c r="LW22" i="12"/>
  <c r="LY22" i="12"/>
  <c r="LZ22" i="12"/>
  <c r="MA22" i="12"/>
  <c r="MB22" i="12"/>
  <c r="MC22" i="12"/>
  <c r="MD22" i="12"/>
  <c r="ME22" i="12"/>
  <c r="MF22" i="12"/>
  <c r="MG22" i="12"/>
  <c r="MH22" i="12"/>
  <c r="MI22" i="12"/>
  <c r="MJ22" i="12"/>
  <c r="MK22" i="12"/>
  <c r="ML22" i="12"/>
  <c r="MM22" i="12"/>
  <c r="MN22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DA23" i="6" l="1"/>
  <c r="MT22" i="6"/>
  <c r="M13" i="8"/>
  <c r="MT14" i="8"/>
  <c r="MT13" i="8"/>
  <c r="OP27" i="14"/>
  <c r="OS27" i="14" s="1"/>
  <c r="K16" i="4"/>
  <c r="L16" i="4" s="1"/>
  <c r="H21" i="12"/>
  <c r="I21" i="12" s="1"/>
  <c r="L21" i="12"/>
  <c r="CE21" i="12"/>
  <c r="K21" i="12"/>
  <c r="A21" i="12"/>
  <c r="H24" i="6"/>
  <c r="I24" i="6" s="1"/>
  <c r="MT24" i="6"/>
  <c r="L24" i="6"/>
  <c r="CE24" i="6"/>
  <c r="K24" i="6"/>
  <c r="A24" i="6"/>
  <c r="H22" i="6"/>
  <c r="I22" i="6" s="1"/>
  <c r="L22" i="6"/>
  <c r="CE22" i="6"/>
  <c r="K22" i="6"/>
  <c r="A22" i="6"/>
  <c r="H13" i="8"/>
  <c r="I13" i="8" s="1"/>
  <c r="CE13" i="8"/>
  <c r="N13" i="8" s="1"/>
  <c r="K13" i="8"/>
  <c r="A13" i="8"/>
  <c r="CF14" i="8"/>
  <c r="H14" i="8"/>
  <c r="I14" i="8" s="1"/>
  <c r="CE14" i="8"/>
  <c r="K14" i="8"/>
  <c r="A14" i="8"/>
  <c r="DA9" i="8"/>
  <c r="DA10" i="8"/>
  <c r="DA8" i="8"/>
  <c r="DV11" i="8"/>
  <c r="DV6" i="8"/>
  <c r="EQ9" i="8"/>
  <c r="EQ10" i="8"/>
  <c r="FL7" i="8"/>
  <c r="GG10" i="8"/>
  <c r="HB4" i="8"/>
  <c r="HB11" i="8"/>
  <c r="HB6" i="8"/>
  <c r="HW9" i="8"/>
  <c r="HW10" i="8"/>
  <c r="F27" i="14"/>
  <c r="I27" i="14"/>
  <c r="DI27" i="14"/>
  <c r="DK27" i="14"/>
  <c r="R27" i="14"/>
  <c r="DJ27" i="14"/>
  <c r="L27" i="14"/>
  <c r="M27" i="14"/>
  <c r="DV23" i="6"/>
  <c r="M8" i="7"/>
  <c r="IJ7" i="14"/>
  <c r="IM7" i="14" s="1"/>
  <c r="JM18" i="6"/>
  <c r="LC23" i="6"/>
  <c r="GG6" i="7"/>
  <c r="MT19" i="6"/>
  <c r="H19" i="6"/>
  <c r="I19" i="6" s="1"/>
  <c r="L19" i="6"/>
  <c r="CE19" i="6"/>
  <c r="K19" i="6"/>
  <c r="A19" i="6"/>
  <c r="MT16" i="6"/>
  <c r="MT20" i="6"/>
  <c r="MT5" i="8"/>
  <c r="H20" i="6"/>
  <c r="I20" i="6" s="1"/>
  <c r="K8" i="14"/>
  <c r="DJ8" i="14" s="1"/>
  <c r="K19" i="14"/>
  <c r="DJ19" i="14" s="1"/>
  <c r="DI8" i="14"/>
  <c r="OP8" i="14"/>
  <c r="OP16" i="4"/>
  <c r="DK8" i="14"/>
  <c r="J8" i="14"/>
  <c r="I8" i="14"/>
  <c r="K25" i="14"/>
  <c r="DJ25" i="14" s="1"/>
  <c r="ED13" i="14"/>
  <c r="IR4" i="8"/>
  <c r="IR11" i="8"/>
  <c r="IR6" i="8"/>
  <c r="JM9" i="8"/>
  <c r="JM10" i="8"/>
  <c r="JM8" i="8"/>
  <c r="KH6" i="8"/>
  <c r="MT10" i="7"/>
  <c r="P25" i="14"/>
  <c r="OP25" i="14"/>
  <c r="OP20" i="4"/>
  <c r="MT13" i="12"/>
  <c r="MT14" i="12"/>
  <c r="GG16" i="12"/>
  <c r="IR6" i="12"/>
  <c r="IR20" i="12"/>
  <c r="IR17" i="12"/>
  <c r="IR12" i="12"/>
  <c r="JM5" i="12"/>
  <c r="JM7" i="12"/>
  <c r="JM9" i="12"/>
  <c r="JM16" i="12"/>
  <c r="KH8" i="12"/>
  <c r="KH19" i="12"/>
  <c r="KH17" i="12"/>
  <c r="KH12" i="12"/>
  <c r="LC5" i="12"/>
  <c r="LC7" i="12"/>
  <c r="LC9" i="12"/>
  <c r="LC18" i="12"/>
  <c r="LC11" i="12"/>
  <c r="LC23" i="12"/>
  <c r="LC16" i="12"/>
  <c r="LC22" i="12"/>
  <c r="H14" i="12"/>
  <c r="I14" i="12" s="1"/>
  <c r="A14" i="12"/>
  <c r="L14" i="12"/>
  <c r="CE14" i="12"/>
  <c r="K14" i="12"/>
  <c r="H13" i="12"/>
  <c r="I13" i="12" s="1"/>
  <c r="L13" i="12"/>
  <c r="CE13" i="12"/>
  <c r="K13" i="12"/>
  <c r="A13" i="12"/>
  <c r="DA22" i="12"/>
  <c r="DV4" i="12"/>
  <c r="EQ16" i="12"/>
  <c r="DA19" i="12"/>
  <c r="GG6" i="12"/>
  <c r="GG12" i="12"/>
  <c r="HB5" i="12"/>
  <c r="HB7" i="12"/>
  <c r="HB9" i="12"/>
  <c r="HB11" i="12"/>
  <c r="HB23" i="12"/>
  <c r="HB16" i="12"/>
  <c r="HW6" i="12"/>
  <c r="HW20" i="12"/>
  <c r="HW19" i="12"/>
  <c r="HW10" i="12"/>
  <c r="HW12" i="12"/>
  <c r="IR9" i="12"/>
  <c r="IR11" i="12"/>
  <c r="IR23" i="12"/>
  <c r="IR16" i="12"/>
  <c r="KH16" i="12"/>
  <c r="LC6" i="12"/>
  <c r="LC20" i="12"/>
  <c r="LC12" i="12"/>
  <c r="MT15" i="6"/>
  <c r="IR4" i="7"/>
  <c r="HB4" i="7"/>
  <c r="HW6" i="7"/>
  <c r="L20" i="6"/>
  <c r="CE20" i="6"/>
  <c r="K20" i="6"/>
  <c r="A20" i="6"/>
  <c r="H15" i="6"/>
  <c r="I15" i="6" s="1"/>
  <c r="L15" i="6"/>
  <c r="K15" i="6"/>
  <c r="CE15" i="6"/>
  <c r="A15" i="6"/>
  <c r="H16" i="6"/>
  <c r="I16" i="6" s="1"/>
  <c r="L16" i="6"/>
  <c r="K16" i="6"/>
  <c r="CE16" i="6"/>
  <c r="A16" i="6"/>
  <c r="H9" i="6"/>
  <c r="I9" i="6" s="1"/>
  <c r="MT9" i="6"/>
  <c r="A9" i="6"/>
  <c r="L9" i="6"/>
  <c r="CE9" i="6"/>
  <c r="K9" i="6"/>
  <c r="DA7" i="6"/>
  <c r="DV5" i="6"/>
  <c r="DV8" i="6"/>
  <c r="IR5" i="6"/>
  <c r="HW11" i="6"/>
  <c r="LC4" i="6"/>
  <c r="KH5" i="6"/>
  <c r="KH7" i="6"/>
  <c r="HW17" i="6"/>
  <c r="IR4" i="6"/>
  <c r="M12" i="8"/>
  <c r="MT12" i="8"/>
  <c r="CF12" i="8"/>
  <c r="H12" i="8"/>
  <c r="I12" i="8" s="1"/>
  <c r="CE12" i="8"/>
  <c r="K12" i="8"/>
  <c r="A12" i="8"/>
  <c r="DA4" i="8"/>
  <c r="DA6" i="8"/>
  <c r="DV9" i="8"/>
  <c r="DV10" i="8"/>
  <c r="FL10" i="8"/>
  <c r="GG11" i="8"/>
  <c r="GG6" i="8"/>
  <c r="HB9" i="8"/>
  <c r="HB10" i="8"/>
  <c r="HW4" i="8"/>
  <c r="HW11" i="8"/>
  <c r="IR10" i="8"/>
  <c r="JM4" i="8"/>
  <c r="JM11" i="8"/>
  <c r="JM6" i="8"/>
  <c r="KH10" i="8"/>
  <c r="KH8" i="8"/>
  <c r="LC4" i="8"/>
  <c r="LC11" i="8"/>
  <c r="LC6" i="8"/>
  <c r="H5" i="8"/>
  <c r="I5" i="8" s="1"/>
  <c r="CE5" i="8"/>
  <c r="N5" i="8" s="1"/>
  <c r="K5" i="8"/>
  <c r="M5" i="8"/>
  <c r="MT8" i="7"/>
  <c r="H8" i="7"/>
  <c r="I8" i="7" s="1"/>
  <c r="CE8" i="7"/>
  <c r="N8" i="7" s="1"/>
  <c r="K8" i="7"/>
  <c r="A8" i="7"/>
  <c r="JM9" i="7"/>
  <c r="KH5" i="7"/>
  <c r="KH6" i="7"/>
  <c r="LC9" i="7"/>
  <c r="M10" i="7"/>
  <c r="EQ6" i="7"/>
  <c r="H10" i="7"/>
  <c r="I10" i="7" s="1"/>
  <c r="CE10" i="7"/>
  <c r="N10" i="7" s="1"/>
  <c r="K10" i="7"/>
  <c r="A10" i="7"/>
  <c r="FL5" i="7"/>
  <c r="FL6" i="7"/>
  <c r="J23" i="14"/>
  <c r="K23" i="14"/>
  <c r="L23" i="14" s="1"/>
  <c r="DK19" i="14"/>
  <c r="OP23" i="14"/>
  <c r="A19" i="14" a="1"/>
  <c r="A19" i="14" s="1"/>
  <c r="OP19" i="14"/>
  <c r="DI19" i="14"/>
  <c r="J19" i="14"/>
  <c r="I19" i="14"/>
  <c r="HN20" i="14"/>
  <c r="HQ20" i="14" s="1"/>
  <c r="IJ4" i="14"/>
  <c r="IJ22" i="14"/>
  <c r="IM22" i="14" s="1"/>
  <c r="KB6" i="14"/>
  <c r="KE6" i="14" s="1"/>
  <c r="DI23" i="14"/>
  <c r="J25" i="14"/>
  <c r="A25" i="14" a="1"/>
  <c r="A25" i="14" s="1"/>
  <c r="I25" i="14"/>
  <c r="DK25" i="14"/>
  <c r="S25" i="14" s="1"/>
  <c r="R25" i="14"/>
  <c r="OP16" i="14"/>
  <c r="LT18" i="14"/>
  <c r="LW18" i="14" s="1"/>
  <c r="MP6" i="14"/>
  <c r="MP17" i="14"/>
  <c r="K16" i="14"/>
  <c r="DJ16" i="14" s="1"/>
  <c r="I23" i="14"/>
  <c r="F23" i="14"/>
  <c r="DK23" i="14"/>
  <c r="A23" i="14" a="1"/>
  <c r="A23" i="14" s="1"/>
  <c r="KX18" i="14"/>
  <c r="LA18" i="14" s="1"/>
  <c r="LT6" i="14"/>
  <c r="LW6" i="14" s="1"/>
  <c r="LT9" i="14"/>
  <c r="LW9" i="14" s="1"/>
  <c r="LT20" i="14"/>
  <c r="LW20" i="14" s="1"/>
  <c r="MP4" i="14"/>
  <c r="MS4" i="14" s="1"/>
  <c r="DI16" i="14"/>
  <c r="J16" i="14"/>
  <c r="I16" i="14"/>
  <c r="A16" i="14" a="1"/>
  <c r="A16" i="14" s="1"/>
  <c r="DK16" i="14"/>
  <c r="R16" i="14"/>
  <c r="MP22" i="14"/>
  <c r="MS22" i="14" s="1"/>
  <c r="HN10" i="14"/>
  <c r="HQ10" i="14" s="1"/>
  <c r="IM4" i="14"/>
  <c r="KB12" i="14"/>
  <c r="KE12" i="14" s="1"/>
  <c r="K20" i="4"/>
  <c r="MP11" i="4"/>
  <c r="MS11" i="4" s="1"/>
  <c r="ED11" i="4"/>
  <c r="EG11" i="4" s="1"/>
  <c r="P16" i="4"/>
  <c r="R16" i="4"/>
  <c r="DK20" i="4"/>
  <c r="A20" i="4" a="1"/>
  <c r="A20" i="4" s="1"/>
  <c r="OP21" i="4"/>
  <c r="K21" i="4"/>
  <c r="DJ21" i="4" s="1"/>
  <c r="K18" i="4"/>
  <c r="OP18" i="4"/>
  <c r="I16" i="4"/>
  <c r="J16" i="4"/>
  <c r="S16" i="4"/>
  <c r="A16" i="4" a="1"/>
  <c r="A16" i="4" s="1"/>
  <c r="IJ11" i="4"/>
  <c r="IM11" i="4" s="1"/>
  <c r="JF19" i="4"/>
  <c r="JI19" i="4" s="1"/>
  <c r="KB15" i="4"/>
  <c r="KE15" i="4" s="1"/>
  <c r="P21" i="4"/>
  <c r="MP17" i="4"/>
  <c r="MS17" i="4" s="1"/>
  <c r="J20" i="4"/>
  <c r="F20" i="4"/>
  <c r="I20" i="4"/>
  <c r="P20" i="4"/>
  <c r="DI20" i="4"/>
  <c r="MP13" i="4"/>
  <c r="MS13" i="4" s="1"/>
  <c r="FV6" i="4"/>
  <c r="FY6" i="4" s="1"/>
  <c r="LT10" i="4"/>
  <c r="LW10" i="4" s="1"/>
  <c r="IJ13" i="4"/>
  <c r="IM13" i="4" s="1"/>
  <c r="JF14" i="4"/>
  <c r="JI14" i="4" s="1"/>
  <c r="KX6" i="4"/>
  <c r="LA6" i="4" s="1"/>
  <c r="KX12" i="4"/>
  <c r="LA12" i="4" s="1"/>
  <c r="LT4" i="4"/>
  <c r="LW4" i="4" s="1"/>
  <c r="LT13" i="4"/>
  <c r="LW13" i="4" s="1"/>
  <c r="MP9" i="4"/>
  <c r="MS9" i="4" s="1"/>
  <c r="MP14" i="4"/>
  <c r="MS14" i="4" s="1"/>
  <c r="R21" i="4"/>
  <c r="A21" i="4" a="1"/>
  <c r="A21" i="4" s="1"/>
  <c r="S21" i="4"/>
  <c r="T21" i="4" s="1"/>
  <c r="J21" i="4"/>
  <c r="I21" i="4"/>
  <c r="DI18" i="4"/>
  <c r="A18" i="4" a="1"/>
  <c r="A18" i="4" s="1"/>
  <c r="J18" i="4"/>
  <c r="DK18" i="4"/>
  <c r="R18" i="4"/>
  <c r="I18" i="4"/>
  <c r="EZ19" i="4"/>
  <c r="FC19" i="4" s="1"/>
  <c r="ED19" i="4"/>
  <c r="EG19" i="4" s="1"/>
  <c r="DA6" i="12"/>
  <c r="DA5" i="12"/>
  <c r="DA7" i="12"/>
  <c r="DA9" i="12"/>
  <c r="GG15" i="12"/>
  <c r="DV8" i="12"/>
  <c r="EQ9" i="12"/>
  <c r="EQ22" i="12"/>
  <c r="FL8" i="12"/>
  <c r="FL19" i="12"/>
  <c r="FL10" i="12"/>
  <c r="FL17" i="12"/>
  <c r="KH18" i="12"/>
  <c r="GG9" i="12"/>
  <c r="GG18" i="12"/>
  <c r="GG11" i="12"/>
  <c r="GG23" i="12"/>
  <c r="J11" i="12"/>
  <c r="KH10" i="12"/>
  <c r="DA17" i="12"/>
  <c r="DA12" i="12"/>
  <c r="DV5" i="12"/>
  <c r="DV7" i="12"/>
  <c r="DV9" i="12"/>
  <c r="DV18" i="12"/>
  <c r="DV11" i="12"/>
  <c r="DV23" i="12"/>
  <c r="DV16" i="12"/>
  <c r="DV22" i="12"/>
  <c r="EQ8" i="12"/>
  <c r="FL9" i="12"/>
  <c r="FL11" i="12"/>
  <c r="HB4" i="12"/>
  <c r="EQ13" i="6"/>
  <c r="FL13" i="6"/>
  <c r="GG21" i="6"/>
  <c r="GG13" i="6"/>
  <c r="EQ4" i="6"/>
  <c r="EQ10" i="6"/>
  <c r="EQ17" i="6"/>
  <c r="FL4" i="6"/>
  <c r="FL18" i="6"/>
  <c r="FL10" i="6"/>
  <c r="FL17" i="6"/>
  <c r="GG4" i="6"/>
  <c r="GG14" i="6"/>
  <c r="GG18" i="6"/>
  <c r="GG10" i="6"/>
  <c r="GG17" i="6"/>
  <c r="HB4" i="6"/>
  <c r="HB6" i="6"/>
  <c r="HB18" i="6"/>
  <c r="HB17" i="6"/>
  <c r="HW4" i="6"/>
  <c r="HW18" i="6"/>
  <c r="DV4" i="6"/>
  <c r="HW12" i="6"/>
  <c r="HW8" i="6"/>
  <c r="HW23" i="6"/>
  <c r="DV14" i="6"/>
  <c r="JM21" i="6"/>
  <c r="FL5" i="6"/>
  <c r="FL7" i="6"/>
  <c r="IR18" i="6"/>
  <c r="IR10" i="6"/>
  <c r="IR17" i="6"/>
  <c r="JM4" i="6"/>
  <c r="JM6" i="6"/>
  <c r="LC21" i="6"/>
  <c r="LC13" i="6"/>
  <c r="KH4" i="6"/>
  <c r="KH6" i="6"/>
  <c r="KH18" i="6"/>
  <c r="DA14" i="6"/>
  <c r="HB12" i="6"/>
  <c r="HB8" i="6"/>
  <c r="HB23" i="6"/>
  <c r="HW5" i="6"/>
  <c r="LC6" i="6"/>
  <c r="LC18" i="6"/>
  <c r="LC10" i="6"/>
  <c r="LC8" i="8"/>
  <c r="GG7" i="8"/>
  <c r="EQ7" i="7"/>
  <c r="KH9" i="7"/>
  <c r="LC6" i="7"/>
  <c r="DV6" i="7"/>
  <c r="JM6" i="7"/>
  <c r="HB6" i="7"/>
  <c r="IR9" i="7"/>
  <c r="JM4" i="7"/>
  <c r="EZ4" i="14"/>
  <c r="FC4" i="14" s="1"/>
  <c r="IJ10" i="14"/>
  <c r="IM10" i="14" s="1"/>
  <c r="EZ18" i="14"/>
  <c r="FC18" i="14" s="1"/>
  <c r="FV9" i="14"/>
  <c r="FY9" i="14" s="1"/>
  <c r="GR12" i="14"/>
  <c r="GU12" i="14" s="1"/>
  <c r="HN7" i="14"/>
  <c r="HQ7" i="14" s="1"/>
  <c r="LT15" i="14"/>
  <c r="LW15" i="14" s="1"/>
  <c r="MP9" i="14"/>
  <c r="MS9" i="14" s="1"/>
  <c r="MP10" i="14"/>
  <c r="MS10" i="14" s="1"/>
  <c r="GR4" i="14"/>
  <c r="GU4" i="14" s="1"/>
  <c r="HN18" i="14"/>
  <c r="HQ18" i="14" s="1"/>
  <c r="IJ9" i="14"/>
  <c r="IM9" i="14" s="1"/>
  <c r="IJ17" i="14"/>
  <c r="IM17" i="14" s="1"/>
  <c r="GR6" i="14"/>
  <c r="GU6" i="14" s="1"/>
  <c r="IJ21" i="14"/>
  <c r="IM21" i="14" s="1"/>
  <c r="MS17" i="14"/>
  <c r="ED6" i="14"/>
  <c r="EG6" i="14" s="1"/>
  <c r="EZ10" i="14"/>
  <c r="FC10" i="14" s="1"/>
  <c r="HN5" i="14"/>
  <c r="HQ5" i="14" s="1"/>
  <c r="IJ24" i="14"/>
  <c r="IM24" i="14" s="1"/>
  <c r="JF4" i="14"/>
  <c r="JI4" i="14" s="1"/>
  <c r="JF22" i="14"/>
  <c r="JI22" i="14" s="1"/>
  <c r="LT12" i="14"/>
  <c r="LW12" i="14" s="1"/>
  <c r="LT7" i="14"/>
  <c r="LW7" i="14" s="1"/>
  <c r="LT26" i="14"/>
  <c r="LW26" i="14" s="1"/>
  <c r="FV11" i="4"/>
  <c r="FY11" i="4" s="1"/>
  <c r="HN15" i="4"/>
  <c r="HQ15" i="4" s="1"/>
  <c r="JF11" i="4"/>
  <c r="JI11" i="4" s="1"/>
  <c r="KB19" i="4"/>
  <c r="KE19" i="4" s="1"/>
  <c r="LT17" i="4"/>
  <c r="LW17" i="4" s="1"/>
  <c r="HN13" i="4"/>
  <c r="HQ13" i="4" s="1"/>
  <c r="KX19" i="4"/>
  <c r="LA19" i="4" s="1"/>
  <c r="IJ19" i="4"/>
  <c r="IM19" i="4" s="1"/>
  <c r="FV8" i="4"/>
  <c r="FY8" i="4" s="1"/>
  <c r="FV13" i="4"/>
  <c r="FY13" i="4" s="1"/>
  <c r="GR9" i="4"/>
  <c r="GU9" i="4" s="1"/>
  <c r="GR14" i="4"/>
  <c r="GU14" i="4" s="1"/>
  <c r="MP19" i="4"/>
  <c r="MS19" i="4" s="1"/>
  <c r="ED4" i="4"/>
  <c r="EG4" i="4" s="1"/>
  <c r="ED8" i="4"/>
  <c r="EG8" i="4" s="1"/>
  <c r="ED14" i="4"/>
  <c r="EG14" i="4" s="1"/>
  <c r="EZ10" i="4"/>
  <c r="FC10" i="4" s="1"/>
  <c r="EZ4" i="4"/>
  <c r="FC4" i="4" s="1"/>
  <c r="FV10" i="4"/>
  <c r="FY10" i="4" s="1"/>
  <c r="GR11" i="4"/>
  <c r="GU11" i="4" s="1"/>
  <c r="HN19" i="4"/>
  <c r="HQ19" i="4" s="1"/>
  <c r="EZ6" i="4"/>
  <c r="FC6" i="4" s="1"/>
  <c r="LT19" i="4"/>
  <c r="LW19" i="4" s="1"/>
  <c r="MP15" i="4"/>
  <c r="MS15" i="4" s="1"/>
  <c r="DA15" i="12"/>
  <c r="FL4" i="12"/>
  <c r="IR15" i="12"/>
  <c r="LC15" i="12"/>
  <c r="J16" i="12"/>
  <c r="J17" i="12"/>
  <c r="DA11" i="12"/>
  <c r="DA23" i="12"/>
  <c r="DA16" i="12"/>
  <c r="EQ4" i="12"/>
  <c r="EQ12" i="12"/>
  <c r="FL5" i="12"/>
  <c r="FL7" i="12"/>
  <c r="JM18" i="12"/>
  <c r="EQ15" i="12"/>
  <c r="FL23" i="12"/>
  <c r="FL16" i="12"/>
  <c r="HB8" i="12"/>
  <c r="HB19" i="12"/>
  <c r="HB10" i="12"/>
  <c r="JM6" i="12"/>
  <c r="JM20" i="12"/>
  <c r="JM22" i="12"/>
  <c r="KH4" i="12"/>
  <c r="DV12" i="12"/>
  <c r="EQ5" i="12"/>
  <c r="EQ7" i="12"/>
  <c r="GG20" i="12"/>
  <c r="HW9" i="12"/>
  <c r="JM8" i="12"/>
  <c r="JM19" i="12"/>
  <c r="JM10" i="12"/>
  <c r="DA20" i="12"/>
  <c r="DV15" i="12"/>
  <c r="EQ18" i="12"/>
  <c r="EQ11" i="12"/>
  <c r="EQ23" i="12"/>
  <c r="GG19" i="12"/>
  <c r="HW11" i="12"/>
  <c r="HW23" i="12"/>
  <c r="HW16" i="12"/>
  <c r="JM17" i="12"/>
  <c r="JM12" i="12"/>
  <c r="KH5" i="12"/>
  <c r="KH7" i="12"/>
  <c r="KH9" i="12"/>
  <c r="DA18" i="12"/>
  <c r="DV6" i="12"/>
  <c r="DV20" i="12"/>
  <c r="EQ6" i="12"/>
  <c r="EQ20" i="12"/>
  <c r="FL6" i="12"/>
  <c r="FL20" i="12"/>
  <c r="FL22" i="12"/>
  <c r="GG8" i="12"/>
  <c r="HB6" i="12"/>
  <c r="HB20" i="12"/>
  <c r="HB22" i="12"/>
  <c r="HW8" i="12"/>
  <c r="HW22" i="12"/>
  <c r="IR8" i="12"/>
  <c r="IR19" i="12"/>
  <c r="IR10" i="12"/>
  <c r="JM15" i="12"/>
  <c r="KH11" i="12"/>
  <c r="KH23" i="12"/>
  <c r="GG4" i="12"/>
  <c r="GG22" i="12"/>
  <c r="HW4" i="12"/>
  <c r="IR4" i="12"/>
  <c r="DA8" i="12"/>
  <c r="DV19" i="12"/>
  <c r="DV10" i="12"/>
  <c r="EQ19" i="12"/>
  <c r="EQ10" i="12"/>
  <c r="FL12" i="12"/>
  <c r="GG10" i="12"/>
  <c r="HB17" i="12"/>
  <c r="HB12" i="12"/>
  <c r="HW17" i="12"/>
  <c r="JM11" i="12"/>
  <c r="JM23" i="12"/>
  <c r="LC8" i="12"/>
  <c r="J22" i="12"/>
  <c r="DA4" i="12"/>
  <c r="DA10" i="12"/>
  <c r="DV17" i="12"/>
  <c r="EQ17" i="12"/>
  <c r="FL15" i="12"/>
  <c r="GG5" i="12"/>
  <c r="GG7" i="12"/>
  <c r="GG17" i="12"/>
  <c r="HB15" i="12"/>
  <c r="HW5" i="12"/>
  <c r="HW7" i="12"/>
  <c r="HW15" i="12"/>
  <c r="IR5" i="12"/>
  <c r="IR7" i="12"/>
  <c r="KH6" i="12"/>
  <c r="KH20" i="12"/>
  <c r="KH22" i="12"/>
  <c r="LC4" i="12"/>
  <c r="LC19" i="12"/>
  <c r="LC10" i="12"/>
  <c r="LC17" i="12"/>
  <c r="HW18" i="12"/>
  <c r="IR18" i="12"/>
  <c r="KH15" i="12"/>
  <c r="FL18" i="12"/>
  <c r="HB18" i="12"/>
  <c r="IR22" i="12"/>
  <c r="JM4" i="12"/>
  <c r="DA8" i="6"/>
  <c r="EQ5" i="6"/>
  <c r="EQ7" i="6"/>
  <c r="KH11" i="6"/>
  <c r="LC17" i="6"/>
  <c r="DV21" i="6"/>
  <c r="GG11" i="6"/>
  <c r="DA18" i="6"/>
  <c r="DA17" i="6"/>
  <c r="KH12" i="6"/>
  <c r="KH8" i="6"/>
  <c r="KH23" i="6"/>
  <c r="DA4" i="6"/>
  <c r="DV6" i="6"/>
  <c r="DV18" i="6"/>
  <c r="DV11" i="6"/>
  <c r="DV17" i="6"/>
  <c r="GG12" i="6"/>
  <c r="HB11" i="6"/>
  <c r="HW14" i="6"/>
  <c r="IR14" i="6"/>
  <c r="JM13" i="6"/>
  <c r="EQ14" i="6"/>
  <c r="EQ18" i="6"/>
  <c r="KH17" i="6"/>
  <c r="HB21" i="6"/>
  <c r="HW21" i="6"/>
  <c r="JM11" i="6"/>
  <c r="JM17" i="6"/>
  <c r="DA6" i="6"/>
  <c r="DA13" i="6"/>
  <c r="DV10" i="6"/>
  <c r="EQ12" i="6"/>
  <c r="EQ8" i="6"/>
  <c r="EQ23" i="6"/>
  <c r="FL14" i="6"/>
  <c r="GG8" i="6"/>
  <c r="GG23" i="6"/>
  <c r="HB10" i="6"/>
  <c r="EQ21" i="6"/>
  <c r="FL11" i="6"/>
  <c r="HB14" i="6"/>
  <c r="HW13" i="6"/>
  <c r="IR11" i="6"/>
  <c r="LC14" i="6"/>
  <c r="DA5" i="6"/>
  <c r="DA10" i="6"/>
  <c r="DV7" i="6"/>
  <c r="GG6" i="6"/>
  <c r="HW6" i="6"/>
  <c r="IR7" i="6"/>
  <c r="IR21" i="6"/>
  <c r="JM10" i="6"/>
  <c r="KH21" i="6"/>
  <c r="DA11" i="6"/>
  <c r="DV12" i="6"/>
  <c r="EQ6" i="6"/>
  <c r="FL12" i="6"/>
  <c r="FL8" i="6"/>
  <c r="FL23" i="6"/>
  <c r="HB5" i="6"/>
  <c r="HB7" i="6"/>
  <c r="HW10" i="6"/>
  <c r="IR12" i="6"/>
  <c r="IR8" i="6"/>
  <c r="IR13" i="6"/>
  <c r="IR23" i="6"/>
  <c r="JM14" i="6"/>
  <c r="KH13" i="6"/>
  <c r="LC5" i="6"/>
  <c r="LC7" i="6"/>
  <c r="LC11" i="6"/>
  <c r="FL21" i="6"/>
  <c r="DA12" i="6"/>
  <c r="GG5" i="6"/>
  <c r="JM5" i="6"/>
  <c r="JM7" i="6"/>
  <c r="KH10" i="6"/>
  <c r="LC12" i="6"/>
  <c r="LC8" i="6"/>
  <c r="DA21" i="6"/>
  <c r="DV13" i="6"/>
  <c r="EQ11" i="6"/>
  <c r="FL6" i="6"/>
  <c r="GG7" i="6"/>
  <c r="HB13" i="6"/>
  <c r="HW7" i="6"/>
  <c r="IR6" i="6"/>
  <c r="JM12" i="6"/>
  <c r="JM8" i="6"/>
  <c r="JM23" i="6"/>
  <c r="KH14" i="6"/>
  <c r="LX6" i="8"/>
  <c r="DV7" i="8"/>
  <c r="FL11" i="8"/>
  <c r="FL6" i="8"/>
  <c r="GG9" i="8"/>
  <c r="EQ8" i="8"/>
  <c r="KH4" i="8"/>
  <c r="EQ4" i="8"/>
  <c r="EQ11" i="8"/>
  <c r="EQ6" i="8"/>
  <c r="FL9" i="8"/>
  <c r="GG8" i="8"/>
  <c r="DV8" i="8"/>
  <c r="HW8" i="8"/>
  <c r="LC9" i="8"/>
  <c r="LC10" i="8"/>
  <c r="FL4" i="8"/>
  <c r="IR7" i="8"/>
  <c r="LX10" i="8"/>
  <c r="DV4" i="8"/>
  <c r="EQ7" i="8"/>
  <c r="HB8" i="8"/>
  <c r="HW7" i="8"/>
  <c r="HW6" i="8"/>
  <c r="IR9" i="8"/>
  <c r="KH11" i="8"/>
  <c r="LC7" i="8"/>
  <c r="KH7" i="8"/>
  <c r="DA11" i="8"/>
  <c r="FL8" i="8"/>
  <c r="GG4" i="8"/>
  <c r="HB7" i="8"/>
  <c r="IR8" i="8"/>
  <c r="JM7" i="8"/>
  <c r="KH9" i="8"/>
  <c r="DA7" i="8"/>
  <c r="DA6" i="7"/>
  <c r="DV7" i="7"/>
  <c r="HW7" i="7"/>
  <c r="IR5" i="7"/>
  <c r="GG4" i="7"/>
  <c r="KH4" i="7"/>
  <c r="DA7" i="7"/>
  <c r="FL4" i="7"/>
  <c r="HW5" i="7"/>
  <c r="IR7" i="7"/>
  <c r="HB7" i="7"/>
  <c r="HW4" i="7"/>
  <c r="JM5" i="7"/>
  <c r="DA5" i="7"/>
  <c r="EQ9" i="7"/>
  <c r="HB9" i="7"/>
  <c r="KH7" i="7"/>
  <c r="LC4" i="7"/>
  <c r="EQ4" i="7"/>
  <c r="DV9" i="7"/>
  <c r="GG7" i="7"/>
  <c r="LC5" i="7"/>
  <c r="DV4" i="7"/>
  <c r="EQ5" i="7"/>
  <c r="GG9" i="7"/>
  <c r="HB5" i="7"/>
  <c r="JM7" i="7"/>
  <c r="DA9" i="7"/>
  <c r="DV5" i="7"/>
  <c r="FL7" i="7"/>
  <c r="IR6" i="7"/>
  <c r="DA4" i="7"/>
  <c r="FL9" i="7"/>
  <c r="GG5" i="7"/>
  <c r="HW9" i="7"/>
  <c r="LC7" i="7"/>
  <c r="FV10" i="14"/>
  <c r="FY10" i="14" s="1"/>
  <c r="FV7" i="14"/>
  <c r="FY7" i="14" s="1"/>
  <c r="IJ13" i="14"/>
  <c r="IM13" i="14" s="1"/>
  <c r="GR20" i="14"/>
  <c r="GU20" i="14" s="1"/>
  <c r="GR24" i="14"/>
  <c r="GU24" i="14" s="1"/>
  <c r="HN4" i="14"/>
  <c r="HQ4" i="14" s="1"/>
  <c r="HN22" i="14"/>
  <c r="HQ22" i="14" s="1"/>
  <c r="JF6" i="14"/>
  <c r="JI6" i="14" s="1"/>
  <c r="JF9" i="14"/>
  <c r="JI9" i="14" s="1"/>
  <c r="JF17" i="14"/>
  <c r="JI17" i="14" s="1"/>
  <c r="KB17" i="14"/>
  <c r="KE17" i="14" s="1"/>
  <c r="KX12" i="14"/>
  <c r="LA12" i="14" s="1"/>
  <c r="KX10" i="14"/>
  <c r="LA10" i="14" s="1"/>
  <c r="MP26" i="14"/>
  <c r="MS26" i="14" s="1"/>
  <c r="LT11" i="14"/>
  <c r="LW11" i="14" s="1"/>
  <c r="EZ13" i="14"/>
  <c r="FC13" i="14" s="1"/>
  <c r="EZ14" i="14"/>
  <c r="FC14" i="14" s="1"/>
  <c r="EZ20" i="14"/>
  <c r="FC20" i="14" s="1"/>
  <c r="FV22" i="14"/>
  <c r="FY22" i="14" s="1"/>
  <c r="GR18" i="14"/>
  <c r="GU18" i="14" s="1"/>
  <c r="JF7" i="14"/>
  <c r="JI7" i="14" s="1"/>
  <c r="JF21" i="14"/>
  <c r="JI21" i="14" s="1"/>
  <c r="JF10" i="14"/>
  <c r="JI10" i="14" s="1"/>
  <c r="KB21" i="14"/>
  <c r="KE21" i="14" s="1"/>
  <c r="KX5" i="14"/>
  <c r="LA5" i="14" s="1"/>
  <c r="KX11" i="14"/>
  <c r="LA11" i="14" s="1"/>
  <c r="KX13" i="14"/>
  <c r="LA13" i="14" s="1"/>
  <c r="KX14" i="14"/>
  <c r="LA14" i="14" s="1"/>
  <c r="KX20" i="14"/>
  <c r="LA20" i="14" s="1"/>
  <c r="LT13" i="14"/>
  <c r="LW13" i="14" s="1"/>
  <c r="ED14" i="14"/>
  <c r="EG14" i="14" s="1"/>
  <c r="FV15" i="14"/>
  <c r="FY15" i="14" s="1"/>
  <c r="HN15" i="14"/>
  <c r="HQ15" i="14" s="1"/>
  <c r="IJ18" i="14"/>
  <c r="IM18" i="14" s="1"/>
  <c r="JF15" i="14"/>
  <c r="JI15" i="14" s="1"/>
  <c r="KX6" i="14"/>
  <c r="LA6" i="14" s="1"/>
  <c r="KX9" i="14"/>
  <c r="LA9" i="14" s="1"/>
  <c r="LT10" i="14"/>
  <c r="LW10" i="14" s="1"/>
  <c r="MP7" i="14"/>
  <c r="MS7" i="14" s="1"/>
  <c r="MP12" i="14"/>
  <c r="MS12" i="14" s="1"/>
  <c r="MP21" i="14"/>
  <c r="MS21" i="14" s="1"/>
  <c r="ED22" i="14"/>
  <c r="EG22" i="14" s="1"/>
  <c r="ED18" i="14"/>
  <c r="EG18" i="14" s="1"/>
  <c r="EZ6" i="14"/>
  <c r="FC6" i="14" s="1"/>
  <c r="EZ17" i="14"/>
  <c r="FC17" i="14" s="1"/>
  <c r="FV12" i="14"/>
  <c r="FY12" i="14" s="1"/>
  <c r="FV17" i="14"/>
  <c r="FY17" i="14" s="1"/>
  <c r="GR9" i="14"/>
  <c r="GU9" i="14" s="1"/>
  <c r="HN12" i="14"/>
  <c r="HQ12" i="14" s="1"/>
  <c r="HN9" i="14"/>
  <c r="HQ9" i="14" s="1"/>
  <c r="HN17" i="14"/>
  <c r="HQ17" i="14" s="1"/>
  <c r="IJ12" i="14"/>
  <c r="IM12" i="14" s="1"/>
  <c r="JF12" i="14"/>
  <c r="JI12" i="14" s="1"/>
  <c r="KB10" i="14"/>
  <c r="KE10" i="14" s="1"/>
  <c r="KX21" i="14"/>
  <c r="LA21" i="14" s="1"/>
  <c r="MP11" i="14"/>
  <c r="MS11" i="14" s="1"/>
  <c r="ED12" i="14"/>
  <c r="EG12" i="14" s="1"/>
  <c r="ED10" i="14"/>
  <c r="EG10" i="14" s="1"/>
  <c r="EZ7" i="14"/>
  <c r="FC7" i="14" s="1"/>
  <c r="EZ12" i="14"/>
  <c r="FC12" i="14" s="1"/>
  <c r="EZ21" i="14"/>
  <c r="FC21" i="14" s="1"/>
  <c r="FV26" i="14"/>
  <c r="FY26" i="14" s="1"/>
  <c r="GR5" i="14"/>
  <c r="GU5" i="14" s="1"/>
  <c r="GR21" i="14"/>
  <c r="GU21" i="14" s="1"/>
  <c r="GR10" i="14"/>
  <c r="GU10" i="14" s="1"/>
  <c r="HN21" i="14"/>
  <c r="HQ21" i="14" s="1"/>
  <c r="IJ5" i="14"/>
  <c r="IM5" i="14" s="1"/>
  <c r="IJ26" i="14"/>
  <c r="IM26" i="14" s="1"/>
  <c r="KB5" i="14"/>
  <c r="KE5" i="14" s="1"/>
  <c r="KB26" i="14"/>
  <c r="KE26" i="14" s="1"/>
  <c r="KB11" i="14"/>
  <c r="KE11" i="14" s="1"/>
  <c r="MP13" i="14"/>
  <c r="MS13" i="14" s="1"/>
  <c r="MP14" i="14"/>
  <c r="MS14" i="14" s="1"/>
  <c r="MP20" i="14"/>
  <c r="MS20" i="14" s="1"/>
  <c r="MP24" i="14"/>
  <c r="MS24" i="14" s="1"/>
  <c r="EZ5" i="14"/>
  <c r="FC5" i="14" s="1"/>
  <c r="EZ11" i="14"/>
  <c r="FC11" i="14" s="1"/>
  <c r="FV11" i="14"/>
  <c r="FY11" i="14" s="1"/>
  <c r="GR26" i="14"/>
  <c r="GU26" i="14" s="1"/>
  <c r="ED5" i="14"/>
  <c r="EG5" i="14" s="1"/>
  <c r="ED26" i="14"/>
  <c r="EG26" i="14" s="1"/>
  <c r="FV13" i="14"/>
  <c r="FY13" i="14" s="1"/>
  <c r="IJ20" i="14"/>
  <c r="IM20" i="14" s="1"/>
  <c r="JF13" i="14"/>
  <c r="JI13" i="14" s="1"/>
  <c r="JF20" i="14"/>
  <c r="JI20" i="14" s="1"/>
  <c r="JF24" i="14"/>
  <c r="JI24" i="14" s="1"/>
  <c r="LT22" i="14"/>
  <c r="LW22" i="14" s="1"/>
  <c r="MP18" i="14"/>
  <c r="MS18" i="14" s="1"/>
  <c r="ED7" i="4"/>
  <c r="EG7" i="4" s="1"/>
  <c r="EZ13" i="4"/>
  <c r="FC13" i="4" s="1"/>
  <c r="GR6" i="4"/>
  <c r="GU6" i="4" s="1"/>
  <c r="GR12" i="4"/>
  <c r="GU12" i="4" s="1"/>
  <c r="GR19" i="4"/>
  <c r="GU19" i="4" s="1"/>
  <c r="HN4" i="4"/>
  <c r="HQ4" i="4" s="1"/>
  <c r="HN8" i="4"/>
  <c r="HQ8" i="4" s="1"/>
  <c r="JF6" i="4"/>
  <c r="JI6" i="4" s="1"/>
  <c r="KB4" i="4"/>
  <c r="KE4" i="4" s="1"/>
  <c r="KB8" i="4"/>
  <c r="KE8" i="4" s="1"/>
  <c r="KB13" i="4"/>
  <c r="KE13" i="4" s="1"/>
  <c r="KX9" i="4"/>
  <c r="LA9" i="4" s="1"/>
  <c r="KX14" i="4"/>
  <c r="LA14" i="4" s="1"/>
  <c r="MP6" i="4"/>
  <c r="MS6" i="4" s="1"/>
  <c r="ED9" i="4"/>
  <c r="EG9" i="4" s="1"/>
  <c r="FV4" i="4"/>
  <c r="FY4" i="4" s="1"/>
  <c r="HN6" i="4"/>
  <c r="HQ6" i="4" s="1"/>
  <c r="IJ9" i="4"/>
  <c r="IM9" i="4" s="1"/>
  <c r="IJ14" i="4"/>
  <c r="IM14" i="4" s="1"/>
  <c r="KB6" i="4"/>
  <c r="KE6" i="4" s="1"/>
  <c r="KX4" i="4"/>
  <c r="LA4" i="4" s="1"/>
  <c r="KX8" i="4"/>
  <c r="LA8" i="4" s="1"/>
  <c r="KX13" i="4"/>
  <c r="LA13" i="4" s="1"/>
  <c r="LT9" i="4"/>
  <c r="LW9" i="4" s="1"/>
  <c r="LT14" i="4"/>
  <c r="LW14" i="4" s="1"/>
  <c r="IJ4" i="4"/>
  <c r="IM4" i="4" s="1"/>
  <c r="IJ8" i="4"/>
  <c r="IM8" i="4" s="1"/>
  <c r="LT5" i="4"/>
  <c r="LW5" i="4" s="1"/>
  <c r="LT15" i="4"/>
  <c r="LW15" i="4" s="1"/>
  <c r="DD14" i="4"/>
  <c r="DG14" i="4" s="1"/>
  <c r="ED6" i="4"/>
  <c r="EG6" i="4" s="1"/>
  <c r="EZ9" i="4"/>
  <c r="FC9" i="4" s="1"/>
  <c r="EZ17" i="4"/>
  <c r="FC17" i="4" s="1"/>
  <c r="FV19" i="4"/>
  <c r="FY19" i="4" s="1"/>
  <c r="GR5" i="4"/>
  <c r="GU5" i="4" s="1"/>
  <c r="HN10" i="4"/>
  <c r="HQ10" i="4" s="1"/>
  <c r="IJ12" i="4"/>
  <c r="IM12" i="4" s="1"/>
  <c r="JF15" i="4"/>
  <c r="JI15" i="4" s="1"/>
  <c r="KB10" i="4"/>
  <c r="KE10" i="4" s="1"/>
  <c r="EZ5" i="4"/>
  <c r="FC5" i="4" s="1"/>
  <c r="EZ15" i="4"/>
  <c r="FC15" i="4" s="1"/>
  <c r="EZ14" i="4"/>
  <c r="FC14" i="4" s="1"/>
  <c r="FV12" i="4"/>
  <c r="FY12" i="4" s="1"/>
  <c r="GR4" i="4"/>
  <c r="GU4" i="4" s="1"/>
  <c r="GR8" i="4"/>
  <c r="GU8" i="4" s="1"/>
  <c r="GR13" i="4"/>
  <c r="GU13" i="4" s="1"/>
  <c r="JF4" i="4"/>
  <c r="JI4" i="4" s="1"/>
  <c r="JF13" i="4"/>
  <c r="JI13" i="4" s="1"/>
  <c r="LT6" i="4"/>
  <c r="LW6" i="4" s="1"/>
  <c r="MP4" i="4"/>
  <c r="MS4" i="4" s="1"/>
  <c r="MP8" i="4"/>
  <c r="MS8" i="4" s="1"/>
  <c r="ED15" i="4"/>
  <c r="EG15" i="4" s="1"/>
  <c r="ED17" i="4"/>
  <c r="EG17" i="4" s="1"/>
  <c r="EZ12" i="4"/>
  <c r="FC12" i="4" s="1"/>
  <c r="FV7" i="4"/>
  <c r="FY7" i="4" s="1"/>
  <c r="FV17" i="4"/>
  <c r="FY17" i="4" s="1"/>
  <c r="HN7" i="4"/>
  <c r="HQ7" i="4" s="1"/>
  <c r="HN11" i="4"/>
  <c r="HQ11" i="4" s="1"/>
  <c r="IJ10" i="4"/>
  <c r="IM10" i="4" s="1"/>
  <c r="JF8" i="4"/>
  <c r="JI8" i="4" s="1"/>
  <c r="KB7" i="4"/>
  <c r="KE7" i="4" s="1"/>
  <c r="KB11" i="4"/>
  <c r="KE11" i="4" s="1"/>
  <c r="KX15" i="4"/>
  <c r="LA15" i="4" s="1"/>
  <c r="KX17" i="4"/>
  <c r="LA17" i="4" s="1"/>
  <c r="LT12" i="4"/>
  <c r="LW12" i="4" s="1"/>
  <c r="MP5" i="4"/>
  <c r="MS5" i="4" s="1"/>
  <c r="MP10" i="4"/>
  <c r="MS10" i="4" s="1"/>
  <c r="EZ7" i="4"/>
  <c r="FC7" i="4" s="1"/>
  <c r="EZ11" i="4"/>
  <c r="FC11" i="4" s="1"/>
  <c r="FV5" i="4"/>
  <c r="FY5" i="4" s="1"/>
  <c r="FV9" i="4"/>
  <c r="FY9" i="4" s="1"/>
  <c r="GR7" i="4"/>
  <c r="GU7" i="4" s="1"/>
  <c r="HN5" i="4"/>
  <c r="HQ5" i="4" s="1"/>
  <c r="HN9" i="4"/>
  <c r="HQ9" i="4" s="1"/>
  <c r="HN17" i="4"/>
  <c r="HQ17" i="4" s="1"/>
  <c r="IJ6" i="4"/>
  <c r="IM6" i="4" s="1"/>
  <c r="IJ15" i="4"/>
  <c r="IM15" i="4" s="1"/>
  <c r="IJ17" i="4"/>
  <c r="IM17" i="4" s="1"/>
  <c r="JF12" i="4"/>
  <c r="JI12" i="4" s="1"/>
  <c r="KB5" i="4"/>
  <c r="KE5" i="4" s="1"/>
  <c r="KB9" i="4"/>
  <c r="KE9" i="4" s="1"/>
  <c r="KB17" i="4"/>
  <c r="KE17" i="4" s="1"/>
  <c r="LT7" i="4"/>
  <c r="LW7" i="4" s="1"/>
  <c r="LT11" i="4"/>
  <c r="LW11" i="4" s="1"/>
  <c r="ED12" i="4"/>
  <c r="EG12" i="4" s="1"/>
  <c r="ED13" i="4"/>
  <c r="EG13" i="4" s="1"/>
  <c r="HN14" i="4"/>
  <c r="HQ14" i="4" s="1"/>
  <c r="KB14" i="4"/>
  <c r="KE14" i="4" s="1"/>
  <c r="GR10" i="4"/>
  <c r="GU10" i="4" s="1"/>
  <c r="IJ7" i="4"/>
  <c r="IM7" i="4" s="1"/>
  <c r="JF7" i="4"/>
  <c r="JI7" i="4" s="1"/>
  <c r="KX7" i="4"/>
  <c r="LA7" i="4" s="1"/>
  <c r="JF10" i="4"/>
  <c r="JI10" i="4" s="1"/>
  <c r="OO14" i="4"/>
  <c r="ED5" i="4"/>
  <c r="EG5" i="4" s="1"/>
  <c r="ED10" i="4"/>
  <c r="EG10" i="4" s="1"/>
  <c r="EZ8" i="4"/>
  <c r="FC8" i="4" s="1"/>
  <c r="FV15" i="4"/>
  <c r="FY15" i="4" s="1"/>
  <c r="FV14" i="4"/>
  <c r="FY14" i="4" s="1"/>
  <c r="GR15" i="4"/>
  <c r="GU15" i="4" s="1"/>
  <c r="GR17" i="4"/>
  <c r="GU17" i="4" s="1"/>
  <c r="HN12" i="4"/>
  <c r="HQ12" i="4" s="1"/>
  <c r="IJ5" i="4"/>
  <c r="IM5" i="4" s="1"/>
  <c r="JF5" i="4"/>
  <c r="JI5" i="4" s="1"/>
  <c r="JF9" i="4"/>
  <c r="JI9" i="4" s="1"/>
  <c r="JF17" i="4"/>
  <c r="JI17" i="4" s="1"/>
  <c r="KB12" i="4"/>
  <c r="KE12" i="4" s="1"/>
  <c r="KX5" i="4"/>
  <c r="LA5" i="4" s="1"/>
  <c r="KX10" i="4"/>
  <c r="LA10" i="4" s="1"/>
  <c r="KX11" i="4"/>
  <c r="LA11" i="4" s="1"/>
  <c r="LT8" i="4"/>
  <c r="LW8" i="4" s="1"/>
  <c r="MP7" i="4"/>
  <c r="MS7" i="4" s="1"/>
  <c r="MP12" i="4"/>
  <c r="MS12" i="4" s="1"/>
  <c r="EZ24" i="14"/>
  <c r="FC24" i="14" s="1"/>
  <c r="FV14" i="14"/>
  <c r="FY14" i="14" s="1"/>
  <c r="JF11" i="14"/>
  <c r="JI11" i="14" s="1"/>
  <c r="LT24" i="14"/>
  <c r="LW24" i="14" s="1"/>
  <c r="OO11" i="14"/>
  <c r="ED7" i="14"/>
  <c r="EG7" i="14" s="1"/>
  <c r="ED9" i="14"/>
  <c r="EG9" i="14" s="1"/>
  <c r="EZ15" i="14"/>
  <c r="FC15" i="14" s="1"/>
  <c r="EZ22" i="14"/>
  <c r="FC22" i="14" s="1"/>
  <c r="FV4" i="14"/>
  <c r="FY4" i="14" s="1"/>
  <c r="FV20" i="14"/>
  <c r="FY20" i="14" s="1"/>
  <c r="FV24" i="14"/>
  <c r="FY24" i="14" s="1"/>
  <c r="GR13" i="14"/>
  <c r="GU13" i="14" s="1"/>
  <c r="GR14" i="14"/>
  <c r="GU14" i="14" s="1"/>
  <c r="GR11" i="14"/>
  <c r="GU11" i="14" s="1"/>
  <c r="IJ6" i="14"/>
  <c r="IM6" i="14" s="1"/>
  <c r="IJ14" i="14"/>
  <c r="IM14" i="14" s="1"/>
  <c r="JF18" i="14"/>
  <c r="JI18" i="14" s="1"/>
  <c r="KB4" i="14"/>
  <c r="KE4" i="14" s="1"/>
  <c r="KB13" i="14"/>
  <c r="KE13" i="14" s="1"/>
  <c r="KB14" i="14"/>
  <c r="KE14" i="14" s="1"/>
  <c r="KX7" i="14"/>
  <c r="LA7" i="14" s="1"/>
  <c r="KX17" i="14"/>
  <c r="LA17" i="14" s="1"/>
  <c r="MP5" i="14"/>
  <c r="MS5" i="14" s="1"/>
  <c r="ED21" i="14"/>
  <c r="EG21" i="14" s="1"/>
  <c r="ED17" i="14"/>
  <c r="EG17" i="14" s="1"/>
  <c r="EZ9" i="14"/>
  <c r="FC9" i="14" s="1"/>
  <c r="FV6" i="14"/>
  <c r="FY6" i="14" s="1"/>
  <c r="FV18" i="14"/>
  <c r="FY18" i="14" s="1"/>
  <c r="GR15" i="14"/>
  <c r="GU15" i="14" s="1"/>
  <c r="GR22" i="14"/>
  <c r="GU22" i="14" s="1"/>
  <c r="HN13" i="14"/>
  <c r="HQ13" i="14" s="1"/>
  <c r="HN14" i="14"/>
  <c r="HQ14" i="14" s="1"/>
  <c r="HN26" i="14"/>
  <c r="HQ26" i="14" s="1"/>
  <c r="IJ15" i="14"/>
  <c r="IM15" i="14" s="1"/>
  <c r="IJ11" i="14"/>
  <c r="IM11" i="14" s="1"/>
  <c r="JF5" i="14"/>
  <c r="JI5" i="14" s="1"/>
  <c r="KB15" i="14"/>
  <c r="KE15" i="14" s="1"/>
  <c r="KB22" i="14"/>
  <c r="KE22" i="14" s="1"/>
  <c r="KB20" i="14"/>
  <c r="KE20" i="14" s="1"/>
  <c r="KB24" i="14"/>
  <c r="KE24" i="14" s="1"/>
  <c r="KX26" i="14"/>
  <c r="LA26" i="14" s="1"/>
  <c r="LT5" i="14"/>
  <c r="LW5" i="14" s="1"/>
  <c r="EG13" i="14"/>
  <c r="LT17" i="14"/>
  <c r="LW17" i="14" s="1"/>
  <c r="MP15" i="14"/>
  <c r="MS15" i="14" s="1"/>
  <c r="ED4" i="14"/>
  <c r="EG4" i="14" s="1"/>
  <c r="HN24" i="14"/>
  <c r="HQ24" i="14" s="1"/>
  <c r="JF14" i="14"/>
  <c r="JI14" i="14" s="1"/>
  <c r="JF26" i="14"/>
  <c r="JI26" i="14" s="1"/>
  <c r="KB18" i="14"/>
  <c r="KE18" i="14" s="1"/>
  <c r="KX4" i="14"/>
  <c r="LA4" i="14" s="1"/>
  <c r="KX24" i="14"/>
  <c r="LA24" i="14" s="1"/>
  <c r="MS6" i="14"/>
  <c r="ED15" i="14"/>
  <c r="EG15" i="14" s="1"/>
  <c r="ED20" i="14"/>
  <c r="EG20" i="14" s="1"/>
  <c r="ED24" i="14"/>
  <c r="EG24" i="14" s="1"/>
  <c r="ED11" i="14"/>
  <c r="EG11" i="14" s="1"/>
  <c r="EZ26" i="14"/>
  <c r="FC26" i="14" s="1"/>
  <c r="FV5" i="14"/>
  <c r="FY5" i="14" s="1"/>
  <c r="FV21" i="14"/>
  <c r="FY21" i="14" s="1"/>
  <c r="GR7" i="14"/>
  <c r="GU7" i="14" s="1"/>
  <c r="GR17" i="14"/>
  <c r="GU17" i="14" s="1"/>
  <c r="HN6" i="14"/>
  <c r="HQ6" i="14" s="1"/>
  <c r="HN11" i="14"/>
  <c r="HQ11" i="14" s="1"/>
  <c r="KB7" i="14"/>
  <c r="KE7" i="14" s="1"/>
  <c r="KB9" i="14"/>
  <c r="KE9" i="14" s="1"/>
  <c r="KX15" i="14"/>
  <c r="LA15" i="14" s="1"/>
  <c r="KX22" i="14"/>
  <c r="LA22" i="14" s="1"/>
  <c r="LT4" i="14"/>
  <c r="LW4" i="14" s="1"/>
  <c r="LT14" i="14"/>
  <c r="LW14" i="14" s="1"/>
  <c r="LT21" i="14"/>
  <c r="LW21" i="14" s="1"/>
  <c r="NL11" i="14"/>
  <c r="NO11" i="14" s="1"/>
  <c r="MR6" i="8"/>
  <c r="MP9" i="7"/>
  <c r="DD20" i="14"/>
  <c r="DG20" i="14" s="1"/>
  <c r="NL18" i="14"/>
  <c r="NO18" i="14" s="1"/>
  <c r="DD18" i="14"/>
  <c r="DG18" i="14" s="1"/>
  <c r="DD10" i="14"/>
  <c r="DG10" i="14" s="1"/>
  <c r="DD11" i="14"/>
  <c r="DG11" i="14" s="1"/>
  <c r="OO20" i="14"/>
  <c r="NL14" i="4"/>
  <c r="NO14" i="4" s="1"/>
  <c r="MP6" i="8"/>
  <c r="CD6" i="8"/>
  <c r="MQ6" i="8"/>
  <c r="MS6" i="8"/>
  <c r="L6" i="8"/>
  <c r="CF6" i="8" s="1"/>
  <c r="F6" i="8"/>
  <c r="J6" i="8"/>
  <c r="G6" i="8"/>
  <c r="LX11" i="8"/>
  <c r="CD10" i="8"/>
  <c r="MS10" i="8"/>
  <c r="MQ10" i="8"/>
  <c r="MR10" i="8"/>
  <c r="MP10" i="8"/>
  <c r="L10" i="8"/>
  <c r="CF10" i="8" s="1"/>
  <c r="F10" i="8"/>
  <c r="J10" i="8"/>
  <c r="G10" i="8"/>
  <c r="CD8" i="8"/>
  <c r="MQ11" i="8"/>
  <c r="CD11" i="8"/>
  <c r="MR11" i="8"/>
  <c r="MP11" i="8"/>
  <c r="L11" i="8"/>
  <c r="CF11" i="8" s="1"/>
  <c r="MS11" i="8"/>
  <c r="F11" i="8"/>
  <c r="J11" i="8"/>
  <c r="G11" i="8"/>
  <c r="LX8" i="8"/>
  <c r="MQ8" i="8"/>
  <c r="L8" i="8"/>
  <c r="CF8" i="8" s="1"/>
  <c r="MR8" i="8"/>
  <c r="MP8" i="8"/>
  <c r="MS8" i="8"/>
  <c r="F8" i="8"/>
  <c r="J8" i="8"/>
  <c r="G8" i="8"/>
  <c r="LX9" i="7"/>
  <c r="MQ9" i="7"/>
  <c r="CD9" i="7"/>
  <c r="L9" i="7"/>
  <c r="CF9" i="7" s="1"/>
  <c r="MR9" i="7"/>
  <c r="MS9" i="7"/>
  <c r="F9" i="7"/>
  <c r="J9" i="7"/>
  <c r="G9" i="7"/>
  <c r="LX6" i="7"/>
  <c r="CD6" i="7"/>
  <c r="MP6" i="7"/>
  <c r="L6" i="7"/>
  <c r="CF6" i="7" s="1"/>
  <c r="MR6" i="7"/>
  <c r="MS6" i="7"/>
  <c r="MQ6" i="7"/>
  <c r="F6" i="7"/>
  <c r="J6" i="7"/>
  <c r="G6" i="7"/>
  <c r="LX4" i="7"/>
  <c r="CD4" i="7"/>
  <c r="MR4" i="7"/>
  <c r="MP4" i="7"/>
  <c r="L4" i="7"/>
  <c r="CF4" i="7" s="1"/>
  <c r="MS4" i="7"/>
  <c r="MQ4" i="7"/>
  <c r="F4" i="7"/>
  <c r="J4" i="7"/>
  <c r="G4" i="7"/>
  <c r="OM11" i="14"/>
  <c r="OK11" i="14"/>
  <c r="O11" i="14"/>
  <c r="DI11" i="14" s="1"/>
  <c r="G11" i="14"/>
  <c r="Q11" i="14"/>
  <c r="H11" i="14"/>
  <c r="NL10" i="14"/>
  <c r="NO10" i="14" s="1"/>
  <c r="OO10" i="14"/>
  <c r="OM10" i="14"/>
  <c r="OK10" i="14"/>
  <c r="O10" i="14"/>
  <c r="DI10" i="14" s="1"/>
  <c r="G10" i="14"/>
  <c r="Q10" i="14"/>
  <c r="H10" i="14"/>
  <c r="OO18" i="14"/>
  <c r="OM18" i="14"/>
  <c r="OK18" i="14"/>
  <c r="O18" i="14"/>
  <c r="DI18" i="14" s="1"/>
  <c r="G18" i="14"/>
  <c r="F18" i="14" s="1"/>
  <c r="Q18" i="14"/>
  <c r="H18" i="14"/>
  <c r="NL20" i="14"/>
  <c r="NO20" i="14" s="1"/>
  <c r="OM20" i="14"/>
  <c r="OK20" i="14"/>
  <c r="G20" i="14"/>
  <c r="Q20" i="14"/>
  <c r="H20" i="14"/>
  <c r="O20" i="14"/>
  <c r="OM14" i="4"/>
  <c r="OK14" i="4"/>
  <c r="O14" i="4"/>
  <c r="P14" i="4" s="1"/>
  <c r="G14" i="4"/>
  <c r="Q14" i="4"/>
  <c r="H14" i="4"/>
  <c r="CD22" i="12"/>
  <c r="LX22" i="12"/>
  <c r="MS22" i="12"/>
  <c r="MQ22" i="12"/>
  <c r="MR22" i="12"/>
  <c r="MP22" i="12"/>
  <c r="F22" i="12"/>
  <c r="G22" i="12"/>
  <c r="MR17" i="12"/>
  <c r="MP17" i="12"/>
  <c r="LX17" i="12"/>
  <c r="CD17" i="12"/>
  <c r="MS17" i="12"/>
  <c r="MQ17" i="12"/>
  <c r="F17" i="12"/>
  <c r="G17" i="12"/>
  <c r="CD16" i="12"/>
  <c r="LX16" i="12"/>
  <c r="MS16" i="12"/>
  <c r="MQ16" i="12"/>
  <c r="MP16" i="12"/>
  <c r="MR16" i="12"/>
  <c r="F16" i="12"/>
  <c r="G16" i="12"/>
  <c r="LX11" i="12"/>
  <c r="MP11" i="12"/>
  <c r="MR11" i="12"/>
  <c r="CD11" i="12"/>
  <c r="MQ11" i="12"/>
  <c r="MS11" i="12"/>
  <c r="F11" i="12"/>
  <c r="G11" i="12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DJ16" i="4" l="1"/>
  <c r="M16" i="4"/>
  <c r="M21" i="12"/>
  <c r="CF21" i="12"/>
  <c r="N21" i="12" s="1"/>
  <c r="M24" i="6"/>
  <c r="CF24" i="6"/>
  <c r="N24" i="6" s="1"/>
  <c r="M22" i="6"/>
  <c r="CF22" i="6"/>
  <c r="N22" i="6" s="1"/>
  <c r="E13" i="8"/>
  <c r="O13" i="8"/>
  <c r="P13" i="8"/>
  <c r="N14" i="8"/>
  <c r="E14" i="8" s="1"/>
  <c r="P14" i="8"/>
  <c r="S27" i="14"/>
  <c r="E27" i="14" s="1"/>
  <c r="A27" i="14" s="1" a="1"/>
  <c r="A27" i="14" s="1"/>
  <c r="DH27" i="14"/>
  <c r="N27" i="14"/>
  <c r="OS23" i="14"/>
  <c r="M25" i="14"/>
  <c r="DH25" i="14" s="1"/>
  <c r="M19" i="14"/>
  <c r="S8" i="14"/>
  <c r="E8" i="14" s="1"/>
  <c r="L19" i="14"/>
  <c r="N19" i="14" s="1"/>
  <c r="K17" i="12"/>
  <c r="K16" i="12"/>
  <c r="CE11" i="12"/>
  <c r="L25" i="14"/>
  <c r="E16" i="4"/>
  <c r="OS20" i="4"/>
  <c r="M18" i="4"/>
  <c r="DH18" i="4" s="1"/>
  <c r="M21" i="4"/>
  <c r="E21" i="4"/>
  <c r="DJ20" i="4"/>
  <c r="M19" i="6"/>
  <c r="CF19" i="6"/>
  <c r="N19" i="6" s="1"/>
  <c r="M8" i="14"/>
  <c r="N8" i="14" s="1"/>
  <c r="L8" i="14"/>
  <c r="DJ23" i="14"/>
  <c r="L21" i="4"/>
  <c r="J20" i="14"/>
  <c r="M23" i="14"/>
  <c r="N23" i="14" s="1"/>
  <c r="M20" i="4"/>
  <c r="DH20" i="4" s="1"/>
  <c r="L20" i="4"/>
  <c r="M14" i="12"/>
  <c r="CF14" i="12"/>
  <c r="N14" i="12" s="1"/>
  <c r="K11" i="12"/>
  <c r="M13" i="12"/>
  <c r="CF13" i="12"/>
  <c r="N13" i="12" s="1"/>
  <c r="M20" i="6"/>
  <c r="CF20" i="6"/>
  <c r="N20" i="6" s="1"/>
  <c r="M15" i="6"/>
  <c r="CF15" i="6"/>
  <c r="N15" i="6" s="1"/>
  <c r="M16" i="6"/>
  <c r="CF16" i="6"/>
  <c r="N16" i="6" s="1"/>
  <c r="M9" i="6"/>
  <c r="CF9" i="6"/>
  <c r="N9" i="6" s="1"/>
  <c r="N12" i="8"/>
  <c r="E12" i="8" s="1"/>
  <c r="E5" i="8"/>
  <c r="O5" i="8"/>
  <c r="P5" i="8"/>
  <c r="E8" i="7"/>
  <c r="O8" i="7"/>
  <c r="P8" i="7"/>
  <c r="E10" i="7"/>
  <c r="O10" i="7"/>
  <c r="P10" i="7"/>
  <c r="S19" i="14"/>
  <c r="T19" i="14" s="1"/>
  <c r="M16" i="14"/>
  <c r="J10" i="14"/>
  <c r="DH19" i="14"/>
  <c r="S23" i="14"/>
  <c r="U23" i="14" s="1"/>
  <c r="E25" i="14"/>
  <c r="T25" i="14"/>
  <c r="U25" i="14"/>
  <c r="N25" i="14"/>
  <c r="S16" i="14"/>
  <c r="E16" i="14" s="1"/>
  <c r="L16" i="14"/>
  <c r="J11" i="14"/>
  <c r="L18" i="4"/>
  <c r="DJ18" i="4"/>
  <c r="U16" i="4"/>
  <c r="S20" i="4"/>
  <c r="T20" i="4" s="1"/>
  <c r="J14" i="4"/>
  <c r="T16" i="4"/>
  <c r="N16" i="4"/>
  <c r="DH16" i="4"/>
  <c r="U21" i="4"/>
  <c r="S18" i="4"/>
  <c r="E18" i="4" s="1"/>
  <c r="L16" i="12"/>
  <c r="CF16" i="12" s="1"/>
  <c r="L17" i="12"/>
  <c r="CF17" i="12" s="1"/>
  <c r="CE17" i="12"/>
  <c r="CE16" i="12"/>
  <c r="L11" i="12"/>
  <c r="CF11" i="12" s="1"/>
  <c r="CE22" i="12"/>
  <c r="K22" i="12"/>
  <c r="L22" i="12"/>
  <c r="J18" i="6"/>
  <c r="J10" i="6"/>
  <c r="J13" i="6"/>
  <c r="K20" i="14"/>
  <c r="DJ20" i="14" s="1"/>
  <c r="K14" i="4"/>
  <c r="K10" i="14"/>
  <c r="M10" i="14" s="1"/>
  <c r="MR10" i="6"/>
  <c r="LX13" i="6"/>
  <c r="OP18" i="14"/>
  <c r="K11" i="14"/>
  <c r="DJ11" i="14" s="1"/>
  <c r="K18" i="14"/>
  <c r="DJ18" i="14" s="1"/>
  <c r="MT6" i="8"/>
  <c r="H6" i="8"/>
  <c r="I6" i="8" s="1"/>
  <c r="CE6" i="8"/>
  <c r="N6" i="8" s="1"/>
  <c r="K6" i="8"/>
  <c r="A6" i="8"/>
  <c r="M6" i="8"/>
  <c r="MT10" i="8"/>
  <c r="H10" i="8"/>
  <c r="I10" i="8" s="1"/>
  <c r="CE10" i="8"/>
  <c r="N10" i="8" s="1"/>
  <c r="K10" i="8"/>
  <c r="A10" i="8"/>
  <c r="M10" i="8"/>
  <c r="M11" i="8"/>
  <c r="MT11" i="8"/>
  <c r="H11" i="8"/>
  <c r="I11" i="8" s="1"/>
  <c r="CE11" i="8"/>
  <c r="N11" i="8" s="1"/>
  <c r="K11" i="8"/>
  <c r="A11" i="8"/>
  <c r="M8" i="8"/>
  <c r="H8" i="8"/>
  <c r="I8" i="8" s="1"/>
  <c r="MT8" i="8"/>
  <c r="CE8" i="8"/>
  <c r="N8" i="8" s="1"/>
  <c r="K8" i="8"/>
  <c r="M9" i="7"/>
  <c r="MT9" i="7"/>
  <c r="MT6" i="7"/>
  <c r="MT4" i="7"/>
  <c r="H9" i="7"/>
  <c r="I9" i="7" s="1"/>
  <c r="CE9" i="7"/>
  <c r="N9" i="7" s="1"/>
  <c r="K9" i="7"/>
  <c r="A9" i="7"/>
  <c r="M6" i="7"/>
  <c r="H6" i="7"/>
  <c r="I6" i="7" s="1"/>
  <c r="CE6" i="7"/>
  <c r="N6" i="7" s="1"/>
  <c r="K6" i="7"/>
  <c r="A6" i="7"/>
  <c r="M4" i="7"/>
  <c r="H4" i="7"/>
  <c r="I4" i="7" s="1"/>
  <c r="CE4" i="7"/>
  <c r="N4" i="7" s="1"/>
  <c r="K4" i="7"/>
  <c r="OP11" i="14"/>
  <c r="P11" i="14"/>
  <c r="F11" i="14"/>
  <c r="A11" i="14" a="1"/>
  <c r="A11" i="14" s="1"/>
  <c r="DK11" i="14"/>
  <c r="S11" i="14" s="1"/>
  <c r="R11" i="14"/>
  <c r="I11" i="14"/>
  <c r="P10" i="14"/>
  <c r="OP10" i="14"/>
  <c r="F10" i="14"/>
  <c r="I10" i="14"/>
  <c r="DK10" i="14"/>
  <c r="S10" i="14" s="1"/>
  <c r="R10" i="14"/>
  <c r="P18" i="14"/>
  <c r="A18" i="14" a="1"/>
  <c r="A18" i="14" s="1"/>
  <c r="J18" i="14"/>
  <c r="I18" i="14"/>
  <c r="DK18" i="14"/>
  <c r="S18" i="14" s="1"/>
  <c r="R18" i="14"/>
  <c r="OP20" i="14"/>
  <c r="I20" i="14"/>
  <c r="F20" i="14"/>
  <c r="A20" i="14" a="1"/>
  <c r="A20" i="14" s="1"/>
  <c r="DK20" i="14"/>
  <c r="R20" i="14"/>
  <c r="P20" i="14"/>
  <c r="DI20" i="14"/>
  <c r="OP14" i="4"/>
  <c r="DI14" i="4"/>
  <c r="F14" i="4"/>
  <c r="I14" i="4"/>
  <c r="DK14" i="4"/>
  <c r="R14" i="4"/>
  <c r="MT22" i="12"/>
  <c r="H22" i="12"/>
  <c r="I22" i="12" s="1"/>
  <c r="A22" i="12"/>
  <c r="MT17" i="12"/>
  <c r="H17" i="12"/>
  <c r="I17" i="12" s="1"/>
  <c r="A17" i="12"/>
  <c r="MT16" i="12"/>
  <c r="H16" i="12"/>
  <c r="I16" i="12" s="1"/>
  <c r="A16" i="12"/>
  <c r="MT11" i="12"/>
  <c r="H11" i="12"/>
  <c r="I11" i="12" s="1"/>
  <c r="A11" i="12"/>
  <c r="MR13" i="6"/>
  <c r="CD13" i="6"/>
  <c r="MP13" i="6"/>
  <c r="MS13" i="6"/>
  <c r="MQ13" i="6"/>
  <c r="F13" i="6"/>
  <c r="G13" i="6"/>
  <c r="LX10" i="6"/>
  <c r="MP10" i="6"/>
  <c r="CD10" i="6"/>
  <c r="MS10" i="6"/>
  <c r="MQ10" i="6"/>
  <c r="F10" i="6"/>
  <c r="G10" i="6"/>
  <c r="MR18" i="6"/>
  <c r="CD18" i="6"/>
  <c r="MP18" i="6"/>
  <c r="LX18" i="6"/>
  <c r="MQ18" i="6"/>
  <c r="MS18" i="6"/>
  <c r="F18" i="6"/>
  <c r="G18" i="6"/>
  <c r="CY8" i="4"/>
  <c r="CZ8" i="4"/>
  <c r="DA8" i="4"/>
  <c r="DB8" i="4"/>
  <c r="DC8" i="4"/>
  <c r="DE8" i="4"/>
  <c r="DF8" i="4"/>
  <c r="NI8" i="4"/>
  <c r="NJ8" i="4"/>
  <c r="NK8" i="4"/>
  <c r="NM8" i="4"/>
  <c r="NN8" i="4"/>
  <c r="NP8" i="4"/>
  <c r="NQ8" i="4"/>
  <c r="NR8" i="4"/>
  <c r="NS8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BZ19" i="12"/>
  <c r="CA19" i="12"/>
  <c r="CB19" i="12"/>
  <c r="CC19" i="12"/>
  <c r="LT19" i="12"/>
  <c r="LU19" i="12"/>
  <c r="LV19" i="12"/>
  <c r="LW19" i="12"/>
  <c r="LY19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BZ23" i="6"/>
  <c r="CA23" i="6"/>
  <c r="CB23" i="6"/>
  <c r="CC23" i="6"/>
  <c r="LT23" i="6"/>
  <c r="LU23" i="6"/>
  <c r="LV23" i="6"/>
  <c r="LW23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9" i="12"/>
  <c r="CA9" i="12"/>
  <c r="J9" i="12" s="1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5" i="14"/>
  <c r="CZ5" i="14"/>
  <c r="DA5" i="14"/>
  <c r="DB5" i="14"/>
  <c r="DC5" i="14"/>
  <c r="DE5" i="14"/>
  <c r="DF5" i="14"/>
  <c r="NI5" i="14"/>
  <c r="NJ5" i="14"/>
  <c r="NK5" i="14"/>
  <c r="NM5" i="14"/>
  <c r="NN5" i="14"/>
  <c r="NP5" i="14"/>
  <c r="NQ5" i="14"/>
  <c r="NR5" i="14"/>
  <c r="NS5" i="14"/>
  <c r="NT5" i="14"/>
  <c r="NU5" i="14"/>
  <c r="NV5" i="14"/>
  <c r="NW5" i="14"/>
  <c r="OL5" i="14" s="1"/>
  <c r="NX5" i="14"/>
  <c r="NY5" i="14"/>
  <c r="NZ5" i="14"/>
  <c r="OA5" i="14"/>
  <c r="OB5" i="14"/>
  <c r="ON5" i="14" s="1"/>
  <c r="OC5" i="14"/>
  <c r="OD5" i="14"/>
  <c r="OE5" i="14"/>
  <c r="OF5" i="14"/>
  <c r="OG5" i="14"/>
  <c r="OQ5" i="14" s="1"/>
  <c r="OH5" i="14"/>
  <c r="OI5" i="14"/>
  <c r="O14" i="8" l="1"/>
  <c r="O21" i="12"/>
  <c r="P21" i="12"/>
  <c r="E21" i="12"/>
  <c r="E24" i="6"/>
  <c r="O24" i="6"/>
  <c r="P24" i="6"/>
  <c r="E22" i="6"/>
  <c r="O22" i="6"/>
  <c r="P22" i="6"/>
  <c r="N21" i="4"/>
  <c r="U27" i="14"/>
  <c r="T27" i="14"/>
  <c r="T8" i="14"/>
  <c r="U8" i="14"/>
  <c r="DH21" i="4"/>
  <c r="E14" i="12"/>
  <c r="E13" i="12"/>
  <c r="N11" i="12"/>
  <c r="P11" i="12" s="1"/>
  <c r="DH8" i="14"/>
  <c r="E20" i="4"/>
  <c r="N18" i="4"/>
  <c r="DJ14" i="4"/>
  <c r="O19" i="6"/>
  <c r="P19" i="6"/>
  <c r="E19" i="6"/>
  <c r="E19" i="14"/>
  <c r="U19" i="14"/>
  <c r="N16" i="14"/>
  <c r="DH16" i="14"/>
  <c r="DH23" i="14"/>
  <c r="N20" i="4"/>
  <c r="O14" i="12"/>
  <c r="P14" i="12"/>
  <c r="M16" i="12"/>
  <c r="O13" i="12"/>
  <c r="P13" i="12"/>
  <c r="M17" i="12"/>
  <c r="O20" i="6"/>
  <c r="P20" i="6"/>
  <c r="E20" i="6"/>
  <c r="O15" i="6"/>
  <c r="P15" i="6"/>
  <c r="E15" i="6"/>
  <c r="O16" i="6"/>
  <c r="P16" i="6"/>
  <c r="E16" i="6"/>
  <c r="E9" i="6"/>
  <c r="O9" i="6"/>
  <c r="P9" i="6"/>
  <c r="P12" i="8"/>
  <c r="O12" i="8"/>
  <c r="E23" i="14"/>
  <c r="U16" i="14"/>
  <c r="T16" i="14"/>
  <c r="DJ10" i="14"/>
  <c r="T23" i="14"/>
  <c r="U20" i="4"/>
  <c r="U18" i="4"/>
  <c r="T18" i="4"/>
  <c r="M20" i="14"/>
  <c r="L20" i="14"/>
  <c r="M11" i="12"/>
  <c r="N16" i="12"/>
  <c r="P16" i="12" s="1"/>
  <c r="N17" i="12"/>
  <c r="O17" i="12" s="1"/>
  <c r="M18" i="14"/>
  <c r="DH18" i="14" s="1"/>
  <c r="L10" i="14"/>
  <c r="N10" i="14" s="1"/>
  <c r="L18" i="14"/>
  <c r="K8" i="12"/>
  <c r="CE8" i="12"/>
  <c r="CE6" i="12"/>
  <c r="K6" i="12"/>
  <c r="J10" i="12"/>
  <c r="J19" i="12"/>
  <c r="M22" i="12"/>
  <c r="CF22" i="12"/>
  <c r="N22" i="12" s="1"/>
  <c r="K9" i="12"/>
  <c r="CE9" i="12"/>
  <c r="J14" i="6"/>
  <c r="J21" i="6"/>
  <c r="J23" i="6"/>
  <c r="CE13" i="6"/>
  <c r="L13" i="6"/>
  <c r="K13" i="6"/>
  <c r="K10" i="6"/>
  <c r="L10" i="6"/>
  <c r="CE10" i="6"/>
  <c r="K18" i="6"/>
  <c r="L18" i="6"/>
  <c r="CE18" i="6"/>
  <c r="M11" i="14"/>
  <c r="DH11" i="14" s="1"/>
  <c r="M14" i="4"/>
  <c r="DH14" i="4" s="1"/>
  <c r="L14" i="4"/>
  <c r="L11" i="14"/>
  <c r="S14" i="4"/>
  <c r="T14" i="4" s="1"/>
  <c r="E6" i="8"/>
  <c r="O6" i="8"/>
  <c r="P6" i="8"/>
  <c r="E10" i="8"/>
  <c r="O10" i="8"/>
  <c r="P10" i="8"/>
  <c r="E11" i="8"/>
  <c r="O11" i="8"/>
  <c r="P11" i="8"/>
  <c r="E8" i="8"/>
  <c r="A8" i="8" s="1"/>
  <c r="O8" i="8"/>
  <c r="P8" i="8"/>
  <c r="E9" i="7"/>
  <c r="O9" i="7"/>
  <c r="P9" i="7"/>
  <c r="E6" i="7"/>
  <c r="O6" i="7"/>
  <c r="P6" i="7"/>
  <c r="E4" i="7"/>
  <c r="O4" i="7"/>
  <c r="P4" i="7"/>
  <c r="E11" i="14"/>
  <c r="T11" i="14"/>
  <c r="U11" i="14"/>
  <c r="E10" i="14"/>
  <c r="T10" i="14"/>
  <c r="U10" i="14"/>
  <c r="DH10" i="14"/>
  <c r="S20" i="14"/>
  <c r="E20" i="14" s="1"/>
  <c r="E18" i="14"/>
  <c r="T18" i="14"/>
  <c r="U18" i="14"/>
  <c r="NL8" i="4"/>
  <c r="NO8" i="4" s="1"/>
  <c r="LX19" i="12"/>
  <c r="MT13" i="6"/>
  <c r="H13" i="6"/>
  <c r="I13" i="6" s="1"/>
  <c r="A13" i="6"/>
  <c r="MR23" i="6"/>
  <c r="MP23" i="6"/>
  <c r="MT10" i="6"/>
  <c r="H10" i="6"/>
  <c r="I10" i="6" s="1"/>
  <c r="A10" i="6"/>
  <c r="MT18" i="6"/>
  <c r="H18" i="6"/>
  <c r="I18" i="6" s="1"/>
  <c r="A18" i="6"/>
  <c r="OO8" i="4"/>
  <c r="DD8" i="4"/>
  <c r="DG8" i="4" s="1"/>
  <c r="OM8" i="4"/>
  <c r="OK8" i="4"/>
  <c r="O8" i="4"/>
  <c r="P8" i="4" s="1"/>
  <c r="G8" i="4"/>
  <c r="Q8" i="4"/>
  <c r="H8" i="4"/>
  <c r="MR19" i="12"/>
  <c r="CD19" i="12"/>
  <c r="MP19" i="12"/>
  <c r="F19" i="12"/>
  <c r="MS19" i="12"/>
  <c r="MQ19" i="12"/>
  <c r="G19" i="12"/>
  <c r="LX23" i="6"/>
  <c r="MS23" i="6"/>
  <c r="MQ23" i="6"/>
  <c r="CD23" i="6"/>
  <c r="F23" i="6"/>
  <c r="G23" i="6"/>
  <c r="LX21" i="6"/>
  <c r="CD21" i="6"/>
  <c r="MS21" i="6"/>
  <c r="MQ21" i="6"/>
  <c r="MR21" i="6"/>
  <c r="MP21" i="6"/>
  <c r="F21" i="6"/>
  <c r="G21" i="6"/>
  <c r="NL5" i="4"/>
  <c r="NO5" i="4" s="1"/>
  <c r="DD5" i="14"/>
  <c r="DG5" i="14" s="1"/>
  <c r="DD5" i="4"/>
  <c r="DG5" i="4" s="1"/>
  <c r="MP9" i="12"/>
  <c r="CD8" i="12"/>
  <c r="L8" i="12" s="1"/>
  <c r="CD9" i="12"/>
  <c r="MR8" i="12"/>
  <c r="MQ8" i="12"/>
  <c r="LX8" i="12"/>
  <c r="MS8" i="12"/>
  <c r="MP8" i="12"/>
  <c r="F8" i="12"/>
  <c r="G8" i="12"/>
  <c r="LX9" i="12"/>
  <c r="MQ9" i="12"/>
  <c r="MR9" i="12"/>
  <c r="F9" i="12"/>
  <c r="MS9" i="12"/>
  <c r="G9" i="12"/>
  <c r="LX10" i="12"/>
  <c r="MR10" i="12"/>
  <c r="CD10" i="12"/>
  <c r="MS10" i="12"/>
  <c r="MQ10" i="12"/>
  <c r="MP10" i="12"/>
  <c r="F10" i="12"/>
  <c r="G10" i="12"/>
  <c r="MR6" i="12"/>
  <c r="LX6" i="12"/>
  <c r="CD6" i="12"/>
  <c r="MS6" i="12"/>
  <c r="MQ6" i="12"/>
  <c r="MP6" i="12"/>
  <c r="F6" i="12"/>
  <c r="G6" i="12"/>
  <c r="MS14" i="6"/>
  <c r="MR14" i="6"/>
  <c r="LX14" i="6"/>
  <c r="CD14" i="6"/>
  <c r="MQ14" i="6"/>
  <c r="MP14" i="6"/>
  <c r="F14" i="6"/>
  <c r="G14" i="6"/>
  <c r="OO5" i="4"/>
  <c r="Q5" i="4"/>
  <c r="DK5" i="4" s="1"/>
  <c r="OM5" i="4"/>
  <c r="OK5" i="4"/>
  <c r="G5" i="4"/>
  <c r="H5" i="4"/>
  <c r="O5" i="4"/>
  <c r="DD4" i="4"/>
  <c r="DG4" i="4" s="1"/>
  <c r="NL4" i="4"/>
  <c r="NO4" i="4" s="1"/>
  <c r="DD6" i="4"/>
  <c r="DG6" i="4" s="1"/>
  <c r="OO4" i="4"/>
  <c r="OM4" i="4"/>
  <c r="OK4" i="4"/>
  <c r="G4" i="4"/>
  <c r="J4" i="4" s="1"/>
  <c r="Q4" i="4"/>
  <c r="H4" i="4"/>
  <c r="O4" i="4"/>
  <c r="NL6" i="4"/>
  <c r="NO6" i="4" s="1"/>
  <c r="OO6" i="4"/>
  <c r="OK6" i="4"/>
  <c r="O6" i="4"/>
  <c r="P6" i="4" s="1"/>
  <c r="G6" i="4"/>
  <c r="F6" i="4" s="1"/>
  <c r="Q6" i="4"/>
  <c r="H6" i="4"/>
  <c r="OM6" i="4"/>
  <c r="NL5" i="14"/>
  <c r="NO5" i="14" s="1"/>
  <c r="OO5" i="14"/>
  <c r="OM5" i="14"/>
  <c r="OK5" i="14"/>
  <c r="G5" i="14"/>
  <c r="Q5" i="14"/>
  <c r="H5" i="14"/>
  <c r="O5" i="14"/>
  <c r="E16" i="12" l="1"/>
  <c r="E11" i="12"/>
  <c r="O11" i="12"/>
  <c r="E17" i="12"/>
  <c r="E22" i="12"/>
  <c r="E14" i="4"/>
  <c r="N20" i="14"/>
  <c r="DH20" i="14"/>
  <c r="O16" i="12"/>
  <c r="N11" i="14"/>
  <c r="P17" i="12"/>
  <c r="N18" i="14"/>
  <c r="N14" i="4"/>
  <c r="L9" i="12"/>
  <c r="CF9" i="12" s="1"/>
  <c r="N9" i="12" s="1"/>
  <c r="L6" i="12"/>
  <c r="M6" i="12" s="1"/>
  <c r="CF8" i="12"/>
  <c r="N8" i="12" s="1"/>
  <c r="M8" i="12"/>
  <c r="CE19" i="12"/>
  <c r="K19" i="12"/>
  <c r="L19" i="12"/>
  <c r="P22" i="12"/>
  <c r="O22" i="12"/>
  <c r="CE10" i="12"/>
  <c r="K10" i="12"/>
  <c r="L10" i="12"/>
  <c r="CE21" i="6"/>
  <c r="K21" i="6"/>
  <c r="L21" i="6"/>
  <c r="M13" i="6"/>
  <c r="CF13" i="6"/>
  <c r="N13" i="6" s="1"/>
  <c r="M10" i="6"/>
  <c r="CF10" i="6"/>
  <c r="M18" i="6"/>
  <c r="CF18" i="6"/>
  <c r="CE23" i="6"/>
  <c r="K23" i="6"/>
  <c r="L23" i="6"/>
  <c r="K14" i="6"/>
  <c r="CE14" i="6"/>
  <c r="L14" i="6"/>
  <c r="K8" i="4"/>
  <c r="DI8" i="4"/>
  <c r="A14" i="4" a="1"/>
  <c r="A14" i="4" s="1"/>
  <c r="U14" i="4"/>
  <c r="U20" i="14"/>
  <c r="T20" i="14"/>
  <c r="MT23" i="6"/>
  <c r="J8" i="4"/>
  <c r="OP8" i="4"/>
  <c r="F8" i="4"/>
  <c r="I8" i="4"/>
  <c r="DK8" i="4"/>
  <c r="R8" i="4"/>
  <c r="MT19" i="12"/>
  <c r="A19" i="12"/>
  <c r="H19" i="12"/>
  <c r="I19" i="12" s="1"/>
  <c r="H23" i="6"/>
  <c r="I23" i="6" s="1"/>
  <c r="MT21" i="6"/>
  <c r="H21" i="6"/>
  <c r="I21" i="6" s="1"/>
  <c r="MT6" i="12"/>
  <c r="MT10" i="12"/>
  <c r="K5" i="14"/>
  <c r="L5" i="14" s="1"/>
  <c r="K5" i="4"/>
  <c r="MT8" i="12"/>
  <c r="H8" i="12"/>
  <c r="I8" i="12" s="1"/>
  <c r="MT9" i="12"/>
  <c r="H9" i="12"/>
  <c r="I9" i="12" s="1"/>
  <c r="H10" i="12"/>
  <c r="I10" i="12" s="1"/>
  <c r="H6" i="12"/>
  <c r="I6" i="12" s="1"/>
  <c r="MT14" i="6"/>
  <c r="H14" i="6"/>
  <c r="I14" i="6" s="1"/>
  <c r="OP5" i="4"/>
  <c r="K6" i="4"/>
  <c r="I5" i="4"/>
  <c r="R5" i="4"/>
  <c r="F5" i="4"/>
  <c r="J5" i="4"/>
  <c r="P5" i="4"/>
  <c r="DI5" i="4"/>
  <c r="S5" i="4" s="1"/>
  <c r="K4" i="4"/>
  <c r="M4" i="4" s="1"/>
  <c r="DI6" i="4"/>
  <c r="OP4" i="4"/>
  <c r="F4" i="4"/>
  <c r="DK4" i="4"/>
  <c r="R4" i="4"/>
  <c r="I4" i="4"/>
  <c r="P4" i="4"/>
  <c r="DI4" i="4"/>
  <c r="OP6" i="4"/>
  <c r="J6" i="4"/>
  <c r="I6" i="4"/>
  <c r="DK6" i="4"/>
  <c r="R6" i="4"/>
  <c r="J5" i="14"/>
  <c r="OP5" i="14"/>
  <c r="F5" i="14"/>
  <c r="DK5" i="14"/>
  <c r="R5" i="14"/>
  <c r="I5" i="14"/>
  <c r="P5" i="14"/>
  <c r="DI5" i="14"/>
  <c r="E8" i="12" l="1"/>
  <c r="M8" i="4"/>
  <c r="DH8" i="4" s="1"/>
  <c r="L5" i="4"/>
  <c r="E5" i="4"/>
  <c r="M6" i="4"/>
  <c r="DH6" i="4" s="1"/>
  <c r="M9" i="12"/>
  <c r="E9" i="12" s="1"/>
  <c r="S8" i="4"/>
  <c r="E8" i="4" s="1"/>
  <c r="L8" i="4"/>
  <c r="DJ8" i="4"/>
  <c r="CF19" i="12"/>
  <c r="N19" i="12" s="1"/>
  <c r="M19" i="12"/>
  <c r="M10" i="12"/>
  <c r="CF10" i="12"/>
  <c r="N10" i="12" s="1"/>
  <c r="E10" i="12" s="1"/>
  <c r="O9" i="12"/>
  <c r="P9" i="12"/>
  <c r="O8" i="12"/>
  <c r="P8" i="12"/>
  <c r="M14" i="6"/>
  <c r="CF14" i="6"/>
  <c r="CF21" i="6"/>
  <c r="M21" i="6"/>
  <c r="CF23" i="6"/>
  <c r="N23" i="6" s="1"/>
  <c r="M23" i="6"/>
  <c r="O13" i="6"/>
  <c r="P13" i="6"/>
  <c r="E13" i="6"/>
  <c r="N10" i="6"/>
  <c r="N18" i="6"/>
  <c r="DJ6" i="4"/>
  <c r="M5" i="4"/>
  <c r="DH5" i="4" s="1"/>
  <c r="DJ5" i="4"/>
  <c r="M5" i="14"/>
  <c r="DH5" i="14" s="1"/>
  <c r="DJ5" i="14"/>
  <c r="L6" i="4"/>
  <c r="T5" i="4"/>
  <c r="U5" i="4"/>
  <c r="L4" i="4"/>
  <c r="N4" i="4" s="1"/>
  <c r="DJ4" i="4"/>
  <c r="S6" i="4"/>
  <c r="E6" i="4" s="1"/>
  <c r="S4" i="4"/>
  <c r="E4" i="4" s="1"/>
  <c r="DH4" i="4"/>
  <c r="S5" i="14"/>
  <c r="E5" i="14" s="1"/>
  <c r="N8" i="4" l="1"/>
  <c r="E19" i="12"/>
  <c r="N6" i="4"/>
  <c r="U8" i="4"/>
  <c r="T8" i="4"/>
  <c r="O10" i="12"/>
  <c r="P10" i="12"/>
  <c r="O19" i="12"/>
  <c r="P19" i="12"/>
  <c r="CF6" i="12"/>
  <c r="N6" i="12" s="1"/>
  <c r="E6" i="12" s="1"/>
  <c r="O18" i="6"/>
  <c r="P18" i="6"/>
  <c r="O10" i="6"/>
  <c r="P10" i="6"/>
  <c r="P23" i="6"/>
  <c r="O23" i="6"/>
  <c r="N14" i="6"/>
  <c r="N21" i="6"/>
  <c r="E10" i="6"/>
  <c r="N5" i="4"/>
  <c r="E18" i="6"/>
  <c r="E23" i="6"/>
  <c r="A23" i="6" s="1"/>
  <c r="N5" i="14"/>
  <c r="U6" i="4"/>
  <c r="T6" i="4"/>
  <c r="T4" i="4"/>
  <c r="U4" i="4"/>
  <c r="U5" i="14"/>
  <c r="T5" i="14"/>
  <c r="O6" i="12" l="1"/>
  <c r="P6" i="12"/>
  <c r="O21" i="6"/>
  <c r="P21" i="6"/>
  <c r="O14" i="6"/>
  <c r="P14" i="6"/>
  <c r="E21" i="6"/>
  <c r="A10" i="12"/>
  <c r="E14" i="6"/>
  <c r="BZ15" i="12" l="1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23" i="12"/>
  <c r="CA23" i="12"/>
  <c r="J23" i="12" s="1"/>
  <c r="CB23" i="12"/>
  <c r="CC23" i="12"/>
  <c r="LT23" i="12"/>
  <c r="LU23" i="12"/>
  <c r="LV23" i="12"/>
  <c r="LW23" i="12"/>
  <c r="LY23" i="12"/>
  <c r="LZ23" i="12"/>
  <c r="MA23" i="12"/>
  <c r="MB23" i="12"/>
  <c r="MC23" i="12"/>
  <c r="MD23" i="12"/>
  <c r="ME23" i="12"/>
  <c r="MF23" i="12"/>
  <c r="MG23" i="12"/>
  <c r="MH23" i="12"/>
  <c r="MI23" i="12"/>
  <c r="MJ23" i="12"/>
  <c r="MK23" i="12"/>
  <c r="ML23" i="12"/>
  <c r="MM23" i="12"/>
  <c r="MN23" i="12"/>
  <c r="BZ20" i="12"/>
  <c r="CA20" i="12"/>
  <c r="J20" i="12" s="1"/>
  <c r="CB20" i="12"/>
  <c r="CC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BZ4" i="12"/>
  <c r="CA4" i="12"/>
  <c r="J4" i="12" s="1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5" i="12"/>
  <c r="CA5" i="12"/>
  <c r="J5" i="12" s="1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8" i="12"/>
  <c r="CA18" i="12"/>
  <c r="J18" i="12" s="1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BZ17" i="6"/>
  <c r="CA17" i="6"/>
  <c r="J17" i="6" s="1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12" i="6"/>
  <c r="CA12" i="6"/>
  <c r="J12" i="6" s="1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11" i="6"/>
  <c r="CA11" i="6"/>
  <c r="J11" i="6" s="1"/>
  <c r="CB11" i="6"/>
  <c r="CC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CY22" i="14"/>
  <c r="CZ22" i="14"/>
  <c r="DA22" i="14"/>
  <c r="DB22" i="14"/>
  <c r="DC22" i="14"/>
  <c r="DE22" i="14"/>
  <c r="DF22" i="14"/>
  <c r="NI22" i="14"/>
  <c r="NJ22" i="14"/>
  <c r="NK22" i="14"/>
  <c r="NM22" i="14"/>
  <c r="NN22" i="14"/>
  <c r="NP22" i="14"/>
  <c r="NQ22" i="14"/>
  <c r="NR22" i="14"/>
  <c r="NS22" i="14"/>
  <c r="NT22" i="14"/>
  <c r="NU22" i="14"/>
  <c r="NV22" i="14"/>
  <c r="NW22" i="14"/>
  <c r="OL22" i="14" s="1"/>
  <c r="NX22" i="14"/>
  <c r="NY22" i="14"/>
  <c r="NZ22" i="14"/>
  <c r="OA22" i="14"/>
  <c r="OB22" i="14"/>
  <c r="OC22" i="14"/>
  <c r="OD22" i="14"/>
  <c r="OE22" i="14"/>
  <c r="OF22" i="14"/>
  <c r="OG22" i="14"/>
  <c r="OQ22" i="14" s="1"/>
  <c r="OH22" i="14"/>
  <c r="OI22" i="14"/>
  <c r="ON22" i="14"/>
  <c r="CY26" i="14"/>
  <c r="CZ26" i="14"/>
  <c r="DA26" i="14"/>
  <c r="DB26" i="14"/>
  <c r="DC26" i="14"/>
  <c r="DE26" i="14"/>
  <c r="DF26" i="14"/>
  <c r="NI26" i="14"/>
  <c r="NJ26" i="14"/>
  <c r="NK26" i="14"/>
  <c r="NM26" i="14"/>
  <c r="NN26" i="14"/>
  <c r="NP26" i="14"/>
  <c r="NQ26" i="14"/>
  <c r="NR26" i="14"/>
  <c r="NS26" i="14"/>
  <c r="NT26" i="14"/>
  <c r="NU26" i="14"/>
  <c r="NV26" i="14"/>
  <c r="NW26" i="14"/>
  <c r="OL26" i="14" s="1"/>
  <c r="NX26" i="14"/>
  <c r="NY26" i="14"/>
  <c r="NZ26" i="14"/>
  <c r="OA26" i="14"/>
  <c r="OB26" i="14"/>
  <c r="OC26" i="14"/>
  <c r="OD26" i="14"/>
  <c r="OE26" i="14"/>
  <c r="OF26" i="14"/>
  <c r="OG26" i="14"/>
  <c r="OQ26" i="14" s="1"/>
  <c r="OH26" i="14"/>
  <c r="OI26" i="14"/>
  <c r="ON26" i="14"/>
  <c r="CY7" i="14"/>
  <c r="CZ7" i="14"/>
  <c r="DA7" i="14"/>
  <c r="DB7" i="14"/>
  <c r="DC7" i="14"/>
  <c r="DE7" i="14"/>
  <c r="DF7" i="14"/>
  <c r="NI7" i="14"/>
  <c r="NJ7" i="14"/>
  <c r="NK7" i="14"/>
  <c r="NM7" i="14"/>
  <c r="NN7" i="14"/>
  <c r="NP7" i="14"/>
  <c r="NQ7" i="14"/>
  <c r="NR7" i="14"/>
  <c r="NS7" i="14"/>
  <c r="NT7" i="14"/>
  <c r="NU7" i="14"/>
  <c r="NV7" i="14"/>
  <c r="NW7" i="14"/>
  <c r="OL7" i="14" s="1"/>
  <c r="NX7" i="14"/>
  <c r="NY7" i="14"/>
  <c r="NZ7" i="14"/>
  <c r="OA7" i="14"/>
  <c r="OB7" i="14"/>
  <c r="ON7" i="14" s="1"/>
  <c r="OC7" i="14"/>
  <c r="OD7" i="14"/>
  <c r="OE7" i="14"/>
  <c r="OF7" i="14"/>
  <c r="OG7" i="14"/>
  <c r="OQ7" i="14" s="1"/>
  <c r="OH7" i="14"/>
  <c r="OI7" i="14"/>
  <c r="CY14" i="14"/>
  <c r="CZ14" i="14"/>
  <c r="DA14" i="14"/>
  <c r="DB14" i="14"/>
  <c r="DC14" i="14"/>
  <c r="DE14" i="14"/>
  <c r="DF14" i="14"/>
  <c r="NI14" i="14"/>
  <c r="NJ14" i="14"/>
  <c r="NK14" i="14"/>
  <c r="NM14" i="14"/>
  <c r="NN14" i="14"/>
  <c r="NP14" i="14"/>
  <c r="NQ14" i="14"/>
  <c r="NR14" i="14"/>
  <c r="NS14" i="14"/>
  <c r="NT14" i="14"/>
  <c r="NU14" i="14"/>
  <c r="NV14" i="14"/>
  <c r="NW14" i="14"/>
  <c r="OL14" i="14" s="1"/>
  <c r="NX14" i="14"/>
  <c r="NY14" i="14"/>
  <c r="NZ14" i="14"/>
  <c r="OA14" i="14"/>
  <c r="OB14" i="14"/>
  <c r="ON14" i="14" s="1"/>
  <c r="OC14" i="14"/>
  <c r="OD14" i="14"/>
  <c r="OE14" i="14"/>
  <c r="OF14" i="14"/>
  <c r="OG14" i="14"/>
  <c r="OQ14" i="14" s="1"/>
  <c r="OH14" i="14"/>
  <c r="OI14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N12" i="14" s="1"/>
  <c r="OC12" i="14"/>
  <c r="OD12" i="14"/>
  <c r="OE12" i="14"/>
  <c r="OF12" i="14"/>
  <c r="OG12" i="14"/>
  <c r="OQ12" i="14" s="1"/>
  <c r="OH12" i="14"/>
  <c r="OI12" i="14"/>
  <c r="CY24" i="14"/>
  <c r="CZ24" i="14"/>
  <c r="DA24" i="14"/>
  <c r="DB24" i="14"/>
  <c r="DC24" i="14"/>
  <c r="DE24" i="14"/>
  <c r="DF24" i="14"/>
  <c r="NI24" i="14"/>
  <c r="NJ24" i="14"/>
  <c r="NK24" i="14"/>
  <c r="NM24" i="14"/>
  <c r="NN24" i="14"/>
  <c r="NP24" i="14"/>
  <c r="NQ24" i="14"/>
  <c r="NR24" i="14"/>
  <c r="NS24" i="14"/>
  <c r="NT24" i="14"/>
  <c r="NU24" i="14"/>
  <c r="NV24" i="14"/>
  <c r="NW24" i="14"/>
  <c r="OL24" i="14" s="1"/>
  <c r="NX24" i="14"/>
  <c r="NY24" i="14"/>
  <c r="NZ24" i="14"/>
  <c r="OA24" i="14"/>
  <c r="OB24" i="14"/>
  <c r="ON24" i="14" s="1"/>
  <c r="OC24" i="14"/>
  <c r="OD24" i="14"/>
  <c r="OE24" i="14"/>
  <c r="OF24" i="14"/>
  <c r="OG24" i="14"/>
  <c r="OQ24" i="14" s="1"/>
  <c r="OH24" i="14"/>
  <c r="OI24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N4" i="14" s="1"/>
  <c r="OC4" i="14"/>
  <c r="OD4" i="14"/>
  <c r="OE4" i="14"/>
  <c r="OF4" i="14"/>
  <c r="OG4" i="14"/>
  <c r="OQ4" i="14" s="1"/>
  <c r="OH4" i="14"/>
  <c r="OI4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0" i="4"/>
  <c r="CZ10" i="4"/>
  <c r="DA10" i="4"/>
  <c r="DB10" i="4"/>
  <c r="DC10" i="4"/>
  <c r="DE10" i="4"/>
  <c r="DF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OI9" i="14"/>
  <c r="OH9" i="14"/>
  <c r="OG9" i="14"/>
  <c r="OQ9" i="14" s="1"/>
  <c r="OF9" i="14"/>
  <c r="OE9" i="14"/>
  <c r="OD9" i="14"/>
  <c r="OC9" i="14"/>
  <c r="OB9" i="14"/>
  <c r="ON9" i="14" s="1"/>
  <c r="OA9" i="14"/>
  <c r="NZ9" i="14"/>
  <c r="NY9" i="14"/>
  <c r="NX9" i="14"/>
  <c r="NW9" i="14"/>
  <c r="OL9" i="14" s="1"/>
  <c r="NV9" i="14"/>
  <c r="NU9" i="14"/>
  <c r="NT9" i="14"/>
  <c r="NS9" i="14"/>
  <c r="NR9" i="14"/>
  <c r="NQ9" i="14"/>
  <c r="NP9" i="14"/>
  <c r="NN9" i="14"/>
  <c r="NM9" i="14"/>
  <c r="NK9" i="14"/>
  <c r="NJ9" i="14"/>
  <c r="NI9" i="14"/>
  <c r="DF9" i="14"/>
  <c r="DE9" i="14"/>
  <c r="DC9" i="14"/>
  <c r="DB9" i="14"/>
  <c r="DA9" i="14"/>
  <c r="CZ9" i="14"/>
  <c r="CY9" i="14"/>
  <c r="OI17" i="14"/>
  <c r="OH17" i="14"/>
  <c r="OG17" i="14"/>
  <c r="OQ17" i="14" s="1"/>
  <c r="OF17" i="14"/>
  <c r="OE17" i="14"/>
  <c r="OD17" i="14"/>
  <c r="OC17" i="14"/>
  <c r="OB17" i="14"/>
  <c r="ON17" i="14" s="1"/>
  <c r="OA17" i="14"/>
  <c r="NZ17" i="14"/>
  <c r="NY17" i="14"/>
  <c r="NX17" i="14"/>
  <c r="NW17" i="14"/>
  <c r="OL17" i="14" s="1"/>
  <c r="NV17" i="14"/>
  <c r="NU17" i="14"/>
  <c r="NT17" i="14"/>
  <c r="NS17" i="14"/>
  <c r="NR17" i="14"/>
  <c r="NQ17" i="14"/>
  <c r="NP17" i="14"/>
  <c r="NN17" i="14"/>
  <c r="NM17" i="14"/>
  <c r="NK17" i="14"/>
  <c r="NJ17" i="14"/>
  <c r="NI17" i="14"/>
  <c r="DF17" i="14"/>
  <c r="DE17" i="14"/>
  <c r="DC17" i="14"/>
  <c r="DB17" i="14"/>
  <c r="DA17" i="14"/>
  <c r="CZ17" i="14"/>
  <c r="CY17" i="14"/>
  <c r="OI21" i="14"/>
  <c r="OH21" i="14"/>
  <c r="OG21" i="14"/>
  <c r="OQ21" i="14" s="1"/>
  <c r="OF21" i="14"/>
  <c r="OE21" i="14"/>
  <c r="OD21" i="14"/>
  <c r="OC21" i="14"/>
  <c r="OB21" i="14"/>
  <c r="ON21" i="14" s="1"/>
  <c r="OA21" i="14"/>
  <c r="NZ21" i="14"/>
  <c r="NY21" i="14"/>
  <c r="NX21" i="14"/>
  <c r="NW21" i="14"/>
  <c r="OL21" i="14" s="1"/>
  <c r="NV21" i="14"/>
  <c r="NU21" i="14"/>
  <c r="NT21" i="14"/>
  <c r="NS21" i="14"/>
  <c r="NR21" i="14"/>
  <c r="NQ21" i="14"/>
  <c r="NP21" i="14"/>
  <c r="NN21" i="14"/>
  <c r="NM21" i="14"/>
  <c r="NK21" i="14"/>
  <c r="NJ21" i="14"/>
  <c r="NI21" i="14"/>
  <c r="DF21" i="14"/>
  <c r="DE21" i="14"/>
  <c r="DC21" i="14"/>
  <c r="DB21" i="14"/>
  <c r="DA21" i="14"/>
  <c r="CZ21" i="14"/>
  <c r="CY21" i="14"/>
  <c r="OI6" i="14"/>
  <c r="OH6" i="14"/>
  <c r="OG6" i="14"/>
  <c r="OQ6" i="14" s="1"/>
  <c r="OF6" i="14"/>
  <c r="OE6" i="14"/>
  <c r="OD6" i="14"/>
  <c r="OC6" i="14"/>
  <c r="OB6" i="14"/>
  <c r="ON6" i="14" s="1"/>
  <c r="OA6" i="14"/>
  <c r="NZ6" i="14"/>
  <c r="NY6" i="14"/>
  <c r="NX6" i="14"/>
  <c r="NW6" i="14"/>
  <c r="OL6" i="14" s="1"/>
  <c r="NV6" i="14"/>
  <c r="NU6" i="14"/>
  <c r="NT6" i="14"/>
  <c r="NS6" i="14"/>
  <c r="NR6" i="14"/>
  <c r="NQ6" i="14"/>
  <c r="NP6" i="14"/>
  <c r="NN6" i="14"/>
  <c r="NM6" i="14"/>
  <c r="NK6" i="14"/>
  <c r="NJ6" i="14"/>
  <c r="NI6" i="14"/>
  <c r="DF6" i="14"/>
  <c r="DE6" i="14"/>
  <c r="DC6" i="14"/>
  <c r="DB6" i="14"/>
  <c r="DA6" i="14"/>
  <c r="CZ6" i="14"/>
  <c r="CY6" i="14"/>
  <c r="OI13" i="14"/>
  <c r="OH13" i="14"/>
  <c r="OG13" i="14"/>
  <c r="OQ13" i="14" s="1"/>
  <c r="OF13" i="14"/>
  <c r="OE13" i="14"/>
  <c r="OD13" i="14"/>
  <c r="OC13" i="14"/>
  <c r="OB13" i="14"/>
  <c r="ON13" i="14" s="1"/>
  <c r="OA13" i="14"/>
  <c r="NZ13" i="14"/>
  <c r="NY13" i="14"/>
  <c r="NX13" i="14"/>
  <c r="NW13" i="14"/>
  <c r="OL13" i="14" s="1"/>
  <c r="NV13" i="14"/>
  <c r="NU13" i="14"/>
  <c r="NT13" i="14"/>
  <c r="NS13" i="14"/>
  <c r="NR13" i="14"/>
  <c r="NQ13" i="14"/>
  <c r="NP13" i="14"/>
  <c r="NN13" i="14"/>
  <c r="NM13" i="14"/>
  <c r="NK13" i="14"/>
  <c r="NJ13" i="14"/>
  <c r="NI13" i="14"/>
  <c r="DF13" i="14"/>
  <c r="DE13" i="14"/>
  <c r="DC13" i="14"/>
  <c r="DB13" i="14"/>
  <c r="DA13" i="14"/>
  <c r="CZ13" i="14"/>
  <c r="CY13" i="14"/>
  <c r="NZ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9" i="4"/>
  <c r="NV9" i="4"/>
  <c r="NW9" i="4"/>
  <c r="OL9" i="4" s="1"/>
  <c r="NX9" i="4"/>
  <c r="NY9" i="4"/>
  <c r="OA9" i="4"/>
  <c r="OB9" i="4"/>
  <c r="ON9" i="4" s="1"/>
  <c r="OC9" i="4"/>
  <c r="OD9" i="4"/>
  <c r="OE9" i="4"/>
  <c r="OF9" i="4"/>
  <c r="OG9" i="4"/>
  <c r="OQ9" i="4" s="1"/>
  <c r="OH9" i="4"/>
  <c r="OI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7" i="4"/>
  <c r="CZ17" i="4"/>
  <c r="DA17" i="4"/>
  <c r="DB17" i="4"/>
  <c r="DC17" i="4"/>
  <c r="DE17" i="4"/>
  <c r="DF17" i="4"/>
  <c r="CY19" i="4"/>
  <c r="CZ19" i="4"/>
  <c r="DA19" i="4"/>
  <c r="DB19" i="4"/>
  <c r="DC19" i="4"/>
  <c r="DE19" i="4"/>
  <c r="DF19" i="4"/>
  <c r="CY13" i="4"/>
  <c r="CZ13" i="4"/>
  <c r="DA13" i="4"/>
  <c r="DB13" i="4"/>
  <c r="DC13" i="4"/>
  <c r="DE13" i="4"/>
  <c r="DF13" i="4"/>
  <c r="DC9" i="4"/>
  <c r="DB9" i="4"/>
  <c r="CZ9" i="4"/>
  <c r="DA9" i="4"/>
  <c r="CY9" i="4"/>
  <c r="LT12" i="12"/>
  <c r="LU12" i="12"/>
  <c r="LV12" i="12"/>
  <c r="LW12" i="12"/>
  <c r="LV7" i="12"/>
  <c r="CB12" i="12"/>
  <c r="CB7" i="12"/>
  <c r="LV5" i="6"/>
  <c r="LV7" i="6"/>
  <c r="LV6" i="6"/>
  <c r="LV8" i="6"/>
  <c r="LV4" i="6"/>
  <c r="CB5" i="6"/>
  <c r="CB7" i="6"/>
  <c r="CB6" i="6"/>
  <c r="CB8" i="6"/>
  <c r="CB4" i="6"/>
  <c r="LV9" i="8"/>
  <c r="LV4" i="8"/>
  <c r="LV7" i="8"/>
  <c r="CB7" i="8"/>
  <c r="LV5" i="7"/>
  <c r="CB5" i="7"/>
  <c r="BZ5" i="7"/>
  <c r="OR24" i="14" l="1"/>
  <c r="OR26" i="14"/>
  <c r="OR25" i="14"/>
  <c r="OR21" i="4"/>
  <c r="OR21" i="14"/>
  <c r="OR18" i="4"/>
  <c r="K18" i="12"/>
  <c r="CE18" i="12"/>
  <c r="K5" i="12"/>
  <c r="CE5" i="12"/>
  <c r="K4" i="12"/>
  <c r="CE4" i="12"/>
  <c r="CE20" i="12"/>
  <c r="K20" i="12"/>
  <c r="CE23" i="12"/>
  <c r="K23" i="12"/>
  <c r="K15" i="12"/>
  <c r="CE15" i="12"/>
  <c r="MR17" i="6"/>
  <c r="K11" i="6"/>
  <c r="CE11" i="6"/>
  <c r="K12" i="6"/>
  <c r="CE12" i="6"/>
  <c r="K17" i="6"/>
  <c r="CE17" i="6"/>
  <c r="OR22" i="14"/>
  <c r="OR20" i="14"/>
  <c r="OR19" i="4"/>
  <c r="OR15" i="4"/>
  <c r="OR19" i="14"/>
  <c r="OR16" i="4"/>
  <c r="NL22" i="14"/>
  <c r="NO22" i="14" s="1"/>
  <c r="DD15" i="4"/>
  <c r="DG15" i="4" s="1"/>
  <c r="OR13" i="4"/>
  <c r="OR14" i="4"/>
  <c r="OR17" i="4"/>
  <c r="MR20" i="12"/>
  <c r="MS17" i="6"/>
  <c r="CD17" i="6"/>
  <c r="L17" i="6" s="1"/>
  <c r="NL12" i="4"/>
  <c r="NO12" i="4" s="1"/>
  <c r="NL15" i="4"/>
  <c r="NO15" i="4" s="1"/>
  <c r="DD26" i="14"/>
  <c r="DG26" i="14" s="1"/>
  <c r="DD22" i="14"/>
  <c r="DG22" i="14" s="1"/>
  <c r="DD10" i="4"/>
  <c r="DG10" i="4" s="1"/>
  <c r="NL10" i="4"/>
  <c r="NO10" i="4" s="1"/>
  <c r="OO10" i="4"/>
  <c r="DD12" i="4"/>
  <c r="DG12" i="4" s="1"/>
  <c r="MR15" i="12"/>
  <c r="LX15" i="12"/>
  <c r="CD15" i="12"/>
  <c r="L15" i="12" s="1"/>
  <c r="MS15" i="12"/>
  <c r="MQ15" i="12"/>
  <c r="MP15" i="12"/>
  <c r="F15" i="12"/>
  <c r="G15" i="12"/>
  <c r="MR23" i="12"/>
  <c r="MS20" i="12"/>
  <c r="LX23" i="12"/>
  <c r="CD23" i="12"/>
  <c r="L23" i="12" s="1"/>
  <c r="MS23" i="12"/>
  <c r="MQ23" i="12"/>
  <c r="MP23" i="12"/>
  <c r="F23" i="12"/>
  <c r="G23" i="12"/>
  <c r="LX20" i="12"/>
  <c r="CD20" i="12"/>
  <c r="L20" i="12" s="1"/>
  <c r="MQ20" i="12"/>
  <c r="MP20" i="12"/>
  <c r="F20" i="12"/>
  <c r="G20" i="12"/>
  <c r="MR4" i="12"/>
  <c r="LX4" i="12"/>
  <c r="MS4" i="12"/>
  <c r="CD4" i="12"/>
  <c r="L4" i="12" s="1"/>
  <c r="MQ4" i="12"/>
  <c r="MP4" i="12"/>
  <c r="F4" i="12"/>
  <c r="G4" i="12"/>
  <c r="CD5" i="12"/>
  <c r="L5" i="12" s="1"/>
  <c r="LX5" i="12"/>
  <c r="MR5" i="12"/>
  <c r="MS5" i="12"/>
  <c r="MQ5" i="12"/>
  <c r="MP5" i="12"/>
  <c r="F5" i="12"/>
  <c r="G5" i="12"/>
  <c r="MR18" i="12"/>
  <c r="MQ18" i="12"/>
  <c r="LX18" i="12"/>
  <c r="MS18" i="12"/>
  <c r="CD18" i="12"/>
  <c r="L18" i="12" s="1"/>
  <c r="MP18" i="12"/>
  <c r="F18" i="12"/>
  <c r="G18" i="12"/>
  <c r="LX17" i="6"/>
  <c r="MQ17" i="6"/>
  <c r="MP17" i="6"/>
  <c r="F17" i="6"/>
  <c r="G17" i="6"/>
  <c r="MR12" i="6"/>
  <c r="MP12" i="6"/>
  <c r="LX12" i="6"/>
  <c r="CD12" i="6"/>
  <c r="L12" i="6" s="1"/>
  <c r="MS12" i="6"/>
  <c r="MQ12" i="6"/>
  <c r="F12" i="6"/>
  <c r="G12" i="6"/>
  <c r="MR11" i="6"/>
  <c r="LX11" i="6"/>
  <c r="CD11" i="6"/>
  <c r="L11" i="6" s="1"/>
  <c r="MQ11" i="6"/>
  <c r="MP11" i="6"/>
  <c r="F11" i="6"/>
  <c r="MS11" i="6"/>
  <c r="G11" i="6"/>
  <c r="MR7" i="7"/>
  <c r="MP7" i="7"/>
  <c r="LX7" i="7"/>
  <c r="CD7" i="7"/>
  <c r="MS7" i="7"/>
  <c r="L7" i="7"/>
  <c r="MQ7" i="7"/>
  <c r="F7" i="7"/>
  <c r="J7" i="7"/>
  <c r="G7" i="7"/>
  <c r="OM22" i="14"/>
  <c r="OK22" i="14"/>
  <c r="OR18" i="14"/>
  <c r="OO22" i="14"/>
  <c r="O22" i="14"/>
  <c r="P22" i="14" s="1"/>
  <c r="G22" i="14"/>
  <c r="F22" i="14" s="1"/>
  <c r="Q22" i="14"/>
  <c r="H22" i="14"/>
  <c r="NL26" i="14"/>
  <c r="NO26" i="14" s="1"/>
  <c r="DD7" i="14"/>
  <c r="DG7" i="14" s="1"/>
  <c r="OO26" i="14"/>
  <c r="OM26" i="14"/>
  <c r="OK26" i="14"/>
  <c r="OR17" i="14"/>
  <c r="O26" i="14"/>
  <c r="P26" i="14" s="1"/>
  <c r="Q26" i="14"/>
  <c r="R26" i="14" s="1"/>
  <c r="G26" i="14"/>
  <c r="F26" i="14" s="1"/>
  <c r="H26" i="14"/>
  <c r="DD15" i="14"/>
  <c r="DG15" i="14" s="1"/>
  <c r="DD14" i="14"/>
  <c r="DG14" i="14" s="1"/>
  <c r="OO7" i="14"/>
  <c r="NL7" i="14"/>
  <c r="NO7" i="14" s="1"/>
  <c r="OM7" i="14"/>
  <c r="OK7" i="14"/>
  <c r="OR16" i="14"/>
  <c r="O7" i="14"/>
  <c r="DI7" i="14" s="1"/>
  <c r="G7" i="14"/>
  <c r="F7" i="14" s="1"/>
  <c r="Q7" i="14"/>
  <c r="H7" i="14"/>
  <c r="NL14" i="14"/>
  <c r="NO14" i="14" s="1"/>
  <c r="OM14" i="14"/>
  <c r="OK14" i="14"/>
  <c r="OR15" i="14"/>
  <c r="OO14" i="14"/>
  <c r="O14" i="14"/>
  <c r="DI14" i="14" s="1"/>
  <c r="G14" i="14"/>
  <c r="F14" i="14" s="1"/>
  <c r="Q14" i="14"/>
  <c r="H14" i="14"/>
  <c r="NL24" i="14"/>
  <c r="NO24" i="14" s="1"/>
  <c r="DD12" i="14"/>
  <c r="DG12" i="14" s="1"/>
  <c r="NL4" i="14"/>
  <c r="NO4" i="14" s="1"/>
  <c r="NL15" i="14"/>
  <c r="NO15" i="14" s="1"/>
  <c r="OM15" i="14"/>
  <c r="OK15" i="14"/>
  <c r="OO15" i="14"/>
  <c r="O15" i="14"/>
  <c r="P15" i="14" s="1"/>
  <c r="G15" i="14"/>
  <c r="F15" i="14" s="1"/>
  <c r="Q15" i="14"/>
  <c r="H15" i="14"/>
  <c r="OR14" i="14"/>
  <c r="NL12" i="14"/>
  <c r="NO12" i="14" s="1"/>
  <c r="DD24" i="14"/>
  <c r="DG24" i="14" s="1"/>
  <c r="OM12" i="14"/>
  <c r="G12" i="14"/>
  <c r="F12" i="14" s="1"/>
  <c r="OK12" i="14"/>
  <c r="OR13" i="14"/>
  <c r="OO12" i="14"/>
  <c r="O12" i="14"/>
  <c r="P12" i="14" s="1"/>
  <c r="Q12" i="14"/>
  <c r="H12" i="14"/>
  <c r="DD4" i="14"/>
  <c r="DG4" i="14" s="1"/>
  <c r="OM24" i="14"/>
  <c r="OK24" i="14"/>
  <c r="OR12" i="14"/>
  <c r="OO24" i="14"/>
  <c r="O24" i="14"/>
  <c r="P24" i="14" s="1"/>
  <c r="G24" i="14"/>
  <c r="Q24" i="14"/>
  <c r="H24" i="14"/>
  <c r="OM4" i="14"/>
  <c r="OK4" i="14"/>
  <c r="OR11" i="14"/>
  <c r="OO4" i="14"/>
  <c r="O4" i="14"/>
  <c r="P4" i="14" s="1"/>
  <c r="Q4" i="14"/>
  <c r="DK4" i="14" s="1"/>
  <c r="H4" i="14"/>
  <c r="G4" i="14"/>
  <c r="OR10" i="14"/>
  <c r="Q9" i="14"/>
  <c r="R9" i="14" s="1"/>
  <c r="Q21" i="14"/>
  <c r="OK15" i="4"/>
  <c r="OM15" i="4"/>
  <c r="Q15" i="4"/>
  <c r="R15" i="4" s="1"/>
  <c r="OR12" i="4"/>
  <c r="O15" i="4"/>
  <c r="P15" i="4" s="1"/>
  <c r="G15" i="4"/>
  <c r="OO15" i="4"/>
  <c r="H15" i="4"/>
  <c r="OM10" i="4"/>
  <c r="OK10" i="4"/>
  <c r="Q10" i="4"/>
  <c r="R10" i="4" s="1"/>
  <c r="O10" i="4"/>
  <c r="P10" i="4" s="1"/>
  <c r="G10" i="4"/>
  <c r="H10" i="4"/>
  <c r="OK12" i="4"/>
  <c r="OO12" i="4"/>
  <c r="OR11" i="4"/>
  <c r="OM12" i="4"/>
  <c r="Q12" i="4"/>
  <c r="R12" i="4" s="1"/>
  <c r="O12" i="4"/>
  <c r="P12" i="4" s="1"/>
  <c r="G12" i="4"/>
  <c r="F12" i="4" s="1"/>
  <c r="H12" i="4"/>
  <c r="Q13" i="14"/>
  <c r="DK13" i="14" s="1"/>
  <c r="Q17" i="14"/>
  <c r="R17" i="14" s="1"/>
  <c r="Q6" i="14"/>
  <c r="DK6" i="14" s="1"/>
  <c r="DD6" i="14"/>
  <c r="DG6" i="14" s="1"/>
  <c r="OM13" i="14"/>
  <c r="NL17" i="14"/>
  <c r="NO17" i="14" s="1"/>
  <c r="DD21" i="14"/>
  <c r="DG21" i="14" s="1"/>
  <c r="NL13" i="14"/>
  <c r="NO13" i="14" s="1"/>
  <c r="NL6" i="14"/>
  <c r="NO6" i="14" s="1"/>
  <c r="DD17" i="14"/>
  <c r="DG17" i="14" s="1"/>
  <c r="OR4" i="14"/>
  <c r="OK17" i="14"/>
  <c r="OK6" i="14"/>
  <c r="OM17" i="14"/>
  <c r="OM6" i="14"/>
  <c r="OO6" i="14"/>
  <c r="O9" i="14"/>
  <c r="DI9" i="14" s="1"/>
  <c r="O6" i="14"/>
  <c r="DI6" i="14" s="1"/>
  <c r="OR7" i="14"/>
  <c r="OM9" i="14"/>
  <c r="OO9" i="14"/>
  <c r="G13" i="14"/>
  <c r="OK13" i="14"/>
  <c r="G17" i="14"/>
  <c r="F17" i="14" s="1"/>
  <c r="OR8" i="14"/>
  <c r="O21" i="14"/>
  <c r="DI21" i="14" s="1"/>
  <c r="OM21" i="14"/>
  <c r="OO17" i="14"/>
  <c r="DD9" i="14"/>
  <c r="DG9" i="14" s="1"/>
  <c r="H13" i="14"/>
  <c r="OO13" i="14"/>
  <c r="G21" i="14"/>
  <c r="F21" i="14" s="1"/>
  <c r="OO21" i="14"/>
  <c r="OR6" i="14"/>
  <c r="OR9" i="14"/>
  <c r="DD13" i="14"/>
  <c r="DG13" i="14" s="1"/>
  <c r="G6" i="14"/>
  <c r="OR5" i="14"/>
  <c r="NL21" i="14"/>
  <c r="NO21" i="14" s="1"/>
  <c r="OK21" i="14"/>
  <c r="G9" i="14"/>
  <c r="NL9" i="14"/>
  <c r="NO9" i="14" s="1"/>
  <c r="OK9" i="14"/>
  <c r="O13" i="14"/>
  <c r="H9" i="14"/>
  <c r="O17" i="14"/>
  <c r="H17" i="14"/>
  <c r="H6" i="14"/>
  <c r="H21" i="14"/>
  <c r="OO17" i="4"/>
  <c r="OO11" i="4"/>
  <c r="OO7" i="4"/>
  <c r="OR10" i="4"/>
  <c r="OR9" i="4"/>
  <c r="OR8" i="4"/>
  <c r="OR7" i="4"/>
  <c r="OR6" i="4"/>
  <c r="OR5" i="4"/>
  <c r="OR4" i="4"/>
  <c r="OO13" i="4"/>
  <c r="OM19" i="4"/>
  <c r="OM17" i="4"/>
  <c r="OM11" i="4"/>
  <c r="OM7" i="4"/>
  <c r="OM9" i="4"/>
  <c r="DD9" i="4"/>
  <c r="OO19" i="4"/>
  <c r="OM13" i="4"/>
  <c r="OO9" i="4"/>
  <c r="DD11" i="4"/>
  <c r="DG11" i="4" s="1"/>
  <c r="DD17" i="4"/>
  <c r="DG17" i="4" s="1"/>
  <c r="DD19" i="4"/>
  <c r="DG19" i="4" s="1"/>
  <c r="DD7" i="4"/>
  <c r="DG7" i="4" s="1"/>
  <c r="DD13" i="4"/>
  <c r="DG13" i="4" s="1"/>
  <c r="LX12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LY12" i="12"/>
  <c r="LY7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LY4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Y7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9" i="4"/>
  <c r="CC12" i="12"/>
  <c r="CA12" i="12"/>
  <c r="J12" i="12" s="1"/>
  <c r="BZ12" i="12"/>
  <c r="CC7" i="12"/>
  <c r="CA7" i="12"/>
  <c r="J7" i="12" s="1"/>
  <c r="BZ7" i="12"/>
  <c r="CC8" i="6"/>
  <c r="CA8" i="6"/>
  <c r="J8" i="6" s="1"/>
  <c r="BZ8" i="6"/>
  <c r="CC6" i="6"/>
  <c r="CA6" i="6"/>
  <c r="J6" i="6" s="1"/>
  <c r="BZ6" i="6"/>
  <c r="CC7" i="6"/>
  <c r="CA7" i="6"/>
  <c r="J7" i="6" s="1"/>
  <c r="BZ7" i="6"/>
  <c r="CC5" i="6"/>
  <c r="CA5" i="6"/>
  <c r="J5" i="6" s="1"/>
  <c r="BZ5" i="6"/>
  <c r="CC4" i="6"/>
  <c r="CA4" i="6"/>
  <c r="J4" i="6" s="1"/>
  <c r="BZ4" i="6"/>
  <c r="CC4" i="8"/>
  <c r="CA4" i="8"/>
  <c r="BZ4" i="8"/>
  <c r="CC9" i="8"/>
  <c r="CA9" i="8"/>
  <c r="BZ9" i="8"/>
  <c r="CC7" i="8"/>
  <c r="CA7" i="8"/>
  <c r="BZ7" i="8"/>
  <c r="CC5" i="7"/>
  <c r="CA5" i="7"/>
  <c r="NQ9" i="4"/>
  <c r="NR9" i="4"/>
  <c r="NS9" i="4"/>
  <c r="NT9" i="4"/>
  <c r="NQ7" i="4"/>
  <c r="NR7" i="4"/>
  <c r="NS7" i="4"/>
  <c r="NQ11" i="4"/>
  <c r="NR11" i="4"/>
  <c r="NS11" i="4"/>
  <c r="NQ17" i="4"/>
  <c r="NR17" i="4"/>
  <c r="NS17" i="4"/>
  <c r="NQ19" i="4"/>
  <c r="NR19" i="4"/>
  <c r="NS19" i="4"/>
  <c r="NQ13" i="4"/>
  <c r="NR13" i="4"/>
  <c r="NS13" i="4"/>
  <c r="NP7" i="4"/>
  <c r="NP11" i="4"/>
  <c r="NP17" i="4"/>
  <c r="NP19" i="4"/>
  <c r="NP13" i="4"/>
  <c r="F10" i="4" l="1"/>
  <c r="M23" i="12"/>
  <c r="CF23" i="12"/>
  <c r="N23" i="12" s="1"/>
  <c r="M20" i="12"/>
  <c r="CF20" i="12"/>
  <c r="N20" i="12" s="1"/>
  <c r="M4" i="12"/>
  <c r="CF4" i="12"/>
  <c r="N4" i="12" s="1"/>
  <c r="K12" i="12"/>
  <c r="CE12" i="12"/>
  <c r="M5" i="12"/>
  <c r="CF5" i="12"/>
  <c r="N5" i="12" s="1"/>
  <c r="M15" i="12"/>
  <c r="CF15" i="12"/>
  <c r="N15" i="12" s="1"/>
  <c r="E15" i="12" s="1"/>
  <c r="M18" i="12"/>
  <c r="CF18" i="12"/>
  <c r="N18" i="12" s="1"/>
  <c r="K7" i="12"/>
  <c r="M17" i="6"/>
  <c r="CF17" i="6"/>
  <c r="K5" i="6"/>
  <c r="M12" i="6"/>
  <c r="CF12" i="6"/>
  <c r="K7" i="6"/>
  <c r="M11" i="6"/>
  <c r="CF11" i="6"/>
  <c r="K6" i="6"/>
  <c r="K4" i="6"/>
  <c r="K8" i="6"/>
  <c r="K26" i="14"/>
  <c r="L26" i="14" s="1"/>
  <c r="M7" i="7"/>
  <c r="K12" i="4"/>
  <c r="K15" i="4"/>
  <c r="MT7" i="7"/>
  <c r="MT20" i="12"/>
  <c r="MT15" i="12"/>
  <c r="MT23" i="12"/>
  <c r="MT12" i="6"/>
  <c r="MT17" i="6"/>
  <c r="CF7" i="7"/>
  <c r="K10" i="4"/>
  <c r="K22" i="14"/>
  <c r="M22" i="14" s="1"/>
  <c r="K7" i="14"/>
  <c r="L7" i="14" s="1"/>
  <c r="OP15" i="14"/>
  <c r="OP15" i="4"/>
  <c r="OS21" i="4" s="1"/>
  <c r="J15" i="4"/>
  <c r="DK10" i="4"/>
  <c r="DK15" i="4"/>
  <c r="A15" i="12"/>
  <c r="H15" i="12"/>
  <c r="I15" i="12" s="1"/>
  <c r="H23" i="12"/>
  <c r="I23" i="12" s="1"/>
  <c r="A23" i="12"/>
  <c r="MT4" i="12"/>
  <c r="H20" i="12"/>
  <c r="I20" i="12" s="1"/>
  <c r="MT5" i="12"/>
  <c r="H4" i="12"/>
  <c r="I4" i="12" s="1"/>
  <c r="H5" i="12"/>
  <c r="I5" i="12" s="1"/>
  <c r="MT18" i="12"/>
  <c r="H18" i="12"/>
  <c r="I18" i="12" s="1"/>
  <c r="A18" i="12"/>
  <c r="H17" i="6"/>
  <c r="I17" i="6" s="1"/>
  <c r="A17" i="6"/>
  <c r="H12" i="6"/>
  <c r="I12" i="6" s="1"/>
  <c r="A12" i="6"/>
  <c r="MT11" i="6"/>
  <c r="H11" i="6"/>
  <c r="I11" i="6" s="1"/>
  <c r="A11" i="6"/>
  <c r="H7" i="7"/>
  <c r="I7" i="7" s="1"/>
  <c r="A7" i="7"/>
  <c r="CE7" i="7"/>
  <c r="K7" i="7"/>
  <c r="OP22" i="14"/>
  <c r="J22" i="14"/>
  <c r="DI22" i="14"/>
  <c r="A22" i="14" a="1"/>
  <c r="A22" i="14" s="1"/>
  <c r="I22" i="14"/>
  <c r="DK22" i="14"/>
  <c r="R22" i="14"/>
  <c r="OP26" i="14"/>
  <c r="DI26" i="14"/>
  <c r="DK26" i="14"/>
  <c r="I26" i="14"/>
  <c r="J26" i="14"/>
  <c r="A26" i="14" a="1"/>
  <c r="A26" i="14" s="1"/>
  <c r="K14" i="14"/>
  <c r="DJ14" i="14" s="1"/>
  <c r="OP13" i="14"/>
  <c r="P21" i="14"/>
  <c r="OP14" i="14"/>
  <c r="OP7" i="14"/>
  <c r="P7" i="14"/>
  <c r="J7" i="14"/>
  <c r="I7" i="14"/>
  <c r="DK7" i="14"/>
  <c r="S7" i="14" s="1"/>
  <c r="R7" i="14"/>
  <c r="K24" i="14"/>
  <c r="L24" i="14" s="1"/>
  <c r="DI15" i="14"/>
  <c r="P14" i="14"/>
  <c r="A14" i="14" a="1"/>
  <c r="A14" i="14" s="1"/>
  <c r="J14" i="14"/>
  <c r="I14" i="14"/>
  <c r="DK14" i="14"/>
  <c r="S14" i="14" s="1"/>
  <c r="R14" i="14"/>
  <c r="K4" i="14"/>
  <c r="DJ4" i="14" s="1"/>
  <c r="K15" i="14"/>
  <c r="DJ15" i="14" s="1"/>
  <c r="A15" i="14" a="1"/>
  <c r="A15" i="14" s="1"/>
  <c r="J15" i="14"/>
  <c r="I15" i="14"/>
  <c r="DK15" i="14"/>
  <c r="R15" i="14"/>
  <c r="J9" i="14"/>
  <c r="K12" i="14"/>
  <c r="DJ12" i="14" s="1"/>
  <c r="J24" i="14"/>
  <c r="J12" i="14"/>
  <c r="A12" i="14" a="1"/>
  <c r="A12" i="14" s="1"/>
  <c r="DI12" i="14"/>
  <c r="OP12" i="14"/>
  <c r="I12" i="14"/>
  <c r="DK12" i="14"/>
  <c r="R12" i="14"/>
  <c r="OP6" i="14"/>
  <c r="P6" i="14"/>
  <c r="P9" i="14"/>
  <c r="DI24" i="14"/>
  <c r="OP24" i="14"/>
  <c r="OS24" i="14" s="1"/>
  <c r="F24" i="14"/>
  <c r="A24" i="14" a="1"/>
  <c r="A24" i="14" s="1"/>
  <c r="I24" i="14"/>
  <c r="DK24" i="14"/>
  <c r="R24" i="14"/>
  <c r="OP4" i="14"/>
  <c r="R4" i="14"/>
  <c r="DI4" i="14"/>
  <c r="S4" i="14" s="1"/>
  <c r="J4" i="14"/>
  <c r="I4" i="14"/>
  <c r="F4" i="14"/>
  <c r="DK17" i="14"/>
  <c r="OP21" i="14"/>
  <c r="DI15" i="4"/>
  <c r="F15" i="4"/>
  <c r="A15" i="4" a="1"/>
  <c r="A15" i="4" s="1"/>
  <c r="I15" i="4"/>
  <c r="OP12" i="4"/>
  <c r="DI10" i="4"/>
  <c r="OP10" i="4"/>
  <c r="J10" i="4"/>
  <c r="A10" i="4" a="1"/>
  <c r="A10" i="4" s="1"/>
  <c r="I10" i="4"/>
  <c r="DK12" i="4"/>
  <c r="DI12" i="4"/>
  <c r="A12" i="4" a="1"/>
  <c r="A12" i="4" s="1"/>
  <c r="J12" i="4"/>
  <c r="I12" i="4"/>
  <c r="K13" i="14"/>
  <c r="DJ13" i="14" s="1"/>
  <c r="K17" i="14"/>
  <c r="M17" i="14" s="1"/>
  <c r="OP17" i="14"/>
  <c r="OS22" i="14" s="1"/>
  <c r="I6" i="14"/>
  <c r="DK9" i="14"/>
  <c r="S9" i="14" s="1"/>
  <c r="U9" i="14" s="1"/>
  <c r="S6" i="14"/>
  <c r="K9" i="14"/>
  <c r="M9" i="14" s="1"/>
  <c r="F13" i="14"/>
  <c r="F9" i="14"/>
  <c r="I13" i="14"/>
  <c r="J13" i="14"/>
  <c r="OP9" i="14"/>
  <c r="J17" i="14"/>
  <c r="F6" i="14"/>
  <c r="R13" i="14"/>
  <c r="R6" i="14"/>
  <c r="J6" i="14"/>
  <c r="K6" i="14"/>
  <c r="M6" i="14" s="1"/>
  <c r="K21" i="14"/>
  <c r="J21" i="14"/>
  <c r="DK21" i="14"/>
  <c r="S21" i="14" s="1"/>
  <c r="R21" i="14"/>
  <c r="I17" i="14"/>
  <c r="DI13" i="14"/>
  <c r="S13" i="14" s="1"/>
  <c r="P13" i="14"/>
  <c r="DI17" i="14"/>
  <c r="P17" i="14"/>
  <c r="I21" i="14"/>
  <c r="I9" i="14"/>
  <c r="OK13" i="4"/>
  <c r="OP13" i="4" s="1"/>
  <c r="MR7" i="12"/>
  <c r="OK19" i="4"/>
  <c r="OP19" i="4" s="1"/>
  <c r="OK11" i="4"/>
  <c r="OP11" i="4" s="1"/>
  <c r="OK9" i="4"/>
  <c r="OP9" i="4" s="1"/>
  <c r="OK7" i="4"/>
  <c r="OP7" i="4" s="1"/>
  <c r="OK17" i="4"/>
  <c r="OP17" i="4" s="1"/>
  <c r="MR4" i="8"/>
  <c r="MR9" i="8"/>
  <c r="MR7" i="8"/>
  <c r="MR5" i="7"/>
  <c r="MP5" i="7"/>
  <c r="MR8" i="6"/>
  <c r="MR6" i="6"/>
  <c r="MR7" i="6"/>
  <c r="MR5" i="6"/>
  <c r="MR4" i="6"/>
  <c r="MQ12" i="12"/>
  <c r="MR12" i="12"/>
  <c r="MP12" i="12"/>
  <c r="MS12" i="12"/>
  <c r="CD12" i="12"/>
  <c r="L12" i="12" s="1"/>
  <c r="CD5" i="6"/>
  <c r="L5" i="6" s="1"/>
  <c r="CD8" i="6"/>
  <c r="L8" i="6" s="1"/>
  <c r="CD7" i="6"/>
  <c r="L7" i="6" s="1"/>
  <c r="CD4" i="6"/>
  <c r="L4" i="6" s="1"/>
  <c r="M4" i="6" s="1"/>
  <c r="CD4" i="8"/>
  <c r="CD7" i="8"/>
  <c r="CD9" i="8"/>
  <c r="CD7" i="12"/>
  <c r="L7" i="12" s="1"/>
  <c r="CD6" i="6"/>
  <c r="L6" i="6" s="1"/>
  <c r="CD5" i="7"/>
  <c r="DF9" i="4"/>
  <c r="DE9" i="4"/>
  <c r="LT9" i="8"/>
  <c r="LU9" i="8"/>
  <c r="LW9" i="8"/>
  <c r="LT4" i="8"/>
  <c r="LU4" i="8"/>
  <c r="LW4" i="8"/>
  <c r="OS25" i="14" l="1"/>
  <c r="OS26" i="14"/>
  <c r="OS19" i="4"/>
  <c r="E4" i="12"/>
  <c r="E5" i="12"/>
  <c r="E18" i="12"/>
  <c r="E23" i="12"/>
  <c r="E20" i="12"/>
  <c r="M15" i="4"/>
  <c r="DH15" i="4" s="1"/>
  <c r="DJ10" i="4"/>
  <c r="M12" i="4"/>
  <c r="DH12" i="4" s="1"/>
  <c r="OS20" i="14"/>
  <c r="OS21" i="14"/>
  <c r="OS18" i="4"/>
  <c r="DJ12" i="4"/>
  <c r="L12" i="4"/>
  <c r="DJ26" i="14"/>
  <c r="M12" i="12"/>
  <c r="CF12" i="12"/>
  <c r="N12" i="12" s="1"/>
  <c r="O18" i="12"/>
  <c r="P18" i="12"/>
  <c r="O15" i="12"/>
  <c r="P15" i="12"/>
  <c r="O4" i="12"/>
  <c r="P4" i="12"/>
  <c r="O20" i="12"/>
  <c r="P20" i="12"/>
  <c r="P23" i="12"/>
  <c r="O23" i="12"/>
  <c r="O5" i="12"/>
  <c r="P5" i="12"/>
  <c r="M7" i="12"/>
  <c r="M8" i="6"/>
  <c r="M5" i="6"/>
  <c r="M6" i="6"/>
  <c r="M7" i="6"/>
  <c r="OS10" i="14"/>
  <c r="OS14" i="14"/>
  <c r="OS14" i="4"/>
  <c r="OS11" i="14"/>
  <c r="M26" i="14"/>
  <c r="DH26" i="14" s="1"/>
  <c r="OS15" i="14"/>
  <c r="OS4" i="14"/>
  <c r="OS15" i="4"/>
  <c r="OS16" i="4"/>
  <c r="L15" i="4"/>
  <c r="DJ7" i="14"/>
  <c r="DJ15" i="4"/>
  <c r="M10" i="4"/>
  <c r="L10" i="4"/>
  <c r="L22" i="14"/>
  <c r="N22" i="14" s="1"/>
  <c r="OS12" i="14"/>
  <c r="OS13" i="14"/>
  <c r="DJ22" i="14"/>
  <c r="S10" i="4"/>
  <c r="U10" i="4" s="1"/>
  <c r="N7" i="7"/>
  <c r="P7" i="7" s="1"/>
  <c r="S15" i="14"/>
  <c r="T15" i="14" s="1"/>
  <c r="OS7" i="14"/>
  <c r="OS17" i="14"/>
  <c r="OS16" i="14"/>
  <c r="OS18" i="14"/>
  <c r="OS19" i="14"/>
  <c r="M7" i="14"/>
  <c r="N7" i="14" s="1"/>
  <c r="OS9" i="14"/>
  <c r="OS13" i="4"/>
  <c r="OS11" i="4"/>
  <c r="OS17" i="4"/>
  <c r="OS12" i="4"/>
  <c r="N11" i="6"/>
  <c r="M14" i="14"/>
  <c r="L14" i="14"/>
  <c r="M12" i="14"/>
  <c r="L12" i="14"/>
  <c r="S24" i="14"/>
  <c r="E24" i="14" s="1"/>
  <c r="M24" i="14"/>
  <c r="DH24" i="14" s="1"/>
  <c r="DJ24" i="14"/>
  <c r="S15" i="4"/>
  <c r="E15" i="4" s="1"/>
  <c r="S12" i="4"/>
  <c r="E12" i="4" s="1"/>
  <c r="S22" i="14"/>
  <c r="T22" i="14" s="1"/>
  <c r="DH22" i="14"/>
  <c r="S17" i="14"/>
  <c r="T17" i="14" s="1"/>
  <c r="S26" i="14"/>
  <c r="E26" i="14" s="1"/>
  <c r="M4" i="14"/>
  <c r="DH4" i="14" s="1"/>
  <c r="L4" i="14"/>
  <c r="DJ6" i="14"/>
  <c r="T7" i="14"/>
  <c r="U7" i="14"/>
  <c r="E7" i="14"/>
  <c r="M15" i="14"/>
  <c r="L15" i="14"/>
  <c r="E14" i="14"/>
  <c r="T14" i="14"/>
  <c r="U14" i="14"/>
  <c r="S12" i="14"/>
  <c r="T12" i="14" s="1"/>
  <c r="L13" i="14"/>
  <c r="M13" i="14"/>
  <c r="DH13" i="14" s="1"/>
  <c r="OS6" i="14"/>
  <c r="OS8" i="14"/>
  <c r="T4" i="14"/>
  <c r="U4" i="14"/>
  <c r="E4" i="14"/>
  <c r="L17" i="14"/>
  <c r="N17" i="14" s="1"/>
  <c r="L6" i="14"/>
  <c r="N6" i="14" s="1"/>
  <c r="DJ17" i="14"/>
  <c r="E6" i="14"/>
  <c r="OS5" i="14"/>
  <c r="OS5" i="4"/>
  <c r="OS4" i="4"/>
  <c r="E21" i="14"/>
  <c r="E13" i="14"/>
  <c r="L9" i="14"/>
  <c r="N9" i="14" s="1"/>
  <c r="DJ9" i="14"/>
  <c r="E9" i="14"/>
  <c r="T9" i="14"/>
  <c r="A21" i="14" a="1"/>
  <c r="A21" i="14" s="1"/>
  <c r="DH6" i="14"/>
  <c r="U21" i="14"/>
  <c r="T21" i="14"/>
  <c r="M21" i="14"/>
  <c r="L21" i="14"/>
  <c r="DJ21" i="14"/>
  <c r="DH17" i="14"/>
  <c r="U13" i="14"/>
  <c r="T13" i="14"/>
  <c r="DH9" i="14"/>
  <c r="OS6" i="4"/>
  <c r="OS7" i="4"/>
  <c r="OS8" i="4"/>
  <c r="OS9" i="4"/>
  <c r="OS10" i="4"/>
  <c r="DG9" i="4"/>
  <c r="MT12" i="12"/>
  <c r="F9" i="8"/>
  <c r="G4" i="8"/>
  <c r="J4" i="8"/>
  <c r="K4" i="8" s="1"/>
  <c r="L4" i="8"/>
  <c r="F4" i="8"/>
  <c r="L9" i="8"/>
  <c r="G9" i="8"/>
  <c r="J9" i="8"/>
  <c r="K9" i="8" s="1"/>
  <c r="LX4" i="8"/>
  <c r="MP4" i="8"/>
  <c r="MP9" i="8"/>
  <c r="LX9" i="8"/>
  <c r="MQ4" i="8"/>
  <c r="MS4" i="8"/>
  <c r="MQ9" i="8"/>
  <c r="MS9" i="8"/>
  <c r="E12" i="12" l="1"/>
  <c r="N15" i="4"/>
  <c r="N12" i="4"/>
  <c r="E10" i="4"/>
  <c r="N26" i="14"/>
  <c r="O12" i="12"/>
  <c r="P12" i="12"/>
  <c r="O11" i="6"/>
  <c r="P11" i="6"/>
  <c r="N17" i="6"/>
  <c r="N10" i="4"/>
  <c r="DH10" i="4"/>
  <c r="N15" i="14"/>
  <c r="N12" i="14"/>
  <c r="DH12" i="14"/>
  <c r="E15" i="14"/>
  <c r="T10" i="4"/>
  <c r="O7" i="7"/>
  <c r="E7" i="7"/>
  <c r="N14" i="14"/>
  <c r="U15" i="14"/>
  <c r="DH14" i="14"/>
  <c r="E17" i="14"/>
  <c r="U17" i="14"/>
  <c r="U24" i="14"/>
  <c r="DH7" i="14"/>
  <c r="N24" i="14"/>
  <c r="T24" i="14"/>
  <c r="N4" i="14"/>
  <c r="DH15" i="14"/>
  <c r="T15" i="4"/>
  <c r="U15" i="4"/>
  <c r="T12" i="4"/>
  <c r="U12" i="4"/>
  <c r="E22" i="14"/>
  <c r="U22" i="14"/>
  <c r="T26" i="14"/>
  <c r="U26" i="14"/>
  <c r="N13" i="14"/>
  <c r="E12" i="14"/>
  <c r="A8" i="14" s="1" a="1"/>
  <c r="A8" i="14" s="1"/>
  <c r="U12" i="14"/>
  <c r="U6" i="14"/>
  <c r="T6" i="14"/>
  <c r="N21" i="14"/>
  <c r="DH21" i="14"/>
  <c r="H9" i="8"/>
  <c r="I9" i="8" s="1"/>
  <c r="H4" i="8"/>
  <c r="I4" i="8" s="1"/>
  <c r="M9" i="8"/>
  <c r="M4" i="8"/>
  <c r="CF9" i="8"/>
  <c r="MT4" i="8"/>
  <c r="CE9" i="8"/>
  <c r="CF4" i="8"/>
  <c r="MT9" i="8"/>
  <c r="CE4" i="8"/>
  <c r="A10" i="14" l="1" a="1"/>
  <c r="A10" i="14" s="1"/>
  <c r="A9" i="14" a="1"/>
  <c r="A9" i="14" s="1"/>
  <c r="O17" i="6"/>
  <c r="P17" i="6"/>
  <c r="N12" i="6"/>
  <c r="E17" i="6"/>
  <c r="A7" i="14" a="1"/>
  <c r="A7" i="14" s="1"/>
  <c r="A6" i="14" a="1"/>
  <c r="A6" i="14" s="1"/>
  <c r="E11" i="6"/>
  <c r="A5" i="14" a="1"/>
  <c r="A5" i="14" s="1"/>
  <c r="A4" i="14" a="1"/>
  <c r="A4" i="14" s="1"/>
  <c r="A13" i="14" a="1"/>
  <c r="A13" i="14" s="1"/>
  <c r="A17" i="14" a="1"/>
  <c r="A17" i="14" s="1"/>
  <c r="N9" i="8"/>
  <c r="E9" i="8" s="1"/>
  <c r="N4" i="8"/>
  <c r="E4" i="8" s="1"/>
  <c r="O12" i="6" l="1"/>
  <c r="P12" i="6"/>
  <c r="E12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9" i="8"/>
  <c r="O9" i="8"/>
  <c r="O4" i="8"/>
  <c r="P4" i="8"/>
  <c r="LT5" i="6" l="1"/>
  <c r="LU5" i="6"/>
  <c r="CE5" i="6" s="1"/>
  <c r="LW5" i="6"/>
  <c r="G5" i="6" l="1"/>
  <c r="F5" i="6"/>
  <c r="LX5" i="6"/>
  <c r="CF5" i="6" s="1"/>
  <c r="H5" i="6" l="1"/>
  <c r="I5" i="6" s="1"/>
  <c r="N5" i="6" l="1"/>
  <c r="O5" i="6" l="1"/>
  <c r="P5" i="6"/>
  <c r="E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9" i="4" l="1"/>
  <c r="K17" i="4"/>
  <c r="K13" i="4" l="1"/>
  <c r="K11" i="4"/>
  <c r="K7" i="4"/>
  <c r="K19" i="4"/>
  <c r="M9" i="4"/>
  <c r="NM13" i="4" l="1"/>
  <c r="NM19" i="4"/>
  <c r="NM11" i="4"/>
  <c r="NM17" i="4"/>
  <c r="NM7" i="4"/>
  <c r="NM9" i="4"/>
  <c r="MP7" i="6" l="1"/>
  <c r="MP5" i="6"/>
  <c r="MP7" i="8"/>
  <c r="MQ7" i="12"/>
  <c r="MS7" i="12"/>
  <c r="MS7" i="6"/>
  <c r="MS5" i="6"/>
  <c r="MP4" i="6"/>
  <c r="MP8" i="6"/>
  <c r="MP6" i="6"/>
  <c r="MS6" i="6"/>
  <c r="MQ6" i="6"/>
  <c r="MQ7" i="6"/>
  <c r="MQ4" i="6"/>
  <c r="MQ5" i="6"/>
  <c r="MS4" i="6"/>
  <c r="MS8" i="6"/>
  <c r="MQ7" i="8"/>
  <c r="MS7" i="8"/>
  <c r="MQ5" i="7"/>
  <c r="MS5" i="7"/>
  <c r="MP7" i="12"/>
  <c r="MQ8" i="6"/>
  <c r="MT5" i="6" l="1"/>
  <c r="MT7" i="12"/>
  <c r="MT7" i="6"/>
  <c r="MT6" i="6"/>
  <c r="MT5" i="7"/>
  <c r="MT7" i="8"/>
  <c r="MT4" i="6"/>
  <c r="MT8" i="6"/>
  <c r="LT7" i="6"/>
  <c r="LT6" i="6"/>
  <c r="LT4" i="6"/>
  <c r="LT8" i="6"/>
  <c r="LT7" i="12" l="1"/>
  <c r="LU7" i="8" l="1"/>
  <c r="G12" i="12"/>
  <c r="LW7" i="12"/>
  <c r="LU7" i="12"/>
  <c r="CE7" i="12" s="1"/>
  <c r="G7" i="8" l="1"/>
  <c r="G7" i="12"/>
  <c r="F7" i="12"/>
  <c r="F12" i="12"/>
  <c r="J7" i="8"/>
  <c r="K7" i="8" s="1"/>
  <c r="LX7" i="12"/>
  <c r="CF7" i="12" s="1"/>
  <c r="N7" i="12" s="1"/>
  <c r="E7" i="12" s="1"/>
  <c r="O7" i="12" l="1"/>
  <c r="P7" i="12"/>
  <c r="H7" i="12"/>
  <c r="I7" i="12" s="1"/>
  <c r="H12" i="12"/>
  <c r="I12" i="12" s="1"/>
  <c r="A20" i="12" l="1"/>
  <c r="A4" i="12"/>
  <c r="A5" i="12"/>
  <c r="A8" i="12"/>
  <c r="A9" i="12"/>
  <c r="A6" i="12"/>
  <c r="A7" i="12"/>
  <c r="A12" i="12"/>
  <c r="LW6" i="6"/>
  <c r="LU6" i="6"/>
  <c r="CE6" i="6" s="1"/>
  <c r="LW7" i="6"/>
  <c r="LU7" i="6"/>
  <c r="CE7" i="6" s="1"/>
  <c r="LW8" i="6"/>
  <c r="LU8" i="6"/>
  <c r="CE8" i="6" s="1"/>
  <c r="LW4" i="6"/>
  <c r="LU4" i="6"/>
  <c r="CE4" i="6" s="1"/>
  <c r="C42" i="11" l="1"/>
  <c r="C49" i="11"/>
  <c r="C43" i="11"/>
  <c r="C44" i="11"/>
  <c r="C45" i="11"/>
  <c r="C46" i="11"/>
  <c r="C47" i="11"/>
  <c r="C48" i="11"/>
  <c r="G8" i="6"/>
  <c r="F8" i="6"/>
  <c r="G7" i="6"/>
  <c r="F7" i="6"/>
  <c r="G4" i="6"/>
  <c r="F4" i="6"/>
  <c r="G6" i="6"/>
  <c r="F6" i="6"/>
  <c r="D43" i="11"/>
  <c r="D48" i="11"/>
  <c r="D49" i="11"/>
  <c r="D42" i="11"/>
  <c r="D44" i="11"/>
  <c r="D45" i="11"/>
  <c r="D46" i="11"/>
  <c r="D47" i="11"/>
  <c r="LX4" i="6"/>
  <c r="CF4" i="6" s="1"/>
  <c r="LX6" i="6"/>
  <c r="CF6" i="6" s="1"/>
  <c r="LX8" i="6"/>
  <c r="CF8" i="6" s="1"/>
  <c r="LX7" i="6"/>
  <c r="CF7" i="6" s="1"/>
  <c r="H8" i="6" l="1"/>
  <c r="I8" i="6" s="1"/>
  <c r="H7" i="6"/>
  <c r="I7" i="6" s="1"/>
  <c r="H6" i="6"/>
  <c r="I6" i="6" s="1"/>
  <c r="H4" i="6"/>
  <c r="I4" i="6" s="1"/>
  <c r="NI9" i="4"/>
  <c r="G9" i="4" s="1"/>
  <c r="F9" i="4" s="1"/>
  <c r="NI7" i="4"/>
  <c r="G7" i="4" s="1"/>
  <c r="F7" i="4" s="1"/>
  <c r="NI19" i="4"/>
  <c r="G19" i="4" s="1"/>
  <c r="F19" i="4" s="1"/>
  <c r="NI17" i="4"/>
  <c r="G17" i="4" s="1"/>
  <c r="NI13" i="4"/>
  <c r="G13" i="4" s="1"/>
  <c r="F13" i="4" s="1"/>
  <c r="NI11" i="4"/>
  <c r="G11" i="4" s="1"/>
  <c r="F11" i="4" s="1"/>
  <c r="F17" i="4" l="1"/>
  <c r="L7" i="8"/>
  <c r="M7" i="8" s="1"/>
  <c r="Q17" i="4" l="1"/>
  <c r="R17" i="4" s="1"/>
  <c r="O17" i="4"/>
  <c r="O13" i="4"/>
  <c r="Q13" i="4"/>
  <c r="R13" i="4" s="1"/>
  <c r="Q11" i="4"/>
  <c r="R11" i="4" s="1"/>
  <c r="O11" i="4"/>
  <c r="Q9" i="4"/>
  <c r="O9" i="4"/>
  <c r="Q7" i="4"/>
  <c r="R7" i="4" s="1"/>
  <c r="O7" i="4"/>
  <c r="O19" i="4"/>
  <c r="Q19" i="4"/>
  <c r="R19" i="4" s="1"/>
  <c r="R9" i="4" l="1"/>
  <c r="P11" i="4"/>
  <c r="P7" i="4"/>
  <c r="P13" i="4"/>
  <c r="P9" i="4"/>
  <c r="P17" i="4"/>
  <c r="P19" i="4"/>
  <c r="CE7" i="8"/>
  <c r="M11" i="4" l="1"/>
  <c r="L11" i="4"/>
  <c r="L17" i="4"/>
  <c r="M17" i="4"/>
  <c r="M19" i="4"/>
  <c r="L19" i="4"/>
  <c r="L9" i="4"/>
  <c r="M7" i="4"/>
  <c r="L7" i="4"/>
  <c r="M13" i="4"/>
  <c r="L13" i="4"/>
  <c r="N17" i="4" l="1"/>
  <c r="N7" i="4"/>
  <c r="N9" i="4"/>
  <c r="N19" i="4"/>
  <c r="N13" i="4"/>
  <c r="N11" i="4"/>
  <c r="N6" i="6" l="1"/>
  <c r="O6" i="6" l="1"/>
  <c r="P6" i="6"/>
  <c r="E6" i="6"/>
  <c r="NJ9" i="4"/>
  <c r="NK9" i="4"/>
  <c r="NN9" i="4"/>
  <c r="DK9" i="4" s="1"/>
  <c r="H9" i="4" l="1"/>
  <c r="DI9" i="4"/>
  <c r="S9" i="4" s="1"/>
  <c r="E9" i="4" s="1"/>
  <c r="DH9" i="4"/>
  <c r="NL9" i="4"/>
  <c r="J9" i="4" s="1"/>
  <c r="I9" i="4" l="1"/>
  <c r="NO9" i="4"/>
  <c r="DJ9" i="4"/>
  <c r="U9" i="4" l="1"/>
  <c r="T9" i="4"/>
  <c r="LW7" i="8" l="1"/>
  <c r="LT7" i="8"/>
  <c r="F7" i="8" l="1"/>
  <c r="CF7" i="8"/>
  <c r="LX7" i="8"/>
  <c r="NN17" i="4"/>
  <c r="NK17" i="4"/>
  <c r="NJ17" i="4"/>
  <c r="NN13" i="4"/>
  <c r="NK13" i="4"/>
  <c r="NJ13" i="4"/>
  <c r="H7" i="8" l="1"/>
  <c r="I7" i="8" s="1"/>
  <c r="H17" i="4"/>
  <c r="DI17" i="4"/>
  <c r="H13" i="4"/>
  <c r="DI13" i="4"/>
  <c r="DH13" i="4"/>
  <c r="DK13" i="4"/>
  <c r="DH17" i="4"/>
  <c r="DK17" i="4"/>
  <c r="NL17" i="4"/>
  <c r="NL13" i="4"/>
  <c r="J13" i="4" s="1"/>
  <c r="S17" i="4" l="1"/>
  <c r="E17" i="4" s="1"/>
  <c r="S13" i="4"/>
  <c r="E13" i="4" s="1"/>
  <c r="I17" i="4"/>
  <c r="J17" i="4"/>
  <c r="I13" i="4"/>
  <c r="NO17" i="4"/>
  <c r="NO13" i="4"/>
  <c r="A4" i="7"/>
  <c r="DJ17" i="4"/>
  <c r="DJ13" i="4"/>
  <c r="N7" i="8" l="1"/>
  <c r="P7" i="8" s="1"/>
  <c r="NJ19" i="4"/>
  <c r="NK19" i="4"/>
  <c r="NN19" i="4"/>
  <c r="NJ7" i="4"/>
  <c r="NK7" i="4"/>
  <c r="NN7" i="4"/>
  <c r="NJ11" i="4"/>
  <c r="NK11" i="4"/>
  <c r="NN11" i="4"/>
  <c r="H7" i="4" l="1"/>
  <c r="DI7" i="4"/>
  <c r="H19" i="4"/>
  <c r="DI19" i="4"/>
  <c r="H11" i="4"/>
  <c r="DI11" i="4"/>
  <c r="U13" i="4"/>
  <c r="O7" i="8"/>
  <c r="DK7" i="4"/>
  <c r="DH7" i="4"/>
  <c r="DH19" i="4"/>
  <c r="DK11" i="4"/>
  <c r="DH11" i="4"/>
  <c r="DK19" i="4"/>
  <c r="T13" i="4"/>
  <c r="E7" i="8"/>
  <c r="A5" i="8" s="1"/>
  <c r="NL7" i="4"/>
  <c r="NL11" i="4"/>
  <c r="NL19" i="4"/>
  <c r="S7" i="4" l="1"/>
  <c r="E7" i="4" s="1"/>
  <c r="S19" i="4"/>
  <c r="E19" i="4" s="1"/>
  <c r="S11" i="4"/>
  <c r="E11" i="4" s="1"/>
  <c r="U17" i="4"/>
  <c r="I11" i="4"/>
  <c r="J11" i="4"/>
  <c r="I7" i="4"/>
  <c r="J7" i="4"/>
  <c r="I19" i="4"/>
  <c r="J19" i="4"/>
  <c r="NO11" i="4"/>
  <c r="NO19" i="4"/>
  <c r="NO7" i="4"/>
  <c r="N7" i="6"/>
  <c r="N8" i="6"/>
  <c r="DJ7" i="4"/>
  <c r="DJ19" i="4"/>
  <c r="DJ11" i="4"/>
  <c r="T17" i="4"/>
  <c r="O7" i="6" l="1"/>
  <c r="P7" i="6"/>
  <c r="O8" i="6"/>
  <c r="P8" i="6"/>
  <c r="N4" i="6"/>
  <c r="P4" i="6" l="1"/>
  <c r="O4" i="6"/>
  <c r="E4" i="6"/>
  <c r="E8" i="6"/>
  <c r="E7" i="6"/>
  <c r="A21" i="6" l="1"/>
  <c r="U11" i="4"/>
  <c r="U7" i="4"/>
  <c r="T7" i="4"/>
  <c r="T11" i="4"/>
  <c r="A5" i="6"/>
  <c r="A8" i="4" l="1" a="1"/>
  <c r="A8" i="4" s="1"/>
  <c r="A14" i="6"/>
  <c r="U19" i="4"/>
  <c r="A4" i="8"/>
  <c r="A9" i="8"/>
  <c r="A7" i="6"/>
  <c r="A4" i="6"/>
  <c r="A8" i="6"/>
  <c r="A6" i="6"/>
  <c r="A5" i="7"/>
  <c r="T19" i="4"/>
  <c r="A7" i="4" a="1"/>
  <c r="A7" i="4" s="1"/>
  <c r="A4" i="4" l="1" a="1"/>
  <c r="A4" i="4" s="1"/>
  <c r="A5" i="4" a="1"/>
  <c r="A5" i="4" s="1"/>
  <c r="A6" i="4" a="1"/>
  <c r="A6" i="4" s="1"/>
  <c r="A19" i="4" a="1"/>
  <c r="A19" i="4" s="1"/>
  <c r="A9" i="4" a="1"/>
  <c r="A9" i="4" s="1"/>
  <c r="A11" i="4" a="1"/>
  <c r="A11" i="4" s="1"/>
  <c r="C34" i="11"/>
  <c r="C35" i="11"/>
  <c r="C36" i="11"/>
  <c r="C37" i="11"/>
  <c r="C38" i="11"/>
  <c r="C39" i="11"/>
  <c r="C40" i="11"/>
  <c r="C41" i="11"/>
  <c r="A13" i="4" a="1"/>
  <c r="A13" i="4" s="1"/>
  <c r="A17" i="4" a="1"/>
  <c r="A17" i="4" s="1"/>
  <c r="D35" i="11"/>
  <c r="D36" i="11"/>
  <c r="D37" i="11"/>
  <c r="D41" i="11"/>
  <c r="D34" i="11"/>
  <c r="D38" i="11"/>
  <c r="D39" i="11"/>
  <c r="D40" i="11"/>
  <c r="A7" i="8"/>
  <c r="C18" i="1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<sst xmlns="http://schemas.openxmlformats.org/spreadsheetml/2006/main" count="3020" uniqueCount="160">
  <si>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</si>
  <si>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</si>
  <si>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</si>
  <si>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</si>
  <si>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</si>
  <si>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</si>
  <si>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</si>
  <si>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</si>
  <si>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</si>
  <si>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</si>
  <si>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</si>
  <si>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</si>
  <si>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</si>
  <si>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</si>
  <si>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</si>
  <si>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</si>
  <si>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</si>
  <si>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</si>
  <si>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</si>
  <si>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</si>
  <si>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</si>
  <si>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</si>
  <si>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</si>
  <si>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</si>
  <si>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</si>
  <si>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</si>
  <si>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</si>
  <si>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</si>
  <si>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</si>
  <si>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</si>
  <si>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</si>
  <si>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</si>
  <si>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</si>
  <si>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</si>
  <si>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</si>
  <si>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</si>
  <si>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</si>
  <si>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</si>
  <si>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</si>
  <si>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</si>
  <si>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</si>
  <si>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</si>
  <si>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</si>
  <si>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</si>
  <si>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</si>
  <si>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</si>
  <si>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</si>
  <si>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</si>
  <si>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</si>
  <si>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</si>
  <si>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</si>
  <si>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</si>
  <si>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</si>
  <si>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</si>
  <si>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</si>
  <si>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</si>
  <si>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</si>
  <si>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</si>
  <si>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</si>
  <si>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</si>
  <si>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</si>
  <si>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</si>
  <si>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</si>
  <si>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</si>
  <si>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</si>
  <si>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</si>
  <si>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</si>
  <si>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</si>
  <si>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</si>
  <si>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</si>
  <si>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</si>
  <si>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</si>
  <si>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</si>
  <si>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</si>
  <si>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</si>
  <si>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</si>
  <si>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</si>
  <si>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</si>
  <si>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</si>
  <si>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</si>
  <si>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</si>
  <si>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</si>
  <si>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</si>
  <si>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</si>
  <si>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SPENCE, Abby</t>
  </si>
  <si>
    <t>ZUREK, Nolan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</si>
  <si>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</si>
  <si>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</si>
  <si>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</si>
  <si>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</si>
  <si>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</si>
  <si>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</si>
  <si>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</si>
  <si>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</si>
  <si>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</si>
  <si>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</si>
  <si>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</si>
  <si>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</si>
  <si>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</si>
  <si>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</si>
  <si>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</si>
  <si>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</si>
  <si>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</si>
  <si>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</si>
  <si>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</si>
  <si>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</si>
  <si>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</si>
  <si>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</si>
  <si>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</si>
  <si>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</si>
  <si>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</si>
  <si>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</si>
  <si>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AUBIN, Rémi</t>
  </si>
  <si>
    <t>NB</t>
  </si>
  <si>
    <t>RICHARD, Dexter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</si>
  <si>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</si>
  <si>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</si>
  <si>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</si>
  <si>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</si>
  <si>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</si>
  <si>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</si>
  <si>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</si>
  <si>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</si>
  <si>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</si>
  <si>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</si>
  <si>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</si>
  <si>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</si>
  <si>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</si>
  <si>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</si>
  <si>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</si>
  <si>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</si>
  <si>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</si>
  <si>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</si>
  <si>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</si>
  <si>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</si>
  <si>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</si>
  <si>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</si>
  <si>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</si>
  <si>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</si>
  <si>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</si>
  <si>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ANAKA, Ashley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</si>
  <si>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</si>
  <si>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</si>
  <si>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</si>
  <si>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</si>
  <si>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</si>
  <si>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</si>
  <si>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</si>
  <si>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</si>
  <si>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MANCINI, Michael</t>
  </si>
  <si>
    <t>PROULX, Kegan</t>
  </si>
  <si>
    <t>PEPPER, Kate</t>
  </si>
  <si>
    <t>NOGA-BARD, Kasha</t>
  </si>
  <si>
    <t>2021 Canadian Championships</t>
  </si>
  <si>
    <t>DAWSON, David</t>
  </si>
  <si>
    <t>BONNE, Rielle</t>
  </si>
  <si>
    <t>LEBLANC, Cedryk</t>
  </si>
  <si>
    <t>BOWDITCH, Courtney</t>
  </si>
  <si>
    <t>KOCI, Makayla</t>
  </si>
  <si>
    <t>Canadian Championships - After Appeals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</si>
</sst>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3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RICHARD, Dexter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DODD, Gavin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MCLEAN, Declan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LOVE, Ethan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EVSTIGNEEV, Gleb</v>
      </c>
      <c r="D8" s="112" t="str">
        <f>IF(B8&gt;MAX('TRA-M'!A:A),"",INDEX('TRA-M'!I:I,MATCH(B8,'TRA-M'!A:A,0)))</f>
        <v>No DD</v>
      </c>
      <c r="G8" s="46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2" t="str">
        <f>IF(B9&gt;MAX('TRA-M'!A:A),"",INDEX('TRA-M'!I:I,MATCH(B9,'TRA-M'!A:A,0)))</f>
        <v/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FLYNN, Gabby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BONHAM, Maja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ANDERSON, Julie</v>
      </c>
      <c r="D13" s="119" t="str">
        <f>IF(B5&gt;MAX('TRA-W'!A:A),"",INDEX('TRA-W'!I:I,MATCH(B5,'TRA-W'!A:A,0)))</f>
        <v>No DD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NOGA-BARD, Kasha</v>
      </c>
      <c r="D14" s="119" t="str">
        <f>IF(B6&gt;MAX('TRA-W'!A:A),"",INDEX('TRA-W'!I:I,MATCH(B6,'TRA-W'!A:A,0)))</f>
        <v>No DD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ANAKA, Ashley</v>
      </c>
      <c r="D15" s="119" t="str">
        <f>IF(B7&gt;MAX('TRA-W'!A:A),"",INDEX('TRA-W'!I:I,MATCH(B7,'TRA-W'!A:A,0)))</f>
        <v>No DD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LEBEL, Meggy</v>
      </c>
      <c r="D16" s="119" t="str">
        <f>IF(B8&gt;MAX('TRA-W'!A:A),"",INDEX('TRA-W'!I:I,MATCH(B8,'TRA-W'!A:A,0)))</f>
        <v>No DD</v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SININIUC, Alexandra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DONG, Helen</v>
      </c>
      <c r="D27" s="113" t="str">
        <f>IF(B3&gt;MAX('TUM-W'!A:A),"",INDEX('TUM-W'!H:H,MATCH(B3,'TUM-W'!A:A,0)))</f>
        <v>National Team</v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3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DODD, Gavin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PEDERSEN, Mitchel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ZUREK, Nolan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DYKMAN, Matthew</v>
      </c>
      <c r="D38" s="112" t="str">
        <f>IF(B6&gt;MAX('DMT-M'!A:A),"",INDEX('DMT-M'!H:H,MATCH(B6,'DMT-M'!A:A,0)))</f>
        <v>National Team</v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2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2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2" t="str">
        <f>IF(B9&gt;MAX('DMT-M'!A:A),"",INDEX('DMT-M'!H:H,MATCH(B9,'DMT-M'!A:A,0)))</f>
        <v/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METHERAL, Hannah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FLYNN, Gabby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PHANEUF, Zoe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KYFIUK, MacKenzie</v>
      </c>
      <c r="D46" s="113" t="str">
        <f>IF(B6&gt;MAX('DMT-W'!A:A),"",INDEX('DMT-W'!H:H,MATCH(B6,'DMT-W'!A:A,0)))</f>
        <v>National Team</v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3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3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66</v>
      </c>
      <c r="D57" s="45"/>
    </row>
    <row r="58" spans="1:5" x14ac:dyDescent="0.2">
      <c r="A58" t="s">
        <v>41</v>
      </c>
      <c r="B58" s="121">
        <v>44497</v>
      </c>
      <c r="C58" s="121"/>
    </row>
    <row r="59" spans="1:5" x14ac:dyDescent="0.2">
      <c r="B59" s="99" t="s">
        <v>159</v>
      </c>
    </row>
    <row r="60" spans="1:5" x14ac:dyDescent="0.2">
      <c r="B60" s="99"/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27" t="s">
        <v>76</v>
      </c>
      <c r="G1" s="127" t="s">
        <v>74</v>
      </c>
      <c r="H1" s="127" t="s">
        <v>75</v>
      </c>
      <c r="I1" s="127" t="s">
        <v>9</v>
      </c>
      <c r="J1" s="127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30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5" t="s">
        <v>133</v>
      </c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6" t="s">
        <v>13</v>
      </c>
      <c r="DI1" s="126"/>
      <c r="DJ1" s="126"/>
      <c r="DK1" s="126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5"/>
      <c r="JK1" s="125"/>
      <c r="JL1" s="125"/>
      <c r="JM1" s="125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8"/>
      <c r="L2" s="128"/>
      <c r="M2" s="128"/>
      <c r="N2" s="128"/>
      <c r="O2" s="129"/>
      <c r="P2" s="128"/>
      <c r="Q2" s="129"/>
      <c r="R2" s="128"/>
      <c r="S2" s="130"/>
      <c r="T2" s="128"/>
      <c r="U2" s="128"/>
      <c r="V2" s="123" t="s">
        <v>18</v>
      </c>
      <c r="W2" s="123"/>
      <c r="X2" s="123"/>
      <c r="Y2" s="123"/>
      <c r="Z2" s="123"/>
      <c r="AA2" s="123" t="s">
        <v>19</v>
      </c>
      <c r="AB2" s="123"/>
      <c r="AC2" s="123"/>
      <c r="AD2" s="123"/>
      <c r="AE2" s="123"/>
      <c r="AF2" s="123" t="s">
        <v>70</v>
      </c>
      <c r="AG2" s="123"/>
      <c r="AH2" s="123"/>
      <c r="AI2" s="123"/>
      <c r="AJ2" s="123"/>
      <c r="AK2" s="123" t="s">
        <v>22</v>
      </c>
      <c r="AL2" s="123"/>
      <c r="AM2" s="123"/>
      <c r="AN2" s="123"/>
      <c r="AO2" s="123"/>
      <c r="AP2" s="69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2" t="s">
        <v>18</v>
      </c>
      <c r="BA2" s="122"/>
      <c r="BB2" s="122"/>
      <c r="BC2" s="122"/>
      <c r="BD2" s="122"/>
      <c r="BE2" s="122" t="s">
        <v>19</v>
      </c>
      <c r="BF2" s="122"/>
      <c r="BG2" s="122"/>
      <c r="BH2" s="122"/>
      <c r="BI2" s="122"/>
      <c r="BJ2" s="122" t="s">
        <v>70</v>
      </c>
      <c r="BK2" s="122"/>
      <c r="BL2" s="122"/>
      <c r="BM2" s="122"/>
      <c r="BN2" s="122"/>
      <c r="BO2" s="122" t="s">
        <v>22</v>
      </c>
      <c r="BP2" s="122"/>
      <c r="BQ2" s="122"/>
      <c r="BR2" s="122"/>
      <c r="BS2" s="122"/>
      <c r="BT2" s="68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3" t="s">
        <v>18</v>
      </c>
      <c r="CE2" s="123"/>
      <c r="CF2" s="123"/>
      <c r="CG2" s="123"/>
      <c r="CH2" s="123"/>
      <c r="CI2" s="123" t="s">
        <v>19</v>
      </c>
      <c r="CJ2" s="123"/>
      <c r="CK2" s="123"/>
      <c r="CL2" s="123"/>
      <c r="CM2" s="123"/>
      <c r="CN2" s="123" t="s">
        <v>70</v>
      </c>
      <c r="CO2" s="123"/>
      <c r="CP2" s="123"/>
      <c r="CQ2" s="123"/>
      <c r="CR2" s="123"/>
      <c r="CS2" s="123" t="s">
        <v>22</v>
      </c>
      <c r="CT2" s="123"/>
      <c r="CU2" s="123"/>
      <c r="CV2" s="123"/>
      <c r="CW2" s="123"/>
      <c r="CX2" s="101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3" t="s">
        <v>18</v>
      </c>
      <c r="DM2" s="123"/>
      <c r="DN2" s="123"/>
      <c r="DO2" s="123"/>
      <c r="DP2" s="123"/>
      <c r="DQ2" s="123" t="s">
        <v>19</v>
      </c>
      <c r="DR2" s="123"/>
      <c r="DS2" s="123"/>
      <c r="DT2" s="123"/>
      <c r="DU2" s="123"/>
      <c r="DV2" s="123" t="s">
        <v>22</v>
      </c>
      <c r="DW2" s="123"/>
      <c r="DX2" s="123"/>
      <c r="DY2" s="123"/>
      <c r="DZ2" s="123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2" t="s">
        <v>18</v>
      </c>
      <c r="EI2" s="122"/>
      <c r="EJ2" s="122"/>
      <c r="EK2" s="122"/>
      <c r="EL2" s="122"/>
      <c r="EM2" s="122" t="s">
        <v>19</v>
      </c>
      <c r="EN2" s="122"/>
      <c r="EO2" s="122"/>
      <c r="EP2" s="122"/>
      <c r="EQ2" s="122"/>
      <c r="ER2" s="122" t="s">
        <v>22</v>
      </c>
      <c r="ES2" s="122"/>
      <c r="ET2" s="122"/>
      <c r="EU2" s="122"/>
      <c r="EV2" s="122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3" t="s">
        <v>18</v>
      </c>
      <c r="FE2" s="123"/>
      <c r="FF2" s="123"/>
      <c r="FG2" s="123"/>
      <c r="FH2" s="123"/>
      <c r="FI2" s="123" t="s">
        <v>19</v>
      </c>
      <c r="FJ2" s="123"/>
      <c r="FK2" s="123"/>
      <c r="FL2" s="123"/>
      <c r="FM2" s="123"/>
      <c r="FN2" s="123" t="s">
        <v>22</v>
      </c>
      <c r="FO2" s="123"/>
      <c r="FP2" s="123"/>
      <c r="FQ2" s="123"/>
      <c r="FR2" s="123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2" t="s">
        <v>18</v>
      </c>
      <c r="GA2" s="122"/>
      <c r="GB2" s="122"/>
      <c r="GC2" s="122"/>
      <c r="GD2" s="122"/>
      <c r="GE2" s="122" t="s">
        <v>19</v>
      </c>
      <c r="GF2" s="122"/>
      <c r="GG2" s="122"/>
      <c r="GH2" s="122"/>
      <c r="GI2" s="122"/>
      <c r="GJ2" s="122" t="s">
        <v>22</v>
      </c>
      <c r="GK2" s="122"/>
      <c r="GL2" s="122"/>
      <c r="GM2" s="122"/>
      <c r="GN2" s="122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3" t="s">
        <v>18</v>
      </c>
      <c r="GW2" s="123"/>
      <c r="GX2" s="123"/>
      <c r="GY2" s="123"/>
      <c r="GZ2" s="123"/>
      <c r="HA2" s="123" t="s">
        <v>19</v>
      </c>
      <c r="HB2" s="123"/>
      <c r="HC2" s="123"/>
      <c r="HD2" s="123"/>
      <c r="HE2" s="123"/>
      <c r="HF2" s="123" t="s">
        <v>22</v>
      </c>
      <c r="HG2" s="123"/>
      <c r="HH2" s="123"/>
      <c r="HI2" s="123"/>
      <c r="HJ2" s="123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2" t="s">
        <v>18</v>
      </c>
      <c r="HS2" s="122"/>
      <c r="HT2" s="122"/>
      <c r="HU2" s="122"/>
      <c r="HV2" s="122"/>
      <c r="HW2" s="122" t="s">
        <v>19</v>
      </c>
      <c r="HX2" s="122"/>
      <c r="HY2" s="122"/>
      <c r="HZ2" s="122"/>
      <c r="IA2" s="122"/>
      <c r="IB2" s="122" t="s">
        <v>22</v>
      </c>
      <c r="IC2" s="122"/>
      <c r="ID2" s="122"/>
      <c r="IE2" s="122"/>
      <c r="IF2" s="122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3" t="s">
        <v>18</v>
      </c>
      <c r="IO2" s="123"/>
      <c r="IP2" s="123"/>
      <c r="IQ2" s="123"/>
      <c r="IR2" s="123"/>
      <c r="IS2" s="123" t="s">
        <v>19</v>
      </c>
      <c r="IT2" s="123"/>
      <c r="IU2" s="123"/>
      <c r="IV2" s="123"/>
      <c r="IW2" s="123"/>
      <c r="IX2" s="123" t="s">
        <v>22</v>
      </c>
      <c r="IY2" s="123"/>
      <c r="IZ2" s="123"/>
      <c r="JA2" s="123"/>
      <c r="JB2" s="123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2" t="s">
        <v>18</v>
      </c>
      <c r="JK2" s="122"/>
      <c r="JL2" s="122"/>
      <c r="JM2" s="122"/>
      <c r="JN2" s="122"/>
      <c r="JO2" s="122" t="s">
        <v>19</v>
      </c>
      <c r="JP2" s="122"/>
      <c r="JQ2" s="122"/>
      <c r="JR2" s="122"/>
      <c r="JS2" s="122"/>
      <c r="JT2" s="122" t="s">
        <v>22</v>
      </c>
      <c r="JU2" s="122"/>
      <c r="JV2" s="122"/>
      <c r="JW2" s="122"/>
      <c r="JX2" s="122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3" t="s">
        <v>18</v>
      </c>
      <c r="KG2" s="123"/>
      <c r="KH2" s="123"/>
      <c r="KI2" s="123"/>
      <c r="KJ2" s="123"/>
      <c r="KK2" s="123" t="s">
        <v>19</v>
      </c>
      <c r="KL2" s="123"/>
      <c r="KM2" s="123"/>
      <c r="KN2" s="123"/>
      <c r="KO2" s="123"/>
      <c r="KP2" s="123" t="s">
        <v>22</v>
      </c>
      <c r="KQ2" s="123"/>
      <c r="KR2" s="123"/>
      <c r="KS2" s="123"/>
      <c r="KT2" s="123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2" t="s">
        <v>18</v>
      </c>
      <c r="LC2" s="122"/>
      <c r="LD2" s="122"/>
      <c r="LE2" s="122"/>
      <c r="LF2" s="122"/>
      <c r="LG2" s="122" t="s">
        <v>19</v>
      </c>
      <c r="LH2" s="122"/>
      <c r="LI2" s="122"/>
      <c r="LJ2" s="122"/>
      <c r="LK2" s="122"/>
      <c r="LL2" s="122" t="s">
        <v>22</v>
      </c>
      <c r="LM2" s="122"/>
      <c r="LN2" s="122"/>
      <c r="LO2" s="122"/>
      <c r="LP2" s="122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3" t="s">
        <v>18</v>
      </c>
      <c r="LY2" s="123"/>
      <c r="LZ2" s="123"/>
      <c r="MA2" s="123"/>
      <c r="MB2" s="123"/>
      <c r="MC2" s="123" t="s">
        <v>19</v>
      </c>
      <c r="MD2" s="123"/>
      <c r="ME2" s="123"/>
      <c r="MF2" s="123"/>
      <c r="MG2" s="123"/>
      <c r="MH2" s="123" t="s">
        <v>22</v>
      </c>
      <c r="MI2" s="123"/>
      <c r="MJ2" s="123"/>
      <c r="MK2" s="123"/>
      <c r="ML2" s="123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2" t="s">
        <v>18</v>
      </c>
      <c r="MU2" s="122"/>
      <c r="MV2" s="122"/>
      <c r="MW2" s="122"/>
      <c r="MX2" s="122"/>
      <c r="MY2" s="122" t="s">
        <v>19</v>
      </c>
      <c r="MZ2" s="122"/>
      <c r="NA2" s="122"/>
      <c r="NB2" s="122"/>
      <c r="NC2" s="122"/>
      <c r="ND2" s="122" t="s">
        <v>22</v>
      </c>
      <c r="NE2" s="122"/>
      <c r="NF2" s="122"/>
      <c r="NG2" s="122"/>
      <c r="NH2" s="122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3" t="s">
        <v>18</v>
      </c>
      <c r="NQ2" s="123"/>
      <c r="NR2" s="123"/>
      <c r="NS2" s="123"/>
      <c r="NT2" s="123"/>
      <c r="NU2" s="123" t="s">
        <v>19</v>
      </c>
      <c r="NV2" s="123"/>
      <c r="NW2" s="123"/>
      <c r="NX2" s="123"/>
      <c r="NY2" s="123"/>
      <c r="NZ2" s="123" t="s">
        <v>70</v>
      </c>
      <c r="OA2" s="123"/>
      <c r="OB2" s="123"/>
      <c r="OC2" s="123"/>
      <c r="OD2" s="123"/>
      <c r="OE2" s="123" t="s">
        <v>22</v>
      </c>
      <c r="OF2" s="123"/>
      <c r="OG2" s="123"/>
      <c r="OH2" s="123"/>
      <c r="OI2" s="123"/>
      <c r="OJ2" s="94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8"/>
      <c r="L3" s="128"/>
      <c r="M3" s="128"/>
      <c r="N3" s="128"/>
      <c r="O3" s="129"/>
      <c r="P3" s="128"/>
      <c r="Q3" s="129"/>
      <c r="R3" s="128"/>
      <c r="S3" s="130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112</v>
      </c>
      <c r="C4" s="7" t="s">
        <v>6</v>
      </c>
      <c r="D4" s="26">
        <v>2001</v>
      </c>
      <c r="E4" s="15">
        <f t="shared" ref="E4:E21" si="0">SUM(O4:S4)+K4/1000000</f>
        <v>117.48510922500002</v>
      </c>
      <c r="F4" s="3" t="str">
        <f t="shared" ref="F4:F21" si="1">IF(G4&lt;&gt;"","P","")</f>
        <v>P</v>
      </c>
      <c r="G4" s="115" t="str">
        <f t="shared" ref="G4:G21" si="2"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 t="shared" ref="H4:H21" si="3"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 t="shared" ref="I4:I21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1" si="5"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 t="shared" ref="K4:K21" si="6">IF(MAX(AV4,BZ4,DD4)&gt;0,MAX(AV4,BZ4,DD4),0)</f>
        <v>109.22499999999999</v>
      </c>
      <c r="L4" s="14" t="str">
        <f t="shared" ref="L4:L21" si="7">IF(K4=0,"",IF(K4=DD4,$CD$1,IF(K4=BZ4,$AZ$1,IF(K4=AV4,$V$1,""))))</f>
        <v>2021 Canadian Championships</v>
      </c>
      <c r="M4" s="14">
        <f t="shared" ref="M4:M21" si="8">IF($K4=$AV4,MAX(BU4,CY4),IF($K4=$BZ4,MAX(AQ4,CY4),IF($K4=$DD4,MAX(AQ4,BU4),MAX(AQ4,BU4,CY4))))</f>
        <v>48.36</v>
      </c>
      <c r="N4" s="14" t="str">
        <f t="shared" ref="N4:N21" si="9">IF(M4=0,"",IF(AND(M4=CY4,$L4&lt;&gt;$CD$1),$CD$1,IF(AND(M4=BU4,$L4&lt;&gt;$AZ$1),$AZ$1,IF(AND(M4=AQ4,$L4&lt;&gt;$V$1),$V$1,""))))</f>
        <v>2021 2nd Virtual Technical Trial</v>
      </c>
      <c r="O4" s="14">
        <f t="shared" ref="O4:O21" si="10">MAX(AS4,AU4,AX4,BW4,BY4,CB4,DA4,DC4,DF4)</f>
        <v>58.885000000000005</v>
      </c>
      <c r="P4" s="14" t="str">
        <f t="shared" ref="P4:P21" si="11">IF(O4=0,"",IF(OR(O4=DC4,O4=DA4,O4=DF4),$CD$1,IF(OR(O4=BY4,O4=BW4,O4=CB4),$AZ$1,IF(OR(O4=AU4,O4=AS4,O4=AX4),$V$1,""))))</f>
        <v>2021 Canadian Championships</v>
      </c>
      <c r="Q4" s="14">
        <f>IF(COUNT(AS4,AU4,AX4,BW4,BY4,CB4,DA4,DC4,DF4)&gt;1,LARGE((AS4,AU4,AX4,BW4,BY4,CB4,DA4,DC4,DF4),2),0)</f>
        <v>58.6</v>
      </c>
      <c r="R4" s="14" t="str">
        <f t="shared" ref="R4:R21" si="12">IF(Q4=0,"",IF(OR(Q4=DC4,Q4=DA4,Q4=DF4),$CD$1,IF(OR(Q4=BY4,Q4=BW4,Q4=CB4),$AZ$1,IF(OR(Q4=AU4,Q4=AS4,Q4=AX4),$V$1,""))))</f>
        <v>2021 Elite Canada</v>
      </c>
      <c r="S4" s="14" t="str">
        <f t="shared" ref="S4:S21" si="13">IF(MAX(DI4,DK4)&gt;0,MAX(DI4,DK4),"")</f>
        <v/>
      </c>
      <c r="T4" s="24" t="str">
        <f t="shared" ref="T4:T21" si="14">IF(S4="","",IF(S4=DH4,"(Vol 1)",IF(S4=DI4,"(Vol 2)",IF(S4=DJ4,"(Prelim)",IF(S4=DK4,"(Final)")))))</f>
        <v/>
      </c>
      <c r="U4" s="14" t="str">
        <f t="shared" ref="U4:U21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17.7</v>
      </c>
      <c r="W4" s="61">
        <v>8.9</v>
      </c>
      <c r="X4" s="61">
        <v>4.4000000000000004</v>
      </c>
      <c r="Y4" s="61">
        <v>17.36</v>
      </c>
      <c r="Z4" s="61">
        <v>0</v>
      </c>
      <c r="AA4" s="61">
        <v>15.5</v>
      </c>
      <c r="AB4" s="61">
        <v>8.5</v>
      </c>
      <c r="AC4" s="61">
        <v>14.8</v>
      </c>
      <c r="AD4" s="61">
        <v>17.079999999999998</v>
      </c>
      <c r="AE4" s="61">
        <v>0</v>
      </c>
      <c r="AF4" s="61">
        <v>15.7</v>
      </c>
      <c r="AG4" s="61">
        <v>9.4</v>
      </c>
      <c r="AH4" s="61">
        <v>15</v>
      </c>
      <c r="AI4" s="61">
        <v>17.11</v>
      </c>
      <c r="AJ4" s="61">
        <v>0</v>
      </c>
      <c r="AK4" s="61">
        <v>16.2</v>
      </c>
      <c r="AL4" s="61">
        <v>9.4</v>
      </c>
      <c r="AM4" s="61">
        <v>14.6</v>
      </c>
      <c r="AN4" s="61">
        <v>17.38</v>
      </c>
      <c r="AO4" s="61">
        <v>0</v>
      </c>
      <c r="AP4" s="72"/>
      <c r="AQ4" s="11">
        <f t="shared" ref="AQ4:AQ21" si="16">IF(SUM(V4:Y4)-Z4&gt;0,SUM(V4:Y4)-Z4,"")</f>
        <v>48.36</v>
      </c>
      <c r="AR4" s="11">
        <f t="shared" ref="AR4:AR21" si="17">IF(AC4&gt;0,AC4,"")</f>
        <v>14.8</v>
      </c>
      <c r="AS4" s="11">
        <f t="shared" ref="AS4:AS21" si="18">IF(SUM(AA4:AD4)-AE4&gt;0,SUM(AA4:AD4)-AE4,"")</f>
        <v>55.879999999999995</v>
      </c>
      <c r="AT4" s="11">
        <f t="shared" ref="AT4:AT21" si="19">IF(AH4&gt;0,AH4,"")</f>
        <v>15</v>
      </c>
      <c r="AU4" s="11">
        <f t="shared" ref="AU4:AU21" si="20">IF(SUM(AF4:AI4)-AJ4&gt;0,SUM(AF4:AI4)-AJ4,"")</f>
        <v>57.21</v>
      </c>
      <c r="AV4" s="11">
        <f t="shared" ref="AV4:AV21" si="21">IF(AQ4="",IF(MAX(AS4,AU4)&gt;0,MAX(AS4,AU4),""),MAX(AS4,AU4)+AQ4)</f>
        <v>105.57</v>
      </c>
      <c r="AW4" s="11">
        <f t="shared" ref="AW4:AW21" si="22">IF(AM4&gt;0,AM4,"")</f>
        <v>14.6</v>
      </c>
      <c r="AX4" s="11">
        <f t="shared" ref="AX4:AX21" si="23">IF(SUM(AK4:AN4)-AO4&gt;0,SUM(AK4:AN4)-AO4,"")</f>
        <v>57.58</v>
      </c>
      <c r="AY4" s="11">
        <f t="shared" ref="AY4:AY21" si="24">IF(SUM(AV4,AX4)&gt;0,SUM(AV4,AX4),"")</f>
        <v>163.14999999999998</v>
      </c>
      <c r="AZ4" s="67">
        <v>6</v>
      </c>
      <c r="BA4" s="67">
        <v>2.8</v>
      </c>
      <c r="BB4" s="67">
        <v>0</v>
      </c>
      <c r="BC4" s="67">
        <v>5.83</v>
      </c>
      <c r="BD4" s="67">
        <v>0.2</v>
      </c>
      <c r="BE4" s="67">
        <v>16.2</v>
      </c>
      <c r="BF4" s="67">
        <v>9.1</v>
      </c>
      <c r="BG4" s="67">
        <v>15.6</v>
      </c>
      <c r="BH4" s="67">
        <v>17.25</v>
      </c>
      <c r="BI4" s="67">
        <v>0</v>
      </c>
      <c r="BJ4" s="67">
        <v>16.5</v>
      </c>
      <c r="BK4" s="67">
        <v>9.1</v>
      </c>
      <c r="BL4" s="67">
        <v>15.6</v>
      </c>
      <c r="BM4" s="67">
        <v>17.399999999999999</v>
      </c>
      <c r="BN4" s="67">
        <v>0</v>
      </c>
      <c r="BO4" s="67"/>
      <c r="BP4" s="67"/>
      <c r="BQ4" s="67"/>
      <c r="BR4" s="67"/>
      <c r="BS4" s="67"/>
      <c r="BT4" s="73"/>
      <c r="BU4" s="14">
        <f t="shared" ref="BU4:BU21" si="25">IF(SUM(AZ4:BC4)-BD4&gt;0,SUM(AZ4:BC4)-BD4,"")</f>
        <v>14.430000000000001</v>
      </c>
      <c r="BV4" s="14">
        <f t="shared" ref="BV4:BV21" si="26">IF(BG4&gt;0,BG4,"")</f>
        <v>15.6</v>
      </c>
      <c r="BW4" s="14">
        <f t="shared" ref="BW4:BW21" si="27">IF(SUM(BE4:BH4)-BI4&gt;0,SUM(BE4:BH4)-BI4,"")</f>
        <v>58.15</v>
      </c>
      <c r="BX4" s="14">
        <f t="shared" ref="BX4:BX21" si="28">IF(BL4&gt;0,BL4,"")</f>
        <v>15.6</v>
      </c>
      <c r="BY4" s="14">
        <f t="shared" ref="BY4:BY21" si="29">IF(SUM(BJ4:BM4)-BN4&gt;0,SUM(BJ4:BM4)-BN4,"")</f>
        <v>58.6</v>
      </c>
      <c r="BZ4" s="14">
        <f t="shared" ref="BZ4:BZ21" si="30">IF(BU4="",IF(MAX(BW4,BY4)&gt;0,MAX(BW4,BY4),""),MAX(BW4,BY4)+BU4)</f>
        <v>73.03</v>
      </c>
      <c r="CA4" s="14" t="str">
        <f t="shared" ref="CA4:CA21" si="31">IF(BQ4&gt;0,BQ4,"")</f>
        <v/>
      </c>
      <c r="CB4" s="14" t="str">
        <f t="shared" ref="CB4:CB21" si="32">IF(SUM(BO4:BR4)-BS4&gt;0,SUM(BO4:BR4)-BS4,"")</f>
        <v/>
      </c>
      <c r="CC4" s="14">
        <f t="shared" ref="CC4:CC21" si="33">IF(SUM(BZ4,CB4)&gt;0,SUM(BZ4,CB4),"")</f>
        <v>73.03</v>
      </c>
      <c r="CD4" s="61">
        <v>18.5</v>
      </c>
      <c r="CE4" s="61">
        <v>9.4</v>
      </c>
      <c r="CF4" s="61">
        <v>5</v>
      </c>
      <c r="CG4" s="61">
        <v>18.405000000000001</v>
      </c>
      <c r="CH4" s="61">
        <v>0</v>
      </c>
      <c r="CI4" s="61">
        <v>15.8</v>
      </c>
      <c r="CJ4" s="61">
        <v>9.1</v>
      </c>
      <c r="CK4" s="61">
        <v>15</v>
      </c>
      <c r="CL4" s="61">
        <v>16.75</v>
      </c>
      <c r="CM4" s="61">
        <v>0</v>
      </c>
      <c r="CN4" s="61">
        <v>16.100000000000001</v>
      </c>
      <c r="CO4" s="61">
        <v>9</v>
      </c>
      <c r="CP4" s="61">
        <v>15.6</v>
      </c>
      <c r="CQ4" s="61">
        <v>17.22</v>
      </c>
      <c r="CR4" s="61">
        <v>0</v>
      </c>
      <c r="CS4" s="61">
        <v>16.7</v>
      </c>
      <c r="CT4" s="61">
        <v>9.4</v>
      </c>
      <c r="CU4" s="61">
        <v>15.6</v>
      </c>
      <c r="CV4" s="61">
        <v>17.184999999999999</v>
      </c>
      <c r="CW4" s="61">
        <v>0</v>
      </c>
      <c r="CX4" s="72"/>
      <c r="CY4" s="11">
        <f t="shared" ref="CY4:CY21" si="34">IF(SUM(CD4:CG4)-CH4&gt;0,SUM(CD4:CG4)-CH4,"")</f>
        <v>51.305</v>
      </c>
      <c r="CZ4" s="11">
        <f t="shared" ref="CZ4:CZ21" si="35">IF(CK4&gt;0,CK4,"")</f>
        <v>15</v>
      </c>
      <c r="DA4" s="11">
        <f t="shared" ref="DA4:DA21" si="36">IF(SUM(CI4:CL4)-CM4&gt;0,SUM(CI4:CL4)-CM4,"")</f>
        <v>56.65</v>
      </c>
      <c r="DB4" s="11">
        <f t="shared" ref="DB4:DB21" si="37">IF(CP4&gt;0,CP4,"")</f>
        <v>15.6</v>
      </c>
      <c r="DC4" s="11">
        <f t="shared" ref="DC4:DC21" si="38">IF(SUM(CN4:CQ4)-CR4&gt;0,SUM(CN4:CQ4)-CR4,"")</f>
        <v>57.92</v>
      </c>
      <c r="DD4" s="11">
        <f t="shared" ref="DD4:DD21" si="39">IF(CY4="",IF(MAX(DA4,DC4)&gt;0,MAX(DA4,DC4),""),MAX(DA4,DC4)+CY4)</f>
        <v>109.22499999999999</v>
      </c>
      <c r="DE4" s="11">
        <f t="shared" ref="DE4:DE21" si="40">IF(CU4&gt;0,CU4,"")</f>
        <v>15.6</v>
      </c>
      <c r="DF4" s="11">
        <f t="shared" ref="DF4:DF21" si="41">IF(SUM(CS4:CV4)-CW4&gt;0,SUM(CS4:CV4)-CW4,"")</f>
        <v>58.885000000000005</v>
      </c>
      <c r="DG4" s="11">
        <f t="shared" ref="DG4:DG21" si="42">IF(SUM(DD4,DF4)&gt;0,SUM(DD4,DF4),"")</f>
        <v>168.11</v>
      </c>
      <c r="DH4" s="23" t="str">
        <f t="shared" ref="DH4:DH21" si="43">IF(MAX(EB4,EX4,FT4,GP4,HL4,IH4,JD4,JZ4,KV4,LR4,MN4,NJ4)-IF(M4="",0,M4)&gt;0.001,MAX(EB4,EX4,FT4,GP4,HL4,IH4,JD4,JZ4,KV4,LR4,MN4,NJ4)-IF(M4="",0,M4),"")</f>
        <v/>
      </c>
      <c r="DI4" s="23" t="str">
        <f t="shared" ref="DI4:DI21" si="44">IF(MAX(EC4,EY4,FU4,GQ4,HM4,II4,JE4,KA4,KW4,LS4,MO4,NK4)-IF(O4="",0,O4)&gt;0.001,MAX(EC4,EY4,FU4,GQ4,HM4,II4,JE4,KA4,KW4,LS4,MO4,NK4)-IF(O4="",0,O4),"")</f>
        <v/>
      </c>
      <c r="DJ4" s="23" t="str">
        <f t="shared" ref="DJ4:DJ21" si="45">IF(MAX(ED4,EZ4,FV4,GR4,HN4,IJ4,JF4,KB4,KX4,LT4,MP4,NL4)-IF(K4="",0,K4)&gt;0.001,MAX(ED4,EZ4,FV4,GR4,HN4,IJ4,JF4,KB4,KX4,LT4,MP4,NL4)-IF(K4="",0,K4),"")</f>
        <v/>
      </c>
      <c r="DK4" s="23" t="str">
        <f t="shared" ref="DK4:DK21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1" si="47">IF(DS4&gt;0,DS4,"")</f>
        <v/>
      </c>
      <c r="EB4" s="11" t="str">
        <f t="shared" ref="EB4:EB21" si="48">IF(SUM(DL4:DO4)-DP4&gt;0,SUM(DL4:DO4)-DP4,"")</f>
        <v/>
      </c>
      <c r="EC4" s="11" t="str">
        <f t="shared" ref="EC4:EC21" si="49">IF(SUM(DQ4:DT4)-DU4&gt;0,SUM(DQ4:DT4)-DU4,"")</f>
        <v/>
      </c>
      <c r="ED4" s="11" t="str">
        <f t="shared" ref="ED4:ED21" si="50">IF(SUM(EB4:EC4)&gt;0,SUM(EB4:EC4),"")</f>
        <v/>
      </c>
      <c r="EE4" s="11" t="str">
        <f t="shared" ref="EE4:EE21" si="51">IF(DX4&gt;0,DX4,"")</f>
        <v/>
      </c>
      <c r="EF4" s="11" t="str">
        <f t="shared" ref="EF4:EF21" si="52">IF(SUM(DV4:DY4)-DZ4&gt;0,SUM(DV4:DY4)-DZ4,"")</f>
        <v/>
      </c>
      <c r="EG4" s="11" t="str">
        <f t="shared" ref="EG4:EG21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1" si="54">IF(EO4&gt;0,EO4,"")</f>
        <v/>
      </c>
      <c r="EX4" s="14" t="str">
        <f t="shared" ref="EX4:EX21" si="55">IF(SUM(EH4:EK4)-EL4&gt;0,SUM(EH4:EK4)-EL4,"")</f>
        <v/>
      </c>
      <c r="EY4" s="14" t="str">
        <f t="shared" ref="EY4:EY21" si="56">IF(SUM(EM4:EP4)-EQ4&gt;0,SUM(EM4:EP4)-EQ4,"")</f>
        <v/>
      </c>
      <c r="EZ4" s="14" t="str">
        <f t="shared" ref="EZ4:EZ21" si="57">IF(SUM(EX4:EY4)&gt;0,SUM(EX4:EY4),"")</f>
        <v/>
      </c>
      <c r="FA4" s="14" t="str">
        <f t="shared" ref="FA4:FA21" si="58">IF(ET4&gt;0,ET4,"")</f>
        <v/>
      </c>
      <c r="FB4" s="14" t="str">
        <f t="shared" ref="FB4:FB21" si="59">IF(SUM(ER4:EU4)-EV4&gt;0,SUM(ER4:EU4)-EV4,"")</f>
        <v/>
      </c>
      <c r="FC4" s="14" t="str">
        <f t="shared" ref="FC4:FC21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1" si="61">IF(FK4&gt;0,FK4,"")</f>
        <v/>
      </c>
      <c r="FT4" s="11" t="str">
        <f t="shared" ref="FT4:FT21" si="62">IF(SUM(FD4:FG4)-FH4&gt;0,SUM(FD4:FG4)-FH4,"")</f>
        <v/>
      </c>
      <c r="FU4" s="11" t="str">
        <f t="shared" ref="FU4:FU21" si="63">IF(SUM(FI4:FL4)-FM4&gt;0,SUM(FI4:FL4)-FM4,"")</f>
        <v/>
      </c>
      <c r="FV4" s="11" t="str">
        <f t="shared" ref="FV4:FV21" si="64">IF(SUM(FT4:FU4)&gt;0,SUM(FT4:FU4),"")</f>
        <v/>
      </c>
      <c r="FW4" s="11" t="str">
        <f t="shared" ref="FW4:FW21" si="65">IF(FP4&gt;0,FP4,"")</f>
        <v/>
      </c>
      <c r="FX4" s="11" t="str">
        <f t="shared" ref="FX4:FX21" si="66">IF(SUM(FN4:FQ4)-FR4&gt;0,SUM(FN4:FQ4)-FR4,"")</f>
        <v/>
      </c>
      <c r="FY4" s="11" t="str">
        <f t="shared" ref="FY4:FY21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1" si="68">IF(GG4&gt;0,GG4,"")</f>
        <v/>
      </c>
      <c r="GP4" s="14" t="str">
        <f t="shared" ref="GP4:GP21" si="69">IF(SUM(FZ4:GC4)-GD4&gt;0,SUM(FZ4:GC4)-GD4,"")</f>
        <v/>
      </c>
      <c r="GQ4" s="14" t="str">
        <f t="shared" ref="GQ4:GQ21" si="70">IF(SUM(GE4:GH4)-GI4&gt;0,SUM(GE4:GH4)-GI4,"")</f>
        <v/>
      </c>
      <c r="GR4" s="14" t="str">
        <f t="shared" ref="GR4:GR21" si="71">IF(SUM(GP4:GQ4)&gt;0,SUM(GP4:GQ4),"")</f>
        <v/>
      </c>
      <c r="GS4" s="14" t="str">
        <f t="shared" ref="GS4:GS21" si="72">IF(GL4&gt;0,GL4,"")</f>
        <v/>
      </c>
      <c r="GT4" s="14" t="str">
        <f t="shared" ref="GT4:GT21" si="73">IF(SUM(GJ4:GM4)-GN4&gt;0,SUM(GJ4:GM4)-GN4,"")</f>
        <v/>
      </c>
      <c r="GU4" s="14" t="str">
        <f t="shared" ref="GU4:GU21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1" si="75">IF(HC4&gt;0,HC4,"")</f>
        <v/>
      </c>
      <c r="HL4" s="11" t="str">
        <f t="shared" ref="HL4:HL21" si="76">IF(SUM(GV4:GY4)-GZ4&gt;0,SUM(GV4:GY4)-GZ4,"")</f>
        <v/>
      </c>
      <c r="HM4" s="11" t="str">
        <f t="shared" ref="HM4:HM21" si="77">IF(SUM(HA4:HD4)-HE4&gt;0,SUM(HA4:HD4)-HE4,"")</f>
        <v/>
      </c>
      <c r="HN4" s="11" t="str">
        <f t="shared" ref="HN4:HN21" si="78">IF(SUM(HL4:HM4)&gt;0,SUM(HL4:HM4),"")</f>
        <v/>
      </c>
      <c r="HO4" s="11" t="str">
        <f t="shared" ref="HO4:HO21" si="79">IF(HH4&gt;0,HH4,"")</f>
        <v/>
      </c>
      <c r="HP4" s="11" t="str">
        <f t="shared" ref="HP4:HP21" si="80">IF(SUM(HF4:HI4)-HJ4&gt;0,SUM(HF4:HI4)-HJ4,"")</f>
        <v/>
      </c>
      <c r="HQ4" s="11" t="str">
        <f t="shared" ref="HQ4:HQ21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1" si="82">IF(HY4&gt;0,HY4,"")</f>
        <v/>
      </c>
      <c r="IH4" s="14" t="str">
        <f t="shared" ref="IH4:IH21" si="83">IF(SUM(HR4:HU4)-HV4&gt;0,SUM(HR4:HU4)-HV4,"")</f>
        <v/>
      </c>
      <c r="II4" s="14" t="str">
        <f t="shared" ref="II4:II21" si="84">IF(SUM(HW4:HZ4)-IA4&gt;0,SUM(HW4:HZ4)-IA4,"")</f>
        <v/>
      </c>
      <c r="IJ4" s="14" t="str">
        <f t="shared" ref="IJ4:IJ21" si="85">IF(SUM(IH4:II4)&gt;0,SUM(IH4:II4),"")</f>
        <v/>
      </c>
      <c r="IK4" s="14" t="str">
        <f t="shared" ref="IK4:IK21" si="86">IF(ID4&gt;0,ID4,"")</f>
        <v/>
      </c>
      <c r="IL4" s="14" t="str">
        <f t="shared" ref="IL4:IL21" si="87">IF(SUM(IB4:IE4)-IF4&gt;0,SUM(IB4:IE4)-IF4,"")</f>
        <v/>
      </c>
      <c r="IM4" s="14" t="str">
        <f t="shared" ref="IM4:IM21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1" si="89">IF(IU4&gt;0,IU4,"")</f>
        <v/>
      </c>
      <c r="JD4" s="11" t="str">
        <f t="shared" ref="JD4:JD21" si="90">IF(SUM(IN4:IQ4)-IR4&gt;0,SUM(IN4:IQ4)-IR4,"")</f>
        <v/>
      </c>
      <c r="JE4" s="11" t="str">
        <f t="shared" ref="JE4:JE21" si="91">IF(SUM(IS4:IV4)-IW4&gt;0,SUM(IS4:IV4)-IW4,"")</f>
        <v/>
      </c>
      <c r="JF4" s="11" t="str">
        <f t="shared" ref="JF4:JF21" si="92">IF(SUM(JD4:JE4)&gt;0,SUM(JD4:JE4),"")</f>
        <v/>
      </c>
      <c r="JG4" s="11" t="str">
        <f t="shared" ref="JG4:JG21" si="93">IF(IZ4&gt;0,IZ4,"")</f>
        <v/>
      </c>
      <c r="JH4" s="11" t="str">
        <f t="shared" ref="JH4:JH21" si="94">IF(SUM(IX4:JA4)-JB4&gt;0,SUM(IX4:JA4)-JB4,"")</f>
        <v/>
      </c>
      <c r="JI4" s="11" t="str">
        <f t="shared" ref="JI4:JI21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1" si="96">IF(JQ4&gt;0,JQ4,"")</f>
        <v/>
      </c>
      <c r="JZ4" s="14" t="str">
        <f t="shared" ref="JZ4:JZ21" si="97">IF(SUM(JJ4:JM4)-JN4&gt;0,SUM(JJ4:JM4)-JN4,"")</f>
        <v/>
      </c>
      <c r="KA4" s="14" t="str">
        <f t="shared" ref="KA4:KA21" si="98">IF(SUM(JO4:JR4)-JS4&gt;0,SUM(JO4:JR4)-JS4,"")</f>
        <v/>
      </c>
      <c r="KB4" s="14" t="str">
        <f t="shared" ref="KB4:KB21" si="99">IF(SUM(JZ4:KA4)&gt;0,SUM(JZ4:KA4),"")</f>
        <v/>
      </c>
      <c r="KC4" s="14" t="str">
        <f t="shared" ref="KC4:KC21" si="100">IF(JV4&gt;0,JV4,"")</f>
        <v/>
      </c>
      <c r="KD4" s="14" t="str">
        <f t="shared" ref="KD4:KD21" si="101">IF(SUM(JT4:JW4)-JX4&gt;0,SUM(JT4:JW4)-JX4,"")</f>
        <v/>
      </c>
      <c r="KE4" s="14" t="str">
        <f t="shared" ref="KE4:KE21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1" si="103">IF(KM4&gt;0,KM4,"")</f>
        <v/>
      </c>
      <c r="KV4" s="11" t="str">
        <f t="shared" ref="KV4:KV21" si="104">IF(SUM(KF4:KI4)-KJ4&gt;0,SUM(KF4:KI4)-KJ4,"")</f>
        <v/>
      </c>
      <c r="KW4" s="11" t="str">
        <f t="shared" ref="KW4:KW21" si="105">IF(SUM(KK4:KN4)-KO4&gt;0,SUM(KK4:KN4)-KO4,"")</f>
        <v/>
      </c>
      <c r="KX4" s="11" t="str">
        <f t="shared" ref="KX4:KX21" si="106">IF(SUM(KV4:KW4)&gt;0,SUM(KV4:KW4),"")</f>
        <v/>
      </c>
      <c r="KY4" s="11" t="str">
        <f t="shared" ref="KY4:KY21" si="107">IF(KR4&gt;0,KR4,"")</f>
        <v/>
      </c>
      <c r="KZ4" s="11" t="str">
        <f t="shared" ref="KZ4:KZ21" si="108">IF(SUM(KP4:KS4)-KT4&gt;0,SUM(KP4:KS4)-KT4,"")</f>
        <v/>
      </c>
      <c r="LA4" s="11" t="str">
        <f t="shared" ref="LA4:LA21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1" si="110">IF(LI4&gt;0,LI4,"")</f>
        <v/>
      </c>
      <c r="LR4" s="14" t="str">
        <f t="shared" ref="LR4:LR21" si="111">IF(SUM(LB4:LE4)-LF4&gt;0,SUM(LB4:LE4)-LF4,"")</f>
        <v/>
      </c>
      <c r="LS4" s="14" t="str">
        <f t="shared" ref="LS4:LS21" si="112">IF(SUM(LG4:LJ4)-LK4&gt;0,SUM(LG4:LJ4)-LK4,"")</f>
        <v/>
      </c>
      <c r="LT4" s="14" t="str">
        <f t="shared" ref="LT4:LT21" si="113">IF(SUM(LR4:LS4)&gt;0,SUM(LR4:LS4),"")</f>
        <v/>
      </c>
      <c r="LU4" s="14" t="str">
        <f t="shared" ref="LU4:LU21" si="114">IF(LN4&gt;0,LN4,"")</f>
        <v/>
      </c>
      <c r="LV4" s="14" t="str">
        <f t="shared" ref="LV4:LV21" si="115">IF(SUM(LL4:LO4)-LP4&gt;0,SUM(LL4:LO4)-LP4,"")</f>
        <v/>
      </c>
      <c r="LW4" s="14" t="str">
        <f t="shared" ref="LW4:LW21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1" si="117">IF(ME4&gt;0,ME4,"")</f>
        <v/>
      </c>
      <c r="MN4" s="11" t="str">
        <f t="shared" ref="MN4:MN21" si="118">IF(SUM(LX4:MA4)-MB4&gt;0,SUM(LX4:MA4)-MB4,"")</f>
        <v/>
      </c>
      <c r="MO4" s="11" t="str">
        <f t="shared" ref="MO4:MO21" si="119">IF(SUM(MC4:MF4)-MG4&gt;0,SUM(MC4:MF4)-MG4,"")</f>
        <v/>
      </c>
      <c r="MP4" s="11" t="str">
        <f t="shared" ref="MP4:MP21" si="120">IF(SUM(MN4:MO4)&gt;0,SUM(MN4:MO4),"")</f>
        <v/>
      </c>
      <c r="MQ4" s="11" t="str">
        <f t="shared" ref="MQ4:MQ21" si="121">IF(MJ4&gt;0,MJ4,"")</f>
        <v/>
      </c>
      <c r="MR4" s="11" t="str">
        <f t="shared" ref="MR4:MR21" si="122">IF(SUM(MH4:MK4)-ML4&gt;0,SUM(MH4:MK4)-ML4,"")</f>
        <v/>
      </c>
      <c r="MS4" s="11" t="str">
        <f t="shared" ref="MS4:MS21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1" si="124">IF(NA4&gt;0,NA4,"")</f>
        <v/>
      </c>
      <c r="NJ4" s="14" t="str">
        <f t="shared" ref="NJ4:NJ21" si="125">IF(SUM(MT4:MW4)-MX4&gt;0,SUM(MT4:MW4)-MX4,"")</f>
        <v/>
      </c>
      <c r="NK4" s="14" t="str">
        <f t="shared" ref="NK4:NK21" si="126">IF(SUM(MY4:NB4)-NC4&gt;0,SUM(MY4:NB4)-NC4,"")</f>
        <v/>
      </c>
      <c r="NL4" s="14" t="str">
        <f t="shared" ref="NL4:NL21" si="127">IF(SUM(NJ4:NK4)&gt;0,SUM(NJ4:NK4),"")</f>
        <v/>
      </c>
      <c r="NM4" s="14" t="str">
        <f t="shared" ref="NM4:NM21" si="128">IF(NF4&gt;0,NF4,"")</f>
        <v/>
      </c>
      <c r="NN4" s="14" t="str">
        <f t="shared" ref="NN4:NN21" si="129">IF(SUM(ND4:NG4)-NH4&gt;0,SUM(ND4:NG4)-NH4,"")</f>
        <v/>
      </c>
      <c r="NO4" s="14" t="str">
        <f t="shared" ref="NO4:NO21" si="130">IF(SUM(NL4,NN4)&gt;0,SUM(NL4,NN4),"")</f>
        <v/>
      </c>
      <c r="NP4" s="61">
        <f t="shared" ref="NP4:NP21" si="131">IF($CX4="P",CD4,(CD4+AZ4)/2)</f>
        <v>12.25</v>
      </c>
      <c r="NQ4" s="61">
        <f t="shared" ref="NQ4:NQ21" si="132">IF($CX4="P",CE4,(CE4+BA4)/2)</f>
        <v>6.1</v>
      </c>
      <c r="NR4" s="61">
        <f t="shared" ref="NR4:NR21" si="133">IF($CX4="P",CF4,(CF4+BB4)/2)</f>
        <v>2.5</v>
      </c>
      <c r="NS4" s="61">
        <f t="shared" ref="NS4:NS21" si="134">IF($CX4="P",CG4,(CG4+BC4)/2)</f>
        <v>12.1175</v>
      </c>
      <c r="NT4" s="61">
        <f t="shared" ref="NT4:NT21" si="135">IF($CX4="P",CH4,(CH4+BD4)/2)</f>
        <v>0.1</v>
      </c>
      <c r="NU4" s="61">
        <f t="shared" ref="NU4:NU21" si="136">IF($CX4="P",CI4,(CI4+BE4)/2)</f>
        <v>16</v>
      </c>
      <c r="NV4" s="61">
        <f t="shared" ref="NV4:NV21" si="137">IF($CX4="P",CJ4,(CJ4+BF4)/2)</f>
        <v>9.1</v>
      </c>
      <c r="NW4" s="61">
        <f t="shared" ref="NW4:NW21" si="138">IF($CX4="P",CK4,(CK4+BG4)/2)</f>
        <v>15.3</v>
      </c>
      <c r="NX4" s="61">
        <f t="shared" ref="NX4:NX21" si="139">IF($CX4="P",CL4,(CL4+BH4)/2)</f>
        <v>17</v>
      </c>
      <c r="NY4" s="61">
        <f t="shared" ref="NY4:NY21" si="140">IF($CX4="P",CM4,(CM4+BI4)/2)</f>
        <v>0</v>
      </c>
      <c r="NZ4" s="61">
        <f t="shared" ref="NZ4:NZ21" si="141">IF($CX4="P",CN4,(CN4+BJ4)/2)</f>
        <v>16.3</v>
      </c>
      <c r="OA4" s="61">
        <f t="shared" ref="OA4:OA21" si="142">IF($CX4="P",CO4,(CO4+BK4)/2)</f>
        <v>9.0500000000000007</v>
      </c>
      <c r="OB4" s="61">
        <f t="shared" ref="OB4:OB21" si="143">IF($CX4="P",CP4,(CP4+BL4)/2)</f>
        <v>15.6</v>
      </c>
      <c r="OC4" s="61">
        <f t="shared" ref="OC4:OC21" si="144">IF($CX4="P",CQ4,(CQ4+BM4)/2)</f>
        <v>17.309999999999999</v>
      </c>
      <c r="OD4" s="61">
        <f t="shared" ref="OD4:OD21" si="145">IF($CX4="P",CR4,(CR4+BN4)/2)</f>
        <v>0</v>
      </c>
      <c r="OE4" s="61">
        <f t="shared" ref="OE4:OE21" si="146">IF($CX4="P",CS4,(CS4+BO4)/2)</f>
        <v>8.35</v>
      </c>
      <c r="OF4" s="61">
        <f t="shared" ref="OF4:OF21" si="147">IF($CX4="P",CT4,(CT4+BP4)/2)</f>
        <v>4.7</v>
      </c>
      <c r="OG4" s="61">
        <f t="shared" ref="OG4:OG21" si="148">IF($CX4="P",CU4,(CU4+BQ4)/2)</f>
        <v>7.8</v>
      </c>
      <c r="OH4" s="61">
        <f t="shared" ref="OH4:OH21" si="149">IF($CX4="P",CV4,(CV4+BR4)/2)</f>
        <v>8.5924999999999994</v>
      </c>
      <c r="OI4" s="61">
        <f t="shared" ref="OI4:OI21" si="150">IF($CX4="P",CW4,(CW4+BS4)/2)</f>
        <v>0</v>
      </c>
      <c r="OJ4" s="72" t="s">
        <v>52</v>
      </c>
      <c r="OK4" s="11">
        <f t="shared" ref="OK4:OK21" si="151">IF(SUM(NP4:NS4)-NT4&gt;0,SUM(NP4:NS4)-NT4,"")</f>
        <v>32.8675</v>
      </c>
      <c r="OL4" s="11">
        <f t="shared" ref="OL4:OL21" si="152">IF(NW4&gt;0,NW4,"")</f>
        <v>15.3</v>
      </c>
      <c r="OM4" s="11">
        <f t="shared" ref="OM4:OM21" si="153">IF(SUM(NU4:NX4)-NY4&gt;0,SUM(NU4:NX4)-NY4,"")</f>
        <v>57.400000000000006</v>
      </c>
      <c r="ON4" s="11">
        <f t="shared" ref="ON4:ON21" si="154">IF(OB4&gt;0,OB4,"")</f>
        <v>15.6</v>
      </c>
      <c r="OO4" s="11">
        <f t="shared" ref="OO4:OO21" si="155">IF(SUM(NZ4:OC4)-OD4&gt;0,SUM(NZ4:OC4)-OD4,"")</f>
        <v>58.260000000000005</v>
      </c>
      <c r="OP4" s="11">
        <f t="shared" ref="OP4:OP21" si="156">IF(OR(OK4&lt;&gt;"",OM4&lt;&gt;"",OO4&lt;&gt;""),OK4+MAX(OM4,OO4),"")</f>
        <v>91.127499999999998</v>
      </c>
      <c r="OQ4" s="11">
        <f t="shared" ref="OQ4:OQ21" si="157">IF(OG4&gt;0,OG4,"")</f>
        <v>7.8</v>
      </c>
      <c r="OR4" s="11">
        <f t="shared" ref="OR4:OR10" si="158">IF(SUM(OE4:OH4)-OI4&gt;0,SUM(OE4:OH4)-OI4,"")</f>
        <v>29.442500000000003</v>
      </c>
      <c r="OS4" s="11">
        <f>IF(SUM(OP4,OR4)&gt;0,SUM(OP4,OR4),"")</f>
        <v>120.57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114</v>
      </c>
      <c r="C5" s="7" t="s">
        <v>113</v>
      </c>
      <c r="D5" s="26">
        <v>2001</v>
      </c>
      <c r="E5" s="15">
        <f t="shared" si="0"/>
        <v>107.530088495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88.495000000000005</v>
      </c>
      <c r="L5" s="14" t="str">
        <f t="shared" si="7"/>
        <v>2021 2nd Virtual Technical Trial</v>
      </c>
      <c r="M5" s="14">
        <f t="shared" si="8"/>
        <v>47.025000000000006</v>
      </c>
      <c r="N5" s="14" t="str">
        <f t="shared" si="9"/>
        <v>2021 Elite Canada</v>
      </c>
      <c r="O5" s="14">
        <f t="shared" si="10"/>
        <v>54.325000000000003</v>
      </c>
      <c r="P5" s="14" t="str">
        <f t="shared" si="11"/>
        <v>2021 2nd Virtual Technical Trial</v>
      </c>
      <c r="Q5" s="14">
        <f>IF(COUNT(AS5,AU5,AX5,BW5,BY5,CB5,DA5,DC5,DF5)&gt;1,LARGE((AS5,AU5,AX5,BW5,BY5,CB5,DA5,DC5,DF5),2),0)</f>
        <v>53.204999999999998</v>
      </c>
      <c r="R5" s="14" t="str">
        <f t="shared" si="12"/>
        <v>2021 2nd Virtual Technical Trial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13</v>
      </c>
      <c r="W5" s="61">
        <v>6.8</v>
      </c>
      <c r="X5" s="61">
        <v>2.1</v>
      </c>
      <c r="Y5" s="61">
        <v>13.39</v>
      </c>
      <c r="Z5" s="61">
        <v>0</v>
      </c>
      <c r="AA5" s="61">
        <v>14</v>
      </c>
      <c r="AB5" s="61">
        <v>8.9</v>
      </c>
      <c r="AC5" s="61">
        <v>15</v>
      </c>
      <c r="AD5" s="61">
        <v>15.305</v>
      </c>
      <c r="AE5" s="61">
        <v>0</v>
      </c>
      <c r="AF5" s="61">
        <v>12.2</v>
      </c>
      <c r="AG5" s="61">
        <v>9.1999999999999993</v>
      </c>
      <c r="AH5" s="61">
        <v>15</v>
      </c>
      <c r="AI5" s="61">
        <v>15.455</v>
      </c>
      <c r="AJ5" s="61">
        <v>0</v>
      </c>
      <c r="AK5" s="61">
        <v>15.2</v>
      </c>
      <c r="AL5" s="61">
        <v>9.3000000000000007</v>
      </c>
      <c r="AM5" s="61">
        <v>14.4</v>
      </c>
      <c r="AN5" s="61">
        <v>15.425000000000001</v>
      </c>
      <c r="AO5" s="61">
        <v>0</v>
      </c>
      <c r="AP5" s="72"/>
      <c r="AQ5" s="11">
        <f t="shared" si="16"/>
        <v>35.290000000000006</v>
      </c>
      <c r="AR5" s="11">
        <f t="shared" si="17"/>
        <v>15</v>
      </c>
      <c r="AS5" s="11">
        <f t="shared" si="18"/>
        <v>53.204999999999998</v>
      </c>
      <c r="AT5" s="11">
        <f t="shared" si="19"/>
        <v>15</v>
      </c>
      <c r="AU5" s="11">
        <f t="shared" si="20"/>
        <v>51.854999999999997</v>
      </c>
      <c r="AV5" s="11">
        <f t="shared" si="21"/>
        <v>88.495000000000005</v>
      </c>
      <c r="AW5" s="11">
        <f t="shared" si="22"/>
        <v>14.4</v>
      </c>
      <c r="AX5" s="11">
        <f t="shared" si="23"/>
        <v>54.325000000000003</v>
      </c>
      <c r="AY5" s="11">
        <f t="shared" si="24"/>
        <v>142.82</v>
      </c>
      <c r="AZ5" s="67">
        <v>16.600000000000001</v>
      </c>
      <c r="BA5" s="67">
        <v>9.1999999999999993</v>
      </c>
      <c r="BB5" s="67">
        <v>5</v>
      </c>
      <c r="BC5" s="67">
        <v>16.225000000000001</v>
      </c>
      <c r="BD5" s="67">
        <v>0</v>
      </c>
      <c r="BE5" s="67">
        <v>5.3</v>
      </c>
      <c r="BF5" s="67">
        <v>3.4</v>
      </c>
      <c r="BG5" s="67">
        <v>6.3</v>
      </c>
      <c r="BH5" s="67">
        <v>6.37</v>
      </c>
      <c r="BI5" s="67">
        <v>0</v>
      </c>
      <c r="BJ5" s="67">
        <v>3.9</v>
      </c>
      <c r="BK5" s="67">
        <v>2.6</v>
      </c>
      <c r="BL5" s="67">
        <v>4.9000000000000004</v>
      </c>
      <c r="BM5" s="67">
        <v>4.835</v>
      </c>
      <c r="BN5" s="67">
        <v>0</v>
      </c>
      <c r="BO5" s="67"/>
      <c r="BP5" s="67"/>
      <c r="BQ5" s="67"/>
      <c r="BR5" s="67"/>
      <c r="BS5" s="67"/>
      <c r="BT5" s="73"/>
      <c r="BU5" s="14">
        <f t="shared" si="25"/>
        <v>47.025000000000006</v>
      </c>
      <c r="BV5" s="14">
        <f t="shared" si="26"/>
        <v>6.3</v>
      </c>
      <c r="BW5" s="14">
        <f t="shared" si="27"/>
        <v>21.37</v>
      </c>
      <c r="BX5" s="14">
        <f t="shared" si="28"/>
        <v>4.9000000000000004</v>
      </c>
      <c r="BY5" s="14">
        <f t="shared" si="29"/>
        <v>16.234999999999999</v>
      </c>
      <c r="BZ5" s="14">
        <f t="shared" si="30"/>
        <v>68.39500000000001</v>
      </c>
      <c r="CA5" s="14" t="str">
        <f t="shared" si="31"/>
        <v/>
      </c>
      <c r="CB5" s="14" t="str">
        <f t="shared" si="32"/>
        <v/>
      </c>
      <c r="CC5" s="14">
        <f t="shared" si="33"/>
        <v>68.39500000000001</v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 t="shared" si="34"/>
        <v/>
      </c>
      <c r="CZ5" s="11" t="str">
        <f t="shared" si="35"/>
        <v/>
      </c>
      <c r="DA5" s="11" t="str">
        <f t="shared" si="36"/>
        <v/>
      </c>
      <c r="DB5" s="11" t="str">
        <f t="shared" si="37"/>
        <v/>
      </c>
      <c r="DC5" s="11" t="str">
        <f t="shared" si="38"/>
        <v/>
      </c>
      <c r="DD5" s="11" t="str">
        <f t="shared" si="39"/>
        <v/>
      </c>
      <c r="DE5" s="11" t="str">
        <f t="shared" si="40"/>
        <v/>
      </c>
      <c r="DF5" s="11" t="str">
        <f t="shared" si="41"/>
        <v/>
      </c>
      <c r="DG5" s="11" t="str">
        <f t="shared" si="42"/>
        <v/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8.3000000000000007</v>
      </c>
      <c r="NQ5" s="61">
        <f t="shared" si="132"/>
        <v>4.5999999999999996</v>
      </c>
      <c r="NR5" s="61">
        <f t="shared" si="133"/>
        <v>2.5</v>
      </c>
      <c r="NS5" s="61">
        <f t="shared" si="134"/>
        <v>8.1125000000000007</v>
      </c>
      <c r="NT5" s="61">
        <f t="shared" si="135"/>
        <v>0</v>
      </c>
      <c r="NU5" s="61">
        <f t="shared" si="136"/>
        <v>2.65</v>
      </c>
      <c r="NV5" s="61">
        <f t="shared" si="137"/>
        <v>1.7</v>
      </c>
      <c r="NW5" s="61">
        <f t="shared" si="138"/>
        <v>3.15</v>
      </c>
      <c r="NX5" s="61">
        <f t="shared" si="139"/>
        <v>3.1850000000000001</v>
      </c>
      <c r="NY5" s="61">
        <f t="shared" si="140"/>
        <v>0</v>
      </c>
      <c r="NZ5" s="61">
        <f t="shared" si="141"/>
        <v>1.95</v>
      </c>
      <c r="OA5" s="61">
        <f t="shared" si="142"/>
        <v>1.3</v>
      </c>
      <c r="OB5" s="61">
        <f t="shared" si="143"/>
        <v>2.4500000000000002</v>
      </c>
      <c r="OC5" s="61">
        <f t="shared" si="144"/>
        <v>2.4175</v>
      </c>
      <c r="OD5" s="61">
        <f t="shared" si="145"/>
        <v>0</v>
      </c>
      <c r="OE5" s="61">
        <f t="shared" si="146"/>
        <v>0</v>
      </c>
      <c r="OF5" s="61">
        <f t="shared" si="147"/>
        <v>0</v>
      </c>
      <c r="OG5" s="61">
        <f t="shared" si="148"/>
        <v>0</v>
      </c>
      <c r="OH5" s="61">
        <f t="shared" si="149"/>
        <v>0</v>
      </c>
      <c r="OI5" s="61">
        <f t="shared" si="150"/>
        <v>0</v>
      </c>
      <c r="OJ5" s="72" t="s">
        <v>52</v>
      </c>
      <c r="OK5" s="11">
        <f t="shared" si="151"/>
        <v>23.512500000000003</v>
      </c>
      <c r="OL5" s="11">
        <f t="shared" si="152"/>
        <v>3.15</v>
      </c>
      <c r="OM5" s="11">
        <f t="shared" si="153"/>
        <v>10.685</v>
      </c>
      <c r="ON5" s="11">
        <f t="shared" si="154"/>
        <v>2.4500000000000002</v>
      </c>
      <c r="OO5" s="11">
        <f t="shared" si="155"/>
        <v>8.1174999999999997</v>
      </c>
      <c r="OP5" s="11">
        <f t="shared" si="156"/>
        <v>34.197500000000005</v>
      </c>
      <c r="OQ5" s="11" t="str">
        <f t="shared" si="157"/>
        <v/>
      </c>
      <c r="OR5" s="11" t="str">
        <f t="shared" si="158"/>
        <v/>
      </c>
      <c r="OS5" s="11">
        <f t="shared" ref="OS5:OS10" si="159">IF(SUM(OP5,OR5)&gt;0,SUM(OP5,OR5),"")</f>
        <v>34.197500000000005</v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111</v>
      </c>
      <c r="C6" s="7" t="s">
        <v>6</v>
      </c>
      <c r="D6" s="26">
        <v>2000</v>
      </c>
      <c r="E6" s="15">
        <f t="shared" si="0"/>
        <v>107.470100805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100.80500000000001</v>
      </c>
      <c r="L6" s="14" t="str">
        <f t="shared" si="7"/>
        <v>2021 2nd Virtual Technical Trial</v>
      </c>
      <c r="M6" s="14">
        <f t="shared" si="8"/>
        <v>37.185000000000002</v>
      </c>
      <c r="N6" s="14" t="str">
        <f t="shared" si="9"/>
        <v>2021 Elite Canada</v>
      </c>
      <c r="O6" s="14">
        <f t="shared" si="10"/>
        <v>55.209999999999994</v>
      </c>
      <c r="P6" s="14" t="str">
        <f t="shared" si="11"/>
        <v>2021 2nd Virtual Technical Trial</v>
      </c>
      <c r="Q6" s="14">
        <f>IF(COUNT(AS6,AU6,AX6,BW6,BY6,CB6,DA6,DC6,DF6)&gt;1,LARGE((AS6,AU6,AX6,BW6,BY6,CB6,DA6,DC6,DF6),2),0)</f>
        <v>52.260000000000005</v>
      </c>
      <c r="R6" s="14" t="str">
        <f t="shared" si="12"/>
        <v>2021 2nd Virtual Technical Trial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17.7</v>
      </c>
      <c r="W6" s="61">
        <v>9</v>
      </c>
      <c r="X6" s="61">
        <v>4.0999999999999996</v>
      </c>
      <c r="Y6" s="61">
        <v>17.745000000000001</v>
      </c>
      <c r="Z6" s="61">
        <v>0</v>
      </c>
      <c r="AA6" s="61">
        <v>16.2</v>
      </c>
      <c r="AB6" s="61">
        <v>8.6</v>
      </c>
      <c r="AC6" s="61">
        <v>12.2</v>
      </c>
      <c r="AD6" s="61">
        <v>16.559999999999999</v>
      </c>
      <c r="AE6" s="61">
        <v>1.3</v>
      </c>
      <c r="AF6" s="61">
        <v>4.9000000000000004</v>
      </c>
      <c r="AG6" s="61">
        <v>2.2000000000000002</v>
      </c>
      <c r="AH6" s="61">
        <v>3.5</v>
      </c>
      <c r="AI6" s="61">
        <v>5.1950000000000003</v>
      </c>
      <c r="AJ6" s="61">
        <v>0</v>
      </c>
      <c r="AK6" s="61">
        <v>16.2</v>
      </c>
      <c r="AL6" s="61">
        <v>8.6999999999999993</v>
      </c>
      <c r="AM6" s="61">
        <v>13.7</v>
      </c>
      <c r="AN6" s="61">
        <v>16.61</v>
      </c>
      <c r="AO6" s="61">
        <v>0</v>
      </c>
      <c r="AP6" s="72"/>
      <c r="AQ6" s="11">
        <f t="shared" si="16"/>
        <v>48.545000000000002</v>
      </c>
      <c r="AR6" s="11">
        <f t="shared" si="17"/>
        <v>12.2</v>
      </c>
      <c r="AS6" s="11">
        <f t="shared" si="18"/>
        <v>52.260000000000005</v>
      </c>
      <c r="AT6" s="11">
        <f t="shared" si="19"/>
        <v>3.5</v>
      </c>
      <c r="AU6" s="11">
        <f t="shared" si="20"/>
        <v>15.795000000000002</v>
      </c>
      <c r="AV6" s="11">
        <f t="shared" si="21"/>
        <v>100.80500000000001</v>
      </c>
      <c r="AW6" s="11">
        <f t="shared" si="22"/>
        <v>13.7</v>
      </c>
      <c r="AX6" s="11">
        <f t="shared" si="23"/>
        <v>55.209999999999994</v>
      </c>
      <c r="AY6" s="11">
        <f t="shared" si="24"/>
        <v>156.01499999999999</v>
      </c>
      <c r="AZ6" s="67">
        <v>13.5</v>
      </c>
      <c r="BA6" s="67">
        <v>7.3</v>
      </c>
      <c r="BB6" s="67">
        <v>2.2999999999999998</v>
      </c>
      <c r="BC6" s="67">
        <v>14.085000000000001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3.3</v>
      </c>
      <c r="BK6" s="67">
        <v>1.9</v>
      </c>
      <c r="BL6" s="67">
        <v>3.4</v>
      </c>
      <c r="BM6" s="67">
        <v>3.5649999999999999</v>
      </c>
      <c r="BN6" s="67">
        <v>0</v>
      </c>
      <c r="BO6" s="67"/>
      <c r="BP6" s="67"/>
      <c r="BQ6" s="67"/>
      <c r="BR6" s="67"/>
      <c r="BS6" s="67"/>
      <c r="BT6" s="73"/>
      <c r="BU6" s="14">
        <f t="shared" si="25"/>
        <v>37.185000000000002</v>
      </c>
      <c r="BV6" s="14" t="str">
        <f t="shared" si="26"/>
        <v/>
      </c>
      <c r="BW6" s="14" t="str">
        <f t="shared" si="27"/>
        <v/>
      </c>
      <c r="BX6" s="14">
        <f t="shared" si="28"/>
        <v>3.4</v>
      </c>
      <c r="BY6" s="14">
        <f t="shared" si="29"/>
        <v>12.164999999999999</v>
      </c>
      <c r="BZ6" s="14">
        <f t="shared" si="30"/>
        <v>49.35</v>
      </c>
      <c r="CA6" s="14" t="str">
        <f t="shared" si="31"/>
        <v/>
      </c>
      <c r="CB6" s="14" t="str">
        <f t="shared" si="32"/>
        <v/>
      </c>
      <c r="CC6" s="14">
        <f t="shared" si="33"/>
        <v>49.35</v>
      </c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72"/>
      <c r="CY6" s="11" t="str">
        <f t="shared" si="34"/>
        <v/>
      </c>
      <c r="CZ6" s="11" t="str">
        <f t="shared" si="35"/>
        <v/>
      </c>
      <c r="DA6" s="11" t="str">
        <f t="shared" si="36"/>
        <v/>
      </c>
      <c r="DB6" s="11" t="str">
        <f t="shared" si="37"/>
        <v/>
      </c>
      <c r="DC6" s="11" t="str">
        <f t="shared" si="38"/>
        <v/>
      </c>
      <c r="DD6" s="11" t="str">
        <f t="shared" si="39"/>
        <v/>
      </c>
      <c r="DE6" s="11" t="str">
        <f t="shared" si="40"/>
        <v/>
      </c>
      <c r="DF6" s="11" t="str">
        <f t="shared" si="41"/>
        <v/>
      </c>
      <c r="DG6" s="11" t="str">
        <f t="shared" si="42"/>
        <v/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6.75</v>
      </c>
      <c r="NQ6" s="61">
        <f t="shared" si="132"/>
        <v>3.65</v>
      </c>
      <c r="NR6" s="61">
        <f t="shared" si="133"/>
        <v>1.1499999999999999</v>
      </c>
      <c r="NS6" s="61">
        <f t="shared" si="134"/>
        <v>7.0425000000000004</v>
      </c>
      <c r="NT6" s="61">
        <f t="shared" si="135"/>
        <v>0</v>
      </c>
      <c r="NU6" s="61">
        <f t="shared" si="136"/>
        <v>0</v>
      </c>
      <c r="NV6" s="61">
        <f t="shared" si="137"/>
        <v>0</v>
      </c>
      <c r="NW6" s="61">
        <f t="shared" si="138"/>
        <v>0</v>
      </c>
      <c r="NX6" s="61">
        <f t="shared" si="139"/>
        <v>0</v>
      </c>
      <c r="NY6" s="61">
        <f t="shared" si="140"/>
        <v>0</v>
      </c>
      <c r="NZ6" s="61">
        <f t="shared" si="141"/>
        <v>1.65</v>
      </c>
      <c r="OA6" s="61">
        <f t="shared" si="142"/>
        <v>0.95</v>
      </c>
      <c r="OB6" s="61">
        <f t="shared" si="143"/>
        <v>1.7</v>
      </c>
      <c r="OC6" s="61">
        <f t="shared" si="144"/>
        <v>1.7825</v>
      </c>
      <c r="OD6" s="61">
        <f t="shared" si="145"/>
        <v>0</v>
      </c>
      <c r="OE6" s="61">
        <f t="shared" si="146"/>
        <v>0</v>
      </c>
      <c r="OF6" s="61">
        <f t="shared" si="147"/>
        <v>0</v>
      </c>
      <c r="OG6" s="61">
        <f t="shared" si="148"/>
        <v>0</v>
      </c>
      <c r="OH6" s="61">
        <f t="shared" si="149"/>
        <v>0</v>
      </c>
      <c r="OI6" s="61">
        <f t="shared" si="150"/>
        <v>0</v>
      </c>
      <c r="OJ6" s="72" t="s">
        <v>52</v>
      </c>
      <c r="OK6" s="11">
        <f t="shared" si="151"/>
        <v>18.592500000000001</v>
      </c>
      <c r="OL6" s="11" t="str">
        <f t="shared" si="152"/>
        <v/>
      </c>
      <c r="OM6" s="11" t="str">
        <f t="shared" si="153"/>
        <v/>
      </c>
      <c r="ON6" s="11">
        <f t="shared" si="154"/>
        <v>1.7</v>
      </c>
      <c r="OO6" s="11">
        <f t="shared" si="155"/>
        <v>6.0824999999999996</v>
      </c>
      <c r="OP6" s="11">
        <f t="shared" si="156"/>
        <v>24.675000000000001</v>
      </c>
      <c r="OQ6" s="11" t="str">
        <f t="shared" si="157"/>
        <v/>
      </c>
      <c r="OR6" s="11" t="str">
        <f t="shared" si="158"/>
        <v/>
      </c>
      <c r="OS6" s="11">
        <f t="shared" si="159"/>
        <v>24.675000000000001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78</v>
      </c>
      <c r="C7" s="7" t="s">
        <v>5</v>
      </c>
      <c r="D7" s="5">
        <v>2003</v>
      </c>
      <c r="E7" s="15">
        <f t="shared" si="0"/>
        <v>106.75009855</v>
      </c>
      <c r="F7" s="3" t="str">
        <f t="shared" si="1"/>
        <v>P</v>
      </c>
      <c r="G7" s="115" t="str">
        <f t="shared" si="2"/>
        <v>National Team</v>
      </c>
      <c r="H7" s="115" t="str">
        <f t="shared" si="3"/>
        <v>National Team</v>
      </c>
      <c r="I7" s="116" t="str">
        <f t="shared" si="4"/>
        <v>National Team</v>
      </c>
      <c r="J7" s="3" t="str">
        <f t="shared" si="5"/>
        <v/>
      </c>
      <c r="K7" s="14">
        <f t="shared" si="6"/>
        <v>98.55</v>
      </c>
      <c r="L7" s="14" t="str">
        <f t="shared" si="7"/>
        <v>2021 2nd Virtual Technical Trial</v>
      </c>
      <c r="M7" s="14">
        <f t="shared" si="8"/>
        <v>39.15</v>
      </c>
      <c r="N7" s="14" t="str">
        <f t="shared" si="9"/>
        <v>2021 Canadian Championships</v>
      </c>
      <c r="O7" s="14">
        <f t="shared" si="10"/>
        <v>54.64</v>
      </c>
      <c r="P7" s="14" t="str">
        <f t="shared" si="11"/>
        <v>2021 2nd Virtual Technical Trial</v>
      </c>
      <c r="Q7" s="14">
        <f>IF(COUNT(AS7,AU7,AX7,BW7,BY7,CB7,DA7,DC7,DF7)&gt;1,LARGE((AS7,AU7,AX7,BW7,BY7,CB7,DA7,DC7,DF7),2),0)</f>
        <v>52.11</v>
      </c>
      <c r="R7" s="14" t="str">
        <f t="shared" si="12"/>
        <v>2021 2nd Virtual Technical Trial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17.5</v>
      </c>
      <c r="W7" s="61">
        <v>9.6</v>
      </c>
      <c r="X7" s="61">
        <v>2.9</v>
      </c>
      <c r="Y7" s="61">
        <v>16.440000000000001</v>
      </c>
      <c r="Z7" s="61">
        <v>0</v>
      </c>
      <c r="AA7" s="61">
        <v>15</v>
      </c>
      <c r="AB7" s="61">
        <v>8.4</v>
      </c>
      <c r="AC7" s="61">
        <v>13</v>
      </c>
      <c r="AD7" s="61">
        <v>15.71</v>
      </c>
      <c r="AE7" s="61">
        <v>0</v>
      </c>
      <c r="AF7" s="61"/>
      <c r="AG7" s="61"/>
      <c r="AH7" s="61"/>
      <c r="AI7" s="61"/>
      <c r="AJ7" s="61"/>
      <c r="AK7" s="61">
        <v>15.8</v>
      </c>
      <c r="AL7" s="61">
        <v>9.5</v>
      </c>
      <c r="AM7" s="61">
        <v>13.5</v>
      </c>
      <c r="AN7" s="61">
        <v>15.84</v>
      </c>
      <c r="AO7" s="61">
        <v>0</v>
      </c>
      <c r="AP7" s="72"/>
      <c r="AQ7" s="11">
        <f t="shared" si="16"/>
        <v>46.44</v>
      </c>
      <c r="AR7" s="11">
        <f t="shared" si="17"/>
        <v>13</v>
      </c>
      <c r="AS7" s="11">
        <f t="shared" si="18"/>
        <v>52.11</v>
      </c>
      <c r="AT7" s="11" t="str">
        <f t="shared" si="19"/>
        <v/>
      </c>
      <c r="AU7" s="11" t="str">
        <f t="shared" si="20"/>
        <v/>
      </c>
      <c r="AV7" s="11">
        <f t="shared" si="21"/>
        <v>98.55</v>
      </c>
      <c r="AW7" s="11">
        <f t="shared" si="22"/>
        <v>13.5</v>
      </c>
      <c r="AX7" s="11">
        <f t="shared" si="23"/>
        <v>54.64</v>
      </c>
      <c r="AY7" s="11">
        <f t="shared" si="24"/>
        <v>153.19</v>
      </c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73"/>
      <c r="BU7" s="14" t="str">
        <f t="shared" si="25"/>
        <v/>
      </c>
      <c r="BV7" s="14" t="str">
        <f t="shared" si="26"/>
        <v/>
      </c>
      <c r="BW7" s="14" t="str">
        <f t="shared" si="27"/>
        <v/>
      </c>
      <c r="BX7" s="14" t="str">
        <f t="shared" si="28"/>
        <v/>
      </c>
      <c r="BY7" s="14" t="str">
        <f t="shared" si="29"/>
        <v/>
      </c>
      <c r="BZ7" s="14" t="str">
        <f t="shared" si="30"/>
        <v/>
      </c>
      <c r="CA7" s="14" t="str">
        <f t="shared" si="31"/>
        <v/>
      </c>
      <c r="CB7" s="14" t="str">
        <f t="shared" si="32"/>
        <v/>
      </c>
      <c r="CC7" s="14" t="str">
        <f t="shared" si="33"/>
        <v/>
      </c>
      <c r="CD7" s="61">
        <v>15</v>
      </c>
      <c r="CE7" s="61">
        <v>8</v>
      </c>
      <c r="CF7" s="61">
        <v>1.3</v>
      </c>
      <c r="CG7" s="61">
        <v>14.85</v>
      </c>
      <c r="CH7" s="61">
        <v>0</v>
      </c>
      <c r="CI7" s="61">
        <v>0</v>
      </c>
      <c r="CJ7" s="61">
        <v>0</v>
      </c>
      <c r="CK7" s="61">
        <v>0</v>
      </c>
      <c r="CL7" s="61">
        <v>0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 t="shared" si="34"/>
        <v>39.15</v>
      </c>
      <c r="CZ7" s="11" t="str">
        <f t="shared" si="35"/>
        <v/>
      </c>
      <c r="DA7" s="11" t="str">
        <f t="shared" si="36"/>
        <v/>
      </c>
      <c r="DB7" s="11" t="str">
        <f t="shared" si="37"/>
        <v/>
      </c>
      <c r="DC7" s="11" t="str">
        <f t="shared" si="38"/>
        <v/>
      </c>
      <c r="DD7" s="11">
        <f t="shared" si="39"/>
        <v>39.15</v>
      </c>
      <c r="DE7" s="11" t="str">
        <f t="shared" si="40"/>
        <v/>
      </c>
      <c r="DF7" s="11" t="str">
        <f t="shared" si="41"/>
        <v/>
      </c>
      <c r="DG7" s="11">
        <f t="shared" si="42"/>
        <v>39.15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7.5</v>
      </c>
      <c r="NQ7" s="61">
        <f t="shared" si="132"/>
        <v>4</v>
      </c>
      <c r="NR7" s="61">
        <f t="shared" si="133"/>
        <v>0.65</v>
      </c>
      <c r="NS7" s="61">
        <f t="shared" si="134"/>
        <v>7.4249999999999998</v>
      </c>
      <c r="NT7" s="61">
        <f t="shared" si="135"/>
        <v>0</v>
      </c>
      <c r="NU7" s="61">
        <f t="shared" si="136"/>
        <v>0</v>
      </c>
      <c r="NV7" s="61">
        <f t="shared" si="137"/>
        <v>0</v>
      </c>
      <c r="NW7" s="61">
        <f t="shared" si="138"/>
        <v>0</v>
      </c>
      <c r="NX7" s="61">
        <f t="shared" si="139"/>
        <v>0</v>
      </c>
      <c r="NY7" s="61">
        <f t="shared" si="140"/>
        <v>0</v>
      </c>
      <c r="NZ7" s="61">
        <f t="shared" si="141"/>
        <v>0</v>
      </c>
      <c r="OA7" s="61">
        <f t="shared" si="142"/>
        <v>0</v>
      </c>
      <c r="OB7" s="61">
        <f t="shared" si="143"/>
        <v>0</v>
      </c>
      <c r="OC7" s="61">
        <f t="shared" si="144"/>
        <v>0</v>
      </c>
      <c r="OD7" s="61">
        <f t="shared" si="145"/>
        <v>0</v>
      </c>
      <c r="OE7" s="61">
        <f t="shared" si="146"/>
        <v>0</v>
      </c>
      <c r="OF7" s="61">
        <f t="shared" si="147"/>
        <v>0</v>
      </c>
      <c r="OG7" s="61">
        <f t="shared" si="148"/>
        <v>0</v>
      </c>
      <c r="OH7" s="61">
        <f t="shared" si="149"/>
        <v>0</v>
      </c>
      <c r="OI7" s="61">
        <f t="shared" si="150"/>
        <v>0</v>
      </c>
      <c r="OJ7" s="72" t="s">
        <v>52</v>
      </c>
      <c r="OK7" s="11">
        <f t="shared" si="151"/>
        <v>19.574999999999999</v>
      </c>
      <c r="OL7" s="11" t="str">
        <f t="shared" si="152"/>
        <v/>
      </c>
      <c r="OM7" s="11" t="str">
        <f t="shared" si="153"/>
        <v/>
      </c>
      <c r="ON7" s="11" t="str">
        <f t="shared" si="154"/>
        <v/>
      </c>
      <c r="OO7" s="11" t="str">
        <f t="shared" si="155"/>
        <v/>
      </c>
      <c r="OP7" s="11">
        <f t="shared" si="156"/>
        <v>19.574999999999999</v>
      </c>
      <c r="OQ7" s="11" t="str">
        <f t="shared" si="157"/>
        <v/>
      </c>
      <c r="OR7" s="11" t="str">
        <f t="shared" si="158"/>
        <v/>
      </c>
      <c r="OS7" s="11">
        <f t="shared" si="159"/>
        <v>19.574999999999999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122</v>
      </c>
      <c r="C8" s="7" t="s">
        <v>5</v>
      </c>
      <c r="D8" s="26">
        <v>2001</v>
      </c>
      <c r="E8" s="15">
        <f t="shared" si="0"/>
        <v>106.67510086999999</v>
      </c>
      <c r="F8" s="3" t="str">
        <f t="shared" si="1"/>
        <v>P</v>
      </c>
      <c r="G8" s="115" t="str">
        <f t="shared" si="2"/>
        <v>National Team</v>
      </c>
      <c r="H8" s="115" t="str">
        <f t="shared" si="3"/>
        <v>National Team</v>
      </c>
      <c r="I8" s="116" t="str">
        <f t="shared" si="4"/>
        <v>National Team</v>
      </c>
      <c r="J8" s="3" t="str">
        <f t="shared" si="5"/>
        <v/>
      </c>
      <c r="K8" s="14">
        <f t="shared" si="6"/>
        <v>100.87</v>
      </c>
      <c r="L8" s="14" t="str">
        <f t="shared" si="7"/>
        <v>2021 Canadian Championships</v>
      </c>
      <c r="M8" s="14">
        <f t="shared" si="8"/>
        <v>44.995000000000005</v>
      </c>
      <c r="N8" s="14" t="str">
        <f t="shared" si="9"/>
        <v>2021 Elite Canada</v>
      </c>
      <c r="O8" s="14">
        <f t="shared" si="10"/>
        <v>53.894999999999996</v>
      </c>
      <c r="P8" s="14" t="str">
        <f t="shared" si="11"/>
        <v>2021 Elite Canada</v>
      </c>
      <c r="Q8" s="14">
        <f>IF(COUNT(AS8,AU8,AX8,BW8,BY8,CB8,DA8,DC8,DF8)&gt;1,LARGE((AS8,AU8,AX8,BW8,BY8,CB8,DA8,DC8,DF8),2),0)</f>
        <v>52.78</v>
      </c>
      <c r="R8" s="14" t="str">
        <f t="shared" si="12"/>
        <v>2021 Canadian Championships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>
        <v>14.6</v>
      </c>
      <c r="W8" s="61">
        <v>8.3000000000000007</v>
      </c>
      <c r="X8" s="61">
        <v>1.7</v>
      </c>
      <c r="Y8" s="61">
        <v>15.17</v>
      </c>
      <c r="Z8" s="61">
        <v>2</v>
      </c>
      <c r="AA8" s="61">
        <v>12.9</v>
      </c>
      <c r="AB8" s="61">
        <v>9.4</v>
      </c>
      <c r="AC8" s="61">
        <v>13.8</v>
      </c>
      <c r="AD8" s="61">
        <v>16.07</v>
      </c>
      <c r="AE8" s="61">
        <v>0</v>
      </c>
      <c r="AF8" s="61">
        <v>2.2999999999999998</v>
      </c>
      <c r="AG8" s="61">
        <v>1.6</v>
      </c>
      <c r="AH8" s="61">
        <v>3.2</v>
      </c>
      <c r="AI8" s="61">
        <v>3.5649999999999999</v>
      </c>
      <c r="AJ8" s="61">
        <v>0</v>
      </c>
      <c r="AK8" s="61">
        <v>13.5</v>
      </c>
      <c r="AL8" s="61">
        <v>9.1999999999999993</v>
      </c>
      <c r="AM8" s="61">
        <v>13.8</v>
      </c>
      <c r="AN8" s="61">
        <v>15.79</v>
      </c>
      <c r="AO8" s="61">
        <v>0</v>
      </c>
      <c r="AP8" s="72"/>
      <c r="AQ8" s="11">
        <f t="shared" si="16"/>
        <v>37.769999999999996</v>
      </c>
      <c r="AR8" s="11">
        <f t="shared" si="17"/>
        <v>13.8</v>
      </c>
      <c r="AS8" s="11">
        <f t="shared" si="18"/>
        <v>52.17</v>
      </c>
      <c r="AT8" s="11">
        <f t="shared" si="19"/>
        <v>3.2</v>
      </c>
      <c r="AU8" s="11">
        <f t="shared" si="20"/>
        <v>10.664999999999999</v>
      </c>
      <c r="AV8" s="11">
        <f t="shared" si="21"/>
        <v>89.94</v>
      </c>
      <c r="AW8" s="11">
        <f t="shared" si="22"/>
        <v>13.8</v>
      </c>
      <c r="AX8" s="11">
        <f t="shared" si="23"/>
        <v>52.29</v>
      </c>
      <c r="AY8" s="11">
        <f t="shared" si="24"/>
        <v>142.22999999999999</v>
      </c>
      <c r="AZ8" s="67">
        <v>14.8</v>
      </c>
      <c r="BA8" s="67">
        <v>9</v>
      </c>
      <c r="BB8" s="67">
        <v>4.5</v>
      </c>
      <c r="BC8" s="67">
        <v>16.695</v>
      </c>
      <c r="BD8" s="67">
        <v>0</v>
      </c>
      <c r="BE8" s="67">
        <v>14</v>
      </c>
      <c r="BF8" s="67">
        <v>9.1</v>
      </c>
      <c r="BG8" s="67">
        <v>14.4</v>
      </c>
      <c r="BH8" s="67">
        <v>16.395</v>
      </c>
      <c r="BI8" s="67">
        <v>0</v>
      </c>
      <c r="BJ8" s="67">
        <v>2.8</v>
      </c>
      <c r="BK8" s="67">
        <v>1.7</v>
      </c>
      <c r="BL8" s="67">
        <v>3.2</v>
      </c>
      <c r="BM8" s="67">
        <v>3.4550000000000001</v>
      </c>
      <c r="BN8" s="67">
        <v>0</v>
      </c>
      <c r="BO8" s="67">
        <v>4.3</v>
      </c>
      <c r="BP8" s="67">
        <v>3</v>
      </c>
      <c r="BQ8" s="67">
        <v>3.8</v>
      </c>
      <c r="BR8" s="67">
        <v>4.95</v>
      </c>
      <c r="BS8" s="67">
        <v>0</v>
      </c>
      <c r="BT8" s="73"/>
      <c r="BU8" s="14">
        <f t="shared" si="25"/>
        <v>44.995000000000005</v>
      </c>
      <c r="BV8" s="14">
        <f t="shared" si="26"/>
        <v>14.4</v>
      </c>
      <c r="BW8" s="14">
        <f t="shared" si="27"/>
        <v>53.894999999999996</v>
      </c>
      <c r="BX8" s="14">
        <f t="shared" si="28"/>
        <v>3.2</v>
      </c>
      <c r="BY8" s="14">
        <f t="shared" si="29"/>
        <v>11.155000000000001</v>
      </c>
      <c r="BZ8" s="14">
        <f t="shared" si="30"/>
        <v>98.89</v>
      </c>
      <c r="CA8" s="14">
        <f t="shared" si="31"/>
        <v>3.8</v>
      </c>
      <c r="CB8" s="14">
        <f t="shared" si="32"/>
        <v>16.05</v>
      </c>
      <c r="CC8" s="14">
        <f t="shared" si="33"/>
        <v>114.94</v>
      </c>
      <c r="CD8" s="61">
        <v>17.899999999999999</v>
      </c>
      <c r="CE8" s="61">
        <v>9.6999999999999993</v>
      </c>
      <c r="CF8" s="61">
        <v>3.7</v>
      </c>
      <c r="CG8" s="61">
        <v>16.79</v>
      </c>
      <c r="CH8" s="61">
        <v>0</v>
      </c>
      <c r="CI8" s="61">
        <v>6.6</v>
      </c>
      <c r="CJ8" s="61">
        <v>4.7</v>
      </c>
      <c r="CK8" s="61">
        <v>6.8</v>
      </c>
      <c r="CL8" s="61">
        <v>8.0250000000000004</v>
      </c>
      <c r="CM8" s="61">
        <v>0</v>
      </c>
      <c r="CN8" s="61">
        <v>13.8</v>
      </c>
      <c r="CO8" s="61">
        <v>8.8000000000000007</v>
      </c>
      <c r="CP8" s="61">
        <v>14.2</v>
      </c>
      <c r="CQ8" s="61">
        <v>15.98</v>
      </c>
      <c r="CR8" s="61">
        <v>0</v>
      </c>
      <c r="CS8" s="61">
        <v>12.2</v>
      </c>
      <c r="CT8" s="61">
        <v>7.9</v>
      </c>
      <c r="CU8" s="61">
        <v>11.9</v>
      </c>
      <c r="CV8" s="61">
        <v>14.44</v>
      </c>
      <c r="CW8" s="61">
        <v>0</v>
      </c>
      <c r="CX8" s="72"/>
      <c r="CY8" s="11">
        <f t="shared" si="34"/>
        <v>48.089999999999996</v>
      </c>
      <c r="CZ8" s="11">
        <f t="shared" si="35"/>
        <v>6.8</v>
      </c>
      <c r="DA8" s="11">
        <f t="shared" si="36"/>
        <v>26.125</v>
      </c>
      <c r="DB8" s="11">
        <f t="shared" si="37"/>
        <v>14.2</v>
      </c>
      <c r="DC8" s="11">
        <f t="shared" si="38"/>
        <v>52.78</v>
      </c>
      <c r="DD8" s="11">
        <f t="shared" si="39"/>
        <v>100.87</v>
      </c>
      <c r="DE8" s="11">
        <f t="shared" si="40"/>
        <v>11.9</v>
      </c>
      <c r="DF8" s="11">
        <f t="shared" si="41"/>
        <v>46.44</v>
      </c>
      <c r="DG8" s="11">
        <f t="shared" si="42"/>
        <v>147.31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16.350000000000001</v>
      </c>
      <c r="NQ8" s="61">
        <f t="shared" si="132"/>
        <v>9.35</v>
      </c>
      <c r="NR8" s="61">
        <f t="shared" si="133"/>
        <v>4.0999999999999996</v>
      </c>
      <c r="NS8" s="61">
        <f t="shared" si="134"/>
        <v>16.7425</v>
      </c>
      <c r="NT8" s="61">
        <f t="shared" si="135"/>
        <v>0</v>
      </c>
      <c r="NU8" s="61">
        <f t="shared" si="136"/>
        <v>10.3</v>
      </c>
      <c r="NV8" s="61">
        <f t="shared" si="137"/>
        <v>6.9</v>
      </c>
      <c r="NW8" s="61">
        <f t="shared" si="138"/>
        <v>10.6</v>
      </c>
      <c r="NX8" s="61">
        <f t="shared" si="139"/>
        <v>12.21</v>
      </c>
      <c r="NY8" s="61">
        <f t="shared" si="140"/>
        <v>0</v>
      </c>
      <c r="NZ8" s="61">
        <f t="shared" si="141"/>
        <v>8.3000000000000007</v>
      </c>
      <c r="OA8" s="61">
        <f t="shared" si="142"/>
        <v>5.25</v>
      </c>
      <c r="OB8" s="61">
        <f t="shared" si="143"/>
        <v>8.6999999999999993</v>
      </c>
      <c r="OC8" s="61">
        <f t="shared" si="144"/>
        <v>9.7175000000000011</v>
      </c>
      <c r="OD8" s="61">
        <f t="shared" si="145"/>
        <v>0</v>
      </c>
      <c r="OE8" s="61">
        <f t="shared" si="146"/>
        <v>8.25</v>
      </c>
      <c r="OF8" s="61">
        <f t="shared" si="147"/>
        <v>5.45</v>
      </c>
      <c r="OG8" s="61">
        <f t="shared" si="148"/>
        <v>7.85</v>
      </c>
      <c r="OH8" s="61">
        <f t="shared" si="149"/>
        <v>9.6950000000000003</v>
      </c>
      <c r="OI8" s="61">
        <f t="shared" si="150"/>
        <v>0</v>
      </c>
      <c r="OJ8" s="72" t="s">
        <v>52</v>
      </c>
      <c r="OK8" s="11">
        <f t="shared" si="151"/>
        <v>46.542500000000004</v>
      </c>
      <c r="OL8" s="11">
        <f t="shared" si="152"/>
        <v>10.6</v>
      </c>
      <c r="OM8" s="11">
        <f t="shared" si="153"/>
        <v>40.010000000000005</v>
      </c>
      <c r="ON8" s="11">
        <f t="shared" si="154"/>
        <v>8.6999999999999993</v>
      </c>
      <c r="OO8" s="11">
        <f t="shared" si="155"/>
        <v>31.967500000000001</v>
      </c>
      <c r="OP8" s="11">
        <f t="shared" si="156"/>
        <v>86.552500000000009</v>
      </c>
      <c r="OQ8" s="11">
        <f t="shared" si="157"/>
        <v>7.85</v>
      </c>
      <c r="OR8" s="11">
        <f t="shared" si="158"/>
        <v>31.244999999999997</v>
      </c>
      <c r="OS8" s="11">
        <f t="shared" si="159"/>
        <v>117.79750000000001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77</v>
      </c>
      <c r="C9" s="7" t="s">
        <v>3</v>
      </c>
      <c r="D9" s="7">
        <v>2003</v>
      </c>
      <c r="E9" s="15">
        <f t="shared" si="0"/>
        <v>106.67510048500002</v>
      </c>
      <c r="F9" s="3" t="str">
        <f t="shared" si="1"/>
        <v>P</v>
      </c>
      <c r="G9" s="115" t="str">
        <f t="shared" si="2"/>
        <v>National Team</v>
      </c>
      <c r="H9" s="115" t="str">
        <f t="shared" si="3"/>
        <v>National Team</v>
      </c>
      <c r="I9" s="116" t="str">
        <f t="shared" si="4"/>
        <v>National Team</v>
      </c>
      <c r="J9" s="3" t="str">
        <f t="shared" si="5"/>
        <v/>
      </c>
      <c r="K9" s="14">
        <f t="shared" si="6"/>
        <v>100.485</v>
      </c>
      <c r="L9" s="14" t="str">
        <f t="shared" si="7"/>
        <v>2021 2nd Virtual Technical Trial</v>
      </c>
      <c r="M9" s="14">
        <f t="shared" si="8"/>
        <v>45.96</v>
      </c>
      <c r="N9" s="14" t="str">
        <f t="shared" si="9"/>
        <v>2021 Elite Canada</v>
      </c>
      <c r="O9" s="14">
        <f t="shared" si="10"/>
        <v>53.53</v>
      </c>
      <c r="P9" s="14" t="str">
        <f t="shared" si="11"/>
        <v>2021 Canadian Championships</v>
      </c>
      <c r="Q9" s="14">
        <f>IF(COUNT(AS9,AU9,AX9,BW9,BY9,CB9,DA9,DC9,DF9)&gt;1,LARGE((AS9,AU9,AX9,BW9,BY9,CB9,DA9,DC9,DF9),2),0)</f>
        <v>53.145000000000003</v>
      </c>
      <c r="R9" s="14" t="str">
        <f t="shared" si="12"/>
        <v>2021 Elite Canada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>
        <v>16.899999999999999</v>
      </c>
      <c r="W9" s="61">
        <v>9.1999999999999993</v>
      </c>
      <c r="X9" s="61">
        <v>5.2</v>
      </c>
      <c r="Y9" s="61">
        <v>16.11</v>
      </c>
      <c r="Z9" s="61">
        <v>0</v>
      </c>
      <c r="AA9" s="61">
        <v>13.8</v>
      </c>
      <c r="AB9" s="61">
        <v>9.1999999999999993</v>
      </c>
      <c r="AC9" s="61">
        <v>14.4</v>
      </c>
      <c r="AD9" s="61">
        <v>15.675000000000001</v>
      </c>
      <c r="AE9" s="61">
        <v>0</v>
      </c>
      <c r="AF9" s="61">
        <v>4</v>
      </c>
      <c r="AG9" s="61">
        <v>2.4</v>
      </c>
      <c r="AH9" s="61">
        <v>5.0999999999999996</v>
      </c>
      <c r="AI9" s="61">
        <v>5</v>
      </c>
      <c r="AJ9" s="61">
        <v>0</v>
      </c>
      <c r="AK9" s="61">
        <v>4</v>
      </c>
      <c r="AL9" s="61">
        <v>2.5</v>
      </c>
      <c r="AM9" s="61">
        <v>5.0999999999999996</v>
      </c>
      <c r="AN9" s="61">
        <v>4.8849999999999998</v>
      </c>
      <c r="AO9" s="61">
        <v>0</v>
      </c>
      <c r="AP9" s="72"/>
      <c r="AQ9" s="11">
        <f t="shared" si="16"/>
        <v>47.41</v>
      </c>
      <c r="AR9" s="11">
        <f t="shared" si="17"/>
        <v>14.4</v>
      </c>
      <c r="AS9" s="11">
        <f t="shared" si="18"/>
        <v>53.075000000000003</v>
      </c>
      <c r="AT9" s="11">
        <f t="shared" si="19"/>
        <v>5.0999999999999996</v>
      </c>
      <c r="AU9" s="11">
        <f t="shared" si="20"/>
        <v>16.5</v>
      </c>
      <c r="AV9" s="11">
        <f t="shared" si="21"/>
        <v>100.485</v>
      </c>
      <c r="AW9" s="11">
        <f t="shared" si="22"/>
        <v>5.0999999999999996</v>
      </c>
      <c r="AX9" s="11">
        <f t="shared" si="23"/>
        <v>16.484999999999999</v>
      </c>
      <c r="AY9" s="11">
        <f t="shared" si="24"/>
        <v>116.97</v>
      </c>
      <c r="AZ9" s="67">
        <v>15.4</v>
      </c>
      <c r="BA9" s="67">
        <v>8.9</v>
      </c>
      <c r="BB9" s="67">
        <v>5.2</v>
      </c>
      <c r="BC9" s="67">
        <v>16.46</v>
      </c>
      <c r="BD9" s="67">
        <v>0</v>
      </c>
      <c r="BE9" s="67">
        <v>14</v>
      </c>
      <c r="BF9" s="67">
        <v>8.8000000000000007</v>
      </c>
      <c r="BG9" s="67">
        <v>14.4</v>
      </c>
      <c r="BH9" s="67">
        <v>15.945</v>
      </c>
      <c r="BI9" s="67">
        <v>0</v>
      </c>
      <c r="BJ9" s="67">
        <v>13.2</v>
      </c>
      <c r="BK9" s="67">
        <v>8.6999999999999993</v>
      </c>
      <c r="BL9" s="67">
        <v>14.4</v>
      </c>
      <c r="BM9" s="67">
        <v>15.88</v>
      </c>
      <c r="BN9" s="67">
        <v>0</v>
      </c>
      <c r="BO9" s="67">
        <v>10.8</v>
      </c>
      <c r="BP9" s="67">
        <v>8.3000000000000007</v>
      </c>
      <c r="BQ9" s="67">
        <v>14.4</v>
      </c>
      <c r="BR9" s="67">
        <v>16.024999999999999</v>
      </c>
      <c r="BS9" s="67">
        <v>0</v>
      </c>
      <c r="BT9" s="73"/>
      <c r="BU9" s="14">
        <f t="shared" si="25"/>
        <v>45.96</v>
      </c>
      <c r="BV9" s="14">
        <f t="shared" si="26"/>
        <v>14.4</v>
      </c>
      <c r="BW9" s="14">
        <f t="shared" si="27"/>
        <v>53.145000000000003</v>
      </c>
      <c r="BX9" s="14">
        <f t="shared" si="28"/>
        <v>14.4</v>
      </c>
      <c r="BY9" s="14">
        <f t="shared" si="29"/>
        <v>52.18</v>
      </c>
      <c r="BZ9" s="14">
        <f t="shared" si="30"/>
        <v>99.105000000000004</v>
      </c>
      <c r="CA9" s="14">
        <f t="shared" si="31"/>
        <v>14.4</v>
      </c>
      <c r="CB9" s="14">
        <f t="shared" si="32"/>
        <v>49.524999999999999</v>
      </c>
      <c r="CC9" s="14">
        <f t="shared" si="33"/>
        <v>148.63</v>
      </c>
      <c r="CD9" s="61">
        <v>15.4</v>
      </c>
      <c r="CE9" s="61">
        <v>8.1999999999999993</v>
      </c>
      <c r="CF9" s="61">
        <v>3.8</v>
      </c>
      <c r="CG9" s="61">
        <v>14.565</v>
      </c>
      <c r="CH9" s="61">
        <v>0</v>
      </c>
      <c r="CI9" s="61">
        <v>14.3</v>
      </c>
      <c r="CJ9" s="61">
        <v>9</v>
      </c>
      <c r="CK9" s="61">
        <v>14.4</v>
      </c>
      <c r="CL9" s="61">
        <v>15.83</v>
      </c>
      <c r="CM9" s="61">
        <v>0</v>
      </c>
      <c r="CN9" s="61">
        <v>2.9</v>
      </c>
      <c r="CO9" s="61">
        <v>1.7</v>
      </c>
      <c r="CP9" s="61">
        <v>3.4</v>
      </c>
      <c r="CQ9" s="61">
        <v>3.4</v>
      </c>
      <c r="CR9" s="61">
        <v>0</v>
      </c>
      <c r="CS9" s="61">
        <v>13.4</v>
      </c>
      <c r="CT9" s="61">
        <v>8.5</v>
      </c>
      <c r="CU9" s="61">
        <v>14.4</v>
      </c>
      <c r="CV9" s="61">
        <v>15.62</v>
      </c>
      <c r="CW9" s="61">
        <v>0</v>
      </c>
      <c r="CX9" s="72"/>
      <c r="CY9" s="11">
        <f t="shared" si="34"/>
        <v>41.965000000000003</v>
      </c>
      <c r="CZ9" s="11">
        <f t="shared" si="35"/>
        <v>14.4</v>
      </c>
      <c r="DA9" s="11">
        <f t="shared" si="36"/>
        <v>53.53</v>
      </c>
      <c r="DB9" s="11">
        <f t="shared" si="37"/>
        <v>3.4</v>
      </c>
      <c r="DC9" s="11">
        <f t="shared" si="38"/>
        <v>11.4</v>
      </c>
      <c r="DD9" s="11">
        <f t="shared" si="39"/>
        <v>95.495000000000005</v>
      </c>
      <c r="DE9" s="11">
        <f t="shared" si="40"/>
        <v>14.4</v>
      </c>
      <c r="DF9" s="11">
        <f t="shared" si="41"/>
        <v>51.919999999999995</v>
      </c>
      <c r="DG9" s="11">
        <f t="shared" si="42"/>
        <v>147.41499999999999</v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15.4</v>
      </c>
      <c r="NQ9" s="61">
        <f t="shared" si="132"/>
        <v>8.5500000000000007</v>
      </c>
      <c r="NR9" s="61">
        <f t="shared" si="133"/>
        <v>4.5</v>
      </c>
      <c r="NS9" s="61">
        <f t="shared" si="134"/>
        <v>15.512499999999999</v>
      </c>
      <c r="NT9" s="61">
        <f t="shared" si="135"/>
        <v>0</v>
      </c>
      <c r="NU9" s="61">
        <f t="shared" si="136"/>
        <v>14.15</v>
      </c>
      <c r="NV9" s="61">
        <f t="shared" si="137"/>
        <v>8.9</v>
      </c>
      <c r="NW9" s="61">
        <f t="shared" si="138"/>
        <v>14.4</v>
      </c>
      <c r="NX9" s="61">
        <f t="shared" si="139"/>
        <v>15.887499999999999</v>
      </c>
      <c r="NY9" s="61">
        <f t="shared" si="140"/>
        <v>0</v>
      </c>
      <c r="NZ9" s="61">
        <f t="shared" si="141"/>
        <v>8.0499999999999989</v>
      </c>
      <c r="OA9" s="61">
        <f t="shared" si="142"/>
        <v>5.1999999999999993</v>
      </c>
      <c r="OB9" s="61">
        <f t="shared" si="143"/>
        <v>8.9</v>
      </c>
      <c r="OC9" s="61">
        <f t="shared" si="144"/>
        <v>9.64</v>
      </c>
      <c r="OD9" s="61">
        <f t="shared" si="145"/>
        <v>0</v>
      </c>
      <c r="OE9" s="61">
        <f t="shared" si="146"/>
        <v>12.100000000000001</v>
      </c>
      <c r="OF9" s="61">
        <f t="shared" si="147"/>
        <v>8.4</v>
      </c>
      <c r="OG9" s="61">
        <f t="shared" si="148"/>
        <v>14.4</v>
      </c>
      <c r="OH9" s="61">
        <f t="shared" si="149"/>
        <v>15.822499999999998</v>
      </c>
      <c r="OI9" s="61">
        <f t="shared" si="150"/>
        <v>0</v>
      </c>
      <c r="OJ9" s="72" t="s">
        <v>52</v>
      </c>
      <c r="OK9" s="11">
        <f t="shared" si="151"/>
        <v>43.962500000000006</v>
      </c>
      <c r="OL9" s="11">
        <f t="shared" si="152"/>
        <v>14.4</v>
      </c>
      <c r="OM9" s="11">
        <f t="shared" si="153"/>
        <v>53.337500000000006</v>
      </c>
      <c r="ON9" s="11">
        <f t="shared" si="154"/>
        <v>8.9</v>
      </c>
      <c r="OO9" s="11">
        <f t="shared" si="155"/>
        <v>31.79</v>
      </c>
      <c r="OP9" s="11">
        <f t="shared" si="156"/>
        <v>97.300000000000011</v>
      </c>
      <c r="OQ9" s="11">
        <f t="shared" si="157"/>
        <v>14.4</v>
      </c>
      <c r="OR9" s="11">
        <f t="shared" si="158"/>
        <v>50.722499999999997</v>
      </c>
      <c r="OS9" s="11">
        <f t="shared" si="159"/>
        <v>148.02250000000001</v>
      </c>
    </row>
    <row r="10" spans="1:409" x14ac:dyDescent="0.2">
      <c r="A10" s="5" t="str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/>
      </c>
      <c r="B10" s="6" t="s">
        <v>85</v>
      </c>
      <c r="C10" s="7" t="s">
        <v>4</v>
      </c>
      <c r="D10" s="26">
        <v>2003</v>
      </c>
      <c r="E10" s="15">
        <f t="shared" si="0"/>
        <v>102.000096715</v>
      </c>
      <c r="F10" s="3" t="str">
        <f t="shared" si="1"/>
        <v>P</v>
      </c>
      <c r="G10" s="115" t="str">
        <f t="shared" si="2"/>
        <v>National Team</v>
      </c>
      <c r="H10" s="115" t="str">
        <f t="shared" si="3"/>
        <v/>
      </c>
      <c r="I10" s="116" t="str">
        <f t="shared" si="4"/>
        <v/>
      </c>
      <c r="J10" s="3" t="str">
        <f t="shared" si="5"/>
        <v/>
      </c>
      <c r="K10" s="14">
        <f t="shared" si="6"/>
        <v>96.715000000000003</v>
      </c>
      <c r="L10" s="14" t="str">
        <f t="shared" si="7"/>
        <v>2021 Elite Canada</v>
      </c>
      <c r="M10" s="14">
        <f t="shared" si="8"/>
        <v>45.884999999999998</v>
      </c>
      <c r="N10" s="14" t="str">
        <f t="shared" si="9"/>
        <v>2021 Canadian Championships</v>
      </c>
      <c r="O10" s="14">
        <f t="shared" si="10"/>
        <v>51.35</v>
      </c>
      <c r="P10" s="14" t="str">
        <f t="shared" si="11"/>
        <v>2021 Elite Canada</v>
      </c>
      <c r="Q10" s="14">
        <f>IF(COUNT(AS10,AU10,AX10,BW10,BY10,CB10,DA10,DC10,DF10)&gt;1,LARGE((AS10,AU10,AX10,BW10,BY10,CB10,DA10,DC10,DF10),2),0)</f>
        <v>50.65</v>
      </c>
      <c r="R10" s="14" t="str">
        <f t="shared" si="12"/>
        <v>2021 Elite Canada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17.3</v>
      </c>
      <c r="W10" s="61">
        <v>9.6999999999999993</v>
      </c>
      <c r="X10" s="61">
        <v>2.9</v>
      </c>
      <c r="Y10" s="61">
        <v>14.96</v>
      </c>
      <c r="Z10" s="61">
        <v>0</v>
      </c>
      <c r="AA10" s="61">
        <v>8.3000000000000007</v>
      </c>
      <c r="AB10" s="61">
        <v>5.5</v>
      </c>
      <c r="AC10" s="61">
        <v>8.3000000000000007</v>
      </c>
      <c r="AD10" s="61">
        <v>8.68</v>
      </c>
      <c r="AE10" s="61">
        <v>0</v>
      </c>
      <c r="AF10" s="61"/>
      <c r="AG10" s="61"/>
      <c r="AH10" s="61"/>
      <c r="AI10" s="61"/>
      <c r="AJ10" s="61"/>
      <c r="AK10" s="61">
        <v>8.6</v>
      </c>
      <c r="AL10" s="61">
        <v>5.7</v>
      </c>
      <c r="AM10" s="61">
        <v>8.3000000000000007</v>
      </c>
      <c r="AN10" s="61">
        <v>8.76</v>
      </c>
      <c r="AO10" s="61">
        <v>0</v>
      </c>
      <c r="AP10" s="72"/>
      <c r="AQ10" s="11">
        <f t="shared" si="16"/>
        <v>44.86</v>
      </c>
      <c r="AR10" s="11">
        <f t="shared" si="17"/>
        <v>8.3000000000000007</v>
      </c>
      <c r="AS10" s="11">
        <f t="shared" si="18"/>
        <v>30.78</v>
      </c>
      <c r="AT10" s="11" t="str">
        <f t="shared" si="19"/>
        <v/>
      </c>
      <c r="AU10" s="11" t="str">
        <f t="shared" si="20"/>
        <v/>
      </c>
      <c r="AV10" s="11">
        <f t="shared" si="21"/>
        <v>75.64</v>
      </c>
      <c r="AW10" s="11">
        <f t="shared" si="22"/>
        <v>8.3000000000000007</v>
      </c>
      <c r="AX10" s="11">
        <f t="shared" si="23"/>
        <v>31.36</v>
      </c>
      <c r="AY10" s="11">
        <f t="shared" si="24"/>
        <v>107</v>
      </c>
      <c r="AZ10" s="67">
        <v>16</v>
      </c>
      <c r="BA10" s="67">
        <v>9.1999999999999993</v>
      </c>
      <c r="BB10" s="67">
        <v>5.2</v>
      </c>
      <c r="BC10" s="67">
        <v>14.965</v>
      </c>
      <c r="BD10" s="67">
        <v>0</v>
      </c>
      <c r="BE10" s="67">
        <v>13.4</v>
      </c>
      <c r="BF10" s="67">
        <v>9</v>
      </c>
      <c r="BG10" s="67">
        <v>13.5</v>
      </c>
      <c r="BH10" s="67">
        <v>14.75</v>
      </c>
      <c r="BI10" s="67">
        <v>0</v>
      </c>
      <c r="BJ10" s="67">
        <v>14.2</v>
      </c>
      <c r="BK10" s="67">
        <v>9</v>
      </c>
      <c r="BL10" s="67">
        <v>13.5</v>
      </c>
      <c r="BM10" s="67">
        <v>14.65</v>
      </c>
      <c r="BN10" s="67">
        <v>0</v>
      </c>
      <c r="BO10" s="67">
        <v>13.7</v>
      </c>
      <c r="BP10" s="67">
        <v>8.9</v>
      </c>
      <c r="BQ10" s="67">
        <v>12.1</v>
      </c>
      <c r="BR10" s="67">
        <v>14.43</v>
      </c>
      <c r="BS10" s="67">
        <v>0</v>
      </c>
      <c r="BT10" s="73"/>
      <c r="BU10" s="14">
        <f t="shared" si="25"/>
        <v>45.364999999999995</v>
      </c>
      <c r="BV10" s="14">
        <f t="shared" si="26"/>
        <v>13.5</v>
      </c>
      <c r="BW10" s="14">
        <f t="shared" si="27"/>
        <v>50.65</v>
      </c>
      <c r="BX10" s="14">
        <f t="shared" si="28"/>
        <v>13.5</v>
      </c>
      <c r="BY10" s="14">
        <f t="shared" si="29"/>
        <v>51.35</v>
      </c>
      <c r="BZ10" s="14">
        <f t="shared" si="30"/>
        <v>96.715000000000003</v>
      </c>
      <c r="CA10" s="14">
        <f t="shared" si="31"/>
        <v>12.1</v>
      </c>
      <c r="CB10" s="14">
        <f t="shared" si="32"/>
        <v>49.13</v>
      </c>
      <c r="CC10" s="14">
        <f t="shared" si="33"/>
        <v>145.845</v>
      </c>
      <c r="CD10" s="61">
        <v>16</v>
      </c>
      <c r="CE10" s="61">
        <v>9.3000000000000007</v>
      </c>
      <c r="CF10" s="61">
        <v>5.2</v>
      </c>
      <c r="CG10" s="61">
        <v>15.385</v>
      </c>
      <c r="CH10" s="61">
        <v>0</v>
      </c>
      <c r="CI10" s="61">
        <v>10.199999999999999</v>
      </c>
      <c r="CJ10" s="61">
        <v>6.6</v>
      </c>
      <c r="CK10" s="61">
        <v>9.6</v>
      </c>
      <c r="CL10" s="61">
        <v>12.215</v>
      </c>
      <c r="CM10" s="61">
        <v>0</v>
      </c>
      <c r="CN10" s="61">
        <v>9.8000000000000007</v>
      </c>
      <c r="CO10" s="61">
        <v>6.6</v>
      </c>
      <c r="CP10" s="61">
        <v>9.6</v>
      </c>
      <c r="CQ10" s="61">
        <v>10.914999999999999</v>
      </c>
      <c r="CR10" s="61">
        <v>0</v>
      </c>
      <c r="CS10" s="61">
        <v>2.8</v>
      </c>
      <c r="CT10" s="61">
        <v>1.8</v>
      </c>
      <c r="CU10" s="61">
        <v>2.7</v>
      </c>
      <c r="CV10" s="61">
        <v>3.15</v>
      </c>
      <c r="CW10" s="61">
        <v>0</v>
      </c>
      <c r="CX10" s="72"/>
      <c r="CY10" s="11">
        <f t="shared" si="34"/>
        <v>45.884999999999998</v>
      </c>
      <c r="CZ10" s="11">
        <f t="shared" si="35"/>
        <v>9.6</v>
      </c>
      <c r="DA10" s="11">
        <f t="shared" si="36"/>
        <v>38.614999999999995</v>
      </c>
      <c r="DB10" s="11">
        <f t="shared" si="37"/>
        <v>9.6</v>
      </c>
      <c r="DC10" s="11">
        <f t="shared" si="38"/>
        <v>36.914999999999999</v>
      </c>
      <c r="DD10" s="11">
        <f t="shared" si="39"/>
        <v>84.5</v>
      </c>
      <c r="DE10" s="11">
        <f t="shared" si="40"/>
        <v>2.7</v>
      </c>
      <c r="DF10" s="11">
        <f t="shared" si="41"/>
        <v>10.45</v>
      </c>
      <c r="DG10" s="11">
        <f t="shared" si="42"/>
        <v>94.95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16</v>
      </c>
      <c r="NQ10" s="61">
        <f t="shared" si="132"/>
        <v>9.25</v>
      </c>
      <c r="NR10" s="61">
        <f t="shared" si="133"/>
        <v>5.2</v>
      </c>
      <c r="NS10" s="61">
        <f t="shared" si="134"/>
        <v>15.175000000000001</v>
      </c>
      <c r="NT10" s="61">
        <f t="shared" si="135"/>
        <v>0</v>
      </c>
      <c r="NU10" s="61">
        <f t="shared" si="136"/>
        <v>11.8</v>
      </c>
      <c r="NV10" s="61">
        <f t="shared" si="137"/>
        <v>7.8</v>
      </c>
      <c r="NW10" s="61">
        <f t="shared" si="138"/>
        <v>11.55</v>
      </c>
      <c r="NX10" s="61">
        <f t="shared" si="139"/>
        <v>13.4825</v>
      </c>
      <c r="NY10" s="61">
        <f t="shared" si="140"/>
        <v>0</v>
      </c>
      <c r="NZ10" s="61">
        <f t="shared" si="141"/>
        <v>12</v>
      </c>
      <c r="OA10" s="61">
        <f t="shared" si="142"/>
        <v>7.8</v>
      </c>
      <c r="OB10" s="61">
        <f t="shared" si="143"/>
        <v>11.55</v>
      </c>
      <c r="OC10" s="61">
        <f t="shared" si="144"/>
        <v>12.782499999999999</v>
      </c>
      <c r="OD10" s="61">
        <f t="shared" si="145"/>
        <v>0</v>
      </c>
      <c r="OE10" s="61">
        <f t="shared" si="146"/>
        <v>8.25</v>
      </c>
      <c r="OF10" s="61">
        <f t="shared" si="147"/>
        <v>5.3500000000000005</v>
      </c>
      <c r="OG10" s="61">
        <f t="shared" si="148"/>
        <v>7.4</v>
      </c>
      <c r="OH10" s="61">
        <f t="shared" si="149"/>
        <v>8.7899999999999991</v>
      </c>
      <c r="OI10" s="61">
        <f t="shared" si="150"/>
        <v>0</v>
      </c>
      <c r="OJ10" s="72" t="s">
        <v>52</v>
      </c>
      <c r="OK10" s="11">
        <f t="shared" si="151"/>
        <v>45.625</v>
      </c>
      <c r="OL10" s="11">
        <f t="shared" si="152"/>
        <v>11.55</v>
      </c>
      <c r="OM10" s="11">
        <f t="shared" si="153"/>
        <v>44.6325</v>
      </c>
      <c r="ON10" s="11">
        <f t="shared" si="154"/>
        <v>11.55</v>
      </c>
      <c r="OO10" s="11">
        <f t="shared" si="155"/>
        <v>44.1325</v>
      </c>
      <c r="OP10" s="11">
        <f t="shared" si="156"/>
        <v>90.257499999999993</v>
      </c>
      <c r="OQ10" s="11">
        <f t="shared" si="157"/>
        <v>7.4</v>
      </c>
      <c r="OR10" s="11">
        <f t="shared" si="158"/>
        <v>29.79</v>
      </c>
      <c r="OS10" s="11">
        <f t="shared" si="159"/>
        <v>120.04749999999999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7</v>
      </c>
      <c r="B11" s="6" t="s">
        <v>134</v>
      </c>
      <c r="C11" s="7" t="s">
        <v>135</v>
      </c>
      <c r="D11" s="26">
        <v>2004</v>
      </c>
      <c r="E11" s="15">
        <f t="shared" si="0"/>
        <v>104.985095685</v>
      </c>
      <c r="F11" s="3" t="str">
        <f t="shared" si="1"/>
        <v/>
      </c>
      <c r="G11" s="115" t="str">
        <f t="shared" si="2"/>
        <v/>
      </c>
      <c r="H11" s="115" t="str">
        <f t="shared" si="3"/>
        <v>National Team</v>
      </c>
      <c r="I11" s="116" t="str">
        <f t="shared" si="4"/>
        <v>No DD</v>
      </c>
      <c r="J11" s="3" t="str">
        <f t="shared" si="5"/>
        <v/>
      </c>
      <c r="K11" s="14">
        <f t="shared" si="6"/>
        <v>95.685000000000002</v>
      </c>
      <c r="L11" s="14" t="str">
        <f t="shared" si="7"/>
        <v>2021 Elite Canada</v>
      </c>
      <c r="M11" s="14">
        <f t="shared" si="8"/>
        <v>46.894999999999996</v>
      </c>
      <c r="N11" s="14" t="str">
        <f t="shared" si="9"/>
        <v>2021 Canadian Championships</v>
      </c>
      <c r="O11" s="14">
        <f t="shared" si="10"/>
        <v>53.11</v>
      </c>
      <c r="P11" s="14" t="str">
        <f t="shared" si="11"/>
        <v>2021 Elite Canada</v>
      </c>
      <c r="Q11" s="14">
        <f>IF(COUNT(AS11,AU11,AX11,BW11,BY11,CB11,DA11,DC11,DF11)&gt;1,LARGE((AS11,AU11,AX11,BW11,BY11,CB11,DA11,DC11,DF11),2),0)</f>
        <v>51.875</v>
      </c>
      <c r="R11" s="14" t="str">
        <f t="shared" si="12"/>
        <v>2021 Elite Canada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 t="str">
        <f t="shared" si="16"/>
        <v/>
      </c>
      <c r="AR11" s="11" t="str">
        <f t="shared" si="17"/>
        <v/>
      </c>
      <c r="AS11" s="11" t="str">
        <f t="shared" si="18"/>
        <v/>
      </c>
      <c r="AT11" s="11" t="str">
        <f t="shared" si="19"/>
        <v/>
      </c>
      <c r="AU11" s="11" t="str">
        <f t="shared" si="20"/>
        <v/>
      </c>
      <c r="AV11" s="11" t="str">
        <f t="shared" si="21"/>
        <v/>
      </c>
      <c r="AW11" s="11" t="str">
        <f t="shared" si="22"/>
        <v/>
      </c>
      <c r="AX11" s="11" t="str">
        <f t="shared" si="23"/>
        <v/>
      </c>
      <c r="AY11" s="11" t="str">
        <f t="shared" si="24"/>
        <v/>
      </c>
      <c r="AZ11" s="67">
        <v>14.9</v>
      </c>
      <c r="BA11" s="67">
        <v>8.4</v>
      </c>
      <c r="BB11" s="67">
        <v>3.8</v>
      </c>
      <c r="BC11" s="67">
        <v>16.71</v>
      </c>
      <c r="BD11" s="67">
        <v>0</v>
      </c>
      <c r="BE11" s="67">
        <v>15</v>
      </c>
      <c r="BF11" s="67">
        <v>8.3000000000000007</v>
      </c>
      <c r="BG11" s="67">
        <v>12.5</v>
      </c>
      <c r="BH11" s="67">
        <v>16.074999999999999</v>
      </c>
      <c r="BI11" s="67">
        <v>0</v>
      </c>
      <c r="BJ11" s="67"/>
      <c r="BK11" s="67"/>
      <c r="BL11" s="67"/>
      <c r="BM11" s="67"/>
      <c r="BN11" s="67"/>
      <c r="BO11" s="67">
        <v>15.8</v>
      </c>
      <c r="BP11" s="67">
        <v>8.6</v>
      </c>
      <c r="BQ11" s="67">
        <v>12.5</v>
      </c>
      <c r="BR11" s="67">
        <v>16.21</v>
      </c>
      <c r="BS11" s="67">
        <v>0</v>
      </c>
      <c r="BT11" s="73"/>
      <c r="BU11" s="14">
        <f t="shared" si="25"/>
        <v>43.81</v>
      </c>
      <c r="BV11" s="14">
        <f t="shared" si="26"/>
        <v>12.5</v>
      </c>
      <c r="BW11" s="14">
        <f t="shared" si="27"/>
        <v>51.875</v>
      </c>
      <c r="BX11" s="14" t="str">
        <f t="shared" si="28"/>
        <v/>
      </c>
      <c r="BY11" s="14" t="str">
        <f t="shared" si="29"/>
        <v/>
      </c>
      <c r="BZ11" s="14">
        <f t="shared" si="30"/>
        <v>95.685000000000002</v>
      </c>
      <c r="CA11" s="14">
        <f t="shared" si="31"/>
        <v>12.5</v>
      </c>
      <c r="CB11" s="14">
        <f t="shared" si="32"/>
        <v>53.11</v>
      </c>
      <c r="CC11" s="14">
        <f t="shared" si="33"/>
        <v>148.79500000000002</v>
      </c>
      <c r="CD11" s="61">
        <v>16.899999999999999</v>
      </c>
      <c r="CE11" s="61">
        <v>9.1</v>
      </c>
      <c r="CF11" s="61">
        <v>3.8</v>
      </c>
      <c r="CG11" s="61">
        <v>17.094999999999999</v>
      </c>
      <c r="CH11" s="61">
        <v>0</v>
      </c>
      <c r="CI11" s="61">
        <v>7.4</v>
      </c>
      <c r="CJ11" s="61">
        <v>4.4000000000000004</v>
      </c>
      <c r="CK11" s="61">
        <v>6.9</v>
      </c>
      <c r="CL11" s="61">
        <v>8.3949999999999996</v>
      </c>
      <c r="CM11" s="61">
        <v>0</v>
      </c>
      <c r="CN11" s="61"/>
      <c r="CO11" s="61"/>
      <c r="CP11" s="61"/>
      <c r="CQ11" s="61"/>
      <c r="CR11" s="61"/>
      <c r="CS11" s="61">
        <v>5.4</v>
      </c>
      <c r="CT11" s="61">
        <v>3.1</v>
      </c>
      <c r="CU11" s="61">
        <v>5.6</v>
      </c>
      <c r="CV11" s="61">
        <v>6.63</v>
      </c>
      <c r="CW11" s="61">
        <v>0</v>
      </c>
      <c r="CX11" s="72"/>
      <c r="CY11" s="11">
        <f t="shared" si="34"/>
        <v>46.894999999999996</v>
      </c>
      <c r="CZ11" s="11">
        <f t="shared" si="35"/>
        <v>6.9</v>
      </c>
      <c r="DA11" s="11">
        <f t="shared" si="36"/>
        <v>27.095000000000002</v>
      </c>
      <c r="DB11" s="11" t="str">
        <f t="shared" si="37"/>
        <v/>
      </c>
      <c r="DC11" s="11" t="str">
        <f t="shared" si="38"/>
        <v/>
      </c>
      <c r="DD11" s="11">
        <f t="shared" si="39"/>
        <v>73.989999999999995</v>
      </c>
      <c r="DE11" s="11">
        <f t="shared" si="40"/>
        <v>5.6</v>
      </c>
      <c r="DF11" s="11">
        <f t="shared" si="41"/>
        <v>20.73</v>
      </c>
      <c r="DG11" s="11">
        <f t="shared" si="42"/>
        <v>94.72</v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15.899999999999999</v>
      </c>
      <c r="NQ11" s="61">
        <f t="shared" si="132"/>
        <v>8.75</v>
      </c>
      <c r="NR11" s="61">
        <f t="shared" si="133"/>
        <v>3.8</v>
      </c>
      <c r="NS11" s="61">
        <f t="shared" si="134"/>
        <v>16.9025</v>
      </c>
      <c r="NT11" s="61">
        <f t="shared" si="135"/>
        <v>0</v>
      </c>
      <c r="NU11" s="61">
        <f t="shared" si="136"/>
        <v>11.2</v>
      </c>
      <c r="NV11" s="61">
        <f t="shared" si="137"/>
        <v>6.3500000000000005</v>
      </c>
      <c r="NW11" s="61">
        <f t="shared" si="138"/>
        <v>9.6999999999999993</v>
      </c>
      <c r="NX11" s="61">
        <f t="shared" si="139"/>
        <v>12.234999999999999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10.600000000000001</v>
      </c>
      <c r="OF11" s="61">
        <f t="shared" si="147"/>
        <v>5.85</v>
      </c>
      <c r="OG11" s="61">
        <f t="shared" si="148"/>
        <v>9.0500000000000007</v>
      </c>
      <c r="OH11" s="61">
        <f t="shared" si="149"/>
        <v>11.42</v>
      </c>
      <c r="OI11" s="61">
        <f t="shared" si="150"/>
        <v>0</v>
      </c>
      <c r="OJ11" s="72" t="s">
        <v>52</v>
      </c>
      <c r="OK11" s="11">
        <f t="shared" si="151"/>
        <v>45.352499999999999</v>
      </c>
      <c r="OL11" s="11">
        <f t="shared" si="152"/>
        <v>9.6999999999999993</v>
      </c>
      <c r="OM11" s="11">
        <f t="shared" si="153"/>
        <v>39.484999999999999</v>
      </c>
      <c r="ON11" s="11" t="str">
        <f t="shared" si="154"/>
        <v/>
      </c>
      <c r="OO11" s="11" t="str">
        <f t="shared" si="155"/>
        <v/>
      </c>
      <c r="OP11" s="11">
        <f t="shared" si="156"/>
        <v>84.837500000000006</v>
      </c>
      <c r="OQ11" s="11">
        <f t="shared" si="157"/>
        <v>9.0500000000000007</v>
      </c>
      <c r="OR11" s="11">
        <f t="shared" ref="OR11" si="160">IF(SUM(OE11:OH11)-OI11&gt;0,SUM(OE11:OH11)-OI11,"")</f>
        <v>36.92</v>
      </c>
      <c r="OS11" s="11">
        <f t="shared" ref="OS11" si="161">IF(SUM(OP11,OR11)&gt;0,SUM(OP11,OR11),"")</f>
        <v>121.75750000000001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91</v>
      </c>
      <c r="C12" s="7" t="s">
        <v>4</v>
      </c>
      <c r="D12" s="26">
        <v>2002</v>
      </c>
      <c r="E12" s="15">
        <f t="shared" si="0"/>
        <v>100.20009349999999</v>
      </c>
      <c r="F12" s="3" t="str">
        <f t="shared" si="1"/>
        <v/>
      </c>
      <c r="G12" s="115" t="str">
        <f t="shared" si="2"/>
        <v/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93.5</v>
      </c>
      <c r="L12" s="14" t="str">
        <f t="shared" si="7"/>
        <v>2021 Elite Canada</v>
      </c>
      <c r="M12" s="14">
        <f t="shared" si="8"/>
        <v>41.86</v>
      </c>
      <c r="N12" s="14" t="str">
        <f t="shared" si="9"/>
        <v>2021 2nd Virtual Technical Trial</v>
      </c>
      <c r="O12" s="14">
        <f t="shared" si="10"/>
        <v>50.36</v>
      </c>
      <c r="P12" s="14" t="str">
        <f t="shared" si="11"/>
        <v>2021 2nd Virtual Technical Trial</v>
      </c>
      <c r="Q12" s="14">
        <f>IF(COUNT(AS12,AU12,AX12,BW12,BY12,CB12,DA12,DC12,DF12)&gt;1,LARGE((AS12,AU12,AX12,BW12,BY12,CB12,DA12,DC12,DF12),2),0)</f>
        <v>49.839999999999996</v>
      </c>
      <c r="R12" s="14" t="str">
        <f t="shared" si="12"/>
        <v>2021 Elite Canada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>
        <v>15</v>
      </c>
      <c r="W12" s="61">
        <v>8.5</v>
      </c>
      <c r="X12" s="61">
        <v>2.9</v>
      </c>
      <c r="Y12" s="61">
        <v>15.46</v>
      </c>
      <c r="Z12" s="61">
        <v>0</v>
      </c>
      <c r="AA12" s="61">
        <v>15.4</v>
      </c>
      <c r="AB12" s="61">
        <v>9.1</v>
      </c>
      <c r="AC12" s="61">
        <v>10.5</v>
      </c>
      <c r="AD12" s="61">
        <v>15.36</v>
      </c>
      <c r="AE12" s="61">
        <v>0</v>
      </c>
      <c r="AF12" s="61"/>
      <c r="AG12" s="61"/>
      <c r="AH12" s="61"/>
      <c r="AI12" s="61"/>
      <c r="AJ12" s="61"/>
      <c r="AK12" s="61">
        <v>14.5</v>
      </c>
      <c r="AL12" s="61">
        <v>9</v>
      </c>
      <c r="AM12" s="61">
        <v>10.3</v>
      </c>
      <c r="AN12" s="61">
        <v>14.725</v>
      </c>
      <c r="AO12" s="61">
        <v>0</v>
      </c>
      <c r="AP12" s="72"/>
      <c r="AQ12" s="11">
        <f t="shared" si="16"/>
        <v>41.86</v>
      </c>
      <c r="AR12" s="11">
        <f t="shared" si="17"/>
        <v>10.5</v>
      </c>
      <c r="AS12" s="11">
        <f t="shared" si="18"/>
        <v>50.36</v>
      </c>
      <c r="AT12" s="11" t="str">
        <f t="shared" si="19"/>
        <v/>
      </c>
      <c r="AU12" s="11" t="str">
        <f t="shared" si="20"/>
        <v/>
      </c>
      <c r="AV12" s="11">
        <f t="shared" si="21"/>
        <v>92.22</v>
      </c>
      <c r="AW12" s="11">
        <f t="shared" si="22"/>
        <v>10.3</v>
      </c>
      <c r="AX12" s="11">
        <f t="shared" si="23"/>
        <v>48.524999999999999</v>
      </c>
      <c r="AY12" s="11">
        <f t="shared" si="24"/>
        <v>140.745</v>
      </c>
      <c r="AZ12" s="67">
        <v>16.3</v>
      </c>
      <c r="BA12" s="67">
        <v>9.3000000000000007</v>
      </c>
      <c r="BB12" s="67">
        <v>2.7</v>
      </c>
      <c r="BC12" s="67">
        <v>15.36</v>
      </c>
      <c r="BD12" s="67">
        <v>0</v>
      </c>
      <c r="BE12" s="67">
        <v>14.7</v>
      </c>
      <c r="BF12" s="67">
        <v>9.1999999999999993</v>
      </c>
      <c r="BG12" s="67">
        <v>11.2</v>
      </c>
      <c r="BH12" s="67">
        <v>14.74</v>
      </c>
      <c r="BI12" s="67">
        <v>0</v>
      </c>
      <c r="BJ12" s="67"/>
      <c r="BK12" s="67"/>
      <c r="BL12" s="67"/>
      <c r="BM12" s="67"/>
      <c r="BN12" s="67"/>
      <c r="BO12" s="67">
        <v>15.2</v>
      </c>
      <c r="BP12" s="67">
        <v>8.9</v>
      </c>
      <c r="BQ12" s="67">
        <v>10.5</v>
      </c>
      <c r="BR12" s="67">
        <v>15.025</v>
      </c>
      <c r="BS12" s="67">
        <v>0</v>
      </c>
      <c r="BT12" s="73"/>
      <c r="BU12" s="14">
        <f t="shared" si="25"/>
        <v>43.66</v>
      </c>
      <c r="BV12" s="14">
        <f t="shared" si="26"/>
        <v>11.2</v>
      </c>
      <c r="BW12" s="14">
        <f t="shared" si="27"/>
        <v>49.839999999999996</v>
      </c>
      <c r="BX12" s="14" t="str">
        <f t="shared" si="28"/>
        <v/>
      </c>
      <c r="BY12" s="14" t="str">
        <f t="shared" si="29"/>
        <v/>
      </c>
      <c r="BZ12" s="14">
        <f t="shared" si="30"/>
        <v>93.5</v>
      </c>
      <c r="CA12" s="14">
        <f t="shared" si="31"/>
        <v>10.5</v>
      </c>
      <c r="CB12" s="14">
        <f t="shared" si="32"/>
        <v>49.625</v>
      </c>
      <c r="CC12" s="14">
        <f t="shared" si="33"/>
        <v>143.125</v>
      </c>
      <c r="CD12" s="61">
        <v>1.4</v>
      </c>
      <c r="CE12" s="61">
        <v>1</v>
      </c>
      <c r="CF12" s="61">
        <v>1.5</v>
      </c>
      <c r="CG12" s="61">
        <v>1.63</v>
      </c>
      <c r="CH12" s="61">
        <v>0</v>
      </c>
      <c r="CI12" s="61">
        <v>9</v>
      </c>
      <c r="CJ12" s="61">
        <v>5.0999999999999996</v>
      </c>
      <c r="CK12" s="61">
        <v>6.2</v>
      </c>
      <c r="CL12" s="61">
        <v>9.0850000000000009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 t="shared" si="34"/>
        <v>5.5299999999999994</v>
      </c>
      <c r="CZ12" s="11">
        <f t="shared" si="35"/>
        <v>6.2</v>
      </c>
      <c r="DA12" s="11">
        <f t="shared" si="36"/>
        <v>29.385000000000002</v>
      </c>
      <c r="DB12" s="11" t="str">
        <f t="shared" si="37"/>
        <v/>
      </c>
      <c r="DC12" s="11" t="str">
        <f t="shared" si="38"/>
        <v/>
      </c>
      <c r="DD12" s="11">
        <f t="shared" si="39"/>
        <v>34.914999999999999</v>
      </c>
      <c r="DE12" s="11" t="str">
        <f t="shared" si="40"/>
        <v/>
      </c>
      <c r="DF12" s="11" t="str">
        <f t="shared" si="41"/>
        <v/>
      </c>
      <c r="DG12" s="11">
        <f t="shared" si="42"/>
        <v>34.914999999999999</v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8.85</v>
      </c>
      <c r="NQ12" s="61">
        <f t="shared" si="132"/>
        <v>5.15</v>
      </c>
      <c r="NR12" s="61">
        <f t="shared" si="133"/>
        <v>2.1</v>
      </c>
      <c r="NS12" s="61">
        <f t="shared" si="134"/>
        <v>8.4949999999999992</v>
      </c>
      <c r="NT12" s="61">
        <f t="shared" si="135"/>
        <v>0</v>
      </c>
      <c r="NU12" s="61">
        <f t="shared" si="136"/>
        <v>11.85</v>
      </c>
      <c r="NV12" s="61">
        <f t="shared" si="137"/>
        <v>7.1499999999999995</v>
      </c>
      <c r="NW12" s="61">
        <f t="shared" si="138"/>
        <v>8.6999999999999993</v>
      </c>
      <c r="NX12" s="61">
        <f t="shared" si="139"/>
        <v>11.912500000000001</v>
      </c>
      <c r="NY12" s="61">
        <f t="shared" si="140"/>
        <v>0</v>
      </c>
      <c r="NZ12" s="61">
        <f t="shared" si="141"/>
        <v>0</v>
      </c>
      <c r="OA12" s="61">
        <f t="shared" si="142"/>
        <v>0</v>
      </c>
      <c r="OB12" s="61">
        <f t="shared" si="143"/>
        <v>0</v>
      </c>
      <c r="OC12" s="61">
        <f t="shared" si="144"/>
        <v>0</v>
      </c>
      <c r="OD12" s="61">
        <f t="shared" si="145"/>
        <v>0</v>
      </c>
      <c r="OE12" s="61">
        <f t="shared" si="146"/>
        <v>7.6</v>
      </c>
      <c r="OF12" s="61">
        <f t="shared" si="147"/>
        <v>4.45</v>
      </c>
      <c r="OG12" s="61">
        <f t="shared" si="148"/>
        <v>5.25</v>
      </c>
      <c r="OH12" s="61">
        <f t="shared" si="149"/>
        <v>7.5125000000000002</v>
      </c>
      <c r="OI12" s="61">
        <f t="shared" si="150"/>
        <v>0</v>
      </c>
      <c r="OJ12" s="72" t="s">
        <v>52</v>
      </c>
      <c r="OK12" s="11">
        <f t="shared" si="151"/>
        <v>24.594999999999999</v>
      </c>
      <c r="OL12" s="11">
        <f t="shared" si="152"/>
        <v>8.6999999999999993</v>
      </c>
      <c r="OM12" s="11">
        <f t="shared" si="153"/>
        <v>39.612499999999997</v>
      </c>
      <c r="ON12" s="11" t="str">
        <f t="shared" si="154"/>
        <v/>
      </c>
      <c r="OO12" s="11" t="str">
        <f t="shared" si="155"/>
        <v/>
      </c>
      <c r="OP12" s="11">
        <f t="shared" si="156"/>
        <v>64.207499999999996</v>
      </c>
      <c r="OQ12" s="11">
        <f t="shared" si="157"/>
        <v>5.25</v>
      </c>
      <c r="OR12" s="11">
        <f t="shared" ref="OR12" si="162">IF(SUM(OE12:OH12)-OI12&gt;0,SUM(OE12:OH12)-OI12,"")</f>
        <v>24.8125</v>
      </c>
      <c r="OS12" s="11">
        <f t="shared" ref="OS12" si="163">IF(SUM(OP12,OR12)&gt;0,SUM(OP12,OR12),"")</f>
        <v>89.02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136</v>
      </c>
      <c r="C13" s="7" t="s">
        <v>3</v>
      </c>
      <c r="D13" s="26">
        <v>2001</v>
      </c>
      <c r="E13" s="15">
        <f t="shared" si="0"/>
        <v>99.990092875000002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92.875</v>
      </c>
      <c r="L13" s="14" t="str">
        <f t="shared" si="7"/>
        <v>2021 Elite Canada</v>
      </c>
      <c r="M13" s="14">
        <f t="shared" si="8"/>
        <v>43.195</v>
      </c>
      <c r="N13" s="14" t="str">
        <f t="shared" si="9"/>
        <v>2021 Canadian Championships</v>
      </c>
      <c r="O13" s="14">
        <f t="shared" si="10"/>
        <v>50.019999999999996</v>
      </c>
      <c r="P13" s="14" t="str">
        <f t="shared" si="11"/>
        <v>2021 Canadian Championships</v>
      </c>
      <c r="Q13" s="14">
        <f>IF(COUNT(AS13,AU13,AX13,BW13,BY13,CB13,DA13,DC13,DF13)&gt;1,LARGE((AS13,AU13,AX13,BW13,BY13,CB13,DA13,DC13,DF13),2),0)</f>
        <v>49.97</v>
      </c>
      <c r="R13" s="14" t="str">
        <f t="shared" si="12"/>
        <v>2021 Elite Canada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 t="str">
        <f t="shared" si="16"/>
        <v/>
      </c>
      <c r="AR13" s="11" t="str">
        <f t="shared" si="17"/>
        <v/>
      </c>
      <c r="AS13" s="11" t="str">
        <f t="shared" si="18"/>
        <v/>
      </c>
      <c r="AT13" s="11" t="str">
        <f t="shared" si="19"/>
        <v/>
      </c>
      <c r="AU13" s="11" t="str">
        <f t="shared" si="20"/>
        <v/>
      </c>
      <c r="AV13" s="11" t="str">
        <f t="shared" si="21"/>
        <v/>
      </c>
      <c r="AW13" s="11" t="str">
        <f t="shared" si="22"/>
        <v/>
      </c>
      <c r="AX13" s="11" t="str">
        <f t="shared" si="23"/>
        <v/>
      </c>
      <c r="AY13" s="11" t="str">
        <f t="shared" si="24"/>
        <v/>
      </c>
      <c r="AZ13" s="67">
        <v>16.100000000000001</v>
      </c>
      <c r="BA13" s="67">
        <v>10</v>
      </c>
      <c r="BB13" s="67">
        <v>2.2000000000000002</v>
      </c>
      <c r="BC13" s="67">
        <v>14.805</v>
      </c>
      <c r="BD13" s="67">
        <v>0.2</v>
      </c>
      <c r="BE13" s="67">
        <v>14.4</v>
      </c>
      <c r="BF13" s="67">
        <v>9.8000000000000007</v>
      </c>
      <c r="BG13" s="67">
        <v>11.2</v>
      </c>
      <c r="BH13" s="67">
        <v>14.77</v>
      </c>
      <c r="BI13" s="67">
        <v>0.2</v>
      </c>
      <c r="BJ13" s="67"/>
      <c r="BK13" s="67"/>
      <c r="BL13" s="67"/>
      <c r="BM13" s="67"/>
      <c r="BN13" s="67"/>
      <c r="BO13" s="67">
        <v>14.6</v>
      </c>
      <c r="BP13" s="67">
        <v>9.1999999999999993</v>
      </c>
      <c r="BQ13" s="67">
        <v>11.2</v>
      </c>
      <c r="BR13" s="67">
        <v>14.795</v>
      </c>
      <c r="BS13" s="67">
        <v>0.2</v>
      </c>
      <c r="BT13" s="73"/>
      <c r="BU13" s="14">
        <f t="shared" si="25"/>
        <v>42.905000000000001</v>
      </c>
      <c r="BV13" s="14">
        <f t="shared" si="26"/>
        <v>11.2</v>
      </c>
      <c r="BW13" s="14">
        <f t="shared" si="27"/>
        <v>49.97</v>
      </c>
      <c r="BX13" s="14" t="str">
        <f t="shared" si="28"/>
        <v/>
      </c>
      <c r="BY13" s="14" t="str">
        <f t="shared" si="29"/>
        <v/>
      </c>
      <c r="BZ13" s="14">
        <f t="shared" si="30"/>
        <v>92.875</v>
      </c>
      <c r="CA13" s="14">
        <f t="shared" si="31"/>
        <v>11.2</v>
      </c>
      <c r="CB13" s="14">
        <f t="shared" si="32"/>
        <v>49.594999999999999</v>
      </c>
      <c r="CC13" s="14">
        <f t="shared" si="33"/>
        <v>142.47</v>
      </c>
      <c r="CD13" s="61">
        <v>16.5</v>
      </c>
      <c r="CE13" s="61">
        <v>9.5</v>
      </c>
      <c r="CF13" s="61">
        <v>2.2000000000000002</v>
      </c>
      <c r="CG13" s="61">
        <v>14.994999999999999</v>
      </c>
      <c r="CH13" s="61">
        <v>0</v>
      </c>
      <c r="CI13" s="61">
        <v>12.9</v>
      </c>
      <c r="CJ13" s="61">
        <v>9</v>
      </c>
      <c r="CK13" s="61">
        <v>11.8</v>
      </c>
      <c r="CL13" s="61">
        <v>14.93</v>
      </c>
      <c r="CM13" s="61">
        <v>0</v>
      </c>
      <c r="CN13" s="61"/>
      <c r="CO13" s="61"/>
      <c r="CP13" s="61"/>
      <c r="CQ13" s="61"/>
      <c r="CR13" s="61"/>
      <c r="CS13" s="61">
        <v>13.4</v>
      </c>
      <c r="CT13" s="61">
        <v>9.5</v>
      </c>
      <c r="CU13" s="61">
        <v>12</v>
      </c>
      <c r="CV13" s="61">
        <v>15.12</v>
      </c>
      <c r="CW13" s="61">
        <v>0</v>
      </c>
      <c r="CX13" s="72"/>
      <c r="CY13" s="11">
        <f t="shared" si="34"/>
        <v>43.195</v>
      </c>
      <c r="CZ13" s="11">
        <f t="shared" si="35"/>
        <v>11.8</v>
      </c>
      <c r="DA13" s="11">
        <f t="shared" si="36"/>
        <v>48.63</v>
      </c>
      <c r="DB13" s="11" t="str">
        <f t="shared" si="37"/>
        <v/>
      </c>
      <c r="DC13" s="11" t="str">
        <f t="shared" si="38"/>
        <v/>
      </c>
      <c r="DD13" s="11">
        <f t="shared" si="39"/>
        <v>91.825000000000003</v>
      </c>
      <c r="DE13" s="11">
        <f t="shared" si="40"/>
        <v>12</v>
      </c>
      <c r="DF13" s="11">
        <f t="shared" si="41"/>
        <v>50.019999999999996</v>
      </c>
      <c r="DG13" s="11">
        <f t="shared" si="42"/>
        <v>141.845</v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16.3</v>
      </c>
      <c r="NQ13" s="61">
        <f t="shared" si="132"/>
        <v>9.75</v>
      </c>
      <c r="NR13" s="61">
        <f t="shared" si="133"/>
        <v>2.2000000000000002</v>
      </c>
      <c r="NS13" s="61">
        <f t="shared" si="134"/>
        <v>14.899999999999999</v>
      </c>
      <c r="NT13" s="61">
        <f t="shared" si="135"/>
        <v>0.1</v>
      </c>
      <c r="NU13" s="61">
        <f t="shared" si="136"/>
        <v>13.65</v>
      </c>
      <c r="NV13" s="61">
        <f t="shared" si="137"/>
        <v>9.4</v>
      </c>
      <c r="NW13" s="61">
        <f t="shared" si="138"/>
        <v>11.5</v>
      </c>
      <c r="NX13" s="61">
        <f t="shared" si="139"/>
        <v>14.85</v>
      </c>
      <c r="NY13" s="61">
        <f t="shared" si="140"/>
        <v>0.1</v>
      </c>
      <c r="NZ13" s="61">
        <f t="shared" si="141"/>
        <v>0</v>
      </c>
      <c r="OA13" s="61">
        <f t="shared" si="142"/>
        <v>0</v>
      </c>
      <c r="OB13" s="61">
        <f t="shared" si="143"/>
        <v>0</v>
      </c>
      <c r="OC13" s="61">
        <f t="shared" si="144"/>
        <v>0</v>
      </c>
      <c r="OD13" s="61">
        <f t="shared" si="145"/>
        <v>0</v>
      </c>
      <c r="OE13" s="61">
        <f t="shared" si="146"/>
        <v>14</v>
      </c>
      <c r="OF13" s="61">
        <f t="shared" si="147"/>
        <v>9.35</v>
      </c>
      <c r="OG13" s="61">
        <f t="shared" si="148"/>
        <v>11.6</v>
      </c>
      <c r="OH13" s="61">
        <f t="shared" si="149"/>
        <v>14.9575</v>
      </c>
      <c r="OI13" s="61">
        <f t="shared" si="150"/>
        <v>0.1</v>
      </c>
      <c r="OJ13" s="72" t="s">
        <v>52</v>
      </c>
      <c r="OK13" s="11">
        <f t="shared" si="151"/>
        <v>43.05</v>
      </c>
      <c r="OL13" s="11">
        <f t="shared" si="152"/>
        <v>11.5</v>
      </c>
      <c r="OM13" s="11">
        <f t="shared" si="153"/>
        <v>49.3</v>
      </c>
      <c r="ON13" s="11" t="str">
        <f t="shared" si="154"/>
        <v/>
      </c>
      <c r="OO13" s="11" t="str">
        <f t="shared" si="155"/>
        <v/>
      </c>
      <c r="OP13" s="11">
        <f t="shared" si="156"/>
        <v>92.35</v>
      </c>
      <c r="OQ13" s="11">
        <f t="shared" si="157"/>
        <v>11.6</v>
      </c>
      <c r="OR13" s="11">
        <f t="shared" ref="OR13" si="164">IF(SUM(OE13:OH13)-OI13&gt;0,SUM(OE13:OH13)-OI13,"")</f>
        <v>49.807499999999997</v>
      </c>
      <c r="OS13" s="11">
        <f t="shared" ref="OS13" si="165">IF(SUM(OP13,OR13)&gt;0,SUM(OP13,OR13),"")</f>
        <v>142.1575</v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105</v>
      </c>
      <c r="C14" s="7" t="s">
        <v>4</v>
      </c>
      <c r="D14" s="26">
        <v>2004</v>
      </c>
      <c r="E14" s="15">
        <f t="shared" si="0"/>
        <v>99.030092615000001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92.614999999999995</v>
      </c>
      <c r="L14" s="14" t="str">
        <f t="shared" si="7"/>
        <v>2021 Elite Canada</v>
      </c>
      <c r="M14" s="14">
        <f t="shared" si="8"/>
        <v>42.105000000000004</v>
      </c>
      <c r="N14" s="14" t="str">
        <f t="shared" si="9"/>
        <v>2021 Canadian Championships</v>
      </c>
      <c r="O14" s="14">
        <f t="shared" si="10"/>
        <v>49.54</v>
      </c>
      <c r="P14" s="14" t="str">
        <f t="shared" si="11"/>
        <v>2021 Canadian Championships</v>
      </c>
      <c r="Q14" s="14">
        <f>IF(COUNT(AS14,AU14,AX14,BW14,BY14,CB14,DA14,DC14,DF14)&gt;1,LARGE((AS14,AU14,AX14,BW14,BY14,CB14,DA14,DC14,DF14),2),0)</f>
        <v>49.489999999999995</v>
      </c>
      <c r="R14" s="14" t="str">
        <f t="shared" si="12"/>
        <v>2021 Elite Canada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>
        <v>14</v>
      </c>
      <c r="W14" s="61">
        <v>8.9</v>
      </c>
      <c r="X14" s="61">
        <v>2.5</v>
      </c>
      <c r="Y14" s="61">
        <v>14.805</v>
      </c>
      <c r="Z14" s="61">
        <v>0</v>
      </c>
      <c r="AA14" s="61">
        <v>12.8</v>
      </c>
      <c r="AB14" s="61">
        <v>8.1999999999999993</v>
      </c>
      <c r="AC14" s="61">
        <v>6.5</v>
      </c>
      <c r="AD14" s="61">
        <v>13.654999999999999</v>
      </c>
      <c r="AE14" s="61">
        <v>3.1</v>
      </c>
      <c r="AF14" s="61"/>
      <c r="AG14" s="61"/>
      <c r="AH14" s="61"/>
      <c r="AI14" s="61"/>
      <c r="AJ14" s="61"/>
      <c r="AK14" s="61">
        <v>3.4</v>
      </c>
      <c r="AL14" s="61">
        <v>2.4</v>
      </c>
      <c r="AM14" s="61">
        <v>3.2</v>
      </c>
      <c r="AN14" s="61">
        <v>4.7850000000000001</v>
      </c>
      <c r="AO14" s="61">
        <v>0</v>
      </c>
      <c r="AP14" s="72"/>
      <c r="AQ14" s="11">
        <f t="shared" si="16"/>
        <v>40.204999999999998</v>
      </c>
      <c r="AR14" s="11">
        <f t="shared" si="17"/>
        <v>6.5</v>
      </c>
      <c r="AS14" s="11">
        <f t="shared" si="18"/>
        <v>38.055</v>
      </c>
      <c r="AT14" s="11" t="str">
        <f t="shared" si="19"/>
        <v/>
      </c>
      <c r="AU14" s="11" t="str">
        <f t="shared" si="20"/>
        <v/>
      </c>
      <c r="AV14" s="11">
        <f t="shared" si="21"/>
        <v>78.259999999999991</v>
      </c>
      <c r="AW14" s="11">
        <f t="shared" si="22"/>
        <v>3.2</v>
      </c>
      <c r="AX14" s="11">
        <f t="shared" si="23"/>
        <v>13.785</v>
      </c>
      <c r="AY14" s="11">
        <f t="shared" si="24"/>
        <v>92.044999999999987</v>
      </c>
      <c r="AZ14" s="67">
        <v>15.5</v>
      </c>
      <c r="BA14" s="67">
        <v>9.3000000000000007</v>
      </c>
      <c r="BB14" s="67">
        <v>2.5</v>
      </c>
      <c r="BC14" s="67">
        <v>15.824999999999999</v>
      </c>
      <c r="BD14" s="67">
        <v>0</v>
      </c>
      <c r="BE14" s="67">
        <v>13.2</v>
      </c>
      <c r="BF14" s="67">
        <v>9.6</v>
      </c>
      <c r="BG14" s="67">
        <v>11.3</v>
      </c>
      <c r="BH14" s="67">
        <v>15.39</v>
      </c>
      <c r="BI14" s="67">
        <v>0</v>
      </c>
      <c r="BJ14" s="67"/>
      <c r="BK14" s="67"/>
      <c r="BL14" s="67"/>
      <c r="BM14" s="67"/>
      <c r="BN14" s="67"/>
      <c r="BO14" s="67">
        <v>13.5</v>
      </c>
      <c r="BP14" s="67">
        <v>9.4</v>
      </c>
      <c r="BQ14" s="67">
        <v>10.4</v>
      </c>
      <c r="BR14" s="67">
        <v>15.23</v>
      </c>
      <c r="BS14" s="67">
        <v>0</v>
      </c>
      <c r="BT14" s="73"/>
      <c r="BU14" s="14">
        <f t="shared" si="25"/>
        <v>43.125</v>
      </c>
      <c r="BV14" s="14">
        <f t="shared" si="26"/>
        <v>11.3</v>
      </c>
      <c r="BW14" s="14">
        <f t="shared" si="27"/>
        <v>49.489999999999995</v>
      </c>
      <c r="BX14" s="14" t="str">
        <f t="shared" si="28"/>
        <v/>
      </c>
      <c r="BY14" s="14" t="str">
        <f t="shared" si="29"/>
        <v/>
      </c>
      <c r="BZ14" s="14">
        <f t="shared" si="30"/>
        <v>92.614999999999995</v>
      </c>
      <c r="CA14" s="14">
        <f t="shared" si="31"/>
        <v>10.4</v>
      </c>
      <c r="CB14" s="14">
        <f t="shared" si="32"/>
        <v>48.53</v>
      </c>
      <c r="CC14" s="14">
        <f t="shared" si="33"/>
        <v>141.14499999999998</v>
      </c>
      <c r="CD14" s="61">
        <v>16</v>
      </c>
      <c r="CE14" s="61">
        <v>8.5</v>
      </c>
      <c r="CF14" s="61">
        <v>2.5</v>
      </c>
      <c r="CG14" s="61">
        <v>15.105</v>
      </c>
      <c r="CH14" s="61">
        <v>0</v>
      </c>
      <c r="CI14" s="61">
        <v>14.6</v>
      </c>
      <c r="CJ14" s="61">
        <v>9.1</v>
      </c>
      <c r="CK14" s="61">
        <v>11.2</v>
      </c>
      <c r="CL14" s="61">
        <v>14.64</v>
      </c>
      <c r="CM14" s="61">
        <v>0</v>
      </c>
      <c r="CN14" s="61"/>
      <c r="CO14" s="61"/>
      <c r="CP14" s="61"/>
      <c r="CQ14" s="61"/>
      <c r="CR14" s="61"/>
      <c r="CS14" s="61">
        <v>13.8</v>
      </c>
      <c r="CT14" s="61">
        <v>8.6</v>
      </c>
      <c r="CU14" s="61">
        <v>11.2</v>
      </c>
      <c r="CV14" s="61">
        <v>14.404999999999999</v>
      </c>
      <c r="CW14" s="61">
        <v>0</v>
      </c>
      <c r="CX14" s="72"/>
      <c r="CY14" s="11">
        <f t="shared" si="34"/>
        <v>42.105000000000004</v>
      </c>
      <c r="CZ14" s="11">
        <f t="shared" si="35"/>
        <v>11.2</v>
      </c>
      <c r="DA14" s="11">
        <f t="shared" si="36"/>
        <v>49.54</v>
      </c>
      <c r="DB14" s="11" t="str">
        <f t="shared" si="37"/>
        <v/>
      </c>
      <c r="DC14" s="11" t="str">
        <f t="shared" si="38"/>
        <v/>
      </c>
      <c r="DD14" s="11">
        <f t="shared" si="39"/>
        <v>91.64500000000001</v>
      </c>
      <c r="DE14" s="11">
        <f t="shared" si="40"/>
        <v>11.2</v>
      </c>
      <c r="DF14" s="11">
        <f t="shared" si="41"/>
        <v>48.004999999999995</v>
      </c>
      <c r="DG14" s="11">
        <f t="shared" si="42"/>
        <v>139.65</v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15.75</v>
      </c>
      <c r="NQ14" s="61">
        <f t="shared" si="132"/>
        <v>8.9</v>
      </c>
      <c r="NR14" s="61">
        <f t="shared" si="133"/>
        <v>2.5</v>
      </c>
      <c r="NS14" s="61">
        <f t="shared" si="134"/>
        <v>15.465</v>
      </c>
      <c r="NT14" s="61">
        <f t="shared" si="135"/>
        <v>0</v>
      </c>
      <c r="NU14" s="61">
        <f t="shared" si="136"/>
        <v>13.899999999999999</v>
      </c>
      <c r="NV14" s="61">
        <f t="shared" si="137"/>
        <v>9.35</v>
      </c>
      <c r="NW14" s="61">
        <f t="shared" si="138"/>
        <v>11.25</v>
      </c>
      <c r="NX14" s="61">
        <f t="shared" si="139"/>
        <v>15.015000000000001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13.65</v>
      </c>
      <c r="OF14" s="61">
        <f t="shared" si="147"/>
        <v>9</v>
      </c>
      <c r="OG14" s="61">
        <f t="shared" si="148"/>
        <v>10.8</v>
      </c>
      <c r="OH14" s="61">
        <f t="shared" si="149"/>
        <v>14.817499999999999</v>
      </c>
      <c r="OI14" s="61">
        <f t="shared" si="150"/>
        <v>0</v>
      </c>
      <c r="OJ14" s="72" t="s">
        <v>52</v>
      </c>
      <c r="OK14" s="11">
        <f t="shared" si="151"/>
        <v>42.614999999999995</v>
      </c>
      <c r="OL14" s="11">
        <f t="shared" si="152"/>
        <v>11.25</v>
      </c>
      <c r="OM14" s="11">
        <f t="shared" si="153"/>
        <v>49.515000000000001</v>
      </c>
      <c r="ON14" s="11" t="str">
        <f t="shared" si="154"/>
        <v/>
      </c>
      <c r="OO14" s="11" t="str">
        <f t="shared" si="155"/>
        <v/>
      </c>
      <c r="OP14" s="11">
        <f t="shared" si="156"/>
        <v>92.13</v>
      </c>
      <c r="OQ14" s="11">
        <f t="shared" si="157"/>
        <v>10.8</v>
      </c>
      <c r="OR14" s="11">
        <f t="shared" ref="OR14" si="166">IF(SUM(OE14:OH14)-OI14&gt;0,SUM(OE14:OH14)-OI14,"")</f>
        <v>48.267499999999998</v>
      </c>
      <c r="OS14" s="11">
        <f t="shared" ref="OS14" si="167">IF(SUM(OP14,OR14)&gt;0,SUM(OP14,OR14),"")</f>
        <v>140.39749999999998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92</v>
      </c>
      <c r="C15" s="7" t="s">
        <v>5</v>
      </c>
      <c r="D15" s="26">
        <v>2002</v>
      </c>
      <c r="E15" s="15">
        <f t="shared" si="0"/>
        <v>98.335092285000002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92.284999999999997</v>
      </c>
      <c r="L15" s="14" t="str">
        <f t="shared" si="7"/>
        <v>2021 Canadian Championships</v>
      </c>
      <c r="M15" s="14">
        <f t="shared" si="8"/>
        <v>42.760000000000005</v>
      </c>
      <c r="N15" s="14" t="str">
        <f t="shared" si="9"/>
        <v>2021 Elite Canada</v>
      </c>
      <c r="O15" s="14">
        <f t="shared" si="10"/>
        <v>49.36</v>
      </c>
      <c r="P15" s="14" t="str">
        <f t="shared" si="11"/>
        <v>2021 Canadian Championships</v>
      </c>
      <c r="Q15" s="14">
        <f>IF(COUNT(AS15,AU15,AX15,BW15,BY15,CB15,DA15,DC15,DF15)&gt;1,LARGE((AS15,AU15,AX15,BW15,BY15,CB15,DA15,DC15,DF15),2),0)</f>
        <v>48.975000000000001</v>
      </c>
      <c r="R15" s="14" t="str">
        <f t="shared" si="12"/>
        <v>2021 Canadian Championships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11" t="str">
        <f t="shared" si="19"/>
        <v/>
      </c>
      <c r="AU15" s="11" t="str">
        <f t="shared" si="20"/>
        <v/>
      </c>
      <c r="AV15" s="11" t="str">
        <f t="shared" si="21"/>
        <v/>
      </c>
      <c r="AW15" s="11" t="str">
        <f t="shared" si="22"/>
        <v/>
      </c>
      <c r="AX15" s="11" t="str">
        <f t="shared" si="23"/>
        <v/>
      </c>
      <c r="AY15" s="11" t="str">
        <f t="shared" si="24"/>
        <v/>
      </c>
      <c r="AZ15" s="67">
        <v>16</v>
      </c>
      <c r="BA15" s="67">
        <v>9.1</v>
      </c>
      <c r="BB15" s="67">
        <v>2</v>
      </c>
      <c r="BC15" s="67">
        <v>15.66</v>
      </c>
      <c r="BD15" s="67">
        <v>0</v>
      </c>
      <c r="BE15" s="67">
        <v>11.4</v>
      </c>
      <c r="BF15" s="67">
        <v>6.7</v>
      </c>
      <c r="BG15" s="67">
        <v>8.4</v>
      </c>
      <c r="BH15" s="67">
        <v>13.035</v>
      </c>
      <c r="BI15" s="67">
        <v>0.2</v>
      </c>
      <c r="BJ15" s="67"/>
      <c r="BK15" s="67"/>
      <c r="BL15" s="67"/>
      <c r="BM15" s="67"/>
      <c r="BN15" s="67"/>
      <c r="BO15" s="67">
        <v>3.1</v>
      </c>
      <c r="BP15" s="67">
        <v>1.7</v>
      </c>
      <c r="BQ15" s="67">
        <v>2</v>
      </c>
      <c r="BR15" s="67">
        <v>4.1550000000000002</v>
      </c>
      <c r="BS15" s="67">
        <v>0</v>
      </c>
      <c r="BT15" s="73"/>
      <c r="BU15" s="14">
        <f t="shared" si="25"/>
        <v>42.760000000000005</v>
      </c>
      <c r="BV15" s="14">
        <f t="shared" si="26"/>
        <v>8.4</v>
      </c>
      <c r="BW15" s="14">
        <f t="shared" si="27"/>
        <v>39.334999999999994</v>
      </c>
      <c r="BX15" s="14" t="str">
        <f t="shared" si="28"/>
        <v/>
      </c>
      <c r="BY15" s="14" t="str">
        <f t="shared" si="29"/>
        <v/>
      </c>
      <c r="BZ15" s="14">
        <f t="shared" si="30"/>
        <v>82.094999999999999</v>
      </c>
      <c r="CA15" s="14">
        <f t="shared" si="31"/>
        <v>2</v>
      </c>
      <c r="CB15" s="14">
        <f t="shared" si="32"/>
        <v>10.955</v>
      </c>
      <c r="CC15" s="14">
        <f t="shared" si="33"/>
        <v>93.05</v>
      </c>
      <c r="CD15" s="61">
        <v>16.399999999999999</v>
      </c>
      <c r="CE15" s="61">
        <v>9.4</v>
      </c>
      <c r="CF15" s="61">
        <v>2</v>
      </c>
      <c r="CG15" s="61">
        <v>15.51</v>
      </c>
      <c r="CH15" s="61">
        <v>0</v>
      </c>
      <c r="CI15" s="61">
        <v>14.3</v>
      </c>
      <c r="CJ15" s="61">
        <v>8.9</v>
      </c>
      <c r="CK15" s="61">
        <v>10.4</v>
      </c>
      <c r="CL15" s="61">
        <v>15.375</v>
      </c>
      <c r="CM15" s="61">
        <v>0</v>
      </c>
      <c r="CN15" s="61"/>
      <c r="CO15" s="61"/>
      <c r="CP15" s="61"/>
      <c r="CQ15" s="61"/>
      <c r="CR15" s="61"/>
      <c r="CS15" s="61">
        <v>15.4</v>
      </c>
      <c r="CT15" s="61">
        <v>8.4</v>
      </c>
      <c r="CU15" s="61">
        <v>9.9</v>
      </c>
      <c r="CV15" s="61">
        <v>15.66</v>
      </c>
      <c r="CW15" s="61">
        <v>0</v>
      </c>
      <c r="CX15" s="72"/>
      <c r="CY15" s="11">
        <f t="shared" si="34"/>
        <v>43.309999999999995</v>
      </c>
      <c r="CZ15" s="11">
        <f t="shared" si="35"/>
        <v>10.4</v>
      </c>
      <c r="DA15" s="11">
        <f t="shared" si="36"/>
        <v>48.975000000000001</v>
      </c>
      <c r="DB15" s="11" t="str">
        <f t="shared" si="37"/>
        <v/>
      </c>
      <c r="DC15" s="11" t="str">
        <f t="shared" si="38"/>
        <v/>
      </c>
      <c r="DD15" s="11">
        <f t="shared" si="39"/>
        <v>92.284999999999997</v>
      </c>
      <c r="DE15" s="11">
        <f t="shared" si="40"/>
        <v>9.9</v>
      </c>
      <c r="DF15" s="11">
        <f t="shared" si="41"/>
        <v>49.36</v>
      </c>
      <c r="DG15" s="11">
        <f t="shared" si="42"/>
        <v>141.64499999999998</v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16.2</v>
      </c>
      <c r="NQ15" s="61">
        <f t="shared" si="132"/>
        <v>9.25</v>
      </c>
      <c r="NR15" s="61">
        <f t="shared" si="133"/>
        <v>2</v>
      </c>
      <c r="NS15" s="61">
        <f t="shared" si="134"/>
        <v>15.585000000000001</v>
      </c>
      <c r="NT15" s="61">
        <f t="shared" si="135"/>
        <v>0</v>
      </c>
      <c r="NU15" s="61">
        <f t="shared" si="136"/>
        <v>12.850000000000001</v>
      </c>
      <c r="NV15" s="61">
        <f t="shared" si="137"/>
        <v>7.8000000000000007</v>
      </c>
      <c r="NW15" s="61">
        <f t="shared" si="138"/>
        <v>9.4</v>
      </c>
      <c r="NX15" s="61">
        <f t="shared" si="139"/>
        <v>14.205</v>
      </c>
      <c r="NY15" s="61">
        <f t="shared" si="140"/>
        <v>0.1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9.25</v>
      </c>
      <c r="OF15" s="61">
        <f t="shared" si="147"/>
        <v>5.05</v>
      </c>
      <c r="OG15" s="61">
        <f t="shared" si="148"/>
        <v>5.95</v>
      </c>
      <c r="OH15" s="61">
        <f t="shared" si="149"/>
        <v>9.9075000000000006</v>
      </c>
      <c r="OI15" s="61">
        <f t="shared" si="150"/>
        <v>0</v>
      </c>
      <c r="OJ15" s="72" t="s">
        <v>52</v>
      </c>
      <c r="OK15" s="11">
        <f t="shared" si="151"/>
        <v>43.034999999999997</v>
      </c>
      <c r="OL15" s="11">
        <f t="shared" si="152"/>
        <v>9.4</v>
      </c>
      <c r="OM15" s="11">
        <f t="shared" si="153"/>
        <v>44.155000000000001</v>
      </c>
      <c r="ON15" s="11" t="str">
        <f t="shared" si="154"/>
        <v/>
      </c>
      <c r="OO15" s="11" t="str">
        <f t="shared" si="155"/>
        <v/>
      </c>
      <c r="OP15" s="11">
        <f t="shared" si="156"/>
        <v>87.19</v>
      </c>
      <c r="OQ15" s="11">
        <f t="shared" si="157"/>
        <v>5.95</v>
      </c>
      <c r="OR15" s="11">
        <f t="shared" ref="OR15" si="168">IF(SUM(OE15:OH15)-OI15&gt;0,SUM(OE15:OH15)-OI15,"")</f>
        <v>30.157499999999999</v>
      </c>
      <c r="OS15" s="11">
        <f t="shared" ref="OS15" si="169">IF(SUM(OP15,OR15)&gt;0,SUM(OP15,OR15),"")</f>
        <v>117.3475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156</v>
      </c>
      <c r="C16" s="7" t="s">
        <v>6</v>
      </c>
      <c r="D16" s="26">
        <v>2004</v>
      </c>
      <c r="E16" s="15">
        <f t="shared" si="0"/>
        <v>98.160091565000002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91.564999999999998</v>
      </c>
      <c r="L16" s="14" t="str">
        <f t="shared" si="7"/>
        <v>2021 Elite Canada</v>
      </c>
      <c r="M16" s="14">
        <f t="shared" si="8"/>
        <v>26.12</v>
      </c>
      <c r="N16" s="14" t="str">
        <f t="shared" si="9"/>
        <v>2021 Canadian Championships</v>
      </c>
      <c r="O16" s="14">
        <f t="shared" si="10"/>
        <v>50.335000000000001</v>
      </c>
      <c r="P16" s="14" t="str">
        <f t="shared" si="11"/>
        <v>2021 Canadian Championships</v>
      </c>
      <c r="Q16" s="14">
        <f>IF(COUNT(AS16,AU16,AX16,BW16,BY16,CB16,DA16,DC16,DF16)&gt;1,LARGE((AS16,AU16,AX16,BW16,BY16,CB16,DA16,DC16,DF16),2),0)</f>
        <v>47.825000000000003</v>
      </c>
      <c r="R16" s="14" t="str">
        <f t="shared" si="12"/>
        <v>2021 Elite Canada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11" t="str">
        <f t="shared" si="19"/>
        <v/>
      </c>
      <c r="AU16" s="11" t="str">
        <f t="shared" si="20"/>
        <v/>
      </c>
      <c r="AV16" s="11" t="str">
        <f t="shared" si="21"/>
        <v/>
      </c>
      <c r="AW16" s="11" t="str">
        <f t="shared" si="22"/>
        <v/>
      </c>
      <c r="AX16" s="11" t="str">
        <f t="shared" si="23"/>
        <v/>
      </c>
      <c r="AY16" s="11" t="str">
        <f t="shared" si="24"/>
        <v/>
      </c>
      <c r="AZ16" s="67">
        <v>16.399999999999999</v>
      </c>
      <c r="BA16" s="67">
        <v>9.1999999999999993</v>
      </c>
      <c r="BB16" s="67">
        <v>2</v>
      </c>
      <c r="BC16" s="67">
        <v>16.14</v>
      </c>
      <c r="BD16" s="67">
        <v>0</v>
      </c>
      <c r="BE16" s="67">
        <v>14.3</v>
      </c>
      <c r="BF16" s="67">
        <v>8.9</v>
      </c>
      <c r="BG16" s="67">
        <v>9.6</v>
      </c>
      <c r="BH16" s="67">
        <v>15.025</v>
      </c>
      <c r="BI16" s="67">
        <v>0</v>
      </c>
      <c r="BJ16" s="67"/>
      <c r="BK16" s="67"/>
      <c r="BL16" s="67"/>
      <c r="BM16" s="67"/>
      <c r="BN16" s="67"/>
      <c r="BO16" s="67">
        <v>4.4000000000000004</v>
      </c>
      <c r="BP16" s="67">
        <v>2.7</v>
      </c>
      <c r="BQ16" s="67">
        <v>4</v>
      </c>
      <c r="BR16" s="67">
        <v>4.75</v>
      </c>
      <c r="BS16" s="67">
        <v>0</v>
      </c>
      <c r="BT16" s="73"/>
      <c r="BU16" s="14">
        <f t="shared" si="25"/>
        <v>43.739999999999995</v>
      </c>
      <c r="BV16" s="14">
        <f t="shared" si="26"/>
        <v>9.6</v>
      </c>
      <c r="BW16" s="14">
        <f t="shared" si="27"/>
        <v>47.825000000000003</v>
      </c>
      <c r="BX16" s="14" t="str">
        <f t="shared" si="28"/>
        <v/>
      </c>
      <c r="BY16" s="14" t="str">
        <f t="shared" si="29"/>
        <v/>
      </c>
      <c r="BZ16" s="14">
        <f t="shared" si="30"/>
        <v>91.564999999999998</v>
      </c>
      <c r="CA16" s="14">
        <f t="shared" si="31"/>
        <v>4</v>
      </c>
      <c r="CB16" s="14">
        <f t="shared" si="32"/>
        <v>15.850000000000001</v>
      </c>
      <c r="CC16" s="14">
        <f t="shared" si="33"/>
        <v>107.41499999999999</v>
      </c>
      <c r="CD16" s="61">
        <v>10.4</v>
      </c>
      <c r="CE16" s="61">
        <v>5.3</v>
      </c>
      <c r="CF16" s="61">
        <v>0.6</v>
      </c>
      <c r="CG16" s="61">
        <v>9.82</v>
      </c>
      <c r="CH16" s="61">
        <v>0</v>
      </c>
      <c r="CI16" s="61">
        <v>15</v>
      </c>
      <c r="CJ16" s="61">
        <v>9.1999999999999993</v>
      </c>
      <c r="CK16" s="61">
        <v>8.1999999999999993</v>
      </c>
      <c r="CL16" s="61">
        <v>15.02</v>
      </c>
      <c r="CM16" s="61">
        <v>1.4</v>
      </c>
      <c r="CN16" s="61"/>
      <c r="CO16" s="61"/>
      <c r="CP16" s="61"/>
      <c r="CQ16" s="61"/>
      <c r="CR16" s="61"/>
      <c r="CS16" s="61">
        <v>16.2</v>
      </c>
      <c r="CT16" s="61">
        <v>9.1</v>
      </c>
      <c r="CU16" s="61">
        <v>9.6</v>
      </c>
      <c r="CV16" s="61">
        <v>15.435</v>
      </c>
      <c r="CW16" s="61">
        <v>0</v>
      </c>
      <c r="CX16" s="72"/>
      <c r="CY16" s="11">
        <f t="shared" si="34"/>
        <v>26.12</v>
      </c>
      <c r="CZ16" s="11">
        <f t="shared" si="35"/>
        <v>8.1999999999999993</v>
      </c>
      <c r="DA16" s="11">
        <f t="shared" si="36"/>
        <v>46.02</v>
      </c>
      <c r="DB16" s="11" t="str">
        <f t="shared" si="37"/>
        <v/>
      </c>
      <c r="DC16" s="11" t="str">
        <f t="shared" si="38"/>
        <v/>
      </c>
      <c r="DD16" s="11">
        <f t="shared" si="39"/>
        <v>72.14</v>
      </c>
      <c r="DE16" s="11">
        <f t="shared" si="40"/>
        <v>9.6</v>
      </c>
      <c r="DF16" s="11">
        <f t="shared" si="41"/>
        <v>50.335000000000001</v>
      </c>
      <c r="DG16" s="11">
        <f t="shared" si="42"/>
        <v>122.47499999999999</v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13.399999999999999</v>
      </c>
      <c r="NQ16" s="61">
        <f t="shared" si="132"/>
        <v>7.25</v>
      </c>
      <c r="NR16" s="61">
        <f t="shared" si="133"/>
        <v>1.3</v>
      </c>
      <c r="NS16" s="61">
        <f t="shared" si="134"/>
        <v>12.98</v>
      </c>
      <c r="NT16" s="61">
        <f t="shared" si="135"/>
        <v>0</v>
      </c>
      <c r="NU16" s="61">
        <f t="shared" si="136"/>
        <v>14.65</v>
      </c>
      <c r="NV16" s="61">
        <f t="shared" si="137"/>
        <v>9.0500000000000007</v>
      </c>
      <c r="NW16" s="61">
        <f t="shared" si="138"/>
        <v>8.8999999999999986</v>
      </c>
      <c r="NX16" s="61">
        <f t="shared" si="139"/>
        <v>15.022500000000001</v>
      </c>
      <c r="NY16" s="61">
        <f t="shared" si="140"/>
        <v>0.7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10.3</v>
      </c>
      <c r="OF16" s="61">
        <f t="shared" si="147"/>
        <v>5.9</v>
      </c>
      <c r="OG16" s="61">
        <f t="shared" si="148"/>
        <v>6.8</v>
      </c>
      <c r="OH16" s="61">
        <f t="shared" si="149"/>
        <v>10.092500000000001</v>
      </c>
      <c r="OI16" s="61">
        <f t="shared" si="150"/>
        <v>0</v>
      </c>
      <c r="OJ16" s="72" t="s">
        <v>52</v>
      </c>
      <c r="OK16" s="11">
        <f t="shared" si="151"/>
        <v>34.93</v>
      </c>
      <c r="OL16" s="11">
        <f t="shared" si="152"/>
        <v>8.8999999999999986</v>
      </c>
      <c r="OM16" s="11">
        <f t="shared" si="153"/>
        <v>46.922499999999999</v>
      </c>
      <c r="ON16" s="11" t="str">
        <f t="shared" si="154"/>
        <v/>
      </c>
      <c r="OO16" s="11" t="str">
        <f t="shared" si="155"/>
        <v/>
      </c>
      <c r="OP16" s="11">
        <f t="shared" si="156"/>
        <v>81.852499999999992</v>
      </c>
      <c r="OQ16" s="11">
        <f t="shared" si="157"/>
        <v>6.8</v>
      </c>
      <c r="OR16" s="11">
        <f t="shared" ref="OR16" si="170">IF(SUM(OE16:OH16)-OI16&gt;0,SUM(OE16:OH16)-OI16,"")</f>
        <v>33.092500000000001</v>
      </c>
      <c r="OS16" s="11">
        <f t="shared" ref="OS16" si="171">IF(SUM(OP16,OR16)&gt;0,SUM(OP16,OR16),"")</f>
        <v>114.94499999999999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6" t="s">
        <v>79</v>
      </c>
      <c r="C17" s="7" t="s">
        <v>3</v>
      </c>
      <c r="D17" s="26">
        <v>2002</v>
      </c>
      <c r="E17" s="15">
        <f t="shared" si="0"/>
        <v>95.250096630000002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96.63</v>
      </c>
      <c r="L17" s="14" t="str">
        <f t="shared" si="7"/>
        <v>2021 Elite Canada</v>
      </c>
      <c r="M17" s="14">
        <f t="shared" si="8"/>
        <v>33.974999999999994</v>
      </c>
      <c r="N17" s="14" t="str">
        <f t="shared" si="9"/>
        <v>2021 Canadian Championships</v>
      </c>
      <c r="O17" s="14">
        <f t="shared" si="10"/>
        <v>51.33</v>
      </c>
      <c r="P17" s="14" t="str">
        <f t="shared" si="11"/>
        <v>2021 Elite Canada</v>
      </c>
      <c r="Q17" s="14">
        <f>IF(COUNT(AS17,AU17,AX17,BW17,BY17,CB17,DA17,DC17,DF17)&gt;1,LARGE((AS17,AU17,AX17,BW17,BY17,CB17,DA17,DC17,DF17),2),0)</f>
        <v>43.92</v>
      </c>
      <c r="R17" s="14" t="str">
        <f t="shared" si="12"/>
        <v>2021 Canadian Championships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11" t="str">
        <f t="shared" si="19"/>
        <v/>
      </c>
      <c r="AU17" s="11" t="str">
        <f t="shared" si="20"/>
        <v/>
      </c>
      <c r="AV17" s="11" t="str">
        <f t="shared" si="21"/>
        <v/>
      </c>
      <c r="AW17" s="11" t="str">
        <f t="shared" si="22"/>
        <v/>
      </c>
      <c r="AX17" s="11" t="str">
        <f t="shared" si="23"/>
        <v/>
      </c>
      <c r="AY17" s="11" t="str">
        <f t="shared" si="24"/>
        <v/>
      </c>
      <c r="AZ17" s="67">
        <v>16.600000000000001</v>
      </c>
      <c r="BA17" s="67">
        <v>9.1999999999999993</v>
      </c>
      <c r="BB17" s="67">
        <v>2.7</v>
      </c>
      <c r="BC17" s="67">
        <v>16.8</v>
      </c>
      <c r="BD17" s="67">
        <v>0</v>
      </c>
      <c r="BE17" s="67">
        <v>14.1</v>
      </c>
      <c r="BF17" s="67">
        <v>8.9</v>
      </c>
      <c r="BG17" s="67">
        <v>12.6</v>
      </c>
      <c r="BH17" s="67">
        <v>15.73</v>
      </c>
      <c r="BI17" s="67">
        <v>0</v>
      </c>
      <c r="BJ17" s="67">
        <v>1.4</v>
      </c>
      <c r="BK17" s="67">
        <v>0.8</v>
      </c>
      <c r="BL17" s="67">
        <v>2</v>
      </c>
      <c r="BM17" s="67">
        <v>1.7350000000000001</v>
      </c>
      <c r="BN17" s="67">
        <v>0</v>
      </c>
      <c r="BO17" s="67">
        <v>9</v>
      </c>
      <c r="BP17" s="67">
        <v>5.4</v>
      </c>
      <c r="BQ17" s="67">
        <v>8.6</v>
      </c>
      <c r="BR17" s="67">
        <v>9.74</v>
      </c>
      <c r="BS17" s="67">
        <v>0</v>
      </c>
      <c r="BT17" s="73"/>
      <c r="BU17" s="14">
        <f t="shared" si="25"/>
        <v>45.3</v>
      </c>
      <c r="BV17" s="14">
        <f t="shared" si="26"/>
        <v>12.6</v>
      </c>
      <c r="BW17" s="14">
        <f t="shared" si="27"/>
        <v>51.33</v>
      </c>
      <c r="BX17" s="14">
        <f t="shared" si="28"/>
        <v>2</v>
      </c>
      <c r="BY17" s="14">
        <f t="shared" si="29"/>
        <v>5.9350000000000005</v>
      </c>
      <c r="BZ17" s="14">
        <f t="shared" si="30"/>
        <v>96.63</v>
      </c>
      <c r="CA17" s="14">
        <f t="shared" si="31"/>
        <v>8.6</v>
      </c>
      <c r="CB17" s="14">
        <f t="shared" si="32"/>
        <v>32.74</v>
      </c>
      <c r="CC17" s="14">
        <f t="shared" si="33"/>
        <v>129.37</v>
      </c>
      <c r="CD17" s="61">
        <v>12.4</v>
      </c>
      <c r="CE17" s="61">
        <v>7</v>
      </c>
      <c r="CF17" s="61">
        <v>0.9</v>
      </c>
      <c r="CG17" s="61">
        <v>13.675000000000001</v>
      </c>
      <c r="CH17" s="61">
        <v>0</v>
      </c>
      <c r="CI17" s="61">
        <v>1.4</v>
      </c>
      <c r="CJ17" s="61">
        <v>1</v>
      </c>
      <c r="CK17" s="61">
        <v>2</v>
      </c>
      <c r="CL17" s="61">
        <v>1.7150000000000001</v>
      </c>
      <c r="CM17" s="61">
        <v>0</v>
      </c>
      <c r="CN17" s="61">
        <v>12</v>
      </c>
      <c r="CO17" s="61">
        <v>7.7</v>
      </c>
      <c r="CP17" s="61">
        <v>11</v>
      </c>
      <c r="CQ17" s="61">
        <v>13.22</v>
      </c>
      <c r="CR17" s="61">
        <v>0</v>
      </c>
      <c r="CS17" s="61">
        <v>4.4000000000000004</v>
      </c>
      <c r="CT17" s="61">
        <v>2.8</v>
      </c>
      <c r="CU17" s="61">
        <v>4.5</v>
      </c>
      <c r="CV17" s="61">
        <v>5.03</v>
      </c>
      <c r="CW17" s="61">
        <v>0</v>
      </c>
      <c r="CX17" s="72"/>
      <c r="CY17" s="11">
        <f t="shared" si="34"/>
        <v>33.974999999999994</v>
      </c>
      <c r="CZ17" s="11">
        <f t="shared" si="35"/>
        <v>2</v>
      </c>
      <c r="DA17" s="11">
        <f t="shared" si="36"/>
        <v>6.1150000000000002</v>
      </c>
      <c r="DB17" s="11">
        <f t="shared" si="37"/>
        <v>11</v>
      </c>
      <c r="DC17" s="11">
        <f t="shared" si="38"/>
        <v>43.92</v>
      </c>
      <c r="DD17" s="11">
        <f t="shared" si="39"/>
        <v>77.894999999999996</v>
      </c>
      <c r="DE17" s="11">
        <f t="shared" si="40"/>
        <v>4.5</v>
      </c>
      <c r="DF17" s="11">
        <f t="shared" si="41"/>
        <v>16.73</v>
      </c>
      <c r="DG17" s="11">
        <f t="shared" si="42"/>
        <v>94.625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14.5</v>
      </c>
      <c r="NQ17" s="61">
        <f t="shared" si="132"/>
        <v>8.1</v>
      </c>
      <c r="NR17" s="61">
        <f t="shared" si="133"/>
        <v>1.8</v>
      </c>
      <c r="NS17" s="61">
        <f t="shared" si="134"/>
        <v>15.237500000000001</v>
      </c>
      <c r="NT17" s="61">
        <f t="shared" si="135"/>
        <v>0</v>
      </c>
      <c r="NU17" s="61">
        <f t="shared" si="136"/>
        <v>7.75</v>
      </c>
      <c r="NV17" s="61">
        <f t="shared" si="137"/>
        <v>4.95</v>
      </c>
      <c r="NW17" s="61">
        <f t="shared" si="138"/>
        <v>7.3</v>
      </c>
      <c r="NX17" s="61">
        <f t="shared" si="139"/>
        <v>8.7225000000000001</v>
      </c>
      <c r="NY17" s="61">
        <f t="shared" si="140"/>
        <v>0</v>
      </c>
      <c r="NZ17" s="61">
        <f t="shared" si="141"/>
        <v>6.7</v>
      </c>
      <c r="OA17" s="61">
        <f t="shared" si="142"/>
        <v>4.25</v>
      </c>
      <c r="OB17" s="61">
        <f t="shared" si="143"/>
        <v>6.5</v>
      </c>
      <c r="OC17" s="61">
        <f t="shared" si="144"/>
        <v>7.4775</v>
      </c>
      <c r="OD17" s="61">
        <f t="shared" si="145"/>
        <v>0</v>
      </c>
      <c r="OE17" s="61">
        <f t="shared" si="146"/>
        <v>6.7</v>
      </c>
      <c r="OF17" s="61">
        <f t="shared" si="147"/>
        <v>4.0999999999999996</v>
      </c>
      <c r="OG17" s="61">
        <f t="shared" si="148"/>
        <v>6.55</v>
      </c>
      <c r="OH17" s="61">
        <f t="shared" si="149"/>
        <v>7.3849999999999998</v>
      </c>
      <c r="OI17" s="61">
        <f t="shared" si="150"/>
        <v>0</v>
      </c>
      <c r="OJ17" s="72" t="s">
        <v>52</v>
      </c>
      <c r="OK17" s="11">
        <f t="shared" si="151"/>
        <v>39.637500000000003</v>
      </c>
      <c r="OL17" s="11">
        <f t="shared" si="152"/>
        <v>7.3</v>
      </c>
      <c r="OM17" s="11">
        <f t="shared" si="153"/>
        <v>28.7225</v>
      </c>
      <c r="ON17" s="11">
        <f t="shared" si="154"/>
        <v>6.5</v>
      </c>
      <c r="OO17" s="11">
        <f t="shared" si="155"/>
        <v>24.927499999999998</v>
      </c>
      <c r="OP17" s="11">
        <f t="shared" si="156"/>
        <v>68.36</v>
      </c>
      <c r="OQ17" s="11">
        <f t="shared" si="157"/>
        <v>6.55</v>
      </c>
      <c r="OR17" s="11">
        <f t="shared" ref="OR17" si="172">IF(SUM(OE17:OH17)-OI17&gt;0,SUM(OE17:OH17)-OI17,"")</f>
        <v>24.734999999999999</v>
      </c>
      <c r="OS17" s="11">
        <f t="shared" ref="OS17" si="173">IF(SUM(OP17,OR17)&gt;0,SUM(OP17,OR17),"")</f>
        <v>93.094999999999999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137</v>
      </c>
      <c r="C18" s="7" t="s">
        <v>5</v>
      </c>
      <c r="D18" s="26">
        <v>2004</v>
      </c>
      <c r="E18" s="15">
        <f t="shared" si="0"/>
        <v>92.485086605000021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86.605000000000004</v>
      </c>
      <c r="L18" s="14" t="str">
        <f t="shared" si="7"/>
        <v>2021 Elite Canada</v>
      </c>
      <c r="M18" s="14">
        <f t="shared" si="8"/>
        <v>40.765000000000001</v>
      </c>
      <c r="N18" s="14" t="str">
        <f t="shared" si="9"/>
        <v>2021 Canadian Championships</v>
      </c>
      <c r="O18" s="14">
        <f t="shared" si="10"/>
        <v>47.010000000000005</v>
      </c>
      <c r="P18" s="14" t="str">
        <f t="shared" si="11"/>
        <v>2021 Elite Canada</v>
      </c>
      <c r="Q18" s="14">
        <f>IF(COUNT(AS18,AU18,AX18,BW18,BY18,CB18,DA18,DC18,DF18)&gt;1,LARGE((AS18,AU18,AX18,BW18,BY18,CB18,DA18,DC18,DF18),2),0)</f>
        <v>45.475000000000001</v>
      </c>
      <c r="R18" s="14" t="str">
        <f t="shared" si="12"/>
        <v>2021 Canadian Championships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 t="shared" si="16"/>
        <v/>
      </c>
      <c r="AR18" s="11" t="str">
        <f t="shared" si="17"/>
        <v/>
      </c>
      <c r="AS18" s="11" t="str">
        <f t="shared" si="18"/>
        <v/>
      </c>
      <c r="AT18" s="11" t="str">
        <f t="shared" si="19"/>
        <v/>
      </c>
      <c r="AU18" s="11" t="str">
        <f t="shared" si="20"/>
        <v/>
      </c>
      <c r="AV18" s="11" t="str">
        <f t="shared" si="21"/>
        <v/>
      </c>
      <c r="AW18" s="11" t="str">
        <f t="shared" si="22"/>
        <v/>
      </c>
      <c r="AX18" s="11" t="str">
        <f t="shared" si="23"/>
        <v/>
      </c>
      <c r="AY18" s="11" t="str">
        <f t="shared" si="24"/>
        <v/>
      </c>
      <c r="AZ18" s="67">
        <v>16.2</v>
      </c>
      <c r="BA18" s="67">
        <v>9.6999999999999993</v>
      </c>
      <c r="BB18" s="67">
        <v>2</v>
      </c>
      <c r="BC18" s="67">
        <v>14.56</v>
      </c>
      <c r="BD18" s="67">
        <v>0</v>
      </c>
      <c r="BE18" s="67">
        <v>11.3</v>
      </c>
      <c r="BF18" s="67">
        <v>9.1</v>
      </c>
      <c r="BG18" s="67">
        <v>9.3000000000000007</v>
      </c>
      <c r="BH18" s="67">
        <v>14.744999999999999</v>
      </c>
      <c r="BI18" s="67">
        <v>0.3</v>
      </c>
      <c r="BJ18" s="67"/>
      <c r="BK18" s="67"/>
      <c r="BL18" s="67"/>
      <c r="BM18" s="67"/>
      <c r="BN18" s="67"/>
      <c r="BO18" s="67">
        <v>14.2</v>
      </c>
      <c r="BP18" s="67">
        <v>9.4</v>
      </c>
      <c r="BQ18" s="67">
        <v>9.3000000000000007</v>
      </c>
      <c r="BR18" s="67">
        <v>14.41</v>
      </c>
      <c r="BS18" s="67">
        <v>0.3</v>
      </c>
      <c r="BT18" s="73"/>
      <c r="BU18" s="14">
        <f t="shared" si="25"/>
        <v>42.46</v>
      </c>
      <c r="BV18" s="14">
        <f t="shared" si="26"/>
        <v>9.3000000000000007</v>
      </c>
      <c r="BW18" s="14">
        <f t="shared" si="27"/>
        <v>44.145000000000003</v>
      </c>
      <c r="BX18" s="14" t="str">
        <f t="shared" si="28"/>
        <v/>
      </c>
      <c r="BY18" s="14" t="str">
        <f t="shared" si="29"/>
        <v/>
      </c>
      <c r="BZ18" s="14">
        <f t="shared" si="30"/>
        <v>86.605000000000004</v>
      </c>
      <c r="CA18" s="14">
        <f t="shared" si="31"/>
        <v>9.3000000000000007</v>
      </c>
      <c r="CB18" s="14">
        <f t="shared" si="32"/>
        <v>47.010000000000005</v>
      </c>
      <c r="CC18" s="14">
        <f t="shared" si="33"/>
        <v>133.61500000000001</v>
      </c>
      <c r="CD18" s="61">
        <v>15.1</v>
      </c>
      <c r="CE18" s="61">
        <v>9.1</v>
      </c>
      <c r="CF18" s="61">
        <v>2</v>
      </c>
      <c r="CG18" s="61">
        <v>14.565</v>
      </c>
      <c r="CH18" s="61">
        <v>0</v>
      </c>
      <c r="CI18" s="61">
        <v>13.6</v>
      </c>
      <c r="CJ18" s="61">
        <v>8.6</v>
      </c>
      <c r="CK18" s="61">
        <v>9.3000000000000007</v>
      </c>
      <c r="CL18" s="61">
        <v>14.275</v>
      </c>
      <c r="CM18" s="61">
        <v>0.3</v>
      </c>
      <c r="CN18" s="61"/>
      <c r="CO18" s="61"/>
      <c r="CP18" s="61"/>
      <c r="CQ18" s="61"/>
      <c r="CR18" s="61"/>
      <c r="CS18" s="61">
        <v>6.7</v>
      </c>
      <c r="CT18" s="61">
        <v>4.4000000000000004</v>
      </c>
      <c r="CU18" s="61">
        <v>6.1</v>
      </c>
      <c r="CV18" s="61">
        <v>7.24</v>
      </c>
      <c r="CW18" s="61">
        <v>0</v>
      </c>
      <c r="CX18" s="72"/>
      <c r="CY18" s="11">
        <f t="shared" si="34"/>
        <v>40.765000000000001</v>
      </c>
      <c r="CZ18" s="11">
        <f t="shared" si="35"/>
        <v>9.3000000000000007</v>
      </c>
      <c r="DA18" s="11">
        <f t="shared" si="36"/>
        <v>45.475000000000001</v>
      </c>
      <c r="DB18" s="11" t="str">
        <f t="shared" si="37"/>
        <v/>
      </c>
      <c r="DC18" s="11" t="str">
        <f t="shared" si="38"/>
        <v/>
      </c>
      <c r="DD18" s="11">
        <f t="shared" si="39"/>
        <v>86.240000000000009</v>
      </c>
      <c r="DE18" s="11">
        <f t="shared" si="40"/>
        <v>6.1</v>
      </c>
      <c r="DF18" s="11">
        <f t="shared" si="41"/>
        <v>24.440000000000005</v>
      </c>
      <c r="DG18" s="11">
        <f t="shared" si="42"/>
        <v>110.68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15.649999999999999</v>
      </c>
      <c r="NQ18" s="61">
        <f t="shared" si="132"/>
        <v>9.3999999999999986</v>
      </c>
      <c r="NR18" s="61">
        <f t="shared" si="133"/>
        <v>2</v>
      </c>
      <c r="NS18" s="61">
        <f t="shared" si="134"/>
        <v>14.5625</v>
      </c>
      <c r="NT18" s="61">
        <f t="shared" si="135"/>
        <v>0</v>
      </c>
      <c r="NU18" s="61">
        <f t="shared" si="136"/>
        <v>12.45</v>
      </c>
      <c r="NV18" s="61">
        <f t="shared" si="137"/>
        <v>8.85</v>
      </c>
      <c r="NW18" s="61">
        <f t="shared" si="138"/>
        <v>9.3000000000000007</v>
      </c>
      <c r="NX18" s="61">
        <f t="shared" si="139"/>
        <v>14.51</v>
      </c>
      <c r="NY18" s="61">
        <f t="shared" si="140"/>
        <v>0.3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10.45</v>
      </c>
      <c r="OF18" s="61">
        <f t="shared" si="147"/>
        <v>6.9</v>
      </c>
      <c r="OG18" s="61">
        <f t="shared" si="148"/>
        <v>7.7</v>
      </c>
      <c r="OH18" s="61">
        <f t="shared" si="149"/>
        <v>10.824999999999999</v>
      </c>
      <c r="OI18" s="61">
        <f t="shared" si="150"/>
        <v>0.15</v>
      </c>
      <c r="OJ18" s="72" t="s">
        <v>52</v>
      </c>
      <c r="OK18" s="11">
        <f t="shared" si="151"/>
        <v>41.612499999999997</v>
      </c>
      <c r="OL18" s="11">
        <f t="shared" si="152"/>
        <v>9.3000000000000007</v>
      </c>
      <c r="OM18" s="11">
        <f t="shared" si="153"/>
        <v>44.81</v>
      </c>
      <c r="ON18" s="11" t="str">
        <f t="shared" si="154"/>
        <v/>
      </c>
      <c r="OO18" s="11" t="str">
        <f t="shared" si="155"/>
        <v/>
      </c>
      <c r="OP18" s="11">
        <f t="shared" si="156"/>
        <v>86.422499999999999</v>
      </c>
      <c r="OQ18" s="11">
        <f t="shared" si="157"/>
        <v>7.7</v>
      </c>
      <c r="OR18" s="11">
        <f t="shared" ref="OR18" si="174">IF(SUM(OE18:OH18)-OI18&gt;0,SUM(OE18:OH18)-OI18,"")</f>
        <v>35.725000000000001</v>
      </c>
      <c r="OS18" s="11">
        <f t="shared" ref="OS18" si="175">IF(SUM(OP18,OR18)&gt;0,SUM(OP18,OR18),"")</f>
        <v>122.14750000000001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8" t="s">
        <v>80</v>
      </c>
      <c r="C19" s="4" t="s">
        <v>6</v>
      </c>
      <c r="D19" s="26">
        <v>2004</v>
      </c>
      <c r="E19" s="15">
        <f t="shared" si="0"/>
        <v>90.215096430000003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96.43</v>
      </c>
      <c r="L19" s="14" t="str">
        <f t="shared" si="7"/>
        <v>2021 Canadian Championships</v>
      </c>
      <c r="M19" s="14">
        <f t="shared" si="8"/>
        <v>45.739999999999995</v>
      </c>
      <c r="N19" s="14" t="str">
        <f t="shared" si="9"/>
        <v>2021 2nd Virtual Technical Trial</v>
      </c>
      <c r="O19" s="14">
        <f t="shared" si="10"/>
        <v>52.06</v>
      </c>
      <c r="P19" s="14" t="str">
        <f t="shared" si="11"/>
        <v>2021 Canadian Championships</v>
      </c>
      <c r="Q19" s="14">
        <f>IF(COUNT(AS19,AU19,AX19,BW19,BY19,CB19,DA19,DC19,DF19)&gt;1,LARGE((AS19,AU19,AX19,BW19,BY19,CB19,DA19,DC19,DF19),2),0)</f>
        <v>38.155000000000001</v>
      </c>
      <c r="R19" s="14" t="str">
        <f t="shared" si="12"/>
        <v>2021 Canadian Championships</v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>
        <v>16.899999999999999</v>
      </c>
      <c r="W19" s="61">
        <v>9.4</v>
      </c>
      <c r="X19" s="61">
        <v>3.5</v>
      </c>
      <c r="Y19" s="61">
        <v>15.94</v>
      </c>
      <c r="Z19" s="61">
        <v>0</v>
      </c>
      <c r="AA19" s="61">
        <v>1.6</v>
      </c>
      <c r="AB19" s="61">
        <v>0.9</v>
      </c>
      <c r="AC19" s="61">
        <v>1.7</v>
      </c>
      <c r="AD19" s="61">
        <v>1.615</v>
      </c>
      <c r="AE19" s="61">
        <v>0</v>
      </c>
      <c r="AF19" s="61">
        <v>5.8</v>
      </c>
      <c r="AG19" s="61">
        <v>3.4</v>
      </c>
      <c r="AH19" s="61">
        <v>5.4</v>
      </c>
      <c r="AI19" s="61">
        <v>6.03</v>
      </c>
      <c r="AJ19" s="61">
        <v>0</v>
      </c>
      <c r="AK19" s="61">
        <v>10.9</v>
      </c>
      <c r="AL19" s="61">
        <v>6.5</v>
      </c>
      <c r="AM19" s="61">
        <v>9.4</v>
      </c>
      <c r="AN19" s="61">
        <v>10.69</v>
      </c>
      <c r="AO19" s="61">
        <v>0</v>
      </c>
      <c r="AP19" s="72"/>
      <c r="AQ19" s="11">
        <f t="shared" si="16"/>
        <v>45.739999999999995</v>
      </c>
      <c r="AR19" s="11">
        <f t="shared" si="17"/>
        <v>1.7</v>
      </c>
      <c r="AS19" s="11">
        <f t="shared" si="18"/>
        <v>5.8150000000000004</v>
      </c>
      <c r="AT19" s="11">
        <f t="shared" si="19"/>
        <v>5.4</v>
      </c>
      <c r="AU19" s="11">
        <f t="shared" si="20"/>
        <v>20.63</v>
      </c>
      <c r="AV19" s="11">
        <f t="shared" si="21"/>
        <v>66.36999999999999</v>
      </c>
      <c r="AW19" s="11">
        <f t="shared" si="22"/>
        <v>9.4</v>
      </c>
      <c r="AX19" s="11">
        <f t="shared" si="23"/>
        <v>37.489999999999995</v>
      </c>
      <c r="AY19" s="11">
        <f t="shared" si="24"/>
        <v>103.85999999999999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14" t="str">
        <f t="shared" si="28"/>
        <v/>
      </c>
      <c r="BY19" s="14" t="str">
        <f t="shared" si="29"/>
        <v/>
      </c>
      <c r="BZ19" s="14" t="str">
        <f t="shared" si="30"/>
        <v/>
      </c>
      <c r="CA19" s="14" t="str">
        <f t="shared" si="31"/>
        <v/>
      </c>
      <c r="CB19" s="14" t="str">
        <f t="shared" si="32"/>
        <v/>
      </c>
      <c r="CC19" s="14" t="str">
        <f t="shared" si="33"/>
        <v/>
      </c>
      <c r="CD19" s="61">
        <v>16</v>
      </c>
      <c r="CE19" s="61">
        <v>9.3000000000000007</v>
      </c>
      <c r="CF19" s="61">
        <v>3.3</v>
      </c>
      <c r="CG19" s="61">
        <v>15.77</v>
      </c>
      <c r="CH19" s="61">
        <v>0</v>
      </c>
      <c r="CI19" s="61">
        <v>10.9</v>
      </c>
      <c r="CJ19" s="61">
        <v>7.3</v>
      </c>
      <c r="CK19" s="61">
        <v>8.3000000000000007</v>
      </c>
      <c r="CL19" s="61">
        <v>11.654999999999999</v>
      </c>
      <c r="CM19" s="61">
        <v>0</v>
      </c>
      <c r="CN19" s="61">
        <v>15</v>
      </c>
      <c r="CO19" s="61">
        <v>9.3000000000000007</v>
      </c>
      <c r="CP19" s="61">
        <v>13.1</v>
      </c>
      <c r="CQ19" s="61">
        <v>15.06</v>
      </c>
      <c r="CR19" s="61">
        <v>0.4</v>
      </c>
      <c r="CS19" s="61">
        <v>5.9</v>
      </c>
      <c r="CT19" s="61">
        <v>3.9</v>
      </c>
      <c r="CU19" s="61">
        <v>5.4</v>
      </c>
      <c r="CV19" s="61">
        <v>6.085</v>
      </c>
      <c r="CW19" s="61">
        <v>0</v>
      </c>
      <c r="CX19" s="72"/>
      <c r="CY19" s="11">
        <f t="shared" si="34"/>
        <v>44.370000000000005</v>
      </c>
      <c r="CZ19" s="11">
        <f t="shared" si="35"/>
        <v>8.3000000000000007</v>
      </c>
      <c r="DA19" s="11">
        <f t="shared" si="36"/>
        <v>38.155000000000001</v>
      </c>
      <c r="DB19" s="11">
        <f t="shared" si="37"/>
        <v>13.1</v>
      </c>
      <c r="DC19" s="11">
        <f t="shared" si="38"/>
        <v>52.06</v>
      </c>
      <c r="DD19" s="11">
        <f t="shared" si="39"/>
        <v>96.43</v>
      </c>
      <c r="DE19" s="11">
        <f t="shared" si="40"/>
        <v>5.4</v>
      </c>
      <c r="DF19" s="11">
        <f t="shared" si="41"/>
        <v>21.285</v>
      </c>
      <c r="DG19" s="11">
        <f t="shared" si="42"/>
        <v>117.715</v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8</v>
      </c>
      <c r="NQ19" s="61">
        <f t="shared" si="132"/>
        <v>4.6500000000000004</v>
      </c>
      <c r="NR19" s="61">
        <f t="shared" si="133"/>
        <v>1.65</v>
      </c>
      <c r="NS19" s="61">
        <f t="shared" si="134"/>
        <v>7.8849999999999998</v>
      </c>
      <c r="NT19" s="61">
        <f t="shared" si="135"/>
        <v>0</v>
      </c>
      <c r="NU19" s="61">
        <f t="shared" si="136"/>
        <v>5.45</v>
      </c>
      <c r="NV19" s="61">
        <f t="shared" si="137"/>
        <v>3.65</v>
      </c>
      <c r="NW19" s="61">
        <f t="shared" si="138"/>
        <v>4.1500000000000004</v>
      </c>
      <c r="NX19" s="61">
        <f t="shared" si="139"/>
        <v>5.8274999999999997</v>
      </c>
      <c r="NY19" s="61">
        <f t="shared" si="140"/>
        <v>0</v>
      </c>
      <c r="NZ19" s="61">
        <f t="shared" si="141"/>
        <v>7.5</v>
      </c>
      <c r="OA19" s="61">
        <f t="shared" si="142"/>
        <v>4.6500000000000004</v>
      </c>
      <c r="OB19" s="61">
        <f t="shared" si="143"/>
        <v>6.55</v>
      </c>
      <c r="OC19" s="61">
        <f t="shared" si="144"/>
        <v>7.53</v>
      </c>
      <c r="OD19" s="61">
        <f t="shared" si="145"/>
        <v>0.2</v>
      </c>
      <c r="OE19" s="61">
        <f t="shared" si="146"/>
        <v>2.95</v>
      </c>
      <c r="OF19" s="61">
        <f t="shared" si="147"/>
        <v>1.95</v>
      </c>
      <c r="OG19" s="61">
        <f t="shared" si="148"/>
        <v>2.7</v>
      </c>
      <c r="OH19" s="61">
        <f t="shared" si="149"/>
        <v>3.0425</v>
      </c>
      <c r="OI19" s="61">
        <f t="shared" si="150"/>
        <v>0</v>
      </c>
      <c r="OJ19" s="72" t="s">
        <v>52</v>
      </c>
      <c r="OK19" s="11">
        <f t="shared" si="151"/>
        <v>22.185000000000002</v>
      </c>
      <c r="OL19" s="11">
        <f t="shared" si="152"/>
        <v>4.1500000000000004</v>
      </c>
      <c r="OM19" s="11">
        <f t="shared" si="153"/>
        <v>19.077500000000001</v>
      </c>
      <c r="ON19" s="11">
        <f t="shared" si="154"/>
        <v>6.55</v>
      </c>
      <c r="OO19" s="11">
        <f t="shared" si="155"/>
        <v>26.03</v>
      </c>
      <c r="OP19" s="11">
        <f t="shared" si="156"/>
        <v>48.215000000000003</v>
      </c>
      <c r="OQ19" s="11">
        <f t="shared" si="157"/>
        <v>2.7</v>
      </c>
      <c r="OR19" s="11">
        <f t="shared" ref="OR19" si="176">IF(SUM(OE19:OH19)-OI19&gt;0,SUM(OE19:OH19)-OI19,"")</f>
        <v>10.6425</v>
      </c>
      <c r="OS19" s="11">
        <f t="shared" ref="OS19" si="177">IF(SUM(OP19,OR19)&gt;0,SUM(OP19,OR19),"")</f>
        <v>58.857500000000002</v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139</v>
      </c>
      <c r="C20" s="7" t="s">
        <v>5</v>
      </c>
      <c r="D20" s="26">
        <v>2003</v>
      </c>
      <c r="E20" s="15">
        <f t="shared" si="0"/>
        <v>88.090080209999996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80.210000000000008</v>
      </c>
      <c r="L20" s="14" t="str">
        <f t="shared" si="7"/>
        <v>2021 Canadian Championships</v>
      </c>
      <c r="M20" s="14">
        <f t="shared" si="8"/>
        <v>41.305</v>
      </c>
      <c r="N20" s="14" t="str">
        <f t="shared" si="9"/>
        <v>2021 Elite Canada</v>
      </c>
      <c r="O20" s="14">
        <f t="shared" si="10"/>
        <v>47.620000000000005</v>
      </c>
      <c r="P20" s="14" t="str">
        <f t="shared" si="11"/>
        <v>2021 Canadian Championships</v>
      </c>
      <c r="Q20" s="14">
        <f>IF(COUNT(AS20,AU20,AX20,BW20,BY20,CB20,DA20,DC20,DF20)&gt;1,LARGE((AS20,AU20,AX20,BW20,BY20,CB20,DA20,DC20,DF20),2),0)</f>
        <v>40.47</v>
      </c>
      <c r="R20" s="14" t="str">
        <f t="shared" si="12"/>
        <v>2021 Elite Canada</v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 t="shared" si="16"/>
        <v/>
      </c>
      <c r="AR20" s="11" t="str">
        <f t="shared" si="17"/>
        <v/>
      </c>
      <c r="AS20" s="11" t="str">
        <f t="shared" si="18"/>
        <v/>
      </c>
      <c r="AT20" s="11" t="str">
        <f t="shared" si="19"/>
        <v/>
      </c>
      <c r="AU20" s="11" t="str">
        <f t="shared" si="20"/>
        <v/>
      </c>
      <c r="AV20" s="11" t="str">
        <f t="shared" si="21"/>
        <v/>
      </c>
      <c r="AW20" s="11" t="str">
        <f t="shared" si="22"/>
        <v/>
      </c>
      <c r="AX20" s="11" t="str">
        <f t="shared" si="23"/>
        <v/>
      </c>
      <c r="AY20" s="11" t="str">
        <f t="shared" si="24"/>
        <v/>
      </c>
      <c r="AZ20" s="67">
        <v>14.2</v>
      </c>
      <c r="BA20" s="67">
        <v>9.5</v>
      </c>
      <c r="BB20" s="67">
        <v>2.7</v>
      </c>
      <c r="BC20" s="67">
        <v>14.904999999999999</v>
      </c>
      <c r="BD20" s="67">
        <v>0</v>
      </c>
      <c r="BE20" s="67">
        <v>5.8</v>
      </c>
      <c r="BF20" s="67">
        <v>4.5</v>
      </c>
      <c r="BG20" s="67">
        <v>4.8</v>
      </c>
      <c r="BH20" s="67">
        <v>7.47</v>
      </c>
      <c r="BI20" s="67">
        <v>0</v>
      </c>
      <c r="BJ20" s="67"/>
      <c r="BK20" s="67"/>
      <c r="BL20" s="67"/>
      <c r="BM20" s="67"/>
      <c r="BN20" s="67"/>
      <c r="BO20" s="67">
        <v>10.1</v>
      </c>
      <c r="BP20" s="67">
        <v>8.8000000000000007</v>
      </c>
      <c r="BQ20" s="67">
        <v>8.5</v>
      </c>
      <c r="BR20" s="67">
        <v>14.17</v>
      </c>
      <c r="BS20" s="67">
        <v>1.1000000000000001</v>
      </c>
      <c r="BT20" s="73"/>
      <c r="BU20" s="14">
        <f t="shared" si="25"/>
        <v>41.305</v>
      </c>
      <c r="BV20" s="14">
        <f t="shared" si="26"/>
        <v>4.8</v>
      </c>
      <c r="BW20" s="14">
        <f t="shared" si="27"/>
        <v>22.57</v>
      </c>
      <c r="BX20" s="14" t="str">
        <f t="shared" si="28"/>
        <v/>
      </c>
      <c r="BY20" s="14" t="str">
        <f t="shared" si="29"/>
        <v/>
      </c>
      <c r="BZ20" s="14">
        <f t="shared" si="30"/>
        <v>63.875</v>
      </c>
      <c r="CA20" s="14">
        <f t="shared" si="31"/>
        <v>8.5</v>
      </c>
      <c r="CB20" s="14">
        <f t="shared" si="32"/>
        <v>40.47</v>
      </c>
      <c r="CC20" s="14">
        <f t="shared" si="33"/>
        <v>104.345</v>
      </c>
      <c r="CD20" s="61">
        <v>14.3</v>
      </c>
      <c r="CE20" s="61">
        <v>9.5</v>
      </c>
      <c r="CF20" s="61">
        <v>2.7</v>
      </c>
      <c r="CG20" s="61">
        <v>15.07</v>
      </c>
      <c r="CH20" s="61">
        <v>0</v>
      </c>
      <c r="CI20" s="61">
        <v>10.9</v>
      </c>
      <c r="CJ20" s="61">
        <v>7.6</v>
      </c>
      <c r="CK20" s="61">
        <v>8.1999999999999993</v>
      </c>
      <c r="CL20" s="61">
        <v>11.94</v>
      </c>
      <c r="CM20" s="61">
        <v>0</v>
      </c>
      <c r="CN20" s="61"/>
      <c r="CO20" s="61"/>
      <c r="CP20" s="61"/>
      <c r="CQ20" s="61"/>
      <c r="CR20" s="61"/>
      <c r="CS20" s="61">
        <v>13.2</v>
      </c>
      <c r="CT20" s="61">
        <v>9.4</v>
      </c>
      <c r="CU20" s="61">
        <v>10</v>
      </c>
      <c r="CV20" s="61">
        <v>15.02</v>
      </c>
      <c r="CW20" s="61">
        <v>0</v>
      </c>
      <c r="CX20" s="72"/>
      <c r="CY20" s="11">
        <f t="shared" si="34"/>
        <v>41.57</v>
      </c>
      <c r="CZ20" s="11">
        <f t="shared" si="35"/>
        <v>8.1999999999999993</v>
      </c>
      <c r="DA20" s="11">
        <f t="shared" si="36"/>
        <v>38.64</v>
      </c>
      <c r="DB20" s="11" t="str">
        <f t="shared" si="37"/>
        <v/>
      </c>
      <c r="DC20" s="11" t="str">
        <f t="shared" si="38"/>
        <v/>
      </c>
      <c r="DD20" s="11">
        <f t="shared" si="39"/>
        <v>80.210000000000008</v>
      </c>
      <c r="DE20" s="11">
        <f t="shared" si="40"/>
        <v>10</v>
      </c>
      <c r="DF20" s="11">
        <f t="shared" si="41"/>
        <v>47.620000000000005</v>
      </c>
      <c r="DG20" s="11">
        <f t="shared" si="42"/>
        <v>127.83000000000001</v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14.25</v>
      </c>
      <c r="NQ20" s="61">
        <f t="shared" si="132"/>
        <v>9.5</v>
      </c>
      <c r="NR20" s="61">
        <f t="shared" si="133"/>
        <v>2.7</v>
      </c>
      <c r="NS20" s="61">
        <f t="shared" si="134"/>
        <v>14.987500000000001</v>
      </c>
      <c r="NT20" s="61">
        <f t="shared" si="135"/>
        <v>0</v>
      </c>
      <c r="NU20" s="61">
        <f t="shared" si="136"/>
        <v>8.35</v>
      </c>
      <c r="NV20" s="61">
        <f t="shared" si="137"/>
        <v>6.05</v>
      </c>
      <c r="NW20" s="61">
        <f t="shared" si="138"/>
        <v>6.5</v>
      </c>
      <c r="NX20" s="61">
        <f t="shared" si="139"/>
        <v>9.7050000000000001</v>
      </c>
      <c r="NY20" s="61">
        <f t="shared" si="140"/>
        <v>0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11.649999999999999</v>
      </c>
      <c r="OF20" s="61">
        <f t="shared" si="147"/>
        <v>9.1000000000000014</v>
      </c>
      <c r="OG20" s="61">
        <f t="shared" si="148"/>
        <v>9.25</v>
      </c>
      <c r="OH20" s="61">
        <f t="shared" si="149"/>
        <v>14.594999999999999</v>
      </c>
      <c r="OI20" s="61">
        <f t="shared" si="150"/>
        <v>0.55000000000000004</v>
      </c>
      <c r="OJ20" s="72" t="s">
        <v>52</v>
      </c>
      <c r="OK20" s="11">
        <f t="shared" si="151"/>
        <v>41.4375</v>
      </c>
      <c r="OL20" s="11">
        <f t="shared" si="152"/>
        <v>6.5</v>
      </c>
      <c r="OM20" s="11">
        <f t="shared" si="153"/>
        <v>30.604999999999997</v>
      </c>
      <c r="ON20" s="11" t="str">
        <f t="shared" si="154"/>
        <v/>
      </c>
      <c r="OO20" s="11" t="str">
        <f t="shared" si="155"/>
        <v/>
      </c>
      <c r="OP20" s="11">
        <f t="shared" si="156"/>
        <v>72.04249999999999</v>
      </c>
      <c r="OQ20" s="11">
        <f t="shared" si="157"/>
        <v>9.25</v>
      </c>
      <c r="OR20" s="11">
        <f t="shared" ref="OR20" si="178">IF(SUM(OE20:OH20)-OI20&gt;0,SUM(OE20:OH20)-OI20,"")</f>
        <v>44.045000000000002</v>
      </c>
      <c r="OS20" s="11">
        <f t="shared" ref="OS20" si="179">IF(SUM(OP20,OR20)&gt;0,SUM(OP20,OR20),"")</f>
        <v>116.08749999999999</v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138</v>
      </c>
      <c r="C21" s="7" t="s">
        <v>4</v>
      </c>
      <c r="D21" s="26">
        <v>2001</v>
      </c>
      <c r="E21" s="15">
        <f t="shared" si="0"/>
        <v>75.790064760000007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64.760000000000005</v>
      </c>
      <c r="L21" s="14" t="str">
        <f t="shared" si="7"/>
        <v>2021 Elite Canada</v>
      </c>
      <c r="M21" s="14">
        <f t="shared" si="8"/>
        <v>39.230000000000004</v>
      </c>
      <c r="N21" s="14" t="str">
        <f t="shared" si="9"/>
        <v>2021 Canadian Championships</v>
      </c>
      <c r="O21" s="14">
        <f t="shared" si="10"/>
        <v>46.995000000000005</v>
      </c>
      <c r="P21" s="14" t="str">
        <f t="shared" si="11"/>
        <v>2021 Elite Canada</v>
      </c>
      <c r="Q21" s="14">
        <f>IF(COUNT(AS21,AU21,AX21,BW21,BY21,CB21,DA21,DC21,DF21)&gt;1,LARGE((AS21,AU21,AX21,BW21,BY21,CB21,DA21,DC21,DF21),2),0)</f>
        <v>28.794999999999998</v>
      </c>
      <c r="R21" s="14" t="str">
        <f t="shared" si="12"/>
        <v>2021 Elite Canada</v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 t="shared" si="16"/>
        <v/>
      </c>
      <c r="AR21" s="11" t="str">
        <f t="shared" si="17"/>
        <v/>
      </c>
      <c r="AS21" s="11" t="str">
        <f t="shared" si="18"/>
        <v/>
      </c>
      <c r="AT21" s="11" t="str">
        <f t="shared" si="19"/>
        <v/>
      </c>
      <c r="AU21" s="11" t="str">
        <f t="shared" si="20"/>
        <v/>
      </c>
      <c r="AV21" s="11" t="str">
        <f t="shared" si="21"/>
        <v/>
      </c>
      <c r="AW21" s="11" t="str">
        <f t="shared" si="22"/>
        <v/>
      </c>
      <c r="AX21" s="11" t="str">
        <f t="shared" si="23"/>
        <v/>
      </c>
      <c r="AY21" s="11" t="str">
        <f t="shared" si="24"/>
        <v/>
      </c>
      <c r="AZ21" s="67">
        <v>12.9</v>
      </c>
      <c r="BA21" s="67">
        <v>8.4</v>
      </c>
      <c r="BB21" s="67">
        <v>1.3</v>
      </c>
      <c r="BC21" s="67">
        <v>13.365</v>
      </c>
      <c r="BD21" s="67">
        <v>0</v>
      </c>
      <c r="BE21" s="67">
        <v>8</v>
      </c>
      <c r="BF21" s="67">
        <v>5.4</v>
      </c>
      <c r="BG21" s="67">
        <v>6.5</v>
      </c>
      <c r="BH21" s="67">
        <v>8.8949999999999996</v>
      </c>
      <c r="BI21" s="67">
        <v>0</v>
      </c>
      <c r="BJ21" s="67"/>
      <c r="BK21" s="67"/>
      <c r="BL21" s="67"/>
      <c r="BM21" s="67"/>
      <c r="BN21" s="67"/>
      <c r="BO21" s="67">
        <v>13</v>
      </c>
      <c r="BP21" s="67">
        <v>9.1</v>
      </c>
      <c r="BQ21" s="67">
        <v>9.8000000000000007</v>
      </c>
      <c r="BR21" s="67">
        <v>15.095000000000001</v>
      </c>
      <c r="BS21" s="67">
        <v>0</v>
      </c>
      <c r="BT21" s="73"/>
      <c r="BU21" s="14">
        <f t="shared" si="25"/>
        <v>35.965000000000003</v>
      </c>
      <c r="BV21" s="14">
        <f t="shared" si="26"/>
        <v>6.5</v>
      </c>
      <c r="BW21" s="14">
        <f t="shared" si="27"/>
        <v>28.794999999999998</v>
      </c>
      <c r="BX21" s="14" t="str">
        <f t="shared" si="28"/>
        <v/>
      </c>
      <c r="BY21" s="14" t="str">
        <f t="shared" si="29"/>
        <v/>
      </c>
      <c r="BZ21" s="14">
        <f t="shared" si="30"/>
        <v>64.760000000000005</v>
      </c>
      <c r="CA21" s="14">
        <f t="shared" si="31"/>
        <v>9.8000000000000007</v>
      </c>
      <c r="CB21" s="14">
        <f t="shared" si="32"/>
        <v>46.995000000000005</v>
      </c>
      <c r="CC21" s="14">
        <f t="shared" si="33"/>
        <v>111.75500000000001</v>
      </c>
      <c r="CD21" s="61">
        <v>12.9</v>
      </c>
      <c r="CE21" s="61">
        <v>8.8000000000000007</v>
      </c>
      <c r="CF21" s="61">
        <v>2.2999999999999998</v>
      </c>
      <c r="CG21" s="61">
        <v>15.23</v>
      </c>
      <c r="CH21" s="61">
        <v>0</v>
      </c>
      <c r="CI21" s="61">
        <v>1.3</v>
      </c>
      <c r="CJ21" s="61">
        <v>1</v>
      </c>
      <c r="CK21" s="61">
        <v>1.3</v>
      </c>
      <c r="CL21" s="61">
        <v>1.63</v>
      </c>
      <c r="CM21" s="61">
        <v>0</v>
      </c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>
        <f t="shared" si="34"/>
        <v>39.230000000000004</v>
      </c>
      <c r="CZ21" s="11">
        <f t="shared" si="35"/>
        <v>1.3</v>
      </c>
      <c r="DA21" s="11">
        <f t="shared" si="36"/>
        <v>5.2299999999999995</v>
      </c>
      <c r="DB21" s="11" t="str">
        <f t="shared" si="37"/>
        <v/>
      </c>
      <c r="DC21" s="11" t="str">
        <f t="shared" si="38"/>
        <v/>
      </c>
      <c r="DD21" s="11">
        <f t="shared" si="39"/>
        <v>44.46</v>
      </c>
      <c r="DE21" s="11" t="str">
        <f t="shared" si="40"/>
        <v/>
      </c>
      <c r="DF21" s="11" t="str">
        <f t="shared" si="41"/>
        <v/>
      </c>
      <c r="DG21" s="11">
        <f t="shared" si="42"/>
        <v>44.46</v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12.9</v>
      </c>
      <c r="NQ21" s="61">
        <f t="shared" si="132"/>
        <v>8.6000000000000014</v>
      </c>
      <c r="NR21" s="61">
        <f t="shared" si="133"/>
        <v>1.7999999999999998</v>
      </c>
      <c r="NS21" s="61">
        <f t="shared" si="134"/>
        <v>14.297499999999999</v>
      </c>
      <c r="NT21" s="61">
        <f t="shared" si="135"/>
        <v>0</v>
      </c>
      <c r="NU21" s="61">
        <f t="shared" si="136"/>
        <v>4.6500000000000004</v>
      </c>
      <c r="NV21" s="61">
        <f t="shared" si="137"/>
        <v>3.2</v>
      </c>
      <c r="NW21" s="61">
        <f t="shared" si="138"/>
        <v>3.9</v>
      </c>
      <c r="NX21" s="61">
        <f t="shared" si="139"/>
        <v>5.2624999999999993</v>
      </c>
      <c r="NY21" s="61">
        <f t="shared" si="140"/>
        <v>0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6.5</v>
      </c>
      <c r="OF21" s="61">
        <f t="shared" si="147"/>
        <v>4.55</v>
      </c>
      <c r="OG21" s="61">
        <f t="shared" si="148"/>
        <v>4.9000000000000004</v>
      </c>
      <c r="OH21" s="61">
        <f t="shared" si="149"/>
        <v>7.5475000000000003</v>
      </c>
      <c r="OI21" s="61">
        <f t="shared" si="150"/>
        <v>0</v>
      </c>
      <c r="OJ21" s="72" t="s">
        <v>52</v>
      </c>
      <c r="OK21" s="11">
        <f t="shared" si="151"/>
        <v>37.597499999999997</v>
      </c>
      <c r="OL21" s="11">
        <f t="shared" si="152"/>
        <v>3.9</v>
      </c>
      <c r="OM21" s="11">
        <f t="shared" si="153"/>
        <v>17.012499999999999</v>
      </c>
      <c r="ON21" s="11" t="str">
        <f t="shared" si="154"/>
        <v/>
      </c>
      <c r="OO21" s="11" t="str">
        <f t="shared" si="155"/>
        <v/>
      </c>
      <c r="OP21" s="11">
        <f t="shared" si="156"/>
        <v>54.61</v>
      </c>
      <c r="OQ21" s="11">
        <f t="shared" si="157"/>
        <v>4.9000000000000004</v>
      </c>
      <c r="OR21" s="11">
        <f t="shared" ref="OR21" si="180">IF(SUM(OE21:OH21)-OI21&gt;0,SUM(OE21:OH21)-OI21,"")</f>
        <v>23.497500000000002</v>
      </c>
      <c r="OS21" s="11">
        <f t="shared" ref="OS21" si="181">IF(SUM(OP21,OR21)&gt;0,SUM(OP21,OR21),"")</f>
        <v>78.107500000000002</v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62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69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0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7288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7333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7378" operator="between">
      <formula>EG$27</formula>
      <formula>1000</formula>
    </cfRule>
    <cfRule type="cellIs" dxfId="126" priority="47379" operator="between">
      <formula>EG$26</formula>
      <formula>EG$27</formula>
    </cfRule>
    <cfRule type="cellIs" dxfId="125" priority="47380" operator="between">
      <formula>EG$25</formula>
      <formula>EG$26</formula>
    </cfRule>
    <cfRule type="cellIs" dxfId="124" priority="47381" operator="between">
      <formula>EG$24</formula>
      <formula>EG$25</formula>
    </cfRule>
  </conditionalFormatting>
  <conditionalFormatting sqref="AR1:AR1048576 BV1:BV1048576 CZ1:CZ1048576">
    <cfRule type="cellIs" dxfId="123" priority="47522" operator="between">
      <formula>AY$27</formula>
      <formula>1000</formula>
    </cfRule>
    <cfRule type="cellIs" dxfId="122" priority="47523" operator="between">
      <formula>AY$26</formula>
      <formula>AY$27</formula>
    </cfRule>
    <cfRule type="cellIs" dxfId="121" priority="47524" operator="between">
      <formula>AY$25</formula>
      <formula>AY$26</formula>
    </cfRule>
    <cfRule type="cellIs" dxfId="120" priority="47525" operator="between">
      <formula>AY$24</formula>
      <formula>AY$25</formula>
    </cfRule>
  </conditionalFormatting>
  <conditionalFormatting sqref="AS1:AS1048576 BW1:BW1048576 DA1:DA1048576">
    <cfRule type="cellIs" dxfId="119" priority="47558" operator="between">
      <formula>AY$28</formula>
      <formula>1000</formula>
    </cfRule>
  </conditionalFormatting>
  <conditionalFormatting sqref="AT1:AT1048576 BX1:BX1048576 DB1:DB1048576">
    <cfRule type="cellIs" dxfId="118" priority="47567" operator="between">
      <formula>AY$27</formula>
      <formula>1000</formula>
    </cfRule>
    <cfRule type="cellIs" dxfId="117" priority="47568" operator="between">
      <formula>AY$26</formula>
      <formula>AY$27</formula>
    </cfRule>
    <cfRule type="cellIs" dxfId="116" priority="47569" operator="between">
      <formula>AY$25</formula>
      <formula>AY$26</formula>
    </cfRule>
    <cfRule type="cellIs" dxfId="115" priority="47570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7603" operator="between">
      <formula>AY$27</formula>
      <formula>1000</formula>
    </cfRule>
    <cfRule type="cellIs" dxfId="113" priority="47604" operator="between">
      <formula>AY$26</formula>
      <formula>AY$27</formula>
    </cfRule>
    <cfRule type="cellIs" dxfId="112" priority="47605" operator="between">
      <formula>AY$25</formula>
      <formula>AY$26</formula>
    </cfRule>
    <cfRule type="cellIs" dxfId="111" priority="47606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27" t="s">
        <v>76</v>
      </c>
      <c r="G1" s="127" t="s">
        <v>74</v>
      </c>
      <c r="H1" s="127" t="s">
        <v>75</v>
      </c>
      <c r="I1" s="127" t="s">
        <v>9</v>
      </c>
      <c r="J1" s="127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30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5" t="s">
        <v>133</v>
      </c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6" t="s">
        <v>13</v>
      </c>
      <c r="DI1" s="126"/>
      <c r="DJ1" s="126"/>
      <c r="DK1" s="126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5"/>
      <c r="JK1" s="125"/>
      <c r="JL1" s="125"/>
      <c r="JM1" s="125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8"/>
      <c r="L2" s="128"/>
      <c r="M2" s="128"/>
      <c r="N2" s="128"/>
      <c r="O2" s="129"/>
      <c r="P2" s="128"/>
      <c r="Q2" s="129"/>
      <c r="R2" s="128"/>
      <c r="S2" s="130"/>
      <c r="T2" s="128"/>
      <c r="U2" s="128"/>
      <c r="V2" s="123" t="s">
        <v>18</v>
      </c>
      <c r="W2" s="123"/>
      <c r="X2" s="123"/>
      <c r="Y2" s="123"/>
      <c r="Z2" s="123"/>
      <c r="AA2" s="123" t="s">
        <v>19</v>
      </c>
      <c r="AB2" s="123"/>
      <c r="AC2" s="123"/>
      <c r="AD2" s="123"/>
      <c r="AE2" s="123"/>
      <c r="AF2" s="123" t="s">
        <v>70</v>
      </c>
      <c r="AG2" s="123"/>
      <c r="AH2" s="123"/>
      <c r="AI2" s="123"/>
      <c r="AJ2" s="123"/>
      <c r="AK2" s="123" t="s">
        <v>22</v>
      </c>
      <c r="AL2" s="123"/>
      <c r="AM2" s="123"/>
      <c r="AN2" s="123"/>
      <c r="AO2" s="123"/>
      <c r="AP2" s="120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2" t="s">
        <v>18</v>
      </c>
      <c r="BA2" s="122"/>
      <c r="BB2" s="122"/>
      <c r="BC2" s="122"/>
      <c r="BD2" s="122"/>
      <c r="BE2" s="122" t="s">
        <v>19</v>
      </c>
      <c r="BF2" s="122"/>
      <c r="BG2" s="122"/>
      <c r="BH2" s="122"/>
      <c r="BI2" s="122"/>
      <c r="BJ2" s="122" t="s">
        <v>70</v>
      </c>
      <c r="BK2" s="122"/>
      <c r="BL2" s="122"/>
      <c r="BM2" s="122"/>
      <c r="BN2" s="122"/>
      <c r="BO2" s="122" t="s">
        <v>22</v>
      </c>
      <c r="BP2" s="122"/>
      <c r="BQ2" s="122"/>
      <c r="BR2" s="122"/>
      <c r="BS2" s="122"/>
      <c r="BT2" s="119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3" t="s">
        <v>18</v>
      </c>
      <c r="CE2" s="123"/>
      <c r="CF2" s="123"/>
      <c r="CG2" s="123"/>
      <c r="CH2" s="123"/>
      <c r="CI2" s="123" t="s">
        <v>19</v>
      </c>
      <c r="CJ2" s="123"/>
      <c r="CK2" s="123"/>
      <c r="CL2" s="123"/>
      <c r="CM2" s="123"/>
      <c r="CN2" s="123" t="s">
        <v>70</v>
      </c>
      <c r="CO2" s="123"/>
      <c r="CP2" s="123"/>
      <c r="CQ2" s="123"/>
      <c r="CR2" s="123"/>
      <c r="CS2" s="123" t="s">
        <v>22</v>
      </c>
      <c r="CT2" s="123"/>
      <c r="CU2" s="123"/>
      <c r="CV2" s="123"/>
      <c r="CW2" s="123"/>
      <c r="CX2" s="120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3" t="s">
        <v>18</v>
      </c>
      <c r="DM2" s="123"/>
      <c r="DN2" s="123"/>
      <c r="DO2" s="123"/>
      <c r="DP2" s="123"/>
      <c r="DQ2" s="123" t="s">
        <v>19</v>
      </c>
      <c r="DR2" s="123"/>
      <c r="DS2" s="123"/>
      <c r="DT2" s="123"/>
      <c r="DU2" s="123"/>
      <c r="DV2" s="123" t="s">
        <v>22</v>
      </c>
      <c r="DW2" s="123"/>
      <c r="DX2" s="123"/>
      <c r="DY2" s="123"/>
      <c r="DZ2" s="123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2" t="s">
        <v>18</v>
      </c>
      <c r="EI2" s="122"/>
      <c r="EJ2" s="122"/>
      <c r="EK2" s="122"/>
      <c r="EL2" s="122"/>
      <c r="EM2" s="122" t="s">
        <v>19</v>
      </c>
      <c r="EN2" s="122"/>
      <c r="EO2" s="122"/>
      <c r="EP2" s="122"/>
      <c r="EQ2" s="122"/>
      <c r="ER2" s="122" t="s">
        <v>22</v>
      </c>
      <c r="ES2" s="122"/>
      <c r="ET2" s="122"/>
      <c r="EU2" s="122"/>
      <c r="EV2" s="122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3" t="s">
        <v>18</v>
      </c>
      <c r="FE2" s="123"/>
      <c r="FF2" s="123"/>
      <c r="FG2" s="123"/>
      <c r="FH2" s="123"/>
      <c r="FI2" s="123" t="s">
        <v>19</v>
      </c>
      <c r="FJ2" s="123"/>
      <c r="FK2" s="123"/>
      <c r="FL2" s="123"/>
      <c r="FM2" s="123"/>
      <c r="FN2" s="123" t="s">
        <v>22</v>
      </c>
      <c r="FO2" s="123"/>
      <c r="FP2" s="123"/>
      <c r="FQ2" s="123"/>
      <c r="FR2" s="123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2" t="s">
        <v>18</v>
      </c>
      <c r="GA2" s="122"/>
      <c r="GB2" s="122"/>
      <c r="GC2" s="122"/>
      <c r="GD2" s="122"/>
      <c r="GE2" s="122" t="s">
        <v>19</v>
      </c>
      <c r="GF2" s="122"/>
      <c r="GG2" s="122"/>
      <c r="GH2" s="122"/>
      <c r="GI2" s="122"/>
      <c r="GJ2" s="122" t="s">
        <v>22</v>
      </c>
      <c r="GK2" s="122"/>
      <c r="GL2" s="122"/>
      <c r="GM2" s="122"/>
      <c r="GN2" s="122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3" t="s">
        <v>18</v>
      </c>
      <c r="GW2" s="123"/>
      <c r="GX2" s="123"/>
      <c r="GY2" s="123"/>
      <c r="GZ2" s="123"/>
      <c r="HA2" s="123" t="s">
        <v>19</v>
      </c>
      <c r="HB2" s="123"/>
      <c r="HC2" s="123"/>
      <c r="HD2" s="123"/>
      <c r="HE2" s="123"/>
      <c r="HF2" s="123" t="s">
        <v>22</v>
      </c>
      <c r="HG2" s="123"/>
      <c r="HH2" s="123"/>
      <c r="HI2" s="123"/>
      <c r="HJ2" s="123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2" t="s">
        <v>18</v>
      </c>
      <c r="HS2" s="122"/>
      <c r="HT2" s="122"/>
      <c r="HU2" s="122"/>
      <c r="HV2" s="122"/>
      <c r="HW2" s="122" t="s">
        <v>19</v>
      </c>
      <c r="HX2" s="122"/>
      <c r="HY2" s="122"/>
      <c r="HZ2" s="122"/>
      <c r="IA2" s="122"/>
      <c r="IB2" s="122" t="s">
        <v>22</v>
      </c>
      <c r="IC2" s="122"/>
      <c r="ID2" s="122"/>
      <c r="IE2" s="122"/>
      <c r="IF2" s="122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3" t="s">
        <v>18</v>
      </c>
      <c r="IO2" s="123"/>
      <c r="IP2" s="123"/>
      <c r="IQ2" s="123"/>
      <c r="IR2" s="123"/>
      <c r="IS2" s="123" t="s">
        <v>19</v>
      </c>
      <c r="IT2" s="123"/>
      <c r="IU2" s="123"/>
      <c r="IV2" s="123"/>
      <c r="IW2" s="123"/>
      <c r="IX2" s="123" t="s">
        <v>22</v>
      </c>
      <c r="IY2" s="123"/>
      <c r="IZ2" s="123"/>
      <c r="JA2" s="123"/>
      <c r="JB2" s="123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2" t="s">
        <v>18</v>
      </c>
      <c r="JK2" s="122"/>
      <c r="JL2" s="122"/>
      <c r="JM2" s="122"/>
      <c r="JN2" s="122"/>
      <c r="JO2" s="122" t="s">
        <v>19</v>
      </c>
      <c r="JP2" s="122"/>
      <c r="JQ2" s="122"/>
      <c r="JR2" s="122"/>
      <c r="JS2" s="122"/>
      <c r="JT2" s="122" t="s">
        <v>22</v>
      </c>
      <c r="JU2" s="122"/>
      <c r="JV2" s="122"/>
      <c r="JW2" s="122"/>
      <c r="JX2" s="122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3" t="s">
        <v>18</v>
      </c>
      <c r="KG2" s="123"/>
      <c r="KH2" s="123"/>
      <c r="KI2" s="123"/>
      <c r="KJ2" s="123"/>
      <c r="KK2" s="123" t="s">
        <v>19</v>
      </c>
      <c r="KL2" s="123"/>
      <c r="KM2" s="123"/>
      <c r="KN2" s="123"/>
      <c r="KO2" s="123"/>
      <c r="KP2" s="123" t="s">
        <v>22</v>
      </c>
      <c r="KQ2" s="123"/>
      <c r="KR2" s="123"/>
      <c r="KS2" s="123"/>
      <c r="KT2" s="123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2" t="s">
        <v>18</v>
      </c>
      <c r="LC2" s="122"/>
      <c r="LD2" s="122"/>
      <c r="LE2" s="122"/>
      <c r="LF2" s="122"/>
      <c r="LG2" s="122" t="s">
        <v>19</v>
      </c>
      <c r="LH2" s="122"/>
      <c r="LI2" s="122"/>
      <c r="LJ2" s="122"/>
      <c r="LK2" s="122"/>
      <c r="LL2" s="122" t="s">
        <v>22</v>
      </c>
      <c r="LM2" s="122"/>
      <c r="LN2" s="122"/>
      <c r="LO2" s="122"/>
      <c r="LP2" s="122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3" t="s">
        <v>18</v>
      </c>
      <c r="LY2" s="123"/>
      <c r="LZ2" s="123"/>
      <c r="MA2" s="123"/>
      <c r="MB2" s="123"/>
      <c r="MC2" s="123" t="s">
        <v>19</v>
      </c>
      <c r="MD2" s="123"/>
      <c r="ME2" s="123"/>
      <c r="MF2" s="123"/>
      <c r="MG2" s="123"/>
      <c r="MH2" s="123" t="s">
        <v>22</v>
      </c>
      <c r="MI2" s="123"/>
      <c r="MJ2" s="123"/>
      <c r="MK2" s="123"/>
      <c r="ML2" s="123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2" t="s">
        <v>18</v>
      </c>
      <c r="MU2" s="122"/>
      <c r="MV2" s="122"/>
      <c r="MW2" s="122"/>
      <c r="MX2" s="122"/>
      <c r="MY2" s="122" t="s">
        <v>19</v>
      </c>
      <c r="MZ2" s="122"/>
      <c r="NA2" s="122"/>
      <c r="NB2" s="122"/>
      <c r="NC2" s="122"/>
      <c r="ND2" s="122" t="s">
        <v>22</v>
      </c>
      <c r="NE2" s="122"/>
      <c r="NF2" s="122"/>
      <c r="NG2" s="122"/>
      <c r="NH2" s="122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3" t="s">
        <v>18</v>
      </c>
      <c r="NQ2" s="123"/>
      <c r="NR2" s="123"/>
      <c r="NS2" s="123"/>
      <c r="NT2" s="123"/>
      <c r="NU2" s="123" t="s">
        <v>19</v>
      </c>
      <c r="NV2" s="123"/>
      <c r="NW2" s="123"/>
      <c r="NX2" s="123"/>
      <c r="NY2" s="123"/>
      <c r="NZ2" s="123" t="s">
        <v>70</v>
      </c>
      <c r="OA2" s="123"/>
      <c r="OB2" s="123"/>
      <c r="OC2" s="123"/>
      <c r="OD2" s="123"/>
      <c r="OE2" s="123" t="s">
        <v>22</v>
      </c>
      <c r="OF2" s="123"/>
      <c r="OG2" s="123"/>
      <c r="OH2" s="123"/>
      <c r="OI2" s="123"/>
      <c r="OJ2" s="120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8"/>
      <c r="L3" s="128"/>
      <c r="M3" s="128"/>
      <c r="N3" s="128"/>
      <c r="O3" s="129"/>
      <c r="P3" s="128"/>
      <c r="Q3" s="129"/>
      <c r="R3" s="128"/>
      <c r="S3" s="130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IF(AND(G4&lt;&gt;"",H4&lt;&gt;""),SUMPRODUCT((G$4:G$28&lt;&gt;"")*(H$4:H$28&lt;&gt;"")*(E$4:E$28&gt;E4))+1,IF(H4&lt;&gt;"",SUMPRODUCT((I$4:I$28="No DD")*(E$4:E$28&gt;E4))+1+SUMPRODUCT((G$4:G$28&lt;&gt;"")*(H$4:H$28&lt;&gt;"")),""))</f>
        <v>1</v>
      </c>
      <c r="B4" s="8" t="s">
        <v>94</v>
      </c>
      <c r="C4" s="4" t="s">
        <v>6</v>
      </c>
      <c r="D4" s="26">
        <v>2000</v>
      </c>
      <c r="E4" s="15">
        <f t="shared" ref="E4:E27" si="0">SUM(O4:S4)</f>
        <v>105.285</v>
      </c>
      <c r="F4" s="3" t="str">
        <f t="shared" ref="F4:F27" si="1">IF(G4&lt;&gt;"","P","")</f>
        <v>P</v>
      </c>
      <c r="G4" s="115" t="str">
        <f t="shared" ref="G4:G27" si="2">IF(OR(AND(AR4&gt;=AY$33,AR4&lt;&gt;"",AP4=""),AND(AT4&gt;=AY$33,AT4&lt;&gt;"",AP4=""),AND(AW4&gt;=AY$33,AW4&lt;&gt;"",AP4=""),AND(BV4&gt;=CC$33,BV4&lt;&gt;"",BT4=""),AND(BX4&gt;=CC$33,BX4&lt;&gt;"",BT4=""),AND(CA4&gt;=CC$33,CA4&lt;&gt;"",BT4=""),AND(CZ4&gt;=DG$33,CZ4&lt;&gt;"",CX4=""),AND(DB4&gt;=DG$33,DB4&lt;&gt;"",CX4=""),AND(DE4&gt;=DG$33,DE4&lt;&gt;"",CX4=""),AND(EA4&gt;=EG$33,EA4&lt;&gt;""),AND(EE4&gt;=EG$33,EE4&lt;&gt;""),AND(EW4&gt;=FC$33,EW4&lt;&gt;""),AND(FA4&gt;=FC$33,FA4&lt;&gt;""),AND(FS4&gt;=FY$33,FS4&lt;&gt;""),AND(FW4&gt;=FY$33,FW4&lt;&gt;""),AND(GO4&gt;=GU$33,GO4&lt;&gt;""),AND(GS4&gt;=GU$33,GS4&lt;&gt;""),AND(HK4&gt;=HQ$33,HK4&lt;&gt;""),AND(HO4&gt;=HQ$33,HO4&lt;&gt;""),AND(IG4&gt;=IM$33,IG4&lt;&gt;""),AND(IK4&gt;=IM$33,IK4&lt;&gt;""),AND(JC4&gt;=JI$33,JC4&lt;&gt;""),AND(JG4&gt;=JI$33,JG4&lt;&gt;""),AND(JY4&gt;=KE$33,JY4&lt;&gt;""),AND(KC4&gt;=KE$33,KC4&lt;&gt;""),AND(KU4&gt;=LA$33,KU4&lt;&gt;""),AND(KY4&gt;=LA$33,KY4&lt;&gt;""),AND(LQ4&gt;=LW$33,LQ4&lt;&gt;""),AND(LU4&gt;=LW$33,LU4&lt;&gt;""),AND(MM4&gt;=MS$33,MM4&lt;&gt;""),AND(MQ4&gt;=MS$33,MQ4&lt;&gt;""),AND(NI4&gt;=NO$33,NI4&lt;&gt;""),AND(NM4&gt;=NO$33,NM4&lt;&gt;"")),"Merit",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Excellence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Worlds Team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National Team",""))))</f>
        <v>National Team</v>
      </c>
      <c r="H4" s="115" t="str">
        <f t="shared" ref="H4:H27" si="3">IF(OR(AND(AS4&gt;=AY$34,AS4&lt;&gt;"",AP4=""),AND(AU4&gt;=AY$34,AU4&lt;&gt;"",AP4=""),AND(AX4&gt;=AY$34,AX4&lt;&gt;"",AP4=""),AND(BW4&gt;=CC$34,BW4&lt;&gt;"",BT4=""),AND(BY4&gt;=CC$34,BY4&lt;&gt;"",BT4=""),AND(CB4&gt;=CC$34,CB4&lt;&gt;"",BT4=""),AND(DA4&gt;=DG$34,DA4&lt;&gt;"",CX4=""),AND(DC4&gt;=DG$34,DC4&lt;&gt;"",CX4=""),AND(DF4&gt;=DG$34,DF4&lt;&gt;"",CX4=""),AND(EC4&gt;=EG$34,EC4&lt;&gt;""),AND(EF4&gt;=EG$34,EF4&lt;&gt;""),AND(EY4&gt;=FC$34,EY4&lt;&gt;""),AND(FB4&gt;=FC$34,FB4&lt;&gt;""),AND(FU4&gt;=FY$34,FU4&lt;&gt;""),AND(FX4&gt;=FY$34,FX4&lt;&gt;""),AND(GQ4&gt;=GU$34,GQ4&lt;&gt;""),AND(GT4&gt;=GU$34,GT4&lt;&gt;""),AND(HM4&gt;=HQ$34,HM4&lt;&gt;""),AND(HP4&gt;=HQ$34,HP4&lt;&gt;""),AND(II4&gt;=IM$34,II4&lt;&gt;""),AND(IL4&gt;=IM$34,IL4&lt;&gt;""),AND(JE4&gt;=JI$34,JE4&lt;&gt;""),AND(JH4&gt;=JI$34,JH4&lt;&gt;""),AND(KA4&gt;=KE$34,KA4&lt;&gt;""),AND(KD4&gt;=KE$34,KD4&lt;&gt;""),AND(KW4&gt;=LA$34,KW4&lt;&gt;""),AND(KZ4&gt;=LA$34,KZ4&lt;&gt;""),AND(LS4&gt;=LW$34,LS4&lt;&gt;""),AND(LV4&gt;=LW$34,LV4&lt;&gt;""),AND(MO4&gt;=MS$34,MO4&lt;&gt;""),AND(MR4&gt;=MS$34,MR4&lt;&gt;""),AND(NK4&gt;=NO$34,NK4&lt;&gt;""),AND(NN4&gt;=NO$34,NN4&lt;&gt;"")),"National Team","")</f>
        <v>National Team</v>
      </c>
      <c r="I4" s="116" t="str">
        <f t="shared" ref="I4:I27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7" si="5">IF(AND(OR(AND(AV4&gt;=AY$35,AV4&lt;&gt;"",AP4=""),AND(BZ4&gt;=CC$35,BZ4&lt;&gt;"",BT4=""),AND(DD4&gt;=DG$35,DD4&lt;&gt;"",CX4=""),AND(ED4&gt;=EG$35,ED4&lt;&gt;""),AND(EZ4&gt;=FC$35,EZ4&lt;&gt;""),AND(FV4&gt;=FY$35,FV4&lt;&gt;""),AND(GR4&gt;=GU$35,GR4&lt;&gt;""),AND(HN4&gt;=HQ$35,HN4&lt;&gt;""),AND(IJ4&gt;=IM$35,IJ4&lt;&gt;""),AND(JF4&gt;=JI$35,JF4&lt;&gt;""),AND(KB4&gt;=KE$35,KB4&lt;&gt;""),AND(KX4&gt;=LA$35,KX4&lt;&gt;""),AND(LT4&gt;=LW$35,LT4&lt;&gt;""),AND(MP4&gt;=MS$35,MP4&lt;&gt;""),AND(NL4&gt;=NO$35,NL4&lt;&gt;"")),OR(G4="Worlds Team",G4="Excellence",G4="Merit")),"P","")</f>
        <v/>
      </c>
      <c r="K4" s="14">
        <f t="shared" ref="K4:K27" si="6">IF(MAX(AV4,BZ4,DD4)&gt;0,MAX(AV4,BZ4,DD4),0)</f>
        <v>100.02</v>
      </c>
      <c r="L4" s="14" t="str">
        <f t="shared" ref="L4:L27" si="7">IF(K4=0,"",IF(K4=DD4,$CD$1,IF(K4=BZ4,$AZ$1,IF(K4=AV4,$V$1,""))))</f>
        <v>2021 Canadian Championships</v>
      </c>
      <c r="M4" s="14">
        <f t="shared" ref="M4:M27" si="8">IF($K4=$AV4,MAX(BU4,CY4),IF($K4=$BZ4,MAX(AQ4,CY4),IF($K4=$DD4,MAX(AQ4,BU4),MAX(AQ4,BU4,CY4))))</f>
        <v>46.37</v>
      </c>
      <c r="N4" s="14" t="str">
        <f t="shared" ref="N4:N27" si="9">IF(M4=0,"",IF(AND(M4=CY4,$L4&lt;&gt;$CD$1),$CD$1,IF(AND(M4=BU4,$L4&lt;&gt;$AZ$1),$AZ$1,IF(AND(M4=AQ4,$L4&lt;&gt;$V$1),$V$1,""))))</f>
        <v>2021 Elite Canada</v>
      </c>
      <c r="O4" s="14">
        <f t="shared" ref="O4:O27" si="10">MAX(AS4,AU4,AX4,BW4,BY4,CB4,DA4,DC4,DF4)</f>
        <v>52.75</v>
      </c>
      <c r="P4" s="14" t="str">
        <f t="shared" ref="P4:P27" si="11">IF(O4=0,"",IF(OR(O4=DC4,O4=DA4,O4=DF4),$CD$1,IF(OR(O4=BY4,O4=BW4,O4=CB4),$AZ$1,IF(OR(O4=AU4,O4=AS4,O4=AX4),$V$1,""))))</f>
        <v>2021 Elite Canada</v>
      </c>
      <c r="Q4" s="14">
        <f>IF(COUNT(AS4,AU4,AX4,BW4,BY4,CB4,DA4,DC4,DF4)&gt;1,LARGE((AS4,AU4,AX4,BW4,BY4,CB4,DA4,DC4,DF4),2),0)</f>
        <v>52.534999999999997</v>
      </c>
      <c r="R4" s="14" t="str">
        <f t="shared" ref="R4:R27" si="12">IF(Q4=0,"",IF(OR(Q4=DC4,Q4=DA4,Q4=DF4),$CD$1,IF(OR(Q4=BY4,Q4=BW4,Q4=CB4),$AZ$1,IF(OR(Q4=AU4,Q4=AS4,Q4=AX4),$V$1,""))))</f>
        <v>2021 Canadian Championships</v>
      </c>
      <c r="S4" s="14" t="str">
        <f t="shared" ref="S4:S27" si="13">IF(MAX(DI4,DK4)&gt;0,MAX(DI4,DK4),"")</f>
        <v/>
      </c>
      <c r="T4" s="24" t="str">
        <f t="shared" ref="T4:T27" si="14">IF(S4="","",IF(S4=DH4,"(Vol 1)",IF(S4=DI4,"(Vol 2)",IF(S4=DJ4,"(Prelim)",IF(S4=DK4,"(Final)")))))</f>
        <v/>
      </c>
      <c r="U4" s="14" t="str">
        <f t="shared" ref="U4:U27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17.3</v>
      </c>
      <c r="W4" s="61">
        <v>9.1999999999999993</v>
      </c>
      <c r="X4" s="61">
        <v>3.2</v>
      </c>
      <c r="Y4" s="61">
        <v>15.725</v>
      </c>
      <c r="Z4" s="61">
        <v>0</v>
      </c>
      <c r="AA4" s="61">
        <v>15.2</v>
      </c>
      <c r="AB4" s="61">
        <v>9.1</v>
      </c>
      <c r="AC4" s="61">
        <v>11.5</v>
      </c>
      <c r="AD4" s="61">
        <v>14.595000000000001</v>
      </c>
      <c r="AE4" s="61">
        <v>0</v>
      </c>
      <c r="AF4" s="61">
        <v>14.9</v>
      </c>
      <c r="AG4" s="61">
        <v>9</v>
      </c>
      <c r="AH4" s="61">
        <v>11.3</v>
      </c>
      <c r="AI4" s="61">
        <v>14.61</v>
      </c>
      <c r="AJ4" s="61">
        <v>0.6</v>
      </c>
      <c r="AK4" s="61">
        <v>9.4</v>
      </c>
      <c r="AL4" s="61">
        <v>4.8</v>
      </c>
      <c r="AM4" s="61">
        <v>7.9</v>
      </c>
      <c r="AN4" s="61">
        <v>9.0150000000000006</v>
      </c>
      <c r="AO4" s="61">
        <v>0</v>
      </c>
      <c r="AP4" s="72"/>
      <c r="AQ4" s="11">
        <f t="shared" ref="AQ4:AQ27" si="16">IF(SUM(V4:Y4)-Z4&gt;0,SUM(V4:Y4)-Z4,"")</f>
        <v>45.424999999999997</v>
      </c>
      <c r="AR4" s="11">
        <f t="shared" ref="AR4:AR27" si="17">IF(AC4&gt;0,AC4,"")</f>
        <v>11.5</v>
      </c>
      <c r="AS4" s="11">
        <f t="shared" ref="AS4:AS27" si="18">IF(SUM(AA4:AD4)-AE4&gt;0,SUM(AA4:AD4)-AE4,"")</f>
        <v>50.394999999999996</v>
      </c>
      <c r="AT4" s="11">
        <f t="shared" ref="AT4:AT27" si="19">IF(AH4&gt;0,AH4,"")</f>
        <v>11.3</v>
      </c>
      <c r="AU4" s="11">
        <f t="shared" ref="AU4:AU27" si="20">IF(SUM(AF4:AI4)-AJ4&gt;0,SUM(AF4:AI4)-AJ4,"")</f>
        <v>49.21</v>
      </c>
      <c r="AV4" s="11">
        <f t="shared" ref="AV4:AV27" si="21">IF(AQ4="",IF(MAX(AS4,AU4)&gt;0,MAX(AS4,AU4),""),MAX(AS4,AU4)+AQ4)</f>
        <v>95.82</v>
      </c>
      <c r="AW4" s="11">
        <f t="shared" ref="AW4:AW27" si="22">IF(AM4&gt;0,AM4,"")</f>
        <v>7.9</v>
      </c>
      <c r="AX4" s="11">
        <f t="shared" ref="AX4:AX27" si="23">IF(SUM(AK4:AN4)-AO4&gt;0,SUM(AK4:AN4)-AO4,"")</f>
        <v>31.115000000000002</v>
      </c>
      <c r="AY4" s="11">
        <f t="shared" ref="AY4:AY27" si="24">IF(SUM(AV4,AX4)&gt;0,SUM(AV4,AX4),"")</f>
        <v>126.935</v>
      </c>
      <c r="AZ4" s="67">
        <v>18</v>
      </c>
      <c r="BA4" s="67">
        <v>9.3000000000000007</v>
      </c>
      <c r="BB4" s="67">
        <v>3.4</v>
      </c>
      <c r="BC4" s="67">
        <v>15.67</v>
      </c>
      <c r="BD4" s="67">
        <v>0</v>
      </c>
      <c r="BE4" s="67">
        <v>16.8</v>
      </c>
      <c r="BF4" s="67">
        <v>9.6</v>
      </c>
      <c r="BG4" s="67">
        <v>11.5</v>
      </c>
      <c r="BH4" s="67">
        <v>14.85</v>
      </c>
      <c r="BI4" s="67">
        <v>0</v>
      </c>
      <c r="BJ4" s="67">
        <v>15.1</v>
      </c>
      <c r="BK4" s="67">
        <v>8.8000000000000007</v>
      </c>
      <c r="BL4" s="67">
        <v>12.2</v>
      </c>
      <c r="BM4" s="67">
        <v>14.585000000000001</v>
      </c>
      <c r="BN4" s="67">
        <v>0</v>
      </c>
      <c r="BO4" s="67">
        <v>15.6</v>
      </c>
      <c r="BP4" s="67">
        <v>9.6</v>
      </c>
      <c r="BQ4" s="67">
        <v>12.2</v>
      </c>
      <c r="BR4" s="67">
        <v>14.585000000000001</v>
      </c>
      <c r="BS4" s="67">
        <v>0</v>
      </c>
      <c r="BT4" s="73"/>
      <c r="BU4" s="14">
        <f t="shared" ref="BU4:BU27" si="25">IF(SUM(AZ4:BC4)-BD4&gt;0,SUM(AZ4:BC4)-BD4,"")</f>
        <v>46.37</v>
      </c>
      <c r="BV4" s="14">
        <f t="shared" ref="BV4:BV27" si="26">IF(BG4&gt;0,BG4,"")</f>
        <v>11.5</v>
      </c>
      <c r="BW4" s="14">
        <f t="shared" ref="BW4:BW27" si="27">IF(SUM(BE4:BH4)-BI4&gt;0,SUM(BE4:BH4)-BI4,"")</f>
        <v>52.75</v>
      </c>
      <c r="BX4" s="14">
        <f t="shared" ref="BX4:BX27" si="28">IF(BL4&gt;0,BL4,"")</f>
        <v>12.2</v>
      </c>
      <c r="BY4" s="14">
        <f t="shared" ref="BY4:BY27" si="29">IF(SUM(BJ4:BM4)-BN4&gt;0,SUM(BJ4:BM4)-BN4,"")</f>
        <v>50.684999999999995</v>
      </c>
      <c r="BZ4" s="14">
        <f t="shared" ref="BZ4:BZ27" si="30">IF(BU4="",IF(MAX(BW4,BY4)&gt;0,MAX(BW4,BY4),""),MAX(BW4,BY4)+BU4)</f>
        <v>99.12</v>
      </c>
      <c r="CA4" s="14">
        <f t="shared" ref="CA4:CA27" si="31">IF(BQ4&gt;0,BQ4,"")</f>
        <v>12.2</v>
      </c>
      <c r="CB4" s="14">
        <f t="shared" ref="CB4:CB27" si="32">IF(SUM(BO4:BR4)-BS4&gt;0,SUM(BO4:BR4)-BS4,"")</f>
        <v>51.984999999999999</v>
      </c>
      <c r="CC4" s="14">
        <f t="shared" ref="CC4:CC27" si="33">IF(SUM(BZ4,CB4)&gt;0,SUM(BZ4,CB4),"")</f>
        <v>151.10500000000002</v>
      </c>
      <c r="CD4" s="61">
        <v>18.399999999999999</v>
      </c>
      <c r="CE4" s="61">
        <v>9.6999999999999993</v>
      </c>
      <c r="CF4" s="61">
        <v>3.4</v>
      </c>
      <c r="CG4" s="61">
        <v>15.984999999999999</v>
      </c>
      <c r="CH4" s="61">
        <v>0</v>
      </c>
      <c r="CI4" s="61">
        <v>15.7</v>
      </c>
      <c r="CJ4" s="61">
        <v>8.8000000000000007</v>
      </c>
      <c r="CK4" s="61">
        <v>10.6</v>
      </c>
      <c r="CL4" s="61">
        <v>14.8</v>
      </c>
      <c r="CM4" s="61">
        <v>0</v>
      </c>
      <c r="CN4" s="61">
        <v>16.399999999999999</v>
      </c>
      <c r="CO4" s="61">
        <v>9</v>
      </c>
      <c r="CP4" s="61">
        <v>12.2</v>
      </c>
      <c r="CQ4" s="61">
        <v>14.935</v>
      </c>
      <c r="CR4" s="61">
        <v>0</v>
      </c>
      <c r="CS4" s="61">
        <v>13.6</v>
      </c>
      <c r="CT4" s="61">
        <v>8.1999999999999993</v>
      </c>
      <c r="CU4" s="61">
        <v>11</v>
      </c>
      <c r="CV4" s="61">
        <v>12.05</v>
      </c>
      <c r="CW4" s="61">
        <v>0</v>
      </c>
      <c r="CX4" s="72"/>
      <c r="CY4" s="11">
        <f t="shared" ref="CY4:CY27" si="34">IF(SUM(CD4:CG4)-CH4&gt;0,SUM(CD4:CG4)-CH4,"")</f>
        <v>47.484999999999999</v>
      </c>
      <c r="CZ4" s="11">
        <f t="shared" ref="CZ4:CZ27" si="35">IF(CK4&gt;0,CK4,"")</f>
        <v>10.6</v>
      </c>
      <c r="DA4" s="11">
        <f t="shared" ref="DA4:DA27" si="36">IF(SUM(CI4:CL4)-CM4&gt;0,SUM(CI4:CL4)-CM4,"")</f>
        <v>49.900000000000006</v>
      </c>
      <c r="DB4" s="11">
        <f t="shared" ref="DB4:DB27" si="37">IF(CP4&gt;0,CP4,"")</f>
        <v>12.2</v>
      </c>
      <c r="DC4" s="11">
        <f t="shared" ref="DC4:DC27" si="38">IF(SUM(CN4:CQ4)-CR4&gt;0,SUM(CN4:CQ4)-CR4,"")</f>
        <v>52.534999999999997</v>
      </c>
      <c r="DD4" s="11">
        <f t="shared" ref="DD4:DD27" si="39">IF(CY4="",IF(MAX(DA4,DC4)&gt;0,MAX(DA4,DC4),""),MAX(DA4,DC4)+CY4)</f>
        <v>100.02</v>
      </c>
      <c r="DE4" s="11">
        <f t="shared" ref="DE4:DE27" si="40">IF(CU4&gt;0,CU4,"")</f>
        <v>11</v>
      </c>
      <c r="DF4" s="11">
        <f t="shared" ref="DF4:DF27" si="41">IF(SUM(CS4:CV4)-CW4&gt;0,SUM(CS4:CV4)-CW4,"")</f>
        <v>44.849999999999994</v>
      </c>
      <c r="DG4" s="11">
        <f t="shared" ref="DG4:DG27" si="42">IF(SUM(DD4,DF4)&gt;0,SUM(DD4,DF4),"")</f>
        <v>144.87</v>
      </c>
      <c r="DH4" s="23" t="str">
        <f t="shared" ref="DH4:DH27" si="43">IF(MAX(EB4,EX4,FT4,GP4,HL4,IH4,JD4,JZ4,KV4,LR4,MN4,NJ4)-IF(M4="",0,M4)&gt;0.001,MAX(EB4,EX4,FT4,GP4,HL4,IH4,JD4,JZ4,KV4,LR4,MN4,NJ4)-IF(M4="",0,M4),"")</f>
        <v/>
      </c>
      <c r="DI4" s="23" t="str">
        <f t="shared" ref="DI4:DI27" si="44">IF(MAX(EC4,EY4,FU4,GQ4,HM4,II4,JE4,KA4,KW4,LS4,MO4,NK4)-IF(O4="",0,O4)&gt;0.001,MAX(EC4,EY4,FU4,GQ4,HM4,II4,JE4,KA4,KW4,LS4,MO4,NK4)-IF(O4="",0,O4),"")</f>
        <v/>
      </c>
      <c r="DJ4" s="23" t="str">
        <f t="shared" ref="DJ4:DJ27" si="45">IF(MAX(ED4,EZ4,FV4,GR4,HN4,IJ4,JF4,KB4,KX4,LT4,MP4,NL4)-IF(K4="",0,K4)&gt;0.001,MAX(ED4,EZ4,FV4,GR4,HN4,IJ4,JF4,KB4,KX4,LT4,MP4,NL4)-IF(K4="",0,K4),"")</f>
        <v/>
      </c>
      <c r="DK4" s="23" t="str">
        <f t="shared" ref="DK4:DK27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7" si="47">IF(DS4&gt;0,DS4,"")</f>
        <v/>
      </c>
      <c r="EB4" s="11" t="str">
        <f t="shared" ref="EB4:EB27" si="48">IF(SUM(DL4:DO4)-DP4&gt;0,SUM(DL4:DO4)-DP4,"")</f>
        <v/>
      </c>
      <c r="EC4" s="11" t="str">
        <f t="shared" ref="EC4:EC27" si="49">IF(SUM(DQ4:DT4)-DU4&gt;0,SUM(DQ4:DT4)-DU4,"")</f>
        <v/>
      </c>
      <c r="ED4" s="11" t="str">
        <f t="shared" ref="ED4:ED27" si="50">IF(SUM(EB4:EC4)&gt;0,SUM(EB4:EC4),"")</f>
        <v/>
      </c>
      <c r="EE4" s="11" t="str">
        <f t="shared" ref="EE4:EE27" si="51">IF(DX4&gt;0,DX4,"")</f>
        <v/>
      </c>
      <c r="EF4" s="11" t="str">
        <f t="shared" ref="EF4:EF27" si="52">IF(SUM(DV4:DY4)-DZ4&gt;0,SUM(DV4:DY4)-DZ4,"")</f>
        <v/>
      </c>
      <c r="EG4" s="11" t="str">
        <f t="shared" ref="EG4:EG27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7" si="54">IF(EO4&gt;0,EO4,"")</f>
        <v/>
      </c>
      <c r="EX4" s="14" t="str">
        <f t="shared" ref="EX4:EX27" si="55">IF(SUM(EH4:EK4)-EL4&gt;0,SUM(EH4:EK4)-EL4,"")</f>
        <v/>
      </c>
      <c r="EY4" s="14" t="str">
        <f t="shared" ref="EY4:EY27" si="56">IF(SUM(EM4:EP4)-EQ4&gt;0,SUM(EM4:EP4)-EQ4,"")</f>
        <v/>
      </c>
      <c r="EZ4" s="14" t="str">
        <f t="shared" ref="EZ4:EZ27" si="57">IF(SUM(EX4:EY4)&gt;0,SUM(EX4:EY4),"")</f>
        <v/>
      </c>
      <c r="FA4" s="14" t="str">
        <f t="shared" ref="FA4:FA27" si="58">IF(ET4&gt;0,ET4,"")</f>
        <v/>
      </c>
      <c r="FB4" s="14" t="str">
        <f t="shared" ref="FB4:FB27" si="59">IF(SUM(ER4:EU4)-EV4&gt;0,SUM(ER4:EU4)-EV4,"")</f>
        <v/>
      </c>
      <c r="FC4" s="14" t="str">
        <f t="shared" ref="FC4:FC27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7" si="61">IF(FK4&gt;0,FK4,"")</f>
        <v/>
      </c>
      <c r="FT4" s="11" t="str">
        <f t="shared" ref="FT4:FT27" si="62">IF(SUM(FD4:FG4)-FH4&gt;0,SUM(FD4:FG4)-FH4,"")</f>
        <v/>
      </c>
      <c r="FU4" s="11" t="str">
        <f t="shared" ref="FU4:FU27" si="63">IF(SUM(FI4:FL4)-FM4&gt;0,SUM(FI4:FL4)-FM4,"")</f>
        <v/>
      </c>
      <c r="FV4" s="11" t="str">
        <f t="shared" ref="FV4:FV27" si="64">IF(SUM(FT4:FU4)&gt;0,SUM(FT4:FU4),"")</f>
        <v/>
      </c>
      <c r="FW4" s="11" t="str">
        <f t="shared" ref="FW4:FW27" si="65">IF(FP4&gt;0,FP4,"")</f>
        <v/>
      </c>
      <c r="FX4" s="11" t="str">
        <f t="shared" ref="FX4:FX27" si="66">IF(SUM(FN4:FQ4)-FR4&gt;0,SUM(FN4:FQ4)-FR4,"")</f>
        <v/>
      </c>
      <c r="FY4" s="11" t="str">
        <f t="shared" ref="FY4:FY27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7" si="68">IF(GG4&gt;0,GG4,"")</f>
        <v/>
      </c>
      <c r="GP4" s="14" t="str">
        <f t="shared" ref="GP4:GP27" si="69">IF(SUM(FZ4:GC4)-GD4&gt;0,SUM(FZ4:GC4)-GD4,"")</f>
        <v/>
      </c>
      <c r="GQ4" s="14" t="str">
        <f t="shared" ref="GQ4:GQ27" si="70">IF(SUM(GE4:GH4)-GI4&gt;0,SUM(GE4:GH4)-GI4,"")</f>
        <v/>
      </c>
      <c r="GR4" s="14" t="str">
        <f t="shared" ref="GR4:GR27" si="71">IF(SUM(GP4:GQ4)&gt;0,SUM(GP4:GQ4),"")</f>
        <v/>
      </c>
      <c r="GS4" s="14" t="str">
        <f t="shared" ref="GS4:GS27" si="72">IF(GL4&gt;0,GL4,"")</f>
        <v/>
      </c>
      <c r="GT4" s="14" t="str">
        <f t="shared" ref="GT4:GT27" si="73">IF(SUM(GJ4:GM4)-GN4&gt;0,SUM(GJ4:GM4)-GN4,"")</f>
        <v/>
      </c>
      <c r="GU4" s="14" t="str">
        <f t="shared" ref="GU4:GU27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7" si="75">IF(HC4&gt;0,HC4,"")</f>
        <v/>
      </c>
      <c r="HL4" s="11" t="str">
        <f t="shared" ref="HL4:HL27" si="76">IF(SUM(GV4:GY4)-GZ4&gt;0,SUM(GV4:GY4)-GZ4,"")</f>
        <v/>
      </c>
      <c r="HM4" s="11" t="str">
        <f t="shared" ref="HM4:HM27" si="77">IF(SUM(HA4:HD4)-HE4&gt;0,SUM(HA4:HD4)-HE4,"")</f>
        <v/>
      </c>
      <c r="HN4" s="11" t="str">
        <f t="shared" ref="HN4:HN27" si="78">IF(SUM(HL4:HM4)&gt;0,SUM(HL4:HM4),"")</f>
        <v/>
      </c>
      <c r="HO4" s="11" t="str">
        <f t="shared" ref="HO4:HO27" si="79">IF(HH4&gt;0,HH4,"")</f>
        <v/>
      </c>
      <c r="HP4" s="11" t="str">
        <f t="shared" ref="HP4:HP27" si="80">IF(SUM(HF4:HI4)-HJ4&gt;0,SUM(HF4:HI4)-HJ4,"")</f>
        <v/>
      </c>
      <c r="HQ4" s="11" t="str">
        <f t="shared" ref="HQ4:HQ27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7" si="82">IF(HY4&gt;0,HY4,"")</f>
        <v/>
      </c>
      <c r="IH4" s="14" t="str">
        <f t="shared" ref="IH4:IH27" si="83">IF(SUM(HR4:HU4)-HV4&gt;0,SUM(HR4:HU4)-HV4,"")</f>
        <v/>
      </c>
      <c r="II4" s="14" t="str">
        <f t="shared" ref="II4:II27" si="84">IF(SUM(HW4:HZ4)-IA4&gt;0,SUM(HW4:HZ4)-IA4,"")</f>
        <v/>
      </c>
      <c r="IJ4" s="14" t="str">
        <f t="shared" ref="IJ4:IJ27" si="85">IF(SUM(IH4:II4)&gt;0,SUM(IH4:II4),"")</f>
        <v/>
      </c>
      <c r="IK4" s="14" t="str">
        <f t="shared" ref="IK4:IK27" si="86">IF(ID4&gt;0,ID4,"")</f>
        <v/>
      </c>
      <c r="IL4" s="14" t="str">
        <f t="shared" ref="IL4:IL27" si="87">IF(SUM(IB4:IE4)-IF4&gt;0,SUM(IB4:IE4)-IF4,"")</f>
        <v/>
      </c>
      <c r="IM4" s="14" t="str">
        <f t="shared" ref="IM4:IM27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7" si="89">IF(IU4&gt;0,IU4,"")</f>
        <v/>
      </c>
      <c r="JD4" s="11" t="str">
        <f t="shared" ref="JD4:JD27" si="90">IF(SUM(IN4:IQ4)-IR4&gt;0,SUM(IN4:IQ4)-IR4,"")</f>
        <v/>
      </c>
      <c r="JE4" s="11" t="str">
        <f t="shared" ref="JE4:JE27" si="91">IF(SUM(IS4:IV4)-IW4&gt;0,SUM(IS4:IV4)-IW4,"")</f>
        <v/>
      </c>
      <c r="JF4" s="11" t="str">
        <f t="shared" ref="JF4:JF27" si="92">IF(SUM(JD4:JE4)&gt;0,SUM(JD4:JE4),"")</f>
        <v/>
      </c>
      <c r="JG4" s="11" t="str">
        <f t="shared" ref="JG4:JG27" si="93">IF(IZ4&gt;0,IZ4,"")</f>
        <v/>
      </c>
      <c r="JH4" s="11" t="str">
        <f t="shared" ref="JH4:JH27" si="94">IF(SUM(IX4:JA4)-JB4&gt;0,SUM(IX4:JA4)-JB4,"")</f>
        <v/>
      </c>
      <c r="JI4" s="11" t="str">
        <f t="shared" ref="JI4:JI27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7" si="96">IF(JQ4&gt;0,JQ4,"")</f>
        <v/>
      </c>
      <c r="JZ4" s="14" t="str">
        <f t="shared" ref="JZ4:JZ27" si="97">IF(SUM(JJ4:JM4)-JN4&gt;0,SUM(JJ4:JM4)-JN4,"")</f>
        <v/>
      </c>
      <c r="KA4" s="14" t="str">
        <f t="shared" ref="KA4:KA27" si="98">IF(SUM(JO4:JR4)-JS4&gt;0,SUM(JO4:JR4)-JS4,"")</f>
        <v/>
      </c>
      <c r="KB4" s="14" t="str">
        <f t="shared" ref="KB4:KB27" si="99">IF(SUM(JZ4:KA4)&gt;0,SUM(JZ4:KA4),"")</f>
        <v/>
      </c>
      <c r="KC4" s="14" t="str">
        <f t="shared" ref="KC4:KC27" si="100">IF(JV4&gt;0,JV4,"")</f>
        <v/>
      </c>
      <c r="KD4" s="14" t="str">
        <f t="shared" ref="KD4:KD27" si="101">IF(SUM(JT4:JW4)-JX4&gt;0,SUM(JT4:JW4)-JX4,"")</f>
        <v/>
      </c>
      <c r="KE4" s="14" t="str">
        <f t="shared" ref="KE4:KE27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7" si="103">IF(KM4&gt;0,KM4,"")</f>
        <v/>
      </c>
      <c r="KV4" s="11" t="str">
        <f t="shared" ref="KV4:KV27" si="104">IF(SUM(KF4:KI4)-KJ4&gt;0,SUM(KF4:KI4)-KJ4,"")</f>
        <v/>
      </c>
      <c r="KW4" s="11" t="str">
        <f t="shared" ref="KW4:KW27" si="105">IF(SUM(KK4:KN4)-KO4&gt;0,SUM(KK4:KN4)-KO4,"")</f>
        <v/>
      </c>
      <c r="KX4" s="11" t="str">
        <f t="shared" ref="KX4:KX27" si="106">IF(SUM(KV4:KW4)&gt;0,SUM(KV4:KW4),"")</f>
        <v/>
      </c>
      <c r="KY4" s="11" t="str">
        <f t="shared" ref="KY4:KY27" si="107">IF(KR4&gt;0,KR4,"")</f>
        <v/>
      </c>
      <c r="KZ4" s="11" t="str">
        <f t="shared" ref="KZ4:KZ27" si="108">IF(SUM(KP4:KS4)-KT4&gt;0,SUM(KP4:KS4)-KT4,"")</f>
        <v/>
      </c>
      <c r="LA4" s="11" t="str">
        <f t="shared" ref="LA4:LA27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7" si="110">IF(LI4&gt;0,LI4,"")</f>
        <v/>
      </c>
      <c r="LR4" s="14" t="str">
        <f t="shared" ref="LR4:LR27" si="111">IF(SUM(LB4:LE4)-LF4&gt;0,SUM(LB4:LE4)-LF4,"")</f>
        <v/>
      </c>
      <c r="LS4" s="14" t="str">
        <f t="shared" ref="LS4:LS27" si="112">IF(SUM(LG4:LJ4)-LK4&gt;0,SUM(LG4:LJ4)-LK4,"")</f>
        <v/>
      </c>
      <c r="LT4" s="14" t="str">
        <f t="shared" ref="LT4:LT27" si="113">IF(SUM(LR4:LS4)&gt;0,SUM(LR4:LS4),"")</f>
        <v/>
      </c>
      <c r="LU4" s="14" t="str">
        <f t="shared" ref="LU4:LU27" si="114">IF(LN4&gt;0,LN4,"")</f>
        <v/>
      </c>
      <c r="LV4" s="14" t="str">
        <f t="shared" ref="LV4:LV27" si="115">IF(SUM(LL4:LO4)-LP4&gt;0,SUM(LL4:LO4)-LP4,"")</f>
        <v/>
      </c>
      <c r="LW4" s="14" t="str">
        <f t="shared" ref="LW4:LW27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7" si="117">IF(ME4&gt;0,ME4,"")</f>
        <v/>
      </c>
      <c r="MN4" s="11" t="str">
        <f t="shared" ref="MN4:MN27" si="118">IF(SUM(LX4:MA4)-MB4&gt;0,SUM(LX4:MA4)-MB4,"")</f>
        <v/>
      </c>
      <c r="MO4" s="11" t="str">
        <f t="shared" ref="MO4:MO27" si="119">IF(SUM(MC4:MF4)-MG4&gt;0,SUM(MC4:MF4)-MG4,"")</f>
        <v/>
      </c>
      <c r="MP4" s="11" t="str">
        <f t="shared" ref="MP4:MP27" si="120">IF(SUM(MN4:MO4)&gt;0,SUM(MN4:MO4),"")</f>
        <v/>
      </c>
      <c r="MQ4" s="11" t="str">
        <f t="shared" ref="MQ4:MQ27" si="121">IF(MJ4&gt;0,MJ4,"")</f>
        <v/>
      </c>
      <c r="MR4" s="11" t="str">
        <f t="shared" ref="MR4:MR27" si="122">IF(SUM(MH4:MK4)-ML4&gt;0,SUM(MH4:MK4)-ML4,"")</f>
        <v/>
      </c>
      <c r="MS4" s="11" t="str">
        <f t="shared" ref="MS4:MS27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7" si="124">IF(NA4&gt;0,NA4,"")</f>
        <v/>
      </c>
      <c r="NJ4" s="14" t="str">
        <f t="shared" ref="NJ4:NJ27" si="125">IF(SUM(MT4:MW4)-MX4&gt;0,SUM(MT4:MW4)-MX4,"")</f>
        <v/>
      </c>
      <c r="NK4" s="14" t="str">
        <f t="shared" ref="NK4:NK27" si="126">IF(SUM(MY4:NB4)-NC4&gt;0,SUM(MY4:NB4)-NC4,"")</f>
        <v/>
      </c>
      <c r="NL4" s="14" t="str">
        <f t="shared" ref="NL4:NL27" si="127">IF(SUM(NJ4:NK4)&gt;0,SUM(NJ4:NK4),"")</f>
        <v/>
      </c>
      <c r="NM4" s="14" t="str">
        <f t="shared" ref="NM4:NM27" si="128">IF(NF4&gt;0,NF4,"")</f>
        <v/>
      </c>
      <c r="NN4" s="14" t="str">
        <f t="shared" ref="NN4:NN27" si="129">IF(SUM(ND4:NG4)-NH4&gt;0,SUM(ND4:NG4)-NH4,"")</f>
        <v/>
      </c>
      <c r="NO4" s="14" t="str">
        <f t="shared" ref="NO4:NO27" si="130">IF(SUM(NL4,NN4)&gt;0,SUM(NL4,NN4),"")</f>
        <v/>
      </c>
      <c r="NP4" s="61">
        <f t="shared" ref="NP4:NP27" si="131">IF($CX4="P",CD4,(CD4+AZ4)/2)</f>
        <v>18.2</v>
      </c>
      <c r="NQ4" s="61">
        <f t="shared" ref="NQ4:NQ27" si="132">IF($CX4="P",CE4,(CE4+BA4)/2)</f>
        <v>9.5</v>
      </c>
      <c r="NR4" s="61">
        <f t="shared" ref="NR4:NR27" si="133">IF($CX4="P",CF4,(CF4+BB4)/2)</f>
        <v>3.4</v>
      </c>
      <c r="NS4" s="61">
        <f t="shared" ref="NS4:NS27" si="134">IF($CX4="P",CG4,(CG4+BC4)/2)</f>
        <v>15.827500000000001</v>
      </c>
      <c r="NT4" s="61">
        <f t="shared" ref="NT4:NT27" si="135">IF($CX4="P",CH4,(CH4+BD4)/2)</f>
        <v>0</v>
      </c>
      <c r="NU4" s="61">
        <f t="shared" ref="NU4:NU27" si="136">IF($CX4="P",CI4,(CI4+BE4)/2)</f>
        <v>16.25</v>
      </c>
      <c r="NV4" s="61">
        <f t="shared" ref="NV4:NV27" si="137">IF($CX4="P",CJ4,(CJ4+BF4)/2)</f>
        <v>9.1999999999999993</v>
      </c>
      <c r="NW4" s="61">
        <f t="shared" ref="NW4:NW27" si="138">IF($CX4="P",CK4,(CK4+BG4)/2)</f>
        <v>11.05</v>
      </c>
      <c r="NX4" s="61">
        <f t="shared" ref="NX4:NX27" si="139">IF($CX4="P",CL4,(CL4+BH4)/2)</f>
        <v>14.824999999999999</v>
      </c>
      <c r="NY4" s="61">
        <f t="shared" ref="NY4:NY27" si="140">IF($CX4="P",CM4,(CM4+BI4)/2)</f>
        <v>0</v>
      </c>
      <c r="NZ4" s="61">
        <f t="shared" ref="NZ4:NZ27" si="141">IF($CX4="P",CN4,(CN4+BJ4)/2)</f>
        <v>15.75</v>
      </c>
      <c r="OA4" s="61">
        <f t="shared" ref="OA4:OA27" si="142">IF($CX4="P",CO4,(CO4+BK4)/2)</f>
        <v>8.9</v>
      </c>
      <c r="OB4" s="61">
        <f t="shared" ref="OB4:OB27" si="143">IF($CX4="P",CP4,(CP4+BL4)/2)</f>
        <v>12.2</v>
      </c>
      <c r="OC4" s="61">
        <f t="shared" ref="OC4:OC27" si="144">IF($CX4="P",CQ4,(CQ4+BM4)/2)</f>
        <v>14.760000000000002</v>
      </c>
      <c r="OD4" s="61">
        <f t="shared" ref="OD4:OD27" si="145">IF($CX4="P",CR4,(CR4+BN4)/2)</f>
        <v>0</v>
      </c>
      <c r="OE4" s="61">
        <f t="shared" ref="OE4:OE27" si="146">IF($CX4="P",CS4,(CS4+BO4)/2)</f>
        <v>14.6</v>
      </c>
      <c r="OF4" s="61">
        <f t="shared" ref="OF4:OF27" si="147">IF($CX4="P",CT4,(CT4+BP4)/2)</f>
        <v>8.8999999999999986</v>
      </c>
      <c r="OG4" s="61">
        <f t="shared" ref="OG4:OG27" si="148">IF($CX4="P",CU4,(CU4+BQ4)/2)</f>
        <v>11.6</v>
      </c>
      <c r="OH4" s="61">
        <f t="shared" ref="OH4:OH27" si="149">IF($CX4="P",CV4,(CV4+BR4)/2)</f>
        <v>13.317500000000001</v>
      </c>
      <c r="OI4" s="61">
        <f t="shared" ref="OI4:OI27" si="150">IF($CX4="P",CW4,(CW4+BS4)/2)</f>
        <v>0</v>
      </c>
      <c r="OJ4" s="72" t="s">
        <v>52</v>
      </c>
      <c r="OK4" s="11">
        <f t="shared" ref="OK4:OK27" si="151">IF(SUM(NP4:NS4)-NT4&gt;0,SUM(NP4:NS4)-NT4,"")</f>
        <v>46.927499999999995</v>
      </c>
      <c r="OL4" s="11">
        <f t="shared" ref="OL4:OL27" si="152">IF(NW4&gt;0,NW4,"")</f>
        <v>11.05</v>
      </c>
      <c r="OM4" s="11">
        <f t="shared" ref="OM4:OM27" si="153">IF(SUM(NU4:NX4)-NY4&gt;0,SUM(NU4:NX4)-NY4,"")</f>
        <v>51.325000000000003</v>
      </c>
      <c r="ON4" s="11">
        <f t="shared" ref="ON4:ON27" si="154">IF(OB4&gt;0,OB4,"")</f>
        <v>12.2</v>
      </c>
      <c r="OO4" s="11">
        <f t="shared" ref="OO4:OO27" si="155">IF(SUM(NZ4:OC4)-OD4&gt;0,SUM(NZ4:OC4)-OD4,"")</f>
        <v>51.61</v>
      </c>
      <c r="OP4" s="11">
        <f t="shared" ref="OP4:OP27" si="156">IF(OR(OK4&lt;&gt;"",OM4&lt;&gt;"",OO4&lt;&gt;""),OK4+MAX(OM4,OO4),"")</f>
        <v>98.537499999999994</v>
      </c>
      <c r="OQ4" s="11">
        <f t="shared" ref="OQ4:OQ27" si="157">IF(OG4&gt;0,OG4,"")</f>
        <v>11.6</v>
      </c>
      <c r="OR4" s="11">
        <f t="shared" ref="OR4:OR9" si="158">IF(SUM(OE4:OH4)-OI4&gt;0,SUM(OE4:OH4)-OI4,"")</f>
        <v>48.417500000000004</v>
      </c>
      <c r="OS4" s="11">
        <f>IF(SUM(OP4,OR4)&gt;0,SUM(OP4,OR4),"")</f>
        <v>146.95499999999998</v>
      </c>
    </row>
    <row r="5" spans="1:409" x14ac:dyDescent="0.2">
      <c r="A5" s="5" cm="1">
        <f t="array" ref="A5">IF(AND(G5&lt;&gt;"",H5&lt;&gt;""),SUMPRODUCT((G$4:G$28&lt;&gt;"")*(H$4:H$28&lt;&gt;"")*(E$4:E$28&gt;E5))+1,IF(H5&lt;&gt;"",SUMPRODUCT((I$4:I$28="No DD")*(E$4:E$28&gt;E5))+1+SUMPRODUCT((G$4:G$28&lt;&gt;"")*(H$4:H$28&lt;&gt;"")),""))</f>
        <v>2</v>
      </c>
      <c r="B5" s="8" t="s">
        <v>110</v>
      </c>
      <c r="C5" s="4" t="s">
        <v>5</v>
      </c>
      <c r="D5" s="26">
        <v>2001</v>
      </c>
      <c r="E5" s="15">
        <f t="shared" si="0"/>
        <v>102.29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94.210000000000008</v>
      </c>
      <c r="L5" s="14" t="str">
        <f t="shared" si="7"/>
        <v>2021 Elite Canada</v>
      </c>
      <c r="M5" s="14">
        <f t="shared" si="8"/>
        <v>45.625</v>
      </c>
      <c r="N5" s="14" t="str">
        <f t="shared" si="9"/>
        <v>2021 2nd Virtual Technical Trial</v>
      </c>
      <c r="O5" s="14">
        <f t="shared" si="10"/>
        <v>51.56</v>
      </c>
      <c r="P5" s="14" t="str">
        <f t="shared" si="11"/>
        <v>2021 Elite Canada</v>
      </c>
      <c r="Q5" s="14">
        <f>IF(COUNT(AS5,AU5,AX5,BW5,BY5,CB5,DA5,DC5,DF5)&gt;1,LARGE((AS5,AU5,AX5,BW5,BY5,CB5,DA5,DC5,DF5),2),0)</f>
        <v>50.730000000000004</v>
      </c>
      <c r="R5" s="14" t="str">
        <f t="shared" si="12"/>
        <v>2021 Elite Canada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17.2</v>
      </c>
      <c r="W5" s="61">
        <v>9.1999999999999993</v>
      </c>
      <c r="X5" s="61">
        <v>3.9</v>
      </c>
      <c r="Y5" s="61">
        <v>15.324999999999999</v>
      </c>
      <c r="Z5" s="61">
        <v>0</v>
      </c>
      <c r="AA5" s="61">
        <v>2.5</v>
      </c>
      <c r="AB5" s="61">
        <v>1.9</v>
      </c>
      <c r="AC5" s="61">
        <v>3.1</v>
      </c>
      <c r="AD5" s="61">
        <v>3.18</v>
      </c>
      <c r="AE5" s="61">
        <v>0</v>
      </c>
      <c r="AF5" s="61">
        <v>9</v>
      </c>
      <c r="AG5" s="61">
        <v>6.4</v>
      </c>
      <c r="AH5" s="61">
        <v>8.3000000000000007</v>
      </c>
      <c r="AI5" s="61">
        <v>10.46</v>
      </c>
      <c r="AJ5" s="61">
        <v>0</v>
      </c>
      <c r="AK5" s="61">
        <v>5.8</v>
      </c>
      <c r="AL5" s="61">
        <v>4.4000000000000004</v>
      </c>
      <c r="AM5" s="61">
        <v>6.7</v>
      </c>
      <c r="AN5" s="61">
        <v>7.2249999999999996</v>
      </c>
      <c r="AO5" s="61">
        <v>0</v>
      </c>
      <c r="AP5" s="72"/>
      <c r="AQ5" s="11">
        <f t="shared" si="16"/>
        <v>45.625</v>
      </c>
      <c r="AR5" s="11">
        <f t="shared" si="17"/>
        <v>3.1</v>
      </c>
      <c r="AS5" s="11">
        <f t="shared" si="18"/>
        <v>10.68</v>
      </c>
      <c r="AT5" s="11">
        <f t="shared" si="19"/>
        <v>8.3000000000000007</v>
      </c>
      <c r="AU5" s="11">
        <f t="shared" si="20"/>
        <v>34.160000000000004</v>
      </c>
      <c r="AV5" s="11">
        <f t="shared" si="21"/>
        <v>79.784999999999997</v>
      </c>
      <c r="AW5" s="11">
        <f t="shared" si="22"/>
        <v>6.7</v>
      </c>
      <c r="AX5" s="11">
        <f t="shared" si="23"/>
        <v>24.125</v>
      </c>
      <c r="AY5" s="11">
        <f t="shared" si="24"/>
        <v>103.91</v>
      </c>
      <c r="AZ5" s="67">
        <v>15.6</v>
      </c>
      <c r="BA5" s="67">
        <v>9.1</v>
      </c>
      <c r="BB5" s="67">
        <v>3.7</v>
      </c>
      <c r="BC5" s="67">
        <v>15.08</v>
      </c>
      <c r="BD5" s="67">
        <v>0</v>
      </c>
      <c r="BE5" s="67">
        <v>13</v>
      </c>
      <c r="BF5" s="67">
        <v>9.1999999999999993</v>
      </c>
      <c r="BG5" s="67">
        <v>13.3</v>
      </c>
      <c r="BH5" s="67">
        <v>14.365</v>
      </c>
      <c r="BI5" s="67">
        <v>0</v>
      </c>
      <c r="BJ5" s="67">
        <v>13.5</v>
      </c>
      <c r="BK5" s="67">
        <v>9.3000000000000007</v>
      </c>
      <c r="BL5" s="67">
        <v>13.3</v>
      </c>
      <c r="BM5" s="67">
        <v>14.63</v>
      </c>
      <c r="BN5" s="67">
        <v>0</v>
      </c>
      <c r="BO5" s="67">
        <v>14</v>
      </c>
      <c r="BP5" s="67">
        <v>9.6</v>
      </c>
      <c r="BQ5" s="67">
        <v>13.3</v>
      </c>
      <c r="BR5" s="67">
        <v>14.66</v>
      </c>
      <c r="BS5" s="67">
        <v>0</v>
      </c>
      <c r="BT5" s="73"/>
      <c r="BU5" s="14">
        <f t="shared" si="25"/>
        <v>43.48</v>
      </c>
      <c r="BV5" s="14">
        <f t="shared" si="26"/>
        <v>13.3</v>
      </c>
      <c r="BW5" s="14">
        <f t="shared" si="27"/>
        <v>49.865000000000002</v>
      </c>
      <c r="BX5" s="14">
        <f t="shared" si="28"/>
        <v>13.3</v>
      </c>
      <c r="BY5" s="14">
        <f t="shared" si="29"/>
        <v>50.730000000000004</v>
      </c>
      <c r="BZ5" s="14">
        <f t="shared" si="30"/>
        <v>94.210000000000008</v>
      </c>
      <c r="CA5" s="14">
        <f t="shared" si="31"/>
        <v>13.3</v>
      </c>
      <c r="CB5" s="14">
        <f t="shared" si="32"/>
        <v>51.56</v>
      </c>
      <c r="CC5" s="14">
        <f t="shared" si="33"/>
        <v>145.77000000000001</v>
      </c>
      <c r="CD5" s="61">
        <v>16.3</v>
      </c>
      <c r="CE5" s="61">
        <v>8.6999999999999993</v>
      </c>
      <c r="CF5" s="61">
        <v>3.5</v>
      </c>
      <c r="CG5" s="61">
        <v>15.31</v>
      </c>
      <c r="CH5" s="61">
        <v>0</v>
      </c>
      <c r="CI5" s="61">
        <v>11.8</v>
      </c>
      <c r="CJ5" s="61">
        <v>8.5</v>
      </c>
      <c r="CK5" s="61">
        <v>11.9</v>
      </c>
      <c r="CL5" s="61">
        <v>14.21</v>
      </c>
      <c r="CM5" s="61">
        <v>0</v>
      </c>
      <c r="CN5" s="61">
        <v>6.6</v>
      </c>
      <c r="CO5" s="61">
        <v>4.4000000000000004</v>
      </c>
      <c r="CP5" s="61">
        <v>7.1</v>
      </c>
      <c r="CQ5" s="61">
        <v>7.5949999999999998</v>
      </c>
      <c r="CR5" s="61">
        <v>0</v>
      </c>
      <c r="CS5" s="61">
        <v>10.8</v>
      </c>
      <c r="CT5" s="61">
        <v>8.4</v>
      </c>
      <c r="CU5" s="61">
        <v>11.7</v>
      </c>
      <c r="CV5" s="61">
        <v>13.29</v>
      </c>
      <c r="CW5" s="61">
        <v>0</v>
      </c>
      <c r="CX5" s="72"/>
      <c r="CY5" s="11">
        <f t="shared" si="34"/>
        <v>43.81</v>
      </c>
      <c r="CZ5" s="11">
        <f t="shared" si="35"/>
        <v>11.9</v>
      </c>
      <c r="DA5" s="11">
        <f t="shared" si="36"/>
        <v>46.410000000000004</v>
      </c>
      <c r="DB5" s="11">
        <f t="shared" si="37"/>
        <v>7.1</v>
      </c>
      <c r="DC5" s="11">
        <f t="shared" si="38"/>
        <v>25.695</v>
      </c>
      <c r="DD5" s="11">
        <f t="shared" si="39"/>
        <v>90.22</v>
      </c>
      <c r="DE5" s="11">
        <f t="shared" si="40"/>
        <v>11.7</v>
      </c>
      <c r="DF5" s="11">
        <f t="shared" si="41"/>
        <v>44.19</v>
      </c>
      <c r="DG5" s="11">
        <f t="shared" si="42"/>
        <v>134.41</v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15.95</v>
      </c>
      <c r="NQ5" s="61">
        <f t="shared" si="132"/>
        <v>8.8999999999999986</v>
      </c>
      <c r="NR5" s="61">
        <f t="shared" si="133"/>
        <v>3.6</v>
      </c>
      <c r="NS5" s="61">
        <f t="shared" si="134"/>
        <v>15.195</v>
      </c>
      <c r="NT5" s="61">
        <f t="shared" si="135"/>
        <v>0</v>
      </c>
      <c r="NU5" s="61">
        <f t="shared" si="136"/>
        <v>12.4</v>
      </c>
      <c r="NV5" s="61">
        <f t="shared" si="137"/>
        <v>8.85</v>
      </c>
      <c r="NW5" s="61">
        <f t="shared" si="138"/>
        <v>12.600000000000001</v>
      </c>
      <c r="NX5" s="61">
        <f t="shared" si="139"/>
        <v>14.287500000000001</v>
      </c>
      <c r="NY5" s="61">
        <f t="shared" si="140"/>
        <v>0</v>
      </c>
      <c r="NZ5" s="61">
        <f t="shared" si="141"/>
        <v>10.050000000000001</v>
      </c>
      <c r="OA5" s="61">
        <f t="shared" si="142"/>
        <v>6.8500000000000005</v>
      </c>
      <c r="OB5" s="61">
        <f t="shared" si="143"/>
        <v>10.199999999999999</v>
      </c>
      <c r="OC5" s="61">
        <f t="shared" si="144"/>
        <v>11.112500000000001</v>
      </c>
      <c r="OD5" s="61">
        <f t="shared" si="145"/>
        <v>0</v>
      </c>
      <c r="OE5" s="61">
        <f t="shared" si="146"/>
        <v>12.4</v>
      </c>
      <c r="OF5" s="61">
        <f t="shared" si="147"/>
        <v>9</v>
      </c>
      <c r="OG5" s="61">
        <f t="shared" si="148"/>
        <v>12.5</v>
      </c>
      <c r="OH5" s="61">
        <f t="shared" si="149"/>
        <v>13.975</v>
      </c>
      <c r="OI5" s="61">
        <f t="shared" si="150"/>
        <v>0</v>
      </c>
      <c r="OJ5" s="72" t="s">
        <v>52</v>
      </c>
      <c r="OK5" s="11">
        <f t="shared" si="151"/>
        <v>43.644999999999996</v>
      </c>
      <c r="OL5" s="11">
        <f t="shared" si="152"/>
        <v>12.600000000000001</v>
      </c>
      <c r="OM5" s="11">
        <f t="shared" si="153"/>
        <v>48.137500000000003</v>
      </c>
      <c r="ON5" s="11">
        <f t="shared" si="154"/>
        <v>10.199999999999999</v>
      </c>
      <c r="OO5" s="11">
        <f t="shared" si="155"/>
        <v>38.212500000000006</v>
      </c>
      <c r="OP5" s="11">
        <f t="shared" si="156"/>
        <v>91.782499999999999</v>
      </c>
      <c r="OQ5" s="11">
        <f t="shared" si="157"/>
        <v>12.5</v>
      </c>
      <c r="OR5" s="11">
        <f t="shared" si="158"/>
        <v>47.875</v>
      </c>
      <c r="OS5" s="11">
        <f t="shared" ref="OS5:OS9" si="159">IF(SUM(OP5,OR5)&gt;0,SUM(OP5,OR5),"")</f>
        <v>139.6575</v>
      </c>
    </row>
    <row r="6" spans="1:409" x14ac:dyDescent="0.2">
      <c r="A6" s="5" cm="1">
        <f t="array" ref="A6">IF(AND(G6&lt;&gt;"",H6&lt;&gt;""),SUMPRODUCT((G$4:G$28&lt;&gt;"")*(H$4:H$28&lt;&gt;"")*(E$4:E$28&gt;E6))+1,IF(H6&lt;&gt;"",SUMPRODUCT((I$4:I$28="No DD")*(E$4:E$28&gt;E6))+1+SUMPRODUCT((G$4:G$28&lt;&gt;"")*(H$4:H$28&lt;&gt;"")),""))</f>
        <v>3</v>
      </c>
      <c r="B6" s="8" t="s">
        <v>82</v>
      </c>
      <c r="C6" s="4" t="s">
        <v>5</v>
      </c>
      <c r="D6" s="5">
        <v>2002</v>
      </c>
      <c r="E6" s="15">
        <f t="shared" si="0"/>
        <v>101.36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97.289999999999992</v>
      </c>
      <c r="L6" s="14" t="str">
        <f t="shared" si="7"/>
        <v>2021 Elite Canada</v>
      </c>
      <c r="M6" s="14">
        <f t="shared" si="8"/>
        <v>45.669999999999995</v>
      </c>
      <c r="N6" s="14" t="str">
        <f t="shared" si="9"/>
        <v>2021 Canadian Championships</v>
      </c>
      <c r="O6" s="14">
        <f t="shared" si="10"/>
        <v>50.795000000000002</v>
      </c>
      <c r="P6" s="14" t="str">
        <f t="shared" si="11"/>
        <v>2021 Elite Canada</v>
      </c>
      <c r="Q6" s="14">
        <f>IF(COUNT(AS6,AU6,AX6,BW6,BY6,CB6,DA6,DC6,DF6)&gt;1,LARGE((AS6,AU6,AX6,BW6,BY6,CB6,DA6,DC6,DF6),2),0)</f>
        <v>50.564999999999998</v>
      </c>
      <c r="R6" s="14" t="str">
        <f t="shared" si="12"/>
        <v>2021 Elite Canada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16.3</v>
      </c>
      <c r="W6" s="61">
        <v>9.6</v>
      </c>
      <c r="X6" s="61">
        <v>4.7</v>
      </c>
      <c r="Y6" s="61">
        <v>14.69</v>
      </c>
      <c r="Z6" s="61">
        <v>0</v>
      </c>
      <c r="AA6" s="61">
        <v>13</v>
      </c>
      <c r="AB6" s="61">
        <v>9.1</v>
      </c>
      <c r="AC6" s="61">
        <v>12</v>
      </c>
      <c r="AD6" s="61">
        <v>13.96</v>
      </c>
      <c r="AE6" s="61">
        <v>0</v>
      </c>
      <c r="AF6" s="61">
        <v>14.1</v>
      </c>
      <c r="AG6" s="61">
        <v>9</v>
      </c>
      <c r="AH6" s="61">
        <v>12</v>
      </c>
      <c r="AI6" s="61">
        <v>14.19</v>
      </c>
      <c r="AJ6" s="61">
        <v>0</v>
      </c>
      <c r="AK6" s="61">
        <v>13.1</v>
      </c>
      <c r="AL6" s="61">
        <v>9</v>
      </c>
      <c r="AM6" s="61">
        <v>12.7</v>
      </c>
      <c r="AN6" s="61">
        <v>13.89</v>
      </c>
      <c r="AO6" s="61">
        <v>0</v>
      </c>
      <c r="AP6" s="72"/>
      <c r="AQ6" s="11">
        <f t="shared" si="16"/>
        <v>45.29</v>
      </c>
      <c r="AR6" s="11">
        <f t="shared" si="17"/>
        <v>12</v>
      </c>
      <c r="AS6" s="11">
        <f t="shared" si="18"/>
        <v>48.06</v>
      </c>
      <c r="AT6" s="11">
        <f t="shared" si="19"/>
        <v>12</v>
      </c>
      <c r="AU6" s="11">
        <f t="shared" si="20"/>
        <v>49.29</v>
      </c>
      <c r="AV6" s="11">
        <f t="shared" si="21"/>
        <v>94.58</v>
      </c>
      <c r="AW6" s="11">
        <f t="shared" si="22"/>
        <v>12.7</v>
      </c>
      <c r="AX6" s="11">
        <f t="shared" si="23"/>
        <v>48.69</v>
      </c>
      <c r="AY6" s="11">
        <f t="shared" si="24"/>
        <v>143.26999999999998</v>
      </c>
      <c r="AZ6" s="67">
        <v>17.7</v>
      </c>
      <c r="BA6" s="67">
        <v>9.5</v>
      </c>
      <c r="BB6" s="67">
        <v>3.9</v>
      </c>
      <c r="BC6" s="67">
        <v>15.395</v>
      </c>
      <c r="BD6" s="67">
        <v>0</v>
      </c>
      <c r="BE6" s="67">
        <v>14.7</v>
      </c>
      <c r="BF6" s="67">
        <v>9</v>
      </c>
      <c r="BG6" s="67">
        <v>12.7</v>
      </c>
      <c r="BH6" s="67">
        <v>14.395</v>
      </c>
      <c r="BI6" s="67">
        <v>0</v>
      </c>
      <c r="BJ6" s="67">
        <v>14.5</v>
      </c>
      <c r="BK6" s="67">
        <v>9.1</v>
      </c>
      <c r="BL6" s="67">
        <v>12.7</v>
      </c>
      <c r="BM6" s="67">
        <v>14.265000000000001</v>
      </c>
      <c r="BN6" s="67">
        <v>0</v>
      </c>
      <c r="BO6" s="67">
        <v>14.4</v>
      </c>
      <c r="BP6" s="67">
        <v>8.5</v>
      </c>
      <c r="BQ6" s="67">
        <v>11.4</v>
      </c>
      <c r="BR6" s="67">
        <v>13.994999999999999</v>
      </c>
      <c r="BS6" s="67">
        <v>0</v>
      </c>
      <c r="BT6" s="73"/>
      <c r="BU6" s="14">
        <f t="shared" si="25"/>
        <v>46.494999999999997</v>
      </c>
      <c r="BV6" s="14">
        <f t="shared" si="26"/>
        <v>12.7</v>
      </c>
      <c r="BW6" s="14">
        <f t="shared" si="27"/>
        <v>50.795000000000002</v>
      </c>
      <c r="BX6" s="14">
        <f t="shared" si="28"/>
        <v>12.7</v>
      </c>
      <c r="BY6" s="14">
        <f t="shared" si="29"/>
        <v>50.564999999999998</v>
      </c>
      <c r="BZ6" s="14">
        <f t="shared" si="30"/>
        <v>97.289999999999992</v>
      </c>
      <c r="CA6" s="14">
        <f t="shared" si="31"/>
        <v>11.4</v>
      </c>
      <c r="CB6" s="14">
        <f t="shared" si="32"/>
        <v>48.294999999999995</v>
      </c>
      <c r="CC6" s="14">
        <f t="shared" si="33"/>
        <v>145.58499999999998</v>
      </c>
      <c r="CD6" s="61">
        <v>17.2</v>
      </c>
      <c r="CE6" s="61">
        <v>9.6</v>
      </c>
      <c r="CF6" s="61">
        <v>3.7</v>
      </c>
      <c r="CG6" s="61">
        <v>15.17</v>
      </c>
      <c r="CH6" s="61">
        <v>0</v>
      </c>
      <c r="CI6" s="61">
        <v>11.8</v>
      </c>
      <c r="CJ6" s="61">
        <v>8.3000000000000007</v>
      </c>
      <c r="CK6" s="61">
        <v>11.2</v>
      </c>
      <c r="CL6" s="61">
        <v>12.154999999999999</v>
      </c>
      <c r="CM6" s="61">
        <v>0</v>
      </c>
      <c r="CN6" s="61">
        <v>4.2</v>
      </c>
      <c r="CO6" s="61">
        <v>2.7</v>
      </c>
      <c r="CP6" s="61">
        <v>3.4</v>
      </c>
      <c r="CQ6" s="61">
        <v>4.4950000000000001</v>
      </c>
      <c r="CR6" s="61">
        <v>0</v>
      </c>
      <c r="CS6" s="61">
        <v>12.2</v>
      </c>
      <c r="CT6" s="61">
        <v>8.1999999999999993</v>
      </c>
      <c r="CU6" s="61">
        <v>11.5</v>
      </c>
      <c r="CV6" s="61">
        <v>12.61</v>
      </c>
      <c r="CW6" s="61">
        <v>0</v>
      </c>
      <c r="CX6" s="72"/>
      <c r="CY6" s="11">
        <f t="shared" si="34"/>
        <v>45.669999999999995</v>
      </c>
      <c r="CZ6" s="11">
        <f t="shared" si="35"/>
        <v>11.2</v>
      </c>
      <c r="DA6" s="11">
        <f t="shared" si="36"/>
        <v>43.454999999999998</v>
      </c>
      <c r="DB6" s="11">
        <f t="shared" si="37"/>
        <v>3.4</v>
      </c>
      <c r="DC6" s="11">
        <f t="shared" si="38"/>
        <v>14.795000000000002</v>
      </c>
      <c r="DD6" s="11">
        <f t="shared" si="39"/>
        <v>89.125</v>
      </c>
      <c r="DE6" s="11">
        <f t="shared" si="40"/>
        <v>11.5</v>
      </c>
      <c r="DF6" s="11">
        <f t="shared" si="41"/>
        <v>44.51</v>
      </c>
      <c r="DG6" s="11">
        <f t="shared" si="42"/>
        <v>133.63499999999999</v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100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17.45</v>
      </c>
      <c r="NQ6" s="61">
        <f t="shared" si="132"/>
        <v>9.5500000000000007</v>
      </c>
      <c r="NR6" s="61">
        <f t="shared" si="133"/>
        <v>3.8</v>
      </c>
      <c r="NS6" s="61">
        <f t="shared" si="134"/>
        <v>15.282499999999999</v>
      </c>
      <c r="NT6" s="61">
        <f t="shared" si="135"/>
        <v>0</v>
      </c>
      <c r="NU6" s="61">
        <f t="shared" si="136"/>
        <v>13.25</v>
      </c>
      <c r="NV6" s="61">
        <f t="shared" si="137"/>
        <v>8.65</v>
      </c>
      <c r="NW6" s="61">
        <f t="shared" si="138"/>
        <v>11.95</v>
      </c>
      <c r="NX6" s="61">
        <f t="shared" si="139"/>
        <v>13.274999999999999</v>
      </c>
      <c r="NY6" s="61">
        <f t="shared" si="140"/>
        <v>0</v>
      </c>
      <c r="NZ6" s="61">
        <f t="shared" si="141"/>
        <v>9.35</v>
      </c>
      <c r="OA6" s="61">
        <f t="shared" si="142"/>
        <v>5.9</v>
      </c>
      <c r="OB6" s="61">
        <f t="shared" si="143"/>
        <v>8.0499999999999989</v>
      </c>
      <c r="OC6" s="61">
        <f t="shared" si="144"/>
        <v>9.3800000000000008</v>
      </c>
      <c r="OD6" s="61">
        <f t="shared" si="145"/>
        <v>0</v>
      </c>
      <c r="OE6" s="61">
        <f t="shared" si="146"/>
        <v>13.3</v>
      </c>
      <c r="OF6" s="61">
        <f t="shared" si="147"/>
        <v>8.35</v>
      </c>
      <c r="OG6" s="61">
        <f t="shared" si="148"/>
        <v>11.45</v>
      </c>
      <c r="OH6" s="61">
        <f t="shared" si="149"/>
        <v>13.302499999999998</v>
      </c>
      <c r="OI6" s="61">
        <f t="shared" si="150"/>
        <v>0</v>
      </c>
      <c r="OJ6" s="72" t="s">
        <v>52</v>
      </c>
      <c r="OK6" s="11">
        <f t="shared" si="151"/>
        <v>46.082499999999996</v>
      </c>
      <c r="OL6" s="11">
        <f t="shared" si="152"/>
        <v>11.95</v>
      </c>
      <c r="OM6" s="11">
        <f t="shared" si="153"/>
        <v>47.124999999999993</v>
      </c>
      <c r="ON6" s="11">
        <f t="shared" si="154"/>
        <v>8.0499999999999989</v>
      </c>
      <c r="OO6" s="11">
        <f t="shared" si="155"/>
        <v>32.68</v>
      </c>
      <c r="OP6" s="11">
        <f t="shared" si="156"/>
        <v>93.207499999999982</v>
      </c>
      <c r="OQ6" s="11">
        <f t="shared" si="157"/>
        <v>11.45</v>
      </c>
      <c r="OR6" s="11">
        <f t="shared" si="158"/>
        <v>46.402499999999989</v>
      </c>
      <c r="OS6" s="11">
        <f t="shared" si="159"/>
        <v>139.60999999999996</v>
      </c>
    </row>
    <row r="7" spans="1:409" x14ac:dyDescent="0.2">
      <c r="A7" s="5" cm="1">
        <f t="array" ref="A7">IF(AND(G7&lt;&gt;"",H7&lt;&gt;""),SUMPRODUCT((G$4:G$28&lt;&gt;"")*(H$4:H$28&lt;&gt;"")*(E$4:E$28&gt;E7))+1,IF(H7&lt;&gt;"",SUMPRODUCT((I$4:I$28="No DD")*(E$4:E$28&gt;E7))+1+SUMPRODUCT((G$4:G$28&lt;&gt;"")*(H$4:H$28&lt;&gt;"")),""))</f>
        <v>4</v>
      </c>
      <c r="B7" s="8" t="s">
        <v>100</v>
      </c>
      <c r="C7" s="4" t="s">
        <v>5</v>
      </c>
      <c r="D7" s="26">
        <v>2003</v>
      </c>
      <c r="E7" s="15">
        <f t="shared" si="0"/>
        <v>98.72999999999999</v>
      </c>
      <c r="F7" s="3" t="str">
        <f t="shared" si="1"/>
        <v/>
      </c>
      <c r="G7" s="115" t="str">
        <f t="shared" si="2"/>
        <v/>
      </c>
      <c r="H7" s="115" t="str">
        <f t="shared" si="3"/>
        <v>National Team</v>
      </c>
      <c r="I7" s="116" t="str">
        <f t="shared" si="4"/>
        <v>No DD</v>
      </c>
      <c r="J7" s="3" t="str">
        <f t="shared" si="5"/>
        <v/>
      </c>
      <c r="K7" s="14">
        <f t="shared" si="6"/>
        <v>90.56</v>
      </c>
      <c r="L7" s="14" t="str">
        <f t="shared" si="7"/>
        <v>2021 Elite Canada</v>
      </c>
      <c r="M7" s="14">
        <f t="shared" si="8"/>
        <v>42.290000000000006</v>
      </c>
      <c r="N7" s="14" t="str">
        <f t="shared" si="9"/>
        <v>2021 Canadian Championships</v>
      </c>
      <c r="O7" s="14">
        <f t="shared" si="10"/>
        <v>49.964999999999996</v>
      </c>
      <c r="P7" s="14" t="str">
        <f t="shared" si="11"/>
        <v>2021 Elite Canada</v>
      </c>
      <c r="Q7" s="14">
        <f>IF(COUNT(AS7,AU7,AX7,BW7,BY7,CB7,DA7,DC7,DF7)&gt;1,LARGE((AS7,AU7,AX7,BW7,BY7,CB7,DA7,DC7,DF7),2),0)</f>
        <v>48.765000000000001</v>
      </c>
      <c r="R7" s="14" t="str">
        <f t="shared" si="12"/>
        <v>2021 Elite Canada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16.2</v>
      </c>
      <c r="W7" s="61">
        <v>9</v>
      </c>
      <c r="X7" s="61">
        <v>2.1</v>
      </c>
      <c r="Y7" s="61">
        <v>14.725</v>
      </c>
      <c r="Z7" s="61">
        <v>0</v>
      </c>
      <c r="AA7" s="61">
        <v>7.3</v>
      </c>
      <c r="AB7" s="61">
        <v>4.2</v>
      </c>
      <c r="AC7" s="61">
        <v>4.3</v>
      </c>
      <c r="AD7" s="61">
        <v>7.1449999999999996</v>
      </c>
      <c r="AE7" s="61">
        <v>0</v>
      </c>
      <c r="AF7" s="61"/>
      <c r="AG7" s="61"/>
      <c r="AH7" s="61"/>
      <c r="AI7" s="61"/>
      <c r="AJ7" s="61"/>
      <c r="AK7" s="61">
        <v>3.2</v>
      </c>
      <c r="AL7" s="61">
        <v>1.8</v>
      </c>
      <c r="AM7" s="61">
        <v>2.5</v>
      </c>
      <c r="AN7" s="61">
        <v>2.88</v>
      </c>
      <c r="AO7" s="61">
        <v>0</v>
      </c>
      <c r="AP7" s="72"/>
      <c r="AQ7" s="11">
        <f t="shared" si="16"/>
        <v>42.024999999999999</v>
      </c>
      <c r="AR7" s="11">
        <f t="shared" si="17"/>
        <v>4.3</v>
      </c>
      <c r="AS7" s="11">
        <f t="shared" si="18"/>
        <v>22.945</v>
      </c>
      <c r="AT7" s="11" t="str">
        <f t="shared" si="19"/>
        <v/>
      </c>
      <c r="AU7" s="11" t="str">
        <f t="shared" si="20"/>
        <v/>
      </c>
      <c r="AV7" s="11">
        <f t="shared" si="21"/>
        <v>64.97</v>
      </c>
      <c r="AW7" s="11">
        <f t="shared" si="22"/>
        <v>2.5</v>
      </c>
      <c r="AX7" s="11">
        <f t="shared" si="23"/>
        <v>10.379999999999999</v>
      </c>
      <c r="AY7" s="11">
        <f t="shared" si="24"/>
        <v>75.349999999999994</v>
      </c>
      <c r="AZ7" s="67">
        <v>16.3</v>
      </c>
      <c r="BA7" s="67">
        <v>8.9</v>
      </c>
      <c r="BB7" s="67">
        <v>2.1</v>
      </c>
      <c r="BC7" s="67">
        <v>14.494999999999999</v>
      </c>
      <c r="BD7" s="67">
        <v>0</v>
      </c>
      <c r="BE7" s="67">
        <v>15.4</v>
      </c>
      <c r="BF7" s="67">
        <v>8.9</v>
      </c>
      <c r="BG7" s="67">
        <v>10.6</v>
      </c>
      <c r="BH7" s="67">
        <v>13.865</v>
      </c>
      <c r="BI7" s="67">
        <v>0</v>
      </c>
      <c r="BJ7" s="67"/>
      <c r="BK7" s="67"/>
      <c r="BL7" s="67"/>
      <c r="BM7" s="67"/>
      <c r="BN7" s="67"/>
      <c r="BO7" s="67">
        <v>15.8</v>
      </c>
      <c r="BP7" s="67">
        <v>9.5</v>
      </c>
      <c r="BQ7" s="67">
        <v>10.6</v>
      </c>
      <c r="BR7" s="67">
        <v>14.065</v>
      </c>
      <c r="BS7" s="67">
        <v>0</v>
      </c>
      <c r="BT7" s="73"/>
      <c r="BU7" s="14">
        <f t="shared" si="25"/>
        <v>41.795000000000002</v>
      </c>
      <c r="BV7" s="14">
        <f t="shared" si="26"/>
        <v>10.6</v>
      </c>
      <c r="BW7" s="14">
        <f t="shared" si="27"/>
        <v>48.765000000000001</v>
      </c>
      <c r="BX7" s="14" t="str">
        <f t="shared" si="28"/>
        <v/>
      </c>
      <c r="BY7" s="14" t="str">
        <f t="shared" si="29"/>
        <v/>
      </c>
      <c r="BZ7" s="14">
        <f t="shared" si="30"/>
        <v>90.56</v>
      </c>
      <c r="CA7" s="14">
        <f t="shared" si="31"/>
        <v>10.6</v>
      </c>
      <c r="CB7" s="14">
        <f t="shared" si="32"/>
        <v>49.964999999999996</v>
      </c>
      <c r="CC7" s="14">
        <f t="shared" si="33"/>
        <v>140.52500000000001</v>
      </c>
      <c r="CD7" s="61">
        <v>16.8</v>
      </c>
      <c r="CE7" s="61">
        <v>8.9</v>
      </c>
      <c r="CF7" s="61">
        <v>2.1</v>
      </c>
      <c r="CG7" s="61">
        <v>14.49</v>
      </c>
      <c r="CH7" s="61">
        <v>0</v>
      </c>
      <c r="CI7" s="61">
        <v>2.9</v>
      </c>
      <c r="CJ7" s="61">
        <v>1.7</v>
      </c>
      <c r="CK7" s="61">
        <v>2.5</v>
      </c>
      <c r="CL7" s="61">
        <v>2.83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 t="shared" si="34"/>
        <v>42.290000000000006</v>
      </c>
      <c r="CZ7" s="11">
        <f t="shared" si="35"/>
        <v>2.5</v>
      </c>
      <c r="DA7" s="11">
        <f t="shared" si="36"/>
        <v>9.93</v>
      </c>
      <c r="DB7" s="11" t="str">
        <f t="shared" si="37"/>
        <v/>
      </c>
      <c r="DC7" s="11" t="str">
        <f t="shared" si="38"/>
        <v/>
      </c>
      <c r="DD7" s="11">
        <f t="shared" si="39"/>
        <v>52.220000000000006</v>
      </c>
      <c r="DE7" s="11" t="str">
        <f t="shared" si="40"/>
        <v/>
      </c>
      <c r="DF7" s="11" t="str">
        <f t="shared" si="41"/>
        <v/>
      </c>
      <c r="DG7" s="11">
        <f t="shared" si="42"/>
        <v>52.220000000000006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16.55</v>
      </c>
      <c r="NQ7" s="61">
        <f t="shared" si="132"/>
        <v>8.9</v>
      </c>
      <c r="NR7" s="61">
        <f t="shared" si="133"/>
        <v>2.1</v>
      </c>
      <c r="NS7" s="61">
        <f t="shared" si="134"/>
        <v>14.4925</v>
      </c>
      <c r="NT7" s="61">
        <f t="shared" si="135"/>
        <v>0</v>
      </c>
      <c r="NU7" s="61">
        <f t="shared" si="136"/>
        <v>9.15</v>
      </c>
      <c r="NV7" s="61">
        <f t="shared" si="137"/>
        <v>5.3</v>
      </c>
      <c r="NW7" s="61">
        <f t="shared" si="138"/>
        <v>6.55</v>
      </c>
      <c r="NX7" s="61">
        <f t="shared" si="139"/>
        <v>8.3475000000000001</v>
      </c>
      <c r="NY7" s="61">
        <f t="shared" si="140"/>
        <v>0</v>
      </c>
      <c r="NZ7" s="61">
        <f t="shared" si="141"/>
        <v>0</v>
      </c>
      <c r="OA7" s="61">
        <f t="shared" si="142"/>
        <v>0</v>
      </c>
      <c r="OB7" s="61">
        <f t="shared" si="143"/>
        <v>0</v>
      </c>
      <c r="OC7" s="61">
        <f t="shared" si="144"/>
        <v>0</v>
      </c>
      <c r="OD7" s="61">
        <f t="shared" si="145"/>
        <v>0</v>
      </c>
      <c r="OE7" s="61">
        <f t="shared" si="146"/>
        <v>7.9</v>
      </c>
      <c r="OF7" s="61">
        <f t="shared" si="147"/>
        <v>4.75</v>
      </c>
      <c r="OG7" s="61">
        <f t="shared" si="148"/>
        <v>5.3</v>
      </c>
      <c r="OH7" s="61">
        <f t="shared" si="149"/>
        <v>7.0324999999999998</v>
      </c>
      <c r="OI7" s="61">
        <f t="shared" si="150"/>
        <v>0</v>
      </c>
      <c r="OJ7" s="72" t="s">
        <v>52</v>
      </c>
      <c r="OK7" s="11">
        <f t="shared" si="151"/>
        <v>42.042500000000004</v>
      </c>
      <c r="OL7" s="11">
        <f t="shared" si="152"/>
        <v>6.55</v>
      </c>
      <c r="OM7" s="11">
        <f t="shared" si="153"/>
        <v>29.3475</v>
      </c>
      <c r="ON7" s="11" t="str">
        <f t="shared" si="154"/>
        <v/>
      </c>
      <c r="OO7" s="11" t="str">
        <f t="shared" si="155"/>
        <v/>
      </c>
      <c r="OP7" s="11">
        <f t="shared" si="156"/>
        <v>71.39</v>
      </c>
      <c r="OQ7" s="11">
        <f t="shared" si="157"/>
        <v>5.3</v>
      </c>
      <c r="OR7" s="11">
        <f t="shared" si="158"/>
        <v>24.982499999999998</v>
      </c>
      <c r="OS7" s="11">
        <f t="shared" si="159"/>
        <v>96.372500000000002</v>
      </c>
    </row>
    <row r="8" spans="1:409" x14ac:dyDescent="0.2">
      <c r="A8" s="5" cm="1">
        <f t="array" ref="A8">IF(AND(G8&lt;&gt;"",H8&lt;&gt;""),SUMPRODUCT((G$4:G$28&lt;&gt;"")*(H$4:H$28&lt;&gt;"")*(E$4:E$28&gt;E8))+1,IF(H8&lt;&gt;"",SUMPRODUCT((I$4:I$28="No DD")*(E$4:E$28&gt;E8))+1+SUMPRODUCT((G$4:G$28&lt;&gt;"")*(H$4:H$28&lt;&gt;"")),""))</f>
        <v>5</v>
      </c>
      <c r="B8" s="6" t="s">
        <v>152</v>
      </c>
      <c r="C8" s="7" t="s">
        <v>3</v>
      </c>
      <c r="D8" s="26">
        <v>2001</v>
      </c>
      <c r="E8" s="15">
        <f t="shared" si="0"/>
        <v>96.945000000000007</v>
      </c>
      <c r="F8" s="3" t="str">
        <f t="shared" si="1"/>
        <v/>
      </c>
      <c r="G8" s="115" t="str">
        <f t="shared" si="2"/>
        <v/>
      </c>
      <c r="H8" s="115" t="str">
        <f t="shared" si="3"/>
        <v>National Team</v>
      </c>
      <c r="I8" s="116" t="str">
        <f t="shared" si="4"/>
        <v>No DD</v>
      </c>
      <c r="J8" s="3" t="str">
        <f t="shared" si="5"/>
        <v/>
      </c>
      <c r="K8" s="14">
        <f t="shared" si="6"/>
        <v>88.435000000000002</v>
      </c>
      <c r="L8" s="14" t="str">
        <f t="shared" si="7"/>
        <v>2021 Canadian Championships</v>
      </c>
      <c r="M8" s="14">
        <f t="shared" si="8"/>
        <v>0</v>
      </c>
      <c r="N8" s="14" t="str">
        <f t="shared" si="9"/>
        <v/>
      </c>
      <c r="O8" s="14">
        <f t="shared" si="10"/>
        <v>49.64</v>
      </c>
      <c r="P8" s="14" t="str">
        <f t="shared" si="11"/>
        <v>2021 Canadian Championships</v>
      </c>
      <c r="Q8" s="14">
        <f>IF(COUNT(AS8,AU8,AX8,BW8,BY8,CB8,DA8,DC8,DF8)&gt;1,LARGE((AS8,AU8,AX8,BW8,BY8,CB8,DA8,DC8,DF8),2),0)</f>
        <v>47.305000000000007</v>
      </c>
      <c r="R8" s="14" t="str">
        <f t="shared" si="12"/>
        <v>2021 Canadian Championships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 t="str">
        <f t="shared" si="16"/>
        <v/>
      </c>
      <c r="AR8" s="11" t="str">
        <f t="shared" si="17"/>
        <v/>
      </c>
      <c r="AS8" s="11" t="str">
        <f t="shared" si="18"/>
        <v/>
      </c>
      <c r="AT8" s="11" t="str">
        <f t="shared" si="19"/>
        <v/>
      </c>
      <c r="AU8" s="11" t="str">
        <f t="shared" si="20"/>
        <v/>
      </c>
      <c r="AV8" s="11" t="str">
        <f t="shared" si="21"/>
        <v/>
      </c>
      <c r="AW8" s="11" t="str">
        <f t="shared" si="22"/>
        <v/>
      </c>
      <c r="AX8" s="11" t="str">
        <f t="shared" si="23"/>
        <v/>
      </c>
      <c r="AY8" s="11" t="str">
        <f t="shared" si="24"/>
        <v/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 t="shared" si="25"/>
        <v/>
      </c>
      <c r="BV8" s="14" t="str">
        <f t="shared" si="26"/>
        <v/>
      </c>
      <c r="BW8" s="14" t="str">
        <f t="shared" si="27"/>
        <v/>
      </c>
      <c r="BX8" s="14" t="str">
        <f t="shared" si="28"/>
        <v/>
      </c>
      <c r="BY8" s="14" t="str">
        <f t="shared" si="29"/>
        <v/>
      </c>
      <c r="BZ8" s="14" t="str">
        <f t="shared" si="30"/>
        <v/>
      </c>
      <c r="CA8" s="14" t="str">
        <f t="shared" si="31"/>
        <v/>
      </c>
      <c r="CB8" s="14" t="str">
        <f t="shared" si="32"/>
        <v/>
      </c>
      <c r="CC8" s="14" t="str">
        <f t="shared" si="33"/>
        <v/>
      </c>
      <c r="CD8" s="61">
        <v>16.5</v>
      </c>
      <c r="CE8" s="61">
        <v>9</v>
      </c>
      <c r="CF8" s="61">
        <v>2.5</v>
      </c>
      <c r="CG8" s="61">
        <v>15.13</v>
      </c>
      <c r="CH8" s="61">
        <v>2</v>
      </c>
      <c r="CI8" s="61">
        <v>15.7</v>
      </c>
      <c r="CJ8" s="61">
        <v>8.9</v>
      </c>
      <c r="CK8" s="61">
        <v>8.5</v>
      </c>
      <c r="CL8" s="61">
        <v>14.505000000000001</v>
      </c>
      <c r="CM8" s="61">
        <v>0.3</v>
      </c>
      <c r="CN8" s="61"/>
      <c r="CO8" s="61"/>
      <c r="CP8" s="61"/>
      <c r="CQ8" s="61"/>
      <c r="CR8" s="61"/>
      <c r="CS8" s="61">
        <v>15.3</v>
      </c>
      <c r="CT8" s="61">
        <v>9.3000000000000007</v>
      </c>
      <c r="CU8" s="61">
        <v>10.4</v>
      </c>
      <c r="CV8" s="61">
        <v>14.64</v>
      </c>
      <c r="CW8" s="61">
        <v>0</v>
      </c>
      <c r="CX8" s="72"/>
      <c r="CY8" s="11">
        <f t="shared" si="34"/>
        <v>41.13</v>
      </c>
      <c r="CZ8" s="11">
        <f t="shared" si="35"/>
        <v>8.5</v>
      </c>
      <c r="DA8" s="11">
        <f t="shared" si="36"/>
        <v>47.305000000000007</v>
      </c>
      <c r="DB8" s="11" t="str">
        <f t="shared" si="37"/>
        <v/>
      </c>
      <c r="DC8" s="11" t="str">
        <f t="shared" si="38"/>
        <v/>
      </c>
      <c r="DD8" s="11">
        <f t="shared" si="39"/>
        <v>88.435000000000002</v>
      </c>
      <c r="DE8" s="11">
        <f t="shared" si="40"/>
        <v>10.4</v>
      </c>
      <c r="DF8" s="11">
        <f t="shared" si="41"/>
        <v>49.64</v>
      </c>
      <c r="DG8" s="11">
        <f t="shared" si="42"/>
        <v>138.07499999999999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8.25</v>
      </c>
      <c r="NQ8" s="61">
        <f t="shared" si="132"/>
        <v>4.5</v>
      </c>
      <c r="NR8" s="61">
        <f t="shared" si="133"/>
        <v>1.25</v>
      </c>
      <c r="NS8" s="61">
        <f t="shared" si="134"/>
        <v>7.5650000000000004</v>
      </c>
      <c r="NT8" s="61">
        <f t="shared" si="135"/>
        <v>1</v>
      </c>
      <c r="NU8" s="61">
        <f t="shared" si="136"/>
        <v>7.85</v>
      </c>
      <c r="NV8" s="61">
        <f t="shared" si="137"/>
        <v>4.45</v>
      </c>
      <c r="NW8" s="61">
        <f t="shared" si="138"/>
        <v>4.25</v>
      </c>
      <c r="NX8" s="61">
        <f t="shared" si="139"/>
        <v>7.2525000000000004</v>
      </c>
      <c r="NY8" s="61">
        <f t="shared" si="140"/>
        <v>0.15</v>
      </c>
      <c r="NZ8" s="61">
        <f t="shared" si="141"/>
        <v>0</v>
      </c>
      <c r="OA8" s="61">
        <f t="shared" si="142"/>
        <v>0</v>
      </c>
      <c r="OB8" s="61">
        <f t="shared" si="143"/>
        <v>0</v>
      </c>
      <c r="OC8" s="61">
        <f t="shared" si="144"/>
        <v>0</v>
      </c>
      <c r="OD8" s="61">
        <f t="shared" si="145"/>
        <v>0</v>
      </c>
      <c r="OE8" s="61">
        <f t="shared" si="146"/>
        <v>7.65</v>
      </c>
      <c r="OF8" s="61">
        <f t="shared" si="147"/>
        <v>4.6500000000000004</v>
      </c>
      <c r="OG8" s="61">
        <f t="shared" si="148"/>
        <v>5.2</v>
      </c>
      <c r="OH8" s="61">
        <f t="shared" si="149"/>
        <v>7.32</v>
      </c>
      <c r="OI8" s="61">
        <f t="shared" si="150"/>
        <v>0</v>
      </c>
      <c r="OJ8" s="72" t="s">
        <v>52</v>
      </c>
      <c r="OK8" s="11">
        <f t="shared" si="151"/>
        <v>20.565000000000001</v>
      </c>
      <c r="OL8" s="11">
        <f t="shared" si="152"/>
        <v>4.25</v>
      </c>
      <c r="OM8" s="11">
        <f t="shared" si="153"/>
        <v>23.652500000000003</v>
      </c>
      <c r="ON8" s="11" t="str">
        <f t="shared" si="154"/>
        <v/>
      </c>
      <c r="OO8" s="11" t="str">
        <f t="shared" si="155"/>
        <v/>
      </c>
      <c r="OP8" s="11">
        <f t="shared" si="156"/>
        <v>44.217500000000001</v>
      </c>
      <c r="OQ8" s="11">
        <f t="shared" si="157"/>
        <v>5.2</v>
      </c>
      <c r="OR8" s="11">
        <f t="shared" si="158"/>
        <v>24.82</v>
      </c>
      <c r="OS8" s="11">
        <f t="shared" si="159"/>
        <v>69.037499999999994</v>
      </c>
    </row>
    <row r="9" spans="1:409" x14ac:dyDescent="0.2">
      <c r="A9" s="5" cm="1">
        <f t="array" ref="A9">IF(AND(G9&lt;&gt;"",H9&lt;&gt;""),SUMPRODUCT((G$4:G$28&lt;&gt;"")*(H$4:H$28&lt;&gt;"")*(E$4:E$28&gt;E9))+1,IF(H9&lt;&gt;"",SUMPRODUCT((I$4:I$28="No DD")*(E$4:E$28&gt;E9))+1+SUMPRODUCT((G$4:G$28&lt;&gt;"")*(H$4:H$28&lt;&gt;"")),""))</f>
        <v>6</v>
      </c>
      <c r="B9" s="8" t="s">
        <v>140</v>
      </c>
      <c r="C9" s="4" t="s">
        <v>95</v>
      </c>
      <c r="D9" s="26">
        <v>2000</v>
      </c>
      <c r="E9" s="15">
        <f t="shared" si="0"/>
        <v>96.789999999999992</v>
      </c>
      <c r="F9" s="3" t="str">
        <f t="shared" si="1"/>
        <v/>
      </c>
      <c r="G9" s="115" t="str">
        <f t="shared" si="2"/>
        <v/>
      </c>
      <c r="H9" s="115" t="str">
        <f t="shared" si="3"/>
        <v>National Team</v>
      </c>
      <c r="I9" s="116" t="str">
        <f t="shared" si="4"/>
        <v>No DD</v>
      </c>
      <c r="J9" s="3" t="str">
        <f t="shared" si="5"/>
        <v/>
      </c>
      <c r="K9" s="14">
        <f t="shared" si="6"/>
        <v>90.62</v>
      </c>
      <c r="L9" s="14" t="str">
        <f t="shared" si="7"/>
        <v>2021 Elite Canada</v>
      </c>
      <c r="M9" s="14">
        <f t="shared" si="8"/>
        <v>41.755000000000003</v>
      </c>
      <c r="N9" s="14" t="str">
        <f t="shared" si="9"/>
        <v>2021 Canadian Championships</v>
      </c>
      <c r="O9" s="14">
        <f t="shared" si="10"/>
        <v>49.05</v>
      </c>
      <c r="P9" s="14" t="str">
        <f t="shared" si="11"/>
        <v>2021 Elite Canada</v>
      </c>
      <c r="Q9" s="14">
        <f>IF(COUNT(AS9,AU9,AX9,BW9,BY9,CB9,DA9,DC9,DF9)&gt;1,LARGE((AS9,AU9,AX9,BW9,BY9,CB9,DA9,DC9,DF9),2),0)</f>
        <v>47.74</v>
      </c>
      <c r="R9" s="14" t="str">
        <f t="shared" si="12"/>
        <v>2021 Elite Canada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 t="str">
        <f t="shared" si="16"/>
        <v/>
      </c>
      <c r="AR9" s="11" t="str">
        <f t="shared" si="17"/>
        <v/>
      </c>
      <c r="AS9" s="11" t="str">
        <f t="shared" si="18"/>
        <v/>
      </c>
      <c r="AT9" s="11" t="str">
        <f t="shared" si="19"/>
        <v/>
      </c>
      <c r="AU9" s="11" t="str">
        <f t="shared" si="20"/>
        <v/>
      </c>
      <c r="AV9" s="11" t="str">
        <f t="shared" si="21"/>
        <v/>
      </c>
      <c r="AW9" s="11" t="str">
        <f t="shared" si="22"/>
        <v/>
      </c>
      <c r="AX9" s="11" t="str">
        <f t="shared" si="23"/>
        <v/>
      </c>
      <c r="AY9" s="11" t="str">
        <f t="shared" si="24"/>
        <v/>
      </c>
      <c r="AZ9" s="67">
        <v>16</v>
      </c>
      <c r="BA9" s="67">
        <v>8.9</v>
      </c>
      <c r="BB9" s="67">
        <v>2.1</v>
      </c>
      <c r="BC9" s="67">
        <v>14.57</v>
      </c>
      <c r="BD9" s="67">
        <v>0</v>
      </c>
      <c r="BE9" s="67">
        <v>15.2</v>
      </c>
      <c r="BF9" s="67">
        <v>9.3000000000000007</v>
      </c>
      <c r="BG9" s="67">
        <v>9.9</v>
      </c>
      <c r="BH9" s="67">
        <v>14.65</v>
      </c>
      <c r="BI9" s="67">
        <v>0</v>
      </c>
      <c r="BJ9" s="67"/>
      <c r="BK9" s="67"/>
      <c r="BL9" s="67"/>
      <c r="BM9" s="67"/>
      <c r="BN9" s="67"/>
      <c r="BO9" s="67">
        <v>15</v>
      </c>
      <c r="BP9" s="67">
        <v>8.8000000000000007</v>
      </c>
      <c r="BQ9" s="67">
        <v>9.1999999999999993</v>
      </c>
      <c r="BR9" s="67">
        <v>14.74</v>
      </c>
      <c r="BS9" s="67">
        <v>0</v>
      </c>
      <c r="BT9" s="73"/>
      <c r="BU9" s="14">
        <f t="shared" si="25"/>
        <v>41.57</v>
      </c>
      <c r="BV9" s="14">
        <f t="shared" si="26"/>
        <v>9.9</v>
      </c>
      <c r="BW9" s="14">
        <f t="shared" si="27"/>
        <v>49.05</v>
      </c>
      <c r="BX9" s="14" t="str">
        <f t="shared" si="28"/>
        <v/>
      </c>
      <c r="BY9" s="14" t="str">
        <f t="shared" si="29"/>
        <v/>
      </c>
      <c r="BZ9" s="14">
        <f t="shared" si="30"/>
        <v>90.62</v>
      </c>
      <c r="CA9" s="14">
        <f t="shared" si="31"/>
        <v>9.1999999999999993</v>
      </c>
      <c r="CB9" s="14">
        <f t="shared" si="32"/>
        <v>47.74</v>
      </c>
      <c r="CC9" s="14">
        <f t="shared" si="33"/>
        <v>138.36000000000001</v>
      </c>
      <c r="CD9" s="61">
        <v>16</v>
      </c>
      <c r="CE9" s="61">
        <v>9.1</v>
      </c>
      <c r="CF9" s="61">
        <v>2.1</v>
      </c>
      <c r="CG9" s="61">
        <v>14.555</v>
      </c>
      <c r="CH9" s="61">
        <v>0</v>
      </c>
      <c r="CI9" s="61">
        <v>14</v>
      </c>
      <c r="CJ9" s="61">
        <v>8.9</v>
      </c>
      <c r="CK9" s="61">
        <v>9.9</v>
      </c>
      <c r="CL9" s="61">
        <v>14.72</v>
      </c>
      <c r="CM9" s="61">
        <v>0</v>
      </c>
      <c r="CN9" s="61"/>
      <c r="CO9" s="61"/>
      <c r="CP9" s="61"/>
      <c r="CQ9" s="61"/>
      <c r="CR9" s="61"/>
      <c r="CS9" s="61">
        <v>5.7</v>
      </c>
      <c r="CT9" s="61">
        <v>3.6</v>
      </c>
      <c r="CU9" s="61">
        <v>4.4000000000000004</v>
      </c>
      <c r="CV9" s="61">
        <v>6.01</v>
      </c>
      <c r="CW9" s="61">
        <v>0</v>
      </c>
      <c r="CX9" s="72"/>
      <c r="CY9" s="11">
        <f t="shared" si="34"/>
        <v>41.755000000000003</v>
      </c>
      <c r="CZ9" s="11">
        <f t="shared" si="35"/>
        <v>9.9</v>
      </c>
      <c r="DA9" s="11">
        <f t="shared" si="36"/>
        <v>47.519999999999996</v>
      </c>
      <c r="DB9" s="11" t="str">
        <f t="shared" si="37"/>
        <v/>
      </c>
      <c r="DC9" s="11" t="str">
        <f t="shared" si="38"/>
        <v/>
      </c>
      <c r="DD9" s="11">
        <f t="shared" si="39"/>
        <v>89.275000000000006</v>
      </c>
      <c r="DE9" s="11">
        <f t="shared" si="40"/>
        <v>4.4000000000000004</v>
      </c>
      <c r="DF9" s="11">
        <f t="shared" si="41"/>
        <v>19.71</v>
      </c>
      <c r="DG9" s="11">
        <f t="shared" si="42"/>
        <v>108.98500000000001</v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16</v>
      </c>
      <c r="NQ9" s="61">
        <f t="shared" si="132"/>
        <v>9</v>
      </c>
      <c r="NR9" s="61">
        <f t="shared" si="133"/>
        <v>2.1</v>
      </c>
      <c r="NS9" s="61">
        <f t="shared" si="134"/>
        <v>14.5625</v>
      </c>
      <c r="NT9" s="61">
        <f t="shared" si="135"/>
        <v>0</v>
      </c>
      <c r="NU9" s="61">
        <f t="shared" si="136"/>
        <v>14.6</v>
      </c>
      <c r="NV9" s="61">
        <f t="shared" si="137"/>
        <v>9.1000000000000014</v>
      </c>
      <c r="NW9" s="61">
        <f t="shared" si="138"/>
        <v>9.9</v>
      </c>
      <c r="NX9" s="61">
        <f t="shared" si="139"/>
        <v>14.685</v>
      </c>
      <c r="NY9" s="61">
        <f t="shared" si="140"/>
        <v>0</v>
      </c>
      <c r="NZ9" s="61">
        <f t="shared" si="141"/>
        <v>0</v>
      </c>
      <c r="OA9" s="61">
        <f t="shared" si="142"/>
        <v>0</v>
      </c>
      <c r="OB9" s="61">
        <f t="shared" si="143"/>
        <v>0</v>
      </c>
      <c r="OC9" s="61">
        <f t="shared" si="144"/>
        <v>0</v>
      </c>
      <c r="OD9" s="61">
        <f t="shared" si="145"/>
        <v>0</v>
      </c>
      <c r="OE9" s="61">
        <f t="shared" si="146"/>
        <v>10.35</v>
      </c>
      <c r="OF9" s="61">
        <f t="shared" si="147"/>
        <v>6.2</v>
      </c>
      <c r="OG9" s="61">
        <f t="shared" si="148"/>
        <v>6.8</v>
      </c>
      <c r="OH9" s="61">
        <f t="shared" si="149"/>
        <v>10.375</v>
      </c>
      <c r="OI9" s="61">
        <f t="shared" si="150"/>
        <v>0</v>
      </c>
      <c r="OJ9" s="72" t="s">
        <v>52</v>
      </c>
      <c r="OK9" s="11">
        <f t="shared" si="151"/>
        <v>41.662500000000001</v>
      </c>
      <c r="OL9" s="11">
        <f t="shared" si="152"/>
        <v>9.9</v>
      </c>
      <c r="OM9" s="11">
        <f t="shared" si="153"/>
        <v>48.285000000000004</v>
      </c>
      <c r="ON9" s="11" t="str">
        <f t="shared" si="154"/>
        <v/>
      </c>
      <c r="OO9" s="11" t="str">
        <f t="shared" si="155"/>
        <v/>
      </c>
      <c r="OP9" s="11">
        <f t="shared" si="156"/>
        <v>89.947500000000005</v>
      </c>
      <c r="OQ9" s="11">
        <f t="shared" si="157"/>
        <v>6.8</v>
      </c>
      <c r="OR9" s="11">
        <f t="shared" si="158"/>
        <v>33.725000000000001</v>
      </c>
      <c r="OS9" s="11">
        <f t="shared" si="159"/>
        <v>123.67250000000001</v>
      </c>
    </row>
    <row r="10" spans="1:409" x14ac:dyDescent="0.2">
      <c r="A10" s="5" cm="1">
        <f t="array" ref="A10">IF(AND(G10&lt;&gt;"",H10&lt;&gt;""),SUMPRODUCT((G$4:G$28&lt;&gt;"")*(H$4:H$28&lt;&gt;"")*(E$4:E$28&gt;E10))+1,IF(H10&lt;&gt;"",SUMPRODUCT((I$4:I$28="No DD")*(E$4:E$28&gt;E10))+1+SUMPRODUCT((G$4:G$28&lt;&gt;"")*(H$4:H$28&lt;&gt;"")),""))</f>
        <v>7</v>
      </c>
      <c r="B10" s="8" t="s">
        <v>128</v>
      </c>
      <c r="C10" s="4" t="s">
        <v>6</v>
      </c>
      <c r="D10" s="26">
        <v>2004</v>
      </c>
      <c r="E10" s="15">
        <f t="shared" si="0"/>
        <v>96.6</v>
      </c>
      <c r="F10" s="3" t="str">
        <f t="shared" si="1"/>
        <v/>
      </c>
      <c r="G10" s="115" t="str">
        <f t="shared" si="2"/>
        <v/>
      </c>
      <c r="H10" s="115" t="str">
        <f t="shared" si="3"/>
        <v>National Team</v>
      </c>
      <c r="I10" s="116" t="str">
        <f t="shared" si="4"/>
        <v>No DD</v>
      </c>
      <c r="J10" s="3" t="str">
        <f t="shared" si="5"/>
        <v/>
      </c>
      <c r="K10" s="14">
        <f t="shared" si="6"/>
        <v>88.289999999999992</v>
      </c>
      <c r="L10" s="14" t="str">
        <f t="shared" si="7"/>
        <v>2021 2nd Virtual Technical Trial</v>
      </c>
      <c r="M10" s="14">
        <f t="shared" si="8"/>
        <v>42.775000000000006</v>
      </c>
      <c r="N10" s="14" t="str">
        <f t="shared" si="9"/>
        <v>2021 Elite Canada</v>
      </c>
      <c r="O10" s="14">
        <f t="shared" si="10"/>
        <v>48.725000000000001</v>
      </c>
      <c r="P10" s="14" t="str">
        <f t="shared" si="11"/>
        <v>2021 Elite Canada</v>
      </c>
      <c r="Q10" s="14">
        <f>IF(COUNT(AS10,AU10,AX10,BW10,BY10,CB10,DA10,DC10,DF10)&gt;1,LARGE((AS10,AU10,AX10,BW10,BY10,CB10,DA10,DC10,DF10),2),0)</f>
        <v>47.875</v>
      </c>
      <c r="R10" s="14" t="str">
        <f t="shared" si="12"/>
        <v>2021 Canadian Championships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16.5</v>
      </c>
      <c r="W10" s="61">
        <v>9.1</v>
      </c>
      <c r="X10" s="61">
        <v>2</v>
      </c>
      <c r="Y10" s="61">
        <v>14.11</v>
      </c>
      <c r="Z10" s="61">
        <v>0</v>
      </c>
      <c r="AA10" s="61">
        <v>13.7</v>
      </c>
      <c r="AB10" s="61">
        <v>9.5</v>
      </c>
      <c r="AC10" s="61">
        <v>9.6999999999999993</v>
      </c>
      <c r="AD10" s="61">
        <v>13.68</v>
      </c>
      <c r="AE10" s="61">
        <v>0</v>
      </c>
      <c r="AF10" s="61"/>
      <c r="AG10" s="61"/>
      <c r="AH10" s="61"/>
      <c r="AI10" s="61"/>
      <c r="AJ10" s="61"/>
      <c r="AK10" s="61">
        <v>4.4000000000000004</v>
      </c>
      <c r="AL10" s="61">
        <v>2.2999999999999998</v>
      </c>
      <c r="AM10" s="61">
        <v>4</v>
      </c>
      <c r="AN10" s="61">
        <v>4.24</v>
      </c>
      <c r="AO10" s="61">
        <v>0</v>
      </c>
      <c r="AP10" s="72"/>
      <c r="AQ10" s="11">
        <f t="shared" si="16"/>
        <v>41.71</v>
      </c>
      <c r="AR10" s="11">
        <f t="shared" si="17"/>
        <v>9.6999999999999993</v>
      </c>
      <c r="AS10" s="11">
        <f t="shared" si="18"/>
        <v>46.58</v>
      </c>
      <c r="AT10" s="11" t="str">
        <f t="shared" si="19"/>
        <v/>
      </c>
      <c r="AU10" s="11" t="str">
        <f t="shared" si="20"/>
        <v/>
      </c>
      <c r="AV10" s="11">
        <f t="shared" si="21"/>
        <v>88.289999999999992</v>
      </c>
      <c r="AW10" s="11">
        <f t="shared" si="22"/>
        <v>4</v>
      </c>
      <c r="AX10" s="11">
        <f t="shared" si="23"/>
        <v>14.94</v>
      </c>
      <c r="AY10" s="11">
        <f t="shared" si="24"/>
        <v>103.22999999999999</v>
      </c>
      <c r="AZ10" s="67">
        <v>17.3</v>
      </c>
      <c r="BA10" s="67">
        <v>9.4</v>
      </c>
      <c r="BB10" s="67">
        <v>2</v>
      </c>
      <c r="BC10" s="67">
        <v>14.074999999999999</v>
      </c>
      <c r="BD10" s="67">
        <v>0</v>
      </c>
      <c r="BE10" s="67">
        <v>7.2</v>
      </c>
      <c r="BF10" s="67">
        <v>4.4000000000000004</v>
      </c>
      <c r="BG10" s="67">
        <v>6.1</v>
      </c>
      <c r="BH10" s="67">
        <v>6.92</v>
      </c>
      <c r="BI10" s="67">
        <v>0</v>
      </c>
      <c r="BJ10" s="67"/>
      <c r="BK10" s="67"/>
      <c r="BL10" s="67"/>
      <c r="BM10" s="67"/>
      <c r="BN10" s="67"/>
      <c r="BO10" s="67">
        <v>15.7</v>
      </c>
      <c r="BP10" s="67">
        <v>9.4</v>
      </c>
      <c r="BQ10" s="67">
        <v>10</v>
      </c>
      <c r="BR10" s="67">
        <v>13.625</v>
      </c>
      <c r="BS10" s="67">
        <v>0</v>
      </c>
      <c r="BT10" s="73"/>
      <c r="BU10" s="14">
        <f t="shared" si="25"/>
        <v>42.775000000000006</v>
      </c>
      <c r="BV10" s="14">
        <f t="shared" si="26"/>
        <v>6.1</v>
      </c>
      <c r="BW10" s="14">
        <f t="shared" si="27"/>
        <v>24.620000000000005</v>
      </c>
      <c r="BX10" s="14" t="str">
        <f t="shared" si="28"/>
        <v/>
      </c>
      <c r="BY10" s="14" t="str">
        <f t="shared" si="29"/>
        <v/>
      </c>
      <c r="BZ10" s="14">
        <f t="shared" si="30"/>
        <v>67.39500000000001</v>
      </c>
      <c r="CA10" s="14">
        <f t="shared" si="31"/>
        <v>10</v>
      </c>
      <c r="CB10" s="14">
        <f t="shared" si="32"/>
        <v>48.725000000000001</v>
      </c>
      <c r="CC10" s="14">
        <f t="shared" si="33"/>
        <v>116.12</v>
      </c>
      <c r="CD10" s="61">
        <v>12.2</v>
      </c>
      <c r="CE10" s="61">
        <v>7.2</v>
      </c>
      <c r="CF10" s="61">
        <v>0.8</v>
      </c>
      <c r="CG10" s="61">
        <v>11.79</v>
      </c>
      <c r="CH10" s="61">
        <v>0</v>
      </c>
      <c r="CI10" s="61">
        <v>14.5</v>
      </c>
      <c r="CJ10" s="61">
        <v>9.4</v>
      </c>
      <c r="CK10" s="61">
        <v>10</v>
      </c>
      <c r="CL10" s="61">
        <v>13.975</v>
      </c>
      <c r="CM10" s="61">
        <v>0</v>
      </c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72"/>
      <c r="CY10" s="11">
        <f t="shared" si="34"/>
        <v>31.99</v>
      </c>
      <c r="CZ10" s="11">
        <f t="shared" si="35"/>
        <v>10</v>
      </c>
      <c r="DA10" s="11">
        <f t="shared" si="36"/>
        <v>47.875</v>
      </c>
      <c r="DB10" s="11" t="str">
        <f t="shared" si="37"/>
        <v/>
      </c>
      <c r="DC10" s="11" t="str">
        <f t="shared" si="38"/>
        <v/>
      </c>
      <c r="DD10" s="11">
        <f t="shared" si="39"/>
        <v>79.864999999999995</v>
      </c>
      <c r="DE10" s="11" t="str">
        <f t="shared" si="40"/>
        <v/>
      </c>
      <c r="DF10" s="11" t="str">
        <f t="shared" si="41"/>
        <v/>
      </c>
      <c r="DG10" s="11">
        <f t="shared" si="42"/>
        <v>79.864999999999995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14.75</v>
      </c>
      <c r="NQ10" s="61">
        <f t="shared" si="132"/>
        <v>8.3000000000000007</v>
      </c>
      <c r="NR10" s="61">
        <f t="shared" si="133"/>
        <v>1.4</v>
      </c>
      <c r="NS10" s="61">
        <f t="shared" si="134"/>
        <v>12.932499999999999</v>
      </c>
      <c r="NT10" s="61">
        <f t="shared" si="135"/>
        <v>0</v>
      </c>
      <c r="NU10" s="61">
        <f t="shared" si="136"/>
        <v>10.85</v>
      </c>
      <c r="NV10" s="61">
        <f t="shared" si="137"/>
        <v>6.9</v>
      </c>
      <c r="NW10" s="61">
        <f t="shared" si="138"/>
        <v>8.0500000000000007</v>
      </c>
      <c r="NX10" s="61">
        <f t="shared" si="139"/>
        <v>10.4475</v>
      </c>
      <c r="NY10" s="61">
        <f t="shared" si="140"/>
        <v>0</v>
      </c>
      <c r="NZ10" s="61">
        <f t="shared" si="141"/>
        <v>0</v>
      </c>
      <c r="OA10" s="61">
        <f t="shared" si="142"/>
        <v>0</v>
      </c>
      <c r="OB10" s="61">
        <f t="shared" si="143"/>
        <v>0</v>
      </c>
      <c r="OC10" s="61">
        <f t="shared" si="144"/>
        <v>0</v>
      </c>
      <c r="OD10" s="61">
        <f t="shared" si="145"/>
        <v>0</v>
      </c>
      <c r="OE10" s="61">
        <f t="shared" si="146"/>
        <v>7.85</v>
      </c>
      <c r="OF10" s="61">
        <f t="shared" si="147"/>
        <v>4.7</v>
      </c>
      <c r="OG10" s="61">
        <f t="shared" si="148"/>
        <v>5</v>
      </c>
      <c r="OH10" s="61">
        <f t="shared" si="149"/>
        <v>6.8125</v>
      </c>
      <c r="OI10" s="61">
        <f t="shared" si="150"/>
        <v>0</v>
      </c>
      <c r="OJ10" s="72" t="s">
        <v>52</v>
      </c>
      <c r="OK10" s="11">
        <f t="shared" si="151"/>
        <v>37.3825</v>
      </c>
      <c r="OL10" s="11">
        <f t="shared" si="152"/>
        <v>8.0500000000000007</v>
      </c>
      <c r="OM10" s="11">
        <f t="shared" si="153"/>
        <v>36.247500000000002</v>
      </c>
      <c r="ON10" s="11" t="str">
        <f t="shared" si="154"/>
        <v/>
      </c>
      <c r="OO10" s="11" t="str">
        <f t="shared" si="155"/>
        <v/>
      </c>
      <c r="OP10" s="11">
        <f t="shared" si="156"/>
        <v>73.63</v>
      </c>
      <c r="OQ10" s="11">
        <f t="shared" si="157"/>
        <v>5</v>
      </c>
      <c r="OR10" s="11">
        <f t="shared" ref="OR10" si="160">IF(SUM(OE10:OH10)-OI10&gt;0,SUM(OE10:OH10)-OI10,"")</f>
        <v>24.362500000000001</v>
      </c>
      <c r="OS10" s="11">
        <f t="shared" ref="OS10" si="161">IF(SUM(OP10,OR10)&gt;0,SUM(OP10,OR10),"")</f>
        <v>97.992499999999993</v>
      </c>
    </row>
    <row r="11" spans="1:409" x14ac:dyDescent="0.2">
      <c r="A11" s="5" t="str" cm="1">
        <f t="array" ref="A11">IF(AND(G11&lt;&gt;"",H11&lt;&gt;""),SUMPRODUCT((G$4:G$28&lt;&gt;"")*(H$4:H$28&lt;&gt;"")*(E$4:E$28&gt;E11))+1,IF(H11&lt;&gt;"",SUMPRODUCT((I$4:I$28="No DD")*(E$4:E$28&gt;E11))+1+SUMPRODUCT((G$4:G$28&lt;&gt;"")*(H$4:H$28&lt;&gt;"")),""))</f>
        <v/>
      </c>
      <c r="B11" s="8" t="s">
        <v>88</v>
      </c>
      <c r="C11" s="4" t="s">
        <v>4</v>
      </c>
      <c r="D11" s="26">
        <v>2003</v>
      </c>
      <c r="E11" s="15">
        <f t="shared" si="0"/>
        <v>94.259999999999991</v>
      </c>
      <c r="F11" s="3" t="str">
        <f t="shared" si="1"/>
        <v/>
      </c>
      <c r="G11" s="115" t="str">
        <f t="shared" si="2"/>
        <v/>
      </c>
      <c r="H11" s="115" t="str">
        <f t="shared" si="3"/>
        <v/>
      </c>
      <c r="I11" s="116" t="str">
        <f t="shared" si="4"/>
        <v/>
      </c>
      <c r="J11" s="3" t="str">
        <f t="shared" si="5"/>
        <v/>
      </c>
      <c r="K11" s="14">
        <f t="shared" si="6"/>
        <v>87.91</v>
      </c>
      <c r="L11" s="14" t="str">
        <f t="shared" si="7"/>
        <v>2021 Canadian Championships</v>
      </c>
      <c r="M11" s="14">
        <f t="shared" si="8"/>
        <v>39.755000000000003</v>
      </c>
      <c r="N11" s="14" t="str">
        <f t="shared" si="9"/>
        <v>2021 2nd Virtual Technical Trial</v>
      </c>
      <c r="O11" s="14">
        <f t="shared" si="10"/>
        <v>47.254999999999995</v>
      </c>
      <c r="P11" s="14" t="str">
        <f t="shared" si="11"/>
        <v>2021 Canadian Championships</v>
      </c>
      <c r="Q11" s="14">
        <f>IF(COUNT(AS11,AU11,AX11,BW11,BY11,CB11,DA11,DC11,DF11)&gt;1,LARGE((AS11,AU11,AX11,BW11,BY11,CB11,DA11,DC11,DF11),2),0)</f>
        <v>47.004999999999995</v>
      </c>
      <c r="R11" s="14" t="str">
        <f t="shared" si="12"/>
        <v>2021 Canadian Championships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>
        <v>14.3</v>
      </c>
      <c r="W11" s="61">
        <v>9.3000000000000007</v>
      </c>
      <c r="X11" s="61">
        <v>2.5</v>
      </c>
      <c r="Y11" s="61">
        <v>13.654999999999999</v>
      </c>
      <c r="Z11" s="61">
        <v>0</v>
      </c>
      <c r="AA11" s="61">
        <v>6.8</v>
      </c>
      <c r="AB11" s="61">
        <v>4.5</v>
      </c>
      <c r="AC11" s="61">
        <v>5.0999999999999996</v>
      </c>
      <c r="AD11" s="61">
        <v>6.97</v>
      </c>
      <c r="AE11" s="61">
        <v>0</v>
      </c>
      <c r="AF11" s="61"/>
      <c r="AG11" s="61"/>
      <c r="AH11" s="61"/>
      <c r="AI11" s="61"/>
      <c r="AJ11" s="61"/>
      <c r="AK11" s="61">
        <v>8.3000000000000007</v>
      </c>
      <c r="AL11" s="61">
        <v>6.1</v>
      </c>
      <c r="AM11" s="61">
        <v>5.4</v>
      </c>
      <c r="AN11" s="61">
        <v>9.1349999999999998</v>
      </c>
      <c r="AO11" s="61">
        <v>0</v>
      </c>
      <c r="AP11" s="72"/>
      <c r="AQ11" s="11">
        <f t="shared" si="16"/>
        <v>39.755000000000003</v>
      </c>
      <c r="AR11" s="11">
        <f t="shared" si="17"/>
        <v>5.0999999999999996</v>
      </c>
      <c r="AS11" s="11">
        <f t="shared" si="18"/>
        <v>23.369999999999997</v>
      </c>
      <c r="AT11" s="11" t="str">
        <f t="shared" si="19"/>
        <v/>
      </c>
      <c r="AU11" s="11" t="str">
        <f t="shared" si="20"/>
        <v/>
      </c>
      <c r="AV11" s="11">
        <f t="shared" si="21"/>
        <v>63.125</v>
      </c>
      <c r="AW11" s="11">
        <f t="shared" si="22"/>
        <v>5.4</v>
      </c>
      <c r="AX11" s="11">
        <f t="shared" si="23"/>
        <v>28.935000000000002</v>
      </c>
      <c r="AY11" s="11">
        <f t="shared" si="24"/>
        <v>92.06</v>
      </c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73"/>
      <c r="BU11" s="14" t="str">
        <f t="shared" si="25"/>
        <v/>
      </c>
      <c r="BV11" s="14" t="str">
        <f t="shared" si="26"/>
        <v/>
      </c>
      <c r="BW11" s="14" t="str">
        <f t="shared" si="27"/>
        <v/>
      </c>
      <c r="BX11" s="14" t="str">
        <f t="shared" si="28"/>
        <v/>
      </c>
      <c r="BY11" s="14" t="str">
        <f t="shared" si="29"/>
        <v/>
      </c>
      <c r="BZ11" s="14" t="str">
        <f t="shared" si="30"/>
        <v/>
      </c>
      <c r="CA11" s="14" t="str">
        <f t="shared" si="31"/>
        <v/>
      </c>
      <c r="CB11" s="14" t="str">
        <f t="shared" si="32"/>
        <v/>
      </c>
      <c r="CC11" s="14" t="str">
        <f t="shared" si="33"/>
        <v/>
      </c>
      <c r="CD11" s="61">
        <v>14.9</v>
      </c>
      <c r="CE11" s="61">
        <v>9.1999999999999993</v>
      </c>
      <c r="CF11" s="61">
        <v>2.7</v>
      </c>
      <c r="CG11" s="61">
        <v>13.855</v>
      </c>
      <c r="CH11" s="61">
        <v>0</v>
      </c>
      <c r="CI11" s="61">
        <v>14.2</v>
      </c>
      <c r="CJ11" s="61">
        <v>9.6</v>
      </c>
      <c r="CK11" s="61">
        <v>9.8000000000000007</v>
      </c>
      <c r="CL11" s="61">
        <v>13.654999999999999</v>
      </c>
      <c r="CM11" s="61">
        <v>0</v>
      </c>
      <c r="CN11" s="61"/>
      <c r="CO11" s="61"/>
      <c r="CP11" s="61"/>
      <c r="CQ11" s="61"/>
      <c r="CR11" s="61"/>
      <c r="CS11" s="61">
        <v>14.3</v>
      </c>
      <c r="CT11" s="61">
        <v>9</v>
      </c>
      <c r="CU11" s="61">
        <v>10</v>
      </c>
      <c r="CV11" s="61">
        <v>13.705</v>
      </c>
      <c r="CW11" s="61">
        <v>0</v>
      </c>
      <c r="CX11" s="72"/>
      <c r="CY11" s="11">
        <f t="shared" si="34"/>
        <v>40.655000000000001</v>
      </c>
      <c r="CZ11" s="11">
        <f t="shared" si="35"/>
        <v>9.8000000000000007</v>
      </c>
      <c r="DA11" s="11">
        <f t="shared" si="36"/>
        <v>47.254999999999995</v>
      </c>
      <c r="DB11" s="11" t="str">
        <f t="shared" si="37"/>
        <v/>
      </c>
      <c r="DC11" s="11" t="str">
        <f t="shared" si="38"/>
        <v/>
      </c>
      <c r="DD11" s="11">
        <f t="shared" si="39"/>
        <v>87.91</v>
      </c>
      <c r="DE11" s="11">
        <f t="shared" si="40"/>
        <v>10</v>
      </c>
      <c r="DF11" s="11">
        <f t="shared" si="41"/>
        <v>47.004999999999995</v>
      </c>
      <c r="DG11" s="11">
        <f t="shared" si="42"/>
        <v>134.91499999999999</v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7.45</v>
      </c>
      <c r="NQ11" s="61">
        <f t="shared" si="132"/>
        <v>4.5999999999999996</v>
      </c>
      <c r="NR11" s="61">
        <f t="shared" si="133"/>
        <v>1.35</v>
      </c>
      <c r="NS11" s="61">
        <f t="shared" si="134"/>
        <v>6.9275000000000002</v>
      </c>
      <c r="NT11" s="61">
        <f t="shared" si="135"/>
        <v>0</v>
      </c>
      <c r="NU11" s="61">
        <f t="shared" si="136"/>
        <v>7.1</v>
      </c>
      <c r="NV11" s="61">
        <f t="shared" si="137"/>
        <v>4.8</v>
      </c>
      <c r="NW11" s="61">
        <f t="shared" si="138"/>
        <v>4.9000000000000004</v>
      </c>
      <c r="NX11" s="61">
        <f t="shared" si="139"/>
        <v>6.8274999999999997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7.15</v>
      </c>
      <c r="OF11" s="61">
        <f t="shared" si="147"/>
        <v>4.5</v>
      </c>
      <c r="OG11" s="61">
        <f t="shared" si="148"/>
        <v>5</v>
      </c>
      <c r="OH11" s="61">
        <f t="shared" si="149"/>
        <v>6.8525</v>
      </c>
      <c r="OI11" s="61">
        <f t="shared" si="150"/>
        <v>0</v>
      </c>
      <c r="OJ11" s="72" t="s">
        <v>52</v>
      </c>
      <c r="OK11" s="11">
        <f t="shared" si="151"/>
        <v>20.327500000000001</v>
      </c>
      <c r="OL11" s="11">
        <f t="shared" si="152"/>
        <v>4.9000000000000004</v>
      </c>
      <c r="OM11" s="11">
        <f t="shared" si="153"/>
        <v>23.627499999999998</v>
      </c>
      <c r="ON11" s="11" t="str">
        <f t="shared" si="154"/>
        <v/>
      </c>
      <c r="OO11" s="11" t="str">
        <f t="shared" si="155"/>
        <v/>
      </c>
      <c r="OP11" s="11">
        <f t="shared" si="156"/>
        <v>43.954999999999998</v>
      </c>
      <c r="OQ11" s="11">
        <f t="shared" si="157"/>
        <v>5</v>
      </c>
      <c r="OR11" s="11">
        <f t="shared" ref="OR11" si="162">IF(SUM(OE11:OH11)-OI11&gt;0,SUM(OE11:OH11)-OI11,"")</f>
        <v>23.502499999999998</v>
      </c>
      <c r="OS11" s="11">
        <f t="shared" ref="OS11" si="163">IF(SUM(OP11,OR11)&gt;0,SUM(OP11,OR11),"")</f>
        <v>67.457499999999996</v>
      </c>
    </row>
    <row r="12" spans="1:409" x14ac:dyDescent="0.2">
      <c r="A12" s="5" t="str" cm="1">
        <f t="array" ref="A12">IF(AND(G12&lt;&gt;"",H12&lt;&gt;""),SUMPRODUCT((G$4:G$28&lt;&gt;"")*(H$4:H$28&lt;&gt;"")*(E$4:E$28&gt;E12))+1,IF(H12&lt;&gt;"",SUMPRODUCT((I$4:I$28="No DD")*(E$4:E$28&gt;E12))+1+SUMPRODUCT((G$4:G$28&lt;&gt;"")*(H$4:H$28&lt;&gt;"")),""))</f>
        <v/>
      </c>
      <c r="B12" s="8" t="s">
        <v>97</v>
      </c>
      <c r="C12" s="4" t="s">
        <v>95</v>
      </c>
      <c r="D12" s="26">
        <v>2002</v>
      </c>
      <c r="E12" s="15">
        <f t="shared" si="0"/>
        <v>92.75</v>
      </c>
      <c r="F12" s="3" t="str">
        <f t="shared" si="1"/>
        <v/>
      </c>
      <c r="G12" s="115" t="str">
        <f t="shared" si="2"/>
        <v/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87.12</v>
      </c>
      <c r="L12" s="14" t="str">
        <f t="shared" si="7"/>
        <v>2021 Elite Canada</v>
      </c>
      <c r="M12" s="14">
        <f t="shared" si="8"/>
        <v>40.44</v>
      </c>
      <c r="N12" s="14" t="str">
        <f t="shared" si="9"/>
        <v>2021 Canadian Championships</v>
      </c>
      <c r="O12" s="14">
        <f t="shared" si="10"/>
        <v>46.410000000000004</v>
      </c>
      <c r="P12" s="14" t="str">
        <f t="shared" si="11"/>
        <v>2021 Elite Canada</v>
      </c>
      <c r="Q12" s="14">
        <f>IF(COUNT(AS12,AU12,AX12,BW12,BY12,CB12,DA12,DC12,DF12)&gt;1,LARGE((AS12,AU12,AX12,BW12,BY12,CB12,DA12,DC12,DF12),2),0)</f>
        <v>46.339999999999996</v>
      </c>
      <c r="R12" s="14" t="str">
        <f t="shared" si="12"/>
        <v>2021 Elite Canada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>
        <v>15.2</v>
      </c>
      <c r="W12" s="61">
        <v>8.9</v>
      </c>
      <c r="X12" s="61">
        <v>2.2000000000000002</v>
      </c>
      <c r="Y12" s="61">
        <v>13.195</v>
      </c>
      <c r="Z12" s="61">
        <v>0</v>
      </c>
      <c r="AA12" s="61">
        <v>2.4</v>
      </c>
      <c r="AB12" s="61">
        <v>1.7</v>
      </c>
      <c r="AC12" s="61">
        <v>2.2999999999999998</v>
      </c>
      <c r="AD12" s="61">
        <v>2.6949999999999998</v>
      </c>
      <c r="AE12" s="61">
        <v>0</v>
      </c>
      <c r="AF12" s="61"/>
      <c r="AG12" s="61"/>
      <c r="AH12" s="61"/>
      <c r="AI12" s="61"/>
      <c r="AJ12" s="61"/>
      <c r="AK12" s="61">
        <v>13.9</v>
      </c>
      <c r="AL12" s="61">
        <v>9.3000000000000007</v>
      </c>
      <c r="AM12" s="61">
        <v>10.3</v>
      </c>
      <c r="AN12" s="61">
        <v>12.76</v>
      </c>
      <c r="AO12" s="61">
        <v>0</v>
      </c>
      <c r="AP12" s="72"/>
      <c r="AQ12" s="11">
        <f t="shared" si="16"/>
        <v>39.495000000000005</v>
      </c>
      <c r="AR12" s="11">
        <f t="shared" si="17"/>
        <v>2.2999999999999998</v>
      </c>
      <c r="AS12" s="11">
        <f t="shared" si="18"/>
        <v>9.0949999999999989</v>
      </c>
      <c r="AT12" s="11" t="str">
        <f t="shared" si="19"/>
        <v/>
      </c>
      <c r="AU12" s="11" t="str">
        <f t="shared" si="20"/>
        <v/>
      </c>
      <c r="AV12" s="11">
        <f t="shared" si="21"/>
        <v>48.59</v>
      </c>
      <c r="AW12" s="11">
        <f t="shared" si="22"/>
        <v>10.3</v>
      </c>
      <c r="AX12" s="11">
        <f t="shared" si="23"/>
        <v>46.26</v>
      </c>
      <c r="AY12" s="11">
        <f t="shared" si="24"/>
        <v>94.85</v>
      </c>
      <c r="AZ12" s="67">
        <v>15.7</v>
      </c>
      <c r="BA12" s="67">
        <v>9.5</v>
      </c>
      <c r="BB12" s="67">
        <v>2.2000000000000002</v>
      </c>
      <c r="BC12" s="67">
        <v>13.38</v>
      </c>
      <c r="BD12" s="67">
        <v>0</v>
      </c>
      <c r="BE12" s="67">
        <v>14.8</v>
      </c>
      <c r="BF12" s="67">
        <v>9.1</v>
      </c>
      <c r="BG12" s="67">
        <v>9.6999999999999993</v>
      </c>
      <c r="BH12" s="67">
        <v>12.74</v>
      </c>
      <c r="BI12" s="67">
        <v>0</v>
      </c>
      <c r="BJ12" s="67"/>
      <c r="BK12" s="67"/>
      <c r="BL12" s="67"/>
      <c r="BM12" s="67"/>
      <c r="BN12" s="67"/>
      <c r="BO12" s="67">
        <v>14.8</v>
      </c>
      <c r="BP12" s="67">
        <v>8.9</v>
      </c>
      <c r="BQ12" s="67">
        <v>9.6999999999999993</v>
      </c>
      <c r="BR12" s="67">
        <v>13.01</v>
      </c>
      <c r="BS12" s="67">
        <v>0</v>
      </c>
      <c r="BT12" s="73"/>
      <c r="BU12" s="14">
        <f t="shared" si="25"/>
        <v>40.78</v>
      </c>
      <c r="BV12" s="14">
        <f t="shared" si="26"/>
        <v>9.6999999999999993</v>
      </c>
      <c r="BW12" s="14">
        <f t="shared" si="27"/>
        <v>46.339999999999996</v>
      </c>
      <c r="BX12" s="14" t="str">
        <f t="shared" si="28"/>
        <v/>
      </c>
      <c r="BY12" s="14" t="str">
        <f t="shared" si="29"/>
        <v/>
      </c>
      <c r="BZ12" s="14">
        <f t="shared" si="30"/>
        <v>87.12</v>
      </c>
      <c r="CA12" s="14">
        <f t="shared" si="31"/>
        <v>9.6999999999999993</v>
      </c>
      <c r="CB12" s="14">
        <f t="shared" si="32"/>
        <v>46.410000000000004</v>
      </c>
      <c r="CC12" s="14">
        <f t="shared" si="33"/>
        <v>133.53</v>
      </c>
      <c r="CD12" s="61">
        <v>15.3</v>
      </c>
      <c r="CE12" s="61">
        <v>9.6</v>
      </c>
      <c r="CF12" s="61">
        <v>2.2000000000000002</v>
      </c>
      <c r="CG12" s="61">
        <v>13.34</v>
      </c>
      <c r="CH12" s="61">
        <v>0</v>
      </c>
      <c r="CI12" s="61">
        <v>2.6</v>
      </c>
      <c r="CJ12" s="61">
        <v>1.8</v>
      </c>
      <c r="CK12" s="61">
        <v>2.2999999999999998</v>
      </c>
      <c r="CL12" s="61">
        <v>2.6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 t="shared" si="34"/>
        <v>40.44</v>
      </c>
      <c r="CZ12" s="11">
        <f t="shared" si="35"/>
        <v>2.2999999999999998</v>
      </c>
      <c r="DA12" s="11">
        <f t="shared" si="36"/>
        <v>9.3000000000000007</v>
      </c>
      <c r="DB12" s="11" t="str">
        <f t="shared" si="37"/>
        <v/>
      </c>
      <c r="DC12" s="11" t="str">
        <f t="shared" si="38"/>
        <v/>
      </c>
      <c r="DD12" s="11">
        <f t="shared" si="39"/>
        <v>49.739999999999995</v>
      </c>
      <c r="DE12" s="11" t="str">
        <f t="shared" si="40"/>
        <v/>
      </c>
      <c r="DF12" s="11" t="str">
        <f t="shared" si="41"/>
        <v/>
      </c>
      <c r="DG12" s="11">
        <f t="shared" si="42"/>
        <v>49.739999999999995</v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15.5</v>
      </c>
      <c r="NQ12" s="61">
        <f t="shared" si="132"/>
        <v>9.5500000000000007</v>
      </c>
      <c r="NR12" s="61">
        <f t="shared" si="133"/>
        <v>2.2000000000000002</v>
      </c>
      <c r="NS12" s="61">
        <f t="shared" si="134"/>
        <v>13.36</v>
      </c>
      <c r="NT12" s="61">
        <f t="shared" si="135"/>
        <v>0</v>
      </c>
      <c r="NU12" s="61">
        <f t="shared" si="136"/>
        <v>8.7000000000000011</v>
      </c>
      <c r="NV12" s="61">
        <f t="shared" si="137"/>
        <v>5.45</v>
      </c>
      <c r="NW12" s="61">
        <f t="shared" si="138"/>
        <v>6</v>
      </c>
      <c r="NX12" s="61">
        <f t="shared" si="139"/>
        <v>7.67</v>
      </c>
      <c r="NY12" s="61">
        <f t="shared" si="140"/>
        <v>0</v>
      </c>
      <c r="NZ12" s="61">
        <f t="shared" si="141"/>
        <v>0</v>
      </c>
      <c r="OA12" s="61">
        <f t="shared" si="142"/>
        <v>0</v>
      </c>
      <c r="OB12" s="61">
        <f t="shared" si="143"/>
        <v>0</v>
      </c>
      <c r="OC12" s="61">
        <f t="shared" si="144"/>
        <v>0</v>
      </c>
      <c r="OD12" s="61">
        <f t="shared" si="145"/>
        <v>0</v>
      </c>
      <c r="OE12" s="61">
        <f t="shared" si="146"/>
        <v>7.4</v>
      </c>
      <c r="OF12" s="61">
        <f t="shared" si="147"/>
        <v>4.45</v>
      </c>
      <c r="OG12" s="61">
        <f t="shared" si="148"/>
        <v>4.8499999999999996</v>
      </c>
      <c r="OH12" s="61">
        <f t="shared" si="149"/>
        <v>6.5049999999999999</v>
      </c>
      <c r="OI12" s="61">
        <f t="shared" si="150"/>
        <v>0</v>
      </c>
      <c r="OJ12" s="72" t="s">
        <v>52</v>
      </c>
      <c r="OK12" s="11">
        <f t="shared" si="151"/>
        <v>40.61</v>
      </c>
      <c r="OL12" s="11">
        <f t="shared" si="152"/>
        <v>6</v>
      </c>
      <c r="OM12" s="11">
        <f t="shared" si="153"/>
        <v>27.82</v>
      </c>
      <c r="ON12" s="11" t="str">
        <f t="shared" si="154"/>
        <v/>
      </c>
      <c r="OO12" s="11" t="str">
        <f t="shared" si="155"/>
        <v/>
      </c>
      <c r="OP12" s="11">
        <f t="shared" si="156"/>
        <v>68.430000000000007</v>
      </c>
      <c r="OQ12" s="11">
        <f t="shared" si="157"/>
        <v>4.8499999999999996</v>
      </c>
      <c r="OR12" s="11">
        <f t="shared" ref="OR12" si="164">IF(SUM(OE12:OH12)-OI12&gt;0,SUM(OE12:OH12)-OI12,"")</f>
        <v>23.205000000000002</v>
      </c>
      <c r="OS12" s="11">
        <f t="shared" ref="OS12" si="165">IF(SUM(OP12,OR12)&gt;0,SUM(OP12,OR12),"")</f>
        <v>91.635000000000005</v>
      </c>
    </row>
    <row r="13" spans="1:409" x14ac:dyDescent="0.2">
      <c r="A13" s="5" t="str" cm="1">
        <f t="array" ref="A13">IF(AND(G13&lt;&gt;"",H13&lt;&gt;""),SUMPRODUCT((G$4:G$28&lt;&gt;"")*(H$4:H$28&lt;&gt;"")*(E$4:E$28&gt;E13))+1,IF(H13&lt;&gt;"",SUMPRODUCT((I$4:I$28="No DD")*(E$4:E$28&gt;E13))+1+SUMPRODUCT((G$4:G$28&lt;&gt;"")*(H$4:H$28&lt;&gt;"")),""))</f>
        <v/>
      </c>
      <c r="B13" s="6" t="s">
        <v>81</v>
      </c>
      <c r="C13" s="7" t="s">
        <v>3</v>
      </c>
      <c r="D13" s="7">
        <v>2002</v>
      </c>
      <c r="E13" s="15">
        <f t="shared" si="0"/>
        <v>92.454999999999984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88.94</v>
      </c>
      <c r="L13" s="14" t="str">
        <f t="shared" si="7"/>
        <v>2021 Elite Canada</v>
      </c>
      <c r="M13" s="14">
        <f t="shared" si="8"/>
        <v>44.164999999999999</v>
      </c>
      <c r="N13" s="14" t="str">
        <f t="shared" si="9"/>
        <v>2021 Canadian Championships</v>
      </c>
      <c r="O13" s="14">
        <f t="shared" si="10"/>
        <v>46.389999999999993</v>
      </c>
      <c r="P13" s="14" t="str">
        <f t="shared" si="11"/>
        <v>2021 2nd Virtual Technical Trial</v>
      </c>
      <c r="Q13" s="14">
        <f>IF(COUNT(AS13,AU13,AX13,BW13,BY13,CB13,DA13,DC13,DF13)&gt;1,LARGE((AS13,AU13,AX13,BW13,BY13,CB13,DA13,DC13,DF13),2),0)</f>
        <v>46.064999999999998</v>
      </c>
      <c r="R13" s="14" t="str">
        <f t="shared" si="12"/>
        <v>2021 Canadian Championships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>
        <v>2.9</v>
      </c>
      <c r="W13" s="61">
        <v>1.6</v>
      </c>
      <c r="X13" s="61">
        <v>1.5</v>
      </c>
      <c r="Y13" s="61">
        <v>2.85</v>
      </c>
      <c r="Z13" s="61">
        <v>0</v>
      </c>
      <c r="AA13" s="61">
        <v>11.8</v>
      </c>
      <c r="AB13" s="61">
        <v>7.9</v>
      </c>
      <c r="AC13" s="61">
        <v>9.1</v>
      </c>
      <c r="AD13" s="61">
        <v>12.605</v>
      </c>
      <c r="AE13" s="61">
        <v>0</v>
      </c>
      <c r="AF13" s="61">
        <v>13.7</v>
      </c>
      <c r="AG13" s="61">
        <v>9.1</v>
      </c>
      <c r="AH13" s="61">
        <v>10.5</v>
      </c>
      <c r="AI13" s="61">
        <v>13.79</v>
      </c>
      <c r="AJ13" s="61">
        <v>0.7</v>
      </c>
      <c r="AK13" s="61">
        <v>13.4</v>
      </c>
      <c r="AL13" s="61">
        <v>8.8000000000000007</v>
      </c>
      <c r="AM13" s="61">
        <v>9.8000000000000007</v>
      </c>
      <c r="AN13" s="61">
        <v>13.975</v>
      </c>
      <c r="AO13" s="61">
        <v>1.4</v>
      </c>
      <c r="AP13" s="72"/>
      <c r="AQ13" s="11">
        <f t="shared" si="16"/>
        <v>8.85</v>
      </c>
      <c r="AR13" s="11">
        <f t="shared" si="17"/>
        <v>9.1</v>
      </c>
      <c r="AS13" s="11">
        <f t="shared" si="18"/>
        <v>41.405000000000001</v>
      </c>
      <c r="AT13" s="11">
        <f t="shared" si="19"/>
        <v>10.5</v>
      </c>
      <c r="AU13" s="11">
        <f t="shared" si="20"/>
        <v>46.389999999999993</v>
      </c>
      <c r="AV13" s="11">
        <f t="shared" si="21"/>
        <v>55.239999999999995</v>
      </c>
      <c r="AW13" s="11">
        <f t="shared" si="22"/>
        <v>9.8000000000000007</v>
      </c>
      <c r="AX13" s="11">
        <f t="shared" si="23"/>
        <v>44.575000000000003</v>
      </c>
      <c r="AY13" s="11">
        <f t="shared" si="24"/>
        <v>99.814999999999998</v>
      </c>
      <c r="AZ13" s="67">
        <v>16</v>
      </c>
      <c r="BA13" s="67">
        <v>9.4</v>
      </c>
      <c r="BB13" s="67">
        <v>4</v>
      </c>
      <c r="BC13" s="67">
        <v>14.795</v>
      </c>
      <c r="BD13" s="67">
        <v>0.2</v>
      </c>
      <c r="BE13" s="67">
        <v>15.2</v>
      </c>
      <c r="BF13" s="67">
        <v>9.3000000000000007</v>
      </c>
      <c r="BG13" s="67">
        <v>8.6</v>
      </c>
      <c r="BH13" s="67">
        <v>14.645</v>
      </c>
      <c r="BI13" s="67">
        <v>2.8</v>
      </c>
      <c r="BJ13" s="67">
        <v>0</v>
      </c>
      <c r="BK13" s="67">
        <v>0</v>
      </c>
      <c r="BL13" s="67">
        <v>0</v>
      </c>
      <c r="BM13" s="67">
        <v>0</v>
      </c>
      <c r="BN13" s="67">
        <v>0</v>
      </c>
      <c r="BO13" s="67">
        <v>14.8</v>
      </c>
      <c r="BP13" s="67">
        <v>9.1</v>
      </c>
      <c r="BQ13" s="67">
        <v>9.1999999999999993</v>
      </c>
      <c r="BR13" s="67">
        <v>14.175000000000001</v>
      </c>
      <c r="BS13" s="67">
        <v>2.2000000000000002</v>
      </c>
      <c r="BT13" s="73"/>
      <c r="BU13" s="14">
        <f t="shared" si="25"/>
        <v>43.994999999999997</v>
      </c>
      <c r="BV13" s="14">
        <f t="shared" si="26"/>
        <v>8.6</v>
      </c>
      <c r="BW13" s="14">
        <f t="shared" si="27"/>
        <v>44.945000000000007</v>
      </c>
      <c r="BX13" s="14" t="str">
        <f t="shared" si="28"/>
        <v/>
      </c>
      <c r="BY13" s="14" t="str">
        <f t="shared" si="29"/>
        <v/>
      </c>
      <c r="BZ13" s="14">
        <f t="shared" si="30"/>
        <v>88.94</v>
      </c>
      <c r="CA13" s="14">
        <f t="shared" si="31"/>
        <v>9.1999999999999993</v>
      </c>
      <c r="CB13" s="14">
        <f t="shared" si="32"/>
        <v>45.074999999999989</v>
      </c>
      <c r="CC13" s="14">
        <f t="shared" si="33"/>
        <v>134.01499999999999</v>
      </c>
      <c r="CD13" s="61">
        <v>15.8</v>
      </c>
      <c r="CE13" s="61">
        <v>9.5</v>
      </c>
      <c r="CF13" s="61">
        <v>4</v>
      </c>
      <c r="CG13" s="61">
        <v>14.865</v>
      </c>
      <c r="CH13" s="61">
        <v>0</v>
      </c>
      <c r="CI13" s="61">
        <v>2.6</v>
      </c>
      <c r="CJ13" s="61">
        <v>1.7</v>
      </c>
      <c r="CK13" s="61">
        <v>2.7</v>
      </c>
      <c r="CL13" s="61">
        <v>3.03</v>
      </c>
      <c r="CM13" s="61">
        <v>0</v>
      </c>
      <c r="CN13" s="61">
        <v>11.3</v>
      </c>
      <c r="CO13" s="61">
        <v>6.7</v>
      </c>
      <c r="CP13" s="61">
        <v>7</v>
      </c>
      <c r="CQ13" s="61">
        <v>11.715</v>
      </c>
      <c r="CR13" s="61">
        <v>0</v>
      </c>
      <c r="CS13" s="61">
        <v>13.4</v>
      </c>
      <c r="CT13" s="61">
        <v>8.9</v>
      </c>
      <c r="CU13" s="61">
        <v>10.5</v>
      </c>
      <c r="CV13" s="61">
        <v>13.965</v>
      </c>
      <c r="CW13" s="61">
        <v>0.7</v>
      </c>
      <c r="CX13" s="72"/>
      <c r="CY13" s="11">
        <f t="shared" si="34"/>
        <v>44.164999999999999</v>
      </c>
      <c r="CZ13" s="11">
        <f t="shared" si="35"/>
        <v>2.7</v>
      </c>
      <c r="DA13" s="11">
        <f t="shared" si="36"/>
        <v>10.029999999999999</v>
      </c>
      <c r="DB13" s="11">
        <f t="shared" si="37"/>
        <v>7</v>
      </c>
      <c r="DC13" s="11">
        <f t="shared" si="38"/>
        <v>36.715000000000003</v>
      </c>
      <c r="DD13" s="11">
        <f t="shared" si="39"/>
        <v>80.88</v>
      </c>
      <c r="DE13" s="11">
        <f t="shared" si="40"/>
        <v>10.5</v>
      </c>
      <c r="DF13" s="11">
        <f t="shared" si="41"/>
        <v>46.064999999999998</v>
      </c>
      <c r="DG13" s="11">
        <f t="shared" si="42"/>
        <v>126.94499999999999</v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15.9</v>
      </c>
      <c r="NQ13" s="61">
        <f t="shared" si="132"/>
        <v>9.4499999999999993</v>
      </c>
      <c r="NR13" s="61">
        <f t="shared" si="133"/>
        <v>4</v>
      </c>
      <c r="NS13" s="61">
        <f t="shared" si="134"/>
        <v>14.83</v>
      </c>
      <c r="NT13" s="61">
        <f t="shared" si="135"/>
        <v>0.1</v>
      </c>
      <c r="NU13" s="61">
        <f t="shared" si="136"/>
        <v>8.9</v>
      </c>
      <c r="NV13" s="61">
        <f t="shared" si="137"/>
        <v>5.5</v>
      </c>
      <c r="NW13" s="61">
        <f t="shared" si="138"/>
        <v>5.65</v>
      </c>
      <c r="NX13" s="61">
        <f t="shared" si="139"/>
        <v>8.8375000000000004</v>
      </c>
      <c r="NY13" s="61">
        <f t="shared" si="140"/>
        <v>1.4</v>
      </c>
      <c r="NZ13" s="61">
        <f t="shared" si="141"/>
        <v>5.65</v>
      </c>
      <c r="OA13" s="61">
        <f t="shared" si="142"/>
        <v>3.35</v>
      </c>
      <c r="OB13" s="61">
        <f t="shared" si="143"/>
        <v>3.5</v>
      </c>
      <c r="OC13" s="61">
        <f t="shared" si="144"/>
        <v>5.8574999999999999</v>
      </c>
      <c r="OD13" s="61">
        <f t="shared" si="145"/>
        <v>0</v>
      </c>
      <c r="OE13" s="61">
        <f t="shared" si="146"/>
        <v>14.100000000000001</v>
      </c>
      <c r="OF13" s="61">
        <f t="shared" si="147"/>
        <v>9</v>
      </c>
      <c r="OG13" s="61">
        <f t="shared" si="148"/>
        <v>9.85</v>
      </c>
      <c r="OH13" s="61">
        <f t="shared" si="149"/>
        <v>14.07</v>
      </c>
      <c r="OI13" s="61">
        <f t="shared" si="150"/>
        <v>1.4500000000000002</v>
      </c>
      <c r="OJ13" s="72" t="s">
        <v>52</v>
      </c>
      <c r="OK13" s="11">
        <f t="shared" si="151"/>
        <v>44.08</v>
      </c>
      <c r="OL13" s="11">
        <f t="shared" si="152"/>
        <v>5.65</v>
      </c>
      <c r="OM13" s="11">
        <f t="shared" si="153"/>
        <v>27.487500000000004</v>
      </c>
      <c r="ON13" s="11">
        <f t="shared" si="154"/>
        <v>3.5</v>
      </c>
      <c r="OO13" s="11">
        <f t="shared" si="155"/>
        <v>18.357500000000002</v>
      </c>
      <c r="OP13" s="11">
        <f t="shared" si="156"/>
        <v>71.567499999999995</v>
      </c>
      <c r="OQ13" s="11">
        <f t="shared" si="157"/>
        <v>9.85</v>
      </c>
      <c r="OR13" s="11">
        <f t="shared" ref="OR13" si="166">IF(SUM(OE13:OH13)-OI13&gt;0,SUM(OE13:OH13)-OI13,"")</f>
        <v>45.57</v>
      </c>
      <c r="OS13" s="11">
        <f t="shared" ref="OS13" si="167">IF(SUM(OP13,OR13)&gt;0,SUM(OP13,OR13),"")</f>
        <v>117.13749999999999</v>
      </c>
    </row>
    <row r="14" spans="1:409" x14ac:dyDescent="0.2">
      <c r="A14" s="5" t="str" cm="1">
        <f t="array" ref="A14">IF(AND(G14&lt;&gt;"",H14&lt;&gt;""),SUMPRODUCT((G$4:G$28&lt;&gt;"")*(H$4:H$28&lt;&gt;"")*(E$4:E$28&gt;E14))+1,IF(H14&lt;&gt;"",SUMPRODUCT((I$4:I$28="No DD")*(E$4:E$28&gt;E14))+1+SUMPRODUCT((G$4:G$28&lt;&gt;"")*(H$4:H$28&lt;&gt;"")),""))</f>
        <v/>
      </c>
      <c r="B14" s="8" t="s">
        <v>99</v>
      </c>
      <c r="C14" s="4" t="s">
        <v>5</v>
      </c>
      <c r="D14" s="26">
        <v>2000</v>
      </c>
      <c r="E14" s="15">
        <f t="shared" si="0"/>
        <v>92.14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87.965000000000003</v>
      </c>
      <c r="L14" s="14" t="str">
        <f t="shared" si="7"/>
        <v>2021 2nd Virtual Technical Trial</v>
      </c>
      <c r="M14" s="14">
        <f t="shared" si="8"/>
        <v>41.475000000000001</v>
      </c>
      <c r="N14" s="14" t="str">
        <f t="shared" si="9"/>
        <v>2021 Canadian Championships</v>
      </c>
      <c r="O14" s="14">
        <f t="shared" si="10"/>
        <v>46.474999999999994</v>
      </c>
      <c r="P14" s="14" t="str">
        <f t="shared" si="11"/>
        <v>2021 2nd Virtual Technical Trial</v>
      </c>
      <c r="Q14" s="14">
        <f>IF(COUNT(AS14,AU14,AX14,BW14,BY14,CB14,DA14,DC14,DF14)&gt;1,LARGE((AS14,AU14,AX14,BW14,BY14,CB14,DA14,DC14,DF14),2),0)</f>
        <v>45.665000000000006</v>
      </c>
      <c r="R14" s="14" t="str">
        <f t="shared" si="12"/>
        <v>2021 Elite Canada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>
        <v>15.9</v>
      </c>
      <c r="W14" s="61">
        <v>9.6</v>
      </c>
      <c r="X14" s="61">
        <v>2</v>
      </c>
      <c r="Y14" s="61">
        <v>13.99</v>
      </c>
      <c r="Z14" s="61">
        <v>0</v>
      </c>
      <c r="AA14" s="61">
        <v>14.1</v>
      </c>
      <c r="AB14" s="61">
        <v>8.9</v>
      </c>
      <c r="AC14" s="61">
        <v>9.8000000000000007</v>
      </c>
      <c r="AD14" s="61">
        <v>13.675000000000001</v>
      </c>
      <c r="AE14" s="61">
        <v>0</v>
      </c>
      <c r="AF14" s="61"/>
      <c r="AG14" s="61"/>
      <c r="AH14" s="61"/>
      <c r="AI14" s="61"/>
      <c r="AJ14" s="61"/>
      <c r="AK14" s="61">
        <v>6.8</v>
      </c>
      <c r="AL14" s="61">
        <v>4.4000000000000004</v>
      </c>
      <c r="AM14" s="61">
        <v>5.2</v>
      </c>
      <c r="AN14" s="61">
        <v>6.6950000000000003</v>
      </c>
      <c r="AO14" s="61">
        <v>0</v>
      </c>
      <c r="AP14" s="72"/>
      <c r="AQ14" s="11">
        <f t="shared" si="16"/>
        <v>41.49</v>
      </c>
      <c r="AR14" s="11">
        <f t="shared" si="17"/>
        <v>9.8000000000000007</v>
      </c>
      <c r="AS14" s="11">
        <f t="shared" si="18"/>
        <v>46.474999999999994</v>
      </c>
      <c r="AT14" s="11" t="str">
        <f t="shared" si="19"/>
        <v/>
      </c>
      <c r="AU14" s="11" t="str">
        <f t="shared" si="20"/>
        <v/>
      </c>
      <c r="AV14" s="11">
        <f t="shared" si="21"/>
        <v>87.965000000000003</v>
      </c>
      <c r="AW14" s="11">
        <f t="shared" si="22"/>
        <v>5.2</v>
      </c>
      <c r="AX14" s="11">
        <f t="shared" si="23"/>
        <v>23.094999999999999</v>
      </c>
      <c r="AY14" s="11">
        <f t="shared" si="24"/>
        <v>111.06</v>
      </c>
      <c r="AZ14" s="67">
        <v>14.5</v>
      </c>
      <c r="BA14" s="67">
        <v>8.4</v>
      </c>
      <c r="BB14" s="67">
        <v>0.8</v>
      </c>
      <c r="BC14" s="67">
        <v>14.164999999999999</v>
      </c>
      <c r="BD14" s="67">
        <v>0</v>
      </c>
      <c r="BE14" s="67">
        <v>13.5</v>
      </c>
      <c r="BF14" s="67">
        <v>9.1</v>
      </c>
      <c r="BG14" s="67">
        <v>9.8000000000000007</v>
      </c>
      <c r="BH14" s="67">
        <v>13.265000000000001</v>
      </c>
      <c r="BI14" s="67">
        <v>0</v>
      </c>
      <c r="BJ14" s="67"/>
      <c r="BK14" s="67"/>
      <c r="BL14" s="67"/>
      <c r="BM14" s="67"/>
      <c r="BN14" s="67"/>
      <c r="BO14" s="67">
        <v>14.1</v>
      </c>
      <c r="BP14" s="67">
        <v>9</v>
      </c>
      <c r="BQ14" s="67">
        <v>8.5</v>
      </c>
      <c r="BR14" s="67">
        <v>13</v>
      </c>
      <c r="BS14" s="67">
        <v>0.3</v>
      </c>
      <c r="BT14" s="73"/>
      <c r="BU14" s="14">
        <f t="shared" si="25"/>
        <v>37.864999999999995</v>
      </c>
      <c r="BV14" s="14">
        <f t="shared" si="26"/>
        <v>9.8000000000000007</v>
      </c>
      <c r="BW14" s="14">
        <f t="shared" si="27"/>
        <v>45.665000000000006</v>
      </c>
      <c r="BX14" s="14" t="str">
        <f t="shared" si="28"/>
        <v/>
      </c>
      <c r="BY14" s="14" t="str">
        <f t="shared" si="29"/>
        <v/>
      </c>
      <c r="BZ14" s="14">
        <f t="shared" si="30"/>
        <v>83.53</v>
      </c>
      <c r="CA14" s="14">
        <f t="shared" si="31"/>
        <v>8.5</v>
      </c>
      <c r="CB14" s="14">
        <f t="shared" si="32"/>
        <v>44.300000000000004</v>
      </c>
      <c r="CC14" s="14">
        <f t="shared" si="33"/>
        <v>127.83000000000001</v>
      </c>
      <c r="CD14" s="61">
        <v>16</v>
      </c>
      <c r="CE14" s="61">
        <v>9.5</v>
      </c>
      <c r="CF14" s="61">
        <v>2</v>
      </c>
      <c r="CG14" s="61">
        <v>13.975</v>
      </c>
      <c r="CH14" s="61">
        <v>0</v>
      </c>
      <c r="CI14" s="61">
        <v>4.5</v>
      </c>
      <c r="CJ14" s="61">
        <v>2.5</v>
      </c>
      <c r="CK14" s="61">
        <v>2.6</v>
      </c>
      <c r="CL14" s="61">
        <v>4.2</v>
      </c>
      <c r="CM14" s="61">
        <v>0</v>
      </c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>
        <f t="shared" si="34"/>
        <v>41.475000000000001</v>
      </c>
      <c r="CZ14" s="11">
        <f t="shared" si="35"/>
        <v>2.6</v>
      </c>
      <c r="DA14" s="11">
        <f t="shared" si="36"/>
        <v>13.8</v>
      </c>
      <c r="DB14" s="11" t="str">
        <f t="shared" si="37"/>
        <v/>
      </c>
      <c r="DC14" s="11" t="str">
        <f t="shared" si="38"/>
        <v/>
      </c>
      <c r="DD14" s="11">
        <f t="shared" si="39"/>
        <v>55.275000000000006</v>
      </c>
      <c r="DE14" s="11" t="str">
        <f t="shared" si="40"/>
        <v/>
      </c>
      <c r="DF14" s="11" t="str">
        <f t="shared" si="41"/>
        <v/>
      </c>
      <c r="DG14" s="11">
        <f t="shared" si="42"/>
        <v>55.275000000000006</v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15.25</v>
      </c>
      <c r="NQ14" s="61">
        <f t="shared" si="132"/>
        <v>8.9499999999999993</v>
      </c>
      <c r="NR14" s="61">
        <f t="shared" si="133"/>
        <v>1.4</v>
      </c>
      <c r="NS14" s="61">
        <f t="shared" si="134"/>
        <v>14.07</v>
      </c>
      <c r="NT14" s="61">
        <f t="shared" si="135"/>
        <v>0</v>
      </c>
      <c r="NU14" s="61">
        <f t="shared" si="136"/>
        <v>9</v>
      </c>
      <c r="NV14" s="61">
        <f t="shared" si="137"/>
        <v>5.8</v>
      </c>
      <c r="NW14" s="61">
        <f t="shared" si="138"/>
        <v>6.2</v>
      </c>
      <c r="NX14" s="61">
        <f t="shared" si="139"/>
        <v>8.7324999999999999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7.05</v>
      </c>
      <c r="OF14" s="61">
        <f t="shared" si="147"/>
        <v>4.5</v>
      </c>
      <c r="OG14" s="61">
        <f t="shared" si="148"/>
        <v>4.25</v>
      </c>
      <c r="OH14" s="61">
        <f t="shared" si="149"/>
        <v>6.5</v>
      </c>
      <c r="OI14" s="61">
        <f t="shared" si="150"/>
        <v>0.15</v>
      </c>
      <c r="OJ14" s="72" t="s">
        <v>52</v>
      </c>
      <c r="OK14" s="11">
        <f t="shared" si="151"/>
        <v>39.67</v>
      </c>
      <c r="OL14" s="11">
        <f t="shared" si="152"/>
        <v>6.2</v>
      </c>
      <c r="OM14" s="11">
        <f t="shared" si="153"/>
        <v>29.732500000000002</v>
      </c>
      <c r="ON14" s="11" t="str">
        <f t="shared" si="154"/>
        <v/>
      </c>
      <c r="OO14" s="11" t="str">
        <f t="shared" si="155"/>
        <v/>
      </c>
      <c r="OP14" s="11">
        <f t="shared" si="156"/>
        <v>69.402500000000003</v>
      </c>
      <c r="OQ14" s="11">
        <f t="shared" si="157"/>
        <v>4.25</v>
      </c>
      <c r="OR14" s="11">
        <f t="shared" ref="OR14" si="168">IF(SUM(OE14:OH14)-OI14&gt;0,SUM(OE14:OH14)-OI14,"")</f>
        <v>22.150000000000002</v>
      </c>
      <c r="OS14" s="11">
        <f t="shared" ref="OS14" si="169">IF(SUM(OP14,OR14)&gt;0,SUM(OP14,OR14),"")</f>
        <v>91.552500000000009</v>
      </c>
    </row>
    <row r="15" spans="1:409" x14ac:dyDescent="0.2">
      <c r="A15" s="5" t="str" cm="1">
        <f t="array" ref="A15">IF(AND(G15&lt;&gt;"",H15&lt;&gt;""),SUMPRODUCT((G$4:G$28&lt;&gt;"")*(H$4:H$28&lt;&gt;"")*(E$4:E$28&gt;E15))+1,IF(H15&lt;&gt;"",SUMPRODUCT((I$4:I$28="No DD")*(E$4:E$28&gt;E15))+1+SUMPRODUCT((G$4:G$28&lt;&gt;"")*(H$4:H$28&lt;&gt;"")),""))</f>
        <v/>
      </c>
      <c r="B15" s="8" t="s">
        <v>98</v>
      </c>
      <c r="C15" s="4" t="s">
        <v>4</v>
      </c>
      <c r="D15" s="26">
        <v>2004</v>
      </c>
      <c r="E15" s="15">
        <f t="shared" si="0"/>
        <v>91.88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87.259999999999991</v>
      </c>
      <c r="L15" s="14" t="str">
        <f t="shared" si="7"/>
        <v>2021 2nd Virtual Technical Trial</v>
      </c>
      <c r="M15" s="14">
        <f t="shared" si="8"/>
        <v>42.26</v>
      </c>
      <c r="N15" s="14" t="str">
        <f t="shared" si="9"/>
        <v>2021 Canadian Championships</v>
      </c>
      <c r="O15" s="14">
        <f t="shared" si="10"/>
        <v>46.98</v>
      </c>
      <c r="P15" s="14" t="str">
        <f t="shared" si="11"/>
        <v>2021 2nd Virtual Technical Trial</v>
      </c>
      <c r="Q15" s="14">
        <f>IF(COUNT(AS15,AU15,AX15,BW15,BY15,CB15,DA15,DC15,DF15)&gt;1,LARGE((AS15,AU15,AX15,BW15,BY15,CB15,DA15,DC15,DF15),2),0)</f>
        <v>44.9</v>
      </c>
      <c r="R15" s="14" t="str">
        <f t="shared" si="12"/>
        <v>2021 2nd Virtual Technical Trial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>
        <v>15.7</v>
      </c>
      <c r="W15" s="61">
        <v>9.3000000000000007</v>
      </c>
      <c r="X15" s="61">
        <v>2</v>
      </c>
      <c r="Y15" s="61">
        <v>15.36</v>
      </c>
      <c r="Z15" s="61">
        <v>0</v>
      </c>
      <c r="AA15" s="61">
        <v>12.6</v>
      </c>
      <c r="AB15" s="61">
        <v>8.9</v>
      </c>
      <c r="AC15" s="61">
        <v>8.6999999999999993</v>
      </c>
      <c r="AD15" s="61">
        <v>14.8</v>
      </c>
      <c r="AE15" s="61">
        <v>0.1</v>
      </c>
      <c r="AF15" s="61"/>
      <c r="AG15" s="61"/>
      <c r="AH15" s="61"/>
      <c r="AI15" s="61"/>
      <c r="AJ15" s="61"/>
      <c r="AK15" s="61">
        <v>14</v>
      </c>
      <c r="AL15" s="61">
        <v>8.6999999999999993</v>
      </c>
      <c r="AM15" s="61">
        <v>9.6</v>
      </c>
      <c r="AN15" s="61">
        <v>14.68</v>
      </c>
      <c r="AO15" s="61">
        <v>0</v>
      </c>
      <c r="AP15" s="72"/>
      <c r="AQ15" s="11">
        <f t="shared" si="16"/>
        <v>42.36</v>
      </c>
      <c r="AR15" s="11">
        <f t="shared" si="17"/>
        <v>8.6999999999999993</v>
      </c>
      <c r="AS15" s="11">
        <f t="shared" si="18"/>
        <v>44.9</v>
      </c>
      <c r="AT15" s="11" t="str">
        <f t="shared" si="19"/>
        <v/>
      </c>
      <c r="AU15" s="11" t="str">
        <f t="shared" si="20"/>
        <v/>
      </c>
      <c r="AV15" s="11">
        <f t="shared" si="21"/>
        <v>87.259999999999991</v>
      </c>
      <c r="AW15" s="11">
        <f t="shared" si="22"/>
        <v>9.6</v>
      </c>
      <c r="AX15" s="11">
        <f t="shared" si="23"/>
        <v>46.98</v>
      </c>
      <c r="AY15" s="11">
        <f t="shared" si="24"/>
        <v>134.23999999999998</v>
      </c>
      <c r="AZ15" s="67">
        <v>14.5</v>
      </c>
      <c r="BA15" s="67">
        <v>9.1999999999999993</v>
      </c>
      <c r="BB15" s="67">
        <v>2.9</v>
      </c>
      <c r="BC15" s="67">
        <v>15.175000000000001</v>
      </c>
      <c r="BD15" s="67">
        <v>0</v>
      </c>
      <c r="BE15" s="67">
        <v>7.4</v>
      </c>
      <c r="BF15" s="67">
        <v>4.3</v>
      </c>
      <c r="BG15" s="67">
        <v>5.3</v>
      </c>
      <c r="BH15" s="67">
        <v>7.35</v>
      </c>
      <c r="BI15" s="67">
        <v>0</v>
      </c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>
        <f t="shared" si="25"/>
        <v>41.774999999999999</v>
      </c>
      <c r="BV15" s="14">
        <f t="shared" si="26"/>
        <v>5.3</v>
      </c>
      <c r="BW15" s="14">
        <f t="shared" si="27"/>
        <v>24.35</v>
      </c>
      <c r="BX15" s="14" t="str">
        <f t="shared" si="28"/>
        <v/>
      </c>
      <c r="BY15" s="14" t="str">
        <f t="shared" si="29"/>
        <v/>
      </c>
      <c r="BZ15" s="14">
        <f t="shared" si="30"/>
        <v>66.125</v>
      </c>
      <c r="CA15" s="14" t="str">
        <f t="shared" si="31"/>
        <v/>
      </c>
      <c r="CB15" s="14" t="str">
        <f t="shared" si="32"/>
        <v/>
      </c>
      <c r="CC15" s="14">
        <f t="shared" si="33"/>
        <v>66.125</v>
      </c>
      <c r="CD15" s="61">
        <v>15.1</v>
      </c>
      <c r="CE15" s="61">
        <v>8.8000000000000007</v>
      </c>
      <c r="CF15" s="61">
        <v>2.9</v>
      </c>
      <c r="CG15" s="61">
        <v>15.46</v>
      </c>
      <c r="CH15" s="61">
        <v>0</v>
      </c>
      <c r="CI15" s="61">
        <v>3</v>
      </c>
      <c r="CJ15" s="61">
        <v>1.7</v>
      </c>
      <c r="CK15" s="61">
        <v>2.5</v>
      </c>
      <c r="CL15" s="61">
        <v>3.165</v>
      </c>
      <c r="CM15" s="61">
        <v>0</v>
      </c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>
        <f t="shared" si="34"/>
        <v>42.26</v>
      </c>
      <c r="CZ15" s="11">
        <f t="shared" si="35"/>
        <v>2.5</v>
      </c>
      <c r="DA15" s="11">
        <f t="shared" si="36"/>
        <v>10.365</v>
      </c>
      <c r="DB15" s="11" t="str">
        <f t="shared" si="37"/>
        <v/>
      </c>
      <c r="DC15" s="11" t="str">
        <f t="shared" si="38"/>
        <v/>
      </c>
      <c r="DD15" s="11">
        <f t="shared" si="39"/>
        <v>52.625</v>
      </c>
      <c r="DE15" s="11" t="str">
        <f t="shared" si="40"/>
        <v/>
      </c>
      <c r="DF15" s="11" t="str">
        <f t="shared" si="41"/>
        <v/>
      </c>
      <c r="DG15" s="11">
        <f t="shared" si="42"/>
        <v>52.625</v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14.8</v>
      </c>
      <c r="NQ15" s="61">
        <f t="shared" si="132"/>
        <v>9</v>
      </c>
      <c r="NR15" s="61">
        <f t="shared" si="133"/>
        <v>2.9</v>
      </c>
      <c r="NS15" s="61">
        <f t="shared" si="134"/>
        <v>15.317500000000001</v>
      </c>
      <c r="NT15" s="61">
        <f t="shared" si="135"/>
        <v>0</v>
      </c>
      <c r="NU15" s="61">
        <f t="shared" si="136"/>
        <v>5.2</v>
      </c>
      <c r="NV15" s="61">
        <f t="shared" si="137"/>
        <v>3</v>
      </c>
      <c r="NW15" s="61">
        <f t="shared" si="138"/>
        <v>3.9</v>
      </c>
      <c r="NX15" s="61">
        <f t="shared" si="139"/>
        <v>5.2575000000000003</v>
      </c>
      <c r="NY15" s="61">
        <f t="shared" si="140"/>
        <v>0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0</v>
      </c>
      <c r="OF15" s="61">
        <f t="shared" si="147"/>
        <v>0</v>
      </c>
      <c r="OG15" s="61">
        <f t="shared" si="148"/>
        <v>0</v>
      </c>
      <c r="OH15" s="61">
        <f t="shared" si="149"/>
        <v>0</v>
      </c>
      <c r="OI15" s="61">
        <f t="shared" si="150"/>
        <v>0</v>
      </c>
      <c r="OJ15" s="72" t="s">
        <v>52</v>
      </c>
      <c r="OK15" s="11">
        <f t="shared" si="151"/>
        <v>42.017499999999998</v>
      </c>
      <c r="OL15" s="11">
        <f t="shared" si="152"/>
        <v>3.9</v>
      </c>
      <c r="OM15" s="11">
        <f t="shared" si="153"/>
        <v>17.357500000000002</v>
      </c>
      <c r="ON15" s="11" t="str">
        <f t="shared" si="154"/>
        <v/>
      </c>
      <c r="OO15" s="11" t="str">
        <f t="shared" si="155"/>
        <v/>
      </c>
      <c r="OP15" s="11">
        <f t="shared" si="156"/>
        <v>59.375</v>
      </c>
      <c r="OQ15" s="11" t="str">
        <f t="shared" si="157"/>
        <v/>
      </c>
      <c r="OR15" s="11" t="str">
        <f t="shared" ref="OR15" si="170">IF(SUM(OE15:OH15)-OI15&gt;0,SUM(OE15:OH15)-OI15,"")</f>
        <v/>
      </c>
      <c r="OS15" s="11">
        <f t="shared" ref="OS15" si="171">IF(SUM(OP15,OR15)&gt;0,SUM(OP15,OR15),"")</f>
        <v>59.375</v>
      </c>
    </row>
    <row r="16" spans="1:409" x14ac:dyDescent="0.2">
      <c r="A16" s="5" t="str" cm="1">
        <f t="array" ref="A16">IF(AND(G16&lt;&gt;"",H16&lt;&gt;""),SUMPRODUCT((G$4:G$28&lt;&gt;"")*(H$4:H$28&lt;&gt;"")*(E$4:E$28&gt;E16))+1,IF(H16&lt;&gt;"",SUMPRODUCT((I$4:I$28="No DD")*(E$4:E$28&gt;E16))+1+SUMPRODUCT((G$4:G$28&lt;&gt;"")*(H$4:H$28&lt;&gt;"")),""))</f>
        <v/>
      </c>
      <c r="B16" s="6" t="s">
        <v>141</v>
      </c>
      <c r="C16" s="7" t="s">
        <v>6</v>
      </c>
      <c r="D16" s="26">
        <v>2003</v>
      </c>
      <c r="E16" s="15">
        <f t="shared" si="0"/>
        <v>90.47999999999999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86.9</v>
      </c>
      <c r="L16" s="14" t="str">
        <f t="shared" si="7"/>
        <v>2021 Canadian Championships</v>
      </c>
      <c r="M16" s="14">
        <f t="shared" si="8"/>
        <v>40.260000000000005</v>
      </c>
      <c r="N16" s="14" t="str">
        <f t="shared" si="9"/>
        <v>2021 Elite Canada</v>
      </c>
      <c r="O16" s="14">
        <f t="shared" si="10"/>
        <v>45.79</v>
      </c>
      <c r="P16" s="14" t="str">
        <f t="shared" si="11"/>
        <v>2021 Canadian Championships</v>
      </c>
      <c r="Q16" s="14">
        <f>IF(COUNT(AS16,AU16,AX16,BW16,BY16,CB16,DA16,DC16,DF16)&gt;1,LARGE((AS16,AU16,AX16,BW16,BY16,CB16,DA16,DC16,DF16),2),0)</f>
        <v>44.69</v>
      </c>
      <c r="R16" s="14" t="str">
        <f t="shared" si="12"/>
        <v>2021 Elite Canada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11" t="str">
        <f t="shared" si="19"/>
        <v/>
      </c>
      <c r="AU16" s="11" t="str">
        <f t="shared" si="20"/>
        <v/>
      </c>
      <c r="AV16" s="11" t="str">
        <f t="shared" si="21"/>
        <v/>
      </c>
      <c r="AW16" s="11" t="str">
        <f t="shared" si="22"/>
        <v/>
      </c>
      <c r="AX16" s="11" t="str">
        <f t="shared" si="23"/>
        <v/>
      </c>
      <c r="AY16" s="11" t="str">
        <f t="shared" si="24"/>
        <v/>
      </c>
      <c r="AZ16" s="67">
        <v>16</v>
      </c>
      <c r="BA16" s="67">
        <v>9</v>
      </c>
      <c r="BB16" s="67">
        <v>1.8</v>
      </c>
      <c r="BC16" s="67">
        <v>13.46</v>
      </c>
      <c r="BD16" s="67">
        <v>0</v>
      </c>
      <c r="BE16" s="67">
        <v>15.4</v>
      </c>
      <c r="BF16" s="67">
        <v>9.4</v>
      </c>
      <c r="BG16" s="67">
        <v>7.8</v>
      </c>
      <c r="BH16" s="67">
        <v>13.09</v>
      </c>
      <c r="BI16" s="67">
        <v>1</v>
      </c>
      <c r="BJ16" s="67"/>
      <c r="BK16" s="67"/>
      <c r="BL16" s="67"/>
      <c r="BM16" s="67"/>
      <c r="BN16" s="67"/>
      <c r="BO16" s="67">
        <v>1.6</v>
      </c>
      <c r="BP16" s="67">
        <v>1</v>
      </c>
      <c r="BQ16" s="67">
        <v>1.3</v>
      </c>
      <c r="BR16" s="67">
        <v>1.4350000000000001</v>
      </c>
      <c r="BS16" s="67">
        <v>0</v>
      </c>
      <c r="BT16" s="73"/>
      <c r="BU16" s="14">
        <f t="shared" si="25"/>
        <v>40.260000000000005</v>
      </c>
      <c r="BV16" s="14">
        <f t="shared" si="26"/>
        <v>7.8</v>
      </c>
      <c r="BW16" s="14">
        <f t="shared" si="27"/>
        <v>44.69</v>
      </c>
      <c r="BX16" s="14" t="str">
        <f t="shared" si="28"/>
        <v/>
      </c>
      <c r="BY16" s="14" t="str">
        <f t="shared" si="29"/>
        <v/>
      </c>
      <c r="BZ16" s="14">
        <f t="shared" si="30"/>
        <v>84.95</v>
      </c>
      <c r="CA16" s="14">
        <f t="shared" si="31"/>
        <v>1.3</v>
      </c>
      <c r="CB16" s="14">
        <f t="shared" si="32"/>
        <v>5.3350000000000009</v>
      </c>
      <c r="CC16" s="14">
        <f t="shared" si="33"/>
        <v>90.284999999999997</v>
      </c>
      <c r="CD16" s="61">
        <v>15.9</v>
      </c>
      <c r="CE16" s="61">
        <v>9.6999999999999993</v>
      </c>
      <c r="CF16" s="61">
        <v>2</v>
      </c>
      <c r="CG16" s="61">
        <v>13.51</v>
      </c>
      <c r="CH16" s="61">
        <v>0</v>
      </c>
      <c r="CI16" s="61">
        <v>14.4</v>
      </c>
      <c r="CJ16" s="61">
        <v>9.4</v>
      </c>
      <c r="CK16" s="61">
        <v>8.8000000000000007</v>
      </c>
      <c r="CL16" s="61">
        <v>13.19</v>
      </c>
      <c r="CM16" s="61">
        <v>0</v>
      </c>
      <c r="CN16" s="61"/>
      <c r="CO16" s="61"/>
      <c r="CP16" s="61"/>
      <c r="CQ16" s="61"/>
      <c r="CR16" s="61"/>
      <c r="CS16" s="61">
        <v>13.7</v>
      </c>
      <c r="CT16" s="61">
        <v>9</v>
      </c>
      <c r="CU16" s="61">
        <v>8.1999999999999993</v>
      </c>
      <c r="CV16" s="61">
        <v>13.074999999999999</v>
      </c>
      <c r="CW16" s="61">
        <v>0.6</v>
      </c>
      <c r="CX16" s="72"/>
      <c r="CY16" s="11">
        <f t="shared" si="34"/>
        <v>41.11</v>
      </c>
      <c r="CZ16" s="11">
        <f t="shared" si="35"/>
        <v>8.8000000000000007</v>
      </c>
      <c r="DA16" s="11">
        <f t="shared" si="36"/>
        <v>45.79</v>
      </c>
      <c r="DB16" s="11" t="str">
        <f t="shared" si="37"/>
        <v/>
      </c>
      <c r="DC16" s="11" t="str">
        <f t="shared" si="38"/>
        <v/>
      </c>
      <c r="DD16" s="11">
        <f t="shared" si="39"/>
        <v>86.9</v>
      </c>
      <c r="DE16" s="11">
        <f t="shared" si="40"/>
        <v>8.1999999999999993</v>
      </c>
      <c r="DF16" s="11">
        <f t="shared" si="41"/>
        <v>43.374999999999993</v>
      </c>
      <c r="DG16" s="11">
        <f t="shared" si="42"/>
        <v>130.27500000000001</v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15.95</v>
      </c>
      <c r="NQ16" s="61">
        <f t="shared" si="132"/>
        <v>9.35</v>
      </c>
      <c r="NR16" s="61">
        <f t="shared" si="133"/>
        <v>1.9</v>
      </c>
      <c r="NS16" s="61">
        <f t="shared" si="134"/>
        <v>13.484999999999999</v>
      </c>
      <c r="NT16" s="61">
        <f t="shared" si="135"/>
        <v>0</v>
      </c>
      <c r="NU16" s="61">
        <f t="shared" si="136"/>
        <v>14.9</v>
      </c>
      <c r="NV16" s="61">
        <f t="shared" si="137"/>
        <v>9.4</v>
      </c>
      <c r="NW16" s="61">
        <f t="shared" si="138"/>
        <v>8.3000000000000007</v>
      </c>
      <c r="NX16" s="61">
        <f t="shared" si="139"/>
        <v>13.14</v>
      </c>
      <c r="NY16" s="61">
        <f t="shared" si="140"/>
        <v>0.5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7.6499999999999995</v>
      </c>
      <c r="OF16" s="61">
        <f t="shared" si="147"/>
        <v>5</v>
      </c>
      <c r="OG16" s="61">
        <f t="shared" si="148"/>
        <v>4.75</v>
      </c>
      <c r="OH16" s="61">
        <f t="shared" si="149"/>
        <v>7.2549999999999999</v>
      </c>
      <c r="OI16" s="61">
        <f t="shared" si="150"/>
        <v>0.3</v>
      </c>
      <c r="OJ16" s="72" t="s">
        <v>52</v>
      </c>
      <c r="OK16" s="11">
        <f t="shared" si="151"/>
        <v>40.684999999999995</v>
      </c>
      <c r="OL16" s="11">
        <f t="shared" si="152"/>
        <v>8.3000000000000007</v>
      </c>
      <c r="OM16" s="11">
        <f t="shared" si="153"/>
        <v>45.24</v>
      </c>
      <c r="ON16" s="11" t="str">
        <f t="shared" si="154"/>
        <v/>
      </c>
      <c r="OO16" s="11" t="str">
        <f t="shared" si="155"/>
        <v/>
      </c>
      <c r="OP16" s="11">
        <f t="shared" si="156"/>
        <v>85.924999999999997</v>
      </c>
      <c r="OQ16" s="11">
        <f t="shared" si="157"/>
        <v>4.75</v>
      </c>
      <c r="OR16" s="11">
        <f t="shared" ref="OR16" si="172">IF(SUM(OE16:OH16)-OI16&gt;0,SUM(OE16:OH16)-OI16,"")</f>
        <v>24.354999999999997</v>
      </c>
      <c r="OS16" s="11">
        <f t="shared" ref="OS16" si="173">IF(SUM(OP16,OR16)&gt;0,SUM(OP16,OR16),"")</f>
        <v>110.28</v>
      </c>
    </row>
    <row r="17" spans="1:409" x14ac:dyDescent="0.2">
      <c r="A17" s="5" t="str" cm="1">
        <f t="array" ref="A17">IF(AND(G17&lt;&gt;"",H17&lt;&gt;""),SUMPRODUCT((G$4:G$28&lt;&gt;"")*(H$4:H$28&lt;&gt;"")*(E$4:E$28&gt;E17))+1,IF(H17&lt;&gt;"",SUMPRODUCT((I$4:I$28="No DD")*(E$4:E$28&gt;E17))+1+SUMPRODUCT((G$4:G$28&lt;&gt;"")*(H$4:H$28&lt;&gt;"")),""))</f>
        <v/>
      </c>
      <c r="B17" s="6" t="s">
        <v>125</v>
      </c>
      <c r="C17" s="7" t="s">
        <v>5</v>
      </c>
      <c r="D17" s="26">
        <v>2001</v>
      </c>
      <c r="E17" s="15">
        <f t="shared" si="0"/>
        <v>90.419999999999987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89.034999999999997</v>
      </c>
      <c r="L17" s="14" t="str">
        <f t="shared" si="7"/>
        <v>2021 Elite Canada</v>
      </c>
      <c r="M17" s="14">
        <f t="shared" si="8"/>
        <v>41.315000000000005</v>
      </c>
      <c r="N17" s="14" t="str">
        <f t="shared" si="9"/>
        <v>2021 Canadian Championships</v>
      </c>
      <c r="O17" s="14">
        <f t="shared" si="10"/>
        <v>46.41</v>
      </c>
      <c r="P17" s="14" t="str">
        <f t="shared" si="11"/>
        <v>2021 Elite Canada</v>
      </c>
      <c r="Q17" s="14">
        <f>IF(COUNT(AS17,AU17,AX17,BW17,BY17,CB17,DA17,DC17,DF17)&gt;1,LARGE((AS17,AU17,AX17,BW17,BY17,CB17,DA17,DC17,DF17),2),0)</f>
        <v>44.01</v>
      </c>
      <c r="R17" s="14" t="str">
        <f t="shared" si="12"/>
        <v>2021 Canadian Championships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11" t="str">
        <f t="shared" si="19"/>
        <v/>
      </c>
      <c r="AU17" s="11" t="str">
        <f t="shared" si="20"/>
        <v/>
      </c>
      <c r="AV17" s="11" t="str">
        <f t="shared" si="21"/>
        <v/>
      </c>
      <c r="AW17" s="11" t="str">
        <f t="shared" si="22"/>
        <v/>
      </c>
      <c r="AX17" s="11" t="str">
        <f t="shared" si="23"/>
        <v/>
      </c>
      <c r="AY17" s="11" t="str">
        <f t="shared" si="24"/>
        <v/>
      </c>
      <c r="AZ17" s="67">
        <v>16.100000000000001</v>
      </c>
      <c r="BA17" s="67">
        <v>9.6</v>
      </c>
      <c r="BB17" s="67">
        <v>2.2000000000000002</v>
      </c>
      <c r="BC17" s="67">
        <v>14.725</v>
      </c>
      <c r="BD17" s="67">
        <v>0</v>
      </c>
      <c r="BE17" s="67">
        <v>13.8</v>
      </c>
      <c r="BF17" s="67">
        <v>9.5</v>
      </c>
      <c r="BG17" s="67">
        <v>9.6999999999999993</v>
      </c>
      <c r="BH17" s="67">
        <v>13.41</v>
      </c>
      <c r="BI17" s="67">
        <v>0</v>
      </c>
      <c r="BJ17" s="67"/>
      <c r="BK17" s="67"/>
      <c r="BL17" s="67"/>
      <c r="BM17" s="67"/>
      <c r="BN17" s="67"/>
      <c r="BO17" s="67">
        <v>5.2</v>
      </c>
      <c r="BP17" s="67">
        <v>3.4</v>
      </c>
      <c r="BQ17" s="67">
        <v>4.3</v>
      </c>
      <c r="BR17" s="67">
        <v>5.49</v>
      </c>
      <c r="BS17" s="67">
        <v>0</v>
      </c>
      <c r="BT17" s="73"/>
      <c r="BU17" s="14">
        <f t="shared" si="25"/>
        <v>42.625</v>
      </c>
      <c r="BV17" s="14">
        <f t="shared" si="26"/>
        <v>9.6999999999999993</v>
      </c>
      <c r="BW17" s="14">
        <f t="shared" si="27"/>
        <v>46.41</v>
      </c>
      <c r="BX17" s="14" t="str">
        <f t="shared" si="28"/>
        <v/>
      </c>
      <c r="BY17" s="14" t="str">
        <f t="shared" si="29"/>
        <v/>
      </c>
      <c r="BZ17" s="14">
        <f t="shared" si="30"/>
        <v>89.034999999999997</v>
      </c>
      <c r="CA17" s="14">
        <f t="shared" si="31"/>
        <v>4.3</v>
      </c>
      <c r="CB17" s="14">
        <f t="shared" si="32"/>
        <v>18.39</v>
      </c>
      <c r="CC17" s="14">
        <f t="shared" si="33"/>
        <v>107.425</v>
      </c>
      <c r="CD17" s="61">
        <v>15.8</v>
      </c>
      <c r="CE17" s="61">
        <v>9.4</v>
      </c>
      <c r="CF17" s="61">
        <v>2</v>
      </c>
      <c r="CG17" s="61">
        <v>14.115</v>
      </c>
      <c r="CH17" s="61">
        <v>0</v>
      </c>
      <c r="CI17" s="61">
        <v>13.9</v>
      </c>
      <c r="CJ17" s="61">
        <v>8.8000000000000007</v>
      </c>
      <c r="CK17" s="61">
        <v>8.1999999999999993</v>
      </c>
      <c r="CL17" s="61">
        <v>13.39</v>
      </c>
      <c r="CM17" s="61">
        <v>0.6</v>
      </c>
      <c r="CN17" s="61"/>
      <c r="CO17" s="61"/>
      <c r="CP17" s="61"/>
      <c r="CQ17" s="61"/>
      <c r="CR17" s="61"/>
      <c r="CS17" s="61">
        <v>14.1</v>
      </c>
      <c r="CT17" s="61">
        <v>8.8000000000000007</v>
      </c>
      <c r="CU17" s="61">
        <v>9.4</v>
      </c>
      <c r="CV17" s="61">
        <v>11.71</v>
      </c>
      <c r="CW17" s="61">
        <v>0</v>
      </c>
      <c r="CX17" s="72"/>
      <c r="CY17" s="11">
        <f t="shared" si="34"/>
        <v>41.315000000000005</v>
      </c>
      <c r="CZ17" s="11">
        <f t="shared" si="35"/>
        <v>8.1999999999999993</v>
      </c>
      <c r="DA17" s="11">
        <f t="shared" si="36"/>
        <v>43.690000000000005</v>
      </c>
      <c r="DB17" s="11" t="str">
        <f t="shared" si="37"/>
        <v/>
      </c>
      <c r="DC17" s="11" t="str">
        <f t="shared" si="38"/>
        <v/>
      </c>
      <c r="DD17" s="11">
        <f t="shared" si="39"/>
        <v>85.00500000000001</v>
      </c>
      <c r="DE17" s="11">
        <f t="shared" si="40"/>
        <v>9.4</v>
      </c>
      <c r="DF17" s="11">
        <f t="shared" si="41"/>
        <v>44.01</v>
      </c>
      <c r="DG17" s="11">
        <f t="shared" si="42"/>
        <v>129.01500000000001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15.950000000000001</v>
      </c>
      <c r="NQ17" s="61">
        <f t="shared" si="132"/>
        <v>9.5</v>
      </c>
      <c r="NR17" s="61">
        <f t="shared" si="133"/>
        <v>2.1</v>
      </c>
      <c r="NS17" s="61">
        <f t="shared" si="134"/>
        <v>14.42</v>
      </c>
      <c r="NT17" s="61">
        <f t="shared" si="135"/>
        <v>0</v>
      </c>
      <c r="NU17" s="61">
        <f t="shared" si="136"/>
        <v>13.850000000000001</v>
      </c>
      <c r="NV17" s="61">
        <f t="shared" si="137"/>
        <v>9.15</v>
      </c>
      <c r="NW17" s="61">
        <f t="shared" si="138"/>
        <v>8.9499999999999993</v>
      </c>
      <c r="NX17" s="61">
        <f t="shared" si="139"/>
        <v>13.4</v>
      </c>
      <c r="NY17" s="61">
        <f t="shared" si="140"/>
        <v>0.3</v>
      </c>
      <c r="NZ17" s="61">
        <f t="shared" si="141"/>
        <v>0</v>
      </c>
      <c r="OA17" s="61">
        <f t="shared" si="142"/>
        <v>0</v>
      </c>
      <c r="OB17" s="61">
        <f t="shared" si="143"/>
        <v>0</v>
      </c>
      <c r="OC17" s="61">
        <f t="shared" si="144"/>
        <v>0</v>
      </c>
      <c r="OD17" s="61">
        <f t="shared" si="145"/>
        <v>0</v>
      </c>
      <c r="OE17" s="61">
        <f t="shared" si="146"/>
        <v>9.65</v>
      </c>
      <c r="OF17" s="61">
        <f t="shared" si="147"/>
        <v>6.1000000000000005</v>
      </c>
      <c r="OG17" s="61">
        <f t="shared" si="148"/>
        <v>6.85</v>
      </c>
      <c r="OH17" s="61">
        <f t="shared" si="149"/>
        <v>8.6000000000000014</v>
      </c>
      <c r="OI17" s="61">
        <f t="shared" si="150"/>
        <v>0</v>
      </c>
      <c r="OJ17" s="72" t="s">
        <v>52</v>
      </c>
      <c r="OK17" s="11">
        <f t="shared" si="151"/>
        <v>41.970000000000006</v>
      </c>
      <c r="OL17" s="11">
        <f t="shared" si="152"/>
        <v>8.9499999999999993</v>
      </c>
      <c r="OM17" s="11">
        <f t="shared" si="153"/>
        <v>45.050000000000004</v>
      </c>
      <c r="ON17" s="11" t="str">
        <f t="shared" si="154"/>
        <v/>
      </c>
      <c r="OO17" s="11" t="str">
        <f t="shared" si="155"/>
        <v/>
      </c>
      <c r="OP17" s="11">
        <f t="shared" si="156"/>
        <v>87.02000000000001</v>
      </c>
      <c r="OQ17" s="11">
        <f t="shared" si="157"/>
        <v>6.85</v>
      </c>
      <c r="OR17" s="11">
        <f t="shared" ref="OR17" si="174">IF(SUM(OE17:OH17)-OI17&gt;0,SUM(OE17:OH17)-OI17,"")</f>
        <v>31.200000000000003</v>
      </c>
      <c r="OS17" s="11">
        <f t="shared" ref="OS17" si="175">IF(SUM(OP17,OR17)&gt;0,SUM(OP17,OR17),"")</f>
        <v>118.22000000000001</v>
      </c>
    </row>
    <row r="18" spans="1:409" x14ac:dyDescent="0.2">
      <c r="A18" s="5" t="str" cm="1">
        <f t="array" ref="A18">IF(AND(G18&lt;&gt;"",H18&lt;&gt;""),SUMPRODUCT((G$4:G$28&lt;&gt;"")*(H$4:H$28&lt;&gt;"")*(E$4:E$28&gt;E18))+1,IF(H18&lt;&gt;"",SUMPRODUCT((I$4:I$28="No DD")*(E$4:E$28&gt;E18))+1+SUMPRODUCT((G$4:G$28&lt;&gt;"")*(H$4:H$28&lt;&gt;"")),""))</f>
        <v/>
      </c>
      <c r="B18" s="8" t="s">
        <v>93</v>
      </c>
      <c r="C18" s="4" t="s">
        <v>4</v>
      </c>
      <c r="D18" s="26">
        <v>2004</v>
      </c>
      <c r="E18" s="15">
        <f t="shared" si="0"/>
        <v>89.495000000000005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87.53</v>
      </c>
      <c r="L18" s="14" t="str">
        <f t="shared" si="7"/>
        <v>2021 Canadian Championships</v>
      </c>
      <c r="M18" s="14">
        <f t="shared" si="8"/>
        <v>40.69</v>
      </c>
      <c r="N18" s="14" t="str">
        <f t="shared" si="9"/>
        <v>2021 Elite Canada</v>
      </c>
      <c r="O18" s="14">
        <f t="shared" si="10"/>
        <v>45.54</v>
      </c>
      <c r="P18" s="14" t="str">
        <f t="shared" si="11"/>
        <v>2021 Canadian Championships</v>
      </c>
      <c r="Q18" s="14">
        <f>IF(COUNT(AS18,AU18,AX18,BW18,BY18,CB18,DA18,DC18,DF18)&gt;1,LARGE((AS18,AU18,AX18,BW18,BY18,CB18,DA18,DC18,DF18),2),0)</f>
        <v>43.954999999999998</v>
      </c>
      <c r="R18" s="14" t="str">
        <f t="shared" si="12"/>
        <v>2021 Canadian Championships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>
        <v>14.3</v>
      </c>
      <c r="W18" s="61">
        <v>9.3000000000000007</v>
      </c>
      <c r="X18" s="61">
        <v>2.2000000000000002</v>
      </c>
      <c r="Y18" s="61">
        <v>13.51</v>
      </c>
      <c r="Z18" s="61">
        <v>0</v>
      </c>
      <c r="AA18" s="61">
        <v>12.2</v>
      </c>
      <c r="AB18" s="61">
        <v>8.6</v>
      </c>
      <c r="AC18" s="61">
        <v>7.8</v>
      </c>
      <c r="AD18" s="61">
        <v>11.705</v>
      </c>
      <c r="AE18" s="61">
        <v>0</v>
      </c>
      <c r="AF18" s="61"/>
      <c r="AG18" s="61"/>
      <c r="AH18" s="61"/>
      <c r="AI18" s="61"/>
      <c r="AJ18" s="61"/>
      <c r="AK18" s="61">
        <v>12.4</v>
      </c>
      <c r="AL18" s="61">
        <v>9.1999999999999993</v>
      </c>
      <c r="AM18" s="61">
        <v>9</v>
      </c>
      <c r="AN18" s="61">
        <v>13.005000000000001</v>
      </c>
      <c r="AO18" s="61">
        <v>0</v>
      </c>
      <c r="AP18" s="72"/>
      <c r="AQ18" s="11">
        <f t="shared" si="16"/>
        <v>39.31</v>
      </c>
      <c r="AR18" s="11">
        <f t="shared" si="17"/>
        <v>7.8</v>
      </c>
      <c r="AS18" s="11">
        <f t="shared" si="18"/>
        <v>40.305</v>
      </c>
      <c r="AT18" s="11" t="str">
        <f t="shared" si="19"/>
        <v/>
      </c>
      <c r="AU18" s="11" t="str">
        <f t="shared" si="20"/>
        <v/>
      </c>
      <c r="AV18" s="11">
        <f t="shared" si="21"/>
        <v>79.615000000000009</v>
      </c>
      <c r="AW18" s="11">
        <f t="shared" si="22"/>
        <v>9</v>
      </c>
      <c r="AX18" s="11">
        <f t="shared" si="23"/>
        <v>43.605000000000004</v>
      </c>
      <c r="AY18" s="11">
        <f t="shared" si="24"/>
        <v>123.22000000000001</v>
      </c>
      <c r="AZ18" s="67">
        <v>15.9</v>
      </c>
      <c r="BA18" s="67">
        <v>9.5</v>
      </c>
      <c r="BB18" s="67">
        <v>1.5</v>
      </c>
      <c r="BC18" s="67">
        <v>13.79</v>
      </c>
      <c r="BD18" s="67">
        <v>0</v>
      </c>
      <c r="BE18" s="67">
        <v>7.1</v>
      </c>
      <c r="BF18" s="67">
        <v>4.4000000000000004</v>
      </c>
      <c r="BG18" s="67">
        <v>5.7</v>
      </c>
      <c r="BH18" s="67">
        <v>6.585</v>
      </c>
      <c r="BI18" s="67">
        <v>0</v>
      </c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>
        <f t="shared" si="25"/>
        <v>40.69</v>
      </c>
      <c r="BV18" s="14">
        <f t="shared" si="26"/>
        <v>5.7</v>
      </c>
      <c r="BW18" s="14">
        <f t="shared" si="27"/>
        <v>23.785</v>
      </c>
      <c r="BX18" s="14" t="str">
        <f t="shared" si="28"/>
        <v/>
      </c>
      <c r="BY18" s="14" t="str">
        <f t="shared" si="29"/>
        <v/>
      </c>
      <c r="BZ18" s="14">
        <f t="shared" si="30"/>
        <v>64.474999999999994</v>
      </c>
      <c r="CA18" s="14" t="str">
        <f t="shared" si="31"/>
        <v/>
      </c>
      <c r="CB18" s="14" t="str">
        <f t="shared" si="32"/>
        <v/>
      </c>
      <c r="CC18" s="14">
        <f t="shared" si="33"/>
        <v>64.474999999999994</v>
      </c>
      <c r="CD18" s="61">
        <v>16.7</v>
      </c>
      <c r="CE18" s="61">
        <v>9.8000000000000007</v>
      </c>
      <c r="CF18" s="61">
        <v>1.5</v>
      </c>
      <c r="CG18" s="61">
        <v>13.99</v>
      </c>
      <c r="CH18" s="61">
        <v>0</v>
      </c>
      <c r="CI18" s="61">
        <v>14.1</v>
      </c>
      <c r="CJ18" s="61">
        <v>9.1999999999999993</v>
      </c>
      <c r="CK18" s="61">
        <v>9.1</v>
      </c>
      <c r="CL18" s="61">
        <v>13.14</v>
      </c>
      <c r="CM18" s="61">
        <v>0</v>
      </c>
      <c r="CN18" s="61"/>
      <c r="CO18" s="61"/>
      <c r="CP18" s="61"/>
      <c r="CQ18" s="61"/>
      <c r="CR18" s="61"/>
      <c r="CS18" s="61">
        <v>13.5</v>
      </c>
      <c r="CT18" s="61">
        <v>8.9</v>
      </c>
      <c r="CU18" s="61">
        <v>8.5</v>
      </c>
      <c r="CV18" s="61">
        <v>13.355</v>
      </c>
      <c r="CW18" s="61">
        <v>0.3</v>
      </c>
      <c r="CX18" s="72"/>
      <c r="CY18" s="11">
        <f t="shared" si="34"/>
        <v>41.99</v>
      </c>
      <c r="CZ18" s="11">
        <f t="shared" si="35"/>
        <v>9.1</v>
      </c>
      <c r="DA18" s="11">
        <f t="shared" si="36"/>
        <v>45.54</v>
      </c>
      <c r="DB18" s="11" t="str">
        <f t="shared" si="37"/>
        <v/>
      </c>
      <c r="DC18" s="11" t="str">
        <f t="shared" si="38"/>
        <v/>
      </c>
      <c r="DD18" s="11">
        <f t="shared" si="39"/>
        <v>87.53</v>
      </c>
      <c r="DE18" s="11">
        <f t="shared" si="40"/>
        <v>8.5</v>
      </c>
      <c r="DF18" s="11">
        <f t="shared" si="41"/>
        <v>43.954999999999998</v>
      </c>
      <c r="DG18" s="11">
        <f t="shared" si="42"/>
        <v>131.48500000000001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16.3</v>
      </c>
      <c r="NQ18" s="61">
        <f t="shared" si="132"/>
        <v>9.65</v>
      </c>
      <c r="NR18" s="61">
        <f t="shared" si="133"/>
        <v>1.5</v>
      </c>
      <c r="NS18" s="61">
        <f t="shared" si="134"/>
        <v>13.89</v>
      </c>
      <c r="NT18" s="61">
        <f t="shared" si="135"/>
        <v>0</v>
      </c>
      <c r="NU18" s="61">
        <f t="shared" si="136"/>
        <v>10.6</v>
      </c>
      <c r="NV18" s="61">
        <f t="shared" si="137"/>
        <v>6.8</v>
      </c>
      <c r="NW18" s="61">
        <f t="shared" si="138"/>
        <v>7.4</v>
      </c>
      <c r="NX18" s="61">
        <f t="shared" si="139"/>
        <v>9.8625000000000007</v>
      </c>
      <c r="NY18" s="61">
        <f t="shared" si="140"/>
        <v>0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6.75</v>
      </c>
      <c r="OF18" s="61">
        <f t="shared" si="147"/>
        <v>4.45</v>
      </c>
      <c r="OG18" s="61">
        <f t="shared" si="148"/>
        <v>4.25</v>
      </c>
      <c r="OH18" s="61">
        <f t="shared" si="149"/>
        <v>6.6775000000000002</v>
      </c>
      <c r="OI18" s="61">
        <f t="shared" si="150"/>
        <v>0.15</v>
      </c>
      <c r="OJ18" s="72" t="s">
        <v>52</v>
      </c>
      <c r="OK18" s="11">
        <f t="shared" si="151"/>
        <v>41.34</v>
      </c>
      <c r="OL18" s="11">
        <f t="shared" si="152"/>
        <v>7.4</v>
      </c>
      <c r="OM18" s="11">
        <f t="shared" si="153"/>
        <v>34.662499999999994</v>
      </c>
      <c r="ON18" s="11" t="str">
        <f t="shared" si="154"/>
        <v/>
      </c>
      <c r="OO18" s="11" t="str">
        <f t="shared" si="155"/>
        <v/>
      </c>
      <c r="OP18" s="11">
        <f t="shared" si="156"/>
        <v>76.002499999999998</v>
      </c>
      <c r="OQ18" s="11">
        <f t="shared" si="157"/>
        <v>4.25</v>
      </c>
      <c r="OR18" s="11">
        <f t="shared" ref="OR18" si="176">IF(SUM(OE18:OH18)-OI18&gt;0,SUM(OE18:OH18)-OI18,"")</f>
        <v>21.977499999999999</v>
      </c>
      <c r="OS18" s="11">
        <f t="shared" ref="OS18" si="177">IF(SUM(OP18,OR18)&gt;0,SUM(OP18,OR18),"")</f>
        <v>97.97999999999999</v>
      </c>
    </row>
    <row r="19" spans="1:409" x14ac:dyDescent="0.2">
      <c r="A19" s="5" t="str" cm="1">
        <f t="array" ref="A19">IF(AND(G19&lt;&gt;"",H19&lt;&gt;""),SUMPRODUCT((G$4:G$28&lt;&gt;"")*(H$4:H$28&lt;&gt;"")*(E$4:E$28&gt;E19))+1,IF(H19&lt;&gt;"",SUMPRODUCT((I$4:I$28="No DD")*(E$4:E$28&gt;E19))+1+SUMPRODUCT((G$4:G$28&lt;&gt;"")*(H$4:H$28&lt;&gt;"")),""))</f>
        <v/>
      </c>
      <c r="B19" s="6" t="s">
        <v>144</v>
      </c>
      <c r="C19" s="7" t="s">
        <v>6</v>
      </c>
      <c r="D19" s="26">
        <v>2003</v>
      </c>
      <c r="E19" s="15">
        <f t="shared" si="0"/>
        <v>89.10499999999999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83.745000000000005</v>
      </c>
      <c r="L19" s="14" t="str">
        <f t="shared" si="7"/>
        <v>2021 Canadian Championships</v>
      </c>
      <c r="M19" s="14">
        <f t="shared" si="8"/>
        <v>20.415000000000003</v>
      </c>
      <c r="N19" s="14" t="str">
        <f t="shared" si="9"/>
        <v>2021 Elite Canada</v>
      </c>
      <c r="O19" s="14">
        <f t="shared" si="10"/>
        <v>46.384999999999991</v>
      </c>
      <c r="P19" s="14" t="str">
        <f t="shared" si="11"/>
        <v>2021 Canadian Championships</v>
      </c>
      <c r="Q19" s="14">
        <f>IF(COUNT(AS19,AU19,AX19,BW19,BY19,CB19,DA19,DC19,DF19)&gt;1,LARGE((AS19,AU19,AX19,BW19,BY19,CB19,DA19,DC19,DF19),2),0)</f>
        <v>42.72</v>
      </c>
      <c r="R19" s="14" t="str">
        <f t="shared" si="12"/>
        <v>2021 Canadian Championships</v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 t="shared" si="16"/>
        <v/>
      </c>
      <c r="AR19" s="11" t="str">
        <f t="shared" si="17"/>
        <v/>
      </c>
      <c r="AS19" s="11" t="str">
        <f t="shared" si="18"/>
        <v/>
      </c>
      <c r="AT19" s="11" t="str">
        <f t="shared" si="19"/>
        <v/>
      </c>
      <c r="AU19" s="11" t="str">
        <f t="shared" si="20"/>
        <v/>
      </c>
      <c r="AV19" s="11" t="str">
        <f t="shared" si="21"/>
        <v/>
      </c>
      <c r="AW19" s="11" t="str">
        <f t="shared" si="22"/>
        <v/>
      </c>
      <c r="AX19" s="11" t="str">
        <f t="shared" si="23"/>
        <v/>
      </c>
      <c r="AY19" s="11" t="str">
        <f t="shared" si="24"/>
        <v/>
      </c>
      <c r="AZ19" s="67">
        <v>7.2</v>
      </c>
      <c r="BA19" s="67">
        <v>4.5999999999999996</v>
      </c>
      <c r="BB19" s="67">
        <v>1.3</v>
      </c>
      <c r="BC19" s="67">
        <v>7.3150000000000004</v>
      </c>
      <c r="BD19" s="67">
        <v>0</v>
      </c>
      <c r="BE19" s="67">
        <v>2.8</v>
      </c>
      <c r="BF19" s="67">
        <v>1.8</v>
      </c>
      <c r="BG19" s="67">
        <v>2.2999999999999998</v>
      </c>
      <c r="BH19" s="67">
        <v>2.98</v>
      </c>
      <c r="BI19" s="67">
        <v>0</v>
      </c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>
        <f t="shared" si="25"/>
        <v>20.415000000000003</v>
      </c>
      <c r="BV19" s="14">
        <f t="shared" si="26"/>
        <v>2.2999999999999998</v>
      </c>
      <c r="BW19" s="14">
        <f t="shared" si="27"/>
        <v>9.879999999999999</v>
      </c>
      <c r="BX19" s="14" t="str">
        <f t="shared" si="28"/>
        <v/>
      </c>
      <c r="BY19" s="14" t="str">
        <f t="shared" si="29"/>
        <v/>
      </c>
      <c r="BZ19" s="14">
        <f t="shared" si="30"/>
        <v>30.295000000000002</v>
      </c>
      <c r="CA19" s="14" t="str">
        <f t="shared" si="31"/>
        <v/>
      </c>
      <c r="CB19" s="14" t="str">
        <f t="shared" si="32"/>
        <v/>
      </c>
      <c r="CC19" s="14">
        <f t="shared" si="33"/>
        <v>30.295000000000002</v>
      </c>
      <c r="CD19" s="61">
        <v>15</v>
      </c>
      <c r="CE19" s="61">
        <v>9.4</v>
      </c>
      <c r="CF19" s="61">
        <v>2.1</v>
      </c>
      <c r="CG19" s="61">
        <v>14.525</v>
      </c>
      <c r="CH19" s="61">
        <v>0</v>
      </c>
      <c r="CI19" s="61">
        <v>11.9</v>
      </c>
      <c r="CJ19" s="61">
        <v>8.9</v>
      </c>
      <c r="CK19" s="61">
        <v>8.8000000000000007</v>
      </c>
      <c r="CL19" s="61">
        <v>13.12</v>
      </c>
      <c r="CM19" s="61">
        <v>0</v>
      </c>
      <c r="CN19" s="61"/>
      <c r="CO19" s="61"/>
      <c r="CP19" s="61"/>
      <c r="CQ19" s="61"/>
      <c r="CR19" s="61"/>
      <c r="CS19" s="61">
        <v>14.6</v>
      </c>
      <c r="CT19" s="61">
        <v>9.1999999999999993</v>
      </c>
      <c r="CU19" s="61">
        <v>8.8000000000000007</v>
      </c>
      <c r="CV19" s="61">
        <v>13.785</v>
      </c>
      <c r="CW19" s="61">
        <v>0</v>
      </c>
      <c r="CX19" s="72"/>
      <c r="CY19" s="11">
        <f t="shared" si="34"/>
        <v>41.024999999999999</v>
      </c>
      <c r="CZ19" s="11">
        <f t="shared" si="35"/>
        <v>8.8000000000000007</v>
      </c>
      <c r="DA19" s="11">
        <f t="shared" si="36"/>
        <v>42.72</v>
      </c>
      <c r="DB19" s="11" t="str">
        <f t="shared" si="37"/>
        <v/>
      </c>
      <c r="DC19" s="11" t="str">
        <f t="shared" si="38"/>
        <v/>
      </c>
      <c r="DD19" s="11">
        <f t="shared" si="39"/>
        <v>83.745000000000005</v>
      </c>
      <c r="DE19" s="11">
        <f t="shared" si="40"/>
        <v>8.8000000000000007</v>
      </c>
      <c r="DF19" s="11">
        <f t="shared" si="41"/>
        <v>46.384999999999991</v>
      </c>
      <c r="DG19" s="11">
        <f t="shared" si="42"/>
        <v>130.13</v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11.1</v>
      </c>
      <c r="NQ19" s="61">
        <f t="shared" si="132"/>
        <v>7</v>
      </c>
      <c r="NR19" s="61">
        <f t="shared" si="133"/>
        <v>1.7000000000000002</v>
      </c>
      <c r="NS19" s="61">
        <f t="shared" si="134"/>
        <v>10.92</v>
      </c>
      <c r="NT19" s="61">
        <f t="shared" si="135"/>
        <v>0</v>
      </c>
      <c r="NU19" s="61">
        <f t="shared" si="136"/>
        <v>7.35</v>
      </c>
      <c r="NV19" s="61">
        <f t="shared" si="137"/>
        <v>5.3500000000000005</v>
      </c>
      <c r="NW19" s="61">
        <f t="shared" si="138"/>
        <v>5.5500000000000007</v>
      </c>
      <c r="NX19" s="61">
        <f t="shared" si="139"/>
        <v>8.0499999999999989</v>
      </c>
      <c r="NY19" s="61">
        <f t="shared" si="140"/>
        <v>0</v>
      </c>
      <c r="NZ19" s="61">
        <f t="shared" si="141"/>
        <v>0</v>
      </c>
      <c r="OA19" s="61">
        <f t="shared" si="142"/>
        <v>0</v>
      </c>
      <c r="OB19" s="61">
        <f t="shared" si="143"/>
        <v>0</v>
      </c>
      <c r="OC19" s="61">
        <f t="shared" si="144"/>
        <v>0</v>
      </c>
      <c r="OD19" s="61">
        <f t="shared" si="145"/>
        <v>0</v>
      </c>
      <c r="OE19" s="61">
        <f t="shared" si="146"/>
        <v>7.3</v>
      </c>
      <c r="OF19" s="61">
        <f t="shared" si="147"/>
        <v>4.5999999999999996</v>
      </c>
      <c r="OG19" s="61">
        <f t="shared" si="148"/>
        <v>4.4000000000000004</v>
      </c>
      <c r="OH19" s="61">
        <f t="shared" si="149"/>
        <v>6.8925000000000001</v>
      </c>
      <c r="OI19" s="61">
        <f t="shared" si="150"/>
        <v>0</v>
      </c>
      <c r="OJ19" s="72" t="s">
        <v>52</v>
      </c>
      <c r="OK19" s="11">
        <f t="shared" si="151"/>
        <v>30.72</v>
      </c>
      <c r="OL19" s="11">
        <f t="shared" si="152"/>
        <v>5.5500000000000007</v>
      </c>
      <c r="OM19" s="11">
        <f t="shared" si="153"/>
        <v>26.299999999999997</v>
      </c>
      <c r="ON19" s="11" t="str">
        <f t="shared" si="154"/>
        <v/>
      </c>
      <c r="OO19" s="11" t="str">
        <f t="shared" si="155"/>
        <v/>
      </c>
      <c r="OP19" s="11">
        <f t="shared" si="156"/>
        <v>57.019999999999996</v>
      </c>
      <c r="OQ19" s="11">
        <f t="shared" si="157"/>
        <v>4.4000000000000004</v>
      </c>
      <c r="OR19" s="11">
        <f t="shared" ref="OR19" si="178">IF(SUM(OE19:OH19)-OI19&gt;0,SUM(OE19:OH19)-OI19,"")</f>
        <v>23.192499999999995</v>
      </c>
      <c r="OS19" s="11">
        <f t="shared" ref="OS19" si="179">IF(SUM(OP19,OR19)&gt;0,SUM(OP19,OR19),"")</f>
        <v>80.212499999999991</v>
      </c>
    </row>
    <row r="20" spans="1:409" x14ac:dyDescent="0.2">
      <c r="A20" s="5" t="str" cm="1">
        <f t="array" ref="A20">IF(AND(G20&lt;&gt;"",H20&lt;&gt;""),SUMPRODUCT((G$4:G$28&lt;&gt;"")*(H$4:H$28&lt;&gt;"")*(E$4:E$28&gt;E20))+1,IF(H20&lt;&gt;"",SUMPRODUCT((I$4:I$28="No DD")*(E$4:E$28&gt;E20))+1+SUMPRODUCT((G$4:G$28&lt;&gt;"")*(H$4:H$28&lt;&gt;"")),""))</f>
        <v/>
      </c>
      <c r="B20" s="8" t="s">
        <v>127</v>
      </c>
      <c r="C20" s="4" t="s">
        <v>4</v>
      </c>
      <c r="D20" s="26">
        <v>2004</v>
      </c>
      <c r="E20" s="15">
        <f t="shared" si="0"/>
        <v>88.03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82.6</v>
      </c>
      <c r="L20" s="14" t="str">
        <f t="shared" si="7"/>
        <v>2021 2nd Virtual Technical Trial</v>
      </c>
      <c r="M20" s="14">
        <f t="shared" si="8"/>
        <v>0</v>
      </c>
      <c r="N20" s="14" t="str">
        <f t="shared" si="9"/>
        <v/>
      </c>
      <c r="O20" s="14">
        <f t="shared" si="10"/>
        <v>46.1</v>
      </c>
      <c r="P20" s="14" t="str">
        <f t="shared" si="11"/>
        <v>2021 2nd Virtual Technical Trial</v>
      </c>
      <c r="Q20" s="14">
        <f>IF(COUNT(AS20,AU20,AX20,BW20,BY20,CB20,DA20,DC20,DF20)&gt;1,LARGE((AS20,AU20,AX20,BW20,BY20,CB20,DA20,DC20,DF20),2),0)</f>
        <v>41.93</v>
      </c>
      <c r="R20" s="14" t="str">
        <f t="shared" si="12"/>
        <v>2021 2nd Virtual Technical Trial</v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>
        <v>15.1</v>
      </c>
      <c r="W20" s="61">
        <v>9.6</v>
      </c>
      <c r="X20" s="61">
        <v>2</v>
      </c>
      <c r="Y20" s="61">
        <v>13.97</v>
      </c>
      <c r="Z20" s="61">
        <v>0</v>
      </c>
      <c r="AA20" s="61">
        <v>10.199999999999999</v>
      </c>
      <c r="AB20" s="61">
        <v>8.4</v>
      </c>
      <c r="AC20" s="61">
        <v>9.6999999999999993</v>
      </c>
      <c r="AD20" s="61">
        <v>13.63</v>
      </c>
      <c r="AE20" s="61">
        <v>0</v>
      </c>
      <c r="AF20" s="61"/>
      <c r="AG20" s="61"/>
      <c r="AH20" s="61"/>
      <c r="AI20" s="61"/>
      <c r="AJ20" s="61"/>
      <c r="AK20" s="61">
        <v>13.9</v>
      </c>
      <c r="AL20" s="61">
        <v>9.3000000000000007</v>
      </c>
      <c r="AM20" s="61">
        <v>9</v>
      </c>
      <c r="AN20" s="61">
        <v>13.9</v>
      </c>
      <c r="AO20" s="61">
        <v>0</v>
      </c>
      <c r="AP20" s="72"/>
      <c r="AQ20" s="11">
        <f t="shared" si="16"/>
        <v>40.67</v>
      </c>
      <c r="AR20" s="11">
        <f t="shared" si="17"/>
        <v>9.6999999999999993</v>
      </c>
      <c r="AS20" s="11">
        <f t="shared" si="18"/>
        <v>41.93</v>
      </c>
      <c r="AT20" s="11" t="str">
        <f t="shared" si="19"/>
        <v/>
      </c>
      <c r="AU20" s="11" t="str">
        <f t="shared" si="20"/>
        <v/>
      </c>
      <c r="AV20" s="11">
        <f t="shared" si="21"/>
        <v>82.6</v>
      </c>
      <c r="AW20" s="11">
        <f t="shared" si="22"/>
        <v>9</v>
      </c>
      <c r="AX20" s="11">
        <f t="shared" si="23"/>
        <v>46.1</v>
      </c>
      <c r="AY20" s="11">
        <f t="shared" si="24"/>
        <v>128.69999999999999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 t="shared" si="25"/>
        <v/>
      </c>
      <c r="BV20" s="14" t="str">
        <f t="shared" si="26"/>
        <v/>
      </c>
      <c r="BW20" s="14" t="str">
        <f t="shared" si="27"/>
        <v/>
      </c>
      <c r="BX20" s="14" t="str">
        <f t="shared" si="28"/>
        <v/>
      </c>
      <c r="BY20" s="14" t="str">
        <f t="shared" si="29"/>
        <v/>
      </c>
      <c r="BZ20" s="14" t="str">
        <f t="shared" si="30"/>
        <v/>
      </c>
      <c r="CA20" s="14" t="str">
        <f t="shared" si="31"/>
        <v/>
      </c>
      <c r="CB20" s="14" t="str">
        <f t="shared" si="32"/>
        <v/>
      </c>
      <c r="CC20" s="14" t="str">
        <f t="shared" si="33"/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 t="shared" si="34"/>
        <v/>
      </c>
      <c r="CZ20" s="11" t="str">
        <f t="shared" si="35"/>
        <v/>
      </c>
      <c r="DA20" s="11" t="str">
        <f t="shared" si="36"/>
        <v/>
      </c>
      <c r="DB20" s="11" t="str">
        <f t="shared" si="37"/>
        <v/>
      </c>
      <c r="DC20" s="11" t="str">
        <f t="shared" si="38"/>
        <v/>
      </c>
      <c r="DD20" s="11" t="str">
        <f t="shared" si="39"/>
        <v/>
      </c>
      <c r="DE20" s="11" t="str">
        <f t="shared" si="40"/>
        <v/>
      </c>
      <c r="DF20" s="11" t="str">
        <f t="shared" si="41"/>
        <v/>
      </c>
      <c r="DG20" s="11" t="str">
        <f t="shared" si="42"/>
        <v/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0</v>
      </c>
      <c r="NQ20" s="61">
        <f t="shared" si="132"/>
        <v>0</v>
      </c>
      <c r="NR20" s="61">
        <f t="shared" si="133"/>
        <v>0</v>
      </c>
      <c r="NS20" s="61">
        <f t="shared" si="134"/>
        <v>0</v>
      </c>
      <c r="NT20" s="61">
        <f t="shared" si="135"/>
        <v>0</v>
      </c>
      <c r="NU20" s="61">
        <f t="shared" si="136"/>
        <v>0</v>
      </c>
      <c r="NV20" s="61">
        <f t="shared" si="137"/>
        <v>0</v>
      </c>
      <c r="NW20" s="61">
        <f t="shared" si="138"/>
        <v>0</v>
      </c>
      <c r="NX20" s="61">
        <f t="shared" si="139"/>
        <v>0</v>
      </c>
      <c r="NY20" s="61">
        <f t="shared" si="140"/>
        <v>0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0</v>
      </c>
      <c r="OF20" s="61">
        <f t="shared" si="147"/>
        <v>0</v>
      </c>
      <c r="OG20" s="61">
        <f t="shared" si="148"/>
        <v>0</v>
      </c>
      <c r="OH20" s="61">
        <f t="shared" si="149"/>
        <v>0</v>
      </c>
      <c r="OI20" s="61">
        <f t="shared" si="150"/>
        <v>0</v>
      </c>
      <c r="OJ20" s="72" t="s">
        <v>52</v>
      </c>
      <c r="OK20" s="11" t="str">
        <f t="shared" si="151"/>
        <v/>
      </c>
      <c r="OL20" s="11" t="str">
        <f t="shared" si="152"/>
        <v/>
      </c>
      <c r="OM20" s="11" t="str">
        <f t="shared" si="153"/>
        <v/>
      </c>
      <c r="ON20" s="11" t="str">
        <f t="shared" si="154"/>
        <v/>
      </c>
      <c r="OO20" s="11" t="str">
        <f t="shared" si="155"/>
        <v/>
      </c>
      <c r="OP20" s="11" t="str">
        <f t="shared" si="156"/>
        <v/>
      </c>
      <c r="OQ20" s="11" t="str">
        <f t="shared" si="157"/>
        <v/>
      </c>
      <c r="OR20" s="11" t="str">
        <f t="shared" ref="OR20" si="180">IF(SUM(OE20:OH20)-OI20&gt;0,SUM(OE20:OH20)-OI20,"")</f>
        <v/>
      </c>
      <c r="OS20" s="11" t="str">
        <f t="shared" ref="OS20" si="181">IF(SUM(OP20,OR20)&gt;0,SUM(OP20,OR20),"")</f>
        <v/>
      </c>
    </row>
    <row r="21" spans="1:409" x14ac:dyDescent="0.2">
      <c r="A21" s="5" t="str" cm="1">
        <f t="array" ref="A21">IF(AND(G21&lt;&gt;"",H21&lt;&gt;""),SUMPRODUCT((G$4:G$28&lt;&gt;"")*(H$4:H$28&lt;&gt;"")*(E$4:E$28&gt;E21))+1,IF(H21&lt;&gt;"",SUMPRODUCT((I$4:I$28="No DD")*(E$4:E$28&gt;E21))+1+SUMPRODUCT((G$4:G$28&lt;&gt;"")*(H$4:H$28&lt;&gt;"")),""))</f>
        <v/>
      </c>
      <c r="B21" s="6" t="s">
        <v>107</v>
      </c>
      <c r="C21" s="7" t="s">
        <v>5</v>
      </c>
      <c r="D21" s="5">
        <v>2004</v>
      </c>
      <c r="E21" s="15">
        <f t="shared" si="0"/>
        <v>87.88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85.344999999999999</v>
      </c>
      <c r="L21" s="14" t="str">
        <f t="shared" si="7"/>
        <v>2021 Canadian Championships</v>
      </c>
      <c r="M21" s="14">
        <f t="shared" si="8"/>
        <v>40.17</v>
      </c>
      <c r="N21" s="14" t="str">
        <f t="shared" si="9"/>
        <v>2021 Elite Canada</v>
      </c>
      <c r="O21" s="14">
        <f t="shared" si="10"/>
        <v>45.725000000000001</v>
      </c>
      <c r="P21" s="14" t="str">
        <f t="shared" si="11"/>
        <v>2021 Canadian Championships</v>
      </c>
      <c r="Q21" s="14">
        <f>IF(COUNT(AS21,AU21,AX21,BW21,BY21,CB21,DA21,DC21,DF21)&gt;1,LARGE((AS21,AU21,AX21,BW21,BY21,CB21,DA21,DC21,DF21),2),0)</f>
        <v>42.155000000000001</v>
      </c>
      <c r="R21" s="14" t="str">
        <f t="shared" si="12"/>
        <v>2021 Elite Canada</v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 t="shared" si="16"/>
        <v/>
      </c>
      <c r="AR21" s="11" t="str">
        <f t="shared" si="17"/>
        <v/>
      </c>
      <c r="AS21" s="11" t="str">
        <f t="shared" si="18"/>
        <v/>
      </c>
      <c r="AT21" s="11" t="str">
        <f t="shared" si="19"/>
        <v/>
      </c>
      <c r="AU21" s="11" t="str">
        <f t="shared" si="20"/>
        <v/>
      </c>
      <c r="AV21" s="11" t="str">
        <f t="shared" si="21"/>
        <v/>
      </c>
      <c r="AW21" s="11" t="str">
        <f t="shared" si="22"/>
        <v/>
      </c>
      <c r="AX21" s="11" t="str">
        <f t="shared" si="23"/>
        <v/>
      </c>
      <c r="AY21" s="11" t="str">
        <f t="shared" si="24"/>
        <v/>
      </c>
      <c r="AZ21" s="67">
        <v>15.3</v>
      </c>
      <c r="BA21" s="67">
        <v>9.4</v>
      </c>
      <c r="BB21" s="67">
        <v>2</v>
      </c>
      <c r="BC21" s="67">
        <v>13.47</v>
      </c>
      <c r="BD21" s="67">
        <v>0</v>
      </c>
      <c r="BE21" s="67">
        <v>11.9</v>
      </c>
      <c r="BF21" s="67">
        <v>9</v>
      </c>
      <c r="BG21" s="67">
        <v>8.4</v>
      </c>
      <c r="BH21" s="67">
        <v>13.255000000000001</v>
      </c>
      <c r="BI21" s="67">
        <v>0.4</v>
      </c>
      <c r="BJ21" s="67"/>
      <c r="BK21" s="67"/>
      <c r="BL21" s="67"/>
      <c r="BM21" s="67"/>
      <c r="BN21" s="67"/>
      <c r="BO21" s="67">
        <v>10.6</v>
      </c>
      <c r="BP21" s="67">
        <v>7.2</v>
      </c>
      <c r="BQ21" s="67">
        <v>6.8</v>
      </c>
      <c r="BR21" s="67">
        <v>10.574999999999999</v>
      </c>
      <c r="BS21" s="67">
        <v>0</v>
      </c>
      <c r="BT21" s="73"/>
      <c r="BU21" s="14">
        <f t="shared" si="25"/>
        <v>40.17</v>
      </c>
      <c r="BV21" s="14">
        <f t="shared" si="26"/>
        <v>8.4</v>
      </c>
      <c r="BW21" s="14">
        <f t="shared" si="27"/>
        <v>42.155000000000001</v>
      </c>
      <c r="BX21" s="14" t="str">
        <f t="shared" si="28"/>
        <v/>
      </c>
      <c r="BY21" s="14" t="str">
        <f t="shared" si="29"/>
        <v/>
      </c>
      <c r="BZ21" s="14">
        <f t="shared" si="30"/>
        <v>82.325000000000003</v>
      </c>
      <c r="CA21" s="14">
        <f t="shared" si="31"/>
        <v>6.8</v>
      </c>
      <c r="CB21" s="14">
        <f t="shared" si="32"/>
        <v>35.174999999999997</v>
      </c>
      <c r="CC21" s="14">
        <f t="shared" si="33"/>
        <v>117.5</v>
      </c>
      <c r="CD21" s="61">
        <v>15.1</v>
      </c>
      <c r="CE21" s="61">
        <v>9.4</v>
      </c>
      <c r="CF21" s="61">
        <v>2</v>
      </c>
      <c r="CG21" s="61">
        <v>13.12</v>
      </c>
      <c r="CH21" s="61">
        <v>0</v>
      </c>
      <c r="CI21" s="61">
        <v>14</v>
      </c>
      <c r="CJ21" s="61">
        <v>9.1999999999999993</v>
      </c>
      <c r="CK21" s="61">
        <v>8.8000000000000007</v>
      </c>
      <c r="CL21" s="61">
        <v>13.725</v>
      </c>
      <c r="CM21" s="61">
        <v>0</v>
      </c>
      <c r="CN21" s="61"/>
      <c r="CO21" s="61"/>
      <c r="CP21" s="61"/>
      <c r="CQ21" s="61"/>
      <c r="CR21" s="61"/>
      <c r="CS21" s="61">
        <v>9.4</v>
      </c>
      <c r="CT21" s="61">
        <v>6.1</v>
      </c>
      <c r="CU21" s="61">
        <v>6.3</v>
      </c>
      <c r="CV21" s="61">
        <v>9.4049999999999994</v>
      </c>
      <c r="CW21" s="61">
        <v>0</v>
      </c>
      <c r="CX21" s="72"/>
      <c r="CY21" s="11">
        <f t="shared" si="34"/>
        <v>39.619999999999997</v>
      </c>
      <c r="CZ21" s="11">
        <f t="shared" si="35"/>
        <v>8.8000000000000007</v>
      </c>
      <c r="DA21" s="11">
        <f t="shared" si="36"/>
        <v>45.725000000000001</v>
      </c>
      <c r="DB21" s="11" t="str">
        <f t="shared" si="37"/>
        <v/>
      </c>
      <c r="DC21" s="11" t="str">
        <f t="shared" si="38"/>
        <v/>
      </c>
      <c r="DD21" s="11">
        <f t="shared" si="39"/>
        <v>85.344999999999999</v>
      </c>
      <c r="DE21" s="11">
        <f t="shared" si="40"/>
        <v>6.3</v>
      </c>
      <c r="DF21" s="11">
        <f t="shared" si="41"/>
        <v>31.204999999999998</v>
      </c>
      <c r="DG21" s="11">
        <f t="shared" si="42"/>
        <v>116.55</v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15.2</v>
      </c>
      <c r="NQ21" s="61">
        <f t="shared" si="132"/>
        <v>9.4</v>
      </c>
      <c r="NR21" s="61">
        <f t="shared" si="133"/>
        <v>2</v>
      </c>
      <c r="NS21" s="61">
        <f t="shared" si="134"/>
        <v>13.295</v>
      </c>
      <c r="NT21" s="61">
        <f t="shared" si="135"/>
        <v>0</v>
      </c>
      <c r="NU21" s="61">
        <f t="shared" si="136"/>
        <v>12.95</v>
      </c>
      <c r="NV21" s="61">
        <f t="shared" si="137"/>
        <v>9.1</v>
      </c>
      <c r="NW21" s="61">
        <f t="shared" si="138"/>
        <v>8.6000000000000014</v>
      </c>
      <c r="NX21" s="61">
        <f t="shared" si="139"/>
        <v>13.49</v>
      </c>
      <c r="NY21" s="61">
        <f t="shared" si="140"/>
        <v>0.2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10</v>
      </c>
      <c r="OF21" s="61">
        <f t="shared" si="147"/>
        <v>6.65</v>
      </c>
      <c r="OG21" s="61">
        <f t="shared" si="148"/>
        <v>6.55</v>
      </c>
      <c r="OH21" s="61">
        <f t="shared" si="149"/>
        <v>9.9899999999999984</v>
      </c>
      <c r="OI21" s="61">
        <f t="shared" si="150"/>
        <v>0</v>
      </c>
      <c r="OJ21" s="72" t="s">
        <v>52</v>
      </c>
      <c r="OK21" s="11">
        <f t="shared" si="151"/>
        <v>39.895000000000003</v>
      </c>
      <c r="OL21" s="11">
        <f t="shared" si="152"/>
        <v>8.6000000000000014</v>
      </c>
      <c r="OM21" s="11">
        <f t="shared" si="153"/>
        <v>43.94</v>
      </c>
      <c r="ON21" s="11" t="str">
        <f t="shared" si="154"/>
        <v/>
      </c>
      <c r="OO21" s="11" t="str">
        <f t="shared" si="155"/>
        <v/>
      </c>
      <c r="OP21" s="11">
        <f t="shared" si="156"/>
        <v>83.835000000000008</v>
      </c>
      <c r="OQ21" s="11">
        <f t="shared" si="157"/>
        <v>6.55</v>
      </c>
      <c r="OR21" s="11">
        <f t="shared" ref="OR21" si="182">IF(SUM(OE21:OH21)-OI21&gt;0,SUM(OE21:OH21)-OI21,"")</f>
        <v>33.19</v>
      </c>
      <c r="OS21" s="11">
        <f t="shared" ref="OS21" si="183">IF(SUM(OP21,OR21)&gt;0,SUM(OP21,OR21),"")</f>
        <v>117.02500000000001</v>
      </c>
    </row>
    <row r="22" spans="1:409" x14ac:dyDescent="0.2">
      <c r="A22" s="5" t="str" cm="1">
        <f t="array" ref="A22">IF(AND(G22&lt;&gt;"",H22&lt;&gt;""),SUMPRODUCT((G$4:G$28&lt;&gt;"")*(H$4:H$28&lt;&gt;"")*(E$4:E$28&gt;E22))+1,IF(H22&lt;&gt;"",SUMPRODUCT((I$4:I$28="No DD")*(E$4:E$28&gt;E22))+1+SUMPRODUCT((G$4:G$28&lt;&gt;"")*(H$4:H$28&lt;&gt;"")),""))</f>
        <v/>
      </c>
      <c r="B22" s="8" t="s">
        <v>102</v>
      </c>
      <c r="C22" s="4" t="s">
        <v>5</v>
      </c>
      <c r="D22" s="26">
        <v>2003</v>
      </c>
      <c r="E22" s="15">
        <f t="shared" si="0"/>
        <v>86.504999999999995</v>
      </c>
      <c r="F22" s="3" t="str">
        <f t="shared" si="1"/>
        <v/>
      </c>
      <c r="G22" s="115" t="str">
        <f t="shared" si="2"/>
        <v/>
      </c>
      <c r="H22" s="115" t="str">
        <f t="shared" si="3"/>
        <v/>
      </c>
      <c r="I22" s="116" t="str">
        <f t="shared" si="4"/>
        <v/>
      </c>
      <c r="J22" s="3" t="str">
        <f t="shared" si="5"/>
        <v/>
      </c>
      <c r="K22" s="14">
        <f t="shared" si="6"/>
        <v>85.134999999999991</v>
      </c>
      <c r="L22" s="14" t="str">
        <f t="shared" si="7"/>
        <v>2021 2nd Virtual Technical Trial</v>
      </c>
      <c r="M22" s="14">
        <f t="shared" si="8"/>
        <v>39.840000000000003</v>
      </c>
      <c r="N22" s="14" t="str">
        <f t="shared" si="9"/>
        <v>2021 Canadian Championships</v>
      </c>
      <c r="O22" s="14">
        <f t="shared" si="10"/>
        <v>45.96</v>
      </c>
      <c r="P22" s="14" t="str">
        <f t="shared" si="11"/>
        <v>2021 2nd Virtual Technical Trial</v>
      </c>
      <c r="Q22" s="14">
        <f>IF(COUNT(AS22,AU22,AX22,BW22,BY22,CB22,DA22,DC22,DF22)&gt;1,LARGE((AS22,AU22,AX22,BW22,BY22,CB22,DA22,DC22,DF22),2),0)</f>
        <v>40.545000000000002</v>
      </c>
      <c r="R22" s="14" t="str">
        <f t="shared" si="12"/>
        <v>2021 2nd Virtual Technical Trial</v>
      </c>
      <c r="S22" s="14" t="str">
        <f t="shared" si="13"/>
        <v/>
      </c>
      <c r="T22" s="24" t="str">
        <f t="shared" si="14"/>
        <v/>
      </c>
      <c r="U22" s="14" t="str">
        <f t="shared" si="15"/>
        <v/>
      </c>
      <c r="V22" s="61">
        <v>14.7</v>
      </c>
      <c r="W22" s="61">
        <v>9.6</v>
      </c>
      <c r="X22" s="61">
        <v>1.4</v>
      </c>
      <c r="Y22" s="61">
        <v>13.475</v>
      </c>
      <c r="Z22" s="61">
        <v>0</v>
      </c>
      <c r="AA22" s="61">
        <v>14</v>
      </c>
      <c r="AB22" s="61">
        <v>9.1999999999999993</v>
      </c>
      <c r="AC22" s="61">
        <v>9.6999999999999993</v>
      </c>
      <c r="AD22" s="61">
        <v>13.06</v>
      </c>
      <c r="AE22" s="61">
        <v>0</v>
      </c>
      <c r="AF22" s="61"/>
      <c r="AG22" s="61"/>
      <c r="AH22" s="61"/>
      <c r="AI22" s="61"/>
      <c r="AJ22" s="61"/>
      <c r="AK22" s="61">
        <v>12.3</v>
      </c>
      <c r="AL22" s="61">
        <v>8.3000000000000007</v>
      </c>
      <c r="AM22" s="61">
        <v>8.5</v>
      </c>
      <c r="AN22" s="61">
        <v>11.445</v>
      </c>
      <c r="AO22" s="61">
        <v>0</v>
      </c>
      <c r="AP22" s="72"/>
      <c r="AQ22" s="11">
        <f t="shared" si="16"/>
        <v>39.174999999999997</v>
      </c>
      <c r="AR22" s="11">
        <f t="shared" si="17"/>
        <v>9.6999999999999993</v>
      </c>
      <c r="AS22" s="11">
        <f t="shared" si="18"/>
        <v>45.96</v>
      </c>
      <c r="AT22" s="11" t="str">
        <f t="shared" si="19"/>
        <v/>
      </c>
      <c r="AU22" s="11" t="str">
        <f t="shared" si="20"/>
        <v/>
      </c>
      <c r="AV22" s="11">
        <f t="shared" si="21"/>
        <v>85.134999999999991</v>
      </c>
      <c r="AW22" s="11">
        <f t="shared" si="22"/>
        <v>8.5</v>
      </c>
      <c r="AX22" s="11">
        <f t="shared" si="23"/>
        <v>40.545000000000002</v>
      </c>
      <c r="AY22" s="11">
        <f t="shared" si="24"/>
        <v>125.67999999999999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 t="shared" si="25"/>
        <v/>
      </c>
      <c r="BV22" s="14" t="str">
        <f t="shared" si="26"/>
        <v/>
      </c>
      <c r="BW22" s="14" t="str">
        <f t="shared" si="27"/>
        <v/>
      </c>
      <c r="BX22" s="14" t="str">
        <f t="shared" si="28"/>
        <v/>
      </c>
      <c r="BY22" s="14" t="str">
        <f t="shared" si="29"/>
        <v/>
      </c>
      <c r="BZ22" s="14" t="str">
        <f t="shared" si="30"/>
        <v/>
      </c>
      <c r="CA22" s="14" t="str">
        <f t="shared" si="31"/>
        <v/>
      </c>
      <c r="CB22" s="14" t="str">
        <f t="shared" si="32"/>
        <v/>
      </c>
      <c r="CC22" s="14" t="str">
        <f t="shared" si="33"/>
        <v/>
      </c>
      <c r="CD22" s="61">
        <v>15.4</v>
      </c>
      <c r="CE22" s="61">
        <v>9.4</v>
      </c>
      <c r="CF22" s="61">
        <v>1.4</v>
      </c>
      <c r="CG22" s="61">
        <v>13.64</v>
      </c>
      <c r="CH22" s="61">
        <v>0</v>
      </c>
      <c r="CI22" s="61">
        <v>6.1</v>
      </c>
      <c r="CJ22" s="61">
        <v>4.7</v>
      </c>
      <c r="CK22" s="61">
        <v>5.6</v>
      </c>
      <c r="CL22" s="61">
        <v>6.3949999999999996</v>
      </c>
      <c r="CM22" s="61">
        <v>0</v>
      </c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>
        <f t="shared" si="34"/>
        <v>39.840000000000003</v>
      </c>
      <c r="CZ22" s="11">
        <f t="shared" si="35"/>
        <v>5.6</v>
      </c>
      <c r="DA22" s="11">
        <f t="shared" si="36"/>
        <v>22.794999999999998</v>
      </c>
      <c r="DB22" s="11" t="str">
        <f t="shared" si="37"/>
        <v/>
      </c>
      <c r="DC22" s="11" t="str">
        <f t="shared" si="38"/>
        <v/>
      </c>
      <c r="DD22" s="11">
        <f t="shared" si="39"/>
        <v>62.635000000000005</v>
      </c>
      <c r="DE22" s="11" t="str">
        <f t="shared" si="40"/>
        <v/>
      </c>
      <c r="DF22" s="11" t="str">
        <f t="shared" si="41"/>
        <v/>
      </c>
      <c r="DG22" s="11">
        <f t="shared" si="42"/>
        <v>62.635000000000005</v>
      </c>
      <c r="DH22" s="23" t="str">
        <f t="shared" si="43"/>
        <v/>
      </c>
      <c r="DI22" s="23" t="str">
        <f t="shared" si="44"/>
        <v/>
      </c>
      <c r="DJ22" s="23" t="str">
        <f t="shared" si="45"/>
        <v/>
      </c>
      <c r="DK22" s="23" t="str">
        <f t="shared" si="46"/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 t="shared" si="47"/>
        <v/>
      </c>
      <c r="EB22" s="11" t="str">
        <f t="shared" si="48"/>
        <v/>
      </c>
      <c r="EC22" s="11" t="str">
        <f t="shared" si="49"/>
        <v/>
      </c>
      <c r="ED22" s="11" t="str">
        <f t="shared" si="50"/>
        <v/>
      </c>
      <c r="EE22" s="11" t="str">
        <f t="shared" si="51"/>
        <v/>
      </c>
      <c r="EF22" s="11" t="str">
        <f t="shared" si="52"/>
        <v/>
      </c>
      <c r="EG22" s="11" t="str">
        <f t="shared" si="53"/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 t="shared" si="54"/>
        <v/>
      </c>
      <c r="EX22" s="14" t="str">
        <f t="shared" si="55"/>
        <v/>
      </c>
      <c r="EY22" s="14" t="str">
        <f t="shared" si="56"/>
        <v/>
      </c>
      <c r="EZ22" s="14" t="str">
        <f t="shared" si="57"/>
        <v/>
      </c>
      <c r="FA22" s="14" t="str">
        <f t="shared" si="58"/>
        <v/>
      </c>
      <c r="FB22" s="14" t="str">
        <f t="shared" si="59"/>
        <v/>
      </c>
      <c r="FC22" s="14" t="str">
        <f t="shared" si="60"/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 t="shared" si="61"/>
        <v/>
      </c>
      <c r="FT22" s="11" t="str">
        <f t="shared" si="62"/>
        <v/>
      </c>
      <c r="FU22" s="11" t="str">
        <f t="shared" si="63"/>
        <v/>
      </c>
      <c r="FV22" s="11" t="str">
        <f t="shared" si="64"/>
        <v/>
      </c>
      <c r="FW22" s="11" t="str">
        <f t="shared" si="65"/>
        <v/>
      </c>
      <c r="FX22" s="11" t="str">
        <f t="shared" si="66"/>
        <v/>
      </c>
      <c r="FY22" s="11" t="str">
        <f t="shared" si="67"/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 t="shared" si="68"/>
        <v/>
      </c>
      <c r="GP22" s="14" t="str">
        <f t="shared" si="69"/>
        <v/>
      </c>
      <c r="GQ22" s="14" t="str">
        <f t="shared" si="70"/>
        <v/>
      </c>
      <c r="GR22" s="14" t="str">
        <f t="shared" si="71"/>
        <v/>
      </c>
      <c r="GS22" s="14" t="str">
        <f t="shared" si="72"/>
        <v/>
      </c>
      <c r="GT22" s="14" t="str">
        <f t="shared" si="73"/>
        <v/>
      </c>
      <c r="GU22" s="14" t="str">
        <f t="shared" si="74"/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 t="shared" si="75"/>
        <v/>
      </c>
      <c r="HL22" s="11" t="str">
        <f t="shared" si="76"/>
        <v/>
      </c>
      <c r="HM22" s="11" t="str">
        <f t="shared" si="77"/>
        <v/>
      </c>
      <c r="HN22" s="11" t="str">
        <f t="shared" si="78"/>
        <v/>
      </c>
      <c r="HO22" s="11" t="str">
        <f t="shared" si="79"/>
        <v/>
      </c>
      <c r="HP22" s="11" t="str">
        <f t="shared" si="80"/>
        <v/>
      </c>
      <c r="HQ22" s="11" t="str">
        <f t="shared" si="81"/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 t="shared" si="82"/>
        <v/>
      </c>
      <c r="IH22" s="14" t="str">
        <f t="shared" si="83"/>
        <v/>
      </c>
      <c r="II22" s="14" t="str">
        <f t="shared" si="84"/>
        <v/>
      </c>
      <c r="IJ22" s="14" t="str">
        <f t="shared" si="85"/>
        <v/>
      </c>
      <c r="IK22" s="14" t="str">
        <f t="shared" si="86"/>
        <v/>
      </c>
      <c r="IL22" s="14" t="str">
        <f t="shared" si="87"/>
        <v/>
      </c>
      <c r="IM22" s="14" t="str">
        <f t="shared" si="88"/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 t="shared" si="89"/>
        <v/>
      </c>
      <c r="JD22" s="11" t="str">
        <f t="shared" si="90"/>
        <v/>
      </c>
      <c r="JE22" s="11" t="str">
        <f t="shared" si="91"/>
        <v/>
      </c>
      <c r="JF22" s="11" t="str">
        <f t="shared" si="92"/>
        <v/>
      </c>
      <c r="JG22" s="11" t="str">
        <f t="shared" si="93"/>
        <v/>
      </c>
      <c r="JH22" s="11" t="str">
        <f t="shared" si="94"/>
        <v/>
      </c>
      <c r="JI22" s="11" t="str">
        <f t="shared" si="95"/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 t="shared" si="96"/>
        <v/>
      </c>
      <c r="JZ22" s="14" t="str">
        <f t="shared" si="97"/>
        <v/>
      </c>
      <c r="KA22" s="14" t="str">
        <f t="shared" si="98"/>
        <v/>
      </c>
      <c r="KB22" s="14" t="str">
        <f t="shared" si="99"/>
        <v/>
      </c>
      <c r="KC22" s="14" t="str">
        <f t="shared" si="100"/>
        <v/>
      </c>
      <c r="KD22" s="14" t="str">
        <f t="shared" si="101"/>
        <v/>
      </c>
      <c r="KE22" s="14" t="str">
        <f t="shared" si="102"/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 t="shared" si="103"/>
        <v/>
      </c>
      <c r="KV22" s="11" t="str">
        <f t="shared" si="104"/>
        <v/>
      </c>
      <c r="KW22" s="11" t="str">
        <f t="shared" si="105"/>
        <v/>
      </c>
      <c r="KX22" s="11" t="str">
        <f t="shared" si="106"/>
        <v/>
      </c>
      <c r="KY22" s="11" t="str">
        <f t="shared" si="107"/>
        <v/>
      </c>
      <c r="KZ22" s="11" t="str">
        <f t="shared" si="108"/>
        <v/>
      </c>
      <c r="LA22" s="11" t="str">
        <f t="shared" si="109"/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 t="shared" si="110"/>
        <v/>
      </c>
      <c r="LR22" s="14" t="str">
        <f t="shared" si="111"/>
        <v/>
      </c>
      <c r="LS22" s="14" t="str">
        <f t="shared" si="112"/>
        <v/>
      </c>
      <c r="LT22" s="14" t="str">
        <f t="shared" si="113"/>
        <v/>
      </c>
      <c r="LU22" s="14" t="str">
        <f t="shared" si="114"/>
        <v/>
      </c>
      <c r="LV22" s="14" t="str">
        <f t="shared" si="115"/>
        <v/>
      </c>
      <c r="LW22" s="14" t="str">
        <f t="shared" si="116"/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 t="shared" si="117"/>
        <v/>
      </c>
      <c r="MN22" s="11" t="str">
        <f t="shared" si="118"/>
        <v/>
      </c>
      <c r="MO22" s="11" t="str">
        <f t="shared" si="119"/>
        <v/>
      </c>
      <c r="MP22" s="11" t="str">
        <f t="shared" si="120"/>
        <v/>
      </c>
      <c r="MQ22" s="11" t="str">
        <f t="shared" si="121"/>
        <v/>
      </c>
      <c r="MR22" s="11" t="str">
        <f t="shared" si="122"/>
        <v/>
      </c>
      <c r="MS22" s="11" t="str">
        <f t="shared" si="123"/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 t="shared" si="124"/>
        <v/>
      </c>
      <c r="NJ22" s="14" t="str">
        <f t="shared" si="125"/>
        <v/>
      </c>
      <c r="NK22" s="14" t="str">
        <f t="shared" si="126"/>
        <v/>
      </c>
      <c r="NL22" s="14" t="str">
        <f t="shared" si="127"/>
        <v/>
      </c>
      <c r="NM22" s="14" t="str">
        <f t="shared" si="128"/>
        <v/>
      </c>
      <c r="NN22" s="14" t="str">
        <f t="shared" si="129"/>
        <v/>
      </c>
      <c r="NO22" s="14" t="str">
        <f t="shared" si="130"/>
        <v/>
      </c>
      <c r="NP22" s="61">
        <f t="shared" si="131"/>
        <v>7.7</v>
      </c>
      <c r="NQ22" s="61">
        <f t="shared" si="132"/>
        <v>4.7</v>
      </c>
      <c r="NR22" s="61">
        <f t="shared" si="133"/>
        <v>0.7</v>
      </c>
      <c r="NS22" s="61">
        <f t="shared" si="134"/>
        <v>6.82</v>
      </c>
      <c r="NT22" s="61">
        <f t="shared" si="135"/>
        <v>0</v>
      </c>
      <c r="NU22" s="61">
        <f t="shared" si="136"/>
        <v>3.05</v>
      </c>
      <c r="NV22" s="61">
        <f t="shared" si="137"/>
        <v>2.35</v>
      </c>
      <c r="NW22" s="61">
        <f t="shared" si="138"/>
        <v>2.8</v>
      </c>
      <c r="NX22" s="61">
        <f t="shared" si="139"/>
        <v>3.1974999999999998</v>
      </c>
      <c r="NY22" s="61">
        <f t="shared" si="140"/>
        <v>0</v>
      </c>
      <c r="NZ22" s="61">
        <f t="shared" si="141"/>
        <v>0</v>
      </c>
      <c r="OA22" s="61">
        <f t="shared" si="142"/>
        <v>0</v>
      </c>
      <c r="OB22" s="61">
        <f t="shared" si="143"/>
        <v>0</v>
      </c>
      <c r="OC22" s="61">
        <f t="shared" si="144"/>
        <v>0</v>
      </c>
      <c r="OD22" s="61">
        <f t="shared" si="145"/>
        <v>0</v>
      </c>
      <c r="OE22" s="61">
        <f t="shared" si="146"/>
        <v>0</v>
      </c>
      <c r="OF22" s="61">
        <f t="shared" si="147"/>
        <v>0</v>
      </c>
      <c r="OG22" s="61">
        <f t="shared" si="148"/>
        <v>0</v>
      </c>
      <c r="OH22" s="61">
        <f t="shared" si="149"/>
        <v>0</v>
      </c>
      <c r="OI22" s="61">
        <f t="shared" si="150"/>
        <v>0</v>
      </c>
      <c r="OJ22" s="72" t="s">
        <v>52</v>
      </c>
      <c r="OK22" s="11">
        <f t="shared" si="151"/>
        <v>19.920000000000002</v>
      </c>
      <c r="OL22" s="11">
        <f t="shared" si="152"/>
        <v>2.8</v>
      </c>
      <c r="OM22" s="11">
        <f t="shared" si="153"/>
        <v>11.397499999999999</v>
      </c>
      <c r="ON22" s="11" t="str">
        <f t="shared" si="154"/>
        <v/>
      </c>
      <c r="OO22" s="11" t="str">
        <f t="shared" si="155"/>
        <v/>
      </c>
      <c r="OP22" s="11">
        <f t="shared" si="156"/>
        <v>31.317500000000003</v>
      </c>
      <c r="OQ22" s="11" t="str">
        <f t="shared" si="157"/>
        <v/>
      </c>
      <c r="OR22" s="11" t="str">
        <f t="shared" ref="OR22" si="184">IF(SUM(OE22:OH22)-OI22&gt;0,SUM(OE22:OH22)-OI22,"")</f>
        <v/>
      </c>
      <c r="OS22" s="11">
        <f t="shared" ref="OS22" si="185">IF(SUM(OP22,OR22)&gt;0,SUM(OP22,OR22),"")</f>
        <v>31.317500000000003</v>
      </c>
    </row>
    <row r="23" spans="1:409" x14ac:dyDescent="0.2">
      <c r="A23" s="5" t="str" cm="1">
        <f t="array" ref="A23">IF(AND(G23&lt;&gt;"",H23&lt;&gt;""),SUMPRODUCT((G$4:G$28&lt;&gt;"")*(H$4:H$28&lt;&gt;"")*(E$4:E$28&gt;E23))+1,IF(H23&lt;&gt;"",SUMPRODUCT((I$4:I$28="No DD")*(E$4:E$28&gt;E23))+1+SUMPRODUCT((G$4:G$28&lt;&gt;"")*(H$4:H$28&lt;&gt;"")),""))</f>
        <v/>
      </c>
      <c r="B23" s="6" t="s">
        <v>142</v>
      </c>
      <c r="C23" s="7" t="s">
        <v>4</v>
      </c>
      <c r="D23" s="26">
        <v>2002</v>
      </c>
      <c r="E23" s="15">
        <f t="shared" si="0"/>
        <v>86.055000000000007</v>
      </c>
      <c r="F23" s="3" t="str">
        <f t="shared" si="1"/>
        <v/>
      </c>
      <c r="G23" s="115" t="str">
        <f t="shared" si="2"/>
        <v/>
      </c>
      <c r="H23" s="115" t="str">
        <f t="shared" si="3"/>
        <v/>
      </c>
      <c r="I23" s="116" t="str">
        <f t="shared" si="4"/>
        <v/>
      </c>
      <c r="J23" s="3" t="str">
        <f t="shared" si="5"/>
        <v/>
      </c>
      <c r="K23" s="14">
        <f t="shared" si="6"/>
        <v>80.41</v>
      </c>
      <c r="L23" s="14" t="str">
        <f t="shared" si="7"/>
        <v>2021 Canadian Championships</v>
      </c>
      <c r="M23" s="14">
        <f t="shared" si="8"/>
        <v>24.085000000000001</v>
      </c>
      <c r="N23" s="14" t="str">
        <f t="shared" si="9"/>
        <v>2021 Elite Canada</v>
      </c>
      <c r="O23" s="14">
        <f t="shared" si="10"/>
        <v>43.635000000000005</v>
      </c>
      <c r="P23" s="14" t="str">
        <f t="shared" si="11"/>
        <v>2021 Canadian Championships</v>
      </c>
      <c r="Q23" s="14">
        <f>IF(COUNT(AS23,AU23,AX23,BW23,BY23,CB23,DA23,DC23,DF23)&gt;1,LARGE((AS23,AU23,AX23,BW23,BY23,CB23,DA23,DC23,DF23),2),0)</f>
        <v>42.42</v>
      </c>
      <c r="R23" s="14" t="str">
        <f t="shared" si="12"/>
        <v>2021 Elite Canada</v>
      </c>
      <c r="S23" s="14" t="str">
        <f t="shared" si="13"/>
        <v/>
      </c>
      <c r="T23" s="24" t="str">
        <f t="shared" si="14"/>
        <v/>
      </c>
      <c r="U23" s="14" t="str">
        <f t="shared" si="15"/>
        <v/>
      </c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2"/>
      <c r="AQ23" s="11" t="str">
        <f t="shared" si="16"/>
        <v/>
      </c>
      <c r="AR23" s="11" t="str">
        <f t="shared" si="17"/>
        <v/>
      </c>
      <c r="AS23" s="11" t="str">
        <f t="shared" si="18"/>
        <v/>
      </c>
      <c r="AT23" s="11" t="str">
        <f t="shared" si="19"/>
        <v/>
      </c>
      <c r="AU23" s="11" t="str">
        <f t="shared" si="20"/>
        <v/>
      </c>
      <c r="AV23" s="11" t="str">
        <f t="shared" si="21"/>
        <v/>
      </c>
      <c r="AW23" s="11" t="str">
        <f t="shared" si="22"/>
        <v/>
      </c>
      <c r="AX23" s="11" t="str">
        <f t="shared" si="23"/>
        <v/>
      </c>
      <c r="AY23" s="11" t="str">
        <f t="shared" si="24"/>
        <v/>
      </c>
      <c r="AZ23" s="67">
        <v>9.8000000000000007</v>
      </c>
      <c r="BA23" s="67">
        <v>5.0999999999999996</v>
      </c>
      <c r="BB23" s="67">
        <v>0.9</v>
      </c>
      <c r="BC23" s="67">
        <v>8.2850000000000001</v>
      </c>
      <c r="BD23" s="67">
        <v>0</v>
      </c>
      <c r="BE23" s="67">
        <v>15.2</v>
      </c>
      <c r="BF23" s="67">
        <v>9.1999999999999993</v>
      </c>
      <c r="BG23" s="67">
        <v>6.8</v>
      </c>
      <c r="BH23" s="67">
        <v>13.22</v>
      </c>
      <c r="BI23" s="67">
        <v>2</v>
      </c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73"/>
      <c r="BU23" s="14">
        <f t="shared" si="25"/>
        <v>24.085000000000001</v>
      </c>
      <c r="BV23" s="14">
        <f t="shared" si="26"/>
        <v>6.8</v>
      </c>
      <c r="BW23" s="14">
        <f t="shared" si="27"/>
        <v>42.42</v>
      </c>
      <c r="BX23" s="14" t="str">
        <f t="shared" si="28"/>
        <v/>
      </c>
      <c r="BY23" s="14" t="str">
        <f t="shared" si="29"/>
        <v/>
      </c>
      <c r="BZ23" s="14">
        <f t="shared" si="30"/>
        <v>66.504999999999995</v>
      </c>
      <c r="CA23" s="14" t="str">
        <f t="shared" si="31"/>
        <v/>
      </c>
      <c r="CB23" s="14" t="str">
        <f t="shared" si="32"/>
        <v/>
      </c>
      <c r="CC23" s="14">
        <f t="shared" si="33"/>
        <v>66.504999999999995</v>
      </c>
      <c r="CD23" s="61">
        <v>15</v>
      </c>
      <c r="CE23" s="61">
        <v>9.5</v>
      </c>
      <c r="CF23" s="61">
        <v>1.9</v>
      </c>
      <c r="CG23" s="61">
        <v>13.755000000000001</v>
      </c>
      <c r="CH23" s="61">
        <v>0</v>
      </c>
      <c r="CI23" s="61">
        <v>12.9</v>
      </c>
      <c r="CJ23" s="61">
        <v>9.3000000000000007</v>
      </c>
      <c r="CK23" s="61">
        <v>6.9</v>
      </c>
      <c r="CL23" s="61">
        <v>13.055</v>
      </c>
      <c r="CM23" s="61">
        <v>1.9</v>
      </c>
      <c r="CN23" s="61"/>
      <c r="CO23" s="61"/>
      <c r="CP23" s="61"/>
      <c r="CQ23" s="61"/>
      <c r="CR23" s="61"/>
      <c r="CS23" s="61">
        <v>14.5</v>
      </c>
      <c r="CT23" s="61">
        <v>8.9</v>
      </c>
      <c r="CU23" s="61">
        <v>8</v>
      </c>
      <c r="CV23" s="61">
        <v>13.035</v>
      </c>
      <c r="CW23" s="61">
        <v>0.8</v>
      </c>
      <c r="CX23" s="72"/>
      <c r="CY23" s="11">
        <f t="shared" si="34"/>
        <v>40.155000000000001</v>
      </c>
      <c r="CZ23" s="11">
        <f t="shared" si="35"/>
        <v>6.9</v>
      </c>
      <c r="DA23" s="11">
        <f t="shared" si="36"/>
        <v>40.255000000000003</v>
      </c>
      <c r="DB23" s="11" t="str">
        <f t="shared" si="37"/>
        <v/>
      </c>
      <c r="DC23" s="11" t="str">
        <f t="shared" si="38"/>
        <v/>
      </c>
      <c r="DD23" s="11">
        <f t="shared" si="39"/>
        <v>80.41</v>
      </c>
      <c r="DE23" s="11">
        <f t="shared" si="40"/>
        <v>8</v>
      </c>
      <c r="DF23" s="11">
        <f t="shared" si="41"/>
        <v>43.635000000000005</v>
      </c>
      <c r="DG23" s="11">
        <f t="shared" si="42"/>
        <v>124.045</v>
      </c>
      <c r="DH23" s="23" t="str">
        <f t="shared" si="43"/>
        <v/>
      </c>
      <c r="DI23" s="23" t="str">
        <f t="shared" si="44"/>
        <v/>
      </c>
      <c r="DJ23" s="23" t="str">
        <f t="shared" si="45"/>
        <v/>
      </c>
      <c r="DK23" s="23" t="str">
        <f t="shared" si="46"/>
        <v/>
      </c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11" t="str">
        <f t="shared" si="47"/>
        <v/>
      </c>
      <c r="EB23" s="11" t="str">
        <f t="shared" si="48"/>
        <v/>
      </c>
      <c r="EC23" s="11" t="str">
        <f t="shared" si="49"/>
        <v/>
      </c>
      <c r="ED23" s="11" t="str">
        <f t="shared" si="50"/>
        <v/>
      </c>
      <c r="EE23" s="11" t="str">
        <f t="shared" si="51"/>
        <v/>
      </c>
      <c r="EF23" s="11" t="str">
        <f t="shared" si="52"/>
        <v/>
      </c>
      <c r="EG23" s="11" t="str">
        <f t="shared" si="53"/>
        <v/>
      </c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14" t="str">
        <f t="shared" si="54"/>
        <v/>
      </c>
      <c r="EX23" s="14" t="str">
        <f t="shared" si="55"/>
        <v/>
      </c>
      <c r="EY23" s="14" t="str">
        <f t="shared" si="56"/>
        <v/>
      </c>
      <c r="EZ23" s="14" t="str">
        <f t="shared" si="57"/>
        <v/>
      </c>
      <c r="FA23" s="14" t="str">
        <f t="shared" si="58"/>
        <v/>
      </c>
      <c r="FB23" s="14" t="str">
        <f t="shared" si="59"/>
        <v/>
      </c>
      <c r="FC23" s="14" t="str">
        <f t="shared" si="60"/>
        <v/>
      </c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11" t="str">
        <f t="shared" si="61"/>
        <v/>
      </c>
      <c r="FT23" s="11" t="str">
        <f t="shared" si="62"/>
        <v/>
      </c>
      <c r="FU23" s="11" t="str">
        <f t="shared" si="63"/>
        <v/>
      </c>
      <c r="FV23" s="11" t="str">
        <f t="shared" si="64"/>
        <v/>
      </c>
      <c r="FW23" s="11" t="str">
        <f t="shared" si="65"/>
        <v/>
      </c>
      <c r="FX23" s="11" t="str">
        <f t="shared" si="66"/>
        <v/>
      </c>
      <c r="FY23" s="11" t="str">
        <f t="shared" si="67"/>
        <v/>
      </c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14" t="str">
        <f t="shared" si="68"/>
        <v/>
      </c>
      <c r="GP23" s="14" t="str">
        <f t="shared" si="69"/>
        <v/>
      </c>
      <c r="GQ23" s="14" t="str">
        <f t="shared" si="70"/>
        <v/>
      </c>
      <c r="GR23" s="14" t="str">
        <f t="shared" si="71"/>
        <v/>
      </c>
      <c r="GS23" s="14" t="str">
        <f t="shared" si="72"/>
        <v/>
      </c>
      <c r="GT23" s="14" t="str">
        <f t="shared" si="73"/>
        <v/>
      </c>
      <c r="GU23" s="14" t="str">
        <f t="shared" si="74"/>
        <v/>
      </c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11" t="str">
        <f t="shared" si="75"/>
        <v/>
      </c>
      <c r="HL23" s="11" t="str">
        <f t="shared" si="76"/>
        <v/>
      </c>
      <c r="HM23" s="11" t="str">
        <f t="shared" si="77"/>
        <v/>
      </c>
      <c r="HN23" s="11" t="str">
        <f t="shared" si="78"/>
        <v/>
      </c>
      <c r="HO23" s="11" t="str">
        <f t="shared" si="79"/>
        <v/>
      </c>
      <c r="HP23" s="11" t="str">
        <f t="shared" si="80"/>
        <v/>
      </c>
      <c r="HQ23" s="11" t="str">
        <f t="shared" si="81"/>
        <v/>
      </c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14" t="str">
        <f t="shared" si="82"/>
        <v/>
      </c>
      <c r="IH23" s="14" t="str">
        <f t="shared" si="83"/>
        <v/>
      </c>
      <c r="II23" s="14" t="str">
        <f t="shared" si="84"/>
        <v/>
      </c>
      <c r="IJ23" s="14" t="str">
        <f t="shared" si="85"/>
        <v/>
      </c>
      <c r="IK23" s="14" t="str">
        <f t="shared" si="86"/>
        <v/>
      </c>
      <c r="IL23" s="14" t="str">
        <f t="shared" si="87"/>
        <v/>
      </c>
      <c r="IM23" s="14" t="str">
        <f t="shared" si="88"/>
        <v/>
      </c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11" t="str">
        <f t="shared" si="89"/>
        <v/>
      </c>
      <c r="JD23" s="11" t="str">
        <f t="shared" si="90"/>
        <v/>
      </c>
      <c r="JE23" s="11" t="str">
        <f t="shared" si="91"/>
        <v/>
      </c>
      <c r="JF23" s="11" t="str">
        <f t="shared" si="92"/>
        <v/>
      </c>
      <c r="JG23" s="11" t="str">
        <f t="shared" si="93"/>
        <v/>
      </c>
      <c r="JH23" s="11" t="str">
        <f t="shared" si="94"/>
        <v/>
      </c>
      <c r="JI23" s="11" t="str">
        <f t="shared" si="95"/>
        <v/>
      </c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14" t="str">
        <f t="shared" si="96"/>
        <v/>
      </c>
      <c r="JZ23" s="14" t="str">
        <f t="shared" si="97"/>
        <v/>
      </c>
      <c r="KA23" s="14" t="str">
        <f t="shared" si="98"/>
        <v/>
      </c>
      <c r="KB23" s="14" t="str">
        <f t="shared" si="99"/>
        <v/>
      </c>
      <c r="KC23" s="14" t="str">
        <f t="shared" si="100"/>
        <v/>
      </c>
      <c r="KD23" s="14" t="str">
        <f t="shared" si="101"/>
        <v/>
      </c>
      <c r="KE23" s="14" t="str">
        <f t="shared" si="102"/>
        <v/>
      </c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11" t="str">
        <f t="shared" si="103"/>
        <v/>
      </c>
      <c r="KV23" s="11" t="str">
        <f t="shared" si="104"/>
        <v/>
      </c>
      <c r="KW23" s="11" t="str">
        <f t="shared" si="105"/>
        <v/>
      </c>
      <c r="KX23" s="11" t="str">
        <f t="shared" si="106"/>
        <v/>
      </c>
      <c r="KY23" s="11" t="str">
        <f t="shared" si="107"/>
        <v/>
      </c>
      <c r="KZ23" s="11" t="str">
        <f t="shared" si="108"/>
        <v/>
      </c>
      <c r="LA23" s="11" t="str">
        <f t="shared" si="109"/>
        <v/>
      </c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14" t="str">
        <f t="shared" si="110"/>
        <v/>
      </c>
      <c r="LR23" s="14" t="str">
        <f t="shared" si="111"/>
        <v/>
      </c>
      <c r="LS23" s="14" t="str">
        <f t="shared" si="112"/>
        <v/>
      </c>
      <c r="LT23" s="14" t="str">
        <f t="shared" si="113"/>
        <v/>
      </c>
      <c r="LU23" s="14" t="str">
        <f t="shared" si="114"/>
        <v/>
      </c>
      <c r="LV23" s="14" t="str">
        <f t="shared" si="115"/>
        <v/>
      </c>
      <c r="LW23" s="14" t="str">
        <f t="shared" si="116"/>
        <v/>
      </c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11" t="str">
        <f t="shared" si="117"/>
        <v/>
      </c>
      <c r="MN23" s="11" t="str">
        <f t="shared" si="118"/>
        <v/>
      </c>
      <c r="MO23" s="11" t="str">
        <f t="shared" si="119"/>
        <v/>
      </c>
      <c r="MP23" s="11" t="str">
        <f t="shared" si="120"/>
        <v/>
      </c>
      <c r="MQ23" s="11" t="str">
        <f t="shared" si="121"/>
        <v/>
      </c>
      <c r="MR23" s="11" t="str">
        <f t="shared" si="122"/>
        <v/>
      </c>
      <c r="MS23" s="11" t="str">
        <f t="shared" si="123"/>
        <v/>
      </c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14" t="str">
        <f t="shared" si="124"/>
        <v/>
      </c>
      <c r="NJ23" s="14" t="str">
        <f t="shared" si="125"/>
        <v/>
      </c>
      <c r="NK23" s="14" t="str">
        <f t="shared" si="126"/>
        <v/>
      </c>
      <c r="NL23" s="14" t="str">
        <f t="shared" si="127"/>
        <v/>
      </c>
      <c r="NM23" s="14" t="str">
        <f t="shared" si="128"/>
        <v/>
      </c>
      <c r="NN23" s="14" t="str">
        <f t="shared" si="129"/>
        <v/>
      </c>
      <c r="NO23" s="14" t="str">
        <f t="shared" si="130"/>
        <v/>
      </c>
      <c r="NP23" s="61">
        <f t="shared" si="131"/>
        <v>12.4</v>
      </c>
      <c r="NQ23" s="61">
        <f t="shared" si="132"/>
        <v>7.3</v>
      </c>
      <c r="NR23" s="61">
        <f t="shared" si="133"/>
        <v>1.4</v>
      </c>
      <c r="NS23" s="61">
        <f t="shared" si="134"/>
        <v>11.02</v>
      </c>
      <c r="NT23" s="61">
        <f t="shared" si="135"/>
        <v>0</v>
      </c>
      <c r="NU23" s="61">
        <f t="shared" si="136"/>
        <v>14.05</v>
      </c>
      <c r="NV23" s="61">
        <f t="shared" si="137"/>
        <v>9.25</v>
      </c>
      <c r="NW23" s="61">
        <f t="shared" si="138"/>
        <v>6.85</v>
      </c>
      <c r="NX23" s="61">
        <f t="shared" si="139"/>
        <v>13.137499999999999</v>
      </c>
      <c r="NY23" s="61">
        <f t="shared" si="140"/>
        <v>1.95</v>
      </c>
      <c r="NZ23" s="61">
        <f t="shared" si="141"/>
        <v>0</v>
      </c>
      <c r="OA23" s="61">
        <f t="shared" si="142"/>
        <v>0</v>
      </c>
      <c r="OB23" s="61">
        <f t="shared" si="143"/>
        <v>0</v>
      </c>
      <c r="OC23" s="61">
        <f t="shared" si="144"/>
        <v>0</v>
      </c>
      <c r="OD23" s="61">
        <f t="shared" si="145"/>
        <v>0</v>
      </c>
      <c r="OE23" s="61">
        <f t="shared" si="146"/>
        <v>7.25</v>
      </c>
      <c r="OF23" s="61">
        <f t="shared" si="147"/>
        <v>4.45</v>
      </c>
      <c r="OG23" s="61">
        <f t="shared" si="148"/>
        <v>4</v>
      </c>
      <c r="OH23" s="61">
        <f t="shared" si="149"/>
        <v>6.5175000000000001</v>
      </c>
      <c r="OI23" s="61">
        <f t="shared" si="150"/>
        <v>0.4</v>
      </c>
      <c r="OJ23" s="72" t="s">
        <v>52</v>
      </c>
      <c r="OK23" s="11">
        <f t="shared" si="151"/>
        <v>32.119999999999997</v>
      </c>
      <c r="OL23" s="11">
        <f t="shared" si="152"/>
        <v>6.85</v>
      </c>
      <c r="OM23" s="11">
        <f t="shared" si="153"/>
        <v>41.337499999999991</v>
      </c>
      <c r="ON23" s="11" t="str">
        <f t="shared" si="154"/>
        <v/>
      </c>
      <c r="OO23" s="11" t="str">
        <f t="shared" si="155"/>
        <v/>
      </c>
      <c r="OP23" s="11">
        <f t="shared" si="156"/>
        <v>73.457499999999982</v>
      </c>
      <c r="OQ23" s="11">
        <f t="shared" si="157"/>
        <v>4</v>
      </c>
      <c r="OR23" s="11">
        <f t="shared" ref="OR23" si="186">IF(SUM(OE23:OH23)-OI23&gt;0,SUM(OE23:OH23)-OI23,"")</f>
        <v>21.817500000000003</v>
      </c>
      <c r="OS23" s="11">
        <f t="shared" ref="OS23" si="187">IF(SUM(OP23,OR23)&gt;0,SUM(OP23,OR23),"")</f>
        <v>95.274999999999977</v>
      </c>
    </row>
    <row r="24" spans="1:409" x14ac:dyDescent="0.2">
      <c r="A24" s="5" t="str" cm="1">
        <f t="array" ref="A24">IF(AND(G24&lt;&gt;"",H24&lt;&gt;""),SUMPRODUCT((G$4:G$28&lt;&gt;"")*(H$4:H$28&lt;&gt;"")*(E$4:E$28&gt;E24))+1,IF(H24&lt;&gt;"",SUMPRODUCT((I$4:I$28="No DD")*(E$4:E$28&gt;E24))+1+SUMPRODUCT((G$4:G$28&lt;&gt;"")*(H$4:H$28&lt;&gt;"")),""))</f>
        <v/>
      </c>
      <c r="B24" s="8" t="s">
        <v>96</v>
      </c>
      <c r="C24" s="4" t="s">
        <v>95</v>
      </c>
      <c r="D24" s="26">
        <v>2003</v>
      </c>
      <c r="E24" s="15">
        <f t="shared" si="0"/>
        <v>49.555</v>
      </c>
      <c r="F24" s="3" t="str">
        <f t="shared" si="1"/>
        <v/>
      </c>
      <c r="G24" s="115" t="str">
        <f t="shared" si="2"/>
        <v/>
      </c>
      <c r="H24" s="115" t="str">
        <f t="shared" si="3"/>
        <v/>
      </c>
      <c r="I24" s="116" t="str">
        <f t="shared" si="4"/>
        <v/>
      </c>
      <c r="J24" s="3" t="str">
        <f t="shared" si="5"/>
        <v/>
      </c>
      <c r="K24" s="14">
        <f t="shared" si="6"/>
        <v>62.49</v>
      </c>
      <c r="L24" s="14" t="str">
        <f t="shared" si="7"/>
        <v>2021 2nd Virtual Technical Trial</v>
      </c>
      <c r="M24" s="14">
        <f t="shared" si="8"/>
        <v>0</v>
      </c>
      <c r="N24" s="14" t="str">
        <f t="shared" si="9"/>
        <v/>
      </c>
      <c r="O24" s="14">
        <f t="shared" si="10"/>
        <v>27.46</v>
      </c>
      <c r="P24" s="14" t="str">
        <f t="shared" si="11"/>
        <v>2021 2nd Virtual Technical Trial</v>
      </c>
      <c r="Q24" s="14">
        <f>IF(COUNT(AS24,AU24,AX24,BW24,BY24,CB24,DA24,DC24,DF24)&gt;1,LARGE((AS24,AU24,AX24,BW24,BY24,CB24,DA24,DC24,DF24),2),0)</f>
        <v>22.094999999999999</v>
      </c>
      <c r="R24" s="14" t="str">
        <f t="shared" si="12"/>
        <v>2021 2nd Virtual Technical Trial</v>
      </c>
      <c r="S24" s="14" t="str">
        <f t="shared" si="13"/>
        <v/>
      </c>
      <c r="T24" s="24" t="str">
        <f t="shared" si="14"/>
        <v/>
      </c>
      <c r="U24" s="14" t="str">
        <f t="shared" si="15"/>
        <v/>
      </c>
      <c r="V24" s="61">
        <v>15.4</v>
      </c>
      <c r="W24" s="61">
        <v>9.6999999999999993</v>
      </c>
      <c r="X24" s="61">
        <v>1.5</v>
      </c>
      <c r="Y24" s="61">
        <v>13.795</v>
      </c>
      <c r="Z24" s="61">
        <v>0</v>
      </c>
      <c r="AA24" s="61">
        <v>7.1</v>
      </c>
      <c r="AB24" s="61">
        <v>4.5</v>
      </c>
      <c r="AC24" s="61">
        <v>3.6</v>
      </c>
      <c r="AD24" s="61">
        <v>6.8949999999999996</v>
      </c>
      <c r="AE24" s="61">
        <v>0</v>
      </c>
      <c r="AF24" s="61"/>
      <c r="AG24" s="61"/>
      <c r="AH24" s="61"/>
      <c r="AI24" s="61"/>
      <c r="AJ24" s="61"/>
      <c r="AK24" s="61">
        <v>8.3000000000000007</v>
      </c>
      <c r="AL24" s="61">
        <v>5.6</v>
      </c>
      <c r="AM24" s="61">
        <v>5.3</v>
      </c>
      <c r="AN24" s="61">
        <v>8.26</v>
      </c>
      <c r="AO24" s="61">
        <v>0</v>
      </c>
      <c r="AP24" s="72"/>
      <c r="AQ24" s="11">
        <f t="shared" si="16"/>
        <v>40.395000000000003</v>
      </c>
      <c r="AR24" s="11">
        <f t="shared" si="17"/>
        <v>3.6</v>
      </c>
      <c r="AS24" s="11">
        <f t="shared" si="18"/>
        <v>22.094999999999999</v>
      </c>
      <c r="AT24" s="11" t="str">
        <f t="shared" si="19"/>
        <v/>
      </c>
      <c r="AU24" s="11" t="str">
        <f t="shared" si="20"/>
        <v/>
      </c>
      <c r="AV24" s="11">
        <f t="shared" si="21"/>
        <v>62.49</v>
      </c>
      <c r="AW24" s="11">
        <f t="shared" si="22"/>
        <v>5.3</v>
      </c>
      <c r="AX24" s="11">
        <f t="shared" si="23"/>
        <v>27.46</v>
      </c>
      <c r="AY24" s="11">
        <f t="shared" si="24"/>
        <v>89.95</v>
      </c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73"/>
      <c r="BU24" s="14" t="str">
        <f t="shared" si="25"/>
        <v/>
      </c>
      <c r="BV24" s="14" t="str">
        <f t="shared" si="26"/>
        <v/>
      </c>
      <c r="BW24" s="14" t="str">
        <f t="shared" si="27"/>
        <v/>
      </c>
      <c r="BX24" s="14" t="str">
        <f t="shared" si="28"/>
        <v/>
      </c>
      <c r="BY24" s="14" t="str">
        <f t="shared" si="29"/>
        <v/>
      </c>
      <c r="BZ24" s="14" t="str">
        <f t="shared" si="30"/>
        <v/>
      </c>
      <c r="CA24" s="14" t="str">
        <f t="shared" si="31"/>
        <v/>
      </c>
      <c r="CB24" s="14" t="str">
        <f t="shared" si="32"/>
        <v/>
      </c>
      <c r="CC24" s="14" t="str">
        <f t="shared" si="33"/>
        <v/>
      </c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72"/>
      <c r="CY24" s="11" t="str">
        <f t="shared" si="34"/>
        <v/>
      </c>
      <c r="CZ24" s="11" t="str">
        <f t="shared" si="35"/>
        <v/>
      </c>
      <c r="DA24" s="11" t="str">
        <f t="shared" si="36"/>
        <v/>
      </c>
      <c r="DB24" s="11" t="str">
        <f t="shared" si="37"/>
        <v/>
      </c>
      <c r="DC24" s="11" t="str">
        <f t="shared" si="38"/>
        <v/>
      </c>
      <c r="DD24" s="11" t="str">
        <f t="shared" si="39"/>
        <v/>
      </c>
      <c r="DE24" s="11" t="str">
        <f t="shared" si="40"/>
        <v/>
      </c>
      <c r="DF24" s="11" t="str">
        <f t="shared" si="41"/>
        <v/>
      </c>
      <c r="DG24" s="11" t="str">
        <f t="shared" si="42"/>
        <v/>
      </c>
      <c r="DH24" s="23" t="str">
        <f t="shared" si="43"/>
        <v/>
      </c>
      <c r="DI24" s="23" t="str">
        <f t="shared" si="44"/>
        <v/>
      </c>
      <c r="DJ24" s="23" t="str">
        <f t="shared" si="45"/>
        <v/>
      </c>
      <c r="DK24" s="23" t="str">
        <f t="shared" si="46"/>
        <v/>
      </c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11" t="str">
        <f t="shared" si="47"/>
        <v/>
      </c>
      <c r="EB24" s="11" t="str">
        <f t="shared" si="48"/>
        <v/>
      </c>
      <c r="EC24" s="11" t="str">
        <f t="shared" si="49"/>
        <v/>
      </c>
      <c r="ED24" s="11" t="str">
        <f t="shared" si="50"/>
        <v/>
      </c>
      <c r="EE24" s="11" t="str">
        <f t="shared" si="51"/>
        <v/>
      </c>
      <c r="EF24" s="11" t="str">
        <f t="shared" si="52"/>
        <v/>
      </c>
      <c r="EG24" s="11" t="str">
        <f t="shared" si="53"/>
        <v/>
      </c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14" t="str">
        <f t="shared" si="54"/>
        <v/>
      </c>
      <c r="EX24" s="14" t="str">
        <f t="shared" si="55"/>
        <v/>
      </c>
      <c r="EY24" s="14" t="str">
        <f t="shared" si="56"/>
        <v/>
      </c>
      <c r="EZ24" s="14" t="str">
        <f t="shared" si="57"/>
        <v/>
      </c>
      <c r="FA24" s="14" t="str">
        <f t="shared" si="58"/>
        <v/>
      </c>
      <c r="FB24" s="14" t="str">
        <f t="shared" si="59"/>
        <v/>
      </c>
      <c r="FC24" s="14" t="str">
        <f t="shared" si="60"/>
        <v/>
      </c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11" t="str">
        <f t="shared" si="61"/>
        <v/>
      </c>
      <c r="FT24" s="11" t="str">
        <f t="shared" si="62"/>
        <v/>
      </c>
      <c r="FU24" s="11" t="str">
        <f t="shared" si="63"/>
        <v/>
      </c>
      <c r="FV24" s="11" t="str">
        <f t="shared" si="64"/>
        <v/>
      </c>
      <c r="FW24" s="11" t="str">
        <f t="shared" si="65"/>
        <v/>
      </c>
      <c r="FX24" s="11" t="str">
        <f t="shared" si="66"/>
        <v/>
      </c>
      <c r="FY24" s="11" t="str">
        <f t="shared" si="67"/>
        <v/>
      </c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14" t="str">
        <f t="shared" si="68"/>
        <v/>
      </c>
      <c r="GP24" s="14" t="str">
        <f t="shared" si="69"/>
        <v/>
      </c>
      <c r="GQ24" s="14" t="str">
        <f t="shared" si="70"/>
        <v/>
      </c>
      <c r="GR24" s="14" t="str">
        <f t="shared" si="71"/>
        <v/>
      </c>
      <c r="GS24" s="14" t="str">
        <f t="shared" si="72"/>
        <v/>
      </c>
      <c r="GT24" s="14" t="str">
        <f t="shared" si="73"/>
        <v/>
      </c>
      <c r="GU24" s="14" t="str">
        <f t="shared" si="74"/>
        <v/>
      </c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11" t="str">
        <f t="shared" si="75"/>
        <v/>
      </c>
      <c r="HL24" s="11" t="str">
        <f t="shared" si="76"/>
        <v/>
      </c>
      <c r="HM24" s="11" t="str">
        <f t="shared" si="77"/>
        <v/>
      </c>
      <c r="HN24" s="11" t="str">
        <f t="shared" si="78"/>
        <v/>
      </c>
      <c r="HO24" s="11" t="str">
        <f t="shared" si="79"/>
        <v/>
      </c>
      <c r="HP24" s="11" t="str">
        <f t="shared" si="80"/>
        <v/>
      </c>
      <c r="HQ24" s="11" t="str">
        <f t="shared" si="81"/>
        <v/>
      </c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14" t="str">
        <f t="shared" si="82"/>
        <v/>
      </c>
      <c r="IH24" s="14" t="str">
        <f t="shared" si="83"/>
        <v/>
      </c>
      <c r="II24" s="14" t="str">
        <f t="shared" si="84"/>
        <v/>
      </c>
      <c r="IJ24" s="14" t="str">
        <f t="shared" si="85"/>
        <v/>
      </c>
      <c r="IK24" s="14" t="str">
        <f t="shared" si="86"/>
        <v/>
      </c>
      <c r="IL24" s="14" t="str">
        <f t="shared" si="87"/>
        <v/>
      </c>
      <c r="IM24" s="14" t="str">
        <f t="shared" si="88"/>
        <v/>
      </c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11" t="str">
        <f t="shared" si="89"/>
        <v/>
      </c>
      <c r="JD24" s="11" t="str">
        <f t="shared" si="90"/>
        <v/>
      </c>
      <c r="JE24" s="11" t="str">
        <f t="shared" si="91"/>
        <v/>
      </c>
      <c r="JF24" s="11" t="str">
        <f t="shared" si="92"/>
        <v/>
      </c>
      <c r="JG24" s="11" t="str">
        <f t="shared" si="93"/>
        <v/>
      </c>
      <c r="JH24" s="11" t="str">
        <f t="shared" si="94"/>
        <v/>
      </c>
      <c r="JI24" s="11" t="str">
        <f t="shared" si="95"/>
        <v/>
      </c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14" t="str">
        <f t="shared" si="96"/>
        <v/>
      </c>
      <c r="JZ24" s="14" t="str">
        <f t="shared" si="97"/>
        <v/>
      </c>
      <c r="KA24" s="14" t="str">
        <f t="shared" si="98"/>
        <v/>
      </c>
      <c r="KB24" s="14" t="str">
        <f t="shared" si="99"/>
        <v/>
      </c>
      <c r="KC24" s="14" t="str">
        <f t="shared" si="100"/>
        <v/>
      </c>
      <c r="KD24" s="14" t="str">
        <f t="shared" si="101"/>
        <v/>
      </c>
      <c r="KE24" s="14" t="str">
        <f t="shared" si="102"/>
        <v/>
      </c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11" t="str">
        <f t="shared" si="103"/>
        <v/>
      </c>
      <c r="KV24" s="11" t="str">
        <f t="shared" si="104"/>
        <v/>
      </c>
      <c r="KW24" s="11" t="str">
        <f t="shared" si="105"/>
        <v/>
      </c>
      <c r="KX24" s="11" t="str">
        <f t="shared" si="106"/>
        <v/>
      </c>
      <c r="KY24" s="11" t="str">
        <f t="shared" si="107"/>
        <v/>
      </c>
      <c r="KZ24" s="11" t="str">
        <f t="shared" si="108"/>
        <v/>
      </c>
      <c r="LA24" s="11" t="str">
        <f t="shared" si="109"/>
        <v/>
      </c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14" t="str">
        <f t="shared" si="110"/>
        <v/>
      </c>
      <c r="LR24" s="14" t="str">
        <f t="shared" si="111"/>
        <v/>
      </c>
      <c r="LS24" s="14" t="str">
        <f t="shared" si="112"/>
        <v/>
      </c>
      <c r="LT24" s="14" t="str">
        <f t="shared" si="113"/>
        <v/>
      </c>
      <c r="LU24" s="14" t="str">
        <f t="shared" si="114"/>
        <v/>
      </c>
      <c r="LV24" s="14" t="str">
        <f t="shared" si="115"/>
        <v/>
      </c>
      <c r="LW24" s="14" t="str">
        <f t="shared" si="116"/>
        <v/>
      </c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11" t="str">
        <f t="shared" si="117"/>
        <v/>
      </c>
      <c r="MN24" s="11" t="str">
        <f t="shared" si="118"/>
        <v/>
      </c>
      <c r="MO24" s="11" t="str">
        <f t="shared" si="119"/>
        <v/>
      </c>
      <c r="MP24" s="11" t="str">
        <f t="shared" si="120"/>
        <v/>
      </c>
      <c r="MQ24" s="11" t="str">
        <f t="shared" si="121"/>
        <v/>
      </c>
      <c r="MR24" s="11" t="str">
        <f t="shared" si="122"/>
        <v/>
      </c>
      <c r="MS24" s="11" t="str">
        <f t="shared" si="123"/>
        <v/>
      </c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14" t="str">
        <f t="shared" si="124"/>
        <v/>
      </c>
      <c r="NJ24" s="14" t="str">
        <f t="shared" si="125"/>
        <v/>
      </c>
      <c r="NK24" s="14" t="str">
        <f t="shared" si="126"/>
        <v/>
      </c>
      <c r="NL24" s="14" t="str">
        <f t="shared" si="127"/>
        <v/>
      </c>
      <c r="NM24" s="14" t="str">
        <f t="shared" si="128"/>
        <v/>
      </c>
      <c r="NN24" s="14" t="str">
        <f t="shared" si="129"/>
        <v/>
      </c>
      <c r="NO24" s="14" t="str">
        <f t="shared" si="130"/>
        <v/>
      </c>
      <c r="NP24" s="61">
        <f t="shared" si="131"/>
        <v>0</v>
      </c>
      <c r="NQ24" s="61">
        <f t="shared" si="132"/>
        <v>0</v>
      </c>
      <c r="NR24" s="61">
        <f t="shared" si="133"/>
        <v>0</v>
      </c>
      <c r="NS24" s="61">
        <f t="shared" si="134"/>
        <v>0</v>
      </c>
      <c r="NT24" s="61">
        <f t="shared" si="135"/>
        <v>0</v>
      </c>
      <c r="NU24" s="61">
        <f t="shared" si="136"/>
        <v>0</v>
      </c>
      <c r="NV24" s="61">
        <f t="shared" si="137"/>
        <v>0</v>
      </c>
      <c r="NW24" s="61">
        <f t="shared" si="138"/>
        <v>0</v>
      </c>
      <c r="NX24" s="61">
        <f t="shared" si="139"/>
        <v>0</v>
      </c>
      <c r="NY24" s="61">
        <f t="shared" si="140"/>
        <v>0</v>
      </c>
      <c r="NZ24" s="61">
        <f t="shared" si="141"/>
        <v>0</v>
      </c>
      <c r="OA24" s="61">
        <f t="shared" si="142"/>
        <v>0</v>
      </c>
      <c r="OB24" s="61">
        <f t="shared" si="143"/>
        <v>0</v>
      </c>
      <c r="OC24" s="61">
        <f t="shared" si="144"/>
        <v>0</v>
      </c>
      <c r="OD24" s="61">
        <f t="shared" si="145"/>
        <v>0</v>
      </c>
      <c r="OE24" s="61">
        <f t="shared" si="146"/>
        <v>0</v>
      </c>
      <c r="OF24" s="61">
        <f t="shared" si="147"/>
        <v>0</v>
      </c>
      <c r="OG24" s="61">
        <f t="shared" si="148"/>
        <v>0</v>
      </c>
      <c r="OH24" s="61">
        <f t="shared" si="149"/>
        <v>0</v>
      </c>
      <c r="OI24" s="61">
        <f t="shared" si="150"/>
        <v>0</v>
      </c>
      <c r="OJ24" s="72" t="s">
        <v>52</v>
      </c>
      <c r="OK24" s="11" t="str">
        <f t="shared" si="151"/>
        <v/>
      </c>
      <c r="OL24" s="11" t="str">
        <f t="shared" si="152"/>
        <v/>
      </c>
      <c r="OM24" s="11" t="str">
        <f t="shared" si="153"/>
        <v/>
      </c>
      <c r="ON24" s="11" t="str">
        <f t="shared" si="154"/>
        <v/>
      </c>
      <c r="OO24" s="11" t="str">
        <f t="shared" si="155"/>
        <v/>
      </c>
      <c r="OP24" s="11" t="str">
        <f t="shared" si="156"/>
        <v/>
      </c>
      <c r="OQ24" s="11" t="str">
        <f t="shared" si="157"/>
        <v/>
      </c>
      <c r="OR24" s="11" t="str">
        <f t="shared" ref="OR24" si="188">IF(SUM(OE24:OH24)-OI24&gt;0,SUM(OE24:OH24)-OI24,"")</f>
        <v/>
      </c>
      <c r="OS24" s="11" t="str">
        <f t="shared" ref="OS24" si="189">IF(SUM(OP24,OR24)&gt;0,SUM(OP24,OR24),"")</f>
        <v/>
      </c>
    </row>
    <row r="25" spans="1:409" x14ac:dyDescent="0.2">
      <c r="A25" s="5" t="str" cm="1">
        <f t="array" ref="A25">IF(AND(G25&lt;&gt;"",H25&lt;&gt;""),SUMPRODUCT((G$4:G$28&lt;&gt;"")*(H$4:H$28&lt;&gt;"")*(E$4:E$28&gt;E25))+1,IF(H25&lt;&gt;"",SUMPRODUCT((I$4:I$28="No DD")*(E$4:E$28&gt;E25))+1+SUMPRODUCT((G$4:G$28&lt;&gt;"")*(H$4:H$28&lt;&gt;"")),""))</f>
        <v/>
      </c>
      <c r="B25" s="6" t="s">
        <v>143</v>
      </c>
      <c r="C25" s="7" t="s">
        <v>5</v>
      </c>
      <c r="D25" s="26">
        <v>2001</v>
      </c>
      <c r="E25" s="15">
        <f t="shared" si="0"/>
        <v>35.46</v>
      </c>
      <c r="F25" s="3" t="str">
        <f t="shared" si="1"/>
        <v/>
      </c>
      <c r="G25" s="115" t="str">
        <f t="shared" si="2"/>
        <v/>
      </c>
      <c r="H25" s="115" t="str">
        <f t="shared" si="3"/>
        <v/>
      </c>
      <c r="I25" s="116" t="str">
        <f t="shared" si="4"/>
        <v/>
      </c>
      <c r="J25" s="3" t="str">
        <f t="shared" si="5"/>
        <v/>
      </c>
      <c r="K25" s="14">
        <f t="shared" si="6"/>
        <v>70.38</v>
      </c>
      <c r="L25" s="14" t="str">
        <f t="shared" si="7"/>
        <v>2021 Canadian Championships</v>
      </c>
      <c r="M25" s="14">
        <f t="shared" si="8"/>
        <v>36.510000000000005</v>
      </c>
      <c r="N25" s="14" t="str">
        <f t="shared" si="9"/>
        <v>2021 Elite Canada</v>
      </c>
      <c r="O25" s="14">
        <f t="shared" si="10"/>
        <v>30.405000000000001</v>
      </c>
      <c r="P25" s="14" t="str">
        <f t="shared" si="11"/>
        <v>2021 Canadian Championships</v>
      </c>
      <c r="Q25" s="14">
        <f>IF(COUNT(AS25,AU25,AX25,BW25,BY25,CB25,DA25,DC25,DF25)&gt;1,LARGE((AS25,AU25,AX25,BW25,BY25,CB25,DA25,DC25,DF25),2),0)</f>
        <v>5.0549999999999997</v>
      </c>
      <c r="R25" s="14" t="str">
        <f t="shared" si="12"/>
        <v>2021 Elite Canada</v>
      </c>
      <c r="S25" s="14" t="str">
        <f t="shared" si="13"/>
        <v/>
      </c>
      <c r="T25" s="24" t="str">
        <f t="shared" si="14"/>
        <v/>
      </c>
      <c r="U25" s="14" t="str">
        <f t="shared" si="15"/>
        <v/>
      </c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72"/>
      <c r="AQ25" s="11" t="str">
        <f t="shared" si="16"/>
        <v/>
      </c>
      <c r="AR25" s="11" t="str">
        <f t="shared" si="17"/>
        <v/>
      </c>
      <c r="AS25" s="11" t="str">
        <f t="shared" si="18"/>
        <v/>
      </c>
      <c r="AT25" s="11" t="str">
        <f t="shared" si="19"/>
        <v/>
      </c>
      <c r="AU25" s="11" t="str">
        <f t="shared" si="20"/>
        <v/>
      </c>
      <c r="AV25" s="11" t="str">
        <f t="shared" si="21"/>
        <v/>
      </c>
      <c r="AW25" s="11" t="str">
        <f t="shared" si="22"/>
        <v/>
      </c>
      <c r="AX25" s="11" t="str">
        <f t="shared" si="23"/>
        <v/>
      </c>
      <c r="AY25" s="11" t="str">
        <f t="shared" si="24"/>
        <v/>
      </c>
      <c r="AZ25" s="67">
        <v>14.9</v>
      </c>
      <c r="BA25" s="67">
        <v>8.4</v>
      </c>
      <c r="BB25" s="67">
        <v>0.8</v>
      </c>
      <c r="BC25" s="67">
        <v>12.41</v>
      </c>
      <c r="BD25" s="67">
        <v>0</v>
      </c>
      <c r="BE25" s="67">
        <v>1.4</v>
      </c>
      <c r="BF25" s="67">
        <v>0.9</v>
      </c>
      <c r="BG25" s="67">
        <v>1.5</v>
      </c>
      <c r="BH25" s="67">
        <v>1.4550000000000001</v>
      </c>
      <c r="BI25" s="67">
        <v>0.2</v>
      </c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73"/>
      <c r="BU25" s="14">
        <f t="shared" si="25"/>
        <v>36.510000000000005</v>
      </c>
      <c r="BV25" s="14">
        <f t="shared" si="26"/>
        <v>1.5</v>
      </c>
      <c r="BW25" s="14">
        <f t="shared" si="27"/>
        <v>5.0549999999999997</v>
      </c>
      <c r="BX25" s="14" t="str">
        <f t="shared" si="28"/>
        <v/>
      </c>
      <c r="BY25" s="14" t="str">
        <f t="shared" si="29"/>
        <v/>
      </c>
      <c r="BZ25" s="14">
        <f t="shared" si="30"/>
        <v>41.565000000000005</v>
      </c>
      <c r="CA25" s="14" t="str">
        <f t="shared" si="31"/>
        <v/>
      </c>
      <c r="CB25" s="14" t="str">
        <f t="shared" si="32"/>
        <v/>
      </c>
      <c r="CC25" s="14">
        <f t="shared" si="33"/>
        <v>41.565000000000005</v>
      </c>
      <c r="CD25" s="61">
        <v>15.4</v>
      </c>
      <c r="CE25" s="61">
        <v>8.9</v>
      </c>
      <c r="CF25" s="61">
        <v>2.1</v>
      </c>
      <c r="CG25" s="61">
        <v>13.574999999999999</v>
      </c>
      <c r="CH25" s="61">
        <v>0</v>
      </c>
      <c r="CI25" s="61">
        <v>9.1</v>
      </c>
      <c r="CJ25" s="61">
        <v>6.2</v>
      </c>
      <c r="CK25" s="61">
        <v>6.5</v>
      </c>
      <c r="CL25" s="61">
        <v>8.8049999999999997</v>
      </c>
      <c r="CM25" s="61">
        <v>0.2</v>
      </c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72"/>
      <c r="CY25" s="11">
        <f t="shared" si="34"/>
        <v>39.975000000000001</v>
      </c>
      <c r="CZ25" s="11">
        <f t="shared" si="35"/>
        <v>6.5</v>
      </c>
      <c r="DA25" s="11">
        <f t="shared" si="36"/>
        <v>30.405000000000001</v>
      </c>
      <c r="DB25" s="11" t="str">
        <f t="shared" si="37"/>
        <v/>
      </c>
      <c r="DC25" s="11" t="str">
        <f t="shared" si="38"/>
        <v/>
      </c>
      <c r="DD25" s="11">
        <f t="shared" si="39"/>
        <v>70.38</v>
      </c>
      <c r="DE25" s="11" t="str">
        <f t="shared" si="40"/>
        <v/>
      </c>
      <c r="DF25" s="11" t="str">
        <f t="shared" si="41"/>
        <v/>
      </c>
      <c r="DG25" s="11">
        <f t="shared" si="42"/>
        <v>70.38</v>
      </c>
      <c r="DH25" s="23" t="str">
        <f t="shared" si="43"/>
        <v/>
      </c>
      <c r="DI25" s="23" t="str">
        <f t="shared" si="44"/>
        <v/>
      </c>
      <c r="DJ25" s="23" t="str">
        <f t="shared" si="45"/>
        <v/>
      </c>
      <c r="DK25" s="23" t="str">
        <f t="shared" si="46"/>
        <v/>
      </c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11" t="str">
        <f t="shared" si="47"/>
        <v/>
      </c>
      <c r="EB25" s="11" t="str">
        <f t="shared" si="48"/>
        <v/>
      </c>
      <c r="EC25" s="11" t="str">
        <f t="shared" si="49"/>
        <v/>
      </c>
      <c r="ED25" s="11" t="str">
        <f t="shared" si="50"/>
        <v/>
      </c>
      <c r="EE25" s="11" t="str">
        <f t="shared" si="51"/>
        <v/>
      </c>
      <c r="EF25" s="11" t="str">
        <f t="shared" si="52"/>
        <v/>
      </c>
      <c r="EG25" s="11" t="str">
        <f t="shared" si="53"/>
        <v/>
      </c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14" t="str">
        <f t="shared" si="54"/>
        <v/>
      </c>
      <c r="EX25" s="14" t="str">
        <f t="shared" si="55"/>
        <v/>
      </c>
      <c r="EY25" s="14" t="str">
        <f t="shared" si="56"/>
        <v/>
      </c>
      <c r="EZ25" s="14" t="str">
        <f t="shared" si="57"/>
        <v/>
      </c>
      <c r="FA25" s="14" t="str">
        <f t="shared" si="58"/>
        <v/>
      </c>
      <c r="FB25" s="14" t="str">
        <f t="shared" si="59"/>
        <v/>
      </c>
      <c r="FC25" s="14" t="str">
        <f t="shared" si="60"/>
        <v/>
      </c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11" t="str">
        <f t="shared" si="61"/>
        <v/>
      </c>
      <c r="FT25" s="11" t="str">
        <f t="shared" si="62"/>
        <v/>
      </c>
      <c r="FU25" s="11" t="str">
        <f t="shared" si="63"/>
        <v/>
      </c>
      <c r="FV25" s="11" t="str">
        <f t="shared" si="64"/>
        <v/>
      </c>
      <c r="FW25" s="11" t="str">
        <f t="shared" si="65"/>
        <v/>
      </c>
      <c r="FX25" s="11" t="str">
        <f t="shared" si="66"/>
        <v/>
      </c>
      <c r="FY25" s="11" t="str">
        <f t="shared" si="67"/>
        <v/>
      </c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14" t="str">
        <f t="shared" si="68"/>
        <v/>
      </c>
      <c r="GP25" s="14" t="str">
        <f t="shared" si="69"/>
        <v/>
      </c>
      <c r="GQ25" s="14" t="str">
        <f t="shared" si="70"/>
        <v/>
      </c>
      <c r="GR25" s="14" t="str">
        <f t="shared" si="71"/>
        <v/>
      </c>
      <c r="GS25" s="14" t="str">
        <f t="shared" si="72"/>
        <v/>
      </c>
      <c r="GT25" s="14" t="str">
        <f t="shared" si="73"/>
        <v/>
      </c>
      <c r="GU25" s="14" t="str">
        <f t="shared" si="74"/>
        <v/>
      </c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11" t="str">
        <f t="shared" si="75"/>
        <v/>
      </c>
      <c r="HL25" s="11" t="str">
        <f t="shared" si="76"/>
        <v/>
      </c>
      <c r="HM25" s="11" t="str">
        <f t="shared" si="77"/>
        <v/>
      </c>
      <c r="HN25" s="11" t="str">
        <f t="shared" si="78"/>
        <v/>
      </c>
      <c r="HO25" s="11" t="str">
        <f t="shared" si="79"/>
        <v/>
      </c>
      <c r="HP25" s="11" t="str">
        <f t="shared" si="80"/>
        <v/>
      </c>
      <c r="HQ25" s="11" t="str">
        <f t="shared" si="81"/>
        <v/>
      </c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14" t="str">
        <f t="shared" si="82"/>
        <v/>
      </c>
      <c r="IH25" s="14" t="str">
        <f t="shared" si="83"/>
        <v/>
      </c>
      <c r="II25" s="14" t="str">
        <f t="shared" si="84"/>
        <v/>
      </c>
      <c r="IJ25" s="14" t="str">
        <f t="shared" si="85"/>
        <v/>
      </c>
      <c r="IK25" s="14" t="str">
        <f t="shared" si="86"/>
        <v/>
      </c>
      <c r="IL25" s="14" t="str">
        <f t="shared" si="87"/>
        <v/>
      </c>
      <c r="IM25" s="14" t="str">
        <f t="shared" si="88"/>
        <v/>
      </c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11" t="str">
        <f t="shared" si="89"/>
        <v/>
      </c>
      <c r="JD25" s="11" t="str">
        <f t="shared" si="90"/>
        <v/>
      </c>
      <c r="JE25" s="11" t="str">
        <f t="shared" si="91"/>
        <v/>
      </c>
      <c r="JF25" s="11" t="str">
        <f t="shared" si="92"/>
        <v/>
      </c>
      <c r="JG25" s="11" t="str">
        <f t="shared" si="93"/>
        <v/>
      </c>
      <c r="JH25" s="11" t="str">
        <f t="shared" si="94"/>
        <v/>
      </c>
      <c r="JI25" s="11" t="str">
        <f t="shared" si="95"/>
        <v/>
      </c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14" t="str">
        <f t="shared" si="96"/>
        <v/>
      </c>
      <c r="JZ25" s="14" t="str">
        <f t="shared" si="97"/>
        <v/>
      </c>
      <c r="KA25" s="14" t="str">
        <f t="shared" si="98"/>
        <v/>
      </c>
      <c r="KB25" s="14" t="str">
        <f t="shared" si="99"/>
        <v/>
      </c>
      <c r="KC25" s="14" t="str">
        <f t="shared" si="100"/>
        <v/>
      </c>
      <c r="KD25" s="14" t="str">
        <f t="shared" si="101"/>
        <v/>
      </c>
      <c r="KE25" s="14" t="str">
        <f t="shared" si="102"/>
        <v/>
      </c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11" t="str">
        <f t="shared" si="103"/>
        <v/>
      </c>
      <c r="KV25" s="11" t="str">
        <f t="shared" si="104"/>
        <v/>
      </c>
      <c r="KW25" s="11" t="str">
        <f t="shared" si="105"/>
        <v/>
      </c>
      <c r="KX25" s="11" t="str">
        <f t="shared" si="106"/>
        <v/>
      </c>
      <c r="KY25" s="11" t="str">
        <f t="shared" si="107"/>
        <v/>
      </c>
      <c r="KZ25" s="11" t="str">
        <f t="shared" si="108"/>
        <v/>
      </c>
      <c r="LA25" s="11" t="str">
        <f t="shared" si="109"/>
        <v/>
      </c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14" t="str">
        <f t="shared" si="110"/>
        <v/>
      </c>
      <c r="LR25" s="14" t="str">
        <f t="shared" si="111"/>
        <v/>
      </c>
      <c r="LS25" s="14" t="str">
        <f t="shared" si="112"/>
        <v/>
      </c>
      <c r="LT25" s="14" t="str">
        <f t="shared" si="113"/>
        <v/>
      </c>
      <c r="LU25" s="14" t="str">
        <f t="shared" si="114"/>
        <v/>
      </c>
      <c r="LV25" s="14" t="str">
        <f t="shared" si="115"/>
        <v/>
      </c>
      <c r="LW25" s="14" t="str">
        <f t="shared" si="116"/>
        <v/>
      </c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11" t="str">
        <f t="shared" si="117"/>
        <v/>
      </c>
      <c r="MN25" s="11" t="str">
        <f t="shared" si="118"/>
        <v/>
      </c>
      <c r="MO25" s="11" t="str">
        <f t="shared" si="119"/>
        <v/>
      </c>
      <c r="MP25" s="11" t="str">
        <f t="shared" si="120"/>
        <v/>
      </c>
      <c r="MQ25" s="11" t="str">
        <f t="shared" si="121"/>
        <v/>
      </c>
      <c r="MR25" s="11" t="str">
        <f t="shared" si="122"/>
        <v/>
      </c>
      <c r="MS25" s="11" t="str">
        <f t="shared" si="123"/>
        <v/>
      </c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14" t="str">
        <f t="shared" si="124"/>
        <v/>
      </c>
      <c r="NJ25" s="14" t="str">
        <f t="shared" si="125"/>
        <v/>
      </c>
      <c r="NK25" s="14" t="str">
        <f t="shared" si="126"/>
        <v/>
      </c>
      <c r="NL25" s="14" t="str">
        <f t="shared" si="127"/>
        <v/>
      </c>
      <c r="NM25" s="14" t="str">
        <f t="shared" si="128"/>
        <v/>
      </c>
      <c r="NN25" s="14" t="str">
        <f t="shared" si="129"/>
        <v/>
      </c>
      <c r="NO25" s="14" t="str">
        <f t="shared" si="130"/>
        <v/>
      </c>
      <c r="NP25" s="61">
        <f t="shared" si="131"/>
        <v>15.15</v>
      </c>
      <c r="NQ25" s="61">
        <f t="shared" si="132"/>
        <v>8.65</v>
      </c>
      <c r="NR25" s="61">
        <f t="shared" si="133"/>
        <v>1.4500000000000002</v>
      </c>
      <c r="NS25" s="61">
        <f t="shared" si="134"/>
        <v>12.9925</v>
      </c>
      <c r="NT25" s="61">
        <f t="shared" si="135"/>
        <v>0</v>
      </c>
      <c r="NU25" s="61">
        <f t="shared" si="136"/>
        <v>5.25</v>
      </c>
      <c r="NV25" s="61">
        <f t="shared" si="137"/>
        <v>3.5500000000000003</v>
      </c>
      <c r="NW25" s="61">
        <f t="shared" si="138"/>
        <v>4</v>
      </c>
      <c r="NX25" s="61">
        <f t="shared" si="139"/>
        <v>5.13</v>
      </c>
      <c r="NY25" s="61">
        <f t="shared" si="140"/>
        <v>0.2</v>
      </c>
      <c r="NZ25" s="61">
        <f t="shared" si="141"/>
        <v>0</v>
      </c>
      <c r="OA25" s="61">
        <f t="shared" si="142"/>
        <v>0</v>
      </c>
      <c r="OB25" s="61">
        <f t="shared" si="143"/>
        <v>0</v>
      </c>
      <c r="OC25" s="61">
        <f t="shared" si="144"/>
        <v>0</v>
      </c>
      <c r="OD25" s="61">
        <f t="shared" si="145"/>
        <v>0</v>
      </c>
      <c r="OE25" s="61">
        <f t="shared" si="146"/>
        <v>0</v>
      </c>
      <c r="OF25" s="61">
        <f t="shared" si="147"/>
        <v>0</v>
      </c>
      <c r="OG25" s="61">
        <f t="shared" si="148"/>
        <v>0</v>
      </c>
      <c r="OH25" s="61">
        <f t="shared" si="149"/>
        <v>0</v>
      </c>
      <c r="OI25" s="61">
        <f t="shared" si="150"/>
        <v>0</v>
      </c>
      <c r="OJ25" s="72" t="s">
        <v>52</v>
      </c>
      <c r="OK25" s="11">
        <f t="shared" si="151"/>
        <v>38.2425</v>
      </c>
      <c r="OL25" s="11">
        <f t="shared" si="152"/>
        <v>4</v>
      </c>
      <c r="OM25" s="11">
        <f t="shared" si="153"/>
        <v>17.73</v>
      </c>
      <c r="ON25" s="11" t="str">
        <f t="shared" si="154"/>
        <v/>
      </c>
      <c r="OO25" s="11" t="str">
        <f t="shared" si="155"/>
        <v/>
      </c>
      <c r="OP25" s="11">
        <f t="shared" si="156"/>
        <v>55.972499999999997</v>
      </c>
      <c r="OQ25" s="11" t="str">
        <f t="shared" si="157"/>
        <v/>
      </c>
      <c r="OR25" s="11" t="str">
        <f t="shared" ref="OR25" si="190">IF(SUM(OE25:OH25)-OI25&gt;0,SUM(OE25:OH25)-OI25,"")</f>
        <v/>
      </c>
      <c r="OS25" s="11">
        <f t="shared" ref="OS25" si="191">IF(SUM(OP25,OR25)&gt;0,SUM(OP25,OR25),"")</f>
        <v>55.972499999999997</v>
      </c>
    </row>
    <row r="26" spans="1:409" x14ac:dyDescent="0.2">
      <c r="A26" s="5" t="str" cm="1">
        <f t="array" ref="A26">IF(AND(G26&lt;&gt;"",H26&lt;&gt;""),SUMPRODUCT((G$4:G$28&lt;&gt;"")*(H$4:H$28&lt;&gt;"")*(E$4:E$28&gt;E26))+1,IF(H26&lt;&gt;"",SUMPRODUCT((I$4:I$28="No DD")*(E$4:E$28&gt;E26))+1+SUMPRODUCT((G$4:G$28&lt;&gt;"")*(H$4:H$28&lt;&gt;"")),""))</f>
        <v/>
      </c>
      <c r="B26" s="8" t="s">
        <v>121</v>
      </c>
      <c r="C26" s="4" t="s">
        <v>5</v>
      </c>
      <c r="D26" s="26">
        <v>2003</v>
      </c>
      <c r="E26" s="15">
        <f t="shared" si="0"/>
        <v>26.639999999999997</v>
      </c>
      <c r="F26" s="3" t="str">
        <f t="shared" si="1"/>
        <v/>
      </c>
      <c r="G26" s="115" t="str">
        <f t="shared" si="2"/>
        <v/>
      </c>
      <c r="H26" s="115" t="str">
        <f t="shared" si="3"/>
        <v/>
      </c>
      <c r="I26" s="116" t="str">
        <f t="shared" si="4"/>
        <v/>
      </c>
      <c r="J26" s="3" t="str">
        <f t="shared" si="5"/>
        <v/>
      </c>
      <c r="K26" s="14">
        <f t="shared" si="6"/>
        <v>43.125</v>
      </c>
      <c r="L26" s="14" t="str">
        <f t="shared" si="7"/>
        <v>2021 Canadian Championships</v>
      </c>
      <c r="M26" s="14">
        <f t="shared" si="8"/>
        <v>0</v>
      </c>
      <c r="N26" s="14" t="str">
        <f t="shared" si="9"/>
        <v/>
      </c>
      <c r="O26" s="14">
        <f t="shared" si="10"/>
        <v>26.639999999999997</v>
      </c>
      <c r="P26" s="14" t="str">
        <f t="shared" si="11"/>
        <v>2021 Canadian Championships</v>
      </c>
      <c r="Q26" s="14">
        <f>IF(COUNT(AS26,AU26,AX26,BW26,BY26,CB26,DA26,DC26,DF26)&gt;1,LARGE((AS26,AU26,AX26,BW26,BY26,CB26,DA26,DC26,DF26),2),0)</f>
        <v>0</v>
      </c>
      <c r="R26" s="14" t="str">
        <f t="shared" si="12"/>
        <v/>
      </c>
      <c r="S26" s="14" t="str">
        <f t="shared" si="13"/>
        <v/>
      </c>
      <c r="T26" s="24" t="str">
        <f t="shared" si="14"/>
        <v/>
      </c>
      <c r="U26" s="14" t="str">
        <f t="shared" si="15"/>
        <v/>
      </c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72"/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11" t="str">
        <f t="shared" si="19"/>
        <v/>
      </c>
      <c r="AU26" s="11" t="str">
        <f t="shared" si="20"/>
        <v/>
      </c>
      <c r="AV26" s="11" t="str">
        <f t="shared" si="21"/>
        <v/>
      </c>
      <c r="AW26" s="11" t="str">
        <f t="shared" si="22"/>
        <v/>
      </c>
      <c r="AX26" s="11" t="str">
        <f t="shared" si="23"/>
        <v/>
      </c>
      <c r="AY26" s="11" t="str">
        <f t="shared" si="24"/>
        <v/>
      </c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73"/>
      <c r="BU26" s="14" t="str">
        <f t="shared" si="25"/>
        <v/>
      </c>
      <c r="BV26" s="14" t="str">
        <f t="shared" si="26"/>
        <v/>
      </c>
      <c r="BW26" s="14" t="str">
        <f t="shared" si="27"/>
        <v/>
      </c>
      <c r="BX26" s="14" t="str">
        <f t="shared" si="28"/>
        <v/>
      </c>
      <c r="BY26" s="14" t="str">
        <f t="shared" si="29"/>
        <v/>
      </c>
      <c r="BZ26" s="14" t="str">
        <f t="shared" si="30"/>
        <v/>
      </c>
      <c r="CA26" s="14" t="str">
        <f t="shared" si="31"/>
        <v/>
      </c>
      <c r="CB26" s="14" t="str">
        <f t="shared" si="32"/>
        <v/>
      </c>
      <c r="CC26" s="14" t="str">
        <f t="shared" si="33"/>
        <v/>
      </c>
      <c r="CD26" s="61">
        <v>6.7</v>
      </c>
      <c r="CE26" s="61">
        <v>3.7</v>
      </c>
      <c r="CF26" s="61">
        <v>0.7</v>
      </c>
      <c r="CG26" s="61">
        <v>5.3849999999999998</v>
      </c>
      <c r="CH26" s="61">
        <v>0</v>
      </c>
      <c r="CI26" s="61">
        <v>8.1999999999999993</v>
      </c>
      <c r="CJ26" s="61">
        <v>5.0999999999999996</v>
      </c>
      <c r="CK26" s="61">
        <v>6</v>
      </c>
      <c r="CL26" s="61">
        <v>7.34</v>
      </c>
      <c r="CM26" s="61">
        <v>0</v>
      </c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72"/>
      <c r="CY26" s="11">
        <f t="shared" si="34"/>
        <v>16.484999999999999</v>
      </c>
      <c r="CZ26" s="11">
        <f t="shared" si="35"/>
        <v>6</v>
      </c>
      <c r="DA26" s="11">
        <f t="shared" si="36"/>
        <v>26.639999999999997</v>
      </c>
      <c r="DB26" s="11" t="str">
        <f t="shared" si="37"/>
        <v/>
      </c>
      <c r="DC26" s="11" t="str">
        <f t="shared" si="38"/>
        <v/>
      </c>
      <c r="DD26" s="11">
        <f t="shared" si="39"/>
        <v>43.125</v>
      </c>
      <c r="DE26" s="11" t="str">
        <f t="shared" si="40"/>
        <v/>
      </c>
      <c r="DF26" s="11" t="str">
        <f t="shared" si="41"/>
        <v/>
      </c>
      <c r="DG26" s="11">
        <f t="shared" si="42"/>
        <v>43.125</v>
      </c>
      <c r="DH26" s="23" t="str">
        <f t="shared" si="43"/>
        <v/>
      </c>
      <c r="DI26" s="23" t="str">
        <f t="shared" si="44"/>
        <v/>
      </c>
      <c r="DJ26" s="23" t="str">
        <f t="shared" si="45"/>
        <v/>
      </c>
      <c r="DK26" s="23" t="str">
        <f t="shared" si="46"/>
        <v/>
      </c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11" t="str">
        <f t="shared" si="47"/>
        <v/>
      </c>
      <c r="EB26" s="11" t="str">
        <f t="shared" si="48"/>
        <v/>
      </c>
      <c r="EC26" s="11" t="str">
        <f t="shared" si="49"/>
        <v/>
      </c>
      <c r="ED26" s="11" t="str">
        <f t="shared" si="50"/>
        <v/>
      </c>
      <c r="EE26" s="11" t="str">
        <f t="shared" si="51"/>
        <v/>
      </c>
      <c r="EF26" s="11" t="str">
        <f t="shared" si="52"/>
        <v/>
      </c>
      <c r="EG26" s="11" t="str">
        <f t="shared" si="53"/>
        <v/>
      </c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14" t="str">
        <f t="shared" si="54"/>
        <v/>
      </c>
      <c r="EX26" s="14" t="str">
        <f t="shared" si="55"/>
        <v/>
      </c>
      <c r="EY26" s="14" t="str">
        <f t="shared" si="56"/>
        <v/>
      </c>
      <c r="EZ26" s="14" t="str">
        <f t="shared" si="57"/>
        <v/>
      </c>
      <c r="FA26" s="14" t="str">
        <f t="shared" si="58"/>
        <v/>
      </c>
      <c r="FB26" s="14" t="str">
        <f t="shared" si="59"/>
        <v/>
      </c>
      <c r="FC26" s="14" t="str">
        <f t="shared" si="60"/>
        <v/>
      </c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11" t="str">
        <f t="shared" si="61"/>
        <v/>
      </c>
      <c r="FT26" s="11" t="str">
        <f t="shared" si="62"/>
        <v/>
      </c>
      <c r="FU26" s="11" t="str">
        <f t="shared" si="63"/>
        <v/>
      </c>
      <c r="FV26" s="11" t="str">
        <f t="shared" si="64"/>
        <v/>
      </c>
      <c r="FW26" s="11" t="str">
        <f t="shared" si="65"/>
        <v/>
      </c>
      <c r="FX26" s="11" t="str">
        <f t="shared" si="66"/>
        <v/>
      </c>
      <c r="FY26" s="11" t="str">
        <f t="shared" si="67"/>
        <v/>
      </c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14" t="str">
        <f t="shared" si="68"/>
        <v/>
      </c>
      <c r="GP26" s="14" t="str">
        <f t="shared" si="69"/>
        <v/>
      </c>
      <c r="GQ26" s="14" t="str">
        <f t="shared" si="70"/>
        <v/>
      </c>
      <c r="GR26" s="14" t="str">
        <f t="shared" si="71"/>
        <v/>
      </c>
      <c r="GS26" s="14" t="str">
        <f t="shared" si="72"/>
        <v/>
      </c>
      <c r="GT26" s="14" t="str">
        <f t="shared" si="73"/>
        <v/>
      </c>
      <c r="GU26" s="14" t="str">
        <f t="shared" si="74"/>
        <v/>
      </c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11" t="str">
        <f t="shared" si="75"/>
        <v/>
      </c>
      <c r="HL26" s="11" t="str">
        <f t="shared" si="76"/>
        <v/>
      </c>
      <c r="HM26" s="11" t="str">
        <f t="shared" si="77"/>
        <v/>
      </c>
      <c r="HN26" s="11" t="str">
        <f t="shared" si="78"/>
        <v/>
      </c>
      <c r="HO26" s="11" t="str">
        <f t="shared" si="79"/>
        <v/>
      </c>
      <c r="HP26" s="11" t="str">
        <f t="shared" si="80"/>
        <v/>
      </c>
      <c r="HQ26" s="11" t="str">
        <f t="shared" si="81"/>
        <v/>
      </c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14" t="str">
        <f t="shared" si="82"/>
        <v/>
      </c>
      <c r="IH26" s="14" t="str">
        <f t="shared" si="83"/>
        <v/>
      </c>
      <c r="II26" s="14" t="str">
        <f t="shared" si="84"/>
        <v/>
      </c>
      <c r="IJ26" s="14" t="str">
        <f t="shared" si="85"/>
        <v/>
      </c>
      <c r="IK26" s="14" t="str">
        <f t="shared" si="86"/>
        <v/>
      </c>
      <c r="IL26" s="14" t="str">
        <f t="shared" si="87"/>
        <v/>
      </c>
      <c r="IM26" s="14" t="str">
        <f t="shared" si="88"/>
        <v/>
      </c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11" t="str">
        <f t="shared" si="89"/>
        <v/>
      </c>
      <c r="JD26" s="11" t="str">
        <f t="shared" si="90"/>
        <v/>
      </c>
      <c r="JE26" s="11" t="str">
        <f t="shared" si="91"/>
        <v/>
      </c>
      <c r="JF26" s="11" t="str">
        <f t="shared" si="92"/>
        <v/>
      </c>
      <c r="JG26" s="11" t="str">
        <f t="shared" si="93"/>
        <v/>
      </c>
      <c r="JH26" s="11" t="str">
        <f t="shared" si="94"/>
        <v/>
      </c>
      <c r="JI26" s="11" t="str">
        <f t="shared" si="95"/>
        <v/>
      </c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14" t="str">
        <f t="shared" si="96"/>
        <v/>
      </c>
      <c r="JZ26" s="14" t="str">
        <f t="shared" si="97"/>
        <v/>
      </c>
      <c r="KA26" s="14" t="str">
        <f t="shared" si="98"/>
        <v/>
      </c>
      <c r="KB26" s="14" t="str">
        <f t="shared" si="99"/>
        <v/>
      </c>
      <c r="KC26" s="14" t="str">
        <f t="shared" si="100"/>
        <v/>
      </c>
      <c r="KD26" s="14" t="str">
        <f t="shared" si="101"/>
        <v/>
      </c>
      <c r="KE26" s="14" t="str">
        <f t="shared" si="102"/>
        <v/>
      </c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11" t="str">
        <f t="shared" si="103"/>
        <v/>
      </c>
      <c r="KV26" s="11" t="str">
        <f t="shared" si="104"/>
        <v/>
      </c>
      <c r="KW26" s="11" t="str">
        <f t="shared" si="105"/>
        <v/>
      </c>
      <c r="KX26" s="11" t="str">
        <f t="shared" si="106"/>
        <v/>
      </c>
      <c r="KY26" s="11" t="str">
        <f t="shared" si="107"/>
        <v/>
      </c>
      <c r="KZ26" s="11" t="str">
        <f t="shared" si="108"/>
        <v/>
      </c>
      <c r="LA26" s="11" t="str">
        <f t="shared" si="109"/>
        <v/>
      </c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14" t="str">
        <f t="shared" si="110"/>
        <v/>
      </c>
      <c r="LR26" s="14" t="str">
        <f t="shared" si="111"/>
        <v/>
      </c>
      <c r="LS26" s="14" t="str">
        <f t="shared" si="112"/>
        <v/>
      </c>
      <c r="LT26" s="14" t="str">
        <f t="shared" si="113"/>
        <v/>
      </c>
      <c r="LU26" s="14" t="str">
        <f t="shared" si="114"/>
        <v/>
      </c>
      <c r="LV26" s="14" t="str">
        <f t="shared" si="115"/>
        <v/>
      </c>
      <c r="LW26" s="14" t="str">
        <f t="shared" si="116"/>
        <v/>
      </c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11" t="str">
        <f t="shared" si="117"/>
        <v/>
      </c>
      <c r="MN26" s="11" t="str">
        <f t="shared" si="118"/>
        <v/>
      </c>
      <c r="MO26" s="11" t="str">
        <f t="shared" si="119"/>
        <v/>
      </c>
      <c r="MP26" s="11" t="str">
        <f t="shared" si="120"/>
        <v/>
      </c>
      <c r="MQ26" s="11" t="str">
        <f t="shared" si="121"/>
        <v/>
      </c>
      <c r="MR26" s="11" t="str">
        <f t="shared" si="122"/>
        <v/>
      </c>
      <c r="MS26" s="11" t="str">
        <f t="shared" si="123"/>
        <v/>
      </c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14" t="str">
        <f t="shared" si="124"/>
        <v/>
      </c>
      <c r="NJ26" s="14" t="str">
        <f t="shared" si="125"/>
        <v/>
      </c>
      <c r="NK26" s="14" t="str">
        <f t="shared" si="126"/>
        <v/>
      </c>
      <c r="NL26" s="14" t="str">
        <f t="shared" si="127"/>
        <v/>
      </c>
      <c r="NM26" s="14" t="str">
        <f t="shared" si="128"/>
        <v/>
      </c>
      <c r="NN26" s="14" t="str">
        <f t="shared" si="129"/>
        <v/>
      </c>
      <c r="NO26" s="14" t="str">
        <f t="shared" si="130"/>
        <v/>
      </c>
      <c r="NP26" s="61">
        <f t="shared" si="131"/>
        <v>3.35</v>
      </c>
      <c r="NQ26" s="61">
        <f t="shared" si="132"/>
        <v>1.85</v>
      </c>
      <c r="NR26" s="61">
        <f t="shared" si="133"/>
        <v>0.35</v>
      </c>
      <c r="NS26" s="61">
        <f t="shared" si="134"/>
        <v>2.6924999999999999</v>
      </c>
      <c r="NT26" s="61">
        <f t="shared" si="135"/>
        <v>0</v>
      </c>
      <c r="NU26" s="61">
        <f t="shared" si="136"/>
        <v>4.0999999999999996</v>
      </c>
      <c r="NV26" s="61">
        <f t="shared" si="137"/>
        <v>2.5499999999999998</v>
      </c>
      <c r="NW26" s="61">
        <f t="shared" si="138"/>
        <v>3</v>
      </c>
      <c r="NX26" s="61">
        <f t="shared" si="139"/>
        <v>3.67</v>
      </c>
      <c r="NY26" s="61">
        <f t="shared" si="140"/>
        <v>0</v>
      </c>
      <c r="NZ26" s="61">
        <f t="shared" si="141"/>
        <v>0</v>
      </c>
      <c r="OA26" s="61">
        <f t="shared" si="142"/>
        <v>0</v>
      </c>
      <c r="OB26" s="61">
        <f t="shared" si="143"/>
        <v>0</v>
      </c>
      <c r="OC26" s="61">
        <f t="shared" si="144"/>
        <v>0</v>
      </c>
      <c r="OD26" s="61">
        <f t="shared" si="145"/>
        <v>0</v>
      </c>
      <c r="OE26" s="61">
        <f t="shared" si="146"/>
        <v>0</v>
      </c>
      <c r="OF26" s="61">
        <f t="shared" si="147"/>
        <v>0</v>
      </c>
      <c r="OG26" s="61">
        <f t="shared" si="148"/>
        <v>0</v>
      </c>
      <c r="OH26" s="61">
        <f t="shared" si="149"/>
        <v>0</v>
      </c>
      <c r="OI26" s="61">
        <f t="shared" si="150"/>
        <v>0</v>
      </c>
      <c r="OJ26" s="72" t="s">
        <v>52</v>
      </c>
      <c r="OK26" s="11">
        <f t="shared" si="151"/>
        <v>8.2424999999999997</v>
      </c>
      <c r="OL26" s="11">
        <f t="shared" si="152"/>
        <v>3</v>
      </c>
      <c r="OM26" s="11">
        <f t="shared" si="153"/>
        <v>13.319999999999999</v>
      </c>
      <c r="ON26" s="11" t="str">
        <f t="shared" si="154"/>
        <v/>
      </c>
      <c r="OO26" s="11" t="str">
        <f t="shared" si="155"/>
        <v/>
      </c>
      <c r="OP26" s="11">
        <f t="shared" si="156"/>
        <v>21.5625</v>
      </c>
      <c r="OQ26" s="11" t="str">
        <f t="shared" si="157"/>
        <v/>
      </c>
      <c r="OR26" s="11" t="str">
        <f t="shared" ref="OR26" si="192">IF(SUM(OE26:OH26)-OI26&gt;0,SUM(OE26:OH26)-OI26,"")</f>
        <v/>
      </c>
      <c r="OS26" s="11">
        <f t="shared" ref="OS26" si="193">IF(SUM(OP26,OR26)&gt;0,SUM(OP26,OR26),"")</f>
        <v>21.5625</v>
      </c>
    </row>
    <row r="27" spans="1:409" x14ac:dyDescent="0.2">
      <c r="A27" s="5" t="str" cm="1">
        <f t="array" ref="A27">IF(AND(G27&lt;&gt;"",H27&lt;&gt;""),SUMPRODUCT((G$4:G$28&lt;&gt;"")*(H$4:H$28&lt;&gt;"")*(E$4:E$28&gt;E27))+1,IF(H27&lt;&gt;"",SUMPRODUCT((I$4:I$28="No DD")*(E$4:E$28&gt;E27))+1+SUMPRODUCT((G$4:G$28&lt;&gt;"")*(H$4:H$28&lt;&gt;"")),""))</f>
        <v/>
      </c>
      <c r="B27" s="6" t="s">
        <v>155</v>
      </c>
      <c r="C27" s="7" t="s">
        <v>3</v>
      </c>
      <c r="D27" s="26">
        <v>2004</v>
      </c>
      <c r="E27" s="15">
        <f t="shared" si="0"/>
        <v>20.73</v>
      </c>
      <c r="F27" s="3" t="str">
        <f t="shared" si="1"/>
        <v/>
      </c>
      <c r="G27" s="115" t="str">
        <f t="shared" si="2"/>
        <v/>
      </c>
      <c r="H27" s="115" t="str">
        <f t="shared" si="3"/>
        <v/>
      </c>
      <c r="I27" s="116" t="str">
        <f t="shared" si="4"/>
        <v/>
      </c>
      <c r="J27" s="3" t="str">
        <f t="shared" si="5"/>
        <v/>
      </c>
      <c r="K27" s="14">
        <f t="shared" si="6"/>
        <v>62.400000000000006</v>
      </c>
      <c r="L27" s="14" t="str">
        <f t="shared" si="7"/>
        <v>2021 Canadian Championships</v>
      </c>
      <c r="M27" s="14">
        <f t="shared" si="8"/>
        <v>0</v>
      </c>
      <c r="N27" s="14" t="str">
        <f t="shared" si="9"/>
        <v/>
      </c>
      <c r="O27" s="14">
        <f t="shared" si="10"/>
        <v>20.73</v>
      </c>
      <c r="P27" s="14" t="str">
        <f t="shared" si="11"/>
        <v>2021 Canadian Championships</v>
      </c>
      <c r="Q27" s="14">
        <f>IF(COUNT(AS27,AU27,AX27,BW27,BY27,CB27,DA27,DC27,DF27)&gt;1,LARGE((AS27,AU27,AX27,BW27,BY27,CB27,DA27,DC27,DF27),2),0)</f>
        <v>0</v>
      </c>
      <c r="R27" s="14" t="str">
        <f t="shared" si="12"/>
        <v/>
      </c>
      <c r="S27" s="14" t="str">
        <f t="shared" si="13"/>
        <v/>
      </c>
      <c r="T27" s="24" t="str">
        <f t="shared" si="14"/>
        <v/>
      </c>
      <c r="U27" s="14" t="str">
        <f t="shared" si="15"/>
        <v/>
      </c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72"/>
      <c r="AQ27" s="11" t="str">
        <f t="shared" si="16"/>
        <v/>
      </c>
      <c r="AR27" s="11" t="str">
        <f t="shared" si="17"/>
        <v/>
      </c>
      <c r="AS27" s="11" t="str">
        <f t="shared" si="18"/>
        <v/>
      </c>
      <c r="AT27" s="11" t="str">
        <f t="shared" si="19"/>
        <v/>
      </c>
      <c r="AU27" s="11" t="str">
        <f t="shared" si="20"/>
        <v/>
      </c>
      <c r="AV27" s="11" t="str">
        <f t="shared" si="21"/>
        <v/>
      </c>
      <c r="AW27" s="11" t="str">
        <f t="shared" si="22"/>
        <v/>
      </c>
      <c r="AX27" s="11" t="str">
        <f t="shared" si="23"/>
        <v/>
      </c>
      <c r="AY27" s="11" t="str">
        <f t="shared" si="24"/>
        <v/>
      </c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73"/>
      <c r="BU27" s="14" t="str">
        <f t="shared" si="25"/>
        <v/>
      </c>
      <c r="BV27" s="14" t="str">
        <f t="shared" si="26"/>
        <v/>
      </c>
      <c r="BW27" s="14" t="str">
        <f t="shared" si="27"/>
        <v/>
      </c>
      <c r="BX27" s="14" t="str">
        <f t="shared" si="28"/>
        <v/>
      </c>
      <c r="BY27" s="14" t="str">
        <f t="shared" si="29"/>
        <v/>
      </c>
      <c r="BZ27" s="14" t="str">
        <f t="shared" si="30"/>
        <v/>
      </c>
      <c r="CA27" s="14" t="str">
        <f t="shared" si="31"/>
        <v/>
      </c>
      <c r="CB27" s="14" t="str">
        <f t="shared" si="32"/>
        <v/>
      </c>
      <c r="CC27" s="14" t="str">
        <f t="shared" si="33"/>
        <v/>
      </c>
      <c r="CD27" s="61">
        <v>15.2</v>
      </c>
      <c r="CE27" s="61">
        <v>9.1</v>
      </c>
      <c r="CF27" s="61">
        <v>2.1</v>
      </c>
      <c r="CG27" s="61">
        <v>15.27</v>
      </c>
      <c r="CH27" s="61">
        <v>0</v>
      </c>
      <c r="CI27" s="61">
        <v>5.8</v>
      </c>
      <c r="CJ27" s="61">
        <v>3.7</v>
      </c>
      <c r="CK27" s="61">
        <v>5.2</v>
      </c>
      <c r="CL27" s="61">
        <v>6.03</v>
      </c>
      <c r="CM27" s="61">
        <v>0</v>
      </c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72"/>
      <c r="CY27" s="11">
        <f t="shared" si="34"/>
        <v>41.67</v>
      </c>
      <c r="CZ27" s="11">
        <f t="shared" si="35"/>
        <v>5.2</v>
      </c>
      <c r="DA27" s="11">
        <f t="shared" si="36"/>
        <v>20.73</v>
      </c>
      <c r="DB27" s="11" t="str">
        <f t="shared" si="37"/>
        <v/>
      </c>
      <c r="DC27" s="11" t="str">
        <f t="shared" si="38"/>
        <v/>
      </c>
      <c r="DD27" s="11">
        <f t="shared" si="39"/>
        <v>62.400000000000006</v>
      </c>
      <c r="DE27" s="11" t="str">
        <f t="shared" si="40"/>
        <v/>
      </c>
      <c r="DF27" s="11" t="str">
        <f t="shared" si="41"/>
        <v/>
      </c>
      <c r="DG27" s="11">
        <f t="shared" si="42"/>
        <v>62.400000000000006</v>
      </c>
      <c r="DH27" s="23" t="str">
        <f t="shared" si="43"/>
        <v/>
      </c>
      <c r="DI27" s="23" t="str">
        <f t="shared" si="44"/>
        <v/>
      </c>
      <c r="DJ27" s="23" t="str">
        <f t="shared" si="45"/>
        <v/>
      </c>
      <c r="DK27" s="23" t="str">
        <f t="shared" si="46"/>
        <v/>
      </c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11" t="str">
        <f t="shared" si="47"/>
        <v/>
      </c>
      <c r="EB27" s="11" t="str">
        <f t="shared" si="48"/>
        <v/>
      </c>
      <c r="EC27" s="11" t="str">
        <f t="shared" si="49"/>
        <v/>
      </c>
      <c r="ED27" s="11" t="str">
        <f t="shared" si="50"/>
        <v/>
      </c>
      <c r="EE27" s="11" t="str">
        <f t="shared" si="51"/>
        <v/>
      </c>
      <c r="EF27" s="11" t="str">
        <f t="shared" si="52"/>
        <v/>
      </c>
      <c r="EG27" s="11" t="str">
        <f t="shared" si="53"/>
        <v/>
      </c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14" t="str">
        <f t="shared" si="54"/>
        <v/>
      </c>
      <c r="EX27" s="14" t="str">
        <f t="shared" si="55"/>
        <v/>
      </c>
      <c r="EY27" s="14" t="str">
        <f t="shared" si="56"/>
        <v/>
      </c>
      <c r="EZ27" s="14" t="str">
        <f t="shared" si="57"/>
        <v/>
      </c>
      <c r="FA27" s="14" t="str">
        <f t="shared" si="58"/>
        <v/>
      </c>
      <c r="FB27" s="14" t="str">
        <f t="shared" si="59"/>
        <v/>
      </c>
      <c r="FC27" s="14" t="str">
        <f t="shared" si="60"/>
        <v/>
      </c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11" t="str">
        <f t="shared" si="61"/>
        <v/>
      </c>
      <c r="FT27" s="11" t="str">
        <f t="shared" si="62"/>
        <v/>
      </c>
      <c r="FU27" s="11" t="str">
        <f t="shared" si="63"/>
        <v/>
      </c>
      <c r="FV27" s="11" t="str">
        <f t="shared" si="64"/>
        <v/>
      </c>
      <c r="FW27" s="11" t="str">
        <f t="shared" si="65"/>
        <v/>
      </c>
      <c r="FX27" s="11" t="str">
        <f t="shared" si="66"/>
        <v/>
      </c>
      <c r="FY27" s="11" t="str">
        <f t="shared" si="67"/>
        <v/>
      </c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14" t="str">
        <f t="shared" si="68"/>
        <v/>
      </c>
      <c r="GP27" s="14" t="str">
        <f t="shared" si="69"/>
        <v/>
      </c>
      <c r="GQ27" s="14" t="str">
        <f t="shared" si="70"/>
        <v/>
      </c>
      <c r="GR27" s="14" t="str">
        <f t="shared" si="71"/>
        <v/>
      </c>
      <c r="GS27" s="14" t="str">
        <f t="shared" si="72"/>
        <v/>
      </c>
      <c r="GT27" s="14" t="str">
        <f t="shared" si="73"/>
        <v/>
      </c>
      <c r="GU27" s="14" t="str">
        <f t="shared" si="74"/>
        <v/>
      </c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11" t="str">
        <f t="shared" si="75"/>
        <v/>
      </c>
      <c r="HL27" s="11" t="str">
        <f t="shared" si="76"/>
        <v/>
      </c>
      <c r="HM27" s="11" t="str">
        <f t="shared" si="77"/>
        <v/>
      </c>
      <c r="HN27" s="11" t="str">
        <f t="shared" si="78"/>
        <v/>
      </c>
      <c r="HO27" s="11" t="str">
        <f t="shared" si="79"/>
        <v/>
      </c>
      <c r="HP27" s="11" t="str">
        <f t="shared" si="80"/>
        <v/>
      </c>
      <c r="HQ27" s="11" t="str">
        <f t="shared" si="81"/>
        <v/>
      </c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14" t="str">
        <f t="shared" si="82"/>
        <v/>
      </c>
      <c r="IH27" s="14" t="str">
        <f t="shared" si="83"/>
        <v/>
      </c>
      <c r="II27" s="14" t="str">
        <f t="shared" si="84"/>
        <v/>
      </c>
      <c r="IJ27" s="14" t="str">
        <f t="shared" si="85"/>
        <v/>
      </c>
      <c r="IK27" s="14" t="str">
        <f t="shared" si="86"/>
        <v/>
      </c>
      <c r="IL27" s="14" t="str">
        <f t="shared" si="87"/>
        <v/>
      </c>
      <c r="IM27" s="14" t="str">
        <f t="shared" si="88"/>
        <v/>
      </c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11" t="str">
        <f t="shared" si="89"/>
        <v/>
      </c>
      <c r="JD27" s="11" t="str">
        <f t="shared" si="90"/>
        <v/>
      </c>
      <c r="JE27" s="11" t="str">
        <f t="shared" si="91"/>
        <v/>
      </c>
      <c r="JF27" s="11" t="str">
        <f t="shared" si="92"/>
        <v/>
      </c>
      <c r="JG27" s="11" t="str">
        <f t="shared" si="93"/>
        <v/>
      </c>
      <c r="JH27" s="11" t="str">
        <f t="shared" si="94"/>
        <v/>
      </c>
      <c r="JI27" s="11" t="str">
        <f t="shared" si="95"/>
        <v/>
      </c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14" t="str">
        <f t="shared" si="96"/>
        <v/>
      </c>
      <c r="JZ27" s="14" t="str">
        <f t="shared" si="97"/>
        <v/>
      </c>
      <c r="KA27" s="14" t="str">
        <f t="shared" si="98"/>
        <v/>
      </c>
      <c r="KB27" s="14" t="str">
        <f t="shared" si="99"/>
        <v/>
      </c>
      <c r="KC27" s="14" t="str">
        <f t="shared" si="100"/>
        <v/>
      </c>
      <c r="KD27" s="14" t="str">
        <f t="shared" si="101"/>
        <v/>
      </c>
      <c r="KE27" s="14" t="str">
        <f t="shared" si="102"/>
        <v/>
      </c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11" t="str">
        <f t="shared" si="103"/>
        <v/>
      </c>
      <c r="KV27" s="11" t="str">
        <f t="shared" si="104"/>
        <v/>
      </c>
      <c r="KW27" s="11" t="str">
        <f t="shared" si="105"/>
        <v/>
      </c>
      <c r="KX27" s="11" t="str">
        <f t="shared" si="106"/>
        <v/>
      </c>
      <c r="KY27" s="11" t="str">
        <f t="shared" si="107"/>
        <v/>
      </c>
      <c r="KZ27" s="11" t="str">
        <f t="shared" si="108"/>
        <v/>
      </c>
      <c r="LA27" s="11" t="str">
        <f t="shared" si="109"/>
        <v/>
      </c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14" t="str">
        <f t="shared" si="110"/>
        <v/>
      </c>
      <c r="LR27" s="14" t="str">
        <f t="shared" si="111"/>
        <v/>
      </c>
      <c r="LS27" s="14" t="str">
        <f t="shared" si="112"/>
        <v/>
      </c>
      <c r="LT27" s="14" t="str">
        <f t="shared" si="113"/>
        <v/>
      </c>
      <c r="LU27" s="14" t="str">
        <f t="shared" si="114"/>
        <v/>
      </c>
      <c r="LV27" s="14" t="str">
        <f t="shared" si="115"/>
        <v/>
      </c>
      <c r="LW27" s="14" t="str">
        <f t="shared" si="116"/>
        <v/>
      </c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11" t="str">
        <f t="shared" si="117"/>
        <v/>
      </c>
      <c r="MN27" s="11" t="str">
        <f t="shared" si="118"/>
        <v/>
      </c>
      <c r="MO27" s="11" t="str">
        <f t="shared" si="119"/>
        <v/>
      </c>
      <c r="MP27" s="11" t="str">
        <f t="shared" si="120"/>
        <v/>
      </c>
      <c r="MQ27" s="11" t="str">
        <f t="shared" si="121"/>
        <v/>
      </c>
      <c r="MR27" s="11" t="str">
        <f t="shared" si="122"/>
        <v/>
      </c>
      <c r="MS27" s="11" t="str">
        <f t="shared" si="123"/>
        <v/>
      </c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14" t="str">
        <f t="shared" si="124"/>
        <v/>
      </c>
      <c r="NJ27" s="14" t="str">
        <f t="shared" si="125"/>
        <v/>
      </c>
      <c r="NK27" s="14" t="str">
        <f t="shared" si="126"/>
        <v/>
      </c>
      <c r="NL27" s="14" t="str">
        <f t="shared" si="127"/>
        <v/>
      </c>
      <c r="NM27" s="14" t="str">
        <f t="shared" si="128"/>
        <v/>
      </c>
      <c r="NN27" s="14" t="str">
        <f t="shared" si="129"/>
        <v/>
      </c>
      <c r="NO27" s="14" t="str">
        <f t="shared" si="130"/>
        <v/>
      </c>
      <c r="NP27" s="61">
        <f t="shared" si="131"/>
        <v>7.6</v>
      </c>
      <c r="NQ27" s="61">
        <f t="shared" si="132"/>
        <v>4.55</v>
      </c>
      <c r="NR27" s="61">
        <f t="shared" si="133"/>
        <v>1.05</v>
      </c>
      <c r="NS27" s="61">
        <f t="shared" si="134"/>
        <v>7.6349999999999998</v>
      </c>
      <c r="NT27" s="61">
        <f t="shared" si="135"/>
        <v>0</v>
      </c>
      <c r="NU27" s="61">
        <f t="shared" si="136"/>
        <v>2.9</v>
      </c>
      <c r="NV27" s="61">
        <f t="shared" si="137"/>
        <v>1.85</v>
      </c>
      <c r="NW27" s="61">
        <f t="shared" si="138"/>
        <v>2.6</v>
      </c>
      <c r="NX27" s="61">
        <f t="shared" si="139"/>
        <v>3.0150000000000001</v>
      </c>
      <c r="NY27" s="61">
        <f t="shared" si="140"/>
        <v>0</v>
      </c>
      <c r="NZ27" s="61">
        <f t="shared" si="141"/>
        <v>0</v>
      </c>
      <c r="OA27" s="61">
        <f t="shared" si="142"/>
        <v>0</v>
      </c>
      <c r="OB27" s="61">
        <f t="shared" si="143"/>
        <v>0</v>
      </c>
      <c r="OC27" s="61">
        <f t="shared" si="144"/>
        <v>0</v>
      </c>
      <c r="OD27" s="61">
        <f t="shared" si="145"/>
        <v>0</v>
      </c>
      <c r="OE27" s="61">
        <f t="shared" si="146"/>
        <v>0</v>
      </c>
      <c r="OF27" s="61">
        <f t="shared" si="147"/>
        <v>0</v>
      </c>
      <c r="OG27" s="61">
        <f t="shared" si="148"/>
        <v>0</v>
      </c>
      <c r="OH27" s="61">
        <f t="shared" si="149"/>
        <v>0</v>
      </c>
      <c r="OI27" s="61">
        <f t="shared" si="150"/>
        <v>0</v>
      </c>
      <c r="OJ27" s="72" t="s">
        <v>52</v>
      </c>
      <c r="OK27" s="11">
        <f t="shared" si="151"/>
        <v>20.835000000000001</v>
      </c>
      <c r="OL27" s="11">
        <f t="shared" si="152"/>
        <v>2.6</v>
      </c>
      <c r="OM27" s="11">
        <f t="shared" si="153"/>
        <v>10.365</v>
      </c>
      <c r="ON27" s="11" t="str">
        <f t="shared" si="154"/>
        <v/>
      </c>
      <c r="OO27" s="11" t="str">
        <f t="shared" si="155"/>
        <v/>
      </c>
      <c r="OP27" s="11">
        <f t="shared" si="156"/>
        <v>31.200000000000003</v>
      </c>
      <c r="OQ27" s="11" t="str">
        <f t="shared" si="157"/>
        <v/>
      </c>
      <c r="OR27" s="11" t="str">
        <f t="shared" ref="OR27" si="194">IF(SUM(OE27:OH27)-OI27&gt;0,SUM(OE27:OH27)-OI27,"")</f>
        <v/>
      </c>
      <c r="OS27" s="11">
        <f t="shared" ref="OS27" si="195">IF(SUM(OP27,OR27)&gt;0,SUM(OP27,OR27),"")</f>
        <v>31.200000000000003</v>
      </c>
    </row>
    <row r="28" spans="1:409" x14ac:dyDescent="0.2">
      <c r="B28" s="6"/>
      <c r="D28" s="1"/>
    </row>
    <row r="29" spans="1:409" x14ac:dyDescent="0.2">
      <c r="H29" s="115"/>
      <c r="J29" s="115"/>
    </row>
    <row r="30" spans="1:409" x14ac:dyDescent="0.2">
      <c r="B30" s="62" t="s">
        <v>50</v>
      </c>
      <c r="C30" s="49"/>
      <c r="H30" s="3"/>
      <c r="AR30" s="114"/>
      <c r="AS30" s="114"/>
      <c r="AT30" s="114"/>
      <c r="AW30" s="47"/>
      <c r="AY30" s="56">
        <v>11.2</v>
      </c>
      <c r="BV30" s="114"/>
      <c r="BW30" s="114"/>
      <c r="BX30" s="114"/>
      <c r="CA30" s="47"/>
      <c r="CC30" s="56">
        <v>11.2</v>
      </c>
      <c r="CZ30" s="114"/>
      <c r="DA30" s="114"/>
      <c r="DB30" s="114"/>
      <c r="DE30" s="47"/>
      <c r="DG30" s="56">
        <v>11.2</v>
      </c>
      <c r="EA30" s="49"/>
      <c r="EE30" s="47"/>
      <c r="EG30" s="56">
        <v>11.2</v>
      </c>
      <c r="EW30" s="49"/>
      <c r="FA30" s="47"/>
      <c r="FC30" s="56">
        <v>11.2</v>
      </c>
      <c r="FS30" s="49"/>
      <c r="FW30" s="47"/>
      <c r="FY30" s="56">
        <v>11.2</v>
      </c>
      <c r="GO30" s="49"/>
      <c r="GS30" s="47"/>
      <c r="GU30" s="56">
        <v>11.2</v>
      </c>
      <c r="HK30" s="49"/>
      <c r="HO30" s="47"/>
      <c r="HQ30" s="56">
        <v>11.2</v>
      </c>
      <c r="IG30" s="49"/>
      <c r="IK30" s="47"/>
      <c r="IM30" s="56">
        <v>11.2</v>
      </c>
      <c r="JC30" s="49"/>
      <c r="JG30" s="47"/>
      <c r="JI30" s="56">
        <v>11.2</v>
      </c>
      <c r="JY30" s="49"/>
      <c r="KC30" s="47"/>
      <c r="KE30" s="56">
        <v>11.2</v>
      </c>
      <c r="KU30" s="49"/>
      <c r="KY30" s="47"/>
      <c r="LA30" s="56">
        <v>11.2</v>
      </c>
      <c r="LQ30" s="49"/>
      <c r="LU30" s="47"/>
      <c r="LW30" s="56">
        <v>11.2</v>
      </c>
      <c r="MM30" s="49"/>
      <c r="MQ30" s="47"/>
      <c r="MS30" s="56">
        <v>11.2</v>
      </c>
      <c r="NI30" s="49"/>
      <c r="NM30" s="47"/>
      <c r="NO30" s="56">
        <v>11.2</v>
      </c>
    </row>
    <row r="31" spans="1:409" hidden="1" x14ac:dyDescent="0.2">
      <c r="B31" s="83" t="s">
        <v>49</v>
      </c>
      <c r="C31" s="49"/>
      <c r="AR31" s="114"/>
      <c r="AS31" s="114"/>
      <c r="AT31" s="114"/>
      <c r="AW31" s="47"/>
      <c r="AY31" s="98">
        <v>1000</v>
      </c>
      <c r="BV31" s="114"/>
      <c r="BW31" s="114"/>
      <c r="BX31" s="114"/>
      <c r="CA31" s="47"/>
      <c r="CC31" s="98">
        <v>1000</v>
      </c>
      <c r="CZ31" s="114"/>
      <c r="DA31" s="114"/>
      <c r="DB31" s="114"/>
      <c r="DE31" s="47"/>
      <c r="DG31" s="98">
        <v>1000</v>
      </c>
      <c r="EA31" s="49"/>
      <c r="EE31" s="47"/>
      <c r="EG31" s="98">
        <v>1000</v>
      </c>
      <c r="EW31" s="49"/>
      <c r="FA31" s="47"/>
      <c r="FC31" s="98">
        <v>1000</v>
      </c>
      <c r="FS31" s="49"/>
      <c r="FW31" s="47"/>
      <c r="FY31" s="98">
        <v>1000</v>
      </c>
      <c r="GO31" s="49"/>
      <c r="GS31" s="47"/>
      <c r="GU31" s="98">
        <v>1000</v>
      </c>
      <c r="HK31" s="49"/>
      <c r="HO31" s="47"/>
      <c r="HQ31" s="98">
        <v>1000</v>
      </c>
      <c r="IG31" s="49"/>
      <c r="IK31" s="47"/>
      <c r="IM31" s="98">
        <v>1000</v>
      </c>
      <c r="JC31" s="49"/>
      <c r="JG31" s="47"/>
      <c r="JI31" s="98">
        <v>1000</v>
      </c>
      <c r="JY31" s="49"/>
      <c r="KC31" s="47"/>
      <c r="KE31" s="98">
        <v>1000</v>
      </c>
      <c r="KU31" s="49"/>
      <c r="KY31" s="47"/>
      <c r="LA31" s="98">
        <v>1000</v>
      </c>
      <c r="LQ31" s="49"/>
      <c r="LU31" s="47"/>
      <c r="LW31" s="98">
        <v>1000</v>
      </c>
      <c r="MM31" s="49"/>
      <c r="MQ31" s="47"/>
      <c r="MS31" s="98">
        <v>1000</v>
      </c>
      <c r="NI31" s="49"/>
      <c r="NM31" s="47"/>
      <c r="NO31" s="98">
        <v>1000</v>
      </c>
    </row>
    <row r="32" spans="1:409" hidden="1" x14ac:dyDescent="0.2">
      <c r="A32" s="49"/>
      <c r="B32" s="84" t="s">
        <v>62</v>
      </c>
      <c r="C32" s="49"/>
      <c r="AR32" s="114"/>
      <c r="AS32" s="114"/>
      <c r="AT32" s="114"/>
      <c r="AV32" s="47"/>
      <c r="AW32" s="47"/>
      <c r="AX32" s="47"/>
      <c r="AY32" s="86">
        <v>1000</v>
      </c>
      <c r="BV32" s="114"/>
      <c r="BW32" s="114"/>
      <c r="BX32" s="114"/>
      <c r="CA32" s="47"/>
      <c r="CC32" s="86">
        <v>1000</v>
      </c>
      <c r="CZ32" s="114"/>
      <c r="DA32" s="114"/>
      <c r="DB32" s="114"/>
      <c r="DD32" s="47"/>
      <c r="DE32" s="47"/>
      <c r="DF32" s="47"/>
      <c r="DG32" s="86">
        <v>1000</v>
      </c>
      <c r="EA32" s="49"/>
      <c r="EE32" s="47"/>
      <c r="EG32" s="86">
        <v>1000</v>
      </c>
      <c r="EW32" s="49"/>
      <c r="FA32" s="47"/>
      <c r="FC32" s="86">
        <v>1000</v>
      </c>
      <c r="FS32" s="49"/>
      <c r="FW32" s="47"/>
      <c r="FY32" s="86">
        <v>1000</v>
      </c>
      <c r="GO32" s="49"/>
      <c r="GS32" s="47"/>
      <c r="GU32" s="86">
        <v>1000</v>
      </c>
      <c r="HK32" s="49"/>
      <c r="HO32" s="47"/>
      <c r="HQ32" s="86">
        <v>1000</v>
      </c>
      <c r="IG32" s="49"/>
      <c r="IK32" s="47"/>
      <c r="IM32" s="86">
        <v>1000</v>
      </c>
      <c r="JC32" s="49"/>
      <c r="JG32" s="47"/>
      <c r="JI32" s="86">
        <v>1000</v>
      </c>
      <c r="JY32" s="49"/>
      <c r="KC32" s="47"/>
      <c r="KE32" s="86">
        <v>1000</v>
      </c>
      <c r="KU32" s="49"/>
      <c r="KY32" s="47"/>
      <c r="LA32" s="86">
        <v>1000</v>
      </c>
      <c r="LQ32" s="49"/>
      <c r="LU32" s="47"/>
      <c r="LW32" s="86">
        <v>1000</v>
      </c>
      <c r="MM32" s="49"/>
      <c r="MQ32" s="47"/>
      <c r="MS32" s="86">
        <v>1000</v>
      </c>
      <c r="NI32" s="49"/>
      <c r="NM32" s="47"/>
      <c r="NO32" s="86">
        <v>1000</v>
      </c>
    </row>
    <row r="33" spans="1:379" hidden="1" x14ac:dyDescent="0.2">
      <c r="A33" s="49"/>
      <c r="B33" s="110" t="s">
        <v>69</v>
      </c>
      <c r="C33" s="49"/>
      <c r="AR33" s="114"/>
      <c r="AS33" s="114"/>
      <c r="AT33" s="114"/>
      <c r="AV33" s="47"/>
      <c r="AW33" s="47"/>
      <c r="AX33" s="47"/>
      <c r="AY33" s="111">
        <v>1000</v>
      </c>
      <c r="BV33" s="114"/>
      <c r="BW33" s="114"/>
      <c r="BX33" s="114"/>
      <c r="CA33" s="47"/>
      <c r="CC33" s="111">
        <v>1000</v>
      </c>
      <c r="CZ33" s="114"/>
      <c r="DA33" s="114"/>
      <c r="DB33" s="114"/>
      <c r="DD33" s="47"/>
      <c r="DE33" s="47"/>
      <c r="DF33" s="47"/>
      <c r="DG33" s="111">
        <v>1000</v>
      </c>
      <c r="EA33" s="49"/>
      <c r="EE33" s="47"/>
      <c r="EG33" s="111">
        <v>1000</v>
      </c>
      <c r="EW33" s="49"/>
      <c r="FA33" s="47"/>
      <c r="FC33" s="111">
        <v>1000</v>
      </c>
      <c r="FS33" s="49"/>
      <c r="FW33" s="47"/>
      <c r="FY33" s="111">
        <v>1000</v>
      </c>
      <c r="GO33" s="49"/>
      <c r="GS33" s="47"/>
      <c r="GU33" s="111">
        <v>1000</v>
      </c>
      <c r="HK33" s="49"/>
      <c r="HO33" s="47"/>
      <c r="HQ33" s="111">
        <v>1000</v>
      </c>
      <c r="IG33" s="49"/>
      <c r="IK33" s="47"/>
      <c r="IM33" s="111">
        <v>1000</v>
      </c>
      <c r="JC33" s="49"/>
      <c r="JG33" s="47"/>
      <c r="JI33" s="111">
        <v>1000</v>
      </c>
      <c r="JY33" s="49"/>
      <c r="KC33" s="47"/>
      <c r="KE33" s="111">
        <v>1000</v>
      </c>
      <c r="KU33" s="49"/>
      <c r="KY33" s="47"/>
      <c r="LA33" s="111">
        <v>1000</v>
      </c>
      <c r="LQ33" s="49"/>
      <c r="LU33" s="47"/>
      <c r="LW33" s="111">
        <v>1000</v>
      </c>
      <c r="MM33" s="49"/>
      <c r="MQ33" s="47"/>
      <c r="MS33" s="111">
        <v>1000</v>
      </c>
      <c r="NI33" s="49"/>
      <c r="NM33" s="47"/>
      <c r="NO33" s="111">
        <v>1000</v>
      </c>
    </row>
    <row r="34" spans="1:379" x14ac:dyDescent="0.2">
      <c r="A34" s="49"/>
      <c r="B34" s="108" t="s">
        <v>47</v>
      </c>
      <c r="C34" s="49"/>
      <c r="O34" s="2"/>
      <c r="AR34" s="114"/>
      <c r="AS34" s="114"/>
      <c r="AT34" s="114"/>
      <c r="AV34" s="47"/>
      <c r="AW34" s="47"/>
      <c r="AX34" s="47"/>
      <c r="AY34" s="109">
        <v>48.3</v>
      </c>
      <c r="BV34" s="114"/>
      <c r="BW34" s="114"/>
      <c r="BX34" s="114"/>
      <c r="CA34" s="47"/>
      <c r="CC34" s="109">
        <v>48.3</v>
      </c>
      <c r="CZ34" s="114"/>
      <c r="DA34" s="114"/>
      <c r="DB34" s="114"/>
      <c r="DD34" s="47"/>
      <c r="DE34" s="47"/>
      <c r="DF34" s="47"/>
      <c r="DG34" s="109">
        <v>48.3</v>
      </c>
      <c r="EA34" s="49"/>
      <c r="EE34" s="47"/>
      <c r="EG34" s="109">
        <v>48.3</v>
      </c>
      <c r="EW34" s="49"/>
      <c r="FA34" s="47"/>
      <c r="FC34" s="109">
        <v>48.3</v>
      </c>
      <c r="FS34" s="49"/>
      <c r="FW34" s="47"/>
      <c r="FY34" s="109">
        <v>48.3</v>
      </c>
      <c r="GO34" s="49"/>
      <c r="GS34" s="47"/>
      <c r="GU34" s="109">
        <v>48.3</v>
      </c>
      <c r="HK34" s="49"/>
      <c r="HO34" s="47"/>
      <c r="HQ34" s="109">
        <v>48.3</v>
      </c>
      <c r="IG34" s="49"/>
      <c r="IK34" s="47"/>
      <c r="IM34" s="109">
        <v>48.3</v>
      </c>
      <c r="JC34" s="49"/>
      <c r="JG34" s="47"/>
      <c r="JI34" s="109">
        <v>48.3</v>
      </c>
      <c r="JY34" s="49"/>
      <c r="KC34" s="47"/>
      <c r="KE34" s="109">
        <v>48.3</v>
      </c>
      <c r="KU34" s="49"/>
      <c r="KY34" s="47"/>
      <c r="LA34" s="109">
        <v>48.3</v>
      </c>
      <c r="LQ34" s="49"/>
      <c r="LU34" s="47"/>
      <c r="LW34" s="109">
        <v>48.3</v>
      </c>
      <c r="MM34" s="49"/>
      <c r="MQ34" s="47"/>
      <c r="MS34" s="109">
        <v>48.3</v>
      </c>
      <c r="NI34" s="49"/>
      <c r="NM34" s="47"/>
      <c r="NO34" s="109">
        <v>48.3</v>
      </c>
    </row>
    <row r="35" spans="1:379" hidden="1" x14ac:dyDescent="0.2">
      <c r="A35" s="49"/>
      <c r="B35" s="64" t="s">
        <v>48</v>
      </c>
      <c r="C35" s="49"/>
      <c r="O35" s="2"/>
      <c r="AR35" s="114"/>
      <c r="AS35" s="114"/>
      <c r="AT35" s="114"/>
      <c r="AV35" s="47"/>
      <c r="AW35" s="47"/>
      <c r="AX35" s="47"/>
      <c r="AY35" s="58">
        <v>1000</v>
      </c>
      <c r="BV35" s="114"/>
      <c r="BW35" s="114"/>
      <c r="BX35" s="114"/>
      <c r="CA35" s="47"/>
      <c r="CC35" s="58">
        <v>1000</v>
      </c>
      <c r="CZ35" s="114"/>
      <c r="DA35" s="114"/>
      <c r="DB35" s="114"/>
      <c r="DD35" s="47"/>
      <c r="DE35" s="47"/>
      <c r="DF35" s="47"/>
      <c r="DG35" s="58">
        <v>1000</v>
      </c>
      <c r="EA35" s="49"/>
      <c r="EE35" s="47"/>
      <c r="EG35" s="58">
        <v>1000</v>
      </c>
      <c r="EW35" s="49"/>
      <c r="FA35" s="47"/>
      <c r="FC35" s="58">
        <v>1000</v>
      </c>
      <c r="FS35" s="49"/>
      <c r="FW35" s="47"/>
      <c r="FY35" s="58">
        <v>1000</v>
      </c>
      <c r="GO35" s="49"/>
      <c r="GS35" s="47"/>
      <c r="GU35" s="58">
        <v>1000</v>
      </c>
      <c r="HK35" s="49"/>
      <c r="HO35" s="47"/>
      <c r="HQ35" s="58">
        <v>1000</v>
      </c>
      <c r="IG35" s="49"/>
      <c r="IK35" s="47"/>
      <c r="IM35" s="58">
        <v>1000</v>
      </c>
      <c r="JC35" s="49"/>
      <c r="JG35" s="47"/>
      <c r="JI35" s="58">
        <v>1000</v>
      </c>
      <c r="JY35" s="49"/>
      <c r="KC35" s="47"/>
      <c r="KE35" s="58">
        <v>1000</v>
      </c>
      <c r="KU35" s="49"/>
      <c r="KY35" s="47"/>
      <c r="LA35" s="58">
        <v>1000</v>
      </c>
      <c r="LQ35" s="49"/>
      <c r="LU35" s="47"/>
      <c r="LW35" s="58">
        <v>1000</v>
      </c>
      <c r="MM35" s="49"/>
      <c r="MQ35" s="47"/>
      <c r="MS35" s="58">
        <v>1000</v>
      </c>
      <c r="NI35" s="49"/>
      <c r="NM35" s="47"/>
      <c r="NO35" s="58">
        <v>1000</v>
      </c>
    </row>
    <row r="36" spans="1:379" hidden="1" x14ac:dyDescent="0.2">
      <c r="A36" s="49"/>
      <c r="B36" s="106" t="s">
        <v>60</v>
      </c>
      <c r="C36" s="49"/>
      <c r="AR36" s="114"/>
      <c r="AS36" s="114"/>
      <c r="AT36" s="114"/>
      <c r="AV36" s="47"/>
      <c r="AW36" s="47"/>
      <c r="AX36" s="47"/>
      <c r="AY36" s="107">
        <v>1000</v>
      </c>
      <c r="BV36" s="114"/>
      <c r="BW36" s="114"/>
      <c r="BX36" s="114"/>
      <c r="CA36" s="47"/>
      <c r="CB36" s="117"/>
      <c r="CC36" s="107">
        <v>1000</v>
      </c>
      <c r="CZ36" s="114"/>
      <c r="DA36" s="114"/>
      <c r="DB36" s="114"/>
      <c r="DD36" s="47"/>
      <c r="DE36" s="47"/>
      <c r="DF36" s="47"/>
      <c r="DG36" s="107">
        <v>1000</v>
      </c>
      <c r="EA36" s="49"/>
      <c r="EE36" s="47"/>
      <c r="EF36" s="117"/>
      <c r="EG36" s="107">
        <v>1000</v>
      </c>
      <c r="EW36" s="49"/>
      <c r="FA36" s="47"/>
      <c r="FC36" s="107">
        <v>1000</v>
      </c>
      <c r="FS36" s="49"/>
      <c r="FW36" s="47"/>
      <c r="FY36" s="107">
        <v>1000</v>
      </c>
      <c r="GO36" s="49"/>
      <c r="GS36" s="47"/>
      <c r="GT36" s="117"/>
      <c r="GU36" s="107">
        <v>1000</v>
      </c>
      <c r="HK36" s="49"/>
      <c r="HO36" s="47"/>
      <c r="HP36" s="117"/>
      <c r="HQ36" s="107">
        <v>1000</v>
      </c>
      <c r="IG36" s="49"/>
      <c r="IK36" s="47"/>
      <c r="IL36" s="117"/>
      <c r="IM36" s="107">
        <v>1000</v>
      </c>
      <c r="JC36" s="49"/>
      <c r="JG36" s="47"/>
      <c r="JI36" s="107">
        <v>1000</v>
      </c>
      <c r="JY36" s="49"/>
      <c r="KC36" s="47"/>
      <c r="KE36" s="107">
        <v>1000</v>
      </c>
      <c r="KU36" s="49"/>
      <c r="KY36" s="47"/>
      <c r="LA36" s="107">
        <v>1000</v>
      </c>
      <c r="LQ36" s="49"/>
      <c r="LU36" s="47"/>
      <c r="LW36" s="107">
        <v>1000</v>
      </c>
      <c r="MM36" s="49"/>
      <c r="MQ36" s="47"/>
      <c r="MS36" s="107">
        <v>1000</v>
      </c>
      <c r="NI36" s="49"/>
      <c r="NM36" s="47"/>
      <c r="NO36" s="107">
        <v>1000</v>
      </c>
    </row>
    <row r="37" spans="1:379" hidden="1" x14ac:dyDescent="0.2">
      <c r="A37" s="49"/>
      <c r="B37" s="66" t="s">
        <v>34</v>
      </c>
      <c r="C37" s="49"/>
      <c r="O37" s="2"/>
      <c r="AR37" s="114"/>
      <c r="AS37" s="114"/>
      <c r="AT37" s="114"/>
      <c r="AV37" s="47"/>
      <c r="AW37" s="47"/>
      <c r="AX37" s="47"/>
      <c r="AY37" s="60">
        <v>1000</v>
      </c>
      <c r="BV37" s="114"/>
      <c r="BW37" s="114"/>
      <c r="BX37" s="114"/>
      <c r="CA37" s="47"/>
      <c r="CC37" s="60">
        <v>1000</v>
      </c>
      <c r="CZ37" s="114"/>
      <c r="DA37" s="114"/>
      <c r="DB37" s="114"/>
      <c r="DD37" s="47"/>
      <c r="DE37" s="47"/>
      <c r="DF37" s="47"/>
      <c r="DG37" s="60">
        <v>1000</v>
      </c>
      <c r="EA37" s="49"/>
      <c r="EE37" s="47"/>
      <c r="EG37" s="60">
        <v>1000</v>
      </c>
      <c r="EW37" s="49"/>
      <c r="FA37" s="47"/>
      <c r="FC37" s="60">
        <v>1000</v>
      </c>
      <c r="FS37" s="49"/>
      <c r="FW37" s="47"/>
      <c r="FY37" s="60">
        <v>1000</v>
      </c>
      <c r="GO37" s="49"/>
      <c r="GS37" s="47"/>
      <c r="GU37" s="60">
        <v>1000</v>
      </c>
      <c r="HK37" s="49"/>
      <c r="HO37" s="47"/>
      <c r="HQ37" s="60">
        <v>1000</v>
      </c>
      <c r="IG37" s="49"/>
      <c r="IK37" s="47"/>
      <c r="IL37" s="117"/>
      <c r="IM37" s="60">
        <v>1000</v>
      </c>
      <c r="JC37" s="49"/>
      <c r="JG37" s="47"/>
      <c r="JI37" s="60">
        <v>1000</v>
      </c>
      <c r="JY37" s="49"/>
      <c r="KC37" s="47"/>
      <c r="KE37" s="60">
        <v>1000</v>
      </c>
      <c r="KU37" s="49"/>
      <c r="KY37" s="47"/>
      <c r="LA37" s="60">
        <v>1000</v>
      </c>
      <c r="LQ37" s="49"/>
      <c r="LU37" s="47"/>
      <c r="LW37" s="60">
        <v>1000</v>
      </c>
      <c r="MM37" s="49"/>
      <c r="MQ37" s="47"/>
      <c r="MS37" s="60">
        <v>1000</v>
      </c>
      <c r="NI37" s="49"/>
      <c r="NM37" s="47"/>
      <c r="NO37" s="60">
        <v>1000</v>
      </c>
    </row>
    <row r="38" spans="1:379" x14ac:dyDescent="0.2">
      <c r="B38" s="74" t="s">
        <v>53</v>
      </c>
      <c r="C38" s="2"/>
      <c r="AU38" s="47"/>
      <c r="AV38" s="47"/>
      <c r="AX38" s="47"/>
      <c r="DC38" s="47"/>
      <c r="DD38" s="47"/>
      <c r="DF38" s="47"/>
      <c r="EX38" s="47"/>
    </row>
    <row r="39" spans="1:379" x14ac:dyDescent="0.2">
      <c r="A39" s="49"/>
      <c r="B39" s="49"/>
      <c r="C39" s="4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379" ht="17" x14ac:dyDescent="0.2">
      <c r="A40" s="49"/>
      <c r="B40" s="49"/>
      <c r="C40" s="48"/>
      <c r="S40" s="18"/>
      <c r="T40" s="18"/>
      <c r="AQ40" s="47"/>
      <c r="AR40" s="47"/>
      <c r="AS40" s="47"/>
      <c r="AT40" s="47"/>
      <c r="AU40" s="47"/>
      <c r="AV40" s="47"/>
      <c r="AX40" s="47"/>
      <c r="CY40" s="47"/>
      <c r="CZ40" s="47"/>
      <c r="DA40" s="47"/>
      <c r="DB40" s="47"/>
      <c r="DC40" s="47"/>
      <c r="DD40" s="47"/>
      <c r="DF40" s="47"/>
    </row>
    <row r="41" spans="1:379" ht="17" x14ac:dyDescent="0.2">
      <c r="A41" s="49"/>
      <c r="B41" s="49"/>
      <c r="C41" s="48"/>
      <c r="S41" s="18"/>
      <c r="AQ41" s="47"/>
      <c r="AR41" s="47"/>
      <c r="AS41" s="47"/>
      <c r="AT41" s="47"/>
      <c r="AU41" s="47"/>
      <c r="AV41" s="47"/>
      <c r="AX41" s="47"/>
      <c r="CY41" s="47"/>
      <c r="CZ41" s="47"/>
      <c r="DA41" s="47"/>
      <c r="DB41" s="47"/>
      <c r="DC41" s="47"/>
      <c r="DD41" s="47"/>
      <c r="DF41" s="47"/>
    </row>
    <row r="42" spans="1:379" ht="17" x14ac:dyDescent="0.2">
      <c r="S42" s="18"/>
      <c r="T42" s="18"/>
      <c r="AQ42" s="47"/>
      <c r="AR42" s="47"/>
      <c r="AS42" s="47"/>
      <c r="AT42" s="47"/>
      <c r="AU42" s="47"/>
      <c r="AV42" s="47"/>
      <c r="AX42" s="47"/>
      <c r="CY42" s="47"/>
      <c r="CZ42" s="47"/>
      <c r="DA42" s="47"/>
      <c r="DB42" s="47"/>
      <c r="DC42" s="47"/>
      <c r="DD42" s="47"/>
      <c r="DF42" s="47"/>
    </row>
    <row r="43" spans="1:379" ht="17" x14ac:dyDescent="0.2">
      <c r="S43" s="18"/>
      <c r="T43" s="18"/>
      <c r="AQ43" s="47"/>
      <c r="AR43" s="47"/>
      <c r="AS43" s="47"/>
      <c r="AT43" s="47"/>
      <c r="AU43" s="47"/>
      <c r="AV43" s="47"/>
      <c r="AX43" s="47"/>
      <c r="CY43" s="47"/>
      <c r="CZ43" s="47"/>
      <c r="DA43" s="47"/>
      <c r="DB43" s="47"/>
      <c r="DC43" s="47"/>
      <c r="DD43" s="47"/>
      <c r="DF43" s="47"/>
    </row>
    <row r="44" spans="1:379" ht="17" x14ac:dyDescent="0.2">
      <c r="S44" s="18"/>
      <c r="T44" s="18"/>
      <c r="AQ44" s="47"/>
      <c r="AR44" s="47"/>
      <c r="AS44" s="47"/>
      <c r="AT44" s="47"/>
      <c r="AU44" s="47"/>
      <c r="AV44" s="47"/>
      <c r="AX44" s="47"/>
      <c r="CY44" s="47"/>
      <c r="CZ44" s="47"/>
      <c r="DA44" s="47"/>
      <c r="DB44" s="47"/>
      <c r="DC44" s="47"/>
      <c r="DD44" s="47"/>
      <c r="DF44" s="47"/>
    </row>
    <row r="45" spans="1:379" ht="17" x14ac:dyDescent="0.2">
      <c r="S45" s="18"/>
      <c r="T45" s="18"/>
      <c r="U45" s="18"/>
    </row>
    <row r="46" spans="1:379" ht="17" x14ac:dyDescent="0.2">
      <c r="S46" s="18"/>
      <c r="T46" s="18"/>
      <c r="U46" s="18"/>
    </row>
    <row r="47" spans="1:379" ht="17" x14ac:dyDescent="0.2">
      <c r="S47" s="18"/>
      <c r="T47" s="18"/>
      <c r="U47" s="18"/>
    </row>
    <row r="48" spans="1:379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  <row r="55" spans="19:21" ht="17" x14ac:dyDescent="0.2">
      <c r="S55" s="18"/>
      <c r="T55" s="18"/>
      <c r="U55" s="18"/>
    </row>
    <row r="56" spans="19:21" ht="17" x14ac:dyDescent="0.2">
      <c r="S56" s="18"/>
      <c r="T56" s="18"/>
      <c r="U56" s="18"/>
    </row>
    <row r="57" spans="19:21" ht="17" x14ac:dyDescent="0.2">
      <c r="S57" s="18"/>
      <c r="T57" s="18"/>
      <c r="U57" s="18"/>
    </row>
    <row r="58" spans="19:21" ht="17" x14ac:dyDescent="0.2">
      <c r="S58" s="18"/>
      <c r="T58" s="18"/>
      <c r="U58" s="18"/>
    </row>
    <row r="59" spans="19:21" ht="17" x14ac:dyDescent="0.2">
      <c r="S59" s="18"/>
      <c r="T59" s="18"/>
      <c r="U59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7">
      <sortCondition descending="1" ref="F1:F28"/>
    </sortState>
  </autoFilter>
  <mergeCells count="90">
    <mergeCell ref="F1:F3"/>
    <mergeCell ref="A1:A3"/>
    <mergeCell ref="B1:B3"/>
    <mergeCell ref="C1:C3"/>
    <mergeCell ref="D1:D3"/>
    <mergeCell ref="E1:E3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CD1:DG1"/>
    <mergeCell ref="CD2:CH2"/>
    <mergeCell ref="CI2:CM2"/>
    <mergeCell ref="CN2:CR2"/>
    <mergeCell ref="CS2:CW2"/>
    <mergeCell ref="S1:S3"/>
    <mergeCell ref="T1:T3"/>
    <mergeCell ref="U1:U3"/>
    <mergeCell ref="V1:AY1"/>
    <mergeCell ref="AZ1:CC1"/>
    <mergeCell ref="LX1:MS1"/>
    <mergeCell ref="DH1:DK1"/>
    <mergeCell ref="DL1:EG1"/>
    <mergeCell ref="EH1:FC1"/>
    <mergeCell ref="FD1:FY1"/>
    <mergeCell ref="FZ1:GU1"/>
    <mergeCell ref="GV1:HQ1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7">
    <cfRule type="expression" dxfId="105" priority="1" stopIfTrue="1">
      <formula>IF($AP4&lt;&gt;"",1,0)</formula>
    </cfRule>
  </conditionalFormatting>
  <conditionalFormatting sqref="AZ4:CC27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7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6533" operator="between">
      <formula>AY$34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6578" operator="between">
      <formula>AY$34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623" operator="between">
      <formula>EG$33</formula>
      <formula>1000</formula>
    </cfRule>
    <cfRule type="cellIs" dxfId="95" priority="46624" operator="between">
      <formula>EG$32</formula>
      <formula>EG$33</formula>
    </cfRule>
    <cfRule type="cellIs" dxfId="94" priority="46625" operator="between">
      <formula>EG$31</formula>
      <formula>EG$32</formula>
    </cfRule>
    <cfRule type="cellIs" dxfId="93" priority="46626" operator="between">
      <formula>EG$30</formula>
      <formula>EG$31</formula>
    </cfRule>
  </conditionalFormatting>
  <conditionalFormatting sqref="AR1:AR1048576 BV1:BV1048576 CZ1:CZ1048576">
    <cfRule type="cellIs" dxfId="92" priority="46767" operator="between">
      <formula>AY$33</formula>
      <formula>1000</formula>
    </cfRule>
    <cfRule type="cellIs" dxfId="91" priority="46768" operator="between">
      <formula>AY$32</formula>
      <formula>AY$33</formula>
    </cfRule>
    <cfRule type="cellIs" dxfId="90" priority="46769" operator="between">
      <formula>AY$31</formula>
      <formula>AY$32</formula>
    </cfRule>
    <cfRule type="cellIs" dxfId="89" priority="46770" operator="between">
      <formula>AY$30</formula>
      <formula>AY$31</formula>
    </cfRule>
  </conditionalFormatting>
  <conditionalFormatting sqref="AS1:AS1048576 BW1:BW1048576 DA1:DA1048576">
    <cfRule type="cellIs" dxfId="88" priority="46803" operator="between">
      <formula>AY$34</formula>
      <formula>1000</formula>
    </cfRule>
  </conditionalFormatting>
  <conditionalFormatting sqref="AT1:AT1048576 BX1:BX1048576 DB1:DB1048576">
    <cfRule type="cellIs" dxfId="87" priority="46812" operator="between">
      <formula>AY$33</formula>
      <formula>1000</formula>
    </cfRule>
    <cfRule type="cellIs" dxfId="86" priority="46813" operator="between">
      <formula>AY$32</formula>
      <formula>AY$33</formula>
    </cfRule>
    <cfRule type="cellIs" dxfId="85" priority="46814" operator="between">
      <formula>AY$31</formula>
      <formula>AY$32</formula>
    </cfRule>
    <cfRule type="cellIs" dxfId="84" priority="46815" operator="between">
      <formula>AY$30</formula>
      <formula>AY$31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848" operator="between">
      <formula>AY$33</formula>
      <formula>1000</formula>
    </cfRule>
    <cfRule type="cellIs" dxfId="82" priority="46849" operator="between">
      <formula>AY$32</formula>
      <formula>AY$33</formula>
    </cfRule>
    <cfRule type="cellIs" dxfId="81" priority="46850" operator="between">
      <formula>AY$31</formula>
      <formula>AY$32</formula>
    </cfRule>
    <cfRule type="cellIs" dxfId="80" priority="46851" operator="between">
      <formula>AY$30</formula>
      <formula>AY$31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5"/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8"/>
      <c r="K2" s="128"/>
      <c r="L2" s="128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2" t="s">
        <v>31</v>
      </c>
      <c r="CT2" s="132"/>
      <c r="CU2" s="132"/>
      <c r="CV2" s="132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2" t="s">
        <v>26</v>
      </c>
      <c r="DC2" s="122"/>
      <c r="DD2" s="122"/>
      <c r="DE2" s="122"/>
      <c r="DF2" s="122" t="s">
        <v>29</v>
      </c>
      <c r="DG2" s="122"/>
      <c r="DH2" s="122"/>
      <c r="DI2" s="122"/>
      <c r="DJ2" s="122" t="s">
        <v>30</v>
      </c>
      <c r="DK2" s="122"/>
      <c r="DL2" s="122"/>
      <c r="DM2" s="122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3" t="s">
        <v>26</v>
      </c>
      <c r="DX2" s="123"/>
      <c r="DY2" s="123"/>
      <c r="DZ2" s="123"/>
      <c r="EA2" s="123" t="s">
        <v>29</v>
      </c>
      <c r="EB2" s="123"/>
      <c r="EC2" s="123"/>
      <c r="ED2" s="123"/>
      <c r="EE2" s="123" t="s">
        <v>30</v>
      </c>
      <c r="EF2" s="123"/>
      <c r="EG2" s="123"/>
      <c r="EH2" s="123"/>
      <c r="EI2" s="132" t="s">
        <v>31</v>
      </c>
      <c r="EJ2" s="132"/>
      <c r="EK2" s="132"/>
      <c r="EL2" s="132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2" t="s">
        <v>26</v>
      </c>
      <c r="ES2" s="122"/>
      <c r="ET2" s="122"/>
      <c r="EU2" s="122"/>
      <c r="EV2" s="122" t="s">
        <v>29</v>
      </c>
      <c r="EW2" s="122"/>
      <c r="EX2" s="122"/>
      <c r="EY2" s="122"/>
      <c r="EZ2" s="122" t="s">
        <v>30</v>
      </c>
      <c r="FA2" s="122"/>
      <c r="FB2" s="122"/>
      <c r="FC2" s="122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3" t="s">
        <v>26</v>
      </c>
      <c r="FN2" s="123"/>
      <c r="FO2" s="123"/>
      <c r="FP2" s="123"/>
      <c r="FQ2" s="123" t="s">
        <v>29</v>
      </c>
      <c r="FR2" s="123"/>
      <c r="FS2" s="123"/>
      <c r="FT2" s="123"/>
      <c r="FU2" s="123" t="s">
        <v>30</v>
      </c>
      <c r="FV2" s="123"/>
      <c r="FW2" s="123"/>
      <c r="FX2" s="123"/>
      <c r="FY2" s="132" t="s">
        <v>31</v>
      </c>
      <c r="FZ2" s="132"/>
      <c r="GA2" s="132"/>
      <c r="GB2" s="132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2" t="s">
        <v>26</v>
      </c>
      <c r="GI2" s="122"/>
      <c r="GJ2" s="122"/>
      <c r="GK2" s="122"/>
      <c r="GL2" s="122" t="s">
        <v>29</v>
      </c>
      <c r="GM2" s="122"/>
      <c r="GN2" s="122"/>
      <c r="GO2" s="122"/>
      <c r="GP2" s="122" t="s">
        <v>30</v>
      </c>
      <c r="GQ2" s="122"/>
      <c r="GR2" s="122"/>
      <c r="GS2" s="122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3" t="s">
        <v>26</v>
      </c>
      <c r="HD2" s="123"/>
      <c r="HE2" s="123"/>
      <c r="HF2" s="123"/>
      <c r="HG2" s="123" t="s">
        <v>29</v>
      </c>
      <c r="HH2" s="123"/>
      <c r="HI2" s="123"/>
      <c r="HJ2" s="123"/>
      <c r="HK2" s="123" t="s">
        <v>30</v>
      </c>
      <c r="HL2" s="123"/>
      <c r="HM2" s="123"/>
      <c r="HN2" s="123"/>
      <c r="HO2" s="132" t="s">
        <v>31</v>
      </c>
      <c r="HP2" s="132"/>
      <c r="HQ2" s="132"/>
      <c r="HR2" s="132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2" t="s">
        <v>26</v>
      </c>
      <c r="HY2" s="122"/>
      <c r="HZ2" s="122"/>
      <c r="IA2" s="122"/>
      <c r="IB2" s="122" t="s">
        <v>29</v>
      </c>
      <c r="IC2" s="122"/>
      <c r="ID2" s="122"/>
      <c r="IE2" s="122"/>
      <c r="IF2" s="122" t="s">
        <v>30</v>
      </c>
      <c r="IG2" s="122"/>
      <c r="IH2" s="122"/>
      <c r="II2" s="122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3" t="s">
        <v>26</v>
      </c>
      <c r="IT2" s="123"/>
      <c r="IU2" s="123"/>
      <c r="IV2" s="123"/>
      <c r="IW2" s="123" t="s">
        <v>29</v>
      </c>
      <c r="IX2" s="123"/>
      <c r="IY2" s="123"/>
      <c r="IZ2" s="123"/>
      <c r="JA2" s="123" t="s">
        <v>30</v>
      </c>
      <c r="JB2" s="123"/>
      <c r="JC2" s="123"/>
      <c r="JD2" s="123"/>
      <c r="JE2" s="132" t="s">
        <v>31</v>
      </c>
      <c r="JF2" s="132"/>
      <c r="JG2" s="132"/>
      <c r="JH2" s="132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2" t="s">
        <v>26</v>
      </c>
      <c r="JO2" s="122"/>
      <c r="JP2" s="122"/>
      <c r="JQ2" s="122"/>
      <c r="JR2" s="122" t="s">
        <v>29</v>
      </c>
      <c r="JS2" s="122"/>
      <c r="JT2" s="122"/>
      <c r="JU2" s="122"/>
      <c r="JV2" s="122" t="s">
        <v>30</v>
      </c>
      <c r="JW2" s="122"/>
      <c r="JX2" s="122"/>
      <c r="JY2" s="122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3" t="s">
        <v>26</v>
      </c>
      <c r="KJ2" s="123"/>
      <c r="KK2" s="123"/>
      <c r="KL2" s="123"/>
      <c r="KM2" s="123" t="s">
        <v>29</v>
      </c>
      <c r="KN2" s="123"/>
      <c r="KO2" s="123"/>
      <c r="KP2" s="123"/>
      <c r="KQ2" s="123" t="s">
        <v>30</v>
      </c>
      <c r="KR2" s="123"/>
      <c r="KS2" s="123"/>
      <c r="KT2" s="123"/>
      <c r="KU2" s="132" t="s">
        <v>31</v>
      </c>
      <c r="KV2" s="132"/>
      <c r="KW2" s="132"/>
      <c r="KX2" s="132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2" t="s">
        <v>26</v>
      </c>
      <c r="LE2" s="122"/>
      <c r="LF2" s="122"/>
      <c r="LG2" s="122"/>
      <c r="LH2" s="122" t="s">
        <v>29</v>
      </c>
      <c r="LI2" s="122"/>
      <c r="LJ2" s="122"/>
      <c r="LK2" s="122"/>
      <c r="LL2" s="122" t="s">
        <v>30</v>
      </c>
      <c r="LM2" s="122"/>
      <c r="LN2" s="122"/>
      <c r="LO2" s="122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8"/>
      <c r="K3" s="128"/>
      <c r="L3" s="128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0" si="0">IF(AND(F4="P",G4="P"),SUMPRODUCT((F$4:F$11="P")*(G$4:G$11="P")*(E$4:E$11&gt;E4))+1,IF(G4="P",SUMPRODUCT((F$4:F$11="")*(G$4:G$11="P")*(E$4:E$11&gt;E4))+1+SUMPRODUCT((F$4:F$11="P")*(G$4:G$11="P")),""))</f>
        <v>1</v>
      </c>
      <c r="B4" s="8" t="s">
        <v>129</v>
      </c>
      <c r="C4" s="4" t="s">
        <v>3</v>
      </c>
      <c r="D4" s="26">
        <v>2003</v>
      </c>
      <c r="E4" s="15">
        <f t="shared" ref="E4:E10" si="1">SUM(J4:N4)</f>
        <v>129.19999999999999</v>
      </c>
      <c r="F4" s="3" t="str">
        <f t="shared" ref="F4:F10" si="2"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 t="shared" ref="G4:G10" si="3"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 t="shared" ref="H4:H10" si="4"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 t="shared" ref="I4:I10" si="5">IF(OR(H4="Worlds Team",H4="Excellence",H4="Merit"),"P","")</f>
        <v/>
      </c>
      <c r="J4" s="14">
        <f t="shared" ref="J4:J10" si="6">MAX(AI4,BE4,CA4)</f>
        <v>64.099999999999994</v>
      </c>
      <c r="K4" s="14" t="str">
        <f t="shared" ref="K4:K10" si="7">IF(J4=0,"",IF(J4=CA4,$BI$1,IF(J4=BE4,$AM$1,IF(J4=AI4,$Q$1,""))))</f>
        <v>2021 2nd Virtual Technical Trial</v>
      </c>
      <c r="L4" s="14">
        <f t="shared" ref="L4:L10" si="8">MAX(AK4,BG4,CC4)</f>
        <v>65.099999999999994</v>
      </c>
      <c r="M4" s="14" t="str">
        <f t="shared" ref="M4:M10" si="9">IF(L4=0,"",IF(J4=CC4,$BI$1,IF(L4=BG4,$AM$1,IF(L4=AK4,$Q$1,""))))</f>
        <v>2021 2nd Virtual Technical Trial</v>
      </c>
      <c r="N4" s="14" t="str">
        <f t="shared" ref="N4:N10" si="10">IF(MAX(CE4:CF4)&gt;0,MAX(CE4:CF4),"")</f>
        <v/>
      </c>
      <c r="O4" s="24" t="str">
        <f t="shared" ref="O4:O10" si="11">IF(N4="","",IF(N4=CE4,"(Prelim)",IF(N4=CF4,"(Final)")))</f>
        <v/>
      </c>
      <c r="P4" s="14" t="str">
        <f t="shared" ref="P4:P10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26.1</v>
      </c>
      <c r="R4" s="61">
        <v>5.9</v>
      </c>
      <c r="S4" s="61">
        <v>0</v>
      </c>
      <c r="T4" s="61">
        <v>0.3</v>
      </c>
      <c r="U4" s="61">
        <v>26</v>
      </c>
      <c r="V4" s="61">
        <v>5.5</v>
      </c>
      <c r="W4" s="61">
        <v>0</v>
      </c>
      <c r="X4" s="61">
        <v>0.3</v>
      </c>
      <c r="Y4" s="61">
        <v>26.7</v>
      </c>
      <c r="Z4" s="61">
        <v>6.1</v>
      </c>
      <c r="AA4" s="61">
        <v>0</v>
      </c>
      <c r="AB4" s="61">
        <v>0.3</v>
      </c>
      <c r="AC4" s="61">
        <v>26.5</v>
      </c>
      <c r="AD4" s="61">
        <v>5.5</v>
      </c>
      <c r="AE4" s="61">
        <v>0.3</v>
      </c>
      <c r="AF4" s="61">
        <v>0.3</v>
      </c>
      <c r="AG4" s="72"/>
      <c r="AH4" s="11">
        <f t="shared" ref="AH4:AH10" si="13">IF(SUM(R4,V4)&gt;0,SUM(R4,V4),"")</f>
        <v>11.4</v>
      </c>
      <c r="AI4" s="11">
        <f t="shared" ref="AI4:AI10" si="14">IF(SUM(Q4:R4,T4:V4,X4)-S4-W4&gt;0,SUM(Q4:R4,T4:V4,X4)-S4-W4,"")</f>
        <v>64.099999999999994</v>
      </c>
      <c r="AJ4" s="11">
        <f t="shared" ref="AJ4:AJ10" si="15">IF(SUM(Z4,AD4)&gt;0,SUM(Z4,AD4),"")</f>
        <v>11.6</v>
      </c>
      <c r="AK4" s="11">
        <f t="shared" ref="AK4:AK10" si="16">IF(SUM(Y4:Z4,AB4:AD4,AF4)-SUM(AA4,AE4)&gt;0,SUM(Y4:Z4,AB4:AD4,AF4)-SUM(AA4,AE4),"")</f>
        <v>65.099999999999994</v>
      </c>
      <c r="AL4" s="11">
        <f t="shared" ref="AL4:AL10" si="17">IF(SUM(AI4,AK4)&gt;0,SUM(AI4,AK4),"")</f>
        <v>129.19999999999999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 t="shared" ref="BD4:BD10" si="18">IF(SUM(AN4,AR4)&gt;0,SUM(AN4,AR4),"")</f>
        <v/>
      </c>
      <c r="BE4" s="14" t="str">
        <f t="shared" ref="BE4:BE10" si="19">IF(SUM(AM4:AN4,AP4:AR4,AT4)-AO4-AS4&gt;0,SUM(AM4:AN4,AP4:AR4,AT4)-AO4-AS4,"")</f>
        <v/>
      </c>
      <c r="BF4" s="14" t="str">
        <f t="shared" ref="BF4:BF10" si="20">IF(SUM(AV4,AZ4)&gt;0,SUM(AV4,AZ4),"")</f>
        <v/>
      </c>
      <c r="BG4" s="14" t="str">
        <f t="shared" ref="BG4:BG10" si="21">IF(SUM(AU4:AV4,AX4:AZ4,BB4)-SUM(AW4,BA4)&gt;0,SUM(AU4:AV4,AX4:AZ4,BB4)-SUM(AW4,BA4),"")</f>
        <v/>
      </c>
      <c r="BH4" s="14" t="str">
        <f t="shared" ref="BH4:BH10" si="22"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 t="shared" ref="BZ4:BZ10" si="23">IF(SUM(BJ4,BN4)&gt;0,SUM(BJ4,BN4),"")</f>
        <v/>
      </c>
      <c r="CA4" s="11" t="str">
        <f t="shared" ref="CA4:CA10" si="24">IF(SUM(BI4:BJ4,BL4:BN4,BP4)-BK4-BO4&gt;0,SUM(BI4:BJ4,BL4:BN4,BP4)-BK4-BO4,"")</f>
        <v/>
      </c>
      <c r="CB4" s="11" t="str">
        <f t="shared" ref="CB4:CB10" si="25">IF(SUM(BR4,BV4)&gt;0,SUM(BR4,BV4),"")</f>
        <v/>
      </c>
      <c r="CC4" s="11" t="str">
        <f t="shared" ref="CC4:CC10" si="26">IF(SUM(BQ4:BR4,BT4:BV4,BX4)-SUM(BS4,BW4)&gt;0,SUM(BQ4:BR4,BT4:BV4,BX4)-SUM(BS4,BW4),"")</f>
        <v/>
      </c>
      <c r="CD4" s="11" t="str">
        <f t="shared" ref="CD4:CD10" si="27">IF(SUM(CA4,CC4)&gt;0,SUM(CA4,CC4),"")</f>
        <v/>
      </c>
      <c r="CE4" s="23" t="str">
        <f t="shared" ref="CE4:CE10" si="28">IF(MAX(CX4,DS4,EN4,FI4,GD4,GY4,HT4,IO4,JJ4,KE4,KZ4,LU4)-IF(J4="",0,J4)&gt;0.001,MAX(CX4,DS4,EN4,FI4,GD4,GY4,HT4,IO4,JJ4,KE4,KZ4,LU4)-IF(J4="",0,J4),"")</f>
        <v/>
      </c>
      <c r="CF4" s="23" t="str">
        <f t="shared" ref="CF4:CF10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0" si="30">IF(SUM(CH4,CL4)&gt;0,SUM(CH4,CL4),"")</f>
        <v/>
      </c>
      <c r="CX4" s="11" t="str">
        <f t="shared" ref="CX4:CX10" si="31">IF(SUM(CG4:CH4,CJ4:CL4,CN4)-CI4-CM4&gt;0,SUM(CG4:CH4,CJ4:CL4,CN4)-CI4-CM4,"")</f>
        <v/>
      </c>
      <c r="CY4" s="11" t="str">
        <f t="shared" ref="CY4:CY10" si="32">IF(SUM(CP4,CT4)&gt;0,SUM(CP4,CT4),"")</f>
        <v/>
      </c>
      <c r="CZ4" s="11" t="str">
        <f t="shared" ref="CZ4:CZ10" si="33">IF(SUM(CO4:CP4,CR4:CT4,CV4)-SUM(CQ4,CU4)&gt;0,SUM(CO4:CP4,CR4:CT4,CV4)-SUM(CQ4,CU4),"")</f>
        <v/>
      </c>
      <c r="DA4" s="11" t="str">
        <f t="shared" ref="DA4:DA10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0" si="35">IF(SUM(DC4,DG4)&gt;0,SUM(DC4,DG4),"")</f>
        <v/>
      </c>
      <c r="DS4" s="14" t="str">
        <f t="shared" ref="DS4:DS10" si="36">IF(SUM(DB4:DC4,DE4:DG4,DI4)-DD4-DH4&gt;0,SUM(DB4:DC4,DE4:DG4,DI4)-DD4-DH4,"")</f>
        <v/>
      </c>
      <c r="DT4" s="14" t="str">
        <f t="shared" ref="DT4:DT10" si="37">IF(SUM(DK4,DO4)&gt;0,SUM(DK4,DO4),"")</f>
        <v/>
      </c>
      <c r="DU4" s="14" t="str">
        <f t="shared" ref="DU4:DU10" si="38">IF(SUM(DJ4:DK4,DM4:DO4,DQ4)-SUM(DL4,DP4)&gt;0,SUM(DJ4:DK4,DM4:DO4,DQ4)-SUM(DL4,DP4),"")</f>
        <v/>
      </c>
      <c r="DV4" s="14" t="str">
        <f t="shared" ref="DV4:DV10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0" si="40">IF(SUM(DX4,EB4)&gt;0,SUM(DX4,EB4),"")</f>
        <v/>
      </c>
      <c r="EN4" s="11" t="str">
        <f t="shared" ref="EN4:EN10" si="41">IF(SUM(DW4:DX4,DZ4:EB4,ED4)-DY4-EC4&gt;0,SUM(DW4:DX4,DZ4:EB4,ED4)-DY4-EC4,"")</f>
        <v/>
      </c>
      <c r="EO4" s="11" t="str">
        <f t="shared" ref="EO4:EO10" si="42">IF(SUM(EF4,EJ4)&gt;0,SUM(EF4,EJ4),"")</f>
        <v/>
      </c>
      <c r="EP4" s="11" t="str">
        <f t="shared" ref="EP4:EP10" si="43">IF(SUM(EE4:EF4,EH4:EJ4,EL4)-SUM(EG4,EK4)&gt;0,SUM(EE4:EF4,EH4:EJ4,EL4)-SUM(EG4,EK4),"")</f>
        <v/>
      </c>
      <c r="EQ4" s="11" t="str">
        <f t="shared" ref="EQ4:EQ10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0" si="45">IF(SUM(ES4,EW4)&gt;0,SUM(ES4,EW4),"")</f>
        <v/>
      </c>
      <c r="FI4" s="14" t="str">
        <f t="shared" ref="FI4:FI10" si="46">IF(SUM(ER4:ES4,EU4:EW4,EY4)-ET4-EX4&gt;0,SUM(ER4:ES4,EU4:EW4,EY4)-ET4-EX4,"")</f>
        <v/>
      </c>
      <c r="FJ4" s="14" t="str">
        <f t="shared" ref="FJ4:FJ10" si="47">IF(SUM(FA4,FE4)&gt;0,SUM(FA4,FE4),"")</f>
        <v/>
      </c>
      <c r="FK4" s="14" t="str">
        <f t="shared" ref="FK4:FK10" si="48">IF(SUM(EZ4:FA4,FC4:FE4,FG4)-SUM(FB4,FF4)&gt;0,SUM(EZ4:FA4,FC4:FE4,FG4)-SUM(FB4,FF4),"")</f>
        <v/>
      </c>
      <c r="FL4" s="14" t="str">
        <f t="shared" ref="FL4:FL10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0" si="50">IF(SUM(FN4,FR4)&gt;0,SUM(FN4,FR4),"")</f>
        <v/>
      </c>
      <c r="GD4" s="11" t="str">
        <f t="shared" ref="GD4:GD10" si="51">IF(SUM(FM4:FN4,FP4:FR4,FT4)-FO4-FS4&gt;0,SUM(FM4:FN4,FP4:FR4,FT4)-FO4-FS4,"")</f>
        <v/>
      </c>
      <c r="GE4" s="11" t="str">
        <f t="shared" ref="GE4:GE10" si="52">IF(SUM(FV4,FZ4)&gt;0,SUM(FV4,FZ4),"")</f>
        <v/>
      </c>
      <c r="GF4" s="11" t="str">
        <f t="shared" ref="GF4:GF10" si="53">IF(SUM(FU4:FV4,FX4:FZ4,GB4)-SUM(FW4,GA4)&gt;0,SUM(FU4:FV4,FX4:FZ4,GB4)-SUM(FW4,GA4),"")</f>
        <v/>
      </c>
      <c r="GG4" s="11" t="str">
        <f t="shared" ref="GG4:GG10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0" si="55">IF(SUM(GI4,GM4)&gt;0,SUM(GI4,GM4),"")</f>
        <v/>
      </c>
      <c r="GY4" s="14" t="str">
        <f t="shared" ref="GY4:GY10" si="56">IF(SUM(GH4:GI4,GK4:GM4,GO4)-GJ4-GN4&gt;0,SUM(GH4:GI4,GK4:GM4,GO4)-GJ4-GN4,"")</f>
        <v/>
      </c>
      <c r="GZ4" s="14" t="str">
        <f t="shared" ref="GZ4:GZ10" si="57">IF(SUM(GQ4,GU4)&gt;0,SUM(GQ4,GU4),"")</f>
        <v/>
      </c>
      <c r="HA4" s="14" t="str">
        <f t="shared" ref="HA4:HA10" si="58">IF(SUM(GP4:GQ4,GS4:GU4,GW4)-SUM(GR4,GV4)&gt;0,SUM(GP4:GQ4,GS4:GU4,GW4)-SUM(GR4,GV4),"")</f>
        <v/>
      </c>
      <c r="HB4" s="14" t="str">
        <f t="shared" ref="HB4:HB10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0" si="60">IF(SUM(HD4,HH4)&gt;0,SUM(HD4,HH4),"")</f>
        <v/>
      </c>
      <c r="HT4" s="11" t="str">
        <f t="shared" ref="HT4:HT10" si="61">IF(SUM(HC4:HD4,HF4:HH4,HJ4)-HE4-HI4&gt;0,SUM(HC4:HD4,HF4:HH4,HJ4)-HE4-HI4,"")</f>
        <v/>
      </c>
      <c r="HU4" s="11" t="str">
        <f t="shared" ref="HU4:HU10" si="62">IF(SUM(HL4,HP4)&gt;0,SUM(HL4,HP4),"")</f>
        <v/>
      </c>
      <c r="HV4" s="11" t="str">
        <f t="shared" ref="HV4:HV10" si="63">IF(SUM(HK4:HL4,HN4:HP4,HR4)-SUM(HM4,HQ4)&gt;0,SUM(HK4:HL4,HN4:HP4,HR4)-SUM(HM4,HQ4),"")</f>
        <v/>
      </c>
      <c r="HW4" s="11" t="str">
        <f t="shared" ref="HW4:HW10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0" si="65">IF(SUM(HY4,IC4)&gt;0,SUM(HY4,IC4),"")</f>
        <v/>
      </c>
      <c r="IO4" s="14" t="str">
        <f t="shared" ref="IO4:IO10" si="66">IF(SUM(HX4:HY4,IA4:IC4,IE4)-HZ4-ID4&gt;0,SUM(HX4:HY4,IA4:IC4,IE4)-HZ4-ID4,"")</f>
        <v/>
      </c>
      <c r="IP4" s="14"/>
      <c r="IQ4" s="14" t="str">
        <f t="shared" ref="IQ4:IQ10" si="67">IF(SUM(IF4:IG4,II4:IK4,IM4)-SUM(IH4,IL4)&gt;0,SUM(IF4:IG4,II4:IK4,IM4)-SUM(IH4,IL4),"")</f>
        <v/>
      </c>
      <c r="IR4" s="14" t="str">
        <f t="shared" ref="IR4:IR10" si="68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0" si="69">IF(SUM(IT4,IX4)&gt;0,SUM(IT4,IX4),"")</f>
        <v/>
      </c>
      <c r="JJ4" s="11" t="str">
        <f t="shared" ref="JJ4:JJ10" si="70">IF(SUM(IS4:IT4,IV4:IX4,IZ4)-IU4-IY4&gt;0,SUM(IS4:IT4,IV4:IX4,IZ4)-IU4-IY4,"")</f>
        <v/>
      </c>
      <c r="JK4" s="11" t="str">
        <f t="shared" ref="JK4:JK10" si="71">IF(SUM(JB4,JF4)&gt;0,SUM(JB4,JF4),"")</f>
        <v/>
      </c>
      <c r="JL4" s="11" t="str">
        <f t="shared" ref="JL4:JL10" si="72">IF(SUM(JA4:JB4,JD4:JF4,JH4)-SUM(JC4,JG4)&gt;0,SUM(JA4:JB4,JD4:JF4,JH4)-SUM(JC4,JG4),"")</f>
        <v/>
      </c>
      <c r="JM4" s="11" t="str">
        <f t="shared" ref="JM4:JM10" si="73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0" si="74">IF(SUM(JO4,JS4)&gt;0,SUM(JO4,JS4),"")</f>
        <v/>
      </c>
      <c r="KE4" s="14" t="str">
        <f t="shared" ref="KE4:KE10" si="75">IF(SUM(JN4:JO4,JQ4:JS4,JU4)-JP4-JT4&gt;0,SUM(JN4:JO4,JQ4:JS4,JU4)-JP4-JT4,"")</f>
        <v/>
      </c>
      <c r="KF4" s="14" t="str">
        <f t="shared" ref="KF4:KF10" si="76">IF(SUM(JW4,KA4)&gt;0,SUM(JW4,KA4),"")</f>
        <v/>
      </c>
      <c r="KG4" s="14" t="str">
        <f t="shared" ref="KG4:KG10" si="77">IF(SUM(JV4:JW4,JY4:KA4,KC4)-SUM(JX4,KB4)&gt;0,SUM(JV4:JW4,JY4:KA4,KC4)-SUM(JX4,KB4),"")</f>
        <v/>
      </c>
      <c r="KH4" s="14" t="str">
        <f t="shared" ref="KH4:KH10" si="78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0" si="79">IF(SUM(KJ4,KN4)&gt;0,SUM(KJ4,KN4),"")</f>
        <v/>
      </c>
      <c r="KZ4" s="11" t="str">
        <f t="shared" ref="KZ4:KZ10" si="80">IF(SUM(KI4:KJ4,KL4:KN4,KP4)-KK4-KO4&gt;0,SUM(KI4:KJ4,KL4:KN4,KP4)-KK4-KO4,"")</f>
        <v/>
      </c>
      <c r="LA4" s="11" t="str">
        <f t="shared" ref="LA4:LA10" si="81">IF(SUM(KR4,KV4)&gt;0,SUM(KR4,KV4),"")</f>
        <v/>
      </c>
      <c r="LB4" s="11" t="str">
        <f t="shared" ref="LB4:LB10" si="82">IF(SUM(KQ4:KR4,KT4:KV4,KX4)-SUM(KS4,KW4)&gt;0,SUM(KQ4:KR4,KT4:KV4,KX4)-SUM(KS4,KW4),"")</f>
        <v/>
      </c>
      <c r="LC4" s="11" t="str">
        <f t="shared" ref="LC4:LC10" si="83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0" si="84">IF(SUM(LE4,LI4)&gt;0,SUM(LE4,LI4),"")</f>
        <v/>
      </c>
      <c r="LU4" s="14" t="str">
        <f t="shared" ref="LU4:LU10" si="85">IF(SUM(LD4:LE4,LG4:LI4,LK4)-LF4-LJ4&gt;0,SUM(LD4:LE4,LG4:LI4,LK4)-LF4-LJ4,"")</f>
        <v/>
      </c>
      <c r="LV4" s="14" t="str">
        <f t="shared" ref="LV4:LV10" si="86">IF(SUM(LM4,LQ4)&gt;0,SUM(LM4,LQ4),"")</f>
        <v/>
      </c>
      <c r="LW4" s="14" t="str">
        <f t="shared" ref="LW4:LW10" si="87">IF(SUM(LL4:LM4,LO4:LQ4,LS4)-SUM(LN4,LR4)&gt;0,SUM(LL4:LM4,LO4:LQ4,LS4)-SUM(LN4,LR4),"")</f>
        <v/>
      </c>
      <c r="LX4" s="14" t="str">
        <f t="shared" ref="LX4:LX10" si="88">IF(SUM(LU4,LW4)&gt;0,SUM(LU4,LW4),"")</f>
        <v/>
      </c>
      <c r="LY4" s="61">
        <f t="shared" ref="LY4:MN10" si="89">IF($BY4="P",BI4,(BI4+AM4)/2)</f>
        <v>0</v>
      </c>
      <c r="LZ4" s="61">
        <f t="shared" si="89"/>
        <v>0</v>
      </c>
      <c r="MA4" s="61">
        <f t="shared" si="89"/>
        <v>0</v>
      </c>
      <c r="MB4" s="61">
        <f t="shared" si="89"/>
        <v>0</v>
      </c>
      <c r="MC4" s="61">
        <f t="shared" si="89"/>
        <v>0</v>
      </c>
      <c r="MD4" s="61">
        <f t="shared" si="89"/>
        <v>0</v>
      </c>
      <c r="ME4" s="61">
        <f t="shared" si="89"/>
        <v>0</v>
      </c>
      <c r="MF4" s="61">
        <f t="shared" si="89"/>
        <v>0</v>
      </c>
      <c r="MG4" s="61">
        <f t="shared" si="89"/>
        <v>0</v>
      </c>
      <c r="MH4" s="61">
        <f t="shared" si="89"/>
        <v>0</v>
      </c>
      <c r="MI4" s="61">
        <f t="shared" si="89"/>
        <v>0</v>
      </c>
      <c r="MJ4" s="61">
        <f t="shared" si="89"/>
        <v>0</v>
      </c>
      <c r="MK4" s="61">
        <f t="shared" si="89"/>
        <v>0</v>
      </c>
      <c r="ML4" s="61">
        <f t="shared" si="89"/>
        <v>0</v>
      </c>
      <c r="MM4" s="61">
        <f t="shared" si="89"/>
        <v>0</v>
      </c>
      <c r="MN4" s="61">
        <f t="shared" si="89"/>
        <v>0</v>
      </c>
      <c r="MO4" s="72" t="s">
        <v>52</v>
      </c>
      <c r="MP4" s="11" t="str">
        <f t="shared" ref="MP4:MP10" si="90">IF(SUM(LZ4,MD4)&gt;0,SUM(LZ4,MD4),"")</f>
        <v/>
      </c>
      <c r="MQ4" s="11" t="str">
        <f t="shared" ref="MQ4:MQ10" si="91">IF(SUM(LY4:LZ4,MB4:MD4,MF4)-MA4-ME4&gt;0,SUM(LY4:LZ4,MB4:MD4,MF4)-MA4-ME4,"")</f>
        <v/>
      </c>
      <c r="MR4" s="11" t="str">
        <f t="shared" ref="MR4:MR10" si="92">IF(SUM(MH4,ML4)&gt;0,SUM(MH4,ML4),"")</f>
        <v/>
      </c>
      <c r="MS4" s="11" t="str">
        <f t="shared" ref="MS4:MS10" si="93">IF(SUM(MG4:MH4,MJ4:ML4,MN4)-SUM(MI4,MM4)&gt;0,SUM(MG4:MH4,MJ4:ML4,MN4)-SUM(MI4,MM4),"")</f>
        <v/>
      </c>
      <c r="MT4" s="11" t="str">
        <f t="shared" ref="MT4:MT10" si="94">IF(SUM(MQ4,MS4)&gt;0,SUM(MQ4,MS4),"")</f>
        <v/>
      </c>
    </row>
    <row r="5" spans="1:358" x14ac:dyDescent="0.2">
      <c r="A5" s="5">
        <f t="shared" si="0"/>
        <v>2</v>
      </c>
      <c r="B5" s="6" t="s">
        <v>83</v>
      </c>
      <c r="C5" s="7" t="s">
        <v>4</v>
      </c>
      <c r="D5" s="26">
        <v>2002</v>
      </c>
      <c r="E5" s="15">
        <f t="shared" si="1"/>
        <v>128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63.9</v>
      </c>
      <c r="K5" s="14" t="str">
        <f t="shared" si="7"/>
        <v>2021 Elite Canada</v>
      </c>
      <c r="L5" s="14">
        <f t="shared" si="8"/>
        <v>64.099999999999994</v>
      </c>
      <c r="M5" s="14" t="str">
        <f t="shared" si="9"/>
        <v>2021 Elite Canada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41">
        <v>27.2</v>
      </c>
      <c r="R5" s="41">
        <v>5.8</v>
      </c>
      <c r="S5" s="41">
        <v>0</v>
      </c>
      <c r="T5" s="41">
        <v>0</v>
      </c>
      <c r="U5" s="41">
        <v>24.7</v>
      </c>
      <c r="V5" s="41">
        <v>6.1</v>
      </c>
      <c r="W5" s="41">
        <v>0.3</v>
      </c>
      <c r="X5" s="41">
        <v>0</v>
      </c>
      <c r="Y5" s="41">
        <v>25.8</v>
      </c>
      <c r="Z5" s="41">
        <v>5.4</v>
      </c>
      <c r="AA5" s="41">
        <v>0.1</v>
      </c>
      <c r="AB5" s="41">
        <v>0</v>
      </c>
      <c r="AC5" s="41">
        <v>26.4</v>
      </c>
      <c r="AD5" s="41">
        <v>6.1</v>
      </c>
      <c r="AE5" s="41">
        <v>0</v>
      </c>
      <c r="AF5" s="41">
        <v>0</v>
      </c>
      <c r="AG5" s="72"/>
      <c r="AH5" s="11">
        <f t="shared" si="13"/>
        <v>11.899999999999999</v>
      </c>
      <c r="AI5" s="11">
        <f t="shared" si="14"/>
        <v>63.500000000000007</v>
      </c>
      <c r="AJ5" s="11">
        <f t="shared" si="15"/>
        <v>11.5</v>
      </c>
      <c r="AK5" s="11">
        <f t="shared" si="16"/>
        <v>63.6</v>
      </c>
      <c r="AL5" s="11">
        <f t="shared" si="17"/>
        <v>127.10000000000001</v>
      </c>
      <c r="AM5" s="36">
        <v>26.3</v>
      </c>
      <c r="AN5" s="36">
        <v>5.8</v>
      </c>
      <c r="AO5" s="36">
        <v>0</v>
      </c>
      <c r="AP5" s="36">
        <v>0</v>
      </c>
      <c r="AQ5" s="36">
        <v>25.7</v>
      </c>
      <c r="AR5" s="36">
        <v>6.1</v>
      </c>
      <c r="AS5" s="36">
        <v>0</v>
      </c>
      <c r="AT5" s="36">
        <v>0</v>
      </c>
      <c r="AU5" s="36">
        <v>26.4</v>
      </c>
      <c r="AV5" s="36">
        <v>6.9</v>
      </c>
      <c r="AW5" s="36">
        <v>0</v>
      </c>
      <c r="AX5" s="36">
        <v>0</v>
      </c>
      <c r="AY5" s="36">
        <v>25.1</v>
      </c>
      <c r="AZ5" s="36">
        <v>5.7</v>
      </c>
      <c r="BA5" s="36">
        <v>0</v>
      </c>
      <c r="BB5" s="36">
        <v>0</v>
      </c>
      <c r="BC5" s="73"/>
      <c r="BD5" s="14">
        <f t="shared" si="18"/>
        <v>11.899999999999999</v>
      </c>
      <c r="BE5" s="14">
        <f t="shared" si="19"/>
        <v>63.9</v>
      </c>
      <c r="BF5" s="14">
        <f t="shared" si="20"/>
        <v>12.600000000000001</v>
      </c>
      <c r="BG5" s="14">
        <f t="shared" si="21"/>
        <v>64.099999999999994</v>
      </c>
      <c r="BH5" s="14">
        <f t="shared" si="22"/>
        <v>128</v>
      </c>
      <c r="BI5" s="41">
        <v>23.7</v>
      </c>
      <c r="BJ5" s="41">
        <v>3</v>
      </c>
      <c r="BK5" s="41">
        <v>0</v>
      </c>
      <c r="BL5" s="41">
        <v>0</v>
      </c>
      <c r="BM5" s="41">
        <v>20.3</v>
      </c>
      <c r="BN5" s="41">
        <v>3.7</v>
      </c>
      <c r="BO5" s="41">
        <v>0</v>
      </c>
      <c r="BP5" s="41">
        <v>0</v>
      </c>
      <c r="BQ5" s="41"/>
      <c r="BR5" s="41"/>
      <c r="BS5" s="41"/>
      <c r="BT5" s="41"/>
      <c r="BU5" s="41"/>
      <c r="BV5" s="41"/>
      <c r="BW5" s="41"/>
      <c r="BX5" s="41"/>
      <c r="BY5" s="72"/>
      <c r="BZ5" s="11">
        <f t="shared" si="23"/>
        <v>6.7</v>
      </c>
      <c r="CA5" s="11">
        <f t="shared" si="24"/>
        <v>50.7</v>
      </c>
      <c r="CB5" s="11" t="str">
        <f t="shared" si="25"/>
        <v/>
      </c>
      <c r="CC5" s="11" t="str">
        <f t="shared" si="26"/>
        <v/>
      </c>
      <c r="CD5" s="11">
        <f t="shared" si="27"/>
        <v>50.7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>IF(SUM(IG5,IK5)&gt;0,SUM(IG5,IK5),"")</f>
        <v/>
      </c>
      <c r="IQ5" s="14" t="str">
        <f t="shared" si="67"/>
        <v/>
      </c>
      <c r="IR5" s="14" t="str">
        <f t="shared" si="68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69"/>
        <v/>
      </c>
      <c r="JJ5" s="11" t="str">
        <f t="shared" si="70"/>
        <v/>
      </c>
      <c r="JK5" s="11" t="str">
        <f t="shared" si="71"/>
        <v/>
      </c>
      <c r="JL5" s="11" t="str">
        <f t="shared" si="72"/>
        <v/>
      </c>
      <c r="JM5" s="11" t="str">
        <f t="shared" si="73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4"/>
        <v/>
      </c>
      <c r="KE5" s="14" t="str">
        <f t="shared" si="75"/>
        <v/>
      </c>
      <c r="KF5" s="14" t="str">
        <f t="shared" si="76"/>
        <v/>
      </c>
      <c r="KG5" s="14" t="str">
        <f t="shared" si="77"/>
        <v/>
      </c>
      <c r="KH5" s="14" t="str">
        <f t="shared" si="78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79"/>
        <v/>
      </c>
      <c r="KZ5" s="11" t="str">
        <f t="shared" si="80"/>
        <v/>
      </c>
      <c r="LA5" s="11" t="str">
        <f t="shared" si="81"/>
        <v/>
      </c>
      <c r="LB5" s="11" t="str">
        <f t="shared" si="82"/>
        <v/>
      </c>
      <c r="LC5" s="11" t="str">
        <f t="shared" si="83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4"/>
        <v/>
      </c>
      <c r="LU5" s="14" t="str">
        <f t="shared" si="85"/>
        <v/>
      </c>
      <c r="LV5" s="14" t="str">
        <f t="shared" si="86"/>
        <v/>
      </c>
      <c r="LW5" s="14" t="str">
        <f t="shared" si="87"/>
        <v/>
      </c>
      <c r="LX5" s="14" t="str">
        <f t="shared" si="88"/>
        <v/>
      </c>
      <c r="LY5" s="61">
        <f t="shared" si="89"/>
        <v>25</v>
      </c>
      <c r="LZ5" s="61">
        <f t="shared" si="89"/>
        <v>4.4000000000000004</v>
      </c>
      <c r="MA5" s="61">
        <f t="shared" si="89"/>
        <v>0</v>
      </c>
      <c r="MB5" s="61">
        <f t="shared" si="89"/>
        <v>0</v>
      </c>
      <c r="MC5" s="61">
        <f t="shared" si="89"/>
        <v>23</v>
      </c>
      <c r="MD5" s="61">
        <f t="shared" si="89"/>
        <v>4.9000000000000004</v>
      </c>
      <c r="ME5" s="61">
        <f t="shared" si="89"/>
        <v>0</v>
      </c>
      <c r="MF5" s="61">
        <f t="shared" si="89"/>
        <v>0</v>
      </c>
      <c r="MG5" s="61">
        <f t="shared" si="89"/>
        <v>13.2</v>
      </c>
      <c r="MH5" s="61">
        <f t="shared" si="89"/>
        <v>3.45</v>
      </c>
      <c r="MI5" s="61">
        <f t="shared" si="89"/>
        <v>0</v>
      </c>
      <c r="MJ5" s="61">
        <f t="shared" si="89"/>
        <v>0</v>
      </c>
      <c r="MK5" s="61">
        <f t="shared" si="89"/>
        <v>12.55</v>
      </c>
      <c r="ML5" s="61">
        <f t="shared" si="89"/>
        <v>2.85</v>
      </c>
      <c r="MM5" s="61">
        <f t="shared" si="89"/>
        <v>0</v>
      </c>
      <c r="MN5" s="61">
        <f t="shared" si="89"/>
        <v>0</v>
      </c>
      <c r="MO5" s="72" t="s">
        <v>52</v>
      </c>
      <c r="MP5" s="11">
        <f t="shared" si="90"/>
        <v>9.3000000000000007</v>
      </c>
      <c r="MQ5" s="11">
        <f t="shared" si="91"/>
        <v>57.3</v>
      </c>
      <c r="MR5" s="11">
        <f t="shared" si="92"/>
        <v>6.3000000000000007</v>
      </c>
      <c r="MS5" s="11">
        <f t="shared" si="93"/>
        <v>32.049999999999997</v>
      </c>
      <c r="MT5" s="11">
        <f t="shared" si="94"/>
        <v>89.35</v>
      </c>
    </row>
    <row r="6" spans="1:358" x14ac:dyDescent="0.2">
      <c r="A6" s="5" t="str">
        <f t="shared" si="0"/>
        <v/>
      </c>
      <c r="B6" s="8" t="s">
        <v>130</v>
      </c>
      <c r="C6" s="4" t="s">
        <v>3</v>
      </c>
      <c r="D6" s="26">
        <v>2003</v>
      </c>
      <c r="E6" s="15">
        <f t="shared" si="1"/>
        <v>123.49999999999999</v>
      </c>
      <c r="F6" s="3" t="str">
        <f t="shared" si="2"/>
        <v/>
      </c>
      <c r="G6" s="3" t="str">
        <f t="shared" si="3"/>
        <v/>
      </c>
      <c r="H6" s="116" t="str">
        <f t="shared" si="4"/>
        <v/>
      </c>
      <c r="I6" s="3" t="str">
        <f t="shared" si="5"/>
        <v/>
      </c>
      <c r="J6" s="14">
        <f t="shared" si="6"/>
        <v>59.3</v>
      </c>
      <c r="K6" s="14" t="str">
        <f t="shared" si="7"/>
        <v>2021 Canadian Championships</v>
      </c>
      <c r="L6" s="14">
        <f t="shared" si="8"/>
        <v>64.199999999999989</v>
      </c>
      <c r="M6" s="14" t="str">
        <f t="shared" si="9"/>
        <v/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19.899999999999999</v>
      </c>
      <c r="R6" s="61">
        <v>2.8</v>
      </c>
      <c r="S6" s="61">
        <v>0</v>
      </c>
      <c r="T6" s="61">
        <v>0.3</v>
      </c>
      <c r="U6" s="61">
        <v>23.3</v>
      </c>
      <c r="V6" s="61">
        <v>3.6</v>
      </c>
      <c r="W6" s="61">
        <v>0.3</v>
      </c>
      <c r="X6" s="61">
        <v>0</v>
      </c>
      <c r="Y6" s="61">
        <v>24.6</v>
      </c>
      <c r="Z6" s="61">
        <v>5.0999999999999996</v>
      </c>
      <c r="AA6" s="61">
        <v>0.3</v>
      </c>
      <c r="AB6" s="61">
        <v>0.3</v>
      </c>
      <c r="AC6" s="61">
        <v>23.6</v>
      </c>
      <c r="AD6" s="61">
        <v>4.4000000000000004</v>
      </c>
      <c r="AE6" s="61">
        <v>0.3</v>
      </c>
      <c r="AF6" s="61">
        <v>0</v>
      </c>
      <c r="AG6" s="72"/>
      <c r="AH6" s="11">
        <f t="shared" si="13"/>
        <v>6.4</v>
      </c>
      <c r="AI6" s="11">
        <f t="shared" si="14"/>
        <v>49.6</v>
      </c>
      <c r="AJ6" s="11">
        <f t="shared" si="15"/>
        <v>9.5</v>
      </c>
      <c r="AK6" s="11">
        <f t="shared" si="16"/>
        <v>57.400000000000006</v>
      </c>
      <c r="AL6" s="11">
        <f t="shared" si="17"/>
        <v>107</v>
      </c>
      <c r="AM6" s="36">
        <v>21.5</v>
      </c>
      <c r="AN6" s="36">
        <v>4.5999999999999996</v>
      </c>
      <c r="AO6" s="36">
        <v>0.3</v>
      </c>
      <c r="AP6" s="36">
        <v>0.3</v>
      </c>
      <c r="AQ6" s="36">
        <v>26.5</v>
      </c>
      <c r="AR6" s="36">
        <v>4.3</v>
      </c>
      <c r="AS6" s="36">
        <v>0</v>
      </c>
      <c r="AT6" s="36">
        <v>0.3</v>
      </c>
      <c r="AU6" s="36">
        <v>25.6</v>
      </c>
      <c r="AV6" s="36">
        <v>4.3</v>
      </c>
      <c r="AW6" s="36">
        <v>0</v>
      </c>
      <c r="AX6" s="36">
        <v>0.3</v>
      </c>
      <c r="AY6" s="36">
        <v>22.4</v>
      </c>
      <c r="AZ6" s="36">
        <v>3.5</v>
      </c>
      <c r="BA6" s="36">
        <v>0</v>
      </c>
      <c r="BB6" s="36">
        <v>0.3</v>
      </c>
      <c r="BC6" s="73"/>
      <c r="BD6" s="14">
        <f t="shared" si="18"/>
        <v>8.8999999999999986</v>
      </c>
      <c r="BE6" s="14">
        <f t="shared" si="19"/>
        <v>57.2</v>
      </c>
      <c r="BF6" s="14">
        <f t="shared" si="20"/>
        <v>7.8</v>
      </c>
      <c r="BG6" s="14">
        <f t="shared" si="21"/>
        <v>56.4</v>
      </c>
      <c r="BH6" s="14">
        <f t="shared" si="22"/>
        <v>113.6</v>
      </c>
      <c r="BI6" s="61">
        <v>26.6</v>
      </c>
      <c r="BJ6" s="61">
        <v>5.0999999999999996</v>
      </c>
      <c r="BK6" s="61">
        <v>0</v>
      </c>
      <c r="BL6" s="61">
        <v>0.3</v>
      </c>
      <c r="BM6" s="61">
        <v>25.1</v>
      </c>
      <c r="BN6" s="61">
        <v>1.9</v>
      </c>
      <c r="BO6" s="61">
        <v>0</v>
      </c>
      <c r="BP6" s="61">
        <v>0.3</v>
      </c>
      <c r="BQ6" s="61">
        <v>27.3</v>
      </c>
      <c r="BR6" s="61">
        <v>5.0999999999999996</v>
      </c>
      <c r="BS6" s="61">
        <v>0</v>
      </c>
      <c r="BT6" s="61">
        <v>0.3</v>
      </c>
      <c r="BU6" s="61">
        <v>26.7</v>
      </c>
      <c r="BV6" s="61">
        <v>4.5</v>
      </c>
      <c r="BW6" s="61">
        <v>0</v>
      </c>
      <c r="BX6" s="61">
        <v>0.3</v>
      </c>
      <c r="BY6" s="72"/>
      <c r="BZ6" s="11">
        <f t="shared" si="23"/>
        <v>7</v>
      </c>
      <c r="CA6" s="11">
        <f t="shared" si="24"/>
        <v>59.3</v>
      </c>
      <c r="CB6" s="11">
        <f t="shared" si="25"/>
        <v>9.6</v>
      </c>
      <c r="CC6" s="11">
        <f t="shared" si="26"/>
        <v>64.199999999999989</v>
      </c>
      <c r="CD6" s="11">
        <f t="shared" si="27"/>
        <v>123.49999999999999</v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/>
      <c r="IQ6" s="14" t="str">
        <f t="shared" si="67"/>
        <v/>
      </c>
      <c r="IR6" s="14" t="str">
        <f t="shared" si="68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69"/>
        <v/>
      </c>
      <c r="JJ6" s="11" t="str">
        <f t="shared" si="70"/>
        <v/>
      </c>
      <c r="JK6" s="11" t="str">
        <f t="shared" si="71"/>
        <v/>
      </c>
      <c r="JL6" s="11" t="str">
        <f t="shared" si="72"/>
        <v/>
      </c>
      <c r="JM6" s="11" t="str">
        <f t="shared" si="73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4"/>
        <v/>
      </c>
      <c r="KE6" s="14" t="str">
        <f t="shared" si="75"/>
        <v/>
      </c>
      <c r="KF6" s="14" t="str">
        <f t="shared" si="76"/>
        <v/>
      </c>
      <c r="KG6" s="14" t="str">
        <f t="shared" si="77"/>
        <v/>
      </c>
      <c r="KH6" s="14" t="str">
        <f t="shared" si="78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79"/>
        <v/>
      </c>
      <c r="KZ6" s="11" t="str">
        <f t="shared" si="80"/>
        <v/>
      </c>
      <c r="LA6" s="11" t="str">
        <f t="shared" si="81"/>
        <v/>
      </c>
      <c r="LB6" s="11" t="str">
        <f t="shared" si="82"/>
        <v/>
      </c>
      <c r="LC6" s="11" t="str">
        <f t="shared" si="83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4"/>
        <v/>
      </c>
      <c r="LU6" s="14" t="str">
        <f t="shared" si="85"/>
        <v/>
      </c>
      <c r="LV6" s="14" t="str">
        <f t="shared" si="86"/>
        <v/>
      </c>
      <c r="LW6" s="14" t="str">
        <f t="shared" si="87"/>
        <v/>
      </c>
      <c r="LX6" s="14" t="str">
        <f t="shared" si="88"/>
        <v/>
      </c>
      <c r="LY6" s="61">
        <f t="shared" si="89"/>
        <v>24.05</v>
      </c>
      <c r="LZ6" s="61">
        <f t="shared" si="89"/>
        <v>4.8499999999999996</v>
      </c>
      <c r="MA6" s="61">
        <f t="shared" si="89"/>
        <v>0.15</v>
      </c>
      <c r="MB6" s="61">
        <f t="shared" si="89"/>
        <v>0.3</v>
      </c>
      <c r="MC6" s="61">
        <f t="shared" si="89"/>
        <v>25.8</v>
      </c>
      <c r="MD6" s="61">
        <f t="shared" si="89"/>
        <v>3.0999999999999996</v>
      </c>
      <c r="ME6" s="61">
        <f t="shared" si="89"/>
        <v>0</v>
      </c>
      <c r="MF6" s="61">
        <f t="shared" si="89"/>
        <v>0.3</v>
      </c>
      <c r="MG6" s="61">
        <f t="shared" si="89"/>
        <v>26.450000000000003</v>
      </c>
      <c r="MH6" s="61">
        <f t="shared" si="89"/>
        <v>4.6999999999999993</v>
      </c>
      <c r="MI6" s="61">
        <f t="shared" si="89"/>
        <v>0</v>
      </c>
      <c r="MJ6" s="61">
        <f t="shared" si="89"/>
        <v>0.3</v>
      </c>
      <c r="MK6" s="61">
        <f t="shared" si="89"/>
        <v>24.549999999999997</v>
      </c>
      <c r="ML6" s="61">
        <f t="shared" si="89"/>
        <v>4</v>
      </c>
      <c r="MM6" s="61">
        <f t="shared" si="89"/>
        <v>0</v>
      </c>
      <c r="MN6" s="61">
        <f t="shared" si="89"/>
        <v>0.3</v>
      </c>
      <c r="MO6" s="72" t="s">
        <v>52</v>
      </c>
      <c r="MP6" s="11">
        <f t="shared" si="90"/>
        <v>7.9499999999999993</v>
      </c>
      <c r="MQ6" s="11">
        <f t="shared" si="91"/>
        <v>58.25</v>
      </c>
      <c r="MR6" s="11">
        <f t="shared" si="92"/>
        <v>8.6999999999999993</v>
      </c>
      <c r="MS6" s="11">
        <f t="shared" si="93"/>
        <v>60.3</v>
      </c>
      <c r="MT6" s="11">
        <f t="shared" si="94"/>
        <v>118.55</v>
      </c>
    </row>
    <row r="7" spans="1:358" x14ac:dyDescent="0.2">
      <c r="A7" s="5" t="str">
        <f t="shared" si="0"/>
        <v/>
      </c>
      <c r="B7" s="8" t="s">
        <v>103</v>
      </c>
      <c r="C7" s="4" t="s">
        <v>4</v>
      </c>
      <c r="D7" s="26">
        <v>2004</v>
      </c>
      <c r="E7" s="15">
        <f t="shared" si="1"/>
        <v>118.30000000000001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58.5</v>
      </c>
      <c r="K7" s="14" t="str">
        <f t="shared" si="7"/>
        <v>2021 Canadian Championships</v>
      </c>
      <c r="L7" s="14">
        <f t="shared" si="8"/>
        <v>59.800000000000004</v>
      </c>
      <c r="M7" s="14" t="str">
        <f t="shared" si="9"/>
        <v>2021 Elite Canada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24.6</v>
      </c>
      <c r="R7" s="61">
        <v>4.5999999999999996</v>
      </c>
      <c r="S7" s="61">
        <v>0</v>
      </c>
      <c r="T7" s="61">
        <v>0.6</v>
      </c>
      <c r="U7" s="61">
        <v>23.6</v>
      </c>
      <c r="V7" s="61">
        <v>1.2</v>
      </c>
      <c r="W7" s="61">
        <v>0</v>
      </c>
      <c r="X7" s="61">
        <v>0</v>
      </c>
      <c r="Y7" s="61">
        <v>23.8</v>
      </c>
      <c r="Z7" s="61">
        <v>4.5999999999999996</v>
      </c>
      <c r="AA7" s="61">
        <v>0</v>
      </c>
      <c r="AB7" s="61">
        <v>0.6</v>
      </c>
      <c r="AC7" s="61">
        <v>22.4</v>
      </c>
      <c r="AD7" s="61">
        <v>3.4</v>
      </c>
      <c r="AE7" s="61">
        <v>0.3</v>
      </c>
      <c r="AF7" s="61">
        <v>0</v>
      </c>
      <c r="AG7" s="72"/>
      <c r="AH7" s="11">
        <f t="shared" si="13"/>
        <v>5.8</v>
      </c>
      <c r="AI7" s="11">
        <f t="shared" si="14"/>
        <v>54.600000000000009</v>
      </c>
      <c r="AJ7" s="11">
        <f t="shared" si="15"/>
        <v>8</v>
      </c>
      <c r="AK7" s="11">
        <f t="shared" si="16"/>
        <v>54.5</v>
      </c>
      <c r="AL7" s="11">
        <f t="shared" si="17"/>
        <v>109.10000000000001</v>
      </c>
      <c r="AM7" s="36">
        <v>25.2</v>
      </c>
      <c r="AN7" s="36">
        <v>3.9</v>
      </c>
      <c r="AO7" s="36">
        <v>0</v>
      </c>
      <c r="AP7" s="36">
        <v>0.3</v>
      </c>
      <c r="AQ7" s="36">
        <v>25.6</v>
      </c>
      <c r="AR7" s="36">
        <v>3.4</v>
      </c>
      <c r="AS7" s="36">
        <v>0.3</v>
      </c>
      <c r="AT7" s="36">
        <v>0</v>
      </c>
      <c r="AU7" s="36">
        <v>25.6</v>
      </c>
      <c r="AV7" s="36">
        <v>4.5999999999999996</v>
      </c>
      <c r="AW7" s="36">
        <v>0</v>
      </c>
      <c r="AX7" s="36">
        <v>0.6</v>
      </c>
      <c r="AY7" s="36">
        <v>25.9</v>
      </c>
      <c r="AZ7" s="36">
        <v>3.4</v>
      </c>
      <c r="BA7" s="36">
        <v>0.3</v>
      </c>
      <c r="BB7" s="36">
        <v>0</v>
      </c>
      <c r="BC7" s="73"/>
      <c r="BD7" s="14">
        <f t="shared" si="18"/>
        <v>7.3</v>
      </c>
      <c r="BE7" s="14">
        <f t="shared" si="19"/>
        <v>58.1</v>
      </c>
      <c r="BF7" s="14">
        <f t="shared" si="20"/>
        <v>8</v>
      </c>
      <c r="BG7" s="14">
        <f t="shared" si="21"/>
        <v>59.800000000000004</v>
      </c>
      <c r="BH7" s="14">
        <f t="shared" si="22"/>
        <v>117.9</v>
      </c>
      <c r="BI7" s="61">
        <v>24.8</v>
      </c>
      <c r="BJ7" s="61">
        <v>4.5999999999999996</v>
      </c>
      <c r="BK7" s="61">
        <v>0</v>
      </c>
      <c r="BL7" s="61">
        <v>0.6</v>
      </c>
      <c r="BM7" s="61">
        <v>25.4</v>
      </c>
      <c r="BN7" s="61">
        <v>3.4</v>
      </c>
      <c r="BO7" s="61">
        <v>0.3</v>
      </c>
      <c r="BP7" s="61">
        <v>0</v>
      </c>
      <c r="BQ7" s="61">
        <v>24.3</v>
      </c>
      <c r="BR7" s="61">
        <v>1.2</v>
      </c>
      <c r="BS7" s="61">
        <v>0</v>
      </c>
      <c r="BT7" s="61">
        <v>0</v>
      </c>
      <c r="BU7" s="61">
        <v>24.7</v>
      </c>
      <c r="BV7" s="61">
        <v>3.3</v>
      </c>
      <c r="BW7" s="61">
        <v>0.4</v>
      </c>
      <c r="BX7" s="61">
        <v>0.6</v>
      </c>
      <c r="BY7" s="72"/>
      <c r="BZ7" s="11">
        <f t="shared" si="23"/>
        <v>8</v>
      </c>
      <c r="CA7" s="11">
        <f t="shared" si="24"/>
        <v>58.5</v>
      </c>
      <c r="CB7" s="11">
        <f t="shared" si="25"/>
        <v>4.5</v>
      </c>
      <c r="CC7" s="11">
        <f t="shared" si="26"/>
        <v>53.7</v>
      </c>
      <c r="CD7" s="11">
        <f t="shared" si="27"/>
        <v>112.2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/>
      <c r="IQ7" s="14" t="str">
        <f t="shared" si="67"/>
        <v/>
      </c>
      <c r="IR7" s="14" t="str">
        <f t="shared" si="68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69"/>
        <v/>
      </c>
      <c r="JJ7" s="11" t="str">
        <f t="shared" si="70"/>
        <v/>
      </c>
      <c r="JK7" s="11" t="str">
        <f t="shared" si="71"/>
        <v/>
      </c>
      <c r="JL7" s="11" t="str">
        <f t="shared" si="72"/>
        <v/>
      </c>
      <c r="JM7" s="11" t="str">
        <f t="shared" si="73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4"/>
        <v/>
      </c>
      <c r="KE7" s="14" t="str">
        <f t="shared" si="75"/>
        <v/>
      </c>
      <c r="KF7" s="14" t="str">
        <f t="shared" si="76"/>
        <v/>
      </c>
      <c r="KG7" s="14" t="str">
        <f t="shared" si="77"/>
        <v/>
      </c>
      <c r="KH7" s="14" t="str">
        <f t="shared" si="78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79"/>
        <v/>
      </c>
      <c r="KZ7" s="11" t="str">
        <f t="shared" si="80"/>
        <v/>
      </c>
      <c r="LA7" s="11" t="str">
        <f t="shared" si="81"/>
        <v/>
      </c>
      <c r="LB7" s="11" t="str">
        <f t="shared" si="82"/>
        <v/>
      </c>
      <c r="LC7" s="11" t="str">
        <f t="shared" si="83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4"/>
        <v/>
      </c>
      <c r="LU7" s="14" t="str">
        <f t="shared" si="85"/>
        <v/>
      </c>
      <c r="LV7" s="14" t="str">
        <f t="shared" si="86"/>
        <v/>
      </c>
      <c r="LW7" s="14" t="str">
        <f t="shared" si="87"/>
        <v/>
      </c>
      <c r="LX7" s="14" t="str">
        <f t="shared" si="88"/>
        <v/>
      </c>
      <c r="LY7" s="61">
        <f t="shared" si="89"/>
        <v>25</v>
      </c>
      <c r="LZ7" s="61">
        <f t="shared" si="89"/>
        <v>4.25</v>
      </c>
      <c r="MA7" s="61">
        <f t="shared" si="89"/>
        <v>0</v>
      </c>
      <c r="MB7" s="61">
        <f t="shared" si="89"/>
        <v>0.44999999999999996</v>
      </c>
      <c r="MC7" s="61">
        <f t="shared" si="89"/>
        <v>25.5</v>
      </c>
      <c r="MD7" s="61">
        <f t="shared" si="89"/>
        <v>3.4</v>
      </c>
      <c r="ME7" s="61">
        <f t="shared" si="89"/>
        <v>0.3</v>
      </c>
      <c r="MF7" s="61">
        <f t="shared" si="89"/>
        <v>0</v>
      </c>
      <c r="MG7" s="61">
        <f t="shared" si="89"/>
        <v>24.950000000000003</v>
      </c>
      <c r="MH7" s="61">
        <f t="shared" si="89"/>
        <v>2.9</v>
      </c>
      <c r="MI7" s="61">
        <f t="shared" si="89"/>
        <v>0</v>
      </c>
      <c r="MJ7" s="61">
        <f t="shared" si="89"/>
        <v>0.3</v>
      </c>
      <c r="MK7" s="61">
        <f t="shared" si="89"/>
        <v>25.299999999999997</v>
      </c>
      <c r="ML7" s="61">
        <f t="shared" si="89"/>
        <v>3.3499999999999996</v>
      </c>
      <c r="MM7" s="61">
        <f t="shared" si="89"/>
        <v>0.35</v>
      </c>
      <c r="MN7" s="61">
        <f t="shared" si="89"/>
        <v>0.3</v>
      </c>
      <c r="MO7" s="72" t="s">
        <v>52</v>
      </c>
      <c r="MP7" s="11">
        <f t="shared" si="90"/>
        <v>7.65</v>
      </c>
      <c r="MQ7" s="11">
        <f t="shared" si="91"/>
        <v>58.300000000000004</v>
      </c>
      <c r="MR7" s="11">
        <f t="shared" si="92"/>
        <v>6.25</v>
      </c>
      <c r="MS7" s="11">
        <f t="shared" si="93"/>
        <v>56.75</v>
      </c>
      <c r="MT7" s="11">
        <f t="shared" si="94"/>
        <v>115.05000000000001</v>
      </c>
    </row>
    <row r="8" spans="1:358" x14ac:dyDescent="0.2">
      <c r="A8" s="5" t="str">
        <f t="shared" si="0"/>
        <v/>
      </c>
      <c r="B8" s="8" t="s">
        <v>145</v>
      </c>
      <c r="C8" s="4" t="s">
        <v>4</v>
      </c>
      <c r="D8" s="26">
        <v>2004</v>
      </c>
      <c r="E8" s="15">
        <f t="shared" si="1"/>
        <v>118.1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59.199999999999996</v>
      </c>
      <c r="K8" s="14" t="str">
        <f t="shared" si="7"/>
        <v>2021 Canadian Championships</v>
      </c>
      <c r="L8" s="14">
        <f t="shared" si="8"/>
        <v>58.9</v>
      </c>
      <c r="M8" s="14" t="str">
        <f t="shared" si="9"/>
        <v/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 t="shared" si="13"/>
        <v/>
      </c>
      <c r="AI8" s="11" t="str">
        <f t="shared" si="14"/>
        <v/>
      </c>
      <c r="AJ8" s="11" t="str">
        <f t="shared" si="15"/>
        <v/>
      </c>
      <c r="AK8" s="11" t="str">
        <f t="shared" si="16"/>
        <v/>
      </c>
      <c r="AL8" s="11" t="str">
        <f t="shared" si="17"/>
        <v/>
      </c>
      <c r="AM8" s="36">
        <v>23.1</v>
      </c>
      <c r="AN8" s="36">
        <v>4.0999999999999996</v>
      </c>
      <c r="AO8" s="36">
        <v>0.3</v>
      </c>
      <c r="AP8" s="36">
        <v>0.3</v>
      </c>
      <c r="AQ8" s="36">
        <v>24.7</v>
      </c>
      <c r="AR8" s="36">
        <v>3.9</v>
      </c>
      <c r="AS8" s="36">
        <v>0</v>
      </c>
      <c r="AT8" s="36">
        <v>0.3</v>
      </c>
      <c r="AU8" s="36">
        <v>23.2</v>
      </c>
      <c r="AV8" s="36">
        <v>1.9</v>
      </c>
      <c r="AW8" s="36">
        <v>0</v>
      </c>
      <c r="AX8" s="36">
        <v>0.3</v>
      </c>
      <c r="AY8" s="36">
        <v>22.9</v>
      </c>
      <c r="AZ8" s="36">
        <v>1.9</v>
      </c>
      <c r="BA8" s="36">
        <v>0</v>
      </c>
      <c r="BB8" s="36">
        <v>0.3</v>
      </c>
      <c r="BC8" s="73"/>
      <c r="BD8" s="14">
        <f t="shared" si="18"/>
        <v>8</v>
      </c>
      <c r="BE8" s="14">
        <f t="shared" si="19"/>
        <v>56.1</v>
      </c>
      <c r="BF8" s="14">
        <f t="shared" si="20"/>
        <v>3.8</v>
      </c>
      <c r="BG8" s="14">
        <f t="shared" si="21"/>
        <v>50.499999999999993</v>
      </c>
      <c r="BH8" s="14">
        <f t="shared" si="22"/>
        <v>106.6</v>
      </c>
      <c r="BI8" s="61">
        <v>25.4</v>
      </c>
      <c r="BJ8" s="61">
        <v>4.0999999999999996</v>
      </c>
      <c r="BK8" s="61">
        <v>0</v>
      </c>
      <c r="BL8" s="61">
        <v>0.3</v>
      </c>
      <c r="BM8" s="61">
        <v>25.2</v>
      </c>
      <c r="BN8" s="61">
        <v>3.9</v>
      </c>
      <c r="BO8" s="61">
        <v>0</v>
      </c>
      <c r="BP8" s="61">
        <v>0.3</v>
      </c>
      <c r="BQ8" s="61">
        <v>24.9</v>
      </c>
      <c r="BR8" s="61">
        <v>4.0999999999999996</v>
      </c>
      <c r="BS8" s="61">
        <v>0</v>
      </c>
      <c r="BT8" s="61">
        <v>0.3</v>
      </c>
      <c r="BU8" s="61">
        <v>25.4</v>
      </c>
      <c r="BV8" s="61">
        <v>3.9</v>
      </c>
      <c r="BW8" s="61">
        <v>0</v>
      </c>
      <c r="BX8" s="61">
        <v>0.3</v>
      </c>
      <c r="BY8" s="72"/>
      <c r="BZ8" s="11">
        <f t="shared" si="23"/>
        <v>8</v>
      </c>
      <c r="CA8" s="11">
        <f t="shared" si="24"/>
        <v>59.199999999999996</v>
      </c>
      <c r="CB8" s="11">
        <f t="shared" si="25"/>
        <v>8</v>
      </c>
      <c r="CC8" s="11">
        <f t="shared" si="26"/>
        <v>58.9</v>
      </c>
      <c r="CD8" s="11">
        <f t="shared" si="27"/>
        <v>118.1</v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/>
      <c r="IQ8" s="14" t="str">
        <f t="shared" si="67"/>
        <v/>
      </c>
      <c r="IR8" s="14" t="str">
        <f t="shared" si="68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69"/>
        <v/>
      </c>
      <c r="JJ8" s="11" t="str">
        <f t="shared" si="70"/>
        <v/>
      </c>
      <c r="JK8" s="11" t="str">
        <f t="shared" si="71"/>
        <v/>
      </c>
      <c r="JL8" s="11" t="str">
        <f t="shared" si="72"/>
        <v/>
      </c>
      <c r="JM8" s="11" t="str">
        <f t="shared" si="73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4"/>
        <v/>
      </c>
      <c r="KE8" s="14" t="str">
        <f t="shared" si="75"/>
        <v/>
      </c>
      <c r="KF8" s="14" t="str">
        <f t="shared" si="76"/>
        <v/>
      </c>
      <c r="KG8" s="14" t="str">
        <f t="shared" si="77"/>
        <v/>
      </c>
      <c r="KH8" s="14" t="str">
        <f t="shared" si="78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79"/>
        <v/>
      </c>
      <c r="KZ8" s="11" t="str">
        <f t="shared" si="80"/>
        <v/>
      </c>
      <c r="LA8" s="11" t="str">
        <f t="shared" si="81"/>
        <v/>
      </c>
      <c r="LB8" s="11" t="str">
        <f t="shared" si="82"/>
        <v/>
      </c>
      <c r="LC8" s="11" t="str">
        <f t="shared" si="83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4"/>
        <v/>
      </c>
      <c r="LU8" s="14" t="str">
        <f t="shared" si="85"/>
        <v/>
      </c>
      <c r="LV8" s="14" t="str">
        <f t="shared" si="86"/>
        <v/>
      </c>
      <c r="LW8" s="14" t="str">
        <f t="shared" si="87"/>
        <v/>
      </c>
      <c r="LX8" s="14" t="str">
        <f t="shared" si="88"/>
        <v/>
      </c>
      <c r="LY8" s="61">
        <f t="shared" si="89"/>
        <v>24.25</v>
      </c>
      <c r="LZ8" s="61">
        <f t="shared" si="89"/>
        <v>4.0999999999999996</v>
      </c>
      <c r="MA8" s="61">
        <f t="shared" si="89"/>
        <v>0.15</v>
      </c>
      <c r="MB8" s="61">
        <f t="shared" si="89"/>
        <v>0.3</v>
      </c>
      <c r="MC8" s="61">
        <f t="shared" si="89"/>
        <v>24.95</v>
      </c>
      <c r="MD8" s="61">
        <f t="shared" si="89"/>
        <v>3.9</v>
      </c>
      <c r="ME8" s="61">
        <f t="shared" si="89"/>
        <v>0</v>
      </c>
      <c r="MF8" s="61">
        <f t="shared" si="89"/>
        <v>0.3</v>
      </c>
      <c r="MG8" s="61">
        <f t="shared" si="89"/>
        <v>24.049999999999997</v>
      </c>
      <c r="MH8" s="61">
        <f t="shared" si="89"/>
        <v>3</v>
      </c>
      <c r="MI8" s="61">
        <f t="shared" si="89"/>
        <v>0</v>
      </c>
      <c r="MJ8" s="61">
        <f t="shared" si="89"/>
        <v>0.3</v>
      </c>
      <c r="MK8" s="61">
        <f t="shared" si="89"/>
        <v>24.15</v>
      </c>
      <c r="ML8" s="61">
        <f t="shared" si="89"/>
        <v>2.9</v>
      </c>
      <c r="MM8" s="61">
        <f t="shared" si="89"/>
        <v>0</v>
      </c>
      <c r="MN8" s="61">
        <f t="shared" si="89"/>
        <v>0.3</v>
      </c>
      <c r="MO8" s="72" t="s">
        <v>52</v>
      </c>
      <c r="MP8" s="11">
        <f t="shared" si="90"/>
        <v>8</v>
      </c>
      <c r="MQ8" s="11">
        <f t="shared" si="91"/>
        <v>57.65</v>
      </c>
      <c r="MR8" s="11">
        <f t="shared" si="92"/>
        <v>5.9</v>
      </c>
      <c r="MS8" s="11">
        <f t="shared" si="93"/>
        <v>54.699999999999996</v>
      </c>
      <c r="MT8" s="11">
        <f t="shared" si="94"/>
        <v>112.35</v>
      </c>
    </row>
    <row r="9" spans="1:358" x14ac:dyDescent="0.2">
      <c r="A9" s="5" t="str">
        <f t="shared" si="0"/>
        <v/>
      </c>
      <c r="B9" s="8" t="s">
        <v>123</v>
      </c>
      <c r="C9" s="4" t="s">
        <v>4</v>
      </c>
      <c r="D9" s="26">
        <v>2004</v>
      </c>
      <c r="E9" s="15">
        <f t="shared" si="1"/>
        <v>105.5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50</v>
      </c>
      <c r="K9" s="14" t="str">
        <f t="shared" si="7"/>
        <v>2021 2nd Virtual Technical Trial</v>
      </c>
      <c r="L9" s="14">
        <f t="shared" si="8"/>
        <v>55.500000000000007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>
        <v>21.8</v>
      </c>
      <c r="R9" s="61">
        <v>4.4000000000000004</v>
      </c>
      <c r="S9" s="61">
        <v>0.6</v>
      </c>
      <c r="T9" s="61">
        <v>0.3</v>
      </c>
      <c r="U9" s="61">
        <v>22.8</v>
      </c>
      <c r="V9" s="61">
        <v>1.3</v>
      </c>
      <c r="W9" s="61">
        <v>0</v>
      </c>
      <c r="X9" s="61">
        <v>0</v>
      </c>
      <c r="Y9" s="61">
        <v>23</v>
      </c>
      <c r="Z9" s="61">
        <v>4</v>
      </c>
      <c r="AA9" s="61">
        <v>0</v>
      </c>
      <c r="AB9" s="61">
        <v>0.3</v>
      </c>
      <c r="AC9" s="61">
        <v>24.9</v>
      </c>
      <c r="AD9" s="61">
        <v>3.6</v>
      </c>
      <c r="AE9" s="61">
        <v>0.3</v>
      </c>
      <c r="AF9" s="61">
        <v>0</v>
      </c>
      <c r="AG9" s="72"/>
      <c r="AH9" s="11">
        <f t="shared" si="13"/>
        <v>5.7</v>
      </c>
      <c r="AI9" s="11">
        <f t="shared" si="14"/>
        <v>50</v>
      </c>
      <c r="AJ9" s="11">
        <f t="shared" si="15"/>
        <v>7.6</v>
      </c>
      <c r="AK9" s="11">
        <f t="shared" si="16"/>
        <v>55.500000000000007</v>
      </c>
      <c r="AL9" s="11">
        <f t="shared" si="17"/>
        <v>105.5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/>
      <c r="IQ9" s="14" t="str">
        <f t="shared" si="67"/>
        <v/>
      </c>
      <c r="IR9" s="14" t="str">
        <f t="shared" si="68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69"/>
        <v/>
      </c>
      <c r="JJ9" s="11" t="str">
        <f t="shared" si="70"/>
        <v/>
      </c>
      <c r="JK9" s="11" t="str">
        <f t="shared" si="71"/>
        <v/>
      </c>
      <c r="JL9" s="11" t="str">
        <f t="shared" si="72"/>
        <v/>
      </c>
      <c r="JM9" s="11" t="str">
        <f t="shared" si="73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4"/>
        <v/>
      </c>
      <c r="KE9" s="14" t="str">
        <f t="shared" si="75"/>
        <v/>
      </c>
      <c r="KF9" s="14" t="str">
        <f t="shared" si="76"/>
        <v/>
      </c>
      <c r="KG9" s="14" t="str">
        <f t="shared" si="77"/>
        <v/>
      </c>
      <c r="KH9" s="14" t="str">
        <f t="shared" si="78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79"/>
        <v/>
      </c>
      <c r="KZ9" s="11" t="str">
        <f t="shared" si="80"/>
        <v/>
      </c>
      <c r="LA9" s="11" t="str">
        <f t="shared" si="81"/>
        <v/>
      </c>
      <c r="LB9" s="11" t="str">
        <f t="shared" si="82"/>
        <v/>
      </c>
      <c r="LC9" s="11" t="str">
        <f t="shared" si="83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4"/>
        <v/>
      </c>
      <c r="LU9" s="14" t="str">
        <f t="shared" si="85"/>
        <v/>
      </c>
      <c r="LV9" s="14" t="str">
        <f t="shared" si="86"/>
        <v/>
      </c>
      <c r="LW9" s="14" t="str">
        <f t="shared" si="87"/>
        <v/>
      </c>
      <c r="LX9" s="14" t="str">
        <f t="shared" si="88"/>
        <v/>
      </c>
      <c r="LY9" s="61">
        <f t="shared" si="89"/>
        <v>0</v>
      </c>
      <c r="LZ9" s="61">
        <f t="shared" si="89"/>
        <v>0</v>
      </c>
      <c r="MA9" s="61">
        <f t="shared" si="89"/>
        <v>0</v>
      </c>
      <c r="MB9" s="61">
        <f t="shared" si="89"/>
        <v>0</v>
      </c>
      <c r="MC9" s="61">
        <f t="shared" si="89"/>
        <v>0</v>
      </c>
      <c r="MD9" s="61">
        <f t="shared" si="89"/>
        <v>0</v>
      </c>
      <c r="ME9" s="61">
        <f t="shared" si="89"/>
        <v>0</v>
      </c>
      <c r="MF9" s="61">
        <f t="shared" si="89"/>
        <v>0</v>
      </c>
      <c r="MG9" s="61">
        <f t="shared" si="89"/>
        <v>0</v>
      </c>
      <c r="MH9" s="61">
        <f t="shared" si="89"/>
        <v>0</v>
      </c>
      <c r="MI9" s="61">
        <f t="shared" si="89"/>
        <v>0</v>
      </c>
      <c r="MJ9" s="61">
        <f t="shared" si="89"/>
        <v>0</v>
      </c>
      <c r="MK9" s="61">
        <f t="shared" si="89"/>
        <v>0</v>
      </c>
      <c r="ML9" s="61">
        <f t="shared" si="89"/>
        <v>0</v>
      </c>
      <c r="MM9" s="61">
        <f t="shared" si="89"/>
        <v>0</v>
      </c>
      <c r="MN9" s="61">
        <f t="shared" si="89"/>
        <v>0</v>
      </c>
      <c r="MO9" s="72" t="s">
        <v>52</v>
      </c>
      <c r="MP9" s="11" t="str">
        <f t="shared" si="90"/>
        <v/>
      </c>
      <c r="MQ9" s="11" t="str">
        <f t="shared" si="91"/>
        <v/>
      </c>
      <c r="MR9" s="11" t="str">
        <f t="shared" si="92"/>
        <v/>
      </c>
      <c r="MS9" s="11" t="str">
        <f t="shared" si="93"/>
        <v/>
      </c>
      <c r="MT9" s="11" t="str">
        <f t="shared" si="94"/>
        <v/>
      </c>
    </row>
    <row r="10" spans="1:358" x14ac:dyDescent="0.2">
      <c r="A10" s="5" t="str">
        <f t="shared" si="0"/>
        <v/>
      </c>
      <c r="B10" s="8" t="s">
        <v>86</v>
      </c>
      <c r="C10" s="4" t="s">
        <v>3</v>
      </c>
      <c r="D10" s="26">
        <v>2004</v>
      </c>
      <c r="E10" s="15">
        <f t="shared" si="1"/>
        <v>53.9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53.9</v>
      </c>
      <c r="K10" s="14" t="str">
        <f t="shared" si="7"/>
        <v>2021 Elite Canada</v>
      </c>
      <c r="L10" s="14">
        <f t="shared" si="8"/>
        <v>0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 t="shared" si="13"/>
        <v/>
      </c>
      <c r="AI10" s="11" t="str">
        <f t="shared" si="14"/>
        <v/>
      </c>
      <c r="AJ10" s="11" t="str">
        <f t="shared" si="15"/>
        <v/>
      </c>
      <c r="AK10" s="11" t="str">
        <f t="shared" si="16"/>
        <v/>
      </c>
      <c r="AL10" s="11" t="str">
        <f t="shared" si="17"/>
        <v/>
      </c>
      <c r="AM10" s="36">
        <v>25.2</v>
      </c>
      <c r="AN10" s="36">
        <v>3.2</v>
      </c>
      <c r="AO10" s="36">
        <v>0.2</v>
      </c>
      <c r="AP10" s="36">
        <v>0</v>
      </c>
      <c r="AQ10" s="36">
        <v>25.6</v>
      </c>
      <c r="AR10" s="36">
        <v>3.4</v>
      </c>
      <c r="AS10" s="36">
        <v>3.3</v>
      </c>
      <c r="AT10" s="36">
        <v>0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 t="shared" si="18"/>
        <v>6.6</v>
      </c>
      <c r="BE10" s="14">
        <f t="shared" si="19"/>
        <v>53.9</v>
      </c>
      <c r="BF10" s="14" t="str">
        <f t="shared" si="20"/>
        <v/>
      </c>
      <c r="BG10" s="14" t="str">
        <f t="shared" si="21"/>
        <v/>
      </c>
      <c r="BH10" s="14">
        <f t="shared" si="22"/>
        <v>53.9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/>
      <c r="IQ10" s="14" t="str">
        <f t="shared" si="67"/>
        <v/>
      </c>
      <c r="IR10" s="14" t="str">
        <f t="shared" si="68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69"/>
        <v/>
      </c>
      <c r="JJ10" s="11" t="str">
        <f t="shared" si="70"/>
        <v/>
      </c>
      <c r="JK10" s="11" t="str">
        <f t="shared" si="71"/>
        <v/>
      </c>
      <c r="JL10" s="11" t="str">
        <f t="shared" si="72"/>
        <v/>
      </c>
      <c r="JM10" s="11" t="str">
        <f t="shared" si="73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4"/>
        <v/>
      </c>
      <c r="KE10" s="14" t="str">
        <f t="shared" si="75"/>
        <v/>
      </c>
      <c r="KF10" s="14" t="str">
        <f t="shared" si="76"/>
        <v/>
      </c>
      <c r="KG10" s="14" t="str">
        <f t="shared" si="77"/>
        <v/>
      </c>
      <c r="KH10" s="14" t="str">
        <f t="shared" si="78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79"/>
        <v/>
      </c>
      <c r="KZ10" s="11" t="str">
        <f t="shared" si="80"/>
        <v/>
      </c>
      <c r="LA10" s="11" t="str">
        <f t="shared" si="81"/>
        <v/>
      </c>
      <c r="LB10" s="11" t="str">
        <f t="shared" si="82"/>
        <v/>
      </c>
      <c r="LC10" s="11" t="str">
        <f t="shared" si="83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4"/>
        <v/>
      </c>
      <c r="LU10" s="14" t="str">
        <f t="shared" si="85"/>
        <v/>
      </c>
      <c r="LV10" s="14" t="str">
        <f t="shared" si="86"/>
        <v/>
      </c>
      <c r="LW10" s="14" t="str">
        <f t="shared" si="87"/>
        <v/>
      </c>
      <c r="LX10" s="14" t="str">
        <f t="shared" si="88"/>
        <v/>
      </c>
      <c r="LY10" s="61">
        <f t="shared" si="89"/>
        <v>12.6</v>
      </c>
      <c r="LZ10" s="61">
        <f t="shared" si="89"/>
        <v>1.6</v>
      </c>
      <c r="MA10" s="61">
        <f t="shared" si="89"/>
        <v>0.1</v>
      </c>
      <c r="MB10" s="61">
        <f t="shared" si="89"/>
        <v>0</v>
      </c>
      <c r="MC10" s="61">
        <f t="shared" si="89"/>
        <v>12.8</v>
      </c>
      <c r="MD10" s="61">
        <f t="shared" si="89"/>
        <v>1.7</v>
      </c>
      <c r="ME10" s="61">
        <f t="shared" si="89"/>
        <v>1.65</v>
      </c>
      <c r="MF10" s="61">
        <f t="shared" si="89"/>
        <v>0</v>
      </c>
      <c r="MG10" s="61">
        <f t="shared" si="89"/>
        <v>0</v>
      </c>
      <c r="MH10" s="61">
        <f t="shared" si="89"/>
        <v>0</v>
      </c>
      <c r="MI10" s="61">
        <f t="shared" si="89"/>
        <v>0</v>
      </c>
      <c r="MJ10" s="61">
        <f t="shared" si="89"/>
        <v>0</v>
      </c>
      <c r="MK10" s="61">
        <f t="shared" si="89"/>
        <v>0</v>
      </c>
      <c r="ML10" s="61">
        <f t="shared" si="89"/>
        <v>0</v>
      </c>
      <c r="MM10" s="61">
        <f t="shared" si="89"/>
        <v>0</v>
      </c>
      <c r="MN10" s="61">
        <f t="shared" si="89"/>
        <v>0</v>
      </c>
      <c r="MO10" s="72" t="s">
        <v>52</v>
      </c>
      <c r="MP10" s="11">
        <f t="shared" si="90"/>
        <v>3.3</v>
      </c>
      <c r="MQ10" s="11">
        <f t="shared" si="91"/>
        <v>26.95</v>
      </c>
      <c r="MR10" s="11" t="str">
        <f t="shared" si="92"/>
        <v/>
      </c>
      <c r="MS10" s="11" t="str">
        <f t="shared" si="93"/>
        <v/>
      </c>
      <c r="MT10" s="11">
        <f t="shared" si="94"/>
        <v>26.95</v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69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0">
      <sortCondition descending="1" ref="F1:F11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6063" operator="between">
      <formula>AL$16</formula>
      <formula>1000</formula>
    </cfRule>
    <cfRule type="cellIs" dxfId="66" priority="46064" operator="between">
      <formula>AL$15</formula>
      <formula>AL$16</formula>
    </cfRule>
    <cfRule type="cellIs" dxfId="65" priority="46065" operator="between">
      <formula>AL$14</formula>
      <formula>AL$15</formula>
    </cfRule>
    <cfRule type="cellIs" dxfId="64" priority="46066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6243" operator="between">
      <formula>AL$20</formula>
      <formula>1000</formula>
    </cfRule>
    <cfRule type="cellIs" dxfId="62" priority="46244" operator="between">
      <formula>AL$19</formula>
      <formula>AL$20</formula>
    </cfRule>
    <cfRule type="cellIs" dxfId="61" priority="46245" operator="between">
      <formula>AL$18</formula>
      <formula>AL$19</formula>
    </cfRule>
    <cfRule type="cellIs" dxfId="60" priority="46246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5"/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8"/>
      <c r="K2" s="128"/>
      <c r="L2" s="128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2" t="s">
        <v>31</v>
      </c>
      <c r="CT2" s="132"/>
      <c r="CU2" s="132"/>
      <c r="CV2" s="132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2" t="s">
        <v>26</v>
      </c>
      <c r="DC2" s="122"/>
      <c r="DD2" s="122"/>
      <c r="DE2" s="122"/>
      <c r="DF2" s="122" t="s">
        <v>29</v>
      </c>
      <c r="DG2" s="122"/>
      <c r="DH2" s="122"/>
      <c r="DI2" s="122"/>
      <c r="DJ2" s="122" t="s">
        <v>30</v>
      </c>
      <c r="DK2" s="122"/>
      <c r="DL2" s="122"/>
      <c r="DM2" s="122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3" t="s">
        <v>26</v>
      </c>
      <c r="DX2" s="123"/>
      <c r="DY2" s="123"/>
      <c r="DZ2" s="123"/>
      <c r="EA2" s="123" t="s">
        <v>29</v>
      </c>
      <c r="EB2" s="123"/>
      <c r="EC2" s="123"/>
      <c r="ED2" s="123"/>
      <c r="EE2" s="123" t="s">
        <v>30</v>
      </c>
      <c r="EF2" s="123"/>
      <c r="EG2" s="123"/>
      <c r="EH2" s="123"/>
      <c r="EI2" s="132" t="s">
        <v>31</v>
      </c>
      <c r="EJ2" s="132"/>
      <c r="EK2" s="132"/>
      <c r="EL2" s="132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2" t="s">
        <v>26</v>
      </c>
      <c r="ES2" s="122"/>
      <c r="ET2" s="122"/>
      <c r="EU2" s="122"/>
      <c r="EV2" s="122" t="s">
        <v>29</v>
      </c>
      <c r="EW2" s="122"/>
      <c r="EX2" s="122"/>
      <c r="EY2" s="122"/>
      <c r="EZ2" s="122" t="s">
        <v>30</v>
      </c>
      <c r="FA2" s="122"/>
      <c r="FB2" s="122"/>
      <c r="FC2" s="122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3" t="s">
        <v>26</v>
      </c>
      <c r="FN2" s="123"/>
      <c r="FO2" s="123"/>
      <c r="FP2" s="123"/>
      <c r="FQ2" s="123" t="s">
        <v>29</v>
      </c>
      <c r="FR2" s="123"/>
      <c r="FS2" s="123"/>
      <c r="FT2" s="123"/>
      <c r="FU2" s="123" t="s">
        <v>30</v>
      </c>
      <c r="FV2" s="123"/>
      <c r="FW2" s="123"/>
      <c r="FX2" s="123"/>
      <c r="FY2" s="132" t="s">
        <v>31</v>
      </c>
      <c r="FZ2" s="132"/>
      <c r="GA2" s="132"/>
      <c r="GB2" s="132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2" t="s">
        <v>26</v>
      </c>
      <c r="GI2" s="122"/>
      <c r="GJ2" s="122"/>
      <c r="GK2" s="122"/>
      <c r="GL2" s="122" t="s">
        <v>29</v>
      </c>
      <c r="GM2" s="122"/>
      <c r="GN2" s="122"/>
      <c r="GO2" s="122"/>
      <c r="GP2" s="122" t="s">
        <v>30</v>
      </c>
      <c r="GQ2" s="122"/>
      <c r="GR2" s="122"/>
      <c r="GS2" s="122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3" t="s">
        <v>26</v>
      </c>
      <c r="HD2" s="123"/>
      <c r="HE2" s="123"/>
      <c r="HF2" s="123"/>
      <c r="HG2" s="123" t="s">
        <v>29</v>
      </c>
      <c r="HH2" s="123"/>
      <c r="HI2" s="123"/>
      <c r="HJ2" s="123"/>
      <c r="HK2" s="123" t="s">
        <v>30</v>
      </c>
      <c r="HL2" s="123"/>
      <c r="HM2" s="123"/>
      <c r="HN2" s="123"/>
      <c r="HO2" s="132" t="s">
        <v>31</v>
      </c>
      <c r="HP2" s="132"/>
      <c r="HQ2" s="132"/>
      <c r="HR2" s="132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2" t="s">
        <v>26</v>
      </c>
      <c r="HY2" s="122"/>
      <c r="HZ2" s="122"/>
      <c r="IA2" s="122"/>
      <c r="IB2" s="122" t="s">
        <v>29</v>
      </c>
      <c r="IC2" s="122"/>
      <c r="ID2" s="122"/>
      <c r="IE2" s="122"/>
      <c r="IF2" s="122" t="s">
        <v>30</v>
      </c>
      <c r="IG2" s="122"/>
      <c r="IH2" s="122"/>
      <c r="II2" s="122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3" t="s">
        <v>26</v>
      </c>
      <c r="IT2" s="123"/>
      <c r="IU2" s="123"/>
      <c r="IV2" s="123"/>
      <c r="IW2" s="123" t="s">
        <v>29</v>
      </c>
      <c r="IX2" s="123"/>
      <c r="IY2" s="123"/>
      <c r="IZ2" s="123"/>
      <c r="JA2" s="123" t="s">
        <v>30</v>
      </c>
      <c r="JB2" s="123"/>
      <c r="JC2" s="123"/>
      <c r="JD2" s="123"/>
      <c r="JE2" s="132" t="s">
        <v>31</v>
      </c>
      <c r="JF2" s="132"/>
      <c r="JG2" s="132"/>
      <c r="JH2" s="132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2" t="s">
        <v>26</v>
      </c>
      <c r="JO2" s="122"/>
      <c r="JP2" s="122"/>
      <c r="JQ2" s="122"/>
      <c r="JR2" s="122" t="s">
        <v>29</v>
      </c>
      <c r="JS2" s="122"/>
      <c r="JT2" s="122"/>
      <c r="JU2" s="122"/>
      <c r="JV2" s="122" t="s">
        <v>30</v>
      </c>
      <c r="JW2" s="122"/>
      <c r="JX2" s="122"/>
      <c r="JY2" s="122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3" t="s">
        <v>26</v>
      </c>
      <c r="KJ2" s="123"/>
      <c r="KK2" s="123"/>
      <c r="KL2" s="123"/>
      <c r="KM2" s="123" t="s">
        <v>29</v>
      </c>
      <c r="KN2" s="123"/>
      <c r="KO2" s="123"/>
      <c r="KP2" s="123"/>
      <c r="KQ2" s="123" t="s">
        <v>30</v>
      </c>
      <c r="KR2" s="123"/>
      <c r="KS2" s="123"/>
      <c r="KT2" s="123"/>
      <c r="KU2" s="132" t="s">
        <v>31</v>
      </c>
      <c r="KV2" s="132"/>
      <c r="KW2" s="132"/>
      <c r="KX2" s="132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2" t="s">
        <v>26</v>
      </c>
      <c r="LE2" s="122"/>
      <c r="LF2" s="122"/>
      <c r="LG2" s="122"/>
      <c r="LH2" s="122" t="s">
        <v>29</v>
      </c>
      <c r="LI2" s="122"/>
      <c r="LJ2" s="122"/>
      <c r="LK2" s="122"/>
      <c r="LL2" s="122" t="s">
        <v>30</v>
      </c>
      <c r="LM2" s="122"/>
      <c r="LN2" s="122"/>
      <c r="LO2" s="122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8"/>
      <c r="K3" s="128"/>
      <c r="L3" s="128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4" si="0">IF(AND(F4="P",G4="P"),SUMPRODUCT((F$4:F$15="P")*(G$4:G$15="P")*(E$4:E$15&gt;E4))+1,IF(G4="P",SUMPRODUCT((F$4:F$15="")*(G$4:G$15="P")*(E$4:E$15&gt;E4))+1+SUMPRODUCT((F$4:F$15="P")*(G$4:G$15="P")),""))</f>
        <v>1</v>
      </c>
      <c r="B4" s="6" t="s">
        <v>146</v>
      </c>
      <c r="C4" s="7" t="s">
        <v>3</v>
      </c>
      <c r="D4" s="26">
        <v>2004</v>
      </c>
      <c r="E4" s="15">
        <f t="shared" ref="E4:E14" si="1">SUM(J4:N4)</f>
        <v>120.8</v>
      </c>
      <c r="F4" s="3" t="str">
        <f t="shared" ref="F4:F14" si="2">IF(OR(AND(AH4&gt;=AL$17,AI4&gt;=AL$21,AI4&lt;&gt;"",AG4=""),AND(BD4&gt;=BH$17,BE4&gt;=BH$21,BE4&lt;&gt;"",BC4=""),AND(BZ4&gt;=CD$17,CA4&gt;=CD$21,CA4&lt;&gt;"",BY4=""),AND(CW4&gt;=DA$17,CX4&gt;=DA$21,CX4&lt;&gt;""),AND(DR4&gt;=DV$17,DS4&gt;=DV$21,DS4&lt;&gt;""),AND(EM4&gt;=EQ$17,EN4&gt;=EQ$21,EN4&lt;&gt;""),AND(FH4&gt;=FL$17,FI4&gt;=FL$21,FI4&lt;&gt;""),AND(GC4&gt;=GG$17,GD4&gt;=GG$21,GD4&lt;&gt;""),AND(GX4&gt;=HB$17,GY4&gt;=HB$21,GY4&lt;&gt;""),AND(HS4&gt;=HW$17,HT4&gt;=HW$21,HT4&lt;&gt;""),AND(IN4&gt;=IR$17,IO4&gt;=IR$21,IO4&lt;&gt;""),AND(JI4&gt;=JM$17,JJ4&gt;=JM$21,JJ4&lt;&gt;""),AND(KD4&gt;=KH$17,KE4&gt;=KH$21,KE4&lt;&gt;""),AND(KY4&gt;=LC$17,KZ4&gt;=LC$21,KZ4&lt;&gt;""),AND(LT4&gt;=LX$17,LU4&gt;=LX$21,LU4&lt;&gt;"")),"P","")</f>
        <v>P</v>
      </c>
      <c r="G4" s="3" t="str">
        <f t="shared" ref="G4:G14" si="3">IF(OR(AND(AI4&gt;=AL$21,AI4&lt;&gt;"",AG4=""),AND(BE4&gt;=BH$21,BE4&lt;&gt;"",BC4=""),AND(CA4&gt;=CD$21,CA4&lt;&gt;"",BY4=""),AND(CX4&gt;=DA$21,CX4&lt;&gt;""),AND(DS4&gt;=DV$21,DS4&lt;&gt;""),AND(EN4&gt;=EQ$21,EN4&lt;&gt;""),AND(FI4&gt;=FL$21,FI4&lt;&gt;""),AND(GD4&gt;=GG$21,GD4&lt;&gt;""),AND(GY4&gt;=HB$21,GY4&lt;&gt;""),AND(HT4&gt;=HW$21,HT4&lt;&gt;""),AND(IO4&gt;=IR$21,IO4&lt;&gt;""),AND(JJ4&gt;=JM$21,JJ4&lt;&gt;""),AND(KE4&gt;=KH$21,KE4&lt;&gt;""),AND(KZ4&gt;=LC$21,KZ4&lt;&gt;""),AND(LU4&gt;=LX$21,LU4&lt;&gt;"")),"P","")</f>
        <v>P</v>
      </c>
      <c r="H4" s="116" t="str">
        <f t="shared" ref="H4:H14" si="4">IF(AND(G4="P",F4=""),"No DD",IF(OR(AND(AI4&gt;=AL$24,AI4&lt;&gt;"",AH4&gt;=AL$20,AH4&lt;&gt;"",AG4=""),AND(BE4&gt;=BH$24,BE4&lt;&gt;"",BD4&gt;=BH$20,BD4&lt;&gt;"",BC4=""),AND(CA4&gt;=CD$24,CA4&lt;&gt;"",BZ4&gt;=CD$20,BZ4&lt;&gt;"",BY4=""),AND(CX4&gt;=DA$24,CX4&lt;&gt;"",CW4&gt;=DA$20,CW4&lt;&gt;""),AND(DS4&gt;=DV$24,DS4&lt;&gt;"",DR4&gt;=DV$20,DR4&lt;&gt;""),AND(EN4&gt;=EQ$24,EN4&lt;&gt;"",EM4&gt;=EQ$20,EM4&lt;&gt;""),AND(FI4&gt;=FL$24,FI4&lt;&gt;"",FH4&gt;=FL$20,FH4&lt;&gt;""),AND(GD4&gt;=GG$24,GD4&lt;&gt;"",GC4&gt;=GG$20,GC4&lt;&gt;""),AND(GY4&gt;=HB$24,GY4&lt;&gt;"",GX4&gt;=HB$20,GX4&lt;&gt;""),AND(HT4&gt;=HW$24,HT4&lt;&gt;"",HS4&gt;=HW$20,HS4&lt;&gt;""),AND(IO4&gt;=IR$24,IO4&lt;&gt;"",IN4&gt;=IR$20,IN4&lt;&gt;""),AND(JJ4&gt;=JM$24,JJ4&lt;&gt;"",JI4&gt;=JM$20,JI4&lt;&gt;""),AND(KE4&gt;=KH$24,KE4&lt;&gt;"",KD4&gt;=KH$20,KD4&lt;&gt;""),AND(KZ4&gt;=LC$24,KZ4&lt;&gt;"",KY4&gt;=LC$20,KY4&lt;&gt;""),AND(LU4&gt;=LX$24,LU4&lt;&gt;"",LT4&gt;=LX$20,LT4&lt;&gt;"")),"Merit",IF(OR(AND(AI4&gt;=AL$23,AI4&lt;&gt;"",AH4&gt;=AL$19,AH4&lt;&gt;"",AG4=""),AND(BE4&gt;=BH$23,BE4&lt;&gt;"",BD4&gt;=BH$19,BD4&lt;&gt;"",BC4=""),AND(CA4&gt;=CD$23,CA4&lt;&gt;"",BZ4&gt;=CD$19,BZ4&lt;&gt;"",BY4=""),AND(CX4&gt;=DA$23,CX4&lt;&gt;"",CW4&gt;=DA$19,CW4&lt;&gt;""),AND(DS4&gt;=DV$23,DS4&lt;&gt;"",DR4&gt;=DV$19,DR4&lt;&gt;""),AND(EN4&gt;=EQ$23,EN4&lt;&gt;"",EM4&gt;=EQ$19,EM4&lt;&gt;""),AND(FI4&gt;=FL$23,FI4&lt;&gt;"",FH4&gt;=FL$19,FH4&lt;&gt;""),AND(GD4&gt;=GG$23,GD4&lt;&gt;"",GC4&gt;=GG$19,GC4&lt;&gt;""),AND(GY4&gt;=HB$23,GY4&lt;&gt;"",GX4&gt;=HB$19,GX4&lt;&gt;""),AND(HT4&gt;=HW$23,HT4&lt;&gt;"",HS4&gt;=HW$19,HS4&lt;&gt;""),AND(IO4&gt;=IR$23,IO4&lt;&gt;"",IN4&gt;=IR$19,IN4&lt;&gt;""),AND(JJ4&gt;=JM$23,JJ4&lt;&gt;"",JI4&gt;=JM$19,JI4&lt;&gt;""),AND(KE4&gt;=KH$23,KE4&lt;&gt;"",KD4&gt;=KH$19,KD4&lt;&gt;""),AND(KZ4&gt;=LC$23,KZ4&lt;&gt;"",KY4&gt;=LC$19,KY4&lt;&gt;""),AND(LU4&gt;=LX$23,LU4&lt;&gt;"",LT4&gt;=LX$19,LT4&lt;&gt;"")),"Excellence",IF(OR(AND(AI4&gt;=AL$22,AI4&lt;&gt;"",AH4&gt;=AL$18,AH4&lt;&gt;"",AG4=""),AND(BE4&gt;=BH$22,BE4&lt;&gt;"",BD4&gt;=BH$18,BD4&lt;&gt;"",BC4=""),AND(CA4&gt;=CD$22,CA4&lt;&gt;"",BZ4&gt;=CD$18,BZ4&lt;&gt;"",BY4=""),AND(CX4&gt;=DA$22,CX4&lt;&gt;"",CW4&gt;=DA$18,CW4&lt;&gt;""),AND(DS4&gt;=DV$22,DS4&lt;&gt;"",DR4&gt;=DV$18,DR4&lt;&gt;""),AND(EN4&gt;=EQ$22,EN4&lt;&gt;"",EM4&gt;=EQ$18,EM4&lt;&gt;""),AND(FI4&gt;=FL$22,FI4&lt;&gt;"",FH4&gt;=FL$18,FH4&lt;&gt;""),AND(GD4&gt;=GG$22,GD4&lt;&gt;"",GC4&gt;=GG$18,GC4&lt;&gt;""),AND(GY4&gt;=HB$22,GY4&lt;&gt;"",GX4&gt;=HB$18,GX4&lt;&gt;""),AND(HT4&gt;=HW$22,HT4&lt;&gt;"",HS4&gt;=HW$18,HS4&lt;&gt;""),AND(IO4&gt;=IR$22,IO4&lt;&gt;"",IN4&gt;=IR$18,IN4&lt;&gt;""),AND(JJ4&gt;=JM$22,JJ4&lt;&gt;"",JI4&gt;=JM$18,JI4&lt;&gt;""),AND(KE4&gt;=KH$22,KE4&lt;&gt;"",KD4&gt;=KH$18,KD4&lt;&gt;""),AND(KZ4&gt;=LC$22,KZ4&lt;&gt;"",KY4&gt;=LC$18,KY4&lt;&gt;""),AND(LU4&gt;=LX$22,LU4&lt;&gt;"",LT4&gt;=LX$18,LT4&lt;&gt;"")),"Worlds Team",IF(OR(AND(AI4&gt;=AL$21,AI4&lt;&gt;"",AH4&gt;=AL$17,AH4&lt;&gt;"",AG4=""),AND(BE4&gt;=BH$21,BE4&lt;&gt;"",BD4&gt;=BH$17,BD4&lt;&gt;"",BC4=""),AND(CA4&gt;=CD$21,CA4&lt;&gt;"",BZ4&gt;=CD$17,BZ4&lt;&gt;"",BY4=""),AND(CX4&gt;=DA$21,CX4&lt;&gt;"",CW4&gt;=DA$17,CW4&lt;&gt;""),AND(DS4&gt;=DV$21,DS4&lt;&gt;"",DR4&gt;=DV$17,DR4&lt;&gt;""),AND(EN4&gt;=EQ$21,EN4&lt;&gt;"",EM4&gt;=EQ$17,EM4&lt;&gt;""),AND(FI4&gt;=FL$21,FI4&lt;&gt;"",FH4&gt;=FL$17,FH4&lt;&gt;""),AND(GD4&gt;=GG$21,GD4&lt;&gt;"",GC4&gt;=GG$17,GC4&lt;&gt;""),AND(GY4&gt;=HB$21,GY4&lt;&gt;"",GX4&gt;=HB$17,GX4&lt;&gt;""),AND(HT4&gt;=HW$21,HT4&lt;&gt;"",HS4&gt;=HW$17,HS4&lt;&gt;""),AND(IO4&gt;=IR$21,IO4&lt;&gt;"",IN4&gt;=IR$17,IN4&lt;&gt;""),AND(JJ4&gt;=JM$21,JJ4&lt;&gt;"",JI4&gt;=JM$17,JI4&lt;&gt;""),AND(KE4&gt;=KH$21,KE4&lt;&gt;"",KD4&gt;=KH$17,KD4&lt;&gt;""),AND(KZ4&gt;=LC$21,KZ4&lt;&gt;"",KY4&gt;=LC$17,KY4&lt;&gt;""),AND(LU4&gt;=LX$21,LU4&lt;&gt;"",LT4&gt;=LX$17,LT4&lt;&gt;"")),"National Team","")))))</f>
        <v>National Team</v>
      </c>
      <c r="I4" s="3" t="str">
        <f t="shared" ref="I4:I14" si="5">IF(OR(H4="Worlds Team",H4="Excellence",H4="Merit"),"P","")</f>
        <v/>
      </c>
      <c r="J4" s="14">
        <f t="shared" ref="J4:J14" si="6">MAX(AI4,BE4,CA4)</f>
        <v>60.6</v>
      </c>
      <c r="K4" s="14" t="str">
        <f t="shared" ref="K4:K14" si="7">IF(J4=0,"",IF(J4=CA4,$BI$1,IF(J4=BE4,$AM$1,IF(J4=AI4,$Q$1,""))))</f>
        <v>2021 Canadian Championships</v>
      </c>
      <c r="L4" s="14">
        <f t="shared" ref="L4:L14" si="8">MAX(AK4,BG4,CC4)</f>
        <v>60.199999999999996</v>
      </c>
      <c r="M4" s="14" t="str">
        <f t="shared" ref="M4:M14" si="9">IF(L4=0,"",IF(J4=CC4,$BI$1,IF(L4=BG4,$AM$1,IF(L4=AK4,$Q$1,""))))</f>
        <v>2021 Elite Canada</v>
      </c>
      <c r="N4" s="14" t="str">
        <f t="shared" ref="N4:N14" si="10">IF(MAX(CE4:CF4)&gt;0,MAX(CE4:CF4),"")</f>
        <v/>
      </c>
      <c r="O4" s="24" t="str">
        <f t="shared" ref="O4:O14" si="11">IF(N4="","",IF(N4=CE4,"(Prelim)",IF(N4=CF4,"(Final)")))</f>
        <v/>
      </c>
      <c r="P4" s="14" t="str">
        <f t="shared" ref="P4:P14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 t="shared" ref="AH4:AH14" si="13">IF(SUM(R4,V4)&gt;0,SUM(R4,V4),"")</f>
        <v/>
      </c>
      <c r="AI4" s="11" t="str">
        <f t="shared" ref="AI4:AI14" si="14">IF(SUM(Q4:R4,T4:V4,X4)-S4-W4&gt;0,SUM(Q4:R4,T4:V4,X4)-S4-W4,"")</f>
        <v/>
      </c>
      <c r="AJ4" s="11" t="str">
        <f t="shared" ref="AJ4:AJ14" si="15">IF(SUM(Z4,AD4)&gt;0,SUM(Z4,AD4),"")</f>
        <v/>
      </c>
      <c r="AK4" s="11" t="str">
        <f t="shared" ref="AK4:AK14" si="16">IF(SUM(Y4:Z4,AB4:AD4,AF4)-SUM(AA4,AE4)&gt;0,SUM(Y4:Z4,AB4:AD4,AF4)-SUM(AA4,AE4),"")</f>
        <v/>
      </c>
      <c r="AL4" s="11" t="str">
        <f t="shared" ref="AL4:AL14" si="17">IF(SUM(AI4,AK4)&gt;0,SUM(AI4,AK4),"")</f>
        <v/>
      </c>
      <c r="AM4" s="36">
        <v>25.1</v>
      </c>
      <c r="AN4" s="36">
        <v>3.9</v>
      </c>
      <c r="AO4" s="36">
        <v>0</v>
      </c>
      <c r="AP4" s="36">
        <v>0.3</v>
      </c>
      <c r="AQ4" s="36">
        <v>25.9</v>
      </c>
      <c r="AR4" s="36">
        <v>3.2</v>
      </c>
      <c r="AS4" s="36">
        <v>0</v>
      </c>
      <c r="AT4" s="36">
        <v>0</v>
      </c>
      <c r="AU4" s="36">
        <v>26.9</v>
      </c>
      <c r="AV4" s="36">
        <v>3.6</v>
      </c>
      <c r="AW4" s="36">
        <v>0</v>
      </c>
      <c r="AX4" s="36">
        <v>0</v>
      </c>
      <c r="AY4" s="36">
        <v>25.3</v>
      </c>
      <c r="AZ4" s="36">
        <v>4.0999999999999996</v>
      </c>
      <c r="BA4" s="36">
        <v>0</v>
      </c>
      <c r="BB4" s="36">
        <v>0.3</v>
      </c>
      <c r="BC4" s="73"/>
      <c r="BD4" s="14">
        <f t="shared" ref="BD4:BD14" si="18">IF(SUM(AN4,AR4)&gt;0,SUM(AN4,AR4),"")</f>
        <v>7.1</v>
      </c>
      <c r="BE4" s="14">
        <f t="shared" ref="BE4:BE14" si="19">IF(SUM(AM4:AN4,AP4:AR4,AT4)-AO4-AS4&gt;0,SUM(AM4:AN4,AP4:AR4,AT4)-AO4-AS4,"")</f>
        <v>58.400000000000006</v>
      </c>
      <c r="BF4" s="14">
        <f t="shared" ref="BF4:BF14" si="20">IF(SUM(AV4,AZ4)&gt;0,SUM(AV4,AZ4),"")</f>
        <v>7.6999999999999993</v>
      </c>
      <c r="BG4" s="14">
        <f t="shared" ref="BG4:BG14" si="21">IF(SUM(AU4:AV4,AX4:AZ4,BB4)-SUM(AW4,BA4)&gt;0,SUM(AU4:AV4,AX4:AZ4,BB4)-SUM(AW4,BA4),"")</f>
        <v>60.199999999999996</v>
      </c>
      <c r="BH4" s="14">
        <f t="shared" ref="BH4:BH14" si="22">IF(SUM(BE4,BG4)&gt;0,SUM(BE4,BG4),"")</f>
        <v>118.6</v>
      </c>
      <c r="BI4" s="37">
        <v>25.8</v>
      </c>
      <c r="BJ4" s="37">
        <v>3.9</v>
      </c>
      <c r="BK4" s="37">
        <v>0</v>
      </c>
      <c r="BL4" s="37">
        <v>0.3</v>
      </c>
      <c r="BM4" s="37">
        <v>26.2</v>
      </c>
      <c r="BN4" s="37">
        <v>4.0999999999999996</v>
      </c>
      <c r="BO4" s="37">
        <v>0</v>
      </c>
      <c r="BP4" s="37">
        <v>0.3</v>
      </c>
      <c r="BQ4" s="37">
        <v>25.5</v>
      </c>
      <c r="BR4" s="37">
        <v>3.9</v>
      </c>
      <c r="BS4" s="37">
        <v>0.2</v>
      </c>
      <c r="BT4" s="37">
        <v>0.3</v>
      </c>
      <c r="BU4" s="37">
        <v>26.3</v>
      </c>
      <c r="BV4" s="37">
        <v>4.0999999999999996</v>
      </c>
      <c r="BW4" s="37">
        <v>0.2</v>
      </c>
      <c r="BX4" s="37">
        <v>0.3</v>
      </c>
      <c r="BY4" s="72"/>
      <c r="BZ4" s="11">
        <f t="shared" ref="BZ4:BZ14" si="23">IF(SUM(BJ4,BN4)&gt;0,SUM(BJ4,BN4),"")</f>
        <v>8</v>
      </c>
      <c r="CA4" s="11">
        <f t="shared" ref="CA4:CA14" si="24">IF(SUM(BI4:BJ4,BL4:BN4,BP4)-BK4-BO4&gt;0,SUM(BI4:BJ4,BL4:BN4,BP4)-BK4-BO4,"")</f>
        <v>60.6</v>
      </c>
      <c r="CB4" s="11">
        <f t="shared" ref="CB4:CB14" si="25">IF(SUM(BR4,BV4)&gt;0,SUM(BR4,BV4),"")</f>
        <v>8</v>
      </c>
      <c r="CC4" s="11">
        <f t="shared" ref="CC4:CC14" si="26">IF(SUM(BQ4:BR4,BT4:BV4,BX4)-SUM(BS4,BW4)&gt;0,SUM(BQ4:BR4,BT4:BV4,BX4)-SUM(BS4,BW4),"")</f>
        <v>60</v>
      </c>
      <c r="CD4" s="11">
        <f t="shared" ref="CD4:CD14" si="27">IF(SUM(CA4,CC4)&gt;0,SUM(CA4,CC4),"")</f>
        <v>120.6</v>
      </c>
      <c r="CE4" s="23" t="str">
        <f t="shared" ref="CE4:CE14" si="28">IF(MAX(CX4,DS4,EN4,FI4,GD4,GY4,HT4,IO4,JJ4,KE4,KZ4,LU4)-IF(J4="",0,J4)&gt;0.001,MAX(CX4,DS4,EN4,FI4,GD4,GY4,HT4,IO4,JJ4,KE4,KZ4,LU4)-IF(J4="",0,J4),"")</f>
        <v/>
      </c>
      <c r="CF4" s="23" t="str">
        <f t="shared" ref="CF4:CF14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4" si="30">IF(SUM(CH4,CL4)&gt;0,SUM(CH4,CL4),"")</f>
        <v/>
      </c>
      <c r="CX4" s="11" t="str">
        <f t="shared" ref="CX4:CX14" si="31">IF(SUM(CG4:CH4,CJ4:CL4,CN4)-CI4-CM4&gt;0,SUM(CG4:CH4,CJ4:CL4,CN4)-CI4-CM4,"")</f>
        <v/>
      </c>
      <c r="CY4" s="11" t="str">
        <f t="shared" ref="CY4:CY14" si="32">IF(SUM(CP4,CT4)&gt;0,SUM(CP4,CT4),"")</f>
        <v/>
      </c>
      <c r="CZ4" s="11" t="str">
        <f t="shared" ref="CZ4:CZ14" si="33">IF(SUM(CO4:CP4,CR4:CT4,CV4)-SUM(CQ4,CU4)&gt;0,SUM(CO4:CP4,CR4:CT4,CV4)-SUM(CQ4,CU4),"")</f>
        <v/>
      </c>
      <c r="DA4" s="11" t="str">
        <f t="shared" ref="DA4:DA14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4" si="35">IF(SUM(DC4,DG4)&gt;0,SUM(DC4,DG4),"")</f>
        <v/>
      </c>
      <c r="DS4" s="14" t="str">
        <f t="shared" ref="DS4:DS14" si="36">IF(SUM(DB4:DC4,DE4:DG4,DI4)-DD4-DH4&gt;0,SUM(DB4:DC4,DE4:DG4,DI4)-DD4-DH4,"")</f>
        <v/>
      </c>
      <c r="DT4" s="14" t="str">
        <f t="shared" ref="DT4:DT14" si="37">IF(SUM(DK4,DO4)&gt;0,SUM(DK4,DO4),"")</f>
        <v/>
      </c>
      <c r="DU4" s="14" t="str">
        <f t="shared" ref="DU4:DU14" si="38">IF(SUM(DJ4:DK4,DM4:DO4,DQ4)-SUM(DL4,DP4)&gt;0,SUM(DJ4:DK4,DM4:DO4,DQ4)-SUM(DL4,DP4),"")</f>
        <v/>
      </c>
      <c r="DV4" s="14" t="str">
        <f t="shared" ref="DV4:DV14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4" si="40">IF(SUM(DX4,EB4)&gt;0,SUM(DX4,EB4),"")</f>
        <v/>
      </c>
      <c r="EN4" s="11" t="str">
        <f t="shared" ref="EN4:EN14" si="41">IF(SUM(DW4:DX4,DZ4:EB4,ED4)-DY4-EC4&gt;0,SUM(DW4:DX4,DZ4:EB4,ED4)-DY4-EC4,"")</f>
        <v/>
      </c>
      <c r="EO4" s="11" t="str">
        <f t="shared" ref="EO4:EO14" si="42">IF(SUM(EF4,EJ4)&gt;0,SUM(EF4,EJ4),"")</f>
        <v/>
      </c>
      <c r="EP4" s="11" t="str">
        <f t="shared" ref="EP4:EP14" si="43">IF(SUM(EE4:EF4,EH4:EJ4,EL4)-SUM(EG4,EK4)&gt;0,SUM(EE4:EF4,EH4:EJ4,EL4)-SUM(EG4,EK4),"")</f>
        <v/>
      </c>
      <c r="EQ4" s="11" t="str">
        <f t="shared" ref="EQ4:EQ14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4" si="45">IF(SUM(ES4,EW4)&gt;0,SUM(ES4,EW4),"")</f>
        <v/>
      </c>
      <c r="FI4" s="14" t="str">
        <f t="shared" ref="FI4:FI14" si="46">IF(SUM(ER4:ES4,EU4:EW4,EY4)-ET4-EX4&gt;0,SUM(ER4:ES4,EU4:EW4,EY4)-ET4-EX4,"")</f>
        <v/>
      </c>
      <c r="FJ4" s="14" t="str">
        <f t="shared" ref="FJ4:FJ14" si="47">IF(SUM(FA4,FE4)&gt;0,SUM(FA4,FE4),"")</f>
        <v/>
      </c>
      <c r="FK4" s="14" t="str">
        <f t="shared" ref="FK4:FK14" si="48">IF(SUM(EZ4:FA4,FC4:FE4,FG4)-SUM(FB4,FF4)&gt;0,SUM(EZ4:FA4,FC4:FE4,FG4)-SUM(FB4,FF4),"")</f>
        <v/>
      </c>
      <c r="FL4" s="14" t="str">
        <f t="shared" ref="FL4:FL14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4" si="50">IF(SUM(FN4,FR4)&gt;0,SUM(FN4,FR4),"")</f>
        <v/>
      </c>
      <c r="GD4" s="11" t="str">
        <f t="shared" ref="GD4:GD14" si="51">IF(SUM(FM4:FN4,FP4:FR4,FT4)-FO4-FS4&gt;0,SUM(FM4:FN4,FP4:FR4,FT4)-FO4-FS4,"")</f>
        <v/>
      </c>
      <c r="GE4" s="11" t="str">
        <f t="shared" ref="GE4:GE14" si="52">IF(SUM(FV4,FZ4)&gt;0,SUM(FV4,FZ4),"")</f>
        <v/>
      </c>
      <c r="GF4" s="11" t="str">
        <f t="shared" ref="GF4:GF14" si="53">IF(SUM(FU4:FV4,FX4:FZ4,GB4)-SUM(FW4,GA4)&gt;0,SUM(FU4:FV4,FX4:FZ4,GB4)-SUM(FW4,GA4),"")</f>
        <v/>
      </c>
      <c r="GG4" s="11" t="str">
        <f t="shared" ref="GG4:GG14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4" si="55">IF(SUM(GI4,GM4)&gt;0,SUM(GI4,GM4),"")</f>
        <v/>
      </c>
      <c r="GY4" s="14" t="str">
        <f t="shared" ref="GY4:GY14" si="56">IF(SUM(GH4:GI4,GK4:GM4,GO4)-GJ4-GN4&gt;0,SUM(GH4:GI4,GK4:GM4,GO4)-GJ4-GN4,"")</f>
        <v/>
      </c>
      <c r="GZ4" s="14" t="str">
        <f t="shared" ref="GZ4:GZ14" si="57">IF(SUM(GQ4,GU4)&gt;0,SUM(GQ4,GU4),"")</f>
        <v/>
      </c>
      <c r="HA4" s="14" t="str">
        <f t="shared" ref="HA4:HA14" si="58">IF(SUM(GP4:GQ4,GS4:GU4,GW4)-SUM(GR4,GV4)&gt;0,SUM(GP4:GQ4,GS4:GU4,GW4)-SUM(GR4,GV4),"")</f>
        <v/>
      </c>
      <c r="HB4" s="14" t="str">
        <f t="shared" ref="HB4:HB14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4" si="60">IF(SUM(HD4,HH4)&gt;0,SUM(HD4,HH4),"")</f>
        <v/>
      </c>
      <c r="HT4" s="11" t="str">
        <f t="shared" ref="HT4:HT14" si="61">IF(SUM(HC4:HD4,HF4:HH4,HJ4)-HE4-HI4&gt;0,SUM(HC4:HD4,HF4:HH4,HJ4)-HE4-HI4,"")</f>
        <v/>
      </c>
      <c r="HU4" s="11" t="str">
        <f t="shared" ref="HU4:HU14" si="62">IF(SUM(HL4,HP4)&gt;0,SUM(HL4,HP4),"")</f>
        <v/>
      </c>
      <c r="HV4" s="11" t="str">
        <f t="shared" ref="HV4:HV14" si="63">IF(SUM(HK4:HL4,HN4:HP4,HR4)-SUM(HM4,HQ4)&gt;0,SUM(HK4:HL4,HN4:HP4,HR4)-SUM(HM4,HQ4),"")</f>
        <v/>
      </c>
      <c r="HW4" s="11" t="str">
        <f t="shared" ref="HW4:HW14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4" si="65">IF(SUM(HY4,IC4)&gt;0,SUM(HY4,IC4),"")</f>
        <v/>
      </c>
      <c r="IO4" s="14" t="str">
        <f t="shared" ref="IO4:IO14" si="66">IF(SUM(HX4:HY4,IA4:IC4,IE4)-HZ4-ID4&gt;0,SUM(HX4:HY4,IA4:IC4,IE4)-HZ4-ID4,"")</f>
        <v/>
      </c>
      <c r="IP4" s="14" t="str">
        <f t="shared" ref="IP4:IP14" si="67">IF(SUM(IG4,IK4)&gt;0,SUM(IG4,IK4),"")</f>
        <v/>
      </c>
      <c r="IQ4" s="14" t="str">
        <f t="shared" ref="IQ4:IQ14" si="68">IF(SUM(IF4:IG4,II4:IK4,IM4)-SUM(IH4,IL4)&gt;0,SUM(IF4:IG4,II4:IK4,IM4)-SUM(IH4,IL4),"")</f>
        <v/>
      </c>
      <c r="IR4" s="14" t="str">
        <f t="shared" ref="IR4:IR14" si="69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4" si="70">IF(SUM(IT4,IX4)&gt;0,SUM(IT4,IX4),"")</f>
        <v/>
      </c>
      <c r="JJ4" s="11" t="str">
        <f t="shared" ref="JJ4:JJ14" si="71">IF(SUM(IS4:IT4,IV4:IX4,IZ4)-IU4-IY4&gt;0,SUM(IS4:IT4,IV4:IX4,IZ4)-IU4-IY4,"")</f>
        <v/>
      </c>
      <c r="JK4" s="11" t="str">
        <f t="shared" ref="JK4:JK14" si="72">IF(SUM(JB4,JF4)&gt;0,SUM(JB4,JF4),"")</f>
        <v/>
      </c>
      <c r="JL4" s="11" t="str">
        <f t="shared" ref="JL4:JL14" si="73">IF(SUM(JA4:JB4,JD4:JF4,JH4)-SUM(JC4,JG4)&gt;0,SUM(JA4:JB4,JD4:JF4,JH4)-SUM(JC4,JG4),"")</f>
        <v/>
      </c>
      <c r="JM4" s="11" t="str">
        <f t="shared" ref="JM4:JM14" si="74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4" si="75">IF(SUM(JO4,JS4)&gt;0,SUM(JO4,JS4),"")</f>
        <v/>
      </c>
      <c r="KE4" s="14" t="str">
        <f t="shared" ref="KE4:KE14" si="76">IF(SUM(JN4:JO4,JQ4:JS4,JU4)-JP4-JT4&gt;0,SUM(JN4:JO4,JQ4:JS4,JU4)-JP4-JT4,"")</f>
        <v/>
      </c>
      <c r="KF4" s="14" t="str">
        <f t="shared" ref="KF4:KF14" si="77">IF(SUM(JW4,KA4)&gt;0,SUM(JW4,KA4),"")</f>
        <v/>
      </c>
      <c r="KG4" s="14" t="str">
        <f t="shared" ref="KG4:KG14" si="78">IF(SUM(JV4:JW4,JY4:KA4,KC4)-SUM(JX4,KB4)&gt;0,SUM(JV4:JW4,JY4:KA4,KC4)-SUM(JX4,KB4),"")</f>
        <v/>
      </c>
      <c r="KH4" s="14" t="str">
        <f t="shared" ref="KH4:KH14" si="79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4" si="80">IF(SUM(KJ4,KN4)&gt;0,SUM(KJ4,KN4),"")</f>
        <v/>
      </c>
      <c r="KZ4" s="11" t="str">
        <f t="shared" ref="KZ4:KZ14" si="81">IF(SUM(KI4:KJ4,KL4:KN4,KP4)-KK4-KO4&gt;0,SUM(KI4:KJ4,KL4:KN4,KP4)-KK4-KO4,"")</f>
        <v/>
      </c>
      <c r="LA4" s="11" t="str">
        <f t="shared" ref="LA4:LA14" si="82">IF(SUM(KR4,KV4)&gt;0,SUM(KR4,KV4),"")</f>
        <v/>
      </c>
      <c r="LB4" s="11" t="str">
        <f t="shared" ref="LB4:LB14" si="83">IF(SUM(KQ4:KR4,KT4:KV4,KX4)-SUM(KS4,KW4)&gt;0,SUM(KQ4:KR4,KT4:KV4,KX4)-SUM(KS4,KW4),"")</f>
        <v/>
      </c>
      <c r="LC4" s="11" t="str">
        <f t="shared" ref="LC4:LC14" si="84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4" si="85">IF(SUM(LE4,LI4)&gt;0,SUM(LE4,LI4),"")</f>
        <v/>
      </c>
      <c r="LU4" s="14" t="str">
        <f t="shared" ref="LU4:LU14" si="86">IF(SUM(LD4:LE4,LG4:LI4,LK4)-LF4-LJ4&gt;0,SUM(LD4:LE4,LG4:LI4,LK4)-LF4-LJ4,"")</f>
        <v/>
      </c>
      <c r="LV4" s="14" t="str">
        <f t="shared" ref="LV4:LV14" si="87">IF(SUM(LM4,LQ4)&gt;0,SUM(LM4,LQ4),"")</f>
        <v/>
      </c>
      <c r="LW4" s="14" t="str">
        <f t="shared" ref="LW4:LW14" si="88">IF(SUM(LL4:LM4,LO4:LQ4,LS4)-SUM(LN4,LR4)&gt;0,SUM(LL4:LM4,LO4:LQ4,LS4)-SUM(LN4,LR4),"")</f>
        <v/>
      </c>
      <c r="LX4" s="14" t="str">
        <f t="shared" ref="LX4:LX14" si="89">IF(SUM(LU4,LW4)&gt;0,SUM(LU4,LW4),"")</f>
        <v/>
      </c>
      <c r="LY4" s="61">
        <f t="shared" ref="LY4:LY14" si="90">IF($BY4="P",BI4,(BI4+AM4)/2)</f>
        <v>25.450000000000003</v>
      </c>
      <c r="LZ4" s="61">
        <f t="shared" ref="LZ4:LZ14" si="91">IF($BY4="P",BJ4,(BJ4+AN4)/2)</f>
        <v>3.9</v>
      </c>
      <c r="MA4" s="61">
        <f t="shared" ref="MA4:MA14" si="92">IF($BY4="P",BK4,(BK4+AO4)/2)</f>
        <v>0</v>
      </c>
      <c r="MB4" s="61">
        <f t="shared" ref="MB4:MB14" si="93">IF($BY4="P",BL4,(BL4+AP4)/2)</f>
        <v>0.3</v>
      </c>
      <c r="MC4" s="61">
        <f t="shared" ref="MC4:MC14" si="94">IF($BY4="P",BM4,(BM4+AQ4)/2)</f>
        <v>26.049999999999997</v>
      </c>
      <c r="MD4" s="61">
        <f t="shared" ref="MD4:MD14" si="95">IF($BY4="P",BN4,(BN4+AR4)/2)</f>
        <v>3.65</v>
      </c>
      <c r="ME4" s="61">
        <f t="shared" ref="ME4:ME14" si="96">IF($BY4="P",BO4,(BO4+AS4)/2)</f>
        <v>0</v>
      </c>
      <c r="MF4" s="61">
        <f t="shared" ref="MF4:MF14" si="97">IF($BY4="P",BP4,(BP4+AT4)/2)</f>
        <v>0.15</v>
      </c>
      <c r="MG4" s="61">
        <f t="shared" ref="MG4:MG14" si="98">IF($BY4="P",BQ4,(BQ4+AU4)/2)</f>
        <v>26.2</v>
      </c>
      <c r="MH4" s="61">
        <f t="shared" ref="MH4:MH14" si="99">IF($BY4="P",BR4,(BR4+AV4)/2)</f>
        <v>3.75</v>
      </c>
      <c r="MI4" s="61">
        <f t="shared" ref="MI4:MI14" si="100">IF($BY4="P",BS4,(BS4+AW4)/2)</f>
        <v>0.1</v>
      </c>
      <c r="MJ4" s="61">
        <f t="shared" ref="MJ4:MJ14" si="101">IF($BY4="P",BT4,(BT4+AX4)/2)</f>
        <v>0.15</v>
      </c>
      <c r="MK4" s="61">
        <f t="shared" ref="MK4:MK14" si="102">IF($BY4="P",BU4,(BU4+AY4)/2)</f>
        <v>25.8</v>
      </c>
      <c r="ML4" s="61">
        <f t="shared" ref="ML4:ML14" si="103">IF($BY4="P",BV4,(BV4+AZ4)/2)</f>
        <v>4.0999999999999996</v>
      </c>
      <c r="MM4" s="61">
        <f t="shared" ref="MM4:MM14" si="104">IF($BY4="P",BW4,(BW4+BA4)/2)</f>
        <v>0.1</v>
      </c>
      <c r="MN4" s="61">
        <f t="shared" ref="MN4:MN14" si="105">IF($BY4="P",BX4,(BX4+BB4)/2)</f>
        <v>0.3</v>
      </c>
      <c r="MO4" s="72" t="s">
        <v>52</v>
      </c>
      <c r="MP4" s="11">
        <f t="shared" ref="MP4:MP14" si="106">IF(SUM(LZ4,MD4)&gt;0,SUM(LZ4,MD4),"")</f>
        <v>7.55</v>
      </c>
      <c r="MQ4" s="11">
        <f t="shared" ref="MQ4:MQ14" si="107">IF(SUM(LY4:LZ4,MB4:MD4,MF4)-MA4-ME4&gt;0,SUM(LY4:LZ4,MB4:MD4,MF4)-MA4-ME4,"")</f>
        <v>59.5</v>
      </c>
      <c r="MR4" s="11">
        <f t="shared" ref="MR4:MR14" si="108">IF(SUM(MH4,ML4)&gt;0,SUM(MH4,ML4),"")</f>
        <v>7.85</v>
      </c>
      <c r="MS4" s="11">
        <f t="shared" ref="MS4:MS14" si="109">IF(SUM(MG4:MH4,MJ4:ML4,MN4)-SUM(MI4,MM4)&gt;0,SUM(MG4:MH4,MJ4:ML4,MN4)-SUM(MI4,MM4),"")</f>
        <v>60.099999999999994</v>
      </c>
      <c r="MT4" s="11">
        <f t="shared" ref="MT4:MT14" si="110">IF(SUM(MQ4,MS4)&gt;0,SUM(MQ4,MS4),"")</f>
        <v>119.6</v>
      </c>
    </row>
    <row r="5" spans="1:358" x14ac:dyDescent="0.2">
      <c r="A5" s="5">
        <f t="shared" si="0"/>
        <v>2</v>
      </c>
      <c r="B5" s="6" t="s">
        <v>147</v>
      </c>
      <c r="C5" s="7" t="s">
        <v>3</v>
      </c>
      <c r="D5" s="26">
        <v>2003</v>
      </c>
      <c r="E5" s="15">
        <f t="shared" si="1"/>
        <v>120.69999999999999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59.999999999999993</v>
      </c>
      <c r="K5" s="14" t="str">
        <f t="shared" si="7"/>
        <v>2021 Canadian Championships</v>
      </c>
      <c r="L5" s="14">
        <f t="shared" si="8"/>
        <v>60.699999999999996</v>
      </c>
      <c r="M5" s="14" t="str">
        <f t="shared" si="9"/>
        <v/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72"/>
      <c r="AH5" s="11" t="str">
        <f t="shared" si="13"/>
        <v/>
      </c>
      <c r="AI5" s="11" t="str">
        <f t="shared" si="14"/>
        <v/>
      </c>
      <c r="AJ5" s="11" t="str">
        <f t="shared" si="15"/>
        <v/>
      </c>
      <c r="AK5" s="11" t="str">
        <f t="shared" si="16"/>
        <v/>
      </c>
      <c r="AL5" s="11" t="str">
        <f t="shared" si="17"/>
        <v/>
      </c>
      <c r="AM5" s="36">
        <v>25.4</v>
      </c>
      <c r="AN5" s="36">
        <v>4.0999999999999996</v>
      </c>
      <c r="AO5" s="36">
        <v>0.3</v>
      </c>
      <c r="AP5" s="36">
        <v>0.3</v>
      </c>
      <c r="AQ5" s="36">
        <v>25.3</v>
      </c>
      <c r="AR5" s="36">
        <v>3.9</v>
      </c>
      <c r="AS5" s="36">
        <v>0</v>
      </c>
      <c r="AT5" s="36">
        <v>0.3</v>
      </c>
      <c r="AU5" s="36">
        <v>25.7</v>
      </c>
      <c r="AV5" s="36">
        <v>4.0999999999999996</v>
      </c>
      <c r="AW5" s="36">
        <v>0.3</v>
      </c>
      <c r="AX5" s="36">
        <v>0.3</v>
      </c>
      <c r="AY5" s="36">
        <v>25.1</v>
      </c>
      <c r="AZ5" s="36">
        <v>3.9</v>
      </c>
      <c r="BA5" s="36">
        <v>0.3</v>
      </c>
      <c r="BB5" s="36">
        <v>0.3</v>
      </c>
      <c r="BC5" s="73"/>
      <c r="BD5" s="14">
        <f t="shared" si="18"/>
        <v>8</v>
      </c>
      <c r="BE5" s="14">
        <f t="shared" si="19"/>
        <v>59</v>
      </c>
      <c r="BF5" s="14">
        <f t="shared" si="20"/>
        <v>8</v>
      </c>
      <c r="BG5" s="14">
        <f t="shared" si="21"/>
        <v>58.8</v>
      </c>
      <c r="BH5" s="14">
        <f t="shared" si="22"/>
        <v>117.8</v>
      </c>
      <c r="BI5" s="37">
        <v>25.5</v>
      </c>
      <c r="BJ5" s="37">
        <v>3.9</v>
      </c>
      <c r="BK5" s="37">
        <v>0</v>
      </c>
      <c r="BL5" s="37">
        <v>0.3</v>
      </c>
      <c r="BM5" s="37">
        <v>25.9</v>
      </c>
      <c r="BN5" s="37">
        <v>4.0999999999999996</v>
      </c>
      <c r="BO5" s="37">
        <v>0</v>
      </c>
      <c r="BP5" s="37">
        <v>0.3</v>
      </c>
      <c r="BQ5" s="37">
        <v>26.1</v>
      </c>
      <c r="BR5" s="37">
        <v>3.9</v>
      </c>
      <c r="BS5" s="37">
        <v>0</v>
      </c>
      <c r="BT5" s="37">
        <v>0.3</v>
      </c>
      <c r="BU5" s="37">
        <v>26</v>
      </c>
      <c r="BV5" s="37">
        <v>4.0999999999999996</v>
      </c>
      <c r="BW5" s="37">
        <v>0</v>
      </c>
      <c r="BX5" s="37">
        <v>0.3</v>
      </c>
      <c r="BY5" s="72"/>
      <c r="BZ5" s="11">
        <f t="shared" si="23"/>
        <v>8</v>
      </c>
      <c r="CA5" s="11">
        <f t="shared" si="24"/>
        <v>59.999999999999993</v>
      </c>
      <c r="CB5" s="11">
        <f t="shared" si="25"/>
        <v>8</v>
      </c>
      <c r="CC5" s="11">
        <f t="shared" si="26"/>
        <v>60.699999999999996</v>
      </c>
      <c r="CD5" s="11">
        <f t="shared" si="27"/>
        <v>120.69999999999999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25.45</v>
      </c>
      <c r="LZ5" s="61">
        <f t="shared" si="91"/>
        <v>4</v>
      </c>
      <c r="MA5" s="61">
        <f t="shared" si="92"/>
        <v>0.15</v>
      </c>
      <c r="MB5" s="61">
        <f t="shared" si="93"/>
        <v>0.3</v>
      </c>
      <c r="MC5" s="61">
        <f t="shared" si="94"/>
        <v>25.6</v>
      </c>
      <c r="MD5" s="61">
        <f t="shared" si="95"/>
        <v>4</v>
      </c>
      <c r="ME5" s="61">
        <f t="shared" si="96"/>
        <v>0</v>
      </c>
      <c r="MF5" s="61">
        <f t="shared" si="97"/>
        <v>0.3</v>
      </c>
      <c r="MG5" s="61">
        <f t="shared" si="98"/>
        <v>25.9</v>
      </c>
      <c r="MH5" s="61">
        <f t="shared" si="99"/>
        <v>4</v>
      </c>
      <c r="MI5" s="61">
        <f t="shared" si="100"/>
        <v>0.15</v>
      </c>
      <c r="MJ5" s="61">
        <f t="shared" si="101"/>
        <v>0.3</v>
      </c>
      <c r="MK5" s="61">
        <f t="shared" si="102"/>
        <v>25.55</v>
      </c>
      <c r="ML5" s="61">
        <f t="shared" si="103"/>
        <v>4</v>
      </c>
      <c r="MM5" s="61">
        <f t="shared" si="104"/>
        <v>0.15</v>
      </c>
      <c r="MN5" s="61">
        <f t="shared" si="105"/>
        <v>0.3</v>
      </c>
      <c r="MO5" s="72" t="s">
        <v>52</v>
      </c>
      <c r="MP5" s="11">
        <f t="shared" si="106"/>
        <v>8</v>
      </c>
      <c r="MQ5" s="11">
        <f t="shared" si="107"/>
        <v>59.5</v>
      </c>
      <c r="MR5" s="11">
        <f t="shared" si="108"/>
        <v>8</v>
      </c>
      <c r="MS5" s="11">
        <f t="shared" si="109"/>
        <v>59.75</v>
      </c>
      <c r="MT5" s="11">
        <f t="shared" si="110"/>
        <v>119.25</v>
      </c>
    </row>
    <row r="6" spans="1:358" x14ac:dyDescent="0.2">
      <c r="A6" s="5" t="str">
        <f t="shared" si="0"/>
        <v/>
      </c>
      <c r="B6" s="6" t="s">
        <v>107</v>
      </c>
      <c r="C6" s="7" t="s">
        <v>5</v>
      </c>
      <c r="D6" s="26">
        <v>2004</v>
      </c>
      <c r="E6" s="15">
        <f t="shared" si="1"/>
        <v>118</v>
      </c>
      <c r="F6" s="3" t="str">
        <f t="shared" si="2"/>
        <v/>
      </c>
      <c r="G6" s="3" t="str">
        <f t="shared" si="3"/>
        <v/>
      </c>
      <c r="H6" s="116" t="str">
        <f t="shared" si="4"/>
        <v/>
      </c>
      <c r="I6" s="3" t="str">
        <f t="shared" si="5"/>
        <v/>
      </c>
      <c r="J6" s="14">
        <f t="shared" si="6"/>
        <v>57.699999999999996</v>
      </c>
      <c r="K6" s="14" t="str">
        <f t="shared" si="7"/>
        <v>2021 Canadian Championships</v>
      </c>
      <c r="L6" s="14">
        <f t="shared" si="8"/>
        <v>60.3</v>
      </c>
      <c r="M6" s="14" t="str">
        <f t="shared" si="9"/>
        <v/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37">
        <v>23.8</v>
      </c>
      <c r="R6" s="37">
        <v>1.2</v>
      </c>
      <c r="S6" s="37">
        <v>0</v>
      </c>
      <c r="T6" s="37">
        <v>0</v>
      </c>
      <c r="U6" s="37">
        <v>17.2</v>
      </c>
      <c r="V6" s="37">
        <v>1.6</v>
      </c>
      <c r="W6" s="37">
        <v>0</v>
      </c>
      <c r="X6" s="37">
        <v>0.3</v>
      </c>
      <c r="Y6" s="37">
        <v>24</v>
      </c>
      <c r="Z6" s="37">
        <v>3.2</v>
      </c>
      <c r="AA6" s="37">
        <v>0</v>
      </c>
      <c r="AB6" s="37">
        <v>0</v>
      </c>
      <c r="AC6" s="37">
        <v>21.2</v>
      </c>
      <c r="AD6" s="37">
        <v>1.9</v>
      </c>
      <c r="AE6" s="37">
        <v>0</v>
      </c>
      <c r="AF6" s="37">
        <v>0.3</v>
      </c>
      <c r="AG6" s="72"/>
      <c r="AH6" s="11">
        <f t="shared" si="13"/>
        <v>2.8</v>
      </c>
      <c r="AI6" s="11">
        <f t="shared" si="14"/>
        <v>44.1</v>
      </c>
      <c r="AJ6" s="11">
        <f t="shared" si="15"/>
        <v>5.0999999999999996</v>
      </c>
      <c r="AK6" s="11">
        <f t="shared" si="16"/>
        <v>50.599999999999994</v>
      </c>
      <c r="AL6" s="11">
        <f t="shared" si="17"/>
        <v>94.699999999999989</v>
      </c>
      <c r="AM6" s="36">
        <v>23.8</v>
      </c>
      <c r="AN6" s="36">
        <v>3.2</v>
      </c>
      <c r="AO6" s="36">
        <v>0</v>
      </c>
      <c r="AP6" s="36">
        <v>0</v>
      </c>
      <c r="AQ6" s="36">
        <v>24.7</v>
      </c>
      <c r="AR6" s="36">
        <v>2.4</v>
      </c>
      <c r="AS6" s="36">
        <v>0.6</v>
      </c>
      <c r="AT6" s="36">
        <v>0.3</v>
      </c>
      <c r="AU6" s="36">
        <v>25</v>
      </c>
      <c r="AV6" s="36">
        <v>3.4</v>
      </c>
      <c r="AW6" s="36">
        <v>0</v>
      </c>
      <c r="AX6" s="36">
        <v>0</v>
      </c>
      <c r="AY6" s="36">
        <v>23</v>
      </c>
      <c r="AZ6" s="36">
        <v>3.9</v>
      </c>
      <c r="BA6" s="36">
        <v>0</v>
      </c>
      <c r="BB6" s="36">
        <v>0.3</v>
      </c>
      <c r="BC6" s="73"/>
      <c r="BD6" s="14">
        <f t="shared" si="18"/>
        <v>5.6</v>
      </c>
      <c r="BE6" s="14">
        <f t="shared" si="19"/>
        <v>53.8</v>
      </c>
      <c r="BF6" s="14">
        <f t="shared" si="20"/>
        <v>7.3</v>
      </c>
      <c r="BG6" s="14">
        <f t="shared" si="21"/>
        <v>55.599999999999994</v>
      </c>
      <c r="BH6" s="14">
        <f t="shared" si="22"/>
        <v>109.39999999999999</v>
      </c>
      <c r="BI6" s="37">
        <v>26.2</v>
      </c>
      <c r="BJ6" s="37">
        <v>3.4</v>
      </c>
      <c r="BK6" s="37">
        <v>0</v>
      </c>
      <c r="BL6" s="37">
        <v>0</v>
      </c>
      <c r="BM6" s="37">
        <v>24</v>
      </c>
      <c r="BN6" s="37">
        <v>3.5</v>
      </c>
      <c r="BO6" s="37">
        <v>0</v>
      </c>
      <c r="BP6" s="37">
        <v>0.6</v>
      </c>
      <c r="BQ6" s="37">
        <v>26</v>
      </c>
      <c r="BR6" s="37">
        <v>3.4</v>
      </c>
      <c r="BS6" s="37">
        <v>0</v>
      </c>
      <c r="BT6" s="37">
        <v>0</v>
      </c>
      <c r="BU6" s="37">
        <v>25.7</v>
      </c>
      <c r="BV6" s="37">
        <v>4.5999999999999996</v>
      </c>
      <c r="BW6" s="37">
        <v>0</v>
      </c>
      <c r="BX6" s="37">
        <v>0.6</v>
      </c>
      <c r="BY6" s="72"/>
      <c r="BZ6" s="11">
        <f t="shared" si="23"/>
        <v>6.9</v>
      </c>
      <c r="CA6" s="11">
        <f t="shared" si="24"/>
        <v>57.699999999999996</v>
      </c>
      <c r="CB6" s="11">
        <f t="shared" si="25"/>
        <v>8</v>
      </c>
      <c r="CC6" s="11">
        <f t="shared" si="26"/>
        <v>60.3</v>
      </c>
      <c r="CD6" s="11">
        <f t="shared" si="27"/>
        <v>118</v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25</v>
      </c>
      <c r="LZ6" s="61">
        <f t="shared" si="91"/>
        <v>3.3</v>
      </c>
      <c r="MA6" s="61">
        <f t="shared" si="92"/>
        <v>0</v>
      </c>
      <c r="MB6" s="61">
        <f t="shared" si="93"/>
        <v>0</v>
      </c>
      <c r="MC6" s="61">
        <f t="shared" si="94"/>
        <v>24.35</v>
      </c>
      <c r="MD6" s="61">
        <f t="shared" si="95"/>
        <v>2.95</v>
      </c>
      <c r="ME6" s="61">
        <f t="shared" si="96"/>
        <v>0.3</v>
      </c>
      <c r="MF6" s="61">
        <f t="shared" si="97"/>
        <v>0.44999999999999996</v>
      </c>
      <c r="MG6" s="61">
        <f t="shared" si="98"/>
        <v>25.5</v>
      </c>
      <c r="MH6" s="61">
        <f t="shared" si="99"/>
        <v>3.4</v>
      </c>
      <c r="MI6" s="61">
        <f t="shared" si="100"/>
        <v>0</v>
      </c>
      <c r="MJ6" s="61">
        <f t="shared" si="101"/>
        <v>0</v>
      </c>
      <c r="MK6" s="61">
        <f t="shared" si="102"/>
        <v>24.35</v>
      </c>
      <c r="ML6" s="61">
        <f t="shared" si="103"/>
        <v>4.25</v>
      </c>
      <c r="MM6" s="61">
        <f t="shared" si="104"/>
        <v>0</v>
      </c>
      <c r="MN6" s="61">
        <f t="shared" si="105"/>
        <v>0.44999999999999996</v>
      </c>
      <c r="MO6" s="72" t="s">
        <v>52</v>
      </c>
      <c r="MP6" s="11">
        <f t="shared" si="106"/>
        <v>6.25</v>
      </c>
      <c r="MQ6" s="11">
        <f t="shared" si="107"/>
        <v>55.750000000000014</v>
      </c>
      <c r="MR6" s="11">
        <f t="shared" si="108"/>
        <v>7.65</v>
      </c>
      <c r="MS6" s="11">
        <f t="shared" si="109"/>
        <v>57.95</v>
      </c>
      <c r="MT6" s="11">
        <f t="shared" si="110"/>
        <v>113.70000000000002</v>
      </c>
    </row>
    <row r="7" spans="1:358" x14ac:dyDescent="0.2">
      <c r="A7" s="5" t="str">
        <f t="shared" si="0"/>
        <v/>
      </c>
      <c r="B7" s="6" t="s">
        <v>67</v>
      </c>
      <c r="C7" s="7" t="s">
        <v>3</v>
      </c>
      <c r="D7" s="26">
        <v>2003</v>
      </c>
      <c r="E7" s="15">
        <f t="shared" si="1"/>
        <v>117.9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58.7</v>
      </c>
      <c r="K7" s="14" t="str">
        <f t="shared" si="7"/>
        <v>2021 Canadian Championships</v>
      </c>
      <c r="L7" s="14">
        <f t="shared" si="8"/>
        <v>59.199999999999996</v>
      </c>
      <c r="M7" s="14" t="str">
        <f t="shared" si="9"/>
        <v/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37">
        <v>26</v>
      </c>
      <c r="R7" s="37">
        <v>3.6</v>
      </c>
      <c r="S7" s="37">
        <v>0</v>
      </c>
      <c r="T7" s="37">
        <v>0</v>
      </c>
      <c r="U7" s="37">
        <v>24.2</v>
      </c>
      <c r="V7" s="37">
        <v>4.5</v>
      </c>
      <c r="W7" s="37">
        <v>0</v>
      </c>
      <c r="X7" s="37">
        <v>0.3</v>
      </c>
      <c r="Y7" s="37">
        <v>25.6</v>
      </c>
      <c r="Z7" s="37">
        <v>3.6</v>
      </c>
      <c r="AA7" s="37">
        <v>0</v>
      </c>
      <c r="AB7" s="37">
        <v>0</v>
      </c>
      <c r="AC7" s="37">
        <v>24.4</v>
      </c>
      <c r="AD7" s="37">
        <v>4.3</v>
      </c>
      <c r="AE7" s="37">
        <v>0</v>
      </c>
      <c r="AF7" s="37">
        <v>0.3</v>
      </c>
      <c r="AG7" s="72"/>
      <c r="AH7" s="11">
        <f t="shared" si="13"/>
        <v>8.1</v>
      </c>
      <c r="AI7" s="11">
        <f t="shared" si="14"/>
        <v>58.599999999999994</v>
      </c>
      <c r="AJ7" s="11">
        <f t="shared" si="15"/>
        <v>7.9</v>
      </c>
      <c r="AK7" s="11">
        <f t="shared" si="16"/>
        <v>58.199999999999996</v>
      </c>
      <c r="AL7" s="11">
        <f t="shared" si="17"/>
        <v>116.79999999999998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 t="shared" si="18"/>
        <v/>
      </c>
      <c r="BE7" s="14" t="str">
        <f t="shared" si="19"/>
        <v/>
      </c>
      <c r="BF7" s="14" t="str">
        <f t="shared" si="20"/>
        <v/>
      </c>
      <c r="BG7" s="14" t="str">
        <f t="shared" si="21"/>
        <v/>
      </c>
      <c r="BH7" s="14" t="str">
        <f t="shared" si="22"/>
        <v/>
      </c>
      <c r="BI7" s="37">
        <v>25.5</v>
      </c>
      <c r="BJ7" s="37">
        <v>3.6</v>
      </c>
      <c r="BK7" s="37">
        <v>0.3</v>
      </c>
      <c r="BL7" s="37">
        <v>0</v>
      </c>
      <c r="BM7" s="37">
        <v>25.4</v>
      </c>
      <c r="BN7" s="37">
        <v>4.5</v>
      </c>
      <c r="BO7" s="37">
        <v>0.3</v>
      </c>
      <c r="BP7" s="37">
        <v>0.3</v>
      </c>
      <c r="BQ7" s="37">
        <v>26.3</v>
      </c>
      <c r="BR7" s="37">
        <v>3.6</v>
      </c>
      <c r="BS7" s="37">
        <v>0.3</v>
      </c>
      <c r="BT7" s="37">
        <v>0</v>
      </c>
      <c r="BU7" s="37">
        <v>25.1</v>
      </c>
      <c r="BV7" s="37">
        <v>4.5</v>
      </c>
      <c r="BW7" s="37">
        <v>0.3</v>
      </c>
      <c r="BX7" s="37">
        <v>0.3</v>
      </c>
      <c r="BY7" s="72"/>
      <c r="BZ7" s="11">
        <f t="shared" si="23"/>
        <v>8.1</v>
      </c>
      <c r="CA7" s="11">
        <f t="shared" si="24"/>
        <v>58.7</v>
      </c>
      <c r="CB7" s="11">
        <f t="shared" si="25"/>
        <v>8.1</v>
      </c>
      <c r="CC7" s="11">
        <f t="shared" si="26"/>
        <v>59.199999999999996</v>
      </c>
      <c r="CD7" s="11">
        <f t="shared" si="27"/>
        <v>117.9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12.75</v>
      </c>
      <c r="LZ7" s="61">
        <f t="shared" si="91"/>
        <v>1.8</v>
      </c>
      <c r="MA7" s="61">
        <f t="shared" si="92"/>
        <v>0.15</v>
      </c>
      <c r="MB7" s="61">
        <f t="shared" si="93"/>
        <v>0</v>
      </c>
      <c r="MC7" s="61">
        <f t="shared" si="94"/>
        <v>12.7</v>
      </c>
      <c r="MD7" s="61">
        <f t="shared" si="95"/>
        <v>2.25</v>
      </c>
      <c r="ME7" s="61">
        <f t="shared" si="96"/>
        <v>0.15</v>
      </c>
      <c r="MF7" s="61">
        <f t="shared" si="97"/>
        <v>0.15</v>
      </c>
      <c r="MG7" s="61">
        <f t="shared" si="98"/>
        <v>13.15</v>
      </c>
      <c r="MH7" s="61">
        <f t="shared" si="99"/>
        <v>1.8</v>
      </c>
      <c r="MI7" s="61">
        <f t="shared" si="100"/>
        <v>0.15</v>
      </c>
      <c r="MJ7" s="61">
        <f t="shared" si="101"/>
        <v>0</v>
      </c>
      <c r="MK7" s="61">
        <f t="shared" si="102"/>
        <v>12.55</v>
      </c>
      <c r="ML7" s="61">
        <f t="shared" si="103"/>
        <v>2.25</v>
      </c>
      <c r="MM7" s="61">
        <f t="shared" si="104"/>
        <v>0.15</v>
      </c>
      <c r="MN7" s="61">
        <f t="shared" si="105"/>
        <v>0.15</v>
      </c>
      <c r="MO7" s="72" t="s">
        <v>52</v>
      </c>
      <c r="MP7" s="11">
        <f t="shared" si="106"/>
        <v>4.05</v>
      </c>
      <c r="MQ7" s="11">
        <f t="shared" si="107"/>
        <v>29.35</v>
      </c>
      <c r="MR7" s="11">
        <f t="shared" si="108"/>
        <v>4.05</v>
      </c>
      <c r="MS7" s="11">
        <f t="shared" si="109"/>
        <v>29.599999999999998</v>
      </c>
      <c r="MT7" s="11">
        <f t="shared" si="110"/>
        <v>58.95</v>
      </c>
    </row>
    <row r="8" spans="1:358" x14ac:dyDescent="0.2">
      <c r="A8" s="5" t="str">
        <f t="shared" si="0"/>
        <v/>
      </c>
      <c r="B8" s="6" t="s">
        <v>131</v>
      </c>
      <c r="C8" s="7" t="s">
        <v>4</v>
      </c>
      <c r="D8" s="26">
        <v>2002</v>
      </c>
      <c r="E8" s="15">
        <f t="shared" si="1"/>
        <v>117.6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59.4</v>
      </c>
      <c r="K8" s="14" t="str">
        <f t="shared" si="7"/>
        <v>2021 2nd Virtual Technical Trial</v>
      </c>
      <c r="L8" s="14">
        <f t="shared" si="8"/>
        <v>58.199999999999996</v>
      </c>
      <c r="M8" s="14" t="str">
        <f t="shared" si="9"/>
        <v/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37">
        <v>25</v>
      </c>
      <c r="R8" s="37">
        <v>3.9</v>
      </c>
      <c r="S8" s="37">
        <v>0</v>
      </c>
      <c r="T8" s="37">
        <v>0.3</v>
      </c>
      <c r="U8" s="37">
        <v>25.8</v>
      </c>
      <c r="V8" s="37">
        <v>4.0999999999999996</v>
      </c>
      <c r="W8" s="37">
        <v>0</v>
      </c>
      <c r="X8" s="37">
        <v>0.3</v>
      </c>
      <c r="Y8" s="37">
        <v>26.4</v>
      </c>
      <c r="Z8" s="37">
        <v>1.7</v>
      </c>
      <c r="AA8" s="37">
        <v>1.3</v>
      </c>
      <c r="AB8" s="37">
        <v>0</v>
      </c>
      <c r="AC8" s="37">
        <v>25.4</v>
      </c>
      <c r="AD8" s="37">
        <v>3.2</v>
      </c>
      <c r="AE8" s="37">
        <v>0.3</v>
      </c>
      <c r="AF8" s="37">
        <v>0</v>
      </c>
      <c r="AG8" s="72"/>
      <c r="AH8" s="11">
        <f t="shared" si="13"/>
        <v>8</v>
      </c>
      <c r="AI8" s="11">
        <f t="shared" si="14"/>
        <v>59.4</v>
      </c>
      <c r="AJ8" s="11">
        <f t="shared" si="15"/>
        <v>4.9000000000000004</v>
      </c>
      <c r="AK8" s="11">
        <f t="shared" si="16"/>
        <v>55.1</v>
      </c>
      <c r="AL8" s="11">
        <f t="shared" si="17"/>
        <v>114.5</v>
      </c>
      <c r="AM8" s="36">
        <v>23.7</v>
      </c>
      <c r="AN8" s="36">
        <v>3.9</v>
      </c>
      <c r="AO8" s="36">
        <v>0</v>
      </c>
      <c r="AP8" s="36">
        <v>0.3</v>
      </c>
      <c r="AQ8" s="36">
        <v>24.7</v>
      </c>
      <c r="AR8" s="36">
        <v>4.0999999999999996</v>
      </c>
      <c r="AS8" s="36">
        <v>0</v>
      </c>
      <c r="AT8" s="36">
        <v>0.3</v>
      </c>
      <c r="AU8" s="36">
        <v>24.6</v>
      </c>
      <c r="AV8" s="36">
        <v>3.9</v>
      </c>
      <c r="AW8" s="36">
        <v>0</v>
      </c>
      <c r="AX8" s="36">
        <v>0.3</v>
      </c>
      <c r="AY8" s="36">
        <v>23.7</v>
      </c>
      <c r="AZ8" s="36">
        <v>4.0999999999999996</v>
      </c>
      <c r="BA8" s="36">
        <v>0.6</v>
      </c>
      <c r="BB8" s="36">
        <v>0.3</v>
      </c>
      <c r="BC8" s="73"/>
      <c r="BD8" s="14">
        <f t="shared" si="18"/>
        <v>8</v>
      </c>
      <c r="BE8" s="14">
        <f t="shared" si="19"/>
        <v>56.999999999999993</v>
      </c>
      <c r="BF8" s="14">
        <f t="shared" si="20"/>
        <v>8</v>
      </c>
      <c r="BG8" s="14">
        <f t="shared" si="21"/>
        <v>56.3</v>
      </c>
      <c r="BH8" s="14">
        <f t="shared" si="22"/>
        <v>113.29999999999998</v>
      </c>
      <c r="BI8" s="37">
        <v>25</v>
      </c>
      <c r="BJ8" s="37">
        <v>3.9</v>
      </c>
      <c r="BK8" s="37">
        <v>0</v>
      </c>
      <c r="BL8" s="37">
        <v>0.3</v>
      </c>
      <c r="BM8" s="37">
        <v>24.4</v>
      </c>
      <c r="BN8" s="37">
        <v>2.4</v>
      </c>
      <c r="BO8" s="37">
        <v>0.6</v>
      </c>
      <c r="BP8" s="37">
        <v>0.3</v>
      </c>
      <c r="BQ8" s="37">
        <v>25</v>
      </c>
      <c r="BR8" s="37">
        <v>3.9</v>
      </c>
      <c r="BS8" s="37">
        <v>0.3</v>
      </c>
      <c r="BT8" s="37">
        <v>0.3</v>
      </c>
      <c r="BU8" s="37">
        <v>24.9</v>
      </c>
      <c r="BV8" s="37">
        <v>4.0999999999999996</v>
      </c>
      <c r="BW8" s="37">
        <v>0</v>
      </c>
      <c r="BX8" s="37">
        <v>0.3</v>
      </c>
      <c r="BY8" s="72"/>
      <c r="BZ8" s="11">
        <f t="shared" si="23"/>
        <v>6.3</v>
      </c>
      <c r="CA8" s="11">
        <f t="shared" si="24"/>
        <v>55.699999999999989</v>
      </c>
      <c r="CB8" s="11">
        <f t="shared" si="25"/>
        <v>8</v>
      </c>
      <c r="CC8" s="11">
        <f t="shared" si="26"/>
        <v>58.199999999999996</v>
      </c>
      <c r="CD8" s="11">
        <f t="shared" si="27"/>
        <v>113.89999999999998</v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24.35</v>
      </c>
      <c r="LZ8" s="61">
        <f t="shared" si="91"/>
        <v>3.9</v>
      </c>
      <c r="MA8" s="61">
        <f t="shared" si="92"/>
        <v>0</v>
      </c>
      <c r="MB8" s="61">
        <f t="shared" si="93"/>
        <v>0.3</v>
      </c>
      <c r="MC8" s="61">
        <f t="shared" si="94"/>
        <v>24.549999999999997</v>
      </c>
      <c r="MD8" s="61">
        <f t="shared" si="95"/>
        <v>3.25</v>
      </c>
      <c r="ME8" s="61">
        <f t="shared" si="96"/>
        <v>0.3</v>
      </c>
      <c r="MF8" s="61">
        <f t="shared" si="97"/>
        <v>0.3</v>
      </c>
      <c r="MG8" s="61">
        <f t="shared" si="98"/>
        <v>24.8</v>
      </c>
      <c r="MH8" s="61">
        <f t="shared" si="99"/>
        <v>3.9</v>
      </c>
      <c r="MI8" s="61">
        <f t="shared" si="100"/>
        <v>0.15</v>
      </c>
      <c r="MJ8" s="61">
        <f t="shared" si="101"/>
        <v>0.3</v>
      </c>
      <c r="MK8" s="61">
        <f t="shared" si="102"/>
        <v>24.299999999999997</v>
      </c>
      <c r="ML8" s="61">
        <f t="shared" si="103"/>
        <v>4.0999999999999996</v>
      </c>
      <c r="MM8" s="61">
        <f t="shared" si="104"/>
        <v>0.3</v>
      </c>
      <c r="MN8" s="61">
        <f t="shared" si="105"/>
        <v>0.3</v>
      </c>
      <c r="MO8" s="72" t="s">
        <v>52</v>
      </c>
      <c r="MP8" s="11">
        <f t="shared" si="106"/>
        <v>7.15</v>
      </c>
      <c r="MQ8" s="11">
        <f t="shared" si="107"/>
        <v>56.349999999999994</v>
      </c>
      <c r="MR8" s="11">
        <f t="shared" si="108"/>
        <v>8</v>
      </c>
      <c r="MS8" s="11">
        <f t="shared" si="109"/>
        <v>57.249999999999993</v>
      </c>
      <c r="MT8" s="11">
        <f t="shared" si="110"/>
        <v>113.6</v>
      </c>
    </row>
    <row r="9" spans="1:358" x14ac:dyDescent="0.2">
      <c r="A9" s="5" t="str">
        <f t="shared" si="0"/>
        <v/>
      </c>
      <c r="B9" s="6" t="s">
        <v>84</v>
      </c>
      <c r="C9" s="7" t="s">
        <v>3</v>
      </c>
      <c r="D9" s="26">
        <v>2004</v>
      </c>
      <c r="E9" s="15">
        <f t="shared" si="1"/>
        <v>115.6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57.699999999999996</v>
      </c>
      <c r="K9" s="14" t="str">
        <f t="shared" si="7"/>
        <v>2021 2nd Virtual Technical Trial</v>
      </c>
      <c r="L9" s="14">
        <f t="shared" si="8"/>
        <v>57.9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37">
        <v>25.6</v>
      </c>
      <c r="R9" s="37">
        <v>3.6</v>
      </c>
      <c r="S9" s="37">
        <v>0</v>
      </c>
      <c r="T9" s="37">
        <v>0</v>
      </c>
      <c r="U9" s="37">
        <v>23.9</v>
      </c>
      <c r="V9" s="37">
        <v>4.3</v>
      </c>
      <c r="W9" s="37">
        <v>0</v>
      </c>
      <c r="X9" s="37">
        <v>0.3</v>
      </c>
      <c r="Y9" s="37">
        <v>25.6</v>
      </c>
      <c r="Z9" s="37">
        <v>3.2</v>
      </c>
      <c r="AA9" s="37">
        <v>0.4</v>
      </c>
      <c r="AB9" s="37">
        <v>0</v>
      </c>
      <c r="AC9" s="37">
        <v>24.9</v>
      </c>
      <c r="AD9" s="37">
        <v>4.3</v>
      </c>
      <c r="AE9" s="37">
        <v>0</v>
      </c>
      <c r="AF9" s="37">
        <v>0.3</v>
      </c>
      <c r="AG9" s="72"/>
      <c r="AH9" s="11">
        <f t="shared" si="13"/>
        <v>7.9</v>
      </c>
      <c r="AI9" s="11">
        <f t="shared" si="14"/>
        <v>57.699999999999996</v>
      </c>
      <c r="AJ9" s="11">
        <f t="shared" si="15"/>
        <v>7.5</v>
      </c>
      <c r="AK9" s="11">
        <f t="shared" si="16"/>
        <v>57.9</v>
      </c>
      <c r="AL9" s="11">
        <f t="shared" si="17"/>
        <v>115.6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0</v>
      </c>
      <c r="LZ9" s="61">
        <f t="shared" si="91"/>
        <v>0</v>
      </c>
      <c r="MA9" s="61">
        <f t="shared" si="92"/>
        <v>0</v>
      </c>
      <c r="MB9" s="61">
        <f t="shared" si="93"/>
        <v>0</v>
      </c>
      <c r="MC9" s="61">
        <f t="shared" si="94"/>
        <v>0</v>
      </c>
      <c r="MD9" s="61">
        <f t="shared" si="95"/>
        <v>0</v>
      </c>
      <c r="ME9" s="61">
        <f t="shared" si="96"/>
        <v>0</v>
      </c>
      <c r="MF9" s="61">
        <f t="shared" si="97"/>
        <v>0</v>
      </c>
      <c r="MG9" s="61">
        <f t="shared" si="98"/>
        <v>0</v>
      </c>
      <c r="MH9" s="61">
        <f t="shared" si="99"/>
        <v>0</v>
      </c>
      <c r="MI9" s="61">
        <f t="shared" si="100"/>
        <v>0</v>
      </c>
      <c r="MJ9" s="61">
        <f t="shared" si="101"/>
        <v>0</v>
      </c>
      <c r="MK9" s="61">
        <f t="shared" si="102"/>
        <v>0</v>
      </c>
      <c r="ML9" s="61">
        <f t="shared" si="103"/>
        <v>0</v>
      </c>
      <c r="MM9" s="61">
        <f t="shared" si="104"/>
        <v>0</v>
      </c>
      <c r="MN9" s="61">
        <f t="shared" si="105"/>
        <v>0</v>
      </c>
      <c r="MO9" s="72" t="s">
        <v>52</v>
      </c>
      <c r="MP9" s="11" t="str">
        <f t="shared" si="106"/>
        <v/>
      </c>
      <c r="MQ9" s="11" t="str">
        <f t="shared" si="107"/>
        <v/>
      </c>
      <c r="MR9" s="11" t="str">
        <f t="shared" si="108"/>
        <v/>
      </c>
      <c r="MS9" s="11" t="str">
        <f t="shared" si="109"/>
        <v/>
      </c>
      <c r="MT9" s="11" t="str">
        <f t="shared" si="110"/>
        <v/>
      </c>
    </row>
    <row r="10" spans="1:358" x14ac:dyDescent="0.2">
      <c r="A10" s="5" t="str">
        <f t="shared" si="0"/>
        <v/>
      </c>
      <c r="B10" s="6" t="s">
        <v>115</v>
      </c>
      <c r="C10" s="7" t="s">
        <v>5</v>
      </c>
      <c r="D10" s="26">
        <v>2001</v>
      </c>
      <c r="E10" s="15">
        <f t="shared" si="1"/>
        <v>114.29999999999998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57.899999999999991</v>
      </c>
      <c r="K10" s="14" t="str">
        <f t="shared" si="7"/>
        <v>2021 Canadian Championships</v>
      </c>
      <c r="L10" s="14">
        <f t="shared" si="8"/>
        <v>56.4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37">
        <v>23.3</v>
      </c>
      <c r="R10" s="37">
        <v>1.2</v>
      </c>
      <c r="S10" s="37">
        <v>0</v>
      </c>
      <c r="T10" s="37">
        <v>0</v>
      </c>
      <c r="U10" s="37">
        <v>24.2</v>
      </c>
      <c r="V10" s="37">
        <v>2.5</v>
      </c>
      <c r="W10" s="37">
        <v>0.5</v>
      </c>
      <c r="X10" s="37">
        <v>0.3</v>
      </c>
      <c r="Y10" s="37">
        <v>24.7</v>
      </c>
      <c r="Z10" s="37">
        <v>1.8</v>
      </c>
      <c r="AA10" s="37">
        <v>1.2</v>
      </c>
      <c r="AB10" s="37">
        <v>0</v>
      </c>
      <c r="AC10" s="37">
        <v>24.5</v>
      </c>
      <c r="AD10" s="37">
        <v>2.4</v>
      </c>
      <c r="AE10" s="37">
        <v>0.6</v>
      </c>
      <c r="AF10" s="37">
        <v>0.3</v>
      </c>
      <c r="AG10" s="72"/>
      <c r="AH10" s="11">
        <f t="shared" si="13"/>
        <v>3.7</v>
      </c>
      <c r="AI10" s="11">
        <f t="shared" si="14"/>
        <v>51</v>
      </c>
      <c r="AJ10" s="11">
        <f t="shared" si="15"/>
        <v>4.2</v>
      </c>
      <c r="AK10" s="11">
        <f t="shared" si="16"/>
        <v>51.9</v>
      </c>
      <c r="AL10" s="11">
        <f t="shared" si="17"/>
        <v>102.9</v>
      </c>
      <c r="AM10" s="36">
        <v>22.8</v>
      </c>
      <c r="AN10" s="36">
        <v>1.2</v>
      </c>
      <c r="AO10" s="36">
        <v>0</v>
      </c>
      <c r="AP10" s="36">
        <v>0</v>
      </c>
      <c r="AQ10" s="36">
        <v>24.3</v>
      </c>
      <c r="AR10" s="36">
        <v>2.4</v>
      </c>
      <c r="AS10" s="36">
        <v>0.6</v>
      </c>
      <c r="AT10" s="36">
        <v>0.3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 t="shared" si="18"/>
        <v>3.5999999999999996</v>
      </c>
      <c r="BE10" s="14">
        <f t="shared" si="19"/>
        <v>50.399999999999991</v>
      </c>
      <c r="BF10" s="14" t="str">
        <f t="shared" si="20"/>
        <v/>
      </c>
      <c r="BG10" s="14" t="str">
        <f t="shared" si="21"/>
        <v/>
      </c>
      <c r="BH10" s="14">
        <f t="shared" si="22"/>
        <v>50.399999999999991</v>
      </c>
      <c r="BI10" s="37">
        <v>25.8</v>
      </c>
      <c r="BJ10" s="37">
        <v>3.4</v>
      </c>
      <c r="BK10" s="37">
        <v>0</v>
      </c>
      <c r="BL10" s="37">
        <v>0</v>
      </c>
      <c r="BM10" s="37">
        <v>25.8</v>
      </c>
      <c r="BN10" s="37">
        <v>2.8</v>
      </c>
      <c r="BO10" s="37">
        <v>0.2</v>
      </c>
      <c r="BP10" s="37">
        <v>0.3</v>
      </c>
      <c r="BQ10" s="37">
        <v>26.6</v>
      </c>
      <c r="BR10" s="37">
        <v>1.8</v>
      </c>
      <c r="BS10" s="37">
        <v>1.2</v>
      </c>
      <c r="BT10" s="37">
        <v>0</v>
      </c>
      <c r="BU10" s="37">
        <v>26.3</v>
      </c>
      <c r="BV10" s="37">
        <v>2.8</v>
      </c>
      <c r="BW10" s="37">
        <v>0.2</v>
      </c>
      <c r="BX10" s="37">
        <v>0.3</v>
      </c>
      <c r="BY10" s="72"/>
      <c r="BZ10" s="11">
        <f t="shared" si="23"/>
        <v>6.1999999999999993</v>
      </c>
      <c r="CA10" s="11">
        <f t="shared" si="24"/>
        <v>57.899999999999991</v>
      </c>
      <c r="CB10" s="11">
        <f t="shared" si="25"/>
        <v>4.5999999999999996</v>
      </c>
      <c r="CC10" s="11">
        <f t="shared" si="26"/>
        <v>56.4</v>
      </c>
      <c r="CD10" s="11">
        <f t="shared" si="27"/>
        <v>114.29999999999998</v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24.3</v>
      </c>
      <c r="LZ10" s="61">
        <f t="shared" si="91"/>
        <v>2.2999999999999998</v>
      </c>
      <c r="MA10" s="61">
        <f t="shared" si="92"/>
        <v>0</v>
      </c>
      <c r="MB10" s="61">
        <f t="shared" si="93"/>
        <v>0</v>
      </c>
      <c r="MC10" s="61">
        <f t="shared" si="94"/>
        <v>25.05</v>
      </c>
      <c r="MD10" s="61">
        <f t="shared" si="95"/>
        <v>2.5999999999999996</v>
      </c>
      <c r="ME10" s="61">
        <f t="shared" si="96"/>
        <v>0.4</v>
      </c>
      <c r="MF10" s="61">
        <f t="shared" si="97"/>
        <v>0.3</v>
      </c>
      <c r="MG10" s="61">
        <f t="shared" si="98"/>
        <v>13.3</v>
      </c>
      <c r="MH10" s="61">
        <f t="shared" si="99"/>
        <v>0.9</v>
      </c>
      <c r="MI10" s="61">
        <f t="shared" si="100"/>
        <v>0.6</v>
      </c>
      <c r="MJ10" s="61">
        <f t="shared" si="101"/>
        <v>0</v>
      </c>
      <c r="MK10" s="61">
        <f t="shared" si="102"/>
        <v>13.15</v>
      </c>
      <c r="ML10" s="61">
        <f t="shared" si="103"/>
        <v>1.4</v>
      </c>
      <c r="MM10" s="61">
        <f t="shared" si="104"/>
        <v>0.1</v>
      </c>
      <c r="MN10" s="61">
        <f t="shared" si="105"/>
        <v>0.15</v>
      </c>
      <c r="MO10" s="72" t="s">
        <v>52</v>
      </c>
      <c r="MP10" s="11">
        <f t="shared" si="106"/>
        <v>4.8999999999999995</v>
      </c>
      <c r="MQ10" s="11">
        <f t="shared" si="107"/>
        <v>54.150000000000006</v>
      </c>
      <c r="MR10" s="11">
        <f t="shared" si="108"/>
        <v>2.2999999999999998</v>
      </c>
      <c r="MS10" s="11">
        <f t="shared" si="109"/>
        <v>28.2</v>
      </c>
      <c r="MT10" s="11">
        <f t="shared" si="110"/>
        <v>82.350000000000009</v>
      </c>
    </row>
    <row r="11" spans="1:358" x14ac:dyDescent="0.2">
      <c r="A11" s="5" t="str">
        <f t="shared" si="0"/>
        <v/>
      </c>
      <c r="B11" s="6" t="s">
        <v>124</v>
      </c>
      <c r="C11" s="7" t="s">
        <v>4</v>
      </c>
      <c r="D11" s="26">
        <v>2001</v>
      </c>
      <c r="E11" s="15">
        <f t="shared" si="1"/>
        <v>112.49999999999999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56.599999999999994</v>
      </c>
      <c r="K11" s="14" t="str">
        <f t="shared" si="7"/>
        <v>2021 Canadian Championships</v>
      </c>
      <c r="L11" s="14">
        <f t="shared" si="8"/>
        <v>55.899999999999991</v>
      </c>
      <c r="M11" s="14" t="str">
        <f t="shared" si="9"/>
        <v>2021 2nd Virtual Technical Trial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37">
        <v>24.8</v>
      </c>
      <c r="R11" s="37">
        <v>3.4</v>
      </c>
      <c r="S11" s="37">
        <v>0</v>
      </c>
      <c r="T11" s="37">
        <v>0</v>
      </c>
      <c r="U11" s="37">
        <v>23.7</v>
      </c>
      <c r="V11" s="37">
        <v>3.9</v>
      </c>
      <c r="W11" s="37">
        <v>0</v>
      </c>
      <c r="X11" s="37">
        <v>0.3</v>
      </c>
      <c r="Y11" s="37">
        <v>24.8</v>
      </c>
      <c r="Z11" s="37">
        <v>3.4</v>
      </c>
      <c r="AA11" s="37">
        <v>0</v>
      </c>
      <c r="AB11" s="37">
        <v>0</v>
      </c>
      <c r="AC11" s="37">
        <v>24.8</v>
      </c>
      <c r="AD11" s="37">
        <v>2.8</v>
      </c>
      <c r="AE11" s="37">
        <v>0.2</v>
      </c>
      <c r="AF11" s="37">
        <v>0.3</v>
      </c>
      <c r="AG11" s="72"/>
      <c r="AH11" s="11">
        <f t="shared" si="13"/>
        <v>7.3</v>
      </c>
      <c r="AI11" s="11">
        <f t="shared" si="14"/>
        <v>56.099999999999994</v>
      </c>
      <c r="AJ11" s="11">
        <f t="shared" si="15"/>
        <v>6.1999999999999993</v>
      </c>
      <c r="AK11" s="11">
        <f t="shared" si="16"/>
        <v>55.899999999999991</v>
      </c>
      <c r="AL11" s="11">
        <f t="shared" si="17"/>
        <v>111.99999999999999</v>
      </c>
      <c r="AM11" s="36">
        <v>22.5</v>
      </c>
      <c r="AN11" s="36">
        <v>3.4</v>
      </c>
      <c r="AO11" s="36">
        <v>0</v>
      </c>
      <c r="AP11" s="36">
        <v>0</v>
      </c>
      <c r="AQ11" s="36">
        <v>22.6</v>
      </c>
      <c r="AR11" s="36">
        <v>1.9</v>
      </c>
      <c r="AS11" s="36">
        <v>0</v>
      </c>
      <c r="AT11" s="36">
        <v>0.3</v>
      </c>
      <c r="AU11" s="36"/>
      <c r="AV11" s="36"/>
      <c r="AW11" s="36"/>
      <c r="AX11" s="36"/>
      <c r="AY11" s="36"/>
      <c r="AZ11" s="36"/>
      <c r="BA11" s="36"/>
      <c r="BB11" s="36"/>
      <c r="BC11" s="73"/>
      <c r="BD11" s="14">
        <f t="shared" si="18"/>
        <v>5.3</v>
      </c>
      <c r="BE11" s="14">
        <f t="shared" si="19"/>
        <v>50.699999999999996</v>
      </c>
      <c r="BF11" s="14" t="str">
        <f t="shared" si="20"/>
        <v/>
      </c>
      <c r="BG11" s="14" t="str">
        <f t="shared" si="21"/>
        <v/>
      </c>
      <c r="BH11" s="14">
        <f t="shared" si="22"/>
        <v>50.699999999999996</v>
      </c>
      <c r="BI11" s="37">
        <v>25.4</v>
      </c>
      <c r="BJ11" s="37">
        <v>3.4</v>
      </c>
      <c r="BK11" s="37">
        <v>0</v>
      </c>
      <c r="BL11" s="37">
        <v>0</v>
      </c>
      <c r="BM11" s="37">
        <v>23.6</v>
      </c>
      <c r="BN11" s="37">
        <v>3.9</v>
      </c>
      <c r="BO11" s="37">
        <v>0</v>
      </c>
      <c r="BP11" s="37">
        <v>0.3</v>
      </c>
      <c r="BQ11" s="37">
        <v>24</v>
      </c>
      <c r="BR11" s="37">
        <v>1.2</v>
      </c>
      <c r="BS11" s="37">
        <v>0</v>
      </c>
      <c r="BT11" s="37">
        <v>0</v>
      </c>
      <c r="BU11" s="37">
        <v>24.2</v>
      </c>
      <c r="BV11" s="37">
        <v>3.2</v>
      </c>
      <c r="BW11" s="37">
        <v>0</v>
      </c>
      <c r="BX11" s="37">
        <v>0.3</v>
      </c>
      <c r="BY11" s="72"/>
      <c r="BZ11" s="11">
        <f t="shared" si="23"/>
        <v>7.3</v>
      </c>
      <c r="CA11" s="11">
        <f t="shared" si="24"/>
        <v>56.599999999999994</v>
      </c>
      <c r="CB11" s="11">
        <f t="shared" si="25"/>
        <v>4.4000000000000004</v>
      </c>
      <c r="CC11" s="11">
        <f t="shared" si="26"/>
        <v>52.9</v>
      </c>
      <c r="CD11" s="11">
        <f t="shared" si="27"/>
        <v>109.5</v>
      </c>
      <c r="CE11" s="23" t="str">
        <f t="shared" si="28"/>
        <v/>
      </c>
      <c r="CF11" s="23" t="str">
        <f t="shared" si="29"/>
        <v/>
      </c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23.95</v>
      </c>
      <c r="LZ11" s="61">
        <f t="shared" si="91"/>
        <v>3.4</v>
      </c>
      <c r="MA11" s="61">
        <f t="shared" si="92"/>
        <v>0</v>
      </c>
      <c r="MB11" s="61">
        <f t="shared" si="93"/>
        <v>0</v>
      </c>
      <c r="MC11" s="61">
        <f t="shared" si="94"/>
        <v>23.1</v>
      </c>
      <c r="MD11" s="61">
        <f t="shared" si="95"/>
        <v>2.9</v>
      </c>
      <c r="ME11" s="61">
        <f t="shared" si="96"/>
        <v>0</v>
      </c>
      <c r="MF11" s="61">
        <f t="shared" si="97"/>
        <v>0.3</v>
      </c>
      <c r="MG11" s="61">
        <f t="shared" si="98"/>
        <v>12</v>
      </c>
      <c r="MH11" s="61">
        <f t="shared" si="99"/>
        <v>0.6</v>
      </c>
      <c r="MI11" s="61">
        <f t="shared" si="100"/>
        <v>0</v>
      </c>
      <c r="MJ11" s="61">
        <f t="shared" si="101"/>
        <v>0</v>
      </c>
      <c r="MK11" s="61">
        <f t="shared" si="102"/>
        <v>12.1</v>
      </c>
      <c r="ML11" s="61">
        <f t="shared" si="103"/>
        <v>1.6</v>
      </c>
      <c r="MM11" s="61">
        <f t="shared" si="104"/>
        <v>0</v>
      </c>
      <c r="MN11" s="61">
        <f t="shared" si="105"/>
        <v>0.15</v>
      </c>
      <c r="MO11" s="72" t="s">
        <v>52</v>
      </c>
      <c r="MP11" s="11">
        <f t="shared" si="106"/>
        <v>6.3</v>
      </c>
      <c r="MQ11" s="11">
        <f t="shared" si="107"/>
        <v>53.65</v>
      </c>
      <c r="MR11" s="11">
        <f t="shared" si="108"/>
        <v>2.2000000000000002</v>
      </c>
      <c r="MS11" s="11">
        <f t="shared" si="109"/>
        <v>26.45</v>
      </c>
      <c r="MT11" s="11">
        <f t="shared" si="110"/>
        <v>80.099999999999994</v>
      </c>
    </row>
    <row r="12" spans="1:358" x14ac:dyDescent="0.2">
      <c r="A12" s="5" t="str">
        <f t="shared" si="0"/>
        <v/>
      </c>
      <c r="B12" s="6" t="s">
        <v>148</v>
      </c>
      <c r="C12" s="7" t="s">
        <v>3</v>
      </c>
      <c r="D12" s="26">
        <v>2004</v>
      </c>
      <c r="E12" s="15">
        <f t="shared" si="1"/>
        <v>55.500000000000007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55.500000000000007</v>
      </c>
      <c r="K12" s="14" t="str">
        <f t="shared" si="7"/>
        <v>2021 Elite Canada</v>
      </c>
      <c r="L12" s="14">
        <f t="shared" si="8"/>
        <v>0</v>
      </c>
      <c r="M12" s="14" t="str">
        <f t="shared" si="9"/>
        <v/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72"/>
      <c r="AH12" s="11" t="str">
        <f t="shared" si="13"/>
        <v/>
      </c>
      <c r="AI12" s="11" t="str">
        <f t="shared" si="14"/>
        <v/>
      </c>
      <c r="AJ12" s="11" t="str">
        <f t="shared" si="15"/>
        <v/>
      </c>
      <c r="AK12" s="11" t="str">
        <f t="shared" si="16"/>
        <v/>
      </c>
      <c r="AL12" s="11" t="str">
        <f t="shared" si="17"/>
        <v/>
      </c>
      <c r="AM12" s="36">
        <v>24.1</v>
      </c>
      <c r="AN12" s="36">
        <v>4.0999999999999996</v>
      </c>
      <c r="AO12" s="36">
        <v>0.6</v>
      </c>
      <c r="AP12" s="36">
        <v>0.3</v>
      </c>
      <c r="AQ12" s="36">
        <v>24.6</v>
      </c>
      <c r="AR12" s="36">
        <v>3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 t="shared" si="18"/>
        <v>7.1</v>
      </c>
      <c r="BE12" s="14">
        <f t="shared" si="19"/>
        <v>55.500000000000007</v>
      </c>
      <c r="BF12" s="14" t="str">
        <f t="shared" si="20"/>
        <v/>
      </c>
      <c r="BG12" s="14" t="str">
        <f t="shared" si="21"/>
        <v/>
      </c>
      <c r="BH12" s="14">
        <f t="shared" si="22"/>
        <v>55.500000000000007</v>
      </c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72"/>
      <c r="BZ12" s="11" t="str">
        <f t="shared" si="23"/>
        <v/>
      </c>
      <c r="CA12" s="11" t="str">
        <f t="shared" si="24"/>
        <v/>
      </c>
      <c r="CB12" s="11" t="str">
        <f t="shared" si="25"/>
        <v/>
      </c>
      <c r="CC12" s="11" t="str">
        <f t="shared" si="26"/>
        <v/>
      </c>
      <c r="CD12" s="11" t="str">
        <f t="shared" si="27"/>
        <v/>
      </c>
      <c r="CE12" s="23" t="str">
        <f t="shared" si="28"/>
        <v/>
      </c>
      <c r="CF12" s="23" t="str">
        <f t="shared" si="29"/>
        <v/>
      </c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12.05</v>
      </c>
      <c r="LZ12" s="61">
        <f t="shared" si="91"/>
        <v>2.0499999999999998</v>
      </c>
      <c r="MA12" s="61">
        <f t="shared" si="92"/>
        <v>0.3</v>
      </c>
      <c r="MB12" s="61">
        <f t="shared" si="93"/>
        <v>0.15</v>
      </c>
      <c r="MC12" s="61">
        <f t="shared" si="94"/>
        <v>12.3</v>
      </c>
      <c r="MD12" s="61">
        <f t="shared" si="95"/>
        <v>1.5</v>
      </c>
      <c r="ME12" s="61">
        <f t="shared" si="96"/>
        <v>0</v>
      </c>
      <c r="MF12" s="61">
        <f t="shared" si="97"/>
        <v>0</v>
      </c>
      <c r="MG12" s="61">
        <f t="shared" si="98"/>
        <v>0</v>
      </c>
      <c r="MH12" s="61">
        <f t="shared" si="99"/>
        <v>0</v>
      </c>
      <c r="MI12" s="61">
        <f t="shared" si="100"/>
        <v>0</v>
      </c>
      <c r="MJ12" s="61">
        <f t="shared" si="101"/>
        <v>0</v>
      </c>
      <c r="MK12" s="61">
        <f t="shared" si="102"/>
        <v>0</v>
      </c>
      <c r="ML12" s="61">
        <f t="shared" si="103"/>
        <v>0</v>
      </c>
      <c r="MM12" s="61">
        <f t="shared" si="104"/>
        <v>0</v>
      </c>
      <c r="MN12" s="61">
        <f t="shared" si="105"/>
        <v>0</v>
      </c>
      <c r="MO12" s="72" t="s">
        <v>52</v>
      </c>
      <c r="MP12" s="11">
        <f t="shared" si="106"/>
        <v>3.55</v>
      </c>
      <c r="MQ12" s="11">
        <f t="shared" si="107"/>
        <v>27.750000000000004</v>
      </c>
      <c r="MR12" s="11" t="str">
        <f t="shared" si="108"/>
        <v/>
      </c>
      <c r="MS12" s="11" t="str">
        <f t="shared" si="109"/>
        <v/>
      </c>
      <c r="MT12" s="11">
        <f t="shared" si="110"/>
        <v>27.750000000000004</v>
      </c>
    </row>
    <row r="13" spans="1:358" x14ac:dyDescent="0.2">
      <c r="A13" s="5" t="str">
        <f t="shared" si="0"/>
        <v/>
      </c>
      <c r="B13" s="6" t="s">
        <v>157</v>
      </c>
      <c r="C13" s="7" t="s">
        <v>3</v>
      </c>
      <c r="D13" s="26">
        <v>2004</v>
      </c>
      <c r="E13" s="15">
        <f t="shared" si="1"/>
        <v>50.099999999999994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50.099999999999994</v>
      </c>
      <c r="K13" s="14" t="str">
        <f t="shared" si="7"/>
        <v>2021 Canadian Championships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72"/>
      <c r="AH13" s="11" t="str">
        <f t="shared" si="13"/>
        <v/>
      </c>
      <c r="AI13" s="11" t="str">
        <f t="shared" si="14"/>
        <v/>
      </c>
      <c r="AJ13" s="11" t="str">
        <f t="shared" si="15"/>
        <v/>
      </c>
      <c r="AK13" s="11" t="str">
        <f t="shared" si="16"/>
        <v/>
      </c>
      <c r="AL13" s="11" t="str">
        <f t="shared" si="17"/>
        <v/>
      </c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73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37">
        <v>23.7</v>
      </c>
      <c r="BJ13" s="37">
        <v>1.2</v>
      </c>
      <c r="BK13" s="37">
        <v>0</v>
      </c>
      <c r="BL13" s="37">
        <v>0</v>
      </c>
      <c r="BM13" s="37">
        <v>23</v>
      </c>
      <c r="BN13" s="37">
        <v>1.9</v>
      </c>
      <c r="BO13" s="37">
        <v>0</v>
      </c>
      <c r="BP13" s="37">
        <v>0.3</v>
      </c>
      <c r="BQ13" s="37"/>
      <c r="BR13" s="37"/>
      <c r="BS13" s="37"/>
      <c r="BT13" s="37"/>
      <c r="BU13" s="37"/>
      <c r="BV13" s="37"/>
      <c r="BW13" s="37"/>
      <c r="BX13" s="37"/>
      <c r="BY13" s="72"/>
      <c r="BZ13" s="11">
        <f t="shared" si="23"/>
        <v>3.0999999999999996</v>
      </c>
      <c r="CA13" s="11">
        <f t="shared" si="24"/>
        <v>50.099999999999994</v>
      </c>
      <c r="CB13" s="11" t="str">
        <f t="shared" si="25"/>
        <v/>
      </c>
      <c r="CC13" s="11" t="str">
        <f t="shared" si="26"/>
        <v/>
      </c>
      <c r="CD13" s="11">
        <f t="shared" si="27"/>
        <v>50.099999999999994</v>
      </c>
      <c r="CE13" s="23" t="str">
        <f t="shared" si="28"/>
        <v/>
      </c>
      <c r="CF13" s="23" t="str">
        <f t="shared" si="29"/>
        <v/>
      </c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11.85</v>
      </c>
      <c r="LZ13" s="61">
        <f t="shared" si="91"/>
        <v>0.6</v>
      </c>
      <c r="MA13" s="61">
        <f t="shared" si="92"/>
        <v>0</v>
      </c>
      <c r="MB13" s="61">
        <f t="shared" si="93"/>
        <v>0</v>
      </c>
      <c r="MC13" s="61">
        <f t="shared" si="94"/>
        <v>11.5</v>
      </c>
      <c r="MD13" s="61">
        <f t="shared" si="95"/>
        <v>0.95</v>
      </c>
      <c r="ME13" s="61">
        <f t="shared" si="96"/>
        <v>0</v>
      </c>
      <c r="MF13" s="61">
        <f t="shared" si="97"/>
        <v>0.15</v>
      </c>
      <c r="MG13" s="61">
        <f t="shared" si="98"/>
        <v>0</v>
      </c>
      <c r="MH13" s="61">
        <f t="shared" si="99"/>
        <v>0</v>
      </c>
      <c r="MI13" s="61">
        <f t="shared" si="100"/>
        <v>0</v>
      </c>
      <c r="MJ13" s="61">
        <f t="shared" si="101"/>
        <v>0</v>
      </c>
      <c r="MK13" s="61">
        <f t="shared" si="102"/>
        <v>0</v>
      </c>
      <c r="ML13" s="61">
        <f t="shared" si="103"/>
        <v>0</v>
      </c>
      <c r="MM13" s="61">
        <f t="shared" si="104"/>
        <v>0</v>
      </c>
      <c r="MN13" s="61">
        <f t="shared" si="105"/>
        <v>0</v>
      </c>
      <c r="MO13" s="72" t="s">
        <v>52</v>
      </c>
      <c r="MP13" s="11">
        <f t="shared" si="106"/>
        <v>1.5499999999999998</v>
      </c>
      <c r="MQ13" s="11">
        <f t="shared" si="107"/>
        <v>25.049999999999997</v>
      </c>
      <c r="MR13" s="11" t="str">
        <f t="shared" si="108"/>
        <v/>
      </c>
      <c r="MS13" s="11" t="str">
        <f t="shared" si="109"/>
        <v/>
      </c>
      <c r="MT13" s="11">
        <f t="shared" si="110"/>
        <v>25.049999999999997</v>
      </c>
    </row>
    <row r="14" spans="1:358" x14ac:dyDescent="0.2">
      <c r="A14" s="5" t="str">
        <f t="shared" si="0"/>
        <v/>
      </c>
      <c r="B14" s="6" t="s">
        <v>142</v>
      </c>
      <c r="C14" s="7" t="s">
        <v>4</v>
      </c>
      <c r="D14" s="26">
        <v>2002</v>
      </c>
      <c r="E14" s="15">
        <f t="shared" si="1"/>
        <v>46.4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46.4</v>
      </c>
      <c r="K14" s="14" t="str">
        <f t="shared" si="7"/>
        <v>2021 Canadian Championships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72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73"/>
      <c r="BD14" s="14" t="str">
        <f t="shared" si="18"/>
        <v/>
      </c>
      <c r="BE14" s="14" t="str">
        <f t="shared" si="19"/>
        <v/>
      </c>
      <c r="BF14" s="14" t="str">
        <f t="shared" si="20"/>
        <v/>
      </c>
      <c r="BG14" s="14" t="str">
        <f t="shared" si="21"/>
        <v/>
      </c>
      <c r="BH14" s="14" t="str">
        <f t="shared" si="22"/>
        <v/>
      </c>
      <c r="BI14" s="37">
        <v>25.8</v>
      </c>
      <c r="BJ14" s="37">
        <v>3.4</v>
      </c>
      <c r="BK14" s="37">
        <v>0</v>
      </c>
      <c r="BL14" s="37">
        <v>0</v>
      </c>
      <c r="BM14" s="37">
        <v>15.5</v>
      </c>
      <c r="BN14" s="37">
        <v>1.4</v>
      </c>
      <c r="BO14" s="37">
        <v>0</v>
      </c>
      <c r="BP14" s="37">
        <v>0.3</v>
      </c>
      <c r="BQ14" s="37"/>
      <c r="BR14" s="37"/>
      <c r="BS14" s="37"/>
      <c r="BT14" s="37"/>
      <c r="BU14" s="37"/>
      <c r="BV14" s="37"/>
      <c r="BW14" s="37"/>
      <c r="BX14" s="37"/>
      <c r="BY14" s="72"/>
      <c r="BZ14" s="11">
        <f t="shared" si="23"/>
        <v>4.8</v>
      </c>
      <c r="CA14" s="11">
        <f t="shared" si="24"/>
        <v>46.4</v>
      </c>
      <c r="CB14" s="11" t="str">
        <f t="shared" si="25"/>
        <v/>
      </c>
      <c r="CC14" s="11" t="str">
        <f t="shared" si="26"/>
        <v/>
      </c>
      <c r="CD14" s="11">
        <f t="shared" si="27"/>
        <v>46.4</v>
      </c>
      <c r="CE14" s="23" t="str">
        <f t="shared" si="28"/>
        <v/>
      </c>
      <c r="CF14" s="23" t="str">
        <f t="shared" si="29"/>
        <v/>
      </c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12.9</v>
      </c>
      <c r="LZ14" s="61">
        <f t="shared" si="91"/>
        <v>1.7</v>
      </c>
      <c r="MA14" s="61">
        <f t="shared" si="92"/>
        <v>0</v>
      </c>
      <c r="MB14" s="61">
        <f t="shared" si="93"/>
        <v>0</v>
      </c>
      <c r="MC14" s="61">
        <f t="shared" si="94"/>
        <v>7.75</v>
      </c>
      <c r="MD14" s="61">
        <f t="shared" si="95"/>
        <v>0.7</v>
      </c>
      <c r="ME14" s="61">
        <f t="shared" si="96"/>
        <v>0</v>
      </c>
      <c r="MF14" s="61">
        <f t="shared" si="97"/>
        <v>0.15</v>
      </c>
      <c r="MG14" s="61">
        <f t="shared" si="98"/>
        <v>0</v>
      </c>
      <c r="MH14" s="61">
        <f t="shared" si="99"/>
        <v>0</v>
      </c>
      <c r="MI14" s="61">
        <f t="shared" si="100"/>
        <v>0</v>
      </c>
      <c r="MJ14" s="61">
        <f t="shared" si="101"/>
        <v>0</v>
      </c>
      <c r="MK14" s="61">
        <f t="shared" si="102"/>
        <v>0</v>
      </c>
      <c r="ML14" s="61">
        <f t="shared" si="103"/>
        <v>0</v>
      </c>
      <c r="MM14" s="61">
        <f t="shared" si="104"/>
        <v>0</v>
      </c>
      <c r="MN14" s="61">
        <f t="shared" si="105"/>
        <v>0</v>
      </c>
      <c r="MO14" s="72" t="s">
        <v>52</v>
      </c>
      <c r="MP14" s="11">
        <f t="shared" si="106"/>
        <v>2.4</v>
      </c>
      <c r="MQ14" s="11">
        <f t="shared" si="107"/>
        <v>23.2</v>
      </c>
      <c r="MR14" s="11" t="str">
        <f t="shared" si="108"/>
        <v/>
      </c>
      <c r="MS14" s="11" t="str">
        <f t="shared" si="109"/>
        <v/>
      </c>
      <c r="MT14" s="11">
        <f t="shared" si="110"/>
        <v>23.2</v>
      </c>
    </row>
    <row r="15" spans="1:358" ht="17" x14ac:dyDescent="0.2">
      <c r="N15" s="18"/>
      <c r="O15" s="18"/>
      <c r="P15" s="1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</row>
    <row r="16" spans="1:358" ht="17" x14ac:dyDescent="0.2">
      <c r="N16" s="18"/>
      <c r="O16" s="18"/>
      <c r="P16" s="18"/>
    </row>
    <row r="17" spans="1:336" ht="17" x14ac:dyDescent="0.2">
      <c r="B17" s="62" t="s">
        <v>50</v>
      </c>
      <c r="N17" s="18"/>
      <c r="O17" s="18"/>
      <c r="P17" s="18"/>
      <c r="AH17" s="49"/>
      <c r="AL17" s="56">
        <v>7.2</v>
      </c>
      <c r="BD17" s="49"/>
      <c r="BH17" s="56">
        <v>7.2</v>
      </c>
      <c r="BZ17" s="49"/>
      <c r="CD17" s="56">
        <v>7.2</v>
      </c>
      <c r="CW17" s="49"/>
      <c r="DA17" s="56">
        <v>7.2</v>
      </c>
      <c r="DR17" s="49"/>
      <c r="DV17" s="56">
        <v>7.2</v>
      </c>
      <c r="EM17" s="49"/>
      <c r="EQ17" s="56">
        <v>7.2</v>
      </c>
      <c r="FH17" s="49"/>
      <c r="FL17" s="56">
        <v>7.2</v>
      </c>
      <c r="GC17" s="49"/>
      <c r="GG17" s="56">
        <v>7.2</v>
      </c>
      <c r="GX17" s="49"/>
      <c r="HB17" s="56">
        <v>7.2</v>
      </c>
      <c r="HS17" s="49"/>
      <c r="HW17" s="56">
        <v>7.2</v>
      </c>
      <c r="IN17" s="49"/>
      <c r="IR17" s="56">
        <v>7.2</v>
      </c>
      <c r="JI17" s="49"/>
      <c r="JM17" s="56">
        <v>7.2</v>
      </c>
      <c r="KD17" s="49"/>
      <c r="KH17" s="56">
        <v>7.2</v>
      </c>
      <c r="KY17" s="49"/>
      <c r="LC17" s="56">
        <v>7.2</v>
      </c>
      <c r="LT17" s="49"/>
      <c r="LX17" s="56">
        <v>7.2</v>
      </c>
    </row>
    <row r="18" spans="1:336" ht="17" hidden="1" x14ac:dyDescent="0.2">
      <c r="B18" s="83" t="s">
        <v>49</v>
      </c>
      <c r="N18" s="18"/>
      <c r="O18" s="18"/>
      <c r="P18" s="18"/>
      <c r="AH18" s="49"/>
      <c r="AL18" s="85">
        <v>1000</v>
      </c>
      <c r="BD18" s="49"/>
      <c r="BH18" s="85">
        <v>1000</v>
      </c>
      <c r="BZ18" s="49"/>
      <c r="CD18" s="85">
        <v>1000</v>
      </c>
      <c r="CW18" s="49"/>
      <c r="DA18" s="85">
        <v>1000</v>
      </c>
      <c r="DR18" s="49"/>
      <c r="DV18" s="85">
        <v>1000</v>
      </c>
      <c r="EM18" s="49"/>
      <c r="EQ18" s="85">
        <v>1000</v>
      </c>
      <c r="FH18" s="49"/>
      <c r="FL18" s="85">
        <v>1000</v>
      </c>
      <c r="GC18" s="49"/>
      <c r="GG18" s="85">
        <v>1000</v>
      </c>
      <c r="GX18" s="49"/>
      <c r="HB18" s="85">
        <v>1000</v>
      </c>
      <c r="HS18" s="49"/>
      <c r="HW18" s="85">
        <v>1000</v>
      </c>
      <c r="IN18" s="49"/>
      <c r="IR18" s="85">
        <v>1000</v>
      </c>
      <c r="JI18" s="49"/>
      <c r="JM18" s="85">
        <v>1000</v>
      </c>
      <c r="KD18" s="49"/>
      <c r="KH18" s="85">
        <v>1000</v>
      </c>
      <c r="KY18" s="49"/>
      <c r="LC18" s="85">
        <v>1000</v>
      </c>
      <c r="LT18" s="49"/>
      <c r="LX18" s="85">
        <v>1000</v>
      </c>
    </row>
    <row r="19" spans="1:336" ht="17" hidden="1" x14ac:dyDescent="0.2">
      <c r="A19" s="49"/>
      <c r="B19" s="84" t="s">
        <v>62</v>
      </c>
      <c r="C19" s="48"/>
      <c r="N19" s="18"/>
      <c r="O19" s="18"/>
      <c r="P19" s="18"/>
      <c r="AH19" s="49"/>
      <c r="AL19" s="86">
        <v>1000</v>
      </c>
      <c r="BD19" s="49"/>
      <c r="BH19" s="86">
        <v>1000</v>
      </c>
      <c r="BZ19" s="49"/>
      <c r="CD19" s="86">
        <v>1000</v>
      </c>
      <c r="CW19" s="49"/>
      <c r="DA19" s="86">
        <v>1000</v>
      </c>
      <c r="DR19" s="49"/>
      <c r="DV19" s="86">
        <v>1000</v>
      </c>
      <c r="EM19" s="49"/>
      <c r="EQ19" s="86">
        <v>1000</v>
      </c>
      <c r="FH19" s="49"/>
      <c r="FL19" s="86">
        <v>1000</v>
      </c>
      <c r="GC19" s="49"/>
      <c r="GG19" s="86">
        <v>1000</v>
      </c>
      <c r="GX19" s="49"/>
      <c r="HB19" s="86">
        <v>1000</v>
      </c>
      <c r="HS19" s="49"/>
      <c r="HW19" s="86">
        <v>1000</v>
      </c>
      <c r="IN19" s="49"/>
      <c r="IR19" s="86">
        <v>1000</v>
      </c>
      <c r="JI19" s="49"/>
      <c r="JM19" s="86">
        <v>1000</v>
      </c>
      <c r="KD19" s="49"/>
      <c r="KH19" s="86">
        <v>1000</v>
      </c>
      <c r="KY19" s="49"/>
      <c r="LC19" s="86">
        <v>1000</v>
      </c>
      <c r="LT19" s="49"/>
      <c r="LX19" s="86">
        <v>1000</v>
      </c>
    </row>
    <row r="20" spans="1:336" ht="17" hidden="1" x14ac:dyDescent="0.2">
      <c r="A20" s="49"/>
      <c r="B20" s="110" t="s">
        <v>69</v>
      </c>
      <c r="C20" s="48"/>
      <c r="N20" s="18"/>
      <c r="O20" s="18"/>
      <c r="P20" s="18"/>
      <c r="AH20" s="49"/>
      <c r="AL20" s="111">
        <v>1000</v>
      </c>
      <c r="BD20" s="49"/>
      <c r="BH20" s="111">
        <v>1000</v>
      </c>
      <c r="BZ20" s="49"/>
      <c r="CD20" s="111">
        <v>1000</v>
      </c>
      <c r="CW20" s="49"/>
      <c r="DA20" s="111">
        <v>1000</v>
      </c>
      <c r="DR20" s="49"/>
      <c r="DV20" s="111">
        <v>1000</v>
      </c>
      <c r="EM20" s="49"/>
      <c r="EQ20" s="111">
        <v>1000</v>
      </c>
      <c r="FH20" s="49"/>
      <c r="FL20" s="111">
        <v>1000</v>
      </c>
      <c r="GC20" s="49"/>
      <c r="GG20" s="111">
        <v>1000</v>
      </c>
      <c r="GX20" s="49"/>
      <c r="HB20" s="111">
        <v>1000</v>
      </c>
      <c r="HS20" s="49"/>
      <c r="HW20" s="111">
        <v>1000</v>
      </c>
      <c r="IN20" s="49"/>
      <c r="IR20" s="111">
        <v>1000</v>
      </c>
      <c r="JI20" s="49"/>
      <c r="JM20" s="111">
        <v>1000</v>
      </c>
      <c r="KD20" s="49"/>
      <c r="KH20" s="111">
        <v>1000</v>
      </c>
      <c r="KY20" s="49"/>
      <c r="LC20" s="111">
        <v>1000</v>
      </c>
      <c r="LT20" s="49"/>
      <c r="LX20" s="111">
        <v>1000</v>
      </c>
    </row>
    <row r="21" spans="1:336" ht="17" x14ac:dyDescent="0.2">
      <c r="A21" s="49"/>
      <c r="B21" s="108" t="s">
        <v>47</v>
      </c>
      <c r="C21" s="48"/>
      <c r="N21" s="18"/>
      <c r="O21" s="18"/>
      <c r="P21" s="18"/>
      <c r="AH21" s="49"/>
      <c r="AL21" s="109">
        <v>60</v>
      </c>
      <c r="BD21" s="49"/>
      <c r="BH21" s="109">
        <v>60</v>
      </c>
      <c r="BZ21" s="49"/>
      <c r="CD21" s="109">
        <v>60</v>
      </c>
      <c r="CW21" s="49"/>
      <c r="DA21" s="109">
        <v>60</v>
      </c>
      <c r="DR21" s="49"/>
      <c r="DV21" s="109">
        <v>60</v>
      </c>
      <c r="EM21" s="49"/>
      <c r="EQ21" s="109">
        <v>60</v>
      </c>
      <c r="FH21" s="49"/>
      <c r="FL21" s="109">
        <v>60</v>
      </c>
      <c r="GC21" s="49"/>
      <c r="GG21" s="109">
        <v>60</v>
      </c>
      <c r="GX21" s="49"/>
      <c r="HB21" s="109">
        <v>60</v>
      </c>
      <c r="HS21" s="49"/>
      <c r="HW21" s="109">
        <v>60</v>
      </c>
      <c r="IN21" s="49"/>
      <c r="IR21" s="109">
        <v>60</v>
      </c>
      <c r="JI21" s="49"/>
      <c r="JM21" s="109">
        <v>60</v>
      </c>
      <c r="KD21" s="49"/>
      <c r="KH21" s="109">
        <v>60</v>
      </c>
      <c r="KY21" s="49"/>
      <c r="LC21" s="109">
        <v>60</v>
      </c>
      <c r="LT21" s="49"/>
      <c r="LX21" s="109">
        <v>60</v>
      </c>
    </row>
    <row r="22" spans="1:336" ht="17" hidden="1" x14ac:dyDescent="0.2">
      <c r="A22" s="49"/>
      <c r="B22" s="64" t="s">
        <v>48</v>
      </c>
      <c r="C22" s="48"/>
      <c r="N22" s="18"/>
      <c r="O22" s="18"/>
      <c r="P22" s="18"/>
      <c r="AH22" s="49"/>
      <c r="AL22" s="58">
        <v>1000</v>
      </c>
      <c r="BD22" s="49"/>
      <c r="BH22" s="58">
        <v>1000</v>
      </c>
      <c r="BZ22" s="49"/>
      <c r="CD22" s="58">
        <v>1000</v>
      </c>
      <c r="CW22" s="49"/>
      <c r="DA22" s="58">
        <v>1000</v>
      </c>
      <c r="DR22" s="49"/>
      <c r="DV22" s="58">
        <v>1000</v>
      </c>
      <c r="EM22" s="49"/>
      <c r="EQ22" s="58">
        <v>1000</v>
      </c>
      <c r="FH22" s="49"/>
      <c r="FL22" s="58">
        <v>1000</v>
      </c>
      <c r="GC22" s="49"/>
      <c r="GG22" s="58">
        <v>1000</v>
      </c>
      <c r="GX22" s="49"/>
      <c r="HB22" s="58">
        <v>1000</v>
      </c>
      <c r="HS22" s="49"/>
      <c r="HW22" s="58">
        <v>1000</v>
      </c>
      <c r="IN22" s="49"/>
      <c r="IR22" s="58">
        <v>1000</v>
      </c>
      <c r="JI22" s="49"/>
      <c r="JM22" s="58">
        <v>1000</v>
      </c>
      <c r="KD22" s="49"/>
      <c r="KH22" s="58">
        <v>1000</v>
      </c>
      <c r="KY22" s="49"/>
      <c r="LC22" s="58">
        <v>1000</v>
      </c>
      <c r="LT22" s="49"/>
      <c r="LX22" s="58">
        <v>1000</v>
      </c>
    </row>
    <row r="23" spans="1:336" ht="17" hidden="1" x14ac:dyDescent="0.2">
      <c r="A23" s="49"/>
      <c r="B23" s="106" t="s">
        <v>60</v>
      </c>
      <c r="C23" s="48"/>
      <c r="N23" s="18"/>
      <c r="O23" s="18"/>
      <c r="P23" s="18"/>
      <c r="AH23" s="49"/>
      <c r="AL23" s="107">
        <v>1000</v>
      </c>
      <c r="BD23" s="49"/>
      <c r="BH23" s="107">
        <v>1000</v>
      </c>
      <c r="BZ23" s="49"/>
      <c r="CD23" s="107">
        <v>1000</v>
      </c>
      <c r="CW23" s="49"/>
      <c r="DA23" s="107">
        <v>1000</v>
      </c>
      <c r="DR23" s="49"/>
      <c r="DV23" s="107">
        <v>1000</v>
      </c>
      <c r="EM23" s="49"/>
      <c r="EQ23" s="107">
        <v>1000</v>
      </c>
      <c r="FH23" s="49"/>
      <c r="FL23" s="107">
        <v>1000</v>
      </c>
      <c r="GC23" s="49"/>
      <c r="GG23" s="107">
        <v>1000</v>
      </c>
      <c r="GX23" s="49"/>
      <c r="HB23" s="107">
        <v>1000</v>
      </c>
      <c r="HS23" s="49"/>
      <c r="HW23" s="107">
        <v>1000</v>
      </c>
      <c r="IN23" s="49"/>
      <c r="IR23" s="107">
        <v>1000</v>
      </c>
      <c r="JI23" s="49"/>
      <c r="JM23" s="107">
        <v>1000</v>
      </c>
      <c r="KD23" s="49"/>
      <c r="KH23" s="107">
        <v>1000</v>
      </c>
      <c r="KY23" s="49"/>
      <c r="LC23" s="107">
        <v>1000</v>
      </c>
      <c r="LT23" s="49"/>
      <c r="LX23" s="107">
        <v>1000</v>
      </c>
    </row>
    <row r="24" spans="1:336" ht="17" hidden="1" x14ac:dyDescent="0.2">
      <c r="A24" s="49"/>
      <c r="B24" s="66" t="s">
        <v>34</v>
      </c>
      <c r="C24" s="48"/>
      <c r="N24" s="18"/>
      <c r="O24" s="18"/>
      <c r="P24" s="18"/>
      <c r="AH24" s="49"/>
      <c r="AL24" s="60">
        <v>1000</v>
      </c>
      <c r="BD24" s="49"/>
      <c r="BH24" s="60">
        <v>1000</v>
      </c>
      <c r="BZ24" s="49"/>
      <c r="CD24" s="60">
        <v>1000</v>
      </c>
      <c r="CW24" s="49"/>
      <c r="DA24" s="60">
        <v>1000</v>
      </c>
      <c r="DR24" s="49"/>
      <c r="DV24" s="60">
        <v>1000</v>
      </c>
      <c r="EM24" s="49"/>
      <c r="EQ24" s="60">
        <v>1000</v>
      </c>
      <c r="FH24" s="49"/>
      <c r="FL24" s="60">
        <v>1000</v>
      </c>
      <c r="GC24" s="49"/>
      <c r="GG24" s="60">
        <v>1000</v>
      </c>
      <c r="GX24" s="49"/>
      <c r="HB24" s="60">
        <v>1000</v>
      </c>
      <c r="HS24" s="49"/>
      <c r="HW24" s="60">
        <v>1000</v>
      </c>
      <c r="IN24" s="49"/>
      <c r="IR24" s="60">
        <v>1000</v>
      </c>
      <c r="JI24" s="49"/>
      <c r="JM24" s="60">
        <v>1000</v>
      </c>
      <c r="KD24" s="49"/>
      <c r="KH24" s="60">
        <v>1000</v>
      </c>
      <c r="KY24" s="49"/>
      <c r="LC24" s="60">
        <v>1000</v>
      </c>
      <c r="LT24" s="49"/>
      <c r="LX24" s="60">
        <v>1000</v>
      </c>
    </row>
    <row r="25" spans="1:336" x14ac:dyDescent="0.2">
      <c r="B25" s="74" t="s">
        <v>53</v>
      </c>
      <c r="C25" s="2"/>
    </row>
    <row r="26" spans="1:336" x14ac:dyDescent="0.2">
      <c r="A26" s="49"/>
      <c r="B26" s="49"/>
      <c r="C26" s="48"/>
    </row>
    <row r="27" spans="1:336" x14ac:dyDescent="0.2">
      <c r="A27" s="49"/>
      <c r="B27" s="49"/>
      <c r="C27" s="48"/>
    </row>
    <row r="28" spans="1:336" x14ac:dyDescent="0.2">
      <c r="A28" s="49"/>
      <c r="B28" s="49"/>
      <c r="C28" s="48"/>
    </row>
    <row r="29" spans="1:336" x14ac:dyDescent="0.2">
      <c r="A29" s="6"/>
      <c r="B29" s="6"/>
      <c r="C29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4">
      <sortCondition descending="1" ref="F1:F15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14">
    <cfRule type="expression" dxfId="59" priority="1" stopIfTrue="1">
      <formula>IF($AG4&lt;&gt;"",1,0)</formula>
    </cfRule>
  </conditionalFormatting>
  <conditionalFormatting sqref="AM4:BH1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AL$20</formula>
      <formula>1000</formula>
    </cfRule>
    <cfRule type="cellIs" dxfId="46" priority="40653" operator="between">
      <formula>AL$19</formula>
      <formula>AL$20</formula>
    </cfRule>
    <cfRule type="cellIs" dxfId="45" priority="40654" operator="between">
      <formula>AL$18</formula>
      <formula>AL$19</formula>
    </cfRule>
    <cfRule type="cellIs" dxfId="44" priority="40655" operator="between">
      <formula>AL$17</formula>
      <formula>AL$18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AL$24</formula>
      <formula>1000</formula>
    </cfRule>
    <cfRule type="cellIs" dxfId="42" priority="40835" operator="between">
      <formula>AL$23</formula>
      <formula>AL$24</formula>
    </cfRule>
    <cfRule type="cellIs" dxfId="41" priority="40836" operator="between">
      <formula>AL$22</formula>
      <formula>AL$23</formula>
    </cfRule>
    <cfRule type="cellIs" dxfId="40" priority="40837" operator="between">
      <formula>AL$21</formula>
      <formula>AL$22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9"/>
      <c r="K2" s="128"/>
      <c r="L2" s="129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6" t="s">
        <v>31</v>
      </c>
      <c r="AZ2" s="136"/>
      <c r="BA2" s="136"/>
      <c r="BB2" s="136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6" t="s">
        <v>26</v>
      </c>
      <c r="DC2" s="136"/>
      <c r="DD2" s="136"/>
      <c r="DE2" s="136"/>
      <c r="DF2" s="136" t="s">
        <v>29</v>
      </c>
      <c r="DG2" s="136"/>
      <c r="DH2" s="136"/>
      <c r="DI2" s="136"/>
      <c r="DJ2" s="136" t="s">
        <v>30</v>
      </c>
      <c r="DK2" s="136"/>
      <c r="DL2" s="136"/>
      <c r="DM2" s="136"/>
      <c r="DN2" s="136" t="s">
        <v>31</v>
      </c>
      <c r="DO2" s="136"/>
      <c r="DP2" s="136"/>
      <c r="DQ2" s="136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6" t="s">
        <v>26</v>
      </c>
      <c r="ES2" s="136"/>
      <c r="ET2" s="136"/>
      <c r="EU2" s="136"/>
      <c r="EV2" s="136" t="s">
        <v>29</v>
      </c>
      <c r="EW2" s="136"/>
      <c r="EX2" s="136"/>
      <c r="EY2" s="136"/>
      <c r="EZ2" s="136" t="s">
        <v>30</v>
      </c>
      <c r="FA2" s="136"/>
      <c r="FB2" s="136"/>
      <c r="FC2" s="136"/>
      <c r="FD2" s="136" t="s">
        <v>31</v>
      </c>
      <c r="FE2" s="136"/>
      <c r="FF2" s="136"/>
      <c r="FG2" s="136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6" t="s">
        <v>26</v>
      </c>
      <c r="GI2" s="136"/>
      <c r="GJ2" s="136"/>
      <c r="GK2" s="136"/>
      <c r="GL2" s="136" t="s">
        <v>29</v>
      </c>
      <c r="GM2" s="136"/>
      <c r="GN2" s="136"/>
      <c r="GO2" s="136"/>
      <c r="GP2" s="136" t="s">
        <v>30</v>
      </c>
      <c r="GQ2" s="136"/>
      <c r="GR2" s="136"/>
      <c r="GS2" s="136"/>
      <c r="GT2" s="136" t="s">
        <v>31</v>
      </c>
      <c r="GU2" s="136"/>
      <c r="GV2" s="136"/>
      <c r="GW2" s="136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6" t="s">
        <v>26</v>
      </c>
      <c r="HY2" s="136"/>
      <c r="HZ2" s="136"/>
      <c r="IA2" s="136"/>
      <c r="IB2" s="136" t="s">
        <v>29</v>
      </c>
      <c r="IC2" s="136"/>
      <c r="ID2" s="136"/>
      <c r="IE2" s="136"/>
      <c r="IF2" s="136" t="s">
        <v>30</v>
      </c>
      <c r="IG2" s="136"/>
      <c r="IH2" s="136"/>
      <c r="II2" s="136"/>
      <c r="IJ2" s="136" t="s">
        <v>31</v>
      </c>
      <c r="IK2" s="136"/>
      <c r="IL2" s="136"/>
      <c r="IM2" s="136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6" t="s">
        <v>26</v>
      </c>
      <c r="JO2" s="136"/>
      <c r="JP2" s="136"/>
      <c r="JQ2" s="136"/>
      <c r="JR2" s="136" t="s">
        <v>29</v>
      </c>
      <c r="JS2" s="136"/>
      <c r="JT2" s="136"/>
      <c r="JU2" s="136"/>
      <c r="JV2" s="136" t="s">
        <v>30</v>
      </c>
      <c r="JW2" s="136"/>
      <c r="JX2" s="136"/>
      <c r="JY2" s="136"/>
      <c r="JZ2" s="136" t="s">
        <v>31</v>
      </c>
      <c r="KA2" s="136"/>
      <c r="KB2" s="136"/>
      <c r="KC2" s="136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6" t="s">
        <v>26</v>
      </c>
      <c r="LE2" s="136"/>
      <c r="LF2" s="136"/>
      <c r="LG2" s="136"/>
      <c r="LH2" s="136" t="s">
        <v>29</v>
      </c>
      <c r="LI2" s="136"/>
      <c r="LJ2" s="136"/>
      <c r="LK2" s="136"/>
      <c r="LL2" s="136" t="s">
        <v>30</v>
      </c>
      <c r="LM2" s="136"/>
      <c r="LN2" s="136"/>
      <c r="LO2" s="136"/>
      <c r="LP2" s="136" t="s">
        <v>31</v>
      </c>
      <c r="LQ2" s="136"/>
      <c r="LR2" s="136"/>
      <c r="LS2" s="136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9"/>
      <c r="K3" s="128"/>
      <c r="L3" s="129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4" si="0">IF(AND(F4="P",G4="P"),SUMPRODUCT((F$4:F$25="P")*(G$4:G$25="P")*(E$4:E$25&gt;E4))+1,IF(G4="P",SUMPRODUCT((F$4:F$25="")*(G$4:G$25="P")*(E$4:E$25&gt;E4))+1+SUMPRODUCT((F$4:F$25="P")*(G$4:G$25="P")),""))</f>
        <v>1</v>
      </c>
      <c r="B4" s="8" t="s">
        <v>68</v>
      </c>
      <c r="C4" s="4" t="s">
        <v>3</v>
      </c>
      <c r="D4" s="5">
        <v>2003</v>
      </c>
      <c r="E4" s="15">
        <f t="shared" ref="E4:E24" si="1">SUM(J4:N4)</f>
        <v>222.89999999999998</v>
      </c>
      <c r="F4" s="3" t="str">
        <f t="shared" ref="F4:F24" si="2">IF(OR(AND(AH4&gt;=AL$27,AI4&gt;=AL$31,AI4&lt;&gt;"",AG4=""),AND(BD4&gt;=BH$27,BE4&gt;=BH$31,BE4&lt;&gt;"",BC4=""),AND(BZ4&gt;=CD$27,CA4&gt;=CD$31,CA4&lt;&gt;"",BY4=""),AND(CW4&gt;=DA$27,CX4&gt;=DA$31,CX4&lt;&gt;""),AND(DR4&gt;=DV$27,DS4&gt;=DV$31,DS4&lt;&gt;""),AND(EM4&gt;=EQ$27,EN4&gt;=EQ$31,EN4&lt;&gt;""),AND(FH4&gt;=FL$27,FI4&gt;=FL$31,FI4&lt;&gt;""),AND(GC4&gt;=GG$27,GD4&gt;=GG$31,GD4&lt;&gt;""),AND(GX4&gt;=HB$27,GY4&gt;=HB$31,GY4&lt;&gt;""),AND(HS4&gt;=HW$27,HT4&gt;=HW$31,HT4&lt;&gt;""),AND(IN4&gt;=IR$27,IO4&gt;=IR$31,IO4&lt;&gt;""),AND(JI4&gt;=JM$27,JJ4&gt;=JM$31,JJ4&lt;&gt;""),AND(KD4&gt;=KH$27,KE4&gt;=KH$31,KE4&lt;&gt;""),AND(KY4&gt;=LC$27,KZ4&gt;=LC$31,KZ4&lt;&gt;""),AND(LT4&gt;=LX$27,LU4&gt;=LX$31,LU4&lt;&gt;"")),"P","")</f>
        <v>P</v>
      </c>
      <c r="G4" s="3" t="str">
        <f t="shared" ref="G4:G24" si="3">IF(OR(AND(AI4&gt;=AL$31,AI4&lt;&gt;"",AG4=""),AND(BE4&gt;=BH$31,BE4&lt;&gt;"",BC4=""),AND(CA4&gt;=CD$31,CA4&lt;&gt;"",BY4=""),AND(CX4&gt;=DA$31,CX4&lt;&gt;""),AND(DS4&gt;=DV$31,DS4&lt;&gt;""),AND(EN4&gt;=EQ$31,EN4&lt;&gt;""),AND(FI4&gt;=FL$31,FI4&lt;&gt;""),AND(GD4&gt;=GG$31,GD4&lt;&gt;""),AND(GY4&gt;=HB$31,GY4&lt;&gt;""),AND(HT4&gt;=HW$31,HT4&lt;&gt;""),AND(IO4&gt;=IR$31,IO4&lt;&gt;""),AND(JJ4&gt;=JM$31,JJ4&lt;&gt;""),AND(KE4&gt;=KH$31,KE4&lt;&gt;""),AND(KZ4&gt;=LC$31,KZ4&lt;&gt;""),AND(LU4&gt;=LX$31,LU4&lt;&gt;"")),"P","")</f>
        <v>P</v>
      </c>
      <c r="H4" s="116" t="str">
        <f t="shared" ref="H4:H24" si="4">IF(AND(G4="P",F4=""),"No DD",IF(OR(AND(AH4&gt;=AL$30,AH4&lt;&gt;"",AI4&gt;=AL$34,AI4&lt;&gt;"",AG4=""),AND(BD4&gt;=BH$30,BD4&lt;&gt;"",BE4&gt;=BH$34,BE4&lt;&gt;"",BC4=""),AND(BZ4&gt;=CD$30,BZ4&lt;&gt;"",CA4&gt;=CD$34,CA4&lt;&gt;"",BY4=""),AND(CW4&gt;=DA$30,CW4&lt;&gt;"",CX4&gt;=DA$34,CX4&lt;&gt;""),AND(DR4&gt;=DV$30,DR4&lt;&gt;"",DS4&gt;=DV$34,DS4&lt;&gt;""),AND(EM4&gt;=EQ$30,EM4&lt;&gt;"",EN4&gt;=EQ$34,EN4&lt;&gt;""),AND(FH4&gt;=FL$30,FH4&lt;&gt;"",FI4&gt;=FL$34,FI4&lt;&gt;""),AND(GC4&gt;=GG$30,GC4&lt;&gt;"",GD4&gt;=GG$34,GD4&lt;&gt;""),AND(GX4&gt;=HB$30,GX4&lt;&gt;"",GY4&gt;=HB$34,GY4&lt;&gt;""),AND(HS4&gt;=HW$30,HS4&lt;&gt;"",HT4&gt;=HW$34,HT4&lt;&gt;""),AND(IN4&gt;=IR$30,IN4&lt;&gt;"",IO4&gt;=IR$34,IO4&lt;&gt;""),AND(JI4&gt;=JM$30,JI4&lt;&gt;"",JJ4&gt;=JM$34,JJ4&lt;&gt;""),AND(KD4&gt;=KH$30,KD4&lt;&gt;"",KE4&gt;=KH$34,KE4&lt;&gt;""),AND(KY4&gt;=LC$30,KY4&lt;&gt;"",KZ4&gt;=LC$34,KZ4&lt;&gt;""),AND(LT4&gt;=LX$30,LT4&lt;&gt;"",LU4&gt;=LX$34,LU4&lt;&gt;"")),"Merit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Excellence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Worlds Team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National Team","")))))</f>
        <v>National Team</v>
      </c>
      <c r="I4" s="3" t="str">
        <f t="shared" ref="I4:I24" si="5">IF(OR(H4="Worlds Team",H4="Excellence",H4="Merit"),"P","")</f>
        <v/>
      </c>
      <c r="J4" s="14">
        <f t="shared" ref="J4:J24" si="6">MAX(AI4,BE4,CA4)</f>
        <v>76.499999999999986</v>
      </c>
      <c r="K4" s="14" t="str">
        <f t="shared" ref="K4:K24" si="7">IF(J4=0,"",IF(J4=CA4,$BI$1,IF(J4=BE4,$AM$1,IF(J4=AI4,$Q$1,""))))</f>
        <v>2021 Canadian Championships</v>
      </c>
      <c r="L4" s="14">
        <f t="shared" ref="L4:L24" si="8">IF(J4=AI4,MAX(BH4,CD4),IF(J4=BE4,MAX(AL4,CD4),MAX(AL4,BH4)))</f>
        <v>146.4</v>
      </c>
      <c r="M4" s="14" t="str">
        <f t="shared" ref="M4:M24" si="9">IF(L4=0,"",IF(AND(J4&lt;&gt;CA4,L4=CD4),$BI$1,IF(AND(J4&lt;&gt;BE4,L4=BH4),$AM$1,IF(L4=AL4,$Q$1,""))))</f>
        <v>2021 Elite Canada</v>
      </c>
      <c r="N4" s="14" t="str">
        <f t="shared" ref="N4:N24" si="10">IF(MAX(CE4:CF4)&gt;0,MAX(CE4:CF4),"")</f>
        <v/>
      </c>
      <c r="O4" s="24" t="str">
        <f t="shared" ref="O4:O24" si="11">IF(N4="","",IF(N4=CE4,"(Prelim)",IF(N4=CF4,"(4 Pass)")))</f>
        <v/>
      </c>
      <c r="P4" s="14" t="str">
        <f t="shared" ref="P4:P24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25.2</v>
      </c>
      <c r="R4" s="61">
        <v>9.1999999999999993</v>
      </c>
      <c r="S4" s="61">
        <v>1.2</v>
      </c>
      <c r="T4" s="61">
        <v>0.3</v>
      </c>
      <c r="U4" s="61">
        <v>27.8</v>
      </c>
      <c r="V4" s="61">
        <v>9.1999999999999993</v>
      </c>
      <c r="W4" s="61">
        <v>1.2</v>
      </c>
      <c r="X4" s="61">
        <v>0.3</v>
      </c>
      <c r="Y4" s="61">
        <v>25.6</v>
      </c>
      <c r="Z4" s="61">
        <v>8.1</v>
      </c>
      <c r="AA4" s="61">
        <v>0.3</v>
      </c>
      <c r="AB4" s="61">
        <v>0.3</v>
      </c>
      <c r="AC4" s="61">
        <v>27.7</v>
      </c>
      <c r="AD4" s="61">
        <v>8.1</v>
      </c>
      <c r="AE4" s="61">
        <v>0</v>
      </c>
      <c r="AF4" s="61">
        <v>0</v>
      </c>
      <c r="AG4" s="72"/>
      <c r="AH4" s="11">
        <f t="shared" ref="AH4:AH24" si="13">IF(SUM(R4,V4)&gt;0,SUM(R4,V4),"")</f>
        <v>18.399999999999999</v>
      </c>
      <c r="AI4" s="11">
        <f t="shared" ref="AI4:AI24" si="14">IF(SUM(Q4:R4,T4:V4,X4)-SUM(S4,W4)&gt;0,SUM(Q4:R4,T4:V4,X4)-SUM(S4,W4),"")</f>
        <v>69.599999999999994</v>
      </c>
      <c r="AJ4" s="11">
        <f t="shared" ref="AJ4:AJ24" si="15">IF(SUM(Z4,AD4)&gt;0,SUM(Z4,AD4),"")</f>
        <v>16.2</v>
      </c>
      <c r="AK4" s="11">
        <f t="shared" ref="AK4:AK24" si="16">IF(SUM(Y4:Z4,AB4:AD4,AF4)-SUM(AA4,AE4)&gt;0,SUM(Y4:Z4,AB4:AD4,AF4)-SUM(AA4,AE4),"")</f>
        <v>69.5</v>
      </c>
      <c r="AL4" s="11">
        <f t="shared" ref="AL4:AL24" si="17">IF(SUM(AI4,AK4)&gt;0,SUM(AI4,AK4),"")</f>
        <v>139.1</v>
      </c>
      <c r="AM4" s="36">
        <v>28.4</v>
      </c>
      <c r="AN4" s="36">
        <v>9.1999999999999993</v>
      </c>
      <c r="AO4" s="36">
        <v>0</v>
      </c>
      <c r="AP4" s="36">
        <v>0.3</v>
      </c>
      <c r="AQ4" s="36">
        <v>28.6</v>
      </c>
      <c r="AR4" s="36">
        <v>9.1999999999999993</v>
      </c>
      <c r="AS4" s="36">
        <v>0</v>
      </c>
      <c r="AT4" s="36">
        <v>0.3</v>
      </c>
      <c r="AU4" s="36">
        <v>28.3</v>
      </c>
      <c r="AV4" s="36">
        <v>8.1</v>
      </c>
      <c r="AW4" s="36">
        <v>0</v>
      </c>
      <c r="AX4" s="36">
        <v>0.3</v>
      </c>
      <c r="AY4" s="36">
        <v>27.3</v>
      </c>
      <c r="AZ4" s="36">
        <v>6.4</v>
      </c>
      <c r="BA4" s="36">
        <v>0</v>
      </c>
      <c r="BB4" s="36">
        <v>0</v>
      </c>
      <c r="BC4" s="73"/>
      <c r="BD4" s="14">
        <f t="shared" ref="BD4:BD24" si="18">IF(SUM(AN4,AR4)&gt;0,SUM(AN4,AR4),"")</f>
        <v>18.399999999999999</v>
      </c>
      <c r="BE4" s="14">
        <f t="shared" ref="BE4:BE24" si="19">IF(SUM(AM4:AN4,AP4:AR4,AT4)-SUM(AO4,AS4)&gt;0,SUM(AM4:AN4,AP4:AR4,AT4)-SUM(AO4,AS4),"")</f>
        <v>76</v>
      </c>
      <c r="BF4" s="14">
        <f t="shared" ref="BF4:BF24" si="20">IF(SUM(AV4,AZ4)&gt;0,SUM(AV4,AZ4),"")</f>
        <v>14.5</v>
      </c>
      <c r="BG4" s="14">
        <f t="shared" ref="BG4:BG24" si="21">IF(SUM(AU4:AV4,AX4:AZ4,BB4)-SUM(AW4,BA4)&gt;0,SUM(AU4:AV4,AX4:AZ4,BB4)-SUM(AW4,BA4),"")</f>
        <v>70.400000000000006</v>
      </c>
      <c r="BH4" s="14">
        <f t="shared" ref="BH4:BH24" si="22">IF(SUM(BE4,BG4)&gt;0,SUM(BE4,BG4),"")</f>
        <v>146.4</v>
      </c>
      <c r="BI4" s="61">
        <v>28.9</v>
      </c>
      <c r="BJ4" s="61">
        <v>9.1999999999999993</v>
      </c>
      <c r="BK4" s="61">
        <v>0.3</v>
      </c>
      <c r="BL4" s="61">
        <v>0.3</v>
      </c>
      <c r="BM4" s="61">
        <v>28.9</v>
      </c>
      <c r="BN4" s="61">
        <v>9.1999999999999993</v>
      </c>
      <c r="BO4" s="61">
        <v>0</v>
      </c>
      <c r="BP4" s="61">
        <v>0.3</v>
      </c>
      <c r="BQ4" s="61">
        <v>20.5</v>
      </c>
      <c r="BR4" s="61">
        <v>2.8</v>
      </c>
      <c r="BS4" s="61">
        <v>0</v>
      </c>
      <c r="BT4" s="61">
        <v>0</v>
      </c>
      <c r="BU4" s="61">
        <v>20.7</v>
      </c>
      <c r="BV4" s="61">
        <v>3.6</v>
      </c>
      <c r="BW4" s="61">
        <v>0</v>
      </c>
      <c r="BX4" s="61">
        <v>0</v>
      </c>
      <c r="BY4" s="72"/>
      <c r="BZ4" s="11">
        <f t="shared" ref="BZ4:BZ24" si="23">IF(SUM(BJ4,BN4)&gt;0,SUM(BJ4,BN4),"")</f>
        <v>18.399999999999999</v>
      </c>
      <c r="CA4" s="11">
        <f t="shared" ref="CA4:CA24" si="24">IF(SUM(BI4:BJ4,BL4:BN4,BP4)-SUM(BK4,BO4)&gt;0,SUM(BI4:BJ4,BL4:BN4,BP4)-SUM(BK4,BO4),"")</f>
        <v>76.499999999999986</v>
      </c>
      <c r="CB4" s="11">
        <f t="shared" ref="CB4:CB24" si="25">IF(SUM(BR4,BV4)&gt;0,SUM(BR4,BV4),"")</f>
        <v>6.4</v>
      </c>
      <c r="CC4" s="11">
        <f t="shared" ref="CC4:CC24" si="26">IF(SUM(BQ4:BR4,BT4:BV4,BX4)-SUM(BS4,BW4)&gt;0,SUM(BQ4:BR4,BT4:BV4,BX4)-SUM(BS4,BW4),"")</f>
        <v>47.6</v>
      </c>
      <c r="CD4" s="11">
        <f t="shared" ref="CD4:CD24" si="27">IF(SUM(CA4,CC4)&gt;0,SUM(CA4,CC4),"")</f>
        <v>124.1</v>
      </c>
      <c r="CE4" s="23" t="str">
        <f t="shared" ref="CE4:CE24" si="28">IF(MAX(CX4,DS4,EN4,FI4,GD4,GY4,HT4,IO4,JJ4,KE4,KZ4,LU4)-IF(J4="",0,J4)&gt;0.001,MAX(CX4,DS4,EN4,FI4,GD4,GY4,HT4,IO4,JJ4,KE4,KZ4,LU4)-IF(J4="",0,J4),"")</f>
        <v/>
      </c>
      <c r="CF4" s="23" t="str">
        <f t="shared" ref="CF4:CF24" si="29"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4" si="30">IF(SUM(CH4,CL4)&gt;0,SUM(CH4,CL4),"")</f>
        <v/>
      </c>
      <c r="CX4" s="11" t="str">
        <f t="shared" ref="CX4:CX24" si="31">IF(SUM(CG4:CH4,CJ4:CL4,CN4)-SUM(CI4,CM4)&gt;0,SUM(CG4:CH4,CJ4:CL4,CN4)-SUM(CI4,CM4),"")</f>
        <v/>
      </c>
      <c r="CY4" s="11" t="str">
        <f t="shared" ref="CY4:CY24" si="32">IF(SUM(CP4,CT4)&gt;0,SUM(CP4,CT4),"")</f>
        <v/>
      </c>
      <c r="CZ4" s="11" t="str">
        <f t="shared" ref="CZ4:CZ24" si="33">IF(SUM(CO4:CP4,CR4:CT4,CV4)-SUM(CQ4,CU4)&gt;0,SUM(CO4:CP4,CR4:CT4,CV4)-SUM(CQ4,CU4),"")</f>
        <v/>
      </c>
      <c r="DA4" s="11" t="str">
        <f t="shared" ref="DA4:DA24" si="34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4" si="35">IF(SUM(DC4,DG4)&gt;0,SUM(DC4,DG4),"")</f>
        <v/>
      </c>
      <c r="DS4" s="14" t="str">
        <f t="shared" ref="DS4:DS24" si="36">IF(SUM(DB4:DC4,DE4:DG4,DI4)-SUM(DD4,DH4)&gt;0,SUM(DB4:DC4,DE4:DG4,DI4)-SUM(DD4,DH4),"")</f>
        <v/>
      </c>
      <c r="DT4" s="14" t="str">
        <f t="shared" ref="DT4:DT24" si="37">IF(SUM(DK4,DO4)&gt;0,SUM(DK4,DO4),"")</f>
        <v/>
      </c>
      <c r="DU4" s="14" t="str">
        <f t="shared" ref="DU4:DU24" si="38">IF(SUM(DJ4:DK4,DM4:DO4,DQ4)-SUM(DL4,DP4)&gt;0,SUM(DJ4:DK4,DM4:DO4,DQ4)-SUM(DL4,DP4),"")</f>
        <v/>
      </c>
      <c r="DV4" s="14" t="str">
        <f t="shared" ref="DV4:DV24" si="39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4" si="40">IF(SUM(DX4,EB4)&gt;0,SUM(DX4,EB4),"")</f>
        <v/>
      </c>
      <c r="EN4" s="11" t="str">
        <f t="shared" ref="EN4:EN24" si="41">IF(SUM(DW4:DX4,DZ4:EB4,ED4)-SUM(DY4,EC4)&gt;0,SUM(DW4:DX4,DZ4:EB4,ED4)-SUM(DY4,EC4),"")</f>
        <v/>
      </c>
      <c r="EO4" s="11" t="str">
        <f t="shared" ref="EO4:EO24" si="42">IF(SUM(EF4,EJ4)&gt;0,SUM(EF4,EJ4),"")</f>
        <v/>
      </c>
      <c r="EP4" s="11" t="str">
        <f t="shared" ref="EP4:EP24" si="43">IF(SUM(EE4:EF4,EH4:EJ4,EL4)-SUM(EG4,EK4)&gt;0,SUM(EE4:EF4,EH4:EJ4,EL4)-SUM(EG4,EK4),"")</f>
        <v/>
      </c>
      <c r="EQ4" s="11" t="str">
        <f t="shared" ref="EQ4:EQ24" si="44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4" si="45">IF(SUM(ES4,EW4)&gt;0,SUM(ES4,EW4),"")</f>
        <v/>
      </c>
      <c r="FI4" s="14" t="str">
        <f t="shared" ref="FI4:FI24" si="46">IF(SUM(ER4:ES4,EU4:EW4,EY4)-SUM(ET4,EX4)&gt;0,SUM(ER4:ES4,EU4:EW4,EY4)-SUM(ET4,EX4),"")</f>
        <v/>
      </c>
      <c r="FJ4" s="14" t="str">
        <f t="shared" ref="FJ4:FJ24" si="47">IF(SUM(FA4,FE4)&gt;0,SUM(FA4,FE4),"")</f>
        <v/>
      </c>
      <c r="FK4" s="14" t="str">
        <f t="shared" ref="FK4:FK24" si="48">IF(SUM(EZ4:FA4,FC4:FE4,FG4)-SUM(FB4,FF4)&gt;0,SUM(EZ4:FA4,FC4:FE4,FG4)-SUM(FB4,FF4),"")</f>
        <v/>
      </c>
      <c r="FL4" s="14" t="str">
        <f t="shared" ref="FL4:FL24" si="49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4" si="50">IF(SUM(FN4,FR4)&gt;0,SUM(FN4,FR4),"")</f>
        <v/>
      </c>
      <c r="GD4" s="11" t="str">
        <f t="shared" ref="GD4:GD24" si="51">IF(SUM(FM4:FN4,FP4:FR4,FT4)-SUM(FO4,FS4)&gt;0,SUM(FM4:FN4,FP4:FR4,FT4)-SUM(FO4,FS4),"")</f>
        <v/>
      </c>
      <c r="GE4" s="11" t="str">
        <f t="shared" ref="GE4:GE24" si="52">IF(SUM(FV4,FZ4)&gt;0,SUM(FV4,FZ4),"")</f>
        <v/>
      </c>
      <c r="GF4" s="11" t="str">
        <f t="shared" ref="GF4:GF24" si="53">IF(SUM(FU4:FV4,FX4:FZ4,GB4)-SUM(FW4,GA4)&gt;0,SUM(FU4:FV4,FX4:FZ4,GB4)-SUM(FW4,GA4),"")</f>
        <v/>
      </c>
      <c r="GG4" s="11" t="str">
        <f t="shared" ref="GG4:GG24" si="54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4" si="55">IF(SUM(GI4,GM4)&gt;0,SUM(GI4,GM4),"")</f>
        <v/>
      </c>
      <c r="GY4" s="14" t="str">
        <f t="shared" ref="GY4:GY24" si="56">IF(SUM(GH4:GI4,GK4:GM4,GO4)-SUM(GJ4,GN4)&gt;0,SUM(GH4:GI4,GK4:GM4,GO4)-SUM(GJ4,GN4),"")</f>
        <v/>
      </c>
      <c r="GZ4" s="14" t="str">
        <f t="shared" ref="GZ4:GZ24" si="57">IF(SUM(GQ4,GU4)&gt;0,SUM(GQ4,GU4),"")</f>
        <v/>
      </c>
      <c r="HA4" s="14" t="str">
        <f t="shared" ref="HA4:HA24" si="58">IF(SUM(GP4:GQ4,GS4:GU4,GW4)-SUM(GR4,GV4)&gt;0,SUM(GP4:GQ4,GS4:GU4,GW4)-SUM(GR4,GV4),"")</f>
        <v/>
      </c>
      <c r="HB4" s="14" t="str">
        <f t="shared" ref="HB4:HB24" si="59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4" si="60">IF(SUM(HD4,HH4)&gt;0,SUM(HD4,HH4),"")</f>
        <v/>
      </c>
      <c r="HT4" s="11" t="str">
        <f t="shared" ref="HT4:HT24" si="61">IF(SUM(HC4:HD4,HF4:HH4,HJ4)-SUM(HE4,HI4)&gt;0,SUM(HC4:HD4,HF4:HH4,HJ4)-SUM(HE4,HI4),"")</f>
        <v/>
      </c>
      <c r="HU4" s="11" t="str">
        <f t="shared" ref="HU4:HU24" si="62">IF(SUM(HL4,HP4)&gt;0,SUM(HL4,HP4),"")</f>
        <v/>
      </c>
      <c r="HV4" s="11" t="str">
        <f t="shared" ref="HV4:HV24" si="63">IF(SUM(HK4:HL4,HN4:HP4,HR4)-SUM(HM4,HQ4)&gt;0,SUM(HK4:HL4,HN4:HP4,HR4)-SUM(HM4,HQ4),"")</f>
        <v/>
      </c>
      <c r="HW4" s="11" t="str">
        <f t="shared" ref="HW4:HW24" si="64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4" si="65">IF(SUM(HY4,IC4)&gt;0,SUM(HY4,IC4),"")</f>
        <v/>
      </c>
      <c r="IO4" s="14" t="str">
        <f t="shared" ref="IO4:IO24" si="66">IF(SUM(HX4:HY4,IA4:IC4,IE4)-SUM(HZ4,ID4)&gt;0,SUM(HX4:HY4,IA4:IC4,IE4)-SUM(HZ4,ID4),"")</f>
        <v/>
      </c>
      <c r="IP4" s="14" t="str">
        <f t="shared" ref="IP4:IP24" si="67">IF(SUM(IG4,IK4)&gt;0,SUM(IG4,IK4),"")</f>
        <v/>
      </c>
      <c r="IQ4" s="14" t="str">
        <f t="shared" ref="IQ4:IQ24" si="68">IF(SUM(IF4:IG4,II4:IK4,IM4)-SUM(IH4,IL4)&gt;0,SUM(IF4:IG4,II4:IK4,IM4)-SUM(IH4,IL4),"")</f>
        <v/>
      </c>
      <c r="IR4" s="14" t="str">
        <f t="shared" ref="IR4:IR24" si="69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4" si="70">IF(SUM(IT4,IX4)&gt;0,SUM(IT4,IX4),"")</f>
        <v/>
      </c>
      <c r="JJ4" s="11" t="str">
        <f t="shared" ref="JJ4:JJ24" si="71">IF(SUM(IS4:IT4,IV4:IX4,IZ4)-SUM(IU4,IY4)&gt;0,SUM(IS4:IT4,IV4:IX4,IZ4)-SUM(IU4,IY4),"")</f>
        <v/>
      </c>
      <c r="JK4" s="11" t="str">
        <f t="shared" ref="JK4:JK24" si="72">IF(SUM(JB4,JF4)&gt;0,SUM(JB4,JF4),"")</f>
        <v/>
      </c>
      <c r="JL4" s="11" t="str">
        <f t="shared" ref="JL4:JL24" si="73">IF(SUM(JA4:JB4,JD4:JF4,JH4)-SUM(JC4,JG4)&gt;0,SUM(JA4:JB4,JD4:JF4,JH4)-SUM(JC4,JG4),"")</f>
        <v/>
      </c>
      <c r="JM4" s="11" t="str">
        <f t="shared" ref="JM4:JM24" si="74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4" si="75">IF(SUM(JO4,JS4)&gt;0,SUM(JO4,JS4),"")</f>
        <v/>
      </c>
      <c r="KE4" s="14" t="str">
        <f t="shared" ref="KE4:KE24" si="76">IF(SUM(JN4:JO4,JQ4:JS4,JU4)-SUM(JP4,JT4)&gt;0,SUM(JN4:JO4,JQ4:JS4,JU4)-SUM(JP4,JT4),"")</f>
        <v/>
      </c>
      <c r="KF4" s="14" t="str">
        <f t="shared" ref="KF4:KF24" si="77">IF(SUM(JW4,KA4)&gt;0,SUM(JW4,KA4),"")</f>
        <v/>
      </c>
      <c r="KG4" s="14" t="str">
        <f t="shared" ref="KG4:KG24" si="78">IF(SUM(JV4:JW4,JY4:KA4,KC4)-SUM(JX4,KB4)&gt;0,SUM(JV4:JW4,JY4:KA4,KC4)-SUM(JX4,KB4),"")</f>
        <v/>
      </c>
      <c r="KH4" s="14" t="str">
        <f t="shared" ref="KH4:KH24" si="79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4" si="80">IF(SUM(KJ4,KN4)&gt;0,SUM(KJ4,KN4),"")</f>
        <v/>
      </c>
      <c r="KZ4" s="11" t="str">
        <f t="shared" ref="KZ4:KZ24" si="81">IF(SUM(KI4:KJ4,KL4:KN4,KP4)-SUM(KK4,KO4)&gt;0,SUM(KI4:KJ4,KL4:KN4,KP4)-SUM(KK4,KO4),"")</f>
        <v/>
      </c>
      <c r="LA4" s="11" t="str">
        <f t="shared" ref="LA4:LA24" si="82">IF(SUM(KR4,KV4)&gt;0,SUM(KR4,KV4),"")</f>
        <v/>
      </c>
      <c r="LB4" s="11" t="str">
        <f t="shared" ref="LB4:LB24" si="83">IF(SUM(KQ4:KR4,KT4:KV4,KX4)-SUM(KS4,KW4)&gt;0,SUM(KQ4:KR4,KT4:KV4,KX4)-SUM(KS4,KW4),"")</f>
        <v/>
      </c>
      <c r="LC4" s="11" t="str">
        <f t="shared" ref="LC4:LC24" si="84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4" si="85">IF(SUM(LE4,LI4)&gt;0,SUM(LE4,LI4),"")</f>
        <v/>
      </c>
      <c r="LU4" s="14" t="str">
        <f t="shared" ref="LU4:LU24" si="86">IF(SUM(LD4:LE4,LG4:LI4,LK4)-SUM(LF4,LJ4)&gt;0,SUM(LD4:LE4,LG4:LI4,LK4)-SUM(LF4,LJ4),"")</f>
        <v/>
      </c>
      <c r="LV4" s="14" t="str">
        <f t="shared" ref="LV4:LV24" si="87">IF(SUM(LM4,LQ4)&gt;0,SUM(LM4,LQ4),"")</f>
        <v/>
      </c>
      <c r="LW4" s="14" t="str">
        <f t="shared" ref="LW4:LW24" si="88">IF(SUM(LL4:LM4,LO4:LQ4,LS4)-SUM(LN4,LR4)&gt;0,SUM(LL4:LM4,LO4:LQ4,LS4)-SUM(LN4,LR4),"")</f>
        <v/>
      </c>
      <c r="LX4" s="14" t="str">
        <f t="shared" ref="LX4:LX24" si="89">IF(SUM(LU4,LW4)&gt;0,SUM(LU4,LW4),"")</f>
        <v/>
      </c>
      <c r="LY4" s="61">
        <f t="shared" ref="LY4:LY24" si="90">IF($BY4="P",BI4,(BI4+AM4)/2)</f>
        <v>28.65</v>
      </c>
      <c r="LZ4" s="61">
        <f t="shared" ref="LZ4:LZ24" si="91">IF($BY4="P",BJ4,(BJ4+AN4)/2)</f>
        <v>9.1999999999999993</v>
      </c>
      <c r="MA4" s="61">
        <f t="shared" ref="MA4:MA24" si="92">IF($BY4="P",BK4,(BK4+AO4)/2)</f>
        <v>0.15</v>
      </c>
      <c r="MB4" s="61">
        <f t="shared" ref="MB4:MB24" si="93">IF($BY4="P",BL4,(BL4+AP4)/2)</f>
        <v>0.3</v>
      </c>
      <c r="MC4" s="61">
        <f t="shared" ref="MC4:MC24" si="94">IF($BY4="P",BM4,(BM4+AQ4)/2)</f>
        <v>28.75</v>
      </c>
      <c r="MD4" s="61">
        <f t="shared" ref="MD4:MD24" si="95">IF($BY4="P",BN4,(BN4+AR4)/2)</f>
        <v>9.1999999999999993</v>
      </c>
      <c r="ME4" s="61">
        <f t="shared" ref="ME4:ME24" si="96">IF($BY4="P",BO4,(BO4+AS4)/2)</f>
        <v>0</v>
      </c>
      <c r="MF4" s="61">
        <f t="shared" ref="MF4:MF24" si="97">IF($BY4="P",BP4,(BP4+AT4)/2)</f>
        <v>0.3</v>
      </c>
      <c r="MG4" s="61">
        <f t="shared" ref="MG4:MG24" si="98">IF($BY4="P",BQ4,(BQ4+AU4)/2)</f>
        <v>24.4</v>
      </c>
      <c r="MH4" s="61">
        <f t="shared" ref="MH4:MH24" si="99">IF($BY4="P",BR4,(BR4+AV4)/2)</f>
        <v>5.4499999999999993</v>
      </c>
      <c r="MI4" s="61">
        <f t="shared" ref="MI4:MI24" si="100">IF($BY4="P",BS4,(BS4+AW4)/2)</f>
        <v>0</v>
      </c>
      <c r="MJ4" s="61">
        <f t="shared" ref="MJ4:MJ24" si="101">IF($BY4="P",BT4,(BT4+AX4)/2)</f>
        <v>0.15</v>
      </c>
      <c r="MK4" s="61">
        <f t="shared" ref="MK4:MK24" si="102">IF($BY4="P",BU4,(BU4+AY4)/2)</f>
        <v>24</v>
      </c>
      <c r="ML4" s="61">
        <f t="shared" ref="ML4:ML24" si="103">IF($BY4="P",BV4,(BV4+AZ4)/2)</f>
        <v>5</v>
      </c>
      <c r="MM4" s="61">
        <f t="shared" ref="MM4:MM24" si="104">IF($BY4="P",BW4,(BW4+BA4)/2)</f>
        <v>0</v>
      </c>
      <c r="MN4" s="61">
        <f t="shared" ref="MN4:MN24" si="105">IF($BY4="P",BX4,(BX4+BB4)/2)</f>
        <v>0</v>
      </c>
      <c r="MO4" s="72" t="s">
        <v>52</v>
      </c>
      <c r="MP4" s="11">
        <f t="shared" ref="MP4:MP24" si="106">IF(SUM(LZ4,MD4)&gt;0,SUM(LZ4,MD4),"")</f>
        <v>18.399999999999999</v>
      </c>
      <c r="MQ4" s="11">
        <f t="shared" ref="MQ4:MQ24" si="107">IF(SUM(LY4:LZ4,MB4:MD4,MF4)-SUM(MA4,ME4)&gt;0,SUM(LY4:LZ4,MB4:MD4,MF4)-SUM(MA4,ME4),"")</f>
        <v>76.249999999999986</v>
      </c>
      <c r="MR4" s="11">
        <f t="shared" ref="MR4:MR24" si="108">IF(SUM(MH4,ML4)&gt;0,SUM(MH4,ML4),"")</f>
        <v>10.45</v>
      </c>
      <c r="MS4" s="11">
        <f t="shared" ref="MS4:MS24" si="109">IF(SUM(MG4:MH4,MJ4:ML4,MN4)-SUM(MI4,MM4)&gt;0,SUM(MG4:MH4,MJ4:ML4,MN4)-SUM(MI4,MM4),"")</f>
        <v>59</v>
      </c>
      <c r="MT4" s="11">
        <f t="shared" ref="MT4:MT24" si="110">IF(SUM(MQ4,MS4)&gt;0,SUM(MQ4,MS4),"")</f>
        <v>135.25</v>
      </c>
    </row>
    <row r="5" spans="1:358" x14ac:dyDescent="0.2">
      <c r="A5" s="5">
        <f t="shared" si="0"/>
        <v>2</v>
      </c>
      <c r="B5" s="8" t="s">
        <v>78</v>
      </c>
      <c r="C5" s="4" t="s">
        <v>5</v>
      </c>
      <c r="D5" s="5">
        <v>2003</v>
      </c>
      <c r="E5" s="15">
        <f t="shared" si="1"/>
        <v>220.1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74.599999999999994</v>
      </c>
      <c r="K5" s="14" t="str">
        <f t="shared" si="7"/>
        <v>2021 Elite Canada</v>
      </c>
      <c r="L5" s="14">
        <f t="shared" si="8"/>
        <v>145.5</v>
      </c>
      <c r="M5" s="14" t="str">
        <f t="shared" si="9"/>
        <v>2021 2nd Virtual Technical Trial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61">
        <v>28.8</v>
      </c>
      <c r="R5" s="61">
        <v>8</v>
      </c>
      <c r="S5" s="61">
        <v>0</v>
      </c>
      <c r="T5" s="61">
        <v>0.3</v>
      </c>
      <c r="U5" s="61">
        <v>28.6</v>
      </c>
      <c r="V5" s="61">
        <v>8.4</v>
      </c>
      <c r="W5" s="61">
        <v>0.9</v>
      </c>
      <c r="X5" s="61">
        <v>0</v>
      </c>
      <c r="Y5" s="61">
        <v>27.8</v>
      </c>
      <c r="Z5" s="61">
        <v>8.1</v>
      </c>
      <c r="AA5" s="61">
        <v>0</v>
      </c>
      <c r="AB5" s="61">
        <v>0</v>
      </c>
      <c r="AC5" s="61">
        <v>28</v>
      </c>
      <c r="AD5" s="61">
        <v>8.4</v>
      </c>
      <c r="AE5" s="61">
        <v>0.3</v>
      </c>
      <c r="AF5" s="61">
        <v>0.3</v>
      </c>
      <c r="AG5" s="72"/>
      <c r="AH5" s="11">
        <f t="shared" si="13"/>
        <v>16.399999999999999</v>
      </c>
      <c r="AI5" s="11">
        <f t="shared" si="14"/>
        <v>73.199999999999989</v>
      </c>
      <c r="AJ5" s="11">
        <f t="shared" si="15"/>
        <v>16.5</v>
      </c>
      <c r="AK5" s="11">
        <f t="shared" si="16"/>
        <v>72.3</v>
      </c>
      <c r="AL5" s="11">
        <f t="shared" si="17"/>
        <v>145.5</v>
      </c>
      <c r="AM5" s="36">
        <v>28.5</v>
      </c>
      <c r="AN5" s="36">
        <v>8.8000000000000007</v>
      </c>
      <c r="AO5" s="36">
        <v>0</v>
      </c>
      <c r="AP5" s="36">
        <v>0.3</v>
      </c>
      <c r="AQ5" s="36">
        <v>28.6</v>
      </c>
      <c r="AR5" s="36">
        <v>8.4</v>
      </c>
      <c r="AS5" s="36">
        <v>0</v>
      </c>
      <c r="AT5" s="36">
        <v>0</v>
      </c>
      <c r="AU5" s="36">
        <v>20.100000000000001</v>
      </c>
      <c r="AV5" s="36">
        <v>4.8</v>
      </c>
      <c r="AW5" s="36">
        <v>0</v>
      </c>
      <c r="AX5" s="36">
        <v>0.3</v>
      </c>
      <c r="AY5" s="36">
        <v>27.5</v>
      </c>
      <c r="AZ5" s="36">
        <v>8.9</v>
      </c>
      <c r="BA5" s="36">
        <v>0</v>
      </c>
      <c r="BB5" s="36">
        <v>0.3</v>
      </c>
      <c r="BC5" s="73"/>
      <c r="BD5" s="14">
        <f t="shared" si="18"/>
        <v>17.200000000000003</v>
      </c>
      <c r="BE5" s="14">
        <f t="shared" si="19"/>
        <v>74.599999999999994</v>
      </c>
      <c r="BF5" s="14">
        <f t="shared" si="20"/>
        <v>13.7</v>
      </c>
      <c r="BG5" s="14">
        <f t="shared" si="21"/>
        <v>61.9</v>
      </c>
      <c r="BH5" s="14">
        <f t="shared" si="22"/>
        <v>136.5</v>
      </c>
      <c r="BI5" s="61">
        <v>29</v>
      </c>
      <c r="BJ5" s="61">
        <v>9.1999999999999993</v>
      </c>
      <c r="BK5" s="61">
        <v>0</v>
      </c>
      <c r="BL5" s="61">
        <v>0.3</v>
      </c>
      <c r="BM5" s="61">
        <v>27.5</v>
      </c>
      <c r="BN5" s="61">
        <v>6.8</v>
      </c>
      <c r="BO5" s="61">
        <v>1.5</v>
      </c>
      <c r="BP5" s="61">
        <v>0</v>
      </c>
      <c r="BQ5" s="61">
        <v>29.2</v>
      </c>
      <c r="BR5" s="61">
        <v>7.2</v>
      </c>
      <c r="BS5" s="61">
        <v>0.9</v>
      </c>
      <c r="BT5" s="61">
        <v>0</v>
      </c>
      <c r="BU5" s="61">
        <v>28.7</v>
      </c>
      <c r="BV5" s="61">
        <v>7.2</v>
      </c>
      <c r="BW5" s="61">
        <v>0.9</v>
      </c>
      <c r="BX5" s="61">
        <v>0</v>
      </c>
      <c r="BY5" s="72"/>
      <c r="BZ5" s="11">
        <f t="shared" si="23"/>
        <v>16</v>
      </c>
      <c r="CA5" s="11">
        <f t="shared" si="24"/>
        <v>71.3</v>
      </c>
      <c r="CB5" s="11">
        <f t="shared" si="25"/>
        <v>14.4</v>
      </c>
      <c r="CC5" s="11">
        <f t="shared" si="26"/>
        <v>70.5</v>
      </c>
      <c r="CD5" s="11">
        <f t="shared" si="27"/>
        <v>141.80000000000001</v>
      </c>
      <c r="CE5" s="23" t="str">
        <f t="shared" si="28"/>
        <v/>
      </c>
      <c r="CF5" s="23" t="str">
        <f t="shared" si="29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28.75</v>
      </c>
      <c r="LZ5" s="61">
        <f t="shared" si="91"/>
        <v>9</v>
      </c>
      <c r="MA5" s="61">
        <f t="shared" si="92"/>
        <v>0</v>
      </c>
      <c r="MB5" s="61">
        <f t="shared" si="93"/>
        <v>0.3</v>
      </c>
      <c r="MC5" s="61">
        <f t="shared" si="94"/>
        <v>28.05</v>
      </c>
      <c r="MD5" s="61">
        <f t="shared" si="95"/>
        <v>7.6</v>
      </c>
      <c r="ME5" s="61">
        <f t="shared" si="96"/>
        <v>0.75</v>
      </c>
      <c r="MF5" s="61">
        <f t="shared" si="97"/>
        <v>0</v>
      </c>
      <c r="MG5" s="61">
        <f t="shared" si="98"/>
        <v>24.65</v>
      </c>
      <c r="MH5" s="61">
        <f t="shared" si="99"/>
        <v>6</v>
      </c>
      <c r="MI5" s="61">
        <f t="shared" si="100"/>
        <v>0.45</v>
      </c>
      <c r="MJ5" s="61">
        <f t="shared" si="101"/>
        <v>0.15</v>
      </c>
      <c r="MK5" s="61">
        <f t="shared" si="102"/>
        <v>28.1</v>
      </c>
      <c r="ML5" s="61">
        <f t="shared" si="103"/>
        <v>8.0500000000000007</v>
      </c>
      <c r="MM5" s="61">
        <f t="shared" si="104"/>
        <v>0.45</v>
      </c>
      <c r="MN5" s="61">
        <f t="shared" si="105"/>
        <v>0.15</v>
      </c>
      <c r="MO5" s="72" t="s">
        <v>52</v>
      </c>
      <c r="MP5" s="11">
        <f t="shared" si="106"/>
        <v>16.600000000000001</v>
      </c>
      <c r="MQ5" s="11">
        <f t="shared" si="107"/>
        <v>72.949999999999989</v>
      </c>
      <c r="MR5" s="11">
        <f t="shared" si="108"/>
        <v>14.05</v>
      </c>
      <c r="MS5" s="11">
        <f t="shared" si="109"/>
        <v>66.2</v>
      </c>
      <c r="MT5" s="11">
        <f t="shared" si="110"/>
        <v>139.14999999999998</v>
      </c>
    </row>
    <row r="6" spans="1:358" x14ac:dyDescent="0.2">
      <c r="A6" s="5">
        <f t="shared" si="0"/>
        <v>3</v>
      </c>
      <c r="B6" s="8" t="s">
        <v>83</v>
      </c>
      <c r="C6" s="4" t="s">
        <v>4</v>
      </c>
      <c r="D6" s="5">
        <v>2002</v>
      </c>
      <c r="E6" s="15">
        <f t="shared" si="1"/>
        <v>212.1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71.400000000000006</v>
      </c>
      <c r="K6" s="14" t="str">
        <f t="shared" si="7"/>
        <v>2021 2nd Virtual Technical Trial</v>
      </c>
      <c r="L6" s="14">
        <f t="shared" si="8"/>
        <v>140.69999999999999</v>
      </c>
      <c r="M6" s="14" t="str">
        <f t="shared" si="9"/>
        <v>2021 Elite Canada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28.5</v>
      </c>
      <c r="R6" s="61">
        <v>7.2</v>
      </c>
      <c r="S6" s="61">
        <v>0</v>
      </c>
      <c r="T6" s="61">
        <v>0</v>
      </c>
      <c r="U6" s="61">
        <v>28</v>
      </c>
      <c r="V6" s="61">
        <v>7.7</v>
      </c>
      <c r="W6" s="61">
        <v>0.3</v>
      </c>
      <c r="X6" s="61">
        <v>0.3</v>
      </c>
      <c r="Y6" s="61">
        <v>0</v>
      </c>
      <c r="Z6" s="61">
        <v>0</v>
      </c>
      <c r="AA6" s="61">
        <v>0</v>
      </c>
      <c r="AB6" s="61">
        <v>0</v>
      </c>
      <c r="AC6" s="61">
        <v>27.9</v>
      </c>
      <c r="AD6" s="61">
        <v>8.1</v>
      </c>
      <c r="AE6" s="61">
        <v>0.9</v>
      </c>
      <c r="AF6" s="61">
        <v>0</v>
      </c>
      <c r="AG6" s="72"/>
      <c r="AH6" s="11">
        <f t="shared" si="13"/>
        <v>14.9</v>
      </c>
      <c r="AI6" s="11">
        <f t="shared" si="14"/>
        <v>71.400000000000006</v>
      </c>
      <c r="AJ6" s="11">
        <f t="shared" si="15"/>
        <v>8.1</v>
      </c>
      <c r="AK6" s="11">
        <f t="shared" si="16"/>
        <v>35.1</v>
      </c>
      <c r="AL6" s="11">
        <f t="shared" si="17"/>
        <v>106.5</v>
      </c>
      <c r="AM6" s="36">
        <v>27.9</v>
      </c>
      <c r="AN6" s="36">
        <v>7.2</v>
      </c>
      <c r="AO6" s="36">
        <v>0.3</v>
      </c>
      <c r="AP6" s="36">
        <v>0</v>
      </c>
      <c r="AQ6" s="36">
        <v>27.9</v>
      </c>
      <c r="AR6" s="36">
        <v>7.2</v>
      </c>
      <c r="AS6" s="36">
        <v>0</v>
      </c>
      <c r="AT6" s="36">
        <v>0</v>
      </c>
      <c r="AU6" s="36">
        <v>26.8</v>
      </c>
      <c r="AV6" s="36">
        <v>8.1</v>
      </c>
      <c r="AW6" s="36">
        <v>0</v>
      </c>
      <c r="AX6" s="36">
        <v>0</v>
      </c>
      <c r="AY6" s="36">
        <v>27.9</v>
      </c>
      <c r="AZ6" s="36">
        <v>7.7</v>
      </c>
      <c r="BA6" s="36">
        <v>0</v>
      </c>
      <c r="BB6" s="36">
        <v>0.3</v>
      </c>
      <c r="BC6" s="73"/>
      <c r="BD6" s="14">
        <f t="shared" si="18"/>
        <v>14.4</v>
      </c>
      <c r="BE6" s="14">
        <f t="shared" si="19"/>
        <v>69.900000000000006</v>
      </c>
      <c r="BF6" s="14">
        <f t="shared" si="20"/>
        <v>15.8</v>
      </c>
      <c r="BG6" s="14">
        <f t="shared" si="21"/>
        <v>70.8</v>
      </c>
      <c r="BH6" s="14">
        <f t="shared" si="22"/>
        <v>140.69999999999999</v>
      </c>
      <c r="BI6" s="61">
        <v>27.7</v>
      </c>
      <c r="BJ6" s="61">
        <v>8.4</v>
      </c>
      <c r="BK6" s="61">
        <v>0</v>
      </c>
      <c r="BL6" s="61">
        <v>0</v>
      </c>
      <c r="BM6" s="61">
        <v>20.399999999999999</v>
      </c>
      <c r="BN6" s="61">
        <v>2.8</v>
      </c>
      <c r="BO6" s="61">
        <v>0</v>
      </c>
      <c r="BP6" s="61">
        <v>0</v>
      </c>
      <c r="BQ6" s="61"/>
      <c r="BR6" s="61"/>
      <c r="BS6" s="61"/>
      <c r="BT6" s="61"/>
      <c r="BU6" s="61"/>
      <c r="BV6" s="61"/>
      <c r="BW6" s="61"/>
      <c r="BX6" s="61"/>
      <c r="BY6" s="72"/>
      <c r="BZ6" s="11">
        <f t="shared" si="23"/>
        <v>11.2</v>
      </c>
      <c r="CA6" s="11">
        <f t="shared" si="24"/>
        <v>59.3</v>
      </c>
      <c r="CB6" s="11" t="str">
        <f t="shared" si="25"/>
        <v/>
      </c>
      <c r="CC6" s="11" t="str">
        <f t="shared" si="26"/>
        <v/>
      </c>
      <c r="CD6" s="11">
        <f t="shared" si="27"/>
        <v>59.3</v>
      </c>
      <c r="CE6" s="23" t="str">
        <f t="shared" si="28"/>
        <v/>
      </c>
      <c r="CF6" s="23" t="str">
        <f t="shared" si="29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27.799999999999997</v>
      </c>
      <c r="LZ6" s="61">
        <f t="shared" si="91"/>
        <v>7.8000000000000007</v>
      </c>
      <c r="MA6" s="61">
        <f t="shared" si="92"/>
        <v>0.15</v>
      </c>
      <c r="MB6" s="61">
        <f t="shared" si="93"/>
        <v>0</v>
      </c>
      <c r="MC6" s="61">
        <f t="shared" si="94"/>
        <v>24.15</v>
      </c>
      <c r="MD6" s="61">
        <f t="shared" si="95"/>
        <v>5</v>
      </c>
      <c r="ME6" s="61">
        <f t="shared" si="96"/>
        <v>0</v>
      </c>
      <c r="MF6" s="61">
        <f t="shared" si="97"/>
        <v>0</v>
      </c>
      <c r="MG6" s="61">
        <f t="shared" si="98"/>
        <v>13.4</v>
      </c>
      <c r="MH6" s="61">
        <f t="shared" si="99"/>
        <v>4.05</v>
      </c>
      <c r="MI6" s="61">
        <f t="shared" si="100"/>
        <v>0</v>
      </c>
      <c r="MJ6" s="61">
        <f t="shared" si="101"/>
        <v>0</v>
      </c>
      <c r="MK6" s="61">
        <f t="shared" si="102"/>
        <v>13.95</v>
      </c>
      <c r="ML6" s="61">
        <f t="shared" si="103"/>
        <v>3.85</v>
      </c>
      <c r="MM6" s="61">
        <f t="shared" si="104"/>
        <v>0</v>
      </c>
      <c r="MN6" s="61">
        <f t="shared" si="105"/>
        <v>0.15</v>
      </c>
      <c r="MO6" s="72" t="s">
        <v>52</v>
      </c>
      <c r="MP6" s="11">
        <f t="shared" si="106"/>
        <v>12.8</v>
      </c>
      <c r="MQ6" s="11">
        <f t="shared" si="107"/>
        <v>64.599999999999994</v>
      </c>
      <c r="MR6" s="11">
        <f t="shared" si="108"/>
        <v>7.9</v>
      </c>
      <c r="MS6" s="11">
        <f t="shared" si="109"/>
        <v>35.4</v>
      </c>
      <c r="MT6" s="11">
        <f t="shared" si="110"/>
        <v>100</v>
      </c>
    </row>
    <row r="7" spans="1:358" x14ac:dyDescent="0.2">
      <c r="A7" s="5">
        <f t="shared" si="0"/>
        <v>4</v>
      </c>
      <c r="B7" s="8" t="s">
        <v>85</v>
      </c>
      <c r="C7" s="4" t="s">
        <v>4</v>
      </c>
      <c r="D7" s="5">
        <v>2003</v>
      </c>
      <c r="E7" s="15">
        <f t="shared" si="1"/>
        <v>208.6</v>
      </c>
      <c r="F7" s="3" t="str">
        <f t="shared" si="2"/>
        <v>P</v>
      </c>
      <c r="G7" s="3" t="str">
        <f t="shared" si="3"/>
        <v>P</v>
      </c>
      <c r="H7" s="116" t="str">
        <f t="shared" si="4"/>
        <v>National Team</v>
      </c>
      <c r="I7" s="3" t="str">
        <f t="shared" si="5"/>
        <v/>
      </c>
      <c r="J7" s="14">
        <f t="shared" si="6"/>
        <v>70.5</v>
      </c>
      <c r="K7" s="14" t="str">
        <f t="shared" si="7"/>
        <v>2021 2nd Virtual Technical Trial</v>
      </c>
      <c r="L7" s="14">
        <f t="shared" si="8"/>
        <v>138.1</v>
      </c>
      <c r="M7" s="14" t="str">
        <f t="shared" si="9"/>
        <v>2021 Elite Canada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28.2</v>
      </c>
      <c r="R7" s="61">
        <v>7.6</v>
      </c>
      <c r="S7" s="61">
        <v>1.2</v>
      </c>
      <c r="T7" s="61">
        <v>0</v>
      </c>
      <c r="U7" s="61">
        <v>28.7</v>
      </c>
      <c r="V7" s="61">
        <v>7.2</v>
      </c>
      <c r="W7" s="61">
        <v>0</v>
      </c>
      <c r="X7" s="61">
        <v>0</v>
      </c>
      <c r="Y7" s="61">
        <v>28.4</v>
      </c>
      <c r="Z7" s="61">
        <v>6</v>
      </c>
      <c r="AA7" s="61">
        <v>1.2</v>
      </c>
      <c r="AB7" s="61">
        <v>0</v>
      </c>
      <c r="AC7" s="61">
        <v>27.7</v>
      </c>
      <c r="AD7" s="61">
        <v>6.8</v>
      </c>
      <c r="AE7" s="61">
        <v>0.3</v>
      </c>
      <c r="AF7" s="61">
        <v>0</v>
      </c>
      <c r="AG7" s="72"/>
      <c r="AH7" s="11">
        <f t="shared" si="13"/>
        <v>14.8</v>
      </c>
      <c r="AI7" s="11">
        <f t="shared" si="14"/>
        <v>70.5</v>
      </c>
      <c r="AJ7" s="11">
        <f t="shared" si="15"/>
        <v>12.8</v>
      </c>
      <c r="AK7" s="11">
        <f t="shared" si="16"/>
        <v>67.399999999999991</v>
      </c>
      <c r="AL7" s="11">
        <f t="shared" si="17"/>
        <v>137.89999999999998</v>
      </c>
      <c r="AM7" s="36">
        <v>28</v>
      </c>
      <c r="AN7" s="36">
        <v>7.6</v>
      </c>
      <c r="AO7" s="36">
        <v>0.9</v>
      </c>
      <c r="AP7" s="36">
        <v>0</v>
      </c>
      <c r="AQ7" s="36">
        <v>27.9</v>
      </c>
      <c r="AR7" s="36">
        <v>7.2</v>
      </c>
      <c r="AS7" s="36">
        <v>0.9</v>
      </c>
      <c r="AT7" s="36">
        <v>0</v>
      </c>
      <c r="AU7" s="36">
        <v>28</v>
      </c>
      <c r="AV7" s="36">
        <v>6.8</v>
      </c>
      <c r="AW7" s="36">
        <v>0.3</v>
      </c>
      <c r="AX7" s="36">
        <v>0</v>
      </c>
      <c r="AY7" s="36">
        <v>28.1</v>
      </c>
      <c r="AZ7" s="36">
        <v>7.2</v>
      </c>
      <c r="BA7" s="36">
        <v>0.9</v>
      </c>
      <c r="BB7" s="36">
        <v>0.3</v>
      </c>
      <c r="BC7" s="73"/>
      <c r="BD7" s="14">
        <f t="shared" si="18"/>
        <v>14.8</v>
      </c>
      <c r="BE7" s="14">
        <f t="shared" si="19"/>
        <v>68.900000000000006</v>
      </c>
      <c r="BF7" s="14">
        <f t="shared" si="20"/>
        <v>14</v>
      </c>
      <c r="BG7" s="14">
        <f t="shared" si="21"/>
        <v>69.199999999999989</v>
      </c>
      <c r="BH7" s="14">
        <f t="shared" si="22"/>
        <v>138.1</v>
      </c>
      <c r="BI7" s="61">
        <v>27.6</v>
      </c>
      <c r="BJ7" s="61">
        <v>6.8</v>
      </c>
      <c r="BK7" s="61">
        <v>0.3</v>
      </c>
      <c r="BL7" s="61">
        <v>0</v>
      </c>
      <c r="BM7" s="61">
        <v>27.3</v>
      </c>
      <c r="BN7" s="61">
        <v>3.9</v>
      </c>
      <c r="BO7" s="61">
        <v>2.1</v>
      </c>
      <c r="BP7" s="61">
        <v>0</v>
      </c>
      <c r="BQ7" s="61">
        <v>26.9</v>
      </c>
      <c r="BR7" s="61">
        <v>8</v>
      </c>
      <c r="BS7" s="61">
        <v>1.5</v>
      </c>
      <c r="BT7" s="61">
        <v>0</v>
      </c>
      <c r="BU7" s="61">
        <v>28</v>
      </c>
      <c r="BV7" s="61">
        <v>7.2</v>
      </c>
      <c r="BW7" s="61">
        <v>0</v>
      </c>
      <c r="BX7" s="61">
        <v>0</v>
      </c>
      <c r="BY7" s="72"/>
      <c r="BZ7" s="11">
        <f t="shared" si="23"/>
        <v>10.7</v>
      </c>
      <c r="CA7" s="11">
        <f t="shared" si="24"/>
        <v>63.20000000000001</v>
      </c>
      <c r="CB7" s="11">
        <f t="shared" si="25"/>
        <v>15.2</v>
      </c>
      <c r="CC7" s="11">
        <f t="shared" si="26"/>
        <v>68.599999999999994</v>
      </c>
      <c r="CD7" s="11">
        <f t="shared" si="27"/>
        <v>131.80000000000001</v>
      </c>
      <c r="CE7" s="23" t="str">
        <f t="shared" si="28"/>
        <v/>
      </c>
      <c r="CF7" s="23" t="str">
        <f t="shared" si="29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27.8</v>
      </c>
      <c r="LZ7" s="61">
        <f t="shared" si="91"/>
        <v>7.1999999999999993</v>
      </c>
      <c r="MA7" s="61">
        <f t="shared" si="92"/>
        <v>0.6</v>
      </c>
      <c r="MB7" s="61">
        <f t="shared" si="93"/>
        <v>0</v>
      </c>
      <c r="MC7" s="61">
        <f t="shared" si="94"/>
        <v>27.6</v>
      </c>
      <c r="MD7" s="61">
        <f t="shared" si="95"/>
        <v>5.55</v>
      </c>
      <c r="ME7" s="61">
        <f t="shared" si="96"/>
        <v>1.5</v>
      </c>
      <c r="MF7" s="61">
        <f t="shared" si="97"/>
        <v>0</v>
      </c>
      <c r="MG7" s="61">
        <f t="shared" si="98"/>
        <v>27.45</v>
      </c>
      <c r="MH7" s="61">
        <f t="shared" si="99"/>
        <v>7.4</v>
      </c>
      <c r="MI7" s="61">
        <f t="shared" si="100"/>
        <v>0.9</v>
      </c>
      <c r="MJ7" s="61">
        <f t="shared" si="101"/>
        <v>0</v>
      </c>
      <c r="MK7" s="61">
        <f t="shared" si="102"/>
        <v>28.05</v>
      </c>
      <c r="ML7" s="61">
        <f t="shared" si="103"/>
        <v>7.2</v>
      </c>
      <c r="MM7" s="61">
        <f t="shared" si="104"/>
        <v>0.45</v>
      </c>
      <c r="MN7" s="61">
        <f t="shared" si="105"/>
        <v>0.15</v>
      </c>
      <c r="MO7" s="72" t="s">
        <v>52</v>
      </c>
      <c r="MP7" s="11">
        <f t="shared" si="106"/>
        <v>12.75</v>
      </c>
      <c r="MQ7" s="11">
        <f t="shared" si="107"/>
        <v>66.050000000000011</v>
      </c>
      <c r="MR7" s="11">
        <f t="shared" si="108"/>
        <v>14.600000000000001</v>
      </c>
      <c r="MS7" s="11">
        <f t="shared" si="109"/>
        <v>68.90000000000002</v>
      </c>
      <c r="MT7" s="11">
        <f t="shared" si="110"/>
        <v>134.95000000000005</v>
      </c>
    </row>
    <row r="8" spans="1:358" x14ac:dyDescent="0.2">
      <c r="A8" s="5">
        <f t="shared" si="0"/>
        <v>5</v>
      </c>
      <c r="B8" s="8" t="s">
        <v>87</v>
      </c>
      <c r="C8" s="4" t="s">
        <v>5</v>
      </c>
      <c r="D8" s="5">
        <v>2003</v>
      </c>
      <c r="E8" s="15">
        <f t="shared" si="1"/>
        <v>194.2</v>
      </c>
      <c r="F8" s="3" t="str">
        <f t="shared" si="2"/>
        <v>P</v>
      </c>
      <c r="G8" s="3" t="str">
        <f t="shared" si="3"/>
        <v>P</v>
      </c>
      <c r="H8" s="116" t="str">
        <f t="shared" si="4"/>
        <v>National Team</v>
      </c>
      <c r="I8" s="3" t="str">
        <f t="shared" si="5"/>
        <v/>
      </c>
      <c r="J8" s="14">
        <f t="shared" si="6"/>
        <v>69.199999999999989</v>
      </c>
      <c r="K8" s="14" t="str">
        <f t="shared" si="7"/>
        <v>2021 Canadian Championships</v>
      </c>
      <c r="L8" s="14">
        <f t="shared" si="8"/>
        <v>125.00000000000001</v>
      </c>
      <c r="M8" s="14" t="str">
        <f t="shared" si="9"/>
        <v>2021 Elite Canada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>
        <v>28.2</v>
      </c>
      <c r="R8" s="61">
        <v>7.2</v>
      </c>
      <c r="S8" s="61">
        <v>0.9</v>
      </c>
      <c r="T8" s="61">
        <v>0</v>
      </c>
      <c r="U8" s="61">
        <v>20.100000000000001</v>
      </c>
      <c r="V8" s="61">
        <v>3.2</v>
      </c>
      <c r="W8" s="61">
        <v>0</v>
      </c>
      <c r="X8" s="61">
        <v>0</v>
      </c>
      <c r="Y8" s="61">
        <v>28</v>
      </c>
      <c r="Z8" s="61">
        <v>6.9</v>
      </c>
      <c r="AA8" s="61">
        <v>0</v>
      </c>
      <c r="AB8" s="61">
        <v>0</v>
      </c>
      <c r="AC8" s="61">
        <v>28.6</v>
      </c>
      <c r="AD8" s="61">
        <v>4.3</v>
      </c>
      <c r="AE8" s="61">
        <v>1.7</v>
      </c>
      <c r="AF8" s="61">
        <v>0</v>
      </c>
      <c r="AG8" s="72"/>
      <c r="AH8" s="11">
        <f t="shared" si="13"/>
        <v>10.4</v>
      </c>
      <c r="AI8" s="11">
        <f t="shared" si="14"/>
        <v>57.800000000000004</v>
      </c>
      <c r="AJ8" s="11">
        <f t="shared" si="15"/>
        <v>11.2</v>
      </c>
      <c r="AK8" s="11">
        <f t="shared" si="16"/>
        <v>66.099999999999994</v>
      </c>
      <c r="AL8" s="11">
        <f t="shared" si="17"/>
        <v>123.9</v>
      </c>
      <c r="AM8" s="36">
        <v>27.8</v>
      </c>
      <c r="AN8" s="36">
        <v>7.3</v>
      </c>
      <c r="AO8" s="36">
        <v>0.3</v>
      </c>
      <c r="AP8" s="36">
        <v>0</v>
      </c>
      <c r="AQ8" s="36">
        <v>28.1</v>
      </c>
      <c r="AR8" s="36">
        <v>6</v>
      </c>
      <c r="AS8" s="36">
        <v>0.3</v>
      </c>
      <c r="AT8" s="36">
        <v>0</v>
      </c>
      <c r="AU8" s="36">
        <v>27.9</v>
      </c>
      <c r="AV8" s="36">
        <v>3.5</v>
      </c>
      <c r="AW8" s="36">
        <v>2.5</v>
      </c>
      <c r="AX8" s="36">
        <v>0</v>
      </c>
      <c r="AY8" s="36">
        <v>27.3</v>
      </c>
      <c r="AZ8" s="36">
        <v>3.1</v>
      </c>
      <c r="BA8" s="36">
        <v>2.9</v>
      </c>
      <c r="BB8" s="36">
        <v>0</v>
      </c>
      <c r="BC8" s="73"/>
      <c r="BD8" s="14">
        <f t="shared" si="18"/>
        <v>13.3</v>
      </c>
      <c r="BE8" s="14">
        <f t="shared" si="19"/>
        <v>68.600000000000009</v>
      </c>
      <c r="BF8" s="14">
        <f t="shared" si="20"/>
        <v>6.6</v>
      </c>
      <c r="BG8" s="14">
        <f t="shared" si="21"/>
        <v>56.400000000000006</v>
      </c>
      <c r="BH8" s="14">
        <f t="shared" si="22"/>
        <v>125.00000000000001</v>
      </c>
      <c r="BI8" s="61">
        <v>28.2</v>
      </c>
      <c r="BJ8" s="61">
        <v>5.6</v>
      </c>
      <c r="BK8" s="61">
        <v>0.4</v>
      </c>
      <c r="BL8" s="61">
        <v>0</v>
      </c>
      <c r="BM8" s="61">
        <v>28.1</v>
      </c>
      <c r="BN8" s="61">
        <v>7.7</v>
      </c>
      <c r="BO8" s="61">
        <v>0</v>
      </c>
      <c r="BP8" s="61">
        <v>0</v>
      </c>
      <c r="BQ8" s="61">
        <v>0</v>
      </c>
      <c r="BR8" s="61">
        <v>0</v>
      </c>
      <c r="BS8" s="61">
        <v>0</v>
      </c>
      <c r="BT8" s="61">
        <v>0</v>
      </c>
      <c r="BU8" s="61">
        <v>20</v>
      </c>
      <c r="BV8" s="61">
        <v>2.4</v>
      </c>
      <c r="BW8" s="61">
        <v>0</v>
      </c>
      <c r="BX8" s="61">
        <v>0</v>
      </c>
      <c r="BY8" s="72"/>
      <c r="BZ8" s="11">
        <f t="shared" si="23"/>
        <v>13.3</v>
      </c>
      <c r="CA8" s="11">
        <f t="shared" si="24"/>
        <v>69.199999999999989</v>
      </c>
      <c r="CB8" s="11">
        <f t="shared" si="25"/>
        <v>2.4</v>
      </c>
      <c r="CC8" s="11">
        <f t="shared" si="26"/>
        <v>22.4</v>
      </c>
      <c r="CD8" s="11">
        <f t="shared" si="27"/>
        <v>91.6</v>
      </c>
      <c r="CE8" s="23" t="str">
        <f t="shared" si="28"/>
        <v/>
      </c>
      <c r="CF8" s="23" t="str">
        <f t="shared" si="29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28</v>
      </c>
      <c r="LZ8" s="61">
        <f t="shared" si="91"/>
        <v>6.4499999999999993</v>
      </c>
      <c r="MA8" s="61">
        <f t="shared" si="92"/>
        <v>0.35</v>
      </c>
      <c r="MB8" s="61">
        <f t="shared" si="93"/>
        <v>0</v>
      </c>
      <c r="MC8" s="61">
        <f t="shared" si="94"/>
        <v>28.1</v>
      </c>
      <c r="MD8" s="61">
        <f t="shared" si="95"/>
        <v>6.85</v>
      </c>
      <c r="ME8" s="61">
        <f t="shared" si="96"/>
        <v>0.15</v>
      </c>
      <c r="MF8" s="61">
        <f t="shared" si="97"/>
        <v>0</v>
      </c>
      <c r="MG8" s="61">
        <f t="shared" si="98"/>
        <v>13.95</v>
      </c>
      <c r="MH8" s="61">
        <f t="shared" si="99"/>
        <v>1.75</v>
      </c>
      <c r="MI8" s="61">
        <f t="shared" si="100"/>
        <v>1.25</v>
      </c>
      <c r="MJ8" s="61">
        <f t="shared" si="101"/>
        <v>0</v>
      </c>
      <c r="MK8" s="61">
        <f t="shared" si="102"/>
        <v>23.65</v>
      </c>
      <c r="ML8" s="61">
        <f t="shared" si="103"/>
        <v>2.75</v>
      </c>
      <c r="MM8" s="61">
        <f t="shared" si="104"/>
        <v>1.45</v>
      </c>
      <c r="MN8" s="61">
        <f t="shared" si="105"/>
        <v>0</v>
      </c>
      <c r="MO8" s="72" t="s">
        <v>52</v>
      </c>
      <c r="MP8" s="11">
        <f t="shared" si="106"/>
        <v>13.299999999999999</v>
      </c>
      <c r="MQ8" s="11">
        <f t="shared" si="107"/>
        <v>68.900000000000006</v>
      </c>
      <c r="MR8" s="11">
        <f t="shared" si="108"/>
        <v>4.5</v>
      </c>
      <c r="MS8" s="11">
        <f t="shared" si="109"/>
        <v>39.399999999999991</v>
      </c>
      <c r="MT8" s="11">
        <f t="shared" si="110"/>
        <v>108.3</v>
      </c>
    </row>
    <row r="9" spans="1:358" x14ac:dyDescent="0.2">
      <c r="A9" s="5" t="str">
        <f t="shared" si="0"/>
        <v/>
      </c>
      <c r="B9" s="8" t="s">
        <v>149</v>
      </c>
      <c r="C9" s="4" t="s">
        <v>3</v>
      </c>
      <c r="D9" s="5">
        <v>2000</v>
      </c>
      <c r="E9" s="15">
        <f t="shared" si="1"/>
        <v>199.8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67</v>
      </c>
      <c r="K9" s="14" t="str">
        <f t="shared" si="7"/>
        <v>2021 Canadian Championships</v>
      </c>
      <c r="L9" s="14">
        <f t="shared" si="8"/>
        <v>132.80000000000001</v>
      </c>
      <c r="M9" s="14" t="str">
        <f t="shared" si="9"/>
        <v>2021 Elite Canada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 t="shared" si="13"/>
        <v/>
      </c>
      <c r="AI9" s="11" t="str">
        <f t="shared" si="14"/>
        <v/>
      </c>
      <c r="AJ9" s="11" t="str">
        <f t="shared" si="15"/>
        <v/>
      </c>
      <c r="AK9" s="11" t="str">
        <f t="shared" si="16"/>
        <v/>
      </c>
      <c r="AL9" s="11" t="str">
        <f t="shared" si="17"/>
        <v/>
      </c>
      <c r="AM9" s="36">
        <v>27.9</v>
      </c>
      <c r="AN9" s="36">
        <v>6</v>
      </c>
      <c r="AO9" s="36">
        <v>0.9</v>
      </c>
      <c r="AP9" s="36">
        <v>0</v>
      </c>
      <c r="AQ9" s="36">
        <v>27.7</v>
      </c>
      <c r="AR9" s="36">
        <v>6.4</v>
      </c>
      <c r="AS9" s="36">
        <v>0.9</v>
      </c>
      <c r="AT9" s="36">
        <v>0</v>
      </c>
      <c r="AU9" s="36">
        <v>28.2</v>
      </c>
      <c r="AV9" s="36">
        <v>5.2</v>
      </c>
      <c r="AW9" s="36">
        <v>0</v>
      </c>
      <c r="AX9" s="36">
        <v>0</v>
      </c>
      <c r="AY9" s="36">
        <v>28</v>
      </c>
      <c r="AZ9" s="36">
        <v>5.2</v>
      </c>
      <c r="BA9" s="36">
        <v>0</v>
      </c>
      <c r="BB9" s="36">
        <v>0</v>
      </c>
      <c r="BC9" s="73"/>
      <c r="BD9" s="14">
        <f t="shared" si="18"/>
        <v>12.4</v>
      </c>
      <c r="BE9" s="14">
        <f t="shared" si="19"/>
        <v>66.2</v>
      </c>
      <c r="BF9" s="14">
        <f t="shared" si="20"/>
        <v>10.4</v>
      </c>
      <c r="BG9" s="14">
        <f t="shared" si="21"/>
        <v>66.599999999999994</v>
      </c>
      <c r="BH9" s="14">
        <f t="shared" si="22"/>
        <v>132.80000000000001</v>
      </c>
      <c r="BI9" s="61">
        <v>27.8</v>
      </c>
      <c r="BJ9" s="61">
        <v>6.8</v>
      </c>
      <c r="BK9" s="61">
        <v>0.3</v>
      </c>
      <c r="BL9" s="61">
        <v>0</v>
      </c>
      <c r="BM9" s="61">
        <v>27.2</v>
      </c>
      <c r="BN9" s="61">
        <v>6.4</v>
      </c>
      <c r="BO9" s="61">
        <v>0.9</v>
      </c>
      <c r="BP9" s="61">
        <v>0</v>
      </c>
      <c r="BQ9" s="61">
        <v>28.3</v>
      </c>
      <c r="BR9" s="61">
        <v>5.2</v>
      </c>
      <c r="BS9" s="61">
        <v>0.9</v>
      </c>
      <c r="BT9" s="61">
        <v>0</v>
      </c>
      <c r="BU9" s="61">
        <v>27.7</v>
      </c>
      <c r="BV9" s="61">
        <v>5.2</v>
      </c>
      <c r="BW9" s="61">
        <v>0</v>
      </c>
      <c r="BX9" s="61">
        <v>0</v>
      </c>
      <c r="BY9" s="72"/>
      <c r="BZ9" s="11">
        <f t="shared" si="23"/>
        <v>13.2</v>
      </c>
      <c r="CA9" s="11">
        <f t="shared" si="24"/>
        <v>67</v>
      </c>
      <c r="CB9" s="11">
        <f t="shared" si="25"/>
        <v>10.4</v>
      </c>
      <c r="CC9" s="11">
        <f t="shared" si="26"/>
        <v>65.5</v>
      </c>
      <c r="CD9" s="11">
        <f t="shared" si="27"/>
        <v>132.5</v>
      </c>
      <c r="CE9" s="23" t="str">
        <f t="shared" si="28"/>
        <v/>
      </c>
      <c r="CF9" s="23" t="str">
        <f t="shared" si="29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27.85</v>
      </c>
      <c r="LZ9" s="61">
        <f t="shared" si="91"/>
        <v>6.4</v>
      </c>
      <c r="MA9" s="61">
        <f t="shared" si="92"/>
        <v>0.6</v>
      </c>
      <c r="MB9" s="61">
        <f t="shared" si="93"/>
        <v>0</v>
      </c>
      <c r="MC9" s="61">
        <f t="shared" si="94"/>
        <v>27.45</v>
      </c>
      <c r="MD9" s="61">
        <f t="shared" si="95"/>
        <v>6.4</v>
      </c>
      <c r="ME9" s="61">
        <f t="shared" si="96"/>
        <v>0.9</v>
      </c>
      <c r="MF9" s="61">
        <f t="shared" si="97"/>
        <v>0</v>
      </c>
      <c r="MG9" s="61">
        <f t="shared" si="98"/>
        <v>28.25</v>
      </c>
      <c r="MH9" s="61">
        <f t="shared" si="99"/>
        <v>5.2</v>
      </c>
      <c r="MI9" s="61">
        <f t="shared" si="100"/>
        <v>0.45</v>
      </c>
      <c r="MJ9" s="61">
        <f t="shared" si="101"/>
        <v>0</v>
      </c>
      <c r="MK9" s="61">
        <f t="shared" si="102"/>
        <v>27.85</v>
      </c>
      <c r="ML9" s="61">
        <f t="shared" si="103"/>
        <v>5.2</v>
      </c>
      <c r="MM9" s="61">
        <f t="shared" si="104"/>
        <v>0</v>
      </c>
      <c r="MN9" s="61">
        <f t="shared" si="105"/>
        <v>0</v>
      </c>
      <c r="MO9" s="72" t="s">
        <v>52</v>
      </c>
      <c r="MP9" s="11">
        <f t="shared" si="106"/>
        <v>12.8</v>
      </c>
      <c r="MQ9" s="11">
        <f t="shared" si="107"/>
        <v>66.600000000000009</v>
      </c>
      <c r="MR9" s="11">
        <f t="shared" si="108"/>
        <v>10.4</v>
      </c>
      <c r="MS9" s="11">
        <f t="shared" si="109"/>
        <v>66.05</v>
      </c>
      <c r="MT9" s="11">
        <f t="shared" si="110"/>
        <v>132.65</v>
      </c>
    </row>
    <row r="10" spans="1:358" x14ac:dyDescent="0.2">
      <c r="A10" s="5" t="str">
        <f t="shared" si="0"/>
        <v/>
      </c>
      <c r="B10" s="8" t="s">
        <v>80</v>
      </c>
      <c r="C10" s="4" t="s">
        <v>6</v>
      </c>
      <c r="D10" s="5">
        <v>2004</v>
      </c>
      <c r="E10" s="15">
        <f t="shared" si="1"/>
        <v>196.89999999999998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66.2</v>
      </c>
      <c r="K10" s="14" t="str">
        <f t="shared" si="7"/>
        <v>2021 Elite Canada</v>
      </c>
      <c r="L10" s="14">
        <f t="shared" si="8"/>
        <v>130.69999999999999</v>
      </c>
      <c r="M10" s="14" t="str">
        <f t="shared" si="9"/>
        <v>2021 2nd Virtual Technical Trial</v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27.9</v>
      </c>
      <c r="R10" s="61">
        <v>4.8</v>
      </c>
      <c r="S10" s="61">
        <v>0</v>
      </c>
      <c r="T10" s="61">
        <v>0</v>
      </c>
      <c r="U10" s="61">
        <v>28.3</v>
      </c>
      <c r="V10" s="61">
        <v>4.8</v>
      </c>
      <c r="W10" s="61">
        <v>0</v>
      </c>
      <c r="X10" s="61">
        <v>0</v>
      </c>
      <c r="Y10" s="61">
        <v>28.6</v>
      </c>
      <c r="Z10" s="61">
        <v>4.3</v>
      </c>
      <c r="AA10" s="61">
        <v>0</v>
      </c>
      <c r="AB10" s="61">
        <v>0</v>
      </c>
      <c r="AC10" s="61">
        <v>28.5</v>
      </c>
      <c r="AD10" s="61">
        <v>3.5</v>
      </c>
      <c r="AE10" s="61">
        <v>0</v>
      </c>
      <c r="AF10" s="61">
        <v>0</v>
      </c>
      <c r="AG10" s="72"/>
      <c r="AH10" s="11">
        <f t="shared" si="13"/>
        <v>9.6</v>
      </c>
      <c r="AI10" s="11">
        <f t="shared" si="14"/>
        <v>65.8</v>
      </c>
      <c r="AJ10" s="11">
        <f t="shared" si="15"/>
        <v>7.8</v>
      </c>
      <c r="AK10" s="11">
        <f t="shared" si="16"/>
        <v>64.900000000000006</v>
      </c>
      <c r="AL10" s="11">
        <f t="shared" si="17"/>
        <v>130.69999999999999</v>
      </c>
      <c r="AM10" s="36">
        <v>28.2</v>
      </c>
      <c r="AN10" s="36">
        <v>4.8</v>
      </c>
      <c r="AO10" s="36">
        <v>0</v>
      </c>
      <c r="AP10" s="36">
        <v>0</v>
      </c>
      <c r="AQ10" s="36">
        <v>28.4</v>
      </c>
      <c r="AR10" s="36">
        <v>4.8</v>
      </c>
      <c r="AS10" s="36">
        <v>0</v>
      </c>
      <c r="AT10" s="36">
        <v>0</v>
      </c>
      <c r="AU10" s="36">
        <v>28.9</v>
      </c>
      <c r="AV10" s="36">
        <v>3.5</v>
      </c>
      <c r="AW10" s="36">
        <v>0</v>
      </c>
      <c r="AX10" s="36">
        <v>0</v>
      </c>
      <c r="AY10" s="36">
        <v>28.7</v>
      </c>
      <c r="AZ10" s="36">
        <v>4.3</v>
      </c>
      <c r="BA10" s="36">
        <v>0</v>
      </c>
      <c r="BB10" s="36">
        <v>0</v>
      </c>
      <c r="BC10" s="73"/>
      <c r="BD10" s="14">
        <f t="shared" si="18"/>
        <v>9.6</v>
      </c>
      <c r="BE10" s="14">
        <f t="shared" si="19"/>
        <v>66.2</v>
      </c>
      <c r="BF10" s="14">
        <f t="shared" si="20"/>
        <v>7.8</v>
      </c>
      <c r="BG10" s="14">
        <f t="shared" si="21"/>
        <v>65.399999999999991</v>
      </c>
      <c r="BH10" s="14">
        <f t="shared" si="22"/>
        <v>131.6</v>
      </c>
      <c r="BI10" s="61">
        <v>25.2</v>
      </c>
      <c r="BJ10" s="61">
        <v>4.8</v>
      </c>
      <c r="BK10" s="61">
        <v>0</v>
      </c>
      <c r="BL10" s="61">
        <v>0</v>
      </c>
      <c r="BM10" s="61">
        <v>29</v>
      </c>
      <c r="BN10" s="61">
        <v>4.8</v>
      </c>
      <c r="BO10" s="61">
        <v>0</v>
      </c>
      <c r="BP10" s="61">
        <v>0</v>
      </c>
      <c r="BQ10" s="61">
        <v>28.9</v>
      </c>
      <c r="BR10" s="61">
        <v>4.3</v>
      </c>
      <c r="BS10" s="61">
        <v>0</v>
      </c>
      <c r="BT10" s="61">
        <v>0</v>
      </c>
      <c r="BU10" s="61">
        <v>29</v>
      </c>
      <c r="BV10" s="61">
        <v>3.5</v>
      </c>
      <c r="BW10" s="61">
        <v>0</v>
      </c>
      <c r="BX10" s="61">
        <v>0</v>
      </c>
      <c r="BY10" s="72"/>
      <c r="BZ10" s="11">
        <f t="shared" si="23"/>
        <v>9.6</v>
      </c>
      <c r="CA10" s="11">
        <f t="shared" si="24"/>
        <v>63.8</v>
      </c>
      <c r="CB10" s="11">
        <f t="shared" si="25"/>
        <v>7.8</v>
      </c>
      <c r="CC10" s="11">
        <f t="shared" si="26"/>
        <v>65.699999999999989</v>
      </c>
      <c r="CD10" s="11">
        <f t="shared" si="27"/>
        <v>129.5</v>
      </c>
      <c r="CE10" s="23" t="str">
        <f t="shared" si="28"/>
        <v/>
      </c>
      <c r="CF10" s="23" t="str">
        <f t="shared" si="29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26.7</v>
      </c>
      <c r="LZ10" s="61">
        <f t="shared" si="91"/>
        <v>4.8</v>
      </c>
      <c r="MA10" s="61">
        <f t="shared" si="92"/>
        <v>0</v>
      </c>
      <c r="MB10" s="61">
        <f t="shared" si="93"/>
        <v>0</v>
      </c>
      <c r="MC10" s="61">
        <f t="shared" si="94"/>
        <v>28.7</v>
      </c>
      <c r="MD10" s="61">
        <f t="shared" si="95"/>
        <v>4.8</v>
      </c>
      <c r="ME10" s="61">
        <f t="shared" si="96"/>
        <v>0</v>
      </c>
      <c r="MF10" s="61">
        <f t="shared" si="97"/>
        <v>0</v>
      </c>
      <c r="MG10" s="61">
        <f t="shared" si="98"/>
        <v>28.9</v>
      </c>
      <c r="MH10" s="61">
        <f t="shared" si="99"/>
        <v>3.9</v>
      </c>
      <c r="MI10" s="61">
        <f t="shared" si="100"/>
        <v>0</v>
      </c>
      <c r="MJ10" s="61">
        <f t="shared" si="101"/>
        <v>0</v>
      </c>
      <c r="MK10" s="61">
        <f t="shared" si="102"/>
        <v>28.85</v>
      </c>
      <c r="ML10" s="61">
        <f t="shared" si="103"/>
        <v>3.9</v>
      </c>
      <c r="MM10" s="61">
        <f t="shared" si="104"/>
        <v>0</v>
      </c>
      <c r="MN10" s="61">
        <f t="shared" si="105"/>
        <v>0</v>
      </c>
      <c r="MO10" s="72" t="s">
        <v>52</v>
      </c>
      <c r="MP10" s="11">
        <f t="shared" si="106"/>
        <v>9.6</v>
      </c>
      <c r="MQ10" s="11">
        <f t="shared" si="107"/>
        <v>65</v>
      </c>
      <c r="MR10" s="11">
        <f t="shared" si="108"/>
        <v>7.8</v>
      </c>
      <c r="MS10" s="11">
        <f t="shared" si="109"/>
        <v>65.55</v>
      </c>
      <c r="MT10" s="11">
        <f t="shared" si="110"/>
        <v>130.55000000000001</v>
      </c>
    </row>
    <row r="11" spans="1:358" x14ac:dyDescent="0.2">
      <c r="A11" s="5" t="str">
        <f t="shared" si="0"/>
        <v/>
      </c>
      <c r="B11" s="8" t="s">
        <v>104</v>
      </c>
      <c r="C11" s="4" t="s">
        <v>6</v>
      </c>
      <c r="D11" s="5">
        <v>2000</v>
      </c>
      <c r="E11" s="15">
        <f t="shared" si="1"/>
        <v>193.10000000000002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65.500000000000014</v>
      </c>
      <c r="K11" s="14" t="str">
        <f t="shared" si="7"/>
        <v>2021 2nd Virtual Technical Trial</v>
      </c>
      <c r="L11" s="14">
        <f t="shared" si="8"/>
        <v>127.6</v>
      </c>
      <c r="M11" s="14" t="str">
        <f t="shared" si="9"/>
        <v>2021 Canadian Championships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61">
        <v>25.6</v>
      </c>
      <c r="R11" s="61">
        <v>7.6</v>
      </c>
      <c r="S11" s="61">
        <v>1.5</v>
      </c>
      <c r="T11" s="61">
        <v>0</v>
      </c>
      <c r="U11" s="61">
        <v>27.7</v>
      </c>
      <c r="V11" s="61">
        <v>6.4</v>
      </c>
      <c r="W11" s="61">
        <v>0.3</v>
      </c>
      <c r="X11" s="61">
        <v>0</v>
      </c>
      <c r="Y11" s="61">
        <v>26.8</v>
      </c>
      <c r="Z11" s="61">
        <v>6.4</v>
      </c>
      <c r="AA11" s="61">
        <v>0.3</v>
      </c>
      <c r="AB11" s="61">
        <v>0</v>
      </c>
      <c r="AC11" s="61">
        <v>28</v>
      </c>
      <c r="AD11" s="61">
        <v>2.4</v>
      </c>
      <c r="AE11" s="61">
        <v>3.9</v>
      </c>
      <c r="AF11" s="61">
        <v>0</v>
      </c>
      <c r="AG11" s="72"/>
      <c r="AH11" s="11">
        <f t="shared" si="13"/>
        <v>14</v>
      </c>
      <c r="AI11" s="11">
        <f t="shared" si="14"/>
        <v>65.500000000000014</v>
      </c>
      <c r="AJ11" s="11">
        <f t="shared" si="15"/>
        <v>8.8000000000000007</v>
      </c>
      <c r="AK11" s="11">
        <f t="shared" si="16"/>
        <v>59.4</v>
      </c>
      <c r="AL11" s="11">
        <f t="shared" si="17"/>
        <v>124.9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1">
        <v>25.7</v>
      </c>
      <c r="BJ11" s="61">
        <v>6</v>
      </c>
      <c r="BK11" s="61">
        <v>1.8</v>
      </c>
      <c r="BL11" s="61">
        <v>0</v>
      </c>
      <c r="BM11" s="61">
        <v>28</v>
      </c>
      <c r="BN11" s="61">
        <v>6</v>
      </c>
      <c r="BO11" s="61">
        <v>0.3</v>
      </c>
      <c r="BP11" s="61">
        <v>0</v>
      </c>
      <c r="BQ11" s="61">
        <v>27.2</v>
      </c>
      <c r="BR11" s="61">
        <v>6</v>
      </c>
      <c r="BS11" s="61">
        <v>0.3</v>
      </c>
      <c r="BT11" s="61">
        <v>0</v>
      </c>
      <c r="BU11" s="61">
        <v>27.9</v>
      </c>
      <c r="BV11" s="61">
        <v>4.5999999999999996</v>
      </c>
      <c r="BW11" s="61">
        <v>1.4</v>
      </c>
      <c r="BX11" s="61">
        <v>0</v>
      </c>
      <c r="BY11" s="72"/>
      <c r="BZ11" s="11">
        <f t="shared" si="23"/>
        <v>12</v>
      </c>
      <c r="CA11" s="11">
        <f t="shared" si="24"/>
        <v>63.6</v>
      </c>
      <c r="CB11" s="11">
        <f t="shared" si="25"/>
        <v>10.6</v>
      </c>
      <c r="CC11" s="11">
        <f t="shared" si="26"/>
        <v>64</v>
      </c>
      <c r="CD11" s="11">
        <f t="shared" si="27"/>
        <v>127.6</v>
      </c>
      <c r="CE11" s="23" t="str">
        <f t="shared" si="28"/>
        <v/>
      </c>
      <c r="CF11" s="23" t="str">
        <f t="shared" si="29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12.85</v>
      </c>
      <c r="LZ11" s="61">
        <f t="shared" si="91"/>
        <v>3</v>
      </c>
      <c r="MA11" s="61">
        <f t="shared" si="92"/>
        <v>0.9</v>
      </c>
      <c r="MB11" s="61">
        <f t="shared" si="93"/>
        <v>0</v>
      </c>
      <c r="MC11" s="61">
        <f t="shared" si="94"/>
        <v>14</v>
      </c>
      <c r="MD11" s="61">
        <f t="shared" si="95"/>
        <v>3</v>
      </c>
      <c r="ME11" s="61">
        <f t="shared" si="96"/>
        <v>0.15</v>
      </c>
      <c r="MF11" s="61">
        <f t="shared" si="97"/>
        <v>0</v>
      </c>
      <c r="MG11" s="61">
        <f t="shared" si="98"/>
        <v>13.6</v>
      </c>
      <c r="MH11" s="61">
        <f t="shared" si="99"/>
        <v>3</v>
      </c>
      <c r="MI11" s="61">
        <f t="shared" si="100"/>
        <v>0.15</v>
      </c>
      <c r="MJ11" s="61">
        <f t="shared" si="101"/>
        <v>0</v>
      </c>
      <c r="MK11" s="61">
        <f t="shared" si="102"/>
        <v>13.95</v>
      </c>
      <c r="ML11" s="61">
        <f t="shared" si="103"/>
        <v>2.2999999999999998</v>
      </c>
      <c r="MM11" s="61">
        <f t="shared" si="104"/>
        <v>0.7</v>
      </c>
      <c r="MN11" s="61">
        <f t="shared" si="105"/>
        <v>0</v>
      </c>
      <c r="MO11" s="72" t="s">
        <v>52</v>
      </c>
      <c r="MP11" s="11">
        <f t="shared" si="106"/>
        <v>6</v>
      </c>
      <c r="MQ11" s="11">
        <f t="shared" si="107"/>
        <v>31.8</v>
      </c>
      <c r="MR11" s="11">
        <f t="shared" si="108"/>
        <v>5.3</v>
      </c>
      <c r="MS11" s="11">
        <f t="shared" si="109"/>
        <v>32</v>
      </c>
      <c r="MT11" s="11">
        <f t="shared" si="110"/>
        <v>63.8</v>
      </c>
    </row>
    <row r="12" spans="1:358" x14ac:dyDescent="0.2">
      <c r="A12" s="5" t="str">
        <f t="shared" si="0"/>
        <v/>
      </c>
      <c r="B12" s="8" t="s">
        <v>105</v>
      </c>
      <c r="C12" s="4" t="s">
        <v>4</v>
      </c>
      <c r="D12" s="5">
        <v>2004</v>
      </c>
      <c r="E12" s="15">
        <f t="shared" si="1"/>
        <v>192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68</v>
      </c>
      <c r="K12" s="14" t="str">
        <f t="shared" si="7"/>
        <v>2021 Canadian Championships</v>
      </c>
      <c r="L12" s="14">
        <f t="shared" si="8"/>
        <v>124</v>
      </c>
      <c r="M12" s="14" t="str">
        <f t="shared" si="9"/>
        <v>2021 2nd Virtual Technical Trial</v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61">
        <v>20.399999999999999</v>
      </c>
      <c r="R12" s="61">
        <v>2.4</v>
      </c>
      <c r="S12" s="61">
        <v>0</v>
      </c>
      <c r="T12" s="61">
        <v>0</v>
      </c>
      <c r="U12" s="61">
        <v>28.4</v>
      </c>
      <c r="V12" s="61">
        <v>6.4</v>
      </c>
      <c r="W12" s="61">
        <v>0</v>
      </c>
      <c r="X12" s="61">
        <v>0</v>
      </c>
      <c r="Y12" s="61">
        <v>28.2</v>
      </c>
      <c r="Z12" s="61">
        <v>5.2</v>
      </c>
      <c r="AA12" s="61">
        <v>0</v>
      </c>
      <c r="AB12" s="61">
        <v>0</v>
      </c>
      <c r="AC12" s="61">
        <v>27.8</v>
      </c>
      <c r="AD12" s="61">
        <v>5.2</v>
      </c>
      <c r="AE12" s="61">
        <v>0</v>
      </c>
      <c r="AF12" s="61">
        <v>0</v>
      </c>
      <c r="AG12" s="72"/>
      <c r="AH12" s="11">
        <f t="shared" si="13"/>
        <v>8.8000000000000007</v>
      </c>
      <c r="AI12" s="11">
        <f t="shared" si="14"/>
        <v>57.599999999999994</v>
      </c>
      <c r="AJ12" s="11">
        <f t="shared" si="15"/>
        <v>10.4</v>
      </c>
      <c r="AK12" s="11">
        <f t="shared" si="16"/>
        <v>66.400000000000006</v>
      </c>
      <c r="AL12" s="11">
        <f t="shared" si="17"/>
        <v>124</v>
      </c>
      <c r="AM12" s="36">
        <v>0</v>
      </c>
      <c r="AN12" s="36">
        <v>0</v>
      </c>
      <c r="AO12" s="36">
        <v>0</v>
      </c>
      <c r="AP12" s="36">
        <v>0</v>
      </c>
      <c r="AQ12" s="36">
        <v>28.3</v>
      </c>
      <c r="AR12" s="36">
        <v>6.4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 t="shared" si="18"/>
        <v>6.4</v>
      </c>
      <c r="BE12" s="14">
        <f t="shared" si="19"/>
        <v>34.700000000000003</v>
      </c>
      <c r="BF12" s="14" t="str">
        <f t="shared" si="20"/>
        <v/>
      </c>
      <c r="BG12" s="14" t="str">
        <f t="shared" si="21"/>
        <v/>
      </c>
      <c r="BH12" s="14">
        <f t="shared" si="22"/>
        <v>34.700000000000003</v>
      </c>
      <c r="BI12" s="61">
        <v>28</v>
      </c>
      <c r="BJ12" s="61">
        <v>6.8</v>
      </c>
      <c r="BK12" s="61">
        <v>1.2</v>
      </c>
      <c r="BL12" s="61">
        <v>0</v>
      </c>
      <c r="BM12" s="61">
        <v>28</v>
      </c>
      <c r="BN12" s="61">
        <v>6.4</v>
      </c>
      <c r="BO12" s="61">
        <v>0</v>
      </c>
      <c r="BP12" s="61">
        <v>0</v>
      </c>
      <c r="BQ12" s="61">
        <v>28.2</v>
      </c>
      <c r="BR12" s="61">
        <v>5.2</v>
      </c>
      <c r="BS12" s="61">
        <v>0</v>
      </c>
      <c r="BT12" s="61">
        <v>0</v>
      </c>
      <c r="BU12" s="61">
        <v>27.9</v>
      </c>
      <c r="BV12" s="61">
        <v>5.2</v>
      </c>
      <c r="BW12" s="61">
        <v>0.3</v>
      </c>
      <c r="BX12" s="61">
        <v>0</v>
      </c>
      <c r="BY12" s="72"/>
      <c r="BZ12" s="11">
        <f t="shared" si="23"/>
        <v>13.2</v>
      </c>
      <c r="CA12" s="11">
        <f t="shared" si="24"/>
        <v>68</v>
      </c>
      <c r="CB12" s="11">
        <f t="shared" si="25"/>
        <v>10.4</v>
      </c>
      <c r="CC12" s="11">
        <f t="shared" si="26"/>
        <v>66.2</v>
      </c>
      <c r="CD12" s="11">
        <f t="shared" si="27"/>
        <v>134.19999999999999</v>
      </c>
      <c r="CE12" s="23" t="str">
        <f t="shared" si="28"/>
        <v/>
      </c>
      <c r="CF12" s="23" t="str">
        <f t="shared" si="29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14</v>
      </c>
      <c r="LZ12" s="61">
        <f t="shared" si="91"/>
        <v>3.4</v>
      </c>
      <c r="MA12" s="61">
        <f t="shared" si="92"/>
        <v>0.6</v>
      </c>
      <c r="MB12" s="61">
        <f t="shared" si="93"/>
        <v>0</v>
      </c>
      <c r="MC12" s="61">
        <f t="shared" si="94"/>
        <v>28.15</v>
      </c>
      <c r="MD12" s="61">
        <f t="shared" si="95"/>
        <v>6.4</v>
      </c>
      <c r="ME12" s="61">
        <f t="shared" si="96"/>
        <v>0</v>
      </c>
      <c r="MF12" s="61">
        <f t="shared" si="97"/>
        <v>0</v>
      </c>
      <c r="MG12" s="61">
        <f t="shared" si="98"/>
        <v>14.1</v>
      </c>
      <c r="MH12" s="61">
        <f t="shared" si="99"/>
        <v>2.6</v>
      </c>
      <c r="MI12" s="61">
        <f t="shared" si="100"/>
        <v>0</v>
      </c>
      <c r="MJ12" s="61">
        <f t="shared" si="101"/>
        <v>0</v>
      </c>
      <c r="MK12" s="61">
        <f t="shared" si="102"/>
        <v>13.95</v>
      </c>
      <c r="ML12" s="61">
        <f t="shared" si="103"/>
        <v>2.6</v>
      </c>
      <c r="MM12" s="61">
        <f t="shared" si="104"/>
        <v>0.15</v>
      </c>
      <c r="MN12" s="61">
        <f t="shared" si="105"/>
        <v>0</v>
      </c>
      <c r="MO12" s="72" t="s">
        <v>52</v>
      </c>
      <c r="MP12" s="11">
        <f t="shared" si="106"/>
        <v>9.8000000000000007</v>
      </c>
      <c r="MQ12" s="11">
        <f t="shared" si="107"/>
        <v>51.349999999999994</v>
      </c>
      <c r="MR12" s="11">
        <f t="shared" si="108"/>
        <v>5.2</v>
      </c>
      <c r="MS12" s="11">
        <f t="shared" si="109"/>
        <v>33.1</v>
      </c>
      <c r="MT12" s="11">
        <f t="shared" si="110"/>
        <v>84.449999999999989</v>
      </c>
    </row>
    <row r="13" spans="1:358" x14ac:dyDescent="0.2">
      <c r="A13" s="5" t="str">
        <f t="shared" si="0"/>
        <v/>
      </c>
      <c r="B13" s="8" t="s">
        <v>103</v>
      </c>
      <c r="C13" s="4" t="s">
        <v>4</v>
      </c>
      <c r="D13" s="5">
        <v>2004</v>
      </c>
      <c r="E13" s="15">
        <f t="shared" si="1"/>
        <v>191.29999999999998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64.599999999999994</v>
      </c>
      <c r="K13" s="14" t="str">
        <f t="shared" si="7"/>
        <v>2021 Canadian Championships</v>
      </c>
      <c r="L13" s="14">
        <f t="shared" si="8"/>
        <v>126.69999999999999</v>
      </c>
      <c r="M13" s="14" t="str">
        <f t="shared" si="9"/>
        <v>2021 2nd Virtual Technical Trial</v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61">
        <v>28</v>
      </c>
      <c r="R13" s="61">
        <v>5.2</v>
      </c>
      <c r="S13" s="61">
        <v>1.2</v>
      </c>
      <c r="T13" s="61">
        <v>0</v>
      </c>
      <c r="U13" s="61">
        <v>28.2</v>
      </c>
      <c r="V13" s="61">
        <v>3.5</v>
      </c>
      <c r="W13" s="61">
        <v>0.9</v>
      </c>
      <c r="X13" s="61">
        <v>0</v>
      </c>
      <c r="Y13" s="61">
        <v>27.6</v>
      </c>
      <c r="Z13" s="61">
        <v>4.8</v>
      </c>
      <c r="AA13" s="61">
        <v>1.2</v>
      </c>
      <c r="AB13" s="61">
        <v>0</v>
      </c>
      <c r="AC13" s="61">
        <v>29.1</v>
      </c>
      <c r="AD13" s="61">
        <v>3.6</v>
      </c>
      <c r="AE13" s="61">
        <v>0</v>
      </c>
      <c r="AF13" s="61">
        <v>0</v>
      </c>
      <c r="AG13" s="72"/>
      <c r="AH13" s="11">
        <f t="shared" si="13"/>
        <v>8.6999999999999993</v>
      </c>
      <c r="AI13" s="11">
        <f t="shared" si="14"/>
        <v>62.800000000000004</v>
      </c>
      <c r="AJ13" s="11">
        <f t="shared" si="15"/>
        <v>8.4</v>
      </c>
      <c r="AK13" s="11">
        <f t="shared" si="16"/>
        <v>63.899999999999991</v>
      </c>
      <c r="AL13" s="11">
        <f t="shared" si="17"/>
        <v>126.69999999999999</v>
      </c>
      <c r="AM13" s="36">
        <v>28.1</v>
      </c>
      <c r="AN13" s="36">
        <v>5.2</v>
      </c>
      <c r="AO13" s="36">
        <v>0.9</v>
      </c>
      <c r="AP13" s="36">
        <v>0</v>
      </c>
      <c r="AQ13" s="36">
        <v>28.4</v>
      </c>
      <c r="AR13" s="36">
        <v>3.6</v>
      </c>
      <c r="AS13" s="36">
        <v>0.9</v>
      </c>
      <c r="AT13" s="36">
        <v>0</v>
      </c>
      <c r="AU13" s="36">
        <v>27.4</v>
      </c>
      <c r="AV13" s="36">
        <v>4.8</v>
      </c>
      <c r="AW13" s="36">
        <v>1.2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73"/>
      <c r="BD13" s="14">
        <f t="shared" si="18"/>
        <v>8.8000000000000007</v>
      </c>
      <c r="BE13" s="14">
        <f t="shared" si="19"/>
        <v>63.5</v>
      </c>
      <c r="BF13" s="14">
        <f t="shared" si="20"/>
        <v>4.8</v>
      </c>
      <c r="BG13" s="14">
        <f t="shared" si="21"/>
        <v>30.999999999999996</v>
      </c>
      <c r="BH13" s="14">
        <f t="shared" si="22"/>
        <v>94.5</v>
      </c>
      <c r="BI13" s="61">
        <v>27.4</v>
      </c>
      <c r="BJ13" s="61">
        <v>5.2</v>
      </c>
      <c r="BK13" s="61">
        <v>0</v>
      </c>
      <c r="BL13" s="61">
        <v>0</v>
      </c>
      <c r="BM13" s="61">
        <v>28</v>
      </c>
      <c r="BN13" s="61">
        <v>5.2</v>
      </c>
      <c r="BO13" s="61">
        <v>1.2</v>
      </c>
      <c r="BP13" s="61">
        <v>0</v>
      </c>
      <c r="BQ13" s="61">
        <v>28.3</v>
      </c>
      <c r="BR13" s="61">
        <v>5.2</v>
      </c>
      <c r="BS13" s="61">
        <v>0</v>
      </c>
      <c r="BT13" s="61">
        <v>0</v>
      </c>
      <c r="BU13" s="61">
        <v>20.6</v>
      </c>
      <c r="BV13" s="61">
        <v>0.7</v>
      </c>
      <c r="BW13" s="61">
        <v>0</v>
      </c>
      <c r="BX13" s="61">
        <v>0</v>
      </c>
      <c r="BY13" s="72"/>
      <c r="BZ13" s="11">
        <f t="shared" si="23"/>
        <v>10.4</v>
      </c>
      <c r="CA13" s="11">
        <f t="shared" si="24"/>
        <v>64.599999999999994</v>
      </c>
      <c r="CB13" s="11">
        <f t="shared" si="25"/>
        <v>5.9</v>
      </c>
      <c r="CC13" s="11">
        <f t="shared" si="26"/>
        <v>54.800000000000004</v>
      </c>
      <c r="CD13" s="11">
        <f t="shared" si="27"/>
        <v>119.4</v>
      </c>
      <c r="CE13" s="23" t="str">
        <f t="shared" si="28"/>
        <v/>
      </c>
      <c r="CF13" s="23" t="str">
        <f t="shared" si="29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27.75</v>
      </c>
      <c r="LZ13" s="61">
        <f t="shared" si="91"/>
        <v>5.2</v>
      </c>
      <c r="MA13" s="61">
        <f t="shared" si="92"/>
        <v>0.45</v>
      </c>
      <c r="MB13" s="61">
        <f t="shared" si="93"/>
        <v>0</v>
      </c>
      <c r="MC13" s="61">
        <f t="shared" si="94"/>
        <v>28.2</v>
      </c>
      <c r="MD13" s="61">
        <f t="shared" si="95"/>
        <v>4.4000000000000004</v>
      </c>
      <c r="ME13" s="61">
        <f t="shared" si="96"/>
        <v>1.05</v>
      </c>
      <c r="MF13" s="61">
        <f t="shared" si="97"/>
        <v>0</v>
      </c>
      <c r="MG13" s="61">
        <f t="shared" si="98"/>
        <v>27.85</v>
      </c>
      <c r="MH13" s="61">
        <f t="shared" si="99"/>
        <v>5</v>
      </c>
      <c r="MI13" s="61">
        <f t="shared" si="100"/>
        <v>0.6</v>
      </c>
      <c r="MJ13" s="61">
        <f t="shared" si="101"/>
        <v>0</v>
      </c>
      <c r="MK13" s="61">
        <f t="shared" si="102"/>
        <v>10.3</v>
      </c>
      <c r="ML13" s="61">
        <f t="shared" si="103"/>
        <v>0.35</v>
      </c>
      <c r="MM13" s="61">
        <f t="shared" si="104"/>
        <v>0</v>
      </c>
      <c r="MN13" s="61">
        <f t="shared" si="105"/>
        <v>0</v>
      </c>
      <c r="MO13" s="72" t="s">
        <v>52</v>
      </c>
      <c r="MP13" s="11">
        <f t="shared" si="106"/>
        <v>9.6000000000000014</v>
      </c>
      <c r="MQ13" s="11">
        <f t="shared" si="107"/>
        <v>64.050000000000011</v>
      </c>
      <c r="MR13" s="11">
        <f t="shared" si="108"/>
        <v>5.35</v>
      </c>
      <c r="MS13" s="11">
        <f t="shared" si="109"/>
        <v>42.900000000000006</v>
      </c>
      <c r="MT13" s="11">
        <f t="shared" si="110"/>
        <v>106.95000000000002</v>
      </c>
    </row>
    <row r="14" spans="1:358" x14ac:dyDescent="0.2">
      <c r="A14" s="5" t="str">
        <f t="shared" si="0"/>
        <v/>
      </c>
      <c r="B14" s="8" t="s">
        <v>150</v>
      </c>
      <c r="C14" s="4" t="s">
        <v>4</v>
      </c>
      <c r="D14" s="5">
        <v>2004</v>
      </c>
      <c r="E14" s="15">
        <f t="shared" si="1"/>
        <v>187.7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63.6</v>
      </c>
      <c r="K14" s="14" t="str">
        <f t="shared" si="7"/>
        <v>2021 Elite Canada</v>
      </c>
      <c r="L14" s="14">
        <f t="shared" si="8"/>
        <v>124.1</v>
      </c>
      <c r="M14" s="14" t="str">
        <f t="shared" si="9"/>
        <v>2021 Canadian Championships</v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6">
        <v>28.2</v>
      </c>
      <c r="AN14" s="36">
        <v>3.6</v>
      </c>
      <c r="AO14" s="36">
        <v>0</v>
      </c>
      <c r="AP14" s="36">
        <v>0</v>
      </c>
      <c r="AQ14" s="36">
        <v>28.3</v>
      </c>
      <c r="AR14" s="36">
        <v>3.5</v>
      </c>
      <c r="AS14" s="36">
        <v>0</v>
      </c>
      <c r="AT14" s="36">
        <v>0</v>
      </c>
      <c r="AU14" s="36">
        <v>28.7</v>
      </c>
      <c r="AV14" s="36">
        <v>4.8</v>
      </c>
      <c r="AW14" s="36">
        <v>0</v>
      </c>
      <c r="AX14" s="36">
        <v>0</v>
      </c>
      <c r="AY14" s="36">
        <v>27.9</v>
      </c>
      <c r="AZ14" s="36">
        <v>6</v>
      </c>
      <c r="BA14" s="36">
        <v>0.9</v>
      </c>
      <c r="BB14" s="36">
        <v>0</v>
      </c>
      <c r="BC14" s="73"/>
      <c r="BD14" s="14">
        <f t="shared" si="18"/>
        <v>7.1</v>
      </c>
      <c r="BE14" s="14">
        <f t="shared" si="19"/>
        <v>63.6</v>
      </c>
      <c r="BF14" s="14">
        <f t="shared" si="20"/>
        <v>10.8</v>
      </c>
      <c r="BG14" s="14">
        <f t="shared" si="21"/>
        <v>66.5</v>
      </c>
      <c r="BH14" s="14">
        <f t="shared" si="22"/>
        <v>130.1</v>
      </c>
      <c r="BI14" s="61">
        <v>28.5</v>
      </c>
      <c r="BJ14" s="61">
        <v>3.6</v>
      </c>
      <c r="BK14" s="61">
        <v>0.9</v>
      </c>
      <c r="BL14" s="61">
        <v>0</v>
      </c>
      <c r="BM14" s="61">
        <v>28.1</v>
      </c>
      <c r="BN14" s="61">
        <v>3.5</v>
      </c>
      <c r="BO14" s="61">
        <v>1.2</v>
      </c>
      <c r="BP14" s="61">
        <v>0</v>
      </c>
      <c r="BQ14" s="61">
        <v>28.6</v>
      </c>
      <c r="BR14" s="61">
        <v>4.8</v>
      </c>
      <c r="BS14" s="61">
        <v>0</v>
      </c>
      <c r="BT14" s="61">
        <v>0</v>
      </c>
      <c r="BU14" s="61">
        <v>24.6</v>
      </c>
      <c r="BV14" s="61">
        <v>6</v>
      </c>
      <c r="BW14" s="61">
        <v>1.5</v>
      </c>
      <c r="BX14" s="61">
        <v>0</v>
      </c>
      <c r="BY14" s="72"/>
      <c r="BZ14" s="11">
        <f t="shared" si="23"/>
        <v>7.1</v>
      </c>
      <c r="CA14" s="11">
        <f t="shared" si="24"/>
        <v>61.6</v>
      </c>
      <c r="CB14" s="11">
        <f t="shared" si="25"/>
        <v>10.8</v>
      </c>
      <c r="CC14" s="11">
        <f t="shared" si="26"/>
        <v>62.5</v>
      </c>
      <c r="CD14" s="11">
        <f t="shared" si="27"/>
        <v>124.1</v>
      </c>
      <c r="CE14" s="23" t="str">
        <f t="shared" si="28"/>
        <v/>
      </c>
      <c r="CF14" s="23" t="str">
        <f t="shared" si="29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28.35</v>
      </c>
      <c r="LZ14" s="61">
        <f t="shared" si="91"/>
        <v>3.6</v>
      </c>
      <c r="MA14" s="61">
        <f t="shared" si="92"/>
        <v>0.45</v>
      </c>
      <c r="MB14" s="61">
        <f t="shared" si="93"/>
        <v>0</v>
      </c>
      <c r="MC14" s="61">
        <f t="shared" si="94"/>
        <v>28.200000000000003</v>
      </c>
      <c r="MD14" s="61">
        <f t="shared" si="95"/>
        <v>3.5</v>
      </c>
      <c r="ME14" s="61">
        <f t="shared" si="96"/>
        <v>0.6</v>
      </c>
      <c r="MF14" s="61">
        <f t="shared" si="97"/>
        <v>0</v>
      </c>
      <c r="MG14" s="61">
        <f t="shared" si="98"/>
        <v>28.65</v>
      </c>
      <c r="MH14" s="61">
        <f t="shared" si="99"/>
        <v>4.8</v>
      </c>
      <c r="MI14" s="61">
        <f t="shared" si="100"/>
        <v>0</v>
      </c>
      <c r="MJ14" s="61">
        <f t="shared" si="101"/>
        <v>0</v>
      </c>
      <c r="MK14" s="61">
        <f t="shared" si="102"/>
        <v>26.25</v>
      </c>
      <c r="ML14" s="61">
        <f t="shared" si="103"/>
        <v>6</v>
      </c>
      <c r="MM14" s="61">
        <f t="shared" si="104"/>
        <v>1.2</v>
      </c>
      <c r="MN14" s="61">
        <f t="shared" si="105"/>
        <v>0</v>
      </c>
      <c r="MO14" s="72" t="s">
        <v>52</v>
      </c>
      <c r="MP14" s="11">
        <f t="shared" si="106"/>
        <v>7.1</v>
      </c>
      <c r="MQ14" s="11">
        <f t="shared" si="107"/>
        <v>62.600000000000009</v>
      </c>
      <c r="MR14" s="11">
        <f t="shared" si="108"/>
        <v>10.8</v>
      </c>
      <c r="MS14" s="11">
        <f t="shared" si="109"/>
        <v>64.499999999999986</v>
      </c>
      <c r="MT14" s="11">
        <f t="shared" si="110"/>
        <v>127.1</v>
      </c>
    </row>
    <row r="15" spans="1:358" x14ac:dyDescent="0.2">
      <c r="A15" s="5" t="str">
        <f t="shared" si="0"/>
        <v/>
      </c>
      <c r="B15" s="8" t="s">
        <v>138</v>
      </c>
      <c r="C15" s="4" t="s">
        <v>4</v>
      </c>
      <c r="D15" s="5">
        <v>2001</v>
      </c>
      <c r="E15" s="15">
        <f t="shared" si="1"/>
        <v>121.39999999999999</v>
      </c>
      <c r="F15" s="3" t="str">
        <f t="shared" si="2"/>
        <v/>
      </c>
      <c r="G15" s="3" t="str">
        <f t="shared" si="3"/>
        <v/>
      </c>
      <c r="H15" s="116" t="str">
        <f t="shared" si="4"/>
        <v/>
      </c>
      <c r="I15" s="3" t="str">
        <f t="shared" si="5"/>
        <v/>
      </c>
      <c r="J15" s="14">
        <f t="shared" si="6"/>
        <v>66.899999999999991</v>
      </c>
      <c r="K15" s="14" t="str">
        <f t="shared" si="7"/>
        <v>2021 Elite Canada</v>
      </c>
      <c r="L15" s="14">
        <f t="shared" si="8"/>
        <v>54.5</v>
      </c>
      <c r="M15" s="14" t="str">
        <f t="shared" si="9"/>
        <v>2021 Canadian Championships</v>
      </c>
      <c r="N15" s="14" t="str">
        <f t="shared" si="10"/>
        <v/>
      </c>
      <c r="O15" s="24" t="str">
        <f t="shared" si="11"/>
        <v/>
      </c>
      <c r="P15" s="14" t="str">
        <f t="shared" si="12"/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 t="shared" si="13"/>
        <v/>
      </c>
      <c r="AI15" s="11" t="str">
        <f t="shared" si="14"/>
        <v/>
      </c>
      <c r="AJ15" s="11" t="str">
        <f t="shared" si="15"/>
        <v/>
      </c>
      <c r="AK15" s="11" t="str">
        <f t="shared" si="16"/>
        <v/>
      </c>
      <c r="AL15" s="11" t="str">
        <f t="shared" si="17"/>
        <v/>
      </c>
      <c r="AM15" s="36">
        <v>27.9</v>
      </c>
      <c r="AN15" s="36">
        <v>6</v>
      </c>
      <c r="AO15" s="36">
        <v>0</v>
      </c>
      <c r="AP15" s="36">
        <v>0</v>
      </c>
      <c r="AQ15" s="36">
        <v>27.9</v>
      </c>
      <c r="AR15" s="36">
        <v>6</v>
      </c>
      <c r="AS15" s="36">
        <v>0.9</v>
      </c>
      <c r="AT15" s="36">
        <v>0</v>
      </c>
      <c r="AU15" s="36">
        <v>24.6</v>
      </c>
      <c r="AV15" s="36">
        <v>5.6</v>
      </c>
      <c r="AW15" s="36">
        <v>1.8</v>
      </c>
      <c r="AX15" s="36">
        <v>0</v>
      </c>
      <c r="AY15" s="36">
        <v>28.1</v>
      </c>
      <c r="AZ15" s="36">
        <v>5.2</v>
      </c>
      <c r="BA15" s="36">
        <v>0.9</v>
      </c>
      <c r="BB15" s="36">
        <v>0</v>
      </c>
      <c r="BC15" s="73"/>
      <c r="BD15" s="14">
        <f t="shared" si="18"/>
        <v>12</v>
      </c>
      <c r="BE15" s="14">
        <f t="shared" si="19"/>
        <v>66.899999999999991</v>
      </c>
      <c r="BF15" s="14">
        <f t="shared" si="20"/>
        <v>10.8</v>
      </c>
      <c r="BG15" s="14">
        <f t="shared" si="21"/>
        <v>60.800000000000004</v>
      </c>
      <c r="BH15" s="14">
        <f t="shared" si="22"/>
        <v>127.69999999999999</v>
      </c>
      <c r="BI15" s="61">
        <v>27.1</v>
      </c>
      <c r="BJ15" s="61">
        <v>6</v>
      </c>
      <c r="BK15" s="61">
        <v>1.2</v>
      </c>
      <c r="BL15" s="61">
        <v>0</v>
      </c>
      <c r="BM15" s="61">
        <v>19.8</v>
      </c>
      <c r="BN15" s="61">
        <v>2.8</v>
      </c>
      <c r="BO15" s="61">
        <v>0</v>
      </c>
      <c r="BP15" s="61">
        <v>0</v>
      </c>
      <c r="BQ15" s="61"/>
      <c r="BR15" s="61"/>
      <c r="BS15" s="61"/>
      <c r="BT15" s="61"/>
      <c r="BU15" s="61"/>
      <c r="BV15" s="61"/>
      <c r="BW15" s="61"/>
      <c r="BX15" s="61"/>
      <c r="BY15" s="72"/>
      <c r="BZ15" s="11">
        <f t="shared" si="23"/>
        <v>8.8000000000000007</v>
      </c>
      <c r="CA15" s="11">
        <f t="shared" si="24"/>
        <v>54.5</v>
      </c>
      <c r="CB15" s="11" t="str">
        <f t="shared" si="25"/>
        <v/>
      </c>
      <c r="CC15" s="11" t="str">
        <f t="shared" si="26"/>
        <v/>
      </c>
      <c r="CD15" s="11">
        <f t="shared" si="27"/>
        <v>54.5</v>
      </c>
      <c r="CE15" s="23" t="str">
        <f t="shared" si="28"/>
        <v/>
      </c>
      <c r="CF15" s="23" t="str">
        <f t="shared" si="29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1">
        <f t="shared" si="90"/>
        <v>27.5</v>
      </c>
      <c r="LZ15" s="61">
        <f t="shared" si="91"/>
        <v>6</v>
      </c>
      <c r="MA15" s="61">
        <f t="shared" si="92"/>
        <v>0.6</v>
      </c>
      <c r="MB15" s="61">
        <f t="shared" si="93"/>
        <v>0</v>
      </c>
      <c r="MC15" s="61">
        <f t="shared" si="94"/>
        <v>23.85</v>
      </c>
      <c r="MD15" s="61">
        <f t="shared" si="95"/>
        <v>4.4000000000000004</v>
      </c>
      <c r="ME15" s="61">
        <f t="shared" si="96"/>
        <v>0.45</v>
      </c>
      <c r="MF15" s="61">
        <f t="shared" si="97"/>
        <v>0</v>
      </c>
      <c r="MG15" s="61">
        <f t="shared" si="98"/>
        <v>12.3</v>
      </c>
      <c r="MH15" s="61">
        <f t="shared" si="99"/>
        <v>2.8</v>
      </c>
      <c r="MI15" s="61">
        <f t="shared" si="100"/>
        <v>0.9</v>
      </c>
      <c r="MJ15" s="61">
        <f t="shared" si="101"/>
        <v>0</v>
      </c>
      <c r="MK15" s="61">
        <f t="shared" si="102"/>
        <v>14.05</v>
      </c>
      <c r="ML15" s="61">
        <f t="shared" si="103"/>
        <v>2.6</v>
      </c>
      <c r="MM15" s="61">
        <f t="shared" si="104"/>
        <v>0.45</v>
      </c>
      <c r="MN15" s="61">
        <f t="shared" si="105"/>
        <v>0</v>
      </c>
      <c r="MO15" s="72" t="s">
        <v>52</v>
      </c>
      <c r="MP15" s="11">
        <f t="shared" si="106"/>
        <v>10.4</v>
      </c>
      <c r="MQ15" s="11">
        <f t="shared" si="107"/>
        <v>60.7</v>
      </c>
      <c r="MR15" s="11">
        <f t="shared" si="108"/>
        <v>5.4</v>
      </c>
      <c r="MS15" s="11">
        <f t="shared" si="109"/>
        <v>30.400000000000002</v>
      </c>
      <c r="MT15" s="11">
        <f t="shared" si="110"/>
        <v>91.100000000000009</v>
      </c>
    </row>
    <row r="16" spans="1:358" x14ac:dyDescent="0.2">
      <c r="A16" s="5" t="str">
        <f t="shared" si="0"/>
        <v/>
      </c>
      <c r="B16" s="8" t="s">
        <v>137</v>
      </c>
      <c r="C16" s="4" t="s">
        <v>5</v>
      </c>
      <c r="D16" s="5">
        <v>2004</v>
      </c>
      <c r="E16" s="15">
        <f t="shared" si="1"/>
        <v>105.6</v>
      </c>
      <c r="F16" s="3" t="str">
        <f t="shared" si="2"/>
        <v/>
      </c>
      <c r="G16" s="3" t="str">
        <f t="shared" si="3"/>
        <v/>
      </c>
      <c r="H16" s="116" t="str">
        <f t="shared" si="4"/>
        <v/>
      </c>
      <c r="I16" s="3" t="str">
        <f t="shared" si="5"/>
        <v/>
      </c>
      <c r="J16" s="14">
        <f t="shared" si="6"/>
        <v>55.6</v>
      </c>
      <c r="K16" s="14" t="str">
        <f t="shared" si="7"/>
        <v>2021 Elite Canada</v>
      </c>
      <c r="L16" s="14">
        <f t="shared" si="8"/>
        <v>50</v>
      </c>
      <c r="M16" s="14" t="str">
        <f t="shared" si="9"/>
        <v>2021 Canadian Championships</v>
      </c>
      <c r="N16" s="14" t="str">
        <f t="shared" si="10"/>
        <v/>
      </c>
      <c r="O16" s="24" t="str">
        <f t="shared" si="11"/>
        <v/>
      </c>
      <c r="P16" s="14" t="str">
        <f t="shared" si="12"/>
        <v/>
      </c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72"/>
      <c r="AH16" s="11" t="str">
        <f t="shared" si="13"/>
        <v/>
      </c>
      <c r="AI16" s="11" t="str">
        <f t="shared" si="14"/>
        <v/>
      </c>
      <c r="AJ16" s="11" t="str">
        <f t="shared" si="15"/>
        <v/>
      </c>
      <c r="AK16" s="11" t="str">
        <f t="shared" si="16"/>
        <v/>
      </c>
      <c r="AL16" s="11" t="str">
        <f t="shared" si="17"/>
        <v/>
      </c>
      <c r="AM16" s="36">
        <v>19.899999999999999</v>
      </c>
      <c r="AN16" s="36">
        <v>2.4</v>
      </c>
      <c r="AO16" s="36">
        <v>0</v>
      </c>
      <c r="AP16" s="36">
        <v>0</v>
      </c>
      <c r="AQ16" s="36">
        <v>27.7</v>
      </c>
      <c r="AR16" s="36">
        <v>5.6</v>
      </c>
      <c r="AS16" s="36">
        <v>0</v>
      </c>
      <c r="AT16" s="36">
        <v>0</v>
      </c>
      <c r="AU16" s="36">
        <v>19.600000000000001</v>
      </c>
      <c r="AV16" s="36">
        <v>2.4</v>
      </c>
      <c r="AW16" s="36">
        <v>0</v>
      </c>
      <c r="AX16" s="36">
        <v>0</v>
      </c>
      <c r="AY16" s="36">
        <v>27.3</v>
      </c>
      <c r="AZ16" s="36">
        <v>4.8</v>
      </c>
      <c r="BA16" s="36">
        <v>0.3</v>
      </c>
      <c r="BB16" s="36">
        <v>0</v>
      </c>
      <c r="BC16" s="73"/>
      <c r="BD16" s="14">
        <f t="shared" si="18"/>
        <v>8</v>
      </c>
      <c r="BE16" s="14">
        <f t="shared" si="19"/>
        <v>55.6</v>
      </c>
      <c r="BF16" s="14">
        <f t="shared" si="20"/>
        <v>7.1999999999999993</v>
      </c>
      <c r="BG16" s="14">
        <f t="shared" si="21"/>
        <v>53.8</v>
      </c>
      <c r="BH16" s="14">
        <f t="shared" si="22"/>
        <v>109.4</v>
      </c>
      <c r="BI16" s="61">
        <v>20</v>
      </c>
      <c r="BJ16" s="61">
        <v>2.4</v>
      </c>
      <c r="BK16" s="61">
        <v>0</v>
      </c>
      <c r="BL16" s="61">
        <v>0</v>
      </c>
      <c r="BM16" s="61">
        <v>24.3</v>
      </c>
      <c r="BN16" s="61">
        <v>4.8</v>
      </c>
      <c r="BO16" s="61">
        <v>1.5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 t="shared" si="23"/>
        <v>7.1999999999999993</v>
      </c>
      <c r="CA16" s="11">
        <f t="shared" si="24"/>
        <v>50</v>
      </c>
      <c r="CB16" s="11" t="str">
        <f t="shared" si="25"/>
        <v/>
      </c>
      <c r="CC16" s="11" t="str">
        <f t="shared" si="26"/>
        <v/>
      </c>
      <c r="CD16" s="11">
        <f t="shared" si="27"/>
        <v>50</v>
      </c>
      <c r="CE16" s="23" t="str">
        <f t="shared" si="28"/>
        <v/>
      </c>
      <c r="CF16" s="23" t="str">
        <f t="shared" si="29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1">
        <f t="shared" si="90"/>
        <v>19.95</v>
      </c>
      <c r="LZ16" s="61">
        <f t="shared" si="91"/>
        <v>2.4</v>
      </c>
      <c r="MA16" s="61">
        <f t="shared" si="92"/>
        <v>0</v>
      </c>
      <c r="MB16" s="61">
        <f t="shared" si="93"/>
        <v>0</v>
      </c>
      <c r="MC16" s="61">
        <f t="shared" si="94"/>
        <v>26</v>
      </c>
      <c r="MD16" s="61">
        <f t="shared" si="95"/>
        <v>5.1999999999999993</v>
      </c>
      <c r="ME16" s="61">
        <f t="shared" si="96"/>
        <v>0.75</v>
      </c>
      <c r="MF16" s="61">
        <f t="shared" si="97"/>
        <v>0</v>
      </c>
      <c r="MG16" s="61">
        <f t="shared" si="98"/>
        <v>9.8000000000000007</v>
      </c>
      <c r="MH16" s="61">
        <f t="shared" si="99"/>
        <v>1.2</v>
      </c>
      <c r="MI16" s="61">
        <f t="shared" si="100"/>
        <v>0</v>
      </c>
      <c r="MJ16" s="61">
        <f t="shared" si="101"/>
        <v>0</v>
      </c>
      <c r="MK16" s="61">
        <f t="shared" si="102"/>
        <v>13.65</v>
      </c>
      <c r="ML16" s="61">
        <f t="shared" si="103"/>
        <v>2.4</v>
      </c>
      <c r="MM16" s="61">
        <f t="shared" si="104"/>
        <v>0.15</v>
      </c>
      <c r="MN16" s="61">
        <f t="shared" si="105"/>
        <v>0</v>
      </c>
      <c r="MO16" s="72" t="s">
        <v>52</v>
      </c>
      <c r="MP16" s="11">
        <f t="shared" si="106"/>
        <v>7.6</v>
      </c>
      <c r="MQ16" s="11">
        <f t="shared" si="107"/>
        <v>52.8</v>
      </c>
      <c r="MR16" s="11">
        <f t="shared" si="108"/>
        <v>3.5999999999999996</v>
      </c>
      <c r="MS16" s="11">
        <f t="shared" si="109"/>
        <v>26.9</v>
      </c>
      <c r="MT16" s="11">
        <f t="shared" si="110"/>
        <v>79.699999999999989</v>
      </c>
    </row>
    <row r="17" spans="1:358" x14ac:dyDescent="0.2">
      <c r="A17" s="5" t="str">
        <f t="shared" si="0"/>
        <v/>
      </c>
      <c r="B17" s="8" t="s">
        <v>92</v>
      </c>
      <c r="C17" s="4" t="s">
        <v>5</v>
      </c>
      <c r="D17" s="5">
        <v>2002</v>
      </c>
      <c r="E17" s="15">
        <f t="shared" si="1"/>
        <v>67.2</v>
      </c>
      <c r="F17" s="3" t="str">
        <f t="shared" si="2"/>
        <v/>
      </c>
      <c r="G17" s="3" t="str">
        <f t="shared" si="3"/>
        <v/>
      </c>
      <c r="H17" s="116" t="str">
        <f t="shared" si="4"/>
        <v/>
      </c>
      <c r="I17" s="3" t="str">
        <f t="shared" si="5"/>
        <v/>
      </c>
      <c r="J17" s="14">
        <f t="shared" si="6"/>
        <v>67.2</v>
      </c>
      <c r="K17" s="14" t="str">
        <f t="shared" si="7"/>
        <v>2021 Canadian Championships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4" t="str">
        <f t="shared" si="11"/>
        <v/>
      </c>
      <c r="P17" s="14" t="str">
        <f t="shared" si="12"/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 t="shared" si="13"/>
        <v/>
      </c>
      <c r="AI17" s="11" t="str">
        <f t="shared" si="14"/>
        <v/>
      </c>
      <c r="AJ17" s="11" t="str">
        <f t="shared" si="15"/>
        <v/>
      </c>
      <c r="AK17" s="11" t="str">
        <f t="shared" si="16"/>
        <v/>
      </c>
      <c r="AL17" s="11" t="str">
        <f t="shared" si="17"/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 t="shared" si="18"/>
        <v/>
      </c>
      <c r="BE17" s="14" t="str">
        <f t="shared" si="19"/>
        <v/>
      </c>
      <c r="BF17" s="14" t="str">
        <f t="shared" si="20"/>
        <v/>
      </c>
      <c r="BG17" s="14" t="str">
        <f t="shared" si="21"/>
        <v/>
      </c>
      <c r="BH17" s="14" t="str">
        <f t="shared" si="22"/>
        <v/>
      </c>
      <c r="BI17" s="61">
        <v>27.6</v>
      </c>
      <c r="BJ17" s="61">
        <v>6</v>
      </c>
      <c r="BK17" s="61">
        <v>0</v>
      </c>
      <c r="BL17" s="61">
        <v>0</v>
      </c>
      <c r="BM17" s="61">
        <v>27.9</v>
      </c>
      <c r="BN17" s="61">
        <v>6</v>
      </c>
      <c r="BO17" s="61">
        <v>0.3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 t="shared" si="23"/>
        <v>12</v>
      </c>
      <c r="CA17" s="11">
        <f t="shared" si="24"/>
        <v>67.2</v>
      </c>
      <c r="CB17" s="11" t="str">
        <f t="shared" si="25"/>
        <v/>
      </c>
      <c r="CC17" s="11" t="str">
        <f t="shared" si="26"/>
        <v/>
      </c>
      <c r="CD17" s="11">
        <f t="shared" si="27"/>
        <v>67.2</v>
      </c>
      <c r="CE17" s="23" t="str">
        <f t="shared" si="28"/>
        <v/>
      </c>
      <c r="CF17" s="23" t="str">
        <f t="shared" si="29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1">
        <f t="shared" si="90"/>
        <v>13.8</v>
      </c>
      <c r="LZ17" s="61">
        <f t="shared" si="91"/>
        <v>3</v>
      </c>
      <c r="MA17" s="61">
        <f t="shared" si="92"/>
        <v>0</v>
      </c>
      <c r="MB17" s="61">
        <f t="shared" si="93"/>
        <v>0</v>
      </c>
      <c r="MC17" s="61">
        <f t="shared" si="94"/>
        <v>13.95</v>
      </c>
      <c r="MD17" s="61">
        <f t="shared" si="95"/>
        <v>3</v>
      </c>
      <c r="ME17" s="61">
        <f t="shared" si="96"/>
        <v>0.15</v>
      </c>
      <c r="MF17" s="61">
        <f t="shared" si="97"/>
        <v>0</v>
      </c>
      <c r="MG17" s="61">
        <f t="shared" si="98"/>
        <v>0</v>
      </c>
      <c r="MH17" s="61">
        <f t="shared" si="99"/>
        <v>0</v>
      </c>
      <c r="MI17" s="61">
        <f t="shared" si="100"/>
        <v>0</v>
      </c>
      <c r="MJ17" s="61">
        <f t="shared" si="101"/>
        <v>0</v>
      </c>
      <c r="MK17" s="61">
        <f t="shared" si="102"/>
        <v>0</v>
      </c>
      <c r="ML17" s="61">
        <f t="shared" si="103"/>
        <v>0</v>
      </c>
      <c r="MM17" s="61">
        <f t="shared" si="104"/>
        <v>0</v>
      </c>
      <c r="MN17" s="61">
        <f t="shared" si="105"/>
        <v>0</v>
      </c>
      <c r="MO17" s="72" t="s">
        <v>52</v>
      </c>
      <c r="MP17" s="11">
        <f t="shared" si="106"/>
        <v>6</v>
      </c>
      <c r="MQ17" s="11">
        <f t="shared" si="107"/>
        <v>33.6</v>
      </c>
      <c r="MR17" s="11" t="str">
        <f t="shared" si="108"/>
        <v/>
      </c>
      <c r="MS17" s="11" t="str">
        <f t="shared" si="109"/>
        <v/>
      </c>
      <c r="MT17" s="11">
        <f t="shared" si="110"/>
        <v>33.6</v>
      </c>
    </row>
    <row r="18" spans="1:358" x14ac:dyDescent="0.2">
      <c r="A18" s="5" t="str">
        <f t="shared" si="0"/>
        <v/>
      </c>
      <c r="B18" s="8" t="s">
        <v>123</v>
      </c>
      <c r="C18" s="4" t="s">
        <v>4</v>
      </c>
      <c r="D18" s="5">
        <v>2004</v>
      </c>
      <c r="E18" s="15">
        <f t="shared" si="1"/>
        <v>66.499999999999986</v>
      </c>
      <c r="F18" s="3" t="str">
        <f t="shared" si="2"/>
        <v/>
      </c>
      <c r="G18" s="3" t="str">
        <f t="shared" si="3"/>
        <v/>
      </c>
      <c r="H18" s="116" t="str">
        <f t="shared" si="4"/>
        <v/>
      </c>
      <c r="I18" s="3" t="str">
        <f t="shared" si="5"/>
        <v/>
      </c>
      <c r="J18" s="14">
        <f t="shared" si="6"/>
        <v>66.499999999999986</v>
      </c>
      <c r="K18" s="14" t="str">
        <f t="shared" si="7"/>
        <v>2021 2nd Virtual Technical Trial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4" t="str">
        <f t="shared" si="11"/>
        <v/>
      </c>
      <c r="P18" s="14" t="str">
        <f t="shared" si="12"/>
        <v/>
      </c>
      <c r="Q18" s="61">
        <v>28.1</v>
      </c>
      <c r="R18" s="61">
        <v>6</v>
      </c>
      <c r="S18" s="61">
        <v>0.9</v>
      </c>
      <c r="T18" s="61">
        <v>0</v>
      </c>
      <c r="U18" s="61">
        <v>27.7</v>
      </c>
      <c r="V18" s="61">
        <v>5.6</v>
      </c>
      <c r="W18" s="61">
        <v>0</v>
      </c>
      <c r="X18" s="61">
        <v>0</v>
      </c>
      <c r="Y18" s="61">
        <v>28.2</v>
      </c>
      <c r="Z18" s="61">
        <v>6.4</v>
      </c>
      <c r="AA18" s="61">
        <v>0.9</v>
      </c>
      <c r="AB18" s="61">
        <v>0</v>
      </c>
      <c r="AC18" s="61">
        <v>27.8</v>
      </c>
      <c r="AD18" s="61">
        <v>6</v>
      </c>
      <c r="AE18" s="61">
        <v>0</v>
      </c>
      <c r="AF18" s="61">
        <v>0</v>
      </c>
      <c r="AG18" s="72"/>
      <c r="AH18" s="11">
        <f t="shared" si="13"/>
        <v>11.6</v>
      </c>
      <c r="AI18" s="11">
        <f t="shared" si="14"/>
        <v>66.499999999999986</v>
      </c>
      <c r="AJ18" s="11">
        <f t="shared" si="15"/>
        <v>12.4</v>
      </c>
      <c r="AK18" s="11">
        <f t="shared" si="16"/>
        <v>67.5</v>
      </c>
      <c r="AL18" s="11">
        <f t="shared" si="17"/>
        <v>134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 t="shared" si="23"/>
        <v/>
      </c>
      <c r="CA18" s="11" t="str">
        <f t="shared" si="24"/>
        <v/>
      </c>
      <c r="CB18" s="11" t="str">
        <f t="shared" si="25"/>
        <v/>
      </c>
      <c r="CC18" s="11" t="str">
        <f t="shared" si="26"/>
        <v/>
      </c>
      <c r="CD18" s="11" t="str">
        <f t="shared" si="27"/>
        <v/>
      </c>
      <c r="CE18" s="23" t="str">
        <f t="shared" si="28"/>
        <v/>
      </c>
      <c r="CF18" s="23" t="str">
        <f t="shared" si="29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1">
        <f t="shared" si="90"/>
        <v>0</v>
      </c>
      <c r="LZ18" s="61">
        <f t="shared" si="91"/>
        <v>0</v>
      </c>
      <c r="MA18" s="61">
        <f t="shared" si="92"/>
        <v>0</v>
      </c>
      <c r="MB18" s="61">
        <f t="shared" si="93"/>
        <v>0</v>
      </c>
      <c r="MC18" s="61">
        <f t="shared" si="94"/>
        <v>0</v>
      </c>
      <c r="MD18" s="61">
        <f t="shared" si="95"/>
        <v>0</v>
      </c>
      <c r="ME18" s="61">
        <f t="shared" si="96"/>
        <v>0</v>
      </c>
      <c r="MF18" s="61">
        <f t="shared" si="97"/>
        <v>0</v>
      </c>
      <c r="MG18" s="61">
        <f t="shared" si="98"/>
        <v>0</v>
      </c>
      <c r="MH18" s="61">
        <f t="shared" si="99"/>
        <v>0</v>
      </c>
      <c r="MI18" s="61">
        <f t="shared" si="100"/>
        <v>0</v>
      </c>
      <c r="MJ18" s="61">
        <f t="shared" si="101"/>
        <v>0</v>
      </c>
      <c r="MK18" s="61">
        <f t="shared" si="102"/>
        <v>0</v>
      </c>
      <c r="ML18" s="61">
        <f t="shared" si="103"/>
        <v>0</v>
      </c>
      <c r="MM18" s="61">
        <f t="shared" si="104"/>
        <v>0</v>
      </c>
      <c r="MN18" s="61">
        <f t="shared" si="105"/>
        <v>0</v>
      </c>
      <c r="MO18" s="72" t="s">
        <v>52</v>
      </c>
      <c r="MP18" s="11" t="str">
        <f t="shared" si="106"/>
        <v/>
      </c>
      <c r="MQ18" s="11" t="str">
        <f t="shared" si="107"/>
        <v/>
      </c>
      <c r="MR18" s="11" t="str">
        <f t="shared" si="108"/>
        <v/>
      </c>
      <c r="MS18" s="11" t="str">
        <f t="shared" si="109"/>
        <v/>
      </c>
      <c r="MT18" s="11" t="str">
        <f t="shared" si="110"/>
        <v/>
      </c>
    </row>
    <row r="19" spans="1:358" x14ac:dyDescent="0.2">
      <c r="A19" s="5" t="str">
        <f t="shared" si="0"/>
        <v/>
      </c>
      <c r="B19" s="8" t="s">
        <v>154</v>
      </c>
      <c r="C19" s="4" t="s">
        <v>3</v>
      </c>
      <c r="D19" s="5">
        <v>2000</v>
      </c>
      <c r="E19" s="15">
        <f t="shared" si="1"/>
        <v>65.899999999999991</v>
      </c>
      <c r="F19" s="3" t="str">
        <f t="shared" si="2"/>
        <v/>
      </c>
      <c r="G19" s="3" t="str">
        <f t="shared" si="3"/>
        <v/>
      </c>
      <c r="H19" s="116" t="str">
        <f t="shared" si="4"/>
        <v/>
      </c>
      <c r="I19" s="3" t="str">
        <f t="shared" si="5"/>
        <v/>
      </c>
      <c r="J19" s="14">
        <f t="shared" si="6"/>
        <v>65.899999999999991</v>
      </c>
      <c r="K19" s="14" t="str">
        <f t="shared" si="7"/>
        <v>2021 Canadian Championships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4" t="str">
        <f t="shared" si="11"/>
        <v/>
      </c>
      <c r="P19" s="14" t="str">
        <f t="shared" si="12"/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 t="shared" si="13"/>
        <v/>
      </c>
      <c r="AI19" s="11" t="str">
        <f t="shared" si="14"/>
        <v/>
      </c>
      <c r="AJ19" s="11" t="str">
        <f t="shared" si="15"/>
        <v/>
      </c>
      <c r="AK19" s="11" t="str">
        <f t="shared" si="16"/>
        <v/>
      </c>
      <c r="AL19" s="11" t="str">
        <f t="shared" si="17"/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1">
        <v>27.4</v>
      </c>
      <c r="BJ19" s="61">
        <v>6.8</v>
      </c>
      <c r="BK19" s="61">
        <v>0.3</v>
      </c>
      <c r="BL19" s="61">
        <v>0</v>
      </c>
      <c r="BM19" s="61">
        <v>27.2</v>
      </c>
      <c r="BN19" s="61">
        <v>6</v>
      </c>
      <c r="BO19" s="61">
        <v>1.2</v>
      </c>
      <c r="BP19" s="61">
        <v>0</v>
      </c>
      <c r="BQ19" s="61">
        <v>19.600000000000001</v>
      </c>
      <c r="BR19" s="61">
        <v>3.2</v>
      </c>
      <c r="BS19" s="61">
        <v>0</v>
      </c>
      <c r="BT19" s="61">
        <v>0</v>
      </c>
      <c r="BU19" s="61">
        <v>27.8</v>
      </c>
      <c r="BV19" s="61">
        <v>6.8</v>
      </c>
      <c r="BW19" s="61">
        <v>0.9</v>
      </c>
      <c r="BX19" s="61">
        <v>0</v>
      </c>
      <c r="BY19" s="72"/>
      <c r="BZ19" s="11">
        <f t="shared" si="23"/>
        <v>12.8</v>
      </c>
      <c r="CA19" s="11">
        <f t="shared" si="24"/>
        <v>65.899999999999991</v>
      </c>
      <c r="CB19" s="11">
        <f t="shared" si="25"/>
        <v>10</v>
      </c>
      <c r="CC19" s="11">
        <f t="shared" si="26"/>
        <v>56.5</v>
      </c>
      <c r="CD19" s="11">
        <f t="shared" si="27"/>
        <v>122.39999999999999</v>
      </c>
      <c r="CE19" s="23" t="str">
        <f t="shared" si="28"/>
        <v/>
      </c>
      <c r="CF19" s="23" t="str">
        <f t="shared" si="29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1">
        <f t="shared" si="90"/>
        <v>13.7</v>
      </c>
      <c r="LZ19" s="61">
        <f t="shared" si="91"/>
        <v>3.4</v>
      </c>
      <c r="MA19" s="61">
        <f t="shared" si="92"/>
        <v>0.15</v>
      </c>
      <c r="MB19" s="61">
        <f t="shared" si="93"/>
        <v>0</v>
      </c>
      <c r="MC19" s="61">
        <f t="shared" si="94"/>
        <v>13.6</v>
      </c>
      <c r="MD19" s="61">
        <f t="shared" si="95"/>
        <v>3</v>
      </c>
      <c r="ME19" s="61">
        <f t="shared" si="96"/>
        <v>0.6</v>
      </c>
      <c r="MF19" s="61">
        <f t="shared" si="97"/>
        <v>0</v>
      </c>
      <c r="MG19" s="61">
        <f t="shared" si="98"/>
        <v>9.8000000000000007</v>
      </c>
      <c r="MH19" s="61">
        <f t="shared" si="99"/>
        <v>1.6</v>
      </c>
      <c r="MI19" s="61">
        <f t="shared" si="100"/>
        <v>0</v>
      </c>
      <c r="MJ19" s="61">
        <f t="shared" si="101"/>
        <v>0</v>
      </c>
      <c r="MK19" s="61">
        <f t="shared" si="102"/>
        <v>13.9</v>
      </c>
      <c r="ML19" s="61">
        <f t="shared" si="103"/>
        <v>3.4</v>
      </c>
      <c r="MM19" s="61">
        <f t="shared" si="104"/>
        <v>0.45</v>
      </c>
      <c r="MN19" s="61">
        <f t="shared" si="105"/>
        <v>0</v>
      </c>
      <c r="MO19" s="72" t="s">
        <v>52</v>
      </c>
      <c r="MP19" s="11">
        <f t="shared" si="106"/>
        <v>6.4</v>
      </c>
      <c r="MQ19" s="11">
        <f t="shared" si="107"/>
        <v>32.949999999999996</v>
      </c>
      <c r="MR19" s="11">
        <f t="shared" si="108"/>
        <v>5</v>
      </c>
      <c r="MS19" s="11">
        <f t="shared" si="109"/>
        <v>28.25</v>
      </c>
      <c r="MT19" s="11">
        <f t="shared" si="110"/>
        <v>61.199999999999996</v>
      </c>
    </row>
    <row r="20" spans="1:358" x14ac:dyDescent="0.2">
      <c r="A20" s="5" t="str">
        <f t="shared" si="0"/>
        <v/>
      </c>
      <c r="B20" s="8" t="s">
        <v>86</v>
      </c>
      <c r="C20" s="4" t="s">
        <v>3</v>
      </c>
      <c r="D20" s="5">
        <v>2004</v>
      </c>
      <c r="E20" s="15">
        <f t="shared" si="1"/>
        <v>65.8</v>
      </c>
      <c r="F20" s="3" t="str">
        <f t="shared" si="2"/>
        <v/>
      </c>
      <c r="G20" s="3" t="str">
        <f t="shared" si="3"/>
        <v/>
      </c>
      <c r="H20" s="116" t="str">
        <f t="shared" si="4"/>
        <v/>
      </c>
      <c r="I20" s="3" t="str">
        <f t="shared" si="5"/>
        <v/>
      </c>
      <c r="J20" s="14">
        <f t="shared" si="6"/>
        <v>65.8</v>
      </c>
      <c r="K20" s="14" t="str">
        <f t="shared" si="7"/>
        <v>2021 Elite Canada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4" t="str">
        <f t="shared" si="11"/>
        <v/>
      </c>
      <c r="P20" s="14" t="str">
        <f t="shared" si="12"/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 t="shared" si="13"/>
        <v/>
      </c>
      <c r="AI20" s="11" t="str">
        <f t="shared" si="14"/>
        <v/>
      </c>
      <c r="AJ20" s="11" t="str">
        <f t="shared" si="15"/>
        <v/>
      </c>
      <c r="AK20" s="11" t="str">
        <f t="shared" si="16"/>
        <v/>
      </c>
      <c r="AL20" s="11" t="str">
        <f t="shared" si="17"/>
        <v/>
      </c>
      <c r="AM20" s="36">
        <v>28.4</v>
      </c>
      <c r="AN20" s="36">
        <v>4.8</v>
      </c>
      <c r="AO20" s="36">
        <v>0</v>
      </c>
      <c r="AP20" s="36">
        <v>0</v>
      </c>
      <c r="AQ20" s="36">
        <v>27.8</v>
      </c>
      <c r="AR20" s="36">
        <v>4.8</v>
      </c>
      <c r="AS20" s="36">
        <v>0</v>
      </c>
      <c r="AT20" s="36">
        <v>0</v>
      </c>
      <c r="AU20" s="36"/>
      <c r="AV20" s="36"/>
      <c r="AW20" s="36"/>
      <c r="AX20" s="36"/>
      <c r="AY20" s="36"/>
      <c r="AZ20" s="36"/>
      <c r="BA20" s="36"/>
      <c r="BB20" s="36"/>
      <c r="BC20" s="73"/>
      <c r="BD20" s="14">
        <f t="shared" si="18"/>
        <v>9.6</v>
      </c>
      <c r="BE20" s="14">
        <f t="shared" si="19"/>
        <v>65.8</v>
      </c>
      <c r="BF20" s="14" t="str">
        <f t="shared" si="20"/>
        <v/>
      </c>
      <c r="BG20" s="14" t="str">
        <f t="shared" si="21"/>
        <v/>
      </c>
      <c r="BH20" s="14">
        <f t="shared" si="22"/>
        <v>65.8</v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 t="shared" si="23"/>
        <v/>
      </c>
      <c r="CA20" s="11" t="str">
        <f t="shared" si="24"/>
        <v/>
      </c>
      <c r="CB20" s="11" t="str">
        <f t="shared" si="25"/>
        <v/>
      </c>
      <c r="CC20" s="11" t="str">
        <f t="shared" si="26"/>
        <v/>
      </c>
      <c r="CD20" s="11" t="str">
        <f t="shared" si="27"/>
        <v/>
      </c>
      <c r="CE20" s="23" t="str">
        <f t="shared" si="28"/>
        <v/>
      </c>
      <c r="CF20" s="23" t="str">
        <f t="shared" si="29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1">
        <f t="shared" si="90"/>
        <v>14.2</v>
      </c>
      <c r="LZ20" s="61">
        <f t="shared" si="91"/>
        <v>2.4</v>
      </c>
      <c r="MA20" s="61">
        <f t="shared" si="92"/>
        <v>0</v>
      </c>
      <c r="MB20" s="61">
        <f t="shared" si="93"/>
        <v>0</v>
      </c>
      <c r="MC20" s="61">
        <f t="shared" si="94"/>
        <v>13.9</v>
      </c>
      <c r="MD20" s="61">
        <f t="shared" si="95"/>
        <v>2.4</v>
      </c>
      <c r="ME20" s="61">
        <f t="shared" si="96"/>
        <v>0</v>
      </c>
      <c r="MF20" s="61">
        <f t="shared" si="97"/>
        <v>0</v>
      </c>
      <c r="MG20" s="61">
        <f t="shared" si="98"/>
        <v>0</v>
      </c>
      <c r="MH20" s="61">
        <f t="shared" si="99"/>
        <v>0</v>
      </c>
      <c r="MI20" s="61">
        <f t="shared" si="100"/>
        <v>0</v>
      </c>
      <c r="MJ20" s="61">
        <f t="shared" si="101"/>
        <v>0</v>
      </c>
      <c r="MK20" s="61">
        <f t="shared" si="102"/>
        <v>0</v>
      </c>
      <c r="ML20" s="61">
        <f t="shared" si="103"/>
        <v>0</v>
      </c>
      <c r="MM20" s="61">
        <f t="shared" si="104"/>
        <v>0</v>
      </c>
      <c r="MN20" s="61">
        <f t="shared" si="105"/>
        <v>0</v>
      </c>
      <c r="MO20" s="72" t="s">
        <v>52</v>
      </c>
      <c r="MP20" s="11">
        <f t="shared" si="106"/>
        <v>4.8</v>
      </c>
      <c r="MQ20" s="11">
        <f t="shared" si="107"/>
        <v>32.9</v>
      </c>
      <c r="MR20" s="11" t="str">
        <f t="shared" si="108"/>
        <v/>
      </c>
      <c r="MS20" s="11" t="str">
        <f t="shared" si="109"/>
        <v/>
      </c>
      <c r="MT20" s="11">
        <f t="shared" si="110"/>
        <v>32.9</v>
      </c>
    </row>
    <row r="21" spans="1:358" x14ac:dyDescent="0.2">
      <c r="A21" s="5" t="str">
        <f t="shared" si="0"/>
        <v/>
      </c>
      <c r="B21" s="8" t="s">
        <v>119</v>
      </c>
      <c r="C21" s="4" t="s">
        <v>113</v>
      </c>
      <c r="D21" s="5">
        <v>2000</v>
      </c>
      <c r="E21" s="15">
        <f t="shared" si="1"/>
        <v>64.3</v>
      </c>
      <c r="F21" s="3" t="str">
        <f t="shared" si="2"/>
        <v/>
      </c>
      <c r="G21" s="3" t="str">
        <f t="shared" si="3"/>
        <v/>
      </c>
      <c r="H21" s="116" t="str">
        <f t="shared" si="4"/>
        <v/>
      </c>
      <c r="I21" s="3" t="str">
        <f t="shared" si="5"/>
        <v/>
      </c>
      <c r="J21" s="14">
        <f t="shared" si="6"/>
        <v>64.3</v>
      </c>
      <c r="K21" s="14" t="str">
        <f t="shared" si="7"/>
        <v>2021 2nd Virtual Technical Trial</v>
      </c>
      <c r="L21" s="14">
        <f t="shared" si="8"/>
        <v>0</v>
      </c>
      <c r="M21" s="14" t="str">
        <f t="shared" si="9"/>
        <v/>
      </c>
      <c r="N21" s="14" t="str">
        <f t="shared" si="10"/>
        <v/>
      </c>
      <c r="O21" s="24" t="str">
        <f t="shared" si="11"/>
        <v/>
      </c>
      <c r="P21" s="14" t="str">
        <f t="shared" si="12"/>
        <v/>
      </c>
      <c r="Q21" s="61">
        <v>27</v>
      </c>
      <c r="R21" s="61">
        <v>5.6</v>
      </c>
      <c r="S21" s="61">
        <v>1.9</v>
      </c>
      <c r="T21" s="61">
        <v>0</v>
      </c>
      <c r="U21" s="61">
        <v>27.9</v>
      </c>
      <c r="V21" s="61">
        <v>6</v>
      </c>
      <c r="W21" s="61">
        <v>0.3</v>
      </c>
      <c r="X21" s="61">
        <v>0</v>
      </c>
      <c r="Y21" s="61">
        <v>28.4</v>
      </c>
      <c r="Z21" s="61">
        <v>7.2</v>
      </c>
      <c r="AA21" s="61">
        <v>0.3</v>
      </c>
      <c r="AB21" s="61">
        <v>0</v>
      </c>
      <c r="AC21" s="61">
        <v>24.5</v>
      </c>
      <c r="AD21" s="61">
        <v>7.2</v>
      </c>
      <c r="AE21" s="61">
        <v>1.2</v>
      </c>
      <c r="AF21" s="61">
        <v>0</v>
      </c>
      <c r="AG21" s="72"/>
      <c r="AH21" s="11">
        <f t="shared" si="13"/>
        <v>11.6</v>
      </c>
      <c r="AI21" s="11">
        <f t="shared" si="14"/>
        <v>64.3</v>
      </c>
      <c r="AJ21" s="11">
        <f t="shared" si="15"/>
        <v>14.4</v>
      </c>
      <c r="AK21" s="11">
        <f t="shared" si="16"/>
        <v>65.8</v>
      </c>
      <c r="AL21" s="11">
        <f t="shared" si="17"/>
        <v>130.1</v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 t="shared" si="18"/>
        <v/>
      </c>
      <c r="BE21" s="14" t="str">
        <f t="shared" si="19"/>
        <v/>
      </c>
      <c r="BF21" s="14" t="str">
        <f t="shared" si="20"/>
        <v/>
      </c>
      <c r="BG21" s="14" t="str">
        <f t="shared" si="21"/>
        <v/>
      </c>
      <c r="BH21" s="14" t="str">
        <f t="shared" si="22"/>
        <v/>
      </c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72"/>
      <c r="BZ21" s="11" t="str">
        <f t="shared" si="23"/>
        <v/>
      </c>
      <c r="CA21" s="11" t="str">
        <f t="shared" si="24"/>
        <v/>
      </c>
      <c r="CB21" s="11" t="str">
        <f t="shared" si="25"/>
        <v/>
      </c>
      <c r="CC21" s="11" t="str">
        <f t="shared" si="26"/>
        <v/>
      </c>
      <c r="CD21" s="11" t="str">
        <f t="shared" si="27"/>
        <v/>
      </c>
      <c r="CE21" s="23" t="str">
        <f t="shared" si="28"/>
        <v/>
      </c>
      <c r="CF21" s="23" t="str">
        <f t="shared" si="29"/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 t="shared" si="35"/>
        <v/>
      </c>
      <c r="DS21" s="14" t="str">
        <f t="shared" si="36"/>
        <v/>
      </c>
      <c r="DT21" s="14" t="str">
        <f t="shared" si="37"/>
        <v/>
      </c>
      <c r="DU21" s="14" t="str">
        <f t="shared" si="38"/>
        <v/>
      </c>
      <c r="DV21" s="14" t="str">
        <f t="shared" si="39"/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 t="shared" si="40"/>
        <v/>
      </c>
      <c r="EN21" s="11" t="str">
        <f t="shared" si="41"/>
        <v/>
      </c>
      <c r="EO21" s="11" t="str">
        <f t="shared" si="42"/>
        <v/>
      </c>
      <c r="EP21" s="11" t="str">
        <f t="shared" si="43"/>
        <v/>
      </c>
      <c r="EQ21" s="11" t="str">
        <f t="shared" si="44"/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 t="shared" si="45"/>
        <v/>
      </c>
      <c r="FI21" s="14" t="str">
        <f t="shared" si="46"/>
        <v/>
      </c>
      <c r="FJ21" s="14" t="str">
        <f t="shared" si="47"/>
        <v/>
      </c>
      <c r="FK21" s="14" t="str">
        <f t="shared" si="48"/>
        <v/>
      </c>
      <c r="FL21" s="14" t="str">
        <f t="shared" si="49"/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 t="shared" si="50"/>
        <v/>
      </c>
      <c r="GD21" s="11" t="str">
        <f t="shared" si="51"/>
        <v/>
      </c>
      <c r="GE21" s="11" t="str">
        <f t="shared" si="52"/>
        <v/>
      </c>
      <c r="GF21" s="11" t="str">
        <f t="shared" si="53"/>
        <v/>
      </c>
      <c r="GG21" s="11" t="str">
        <f t="shared" si="54"/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 t="shared" si="55"/>
        <v/>
      </c>
      <c r="GY21" s="14" t="str">
        <f t="shared" si="56"/>
        <v/>
      </c>
      <c r="GZ21" s="14" t="str">
        <f t="shared" si="57"/>
        <v/>
      </c>
      <c r="HA21" s="14" t="str">
        <f t="shared" si="58"/>
        <v/>
      </c>
      <c r="HB21" s="14" t="str">
        <f t="shared" si="59"/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 t="shared" si="60"/>
        <v/>
      </c>
      <c r="HT21" s="11" t="str">
        <f t="shared" si="61"/>
        <v/>
      </c>
      <c r="HU21" s="11" t="str">
        <f t="shared" si="62"/>
        <v/>
      </c>
      <c r="HV21" s="11" t="str">
        <f t="shared" si="63"/>
        <v/>
      </c>
      <c r="HW21" s="11" t="str">
        <f t="shared" si="64"/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 t="shared" si="65"/>
        <v/>
      </c>
      <c r="IO21" s="14" t="str">
        <f t="shared" si="66"/>
        <v/>
      </c>
      <c r="IP21" s="14" t="str">
        <f t="shared" si="67"/>
        <v/>
      </c>
      <c r="IQ21" s="14" t="str">
        <f t="shared" si="68"/>
        <v/>
      </c>
      <c r="IR21" s="14" t="str">
        <f t="shared" si="69"/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 t="shared" si="70"/>
        <v/>
      </c>
      <c r="JJ21" s="11" t="str">
        <f t="shared" si="71"/>
        <v/>
      </c>
      <c r="JK21" s="11" t="str">
        <f t="shared" si="72"/>
        <v/>
      </c>
      <c r="JL21" s="11" t="str">
        <f t="shared" si="73"/>
        <v/>
      </c>
      <c r="JM21" s="11" t="str">
        <f t="shared" si="74"/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 t="shared" si="75"/>
        <v/>
      </c>
      <c r="KE21" s="14" t="str">
        <f t="shared" si="76"/>
        <v/>
      </c>
      <c r="KF21" s="14" t="str">
        <f t="shared" si="77"/>
        <v/>
      </c>
      <c r="KG21" s="14" t="str">
        <f t="shared" si="78"/>
        <v/>
      </c>
      <c r="KH21" s="14" t="str">
        <f t="shared" si="79"/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 t="shared" si="80"/>
        <v/>
      </c>
      <c r="KZ21" s="11" t="str">
        <f t="shared" si="81"/>
        <v/>
      </c>
      <c r="LA21" s="11" t="str">
        <f t="shared" si="82"/>
        <v/>
      </c>
      <c r="LB21" s="11" t="str">
        <f t="shared" si="83"/>
        <v/>
      </c>
      <c r="LC21" s="11" t="str">
        <f t="shared" si="84"/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 t="shared" si="85"/>
        <v/>
      </c>
      <c r="LU21" s="14" t="str">
        <f t="shared" si="86"/>
        <v/>
      </c>
      <c r="LV21" s="14" t="str">
        <f t="shared" si="87"/>
        <v/>
      </c>
      <c r="LW21" s="14" t="str">
        <f t="shared" si="88"/>
        <v/>
      </c>
      <c r="LX21" s="14" t="str">
        <f t="shared" si="89"/>
        <v/>
      </c>
      <c r="LY21" s="61">
        <f t="shared" si="90"/>
        <v>0</v>
      </c>
      <c r="LZ21" s="61">
        <f t="shared" si="91"/>
        <v>0</v>
      </c>
      <c r="MA21" s="61">
        <f t="shared" si="92"/>
        <v>0</v>
      </c>
      <c r="MB21" s="61">
        <f t="shared" si="93"/>
        <v>0</v>
      </c>
      <c r="MC21" s="61">
        <f t="shared" si="94"/>
        <v>0</v>
      </c>
      <c r="MD21" s="61">
        <f t="shared" si="95"/>
        <v>0</v>
      </c>
      <c r="ME21" s="61">
        <f t="shared" si="96"/>
        <v>0</v>
      </c>
      <c r="MF21" s="61">
        <f t="shared" si="97"/>
        <v>0</v>
      </c>
      <c r="MG21" s="61">
        <f t="shared" si="98"/>
        <v>0</v>
      </c>
      <c r="MH21" s="61">
        <f t="shared" si="99"/>
        <v>0</v>
      </c>
      <c r="MI21" s="61">
        <f t="shared" si="100"/>
        <v>0</v>
      </c>
      <c r="MJ21" s="61">
        <f t="shared" si="101"/>
        <v>0</v>
      </c>
      <c r="MK21" s="61">
        <f t="shared" si="102"/>
        <v>0</v>
      </c>
      <c r="ML21" s="61">
        <f t="shared" si="103"/>
        <v>0</v>
      </c>
      <c r="MM21" s="61">
        <f t="shared" si="104"/>
        <v>0</v>
      </c>
      <c r="MN21" s="61">
        <f t="shared" si="105"/>
        <v>0</v>
      </c>
      <c r="MO21" s="72" t="s">
        <v>52</v>
      </c>
      <c r="MP21" s="11" t="str">
        <f t="shared" si="106"/>
        <v/>
      </c>
      <c r="MQ21" s="11" t="str">
        <f t="shared" si="107"/>
        <v/>
      </c>
      <c r="MR21" s="11" t="str">
        <f t="shared" si="108"/>
        <v/>
      </c>
      <c r="MS21" s="11" t="str">
        <f t="shared" si="109"/>
        <v/>
      </c>
      <c r="MT21" s="11" t="str">
        <f t="shared" si="110"/>
        <v/>
      </c>
    </row>
    <row r="22" spans="1:358" x14ac:dyDescent="0.2">
      <c r="A22" s="5" t="str">
        <f t="shared" si="0"/>
        <v/>
      </c>
      <c r="B22" s="8" t="s">
        <v>145</v>
      </c>
      <c r="C22" s="4" t="s">
        <v>4</v>
      </c>
      <c r="D22" s="5">
        <v>2004</v>
      </c>
      <c r="E22" s="15">
        <f t="shared" si="1"/>
        <v>61.800000000000004</v>
      </c>
      <c r="F22" s="3" t="str">
        <f t="shared" si="2"/>
        <v/>
      </c>
      <c r="G22" s="3" t="str">
        <f t="shared" si="3"/>
        <v/>
      </c>
      <c r="H22" s="116" t="str">
        <f t="shared" si="4"/>
        <v/>
      </c>
      <c r="I22" s="3" t="str">
        <f t="shared" si="5"/>
        <v/>
      </c>
      <c r="J22" s="14">
        <f t="shared" si="6"/>
        <v>61.800000000000004</v>
      </c>
      <c r="K22" s="14" t="str">
        <f t="shared" si="7"/>
        <v>2021 Canadian Championships</v>
      </c>
      <c r="L22" s="14">
        <f t="shared" si="8"/>
        <v>0</v>
      </c>
      <c r="M22" s="14" t="str">
        <f t="shared" si="9"/>
        <v/>
      </c>
      <c r="N22" s="14" t="str">
        <f t="shared" si="10"/>
        <v/>
      </c>
      <c r="O22" s="24" t="str">
        <f t="shared" si="11"/>
        <v/>
      </c>
      <c r="P22" s="14" t="str">
        <f t="shared" si="12"/>
        <v/>
      </c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72"/>
      <c r="AH22" s="11" t="str">
        <f t="shared" si="13"/>
        <v/>
      </c>
      <c r="AI22" s="11" t="str">
        <f t="shared" si="14"/>
        <v/>
      </c>
      <c r="AJ22" s="11" t="str">
        <f t="shared" si="15"/>
        <v/>
      </c>
      <c r="AK22" s="11" t="str">
        <f t="shared" si="16"/>
        <v/>
      </c>
      <c r="AL22" s="11" t="str">
        <f t="shared" si="17"/>
        <v/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 t="shared" si="18"/>
        <v/>
      </c>
      <c r="BE22" s="14" t="str">
        <f t="shared" si="19"/>
        <v/>
      </c>
      <c r="BF22" s="14" t="str">
        <f t="shared" si="20"/>
        <v/>
      </c>
      <c r="BG22" s="14" t="str">
        <f t="shared" si="21"/>
        <v/>
      </c>
      <c r="BH22" s="14" t="str">
        <f t="shared" si="22"/>
        <v/>
      </c>
      <c r="BI22" s="61">
        <v>28.1</v>
      </c>
      <c r="BJ22" s="61">
        <v>3.5</v>
      </c>
      <c r="BK22" s="61">
        <v>1.2</v>
      </c>
      <c r="BL22" s="61">
        <v>0</v>
      </c>
      <c r="BM22" s="61">
        <v>28.2</v>
      </c>
      <c r="BN22" s="61">
        <v>4.4000000000000004</v>
      </c>
      <c r="BO22" s="61">
        <v>1.2</v>
      </c>
      <c r="BP22" s="61">
        <v>0</v>
      </c>
      <c r="BQ22" s="61">
        <v>27.8</v>
      </c>
      <c r="BR22" s="61">
        <v>3.6</v>
      </c>
      <c r="BS22" s="61">
        <v>0.9</v>
      </c>
      <c r="BT22" s="61">
        <v>0</v>
      </c>
      <c r="BU22" s="61">
        <v>27.9</v>
      </c>
      <c r="BV22" s="61">
        <v>3.5</v>
      </c>
      <c r="BW22" s="61">
        <v>1.2</v>
      </c>
      <c r="BX22" s="61">
        <v>0</v>
      </c>
      <c r="BY22" s="72"/>
      <c r="BZ22" s="11">
        <f t="shared" si="23"/>
        <v>7.9</v>
      </c>
      <c r="CA22" s="11">
        <f t="shared" si="24"/>
        <v>61.800000000000004</v>
      </c>
      <c r="CB22" s="11">
        <f t="shared" si="25"/>
        <v>7.1</v>
      </c>
      <c r="CC22" s="11">
        <f t="shared" si="26"/>
        <v>60.699999999999996</v>
      </c>
      <c r="CD22" s="11">
        <f t="shared" si="27"/>
        <v>122.5</v>
      </c>
      <c r="CE22" s="23" t="str">
        <f t="shared" si="28"/>
        <v/>
      </c>
      <c r="CF22" s="23" t="str">
        <f t="shared" si="29"/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 t="shared" si="30"/>
        <v/>
      </c>
      <c r="CX22" s="11" t="str">
        <f t="shared" si="31"/>
        <v/>
      </c>
      <c r="CY22" s="11" t="str">
        <f t="shared" si="32"/>
        <v/>
      </c>
      <c r="CZ22" s="11" t="str">
        <f t="shared" si="33"/>
        <v/>
      </c>
      <c r="DA22" s="11" t="str">
        <f t="shared" si="34"/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 t="shared" si="35"/>
        <v/>
      </c>
      <c r="DS22" s="14" t="str">
        <f t="shared" si="36"/>
        <v/>
      </c>
      <c r="DT22" s="14" t="str">
        <f t="shared" si="37"/>
        <v/>
      </c>
      <c r="DU22" s="14" t="str">
        <f t="shared" si="38"/>
        <v/>
      </c>
      <c r="DV22" s="14" t="str">
        <f t="shared" si="39"/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 t="shared" si="40"/>
        <v/>
      </c>
      <c r="EN22" s="11" t="str">
        <f t="shared" si="41"/>
        <v/>
      </c>
      <c r="EO22" s="11" t="str">
        <f t="shared" si="42"/>
        <v/>
      </c>
      <c r="EP22" s="11" t="str">
        <f t="shared" si="43"/>
        <v/>
      </c>
      <c r="EQ22" s="11" t="str">
        <f t="shared" si="44"/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 t="shared" si="45"/>
        <v/>
      </c>
      <c r="FI22" s="14" t="str">
        <f t="shared" si="46"/>
        <v/>
      </c>
      <c r="FJ22" s="14" t="str">
        <f t="shared" si="47"/>
        <v/>
      </c>
      <c r="FK22" s="14" t="str">
        <f t="shared" si="48"/>
        <v/>
      </c>
      <c r="FL22" s="14" t="str">
        <f t="shared" si="49"/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 t="shared" si="50"/>
        <v/>
      </c>
      <c r="GD22" s="11" t="str">
        <f t="shared" si="51"/>
        <v/>
      </c>
      <c r="GE22" s="11" t="str">
        <f t="shared" si="52"/>
        <v/>
      </c>
      <c r="GF22" s="11" t="str">
        <f t="shared" si="53"/>
        <v/>
      </c>
      <c r="GG22" s="11" t="str">
        <f t="shared" si="54"/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 t="shared" si="55"/>
        <v/>
      </c>
      <c r="GY22" s="14" t="str">
        <f t="shared" si="56"/>
        <v/>
      </c>
      <c r="GZ22" s="14" t="str">
        <f t="shared" si="57"/>
        <v/>
      </c>
      <c r="HA22" s="14" t="str">
        <f t="shared" si="58"/>
        <v/>
      </c>
      <c r="HB22" s="14" t="str">
        <f t="shared" si="59"/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 t="shared" si="60"/>
        <v/>
      </c>
      <c r="HT22" s="11" t="str">
        <f t="shared" si="61"/>
        <v/>
      </c>
      <c r="HU22" s="11" t="str">
        <f t="shared" si="62"/>
        <v/>
      </c>
      <c r="HV22" s="11" t="str">
        <f t="shared" si="63"/>
        <v/>
      </c>
      <c r="HW22" s="11" t="str">
        <f t="shared" si="64"/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 t="shared" si="65"/>
        <v/>
      </c>
      <c r="IO22" s="14" t="str">
        <f t="shared" si="66"/>
        <v/>
      </c>
      <c r="IP22" s="14" t="str">
        <f t="shared" si="67"/>
        <v/>
      </c>
      <c r="IQ22" s="14" t="str">
        <f t="shared" si="68"/>
        <v/>
      </c>
      <c r="IR22" s="14" t="str">
        <f t="shared" si="69"/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 t="shared" si="70"/>
        <v/>
      </c>
      <c r="JJ22" s="11" t="str">
        <f t="shared" si="71"/>
        <v/>
      </c>
      <c r="JK22" s="11" t="str">
        <f t="shared" si="72"/>
        <v/>
      </c>
      <c r="JL22" s="11" t="str">
        <f t="shared" si="73"/>
        <v/>
      </c>
      <c r="JM22" s="11" t="str">
        <f t="shared" si="74"/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 t="shared" si="75"/>
        <v/>
      </c>
      <c r="KE22" s="14" t="str">
        <f t="shared" si="76"/>
        <v/>
      </c>
      <c r="KF22" s="14" t="str">
        <f t="shared" si="77"/>
        <v/>
      </c>
      <c r="KG22" s="14" t="str">
        <f t="shared" si="78"/>
        <v/>
      </c>
      <c r="KH22" s="14" t="str">
        <f t="shared" si="79"/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 t="shared" si="80"/>
        <v/>
      </c>
      <c r="KZ22" s="11" t="str">
        <f t="shared" si="81"/>
        <v/>
      </c>
      <c r="LA22" s="11" t="str">
        <f t="shared" si="82"/>
        <v/>
      </c>
      <c r="LB22" s="11" t="str">
        <f t="shared" si="83"/>
        <v/>
      </c>
      <c r="LC22" s="11" t="str">
        <f t="shared" si="84"/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 t="shared" si="85"/>
        <v/>
      </c>
      <c r="LU22" s="14" t="str">
        <f t="shared" si="86"/>
        <v/>
      </c>
      <c r="LV22" s="14" t="str">
        <f t="shared" si="87"/>
        <v/>
      </c>
      <c r="LW22" s="14" t="str">
        <f t="shared" si="88"/>
        <v/>
      </c>
      <c r="LX22" s="14" t="str">
        <f t="shared" si="89"/>
        <v/>
      </c>
      <c r="LY22" s="61">
        <f t="shared" si="90"/>
        <v>14.05</v>
      </c>
      <c r="LZ22" s="61">
        <f t="shared" si="91"/>
        <v>1.75</v>
      </c>
      <c r="MA22" s="61">
        <f t="shared" si="92"/>
        <v>0.6</v>
      </c>
      <c r="MB22" s="61">
        <f t="shared" si="93"/>
        <v>0</v>
      </c>
      <c r="MC22" s="61">
        <f t="shared" si="94"/>
        <v>14.1</v>
      </c>
      <c r="MD22" s="61">
        <f t="shared" si="95"/>
        <v>2.2000000000000002</v>
      </c>
      <c r="ME22" s="61">
        <f t="shared" si="96"/>
        <v>0.6</v>
      </c>
      <c r="MF22" s="61">
        <f t="shared" si="97"/>
        <v>0</v>
      </c>
      <c r="MG22" s="61">
        <f t="shared" si="98"/>
        <v>13.9</v>
      </c>
      <c r="MH22" s="61">
        <f t="shared" si="99"/>
        <v>1.8</v>
      </c>
      <c r="MI22" s="61">
        <f t="shared" si="100"/>
        <v>0.45</v>
      </c>
      <c r="MJ22" s="61">
        <f t="shared" si="101"/>
        <v>0</v>
      </c>
      <c r="MK22" s="61">
        <f t="shared" si="102"/>
        <v>13.95</v>
      </c>
      <c r="ML22" s="61">
        <f t="shared" si="103"/>
        <v>1.75</v>
      </c>
      <c r="MM22" s="61">
        <f t="shared" si="104"/>
        <v>0.6</v>
      </c>
      <c r="MN22" s="61">
        <f t="shared" si="105"/>
        <v>0</v>
      </c>
      <c r="MO22" s="72" t="s">
        <v>52</v>
      </c>
      <c r="MP22" s="11">
        <f t="shared" si="106"/>
        <v>3.95</v>
      </c>
      <c r="MQ22" s="11">
        <f t="shared" si="107"/>
        <v>30.900000000000002</v>
      </c>
      <c r="MR22" s="11">
        <f t="shared" si="108"/>
        <v>3.55</v>
      </c>
      <c r="MS22" s="11">
        <f t="shared" si="109"/>
        <v>30.349999999999998</v>
      </c>
      <c r="MT22" s="11">
        <f t="shared" si="110"/>
        <v>61.25</v>
      </c>
    </row>
    <row r="23" spans="1:358" x14ac:dyDescent="0.2">
      <c r="A23" s="5" t="str">
        <f t="shared" si="0"/>
        <v/>
      </c>
      <c r="B23" s="8" t="s">
        <v>120</v>
      </c>
      <c r="C23" s="4" t="s">
        <v>5</v>
      </c>
      <c r="D23" s="5">
        <v>2001</v>
      </c>
      <c r="E23" s="15">
        <f t="shared" si="1"/>
        <v>57.9</v>
      </c>
      <c r="F23" s="3" t="str">
        <f t="shared" si="2"/>
        <v/>
      </c>
      <c r="G23" s="3" t="str">
        <f t="shared" si="3"/>
        <v/>
      </c>
      <c r="H23" s="116" t="str">
        <f t="shared" si="4"/>
        <v/>
      </c>
      <c r="I23" s="3" t="str">
        <f t="shared" si="5"/>
        <v/>
      </c>
      <c r="J23" s="14">
        <f t="shared" si="6"/>
        <v>57.9</v>
      </c>
      <c r="K23" s="14" t="str">
        <f t="shared" si="7"/>
        <v>2021 2nd Virtual Technical Trial</v>
      </c>
      <c r="L23" s="14">
        <f t="shared" si="8"/>
        <v>0</v>
      </c>
      <c r="M23" s="14" t="str">
        <f t="shared" si="9"/>
        <v/>
      </c>
      <c r="N23" s="14" t="str">
        <f t="shared" si="10"/>
        <v/>
      </c>
      <c r="O23" s="24" t="str">
        <f t="shared" si="11"/>
        <v/>
      </c>
      <c r="P23" s="14" t="str">
        <f t="shared" si="12"/>
        <v/>
      </c>
      <c r="Q23" s="61">
        <v>28.1</v>
      </c>
      <c r="R23" s="61">
        <v>4.8</v>
      </c>
      <c r="S23" s="61">
        <v>2.7</v>
      </c>
      <c r="T23" s="61">
        <v>0</v>
      </c>
      <c r="U23" s="61">
        <v>27.6</v>
      </c>
      <c r="V23" s="61">
        <v>3.8</v>
      </c>
      <c r="W23" s="61">
        <v>3.7</v>
      </c>
      <c r="X23" s="61">
        <v>0</v>
      </c>
      <c r="Y23" s="61">
        <v>20.399999999999999</v>
      </c>
      <c r="Z23" s="61">
        <v>2.4</v>
      </c>
      <c r="AA23" s="61">
        <v>0</v>
      </c>
      <c r="AB23" s="61">
        <v>0</v>
      </c>
      <c r="AC23" s="61">
        <v>20.2</v>
      </c>
      <c r="AD23" s="61">
        <v>4</v>
      </c>
      <c r="AE23" s="61">
        <v>0</v>
      </c>
      <c r="AF23" s="61">
        <v>0</v>
      </c>
      <c r="AG23" s="72"/>
      <c r="AH23" s="11">
        <f t="shared" si="13"/>
        <v>8.6</v>
      </c>
      <c r="AI23" s="11">
        <f t="shared" si="14"/>
        <v>57.9</v>
      </c>
      <c r="AJ23" s="11">
        <f t="shared" si="15"/>
        <v>6.4</v>
      </c>
      <c r="AK23" s="11">
        <f t="shared" si="16"/>
        <v>47</v>
      </c>
      <c r="AL23" s="11">
        <f t="shared" si="17"/>
        <v>104.9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 t="shared" si="18"/>
        <v/>
      </c>
      <c r="BE23" s="14" t="str">
        <f t="shared" si="19"/>
        <v/>
      </c>
      <c r="BF23" s="14" t="str">
        <f t="shared" si="20"/>
        <v/>
      </c>
      <c r="BG23" s="14" t="str">
        <f t="shared" si="21"/>
        <v/>
      </c>
      <c r="BH23" s="14" t="str">
        <f t="shared" si="22"/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 t="shared" si="23"/>
        <v/>
      </c>
      <c r="CA23" s="11" t="str">
        <f t="shared" si="24"/>
        <v/>
      </c>
      <c r="CB23" s="11" t="str">
        <f t="shared" si="25"/>
        <v/>
      </c>
      <c r="CC23" s="11" t="str">
        <f t="shared" si="26"/>
        <v/>
      </c>
      <c r="CD23" s="11" t="str">
        <f t="shared" si="27"/>
        <v/>
      </c>
      <c r="CE23" s="23" t="str">
        <f t="shared" si="28"/>
        <v/>
      </c>
      <c r="CF23" s="23" t="str">
        <f t="shared" si="29"/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 t="shared" si="30"/>
        <v/>
      </c>
      <c r="CX23" s="11" t="str">
        <f t="shared" si="31"/>
        <v/>
      </c>
      <c r="CY23" s="11" t="str">
        <f t="shared" si="32"/>
        <v/>
      </c>
      <c r="CZ23" s="11" t="str">
        <f t="shared" si="33"/>
        <v/>
      </c>
      <c r="DA23" s="11" t="str">
        <f t="shared" si="34"/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 t="shared" si="35"/>
        <v/>
      </c>
      <c r="DS23" s="14" t="str">
        <f t="shared" si="36"/>
        <v/>
      </c>
      <c r="DT23" s="14" t="str">
        <f t="shared" si="37"/>
        <v/>
      </c>
      <c r="DU23" s="14" t="str">
        <f t="shared" si="38"/>
        <v/>
      </c>
      <c r="DV23" s="14" t="str">
        <f t="shared" si="39"/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 t="shared" si="40"/>
        <v/>
      </c>
      <c r="EN23" s="11" t="str">
        <f t="shared" si="41"/>
        <v/>
      </c>
      <c r="EO23" s="11" t="str">
        <f t="shared" si="42"/>
        <v/>
      </c>
      <c r="EP23" s="11" t="str">
        <f t="shared" si="43"/>
        <v/>
      </c>
      <c r="EQ23" s="11" t="str">
        <f t="shared" si="44"/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 t="shared" si="45"/>
        <v/>
      </c>
      <c r="FI23" s="14" t="str">
        <f t="shared" si="46"/>
        <v/>
      </c>
      <c r="FJ23" s="14" t="str">
        <f t="shared" si="47"/>
        <v/>
      </c>
      <c r="FK23" s="14" t="str">
        <f t="shared" si="48"/>
        <v/>
      </c>
      <c r="FL23" s="14" t="str">
        <f t="shared" si="49"/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 t="shared" si="50"/>
        <v/>
      </c>
      <c r="GD23" s="11" t="str">
        <f t="shared" si="51"/>
        <v/>
      </c>
      <c r="GE23" s="11" t="str">
        <f t="shared" si="52"/>
        <v/>
      </c>
      <c r="GF23" s="11" t="str">
        <f t="shared" si="53"/>
        <v/>
      </c>
      <c r="GG23" s="11" t="str">
        <f t="shared" si="54"/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 t="shared" si="55"/>
        <v/>
      </c>
      <c r="GY23" s="14" t="str">
        <f t="shared" si="56"/>
        <v/>
      </c>
      <c r="GZ23" s="14" t="str">
        <f t="shared" si="57"/>
        <v/>
      </c>
      <c r="HA23" s="14" t="str">
        <f t="shared" si="58"/>
        <v/>
      </c>
      <c r="HB23" s="14" t="str">
        <f t="shared" si="59"/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 t="shared" si="60"/>
        <v/>
      </c>
      <c r="HT23" s="11" t="str">
        <f t="shared" si="61"/>
        <v/>
      </c>
      <c r="HU23" s="11" t="str">
        <f t="shared" si="62"/>
        <v/>
      </c>
      <c r="HV23" s="11" t="str">
        <f t="shared" si="63"/>
        <v/>
      </c>
      <c r="HW23" s="11" t="str">
        <f t="shared" si="64"/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 t="shared" si="65"/>
        <v/>
      </c>
      <c r="IO23" s="14" t="str">
        <f t="shared" si="66"/>
        <v/>
      </c>
      <c r="IP23" s="14" t="str">
        <f t="shared" si="67"/>
        <v/>
      </c>
      <c r="IQ23" s="14" t="str">
        <f t="shared" si="68"/>
        <v/>
      </c>
      <c r="IR23" s="14" t="str">
        <f t="shared" si="69"/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 t="shared" si="70"/>
        <v/>
      </c>
      <c r="JJ23" s="11" t="str">
        <f t="shared" si="71"/>
        <v/>
      </c>
      <c r="JK23" s="11" t="str">
        <f t="shared" si="72"/>
        <v/>
      </c>
      <c r="JL23" s="11" t="str">
        <f t="shared" si="73"/>
        <v/>
      </c>
      <c r="JM23" s="11" t="str">
        <f t="shared" si="74"/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 t="shared" si="75"/>
        <v/>
      </c>
      <c r="KE23" s="14" t="str">
        <f t="shared" si="76"/>
        <v/>
      </c>
      <c r="KF23" s="14" t="str">
        <f t="shared" si="77"/>
        <v/>
      </c>
      <c r="KG23" s="14" t="str">
        <f t="shared" si="78"/>
        <v/>
      </c>
      <c r="KH23" s="14" t="str">
        <f t="shared" si="79"/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 t="shared" si="80"/>
        <v/>
      </c>
      <c r="KZ23" s="11" t="str">
        <f t="shared" si="81"/>
        <v/>
      </c>
      <c r="LA23" s="11" t="str">
        <f t="shared" si="82"/>
        <v/>
      </c>
      <c r="LB23" s="11" t="str">
        <f t="shared" si="83"/>
        <v/>
      </c>
      <c r="LC23" s="11" t="str">
        <f t="shared" si="84"/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 t="shared" si="85"/>
        <v/>
      </c>
      <c r="LU23" s="14" t="str">
        <f t="shared" si="86"/>
        <v/>
      </c>
      <c r="LV23" s="14" t="str">
        <f t="shared" si="87"/>
        <v/>
      </c>
      <c r="LW23" s="14" t="str">
        <f t="shared" si="88"/>
        <v/>
      </c>
      <c r="LX23" s="14" t="str">
        <f t="shared" si="89"/>
        <v/>
      </c>
      <c r="LY23" s="61">
        <f t="shared" si="90"/>
        <v>0</v>
      </c>
      <c r="LZ23" s="61">
        <f t="shared" si="91"/>
        <v>0</v>
      </c>
      <c r="MA23" s="61">
        <f t="shared" si="92"/>
        <v>0</v>
      </c>
      <c r="MB23" s="61">
        <f t="shared" si="93"/>
        <v>0</v>
      </c>
      <c r="MC23" s="61">
        <f t="shared" si="94"/>
        <v>0</v>
      </c>
      <c r="MD23" s="61">
        <f t="shared" si="95"/>
        <v>0</v>
      </c>
      <c r="ME23" s="61">
        <f t="shared" si="96"/>
        <v>0</v>
      </c>
      <c r="MF23" s="61">
        <f t="shared" si="97"/>
        <v>0</v>
      </c>
      <c r="MG23" s="61">
        <f t="shared" si="98"/>
        <v>0</v>
      </c>
      <c r="MH23" s="61">
        <f t="shared" si="99"/>
        <v>0</v>
      </c>
      <c r="MI23" s="61">
        <f t="shared" si="100"/>
        <v>0</v>
      </c>
      <c r="MJ23" s="61">
        <f t="shared" si="101"/>
        <v>0</v>
      </c>
      <c r="MK23" s="61">
        <f t="shared" si="102"/>
        <v>0</v>
      </c>
      <c r="ML23" s="61">
        <f t="shared" si="103"/>
        <v>0</v>
      </c>
      <c r="MM23" s="61">
        <f t="shared" si="104"/>
        <v>0</v>
      </c>
      <c r="MN23" s="61">
        <f t="shared" si="105"/>
        <v>0</v>
      </c>
      <c r="MO23" s="72" t="s">
        <v>52</v>
      </c>
      <c r="MP23" s="11" t="str">
        <f t="shared" si="106"/>
        <v/>
      </c>
      <c r="MQ23" s="11" t="str">
        <f t="shared" si="107"/>
        <v/>
      </c>
      <c r="MR23" s="11" t="str">
        <f t="shared" si="108"/>
        <v/>
      </c>
      <c r="MS23" s="11" t="str">
        <f t="shared" si="109"/>
        <v/>
      </c>
      <c r="MT23" s="11" t="str">
        <f t="shared" si="110"/>
        <v/>
      </c>
    </row>
    <row r="24" spans="1:358" x14ac:dyDescent="0.2">
      <c r="A24" s="5" t="str">
        <f t="shared" si="0"/>
        <v/>
      </c>
      <c r="B24" s="8" t="s">
        <v>114</v>
      </c>
      <c r="C24" s="4" t="s">
        <v>113</v>
      </c>
      <c r="D24" s="5">
        <v>2001</v>
      </c>
      <c r="E24" s="15">
        <f t="shared" si="1"/>
        <v>53.1</v>
      </c>
      <c r="F24" s="3" t="str">
        <f t="shared" si="2"/>
        <v/>
      </c>
      <c r="G24" s="3" t="str">
        <f t="shared" si="3"/>
        <v/>
      </c>
      <c r="H24" s="116" t="str">
        <f t="shared" si="4"/>
        <v/>
      </c>
      <c r="I24" s="3" t="str">
        <f t="shared" si="5"/>
        <v/>
      </c>
      <c r="J24" s="14">
        <f t="shared" si="6"/>
        <v>53.1</v>
      </c>
      <c r="K24" s="14" t="str">
        <f t="shared" si="7"/>
        <v>2021 Canadian Championships</v>
      </c>
      <c r="L24" s="14">
        <f t="shared" si="8"/>
        <v>0</v>
      </c>
      <c r="M24" s="14" t="str">
        <f t="shared" si="9"/>
        <v/>
      </c>
      <c r="N24" s="14" t="str">
        <f t="shared" si="10"/>
        <v/>
      </c>
      <c r="O24" s="24" t="str">
        <f t="shared" si="11"/>
        <v/>
      </c>
      <c r="P24" s="14" t="str">
        <f t="shared" si="12"/>
        <v/>
      </c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72"/>
      <c r="AH24" s="11" t="str">
        <f t="shared" si="13"/>
        <v/>
      </c>
      <c r="AI24" s="11" t="str">
        <f t="shared" si="14"/>
        <v/>
      </c>
      <c r="AJ24" s="11" t="str">
        <f t="shared" si="15"/>
        <v/>
      </c>
      <c r="AK24" s="11" t="str">
        <f t="shared" si="16"/>
        <v/>
      </c>
      <c r="AL24" s="11" t="str">
        <f t="shared" si="17"/>
        <v/>
      </c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73"/>
      <c r="BD24" s="14" t="str">
        <f t="shared" si="18"/>
        <v/>
      </c>
      <c r="BE24" s="14" t="str">
        <f t="shared" si="19"/>
        <v/>
      </c>
      <c r="BF24" s="14" t="str">
        <f t="shared" si="20"/>
        <v/>
      </c>
      <c r="BG24" s="14" t="str">
        <f t="shared" si="21"/>
        <v/>
      </c>
      <c r="BH24" s="14" t="str">
        <f t="shared" si="22"/>
        <v/>
      </c>
      <c r="BI24" s="61">
        <v>20.399999999999999</v>
      </c>
      <c r="BJ24" s="61">
        <v>0.7</v>
      </c>
      <c r="BK24" s="61">
        <v>0</v>
      </c>
      <c r="BL24" s="61">
        <v>0</v>
      </c>
      <c r="BM24" s="61">
        <v>27.8</v>
      </c>
      <c r="BN24" s="61">
        <v>5.0999999999999996</v>
      </c>
      <c r="BO24" s="61">
        <v>0.9</v>
      </c>
      <c r="BP24" s="61">
        <v>0</v>
      </c>
      <c r="BQ24" s="61"/>
      <c r="BR24" s="61"/>
      <c r="BS24" s="61"/>
      <c r="BT24" s="61"/>
      <c r="BU24" s="61"/>
      <c r="BV24" s="61"/>
      <c r="BW24" s="61"/>
      <c r="BX24" s="61"/>
      <c r="BY24" s="72"/>
      <c r="BZ24" s="11">
        <f t="shared" si="23"/>
        <v>5.8</v>
      </c>
      <c r="CA24" s="11">
        <f t="shared" si="24"/>
        <v>53.1</v>
      </c>
      <c r="CB24" s="11" t="str">
        <f t="shared" si="25"/>
        <v/>
      </c>
      <c r="CC24" s="11" t="str">
        <f t="shared" si="26"/>
        <v/>
      </c>
      <c r="CD24" s="11">
        <f t="shared" si="27"/>
        <v>53.1</v>
      </c>
      <c r="CE24" s="23" t="str">
        <f t="shared" si="28"/>
        <v/>
      </c>
      <c r="CF24" s="23" t="str">
        <f t="shared" si="29"/>
        <v/>
      </c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11" t="str">
        <f t="shared" si="30"/>
        <v/>
      </c>
      <c r="CX24" s="11" t="str">
        <f t="shared" si="31"/>
        <v/>
      </c>
      <c r="CY24" s="11" t="str">
        <f t="shared" si="32"/>
        <v/>
      </c>
      <c r="CZ24" s="11" t="str">
        <f t="shared" si="33"/>
        <v/>
      </c>
      <c r="DA24" s="11" t="str">
        <f t="shared" si="34"/>
        <v/>
      </c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14" t="str">
        <f t="shared" si="35"/>
        <v/>
      </c>
      <c r="DS24" s="14" t="str">
        <f t="shared" si="36"/>
        <v/>
      </c>
      <c r="DT24" s="14" t="str">
        <f t="shared" si="37"/>
        <v/>
      </c>
      <c r="DU24" s="14" t="str">
        <f t="shared" si="38"/>
        <v/>
      </c>
      <c r="DV24" s="14" t="str">
        <f t="shared" si="39"/>
        <v/>
      </c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11" t="str">
        <f t="shared" si="40"/>
        <v/>
      </c>
      <c r="EN24" s="11" t="str">
        <f t="shared" si="41"/>
        <v/>
      </c>
      <c r="EO24" s="11" t="str">
        <f t="shared" si="42"/>
        <v/>
      </c>
      <c r="EP24" s="11" t="str">
        <f t="shared" si="43"/>
        <v/>
      </c>
      <c r="EQ24" s="11" t="str">
        <f t="shared" si="44"/>
        <v/>
      </c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14" t="str">
        <f t="shared" si="45"/>
        <v/>
      </c>
      <c r="FI24" s="14" t="str">
        <f t="shared" si="46"/>
        <v/>
      </c>
      <c r="FJ24" s="14" t="str">
        <f t="shared" si="47"/>
        <v/>
      </c>
      <c r="FK24" s="14" t="str">
        <f t="shared" si="48"/>
        <v/>
      </c>
      <c r="FL24" s="14" t="str">
        <f t="shared" si="49"/>
        <v/>
      </c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11" t="str">
        <f t="shared" si="50"/>
        <v/>
      </c>
      <c r="GD24" s="11" t="str">
        <f t="shared" si="51"/>
        <v/>
      </c>
      <c r="GE24" s="11" t="str">
        <f t="shared" si="52"/>
        <v/>
      </c>
      <c r="GF24" s="11" t="str">
        <f t="shared" si="53"/>
        <v/>
      </c>
      <c r="GG24" s="11" t="str">
        <f t="shared" si="54"/>
        <v/>
      </c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14" t="str">
        <f t="shared" si="55"/>
        <v/>
      </c>
      <c r="GY24" s="14" t="str">
        <f t="shared" si="56"/>
        <v/>
      </c>
      <c r="GZ24" s="14" t="str">
        <f t="shared" si="57"/>
        <v/>
      </c>
      <c r="HA24" s="14" t="str">
        <f t="shared" si="58"/>
        <v/>
      </c>
      <c r="HB24" s="14" t="str">
        <f t="shared" si="59"/>
        <v/>
      </c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11" t="str">
        <f t="shared" si="60"/>
        <v/>
      </c>
      <c r="HT24" s="11" t="str">
        <f t="shared" si="61"/>
        <v/>
      </c>
      <c r="HU24" s="11" t="str">
        <f t="shared" si="62"/>
        <v/>
      </c>
      <c r="HV24" s="11" t="str">
        <f t="shared" si="63"/>
        <v/>
      </c>
      <c r="HW24" s="11" t="str">
        <f t="shared" si="64"/>
        <v/>
      </c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14" t="str">
        <f t="shared" si="65"/>
        <v/>
      </c>
      <c r="IO24" s="14" t="str">
        <f t="shared" si="66"/>
        <v/>
      </c>
      <c r="IP24" s="14" t="str">
        <f t="shared" si="67"/>
        <v/>
      </c>
      <c r="IQ24" s="14" t="str">
        <f t="shared" si="68"/>
        <v/>
      </c>
      <c r="IR24" s="14" t="str">
        <f t="shared" si="69"/>
        <v/>
      </c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11" t="str">
        <f t="shared" si="70"/>
        <v/>
      </c>
      <c r="JJ24" s="11" t="str">
        <f t="shared" si="71"/>
        <v/>
      </c>
      <c r="JK24" s="11" t="str">
        <f t="shared" si="72"/>
        <v/>
      </c>
      <c r="JL24" s="11" t="str">
        <f t="shared" si="73"/>
        <v/>
      </c>
      <c r="JM24" s="11" t="str">
        <f t="shared" si="74"/>
        <v/>
      </c>
      <c r="JN24" s="39"/>
      <c r="JO24" s="39"/>
      <c r="JP24" s="39"/>
      <c r="JQ24" s="39"/>
      <c r="JR24" s="39"/>
      <c r="JS24" s="39"/>
      <c r="JT24" s="39"/>
      <c r="JU24" s="39"/>
      <c r="JV24" s="39"/>
      <c r="JW24" s="39"/>
      <c r="JX24" s="39"/>
      <c r="JY24" s="39"/>
      <c r="JZ24" s="39"/>
      <c r="KA24" s="39"/>
      <c r="KB24" s="39"/>
      <c r="KC24" s="39"/>
      <c r="KD24" s="14" t="str">
        <f t="shared" si="75"/>
        <v/>
      </c>
      <c r="KE24" s="14" t="str">
        <f t="shared" si="76"/>
        <v/>
      </c>
      <c r="KF24" s="14" t="str">
        <f t="shared" si="77"/>
        <v/>
      </c>
      <c r="KG24" s="14" t="str">
        <f t="shared" si="78"/>
        <v/>
      </c>
      <c r="KH24" s="14" t="str">
        <f t="shared" si="79"/>
        <v/>
      </c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11" t="str">
        <f t="shared" si="80"/>
        <v/>
      </c>
      <c r="KZ24" s="11" t="str">
        <f t="shared" si="81"/>
        <v/>
      </c>
      <c r="LA24" s="11" t="str">
        <f t="shared" si="82"/>
        <v/>
      </c>
      <c r="LB24" s="11" t="str">
        <f t="shared" si="83"/>
        <v/>
      </c>
      <c r="LC24" s="11" t="str">
        <f t="shared" si="84"/>
        <v/>
      </c>
      <c r="LD24" s="39"/>
      <c r="LE24" s="39"/>
      <c r="LF24" s="39"/>
      <c r="LG24" s="39"/>
      <c r="LH24" s="39"/>
      <c r="LI24" s="39"/>
      <c r="LJ24" s="39"/>
      <c r="LK24" s="39"/>
      <c r="LL24" s="39"/>
      <c r="LM24" s="39"/>
      <c r="LN24" s="39"/>
      <c r="LO24" s="39"/>
      <c r="LP24" s="39"/>
      <c r="LQ24" s="39"/>
      <c r="LR24" s="39"/>
      <c r="LS24" s="39"/>
      <c r="LT24" s="14" t="str">
        <f t="shared" si="85"/>
        <v/>
      </c>
      <c r="LU24" s="14" t="str">
        <f t="shared" si="86"/>
        <v/>
      </c>
      <c r="LV24" s="14" t="str">
        <f t="shared" si="87"/>
        <v/>
      </c>
      <c r="LW24" s="14" t="str">
        <f t="shared" si="88"/>
        <v/>
      </c>
      <c r="LX24" s="14" t="str">
        <f t="shared" si="89"/>
        <v/>
      </c>
      <c r="LY24" s="61">
        <f t="shared" si="90"/>
        <v>10.199999999999999</v>
      </c>
      <c r="LZ24" s="61">
        <f t="shared" si="91"/>
        <v>0.35</v>
      </c>
      <c r="MA24" s="61">
        <f t="shared" si="92"/>
        <v>0</v>
      </c>
      <c r="MB24" s="61">
        <f t="shared" si="93"/>
        <v>0</v>
      </c>
      <c r="MC24" s="61">
        <f t="shared" si="94"/>
        <v>13.9</v>
      </c>
      <c r="MD24" s="61">
        <f t="shared" si="95"/>
        <v>2.5499999999999998</v>
      </c>
      <c r="ME24" s="61">
        <f t="shared" si="96"/>
        <v>0.45</v>
      </c>
      <c r="MF24" s="61">
        <f t="shared" si="97"/>
        <v>0</v>
      </c>
      <c r="MG24" s="61">
        <f t="shared" si="98"/>
        <v>0</v>
      </c>
      <c r="MH24" s="61">
        <f t="shared" si="99"/>
        <v>0</v>
      </c>
      <c r="MI24" s="61">
        <f t="shared" si="100"/>
        <v>0</v>
      </c>
      <c r="MJ24" s="61">
        <f t="shared" si="101"/>
        <v>0</v>
      </c>
      <c r="MK24" s="61">
        <f t="shared" si="102"/>
        <v>0</v>
      </c>
      <c r="ML24" s="61">
        <f t="shared" si="103"/>
        <v>0</v>
      </c>
      <c r="MM24" s="61">
        <f t="shared" si="104"/>
        <v>0</v>
      </c>
      <c r="MN24" s="61">
        <f t="shared" si="105"/>
        <v>0</v>
      </c>
      <c r="MO24" s="72" t="s">
        <v>52</v>
      </c>
      <c r="MP24" s="11">
        <f t="shared" si="106"/>
        <v>2.9</v>
      </c>
      <c r="MQ24" s="11">
        <f t="shared" si="107"/>
        <v>26.55</v>
      </c>
      <c r="MR24" s="11" t="str">
        <f t="shared" si="108"/>
        <v/>
      </c>
      <c r="MS24" s="11" t="str">
        <f t="shared" si="109"/>
        <v/>
      </c>
      <c r="MT24" s="11">
        <f t="shared" si="110"/>
        <v>26.55</v>
      </c>
    </row>
    <row r="27" spans="1:358" x14ac:dyDescent="0.2">
      <c r="B27" s="62" t="s">
        <v>50</v>
      </c>
      <c r="AH27" s="49"/>
      <c r="AJ27" s="49"/>
      <c r="AL27" s="56">
        <v>12.8</v>
      </c>
      <c r="BD27" s="49"/>
      <c r="BF27" s="49"/>
      <c r="BH27" s="56">
        <v>12.8</v>
      </c>
      <c r="BZ27" s="49"/>
      <c r="CB27" s="49"/>
      <c r="CD27" s="56">
        <v>12.8</v>
      </c>
      <c r="CW27" s="49"/>
      <c r="CY27" s="49"/>
      <c r="DA27" s="56">
        <v>12.8</v>
      </c>
      <c r="DR27" s="49"/>
      <c r="DT27" s="49"/>
      <c r="DV27" s="56">
        <v>12.8</v>
      </c>
      <c r="EM27" s="49"/>
      <c r="EO27" s="49"/>
      <c r="EQ27" s="56">
        <v>12.8</v>
      </c>
      <c r="FH27" s="49"/>
      <c r="FJ27" s="49"/>
      <c r="FL27" s="56">
        <v>12.8</v>
      </c>
      <c r="GC27" s="49"/>
      <c r="GE27" s="49"/>
      <c r="GG27" s="56">
        <v>12.8</v>
      </c>
      <c r="GX27" s="49"/>
      <c r="GZ27" s="49"/>
      <c r="HB27" s="56">
        <v>12.8</v>
      </c>
      <c r="HS27" s="49"/>
      <c r="HU27" s="49"/>
      <c r="HW27" s="56">
        <v>12.8</v>
      </c>
      <c r="IN27" s="49"/>
      <c r="IP27" s="49"/>
      <c r="IR27" s="56">
        <v>12.8</v>
      </c>
      <c r="JI27" s="49"/>
      <c r="JK27" s="49"/>
      <c r="JM27" s="56">
        <v>12.8</v>
      </c>
      <c r="KD27" s="49"/>
      <c r="KF27" s="49"/>
      <c r="KH27" s="56">
        <v>12.8</v>
      </c>
      <c r="KY27" s="49"/>
      <c r="LA27" s="49"/>
      <c r="LC27" s="56">
        <v>12.8</v>
      </c>
      <c r="LT27" s="49"/>
      <c r="LV27" s="49"/>
      <c r="LX27" s="56">
        <v>12.8</v>
      </c>
    </row>
    <row r="28" spans="1:358" hidden="1" x14ac:dyDescent="0.2">
      <c r="B28" s="83" t="s">
        <v>49</v>
      </c>
      <c r="AH28" s="49"/>
      <c r="AJ28" s="49"/>
      <c r="AL28" s="96">
        <v>1000</v>
      </c>
      <c r="BD28" s="49"/>
      <c r="BF28" s="49"/>
      <c r="BH28" s="96">
        <v>1000</v>
      </c>
      <c r="BZ28" s="49"/>
      <c r="CB28" s="49"/>
      <c r="CD28" s="96">
        <v>1000</v>
      </c>
      <c r="CW28" s="49"/>
      <c r="CY28" s="49"/>
      <c r="DA28" s="96">
        <v>1000</v>
      </c>
      <c r="DR28" s="49"/>
      <c r="DT28" s="49"/>
      <c r="DV28" s="96">
        <v>1000</v>
      </c>
      <c r="EM28" s="49"/>
      <c r="EO28" s="49"/>
      <c r="EQ28" s="96">
        <v>1000</v>
      </c>
      <c r="FH28" s="49"/>
      <c r="FJ28" s="49"/>
      <c r="FL28" s="96">
        <v>1000</v>
      </c>
      <c r="GC28" s="49"/>
      <c r="GE28" s="49"/>
      <c r="GG28" s="96">
        <v>1000</v>
      </c>
      <c r="GX28" s="49"/>
      <c r="GZ28" s="49"/>
      <c r="HB28" s="96">
        <v>1000</v>
      </c>
      <c r="HS28" s="49"/>
      <c r="HU28" s="49"/>
      <c r="HW28" s="96">
        <v>1000</v>
      </c>
      <c r="IN28" s="49"/>
      <c r="IP28" s="49"/>
      <c r="IR28" s="96">
        <v>1000</v>
      </c>
      <c r="JI28" s="49"/>
      <c r="JK28" s="49"/>
      <c r="JM28" s="96">
        <v>1000</v>
      </c>
      <c r="KD28" s="49"/>
      <c r="KF28" s="49"/>
      <c r="KH28" s="96">
        <v>1000</v>
      </c>
      <c r="KY28" s="49"/>
      <c r="LA28" s="49"/>
      <c r="LC28" s="96">
        <v>1000</v>
      </c>
      <c r="LT28" s="49"/>
      <c r="LV28" s="49"/>
      <c r="LX28" s="96">
        <v>1000</v>
      </c>
    </row>
    <row r="29" spans="1:358" hidden="1" x14ac:dyDescent="0.2">
      <c r="A29" s="49"/>
      <c r="B29" s="84" t="s">
        <v>62</v>
      </c>
      <c r="C29" s="48"/>
      <c r="AH29" s="49"/>
      <c r="AJ29" s="49"/>
      <c r="AK29" s="117"/>
      <c r="AL29" s="97">
        <v>1000</v>
      </c>
      <c r="BD29" s="49"/>
      <c r="BF29" s="49"/>
      <c r="BG29" s="117"/>
      <c r="BH29" s="97">
        <v>1000</v>
      </c>
      <c r="BZ29" s="49"/>
      <c r="CB29" s="49"/>
      <c r="CD29" s="97">
        <v>1000</v>
      </c>
      <c r="CW29" s="49"/>
      <c r="CY29" s="49"/>
      <c r="CZ29" s="117"/>
      <c r="DA29" s="97">
        <v>1000</v>
      </c>
      <c r="DR29" s="49"/>
      <c r="DT29" s="49"/>
      <c r="DV29" s="97">
        <v>1000</v>
      </c>
      <c r="EM29" s="49"/>
      <c r="EO29" s="49"/>
      <c r="EQ29" s="97">
        <v>1000</v>
      </c>
      <c r="FH29" s="49"/>
      <c r="FJ29" s="49"/>
      <c r="FL29" s="97">
        <v>1000</v>
      </c>
      <c r="GC29" s="49"/>
      <c r="GE29" s="49"/>
      <c r="GG29" s="97">
        <v>1000</v>
      </c>
      <c r="GX29" s="49"/>
      <c r="GZ29" s="49"/>
      <c r="HB29" s="97">
        <v>1000</v>
      </c>
      <c r="HS29" s="49"/>
      <c r="HU29" s="49"/>
      <c r="HW29" s="97">
        <v>1000</v>
      </c>
      <c r="IN29" s="49"/>
      <c r="IP29" s="49"/>
      <c r="IR29" s="97">
        <v>1000</v>
      </c>
      <c r="JI29" s="49"/>
      <c r="JK29" s="49"/>
      <c r="JM29" s="97">
        <v>1000</v>
      </c>
      <c r="KD29" s="49"/>
      <c r="KF29" s="49"/>
      <c r="KH29" s="97">
        <v>1000</v>
      </c>
      <c r="KY29" s="49"/>
      <c r="LA29" s="49"/>
      <c r="LC29" s="97">
        <v>1000</v>
      </c>
      <c r="LT29" s="49"/>
      <c r="LV29" s="49"/>
      <c r="LX29" s="97">
        <v>1000</v>
      </c>
    </row>
    <row r="30" spans="1:358" hidden="1" x14ac:dyDescent="0.2">
      <c r="A30" s="49"/>
      <c r="B30" s="63" t="s">
        <v>69</v>
      </c>
      <c r="C30" s="48"/>
      <c r="AH30" s="49"/>
      <c r="AJ30" s="49"/>
      <c r="AL30" s="57">
        <v>1000</v>
      </c>
      <c r="BD30" s="49"/>
      <c r="BF30" s="49"/>
      <c r="BH30" s="57">
        <v>1000</v>
      </c>
      <c r="BZ30" s="49"/>
      <c r="CB30" s="49"/>
      <c r="CD30" s="57">
        <v>1000</v>
      </c>
      <c r="CW30" s="49"/>
      <c r="CY30" s="49"/>
      <c r="DA30" s="57">
        <v>1000</v>
      </c>
      <c r="DR30" s="49"/>
      <c r="DT30" s="49"/>
      <c r="DV30" s="57">
        <v>1000</v>
      </c>
      <c r="EM30" s="49"/>
      <c r="EO30" s="49"/>
      <c r="EP30" s="117"/>
      <c r="EQ30" s="57">
        <v>1000</v>
      </c>
      <c r="FH30" s="49"/>
      <c r="FJ30" s="49"/>
      <c r="FL30" s="57">
        <v>1000</v>
      </c>
      <c r="GC30" s="49"/>
      <c r="GE30" s="49"/>
      <c r="GG30" s="57">
        <v>1000</v>
      </c>
      <c r="GX30" s="49"/>
      <c r="GZ30" s="49"/>
      <c r="HB30" s="57">
        <v>1000</v>
      </c>
      <c r="HS30" s="49"/>
      <c r="HU30" s="49"/>
      <c r="HW30" s="57">
        <v>1000</v>
      </c>
      <c r="IN30" s="49"/>
      <c r="IP30" s="49"/>
      <c r="IR30" s="57">
        <v>1000</v>
      </c>
      <c r="JI30" s="49"/>
      <c r="JK30" s="49"/>
      <c r="JM30" s="57">
        <v>1000</v>
      </c>
      <c r="KD30" s="49"/>
      <c r="KF30" s="49"/>
      <c r="KH30" s="57">
        <v>1000</v>
      </c>
      <c r="KY30" s="49"/>
      <c r="LA30" s="49"/>
      <c r="LC30" s="57">
        <v>1000</v>
      </c>
      <c r="LT30" s="49"/>
      <c r="LV30" s="49"/>
      <c r="LX30" s="57">
        <v>1000</v>
      </c>
    </row>
    <row r="31" spans="1:358" x14ac:dyDescent="0.2">
      <c r="A31" s="49"/>
      <c r="B31" s="65" t="s">
        <v>47</v>
      </c>
      <c r="C31" s="48"/>
      <c r="AH31" s="49"/>
      <c r="AJ31" s="49"/>
      <c r="AL31" s="59">
        <v>68.599999999999994</v>
      </c>
      <c r="BD31" s="49"/>
      <c r="BF31" s="49"/>
      <c r="BH31" s="59">
        <v>68.599999999999994</v>
      </c>
      <c r="BZ31" s="49"/>
      <c r="CB31" s="49"/>
      <c r="CD31" s="59">
        <v>68.599999999999994</v>
      </c>
      <c r="CW31" s="49"/>
      <c r="CY31" s="49"/>
      <c r="DA31" s="59">
        <v>68.599999999999994</v>
      </c>
      <c r="DR31" s="49"/>
      <c r="DT31" s="49"/>
      <c r="DV31" s="59">
        <v>68.599999999999994</v>
      </c>
      <c r="EM31" s="49"/>
      <c r="EO31" s="49"/>
      <c r="EQ31" s="59">
        <v>68.599999999999994</v>
      </c>
      <c r="FH31" s="49"/>
      <c r="FJ31" s="49"/>
      <c r="FL31" s="59">
        <v>68.599999999999994</v>
      </c>
      <c r="GC31" s="49"/>
      <c r="GE31" s="49"/>
      <c r="GG31" s="59">
        <v>68.599999999999994</v>
      </c>
      <c r="GX31" s="49"/>
      <c r="GZ31" s="49"/>
      <c r="HB31" s="59">
        <v>68.599999999999994</v>
      </c>
      <c r="HS31" s="49"/>
      <c r="HU31" s="49"/>
      <c r="HW31" s="59">
        <v>68.599999999999994</v>
      </c>
      <c r="IN31" s="49"/>
      <c r="IP31" s="49"/>
      <c r="IR31" s="59">
        <v>68.599999999999994</v>
      </c>
      <c r="JI31" s="49"/>
      <c r="JK31" s="49"/>
      <c r="JM31" s="59">
        <v>68.599999999999994</v>
      </c>
      <c r="KD31" s="49"/>
      <c r="KF31" s="49"/>
      <c r="KH31" s="59">
        <v>68.599999999999994</v>
      </c>
      <c r="KY31" s="49"/>
      <c r="LA31" s="49"/>
      <c r="LC31" s="59">
        <v>68.599999999999994</v>
      </c>
      <c r="LT31" s="49"/>
      <c r="LV31" s="49"/>
      <c r="LX31" s="59">
        <v>68.599999999999994</v>
      </c>
    </row>
    <row r="32" spans="1:358" hidden="1" x14ac:dyDescent="0.2">
      <c r="A32" s="49"/>
      <c r="B32" s="64" t="s">
        <v>48</v>
      </c>
      <c r="C32" s="48"/>
      <c r="AH32" s="49"/>
      <c r="AJ32" s="49"/>
      <c r="AL32" s="58">
        <v>1000</v>
      </c>
      <c r="BD32" s="49"/>
      <c r="BF32" s="49"/>
      <c r="BH32" s="58">
        <v>1000</v>
      </c>
      <c r="BZ32" s="49"/>
      <c r="CB32" s="49"/>
      <c r="CD32" s="58">
        <v>1000</v>
      </c>
      <c r="CW32" s="49"/>
      <c r="CY32" s="49"/>
      <c r="DA32" s="58">
        <v>1000</v>
      </c>
      <c r="DR32" s="49"/>
      <c r="DT32" s="49"/>
      <c r="DV32" s="58">
        <v>1000</v>
      </c>
      <c r="EM32" s="49"/>
      <c r="EO32" s="49"/>
      <c r="EQ32" s="58">
        <v>1000</v>
      </c>
      <c r="FH32" s="49"/>
      <c r="FJ32" s="49"/>
      <c r="FL32" s="58">
        <v>1000</v>
      </c>
      <c r="GC32" s="49"/>
      <c r="GE32" s="49"/>
      <c r="GG32" s="58">
        <v>1000</v>
      </c>
      <c r="GX32" s="49"/>
      <c r="GZ32" s="49"/>
      <c r="HB32" s="58">
        <v>1000</v>
      </c>
      <c r="HS32" s="49"/>
      <c r="HU32" s="49"/>
      <c r="HW32" s="58">
        <v>1000</v>
      </c>
      <c r="IN32" s="49"/>
      <c r="IP32" s="49"/>
      <c r="IR32" s="58">
        <v>1000</v>
      </c>
      <c r="JI32" s="49"/>
      <c r="JK32" s="49"/>
      <c r="JM32" s="58">
        <v>1000</v>
      </c>
      <c r="KD32" s="49"/>
      <c r="KF32" s="49"/>
      <c r="KH32" s="58">
        <v>1000</v>
      </c>
      <c r="KY32" s="49"/>
      <c r="LA32" s="49"/>
      <c r="LC32" s="58">
        <v>1000</v>
      </c>
      <c r="LT32" s="49"/>
      <c r="LV32" s="49"/>
      <c r="LX32" s="58">
        <v>1000</v>
      </c>
    </row>
    <row r="33" spans="1:336" hidden="1" x14ac:dyDescent="0.2">
      <c r="A33" s="49"/>
      <c r="B33" s="106" t="s">
        <v>60</v>
      </c>
      <c r="C33" s="48"/>
      <c r="AH33" s="49"/>
      <c r="AJ33" s="49"/>
      <c r="AK33" s="117"/>
      <c r="AL33" s="107">
        <v>1000</v>
      </c>
      <c r="BD33" s="49"/>
      <c r="BF33" s="49"/>
      <c r="BG33" s="117"/>
      <c r="BH33" s="107">
        <v>1000</v>
      </c>
      <c r="BZ33" s="49"/>
      <c r="CB33" s="49"/>
      <c r="CD33" s="107">
        <v>1000</v>
      </c>
      <c r="CW33" s="49"/>
      <c r="CY33" s="49"/>
      <c r="CZ33" s="117"/>
      <c r="DA33" s="107">
        <v>1000</v>
      </c>
      <c r="DR33" s="49"/>
      <c r="DT33" s="49"/>
      <c r="DV33" s="107">
        <v>1000</v>
      </c>
      <c r="EM33" s="49"/>
      <c r="EO33" s="49"/>
      <c r="EQ33" s="107">
        <v>1000</v>
      </c>
      <c r="FH33" s="49"/>
      <c r="FJ33" s="49"/>
      <c r="FK33" s="117"/>
      <c r="FL33" s="107">
        <v>1000</v>
      </c>
      <c r="GC33" s="49"/>
      <c r="GE33" s="49"/>
      <c r="GG33" s="107">
        <v>1000</v>
      </c>
      <c r="GX33" s="49"/>
      <c r="GZ33" s="49"/>
      <c r="HB33" s="107">
        <v>1000</v>
      </c>
      <c r="HS33" s="49"/>
      <c r="HU33" s="49"/>
      <c r="HW33" s="107">
        <v>1000</v>
      </c>
      <c r="IN33" s="49"/>
      <c r="IP33" s="49"/>
      <c r="IR33" s="107">
        <v>1000</v>
      </c>
      <c r="JI33" s="49"/>
      <c r="JK33" s="49"/>
      <c r="JM33" s="107">
        <v>1000</v>
      </c>
      <c r="KD33" s="49"/>
      <c r="KF33" s="49"/>
      <c r="KH33" s="107">
        <v>1000</v>
      </c>
      <c r="KY33" s="49"/>
      <c r="LA33" s="49"/>
      <c r="LC33" s="107">
        <v>1000</v>
      </c>
      <c r="LT33" s="49"/>
      <c r="LV33" s="49"/>
      <c r="LX33" s="107">
        <v>1000</v>
      </c>
    </row>
    <row r="34" spans="1:336" hidden="1" x14ac:dyDescent="0.2">
      <c r="A34" s="49"/>
      <c r="B34" s="66" t="s">
        <v>34</v>
      </c>
      <c r="C34" s="48"/>
      <c r="AH34" s="49"/>
      <c r="AJ34" s="49"/>
      <c r="AL34" s="60">
        <v>1000</v>
      </c>
      <c r="BD34" s="49"/>
      <c r="BF34" s="49"/>
      <c r="BH34" s="60">
        <v>1000</v>
      </c>
      <c r="BZ34" s="49"/>
      <c r="CB34" s="49"/>
      <c r="CD34" s="60">
        <v>1000</v>
      </c>
      <c r="CW34" s="49"/>
      <c r="CY34" s="49"/>
      <c r="DA34" s="60">
        <v>1000</v>
      </c>
      <c r="DR34" s="49"/>
      <c r="DT34" s="49"/>
      <c r="DV34" s="60">
        <v>1000</v>
      </c>
      <c r="EM34" s="49"/>
      <c r="EO34" s="49"/>
      <c r="EP34" s="117"/>
      <c r="EQ34" s="60">
        <v>1000</v>
      </c>
      <c r="FH34" s="49"/>
      <c r="FJ34" s="49"/>
      <c r="FL34" s="60">
        <v>1000</v>
      </c>
      <c r="GC34" s="49"/>
      <c r="GE34" s="49"/>
      <c r="GG34" s="60">
        <v>1000</v>
      </c>
      <c r="GX34" s="49"/>
      <c r="GZ34" s="49"/>
      <c r="HB34" s="60">
        <v>1000</v>
      </c>
      <c r="HS34" s="49"/>
      <c r="HU34" s="49"/>
      <c r="HW34" s="60">
        <v>1000</v>
      </c>
      <c r="IN34" s="49"/>
      <c r="IP34" s="49"/>
      <c r="IR34" s="60">
        <v>1000</v>
      </c>
      <c r="JI34" s="49"/>
      <c r="JK34" s="49"/>
      <c r="JM34" s="60">
        <v>1000</v>
      </c>
      <c r="KD34" s="49"/>
      <c r="KF34" s="49"/>
      <c r="KH34" s="60">
        <v>1000</v>
      </c>
      <c r="KY34" s="49"/>
      <c r="LA34" s="49"/>
      <c r="LC34" s="60">
        <v>1000</v>
      </c>
      <c r="LT34" s="49"/>
      <c r="LV34" s="49"/>
      <c r="LX34" s="60">
        <v>1000</v>
      </c>
    </row>
    <row r="35" spans="1:336" x14ac:dyDescent="0.2">
      <c r="B35" s="74" t="s">
        <v>53</v>
      </c>
      <c r="C35" s="2"/>
      <c r="CX35" s="6"/>
      <c r="KE35" s="6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  <row r="38" spans="1:336" x14ac:dyDescent="0.2">
      <c r="A38" s="49"/>
      <c r="B38" s="49"/>
      <c r="C38" s="48"/>
    </row>
  </sheetData>
  <sheetProtection sheet="1" formatCells="0" formatColumns="0" formatRows="0"/>
  <autoFilter ref="A1:MT10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4">
      <sortCondition descending="1" ref="F1:F25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24">
    <cfRule type="expression" dxfId="39" priority="3" stopIfTrue="1">
      <formula>IF($BC4&lt;&gt;"",1,0)</formula>
    </cfRule>
  </conditionalFormatting>
  <conditionalFormatting sqref="Q4:AL2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5837" operator="between">
      <formula>AL$30</formula>
      <formula>1000</formula>
    </cfRule>
    <cfRule type="cellIs" dxfId="26" priority="45838" operator="between">
      <formula>AL$29</formula>
      <formula>AL$30</formula>
    </cfRule>
    <cfRule type="cellIs" dxfId="25" priority="45839" operator="between">
      <formula>AL$28</formula>
      <formula>AL$29</formula>
    </cfRule>
    <cfRule type="cellIs" dxfId="24" priority="45840" operator="between">
      <formula>AL$27</formula>
      <formula>AL$28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017" operator="between">
      <formula>AL$34</formula>
      <formula>1000</formula>
    </cfRule>
    <cfRule type="cellIs" dxfId="22" priority="46018" operator="between">
      <formula>AL$33</formula>
      <formula>AL$34</formula>
    </cfRule>
    <cfRule type="cellIs" dxfId="21" priority="46019" operator="between">
      <formula>AL$32</formula>
      <formula>AL$33</formula>
    </cfRule>
    <cfRule type="cellIs" dxfId="20" priority="46020" operator="between">
      <formula>AL$31</formula>
      <formula>AL$32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9"/>
      <c r="K2" s="128"/>
      <c r="L2" s="129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6" t="s">
        <v>31</v>
      </c>
      <c r="AZ2" s="136"/>
      <c r="BA2" s="136"/>
      <c r="BB2" s="136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6" t="s">
        <v>26</v>
      </c>
      <c r="DC2" s="136"/>
      <c r="DD2" s="136"/>
      <c r="DE2" s="136"/>
      <c r="DF2" s="136" t="s">
        <v>29</v>
      </c>
      <c r="DG2" s="136"/>
      <c r="DH2" s="136"/>
      <c r="DI2" s="136"/>
      <c r="DJ2" s="136" t="s">
        <v>30</v>
      </c>
      <c r="DK2" s="136"/>
      <c r="DL2" s="136"/>
      <c r="DM2" s="136"/>
      <c r="DN2" s="136" t="s">
        <v>31</v>
      </c>
      <c r="DO2" s="136"/>
      <c r="DP2" s="136"/>
      <c r="DQ2" s="136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6" t="s">
        <v>26</v>
      </c>
      <c r="ES2" s="136"/>
      <c r="ET2" s="136"/>
      <c r="EU2" s="136"/>
      <c r="EV2" s="136" t="s">
        <v>29</v>
      </c>
      <c r="EW2" s="136"/>
      <c r="EX2" s="136"/>
      <c r="EY2" s="136"/>
      <c r="EZ2" s="136" t="s">
        <v>30</v>
      </c>
      <c r="FA2" s="136"/>
      <c r="FB2" s="136"/>
      <c r="FC2" s="136"/>
      <c r="FD2" s="136" t="s">
        <v>31</v>
      </c>
      <c r="FE2" s="136"/>
      <c r="FF2" s="136"/>
      <c r="FG2" s="136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6" t="s">
        <v>26</v>
      </c>
      <c r="GI2" s="136"/>
      <c r="GJ2" s="136"/>
      <c r="GK2" s="136"/>
      <c r="GL2" s="136" t="s">
        <v>29</v>
      </c>
      <c r="GM2" s="136"/>
      <c r="GN2" s="136"/>
      <c r="GO2" s="136"/>
      <c r="GP2" s="136" t="s">
        <v>30</v>
      </c>
      <c r="GQ2" s="136"/>
      <c r="GR2" s="136"/>
      <c r="GS2" s="136"/>
      <c r="GT2" s="136" t="s">
        <v>31</v>
      </c>
      <c r="GU2" s="136"/>
      <c r="GV2" s="136"/>
      <c r="GW2" s="136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6" t="s">
        <v>26</v>
      </c>
      <c r="HY2" s="136"/>
      <c r="HZ2" s="136"/>
      <c r="IA2" s="136"/>
      <c r="IB2" s="136" t="s">
        <v>29</v>
      </c>
      <c r="IC2" s="136"/>
      <c r="ID2" s="136"/>
      <c r="IE2" s="136"/>
      <c r="IF2" s="136" t="s">
        <v>30</v>
      </c>
      <c r="IG2" s="136"/>
      <c r="IH2" s="136"/>
      <c r="II2" s="136"/>
      <c r="IJ2" s="136" t="s">
        <v>31</v>
      </c>
      <c r="IK2" s="136"/>
      <c r="IL2" s="136"/>
      <c r="IM2" s="136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6" t="s">
        <v>26</v>
      </c>
      <c r="JO2" s="136"/>
      <c r="JP2" s="136"/>
      <c r="JQ2" s="136"/>
      <c r="JR2" s="136" t="s">
        <v>29</v>
      </c>
      <c r="JS2" s="136"/>
      <c r="JT2" s="136"/>
      <c r="JU2" s="136"/>
      <c r="JV2" s="136" t="s">
        <v>30</v>
      </c>
      <c r="JW2" s="136"/>
      <c r="JX2" s="136"/>
      <c r="JY2" s="136"/>
      <c r="JZ2" s="136" t="s">
        <v>31</v>
      </c>
      <c r="KA2" s="136"/>
      <c r="KB2" s="136"/>
      <c r="KC2" s="136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6" t="s">
        <v>26</v>
      </c>
      <c r="LE2" s="136"/>
      <c r="LF2" s="136"/>
      <c r="LG2" s="136"/>
      <c r="LH2" s="136" t="s">
        <v>29</v>
      </c>
      <c r="LI2" s="136"/>
      <c r="LJ2" s="136"/>
      <c r="LK2" s="136"/>
      <c r="LL2" s="136" t="s">
        <v>30</v>
      </c>
      <c r="LM2" s="136"/>
      <c r="LN2" s="136"/>
      <c r="LO2" s="136"/>
      <c r="LP2" s="136" t="s">
        <v>31</v>
      </c>
      <c r="LQ2" s="136"/>
      <c r="LR2" s="136"/>
      <c r="LS2" s="136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9"/>
      <c r="K3" s="128"/>
      <c r="L3" s="129"/>
      <c r="M3" s="128"/>
      <c r="N3" s="130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1</v>
      </c>
      <c r="B4" s="8" t="s">
        <v>97</v>
      </c>
      <c r="C4" s="4" t="s">
        <v>95</v>
      </c>
      <c r="D4" s="5">
        <v>2002</v>
      </c>
      <c r="E4" s="15">
        <f>SUM(J4:N4)+0.0001</f>
        <v>199.0001</v>
      </c>
      <c r="F4" s="3" t="str">
        <f t="shared" ref="F4:F23" si="1"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 t="shared" ref="G4:G23" si="2"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 t="shared" ref="H4:H23" si="3"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 t="shared" ref="I4:I23" si="4">IF(OR(H4="Worlds Team",H4="Excellence",H4="Merit"),"P","")</f>
        <v/>
      </c>
      <c r="J4" s="14">
        <f t="shared" ref="J4:J23" si="5">MAX(AI4,BE4,CA4)</f>
        <v>67.3</v>
      </c>
      <c r="K4" s="14" t="str">
        <f t="shared" ref="K4:K23" si="6">IF(J4=0,"",IF(J4=CA4,$BI$1,IF(J4=BE4,$AM$1,IF(J4=AI4,$Q$1,""))))</f>
        <v>2021 Canadian Championships</v>
      </c>
      <c r="L4" s="14">
        <f t="shared" ref="L4:L23" si="7">IF(J4=AI4,MAX(BH4,CD4),IF(J4=BE4,MAX(AL4,CD4),MAX(AL4,BH4)))</f>
        <v>131.69999999999999</v>
      </c>
      <c r="M4" s="14" t="str">
        <f t="shared" ref="M4:M23" si="8">IF(L4=0,"",IF(AND(J4&lt;&gt;CA4,L4=CD4),$BI$1,IF(AND(J4&lt;&gt;BE4,L4=BH4),$AM$1,IF(L4=AL4,$Q$1,""))))</f>
        <v>2021 Elite Canada</v>
      </c>
      <c r="N4" s="14" t="str">
        <f t="shared" ref="N4:N23" si="9">IF(MAX(CE4:CF4)&gt;0,MAX(CE4:CF4),"")</f>
        <v/>
      </c>
      <c r="O4" s="24" t="str">
        <f t="shared" ref="O4:O23" si="10">IF(N4="","",IF(N4=CE4,"(Prelim)",IF(N4=CF4,"(4 Pass)")))</f>
        <v/>
      </c>
      <c r="P4" s="14" t="str">
        <f t="shared" ref="P4:P23" si="11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27.2</v>
      </c>
      <c r="R4" s="61">
        <v>5.6</v>
      </c>
      <c r="S4" s="61">
        <v>0.3</v>
      </c>
      <c r="T4" s="61">
        <v>0</v>
      </c>
      <c r="U4" s="61">
        <v>27.9</v>
      </c>
      <c r="V4" s="61">
        <v>5.2</v>
      </c>
      <c r="W4" s="61">
        <v>0.3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28.5</v>
      </c>
      <c r="AD4" s="61">
        <v>4.3</v>
      </c>
      <c r="AE4" s="61">
        <v>0</v>
      </c>
      <c r="AF4" s="61">
        <v>0</v>
      </c>
      <c r="AG4" s="72"/>
      <c r="AH4" s="11">
        <f t="shared" ref="AH4:AH23" si="12">IF(SUM(R4,V4)&gt;0,SUM(R4,V4),"")</f>
        <v>10.8</v>
      </c>
      <c r="AI4" s="11">
        <f t="shared" ref="AI4:AI23" si="13">IF(SUM(Q4:R4,T4:V4,X4)-SUM(S4,W4)&gt;0,SUM(Q4:R4,T4:V4,X4)-SUM(S4,W4),"")</f>
        <v>65.3</v>
      </c>
      <c r="AJ4" s="11">
        <f t="shared" ref="AJ4:AJ23" si="14">IF(SUM(Z4,AD4)&gt;0,SUM(Z4,AD4),"")</f>
        <v>4.3</v>
      </c>
      <c r="AK4" s="11">
        <f t="shared" ref="AK4:AK23" si="15">IF(SUM(Y4:Z4,AB4:AD4,AF4)-SUM(AA4,AE4)&gt;0,SUM(Y4:Z4,AB4:AD4,AF4)-SUM(AA4,AE4),"")</f>
        <v>32.799999999999997</v>
      </c>
      <c r="AL4" s="11">
        <f t="shared" ref="AL4:AL23" si="16">IF(SUM(AI4,AK4)&gt;0,SUM(AI4,AK4),"")</f>
        <v>98.1</v>
      </c>
      <c r="AM4" s="36">
        <v>28</v>
      </c>
      <c r="AN4" s="36">
        <v>5.6</v>
      </c>
      <c r="AO4" s="36">
        <v>0</v>
      </c>
      <c r="AP4" s="36">
        <v>0</v>
      </c>
      <c r="AQ4" s="36">
        <v>27.3</v>
      </c>
      <c r="AR4" s="36">
        <v>5.6</v>
      </c>
      <c r="AS4" s="36">
        <v>0</v>
      </c>
      <c r="AT4" s="36">
        <v>0</v>
      </c>
      <c r="AU4" s="36">
        <v>27.8</v>
      </c>
      <c r="AV4" s="36">
        <v>5.2</v>
      </c>
      <c r="AW4" s="36">
        <v>0.9</v>
      </c>
      <c r="AX4" s="36">
        <v>0</v>
      </c>
      <c r="AY4" s="36">
        <v>27.6</v>
      </c>
      <c r="AZ4" s="36">
        <v>5.2</v>
      </c>
      <c r="BA4" s="36">
        <v>0</v>
      </c>
      <c r="BB4" s="36">
        <v>0.3</v>
      </c>
      <c r="BC4" s="73"/>
      <c r="BD4" s="14">
        <f t="shared" ref="BD4:BD23" si="17">IF(SUM(AN4,AR4)&gt;0,SUM(AN4,AR4),"")</f>
        <v>11.2</v>
      </c>
      <c r="BE4" s="14">
        <f t="shared" ref="BE4:BE23" si="18">IF(SUM(AM4:AN4,AP4:AR4,AT4)-SUM(AO4,AS4)&gt;0,SUM(AM4:AN4,AP4:AR4,AT4)-SUM(AO4,AS4),"")</f>
        <v>66.5</v>
      </c>
      <c r="BF4" s="14">
        <f t="shared" ref="BF4:BF23" si="19">IF(SUM(AV4,AZ4)&gt;0,SUM(AV4,AZ4),"")</f>
        <v>10.4</v>
      </c>
      <c r="BG4" s="14">
        <f t="shared" ref="BG4:BG23" si="20">IF(SUM(AU4:AV4,AX4:AZ4,BB4)-SUM(AW4,BA4)&gt;0,SUM(AU4:AV4,AX4:AZ4,BB4)-SUM(AW4,BA4),"")</f>
        <v>65.199999999999989</v>
      </c>
      <c r="BH4" s="14">
        <f t="shared" ref="BH4:BH23" si="21">IF(SUM(BE4,BG4)&gt;0,SUM(BE4,BG4),"")</f>
        <v>131.69999999999999</v>
      </c>
      <c r="BI4" s="61">
        <v>28.1</v>
      </c>
      <c r="BJ4" s="61">
        <v>5.6</v>
      </c>
      <c r="BK4" s="61">
        <v>0</v>
      </c>
      <c r="BL4" s="61">
        <v>0</v>
      </c>
      <c r="BM4" s="61">
        <v>28</v>
      </c>
      <c r="BN4" s="61">
        <v>5.6</v>
      </c>
      <c r="BO4" s="61">
        <v>0</v>
      </c>
      <c r="BP4" s="61">
        <v>0</v>
      </c>
      <c r="BQ4" s="61">
        <v>27.9</v>
      </c>
      <c r="BR4" s="61">
        <v>3</v>
      </c>
      <c r="BS4" s="61">
        <v>1.4</v>
      </c>
      <c r="BT4" s="61">
        <v>0</v>
      </c>
      <c r="BU4" s="61">
        <v>19.7</v>
      </c>
      <c r="BV4" s="61">
        <v>3.2</v>
      </c>
      <c r="BW4" s="61">
        <v>0</v>
      </c>
      <c r="BX4" s="61">
        <v>0.3</v>
      </c>
      <c r="BY4" s="72"/>
      <c r="BZ4" s="11">
        <f t="shared" ref="BZ4:BZ23" si="22">IF(SUM(BJ4,BN4)&gt;0,SUM(BJ4,BN4),"")</f>
        <v>11.2</v>
      </c>
      <c r="CA4" s="11">
        <f t="shared" ref="CA4:CA23" si="23">IF(SUM(BI4:BJ4,BL4:BN4,BP4)-SUM(BK4,BO4)&gt;0,SUM(BI4:BJ4,BL4:BN4,BP4)-SUM(BK4,BO4),"")</f>
        <v>67.3</v>
      </c>
      <c r="CB4" s="11">
        <f t="shared" ref="CB4:CB23" si="24">IF(SUM(BR4,BV4)&gt;0,SUM(BR4,BV4),"")</f>
        <v>6.2</v>
      </c>
      <c r="CC4" s="11">
        <f t="shared" ref="CC4:CC23" si="25">IF(SUM(BQ4:BR4,BT4:BV4,BX4)-SUM(BS4,BW4)&gt;0,SUM(BQ4:BR4,BT4:BV4,BX4)-SUM(BS4,BW4),"")</f>
        <v>52.699999999999996</v>
      </c>
      <c r="CD4" s="11">
        <f t="shared" ref="CD4:CD23" si="26">IF(SUM(CA4,CC4)&gt;0,SUM(CA4,CC4),"")</f>
        <v>120</v>
      </c>
      <c r="CE4" s="23" t="str">
        <f t="shared" ref="CE4:CE23" si="27">IF(MAX(CX4,DS4,EN4,FI4,GD4,GY4,HT4,IO4,JJ4,KE4,KZ4,LU4)-IF(J4="",0,J4)&gt;0.001,MAX(CX4,DS4,EN4,FI4,GD4,GY4,HT4,IO4,JJ4,KE4,KZ4,LU4)-IF(J4="",0,J4),"")</f>
        <v/>
      </c>
      <c r="CF4" s="23" t="str">
        <f t="shared" ref="CF4:CF23" si="28"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3" si="29">IF(SUM(CH4,CL4)&gt;0,SUM(CH4,CL4),"")</f>
        <v/>
      </c>
      <c r="CX4" s="11" t="str">
        <f t="shared" ref="CX4:CX23" si="30">IF(SUM(CG4:CH4,CJ4:CL4,CN4)-SUM(CI4,CM4)&gt;0,SUM(CG4:CH4,CJ4:CL4,CN4)-SUM(CI4,CM4),"")</f>
        <v/>
      </c>
      <c r="CY4" s="11" t="str">
        <f t="shared" ref="CY4:CY23" si="31">IF(SUM(CP4,CT4)&gt;0,SUM(CP4,CT4),"")</f>
        <v/>
      </c>
      <c r="CZ4" s="11" t="str">
        <f t="shared" ref="CZ4:CZ23" si="32">IF(SUM(CO4:CP4,CR4:CT4,CV4)-SUM(CQ4,CU4)&gt;0,SUM(CO4:CP4,CR4:CT4,CV4)-SUM(CQ4,CU4),"")</f>
        <v/>
      </c>
      <c r="DA4" s="11" t="str">
        <f t="shared" ref="DA4:DA23" si="33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3" si="34">IF(SUM(DC4,DG4)&gt;0,SUM(DC4,DG4),"")</f>
        <v/>
      </c>
      <c r="DS4" s="14" t="str">
        <f t="shared" ref="DS4:DS23" si="35">IF(SUM(DB4:DC4,DE4:DG4,DI4)-SUM(DD4,DH4)&gt;0,SUM(DB4:DC4,DE4:DG4,DI4)-SUM(DD4,DH4),"")</f>
        <v/>
      </c>
      <c r="DT4" s="14" t="str">
        <f t="shared" ref="DT4:DT23" si="36">IF(SUM(DK4,DO4)&gt;0,SUM(DK4,DO4),"")</f>
        <v/>
      </c>
      <c r="DU4" s="14" t="str">
        <f t="shared" ref="DU4:DU23" si="37">IF(SUM(DJ4:DK4,DM4:DO4,DQ4)-SUM(DL4,DP4)&gt;0,SUM(DJ4:DK4,DM4:DO4,DQ4)-SUM(DL4,DP4),"")</f>
        <v/>
      </c>
      <c r="DV4" s="14" t="str">
        <f t="shared" ref="DV4:DV23" si="38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3" si="39">IF(SUM(DX4,EB4)&gt;0,SUM(DX4,EB4),"")</f>
        <v/>
      </c>
      <c r="EN4" s="11" t="str">
        <f t="shared" ref="EN4:EN23" si="40">IF(SUM(DW4:DX4,DZ4:EB4,ED4)-SUM(DY4,EC4)&gt;0,SUM(DW4:DX4,DZ4:EB4,ED4)-SUM(DY4,EC4),"")</f>
        <v/>
      </c>
      <c r="EO4" s="11" t="str">
        <f t="shared" ref="EO4:EO23" si="41">IF(SUM(EF4,EJ4)&gt;0,SUM(EF4,EJ4),"")</f>
        <v/>
      </c>
      <c r="EP4" s="11" t="str">
        <f t="shared" ref="EP4:EP23" si="42">IF(SUM(EE4:EF4,EH4:EJ4,EL4)-SUM(EG4,EK4)&gt;0,SUM(EE4:EF4,EH4:EJ4,EL4)-SUM(EG4,EK4),"")</f>
        <v/>
      </c>
      <c r="EQ4" s="11" t="str">
        <f t="shared" ref="EQ4:EQ23" si="43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3" si="44">IF(SUM(ES4,EW4)&gt;0,SUM(ES4,EW4),"")</f>
        <v/>
      </c>
      <c r="FI4" s="14" t="str">
        <f t="shared" ref="FI4:FI23" si="45">IF(SUM(ER4:ES4,EU4:EW4,EY4)-SUM(ET4,EX4)&gt;0,SUM(ER4:ES4,EU4:EW4,EY4)-SUM(ET4,EX4),"")</f>
        <v/>
      </c>
      <c r="FJ4" s="14" t="str">
        <f t="shared" ref="FJ4:FJ23" si="46">IF(SUM(FA4,FE4)&gt;0,SUM(FA4,FE4),"")</f>
        <v/>
      </c>
      <c r="FK4" s="14" t="str">
        <f t="shared" ref="FK4:FK23" si="47">IF(SUM(EZ4:FA4,FC4:FE4,FG4)-SUM(FB4,FF4)&gt;0,SUM(EZ4:FA4,FC4:FE4,FG4)-SUM(FB4,FF4),"")</f>
        <v/>
      </c>
      <c r="FL4" s="14" t="str">
        <f t="shared" ref="FL4:FL23" si="48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3" si="49">IF(SUM(FN4,FR4)&gt;0,SUM(FN4,FR4),"")</f>
        <v/>
      </c>
      <c r="GD4" s="11" t="str">
        <f t="shared" ref="GD4:GD23" si="50">IF(SUM(FM4:FN4,FP4:FR4,FT4)-SUM(FO4,FS4)&gt;0,SUM(FM4:FN4,FP4:FR4,FT4)-SUM(FO4,FS4),"")</f>
        <v/>
      </c>
      <c r="GE4" s="11" t="str">
        <f t="shared" ref="GE4:GE23" si="51">IF(SUM(FV4,FZ4)&gt;0,SUM(FV4,FZ4),"")</f>
        <v/>
      </c>
      <c r="GF4" s="11" t="str">
        <f t="shared" ref="GF4:GF23" si="52">IF(SUM(FU4:FV4,FX4:FZ4,GB4)-SUM(FW4,GA4)&gt;0,SUM(FU4:FV4,FX4:FZ4,GB4)-SUM(FW4,GA4),"")</f>
        <v/>
      </c>
      <c r="GG4" s="11" t="str">
        <f t="shared" ref="GG4:GG23" si="53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3" si="54">IF(SUM(GI4,GM4)&gt;0,SUM(GI4,GM4),"")</f>
        <v/>
      </c>
      <c r="GY4" s="14" t="str">
        <f t="shared" ref="GY4:GY23" si="55">IF(SUM(GH4:GI4,GK4:GM4,GO4)-SUM(GJ4,GN4)&gt;0,SUM(GH4:GI4,GK4:GM4,GO4)-SUM(GJ4,GN4),"")</f>
        <v/>
      </c>
      <c r="GZ4" s="14" t="str">
        <f t="shared" ref="GZ4:GZ23" si="56">IF(SUM(GQ4,GU4)&gt;0,SUM(GQ4,GU4),"")</f>
        <v/>
      </c>
      <c r="HA4" s="14" t="str">
        <f t="shared" ref="HA4:HA23" si="57">IF(SUM(GP4:GQ4,GS4:GU4,GW4)-SUM(GR4,GV4)&gt;0,SUM(GP4:GQ4,GS4:GU4,GW4)-SUM(GR4,GV4),"")</f>
        <v/>
      </c>
      <c r="HB4" s="14" t="str">
        <f t="shared" ref="HB4:HB23" si="58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3" si="59">IF(SUM(HD4,HH4)&gt;0,SUM(HD4,HH4),"")</f>
        <v/>
      </c>
      <c r="HT4" s="11" t="str">
        <f t="shared" ref="HT4:HT23" si="60">IF(SUM(HC4:HD4,HF4:HH4,HJ4)-SUM(HE4,HI4)&gt;0,SUM(HC4:HD4,HF4:HH4,HJ4)-SUM(HE4,HI4),"")</f>
        <v/>
      </c>
      <c r="HU4" s="11" t="str">
        <f t="shared" ref="HU4:HU23" si="61">IF(SUM(HL4,HP4)&gt;0,SUM(HL4,HP4),"")</f>
        <v/>
      </c>
      <c r="HV4" s="11" t="str">
        <f t="shared" ref="HV4:HV23" si="62">IF(SUM(HK4:HL4,HN4:HP4,HR4)-SUM(HM4,HQ4)&gt;0,SUM(HK4:HL4,HN4:HP4,HR4)-SUM(HM4,HQ4),"")</f>
        <v/>
      </c>
      <c r="HW4" s="11" t="str">
        <f t="shared" ref="HW4:HW23" si="63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3" si="64">IF(SUM(HY4,IC4)&gt;0,SUM(HY4,IC4),"")</f>
        <v/>
      </c>
      <c r="IO4" s="14" t="str">
        <f t="shared" ref="IO4:IO23" si="65">IF(SUM(HX4:HY4,IA4:IC4,IE4)-SUM(HZ4,ID4)&gt;0,SUM(HX4:HY4,IA4:IC4,IE4)-SUM(HZ4,ID4),"")</f>
        <v/>
      </c>
      <c r="IP4" s="14" t="str">
        <f t="shared" ref="IP4:IP23" si="66">IF(SUM(IG4,IK4)&gt;0,SUM(IG4,IK4),"")</f>
        <v/>
      </c>
      <c r="IQ4" s="14" t="str">
        <f t="shared" ref="IQ4:IQ23" si="67">IF(SUM(IF4:IG4,II4:IK4,IM4)-SUM(IH4,IL4)&gt;0,SUM(IF4:IG4,II4:IK4,IM4)-SUM(IH4,IL4),"")</f>
        <v/>
      </c>
      <c r="IR4" s="14" t="str">
        <f t="shared" ref="IR4:IR23" si="68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3" si="69">IF(SUM(IT4,IX4)&gt;0,SUM(IT4,IX4),"")</f>
        <v/>
      </c>
      <c r="JJ4" s="11" t="str">
        <f t="shared" ref="JJ4:JJ23" si="70">IF(SUM(IS4:IT4,IV4:IX4,IZ4)-SUM(IU4,IY4)&gt;0,SUM(IS4:IT4,IV4:IX4,IZ4)-SUM(IU4,IY4),"")</f>
        <v/>
      </c>
      <c r="JK4" s="11" t="str">
        <f t="shared" ref="JK4:JK23" si="71">IF(SUM(JB4,JF4)&gt;0,SUM(JB4,JF4),"")</f>
        <v/>
      </c>
      <c r="JL4" s="11" t="str">
        <f t="shared" ref="JL4:JL23" si="72">IF(SUM(JA4:JB4,JD4:JF4,JH4)-SUM(JC4,JG4)&gt;0,SUM(JA4:JB4,JD4:JF4,JH4)-SUM(JC4,JG4),"")</f>
        <v/>
      </c>
      <c r="JM4" s="11" t="str">
        <f t="shared" ref="JM4:JM23" si="73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3" si="74">IF(SUM(JO4,JS4)&gt;0,SUM(JO4,JS4),"")</f>
        <v/>
      </c>
      <c r="KE4" s="14" t="str">
        <f t="shared" ref="KE4:KE23" si="75">IF(SUM(JN4:JO4,JQ4:JS4,JU4)-SUM(JP4,JT4)&gt;0,SUM(JN4:JO4,JQ4:JS4,JU4)-SUM(JP4,JT4),"")</f>
        <v/>
      </c>
      <c r="KF4" s="14" t="str">
        <f t="shared" ref="KF4:KF23" si="76">IF(SUM(JW4,KA4)&gt;0,SUM(JW4,KA4),"")</f>
        <v/>
      </c>
      <c r="KG4" s="14" t="str">
        <f t="shared" ref="KG4:KG23" si="77">IF(SUM(JV4:JW4,JY4:KA4,KC4)-SUM(JX4,KB4)&gt;0,SUM(JV4:JW4,JY4:KA4,KC4)-SUM(JX4,KB4),"")</f>
        <v/>
      </c>
      <c r="KH4" s="14" t="str">
        <f t="shared" ref="KH4:KH23" si="78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3" si="79">IF(SUM(KJ4,KN4)&gt;0,SUM(KJ4,KN4),"")</f>
        <v/>
      </c>
      <c r="KZ4" s="11" t="str">
        <f t="shared" ref="KZ4:KZ23" si="80">IF(SUM(KI4:KJ4,KL4:KN4,KP4)-SUM(KK4,KO4)&gt;0,SUM(KI4:KJ4,KL4:KN4,KP4)-SUM(KK4,KO4),"")</f>
        <v/>
      </c>
      <c r="LA4" s="11" t="str">
        <f t="shared" ref="LA4:LA23" si="81">IF(SUM(KR4,KV4)&gt;0,SUM(KR4,KV4),"")</f>
        <v/>
      </c>
      <c r="LB4" s="11" t="str">
        <f t="shared" ref="LB4:LB23" si="82">IF(SUM(KQ4:KR4,KT4:KV4,KX4)-SUM(KS4,KW4)&gt;0,SUM(KQ4:KR4,KT4:KV4,KX4)-SUM(KS4,KW4),"")</f>
        <v/>
      </c>
      <c r="LC4" s="11" t="str">
        <f t="shared" ref="LC4:LC23" si="83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3" si="84">IF(SUM(LE4,LI4)&gt;0,SUM(LE4,LI4),"")</f>
        <v/>
      </c>
      <c r="LU4" s="14" t="str">
        <f t="shared" ref="LU4:LU23" si="85">IF(SUM(LD4:LE4,LG4:LI4,LK4)-SUM(LF4,LJ4)&gt;0,SUM(LD4:LE4,LG4:LI4,LK4)-SUM(LF4,LJ4),"")</f>
        <v/>
      </c>
      <c r="LV4" s="14" t="str">
        <f t="shared" ref="LV4:LV23" si="86">IF(SUM(LM4,LQ4)&gt;0,SUM(LM4,LQ4),"")</f>
        <v/>
      </c>
      <c r="LW4" s="14" t="str">
        <f t="shared" ref="LW4:LW23" si="87">IF(SUM(LL4:LM4,LO4:LQ4,LS4)-SUM(LN4,LR4)&gt;0,SUM(LL4:LM4,LO4:LQ4,LS4)-SUM(LN4,LR4),"")</f>
        <v/>
      </c>
      <c r="LX4" s="14" t="str">
        <f t="shared" ref="LX4:LX23" si="88">IF(SUM(LU4,LW4)&gt;0,SUM(LU4,LW4),"")</f>
        <v/>
      </c>
      <c r="LY4" s="61">
        <f t="shared" ref="LY4:LY23" si="89">IF($BY4="P",BI4,(BI4+AM4)/2)</f>
        <v>28.05</v>
      </c>
      <c r="LZ4" s="61">
        <f t="shared" ref="LZ4:LZ23" si="90">IF($BY4="P",BJ4,(BJ4+AN4)/2)</f>
        <v>5.6</v>
      </c>
      <c r="MA4" s="61">
        <f t="shared" ref="MA4:MA23" si="91">IF($BY4="P",BK4,(BK4+AO4)/2)</f>
        <v>0</v>
      </c>
      <c r="MB4" s="61">
        <f t="shared" ref="MB4:MB23" si="92">IF($BY4="P",BL4,(BL4+AP4)/2)</f>
        <v>0</v>
      </c>
      <c r="MC4" s="61">
        <f t="shared" ref="MC4:MC23" si="93">IF($BY4="P",BM4,(BM4+AQ4)/2)</f>
        <v>27.65</v>
      </c>
      <c r="MD4" s="61">
        <f t="shared" ref="MD4:MD23" si="94">IF($BY4="P",BN4,(BN4+AR4)/2)</f>
        <v>5.6</v>
      </c>
      <c r="ME4" s="61">
        <f t="shared" ref="ME4:ME23" si="95">IF($BY4="P",BO4,(BO4+AS4)/2)</f>
        <v>0</v>
      </c>
      <c r="MF4" s="61">
        <f t="shared" ref="MF4:MF23" si="96">IF($BY4="P",BP4,(BP4+AT4)/2)</f>
        <v>0</v>
      </c>
      <c r="MG4" s="61">
        <f t="shared" ref="MG4:MG23" si="97">IF($BY4="P",BQ4,(BQ4+AU4)/2)</f>
        <v>27.85</v>
      </c>
      <c r="MH4" s="61">
        <f t="shared" ref="MH4:MH23" si="98">IF($BY4="P",BR4,(BR4+AV4)/2)</f>
        <v>4.0999999999999996</v>
      </c>
      <c r="MI4" s="61">
        <f t="shared" ref="MI4:MI23" si="99">IF($BY4="P",BS4,(BS4+AW4)/2)</f>
        <v>1.1499999999999999</v>
      </c>
      <c r="MJ4" s="61">
        <f t="shared" ref="MJ4:MJ23" si="100">IF($BY4="P",BT4,(BT4+AX4)/2)</f>
        <v>0</v>
      </c>
      <c r="MK4" s="61">
        <f t="shared" ref="MK4:MK23" si="101">IF($BY4="P",BU4,(BU4+AY4)/2)</f>
        <v>23.65</v>
      </c>
      <c r="ML4" s="61">
        <f t="shared" ref="ML4:ML23" si="102">IF($BY4="P",BV4,(BV4+AZ4)/2)</f>
        <v>4.2</v>
      </c>
      <c r="MM4" s="61">
        <f t="shared" ref="MM4:MM23" si="103">IF($BY4="P",BW4,(BW4+BA4)/2)</f>
        <v>0</v>
      </c>
      <c r="MN4" s="61">
        <f t="shared" ref="MN4:MN23" si="104">IF($BY4="P",BX4,(BX4+BB4)/2)</f>
        <v>0.3</v>
      </c>
      <c r="MO4" s="72" t="s">
        <v>52</v>
      </c>
      <c r="MP4" s="11">
        <f t="shared" ref="MP4:MP23" si="105">IF(SUM(LZ4,MD4)&gt;0,SUM(LZ4,MD4),"")</f>
        <v>11.2</v>
      </c>
      <c r="MQ4" s="11">
        <f t="shared" ref="MQ4:MQ23" si="106">IF(SUM(LY4:LZ4,MB4:MD4,MF4)-SUM(MA4,ME4)&gt;0,SUM(LY4:LZ4,MB4:MD4,MF4)-SUM(MA4,ME4),"")</f>
        <v>66.899999999999991</v>
      </c>
      <c r="MR4" s="11">
        <f t="shared" ref="MR4:MR23" si="107">IF(SUM(MH4,ML4)&gt;0,SUM(MH4,ML4),"")</f>
        <v>8.3000000000000007</v>
      </c>
      <c r="MS4" s="11">
        <f t="shared" ref="MS4:MS23" si="108">IF(SUM(MG4:MH4,MJ4:ML4,MN4)-SUM(MI4,MM4)&gt;0,SUM(MG4:MH4,MJ4:ML4,MN4)-SUM(MI4,MM4),"")</f>
        <v>58.95</v>
      </c>
      <c r="MT4" s="11">
        <f t="shared" ref="MT4:MT23" si="109">IF(SUM(MQ4,MS4)&gt;0,SUM(MQ4,MS4),"")</f>
        <v>125.85</v>
      </c>
    </row>
    <row r="5" spans="1:358" x14ac:dyDescent="0.2">
      <c r="A5" s="5">
        <f t="shared" si="0"/>
        <v>2</v>
      </c>
      <c r="B5" s="8" t="s">
        <v>107</v>
      </c>
      <c r="C5" s="4" t="s">
        <v>5</v>
      </c>
      <c r="D5" s="5">
        <v>2004</v>
      </c>
      <c r="E5" s="15">
        <f t="shared" ref="E5:E23" si="110">SUM(J5:N5)</f>
        <v>199</v>
      </c>
      <c r="F5" s="3" t="str">
        <f t="shared" si="1"/>
        <v>P</v>
      </c>
      <c r="G5" s="3" t="str">
        <f t="shared" si="2"/>
        <v>P</v>
      </c>
      <c r="H5" s="116" t="str">
        <f t="shared" si="3"/>
        <v>National Team</v>
      </c>
      <c r="I5" s="3" t="str">
        <f t="shared" si="4"/>
        <v/>
      </c>
      <c r="J5" s="14">
        <f t="shared" si="5"/>
        <v>67.3</v>
      </c>
      <c r="K5" s="14" t="str">
        <f t="shared" si="6"/>
        <v>2021 Canadian Championships</v>
      </c>
      <c r="L5" s="14">
        <f t="shared" si="7"/>
        <v>131.70000000000002</v>
      </c>
      <c r="M5" s="14" t="str">
        <f t="shared" si="8"/>
        <v>2021 2nd Virtual Technical Trial</v>
      </c>
      <c r="N5" s="14" t="str">
        <f t="shared" si="9"/>
        <v/>
      </c>
      <c r="O5" s="24" t="str">
        <f t="shared" si="10"/>
        <v/>
      </c>
      <c r="P5" s="14" t="str">
        <f t="shared" si="11"/>
        <v/>
      </c>
      <c r="Q5" s="61">
        <v>28.5</v>
      </c>
      <c r="R5" s="61">
        <v>5.2</v>
      </c>
      <c r="S5" s="61">
        <v>0</v>
      </c>
      <c r="T5" s="61">
        <v>0</v>
      </c>
      <c r="U5" s="61">
        <v>28.5</v>
      </c>
      <c r="V5" s="61">
        <v>5.2</v>
      </c>
      <c r="W5" s="61">
        <v>0.3</v>
      </c>
      <c r="X5" s="61">
        <v>0</v>
      </c>
      <c r="Y5" s="61">
        <v>28</v>
      </c>
      <c r="Z5" s="61">
        <v>4.4000000000000004</v>
      </c>
      <c r="AA5" s="61">
        <v>0</v>
      </c>
      <c r="AB5" s="61">
        <v>0</v>
      </c>
      <c r="AC5" s="61">
        <v>28.8</v>
      </c>
      <c r="AD5" s="61">
        <v>3.7</v>
      </c>
      <c r="AE5" s="61">
        <v>0.3</v>
      </c>
      <c r="AF5" s="61">
        <v>0</v>
      </c>
      <c r="AG5" s="72"/>
      <c r="AH5" s="11">
        <f t="shared" si="12"/>
        <v>10.4</v>
      </c>
      <c r="AI5" s="11">
        <f t="shared" si="13"/>
        <v>67.100000000000009</v>
      </c>
      <c r="AJ5" s="11">
        <f t="shared" si="14"/>
        <v>8.1000000000000014</v>
      </c>
      <c r="AK5" s="11">
        <f t="shared" si="15"/>
        <v>64.600000000000009</v>
      </c>
      <c r="AL5" s="11">
        <f t="shared" si="16"/>
        <v>131.70000000000002</v>
      </c>
      <c r="AM5" s="36">
        <v>28.3</v>
      </c>
      <c r="AN5" s="36">
        <v>5.2</v>
      </c>
      <c r="AO5" s="36">
        <v>1.2</v>
      </c>
      <c r="AP5" s="36">
        <v>0</v>
      </c>
      <c r="AQ5" s="36">
        <v>28.2</v>
      </c>
      <c r="AR5" s="36">
        <v>5.6</v>
      </c>
      <c r="AS5" s="36">
        <v>0.9</v>
      </c>
      <c r="AT5" s="36">
        <v>0</v>
      </c>
      <c r="AU5" s="36">
        <v>27.7</v>
      </c>
      <c r="AV5" s="36">
        <v>4.8</v>
      </c>
      <c r="AW5" s="36">
        <v>0.9</v>
      </c>
      <c r="AX5" s="36">
        <v>0</v>
      </c>
      <c r="AY5" s="36">
        <v>27.6</v>
      </c>
      <c r="AZ5" s="36">
        <v>3.5</v>
      </c>
      <c r="BA5" s="36">
        <v>1.2</v>
      </c>
      <c r="BB5" s="36">
        <v>0</v>
      </c>
      <c r="BC5" s="73"/>
      <c r="BD5" s="14">
        <f t="shared" si="17"/>
        <v>10.8</v>
      </c>
      <c r="BE5" s="14">
        <f t="shared" si="18"/>
        <v>65.2</v>
      </c>
      <c r="BF5" s="14">
        <f t="shared" si="19"/>
        <v>8.3000000000000007</v>
      </c>
      <c r="BG5" s="14">
        <f t="shared" si="20"/>
        <v>61.5</v>
      </c>
      <c r="BH5" s="14">
        <f t="shared" si="21"/>
        <v>126.7</v>
      </c>
      <c r="BI5" s="61">
        <v>28.4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</v>
      </c>
      <c r="BP5" s="61">
        <v>0</v>
      </c>
      <c r="BQ5" s="61">
        <v>27.5</v>
      </c>
      <c r="BR5" s="61">
        <v>5.2</v>
      </c>
      <c r="BS5" s="61">
        <v>0</v>
      </c>
      <c r="BT5" s="61">
        <v>0</v>
      </c>
      <c r="BU5" s="61">
        <v>27.6</v>
      </c>
      <c r="BV5" s="61">
        <v>4.8</v>
      </c>
      <c r="BW5" s="61">
        <v>0</v>
      </c>
      <c r="BX5" s="61">
        <v>0</v>
      </c>
      <c r="BY5" s="72"/>
      <c r="BZ5" s="11">
        <f t="shared" si="22"/>
        <v>10.4</v>
      </c>
      <c r="CA5" s="11">
        <f t="shared" si="23"/>
        <v>67.3</v>
      </c>
      <c r="CB5" s="11">
        <f t="shared" si="24"/>
        <v>10</v>
      </c>
      <c r="CC5" s="11">
        <f t="shared" si="25"/>
        <v>65.100000000000009</v>
      </c>
      <c r="CD5" s="11">
        <f t="shared" si="26"/>
        <v>132.4</v>
      </c>
      <c r="CE5" s="23" t="str">
        <f t="shared" si="27"/>
        <v/>
      </c>
      <c r="CF5" s="23" t="str">
        <f t="shared" si="28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29"/>
        <v/>
      </c>
      <c r="CX5" s="11" t="str">
        <f t="shared" si="30"/>
        <v/>
      </c>
      <c r="CY5" s="11" t="str">
        <f t="shared" si="31"/>
        <v/>
      </c>
      <c r="CZ5" s="11" t="str">
        <f t="shared" si="32"/>
        <v/>
      </c>
      <c r="DA5" s="11" t="str">
        <f t="shared" si="33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4"/>
        <v/>
      </c>
      <c r="DS5" s="14" t="str">
        <f t="shared" si="35"/>
        <v/>
      </c>
      <c r="DT5" s="14" t="str">
        <f t="shared" si="36"/>
        <v/>
      </c>
      <c r="DU5" s="14" t="str">
        <f t="shared" si="37"/>
        <v/>
      </c>
      <c r="DV5" s="14" t="str">
        <f t="shared" si="38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39"/>
        <v/>
      </c>
      <c r="EN5" s="11" t="str">
        <f t="shared" si="40"/>
        <v/>
      </c>
      <c r="EO5" s="11" t="str">
        <f t="shared" si="41"/>
        <v/>
      </c>
      <c r="EP5" s="11" t="str">
        <f t="shared" si="42"/>
        <v/>
      </c>
      <c r="EQ5" s="11" t="str">
        <f t="shared" si="43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4"/>
        <v/>
      </c>
      <c r="FI5" s="14" t="str">
        <f t="shared" si="45"/>
        <v/>
      </c>
      <c r="FJ5" s="14" t="str">
        <f t="shared" si="46"/>
        <v/>
      </c>
      <c r="FK5" s="14" t="str">
        <f t="shared" si="47"/>
        <v/>
      </c>
      <c r="FL5" s="14" t="str">
        <f t="shared" si="48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49"/>
        <v/>
      </c>
      <c r="GD5" s="11" t="str">
        <f t="shared" si="50"/>
        <v/>
      </c>
      <c r="GE5" s="11" t="str">
        <f t="shared" si="51"/>
        <v/>
      </c>
      <c r="GF5" s="11" t="str">
        <f t="shared" si="52"/>
        <v/>
      </c>
      <c r="GG5" s="11" t="str">
        <f t="shared" si="53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4"/>
        <v/>
      </c>
      <c r="GY5" s="14" t="str">
        <f t="shared" si="55"/>
        <v/>
      </c>
      <c r="GZ5" s="14" t="str">
        <f t="shared" si="56"/>
        <v/>
      </c>
      <c r="HA5" s="14" t="str">
        <f t="shared" si="57"/>
        <v/>
      </c>
      <c r="HB5" s="14" t="str">
        <f t="shared" si="58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59"/>
        <v/>
      </c>
      <c r="HT5" s="11" t="str">
        <f t="shared" si="60"/>
        <v/>
      </c>
      <c r="HU5" s="11" t="str">
        <f t="shared" si="61"/>
        <v/>
      </c>
      <c r="HV5" s="11" t="str">
        <f t="shared" si="62"/>
        <v/>
      </c>
      <c r="HW5" s="11" t="str">
        <f t="shared" si="63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4"/>
        <v/>
      </c>
      <c r="IO5" s="14" t="str">
        <f t="shared" si="65"/>
        <v/>
      </c>
      <c r="IP5" s="14" t="str">
        <f t="shared" si="66"/>
        <v/>
      </c>
      <c r="IQ5" s="14" t="str">
        <f t="shared" si="67"/>
        <v/>
      </c>
      <c r="IR5" s="14" t="str">
        <f t="shared" si="68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69"/>
        <v/>
      </c>
      <c r="JJ5" s="11" t="str">
        <f t="shared" si="70"/>
        <v/>
      </c>
      <c r="JK5" s="11" t="str">
        <f t="shared" si="71"/>
        <v/>
      </c>
      <c r="JL5" s="11" t="str">
        <f t="shared" si="72"/>
        <v/>
      </c>
      <c r="JM5" s="11" t="str">
        <f t="shared" si="73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4"/>
        <v/>
      </c>
      <c r="KE5" s="14" t="str">
        <f t="shared" si="75"/>
        <v/>
      </c>
      <c r="KF5" s="14" t="str">
        <f t="shared" si="76"/>
        <v/>
      </c>
      <c r="KG5" s="14" t="str">
        <f t="shared" si="77"/>
        <v/>
      </c>
      <c r="KH5" s="14" t="str">
        <f t="shared" si="78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79"/>
        <v/>
      </c>
      <c r="KZ5" s="11" t="str">
        <f t="shared" si="80"/>
        <v/>
      </c>
      <c r="LA5" s="11" t="str">
        <f t="shared" si="81"/>
        <v/>
      </c>
      <c r="LB5" s="11" t="str">
        <f t="shared" si="82"/>
        <v/>
      </c>
      <c r="LC5" s="11" t="str">
        <f t="shared" si="83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4"/>
        <v/>
      </c>
      <c r="LU5" s="14" t="str">
        <f t="shared" si="85"/>
        <v/>
      </c>
      <c r="LV5" s="14" t="str">
        <f t="shared" si="86"/>
        <v/>
      </c>
      <c r="LW5" s="14" t="str">
        <f t="shared" si="87"/>
        <v/>
      </c>
      <c r="LX5" s="14" t="str">
        <f t="shared" si="88"/>
        <v/>
      </c>
      <c r="LY5" s="61">
        <f t="shared" si="89"/>
        <v>28.35</v>
      </c>
      <c r="LZ5" s="61">
        <f t="shared" si="90"/>
        <v>5.2</v>
      </c>
      <c r="MA5" s="61">
        <f t="shared" si="91"/>
        <v>0.6</v>
      </c>
      <c r="MB5" s="61">
        <f t="shared" si="92"/>
        <v>0</v>
      </c>
      <c r="MC5" s="61">
        <f t="shared" si="93"/>
        <v>28.35</v>
      </c>
      <c r="MD5" s="61">
        <f t="shared" si="94"/>
        <v>5.4</v>
      </c>
      <c r="ME5" s="61">
        <f t="shared" si="95"/>
        <v>0.45</v>
      </c>
      <c r="MF5" s="61">
        <f t="shared" si="96"/>
        <v>0</v>
      </c>
      <c r="MG5" s="61">
        <f t="shared" si="97"/>
        <v>27.6</v>
      </c>
      <c r="MH5" s="61">
        <f t="shared" si="98"/>
        <v>5</v>
      </c>
      <c r="MI5" s="61">
        <f t="shared" si="99"/>
        <v>0.45</v>
      </c>
      <c r="MJ5" s="61">
        <f t="shared" si="100"/>
        <v>0</v>
      </c>
      <c r="MK5" s="61">
        <f t="shared" si="101"/>
        <v>27.6</v>
      </c>
      <c r="ML5" s="61">
        <f t="shared" si="102"/>
        <v>4.1500000000000004</v>
      </c>
      <c r="MM5" s="61">
        <f t="shared" si="103"/>
        <v>0.6</v>
      </c>
      <c r="MN5" s="61">
        <f t="shared" si="104"/>
        <v>0</v>
      </c>
      <c r="MO5" s="72" t="s">
        <v>52</v>
      </c>
      <c r="MP5" s="11">
        <f t="shared" si="105"/>
        <v>10.600000000000001</v>
      </c>
      <c r="MQ5" s="11">
        <f t="shared" si="106"/>
        <v>66.250000000000014</v>
      </c>
      <c r="MR5" s="11">
        <f t="shared" si="107"/>
        <v>9.15</v>
      </c>
      <c r="MS5" s="11">
        <f t="shared" si="108"/>
        <v>63.300000000000011</v>
      </c>
      <c r="MT5" s="11">
        <f t="shared" si="109"/>
        <v>129.55000000000001</v>
      </c>
    </row>
    <row r="6" spans="1:358" x14ac:dyDescent="0.2">
      <c r="A6" s="5">
        <f t="shared" si="0"/>
        <v>3</v>
      </c>
      <c r="B6" s="8" t="s">
        <v>110</v>
      </c>
      <c r="C6" s="4" t="s">
        <v>5</v>
      </c>
      <c r="D6" s="5">
        <v>2001</v>
      </c>
      <c r="E6" s="15">
        <f t="shared" si="110"/>
        <v>176.39999999999998</v>
      </c>
      <c r="F6" s="3" t="str">
        <f t="shared" si="1"/>
        <v>P</v>
      </c>
      <c r="G6" s="3" t="str">
        <f t="shared" si="2"/>
        <v>P</v>
      </c>
      <c r="H6" s="116" t="str">
        <f t="shared" si="3"/>
        <v>National Team</v>
      </c>
      <c r="I6" s="3" t="str">
        <f t="shared" si="4"/>
        <v/>
      </c>
      <c r="J6" s="14">
        <f t="shared" si="5"/>
        <v>67.999999999999986</v>
      </c>
      <c r="K6" s="14" t="str">
        <f t="shared" si="6"/>
        <v>2021 Canadian Championships</v>
      </c>
      <c r="L6" s="14">
        <f t="shared" si="7"/>
        <v>108.39999999999999</v>
      </c>
      <c r="M6" s="14" t="str">
        <f t="shared" si="8"/>
        <v>2021 2nd Virtual Technical Trial</v>
      </c>
      <c r="N6" s="14" t="str">
        <f t="shared" si="9"/>
        <v/>
      </c>
      <c r="O6" s="24" t="str">
        <f t="shared" si="10"/>
        <v/>
      </c>
      <c r="P6" s="14" t="str">
        <f t="shared" si="11"/>
        <v/>
      </c>
      <c r="Q6" s="61">
        <v>19.8</v>
      </c>
      <c r="R6" s="61">
        <v>2.4</v>
      </c>
      <c r="S6" s="61">
        <v>0</v>
      </c>
      <c r="T6" s="61">
        <v>0</v>
      </c>
      <c r="U6" s="61">
        <v>19.600000000000001</v>
      </c>
      <c r="V6" s="61">
        <v>2.8</v>
      </c>
      <c r="W6" s="61">
        <v>0</v>
      </c>
      <c r="X6" s="61">
        <v>0</v>
      </c>
      <c r="Y6" s="61">
        <v>27.9</v>
      </c>
      <c r="Z6" s="61">
        <v>4.3</v>
      </c>
      <c r="AA6" s="61">
        <v>0.4</v>
      </c>
      <c r="AB6" s="61">
        <v>0.3</v>
      </c>
      <c r="AC6" s="61">
        <v>27.1</v>
      </c>
      <c r="AD6" s="61">
        <v>5.2</v>
      </c>
      <c r="AE6" s="61">
        <v>0.9</v>
      </c>
      <c r="AF6" s="61">
        <v>0.3</v>
      </c>
      <c r="AG6" s="72"/>
      <c r="AH6" s="11">
        <f t="shared" si="12"/>
        <v>5.1999999999999993</v>
      </c>
      <c r="AI6" s="11">
        <f t="shared" si="13"/>
        <v>44.599999999999994</v>
      </c>
      <c r="AJ6" s="11">
        <f t="shared" si="14"/>
        <v>9.5</v>
      </c>
      <c r="AK6" s="11">
        <f t="shared" si="15"/>
        <v>63.8</v>
      </c>
      <c r="AL6" s="11">
        <f t="shared" si="16"/>
        <v>108.39999999999999</v>
      </c>
      <c r="AM6" s="36">
        <v>27.4</v>
      </c>
      <c r="AN6" s="36">
        <v>6.4</v>
      </c>
      <c r="AO6" s="36">
        <v>0</v>
      </c>
      <c r="AP6" s="36">
        <v>0</v>
      </c>
      <c r="AQ6" s="36">
        <v>19.7</v>
      </c>
      <c r="AR6" s="36">
        <v>2.4</v>
      </c>
      <c r="AS6" s="36">
        <v>0</v>
      </c>
      <c r="AT6" s="36">
        <v>0</v>
      </c>
      <c r="AU6" s="36"/>
      <c r="AV6" s="36"/>
      <c r="AW6" s="36"/>
      <c r="AX6" s="36"/>
      <c r="AY6" s="36"/>
      <c r="AZ6" s="36"/>
      <c r="BA6" s="36"/>
      <c r="BB6" s="36"/>
      <c r="BC6" s="73"/>
      <c r="BD6" s="14">
        <f t="shared" si="17"/>
        <v>8.8000000000000007</v>
      </c>
      <c r="BE6" s="14">
        <f t="shared" si="18"/>
        <v>55.9</v>
      </c>
      <c r="BF6" s="14" t="str">
        <f t="shared" si="19"/>
        <v/>
      </c>
      <c r="BG6" s="14" t="str">
        <f t="shared" si="20"/>
        <v/>
      </c>
      <c r="BH6" s="14">
        <f t="shared" si="21"/>
        <v>55.9</v>
      </c>
      <c r="BI6" s="61">
        <v>28.2</v>
      </c>
      <c r="BJ6" s="61">
        <v>6.4</v>
      </c>
      <c r="BK6" s="61">
        <v>0</v>
      </c>
      <c r="BL6" s="61">
        <v>0</v>
      </c>
      <c r="BM6" s="61">
        <v>28</v>
      </c>
      <c r="BN6" s="61">
        <v>6</v>
      </c>
      <c r="BO6" s="61">
        <v>0.9</v>
      </c>
      <c r="BP6" s="61">
        <v>0.3</v>
      </c>
      <c r="BQ6" s="61">
        <v>26.9</v>
      </c>
      <c r="BR6" s="61">
        <v>3.1</v>
      </c>
      <c r="BS6" s="61">
        <v>2.5</v>
      </c>
      <c r="BT6" s="61">
        <v>0</v>
      </c>
      <c r="BU6" s="61">
        <v>0</v>
      </c>
      <c r="BV6" s="61">
        <v>0</v>
      </c>
      <c r="BW6" s="61">
        <v>0</v>
      </c>
      <c r="BX6" s="61">
        <v>0</v>
      </c>
      <c r="BY6" s="72"/>
      <c r="BZ6" s="11">
        <f t="shared" si="22"/>
        <v>12.4</v>
      </c>
      <c r="CA6" s="11">
        <f t="shared" si="23"/>
        <v>67.999999999999986</v>
      </c>
      <c r="CB6" s="11">
        <f t="shared" si="24"/>
        <v>3.1</v>
      </c>
      <c r="CC6" s="11">
        <f t="shared" si="25"/>
        <v>27.5</v>
      </c>
      <c r="CD6" s="11">
        <f t="shared" si="26"/>
        <v>95.499999999999986</v>
      </c>
      <c r="CE6" s="23" t="str">
        <f t="shared" si="27"/>
        <v/>
      </c>
      <c r="CF6" s="23" t="str">
        <f t="shared" si="28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29"/>
        <v/>
      </c>
      <c r="CX6" s="11" t="str">
        <f t="shared" si="30"/>
        <v/>
      </c>
      <c r="CY6" s="11" t="str">
        <f t="shared" si="31"/>
        <v/>
      </c>
      <c r="CZ6" s="11" t="str">
        <f t="shared" si="32"/>
        <v/>
      </c>
      <c r="DA6" s="11" t="str">
        <f t="shared" si="33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4"/>
        <v/>
      </c>
      <c r="DS6" s="14" t="str">
        <f t="shared" si="35"/>
        <v/>
      </c>
      <c r="DT6" s="14" t="str">
        <f t="shared" si="36"/>
        <v/>
      </c>
      <c r="DU6" s="14" t="str">
        <f t="shared" si="37"/>
        <v/>
      </c>
      <c r="DV6" s="14" t="str">
        <f t="shared" si="38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39"/>
        <v/>
      </c>
      <c r="EN6" s="11" t="str">
        <f t="shared" si="40"/>
        <v/>
      </c>
      <c r="EO6" s="11" t="str">
        <f t="shared" si="41"/>
        <v/>
      </c>
      <c r="EP6" s="11" t="str">
        <f t="shared" si="42"/>
        <v/>
      </c>
      <c r="EQ6" s="11" t="str">
        <f t="shared" si="43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4"/>
        <v/>
      </c>
      <c r="FI6" s="14" t="str">
        <f t="shared" si="45"/>
        <v/>
      </c>
      <c r="FJ6" s="14" t="str">
        <f t="shared" si="46"/>
        <v/>
      </c>
      <c r="FK6" s="14" t="str">
        <f t="shared" si="47"/>
        <v/>
      </c>
      <c r="FL6" s="14" t="str">
        <f t="shared" si="48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49"/>
        <v/>
      </c>
      <c r="GD6" s="11" t="str">
        <f t="shared" si="50"/>
        <v/>
      </c>
      <c r="GE6" s="11" t="str">
        <f t="shared" si="51"/>
        <v/>
      </c>
      <c r="GF6" s="11" t="str">
        <f t="shared" si="52"/>
        <v/>
      </c>
      <c r="GG6" s="11" t="str">
        <f t="shared" si="53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4"/>
        <v/>
      </c>
      <c r="GY6" s="14" t="str">
        <f t="shared" si="55"/>
        <v/>
      </c>
      <c r="GZ6" s="14" t="str">
        <f t="shared" si="56"/>
        <v/>
      </c>
      <c r="HA6" s="14" t="str">
        <f t="shared" si="57"/>
        <v/>
      </c>
      <c r="HB6" s="14" t="str">
        <f t="shared" si="58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59"/>
        <v/>
      </c>
      <c r="HT6" s="11" t="str">
        <f t="shared" si="60"/>
        <v/>
      </c>
      <c r="HU6" s="11" t="str">
        <f t="shared" si="61"/>
        <v/>
      </c>
      <c r="HV6" s="11" t="str">
        <f t="shared" si="62"/>
        <v/>
      </c>
      <c r="HW6" s="11" t="str">
        <f t="shared" si="63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4"/>
        <v/>
      </c>
      <c r="IO6" s="14" t="str">
        <f t="shared" si="65"/>
        <v/>
      </c>
      <c r="IP6" s="14" t="str">
        <f t="shared" si="66"/>
        <v/>
      </c>
      <c r="IQ6" s="14" t="str">
        <f t="shared" si="67"/>
        <v/>
      </c>
      <c r="IR6" s="14" t="str">
        <f t="shared" si="68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69"/>
        <v/>
      </c>
      <c r="JJ6" s="11" t="str">
        <f t="shared" si="70"/>
        <v/>
      </c>
      <c r="JK6" s="11" t="str">
        <f t="shared" si="71"/>
        <v/>
      </c>
      <c r="JL6" s="11" t="str">
        <f t="shared" si="72"/>
        <v/>
      </c>
      <c r="JM6" s="11" t="str">
        <f t="shared" si="73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4"/>
        <v/>
      </c>
      <c r="KE6" s="14" t="str">
        <f t="shared" si="75"/>
        <v/>
      </c>
      <c r="KF6" s="14" t="str">
        <f t="shared" si="76"/>
        <v/>
      </c>
      <c r="KG6" s="14" t="str">
        <f t="shared" si="77"/>
        <v/>
      </c>
      <c r="KH6" s="14" t="str">
        <f t="shared" si="78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79"/>
        <v/>
      </c>
      <c r="KZ6" s="11" t="str">
        <f t="shared" si="80"/>
        <v/>
      </c>
      <c r="LA6" s="11" t="str">
        <f t="shared" si="81"/>
        <v/>
      </c>
      <c r="LB6" s="11" t="str">
        <f t="shared" si="82"/>
        <v/>
      </c>
      <c r="LC6" s="11" t="str">
        <f t="shared" si="83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4"/>
        <v/>
      </c>
      <c r="LU6" s="14" t="str">
        <f t="shared" si="85"/>
        <v/>
      </c>
      <c r="LV6" s="14" t="str">
        <f t="shared" si="86"/>
        <v/>
      </c>
      <c r="LW6" s="14" t="str">
        <f t="shared" si="87"/>
        <v/>
      </c>
      <c r="LX6" s="14" t="str">
        <f t="shared" si="88"/>
        <v/>
      </c>
      <c r="LY6" s="61">
        <f t="shared" si="89"/>
        <v>27.799999999999997</v>
      </c>
      <c r="LZ6" s="61">
        <f t="shared" si="90"/>
        <v>6.4</v>
      </c>
      <c r="MA6" s="61">
        <f t="shared" si="91"/>
        <v>0</v>
      </c>
      <c r="MB6" s="61">
        <f t="shared" si="92"/>
        <v>0</v>
      </c>
      <c r="MC6" s="61">
        <f t="shared" si="93"/>
        <v>23.85</v>
      </c>
      <c r="MD6" s="61">
        <f t="shared" si="94"/>
        <v>4.2</v>
      </c>
      <c r="ME6" s="61">
        <f t="shared" si="95"/>
        <v>0.45</v>
      </c>
      <c r="MF6" s="61">
        <f t="shared" si="96"/>
        <v>0.15</v>
      </c>
      <c r="MG6" s="61">
        <f t="shared" si="97"/>
        <v>13.45</v>
      </c>
      <c r="MH6" s="61">
        <f t="shared" si="98"/>
        <v>1.55</v>
      </c>
      <c r="MI6" s="61">
        <f t="shared" si="99"/>
        <v>1.25</v>
      </c>
      <c r="MJ6" s="61">
        <f t="shared" si="100"/>
        <v>0</v>
      </c>
      <c r="MK6" s="61">
        <f t="shared" si="101"/>
        <v>0</v>
      </c>
      <c r="ML6" s="61">
        <f t="shared" si="102"/>
        <v>0</v>
      </c>
      <c r="MM6" s="61">
        <f t="shared" si="103"/>
        <v>0</v>
      </c>
      <c r="MN6" s="61">
        <f t="shared" si="104"/>
        <v>0</v>
      </c>
      <c r="MO6" s="72" t="s">
        <v>52</v>
      </c>
      <c r="MP6" s="11">
        <f t="shared" si="105"/>
        <v>10.600000000000001</v>
      </c>
      <c r="MQ6" s="11">
        <f t="shared" si="106"/>
        <v>61.949999999999996</v>
      </c>
      <c r="MR6" s="11">
        <f t="shared" si="107"/>
        <v>1.55</v>
      </c>
      <c r="MS6" s="11">
        <f t="shared" si="108"/>
        <v>13.75</v>
      </c>
      <c r="MT6" s="11">
        <f t="shared" si="109"/>
        <v>75.699999999999989</v>
      </c>
    </row>
    <row r="7" spans="1:358" x14ac:dyDescent="0.2">
      <c r="A7" s="5">
        <f t="shared" si="0"/>
        <v>4</v>
      </c>
      <c r="B7" s="8" t="s">
        <v>88</v>
      </c>
      <c r="C7" s="4" t="s">
        <v>4</v>
      </c>
      <c r="D7" s="5">
        <v>2003</v>
      </c>
      <c r="E7" s="15">
        <f t="shared" si="110"/>
        <v>161</v>
      </c>
      <c r="F7" s="3" t="str">
        <f t="shared" si="1"/>
        <v>P</v>
      </c>
      <c r="G7" s="3" t="str">
        <f t="shared" si="2"/>
        <v>P</v>
      </c>
      <c r="H7" s="116" t="str">
        <f t="shared" si="3"/>
        <v>National Team</v>
      </c>
      <c r="I7" s="3" t="str">
        <f t="shared" si="4"/>
        <v/>
      </c>
      <c r="J7" s="14">
        <f t="shared" si="5"/>
        <v>66.900000000000006</v>
      </c>
      <c r="K7" s="14" t="str">
        <f t="shared" si="6"/>
        <v>2021 2nd Virtual Technical Trial</v>
      </c>
      <c r="L7" s="14">
        <f t="shared" si="7"/>
        <v>94.1</v>
      </c>
      <c r="M7" s="14" t="str">
        <f t="shared" si="8"/>
        <v>2021 Elite Canada</v>
      </c>
      <c r="N7" s="14" t="str">
        <f t="shared" si="9"/>
        <v/>
      </c>
      <c r="O7" s="24" t="str">
        <f t="shared" si="10"/>
        <v/>
      </c>
      <c r="P7" s="14" t="str">
        <f t="shared" si="11"/>
        <v/>
      </c>
      <c r="Q7" s="61">
        <v>28.1</v>
      </c>
      <c r="R7" s="61">
        <v>5.6</v>
      </c>
      <c r="S7" s="61">
        <v>0</v>
      </c>
      <c r="T7" s="61">
        <v>0</v>
      </c>
      <c r="U7" s="61">
        <v>27.5</v>
      </c>
      <c r="V7" s="61">
        <v>6</v>
      </c>
      <c r="W7" s="61">
        <v>0.3</v>
      </c>
      <c r="X7" s="61">
        <v>0</v>
      </c>
      <c r="Y7" s="61">
        <v>27</v>
      </c>
      <c r="Z7" s="61">
        <v>5.6</v>
      </c>
      <c r="AA7" s="61">
        <v>0.9</v>
      </c>
      <c r="AB7" s="61">
        <v>0</v>
      </c>
      <c r="AC7" s="61">
        <v>26.5</v>
      </c>
      <c r="AD7" s="61">
        <v>4.4000000000000004</v>
      </c>
      <c r="AE7" s="61">
        <v>0</v>
      </c>
      <c r="AF7" s="61">
        <v>0</v>
      </c>
      <c r="AG7" s="72"/>
      <c r="AH7" s="11">
        <f t="shared" si="12"/>
        <v>11.6</v>
      </c>
      <c r="AI7" s="11">
        <f t="shared" si="13"/>
        <v>66.900000000000006</v>
      </c>
      <c r="AJ7" s="11">
        <f t="shared" si="14"/>
        <v>10</v>
      </c>
      <c r="AK7" s="11">
        <f t="shared" si="15"/>
        <v>62.6</v>
      </c>
      <c r="AL7" s="11">
        <f t="shared" si="16"/>
        <v>129.5</v>
      </c>
      <c r="AM7" s="36">
        <v>27.3</v>
      </c>
      <c r="AN7" s="36">
        <v>6</v>
      </c>
      <c r="AO7" s="36">
        <v>0.3</v>
      </c>
      <c r="AP7" s="36">
        <v>0</v>
      </c>
      <c r="AQ7" s="36">
        <v>27.1</v>
      </c>
      <c r="AR7" s="36">
        <v>3.6</v>
      </c>
      <c r="AS7" s="36">
        <v>1.7</v>
      </c>
      <c r="AT7" s="36">
        <v>0.3</v>
      </c>
      <c r="AU7" s="36">
        <v>27.7</v>
      </c>
      <c r="AV7" s="36">
        <v>4.4000000000000004</v>
      </c>
      <c r="AW7" s="36">
        <v>0.3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73"/>
      <c r="BD7" s="14">
        <f t="shared" si="17"/>
        <v>9.6</v>
      </c>
      <c r="BE7" s="14">
        <f t="shared" si="18"/>
        <v>62.3</v>
      </c>
      <c r="BF7" s="14">
        <f t="shared" si="19"/>
        <v>4.4000000000000004</v>
      </c>
      <c r="BG7" s="14">
        <f t="shared" si="20"/>
        <v>31.8</v>
      </c>
      <c r="BH7" s="14">
        <f t="shared" si="21"/>
        <v>94.1</v>
      </c>
      <c r="BI7" s="61">
        <v>27.9</v>
      </c>
      <c r="BJ7" s="61">
        <v>5.6</v>
      </c>
      <c r="BK7" s="61">
        <v>0</v>
      </c>
      <c r="BL7" s="61">
        <v>0</v>
      </c>
      <c r="BM7" s="61">
        <v>19.8</v>
      </c>
      <c r="BN7" s="61">
        <v>2.4</v>
      </c>
      <c r="BO7" s="61">
        <v>0</v>
      </c>
      <c r="BP7" s="61">
        <v>0</v>
      </c>
      <c r="BQ7" s="61"/>
      <c r="BR7" s="61"/>
      <c r="BS7" s="61"/>
      <c r="BT7" s="61"/>
      <c r="BU7" s="61"/>
      <c r="BV7" s="61"/>
      <c r="BW7" s="61"/>
      <c r="BX7" s="61"/>
      <c r="BY7" s="72"/>
      <c r="BZ7" s="11">
        <f t="shared" si="22"/>
        <v>8</v>
      </c>
      <c r="CA7" s="11">
        <f t="shared" si="23"/>
        <v>55.699999999999996</v>
      </c>
      <c r="CB7" s="11" t="str">
        <f t="shared" si="24"/>
        <v/>
      </c>
      <c r="CC7" s="11" t="str">
        <f t="shared" si="25"/>
        <v/>
      </c>
      <c r="CD7" s="11">
        <f t="shared" si="26"/>
        <v>55.699999999999996</v>
      </c>
      <c r="CE7" s="23" t="str">
        <f t="shared" si="27"/>
        <v/>
      </c>
      <c r="CF7" s="23" t="str">
        <f t="shared" si="28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29"/>
        <v/>
      </c>
      <c r="CX7" s="11" t="str">
        <f t="shared" si="30"/>
        <v/>
      </c>
      <c r="CY7" s="11" t="str">
        <f t="shared" si="31"/>
        <v/>
      </c>
      <c r="CZ7" s="11" t="str">
        <f t="shared" si="32"/>
        <v/>
      </c>
      <c r="DA7" s="11" t="str">
        <f t="shared" si="33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4"/>
        <v/>
      </c>
      <c r="DS7" s="14" t="str">
        <f t="shared" si="35"/>
        <v/>
      </c>
      <c r="DT7" s="14" t="str">
        <f t="shared" si="36"/>
        <v/>
      </c>
      <c r="DU7" s="14" t="str">
        <f t="shared" si="37"/>
        <v/>
      </c>
      <c r="DV7" s="14" t="str">
        <f t="shared" si="38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39"/>
        <v/>
      </c>
      <c r="EN7" s="11" t="str">
        <f t="shared" si="40"/>
        <v/>
      </c>
      <c r="EO7" s="11" t="str">
        <f t="shared" si="41"/>
        <v/>
      </c>
      <c r="EP7" s="11" t="str">
        <f t="shared" si="42"/>
        <v/>
      </c>
      <c r="EQ7" s="11" t="str">
        <f t="shared" si="43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4"/>
        <v/>
      </c>
      <c r="FI7" s="14" t="str">
        <f t="shared" si="45"/>
        <v/>
      </c>
      <c r="FJ7" s="14" t="str">
        <f t="shared" si="46"/>
        <v/>
      </c>
      <c r="FK7" s="14" t="str">
        <f t="shared" si="47"/>
        <v/>
      </c>
      <c r="FL7" s="14" t="str">
        <f t="shared" si="48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49"/>
        <v/>
      </c>
      <c r="GD7" s="11" t="str">
        <f t="shared" si="50"/>
        <v/>
      </c>
      <c r="GE7" s="11" t="str">
        <f t="shared" si="51"/>
        <v/>
      </c>
      <c r="GF7" s="11" t="str">
        <f t="shared" si="52"/>
        <v/>
      </c>
      <c r="GG7" s="11" t="str">
        <f t="shared" si="53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4"/>
        <v/>
      </c>
      <c r="GY7" s="14" t="str">
        <f t="shared" si="55"/>
        <v/>
      </c>
      <c r="GZ7" s="14" t="str">
        <f t="shared" si="56"/>
        <v/>
      </c>
      <c r="HA7" s="14" t="str">
        <f t="shared" si="57"/>
        <v/>
      </c>
      <c r="HB7" s="14" t="str">
        <f t="shared" si="58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59"/>
        <v/>
      </c>
      <c r="HT7" s="11" t="str">
        <f t="shared" si="60"/>
        <v/>
      </c>
      <c r="HU7" s="11" t="str">
        <f t="shared" si="61"/>
        <v/>
      </c>
      <c r="HV7" s="11" t="str">
        <f t="shared" si="62"/>
        <v/>
      </c>
      <c r="HW7" s="11" t="str">
        <f t="shared" si="63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4"/>
        <v/>
      </c>
      <c r="IO7" s="14" t="str">
        <f t="shared" si="65"/>
        <v/>
      </c>
      <c r="IP7" s="14" t="str">
        <f t="shared" si="66"/>
        <v/>
      </c>
      <c r="IQ7" s="14" t="str">
        <f t="shared" si="67"/>
        <v/>
      </c>
      <c r="IR7" s="14" t="str">
        <f t="shared" si="68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69"/>
        <v/>
      </c>
      <c r="JJ7" s="11" t="str">
        <f t="shared" si="70"/>
        <v/>
      </c>
      <c r="JK7" s="11" t="str">
        <f t="shared" si="71"/>
        <v/>
      </c>
      <c r="JL7" s="11" t="str">
        <f t="shared" si="72"/>
        <v/>
      </c>
      <c r="JM7" s="11" t="str">
        <f t="shared" si="73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4"/>
        <v/>
      </c>
      <c r="KE7" s="14" t="str">
        <f t="shared" si="75"/>
        <v/>
      </c>
      <c r="KF7" s="14" t="str">
        <f t="shared" si="76"/>
        <v/>
      </c>
      <c r="KG7" s="14" t="str">
        <f t="shared" si="77"/>
        <v/>
      </c>
      <c r="KH7" s="14" t="str">
        <f t="shared" si="78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79"/>
        <v/>
      </c>
      <c r="KZ7" s="11" t="str">
        <f t="shared" si="80"/>
        <v/>
      </c>
      <c r="LA7" s="11" t="str">
        <f t="shared" si="81"/>
        <v/>
      </c>
      <c r="LB7" s="11" t="str">
        <f t="shared" si="82"/>
        <v/>
      </c>
      <c r="LC7" s="11" t="str">
        <f t="shared" si="83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4"/>
        <v/>
      </c>
      <c r="LU7" s="14" t="str">
        <f t="shared" si="85"/>
        <v/>
      </c>
      <c r="LV7" s="14" t="str">
        <f t="shared" si="86"/>
        <v/>
      </c>
      <c r="LW7" s="14" t="str">
        <f t="shared" si="87"/>
        <v/>
      </c>
      <c r="LX7" s="14" t="str">
        <f t="shared" si="88"/>
        <v/>
      </c>
      <c r="LY7" s="61">
        <f t="shared" si="89"/>
        <v>27.6</v>
      </c>
      <c r="LZ7" s="61">
        <f t="shared" si="90"/>
        <v>5.8</v>
      </c>
      <c r="MA7" s="61">
        <f t="shared" si="91"/>
        <v>0.15</v>
      </c>
      <c r="MB7" s="61">
        <f t="shared" si="92"/>
        <v>0</v>
      </c>
      <c r="MC7" s="61">
        <f t="shared" si="93"/>
        <v>23.450000000000003</v>
      </c>
      <c r="MD7" s="61">
        <f t="shared" si="94"/>
        <v>3</v>
      </c>
      <c r="ME7" s="61">
        <f t="shared" si="95"/>
        <v>0.85</v>
      </c>
      <c r="MF7" s="61">
        <f t="shared" si="96"/>
        <v>0.15</v>
      </c>
      <c r="MG7" s="61">
        <f t="shared" si="97"/>
        <v>13.85</v>
      </c>
      <c r="MH7" s="61">
        <f t="shared" si="98"/>
        <v>2.2000000000000002</v>
      </c>
      <c r="MI7" s="61">
        <f t="shared" si="99"/>
        <v>0.15</v>
      </c>
      <c r="MJ7" s="61">
        <f t="shared" si="100"/>
        <v>0</v>
      </c>
      <c r="MK7" s="61">
        <f t="shared" si="101"/>
        <v>0</v>
      </c>
      <c r="ML7" s="61">
        <f t="shared" si="102"/>
        <v>0</v>
      </c>
      <c r="MM7" s="61">
        <f t="shared" si="103"/>
        <v>0</v>
      </c>
      <c r="MN7" s="61">
        <f t="shared" si="104"/>
        <v>0</v>
      </c>
      <c r="MO7" s="72" t="s">
        <v>52</v>
      </c>
      <c r="MP7" s="11">
        <f t="shared" si="105"/>
        <v>8.8000000000000007</v>
      </c>
      <c r="MQ7" s="11">
        <f t="shared" si="106"/>
        <v>59</v>
      </c>
      <c r="MR7" s="11">
        <f t="shared" si="107"/>
        <v>2.2000000000000002</v>
      </c>
      <c r="MS7" s="11">
        <f t="shared" si="108"/>
        <v>15.9</v>
      </c>
      <c r="MT7" s="11">
        <f t="shared" si="109"/>
        <v>74.900000000000006</v>
      </c>
    </row>
    <row r="8" spans="1:358" x14ac:dyDescent="0.2">
      <c r="A8" s="5">
        <f t="shared" si="0"/>
        <v>5</v>
      </c>
      <c r="B8" s="8" t="s">
        <v>116</v>
      </c>
      <c r="C8" s="4" t="s">
        <v>4</v>
      </c>
      <c r="D8" s="5">
        <v>2000</v>
      </c>
      <c r="E8" s="15">
        <f t="shared" si="110"/>
        <v>66.399999999999991</v>
      </c>
      <c r="F8" s="3" t="str">
        <f t="shared" si="1"/>
        <v>P</v>
      </c>
      <c r="G8" s="3" t="str">
        <f t="shared" si="2"/>
        <v>P</v>
      </c>
      <c r="H8" s="116" t="str">
        <f t="shared" si="3"/>
        <v>National Team</v>
      </c>
      <c r="I8" s="3" t="str">
        <f t="shared" si="4"/>
        <v/>
      </c>
      <c r="J8" s="14">
        <f t="shared" si="5"/>
        <v>66.399999999999991</v>
      </c>
      <c r="K8" s="14" t="str">
        <f t="shared" si="6"/>
        <v>2021 2nd Virtual Technical Trial</v>
      </c>
      <c r="L8" s="14">
        <f t="shared" si="7"/>
        <v>0</v>
      </c>
      <c r="M8" s="14" t="str">
        <f t="shared" si="8"/>
        <v/>
      </c>
      <c r="N8" s="14" t="str">
        <f t="shared" si="9"/>
        <v/>
      </c>
      <c r="O8" s="24" t="str">
        <f t="shared" si="10"/>
        <v/>
      </c>
      <c r="P8" s="14" t="str">
        <f t="shared" si="11"/>
        <v/>
      </c>
      <c r="Q8" s="61">
        <v>27.3</v>
      </c>
      <c r="R8" s="61">
        <v>6</v>
      </c>
      <c r="S8" s="61">
        <v>0.3</v>
      </c>
      <c r="T8" s="61">
        <v>0</v>
      </c>
      <c r="U8" s="61">
        <v>27.8</v>
      </c>
      <c r="V8" s="61">
        <v>5.6</v>
      </c>
      <c r="W8" s="61">
        <v>0</v>
      </c>
      <c r="X8" s="61">
        <v>0</v>
      </c>
      <c r="Y8" s="61">
        <v>28</v>
      </c>
      <c r="Z8" s="61">
        <v>5.2</v>
      </c>
      <c r="AA8" s="61">
        <v>0</v>
      </c>
      <c r="AB8" s="61">
        <v>0</v>
      </c>
      <c r="AC8" s="61">
        <v>27.5</v>
      </c>
      <c r="AD8" s="61">
        <v>2</v>
      </c>
      <c r="AE8" s="61">
        <v>2.4</v>
      </c>
      <c r="AF8" s="61">
        <v>0</v>
      </c>
      <c r="AG8" s="72"/>
      <c r="AH8" s="11">
        <f t="shared" si="12"/>
        <v>11.6</v>
      </c>
      <c r="AI8" s="11">
        <f t="shared" si="13"/>
        <v>66.399999999999991</v>
      </c>
      <c r="AJ8" s="11">
        <f t="shared" si="14"/>
        <v>7.2</v>
      </c>
      <c r="AK8" s="11">
        <f t="shared" si="15"/>
        <v>60.300000000000004</v>
      </c>
      <c r="AL8" s="11">
        <f t="shared" si="16"/>
        <v>126.69999999999999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 t="shared" si="17"/>
        <v/>
      </c>
      <c r="BE8" s="14" t="str">
        <f t="shared" si="18"/>
        <v/>
      </c>
      <c r="BF8" s="14" t="str">
        <f t="shared" si="19"/>
        <v/>
      </c>
      <c r="BG8" s="14" t="str">
        <f t="shared" si="20"/>
        <v/>
      </c>
      <c r="BH8" s="14" t="str">
        <f t="shared" si="21"/>
        <v/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 t="shared" si="22"/>
        <v/>
      </c>
      <c r="CA8" s="11" t="str">
        <f t="shared" si="23"/>
        <v/>
      </c>
      <c r="CB8" s="11" t="str">
        <f t="shared" si="24"/>
        <v/>
      </c>
      <c r="CC8" s="11" t="str">
        <f t="shared" si="25"/>
        <v/>
      </c>
      <c r="CD8" s="11" t="str">
        <f t="shared" si="26"/>
        <v/>
      </c>
      <c r="CE8" s="23" t="str">
        <f t="shared" si="27"/>
        <v/>
      </c>
      <c r="CF8" s="23" t="str">
        <f t="shared" si="28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29"/>
        <v/>
      </c>
      <c r="CX8" s="11" t="str">
        <f t="shared" si="30"/>
        <v/>
      </c>
      <c r="CY8" s="11" t="str">
        <f t="shared" si="31"/>
        <v/>
      </c>
      <c r="CZ8" s="11" t="str">
        <f t="shared" si="32"/>
        <v/>
      </c>
      <c r="DA8" s="11" t="str">
        <f t="shared" si="33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4"/>
        <v/>
      </c>
      <c r="DS8" s="14" t="str">
        <f t="shared" si="35"/>
        <v/>
      </c>
      <c r="DT8" s="14" t="str">
        <f t="shared" si="36"/>
        <v/>
      </c>
      <c r="DU8" s="14" t="str">
        <f t="shared" si="37"/>
        <v/>
      </c>
      <c r="DV8" s="14" t="str">
        <f t="shared" si="38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39"/>
        <v/>
      </c>
      <c r="EN8" s="11" t="str">
        <f t="shared" si="40"/>
        <v/>
      </c>
      <c r="EO8" s="11" t="str">
        <f t="shared" si="41"/>
        <v/>
      </c>
      <c r="EP8" s="11" t="str">
        <f t="shared" si="42"/>
        <v/>
      </c>
      <c r="EQ8" s="11" t="str">
        <f t="shared" si="43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4"/>
        <v/>
      </c>
      <c r="FI8" s="14" t="str">
        <f t="shared" si="45"/>
        <v/>
      </c>
      <c r="FJ8" s="14" t="str">
        <f t="shared" si="46"/>
        <v/>
      </c>
      <c r="FK8" s="14" t="str">
        <f t="shared" si="47"/>
        <v/>
      </c>
      <c r="FL8" s="14" t="str">
        <f t="shared" si="48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49"/>
        <v/>
      </c>
      <c r="GD8" s="11" t="str">
        <f t="shared" si="50"/>
        <v/>
      </c>
      <c r="GE8" s="11" t="str">
        <f t="shared" si="51"/>
        <v/>
      </c>
      <c r="GF8" s="11" t="str">
        <f t="shared" si="52"/>
        <v/>
      </c>
      <c r="GG8" s="11" t="str">
        <f t="shared" si="53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4"/>
        <v/>
      </c>
      <c r="GY8" s="14" t="str">
        <f t="shared" si="55"/>
        <v/>
      </c>
      <c r="GZ8" s="14" t="str">
        <f t="shared" si="56"/>
        <v/>
      </c>
      <c r="HA8" s="14" t="str">
        <f t="shared" si="57"/>
        <v/>
      </c>
      <c r="HB8" s="14" t="str">
        <f t="shared" si="58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59"/>
        <v/>
      </c>
      <c r="HT8" s="11" t="str">
        <f t="shared" si="60"/>
        <v/>
      </c>
      <c r="HU8" s="11" t="str">
        <f t="shared" si="61"/>
        <v/>
      </c>
      <c r="HV8" s="11" t="str">
        <f t="shared" si="62"/>
        <v/>
      </c>
      <c r="HW8" s="11" t="str">
        <f t="shared" si="63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4"/>
        <v/>
      </c>
      <c r="IO8" s="14" t="str">
        <f t="shared" si="65"/>
        <v/>
      </c>
      <c r="IP8" s="14" t="str">
        <f t="shared" si="66"/>
        <v/>
      </c>
      <c r="IQ8" s="14" t="str">
        <f t="shared" si="67"/>
        <v/>
      </c>
      <c r="IR8" s="14" t="str">
        <f t="shared" si="68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69"/>
        <v/>
      </c>
      <c r="JJ8" s="11" t="str">
        <f t="shared" si="70"/>
        <v/>
      </c>
      <c r="JK8" s="11" t="str">
        <f t="shared" si="71"/>
        <v/>
      </c>
      <c r="JL8" s="11" t="str">
        <f t="shared" si="72"/>
        <v/>
      </c>
      <c r="JM8" s="11" t="str">
        <f t="shared" si="73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4"/>
        <v/>
      </c>
      <c r="KE8" s="14" t="str">
        <f t="shared" si="75"/>
        <v/>
      </c>
      <c r="KF8" s="14" t="str">
        <f t="shared" si="76"/>
        <v/>
      </c>
      <c r="KG8" s="14" t="str">
        <f t="shared" si="77"/>
        <v/>
      </c>
      <c r="KH8" s="14" t="str">
        <f t="shared" si="78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79"/>
        <v/>
      </c>
      <c r="KZ8" s="11" t="str">
        <f t="shared" si="80"/>
        <v/>
      </c>
      <c r="LA8" s="11" t="str">
        <f t="shared" si="81"/>
        <v/>
      </c>
      <c r="LB8" s="11" t="str">
        <f t="shared" si="82"/>
        <v/>
      </c>
      <c r="LC8" s="11" t="str">
        <f t="shared" si="83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4"/>
        <v/>
      </c>
      <c r="LU8" s="14" t="str">
        <f t="shared" si="85"/>
        <v/>
      </c>
      <c r="LV8" s="14" t="str">
        <f t="shared" si="86"/>
        <v/>
      </c>
      <c r="LW8" s="14" t="str">
        <f t="shared" si="87"/>
        <v/>
      </c>
      <c r="LX8" s="14" t="str">
        <f t="shared" si="88"/>
        <v/>
      </c>
      <c r="LY8" s="61">
        <f t="shared" si="89"/>
        <v>0</v>
      </c>
      <c r="LZ8" s="61">
        <f t="shared" si="90"/>
        <v>0</v>
      </c>
      <c r="MA8" s="61">
        <f t="shared" si="91"/>
        <v>0</v>
      </c>
      <c r="MB8" s="61">
        <f t="shared" si="92"/>
        <v>0</v>
      </c>
      <c r="MC8" s="61">
        <f t="shared" si="93"/>
        <v>0</v>
      </c>
      <c r="MD8" s="61">
        <f t="shared" si="94"/>
        <v>0</v>
      </c>
      <c r="ME8" s="61">
        <f t="shared" si="95"/>
        <v>0</v>
      </c>
      <c r="MF8" s="61">
        <f t="shared" si="96"/>
        <v>0</v>
      </c>
      <c r="MG8" s="61">
        <f t="shared" si="97"/>
        <v>0</v>
      </c>
      <c r="MH8" s="61">
        <f t="shared" si="98"/>
        <v>0</v>
      </c>
      <c r="MI8" s="61">
        <f t="shared" si="99"/>
        <v>0</v>
      </c>
      <c r="MJ8" s="61">
        <f t="shared" si="100"/>
        <v>0</v>
      </c>
      <c r="MK8" s="61">
        <f t="shared" si="101"/>
        <v>0</v>
      </c>
      <c r="ML8" s="61">
        <f t="shared" si="102"/>
        <v>0</v>
      </c>
      <c r="MM8" s="61">
        <f t="shared" si="103"/>
        <v>0</v>
      </c>
      <c r="MN8" s="61">
        <f t="shared" si="104"/>
        <v>0</v>
      </c>
      <c r="MO8" s="72" t="s">
        <v>52</v>
      </c>
      <c r="MP8" s="11" t="str">
        <f t="shared" si="105"/>
        <v/>
      </c>
      <c r="MQ8" s="11" t="str">
        <f t="shared" si="106"/>
        <v/>
      </c>
      <c r="MR8" s="11" t="str">
        <f t="shared" si="107"/>
        <v/>
      </c>
      <c r="MS8" s="11" t="str">
        <f t="shared" si="108"/>
        <v/>
      </c>
      <c r="MT8" s="11" t="str">
        <f t="shared" si="109"/>
        <v/>
      </c>
    </row>
    <row r="9" spans="1:358" x14ac:dyDescent="0.2">
      <c r="A9" s="5" t="str">
        <f t="shared" si="0"/>
        <v/>
      </c>
      <c r="B9" s="8" t="s">
        <v>115</v>
      </c>
      <c r="C9" s="4" t="s">
        <v>5</v>
      </c>
      <c r="D9" s="5">
        <v>2001</v>
      </c>
      <c r="E9" s="15">
        <f t="shared" si="110"/>
        <v>192.89999999999998</v>
      </c>
      <c r="F9" s="3" t="str">
        <f t="shared" si="1"/>
        <v/>
      </c>
      <c r="G9" s="3" t="str">
        <f t="shared" si="2"/>
        <v/>
      </c>
      <c r="H9" s="116" t="str">
        <f t="shared" si="3"/>
        <v/>
      </c>
      <c r="I9" s="3" t="str">
        <f t="shared" si="4"/>
        <v/>
      </c>
      <c r="J9" s="14">
        <f t="shared" si="5"/>
        <v>64.3</v>
      </c>
      <c r="K9" s="14" t="str">
        <f t="shared" si="6"/>
        <v>2021 2nd Virtual Technical Trial</v>
      </c>
      <c r="L9" s="14">
        <f t="shared" si="7"/>
        <v>128.6</v>
      </c>
      <c r="M9" s="14" t="str">
        <f t="shared" si="8"/>
        <v>2021 Elite Canada</v>
      </c>
      <c r="N9" s="14" t="str">
        <f t="shared" si="9"/>
        <v/>
      </c>
      <c r="O9" s="24" t="str">
        <f t="shared" si="10"/>
        <v/>
      </c>
      <c r="P9" s="14" t="str">
        <f t="shared" si="11"/>
        <v/>
      </c>
      <c r="Q9" s="61">
        <v>27.9</v>
      </c>
      <c r="R9" s="61">
        <v>5.6</v>
      </c>
      <c r="S9" s="61">
        <v>0.9</v>
      </c>
      <c r="T9" s="61">
        <v>0</v>
      </c>
      <c r="U9" s="61">
        <v>27.4</v>
      </c>
      <c r="V9" s="61">
        <v>5.2</v>
      </c>
      <c r="W9" s="61">
        <v>0.9</v>
      </c>
      <c r="X9" s="61">
        <v>0</v>
      </c>
      <c r="Y9" s="61">
        <v>27.8</v>
      </c>
      <c r="Z9" s="61">
        <v>4.8</v>
      </c>
      <c r="AA9" s="61">
        <v>0.9</v>
      </c>
      <c r="AB9" s="61">
        <v>0</v>
      </c>
      <c r="AC9" s="61">
        <v>27.9</v>
      </c>
      <c r="AD9" s="61">
        <v>4.8</v>
      </c>
      <c r="AE9" s="61">
        <v>0</v>
      </c>
      <c r="AF9" s="61">
        <v>0</v>
      </c>
      <c r="AG9" s="72"/>
      <c r="AH9" s="11">
        <f t="shared" si="12"/>
        <v>10.8</v>
      </c>
      <c r="AI9" s="11">
        <f t="shared" si="13"/>
        <v>64.3</v>
      </c>
      <c r="AJ9" s="11">
        <f t="shared" si="14"/>
        <v>9.6</v>
      </c>
      <c r="AK9" s="11">
        <f t="shared" si="15"/>
        <v>64.399999999999991</v>
      </c>
      <c r="AL9" s="11">
        <f t="shared" si="16"/>
        <v>128.69999999999999</v>
      </c>
      <c r="AM9" s="36">
        <v>27.2</v>
      </c>
      <c r="AN9" s="36">
        <v>5.6</v>
      </c>
      <c r="AO9" s="36">
        <v>0.9</v>
      </c>
      <c r="AP9" s="36">
        <v>0</v>
      </c>
      <c r="AQ9" s="36">
        <v>27.1</v>
      </c>
      <c r="AR9" s="36">
        <v>5.2</v>
      </c>
      <c r="AS9" s="36">
        <v>0</v>
      </c>
      <c r="AT9" s="36">
        <v>0</v>
      </c>
      <c r="AU9" s="36">
        <v>27.3</v>
      </c>
      <c r="AV9" s="36">
        <v>5.6</v>
      </c>
      <c r="AW9" s="36">
        <v>0.3</v>
      </c>
      <c r="AX9" s="36">
        <v>0</v>
      </c>
      <c r="AY9" s="36">
        <v>26.6</v>
      </c>
      <c r="AZ9" s="36">
        <v>5.2</v>
      </c>
      <c r="BA9" s="36">
        <v>0</v>
      </c>
      <c r="BB9" s="36">
        <v>0</v>
      </c>
      <c r="BC9" s="73"/>
      <c r="BD9" s="14">
        <f t="shared" si="17"/>
        <v>10.8</v>
      </c>
      <c r="BE9" s="14">
        <f t="shared" si="18"/>
        <v>64.199999999999989</v>
      </c>
      <c r="BF9" s="14">
        <f t="shared" si="19"/>
        <v>10.8</v>
      </c>
      <c r="BG9" s="14">
        <f t="shared" si="20"/>
        <v>64.400000000000006</v>
      </c>
      <c r="BH9" s="14">
        <f t="shared" si="21"/>
        <v>128.6</v>
      </c>
      <c r="BI9" s="61">
        <v>27.9</v>
      </c>
      <c r="BJ9" s="61">
        <v>5.6</v>
      </c>
      <c r="BK9" s="61">
        <v>0</v>
      </c>
      <c r="BL9" s="61">
        <v>0</v>
      </c>
      <c r="BM9" s="61">
        <v>24.7</v>
      </c>
      <c r="BN9" s="61">
        <v>5.6</v>
      </c>
      <c r="BO9" s="61">
        <v>0.3</v>
      </c>
      <c r="BP9" s="61">
        <v>0</v>
      </c>
      <c r="BQ9" s="61">
        <v>26.4</v>
      </c>
      <c r="BR9" s="61">
        <v>5.2</v>
      </c>
      <c r="BS9" s="61">
        <v>1.2</v>
      </c>
      <c r="BT9" s="61">
        <v>0</v>
      </c>
      <c r="BU9" s="61">
        <v>27.7</v>
      </c>
      <c r="BV9" s="61">
        <v>5.2</v>
      </c>
      <c r="BW9" s="61">
        <v>0.9</v>
      </c>
      <c r="BX9" s="61">
        <v>0</v>
      </c>
      <c r="BY9" s="72"/>
      <c r="BZ9" s="11">
        <f t="shared" si="22"/>
        <v>11.2</v>
      </c>
      <c r="CA9" s="11">
        <f t="shared" si="23"/>
        <v>63.500000000000007</v>
      </c>
      <c r="CB9" s="11">
        <f t="shared" si="24"/>
        <v>10.4</v>
      </c>
      <c r="CC9" s="11">
        <f t="shared" si="25"/>
        <v>62.4</v>
      </c>
      <c r="CD9" s="11">
        <f t="shared" si="26"/>
        <v>125.9</v>
      </c>
      <c r="CE9" s="23" t="str">
        <f t="shared" si="27"/>
        <v/>
      </c>
      <c r="CF9" s="23" t="str">
        <f t="shared" si="28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29"/>
        <v/>
      </c>
      <c r="CX9" s="11" t="str">
        <f t="shared" si="30"/>
        <v/>
      </c>
      <c r="CY9" s="11" t="str">
        <f t="shared" si="31"/>
        <v/>
      </c>
      <c r="CZ9" s="11" t="str">
        <f t="shared" si="32"/>
        <v/>
      </c>
      <c r="DA9" s="11" t="str">
        <f t="shared" si="33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4"/>
        <v/>
      </c>
      <c r="DS9" s="14" t="str">
        <f t="shared" si="35"/>
        <v/>
      </c>
      <c r="DT9" s="14" t="str">
        <f t="shared" si="36"/>
        <v/>
      </c>
      <c r="DU9" s="14" t="str">
        <f t="shared" si="37"/>
        <v/>
      </c>
      <c r="DV9" s="14" t="str">
        <f t="shared" si="38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39"/>
        <v/>
      </c>
      <c r="EN9" s="11" t="str">
        <f t="shared" si="40"/>
        <v/>
      </c>
      <c r="EO9" s="11" t="str">
        <f t="shared" si="41"/>
        <v/>
      </c>
      <c r="EP9" s="11" t="str">
        <f t="shared" si="42"/>
        <v/>
      </c>
      <c r="EQ9" s="11" t="str">
        <f t="shared" si="43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4"/>
        <v/>
      </c>
      <c r="FI9" s="14" t="str">
        <f t="shared" si="45"/>
        <v/>
      </c>
      <c r="FJ9" s="14" t="str">
        <f t="shared" si="46"/>
        <v/>
      </c>
      <c r="FK9" s="14" t="str">
        <f t="shared" si="47"/>
        <v/>
      </c>
      <c r="FL9" s="14" t="str">
        <f t="shared" si="48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49"/>
        <v/>
      </c>
      <c r="GD9" s="11" t="str">
        <f t="shared" si="50"/>
        <v/>
      </c>
      <c r="GE9" s="11" t="str">
        <f t="shared" si="51"/>
        <v/>
      </c>
      <c r="GF9" s="11" t="str">
        <f t="shared" si="52"/>
        <v/>
      </c>
      <c r="GG9" s="11" t="str">
        <f t="shared" si="53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4"/>
        <v/>
      </c>
      <c r="GY9" s="14" t="str">
        <f t="shared" si="55"/>
        <v/>
      </c>
      <c r="GZ9" s="14" t="str">
        <f t="shared" si="56"/>
        <v/>
      </c>
      <c r="HA9" s="14" t="str">
        <f t="shared" si="57"/>
        <v/>
      </c>
      <c r="HB9" s="14" t="str">
        <f t="shared" si="58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59"/>
        <v/>
      </c>
      <c r="HT9" s="11" t="str">
        <f t="shared" si="60"/>
        <v/>
      </c>
      <c r="HU9" s="11" t="str">
        <f t="shared" si="61"/>
        <v/>
      </c>
      <c r="HV9" s="11" t="str">
        <f t="shared" si="62"/>
        <v/>
      </c>
      <c r="HW9" s="11" t="str">
        <f t="shared" si="63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4"/>
        <v/>
      </c>
      <c r="IO9" s="14" t="str">
        <f t="shared" si="65"/>
        <v/>
      </c>
      <c r="IP9" s="14" t="str">
        <f t="shared" si="66"/>
        <v/>
      </c>
      <c r="IQ9" s="14" t="str">
        <f t="shared" si="67"/>
        <v/>
      </c>
      <c r="IR9" s="14" t="str">
        <f t="shared" si="68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69"/>
        <v/>
      </c>
      <c r="JJ9" s="11" t="str">
        <f t="shared" si="70"/>
        <v/>
      </c>
      <c r="JK9" s="11" t="str">
        <f t="shared" si="71"/>
        <v/>
      </c>
      <c r="JL9" s="11" t="str">
        <f t="shared" si="72"/>
        <v/>
      </c>
      <c r="JM9" s="11" t="str">
        <f t="shared" si="73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4"/>
        <v/>
      </c>
      <c r="KE9" s="14" t="str">
        <f t="shared" si="75"/>
        <v/>
      </c>
      <c r="KF9" s="14" t="str">
        <f t="shared" si="76"/>
        <v/>
      </c>
      <c r="KG9" s="14" t="str">
        <f t="shared" si="77"/>
        <v/>
      </c>
      <c r="KH9" s="14" t="str">
        <f t="shared" si="78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79"/>
        <v/>
      </c>
      <c r="KZ9" s="11" t="str">
        <f t="shared" si="80"/>
        <v/>
      </c>
      <c r="LA9" s="11" t="str">
        <f t="shared" si="81"/>
        <v/>
      </c>
      <c r="LB9" s="11" t="str">
        <f t="shared" si="82"/>
        <v/>
      </c>
      <c r="LC9" s="11" t="str">
        <f t="shared" si="83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4"/>
        <v/>
      </c>
      <c r="LU9" s="14" t="str">
        <f t="shared" si="85"/>
        <v/>
      </c>
      <c r="LV9" s="14" t="str">
        <f t="shared" si="86"/>
        <v/>
      </c>
      <c r="LW9" s="14" t="str">
        <f t="shared" si="87"/>
        <v/>
      </c>
      <c r="LX9" s="14" t="str">
        <f t="shared" si="88"/>
        <v/>
      </c>
      <c r="LY9" s="61">
        <f t="shared" si="89"/>
        <v>27.549999999999997</v>
      </c>
      <c r="LZ9" s="61">
        <f t="shared" si="90"/>
        <v>5.6</v>
      </c>
      <c r="MA9" s="61">
        <f t="shared" si="91"/>
        <v>0.45</v>
      </c>
      <c r="MB9" s="61">
        <f t="shared" si="92"/>
        <v>0</v>
      </c>
      <c r="MC9" s="61">
        <f t="shared" si="93"/>
        <v>25.9</v>
      </c>
      <c r="MD9" s="61">
        <f t="shared" si="94"/>
        <v>5.4</v>
      </c>
      <c r="ME9" s="61">
        <f t="shared" si="95"/>
        <v>0.15</v>
      </c>
      <c r="MF9" s="61">
        <f t="shared" si="96"/>
        <v>0</v>
      </c>
      <c r="MG9" s="61">
        <f t="shared" si="97"/>
        <v>26.85</v>
      </c>
      <c r="MH9" s="61">
        <f t="shared" si="98"/>
        <v>5.4</v>
      </c>
      <c r="MI9" s="61">
        <f t="shared" si="99"/>
        <v>0.75</v>
      </c>
      <c r="MJ9" s="61">
        <f t="shared" si="100"/>
        <v>0</v>
      </c>
      <c r="MK9" s="61">
        <f t="shared" si="101"/>
        <v>27.15</v>
      </c>
      <c r="ML9" s="61">
        <f t="shared" si="102"/>
        <v>5.2</v>
      </c>
      <c r="MM9" s="61">
        <f t="shared" si="103"/>
        <v>0.45</v>
      </c>
      <c r="MN9" s="61">
        <f t="shared" si="104"/>
        <v>0</v>
      </c>
      <c r="MO9" s="72" t="s">
        <v>52</v>
      </c>
      <c r="MP9" s="11">
        <f t="shared" si="105"/>
        <v>11</v>
      </c>
      <c r="MQ9" s="11">
        <f t="shared" si="106"/>
        <v>63.85</v>
      </c>
      <c r="MR9" s="11">
        <f t="shared" si="107"/>
        <v>10.600000000000001</v>
      </c>
      <c r="MS9" s="11">
        <f t="shared" si="108"/>
        <v>63.399999999999991</v>
      </c>
      <c r="MT9" s="11">
        <f t="shared" si="109"/>
        <v>127.25</v>
      </c>
    </row>
    <row r="10" spans="1:358" x14ac:dyDescent="0.2">
      <c r="A10" s="5" t="str">
        <f t="shared" si="0"/>
        <v/>
      </c>
      <c r="B10" s="8" t="s">
        <v>140</v>
      </c>
      <c r="C10" s="4" t="s">
        <v>95</v>
      </c>
      <c r="D10" s="5">
        <v>2000</v>
      </c>
      <c r="E10" s="15">
        <f t="shared" si="110"/>
        <v>191.5</v>
      </c>
      <c r="F10" s="3" t="str">
        <f t="shared" si="1"/>
        <v/>
      </c>
      <c r="G10" s="3" t="str">
        <f t="shared" si="2"/>
        <v/>
      </c>
      <c r="H10" s="116" t="str">
        <f t="shared" si="3"/>
        <v/>
      </c>
      <c r="I10" s="3" t="str">
        <f t="shared" si="4"/>
        <v/>
      </c>
      <c r="J10" s="14">
        <f t="shared" si="5"/>
        <v>64.5</v>
      </c>
      <c r="K10" s="14" t="str">
        <f t="shared" si="6"/>
        <v>2021 Canadian Championships</v>
      </c>
      <c r="L10" s="14">
        <f t="shared" si="7"/>
        <v>127</v>
      </c>
      <c r="M10" s="14" t="str">
        <f t="shared" si="8"/>
        <v>2021 Elite Canada</v>
      </c>
      <c r="N10" s="14" t="str">
        <f t="shared" si="9"/>
        <v/>
      </c>
      <c r="O10" s="24" t="str">
        <f t="shared" si="10"/>
        <v/>
      </c>
      <c r="P10" s="14" t="str">
        <f t="shared" si="11"/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 t="shared" si="12"/>
        <v/>
      </c>
      <c r="AI10" s="11" t="str">
        <f t="shared" si="13"/>
        <v/>
      </c>
      <c r="AJ10" s="11" t="str">
        <f t="shared" si="14"/>
        <v/>
      </c>
      <c r="AK10" s="11" t="str">
        <f t="shared" si="15"/>
        <v/>
      </c>
      <c r="AL10" s="11" t="str">
        <f t="shared" si="16"/>
        <v/>
      </c>
      <c r="AM10" s="36">
        <v>28.7</v>
      </c>
      <c r="AN10" s="36">
        <v>3.5</v>
      </c>
      <c r="AO10" s="36">
        <v>0.3</v>
      </c>
      <c r="AP10" s="36">
        <v>0</v>
      </c>
      <c r="AQ10" s="36">
        <v>28.5</v>
      </c>
      <c r="AR10" s="36">
        <v>3.6</v>
      </c>
      <c r="AS10" s="36">
        <v>0.9</v>
      </c>
      <c r="AT10" s="36">
        <v>0</v>
      </c>
      <c r="AU10" s="36">
        <v>27.7</v>
      </c>
      <c r="AV10" s="36">
        <v>5.2</v>
      </c>
      <c r="AW10" s="36">
        <v>0</v>
      </c>
      <c r="AX10" s="36">
        <v>0</v>
      </c>
      <c r="AY10" s="36">
        <v>28.2</v>
      </c>
      <c r="AZ10" s="36">
        <v>3.7</v>
      </c>
      <c r="BA10" s="36">
        <v>0.9</v>
      </c>
      <c r="BB10" s="36">
        <v>0</v>
      </c>
      <c r="BC10" s="73"/>
      <c r="BD10" s="14">
        <f t="shared" si="17"/>
        <v>7.1</v>
      </c>
      <c r="BE10" s="14">
        <f t="shared" si="18"/>
        <v>63.099999999999994</v>
      </c>
      <c r="BF10" s="14">
        <f t="shared" si="19"/>
        <v>8.9</v>
      </c>
      <c r="BG10" s="14">
        <f t="shared" si="20"/>
        <v>63.9</v>
      </c>
      <c r="BH10" s="14">
        <f t="shared" si="21"/>
        <v>127</v>
      </c>
      <c r="BI10" s="61">
        <v>28.9</v>
      </c>
      <c r="BJ10" s="61">
        <v>3.5</v>
      </c>
      <c r="BK10" s="61">
        <v>0</v>
      </c>
      <c r="BL10" s="61">
        <v>0</v>
      </c>
      <c r="BM10" s="61">
        <v>28.5</v>
      </c>
      <c r="BN10" s="61">
        <v>3.6</v>
      </c>
      <c r="BO10" s="61">
        <v>0</v>
      </c>
      <c r="BP10" s="61">
        <v>0</v>
      </c>
      <c r="BQ10" s="61">
        <v>27.8</v>
      </c>
      <c r="BR10" s="61">
        <v>5.2</v>
      </c>
      <c r="BS10" s="61">
        <v>0</v>
      </c>
      <c r="BT10" s="61">
        <v>0</v>
      </c>
      <c r="BU10" s="61">
        <v>27.8</v>
      </c>
      <c r="BV10" s="61">
        <v>4.4000000000000004</v>
      </c>
      <c r="BW10" s="61">
        <v>0.9</v>
      </c>
      <c r="BX10" s="61">
        <v>0</v>
      </c>
      <c r="BY10" s="72"/>
      <c r="BZ10" s="11">
        <f t="shared" si="22"/>
        <v>7.1</v>
      </c>
      <c r="CA10" s="11">
        <f t="shared" si="23"/>
        <v>64.5</v>
      </c>
      <c r="CB10" s="11">
        <f t="shared" si="24"/>
        <v>9.6000000000000014</v>
      </c>
      <c r="CC10" s="11">
        <f t="shared" si="25"/>
        <v>64.3</v>
      </c>
      <c r="CD10" s="11">
        <f t="shared" si="26"/>
        <v>128.80000000000001</v>
      </c>
      <c r="CE10" s="23" t="str">
        <f t="shared" si="27"/>
        <v/>
      </c>
      <c r="CF10" s="23" t="str">
        <f t="shared" si="28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29"/>
        <v/>
      </c>
      <c r="CX10" s="11" t="str">
        <f t="shared" si="30"/>
        <v/>
      </c>
      <c r="CY10" s="11" t="str">
        <f t="shared" si="31"/>
        <v/>
      </c>
      <c r="CZ10" s="11" t="str">
        <f t="shared" si="32"/>
        <v/>
      </c>
      <c r="DA10" s="11" t="str">
        <f t="shared" si="33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4"/>
        <v/>
      </c>
      <c r="DS10" s="14" t="str">
        <f t="shared" si="35"/>
        <v/>
      </c>
      <c r="DT10" s="14" t="str">
        <f t="shared" si="36"/>
        <v/>
      </c>
      <c r="DU10" s="14" t="str">
        <f t="shared" si="37"/>
        <v/>
      </c>
      <c r="DV10" s="14" t="str">
        <f t="shared" si="38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39"/>
        <v/>
      </c>
      <c r="EN10" s="11" t="str">
        <f t="shared" si="40"/>
        <v/>
      </c>
      <c r="EO10" s="11" t="str">
        <f t="shared" si="41"/>
        <v/>
      </c>
      <c r="EP10" s="11" t="str">
        <f t="shared" si="42"/>
        <v/>
      </c>
      <c r="EQ10" s="11" t="str">
        <f t="shared" si="43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4"/>
        <v/>
      </c>
      <c r="FI10" s="14" t="str">
        <f t="shared" si="45"/>
        <v/>
      </c>
      <c r="FJ10" s="14" t="str">
        <f t="shared" si="46"/>
        <v/>
      </c>
      <c r="FK10" s="14" t="str">
        <f t="shared" si="47"/>
        <v/>
      </c>
      <c r="FL10" s="14" t="str">
        <f t="shared" si="48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49"/>
        <v/>
      </c>
      <c r="GD10" s="11" t="str">
        <f t="shared" si="50"/>
        <v/>
      </c>
      <c r="GE10" s="11" t="str">
        <f t="shared" si="51"/>
        <v/>
      </c>
      <c r="GF10" s="11" t="str">
        <f t="shared" si="52"/>
        <v/>
      </c>
      <c r="GG10" s="11" t="str">
        <f t="shared" si="53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4"/>
        <v/>
      </c>
      <c r="GY10" s="14" t="str">
        <f t="shared" si="55"/>
        <v/>
      </c>
      <c r="GZ10" s="14" t="str">
        <f t="shared" si="56"/>
        <v/>
      </c>
      <c r="HA10" s="14" t="str">
        <f t="shared" si="57"/>
        <v/>
      </c>
      <c r="HB10" s="14" t="str">
        <f t="shared" si="58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59"/>
        <v/>
      </c>
      <c r="HT10" s="11" t="str">
        <f t="shared" si="60"/>
        <v/>
      </c>
      <c r="HU10" s="11" t="str">
        <f t="shared" si="61"/>
        <v/>
      </c>
      <c r="HV10" s="11" t="str">
        <f t="shared" si="62"/>
        <v/>
      </c>
      <c r="HW10" s="11" t="str">
        <f t="shared" si="63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4"/>
        <v/>
      </c>
      <c r="IO10" s="14" t="str">
        <f t="shared" si="65"/>
        <v/>
      </c>
      <c r="IP10" s="14" t="str">
        <f t="shared" si="66"/>
        <v/>
      </c>
      <c r="IQ10" s="14" t="str">
        <f t="shared" si="67"/>
        <v/>
      </c>
      <c r="IR10" s="14" t="str">
        <f t="shared" si="68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69"/>
        <v/>
      </c>
      <c r="JJ10" s="11" t="str">
        <f t="shared" si="70"/>
        <v/>
      </c>
      <c r="JK10" s="11" t="str">
        <f t="shared" si="71"/>
        <v/>
      </c>
      <c r="JL10" s="11" t="str">
        <f t="shared" si="72"/>
        <v/>
      </c>
      <c r="JM10" s="11" t="str">
        <f t="shared" si="73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4"/>
        <v/>
      </c>
      <c r="KE10" s="14" t="str">
        <f t="shared" si="75"/>
        <v/>
      </c>
      <c r="KF10" s="14" t="str">
        <f t="shared" si="76"/>
        <v/>
      </c>
      <c r="KG10" s="14" t="str">
        <f t="shared" si="77"/>
        <v/>
      </c>
      <c r="KH10" s="14" t="str">
        <f t="shared" si="78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79"/>
        <v/>
      </c>
      <c r="KZ10" s="11" t="str">
        <f t="shared" si="80"/>
        <v/>
      </c>
      <c r="LA10" s="11" t="str">
        <f t="shared" si="81"/>
        <v/>
      </c>
      <c r="LB10" s="11" t="str">
        <f t="shared" si="82"/>
        <v/>
      </c>
      <c r="LC10" s="11" t="str">
        <f t="shared" si="83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4"/>
        <v/>
      </c>
      <c r="LU10" s="14" t="str">
        <f t="shared" si="85"/>
        <v/>
      </c>
      <c r="LV10" s="14" t="str">
        <f t="shared" si="86"/>
        <v/>
      </c>
      <c r="LW10" s="14" t="str">
        <f t="shared" si="87"/>
        <v/>
      </c>
      <c r="LX10" s="14" t="str">
        <f t="shared" si="88"/>
        <v/>
      </c>
      <c r="LY10" s="61">
        <f t="shared" si="89"/>
        <v>28.799999999999997</v>
      </c>
      <c r="LZ10" s="61">
        <f t="shared" si="90"/>
        <v>3.5</v>
      </c>
      <c r="MA10" s="61">
        <f t="shared" si="91"/>
        <v>0.15</v>
      </c>
      <c r="MB10" s="61">
        <f t="shared" si="92"/>
        <v>0</v>
      </c>
      <c r="MC10" s="61">
        <f t="shared" si="93"/>
        <v>28.5</v>
      </c>
      <c r="MD10" s="61">
        <f t="shared" si="94"/>
        <v>3.6</v>
      </c>
      <c r="ME10" s="61">
        <f t="shared" si="95"/>
        <v>0.45</v>
      </c>
      <c r="MF10" s="61">
        <f t="shared" si="96"/>
        <v>0</v>
      </c>
      <c r="MG10" s="61">
        <f t="shared" si="97"/>
        <v>27.75</v>
      </c>
      <c r="MH10" s="61">
        <f t="shared" si="98"/>
        <v>5.2</v>
      </c>
      <c r="MI10" s="61">
        <f t="shared" si="99"/>
        <v>0</v>
      </c>
      <c r="MJ10" s="61">
        <f t="shared" si="100"/>
        <v>0</v>
      </c>
      <c r="MK10" s="61">
        <f t="shared" si="101"/>
        <v>28</v>
      </c>
      <c r="ML10" s="61">
        <f t="shared" si="102"/>
        <v>4.0500000000000007</v>
      </c>
      <c r="MM10" s="61">
        <f t="shared" si="103"/>
        <v>0.9</v>
      </c>
      <c r="MN10" s="61">
        <f t="shared" si="104"/>
        <v>0</v>
      </c>
      <c r="MO10" s="72" t="s">
        <v>52</v>
      </c>
      <c r="MP10" s="11">
        <f t="shared" si="105"/>
        <v>7.1</v>
      </c>
      <c r="MQ10" s="11">
        <f t="shared" si="106"/>
        <v>63.79999999999999</v>
      </c>
      <c r="MR10" s="11">
        <f t="shared" si="107"/>
        <v>9.25</v>
      </c>
      <c r="MS10" s="11">
        <f t="shared" si="108"/>
        <v>64.099999999999994</v>
      </c>
      <c r="MT10" s="11">
        <f t="shared" si="109"/>
        <v>127.89999999999998</v>
      </c>
    </row>
    <row r="11" spans="1:358" x14ac:dyDescent="0.2">
      <c r="A11" s="5" t="str">
        <f t="shared" si="0"/>
        <v/>
      </c>
      <c r="B11" s="8" t="s">
        <v>124</v>
      </c>
      <c r="C11" s="4" t="s">
        <v>4</v>
      </c>
      <c r="D11" s="5">
        <v>2001</v>
      </c>
      <c r="E11" s="15">
        <f t="shared" si="110"/>
        <v>190.10000000000002</v>
      </c>
      <c r="F11" s="3" t="str">
        <f t="shared" si="1"/>
        <v/>
      </c>
      <c r="G11" s="3" t="str">
        <f t="shared" si="2"/>
        <v/>
      </c>
      <c r="H11" s="116" t="str">
        <f t="shared" si="3"/>
        <v/>
      </c>
      <c r="I11" s="3" t="str">
        <f t="shared" si="4"/>
        <v/>
      </c>
      <c r="J11" s="14">
        <f t="shared" si="5"/>
        <v>64.300000000000011</v>
      </c>
      <c r="K11" s="14" t="str">
        <f t="shared" si="6"/>
        <v>2021 Elite Canada</v>
      </c>
      <c r="L11" s="14">
        <f t="shared" si="7"/>
        <v>125.80000000000001</v>
      </c>
      <c r="M11" s="14" t="str">
        <f t="shared" si="8"/>
        <v>2021 2nd Virtual Technical Trial</v>
      </c>
      <c r="N11" s="14" t="str">
        <f t="shared" si="9"/>
        <v/>
      </c>
      <c r="O11" s="24" t="str">
        <f t="shared" si="10"/>
        <v/>
      </c>
      <c r="P11" s="14" t="str">
        <f t="shared" si="11"/>
        <v/>
      </c>
      <c r="Q11" s="61">
        <v>26.9</v>
      </c>
      <c r="R11" s="61">
        <v>5.2</v>
      </c>
      <c r="S11" s="61">
        <v>0.3</v>
      </c>
      <c r="T11" s="61">
        <v>0</v>
      </c>
      <c r="U11" s="61">
        <v>26.5</v>
      </c>
      <c r="V11" s="61">
        <v>5.2</v>
      </c>
      <c r="W11" s="61">
        <v>0.9</v>
      </c>
      <c r="X11" s="61">
        <v>0</v>
      </c>
      <c r="Y11" s="61">
        <v>27.6</v>
      </c>
      <c r="Z11" s="61">
        <v>4.4000000000000004</v>
      </c>
      <c r="AA11" s="61">
        <v>0.3</v>
      </c>
      <c r="AB11" s="61">
        <v>0</v>
      </c>
      <c r="AC11" s="61">
        <v>27.6</v>
      </c>
      <c r="AD11" s="61">
        <v>3.9</v>
      </c>
      <c r="AE11" s="61">
        <v>0</v>
      </c>
      <c r="AF11" s="61">
        <v>0</v>
      </c>
      <c r="AG11" s="72"/>
      <c r="AH11" s="11">
        <f t="shared" si="12"/>
        <v>10.4</v>
      </c>
      <c r="AI11" s="11">
        <f t="shared" si="13"/>
        <v>62.6</v>
      </c>
      <c r="AJ11" s="11">
        <f t="shared" si="14"/>
        <v>8.3000000000000007</v>
      </c>
      <c r="AK11" s="11">
        <f t="shared" si="15"/>
        <v>63.2</v>
      </c>
      <c r="AL11" s="11">
        <f t="shared" si="16"/>
        <v>125.80000000000001</v>
      </c>
      <c r="AM11" s="36">
        <v>27.3</v>
      </c>
      <c r="AN11" s="36">
        <v>5.2</v>
      </c>
      <c r="AO11" s="36">
        <v>0.3</v>
      </c>
      <c r="AP11" s="36">
        <v>0</v>
      </c>
      <c r="AQ11" s="36">
        <v>28.2</v>
      </c>
      <c r="AR11" s="36">
        <v>3.9</v>
      </c>
      <c r="AS11" s="36">
        <v>0</v>
      </c>
      <c r="AT11" s="36">
        <v>0</v>
      </c>
      <c r="AU11" s="36">
        <v>27.2</v>
      </c>
      <c r="AV11" s="36">
        <v>2</v>
      </c>
      <c r="AW11" s="36">
        <v>1</v>
      </c>
      <c r="AX11" s="36">
        <v>0</v>
      </c>
      <c r="AY11" s="36">
        <v>27.9</v>
      </c>
      <c r="AZ11" s="36">
        <v>3.6</v>
      </c>
      <c r="BA11" s="36">
        <v>0</v>
      </c>
      <c r="BB11" s="36">
        <v>0</v>
      </c>
      <c r="BC11" s="73"/>
      <c r="BD11" s="14">
        <f t="shared" si="17"/>
        <v>9.1</v>
      </c>
      <c r="BE11" s="14">
        <f t="shared" si="18"/>
        <v>64.300000000000011</v>
      </c>
      <c r="BF11" s="14">
        <f t="shared" si="19"/>
        <v>5.6</v>
      </c>
      <c r="BG11" s="14">
        <f t="shared" si="20"/>
        <v>59.699999999999996</v>
      </c>
      <c r="BH11" s="14">
        <f t="shared" si="21"/>
        <v>124</v>
      </c>
      <c r="BI11" s="61">
        <v>27.2</v>
      </c>
      <c r="BJ11" s="61">
        <v>4.4000000000000004</v>
      </c>
      <c r="BK11" s="61">
        <v>0</v>
      </c>
      <c r="BL11" s="61">
        <v>0</v>
      </c>
      <c r="BM11" s="61">
        <v>27.4</v>
      </c>
      <c r="BN11" s="61">
        <v>4</v>
      </c>
      <c r="BO11" s="61">
        <v>0.3</v>
      </c>
      <c r="BP11" s="61">
        <v>0</v>
      </c>
      <c r="BQ11" s="61">
        <v>27.1</v>
      </c>
      <c r="BR11" s="61">
        <v>2.4</v>
      </c>
      <c r="BS11" s="61">
        <v>0.9</v>
      </c>
      <c r="BT11" s="61">
        <v>0</v>
      </c>
      <c r="BU11" s="61">
        <v>27.6</v>
      </c>
      <c r="BV11" s="61">
        <v>3.9</v>
      </c>
      <c r="BW11" s="61">
        <v>0.3</v>
      </c>
      <c r="BX11" s="61">
        <v>0</v>
      </c>
      <c r="BY11" s="72"/>
      <c r="BZ11" s="11">
        <f t="shared" si="22"/>
        <v>8.4</v>
      </c>
      <c r="CA11" s="11">
        <f t="shared" si="23"/>
        <v>62.7</v>
      </c>
      <c r="CB11" s="11">
        <f t="shared" si="24"/>
        <v>6.3</v>
      </c>
      <c r="CC11" s="11">
        <f t="shared" si="25"/>
        <v>59.8</v>
      </c>
      <c r="CD11" s="11">
        <f t="shared" si="26"/>
        <v>122.5</v>
      </c>
      <c r="CE11" s="23" t="str">
        <f t="shared" si="27"/>
        <v/>
      </c>
      <c r="CF11" s="23" t="str">
        <f t="shared" si="28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29"/>
        <v/>
      </c>
      <c r="CX11" s="11" t="str">
        <f t="shared" si="30"/>
        <v/>
      </c>
      <c r="CY11" s="11" t="str">
        <f t="shared" si="31"/>
        <v/>
      </c>
      <c r="CZ11" s="11" t="str">
        <f t="shared" si="32"/>
        <v/>
      </c>
      <c r="DA11" s="11" t="str">
        <f t="shared" si="33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4"/>
        <v/>
      </c>
      <c r="DS11" s="14" t="str">
        <f t="shared" si="35"/>
        <v/>
      </c>
      <c r="DT11" s="14" t="str">
        <f t="shared" si="36"/>
        <v/>
      </c>
      <c r="DU11" s="14" t="str">
        <f t="shared" si="37"/>
        <v/>
      </c>
      <c r="DV11" s="14" t="str">
        <f t="shared" si="38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39"/>
        <v/>
      </c>
      <c r="EN11" s="11" t="str">
        <f t="shared" si="40"/>
        <v/>
      </c>
      <c r="EO11" s="11" t="str">
        <f t="shared" si="41"/>
        <v/>
      </c>
      <c r="EP11" s="11" t="str">
        <f t="shared" si="42"/>
        <v/>
      </c>
      <c r="EQ11" s="11" t="str">
        <f t="shared" si="43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4"/>
        <v/>
      </c>
      <c r="FI11" s="14" t="str">
        <f t="shared" si="45"/>
        <v/>
      </c>
      <c r="FJ11" s="14" t="str">
        <f t="shared" si="46"/>
        <v/>
      </c>
      <c r="FK11" s="14" t="str">
        <f t="shared" si="47"/>
        <v/>
      </c>
      <c r="FL11" s="14" t="str">
        <f t="shared" si="48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49"/>
        <v/>
      </c>
      <c r="GD11" s="11" t="str">
        <f t="shared" si="50"/>
        <v/>
      </c>
      <c r="GE11" s="11" t="str">
        <f t="shared" si="51"/>
        <v/>
      </c>
      <c r="GF11" s="11" t="str">
        <f t="shared" si="52"/>
        <v/>
      </c>
      <c r="GG11" s="11" t="str">
        <f t="shared" si="53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4"/>
        <v/>
      </c>
      <c r="GY11" s="14" t="str">
        <f t="shared" si="55"/>
        <v/>
      </c>
      <c r="GZ11" s="14" t="str">
        <f t="shared" si="56"/>
        <v/>
      </c>
      <c r="HA11" s="14" t="str">
        <f t="shared" si="57"/>
        <v/>
      </c>
      <c r="HB11" s="14" t="str">
        <f t="shared" si="58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59"/>
        <v/>
      </c>
      <c r="HT11" s="11" t="str">
        <f t="shared" si="60"/>
        <v/>
      </c>
      <c r="HU11" s="11" t="str">
        <f t="shared" si="61"/>
        <v/>
      </c>
      <c r="HV11" s="11" t="str">
        <f t="shared" si="62"/>
        <v/>
      </c>
      <c r="HW11" s="11" t="str">
        <f t="shared" si="63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4"/>
        <v/>
      </c>
      <c r="IO11" s="14" t="str">
        <f t="shared" si="65"/>
        <v/>
      </c>
      <c r="IP11" s="14" t="str">
        <f t="shared" si="66"/>
        <v/>
      </c>
      <c r="IQ11" s="14" t="str">
        <f t="shared" si="67"/>
        <v/>
      </c>
      <c r="IR11" s="14" t="str">
        <f t="shared" si="68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69"/>
        <v/>
      </c>
      <c r="JJ11" s="11" t="str">
        <f t="shared" si="70"/>
        <v/>
      </c>
      <c r="JK11" s="11" t="str">
        <f t="shared" si="71"/>
        <v/>
      </c>
      <c r="JL11" s="11" t="str">
        <f t="shared" si="72"/>
        <v/>
      </c>
      <c r="JM11" s="11" t="str">
        <f t="shared" si="73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4"/>
        <v/>
      </c>
      <c r="KE11" s="14" t="str">
        <f t="shared" si="75"/>
        <v/>
      </c>
      <c r="KF11" s="14" t="str">
        <f t="shared" si="76"/>
        <v/>
      </c>
      <c r="KG11" s="14" t="str">
        <f t="shared" si="77"/>
        <v/>
      </c>
      <c r="KH11" s="14" t="str">
        <f t="shared" si="78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79"/>
        <v/>
      </c>
      <c r="KZ11" s="11" t="str">
        <f t="shared" si="80"/>
        <v/>
      </c>
      <c r="LA11" s="11" t="str">
        <f t="shared" si="81"/>
        <v/>
      </c>
      <c r="LB11" s="11" t="str">
        <f t="shared" si="82"/>
        <v/>
      </c>
      <c r="LC11" s="11" t="str">
        <f t="shared" si="83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4"/>
        <v/>
      </c>
      <c r="LU11" s="14" t="str">
        <f t="shared" si="85"/>
        <v/>
      </c>
      <c r="LV11" s="14" t="str">
        <f t="shared" si="86"/>
        <v/>
      </c>
      <c r="LW11" s="14" t="str">
        <f t="shared" si="87"/>
        <v/>
      </c>
      <c r="LX11" s="14" t="str">
        <f t="shared" si="88"/>
        <v/>
      </c>
      <c r="LY11" s="61">
        <f t="shared" si="89"/>
        <v>27.25</v>
      </c>
      <c r="LZ11" s="61">
        <f t="shared" si="90"/>
        <v>4.8000000000000007</v>
      </c>
      <c r="MA11" s="61">
        <f t="shared" si="91"/>
        <v>0.15</v>
      </c>
      <c r="MB11" s="61">
        <f t="shared" si="92"/>
        <v>0</v>
      </c>
      <c r="MC11" s="61">
        <f t="shared" si="93"/>
        <v>27.799999999999997</v>
      </c>
      <c r="MD11" s="61">
        <f t="shared" si="94"/>
        <v>3.95</v>
      </c>
      <c r="ME11" s="61">
        <f t="shared" si="95"/>
        <v>0.15</v>
      </c>
      <c r="MF11" s="61">
        <f t="shared" si="96"/>
        <v>0</v>
      </c>
      <c r="MG11" s="61">
        <f t="shared" si="97"/>
        <v>27.15</v>
      </c>
      <c r="MH11" s="61">
        <f t="shared" si="98"/>
        <v>2.2000000000000002</v>
      </c>
      <c r="MI11" s="61">
        <f t="shared" si="99"/>
        <v>0.95</v>
      </c>
      <c r="MJ11" s="61">
        <f t="shared" si="100"/>
        <v>0</v>
      </c>
      <c r="MK11" s="61">
        <f t="shared" si="101"/>
        <v>27.75</v>
      </c>
      <c r="ML11" s="61">
        <f t="shared" si="102"/>
        <v>3.75</v>
      </c>
      <c r="MM11" s="61">
        <f t="shared" si="103"/>
        <v>0.15</v>
      </c>
      <c r="MN11" s="61">
        <f t="shared" si="104"/>
        <v>0</v>
      </c>
      <c r="MO11" s="72" t="s">
        <v>52</v>
      </c>
      <c r="MP11" s="11">
        <f t="shared" si="105"/>
        <v>8.75</v>
      </c>
      <c r="MQ11" s="11">
        <f t="shared" si="106"/>
        <v>63.5</v>
      </c>
      <c r="MR11" s="11">
        <f t="shared" si="107"/>
        <v>5.95</v>
      </c>
      <c r="MS11" s="11">
        <f t="shared" si="108"/>
        <v>59.749999999999993</v>
      </c>
      <c r="MT11" s="11">
        <f t="shared" si="109"/>
        <v>123.25</v>
      </c>
    </row>
    <row r="12" spans="1:358" x14ac:dyDescent="0.2">
      <c r="A12" s="5" t="str">
        <f t="shared" si="0"/>
        <v/>
      </c>
      <c r="B12" s="8" t="s">
        <v>128</v>
      </c>
      <c r="C12" s="4" t="s">
        <v>6</v>
      </c>
      <c r="D12" s="5">
        <v>2004</v>
      </c>
      <c r="E12" s="15">
        <f t="shared" si="110"/>
        <v>189.3</v>
      </c>
      <c r="F12" s="3" t="str">
        <f t="shared" si="1"/>
        <v/>
      </c>
      <c r="G12" s="3" t="str">
        <f t="shared" si="2"/>
        <v/>
      </c>
      <c r="H12" s="116" t="str">
        <f t="shared" si="3"/>
        <v/>
      </c>
      <c r="I12" s="3" t="str">
        <f t="shared" si="4"/>
        <v/>
      </c>
      <c r="J12" s="14">
        <f t="shared" si="5"/>
        <v>63.400000000000006</v>
      </c>
      <c r="K12" s="14" t="str">
        <f t="shared" si="6"/>
        <v>2021 Canadian Championships</v>
      </c>
      <c r="L12" s="14">
        <f t="shared" si="7"/>
        <v>125.9</v>
      </c>
      <c r="M12" s="14" t="str">
        <f t="shared" si="8"/>
        <v>2021 Elite Canada</v>
      </c>
      <c r="N12" s="14" t="str">
        <f t="shared" si="9"/>
        <v/>
      </c>
      <c r="O12" s="24" t="str">
        <f t="shared" si="10"/>
        <v/>
      </c>
      <c r="P12" s="14" t="str">
        <f t="shared" si="11"/>
        <v/>
      </c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72"/>
      <c r="AH12" s="11" t="str">
        <f t="shared" si="12"/>
        <v/>
      </c>
      <c r="AI12" s="11" t="str">
        <f t="shared" si="13"/>
        <v/>
      </c>
      <c r="AJ12" s="11" t="str">
        <f t="shared" si="14"/>
        <v/>
      </c>
      <c r="AK12" s="11" t="str">
        <f t="shared" si="15"/>
        <v/>
      </c>
      <c r="AL12" s="11" t="str">
        <f t="shared" si="16"/>
        <v/>
      </c>
      <c r="AM12" s="36">
        <v>27.6</v>
      </c>
      <c r="AN12" s="36">
        <v>3.2</v>
      </c>
      <c r="AO12" s="36">
        <v>0</v>
      </c>
      <c r="AP12" s="36">
        <v>0</v>
      </c>
      <c r="AQ12" s="36">
        <v>28.7</v>
      </c>
      <c r="AR12" s="36">
        <v>3.5</v>
      </c>
      <c r="AS12" s="36">
        <v>0</v>
      </c>
      <c r="AT12" s="36">
        <v>0</v>
      </c>
      <c r="AU12" s="36">
        <v>28.1</v>
      </c>
      <c r="AV12" s="36">
        <v>3.1</v>
      </c>
      <c r="AW12" s="36">
        <v>0</v>
      </c>
      <c r="AX12" s="36">
        <v>0</v>
      </c>
      <c r="AY12" s="36">
        <v>28.3</v>
      </c>
      <c r="AZ12" s="36">
        <v>3.4</v>
      </c>
      <c r="BA12" s="36">
        <v>0</v>
      </c>
      <c r="BB12" s="36">
        <v>0</v>
      </c>
      <c r="BC12" s="73"/>
      <c r="BD12" s="14">
        <f t="shared" si="17"/>
        <v>6.7</v>
      </c>
      <c r="BE12" s="14">
        <f t="shared" si="18"/>
        <v>63</v>
      </c>
      <c r="BF12" s="14">
        <f t="shared" si="19"/>
        <v>6.5</v>
      </c>
      <c r="BG12" s="14">
        <f t="shared" si="20"/>
        <v>62.9</v>
      </c>
      <c r="BH12" s="14">
        <f t="shared" si="21"/>
        <v>125.9</v>
      </c>
      <c r="BI12" s="61">
        <v>28.1</v>
      </c>
      <c r="BJ12" s="61">
        <v>3.5</v>
      </c>
      <c r="BK12" s="61">
        <v>0</v>
      </c>
      <c r="BL12" s="61">
        <v>0</v>
      </c>
      <c r="BM12" s="61">
        <v>28.1</v>
      </c>
      <c r="BN12" s="61">
        <v>3.7</v>
      </c>
      <c r="BO12" s="61">
        <v>0</v>
      </c>
      <c r="BP12" s="61">
        <v>0</v>
      </c>
      <c r="BQ12" s="61">
        <v>27.7</v>
      </c>
      <c r="BR12" s="61">
        <v>3.6</v>
      </c>
      <c r="BS12" s="61">
        <v>0</v>
      </c>
      <c r="BT12" s="61">
        <v>0</v>
      </c>
      <c r="BU12" s="61">
        <v>19.8</v>
      </c>
      <c r="BV12" s="61">
        <v>2.4</v>
      </c>
      <c r="BW12" s="61">
        <v>0</v>
      </c>
      <c r="BX12" s="61">
        <v>0</v>
      </c>
      <c r="BY12" s="72"/>
      <c r="BZ12" s="11">
        <f t="shared" si="22"/>
        <v>7.2</v>
      </c>
      <c r="CA12" s="11">
        <f t="shared" si="23"/>
        <v>63.400000000000006</v>
      </c>
      <c r="CB12" s="11">
        <f t="shared" si="24"/>
        <v>6</v>
      </c>
      <c r="CC12" s="11">
        <f t="shared" si="25"/>
        <v>53.5</v>
      </c>
      <c r="CD12" s="11">
        <f t="shared" si="26"/>
        <v>116.9</v>
      </c>
      <c r="CE12" s="23" t="str">
        <f t="shared" si="27"/>
        <v/>
      </c>
      <c r="CF12" s="23" t="str">
        <f t="shared" si="28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29"/>
        <v/>
      </c>
      <c r="CX12" s="11" t="str">
        <f t="shared" si="30"/>
        <v/>
      </c>
      <c r="CY12" s="11" t="str">
        <f t="shared" si="31"/>
        <v/>
      </c>
      <c r="CZ12" s="11" t="str">
        <f t="shared" si="32"/>
        <v/>
      </c>
      <c r="DA12" s="11" t="str">
        <f t="shared" si="33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4"/>
        <v/>
      </c>
      <c r="DS12" s="14" t="str">
        <f t="shared" si="35"/>
        <v/>
      </c>
      <c r="DT12" s="14" t="str">
        <f t="shared" si="36"/>
        <v/>
      </c>
      <c r="DU12" s="14" t="str">
        <f t="shared" si="37"/>
        <v/>
      </c>
      <c r="DV12" s="14" t="str">
        <f t="shared" si="38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39"/>
        <v/>
      </c>
      <c r="EN12" s="11" t="str">
        <f t="shared" si="40"/>
        <v/>
      </c>
      <c r="EO12" s="11" t="str">
        <f t="shared" si="41"/>
        <v/>
      </c>
      <c r="EP12" s="11" t="str">
        <f t="shared" si="42"/>
        <v/>
      </c>
      <c r="EQ12" s="11" t="str">
        <f t="shared" si="43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4"/>
        <v/>
      </c>
      <c r="FI12" s="14" t="str">
        <f t="shared" si="45"/>
        <v/>
      </c>
      <c r="FJ12" s="14" t="str">
        <f t="shared" si="46"/>
        <v/>
      </c>
      <c r="FK12" s="14" t="str">
        <f t="shared" si="47"/>
        <v/>
      </c>
      <c r="FL12" s="14" t="str">
        <f t="shared" si="48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49"/>
        <v/>
      </c>
      <c r="GD12" s="11" t="str">
        <f t="shared" si="50"/>
        <v/>
      </c>
      <c r="GE12" s="11" t="str">
        <f t="shared" si="51"/>
        <v/>
      </c>
      <c r="GF12" s="11" t="str">
        <f t="shared" si="52"/>
        <v/>
      </c>
      <c r="GG12" s="11" t="str">
        <f t="shared" si="53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4"/>
        <v/>
      </c>
      <c r="GY12" s="14" t="str">
        <f t="shared" si="55"/>
        <v/>
      </c>
      <c r="GZ12" s="14" t="str">
        <f t="shared" si="56"/>
        <v/>
      </c>
      <c r="HA12" s="14" t="str">
        <f t="shared" si="57"/>
        <v/>
      </c>
      <c r="HB12" s="14" t="str">
        <f t="shared" si="58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59"/>
        <v/>
      </c>
      <c r="HT12" s="11" t="str">
        <f t="shared" si="60"/>
        <v/>
      </c>
      <c r="HU12" s="11" t="str">
        <f t="shared" si="61"/>
        <v/>
      </c>
      <c r="HV12" s="11" t="str">
        <f t="shared" si="62"/>
        <v/>
      </c>
      <c r="HW12" s="11" t="str">
        <f t="shared" si="63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4"/>
        <v/>
      </c>
      <c r="IO12" s="14" t="str">
        <f t="shared" si="65"/>
        <v/>
      </c>
      <c r="IP12" s="14" t="str">
        <f t="shared" si="66"/>
        <v/>
      </c>
      <c r="IQ12" s="14" t="str">
        <f t="shared" si="67"/>
        <v/>
      </c>
      <c r="IR12" s="14" t="str">
        <f t="shared" si="68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69"/>
        <v/>
      </c>
      <c r="JJ12" s="11" t="str">
        <f t="shared" si="70"/>
        <v/>
      </c>
      <c r="JK12" s="11" t="str">
        <f t="shared" si="71"/>
        <v/>
      </c>
      <c r="JL12" s="11" t="str">
        <f t="shared" si="72"/>
        <v/>
      </c>
      <c r="JM12" s="11" t="str">
        <f t="shared" si="73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4"/>
        <v/>
      </c>
      <c r="KE12" s="14" t="str">
        <f t="shared" si="75"/>
        <v/>
      </c>
      <c r="KF12" s="14" t="str">
        <f t="shared" si="76"/>
        <v/>
      </c>
      <c r="KG12" s="14" t="str">
        <f t="shared" si="77"/>
        <v/>
      </c>
      <c r="KH12" s="14" t="str">
        <f t="shared" si="78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79"/>
        <v/>
      </c>
      <c r="KZ12" s="11" t="str">
        <f t="shared" si="80"/>
        <v/>
      </c>
      <c r="LA12" s="11" t="str">
        <f t="shared" si="81"/>
        <v/>
      </c>
      <c r="LB12" s="11" t="str">
        <f t="shared" si="82"/>
        <v/>
      </c>
      <c r="LC12" s="11" t="str">
        <f t="shared" si="83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4"/>
        <v/>
      </c>
      <c r="LU12" s="14" t="str">
        <f t="shared" si="85"/>
        <v/>
      </c>
      <c r="LV12" s="14" t="str">
        <f t="shared" si="86"/>
        <v/>
      </c>
      <c r="LW12" s="14" t="str">
        <f t="shared" si="87"/>
        <v/>
      </c>
      <c r="LX12" s="14" t="str">
        <f t="shared" si="88"/>
        <v/>
      </c>
      <c r="LY12" s="61">
        <f t="shared" si="89"/>
        <v>27.85</v>
      </c>
      <c r="LZ12" s="61">
        <f t="shared" si="90"/>
        <v>3.35</v>
      </c>
      <c r="MA12" s="61">
        <f t="shared" si="91"/>
        <v>0</v>
      </c>
      <c r="MB12" s="61">
        <f t="shared" si="92"/>
        <v>0</v>
      </c>
      <c r="MC12" s="61">
        <f t="shared" si="93"/>
        <v>28.4</v>
      </c>
      <c r="MD12" s="61">
        <f t="shared" si="94"/>
        <v>3.6</v>
      </c>
      <c r="ME12" s="61">
        <f t="shared" si="95"/>
        <v>0</v>
      </c>
      <c r="MF12" s="61">
        <f t="shared" si="96"/>
        <v>0</v>
      </c>
      <c r="MG12" s="61">
        <f t="shared" si="97"/>
        <v>27.9</v>
      </c>
      <c r="MH12" s="61">
        <f t="shared" si="98"/>
        <v>3.35</v>
      </c>
      <c r="MI12" s="61">
        <f t="shared" si="99"/>
        <v>0</v>
      </c>
      <c r="MJ12" s="61">
        <f t="shared" si="100"/>
        <v>0</v>
      </c>
      <c r="MK12" s="61">
        <f t="shared" si="101"/>
        <v>24.05</v>
      </c>
      <c r="ML12" s="61">
        <f t="shared" si="102"/>
        <v>2.9</v>
      </c>
      <c r="MM12" s="61">
        <f t="shared" si="103"/>
        <v>0</v>
      </c>
      <c r="MN12" s="61">
        <f t="shared" si="104"/>
        <v>0</v>
      </c>
      <c r="MO12" s="72" t="s">
        <v>52</v>
      </c>
      <c r="MP12" s="11">
        <f t="shared" si="105"/>
        <v>6.95</v>
      </c>
      <c r="MQ12" s="11">
        <f t="shared" si="106"/>
        <v>63.2</v>
      </c>
      <c r="MR12" s="11">
        <f t="shared" si="107"/>
        <v>6.25</v>
      </c>
      <c r="MS12" s="11">
        <f t="shared" si="108"/>
        <v>58.199999999999996</v>
      </c>
      <c r="MT12" s="11">
        <f t="shared" si="109"/>
        <v>121.4</v>
      </c>
    </row>
    <row r="13" spans="1:358" x14ac:dyDescent="0.2">
      <c r="A13" s="5" t="str">
        <f t="shared" si="0"/>
        <v/>
      </c>
      <c r="B13" s="8" t="s">
        <v>144</v>
      </c>
      <c r="C13" s="4" t="s">
        <v>6</v>
      </c>
      <c r="D13" s="5">
        <v>2003</v>
      </c>
      <c r="E13" s="15">
        <f t="shared" si="110"/>
        <v>186.9</v>
      </c>
      <c r="F13" s="3" t="str">
        <f t="shared" si="1"/>
        <v/>
      </c>
      <c r="G13" s="3" t="str">
        <f t="shared" si="2"/>
        <v/>
      </c>
      <c r="H13" s="116" t="str">
        <f t="shared" si="3"/>
        <v/>
      </c>
      <c r="I13" s="3" t="str">
        <f t="shared" si="4"/>
        <v/>
      </c>
      <c r="J13" s="14">
        <f t="shared" si="5"/>
        <v>62.4</v>
      </c>
      <c r="K13" s="14" t="str">
        <f t="shared" si="6"/>
        <v>2021 Elite Canada</v>
      </c>
      <c r="L13" s="14">
        <f t="shared" si="7"/>
        <v>124.50000000000001</v>
      </c>
      <c r="M13" s="14" t="str">
        <f t="shared" si="8"/>
        <v>2021 Canadian Championships</v>
      </c>
      <c r="N13" s="14" t="str">
        <f t="shared" si="9"/>
        <v/>
      </c>
      <c r="O13" s="24" t="str">
        <f t="shared" si="10"/>
        <v/>
      </c>
      <c r="P13" s="14" t="str">
        <f t="shared" si="11"/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 t="shared" si="12"/>
        <v/>
      </c>
      <c r="AI13" s="11" t="str">
        <f t="shared" si="13"/>
        <v/>
      </c>
      <c r="AJ13" s="11" t="str">
        <f t="shared" si="14"/>
        <v/>
      </c>
      <c r="AK13" s="11" t="str">
        <f t="shared" si="15"/>
        <v/>
      </c>
      <c r="AL13" s="11" t="str">
        <f t="shared" si="16"/>
        <v/>
      </c>
      <c r="AM13" s="36">
        <v>28</v>
      </c>
      <c r="AN13" s="36">
        <v>3.2</v>
      </c>
      <c r="AO13" s="36">
        <v>0.3</v>
      </c>
      <c r="AP13" s="36">
        <v>0</v>
      </c>
      <c r="AQ13" s="36">
        <v>28.1</v>
      </c>
      <c r="AR13" s="36">
        <v>3.4</v>
      </c>
      <c r="AS13" s="36">
        <v>0</v>
      </c>
      <c r="AT13" s="36">
        <v>0</v>
      </c>
      <c r="AU13" s="36">
        <v>28.2</v>
      </c>
      <c r="AV13" s="36">
        <v>3.5</v>
      </c>
      <c r="AW13" s="36">
        <v>0.3</v>
      </c>
      <c r="AX13" s="36">
        <v>0</v>
      </c>
      <c r="AY13" s="36">
        <v>20.100000000000001</v>
      </c>
      <c r="AZ13" s="36">
        <v>0.9</v>
      </c>
      <c r="BA13" s="36">
        <v>0</v>
      </c>
      <c r="BB13" s="36">
        <v>0</v>
      </c>
      <c r="BC13" s="73"/>
      <c r="BD13" s="14">
        <f t="shared" si="17"/>
        <v>6.6</v>
      </c>
      <c r="BE13" s="14">
        <f t="shared" si="18"/>
        <v>62.4</v>
      </c>
      <c r="BF13" s="14">
        <f t="shared" si="19"/>
        <v>4.4000000000000004</v>
      </c>
      <c r="BG13" s="14">
        <f t="shared" si="20"/>
        <v>52.4</v>
      </c>
      <c r="BH13" s="14">
        <f t="shared" si="21"/>
        <v>114.8</v>
      </c>
      <c r="BI13" s="61">
        <v>28.3</v>
      </c>
      <c r="BJ13" s="61">
        <v>3.4</v>
      </c>
      <c r="BK13" s="61">
        <v>0.9</v>
      </c>
      <c r="BL13" s="61">
        <v>0</v>
      </c>
      <c r="BM13" s="61">
        <v>28</v>
      </c>
      <c r="BN13" s="61">
        <v>3.2</v>
      </c>
      <c r="BO13" s="61">
        <v>0.9</v>
      </c>
      <c r="BP13" s="61">
        <v>0</v>
      </c>
      <c r="BQ13" s="61">
        <v>28.4</v>
      </c>
      <c r="BR13" s="61">
        <v>3.5</v>
      </c>
      <c r="BS13" s="61">
        <v>0</v>
      </c>
      <c r="BT13" s="61">
        <v>0</v>
      </c>
      <c r="BU13" s="61">
        <v>28.3</v>
      </c>
      <c r="BV13" s="61">
        <v>3.5</v>
      </c>
      <c r="BW13" s="61">
        <v>0.3</v>
      </c>
      <c r="BX13" s="61">
        <v>0</v>
      </c>
      <c r="BY13" s="72"/>
      <c r="BZ13" s="11">
        <f t="shared" si="22"/>
        <v>6.6</v>
      </c>
      <c r="CA13" s="11">
        <f t="shared" si="23"/>
        <v>61.100000000000009</v>
      </c>
      <c r="CB13" s="11">
        <f t="shared" si="24"/>
        <v>7</v>
      </c>
      <c r="CC13" s="11">
        <f t="shared" si="25"/>
        <v>63.400000000000006</v>
      </c>
      <c r="CD13" s="11">
        <f t="shared" si="26"/>
        <v>124.50000000000001</v>
      </c>
      <c r="CE13" s="23" t="str">
        <f t="shared" si="27"/>
        <v/>
      </c>
      <c r="CF13" s="23" t="str">
        <f t="shared" si="28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29"/>
        <v/>
      </c>
      <c r="CX13" s="11" t="str">
        <f t="shared" si="30"/>
        <v/>
      </c>
      <c r="CY13" s="11" t="str">
        <f t="shared" si="31"/>
        <v/>
      </c>
      <c r="CZ13" s="11" t="str">
        <f t="shared" si="32"/>
        <v/>
      </c>
      <c r="DA13" s="11" t="str">
        <f t="shared" si="33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4"/>
        <v/>
      </c>
      <c r="DS13" s="14" t="str">
        <f t="shared" si="35"/>
        <v/>
      </c>
      <c r="DT13" s="14" t="str">
        <f t="shared" si="36"/>
        <v/>
      </c>
      <c r="DU13" s="14" t="str">
        <f t="shared" si="37"/>
        <v/>
      </c>
      <c r="DV13" s="14" t="str">
        <f t="shared" si="38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39"/>
        <v/>
      </c>
      <c r="EN13" s="11" t="str">
        <f t="shared" si="40"/>
        <v/>
      </c>
      <c r="EO13" s="11" t="str">
        <f t="shared" si="41"/>
        <v/>
      </c>
      <c r="EP13" s="11" t="str">
        <f t="shared" si="42"/>
        <v/>
      </c>
      <c r="EQ13" s="11" t="str">
        <f t="shared" si="43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4"/>
        <v/>
      </c>
      <c r="FI13" s="14" t="str">
        <f t="shared" si="45"/>
        <v/>
      </c>
      <c r="FJ13" s="14" t="str">
        <f t="shared" si="46"/>
        <v/>
      </c>
      <c r="FK13" s="14" t="str">
        <f t="shared" si="47"/>
        <v/>
      </c>
      <c r="FL13" s="14" t="str">
        <f t="shared" si="48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49"/>
        <v/>
      </c>
      <c r="GD13" s="11" t="str">
        <f t="shared" si="50"/>
        <v/>
      </c>
      <c r="GE13" s="11" t="str">
        <f t="shared" si="51"/>
        <v/>
      </c>
      <c r="GF13" s="11" t="str">
        <f t="shared" si="52"/>
        <v/>
      </c>
      <c r="GG13" s="11" t="str">
        <f t="shared" si="53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4"/>
        <v/>
      </c>
      <c r="GY13" s="14" t="str">
        <f t="shared" si="55"/>
        <v/>
      </c>
      <c r="GZ13" s="14" t="str">
        <f t="shared" si="56"/>
        <v/>
      </c>
      <c r="HA13" s="14" t="str">
        <f t="shared" si="57"/>
        <v/>
      </c>
      <c r="HB13" s="14" t="str">
        <f t="shared" si="58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59"/>
        <v/>
      </c>
      <c r="HT13" s="11" t="str">
        <f t="shared" si="60"/>
        <v/>
      </c>
      <c r="HU13" s="11" t="str">
        <f t="shared" si="61"/>
        <v/>
      </c>
      <c r="HV13" s="11" t="str">
        <f t="shared" si="62"/>
        <v/>
      </c>
      <c r="HW13" s="11" t="str">
        <f t="shared" si="63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4"/>
        <v/>
      </c>
      <c r="IO13" s="14" t="str">
        <f t="shared" si="65"/>
        <v/>
      </c>
      <c r="IP13" s="14" t="str">
        <f t="shared" si="66"/>
        <v/>
      </c>
      <c r="IQ13" s="14" t="str">
        <f t="shared" si="67"/>
        <v/>
      </c>
      <c r="IR13" s="14" t="str">
        <f t="shared" si="68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69"/>
        <v/>
      </c>
      <c r="JJ13" s="11" t="str">
        <f t="shared" si="70"/>
        <v/>
      </c>
      <c r="JK13" s="11" t="str">
        <f t="shared" si="71"/>
        <v/>
      </c>
      <c r="JL13" s="11" t="str">
        <f t="shared" si="72"/>
        <v/>
      </c>
      <c r="JM13" s="11" t="str">
        <f t="shared" si="73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4"/>
        <v/>
      </c>
      <c r="KE13" s="14" t="str">
        <f t="shared" si="75"/>
        <v/>
      </c>
      <c r="KF13" s="14" t="str">
        <f t="shared" si="76"/>
        <v/>
      </c>
      <c r="KG13" s="14" t="str">
        <f t="shared" si="77"/>
        <v/>
      </c>
      <c r="KH13" s="14" t="str">
        <f t="shared" si="78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79"/>
        <v/>
      </c>
      <c r="KZ13" s="11" t="str">
        <f t="shared" si="80"/>
        <v/>
      </c>
      <c r="LA13" s="11" t="str">
        <f t="shared" si="81"/>
        <v/>
      </c>
      <c r="LB13" s="11" t="str">
        <f t="shared" si="82"/>
        <v/>
      </c>
      <c r="LC13" s="11" t="str">
        <f t="shared" si="83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4"/>
        <v/>
      </c>
      <c r="LU13" s="14" t="str">
        <f t="shared" si="85"/>
        <v/>
      </c>
      <c r="LV13" s="14" t="str">
        <f t="shared" si="86"/>
        <v/>
      </c>
      <c r="LW13" s="14" t="str">
        <f t="shared" si="87"/>
        <v/>
      </c>
      <c r="LX13" s="14" t="str">
        <f t="shared" si="88"/>
        <v/>
      </c>
      <c r="LY13" s="61">
        <f t="shared" si="89"/>
        <v>28.15</v>
      </c>
      <c r="LZ13" s="61">
        <f t="shared" si="90"/>
        <v>3.3</v>
      </c>
      <c r="MA13" s="61">
        <f t="shared" si="91"/>
        <v>0.6</v>
      </c>
      <c r="MB13" s="61">
        <f t="shared" si="92"/>
        <v>0</v>
      </c>
      <c r="MC13" s="61">
        <f t="shared" si="93"/>
        <v>28.05</v>
      </c>
      <c r="MD13" s="61">
        <f t="shared" si="94"/>
        <v>3.3</v>
      </c>
      <c r="ME13" s="61">
        <f t="shared" si="95"/>
        <v>0.45</v>
      </c>
      <c r="MF13" s="61">
        <f t="shared" si="96"/>
        <v>0</v>
      </c>
      <c r="MG13" s="61">
        <f t="shared" si="97"/>
        <v>28.299999999999997</v>
      </c>
      <c r="MH13" s="61">
        <f t="shared" si="98"/>
        <v>3.5</v>
      </c>
      <c r="MI13" s="61">
        <f t="shared" si="99"/>
        <v>0.15</v>
      </c>
      <c r="MJ13" s="61">
        <f t="shared" si="100"/>
        <v>0</v>
      </c>
      <c r="MK13" s="61">
        <f t="shared" si="101"/>
        <v>24.200000000000003</v>
      </c>
      <c r="ML13" s="61">
        <f t="shared" si="102"/>
        <v>2.2000000000000002</v>
      </c>
      <c r="MM13" s="61">
        <f t="shared" si="103"/>
        <v>0.15</v>
      </c>
      <c r="MN13" s="61">
        <f t="shared" si="104"/>
        <v>0</v>
      </c>
      <c r="MO13" s="72" t="s">
        <v>52</v>
      </c>
      <c r="MP13" s="11">
        <f t="shared" si="105"/>
        <v>6.6</v>
      </c>
      <c r="MQ13" s="11">
        <f t="shared" si="106"/>
        <v>61.75</v>
      </c>
      <c r="MR13" s="11">
        <f t="shared" si="107"/>
        <v>5.7</v>
      </c>
      <c r="MS13" s="11">
        <f t="shared" si="108"/>
        <v>57.900000000000006</v>
      </c>
      <c r="MT13" s="11">
        <f t="shared" si="109"/>
        <v>119.65</v>
      </c>
    </row>
    <row r="14" spans="1:358" x14ac:dyDescent="0.2">
      <c r="A14" s="5" t="str">
        <f t="shared" si="0"/>
        <v/>
      </c>
      <c r="B14" s="8" t="s">
        <v>151</v>
      </c>
      <c r="C14" s="4" t="s">
        <v>95</v>
      </c>
      <c r="D14" s="5">
        <v>2003</v>
      </c>
      <c r="E14" s="15">
        <f t="shared" si="110"/>
        <v>182.9</v>
      </c>
      <c r="F14" s="3" t="str">
        <f t="shared" si="1"/>
        <v/>
      </c>
      <c r="G14" s="3" t="str">
        <f t="shared" si="2"/>
        <v/>
      </c>
      <c r="H14" s="116" t="str">
        <f t="shared" si="3"/>
        <v/>
      </c>
      <c r="I14" s="3" t="str">
        <f t="shared" si="4"/>
        <v/>
      </c>
      <c r="J14" s="14">
        <f t="shared" si="5"/>
        <v>61.9</v>
      </c>
      <c r="K14" s="14" t="str">
        <f t="shared" si="6"/>
        <v>2021 Canadian Championships</v>
      </c>
      <c r="L14" s="14">
        <f t="shared" si="7"/>
        <v>121</v>
      </c>
      <c r="M14" s="14" t="str">
        <f t="shared" si="8"/>
        <v>2021 Elite Canada</v>
      </c>
      <c r="N14" s="14" t="str">
        <f t="shared" si="9"/>
        <v/>
      </c>
      <c r="O14" s="24" t="str">
        <f t="shared" si="10"/>
        <v/>
      </c>
      <c r="P14" s="14" t="str">
        <f t="shared" si="11"/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 t="shared" si="12"/>
        <v/>
      </c>
      <c r="AI14" s="11" t="str">
        <f t="shared" si="13"/>
        <v/>
      </c>
      <c r="AJ14" s="11" t="str">
        <f t="shared" si="14"/>
        <v/>
      </c>
      <c r="AK14" s="11" t="str">
        <f t="shared" si="15"/>
        <v/>
      </c>
      <c r="AL14" s="11" t="str">
        <f t="shared" si="16"/>
        <v/>
      </c>
      <c r="AM14" s="36">
        <v>25.2</v>
      </c>
      <c r="AN14" s="36">
        <v>3.2</v>
      </c>
      <c r="AO14" s="36">
        <v>0.3</v>
      </c>
      <c r="AP14" s="36">
        <v>0</v>
      </c>
      <c r="AQ14" s="36">
        <v>28</v>
      </c>
      <c r="AR14" s="36">
        <v>3.1</v>
      </c>
      <c r="AS14" s="36">
        <v>0</v>
      </c>
      <c r="AT14" s="36">
        <v>0</v>
      </c>
      <c r="AU14" s="36">
        <v>27.5</v>
      </c>
      <c r="AV14" s="36">
        <v>3.3</v>
      </c>
      <c r="AW14" s="36">
        <v>0</v>
      </c>
      <c r="AX14" s="36">
        <v>0</v>
      </c>
      <c r="AY14" s="36">
        <v>27.6</v>
      </c>
      <c r="AZ14" s="36">
        <v>3.4</v>
      </c>
      <c r="BA14" s="36">
        <v>0</v>
      </c>
      <c r="BB14" s="36">
        <v>0</v>
      </c>
      <c r="BC14" s="73"/>
      <c r="BD14" s="14">
        <f t="shared" si="17"/>
        <v>6.3000000000000007</v>
      </c>
      <c r="BE14" s="14">
        <f t="shared" si="18"/>
        <v>59.2</v>
      </c>
      <c r="BF14" s="14">
        <f t="shared" si="19"/>
        <v>6.6999999999999993</v>
      </c>
      <c r="BG14" s="14">
        <f t="shared" si="20"/>
        <v>61.800000000000004</v>
      </c>
      <c r="BH14" s="14">
        <f t="shared" si="21"/>
        <v>121</v>
      </c>
      <c r="BI14" s="61">
        <v>27.9</v>
      </c>
      <c r="BJ14" s="61">
        <v>3.6</v>
      </c>
      <c r="BK14" s="61">
        <v>0</v>
      </c>
      <c r="BL14" s="61">
        <v>0</v>
      </c>
      <c r="BM14" s="61">
        <v>28</v>
      </c>
      <c r="BN14" s="61">
        <v>3.3</v>
      </c>
      <c r="BO14" s="61">
        <v>0.9</v>
      </c>
      <c r="BP14" s="61">
        <v>0</v>
      </c>
      <c r="BQ14" s="61">
        <v>27.9</v>
      </c>
      <c r="BR14" s="61">
        <v>3.4</v>
      </c>
      <c r="BS14" s="61">
        <v>0</v>
      </c>
      <c r="BT14" s="61">
        <v>0</v>
      </c>
      <c r="BU14" s="61">
        <v>27.5</v>
      </c>
      <c r="BV14" s="61">
        <v>4.4000000000000004</v>
      </c>
      <c r="BW14" s="61">
        <v>0.3</v>
      </c>
      <c r="BX14" s="61">
        <v>0</v>
      </c>
      <c r="BY14" s="72"/>
      <c r="BZ14" s="11">
        <f t="shared" si="22"/>
        <v>6.9</v>
      </c>
      <c r="CA14" s="11">
        <f t="shared" si="23"/>
        <v>61.9</v>
      </c>
      <c r="CB14" s="11">
        <f t="shared" si="24"/>
        <v>7.8000000000000007</v>
      </c>
      <c r="CC14" s="11">
        <f t="shared" si="25"/>
        <v>62.9</v>
      </c>
      <c r="CD14" s="11">
        <f t="shared" si="26"/>
        <v>124.8</v>
      </c>
      <c r="CE14" s="23" t="str">
        <f t="shared" si="27"/>
        <v/>
      </c>
      <c r="CF14" s="23" t="str">
        <f t="shared" si="28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29"/>
        <v/>
      </c>
      <c r="CX14" s="11" t="str">
        <f t="shared" si="30"/>
        <v/>
      </c>
      <c r="CY14" s="11" t="str">
        <f t="shared" si="31"/>
        <v/>
      </c>
      <c r="CZ14" s="11" t="str">
        <f t="shared" si="32"/>
        <v/>
      </c>
      <c r="DA14" s="11" t="str">
        <f t="shared" si="33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4"/>
        <v/>
      </c>
      <c r="DS14" s="14" t="str">
        <f t="shared" si="35"/>
        <v/>
      </c>
      <c r="DT14" s="14" t="str">
        <f t="shared" si="36"/>
        <v/>
      </c>
      <c r="DU14" s="14" t="str">
        <f t="shared" si="37"/>
        <v/>
      </c>
      <c r="DV14" s="14" t="str">
        <f t="shared" si="38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39"/>
        <v/>
      </c>
      <c r="EN14" s="11" t="str">
        <f t="shared" si="40"/>
        <v/>
      </c>
      <c r="EO14" s="11" t="str">
        <f t="shared" si="41"/>
        <v/>
      </c>
      <c r="EP14" s="11" t="str">
        <f t="shared" si="42"/>
        <v/>
      </c>
      <c r="EQ14" s="11" t="str">
        <f t="shared" si="43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4"/>
        <v/>
      </c>
      <c r="FI14" s="14" t="str">
        <f t="shared" si="45"/>
        <v/>
      </c>
      <c r="FJ14" s="14" t="str">
        <f t="shared" si="46"/>
        <v/>
      </c>
      <c r="FK14" s="14" t="str">
        <f t="shared" si="47"/>
        <v/>
      </c>
      <c r="FL14" s="14" t="str">
        <f t="shared" si="48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49"/>
        <v/>
      </c>
      <c r="GD14" s="11" t="str">
        <f t="shared" si="50"/>
        <v/>
      </c>
      <c r="GE14" s="11" t="str">
        <f t="shared" si="51"/>
        <v/>
      </c>
      <c r="GF14" s="11" t="str">
        <f t="shared" si="52"/>
        <v/>
      </c>
      <c r="GG14" s="11" t="str">
        <f t="shared" si="53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4"/>
        <v/>
      </c>
      <c r="GY14" s="14" t="str">
        <f t="shared" si="55"/>
        <v/>
      </c>
      <c r="GZ14" s="14" t="str">
        <f t="shared" si="56"/>
        <v/>
      </c>
      <c r="HA14" s="14" t="str">
        <f t="shared" si="57"/>
        <v/>
      </c>
      <c r="HB14" s="14" t="str">
        <f t="shared" si="58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59"/>
        <v/>
      </c>
      <c r="HT14" s="11" t="str">
        <f t="shared" si="60"/>
        <v/>
      </c>
      <c r="HU14" s="11" t="str">
        <f t="shared" si="61"/>
        <v/>
      </c>
      <c r="HV14" s="11" t="str">
        <f t="shared" si="62"/>
        <v/>
      </c>
      <c r="HW14" s="11" t="str">
        <f t="shared" si="63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4"/>
        <v/>
      </c>
      <c r="IO14" s="14" t="str">
        <f t="shared" si="65"/>
        <v/>
      </c>
      <c r="IP14" s="14" t="str">
        <f t="shared" si="66"/>
        <v/>
      </c>
      <c r="IQ14" s="14" t="str">
        <f t="shared" si="67"/>
        <v/>
      </c>
      <c r="IR14" s="14" t="str">
        <f t="shared" si="68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69"/>
        <v/>
      </c>
      <c r="JJ14" s="11" t="str">
        <f t="shared" si="70"/>
        <v/>
      </c>
      <c r="JK14" s="11" t="str">
        <f t="shared" si="71"/>
        <v/>
      </c>
      <c r="JL14" s="11" t="str">
        <f t="shared" si="72"/>
        <v/>
      </c>
      <c r="JM14" s="11" t="str">
        <f t="shared" si="73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4"/>
        <v/>
      </c>
      <c r="KE14" s="14" t="str">
        <f t="shared" si="75"/>
        <v/>
      </c>
      <c r="KF14" s="14" t="str">
        <f t="shared" si="76"/>
        <v/>
      </c>
      <c r="KG14" s="14" t="str">
        <f t="shared" si="77"/>
        <v/>
      </c>
      <c r="KH14" s="14" t="str">
        <f t="shared" si="78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79"/>
        <v/>
      </c>
      <c r="KZ14" s="11" t="str">
        <f t="shared" si="80"/>
        <v/>
      </c>
      <c r="LA14" s="11" t="str">
        <f t="shared" si="81"/>
        <v/>
      </c>
      <c r="LB14" s="11" t="str">
        <f t="shared" si="82"/>
        <v/>
      </c>
      <c r="LC14" s="11" t="str">
        <f t="shared" si="83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4"/>
        <v/>
      </c>
      <c r="LU14" s="14" t="str">
        <f t="shared" si="85"/>
        <v/>
      </c>
      <c r="LV14" s="14" t="str">
        <f t="shared" si="86"/>
        <v/>
      </c>
      <c r="LW14" s="14" t="str">
        <f t="shared" si="87"/>
        <v/>
      </c>
      <c r="LX14" s="14" t="str">
        <f t="shared" si="88"/>
        <v/>
      </c>
      <c r="LY14" s="61">
        <f t="shared" si="89"/>
        <v>26.549999999999997</v>
      </c>
      <c r="LZ14" s="61">
        <f t="shared" si="90"/>
        <v>3.4000000000000004</v>
      </c>
      <c r="MA14" s="61">
        <f t="shared" si="91"/>
        <v>0.15</v>
      </c>
      <c r="MB14" s="61">
        <f t="shared" si="92"/>
        <v>0</v>
      </c>
      <c r="MC14" s="61">
        <f t="shared" si="93"/>
        <v>28</v>
      </c>
      <c r="MD14" s="61">
        <f t="shared" si="94"/>
        <v>3.2</v>
      </c>
      <c r="ME14" s="61">
        <f t="shared" si="95"/>
        <v>0.45</v>
      </c>
      <c r="MF14" s="61">
        <f t="shared" si="96"/>
        <v>0</v>
      </c>
      <c r="MG14" s="61">
        <f t="shared" si="97"/>
        <v>27.7</v>
      </c>
      <c r="MH14" s="61">
        <f t="shared" si="98"/>
        <v>3.3499999999999996</v>
      </c>
      <c r="MI14" s="61">
        <f t="shared" si="99"/>
        <v>0</v>
      </c>
      <c r="MJ14" s="61">
        <f t="shared" si="100"/>
        <v>0</v>
      </c>
      <c r="MK14" s="61">
        <f t="shared" si="101"/>
        <v>27.55</v>
      </c>
      <c r="ML14" s="61">
        <f t="shared" si="102"/>
        <v>3.9000000000000004</v>
      </c>
      <c r="MM14" s="61">
        <f t="shared" si="103"/>
        <v>0.15</v>
      </c>
      <c r="MN14" s="61">
        <f t="shared" si="104"/>
        <v>0</v>
      </c>
      <c r="MO14" s="72" t="s">
        <v>52</v>
      </c>
      <c r="MP14" s="11">
        <f t="shared" si="105"/>
        <v>6.6000000000000005</v>
      </c>
      <c r="MQ14" s="11">
        <f t="shared" si="106"/>
        <v>60.55</v>
      </c>
      <c r="MR14" s="11">
        <f t="shared" si="107"/>
        <v>7.25</v>
      </c>
      <c r="MS14" s="11">
        <f t="shared" si="108"/>
        <v>62.349999999999994</v>
      </c>
      <c r="MT14" s="11">
        <f t="shared" si="109"/>
        <v>122.89999999999999</v>
      </c>
    </row>
    <row r="15" spans="1:358" x14ac:dyDescent="0.2">
      <c r="A15" s="5" t="str">
        <f t="shared" si="0"/>
        <v/>
      </c>
      <c r="B15" s="8" t="s">
        <v>109</v>
      </c>
      <c r="C15" s="4" t="s">
        <v>5</v>
      </c>
      <c r="D15" s="5">
        <v>2001</v>
      </c>
      <c r="E15" s="15">
        <f t="shared" si="110"/>
        <v>182.7</v>
      </c>
      <c r="F15" s="3" t="str">
        <f t="shared" si="1"/>
        <v/>
      </c>
      <c r="G15" s="3" t="str">
        <f t="shared" si="2"/>
        <v/>
      </c>
      <c r="H15" s="116" t="str">
        <f t="shared" si="3"/>
        <v/>
      </c>
      <c r="I15" s="3" t="str">
        <f t="shared" si="4"/>
        <v/>
      </c>
      <c r="J15" s="14">
        <f t="shared" si="5"/>
        <v>62.6</v>
      </c>
      <c r="K15" s="14" t="str">
        <f t="shared" si="6"/>
        <v>2021 Elite Canada</v>
      </c>
      <c r="L15" s="14">
        <f t="shared" si="7"/>
        <v>120.1</v>
      </c>
      <c r="M15" s="14" t="str">
        <f t="shared" si="8"/>
        <v>2021 2nd Virtual Technical Trial</v>
      </c>
      <c r="N15" s="14" t="str">
        <f t="shared" si="9"/>
        <v/>
      </c>
      <c r="O15" s="24" t="str">
        <f t="shared" si="10"/>
        <v/>
      </c>
      <c r="P15" s="14" t="str">
        <f t="shared" si="11"/>
        <v/>
      </c>
      <c r="Q15" s="61">
        <v>27.3</v>
      </c>
      <c r="R15" s="61">
        <v>4.4000000000000004</v>
      </c>
      <c r="S15" s="61">
        <v>1.2</v>
      </c>
      <c r="T15" s="61">
        <v>0</v>
      </c>
      <c r="U15" s="61">
        <v>28.2</v>
      </c>
      <c r="V15" s="61">
        <v>3.5</v>
      </c>
      <c r="W15" s="61">
        <v>0</v>
      </c>
      <c r="X15" s="61">
        <v>0</v>
      </c>
      <c r="Y15" s="61">
        <v>27.3</v>
      </c>
      <c r="Z15" s="61">
        <v>4.8</v>
      </c>
      <c r="AA15" s="61">
        <v>0</v>
      </c>
      <c r="AB15" s="61">
        <v>0</v>
      </c>
      <c r="AC15" s="61">
        <v>28.2</v>
      </c>
      <c r="AD15" s="61">
        <v>1.8</v>
      </c>
      <c r="AE15" s="61">
        <v>4.2</v>
      </c>
      <c r="AF15" s="61">
        <v>0</v>
      </c>
      <c r="AG15" s="72"/>
      <c r="AH15" s="11">
        <f t="shared" si="12"/>
        <v>7.9</v>
      </c>
      <c r="AI15" s="11">
        <f t="shared" si="13"/>
        <v>62.2</v>
      </c>
      <c r="AJ15" s="11">
        <f t="shared" si="14"/>
        <v>6.6</v>
      </c>
      <c r="AK15" s="11">
        <f t="shared" si="15"/>
        <v>57.899999999999991</v>
      </c>
      <c r="AL15" s="11">
        <f t="shared" si="16"/>
        <v>120.1</v>
      </c>
      <c r="AM15" s="36">
        <v>27.1</v>
      </c>
      <c r="AN15" s="36">
        <v>4.8</v>
      </c>
      <c r="AO15" s="36">
        <v>0.3</v>
      </c>
      <c r="AP15" s="36">
        <v>0</v>
      </c>
      <c r="AQ15" s="36">
        <v>27.3</v>
      </c>
      <c r="AR15" s="36">
        <v>4</v>
      </c>
      <c r="AS15" s="36">
        <v>0.3</v>
      </c>
      <c r="AT15" s="36">
        <v>0</v>
      </c>
      <c r="AU15" s="36">
        <v>19.7</v>
      </c>
      <c r="AV15" s="36">
        <v>2</v>
      </c>
      <c r="AW15" s="36">
        <v>0</v>
      </c>
      <c r="AX15" s="36">
        <v>0</v>
      </c>
      <c r="AY15" s="36">
        <v>19.600000000000001</v>
      </c>
      <c r="AZ15" s="36">
        <v>2.4</v>
      </c>
      <c r="BA15" s="36">
        <v>0</v>
      </c>
      <c r="BB15" s="36">
        <v>0</v>
      </c>
      <c r="BC15" s="73"/>
      <c r="BD15" s="14">
        <f t="shared" si="17"/>
        <v>8.8000000000000007</v>
      </c>
      <c r="BE15" s="14">
        <f t="shared" si="18"/>
        <v>62.6</v>
      </c>
      <c r="BF15" s="14">
        <f t="shared" si="19"/>
        <v>4.4000000000000004</v>
      </c>
      <c r="BG15" s="14">
        <f t="shared" si="20"/>
        <v>43.699999999999996</v>
      </c>
      <c r="BH15" s="14">
        <f t="shared" si="21"/>
        <v>106.3</v>
      </c>
      <c r="BI15" s="61">
        <v>26.7</v>
      </c>
      <c r="BJ15" s="61">
        <v>4.4000000000000004</v>
      </c>
      <c r="BK15" s="61">
        <v>1.2</v>
      </c>
      <c r="BL15" s="61">
        <v>0</v>
      </c>
      <c r="BM15" s="61">
        <v>27.9</v>
      </c>
      <c r="BN15" s="61">
        <v>3.1</v>
      </c>
      <c r="BO15" s="61">
        <v>0</v>
      </c>
      <c r="BP15" s="61">
        <v>0</v>
      </c>
      <c r="BQ15" s="61">
        <v>19.8</v>
      </c>
      <c r="BR15" s="61">
        <v>2.4</v>
      </c>
      <c r="BS15" s="61">
        <v>0</v>
      </c>
      <c r="BT15" s="61">
        <v>0</v>
      </c>
      <c r="BU15" s="61">
        <v>27.9</v>
      </c>
      <c r="BV15" s="61">
        <v>1.2</v>
      </c>
      <c r="BW15" s="61">
        <v>2.1</v>
      </c>
      <c r="BX15" s="61">
        <v>0</v>
      </c>
      <c r="BY15" s="72"/>
      <c r="BZ15" s="11">
        <f t="shared" si="22"/>
        <v>7.5</v>
      </c>
      <c r="CA15" s="11">
        <f t="shared" si="23"/>
        <v>60.9</v>
      </c>
      <c r="CB15" s="11">
        <f t="shared" si="24"/>
        <v>3.5999999999999996</v>
      </c>
      <c r="CC15" s="11">
        <f t="shared" si="25"/>
        <v>49.199999999999996</v>
      </c>
      <c r="CD15" s="11">
        <f t="shared" si="26"/>
        <v>110.1</v>
      </c>
      <c r="CE15" s="23" t="str">
        <f t="shared" si="27"/>
        <v/>
      </c>
      <c r="CF15" s="23" t="str">
        <f t="shared" si="28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29"/>
        <v/>
      </c>
      <c r="CX15" s="11" t="str">
        <f t="shared" si="30"/>
        <v/>
      </c>
      <c r="CY15" s="11" t="str">
        <f t="shared" si="31"/>
        <v/>
      </c>
      <c r="CZ15" s="11" t="str">
        <f t="shared" si="32"/>
        <v/>
      </c>
      <c r="DA15" s="11" t="str">
        <f t="shared" si="33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4"/>
        <v/>
      </c>
      <c r="DS15" s="14" t="str">
        <f t="shared" si="35"/>
        <v/>
      </c>
      <c r="DT15" s="14" t="str">
        <f t="shared" si="36"/>
        <v/>
      </c>
      <c r="DU15" s="14" t="str">
        <f t="shared" si="37"/>
        <v/>
      </c>
      <c r="DV15" s="14" t="str">
        <f t="shared" si="38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39"/>
        <v/>
      </c>
      <c r="EN15" s="11" t="str">
        <f t="shared" si="40"/>
        <v/>
      </c>
      <c r="EO15" s="11" t="str">
        <f t="shared" si="41"/>
        <v/>
      </c>
      <c r="EP15" s="11" t="str">
        <f t="shared" si="42"/>
        <v/>
      </c>
      <c r="EQ15" s="11" t="str">
        <f t="shared" si="43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4"/>
        <v/>
      </c>
      <c r="FI15" s="14" t="str">
        <f t="shared" si="45"/>
        <v/>
      </c>
      <c r="FJ15" s="14" t="str">
        <f t="shared" si="46"/>
        <v/>
      </c>
      <c r="FK15" s="14" t="str">
        <f t="shared" si="47"/>
        <v/>
      </c>
      <c r="FL15" s="14" t="str">
        <f t="shared" si="48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49"/>
        <v/>
      </c>
      <c r="GD15" s="11" t="str">
        <f t="shared" si="50"/>
        <v/>
      </c>
      <c r="GE15" s="11" t="str">
        <f t="shared" si="51"/>
        <v/>
      </c>
      <c r="GF15" s="11" t="str">
        <f t="shared" si="52"/>
        <v/>
      </c>
      <c r="GG15" s="11" t="str">
        <f t="shared" si="53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4"/>
        <v/>
      </c>
      <c r="GY15" s="14" t="str">
        <f t="shared" si="55"/>
        <v/>
      </c>
      <c r="GZ15" s="14" t="str">
        <f t="shared" si="56"/>
        <v/>
      </c>
      <c r="HA15" s="14" t="str">
        <f t="shared" si="57"/>
        <v/>
      </c>
      <c r="HB15" s="14" t="str">
        <f t="shared" si="58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59"/>
        <v/>
      </c>
      <c r="HT15" s="11" t="str">
        <f t="shared" si="60"/>
        <v/>
      </c>
      <c r="HU15" s="11" t="str">
        <f t="shared" si="61"/>
        <v/>
      </c>
      <c r="HV15" s="11" t="str">
        <f t="shared" si="62"/>
        <v/>
      </c>
      <c r="HW15" s="11" t="str">
        <f t="shared" si="63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4"/>
        <v/>
      </c>
      <c r="IO15" s="14" t="str">
        <f t="shared" si="65"/>
        <v/>
      </c>
      <c r="IP15" s="14" t="str">
        <f t="shared" si="66"/>
        <v/>
      </c>
      <c r="IQ15" s="14" t="str">
        <f t="shared" si="67"/>
        <v/>
      </c>
      <c r="IR15" s="14" t="str">
        <f t="shared" si="68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69"/>
        <v/>
      </c>
      <c r="JJ15" s="11" t="str">
        <f t="shared" si="70"/>
        <v/>
      </c>
      <c r="JK15" s="11" t="str">
        <f t="shared" si="71"/>
        <v/>
      </c>
      <c r="JL15" s="11" t="str">
        <f t="shared" si="72"/>
        <v/>
      </c>
      <c r="JM15" s="11" t="str">
        <f t="shared" si="73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4"/>
        <v/>
      </c>
      <c r="KE15" s="14" t="str">
        <f t="shared" si="75"/>
        <v/>
      </c>
      <c r="KF15" s="14" t="str">
        <f t="shared" si="76"/>
        <v/>
      </c>
      <c r="KG15" s="14" t="str">
        <f t="shared" si="77"/>
        <v/>
      </c>
      <c r="KH15" s="14" t="str">
        <f t="shared" si="78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79"/>
        <v/>
      </c>
      <c r="KZ15" s="11" t="str">
        <f t="shared" si="80"/>
        <v/>
      </c>
      <c r="LA15" s="11" t="str">
        <f t="shared" si="81"/>
        <v/>
      </c>
      <c r="LB15" s="11" t="str">
        <f t="shared" si="82"/>
        <v/>
      </c>
      <c r="LC15" s="11" t="str">
        <f t="shared" si="83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4"/>
        <v/>
      </c>
      <c r="LU15" s="14" t="str">
        <f t="shared" si="85"/>
        <v/>
      </c>
      <c r="LV15" s="14" t="str">
        <f t="shared" si="86"/>
        <v/>
      </c>
      <c r="LW15" s="14" t="str">
        <f t="shared" si="87"/>
        <v/>
      </c>
      <c r="LX15" s="14" t="str">
        <f t="shared" si="88"/>
        <v/>
      </c>
      <c r="LY15" s="61">
        <f t="shared" si="89"/>
        <v>26.9</v>
      </c>
      <c r="LZ15" s="61">
        <f t="shared" si="90"/>
        <v>4.5999999999999996</v>
      </c>
      <c r="MA15" s="61">
        <f t="shared" si="91"/>
        <v>0.75</v>
      </c>
      <c r="MB15" s="61">
        <f t="shared" si="92"/>
        <v>0</v>
      </c>
      <c r="MC15" s="61">
        <f t="shared" si="93"/>
        <v>27.6</v>
      </c>
      <c r="MD15" s="61">
        <f t="shared" si="94"/>
        <v>3.55</v>
      </c>
      <c r="ME15" s="61">
        <f t="shared" si="95"/>
        <v>0.15</v>
      </c>
      <c r="MF15" s="61">
        <f t="shared" si="96"/>
        <v>0</v>
      </c>
      <c r="MG15" s="61">
        <f t="shared" si="97"/>
        <v>19.75</v>
      </c>
      <c r="MH15" s="61">
        <f t="shared" si="98"/>
        <v>2.2000000000000002</v>
      </c>
      <c r="MI15" s="61">
        <f t="shared" si="99"/>
        <v>0</v>
      </c>
      <c r="MJ15" s="61">
        <f t="shared" si="100"/>
        <v>0</v>
      </c>
      <c r="MK15" s="61">
        <f t="shared" si="101"/>
        <v>23.75</v>
      </c>
      <c r="ML15" s="61">
        <f t="shared" si="102"/>
        <v>1.7999999999999998</v>
      </c>
      <c r="MM15" s="61">
        <f t="shared" si="103"/>
        <v>1.05</v>
      </c>
      <c r="MN15" s="61">
        <f t="shared" si="104"/>
        <v>0</v>
      </c>
      <c r="MO15" s="72" t="s">
        <v>52</v>
      </c>
      <c r="MP15" s="11">
        <f t="shared" si="105"/>
        <v>8.1499999999999986</v>
      </c>
      <c r="MQ15" s="11">
        <f t="shared" si="106"/>
        <v>61.75</v>
      </c>
      <c r="MR15" s="11">
        <f t="shared" si="107"/>
        <v>4</v>
      </c>
      <c r="MS15" s="11">
        <f t="shared" si="108"/>
        <v>46.45</v>
      </c>
      <c r="MT15" s="11">
        <f t="shared" si="109"/>
        <v>108.2</v>
      </c>
    </row>
    <row r="16" spans="1:358" x14ac:dyDescent="0.2">
      <c r="A16" s="5" t="str">
        <f t="shared" si="0"/>
        <v/>
      </c>
      <c r="B16" s="8" t="s">
        <v>125</v>
      </c>
      <c r="C16" s="4" t="s">
        <v>5</v>
      </c>
      <c r="D16" s="5">
        <v>2001</v>
      </c>
      <c r="E16" s="15">
        <f t="shared" si="110"/>
        <v>156.60000000000002</v>
      </c>
      <c r="F16" s="3" t="str">
        <f t="shared" si="1"/>
        <v/>
      </c>
      <c r="G16" s="3" t="str">
        <f t="shared" si="2"/>
        <v/>
      </c>
      <c r="H16" s="116" t="str">
        <f t="shared" si="3"/>
        <v/>
      </c>
      <c r="I16" s="3" t="str">
        <f t="shared" si="4"/>
        <v/>
      </c>
      <c r="J16" s="14">
        <f t="shared" si="5"/>
        <v>65.2</v>
      </c>
      <c r="K16" s="14" t="str">
        <f t="shared" si="6"/>
        <v>2021 2nd Virtual Technical Trial</v>
      </c>
      <c r="L16" s="14">
        <f t="shared" si="7"/>
        <v>91.4</v>
      </c>
      <c r="M16" s="14" t="str">
        <f t="shared" si="8"/>
        <v>2021 Elite Canada</v>
      </c>
      <c r="N16" s="14" t="str">
        <f t="shared" si="9"/>
        <v/>
      </c>
      <c r="O16" s="24" t="str">
        <f t="shared" si="10"/>
        <v/>
      </c>
      <c r="P16" s="14" t="str">
        <f t="shared" si="11"/>
        <v/>
      </c>
      <c r="Q16" s="61">
        <v>27.5</v>
      </c>
      <c r="R16" s="61">
        <v>5.2</v>
      </c>
      <c r="S16" s="61">
        <v>0.3</v>
      </c>
      <c r="T16" s="61">
        <v>0</v>
      </c>
      <c r="U16" s="61">
        <v>27.6</v>
      </c>
      <c r="V16" s="61">
        <v>5.2</v>
      </c>
      <c r="W16" s="61">
        <v>0</v>
      </c>
      <c r="X16" s="61">
        <v>0</v>
      </c>
      <c r="Y16" s="61">
        <v>28.8</v>
      </c>
      <c r="Z16" s="61">
        <v>3.4</v>
      </c>
      <c r="AA16" s="61">
        <v>0</v>
      </c>
      <c r="AB16" s="61">
        <v>0</v>
      </c>
      <c r="AC16" s="61">
        <v>27.5</v>
      </c>
      <c r="AD16" s="61">
        <v>3.6</v>
      </c>
      <c r="AE16" s="61">
        <v>3</v>
      </c>
      <c r="AF16" s="61">
        <v>0</v>
      </c>
      <c r="AG16" s="72"/>
      <c r="AH16" s="11">
        <f t="shared" si="12"/>
        <v>10.4</v>
      </c>
      <c r="AI16" s="11">
        <f t="shared" si="13"/>
        <v>65.2</v>
      </c>
      <c r="AJ16" s="11">
        <f t="shared" si="14"/>
        <v>7</v>
      </c>
      <c r="AK16" s="11">
        <f t="shared" si="15"/>
        <v>60.300000000000004</v>
      </c>
      <c r="AL16" s="11">
        <f t="shared" si="16"/>
        <v>125.5</v>
      </c>
      <c r="AM16" s="36">
        <v>25</v>
      </c>
      <c r="AN16" s="36">
        <v>5.2</v>
      </c>
      <c r="AO16" s="36">
        <v>1.2</v>
      </c>
      <c r="AP16" s="36">
        <v>0</v>
      </c>
      <c r="AQ16" s="36">
        <v>26.7</v>
      </c>
      <c r="AR16" s="36">
        <v>5.2</v>
      </c>
      <c r="AS16" s="36">
        <v>0.3</v>
      </c>
      <c r="AT16" s="36">
        <v>0</v>
      </c>
      <c r="AU16" s="36">
        <v>27.8</v>
      </c>
      <c r="AV16" s="36">
        <v>3.9</v>
      </c>
      <c r="AW16" s="36">
        <v>0.9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73"/>
      <c r="BD16" s="14">
        <f t="shared" si="17"/>
        <v>10.4</v>
      </c>
      <c r="BE16" s="14">
        <f t="shared" si="18"/>
        <v>60.6</v>
      </c>
      <c r="BF16" s="14">
        <f t="shared" si="19"/>
        <v>3.9</v>
      </c>
      <c r="BG16" s="14">
        <f t="shared" si="20"/>
        <v>30.8</v>
      </c>
      <c r="BH16" s="14">
        <f t="shared" si="21"/>
        <v>91.4</v>
      </c>
      <c r="BI16" s="61">
        <v>28</v>
      </c>
      <c r="BJ16" s="61">
        <v>5.2</v>
      </c>
      <c r="BK16" s="61">
        <v>0</v>
      </c>
      <c r="BL16" s="61">
        <v>0</v>
      </c>
      <c r="BM16" s="61">
        <v>0</v>
      </c>
      <c r="BN16" s="61">
        <v>0</v>
      </c>
      <c r="BO16" s="61">
        <v>0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 t="shared" si="22"/>
        <v>5.2</v>
      </c>
      <c r="CA16" s="11">
        <f t="shared" si="23"/>
        <v>33.200000000000003</v>
      </c>
      <c r="CB16" s="11" t="str">
        <f t="shared" si="24"/>
        <v/>
      </c>
      <c r="CC16" s="11" t="str">
        <f t="shared" si="25"/>
        <v/>
      </c>
      <c r="CD16" s="11">
        <f t="shared" si="26"/>
        <v>33.200000000000003</v>
      </c>
      <c r="CE16" s="23" t="str">
        <f t="shared" si="27"/>
        <v/>
      </c>
      <c r="CF16" s="23" t="str">
        <f t="shared" si="28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29"/>
        <v/>
      </c>
      <c r="CX16" s="11" t="str">
        <f t="shared" si="30"/>
        <v/>
      </c>
      <c r="CY16" s="11" t="str">
        <f t="shared" si="31"/>
        <v/>
      </c>
      <c r="CZ16" s="11" t="str">
        <f t="shared" si="32"/>
        <v/>
      </c>
      <c r="DA16" s="11" t="str">
        <f t="shared" si="33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4"/>
        <v/>
      </c>
      <c r="DS16" s="14" t="str">
        <f t="shared" si="35"/>
        <v/>
      </c>
      <c r="DT16" s="14" t="str">
        <f t="shared" si="36"/>
        <v/>
      </c>
      <c r="DU16" s="14" t="str">
        <f t="shared" si="37"/>
        <v/>
      </c>
      <c r="DV16" s="14" t="str">
        <f t="shared" si="38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39"/>
        <v/>
      </c>
      <c r="EN16" s="11" t="str">
        <f t="shared" si="40"/>
        <v/>
      </c>
      <c r="EO16" s="11" t="str">
        <f t="shared" si="41"/>
        <v/>
      </c>
      <c r="EP16" s="11" t="str">
        <f t="shared" si="42"/>
        <v/>
      </c>
      <c r="EQ16" s="11" t="str">
        <f t="shared" si="43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4"/>
        <v/>
      </c>
      <c r="FI16" s="14" t="str">
        <f t="shared" si="45"/>
        <v/>
      </c>
      <c r="FJ16" s="14" t="str">
        <f t="shared" si="46"/>
        <v/>
      </c>
      <c r="FK16" s="14" t="str">
        <f t="shared" si="47"/>
        <v/>
      </c>
      <c r="FL16" s="14" t="str">
        <f t="shared" si="48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49"/>
        <v/>
      </c>
      <c r="GD16" s="11" t="str">
        <f t="shared" si="50"/>
        <v/>
      </c>
      <c r="GE16" s="11" t="str">
        <f t="shared" si="51"/>
        <v/>
      </c>
      <c r="GF16" s="11" t="str">
        <f t="shared" si="52"/>
        <v/>
      </c>
      <c r="GG16" s="11" t="str">
        <f t="shared" si="53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4"/>
        <v/>
      </c>
      <c r="GY16" s="14" t="str">
        <f t="shared" si="55"/>
        <v/>
      </c>
      <c r="GZ16" s="14" t="str">
        <f t="shared" si="56"/>
        <v/>
      </c>
      <c r="HA16" s="14" t="str">
        <f t="shared" si="57"/>
        <v/>
      </c>
      <c r="HB16" s="14" t="str">
        <f t="shared" si="58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59"/>
        <v/>
      </c>
      <c r="HT16" s="11" t="str">
        <f t="shared" si="60"/>
        <v/>
      </c>
      <c r="HU16" s="11" t="str">
        <f t="shared" si="61"/>
        <v/>
      </c>
      <c r="HV16" s="11" t="str">
        <f t="shared" si="62"/>
        <v/>
      </c>
      <c r="HW16" s="11" t="str">
        <f t="shared" si="63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4"/>
        <v/>
      </c>
      <c r="IO16" s="14" t="str">
        <f t="shared" si="65"/>
        <v/>
      </c>
      <c r="IP16" s="14" t="str">
        <f t="shared" si="66"/>
        <v/>
      </c>
      <c r="IQ16" s="14" t="str">
        <f t="shared" si="67"/>
        <v/>
      </c>
      <c r="IR16" s="14" t="str">
        <f t="shared" si="68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69"/>
        <v/>
      </c>
      <c r="JJ16" s="11" t="str">
        <f t="shared" si="70"/>
        <v/>
      </c>
      <c r="JK16" s="11" t="str">
        <f t="shared" si="71"/>
        <v/>
      </c>
      <c r="JL16" s="11" t="str">
        <f t="shared" si="72"/>
        <v/>
      </c>
      <c r="JM16" s="11" t="str">
        <f t="shared" si="73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4"/>
        <v/>
      </c>
      <c r="KE16" s="14" t="str">
        <f t="shared" si="75"/>
        <v/>
      </c>
      <c r="KF16" s="14" t="str">
        <f t="shared" si="76"/>
        <v/>
      </c>
      <c r="KG16" s="14" t="str">
        <f t="shared" si="77"/>
        <v/>
      </c>
      <c r="KH16" s="14" t="str">
        <f t="shared" si="78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79"/>
        <v/>
      </c>
      <c r="KZ16" s="11" t="str">
        <f t="shared" si="80"/>
        <v/>
      </c>
      <c r="LA16" s="11" t="str">
        <f t="shared" si="81"/>
        <v/>
      </c>
      <c r="LB16" s="11" t="str">
        <f t="shared" si="82"/>
        <v/>
      </c>
      <c r="LC16" s="11" t="str">
        <f t="shared" si="83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4"/>
        <v/>
      </c>
      <c r="LU16" s="14" t="str">
        <f t="shared" si="85"/>
        <v/>
      </c>
      <c r="LV16" s="14" t="str">
        <f t="shared" si="86"/>
        <v/>
      </c>
      <c r="LW16" s="14" t="str">
        <f t="shared" si="87"/>
        <v/>
      </c>
      <c r="LX16" s="14" t="str">
        <f t="shared" si="88"/>
        <v/>
      </c>
      <c r="LY16" s="61">
        <f t="shared" si="89"/>
        <v>26.5</v>
      </c>
      <c r="LZ16" s="61">
        <f t="shared" si="90"/>
        <v>5.2</v>
      </c>
      <c r="MA16" s="61">
        <f t="shared" si="91"/>
        <v>0.6</v>
      </c>
      <c r="MB16" s="61">
        <f t="shared" si="92"/>
        <v>0</v>
      </c>
      <c r="MC16" s="61">
        <f t="shared" si="93"/>
        <v>13.35</v>
      </c>
      <c r="MD16" s="61">
        <f t="shared" si="94"/>
        <v>2.6</v>
      </c>
      <c r="ME16" s="61">
        <f t="shared" si="95"/>
        <v>0.15</v>
      </c>
      <c r="MF16" s="61">
        <f t="shared" si="96"/>
        <v>0</v>
      </c>
      <c r="MG16" s="61">
        <f t="shared" si="97"/>
        <v>13.9</v>
      </c>
      <c r="MH16" s="61">
        <f t="shared" si="98"/>
        <v>1.95</v>
      </c>
      <c r="MI16" s="61">
        <f t="shared" si="99"/>
        <v>0.45</v>
      </c>
      <c r="MJ16" s="61">
        <f t="shared" si="100"/>
        <v>0</v>
      </c>
      <c r="MK16" s="61">
        <f t="shared" si="101"/>
        <v>0</v>
      </c>
      <c r="ML16" s="61">
        <f t="shared" si="102"/>
        <v>0</v>
      </c>
      <c r="MM16" s="61">
        <f t="shared" si="103"/>
        <v>0</v>
      </c>
      <c r="MN16" s="61">
        <f t="shared" si="104"/>
        <v>0</v>
      </c>
      <c r="MO16" s="72" t="s">
        <v>52</v>
      </c>
      <c r="MP16" s="11">
        <f t="shared" si="105"/>
        <v>7.8000000000000007</v>
      </c>
      <c r="MQ16" s="11">
        <f t="shared" si="106"/>
        <v>46.9</v>
      </c>
      <c r="MR16" s="11">
        <f t="shared" si="107"/>
        <v>1.95</v>
      </c>
      <c r="MS16" s="11">
        <f t="shared" si="108"/>
        <v>15.4</v>
      </c>
      <c r="MT16" s="11">
        <f t="shared" si="109"/>
        <v>62.3</v>
      </c>
    </row>
    <row r="17" spans="1:358" x14ac:dyDescent="0.2">
      <c r="A17" s="5" t="str">
        <f t="shared" si="0"/>
        <v/>
      </c>
      <c r="B17" s="8" t="s">
        <v>126</v>
      </c>
      <c r="C17" s="4" t="s">
        <v>5</v>
      </c>
      <c r="D17" s="5">
        <v>2003</v>
      </c>
      <c r="E17" s="15">
        <f t="shared" si="110"/>
        <v>150.1</v>
      </c>
      <c r="F17" s="3" t="str">
        <f t="shared" si="1"/>
        <v/>
      </c>
      <c r="G17" s="3" t="str">
        <f t="shared" si="2"/>
        <v/>
      </c>
      <c r="H17" s="116" t="str">
        <f t="shared" si="3"/>
        <v/>
      </c>
      <c r="I17" s="3" t="str">
        <f t="shared" si="4"/>
        <v/>
      </c>
      <c r="J17" s="14">
        <f t="shared" si="5"/>
        <v>62.699999999999996</v>
      </c>
      <c r="K17" s="14" t="str">
        <f t="shared" si="6"/>
        <v>2021 2nd Virtual Technical Trial</v>
      </c>
      <c r="L17" s="14">
        <f t="shared" si="7"/>
        <v>87.4</v>
      </c>
      <c r="M17" s="14" t="str">
        <f t="shared" si="8"/>
        <v>2021 Elite Canada</v>
      </c>
      <c r="N17" s="14" t="str">
        <f t="shared" si="9"/>
        <v/>
      </c>
      <c r="O17" s="24" t="str">
        <f t="shared" si="10"/>
        <v/>
      </c>
      <c r="P17" s="14" t="str">
        <f t="shared" si="11"/>
        <v/>
      </c>
      <c r="Q17" s="61">
        <v>27.5</v>
      </c>
      <c r="R17" s="61">
        <v>4.4000000000000004</v>
      </c>
      <c r="S17" s="61">
        <v>0</v>
      </c>
      <c r="T17" s="61">
        <v>0</v>
      </c>
      <c r="U17" s="61">
        <v>27.7</v>
      </c>
      <c r="V17" s="61">
        <v>3.1</v>
      </c>
      <c r="W17" s="61">
        <v>0</v>
      </c>
      <c r="X17" s="61">
        <v>0</v>
      </c>
      <c r="Y17" s="61">
        <v>27.9</v>
      </c>
      <c r="Z17" s="61">
        <v>2.7</v>
      </c>
      <c r="AA17" s="61">
        <v>0.3</v>
      </c>
      <c r="AB17" s="61">
        <v>0</v>
      </c>
      <c r="AC17" s="61">
        <v>27.8</v>
      </c>
      <c r="AD17" s="61">
        <v>3.4</v>
      </c>
      <c r="AE17" s="61">
        <v>0</v>
      </c>
      <c r="AF17" s="61">
        <v>0</v>
      </c>
      <c r="AG17" s="72"/>
      <c r="AH17" s="11">
        <f t="shared" si="12"/>
        <v>7.5</v>
      </c>
      <c r="AI17" s="11">
        <f t="shared" si="13"/>
        <v>62.699999999999996</v>
      </c>
      <c r="AJ17" s="11">
        <f t="shared" si="14"/>
        <v>6.1</v>
      </c>
      <c r="AK17" s="11">
        <f t="shared" si="15"/>
        <v>61.5</v>
      </c>
      <c r="AL17" s="11">
        <f t="shared" si="16"/>
        <v>124.19999999999999</v>
      </c>
      <c r="AM17" s="36">
        <v>27.4</v>
      </c>
      <c r="AN17" s="36">
        <v>3.3</v>
      </c>
      <c r="AO17" s="36">
        <v>0</v>
      </c>
      <c r="AP17" s="36">
        <v>0</v>
      </c>
      <c r="AQ17" s="36">
        <v>25</v>
      </c>
      <c r="AR17" s="36">
        <v>3.1</v>
      </c>
      <c r="AS17" s="36">
        <v>0.3</v>
      </c>
      <c r="AT17" s="36">
        <v>0</v>
      </c>
      <c r="AU17" s="36">
        <v>26.5</v>
      </c>
      <c r="AV17" s="36">
        <v>2.7</v>
      </c>
      <c r="AW17" s="36">
        <v>0.3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73"/>
      <c r="BD17" s="14">
        <f t="shared" si="17"/>
        <v>6.4</v>
      </c>
      <c r="BE17" s="14">
        <f t="shared" si="18"/>
        <v>58.500000000000007</v>
      </c>
      <c r="BF17" s="14">
        <f t="shared" si="19"/>
        <v>2.7</v>
      </c>
      <c r="BG17" s="14">
        <f t="shared" si="20"/>
        <v>28.9</v>
      </c>
      <c r="BH17" s="14">
        <f t="shared" si="21"/>
        <v>87.4</v>
      </c>
      <c r="BI17" s="61">
        <v>20.6</v>
      </c>
      <c r="BJ17" s="61">
        <v>0.7</v>
      </c>
      <c r="BK17" s="61">
        <v>0</v>
      </c>
      <c r="BL17" s="61">
        <v>0</v>
      </c>
      <c r="BM17" s="61">
        <v>27.4</v>
      </c>
      <c r="BN17" s="61">
        <v>3.3</v>
      </c>
      <c r="BO17" s="61">
        <v>0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 t="shared" si="22"/>
        <v>4</v>
      </c>
      <c r="CA17" s="11">
        <f t="shared" si="23"/>
        <v>52</v>
      </c>
      <c r="CB17" s="11" t="str">
        <f t="shared" si="24"/>
        <v/>
      </c>
      <c r="CC17" s="11" t="str">
        <f t="shared" si="25"/>
        <v/>
      </c>
      <c r="CD17" s="11">
        <f t="shared" si="26"/>
        <v>52</v>
      </c>
      <c r="CE17" s="23" t="str">
        <f t="shared" si="27"/>
        <v/>
      </c>
      <c r="CF17" s="23" t="str">
        <f t="shared" si="28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29"/>
        <v/>
      </c>
      <c r="CX17" s="11" t="str">
        <f t="shared" si="30"/>
        <v/>
      </c>
      <c r="CY17" s="11" t="str">
        <f t="shared" si="31"/>
        <v/>
      </c>
      <c r="CZ17" s="11" t="str">
        <f t="shared" si="32"/>
        <v/>
      </c>
      <c r="DA17" s="11" t="str">
        <f t="shared" si="33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4"/>
        <v/>
      </c>
      <c r="DS17" s="14" t="str">
        <f t="shared" si="35"/>
        <v/>
      </c>
      <c r="DT17" s="14" t="str">
        <f t="shared" si="36"/>
        <v/>
      </c>
      <c r="DU17" s="14" t="str">
        <f t="shared" si="37"/>
        <v/>
      </c>
      <c r="DV17" s="14" t="str">
        <f t="shared" si="38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39"/>
        <v/>
      </c>
      <c r="EN17" s="11" t="str">
        <f t="shared" si="40"/>
        <v/>
      </c>
      <c r="EO17" s="11" t="str">
        <f t="shared" si="41"/>
        <v/>
      </c>
      <c r="EP17" s="11" t="str">
        <f t="shared" si="42"/>
        <v/>
      </c>
      <c r="EQ17" s="11" t="str">
        <f t="shared" si="43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4"/>
        <v/>
      </c>
      <c r="FI17" s="14" t="str">
        <f t="shared" si="45"/>
        <v/>
      </c>
      <c r="FJ17" s="14" t="str">
        <f t="shared" si="46"/>
        <v/>
      </c>
      <c r="FK17" s="14" t="str">
        <f t="shared" si="47"/>
        <v/>
      </c>
      <c r="FL17" s="14" t="str">
        <f t="shared" si="48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49"/>
        <v/>
      </c>
      <c r="GD17" s="11" t="str">
        <f t="shared" si="50"/>
        <v/>
      </c>
      <c r="GE17" s="11" t="str">
        <f t="shared" si="51"/>
        <v/>
      </c>
      <c r="GF17" s="11" t="str">
        <f t="shared" si="52"/>
        <v/>
      </c>
      <c r="GG17" s="11" t="str">
        <f t="shared" si="53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4"/>
        <v/>
      </c>
      <c r="GY17" s="14" t="str">
        <f t="shared" si="55"/>
        <v/>
      </c>
      <c r="GZ17" s="14" t="str">
        <f t="shared" si="56"/>
        <v/>
      </c>
      <c r="HA17" s="14" t="str">
        <f t="shared" si="57"/>
        <v/>
      </c>
      <c r="HB17" s="14" t="str">
        <f t="shared" si="58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59"/>
        <v/>
      </c>
      <c r="HT17" s="11" t="str">
        <f t="shared" si="60"/>
        <v/>
      </c>
      <c r="HU17" s="11" t="str">
        <f t="shared" si="61"/>
        <v/>
      </c>
      <c r="HV17" s="11" t="str">
        <f t="shared" si="62"/>
        <v/>
      </c>
      <c r="HW17" s="11" t="str">
        <f t="shared" si="63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4"/>
        <v/>
      </c>
      <c r="IO17" s="14" t="str">
        <f t="shared" si="65"/>
        <v/>
      </c>
      <c r="IP17" s="14" t="str">
        <f t="shared" si="66"/>
        <v/>
      </c>
      <c r="IQ17" s="14" t="str">
        <f t="shared" si="67"/>
        <v/>
      </c>
      <c r="IR17" s="14" t="str">
        <f t="shared" si="68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69"/>
        <v/>
      </c>
      <c r="JJ17" s="11" t="str">
        <f t="shared" si="70"/>
        <v/>
      </c>
      <c r="JK17" s="11" t="str">
        <f t="shared" si="71"/>
        <v/>
      </c>
      <c r="JL17" s="11" t="str">
        <f t="shared" si="72"/>
        <v/>
      </c>
      <c r="JM17" s="11" t="str">
        <f t="shared" si="73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4"/>
        <v/>
      </c>
      <c r="KE17" s="14" t="str">
        <f t="shared" si="75"/>
        <v/>
      </c>
      <c r="KF17" s="14" t="str">
        <f t="shared" si="76"/>
        <v/>
      </c>
      <c r="KG17" s="14" t="str">
        <f t="shared" si="77"/>
        <v/>
      </c>
      <c r="KH17" s="14" t="str">
        <f t="shared" si="78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79"/>
        <v/>
      </c>
      <c r="KZ17" s="11" t="str">
        <f t="shared" si="80"/>
        <v/>
      </c>
      <c r="LA17" s="11" t="str">
        <f t="shared" si="81"/>
        <v/>
      </c>
      <c r="LB17" s="11" t="str">
        <f t="shared" si="82"/>
        <v/>
      </c>
      <c r="LC17" s="11" t="str">
        <f t="shared" si="83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4"/>
        <v/>
      </c>
      <c r="LU17" s="14" t="str">
        <f t="shared" si="85"/>
        <v/>
      </c>
      <c r="LV17" s="14" t="str">
        <f t="shared" si="86"/>
        <v/>
      </c>
      <c r="LW17" s="14" t="str">
        <f t="shared" si="87"/>
        <v/>
      </c>
      <c r="LX17" s="14" t="str">
        <f t="shared" si="88"/>
        <v/>
      </c>
      <c r="LY17" s="61">
        <f t="shared" si="89"/>
        <v>24</v>
      </c>
      <c r="LZ17" s="61">
        <f t="shared" si="90"/>
        <v>2</v>
      </c>
      <c r="MA17" s="61">
        <f t="shared" si="91"/>
        <v>0</v>
      </c>
      <c r="MB17" s="61">
        <f t="shared" si="92"/>
        <v>0</v>
      </c>
      <c r="MC17" s="61">
        <f t="shared" si="93"/>
        <v>26.2</v>
      </c>
      <c r="MD17" s="61">
        <f t="shared" si="94"/>
        <v>3.2</v>
      </c>
      <c r="ME17" s="61">
        <f t="shared" si="95"/>
        <v>0.15</v>
      </c>
      <c r="MF17" s="61">
        <f t="shared" si="96"/>
        <v>0</v>
      </c>
      <c r="MG17" s="61">
        <f t="shared" si="97"/>
        <v>13.25</v>
      </c>
      <c r="MH17" s="61">
        <f t="shared" si="98"/>
        <v>1.35</v>
      </c>
      <c r="MI17" s="61">
        <f t="shared" si="99"/>
        <v>0.15</v>
      </c>
      <c r="MJ17" s="61">
        <f t="shared" si="100"/>
        <v>0</v>
      </c>
      <c r="MK17" s="61">
        <f t="shared" si="101"/>
        <v>0</v>
      </c>
      <c r="ML17" s="61">
        <f t="shared" si="102"/>
        <v>0</v>
      </c>
      <c r="MM17" s="61">
        <f t="shared" si="103"/>
        <v>0</v>
      </c>
      <c r="MN17" s="61">
        <f t="shared" si="104"/>
        <v>0</v>
      </c>
      <c r="MO17" s="72" t="s">
        <v>52</v>
      </c>
      <c r="MP17" s="11">
        <f t="shared" si="105"/>
        <v>5.2</v>
      </c>
      <c r="MQ17" s="11">
        <f t="shared" si="106"/>
        <v>55.250000000000007</v>
      </c>
      <c r="MR17" s="11">
        <f t="shared" si="107"/>
        <v>1.35</v>
      </c>
      <c r="MS17" s="11">
        <f t="shared" si="108"/>
        <v>14.45</v>
      </c>
      <c r="MT17" s="11">
        <f t="shared" si="109"/>
        <v>69.7</v>
      </c>
    </row>
    <row r="18" spans="1:358" x14ac:dyDescent="0.2">
      <c r="A18" s="5" t="str">
        <f t="shared" si="0"/>
        <v/>
      </c>
      <c r="B18" s="8" t="s">
        <v>106</v>
      </c>
      <c r="C18" s="4" t="s">
        <v>5</v>
      </c>
      <c r="D18" s="5">
        <v>2003</v>
      </c>
      <c r="E18" s="15">
        <f t="shared" si="110"/>
        <v>119.1</v>
      </c>
      <c r="F18" s="3" t="str">
        <f t="shared" si="1"/>
        <v/>
      </c>
      <c r="G18" s="3" t="str">
        <f t="shared" si="2"/>
        <v/>
      </c>
      <c r="H18" s="116" t="str">
        <f t="shared" si="3"/>
        <v/>
      </c>
      <c r="I18" s="3" t="str">
        <f t="shared" si="4"/>
        <v/>
      </c>
      <c r="J18" s="14">
        <f t="shared" si="5"/>
        <v>62.899999999999991</v>
      </c>
      <c r="K18" s="14" t="str">
        <f t="shared" si="6"/>
        <v>2021 2nd Virtual Technical Trial</v>
      </c>
      <c r="L18" s="14">
        <f t="shared" si="7"/>
        <v>56.199999999999996</v>
      </c>
      <c r="M18" s="14" t="str">
        <f t="shared" si="8"/>
        <v>2021 Elite Canada</v>
      </c>
      <c r="N18" s="14" t="str">
        <f t="shared" si="9"/>
        <v/>
      </c>
      <c r="O18" s="24" t="str">
        <f t="shared" si="10"/>
        <v/>
      </c>
      <c r="P18" s="14" t="str">
        <f t="shared" si="11"/>
        <v/>
      </c>
      <c r="Q18" s="61">
        <v>27.3</v>
      </c>
      <c r="R18" s="61">
        <v>6</v>
      </c>
      <c r="S18" s="61">
        <v>0.9</v>
      </c>
      <c r="T18" s="61">
        <v>0</v>
      </c>
      <c r="U18" s="61">
        <v>25.2</v>
      </c>
      <c r="V18" s="61">
        <v>5.6</v>
      </c>
      <c r="W18" s="61">
        <v>0.3</v>
      </c>
      <c r="X18" s="61">
        <v>0</v>
      </c>
      <c r="Y18" s="61">
        <v>27.1</v>
      </c>
      <c r="Z18" s="61">
        <v>4.8</v>
      </c>
      <c r="AA18" s="61">
        <v>0.3</v>
      </c>
      <c r="AB18" s="61">
        <v>0</v>
      </c>
      <c r="AC18" s="61">
        <v>27.4</v>
      </c>
      <c r="AD18" s="61">
        <v>4.8</v>
      </c>
      <c r="AE18" s="61">
        <v>0</v>
      </c>
      <c r="AF18" s="61">
        <v>0</v>
      </c>
      <c r="AG18" s="72"/>
      <c r="AH18" s="11">
        <f t="shared" si="12"/>
        <v>11.6</v>
      </c>
      <c r="AI18" s="11">
        <f t="shared" si="13"/>
        <v>62.899999999999991</v>
      </c>
      <c r="AJ18" s="11">
        <f t="shared" si="14"/>
        <v>9.6</v>
      </c>
      <c r="AK18" s="11">
        <f t="shared" si="15"/>
        <v>63.8</v>
      </c>
      <c r="AL18" s="11">
        <f t="shared" si="16"/>
        <v>126.69999999999999</v>
      </c>
      <c r="AM18" s="36">
        <v>24.8</v>
      </c>
      <c r="AN18" s="36">
        <v>6</v>
      </c>
      <c r="AO18" s="36">
        <v>0.3</v>
      </c>
      <c r="AP18" s="36">
        <v>0</v>
      </c>
      <c r="AQ18" s="36">
        <v>24.8</v>
      </c>
      <c r="AR18" s="36">
        <v>2.8</v>
      </c>
      <c r="AS18" s="36">
        <v>1.9</v>
      </c>
      <c r="AT18" s="36">
        <v>0</v>
      </c>
      <c r="AU18" s="36"/>
      <c r="AV18" s="36"/>
      <c r="AW18" s="36"/>
      <c r="AX18" s="36"/>
      <c r="AY18" s="36"/>
      <c r="AZ18" s="36"/>
      <c r="BA18" s="36"/>
      <c r="BB18" s="36"/>
      <c r="BC18" s="73"/>
      <c r="BD18" s="14">
        <f t="shared" si="17"/>
        <v>8.8000000000000007</v>
      </c>
      <c r="BE18" s="14">
        <f t="shared" si="18"/>
        <v>56.199999999999996</v>
      </c>
      <c r="BF18" s="14" t="str">
        <f t="shared" si="19"/>
        <v/>
      </c>
      <c r="BG18" s="14" t="str">
        <f t="shared" si="20"/>
        <v/>
      </c>
      <c r="BH18" s="14">
        <f t="shared" si="21"/>
        <v>56.199999999999996</v>
      </c>
      <c r="BI18" s="61">
        <v>19.8</v>
      </c>
      <c r="BJ18" s="61">
        <v>2.4</v>
      </c>
      <c r="BK18" s="61">
        <v>0</v>
      </c>
      <c r="BL18" s="61">
        <v>0</v>
      </c>
      <c r="BM18" s="61">
        <v>0</v>
      </c>
      <c r="BN18" s="61">
        <v>0</v>
      </c>
      <c r="BO18" s="61">
        <v>0</v>
      </c>
      <c r="BP18" s="61">
        <v>0</v>
      </c>
      <c r="BQ18" s="61"/>
      <c r="BR18" s="61"/>
      <c r="BS18" s="61"/>
      <c r="BT18" s="61"/>
      <c r="BU18" s="61"/>
      <c r="BV18" s="61"/>
      <c r="BW18" s="61"/>
      <c r="BX18" s="61"/>
      <c r="BY18" s="72"/>
      <c r="BZ18" s="11">
        <f t="shared" si="22"/>
        <v>2.4</v>
      </c>
      <c r="CA18" s="11">
        <f t="shared" si="23"/>
        <v>22.2</v>
      </c>
      <c r="CB18" s="11" t="str">
        <f t="shared" si="24"/>
        <v/>
      </c>
      <c r="CC18" s="11" t="str">
        <f t="shared" si="25"/>
        <v/>
      </c>
      <c r="CD18" s="11">
        <f t="shared" si="26"/>
        <v>22.2</v>
      </c>
      <c r="CE18" s="23" t="str">
        <f t="shared" si="27"/>
        <v/>
      </c>
      <c r="CF18" s="23" t="str">
        <f t="shared" si="28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29"/>
        <v/>
      </c>
      <c r="CX18" s="11" t="str">
        <f t="shared" si="30"/>
        <v/>
      </c>
      <c r="CY18" s="11" t="str">
        <f t="shared" si="31"/>
        <v/>
      </c>
      <c r="CZ18" s="11" t="str">
        <f t="shared" si="32"/>
        <v/>
      </c>
      <c r="DA18" s="11" t="str">
        <f t="shared" si="33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4"/>
        <v/>
      </c>
      <c r="DS18" s="14" t="str">
        <f t="shared" si="35"/>
        <v/>
      </c>
      <c r="DT18" s="14" t="str">
        <f t="shared" si="36"/>
        <v/>
      </c>
      <c r="DU18" s="14" t="str">
        <f t="shared" si="37"/>
        <v/>
      </c>
      <c r="DV18" s="14" t="str">
        <f t="shared" si="38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39"/>
        <v/>
      </c>
      <c r="EN18" s="11" t="str">
        <f t="shared" si="40"/>
        <v/>
      </c>
      <c r="EO18" s="11" t="str">
        <f t="shared" si="41"/>
        <v/>
      </c>
      <c r="EP18" s="11" t="str">
        <f t="shared" si="42"/>
        <v/>
      </c>
      <c r="EQ18" s="11" t="str">
        <f t="shared" si="43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4"/>
        <v/>
      </c>
      <c r="FI18" s="14" t="str">
        <f t="shared" si="45"/>
        <v/>
      </c>
      <c r="FJ18" s="14" t="str">
        <f t="shared" si="46"/>
        <v/>
      </c>
      <c r="FK18" s="14" t="str">
        <f t="shared" si="47"/>
        <v/>
      </c>
      <c r="FL18" s="14" t="str">
        <f t="shared" si="48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49"/>
        <v/>
      </c>
      <c r="GD18" s="11" t="str">
        <f t="shared" si="50"/>
        <v/>
      </c>
      <c r="GE18" s="11" t="str">
        <f t="shared" si="51"/>
        <v/>
      </c>
      <c r="GF18" s="11" t="str">
        <f t="shared" si="52"/>
        <v/>
      </c>
      <c r="GG18" s="11" t="str">
        <f t="shared" si="53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4"/>
        <v/>
      </c>
      <c r="GY18" s="14" t="str">
        <f t="shared" si="55"/>
        <v/>
      </c>
      <c r="GZ18" s="14" t="str">
        <f t="shared" si="56"/>
        <v/>
      </c>
      <c r="HA18" s="14" t="str">
        <f t="shared" si="57"/>
        <v/>
      </c>
      <c r="HB18" s="14" t="str">
        <f t="shared" si="58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59"/>
        <v/>
      </c>
      <c r="HT18" s="11" t="str">
        <f t="shared" si="60"/>
        <v/>
      </c>
      <c r="HU18" s="11" t="str">
        <f t="shared" si="61"/>
        <v/>
      </c>
      <c r="HV18" s="11" t="str">
        <f t="shared" si="62"/>
        <v/>
      </c>
      <c r="HW18" s="11" t="str">
        <f t="shared" si="63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4"/>
        <v/>
      </c>
      <c r="IO18" s="14" t="str">
        <f t="shared" si="65"/>
        <v/>
      </c>
      <c r="IP18" s="14" t="str">
        <f t="shared" si="66"/>
        <v/>
      </c>
      <c r="IQ18" s="14" t="str">
        <f t="shared" si="67"/>
        <v/>
      </c>
      <c r="IR18" s="14" t="str">
        <f t="shared" si="68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69"/>
        <v/>
      </c>
      <c r="JJ18" s="11" t="str">
        <f t="shared" si="70"/>
        <v/>
      </c>
      <c r="JK18" s="11" t="str">
        <f t="shared" si="71"/>
        <v/>
      </c>
      <c r="JL18" s="11" t="str">
        <f t="shared" si="72"/>
        <v/>
      </c>
      <c r="JM18" s="11" t="str">
        <f t="shared" si="73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4"/>
        <v/>
      </c>
      <c r="KE18" s="14" t="str">
        <f t="shared" si="75"/>
        <v/>
      </c>
      <c r="KF18" s="14" t="str">
        <f t="shared" si="76"/>
        <v/>
      </c>
      <c r="KG18" s="14" t="str">
        <f t="shared" si="77"/>
        <v/>
      </c>
      <c r="KH18" s="14" t="str">
        <f t="shared" si="78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79"/>
        <v/>
      </c>
      <c r="KZ18" s="11" t="str">
        <f t="shared" si="80"/>
        <v/>
      </c>
      <c r="LA18" s="11" t="str">
        <f t="shared" si="81"/>
        <v/>
      </c>
      <c r="LB18" s="11" t="str">
        <f t="shared" si="82"/>
        <v/>
      </c>
      <c r="LC18" s="11" t="str">
        <f t="shared" si="83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4"/>
        <v/>
      </c>
      <c r="LU18" s="14" t="str">
        <f t="shared" si="85"/>
        <v/>
      </c>
      <c r="LV18" s="14" t="str">
        <f t="shared" si="86"/>
        <v/>
      </c>
      <c r="LW18" s="14" t="str">
        <f t="shared" si="87"/>
        <v/>
      </c>
      <c r="LX18" s="14" t="str">
        <f t="shared" si="88"/>
        <v/>
      </c>
      <c r="LY18" s="61">
        <f t="shared" si="89"/>
        <v>22.3</v>
      </c>
      <c r="LZ18" s="61">
        <f t="shared" si="90"/>
        <v>4.2</v>
      </c>
      <c r="MA18" s="61">
        <f t="shared" si="91"/>
        <v>0.15</v>
      </c>
      <c r="MB18" s="61">
        <f t="shared" si="92"/>
        <v>0</v>
      </c>
      <c r="MC18" s="61">
        <f t="shared" si="93"/>
        <v>12.4</v>
      </c>
      <c r="MD18" s="61">
        <f t="shared" si="94"/>
        <v>1.4</v>
      </c>
      <c r="ME18" s="61">
        <f t="shared" si="95"/>
        <v>0.95</v>
      </c>
      <c r="MF18" s="61">
        <f t="shared" si="96"/>
        <v>0</v>
      </c>
      <c r="MG18" s="61">
        <f t="shared" si="97"/>
        <v>0</v>
      </c>
      <c r="MH18" s="61">
        <f t="shared" si="98"/>
        <v>0</v>
      </c>
      <c r="MI18" s="61">
        <f t="shared" si="99"/>
        <v>0</v>
      </c>
      <c r="MJ18" s="61">
        <f t="shared" si="100"/>
        <v>0</v>
      </c>
      <c r="MK18" s="61">
        <f t="shared" si="101"/>
        <v>0</v>
      </c>
      <c r="ML18" s="61">
        <f t="shared" si="102"/>
        <v>0</v>
      </c>
      <c r="MM18" s="61">
        <f t="shared" si="103"/>
        <v>0</v>
      </c>
      <c r="MN18" s="61">
        <f t="shared" si="104"/>
        <v>0</v>
      </c>
      <c r="MO18" s="72" t="s">
        <v>52</v>
      </c>
      <c r="MP18" s="11">
        <f t="shared" si="105"/>
        <v>5.6</v>
      </c>
      <c r="MQ18" s="11">
        <f t="shared" si="106"/>
        <v>39.199999999999996</v>
      </c>
      <c r="MR18" s="11" t="str">
        <f t="shared" si="107"/>
        <v/>
      </c>
      <c r="MS18" s="11" t="str">
        <f t="shared" si="108"/>
        <v/>
      </c>
      <c r="MT18" s="11">
        <f t="shared" si="109"/>
        <v>39.199999999999996</v>
      </c>
    </row>
    <row r="19" spans="1:358" x14ac:dyDescent="0.2">
      <c r="A19" s="5" t="str">
        <f t="shared" si="0"/>
        <v/>
      </c>
      <c r="B19" s="8" t="s">
        <v>121</v>
      </c>
      <c r="C19" s="4" t="s">
        <v>5</v>
      </c>
      <c r="D19" s="5">
        <v>2003</v>
      </c>
      <c r="E19" s="15">
        <f t="shared" si="110"/>
        <v>117.79999999999998</v>
      </c>
      <c r="F19" s="3" t="str">
        <f t="shared" si="1"/>
        <v/>
      </c>
      <c r="G19" s="3" t="str">
        <f t="shared" si="2"/>
        <v/>
      </c>
      <c r="H19" s="116" t="str">
        <f t="shared" si="3"/>
        <v/>
      </c>
      <c r="I19" s="3" t="str">
        <f t="shared" si="4"/>
        <v/>
      </c>
      <c r="J19" s="14">
        <f t="shared" si="5"/>
        <v>62.599999999999994</v>
      </c>
      <c r="K19" s="14" t="str">
        <f t="shared" si="6"/>
        <v>2021 2nd Virtual Technical Trial</v>
      </c>
      <c r="L19" s="14">
        <f t="shared" si="7"/>
        <v>55.199999999999996</v>
      </c>
      <c r="M19" s="14" t="str">
        <f t="shared" si="8"/>
        <v>2021 Canadian Championships</v>
      </c>
      <c r="N19" s="14" t="str">
        <f t="shared" si="9"/>
        <v/>
      </c>
      <c r="O19" s="24" t="str">
        <f t="shared" si="10"/>
        <v/>
      </c>
      <c r="P19" s="14" t="str">
        <f t="shared" si="11"/>
        <v/>
      </c>
      <c r="Q19" s="61">
        <v>24.9</v>
      </c>
      <c r="R19" s="61">
        <v>6</v>
      </c>
      <c r="S19" s="61">
        <v>1.8</v>
      </c>
      <c r="T19" s="61">
        <v>0</v>
      </c>
      <c r="U19" s="61">
        <v>27.9</v>
      </c>
      <c r="V19" s="61">
        <v>5.6</v>
      </c>
      <c r="W19" s="61">
        <v>0</v>
      </c>
      <c r="X19" s="61">
        <v>0</v>
      </c>
      <c r="Y19" s="61">
        <v>19.8</v>
      </c>
      <c r="Z19" s="61">
        <v>2.4</v>
      </c>
      <c r="AA19" s="61">
        <v>0</v>
      </c>
      <c r="AB19" s="61">
        <v>0</v>
      </c>
      <c r="AC19" s="61">
        <v>27.7</v>
      </c>
      <c r="AD19" s="61">
        <v>5.2</v>
      </c>
      <c r="AE19" s="61">
        <v>0</v>
      </c>
      <c r="AF19" s="61">
        <v>0</v>
      </c>
      <c r="AG19" s="72"/>
      <c r="AH19" s="11">
        <f t="shared" si="12"/>
        <v>11.6</v>
      </c>
      <c r="AI19" s="11">
        <f t="shared" si="13"/>
        <v>62.599999999999994</v>
      </c>
      <c r="AJ19" s="11">
        <f t="shared" si="14"/>
        <v>7.6</v>
      </c>
      <c r="AK19" s="11">
        <f t="shared" si="15"/>
        <v>55.1</v>
      </c>
      <c r="AL19" s="11">
        <f t="shared" si="16"/>
        <v>117.69999999999999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7"/>
        <v/>
      </c>
      <c r="BE19" s="14" t="str">
        <f t="shared" si="18"/>
        <v/>
      </c>
      <c r="BF19" s="14" t="str">
        <f t="shared" si="19"/>
        <v/>
      </c>
      <c r="BG19" s="14" t="str">
        <f t="shared" si="20"/>
        <v/>
      </c>
      <c r="BH19" s="14" t="str">
        <f t="shared" si="21"/>
        <v/>
      </c>
      <c r="BI19" s="61">
        <v>20</v>
      </c>
      <c r="BJ19" s="61">
        <v>2.4</v>
      </c>
      <c r="BK19" s="61">
        <v>0</v>
      </c>
      <c r="BL19" s="61">
        <v>0</v>
      </c>
      <c r="BM19" s="61">
        <v>27.2</v>
      </c>
      <c r="BN19" s="61">
        <v>5.6</v>
      </c>
      <c r="BO19" s="61">
        <v>0</v>
      </c>
      <c r="BP19" s="61">
        <v>0</v>
      </c>
      <c r="BQ19" s="61"/>
      <c r="BR19" s="61"/>
      <c r="BS19" s="61"/>
      <c r="BT19" s="61"/>
      <c r="BU19" s="61"/>
      <c r="BV19" s="61"/>
      <c r="BW19" s="61"/>
      <c r="BX19" s="61"/>
      <c r="BY19" s="72"/>
      <c r="BZ19" s="11">
        <f t="shared" si="22"/>
        <v>8</v>
      </c>
      <c r="CA19" s="11">
        <f t="shared" si="23"/>
        <v>55.199999999999996</v>
      </c>
      <c r="CB19" s="11" t="str">
        <f t="shared" si="24"/>
        <v/>
      </c>
      <c r="CC19" s="11" t="str">
        <f t="shared" si="25"/>
        <v/>
      </c>
      <c r="CD19" s="11">
        <f t="shared" si="26"/>
        <v>55.199999999999996</v>
      </c>
      <c r="CE19" s="23" t="str">
        <f t="shared" si="27"/>
        <v/>
      </c>
      <c r="CF19" s="23" t="str">
        <f t="shared" si="28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29"/>
        <v/>
      </c>
      <c r="CX19" s="11" t="str">
        <f t="shared" si="30"/>
        <v/>
      </c>
      <c r="CY19" s="11" t="str">
        <f t="shared" si="31"/>
        <v/>
      </c>
      <c r="CZ19" s="11" t="str">
        <f t="shared" si="32"/>
        <v/>
      </c>
      <c r="DA19" s="11" t="str">
        <f t="shared" si="33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4"/>
        <v/>
      </c>
      <c r="DS19" s="14" t="str">
        <f t="shared" si="35"/>
        <v/>
      </c>
      <c r="DT19" s="14" t="str">
        <f t="shared" si="36"/>
        <v/>
      </c>
      <c r="DU19" s="14" t="str">
        <f t="shared" si="37"/>
        <v/>
      </c>
      <c r="DV19" s="14" t="str">
        <f t="shared" si="38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39"/>
        <v/>
      </c>
      <c r="EN19" s="11" t="str">
        <f t="shared" si="40"/>
        <v/>
      </c>
      <c r="EO19" s="11" t="str">
        <f t="shared" si="41"/>
        <v/>
      </c>
      <c r="EP19" s="11" t="str">
        <f t="shared" si="42"/>
        <v/>
      </c>
      <c r="EQ19" s="11" t="str">
        <f t="shared" si="43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4"/>
        <v/>
      </c>
      <c r="FI19" s="14" t="str">
        <f t="shared" si="45"/>
        <v/>
      </c>
      <c r="FJ19" s="14" t="str">
        <f t="shared" si="46"/>
        <v/>
      </c>
      <c r="FK19" s="14" t="str">
        <f t="shared" si="47"/>
        <v/>
      </c>
      <c r="FL19" s="14" t="str">
        <f t="shared" si="48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49"/>
        <v/>
      </c>
      <c r="GD19" s="11" t="str">
        <f t="shared" si="50"/>
        <v/>
      </c>
      <c r="GE19" s="11" t="str">
        <f t="shared" si="51"/>
        <v/>
      </c>
      <c r="GF19" s="11" t="str">
        <f t="shared" si="52"/>
        <v/>
      </c>
      <c r="GG19" s="11" t="str">
        <f t="shared" si="53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4"/>
        <v/>
      </c>
      <c r="GY19" s="14" t="str">
        <f t="shared" si="55"/>
        <v/>
      </c>
      <c r="GZ19" s="14" t="str">
        <f t="shared" si="56"/>
        <v/>
      </c>
      <c r="HA19" s="14" t="str">
        <f t="shared" si="57"/>
        <v/>
      </c>
      <c r="HB19" s="14" t="str">
        <f t="shared" si="58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59"/>
        <v/>
      </c>
      <c r="HT19" s="11" t="str">
        <f t="shared" si="60"/>
        <v/>
      </c>
      <c r="HU19" s="11" t="str">
        <f t="shared" si="61"/>
        <v/>
      </c>
      <c r="HV19" s="11" t="str">
        <f t="shared" si="62"/>
        <v/>
      </c>
      <c r="HW19" s="11" t="str">
        <f t="shared" si="63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4"/>
        <v/>
      </c>
      <c r="IO19" s="14" t="str">
        <f t="shared" si="65"/>
        <v/>
      </c>
      <c r="IP19" s="14" t="str">
        <f t="shared" si="66"/>
        <v/>
      </c>
      <c r="IQ19" s="14" t="str">
        <f t="shared" si="67"/>
        <v/>
      </c>
      <c r="IR19" s="14" t="str">
        <f t="shared" si="68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69"/>
        <v/>
      </c>
      <c r="JJ19" s="11" t="str">
        <f t="shared" si="70"/>
        <v/>
      </c>
      <c r="JK19" s="11" t="str">
        <f t="shared" si="71"/>
        <v/>
      </c>
      <c r="JL19" s="11" t="str">
        <f t="shared" si="72"/>
        <v/>
      </c>
      <c r="JM19" s="11" t="str">
        <f t="shared" si="73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4"/>
        <v/>
      </c>
      <c r="KE19" s="14" t="str">
        <f t="shared" si="75"/>
        <v/>
      </c>
      <c r="KF19" s="14" t="str">
        <f t="shared" si="76"/>
        <v/>
      </c>
      <c r="KG19" s="14" t="str">
        <f t="shared" si="77"/>
        <v/>
      </c>
      <c r="KH19" s="14" t="str">
        <f t="shared" si="78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79"/>
        <v/>
      </c>
      <c r="KZ19" s="11" t="str">
        <f t="shared" si="80"/>
        <v/>
      </c>
      <c r="LA19" s="11" t="str">
        <f t="shared" si="81"/>
        <v/>
      </c>
      <c r="LB19" s="11" t="str">
        <f t="shared" si="82"/>
        <v/>
      </c>
      <c r="LC19" s="11" t="str">
        <f t="shared" si="83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4"/>
        <v/>
      </c>
      <c r="LU19" s="14" t="str">
        <f t="shared" si="85"/>
        <v/>
      </c>
      <c r="LV19" s="14" t="str">
        <f t="shared" si="86"/>
        <v/>
      </c>
      <c r="LW19" s="14" t="str">
        <f t="shared" si="87"/>
        <v/>
      </c>
      <c r="LX19" s="14" t="str">
        <f t="shared" si="88"/>
        <v/>
      </c>
      <c r="LY19" s="61">
        <f t="shared" si="89"/>
        <v>10</v>
      </c>
      <c r="LZ19" s="61">
        <f t="shared" si="90"/>
        <v>1.2</v>
      </c>
      <c r="MA19" s="61">
        <f t="shared" si="91"/>
        <v>0</v>
      </c>
      <c r="MB19" s="61">
        <f t="shared" si="92"/>
        <v>0</v>
      </c>
      <c r="MC19" s="61">
        <f t="shared" si="93"/>
        <v>13.6</v>
      </c>
      <c r="MD19" s="61">
        <f t="shared" si="94"/>
        <v>2.8</v>
      </c>
      <c r="ME19" s="61">
        <f t="shared" si="95"/>
        <v>0</v>
      </c>
      <c r="MF19" s="61">
        <f t="shared" si="96"/>
        <v>0</v>
      </c>
      <c r="MG19" s="61">
        <f t="shared" si="97"/>
        <v>0</v>
      </c>
      <c r="MH19" s="61">
        <f t="shared" si="98"/>
        <v>0</v>
      </c>
      <c r="MI19" s="61">
        <f t="shared" si="99"/>
        <v>0</v>
      </c>
      <c r="MJ19" s="61">
        <f t="shared" si="100"/>
        <v>0</v>
      </c>
      <c r="MK19" s="61">
        <f t="shared" si="101"/>
        <v>0</v>
      </c>
      <c r="ML19" s="61">
        <f t="shared" si="102"/>
        <v>0</v>
      </c>
      <c r="MM19" s="61">
        <f t="shared" si="103"/>
        <v>0</v>
      </c>
      <c r="MN19" s="61">
        <f t="shared" si="104"/>
        <v>0</v>
      </c>
      <c r="MO19" s="72" t="s">
        <v>52</v>
      </c>
      <c r="MP19" s="11">
        <f t="shared" si="105"/>
        <v>4</v>
      </c>
      <c r="MQ19" s="11">
        <f t="shared" si="106"/>
        <v>27.599999999999998</v>
      </c>
      <c r="MR19" s="11" t="str">
        <f t="shared" si="107"/>
        <v/>
      </c>
      <c r="MS19" s="11" t="str">
        <f t="shared" si="108"/>
        <v/>
      </c>
      <c r="MT19" s="11">
        <f t="shared" si="109"/>
        <v>27.599999999999998</v>
      </c>
    </row>
    <row r="20" spans="1:358" x14ac:dyDescent="0.2">
      <c r="A20" s="5" t="str">
        <f t="shared" si="0"/>
        <v/>
      </c>
      <c r="B20" s="8" t="s">
        <v>108</v>
      </c>
      <c r="C20" s="4" t="s">
        <v>4</v>
      </c>
      <c r="D20" s="5">
        <v>2003</v>
      </c>
      <c r="E20" s="15">
        <f t="shared" si="110"/>
        <v>65.475000000000009</v>
      </c>
      <c r="F20" s="3" t="str">
        <f t="shared" si="1"/>
        <v/>
      </c>
      <c r="G20" s="3" t="str">
        <f t="shared" si="2"/>
        <v/>
      </c>
      <c r="H20" s="116" t="str">
        <f t="shared" si="3"/>
        <v/>
      </c>
      <c r="I20" s="3" t="str">
        <f t="shared" si="4"/>
        <v/>
      </c>
      <c r="J20" s="14">
        <f t="shared" si="5"/>
        <v>65.475000000000009</v>
      </c>
      <c r="K20" s="14" t="str">
        <f t="shared" si="6"/>
        <v>2021 2nd Virtual Technical Trial</v>
      </c>
      <c r="L20" s="14">
        <f t="shared" si="7"/>
        <v>0</v>
      </c>
      <c r="M20" s="14" t="str">
        <f t="shared" si="8"/>
        <v/>
      </c>
      <c r="N20" s="14" t="str">
        <f t="shared" si="9"/>
        <v/>
      </c>
      <c r="O20" s="24" t="str">
        <f t="shared" si="10"/>
        <v/>
      </c>
      <c r="P20" s="14" t="str">
        <f t="shared" si="11"/>
        <v/>
      </c>
      <c r="Q20" s="61">
        <v>27.375</v>
      </c>
      <c r="R20" s="61">
        <v>5.6</v>
      </c>
      <c r="S20" s="61">
        <v>0</v>
      </c>
      <c r="T20" s="61">
        <v>0</v>
      </c>
      <c r="U20" s="61">
        <v>27.5</v>
      </c>
      <c r="V20" s="61">
        <v>5.1999999999999993</v>
      </c>
      <c r="W20" s="61">
        <v>0.6</v>
      </c>
      <c r="X20" s="61">
        <v>0.4</v>
      </c>
      <c r="Y20" s="61">
        <v>27.8</v>
      </c>
      <c r="Z20" s="61">
        <v>3.9</v>
      </c>
      <c r="AA20" s="61">
        <v>0</v>
      </c>
      <c r="AB20" s="61">
        <v>0</v>
      </c>
      <c r="AC20" s="61">
        <v>28.15</v>
      </c>
      <c r="AD20" s="61">
        <v>3.75</v>
      </c>
      <c r="AE20" s="61">
        <v>0.45</v>
      </c>
      <c r="AF20" s="61">
        <v>0</v>
      </c>
      <c r="AG20" s="72" t="s">
        <v>52</v>
      </c>
      <c r="AH20" s="11">
        <f t="shared" si="12"/>
        <v>10.799999999999999</v>
      </c>
      <c r="AI20" s="11">
        <f t="shared" si="13"/>
        <v>65.475000000000009</v>
      </c>
      <c r="AJ20" s="11">
        <f t="shared" si="14"/>
        <v>7.65</v>
      </c>
      <c r="AK20" s="11">
        <f t="shared" si="15"/>
        <v>63.149999999999991</v>
      </c>
      <c r="AL20" s="11">
        <f t="shared" si="16"/>
        <v>128.625</v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 t="shared" si="17"/>
        <v/>
      </c>
      <c r="BE20" s="14" t="str">
        <f t="shared" si="18"/>
        <v/>
      </c>
      <c r="BF20" s="14" t="str">
        <f t="shared" si="19"/>
        <v/>
      </c>
      <c r="BG20" s="14" t="str">
        <f t="shared" si="20"/>
        <v/>
      </c>
      <c r="BH20" s="14" t="str">
        <f t="shared" si="21"/>
        <v/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 t="shared" si="22"/>
        <v/>
      </c>
      <c r="CA20" s="11" t="str">
        <f t="shared" si="23"/>
        <v/>
      </c>
      <c r="CB20" s="11" t="str">
        <f t="shared" si="24"/>
        <v/>
      </c>
      <c r="CC20" s="11" t="str">
        <f t="shared" si="25"/>
        <v/>
      </c>
      <c r="CD20" s="11" t="str">
        <f t="shared" si="26"/>
        <v/>
      </c>
      <c r="CE20" s="23" t="str">
        <f t="shared" si="27"/>
        <v/>
      </c>
      <c r="CF20" s="23" t="str">
        <f t="shared" si="28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29"/>
        <v/>
      </c>
      <c r="CX20" s="11" t="str">
        <f t="shared" si="30"/>
        <v/>
      </c>
      <c r="CY20" s="11" t="str">
        <f t="shared" si="31"/>
        <v/>
      </c>
      <c r="CZ20" s="11" t="str">
        <f t="shared" si="32"/>
        <v/>
      </c>
      <c r="DA20" s="11" t="str">
        <f t="shared" si="33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4"/>
        <v/>
      </c>
      <c r="DS20" s="14" t="str">
        <f t="shared" si="35"/>
        <v/>
      </c>
      <c r="DT20" s="14" t="str">
        <f t="shared" si="36"/>
        <v/>
      </c>
      <c r="DU20" s="14" t="str">
        <f t="shared" si="37"/>
        <v/>
      </c>
      <c r="DV20" s="14" t="str">
        <f t="shared" si="38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39"/>
        <v/>
      </c>
      <c r="EN20" s="11" t="str">
        <f t="shared" si="40"/>
        <v/>
      </c>
      <c r="EO20" s="11" t="str">
        <f t="shared" si="41"/>
        <v/>
      </c>
      <c r="EP20" s="11" t="str">
        <f t="shared" si="42"/>
        <v/>
      </c>
      <c r="EQ20" s="11" t="str">
        <f t="shared" si="43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4"/>
        <v/>
      </c>
      <c r="FI20" s="14" t="str">
        <f t="shared" si="45"/>
        <v/>
      </c>
      <c r="FJ20" s="14" t="str">
        <f t="shared" si="46"/>
        <v/>
      </c>
      <c r="FK20" s="14" t="str">
        <f t="shared" si="47"/>
        <v/>
      </c>
      <c r="FL20" s="14" t="str">
        <f t="shared" si="48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49"/>
        <v/>
      </c>
      <c r="GD20" s="11" t="str">
        <f t="shared" si="50"/>
        <v/>
      </c>
      <c r="GE20" s="11" t="str">
        <f t="shared" si="51"/>
        <v/>
      </c>
      <c r="GF20" s="11" t="str">
        <f t="shared" si="52"/>
        <v/>
      </c>
      <c r="GG20" s="11" t="str">
        <f t="shared" si="53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4"/>
        <v/>
      </c>
      <c r="GY20" s="14" t="str">
        <f t="shared" si="55"/>
        <v/>
      </c>
      <c r="GZ20" s="14" t="str">
        <f t="shared" si="56"/>
        <v/>
      </c>
      <c r="HA20" s="14" t="str">
        <f t="shared" si="57"/>
        <v/>
      </c>
      <c r="HB20" s="14" t="str">
        <f t="shared" si="58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59"/>
        <v/>
      </c>
      <c r="HT20" s="11" t="str">
        <f t="shared" si="60"/>
        <v/>
      </c>
      <c r="HU20" s="11" t="str">
        <f t="shared" si="61"/>
        <v/>
      </c>
      <c r="HV20" s="11" t="str">
        <f t="shared" si="62"/>
        <v/>
      </c>
      <c r="HW20" s="11" t="str">
        <f t="shared" si="63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4"/>
        <v/>
      </c>
      <c r="IO20" s="14" t="str">
        <f t="shared" si="65"/>
        <v/>
      </c>
      <c r="IP20" s="14" t="str">
        <f t="shared" si="66"/>
        <v/>
      </c>
      <c r="IQ20" s="14" t="str">
        <f t="shared" si="67"/>
        <v/>
      </c>
      <c r="IR20" s="14" t="str">
        <f t="shared" si="68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69"/>
        <v/>
      </c>
      <c r="JJ20" s="11" t="str">
        <f t="shared" si="70"/>
        <v/>
      </c>
      <c r="JK20" s="11" t="str">
        <f t="shared" si="71"/>
        <v/>
      </c>
      <c r="JL20" s="11" t="str">
        <f t="shared" si="72"/>
        <v/>
      </c>
      <c r="JM20" s="11" t="str">
        <f t="shared" si="73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4"/>
        <v/>
      </c>
      <c r="KE20" s="14" t="str">
        <f t="shared" si="75"/>
        <v/>
      </c>
      <c r="KF20" s="14" t="str">
        <f t="shared" si="76"/>
        <v/>
      </c>
      <c r="KG20" s="14" t="str">
        <f t="shared" si="77"/>
        <v/>
      </c>
      <c r="KH20" s="14" t="str">
        <f t="shared" si="78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79"/>
        <v/>
      </c>
      <c r="KZ20" s="11" t="str">
        <f t="shared" si="80"/>
        <v/>
      </c>
      <c r="LA20" s="11" t="str">
        <f t="shared" si="81"/>
        <v/>
      </c>
      <c r="LB20" s="11" t="str">
        <f t="shared" si="82"/>
        <v/>
      </c>
      <c r="LC20" s="11" t="str">
        <f t="shared" si="83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4"/>
        <v/>
      </c>
      <c r="LU20" s="14" t="str">
        <f t="shared" si="85"/>
        <v/>
      </c>
      <c r="LV20" s="14" t="str">
        <f t="shared" si="86"/>
        <v/>
      </c>
      <c r="LW20" s="14" t="str">
        <f t="shared" si="87"/>
        <v/>
      </c>
      <c r="LX20" s="14" t="str">
        <f t="shared" si="88"/>
        <v/>
      </c>
      <c r="LY20" s="61">
        <f t="shared" si="89"/>
        <v>0</v>
      </c>
      <c r="LZ20" s="61">
        <f t="shared" si="90"/>
        <v>0</v>
      </c>
      <c r="MA20" s="61">
        <f t="shared" si="91"/>
        <v>0</v>
      </c>
      <c r="MB20" s="61">
        <f t="shared" si="92"/>
        <v>0</v>
      </c>
      <c r="MC20" s="61">
        <f t="shared" si="93"/>
        <v>0</v>
      </c>
      <c r="MD20" s="61">
        <f t="shared" si="94"/>
        <v>0</v>
      </c>
      <c r="ME20" s="61">
        <f t="shared" si="95"/>
        <v>0</v>
      </c>
      <c r="MF20" s="61">
        <f t="shared" si="96"/>
        <v>0</v>
      </c>
      <c r="MG20" s="61">
        <f t="shared" si="97"/>
        <v>0</v>
      </c>
      <c r="MH20" s="61">
        <f t="shared" si="98"/>
        <v>0</v>
      </c>
      <c r="MI20" s="61">
        <f t="shared" si="99"/>
        <v>0</v>
      </c>
      <c r="MJ20" s="61">
        <f t="shared" si="100"/>
        <v>0</v>
      </c>
      <c r="MK20" s="61">
        <f t="shared" si="101"/>
        <v>0</v>
      </c>
      <c r="ML20" s="61">
        <f t="shared" si="102"/>
        <v>0</v>
      </c>
      <c r="MM20" s="61">
        <f t="shared" si="103"/>
        <v>0</v>
      </c>
      <c r="MN20" s="61">
        <f t="shared" si="104"/>
        <v>0</v>
      </c>
      <c r="MO20" s="72" t="s">
        <v>52</v>
      </c>
      <c r="MP20" s="11" t="str">
        <f t="shared" si="105"/>
        <v/>
      </c>
      <c r="MQ20" s="11" t="str">
        <f t="shared" si="106"/>
        <v/>
      </c>
      <c r="MR20" s="11" t="str">
        <f t="shared" si="107"/>
        <v/>
      </c>
      <c r="MS20" s="11" t="str">
        <f t="shared" si="108"/>
        <v/>
      </c>
      <c r="MT20" s="11" t="str">
        <f t="shared" si="109"/>
        <v/>
      </c>
    </row>
    <row r="21" spans="1:358" x14ac:dyDescent="0.2">
      <c r="A21" s="5" t="str">
        <f t="shared" si="0"/>
        <v/>
      </c>
      <c r="B21" s="8" t="s">
        <v>158</v>
      </c>
      <c r="C21" s="4" t="s">
        <v>5</v>
      </c>
      <c r="D21" s="5">
        <v>2004</v>
      </c>
      <c r="E21" s="15">
        <f t="shared" si="110"/>
        <v>62.800000000000004</v>
      </c>
      <c r="F21" s="3" t="str">
        <f t="shared" si="1"/>
        <v/>
      </c>
      <c r="G21" s="3" t="str">
        <f t="shared" si="2"/>
        <v/>
      </c>
      <c r="H21" s="116" t="str">
        <f t="shared" si="3"/>
        <v/>
      </c>
      <c r="I21" s="3" t="str">
        <f t="shared" si="4"/>
        <v/>
      </c>
      <c r="J21" s="14">
        <f t="shared" si="5"/>
        <v>62.800000000000004</v>
      </c>
      <c r="K21" s="14" t="str">
        <f t="shared" si="6"/>
        <v>2021 Canadian Championships</v>
      </c>
      <c r="L21" s="14">
        <f t="shared" si="7"/>
        <v>0</v>
      </c>
      <c r="M21" s="14" t="str">
        <f t="shared" si="8"/>
        <v/>
      </c>
      <c r="N21" s="14" t="str">
        <f t="shared" si="9"/>
        <v/>
      </c>
      <c r="O21" s="24" t="str">
        <f t="shared" si="10"/>
        <v/>
      </c>
      <c r="P21" s="14" t="str">
        <f t="shared" si="11"/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 t="shared" si="12"/>
        <v/>
      </c>
      <c r="AI21" s="11" t="str">
        <f t="shared" si="13"/>
        <v/>
      </c>
      <c r="AJ21" s="11" t="str">
        <f t="shared" si="14"/>
        <v/>
      </c>
      <c r="AK21" s="11" t="str">
        <f t="shared" si="15"/>
        <v/>
      </c>
      <c r="AL21" s="11" t="str">
        <f t="shared" si="16"/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 t="shared" si="17"/>
        <v/>
      </c>
      <c r="BE21" s="14" t="str">
        <f t="shared" si="18"/>
        <v/>
      </c>
      <c r="BF21" s="14" t="str">
        <f t="shared" si="19"/>
        <v/>
      </c>
      <c r="BG21" s="14" t="str">
        <f t="shared" si="20"/>
        <v/>
      </c>
      <c r="BH21" s="14" t="str">
        <f t="shared" si="21"/>
        <v/>
      </c>
      <c r="BI21" s="61">
        <v>28.1</v>
      </c>
      <c r="BJ21" s="61">
        <v>3.1</v>
      </c>
      <c r="BK21" s="61">
        <v>0</v>
      </c>
      <c r="BL21" s="61">
        <v>0</v>
      </c>
      <c r="BM21" s="61">
        <v>28.4</v>
      </c>
      <c r="BN21" s="61">
        <v>3.2</v>
      </c>
      <c r="BO21" s="61">
        <v>0</v>
      </c>
      <c r="BP21" s="61">
        <v>0</v>
      </c>
      <c r="BQ21" s="61">
        <v>19.899999999999999</v>
      </c>
      <c r="BR21" s="61">
        <v>2</v>
      </c>
      <c r="BS21" s="61">
        <v>0</v>
      </c>
      <c r="BT21" s="61">
        <v>0</v>
      </c>
      <c r="BU21" s="61">
        <v>28.1</v>
      </c>
      <c r="BV21" s="61">
        <v>3</v>
      </c>
      <c r="BW21" s="61">
        <v>0.9</v>
      </c>
      <c r="BX21" s="61">
        <v>0</v>
      </c>
      <c r="BY21" s="72"/>
      <c r="BZ21" s="11">
        <f t="shared" si="22"/>
        <v>6.3000000000000007</v>
      </c>
      <c r="CA21" s="11">
        <f t="shared" si="23"/>
        <v>62.800000000000004</v>
      </c>
      <c r="CB21" s="11">
        <f t="shared" si="24"/>
        <v>5</v>
      </c>
      <c r="CC21" s="11">
        <f t="shared" si="25"/>
        <v>52.1</v>
      </c>
      <c r="CD21" s="11">
        <f t="shared" si="26"/>
        <v>114.9</v>
      </c>
      <c r="CE21" s="23" t="str">
        <f t="shared" si="27"/>
        <v/>
      </c>
      <c r="CF21" s="23" t="str">
        <f t="shared" si="28"/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 t="shared" si="29"/>
        <v/>
      </c>
      <c r="CX21" s="11" t="str">
        <f t="shared" si="30"/>
        <v/>
      </c>
      <c r="CY21" s="11" t="str">
        <f t="shared" si="31"/>
        <v/>
      </c>
      <c r="CZ21" s="11" t="str">
        <f t="shared" si="32"/>
        <v/>
      </c>
      <c r="DA21" s="11" t="str">
        <f t="shared" si="33"/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 t="shared" si="34"/>
        <v/>
      </c>
      <c r="DS21" s="14" t="str">
        <f t="shared" si="35"/>
        <v/>
      </c>
      <c r="DT21" s="14" t="str">
        <f t="shared" si="36"/>
        <v/>
      </c>
      <c r="DU21" s="14" t="str">
        <f t="shared" si="37"/>
        <v/>
      </c>
      <c r="DV21" s="14" t="str">
        <f t="shared" si="38"/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 t="shared" si="39"/>
        <v/>
      </c>
      <c r="EN21" s="11" t="str">
        <f t="shared" si="40"/>
        <v/>
      </c>
      <c r="EO21" s="11" t="str">
        <f t="shared" si="41"/>
        <v/>
      </c>
      <c r="EP21" s="11" t="str">
        <f t="shared" si="42"/>
        <v/>
      </c>
      <c r="EQ21" s="11" t="str">
        <f t="shared" si="43"/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 t="shared" si="44"/>
        <v/>
      </c>
      <c r="FI21" s="14" t="str">
        <f t="shared" si="45"/>
        <v/>
      </c>
      <c r="FJ21" s="14" t="str">
        <f t="shared" si="46"/>
        <v/>
      </c>
      <c r="FK21" s="14" t="str">
        <f t="shared" si="47"/>
        <v/>
      </c>
      <c r="FL21" s="14" t="str">
        <f t="shared" si="48"/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 t="shared" si="49"/>
        <v/>
      </c>
      <c r="GD21" s="11" t="str">
        <f t="shared" si="50"/>
        <v/>
      </c>
      <c r="GE21" s="11" t="str">
        <f t="shared" si="51"/>
        <v/>
      </c>
      <c r="GF21" s="11" t="str">
        <f t="shared" si="52"/>
        <v/>
      </c>
      <c r="GG21" s="11" t="str">
        <f t="shared" si="53"/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 t="shared" si="54"/>
        <v/>
      </c>
      <c r="GY21" s="14" t="str">
        <f t="shared" si="55"/>
        <v/>
      </c>
      <c r="GZ21" s="14" t="str">
        <f t="shared" si="56"/>
        <v/>
      </c>
      <c r="HA21" s="14" t="str">
        <f t="shared" si="57"/>
        <v/>
      </c>
      <c r="HB21" s="14" t="str">
        <f t="shared" si="58"/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 t="shared" si="59"/>
        <v/>
      </c>
      <c r="HT21" s="11" t="str">
        <f t="shared" si="60"/>
        <v/>
      </c>
      <c r="HU21" s="11" t="str">
        <f t="shared" si="61"/>
        <v/>
      </c>
      <c r="HV21" s="11" t="str">
        <f t="shared" si="62"/>
        <v/>
      </c>
      <c r="HW21" s="11" t="str">
        <f t="shared" si="63"/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 t="shared" si="64"/>
        <v/>
      </c>
      <c r="IO21" s="14" t="str">
        <f t="shared" si="65"/>
        <v/>
      </c>
      <c r="IP21" s="14" t="str">
        <f t="shared" si="66"/>
        <v/>
      </c>
      <c r="IQ21" s="14" t="str">
        <f t="shared" si="67"/>
        <v/>
      </c>
      <c r="IR21" s="14" t="str">
        <f t="shared" si="68"/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 t="shared" si="69"/>
        <v/>
      </c>
      <c r="JJ21" s="11" t="str">
        <f t="shared" si="70"/>
        <v/>
      </c>
      <c r="JK21" s="11" t="str">
        <f t="shared" si="71"/>
        <v/>
      </c>
      <c r="JL21" s="11" t="str">
        <f t="shared" si="72"/>
        <v/>
      </c>
      <c r="JM21" s="11" t="str">
        <f t="shared" si="73"/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 t="shared" si="74"/>
        <v/>
      </c>
      <c r="KE21" s="14" t="str">
        <f t="shared" si="75"/>
        <v/>
      </c>
      <c r="KF21" s="14" t="str">
        <f t="shared" si="76"/>
        <v/>
      </c>
      <c r="KG21" s="14" t="str">
        <f t="shared" si="77"/>
        <v/>
      </c>
      <c r="KH21" s="14" t="str">
        <f t="shared" si="78"/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 t="shared" si="79"/>
        <v/>
      </c>
      <c r="KZ21" s="11" t="str">
        <f t="shared" si="80"/>
        <v/>
      </c>
      <c r="LA21" s="11" t="str">
        <f t="shared" si="81"/>
        <v/>
      </c>
      <c r="LB21" s="11" t="str">
        <f t="shared" si="82"/>
        <v/>
      </c>
      <c r="LC21" s="11" t="str">
        <f t="shared" si="83"/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 t="shared" si="84"/>
        <v/>
      </c>
      <c r="LU21" s="14" t="str">
        <f t="shared" si="85"/>
        <v/>
      </c>
      <c r="LV21" s="14" t="str">
        <f t="shared" si="86"/>
        <v/>
      </c>
      <c r="LW21" s="14" t="str">
        <f t="shared" si="87"/>
        <v/>
      </c>
      <c r="LX21" s="14" t="str">
        <f t="shared" si="88"/>
        <v/>
      </c>
      <c r="LY21" s="61">
        <f t="shared" si="89"/>
        <v>14.05</v>
      </c>
      <c r="LZ21" s="61">
        <f t="shared" si="90"/>
        <v>1.55</v>
      </c>
      <c r="MA21" s="61">
        <f t="shared" si="91"/>
        <v>0</v>
      </c>
      <c r="MB21" s="61">
        <f t="shared" si="92"/>
        <v>0</v>
      </c>
      <c r="MC21" s="61">
        <f t="shared" si="93"/>
        <v>14.2</v>
      </c>
      <c r="MD21" s="61">
        <f t="shared" si="94"/>
        <v>1.6</v>
      </c>
      <c r="ME21" s="61">
        <f t="shared" si="95"/>
        <v>0</v>
      </c>
      <c r="MF21" s="61">
        <f t="shared" si="96"/>
        <v>0</v>
      </c>
      <c r="MG21" s="61">
        <f t="shared" si="97"/>
        <v>9.9499999999999993</v>
      </c>
      <c r="MH21" s="61">
        <f t="shared" si="98"/>
        <v>1</v>
      </c>
      <c r="MI21" s="61">
        <f t="shared" si="99"/>
        <v>0</v>
      </c>
      <c r="MJ21" s="61">
        <f t="shared" si="100"/>
        <v>0</v>
      </c>
      <c r="MK21" s="61">
        <f t="shared" si="101"/>
        <v>14.05</v>
      </c>
      <c r="ML21" s="61">
        <f t="shared" si="102"/>
        <v>1.5</v>
      </c>
      <c r="MM21" s="61">
        <f t="shared" si="103"/>
        <v>0.45</v>
      </c>
      <c r="MN21" s="61">
        <f t="shared" si="104"/>
        <v>0</v>
      </c>
      <c r="MO21" s="72" t="s">
        <v>52</v>
      </c>
      <c r="MP21" s="11">
        <f t="shared" si="105"/>
        <v>3.1500000000000004</v>
      </c>
      <c r="MQ21" s="11">
        <f t="shared" si="106"/>
        <v>31.400000000000002</v>
      </c>
      <c r="MR21" s="11">
        <f t="shared" si="107"/>
        <v>2.5</v>
      </c>
      <c r="MS21" s="11">
        <f t="shared" si="108"/>
        <v>26.05</v>
      </c>
      <c r="MT21" s="11">
        <f t="shared" si="109"/>
        <v>57.45</v>
      </c>
    </row>
    <row r="22" spans="1:358" x14ac:dyDescent="0.2">
      <c r="A22" s="5" t="str">
        <f t="shared" si="0"/>
        <v/>
      </c>
      <c r="B22" s="8" t="s">
        <v>127</v>
      </c>
      <c r="C22" s="4" t="s">
        <v>4</v>
      </c>
      <c r="D22" s="5">
        <v>2004</v>
      </c>
      <c r="E22" s="15">
        <f t="shared" si="110"/>
        <v>52.900000000000006</v>
      </c>
      <c r="F22" s="3" t="str">
        <f t="shared" si="1"/>
        <v/>
      </c>
      <c r="G22" s="3" t="str">
        <f t="shared" si="2"/>
        <v/>
      </c>
      <c r="H22" s="116" t="str">
        <f t="shared" si="3"/>
        <v/>
      </c>
      <c r="I22" s="3" t="str">
        <f t="shared" si="4"/>
        <v/>
      </c>
      <c r="J22" s="14">
        <f t="shared" si="5"/>
        <v>52.900000000000006</v>
      </c>
      <c r="K22" s="14" t="str">
        <f t="shared" si="6"/>
        <v>2021 2nd Virtual Technical Trial</v>
      </c>
      <c r="L22" s="14">
        <f t="shared" si="7"/>
        <v>0</v>
      </c>
      <c r="M22" s="14" t="str">
        <f t="shared" si="8"/>
        <v/>
      </c>
      <c r="N22" s="14" t="str">
        <f t="shared" si="9"/>
        <v/>
      </c>
      <c r="O22" s="24" t="str">
        <f t="shared" si="10"/>
        <v/>
      </c>
      <c r="P22" s="14" t="str">
        <f t="shared" si="11"/>
        <v/>
      </c>
      <c r="Q22" s="61">
        <v>27.8</v>
      </c>
      <c r="R22" s="61">
        <v>3.7</v>
      </c>
      <c r="S22" s="61">
        <v>0</v>
      </c>
      <c r="T22" s="61">
        <v>0</v>
      </c>
      <c r="U22" s="61">
        <v>20.2</v>
      </c>
      <c r="V22" s="61">
        <v>1.2</v>
      </c>
      <c r="W22" s="61">
        <v>0</v>
      </c>
      <c r="X22" s="61">
        <v>0</v>
      </c>
      <c r="Y22" s="61">
        <v>27.6</v>
      </c>
      <c r="Z22" s="61">
        <v>3.5</v>
      </c>
      <c r="AA22" s="61">
        <v>0</v>
      </c>
      <c r="AB22" s="61">
        <v>0</v>
      </c>
      <c r="AC22" s="61">
        <v>24.6</v>
      </c>
      <c r="AD22" s="61">
        <v>3.8</v>
      </c>
      <c r="AE22" s="61">
        <v>0.3</v>
      </c>
      <c r="AF22" s="61">
        <v>0</v>
      </c>
      <c r="AG22" s="72"/>
      <c r="AH22" s="11">
        <f t="shared" si="12"/>
        <v>4.9000000000000004</v>
      </c>
      <c r="AI22" s="11">
        <f t="shared" si="13"/>
        <v>52.900000000000006</v>
      </c>
      <c r="AJ22" s="11">
        <f t="shared" si="14"/>
        <v>7.3</v>
      </c>
      <c r="AK22" s="11">
        <f t="shared" si="15"/>
        <v>59.2</v>
      </c>
      <c r="AL22" s="11">
        <f t="shared" si="16"/>
        <v>112.10000000000001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 t="shared" si="17"/>
        <v/>
      </c>
      <c r="BE22" s="14" t="str">
        <f t="shared" si="18"/>
        <v/>
      </c>
      <c r="BF22" s="14" t="str">
        <f t="shared" si="19"/>
        <v/>
      </c>
      <c r="BG22" s="14" t="str">
        <f t="shared" si="20"/>
        <v/>
      </c>
      <c r="BH22" s="14" t="str">
        <f t="shared" si="21"/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 t="shared" si="22"/>
        <v/>
      </c>
      <c r="CA22" s="11" t="str">
        <f t="shared" si="23"/>
        <v/>
      </c>
      <c r="CB22" s="11" t="str">
        <f t="shared" si="24"/>
        <v/>
      </c>
      <c r="CC22" s="11" t="str">
        <f t="shared" si="25"/>
        <v/>
      </c>
      <c r="CD22" s="11" t="str">
        <f t="shared" si="26"/>
        <v/>
      </c>
      <c r="CE22" s="23" t="str">
        <f t="shared" si="27"/>
        <v/>
      </c>
      <c r="CF22" s="23" t="str">
        <f t="shared" si="28"/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 t="shared" si="29"/>
        <v/>
      </c>
      <c r="CX22" s="11" t="str">
        <f t="shared" si="30"/>
        <v/>
      </c>
      <c r="CY22" s="11" t="str">
        <f t="shared" si="31"/>
        <v/>
      </c>
      <c r="CZ22" s="11" t="str">
        <f t="shared" si="32"/>
        <v/>
      </c>
      <c r="DA22" s="11" t="str">
        <f t="shared" si="33"/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 t="shared" si="34"/>
        <v/>
      </c>
      <c r="DS22" s="14" t="str">
        <f t="shared" si="35"/>
        <v/>
      </c>
      <c r="DT22" s="14" t="str">
        <f t="shared" si="36"/>
        <v/>
      </c>
      <c r="DU22" s="14" t="str">
        <f t="shared" si="37"/>
        <v/>
      </c>
      <c r="DV22" s="14" t="str">
        <f t="shared" si="38"/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 t="shared" si="39"/>
        <v/>
      </c>
      <c r="EN22" s="11" t="str">
        <f t="shared" si="40"/>
        <v/>
      </c>
      <c r="EO22" s="11" t="str">
        <f t="shared" si="41"/>
        <v/>
      </c>
      <c r="EP22" s="11" t="str">
        <f t="shared" si="42"/>
        <v/>
      </c>
      <c r="EQ22" s="11" t="str">
        <f t="shared" si="43"/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 t="shared" si="44"/>
        <v/>
      </c>
      <c r="FI22" s="14" t="str">
        <f t="shared" si="45"/>
        <v/>
      </c>
      <c r="FJ22" s="14" t="str">
        <f t="shared" si="46"/>
        <v/>
      </c>
      <c r="FK22" s="14" t="str">
        <f t="shared" si="47"/>
        <v/>
      </c>
      <c r="FL22" s="14" t="str">
        <f t="shared" si="48"/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 t="shared" si="49"/>
        <v/>
      </c>
      <c r="GD22" s="11" t="str">
        <f t="shared" si="50"/>
        <v/>
      </c>
      <c r="GE22" s="11" t="str">
        <f t="shared" si="51"/>
        <v/>
      </c>
      <c r="GF22" s="11" t="str">
        <f t="shared" si="52"/>
        <v/>
      </c>
      <c r="GG22" s="11" t="str">
        <f t="shared" si="53"/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 t="shared" si="54"/>
        <v/>
      </c>
      <c r="GY22" s="14" t="str">
        <f t="shared" si="55"/>
        <v/>
      </c>
      <c r="GZ22" s="14" t="str">
        <f t="shared" si="56"/>
        <v/>
      </c>
      <c r="HA22" s="14" t="str">
        <f t="shared" si="57"/>
        <v/>
      </c>
      <c r="HB22" s="14" t="str">
        <f t="shared" si="58"/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 t="shared" si="59"/>
        <v/>
      </c>
      <c r="HT22" s="11" t="str">
        <f t="shared" si="60"/>
        <v/>
      </c>
      <c r="HU22" s="11" t="str">
        <f t="shared" si="61"/>
        <v/>
      </c>
      <c r="HV22" s="11" t="str">
        <f t="shared" si="62"/>
        <v/>
      </c>
      <c r="HW22" s="11" t="str">
        <f t="shared" si="63"/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 t="shared" si="64"/>
        <v/>
      </c>
      <c r="IO22" s="14" t="str">
        <f t="shared" si="65"/>
        <v/>
      </c>
      <c r="IP22" s="14" t="str">
        <f t="shared" si="66"/>
        <v/>
      </c>
      <c r="IQ22" s="14" t="str">
        <f t="shared" si="67"/>
        <v/>
      </c>
      <c r="IR22" s="14" t="str">
        <f t="shared" si="68"/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 t="shared" si="69"/>
        <v/>
      </c>
      <c r="JJ22" s="11" t="str">
        <f t="shared" si="70"/>
        <v/>
      </c>
      <c r="JK22" s="11" t="str">
        <f t="shared" si="71"/>
        <v/>
      </c>
      <c r="JL22" s="11" t="str">
        <f t="shared" si="72"/>
        <v/>
      </c>
      <c r="JM22" s="11" t="str">
        <f t="shared" si="73"/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 t="shared" si="74"/>
        <v/>
      </c>
      <c r="KE22" s="14" t="str">
        <f t="shared" si="75"/>
        <v/>
      </c>
      <c r="KF22" s="14" t="str">
        <f t="shared" si="76"/>
        <v/>
      </c>
      <c r="KG22" s="14" t="str">
        <f t="shared" si="77"/>
        <v/>
      </c>
      <c r="KH22" s="14" t="str">
        <f t="shared" si="78"/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 t="shared" si="79"/>
        <v/>
      </c>
      <c r="KZ22" s="11" t="str">
        <f t="shared" si="80"/>
        <v/>
      </c>
      <c r="LA22" s="11" t="str">
        <f t="shared" si="81"/>
        <v/>
      </c>
      <c r="LB22" s="11" t="str">
        <f t="shared" si="82"/>
        <v/>
      </c>
      <c r="LC22" s="11" t="str">
        <f t="shared" si="83"/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 t="shared" si="84"/>
        <v/>
      </c>
      <c r="LU22" s="14" t="str">
        <f t="shared" si="85"/>
        <v/>
      </c>
      <c r="LV22" s="14" t="str">
        <f t="shared" si="86"/>
        <v/>
      </c>
      <c r="LW22" s="14" t="str">
        <f t="shared" si="87"/>
        <v/>
      </c>
      <c r="LX22" s="14" t="str">
        <f t="shared" si="88"/>
        <v/>
      </c>
      <c r="LY22" s="61">
        <f t="shared" si="89"/>
        <v>0</v>
      </c>
      <c r="LZ22" s="61">
        <f t="shared" si="90"/>
        <v>0</v>
      </c>
      <c r="MA22" s="61">
        <f t="shared" si="91"/>
        <v>0</v>
      </c>
      <c r="MB22" s="61">
        <f t="shared" si="92"/>
        <v>0</v>
      </c>
      <c r="MC22" s="61">
        <f t="shared" si="93"/>
        <v>0</v>
      </c>
      <c r="MD22" s="61">
        <f t="shared" si="94"/>
        <v>0</v>
      </c>
      <c r="ME22" s="61">
        <f t="shared" si="95"/>
        <v>0</v>
      </c>
      <c r="MF22" s="61">
        <f t="shared" si="96"/>
        <v>0</v>
      </c>
      <c r="MG22" s="61">
        <f t="shared" si="97"/>
        <v>0</v>
      </c>
      <c r="MH22" s="61">
        <f t="shared" si="98"/>
        <v>0</v>
      </c>
      <c r="MI22" s="61">
        <f t="shared" si="99"/>
        <v>0</v>
      </c>
      <c r="MJ22" s="61">
        <f t="shared" si="100"/>
        <v>0</v>
      </c>
      <c r="MK22" s="61">
        <f t="shared" si="101"/>
        <v>0</v>
      </c>
      <c r="ML22" s="61">
        <f t="shared" si="102"/>
        <v>0</v>
      </c>
      <c r="MM22" s="61">
        <f t="shared" si="103"/>
        <v>0</v>
      </c>
      <c r="MN22" s="61">
        <f t="shared" si="104"/>
        <v>0</v>
      </c>
      <c r="MO22" s="72" t="s">
        <v>52</v>
      </c>
      <c r="MP22" s="11" t="str">
        <f t="shared" si="105"/>
        <v/>
      </c>
      <c r="MQ22" s="11" t="str">
        <f t="shared" si="106"/>
        <v/>
      </c>
      <c r="MR22" s="11" t="str">
        <f t="shared" si="107"/>
        <v/>
      </c>
      <c r="MS22" s="11" t="str">
        <f t="shared" si="108"/>
        <v/>
      </c>
      <c r="MT22" s="11" t="str">
        <f t="shared" si="109"/>
        <v/>
      </c>
    </row>
    <row r="23" spans="1:358" x14ac:dyDescent="0.2">
      <c r="A23" s="5" t="str">
        <f t="shared" si="0"/>
        <v/>
      </c>
      <c r="B23" s="8" t="s">
        <v>101</v>
      </c>
      <c r="C23" s="4" t="s">
        <v>5</v>
      </c>
      <c r="D23" s="5">
        <v>2004</v>
      </c>
      <c r="E23" s="15">
        <f t="shared" si="110"/>
        <v>31</v>
      </c>
      <c r="F23" s="3" t="str">
        <f t="shared" si="1"/>
        <v/>
      </c>
      <c r="G23" s="3" t="str">
        <f t="shared" si="2"/>
        <v/>
      </c>
      <c r="H23" s="116" t="str">
        <f t="shared" si="3"/>
        <v/>
      </c>
      <c r="I23" s="3" t="str">
        <f t="shared" si="4"/>
        <v/>
      </c>
      <c r="J23" s="14">
        <f t="shared" si="5"/>
        <v>31</v>
      </c>
      <c r="K23" s="14" t="str">
        <f t="shared" si="6"/>
        <v>2021 Elite Canada</v>
      </c>
      <c r="L23" s="14">
        <f t="shared" si="7"/>
        <v>0</v>
      </c>
      <c r="M23" s="14" t="str">
        <f t="shared" si="8"/>
        <v/>
      </c>
      <c r="N23" s="14" t="str">
        <f t="shared" si="9"/>
        <v/>
      </c>
      <c r="O23" s="24" t="str">
        <f t="shared" si="10"/>
        <v/>
      </c>
      <c r="P23" s="14" t="str">
        <f t="shared" si="11"/>
        <v/>
      </c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72"/>
      <c r="AH23" s="11" t="str">
        <f t="shared" si="12"/>
        <v/>
      </c>
      <c r="AI23" s="11" t="str">
        <f t="shared" si="13"/>
        <v/>
      </c>
      <c r="AJ23" s="11" t="str">
        <f t="shared" si="14"/>
        <v/>
      </c>
      <c r="AK23" s="11" t="str">
        <f t="shared" si="15"/>
        <v/>
      </c>
      <c r="AL23" s="11" t="str">
        <f t="shared" si="16"/>
        <v/>
      </c>
      <c r="AM23" s="36">
        <v>28.2</v>
      </c>
      <c r="AN23" s="36">
        <v>3.1</v>
      </c>
      <c r="AO23" s="36">
        <v>0.3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/>
      <c r="AV23" s="36"/>
      <c r="AW23" s="36"/>
      <c r="AX23" s="36"/>
      <c r="AY23" s="36"/>
      <c r="AZ23" s="36"/>
      <c r="BA23" s="36"/>
      <c r="BB23" s="36"/>
      <c r="BC23" s="73"/>
      <c r="BD23" s="14">
        <f t="shared" si="17"/>
        <v>3.1</v>
      </c>
      <c r="BE23" s="14">
        <f t="shared" si="18"/>
        <v>31</v>
      </c>
      <c r="BF23" s="14" t="str">
        <f t="shared" si="19"/>
        <v/>
      </c>
      <c r="BG23" s="14" t="str">
        <f t="shared" si="20"/>
        <v/>
      </c>
      <c r="BH23" s="14">
        <f t="shared" si="21"/>
        <v>31</v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 t="shared" si="22"/>
        <v/>
      </c>
      <c r="CA23" s="11" t="str">
        <f t="shared" si="23"/>
        <v/>
      </c>
      <c r="CB23" s="11" t="str">
        <f t="shared" si="24"/>
        <v/>
      </c>
      <c r="CC23" s="11" t="str">
        <f t="shared" si="25"/>
        <v/>
      </c>
      <c r="CD23" s="11" t="str">
        <f t="shared" si="26"/>
        <v/>
      </c>
      <c r="CE23" s="23" t="str">
        <f t="shared" si="27"/>
        <v/>
      </c>
      <c r="CF23" s="23" t="str">
        <f t="shared" si="28"/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 t="shared" si="29"/>
        <v/>
      </c>
      <c r="CX23" s="11" t="str">
        <f t="shared" si="30"/>
        <v/>
      </c>
      <c r="CY23" s="11" t="str">
        <f t="shared" si="31"/>
        <v/>
      </c>
      <c r="CZ23" s="11" t="str">
        <f t="shared" si="32"/>
        <v/>
      </c>
      <c r="DA23" s="11" t="str">
        <f t="shared" si="33"/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 t="shared" si="34"/>
        <v/>
      </c>
      <c r="DS23" s="14" t="str">
        <f t="shared" si="35"/>
        <v/>
      </c>
      <c r="DT23" s="14" t="str">
        <f t="shared" si="36"/>
        <v/>
      </c>
      <c r="DU23" s="14" t="str">
        <f t="shared" si="37"/>
        <v/>
      </c>
      <c r="DV23" s="14" t="str">
        <f t="shared" si="38"/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 t="shared" si="39"/>
        <v/>
      </c>
      <c r="EN23" s="11" t="str">
        <f t="shared" si="40"/>
        <v/>
      </c>
      <c r="EO23" s="11" t="str">
        <f t="shared" si="41"/>
        <v/>
      </c>
      <c r="EP23" s="11" t="str">
        <f t="shared" si="42"/>
        <v/>
      </c>
      <c r="EQ23" s="11" t="str">
        <f t="shared" si="43"/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 t="shared" si="44"/>
        <v/>
      </c>
      <c r="FI23" s="14" t="str">
        <f t="shared" si="45"/>
        <v/>
      </c>
      <c r="FJ23" s="14" t="str">
        <f t="shared" si="46"/>
        <v/>
      </c>
      <c r="FK23" s="14" t="str">
        <f t="shared" si="47"/>
        <v/>
      </c>
      <c r="FL23" s="14" t="str">
        <f t="shared" si="48"/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 t="shared" si="49"/>
        <v/>
      </c>
      <c r="GD23" s="11" t="str">
        <f t="shared" si="50"/>
        <v/>
      </c>
      <c r="GE23" s="11" t="str">
        <f t="shared" si="51"/>
        <v/>
      </c>
      <c r="GF23" s="11" t="str">
        <f t="shared" si="52"/>
        <v/>
      </c>
      <c r="GG23" s="11" t="str">
        <f t="shared" si="53"/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 t="shared" si="54"/>
        <v/>
      </c>
      <c r="GY23" s="14" t="str">
        <f t="shared" si="55"/>
        <v/>
      </c>
      <c r="GZ23" s="14" t="str">
        <f t="shared" si="56"/>
        <v/>
      </c>
      <c r="HA23" s="14" t="str">
        <f t="shared" si="57"/>
        <v/>
      </c>
      <c r="HB23" s="14" t="str">
        <f t="shared" si="58"/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 t="shared" si="59"/>
        <v/>
      </c>
      <c r="HT23" s="11" t="str">
        <f t="shared" si="60"/>
        <v/>
      </c>
      <c r="HU23" s="11" t="str">
        <f t="shared" si="61"/>
        <v/>
      </c>
      <c r="HV23" s="11" t="str">
        <f t="shared" si="62"/>
        <v/>
      </c>
      <c r="HW23" s="11" t="str">
        <f t="shared" si="63"/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 t="shared" si="64"/>
        <v/>
      </c>
      <c r="IO23" s="14" t="str">
        <f t="shared" si="65"/>
        <v/>
      </c>
      <c r="IP23" s="14" t="str">
        <f t="shared" si="66"/>
        <v/>
      </c>
      <c r="IQ23" s="14" t="str">
        <f t="shared" si="67"/>
        <v/>
      </c>
      <c r="IR23" s="14" t="str">
        <f t="shared" si="68"/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 t="shared" si="69"/>
        <v/>
      </c>
      <c r="JJ23" s="11" t="str">
        <f t="shared" si="70"/>
        <v/>
      </c>
      <c r="JK23" s="11" t="str">
        <f t="shared" si="71"/>
        <v/>
      </c>
      <c r="JL23" s="11" t="str">
        <f t="shared" si="72"/>
        <v/>
      </c>
      <c r="JM23" s="11" t="str">
        <f t="shared" si="73"/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 t="shared" si="74"/>
        <v/>
      </c>
      <c r="KE23" s="14" t="str">
        <f t="shared" si="75"/>
        <v/>
      </c>
      <c r="KF23" s="14" t="str">
        <f t="shared" si="76"/>
        <v/>
      </c>
      <c r="KG23" s="14" t="str">
        <f t="shared" si="77"/>
        <v/>
      </c>
      <c r="KH23" s="14" t="str">
        <f t="shared" si="78"/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 t="shared" si="79"/>
        <v/>
      </c>
      <c r="KZ23" s="11" t="str">
        <f t="shared" si="80"/>
        <v/>
      </c>
      <c r="LA23" s="11" t="str">
        <f t="shared" si="81"/>
        <v/>
      </c>
      <c r="LB23" s="11" t="str">
        <f t="shared" si="82"/>
        <v/>
      </c>
      <c r="LC23" s="11" t="str">
        <f t="shared" si="83"/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 t="shared" si="84"/>
        <v/>
      </c>
      <c r="LU23" s="14" t="str">
        <f t="shared" si="85"/>
        <v/>
      </c>
      <c r="LV23" s="14" t="str">
        <f t="shared" si="86"/>
        <v/>
      </c>
      <c r="LW23" s="14" t="str">
        <f t="shared" si="87"/>
        <v/>
      </c>
      <c r="LX23" s="14" t="str">
        <f t="shared" si="88"/>
        <v/>
      </c>
      <c r="LY23" s="61">
        <f t="shared" si="89"/>
        <v>14.1</v>
      </c>
      <c r="LZ23" s="61">
        <f t="shared" si="90"/>
        <v>1.55</v>
      </c>
      <c r="MA23" s="61">
        <f t="shared" si="91"/>
        <v>0.15</v>
      </c>
      <c r="MB23" s="61">
        <f t="shared" si="92"/>
        <v>0</v>
      </c>
      <c r="MC23" s="61">
        <f t="shared" si="93"/>
        <v>0</v>
      </c>
      <c r="MD23" s="61">
        <f t="shared" si="94"/>
        <v>0</v>
      </c>
      <c r="ME23" s="61">
        <f t="shared" si="95"/>
        <v>0</v>
      </c>
      <c r="MF23" s="61">
        <f t="shared" si="96"/>
        <v>0</v>
      </c>
      <c r="MG23" s="61">
        <f t="shared" si="97"/>
        <v>0</v>
      </c>
      <c r="MH23" s="61">
        <f t="shared" si="98"/>
        <v>0</v>
      </c>
      <c r="MI23" s="61">
        <f t="shared" si="99"/>
        <v>0</v>
      </c>
      <c r="MJ23" s="61">
        <f t="shared" si="100"/>
        <v>0</v>
      </c>
      <c r="MK23" s="61">
        <f t="shared" si="101"/>
        <v>0</v>
      </c>
      <c r="ML23" s="61">
        <f t="shared" si="102"/>
        <v>0</v>
      </c>
      <c r="MM23" s="61">
        <f t="shared" si="103"/>
        <v>0</v>
      </c>
      <c r="MN23" s="61">
        <f t="shared" si="104"/>
        <v>0</v>
      </c>
      <c r="MO23" s="72" t="s">
        <v>52</v>
      </c>
      <c r="MP23" s="11">
        <f t="shared" si="105"/>
        <v>1.55</v>
      </c>
      <c r="MQ23" s="11">
        <f t="shared" si="106"/>
        <v>15.5</v>
      </c>
      <c r="MR23" s="11" t="str">
        <f t="shared" si="107"/>
        <v/>
      </c>
      <c r="MS23" s="11" t="str">
        <f t="shared" si="108"/>
        <v/>
      </c>
      <c r="MT23" s="11">
        <f t="shared" si="109"/>
        <v>15.5</v>
      </c>
    </row>
    <row r="24" spans="1:358" s="46" customFormat="1" x14ac:dyDescent="0.2">
      <c r="A24" s="7"/>
      <c r="B24" s="8"/>
      <c r="C24" s="4"/>
      <c r="D24" s="7"/>
      <c r="E24" s="87"/>
      <c r="F24" s="88"/>
      <c r="G24" s="88"/>
      <c r="H24" s="118"/>
      <c r="I24" s="88"/>
      <c r="J24" s="47"/>
      <c r="K24" s="47"/>
      <c r="L24" s="47"/>
      <c r="M24" s="47"/>
      <c r="N24" s="47"/>
      <c r="O24" s="89"/>
      <c r="P24" s="47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1"/>
      <c r="AH24" s="47"/>
      <c r="AI24" s="47"/>
      <c r="AJ24" s="47"/>
      <c r="AK24" s="47"/>
      <c r="AL24" s="47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1"/>
      <c r="BD24" s="47"/>
      <c r="BE24" s="47"/>
      <c r="BF24" s="47"/>
      <c r="BG24" s="47"/>
      <c r="BH24" s="47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1"/>
      <c r="BZ24" s="47"/>
      <c r="CA24" s="47"/>
      <c r="CB24" s="47"/>
      <c r="CC24" s="47"/>
      <c r="CD24" s="47"/>
      <c r="CE24" s="47"/>
      <c r="CF24" s="47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47"/>
      <c r="CX24" s="47"/>
      <c r="CY24" s="47"/>
      <c r="CZ24" s="47"/>
      <c r="DA24" s="47"/>
      <c r="DB24" s="93"/>
      <c r="DC24" s="93"/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47"/>
      <c r="DS24" s="47"/>
      <c r="DT24" s="47"/>
      <c r="DU24" s="47"/>
      <c r="DV24" s="47"/>
      <c r="DW24" s="93"/>
      <c r="DX24" s="93"/>
      <c r="DY24" s="93"/>
      <c r="DZ24" s="93"/>
      <c r="EA24" s="93"/>
      <c r="EB24" s="93"/>
      <c r="EC24" s="93"/>
      <c r="ED24" s="93"/>
      <c r="EE24" s="93"/>
      <c r="EF24" s="93"/>
      <c r="EG24" s="93"/>
      <c r="EH24" s="93"/>
      <c r="EI24" s="93"/>
      <c r="EJ24" s="93"/>
      <c r="EK24" s="93"/>
      <c r="EL24" s="93"/>
      <c r="EM24" s="47"/>
      <c r="EN24" s="47"/>
      <c r="EO24" s="47"/>
      <c r="EP24" s="47"/>
      <c r="EQ24" s="47"/>
      <c r="ER24" s="93"/>
      <c r="ES24" s="93"/>
      <c r="ET24" s="93"/>
      <c r="EU24" s="93"/>
      <c r="EV24" s="93"/>
      <c r="EW24" s="93"/>
      <c r="EX24" s="93"/>
      <c r="EY24" s="93"/>
      <c r="EZ24" s="93"/>
      <c r="FA24" s="93"/>
      <c r="FB24" s="93"/>
      <c r="FC24" s="93"/>
      <c r="FD24" s="93"/>
      <c r="FE24" s="93"/>
      <c r="FF24" s="93"/>
      <c r="FG24" s="93"/>
      <c r="FH24" s="47"/>
      <c r="FI24" s="47"/>
      <c r="FJ24" s="47"/>
      <c r="FK24" s="47"/>
      <c r="FL24" s="47"/>
      <c r="FM24" s="93"/>
      <c r="FN24" s="93"/>
      <c r="FO24" s="93"/>
      <c r="FP24" s="93"/>
      <c r="FQ24" s="93"/>
      <c r="FR24" s="93"/>
      <c r="FS24" s="93"/>
      <c r="FT24" s="93"/>
      <c r="FU24" s="93"/>
      <c r="FV24" s="93"/>
      <c r="FW24" s="93"/>
      <c r="FX24" s="93"/>
      <c r="FY24" s="93"/>
      <c r="FZ24" s="93"/>
      <c r="GA24" s="93"/>
      <c r="GB24" s="93"/>
      <c r="GC24" s="47"/>
      <c r="GD24" s="47"/>
      <c r="GE24" s="47"/>
      <c r="GF24" s="47"/>
      <c r="GG24" s="47"/>
      <c r="GH24" s="93"/>
      <c r="GI24" s="93"/>
      <c r="GJ24" s="93"/>
      <c r="GK24" s="93"/>
      <c r="GL24" s="93"/>
      <c r="GM24" s="93"/>
      <c r="GN24" s="93"/>
      <c r="GO24" s="93"/>
      <c r="GP24" s="93"/>
      <c r="GQ24" s="93"/>
      <c r="GR24" s="93"/>
      <c r="GS24" s="93"/>
      <c r="GT24" s="93"/>
      <c r="GU24" s="93"/>
      <c r="GV24" s="93"/>
      <c r="GW24" s="93"/>
      <c r="GX24" s="47"/>
      <c r="GY24" s="47"/>
      <c r="GZ24" s="47"/>
      <c r="HA24" s="47"/>
      <c r="HB24" s="47"/>
      <c r="HC24" s="93"/>
      <c r="HD24" s="93"/>
      <c r="HE24" s="93"/>
      <c r="HF24" s="93"/>
      <c r="HG24" s="93"/>
      <c r="HH24" s="93"/>
      <c r="HI24" s="93"/>
      <c r="HJ24" s="93"/>
      <c r="HK24" s="93"/>
      <c r="HL24" s="93"/>
      <c r="HM24" s="93"/>
      <c r="HN24" s="93"/>
      <c r="HO24" s="93"/>
      <c r="HP24" s="93"/>
      <c r="HQ24" s="93"/>
      <c r="HR24" s="93"/>
      <c r="HS24" s="47"/>
      <c r="HT24" s="47"/>
      <c r="HU24" s="47"/>
      <c r="HV24" s="47"/>
      <c r="HW24" s="47"/>
      <c r="HX24" s="93"/>
      <c r="HY24" s="93"/>
      <c r="HZ24" s="93"/>
      <c r="IA24" s="93"/>
      <c r="IB24" s="93"/>
      <c r="IC24" s="93"/>
      <c r="ID24" s="93"/>
      <c r="IE24" s="93"/>
      <c r="IF24" s="93"/>
      <c r="IG24" s="93"/>
      <c r="IH24" s="93"/>
      <c r="II24" s="93"/>
      <c r="IJ24" s="93"/>
      <c r="IK24" s="93"/>
      <c r="IL24" s="93"/>
      <c r="IM24" s="93"/>
      <c r="IN24" s="47"/>
      <c r="IO24" s="47"/>
      <c r="IP24" s="47"/>
      <c r="IQ24" s="47"/>
      <c r="IR24" s="47"/>
      <c r="IS24" s="93"/>
      <c r="IT24" s="93"/>
      <c r="IU24" s="93"/>
      <c r="IV24" s="93"/>
      <c r="IW24" s="93"/>
      <c r="IX24" s="93"/>
      <c r="IY24" s="93"/>
      <c r="IZ24" s="93"/>
      <c r="JA24" s="93"/>
      <c r="JB24" s="93"/>
      <c r="JC24" s="93"/>
      <c r="JD24" s="93"/>
      <c r="JE24" s="93"/>
      <c r="JF24" s="93"/>
      <c r="JG24" s="93"/>
      <c r="JH24" s="93"/>
      <c r="JI24" s="47"/>
      <c r="JJ24" s="47"/>
      <c r="JK24" s="47"/>
      <c r="JL24" s="47"/>
      <c r="JM24" s="47"/>
      <c r="JN24" s="93"/>
      <c r="JO24" s="93"/>
      <c r="JP24" s="93"/>
      <c r="JQ24" s="93"/>
      <c r="JR24" s="93"/>
      <c r="JS24" s="93"/>
      <c r="JT24" s="93"/>
      <c r="JU24" s="93"/>
      <c r="JV24" s="93"/>
      <c r="JW24" s="93"/>
      <c r="JX24" s="93"/>
      <c r="JY24" s="93"/>
      <c r="JZ24" s="93"/>
      <c r="KA24" s="93"/>
      <c r="KB24" s="93"/>
      <c r="KC24" s="93"/>
      <c r="KD24" s="47"/>
      <c r="KE24" s="47"/>
      <c r="KF24" s="47"/>
      <c r="KG24" s="47"/>
      <c r="KH24" s="47"/>
      <c r="KI24" s="93"/>
      <c r="KJ24" s="93"/>
      <c r="KK24" s="93"/>
      <c r="KL24" s="93"/>
      <c r="KM24" s="93"/>
      <c r="KN24" s="93"/>
      <c r="KO24" s="93"/>
      <c r="KP24" s="93"/>
      <c r="KQ24" s="93"/>
      <c r="KR24" s="93"/>
      <c r="KS24" s="93"/>
      <c r="KT24" s="93"/>
      <c r="KU24" s="93"/>
      <c r="KV24" s="93"/>
      <c r="KW24" s="93"/>
      <c r="KX24" s="93"/>
      <c r="KY24" s="47"/>
      <c r="KZ24" s="47"/>
      <c r="LA24" s="47"/>
      <c r="LB24" s="47"/>
      <c r="LC24" s="47"/>
      <c r="LD24" s="93"/>
      <c r="LE24" s="93"/>
      <c r="LF24" s="93"/>
      <c r="LG24" s="93"/>
      <c r="LH24" s="93"/>
      <c r="LI24" s="93"/>
      <c r="LJ24" s="93"/>
      <c r="LK24" s="93"/>
      <c r="LL24" s="93"/>
      <c r="LM24" s="93"/>
      <c r="LN24" s="93"/>
      <c r="LO24" s="93"/>
      <c r="LP24" s="93"/>
      <c r="LQ24" s="93"/>
      <c r="LR24" s="93"/>
      <c r="LS24" s="93"/>
      <c r="LT24" s="47"/>
      <c r="LU24" s="47"/>
      <c r="LV24" s="47"/>
      <c r="LW24" s="47"/>
      <c r="LX24" s="47"/>
    </row>
    <row r="25" spans="1:358" x14ac:dyDescent="0.2">
      <c r="AH25" s="47"/>
      <c r="AJ25" s="47"/>
      <c r="BD25" s="47"/>
      <c r="BF25" s="47"/>
      <c r="BZ25" s="47"/>
      <c r="CB25" s="47"/>
      <c r="CW25" s="47"/>
      <c r="CY25" s="47"/>
      <c r="DR25" s="47"/>
      <c r="DT25" s="47"/>
      <c r="EM25" s="47"/>
      <c r="EO25" s="47"/>
      <c r="FH25" s="47"/>
      <c r="FJ25" s="47"/>
      <c r="GC25" s="47"/>
      <c r="GE25" s="47"/>
      <c r="GX25" s="47"/>
      <c r="GZ25" s="47"/>
      <c r="HS25" s="47"/>
      <c r="HU25" s="47"/>
      <c r="IN25" s="47"/>
      <c r="IP25" s="47"/>
      <c r="JI25" s="47"/>
      <c r="JK25" s="47"/>
      <c r="KD25" s="47"/>
      <c r="KF25" s="47"/>
      <c r="KY25" s="47"/>
      <c r="LA25" s="47"/>
      <c r="LT25" s="47"/>
      <c r="LV25" s="47"/>
    </row>
    <row r="26" spans="1:358" x14ac:dyDescent="0.2">
      <c r="B26" s="62" t="s">
        <v>50</v>
      </c>
      <c r="AH26" s="47"/>
      <c r="AJ26" s="47"/>
      <c r="AL26" s="56">
        <v>10.4</v>
      </c>
      <c r="BD26" s="47"/>
      <c r="BF26" s="47"/>
      <c r="BH26" s="56">
        <v>10.4</v>
      </c>
      <c r="BZ26" s="47"/>
      <c r="CB26" s="47"/>
      <c r="CD26" s="56">
        <v>10.4</v>
      </c>
      <c r="CW26" s="47"/>
      <c r="CY26" s="47"/>
      <c r="DA26" s="56">
        <v>10.4</v>
      </c>
      <c r="DR26" s="47"/>
      <c r="DT26" s="47"/>
      <c r="DV26" s="56">
        <v>10.4</v>
      </c>
      <c r="EM26" s="47"/>
      <c r="EO26" s="47"/>
      <c r="EQ26" s="56">
        <v>10.4</v>
      </c>
      <c r="FH26" s="47"/>
      <c r="FJ26" s="47"/>
      <c r="FL26" s="56">
        <v>10.4</v>
      </c>
      <c r="GC26" s="47"/>
      <c r="GE26" s="47"/>
      <c r="GG26" s="56">
        <v>10.4</v>
      </c>
      <c r="GX26" s="47"/>
      <c r="GZ26" s="47"/>
      <c r="HB26" s="56">
        <v>10.4</v>
      </c>
      <c r="HS26" s="47"/>
      <c r="HU26" s="47"/>
      <c r="HW26" s="56">
        <v>10.4</v>
      </c>
      <c r="IN26" s="47"/>
      <c r="IP26" s="47"/>
      <c r="IR26" s="56">
        <v>10.4</v>
      </c>
      <c r="JI26" s="47"/>
      <c r="JK26" s="47"/>
      <c r="JM26" s="56">
        <v>10.4</v>
      </c>
      <c r="KD26" s="47"/>
      <c r="KF26" s="47"/>
      <c r="KH26" s="56">
        <v>10.4</v>
      </c>
      <c r="KY26" s="47"/>
      <c r="LA26" s="47"/>
      <c r="LC26" s="56">
        <v>10.4</v>
      </c>
      <c r="LT26" s="47"/>
      <c r="LV26" s="47"/>
      <c r="LX26" s="56">
        <v>10.4</v>
      </c>
    </row>
    <row r="27" spans="1:358" hidden="1" x14ac:dyDescent="0.2">
      <c r="B27" s="83" t="s">
        <v>49</v>
      </c>
      <c r="AH27" s="47"/>
      <c r="AJ27" s="47"/>
      <c r="AL27" s="85">
        <v>1000</v>
      </c>
      <c r="BD27" s="47"/>
      <c r="BF27" s="47"/>
      <c r="BH27" s="85">
        <v>1000</v>
      </c>
      <c r="BZ27" s="47"/>
      <c r="CB27" s="47"/>
      <c r="CD27" s="85">
        <v>1000</v>
      </c>
      <c r="CW27" s="47"/>
      <c r="CY27" s="47"/>
      <c r="DA27" s="85">
        <v>1000</v>
      </c>
      <c r="DR27" s="47"/>
      <c r="DT27" s="47"/>
      <c r="DV27" s="85">
        <v>1000</v>
      </c>
      <c r="EM27" s="47"/>
      <c r="EO27" s="47"/>
      <c r="EQ27" s="85">
        <v>1000</v>
      </c>
      <c r="FH27" s="47"/>
      <c r="FJ27" s="47"/>
      <c r="FL27" s="85">
        <v>1000</v>
      </c>
      <c r="GC27" s="47"/>
      <c r="GE27" s="47"/>
      <c r="GG27" s="85">
        <v>1000</v>
      </c>
      <c r="GX27" s="47"/>
      <c r="GZ27" s="47"/>
      <c r="HB27" s="85">
        <v>1000</v>
      </c>
      <c r="HS27" s="47"/>
      <c r="HU27" s="47"/>
      <c r="HW27" s="85">
        <v>1000</v>
      </c>
      <c r="IN27" s="47"/>
      <c r="IP27" s="47"/>
      <c r="IR27" s="85">
        <v>1000</v>
      </c>
      <c r="JI27" s="47"/>
      <c r="JK27" s="47"/>
      <c r="JM27" s="85">
        <v>1000</v>
      </c>
      <c r="KD27" s="47"/>
      <c r="KF27" s="47"/>
      <c r="KH27" s="85">
        <v>1000</v>
      </c>
      <c r="KY27" s="47"/>
      <c r="LA27" s="47"/>
      <c r="LC27" s="85">
        <v>1000</v>
      </c>
      <c r="LT27" s="47"/>
      <c r="LV27" s="47"/>
      <c r="LX27" s="85">
        <v>1000</v>
      </c>
    </row>
    <row r="28" spans="1:358" hidden="1" x14ac:dyDescent="0.2">
      <c r="A28" s="49"/>
      <c r="B28" s="84" t="s">
        <v>62</v>
      </c>
      <c r="C28" s="48"/>
      <c r="AL28" s="86">
        <v>1000</v>
      </c>
      <c r="BG28" s="117"/>
      <c r="BH28" s="86">
        <v>1000</v>
      </c>
      <c r="CD28" s="86">
        <v>1000</v>
      </c>
      <c r="DA28" s="86">
        <v>1000</v>
      </c>
      <c r="DU28" s="117"/>
      <c r="DV28" s="86">
        <v>1000</v>
      </c>
      <c r="EQ28" s="86">
        <v>1000</v>
      </c>
      <c r="FL28" s="86">
        <v>1000</v>
      </c>
      <c r="GG28" s="86">
        <v>1000</v>
      </c>
      <c r="HB28" s="86">
        <v>1000</v>
      </c>
      <c r="HW28" s="86">
        <v>1000</v>
      </c>
      <c r="IR28" s="86">
        <v>1000</v>
      </c>
      <c r="JM28" s="86">
        <v>1000</v>
      </c>
      <c r="KH28" s="86">
        <v>1000</v>
      </c>
      <c r="LC28" s="86">
        <v>1000</v>
      </c>
      <c r="LX28" s="86">
        <v>1000</v>
      </c>
    </row>
    <row r="29" spans="1:358" hidden="1" x14ac:dyDescent="0.2">
      <c r="A29" s="49"/>
      <c r="B29" s="63" t="s">
        <v>69</v>
      </c>
      <c r="C29" s="48"/>
      <c r="AK29" s="117"/>
      <c r="AL29" s="57">
        <v>1000</v>
      </c>
      <c r="BG29" s="117"/>
      <c r="BH29" s="57">
        <v>1000</v>
      </c>
      <c r="CD29" s="57">
        <v>1000</v>
      </c>
      <c r="DA29" s="57">
        <v>1000</v>
      </c>
      <c r="DV29" s="57">
        <v>1000</v>
      </c>
      <c r="EQ29" s="57">
        <v>1000</v>
      </c>
      <c r="FL29" s="57">
        <v>1000</v>
      </c>
      <c r="GG29" s="57">
        <v>1000</v>
      </c>
      <c r="HB29" s="57">
        <v>1000</v>
      </c>
      <c r="HW29" s="57">
        <v>1000</v>
      </c>
      <c r="IR29" s="57">
        <v>1000</v>
      </c>
      <c r="JM29" s="57">
        <v>1000</v>
      </c>
      <c r="KH29" s="57">
        <v>1000</v>
      </c>
      <c r="LC29" s="57">
        <v>1000</v>
      </c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66.2</v>
      </c>
      <c r="BD30" s="49"/>
      <c r="BF30" s="49"/>
      <c r="BH30" s="59">
        <v>66.2</v>
      </c>
      <c r="BZ30" s="49"/>
      <c r="CB30" s="49"/>
      <c r="CD30" s="59">
        <v>66.2</v>
      </c>
      <c r="CW30" s="49"/>
      <c r="CY30" s="49"/>
      <c r="DA30" s="59">
        <v>66.2</v>
      </c>
      <c r="DR30" s="49"/>
      <c r="DT30" s="49"/>
      <c r="DV30" s="59">
        <v>66.2</v>
      </c>
      <c r="EM30" s="49"/>
      <c r="EO30" s="49"/>
      <c r="EQ30" s="59">
        <v>66.2</v>
      </c>
      <c r="FH30" s="49"/>
      <c r="FJ30" s="49"/>
      <c r="FL30" s="59">
        <v>66.2</v>
      </c>
      <c r="GC30" s="49"/>
      <c r="GE30" s="49"/>
      <c r="GG30" s="59">
        <v>66.2</v>
      </c>
      <c r="GX30" s="49"/>
      <c r="GZ30" s="49"/>
      <c r="HB30" s="59">
        <v>66.2</v>
      </c>
      <c r="HS30" s="49"/>
      <c r="HU30" s="49"/>
      <c r="HW30" s="59">
        <v>66.2</v>
      </c>
      <c r="IN30" s="49"/>
      <c r="IP30" s="49"/>
      <c r="IR30" s="59">
        <v>66.2</v>
      </c>
      <c r="JI30" s="49"/>
      <c r="JK30" s="49"/>
      <c r="JM30" s="59">
        <v>66.2</v>
      </c>
      <c r="KD30" s="49"/>
      <c r="KF30" s="49"/>
      <c r="KH30" s="59">
        <v>66.2</v>
      </c>
      <c r="KY30" s="49"/>
      <c r="LA30" s="49"/>
      <c r="LC30" s="59">
        <v>66.2</v>
      </c>
      <c r="LT30" s="49"/>
      <c r="LV30" s="49"/>
      <c r="LX30" s="59">
        <v>66.2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DA32" s="107">
        <v>1000</v>
      </c>
      <c r="DR32" s="49"/>
      <c r="DT32" s="49"/>
      <c r="DU32" s="117"/>
      <c r="DV32" s="107">
        <v>1000</v>
      </c>
      <c r="EM32" s="49"/>
      <c r="EO32" s="49"/>
      <c r="EQ32" s="107">
        <v>1000</v>
      </c>
      <c r="FH32" s="49"/>
      <c r="FJ32" s="49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K33" s="117"/>
      <c r="AL33" s="60">
        <v>1000</v>
      </c>
      <c r="BD33" s="49"/>
      <c r="BF33" s="49"/>
      <c r="BG33" s="117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AH34" s="49"/>
      <c r="AJ34" s="49"/>
      <c r="BD34" s="49"/>
      <c r="BF34" s="49"/>
      <c r="BZ34" s="49"/>
      <c r="CB34" s="49"/>
      <c r="CW34" s="49"/>
      <c r="CX34" s="6"/>
      <c r="CY34" s="49"/>
      <c r="DR34" s="49"/>
      <c r="DT34" s="49"/>
      <c r="EM34" s="49"/>
      <c r="EO34" s="49"/>
      <c r="FH34" s="49"/>
      <c r="FJ34" s="49"/>
      <c r="GC34" s="49"/>
      <c r="GE34" s="49"/>
      <c r="GX34" s="49"/>
      <c r="GZ34" s="49"/>
      <c r="HS34" s="49"/>
      <c r="HU34" s="49"/>
      <c r="IN34" s="49"/>
      <c r="IP34" s="49"/>
      <c r="JI34" s="49"/>
      <c r="JK34" s="49"/>
      <c r="KD34" s="49"/>
      <c r="KE34" s="6"/>
      <c r="KF34" s="49"/>
      <c r="KY34" s="49"/>
      <c r="LA34" s="49"/>
      <c r="LT34" s="49"/>
      <c r="LV34" s="49"/>
    </row>
    <row r="35" spans="1:336" x14ac:dyDescent="0.2">
      <c r="A35" s="49"/>
      <c r="B35" s="49"/>
      <c r="C35" s="48"/>
      <c r="AH35" s="49"/>
      <c r="AJ35" s="49"/>
      <c r="BD35" s="49"/>
      <c r="BF35" s="49"/>
      <c r="BZ35" s="49"/>
      <c r="CB35" s="49"/>
      <c r="CW35" s="49"/>
      <c r="CY35" s="49"/>
      <c r="DR35" s="49"/>
      <c r="DT35" s="49"/>
      <c r="EM35" s="49"/>
      <c r="EO35" s="49"/>
      <c r="FH35" s="49"/>
      <c r="FJ35" s="49"/>
      <c r="GC35" s="49"/>
      <c r="GE35" s="49"/>
      <c r="GX35" s="49"/>
      <c r="GZ35" s="49"/>
      <c r="HS35" s="49"/>
      <c r="HU35" s="49"/>
      <c r="IN35" s="49"/>
      <c r="IP35" s="49"/>
      <c r="JI35" s="49"/>
      <c r="JK35" s="49"/>
      <c r="KD35" s="49"/>
      <c r="KF35" s="49"/>
      <c r="KY35" s="49"/>
      <c r="LA35" s="49"/>
      <c r="LT35" s="49"/>
      <c r="LV35" s="49"/>
    </row>
    <row r="36" spans="1:336" x14ac:dyDescent="0.2">
      <c r="A36" s="49"/>
      <c r="B36" s="49"/>
      <c r="C36" s="48"/>
      <c r="AH36" s="49"/>
      <c r="AJ36" s="49"/>
      <c r="BD36" s="49"/>
      <c r="BF36" s="49"/>
      <c r="BZ36" s="49"/>
      <c r="CB36" s="49"/>
      <c r="CW36" s="49"/>
      <c r="CY36" s="49"/>
      <c r="DR36" s="49"/>
      <c r="DT36" s="49"/>
      <c r="EM36" s="49"/>
      <c r="EO36" s="49"/>
      <c r="FH36" s="49"/>
      <c r="FJ36" s="49"/>
      <c r="GC36" s="49"/>
      <c r="GE36" s="49"/>
      <c r="GX36" s="49"/>
      <c r="GZ36" s="49"/>
      <c r="HS36" s="49"/>
      <c r="HU36" s="49"/>
      <c r="IN36" s="49"/>
      <c r="IP36" s="49"/>
      <c r="JI36" s="49"/>
      <c r="JK36" s="49"/>
      <c r="KD36" s="49"/>
      <c r="KF36" s="49"/>
      <c r="KY36" s="49"/>
      <c r="LA36" s="49"/>
      <c r="LT36" s="49"/>
      <c r="LV36" s="49"/>
    </row>
    <row r="37" spans="1:336" x14ac:dyDescent="0.2">
      <c r="A37" s="49"/>
      <c r="B37" s="49"/>
      <c r="C37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3">
      <sortCondition descending="1" ref="F1:F24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23">
    <cfRule type="expression" dxfId="19" priority="2" stopIfTrue="1">
      <formula>IF($BC4&lt;&gt;"",1,0)</formula>
    </cfRule>
  </conditionalFormatting>
  <conditionalFormatting sqref="Q4:AL23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3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6289" operator="between">
      <formula>AL$29</formula>
      <formula>1000</formula>
    </cfRule>
    <cfRule type="cellIs" dxfId="6" priority="46290" operator="between">
      <formula>AL$28</formula>
      <formula>AL$29</formula>
    </cfRule>
    <cfRule type="cellIs" dxfId="5" priority="46291" operator="between">
      <formula>AL$27</formula>
      <formula>AL$28</formula>
    </cfRule>
    <cfRule type="cellIs" dxfId="4" priority="46292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6469" operator="between">
      <formula>AL$33</formula>
      <formula>1000</formula>
    </cfRule>
    <cfRule type="cellIs" dxfId="2" priority="46470" operator="between">
      <formula>AL$32</formula>
      <formula>AL$33</formula>
    </cfRule>
    <cfRule type="cellIs" dxfId="1" priority="46471" operator="between">
      <formula>AL$31</formula>
      <formula>AL$32</formula>
    </cfRule>
    <cfRule type="cellIs" dxfId="0" priority="46472" operator="between">
      <formula>AL$30</formula>
      <formula>AL$31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2021-10-28T20:08:03Z</dcterms:modified>
</cp:coreProperties>
</file>